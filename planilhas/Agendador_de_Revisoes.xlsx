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mo Usar" sheetId="1" state="visible" r:id="rId3"/>
    <sheet name="Temas" sheetId="2" state="visible" r:id="rId4"/>
    <sheet name="Avulsos" sheetId="3" state="visible" r:id="rId5"/>
    <sheet name="Calendário" sheetId="4" state="visible" r:id="rId6"/>
    <sheet name="Semana" sheetId="5" state="visible" r:id="rId7"/>
    <sheet name="Tabela" sheetId="6" state="visible" r:id="rId8"/>
    <sheet name="Painel" sheetId="7" state="visible" r:id="rId9"/>
    <sheet name="Config" sheetId="8" state="visible" r:id="rId10"/>
    <sheet name="Base" sheetId="9" state="visible" r:id="rId11"/>
  </sheets>
  <definedNames>
    <definedName function="false" hidden="true" localSheetId="8" name="_xlnm._FilterDatabase" vbProcedure="false">Base!$A$4:$Q$2004</definedName>
    <definedName function="false" hidden="false" localSheetId="3" name="_xlnm.Print_Area" vbProcedure="false">Calendário!$A$1:$O$54</definedName>
    <definedName function="false" hidden="false" localSheetId="4" name="_xlnm.Print_Area" vbProcedure="false">Semana!$A$1:$O$24</definedName>
    <definedName function="false" hidden="true" localSheetId="5" name="_xlnm._FilterDatabase" vbProcedure="false">Tabela!$A$5:$I$2005</definedName>
    <definedName function="false" hidden="true" localSheetId="1" name="_xlnm._FilterDatabase" vbProcedure="false">Temas!$A$5:$S$305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Nome do tema/aula. Ex.: Cardiopediatria</t>
        </r>
      </text>
    </comment>
    <comment ref="D5" authorId="0">
      <text>
        <r>
          <rPr>
            <sz val="10"/>
            <rFont val="Arial"/>
            <family val="2"/>
          </rPr>
          <t xml:space="preserve">Data da aula teórica, ex.: 27/09/2026. As revisões contam a partir dela.</t>
        </r>
      </text>
    </comment>
    <comment ref="F5" authorId="0">
      <text>
        <r>
          <rPr>
            <sz val="10"/>
            <rFont val="Arial"/>
            <family val="2"/>
          </rPr>
          <t xml:space="preserve">Escolha ✓ (ou digite x) quando concluir a etapa. No calendário o item fica riscado.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Data do evento, ex.: 06/10/2026</t>
        </r>
      </text>
    </comment>
    <comment ref="D5" authorId="0">
      <text>
        <r>
          <rPr>
            <sz val="10"/>
            <rFont val="Arial"/>
            <family val="2"/>
          </rPr>
          <t xml:space="preserve">Teórica, Revisão, Prática, Simulado ou Outro. Em branco = Outro.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Escolha o mês na lista. O ano fica ao lado.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Padrão: =HOJE(). Digite uma data por cima para ver outra semana; para voltar, digite =HOJE() de novo.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Código interno usado pelas cores do calendário. Não altere.</t>
        </r>
      </text>
    </comment>
    <comment ref="F6" authorId="0">
      <text>
        <r>
          <rPr>
            <sz val="10"/>
            <rFont val="Arial"/>
            <family val="2"/>
          </rPr>
          <t xml:space="preserve">A etapa 1 é a própria aula (0 dias). Padrão das revisões: 1, 7, 15, 30 e 60 dias depois da aula (revisão espaçada).</t>
        </r>
      </text>
    </comment>
    <comment ref="K5" authorId="0">
      <text>
        <r>
          <rPr>
            <sz val="10"/>
            <rFont val="Arial"/>
            <family val="2"/>
          </rPr>
          <t xml:space="preserve">Até 8 áreas. As linhas vazias podem receber áreas novas; elas aparecem na lista suspensa e no Painel.</t>
        </r>
      </text>
    </comment>
  </commentList>
</comments>
</file>

<file path=xl/sharedStrings.xml><?xml version="1.0" encoding="utf-8"?>
<sst xmlns="http://schemas.openxmlformats.org/spreadsheetml/2006/main" count="390" uniqueCount="259">
  <si>
    <t xml:space="preserve">Agendador de Revisões</t>
  </si>
  <si>
    <t xml:space="preserve">Monte seu calendário de estudos com revisões espaçadas automáticas — visões Mês, Semana e Tabela, como no calendário do app.</t>
  </si>
  <si>
    <t xml:space="preserve">COMO USAR — 4 PASSOS</t>
  </si>
  <si>
    <t xml:space="preserve">1. Temas</t>
  </si>
  <si>
    <t xml:space="preserve">Para cada aula, digite o Tema, a Grande Área e a Data da aula (células amarelas). As datas da aula e das 5 revisões aparecem sozinhas.</t>
  </si>
  <si>
    <t xml:space="preserve">2. Avulsos</t>
  </si>
  <si>
    <t xml:space="preserve">Lance simulados, blocos de questões e compromissos com data fixa (ex.: simulado UFCSPA 2026).</t>
  </si>
  <si>
    <t xml:space="preserve">3. Calendário</t>
  </si>
  <si>
    <t xml:space="preserve">Escolha Mês e Ano no topo. Cada dia mostra até 6 itens com a cor da categoria; se houver mais, aparece “+N mais” (veja tudo em Semana ou Tabela). O dia de hoje fica destacado em verde.</t>
  </si>
  <si>
    <t xml:space="preserve">4. Marcar feito</t>
  </si>
  <si>
    <t xml:space="preserve">Ao concluir uma etapa, escolha ✓ (ou digite x) na coluna Feito daquela etapa em Temas/Avulsos. No calendário o item fica riscado com ✓.</t>
  </si>
  <si>
    <t xml:space="preserve">PERSONALIZAR (aba Config)</t>
  </si>
  <si>
    <t xml:space="preserve">Intervalos</t>
  </si>
  <si>
    <t xml:space="preserve">Padrão: aula (0) e revisões com 1, 7, 15, 30 e 60 dias. Mude os números e o calendário inteiro se reorganiza.</t>
  </si>
  <si>
    <t xml:space="preserve">Categoria da etapa</t>
  </si>
  <si>
    <t xml:space="preserve">Define a cor no calendário: Teórica, Revisão, Prática (questões), Simulado ou Outro.</t>
  </si>
  <si>
    <t xml:space="preserve">Ativa?</t>
  </si>
  <si>
    <t xml:space="preserve">“Não” desliga a etapa — ela some do calendário, da tabela e do painel.</t>
  </si>
  <si>
    <t xml:space="preserve">Dia de descanso</t>
  </si>
  <si>
    <t xml:space="preserve">Revisões que cairiam nesse dia da semana vão para o dia seguinte.</t>
  </si>
  <si>
    <t xml:space="preserve">Mostrar sigla</t>
  </si>
  <si>
    <t xml:space="preserve">Exibe T, R1…R5 antes do nome do tema (ajuda a distinguir as revisões).</t>
  </si>
  <si>
    <t xml:space="preserve">Grandes áreas</t>
  </si>
  <si>
    <t xml:space="preserve">Edite a lista (até 8). Ela alimenta a lista suspensa e o Painel.</t>
  </si>
  <si>
    <t xml:space="preserve">REMARCAR UMA REVISÃO</t>
  </si>
  <si>
    <t xml:space="preserve">Data manual</t>
  </si>
  <si>
    <t xml:space="preserve">Na aba Temas, digite a nova data por cima da data calculada. Para voltar ao automático, copie a mesma coluna de outra linha (Ctrl+C / Ctrl+V).</t>
  </si>
  <si>
    <t xml:space="preserve">LEGENDA DE CORES</t>
  </si>
  <si>
    <t xml:space="preserve">  Teórica</t>
  </si>
  <si>
    <t xml:space="preserve">Aula teórica (1º contato com o tema)</t>
  </si>
  <si>
    <t xml:space="preserve">  Revisão</t>
  </si>
  <si>
    <t xml:space="preserve">Revisão de resumo / flashcards</t>
  </si>
  <si>
    <t xml:space="preserve">  Prática</t>
  </si>
  <si>
    <t xml:space="preserve">Bloco de questões do tema</t>
  </si>
  <si>
    <t xml:space="preserve">  Simulado</t>
  </si>
  <si>
    <t xml:space="preserve">Prova / simulado</t>
  </si>
  <si>
    <t xml:space="preserve">  Outro</t>
  </si>
  <si>
    <t xml:space="preserve">Qualquer outro compromisso</t>
  </si>
  <si>
    <t xml:space="preserve">  ✓ T · Cardiopediatria</t>
  </si>
  <si>
    <t xml:space="preserve">Riscado com ✓ = etapa concluída</t>
  </si>
  <si>
    <t xml:space="preserve">  Célula amarela</t>
  </si>
  <si>
    <t xml:space="preserve">Você preenche. Células brancas são calculadas — não digite nelas (exceto para remarcar uma data).</t>
  </si>
  <si>
    <t xml:space="preserve">ABAS</t>
  </si>
  <si>
    <t xml:space="preserve">Calendário</t>
  </si>
  <si>
    <t xml:space="preserve">Visão do mês (como “Mês” no app). Links no topo levam às outras visões.</t>
  </si>
  <si>
    <t xml:space="preserve">Semana</t>
  </si>
  <si>
    <t xml:space="preserve">Visão semanal com até 15 itens por dia.</t>
  </si>
  <si>
    <t xml:space="preserve">Tabela</t>
  </si>
  <si>
    <t xml:space="preserve">Todos os eventos em ordem de data, com filtros (como “Tabela” no app).</t>
  </si>
  <si>
    <t xml:space="preserve">Painel</t>
  </si>
  <si>
    <t xml:space="preserve">% concluído, atrasadas, o que fazer hoje e a carga dos próximos 14 dias.</t>
  </si>
  <si>
    <t xml:space="preserve">Temas / Avulsos</t>
  </si>
  <si>
    <t xml:space="preserve">Onde você digita.</t>
  </si>
  <si>
    <t xml:space="preserve">Config</t>
  </si>
  <si>
    <t xml:space="preserve">Intervalos, categorias, áreas e preferências.</t>
  </si>
  <si>
    <t xml:space="preserve">Base</t>
  </si>
  <si>
    <t xml:space="preserve">Motor de cálculo. Não edite nem ordene.</t>
  </si>
  <si>
    <t xml:space="preserve">LIMITES E CUIDADOS</t>
  </si>
  <si>
    <t xml:space="preserve">Capacidade</t>
  </si>
  <si>
    <t xml:space="preserve">300 temas e 200 eventos avulsos.</t>
  </si>
  <si>
    <t xml:space="preserve">Estrutura</t>
  </si>
  <si>
    <t xml:space="preserve">Não insira nem exclua colunas. Para tirar um tema, apague o conteúdo da linha (Tema, Área, Data e os ✓).</t>
  </si>
  <si>
    <t xml:space="preserve">Ordenar</t>
  </si>
  <si>
    <t xml:space="preserve">Para ver em outra ordem, use os filtros da aba Tabela — não ordene a aba Base.</t>
  </si>
  <si>
    <t xml:space="preserve">DADOS DE EXEMPLO</t>
  </si>
  <si>
    <t xml:space="preserve">Este arquivo</t>
  </si>
  <si>
    <t xml:space="preserve">Já vem com as aulas teóricas que aparecem no print (27/09 a 27/10/2026) e o simulado UFCSPA 2026, para você ver o calendário funcionando. Para começar do zero, use Agendador_de_Revisoes_em_branco.xlsx.</t>
  </si>
  <si>
    <t xml:space="preserve">Itens do print</t>
  </si>
  <si>
    <t xml:space="preserve">Os itens azuis do print que vêm de aulas anteriores a setembro: cadastre o tema com a data da aula original e as revisões entram sozinhas.</t>
  </si>
  <si>
    <t xml:space="preserve">Temas — cronograma de aulas</t>
  </si>
  <si>
    <t xml:space="preserve">Preencha as colunas amarelas: Tema, Grande Área e Data da aula. As datas das revisões são calculadas pela aba Config. Ao concluir, escolha ✓ (ou digite x) na coluna Feito da etapa.</t>
  </si>
  <si>
    <t xml:space="preserve">Para remarcar uma revisão, digite a nova data por cima da data calculada.</t>
  </si>
  <si>
    <t xml:space="preserve">Nº</t>
  </si>
  <si>
    <t xml:space="preserve">Tema</t>
  </si>
  <si>
    <t xml:space="preserve">Grande Área</t>
  </si>
  <si>
    <t xml:space="preserve">Data da aula</t>
  </si>
  <si>
    <t xml:space="preserve">Data</t>
  </si>
  <si>
    <t xml:space="preserve">Feito</t>
  </si>
  <si>
    <t xml:space="preserve">Progresso</t>
  </si>
  <si>
    <t xml:space="preserve">Próxima etapa</t>
  </si>
  <si>
    <t xml:space="preserve">Situação</t>
  </si>
  <si>
    <t xml:space="preserve">aux</t>
  </si>
  <si>
    <t xml:space="preserve">Cardiopediatria</t>
  </si>
  <si>
    <t xml:space="preserve">Pediatria</t>
  </si>
  <si>
    <t xml:space="preserve">✓</t>
  </si>
  <si>
    <t xml:space="preserve">Nefrologia Pediátrica / ITU</t>
  </si>
  <si>
    <t xml:space="preserve">Asma e DPOC</t>
  </si>
  <si>
    <t xml:space="preserve">Clínica Médica</t>
  </si>
  <si>
    <t xml:space="preserve">Doenças da Tireoide</t>
  </si>
  <si>
    <t xml:space="preserve">Valvopatias</t>
  </si>
  <si>
    <t xml:space="preserve">Demência e Parkinson</t>
  </si>
  <si>
    <t xml:space="preserve">ATB</t>
  </si>
  <si>
    <t xml:space="preserve">Transtornos Psiquiátricos I</t>
  </si>
  <si>
    <t xml:space="preserve">Síndromes Febris — Dengue</t>
  </si>
  <si>
    <t xml:space="preserve">Endocardite Infecciosa / Meningites</t>
  </si>
  <si>
    <t xml:space="preserve">Especialidade Cirúrgica I</t>
  </si>
  <si>
    <t xml:space="preserve">Cirurgia</t>
  </si>
  <si>
    <t xml:space="preserve">Especialidade Cirúrgica II</t>
  </si>
  <si>
    <t xml:space="preserve">Distúrbios Hipertensivos na Gestação</t>
  </si>
  <si>
    <t xml:space="preserve">Ginecologia e Obstetrícia</t>
  </si>
  <si>
    <t xml:space="preserve">Sofrimento Fetal e Vitalidade Fetal</t>
  </si>
  <si>
    <t xml:space="preserve">Doenças da Suprarrenal</t>
  </si>
  <si>
    <t xml:space="preserve">Infecções Sexualmente Transmissíveis</t>
  </si>
  <si>
    <t xml:space="preserve">Parasitoses Intestinais</t>
  </si>
  <si>
    <t xml:space="preserve">HIV/AIDS</t>
  </si>
  <si>
    <t xml:space="preserve">Dermatologia I e II</t>
  </si>
  <si>
    <t xml:space="preserve">Bônus Oftalmo</t>
  </si>
  <si>
    <t xml:space="preserve">Insuficiência Cardíaca</t>
  </si>
  <si>
    <t xml:space="preserve">Pneumonias Comunitárias</t>
  </si>
  <si>
    <t xml:space="preserve">Tuberculose</t>
  </si>
  <si>
    <t xml:space="preserve">Câncer de Pulmão e TEP</t>
  </si>
  <si>
    <t xml:space="preserve">Ortopedia I e II</t>
  </si>
  <si>
    <t xml:space="preserve">Fraqueza Muscular — Polineuropatias</t>
  </si>
  <si>
    <t xml:space="preserve">Avulsos — simulados, questões e compromissos</t>
  </si>
  <si>
    <t xml:space="preserve">Eventos com data fixa que não seguem as revisões automáticas (ex.: simulado UFCSPA, bloco de 100 questões, plantão).</t>
  </si>
  <si>
    <t xml:space="preserve">A categoria define a cor no calendário. Marque ✓ (ou x) em Feito quando concluir.</t>
  </si>
  <si>
    <t xml:space="preserve">Título / descrição</t>
  </si>
  <si>
    <t xml:space="preserve">Categoria</t>
  </si>
  <si>
    <t xml:space="preserve">Grande Área (opcional)</t>
  </si>
  <si>
    <t xml:space="preserve">Observações</t>
  </si>
  <si>
    <t xml:space="preserve">UFCSPA 2026</t>
  </si>
  <si>
    <t xml:space="preserve">Simulado</t>
  </si>
  <si>
    <t xml:space="preserve">Prova na íntegra</t>
  </si>
  <si>
    <t xml:space="preserve">AGENDADOR DE REVISÕES</t>
  </si>
  <si>
    <t xml:space="preserve">Mês</t>
  </si>
  <si>
    <t xml:space="preserve">+ Novo tema</t>
  </si>
  <si>
    <t xml:space="preserve">MÊS ▸</t>
  </si>
  <si>
    <t xml:space="preserve">Outubro</t>
  </si>
  <si>
    <t xml:space="preserve">ANO ▸</t>
  </si>
  <si>
    <t xml:space="preserve">HOJE ▸</t>
  </si>
  <si>
    <t xml:space="preserve">Nº do mês</t>
  </si>
  <si>
    <t xml:space="preserve">1º dia do mês</t>
  </si>
  <si>
    <t xml:space="preserve">riscado com ✓ = concluído</t>
  </si>
  <si>
    <t xml:space="preserve">Último dia do mês</t>
  </si>
  <si>
    <t xml:space="preserve">Início da grade (dom)</t>
  </si>
  <si>
    <t xml:space="preserve">DOM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</si>
  <si>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</si>
  <si>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</si>
  <si>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</si>
  <si>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</si>
  <si>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</si>
  <si>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SAB</t>
  </si>
  <si>
    <t xml:space="preserve">SEMANA DE ▸</t>
  </si>
  <si>
    <t xml:space="preserve">← digite qualquer data para ver a semana dela (padrão: hoje)</t>
  </si>
  <si>
    <t xml:space="preserve">Início (dom)</t>
  </si>
  <si>
    <t xml:space="preserve">Fim (sáb)</t>
  </si>
  <si>
    <t xml:space="preserve">contagens desta semana</t>
  </si>
  <si>
    <t xml:space="preserve">DOMINGO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</si>
  <si>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</si>
  <si>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</si>
  <si>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</si>
  <si>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</si>
  <si>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</si>
  <si>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</si>
  <si>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Tabela — todos os eventos em ordem de data</t>
  </si>
  <si>
    <t xml:space="preserve">Use os filtros do cabeçalho (ex.: Status = Atrasado, Categoria = Prática). Não edite aqui: altere em Temas ou Avulsos.</t>
  </si>
  <si>
    <t xml:space="preserve">#</t>
  </si>
  <si>
    <t xml:space="preserve">Dia</t>
  </si>
  <si>
    <t xml:space="preserve">Tema / título</t>
  </si>
  <si>
    <t xml:space="preserve">Etapa</t>
  </si>
  <si>
    <t xml:space="preserve">Sigla</t>
  </si>
  <si>
    <t xml:space="preserve">Status</t>
  </si>
  <si>
    <t xml:space="preserve">chave</t>
  </si>
  <si>
    <t xml:space="preserve">linha</t>
  </si>
  <si>
    <t xml:space="preserve">Hoje é</t>
  </si>
  <si>
    <t xml:space="preserve">Temas</t>
  </si>
  <si>
    <t xml:space="preserve">Eventos agendados</t>
  </si>
  <si>
    <t xml:space="preserve">Concluídos</t>
  </si>
  <si>
    <t xml:space="preserve">% concluído</t>
  </si>
  <si>
    <t xml:space="preserve">Atrasados</t>
  </si>
  <si>
    <t xml:space="preserve">Para hoje</t>
  </si>
  <si>
    <t xml:space="preserve">Próx. 7 dias</t>
  </si>
  <si>
    <t xml:space="preserve">POR CATEGORIA</t>
  </si>
  <si>
    <t xml:space="preserve">POR GRANDE ÁREA</t>
  </si>
  <si>
    <t xml:space="preserve">Agendados</t>
  </si>
  <si>
    <t xml:space="preserve">Eventos</t>
  </si>
  <si>
    <t xml:space="preserve">Total</t>
  </si>
  <si>
    <t xml:space="preserve">PARA HOJE</t>
  </si>
  <si>
    <t xml:space="preserve">ATRASADAS  ·  mais antigas primeiro</t>
  </si>
  <si>
    <t xml:space="preserve">Dias de atraso</t>
  </si>
  <si>
    <t xml:space="preserve">CARGA DOS PRÓXIMOS 14 DIAS</t>
  </si>
  <si>
    <t xml:space="preserve">PROGRESSO POR ETAPA (temas)</t>
  </si>
  <si>
    <t xml:space="preserve">Total de itens</t>
  </si>
  <si>
    <t xml:space="preserve">Agendadas</t>
  </si>
  <si>
    <t xml:space="preserve">Concluídas</t>
  </si>
  <si>
    <t xml:space="preserve">Configurações</t>
  </si>
  <si>
    <t xml:space="preserve">Células amarelas podem ser alteradas. Todo o calendário se reorganiza sozinho.</t>
  </si>
  <si>
    <t xml:space="preserve">ETAPAS DE REVISÃO  ·  intervalos contados a partir da data da aula</t>
  </si>
  <si>
    <t xml:space="preserve">Categoria (cor)</t>
  </si>
  <si>
    <t xml:space="preserve">Intervalo (dias)</t>
  </si>
  <si>
    <t xml:space="preserve">Meses</t>
  </si>
  <si>
    <t xml:space="preserve">Grandes áreas (editável)</t>
  </si>
  <si>
    <t xml:space="preserve">Aula teórica</t>
  </si>
  <si>
    <t xml:space="preserve">T</t>
  </si>
  <si>
    <t xml:space="preserve">Teórica</t>
  </si>
  <si>
    <t xml:space="preserve">Sim</t>
  </si>
  <si>
    <t xml:space="preserve">Janeiro</t>
  </si>
  <si>
    <t xml:space="preserve">Nenhum</t>
  </si>
  <si>
    <t xml:space="preserve">1ª Revisão</t>
  </si>
  <si>
    <t xml:space="preserve">R1</t>
  </si>
  <si>
    <t xml:space="preserve">Revisão</t>
  </si>
  <si>
    <t xml:space="preserve">Fevereiro</t>
  </si>
  <si>
    <t xml:space="preserve">Domingo</t>
  </si>
  <si>
    <t xml:space="preserve">2ª Revisão</t>
  </si>
  <si>
    <t xml:space="preserve">R2</t>
  </si>
  <si>
    <t xml:space="preserve">Prática</t>
  </si>
  <si>
    <t xml:space="preserve">Março</t>
  </si>
  <si>
    <t xml:space="preserve">Segunda</t>
  </si>
  <si>
    <t xml:space="preserve">3ª Revisão</t>
  </si>
  <si>
    <t xml:space="preserve">R3</t>
  </si>
  <si>
    <t xml:space="preserve">Abril</t>
  </si>
  <si>
    <t xml:space="preserve">Terça</t>
  </si>
  <si>
    <t xml:space="preserve">4ª Revisão</t>
  </si>
  <si>
    <t xml:space="preserve">R4</t>
  </si>
  <si>
    <t xml:space="preserve">Maio</t>
  </si>
  <si>
    <t xml:space="preserve">Quarta</t>
  </si>
  <si>
    <t xml:space="preserve">Medicina Preventiva</t>
  </si>
  <si>
    <t xml:space="preserve">5ª Revisão</t>
  </si>
  <si>
    <t xml:space="preserve">R5</t>
  </si>
  <si>
    <t xml:space="preserve">Junho</t>
  </si>
  <si>
    <t xml:space="preserve">Quinta</t>
  </si>
  <si>
    <t xml:space="preserve">Outra</t>
  </si>
  <si>
    <t xml:space="preserve">Julho</t>
  </si>
  <si>
    <t xml:space="preserve">Sexta</t>
  </si>
  <si>
    <t xml:space="preserve">CATEGORIAS E CORES  ·  a cor é fixa pela posição da linha</t>
  </si>
  <si>
    <t xml:space="preserve">Agosto</t>
  </si>
  <si>
    <t xml:space="preserve">Sábado</t>
  </si>
  <si>
    <t xml:space="preserve">Código</t>
  </si>
  <si>
    <t xml:space="preserve">Sigla (avulsos)</t>
  </si>
  <si>
    <t xml:space="preserve">Cor</t>
  </si>
  <si>
    <t xml:space="preserve">Setembro</t>
  </si>
  <si>
    <t xml:space="preserve">TEO</t>
  </si>
  <si>
    <t xml:space="preserve">REV</t>
  </si>
  <si>
    <t xml:space="preserve">R</t>
  </si>
  <si>
    <t xml:space="preserve">Novembro</t>
  </si>
  <si>
    <t xml:space="preserve">PRA</t>
  </si>
  <si>
    <t xml:space="preserve">Q</t>
  </si>
  <si>
    <t xml:space="preserve">Dezembro</t>
  </si>
  <si>
    <t xml:space="preserve">SIM</t>
  </si>
  <si>
    <t xml:space="preserve">Outro</t>
  </si>
  <si>
    <t xml:space="preserve">OUT</t>
  </si>
  <si>
    <t xml:space="preserve">•</t>
  </si>
  <si>
    <t xml:space="preserve">PREFERÊNCIAS</t>
  </si>
  <si>
    <t xml:space="preserve">Mostrar sigla da etapa no calendário (T, R1…R5)?</t>
  </si>
  <si>
    <t xml:space="preserve">Dia de descanso (revisão que cair nele vai p/ o dia seguinte)</t>
  </si>
  <si>
    <t xml:space="preserve">(auxiliar) nº do dia de descanso — 0 = nenhum</t>
  </si>
  <si>
    <t xml:space="preserve">ESTRUTURA  ·  não alterar (definida pelo gerador da planilha)</t>
  </si>
  <si>
    <t xml:space="preserve">Máx. de temas (linhas da aba Temas)</t>
  </si>
  <si>
    <t xml:space="preserve">Nº de etapas por tema</t>
  </si>
  <si>
    <t xml:space="preserve">Máx. de eventos avulsos</t>
  </si>
  <si>
    <t xml:space="preserve">Base — motor de cálculo (não editar)</t>
  </si>
  <si>
    <t xml:space="preserve">Transforma cada tema em 6 eventos (aula + revisões) e junta os avulsos. Calendário, Semana, Tabela e Painel leem daqui. Não ordene nem edite.</t>
  </si>
  <si>
    <t xml:space="preserve">Origem</t>
  </si>
  <si>
    <t xml:space="preserve">Linha</t>
  </si>
  <si>
    <t xml:space="preserve">Etapa (nome)</t>
  </si>
  <si>
    <t xml:space="preserve">Rótulo no calendário</t>
  </si>
  <si>
    <t xml:space="preserve">Seq.</t>
  </si>
  <si>
    <t xml:space="preserve">Chave dia</t>
  </si>
  <si>
    <t xml:space="preserve">Chave atraso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</si>
</sst>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dd/mm/yy"/>
    <numFmt numFmtId="167" formatCode="0%"/>
    <numFmt numFmtId="168" formatCode="ddd\ dd/mm"/>
    <numFmt numFmtId="169" formatCode="General"/>
    <numFmt numFmtId="170" formatCode="0"/>
    <numFmt numFmtId="171" formatCode="d"/>
    <numFmt numFmtId="172" formatCode="dd/mm"/>
    <numFmt numFmtId="173" formatCode="dddd"/>
    <numFmt numFmtId="174" formatCode="dddd&quot;, &quot;dd/mm/yyyy"/>
    <numFmt numFmtId="175" formatCode="0;\-0;\·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C1917"/>
      <name val="Georgia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b val="true"/>
      <sz val="9"/>
      <color rgb="FF1C1917"/>
      <name val="Arial"/>
      <family val="0"/>
      <charset val="1"/>
    </font>
    <font>
      <sz val="9"/>
      <color rgb="FF57534E"/>
      <name val="Arial"/>
      <family val="0"/>
      <charset val="1"/>
    </font>
    <font>
      <b val="true"/>
      <sz val="9"/>
      <color rgb="FF14532D"/>
      <name val="Arial"/>
      <family val="0"/>
      <charset val="1"/>
    </font>
    <font>
      <b val="true"/>
      <sz val="9"/>
      <color rgb="FF78350F"/>
      <name val="Arial"/>
      <family val="0"/>
      <charset val="1"/>
    </font>
    <font>
      <b val="true"/>
      <sz val="9"/>
      <color rgb="FF1E3A8A"/>
      <name val="Arial"/>
      <family val="0"/>
      <charset val="1"/>
    </font>
    <font>
      <b val="true"/>
      <sz val="9"/>
      <color rgb="FF701A75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trike val="true"/>
      <sz val="9"/>
      <color rgb="FF6B8F78"/>
      <name val="Arial"/>
      <family val="0"/>
      <charset val="1"/>
    </font>
    <font>
      <sz val="9"/>
      <color rgb="FF1D4ED8"/>
      <name val="Arial"/>
      <family val="0"/>
      <charset val="1"/>
    </font>
    <font>
      <b val="true"/>
      <sz val="18"/>
      <color rgb="FF1C1917"/>
      <name val="Georgia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8"/>
      <color rgb="FF14532D"/>
      <name val="Arial"/>
      <family val="0"/>
      <charset val="1"/>
    </font>
    <font>
      <b val="true"/>
      <sz val="8"/>
      <color rgb="FF78716C"/>
      <name val="Arial"/>
      <family val="0"/>
      <charset val="1"/>
    </font>
    <font>
      <sz val="8"/>
      <color rgb="FFA8A29E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8"/>
      <color rgb="FF57534E"/>
      <name val="Arial"/>
      <family val="0"/>
      <charset val="1"/>
    </font>
    <font>
      <b val="true"/>
      <sz val="8"/>
      <color rgb="FF57534E"/>
      <name val="Arial"/>
      <family val="0"/>
      <charset val="1"/>
    </font>
    <font>
      <sz val="8"/>
      <color rgb="FF78716C"/>
      <name val="Arial"/>
      <family val="0"/>
      <charset val="1"/>
    </font>
    <font>
      <sz val="10"/>
      <name val="Arial"/>
      <family val="2"/>
    </font>
    <font>
      <b val="true"/>
      <sz val="9"/>
      <color rgb="FF15803D"/>
      <name val="Arial"/>
      <family val="0"/>
      <charset val="1"/>
    </font>
    <font>
      <u val="single"/>
      <sz val="9"/>
      <color rgb="FF5753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9"/>
      <color rgb="FF57534E"/>
      <name val="Arial"/>
      <family val="0"/>
      <charset val="1"/>
    </font>
    <font>
      <b val="true"/>
      <sz val="8"/>
      <color rgb="FF15803D"/>
      <name val="Arial"/>
      <family val="0"/>
      <charset val="1"/>
    </font>
    <font>
      <b val="true"/>
      <sz val="20"/>
      <color rgb="FF1C1917"/>
      <name val="Georgia"/>
      <family val="0"/>
      <charset val="1"/>
    </font>
    <font>
      <i val="true"/>
      <sz val="8"/>
      <color rgb="FF78716C"/>
      <name val="Arial"/>
      <family val="0"/>
      <charset val="1"/>
    </font>
    <font>
      <sz val="6"/>
      <color rgb="FFFFFFFF"/>
      <name val="Arial"/>
      <family val="0"/>
      <charset val="1"/>
    </font>
    <font>
      <b val="true"/>
      <i val="true"/>
      <sz val="7"/>
      <color rgb="FF78716C"/>
      <name val="Arial"/>
      <family val="0"/>
      <charset val="1"/>
    </font>
    <font>
      <b val="true"/>
      <sz val="14"/>
      <color rgb="FF57534E"/>
      <name val="Arial"/>
      <family val="0"/>
      <charset val="1"/>
    </font>
    <font>
      <sz val="9"/>
      <color rgb="FFA8A29E"/>
      <name val="Arial"/>
      <family val="0"/>
      <charset val="1"/>
    </font>
    <font>
      <sz val="9"/>
      <color rgb="FF78716C"/>
      <name val="Arial"/>
      <family val="0"/>
      <charset val="1"/>
    </font>
    <font>
      <b val="true"/>
      <sz val="20"/>
      <color rgb="FF15803D"/>
      <name val="Georgia"/>
      <family val="0"/>
      <charset val="1"/>
    </font>
    <font>
      <b val="true"/>
      <sz val="20"/>
      <color rgb="FFB91C1C"/>
      <name val="Georgia"/>
      <family val="0"/>
      <charset val="1"/>
    </font>
    <font>
      <sz val="9"/>
      <color rgb="FF1C1917"/>
      <name val="Arial"/>
      <family val="0"/>
      <charset val="1"/>
    </font>
    <font>
      <sz val="9"/>
      <color rgb="FFB91C1C"/>
      <name val="Arial"/>
      <family val="0"/>
      <charset val="1"/>
    </font>
    <font>
      <b val="true"/>
      <sz val="9"/>
      <color rgb="FFB91C1C"/>
      <name val="Arial"/>
      <family val="0"/>
      <charset val="1"/>
    </font>
    <font>
      <sz val="8"/>
      <color rgb="FF14532D"/>
      <name val="Arial"/>
      <family val="0"/>
      <charset val="1"/>
    </font>
    <font>
      <sz val="8"/>
      <color rgb="FF78350F"/>
      <name val="Arial"/>
      <family val="0"/>
      <charset val="1"/>
    </font>
    <font>
      <sz val="8"/>
      <color rgb="FF1E3A8A"/>
      <name val="Arial"/>
      <family val="0"/>
      <charset val="1"/>
    </font>
    <font>
      <sz val="8"/>
      <color rgb="FF701A75"/>
      <name val="Arial"/>
      <family val="0"/>
      <charset val="1"/>
    </font>
    <font>
      <sz val="8"/>
      <color rgb="FF374151"/>
      <name val="Arial"/>
      <family val="0"/>
      <charset val="1"/>
    </font>
    <font>
      <b val="true"/>
      <sz val="9"/>
      <color rgb="FF78716C"/>
      <name val="Arial"/>
      <family val="0"/>
      <charset val="1"/>
    </font>
    <font>
      <b val="true"/>
      <sz val="14"/>
      <color rgb="FF1C1917"/>
      <name val="Georg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CFCE7"/>
        <bgColor rgb="FFE7F5EC"/>
      </patternFill>
    </fill>
    <fill>
      <patternFill patternType="solid">
        <fgColor rgb="FFFEF3C7"/>
        <bgColor rgb="FFFFF8DB"/>
      </patternFill>
    </fill>
    <fill>
      <patternFill patternType="solid">
        <fgColor rgb="FFDBEAFE"/>
        <bgColor rgb="FFE7E5E4"/>
      </patternFill>
    </fill>
    <fill>
      <patternFill patternType="solid">
        <fgColor rgb="FFFAE8FF"/>
        <bgColor rgb="FFF3F4F6"/>
      </patternFill>
    </fill>
    <fill>
      <patternFill patternType="solid">
        <fgColor rgb="FFF3F4F6"/>
        <bgColor rgb="FFF5F5F4"/>
      </patternFill>
    </fill>
    <fill>
      <patternFill patternType="solid">
        <fgColor rgb="FFFFF8DB"/>
        <bgColor rgb="FFFEF3C7"/>
      </patternFill>
    </fill>
    <fill>
      <patternFill patternType="solid">
        <fgColor rgb="FFECFDF3"/>
        <bgColor rgb="FFEEFBF3"/>
      </patternFill>
    </fill>
    <fill>
      <patternFill patternType="solid">
        <fgColor rgb="FFF5F5F4"/>
        <bgColor rgb="FFF3F4F6"/>
      </patternFill>
    </fill>
    <fill>
      <patternFill patternType="solid">
        <fgColor rgb="FFE7F5EC"/>
        <bgColor rgb="FFEEFBF3"/>
      </patternFill>
    </fill>
    <fill>
      <patternFill patternType="solid">
        <fgColor rgb="FF14532D"/>
        <bgColor rgb="FF374151"/>
      </patternFill>
    </fill>
    <fill>
      <patternFill patternType="solid">
        <fgColor rgb="FF15803D"/>
        <bgColor rgb="FF008080"/>
      </patternFill>
    </fill>
    <fill>
      <patternFill patternType="solid">
        <fgColor rgb="FFB45309"/>
        <bgColor rgb="FF92400E"/>
      </patternFill>
    </fill>
    <fill>
      <patternFill patternType="solid">
        <fgColor rgb="FF2563EB"/>
        <bgColor rgb="FF1D4ED8"/>
      </patternFill>
    </fill>
    <fill>
      <patternFill patternType="solid">
        <fgColor rgb="FFA21CAF"/>
        <bgColor rgb="FF800080"/>
      </patternFill>
    </fill>
    <fill>
      <patternFill patternType="solid">
        <fgColor rgb="FF6B7280"/>
        <bgColor rgb="FF78716C"/>
      </patternFill>
    </fill>
    <fill>
      <patternFill patternType="solid">
        <fgColor rgb="FFFAFAF9"/>
        <bgColor rgb="FFF5F5F4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8A29E"/>
      </bottom>
      <diagonal/>
    </border>
    <border diagonalUp="false" diagonalDown="false">
      <left style="thick">
        <color rgb="FF15803D"/>
      </left>
      <right/>
      <top/>
      <bottom/>
      <diagonal/>
    </border>
    <border diagonalUp="false" diagonalDown="false">
      <left style="thick">
        <color rgb="FFB45309"/>
      </left>
      <right/>
      <top/>
      <bottom/>
      <diagonal/>
    </border>
    <border diagonalUp="false" diagonalDown="false">
      <left style="thick">
        <color rgb="FF2563EB"/>
      </left>
      <right/>
      <top/>
      <bottom/>
      <diagonal/>
    </border>
    <border diagonalUp="false" diagonalDown="false">
      <left style="thick">
        <color rgb="FFA21CAF"/>
      </left>
      <right/>
      <top/>
      <bottom/>
      <diagonal/>
    </border>
    <border diagonalUp="false" diagonalDown="false">
      <left style="thick">
        <color rgb="FF6B7280"/>
      </left>
      <right/>
      <top/>
      <bottom/>
      <diagonal/>
    </border>
    <border diagonalUp="false" diagonalDown="false">
      <left style="thin">
        <color rgb="FFD6D3D1"/>
      </left>
      <right/>
      <top style="thin">
        <color rgb="FFD6D3D1"/>
      </top>
      <bottom/>
      <diagonal/>
    </border>
    <border diagonalUp="false" diagonalDown="false">
      <left/>
      <right/>
      <top/>
      <bottom style="thin">
        <color rgb="FFE7E5E4"/>
      </bottom>
      <diagonal/>
    </border>
    <border diagonalUp="false" diagonalDown="false">
      <left style="thin">
        <color rgb="FFE7E5E4"/>
      </left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/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 style="thin">
        <color rgb="FFD6D3D1"/>
      </left>
      <right/>
      <top/>
      <bottom/>
      <diagonal/>
    </border>
    <border diagonalUp="false" diagonalDown="false">
      <left/>
      <right style="thin">
        <color rgb="FFD6D3D1"/>
      </right>
      <top/>
      <bottom/>
      <diagonal/>
    </border>
    <border diagonalUp="false" diagonalDown="false">
      <left style="thin">
        <color rgb="FFD6D3D1"/>
      </left>
      <right/>
      <top/>
      <bottom style="thin">
        <color rgb="FFD6D3D1"/>
      </bottom>
      <diagonal/>
    </border>
    <border diagonalUp="false" diagonalDown="false">
      <left/>
      <right style="thin">
        <color rgb="FFD6D3D1"/>
      </right>
      <top/>
      <bottom style="thin">
        <color rgb="FFD6D3D1"/>
      </bottom>
      <diagonal/>
    </border>
    <border diagonalUp="false" diagonalDown="false">
      <left/>
      <right/>
      <top/>
      <bottom style="thin">
        <color rgb="FFD6D3D1"/>
      </bottom>
      <diagonal/>
    </border>
    <border diagonalUp="false" diagonalDown="false">
      <left/>
      <right/>
      <top/>
      <bottom style="thin">
        <color rgb="FFF5F5F4"/>
      </bottom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/>
      <diagonal/>
    </border>
    <border diagonalUp="false" diagonalDown="false">
      <left style="thin">
        <color rgb="FFD6D3D1"/>
      </left>
      <right style="thin">
        <color rgb="FFD6D3D1"/>
      </right>
      <top/>
      <bottom style="thin">
        <color rgb="FFD6D3D1"/>
      </bottom>
      <diagonal/>
    </border>
    <border diagonalUp="false" diagonalDown="false">
      <left/>
      <right/>
      <top style="thin">
        <color rgb="FFA8A29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0" fillId="1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8">
    <dxf>
      <fill>
        <patternFill patternType="solid">
          <fgColor rgb="FFF5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8716C"/>
          <bgColor rgb="FF000000"/>
        </patternFill>
      </fill>
    </dxf>
    <dxf>
      <fill>
        <patternFill patternType="solid">
          <fgColor rgb="FFA8A29E"/>
          <bgColor rgb="FF000000"/>
        </patternFill>
      </fill>
    </dxf>
    <dxf>
      <fill>
        <patternFill patternType="solid">
          <fgColor rgb="FFFFF8DB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57534E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ont>
        <color rgb="FF15803D"/>
      </font>
      <fill>
        <patternFill>
          <bgColor rgb="FFDCFCE7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FFFFFF"/>
      </font>
      <fill>
        <patternFill>
          <bgColor rgb="FF14532D"/>
        </patternFill>
      </fill>
    </dxf>
    <dxf>
      <font>
        <color rgb="FF14532D"/>
      </font>
      <fill>
        <patternFill>
          <bgColor rgb="FFDCFCE7"/>
        </patternFill>
      </fill>
    </dxf>
    <dxf>
      <font>
        <strike val="1"/>
        <color rgb="FF6B8F78"/>
      </font>
      <fill>
        <patternFill>
          <bgColor rgb="FFDCFCE7"/>
        </patternFill>
      </fill>
    </dxf>
    <dxf>
      <font>
        <color rgb="FF78350F"/>
      </font>
      <fill>
        <patternFill>
          <bgColor rgb="FFFEF3C7"/>
        </patternFill>
      </fill>
    </dxf>
    <dxf>
      <font>
        <strike val="1"/>
        <color rgb="FFA3835F"/>
      </font>
      <fill>
        <patternFill>
          <bgColor rgb="FFFEF3C7"/>
        </patternFill>
      </fill>
    </dxf>
    <dxf>
      <font>
        <color rgb="FF1E3A8A"/>
      </font>
      <fill>
        <patternFill>
          <bgColor rgb="FFDBEAFE"/>
        </patternFill>
      </fill>
    </dxf>
    <dxf>
      <font>
        <strike val="1"/>
        <color rgb="FF7189C4"/>
      </font>
      <fill>
        <patternFill>
          <bgColor rgb="FFDBEAFE"/>
        </patternFill>
      </fill>
    </dxf>
    <dxf>
      <font>
        <color rgb="FF701A75"/>
      </font>
      <fill>
        <patternFill>
          <bgColor rgb="FFFAE8FF"/>
        </patternFill>
      </fill>
    </dxf>
    <dxf>
      <font>
        <strike val="1"/>
        <color rgb="FFA77AAB"/>
      </font>
      <fill>
        <patternFill>
          <bgColor rgb="FFFAE8FF"/>
        </patternFill>
      </fill>
    </dxf>
    <dxf>
      <font>
        <color rgb="FF374151"/>
      </font>
      <fill>
        <patternFill>
          <bgColor rgb="FFF3F4F6"/>
        </patternFill>
      </fill>
    </dxf>
    <dxf>
      <font>
        <strike val="1"/>
        <color rgb="FF9CA3AF"/>
      </font>
      <fill>
        <patternFill>
          <bgColor rgb="FFF3F4F6"/>
        </patternFill>
      </fill>
    </dxf>
    <dxf>
      <font>
        <color rgb="FF15803D"/>
      </font>
      <fill>
        <patternFill>
          <bgColor rgb="FF15803D"/>
        </patternFill>
      </fill>
    </dxf>
    <dxf>
      <font>
        <color rgb="FFB45309"/>
      </font>
      <fill>
        <patternFill>
          <bgColor rgb="FFB45309"/>
        </patternFill>
      </fill>
    </dxf>
    <dxf>
      <font>
        <color rgb="FF2563EB"/>
      </font>
      <fill>
        <patternFill>
          <bgColor rgb="FF2563EB"/>
        </patternFill>
      </fill>
    </dxf>
    <dxf>
      <font>
        <color rgb="FFA21CAF"/>
      </font>
      <fill>
        <patternFill>
          <bgColor rgb="FFA21CAF"/>
        </patternFill>
      </fill>
    </dxf>
    <dxf>
      <font>
        <color rgb="FF6B7280"/>
      </font>
      <fill>
        <patternFill>
          <bgColor rgb="FF6B7280"/>
        </patternFill>
      </fill>
    </dxf>
    <dxf>
      <fill>
        <patternFill>
          <bgColor rgb="FFEEFBF3"/>
        </patternFill>
      </fill>
    </dxf>
    <dxf>
      <font>
        <color rgb="FFA8A29E"/>
      </font>
      <fill>
        <patternFill>
          <bgColor rgb="FFF5F5F4"/>
        </patternFill>
      </fill>
    </dxf>
    <dxf>
      <fill>
        <patternFill patternType="solid">
          <fgColor rgb="FFEEFBF3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A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701A75"/>
          <bgColor rgb="FF000000"/>
        </patternFill>
      </fill>
    </dxf>
    <dxf>
      <fill>
        <patternFill patternType="solid">
          <fgColor rgb="FF78350F"/>
          <bgColor rgb="FF000000"/>
        </patternFill>
      </fill>
    </dxf>
    <dxf>
      <font>
        <b val="1"/>
        <color rgb="FF14532D"/>
      </font>
      <fill>
        <patternFill>
          <bgColor rgb="FFDCFCE7"/>
        </patternFill>
      </fill>
    </dxf>
    <dxf>
      <font>
        <b val="1"/>
        <color rgb="FF78350F"/>
      </font>
      <fill>
        <patternFill>
          <bgColor rgb="FFFEF3C7"/>
        </patternFill>
      </fill>
    </dxf>
    <dxf>
      <font>
        <b val="1"/>
        <color rgb="FF1E3A8A"/>
      </font>
      <fill>
        <patternFill>
          <bgColor rgb="FFDBEAFE"/>
        </patternFill>
      </fill>
    </dxf>
    <dxf>
      <font>
        <b val="1"/>
        <color rgb="FF701A75"/>
      </font>
      <fill>
        <patternFill>
          <bgColor rgb="FFFAE8FF"/>
        </patternFill>
      </fill>
    </dxf>
    <dxf>
      <font>
        <b val="1"/>
        <color rgb="FF374151"/>
      </font>
      <fill>
        <patternFill>
          <bgColor rgb="FFF3F4F6"/>
        </patternFill>
      </fill>
    </dxf>
    <dxf>
      <font>
        <strike val="1"/>
        <color rgb="FFA8A29E"/>
      </font>
    </dxf>
  </dxfs>
  <colors>
    <indexedColors>
      <rgbColor rgb="FF000000"/>
      <rgbColor rgb="FFFFFFFF"/>
      <rgbColor rgb="FFFF0000"/>
      <rgbColor rgb="FF00FF00"/>
      <rgbColor rgb="FF0000FF"/>
      <rgbColor rgb="FFEEFBF3"/>
      <rgbColor rgb="FFFF00FF"/>
      <rgbColor rgb="FF00FFFF"/>
      <rgbColor rgb="FFB91C1C"/>
      <rgbColor rgb="FF15803D"/>
      <rgbColor rgb="FF000080"/>
      <rgbColor rgb="FFA3835F"/>
      <rgbColor rgb="FF800080"/>
      <rgbColor rgb="FF008080"/>
      <rgbColor rgb="FFA8A29E"/>
      <rgbColor rgb="FF78716C"/>
      <rgbColor rgb="FF7189C4"/>
      <rgbColor rgb="FFA21CAF"/>
      <rgbColor rgb="FFFFF8DB"/>
      <rgbColor rgb="FFDCFCE7"/>
      <rgbColor rgb="FF701A75"/>
      <rgbColor rgb="FFF3F4F6"/>
      <rgbColor rgb="FF1D4ED8"/>
      <rgbColor rgb="FFD6D3D1"/>
      <rgbColor rgb="FF000080"/>
      <rgbColor rgb="FFFF00FF"/>
      <rgbColor rgb="FFF5F5F4"/>
      <rgbColor rgb="FF00FFFF"/>
      <rgbColor rgb="FF800080"/>
      <rgbColor rgb="FF800000"/>
      <rgbColor rgb="FF008080"/>
      <rgbColor rgb="FF0000FF"/>
      <rgbColor rgb="FF00CCFF"/>
      <rgbColor rgb="FFE7F5EC"/>
      <rgbColor rgb="FFECFDF3"/>
      <rgbColor rgb="FFFEF3C7"/>
      <rgbColor rgb="FFDBEAFE"/>
      <rgbColor rgb="FFE7E5E4"/>
      <rgbColor rgb="FFA77AAB"/>
      <rgbColor rgb="FFFEE2E2"/>
      <rgbColor rgb="FF2563EB"/>
      <rgbColor rgb="FF33CCCC"/>
      <rgbColor rgb="FFFAFAF9"/>
      <rgbColor rgb="FFFAE8FF"/>
      <rgbColor rgb="FFFF9900"/>
      <rgbColor rgb="FFB45309"/>
      <rgbColor rgb="FF6B7280"/>
      <rgbColor rgb="FF9CA3AF"/>
      <rgbColor rgb="FF57534E"/>
      <rgbColor rgb="FF6B8F78"/>
      <rgbColor rgb="FF14532D"/>
      <rgbColor rgb="FF1C1917"/>
      <rgbColor rgb="FF92400E"/>
      <rgbColor rgb="FF78350F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true"/>
  </sheetPr>
  <dimension ref="B2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6"/>
    <col collapsed="false" customWidth="true" hidden="false" outlineLevel="0" max="4" min="4" style="0" width="90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/>
      <c r="D6" s="4"/>
    </row>
    <row r="7" customFormat="false" ht="31.5" hidden="false" customHeight="true" outlineLevel="0" collapsed="false">
      <c r="C7" s="5" t="s">
        <v>3</v>
      </c>
      <c r="D7" s="6" t="s">
        <v>4</v>
      </c>
    </row>
    <row r="8" customFormat="false" ht="18" hidden="false" customHeight="true" outlineLevel="0" collapsed="false">
      <c r="C8" s="5" t="s">
        <v>5</v>
      </c>
      <c r="D8" s="6" t="s">
        <v>6</v>
      </c>
    </row>
    <row r="9" customFormat="false" ht="31.5" hidden="false" customHeight="true" outlineLevel="0" collapsed="false">
      <c r="C9" s="5" t="s">
        <v>7</v>
      </c>
      <c r="D9" s="6" t="s">
        <v>8</v>
      </c>
    </row>
    <row r="10" customFormat="false" ht="31.5" hidden="false" customHeight="true" outlineLevel="0" collapsed="false">
      <c r="C10" s="5" t="s">
        <v>9</v>
      </c>
      <c r="D10" s="6" t="s">
        <v>10</v>
      </c>
    </row>
    <row r="12" customFormat="false" ht="15" hidden="false" customHeight="false" outlineLevel="0" collapsed="false">
      <c r="B12" s="3" t="s">
        <v>11</v>
      </c>
      <c r="C12" s="4"/>
      <c r="D12" s="4"/>
    </row>
    <row r="13" customFormat="false" ht="31.5" hidden="false" customHeight="true" outlineLevel="0" collapsed="false">
      <c r="C13" s="5" t="s">
        <v>12</v>
      </c>
      <c r="D13" s="6" t="s">
        <v>13</v>
      </c>
    </row>
    <row r="14" customFormat="false" ht="18" hidden="false" customHeight="true" outlineLevel="0" collapsed="false">
      <c r="C14" s="5" t="s">
        <v>14</v>
      </c>
      <c r="D14" s="6" t="s">
        <v>15</v>
      </c>
    </row>
    <row r="15" customFormat="false" ht="18" hidden="false" customHeight="true" outlineLevel="0" collapsed="false">
      <c r="C15" s="5" t="s">
        <v>16</v>
      </c>
      <c r="D15" s="6" t="s">
        <v>17</v>
      </c>
    </row>
    <row r="16" customFormat="false" ht="18" hidden="false" customHeight="true" outlineLevel="0" collapsed="false">
      <c r="C16" s="5" t="s">
        <v>18</v>
      </c>
      <c r="D16" s="6" t="s">
        <v>19</v>
      </c>
    </row>
    <row r="17" customFormat="false" ht="18" hidden="false" customHeight="true" outlineLevel="0" collapsed="false">
      <c r="C17" s="5" t="s">
        <v>20</v>
      </c>
      <c r="D17" s="6" t="s">
        <v>21</v>
      </c>
    </row>
    <row r="18" customFormat="false" ht="18" hidden="false" customHeight="true" outlineLevel="0" collapsed="false">
      <c r="C18" s="5" t="s">
        <v>22</v>
      </c>
      <c r="D18" s="6" t="s">
        <v>23</v>
      </c>
    </row>
    <row r="20" customFormat="false" ht="15" hidden="false" customHeight="false" outlineLevel="0" collapsed="false">
      <c r="B20" s="3" t="s">
        <v>24</v>
      </c>
      <c r="C20" s="4"/>
      <c r="D20" s="4"/>
    </row>
    <row r="21" customFormat="false" ht="31.5" hidden="false" customHeight="true" outlineLevel="0" collapsed="false">
      <c r="C21" s="5" t="s">
        <v>25</v>
      </c>
      <c r="D21" s="6" t="s">
        <v>26</v>
      </c>
    </row>
    <row r="23" customFormat="false" ht="15" hidden="false" customHeight="false" outlineLevel="0" collapsed="false">
      <c r="B23" s="3" t="s">
        <v>27</v>
      </c>
      <c r="C23" s="4"/>
      <c r="D23" s="4"/>
    </row>
    <row r="24" customFormat="false" ht="15" hidden="false" customHeight="false" outlineLevel="0" collapsed="false">
      <c r="C24" s="7" t="s">
        <v>28</v>
      </c>
      <c r="D24" s="8" t="s">
        <v>29</v>
      </c>
    </row>
    <row r="25" customFormat="false" ht="15" hidden="false" customHeight="false" outlineLevel="0" collapsed="false">
      <c r="C25" s="9" t="s">
        <v>30</v>
      </c>
      <c r="D25" s="8" t="s">
        <v>31</v>
      </c>
    </row>
    <row r="26" customFormat="false" ht="15" hidden="false" customHeight="false" outlineLevel="0" collapsed="false">
      <c r="C26" s="10" t="s">
        <v>32</v>
      </c>
      <c r="D26" s="8" t="s">
        <v>33</v>
      </c>
    </row>
    <row r="27" customFormat="false" ht="15" hidden="false" customHeight="false" outlineLevel="0" collapsed="false">
      <c r="C27" s="11" t="s">
        <v>34</v>
      </c>
      <c r="D27" s="8" t="s">
        <v>35</v>
      </c>
    </row>
    <row r="28" customFormat="false" ht="15" hidden="false" customHeight="false" outlineLevel="0" collapsed="false">
      <c r="C28" s="12" t="s">
        <v>36</v>
      </c>
      <c r="D28" s="8" t="s">
        <v>37</v>
      </c>
    </row>
    <row r="29" customFormat="false" ht="15" hidden="false" customHeight="false" outlineLevel="0" collapsed="false">
      <c r="C29" s="13" t="s">
        <v>38</v>
      </c>
      <c r="D29" s="8" t="s">
        <v>39</v>
      </c>
    </row>
    <row r="30" customFormat="false" ht="15" hidden="false" customHeight="false" outlineLevel="0" collapsed="false">
      <c r="C30" s="14" t="s">
        <v>40</v>
      </c>
      <c r="D30" s="8" t="s">
        <v>41</v>
      </c>
    </row>
    <row r="32" customFormat="false" ht="15" hidden="false" customHeight="false" outlineLevel="0" collapsed="false">
      <c r="B32" s="3" t="s">
        <v>42</v>
      </c>
      <c r="C32" s="4"/>
      <c r="D32" s="4"/>
    </row>
    <row r="33" customFormat="false" ht="18" hidden="false" customHeight="true" outlineLevel="0" collapsed="false">
      <c r="C33" s="5" t="s">
        <v>43</v>
      </c>
      <c r="D33" s="6" t="s">
        <v>44</v>
      </c>
    </row>
    <row r="34" customFormat="false" ht="18" hidden="false" customHeight="true" outlineLevel="0" collapsed="false">
      <c r="C34" s="5" t="s">
        <v>45</v>
      </c>
      <c r="D34" s="6" t="s">
        <v>46</v>
      </c>
    </row>
    <row r="35" customFormat="false" ht="18" hidden="false" customHeight="true" outlineLevel="0" collapsed="false">
      <c r="C35" s="5" t="s">
        <v>47</v>
      </c>
      <c r="D35" s="6" t="s">
        <v>48</v>
      </c>
    </row>
    <row r="36" customFormat="false" ht="18" hidden="false" customHeight="true" outlineLevel="0" collapsed="false">
      <c r="C36" s="5" t="s">
        <v>49</v>
      </c>
      <c r="D36" s="6" t="s">
        <v>50</v>
      </c>
    </row>
    <row r="37" customFormat="false" ht="18" hidden="false" customHeight="true" outlineLevel="0" collapsed="false">
      <c r="C37" s="5" t="s">
        <v>51</v>
      </c>
      <c r="D37" s="6" t="s">
        <v>52</v>
      </c>
    </row>
    <row r="38" customFormat="false" ht="18" hidden="false" customHeight="true" outlineLevel="0" collapsed="false">
      <c r="C38" s="5" t="s">
        <v>53</v>
      </c>
      <c r="D38" s="6" t="s">
        <v>54</v>
      </c>
    </row>
    <row r="39" customFormat="false" ht="18" hidden="false" customHeight="true" outlineLevel="0" collapsed="false">
      <c r="C39" s="5" t="s">
        <v>55</v>
      </c>
      <c r="D39" s="6" t="s">
        <v>56</v>
      </c>
    </row>
    <row r="41" customFormat="false" ht="15" hidden="false" customHeight="false" outlineLevel="0" collapsed="false">
      <c r="B41" s="3" t="s">
        <v>57</v>
      </c>
      <c r="C41" s="4"/>
      <c r="D41" s="4"/>
    </row>
    <row r="42" customFormat="false" ht="18" hidden="false" customHeight="true" outlineLevel="0" collapsed="false">
      <c r="C42" s="5" t="s">
        <v>58</v>
      </c>
      <c r="D42" s="6" t="s">
        <v>59</v>
      </c>
    </row>
    <row r="43" customFormat="false" ht="31.5" hidden="false" customHeight="true" outlineLevel="0" collapsed="false">
      <c r="C43" s="5" t="s">
        <v>60</v>
      </c>
      <c r="D43" s="6" t="s">
        <v>61</v>
      </c>
    </row>
    <row r="44" customFormat="false" ht="18" hidden="false" customHeight="true" outlineLevel="0" collapsed="false">
      <c r="C44" s="5" t="s">
        <v>62</v>
      </c>
      <c r="D44" s="6" t="s">
        <v>63</v>
      </c>
    </row>
    <row r="46" customFormat="false" ht="15" hidden="false" customHeight="false" outlineLevel="0" collapsed="false">
      <c r="B46" s="3" t="s">
        <v>64</v>
      </c>
      <c r="C46" s="4"/>
      <c r="D46" s="4"/>
    </row>
    <row r="47" customFormat="false" ht="45.75" hidden="false" customHeight="true" outlineLevel="0" collapsed="false">
      <c r="C47" s="5" t="s">
        <v>65</v>
      </c>
      <c r="D47" s="6" t="s">
        <v>66</v>
      </c>
    </row>
    <row r="48" customFormat="false" ht="31.5" hidden="false" customHeight="true" outlineLevel="0" collapsed="false">
      <c r="C48" s="5" t="s">
        <v>67</v>
      </c>
      <c r="D48" s="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03D"/>
    <pageSetUpPr fitToPage="true"/>
  </sheetPr>
  <dimension ref="A1:T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true" outlineLevel="0" max="20" min="20" style="0" width="8"/>
  </cols>
  <sheetData>
    <row r="1" customFormat="false" ht="22.05" hidden="false" customHeight="false" outlineLevel="0" collapsed="false">
      <c r="A1" s="15" t="s">
        <v>69</v>
      </c>
    </row>
    <row r="2" customFormat="false" ht="15" hidden="false" customHeight="false" outlineLevel="0" collapsed="false">
      <c r="A2" s="16" t="s">
        <v>70</v>
      </c>
    </row>
    <row r="3" customFormat="false" ht="15" hidden="false" customHeight="false" outlineLevel="0" collapsed="false">
      <c r="A3" s="16" t="s">
        <v>71</v>
      </c>
    </row>
    <row r="4" customFormat="false" ht="15" hidden="false" customHeight="false" outlineLevel="0" collapsed="false">
      <c r="E4" s="17" t="str">
        <f aca="false">Config!$C$6&amp;" · +"&amp;Config!$F$6&amp;"d"</f>
        <v>Aula teórica · +0d</v>
      </c>
      <c r="F4" s="17"/>
      <c r="G4" s="17" t="str">
        <f aca="false">Config!$C$7&amp;" · +"&amp;Config!$F$7&amp;"d"</f>
        <v>1ª Revisão · +1d</v>
      </c>
      <c r="H4" s="17"/>
      <c r="I4" s="17" t="str">
        <f aca="false">Config!$C$8&amp;" · +"&amp;Config!$F$8&amp;"d"</f>
        <v>2ª Revisão · +7d</v>
      </c>
      <c r="J4" s="17"/>
      <c r="K4" s="17" t="str">
        <f aca="false">Config!$C$9&amp;" · +"&amp;Config!$F$9&amp;"d"</f>
        <v>3ª Revisão · +15d</v>
      </c>
      <c r="L4" s="17"/>
      <c r="M4" s="17" t="str">
        <f aca="false">Config!$C$10&amp;" · +"&amp;Config!$F$10&amp;"d"</f>
        <v>4ª Revisão · +30d</v>
      </c>
      <c r="N4" s="17"/>
      <c r="O4" s="17" t="str">
        <f aca="false">Config!$C$11&amp;" · +"&amp;Config!$F$11&amp;"d"</f>
        <v>5ª Revisão · +60d</v>
      </c>
      <c r="P4" s="17"/>
    </row>
    <row r="5" customFormat="false" ht="21.75" hidden="false" customHeight="true" outlineLevel="0" collapsed="false">
      <c r="A5" s="18" t="s">
        <v>72</v>
      </c>
      <c r="B5" s="18" t="s">
        <v>73</v>
      </c>
      <c r="C5" s="18" t="s">
        <v>74</v>
      </c>
      <c r="D5" s="18" t="s">
        <v>75</v>
      </c>
      <c r="E5" s="19" t="s">
        <v>76</v>
      </c>
      <c r="F5" s="19" t="s">
        <v>77</v>
      </c>
      <c r="G5" s="19" t="s">
        <v>76</v>
      </c>
      <c r="H5" s="19" t="s">
        <v>77</v>
      </c>
      <c r="I5" s="19" t="s">
        <v>76</v>
      </c>
      <c r="J5" s="19" t="s">
        <v>77</v>
      </c>
      <c r="K5" s="19" t="s">
        <v>76</v>
      </c>
      <c r="L5" s="19" t="s">
        <v>77</v>
      </c>
      <c r="M5" s="19" t="s">
        <v>76</v>
      </c>
      <c r="N5" s="19" t="s">
        <v>77</v>
      </c>
      <c r="O5" s="19" t="s">
        <v>76</v>
      </c>
      <c r="P5" s="19" t="s">
        <v>77</v>
      </c>
      <c r="Q5" s="19" t="s">
        <v>78</v>
      </c>
      <c r="R5" s="19" t="s">
        <v>79</v>
      </c>
      <c r="S5" s="19" t="s">
        <v>80</v>
      </c>
      <c r="T5" s="18" t="s">
        <v>81</v>
      </c>
    </row>
    <row r="6" customFormat="false" ht="15" hidden="false" customHeight="false" outlineLevel="0" collapsed="false">
      <c r="A6" s="20" t="n">
        <v>1</v>
      </c>
      <c r="B6" s="21" t="s">
        <v>82</v>
      </c>
      <c r="C6" s="21" t="s">
        <v>83</v>
      </c>
      <c r="D6" s="22" t="n">
        <v>46292</v>
      </c>
      <c r="E6" s="23" t="n">
        <f aca="false">IF(OR(NOT(ISNUMBER($D6)),Config!$G$6&lt;&gt;"Sim"),"",$D6+Config!$F$6+IF(AND(Config!$F$6&gt;0,WEEKDAY($D6+Config!$F$6)=Config!$E$24),1,0))</f>
        <v>46292</v>
      </c>
      <c r="F6" s="24" t="s">
        <v>84</v>
      </c>
      <c r="G6" s="23" t="n">
        <f aca="false">IF(OR(NOT(ISNUMBER($D6)),Config!$G$7&lt;&gt;"Sim"),"",$D6+Config!$F$7+IF(AND(Config!$F$7&gt;0,WEEKDAY($D6+Config!$F$7)=Config!$E$24),1,0))</f>
        <v>46293</v>
      </c>
      <c r="H6" s="24" t="s">
        <v>84</v>
      </c>
      <c r="I6" s="23" t="n">
        <f aca="false">IF(OR(NOT(ISNUMBER($D6)),Config!$G$8&lt;&gt;"Sim"),"",$D6+Config!$F$8+IF(AND(Config!$F$8&gt;0,WEEKDAY($D6+Config!$F$8)=Config!$E$24),1,0))</f>
        <v>46299</v>
      </c>
      <c r="J6" s="24"/>
      <c r="K6" s="23" t="n">
        <f aca="false">IF(OR(NOT(ISNUMBER($D6)),Config!$G$9&lt;&gt;"Sim"),"",$D6+Config!$F$9+IF(AND(Config!$F$9&gt;0,WEEKDAY($D6+Config!$F$9)=Config!$E$24),1,0))</f>
        <v>46307</v>
      </c>
      <c r="L6" s="24"/>
      <c r="M6" s="23" t="n">
        <f aca="false">IF(OR(NOT(ISNUMBER($D6)),Config!$G$10&lt;&gt;"Sim"),"",$D6+Config!$F$10+IF(AND(Config!$F$10&gt;0,WEEKDAY($D6+Config!$F$10)=Config!$E$24),1,0))</f>
        <v>46322</v>
      </c>
      <c r="N6" s="24"/>
      <c r="O6" s="23" t="n">
        <f aca="false">IF(OR(NOT(ISNUMBER($D6)),Config!$G$11&lt;&gt;"Sim"),"",$D6+Config!$F$11+IF(AND(Config!$F$11&gt;0,WEEKDAY($D6+Config!$F$11)=Config!$E$24),1,0))</f>
        <v>46352</v>
      </c>
      <c r="P6" s="24"/>
      <c r="Q6" s="25" t="n">
        <f aca="false">IF(COUNT(E6,G6,I6,K6,M6,O6)=0,"",((E6&lt;&gt;"")*(F6&lt;&gt;"")+(G6&lt;&gt;"")*(H6&lt;&gt;"")+(I6&lt;&gt;"")*(J6&lt;&gt;"")+(K6&lt;&gt;"")*(L6&lt;&gt;"")+(M6&lt;&gt;"")*(N6&lt;&gt;"")+(O6&lt;&gt;"")*(P6&lt;&gt;""))/COUNT(E6,G6,I6,K6,M6,O6))</f>
        <v>0.333333333333333</v>
      </c>
      <c r="R6" s="26" t="n">
        <f aca="false">IF(T6="","",IF(T6=99999,"",T6))</f>
        <v>46299</v>
      </c>
      <c r="S6" s="27" t="str">
        <f aca="true">IF(T6="","",IF(T6=99999,"Concluído",IF(T6&lt;TODAY(),"Atrasado",IF(T6=TODAY(),"Hoje","Em dia"))))</f>
        <v>Atrasado</v>
      </c>
      <c r="T6" s="28" t="n">
        <f aca="false">IF(COUNT(E6,G6,I6,K6,M6,O6)=0,"",MIN(IF(AND(E6&lt;&gt;"",F6=""),E6,99999),IF(AND(G6&lt;&gt;"",H6=""),G6,99999),IF(AND(I6&lt;&gt;"",J6=""),I6,99999),IF(AND(K6&lt;&gt;"",L6=""),K6,99999),IF(AND(M6&lt;&gt;"",N6=""),M6,99999),IF(AND(O6&lt;&gt;"",P6=""),O6,99999)))</f>
        <v>46299</v>
      </c>
    </row>
    <row r="7" customFormat="false" ht="15" hidden="false" customHeight="false" outlineLevel="0" collapsed="false">
      <c r="A7" s="20" t="n">
        <v>2</v>
      </c>
      <c r="B7" s="21" t="s">
        <v>85</v>
      </c>
      <c r="C7" s="21" t="s">
        <v>83</v>
      </c>
      <c r="D7" s="22" t="n">
        <v>46292</v>
      </c>
      <c r="E7" s="23" t="n">
        <f aca="false">IF(OR(NOT(ISNUMBER($D7)),Config!$G$6&lt;&gt;"Sim"),"",$D7+Config!$F$6+IF(AND(Config!$F$6&gt;0,WEEKDAY($D7+Config!$F$6)=Config!$E$24),1,0))</f>
        <v>46292</v>
      </c>
      <c r="F7" s="24" t="s">
        <v>84</v>
      </c>
      <c r="G7" s="23" t="n">
        <f aca="false">IF(OR(NOT(ISNUMBER($D7)),Config!$G$7&lt;&gt;"Sim"),"",$D7+Config!$F$7+IF(AND(Config!$F$7&gt;0,WEEKDAY($D7+Config!$F$7)=Config!$E$24),1,0))</f>
        <v>46293</v>
      </c>
      <c r="H7" s="24" t="s">
        <v>84</v>
      </c>
      <c r="I7" s="23" t="n">
        <f aca="false">IF(OR(NOT(ISNUMBER($D7)),Config!$G$8&lt;&gt;"Sim"),"",$D7+Config!$F$8+IF(AND(Config!$F$8&gt;0,WEEKDAY($D7+Config!$F$8)=Config!$E$24),1,0))</f>
        <v>46299</v>
      </c>
      <c r="J7" s="24"/>
      <c r="K7" s="23" t="n">
        <f aca="false">IF(OR(NOT(ISNUMBER($D7)),Config!$G$9&lt;&gt;"Sim"),"",$D7+Config!$F$9+IF(AND(Config!$F$9&gt;0,WEEKDAY($D7+Config!$F$9)=Config!$E$24),1,0))</f>
        <v>46307</v>
      </c>
      <c r="L7" s="24"/>
      <c r="M7" s="23" t="n">
        <f aca="false">IF(OR(NOT(ISNUMBER($D7)),Config!$G$10&lt;&gt;"Sim"),"",$D7+Config!$F$10+IF(AND(Config!$F$10&gt;0,WEEKDAY($D7+Config!$F$10)=Config!$E$24),1,0))</f>
        <v>46322</v>
      </c>
      <c r="N7" s="24"/>
      <c r="O7" s="23" t="n">
        <f aca="false">IF(OR(NOT(ISNUMBER($D7)),Config!$G$11&lt;&gt;"Sim"),"",$D7+Config!$F$11+IF(AND(Config!$F$11&gt;0,WEEKDAY($D7+Config!$F$11)=Config!$E$24),1,0))</f>
        <v>46352</v>
      </c>
      <c r="P7" s="24"/>
      <c r="Q7" s="25" t="n">
        <f aca="false">IF(COUNT(E7,G7,I7,K7,M7,O7)=0,"",((E7&lt;&gt;"")*(F7&lt;&gt;"")+(G7&lt;&gt;"")*(H7&lt;&gt;"")+(I7&lt;&gt;"")*(J7&lt;&gt;"")+(K7&lt;&gt;"")*(L7&lt;&gt;"")+(M7&lt;&gt;"")*(N7&lt;&gt;"")+(O7&lt;&gt;"")*(P7&lt;&gt;""))/COUNT(E7,G7,I7,K7,M7,O7))</f>
        <v>0.333333333333333</v>
      </c>
      <c r="R7" s="26" t="n">
        <f aca="false">IF(T7="","",IF(T7=99999,"",T7))</f>
        <v>46299</v>
      </c>
      <c r="S7" s="27" t="str">
        <f aca="true">IF(T7="","",IF(T7=99999,"Concluído",IF(T7&lt;TODAY(),"Atrasado",IF(T7=TODAY(),"Hoje","Em dia"))))</f>
        <v>Atrasado</v>
      </c>
      <c r="T7" s="28" t="n">
        <f aca="false">IF(COUNT(E7,G7,I7,K7,M7,O7)=0,"",MIN(IF(AND(E7&lt;&gt;"",F7=""),E7,99999),IF(AND(G7&lt;&gt;"",H7=""),G7,99999),IF(AND(I7&lt;&gt;"",J7=""),I7,99999),IF(AND(K7&lt;&gt;"",L7=""),K7,99999),IF(AND(M7&lt;&gt;"",N7=""),M7,99999),IF(AND(O7&lt;&gt;"",P7=""),O7,99999)))</f>
        <v>46299</v>
      </c>
    </row>
    <row r="8" customFormat="false" ht="15" hidden="false" customHeight="false" outlineLevel="0" collapsed="false">
      <c r="A8" s="20" t="n">
        <v>3</v>
      </c>
      <c r="B8" s="21" t="s">
        <v>86</v>
      </c>
      <c r="C8" s="21" t="s">
        <v>87</v>
      </c>
      <c r="D8" s="22" t="n">
        <v>46292</v>
      </c>
      <c r="E8" s="23" t="n">
        <f aca="false">IF(OR(NOT(ISNUMBER($D8)),Config!$G$6&lt;&gt;"Sim"),"",$D8+Config!$F$6+IF(AND(Config!$F$6&gt;0,WEEKDAY($D8+Config!$F$6)=Config!$E$24),1,0))</f>
        <v>46292</v>
      </c>
      <c r="F8" s="24" t="s">
        <v>84</v>
      </c>
      <c r="G8" s="23" t="n">
        <f aca="false">IF(OR(NOT(ISNUMBER($D8)),Config!$G$7&lt;&gt;"Sim"),"",$D8+Config!$F$7+IF(AND(Config!$F$7&gt;0,WEEKDAY($D8+Config!$F$7)=Config!$E$24),1,0))</f>
        <v>46293</v>
      </c>
      <c r="H8" s="24" t="s">
        <v>84</v>
      </c>
      <c r="I8" s="23" t="n">
        <f aca="false">IF(OR(NOT(ISNUMBER($D8)),Config!$G$8&lt;&gt;"Sim"),"",$D8+Config!$F$8+IF(AND(Config!$F$8&gt;0,WEEKDAY($D8+Config!$F$8)=Config!$E$24),1,0))</f>
        <v>46299</v>
      </c>
      <c r="J8" s="24"/>
      <c r="K8" s="23" t="n">
        <f aca="false">IF(OR(NOT(ISNUMBER($D8)),Config!$G$9&lt;&gt;"Sim"),"",$D8+Config!$F$9+IF(AND(Config!$F$9&gt;0,WEEKDAY($D8+Config!$F$9)=Config!$E$24),1,0))</f>
        <v>46307</v>
      </c>
      <c r="L8" s="24"/>
      <c r="M8" s="23" t="n">
        <f aca="false">IF(OR(NOT(ISNUMBER($D8)),Config!$G$10&lt;&gt;"Sim"),"",$D8+Config!$F$10+IF(AND(Config!$F$10&gt;0,WEEKDAY($D8+Config!$F$10)=Config!$E$24),1,0))</f>
        <v>46322</v>
      </c>
      <c r="N8" s="24"/>
      <c r="O8" s="23" t="n">
        <f aca="false">IF(OR(NOT(ISNUMBER($D8)),Config!$G$11&lt;&gt;"Sim"),"",$D8+Config!$F$11+IF(AND(Config!$F$11&gt;0,WEEKDAY($D8+Config!$F$11)=Config!$E$24),1,0))</f>
        <v>46352</v>
      </c>
      <c r="P8" s="24"/>
      <c r="Q8" s="25" t="n">
        <f aca="false">IF(COUNT(E8,G8,I8,K8,M8,O8)=0,"",((E8&lt;&gt;"")*(F8&lt;&gt;"")+(G8&lt;&gt;"")*(H8&lt;&gt;"")+(I8&lt;&gt;"")*(J8&lt;&gt;"")+(K8&lt;&gt;"")*(L8&lt;&gt;"")+(M8&lt;&gt;"")*(N8&lt;&gt;"")+(O8&lt;&gt;"")*(P8&lt;&gt;""))/COUNT(E8,G8,I8,K8,M8,O8))</f>
        <v>0.333333333333333</v>
      </c>
      <c r="R8" s="26" t="n">
        <f aca="false">IF(T8="","",IF(T8=99999,"",T8))</f>
        <v>46299</v>
      </c>
      <c r="S8" s="27" t="str">
        <f aca="true">IF(T8="","",IF(T8=99999,"Concluído",IF(T8&lt;TODAY(),"Atrasado",IF(T8=TODAY(),"Hoje","Em dia"))))</f>
        <v>Atrasado</v>
      </c>
      <c r="T8" s="28" t="n">
        <f aca="false">IF(COUNT(E8,G8,I8,K8,M8,O8)=0,"",MIN(IF(AND(E8&lt;&gt;"",F8=""),E8,99999),IF(AND(G8&lt;&gt;"",H8=""),G8,99999),IF(AND(I8&lt;&gt;"",J8=""),I8,99999),IF(AND(K8&lt;&gt;"",L8=""),K8,99999),IF(AND(M8&lt;&gt;"",N8=""),M8,99999),IF(AND(O8&lt;&gt;"",P8=""),O8,99999)))</f>
        <v>46299</v>
      </c>
    </row>
    <row r="9" customFormat="false" ht="15" hidden="false" customHeight="false" outlineLevel="0" collapsed="false">
      <c r="A9" s="20" t="n">
        <v>4</v>
      </c>
      <c r="B9" s="21" t="s">
        <v>88</v>
      </c>
      <c r="C9" s="21" t="s">
        <v>87</v>
      </c>
      <c r="D9" s="22" t="n">
        <v>46293</v>
      </c>
      <c r="E9" s="23" t="n">
        <f aca="false">IF(OR(NOT(ISNUMBER($D9)),Config!$G$6&lt;&gt;"Sim"),"",$D9+Config!$F$6+IF(AND(Config!$F$6&gt;0,WEEKDAY($D9+Config!$F$6)=Config!$E$24),1,0))</f>
        <v>46293</v>
      </c>
      <c r="F9" s="24" t="s">
        <v>84</v>
      </c>
      <c r="G9" s="23" t="n">
        <f aca="false">IF(OR(NOT(ISNUMBER($D9)),Config!$G$7&lt;&gt;"Sim"),"",$D9+Config!$F$7+IF(AND(Config!$F$7&gt;0,WEEKDAY($D9+Config!$F$7)=Config!$E$24),1,0))</f>
        <v>46294</v>
      </c>
      <c r="H9" s="24" t="s">
        <v>84</v>
      </c>
      <c r="I9" s="23" t="n">
        <f aca="false">IF(OR(NOT(ISNUMBER($D9)),Config!$G$8&lt;&gt;"Sim"),"",$D9+Config!$F$8+IF(AND(Config!$F$8&gt;0,WEEKDAY($D9+Config!$F$8)=Config!$E$24),1,0))</f>
        <v>46300</v>
      </c>
      <c r="J9" s="24"/>
      <c r="K9" s="23" t="n">
        <f aca="false">IF(OR(NOT(ISNUMBER($D9)),Config!$G$9&lt;&gt;"Sim"),"",$D9+Config!$F$9+IF(AND(Config!$F$9&gt;0,WEEKDAY($D9+Config!$F$9)=Config!$E$24),1,0))</f>
        <v>46308</v>
      </c>
      <c r="L9" s="24"/>
      <c r="M9" s="23" t="n">
        <f aca="false">IF(OR(NOT(ISNUMBER($D9)),Config!$G$10&lt;&gt;"Sim"),"",$D9+Config!$F$10+IF(AND(Config!$F$10&gt;0,WEEKDAY($D9+Config!$F$10)=Config!$E$24),1,0))</f>
        <v>46323</v>
      </c>
      <c r="N9" s="24"/>
      <c r="O9" s="23" t="n">
        <f aca="false">IF(OR(NOT(ISNUMBER($D9)),Config!$G$11&lt;&gt;"Sim"),"",$D9+Config!$F$11+IF(AND(Config!$F$11&gt;0,WEEKDAY($D9+Config!$F$11)=Config!$E$24),1,0))</f>
        <v>46353</v>
      </c>
      <c r="P9" s="24"/>
      <c r="Q9" s="25" t="n">
        <f aca="false">IF(COUNT(E9,G9,I9,K9,M9,O9)=0,"",((E9&lt;&gt;"")*(F9&lt;&gt;"")+(G9&lt;&gt;"")*(H9&lt;&gt;"")+(I9&lt;&gt;"")*(J9&lt;&gt;"")+(K9&lt;&gt;"")*(L9&lt;&gt;"")+(M9&lt;&gt;"")*(N9&lt;&gt;"")+(O9&lt;&gt;"")*(P9&lt;&gt;""))/COUNT(E9,G9,I9,K9,M9,O9))</f>
        <v>0.333333333333333</v>
      </c>
      <c r="R9" s="26" t="n">
        <f aca="false">IF(T9="","",IF(T9=99999,"",T9))</f>
        <v>46300</v>
      </c>
      <c r="S9" s="27" t="str">
        <f aca="true">IF(T9="","",IF(T9=99999,"Concluído",IF(T9&lt;TODAY(),"Atrasado",IF(T9=TODAY(),"Hoje","Em dia"))))</f>
        <v>Atrasado</v>
      </c>
      <c r="T9" s="28" t="n">
        <f aca="false">IF(COUNT(E9,G9,I9,K9,M9,O9)=0,"",MIN(IF(AND(E9&lt;&gt;"",F9=""),E9,99999),IF(AND(G9&lt;&gt;"",H9=""),G9,99999),IF(AND(I9&lt;&gt;"",J9=""),I9,99999),IF(AND(K9&lt;&gt;"",L9=""),K9,99999),IF(AND(M9&lt;&gt;"",N9=""),M9,99999),IF(AND(O9&lt;&gt;"",P9=""),O9,99999)))</f>
        <v>46300</v>
      </c>
    </row>
    <row r="10" customFormat="false" ht="15" hidden="false" customHeight="false" outlineLevel="0" collapsed="false">
      <c r="A10" s="20" t="n">
        <v>5</v>
      </c>
      <c r="B10" s="21" t="s">
        <v>89</v>
      </c>
      <c r="C10" s="21" t="s">
        <v>87</v>
      </c>
      <c r="D10" s="22" t="n">
        <v>46293</v>
      </c>
      <c r="E10" s="23" t="n">
        <f aca="false">IF(OR(NOT(ISNUMBER($D10)),Config!$G$6&lt;&gt;"Sim"),"",$D10+Config!$F$6+IF(AND(Config!$F$6&gt;0,WEEKDAY($D10+Config!$F$6)=Config!$E$24),1,0))</f>
        <v>46293</v>
      </c>
      <c r="F10" s="24"/>
      <c r="G10" s="23" t="n">
        <f aca="false">IF(OR(NOT(ISNUMBER($D10)),Config!$G$7&lt;&gt;"Sim"),"",$D10+Config!$F$7+IF(AND(Config!$F$7&gt;0,WEEKDAY($D10+Config!$F$7)=Config!$E$24),1,0))</f>
        <v>46294</v>
      </c>
      <c r="H10" s="24"/>
      <c r="I10" s="23" t="n">
        <f aca="false">IF(OR(NOT(ISNUMBER($D10)),Config!$G$8&lt;&gt;"Sim"),"",$D10+Config!$F$8+IF(AND(Config!$F$8&gt;0,WEEKDAY($D10+Config!$F$8)=Config!$E$24),1,0))</f>
        <v>46300</v>
      </c>
      <c r="J10" s="24"/>
      <c r="K10" s="23" t="n">
        <f aca="false">IF(OR(NOT(ISNUMBER($D10)),Config!$G$9&lt;&gt;"Sim"),"",$D10+Config!$F$9+IF(AND(Config!$F$9&gt;0,WEEKDAY($D10+Config!$F$9)=Config!$E$24),1,0))</f>
        <v>46308</v>
      </c>
      <c r="L10" s="24"/>
      <c r="M10" s="23" t="n">
        <f aca="false">IF(OR(NOT(ISNUMBER($D10)),Config!$G$10&lt;&gt;"Sim"),"",$D10+Config!$F$10+IF(AND(Config!$F$10&gt;0,WEEKDAY($D10+Config!$F$10)=Config!$E$24),1,0))</f>
        <v>46323</v>
      </c>
      <c r="N10" s="24"/>
      <c r="O10" s="23" t="n">
        <f aca="false">IF(OR(NOT(ISNUMBER($D10)),Config!$G$11&lt;&gt;"Sim"),"",$D10+Config!$F$11+IF(AND(Config!$F$11&gt;0,WEEKDAY($D10+Config!$F$11)=Config!$E$24),1,0))</f>
        <v>46353</v>
      </c>
      <c r="P10" s="24"/>
      <c r="Q10" s="25" t="n">
        <f aca="false">IF(COUNT(E10,G10,I10,K10,M10,O10)=0,"",((E10&lt;&gt;"")*(F10&lt;&gt;"")+(G10&lt;&gt;"")*(H10&lt;&gt;"")+(I10&lt;&gt;"")*(J10&lt;&gt;"")+(K10&lt;&gt;"")*(L10&lt;&gt;"")+(M10&lt;&gt;"")*(N10&lt;&gt;"")+(O10&lt;&gt;"")*(P10&lt;&gt;""))/COUNT(E10,G10,I10,K10,M10,O10))</f>
        <v>0</v>
      </c>
      <c r="R10" s="26" t="n">
        <f aca="false">IF(T10="","",IF(T10=99999,"",T10))</f>
        <v>46293</v>
      </c>
      <c r="S10" s="27" t="str">
        <f aca="true">IF(T10="","",IF(T10=99999,"Concluído",IF(T10&lt;TODAY(),"Atrasado",IF(T10=TODAY(),"Hoje","Em dia"))))</f>
        <v>Atrasado</v>
      </c>
      <c r="T10" s="29" t="n">
        <f aca="false">IF(COUNT(E10,G10,I10,K10,M10,O10)=0,"",MIN(IF(AND(E10&lt;&gt;"",F10=""),E10,99999),IF(AND(G10&lt;&gt;"",H10=""),G10,99999),IF(AND(I10&lt;&gt;"",J10=""),I10,99999),IF(AND(K10&lt;&gt;"",L10=""),K10,99999),IF(AND(M10&lt;&gt;"",N10=""),M10,99999),IF(AND(O10&lt;&gt;"",P10=""),O10,99999)))</f>
        <v>46293</v>
      </c>
    </row>
    <row r="11" customFormat="false" ht="15" hidden="false" customHeight="false" outlineLevel="0" collapsed="false">
      <c r="A11" s="20" t="n">
        <v>6</v>
      </c>
      <c r="B11" s="21" t="s">
        <v>90</v>
      </c>
      <c r="C11" s="21" t="s">
        <v>87</v>
      </c>
      <c r="D11" s="22" t="n">
        <v>46293</v>
      </c>
      <c r="E11" s="23" t="n">
        <f aca="false">IF(OR(NOT(ISNUMBER($D11)),Config!$G$6&lt;&gt;"Sim"),"",$D11+Config!$F$6+IF(AND(Config!$F$6&gt;0,WEEKDAY($D11+Config!$F$6)=Config!$E$24),1,0))</f>
        <v>46293</v>
      </c>
      <c r="F11" s="24"/>
      <c r="G11" s="23" t="n">
        <f aca="false">IF(OR(NOT(ISNUMBER($D11)),Config!$G$7&lt;&gt;"Sim"),"",$D11+Config!$F$7+IF(AND(Config!$F$7&gt;0,WEEKDAY($D11+Config!$F$7)=Config!$E$24),1,0))</f>
        <v>46294</v>
      </c>
      <c r="H11" s="24"/>
      <c r="I11" s="23" t="n">
        <f aca="false">IF(OR(NOT(ISNUMBER($D11)),Config!$G$8&lt;&gt;"Sim"),"",$D11+Config!$F$8+IF(AND(Config!$F$8&gt;0,WEEKDAY($D11+Config!$F$8)=Config!$E$24),1,0))</f>
        <v>46300</v>
      </c>
      <c r="J11" s="24"/>
      <c r="K11" s="23" t="n">
        <f aca="false">IF(OR(NOT(ISNUMBER($D11)),Config!$G$9&lt;&gt;"Sim"),"",$D11+Config!$F$9+IF(AND(Config!$F$9&gt;0,WEEKDAY($D11+Config!$F$9)=Config!$E$24),1,0))</f>
        <v>46308</v>
      </c>
      <c r="L11" s="24"/>
      <c r="M11" s="23" t="n">
        <f aca="false">IF(OR(NOT(ISNUMBER($D11)),Config!$G$10&lt;&gt;"Sim"),"",$D11+Config!$F$10+IF(AND(Config!$F$10&gt;0,WEEKDAY($D11+Config!$F$10)=Config!$E$24),1,0))</f>
        <v>46323</v>
      </c>
      <c r="N11" s="24"/>
      <c r="O11" s="23" t="n">
        <f aca="false">IF(OR(NOT(ISNUMBER($D11)),Config!$G$11&lt;&gt;"Sim"),"",$D11+Config!$F$11+IF(AND(Config!$F$11&gt;0,WEEKDAY($D11+Config!$F$11)=Config!$E$24),1,0))</f>
        <v>46353</v>
      </c>
      <c r="P11" s="24"/>
      <c r="Q11" s="25" t="n">
        <f aca="false">IF(COUNT(E11,G11,I11,K11,M11,O11)=0,"",((E11&lt;&gt;"")*(F11&lt;&gt;"")+(G11&lt;&gt;"")*(H11&lt;&gt;"")+(I11&lt;&gt;"")*(J11&lt;&gt;"")+(K11&lt;&gt;"")*(L11&lt;&gt;"")+(M11&lt;&gt;"")*(N11&lt;&gt;"")+(O11&lt;&gt;"")*(P11&lt;&gt;""))/COUNT(E11,G11,I11,K11,M11,O11))</f>
        <v>0</v>
      </c>
      <c r="R11" s="26" t="n">
        <f aca="false">IF(T11="","",IF(T11=99999,"",T11))</f>
        <v>46293</v>
      </c>
      <c r="S11" s="27" t="str">
        <f aca="true">IF(T11="","",IF(T11=99999,"Concluído",IF(T11&lt;TODAY(),"Atrasado",IF(T11=TODAY(),"Hoje","Em dia"))))</f>
        <v>Atrasado</v>
      </c>
      <c r="T11" s="29" t="n">
        <f aca="false">IF(COUNT(E11,G11,I11,K11,M11,O11)=0,"",MIN(IF(AND(E11&lt;&gt;"",F11=""),E11,99999),IF(AND(G11&lt;&gt;"",H11=""),G11,99999),IF(AND(I11&lt;&gt;"",J11=""),I11,99999),IF(AND(K11&lt;&gt;"",L11=""),K11,99999),IF(AND(M11&lt;&gt;"",N11=""),M11,99999),IF(AND(O11&lt;&gt;"",P11=""),O11,99999)))</f>
        <v>46293</v>
      </c>
    </row>
    <row r="12" customFormat="false" ht="15" hidden="false" customHeight="false" outlineLevel="0" collapsed="false">
      <c r="A12" s="20" t="n">
        <v>7</v>
      </c>
      <c r="B12" s="21" t="s">
        <v>91</v>
      </c>
      <c r="C12" s="21" t="s">
        <v>87</v>
      </c>
      <c r="D12" s="22" t="n">
        <v>46297</v>
      </c>
      <c r="E12" s="23" t="n">
        <f aca="false">IF(OR(NOT(ISNUMBER($D12)),Config!$G$6&lt;&gt;"Sim"),"",$D12+Config!$F$6+IF(AND(Config!$F$6&gt;0,WEEKDAY($D12+Config!$F$6)=Config!$E$24),1,0))</f>
        <v>46297</v>
      </c>
      <c r="F12" s="24" t="s">
        <v>84</v>
      </c>
      <c r="G12" s="23" t="n">
        <f aca="false">IF(OR(NOT(ISNUMBER($D12)),Config!$G$7&lt;&gt;"Sim"),"",$D12+Config!$F$7+IF(AND(Config!$F$7&gt;0,WEEKDAY($D12+Config!$F$7)=Config!$E$24),1,0))</f>
        <v>46298</v>
      </c>
      <c r="H12" s="24"/>
      <c r="I12" s="23" t="n">
        <f aca="false">IF(OR(NOT(ISNUMBER($D12)),Config!$G$8&lt;&gt;"Sim"),"",$D12+Config!$F$8+IF(AND(Config!$F$8&gt;0,WEEKDAY($D12+Config!$F$8)=Config!$E$24),1,0))</f>
        <v>46304</v>
      </c>
      <c r="J12" s="24"/>
      <c r="K12" s="23" t="n">
        <f aca="false">IF(OR(NOT(ISNUMBER($D12)),Config!$G$9&lt;&gt;"Sim"),"",$D12+Config!$F$9+IF(AND(Config!$F$9&gt;0,WEEKDAY($D12+Config!$F$9)=Config!$E$24),1,0))</f>
        <v>46312</v>
      </c>
      <c r="L12" s="24"/>
      <c r="M12" s="23" t="n">
        <f aca="false">IF(OR(NOT(ISNUMBER($D12)),Config!$G$10&lt;&gt;"Sim"),"",$D12+Config!$F$10+IF(AND(Config!$F$10&gt;0,WEEKDAY($D12+Config!$F$10)=Config!$E$24),1,0))</f>
        <v>46327</v>
      </c>
      <c r="N12" s="24"/>
      <c r="O12" s="23" t="n">
        <f aca="false">IF(OR(NOT(ISNUMBER($D12)),Config!$G$11&lt;&gt;"Sim"),"",$D12+Config!$F$11+IF(AND(Config!$F$11&gt;0,WEEKDAY($D12+Config!$F$11)=Config!$E$24),1,0))</f>
        <v>46357</v>
      </c>
      <c r="P12" s="24"/>
      <c r="Q12" s="25" t="n">
        <f aca="false">IF(COUNT(E12,G12,I12,K12,M12,O12)=0,"",((E12&lt;&gt;"")*(F12&lt;&gt;"")+(G12&lt;&gt;"")*(H12&lt;&gt;"")+(I12&lt;&gt;"")*(J12&lt;&gt;"")+(K12&lt;&gt;"")*(L12&lt;&gt;"")+(M12&lt;&gt;"")*(N12&lt;&gt;"")+(O12&lt;&gt;"")*(P12&lt;&gt;""))/COUNT(E12,G12,I12,K12,M12,O12))</f>
        <v>0.166666666666667</v>
      </c>
      <c r="R12" s="26" t="n">
        <f aca="false">IF(T12="","",IF(T12=99999,"",T12))</f>
        <v>46298</v>
      </c>
      <c r="S12" s="27" t="str">
        <f aca="true">IF(T12="","",IF(T12=99999,"Concluído",IF(T12&lt;TODAY(),"Atrasado",IF(T12=TODAY(),"Hoje","Em dia"))))</f>
        <v>Atrasado</v>
      </c>
      <c r="T12" s="28" t="n">
        <f aca="false">IF(COUNT(E12,G12,I12,K12,M12,O12)=0,"",MIN(IF(AND(E12&lt;&gt;"",F12=""),E12,99999),IF(AND(G12&lt;&gt;"",H12=""),G12,99999),IF(AND(I12&lt;&gt;"",J12=""),I12,99999),IF(AND(K12&lt;&gt;"",L12=""),K12,99999),IF(AND(M12&lt;&gt;"",N12=""),M12,99999),IF(AND(O12&lt;&gt;"",P12=""),O12,99999)))</f>
        <v>46298</v>
      </c>
    </row>
    <row r="13" customFormat="false" ht="15" hidden="false" customHeight="false" outlineLevel="0" collapsed="false">
      <c r="A13" s="20" t="n">
        <v>8</v>
      </c>
      <c r="B13" s="21" t="s">
        <v>92</v>
      </c>
      <c r="C13" s="21" t="s">
        <v>87</v>
      </c>
      <c r="D13" s="22" t="n">
        <v>46300</v>
      </c>
      <c r="E13" s="23" t="n">
        <f aca="false">IF(OR(NOT(ISNUMBER($D13)),Config!$G$6&lt;&gt;"Sim"),"",$D13+Config!$F$6+IF(AND(Config!$F$6&gt;0,WEEKDAY($D13+Config!$F$6)=Config!$E$24),1,0))</f>
        <v>46300</v>
      </c>
      <c r="F13" s="24"/>
      <c r="G13" s="23" t="n">
        <f aca="false">IF(OR(NOT(ISNUMBER($D13)),Config!$G$7&lt;&gt;"Sim"),"",$D13+Config!$F$7+IF(AND(Config!$F$7&gt;0,WEEKDAY($D13+Config!$F$7)=Config!$E$24),1,0))</f>
        <v>46301</v>
      </c>
      <c r="H13" s="24"/>
      <c r="I13" s="23" t="n">
        <f aca="false">IF(OR(NOT(ISNUMBER($D13)),Config!$G$8&lt;&gt;"Sim"),"",$D13+Config!$F$8+IF(AND(Config!$F$8&gt;0,WEEKDAY($D13+Config!$F$8)=Config!$E$24),1,0))</f>
        <v>46307</v>
      </c>
      <c r="J13" s="24"/>
      <c r="K13" s="23" t="n">
        <f aca="false">IF(OR(NOT(ISNUMBER($D13)),Config!$G$9&lt;&gt;"Sim"),"",$D13+Config!$F$9+IF(AND(Config!$F$9&gt;0,WEEKDAY($D13+Config!$F$9)=Config!$E$24),1,0))</f>
        <v>46315</v>
      </c>
      <c r="L13" s="24"/>
      <c r="M13" s="23" t="n">
        <f aca="false">IF(OR(NOT(ISNUMBER($D13)),Config!$G$10&lt;&gt;"Sim"),"",$D13+Config!$F$10+IF(AND(Config!$F$10&gt;0,WEEKDAY($D13+Config!$F$10)=Config!$E$24),1,0))</f>
        <v>46330</v>
      </c>
      <c r="N13" s="24"/>
      <c r="O13" s="23" t="n">
        <f aca="false">IF(OR(NOT(ISNUMBER($D13)),Config!$G$11&lt;&gt;"Sim"),"",$D13+Config!$F$11+IF(AND(Config!$F$11&gt;0,WEEKDAY($D13+Config!$F$11)=Config!$E$24),1,0))</f>
        <v>46360</v>
      </c>
      <c r="P13" s="24"/>
      <c r="Q13" s="25" t="n">
        <f aca="false">IF(COUNT(E13,G13,I13,K13,M13,O13)=0,"",((E13&lt;&gt;"")*(F13&lt;&gt;"")+(G13&lt;&gt;"")*(H13&lt;&gt;"")+(I13&lt;&gt;"")*(J13&lt;&gt;"")+(K13&lt;&gt;"")*(L13&lt;&gt;"")+(M13&lt;&gt;"")*(N13&lt;&gt;"")+(O13&lt;&gt;"")*(P13&lt;&gt;""))/COUNT(E13,G13,I13,K13,M13,O13))</f>
        <v>0</v>
      </c>
      <c r="R13" s="26" t="n">
        <f aca="false">IF(T13="","",IF(T13=99999,"",T13))</f>
        <v>46300</v>
      </c>
      <c r="S13" s="27" t="str">
        <f aca="true">IF(T13="","",IF(T13=99999,"Concluído",IF(T13&lt;TODAY(),"Atrasado",IF(T13=TODAY(),"Hoje","Em dia"))))</f>
        <v>Atrasado</v>
      </c>
      <c r="T13" s="29" t="n">
        <f aca="false">IF(COUNT(E13,G13,I13,K13,M13,O13)=0,"",MIN(IF(AND(E13&lt;&gt;"",F13=""),E13,99999),IF(AND(G13&lt;&gt;"",H13=""),G13,99999),IF(AND(I13&lt;&gt;"",J13=""),I13,99999),IF(AND(K13&lt;&gt;"",L13=""),K13,99999),IF(AND(M13&lt;&gt;"",N13=""),M13,99999),IF(AND(O13&lt;&gt;"",P13=""),O13,99999)))</f>
        <v>46300</v>
      </c>
    </row>
    <row r="14" customFormat="false" ht="15" hidden="false" customHeight="false" outlineLevel="0" collapsed="false">
      <c r="A14" s="20" t="n">
        <v>9</v>
      </c>
      <c r="B14" s="21" t="s">
        <v>93</v>
      </c>
      <c r="C14" s="21" t="s">
        <v>87</v>
      </c>
      <c r="D14" s="22" t="n">
        <v>46303</v>
      </c>
      <c r="E14" s="23" t="n">
        <f aca="false">IF(OR(NOT(ISNUMBER($D14)),Config!$G$6&lt;&gt;"Sim"),"",$D14+Config!$F$6+IF(AND(Config!$F$6&gt;0,WEEKDAY($D14+Config!$F$6)=Config!$E$24),1,0))</f>
        <v>46303</v>
      </c>
      <c r="F14" s="24" t="s">
        <v>84</v>
      </c>
      <c r="G14" s="23" t="n">
        <f aca="false">IF(OR(NOT(ISNUMBER($D14)),Config!$G$7&lt;&gt;"Sim"),"",$D14+Config!$F$7+IF(AND(Config!$F$7&gt;0,WEEKDAY($D14+Config!$F$7)=Config!$E$24),1,0))</f>
        <v>46304</v>
      </c>
      <c r="H14" s="24"/>
      <c r="I14" s="23" t="n">
        <f aca="false">IF(OR(NOT(ISNUMBER($D14)),Config!$G$8&lt;&gt;"Sim"),"",$D14+Config!$F$8+IF(AND(Config!$F$8&gt;0,WEEKDAY($D14+Config!$F$8)=Config!$E$24),1,0))</f>
        <v>46310</v>
      </c>
      <c r="J14" s="24"/>
      <c r="K14" s="23" t="n">
        <f aca="false">IF(OR(NOT(ISNUMBER($D14)),Config!$G$9&lt;&gt;"Sim"),"",$D14+Config!$F$9+IF(AND(Config!$F$9&gt;0,WEEKDAY($D14+Config!$F$9)=Config!$E$24),1,0))</f>
        <v>46318</v>
      </c>
      <c r="L14" s="24"/>
      <c r="M14" s="23" t="n">
        <f aca="false">IF(OR(NOT(ISNUMBER($D14)),Config!$G$10&lt;&gt;"Sim"),"",$D14+Config!$F$10+IF(AND(Config!$F$10&gt;0,WEEKDAY($D14+Config!$F$10)=Config!$E$24),1,0))</f>
        <v>46333</v>
      </c>
      <c r="N14" s="24"/>
      <c r="O14" s="23" t="n">
        <f aca="false">IF(OR(NOT(ISNUMBER($D14)),Config!$G$11&lt;&gt;"Sim"),"",$D14+Config!$F$11+IF(AND(Config!$F$11&gt;0,WEEKDAY($D14+Config!$F$11)=Config!$E$24),1,0))</f>
        <v>46363</v>
      </c>
      <c r="P14" s="24"/>
      <c r="Q14" s="25" t="n">
        <f aca="false">IF(COUNT(E14,G14,I14,K14,M14,O14)=0,"",((E14&lt;&gt;"")*(F14&lt;&gt;"")+(G14&lt;&gt;"")*(H14&lt;&gt;"")+(I14&lt;&gt;"")*(J14&lt;&gt;"")+(K14&lt;&gt;"")*(L14&lt;&gt;"")+(M14&lt;&gt;"")*(N14&lt;&gt;"")+(O14&lt;&gt;"")*(P14&lt;&gt;""))/COUNT(E14,G14,I14,K14,M14,O14))</f>
        <v>0.166666666666667</v>
      </c>
      <c r="R14" s="26" t="n">
        <f aca="false">IF(T14="","",IF(T14=99999,"",T14))</f>
        <v>46304</v>
      </c>
      <c r="S14" s="27" t="str">
        <f aca="true">IF(T14="","",IF(T14=99999,"Concluído",IF(T14&lt;TODAY(),"Atrasado",IF(T14=TODAY(),"Hoje","Em dia"))))</f>
        <v>Em dia</v>
      </c>
      <c r="T14" s="28" t="n">
        <f aca="false">IF(COUNT(E14,G14,I14,K14,M14,O14)=0,"",MIN(IF(AND(E14&lt;&gt;"",F14=""),E14,99999),IF(AND(G14&lt;&gt;"",H14=""),G14,99999),IF(AND(I14&lt;&gt;"",J14=""),I14,99999),IF(AND(K14&lt;&gt;"",L14=""),K14,99999),IF(AND(M14&lt;&gt;"",N14=""),M14,99999),IF(AND(O14&lt;&gt;"",P14=""),O14,99999)))</f>
        <v>46304</v>
      </c>
    </row>
    <row r="15" customFormat="false" ht="15" hidden="false" customHeight="false" outlineLevel="0" collapsed="false">
      <c r="A15" s="20" t="n">
        <v>10</v>
      </c>
      <c r="B15" s="21" t="s">
        <v>94</v>
      </c>
      <c r="C15" s="21" t="s">
        <v>87</v>
      </c>
      <c r="D15" s="22" t="n">
        <v>46306</v>
      </c>
      <c r="E15" s="23" t="n">
        <f aca="false">IF(OR(NOT(ISNUMBER($D15)),Config!$G$6&lt;&gt;"Sim"),"",$D15+Config!$F$6+IF(AND(Config!$F$6&gt;0,WEEKDAY($D15+Config!$F$6)=Config!$E$24),1,0))</f>
        <v>46306</v>
      </c>
      <c r="F15" s="24"/>
      <c r="G15" s="23" t="n">
        <f aca="false">IF(OR(NOT(ISNUMBER($D15)),Config!$G$7&lt;&gt;"Sim"),"",$D15+Config!$F$7+IF(AND(Config!$F$7&gt;0,WEEKDAY($D15+Config!$F$7)=Config!$E$24),1,0))</f>
        <v>46307</v>
      </c>
      <c r="H15" s="24"/>
      <c r="I15" s="23" t="n">
        <f aca="false">IF(OR(NOT(ISNUMBER($D15)),Config!$G$8&lt;&gt;"Sim"),"",$D15+Config!$F$8+IF(AND(Config!$F$8&gt;0,WEEKDAY($D15+Config!$F$8)=Config!$E$24),1,0))</f>
        <v>46313</v>
      </c>
      <c r="J15" s="24"/>
      <c r="K15" s="23" t="n">
        <f aca="false">IF(OR(NOT(ISNUMBER($D15)),Config!$G$9&lt;&gt;"Sim"),"",$D15+Config!$F$9+IF(AND(Config!$F$9&gt;0,WEEKDAY($D15+Config!$F$9)=Config!$E$24),1,0))</f>
        <v>46321</v>
      </c>
      <c r="L15" s="24"/>
      <c r="M15" s="23" t="n">
        <f aca="false">IF(OR(NOT(ISNUMBER($D15)),Config!$G$10&lt;&gt;"Sim"),"",$D15+Config!$F$10+IF(AND(Config!$F$10&gt;0,WEEKDAY($D15+Config!$F$10)=Config!$E$24),1,0))</f>
        <v>46336</v>
      </c>
      <c r="N15" s="24"/>
      <c r="O15" s="23" t="n">
        <f aca="false">IF(OR(NOT(ISNUMBER($D15)),Config!$G$11&lt;&gt;"Sim"),"",$D15+Config!$F$11+IF(AND(Config!$F$11&gt;0,WEEKDAY($D15+Config!$F$11)=Config!$E$24),1,0))</f>
        <v>46366</v>
      </c>
      <c r="P15" s="24"/>
      <c r="Q15" s="25" t="n">
        <f aca="false">IF(COUNT(E15,G15,I15,K15,M15,O15)=0,"",((E15&lt;&gt;"")*(F15&lt;&gt;"")+(G15&lt;&gt;"")*(H15&lt;&gt;"")+(I15&lt;&gt;"")*(J15&lt;&gt;"")+(K15&lt;&gt;"")*(L15&lt;&gt;"")+(M15&lt;&gt;"")*(N15&lt;&gt;"")+(O15&lt;&gt;"")*(P15&lt;&gt;""))/COUNT(E15,G15,I15,K15,M15,O15))</f>
        <v>0</v>
      </c>
      <c r="R15" s="26" t="n">
        <f aca="false">IF(T15="","",IF(T15=99999,"",T15))</f>
        <v>46306</v>
      </c>
      <c r="S15" s="27" t="str">
        <f aca="true">IF(T15="","",IF(T15=99999,"Concluído",IF(T15&lt;TODAY(),"Atrasado",IF(T15=TODAY(),"Hoje","Em dia"))))</f>
        <v>Em dia</v>
      </c>
      <c r="T15" s="29" t="n">
        <f aca="false">IF(COUNT(E15,G15,I15,K15,M15,O15)=0,"",MIN(IF(AND(E15&lt;&gt;"",F15=""),E15,99999),IF(AND(G15&lt;&gt;"",H15=""),G15,99999),IF(AND(I15&lt;&gt;"",J15=""),I15,99999),IF(AND(K15&lt;&gt;"",L15=""),K15,99999),IF(AND(M15&lt;&gt;"",N15=""),M15,99999),IF(AND(O15&lt;&gt;"",P15=""),O15,99999)))</f>
        <v>46306</v>
      </c>
    </row>
    <row r="16" customFormat="false" ht="15" hidden="false" customHeight="false" outlineLevel="0" collapsed="false">
      <c r="A16" s="20" t="n">
        <v>11</v>
      </c>
      <c r="B16" s="21" t="s">
        <v>95</v>
      </c>
      <c r="C16" s="21" t="s">
        <v>96</v>
      </c>
      <c r="D16" s="22" t="n">
        <v>46307</v>
      </c>
      <c r="E16" s="23" t="n">
        <f aca="false">IF(OR(NOT(ISNUMBER($D16)),Config!$G$6&lt;&gt;"Sim"),"",$D16+Config!$F$6+IF(AND(Config!$F$6&gt;0,WEEKDAY($D16+Config!$F$6)=Config!$E$24),1,0))</f>
        <v>46307</v>
      </c>
      <c r="F16" s="24"/>
      <c r="G16" s="23" t="n">
        <f aca="false">IF(OR(NOT(ISNUMBER($D16)),Config!$G$7&lt;&gt;"Sim"),"",$D16+Config!$F$7+IF(AND(Config!$F$7&gt;0,WEEKDAY($D16+Config!$F$7)=Config!$E$24),1,0))</f>
        <v>46308</v>
      </c>
      <c r="H16" s="24"/>
      <c r="I16" s="23" t="n">
        <f aca="false">IF(OR(NOT(ISNUMBER($D16)),Config!$G$8&lt;&gt;"Sim"),"",$D16+Config!$F$8+IF(AND(Config!$F$8&gt;0,WEEKDAY($D16+Config!$F$8)=Config!$E$24),1,0))</f>
        <v>46314</v>
      </c>
      <c r="J16" s="24"/>
      <c r="K16" s="23" t="n">
        <f aca="false">IF(OR(NOT(ISNUMBER($D16)),Config!$G$9&lt;&gt;"Sim"),"",$D16+Config!$F$9+IF(AND(Config!$F$9&gt;0,WEEKDAY($D16+Config!$F$9)=Config!$E$24),1,0))</f>
        <v>46322</v>
      </c>
      <c r="L16" s="24"/>
      <c r="M16" s="23" t="n">
        <f aca="false">IF(OR(NOT(ISNUMBER($D16)),Config!$G$10&lt;&gt;"Sim"),"",$D16+Config!$F$10+IF(AND(Config!$F$10&gt;0,WEEKDAY($D16+Config!$F$10)=Config!$E$24),1,0))</f>
        <v>46337</v>
      </c>
      <c r="N16" s="24"/>
      <c r="O16" s="23" t="n">
        <f aca="false">IF(OR(NOT(ISNUMBER($D16)),Config!$G$11&lt;&gt;"Sim"),"",$D16+Config!$F$11+IF(AND(Config!$F$11&gt;0,WEEKDAY($D16+Config!$F$11)=Config!$E$24),1,0))</f>
        <v>46367</v>
      </c>
      <c r="P16" s="24"/>
      <c r="Q16" s="25" t="n">
        <f aca="false">IF(COUNT(E16,G16,I16,K16,M16,O16)=0,"",((E16&lt;&gt;"")*(F16&lt;&gt;"")+(G16&lt;&gt;"")*(H16&lt;&gt;"")+(I16&lt;&gt;"")*(J16&lt;&gt;"")+(K16&lt;&gt;"")*(L16&lt;&gt;"")+(M16&lt;&gt;"")*(N16&lt;&gt;"")+(O16&lt;&gt;"")*(P16&lt;&gt;""))/COUNT(E16,G16,I16,K16,M16,O16))</f>
        <v>0</v>
      </c>
      <c r="R16" s="26" t="n">
        <f aca="false">IF(T16="","",IF(T16=99999,"",T16))</f>
        <v>46307</v>
      </c>
      <c r="S16" s="27" t="str">
        <f aca="true">IF(T16="","",IF(T16=99999,"Concluído",IF(T16&lt;TODAY(),"Atrasado",IF(T16=TODAY(),"Hoje","Em dia"))))</f>
        <v>Em dia</v>
      </c>
      <c r="T16" s="29" t="n">
        <f aca="false">IF(COUNT(E16,G16,I16,K16,M16,O16)=0,"",MIN(IF(AND(E16&lt;&gt;"",F16=""),E16,99999),IF(AND(G16&lt;&gt;"",H16=""),G16,99999),IF(AND(I16&lt;&gt;"",J16=""),I16,99999),IF(AND(K16&lt;&gt;"",L16=""),K16,99999),IF(AND(M16&lt;&gt;"",N16=""),M16,99999),IF(AND(O16&lt;&gt;"",P16=""),O16,99999)))</f>
        <v>46307</v>
      </c>
    </row>
    <row r="17" customFormat="false" ht="15" hidden="false" customHeight="false" outlineLevel="0" collapsed="false">
      <c r="A17" s="20" t="n">
        <v>12</v>
      </c>
      <c r="B17" s="21" t="s">
        <v>97</v>
      </c>
      <c r="C17" s="21" t="s">
        <v>96</v>
      </c>
      <c r="D17" s="22" t="n">
        <v>46307</v>
      </c>
      <c r="E17" s="23" t="n">
        <f aca="false">IF(OR(NOT(ISNUMBER($D17)),Config!$G$6&lt;&gt;"Sim"),"",$D17+Config!$F$6+IF(AND(Config!$F$6&gt;0,WEEKDAY($D17+Config!$F$6)=Config!$E$24),1,0))</f>
        <v>46307</v>
      </c>
      <c r="F17" s="24"/>
      <c r="G17" s="23" t="n">
        <f aca="false">IF(OR(NOT(ISNUMBER($D17)),Config!$G$7&lt;&gt;"Sim"),"",$D17+Config!$F$7+IF(AND(Config!$F$7&gt;0,WEEKDAY($D17+Config!$F$7)=Config!$E$24),1,0))</f>
        <v>46308</v>
      </c>
      <c r="H17" s="24"/>
      <c r="I17" s="23" t="n">
        <f aca="false">IF(OR(NOT(ISNUMBER($D17)),Config!$G$8&lt;&gt;"Sim"),"",$D17+Config!$F$8+IF(AND(Config!$F$8&gt;0,WEEKDAY($D17+Config!$F$8)=Config!$E$24),1,0))</f>
        <v>46314</v>
      </c>
      <c r="J17" s="24"/>
      <c r="K17" s="23" t="n">
        <f aca="false">IF(OR(NOT(ISNUMBER($D17)),Config!$G$9&lt;&gt;"Sim"),"",$D17+Config!$F$9+IF(AND(Config!$F$9&gt;0,WEEKDAY($D17+Config!$F$9)=Config!$E$24),1,0))</f>
        <v>46322</v>
      </c>
      <c r="L17" s="24"/>
      <c r="M17" s="23" t="n">
        <f aca="false">IF(OR(NOT(ISNUMBER($D17)),Config!$G$10&lt;&gt;"Sim"),"",$D17+Config!$F$10+IF(AND(Config!$F$10&gt;0,WEEKDAY($D17+Config!$F$10)=Config!$E$24),1,0))</f>
        <v>46337</v>
      </c>
      <c r="N17" s="24"/>
      <c r="O17" s="23" t="n">
        <f aca="false">IF(OR(NOT(ISNUMBER($D17)),Config!$G$11&lt;&gt;"Sim"),"",$D17+Config!$F$11+IF(AND(Config!$F$11&gt;0,WEEKDAY($D17+Config!$F$11)=Config!$E$24),1,0))</f>
        <v>46367</v>
      </c>
      <c r="P17" s="24"/>
      <c r="Q17" s="25" t="n">
        <f aca="false">IF(COUNT(E17,G17,I17,K17,M17,O17)=0,"",((E17&lt;&gt;"")*(F17&lt;&gt;"")+(G17&lt;&gt;"")*(H17&lt;&gt;"")+(I17&lt;&gt;"")*(J17&lt;&gt;"")+(K17&lt;&gt;"")*(L17&lt;&gt;"")+(M17&lt;&gt;"")*(N17&lt;&gt;"")+(O17&lt;&gt;"")*(P17&lt;&gt;""))/COUNT(E17,G17,I17,K17,M17,O17))</f>
        <v>0</v>
      </c>
      <c r="R17" s="26" t="n">
        <f aca="false">IF(T17="","",IF(T17=99999,"",T17))</f>
        <v>46307</v>
      </c>
      <c r="S17" s="27" t="str">
        <f aca="true">IF(T17="","",IF(T17=99999,"Concluído",IF(T17&lt;TODAY(),"Atrasado",IF(T17=TODAY(),"Hoje","Em dia"))))</f>
        <v>Em dia</v>
      </c>
      <c r="T17" s="29" t="n">
        <f aca="false">IF(COUNT(E17,G17,I17,K17,M17,O17)=0,"",MIN(IF(AND(E17&lt;&gt;"",F17=""),E17,99999),IF(AND(G17&lt;&gt;"",H17=""),G17,99999),IF(AND(I17&lt;&gt;"",J17=""),I17,99999),IF(AND(K17&lt;&gt;"",L17=""),K17,99999),IF(AND(M17&lt;&gt;"",N17=""),M17,99999),IF(AND(O17&lt;&gt;"",P17=""),O17,99999)))</f>
        <v>46307</v>
      </c>
    </row>
    <row r="18" customFormat="false" ht="15" hidden="false" customHeight="false" outlineLevel="0" collapsed="false">
      <c r="A18" s="20" t="n">
        <v>13</v>
      </c>
      <c r="B18" s="21" t="s">
        <v>98</v>
      </c>
      <c r="C18" s="21" t="s">
        <v>99</v>
      </c>
      <c r="D18" s="22" t="n">
        <v>46309</v>
      </c>
      <c r="E18" s="23" t="n">
        <f aca="false">IF(OR(NOT(ISNUMBER($D18)),Config!$G$6&lt;&gt;"Sim"),"",$D18+Config!$F$6+IF(AND(Config!$F$6&gt;0,WEEKDAY($D18+Config!$F$6)=Config!$E$24),1,0))</f>
        <v>46309</v>
      </c>
      <c r="F18" s="24"/>
      <c r="G18" s="23" t="n">
        <f aca="false">IF(OR(NOT(ISNUMBER($D18)),Config!$G$7&lt;&gt;"Sim"),"",$D18+Config!$F$7+IF(AND(Config!$F$7&gt;0,WEEKDAY($D18+Config!$F$7)=Config!$E$24),1,0))</f>
        <v>46310</v>
      </c>
      <c r="H18" s="24"/>
      <c r="I18" s="23" t="n">
        <f aca="false">IF(OR(NOT(ISNUMBER($D18)),Config!$G$8&lt;&gt;"Sim"),"",$D18+Config!$F$8+IF(AND(Config!$F$8&gt;0,WEEKDAY($D18+Config!$F$8)=Config!$E$24),1,0))</f>
        <v>46316</v>
      </c>
      <c r="J18" s="24"/>
      <c r="K18" s="23" t="n">
        <f aca="false">IF(OR(NOT(ISNUMBER($D18)),Config!$G$9&lt;&gt;"Sim"),"",$D18+Config!$F$9+IF(AND(Config!$F$9&gt;0,WEEKDAY($D18+Config!$F$9)=Config!$E$24),1,0))</f>
        <v>46324</v>
      </c>
      <c r="L18" s="24"/>
      <c r="M18" s="23" t="n">
        <f aca="false">IF(OR(NOT(ISNUMBER($D18)),Config!$G$10&lt;&gt;"Sim"),"",$D18+Config!$F$10+IF(AND(Config!$F$10&gt;0,WEEKDAY($D18+Config!$F$10)=Config!$E$24),1,0))</f>
        <v>46339</v>
      </c>
      <c r="N18" s="24"/>
      <c r="O18" s="23" t="n">
        <f aca="false">IF(OR(NOT(ISNUMBER($D18)),Config!$G$11&lt;&gt;"Sim"),"",$D18+Config!$F$11+IF(AND(Config!$F$11&gt;0,WEEKDAY($D18+Config!$F$11)=Config!$E$24),1,0))</f>
        <v>46369</v>
      </c>
      <c r="P18" s="24"/>
      <c r="Q18" s="25" t="n">
        <f aca="false">IF(COUNT(E18,G18,I18,K18,M18,O18)=0,"",((E18&lt;&gt;"")*(F18&lt;&gt;"")+(G18&lt;&gt;"")*(H18&lt;&gt;"")+(I18&lt;&gt;"")*(J18&lt;&gt;"")+(K18&lt;&gt;"")*(L18&lt;&gt;"")+(M18&lt;&gt;"")*(N18&lt;&gt;"")+(O18&lt;&gt;"")*(P18&lt;&gt;""))/COUNT(E18,G18,I18,K18,M18,O18))</f>
        <v>0</v>
      </c>
      <c r="R18" s="26" t="n">
        <f aca="false">IF(T18="","",IF(T18=99999,"",T18))</f>
        <v>46309</v>
      </c>
      <c r="S18" s="27" t="str">
        <f aca="true">IF(T18="","",IF(T18=99999,"Concluído",IF(T18&lt;TODAY(),"Atrasado",IF(T18=TODAY(),"Hoje","Em dia"))))</f>
        <v>Em dia</v>
      </c>
      <c r="T18" s="29" t="n">
        <f aca="false">IF(COUNT(E18,G18,I18,K18,M18,O18)=0,"",MIN(IF(AND(E18&lt;&gt;"",F18=""),E18,99999),IF(AND(G18&lt;&gt;"",H18=""),G18,99999),IF(AND(I18&lt;&gt;"",J18=""),I18,99999),IF(AND(K18&lt;&gt;"",L18=""),K18,99999),IF(AND(M18&lt;&gt;"",N18=""),M18,99999),IF(AND(O18&lt;&gt;"",P18=""),O18,99999)))</f>
        <v>46309</v>
      </c>
    </row>
    <row r="19" customFormat="false" ht="15" hidden="false" customHeight="false" outlineLevel="0" collapsed="false">
      <c r="A19" s="20" t="n">
        <v>14</v>
      </c>
      <c r="B19" s="21" t="s">
        <v>100</v>
      </c>
      <c r="C19" s="21" t="s">
        <v>99</v>
      </c>
      <c r="D19" s="22" t="n">
        <v>46309</v>
      </c>
      <c r="E19" s="23" t="n">
        <f aca="false">IF(OR(NOT(ISNUMBER($D19)),Config!$G$6&lt;&gt;"Sim"),"",$D19+Config!$F$6+IF(AND(Config!$F$6&gt;0,WEEKDAY($D19+Config!$F$6)=Config!$E$24),1,0))</f>
        <v>46309</v>
      </c>
      <c r="F19" s="24"/>
      <c r="G19" s="23" t="n">
        <f aca="false">IF(OR(NOT(ISNUMBER($D19)),Config!$G$7&lt;&gt;"Sim"),"",$D19+Config!$F$7+IF(AND(Config!$F$7&gt;0,WEEKDAY($D19+Config!$F$7)=Config!$E$24),1,0))</f>
        <v>46310</v>
      </c>
      <c r="H19" s="24"/>
      <c r="I19" s="23" t="n">
        <f aca="false">IF(OR(NOT(ISNUMBER($D19)),Config!$G$8&lt;&gt;"Sim"),"",$D19+Config!$F$8+IF(AND(Config!$F$8&gt;0,WEEKDAY($D19+Config!$F$8)=Config!$E$24),1,0))</f>
        <v>46316</v>
      </c>
      <c r="J19" s="24"/>
      <c r="K19" s="23" t="n">
        <f aca="false">IF(OR(NOT(ISNUMBER($D19)),Config!$G$9&lt;&gt;"Sim"),"",$D19+Config!$F$9+IF(AND(Config!$F$9&gt;0,WEEKDAY($D19+Config!$F$9)=Config!$E$24),1,0))</f>
        <v>46324</v>
      </c>
      <c r="L19" s="24"/>
      <c r="M19" s="23" t="n">
        <f aca="false">IF(OR(NOT(ISNUMBER($D19)),Config!$G$10&lt;&gt;"Sim"),"",$D19+Config!$F$10+IF(AND(Config!$F$10&gt;0,WEEKDAY($D19+Config!$F$10)=Config!$E$24),1,0))</f>
        <v>46339</v>
      </c>
      <c r="N19" s="24"/>
      <c r="O19" s="23" t="n">
        <f aca="false">IF(OR(NOT(ISNUMBER($D19)),Config!$G$11&lt;&gt;"Sim"),"",$D19+Config!$F$11+IF(AND(Config!$F$11&gt;0,WEEKDAY($D19+Config!$F$11)=Config!$E$24),1,0))</f>
        <v>46369</v>
      </c>
      <c r="P19" s="24"/>
      <c r="Q19" s="25" t="n">
        <f aca="false">IF(COUNT(E19,G19,I19,K19,M19,O19)=0,"",((E19&lt;&gt;"")*(F19&lt;&gt;"")+(G19&lt;&gt;"")*(H19&lt;&gt;"")+(I19&lt;&gt;"")*(J19&lt;&gt;"")+(K19&lt;&gt;"")*(L19&lt;&gt;"")+(M19&lt;&gt;"")*(N19&lt;&gt;"")+(O19&lt;&gt;"")*(P19&lt;&gt;""))/COUNT(E19,G19,I19,K19,M19,O19))</f>
        <v>0</v>
      </c>
      <c r="R19" s="26" t="n">
        <f aca="false">IF(T19="","",IF(T19=99999,"",T19))</f>
        <v>46309</v>
      </c>
      <c r="S19" s="27" t="str">
        <f aca="true">IF(T19="","",IF(T19=99999,"Concluído",IF(T19&lt;TODAY(),"Atrasado",IF(T19=TODAY(),"Hoje","Em dia"))))</f>
        <v>Em dia</v>
      </c>
      <c r="T19" s="29" t="n">
        <f aca="false">IF(COUNT(E19,G19,I19,K19,M19,O19)=0,"",MIN(IF(AND(E19&lt;&gt;"",F19=""),E19,99999),IF(AND(G19&lt;&gt;"",H19=""),G19,99999),IF(AND(I19&lt;&gt;"",J19=""),I19,99999),IF(AND(K19&lt;&gt;"",L19=""),K19,99999),IF(AND(M19&lt;&gt;"",N19=""),M19,99999),IF(AND(O19&lt;&gt;"",P19=""),O19,99999)))</f>
        <v>46309</v>
      </c>
    </row>
    <row r="20" customFormat="false" ht="15" hidden="false" customHeight="false" outlineLevel="0" collapsed="false">
      <c r="A20" s="20" t="n">
        <v>15</v>
      </c>
      <c r="B20" s="21" t="s">
        <v>101</v>
      </c>
      <c r="C20" s="21" t="s">
        <v>87</v>
      </c>
      <c r="D20" s="22" t="n">
        <v>46311</v>
      </c>
      <c r="E20" s="23" t="n">
        <f aca="false">IF(OR(NOT(ISNUMBER($D20)),Config!$G$6&lt;&gt;"Sim"),"",$D20+Config!$F$6+IF(AND(Config!$F$6&gt;0,WEEKDAY($D20+Config!$F$6)=Config!$E$24),1,0))</f>
        <v>46311</v>
      </c>
      <c r="F20" s="24"/>
      <c r="G20" s="23" t="n">
        <f aca="false">IF(OR(NOT(ISNUMBER($D20)),Config!$G$7&lt;&gt;"Sim"),"",$D20+Config!$F$7+IF(AND(Config!$F$7&gt;0,WEEKDAY($D20+Config!$F$7)=Config!$E$24),1,0))</f>
        <v>46312</v>
      </c>
      <c r="H20" s="24"/>
      <c r="I20" s="23" t="n">
        <f aca="false">IF(OR(NOT(ISNUMBER($D20)),Config!$G$8&lt;&gt;"Sim"),"",$D20+Config!$F$8+IF(AND(Config!$F$8&gt;0,WEEKDAY($D20+Config!$F$8)=Config!$E$24),1,0))</f>
        <v>46318</v>
      </c>
      <c r="J20" s="24"/>
      <c r="K20" s="23" t="n">
        <f aca="false">IF(OR(NOT(ISNUMBER($D20)),Config!$G$9&lt;&gt;"Sim"),"",$D20+Config!$F$9+IF(AND(Config!$F$9&gt;0,WEEKDAY($D20+Config!$F$9)=Config!$E$24),1,0))</f>
        <v>46326</v>
      </c>
      <c r="L20" s="24"/>
      <c r="M20" s="23" t="n">
        <f aca="false">IF(OR(NOT(ISNUMBER($D20)),Config!$G$10&lt;&gt;"Sim"),"",$D20+Config!$F$10+IF(AND(Config!$F$10&gt;0,WEEKDAY($D20+Config!$F$10)=Config!$E$24),1,0))</f>
        <v>46341</v>
      </c>
      <c r="N20" s="24"/>
      <c r="O20" s="23" t="n">
        <f aca="false">IF(OR(NOT(ISNUMBER($D20)),Config!$G$11&lt;&gt;"Sim"),"",$D20+Config!$F$11+IF(AND(Config!$F$11&gt;0,WEEKDAY($D20+Config!$F$11)=Config!$E$24),1,0))</f>
        <v>46371</v>
      </c>
      <c r="P20" s="24"/>
      <c r="Q20" s="25" t="n">
        <f aca="false">IF(COUNT(E20,G20,I20,K20,M20,O20)=0,"",((E20&lt;&gt;"")*(F20&lt;&gt;"")+(G20&lt;&gt;"")*(H20&lt;&gt;"")+(I20&lt;&gt;"")*(J20&lt;&gt;"")+(K20&lt;&gt;"")*(L20&lt;&gt;"")+(M20&lt;&gt;"")*(N20&lt;&gt;"")+(O20&lt;&gt;"")*(P20&lt;&gt;""))/COUNT(E20,G20,I20,K20,M20,O20))</f>
        <v>0</v>
      </c>
      <c r="R20" s="26" t="n">
        <f aca="false">IF(T20="","",IF(T20=99999,"",T20))</f>
        <v>46311</v>
      </c>
      <c r="S20" s="27" t="str">
        <f aca="true">IF(T20="","",IF(T20=99999,"Concluído",IF(T20&lt;TODAY(),"Atrasado",IF(T20=TODAY(),"Hoje","Em dia"))))</f>
        <v>Em dia</v>
      </c>
      <c r="T20" s="29" t="n">
        <f aca="false">IF(COUNT(E20,G20,I20,K20,M20,O20)=0,"",MIN(IF(AND(E20&lt;&gt;"",F20=""),E20,99999),IF(AND(G20&lt;&gt;"",H20=""),G20,99999),IF(AND(I20&lt;&gt;"",J20=""),I20,99999),IF(AND(K20&lt;&gt;"",L20=""),K20,99999),IF(AND(M20&lt;&gt;"",N20=""),M20,99999),IF(AND(O20&lt;&gt;"",P20=""),O20,99999)))</f>
        <v>46311</v>
      </c>
    </row>
    <row r="21" customFormat="false" ht="15" hidden="false" customHeight="false" outlineLevel="0" collapsed="false">
      <c r="A21" s="20" t="n">
        <v>16</v>
      </c>
      <c r="B21" s="21" t="s">
        <v>102</v>
      </c>
      <c r="C21" s="21" t="s">
        <v>99</v>
      </c>
      <c r="D21" s="22" t="n">
        <v>46311</v>
      </c>
      <c r="E21" s="23" t="n">
        <f aca="false">IF(OR(NOT(ISNUMBER($D21)),Config!$G$6&lt;&gt;"Sim"),"",$D21+Config!$F$6+IF(AND(Config!$F$6&gt;0,WEEKDAY($D21+Config!$F$6)=Config!$E$24),1,0))</f>
        <v>46311</v>
      </c>
      <c r="F21" s="24"/>
      <c r="G21" s="23" t="n">
        <f aca="false">IF(OR(NOT(ISNUMBER($D21)),Config!$G$7&lt;&gt;"Sim"),"",$D21+Config!$F$7+IF(AND(Config!$F$7&gt;0,WEEKDAY($D21+Config!$F$7)=Config!$E$24),1,0))</f>
        <v>46312</v>
      </c>
      <c r="H21" s="24"/>
      <c r="I21" s="23" t="n">
        <f aca="false">IF(OR(NOT(ISNUMBER($D21)),Config!$G$8&lt;&gt;"Sim"),"",$D21+Config!$F$8+IF(AND(Config!$F$8&gt;0,WEEKDAY($D21+Config!$F$8)=Config!$E$24),1,0))</f>
        <v>46318</v>
      </c>
      <c r="J21" s="24"/>
      <c r="K21" s="23" t="n">
        <f aca="false">IF(OR(NOT(ISNUMBER($D21)),Config!$G$9&lt;&gt;"Sim"),"",$D21+Config!$F$9+IF(AND(Config!$F$9&gt;0,WEEKDAY($D21+Config!$F$9)=Config!$E$24),1,0))</f>
        <v>46326</v>
      </c>
      <c r="L21" s="24"/>
      <c r="M21" s="23" t="n">
        <f aca="false">IF(OR(NOT(ISNUMBER($D21)),Config!$G$10&lt;&gt;"Sim"),"",$D21+Config!$F$10+IF(AND(Config!$F$10&gt;0,WEEKDAY($D21+Config!$F$10)=Config!$E$24),1,0))</f>
        <v>46341</v>
      </c>
      <c r="N21" s="24"/>
      <c r="O21" s="23" t="n">
        <f aca="false">IF(OR(NOT(ISNUMBER($D21)),Config!$G$11&lt;&gt;"Sim"),"",$D21+Config!$F$11+IF(AND(Config!$F$11&gt;0,WEEKDAY($D21+Config!$F$11)=Config!$E$24),1,0))</f>
        <v>46371</v>
      </c>
      <c r="P21" s="24"/>
      <c r="Q21" s="25" t="n">
        <f aca="false">IF(COUNT(E21,G21,I21,K21,M21,O21)=0,"",((E21&lt;&gt;"")*(F21&lt;&gt;"")+(G21&lt;&gt;"")*(H21&lt;&gt;"")+(I21&lt;&gt;"")*(J21&lt;&gt;"")+(K21&lt;&gt;"")*(L21&lt;&gt;"")+(M21&lt;&gt;"")*(N21&lt;&gt;"")+(O21&lt;&gt;"")*(P21&lt;&gt;""))/COUNT(E21,G21,I21,K21,M21,O21))</f>
        <v>0</v>
      </c>
      <c r="R21" s="26" t="n">
        <f aca="false">IF(T21="","",IF(T21=99999,"",T21))</f>
        <v>46311</v>
      </c>
      <c r="S21" s="27" t="str">
        <f aca="true">IF(T21="","",IF(T21=99999,"Concluído",IF(T21&lt;TODAY(),"Atrasado",IF(T21=TODAY(),"Hoje","Em dia"))))</f>
        <v>Em dia</v>
      </c>
      <c r="T21" s="29" t="n">
        <f aca="false">IF(COUNT(E21,G21,I21,K21,M21,O21)=0,"",MIN(IF(AND(E21&lt;&gt;"",F21=""),E21,99999),IF(AND(G21&lt;&gt;"",H21=""),G21,99999),IF(AND(I21&lt;&gt;"",J21=""),I21,99999),IF(AND(K21&lt;&gt;"",L21=""),K21,99999),IF(AND(M21&lt;&gt;"",N21=""),M21,99999),IF(AND(O21&lt;&gt;"",P21=""),O21,99999)))</f>
        <v>46311</v>
      </c>
    </row>
    <row r="22" customFormat="false" ht="15" hidden="false" customHeight="false" outlineLevel="0" collapsed="false">
      <c r="A22" s="20" t="n">
        <v>17</v>
      </c>
      <c r="B22" s="21" t="s">
        <v>103</v>
      </c>
      <c r="C22" s="21" t="s">
        <v>83</v>
      </c>
      <c r="D22" s="22" t="n">
        <v>46311</v>
      </c>
      <c r="E22" s="23" t="n">
        <f aca="false">IF(OR(NOT(ISNUMBER($D22)),Config!$G$6&lt;&gt;"Sim"),"",$D22+Config!$F$6+IF(AND(Config!$F$6&gt;0,WEEKDAY($D22+Config!$F$6)=Config!$E$24),1,0))</f>
        <v>46311</v>
      </c>
      <c r="F22" s="24"/>
      <c r="G22" s="23" t="n">
        <f aca="false">IF(OR(NOT(ISNUMBER($D22)),Config!$G$7&lt;&gt;"Sim"),"",$D22+Config!$F$7+IF(AND(Config!$F$7&gt;0,WEEKDAY($D22+Config!$F$7)=Config!$E$24),1,0))</f>
        <v>46312</v>
      </c>
      <c r="H22" s="24"/>
      <c r="I22" s="23" t="n">
        <f aca="false">IF(OR(NOT(ISNUMBER($D22)),Config!$G$8&lt;&gt;"Sim"),"",$D22+Config!$F$8+IF(AND(Config!$F$8&gt;0,WEEKDAY($D22+Config!$F$8)=Config!$E$24),1,0))</f>
        <v>46318</v>
      </c>
      <c r="J22" s="24"/>
      <c r="K22" s="23" t="n">
        <f aca="false">IF(OR(NOT(ISNUMBER($D22)),Config!$G$9&lt;&gt;"Sim"),"",$D22+Config!$F$9+IF(AND(Config!$F$9&gt;0,WEEKDAY($D22+Config!$F$9)=Config!$E$24),1,0))</f>
        <v>46326</v>
      </c>
      <c r="L22" s="24"/>
      <c r="M22" s="23" t="n">
        <f aca="false">IF(OR(NOT(ISNUMBER($D22)),Config!$G$10&lt;&gt;"Sim"),"",$D22+Config!$F$10+IF(AND(Config!$F$10&gt;0,WEEKDAY($D22+Config!$F$10)=Config!$E$24),1,0))</f>
        <v>46341</v>
      </c>
      <c r="N22" s="24"/>
      <c r="O22" s="23" t="n">
        <f aca="false">IF(OR(NOT(ISNUMBER($D22)),Config!$G$11&lt;&gt;"Sim"),"",$D22+Config!$F$11+IF(AND(Config!$F$11&gt;0,WEEKDAY($D22+Config!$F$11)=Config!$E$24),1,0))</f>
        <v>46371</v>
      </c>
      <c r="P22" s="24"/>
      <c r="Q22" s="25" t="n">
        <f aca="false">IF(COUNT(E22,G22,I22,K22,M22,O22)=0,"",((E22&lt;&gt;"")*(F22&lt;&gt;"")+(G22&lt;&gt;"")*(H22&lt;&gt;"")+(I22&lt;&gt;"")*(J22&lt;&gt;"")+(K22&lt;&gt;"")*(L22&lt;&gt;"")+(M22&lt;&gt;"")*(N22&lt;&gt;"")+(O22&lt;&gt;"")*(P22&lt;&gt;""))/COUNT(E22,G22,I22,K22,M22,O22))</f>
        <v>0</v>
      </c>
      <c r="R22" s="26" t="n">
        <f aca="false">IF(T22="","",IF(T22=99999,"",T22))</f>
        <v>46311</v>
      </c>
      <c r="S22" s="27" t="str">
        <f aca="true">IF(T22="","",IF(T22=99999,"Concluído",IF(T22&lt;TODAY(),"Atrasado",IF(T22=TODAY(),"Hoje","Em dia"))))</f>
        <v>Em dia</v>
      </c>
      <c r="T22" s="29" t="n">
        <f aca="false">IF(COUNT(E22,G22,I22,K22,M22,O22)=0,"",MIN(IF(AND(E22&lt;&gt;"",F22=""),E22,99999),IF(AND(G22&lt;&gt;"",H22=""),G22,99999),IF(AND(I22&lt;&gt;"",J22=""),I22,99999),IF(AND(K22&lt;&gt;"",L22=""),K22,99999),IF(AND(M22&lt;&gt;"",N22=""),M22,99999),IF(AND(O22&lt;&gt;"",P22=""),O22,99999)))</f>
        <v>46311</v>
      </c>
    </row>
    <row r="23" customFormat="false" ht="15" hidden="false" customHeight="false" outlineLevel="0" collapsed="false">
      <c r="A23" s="20" t="n">
        <v>18</v>
      </c>
      <c r="B23" s="21" t="s">
        <v>104</v>
      </c>
      <c r="C23" s="21" t="s">
        <v>87</v>
      </c>
      <c r="D23" s="22" t="n">
        <v>46311</v>
      </c>
      <c r="E23" s="23" t="n">
        <f aca="false">IF(OR(NOT(ISNUMBER($D23)),Config!$G$6&lt;&gt;"Sim"),"",$D23+Config!$F$6+IF(AND(Config!$F$6&gt;0,WEEKDAY($D23+Config!$F$6)=Config!$E$24),1,0))</f>
        <v>46311</v>
      </c>
      <c r="F23" s="24"/>
      <c r="G23" s="23" t="n">
        <f aca="false">IF(OR(NOT(ISNUMBER($D23)),Config!$G$7&lt;&gt;"Sim"),"",$D23+Config!$F$7+IF(AND(Config!$F$7&gt;0,WEEKDAY($D23+Config!$F$7)=Config!$E$24),1,0))</f>
        <v>46312</v>
      </c>
      <c r="H23" s="24"/>
      <c r="I23" s="23" t="n">
        <f aca="false">IF(OR(NOT(ISNUMBER($D23)),Config!$G$8&lt;&gt;"Sim"),"",$D23+Config!$F$8+IF(AND(Config!$F$8&gt;0,WEEKDAY($D23+Config!$F$8)=Config!$E$24),1,0))</f>
        <v>46318</v>
      </c>
      <c r="J23" s="24"/>
      <c r="K23" s="23" t="n">
        <f aca="false">IF(OR(NOT(ISNUMBER($D23)),Config!$G$9&lt;&gt;"Sim"),"",$D23+Config!$F$9+IF(AND(Config!$F$9&gt;0,WEEKDAY($D23+Config!$F$9)=Config!$E$24),1,0))</f>
        <v>46326</v>
      </c>
      <c r="L23" s="24"/>
      <c r="M23" s="23" t="n">
        <f aca="false">IF(OR(NOT(ISNUMBER($D23)),Config!$G$10&lt;&gt;"Sim"),"",$D23+Config!$F$10+IF(AND(Config!$F$10&gt;0,WEEKDAY($D23+Config!$F$10)=Config!$E$24),1,0))</f>
        <v>46341</v>
      </c>
      <c r="N23" s="24"/>
      <c r="O23" s="23" t="n">
        <f aca="false">IF(OR(NOT(ISNUMBER($D23)),Config!$G$11&lt;&gt;"Sim"),"",$D23+Config!$F$11+IF(AND(Config!$F$11&gt;0,WEEKDAY($D23+Config!$F$11)=Config!$E$24),1,0))</f>
        <v>46371</v>
      </c>
      <c r="P23" s="24"/>
      <c r="Q23" s="25" t="n">
        <f aca="false">IF(COUNT(E23,G23,I23,K23,M23,O23)=0,"",((E23&lt;&gt;"")*(F23&lt;&gt;"")+(G23&lt;&gt;"")*(H23&lt;&gt;"")+(I23&lt;&gt;"")*(J23&lt;&gt;"")+(K23&lt;&gt;"")*(L23&lt;&gt;"")+(M23&lt;&gt;"")*(N23&lt;&gt;"")+(O23&lt;&gt;"")*(P23&lt;&gt;""))/COUNT(E23,G23,I23,K23,M23,O23))</f>
        <v>0</v>
      </c>
      <c r="R23" s="26" t="n">
        <f aca="false">IF(T23="","",IF(T23=99999,"",T23))</f>
        <v>46311</v>
      </c>
      <c r="S23" s="27" t="str">
        <f aca="true">IF(T23="","",IF(T23=99999,"Concluído",IF(T23&lt;TODAY(),"Atrasado",IF(T23=TODAY(),"Hoje","Em dia"))))</f>
        <v>Em dia</v>
      </c>
      <c r="T23" s="29" t="n">
        <f aca="false">IF(COUNT(E23,G23,I23,K23,M23,O23)=0,"",MIN(IF(AND(E23&lt;&gt;"",F23=""),E23,99999),IF(AND(G23&lt;&gt;"",H23=""),G23,99999),IF(AND(I23&lt;&gt;"",J23=""),I23,99999),IF(AND(K23&lt;&gt;"",L23=""),K23,99999),IF(AND(M23&lt;&gt;"",N23=""),M23,99999),IF(AND(O23&lt;&gt;"",P23=""),O23,99999)))</f>
        <v>46311</v>
      </c>
    </row>
    <row r="24" customFormat="false" ht="15" hidden="false" customHeight="false" outlineLevel="0" collapsed="false">
      <c r="A24" s="20" t="n">
        <v>19</v>
      </c>
      <c r="B24" s="21" t="s">
        <v>105</v>
      </c>
      <c r="C24" s="21" t="s">
        <v>87</v>
      </c>
      <c r="D24" s="22" t="n">
        <v>46314</v>
      </c>
      <c r="E24" s="23" t="n">
        <f aca="false">IF(OR(NOT(ISNUMBER($D24)),Config!$G$6&lt;&gt;"Sim"),"",$D24+Config!$F$6+IF(AND(Config!$F$6&gt;0,WEEKDAY($D24+Config!$F$6)=Config!$E$24),1,0))</f>
        <v>46314</v>
      </c>
      <c r="F24" s="24"/>
      <c r="G24" s="23" t="n">
        <f aca="false">IF(OR(NOT(ISNUMBER($D24)),Config!$G$7&lt;&gt;"Sim"),"",$D24+Config!$F$7+IF(AND(Config!$F$7&gt;0,WEEKDAY($D24+Config!$F$7)=Config!$E$24),1,0))</f>
        <v>46315</v>
      </c>
      <c r="H24" s="24"/>
      <c r="I24" s="23" t="n">
        <f aca="false">IF(OR(NOT(ISNUMBER($D24)),Config!$G$8&lt;&gt;"Sim"),"",$D24+Config!$F$8+IF(AND(Config!$F$8&gt;0,WEEKDAY($D24+Config!$F$8)=Config!$E$24),1,0))</f>
        <v>46321</v>
      </c>
      <c r="J24" s="24"/>
      <c r="K24" s="23" t="n">
        <f aca="false">IF(OR(NOT(ISNUMBER($D24)),Config!$G$9&lt;&gt;"Sim"),"",$D24+Config!$F$9+IF(AND(Config!$F$9&gt;0,WEEKDAY($D24+Config!$F$9)=Config!$E$24),1,0))</f>
        <v>46329</v>
      </c>
      <c r="L24" s="24"/>
      <c r="M24" s="23" t="n">
        <f aca="false">IF(OR(NOT(ISNUMBER($D24)),Config!$G$10&lt;&gt;"Sim"),"",$D24+Config!$F$10+IF(AND(Config!$F$10&gt;0,WEEKDAY($D24+Config!$F$10)=Config!$E$24),1,0))</f>
        <v>46344</v>
      </c>
      <c r="N24" s="24"/>
      <c r="O24" s="23" t="n">
        <f aca="false">IF(OR(NOT(ISNUMBER($D24)),Config!$G$11&lt;&gt;"Sim"),"",$D24+Config!$F$11+IF(AND(Config!$F$11&gt;0,WEEKDAY($D24+Config!$F$11)=Config!$E$24),1,0))</f>
        <v>46374</v>
      </c>
      <c r="P24" s="24"/>
      <c r="Q24" s="25" t="n">
        <f aca="false">IF(COUNT(E24,G24,I24,K24,M24,O24)=0,"",((E24&lt;&gt;"")*(F24&lt;&gt;"")+(G24&lt;&gt;"")*(H24&lt;&gt;"")+(I24&lt;&gt;"")*(J24&lt;&gt;"")+(K24&lt;&gt;"")*(L24&lt;&gt;"")+(M24&lt;&gt;"")*(N24&lt;&gt;"")+(O24&lt;&gt;"")*(P24&lt;&gt;""))/COUNT(E24,G24,I24,K24,M24,O24))</f>
        <v>0</v>
      </c>
      <c r="R24" s="26" t="n">
        <f aca="false">IF(T24="","",IF(T24=99999,"",T24))</f>
        <v>46314</v>
      </c>
      <c r="S24" s="27" t="str">
        <f aca="true">IF(T24="","",IF(T24=99999,"Concluído",IF(T24&lt;TODAY(),"Atrasado",IF(T24=TODAY(),"Hoje","Em dia"))))</f>
        <v>Em dia</v>
      </c>
      <c r="T24" s="29" t="n">
        <f aca="false">IF(COUNT(E24,G24,I24,K24,M24,O24)=0,"",MIN(IF(AND(E24&lt;&gt;"",F24=""),E24,99999),IF(AND(G24&lt;&gt;"",H24=""),G24,99999),IF(AND(I24&lt;&gt;"",J24=""),I24,99999),IF(AND(K24&lt;&gt;"",L24=""),K24,99999),IF(AND(M24&lt;&gt;"",N24=""),M24,99999),IF(AND(O24&lt;&gt;"",P24=""),O24,99999)))</f>
        <v>46314</v>
      </c>
    </row>
    <row r="25" customFormat="false" ht="15" hidden="false" customHeight="false" outlineLevel="0" collapsed="false">
      <c r="A25" s="20" t="n">
        <v>20</v>
      </c>
      <c r="B25" s="21" t="s">
        <v>106</v>
      </c>
      <c r="C25" s="21" t="s">
        <v>96</v>
      </c>
      <c r="D25" s="22" t="n">
        <v>46315</v>
      </c>
      <c r="E25" s="23" t="n">
        <f aca="false">IF(OR(NOT(ISNUMBER($D25)),Config!$G$6&lt;&gt;"Sim"),"",$D25+Config!$F$6+IF(AND(Config!$F$6&gt;0,WEEKDAY($D25+Config!$F$6)=Config!$E$24),1,0))</f>
        <v>46315</v>
      </c>
      <c r="F25" s="24"/>
      <c r="G25" s="23" t="n">
        <f aca="false">IF(OR(NOT(ISNUMBER($D25)),Config!$G$7&lt;&gt;"Sim"),"",$D25+Config!$F$7+IF(AND(Config!$F$7&gt;0,WEEKDAY($D25+Config!$F$7)=Config!$E$24),1,0))</f>
        <v>46316</v>
      </c>
      <c r="H25" s="24"/>
      <c r="I25" s="23" t="n">
        <f aca="false">IF(OR(NOT(ISNUMBER($D25)),Config!$G$8&lt;&gt;"Sim"),"",$D25+Config!$F$8+IF(AND(Config!$F$8&gt;0,WEEKDAY($D25+Config!$F$8)=Config!$E$24),1,0))</f>
        <v>46322</v>
      </c>
      <c r="J25" s="24"/>
      <c r="K25" s="23" t="n">
        <f aca="false">IF(OR(NOT(ISNUMBER($D25)),Config!$G$9&lt;&gt;"Sim"),"",$D25+Config!$F$9+IF(AND(Config!$F$9&gt;0,WEEKDAY($D25+Config!$F$9)=Config!$E$24),1,0))</f>
        <v>46330</v>
      </c>
      <c r="L25" s="24"/>
      <c r="M25" s="23" t="n">
        <f aca="false">IF(OR(NOT(ISNUMBER($D25)),Config!$G$10&lt;&gt;"Sim"),"",$D25+Config!$F$10+IF(AND(Config!$F$10&gt;0,WEEKDAY($D25+Config!$F$10)=Config!$E$24),1,0))</f>
        <v>46345</v>
      </c>
      <c r="N25" s="24"/>
      <c r="O25" s="23" t="n">
        <f aca="false">IF(OR(NOT(ISNUMBER($D25)),Config!$G$11&lt;&gt;"Sim"),"",$D25+Config!$F$11+IF(AND(Config!$F$11&gt;0,WEEKDAY($D25+Config!$F$11)=Config!$E$24),1,0))</f>
        <v>46375</v>
      </c>
      <c r="P25" s="24"/>
      <c r="Q25" s="25" t="n">
        <f aca="false">IF(COUNT(E25,G25,I25,K25,M25,O25)=0,"",((E25&lt;&gt;"")*(F25&lt;&gt;"")+(G25&lt;&gt;"")*(H25&lt;&gt;"")+(I25&lt;&gt;"")*(J25&lt;&gt;"")+(K25&lt;&gt;"")*(L25&lt;&gt;"")+(M25&lt;&gt;"")*(N25&lt;&gt;"")+(O25&lt;&gt;"")*(P25&lt;&gt;""))/COUNT(E25,G25,I25,K25,M25,O25))</f>
        <v>0</v>
      </c>
      <c r="R25" s="26" t="n">
        <f aca="false">IF(T25="","",IF(T25=99999,"",T25))</f>
        <v>46315</v>
      </c>
      <c r="S25" s="27" t="str">
        <f aca="true">IF(T25="","",IF(T25=99999,"Concluído",IF(T25&lt;TODAY(),"Atrasado",IF(T25=TODAY(),"Hoje","Em dia"))))</f>
        <v>Em dia</v>
      </c>
      <c r="T25" s="29" t="n">
        <f aca="false">IF(COUNT(E25,G25,I25,K25,M25,O25)=0,"",MIN(IF(AND(E25&lt;&gt;"",F25=""),E25,99999),IF(AND(G25&lt;&gt;"",H25=""),G25,99999),IF(AND(I25&lt;&gt;"",J25=""),I25,99999),IF(AND(K25&lt;&gt;"",L25=""),K25,99999),IF(AND(M25&lt;&gt;"",N25=""),M25,99999),IF(AND(O25&lt;&gt;"",P25=""),O25,99999)))</f>
        <v>46315</v>
      </c>
    </row>
    <row r="26" customFormat="false" ht="15" hidden="false" customHeight="false" outlineLevel="0" collapsed="false">
      <c r="A26" s="20" t="n">
        <v>21</v>
      </c>
      <c r="B26" s="21" t="s">
        <v>107</v>
      </c>
      <c r="C26" s="21" t="s">
        <v>87</v>
      </c>
      <c r="D26" s="22" t="n">
        <v>46315</v>
      </c>
      <c r="E26" s="23" t="n">
        <f aca="false">IF(OR(NOT(ISNUMBER($D26)),Config!$G$6&lt;&gt;"Sim"),"",$D26+Config!$F$6+IF(AND(Config!$F$6&gt;0,WEEKDAY($D26+Config!$F$6)=Config!$E$24),1,0))</f>
        <v>46315</v>
      </c>
      <c r="F26" s="24"/>
      <c r="G26" s="23" t="n">
        <f aca="false">IF(OR(NOT(ISNUMBER($D26)),Config!$G$7&lt;&gt;"Sim"),"",$D26+Config!$F$7+IF(AND(Config!$F$7&gt;0,WEEKDAY($D26+Config!$F$7)=Config!$E$24),1,0))</f>
        <v>46316</v>
      </c>
      <c r="H26" s="24"/>
      <c r="I26" s="23" t="n">
        <f aca="false">IF(OR(NOT(ISNUMBER($D26)),Config!$G$8&lt;&gt;"Sim"),"",$D26+Config!$F$8+IF(AND(Config!$F$8&gt;0,WEEKDAY($D26+Config!$F$8)=Config!$E$24),1,0))</f>
        <v>46322</v>
      </c>
      <c r="J26" s="24"/>
      <c r="K26" s="23" t="n">
        <f aca="false">IF(OR(NOT(ISNUMBER($D26)),Config!$G$9&lt;&gt;"Sim"),"",$D26+Config!$F$9+IF(AND(Config!$F$9&gt;0,WEEKDAY($D26+Config!$F$9)=Config!$E$24),1,0))</f>
        <v>46330</v>
      </c>
      <c r="L26" s="24"/>
      <c r="M26" s="23" t="n">
        <f aca="false">IF(OR(NOT(ISNUMBER($D26)),Config!$G$10&lt;&gt;"Sim"),"",$D26+Config!$F$10+IF(AND(Config!$F$10&gt;0,WEEKDAY($D26+Config!$F$10)=Config!$E$24),1,0))</f>
        <v>46345</v>
      </c>
      <c r="N26" s="24"/>
      <c r="O26" s="23" t="n">
        <f aca="false">IF(OR(NOT(ISNUMBER($D26)),Config!$G$11&lt;&gt;"Sim"),"",$D26+Config!$F$11+IF(AND(Config!$F$11&gt;0,WEEKDAY($D26+Config!$F$11)=Config!$E$24),1,0))</f>
        <v>46375</v>
      </c>
      <c r="P26" s="24"/>
      <c r="Q26" s="25" t="n">
        <f aca="false">IF(COUNT(E26,G26,I26,K26,M26,O26)=0,"",((E26&lt;&gt;"")*(F26&lt;&gt;"")+(G26&lt;&gt;"")*(H26&lt;&gt;"")+(I26&lt;&gt;"")*(J26&lt;&gt;"")+(K26&lt;&gt;"")*(L26&lt;&gt;"")+(M26&lt;&gt;"")*(N26&lt;&gt;"")+(O26&lt;&gt;"")*(P26&lt;&gt;""))/COUNT(E26,G26,I26,K26,M26,O26))</f>
        <v>0</v>
      </c>
      <c r="R26" s="26" t="n">
        <f aca="false">IF(T26="","",IF(T26=99999,"",T26))</f>
        <v>46315</v>
      </c>
      <c r="S26" s="27" t="str">
        <f aca="true">IF(T26="","",IF(T26=99999,"Concluído",IF(T26&lt;TODAY(),"Atrasado",IF(T26=TODAY(),"Hoje","Em dia"))))</f>
        <v>Em dia</v>
      </c>
      <c r="T26" s="29" t="n">
        <f aca="false">IF(COUNT(E26,G26,I26,K26,M26,O26)=0,"",MIN(IF(AND(E26&lt;&gt;"",F26=""),E26,99999),IF(AND(G26&lt;&gt;"",H26=""),G26,99999),IF(AND(I26&lt;&gt;"",J26=""),I26,99999),IF(AND(K26&lt;&gt;"",L26=""),K26,99999),IF(AND(M26&lt;&gt;"",N26=""),M26,99999),IF(AND(O26&lt;&gt;"",P26=""),O26,99999)))</f>
        <v>46315</v>
      </c>
    </row>
    <row r="27" customFormat="false" ht="15" hidden="false" customHeight="false" outlineLevel="0" collapsed="false">
      <c r="A27" s="20" t="n">
        <v>22</v>
      </c>
      <c r="B27" s="21" t="s">
        <v>108</v>
      </c>
      <c r="C27" s="21" t="s">
        <v>87</v>
      </c>
      <c r="D27" s="22" t="n">
        <v>46318</v>
      </c>
      <c r="E27" s="23" t="n">
        <f aca="false">IF(OR(NOT(ISNUMBER($D27)),Config!$G$6&lt;&gt;"Sim"),"",$D27+Config!$F$6+IF(AND(Config!$F$6&gt;0,WEEKDAY($D27+Config!$F$6)=Config!$E$24),1,0))</f>
        <v>46318</v>
      </c>
      <c r="F27" s="24"/>
      <c r="G27" s="23" t="n">
        <f aca="false">IF(OR(NOT(ISNUMBER($D27)),Config!$G$7&lt;&gt;"Sim"),"",$D27+Config!$F$7+IF(AND(Config!$F$7&gt;0,WEEKDAY($D27+Config!$F$7)=Config!$E$24),1,0))</f>
        <v>46319</v>
      </c>
      <c r="H27" s="24"/>
      <c r="I27" s="23" t="n">
        <f aca="false">IF(OR(NOT(ISNUMBER($D27)),Config!$G$8&lt;&gt;"Sim"),"",$D27+Config!$F$8+IF(AND(Config!$F$8&gt;0,WEEKDAY($D27+Config!$F$8)=Config!$E$24),1,0))</f>
        <v>46325</v>
      </c>
      <c r="J27" s="24"/>
      <c r="K27" s="23" t="n">
        <f aca="false">IF(OR(NOT(ISNUMBER($D27)),Config!$G$9&lt;&gt;"Sim"),"",$D27+Config!$F$9+IF(AND(Config!$F$9&gt;0,WEEKDAY($D27+Config!$F$9)=Config!$E$24),1,0))</f>
        <v>46333</v>
      </c>
      <c r="L27" s="24"/>
      <c r="M27" s="23" t="n">
        <f aca="false">IF(OR(NOT(ISNUMBER($D27)),Config!$G$10&lt;&gt;"Sim"),"",$D27+Config!$F$10+IF(AND(Config!$F$10&gt;0,WEEKDAY($D27+Config!$F$10)=Config!$E$24),1,0))</f>
        <v>46348</v>
      </c>
      <c r="N27" s="24"/>
      <c r="O27" s="23" t="n">
        <f aca="false">IF(OR(NOT(ISNUMBER($D27)),Config!$G$11&lt;&gt;"Sim"),"",$D27+Config!$F$11+IF(AND(Config!$F$11&gt;0,WEEKDAY($D27+Config!$F$11)=Config!$E$24),1,0))</f>
        <v>46378</v>
      </c>
      <c r="P27" s="24"/>
      <c r="Q27" s="25" t="n">
        <f aca="false">IF(COUNT(E27,G27,I27,K27,M27,O27)=0,"",((E27&lt;&gt;"")*(F27&lt;&gt;"")+(G27&lt;&gt;"")*(H27&lt;&gt;"")+(I27&lt;&gt;"")*(J27&lt;&gt;"")+(K27&lt;&gt;"")*(L27&lt;&gt;"")+(M27&lt;&gt;"")*(N27&lt;&gt;"")+(O27&lt;&gt;"")*(P27&lt;&gt;""))/COUNT(E27,G27,I27,K27,M27,O27))</f>
        <v>0</v>
      </c>
      <c r="R27" s="26" t="n">
        <f aca="false">IF(T27="","",IF(T27=99999,"",T27))</f>
        <v>46318</v>
      </c>
      <c r="S27" s="27" t="str">
        <f aca="true">IF(T27="","",IF(T27=99999,"Concluído",IF(T27&lt;TODAY(),"Atrasado",IF(T27=TODAY(),"Hoje","Em dia"))))</f>
        <v>Em dia</v>
      </c>
      <c r="T27" s="29" t="n">
        <f aca="false">IF(COUNT(E27,G27,I27,K27,M27,O27)=0,"",MIN(IF(AND(E27&lt;&gt;"",F27=""),E27,99999),IF(AND(G27&lt;&gt;"",H27=""),G27,99999),IF(AND(I27&lt;&gt;"",J27=""),I27,99999),IF(AND(K27&lt;&gt;"",L27=""),K27,99999),IF(AND(M27&lt;&gt;"",N27=""),M27,99999),IF(AND(O27&lt;&gt;"",P27=""),O27,99999)))</f>
        <v>46318</v>
      </c>
    </row>
    <row r="28" customFormat="false" ht="15" hidden="false" customHeight="false" outlineLevel="0" collapsed="false">
      <c r="A28" s="20" t="n">
        <v>23</v>
      </c>
      <c r="B28" s="21" t="s">
        <v>109</v>
      </c>
      <c r="C28" s="21" t="s">
        <v>87</v>
      </c>
      <c r="D28" s="22" t="n">
        <v>46318</v>
      </c>
      <c r="E28" s="23" t="n">
        <f aca="false">IF(OR(NOT(ISNUMBER($D28)),Config!$G$6&lt;&gt;"Sim"),"",$D28+Config!$F$6+IF(AND(Config!$F$6&gt;0,WEEKDAY($D28+Config!$F$6)=Config!$E$24),1,0))</f>
        <v>46318</v>
      </c>
      <c r="F28" s="24"/>
      <c r="G28" s="23" t="n">
        <f aca="false">IF(OR(NOT(ISNUMBER($D28)),Config!$G$7&lt;&gt;"Sim"),"",$D28+Config!$F$7+IF(AND(Config!$F$7&gt;0,WEEKDAY($D28+Config!$F$7)=Config!$E$24),1,0))</f>
        <v>46319</v>
      </c>
      <c r="H28" s="24"/>
      <c r="I28" s="23" t="n">
        <f aca="false">IF(OR(NOT(ISNUMBER($D28)),Config!$G$8&lt;&gt;"Sim"),"",$D28+Config!$F$8+IF(AND(Config!$F$8&gt;0,WEEKDAY($D28+Config!$F$8)=Config!$E$24),1,0))</f>
        <v>46325</v>
      </c>
      <c r="J28" s="24"/>
      <c r="K28" s="23" t="n">
        <f aca="false">IF(OR(NOT(ISNUMBER($D28)),Config!$G$9&lt;&gt;"Sim"),"",$D28+Config!$F$9+IF(AND(Config!$F$9&gt;0,WEEKDAY($D28+Config!$F$9)=Config!$E$24),1,0))</f>
        <v>46333</v>
      </c>
      <c r="L28" s="24"/>
      <c r="M28" s="23" t="n">
        <f aca="false">IF(OR(NOT(ISNUMBER($D28)),Config!$G$10&lt;&gt;"Sim"),"",$D28+Config!$F$10+IF(AND(Config!$F$10&gt;0,WEEKDAY($D28+Config!$F$10)=Config!$E$24),1,0))</f>
        <v>46348</v>
      </c>
      <c r="N28" s="24"/>
      <c r="O28" s="23" t="n">
        <f aca="false">IF(OR(NOT(ISNUMBER($D28)),Config!$G$11&lt;&gt;"Sim"),"",$D28+Config!$F$11+IF(AND(Config!$F$11&gt;0,WEEKDAY($D28+Config!$F$11)=Config!$E$24),1,0))</f>
        <v>46378</v>
      </c>
      <c r="P28" s="24"/>
      <c r="Q28" s="25" t="n">
        <f aca="false">IF(COUNT(E28,G28,I28,K28,M28,O28)=0,"",((E28&lt;&gt;"")*(F28&lt;&gt;"")+(G28&lt;&gt;"")*(H28&lt;&gt;"")+(I28&lt;&gt;"")*(J28&lt;&gt;"")+(K28&lt;&gt;"")*(L28&lt;&gt;"")+(M28&lt;&gt;"")*(N28&lt;&gt;"")+(O28&lt;&gt;"")*(P28&lt;&gt;""))/COUNT(E28,G28,I28,K28,M28,O28))</f>
        <v>0</v>
      </c>
      <c r="R28" s="26" t="n">
        <f aca="false">IF(T28="","",IF(T28=99999,"",T28))</f>
        <v>46318</v>
      </c>
      <c r="S28" s="27" t="str">
        <f aca="true">IF(T28="","",IF(T28=99999,"Concluído",IF(T28&lt;TODAY(),"Atrasado",IF(T28=TODAY(),"Hoje","Em dia"))))</f>
        <v>Em dia</v>
      </c>
      <c r="T28" s="29" t="n">
        <f aca="false">IF(COUNT(E28,G28,I28,K28,M28,O28)=0,"",MIN(IF(AND(E28&lt;&gt;"",F28=""),E28,99999),IF(AND(G28&lt;&gt;"",H28=""),G28,99999),IF(AND(I28&lt;&gt;"",J28=""),I28,99999),IF(AND(K28&lt;&gt;"",L28=""),K28,99999),IF(AND(M28&lt;&gt;"",N28=""),M28,99999),IF(AND(O28&lt;&gt;"",P28=""),O28,99999)))</f>
        <v>46318</v>
      </c>
    </row>
    <row r="29" customFormat="false" ht="15" hidden="false" customHeight="false" outlineLevel="0" collapsed="false">
      <c r="A29" s="20" t="n">
        <v>24</v>
      </c>
      <c r="B29" s="21" t="s">
        <v>110</v>
      </c>
      <c r="C29" s="21" t="s">
        <v>87</v>
      </c>
      <c r="D29" s="22" t="n">
        <v>46318</v>
      </c>
      <c r="E29" s="23" t="n">
        <f aca="false">IF(OR(NOT(ISNUMBER($D29)),Config!$G$6&lt;&gt;"Sim"),"",$D29+Config!$F$6+IF(AND(Config!$F$6&gt;0,WEEKDAY($D29+Config!$F$6)=Config!$E$24),1,0))</f>
        <v>46318</v>
      </c>
      <c r="F29" s="24"/>
      <c r="G29" s="23" t="n">
        <f aca="false">IF(OR(NOT(ISNUMBER($D29)),Config!$G$7&lt;&gt;"Sim"),"",$D29+Config!$F$7+IF(AND(Config!$F$7&gt;0,WEEKDAY($D29+Config!$F$7)=Config!$E$24),1,0))</f>
        <v>46319</v>
      </c>
      <c r="H29" s="24"/>
      <c r="I29" s="23" t="n">
        <f aca="false">IF(OR(NOT(ISNUMBER($D29)),Config!$G$8&lt;&gt;"Sim"),"",$D29+Config!$F$8+IF(AND(Config!$F$8&gt;0,WEEKDAY($D29+Config!$F$8)=Config!$E$24),1,0))</f>
        <v>46325</v>
      </c>
      <c r="J29" s="24"/>
      <c r="K29" s="23" t="n">
        <f aca="false">IF(OR(NOT(ISNUMBER($D29)),Config!$G$9&lt;&gt;"Sim"),"",$D29+Config!$F$9+IF(AND(Config!$F$9&gt;0,WEEKDAY($D29+Config!$F$9)=Config!$E$24),1,0))</f>
        <v>46333</v>
      </c>
      <c r="L29" s="24"/>
      <c r="M29" s="23" t="n">
        <f aca="false">IF(OR(NOT(ISNUMBER($D29)),Config!$G$10&lt;&gt;"Sim"),"",$D29+Config!$F$10+IF(AND(Config!$F$10&gt;0,WEEKDAY($D29+Config!$F$10)=Config!$E$24),1,0))</f>
        <v>46348</v>
      </c>
      <c r="N29" s="24"/>
      <c r="O29" s="23" t="n">
        <f aca="false">IF(OR(NOT(ISNUMBER($D29)),Config!$G$11&lt;&gt;"Sim"),"",$D29+Config!$F$11+IF(AND(Config!$F$11&gt;0,WEEKDAY($D29+Config!$F$11)=Config!$E$24),1,0))</f>
        <v>46378</v>
      </c>
      <c r="P29" s="24"/>
      <c r="Q29" s="25" t="n">
        <f aca="false">IF(COUNT(E29,G29,I29,K29,M29,O29)=0,"",((E29&lt;&gt;"")*(F29&lt;&gt;"")+(G29&lt;&gt;"")*(H29&lt;&gt;"")+(I29&lt;&gt;"")*(J29&lt;&gt;"")+(K29&lt;&gt;"")*(L29&lt;&gt;"")+(M29&lt;&gt;"")*(N29&lt;&gt;"")+(O29&lt;&gt;"")*(P29&lt;&gt;""))/COUNT(E29,G29,I29,K29,M29,O29))</f>
        <v>0</v>
      </c>
      <c r="R29" s="26" t="n">
        <f aca="false">IF(T29="","",IF(T29=99999,"",T29))</f>
        <v>46318</v>
      </c>
      <c r="S29" s="27" t="str">
        <f aca="true">IF(T29="","",IF(T29=99999,"Concluído",IF(T29&lt;TODAY(),"Atrasado",IF(T29=TODAY(),"Hoje","Em dia"))))</f>
        <v>Em dia</v>
      </c>
      <c r="T29" s="29" t="n">
        <f aca="false">IF(COUNT(E29,G29,I29,K29,M29,O29)=0,"",MIN(IF(AND(E29&lt;&gt;"",F29=""),E29,99999),IF(AND(G29&lt;&gt;"",H29=""),G29,99999),IF(AND(I29&lt;&gt;"",J29=""),I29,99999),IF(AND(K29&lt;&gt;"",L29=""),K29,99999),IF(AND(M29&lt;&gt;"",N29=""),M29,99999),IF(AND(O29&lt;&gt;"",P29=""),O29,99999)))</f>
        <v>46318</v>
      </c>
    </row>
    <row r="30" customFormat="false" ht="15" hidden="false" customHeight="false" outlineLevel="0" collapsed="false">
      <c r="A30" s="20" t="n">
        <v>25</v>
      </c>
      <c r="B30" s="21" t="s">
        <v>111</v>
      </c>
      <c r="C30" s="21" t="s">
        <v>96</v>
      </c>
      <c r="D30" s="22" t="n">
        <v>46321</v>
      </c>
      <c r="E30" s="23" t="n">
        <f aca="false">IF(OR(NOT(ISNUMBER($D30)),Config!$G$6&lt;&gt;"Sim"),"",$D30+Config!$F$6+IF(AND(Config!$F$6&gt;0,WEEKDAY($D30+Config!$F$6)=Config!$E$24),1,0))</f>
        <v>46321</v>
      </c>
      <c r="F30" s="24"/>
      <c r="G30" s="23" t="n">
        <f aca="false">IF(OR(NOT(ISNUMBER($D30)),Config!$G$7&lt;&gt;"Sim"),"",$D30+Config!$F$7+IF(AND(Config!$F$7&gt;0,WEEKDAY($D30+Config!$F$7)=Config!$E$24),1,0))</f>
        <v>46322</v>
      </c>
      <c r="H30" s="24"/>
      <c r="I30" s="23" t="n">
        <f aca="false">IF(OR(NOT(ISNUMBER($D30)),Config!$G$8&lt;&gt;"Sim"),"",$D30+Config!$F$8+IF(AND(Config!$F$8&gt;0,WEEKDAY($D30+Config!$F$8)=Config!$E$24),1,0))</f>
        <v>46328</v>
      </c>
      <c r="J30" s="24"/>
      <c r="K30" s="23" t="n">
        <f aca="false">IF(OR(NOT(ISNUMBER($D30)),Config!$G$9&lt;&gt;"Sim"),"",$D30+Config!$F$9+IF(AND(Config!$F$9&gt;0,WEEKDAY($D30+Config!$F$9)=Config!$E$24),1,0))</f>
        <v>46336</v>
      </c>
      <c r="L30" s="24"/>
      <c r="M30" s="23" t="n">
        <f aca="false">IF(OR(NOT(ISNUMBER($D30)),Config!$G$10&lt;&gt;"Sim"),"",$D30+Config!$F$10+IF(AND(Config!$F$10&gt;0,WEEKDAY($D30+Config!$F$10)=Config!$E$24),1,0))</f>
        <v>46351</v>
      </c>
      <c r="N30" s="24"/>
      <c r="O30" s="23" t="n">
        <f aca="false">IF(OR(NOT(ISNUMBER($D30)),Config!$G$11&lt;&gt;"Sim"),"",$D30+Config!$F$11+IF(AND(Config!$F$11&gt;0,WEEKDAY($D30+Config!$F$11)=Config!$E$24),1,0))</f>
        <v>46381</v>
      </c>
      <c r="P30" s="24"/>
      <c r="Q30" s="25" t="n">
        <f aca="false">IF(COUNT(E30,G30,I30,K30,M30,O30)=0,"",((E30&lt;&gt;"")*(F30&lt;&gt;"")+(G30&lt;&gt;"")*(H30&lt;&gt;"")+(I30&lt;&gt;"")*(J30&lt;&gt;"")+(K30&lt;&gt;"")*(L30&lt;&gt;"")+(M30&lt;&gt;"")*(N30&lt;&gt;"")+(O30&lt;&gt;"")*(P30&lt;&gt;""))/COUNT(E30,G30,I30,K30,M30,O30))</f>
        <v>0</v>
      </c>
      <c r="R30" s="26" t="n">
        <f aca="false">IF(T30="","",IF(T30=99999,"",T30))</f>
        <v>46321</v>
      </c>
      <c r="S30" s="27" t="str">
        <f aca="true">IF(T30="","",IF(T30=99999,"Concluído",IF(T30&lt;TODAY(),"Atrasado",IF(T30=TODAY(),"Hoje","Em dia"))))</f>
        <v>Em dia</v>
      </c>
      <c r="T30" s="29" t="n">
        <f aca="false">IF(COUNT(E30,G30,I30,K30,M30,O30)=0,"",MIN(IF(AND(E30&lt;&gt;"",F30=""),E30,99999),IF(AND(G30&lt;&gt;"",H30=""),G30,99999),IF(AND(I30&lt;&gt;"",J30=""),I30,99999),IF(AND(K30&lt;&gt;"",L30=""),K30,99999),IF(AND(M30&lt;&gt;"",N30=""),M30,99999),IF(AND(O30&lt;&gt;"",P30=""),O30,99999)))</f>
        <v>46321</v>
      </c>
    </row>
    <row r="31" customFormat="false" ht="15" hidden="false" customHeight="false" outlineLevel="0" collapsed="false">
      <c r="A31" s="20" t="n">
        <v>26</v>
      </c>
      <c r="B31" s="21" t="s">
        <v>112</v>
      </c>
      <c r="C31" s="21" t="s">
        <v>87</v>
      </c>
      <c r="D31" s="22" t="n">
        <v>46322</v>
      </c>
      <c r="E31" s="23" t="n">
        <f aca="false">IF(OR(NOT(ISNUMBER($D31)),Config!$G$6&lt;&gt;"Sim"),"",$D31+Config!$F$6+IF(AND(Config!$F$6&gt;0,WEEKDAY($D31+Config!$F$6)=Config!$E$24),1,0))</f>
        <v>46322</v>
      </c>
      <c r="F31" s="24"/>
      <c r="G31" s="23" t="n">
        <f aca="false">IF(OR(NOT(ISNUMBER($D31)),Config!$G$7&lt;&gt;"Sim"),"",$D31+Config!$F$7+IF(AND(Config!$F$7&gt;0,WEEKDAY($D31+Config!$F$7)=Config!$E$24),1,0))</f>
        <v>46323</v>
      </c>
      <c r="H31" s="24"/>
      <c r="I31" s="23" t="n">
        <f aca="false">IF(OR(NOT(ISNUMBER($D31)),Config!$G$8&lt;&gt;"Sim"),"",$D31+Config!$F$8+IF(AND(Config!$F$8&gt;0,WEEKDAY($D31+Config!$F$8)=Config!$E$24),1,0))</f>
        <v>46329</v>
      </c>
      <c r="J31" s="24"/>
      <c r="K31" s="23" t="n">
        <f aca="false">IF(OR(NOT(ISNUMBER($D31)),Config!$G$9&lt;&gt;"Sim"),"",$D31+Config!$F$9+IF(AND(Config!$F$9&gt;0,WEEKDAY($D31+Config!$F$9)=Config!$E$24),1,0))</f>
        <v>46337</v>
      </c>
      <c r="L31" s="24"/>
      <c r="M31" s="23" t="n">
        <f aca="false">IF(OR(NOT(ISNUMBER($D31)),Config!$G$10&lt;&gt;"Sim"),"",$D31+Config!$F$10+IF(AND(Config!$F$10&gt;0,WEEKDAY($D31+Config!$F$10)=Config!$E$24),1,0))</f>
        <v>46352</v>
      </c>
      <c r="N31" s="24"/>
      <c r="O31" s="23" t="n">
        <f aca="false">IF(OR(NOT(ISNUMBER($D31)),Config!$G$11&lt;&gt;"Sim"),"",$D31+Config!$F$11+IF(AND(Config!$F$11&gt;0,WEEKDAY($D31+Config!$F$11)=Config!$E$24),1,0))</f>
        <v>46382</v>
      </c>
      <c r="P31" s="24"/>
      <c r="Q31" s="25" t="n">
        <f aca="false">IF(COUNT(E31,G31,I31,K31,M31,O31)=0,"",((E31&lt;&gt;"")*(F31&lt;&gt;"")+(G31&lt;&gt;"")*(H31&lt;&gt;"")+(I31&lt;&gt;"")*(J31&lt;&gt;"")+(K31&lt;&gt;"")*(L31&lt;&gt;"")+(M31&lt;&gt;"")*(N31&lt;&gt;"")+(O31&lt;&gt;"")*(P31&lt;&gt;""))/COUNT(E31,G31,I31,K31,M31,O31))</f>
        <v>0</v>
      </c>
      <c r="R31" s="26" t="n">
        <f aca="false">IF(T31="","",IF(T31=99999,"",T31))</f>
        <v>46322</v>
      </c>
      <c r="S31" s="27" t="str">
        <f aca="true">IF(T31="","",IF(T31=99999,"Concluído",IF(T31&lt;TODAY(),"Atrasado",IF(T31=TODAY(),"Hoje","Em dia"))))</f>
        <v>Em dia</v>
      </c>
      <c r="T31" s="29" t="n">
        <f aca="false">IF(COUNT(E31,G31,I31,K31,M31,O31)=0,"",MIN(IF(AND(E31&lt;&gt;"",F31=""),E31,99999),IF(AND(G31&lt;&gt;"",H31=""),G31,99999),IF(AND(I31&lt;&gt;"",J31=""),I31,99999),IF(AND(K31&lt;&gt;"",L31=""),K31,99999),IF(AND(M31&lt;&gt;"",N31=""),M31,99999),IF(AND(O31&lt;&gt;"",P31=""),O31,99999)))</f>
        <v>46322</v>
      </c>
    </row>
    <row r="32" customFormat="false" ht="15" hidden="false" customHeight="false" outlineLevel="0" collapsed="false">
      <c r="A32" s="20" t="n">
        <v>27</v>
      </c>
      <c r="B32" s="21"/>
      <c r="C32" s="21"/>
      <c r="D32" s="22"/>
      <c r="E32" s="23" t="str">
        <f aca="false">IF(OR(NOT(ISNUMBER($D32)),Config!$G$6&lt;&gt;"Sim"),"",$D32+Config!$F$6+IF(AND(Config!$F$6&gt;0,WEEKDAY($D32+Config!$F$6)=Config!$E$24),1,0))</f>
        <v/>
      </c>
      <c r="F32" s="24"/>
      <c r="G32" s="23" t="str">
        <f aca="false">IF(OR(NOT(ISNUMBER($D32)),Config!$G$7&lt;&gt;"Sim"),"",$D32+Config!$F$7+IF(AND(Config!$F$7&gt;0,WEEKDAY($D32+Config!$F$7)=Config!$E$24),1,0))</f>
        <v/>
      </c>
      <c r="H32" s="24"/>
      <c r="I32" s="23" t="str">
        <f aca="false">IF(OR(NOT(ISNUMBER($D32)),Config!$G$8&lt;&gt;"Sim"),"",$D32+Config!$F$8+IF(AND(Config!$F$8&gt;0,WEEKDAY($D32+Config!$F$8)=Config!$E$24),1,0))</f>
        <v/>
      </c>
      <c r="J32" s="24"/>
      <c r="K32" s="23" t="str">
        <f aca="false">IF(OR(NOT(ISNUMBER($D32)),Config!$G$9&lt;&gt;"Sim"),"",$D32+Config!$F$9+IF(AND(Config!$F$9&gt;0,WEEKDAY($D32+Config!$F$9)=Config!$E$24),1,0))</f>
        <v/>
      </c>
      <c r="L32" s="24"/>
      <c r="M32" s="23" t="str">
        <f aca="false">IF(OR(NOT(ISNUMBER($D32)),Config!$G$10&lt;&gt;"Sim"),"",$D32+Config!$F$10+IF(AND(Config!$F$10&gt;0,WEEKDAY($D32+Config!$F$10)=Config!$E$24),1,0))</f>
        <v/>
      </c>
      <c r="N32" s="24"/>
      <c r="O32" s="23" t="str">
        <f aca="false">IF(OR(NOT(ISNUMBER($D32)),Config!$G$11&lt;&gt;"Sim"),"",$D32+Config!$F$11+IF(AND(Config!$F$11&gt;0,WEEKDAY($D32+Config!$F$11)=Config!$E$24),1,0))</f>
        <v/>
      </c>
      <c r="P32" s="24"/>
      <c r="Q32" s="25" t="str">
        <f aca="false">IF(COUNT(E32,G32,I32,K32,M32,O32)=0,"",((E32&lt;&gt;"")*(F32&lt;&gt;"")+(G32&lt;&gt;"")*(H32&lt;&gt;"")+(I32&lt;&gt;"")*(J32&lt;&gt;"")+(K32&lt;&gt;"")*(L32&lt;&gt;"")+(M32&lt;&gt;"")*(N32&lt;&gt;"")+(O32&lt;&gt;"")*(P32&lt;&gt;""))/COUNT(E32,G32,I32,K32,M32,O32))</f>
        <v/>
      </c>
      <c r="R32" s="26" t="str">
        <f aca="false">IF(T32="","",IF(T32=99999,"",T32))</f>
        <v/>
      </c>
      <c r="S32" s="27" t="str">
        <f aca="true">IF(T32="","",IF(T32=99999,"Concluído",IF(T32&lt;TODAY(),"Atrasado",IF(T32=TODAY(),"Hoje","Em dia"))))</f>
        <v/>
      </c>
      <c r="T32" s="28" t="str">
        <f aca="false">IF(COUNT(E32,G32,I32,K32,M32,O32)=0,"",MIN(IF(AND(E32&lt;&gt;"",F32=""),E32,99999),IF(AND(G32&lt;&gt;"",H32=""),G32,99999),IF(AND(I32&lt;&gt;"",J32=""),I32,99999),IF(AND(K32&lt;&gt;"",L32=""),K32,99999),IF(AND(M32&lt;&gt;"",N32=""),M32,99999),IF(AND(O32&lt;&gt;"",P32=""),O32,99999)))</f>
        <v/>
      </c>
    </row>
    <row r="33" customFormat="false" ht="15" hidden="false" customHeight="false" outlineLevel="0" collapsed="false">
      <c r="A33" s="20" t="n">
        <v>28</v>
      </c>
      <c r="B33" s="21"/>
      <c r="C33" s="21"/>
      <c r="D33" s="22"/>
      <c r="E33" s="23" t="str">
        <f aca="false">IF(OR(NOT(ISNUMBER($D33)),Config!$G$6&lt;&gt;"Sim"),"",$D33+Config!$F$6+IF(AND(Config!$F$6&gt;0,WEEKDAY($D33+Config!$F$6)=Config!$E$24),1,0))</f>
        <v/>
      </c>
      <c r="F33" s="24"/>
      <c r="G33" s="23" t="str">
        <f aca="false">IF(OR(NOT(ISNUMBER($D33)),Config!$G$7&lt;&gt;"Sim"),"",$D33+Config!$F$7+IF(AND(Config!$F$7&gt;0,WEEKDAY($D33+Config!$F$7)=Config!$E$24),1,0))</f>
        <v/>
      </c>
      <c r="H33" s="24"/>
      <c r="I33" s="23" t="str">
        <f aca="false">IF(OR(NOT(ISNUMBER($D33)),Config!$G$8&lt;&gt;"Sim"),"",$D33+Config!$F$8+IF(AND(Config!$F$8&gt;0,WEEKDAY($D33+Config!$F$8)=Config!$E$24),1,0))</f>
        <v/>
      </c>
      <c r="J33" s="24"/>
      <c r="K33" s="23" t="str">
        <f aca="false">IF(OR(NOT(ISNUMBER($D33)),Config!$G$9&lt;&gt;"Sim"),"",$D33+Config!$F$9+IF(AND(Config!$F$9&gt;0,WEEKDAY($D33+Config!$F$9)=Config!$E$24),1,0))</f>
        <v/>
      </c>
      <c r="L33" s="24"/>
      <c r="M33" s="23" t="str">
        <f aca="false">IF(OR(NOT(ISNUMBER($D33)),Config!$G$10&lt;&gt;"Sim"),"",$D33+Config!$F$10+IF(AND(Config!$F$10&gt;0,WEEKDAY($D33+Config!$F$10)=Config!$E$24),1,0))</f>
        <v/>
      </c>
      <c r="N33" s="24"/>
      <c r="O33" s="23" t="str">
        <f aca="false">IF(OR(NOT(ISNUMBER($D33)),Config!$G$11&lt;&gt;"Sim"),"",$D33+Config!$F$11+IF(AND(Config!$F$11&gt;0,WEEKDAY($D33+Config!$F$11)=Config!$E$24),1,0))</f>
        <v/>
      </c>
      <c r="P33" s="24"/>
      <c r="Q33" s="25" t="str">
        <f aca="false">IF(COUNT(E33,G33,I33,K33,M33,O33)=0,"",((E33&lt;&gt;"")*(F33&lt;&gt;"")+(G33&lt;&gt;"")*(H33&lt;&gt;"")+(I33&lt;&gt;"")*(J33&lt;&gt;"")+(K33&lt;&gt;"")*(L33&lt;&gt;"")+(M33&lt;&gt;"")*(N33&lt;&gt;"")+(O33&lt;&gt;"")*(P33&lt;&gt;""))/COUNT(E33,G33,I33,K33,M33,O33))</f>
        <v/>
      </c>
      <c r="R33" s="26" t="str">
        <f aca="false">IF(T33="","",IF(T33=99999,"",T33))</f>
        <v/>
      </c>
      <c r="S33" s="27" t="str">
        <f aca="true">IF(T33="","",IF(T33=99999,"Concluído",IF(T33&lt;TODAY(),"Atrasado",IF(T33=TODAY(),"Hoje","Em dia"))))</f>
        <v/>
      </c>
      <c r="T33" s="28" t="str">
        <f aca="false">IF(COUNT(E33,G33,I33,K33,M33,O33)=0,"",MIN(IF(AND(E33&lt;&gt;"",F33=""),E33,99999),IF(AND(G33&lt;&gt;"",H33=""),G33,99999),IF(AND(I33&lt;&gt;"",J33=""),I33,99999),IF(AND(K33&lt;&gt;"",L33=""),K33,99999),IF(AND(M33&lt;&gt;"",N33=""),M33,99999),IF(AND(O33&lt;&gt;"",P33=""),O33,99999)))</f>
        <v/>
      </c>
    </row>
    <row r="34" customFormat="false" ht="15" hidden="false" customHeight="false" outlineLevel="0" collapsed="false">
      <c r="A34" s="20" t="n">
        <v>29</v>
      </c>
      <c r="B34" s="21"/>
      <c r="C34" s="21"/>
      <c r="D34" s="22"/>
      <c r="E34" s="23" t="str">
        <f aca="false">IF(OR(NOT(ISNUMBER($D34)),Config!$G$6&lt;&gt;"Sim"),"",$D34+Config!$F$6+IF(AND(Config!$F$6&gt;0,WEEKDAY($D34+Config!$F$6)=Config!$E$24),1,0))</f>
        <v/>
      </c>
      <c r="F34" s="24"/>
      <c r="G34" s="23" t="str">
        <f aca="false">IF(OR(NOT(ISNUMBER($D34)),Config!$G$7&lt;&gt;"Sim"),"",$D34+Config!$F$7+IF(AND(Config!$F$7&gt;0,WEEKDAY($D34+Config!$F$7)=Config!$E$24),1,0))</f>
        <v/>
      </c>
      <c r="H34" s="24"/>
      <c r="I34" s="23" t="str">
        <f aca="false">IF(OR(NOT(ISNUMBER($D34)),Config!$G$8&lt;&gt;"Sim"),"",$D34+Config!$F$8+IF(AND(Config!$F$8&gt;0,WEEKDAY($D34+Config!$F$8)=Config!$E$24),1,0))</f>
        <v/>
      </c>
      <c r="J34" s="24"/>
      <c r="K34" s="23" t="str">
        <f aca="false">IF(OR(NOT(ISNUMBER($D34)),Config!$G$9&lt;&gt;"Sim"),"",$D34+Config!$F$9+IF(AND(Config!$F$9&gt;0,WEEKDAY($D34+Config!$F$9)=Config!$E$24),1,0))</f>
        <v/>
      </c>
      <c r="L34" s="24"/>
      <c r="M34" s="23" t="str">
        <f aca="false">IF(OR(NOT(ISNUMBER($D34)),Config!$G$10&lt;&gt;"Sim"),"",$D34+Config!$F$10+IF(AND(Config!$F$10&gt;0,WEEKDAY($D34+Config!$F$10)=Config!$E$24),1,0))</f>
        <v/>
      </c>
      <c r="N34" s="24"/>
      <c r="O34" s="23" t="str">
        <f aca="false">IF(OR(NOT(ISNUMBER($D34)),Config!$G$11&lt;&gt;"Sim"),"",$D34+Config!$F$11+IF(AND(Config!$F$11&gt;0,WEEKDAY($D34+Config!$F$11)=Config!$E$24),1,0))</f>
        <v/>
      </c>
      <c r="P34" s="24"/>
      <c r="Q34" s="25" t="str">
        <f aca="false">IF(COUNT(E34,G34,I34,K34,M34,O34)=0,"",((E34&lt;&gt;"")*(F34&lt;&gt;"")+(G34&lt;&gt;"")*(H34&lt;&gt;"")+(I34&lt;&gt;"")*(J34&lt;&gt;"")+(K34&lt;&gt;"")*(L34&lt;&gt;"")+(M34&lt;&gt;"")*(N34&lt;&gt;"")+(O34&lt;&gt;"")*(P34&lt;&gt;""))/COUNT(E34,G34,I34,K34,M34,O34))</f>
        <v/>
      </c>
      <c r="R34" s="26" t="str">
        <f aca="false">IF(T34="","",IF(T34=99999,"",T34))</f>
        <v/>
      </c>
      <c r="S34" s="27" t="str">
        <f aca="true">IF(T34="","",IF(T34=99999,"Concluído",IF(T34&lt;TODAY(),"Atrasado",IF(T34=TODAY(),"Hoje","Em dia"))))</f>
        <v/>
      </c>
      <c r="T34" s="28" t="str">
        <f aca="false">IF(COUNT(E34,G34,I34,K34,M34,O34)=0,"",MIN(IF(AND(E34&lt;&gt;"",F34=""),E34,99999),IF(AND(G34&lt;&gt;"",H34=""),G34,99999),IF(AND(I34&lt;&gt;"",J34=""),I34,99999),IF(AND(K34&lt;&gt;"",L34=""),K34,99999),IF(AND(M34&lt;&gt;"",N34=""),M34,99999),IF(AND(O34&lt;&gt;"",P34=""),O34,99999)))</f>
        <v/>
      </c>
    </row>
    <row r="35" customFormat="false" ht="15" hidden="false" customHeight="false" outlineLevel="0" collapsed="false">
      <c r="A35" s="20" t="n">
        <v>30</v>
      </c>
      <c r="B35" s="21"/>
      <c r="C35" s="21"/>
      <c r="D35" s="22"/>
      <c r="E35" s="23" t="str">
        <f aca="false">IF(OR(NOT(ISNUMBER($D35)),Config!$G$6&lt;&gt;"Sim"),"",$D35+Config!$F$6+IF(AND(Config!$F$6&gt;0,WEEKDAY($D35+Config!$F$6)=Config!$E$24),1,0))</f>
        <v/>
      </c>
      <c r="F35" s="24"/>
      <c r="G35" s="23" t="str">
        <f aca="false">IF(OR(NOT(ISNUMBER($D35)),Config!$G$7&lt;&gt;"Sim"),"",$D35+Config!$F$7+IF(AND(Config!$F$7&gt;0,WEEKDAY($D35+Config!$F$7)=Config!$E$24),1,0))</f>
        <v/>
      </c>
      <c r="H35" s="24"/>
      <c r="I35" s="23" t="str">
        <f aca="false">IF(OR(NOT(ISNUMBER($D35)),Config!$G$8&lt;&gt;"Sim"),"",$D35+Config!$F$8+IF(AND(Config!$F$8&gt;0,WEEKDAY($D35+Config!$F$8)=Config!$E$24),1,0))</f>
        <v/>
      </c>
      <c r="J35" s="24"/>
      <c r="K35" s="23" t="str">
        <f aca="false">IF(OR(NOT(ISNUMBER($D35)),Config!$G$9&lt;&gt;"Sim"),"",$D35+Config!$F$9+IF(AND(Config!$F$9&gt;0,WEEKDAY($D35+Config!$F$9)=Config!$E$24),1,0))</f>
        <v/>
      </c>
      <c r="L35" s="24"/>
      <c r="M35" s="23" t="str">
        <f aca="false">IF(OR(NOT(ISNUMBER($D35)),Config!$G$10&lt;&gt;"Sim"),"",$D35+Config!$F$10+IF(AND(Config!$F$10&gt;0,WEEKDAY($D35+Config!$F$10)=Config!$E$24),1,0))</f>
        <v/>
      </c>
      <c r="N35" s="24"/>
      <c r="O35" s="23" t="str">
        <f aca="false">IF(OR(NOT(ISNUMBER($D35)),Config!$G$11&lt;&gt;"Sim"),"",$D35+Config!$F$11+IF(AND(Config!$F$11&gt;0,WEEKDAY($D35+Config!$F$11)=Config!$E$24),1,0))</f>
        <v/>
      </c>
      <c r="P35" s="24"/>
      <c r="Q35" s="25" t="str">
        <f aca="false">IF(COUNT(E35,G35,I35,K35,M35,O35)=0,"",((E35&lt;&gt;"")*(F35&lt;&gt;"")+(G35&lt;&gt;"")*(H35&lt;&gt;"")+(I35&lt;&gt;"")*(J35&lt;&gt;"")+(K35&lt;&gt;"")*(L35&lt;&gt;"")+(M35&lt;&gt;"")*(N35&lt;&gt;"")+(O35&lt;&gt;"")*(P35&lt;&gt;""))/COUNT(E35,G35,I35,K35,M35,O35))</f>
        <v/>
      </c>
      <c r="R35" s="26" t="str">
        <f aca="false">IF(T35="","",IF(T35=99999,"",T35))</f>
        <v/>
      </c>
      <c r="S35" s="27" t="str">
        <f aca="true">IF(T35="","",IF(T35=99999,"Concluído",IF(T35&lt;TODAY(),"Atrasado",IF(T35=TODAY(),"Hoje","Em dia"))))</f>
        <v/>
      </c>
      <c r="T35" s="28" t="str">
        <f aca="false">IF(COUNT(E35,G35,I35,K35,M35,O35)=0,"",MIN(IF(AND(E35&lt;&gt;"",F35=""),E35,99999),IF(AND(G35&lt;&gt;"",H35=""),G35,99999),IF(AND(I35&lt;&gt;"",J35=""),I35,99999),IF(AND(K35&lt;&gt;"",L35=""),K35,99999),IF(AND(M35&lt;&gt;"",N35=""),M35,99999),IF(AND(O35&lt;&gt;"",P35=""),O35,99999)))</f>
        <v/>
      </c>
    </row>
    <row r="36" customFormat="false" ht="15" hidden="false" customHeight="false" outlineLevel="0" collapsed="false">
      <c r="A36" s="20" t="n">
        <v>31</v>
      </c>
      <c r="B36" s="21"/>
      <c r="C36" s="21"/>
      <c r="D36" s="22"/>
      <c r="E36" s="23" t="str">
        <f aca="false">IF(OR(NOT(ISNUMBER($D36)),Config!$G$6&lt;&gt;"Sim"),"",$D36+Config!$F$6+IF(AND(Config!$F$6&gt;0,WEEKDAY($D36+Config!$F$6)=Config!$E$24),1,0))</f>
        <v/>
      </c>
      <c r="F36" s="24"/>
      <c r="G36" s="23" t="str">
        <f aca="false">IF(OR(NOT(ISNUMBER($D36)),Config!$G$7&lt;&gt;"Sim"),"",$D36+Config!$F$7+IF(AND(Config!$F$7&gt;0,WEEKDAY($D36+Config!$F$7)=Config!$E$24),1,0))</f>
        <v/>
      </c>
      <c r="H36" s="24"/>
      <c r="I36" s="23" t="str">
        <f aca="false">IF(OR(NOT(ISNUMBER($D36)),Config!$G$8&lt;&gt;"Sim"),"",$D36+Config!$F$8+IF(AND(Config!$F$8&gt;0,WEEKDAY($D36+Config!$F$8)=Config!$E$24),1,0))</f>
        <v/>
      </c>
      <c r="J36" s="24"/>
      <c r="K36" s="23" t="str">
        <f aca="false">IF(OR(NOT(ISNUMBER($D36)),Config!$G$9&lt;&gt;"Sim"),"",$D36+Config!$F$9+IF(AND(Config!$F$9&gt;0,WEEKDAY($D36+Config!$F$9)=Config!$E$24),1,0))</f>
        <v/>
      </c>
      <c r="L36" s="24"/>
      <c r="M36" s="23" t="str">
        <f aca="false">IF(OR(NOT(ISNUMBER($D36)),Config!$G$10&lt;&gt;"Sim"),"",$D36+Config!$F$10+IF(AND(Config!$F$10&gt;0,WEEKDAY($D36+Config!$F$10)=Config!$E$24),1,0))</f>
        <v/>
      </c>
      <c r="N36" s="24"/>
      <c r="O36" s="23" t="str">
        <f aca="false">IF(OR(NOT(ISNUMBER($D36)),Config!$G$11&lt;&gt;"Sim"),"",$D36+Config!$F$11+IF(AND(Config!$F$11&gt;0,WEEKDAY($D36+Config!$F$11)=Config!$E$24),1,0))</f>
        <v/>
      </c>
      <c r="P36" s="24"/>
      <c r="Q36" s="25" t="str">
        <f aca="false">IF(COUNT(E36,G36,I36,K36,M36,O36)=0,"",((E36&lt;&gt;"")*(F36&lt;&gt;"")+(G36&lt;&gt;"")*(H36&lt;&gt;"")+(I36&lt;&gt;"")*(J36&lt;&gt;"")+(K36&lt;&gt;"")*(L36&lt;&gt;"")+(M36&lt;&gt;"")*(N36&lt;&gt;"")+(O36&lt;&gt;"")*(P36&lt;&gt;""))/COUNT(E36,G36,I36,K36,M36,O36))</f>
        <v/>
      </c>
      <c r="R36" s="26" t="str">
        <f aca="false">IF(T36="","",IF(T36=99999,"",T36))</f>
        <v/>
      </c>
      <c r="S36" s="27" t="str">
        <f aca="true">IF(T36="","",IF(T36=99999,"Concluído",IF(T36&lt;TODAY(),"Atrasado",IF(T36=TODAY(),"Hoje","Em dia"))))</f>
        <v/>
      </c>
      <c r="T36" s="28" t="str">
        <f aca="false">IF(COUNT(E36,G36,I36,K36,M36,O36)=0,"",MIN(IF(AND(E36&lt;&gt;"",F36=""),E36,99999),IF(AND(G36&lt;&gt;"",H36=""),G36,99999),IF(AND(I36&lt;&gt;"",J36=""),I36,99999),IF(AND(K36&lt;&gt;"",L36=""),K36,99999),IF(AND(M36&lt;&gt;"",N36=""),M36,99999),IF(AND(O36&lt;&gt;"",P36=""),O36,99999)))</f>
        <v/>
      </c>
    </row>
    <row r="37" customFormat="false" ht="15" hidden="false" customHeight="false" outlineLevel="0" collapsed="false">
      <c r="A37" s="20" t="n">
        <v>32</v>
      </c>
      <c r="B37" s="21"/>
      <c r="C37" s="21"/>
      <c r="D37" s="22"/>
      <c r="E37" s="23" t="str">
        <f aca="false">IF(OR(NOT(ISNUMBER($D37)),Config!$G$6&lt;&gt;"Sim"),"",$D37+Config!$F$6+IF(AND(Config!$F$6&gt;0,WEEKDAY($D37+Config!$F$6)=Config!$E$24),1,0))</f>
        <v/>
      </c>
      <c r="F37" s="24"/>
      <c r="G37" s="23" t="str">
        <f aca="false">IF(OR(NOT(ISNUMBER($D37)),Config!$G$7&lt;&gt;"Sim"),"",$D37+Config!$F$7+IF(AND(Config!$F$7&gt;0,WEEKDAY($D37+Config!$F$7)=Config!$E$24),1,0))</f>
        <v/>
      </c>
      <c r="H37" s="24"/>
      <c r="I37" s="23" t="str">
        <f aca="false">IF(OR(NOT(ISNUMBER($D37)),Config!$G$8&lt;&gt;"Sim"),"",$D37+Config!$F$8+IF(AND(Config!$F$8&gt;0,WEEKDAY($D37+Config!$F$8)=Config!$E$24),1,0))</f>
        <v/>
      </c>
      <c r="J37" s="24"/>
      <c r="K37" s="23" t="str">
        <f aca="false">IF(OR(NOT(ISNUMBER($D37)),Config!$G$9&lt;&gt;"Sim"),"",$D37+Config!$F$9+IF(AND(Config!$F$9&gt;0,WEEKDAY($D37+Config!$F$9)=Config!$E$24),1,0))</f>
        <v/>
      </c>
      <c r="L37" s="24"/>
      <c r="M37" s="23" t="str">
        <f aca="false">IF(OR(NOT(ISNUMBER($D37)),Config!$G$10&lt;&gt;"Sim"),"",$D37+Config!$F$10+IF(AND(Config!$F$10&gt;0,WEEKDAY($D37+Config!$F$10)=Config!$E$24),1,0))</f>
        <v/>
      </c>
      <c r="N37" s="24"/>
      <c r="O37" s="23" t="str">
        <f aca="false">IF(OR(NOT(ISNUMBER($D37)),Config!$G$11&lt;&gt;"Sim"),"",$D37+Config!$F$11+IF(AND(Config!$F$11&gt;0,WEEKDAY($D37+Config!$F$11)=Config!$E$24),1,0))</f>
        <v/>
      </c>
      <c r="P37" s="24"/>
      <c r="Q37" s="25" t="str">
        <f aca="false">IF(COUNT(E37,G37,I37,K37,M37,O37)=0,"",((E37&lt;&gt;"")*(F37&lt;&gt;"")+(G37&lt;&gt;"")*(H37&lt;&gt;"")+(I37&lt;&gt;"")*(J37&lt;&gt;"")+(K37&lt;&gt;"")*(L37&lt;&gt;"")+(M37&lt;&gt;"")*(N37&lt;&gt;"")+(O37&lt;&gt;"")*(P37&lt;&gt;""))/COUNT(E37,G37,I37,K37,M37,O37))</f>
        <v/>
      </c>
      <c r="R37" s="26" t="str">
        <f aca="false">IF(T37="","",IF(T37=99999,"",T37))</f>
        <v/>
      </c>
      <c r="S37" s="27" t="str">
        <f aca="true">IF(T37="","",IF(T37=99999,"Concluído",IF(T37&lt;TODAY(),"Atrasado",IF(T37=TODAY(),"Hoje","Em dia"))))</f>
        <v/>
      </c>
      <c r="T37" s="28" t="str">
        <f aca="false">IF(COUNT(E37,G37,I37,K37,M37,O37)=0,"",MIN(IF(AND(E37&lt;&gt;"",F37=""),E37,99999),IF(AND(G37&lt;&gt;"",H37=""),G37,99999),IF(AND(I37&lt;&gt;"",J37=""),I37,99999),IF(AND(K37&lt;&gt;"",L37=""),K37,99999),IF(AND(M37&lt;&gt;"",N37=""),M37,99999),IF(AND(O37&lt;&gt;"",P37=""),O37,99999)))</f>
        <v/>
      </c>
    </row>
    <row r="38" customFormat="false" ht="15" hidden="false" customHeight="false" outlineLevel="0" collapsed="false">
      <c r="A38" s="20" t="n">
        <v>33</v>
      </c>
      <c r="B38" s="21"/>
      <c r="C38" s="21"/>
      <c r="D38" s="22"/>
      <c r="E38" s="23" t="str">
        <f aca="false">IF(OR(NOT(ISNUMBER($D38)),Config!$G$6&lt;&gt;"Sim"),"",$D38+Config!$F$6+IF(AND(Config!$F$6&gt;0,WEEKDAY($D38+Config!$F$6)=Config!$E$24),1,0))</f>
        <v/>
      </c>
      <c r="F38" s="24"/>
      <c r="G38" s="23" t="str">
        <f aca="false">IF(OR(NOT(ISNUMBER($D38)),Config!$G$7&lt;&gt;"Sim"),"",$D38+Config!$F$7+IF(AND(Config!$F$7&gt;0,WEEKDAY($D38+Config!$F$7)=Config!$E$24),1,0))</f>
        <v/>
      </c>
      <c r="H38" s="24"/>
      <c r="I38" s="23" t="str">
        <f aca="false">IF(OR(NOT(ISNUMBER($D38)),Config!$G$8&lt;&gt;"Sim"),"",$D38+Config!$F$8+IF(AND(Config!$F$8&gt;0,WEEKDAY($D38+Config!$F$8)=Config!$E$24),1,0))</f>
        <v/>
      </c>
      <c r="J38" s="24"/>
      <c r="K38" s="23" t="str">
        <f aca="false">IF(OR(NOT(ISNUMBER($D38)),Config!$G$9&lt;&gt;"Sim"),"",$D38+Config!$F$9+IF(AND(Config!$F$9&gt;0,WEEKDAY($D38+Config!$F$9)=Config!$E$24),1,0))</f>
        <v/>
      </c>
      <c r="L38" s="24"/>
      <c r="M38" s="23" t="str">
        <f aca="false">IF(OR(NOT(ISNUMBER($D38)),Config!$G$10&lt;&gt;"Sim"),"",$D38+Config!$F$10+IF(AND(Config!$F$10&gt;0,WEEKDAY($D38+Config!$F$10)=Config!$E$24),1,0))</f>
        <v/>
      </c>
      <c r="N38" s="24"/>
      <c r="O38" s="23" t="str">
        <f aca="false">IF(OR(NOT(ISNUMBER($D38)),Config!$G$11&lt;&gt;"Sim"),"",$D38+Config!$F$11+IF(AND(Config!$F$11&gt;0,WEEKDAY($D38+Config!$F$11)=Config!$E$24),1,0))</f>
        <v/>
      </c>
      <c r="P38" s="24"/>
      <c r="Q38" s="25" t="str">
        <f aca="false">IF(COUNT(E38,G38,I38,K38,M38,O38)=0,"",((E38&lt;&gt;"")*(F38&lt;&gt;"")+(G38&lt;&gt;"")*(H38&lt;&gt;"")+(I38&lt;&gt;"")*(J38&lt;&gt;"")+(K38&lt;&gt;"")*(L38&lt;&gt;"")+(M38&lt;&gt;"")*(N38&lt;&gt;"")+(O38&lt;&gt;"")*(P38&lt;&gt;""))/COUNT(E38,G38,I38,K38,M38,O38))</f>
        <v/>
      </c>
      <c r="R38" s="26" t="str">
        <f aca="false">IF(T38="","",IF(T38=99999,"",T38))</f>
        <v/>
      </c>
      <c r="S38" s="27" t="str">
        <f aca="true">IF(T38="","",IF(T38=99999,"Concluído",IF(T38&lt;TODAY(),"Atrasado",IF(T38=TODAY(),"Hoje","Em dia"))))</f>
        <v/>
      </c>
      <c r="T38" s="28" t="str">
        <f aca="false">IF(COUNT(E38,G38,I38,K38,M38,O38)=0,"",MIN(IF(AND(E38&lt;&gt;"",F38=""),E38,99999),IF(AND(G38&lt;&gt;"",H38=""),G38,99999),IF(AND(I38&lt;&gt;"",J38=""),I38,99999),IF(AND(K38&lt;&gt;"",L38=""),K38,99999),IF(AND(M38&lt;&gt;"",N38=""),M38,99999),IF(AND(O38&lt;&gt;"",P38=""),O38,99999)))</f>
        <v/>
      </c>
    </row>
    <row r="39" customFormat="false" ht="15" hidden="false" customHeight="false" outlineLevel="0" collapsed="false">
      <c r="A39" s="20" t="n">
        <v>34</v>
      </c>
      <c r="B39" s="21"/>
      <c r="C39" s="21"/>
      <c r="D39" s="22"/>
      <c r="E39" s="23" t="str">
        <f aca="false">IF(OR(NOT(ISNUMBER($D39)),Config!$G$6&lt;&gt;"Sim"),"",$D39+Config!$F$6+IF(AND(Config!$F$6&gt;0,WEEKDAY($D39+Config!$F$6)=Config!$E$24),1,0))</f>
        <v/>
      </c>
      <c r="F39" s="24"/>
      <c r="G39" s="23" t="str">
        <f aca="false">IF(OR(NOT(ISNUMBER($D39)),Config!$G$7&lt;&gt;"Sim"),"",$D39+Config!$F$7+IF(AND(Config!$F$7&gt;0,WEEKDAY($D39+Config!$F$7)=Config!$E$24),1,0))</f>
        <v/>
      </c>
      <c r="H39" s="24"/>
      <c r="I39" s="23" t="str">
        <f aca="false">IF(OR(NOT(ISNUMBER($D39)),Config!$G$8&lt;&gt;"Sim"),"",$D39+Config!$F$8+IF(AND(Config!$F$8&gt;0,WEEKDAY($D39+Config!$F$8)=Config!$E$24),1,0))</f>
        <v/>
      </c>
      <c r="J39" s="24"/>
      <c r="K39" s="23" t="str">
        <f aca="false">IF(OR(NOT(ISNUMBER($D39)),Config!$G$9&lt;&gt;"Sim"),"",$D39+Config!$F$9+IF(AND(Config!$F$9&gt;0,WEEKDAY($D39+Config!$F$9)=Config!$E$24),1,0))</f>
        <v/>
      </c>
      <c r="L39" s="24"/>
      <c r="M39" s="23" t="str">
        <f aca="false">IF(OR(NOT(ISNUMBER($D39)),Config!$G$10&lt;&gt;"Sim"),"",$D39+Config!$F$10+IF(AND(Config!$F$10&gt;0,WEEKDAY($D39+Config!$F$10)=Config!$E$24),1,0))</f>
        <v/>
      </c>
      <c r="N39" s="24"/>
      <c r="O39" s="23" t="str">
        <f aca="false">IF(OR(NOT(ISNUMBER($D39)),Config!$G$11&lt;&gt;"Sim"),"",$D39+Config!$F$11+IF(AND(Config!$F$11&gt;0,WEEKDAY($D39+Config!$F$11)=Config!$E$24),1,0))</f>
        <v/>
      </c>
      <c r="P39" s="24"/>
      <c r="Q39" s="25" t="str">
        <f aca="false">IF(COUNT(E39,G39,I39,K39,M39,O39)=0,"",((E39&lt;&gt;"")*(F39&lt;&gt;"")+(G39&lt;&gt;"")*(H39&lt;&gt;"")+(I39&lt;&gt;"")*(J39&lt;&gt;"")+(K39&lt;&gt;"")*(L39&lt;&gt;"")+(M39&lt;&gt;"")*(N39&lt;&gt;"")+(O39&lt;&gt;"")*(P39&lt;&gt;""))/COUNT(E39,G39,I39,K39,M39,O39))</f>
        <v/>
      </c>
      <c r="R39" s="26" t="str">
        <f aca="false">IF(T39="","",IF(T39=99999,"",T39))</f>
        <v/>
      </c>
      <c r="S39" s="27" t="str">
        <f aca="true">IF(T39="","",IF(T39=99999,"Concluído",IF(T39&lt;TODAY(),"Atrasado",IF(T39=TODAY(),"Hoje","Em dia"))))</f>
        <v/>
      </c>
      <c r="T39" s="28" t="str">
        <f aca="false">IF(COUNT(E39,G39,I39,K39,M39,O39)=0,"",MIN(IF(AND(E39&lt;&gt;"",F39=""),E39,99999),IF(AND(G39&lt;&gt;"",H39=""),G39,99999),IF(AND(I39&lt;&gt;"",J39=""),I39,99999),IF(AND(K39&lt;&gt;"",L39=""),K39,99999),IF(AND(M39&lt;&gt;"",N39=""),M39,99999),IF(AND(O39&lt;&gt;"",P39=""),O39,99999)))</f>
        <v/>
      </c>
    </row>
    <row r="40" customFormat="false" ht="15" hidden="false" customHeight="false" outlineLevel="0" collapsed="false">
      <c r="A40" s="20" t="n">
        <v>35</v>
      </c>
      <c r="B40" s="21"/>
      <c r="C40" s="21"/>
      <c r="D40" s="22"/>
      <c r="E40" s="23" t="str">
        <f aca="false">IF(OR(NOT(ISNUMBER($D40)),Config!$G$6&lt;&gt;"Sim"),"",$D40+Config!$F$6+IF(AND(Config!$F$6&gt;0,WEEKDAY($D40+Config!$F$6)=Config!$E$24),1,0))</f>
        <v/>
      </c>
      <c r="F40" s="24"/>
      <c r="G40" s="23" t="str">
        <f aca="false">IF(OR(NOT(ISNUMBER($D40)),Config!$G$7&lt;&gt;"Sim"),"",$D40+Config!$F$7+IF(AND(Config!$F$7&gt;0,WEEKDAY($D40+Config!$F$7)=Config!$E$24),1,0))</f>
        <v/>
      </c>
      <c r="H40" s="24"/>
      <c r="I40" s="23" t="str">
        <f aca="false">IF(OR(NOT(ISNUMBER($D40)),Config!$G$8&lt;&gt;"Sim"),"",$D40+Config!$F$8+IF(AND(Config!$F$8&gt;0,WEEKDAY($D40+Config!$F$8)=Config!$E$24),1,0))</f>
        <v/>
      </c>
      <c r="J40" s="24"/>
      <c r="K40" s="23" t="str">
        <f aca="false">IF(OR(NOT(ISNUMBER($D40)),Config!$G$9&lt;&gt;"Sim"),"",$D40+Config!$F$9+IF(AND(Config!$F$9&gt;0,WEEKDAY($D40+Config!$F$9)=Config!$E$24),1,0))</f>
        <v/>
      </c>
      <c r="L40" s="24"/>
      <c r="M40" s="23" t="str">
        <f aca="false">IF(OR(NOT(ISNUMBER($D40)),Config!$G$10&lt;&gt;"Sim"),"",$D40+Config!$F$10+IF(AND(Config!$F$10&gt;0,WEEKDAY($D40+Config!$F$10)=Config!$E$24),1,0))</f>
        <v/>
      </c>
      <c r="N40" s="24"/>
      <c r="O40" s="23" t="str">
        <f aca="false">IF(OR(NOT(ISNUMBER($D40)),Config!$G$11&lt;&gt;"Sim"),"",$D40+Config!$F$11+IF(AND(Config!$F$11&gt;0,WEEKDAY($D40+Config!$F$11)=Config!$E$24),1,0))</f>
        <v/>
      </c>
      <c r="P40" s="24"/>
      <c r="Q40" s="25" t="str">
        <f aca="false">IF(COUNT(E40,G40,I40,K40,M40,O40)=0,"",((E40&lt;&gt;"")*(F40&lt;&gt;"")+(G40&lt;&gt;"")*(H40&lt;&gt;"")+(I40&lt;&gt;"")*(J40&lt;&gt;"")+(K40&lt;&gt;"")*(L40&lt;&gt;"")+(M40&lt;&gt;"")*(N40&lt;&gt;"")+(O40&lt;&gt;"")*(P40&lt;&gt;""))/COUNT(E40,G40,I40,K40,M40,O40))</f>
        <v/>
      </c>
      <c r="R40" s="26" t="str">
        <f aca="false">IF(T40="","",IF(T40=99999,"",T40))</f>
        <v/>
      </c>
      <c r="S40" s="27" t="str">
        <f aca="true">IF(T40="","",IF(T40=99999,"Concluído",IF(T40&lt;TODAY(),"Atrasado",IF(T40=TODAY(),"Hoje","Em dia"))))</f>
        <v/>
      </c>
      <c r="T40" s="28" t="str">
        <f aca="false">IF(COUNT(E40,G40,I40,K40,M40,O40)=0,"",MIN(IF(AND(E40&lt;&gt;"",F40=""),E40,99999),IF(AND(G40&lt;&gt;"",H40=""),G40,99999),IF(AND(I40&lt;&gt;"",J40=""),I40,99999),IF(AND(K40&lt;&gt;"",L40=""),K40,99999),IF(AND(M40&lt;&gt;"",N40=""),M40,99999),IF(AND(O40&lt;&gt;"",P40=""),O40,99999)))</f>
        <v/>
      </c>
    </row>
    <row r="41" customFormat="false" ht="15" hidden="false" customHeight="false" outlineLevel="0" collapsed="false">
      <c r="A41" s="20" t="n">
        <v>36</v>
      </c>
      <c r="B41" s="21"/>
      <c r="C41" s="21"/>
      <c r="D41" s="22"/>
      <c r="E41" s="23" t="str">
        <f aca="false">IF(OR(NOT(ISNUMBER($D41)),Config!$G$6&lt;&gt;"Sim"),"",$D41+Config!$F$6+IF(AND(Config!$F$6&gt;0,WEEKDAY($D41+Config!$F$6)=Config!$E$24),1,0))</f>
        <v/>
      </c>
      <c r="F41" s="24"/>
      <c r="G41" s="23" t="str">
        <f aca="false">IF(OR(NOT(ISNUMBER($D41)),Config!$G$7&lt;&gt;"Sim"),"",$D41+Config!$F$7+IF(AND(Config!$F$7&gt;0,WEEKDAY($D41+Config!$F$7)=Config!$E$24),1,0))</f>
        <v/>
      </c>
      <c r="H41" s="24"/>
      <c r="I41" s="23" t="str">
        <f aca="false">IF(OR(NOT(ISNUMBER($D41)),Config!$G$8&lt;&gt;"Sim"),"",$D41+Config!$F$8+IF(AND(Config!$F$8&gt;0,WEEKDAY($D41+Config!$F$8)=Config!$E$24),1,0))</f>
        <v/>
      </c>
      <c r="J41" s="24"/>
      <c r="K41" s="23" t="str">
        <f aca="false">IF(OR(NOT(ISNUMBER($D41)),Config!$G$9&lt;&gt;"Sim"),"",$D41+Config!$F$9+IF(AND(Config!$F$9&gt;0,WEEKDAY($D41+Config!$F$9)=Config!$E$24),1,0))</f>
        <v/>
      </c>
      <c r="L41" s="24"/>
      <c r="M41" s="23" t="str">
        <f aca="false">IF(OR(NOT(ISNUMBER($D41)),Config!$G$10&lt;&gt;"Sim"),"",$D41+Config!$F$10+IF(AND(Config!$F$10&gt;0,WEEKDAY($D41+Config!$F$10)=Config!$E$24),1,0))</f>
        <v/>
      </c>
      <c r="N41" s="24"/>
      <c r="O41" s="23" t="str">
        <f aca="false">IF(OR(NOT(ISNUMBER($D41)),Config!$G$11&lt;&gt;"Sim"),"",$D41+Config!$F$11+IF(AND(Config!$F$11&gt;0,WEEKDAY($D41+Config!$F$11)=Config!$E$24),1,0))</f>
        <v/>
      </c>
      <c r="P41" s="24"/>
      <c r="Q41" s="25" t="str">
        <f aca="false">IF(COUNT(E41,G41,I41,K41,M41,O41)=0,"",((E41&lt;&gt;"")*(F41&lt;&gt;"")+(G41&lt;&gt;"")*(H41&lt;&gt;"")+(I41&lt;&gt;"")*(J41&lt;&gt;"")+(K41&lt;&gt;"")*(L41&lt;&gt;"")+(M41&lt;&gt;"")*(N41&lt;&gt;"")+(O41&lt;&gt;"")*(P41&lt;&gt;""))/COUNT(E41,G41,I41,K41,M41,O41))</f>
        <v/>
      </c>
      <c r="R41" s="26" t="str">
        <f aca="false">IF(T41="","",IF(T41=99999,"",T41))</f>
        <v/>
      </c>
      <c r="S41" s="27" t="str">
        <f aca="true">IF(T41="","",IF(T41=99999,"Concluído",IF(T41&lt;TODAY(),"Atrasado",IF(T41=TODAY(),"Hoje","Em dia"))))</f>
        <v/>
      </c>
      <c r="T41" s="28" t="str">
        <f aca="false">IF(COUNT(E41,G41,I41,K41,M41,O41)=0,"",MIN(IF(AND(E41&lt;&gt;"",F41=""),E41,99999),IF(AND(G41&lt;&gt;"",H41=""),G41,99999),IF(AND(I41&lt;&gt;"",J41=""),I41,99999),IF(AND(K41&lt;&gt;"",L41=""),K41,99999),IF(AND(M41&lt;&gt;"",N41=""),M41,99999),IF(AND(O41&lt;&gt;"",P41=""),O41,99999)))</f>
        <v/>
      </c>
    </row>
    <row r="42" customFormat="false" ht="15" hidden="false" customHeight="false" outlineLevel="0" collapsed="false">
      <c r="A42" s="20" t="n">
        <v>37</v>
      </c>
      <c r="B42" s="21"/>
      <c r="C42" s="21"/>
      <c r="D42" s="22"/>
      <c r="E42" s="23" t="str">
        <f aca="false">IF(OR(NOT(ISNUMBER($D42)),Config!$G$6&lt;&gt;"Sim"),"",$D42+Config!$F$6+IF(AND(Config!$F$6&gt;0,WEEKDAY($D42+Config!$F$6)=Config!$E$24),1,0))</f>
        <v/>
      </c>
      <c r="F42" s="24"/>
      <c r="G42" s="23" t="str">
        <f aca="false">IF(OR(NOT(ISNUMBER($D42)),Config!$G$7&lt;&gt;"Sim"),"",$D42+Config!$F$7+IF(AND(Config!$F$7&gt;0,WEEKDAY($D42+Config!$F$7)=Config!$E$24),1,0))</f>
        <v/>
      </c>
      <c r="H42" s="24"/>
      <c r="I42" s="23" t="str">
        <f aca="false">IF(OR(NOT(ISNUMBER($D42)),Config!$G$8&lt;&gt;"Sim"),"",$D42+Config!$F$8+IF(AND(Config!$F$8&gt;0,WEEKDAY($D42+Config!$F$8)=Config!$E$24),1,0))</f>
        <v/>
      </c>
      <c r="J42" s="24"/>
      <c r="K42" s="23" t="str">
        <f aca="false">IF(OR(NOT(ISNUMBER($D42)),Config!$G$9&lt;&gt;"Sim"),"",$D42+Config!$F$9+IF(AND(Config!$F$9&gt;0,WEEKDAY($D42+Config!$F$9)=Config!$E$24),1,0))</f>
        <v/>
      </c>
      <c r="L42" s="24"/>
      <c r="M42" s="23" t="str">
        <f aca="false">IF(OR(NOT(ISNUMBER($D42)),Config!$G$10&lt;&gt;"Sim"),"",$D42+Config!$F$10+IF(AND(Config!$F$10&gt;0,WEEKDAY($D42+Config!$F$10)=Config!$E$24),1,0))</f>
        <v/>
      </c>
      <c r="N42" s="24"/>
      <c r="O42" s="23" t="str">
        <f aca="false">IF(OR(NOT(ISNUMBER($D42)),Config!$G$11&lt;&gt;"Sim"),"",$D42+Config!$F$11+IF(AND(Config!$F$11&gt;0,WEEKDAY($D42+Config!$F$11)=Config!$E$24),1,0))</f>
        <v/>
      </c>
      <c r="P42" s="24"/>
      <c r="Q42" s="25" t="str">
        <f aca="false">IF(COUNT(E42,G42,I42,K42,M42,O42)=0,"",((E42&lt;&gt;"")*(F42&lt;&gt;"")+(G42&lt;&gt;"")*(H42&lt;&gt;"")+(I42&lt;&gt;"")*(J42&lt;&gt;"")+(K42&lt;&gt;"")*(L42&lt;&gt;"")+(M42&lt;&gt;"")*(N42&lt;&gt;"")+(O42&lt;&gt;"")*(P42&lt;&gt;""))/COUNT(E42,G42,I42,K42,M42,O42))</f>
        <v/>
      </c>
      <c r="R42" s="26" t="str">
        <f aca="false">IF(T42="","",IF(T42=99999,"",T42))</f>
        <v/>
      </c>
      <c r="S42" s="27" t="str">
        <f aca="true">IF(T42="","",IF(T42=99999,"Concluído",IF(T42&lt;TODAY(),"Atrasado",IF(T42=TODAY(),"Hoje","Em dia"))))</f>
        <v/>
      </c>
      <c r="T42" s="28" t="str">
        <f aca="false">IF(COUNT(E42,G42,I42,K42,M42,O42)=0,"",MIN(IF(AND(E42&lt;&gt;"",F42=""),E42,99999),IF(AND(G42&lt;&gt;"",H42=""),G42,99999),IF(AND(I42&lt;&gt;"",J42=""),I42,99999),IF(AND(K42&lt;&gt;"",L42=""),K42,99999),IF(AND(M42&lt;&gt;"",N42=""),M42,99999),IF(AND(O42&lt;&gt;"",P42=""),O42,99999)))</f>
        <v/>
      </c>
    </row>
    <row r="43" customFormat="false" ht="15" hidden="false" customHeight="false" outlineLevel="0" collapsed="false">
      <c r="A43" s="20" t="n">
        <v>38</v>
      </c>
      <c r="B43" s="21"/>
      <c r="C43" s="21"/>
      <c r="D43" s="22"/>
      <c r="E43" s="23" t="str">
        <f aca="false">IF(OR(NOT(ISNUMBER($D43)),Config!$G$6&lt;&gt;"Sim"),"",$D43+Config!$F$6+IF(AND(Config!$F$6&gt;0,WEEKDAY($D43+Config!$F$6)=Config!$E$24),1,0))</f>
        <v/>
      </c>
      <c r="F43" s="24"/>
      <c r="G43" s="23" t="str">
        <f aca="false">IF(OR(NOT(ISNUMBER($D43)),Config!$G$7&lt;&gt;"Sim"),"",$D43+Config!$F$7+IF(AND(Config!$F$7&gt;0,WEEKDAY($D43+Config!$F$7)=Config!$E$24),1,0))</f>
        <v/>
      </c>
      <c r="H43" s="24"/>
      <c r="I43" s="23" t="str">
        <f aca="false">IF(OR(NOT(ISNUMBER($D43)),Config!$G$8&lt;&gt;"Sim"),"",$D43+Config!$F$8+IF(AND(Config!$F$8&gt;0,WEEKDAY($D43+Config!$F$8)=Config!$E$24),1,0))</f>
        <v/>
      </c>
      <c r="J43" s="24"/>
      <c r="K43" s="23" t="str">
        <f aca="false">IF(OR(NOT(ISNUMBER($D43)),Config!$G$9&lt;&gt;"Sim"),"",$D43+Config!$F$9+IF(AND(Config!$F$9&gt;0,WEEKDAY($D43+Config!$F$9)=Config!$E$24),1,0))</f>
        <v/>
      </c>
      <c r="L43" s="24"/>
      <c r="M43" s="23" t="str">
        <f aca="false">IF(OR(NOT(ISNUMBER($D43)),Config!$G$10&lt;&gt;"Sim"),"",$D43+Config!$F$10+IF(AND(Config!$F$10&gt;0,WEEKDAY($D43+Config!$F$10)=Config!$E$24),1,0))</f>
        <v/>
      </c>
      <c r="N43" s="24"/>
      <c r="O43" s="23" t="str">
        <f aca="false">IF(OR(NOT(ISNUMBER($D43)),Config!$G$11&lt;&gt;"Sim"),"",$D43+Config!$F$11+IF(AND(Config!$F$11&gt;0,WEEKDAY($D43+Config!$F$11)=Config!$E$24),1,0))</f>
        <v/>
      </c>
      <c r="P43" s="24"/>
      <c r="Q43" s="25" t="str">
        <f aca="false">IF(COUNT(E43,G43,I43,K43,M43,O43)=0,"",((E43&lt;&gt;"")*(F43&lt;&gt;"")+(G43&lt;&gt;"")*(H43&lt;&gt;"")+(I43&lt;&gt;"")*(J43&lt;&gt;"")+(K43&lt;&gt;"")*(L43&lt;&gt;"")+(M43&lt;&gt;"")*(N43&lt;&gt;"")+(O43&lt;&gt;"")*(P43&lt;&gt;""))/COUNT(E43,G43,I43,K43,M43,O43))</f>
        <v/>
      </c>
      <c r="R43" s="26" t="str">
        <f aca="false">IF(T43="","",IF(T43=99999,"",T43))</f>
        <v/>
      </c>
      <c r="S43" s="27" t="str">
        <f aca="true">IF(T43="","",IF(T43=99999,"Concluído",IF(T43&lt;TODAY(),"Atrasado",IF(T43=TODAY(),"Hoje","Em dia"))))</f>
        <v/>
      </c>
      <c r="T43" s="28" t="str">
        <f aca="false">IF(COUNT(E43,G43,I43,K43,M43,O43)=0,"",MIN(IF(AND(E43&lt;&gt;"",F43=""),E43,99999),IF(AND(G43&lt;&gt;"",H43=""),G43,99999),IF(AND(I43&lt;&gt;"",J43=""),I43,99999),IF(AND(K43&lt;&gt;"",L43=""),K43,99999),IF(AND(M43&lt;&gt;"",N43=""),M43,99999),IF(AND(O43&lt;&gt;"",P43=""),O43,99999)))</f>
        <v/>
      </c>
    </row>
    <row r="44" customFormat="false" ht="15" hidden="false" customHeight="false" outlineLevel="0" collapsed="false">
      <c r="A44" s="20" t="n">
        <v>39</v>
      </c>
      <c r="B44" s="21"/>
      <c r="C44" s="21"/>
      <c r="D44" s="22"/>
      <c r="E44" s="23" t="str">
        <f aca="false">IF(OR(NOT(ISNUMBER($D44)),Config!$G$6&lt;&gt;"Sim"),"",$D44+Config!$F$6+IF(AND(Config!$F$6&gt;0,WEEKDAY($D44+Config!$F$6)=Config!$E$24),1,0))</f>
        <v/>
      </c>
      <c r="F44" s="24"/>
      <c r="G44" s="23" t="str">
        <f aca="false">IF(OR(NOT(ISNUMBER($D44)),Config!$G$7&lt;&gt;"Sim"),"",$D44+Config!$F$7+IF(AND(Config!$F$7&gt;0,WEEKDAY($D44+Config!$F$7)=Config!$E$24),1,0))</f>
        <v/>
      </c>
      <c r="H44" s="24"/>
      <c r="I44" s="23" t="str">
        <f aca="false">IF(OR(NOT(ISNUMBER($D44)),Config!$G$8&lt;&gt;"Sim"),"",$D44+Config!$F$8+IF(AND(Config!$F$8&gt;0,WEEKDAY($D44+Config!$F$8)=Config!$E$24),1,0))</f>
        <v/>
      </c>
      <c r="J44" s="24"/>
      <c r="K44" s="23" t="str">
        <f aca="false">IF(OR(NOT(ISNUMBER($D44)),Config!$G$9&lt;&gt;"Sim"),"",$D44+Config!$F$9+IF(AND(Config!$F$9&gt;0,WEEKDAY($D44+Config!$F$9)=Config!$E$24),1,0))</f>
        <v/>
      </c>
      <c r="L44" s="24"/>
      <c r="M44" s="23" t="str">
        <f aca="false">IF(OR(NOT(ISNUMBER($D44)),Config!$G$10&lt;&gt;"Sim"),"",$D44+Config!$F$10+IF(AND(Config!$F$10&gt;0,WEEKDAY($D44+Config!$F$10)=Config!$E$24),1,0))</f>
        <v/>
      </c>
      <c r="N44" s="24"/>
      <c r="O44" s="23" t="str">
        <f aca="false">IF(OR(NOT(ISNUMBER($D44)),Config!$G$11&lt;&gt;"Sim"),"",$D44+Config!$F$11+IF(AND(Config!$F$11&gt;0,WEEKDAY($D44+Config!$F$11)=Config!$E$24),1,0))</f>
        <v/>
      </c>
      <c r="P44" s="24"/>
      <c r="Q44" s="25" t="str">
        <f aca="false">IF(COUNT(E44,G44,I44,K44,M44,O44)=0,"",((E44&lt;&gt;"")*(F44&lt;&gt;"")+(G44&lt;&gt;"")*(H44&lt;&gt;"")+(I44&lt;&gt;"")*(J44&lt;&gt;"")+(K44&lt;&gt;"")*(L44&lt;&gt;"")+(M44&lt;&gt;"")*(N44&lt;&gt;"")+(O44&lt;&gt;"")*(P44&lt;&gt;""))/COUNT(E44,G44,I44,K44,M44,O44))</f>
        <v/>
      </c>
      <c r="R44" s="26" t="str">
        <f aca="false">IF(T44="","",IF(T44=99999,"",T44))</f>
        <v/>
      </c>
      <c r="S44" s="27" t="str">
        <f aca="true">IF(T44="","",IF(T44=99999,"Concluído",IF(T44&lt;TODAY(),"Atrasado",IF(T44=TODAY(),"Hoje","Em dia"))))</f>
        <v/>
      </c>
      <c r="T44" s="28" t="str">
        <f aca="false">IF(COUNT(E44,G44,I44,K44,M44,O44)=0,"",MIN(IF(AND(E44&lt;&gt;"",F44=""),E44,99999),IF(AND(G44&lt;&gt;"",H44=""),G44,99999),IF(AND(I44&lt;&gt;"",J44=""),I44,99999),IF(AND(K44&lt;&gt;"",L44=""),K44,99999),IF(AND(M44&lt;&gt;"",N44=""),M44,99999),IF(AND(O44&lt;&gt;"",P44=""),O44,99999)))</f>
        <v/>
      </c>
    </row>
    <row r="45" customFormat="false" ht="15" hidden="false" customHeight="false" outlineLevel="0" collapsed="false">
      <c r="A45" s="20" t="n">
        <v>40</v>
      </c>
      <c r="B45" s="21"/>
      <c r="C45" s="21"/>
      <c r="D45" s="22"/>
      <c r="E45" s="23" t="str">
        <f aca="false">IF(OR(NOT(ISNUMBER($D45)),Config!$G$6&lt;&gt;"Sim"),"",$D45+Config!$F$6+IF(AND(Config!$F$6&gt;0,WEEKDAY($D45+Config!$F$6)=Config!$E$24),1,0))</f>
        <v/>
      </c>
      <c r="F45" s="24"/>
      <c r="G45" s="23" t="str">
        <f aca="false">IF(OR(NOT(ISNUMBER($D45)),Config!$G$7&lt;&gt;"Sim"),"",$D45+Config!$F$7+IF(AND(Config!$F$7&gt;0,WEEKDAY($D45+Config!$F$7)=Config!$E$24),1,0))</f>
        <v/>
      </c>
      <c r="H45" s="24"/>
      <c r="I45" s="23" t="str">
        <f aca="false">IF(OR(NOT(ISNUMBER($D45)),Config!$G$8&lt;&gt;"Sim"),"",$D45+Config!$F$8+IF(AND(Config!$F$8&gt;0,WEEKDAY($D45+Config!$F$8)=Config!$E$24),1,0))</f>
        <v/>
      </c>
      <c r="J45" s="24"/>
      <c r="K45" s="23" t="str">
        <f aca="false">IF(OR(NOT(ISNUMBER($D45)),Config!$G$9&lt;&gt;"Sim"),"",$D45+Config!$F$9+IF(AND(Config!$F$9&gt;0,WEEKDAY($D45+Config!$F$9)=Config!$E$24),1,0))</f>
        <v/>
      </c>
      <c r="L45" s="24"/>
      <c r="M45" s="23" t="str">
        <f aca="false">IF(OR(NOT(ISNUMBER($D45)),Config!$G$10&lt;&gt;"Sim"),"",$D45+Config!$F$10+IF(AND(Config!$F$10&gt;0,WEEKDAY($D45+Config!$F$10)=Config!$E$24),1,0))</f>
        <v/>
      </c>
      <c r="N45" s="24"/>
      <c r="O45" s="23" t="str">
        <f aca="false">IF(OR(NOT(ISNUMBER($D45)),Config!$G$11&lt;&gt;"Sim"),"",$D45+Config!$F$11+IF(AND(Config!$F$11&gt;0,WEEKDAY($D45+Config!$F$11)=Config!$E$24),1,0))</f>
        <v/>
      </c>
      <c r="P45" s="24"/>
      <c r="Q45" s="25" t="str">
        <f aca="false">IF(COUNT(E45,G45,I45,K45,M45,O45)=0,"",((E45&lt;&gt;"")*(F45&lt;&gt;"")+(G45&lt;&gt;"")*(H45&lt;&gt;"")+(I45&lt;&gt;"")*(J45&lt;&gt;"")+(K45&lt;&gt;"")*(L45&lt;&gt;"")+(M45&lt;&gt;"")*(N45&lt;&gt;"")+(O45&lt;&gt;"")*(P45&lt;&gt;""))/COUNT(E45,G45,I45,K45,M45,O45))</f>
        <v/>
      </c>
      <c r="R45" s="26" t="str">
        <f aca="false">IF(T45="","",IF(T45=99999,"",T45))</f>
        <v/>
      </c>
      <c r="S45" s="27" t="str">
        <f aca="true">IF(T45="","",IF(T45=99999,"Concluído",IF(T45&lt;TODAY(),"Atrasado",IF(T45=TODAY(),"Hoje","Em dia"))))</f>
        <v/>
      </c>
      <c r="T45" s="28" t="str">
        <f aca="false">IF(COUNT(E45,G45,I45,K45,M45,O45)=0,"",MIN(IF(AND(E45&lt;&gt;"",F45=""),E45,99999),IF(AND(G45&lt;&gt;"",H45=""),G45,99999),IF(AND(I45&lt;&gt;"",J45=""),I45,99999),IF(AND(K45&lt;&gt;"",L45=""),K45,99999),IF(AND(M45&lt;&gt;"",N45=""),M45,99999),IF(AND(O45&lt;&gt;"",P45=""),O45,99999)))</f>
        <v/>
      </c>
    </row>
    <row r="46" customFormat="false" ht="15" hidden="false" customHeight="false" outlineLevel="0" collapsed="false">
      <c r="A46" s="20" t="n">
        <v>41</v>
      </c>
      <c r="B46" s="21"/>
      <c r="C46" s="21"/>
      <c r="D46" s="22"/>
      <c r="E46" s="23" t="str">
        <f aca="false">IF(OR(NOT(ISNUMBER($D46)),Config!$G$6&lt;&gt;"Sim"),"",$D46+Config!$F$6+IF(AND(Config!$F$6&gt;0,WEEKDAY($D46+Config!$F$6)=Config!$E$24),1,0))</f>
        <v/>
      </c>
      <c r="F46" s="24"/>
      <c r="G46" s="23" t="str">
        <f aca="false">IF(OR(NOT(ISNUMBER($D46)),Config!$G$7&lt;&gt;"Sim"),"",$D46+Config!$F$7+IF(AND(Config!$F$7&gt;0,WEEKDAY($D46+Config!$F$7)=Config!$E$24),1,0))</f>
        <v/>
      </c>
      <c r="H46" s="24"/>
      <c r="I46" s="23" t="str">
        <f aca="false">IF(OR(NOT(ISNUMBER($D46)),Config!$G$8&lt;&gt;"Sim"),"",$D46+Config!$F$8+IF(AND(Config!$F$8&gt;0,WEEKDAY($D46+Config!$F$8)=Config!$E$24),1,0))</f>
        <v/>
      </c>
      <c r="J46" s="24"/>
      <c r="K46" s="23" t="str">
        <f aca="false">IF(OR(NOT(ISNUMBER($D46)),Config!$G$9&lt;&gt;"Sim"),"",$D46+Config!$F$9+IF(AND(Config!$F$9&gt;0,WEEKDAY($D46+Config!$F$9)=Config!$E$24),1,0))</f>
        <v/>
      </c>
      <c r="L46" s="24"/>
      <c r="M46" s="23" t="str">
        <f aca="false">IF(OR(NOT(ISNUMBER($D46)),Config!$G$10&lt;&gt;"Sim"),"",$D46+Config!$F$10+IF(AND(Config!$F$10&gt;0,WEEKDAY($D46+Config!$F$10)=Config!$E$24),1,0))</f>
        <v/>
      </c>
      <c r="N46" s="24"/>
      <c r="O46" s="23" t="str">
        <f aca="false">IF(OR(NOT(ISNUMBER($D46)),Config!$G$11&lt;&gt;"Sim"),"",$D46+Config!$F$11+IF(AND(Config!$F$11&gt;0,WEEKDAY($D46+Config!$F$11)=Config!$E$24),1,0))</f>
        <v/>
      </c>
      <c r="P46" s="24"/>
      <c r="Q46" s="25" t="str">
        <f aca="false">IF(COUNT(E46,G46,I46,K46,M46,O46)=0,"",((E46&lt;&gt;"")*(F46&lt;&gt;"")+(G46&lt;&gt;"")*(H46&lt;&gt;"")+(I46&lt;&gt;"")*(J46&lt;&gt;"")+(K46&lt;&gt;"")*(L46&lt;&gt;"")+(M46&lt;&gt;"")*(N46&lt;&gt;"")+(O46&lt;&gt;"")*(P46&lt;&gt;""))/COUNT(E46,G46,I46,K46,M46,O46))</f>
        <v/>
      </c>
      <c r="R46" s="26" t="str">
        <f aca="false">IF(T46="","",IF(T46=99999,"",T46))</f>
        <v/>
      </c>
      <c r="S46" s="27" t="str">
        <f aca="true">IF(T46="","",IF(T46=99999,"Concluído",IF(T46&lt;TODAY(),"Atrasado",IF(T46=TODAY(),"Hoje","Em dia"))))</f>
        <v/>
      </c>
      <c r="T46" s="28" t="str">
        <f aca="false">IF(COUNT(E46,G46,I46,K46,M46,O46)=0,"",MIN(IF(AND(E46&lt;&gt;"",F46=""),E46,99999),IF(AND(G46&lt;&gt;"",H46=""),G46,99999),IF(AND(I46&lt;&gt;"",J46=""),I46,99999),IF(AND(K46&lt;&gt;"",L46=""),K46,99999),IF(AND(M46&lt;&gt;"",N46=""),M46,99999),IF(AND(O46&lt;&gt;"",P46=""),O46,99999)))</f>
        <v/>
      </c>
    </row>
    <row r="47" customFormat="false" ht="15" hidden="false" customHeight="false" outlineLevel="0" collapsed="false">
      <c r="A47" s="20" t="n">
        <v>42</v>
      </c>
      <c r="B47" s="21"/>
      <c r="C47" s="21"/>
      <c r="D47" s="22"/>
      <c r="E47" s="23" t="str">
        <f aca="false">IF(OR(NOT(ISNUMBER($D47)),Config!$G$6&lt;&gt;"Sim"),"",$D47+Config!$F$6+IF(AND(Config!$F$6&gt;0,WEEKDAY($D47+Config!$F$6)=Config!$E$24),1,0))</f>
        <v/>
      </c>
      <c r="F47" s="24"/>
      <c r="G47" s="23" t="str">
        <f aca="false">IF(OR(NOT(ISNUMBER($D47)),Config!$G$7&lt;&gt;"Sim"),"",$D47+Config!$F$7+IF(AND(Config!$F$7&gt;0,WEEKDAY($D47+Config!$F$7)=Config!$E$24),1,0))</f>
        <v/>
      </c>
      <c r="H47" s="24"/>
      <c r="I47" s="23" t="str">
        <f aca="false">IF(OR(NOT(ISNUMBER($D47)),Config!$G$8&lt;&gt;"Sim"),"",$D47+Config!$F$8+IF(AND(Config!$F$8&gt;0,WEEKDAY($D47+Config!$F$8)=Config!$E$24),1,0))</f>
        <v/>
      </c>
      <c r="J47" s="24"/>
      <c r="K47" s="23" t="str">
        <f aca="false">IF(OR(NOT(ISNUMBER($D47)),Config!$G$9&lt;&gt;"Sim"),"",$D47+Config!$F$9+IF(AND(Config!$F$9&gt;0,WEEKDAY($D47+Config!$F$9)=Config!$E$24),1,0))</f>
        <v/>
      </c>
      <c r="L47" s="24"/>
      <c r="M47" s="23" t="str">
        <f aca="false">IF(OR(NOT(ISNUMBER($D47)),Config!$G$10&lt;&gt;"Sim"),"",$D47+Config!$F$10+IF(AND(Config!$F$10&gt;0,WEEKDAY($D47+Config!$F$10)=Config!$E$24),1,0))</f>
        <v/>
      </c>
      <c r="N47" s="24"/>
      <c r="O47" s="23" t="str">
        <f aca="false">IF(OR(NOT(ISNUMBER($D47)),Config!$G$11&lt;&gt;"Sim"),"",$D47+Config!$F$11+IF(AND(Config!$F$11&gt;0,WEEKDAY($D47+Config!$F$11)=Config!$E$24),1,0))</f>
        <v/>
      </c>
      <c r="P47" s="24"/>
      <c r="Q47" s="25" t="str">
        <f aca="false">IF(COUNT(E47,G47,I47,K47,M47,O47)=0,"",((E47&lt;&gt;"")*(F47&lt;&gt;"")+(G47&lt;&gt;"")*(H47&lt;&gt;"")+(I47&lt;&gt;"")*(J47&lt;&gt;"")+(K47&lt;&gt;"")*(L47&lt;&gt;"")+(M47&lt;&gt;"")*(N47&lt;&gt;"")+(O47&lt;&gt;"")*(P47&lt;&gt;""))/COUNT(E47,G47,I47,K47,M47,O47))</f>
        <v/>
      </c>
      <c r="R47" s="26" t="str">
        <f aca="false">IF(T47="","",IF(T47=99999,"",T47))</f>
        <v/>
      </c>
      <c r="S47" s="27" t="str">
        <f aca="true">IF(T47="","",IF(T47=99999,"Concluído",IF(T47&lt;TODAY(),"Atrasado",IF(T47=TODAY(),"Hoje","Em dia"))))</f>
        <v/>
      </c>
      <c r="T47" s="28" t="str">
        <f aca="false">IF(COUNT(E47,G47,I47,K47,M47,O47)=0,"",MIN(IF(AND(E47&lt;&gt;"",F47=""),E47,99999),IF(AND(G47&lt;&gt;"",H47=""),G47,99999),IF(AND(I47&lt;&gt;"",J47=""),I47,99999),IF(AND(K47&lt;&gt;"",L47=""),K47,99999),IF(AND(M47&lt;&gt;"",N47=""),M47,99999),IF(AND(O47&lt;&gt;"",P47=""),O47,99999)))</f>
        <v/>
      </c>
    </row>
    <row r="48" customFormat="false" ht="15" hidden="false" customHeight="false" outlineLevel="0" collapsed="false">
      <c r="A48" s="20" t="n">
        <v>43</v>
      </c>
      <c r="B48" s="21"/>
      <c r="C48" s="21"/>
      <c r="D48" s="22"/>
      <c r="E48" s="23" t="str">
        <f aca="false">IF(OR(NOT(ISNUMBER($D48)),Config!$G$6&lt;&gt;"Sim"),"",$D48+Config!$F$6+IF(AND(Config!$F$6&gt;0,WEEKDAY($D48+Config!$F$6)=Config!$E$24),1,0))</f>
        <v/>
      </c>
      <c r="F48" s="24"/>
      <c r="G48" s="23" t="str">
        <f aca="false">IF(OR(NOT(ISNUMBER($D48)),Config!$G$7&lt;&gt;"Sim"),"",$D48+Config!$F$7+IF(AND(Config!$F$7&gt;0,WEEKDAY($D48+Config!$F$7)=Config!$E$24),1,0))</f>
        <v/>
      </c>
      <c r="H48" s="24"/>
      <c r="I48" s="23" t="str">
        <f aca="false">IF(OR(NOT(ISNUMBER($D48)),Config!$G$8&lt;&gt;"Sim"),"",$D48+Config!$F$8+IF(AND(Config!$F$8&gt;0,WEEKDAY($D48+Config!$F$8)=Config!$E$24),1,0))</f>
        <v/>
      </c>
      <c r="J48" s="24"/>
      <c r="K48" s="23" t="str">
        <f aca="false">IF(OR(NOT(ISNUMBER($D48)),Config!$G$9&lt;&gt;"Sim"),"",$D48+Config!$F$9+IF(AND(Config!$F$9&gt;0,WEEKDAY($D48+Config!$F$9)=Config!$E$24),1,0))</f>
        <v/>
      </c>
      <c r="L48" s="24"/>
      <c r="M48" s="23" t="str">
        <f aca="false">IF(OR(NOT(ISNUMBER($D48)),Config!$G$10&lt;&gt;"Sim"),"",$D48+Config!$F$10+IF(AND(Config!$F$10&gt;0,WEEKDAY($D48+Config!$F$10)=Config!$E$24),1,0))</f>
        <v/>
      </c>
      <c r="N48" s="24"/>
      <c r="O48" s="23" t="str">
        <f aca="false">IF(OR(NOT(ISNUMBER($D48)),Config!$G$11&lt;&gt;"Sim"),"",$D48+Config!$F$11+IF(AND(Config!$F$11&gt;0,WEEKDAY($D48+Config!$F$11)=Config!$E$24),1,0))</f>
        <v/>
      </c>
      <c r="P48" s="24"/>
      <c r="Q48" s="25" t="str">
        <f aca="false">IF(COUNT(E48,G48,I48,K48,M48,O48)=0,"",((E48&lt;&gt;"")*(F48&lt;&gt;"")+(G48&lt;&gt;"")*(H48&lt;&gt;"")+(I48&lt;&gt;"")*(J48&lt;&gt;"")+(K48&lt;&gt;"")*(L48&lt;&gt;"")+(M48&lt;&gt;"")*(N48&lt;&gt;"")+(O48&lt;&gt;"")*(P48&lt;&gt;""))/COUNT(E48,G48,I48,K48,M48,O48))</f>
        <v/>
      </c>
      <c r="R48" s="26" t="str">
        <f aca="false">IF(T48="","",IF(T48=99999,"",T48))</f>
        <v/>
      </c>
      <c r="S48" s="27" t="str">
        <f aca="true">IF(T48="","",IF(T48=99999,"Concluído",IF(T48&lt;TODAY(),"Atrasado",IF(T48=TODAY(),"Hoje","Em dia"))))</f>
        <v/>
      </c>
      <c r="T48" s="28" t="str">
        <f aca="false">IF(COUNT(E48,G48,I48,K48,M48,O48)=0,"",MIN(IF(AND(E48&lt;&gt;"",F48=""),E48,99999),IF(AND(G48&lt;&gt;"",H48=""),G48,99999),IF(AND(I48&lt;&gt;"",J48=""),I48,99999),IF(AND(K48&lt;&gt;"",L48=""),K48,99999),IF(AND(M48&lt;&gt;"",N48=""),M48,99999),IF(AND(O48&lt;&gt;"",P48=""),O48,99999)))</f>
        <v/>
      </c>
    </row>
    <row r="49" customFormat="false" ht="15" hidden="false" customHeight="false" outlineLevel="0" collapsed="false">
      <c r="A49" s="20" t="n">
        <v>44</v>
      </c>
      <c r="B49" s="21"/>
      <c r="C49" s="21"/>
      <c r="D49" s="22"/>
      <c r="E49" s="23" t="str">
        <f aca="false">IF(OR(NOT(ISNUMBER($D49)),Config!$G$6&lt;&gt;"Sim"),"",$D49+Config!$F$6+IF(AND(Config!$F$6&gt;0,WEEKDAY($D49+Config!$F$6)=Config!$E$24),1,0))</f>
        <v/>
      </c>
      <c r="F49" s="24"/>
      <c r="G49" s="23" t="str">
        <f aca="false">IF(OR(NOT(ISNUMBER($D49)),Config!$G$7&lt;&gt;"Sim"),"",$D49+Config!$F$7+IF(AND(Config!$F$7&gt;0,WEEKDAY($D49+Config!$F$7)=Config!$E$24),1,0))</f>
        <v/>
      </c>
      <c r="H49" s="24"/>
      <c r="I49" s="23" t="str">
        <f aca="false">IF(OR(NOT(ISNUMBER($D49)),Config!$G$8&lt;&gt;"Sim"),"",$D49+Config!$F$8+IF(AND(Config!$F$8&gt;0,WEEKDAY($D49+Config!$F$8)=Config!$E$24),1,0))</f>
        <v/>
      </c>
      <c r="J49" s="24"/>
      <c r="K49" s="23" t="str">
        <f aca="false">IF(OR(NOT(ISNUMBER($D49)),Config!$G$9&lt;&gt;"Sim"),"",$D49+Config!$F$9+IF(AND(Config!$F$9&gt;0,WEEKDAY($D49+Config!$F$9)=Config!$E$24),1,0))</f>
        <v/>
      </c>
      <c r="L49" s="24"/>
      <c r="M49" s="23" t="str">
        <f aca="false">IF(OR(NOT(ISNUMBER($D49)),Config!$G$10&lt;&gt;"Sim"),"",$D49+Config!$F$10+IF(AND(Config!$F$10&gt;0,WEEKDAY($D49+Config!$F$10)=Config!$E$24),1,0))</f>
        <v/>
      </c>
      <c r="N49" s="24"/>
      <c r="O49" s="23" t="str">
        <f aca="false">IF(OR(NOT(ISNUMBER($D49)),Config!$G$11&lt;&gt;"Sim"),"",$D49+Config!$F$11+IF(AND(Config!$F$11&gt;0,WEEKDAY($D49+Config!$F$11)=Config!$E$24),1,0))</f>
        <v/>
      </c>
      <c r="P49" s="24"/>
      <c r="Q49" s="25" t="str">
        <f aca="false">IF(COUNT(E49,G49,I49,K49,M49,O49)=0,"",((E49&lt;&gt;"")*(F49&lt;&gt;"")+(G49&lt;&gt;"")*(H49&lt;&gt;"")+(I49&lt;&gt;"")*(J49&lt;&gt;"")+(K49&lt;&gt;"")*(L49&lt;&gt;"")+(M49&lt;&gt;"")*(N49&lt;&gt;"")+(O49&lt;&gt;"")*(P49&lt;&gt;""))/COUNT(E49,G49,I49,K49,M49,O49))</f>
        <v/>
      </c>
      <c r="R49" s="26" t="str">
        <f aca="false">IF(T49="","",IF(T49=99999,"",T49))</f>
        <v/>
      </c>
      <c r="S49" s="27" t="str">
        <f aca="true">IF(T49="","",IF(T49=99999,"Concluído",IF(T49&lt;TODAY(),"Atrasado",IF(T49=TODAY(),"Hoje","Em dia"))))</f>
        <v/>
      </c>
      <c r="T49" s="28" t="str">
        <f aca="false">IF(COUNT(E49,G49,I49,K49,M49,O49)=0,"",MIN(IF(AND(E49&lt;&gt;"",F49=""),E49,99999),IF(AND(G49&lt;&gt;"",H49=""),G49,99999),IF(AND(I49&lt;&gt;"",J49=""),I49,99999),IF(AND(K49&lt;&gt;"",L49=""),K49,99999),IF(AND(M49&lt;&gt;"",N49=""),M49,99999),IF(AND(O49&lt;&gt;"",P49=""),O49,99999)))</f>
        <v/>
      </c>
    </row>
    <row r="50" customFormat="false" ht="15" hidden="false" customHeight="false" outlineLevel="0" collapsed="false">
      <c r="A50" s="20" t="n">
        <v>45</v>
      </c>
      <c r="B50" s="21"/>
      <c r="C50" s="21"/>
      <c r="D50" s="22"/>
      <c r="E50" s="23" t="str">
        <f aca="false">IF(OR(NOT(ISNUMBER($D50)),Config!$G$6&lt;&gt;"Sim"),"",$D50+Config!$F$6+IF(AND(Config!$F$6&gt;0,WEEKDAY($D50+Config!$F$6)=Config!$E$24),1,0))</f>
        <v/>
      </c>
      <c r="F50" s="24"/>
      <c r="G50" s="23" t="str">
        <f aca="false">IF(OR(NOT(ISNUMBER($D50)),Config!$G$7&lt;&gt;"Sim"),"",$D50+Config!$F$7+IF(AND(Config!$F$7&gt;0,WEEKDAY($D50+Config!$F$7)=Config!$E$24),1,0))</f>
        <v/>
      </c>
      <c r="H50" s="24"/>
      <c r="I50" s="23" t="str">
        <f aca="false">IF(OR(NOT(ISNUMBER($D50)),Config!$G$8&lt;&gt;"Sim"),"",$D50+Config!$F$8+IF(AND(Config!$F$8&gt;0,WEEKDAY($D50+Config!$F$8)=Config!$E$24),1,0))</f>
        <v/>
      </c>
      <c r="J50" s="24"/>
      <c r="K50" s="23" t="str">
        <f aca="false">IF(OR(NOT(ISNUMBER($D50)),Config!$G$9&lt;&gt;"Sim"),"",$D50+Config!$F$9+IF(AND(Config!$F$9&gt;0,WEEKDAY($D50+Config!$F$9)=Config!$E$24),1,0))</f>
        <v/>
      </c>
      <c r="L50" s="24"/>
      <c r="M50" s="23" t="str">
        <f aca="false">IF(OR(NOT(ISNUMBER($D50)),Config!$G$10&lt;&gt;"Sim"),"",$D50+Config!$F$10+IF(AND(Config!$F$10&gt;0,WEEKDAY($D50+Config!$F$10)=Config!$E$24),1,0))</f>
        <v/>
      </c>
      <c r="N50" s="24"/>
      <c r="O50" s="23" t="str">
        <f aca="false">IF(OR(NOT(ISNUMBER($D50)),Config!$G$11&lt;&gt;"Sim"),"",$D50+Config!$F$11+IF(AND(Config!$F$11&gt;0,WEEKDAY($D50+Config!$F$11)=Config!$E$24),1,0))</f>
        <v/>
      </c>
      <c r="P50" s="24"/>
      <c r="Q50" s="25" t="str">
        <f aca="false">IF(COUNT(E50,G50,I50,K50,M50,O50)=0,"",((E50&lt;&gt;"")*(F50&lt;&gt;"")+(G50&lt;&gt;"")*(H50&lt;&gt;"")+(I50&lt;&gt;"")*(J50&lt;&gt;"")+(K50&lt;&gt;"")*(L50&lt;&gt;"")+(M50&lt;&gt;"")*(N50&lt;&gt;"")+(O50&lt;&gt;"")*(P50&lt;&gt;""))/COUNT(E50,G50,I50,K50,M50,O50))</f>
        <v/>
      </c>
      <c r="R50" s="26" t="str">
        <f aca="false">IF(T50="","",IF(T50=99999,"",T50))</f>
        <v/>
      </c>
      <c r="S50" s="27" t="str">
        <f aca="true">IF(T50="","",IF(T50=99999,"Concluído",IF(T50&lt;TODAY(),"Atrasado",IF(T50=TODAY(),"Hoje","Em dia"))))</f>
        <v/>
      </c>
      <c r="T50" s="28" t="str">
        <f aca="false">IF(COUNT(E50,G50,I50,K50,M50,O50)=0,"",MIN(IF(AND(E50&lt;&gt;"",F50=""),E50,99999),IF(AND(G50&lt;&gt;"",H50=""),G50,99999),IF(AND(I50&lt;&gt;"",J50=""),I50,99999),IF(AND(K50&lt;&gt;"",L50=""),K50,99999),IF(AND(M50&lt;&gt;"",N50=""),M50,99999),IF(AND(O50&lt;&gt;"",P50=""),O50,99999)))</f>
        <v/>
      </c>
    </row>
    <row r="51" customFormat="false" ht="15" hidden="false" customHeight="false" outlineLevel="0" collapsed="false">
      <c r="A51" s="20" t="n">
        <v>46</v>
      </c>
      <c r="B51" s="21"/>
      <c r="C51" s="21"/>
      <c r="D51" s="22"/>
      <c r="E51" s="23" t="str">
        <f aca="false">IF(OR(NOT(ISNUMBER($D51)),Config!$G$6&lt;&gt;"Sim"),"",$D51+Config!$F$6+IF(AND(Config!$F$6&gt;0,WEEKDAY($D51+Config!$F$6)=Config!$E$24),1,0))</f>
        <v/>
      </c>
      <c r="F51" s="24"/>
      <c r="G51" s="23" t="str">
        <f aca="false">IF(OR(NOT(ISNUMBER($D51)),Config!$G$7&lt;&gt;"Sim"),"",$D51+Config!$F$7+IF(AND(Config!$F$7&gt;0,WEEKDAY($D51+Config!$F$7)=Config!$E$24),1,0))</f>
        <v/>
      </c>
      <c r="H51" s="24"/>
      <c r="I51" s="23" t="str">
        <f aca="false">IF(OR(NOT(ISNUMBER($D51)),Config!$G$8&lt;&gt;"Sim"),"",$D51+Config!$F$8+IF(AND(Config!$F$8&gt;0,WEEKDAY($D51+Config!$F$8)=Config!$E$24),1,0))</f>
        <v/>
      </c>
      <c r="J51" s="24"/>
      <c r="K51" s="23" t="str">
        <f aca="false">IF(OR(NOT(ISNUMBER($D51)),Config!$G$9&lt;&gt;"Sim"),"",$D51+Config!$F$9+IF(AND(Config!$F$9&gt;0,WEEKDAY($D51+Config!$F$9)=Config!$E$24),1,0))</f>
        <v/>
      </c>
      <c r="L51" s="24"/>
      <c r="M51" s="23" t="str">
        <f aca="false">IF(OR(NOT(ISNUMBER($D51)),Config!$G$10&lt;&gt;"Sim"),"",$D51+Config!$F$10+IF(AND(Config!$F$10&gt;0,WEEKDAY($D51+Config!$F$10)=Config!$E$24),1,0))</f>
        <v/>
      </c>
      <c r="N51" s="24"/>
      <c r="O51" s="23" t="str">
        <f aca="false">IF(OR(NOT(ISNUMBER($D51)),Config!$G$11&lt;&gt;"Sim"),"",$D51+Config!$F$11+IF(AND(Config!$F$11&gt;0,WEEKDAY($D51+Config!$F$11)=Config!$E$24),1,0))</f>
        <v/>
      </c>
      <c r="P51" s="24"/>
      <c r="Q51" s="25" t="str">
        <f aca="false">IF(COUNT(E51,G51,I51,K51,M51,O51)=0,"",((E51&lt;&gt;"")*(F51&lt;&gt;"")+(G51&lt;&gt;"")*(H51&lt;&gt;"")+(I51&lt;&gt;"")*(J51&lt;&gt;"")+(K51&lt;&gt;"")*(L51&lt;&gt;"")+(M51&lt;&gt;"")*(N51&lt;&gt;"")+(O51&lt;&gt;"")*(P51&lt;&gt;""))/COUNT(E51,G51,I51,K51,M51,O51))</f>
        <v/>
      </c>
      <c r="R51" s="26" t="str">
        <f aca="false">IF(T51="","",IF(T51=99999,"",T51))</f>
        <v/>
      </c>
      <c r="S51" s="27" t="str">
        <f aca="true">IF(T51="","",IF(T51=99999,"Concluído",IF(T51&lt;TODAY(),"Atrasado",IF(T51=TODAY(),"Hoje","Em dia"))))</f>
        <v/>
      </c>
      <c r="T51" s="28" t="str">
        <f aca="false">IF(COUNT(E51,G51,I51,K51,M51,O51)=0,"",MIN(IF(AND(E51&lt;&gt;"",F51=""),E51,99999),IF(AND(G51&lt;&gt;"",H51=""),G51,99999),IF(AND(I51&lt;&gt;"",J51=""),I51,99999),IF(AND(K51&lt;&gt;"",L51=""),K51,99999),IF(AND(M51&lt;&gt;"",N51=""),M51,99999),IF(AND(O51&lt;&gt;"",P51=""),O51,99999)))</f>
        <v/>
      </c>
    </row>
    <row r="52" customFormat="false" ht="15" hidden="false" customHeight="false" outlineLevel="0" collapsed="false">
      <c r="A52" s="20" t="n">
        <v>47</v>
      </c>
      <c r="B52" s="21"/>
      <c r="C52" s="21"/>
      <c r="D52" s="22"/>
      <c r="E52" s="23" t="str">
        <f aca="false">IF(OR(NOT(ISNUMBER($D52)),Config!$G$6&lt;&gt;"Sim"),"",$D52+Config!$F$6+IF(AND(Config!$F$6&gt;0,WEEKDAY($D52+Config!$F$6)=Config!$E$24),1,0))</f>
        <v/>
      </c>
      <c r="F52" s="24"/>
      <c r="G52" s="23" t="str">
        <f aca="false">IF(OR(NOT(ISNUMBER($D52)),Config!$G$7&lt;&gt;"Sim"),"",$D52+Config!$F$7+IF(AND(Config!$F$7&gt;0,WEEKDAY($D52+Config!$F$7)=Config!$E$24),1,0))</f>
        <v/>
      </c>
      <c r="H52" s="24"/>
      <c r="I52" s="23" t="str">
        <f aca="false">IF(OR(NOT(ISNUMBER($D52)),Config!$G$8&lt;&gt;"Sim"),"",$D52+Config!$F$8+IF(AND(Config!$F$8&gt;0,WEEKDAY($D52+Config!$F$8)=Config!$E$24),1,0))</f>
        <v/>
      </c>
      <c r="J52" s="24"/>
      <c r="K52" s="23" t="str">
        <f aca="false">IF(OR(NOT(ISNUMBER($D52)),Config!$G$9&lt;&gt;"Sim"),"",$D52+Config!$F$9+IF(AND(Config!$F$9&gt;0,WEEKDAY($D52+Config!$F$9)=Config!$E$24),1,0))</f>
        <v/>
      </c>
      <c r="L52" s="24"/>
      <c r="M52" s="23" t="str">
        <f aca="false">IF(OR(NOT(ISNUMBER($D52)),Config!$G$10&lt;&gt;"Sim"),"",$D52+Config!$F$10+IF(AND(Config!$F$10&gt;0,WEEKDAY($D52+Config!$F$10)=Config!$E$24),1,0))</f>
        <v/>
      </c>
      <c r="N52" s="24"/>
      <c r="O52" s="23" t="str">
        <f aca="false">IF(OR(NOT(ISNUMBER($D52)),Config!$G$11&lt;&gt;"Sim"),"",$D52+Config!$F$11+IF(AND(Config!$F$11&gt;0,WEEKDAY($D52+Config!$F$11)=Config!$E$24),1,0))</f>
        <v/>
      </c>
      <c r="P52" s="24"/>
      <c r="Q52" s="25" t="str">
        <f aca="false">IF(COUNT(E52,G52,I52,K52,M52,O52)=0,"",((E52&lt;&gt;"")*(F52&lt;&gt;"")+(G52&lt;&gt;"")*(H52&lt;&gt;"")+(I52&lt;&gt;"")*(J52&lt;&gt;"")+(K52&lt;&gt;"")*(L52&lt;&gt;"")+(M52&lt;&gt;"")*(N52&lt;&gt;"")+(O52&lt;&gt;"")*(P52&lt;&gt;""))/COUNT(E52,G52,I52,K52,M52,O52))</f>
        <v/>
      </c>
      <c r="R52" s="26" t="str">
        <f aca="false">IF(T52="","",IF(T52=99999,"",T52))</f>
        <v/>
      </c>
      <c r="S52" s="27" t="str">
        <f aca="true">IF(T52="","",IF(T52=99999,"Concluído",IF(T52&lt;TODAY(),"Atrasado",IF(T52=TODAY(),"Hoje","Em dia"))))</f>
        <v/>
      </c>
      <c r="T52" s="28" t="str">
        <f aca="false">IF(COUNT(E52,G52,I52,K52,M52,O52)=0,"",MIN(IF(AND(E52&lt;&gt;"",F52=""),E52,99999),IF(AND(G52&lt;&gt;"",H52=""),G52,99999),IF(AND(I52&lt;&gt;"",J52=""),I52,99999),IF(AND(K52&lt;&gt;"",L52=""),K52,99999),IF(AND(M52&lt;&gt;"",N52=""),M52,99999),IF(AND(O52&lt;&gt;"",P52=""),O52,99999)))</f>
        <v/>
      </c>
    </row>
    <row r="53" customFormat="false" ht="15" hidden="false" customHeight="false" outlineLevel="0" collapsed="false">
      <c r="A53" s="20" t="n">
        <v>48</v>
      </c>
      <c r="B53" s="21"/>
      <c r="C53" s="21"/>
      <c r="D53" s="22"/>
      <c r="E53" s="23" t="str">
        <f aca="false">IF(OR(NOT(ISNUMBER($D53)),Config!$G$6&lt;&gt;"Sim"),"",$D53+Config!$F$6+IF(AND(Config!$F$6&gt;0,WEEKDAY($D53+Config!$F$6)=Config!$E$24),1,0))</f>
        <v/>
      </c>
      <c r="F53" s="24"/>
      <c r="G53" s="23" t="str">
        <f aca="false">IF(OR(NOT(ISNUMBER($D53)),Config!$G$7&lt;&gt;"Sim"),"",$D53+Config!$F$7+IF(AND(Config!$F$7&gt;0,WEEKDAY($D53+Config!$F$7)=Config!$E$24),1,0))</f>
        <v/>
      </c>
      <c r="H53" s="24"/>
      <c r="I53" s="23" t="str">
        <f aca="false">IF(OR(NOT(ISNUMBER($D53)),Config!$G$8&lt;&gt;"Sim"),"",$D53+Config!$F$8+IF(AND(Config!$F$8&gt;0,WEEKDAY($D53+Config!$F$8)=Config!$E$24),1,0))</f>
        <v/>
      </c>
      <c r="J53" s="24"/>
      <c r="K53" s="23" t="str">
        <f aca="false">IF(OR(NOT(ISNUMBER($D53)),Config!$G$9&lt;&gt;"Sim"),"",$D53+Config!$F$9+IF(AND(Config!$F$9&gt;0,WEEKDAY($D53+Config!$F$9)=Config!$E$24),1,0))</f>
        <v/>
      </c>
      <c r="L53" s="24"/>
      <c r="M53" s="23" t="str">
        <f aca="false">IF(OR(NOT(ISNUMBER($D53)),Config!$G$10&lt;&gt;"Sim"),"",$D53+Config!$F$10+IF(AND(Config!$F$10&gt;0,WEEKDAY($D53+Config!$F$10)=Config!$E$24),1,0))</f>
        <v/>
      </c>
      <c r="N53" s="24"/>
      <c r="O53" s="23" t="str">
        <f aca="false">IF(OR(NOT(ISNUMBER($D53)),Config!$G$11&lt;&gt;"Sim"),"",$D53+Config!$F$11+IF(AND(Config!$F$11&gt;0,WEEKDAY($D53+Config!$F$11)=Config!$E$24),1,0))</f>
        <v/>
      </c>
      <c r="P53" s="24"/>
      <c r="Q53" s="25" t="str">
        <f aca="false">IF(COUNT(E53,G53,I53,K53,M53,O53)=0,"",((E53&lt;&gt;"")*(F53&lt;&gt;"")+(G53&lt;&gt;"")*(H53&lt;&gt;"")+(I53&lt;&gt;"")*(J53&lt;&gt;"")+(K53&lt;&gt;"")*(L53&lt;&gt;"")+(M53&lt;&gt;"")*(N53&lt;&gt;"")+(O53&lt;&gt;"")*(P53&lt;&gt;""))/COUNT(E53,G53,I53,K53,M53,O53))</f>
        <v/>
      </c>
      <c r="R53" s="26" t="str">
        <f aca="false">IF(T53="","",IF(T53=99999,"",T53))</f>
        <v/>
      </c>
      <c r="S53" s="27" t="str">
        <f aca="true">IF(T53="","",IF(T53=99999,"Concluído",IF(T53&lt;TODAY(),"Atrasado",IF(T53=TODAY(),"Hoje","Em dia"))))</f>
        <v/>
      </c>
      <c r="T53" s="28" t="str">
        <f aca="false">IF(COUNT(E53,G53,I53,K53,M53,O53)=0,"",MIN(IF(AND(E53&lt;&gt;"",F53=""),E53,99999),IF(AND(G53&lt;&gt;"",H53=""),G53,99999),IF(AND(I53&lt;&gt;"",J53=""),I53,99999),IF(AND(K53&lt;&gt;"",L53=""),K53,99999),IF(AND(M53&lt;&gt;"",N53=""),M53,99999),IF(AND(O53&lt;&gt;"",P53=""),O53,99999)))</f>
        <v/>
      </c>
    </row>
    <row r="54" customFormat="false" ht="15" hidden="false" customHeight="false" outlineLevel="0" collapsed="false">
      <c r="A54" s="20" t="n">
        <v>49</v>
      </c>
      <c r="B54" s="21"/>
      <c r="C54" s="21"/>
      <c r="D54" s="22"/>
      <c r="E54" s="23" t="str">
        <f aca="false">IF(OR(NOT(ISNUMBER($D54)),Config!$G$6&lt;&gt;"Sim"),"",$D54+Config!$F$6+IF(AND(Config!$F$6&gt;0,WEEKDAY($D54+Config!$F$6)=Config!$E$24),1,0))</f>
        <v/>
      </c>
      <c r="F54" s="24"/>
      <c r="G54" s="23" t="str">
        <f aca="false">IF(OR(NOT(ISNUMBER($D54)),Config!$G$7&lt;&gt;"Sim"),"",$D54+Config!$F$7+IF(AND(Config!$F$7&gt;0,WEEKDAY($D54+Config!$F$7)=Config!$E$24),1,0))</f>
        <v/>
      </c>
      <c r="H54" s="24"/>
      <c r="I54" s="23" t="str">
        <f aca="false">IF(OR(NOT(ISNUMBER($D54)),Config!$G$8&lt;&gt;"Sim"),"",$D54+Config!$F$8+IF(AND(Config!$F$8&gt;0,WEEKDAY($D54+Config!$F$8)=Config!$E$24),1,0))</f>
        <v/>
      </c>
      <c r="J54" s="24"/>
      <c r="K54" s="23" t="str">
        <f aca="false">IF(OR(NOT(ISNUMBER($D54)),Config!$G$9&lt;&gt;"Sim"),"",$D54+Config!$F$9+IF(AND(Config!$F$9&gt;0,WEEKDAY($D54+Config!$F$9)=Config!$E$24),1,0))</f>
        <v/>
      </c>
      <c r="L54" s="24"/>
      <c r="M54" s="23" t="str">
        <f aca="false">IF(OR(NOT(ISNUMBER($D54)),Config!$G$10&lt;&gt;"Sim"),"",$D54+Config!$F$10+IF(AND(Config!$F$10&gt;0,WEEKDAY($D54+Config!$F$10)=Config!$E$24),1,0))</f>
        <v/>
      </c>
      <c r="N54" s="24"/>
      <c r="O54" s="23" t="str">
        <f aca="false">IF(OR(NOT(ISNUMBER($D54)),Config!$G$11&lt;&gt;"Sim"),"",$D54+Config!$F$11+IF(AND(Config!$F$11&gt;0,WEEKDAY($D54+Config!$F$11)=Config!$E$24),1,0))</f>
        <v/>
      </c>
      <c r="P54" s="24"/>
      <c r="Q54" s="25" t="str">
        <f aca="false">IF(COUNT(E54,G54,I54,K54,M54,O54)=0,"",((E54&lt;&gt;"")*(F54&lt;&gt;"")+(G54&lt;&gt;"")*(H54&lt;&gt;"")+(I54&lt;&gt;"")*(J54&lt;&gt;"")+(K54&lt;&gt;"")*(L54&lt;&gt;"")+(M54&lt;&gt;"")*(N54&lt;&gt;"")+(O54&lt;&gt;"")*(P54&lt;&gt;""))/COUNT(E54,G54,I54,K54,M54,O54))</f>
        <v/>
      </c>
      <c r="R54" s="26" t="str">
        <f aca="false">IF(T54="","",IF(T54=99999,"",T54))</f>
        <v/>
      </c>
      <c r="S54" s="27" t="str">
        <f aca="true">IF(T54="","",IF(T54=99999,"Concluído",IF(T54&lt;TODAY(),"Atrasado",IF(T54=TODAY(),"Hoje","Em dia"))))</f>
        <v/>
      </c>
      <c r="T54" s="28" t="str">
        <f aca="false">IF(COUNT(E54,G54,I54,K54,M54,O54)=0,"",MIN(IF(AND(E54&lt;&gt;"",F54=""),E54,99999),IF(AND(G54&lt;&gt;"",H54=""),G54,99999),IF(AND(I54&lt;&gt;"",J54=""),I54,99999),IF(AND(K54&lt;&gt;"",L54=""),K54,99999),IF(AND(M54&lt;&gt;"",N54=""),M54,99999),IF(AND(O54&lt;&gt;"",P54=""),O54,99999)))</f>
        <v/>
      </c>
    </row>
    <row r="55" customFormat="false" ht="15" hidden="false" customHeight="false" outlineLevel="0" collapsed="false">
      <c r="A55" s="20" t="n">
        <v>50</v>
      </c>
      <c r="B55" s="21"/>
      <c r="C55" s="21"/>
      <c r="D55" s="22"/>
      <c r="E55" s="23" t="str">
        <f aca="false">IF(OR(NOT(ISNUMBER($D55)),Config!$G$6&lt;&gt;"Sim"),"",$D55+Config!$F$6+IF(AND(Config!$F$6&gt;0,WEEKDAY($D55+Config!$F$6)=Config!$E$24),1,0))</f>
        <v/>
      </c>
      <c r="F55" s="24"/>
      <c r="G55" s="23" t="str">
        <f aca="false">IF(OR(NOT(ISNUMBER($D55)),Config!$G$7&lt;&gt;"Sim"),"",$D55+Config!$F$7+IF(AND(Config!$F$7&gt;0,WEEKDAY($D55+Config!$F$7)=Config!$E$24),1,0))</f>
        <v/>
      </c>
      <c r="H55" s="24"/>
      <c r="I55" s="23" t="str">
        <f aca="false">IF(OR(NOT(ISNUMBER($D55)),Config!$G$8&lt;&gt;"Sim"),"",$D55+Config!$F$8+IF(AND(Config!$F$8&gt;0,WEEKDAY($D55+Config!$F$8)=Config!$E$24),1,0))</f>
        <v/>
      </c>
      <c r="J55" s="24"/>
      <c r="K55" s="23" t="str">
        <f aca="false">IF(OR(NOT(ISNUMBER($D55)),Config!$G$9&lt;&gt;"Sim"),"",$D55+Config!$F$9+IF(AND(Config!$F$9&gt;0,WEEKDAY($D55+Config!$F$9)=Config!$E$24),1,0))</f>
        <v/>
      </c>
      <c r="L55" s="24"/>
      <c r="M55" s="23" t="str">
        <f aca="false">IF(OR(NOT(ISNUMBER($D55)),Config!$G$10&lt;&gt;"Sim"),"",$D55+Config!$F$10+IF(AND(Config!$F$10&gt;0,WEEKDAY($D55+Config!$F$10)=Config!$E$24),1,0))</f>
        <v/>
      </c>
      <c r="N55" s="24"/>
      <c r="O55" s="23" t="str">
        <f aca="false">IF(OR(NOT(ISNUMBER($D55)),Config!$G$11&lt;&gt;"Sim"),"",$D55+Config!$F$11+IF(AND(Config!$F$11&gt;0,WEEKDAY($D55+Config!$F$11)=Config!$E$24),1,0))</f>
        <v/>
      </c>
      <c r="P55" s="24"/>
      <c r="Q55" s="25" t="str">
        <f aca="false">IF(COUNT(E55,G55,I55,K55,M55,O55)=0,"",((E55&lt;&gt;"")*(F55&lt;&gt;"")+(G55&lt;&gt;"")*(H55&lt;&gt;"")+(I55&lt;&gt;"")*(J55&lt;&gt;"")+(K55&lt;&gt;"")*(L55&lt;&gt;"")+(M55&lt;&gt;"")*(N55&lt;&gt;"")+(O55&lt;&gt;"")*(P55&lt;&gt;""))/COUNT(E55,G55,I55,K55,M55,O55))</f>
        <v/>
      </c>
      <c r="R55" s="26" t="str">
        <f aca="false">IF(T55="","",IF(T55=99999,"",T55))</f>
        <v/>
      </c>
      <c r="S55" s="27" t="str">
        <f aca="true">IF(T55="","",IF(T55=99999,"Concluído",IF(T55&lt;TODAY(),"Atrasado",IF(T55=TODAY(),"Hoje","Em dia"))))</f>
        <v/>
      </c>
      <c r="T55" s="28" t="str">
        <f aca="false">IF(COUNT(E55,G55,I55,K55,M55,O55)=0,"",MIN(IF(AND(E55&lt;&gt;"",F55=""),E55,99999),IF(AND(G55&lt;&gt;"",H55=""),G55,99999),IF(AND(I55&lt;&gt;"",J55=""),I55,99999),IF(AND(K55&lt;&gt;"",L55=""),K55,99999),IF(AND(M55&lt;&gt;"",N55=""),M55,99999),IF(AND(O55&lt;&gt;"",P55=""),O55,99999)))</f>
        <v/>
      </c>
    </row>
    <row r="56" customFormat="false" ht="15" hidden="false" customHeight="false" outlineLevel="0" collapsed="false">
      <c r="A56" s="20" t="n">
        <v>51</v>
      </c>
      <c r="B56" s="21"/>
      <c r="C56" s="21"/>
      <c r="D56" s="22"/>
      <c r="E56" s="23" t="str">
        <f aca="false">IF(OR(NOT(ISNUMBER($D56)),Config!$G$6&lt;&gt;"Sim"),"",$D56+Config!$F$6+IF(AND(Config!$F$6&gt;0,WEEKDAY($D56+Config!$F$6)=Config!$E$24),1,0))</f>
        <v/>
      </c>
      <c r="F56" s="24"/>
      <c r="G56" s="23" t="str">
        <f aca="false">IF(OR(NOT(ISNUMBER($D56)),Config!$G$7&lt;&gt;"Sim"),"",$D56+Config!$F$7+IF(AND(Config!$F$7&gt;0,WEEKDAY($D56+Config!$F$7)=Config!$E$24),1,0))</f>
        <v/>
      </c>
      <c r="H56" s="24"/>
      <c r="I56" s="23" t="str">
        <f aca="false">IF(OR(NOT(ISNUMBER($D56)),Config!$G$8&lt;&gt;"Sim"),"",$D56+Config!$F$8+IF(AND(Config!$F$8&gt;0,WEEKDAY($D56+Config!$F$8)=Config!$E$24),1,0))</f>
        <v/>
      </c>
      <c r="J56" s="24"/>
      <c r="K56" s="23" t="str">
        <f aca="false">IF(OR(NOT(ISNUMBER($D56)),Config!$G$9&lt;&gt;"Sim"),"",$D56+Config!$F$9+IF(AND(Config!$F$9&gt;0,WEEKDAY($D56+Config!$F$9)=Config!$E$24),1,0))</f>
        <v/>
      </c>
      <c r="L56" s="24"/>
      <c r="M56" s="23" t="str">
        <f aca="false">IF(OR(NOT(ISNUMBER($D56)),Config!$G$10&lt;&gt;"Sim"),"",$D56+Config!$F$10+IF(AND(Config!$F$10&gt;0,WEEKDAY($D56+Config!$F$10)=Config!$E$24),1,0))</f>
        <v/>
      </c>
      <c r="N56" s="24"/>
      <c r="O56" s="23" t="str">
        <f aca="false">IF(OR(NOT(ISNUMBER($D56)),Config!$G$11&lt;&gt;"Sim"),"",$D56+Config!$F$11+IF(AND(Config!$F$11&gt;0,WEEKDAY($D56+Config!$F$11)=Config!$E$24),1,0))</f>
        <v/>
      </c>
      <c r="P56" s="24"/>
      <c r="Q56" s="25" t="str">
        <f aca="false">IF(COUNT(E56,G56,I56,K56,M56,O56)=0,"",((E56&lt;&gt;"")*(F56&lt;&gt;"")+(G56&lt;&gt;"")*(H56&lt;&gt;"")+(I56&lt;&gt;"")*(J56&lt;&gt;"")+(K56&lt;&gt;"")*(L56&lt;&gt;"")+(M56&lt;&gt;"")*(N56&lt;&gt;"")+(O56&lt;&gt;"")*(P56&lt;&gt;""))/COUNT(E56,G56,I56,K56,M56,O56))</f>
        <v/>
      </c>
      <c r="R56" s="26" t="str">
        <f aca="false">IF(T56="","",IF(T56=99999,"",T56))</f>
        <v/>
      </c>
      <c r="S56" s="27" t="str">
        <f aca="true">IF(T56="","",IF(T56=99999,"Concluído",IF(T56&lt;TODAY(),"Atrasado",IF(T56=TODAY(),"Hoje","Em dia"))))</f>
        <v/>
      </c>
      <c r="T56" s="28" t="str">
        <f aca="false">IF(COUNT(E56,G56,I56,K56,M56,O56)=0,"",MIN(IF(AND(E56&lt;&gt;"",F56=""),E56,99999),IF(AND(G56&lt;&gt;"",H56=""),G56,99999),IF(AND(I56&lt;&gt;"",J56=""),I56,99999),IF(AND(K56&lt;&gt;"",L56=""),K56,99999),IF(AND(M56&lt;&gt;"",N56=""),M56,99999),IF(AND(O56&lt;&gt;"",P56=""),O56,99999)))</f>
        <v/>
      </c>
    </row>
    <row r="57" customFormat="false" ht="15" hidden="false" customHeight="false" outlineLevel="0" collapsed="false">
      <c r="A57" s="20" t="n">
        <v>52</v>
      </c>
      <c r="B57" s="21"/>
      <c r="C57" s="21"/>
      <c r="D57" s="22"/>
      <c r="E57" s="23" t="str">
        <f aca="false">IF(OR(NOT(ISNUMBER($D57)),Config!$G$6&lt;&gt;"Sim"),"",$D57+Config!$F$6+IF(AND(Config!$F$6&gt;0,WEEKDAY($D57+Config!$F$6)=Config!$E$24),1,0))</f>
        <v/>
      </c>
      <c r="F57" s="24"/>
      <c r="G57" s="23" t="str">
        <f aca="false">IF(OR(NOT(ISNUMBER($D57)),Config!$G$7&lt;&gt;"Sim"),"",$D57+Config!$F$7+IF(AND(Config!$F$7&gt;0,WEEKDAY($D57+Config!$F$7)=Config!$E$24),1,0))</f>
        <v/>
      </c>
      <c r="H57" s="24"/>
      <c r="I57" s="23" t="str">
        <f aca="false">IF(OR(NOT(ISNUMBER($D57)),Config!$G$8&lt;&gt;"Sim"),"",$D57+Config!$F$8+IF(AND(Config!$F$8&gt;0,WEEKDAY($D57+Config!$F$8)=Config!$E$24),1,0))</f>
        <v/>
      </c>
      <c r="J57" s="24"/>
      <c r="K57" s="23" t="str">
        <f aca="false">IF(OR(NOT(ISNUMBER($D57)),Config!$G$9&lt;&gt;"Sim"),"",$D57+Config!$F$9+IF(AND(Config!$F$9&gt;0,WEEKDAY($D57+Config!$F$9)=Config!$E$24),1,0))</f>
        <v/>
      </c>
      <c r="L57" s="24"/>
      <c r="M57" s="23" t="str">
        <f aca="false">IF(OR(NOT(ISNUMBER($D57)),Config!$G$10&lt;&gt;"Sim"),"",$D57+Config!$F$10+IF(AND(Config!$F$10&gt;0,WEEKDAY($D57+Config!$F$10)=Config!$E$24),1,0))</f>
        <v/>
      </c>
      <c r="N57" s="24"/>
      <c r="O57" s="23" t="str">
        <f aca="false">IF(OR(NOT(ISNUMBER($D57)),Config!$G$11&lt;&gt;"Sim"),"",$D57+Config!$F$11+IF(AND(Config!$F$11&gt;0,WEEKDAY($D57+Config!$F$11)=Config!$E$24),1,0))</f>
        <v/>
      </c>
      <c r="P57" s="24"/>
      <c r="Q57" s="25" t="str">
        <f aca="false">IF(COUNT(E57,G57,I57,K57,M57,O57)=0,"",((E57&lt;&gt;"")*(F57&lt;&gt;"")+(G57&lt;&gt;"")*(H57&lt;&gt;"")+(I57&lt;&gt;"")*(J57&lt;&gt;"")+(K57&lt;&gt;"")*(L57&lt;&gt;"")+(M57&lt;&gt;"")*(N57&lt;&gt;"")+(O57&lt;&gt;"")*(P57&lt;&gt;""))/COUNT(E57,G57,I57,K57,M57,O57))</f>
        <v/>
      </c>
      <c r="R57" s="26" t="str">
        <f aca="false">IF(T57="","",IF(T57=99999,"",T57))</f>
        <v/>
      </c>
      <c r="S57" s="27" t="str">
        <f aca="true">IF(T57="","",IF(T57=99999,"Concluído",IF(T57&lt;TODAY(),"Atrasado",IF(T57=TODAY(),"Hoje","Em dia"))))</f>
        <v/>
      </c>
      <c r="T57" s="28" t="str">
        <f aca="false">IF(COUNT(E57,G57,I57,K57,M57,O57)=0,"",MIN(IF(AND(E57&lt;&gt;"",F57=""),E57,99999),IF(AND(G57&lt;&gt;"",H57=""),G57,99999),IF(AND(I57&lt;&gt;"",J57=""),I57,99999),IF(AND(K57&lt;&gt;"",L57=""),K57,99999),IF(AND(M57&lt;&gt;"",N57=""),M57,99999),IF(AND(O57&lt;&gt;"",P57=""),O57,99999)))</f>
        <v/>
      </c>
    </row>
    <row r="58" customFormat="false" ht="15" hidden="false" customHeight="false" outlineLevel="0" collapsed="false">
      <c r="A58" s="20" t="n">
        <v>53</v>
      </c>
      <c r="B58" s="21"/>
      <c r="C58" s="21"/>
      <c r="D58" s="22"/>
      <c r="E58" s="23" t="str">
        <f aca="false">IF(OR(NOT(ISNUMBER($D58)),Config!$G$6&lt;&gt;"Sim"),"",$D58+Config!$F$6+IF(AND(Config!$F$6&gt;0,WEEKDAY($D58+Config!$F$6)=Config!$E$24),1,0))</f>
        <v/>
      </c>
      <c r="F58" s="24"/>
      <c r="G58" s="23" t="str">
        <f aca="false">IF(OR(NOT(ISNUMBER($D58)),Config!$G$7&lt;&gt;"Sim"),"",$D58+Config!$F$7+IF(AND(Config!$F$7&gt;0,WEEKDAY($D58+Config!$F$7)=Config!$E$24),1,0))</f>
        <v/>
      </c>
      <c r="H58" s="24"/>
      <c r="I58" s="23" t="str">
        <f aca="false">IF(OR(NOT(ISNUMBER($D58)),Config!$G$8&lt;&gt;"Sim"),"",$D58+Config!$F$8+IF(AND(Config!$F$8&gt;0,WEEKDAY($D58+Config!$F$8)=Config!$E$24),1,0))</f>
        <v/>
      </c>
      <c r="J58" s="24"/>
      <c r="K58" s="23" t="str">
        <f aca="false">IF(OR(NOT(ISNUMBER($D58)),Config!$G$9&lt;&gt;"Sim"),"",$D58+Config!$F$9+IF(AND(Config!$F$9&gt;0,WEEKDAY($D58+Config!$F$9)=Config!$E$24),1,0))</f>
        <v/>
      </c>
      <c r="L58" s="24"/>
      <c r="M58" s="23" t="str">
        <f aca="false">IF(OR(NOT(ISNUMBER($D58)),Config!$G$10&lt;&gt;"Sim"),"",$D58+Config!$F$10+IF(AND(Config!$F$10&gt;0,WEEKDAY($D58+Config!$F$10)=Config!$E$24),1,0))</f>
        <v/>
      </c>
      <c r="N58" s="24"/>
      <c r="O58" s="23" t="str">
        <f aca="false">IF(OR(NOT(ISNUMBER($D58)),Config!$G$11&lt;&gt;"Sim"),"",$D58+Config!$F$11+IF(AND(Config!$F$11&gt;0,WEEKDAY($D58+Config!$F$11)=Config!$E$24),1,0))</f>
        <v/>
      </c>
      <c r="P58" s="24"/>
      <c r="Q58" s="25" t="str">
        <f aca="false">IF(COUNT(E58,G58,I58,K58,M58,O58)=0,"",((E58&lt;&gt;"")*(F58&lt;&gt;"")+(G58&lt;&gt;"")*(H58&lt;&gt;"")+(I58&lt;&gt;"")*(J58&lt;&gt;"")+(K58&lt;&gt;"")*(L58&lt;&gt;"")+(M58&lt;&gt;"")*(N58&lt;&gt;"")+(O58&lt;&gt;"")*(P58&lt;&gt;""))/COUNT(E58,G58,I58,K58,M58,O58))</f>
        <v/>
      </c>
      <c r="R58" s="26" t="str">
        <f aca="false">IF(T58="","",IF(T58=99999,"",T58))</f>
        <v/>
      </c>
      <c r="S58" s="27" t="str">
        <f aca="true">IF(T58="","",IF(T58=99999,"Concluído",IF(T58&lt;TODAY(),"Atrasado",IF(T58=TODAY(),"Hoje","Em dia"))))</f>
        <v/>
      </c>
      <c r="T58" s="28" t="str">
        <f aca="false">IF(COUNT(E58,G58,I58,K58,M58,O58)=0,"",MIN(IF(AND(E58&lt;&gt;"",F58=""),E58,99999),IF(AND(G58&lt;&gt;"",H58=""),G58,99999),IF(AND(I58&lt;&gt;"",J58=""),I58,99999),IF(AND(K58&lt;&gt;"",L58=""),K58,99999),IF(AND(M58&lt;&gt;"",N58=""),M58,99999),IF(AND(O58&lt;&gt;"",P58=""),O58,99999)))</f>
        <v/>
      </c>
    </row>
    <row r="59" customFormat="false" ht="15" hidden="false" customHeight="false" outlineLevel="0" collapsed="false">
      <c r="A59" s="20" t="n">
        <v>54</v>
      </c>
      <c r="B59" s="21"/>
      <c r="C59" s="21"/>
      <c r="D59" s="22"/>
      <c r="E59" s="23" t="str">
        <f aca="false">IF(OR(NOT(ISNUMBER($D59)),Config!$G$6&lt;&gt;"Sim"),"",$D59+Config!$F$6+IF(AND(Config!$F$6&gt;0,WEEKDAY($D59+Config!$F$6)=Config!$E$24),1,0))</f>
        <v/>
      </c>
      <c r="F59" s="24"/>
      <c r="G59" s="23" t="str">
        <f aca="false">IF(OR(NOT(ISNUMBER($D59)),Config!$G$7&lt;&gt;"Sim"),"",$D59+Config!$F$7+IF(AND(Config!$F$7&gt;0,WEEKDAY($D59+Config!$F$7)=Config!$E$24),1,0))</f>
        <v/>
      </c>
      <c r="H59" s="24"/>
      <c r="I59" s="23" t="str">
        <f aca="false">IF(OR(NOT(ISNUMBER($D59)),Config!$G$8&lt;&gt;"Sim"),"",$D59+Config!$F$8+IF(AND(Config!$F$8&gt;0,WEEKDAY($D59+Config!$F$8)=Config!$E$24),1,0))</f>
        <v/>
      </c>
      <c r="J59" s="24"/>
      <c r="K59" s="23" t="str">
        <f aca="false">IF(OR(NOT(ISNUMBER($D59)),Config!$G$9&lt;&gt;"Sim"),"",$D59+Config!$F$9+IF(AND(Config!$F$9&gt;0,WEEKDAY($D59+Config!$F$9)=Config!$E$24),1,0))</f>
        <v/>
      </c>
      <c r="L59" s="24"/>
      <c r="M59" s="23" t="str">
        <f aca="false">IF(OR(NOT(ISNUMBER($D59)),Config!$G$10&lt;&gt;"Sim"),"",$D59+Config!$F$10+IF(AND(Config!$F$10&gt;0,WEEKDAY($D59+Config!$F$10)=Config!$E$24),1,0))</f>
        <v/>
      </c>
      <c r="N59" s="24"/>
      <c r="O59" s="23" t="str">
        <f aca="false">IF(OR(NOT(ISNUMBER($D59)),Config!$G$11&lt;&gt;"Sim"),"",$D59+Config!$F$11+IF(AND(Config!$F$11&gt;0,WEEKDAY($D59+Config!$F$11)=Config!$E$24),1,0))</f>
        <v/>
      </c>
      <c r="P59" s="24"/>
      <c r="Q59" s="25" t="str">
        <f aca="false">IF(COUNT(E59,G59,I59,K59,M59,O59)=0,"",((E59&lt;&gt;"")*(F59&lt;&gt;"")+(G59&lt;&gt;"")*(H59&lt;&gt;"")+(I59&lt;&gt;"")*(J59&lt;&gt;"")+(K59&lt;&gt;"")*(L59&lt;&gt;"")+(M59&lt;&gt;"")*(N59&lt;&gt;"")+(O59&lt;&gt;"")*(P59&lt;&gt;""))/COUNT(E59,G59,I59,K59,M59,O59))</f>
        <v/>
      </c>
      <c r="R59" s="26" t="str">
        <f aca="false">IF(T59="","",IF(T59=99999,"",T59))</f>
        <v/>
      </c>
      <c r="S59" s="27" t="str">
        <f aca="true">IF(T59="","",IF(T59=99999,"Concluído",IF(T59&lt;TODAY(),"Atrasado",IF(T59=TODAY(),"Hoje","Em dia"))))</f>
        <v/>
      </c>
      <c r="T59" s="28" t="str">
        <f aca="false">IF(COUNT(E59,G59,I59,K59,M59,O59)=0,"",MIN(IF(AND(E59&lt;&gt;"",F59=""),E59,99999),IF(AND(G59&lt;&gt;"",H59=""),G59,99999),IF(AND(I59&lt;&gt;"",J59=""),I59,99999),IF(AND(K59&lt;&gt;"",L59=""),K59,99999),IF(AND(M59&lt;&gt;"",N59=""),M59,99999),IF(AND(O59&lt;&gt;"",P59=""),O59,99999)))</f>
        <v/>
      </c>
    </row>
    <row r="60" customFormat="false" ht="15" hidden="false" customHeight="false" outlineLevel="0" collapsed="false">
      <c r="A60" s="20" t="n">
        <v>55</v>
      </c>
      <c r="B60" s="21"/>
      <c r="C60" s="21"/>
      <c r="D60" s="22"/>
      <c r="E60" s="23" t="str">
        <f aca="false">IF(OR(NOT(ISNUMBER($D60)),Config!$G$6&lt;&gt;"Sim"),"",$D60+Config!$F$6+IF(AND(Config!$F$6&gt;0,WEEKDAY($D60+Config!$F$6)=Config!$E$24),1,0))</f>
        <v/>
      </c>
      <c r="F60" s="24"/>
      <c r="G60" s="23" t="str">
        <f aca="false">IF(OR(NOT(ISNUMBER($D60)),Config!$G$7&lt;&gt;"Sim"),"",$D60+Config!$F$7+IF(AND(Config!$F$7&gt;0,WEEKDAY($D60+Config!$F$7)=Config!$E$24),1,0))</f>
        <v/>
      </c>
      <c r="H60" s="24"/>
      <c r="I60" s="23" t="str">
        <f aca="false">IF(OR(NOT(ISNUMBER($D60)),Config!$G$8&lt;&gt;"Sim"),"",$D60+Config!$F$8+IF(AND(Config!$F$8&gt;0,WEEKDAY($D60+Config!$F$8)=Config!$E$24),1,0))</f>
        <v/>
      </c>
      <c r="J60" s="24"/>
      <c r="K60" s="23" t="str">
        <f aca="false">IF(OR(NOT(ISNUMBER($D60)),Config!$G$9&lt;&gt;"Sim"),"",$D60+Config!$F$9+IF(AND(Config!$F$9&gt;0,WEEKDAY($D60+Config!$F$9)=Config!$E$24),1,0))</f>
        <v/>
      </c>
      <c r="L60" s="24"/>
      <c r="M60" s="23" t="str">
        <f aca="false">IF(OR(NOT(ISNUMBER($D60)),Config!$G$10&lt;&gt;"Sim"),"",$D60+Config!$F$10+IF(AND(Config!$F$10&gt;0,WEEKDAY($D60+Config!$F$10)=Config!$E$24),1,0))</f>
        <v/>
      </c>
      <c r="N60" s="24"/>
      <c r="O60" s="23" t="str">
        <f aca="false">IF(OR(NOT(ISNUMBER($D60)),Config!$G$11&lt;&gt;"Sim"),"",$D60+Config!$F$11+IF(AND(Config!$F$11&gt;0,WEEKDAY($D60+Config!$F$11)=Config!$E$24),1,0))</f>
        <v/>
      </c>
      <c r="P60" s="24"/>
      <c r="Q60" s="25" t="str">
        <f aca="false">IF(COUNT(E60,G60,I60,K60,M60,O60)=0,"",((E60&lt;&gt;"")*(F60&lt;&gt;"")+(G60&lt;&gt;"")*(H60&lt;&gt;"")+(I60&lt;&gt;"")*(J60&lt;&gt;"")+(K60&lt;&gt;"")*(L60&lt;&gt;"")+(M60&lt;&gt;"")*(N60&lt;&gt;"")+(O60&lt;&gt;"")*(P60&lt;&gt;""))/COUNT(E60,G60,I60,K60,M60,O60))</f>
        <v/>
      </c>
      <c r="R60" s="26" t="str">
        <f aca="false">IF(T60="","",IF(T60=99999,"",T60))</f>
        <v/>
      </c>
      <c r="S60" s="27" t="str">
        <f aca="true">IF(T60="","",IF(T60=99999,"Concluído",IF(T60&lt;TODAY(),"Atrasado",IF(T60=TODAY(),"Hoje","Em dia"))))</f>
        <v/>
      </c>
      <c r="T60" s="28" t="str">
        <f aca="false">IF(COUNT(E60,G60,I60,K60,M60,O60)=0,"",MIN(IF(AND(E60&lt;&gt;"",F60=""),E60,99999),IF(AND(G60&lt;&gt;"",H60=""),G60,99999),IF(AND(I60&lt;&gt;"",J60=""),I60,99999),IF(AND(K60&lt;&gt;"",L60=""),K60,99999),IF(AND(M60&lt;&gt;"",N60=""),M60,99999),IF(AND(O60&lt;&gt;"",P60=""),O60,99999)))</f>
        <v/>
      </c>
    </row>
    <row r="61" customFormat="false" ht="15" hidden="false" customHeight="false" outlineLevel="0" collapsed="false">
      <c r="A61" s="20" t="n">
        <v>56</v>
      </c>
      <c r="B61" s="21"/>
      <c r="C61" s="21"/>
      <c r="D61" s="22"/>
      <c r="E61" s="23" t="str">
        <f aca="false">IF(OR(NOT(ISNUMBER($D61)),Config!$G$6&lt;&gt;"Sim"),"",$D61+Config!$F$6+IF(AND(Config!$F$6&gt;0,WEEKDAY($D61+Config!$F$6)=Config!$E$24),1,0))</f>
        <v/>
      </c>
      <c r="F61" s="24"/>
      <c r="G61" s="23" t="str">
        <f aca="false">IF(OR(NOT(ISNUMBER($D61)),Config!$G$7&lt;&gt;"Sim"),"",$D61+Config!$F$7+IF(AND(Config!$F$7&gt;0,WEEKDAY($D61+Config!$F$7)=Config!$E$24),1,0))</f>
        <v/>
      </c>
      <c r="H61" s="24"/>
      <c r="I61" s="23" t="str">
        <f aca="false">IF(OR(NOT(ISNUMBER($D61)),Config!$G$8&lt;&gt;"Sim"),"",$D61+Config!$F$8+IF(AND(Config!$F$8&gt;0,WEEKDAY($D61+Config!$F$8)=Config!$E$24),1,0))</f>
        <v/>
      </c>
      <c r="J61" s="24"/>
      <c r="K61" s="23" t="str">
        <f aca="false">IF(OR(NOT(ISNUMBER($D61)),Config!$G$9&lt;&gt;"Sim"),"",$D61+Config!$F$9+IF(AND(Config!$F$9&gt;0,WEEKDAY($D61+Config!$F$9)=Config!$E$24),1,0))</f>
        <v/>
      </c>
      <c r="L61" s="24"/>
      <c r="M61" s="23" t="str">
        <f aca="false">IF(OR(NOT(ISNUMBER($D61)),Config!$G$10&lt;&gt;"Sim"),"",$D61+Config!$F$10+IF(AND(Config!$F$10&gt;0,WEEKDAY($D61+Config!$F$10)=Config!$E$24),1,0))</f>
        <v/>
      </c>
      <c r="N61" s="24"/>
      <c r="O61" s="23" t="str">
        <f aca="false">IF(OR(NOT(ISNUMBER($D61)),Config!$G$11&lt;&gt;"Sim"),"",$D61+Config!$F$11+IF(AND(Config!$F$11&gt;0,WEEKDAY($D61+Config!$F$11)=Config!$E$24),1,0))</f>
        <v/>
      </c>
      <c r="P61" s="24"/>
      <c r="Q61" s="25" t="str">
        <f aca="false">IF(COUNT(E61,G61,I61,K61,M61,O61)=0,"",((E61&lt;&gt;"")*(F61&lt;&gt;"")+(G61&lt;&gt;"")*(H61&lt;&gt;"")+(I61&lt;&gt;"")*(J61&lt;&gt;"")+(K61&lt;&gt;"")*(L61&lt;&gt;"")+(M61&lt;&gt;"")*(N61&lt;&gt;"")+(O61&lt;&gt;"")*(P61&lt;&gt;""))/COUNT(E61,G61,I61,K61,M61,O61))</f>
        <v/>
      </c>
      <c r="R61" s="26" t="str">
        <f aca="false">IF(T61="","",IF(T61=99999,"",T61))</f>
        <v/>
      </c>
      <c r="S61" s="27" t="str">
        <f aca="true">IF(T61="","",IF(T61=99999,"Concluído",IF(T61&lt;TODAY(),"Atrasado",IF(T61=TODAY(),"Hoje","Em dia"))))</f>
        <v/>
      </c>
      <c r="T61" s="28" t="str">
        <f aca="false">IF(COUNT(E61,G61,I61,K61,M61,O61)=0,"",MIN(IF(AND(E61&lt;&gt;"",F61=""),E61,99999),IF(AND(G61&lt;&gt;"",H61=""),G61,99999),IF(AND(I61&lt;&gt;"",J61=""),I61,99999),IF(AND(K61&lt;&gt;"",L61=""),K61,99999),IF(AND(M61&lt;&gt;"",N61=""),M61,99999),IF(AND(O61&lt;&gt;"",P61=""),O61,99999)))</f>
        <v/>
      </c>
    </row>
    <row r="62" customFormat="false" ht="15" hidden="false" customHeight="false" outlineLevel="0" collapsed="false">
      <c r="A62" s="20" t="n">
        <v>57</v>
      </c>
      <c r="B62" s="21"/>
      <c r="C62" s="21"/>
      <c r="D62" s="22"/>
      <c r="E62" s="23" t="str">
        <f aca="false">IF(OR(NOT(ISNUMBER($D62)),Config!$G$6&lt;&gt;"Sim"),"",$D62+Config!$F$6+IF(AND(Config!$F$6&gt;0,WEEKDAY($D62+Config!$F$6)=Config!$E$24),1,0))</f>
        <v/>
      </c>
      <c r="F62" s="24"/>
      <c r="G62" s="23" t="str">
        <f aca="false">IF(OR(NOT(ISNUMBER($D62)),Config!$G$7&lt;&gt;"Sim"),"",$D62+Config!$F$7+IF(AND(Config!$F$7&gt;0,WEEKDAY($D62+Config!$F$7)=Config!$E$24),1,0))</f>
        <v/>
      </c>
      <c r="H62" s="24"/>
      <c r="I62" s="23" t="str">
        <f aca="false">IF(OR(NOT(ISNUMBER($D62)),Config!$G$8&lt;&gt;"Sim"),"",$D62+Config!$F$8+IF(AND(Config!$F$8&gt;0,WEEKDAY($D62+Config!$F$8)=Config!$E$24),1,0))</f>
        <v/>
      </c>
      <c r="J62" s="24"/>
      <c r="K62" s="23" t="str">
        <f aca="false">IF(OR(NOT(ISNUMBER($D62)),Config!$G$9&lt;&gt;"Sim"),"",$D62+Config!$F$9+IF(AND(Config!$F$9&gt;0,WEEKDAY($D62+Config!$F$9)=Config!$E$24),1,0))</f>
        <v/>
      </c>
      <c r="L62" s="24"/>
      <c r="M62" s="23" t="str">
        <f aca="false">IF(OR(NOT(ISNUMBER($D62)),Config!$G$10&lt;&gt;"Sim"),"",$D62+Config!$F$10+IF(AND(Config!$F$10&gt;0,WEEKDAY($D62+Config!$F$10)=Config!$E$24),1,0))</f>
        <v/>
      </c>
      <c r="N62" s="24"/>
      <c r="O62" s="23" t="str">
        <f aca="false">IF(OR(NOT(ISNUMBER($D62)),Config!$G$11&lt;&gt;"Sim"),"",$D62+Config!$F$11+IF(AND(Config!$F$11&gt;0,WEEKDAY($D62+Config!$F$11)=Config!$E$24),1,0))</f>
        <v/>
      </c>
      <c r="P62" s="24"/>
      <c r="Q62" s="25" t="str">
        <f aca="false">IF(COUNT(E62,G62,I62,K62,M62,O62)=0,"",((E62&lt;&gt;"")*(F62&lt;&gt;"")+(G62&lt;&gt;"")*(H62&lt;&gt;"")+(I62&lt;&gt;"")*(J62&lt;&gt;"")+(K62&lt;&gt;"")*(L62&lt;&gt;"")+(M62&lt;&gt;"")*(N62&lt;&gt;"")+(O62&lt;&gt;"")*(P62&lt;&gt;""))/COUNT(E62,G62,I62,K62,M62,O62))</f>
        <v/>
      </c>
      <c r="R62" s="26" t="str">
        <f aca="false">IF(T62="","",IF(T62=99999,"",T62))</f>
        <v/>
      </c>
      <c r="S62" s="27" t="str">
        <f aca="true">IF(T62="","",IF(T62=99999,"Concluído",IF(T62&lt;TODAY(),"Atrasado",IF(T62=TODAY(),"Hoje","Em dia"))))</f>
        <v/>
      </c>
      <c r="T62" s="28" t="str">
        <f aca="false">IF(COUNT(E62,G62,I62,K62,M62,O62)=0,"",MIN(IF(AND(E62&lt;&gt;"",F62=""),E62,99999),IF(AND(G62&lt;&gt;"",H62=""),G62,99999),IF(AND(I62&lt;&gt;"",J62=""),I62,99999),IF(AND(K62&lt;&gt;"",L62=""),K62,99999),IF(AND(M62&lt;&gt;"",N62=""),M62,99999),IF(AND(O62&lt;&gt;"",P62=""),O62,99999)))</f>
        <v/>
      </c>
    </row>
    <row r="63" customFormat="false" ht="15" hidden="false" customHeight="false" outlineLevel="0" collapsed="false">
      <c r="A63" s="20" t="n">
        <v>58</v>
      </c>
      <c r="B63" s="21"/>
      <c r="C63" s="21"/>
      <c r="D63" s="22"/>
      <c r="E63" s="23" t="str">
        <f aca="false">IF(OR(NOT(ISNUMBER($D63)),Config!$G$6&lt;&gt;"Sim"),"",$D63+Config!$F$6+IF(AND(Config!$F$6&gt;0,WEEKDAY($D63+Config!$F$6)=Config!$E$24),1,0))</f>
        <v/>
      </c>
      <c r="F63" s="24"/>
      <c r="G63" s="23" t="str">
        <f aca="false">IF(OR(NOT(ISNUMBER($D63)),Config!$G$7&lt;&gt;"Sim"),"",$D63+Config!$F$7+IF(AND(Config!$F$7&gt;0,WEEKDAY($D63+Config!$F$7)=Config!$E$24),1,0))</f>
        <v/>
      </c>
      <c r="H63" s="24"/>
      <c r="I63" s="23" t="str">
        <f aca="false">IF(OR(NOT(ISNUMBER($D63)),Config!$G$8&lt;&gt;"Sim"),"",$D63+Config!$F$8+IF(AND(Config!$F$8&gt;0,WEEKDAY($D63+Config!$F$8)=Config!$E$24),1,0))</f>
        <v/>
      </c>
      <c r="J63" s="24"/>
      <c r="K63" s="23" t="str">
        <f aca="false">IF(OR(NOT(ISNUMBER($D63)),Config!$G$9&lt;&gt;"Sim"),"",$D63+Config!$F$9+IF(AND(Config!$F$9&gt;0,WEEKDAY($D63+Config!$F$9)=Config!$E$24),1,0))</f>
        <v/>
      </c>
      <c r="L63" s="24"/>
      <c r="M63" s="23" t="str">
        <f aca="false">IF(OR(NOT(ISNUMBER($D63)),Config!$G$10&lt;&gt;"Sim"),"",$D63+Config!$F$10+IF(AND(Config!$F$10&gt;0,WEEKDAY($D63+Config!$F$10)=Config!$E$24),1,0))</f>
        <v/>
      </c>
      <c r="N63" s="24"/>
      <c r="O63" s="23" t="str">
        <f aca="false">IF(OR(NOT(ISNUMBER($D63)),Config!$G$11&lt;&gt;"Sim"),"",$D63+Config!$F$11+IF(AND(Config!$F$11&gt;0,WEEKDAY($D63+Config!$F$11)=Config!$E$24),1,0))</f>
        <v/>
      </c>
      <c r="P63" s="24"/>
      <c r="Q63" s="25" t="str">
        <f aca="false">IF(COUNT(E63,G63,I63,K63,M63,O63)=0,"",((E63&lt;&gt;"")*(F63&lt;&gt;"")+(G63&lt;&gt;"")*(H63&lt;&gt;"")+(I63&lt;&gt;"")*(J63&lt;&gt;"")+(K63&lt;&gt;"")*(L63&lt;&gt;"")+(M63&lt;&gt;"")*(N63&lt;&gt;"")+(O63&lt;&gt;"")*(P63&lt;&gt;""))/COUNT(E63,G63,I63,K63,M63,O63))</f>
        <v/>
      </c>
      <c r="R63" s="26" t="str">
        <f aca="false">IF(T63="","",IF(T63=99999,"",T63))</f>
        <v/>
      </c>
      <c r="S63" s="27" t="str">
        <f aca="true">IF(T63="","",IF(T63=99999,"Concluído",IF(T63&lt;TODAY(),"Atrasado",IF(T63=TODAY(),"Hoje","Em dia"))))</f>
        <v/>
      </c>
      <c r="T63" s="28" t="str">
        <f aca="false">IF(COUNT(E63,G63,I63,K63,M63,O63)=0,"",MIN(IF(AND(E63&lt;&gt;"",F63=""),E63,99999),IF(AND(G63&lt;&gt;"",H63=""),G63,99999),IF(AND(I63&lt;&gt;"",J63=""),I63,99999),IF(AND(K63&lt;&gt;"",L63=""),K63,99999),IF(AND(M63&lt;&gt;"",N63=""),M63,99999),IF(AND(O63&lt;&gt;"",P63=""),O63,99999)))</f>
        <v/>
      </c>
    </row>
    <row r="64" customFormat="false" ht="15" hidden="false" customHeight="false" outlineLevel="0" collapsed="false">
      <c r="A64" s="20" t="n">
        <v>59</v>
      </c>
      <c r="B64" s="21"/>
      <c r="C64" s="21"/>
      <c r="D64" s="22"/>
      <c r="E64" s="23" t="str">
        <f aca="false">IF(OR(NOT(ISNUMBER($D64)),Config!$G$6&lt;&gt;"Sim"),"",$D64+Config!$F$6+IF(AND(Config!$F$6&gt;0,WEEKDAY($D64+Config!$F$6)=Config!$E$24),1,0))</f>
        <v/>
      </c>
      <c r="F64" s="24"/>
      <c r="G64" s="23" t="str">
        <f aca="false">IF(OR(NOT(ISNUMBER($D64)),Config!$G$7&lt;&gt;"Sim"),"",$D64+Config!$F$7+IF(AND(Config!$F$7&gt;0,WEEKDAY($D64+Config!$F$7)=Config!$E$24),1,0))</f>
        <v/>
      </c>
      <c r="H64" s="24"/>
      <c r="I64" s="23" t="str">
        <f aca="false">IF(OR(NOT(ISNUMBER($D64)),Config!$G$8&lt;&gt;"Sim"),"",$D64+Config!$F$8+IF(AND(Config!$F$8&gt;0,WEEKDAY($D64+Config!$F$8)=Config!$E$24),1,0))</f>
        <v/>
      </c>
      <c r="J64" s="24"/>
      <c r="K64" s="23" t="str">
        <f aca="false">IF(OR(NOT(ISNUMBER($D64)),Config!$G$9&lt;&gt;"Sim"),"",$D64+Config!$F$9+IF(AND(Config!$F$9&gt;0,WEEKDAY($D64+Config!$F$9)=Config!$E$24),1,0))</f>
        <v/>
      </c>
      <c r="L64" s="24"/>
      <c r="M64" s="23" t="str">
        <f aca="false">IF(OR(NOT(ISNUMBER($D64)),Config!$G$10&lt;&gt;"Sim"),"",$D64+Config!$F$10+IF(AND(Config!$F$10&gt;0,WEEKDAY($D64+Config!$F$10)=Config!$E$24),1,0))</f>
        <v/>
      </c>
      <c r="N64" s="24"/>
      <c r="O64" s="23" t="str">
        <f aca="false">IF(OR(NOT(ISNUMBER($D64)),Config!$G$11&lt;&gt;"Sim"),"",$D64+Config!$F$11+IF(AND(Config!$F$11&gt;0,WEEKDAY($D64+Config!$F$11)=Config!$E$24),1,0))</f>
        <v/>
      </c>
      <c r="P64" s="24"/>
      <c r="Q64" s="25" t="str">
        <f aca="false">IF(COUNT(E64,G64,I64,K64,M64,O64)=0,"",((E64&lt;&gt;"")*(F64&lt;&gt;"")+(G64&lt;&gt;"")*(H64&lt;&gt;"")+(I64&lt;&gt;"")*(J64&lt;&gt;"")+(K64&lt;&gt;"")*(L64&lt;&gt;"")+(M64&lt;&gt;"")*(N64&lt;&gt;"")+(O64&lt;&gt;"")*(P64&lt;&gt;""))/COUNT(E64,G64,I64,K64,M64,O64))</f>
        <v/>
      </c>
      <c r="R64" s="26" t="str">
        <f aca="false">IF(T64="","",IF(T64=99999,"",T64))</f>
        <v/>
      </c>
      <c r="S64" s="27" t="str">
        <f aca="true">IF(T64="","",IF(T64=99999,"Concluído",IF(T64&lt;TODAY(),"Atrasado",IF(T64=TODAY(),"Hoje","Em dia"))))</f>
        <v/>
      </c>
      <c r="T64" s="28" t="str">
        <f aca="false">IF(COUNT(E64,G64,I64,K64,M64,O64)=0,"",MIN(IF(AND(E64&lt;&gt;"",F64=""),E64,99999),IF(AND(G64&lt;&gt;"",H64=""),G64,99999),IF(AND(I64&lt;&gt;"",J64=""),I64,99999),IF(AND(K64&lt;&gt;"",L64=""),K64,99999),IF(AND(M64&lt;&gt;"",N64=""),M64,99999),IF(AND(O64&lt;&gt;"",P64=""),O64,99999)))</f>
        <v/>
      </c>
    </row>
    <row r="65" customFormat="false" ht="15" hidden="false" customHeight="false" outlineLevel="0" collapsed="false">
      <c r="A65" s="20" t="n">
        <v>60</v>
      </c>
      <c r="B65" s="21"/>
      <c r="C65" s="21"/>
      <c r="D65" s="22"/>
      <c r="E65" s="23" t="str">
        <f aca="false">IF(OR(NOT(ISNUMBER($D65)),Config!$G$6&lt;&gt;"Sim"),"",$D65+Config!$F$6+IF(AND(Config!$F$6&gt;0,WEEKDAY($D65+Config!$F$6)=Config!$E$24),1,0))</f>
        <v/>
      </c>
      <c r="F65" s="24"/>
      <c r="G65" s="23" t="str">
        <f aca="false">IF(OR(NOT(ISNUMBER($D65)),Config!$G$7&lt;&gt;"Sim"),"",$D65+Config!$F$7+IF(AND(Config!$F$7&gt;0,WEEKDAY($D65+Config!$F$7)=Config!$E$24),1,0))</f>
        <v/>
      </c>
      <c r="H65" s="24"/>
      <c r="I65" s="23" t="str">
        <f aca="false">IF(OR(NOT(ISNUMBER($D65)),Config!$G$8&lt;&gt;"Sim"),"",$D65+Config!$F$8+IF(AND(Config!$F$8&gt;0,WEEKDAY($D65+Config!$F$8)=Config!$E$24),1,0))</f>
        <v/>
      </c>
      <c r="J65" s="24"/>
      <c r="K65" s="23" t="str">
        <f aca="false">IF(OR(NOT(ISNUMBER($D65)),Config!$G$9&lt;&gt;"Sim"),"",$D65+Config!$F$9+IF(AND(Config!$F$9&gt;0,WEEKDAY($D65+Config!$F$9)=Config!$E$24),1,0))</f>
        <v/>
      </c>
      <c r="L65" s="24"/>
      <c r="M65" s="23" t="str">
        <f aca="false">IF(OR(NOT(ISNUMBER($D65)),Config!$G$10&lt;&gt;"Sim"),"",$D65+Config!$F$10+IF(AND(Config!$F$10&gt;0,WEEKDAY($D65+Config!$F$10)=Config!$E$24),1,0))</f>
        <v/>
      </c>
      <c r="N65" s="24"/>
      <c r="O65" s="23" t="str">
        <f aca="false">IF(OR(NOT(ISNUMBER($D65)),Config!$G$11&lt;&gt;"Sim"),"",$D65+Config!$F$11+IF(AND(Config!$F$11&gt;0,WEEKDAY($D65+Config!$F$11)=Config!$E$24),1,0))</f>
        <v/>
      </c>
      <c r="P65" s="24"/>
      <c r="Q65" s="25" t="str">
        <f aca="false">IF(COUNT(E65,G65,I65,K65,M65,O65)=0,"",((E65&lt;&gt;"")*(F65&lt;&gt;"")+(G65&lt;&gt;"")*(H65&lt;&gt;"")+(I65&lt;&gt;"")*(J65&lt;&gt;"")+(K65&lt;&gt;"")*(L65&lt;&gt;"")+(M65&lt;&gt;"")*(N65&lt;&gt;"")+(O65&lt;&gt;"")*(P65&lt;&gt;""))/COUNT(E65,G65,I65,K65,M65,O65))</f>
        <v/>
      </c>
      <c r="R65" s="26" t="str">
        <f aca="false">IF(T65="","",IF(T65=99999,"",T65))</f>
        <v/>
      </c>
      <c r="S65" s="27" t="str">
        <f aca="true">IF(T65="","",IF(T65=99999,"Concluído",IF(T65&lt;TODAY(),"Atrasado",IF(T65=TODAY(),"Hoje","Em dia"))))</f>
        <v/>
      </c>
      <c r="T65" s="28" t="str">
        <f aca="false">IF(COUNT(E65,G65,I65,K65,M65,O65)=0,"",MIN(IF(AND(E65&lt;&gt;"",F65=""),E65,99999),IF(AND(G65&lt;&gt;"",H65=""),G65,99999),IF(AND(I65&lt;&gt;"",J65=""),I65,99999),IF(AND(K65&lt;&gt;"",L65=""),K65,99999),IF(AND(M65&lt;&gt;"",N65=""),M65,99999),IF(AND(O65&lt;&gt;"",P65=""),O65,99999)))</f>
        <v/>
      </c>
    </row>
    <row r="66" customFormat="false" ht="15" hidden="false" customHeight="false" outlineLevel="0" collapsed="false">
      <c r="A66" s="20" t="n">
        <v>61</v>
      </c>
      <c r="B66" s="21"/>
      <c r="C66" s="21"/>
      <c r="D66" s="22"/>
      <c r="E66" s="23" t="str">
        <f aca="false">IF(OR(NOT(ISNUMBER($D66)),Config!$G$6&lt;&gt;"Sim"),"",$D66+Config!$F$6+IF(AND(Config!$F$6&gt;0,WEEKDAY($D66+Config!$F$6)=Config!$E$24),1,0))</f>
        <v/>
      </c>
      <c r="F66" s="24"/>
      <c r="G66" s="23" t="str">
        <f aca="false">IF(OR(NOT(ISNUMBER($D66)),Config!$G$7&lt;&gt;"Sim"),"",$D66+Config!$F$7+IF(AND(Config!$F$7&gt;0,WEEKDAY($D66+Config!$F$7)=Config!$E$24),1,0))</f>
        <v/>
      </c>
      <c r="H66" s="24"/>
      <c r="I66" s="23" t="str">
        <f aca="false">IF(OR(NOT(ISNUMBER($D66)),Config!$G$8&lt;&gt;"Sim"),"",$D66+Config!$F$8+IF(AND(Config!$F$8&gt;0,WEEKDAY($D66+Config!$F$8)=Config!$E$24),1,0))</f>
        <v/>
      </c>
      <c r="J66" s="24"/>
      <c r="K66" s="23" t="str">
        <f aca="false">IF(OR(NOT(ISNUMBER($D66)),Config!$G$9&lt;&gt;"Sim"),"",$D66+Config!$F$9+IF(AND(Config!$F$9&gt;0,WEEKDAY($D66+Config!$F$9)=Config!$E$24),1,0))</f>
        <v/>
      </c>
      <c r="L66" s="24"/>
      <c r="M66" s="23" t="str">
        <f aca="false">IF(OR(NOT(ISNUMBER($D66)),Config!$G$10&lt;&gt;"Sim"),"",$D66+Config!$F$10+IF(AND(Config!$F$10&gt;0,WEEKDAY($D66+Config!$F$10)=Config!$E$24),1,0))</f>
        <v/>
      </c>
      <c r="N66" s="24"/>
      <c r="O66" s="23" t="str">
        <f aca="false">IF(OR(NOT(ISNUMBER($D66)),Config!$G$11&lt;&gt;"Sim"),"",$D66+Config!$F$11+IF(AND(Config!$F$11&gt;0,WEEKDAY($D66+Config!$F$11)=Config!$E$24),1,0))</f>
        <v/>
      </c>
      <c r="P66" s="24"/>
      <c r="Q66" s="25" t="str">
        <f aca="false">IF(COUNT(E66,G66,I66,K66,M66,O66)=0,"",((E66&lt;&gt;"")*(F66&lt;&gt;"")+(G66&lt;&gt;"")*(H66&lt;&gt;"")+(I66&lt;&gt;"")*(J66&lt;&gt;"")+(K66&lt;&gt;"")*(L66&lt;&gt;"")+(M66&lt;&gt;"")*(N66&lt;&gt;"")+(O66&lt;&gt;"")*(P66&lt;&gt;""))/COUNT(E66,G66,I66,K66,M66,O66))</f>
        <v/>
      </c>
      <c r="R66" s="26" t="str">
        <f aca="false">IF(T66="","",IF(T66=99999,"",T66))</f>
        <v/>
      </c>
      <c r="S66" s="27" t="str">
        <f aca="true">IF(T66="","",IF(T66=99999,"Concluído",IF(T66&lt;TODAY(),"Atrasado",IF(T66=TODAY(),"Hoje","Em dia"))))</f>
        <v/>
      </c>
      <c r="T66" s="28" t="str">
        <f aca="false">IF(COUNT(E66,G66,I66,K66,M66,O66)=0,"",MIN(IF(AND(E66&lt;&gt;"",F66=""),E66,99999),IF(AND(G66&lt;&gt;"",H66=""),G66,99999),IF(AND(I66&lt;&gt;"",J66=""),I66,99999),IF(AND(K66&lt;&gt;"",L66=""),K66,99999),IF(AND(M66&lt;&gt;"",N66=""),M66,99999),IF(AND(O66&lt;&gt;"",P66=""),O66,99999)))</f>
        <v/>
      </c>
    </row>
    <row r="67" customFormat="false" ht="15" hidden="false" customHeight="false" outlineLevel="0" collapsed="false">
      <c r="A67" s="20" t="n">
        <v>62</v>
      </c>
      <c r="B67" s="21"/>
      <c r="C67" s="21"/>
      <c r="D67" s="22"/>
      <c r="E67" s="23" t="str">
        <f aca="false">IF(OR(NOT(ISNUMBER($D67)),Config!$G$6&lt;&gt;"Sim"),"",$D67+Config!$F$6+IF(AND(Config!$F$6&gt;0,WEEKDAY($D67+Config!$F$6)=Config!$E$24),1,0))</f>
        <v/>
      </c>
      <c r="F67" s="24"/>
      <c r="G67" s="23" t="str">
        <f aca="false">IF(OR(NOT(ISNUMBER($D67)),Config!$G$7&lt;&gt;"Sim"),"",$D67+Config!$F$7+IF(AND(Config!$F$7&gt;0,WEEKDAY($D67+Config!$F$7)=Config!$E$24),1,0))</f>
        <v/>
      </c>
      <c r="H67" s="24"/>
      <c r="I67" s="23" t="str">
        <f aca="false">IF(OR(NOT(ISNUMBER($D67)),Config!$G$8&lt;&gt;"Sim"),"",$D67+Config!$F$8+IF(AND(Config!$F$8&gt;0,WEEKDAY($D67+Config!$F$8)=Config!$E$24),1,0))</f>
        <v/>
      </c>
      <c r="J67" s="24"/>
      <c r="K67" s="23" t="str">
        <f aca="false">IF(OR(NOT(ISNUMBER($D67)),Config!$G$9&lt;&gt;"Sim"),"",$D67+Config!$F$9+IF(AND(Config!$F$9&gt;0,WEEKDAY($D67+Config!$F$9)=Config!$E$24),1,0))</f>
        <v/>
      </c>
      <c r="L67" s="24"/>
      <c r="M67" s="23" t="str">
        <f aca="false">IF(OR(NOT(ISNUMBER($D67)),Config!$G$10&lt;&gt;"Sim"),"",$D67+Config!$F$10+IF(AND(Config!$F$10&gt;0,WEEKDAY($D67+Config!$F$10)=Config!$E$24),1,0))</f>
        <v/>
      </c>
      <c r="N67" s="24"/>
      <c r="O67" s="23" t="str">
        <f aca="false">IF(OR(NOT(ISNUMBER($D67)),Config!$G$11&lt;&gt;"Sim"),"",$D67+Config!$F$11+IF(AND(Config!$F$11&gt;0,WEEKDAY($D67+Config!$F$11)=Config!$E$24),1,0))</f>
        <v/>
      </c>
      <c r="P67" s="24"/>
      <c r="Q67" s="25" t="str">
        <f aca="false">IF(COUNT(E67,G67,I67,K67,M67,O67)=0,"",((E67&lt;&gt;"")*(F67&lt;&gt;"")+(G67&lt;&gt;"")*(H67&lt;&gt;"")+(I67&lt;&gt;"")*(J67&lt;&gt;"")+(K67&lt;&gt;"")*(L67&lt;&gt;"")+(M67&lt;&gt;"")*(N67&lt;&gt;"")+(O67&lt;&gt;"")*(P67&lt;&gt;""))/COUNT(E67,G67,I67,K67,M67,O67))</f>
        <v/>
      </c>
      <c r="R67" s="26" t="str">
        <f aca="false">IF(T67="","",IF(T67=99999,"",T67))</f>
        <v/>
      </c>
      <c r="S67" s="27" t="str">
        <f aca="true">IF(T67="","",IF(T67=99999,"Concluído",IF(T67&lt;TODAY(),"Atrasado",IF(T67=TODAY(),"Hoje","Em dia"))))</f>
        <v/>
      </c>
      <c r="T67" s="28" t="str">
        <f aca="false">IF(COUNT(E67,G67,I67,K67,M67,O67)=0,"",MIN(IF(AND(E67&lt;&gt;"",F67=""),E67,99999),IF(AND(G67&lt;&gt;"",H67=""),G67,99999),IF(AND(I67&lt;&gt;"",J67=""),I67,99999),IF(AND(K67&lt;&gt;"",L67=""),K67,99999),IF(AND(M67&lt;&gt;"",N67=""),M67,99999),IF(AND(O67&lt;&gt;"",P67=""),O67,99999)))</f>
        <v/>
      </c>
    </row>
    <row r="68" customFormat="false" ht="15" hidden="false" customHeight="false" outlineLevel="0" collapsed="false">
      <c r="A68" s="20" t="n">
        <v>63</v>
      </c>
      <c r="B68" s="21"/>
      <c r="C68" s="21"/>
      <c r="D68" s="22"/>
      <c r="E68" s="23" t="str">
        <f aca="false">IF(OR(NOT(ISNUMBER($D68)),Config!$G$6&lt;&gt;"Sim"),"",$D68+Config!$F$6+IF(AND(Config!$F$6&gt;0,WEEKDAY($D68+Config!$F$6)=Config!$E$24),1,0))</f>
        <v/>
      </c>
      <c r="F68" s="24"/>
      <c r="G68" s="23" t="str">
        <f aca="false">IF(OR(NOT(ISNUMBER($D68)),Config!$G$7&lt;&gt;"Sim"),"",$D68+Config!$F$7+IF(AND(Config!$F$7&gt;0,WEEKDAY($D68+Config!$F$7)=Config!$E$24),1,0))</f>
        <v/>
      </c>
      <c r="H68" s="24"/>
      <c r="I68" s="23" t="str">
        <f aca="false">IF(OR(NOT(ISNUMBER($D68)),Config!$G$8&lt;&gt;"Sim"),"",$D68+Config!$F$8+IF(AND(Config!$F$8&gt;0,WEEKDAY($D68+Config!$F$8)=Config!$E$24),1,0))</f>
        <v/>
      </c>
      <c r="J68" s="24"/>
      <c r="K68" s="23" t="str">
        <f aca="false">IF(OR(NOT(ISNUMBER($D68)),Config!$G$9&lt;&gt;"Sim"),"",$D68+Config!$F$9+IF(AND(Config!$F$9&gt;0,WEEKDAY($D68+Config!$F$9)=Config!$E$24),1,0))</f>
        <v/>
      </c>
      <c r="L68" s="24"/>
      <c r="M68" s="23" t="str">
        <f aca="false">IF(OR(NOT(ISNUMBER($D68)),Config!$G$10&lt;&gt;"Sim"),"",$D68+Config!$F$10+IF(AND(Config!$F$10&gt;0,WEEKDAY($D68+Config!$F$10)=Config!$E$24),1,0))</f>
        <v/>
      </c>
      <c r="N68" s="24"/>
      <c r="O68" s="23" t="str">
        <f aca="false">IF(OR(NOT(ISNUMBER($D68)),Config!$G$11&lt;&gt;"Sim"),"",$D68+Config!$F$11+IF(AND(Config!$F$11&gt;0,WEEKDAY($D68+Config!$F$11)=Config!$E$24),1,0))</f>
        <v/>
      </c>
      <c r="P68" s="24"/>
      <c r="Q68" s="25" t="str">
        <f aca="false">IF(COUNT(E68,G68,I68,K68,M68,O68)=0,"",((E68&lt;&gt;"")*(F68&lt;&gt;"")+(G68&lt;&gt;"")*(H68&lt;&gt;"")+(I68&lt;&gt;"")*(J68&lt;&gt;"")+(K68&lt;&gt;"")*(L68&lt;&gt;"")+(M68&lt;&gt;"")*(N68&lt;&gt;"")+(O68&lt;&gt;"")*(P68&lt;&gt;""))/COUNT(E68,G68,I68,K68,M68,O68))</f>
        <v/>
      </c>
      <c r="R68" s="26" t="str">
        <f aca="false">IF(T68="","",IF(T68=99999,"",T68))</f>
        <v/>
      </c>
      <c r="S68" s="27" t="str">
        <f aca="true">IF(T68="","",IF(T68=99999,"Concluído",IF(T68&lt;TODAY(),"Atrasado",IF(T68=TODAY(),"Hoje","Em dia"))))</f>
        <v/>
      </c>
      <c r="T68" s="28" t="str">
        <f aca="false">IF(COUNT(E68,G68,I68,K68,M68,O68)=0,"",MIN(IF(AND(E68&lt;&gt;"",F68=""),E68,99999),IF(AND(G68&lt;&gt;"",H68=""),G68,99999),IF(AND(I68&lt;&gt;"",J68=""),I68,99999),IF(AND(K68&lt;&gt;"",L68=""),K68,99999),IF(AND(M68&lt;&gt;"",N68=""),M68,99999),IF(AND(O68&lt;&gt;"",P68=""),O68,99999)))</f>
        <v/>
      </c>
    </row>
    <row r="69" customFormat="false" ht="15" hidden="false" customHeight="false" outlineLevel="0" collapsed="false">
      <c r="A69" s="20" t="n">
        <v>64</v>
      </c>
      <c r="B69" s="21"/>
      <c r="C69" s="21"/>
      <c r="D69" s="22"/>
      <c r="E69" s="23" t="str">
        <f aca="false">IF(OR(NOT(ISNUMBER($D69)),Config!$G$6&lt;&gt;"Sim"),"",$D69+Config!$F$6+IF(AND(Config!$F$6&gt;0,WEEKDAY($D69+Config!$F$6)=Config!$E$24),1,0))</f>
        <v/>
      </c>
      <c r="F69" s="24"/>
      <c r="G69" s="23" t="str">
        <f aca="false">IF(OR(NOT(ISNUMBER($D69)),Config!$G$7&lt;&gt;"Sim"),"",$D69+Config!$F$7+IF(AND(Config!$F$7&gt;0,WEEKDAY($D69+Config!$F$7)=Config!$E$24),1,0))</f>
        <v/>
      </c>
      <c r="H69" s="24"/>
      <c r="I69" s="23" t="str">
        <f aca="false">IF(OR(NOT(ISNUMBER($D69)),Config!$G$8&lt;&gt;"Sim"),"",$D69+Config!$F$8+IF(AND(Config!$F$8&gt;0,WEEKDAY($D69+Config!$F$8)=Config!$E$24),1,0))</f>
        <v/>
      </c>
      <c r="J69" s="24"/>
      <c r="K69" s="23" t="str">
        <f aca="false">IF(OR(NOT(ISNUMBER($D69)),Config!$G$9&lt;&gt;"Sim"),"",$D69+Config!$F$9+IF(AND(Config!$F$9&gt;0,WEEKDAY($D69+Config!$F$9)=Config!$E$24),1,0))</f>
        <v/>
      </c>
      <c r="L69" s="24"/>
      <c r="M69" s="23" t="str">
        <f aca="false">IF(OR(NOT(ISNUMBER($D69)),Config!$G$10&lt;&gt;"Sim"),"",$D69+Config!$F$10+IF(AND(Config!$F$10&gt;0,WEEKDAY($D69+Config!$F$10)=Config!$E$24),1,0))</f>
        <v/>
      </c>
      <c r="N69" s="24"/>
      <c r="O69" s="23" t="str">
        <f aca="false">IF(OR(NOT(ISNUMBER($D69)),Config!$G$11&lt;&gt;"Sim"),"",$D69+Config!$F$11+IF(AND(Config!$F$11&gt;0,WEEKDAY($D69+Config!$F$11)=Config!$E$24),1,0))</f>
        <v/>
      </c>
      <c r="P69" s="24"/>
      <c r="Q69" s="25" t="str">
        <f aca="false">IF(COUNT(E69,G69,I69,K69,M69,O69)=0,"",((E69&lt;&gt;"")*(F69&lt;&gt;"")+(G69&lt;&gt;"")*(H69&lt;&gt;"")+(I69&lt;&gt;"")*(J69&lt;&gt;"")+(K69&lt;&gt;"")*(L69&lt;&gt;"")+(M69&lt;&gt;"")*(N69&lt;&gt;"")+(O69&lt;&gt;"")*(P69&lt;&gt;""))/COUNT(E69,G69,I69,K69,M69,O69))</f>
        <v/>
      </c>
      <c r="R69" s="26" t="str">
        <f aca="false">IF(T69="","",IF(T69=99999,"",T69))</f>
        <v/>
      </c>
      <c r="S69" s="27" t="str">
        <f aca="true">IF(T69="","",IF(T69=99999,"Concluído",IF(T69&lt;TODAY(),"Atrasado",IF(T69=TODAY(),"Hoje","Em dia"))))</f>
        <v/>
      </c>
      <c r="T69" s="28" t="str">
        <f aca="false">IF(COUNT(E69,G69,I69,K69,M69,O69)=0,"",MIN(IF(AND(E69&lt;&gt;"",F69=""),E69,99999),IF(AND(G69&lt;&gt;"",H69=""),G69,99999),IF(AND(I69&lt;&gt;"",J69=""),I69,99999),IF(AND(K69&lt;&gt;"",L69=""),K69,99999),IF(AND(M69&lt;&gt;"",N69=""),M69,99999),IF(AND(O69&lt;&gt;"",P69=""),O69,99999)))</f>
        <v/>
      </c>
    </row>
    <row r="70" customFormat="false" ht="15" hidden="false" customHeight="false" outlineLevel="0" collapsed="false">
      <c r="A70" s="20" t="n">
        <v>65</v>
      </c>
      <c r="B70" s="21"/>
      <c r="C70" s="21"/>
      <c r="D70" s="22"/>
      <c r="E70" s="23" t="str">
        <f aca="false">IF(OR(NOT(ISNUMBER($D70)),Config!$G$6&lt;&gt;"Sim"),"",$D70+Config!$F$6+IF(AND(Config!$F$6&gt;0,WEEKDAY($D70+Config!$F$6)=Config!$E$24),1,0))</f>
        <v/>
      </c>
      <c r="F70" s="24"/>
      <c r="G70" s="23" t="str">
        <f aca="false">IF(OR(NOT(ISNUMBER($D70)),Config!$G$7&lt;&gt;"Sim"),"",$D70+Config!$F$7+IF(AND(Config!$F$7&gt;0,WEEKDAY($D70+Config!$F$7)=Config!$E$24),1,0))</f>
        <v/>
      </c>
      <c r="H70" s="24"/>
      <c r="I70" s="23" t="str">
        <f aca="false">IF(OR(NOT(ISNUMBER($D70)),Config!$G$8&lt;&gt;"Sim"),"",$D70+Config!$F$8+IF(AND(Config!$F$8&gt;0,WEEKDAY($D70+Config!$F$8)=Config!$E$24),1,0))</f>
        <v/>
      </c>
      <c r="J70" s="24"/>
      <c r="K70" s="23" t="str">
        <f aca="false">IF(OR(NOT(ISNUMBER($D70)),Config!$G$9&lt;&gt;"Sim"),"",$D70+Config!$F$9+IF(AND(Config!$F$9&gt;0,WEEKDAY($D70+Config!$F$9)=Config!$E$24),1,0))</f>
        <v/>
      </c>
      <c r="L70" s="24"/>
      <c r="M70" s="23" t="str">
        <f aca="false">IF(OR(NOT(ISNUMBER($D70)),Config!$G$10&lt;&gt;"Sim"),"",$D70+Config!$F$10+IF(AND(Config!$F$10&gt;0,WEEKDAY($D70+Config!$F$10)=Config!$E$24),1,0))</f>
        <v/>
      </c>
      <c r="N70" s="24"/>
      <c r="O70" s="23" t="str">
        <f aca="false">IF(OR(NOT(ISNUMBER($D70)),Config!$G$11&lt;&gt;"Sim"),"",$D70+Config!$F$11+IF(AND(Config!$F$11&gt;0,WEEKDAY($D70+Config!$F$11)=Config!$E$24),1,0))</f>
        <v/>
      </c>
      <c r="P70" s="24"/>
      <c r="Q70" s="25" t="str">
        <f aca="false">IF(COUNT(E70,G70,I70,K70,M70,O70)=0,"",((E70&lt;&gt;"")*(F70&lt;&gt;"")+(G70&lt;&gt;"")*(H70&lt;&gt;"")+(I70&lt;&gt;"")*(J70&lt;&gt;"")+(K70&lt;&gt;"")*(L70&lt;&gt;"")+(M70&lt;&gt;"")*(N70&lt;&gt;"")+(O70&lt;&gt;"")*(P70&lt;&gt;""))/COUNT(E70,G70,I70,K70,M70,O70))</f>
        <v/>
      </c>
      <c r="R70" s="26" t="str">
        <f aca="false">IF(T70="","",IF(T70=99999,"",T70))</f>
        <v/>
      </c>
      <c r="S70" s="27" t="str">
        <f aca="true">IF(T70="","",IF(T70=99999,"Concluído",IF(T70&lt;TODAY(),"Atrasado",IF(T70=TODAY(),"Hoje","Em dia"))))</f>
        <v/>
      </c>
      <c r="T70" s="28" t="str">
        <f aca="false">IF(COUNT(E70,G70,I70,K70,M70,O70)=0,"",MIN(IF(AND(E70&lt;&gt;"",F70=""),E70,99999),IF(AND(G70&lt;&gt;"",H70=""),G70,99999),IF(AND(I70&lt;&gt;"",J70=""),I70,99999),IF(AND(K70&lt;&gt;"",L70=""),K70,99999),IF(AND(M70&lt;&gt;"",N70=""),M70,99999),IF(AND(O70&lt;&gt;"",P70=""),O70,99999)))</f>
        <v/>
      </c>
    </row>
    <row r="71" customFormat="false" ht="15" hidden="false" customHeight="false" outlineLevel="0" collapsed="false">
      <c r="A71" s="20" t="n">
        <v>66</v>
      </c>
      <c r="B71" s="21"/>
      <c r="C71" s="21"/>
      <c r="D71" s="22"/>
      <c r="E71" s="23" t="str">
        <f aca="false">IF(OR(NOT(ISNUMBER($D71)),Config!$G$6&lt;&gt;"Sim"),"",$D71+Config!$F$6+IF(AND(Config!$F$6&gt;0,WEEKDAY($D71+Config!$F$6)=Config!$E$24),1,0))</f>
        <v/>
      </c>
      <c r="F71" s="24"/>
      <c r="G71" s="23" t="str">
        <f aca="false">IF(OR(NOT(ISNUMBER($D71)),Config!$G$7&lt;&gt;"Sim"),"",$D71+Config!$F$7+IF(AND(Config!$F$7&gt;0,WEEKDAY($D71+Config!$F$7)=Config!$E$24),1,0))</f>
        <v/>
      </c>
      <c r="H71" s="24"/>
      <c r="I71" s="23" t="str">
        <f aca="false">IF(OR(NOT(ISNUMBER($D71)),Config!$G$8&lt;&gt;"Sim"),"",$D71+Config!$F$8+IF(AND(Config!$F$8&gt;0,WEEKDAY($D71+Config!$F$8)=Config!$E$24),1,0))</f>
        <v/>
      </c>
      <c r="J71" s="24"/>
      <c r="K71" s="23" t="str">
        <f aca="false">IF(OR(NOT(ISNUMBER($D71)),Config!$G$9&lt;&gt;"Sim"),"",$D71+Config!$F$9+IF(AND(Config!$F$9&gt;0,WEEKDAY($D71+Config!$F$9)=Config!$E$24),1,0))</f>
        <v/>
      </c>
      <c r="L71" s="24"/>
      <c r="M71" s="23" t="str">
        <f aca="false">IF(OR(NOT(ISNUMBER($D71)),Config!$G$10&lt;&gt;"Sim"),"",$D71+Config!$F$10+IF(AND(Config!$F$10&gt;0,WEEKDAY($D71+Config!$F$10)=Config!$E$24),1,0))</f>
        <v/>
      </c>
      <c r="N71" s="24"/>
      <c r="O71" s="23" t="str">
        <f aca="false">IF(OR(NOT(ISNUMBER($D71)),Config!$G$11&lt;&gt;"Sim"),"",$D71+Config!$F$11+IF(AND(Config!$F$11&gt;0,WEEKDAY($D71+Config!$F$11)=Config!$E$24),1,0))</f>
        <v/>
      </c>
      <c r="P71" s="24"/>
      <c r="Q71" s="25" t="str">
        <f aca="false">IF(COUNT(E71,G71,I71,K71,M71,O71)=0,"",((E71&lt;&gt;"")*(F71&lt;&gt;"")+(G71&lt;&gt;"")*(H71&lt;&gt;"")+(I71&lt;&gt;"")*(J71&lt;&gt;"")+(K71&lt;&gt;"")*(L71&lt;&gt;"")+(M71&lt;&gt;"")*(N71&lt;&gt;"")+(O71&lt;&gt;"")*(P71&lt;&gt;""))/COUNT(E71,G71,I71,K71,M71,O71))</f>
        <v/>
      </c>
      <c r="R71" s="26" t="str">
        <f aca="false">IF(T71="","",IF(T71=99999,"",T71))</f>
        <v/>
      </c>
      <c r="S71" s="27" t="str">
        <f aca="true">IF(T71="","",IF(T71=99999,"Concluído",IF(T71&lt;TODAY(),"Atrasado",IF(T71=TODAY(),"Hoje","Em dia"))))</f>
        <v/>
      </c>
      <c r="T71" s="28" t="str">
        <f aca="false">IF(COUNT(E71,G71,I71,K71,M71,O71)=0,"",MIN(IF(AND(E71&lt;&gt;"",F71=""),E71,99999),IF(AND(G71&lt;&gt;"",H71=""),G71,99999),IF(AND(I71&lt;&gt;"",J71=""),I71,99999),IF(AND(K71&lt;&gt;"",L71=""),K71,99999),IF(AND(M71&lt;&gt;"",N71=""),M71,99999),IF(AND(O71&lt;&gt;"",P71=""),O71,99999)))</f>
        <v/>
      </c>
    </row>
    <row r="72" customFormat="false" ht="15" hidden="false" customHeight="false" outlineLevel="0" collapsed="false">
      <c r="A72" s="20" t="n">
        <v>67</v>
      </c>
      <c r="B72" s="21"/>
      <c r="C72" s="21"/>
      <c r="D72" s="22"/>
      <c r="E72" s="23" t="str">
        <f aca="false">IF(OR(NOT(ISNUMBER($D72)),Config!$G$6&lt;&gt;"Sim"),"",$D72+Config!$F$6+IF(AND(Config!$F$6&gt;0,WEEKDAY($D72+Config!$F$6)=Config!$E$24),1,0))</f>
        <v/>
      </c>
      <c r="F72" s="24"/>
      <c r="G72" s="23" t="str">
        <f aca="false">IF(OR(NOT(ISNUMBER($D72)),Config!$G$7&lt;&gt;"Sim"),"",$D72+Config!$F$7+IF(AND(Config!$F$7&gt;0,WEEKDAY($D72+Config!$F$7)=Config!$E$24),1,0))</f>
        <v/>
      </c>
      <c r="H72" s="24"/>
      <c r="I72" s="23" t="str">
        <f aca="false">IF(OR(NOT(ISNUMBER($D72)),Config!$G$8&lt;&gt;"Sim"),"",$D72+Config!$F$8+IF(AND(Config!$F$8&gt;0,WEEKDAY($D72+Config!$F$8)=Config!$E$24),1,0))</f>
        <v/>
      </c>
      <c r="J72" s="24"/>
      <c r="K72" s="23" t="str">
        <f aca="false">IF(OR(NOT(ISNUMBER($D72)),Config!$G$9&lt;&gt;"Sim"),"",$D72+Config!$F$9+IF(AND(Config!$F$9&gt;0,WEEKDAY($D72+Config!$F$9)=Config!$E$24),1,0))</f>
        <v/>
      </c>
      <c r="L72" s="24"/>
      <c r="M72" s="23" t="str">
        <f aca="false">IF(OR(NOT(ISNUMBER($D72)),Config!$G$10&lt;&gt;"Sim"),"",$D72+Config!$F$10+IF(AND(Config!$F$10&gt;0,WEEKDAY($D72+Config!$F$10)=Config!$E$24),1,0))</f>
        <v/>
      </c>
      <c r="N72" s="24"/>
      <c r="O72" s="23" t="str">
        <f aca="false">IF(OR(NOT(ISNUMBER($D72)),Config!$G$11&lt;&gt;"Sim"),"",$D72+Config!$F$11+IF(AND(Config!$F$11&gt;0,WEEKDAY($D72+Config!$F$11)=Config!$E$24),1,0))</f>
        <v/>
      </c>
      <c r="P72" s="24"/>
      <c r="Q72" s="25" t="str">
        <f aca="false">IF(COUNT(E72,G72,I72,K72,M72,O72)=0,"",((E72&lt;&gt;"")*(F72&lt;&gt;"")+(G72&lt;&gt;"")*(H72&lt;&gt;"")+(I72&lt;&gt;"")*(J72&lt;&gt;"")+(K72&lt;&gt;"")*(L72&lt;&gt;"")+(M72&lt;&gt;"")*(N72&lt;&gt;"")+(O72&lt;&gt;"")*(P72&lt;&gt;""))/COUNT(E72,G72,I72,K72,M72,O72))</f>
        <v/>
      </c>
      <c r="R72" s="26" t="str">
        <f aca="false">IF(T72="","",IF(T72=99999,"",T72))</f>
        <v/>
      </c>
      <c r="S72" s="27" t="str">
        <f aca="true">IF(T72="","",IF(T72=99999,"Concluído",IF(T72&lt;TODAY(),"Atrasado",IF(T72=TODAY(),"Hoje","Em dia"))))</f>
        <v/>
      </c>
      <c r="T72" s="28" t="str">
        <f aca="false">IF(COUNT(E72,G72,I72,K72,M72,O72)=0,"",MIN(IF(AND(E72&lt;&gt;"",F72=""),E72,99999),IF(AND(G72&lt;&gt;"",H72=""),G72,99999),IF(AND(I72&lt;&gt;"",J72=""),I72,99999),IF(AND(K72&lt;&gt;"",L72=""),K72,99999),IF(AND(M72&lt;&gt;"",N72=""),M72,99999),IF(AND(O72&lt;&gt;"",P72=""),O72,99999)))</f>
        <v/>
      </c>
    </row>
    <row r="73" customFormat="false" ht="15" hidden="false" customHeight="false" outlineLevel="0" collapsed="false">
      <c r="A73" s="20" t="n">
        <v>68</v>
      </c>
      <c r="B73" s="21"/>
      <c r="C73" s="21"/>
      <c r="D73" s="22"/>
      <c r="E73" s="23" t="str">
        <f aca="false">IF(OR(NOT(ISNUMBER($D73)),Config!$G$6&lt;&gt;"Sim"),"",$D73+Config!$F$6+IF(AND(Config!$F$6&gt;0,WEEKDAY($D73+Config!$F$6)=Config!$E$24),1,0))</f>
        <v/>
      </c>
      <c r="F73" s="24"/>
      <c r="G73" s="23" t="str">
        <f aca="false">IF(OR(NOT(ISNUMBER($D73)),Config!$G$7&lt;&gt;"Sim"),"",$D73+Config!$F$7+IF(AND(Config!$F$7&gt;0,WEEKDAY($D73+Config!$F$7)=Config!$E$24),1,0))</f>
        <v/>
      </c>
      <c r="H73" s="24"/>
      <c r="I73" s="23" t="str">
        <f aca="false">IF(OR(NOT(ISNUMBER($D73)),Config!$G$8&lt;&gt;"Sim"),"",$D73+Config!$F$8+IF(AND(Config!$F$8&gt;0,WEEKDAY($D73+Config!$F$8)=Config!$E$24),1,0))</f>
        <v/>
      </c>
      <c r="J73" s="24"/>
      <c r="K73" s="23" t="str">
        <f aca="false">IF(OR(NOT(ISNUMBER($D73)),Config!$G$9&lt;&gt;"Sim"),"",$D73+Config!$F$9+IF(AND(Config!$F$9&gt;0,WEEKDAY($D73+Config!$F$9)=Config!$E$24),1,0))</f>
        <v/>
      </c>
      <c r="L73" s="24"/>
      <c r="M73" s="23" t="str">
        <f aca="false">IF(OR(NOT(ISNUMBER($D73)),Config!$G$10&lt;&gt;"Sim"),"",$D73+Config!$F$10+IF(AND(Config!$F$10&gt;0,WEEKDAY($D73+Config!$F$10)=Config!$E$24),1,0))</f>
        <v/>
      </c>
      <c r="N73" s="24"/>
      <c r="O73" s="23" t="str">
        <f aca="false">IF(OR(NOT(ISNUMBER($D73)),Config!$G$11&lt;&gt;"Sim"),"",$D73+Config!$F$11+IF(AND(Config!$F$11&gt;0,WEEKDAY($D73+Config!$F$11)=Config!$E$24),1,0))</f>
        <v/>
      </c>
      <c r="P73" s="24"/>
      <c r="Q73" s="25" t="str">
        <f aca="false">IF(COUNT(E73,G73,I73,K73,M73,O73)=0,"",((E73&lt;&gt;"")*(F73&lt;&gt;"")+(G73&lt;&gt;"")*(H73&lt;&gt;"")+(I73&lt;&gt;"")*(J73&lt;&gt;"")+(K73&lt;&gt;"")*(L73&lt;&gt;"")+(M73&lt;&gt;"")*(N73&lt;&gt;"")+(O73&lt;&gt;"")*(P73&lt;&gt;""))/COUNT(E73,G73,I73,K73,M73,O73))</f>
        <v/>
      </c>
      <c r="R73" s="26" t="str">
        <f aca="false">IF(T73="","",IF(T73=99999,"",T73))</f>
        <v/>
      </c>
      <c r="S73" s="27" t="str">
        <f aca="true">IF(T73="","",IF(T73=99999,"Concluído",IF(T73&lt;TODAY(),"Atrasado",IF(T73=TODAY(),"Hoje","Em dia"))))</f>
        <v/>
      </c>
      <c r="T73" s="28" t="str">
        <f aca="false">IF(COUNT(E73,G73,I73,K73,M73,O73)=0,"",MIN(IF(AND(E73&lt;&gt;"",F73=""),E73,99999),IF(AND(G73&lt;&gt;"",H73=""),G73,99999),IF(AND(I73&lt;&gt;"",J73=""),I73,99999),IF(AND(K73&lt;&gt;"",L73=""),K73,99999),IF(AND(M73&lt;&gt;"",N73=""),M73,99999),IF(AND(O73&lt;&gt;"",P73=""),O73,99999)))</f>
        <v/>
      </c>
    </row>
    <row r="74" customFormat="false" ht="15" hidden="false" customHeight="false" outlineLevel="0" collapsed="false">
      <c r="A74" s="20" t="n">
        <v>69</v>
      </c>
      <c r="B74" s="21"/>
      <c r="C74" s="21"/>
      <c r="D74" s="22"/>
      <c r="E74" s="23" t="str">
        <f aca="false">IF(OR(NOT(ISNUMBER($D74)),Config!$G$6&lt;&gt;"Sim"),"",$D74+Config!$F$6+IF(AND(Config!$F$6&gt;0,WEEKDAY($D74+Config!$F$6)=Config!$E$24),1,0))</f>
        <v/>
      </c>
      <c r="F74" s="24"/>
      <c r="G74" s="23" t="str">
        <f aca="false">IF(OR(NOT(ISNUMBER($D74)),Config!$G$7&lt;&gt;"Sim"),"",$D74+Config!$F$7+IF(AND(Config!$F$7&gt;0,WEEKDAY($D74+Config!$F$7)=Config!$E$24),1,0))</f>
        <v/>
      </c>
      <c r="H74" s="24"/>
      <c r="I74" s="23" t="str">
        <f aca="false">IF(OR(NOT(ISNUMBER($D74)),Config!$G$8&lt;&gt;"Sim"),"",$D74+Config!$F$8+IF(AND(Config!$F$8&gt;0,WEEKDAY($D74+Config!$F$8)=Config!$E$24),1,0))</f>
        <v/>
      </c>
      <c r="J74" s="24"/>
      <c r="K74" s="23" t="str">
        <f aca="false">IF(OR(NOT(ISNUMBER($D74)),Config!$G$9&lt;&gt;"Sim"),"",$D74+Config!$F$9+IF(AND(Config!$F$9&gt;0,WEEKDAY($D74+Config!$F$9)=Config!$E$24),1,0))</f>
        <v/>
      </c>
      <c r="L74" s="24"/>
      <c r="M74" s="23" t="str">
        <f aca="false">IF(OR(NOT(ISNUMBER($D74)),Config!$G$10&lt;&gt;"Sim"),"",$D74+Config!$F$10+IF(AND(Config!$F$10&gt;0,WEEKDAY($D74+Config!$F$10)=Config!$E$24),1,0))</f>
        <v/>
      </c>
      <c r="N74" s="24"/>
      <c r="O74" s="23" t="str">
        <f aca="false">IF(OR(NOT(ISNUMBER($D74)),Config!$G$11&lt;&gt;"Sim"),"",$D74+Config!$F$11+IF(AND(Config!$F$11&gt;0,WEEKDAY($D74+Config!$F$11)=Config!$E$24),1,0))</f>
        <v/>
      </c>
      <c r="P74" s="24"/>
      <c r="Q74" s="25" t="str">
        <f aca="false">IF(COUNT(E74,G74,I74,K74,M74,O74)=0,"",((E74&lt;&gt;"")*(F74&lt;&gt;"")+(G74&lt;&gt;"")*(H74&lt;&gt;"")+(I74&lt;&gt;"")*(J74&lt;&gt;"")+(K74&lt;&gt;"")*(L74&lt;&gt;"")+(M74&lt;&gt;"")*(N74&lt;&gt;"")+(O74&lt;&gt;"")*(P74&lt;&gt;""))/COUNT(E74,G74,I74,K74,M74,O74))</f>
        <v/>
      </c>
      <c r="R74" s="26" t="str">
        <f aca="false">IF(T74="","",IF(T74=99999,"",T74))</f>
        <v/>
      </c>
      <c r="S74" s="27" t="str">
        <f aca="true">IF(T74="","",IF(T74=99999,"Concluído",IF(T74&lt;TODAY(),"Atrasado",IF(T74=TODAY(),"Hoje","Em dia"))))</f>
        <v/>
      </c>
      <c r="T74" s="28" t="str">
        <f aca="false">IF(COUNT(E74,G74,I74,K74,M74,O74)=0,"",MIN(IF(AND(E74&lt;&gt;"",F74=""),E74,99999),IF(AND(G74&lt;&gt;"",H74=""),G74,99999),IF(AND(I74&lt;&gt;"",J74=""),I74,99999),IF(AND(K74&lt;&gt;"",L74=""),K74,99999),IF(AND(M74&lt;&gt;"",N74=""),M74,99999),IF(AND(O74&lt;&gt;"",P74=""),O74,99999)))</f>
        <v/>
      </c>
    </row>
    <row r="75" customFormat="false" ht="15" hidden="false" customHeight="false" outlineLevel="0" collapsed="false">
      <c r="A75" s="20" t="n">
        <v>70</v>
      </c>
      <c r="B75" s="21"/>
      <c r="C75" s="21"/>
      <c r="D75" s="22"/>
      <c r="E75" s="23" t="str">
        <f aca="false">IF(OR(NOT(ISNUMBER($D75)),Config!$G$6&lt;&gt;"Sim"),"",$D75+Config!$F$6+IF(AND(Config!$F$6&gt;0,WEEKDAY($D75+Config!$F$6)=Config!$E$24),1,0))</f>
        <v/>
      </c>
      <c r="F75" s="24"/>
      <c r="G75" s="23" t="str">
        <f aca="false">IF(OR(NOT(ISNUMBER($D75)),Config!$G$7&lt;&gt;"Sim"),"",$D75+Config!$F$7+IF(AND(Config!$F$7&gt;0,WEEKDAY($D75+Config!$F$7)=Config!$E$24),1,0))</f>
        <v/>
      </c>
      <c r="H75" s="24"/>
      <c r="I75" s="23" t="str">
        <f aca="false">IF(OR(NOT(ISNUMBER($D75)),Config!$G$8&lt;&gt;"Sim"),"",$D75+Config!$F$8+IF(AND(Config!$F$8&gt;0,WEEKDAY($D75+Config!$F$8)=Config!$E$24),1,0))</f>
        <v/>
      </c>
      <c r="J75" s="24"/>
      <c r="K75" s="23" t="str">
        <f aca="false">IF(OR(NOT(ISNUMBER($D75)),Config!$G$9&lt;&gt;"Sim"),"",$D75+Config!$F$9+IF(AND(Config!$F$9&gt;0,WEEKDAY($D75+Config!$F$9)=Config!$E$24),1,0))</f>
        <v/>
      </c>
      <c r="L75" s="24"/>
      <c r="M75" s="23" t="str">
        <f aca="false">IF(OR(NOT(ISNUMBER($D75)),Config!$G$10&lt;&gt;"Sim"),"",$D75+Config!$F$10+IF(AND(Config!$F$10&gt;0,WEEKDAY($D75+Config!$F$10)=Config!$E$24),1,0))</f>
        <v/>
      </c>
      <c r="N75" s="24"/>
      <c r="O75" s="23" t="str">
        <f aca="false">IF(OR(NOT(ISNUMBER($D75)),Config!$G$11&lt;&gt;"Sim"),"",$D75+Config!$F$11+IF(AND(Config!$F$11&gt;0,WEEKDAY($D75+Config!$F$11)=Config!$E$24),1,0))</f>
        <v/>
      </c>
      <c r="P75" s="24"/>
      <c r="Q75" s="25" t="str">
        <f aca="false">IF(COUNT(E75,G75,I75,K75,M75,O75)=0,"",((E75&lt;&gt;"")*(F75&lt;&gt;"")+(G75&lt;&gt;"")*(H75&lt;&gt;"")+(I75&lt;&gt;"")*(J75&lt;&gt;"")+(K75&lt;&gt;"")*(L75&lt;&gt;"")+(M75&lt;&gt;"")*(N75&lt;&gt;"")+(O75&lt;&gt;"")*(P75&lt;&gt;""))/COUNT(E75,G75,I75,K75,M75,O75))</f>
        <v/>
      </c>
      <c r="R75" s="26" t="str">
        <f aca="false">IF(T75="","",IF(T75=99999,"",T75))</f>
        <v/>
      </c>
      <c r="S75" s="27" t="str">
        <f aca="true">IF(T75="","",IF(T75=99999,"Concluído",IF(T75&lt;TODAY(),"Atrasado",IF(T75=TODAY(),"Hoje","Em dia"))))</f>
        <v/>
      </c>
      <c r="T75" s="28" t="str">
        <f aca="false">IF(COUNT(E75,G75,I75,K75,M75,O75)=0,"",MIN(IF(AND(E75&lt;&gt;"",F75=""),E75,99999),IF(AND(G75&lt;&gt;"",H75=""),G75,99999),IF(AND(I75&lt;&gt;"",J75=""),I75,99999),IF(AND(K75&lt;&gt;"",L75=""),K75,99999),IF(AND(M75&lt;&gt;"",N75=""),M75,99999),IF(AND(O75&lt;&gt;"",P75=""),O75,99999)))</f>
        <v/>
      </c>
    </row>
    <row r="76" customFormat="false" ht="15" hidden="false" customHeight="false" outlineLevel="0" collapsed="false">
      <c r="A76" s="20" t="n">
        <v>71</v>
      </c>
      <c r="B76" s="21"/>
      <c r="C76" s="21"/>
      <c r="D76" s="22"/>
      <c r="E76" s="23" t="str">
        <f aca="false">IF(OR(NOT(ISNUMBER($D76)),Config!$G$6&lt;&gt;"Sim"),"",$D76+Config!$F$6+IF(AND(Config!$F$6&gt;0,WEEKDAY($D76+Config!$F$6)=Config!$E$24),1,0))</f>
        <v/>
      </c>
      <c r="F76" s="24"/>
      <c r="G76" s="23" t="str">
        <f aca="false">IF(OR(NOT(ISNUMBER($D76)),Config!$G$7&lt;&gt;"Sim"),"",$D76+Config!$F$7+IF(AND(Config!$F$7&gt;0,WEEKDAY($D76+Config!$F$7)=Config!$E$24),1,0))</f>
        <v/>
      </c>
      <c r="H76" s="24"/>
      <c r="I76" s="23" t="str">
        <f aca="false">IF(OR(NOT(ISNUMBER($D76)),Config!$G$8&lt;&gt;"Sim"),"",$D76+Config!$F$8+IF(AND(Config!$F$8&gt;0,WEEKDAY($D76+Config!$F$8)=Config!$E$24),1,0))</f>
        <v/>
      </c>
      <c r="J76" s="24"/>
      <c r="K76" s="23" t="str">
        <f aca="false">IF(OR(NOT(ISNUMBER($D76)),Config!$G$9&lt;&gt;"Sim"),"",$D76+Config!$F$9+IF(AND(Config!$F$9&gt;0,WEEKDAY($D76+Config!$F$9)=Config!$E$24),1,0))</f>
        <v/>
      </c>
      <c r="L76" s="24"/>
      <c r="M76" s="23" t="str">
        <f aca="false">IF(OR(NOT(ISNUMBER($D76)),Config!$G$10&lt;&gt;"Sim"),"",$D76+Config!$F$10+IF(AND(Config!$F$10&gt;0,WEEKDAY($D76+Config!$F$10)=Config!$E$24),1,0))</f>
        <v/>
      </c>
      <c r="N76" s="24"/>
      <c r="O76" s="23" t="str">
        <f aca="false">IF(OR(NOT(ISNUMBER($D76)),Config!$G$11&lt;&gt;"Sim"),"",$D76+Config!$F$11+IF(AND(Config!$F$11&gt;0,WEEKDAY($D76+Config!$F$11)=Config!$E$24),1,0))</f>
        <v/>
      </c>
      <c r="P76" s="24"/>
      <c r="Q76" s="25" t="str">
        <f aca="false">IF(COUNT(E76,G76,I76,K76,M76,O76)=0,"",((E76&lt;&gt;"")*(F76&lt;&gt;"")+(G76&lt;&gt;"")*(H76&lt;&gt;"")+(I76&lt;&gt;"")*(J76&lt;&gt;"")+(K76&lt;&gt;"")*(L76&lt;&gt;"")+(M76&lt;&gt;"")*(N76&lt;&gt;"")+(O76&lt;&gt;"")*(P76&lt;&gt;""))/COUNT(E76,G76,I76,K76,M76,O76))</f>
        <v/>
      </c>
      <c r="R76" s="26" t="str">
        <f aca="false">IF(T76="","",IF(T76=99999,"",T76))</f>
        <v/>
      </c>
      <c r="S76" s="27" t="str">
        <f aca="true">IF(T76="","",IF(T76=99999,"Concluído",IF(T76&lt;TODAY(),"Atrasado",IF(T76=TODAY(),"Hoje","Em dia"))))</f>
        <v/>
      </c>
      <c r="T76" s="28" t="str">
        <f aca="false">IF(COUNT(E76,G76,I76,K76,M76,O76)=0,"",MIN(IF(AND(E76&lt;&gt;"",F76=""),E76,99999),IF(AND(G76&lt;&gt;"",H76=""),G76,99999),IF(AND(I76&lt;&gt;"",J76=""),I76,99999),IF(AND(K76&lt;&gt;"",L76=""),K76,99999),IF(AND(M76&lt;&gt;"",N76=""),M76,99999),IF(AND(O76&lt;&gt;"",P76=""),O76,99999)))</f>
        <v/>
      </c>
    </row>
    <row r="77" customFormat="false" ht="15" hidden="false" customHeight="false" outlineLevel="0" collapsed="false">
      <c r="A77" s="20" t="n">
        <v>72</v>
      </c>
      <c r="B77" s="21"/>
      <c r="C77" s="21"/>
      <c r="D77" s="22"/>
      <c r="E77" s="23" t="str">
        <f aca="false">IF(OR(NOT(ISNUMBER($D77)),Config!$G$6&lt;&gt;"Sim"),"",$D77+Config!$F$6+IF(AND(Config!$F$6&gt;0,WEEKDAY($D77+Config!$F$6)=Config!$E$24),1,0))</f>
        <v/>
      </c>
      <c r="F77" s="24"/>
      <c r="G77" s="23" t="str">
        <f aca="false">IF(OR(NOT(ISNUMBER($D77)),Config!$G$7&lt;&gt;"Sim"),"",$D77+Config!$F$7+IF(AND(Config!$F$7&gt;0,WEEKDAY($D77+Config!$F$7)=Config!$E$24),1,0))</f>
        <v/>
      </c>
      <c r="H77" s="24"/>
      <c r="I77" s="23" t="str">
        <f aca="false">IF(OR(NOT(ISNUMBER($D77)),Config!$G$8&lt;&gt;"Sim"),"",$D77+Config!$F$8+IF(AND(Config!$F$8&gt;0,WEEKDAY($D77+Config!$F$8)=Config!$E$24),1,0))</f>
        <v/>
      </c>
      <c r="J77" s="24"/>
      <c r="K77" s="23" t="str">
        <f aca="false">IF(OR(NOT(ISNUMBER($D77)),Config!$G$9&lt;&gt;"Sim"),"",$D77+Config!$F$9+IF(AND(Config!$F$9&gt;0,WEEKDAY($D77+Config!$F$9)=Config!$E$24),1,0))</f>
        <v/>
      </c>
      <c r="L77" s="24"/>
      <c r="M77" s="23" t="str">
        <f aca="false">IF(OR(NOT(ISNUMBER($D77)),Config!$G$10&lt;&gt;"Sim"),"",$D77+Config!$F$10+IF(AND(Config!$F$10&gt;0,WEEKDAY($D77+Config!$F$10)=Config!$E$24),1,0))</f>
        <v/>
      </c>
      <c r="N77" s="24"/>
      <c r="O77" s="23" t="str">
        <f aca="false">IF(OR(NOT(ISNUMBER($D77)),Config!$G$11&lt;&gt;"Sim"),"",$D77+Config!$F$11+IF(AND(Config!$F$11&gt;0,WEEKDAY($D77+Config!$F$11)=Config!$E$24),1,0))</f>
        <v/>
      </c>
      <c r="P77" s="24"/>
      <c r="Q77" s="25" t="str">
        <f aca="false">IF(COUNT(E77,G77,I77,K77,M77,O77)=0,"",((E77&lt;&gt;"")*(F77&lt;&gt;"")+(G77&lt;&gt;"")*(H77&lt;&gt;"")+(I77&lt;&gt;"")*(J77&lt;&gt;"")+(K77&lt;&gt;"")*(L77&lt;&gt;"")+(M77&lt;&gt;"")*(N77&lt;&gt;"")+(O77&lt;&gt;"")*(P77&lt;&gt;""))/COUNT(E77,G77,I77,K77,M77,O77))</f>
        <v/>
      </c>
      <c r="R77" s="26" t="str">
        <f aca="false">IF(T77="","",IF(T77=99999,"",T77))</f>
        <v/>
      </c>
      <c r="S77" s="27" t="str">
        <f aca="true">IF(T77="","",IF(T77=99999,"Concluído",IF(T77&lt;TODAY(),"Atrasado",IF(T77=TODAY(),"Hoje","Em dia"))))</f>
        <v/>
      </c>
      <c r="T77" s="28" t="str">
        <f aca="false">IF(COUNT(E77,G77,I77,K77,M77,O77)=0,"",MIN(IF(AND(E77&lt;&gt;"",F77=""),E77,99999),IF(AND(G77&lt;&gt;"",H77=""),G77,99999),IF(AND(I77&lt;&gt;"",J77=""),I77,99999),IF(AND(K77&lt;&gt;"",L77=""),K77,99999),IF(AND(M77&lt;&gt;"",N77=""),M77,99999),IF(AND(O77&lt;&gt;"",P77=""),O77,99999)))</f>
        <v/>
      </c>
    </row>
    <row r="78" customFormat="false" ht="15" hidden="false" customHeight="false" outlineLevel="0" collapsed="false">
      <c r="A78" s="20" t="n">
        <v>73</v>
      </c>
      <c r="B78" s="21"/>
      <c r="C78" s="21"/>
      <c r="D78" s="22"/>
      <c r="E78" s="23" t="str">
        <f aca="false">IF(OR(NOT(ISNUMBER($D78)),Config!$G$6&lt;&gt;"Sim"),"",$D78+Config!$F$6+IF(AND(Config!$F$6&gt;0,WEEKDAY($D78+Config!$F$6)=Config!$E$24),1,0))</f>
        <v/>
      </c>
      <c r="F78" s="24"/>
      <c r="G78" s="23" t="str">
        <f aca="false">IF(OR(NOT(ISNUMBER($D78)),Config!$G$7&lt;&gt;"Sim"),"",$D78+Config!$F$7+IF(AND(Config!$F$7&gt;0,WEEKDAY($D78+Config!$F$7)=Config!$E$24),1,0))</f>
        <v/>
      </c>
      <c r="H78" s="24"/>
      <c r="I78" s="23" t="str">
        <f aca="false">IF(OR(NOT(ISNUMBER($D78)),Config!$G$8&lt;&gt;"Sim"),"",$D78+Config!$F$8+IF(AND(Config!$F$8&gt;0,WEEKDAY($D78+Config!$F$8)=Config!$E$24),1,0))</f>
        <v/>
      </c>
      <c r="J78" s="24"/>
      <c r="K78" s="23" t="str">
        <f aca="false">IF(OR(NOT(ISNUMBER($D78)),Config!$G$9&lt;&gt;"Sim"),"",$D78+Config!$F$9+IF(AND(Config!$F$9&gt;0,WEEKDAY($D78+Config!$F$9)=Config!$E$24),1,0))</f>
        <v/>
      </c>
      <c r="L78" s="24"/>
      <c r="M78" s="23" t="str">
        <f aca="false">IF(OR(NOT(ISNUMBER($D78)),Config!$G$10&lt;&gt;"Sim"),"",$D78+Config!$F$10+IF(AND(Config!$F$10&gt;0,WEEKDAY($D78+Config!$F$10)=Config!$E$24),1,0))</f>
        <v/>
      </c>
      <c r="N78" s="24"/>
      <c r="O78" s="23" t="str">
        <f aca="false">IF(OR(NOT(ISNUMBER($D78)),Config!$G$11&lt;&gt;"Sim"),"",$D78+Config!$F$11+IF(AND(Config!$F$11&gt;0,WEEKDAY($D78+Config!$F$11)=Config!$E$24),1,0))</f>
        <v/>
      </c>
      <c r="P78" s="24"/>
      <c r="Q78" s="25" t="str">
        <f aca="false">IF(COUNT(E78,G78,I78,K78,M78,O78)=0,"",((E78&lt;&gt;"")*(F78&lt;&gt;"")+(G78&lt;&gt;"")*(H78&lt;&gt;"")+(I78&lt;&gt;"")*(J78&lt;&gt;"")+(K78&lt;&gt;"")*(L78&lt;&gt;"")+(M78&lt;&gt;"")*(N78&lt;&gt;"")+(O78&lt;&gt;"")*(P78&lt;&gt;""))/COUNT(E78,G78,I78,K78,M78,O78))</f>
        <v/>
      </c>
      <c r="R78" s="26" t="str">
        <f aca="false">IF(T78="","",IF(T78=99999,"",T78))</f>
        <v/>
      </c>
      <c r="S78" s="27" t="str">
        <f aca="true">IF(T78="","",IF(T78=99999,"Concluído",IF(T78&lt;TODAY(),"Atrasado",IF(T78=TODAY(),"Hoje","Em dia"))))</f>
        <v/>
      </c>
      <c r="T78" s="28" t="str">
        <f aca="false">IF(COUNT(E78,G78,I78,K78,M78,O78)=0,"",MIN(IF(AND(E78&lt;&gt;"",F78=""),E78,99999),IF(AND(G78&lt;&gt;"",H78=""),G78,99999),IF(AND(I78&lt;&gt;"",J78=""),I78,99999),IF(AND(K78&lt;&gt;"",L78=""),K78,99999),IF(AND(M78&lt;&gt;"",N78=""),M78,99999),IF(AND(O78&lt;&gt;"",P78=""),O78,99999)))</f>
        <v/>
      </c>
    </row>
    <row r="79" customFormat="false" ht="15" hidden="false" customHeight="false" outlineLevel="0" collapsed="false">
      <c r="A79" s="20" t="n">
        <v>74</v>
      </c>
      <c r="B79" s="21"/>
      <c r="C79" s="21"/>
      <c r="D79" s="22"/>
      <c r="E79" s="23" t="str">
        <f aca="false">IF(OR(NOT(ISNUMBER($D79)),Config!$G$6&lt;&gt;"Sim"),"",$D79+Config!$F$6+IF(AND(Config!$F$6&gt;0,WEEKDAY($D79+Config!$F$6)=Config!$E$24),1,0))</f>
        <v/>
      </c>
      <c r="F79" s="24"/>
      <c r="G79" s="23" t="str">
        <f aca="false">IF(OR(NOT(ISNUMBER($D79)),Config!$G$7&lt;&gt;"Sim"),"",$D79+Config!$F$7+IF(AND(Config!$F$7&gt;0,WEEKDAY($D79+Config!$F$7)=Config!$E$24),1,0))</f>
        <v/>
      </c>
      <c r="H79" s="24"/>
      <c r="I79" s="23" t="str">
        <f aca="false">IF(OR(NOT(ISNUMBER($D79)),Config!$G$8&lt;&gt;"Sim"),"",$D79+Config!$F$8+IF(AND(Config!$F$8&gt;0,WEEKDAY($D79+Config!$F$8)=Config!$E$24),1,0))</f>
        <v/>
      </c>
      <c r="J79" s="24"/>
      <c r="K79" s="23" t="str">
        <f aca="false">IF(OR(NOT(ISNUMBER($D79)),Config!$G$9&lt;&gt;"Sim"),"",$D79+Config!$F$9+IF(AND(Config!$F$9&gt;0,WEEKDAY($D79+Config!$F$9)=Config!$E$24),1,0))</f>
        <v/>
      </c>
      <c r="L79" s="24"/>
      <c r="M79" s="23" t="str">
        <f aca="false">IF(OR(NOT(ISNUMBER($D79)),Config!$G$10&lt;&gt;"Sim"),"",$D79+Config!$F$10+IF(AND(Config!$F$10&gt;0,WEEKDAY($D79+Config!$F$10)=Config!$E$24),1,0))</f>
        <v/>
      </c>
      <c r="N79" s="24"/>
      <c r="O79" s="23" t="str">
        <f aca="false">IF(OR(NOT(ISNUMBER($D79)),Config!$G$11&lt;&gt;"Sim"),"",$D79+Config!$F$11+IF(AND(Config!$F$11&gt;0,WEEKDAY($D79+Config!$F$11)=Config!$E$24),1,0))</f>
        <v/>
      </c>
      <c r="P79" s="24"/>
      <c r="Q79" s="25" t="str">
        <f aca="false">IF(COUNT(E79,G79,I79,K79,M79,O79)=0,"",((E79&lt;&gt;"")*(F79&lt;&gt;"")+(G79&lt;&gt;"")*(H79&lt;&gt;"")+(I79&lt;&gt;"")*(J79&lt;&gt;"")+(K79&lt;&gt;"")*(L79&lt;&gt;"")+(M79&lt;&gt;"")*(N79&lt;&gt;"")+(O79&lt;&gt;"")*(P79&lt;&gt;""))/COUNT(E79,G79,I79,K79,M79,O79))</f>
        <v/>
      </c>
      <c r="R79" s="26" t="str">
        <f aca="false">IF(T79="","",IF(T79=99999,"",T79))</f>
        <v/>
      </c>
      <c r="S79" s="27" t="str">
        <f aca="true">IF(T79="","",IF(T79=99999,"Concluído",IF(T79&lt;TODAY(),"Atrasado",IF(T79=TODAY(),"Hoje","Em dia"))))</f>
        <v/>
      </c>
      <c r="T79" s="28" t="str">
        <f aca="false">IF(COUNT(E79,G79,I79,K79,M79,O79)=0,"",MIN(IF(AND(E79&lt;&gt;"",F79=""),E79,99999),IF(AND(G79&lt;&gt;"",H79=""),G79,99999),IF(AND(I79&lt;&gt;"",J79=""),I79,99999),IF(AND(K79&lt;&gt;"",L79=""),K79,99999),IF(AND(M79&lt;&gt;"",N79=""),M79,99999),IF(AND(O79&lt;&gt;"",P79=""),O79,99999)))</f>
        <v/>
      </c>
    </row>
    <row r="80" customFormat="false" ht="15" hidden="false" customHeight="false" outlineLevel="0" collapsed="false">
      <c r="A80" s="20" t="n">
        <v>75</v>
      </c>
      <c r="B80" s="21"/>
      <c r="C80" s="21"/>
      <c r="D80" s="22"/>
      <c r="E80" s="23" t="str">
        <f aca="false">IF(OR(NOT(ISNUMBER($D80)),Config!$G$6&lt;&gt;"Sim"),"",$D80+Config!$F$6+IF(AND(Config!$F$6&gt;0,WEEKDAY($D80+Config!$F$6)=Config!$E$24),1,0))</f>
        <v/>
      </c>
      <c r="F80" s="24"/>
      <c r="G80" s="23" t="str">
        <f aca="false">IF(OR(NOT(ISNUMBER($D80)),Config!$G$7&lt;&gt;"Sim"),"",$D80+Config!$F$7+IF(AND(Config!$F$7&gt;0,WEEKDAY($D80+Config!$F$7)=Config!$E$24),1,0))</f>
        <v/>
      </c>
      <c r="H80" s="24"/>
      <c r="I80" s="23" t="str">
        <f aca="false">IF(OR(NOT(ISNUMBER($D80)),Config!$G$8&lt;&gt;"Sim"),"",$D80+Config!$F$8+IF(AND(Config!$F$8&gt;0,WEEKDAY($D80+Config!$F$8)=Config!$E$24),1,0))</f>
        <v/>
      </c>
      <c r="J80" s="24"/>
      <c r="K80" s="23" t="str">
        <f aca="false">IF(OR(NOT(ISNUMBER($D80)),Config!$G$9&lt;&gt;"Sim"),"",$D80+Config!$F$9+IF(AND(Config!$F$9&gt;0,WEEKDAY($D80+Config!$F$9)=Config!$E$24),1,0))</f>
        <v/>
      </c>
      <c r="L80" s="24"/>
      <c r="M80" s="23" t="str">
        <f aca="false">IF(OR(NOT(ISNUMBER($D80)),Config!$G$10&lt;&gt;"Sim"),"",$D80+Config!$F$10+IF(AND(Config!$F$10&gt;0,WEEKDAY($D80+Config!$F$10)=Config!$E$24),1,0))</f>
        <v/>
      </c>
      <c r="N80" s="24"/>
      <c r="O80" s="23" t="str">
        <f aca="false">IF(OR(NOT(ISNUMBER($D80)),Config!$G$11&lt;&gt;"Sim"),"",$D80+Config!$F$11+IF(AND(Config!$F$11&gt;0,WEEKDAY($D80+Config!$F$11)=Config!$E$24),1,0))</f>
        <v/>
      </c>
      <c r="P80" s="24"/>
      <c r="Q80" s="25" t="str">
        <f aca="false">IF(COUNT(E80,G80,I80,K80,M80,O80)=0,"",((E80&lt;&gt;"")*(F80&lt;&gt;"")+(G80&lt;&gt;"")*(H80&lt;&gt;"")+(I80&lt;&gt;"")*(J80&lt;&gt;"")+(K80&lt;&gt;"")*(L80&lt;&gt;"")+(M80&lt;&gt;"")*(N80&lt;&gt;"")+(O80&lt;&gt;"")*(P80&lt;&gt;""))/COUNT(E80,G80,I80,K80,M80,O80))</f>
        <v/>
      </c>
      <c r="R80" s="26" t="str">
        <f aca="false">IF(T80="","",IF(T80=99999,"",T80))</f>
        <v/>
      </c>
      <c r="S80" s="27" t="str">
        <f aca="true">IF(T80="","",IF(T80=99999,"Concluído",IF(T80&lt;TODAY(),"Atrasado",IF(T80=TODAY(),"Hoje","Em dia"))))</f>
        <v/>
      </c>
      <c r="T80" s="28" t="str">
        <f aca="false">IF(COUNT(E80,G80,I80,K80,M80,O80)=0,"",MIN(IF(AND(E80&lt;&gt;"",F80=""),E80,99999),IF(AND(G80&lt;&gt;"",H80=""),G80,99999),IF(AND(I80&lt;&gt;"",J80=""),I80,99999),IF(AND(K80&lt;&gt;"",L80=""),K80,99999),IF(AND(M80&lt;&gt;"",N80=""),M80,99999),IF(AND(O80&lt;&gt;"",P80=""),O80,99999)))</f>
        <v/>
      </c>
    </row>
    <row r="81" customFormat="false" ht="15" hidden="false" customHeight="false" outlineLevel="0" collapsed="false">
      <c r="A81" s="20" t="n">
        <v>76</v>
      </c>
      <c r="B81" s="21"/>
      <c r="C81" s="21"/>
      <c r="D81" s="22"/>
      <c r="E81" s="23" t="str">
        <f aca="false">IF(OR(NOT(ISNUMBER($D81)),Config!$G$6&lt;&gt;"Sim"),"",$D81+Config!$F$6+IF(AND(Config!$F$6&gt;0,WEEKDAY($D81+Config!$F$6)=Config!$E$24),1,0))</f>
        <v/>
      </c>
      <c r="F81" s="24"/>
      <c r="G81" s="23" t="str">
        <f aca="false">IF(OR(NOT(ISNUMBER($D81)),Config!$G$7&lt;&gt;"Sim"),"",$D81+Config!$F$7+IF(AND(Config!$F$7&gt;0,WEEKDAY($D81+Config!$F$7)=Config!$E$24),1,0))</f>
        <v/>
      </c>
      <c r="H81" s="24"/>
      <c r="I81" s="23" t="str">
        <f aca="false">IF(OR(NOT(ISNUMBER($D81)),Config!$G$8&lt;&gt;"Sim"),"",$D81+Config!$F$8+IF(AND(Config!$F$8&gt;0,WEEKDAY($D81+Config!$F$8)=Config!$E$24),1,0))</f>
        <v/>
      </c>
      <c r="J81" s="24"/>
      <c r="K81" s="23" t="str">
        <f aca="false">IF(OR(NOT(ISNUMBER($D81)),Config!$G$9&lt;&gt;"Sim"),"",$D81+Config!$F$9+IF(AND(Config!$F$9&gt;0,WEEKDAY($D81+Config!$F$9)=Config!$E$24),1,0))</f>
        <v/>
      </c>
      <c r="L81" s="24"/>
      <c r="M81" s="23" t="str">
        <f aca="false">IF(OR(NOT(ISNUMBER($D81)),Config!$G$10&lt;&gt;"Sim"),"",$D81+Config!$F$10+IF(AND(Config!$F$10&gt;0,WEEKDAY($D81+Config!$F$10)=Config!$E$24),1,0))</f>
        <v/>
      </c>
      <c r="N81" s="24"/>
      <c r="O81" s="23" t="str">
        <f aca="false">IF(OR(NOT(ISNUMBER($D81)),Config!$G$11&lt;&gt;"Sim"),"",$D81+Config!$F$11+IF(AND(Config!$F$11&gt;0,WEEKDAY($D81+Config!$F$11)=Config!$E$24),1,0))</f>
        <v/>
      </c>
      <c r="P81" s="24"/>
      <c r="Q81" s="25" t="str">
        <f aca="false">IF(COUNT(E81,G81,I81,K81,M81,O81)=0,"",((E81&lt;&gt;"")*(F81&lt;&gt;"")+(G81&lt;&gt;"")*(H81&lt;&gt;"")+(I81&lt;&gt;"")*(J81&lt;&gt;"")+(K81&lt;&gt;"")*(L81&lt;&gt;"")+(M81&lt;&gt;"")*(N81&lt;&gt;"")+(O81&lt;&gt;"")*(P81&lt;&gt;""))/COUNT(E81,G81,I81,K81,M81,O81))</f>
        <v/>
      </c>
      <c r="R81" s="26" t="str">
        <f aca="false">IF(T81="","",IF(T81=99999,"",T81))</f>
        <v/>
      </c>
      <c r="S81" s="27" t="str">
        <f aca="true">IF(T81="","",IF(T81=99999,"Concluído",IF(T81&lt;TODAY(),"Atrasado",IF(T81=TODAY(),"Hoje","Em dia"))))</f>
        <v/>
      </c>
      <c r="T81" s="28" t="str">
        <f aca="false">IF(COUNT(E81,G81,I81,K81,M81,O81)=0,"",MIN(IF(AND(E81&lt;&gt;"",F81=""),E81,99999),IF(AND(G81&lt;&gt;"",H81=""),G81,99999),IF(AND(I81&lt;&gt;"",J81=""),I81,99999),IF(AND(K81&lt;&gt;"",L81=""),K81,99999),IF(AND(M81&lt;&gt;"",N81=""),M81,99999),IF(AND(O81&lt;&gt;"",P81=""),O81,99999)))</f>
        <v/>
      </c>
    </row>
    <row r="82" customFormat="false" ht="15" hidden="false" customHeight="false" outlineLevel="0" collapsed="false">
      <c r="A82" s="20" t="n">
        <v>77</v>
      </c>
      <c r="B82" s="21"/>
      <c r="C82" s="21"/>
      <c r="D82" s="22"/>
      <c r="E82" s="23" t="str">
        <f aca="false">IF(OR(NOT(ISNUMBER($D82)),Config!$G$6&lt;&gt;"Sim"),"",$D82+Config!$F$6+IF(AND(Config!$F$6&gt;0,WEEKDAY($D82+Config!$F$6)=Config!$E$24),1,0))</f>
        <v/>
      </c>
      <c r="F82" s="24"/>
      <c r="G82" s="23" t="str">
        <f aca="false">IF(OR(NOT(ISNUMBER($D82)),Config!$G$7&lt;&gt;"Sim"),"",$D82+Config!$F$7+IF(AND(Config!$F$7&gt;0,WEEKDAY($D82+Config!$F$7)=Config!$E$24),1,0))</f>
        <v/>
      </c>
      <c r="H82" s="24"/>
      <c r="I82" s="23" t="str">
        <f aca="false">IF(OR(NOT(ISNUMBER($D82)),Config!$G$8&lt;&gt;"Sim"),"",$D82+Config!$F$8+IF(AND(Config!$F$8&gt;0,WEEKDAY($D82+Config!$F$8)=Config!$E$24),1,0))</f>
        <v/>
      </c>
      <c r="J82" s="24"/>
      <c r="K82" s="23" t="str">
        <f aca="false">IF(OR(NOT(ISNUMBER($D82)),Config!$G$9&lt;&gt;"Sim"),"",$D82+Config!$F$9+IF(AND(Config!$F$9&gt;0,WEEKDAY($D82+Config!$F$9)=Config!$E$24),1,0))</f>
        <v/>
      </c>
      <c r="L82" s="24"/>
      <c r="M82" s="23" t="str">
        <f aca="false">IF(OR(NOT(ISNUMBER($D82)),Config!$G$10&lt;&gt;"Sim"),"",$D82+Config!$F$10+IF(AND(Config!$F$10&gt;0,WEEKDAY($D82+Config!$F$10)=Config!$E$24),1,0))</f>
        <v/>
      </c>
      <c r="N82" s="24"/>
      <c r="O82" s="23" t="str">
        <f aca="false">IF(OR(NOT(ISNUMBER($D82)),Config!$G$11&lt;&gt;"Sim"),"",$D82+Config!$F$11+IF(AND(Config!$F$11&gt;0,WEEKDAY($D82+Config!$F$11)=Config!$E$24),1,0))</f>
        <v/>
      </c>
      <c r="P82" s="24"/>
      <c r="Q82" s="25" t="str">
        <f aca="false">IF(COUNT(E82,G82,I82,K82,M82,O82)=0,"",((E82&lt;&gt;"")*(F82&lt;&gt;"")+(G82&lt;&gt;"")*(H82&lt;&gt;"")+(I82&lt;&gt;"")*(J82&lt;&gt;"")+(K82&lt;&gt;"")*(L82&lt;&gt;"")+(M82&lt;&gt;"")*(N82&lt;&gt;"")+(O82&lt;&gt;"")*(P82&lt;&gt;""))/COUNT(E82,G82,I82,K82,M82,O82))</f>
        <v/>
      </c>
      <c r="R82" s="26" t="str">
        <f aca="false">IF(T82="","",IF(T82=99999,"",T82))</f>
        <v/>
      </c>
      <c r="S82" s="27" t="str">
        <f aca="true">IF(T82="","",IF(T82=99999,"Concluído",IF(T82&lt;TODAY(),"Atrasado",IF(T82=TODAY(),"Hoje","Em dia"))))</f>
        <v/>
      </c>
      <c r="T82" s="28" t="str">
        <f aca="false">IF(COUNT(E82,G82,I82,K82,M82,O82)=0,"",MIN(IF(AND(E82&lt;&gt;"",F82=""),E82,99999),IF(AND(G82&lt;&gt;"",H82=""),G82,99999),IF(AND(I82&lt;&gt;"",J82=""),I82,99999),IF(AND(K82&lt;&gt;"",L82=""),K82,99999),IF(AND(M82&lt;&gt;"",N82=""),M82,99999),IF(AND(O82&lt;&gt;"",P82=""),O82,99999)))</f>
        <v/>
      </c>
    </row>
    <row r="83" customFormat="false" ht="15" hidden="false" customHeight="false" outlineLevel="0" collapsed="false">
      <c r="A83" s="20" t="n">
        <v>78</v>
      </c>
      <c r="B83" s="21"/>
      <c r="C83" s="21"/>
      <c r="D83" s="22"/>
      <c r="E83" s="23" t="str">
        <f aca="false">IF(OR(NOT(ISNUMBER($D83)),Config!$G$6&lt;&gt;"Sim"),"",$D83+Config!$F$6+IF(AND(Config!$F$6&gt;0,WEEKDAY($D83+Config!$F$6)=Config!$E$24),1,0))</f>
        <v/>
      </c>
      <c r="F83" s="24"/>
      <c r="G83" s="23" t="str">
        <f aca="false">IF(OR(NOT(ISNUMBER($D83)),Config!$G$7&lt;&gt;"Sim"),"",$D83+Config!$F$7+IF(AND(Config!$F$7&gt;0,WEEKDAY($D83+Config!$F$7)=Config!$E$24),1,0))</f>
        <v/>
      </c>
      <c r="H83" s="24"/>
      <c r="I83" s="23" t="str">
        <f aca="false">IF(OR(NOT(ISNUMBER($D83)),Config!$G$8&lt;&gt;"Sim"),"",$D83+Config!$F$8+IF(AND(Config!$F$8&gt;0,WEEKDAY($D83+Config!$F$8)=Config!$E$24),1,0))</f>
        <v/>
      </c>
      <c r="J83" s="24"/>
      <c r="K83" s="23" t="str">
        <f aca="false">IF(OR(NOT(ISNUMBER($D83)),Config!$G$9&lt;&gt;"Sim"),"",$D83+Config!$F$9+IF(AND(Config!$F$9&gt;0,WEEKDAY($D83+Config!$F$9)=Config!$E$24),1,0))</f>
        <v/>
      </c>
      <c r="L83" s="24"/>
      <c r="M83" s="23" t="str">
        <f aca="false">IF(OR(NOT(ISNUMBER($D83)),Config!$G$10&lt;&gt;"Sim"),"",$D83+Config!$F$10+IF(AND(Config!$F$10&gt;0,WEEKDAY($D83+Config!$F$10)=Config!$E$24),1,0))</f>
        <v/>
      </c>
      <c r="N83" s="24"/>
      <c r="O83" s="23" t="str">
        <f aca="false">IF(OR(NOT(ISNUMBER($D83)),Config!$G$11&lt;&gt;"Sim"),"",$D83+Config!$F$11+IF(AND(Config!$F$11&gt;0,WEEKDAY($D83+Config!$F$11)=Config!$E$24),1,0))</f>
        <v/>
      </c>
      <c r="P83" s="24"/>
      <c r="Q83" s="25" t="str">
        <f aca="false">IF(COUNT(E83,G83,I83,K83,M83,O83)=0,"",((E83&lt;&gt;"")*(F83&lt;&gt;"")+(G83&lt;&gt;"")*(H83&lt;&gt;"")+(I83&lt;&gt;"")*(J83&lt;&gt;"")+(K83&lt;&gt;"")*(L83&lt;&gt;"")+(M83&lt;&gt;"")*(N83&lt;&gt;"")+(O83&lt;&gt;"")*(P83&lt;&gt;""))/COUNT(E83,G83,I83,K83,M83,O83))</f>
        <v/>
      </c>
      <c r="R83" s="26" t="str">
        <f aca="false">IF(T83="","",IF(T83=99999,"",T83))</f>
        <v/>
      </c>
      <c r="S83" s="27" t="str">
        <f aca="true">IF(T83="","",IF(T83=99999,"Concluído",IF(T83&lt;TODAY(),"Atrasado",IF(T83=TODAY(),"Hoje","Em dia"))))</f>
        <v/>
      </c>
      <c r="T83" s="28" t="str">
        <f aca="false">IF(COUNT(E83,G83,I83,K83,M83,O83)=0,"",MIN(IF(AND(E83&lt;&gt;"",F83=""),E83,99999),IF(AND(G83&lt;&gt;"",H83=""),G83,99999),IF(AND(I83&lt;&gt;"",J83=""),I83,99999),IF(AND(K83&lt;&gt;"",L83=""),K83,99999),IF(AND(M83&lt;&gt;"",N83=""),M83,99999),IF(AND(O83&lt;&gt;"",P83=""),O83,99999)))</f>
        <v/>
      </c>
    </row>
    <row r="84" customFormat="false" ht="15" hidden="false" customHeight="false" outlineLevel="0" collapsed="false">
      <c r="A84" s="20" t="n">
        <v>79</v>
      </c>
      <c r="B84" s="21"/>
      <c r="C84" s="21"/>
      <c r="D84" s="22"/>
      <c r="E84" s="23" t="str">
        <f aca="false">IF(OR(NOT(ISNUMBER($D84)),Config!$G$6&lt;&gt;"Sim"),"",$D84+Config!$F$6+IF(AND(Config!$F$6&gt;0,WEEKDAY($D84+Config!$F$6)=Config!$E$24),1,0))</f>
        <v/>
      </c>
      <c r="F84" s="24"/>
      <c r="G84" s="23" t="str">
        <f aca="false">IF(OR(NOT(ISNUMBER($D84)),Config!$G$7&lt;&gt;"Sim"),"",$D84+Config!$F$7+IF(AND(Config!$F$7&gt;0,WEEKDAY($D84+Config!$F$7)=Config!$E$24),1,0))</f>
        <v/>
      </c>
      <c r="H84" s="24"/>
      <c r="I84" s="23" t="str">
        <f aca="false">IF(OR(NOT(ISNUMBER($D84)),Config!$G$8&lt;&gt;"Sim"),"",$D84+Config!$F$8+IF(AND(Config!$F$8&gt;0,WEEKDAY($D84+Config!$F$8)=Config!$E$24),1,0))</f>
        <v/>
      </c>
      <c r="J84" s="24"/>
      <c r="K84" s="23" t="str">
        <f aca="false">IF(OR(NOT(ISNUMBER($D84)),Config!$G$9&lt;&gt;"Sim"),"",$D84+Config!$F$9+IF(AND(Config!$F$9&gt;0,WEEKDAY($D84+Config!$F$9)=Config!$E$24),1,0))</f>
        <v/>
      </c>
      <c r="L84" s="24"/>
      <c r="M84" s="23" t="str">
        <f aca="false">IF(OR(NOT(ISNUMBER($D84)),Config!$G$10&lt;&gt;"Sim"),"",$D84+Config!$F$10+IF(AND(Config!$F$10&gt;0,WEEKDAY($D84+Config!$F$10)=Config!$E$24),1,0))</f>
        <v/>
      </c>
      <c r="N84" s="24"/>
      <c r="O84" s="23" t="str">
        <f aca="false">IF(OR(NOT(ISNUMBER($D84)),Config!$G$11&lt;&gt;"Sim"),"",$D84+Config!$F$11+IF(AND(Config!$F$11&gt;0,WEEKDAY($D84+Config!$F$11)=Config!$E$24),1,0))</f>
        <v/>
      </c>
      <c r="P84" s="24"/>
      <c r="Q84" s="25" t="str">
        <f aca="false">IF(COUNT(E84,G84,I84,K84,M84,O84)=0,"",((E84&lt;&gt;"")*(F84&lt;&gt;"")+(G84&lt;&gt;"")*(H84&lt;&gt;"")+(I84&lt;&gt;"")*(J84&lt;&gt;"")+(K84&lt;&gt;"")*(L84&lt;&gt;"")+(M84&lt;&gt;"")*(N84&lt;&gt;"")+(O84&lt;&gt;"")*(P84&lt;&gt;""))/COUNT(E84,G84,I84,K84,M84,O84))</f>
        <v/>
      </c>
      <c r="R84" s="26" t="str">
        <f aca="false">IF(T84="","",IF(T84=99999,"",T84))</f>
        <v/>
      </c>
      <c r="S84" s="27" t="str">
        <f aca="true">IF(T84="","",IF(T84=99999,"Concluído",IF(T84&lt;TODAY(),"Atrasado",IF(T84=TODAY(),"Hoje","Em dia"))))</f>
        <v/>
      </c>
      <c r="T84" s="28" t="str">
        <f aca="false">IF(COUNT(E84,G84,I84,K84,M84,O84)=0,"",MIN(IF(AND(E84&lt;&gt;"",F84=""),E84,99999),IF(AND(G84&lt;&gt;"",H84=""),G84,99999),IF(AND(I84&lt;&gt;"",J84=""),I84,99999),IF(AND(K84&lt;&gt;"",L84=""),K84,99999),IF(AND(M84&lt;&gt;"",N84=""),M84,99999),IF(AND(O84&lt;&gt;"",P84=""),O84,99999)))</f>
        <v/>
      </c>
    </row>
    <row r="85" customFormat="false" ht="15" hidden="false" customHeight="false" outlineLevel="0" collapsed="false">
      <c r="A85" s="20" t="n">
        <v>80</v>
      </c>
      <c r="B85" s="21"/>
      <c r="C85" s="21"/>
      <c r="D85" s="22"/>
      <c r="E85" s="23" t="str">
        <f aca="false">IF(OR(NOT(ISNUMBER($D85)),Config!$G$6&lt;&gt;"Sim"),"",$D85+Config!$F$6+IF(AND(Config!$F$6&gt;0,WEEKDAY($D85+Config!$F$6)=Config!$E$24),1,0))</f>
        <v/>
      </c>
      <c r="F85" s="24"/>
      <c r="G85" s="23" t="str">
        <f aca="false">IF(OR(NOT(ISNUMBER($D85)),Config!$G$7&lt;&gt;"Sim"),"",$D85+Config!$F$7+IF(AND(Config!$F$7&gt;0,WEEKDAY($D85+Config!$F$7)=Config!$E$24),1,0))</f>
        <v/>
      </c>
      <c r="H85" s="24"/>
      <c r="I85" s="23" t="str">
        <f aca="false">IF(OR(NOT(ISNUMBER($D85)),Config!$G$8&lt;&gt;"Sim"),"",$D85+Config!$F$8+IF(AND(Config!$F$8&gt;0,WEEKDAY($D85+Config!$F$8)=Config!$E$24),1,0))</f>
        <v/>
      </c>
      <c r="J85" s="24"/>
      <c r="K85" s="23" t="str">
        <f aca="false">IF(OR(NOT(ISNUMBER($D85)),Config!$G$9&lt;&gt;"Sim"),"",$D85+Config!$F$9+IF(AND(Config!$F$9&gt;0,WEEKDAY($D85+Config!$F$9)=Config!$E$24),1,0))</f>
        <v/>
      </c>
      <c r="L85" s="24"/>
      <c r="M85" s="23" t="str">
        <f aca="false">IF(OR(NOT(ISNUMBER($D85)),Config!$G$10&lt;&gt;"Sim"),"",$D85+Config!$F$10+IF(AND(Config!$F$10&gt;0,WEEKDAY($D85+Config!$F$10)=Config!$E$24),1,0))</f>
        <v/>
      </c>
      <c r="N85" s="24"/>
      <c r="O85" s="23" t="str">
        <f aca="false">IF(OR(NOT(ISNUMBER($D85)),Config!$G$11&lt;&gt;"Sim"),"",$D85+Config!$F$11+IF(AND(Config!$F$11&gt;0,WEEKDAY($D85+Config!$F$11)=Config!$E$24),1,0))</f>
        <v/>
      </c>
      <c r="P85" s="24"/>
      <c r="Q85" s="25" t="str">
        <f aca="false">IF(COUNT(E85,G85,I85,K85,M85,O85)=0,"",((E85&lt;&gt;"")*(F85&lt;&gt;"")+(G85&lt;&gt;"")*(H85&lt;&gt;"")+(I85&lt;&gt;"")*(J85&lt;&gt;"")+(K85&lt;&gt;"")*(L85&lt;&gt;"")+(M85&lt;&gt;"")*(N85&lt;&gt;"")+(O85&lt;&gt;"")*(P85&lt;&gt;""))/COUNT(E85,G85,I85,K85,M85,O85))</f>
        <v/>
      </c>
      <c r="R85" s="26" t="str">
        <f aca="false">IF(T85="","",IF(T85=99999,"",T85))</f>
        <v/>
      </c>
      <c r="S85" s="27" t="str">
        <f aca="true">IF(T85="","",IF(T85=99999,"Concluído",IF(T85&lt;TODAY(),"Atrasado",IF(T85=TODAY(),"Hoje","Em dia"))))</f>
        <v/>
      </c>
      <c r="T85" s="28" t="str">
        <f aca="false">IF(COUNT(E85,G85,I85,K85,M85,O85)=0,"",MIN(IF(AND(E85&lt;&gt;"",F85=""),E85,99999),IF(AND(G85&lt;&gt;"",H85=""),G85,99999),IF(AND(I85&lt;&gt;"",J85=""),I85,99999),IF(AND(K85&lt;&gt;"",L85=""),K85,99999),IF(AND(M85&lt;&gt;"",N85=""),M85,99999),IF(AND(O85&lt;&gt;"",P85=""),O85,99999)))</f>
        <v/>
      </c>
    </row>
    <row r="86" customFormat="false" ht="15" hidden="false" customHeight="false" outlineLevel="0" collapsed="false">
      <c r="A86" s="20" t="n">
        <v>81</v>
      </c>
      <c r="B86" s="21"/>
      <c r="C86" s="21"/>
      <c r="D86" s="22"/>
      <c r="E86" s="23" t="str">
        <f aca="false">IF(OR(NOT(ISNUMBER($D86)),Config!$G$6&lt;&gt;"Sim"),"",$D86+Config!$F$6+IF(AND(Config!$F$6&gt;0,WEEKDAY($D86+Config!$F$6)=Config!$E$24),1,0))</f>
        <v/>
      </c>
      <c r="F86" s="24"/>
      <c r="G86" s="23" t="str">
        <f aca="false">IF(OR(NOT(ISNUMBER($D86)),Config!$G$7&lt;&gt;"Sim"),"",$D86+Config!$F$7+IF(AND(Config!$F$7&gt;0,WEEKDAY($D86+Config!$F$7)=Config!$E$24),1,0))</f>
        <v/>
      </c>
      <c r="H86" s="24"/>
      <c r="I86" s="23" t="str">
        <f aca="false">IF(OR(NOT(ISNUMBER($D86)),Config!$G$8&lt;&gt;"Sim"),"",$D86+Config!$F$8+IF(AND(Config!$F$8&gt;0,WEEKDAY($D86+Config!$F$8)=Config!$E$24),1,0))</f>
        <v/>
      </c>
      <c r="J86" s="24"/>
      <c r="K86" s="23" t="str">
        <f aca="false">IF(OR(NOT(ISNUMBER($D86)),Config!$G$9&lt;&gt;"Sim"),"",$D86+Config!$F$9+IF(AND(Config!$F$9&gt;0,WEEKDAY($D86+Config!$F$9)=Config!$E$24),1,0))</f>
        <v/>
      </c>
      <c r="L86" s="24"/>
      <c r="M86" s="23" t="str">
        <f aca="false">IF(OR(NOT(ISNUMBER($D86)),Config!$G$10&lt;&gt;"Sim"),"",$D86+Config!$F$10+IF(AND(Config!$F$10&gt;0,WEEKDAY($D86+Config!$F$10)=Config!$E$24),1,0))</f>
        <v/>
      </c>
      <c r="N86" s="24"/>
      <c r="O86" s="23" t="str">
        <f aca="false">IF(OR(NOT(ISNUMBER($D86)),Config!$G$11&lt;&gt;"Sim"),"",$D86+Config!$F$11+IF(AND(Config!$F$11&gt;0,WEEKDAY($D86+Config!$F$11)=Config!$E$24),1,0))</f>
        <v/>
      </c>
      <c r="P86" s="24"/>
      <c r="Q86" s="25" t="str">
        <f aca="false">IF(COUNT(E86,G86,I86,K86,M86,O86)=0,"",((E86&lt;&gt;"")*(F86&lt;&gt;"")+(G86&lt;&gt;"")*(H86&lt;&gt;"")+(I86&lt;&gt;"")*(J86&lt;&gt;"")+(K86&lt;&gt;"")*(L86&lt;&gt;"")+(M86&lt;&gt;"")*(N86&lt;&gt;"")+(O86&lt;&gt;"")*(P86&lt;&gt;""))/COUNT(E86,G86,I86,K86,M86,O86))</f>
        <v/>
      </c>
      <c r="R86" s="26" t="str">
        <f aca="false">IF(T86="","",IF(T86=99999,"",T86))</f>
        <v/>
      </c>
      <c r="S86" s="27" t="str">
        <f aca="true">IF(T86="","",IF(T86=99999,"Concluído",IF(T86&lt;TODAY(),"Atrasado",IF(T86=TODAY(),"Hoje","Em dia"))))</f>
        <v/>
      </c>
      <c r="T86" s="28" t="str">
        <f aca="false">IF(COUNT(E86,G86,I86,K86,M86,O86)=0,"",MIN(IF(AND(E86&lt;&gt;"",F86=""),E86,99999),IF(AND(G86&lt;&gt;"",H86=""),G86,99999),IF(AND(I86&lt;&gt;"",J86=""),I86,99999),IF(AND(K86&lt;&gt;"",L86=""),K86,99999),IF(AND(M86&lt;&gt;"",N86=""),M86,99999),IF(AND(O86&lt;&gt;"",P86=""),O86,99999)))</f>
        <v/>
      </c>
    </row>
    <row r="87" customFormat="false" ht="15" hidden="false" customHeight="false" outlineLevel="0" collapsed="false">
      <c r="A87" s="20" t="n">
        <v>82</v>
      </c>
      <c r="B87" s="21"/>
      <c r="C87" s="21"/>
      <c r="D87" s="22"/>
      <c r="E87" s="23" t="str">
        <f aca="false">IF(OR(NOT(ISNUMBER($D87)),Config!$G$6&lt;&gt;"Sim"),"",$D87+Config!$F$6+IF(AND(Config!$F$6&gt;0,WEEKDAY($D87+Config!$F$6)=Config!$E$24),1,0))</f>
        <v/>
      </c>
      <c r="F87" s="24"/>
      <c r="G87" s="23" t="str">
        <f aca="false">IF(OR(NOT(ISNUMBER($D87)),Config!$G$7&lt;&gt;"Sim"),"",$D87+Config!$F$7+IF(AND(Config!$F$7&gt;0,WEEKDAY($D87+Config!$F$7)=Config!$E$24),1,0))</f>
        <v/>
      </c>
      <c r="H87" s="24"/>
      <c r="I87" s="23" t="str">
        <f aca="false">IF(OR(NOT(ISNUMBER($D87)),Config!$G$8&lt;&gt;"Sim"),"",$D87+Config!$F$8+IF(AND(Config!$F$8&gt;0,WEEKDAY($D87+Config!$F$8)=Config!$E$24),1,0))</f>
        <v/>
      </c>
      <c r="J87" s="24"/>
      <c r="K87" s="23" t="str">
        <f aca="false">IF(OR(NOT(ISNUMBER($D87)),Config!$G$9&lt;&gt;"Sim"),"",$D87+Config!$F$9+IF(AND(Config!$F$9&gt;0,WEEKDAY($D87+Config!$F$9)=Config!$E$24),1,0))</f>
        <v/>
      </c>
      <c r="L87" s="24"/>
      <c r="M87" s="23" t="str">
        <f aca="false">IF(OR(NOT(ISNUMBER($D87)),Config!$G$10&lt;&gt;"Sim"),"",$D87+Config!$F$10+IF(AND(Config!$F$10&gt;0,WEEKDAY($D87+Config!$F$10)=Config!$E$24),1,0))</f>
        <v/>
      </c>
      <c r="N87" s="24"/>
      <c r="O87" s="23" t="str">
        <f aca="false">IF(OR(NOT(ISNUMBER($D87)),Config!$G$11&lt;&gt;"Sim"),"",$D87+Config!$F$11+IF(AND(Config!$F$11&gt;0,WEEKDAY($D87+Config!$F$11)=Config!$E$24),1,0))</f>
        <v/>
      </c>
      <c r="P87" s="24"/>
      <c r="Q87" s="25" t="str">
        <f aca="false">IF(COUNT(E87,G87,I87,K87,M87,O87)=0,"",((E87&lt;&gt;"")*(F87&lt;&gt;"")+(G87&lt;&gt;"")*(H87&lt;&gt;"")+(I87&lt;&gt;"")*(J87&lt;&gt;"")+(K87&lt;&gt;"")*(L87&lt;&gt;"")+(M87&lt;&gt;"")*(N87&lt;&gt;"")+(O87&lt;&gt;"")*(P87&lt;&gt;""))/COUNT(E87,G87,I87,K87,M87,O87))</f>
        <v/>
      </c>
      <c r="R87" s="26" t="str">
        <f aca="false">IF(T87="","",IF(T87=99999,"",T87))</f>
        <v/>
      </c>
      <c r="S87" s="27" t="str">
        <f aca="true">IF(T87="","",IF(T87=99999,"Concluído",IF(T87&lt;TODAY(),"Atrasado",IF(T87=TODAY(),"Hoje","Em dia"))))</f>
        <v/>
      </c>
      <c r="T87" s="28" t="str">
        <f aca="false">IF(COUNT(E87,G87,I87,K87,M87,O87)=0,"",MIN(IF(AND(E87&lt;&gt;"",F87=""),E87,99999),IF(AND(G87&lt;&gt;"",H87=""),G87,99999),IF(AND(I87&lt;&gt;"",J87=""),I87,99999),IF(AND(K87&lt;&gt;"",L87=""),K87,99999),IF(AND(M87&lt;&gt;"",N87=""),M87,99999),IF(AND(O87&lt;&gt;"",P87=""),O87,99999)))</f>
        <v/>
      </c>
    </row>
    <row r="88" customFormat="false" ht="15" hidden="false" customHeight="false" outlineLevel="0" collapsed="false">
      <c r="A88" s="20" t="n">
        <v>83</v>
      </c>
      <c r="B88" s="21"/>
      <c r="C88" s="21"/>
      <c r="D88" s="22"/>
      <c r="E88" s="23" t="str">
        <f aca="false">IF(OR(NOT(ISNUMBER($D88)),Config!$G$6&lt;&gt;"Sim"),"",$D88+Config!$F$6+IF(AND(Config!$F$6&gt;0,WEEKDAY($D88+Config!$F$6)=Config!$E$24),1,0))</f>
        <v/>
      </c>
      <c r="F88" s="24"/>
      <c r="G88" s="23" t="str">
        <f aca="false">IF(OR(NOT(ISNUMBER($D88)),Config!$G$7&lt;&gt;"Sim"),"",$D88+Config!$F$7+IF(AND(Config!$F$7&gt;0,WEEKDAY($D88+Config!$F$7)=Config!$E$24),1,0))</f>
        <v/>
      </c>
      <c r="H88" s="24"/>
      <c r="I88" s="23" t="str">
        <f aca="false">IF(OR(NOT(ISNUMBER($D88)),Config!$G$8&lt;&gt;"Sim"),"",$D88+Config!$F$8+IF(AND(Config!$F$8&gt;0,WEEKDAY($D88+Config!$F$8)=Config!$E$24),1,0))</f>
        <v/>
      </c>
      <c r="J88" s="24"/>
      <c r="K88" s="23" t="str">
        <f aca="false">IF(OR(NOT(ISNUMBER($D88)),Config!$G$9&lt;&gt;"Sim"),"",$D88+Config!$F$9+IF(AND(Config!$F$9&gt;0,WEEKDAY($D88+Config!$F$9)=Config!$E$24),1,0))</f>
        <v/>
      </c>
      <c r="L88" s="24"/>
      <c r="M88" s="23" t="str">
        <f aca="false">IF(OR(NOT(ISNUMBER($D88)),Config!$G$10&lt;&gt;"Sim"),"",$D88+Config!$F$10+IF(AND(Config!$F$10&gt;0,WEEKDAY($D88+Config!$F$10)=Config!$E$24),1,0))</f>
        <v/>
      </c>
      <c r="N88" s="24"/>
      <c r="O88" s="23" t="str">
        <f aca="false">IF(OR(NOT(ISNUMBER($D88)),Config!$G$11&lt;&gt;"Sim"),"",$D88+Config!$F$11+IF(AND(Config!$F$11&gt;0,WEEKDAY($D88+Config!$F$11)=Config!$E$24),1,0))</f>
        <v/>
      </c>
      <c r="P88" s="24"/>
      <c r="Q88" s="25" t="str">
        <f aca="false">IF(COUNT(E88,G88,I88,K88,M88,O88)=0,"",((E88&lt;&gt;"")*(F88&lt;&gt;"")+(G88&lt;&gt;"")*(H88&lt;&gt;"")+(I88&lt;&gt;"")*(J88&lt;&gt;"")+(K88&lt;&gt;"")*(L88&lt;&gt;"")+(M88&lt;&gt;"")*(N88&lt;&gt;"")+(O88&lt;&gt;"")*(P88&lt;&gt;""))/COUNT(E88,G88,I88,K88,M88,O88))</f>
        <v/>
      </c>
      <c r="R88" s="26" t="str">
        <f aca="false">IF(T88="","",IF(T88=99999,"",T88))</f>
        <v/>
      </c>
      <c r="S88" s="27" t="str">
        <f aca="true">IF(T88="","",IF(T88=99999,"Concluído",IF(T88&lt;TODAY(),"Atrasado",IF(T88=TODAY(),"Hoje","Em dia"))))</f>
        <v/>
      </c>
      <c r="T88" s="28" t="str">
        <f aca="false">IF(COUNT(E88,G88,I88,K88,M88,O88)=0,"",MIN(IF(AND(E88&lt;&gt;"",F88=""),E88,99999),IF(AND(G88&lt;&gt;"",H88=""),G88,99999),IF(AND(I88&lt;&gt;"",J88=""),I88,99999),IF(AND(K88&lt;&gt;"",L88=""),K88,99999),IF(AND(M88&lt;&gt;"",N88=""),M88,99999),IF(AND(O88&lt;&gt;"",P88=""),O88,99999)))</f>
        <v/>
      </c>
    </row>
    <row r="89" customFormat="false" ht="15" hidden="false" customHeight="false" outlineLevel="0" collapsed="false">
      <c r="A89" s="20" t="n">
        <v>84</v>
      </c>
      <c r="B89" s="21"/>
      <c r="C89" s="21"/>
      <c r="D89" s="22"/>
      <c r="E89" s="23" t="str">
        <f aca="false">IF(OR(NOT(ISNUMBER($D89)),Config!$G$6&lt;&gt;"Sim"),"",$D89+Config!$F$6+IF(AND(Config!$F$6&gt;0,WEEKDAY($D89+Config!$F$6)=Config!$E$24),1,0))</f>
        <v/>
      </c>
      <c r="F89" s="24"/>
      <c r="G89" s="23" t="str">
        <f aca="false">IF(OR(NOT(ISNUMBER($D89)),Config!$G$7&lt;&gt;"Sim"),"",$D89+Config!$F$7+IF(AND(Config!$F$7&gt;0,WEEKDAY($D89+Config!$F$7)=Config!$E$24),1,0))</f>
        <v/>
      </c>
      <c r="H89" s="24"/>
      <c r="I89" s="23" t="str">
        <f aca="false">IF(OR(NOT(ISNUMBER($D89)),Config!$G$8&lt;&gt;"Sim"),"",$D89+Config!$F$8+IF(AND(Config!$F$8&gt;0,WEEKDAY($D89+Config!$F$8)=Config!$E$24),1,0))</f>
        <v/>
      </c>
      <c r="J89" s="24"/>
      <c r="K89" s="23" t="str">
        <f aca="false">IF(OR(NOT(ISNUMBER($D89)),Config!$G$9&lt;&gt;"Sim"),"",$D89+Config!$F$9+IF(AND(Config!$F$9&gt;0,WEEKDAY($D89+Config!$F$9)=Config!$E$24),1,0))</f>
        <v/>
      </c>
      <c r="L89" s="24"/>
      <c r="M89" s="23" t="str">
        <f aca="false">IF(OR(NOT(ISNUMBER($D89)),Config!$G$10&lt;&gt;"Sim"),"",$D89+Config!$F$10+IF(AND(Config!$F$10&gt;0,WEEKDAY($D89+Config!$F$10)=Config!$E$24),1,0))</f>
        <v/>
      </c>
      <c r="N89" s="24"/>
      <c r="O89" s="23" t="str">
        <f aca="false">IF(OR(NOT(ISNUMBER($D89)),Config!$G$11&lt;&gt;"Sim"),"",$D89+Config!$F$11+IF(AND(Config!$F$11&gt;0,WEEKDAY($D89+Config!$F$11)=Config!$E$24),1,0))</f>
        <v/>
      </c>
      <c r="P89" s="24"/>
      <c r="Q89" s="25" t="str">
        <f aca="false">IF(COUNT(E89,G89,I89,K89,M89,O89)=0,"",((E89&lt;&gt;"")*(F89&lt;&gt;"")+(G89&lt;&gt;"")*(H89&lt;&gt;"")+(I89&lt;&gt;"")*(J89&lt;&gt;"")+(K89&lt;&gt;"")*(L89&lt;&gt;"")+(M89&lt;&gt;"")*(N89&lt;&gt;"")+(O89&lt;&gt;"")*(P89&lt;&gt;""))/COUNT(E89,G89,I89,K89,M89,O89))</f>
        <v/>
      </c>
      <c r="R89" s="26" t="str">
        <f aca="false">IF(T89="","",IF(T89=99999,"",T89))</f>
        <v/>
      </c>
      <c r="S89" s="27" t="str">
        <f aca="true">IF(T89="","",IF(T89=99999,"Concluído",IF(T89&lt;TODAY(),"Atrasado",IF(T89=TODAY(),"Hoje","Em dia"))))</f>
        <v/>
      </c>
      <c r="T89" s="28" t="str">
        <f aca="false">IF(COUNT(E89,G89,I89,K89,M89,O89)=0,"",MIN(IF(AND(E89&lt;&gt;"",F89=""),E89,99999),IF(AND(G89&lt;&gt;"",H89=""),G89,99999),IF(AND(I89&lt;&gt;"",J89=""),I89,99999),IF(AND(K89&lt;&gt;"",L89=""),K89,99999),IF(AND(M89&lt;&gt;"",N89=""),M89,99999),IF(AND(O89&lt;&gt;"",P89=""),O89,99999)))</f>
        <v/>
      </c>
    </row>
    <row r="90" customFormat="false" ht="15" hidden="false" customHeight="false" outlineLevel="0" collapsed="false">
      <c r="A90" s="20" t="n">
        <v>85</v>
      </c>
      <c r="B90" s="21"/>
      <c r="C90" s="21"/>
      <c r="D90" s="22"/>
      <c r="E90" s="23" t="str">
        <f aca="false">IF(OR(NOT(ISNUMBER($D90)),Config!$G$6&lt;&gt;"Sim"),"",$D90+Config!$F$6+IF(AND(Config!$F$6&gt;0,WEEKDAY($D90+Config!$F$6)=Config!$E$24),1,0))</f>
        <v/>
      </c>
      <c r="F90" s="24"/>
      <c r="G90" s="23" t="str">
        <f aca="false">IF(OR(NOT(ISNUMBER($D90)),Config!$G$7&lt;&gt;"Sim"),"",$D90+Config!$F$7+IF(AND(Config!$F$7&gt;0,WEEKDAY($D90+Config!$F$7)=Config!$E$24),1,0))</f>
        <v/>
      </c>
      <c r="H90" s="24"/>
      <c r="I90" s="23" t="str">
        <f aca="false">IF(OR(NOT(ISNUMBER($D90)),Config!$G$8&lt;&gt;"Sim"),"",$D90+Config!$F$8+IF(AND(Config!$F$8&gt;0,WEEKDAY($D90+Config!$F$8)=Config!$E$24),1,0))</f>
        <v/>
      </c>
      <c r="J90" s="24"/>
      <c r="K90" s="23" t="str">
        <f aca="false">IF(OR(NOT(ISNUMBER($D90)),Config!$G$9&lt;&gt;"Sim"),"",$D90+Config!$F$9+IF(AND(Config!$F$9&gt;0,WEEKDAY($D90+Config!$F$9)=Config!$E$24),1,0))</f>
        <v/>
      </c>
      <c r="L90" s="24"/>
      <c r="M90" s="23" t="str">
        <f aca="false">IF(OR(NOT(ISNUMBER($D90)),Config!$G$10&lt;&gt;"Sim"),"",$D90+Config!$F$10+IF(AND(Config!$F$10&gt;0,WEEKDAY($D90+Config!$F$10)=Config!$E$24),1,0))</f>
        <v/>
      </c>
      <c r="N90" s="24"/>
      <c r="O90" s="23" t="str">
        <f aca="false">IF(OR(NOT(ISNUMBER($D90)),Config!$G$11&lt;&gt;"Sim"),"",$D90+Config!$F$11+IF(AND(Config!$F$11&gt;0,WEEKDAY($D90+Config!$F$11)=Config!$E$24),1,0))</f>
        <v/>
      </c>
      <c r="P90" s="24"/>
      <c r="Q90" s="25" t="str">
        <f aca="false">IF(COUNT(E90,G90,I90,K90,M90,O90)=0,"",((E90&lt;&gt;"")*(F90&lt;&gt;"")+(G90&lt;&gt;"")*(H90&lt;&gt;"")+(I90&lt;&gt;"")*(J90&lt;&gt;"")+(K90&lt;&gt;"")*(L90&lt;&gt;"")+(M90&lt;&gt;"")*(N90&lt;&gt;"")+(O90&lt;&gt;"")*(P90&lt;&gt;""))/COUNT(E90,G90,I90,K90,M90,O90))</f>
        <v/>
      </c>
      <c r="R90" s="26" t="str">
        <f aca="false">IF(T90="","",IF(T90=99999,"",T90))</f>
        <v/>
      </c>
      <c r="S90" s="27" t="str">
        <f aca="true">IF(T90="","",IF(T90=99999,"Concluído",IF(T90&lt;TODAY(),"Atrasado",IF(T90=TODAY(),"Hoje","Em dia"))))</f>
        <v/>
      </c>
      <c r="T90" s="28" t="str">
        <f aca="false">IF(COUNT(E90,G90,I90,K90,M90,O90)=0,"",MIN(IF(AND(E90&lt;&gt;"",F90=""),E90,99999),IF(AND(G90&lt;&gt;"",H90=""),G90,99999),IF(AND(I90&lt;&gt;"",J90=""),I90,99999),IF(AND(K90&lt;&gt;"",L90=""),K90,99999),IF(AND(M90&lt;&gt;"",N90=""),M90,99999),IF(AND(O90&lt;&gt;"",P90=""),O90,99999)))</f>
        <v/>
      </c>
    </row>
    <row r="91" customFormat="false" ht="15" hidden="false" customHeight="false" outlineLevel="0" collapsed="false">
      <c r="A91" s="20" t="n">
        <v>86</v>
      </c>
      <c r="B91" s="21"/>
      <c r="C91" s="21"/>
      <c r="D91" s="22"/>
      <c r="E91" s="23" t="str">
        <f aca="false">IF(OR(NOT(ISNUMBER($D91)),Config!$G$6&lt;&gt;"Sim"),"",$D91+Config!$F$6+IF(AND(Config!$F$6&gt;0,WEEKDAY($D91+Config!$F$6)=Config!$E$24),1,0))</f>
        <v/>
      </c>
      <c r="F91" s="24"/>
      <c r="G91" s="23" t="str">
        <f aca="false">IF(OR(NOT(ISNUMBER($D91)),Config!$G$7&lt;&gt;"Sim"),"",$D91+Config!$F$7+IF(AND(Config!$F$7&gt;0,WEEKDAY($D91+Config!$F$7)=Config!$E$24),1,0))</f>
        <v/>
      </c>
      <c r="H91" s="24"/>
      <c r="I91" s="23" t="str">
        <f aca="false">IF(OR(NOT(ISNUMBER($D91)),Config!$G$8&lt;&gt;"Sim"),"",$D91+Config!$F$8+IF(AND(Config!$F$8&gt;0,WEEKDAY($D91+Config!$F$8)=Config!$E$24),1,0))</f>
        <v/>
      </c>
      <c r="J91" s="24"/>
      <c r="K91" s="23" t="str">
        <f aca="false">IF(OR(NOT(ISNUMBER($D91)),Config!$G$9&lt;&gt;"Sim"),"",$D91+Config!$F$9+IF(AND(Config!$F$9&gt;0,WEEKDAY($D91+Config!$F$9)=Config!$E$24),1,0))</f>
        <v/>
      </c>
      <c r="L91" s="24"/>
      <c r="M91" s="23" t="str">
        <f aca="false">IF(OR(NOT(ISNUMBER($D91)),Config!$G$10&lt;&gt;"Sim"),"",$D91+Config!$F$10+IF(AND(Config!$F$10&gt;0,WEEKDAY($D91+Config!$F$10)=Config!$E$24),1,0))</f>
        <v/>
      </c>
      <c r="N91" s="24"/>
      <c r="O91" s="23" t="str">
        <f aca="false">IF(OR(NOT(ISNUMBER($D91)),Config!$G$11&lt;&gt;"Sim"),"",$D91+Config!$F$11+IF(AND(Config!$F$11&gt;0,WEEKDAY($D91+Config!$F$11)=Config!$E$24),1,0))</f>
        <v/>
      </c>
      <c r="P91" s="24"/>
      <c r="Q91" s="25" t="str">
        <f aca="false">IF(COUNT(E91,G91,I91,K91,M91,O91)=0,"",((E91&lt;&gt;"")*(F91&lt;&gt;"")+(G91&lt;&gt;"")*(H91&lt;&gt;"")+(I91&lt;&gt;"")*(J91&lt;&gt;"")+(K91&lt;&gt;"")*(L91&lt;&gt;"")+(M91&lt;&gt;"")*(N91&lt;&gt;"")+(O91&lt;&gt;"")*(P91&lt;&gt;""))/COUNT(E91,G91,I91,K91,M91,O91))</f>
        <v/>
      </c>
      <c r="R91" s="26" t="str">
        <f aca="false">IF(T91="","",IF(T91=99999,"",T91))</f>
        <v/>
      </c>
      <c r="S91" s="27" t="str">
        <f aca="true">IF(T91="","",IF(T91=99999,"Concluído",IF(T91&lt;TODAY(),"Atrasado",IF(T91=TODAY(),"Hoje","Em dia"))))</f>
        <v/>
      </c>
      <c r="T91" s="28" t="str">
        <f aca="false">IF(COUNT(E91,G91,I91,K91,M91,O91)=0,"",MIN(IF(AND(E91&lt;&gt;"",F91=""),E91,99999),IF(AND(G91&lt;&gt;"",H91=""),G91,99999),IF(AND(I91&lt;&gt;"",J91=""),I91,99999),IF(AND(K91&lt;&gt;"",L91=""),K91,99999),IF(AND(M91&lt;&gt;"",N91=""),M91,99999),IF(AND(O91&lt;&gt;"",P91=""),O91,99999)))</f>
        <v/>
      </c>
    </row>
    <row r="92" customFormat="false" ht="15" hidden="false" customHeight="false" outlineLevel="0" collapsed="false">
      <c r="A92" s="20" t="n">
        <v>87</v>
      </c>
      <c r="B92" s="21"/>
      <c r="C92" s="21"/>
      <c r="D92" s="22"/>
      <c r="E92" s="23" t="str">
        <f aca="false">IF(OR(NOT(ISNUMBER($D92)),Config!$G$6&lt;&gt;"Sim"),"",$D92+Config!$F$6+IF(AND(Config!$F$6&gt;0,WEEKDAY($D92+Config!$F$6)=Config!$E$24),1,0))</f>
        <v/>
      </c>
      <c r="F92" s="24"/>
      <c r="G92" s="23" t="str">
        <f aca="false">IF(OR(NOT(ISNUMBER($D92)),Config!$G$7&lt;&gt;"Sim"),"",$D92+Config!$F$7+IF(AND(Config!$F$7&gt;0,WEEKDAY($D92+Config!$F$7)=Config!$E$24),1,0))</f>
        <v/>
      </c>
      <c r="H92" s="24"/>
      <c r="I92" s="23" t="str">
        <f aca="false">IF(OR(NOT(ISNUMBER($D92)),Config!$G$8&lt;&gt;"Sim"),"",$D92+Config!$F$8+IF(AND(Config!$F$8&gt;0,WEEKDAY($D92+Config!$F$8)=Config!$E$24),1,0))</f>
        <v/>
      </c>
      <c r="J92" s="24"/>
      <c r="K92" s="23" t="str">
        <f aca="false">IF(OR(NOT(ISNUMBER($D92)),Config!$G$9&lt;&gt;"Sim"),"",$D92+Config!$F$9+IF(AND(Config!$F$9&gt;0,WEEKDAY($D92+Config!$F$9)=Config!$E$24),1,0))</f>
        <v/>
      </c>
      <c r="L92" s="24"/>
      <c r="M92" s="23" t="str">
        <f aca="false">IF(OR(NOT(ISNUMBER($D92)),Config!$G$10&lt;&gt;"Sim"),"",$D92+Config!$F$10+IF(AND(Config!$F$10&gt;0,WEEKDAY($D92+Config!$F$10)=Config!$E$24),1,0))</f>
        <v/>
      </c>
      <c r="N92" s="24"/>
      <c r="O92" s="23" t="str">
        <f aca="false">IF(OR(NOT(ISNUMBER($D92)),Config!$G$11&lt;&gt;"Sim"),"",$D92+Config!$F$11+IF(AND(Config!$F$11&gt;0,WEEKDAY($D92+Config!$F$11)=Config!$E$24),1,0))</f>
        <v/>
      </c>
      <c r="P92" s="24"/>
      <c r="Q92" s="25" t="str">
        <f aca="false">IF(COUNT(E92,G92,I92,K92,M92,O92)=0,"",((E92&lt;&gt;"")*(F92&lt;&gt;"")+(G92&lt;&gt;"")*(H92&lt;&gt;"")+(I92&lt;&gt;"")*(J92&lt;&gt;"")+(K92&lt;&gt;"")*(L92&lt;&gt;"")+(M92&lt;&gt;"")*(N92&lt;&gt;"")+(O92&lt;&gt;"")*(P92&lt;&gt;""))/COUNT(E92,G92,I92,K92,M92,O92))</f>
        <v/>
      </c>
      <c r="R92" s="26" t="str">
        <f aca="false">IF(T92="","",IF(T92=99999,"",T92))</f>
        <v/>
      </c>
      <c r="S92" s="27" t="str">
        <f aca="true">IF(T92="","",IF(T92=99999,"Concluído",IF(T92&lt;TODAY(),"Atrasado",IF(T92=TODAY(),"Hoje","Em dia"))))</f>
        <v/>
      </c>
      <c r="T92" s="28" t="str">
        <f aca="false">IF(COUNT(E92,G92,I92,K92,M92,O92)=0,"",MIN(IF(AND(E92&lt;&gt;"",F92=""),E92,99999),IF(AND(G92&lt;&gt;"",H92=""),G92,99999),IF(AND(I92&lt;&gt;"",J92=""),I92,99999),IF(AND(K92&lt;&gt;"",L92=""),K92,99999),IF(AND(M92&lt;&gt;"",N92=""),M92,99999),IF(AND(O92&lt;&gt;"",P92=""),O92,99999)))</f>
        <v/>
      </c>
    </row>
    <row r="93" customFormat="false" ht="15" hidden="false" customHeight="false" outlineLevel="0" collapsed="false">
      <c r="A93" s="20" t="n">
        <v>88</v>
      </c>
      <c r="B93" s="21"/>
      <c r="C93" s="21"/>
      <c r="D93" s="22"/>
      <c r="E93" s="23" t="str">
        <f aca="false">IF(OR(NOT(ISNUMBER($D93)),Config!$G$6&lt;&gt;"Sim"),"",$D93+Config!$F$6+IF(AND(Config!$F$6&gt;0,WEEKDAY($D93+Config!$F$6)=Config!$E$24),1,0))</f>
        <v/>
      </c>
      <c r="F93" s="24"/>
      <c r="G93" s="23" t="str">
        <f aca="false">IF(OR(NOT(ISNUMBER($D93)),Config!$G$7&lt;&gt;"Sim"),"",$D93+Config!$F$7+IF(AND(Config!$F$7&gt;0,WEEKDAY($D93+Config!$F$7)=Config!$E$24),1,0))</f>
        <v/>
      </c>
      <c r="H93" s="24"/>
      <c r="I93" s="23" t="str">
        <f aca="false">IF(OR(NOT(ISNUMBER($D93)),Config!$G$8&lt;&gt;"Sim"),"",$D93+Config!$F$8+IF(AND(Config!$F$8&gt;0,WEEKDAY($D93+Config!$F$8)=Config!$E$24),1,0))</f>
        <v/>
      </c>
      <c r="J93" s="24"/>
      <c r="K93" s="23" t="str">
        <f aca="false">IF(OR(NOT(ISNUMBER($D93)),Config!$G$9&lt;&gt;"Sim"),"",$D93+Config!$F$9+IF(AND(Config!$F$9&gt;0,WEEKDAY($D93+Config!$F$9)=Config!$E$24),1,0))</f>
        <v/>
      </c>
      <c r="L93" s="24"/>
      <c r="M93" s="23" t="str">
        <f aca="false">IF(OR(NOT(ISNUMBER($D93)),Config!$G$10&lt;&gt;"Sim"),"",$D93+Config!$F$10+IF(AND(Config!$F$10&gt;0,WEEKDAY($D93+Config!$F$10)=Config!$E$24),1,0))</f>
        <v/>
      </c>
      <c r="N93" s="24"/>
      <c r="O93" s="23" t="str">
        <f aca="false">IF(OR(NOT(ISNUMBER($D93)),Config!$G$11&lt;&gt;"Sim"),"",$D93+Config!$F$11+IF(AND(Config!$F$11&gt;0,WEEKDAY($D93+Config!$F$11)=Config!$E$24),1,0))</f>
        <v/>
      </c>
      <c r="P93" s="24"/>
      <c r="Q93" s="25" t="str">
        <f aca="false">IF(COUNT(E93,G93,I93,K93,M93,O93)=0,"",((E93&lt;&gt;"")*(F93&lt;&gt;"")+(G93&lt;&gt;"")*(H93&lt;&gt;"")+(I93&lt;&gt;"")*(J93&lt;&gt;"")+(K93&lt;&gt;"")*(L93&lt;&gt;"")+(M93&lt;&gt;"")*(N93&lt;&gt;"")+(O93&lt;&gt;"")*(P93&lt;&gt;""))/COUNT(E93,G93,I93,K93,M93,O93))</f>
        <v/>
      </c>
      <c r="R93" s="26" t="str">
        <f aca="false">IF(T93="","",IF(T93=99999,"",T93))</f>
        <v/>
      </c>
      <c r="S93" s="27" t="str">
        <f aca="true">IF(T93="","",IF(T93=99999,"Concluído",IF(T93&lt;TODAY(),"Atrasado",IF(T93=TODAY(),"Hoje","Em dia"))))</f>
        <v/>
      </c>
      <c r="T93" s="28" t="str">
        <f aca="false">IF(COUNT(E93,G93,I93,K93,M93,O93)=0,"",MIN(IF(AND(E93&lt;&gt;"",F93=""),E93,99999),IF(AND(G93&lt;&gt;"",H93=""),G93,99999),IF(AND(I93&lt;&gt;"",J93=""),I93,99999),IF(AND(K93&lt;&gt;"",L93=""),K93,99999),IF(AND(M93&lt;&gt;"",N93=""),M93,99999),IF(AND(O93&lt;&gt;"",P93=""),O93,99999)))</f>
        <v/>
      </c>
    </row>
    <row r="94" customFormat="false" ht="15" hidden="false" customHeight="false" outlineLevel="0" collapsed="false">
      <c r="A94" s="20" t="n">
        <v>89</v>
      </c>
      <c r="B94" s="21"/>
      <c r="C94" s="21"/>
      <c r="D94" s="22"/>
      <c r="E94" s="23" t="str">
        <f aca="false">IF(OR(NOT(ISNUMBER($D94)),Config!$G$6&lt;&gt;"Sim"),"",$D94+Config!$F$6+IF(AND(Config!$F$6&gt;0,WEEKDAY($D94+Config!$F$6)=Config!$E$24),1,0))</f>
        <v/>
      </c>
      <c r="F94" s="24"/>
      <c r="G94" s="23" t="str">
        <f aca="false">IF(OR(NOT(ISNUMBER($D94)),Config!$G$7&lt;&gt;"Sim"),"",$D94+Config!$F$7+IF(AND(Config!$F$7&gt;0,WEEKDAY($D94+Config!$F$7)=Config!$E$24),1,0))</f>
        <v/>
      </c>
      <c r="H94" s="24"/>
      <c r="I94" s="23" t="str">
        <f aca="false">IF(OR(NOT(ISNUMBER($D94)),Config!$G$8&lt;&gt;"Sim"),"",$D94+Config!$F$8+IF(AND(Config!$F$8&gt;0,WEEKDAY($D94+Config!$F$8)=Config!$E$24),1,0))</f>
        <v/>
      </c>
      <c r="J94" s="24"/>
      <c r="K94" s="23" t="str">
        <f aca="false">IF(OR(NOT(ISNUMBER($D94)),Config!$G$9&lt;&gt;"Sim"),"",$D94+Config!$F$9+IF(AND(Config!$F$9&gt;0,WEEKDAY($D94+Config!$F$9)=Config!$E$24),1,0))</f>
        <v/>
      </c>
      <c r="L94" s="24"/>
      <c r="M94" s="23" t="str">
        <f aca="false">IF(OR(NOT(ISNUMBER($D94)),Config!$G$10&lt;&gt;"Sim"),"",$D94+Config!$F$10+IF(AND(Config!$F$10&gt;0,WEEKDAY($D94+Config!$F$10)=Config!$E$24),1,0))</f>
        <v/>
      </c>
      <c r="N94" s="24"/>
      <c r="O94" s="23" t="str">
        <f aca="false">IF(OR(NOT(ISNUMBER($D94)),Config!$G$11&lt;&gt;"Sim"),"",$D94+Config!$F$11+IF(AND(Config!$F$11&gt;0,WEEKDAY($D94+Config!$F$11)=Config!$E$24),1,0))</f>
        <v/>
      </c>
      <c r="P94" s="24"/>
      <c r="Q94" s="25" t="str">
        <f aca="false">IF(COUNT(E94,G94,I94,K94,M94,O94)=0,"",((E94&lt;&gt;"")*(F94&lt;&gt;"")+(G94&lt;&gt;"")*(H94&lt;&gt;"")+(I94&lt;&gt;"")*(J94&lt;&gt;"")+(K94&lt;&gt;"")*(L94&lt;&gt;"")+(M94&lt;&gt;"")*(N94&lt;&gt;"")+(O94&lt;&gt;"")*(P94&lt;&gt;""))/COUNT(E94,G94,I94,K94,M94,O94))</f>
        <v/>
      </c>
      <c r="R94" s="26" t="str">
        <f aca="false">IF(T94="","",IF(T94=99999,"",T94))</f>
        <v/>
      </c>
      <c r="S94" s="27" t="str">
        <f aca="true">IF(T94="","",IF(T94=99999,"Concluído",IF(T94&lt;TODAY(),"Atrasado",IF(T94=TODAY(),"Hoje","Em dia"))))</f>
        <v/>
      </c>
      <c r="T94" s="28" t="str">
        <f aca="false">IF(COUNT(E94,G94,I94,K94,M94,O94)=0,"",MIN(IF(AND(E94&lt;&gt;"",F94=""),E94,99999),IF(AND(G94&lt;&gt;"",H94=""),G94,99999),IF(AND(I94&lt;&gt;"",J94=""),I94,99999),IF(AND(K94&lt;&gt;"",L94=""),K94,99999),IF(AND(M94&lt;&gt;"",N94=""),M94,99999),IF(AND(O94&lt;&gt;"",P94=""),O94,99999)))</f>
        <v/>
      </c>
    </row>
    <row r="95" customFormat="false" ht="15" hidden="false" customHeight="false" outlineLevel="0" collapsed="false">
      <c r="A95" s="20" t="n">
        <v>90</v>
      </c>
      <c r="B95" s="21"/>
      <c r="C95" s="21"/>
      <c r="D95" s="22"/>
      <c r="E95" s="23" t="str">
        <f aca="false">IF(OR(NOT(ISNUMBER($D95)),Config!$G$6&lt;&gt;"Sim"),"",$D95+Config!$F$6+IF(AND(Config!$F$6&gt;0,WEEKDAY($D95+Config!$F$6)=Config!$E$24),1,0))</f>
        <v/>
      </c>
      <c r="F95" s="24"/>
      <c r="G95" s="23" t="str">
        <f aca="false">IF(OR(NOT(ISNUMBER($D95)),Config!$G$7&lt;&gt;"Sim"),"",$D95+Config!$F$7+IF(AND(Config!$F$7&gt;0,WEEKDAY($D95+Config!$F$7)=Config!$E$24),1,0))</f>
        <v/>
      </c>
      <c r="H95" s="24"/>
      <c r="I95" s="23" t="str">
        <f aca="false">IF(OR(NOT(ISNUMBER($D95)),Config!$G$8&lt;&gt;"Sim"),"",$D95+Config!$F$8+IF(AND(Config!$F$8&gt;0,WEEKDAY($D95+Config!$F$8)=Config!$E$24),1,0))</f>
        <v/>
      </c>
      <c r="J95" s="24"/>
      <c r="K95" s="23" t="str">
        <f aca="false">IF(OR(NOT(ISNUMBER($D95)),Config!$G$9&lt;&gt;"Sim"),"",$D95+Config!$F$9+IF(AND(Config!$F$9&gt;0,WEEKDAY($D95+Config!$F$9)=Config!$E$24),1,0))</f>
        <v/>
      </c>
      <c r="L95" s="24"/>
      <c r="M95" s="23" t="str">
        <f aca="false">IF(OR(NOT(ISNUMBER($D95)),Config!$G$10&lt;&gt;"Sim"),"",$D95+Config!$F$10+IF(AND(Config!$F$10&gt;0,WEEKDAY($D95+Config!$F$10)=Config!$E$24),1,0))</f>
        <v/>
      </c>
      <c r="N95" s="24"/>
      <c r="O95" s="23" t="str">
        <f aca="false">IF(OR(NOT(ISNUMBER($D95)),Config!$G$11&lt;&gt;"Sim"),"",$D95+Config!$F$11+IF(AND(Config!$F$11&gt;0,WEEKDAY($D95+Config!$F$11)=Config!$E$24),1,0))</f>
        <v/>
      </c>
      <c r="P95" s="24"/>
      <c r="Q95" s="25" t="str">
        <f aca="false">IF(COUNT(E95,G95,I95,K95,M95,O95)=0,"",((E95&lt;&gt;"")*(F95&lt;&gt;"")+(G95&lt;&gt;"")*(H95&lt;&gt;"")+(I95&lt;&gt;"")*(J95&lt;&gt;"")+(K95&lt;&gt;"")*(L95&lt;&gt;"")+(M95&lt;&gt;"")*(N95&lt;&gt;"")+(O95&lt;&gt;"")*(P95&lt;&gt;""))/COUNT(E95,G95,I95,K95,M95,O95))</f>
        <v/>
      </c>
      <c r="R95" s="26" t="str">
        <f aca="false">IF(T95="","",IF(T95=99999,"",T95))</f>
        <v/>
      </c>
      <c r="S95" s="27" t="str">
        <f aca="true">IF(T95="","",IF(T95=99999,"Concluído",IF(T95&lt;TODAY(),"Atrasado",IF(T95=TODAY(),"Hoje","Em dia"))))</f>
        <v/>
      </c>
      <c r="T95" s="28" t="str">
        <f aca="false">IF(COUNT(E95,G95,I95,K95,M95,O95)=0,"",MIN(IF(AND(E95&lt;&gt;"",F95=""),E95,99999),IF(AND(G95&lt;&gt;"",H95=""),G95,99999),IF(AND(I95&lt;&gt;"",J95=""),I95,99999),IF(AND(K95&lt;&gt;"",L95=""),K95,99999),IF(AND(M95&lt;&gt;"",N95=""),M95,99999),IF(AND(O95&lt;&gt;"",P95=""),O95,99999)))</f>
        <v/>
      </c>
    </row>
    <row r="96" customFormat="false" ht="15" hidden="false" customHeight="false" outlineLevel="0" collapsed="false">
      <c r="A96" s="20" t="n">
        <v>91</v>
      </c>
      <c r="B96" s="21"/>
      <c r="C96" s="21"/>
      <c r="D96" s="22"/>
      <c r="E96" s="23" t="str">
        <f aca="false">IF(OR(NOT(ISNUMBER($D96)),Config!$G$6&lt;&gt;"Sim"),"",$D96+Config!$F$6+IF(AND(Config!$F$6&gt;0,WEEKDAY($D96+Config!$F$6)=Config!$E$24),1,0))</f>
        <v/>
      </c>
      <c r="F96" s="24"/>
      <c r="G96" s="23" t="str">
        <f aca="false">IF(OR(NOT(ISNUMBER($D96)),Config!$G$7&lt;&gt;"Sim"),"",$D96+Config!$F$7+IF(AND(Config!$F$7&gt;0,WEEKDAY($D96+Config!$F$7)=Config!$E$24),1,0))</f>
        <v/>
      </c>
      <c r="H96" s="24"/>
      <c r="I96" s="23" t="str">
        <f aca="false">IF(OR(NOT(ISNUMBER($D96)),Config!$G$8&lt;&gt;"Sim"),"",$D96+Config!$F$8+IF(AND(Config!$F$8&gt;0,WEEKDAY($D96+Config!$F$8)=Config!$E$24),1,0))</f>
        <v/>
      </c>
      <c r="J96" s="24"/>
      <c r="K96" s="23" t="str">
        <f aca="false">IF(OR(NOT(ISNUMBER($D96)),Config!$G$9&lt;&gt;"Sim"),"",$D96+Config!$F$9+IF(AND(Config!$F$9&gt;0,WEEKDAY($D96+Config!$F$9)=Config!$E$24),1,0))</f>
        <v/>
      </c>
      <c r="L96" s="24"/>
      <c r="M96" s="23" t="str">
        <f aca="false">IF(OR(NOT(ISNUMBER($D96)),Config!$G$10&lt;&gt;"Sim"),"",$D96+Config!$F$10+IF(AND(Config!$F$10&gt;0,WEEKDAY($D96+Config!$F$10)=Config!$E$24),1,0))</f>
        <v/>
      </c>
      <c r="N96" s="24"/>
      <c r="O96" s="23" t="str">
        <f aca="false">IF(OR(NOT(ISNUMBER($D96)),Config!$G$11&lt;&gt;"Sim"),"",$D96+Config!$F$11+IF(AND(Config!$F$11&gt;0,WEEKDAY($D96+Config!$F$11)=Config!$E$24),1,0))</f>
        <v/>
      </c>
      <c r="P96" s="24"/>
      <c r="Q96" s="25" t="str">
        <f aca="false">IF(COUNT(E96,G96,I96,K96,M96,O96)=0,"",((E96&lt;&gt;"")*(F96&lt;&gt;"")+(G96&lt;&gt;"")*(H96&lt;&gt;"")+(I96&lt;&gt;"")*(J96&lt;&gt;"")+(K96&lt;&gt;"")*(L96&lt;&gt;"")+(M96&lt;&gt;"")*(N96&lt;&gt;"")+(O96&lt;&gt;"")*(P96&lt;&gt;""))/COUNT(E96,G96,I96,K96,M96,O96))</f>
        <v/>
      </c>
      <c r="R96" s="26" t="str">
        <f aca="false">IF(T96="","",IF(T96=99999,"",T96))</f>
        <v/>
      </c>
      <c r="S96" s="27" t="str">
        <f aca="true">IF(T96="","",IF(T96=99999,"Concluído",IF(T96&lt;TODAY(),"Atrasado",IF(T96=TODAY(),"Hoje","Em dia"))))</f>
        <v/>
      </c>
      <c r="T96" s="28" t="str">
        <f aca="false">IF(COUNT(E96,G96,I96,K96,M96,O96)=0,"",MIN(IF(AND(E96&lt;&gt;"",F96=""),E96,99999),IF(AND(G96&lt;&gt;"",H96=""),G96,99999),IF(AND(I96&lt;&gt;"",J96=""),I96,99999),IF(AND(K96&lt;&gt;"",L96=""),K96,99999),IF(AND(M96&lt;&gt;"",N96=""),M96,99999),IF(AND(O96&lt;&gt;"",P96=""),O96,99999)))</f>
        <v/>
      </c>
    </row>
    <row r="97" customFormat="false" ht="15" hidden="false" customHeight="false" outlineLevel="0" collapsed="false">
      <c r="A97" s="20" t="n">
        <v>92</v>
      </c>
      <c r="B97" s="21"/>
      <c r="C97" s="21"/>
      <c r="D97" s="22"/>
      <c r="E97" s="23" t="str">
        <f aca="false">IF(OR(NOT(ISNUMBER($D97)),Config!$G$6&lt;&gt;"Sim"),"",$D97+Config!$F$6+IF(AND(Config!$F$6&gt;0,WEEKDAY($D97+Config!$F$6)=Config!$E$24),1,0))</f>
        <v/>
      </c>
      <c r="F97" s="24"/>
      <c r="G97" s="23" t="str">
        <f aca="false">IF(OR(NOT(ISNUMBER($D97)),Config!$G$7&lt;&gt;"Sim"),"",$D97+Config!$F$7+IF(AND(Config!$F$7&gt;0,WEEKDAY($D97+Config!$F$7)=Config!$E$24),1,0))</f>
        <v/>
      </c>
      <c r="H97" s="24"/>
      <c r="I97" s="23" t="str">
        <f aca="false">IF(OR(NOT(ISNUMBER($D97)),Config!$G$8&lt;&gt;"Sim"),"",$D97+Config!$F$8+IF(AND(Config!$F$8&gt;0,WEEKDAY($D97+Config!$F$8)=Config!$E$24),1,0))</f>
        <v/>
      </c>
      <c r="J97" s="24"/>
      <c r="K97" s="23" t="str">
        <f aca="false">IF(OR(NOT(ISNUMBER($D97)),Config!$G$9&lt;&gt;"Sim"),"",$D97+Config!$F$9+IF(AND(Config!$F$9&gt;0,WEEKDAY($D97+Config!$F$9)=Config!$E$24),1,0))</f>
        <v/>
      </c>
      <c r="L97" s="24"/>
      <c r="M97" s="23" t="str">
        <f aca="false">IF(OR(NOT(ISNUMBER($D97)),Config!$G$10&lt;&gt;"Sim"),"",$D97+Config!$F$10+IF(AND(Config!$F$10&gt;0,WEEKDAY($D97+Config!$F$10)=Config!$E$24),1,0))</f>
        <v/>
      </c>
      <c r="N97" s="24"/>
      <c r="O97" s="23" t="str">
        <f aca="false">IF(OR(NOT(ISNUMBER($D97)),Config!$G$11&lt;&gt;"Sim"),"",$D97+Config!$F$11+IF(AND(Config!$F$11&gt;0,WEEKDAY($D97+Config!$F$11)=Config!$E$24),1,0))</f>
        <v/>
      </c>
      <c r="P97" s="24"/>
      <c r="Q97" s="25" t="str">
        <f aca="false">IF(COUNT(E97,G97,I97,K97,M97,O97)=0,"",((E97&lt;&gt;"")*(F97&lt;&gt;"")+(G97&lt;&gt;"")*(H97&lt;&gt;"")+(I97&lt;&gt;"")*(J97&lt;&gt;"")+(K97&lt;&gt;"")*(L97&lt;&gt;"")+(M97&lt;&gt;"")*(N97&lt;&gt;"")+(O97&lt;&gt;"")*(P97&lt;&gt;""))/COUNT(E97,G97,I97,K97,M97,O97))</f>
        <v/>
      </c>
      <c r="R97" s="26" t="str">
        <f aca="false">IF(T97="","",IF(T97=99999,"",T97))</f>
        <v/>
      </c>
      <c r="S97" s="27" t="str">
        <f aca="true">IF(T97="","",IF(T97=99999,"Concluído",IF(T97&lt;TODAY(),"Atrasado",IF(T97=TODAY(),"Hoje","Em dia"))))</f>
        <v/>
      </c>
      <c r="T97" s="28" t="str">
        <f aca="false">IF(COUNT(E97,G97,I97,K97,M97,O97)=0,"",MIN(IF(AND(E97&lt;&gt;"",F97=""),E97,99999),IF(AND(G97&lt;&gt;"",H97=""),G97,99999),IF(AND(I97&lt;&gt;"",J97=""),I97,99999),IF(AND(K97&lt;&gt;"",L97=""),K97,99999),IF(AND(M97&lt;&gt;"",N97=""),M97,99999),IF(AND(O97&lt;&gt;"",P97=""),O97,99999)))</f>
        <v/>
      </c>
    </row>
    <row r="98" customFormat="false" ht="15" hidden="false" customHeight="false" outlineLevel="0" collapsed="false">
      <c r="A98" s="20" t="n">
        <v>93</v>
      </c>
      <c r="B98" s="21"/>
      <c r="C98" s="21"/>
      <c r="D98" s="22"/>
      <c r="E98" s="23" t="str">
        <f aca="false">IF(OR(NOT(ISNUMBER($D98)),Config!$G$6&lt;&gt;"Sim"),"",$D98+Config!$F$6+IF(AND(Config!$F$6&gt;0,WEEKDAY($D98+Config!$F$6)=Config!$E$24),1,0))</f>
        <v/>
      </c>
      <c r="F98" s="24"/>
      <c r="G98" s="23" t="str">
        <f aca="false">IF(OR(NOT(ISNUMBER($D98)),Config!$G$7&lt;&gt;"Sim"),"",$D98+Config!$F$7+IF(AND(Config!$F$7&gt;0,WEEKDAY($D98+Config!$F$7)=Config!$E$24),1,0))</f>
        <v/>
      </c>
      <c r="H98" s="24"/>
      <c r="I98" s="23" t="str">
        <f aca="false">IF(OR(NOT(ISNUMBER($D98)),Config!$G$8&lt;&gt;"Sim"),"",$D98+Config!$F$8+IF(AND(Config!$F$8&gt;0,WEEKDAY($D98+Config!$F$8)=Config!$E$24),1,0))</f>
        <v/>
      </c>
      <c r="J98" s="24"/>
      <c r="K98" s="23" t="str">
        <f aca="false">IF(OR(NOT(ISNUMBER($D98)),Config!$G$9&lt;&gt;"Sim"),"",$D98+Config!$F$9+IF(AND(Config!$F$9&gt;0,WEEKDAY($D98+Config!$F$9)=Config!$E$24),1,0))</f>
        <v/>
      </c>
      <c r="L98" s="24"/>
      <c r="M98" s="23" t="str">
        <f aca="false">IF(OR(NOT(ISNUMBER($D98)),Config!$G$10&lt;&gt;"Sim"),"",$D98+Config!$F$10+IF(AND(Config!$F$10&gt;0,WEEKDAY($D98+Config!$F$10)=Config!$E$24),1,0))</f>
        <v/>
      </c>
      <c r="N98" s="24"/>
      <c r="O98" s="23" t="str">
        <f aca="false">IF(OR(NOT(ISNUMBER($D98)),Config!$G$11&lt;&gt;"Sim"),"",$D98+Config!$F$11+IF(AND(Config!$F$11&gt;0,WEEKDAY($D98+Config!$F$11)=Config!$E$24),1,0))</f>
        <v/>
      </c>
      <c r="P98" s="24"/>
      <c r="Q98" s="25" t="str">
        <f aca="false">IF(COUNT(E98,G98,I98,K98,M98,O98)=0,"",((E98&lt;&gt;"")*(F98&lt;&gt;"")+(G98&lt;&gt;"")*(H98&lt;&gt;"")+(I98&lt;&gt;"")*(J98&lt;&gt;"")+(K98&lt;&gt;"")*(L98&lt;&gt;"")+(M98&lt;&gt;"")*(N98&lt;&gt;"")+(O98&lt;&gt;"")*(P98&lt;&gt;""))/COUNT(E98,G98,I98,K98,M98,O98))</f>
        <v/>
      </c>
      <c r="R98" s="26" t="str">
        <f aca="false">IF(T98="","",IF(T98=99999,"",T98))</f>
        <v/>
      </c>
      <c r="S98" s="27" t="str">
        <f aca="true">IF(T98="","",IF(T98=99999,"Concluído",IF(T98&lt;TODAY(),"Atrasado",IF(T98=TODAY(),"Hoje","Em dia"))))</f>
        <v/>
      </c>
      <c r="T98" s="28" t="str">
        <f aca="false">IF(COUNT(E98,G98,I98,K98,M98,O98)=0,"",MIN(IF(AND(E98&lt;&gt;"",F98=""),E98,99999),IF(AND(G98&lt;&gt;"",H98=""),G98,99999),IF(AND(I98&lt;&gt;"",J98=""),I98,99999),IF(AND(K98&lt;&gt;"",L98=""),K98,99999),IF(AND(M98&lt;&gt;"",N98=""),M98,99999),IF(AND(O98&lt;&gt;"",P98=""),O98,99999)))</f>
        <v/>
      </c>
    </row>
    <row r="99" customFormat="false" ht="15" hidden="false" customHeight="false" outlineLevel="0" collapsed="false">
      <c r="A99" s="20" t="n">
        <v>94</v>
      </c>
      <c r="B99" s="21"/>
      <c r="C99" s="21"/>
      <c r="D99" s="22"/>
      <c r="E99" s="23" t="str">
        <f aca="false">IF(OR(NOT(ISNUMBER($D99)),Config!$G$6&lt;&gt;"Sim"),"",$D99+Config!$F$6+IF(AND(Config!$F$6&gt;0,WEEKDAY($D99+Config!$F$6)=Config!$E$24),1,0))</f>
        <v/>
      </c>
      <c r="F99" s="24"/>
      <c r="G99" s="23" t="str">
        <f aca="false">IF(OR(NOT(ISNUMBER($D99)),Config!$G$7&lt;&gt;"Sim"),"",$D99+Config!$F$7+IF(AND(Config!$F$7&gt;0,WEEKDAY($D99+Config!$F$7)=Config!$E$24),1,0))</f>
        <v/>
      </c>
      <c r="H99" s="24"/>
      <c r="I99" s="23" t="str">
        <f aca="false">IF(OR(NOT(ISNUMBER($D99)),Config!$G$8&lt;&gt;"Sim"),"",$D99+Config!$F$8+IF(AND(Config!$F$8&gt;0,WEEKDAY($D99+Config!$F$8)=Config!$E$24),1,0))</f>
        <v/>
      </c>
      <c r="J99" s="24"/>
      <c r="K99" s="23" t="str">
        <f aca="false">IF(OR(NOT(ISNUMBER($D99)),Config!$G$9&lt;&gt;"Sim"),"",$D99+Config!$F$9+IF(AND(Config!$F$9&gt;0,WEEKDAY($D99+Config!$F$9)=Config!$E$24),1,0))</f>
        <v/>
      </c>
      <c r="L99" s="24"/>
      <c r="M99" s="23" t="str">
        <f aca="false">IF(OR(NOT(ISNUMBER($D99)),Config!$G$10&lt;&gt;"Sim"),"",$D99+Config!$F$10+IF(AND(Config!$F$10&gt;0,WEEKDAY($D99+Config!$F$10)=Config!$E$24),1,0))</f>
        <v/>
      </c>
      <c r="N99" s="24"/>
      <c r="O99" s="23" t="str">
        <f aca="false">IF(OR(NOT(ISNUMBER($D99)),Config!$G$11&lt;&gt;"Sim"),"",$D99+Config!$F$11+IF(AND(Config!$F$11&gt;0,WEEKDAY($D99+Config!$F$11)=Config!$E$24),1,0))</f>
        <v/>
      </c>
      <c r="P99" s="24"/>
      <c r="Q99" s="25" t="str">
        <f aca="false">IF(COUNT(E99,G99,I99,K99,M99,O99)=0,"",((E99&lt;&gt;"")*(F99&lt;&gt;"")+(G99&lt;&gt;"")*(H99&lt;&gt;"")+(I99&lt;&gt;"")*(J99&lt;&gt;"")+(K99&lt;&gt;"")*(L99&lt;&gt;"")+(M99&lt;&gt;"")*(N99&lt;&gt;"")+(O99&lt;&gt;"")*(P99&lt;&gt;""))/COUNT(E99,G99,I99,K99,M99,O99))</f>
        <v/>
      </c>
      <c r="R99" s="26" t="str">
        <f aca="false">IF(T99="","",IF(T99=99999,"",T99))</f>
        <v/>
      </c>
      <c r="S99" s="27" t="str">
        <f aca="true">IF(T99="","",IF(T99=99999,"Concluído",IF(T99&lt;TODAY(),"Atrasado",IF(T99=TODAY(),"Hoje","Em dia"))))</f>
        <v/>
      </c>
      <c r="T99" s="28" t="str">
        <f aca="false">IF(COUNT(E99,G99,I99,K99,M99,O99)=0,"",MIN(IF(AND(E99&lt;&gt;"",F99=""),E99,99999),IF(AND(G99&lt;&gt;"",H99=""),G99,99999),IF(AND(I99&lt;&gt;"",J99=""),I99,99999),IF(AND(K99&lt;&gt;"",L99=""),K99,99999),IF(AND(M99&lt;&gt;"",N99=""),M99,99999),IF(AND(O99&lt;&gt;"",P99=""),O99,99999)))</f>
        <v/>
      </c>
    </row>
    <row r="100" customFormat="false" ht="15" hidden="false" customHeight="false" outlineLevel="0" collapsed="false">
      <c r="A100" s="20" t="n">
        <v>95</v>
      </c>
      <c r="B100" s="21"/>
      <c r="C100" s="21"/>
      <c r="D100" s="22"/>
      <c r="E100" s="23" t="str">
        <f aca="false">IF(OR(NOT(ISNUMBER($D100)),Config!$G$6&lt;&gt;"Sim"),"",$D100+Config!$F$6+IF(AND(Config!$F$6&gt;0,WEEKDAY($D100+Config!$F$6)=Config!$E$24),1,0))</f>
        <v/>
      </c>
      <c r="F100" s="24"/>
      <c r="G100" s="23" t="str">
        <f aca="false">IF(OR(NOT(ISNUMBER($D100)),Config!$G$7&lt;&gt;"Sim"),"",$D100+Config!$F$7+IF(AND(Config!$F$7&gt;0,WEEKDAY($D100+Config!$F$7)=Config!$E$24),1,0))</f>
        <v/>
      </c>
      <c r="H100" s="24"/>
      <c r="I100" s="23" t="str">
        <f aca="false">IF(OR(NOT(ISNUMBER($D100)),Config!$G$8&lt;&gt;"Sim"),"",$D100+Config!$F$8+IF(AND(Config!$F$8&gt;0,WEEKDAY($D100+Config!$F$8)=Config!$E$24),1,0))</f>
        <v/>
      </c>
      <c r="J100" s="24"/>
      <c r="K100" s="23" t="str">
        <f aca="false">IF(OR(NOT(ISNUMBER($D100)),Config!$G$9&lt;&gt;"Sim"),"",$D100+Config!$F$9+IF(AND(Config!$F$9&gt;0,WEEKDAY($D100+Config!$F$9)=Config!$E$24),1,0))</f>
        <v/>
      </c>
      <c r="L100" s="24"/>
      <c r="M100" s="23" t="str">
        <f aca="false">IF(OR(NOT(ISNUMBER($D100)),Config!$G$10&lt;&gt;"Sim"),"",$D100+Config!$F$10+IF(AND(Config!$F$10&gt;0,WEEKDAY($D100+Config!$F$10)=Config!$E$24),1,0))</f>
        <v/>
      </c>
      <c r="N100" s="24"/>
      <c r="O100" s="23" t="str">
        <f aca="false">IF(OR(NOT(ISNUMBER($D100)),Config!$G$11&lt;&gt;"Sim"),"",$D100+Config!$F$11+IF(AND(Config!$F$11&gt;0,WEEKDAY($D100+Config!$F$11)=Config!$E$24),1,0))</f>
        <v/>
      </c>
      <c r="P100" s="24"/>
      <c r="Q100" s="25" t="str">
        <f aca="false">IF(COUNT(E100,G100,I100,K100,M100,O100)=0,"",((E100&lt;&gt;"")*(F100&lt;&gt;"")+(G100&lt;&gt;"")*(H100&lt;&gt;"")+(I100&lt;&gt;"")*(J100&lt;&gt;"")+(K100&lt;&gt;"")*(L100&lt;&gt;"")+(M100&lt;&gt;"")*(N100&lt;&gt;"")+(O100&lt;&gt;"")*(P100&lt;&gt;""))/COUNT(E100,G100,I100,K100,M100,O100))</f>
        <v/>
      </c>
      <c r="R100" s="26" t="str">
        <f aca="false">IF(T100="","",IF(T100=99999,"",T100))</f>
        <v/>
      </c>
      <c r="S100" s="27" t="str">
        <f aca="true">IF(T100="","",IF(T100=99999,"Concluído",IF(T100&lt;TODAY(),"Atrasado",IF(T100=TODAY(),"Hoje","Em dia"))))</f>
        <v/>
      </c>
      <c r="T100" s="28" t="str">
        <f aca="false">IF(COUNT(E100,G100,I100,K100,M100,O100)=0,"",MIN(IF(AND(E100&lt;&gt;"",F100=""),E100,99999),IF(AND(G100&lt;&gt;"",H100=""),G100,99999),IF(AND(I100&lt;&gt;"",J100=""),I100,99999),IF(AND(K100&lt;&gt;"",L100=""),K100,99999),IF(AND(M100&lt;&gt;"",N100=""),M100,99999),IF(AND(O100&lt;&gt;"",P100=""),O100,99999)))</f>
        <v/>
      </c>
    </row>
    <row r="101" customFormat="false" ht="15" hidden="false" customHeight="false" outlineLevel="0" collapsed="false">
      <c r="A101" s="20" t="n">
        <v>96</v>
      </c>
      <c r="B101" s="21"/>
      <c r="C101" s="21"/>
      <c r="D101" s="22"/>
      <c r="E101" s="23" t="str">
        <f aca="false">IF(OR(NOT(ISNUMBER($D101)),Config!$G$6&lt;&gt;"Sim"),"",$D101+Config!$F$6+IF(AND(Config!$F$6&gt;0,WEEKDAY($D101+Config!$F$6)=Config!$E$24),1,0))</f>
        <v/>
      </c>
      <c r="F101" s="24"/>
      <c r="G101" s="23" t="str">
        <f aca="false">IF(OR(NOT(ISNUMBER($D101)),Config!$G$7&lt;&gt;"Sim"),"",$D101+Config!$F$7+IF(AND(Config!$F$7&gt;0,WEEKDAY($D101+Config!$F$7)=Config!$E$24),1,0))</f>
        <v/>
      </c>
      <c r="H101" s="24"/>
      <c r="I101" s="23" t="str">
        <f aca="false">IF(OR(NOT(ISNUMBER($D101)),Config!$G$8&lt;&gt;"Sim"),"",$D101+Config!$F$8+IF(AND(Config!$F$8&gt;0,WEEKDAY($D101+Config!$F$8)=Config!$E$24),1,0))</f>
        <v/>
      </c>
      <c r="J101" s="24"/>
      <c r="K101" s="23" t="str">
        <f aca="false">IF(OR(NOT(ISNUMBER($D101)),Config!$G$9&lt;&gt;"Sim"),"",$D101+Config!$F$9+IF(AND(Config!$F$9&gt;0,WEEKDAY($D101+Config!$F$9)=Config!$E$24),1,0))</f>
        <v/>
      </c>
      <c r="L101" s="24"/>
      <c r="M101" s="23" t="str">
        <f aca="false">IF(OR(NOT(ISNUMBER($D101)),Config!$G$10&lt;&gt;"Sim"),"",$D101+Config!$F$10+IF(AND(Config!$F$10&gt;0,WEEKDAY($D101+Config!$F$10)=Config!$E$24),1,0))</f>
        <v/>
      </c>
      <c r="N101" s="24"/>
      <c r="O101" s="23" t="str">
        <f aca="false">IF(OR(NOT(ISNUMBER($D101)),Config!$G$11&lt;&gt;"Sim"),"",$D101+Config!$F$11+IF(AND(Config!$F$11&gt;0,WEEKDAY($D101+Config!$F$11)=Config!$E$24),1,0))</f>
        <v/>
      </c>
      <c r="P101" s="24"/>
      <c r="Q101" s="25" t="str">
        <f aca="false">IF(COUNT(E101,G101,I101,K101,M101,O101)=0,"",((E101&lt;&gt;"")*(F101&lt;&gt;"")+(G101&lt;&gt;"")*(H101&lt;&gt;"")+(I101&lt;&gt;"")*(J101&lt;&gt;"")+(K101&lt;&gt;"")*(L101&lt;&gt;"")+(M101&lt;&gt;"")*(N101&lt;&gt;"")+(O101&lt;&gt;"")*(P101&lt;&gt;""))/COUNT(E101,G101,I101,K101,M101,O101))</f>
        <v/>
      </c>
      <c r="R101" s="26" t="str">
        <f aca="false">IF(T101="","",IF(T101=99999,"",T101))</f>
        <v/>
      </c>
      <c r="S101" s="27" t="str">
        <f aca="true">IF(T101="","",IF(T101=99999,"Concluído",IF(T101&lt;TODAY(),"Atrasado",IF(T101=TODAY(),"Hoje","Em dia"))))</f>
        <v/>
      </c>
      <c r="T101" s="28" t="str">
        <f aca="false">IF(COUNT(E101,G101,I101,K101,M101,O101)=0,"",MIN(IF(AND(E101&lt;&gt;"",F101=""),E101,99999),IF(AND(G101&lt;&gt;"",H101=""),G101,99999),IF(AND(I101&lt;&gt;"",J101=""),I101,99999),IF(AND(K101&lt;&gt;"",L101=""),K101,99999),IF(AND(M101&lt;&gt;"",N101=""),M101,99999),IF(AND(O101&lt;&gt;"",P101=""),O101,99999)))</f>
        <v/>
      </c>
    </row>
    <row r="102" customFormat="false" ht="15" hidden="false" customHeight="false" outlineLevel="0" collapsed="false">
      <c r="A102" s="20" t="n">
        <v>97</v>
      </c>
      <c r="B102" s="21"/>
      <c r="C102" s="21"/>
      <c r="D102" s="22"/>
      <c r="E102" s="23" t="str">
        <f aca="false">IF(OR(NOT(ISNUMBER($D102)),Config!$G$6&lt;&gt;"Sim"),"",$D102+Config!$F$6+IF(AND(Config!$F$6&gt;0,WEEKDAY($D102+Config!$F$6)=Config!$E$24),1,0))</f>
        <v/>
      </c>
      <c r="F102" s="24"/>
      <c r="G102" s="23" t="str">
        <f aca="false">IF(OR(NOT(ISNUMBER($D102)),Config!$G$7&lt;&gt;"Sim"),"",$D102+Config!$F$7+IF(AND(Config!$F$7&gt;0,WEEKDAY($D102+Config!$F$7)=Config!$E$24),1,0))</f>
        <v/>
      </c>
      <c r="H102" s="24"/>
      <c r="I102" s="23" t="str">
        <f aca="false">IF(OR(NOT(ISNUMBER($D102)),Config!$G$8&lt;&gt;"Sim"),"",$D102+Config!$F$8+IF(AND(Config!$F$8&gt;0,WEEKDAY($D102+Config!$F$8)=Config!$E$24),1,0))</f>
        <v/>
      </c>
      <c r="J102" s="24"/>
      <c r="K102" s="23" t="str">
        <f aca="false">IF(OR(NOT(ISNUMBER($D102)),Config!$G$9&lt;&gt;"Sim"),"",$D102+Config!$F$9+IF(AND(Config!$F$9&gt;0,WEEKDAY($D102+Config!$F$9)=Config!$E$24),1,0))</f>
        <v/>
      </c>
      <c r="L102" s="24"/>
      <c r="M102" s="23" t="str">
        <f aca="false">IF(OR(NOT(ISNUMBER($D102)),Config!$G$10&lt;&gt;"Sim"),"",$D102+Config!$F$10+IF(AND(Config!$F$10&gt;0,WEEKDAY($D102+Config!$F$10)=Config!$E$24),1,0))</f>
        <v/>
      </c>
      <c r="N102" s="24"/>
      <c r="O102" s="23" t="str">
        <f aca="false">IF(OR(NOT(ISNUMBER($D102)),Config!$G$11&lt;&gt;"Sim"),"",$D102+Config!$F$11+IF(AND(Config!$F$11&gt;0,WEEKDAY($D102+Config!$F$11)=Config!$E$24),1,0))</f>
        <v/>
      </c>
      <c r="P102" s="24"/>
      <c r="Q102" s="25" t="str">
        <f aca="false">IF(COUNT(E102,G102,I102,K102,M102,O102)=0,"",((E102&lt;&gt;"")*(F102&lt;&gt;"")+(G102&lt;&gt;"")*(H102&lt;&gt;"")+(I102&lt;&gt;"")*(J102&lt;&gt;"")+(K102&lt;&gt;"")*(L102&lt;&gt;"")+(M102&lt;&gt;"")*(N102&lt;&gt;"")+(O102&lt;&gt;"")*(P102&lt;&gt;""))/COUNT(E102,G102,I102,K102,M102,O102))</f>
        <v/>
      </c>
      <c r="R102" s="26" t="str">
        <f aca="false">IF(T102="","",IF(T102=99999,"",T102))</f>
        <v/>
      </c>
      <c r="S102" s="27" t="str">
        <f aca="true">IF(T102="","",IF(T102=99999,"Concluído",IF(T102&lt;TODAY(),"Atrasado",IF(T102=TODAY(),"Hoje","Em dia"))))</f>
        <v/>
      </c>
      <c r="T102" s="28" t="str">
        <f aca="false">IF(COUNT(E102,G102,I102,K102,M102,O102)=0,"",MIN(IF(AND(E102&lt;&gt;"",F102=""),E102,99999),IF(AND(G102&lt;&gt;"",H102=""),G102,99999),IF(AND(I102&lt;&gt;"",J102=""),I102,99999),IF(AND(K102&lt;&gt;"",L102=""),K102,99999),IF(AND(M102&lt;&gt;"",N102=""),M102,99999),IF(AND(O102&lt;&gt;"",P102=""),O102,99999)))</f>
        <v/>
      </c>
    </row>
    <row r="103" customFormat="false" ht="15" hidden="false" customHeight="false" outlineLevel="0" collapsed="false">
      <c r="A103" s="20" t="n">
        <v>98</v>
      </c>
      <c r="B103" s="21"/>
      <c r="C103" s="21"/>
      <c r="D103" s="22"/>
      <c r="E103" s="23" t="str">
        <f aca="false">IF(OR(NOT(ISNUMBER($D103)),Config!$G$6&lt;&gt;"Sim"),"",$D103+Config!$F$6+IF(AND(Config!$F$6&gt;0,WEEKDAY($D103+Config!$F$6)=Config!$E$24),1,0))</f>
        <v/>
      </c>
      <c r="F103" s="24"/>
      <c r="G103" s="23" t="str">
        <f aca="false">IF(OR(NOT(ISNUMBER($D103)),Config!$G$7&lt;&gt;"Sim"),"",$D103+Config!$F$7+IF(AND(Config!$F$7&gt;0,WEEKDAY($D103+Config!$F$7)=Config!$E$24),1,0))</f>
        <v/>
      </c>
      <c r="H103" s="24"/>
      <c r="I103" s="23" t="str">
        <f aca="false">IF(OR(NOT(ISNUMBER($D103)),Config!$G$8&lt;&gt;"Sim"),"",$D103+Config!$F$8+IF(AND(Config!$F$8&gt;0,WEEKDAY($D103+Config!$F$8)=Config!$E$24),1,0))</f>
        <v/>
      </c>
      <c r="J103" s="24"/>
      <c r="K103" s="23" t="str">
        <f aca="false">IF(OR(NOT(ISNUMBER($D103)),Config!$G$9&lt;&gt;"Sim"),"",$D103+Config!$F$9+IF(AND(Config!$F$9&gt;0,WEEKDAY($D103+Config!$F$9)=Config!$E$24),1,0))</f>
        <v/>
      </c>
      <c r="L103" s="24"/>
      <c r="M103" s="23" t="str">
        <f aca="false">IF(OR(NOT(ISNUMBER($D103)),Config!$G$10&lt;&gt;"Sim"),"",$D103+Config!$F$10+IF(AND(Config!$F$10&gt;0,WEEKDAY($D103+Config!$F$10)=Config!$E$24),1,0))</f>
        <v/>
      </c>
      <c r="N103" s="24"/>
      <c r="O103" s="23" t="str">
        <f aca="false">IF(OR(NOT(ISNUMBER($D103)),Config!$G$11&lt;&gt;"Sim"),"",$D103+Config!$F$11+IF(AND(Config!$F$11&gt;0,WEEKDAY($D103+Config!$F$11)=Config!$E$24),1,0))</f>
        <v/>
      </c>
      <c r="P103" s="24"/>
      <c r="Q103" s="25" t="str">
        <f aca="false">IF(COUNT(E103,G103,I103,K103,M103,O103)=0,"",((E103&lt;&gt;"")*(F103&lt;&gt;"")+(G103&lt;&gt;"")*(H103&lt;&gt;"")+(I103&lt;&gt;"")*(J103&lt;&gt;"")+(K103&lt;&gt;"")*(L103&lt;&gt;"")+(M103&lt;&gt;"")*(N103&lt;&gt;"")+(O103&lt;&gt;"")*(P103&lt;&gt;""))/COUNT(E103,G103,I103,K103,M103,O103))</f>
        <v/>
      </c>
      <c r="R103" s="26" t="str">
        <f aca="false">IF(T103="","",IF(T103=99999,"",T103))</f>
        <v/>
      </c>
      <c r="S103" s="27" t="str">
        <f aca="true">IF(T103="","",IF(T103=99999,"Concluído",IF(T103&lt;TODAY(),"Atrasado",IF(T103=TODAY(),"Hoje","Em dia"))))</f>
        <v/>
      </c>
      <c r="T103" s="28" t="str">
        <f aca="false">IF(COUNT(E103,G103,I103,K103,M103,O103)=0,"",MIN(IF(AND(E103&lt;&gt;"",F103=""),E103,99999),IF(AND(G103&lt;&gt;"",H103=""),G103,99999),IF(AND(I103&lt;&gt;"",J103=""),I103,99999),IF(AND(K103&lt;&gt;"",L103=""),K103,99999),IF(AND(M103&lt;&gt;"",N103=""),M103,99999),IF(AND(O103&lt;&gt;"",P103=""),O103,99999)))</f>
        <v/>
      </c>
    </row>
    <row r="104" customFormat="false" ht="15" hidden="false" customHeight="false" outlineLevel="0" collapsed="false">
      <c r="A104" s="20" t="n">
        <v>99</v>
      </c>
      <c r="B104" s="21"/>
      <c r="C104" s="21"/>
      <c r="D104" s="22"/>
      <c r="E104" s="23" t="str">
        <f aca="false">IF(OR(NOT(ISNUMBER($D104)),Config!$G$6&lt;&gt;"Sim"),"",$D104+Config!$F$6+IF(AND(Config!$F$6&gt;0,WEEKDAY($D104+Config!$F$6)=Config!$E$24),1,0))</f>
        <v/>
      </c>
      <c r="F104" s="24"/>
      <c r="G104" s="23" t="str">
        <f aca="false">IF(OR(NOT(ISNUMBER($D104)),Config!$G$7&lt;&gt;"Sim"),"",$D104+Config!$F$7+IF(AND(Config!$F$7&gt;0,WEEKDAY($D104+Config!$F$7)=Config!$E$24),1,0))</f>
        <v/>
      </c>
      <c r="H104" s="24"/>
      <c r="I104" s="23" t="str">
        <f aca="false">IF(OR(NOT(ISNUMBER($D104)),Config!$G$8&lt;&gt;"Sim"),"",$D104+Config!$F$8+IF(AND(Config!$F$8&gt;0,WEEKDAY($D104+Config!$F$8)=Config!$E$24),1,0))</f>
        <v/>
      </c>
      <c r="J104" s="24"/>
      <c r="K104" s="23" t="str">
        <f aca="false">IF(OR(NOT(ISNUMBER($D104)),Config!$G$9&lt;&gt;"Sim"),"",$D104+Config!$F$9+IF(AND(Config!$F$9&gt;0,WEEKDAY($D104+Config!$F$9)=Config!$E$24),1,0))</f>
        <v/>
      </c>
      <c r="L104" s="24"/>
      <c r="M104" s="23" t="str">
        <f aca="false">IF(OR(NOT(ISNUMBER($D104)),Config!$G$10&lt;&gt;"Sim"),"",$D104+Config!$F$10+IF(AND(Config!$F$10&gt;0,WEEKDAY($D104+Config!$F$10)=Config!$E$24),1,0))</f>
        <v/>
      </c>
      <c r="N104" s="24"/>
      <c r="O104" s="23" t="str">
        <f aca="false">IF(OR(NOT(ISNUMBER($D104)),Config!$G$11&lt;&gt;"Sim"),"",$D104+Config!$F$11+IF(AND(Config!$F$11&gt;0,WEEKDAY($D104+Config!$F$11)=Config!$E$24),1,0))</f>
        <v/>
      </c>
      <c r="P104" s="24"/>
      <c r="Q104" s="25" t="str">
        <f aca="false">IF(COUNT(E104,G104,I104,K104,M104,O104)=0,"",((E104&lt;&gt;"")*(F104&lt;&gt;"")+(G104&lt;&gt;"")*(H104&lt;&gt;"")+(I104&lt;&gt;"")*(J104&lt;&gt;"")+(K104&lt;&gt;"")*(L104&lt;&gt;"")+(M104&lt;&gt;"")*(N104&lt;&gt;"")+(O104&lt;&gt;"")*(P104&lt;&gt;""))/COUNT(E104,G104,I104,K104,M104,O104))</f>
        <v/>
      </c>
      <c r="R104" s="26" t="str">
        <f aca="false">IF(T104="","",IF(T104=99999,"",T104))</f>
        <v/>
      </c>
      <c r="S104" s="27" t="str">
        <f aca="true">IF(T104="","",IF(T104=99999,"Concluído",IF(T104&lt;TODAY(),"Atrasado",IF(T104=TODAY(),"Hoje","Em dia"))))</f>
        <v/>
      </c>
      <c r="T104" s="28" t="str">
        <f aca="false">IF(COUNT(E104,G104,I104,K104,M104,O104)=0,"",MIN(IF(AND(E104&lt;&gt;"",F104=""),E104,99999),IF(AND(G104&lt;&gt;"",H104=""),G104,99999),IF(AND(I104&lt;&gt;"",J104=""),I104,99999),IF(AND(K104&lt;&gt;"",L104=""),K104,99999),IF(AND(M104&lt;&gt;"",N104=""),M104,99999),IF(AND(O104&lt;&gt;"",P104=""),O104,99999)))</f>
        <v/>
      </c>
    </row>
    <row r="105" customFormat="false" ht="15" hidden="false" customHeight="false" outlineLevel="0" collapsed="false">
      <c r="A105" s="20" t="n">
        <v>100</v>
      </c>
      <c r="B105" s="21"/>
      <c r="C105" s="21"/>
      <c r="D105" s="22"/>
      <c r="E105" s="23" t="str">
        <f aca="false">IF(OR(NOT(ISNUMBER($D105)),Config!$G$6&lt;&gt;"Sim"),"",$D105+Config!$F$6+IF(AND(Config!$F$6&gt;0,WEEKDAY($D105+Config!$F$6)=Config!$E$24),1,0))</f>
        <v/>
      </c>
      <c r="F105" s="24"/>
      <c r="G105" s="23" t="str">
        <f aca="false">IF(OR(NOT(ISNUMBER($D105)),Config!$G$7&lt;&gt;"Sim"),"",$D105+Config!$F$7+IF(AND(Config!$F$7&gt;0,WEEKDAY($D105+Config!$F$7)=Config!$E$24),1,0))</f>
        <v/>
      </c>
      <c r="H105" s="24"/>
      <c r="I105" s="23" t="str">
        <f aca="false">IF(OR(NOT(ISNUMBER($D105)),Config!$G$8&lt;&gt;"Sim"),"",$D105+Config!$F$8+IF(AND(Config!$F$8&gt;0,WEEKDAY($D105+Config!$F$8)=Config!$E$24),1,0))</f>
        <v/>
      </c>
      <c r="J105" s="24"/>
      <c r="K105" s="23" t="str">
        <f aca="false">IF(OR(NOT(ISNUMBER($D105)),Config!$G$9&lt;&gt;"Sim"),"",$D105+Config!$F$9+IF(AND(Config!$F$9&gt;0,WEEKDAY($D105+Config!$F$9)=Config!$E$24),1,0))</f>
        <v/>
      </c>
      <c r="L105" s="24"/>
      <c r="M105" s="23" t="str">
        <f aca="false">IF(OR(NOT(ISNUMBER($D105)),Config!$G$10&lt;&gt;"Sim"),"",$D105+Config!$F$10+IF(AND(Config!$F$10&gt;0,WEEKDAY($D105+Config!$F$10)=Config!$E$24),1,0))</f>
        <v/>
      </c>
      <c r="N105" s="24"/>
      <c r="O105" s="23" t="str">
        <f aca="false">IF(OR(NOT(ISNUMBER($D105)),Config!$G$11&lt;&gt;"Sim"),"",$D105+Config!$F$11+IF(AND(Config!$F$11&gt;0,WEEKDAY($D105+Config!$F$11)=Config!$E$24),1,0))</f>
        <v/>
      </c>
      <c r="P105" s="24"/>
      <c r="Q105" s="25" t="str">
        <f aca="false">IF(COUNT(E105,G105,I105,K105,M105,O105)=0,"",((E105&lt;&gt;"")*(F105&lt;&gt;"")+(G105&lt;&gt;"")*(H105&lt;&gt;"")+(I105&lt;&gt;"")*(J105&lt;&gt;"")+(K105&lt;&gt;"")*(L105&lt;&gt;"")+(M105&lt;&gt;"")*(N105&lt;&gt;"")+(O105&lt;&gt;"")*(P105&lt;&gt;""))/COUNT(E105,G105,I105,K105,M105,O105))</f>
        <v/>
      </c>
      <c r="R105" s="26" t="str">
        <f aca="false">IF(T105="","",IF(T105=99999,"",T105))</f>
        <v/>
      </c>
      <c r="S105" s="27" t="str">
        <f aca="true">IF(T105="","",IF(T105=99999,"Concluído",IF(T105&lt;TODAY(),"Atrasado",IF(T105=TODAY(),"Hoje","Em dia"))))</f>
        <v/>
      </c>
      <c r="T105" s="28" t="str">
        <f aca="false">IF(COUNT(E105,G105,I105,K105,M105,O105)=0,"",MIN(IF(AND(E105&lt;&gt;"",F105=""),E105,99999),IF(AND(G105&lt;&gt;"",H105=""),G105,99999),IF(AND(I105&lt;&gt;"",J105=""),I105,99999),IF(AND(K105&lt;&gt;"",L105=""),K105,99999),IF(AND(M105&lt;&gt;"",N105=""),M105,99999),IF(AND(O105&lt;&gt;"",P105=""),O105,99999)))</f>
        <v/>
      </c>
    </row>
    <row r="106" customFormat="false" ht="15" hidden="false" customHeight="false" outlineLevel="0" collapsed="false">
      <c r="A106" s="20" t="n">
        <v>101</v>
      </c>
      <c r="B106" s="21"/>
      <c r="C106" s="21"/>
      <c r="D106" s="22"/>
      <c r="E106" s="23" t="str">
        <f aca="false">IF(OR(NOT(ISNUMBER($D106)),Config!$G$6&lt;&gt;"Sim"),"",$D106+Config!$F$6+IF(AND(Config!$F$6&gt;0,WEEKDAY($D106+Config!$F$6)=Config!$E$24),1,0))</f>
        <v/>
      </c>
      <c r="F106" s="24"/>
      <c r="G106" s="23" t="str">
        <f aca="false">IF(OR(NOT(ISNUMBER($D106)),Config!$G$7&lt;&gt;"Sim"),"",$D106+Config!$F$7+IF(AND(Config!$F$7&gt;0,WEEKDAY($D106+Config!$F$7)=Config!$E$24),1,0))</f>
        <v/>
      </c>
      <c r="H106" s="24"/>
      <c r="I106" s="23" t="str">
        <f aca="false">IF(OR(NOT(ISNUMBER($D106)),Config!$G$8&lt;&gt;"Sim"),"",$D106+Config!$F$8+IF(AND(Config!$F$8&gt;0,WEEKDAY($D106+Config!$F$8)=Config!$E$24),1,0))</f>
        <v/>
      </c>
      <c r="J106" s="24"/>
      <c r="K106" s="23" t="str">
        <f aca="false">IF(OR(NOT(ISNUMBER($D106)),Config!$G$9&lt;&gt;"Sim"),"",$D106+Config!$F$9+IF(AND(Config!$F$9&gt;0,WEEKDAY($D106+Config!$F$9)=Config!$E$24),1,0))</f>
        <v/>
      </c>
      <c r="L106" s="24"/>
      <c r="M106" s="23" t="str">
        <f aca="false">IF(OR(NOT(ISNUMBER($D106)),Config!$G$10&lt;&gt;"Sim"),"",$D106+Config!$F$10+IF(AND(Config!$F$10&gt;0,WEEKDAY($D106+Config!$F$10)=Config!$E$24),1,0))</f>
        <v/>
      </c>
      <c r="N106" s="24"/>
      <c r="O106" s="23" t="str">
        <f aca="false">IF(OR(NOT(ISNUMBER($D106)),Config!$G$11&lt;&gt;"Sim"),"",$D106+Config!$F$11+IF(AND(Config!$F$11&gt;0,WEEKDAY($D106+Config!$F$11)=Config!$E$24),1,0))</f>
        <v/>
      </c>
      <c r="P106" s="24"/>
      <c r="Q106" s="25" t="str">
        <f aca="false">IF(COUNT(E106,G106,I106,K106,M106,O106)=0,"",((E106&lt;&gt;"")*(F106&lt;&gt;"")+(G106&lt;&gt;"")*(H106&lt;&gt;"")+(I106&lt;&gt;"")*(J106&lt;&gt;"")+(K106&lt;&gt;"")*(L106&lt;&gt;"")+(M106&lt;&gt;"")*(N106&lt;&gt;"")+(O106&lt;&gt;"")*(P106&lt;&gt;""))/COUNT(E106,G106,I106,K106,M106,O106))</f>
        <v/>
      </c>
      <c r="R106" s="26" t="str">
        <f aca="false">IF(T106="","",IF(T106=99999,"",T106))</f>
        <v/>
      </c>
      <c r="S106" s="27" t="str">
        <f aca="true">IF(T106="","",IF(T106=99999,"Concluído",IF(T106&lt;TODAY(),"Atrasado",IF(T106=TODAY(),"Hoje","Em dia"))))</f>
        <v/>
      </c>
      <c r="T106" s="28" t="str">
        <f aca="false">IF(COUNT(E106,G106,I106,K106,M106,O106)=0,"",MIN(IF(AND(E106&lt;&gt;"",F106=""),E106,99999),IF(AND(G106&lt;&gt;"",H106=""),G106,99999),IF(AND(I106&lt;&gt;"",J106=""),I106,99999),IF(AND(K106&lt;&gt;"",L106=""),K106,99999),IF(AND(M106&lt;&gt;"",N106=""),M106,99999),IF(AND(O106&lt;&gt;"",P106=""),O106,99999)))</f>
        <v/>
      </c>
    </row>
    <row r="107" customFormat="false" ht="15" hidden="false" customHeight="false" outlineLevel="0" collapsed="false">
      <c r="A107" s="20" t="n">
        <v>102</v>
      </c>
      <c r="B107" s="21"/>
      <c r="C107" s="21"/>
      <c r="D107" s="22"/>
      <c r="E107" s="23" t="str">
        <f aca="false">IF(OR(NOT(ISNUMBER($D107)),Config!$G$6&lt;&gt;"Sim"),"",$D107+Config!$F$6+IF(AND(Config!$F$6&gt;0,WEEKDAY($D107+Config!$F$6)=Config!$E$24),1,0))</f>
        <v/>
      </c>
      <c r="F107" s="24"/>
      <c r="G107" s="23" t="str">
        <f aca="false">IF(OR(NOT(ISNUMBER($D107)),Config!$G$7&lt;&gt;"Sim"),"",$D107+Config!$F$7+IF(AND(Config!$F$7&gt;0,WEEKDAY($D107+Config!$F$7)=Config!$E$24),1,0))</f>
        <v/>
      </c>
      <c r="H107" s="24"/>
      <c r="I107" s="23" t="str">
        <f aca="false">IF(OR(NOT(ISNUMBER($D107)),Config!$G$8&lt;&gt;"Sim"),"",$D107+Config!$F$8+IF(AND(Config!$F$8&gt;0,WEEKDAY($D107+Config!$F$8)=Config!$E$24),1,0))</f>
        <v/>
      </c>
      <c r="J107" s="24"/>
      <c r="K107" s="23" t="str">
        <f aca="false">IF(OR(NOT(ISNUMBER($D107)),Config!$G$9&lt;&gt;"Sim"),"",$D107+Config!$F$9+IF(AND(Config!$F$9&gt;0,WEEKDAY($D107+Config!$F$9)=Config!$E$24),1,0))</f>
        <v/>
      </c>
      <c r="L107" s="24"/>
      <c r="M107" s="23" t="str">
        <f aca="false">IF(OR(NOT(ISNUMBER($D107)),Config!$G$10&lt;&gt;"Sim"),"",$D107+Config!$F$10+IF(AND(Config!$F$10&gt;0,WEEKDAY($D107+Config!$F$10)=Config!$E$24),1,0))</f>
        <v/>
      </c>
      <c r="N107" s="24"/>
      <c r="O107" s="23" t="str">
        <f aca="false">IF(OR(NOT(ISNUMBER($D107)),Config!$G$11&lt;&gt;"Sim"),"",$D107+Config!$F$11+IF(AND(Config!$F$11&gt;0,WEEKDAY($D107+Config!$F$11)=Config!$E$24),1,0))</f>
        <v/>
      </c>
      <c r="P107" s="24"/>
      <c r="Q107" s="25" t="str">
        <f aca="false">IF(COUNT(E107,G107,I107,K107,M107,O107)=0,"",((E107&lt;&gt;"")*(F107&lt;&gt;"")+(G107&lt;&gt;"")*(H107&lt;&gt;"")+(I107&lt;&gt;"")*(J107&lt;&gt;"")+(K107&lt;&gt;"")*(L107&lt;&gt;"")+(M107&lt;&gt;"")*(N107&lt;&gt;"")+(O107&lt;&gt;"")*(P107&lt;&gt;""))/COUNT(E107,G107,I107,K107,M107,O107))</f>
        <v/>
      </c>
      <c r="R107" s="26" t="str">
        <f aca="false">IF(T107="","",IF(T107=99999,"",T107))</f>
        <v/>
      </c>
      <c r="S107" s="27" t="str">
        <f aca="true">IF(T107="","",IF(T107=99999,"Concluído",IF(T107&lt;TODAY(),"Atrasado",IF(T107=TODAY(),"Hoje","Em dia"))))</f>
        <v/>
      </c>
      <c r="T107" s="28" t="str">
        <f aca="false">IF(COUNT(E107,G107,I107,K107,M107,O107)=0,"",MIN(IF(AND(E107&lt;&gt;"",F107=""),E107,99999),IF(AND(G107&lt;&gt;"",H107=""),G107,99999),IF(AND(I107&lt;&gt;"",J107=""),I107,99999),IF(AND(K107&lt;&gt;"",L107=""),K107,99999),IF(AND(M107&lt;&gt;"",N107=""),M107,99999),IF(AND(O107&lt;&gt;"",P107=""),O107,99999)))</f>
        <v/>
      </c>
    </row>
    <row r="108" customFormat="false" ht="15" hidden="false" customHeight="false" outlineLevel="0" collapsed="false">
      <c r="A108" s="20" t="n">
        <v>103</v>
      </c>
      <c r="B108" s="21"/>
      <c r="C108" s="21"/>
      <c r="D108" s="22"/>
      <c r="E108" s="23" t="str">
        <f aca="false">IF(OR(NOT(ISNUMBER($D108)),Config!$G$6&lt;&gt;"Sim"),"",$D108+Config!$F$6+IF(AND(Config!$F$6&gt;0,WEEKDAY($D108+Config!$F$6)=Config!$E$24),1,0))</f>
        <v/>
      </c>
      <c r="F108" s="24"/>
      <c r="G108" s="23" t="str">
        <f aca="false">IF(OR(NOT(ISNUMBER($D108)),Config!$G$7&lt;&gt;"Sim"),"",$D108+Config!$F$7+IF(AND(Config!$F$7&gt;0,WEEKDAY($D108+Config!$F$7)=Config!$E$24),1,0))</f>
        <v/>
      </c>
      <c r="H108" s="24"/>
      <c r="I108" s="23" t="str">
        <f aca="false">IF(OR(NOT(ISNUMBER($D108)),Config!$G$8&lt;&gt;"Sim"),"",$D108+Config!$F$8+IF(AND(Config!$F$8&gt;0,WEEKDAY($D108+Config!$F$8)=Config!$E$24),1,0))</f>
        <v/>
      </c>
      <c r="J108" s="24"/>
      <c r="K108" s="23" t="str">
        <f aca="false">IF(OR(NOT(ISNUMBER($D108)),Config!$G$9&lt;&gt;"Sim"),"",$D108+Config!$F$9+IF(AND(Config!$F$9&gt;0,WEEKDAY($D108+Config!$F$9)=Config!$E$24),1,0))</f>
        <v/>
      </c>
      <c r="L108" s="24"/>
      <c r="M108" s="23" t="str">
        <f aca="false">IF(OR(NOT(ISNUMBER($D108)),Config!$G$10&lt;&gt;"Sim"),"",$D108+Config!$F$10+IF(AND(Config!$F$10&gt;0,WEEKDAY($D108+Config!$F$10)=Config!$E$24),1,0))</f>
        <v/>
      </c>
      <c r="N108" s="24"/>
      <c r="O108" s="23" t="str">
        <f aca="false">IF(OR(NOT(ISNUMBER($D108)),Config!$G$11&lt;&gt;"Sim"),"",$D108+Config!$F$11+IF(AND(Config!$F$11&gt;0,WEEKDAY($D108+Config!$F$11)=Config!$E$24),1,0))</f>
        <v/>
      </c>
      <c r="P108" s="24"/>
      <c r="Q108" s="25" t="str">
        <f aca="false">IF(COUNT(E108,G108,I108,K108,M108,O108)=0,"",((E108&lt;&gt;"")*(F108&lt;&gt;"")+(G108&lt;&gt;"")*(H108&lt;&gt;"")+(I108&lt;&gt;"")*(J108&lt;&gt;"")+(K108&lt;&gt;"")*(L108&lt;&gt;"")+(M108&lt;&gt;"")*(N108&lt;&gt;"")+(O108&lt;&gt;"")*(P108&lt;&gt;""))/COUNT(E108,G108,I108,K108,M108,O108))</f>
        <v/>
      </c>
      <c r="R108" s="26" t="str">
        <f aca="false">IF(T108="","",IF(T108=99999,"",T108))</f>
        <v/>
      </c>
      <c r="S108" s="27" t="str">
        <f aca="true">IF(T108="","",IF(T108=99999,"Concluído",IF(T108&lt;TODAY(),"Atrasado",IF(T108=TODAY(),"Hoje","Em dia"))))</f>
        <v/>
      </c>
      <c r="T108" s="28" t="str">
        <f aca="false">IF(COUNT(E108,G108,I108,K108,M108,O108)=0,"",MIN(IF(AND(E108&lt;&gt;"",F108=""),E108,99999),IF(AND(G108&lt;&gt;"",H108=""),G108,99999),IF(AND(I108&lt;&gt;"",J108=""),I108,99999),IF(AND(K108&lt;&gt;"",L108=""),K108,99999),IF(AND(M108&lt;&gt;"",N108=""),M108,99999),IF(AND(O108&lt;&gt;"",P108=""),O108,99999)))</f>
        <v/>
      </c>
    </row>
    <row r="109" customFormat="false" ht="15" hidden="false" customHeight="false" outlineLevel="0" collapsed="false">
      <c r="A109" s="20" t="n">
        <v>104</v>
      </c>
      <c r="B109" s="21"/>
      <c r="C109" s="21"/>
      <c r="D109" s="22"/>
      <c r="E109" s="23" t="str">
        <f aca="false">IF(OR(NOT(ISNUMBER($D109)),Config!$G$6&lt;&gt;"Sim"),"",$D109+Config!$F$6+IF(AND(Config!$F$6&gt;0,WEEKDAY($D109+Config!$F$6)=Config!$E$24),1,0))</f>
        <v/>
      </c>
      <c r="F109" s="24"/>
      <c r="G109" s="23" t="str">
        <f aca="false">IF(OR(NOT(ISNUMBER($D109)),Config!$G$7&lt;&gt;"Sim"),"",$D109+Config!$F$7+IF(AND(Config!$F$7&gt;0,WEEKDAY($D109+Config!$F$7)=Config!$E$24),1,0))</f>
        <v/>
      </c>
      <c r="H109" s="24"/>
      <c r="I109" s="23" t="str">
        <f aca="false">IF(OR(NOT(ISNUMBER($D109)),Config!$G$8&lt;&gt;"Sim"),"",$D109+Config!$F$8+IF(AND(Config!$F$8&gt;0,WEEKDAY($D109+Config!$F$8)=Config!$E$24),1,0))</f>
        <v/>
      </c>
      <c r="J109" s="24"/>
      <c r="K109" s="23" t="str">
        <f aca="false">IF(OR(NOT(ISNUMBER($D109)),Config!$G$9&lt;&gt;"Sim"),"",$D109+Config!$F$9+IF(AND(Config!$F$9&gt;0,WEEKDAY($D109+Config!$F$9)=Config!$E$24),1,0))</f>
        <v/>
      </c>
      <c r="L109" s="24"/>
      <c r="M109" s="23" t="str">
        <f aca="false">IF(OR(NOT(ISNUMBER($D109)),Config!$G$10&lt;&gt;"Sim"),"",$D109+Config!$F$10+IF(AND(Config!$F$10&gt;0,WEEKDAY($D109+Config!$F$10)=Config!$E$24),1,0))</f>
        <v/>
      </c>
      <c r="N109" s="24"/>
      <c r="O109" s="23" t="str">
        <f aca="false">IF(OR(NOT(ISNUMBER($D109)),Config!$G$11&lt;&gt;"Sim"),"",$D109+Config!$F$11+IF(AND(Config!$F$11&gt;0,WEEKDAY($D109+Config!$F$11)=Config!$E$24),1,0))</f>
        <v/>
      </c>
      <c r="P109" s="24"/>
      <c r="Q109" s="25" t="str">
        <f aca="false">IF(COUNT(E109,G109,I109,K109,M109,O109)=0,"",((E109&lt;&gt;"")*(F109&lt;&gt;"")+(G109&lt;&gt;"")*(H109&lt;&gt;"")+(I109&lt;&gt;"")*(J109&lt;&gt;"")+(K109&lt;&gt;"")*(L109&lt;&gt;"")+(M109&lt;&gt;"")*(N109&lt;&gt;"")+(O109&lt;&gt;"")*(P109&lt;&gt;""))/COUNT(E109,G109,I109,K109,M109,O109))</f>
        <v/>
      </c>
      <c r="R109" s="26" t="str">
        <f aca="false">IF(T109="","",IF(T109=99999,"",T109))</f>
        <v/>
      </c>
      <c r="S109" s="27" t="str">
        <f aca="true">IF(T109="","",IF(T109=99999,"Concluído",IF(T109&lt;TODAY(),"Atrasado",IF(T109=TODAY(),"Hoje","Em dia"))))</f>
        <v/>
      </c>
      <c r="T109" s="28" t="str">
        <f aca="false">IF(COUNT(E109,G109,I109,K109,M109,O109)=0,"",MIN(IF(AND(E109&lt;&gt;"",F109=""),E109,99999),IF(AND(G109&lt;&gt;"",H109=""),G109,99999),IF(AND(I109&lt;&gt;"",J109=""),I109,99999),IF(AND(K109&lt;&gt;"",L109=""),K109,99999),IF(AND(M109&lt;&gt;"",N109=""),M109,99999),IF(AND(O109&lt;&gt;"",P109=""),O109,99999)))</f>
        <v/>
      </c>
    </row>
    <row r="110" customFormat="false" ht="15" hidden="false" customHeight="false" outlineLevel="0" collapsed="false">
      <c r="A110" s="20" t="n">
        <v>105</v>
      </c>
      <c r="B110" s="21"/>
      <c r="C110" s="21"/>
      <c r="D110" s="22"/>
      <c r="E110" s="23" t="str">
        <f aca="false">IF(OR(NOT(ISNUMBER($D110)),Config!$G$6&lt;&gt;"Sim"),"",$D110+Config!$F$6+IF(AND(Config!$F$6&gt;0,WEEKDAY($D110+Config!$F$6)=Config!$E$24),1,0))</f>
        <v/>
      </c>
      <c r="F110" s="24"/>
      <c r="G110" s="23" t="str">
        <f aca="false">IF(OR(NOT(ISNUMBER($D110)),Config!$G$7&lt;&gt;"Sim"),"",$D110+Config!$F$7+IF(AND(Config!$F$7&gt;0,WEEKDAY($D110+Config!$F$7)=Config!$E$24),1,0))</f>
        <v/>
      </c>
      <c r="H110" s="24"/>
      <c r="I110" s="23" t="str">
        <f aca="false">IF(OR(NOT(ISNUMBER($D110)),Config!$G$8&lt;&gt;"Sim"),"",$D110+Config!$F$8+IF(AND(Config!$F$8&gt;0,WEEKDAY($D110+Config!$F$8)=Config!$E$24),1,0))</f>
        <v/>
      </c>
      <c r="J110" s="24"/>
      <c r="K110" s="23" t="str">
        <f aca="false">IF(OR(NOT(ISNUMBER($D110)),Config!$G$9&lt;&gt;"Sim"),"",$D110+Config!$F$9+IF(AND(Config!$F$9&gt;0,WEEKDAY($D110+Config!$F$9)=Config!$E$24),1,0))</f>
        <v/>
      </c>
      <c r="L110" s="24"/>
      <c r="M110" s="23" t="str">
        <f aca="false">IF(OR(NOT(ISNUMBER($D110)),Config!$G$10&lt;&gt;"Sim"),"",$D110+Config!$F$10+IF(AND(Config!$F$10&gt;0,WEEKDAY($D110+Config!$F$10)=Config!$E$24),1,0))</f>
        <v/>
      </c>
      <c r="N110" s="24"/>
      <c r="O110" s="23" t="str">
        <f aca="false">IF(OR(NOT(ISNUMBER($D110)),Config!$G$11&lt;&gt;"Sim"),"",$D110+Config!$F$11+IF(AND(Config!$F$11&gt;0,WEEKDAY($D110+Config!$F$11)=Config!$E$24),1,0))</f>
        <v/>
      </c>
      <c r="P110" s="24"/>
      <c r="Q110" s="25" t="str">
        <f aca="false">IF(COUNT(E110,G110,I110,K110,M110,O110)=0,"",((E110&lt;&gt;"")*(F110&lt;&gt;"")+(G110&lt;&gt;"")*(H110&lt;&gt;"")+(I110&lt;&gt;"")*(J110&lt;&gt;"")+(K110&lt;&gt;"")*(L110&lt;&gt;"")+(M110&lt;&gt;"")*(N110&lt;&gt;"")+(O110&lt;&gt;"")*(P110&lt;&gt;""))/COUNT(E110,G110,I110,K110,M110,O110))</f>
        <v/>
      </c>
      <c r="R110" s="26" t="str">
        <f aca="false">IF(T110="","",IF(T110=99999,"",T110))</f>
        <v/>
      </c>
      <c r="S110" s="27" t="str">
        <f aca="true">IF(T110="","",IF(T110=99999,"Concluído",IF(T110&lt;TODAY(),"Atrasado",IF(T110=TODAY(),"Hoje","Em dia"))))</f>
        <v/>
      </c>
      <c r="T110" s="28" t="str">
        <f aca="false">IF(COUNT(E110,G110,I110,K110,M110,O110)=0,"",MIN(IF(AND(E110&lt;&gt;"",F110=""),E110,99999),IF(AND(G110&lt;&gt;"",H110=""),G110,99999),IF(AND(I110&lt;&gt;"",J110=""),I110,99999),IF(AND(K110&lt;&gt;"",L110=""),K110,99999),IF(AND(M110&lt;&gt;"",N110=""),M110,99999),IF(AND(O110&lt;&gt;"",P110=""),O110,99999)))</f>
        <v/>
      </c>
    </row>
    <row r="111" customFormat="false" ht="15" hidden="false" customHeight="false" outlineLevel="0" collapsed="false">
      <c r="A111" s="20" t="n">
        <v>106</v>
      </c>
      <c r="B111" s="21"/>
      <c r="C111" s="21"/>
      <c r="D111" s="22"/>
      <c r="E111" s="23" t="str">
        <f aca="false">IF(OR(NOT(ISNUMBER($D111)),Config!$G$6&lt;&gt;"Sim"),"",$D111+Config!$F$6+IF(AND(Config!$F$6&gt;0,WEEKDAY($D111+Config!$F$6)=Config!$E$24),1,0))</f>
        <v/>
      </c>
      <c r="F111" s="24"/>
      <c r="G111" s="23" t="str">
        <f aca="false">IF(OR(NOT(ISNUMBER($D111)),Config!$G$7&lt;&gt;"Sim"),"",$D111+Config!$F$7+IF(AND(Config!$F$7&gt;0,WEEKDAY($D111+Config!$F$7)=Config!$E$24),1,0))</f>
        <v/>
      </c>
      <c r="H111" s="24"/>
      <c r="I111" s="23" t="str">
        <f aca="false">IF(OR(NOT(ISNUMBER($D111)),Config!$G$8&lt;&gt;"Sim"),"",$D111+Config!$F$8+IF(AND(Config!$F$8&gt;0,WEEKDAY($D111+Config!$F$8)=Config!$E$24),1,0))</f>
        <v/>
      </c>
      <c r="J111" s="24"/>
      <c r="K111" s="23" t="str">
        <f aca="false">IF(OR(NOT(ISNUMBER($D111)),Config!$G$9&lt;&gt;"Sim"),"",$D111+Config!$F$9+IF(AND(Config!$F$9&gt;0,WEEKDAY($D111+Config!$F$9)=Config!$E$24),1,0))</f>
        <v/>
      </c>
      <c r="L111" s="24"/>
      <c r="M111" s="23" t="str">
        <f aca="false">IF(OR(NOT(ISNUMBER($D111)),Config!$G$10&lt;&gt;"Sim"),"",$D111+Config!$F$10+IF(AND(Config!$F$10&gt;0,WEEKDAY($D111+Config!$F$10)=Config!$E$24),1,0))</f>
        <v/>
      </c>
      <c r="N111" s="24"/>
      <c r="O111" s="23" t="str">
        <f aca="false">IF(OR(NOT(ISNUMBER($D111)),Config!$G$11&lt;&gt;"Sim"),"",$D111+Config!$F$11+IF(AND(Config!$F$11&gt;0,WEEKDAY($D111+Config!$F$11)=Config!$E$24),1,0))</f>
        <v/>
      </c>
      <c r="P111" s="24"/>
      <c r="Q111" s="25" t="str">
        <f aca="false">IF(COUNT(E111,G111,I111,K111,M111,O111)=0,"",((E111&lt;&gt;"")*(F111&lt;&gt;"")+(G111&lt;&gt;"")*(H111&lt;&gt;"")+(I111&lt;&gt;"")*(J111&lt;&gt;"")+(K111&lt;&gt;"")*(L111&lt;&gt;"")+(M111&lt;&gt;"")*(N111&lt;&gt;"")+(O111&lt;&gt;"")*(P111&lt;&gt;""))/COUNT(E111,G111,I111,K111,M111,O111))</f>
        <v/>
      </c>
      <c r="R111" s="26" t="str">
        <f aca="false">IF(T111="","",IF(T111=99999,"",T111))</f>
        <v/>
      </c>
      <c r="S111" s="27" t="str">
        <f aca="true">IF(T111="","",IF(T111=99999,"Concluído",IF(T111&lt;TODAY(),"Atrasado",IF(T111=TODAY(),"Hoje","Em dia"))))</f>
        <v/>
      </c>
      <c r="T111" s="28" t="str">
        <f aca="false">IF(COUNT(E111,G111,I111,K111,M111,O111)=0,"",MIN(IF(AND(E111&lt;&gt;"",F111=""),E111,99999),IF(AND(G111&lt;&gt;"",H111=""),G111,99999),IF(AND(I111&lt;&gt;"",J111=""),I111,99999),IF(AND(K111&lt;&gt;"",L111=""),K111,99999),IF(AND(M111&lt;&gt;"",N111=""),M111,99999),IF(AND(O111&lt;&gt;"",P111=""),O111,99999)))</f>
        <v/>
      </c>
    </row>
    <row r="112" customFormat="false" ht="15" hidden="false" customHeight="false" outlineLevel="0" collapsed="false">
      <c r="A112" s="20" t="n">
        <v>107</v>
      </c>
      <c r="B112" s="21"/>
      <c r="C112" s="21"/>
      <c r="D112" s="22"/>
      <c r="E112" s="23" t="str">
        <f aca="false">IF(OR(NOT(ISNUMBER($D112)),Config!$G$6&lt;&gt;"Sim"),"",$D112+Config!$F$6+IF(AND(Config!$F$6&gt;0,WEEKDAY($D112+Config!$F$6)=Config!$E$24),1,0))</f>
        <v/>
      </c>
      <c r="F112" s="24"/>
      <c r="G112" s="23" t="str">
        <f aca="false">IF(OR(NOT(ISNUMBER($D112)),Config!$G$7&lt;&gt;"Sim"),"",$D112+Config!$F$7+IF(AND(Config!$F$7&gt;0,WEEKDAY($D112+Config!$F$7)=Config!$E$24),1,0))</f>
        <v/>
      </c>
      <c r="H112" s="24"/>
      <c r="I112" s="23" t="str">
        <f aca="false">IF(OR(NOT(ISNUMBER($D112)),Config!$G$8&lt;&gt;"Sim"),"",$D112+Config!$F$8+IF(AND(Config!$F$8&gt;0,WEEKDAY($D112+Config!$F$8)=Config!$E$24),1,0))</f>
        <v/>
      </c>
      <c r="J112" s="24"/>
      <c r="K112" s="23" t="str">
        <f aca="false">IF(OR(NOT(ISNUMBER($D112)),Config!$G$9&lt;&gt;"Sim"),"",$D112+Config!$F$9+IF(AND(Config!$F$9&gt;0,WEEKDAY($D112+Config!$F$9)=Config!$E$24),1,0))</f>
        <v/>
      </c>
      <c r="L112" s="24"/>
      <c r="M112" s="23" t="str">
        <f aca="false">IF(OR(NOT(ISNUMBER($D112)),Config!$G$10&lt;&gt;"Sim"),"",$D112+Config!$F$10+IF(AND(Config!$F$10&gt;0,WEEKDAY($D112+Config!$F$10)=Config!$E$24),1,0))</f>
        <v/>
      </c>
      <c r="N112" s="24"/>
      <c r="O112" s="23" t="str">
        <f aca="false">IF(OR(NOT(ISNUMBER($D112)),Config!$G$11&lt;&gt;"Sim"),"",$D112+Config!$F$11+IF(AND(Config!$F$11&gt;0,WEEKDAY($D112+Config!$F$11)=Config!$E$24),1,0))</f>
        <v/>
      </c>
      <c r="P112" s="24"/>
      <c r="Q112" s="25" t="str">
        <f aca="false">IF(COUNT(E112,G112,I112,K112,M112,O112)=0,"",((E112&lt;&gt;"")*(F112&lt;&gt;"")+(G112&lt;&gt;"")*(H112&lt;&gt;"")+(I112&lt;&gt;"")*(J112&lt;&gt;"")+(K112&lt;&gt;"")*(L112&lt;&gt;"")+(M112&lt;&gt;"")*(N112&lt;&gt;"")+(O112&lt;&gt;"")*(P112&lt;&gt;""))/COUNT(E112,G112,I112,K112,M112,O112))</f>
        <v/>
      </c>
      <c r="R112" s="26" t="str">
        <f aca="false">IF(T112="","",IF(T112=99999,"",T112))</f>
        <v/>
      </c>
      <c r="S112" s="27" t="str">
        <f aca="true">IF(T112="","",IF(T112=99999,"Concluído",IF(T112&lt;TODAY(),"Atrasado",IF(T112=TODAY(),"Hoje","Em dia"))))</f>
        <v/>
      </c>
      <c r="T112" s="28" t="str">
        <f aca="false">IF(COUNT(E112,G112,I112,K112,M112,O112)=0,"",MIN(IF(AND(E112&lt;&gt;"",F112=""),E112,99999),IF(AND(G112&lt;&gt;"",H112=""),G112,99999),IF(AND(I112&lt;&gt;"",J112=""),I112,99999),IF(AND(K112&lt;&gt;"",L112=""),K112,99999),IF(AND(M112&lt;&gt;"",N112=""),M112,99999),IF(AND(O112&lt;&gt;"",P112=""),O112,99999)))</f>
        <v/>
      </c>
    </row>
    <row r="113" customFormat="false" ht="15" hidden="false" customHeight="false" outlineLevel="0" collapsed="false">
      <c r="A113" s="20" t="n">
        <v>108</v>
      </c>
      <c r="B113" s="21"/>
      <c r="C113" s="21"/>
      <c r="D113" s="22"/>
      <c r="E113" s="23" t="str">
        <f aca="false">IF(OR(NOT(ISNUMBER($D113)),Config!$G$6&lt;&gt;"Sim"),"",$D113+Config!$F$6+IF(AND(Config!$F$6&gt;0,WEEKDAY($D113+Config!$F$6)=Config!$E$24),1,0))</f>
        <v/>
      </c>
      <c r="F113" s="24"/>
      <c r="G113" s="23" t="str">
        <f aca="false">IF(OR(NOT(ISNUMBER($D113)),Config!$G$7&lt;&gt;"Sim"),"",$D113+Config!$F$7+IF(AND(Config!$F$7&gt;0,WEEKDAY($D113+Config!$F$7)=Config!$E$24),1,0))</f>
        <v/>
      </c>
      <c r="H113" s="24"/>
      <c r="I113" s="23" t="str">
        <f aca="false">IF(OR(NOT(ISNUMBER($D113)),Config!$G$8&lt;&gt;"Sim"),"",$D113+Config!$F$8+IF(AND(Config!$F$8&gt;0,WEEKDAY($D113+Config!$F$8)=Config!$E$24),1,0))</f>
        <v/>
      </c>
      <c r="J113" s="24"/>
      <c r="K113" s="23" t="str">
        <f aca="false">IF(OR(NOT(ISNUMBER($D113)),Config!$G$9&lt;&gt;"Sim"),"",$D113+Config!$F$9+IF(AND(Config!$F$9&gt;0,WEEKDAY($D113+Config!$F$9)=Config!$E$24),1,0))</f>
        <v/>
      </c>
      <c r="L113" s="24"/>
      <c r="M113" s="23" t="str">
        <f aca="false">IF(OR(NOT(ISNUMBER($D113)),Config!$G$10&lt;&gt;"Sim"),"",$D113+Config!$F$10+IF(AND(Config!$F$10&gt;0,WEEKDAY($D113+Config!$F$10)=Config!$E$24),1,0))</f>
        <v/>
      </c>
      <c r="N113" s="24"/>
      <c r="O113" s="23" t="str">
        <f aca="false">IF(OR(NOT(ISNUMBER($D113)),Config!$G$11&lt;&gt;"Sim"),"",$D113+Config!$F$11+IF(AND(Config!$F$11&gt;0,WEEKDAY($D113+Config!$F$11)=Config!$E$24),1,0))</f>
        <v/>
      </c>
      <c r="P113" s="24"/>
      <c r="Q113" s="25" t="str">
        <f aca="false">IF(COUNT(E113,G113,I113,K113,M113,O113)=0,"",((E113&lt;&gt;"")*(F113&lt;&gt;"")+(G113&lt;&gt;"")*(H113&lt;&gt;"")+(I113&lt;&gt;"")*(J113&lt;&gt;"")+(K113&lt;&gt;"")*(L113&lt;&gt;"")+(M113&lt;&gt;"")*(N113&lt;&gt;"")+(O113&lt;&gt;"")*(P113&lt;&gt;""))/COUNT(E113,G113,I113,K113,M113,O113))</f>
        <v/>
      </c>
      <c r="R113" s="26" t="str">
        <f aca="false">IF(T113="","",IF(T113=99999,"",T113))</f>
        <v/>
      </c>
      <c r="S113" s="27" t="str">
        <f aca="true">IF(T113="","",IF(T113=99999,"Concluído",IF(T113&lt;TODAY(),"Atrasado",IF(T113=TODAY(),"Hoje","Em dia"))))</f>
        <v/>
      </c>
      <c r="T113" s="28" t="str">
        <f aca="false">IF(COUNT(E113,G113,I113,K113,M113,O113)=0,"",MIN(IF(AND(E113&lt;&gt;"",F113=""),E113,99999),IF(AND(G113&lt;&gt;"",H113=""),G113,99999),IF(AND(I113&lt;&gt;"",J113=""),I113,99999),IF(AND(K113&lt;&gt;"",L113=""),K113,99999),IF(AND(M113&lt;&gt;"",N113=""),M113,99999),IF(AND(O113&lt;&gt;"",P113=""),O113,99999)))</f>
        <v/>
      </c>
    </row>
    <row r="114" customFormat="false" ht="15" hidden="false" customHeight="false" outlineLevel="0" collapsed="false">
      <c r="A114" s="20" t="n">
        <v>109</v>
      </c>
      <c r="B114" s="21"/>
      <c r="C114" s="21"/>
      <c r="D114" s="22"/>
      <c r="E114" s="23" t="str">
        <f aca="false">IF(OR(NOT(ISNUMBER($D114)),Config!$G$6&lt;&gt;"Sim"),"",$D114+Config!$F$6+IF(AND(Config!$F$6&gt;0,WEEKDAY($D114+Config!$F$6)=Config!$E$24),1,0))</f>
        <v/>
      </c>
      <c r="F114" s="24"/>
      <c r="G114" s="23" t="str">
        <f aca="false">IF(OR(NOT(ISNUMBER($D114)),Config!$G$7&lt;&gt;"Sim"),"",$D114+Config!$F$7+IF(AND(Config!$F$7&gt;0,WEEKDAY($D114+Config!$F$7)=Config!$E$24),1,0))</f>
        <v/>
      </c>
      <c r="H114" s="24"/>
      <c r="I114" s="23" t="str">
        <f aca="false">IF(OR(NOT(ISNUMBER($D114)),Config!$G$8&lt;&gt;"Sim"),"",$D114+Config!$F$8+IF(AND(Config!$F$8&gt;0,WEEKDAY($D114+Config!$F$8)=Config!$E$24),1,0))</f>
        <v/>
      </c>
      <c r="J114" s="24"/>
      <c r="K114" s="23" t="str">
        <f aca="false">IF(OR(NOT(ISNUMBER($D114)),Config!$G$9&lt;&gt;"Sim"),"",$D114+Config!$F$9+IF(AND(Config!$F$9&gt;0,WEEKDAY($D114+Config!$F$9)=Config!$E$24),1,0))</f>
        <v/>
      </c>
      <c r="L114" s="24"/>
      <c r="M114" s="23" t="str">
        <f aca="false">IF(OR(NOT(ISNUMBER($D114)),Config!$G$10&lt;&gt;"Sim"),"",$D114+Config!$F$10+IF(AND(Config!$F$10&gt;0,WEEKDAY($D114+Config!$F$10)=Config!$E$24),1,0))</f>
        <v/>
      </c>
      <c r="N114" s="24"/>
      <c r="O114" s="23" t="str">
        <f aca="false">IF(OR(NOT(ISNUMBER($D114)),Config!$G$11&lt;&gt;"Sim"),"",$D114+Config!$F$11+IF(AND(Config!$F$11&gt;0,WEEKDAY($D114+Config!$F$11)=Config!$E$24),1,0))</f>
        <v/>
      </c>
      <c r="P114" s="24"/>
      <c r="Q114" s="25" t="str">
        <f aca="false">IF(COUNT(E114,G114,I114,K114,M114,O114)=0,"",((E114&lt;&gt;"")*(F114&lt;&gt;"")+(G114&lt;&gt;"")*(H114&lt;&gt;"")+(I114&lt;&gt;"")*(J114&lt;&gt;"")+(K114&lt;&gt;"")*(L114&lt;&gt;"")+(M114&lt;&gt;"")*(N114&lt;&gt;"")+(O114&lt;&gt;"")*(P114&lt;&gt;""))/COUNT(E114,G114,I114,K114,M114,O114))</f>
        <v/>
      </c>
      <c r="R114" s="26" t="str">
        <f aca="false">IF(T114="","",IF(T114=99999,"",T114))</f>
        <v/>
      </c>
      <c r="S114" s="27" t="str">
        <f aca="true">IF(T114="","",IF(T114=99999,"Concluído",IF(T114&lt;TODAY(),"Atrasado",IF(T114=TODAY(),"Hoje","Em dia"))))</f>
        <v/>
      </c>
      <c r="T114" s="28" t="str">
        <f aca="false">IF(COUNT(E114,G114,I114,K114,M114,O114)=0,"",MIN(IF(AND(E114&lt;&gt;"",F114=""),E114,99999),IF(AND(G114&lt;&gt;"",H114=""),G114,99999),IF(AND(I114&lt;&gt;"",J114=""),I114,99999),IF(AND(K114&lt;&gt;"",L114=""),K114,99999),IF(AND(M114&lt;&gt;"",N114=""),M114,99999),IF(AND(O114&lt;&gt;"",P114=""),O114,99999)))</f>
        <v/>
      </c>
    </row>
    <row r="115" customFormat="false" ht="15" hidden="false" customHeight="false" outlineLevel="0" collapsed="false">
      <c r="A115" s="20" t="n">
        <v>110</v>
      </c>
      <c r="B115" s="21"/>
      <c r="C115" s="21"/>
      <c r="D115" s="22"/>
      <c r="E115" s="23" t="str">
        <f aca="false">IF(OR(NOT(ISNUMBER($D115)),Config!$G$6&lt;&gt;"Sim"),"",$D115+Config!$F$6+IF(AND(Config!$F$6&gt;0,WEEKDAY($D115+Config!$F$6)=Config!$E$24),1,0))</f>
        <v/>
      </c>
      <c r="F115" s="24"/>
      <c r="G115" s="23" t="str">
        <f aca="false">IF(OR(NOT(ISNUMBER($D115)),Config!$G$7&lt;&gt;"Sim"),"",$D115+Config!$F$7+IF(AND(Config!$F$7&gt;0,WEEKDAY($D115+Config!$F$7)=Config!$E$24),1,0))</f>
        <v/>
      </c>
      <c r="H115" s="24"/>
      <c r="I115" s="23" t="str">
        <f aca="false">IF(OR(NOT(ISNUMBER($D115)),Config!$G$8&lt;&gt;"Sim"),"",$D115+Config!$F$8+IF(AND(Config!$F$8&gt;0,WEEKDAY($D115+Config!$F$8)=Config!$E$24),1,0))</f>
        <v/>
      </c>
      <c r="J115" s="24"/>
      <c r="K115" s="23" t="str">
        <f aca="false">IF(OR(NOT(ISNUMBER($D115)),Config!$G$9&lt;&gt;"Sim"),"",$D115+Config!$F$9+IF(AND(Config!$F$9&gt;0,WEEKDAY($D115+Config!$F$9)=Config!$E$24),1,0))</f>
        <v/>
      </c>
      <c r="L115" s="24"/>
      <c r="M115" s="23" t="str">
        <f aca="false">IF(OR(NOT(ISNUMBER($D115)),Config!$G$10&lt;&gt;"Sim"),"",$D115+Config!$F$10+IF(AND(Config!$F$10&gt;0,WEEKDAY($D115+Config!$F$10)=Config!$E$24),1,0))</f>
        <v/>
      </c>
      <c r="N115" s="24"/>
      <c r="O115" s="23" t="str">
        <f aca="false">IF(OR(NOT(ISNUMBER($D115)),Config!$G$11&lt;&gt;"Sim"),"",$D115+Config!$F$11+IF(AND(Config!$F$11&gt;0,WEEKDAY($D115+Config!$F$11)=Config!$E$24),1,0))</f>
        <v/>
      </c>
      <c r="P115" s="24"/>
      <c r="Q115" s="25" t="str">
        <f aca="false">IF(COUNT(E115,G115,I115,K115,M115,O115)=0,"",((E115&lt;&gt;"")*(F115&lt;&gt;"")+(G115&lt;&gt;"")*(H115&lt;&gt;"")+(I115&lt;&gt;"")*(J115&lt;&gt;"")+(K115&lt;&gt;"")*(L115&lt;&gt;"")+(M115&lt;&gt;"")*(N115&lt;&gt;"")+(O115&lt;&gt;"")*(P115&lt;&gt;""))/COUNT(E115,G115,I115,K115,M115,O115))</f>
        <v/>
      </c>
      <c r="R115" s="26" t="str">
        <f aca="false">IF(T115="","",IF(T115=99999,"",T115))</f>
        <v/>
      </c>
      <c r="S115" s="27" t="str">
        <f aca="true">IF(T115="","",IF(T115=99999,"Concluído",IF(T115&lt;TODAY(),"Atrasado",IF(T115=TODAY(),"Hoje","Em dia"))))</f>
        <v/>
      </c>
      <c r="T115" s="28" t="str">
        <f aca="false">IF(COUNT(E115,G115,I115,K115,M115,O115)=0,"",MIN(IF(AND(E115&lt;&gt;"",F115=""),E115,99999),IF(AND(G115&lt;&gt;"",H115=""),G115,99999),IF(AND(I115&lt;&gt;"",J115=""),I115,99999),IF(AND(K115&lt;&gt;"",L115=""),K115,99999),IF(AND(M115&lt;&gt;"",N115=""),M115,99999),IF(AND(O115&lt;&gt;"",P115=""),O115,99999)))</f>
        <v/>
      </c>
    </row>
    <row r="116" customFormat="false" ht="15" hidden="false" customHeight="false" outlineLevel="0" collapsed="false">
      <c r="A116" s="20" t="n">
        <v>111</v>
      </c>
      <c r="B116" s="21"/>
      <c r="C116" s="21"/>
      <c r="D116" s="22"/>
      <c r="E116" s="23" t="str">
        <f aca="false">IF(OR(NOT(ISNUMBER($D116)),Config!$G$6&lt;&gt;"Sim"),"",$D116+Config!$F$6+IF(AND(Config!$F$6&gt;0,WEEKDAY($D116+Config!$F$6)=Config!$E$24),1,0))</f>
        <v/>
      </c>
      <c r="F116" s="24"/>
      <c r="G116" s="23" t="str">
        <f aca="false">IF(OR(NOT(ISNUMBER($D116)),Config!$G$7&lt;&gt;"Sim"),"",$D116+Config!$F$7+IF(AND(Config!$F$7&gt;0,WEEKDAY($D116+Config!$F$7)=Config!$E$24),1,0))</f>
        <v/>
      </c>
      <c r="H116" s="24"/>
      <c r="I116" s="23" t="str">
        <f aca="false">IF(OR(NOT(ISNUMBER($D116)),Config!$G$8&lt;&gt;"Sim"),"",$D116+Config!$F$8+IF(AND(Config!$F$8&gt;0,WEEKDAY($D116+Config!$F$8)=Config!$E$24),1,0))</f>
        <v/>
      </c>
      <c r="J116" s="24"/>
      <c r="K116" s="23" t="str">
        <f aca="false">IF(OR(NOT(ISNUMBER($D116)),Config!$G$9&lt;&gt;"Sim"),"",$D116+Config!$F$9+IF(AND(Config!$F$9&gt;0,WEEKDAY($D116+Config!$F$9)=Config!$E$24),1,0))</f>
        <v/>
      </c>
      <c r="L116" s="24"/>
      <c r="M116" s="23" t="str">
        <f aca="false">IF(OR(NOT(ISNUMBER($D116)),Config!$G$10&lt;&gt;"Sim"),"",$D116+Config!$F$10+IF(AND(Config!$F$10&gt;0,WEEKDAY($D116+Config!$F$10)=Config!$E$24),1,0))</f>
        <v/>
      </c>
      <c r="N116" s="24"/>
      <c r="O116" s="23" t="str">
        <f aca="false">IF(OR(NOT(ISNUMBER($D116)),Config!$G$11&lt;&gt;"Sim"),"",$D116+Config!$F$11+IF(AND(Config!$F$11&gt;0,WEEKDAY($D116+Config!$F$11)=Config!$E$24),1,0))</f>
        <v/>
      </c>
      <c r="P116" s="24"/>
      <c r="Q116" s="25" t="str">
        <f aca="false">IF(COUNT(E116,G116,I116,K116,M116,O116)=0,"",((E116&lt;&gt;"")*(F116&lt;&gt;"")+(G116&lt;&gt;"")*(H116&lt;&gt;"")+(I116&lt;&gt;"")*(J116&lt;&gt;"")+(K116&lt;&gt;"")*(L116&lt;&gt;"")+(M116&lt;&gt;"")*(N116&lt;&gt;"")+(O116&lt;&gt;"")*(P116&lt;&gt;""))/COUNT(E116,G116,I116,K116,M116,O116))</f>
        <v/>
      </c>
      <c r="R116" s="26" t="str">
        <f aca="false">IF(T116="","",IF(T116=99999,"",T116))</f>
        <v/>
      </c>
      <c r="S116" s="27" t="str">
        <f aca="true">IF(T116="","",IF(T116=99999,"Concluído",IF(T116&lt;TODAY(),"Atrasado",IF(T116=TODAY(),"Hoje","Em dia"))))</f>
        <v/>
      </c>
      <c r="T116" s="28" t="str">
        <f aca="false">IF(COUNT(E116,G116,I116,K116,M116,O116)=0,"",MIN(IF(AND(E116&lt;&gt;"",F116=""),E116,99999),IF(AND(G116&lt;&gt;"",H116=""),G116,99999),IF(AND(I116&lt;&gt;"",J116=""),I116,99999),IF(AND(K116&lt;&gt;"",L116=""),K116,99999),IF(AND(M116&lt;&gt;"",N116=""),M116,99999),IF(AND(O116&lt;&gt;"",P116=""),O116,99999)))</f>
        <v/>
      </c>
    </row>
    <row r="117" customFormat="false" ht="15" hidden="false" customHeight="false" outlineLevel="0" collapsed="false">
      <c r="A117" s="20" t="n">
        <v>112</v>
      </c>
      <c r="B117" s="21"/>
      <c r="C117" s="21"/>
      <c r="D117" s="22"/>
      <c r="E117" s="23" t="str">
        <f aca="false">IF(OR(NOT(ISNUMBER($D117)),Config!$G$6&lt;&gt;"Sim"),"",$D117+Config!$F$6+IF(AND(Config!$F$6&gt;0,WEEKDAY($D117+Config!$F$6)=Config!$E$24),1,0))</f>
        <v/>
      </c>
      <c r="F117" s="24"/>
      <c r="G117" s="23" t="str">
        <f aca="false">IF(OR(NOT(ISNUMBER($D117)),Config!$G$7&lt;&gt;"Sim"),"",$D117+Config!$F$7+IF(AND(Config!$F$7&gt;0,WEEKDAY($D117+Config!$F$7)=Config!$E$24),1,0))</f>
        <v/>
      </c>
      <c r="H117" s="24"/>
      <c r="I117" s="23" t="str">
        <f aca="false">IF(OR(NOT(ISNUMBER($D117)),Config!$G$8&lt;&gt;"Sim"),"",$D117+Config!$F$8+IF(AND(Config!$F$8&gt;0,WEEKDAY($D117+Config!$F$8)=Config!$E$24),1,0))</f>
        <v/>
      </c>
      <c r="J117" s="24"/>
      <c r="K117" s="23" t="str">
        <f aca="false">IF(OR(NOT(ISNUMBER($D117)),Config!$G$9&lt;&gt;"Sim"),"",$D117+Config!$F$9+IF(AND(Config!$F$9&gt;0,WEEKDAY($D117+Config!$F$9)=Config!$E$24),1,0))</f>
        <v/>
      </c>
      <c r="L117" s="24"/>
      <c r="M117" s="23" t="str">
        <f aca="false">IF(OR(NOT(ISNUMBER($D117)),Config!$G$10&lt;&gt;"Sim"),"",$D117+Config!$F$10+IF(AND(Config!$F$10&gt;0,WEEKDAY($D117+Config!$F$10)=Config!$E$24),1,0))</f>
        <v/>
      </c>
      <c r="N117" s="24"/>
      <c r="O117" s="23" t="str">
        <f aca="false">IF(OR(NOT(ISNUMBER($D117)),Config!$G$11&lt;&gt;"Sim"),"",$D117+Config!$F$11+IF(AND(Config!$F$11&gt;0,WEEKDAY($D117+Config!$F$11)=Config!$E$24),1,0))</f>
        <v/>
      </c>
      <c r="P117" s="24"/>
      <c r="Q117" s="25" t="str">
        <f aca="false">IF(COUNT(E117,G117,I117,K117,M117,O117)=0,"",((E117&lt;&gt;"")*(F117&lt;&gt;"")+(G117&lt;&gt;"")*(H117&lt;&gt;"")+(I117&lt;&gt;"")*(J117&lt;&gt;"")+(K117&lt;&gt;"")*(L117&lt;&gt;"")+(M117&lt;&gt;"")*(N117&lt;&gt;"")+(O117&lt;&gt;"")*(P117&lt;&gt;""))/COUNT(E117,G117,I117,K117,M117,O117))</f>
        <v/>
      </c>
      <c r="R117" s="26" t="str">
        <f aca="false">IF(T117="","",IF(T117=99999,"",T117))</f>
        <v/>
      </c>
      <c r="S117" s="27" t="str">
        <f aca="true">IF(T117="","",IF(T117=99999,"Concluído",IF(T117&lt;TODAY(),"Atrasado",IF(T117=TODAY(),"Hoje","Em dia"))))</f>
        <v/>
      </c>
      <c r="T117" s="28" t="str">
        <f aca="false">IF(COUNT(E117,G117,I117,K117,M117,O117)=0,"",MIN(IF(AND(E117&lt;&gt;"",F117=""),E117,99999),IF(AND(G117&lt;&gt;"",H117=""),G117,99999),IF(AND(I117&lt;&gt;"",J117=""),I117,99999),IF(AND(K117&lt;&gt;"",L117=""),K117,99999),IF(AND(M117&lt;&gt;"",N117=""),M117,99999),IF(AND(O117&lt;&gt;"",P117=""),O117,99999)))</f>
        <v/>
      </c>
    </row>
    <row r="118" customFormat="false" ht="15" hidden="false" customHeight="false" outlineLevel="0" collapsed="false">
      <c r="A118" s="20" t="n">
        <v>113</v>
      </c>
      <c r="B118" s="21"/>
      <c r="C118" s="21"/>
      <c r="D118" s="22"/>
      <c r="E118" s="23" t="str">
        <f aca="false">IF(OR(NOT(ISNUMBER($D118)),Config!$G$6&lt;&gt;"Sim"),"",$D118+Config!$F$6+IF(AND(Config!$F$6&gt;0,WEEKDAY($D118+Config!$F$6)=Config!$E$24),1,0))</f>
        <v/>
      </c>
      <c r="F118" s="24"/>
      <c r="G118" s="23" t="str">
        <f aca="false">IF(OR(NOT(ISNUMBER($D118)),Config!$G$7&lt;&gt;"Sim"),"",$D118+Config!$F$7+IF(AND(Config!$F$7&gt;0,WEEKDAY($D118+Config!$F$7)=Config!$E$24),1,0))</f>
        <v/>
      </c>
      <c r="H118" s="24"/>
      <c r="I118" s="23" t="str">
        <f aca="false">IF(OR(NOT(ISNUMBER($D118)),Config!$G$8&lt;&gt;"Sim"),"",$D118+Config!$F$8+IF(AND(Config!$F$8&gt;0,WEEKDAY($D118+Config!$F$8)=Config!$E$24),1,0))</f>
        <v/>
      </c>
      <c r="J118" s="24"/>
      <c r="K118" s="23" t="str">
        <f aca="false">IF(OR(NOT(ISNUMBER($D118)),Config!$G$9&lt;&gt;"Sim"),"",$D118+Config!$F$9+IF(AND(Config!$F$9&gt;0,WEEKDAY($D118+Config!$F$9)=Config!$E$24),1,0))</f>
        <v/>
      </c>
      <c r="L118" s="24"/>
      <c r="M118" s="23" t="str">
        <f aca="false">IF(OR(NOT(ISNUMBER($D118)),Config!$G$10&lt;&gt;"Sim"),"",$D118+Config!$F$10+IF(AND(Config!$F$10&gt;0,WEEKDAY($D118+Config!$F$10)=Config!$E$24),1,0))</f>
        <v/>
      </c>
      <c r="N118" s="24"/>
      <c r="O118" s="23" t="str">
        <f aca="false">IF(OR(NOT(ISNUMBER($D118)),Config!$G$11&lt;&gt;"Sim"),"",$D118+Config!$F$11+IF(AND(Config!$F$11&gt;0,WEEKDAY($D118+Config!$F$11)=Config!$E$24),1,0))</f>
        <v/>
      </c>
      <c r="P118" s="24"/>
      <c r="Q118" s="25" t="str">
        <f aca="false">IF(COUNT(E118,G118,I118,K118,M118,O118)=0,"",((E118&lt;&gt;"")*(F118&lt;&gt;"")+(G118&lt;&gt;"")*(H118&lt;&gt;"")+(I118&lt;&gt;"")*(J118&lt;&gt;"")+(K118&lt;&gt;"")*(L118&lt;&gt;"")+(M118&lt;&gt;"")*(N118&lt;&gt;"")+(O118&lt;&gt;"")*(P118&lt;&gt;""))/COUNT(E118,G118,I118,K118,M118,O118))</f>
        <v/>
      </c>
      <c r="R118" s="26" t="str">
        <f aca="false">IF(T118="","",IF(T118=99999,"",T118))</f>
        <v/>
      </c>
      <c r="S118" s="27" t="str">
        <f aca="true">IF(T118="","",IF(T118=99999,"Concluído",IF(T118&lt;TODAY(),"Atrasado",IF(T118=TODAY(),"Hoje","Em dia"))))</f>
        <v/>
      </c>
      <c r="T118" s="28" t="str">
        <f aca="false">IF(COUNT(E118,G118,I118,K118,M118,O118)=0,"",MIN(IF(AND(E118&lt;&gt;"",F118=""),E118,99999),IF(AND(G118&lt;&gt;"",H118=""),G118,99999),IF(AND(I118&lt;&gt;"",J118=""),I118,99999),IF(AND(K118&lt;&gt;"",L118=""),K118,99999),IF(AND(M118&lt;&gt;"",N118=""),M118,99999),IF(AND(O118&lt;&gt;"",P118=""),O118,99999)))</f>
        <v/>
      </c>
    </row>
    <row r="119" customFormat="false" ht="15" hidden="false" customHeight="false" outlineLevel="0" collapsed="false">
      <c r="A119" s="20" t="n">
        <v>114</v>
      </c>
      <c r="B119" s="21"/>
      <c r="C119" s="21"/>
      <c r="D119" s="22"/>
      <c r="E119" s="23" t="str">
        <f aca="false">IF(OR(NOT(ISNUMBER($D119)),Config!$G$6&lt;&gt;"Sim"),"",$D119+Config!$F$6+IF(AND(Config!$F$6&gt;0,WEEKDAY($D119+Config!$F$6)=Config!$E$24),1,0))</f>
        <v/>
      </c>
      <c r="F119" s="24"/>
      <c r="G119" s="23" t="str">
        <f aca="false">IF(OR(NOT(ISNUMBER($D119)),Config!$G$7&lt;&gt;"Sim"),"",$D119+Config!$F$7+IF(AND(Config!$F$7&gt;0,WEEKDAY($D119+Config!$F$7)=Config!$E$24),1,0))</f>
        <v/>
      </c>
      <c r="H119" s="24"/>
      <c r="I119" s="23" t="str">
        <f aca="false">IF(OR(NOT(ISNUMBER($D119)),Config!$G$8&lt;&gt;"Sim"),"",$D119+Config!$F$8+IF(AND(Config!$F$8&gt;0,WEEKDAY($D119+Config!$F$8)=Config!$E$24),1,0))</f>
        <v/>
      </c>
      <c r="J119" s="24"/>
      <c r="K119" s="23" t="str">
        <f aca="false">IF(OR(NOT(ISNUMBER($D119)),Config!$G$9&lt;&gt;"Sim"),"",$D119+Config!$F$9+IF(AND(Config!$F$9&gt;0,WEEKDAY($D119+Config!$F$9)=Config!$E$24),1,0))</f>
        <v/>
      </c>
      <c r="L119" s="24"/>
      <c r="M119" s="23" t="str">
        <f aca="false">IF(OR(NOT(ISNUMBER($D119)),Config!$G$10&lt;&gt;"Sim"),"",$D119+Config!$F$10+IF(AND(Config!$F$10&gt;0,WEEKDAY($D119+Config!$F$10)=Config!$E$24),1,0))</f>
        <v/>
      </c>
      <c r="N119" s="24"/>
      <c r="O119" s="23" t="str">
        <f aca="false">IF(OR(NOT(ISNUMBER($D119)),Config!$G$11&lt;&gt;"Sim"),"",$D119+Config!$F$11+IF(AND(Config!$F$11&gt;0,WEEKDAY($D119+Config!$F$11)=Config!$E$24),1,0))</f>
        <v/>
      </c>
      <c r="P119" s="24"/>
      <c r="Q119" s="25" t="str">
        <f aca="false">IF(COUNT(E119,G119,I119,K119,M119,O119)=0,"",((E119&lt;&gt;"")*(F119&lt;&gt;"")+(G119&lt;&gt;"")*(H119&lt;&gt;"")+(I119&lt;&gt;"")*(J119&lt;&gt;"")+(K119&lt;&gt;"")*(L119&lt;&gt;"")+(M119&lt;&gt;"")*(N119&lt;&gt;"")+(O119&lt;&gt;"")*(P119&lt;&gt;""))/COUNT(E119,G119,I119,K119,M119,O119))</f>
        <v/>
      </c>
      <c r="R119" s="26" t="str">
        <f aca="false">IF(T119="","",IF(T119=99999,"",T119))</f>
        <v/>
      </c>
      <c r="S119" s="27" t="str">
        <f aca="true">IF(T119="","",IF(T119=99999,"Concluído",IF(T119&lt;TODAY(),"Atrasado",IF(T119=TODAY(),"Hoje","Em dia"))))</f>
        <v/>
      </c>
      <c r="T119" s="28" t="str">
        <f aca="false">IF(COUNT(E119,G119,I119,K119,M119,O119)=0,"",MIN(IF(AND(E119&lt;&gt;"",F119=""),E119,99999),IF(AND(G119&lt;&gt;"",H119=""),G119,99999),IF(AND(I119&lt;&gt;"",J119=""),I119,99999),IF(AND(K119&lt;&gt;"",L119=""),K119,99999),IF(AND(M119&lt;&gt;"",N119=""),M119,99999),IF(AND(O119&lt;&gt;"",P119=""),O119,99999)))</f>
        <v/>
      </c>
    </row>
    <row r="120" customFormat="false" ht="15" hidden="false" customHeight="false" outlineLevel="0" collapsed="false">
      <c r="A120" s="20" t="n">
        <v>115</v>
      </c>
      <c r="B120" s="21"/>
      <c r="C120" s="21"/>
      <c r="D120" s="22"/>
      <c r="E120" s="23" t="str">
        <f aca="false">IF(OR(NOT(ISNUMBER($D120)),Config!$G$6&lt;&gt;"Sim"),"",$D120+Config!$F$6+IF(AND(Config!$F$6&gt;0,WEEKDAY($D120+Config!$F$6)=Config!$E$24),1,0))</f>
        <v/>
      </c>
      <c r="F120" s="24"/>
      <c r="G120" s="23" t="str">
        <f aca="false">IF(OR(NOT(ISNUMBER($D120)),Config!$G$7&lt;&gt;"Sim"),"",$D120+Config!$F$7+IF(AND(Config!$F$7&gt;0,WEEKDAY($D120+Config!$F$7)=Config!$E$24),1,0))</f>
        <v/>
      </c>
      <c r="H120" s="24"/>
      <c r="I120" s="23" t="str">
        <f aca="false">IF(OR(NOT(ISNUMBER($D120)),Config!$G$8&lt;&gt;"Sim"),"",$D120+Config!$F$8+IF(AND(Config!$F$8&gt;0,WEEKDAY($D120+Config!$F$8)=Config!$E$24),1,0))</f>
        <v/>
      </c>
      <c r="J120" s="24"/>
      <c r="K120" s="23" t="str">
        <f aca="false">IF(OR(NOT(ISNUMBER($D120)),Config!$G$9&lt;&gt;"Sim"),"",$D120+Config!$F$9+IF(AND(Config!$F$9&gt;0,WEEKDAY($D120+Config!$F$9)=Config!$E$24),1,0))</f>
        <v/>
      </c>
      <c r="L120" s="24"/>
      <c r="M120" s="23" t="str">
        <f aca="false">IF(OR(NOT(ISNUMBER($D120)),Config!$G$10&lt;&gt;"Sim"),"",$D120+Config!$F$10+IF(AND(Config!$F$10&gt;0,WEEKDAY($D120+Config!$F$10)=Config!$E$24),1,0))</f>
        <v/>
      </c>
      <c r="N120" s="24"/>
      <c r="O120" s="23" t="str">
        <f aca="false">IF(OR(NOT(ISNUMBER($D120)),Config!$G$11&lt;&gt;"Sim"),"",$D120+Config!$F$11+IF(AND(Config!$F$11&gt;0,WEEKDAY($D120+Config!$F$11)=Config!$E$24),1,0))</f>
        <v/>
      </c>
      <c r="P120" s="24"/>
      <c r="Q120" s="25" t="str">
        <f aca="false">IF(COUNT(E120,G120,I120,K120,M120,O120)=0,"",((E120&lt;&gt;"")*(F120&lt;&gt;"")+(G120&lt;&gt;"")*(H120&lt;&gt;"")+(I120&lt;&gt;"")*(J120&lt;&gt;"")+(K120&lt;&gt;"")*(L120&lt;&gt;"")+(M120&lt;&gt;"")*(N120&lt;&gt;"")+(O120&lt;&gt;"")*(P120&lt;&gt;""))/COUNT(E120,G120,I120,K120,M120,O120))</f>
        <v/>
      </c>
      <c r="R120" s="26" t="str">
        <f aca="false">IF(T120="","",IF(T120=99999,"",T120))</f>
        <v/>
      </c>
      <c r="S120" s="27" t="str">
        <f aca="true">IF(T120="","",IF(T120=99999,"Concluído",IF(T120&lt;TODAY(),"Atrasado",IF(T120=TODAY(),"Hoje","Em dia"))))</f>
        <v/>
      </c>
      <c r="T120" s="28" t="str">
        <f aca="false">IF(COUNT(E120,G120,I120,K120,M120,O120)=0,"",MIN(IF(AND(E120&lt;&gt;"",F120=""),E120,99999),IF(AND(G120&lt;&gt;"",H120=""),G120,99999),IF(AND(I120&lt;&gt;"",J120=""),I120,99999),IF(AND(K120&lt;&gt;"",L120=""),K120,99999),IF(AND(M120&lt;&gt;"",N120=""),M120,99999),IF(AND(O120&lt;&gt;"",P120=""),O120,99999)))</f>
        <v/>
      </c>
    </row>
    <row r="121" customFormat="false" ht="15" hidden="false" customHeight="false" outlineLevel="0" collapsed="false">
      <c r="A121" s="20" t="n">
        <v>116</v>
      </c>
      <c r="B121" s="21"/>
      <c r="C121" s="21"/>
      <c r="D121" s="22"/>
      <c r="E121" s="23" t="str">
        <f aca="false">IF(OR(NOT(ISNUMBER($D121)),Config!$G$6&lt;&gt;"Sim"),"",$D121+Config!$F$6+IF(AND(Config!$F$6&gt;0,WEEKDAY($D121+Config!$F$6)=Config!$E$24),1,0))</f>
        <v/>
      </c>
      <c r="F121" s="24"/>
      <c r="G121" s="23" t="str">
        <f aca="false">IF(OR(NOT(ISNUMBER($D121)),Config!$G$7&lt;&gt;"Sim"),"",$D121+Config!$F$7+IF(AND(Config!$F$7&gt;0,WEEKDAY($D121+Config!$F$7)=Config!$E$24),1,0))</f>
        <v/>
      </c>
      <c r="H121" s="24"/>
      <c r="I121" s="23" t="str">
        <f aca="false">IF(OR(NOT(ISNUMBER($D121)),Config!$G$8&lt;&gt;"Sim"),"",$D121+Config!$F$8+IF(AND(Config!$F$8&gt;0,WEEKDAY($D121+Config!$F$8)=Config!$E$24),1,0))</f>
        <v/>
      </c>
      <c r="J121" s="24"/>
      <c r="K121" s="23" t="str">
        <f aca="false">IF(OR(NOT(ISNUMBER($D121)),Config!$G$9&lt;&gt;"Sim"),"",$D121+Config!$F$9+IF(AND(Config!$F$9&gt;0,WEEKDAY($D121+Config!$F$9)=Config!$E$24),1,0))</f>
        <v/>
      </c>
      <c r="L121" s="24"/>
      <c r="M121" s="23" t="str">
        <f aca="false">IF(OR(NOT(ISNUMBER($D121)),Config!$G$10&lt;&gt;"Sim"),"",$D121+Config!$F$10+IF(AND(Config!$F$10&gt;0,WEEKDAY($D121+Config!$F$10)=Config!$E$24),1,0))</f>
        <v/>
      </c>
      <c r="N121" s="24"/>
      <c r="O121" s="23" t="str">
        <f aca="false">IF(OR(NOT(ISNUMBER($D121)),Config!$G$11&lt;&gt;"Sim"),"",$D121+Config!$F$11+IF(AND(Config!$F$11&gt;0,WEEKDAY($D121+Config!$F$11)=Config!$E$24),1,0))</f>
        <v/>
      </c>
      <c r="P121" s="24"/>
      <c r="Q121" s="25" t="str">
        <f aca="false">IF(COUNT(E121,G121,I121,K121,M121,O121)=0,"",((E121&lt;&gt;"")*(F121&lt;&gt;"")+(G121&lt;&gt;"")*(H121&lt;&gt;"")+(I121&lt;&gt;"")*(J121&lt;&gt;"")+(K121&lt;&gt;"")*(L121&lt;&gt;"")+(M121&lt;&gt;"")*(N121&lt;&gt;"")+(O121&lt;&gt;"")*(P121&lt;&gt;""))/COUNT(E121,G121,I121,K121,M121,O121))</f>
        <v/>
      </c>
      <c r="R121" s="26" t="str">
        <f aca="false">IF(T121="","",IF(T121=99999,"",T121))</f>
        <v/>
      </c>
      <c r="S121" s="27" t="str">
        <f aca="true">IF(T121="","",IF(T121=99999,"Concluído",IF(T121&lt;TODAY(),"Atrasado",IF(T121=TODAY(),"Hoje","Em dia"))))</f>
        <v/>
      </c>
      <c r="T121" s="28" t="str">
        <f aca="false">IF(COUNT(E121,G121,I121,K121,M121,O121)=0,"",MIN(IF(AND(E121&lt;&gt;"",F121=""),E121,99999),IF(AND(G121&lt;&gt;"",H121=""),G121,99999),IF(AND(I121&lt;&gt;"",J121=""),I121,99999),IF(AND(K121&lt;&gt;"",L121=""),K121,99999),IF(AND(M121&lt;&gt;"",N121=""),M121,99999),IF(AND(O121&lt;&gt;"",P121=""),O121,99999)))</f>
        <v/>
      </c>
    </row>
    <row r="122" customFormat="false" ht="15" hidden="false" customHeight="false" outlineLevel="0" collapsed="false">
      <c r="A122" s="20" t="n">
        <v>117</v>
      </c>
      <c r="B122" s="21"/>
      <c r="C122" s="21"/>
      <c r="D122" s="22"/>
      <c r="E122" s="23" t="str">
        <f aca="false">IF(OR(NOT(ISNUMBER($D122)),Config!$G$6&lt;&gt;"Sim"),"",$D122+Config!$F$6+IF(AND(Config!$F$6&gt;0,WEEKDAY($D122+Config!$F$6)=Config!$E$24),1,0))</f>
        <v/>
      </c>
      <c r="F122" s="24"/>
      <c r="G122" s="23" t="str">
        <f aca="false">IF(OR(NOT(ISNUMBER($D122)),Config!$G$7&lt;&gt;"Sim"),"",$D122+Config!$F$7+IF(AND(Config!$F$7&gt;0,WEEKDAY($D122+Config!$F$7)=Config!$E$24),1,0))</f>
        <v/>
      </c>
      <c r="H122" s="24"/>
      <c r="I122" s="23" t="str">
        <f aca="false">IF(OR(NOT(ISNUMBER($D122)),Config!$G$8&lt;&gt;"Sim"),"",$D122+Config!$F$8+IF(AND(Config!$F$8&gt;0,WEEKDAY($D122+Config!$F$8)=Config!$E$24),1,0))</f>
        <v/>
      </c>
      <c r="J122" s="24"/>
      <c r="K122" s="23" t="str">
        <f aca="false">IF(OR(NOT(ISNUMBER($D122)),Config!$G$9&lt;&gt;"Sim"),"",$D122+Config!$F$9+IF(AND(Config!$F$9&gt;0,WEEKDAY($D122+Config!$F$9)=Config!$E$24),1,0))</f>
        <v/>
      </c>
      <c r="L122" s="24"/>
      <c r="M122" s="23" t="str">
        <f aca="false">IF(OR(NOT(ISNUMBER($D122)),Config!$G$10&lt;&gt;"Sim"),"",$D122+Config!$F$10+IF(AND(Config!$F$10&gt;0,WEEKDAY($D122+Config!$F$10)=Config!$E$24),1,0))</f>
        <v/>
      </c>
      <c r="N122" s="24"/>
      <c r="O122" s="23" t="str">
        <f aca="false">IF(OR(NOT(ISNUMBER($D122)),Config!$G$11&lt;&gt;"Sim"),"",$D122+Config!$F$11+IF(AND(Config!$F$11&gt;0,WEEKDAY($D122+Config!$F$11)=Config!$E$24),1,0))</f>
        <v/>
      </c>
      <c r="P122" s="24"/>
      <c r="Q122" s="25" t="str">
        <f aca="false">IF(COUNT(E122,G122,I122,K122,M122,O122)=0,"",((E122&lt;&gt;"")*(F122&lt;&gt;"")+(G122&lt;&gt;"")*(H122&lt;&gt;"")+(I122&lt;&gt;"")*(J122&lt;&gt;"")+(K122&lt;&gt;"")*(L122&lt;&gt;"")+(M122&lt;&gt;"")*(N122&lt;&gt;"")+(O122&lt;&gt;"")*(P122&lt;&gt;""))/COUNT(E122,G122,I122,K122,M122,O122))</f>
        <v/>
      </c>
      <c r="R122" s="26" t="str">
        <f aca="false">IF(T122="","",IF(T122=99999,"",T122))</f>
        <v/>
      </c>
      <c r="S122" s="27" t="str">
        <f aca="true">IF(T122="","",IF(T122=99999,"Concluído",IF(T122&lt;TODAY(),"Atrasado",IF(T122=TODAY(),"Hoje","Em dia"))))</f>
        <v/>
      </c>
      <c r="T122" s="28" t="str">
        <f aca="false">IF(COUNT(E122,G122,I122,K122,M122,O122)=0,"",MIN(IF(AND(E122&lt;&gt;"",F122=""),E122,99999),IF(AND(G122&lt;&gt;"",H122=""),G122,99999),IF(AND(I122&lt;&gt;"",J122=""),I122,99999),IF(AND(K122&lt;&gt;"",L122=""),K122,99999),IF(AND(M122&lt;&gt;"",N122=""),M122,99999),IF(AND(O122&lt;&gt;"",P122=""),O122,99999)))</f>
        <v/>
      </c>
    </row>
    <row r="123" customFormat="false" ht="15" hidden="false" customHeight="false" outlineLevel="0" collapsed="false">
      <c r="A123" s="20" t="n">
        <v>118</v>
      </c>
      <c r="B123" s="21"/>
      <c r="C123" s="21"/>
      <c r="D123" s="22"/>
      <c r="E123" s="23" t="str">
        <f aca="false">IF(OR(NOT(ISNUMBER($D123)),Config!$G$6&lt;&gt;"Sim"),"",$D123+Config!$F$6+IF(AND(Config!$F$6&gt;0,WEEKDAY($D123+Config!$F$6)=Config!$E$24),1,0))</f>
        <v/>
      </c>
      <c r="F123" s="24"/>
      <c r="G123" s="23" t="str">
        <f aca="false">IF(OR(NOT(ISNUMBER($D123)),Config!$G$7&lt;&gt;"Sim"),"",$D123+Config!$F$7+IF(AND(Config!$F$7&gt;0,WEEKDAY($D123+Config!$F$7)=Config!$E$24),1,0))</f>
        <v/>
      </c>
      <c r="H123" s="24"/>
      <c r="I123" s="23" t="str">
        <f aca="false">IF(OR(NOT(ISNUMBER($D123)),Config!$G$8&lt;&gt;"Sim"),"",$D123+Config!$F$8+IF(AND(Config!$F$8&gt;0,WEEKDAY($D123+Config!$F$8)=Config!$E$24),1,0))</f>
        <v/>
      </c>
      <c r="J123" s="24"/>
      <c r="K123" s="23" t="str">
        <f aca="false">IF(OR(NOT(ISNUMBER($D123)),Config!$G$9&lt;&gt;"Sim"),"",$D123+Config!$F$9+IF(AND(Config!$F$9&gt;0,WEEKDAY($D123+Config!$F$9)=Config!$E$24),1,0))</f>
        <v/>
      </c>
      <c r="L123" s="24"/>
      <c r="M123" s="23" t="str">
        <f aca="false">IF(OR(NOT(ISNUMBER($D123)),Config!$G$10&lt;&gt;"Sim"),"",$D123+Config!$F$10+IF(AND(Config!$F$10&gt;0,WEEKDAY($D123+Config!$F$10)=Config!$E$24),1,0))</f>
        <v/>
      </c>
      <c r="N123" s="24"/>
      <c r="O123" s="23" t="str">
        <f aca="false">IF(OR(NOT(ISNUMBER($D123)),Config!$G$11&lt;&gt;"Sim"),"",$D123+Config!$F$11+IF(AND(Config!$F$11&gt;0,WEEKDAY($D123+Config!$F$11)=Config!$E$24),1,0))</f>
        <v/>
      </c>
      <c r="P123" s="24"/>
      <c r="Q123" s="25" t="str">
        <f aca="false">IF(COUNT(E123,G123,I123,K123,M123,O123)=0,"",((E123&lt;&gt;"")*(F123&lt;&gt;"")+(G123&lt;&gt;"")*(H123&lt;&gt;"")+(I123&lt;&gt;"")*(J123&lt;&gt;"")+(K123&lt;&gt;"")*(L123&lt;&gt;"")+(M123&lt;&gt;"")*(N123&lt;&gt;"")+(O123&lt;&gt;"")*(P123&lt;&gt;""))/COUNT(E123,G123,I123,K123,M123,O123))</f>
        <v/>
      </c>
      <c r="R123" s="26" t="str">
        <f aca="false">IF(T123="","",IF(T123=99999,"",T123))</f>
        <v/>
      </c>
      <c r="S123" s="27" t="str">
        <f aca="true">IF(T123="","",IF(T123=99999,"Concluído",IF(T123&lt;TODAY(),"Atrasado",IF(T123=TODAY(),"Hoje","Em dia"))))</f>
        <v/>
      </c>
      <c r="T123" s="28" t="str">
        <f aca="false">IF(COUNT(E123,G123,I123,K123,M123,O123)=0,"",MIN(IF(AND(E123&lt;&gt;"",F123=""),E123,99999),IF(AND(G123&lt;&gt;"",H123=""),G123,99999),IF(AND(I123&lt;&gt;"",J123=""),I123,99999),IF(AND(K123&lt;&gt;"",L123=""),K123,99999),IF(AND(M123&lt;&gt;"",N123=""),M123,99999),IF(AND(O123&lt;&gt;"",P123=""),O123,99999)))</f>
        <v/>
      </c>
    </row>
    <row r="124" customFormat="false" ht="15" hidden="false" customHeight="false" outlineLevel="0" collapsed="false">
      <c r="A124" s="20" t="n">
        <v>119</v>
      </c>
      <c r="B124" s="21"/>
      <c r="C124" s="21"/>
      <c r="D124" s="22"/>
      <c r="E124" s="23" t="str">
        <f aca="false">IF(OR(NOT(ISNUMBER($D124)),Config!$G$6&lt;&gt;"Sim"),"",$D124+Config!$F$6+IF(AND(Config!$F$6&gt;0,WEEKDAY($D124+Config!$F$6)=Config!$E$24),1,0))</f>
        <v/>
      </c>
      <c r="F124" s="24"/>
      <c r="G124" s="23" t="str">
        <f aca="false">IF(OR(NOT(ISNUMBER($D124)),Config!$G$7&lt;&gt;"Sim"),"",$D124+Config!$F$7+IF(AND(Config!$F$7&gt;0,WEEKDAY($D124+Config!$F$7)=Config!$E$24),1,0))</f>
        <v/>
      </c>
      <c r="H124" s="24"/>
      <c r="I124" s="23" t="str">
        <f aca="false">IF(OR(NOT(ISNUMBER($D124)),Config!$G$8&lt;&gt;"Sim"),"",$D124+Config!$F$8+IF(AND(Config!$F$8&gt;0,WEEKDAY($D124+Config!$F$8)=Config!$E$24),1,0))</f>
        <v/>
      </c>
      <c r="J124" s="24"/>
      <c r="K124" s="23" t="str">
        <f aca="false">IF(OR(NOT(ISNUMBER($D124)),Config!$G$9&lt;&gt;"Sim"),"",$D124+Config!$F$9+IF(AND(Config!$F$9&gt;0,WEEKDAY($D124+Config!$F$9)=Config!$E$24),1,0))</f>
        <v/>
      </c>
      <c r="L124" s="24"/>
      <c r="M124" s="23" t="str">
        <f aca="false">IF(OR(NOT(ISNUMBER($D124)),Config!$G$10&lt;&gt;"Sim"),"",$D124+Config!$F$10+IF(AND(Config!$F$10&gt;0,WEEKDAY($D124+Config!$F$10)=Config!$E$24),1,0))</f>
        <v/>
      </c>
      <c r="N124" s="24"/>
      <c r="O124" s="23" t="str">
        <f aca="false">IF(OR(NOT(ISNUMBER($D124)),Config!$G$11&lt;&gt;"Sim"),"",$D124+Config!$F$11+IF(AND(Config!$F$11&gt;0,WEEKDAY($D124+Config!$F$11)=Config!$E$24),1,0))</f>
        <v/>
      </c>
      <c r="P124" s="24"/>
      <c r="Q124" s="25" t="str">
        <f aca="false">IF(COUNT(E124,G124,I124,K124,M124,O124)=0,"",((E124&lt;&gt;"")*(F124&lt;&gt;"")+(G124&lt;&gt;"")*(H124&lt;&gt;"")+(I124&lt;&gt;"")*(J124&lt;&gt;"")+(K124&lt;&gt;"")*(L124&lt;&gt;"")+(M124&lt;&gt;"")*(N124&lt;&gt;"")+(O124&lt;&gt;"")*(P124&lt;&gt;""))/COUNT(E124,G124,I124,K124,M124,O124))</f>
        <v/>
      </c>
      <c r="R124" s="26" t="str">
        <f aca="false">IF(T124="","",IF(T124=99999,"",T124))</f>
        <v/>
      </c>
      <c r="S124" s="27" t="str">
        <f aca="true">IF(T124="","",IF(T124=99999,"Concluído",IF(T124&lt;TODAY(),"Atrasado",IF(T124=TODAY(),"Hoje","Em dia"))))</f>
        <v/>
      </c>
      <c r="T124" s="28" t="str">
        <f aca="false">IF(COUNT(E124,G124,I124,K124,M124,O124)=0,"",MIN(IF(AND(E124&lt;&gt;"",F124=""),E124,99999),IF(AND(G124&lt;&gt;"",H124=""),G124,99999),IF(AND(I124&lt;&gt;"",J124=""),I124,99999),IF(AND(K124&lt;&gt;"",L124=""),K124,99999),IF(AND(M124&lt;&gt;"",N124=""),M124,99999),IF(AND(O124&lt;&gt;"",P124=""),O124,99999)))</f>
        <v/>
      </c>
    </row>
    <row r="125" customFormat="false" ht="15" hidden="false" customHeight="false" outlineLevel="0" collapsed="false">
      <c r="A125" s="20" t="n">
        <v>120</v>
      </c>
      <c r="B125" s="21"/>
      <c r="C125" s="21"/>
      <c r="D125" s="22"/>
      <c r="E125" s="23" t="str">
        <f aca="false">IF(OR(NOT(ISNUMBER($D125)),Config!$G$6&lt;&gt;"Sim"),"",$D125+Config!$F$6+IF(AND(Config!$F$6&gt;0,WEEKDAY($D125+Config!$F$6)=Config!$E$24),1,0))</f>
        <v/>
      </c>
      <c r="F125" s="24"/>
      <c r="G125" s="23" t="str">
        <f aca="false">IF(OR(NOT(ISNUMBER($D125)),Config!$G$7&lt;&gt;"Sim"),"",$D125+Config!$F$7+IF(AND(Config!$F$7&gt;0,WEEKDAY($D125+Config!$F$7)=Config!$E$24),1,0))</f>
        <v/>
      </c>
      <c r="H125" s="24"/>
      <c r="I125" s="23" t="str">
        <f aca="false">IF(OR(NOT(ISNUMBER($D125)),Config!$G$8&lt;&gt;"Sim"),"",$D125+Config!$F$8+IF(AND(Config!$F$8&gt;0,WEEKDAY($D125+Config!$F$8)=Config!$E$24),1,0))</f>
        <v/>
      </c>
      <c r="J125" s="24"/>
      <c r="K125" s="23" t="str">
        <f aca="false">IF(OR(NOT(ISNUMBER($D125)),Config!$G$9&lt;&gt;"Sim"),"",$D125+Config!$F$9+IF(AND(Config!$F$9&gt;0,WEEKDAY($D125+Config!$F$9)=Config!$E$24),1,0))</f>
        <v/>
      </c>
      <c r="L125" s="24"/>
      <c r="M125" s="23" t="str">
        <f aca="false">IF(OR(NOT(ISNUMBER($D125)),Config!$G$10&lt;&gt;"Sim"),"",$D125+Config!$F$10+IF(AND(Config!$F$10&gt;0,WEEKDAY($D125+Config!$F$10)=Config!$E$24),1,0))</f>
        <v/>
      </c>
      <c r="N125" s="24"/>
      <c r="O125" s="23" t="str">
        <f aca="false">IF(OR(NOT(ISNUMBER($D125)),Config!$G$11&lt;&gt;"Sim"),"",$D125+Config!$F$11+IF(AND(Config!$F$11&gt;0,WEEKDAY($D125+Config!$F$11)=Config!$E$24),1,0))</f>
        <v/>
      </c>
      <c r="P125" s="24"/>
      <c r="Q125" s="25" t="str">
        <f aca="false">IF(COUNT(E125,G125,I125,K125,M125,O125)=0,"",((E125&lt;&gt;"")*(F125&lt;&gt;"")+(G125&lt;&gt;"")*(H125&lt;&gt;"")+(I125&lt;&gt;"")*(J125&lt;&gt;"")+(K125&lt;&gt;"")*(L125&lt;&gt;"")+(M125&lt;&gt;"")*(N125&lt;&gt;"")+(O125&lt;&gt;"")*(P125&lt;&gt;""))/COUNT(E125,G125,I125,K125,M125,O125))</f>
        <v/>
      </c>
      <c r="R125" s="26" t="str">
        <f aca="false">IF(T125="","",IF(T125=99999,"",T125))</f>
        <v/>
      </c>
      <c r="S125" s="27" t="str">
        <f aca="true">IF(T125="","",IF(T125=99999,"Concluído",IF(T125&lt;TODAY(),"Atrasado",IF(T125=TODAY(),"Hoje","Em dia"))))</f>
        <v/>
      </c>
      <c r="T125" s="28" t="str">
        <f aca="false">IF(COUNT(E125,G125,I125,K125,M125,O125)=0,"",MIN(IF(AND(E125&lt;&gt;"",F125=""),E125,99999),IF(AND(G125&lt;&gt;"",H125=""),G125,99999),IF(AND(I125&lt;&gt;"",J125=""),I125,99999),IF(AND(K125&lt;&gt;"",L125=""),K125,99999),IF(AND(M125&lt;&gt;"",N125=""),M125,99999),IF(AND(O125&lt;&gt;"",P125=""),O125,99999)))</f>
        <v/>
      </c>
    </row>
    <row r="126" customFormat="false" ht="15" hidden="false" customHeight="false" outlineLevel="0" collapsed="false">
      <c r="A126" s="20" t="n">
        <v>121</v>
      </c>
      <c r="B126" s="21"/>
      <c r="C126" s="21"/>
      <c r="D126" s="22"/>
      <c r="E126" s="23" t="str">
        <f aca="false">IF(OR(NOT(ISNUMBER($D126)),Config!$G$6&lt;&gt;"Sim"),"",$D126+Config!$F$6+IF(AND(Config!$F$6&gt;0,WEEKDAY($D126+Config!$F$6)=Config!$E$24),1,0))</f>
        <v/>
      </c>
      <c r="F126" s="24"/>
      <c r="G126" s="23" t="str">
        <f aca="false">IF(OR(NOT(ISNUMBER($D126)),Config!$G$7&lt;&gt;"Sim"),"",$D126+Config!$F$7+IF(AND(Config!$F$7&gt;0,WEEKDAY($D126+Config!$F$7)=Config!$E$24),1,0))</f>
        <v/>
      </c>
      <c r="H126" s="24"/>
      <c r="I126" s="23" t="str">
        <f aca="false">IF(OR(NOT(ISNUMBER($D126)),Config!$G$8&lt;&gt;"Sim"),"",$D126+Config!$F$8+IF(AND(Config!$F$8&gt;0,WEEKDAY($D126+Config!$F$8)=Config!$E$24),1,0))</f>
        <v/>
      </c>
      <c r="J126" s="24"/>
      <c r="K126" s="23" t="str">
        <f aca="false">IF(OR(NOT(ISNUMBER($D126)),Config!$G$9&lt;&gt;"Sim"),"",$D126+Config!$F$9+IF(AND(Config!$F$9&gt;0,WEEKDAY($D126+Config!$F$9)=Config!$E$24),1,0))</f>
        <v/>
      </c>
      <c r="L126" s="24"/>
      <c r="M126" s="23" t="str">
        <f aca="false">IF(OR(NOT(ISNUMBER($D126)),Config!$G$10&lt;&gt;"Sim"),"",$D126+Config!$F$10+IF(AND(Config!$F$10&gt;0,WEEKDAY($D126+Config!$F$10)=Config!$E$24),1,0))</f>
        <v/>
      </c>
      <c r="N126" s="24"/>
      <c r="O126" s="23" t="str">
        <f aca="false">IF(OR(NOT(ISNUMBER($D126)),Config!$G$11&lt;&gt;"Sim"),"",$D126+Config!$F$11+IF(AND(Config!$F$11&gt;0,WEEKDAY($D126+Config!$F$11)=Config!$E$24),1,0))</f>
        <v/>
      </c>
      <c r="P126" s="24"/>
      <c r="Q126" s="25" t="str">
        <f aca="false">IF(COUNT(E126,G126,I126,K126,M126,O126)=0,"",((E126&lt;&gt;"")*(F126&lt;&gt;"")+(G126&lt;&gt;"")*(H126&lt;&gt;"")+(I126&lt;&gt;"")*(J126&lt;&gt;"")+(K126&lt;&gt;"")*(L126&lt;&gt;"")+(M126&lt;&gt;"")*(N126&lt;&gt;"")+(O126&lt;&gt;"")*(P126&lt;&gt;""))/COUNT(E126,G126,I126,K126,M126,O126))</f>
        <v/>
      </c>
      <c r="R126" s="26" t="str">
        <f aca="false">IF(T126="","",IF(T126=99999,"",T126))</f>
        <v/>
      </c>
      <c r="S126" s="27" t="str">
        <f aca="true">IF(T126="","",IF(T126=99999,"Concluído",IF(T126&lt;TODAY(),"Atrasado",IF(T126=TODAY(),"Hoje","Em dia"))))</f>
        <v/>
      </c>
      <c r="T126" s="28" t="str">
        <f aca="false">IF(COUNT(E126,G126,I126,K126,M126,O126)=0,"",MIN(IF(AND(E126&lt;&gt;"",F126=""),E126,99999),IF(AND(G126&lt;&gt;"",H126=""),G126,99999),IF(AND(I126&lt;&gt;"",J126=""),I126,99999),IF(AND(K126&lt;&gt;"",L126=""),K126,99999),IF(AND(M126&lt;&gt;"",N126=""),M126,99999),IF(AND(O126&lt;&gt;"",P126=""),O126,99999)))</f>
        <v/>
      </c>
    </row>
    <row r="127" customFormat="false" ht="15" hidden="false" customHeight="false" outlineLevel="0" collapsed="false">
      <c r="A127" s="20" t="n">
        <v>122</v>
      </c>
      <c r="B127" s="21"/>
      <c r="C127" s="21"/>
      <c r="D127" s="22"/>
      <c r="E127" s="23" t="str">
        <f aca="false">IF(OR(NOT(ISNUMBER($D127)),Config!$G$6&lt;&gt;"Sim"),"",$D127+Config!$F$6+IF(AND(Config!$F$6&gt;0,WEEKDAY($D127+Config!$F$6)=Config!$E$24),1,0))</f>
        <v/>
      </c>
      <c r="F127" s="24"/>
      <c r="G127" s="23" t="str">
        <f aca="false">IF(OR(NOT(ISNUMBER($D127)),Config!$G$7&lt;&gt;"Sim"),"",$D127+Config!$F$7+IF(AND(Config!$F$7&gt;0,WEEKDAY($D127+Config!$F$7)=Config!$E$24),1,0))</f>
        <v/>
      </c>
      <c r="H127" s="24"/>
      <c r="I127" s="23" t="str">
        <f aca="false">IF(OR(NOT(ISNUMBER($D127)),Config!$G$8&lt;&gt;"Sim"),"",$D127+Config!$F$8+IF(AND(Config!$F$8&gt;0,WEEKDAY($D127+Config!$F$8)=Config!$E$24),1,0))</f>
        <v/>
      </c>
      <c r="J127" s="24"/>
      <c r="K127" s="23" t="str">
        <f aca="false">IF(OR(NOT(ISNUMBER($D127)),Config!$G$9&lt;&gt;"Sim"),"",$D127+Config!$F$9+IF(AND(Config!$F$9&gt;0,WEEKDAY($D127+Config!$F$9)=Config!$E$24),1,0))</f>
        <v/>
      </c>
      <c r="L127" s="24"/>
      <c r="M127" s="23" t="str">
        <f aca="false">IF(OR(NOT(ISNUMBER($D127)),Config!$G$10&lt;&gt;"Sim"),"",$D127+Config!$F$10+IF(AND(Config!$F$10&gt;0,WEEKDAY($D127+Config!$F$10)=Config!$E$24),1,0))</f>
        <v/>
      </c>
      <c r="N127" s="24"/>
      <c r="O127" s="23" t="str">
        <f aca="false">IF(OR(NOT(ISNUMBER($D127)),Config!$G$11&lt;&gt;"Sim"),"",$D127+Config!$F$11+IF(AND(Config!$F$11&gt;0,WEEKDAY($D127+Config!$F$11)=Config!$E$24),1,0))</f>
        <v/>
      </c>
      <c r="P127" s="24"/>
      <c r="Q127" s="25" t="str">
        <f aca="false">IF(COUNT(E127,G127,I127,K127,M127,O127)=0,"",((E127&lt;&gt;"")*(F127&lt;&gt;"")+(G127&lt;&gt;"")*(H127&lt;&gt;"")+(I127&lt;&gt;"")*(J127&lt;&gt;"")+(K127&lt;&gt;"")*(L127&lt;&gt;"")+(M127&lt;&gt;"")*(N127&lt;&gt;"")+(O127&lt;&gt;"")*(P127&lt;&gt;""))/COUNT(E127,G127,I127,K127,M127,O127))</f>
        <v/>
      </c>
      <c r="R127" s="26" t="str">
        <f aca="false">IF(T127="","",IF(T127=99999,"",T127))</f>
        <v/>
      </c>
      <c r="S127" s="27" t="str">
        <f aca="true">IF(T127="","",IF(T127=99999,"Concluído",IF(T127&lt;TODAY(),"Atrasado",IF(T127=TODAY(),"Hoje","Em dia"))))</f>
        <v/>
      </c>
      <c r="T127" s="28" t="str">
        <f aca="false">IF(COUNT(E127,G127,I127,K127,M127,O127)=0,"",MIN(IF(AND(E127&lt;&gt;"",F127=""),E127,99999),IF(AND(G127&lt;&gt;"",H127=""),G127,99999),IF(AND(I127&lt;&gt;"",J127=""),I127,99999),IF(AND(K127&lt;&gt;"",L127=""),K127,99999),IF(AND(M127&lt;&gt;"",N127=""),M127,99999),IF(AND(O127&lt;&gt;"",P127=""),O127,99999)))</f>
        <v/>
      </c>
    </row>
    <row r="128" customFormat="false" ht="15" hidden="false" customHeight="false" outlineLevel="0" collapsed="false">
      <c r="A128" s="20" t="n">
        <v>123</v>
      </c>
      <c r="B128" s="21"/>
      <c r="C128" s="21"/>
      <c r="D128" s="22"/>
      <c r="E128" s="23" t="str">
        <f aca="false">IF(OR(NOT(ISNUMBER($D128)),Config!$G$6&lt;&gt;"Sim"),"",$D128+Config!$F$6+IF(AND(Config!$F$6&gt;0,WEEKDAY($D128+Config!$F$6)=Config!$E$24),1,0))</f>
        <v/>
      </c>
      <c r="F128" s="24"/>
      <c r="G128" s="23" t="str">
        <f aca="false">IF(OR(NOT(ISNUMBER($D128)),Config!$G$7&lt;&gt;"Sim"),"",$D128+Config!$F$7+IF(AND(Config!$F$7&gt;0,WEEKDAY($D128+Config!$F$7)=Config!$E$24),1,0))</f>
        <v/>
      </c>
      <c r="H128" s="24"/>
      <c r="I128" s="23" t="str">
        <f aca="false">IF(OR(NOT(ISNUMBER($D128)),Config!$G$8&lt;&gt;"Sim"),"",$D128+Config!$F$8+IF(AND(Config!$F$8&gt;0,WEEKDAY($D128+Config!$F$8)=Config!$E$24),1,0))</f>
        <v/>
      </c>
      <c r="J128" s="24"/>
      <c r="K128" s="23" t="str">
        <f aca="false">IF(OR(NOT(ISNUMBER($D128)),Config!$G$9&lt;&gt;"Sim"),"",$D128+Config!$F$9+IF(AND(Config!$F$9&gt;0,WEEKDAY($D128+Config!$F$9)=Config!$E$24),1,0))</f>
        <v/>
      </c>
      <c r="L128" s="24"/>
      <c r="M128" s="23" t="str">
        <f aca="false">IF(OR(NOT(ISNUMBER($D128)),Config!$G$10&lt;&gt;"Sim"),"",$D128+Config!$F$10+IF(AND(Config!$F$10&gt;0,WEEKDAY($D128+Config!$F$10)=Config!$E$24),1,0))</f>
        <v/>
      </c>
      <c r="N128" s="24"/>
      <c r="O128" s="23" t="str">
        <f aca="false">IF(OR(NOT(ISNUMBER($D128)),Config!$G$11&lt;&gt;"Sim"),"",$D128+Config!$F$11+IF(AND(Config!$F$11&gt;0,WEEKDAY($D128+Config!$F$11)=Config!$E$24),1,0))</f>
        <v/>
      </c>
      <c r="P128" s="24"/>
      <c r="Q128" s="25" t="str">
        <f aca="false">IF(COUNT(E128,G128,I128,K128,M128,O128)=0,"",((E128&lt;&gt;"")*(F128&lt;&gt;"")+(G128&lt;&gt;"")*(H128&lt;&gt;"")+(I128&lt;&gt;"")*(J128&lt;&gt;"")+(K128&lt;&gt;"")*(L128&lt;&gt;"")+(M128&lt;&gt;"")*(N128&lt;&gt;"")+(O128&lt;&gt;"")*(P128&lt;&gt;""))/COUNT(E128,G128,I128,K128,M128,O128))</f>
        <v/>
      </c>
      <c r="R128" s="26" t="str">
        <f aca="false">IF(T128="","",IF(T128=99999,"",T128))</f>
        <v/>
      </c>
      <c r="S128" s="27" t="str">
        <f aca="true">IF(T128="","",IF(T128=99999,"Concluído",IF(T128&lt;TODAY(),"Atrasado",IF(T128=TODAY(),"Hoje","Em dia"))))</f>
        <v/>
      </c>
      <c r="T128" s="28" t="str">
        <f aca="false">IF(COUNT(E128,G128,I128,K128,M128,O128)=0,"",MIN(IF(AND(E128&lt;&gt;"",F128=""),E128,99999),IF(AND(G128&lt;&gt;"",H128=""),G128,99999),IF(AND(I128&lt;&gt;"",J128=""),I128,99999),IF(AND(K128&lt;&gt;"",L128=""),K128,99999),IF(AND(M128&lt;&gt;"",N128=""),M128,99999),IF(AND(O128&lt;&gt;"",P128=""),O128,99999)))</f>
        <v/>
      </c>
    </row>
    <row r="129" customFormat="false" ht="15" hidden="false" customHeight="false" outlineLevel="0" collapsed="false">
      <c r="A129" s="20" t="n">
        <v>124</v>
      </c>
      <c r="B129" s="21"/>
      <c r="C129" s="21"/>
      <c r="D129" s="22"/>
      <c r="E129" s="23" t="str">
        <f aca="false">IF(OR(NOT(ISNUMBER($D129)),Config!$G$6&lt;&gt;"Sim"),"",$D129+Config!$F$6+IF(AND(Config!$F$6&gt;0,WEEKDAY($D129+Config!$F$6)=Config!$E$24),1,0))</f>
        <v/>
      </c>
      <c r="F129" s="24"/>
      <c r="G129" s="23" t="str">
        <f aca="false">IF(OR(NOT(ISNUMBER($D129)),Config!$G$7&lt;&gt;"Sim"),"",$D129+Config!$F$7+IF(AND(Config!$F$7&gt;0,WEEKDAY($D129+Config!$F$7)=Config!$E$24),1,0))</f>
        <v/>
      </c>
      <c r="H129" s="24"/>
      <c r="I129" s="23" t="str">
        <f aca="false">IF(OR(NOT(ISNUMBER($D129)),Config!$G$8&lt;&gt;"Sim"),"",$D129+Config!$F$8+IF(AND(Config!$F$8&gt;0,WEEKDAY($D129+Config!$F$8)=Config!$E$24),1,0))</f>
        <v/>
      </c>
      <c r="J129" s="24"/>
      <c r="K129" s="23" t="str">
        <f aca="false">IF(OR(NOT(ISNUMBER($D129)),Config!$G$9&lt;&gt;"Sim"),"",$D129+Config!$F$9+IF(AND(Config!$F$9&gt;0,WEEKDAY($D129+Config!$F$9)=Config!$E$24),1,0))</f>
        <v/>
      </c>
      <c r="L129" s="24"/>
      <c r="M129" s="23" t="str">
        <f aca="false">IF(OR(NOT(ISNUMBER($D129)),Config!$G$10&lt;&gt;"Sim"),"",$D129+Config!$F$10+IF(AND(Config!$F$10&gt;0,WEEKDAY($D129+Config!$F$10)=Config!$E$24),1,0))</f>
        <v/>
      </c>
      <c r="N129" s="24"/>
      <c r="O129" s="23" t="str">
        <f aca="false">IF(OR(NOT(ISNUMBER($D129)),Config!$G$11&lt;&gt;"Sim"),"",$D129+Config!$F$11+IF(AND(Config!$F$11&gt;0,WEEKDAY($D129+Config!$F$11)=Config!$E$24),1,0))</f>
        <v/>
      </c>
      <c r="P129" s="24"/>
      <c r="Q129" s="25" t="str">
        <f aca="false">IF(COUNT(E129,G129,I129,K129,M129,O129)=0,"",((E129&lt;&gt;"")*(F129&lt;&gt;"")+(G129&lt;&gt;"")*(H129&lt;&gt;"")+(I129&lt;&gt;"")*(J129&lt;&gt;"")+(K129&lt;&gt;"")*(L129&lt;&gt;"")+(M129&lt;&gt;"")*(N129&lt;&gt;"")+(O129&lt;&gt;"")*(P129&lt;&gt;""))/COUNT(E129,G129,I129,K129,M129,O129))</f>
        <v/>
      </c>
      <c r="R129" s="26" t="str">
        <f aca="false">IF(T129="","",IF(T129=99999,"",T129))</f>
        <v/>
      </c>
      <c r="S129" s="27" t="str">
        <f aca="true">IF(T129="","",IF(T129=99999,"Concluído",IF(T129&lt;TODAY(),"Atrasado",IF(T129=TODAY(),"Hoje","Em dia"))))</f>
        <v/>
      </c>
      <c r="T129" s="28" t="str">
        <f aca="false">IF(COUNT(E129,G129,I129,K129,M129,O129)=0,"",MIN(IF(AND(E129&lt;&gt;"",F129=""),E129,99999),IF(AND(G129&lt;&gt;"",H129=""),G129,99999),IF(AND(I129&lt;&gt;"",J129=""),I129,99999),IF(AND(K129&lt;&gt;"",L129=""),K129,99999),IF(AND(M129&lt;&gt;"",N129=""),M129,99999),IF(AND(O129&lt;&gt;"",P129=""),O129,99999)))</f>
        <v/>
      </c>
    </row>
    <row r="130" customFormat="false" ht="15" hidden="false" customHeight="false" outlineLevel="0" collapsed="false">
      <c r="A130" s="20" t="n">
        <v>125</v>
      </c>
      <c r="B130" s="21"/>
      <c r="C130" s="21"/>
      <c r="D130" s="22"/>
      <c r="E130" s="23" t="str">
        <f aca="false">IF(OR(NOT(ISNUMBER($D130)),Config!$G$6&lt;&gt;"Sim"),"",$D130+Config!$F$6+IF(AND(Config!$F$6&gt;0,WEEKDAY($D130+Config!$F$6)=Config!$E$24),1,0))</f>
        <v/>
      </c>
      <c r="F130" s="24"/>
      <c r="G130" s="23" t="str">
        <f aca="false">IF(OR(NOT(ISNUMBER($D130)),Config!$G$7&lt;&gt;"Sim"),"",$D130+Config!$F$7+IF(AND(Config!$F$7&gt;0,WEEKDAY($D130+Config!$F$7)=Config!$E$24),1,0))</f>
        <v/>
      </c>
      <c r="H130" s="24"/>
      <c r="I130" s="23" t="str">
        <f aca="false">IF(OR(NOT(ISNUMBER($D130)),Config!$G$8&lt;&gt;"Sim"),"",$D130+Config!$F$8+IF(AND(Config!$F$8&gt;0,WEEKDAY($D130+Config!$F$8)=Config!$E$24),1,0))</f>
        <v/>
      </c>
      <c r="J130" s="24"/>
      <c r="K130" s="23" t="str">
        <f aca="false">IF(OR(NOT(ISNUMBER($D130)),Config!$G$9&lt;&gt;"Sim"),"",$D130+Config!$F$9+IF(AND(Config!$F$9&gt;0,WEEKDAY($D130+Config!$F$9)=Config!$E$24),1,0))</f>
        <v/>
      </c>
      <c r="L130" s="24"/>
      <c r="M130" s="23" t="str">
        <f aca="false">IF(OR(NOT(ISNUMBER($D130)),Config!$G$10&lt;&gt;"Sim"),"",$D130+Config!$F$10+IF(AND(Config!$F$10&gt;0,WEEKDAY($D130+Config!$F$10)=Config!$E$24),1,0))</f>
        <v/>
      </c>
      <c r="N130" s="24"/>
      <c r="O130" s="23" t="str">
        <f aca="false">IF(OR(NOT(ISNUMBER($D130)),Config!$G$11&lt;&gt;"Sim"),"",$D130+Config!$F$11+IF(AND(Config!$F$11&gt;0,WEEKDAY($D130+Config!$F$11)=Config!$E$24),1,0))</f>
        <v/>
      </c>
      <c r="P130" s="24"/>
      <c r="Q130" s="25" t="str">
        <f aca="false">IF(COUNT(E130,G130,I130,K130,M130,O130)=0,"",((E130&lt;&gt;"")*(F130&lt;&gt;"")+(G130&lt;&gt;"")*(H130&lt;&gt;"")+(I130&lt;&gt;"")*(J130&lt;&gt;"")+(K130&lt;&gt;"")*(L130&lt;&gt;"")+(M130&lt;&gt;"")*(N130&lt;&gt;"")+(O130&lt;&gt;"")*(P130&lt;&gt;""))/COUNT(E130,G130,I130,K130,M130,O130))</f>
        <v/>
      </c>
      <c r="R130" s="26" t="str">
        <f aca="false">IF(T130="","",IF(T130=99999,"",T130))</f>
        <v/>
      </c>
      <c r="S130" s="27" t="str">
        <f aca="true">IF(T130="","",IF(T130=99999,"Concluído",IF(T130&lt;TODAY(),"Atrasado",IF(T130=TODAY(),"Hoje","Em dia"))))</f>
        <v/>
      </c>
      <c r="T130" s="28" t="str">
        <f aca="false">IF(COUNT(E130,G130,I130,K130,M130,O130)=0,"",MIN(IF(AND(E130&lt;&gt;"",F130=""),E130,99999),IF(AND(G130&lt;&gt;"",H130=""),G130,99999),IF(AND(I130&lt;&gt;"",J130=""),I130,99999),IF(AND(K130&lt;&gt;"",L130=""),K130,99999),IF(AND(M130&lt;&gt;"",N130=""),M130,99999),IF(AND(O130&lt;&gt;"",P130=""),O130,99999)))</f>
        <v/>
      </c>
    </row>
    <row r="131" customFormat="false" ht="15" hidden="false" customHeight="false" outlineLevel="0" collapsed="false">
      <c r="A131" s="20" t="n">
        <v>126</v>
      </c>
      <c r="B131" s="21"/>
      <c r="C131" s="21"/>
      <c r="D131" s="22"/>
      <c r="E131" s="23" t="str">
        <f aca="false">IF(OR(NOT(ISNUMBER($D131)),Config!$G$6&lt;&gt;"Sim"),"",$D131+Config!$F$6+IF(AND(Config!$F$6&gt;0,WEEKDAY($D131+Config!$F$6)=Config!$E$24),1,0))</f>
        <v/>
      </c>
      <c r="F131" s="24"/>
      <c r="G131" s="23" t="str">
        <f aca="false">IF(OR(NOT(ISNUMBER($D131)),Config!$G$7&lt;&gt;"Sim"),"",$D131+Config!$F$7+IF(AND(Config!$F$7&gt;0,WEEKDAY($D131+Config!$F$7)=Config!$E$24),1,0))</f>
        <v/>
      </c>
      <c r="H131" s="24"/>
      <c r="I131" s="23" t="str">
        <f aca="false">IF(OR(NOT(ISNUMBER($D131)),Config!$G$8&lt;&gt;"Sim"),"",$D131+Config!$F$8+IF(AND(Config!$F$8&gt;0,WEEKDAY($D131+Config!$F$8)=Config!$E$24),1,0))</f>
        <v/>
      </c>
      <c r="J131" s="24"/>
      <c r="K131" s="23" t="str">
        <f aca="false">IF(OR(NOT(ISNUMBER($D131)),Config!$G$9&lt;&gt;"Sim"),"",$D131+Config!$F$9+IF(AND(Config!$F$9&gt;0,WEEKDAY($D131+Config!$F$9)=Config!$E$24),1,0))</f>
        <v/>
      </c>
      <c r="L131" s="24"/>
      <c r="M131" s="23" t="str">
        <f aca="false">IF(OR(NOT(ISNUMBER($D131)),Config!$G$10&lt;&gt;"Sim"),"",$D131+Config!$F$10+IF(AND(Config!$F$10&gt;0,WEEKDAY($D131+Config!$F$10)=Config!$E$24),1,0))</f>
        <v/>
      </c>
      <c r="N131" s="24"/>
      <c r="O131" s="23" t="str">
        <f aca="false">IF(OR(NOT(ISNUMBER($D131)),Config!$G$11&lt;&gt;"Sim"),"",$D131+Config!$F$11+IF(AND(Config!$F$11&gt;0,WEEKDAY($D131+Config!$F$11)=Config!$E$24),1,0))</f>
        <v/>
      </c>
      <c r="P131" s="24"/>
      <c r="Q131" s="25" t="str">
        <f aca="false">IF(COUNT(E131,G131,I131,K131,M131,O131)=0,"",((E131&lt;&gt;"")*(F131&lt;&gt;"")+(G131&lt;&gt;"")*(H131&lt;&gt;"")+(I131&lt;&gt;"")*(J131&lt;&gt;"")+(K131&lt;&gt;"")*(L131&lt;&gt;"")+(M131&lt;&gt;"")*(N131&lt;&gt;"")+(O131&lt;&gt;"")*(P131&lt;&gt;""))/COUNT(E131,G131,I131,K131,M131,O131))</f>
        <v/>
      </c>
      <c r="R131" s="26" t="str">
        <f aca="false">IF(T131="","",IF(T131=99999,"",T131))</f>
        <v/>
      </c>
      <c r="S131" s="27" t="str">
        <f aca="true">IF(T131="","",IF(T131=99999,"Concluído",IF(T131&lt;TODAY(),"Atrasado",IF(T131=TODAY(),"Hoje","Em dia"))))</f>
        <v/>
      </c>
      <c r="T131" s="28" t="str">
        <f aca="false">IF(COUNT(E131,G131,I131,K131,M131,O131)=0,"",MIN(IF(AND(E131&lt;&gt;"",F131=""),E131,99999),IF(AND(G131&lt;&gt;"",H131=""),G131,99999),IF(AND(I131&lt;&gt;"",J131=""),I131,99999),IF(AND(K131&lt;&gt;"",L131=""),K131,99999),IF(AND(M131&lt;&gt;"",N131=""),M131,99999),IF(AND(O131&lt;&gt;"",P131=""),O131,99999)))</f>
        <v/>
      </c>
    </row>
    <row r="132" customFormat="false" ht="15" hidden="false" customHeight="false" outlineLevel="0" collapsed="false">
      <c r="A132" s="20" t="n">
        <v>127</v>
      </c>
      <c r="B132" s="21"/>
      <c r="C132" s="21"/>
      <c r="D132" s="22"/>
      <c r="E132" s="23" t="str">
        <f aca="false">IF(OR(NOT(ISNUMBER($D132)),Config!$G$6&lt;&gt;"Sim"),"",$D132+Config!$F$6+IF(AND(Config!$F$6&gt;0,WEEKDAY($D132+Config!$F$6)=Config!$E$24),1,0))</f>
        <v/>
      </c>
      <c r="F132" s="24"/>
      <c r="G132" s="23" t="str">
        <f aca="false">IF(OR(NOT(ISNUMBER($D132)),Config!$G$7&lt;&gt;"Sim"),"",$D132+Config!$F$7+IF(AND(Config!$F$7&gt;0,WEEKDAY($D132+Config!$F$7)=Config!$E$24),1,0))</f>
        <v/>
      </c>
      <c r="H132" s="24"/>
      <c r="I132" s="23" t="str">
        <f aca="false">IF(OR(NOT(ISNUMBER($D132)),Config!$G$8&lt;&gt;"Sim"),"",$D132+Config!$F$8+IF(AND(Config!$F$8&gt;0,WEEKDAY($D132+Config!$F$8)=Config!$E$24),1,0))</f>
        <v/>
      </c>
      <c r="J132" s="24"/>
      <c r="K132" s="23" t="str">
        <f aca="false">IF(OR(NOT(ISNUMBER($D132)),Config!$G$9&lt;&gt;"Sim"),"",$D132+Config!$F$9+IF(AND(Config!$F$9&gt;0,WEEKDAY($D132+Config!$F$9)=Config!$E$24),1,0))</f>
        <v/>
      </c>
      <c r="L132" s="24"/>
      <c r="M132" s="23" t="str">
        <f aca="false">IF(OR(NOT(ISNUMBER($D132)),Config!$G$10&lt;&gt;"Sim"),"",$D132+Config!$F$10+IF(AND(Config!$F$10&gt;0,WEEKDAY($D132+Config!$F$10)=Config!$E$24),1,0))</f>
        <v/>
      </c>
      <c r="N132" s="24"/>
      <c r="O132" s="23" t="str">
        <f aca="false">IF(OR(NOT(ISNUMBER($D132)),Config!$G$11&lt;&gt;"Sim"),"",$D132+Config!$F$11+IF(AND(Config!$F$11&gt;0,WEEKDAY($D132+Config!$F$11)=Config!$E$24),1,0))</f>
        <v/>
      </c>
      <c r="P132" s="24"/>
      <c r="Q132" s="25" t="str">
        <f aca="false">IF(COUNT(E132,G132,I132,K132,M132,O132)=0,"",((E132&lt;&gt;"")*(F132&lt;&gt;"")+(G132&lt;&gt;"")*(H132&lt;&gt;"")+(I132&lt;&gt;"")*(J132&lt;&gt;"")+(K132&lt;&gt;"")*(L132&lt;&gt;"")+(M132&lt;&gt;"")*(N132&lt;&gt;"")+(O132&lt;&gt;"")*(P132&lt;&gt;""))/COUNT(E132,G132,I132,K132,M132,O132))</f>
        <v/>
      </c>
      <c r="R132" s="26" t="str">
        <f aca="false">IF(T132="","",IF(T132=99999,"",T132))</f>
        <v/>
      </c>
      <c r="S132" s="27" t="str">
        <f aca="true">IF(T132="","",IF(T132=99999,"Concluído",IF(T132&lt;TODAY(),"Atrasado",IF(T132=TODAY(),"Hoje","Em dia"))))</f>
        <v/>
      </c>
      <c r="T132" s="28" t="str">
        <f aca="false">IF(COUNT(E132,G132,I132,K132,M132,O132)=0,"",MIN(IF(AND(E132&lt;&gt;"",F132=""),E132,99999),IF(AND(G132&lt;&gt;"",H132=""),G132,99999),IF(AND(I132&lt;&gt;"",J132=""),I132,99999),IF(AND(K132&lt;&gt;"",L132=""),K132,99999),IF(AND(M132&lt;&gt;"",N132=""),M132,99999),IF(AND(O132&lt;&gt;"",P132=""),O132,99999)))</f>
        <v/>
      </c>
    </row>
    <row r="133" customFormat="false" ht="15" hidden="false" customHeight="false" outlineLevel="0" collapsed="false">
      <c r="A133" s="20" t="n">
        <v>128</v>
      </c>
      <c r="B133" s="21"/>
      <c r="C133" s="21"/>
      <c r="D133" s="22"/>
      <c r="E133" s="23" t="str">
        <f aca="false">IF(OR(NOT(ISNUMBER($D133)),Config!$G$6&lt;&gt;"Sim"),"",$D133+Config!$F$6+IF(AND(Config!$F$6&gt;0,WEEKDAY($D133+Config!$F$6)=Config!$E$24),1,0))</f>
        <v/>
      </c>
      <c r="F133" s="24"/>
      <c r="G133" s="23" t="str">
        <f aca="false">IF(OR(NOT(ISNUMBER($D133)),Config!$G$7&lt;&gt;"Sim"),"",$D133+Config!$F$7+IF(AND(Config!$F$7&gt;0,WEEKDAY($D133+Config!$F$7)=Config!$E$24),1,0))</f>
        <v/>
      </c>
      <c r="H133" s="24"/>
      <c r="I133" s="23" t="str">
        <f aca="false">IF(OR(NOT(ISNUMBER($D133)),Config!$G$8&lt;&gt;"Sim"),"",$D133+Config!$F$8+IF(AND(Config!$F$8&gt;0,WEEKDAY($D133+Config!$F$8)=Config!$E$24),1,0))</f>
        <v/>
      </c>
      <c r="J133" s="24"/>
      <c r="K133" s="23" t="str">
        <f aca="false">IF(OR(NOT(ISNUMBER($D133)),Config!$G$9&lt;&gt;"Sim"),"",$D133+Config!$F$9+IF(AND(Config!$F$9&gt;0,WEEKDAY($D133+Config!$F$9)=Config!$E$24),1,0))</f>
        <v/>
      </c>
      <c r="L133" s="24"/>
      <c r="M133" s="23" t="str">
        <f aca="false">IF(OR(NOT(ISNUMBER($D133)),Config!$G$10&lt;&gt;"Sim"),"",$D133+Config!$F$10+IF(AND(Config!$F$10&gt;0,WEEKDAY($D133+Config!$F$10)=Config!$E$24),1,0))</f>
        <v/>
      </c>
      <c r="N133" s="24"/>
      <c r="O133" s="23" t="str">
        <f aca="false">IF(OR(NOT(ISNUMBER($D133)),Config!$G$11&lt;&gt;"Sim"),"",$D133+Config!$F$11+IF(AND(Config!$F$11&gt;0,WEEKDAY($D133+Config!$F$11)=Config!$E$24),1,0))</f>
        <v/>
      </c>
      <c r="P133" s="24"/>
      <c r="Q133" s="25" t="str">
        <f aca="false">IF(COUNT(E133,G133,I133,K133,M133,O133)=0,"",((E133&lt;&gt;"")*(F133&lt;&gt;"")+(G133&lt;&gt;"")*(H133&lt;&gt;"")+(I133&lt;&gt;"")*(J133&lt;&gt;"")+(K133&lt;&gt;"")*(L133&lt;&gt;"")+(M133&lt;&gt;"")*(N133&lt;&gt;"")+(O133&lt;&gt;"")*(P133&lt;&gt;""))/COUNT(E133,G133,I133,K133,M133,O133))</f>
        <v/>
      </c>
      <c r="R133" s="26" t="str">
        <f aca="false">IF(T133="","",IF(T133=99999,"",T133))</f>
        <v/>
      </c>
      <c r="S133" s="27" t="str">
        <f aca="true">IF(T133="","",IF(T133=99999,"Concluído",IF(T133&lt;TODAY(),"Atrasado",IF(T133=TODAY(),"Hoje","Em dia"))))</f>
        <v/>
      </c>
      <c r="T133" s="28" t="str">
        <f aca="false">IF(COUNT(E133,G133,I133,K133,M133,O133)=0,"",MIN(IF(AND(E133&lt;&gt;"",F133=""),E133,99999),IF(AND(G133&lt;&gt;"",H133=""),G133,99999),IF(AND(I133&lt;&gt;"",J133=""),I133,99999),IF(AND(K133&lt;&gt;"",L133=""),K133,99999),IF(AND(M133&lt;&gt;"",N133=""),M133,99999),IF(AND(O133&lt;&gt;"",P133=""),O133,99999)))</f>
        <v/>
      </c>
    </row>
    <row r="134" customFormat="false" ht="15" hidden="false" customHeight="false" outlineLevel="0" collapsed="false">
      <c r="A134" s="20" t="n">
        <v>129</v>
      </c>
      <c r="B134" s="21"/>
      <c r="C134" s="21"/>
      <c r="D134" s="22"/>
      <c r="E134" s="23" t="str">
        <f aca="false">IF(OR(NOT(ISNUMBER($D134)),Config!$G$6&lt;&gt;"Sim"),"",$D134+Config!$F$6+IF(AND(Config!$F$6&gt;0,WEEKDAY($D134+Config!$F$6)=Config!$E$24),1,0))</f>
        <v/>
      </c>
      <c r="F134" s="24"/>
      <c r="G134" s="23" t="str">
        <f aca="false">IF(OR(NOT(ISNUMBER($D134)),Config!$G$7&lt;&gt;"Sim"),"",$D134+Config!$F$7+IF(AND(Config!$F$7&gt;0,WEEKDAY($D134+Config!$F$7)=Config!$E$24),1,0))</f>
        <v/>
      </c>
      <c r="H134" s="24"/>
      <c r="I134" s="23" t="str">
        <f aca="false">IF(OR(NOT(ISNUMBER($D134)),Config!$G$8&lt;&gt;"Sim"),"",$D134+Config!$F$8+IF(AND(Config!$F$8&gt;0,WEEKDAY($D134+Config!$F$8)=Config!$E$24),1,0))</f>
        <v/>
      </c>
      <c r="J134" s="24"/>
      <c r="K134" s="23" t="str">
        <f aca="false">IF(OR(NOT(ISNUMBER($D134)),Config!$G$9&lt;&gt;"Sim"),"",$D134+Config!$F$9+IF(AND(Config!$F$9&gt;0,WEEKDAY($D134+Config!$F$9)=Config!$E$24),1,0))</f>
        <v/>
      </c>
      <c r="L134" s="24"/>
      <c r="M134" s="23" t="str">
        <f aca="false">IF(OR(NOT(ISNUMBER($D134)),Config!$G$10&lt;&gt;"Sim"),"",$D134+Config!$F$10+IF(AND(Config!$F$10&gt;0,WEEKDAY($D134+Config!$F$10)=Config!$E$24),1,0))</f>
        <v/>
      </c>
      <c r="N134" s="24"/>
      <c r="O134" s="23" t="str">
        <f aca="false">IF(OR(NOT(ISNUMBER($D134)),Config!$G$11&lt;&gt;"Sim"),"",$D134+Config!$F$11+IF(AND(Config!$F$11&gt;0,WEEKDAY($D134+Config!$F$11)=Config!$E$24),1,0))</f>
        <v/>
      </c>
      <c r="P134" s="24"/>
      <c r="Q134" s="25" t="str">
        <f aca="false">IF(COUNT(E134,G134,I134,K134,M134,O134)=0,"",((E134&lt;&gt;"")*(F134&lt;&gt;"")+(G134&lt;&gt;"")*(H134&lt;&gt;"")+(I134&lt;&gt;"")*(J134&lt;&gt;"")+(K134&lt;&gt;"")*(L134&lt;&gt;"")+(M134&lt;&gt;"")*(N134&lt;&gt;"")+(O134&lt;&gt;"")*(P134&lt;&gt;""))/COUNT(E134,G134,I134,K134,M134,O134))</f>
        <v/>
      </c>
      <c r="R134" s="26" t="str">
        <f aca="false">IF(T134="","",IF(T134=99999,"",T134))</f>
        <v/>
      </c>
      <c r="S134" s="27" t="str">
        <f aca="true">IF(T134="","",IF(T134=99999,"Concluído",IF(T134&lt;TODAY(),"Atrasado",IF(T134=TODAY(),"Hoje","Em dia"))))</f>
        <v/>
      </c>
      <c r="T134" s="28" t="str">
        <f aca="false">IF(COUNT(E134,G134,I134,K134,M134,O134)=0,"",MIN(IF(AND(E134&lt;&gt;"",F134=""),E134,99999),IF(AND(G134&lt;&gt;"",H134=""),G134,99999),IF(AND(I134&lt;&gt;"",J134=""),I134,99999),IF(AND(K134&lt;&gt;"",L134=""),K134,99999),IF(AND(M134&lt;&gt;"",N134=""),M134,99999),IF(AND(O134&lt;&gt;"",P134=""),O134,99999)))</f>
        <v/>
      </c>
    </row>
    <row r="135" customFormat="false" ht="15" hidden="false" customHeight="false" outlineLevel="0" collapsed="false">
      <c r="A135" s="20" t="n">
        <v>130</v>
      </c>
      <c r="B135" s="21"/>
      <c r="C135" s="21"/>
      <c r="D135" s="22"/>
      <c r="E135" s="23" t="str">
        <f aca="false">IF(OR(NOT(ISNUMBER($D135)),Config!$G$6&lt;&gt;"Sim"),"",$D135+Config!$F$6+IF(AND(Config!$F$6&gt;0,WEEKDAY($D135+Config!$F$6)=Config!$E$24),1,0))</f>
        <v/>
      </c>
      <c r="F135" s="24"/>
      <c r="G135" s="23" t="str">
        <f aca="false">IF(OR(NOT(ISNUMBER($D135)),Config!$G$7&lt;&gt;"Sim"),"",$D135+Config!$F$7+IF(AND(Config!$F$7&gt;0,WEEKDAY($D135+Config!$F$7)=Config!$E$24),1,0))</f>
        <v/>
      </c>
      <c r="H135" s="24"/>
      <c r="I135" s="23" t="str">
        <f aca="false">IF(OR(NOT(ISNUMBER($D135)),Config!$G$8&lt;&gt;"Sim"),"",$D135+Config!$F$8+IF(AND(Config!$F$8&gt;0,WEEKDAY($D135+Config!$F$8)=Config!$E$24),1,0))</f>
        <v/>
      </c>
      <c r="J135" s="24"/>
      <c r="K135" s="23" t="str">
        <f aca="false">IF(OR(NOT(ISNUMBER($D135)),Config!$G$9&lt;&gt;"Sim"),"",$D135+Config!$F$9+IF(AND(Config!$F$9&gt;0,WEEKDAY($D135+Config!$F$9)=Config!$E$24),1,0))</f>
        <v/>
      </c>
      <c r="L135" s="24"/>
      <c r="M135" s="23" t="str">
        <f aca="false">IF(OR(NOT(ISNUMBER($D135)),Config!$G$10&lt;&gt;"Sim"),"",$D135+Config!$F$10+IF(AND(Config!$F$10&gt;0,WEEKDAY($D135+Config!$F$10)=Config!$E$24),1,0))</f>
        <v/>
      </c>
      <c r="N135" s="24"/>
      <c r="O135" s="23" t="str">
        <f aca="false">IF(OR(NOT(ISNUMBER($D135)),Config!$G$11&lt;&gt;"Sim"),"",$D135+Config!$F$11+IF(AND(Config!$F$11&gt;0,WEEKDAY($D135+Config!$F$11)=Config!$E$24),1,0))</f>
        <v/>
      </c>
      <c r="P135" s="24"/>
      <c r="Q135" s="25" t="str">
        <f aca="false">IF(COUNT(E135,G135,I135,K135,M135,O135)=0,"",((E135&lt;&gt;"")*(F135&lt;&gt;"")+(G135&lt;&gt;"")*(H135&lt;&gt;"")+(I135&lt;&gt;"")*(J135&lt;&gt;"")+(K135&lt;&gt;"")*(L135&lt;&gt;"")+(M135&lt;&gt;"")*(N135&lt;&gt;"")+(O135&lt;&gt;"")*(P135&lt;&gt;""))/COUNT(E135,G135,I135,K135,M135,O135))</f>
        <v/>
      </c>
      <c r="R135" s="26" t="str">
        <f aca="false">IF(T135="","",IF(T135=99999,"",T135))</f>
        <v/>
      </c>
      <c r="S135" s="27" t="str">
        <f aca="true">IF(T135="","",IF(T135=99999,"Concluído",IF(T135&lt;TODAY(),"Atrasado",IF(T135=TODAY(),"Hoje","Em dia"))))</f>
        <v/>
      </c>
      <c r="T135" s="28" t="str">
        <f aca="false">IF(COUNT(E135,G135,I135,K135,M135,O135)=0,"",MIN(IF(AND(E135&lt;&gt;"",F135=""),E135,99999),IF(AND(G135&lt;&gt;"",H135=""),G135,99999),IF(AND(I135&lt;&gt;"",J135=""),I135,99999),IF(AND(K135&lt;&gt;"",L135=""),K135,99999),IF(AND(M135&lt;&gt;"",N135=""),M135,99999),IF(AND(O135&lt;&gt;"",P135=""),O135,99999)))</f>
        <v/>
      </c>
    </row>
    <row r="136" customFormat="false" ht="15" hidden="false" customHeight="false" outlineLevel="0" collapsed="false">
      <c r="A136" s="20" t="n">
        <v>131</v>
      </c>
      <c r="B136" s="21"/>
      <c r="C136" s="21"/>
      <c r="D136" s="22"/>
      <c r="E136" s="23" t="str">
        <f aca="false">IF(OR(NOT(ISNUMBER($D136)),Config!$G$6&lt;&gt;"Sim"),"",$D136+Config!$F$6+IF(AND(Config!$F$6&gt;0,WEEKDAY($D136+Config!$F$6)=Config!$E$24),1,0))</f>
        <v/>
      </c>
      <c r="F136" s="24"/>
      <c r="G136" s="23" t="str">
        <f aca="false">IF(OR(NOT(ISNUMBER($D136)),Config!$G$7&lt;&gt;"Sim"),"",$D136+Config!$F$7+IF(AND(Config!$F$7&gt;0,WEEKDAY($D136+Config!$F$7)=Config!$E$24),1,0))</f>
        <v/>
      </c>
      <c r="H136" s="24"/>
      <c r="I136" s="23" t="str">
        <f aca="false">IF(OR(NOT(ISNUMBER($D136)),Config!$G$8&lt;&gt;"Sim"),"",$D136+Config!$F$8+IF(AND(Config!$F$8&gt;0,WEEKDAY($D136+Config!$F$8)=Config!$E$24),1,0))</f>
        <v/>
      </c>
      <c r="J136" s="24"/>
      <c r="K136" s="23" t="str">
        <f aca="false">IF(OR(NOT(ISNUMBER($D136)),Config!$G$9&lt;&gt;"Sim"),"",$D136+Config!$F$9+IF(AND(Config!$F$9&gt;0,WEEKDAY($D136+Config!$F$9)=Config!$E$24),1,0))</f>
        <v/>
      </c>
      <c r="L136" s="24"/>
      <c r="M136" s="23" t="str">
        <f aca="false">IF(OR(NOT(ISNUMBER($D136)),Config!$G$10&lt;&gt;"Sim"),"",$D136+Config!$F$10+IF(AND(Config!$F$10&gt;0,WEEKDAY($D136+Config!$F$10)=Config!$E$24),1,0))</f>
        <v/>
      </c>
      <c r="N136" s="24"/>
      <c r="O136" s="23" t="str">
        <f aca="false">IF(OR(NOT(ISNUMBER($D136)),Config!$G$11&lt;&gt;"Sim"),"",$D136+Config!$F$11+IF(AND(Config!$F$11&gt;0,WEEKDAY($D136+Config!$F$11)=Config!$E$24),1,0))</f>
        <v/>
      </c>
      <c r="P136" s="24"/>
      <c r="Q136" s="25" t="str">
        <f aca="false">IF(COUNT(E136,G136,I136,K136,M136,O136)=0,"",((E136&lt;&gt;"")*(F136&lt;&gt;"")+(G136&lt;&gt;"")*(H136&lt;&gt;"")+(I136&lt;&gt;"")*(J136&lt;&gt;"")+(K136&lt;&gt;"")*(L136&lt;&gt;"")+(M136&lt;&gt;"")*(N136&lt;&gt;"")+(O136&lt;&gt;"")*(P136&lt;&gt;""))/COUNT(E136,G136,I136,K136,M136,O136))</f>
        <v/>
      </c>
      <c r="R136" s="26" t="str">
        <f aca="false">IF(T136="","",IF(T136=99999,"",T136))</f>
        <v/>
      </c>
      <c r="S136" s="27" t="str">
        <f aca="true">IF(T136="","",IF(T136=99999,"Concluído",IF(T136&lt;TODAY(),"Atrasado",IF(T136=TODAY(),"Hoje","Em dia"))))</f>
        <v/>
      </c>
      <c r="T136" s="28" t="str">
        <f aca="false">IF(COUNT(E136,G136,I136,K136,M136,O136)=0,"",MIN(IF(AND(E136&lt;&gt;"",F136=""),E136,99999),IF(AND(G136&lt;&gt;"",H136=""),G136,99999),IF(AND(I136&lt;&gt;"",J136=""),I136,99999),IF(AND(K136&lt;&gt;"",L136=""),K136,99999),IF(AND(M136&lt;&gt;"",N136=""),M136,99999),IF(AND(O136&lt;&gt;"",P136=""),O136,99999)))</f>
        <v/>
      </c>
    </row>
    <row r="137" customFormat="false" ht="15" hidden="false" customHeight="false" outlineLevel="0" collapsed="false">
      <c r="A137" s="20" t="n">
        <v>132</v>
      </c>
      <c r="B137" s="21"/>
      <c r="C137" s="21"/>
      <c r="D137" s="22"/>
      <c r="E137" s="23" t="str">
        <f aca="false">IF(OR(NOT(ISNUMBER($D137)),Config!$G$6&lt;&gt;"Sim"),"",$D137+Config!$F$6+IF(AND(Config!$F$6&gt;0,WEEKDAY($D137+Config!$F$6)=Config!$E$24),1,0))</f>
        <v/>
      </c>
      <c r="F137" s="24"/>
      <c r="G137" s="23" t="str">
        <f aca="false">IF(OR(NOT(ISNUMBER($D137)),Config!$G$7&lt;&gt;"Sim"),"",$D137+Config!$F$7+IF(AND(Config!$F$7&gt;0,WEEKDAY($D137+Config!$F$7)=Config!$E$24),1,0))</f>
        <v/>
      </c>
      <c r="H137" s="24"/>
      <c r="I137" s="23" t="str">
        <f aca="false">IF(OR(NOT(ISNUMBER($D137)),Config!$G$8&lt;&gt;"Sim"),"",$D137+Config!$F$8+IF(AND(Config!$F$8&gt;0,WEEKDAY($D137+Config!$F$8)=Config!$E$24),1,0))</f>
        <v/>
      </c>
      <c r="J137" s="24"/>
      <c r="K137" s="23" t="str">
        <f aca="false">IF(OR(NOT(ISNUMBER($D137)),Config!$G$9&lt;&gt;"Sim"),"",$D137+Config!$F$9+IF(AND(Config!$F$9&gt;0,WEEKDAY($D137+Config!$F$9)=Config!$E$24),1,0))</f>
        <v/>
      </c>
      <c r="L137" s="24"/>
      <c r="M137" s="23" t="str">
        <f aca="false">IF(OR(NOT(ISNUMBER($D137)),Config!$G$10&lt;&gt;"Sim"),"",$D137+Config!$F$10+IF(AND(Config!$F$10&gt;0,WEEKDAY($D137+Config!$F$10)=Config!$E$24),1,0))</f>
        <v/>
      </c>
      <c r="N137" s="24"/>
      <c r="O137" s="23" t="str">
        <f aca="false">IF(OR(NOT(ISNUMBER($D137)),Config!$G$11&lt;&gt;"Sim"),"",$D137+Config!$F$11+IF(AND(Config!$F$11&gt;0,WEEKDAY($D137+Config!$F$11)=Config!$E$24),1,0))</f>
        <v/>
      </c>
      <c r="P137" s="24"/>
      <c r="Q137" s="25" t="str">
        <f aca="false">IF(COUNT(E137,G137,I137,K137,M137,O137)=0,"",((E137&lt;&gt;"")*(F137&lt;&gt;"")+(G137&lt;&gt;"")*(H137&lt;&gt;"")+(I137&lt;&gt;"")*(J137&lt;&gt;"")+(K137&lt;&gt;"")*(L137&lt;&gt;"")+(M137&lt;&gt;"")*(N137&lt;&gt;"")+(O137&lt;&gt;"")*(P137&lt;&gt;""))/COUNT(E137,G137,I137,K137,M137,O137))</f>
        <v/>
      </c>
      <c r="R137" s="26" t="str">
        <f aca="false">IF(T137="","",IF(T137=99999,"",T137))</f>
        <v/>
      </c>
      <c r="S137" s="27" t="str">
        <f aca="true">IF(T137="","",IF(T137=99999,"Concluído",IF(T137&lt;TODAY(),"Atrasado",IF(T137=TODAY(),"Hoje","Em dia"))))</f>
        <v/>
      </c>
      <c r="T137" s="28" t="str">
        <f aca="false">IF(COUNT(E137,G137,I137,K137,M137,O137)=0,"",MIN(IF(AND(E137&lt;&gt;"",F137=""),E137,99999),IF(AND(G137&lt;&gt;"",H137=""),G137,99999),IF(AND(I137&lt;&gt;"",J137=""),I137,99999),IF(AND(K137&lt;&gt;"",L137=""),K137,99999),IF(AND(M137&lt;&gt;"",N137=""),M137,99999),IF(AND(O137&lt;&gt;"",P137=""),O137,99999)))</f>
        <v/>
      </c>
    </row>
    <row r="138" customFormat="false" ht="15" hidden="false" customHeight="false" outlineLevel="0" collapsed="false">
      <c r="A138" s="20" t="n">
        <v>133</v>
      </c>
      <c r="B138" s="21"/>
      <c r="C138" s="21"/>
      <c r="D138" s="22"/>
      <c r="E138" s="23" t="str">
        <f aca="false">IF(OR(NOT(ISNUMBER($D138)),Config!$G$6&lt;&gt;"Sim"),"",$D138+Config!$F$6+IF(AND(Config!$F$6&gt;0,WEEKDAY($D138+Config!$F$6)=Config!$E$24),1,0))</f>
        <v/>
      </c>
      <c r="F138" s="24"/>
      <c r="G138" s="23" t="str">
        <f aca="false">IF(OR(NOT(ISNUMBER($D138)),Config!$G$7&lt;&gt;"Sim"),"",$D138+Config!$F$7+IF(AND(Config!$F$7&gt;0,WEEKDAY($D138+Config!$F$7)=Config!$E$24),1,0))</f>
        <v/>
      </c>
      <c r="H138" s="24"/>
      <c r="I138" s="23" t="str">
        <f aca="false">IF(OR(NOT(ISNUMBER($D138)),Config!$G$8&lt;&gt;"Sim"),"",$D138+Config!$F$8+IF(AND(Config!$F$8&gt;0,WEEKDAY($D138+Config!$F$8)=Config!$E$24),1,0))</f>
        <v/>
      </c>
      <c r="J138" s="24"/>
      <c r="K138" s="23" t="str">
        <f aca="false">IF(OR(NOT(ISNUMBER($D138)),Config!$G$9&lt;&gt;"Sim"),"",$D138+Config!$F$9+IF(AND(Config!$F$9&gt;0,WEEKDAY($D138+Config!$F$9)=Config!$E$24),1,0))</f>
        <v/>
      </c>
      <c r="L138" s="24"/>
      <c r="M138" s="23" t="str">
        <f aca="false">IF(OR(NOT(ISNUMBER($D138)),Config!$G$10&lt;&gt;"Sim"),"",$D138+Config!$F$10+IF(AND(Config!$F$10&gt;0,WEEKDAY($D138+Config!$F$10)=Config!$E$24),1,0))</f>
        <v/>
      </c>
      <c r="N138" s="24"/>
      <c r="O138" s="23" t="str">
        <f aca="false">IF(OR(NOT(ISNUMBER($D138)),Config!$G$11&lt;&gt;"Sim"),"",$D138+Config!$F$11+IF(AND(Config!$F$11&gt;0,WEEKDAY($D138+Config!$F$11)=Config!$E$24),1,0))</f>
        <v/>
      </c>
      <c r="P138" s="24"/>
      <c r="Q138" s="25" t="str">
        <f aca="false">IF(COUNT(E138,G138,I138,K138,M138,O138)=0,"",((E138&lt;&gt;"")*(F138&lt;&gt;"")+(G138&lt;&gt;"")*(H138&lt;&gt;"")+(I138&lt;&gt;"")*(J138&lt;&gt;"")+(K138&lt;&gt;"")*(L138&lt;&gt;"")+(M138&lt;&gt;"")*(N138&lt;&gt;"")+(O138&lt;&gt;"")*(P138&lt;&gt;""))/COUNT(E138,G138,I138,K138,M138,O138))</f>
        <v/>
      </c>
      <c r="R138" s="26" t="str">
        <f aca="false">IF(T138="","",IF(T138=99999,"",T138))</f>
        <v/>
      </c>
      <c r="S138" s="27" t="str">
        <f aca="true">IF(T138="","",IF(T138=99999,"Concluído",IF(T138&lt;TODAY(),"Atrasado",IF(T138=TODAY(),"Hoje","Em dia"))))</f>
        <v/>
      </c>
      <c r="T138" s="28" t="str">
        <f aca="false">IF(COUNT(E138,G138,I138,K138,M138,O138)=0,"",MIN(IF(AND(E138&lt;&gt;"",F138=""),E138,99999),IF(AND(G138&lt;&gt;"",H138=""),G138,99999),IF(AND(I138&lt;&gt;"",J138=""),I138,99999),IF(AND(K138&lt;&gt;"",L138=""),K138,99999),IF(AND(M138&lt;&gt;"",N138=""),M138,99999),IF(AND(O138&lt;&gt;"",P138=""),O138,99999)))</f>
        <v/>
      </c>
    </row>
    <row r="139" customFormat="false" ht="15" hidden="false" customHeight="false" outlineLevel="0" collapsed="false">
      <c r="A139" s="20" t="n">
        <v>134</v>
      </c>
      <c r="B139" s="21"/>
      <c r="C139" s="21"/>
      <c r="D139" s="22"/>
      <c r="E139" s="23" t="str">
        <f aca="false">IF(OR(NOT(ISNUMBER($D139)),Config!$G$6&lt;&gt;"Sim"),"",$D139+Config!$F$6+IF(AND(Config!$F$6&gt;0,WEEKDAY($D139+Config!$F$6)=Config!$E$24),1,0))</f>
        <v/>
      </c>
      <c r="F139" s="24"/>
      <c r="G139" s="23" t="str">
        <f aca="false">IF(OR(NOT(ISNUMBER($D139)),Config!$G$7&lt;&gt;"Sim"),"",$D139+Config!$F$7+IF(AND(Config!$F$7&gt;0,WEEKDAY($D139+Config!$F$7)=Config!$E$24),1,0))</f>
        <v/>
      </c>
      <c r="H139" s="24"/>
      <c r="I139" s="23" t="str">
        <f aca="false">IF(OR(NOT(ISNUMBER($D139)),Config!$G$8&lt;&gt;"Sim"),"",$D139+Config!$F$8+IF(AND(Config!$F$8&gt;0,WEEKDAY($D139+Config!$F$8)=Config!$E$24),1,0))</f>
        <v/>
      </c>
      <c r="J139" s="24"/>
      <c r="K139" s="23" t="str">
        <f aca="false">IF(OR(NOT(ISNUMBER($D139)),Config!$G$9&lt;&gt;"Sim"),"",$D139+Config!$F$9+IF(AND(Config!$F$9&gt;0,WEEKDAY($D139+Config!$F$9)=Config!$E$24),1,0))</f>
        <v/>
      </c>
      <c r="L139" s="24"/>
      <c r="M139" s="23" t="str">
        <f aca="false">IF(OR(NOT(ISNUMBER($D139)),Config!$G$10&lt;&gt;"Sim"),"",$D139+Config!$F$10+IF(AND(Config!$F$10&gt;0,WEEKDAY($D139+Config!$F$10)=Config!$E$24),1,0))</f>
        <v/>
      </c>
      <c r="N139" s="24"/>
      <c r="O139" s="23" t="str">
        <f aca="false">IF(OR(NOT(ISNUMBER($D139)),Config!$G$11&lt;&gt;"Sim"),"",$D139+Config!$F$11+IF(AND(Config!$F$11&gt;0,WEEKDAY($D139+Config!$F$11)=Config!$E$24),1,0))</f>
        <v/>
      </c>
      <c r="P139" s="24"/>
      <c r="Q139" s="25" t="str">
        <f aca="false">IF(COUNT(E139,G139,I139,K139,M139,O139)=0,"",((E139&lt;&gt;"")*(F139&lt;&gt;"")+(G139&lt;&gt;"")*(H139&lt;&gt;"")+(I139&lt;&gt;"")*(J139&lt;&gt;"")+(K139&lt;&gt;"")*(L139&lt;&gt;"")+(M139&lt;&gt;"")*(N139&lt;&gt;"")+(O139&lt;&gt;"")*(P139&lt;&gt;""))/COUNT(E139,G139,I139,K139,M139,O139))</f>
        <v/>
      </c>
      <c r="R139" s="26" t="str">
        <f aca="false">IF(T139="","",IF(T139=99999,"",T139))</f>
        <v/>
      </c>
      <c r="S139" s="27" t="str">
        <f aca="true">IF(T139="","",IF(T139=99999,"Concluído",IF(T139&lt;TODAY(),"Atrasado",IF(T139=TODAY(),"Hoje","Em dia"))))</f>
        <v/>
      </c>
      <c r="T139" s="28" t="str">
        <f aca="false">IF(COUNT(E139,G139,I139,K139,M139,O139)=0,"",MIN(IF(AND(E139&lt;&gt;"",F139=""),E139,99999),IF(AND(G139&lt;&gt;"",H139=""),G139,99999),IF(AND(I139&lt;&gt;"",J139=""),I139,99999),IF(AND(K139&lt;&gt;"",L139=""),K139,99999),IF(AND(M139&lt;&gt;"",N139=""),M139,99999),IF(AND(O139&lt;&gt;"",P139=""),O139,99999)))</f>
        <v/>
      </c>
    </row>
    <row r="140" customFormat="false" ht="15" hidden="false" customHeight="false" outlineLevel="0" collapsed="false">
      <c r="A140" s="20" t="n">
        <v>135</v>
      </c>
      <c r="B140" s="21"/>
      <c r="C140" s="21"/>
      <c r="D140" s="22"/>
      <c r="E140" s="23" t="str">
        <f aca="false">IF(OR(NOT(ISNUMBER($D140)),Config!$G$6&lt;&gt;"Sim"),"",$D140+Config!$F$6+IF(AND(Config!$F$6&gt;0,WEEKDAY($D140+Config!$F$6)=Config!$E$24),1,0))</f>
        <v/>
      </c>
      <c r="F140" s="24"/>
      <c r="G140" s="23" t="str">
        <f aca="false">IF(OR(NOT(ISNUMBER($D140)),Config!$G$7&lt;&gt;"Sim"),"",$D140+Config!$F$7+IF(AND(Config!$F$7&gt;0,WEEKDAY($D140+Config!$F$7)=Config!$E$24),1,0))</f>
        <v/>
      </c>
      <c r="H140" s="24"/>
      <c r="I140" s="23" t="str">
        <f aca="false">IF(OR(NOT(ISNUMBER($D140)),Config!$G$8&lt;&gt;"Sim"),"",$D140+Config!$F$8+IF(AND(Config!$F$8&gt;0,WEEKDAY($D140+Config!$F$8)=Config!$E$24),1,0))</f>
        <v/>
      </c>
      <c r="J140" s="24"/>
      <c r="K140" s="23" t="str">
        <f aca="false">IF(OR(NOT(ISNUMBER($D140)),Config!$G$9&lt;&gt;"Sim"),"",$D140+Config!$F$9+IF(AND(Config!$F$9&gt;0,WEEKDAY($D140+Config!$F$9)=Config!$E$24),1,0))</f>
        <v/>
      </c>
      <c r="L140" s="24"/>
      <c r="M140" s="23" t="str">
        <f aca="false">IF(OR(NOT(ISNUMBER($D140)),Config!$G$10&lt;&gt;"Sim"),"",$D140+Config!$F$10+IF(AND(Config!$F$10&gt;0,WEEKDAY($D140+Config!$F$10)=Config!$E$24),1,0))</f>
        <v/>
      </c>
      <c r="N140" s="24"/>
      <c r="O140" s="23" t="str">
        <f aca="false">IF(OR(NOT(ISNUMBER($D140)),Config!$G$11&lt;&gt;"Sim"),"",$D140+Config!$F$11+IF(AND(Config!$F$11&gt;0,WEEKDAY($D140+Config!$F$11)=Config!$E$24),1,0))</f>
        <v/>
      </c>
      <c r="P140" s="24"/>
      <c r="Q140" s="25" t="str">
        <f aca="false">IF(COUNT(E140,G140,I140,K140,M140,O140)=0,"",((E140&lt;&gt;"")*(F140&lt;&gt;"")+(G140&lt;&gt;"")*(H140&lt;&gt;"")+(I140&lt;&gt;"")*(J140&lt;&gt;"")+(K140&lt;&gt;"")*(L140&lt;&gt;"")+(M140&lt;&gt;"")*(N140&lt;&gt;"")+(O140&lt;&gt;"")*(P140&lt;&gt;""))/COUNT(E140,G140,I140,K140,M140,O140))</f>
        <v/>
      </c>
      <c r="R140" s="26" t="str">
        <f aca="false">IF(T140="","",IF(T140=99999,"",T140))</f>
        <v/>
      </c>
      <c r="S140" s="27" t="str">
        <f aca="true">IF(T140="","",IF(T140=99999,"Concluído",IF(T140&lt;TODAY(),"Atrasado",IF(T140=TODAY(),"Hoje","Em dia"))))</f>
        <v/>
      </c>
      <c r="T140" s="28" t="str">
        <f aca="false">IF(COUNT(E140,G140,I140,K140,M140,O140)=0,"",MIN(IF(AND(E140&lt;&gt;"",F140=""),E140,99999),IF(AND(G140&lt;&gt;"",H140=""),G140,99999),IF(AND(I140&lt;&gt;"",J140=""),I140,99999),IF(AND(K140&lt;&gt;"",L140=""),K140,99999),IF(AND(M140&lt;&gt;"",N140=""),M140,99999),IF(AND(O140&lt;&gt;"",P140=""),O140,99999)))</f>
        <v/>
      </c>
    </row>
    <row r="141" customFormat="false" ht="15" hidden="false" customHeight="false" outlineLevel="0" collapsed="false">
      <c r="A141" s="20" t="n">
        <v>136</v>
      </c>
      <c r="B141" s="21"/>
      <c r="C141" s="21"/>
      <c r="D141" s="22"/>
      <c r="E141" s="23" t="str">
        <f aca="false">IF(OR(NOT(ISNUMBER($D141)),Config!$G$6&lt;&gt;"Sim"),"",$D141+Config!$F$6+IF(AND(Config!$F$6&gt;0,WEEKDAY($D141+Config!$F$6)=Config!$E$24),1,0))</f>
        <v/>
      </c>
      <c r="F141" s="24"/>
      <c r="G141" s="23" t="str">
        <f aca="false">IF(OR(NOT(ISNUMBER($D141)),Config!$G$7&lt;&gt;"Sim"),"",$D141+Config!$F$7+IF(AND(Config!$F$7&gt;0,WEEKDAY($D141+Config!$F$7)=Config!$E$24),1,0))</f>
        <v/>
      </c>
      <c r="H141" s="24"/>
      <c r="I141" s="23" t="str">
        <f aca="false">IF(OR(NOT(ISNUMBER($D141)),Config!$G$8&lt;&gt;"Sim"),"",$D141+Config!$F$8+IF(AND(Config!$F$8&gt;0,WEEKDAY($D141+Config!$F$8)=Config!$E$24),1,0))</f>
        <v/>
      </c>
      <c r="J141" s="24"/>
      <c r="K141" s="23" t="str">
        <f aca="false">IF(OR(NOT(ISNUMBER($D141)),Config!$G$9&lt;&gt;"Sim"),"",$D141+Config!$F$9+IF(AND(Config!$F$9&gt;0,WEEKDAY($D141+Config!$F$9)=Config!$E$24),1,0))</f>
        <v/>
      </c>
      <c r="L141" s="24"/>
      <c r="M141" s="23" t="str">
        <f aca="false">IF(OR(NOT(ISNUMBER($D141)),Config!$G$10&lt;&gt;"Sim"),"",$D141+Config!$F$10+IF(AND(Config!$F$10&gt;0,WEEKDAY($D141+Config!$F$10)=Config!$E$24),1,0))</f>
        <v/>
      </c>
      <c r="N141" s="24"/>
      <c r="O141" s="23" t="str">
        <f aca="false">IF(OR(NOT(ISNUMBER($D141)),Config!$G$11&lt;&gt;"Sim"),"",$D141+Config!$F$11+IF(AND(Config!$F$11&gt;0,WEEKDAY($D141+Config!$F$11)=Config!$E$24),1,0))</f>
        <v/>
      </c>
      <c r="P141" s="24"/>
      <c r="Q141" s="25" t="str">
        <f aca="false">IF(COUNT(E141,G141,I141,K141,M141,O141)=0,"",((E141&lt;&gt;"")*(F141&lt;&gt;"")+(G141&lt;&gt;"")*(H141&lt;&gt;"")+(I141&lt;&gt;"")*(J141&lt;&gt;"")+(K141&lt;&gt;"")*(L141&lt;&gt;"")+(M141&lt;&gt;"")*(N141&lt;&gt;"")+(O141&lt;&gt;"")*(P141&lt;&gt;""))/COUNT(E141,G141,I141,K141,M141,O141))</f>
        <v/>
      </c>
      <c r="R141" s="26" t="str">
        <f aca="false">IF(T141="","",IF(T141=99999,"",T141))</f>
        <v/>
      </c>
      <c r="S141" s="27" t="str">
        <f aca="true">IF(T141="","",IF(T141=99999,"Concluído",IF(T141&lt;TODAY(),"Atrasado",IF(T141=TODAY(),"Hoje","Em dia"))))</f>
        <v/>
      </c>
      <c r="T141" s="28" t="str">
        <f aca="false">IF(COUNT(E141,G141,I141,K141,M141,O141)=0,"",MIN(IF(AND(E141&lt;&gt;"",F141=""),E141,99999),IF(AND(G141&lt;&gt;"",H141=""),G141,99999),IF(AND(I141&lt;&gt;"",J141=""),I141,99999),IF(AND(K141&lt;&gt;"",L141=""),K141,99999),IF(AND(M141&lt;&gt;"",N141=""),M141,99999),IF(AND(O141&lt;&gt;"",P141=""),O141,99999)))</f>
        <v/>
      </c>
    </row>
    <row r="142" customFormat="false" ht="15" hidden="false" customHeight="false" outlineLevel="0" collapsed="false">
      <c r="A142" s="20" t="n">
        <v>137</v>
      </c>
      <c r="B142" s="21"/>
      <c r="C142" s="21"/>
      <c r="D142" s="22"/>
      <c r="E142" s="23" t="str">
        <f aca="false">IF(OR(NOT(ISNUMBER($D142)),Config!$G$6&lt;&gt;"Sim"),"",$D142+Config!$F$6+IF(AND(Config!$F$6&gt;0,WEEKDAY($D142+Config!$F$6)=Config!$E$24),1,0))</f>
        <v/>
      </c>
      <c r="F142" s="24"/>
      <c r="G142" s="23" t="str">
        <f aca="false">IF(OR(NOT(ISNUMBER($D142)),Config!$G$7&lt;&gt;"Sim"),"",$D142+Config!$F$7+IF(AND(Config!$F$7&gt;0,WEEKDAY($D142+Config!$F$7)=Config!$E$24),1,0))</f>
        <v/>
      </c>
      <c r="H142" s="24"/>
      <c r="I142" s="23" t="str">
        <f aca="false">IF(OR(NOT(ISNUMBER($D142)),Config!$G$8&lt;&gt;"Sim"),"",$D142+Config!$F$8+IF(AND(Config!$F$8&gt;0,WEEKDAY($D142+Config!$F$8)=Config!$E$24),1,0))</f>
        <v/>
      </c>
      <c r="J142" s="24"/>
      <c r="K142" s="23" t="str">
        <f aca="false">IF(OR(NOT(ISNUMBER($D142)),Config!$G$9&lt;&gt;"Sim"),"",$D142+Config!$F$9+IF(AND(Config!$F$9&gt;0,WEEKDAY($D142+Config!$F$9)=Config!$E$24),1,0))</f>
        <v/>
      </c>
      <c r="L142" s="24"/>
      <c r="M142" s="23" t="str">
        <f aca="false">IF(OR(NOT(ISNUMBER($D142)),Config!$G$10&lt;&gt;"Sim"),"",$D142+Config!$F$10+IF(AND(Config!$F$10&gt;0,WEEKDAY($D142+Config!$F$10)=Config!$E$24),1,0))</f>
        <v/>
      </c>
      <c r="N142" s="24"/>
      <c r="O142" s="23" t="str">
        <f aca="false">IF(OR(NOT(ISNUMBER($D142)),Config!$G$11&lt;&gt;"Sim"),"",$D142+Config!$F$11+IF(AND(Config!$F$11&gt;0,WEEKDAY($D142+Config!$F$11)=Config!$E$24),1,0))</f>
        <v/>
      </c>
      <c r="P142" s="24"/>
      <c r="Q142" s="25" t="str">
        <f aca="false">IF(COUNT(E142,G142,I142,K142,M142,O142)=0,"",((E142&lt;&gt;"")*(F142&lt;&gt;"")+(G142&lt;&gt;"")*(H142&lt;&gt;"")+(I142&lt;&gt;"")*(J142&lt;&gt;"")+(K142&lt;&gt;"")*(L142&lt;&gt;"")+(M142&lt;&gt;"")*(N142&lt;&gt;"")+(O142&lt;&gt;"")*(P142&lt;&gt;""))/COUNT(E142,G142,I142,K142,M142,O142))</f>
        <v/>
      </c>
      <c r="R142" s="26" t="str">
        <f aca="false">IF(T142="","",IF(T142=99999,"",T142))</f>
        <v/>
      </c>
      <c r="S142" s="27" t="str">
        <f aca="true">IF(T142="","",IF(T142=99999,"Concluído",IF(T142&lt;TODAY(),"Atrasado",IF(T142=TODAY(),"Hoje","Em dia"))))</f>
        <v/>
      </c>
      <c r="T142" s="28" t="str">
        <f aca="false">IF(COUNT(E142,G142,I142,K142,M142,O142)=0,"",MIN(IF(AND(E142&lt;&gt;"",F142=""),E142,99999),IF(AND(G142&lt;&gt;"",H142=""),G142,99999),IF(AND(I142&lt;&gt;"",J142=""),I142,99999),IF(AND(K142&lt;&gt;"",L142=""),K142,99999),IF(AND(M142&lt;&gt;"",N142=""),M142,99999),IF(AND(O142&lt;&gt;"",P142=""),O142,99999)))</f>
        <v/>
      </c>
    </row>
    <row r="143" customFormat="false" ht="15" hidden="false" customHeight="false" outlineLevel="0" collapsed="false">
      <c r="A143" s="20" t="n">
        <v>138</v>
      </c>
      <c r="B143" s="21"/>
      <c r="C143" s="21"/>
      <c r="D143" s="22"/>
      <c r="E143" s="23" t="str">
        <f aca="false">IF(OR(NOT(ISNUMBER($D143)),Config!$G$6&lt;&gt;"Sim"),"",$D143+Config!$F$6+IF(AND(Config!$F$6&gt;0,WEEKDAY($D143+Config!$F$6)=Config!$E$24),1,0))</f>
        <v/>
      </c>
      <c r="F143" s="24"/>
      <c r="G143" s="23" t="str">
        <f aca="false">IF(OR(NOT(ISNUMBER($D143)),Config!$G$7&lt;&gt;"Sim"),"",$D143+Config!$F$7+IF(AND(Config!$F$7&gt;0,WEEKDAY($D143+Config!$F$7)=Config!$E$24),1,0))</f>
        <v/>
      </c>
      <c r="H143" s="24"/>
      <c r="I143" s="23" t="str">
        <f aca="false">IF(OR(NOT(ISNUMBER($D143)),Config!$G$8&lt;&gt;"Sim"),"",$D143+Config!$F$8+IF(AND(Config!$F$8&gt;0,WEEKDAY($D143+Config!$F$8)=Config!$E$24),1,0))</f>
        <v/>
      </c>
      <c r="J143" s="24"/>
      <c r="K143" s="23" t="str">
        <f aca="false">IF(OR(NOT(ISNUMBER($D143)),Config!$G$9&lt;&gt;"Sim"),"",$D143+Config!$F$9+IF(AND(Config!$F$9&gt;0,WEEKDAY($D143+Config!$F$9)=Config!$E$24),1,0))</f>
        <v/>
      </c>
      <c r="L143" s="24"/>
      <c r="M143" s="23" t="str">
        <f aca="false">IF(OR(NOT(ISNUMBER($D143)),Config!$G$10&lt;&gt;"Sim"),"",$D143+Config!$F$10+IF(AND(Config!$F$10&gt;0,WEEKDAY($D143+Config!$F$10)=Config!$E$24),1,0))</f>
        <v/>
      </c>
      <c r="N143" s="24"/>
      <c r="O143" s="23" t="str">
        <f aca="false">IF(OR(NOT(ISNUMBER($D143)),Config!$G$11&lt;&gt;"Sim"),"",$D143+Config!$F$11+IF(AND(Config!$F$11&gt;0,WEEKDAY($D143+Config!$F$11)=Config!$E$24),1,0))</f>
        <v/>
      </c>
      <c r="P143" s="24"/>
      <c r="Q143" s="25" t="str">
        <f aca="false">IF(COUNT(E143,G143,I143,K143,M143,O143)=0,"",((E143&lt;&gt;"")*(F143&lt;&gt;"")+(G143&lt;&gt;"")*(H143&lt;&gt;"")+(I143&lt;&gt;"")*(J143&lt;&gt;"")+(K143&lt;&gt;"")*(L143&lt;&gt;"")+(M143&lt;&gt;"")*(N143&lt;&gt;"")+(O143&lt;&gt;"")*(P143&lt;&gt;""))/COUNT(E143,G143,I143,K143,M143,O143))</f>
        <v/>
      </c>
      <c r="R143" s="26" t="str">
        <f aca="false">IF(T143="","",IF(T143=99999,"",T143))</f>
        <v/>
      </c>
      <c r="S143" s="27" t="str">
        <f aca="true">IF(T143="","",IF(T143=99999,"Concluído",IF(T143&lt;TODAY(),"Atrasado",IF(T143=TODAY(),"Hoje","Em dia"))))</f>
        <v/>
      </c>
      <c r="T143" s="28" t="str">
        <f aca="false">IF(COUNT(E143,G143,I143,K143,M143,O143)=0,"",MIN(IF(AND(E143&lt;&gt;"",F143=""),E143,99999),IF(AND(G143&lt;&gt;"",H143=""),G143,99999),IF(AND(I143&lt;&gt;"",J143=""),I143,99999),IF(AND(K143&lt;&gt;"",L143=""),K143,99999),IF(AND(M143&lt;&gt;"",N143=""),M143,99999),IF(AND(O143&lt;&gt;"",P143=""),O143,99999)))</f>
        <v/>
      </c>
    </row>
    <row r="144" customFormat="false" ht="15" hidden="false" customHeight="false" outlineLevel="0" collapsed="false">
      <c r="A144" s="20" t="n">
        <v>139</v>
      </c>
      <c r="B144" s="21"/>
      <c r="C144" s="21"/>
      <c r="D144" s="22"/>
      <c r="E144" s="23" t="str">
        <f aca="false">IF(OR(NOT(ISNUMBER($D144)),Config!$G$6&lt;&gt;"Sim"),"",$D144+Config!$F$6+IF(AND(Config!$F$6&gt;0,WEEKDAY($D144+Config!$F$6)=Config!$E$24),1,0))</f>
        <v/>
      </c>
      <c r="F144" s="24"/>
      <c r="G144" s="23" t="str">
        <f aca="false">IF(OR(NOT(ISNUMBER($D144)),Config!$G$7&lt;&gt;"Sim"),"",$D144+Config!$F$7+IF(AND(Config!$F$7&gt;0,WEEKDAY($D144+Config!$F$7)=Config!$E$24),1,0))</f>
        <v/>
      </c>
      <c r="H144" s="24"/>
      <c r="I144" s="23" t="str">
        <f aca="false">IF(OR(NOT(ISNUMBER($D144)),Config!$G$8&lt;&gt;"Sim"),"",$D144+Config!$F$8+IF(AND(Config!$F$8&gt;0,WEEKDAY($D144+Config!$F$8)=Config!$E$24),1,0))</f>
        <v/>
      </c>
      <c r="J144" s="24"/>
      <c r="K144" s="23" t="str">
        <f aca="false">IF(OR(NOT(ISNUMBER($D144)),Config!$G$9&lt;&gt;"Sim"),"",$D144+Config!$F$9+IF(AND(Config!$F$9&gt;0,WEEKDAY($D144+Config!$F$9)=Config!$E$24),1,0))</f>
        <v/>
      </c>
      <c r="L144" s="24"/>
      <c r="M144" s="23" t="str">
        <f aca="false">IF(OR(NOT(ISNUMBER($D144)),Config!$G$10&lt;&gt;"Sim"),"",$D144+Config!$F$10+IF(AND(Config!$F$10&gt;0,WEEKDAY($D144+Config!$F$10)=Config!$E$24),1,0))</f>
        <v/>
      </c>
      <c r="N144" s="24"/>
      <c r="O144" s="23" t="str">
        <f aca="false">IF(OR(NOT(ISNUMBER($D144)),Config!$G$11&lt;&gt;"Sim"),"",$D144+Config!$F$11+IF(AND(Config!$F$11&gt;0,WEEKDAY($D144+Config!$F$11)=Config!$E$24),1,0))</f>
        <v/>
      </c>
      <c r="P144" s="24"/>
      <c r="Q144" s="25" t="str">
        <f aca="false">IF(COUNT(E144,G144,I144,K144,M144,O144)=0,"",((E144&lt;&gt;"")*(F144&lt;&gt;"")+(G144&lt;&gt;"")*(H144&lt;&gt;"")+(I144&lt;&gt;"")*(J144&lt;&gt;"")+(K144&lt;&gt;"")*(L144&lt;&gt;"")+(M144&lt;&gt;"")*(N144&lt;&gt;"")+(O144&lt;&gt;"")*(P144&lt;&gt;""))/COUNT(E144,G144,I144,K144,M144,O144))</f>
        <v/>
      </c>
      <c r="R144" s="26" t="str">
        <f aca="false">IF(T144="","",IF(T144=99999,"",T144))</f>
        <v/>
      </c>
      <c r="S144" s="27" t="str">
        <f aca="true">IF(T144="","",IF(T144=99999,"Concluído",IF(T144&lt;TODAY(),"Atrasado",IF(T144=TODAY(),"Hoje","Em dia"))))</f>
        <v/>
      </c>
      <c r="T144" s="28" t="str">
        <f aca="false">IF(COUNT(E144,G144,I144,K144,M144,O144)=0,"",MIN(IF(AND(E144&lt;&gt;"",F144=""),E144,99999),IF(AND(G144&lt;&gt;"",H144=""),G144,99999),IF(AND(I144&lt;&gt;"",J144=""),I144,99999),IF(AND(K144&lt;&gt;"",L144=""),K144,99999),IF(AND(M144&lt;&gt;"",N144=""),M144,99999),IF(AND(O144&lt;&gt;"",P144=""),O144,99999)))</f>
        <v/>
      </c>
    </row>
    <row r="145" customFormat="false" ht="15" hidden="false" customHeight="false" outlineLevel="0" collapsed="false">
      <c r="A145" s="20" t="n">
        <v>140</v>
      </c>
      <c r="B145" s="21"/>
      <c r="C145" s="21"/>
      <c r="D145" s="22"/>
      <c r="E145" s="23" t="str">
        <f aca="false">IF(OR(NOT(ISNUMBER($D145)),Config!$G$6&lt;&gt;"Sim"),"",$D145+Config!$F$6+IF(AND(Config!$F$6&gt;0,WEEKDAY($D145+Config!$F$6)=Config!$E$24),1,0))</f>
        <v/>
      </c>
      <c r="F145" s="24"/>
      <c r="G145" s="23" t="str">
        <f aca="false">IF(OR(NOT(ISNUMBER($D145)),Config!$G$7&lt;&gt;"Sim"),"",$D145+Config!$F$7+IF(AND(Config!$F$7&gt;0,WEEKDAY($D145+Config!$F$7)=Config!$E$24),1,0))</f>
        <v/>
      </c>
      <c r="H145" s="24"/>
      <c r="I145" s="23" t="str">
        <f aca="false">IF(OR(NOT(ISNUMBER($D145)),Config!$G$8&lt;&gt;"Sim"),"",$D145+Config!$F$8+IF(AND(Config!$F$8&gt;0,WEEKDAY($D145+Config!$F$8)=Config!$E$24),1,0))</f>
        <v/>
      </c>
      <c r="J145" s="24"/>
      <c r="K145" s="23" t="str">
        <f aca="false">IF(OR(NOT(ISNUMBER($D145)),Config!$G$9&lt;&gt;"Sim"),"",$D145+Config!$F$9+IF(AND(Config!$F$9&gt;0,WEEKDAY($D145+Config!$F$9)=Config!$E$24),1,0))</f>
        <v/>
      </c>
      <c r="L145" s="24"/>
      <c r="M145" s="23" t="str">
        <f aca="false">IF(OR(NOT(ISNUMBER($D145)),Config!$G$10&lt;&gt;"Sim"),"",$D145+Config!$F$10+IF(AND(Config!$F$10&gt;0,WEEKDAY($D145+Config!$F$10)=Config!$E$24),1,0))</f>
        <v/>
      </c>
      <c r="N145" s="24"/>
      <c r="O145" s="23" t="str">
        <f aca="false">IF(OR(NOT(ISNUMBER($D145)),Config!$G$11&lt;&gt;"Sim"),"",$D145+Config!$F$11+IF(AND(Config!$F$11&gt;0,WEEKDAY($D145+Config!$F$11)=Config!$E$24),1,0))</f>
        <v/>
      </c>
      <c r="P145" s="24"/>
      <c r="Q145" s="25" t="str">
        <f aca="false">IF(COUNT(E145,G145,I145,K145,M145,O145)=0,"",((E145&lt;&gt;"")*(F145&lt;&gt;"")+(G145&lt;&gt;"")*(H145&lt;&gt;"")+(I145&lt;&gt;"")*(J145&lt;&gt;"")+(K145&lt;&gt;"")*(L145&lt;&gt;"")+(M145&lt;&gt;"")*(N145&lt;&gt;"")+(O145&lt;&gt;"")*(P145&lt;&gt;""))/COUNT(E145,G145,I145,K145,M145,O145))</f>
        <v/>
      </c>
      <c r="R145" s="26" t="str">
        <f aca="false">IF(T145="","",IF(T145=99999,"",T145))</f>
        <v/>
      </c>
      <c r="S145" s="27" t="str">
        <f aca="true">IF(T145="","",IF(T145=99999,"Concluído",IF(T145&lt;TODAY(),"Atrasado",IF(T145=TODAY(),"Hoje","Em dia"))))</f>
        <v/>
      </c>
      <c r="T145" s="28" t="str">
        <f aca="false">IF(COUNT(E145,G145,I145,K145,M145,O145)=0,"",MIN(IF(AND(E145&lt;&gt;"",F145=""),E145,99999),IF(AND(G145&lt;&gt;"",H145=""),G145,99999),IF(AND(I145&lt;&gt;"",J145=""),I145,99999),IF(AND(K145&lt;&gt;"",L145=""),K145,99999),IF(AND(M145&lt;&gt;"",N145=""),M145,99999),IF(AND(O145&lt;&gt;"",P145=""),O145,99999)))</f>
        <v/>
      </c>
    </row>
    <row r="146" customFormat="false" ht="15" hidden="false" customHeight="false" outlineLevel="0" collapsed="false">
      <c r="A146" s="20" t="n">
        <v>141</v>
      </c>
      <c r="B146" s="21"/>
      <c r="C146" s="21"/>
      <c r="D146" s="22"/>
      <c r="E146" s="23" t="str">
        <f aca="false">IF(OR(NOT(ISNUMBER($D146)),Config!$G$6&lt;&gt;"Sim"),"",$D146+Config!$F$6+IF(AND(Config!$F$6&gt;0,WEEKDAY($D146+Config!$F$6)=Config!$E$24),1,0))</f>
        <v/>
      </c>
      <c r="F146" s="24"/>
      <c r="G146" s="23" t="str">
        <f aca="false">IF(OR(NOT(ISNUMBER($D146)),Config!$G$7&lt;&gt;"Sim"),"",$D146+Config!$F$7+IF(AND(Config!$F$7&gt;0,WEEKDAY($D146+Config!$F$7)=Config!$E$24),1,0))</f>
        <v/>
      </c>
      <c r="H146" s="24"/>
      <c r="I146" s="23" t="str">
        <f aca="false">IF(OR(NOT(ISNUMBER($D146)),Config!$G$8&lt;&gt;"Sim"),"",$D146+Config!$F$8+IF(AND(Config!$F$8&gt;0,WEEKDAY($D146+Config!$F$8)=Config!$E$24),1,0))</f>
        <v/>
      </c>
      <c r="J146" s="24"/>
      <c r="K146" s="23" t="str">
        <f aca="false">IF(OR(NOT(ISNUMBER($D146)),Config!$G$9&lt;&gt;"Sim"),"",$D146+Config!$F$9+IF(AND(Config!$F$9&gt;0,WEEKDAY($D146+Config!$F$9)=Config!$E$24),1,0))</f>
        <v/>
      </c>
      <c r="L146" s="24"/>
      <c r="M146" s="23" t="str">
        <f aca="false">IF(OR(NOT(ISNUMBER($D146)),Config!$G$10&lt;&gt;"Sim"),"",$D146+Config!$F$10+IF(AND(Config!$F$10&gt;0,WEEKDAY($D146+Config!$F$10)=Config!$E$24),1,0))</f>
        <v/>
      </c>
      <c r="N146" s="24"/>
      <c r="O146" s="23" t="str">
        <f aca="false">IF(OR(NOT(ISNUMBER($D146)),Config!$G$11&lt;&gt;"Sim"),"",$D146+Config!$F$11+IF(AND(Config!$F$11&gt;0,WEEKDAY($D146+Config!$F$11)=Config!$E$24),1,0))</f>
        <v/>
      </c>
      <c r="P146" s="24"/>
      <c r="Q146" s="25" t="str">
        <f aca="false">IF(COUNT(E146,G146,I146,K146,M146,O146)=0,"",((E146&lt;&gt;"")*(F146&lt;&gt;"")+(G146&lt;&gt;"")*(H146&lt;&gt;"")+(I146&lt;&gt;"")*(J146&lt;&gt;"")+(K146&lt;&gt;"")*(L146&lt;&gt;"")+(M146&lt;&gt;"")*(N146&lt;&gt;"")+(O146&lt;&gt;"")*(P146&lt;&gt;""))/COUNT(E146,G146,I146,K146,M146,O146))</f>
        <v/>
      </c>
      <c r="R146" s="26" t="str">
        <f aca="false">IF(T146="","",IF(T146=99999,"",T146))</f>
        <v/>
      </c>
      <c r="S146" s="27" t="str">
        <f aca="true">IF(T146="","",IF(T146=99999,"Concluído",IF(T146&lt;TODAY(),"Atrasado",IF(T146=TODAY(),"Hoje","Em dia"))))</f>
        <v/>
      </c>
      <c r="T146" s="28" t="str">
        <f aca="false">IF(COUNT(E146,G146,I146,K146,M146,O146)=0,"",MIN(IF(AND(E146&lt;&gt;"",F146=""),E146,99999),IF(AND(G146&lt;&gt;"",H146=""),G146,99999),IF(AND(I146&lt;&gt;"",J146=""),I146,99999),IF(AND(K146&lt;&gt;"",L146=""),K146,99999),IF(AND(M146&lt;&gt;"",N146=""),M146,99999),IF(AND(O146&lt;&gt;"",P146=""),O146,99999)))</f>
        <v/>
      </c>
    </row>
    <row r="147" customFormat="false" ht="15" hidden="false" customHeight="false" outlineLevel="0" collapsed="false">
      <c r="A147" s="20" t="n">
        <v>142</v>
      </c>
      <c r="B147" s="21"/>
      <c r="C147" s="21"/>
      <c r="D147" s="22"/>
      <c r="E147" s="23" t="str">
        <f aca="false">IF(OR(NOT(ISNUMBER($D147)),Config!$G$6&lt;&gt;"Sim"),"",$D147+Config!$F$6+IF(AND(Config!$F$6&gt;0,WEEKDAY($D147+Config!$F$6)=Config!$E$24),1,0))</f>
        <v/>
      </c>
      <c r="F147" s="24"/>
      <c r="G147" s="23" t="str">
        <f aca="false">IF(OR(NOT(ISNUMBER($D147)),Config!$G$7&lt;&gt;"Sim"),"",$D147+Config!$F$7+IF(AND(Config!$F$7&gt;0,WEEKDAY($D147+Config!$F$7)=Config!$E$24),1,0))</f>
        <v/>
      </c>
      <c r="H147" s="24"/>
      <c r="I147" s="23" t="str">
        <f aca="false">IF(OR(NOT(ISNUMBER($D147)),Config!$G$8&lt;&gt;"Sim"),"",$D147+Config!$F$8+IF(AND(Config!$F$8&gt;0,WEEKDAY($D147+Config!$F$8)=Config!$E$24),1,0))</f>
        <v/>
      </c>
      <c r="J147" s="24"/>
      <c r="K147" s="23" t="str">
        <f aca="false">IF(OR(NOT(ISNUMBER($D147)),Config!$G$9&lt;&gt;"Sim"),"",$D147+Config!$F$9+IF(AND(Config!$F$9&gt;0,WEEKDAY($D147+Config!$F$9)=Config!$E$24),1,0))</f>
        <v/>
      </c>
      <c r="L147" s="24"/>
      <c r="M147" s="23" t="str">
        <f aca="false">IF(OR(NOT(ISNUMBER($D147)),Config!$G$10&lt;&gt;"Sim"),"",$D147+Config!$F$10+IF(AND(Config!$F$10&gt;0,WEEKDAY($D147+Config!$F$10)=Config!$E$24),1,0))</f>
        <v/>
      </c>
      <c r="N147" s="24"/>
      <c r="O147" s="23" t="str">
        <f aca="false">IF(OR(NOT(ISNUMBER($D147)),Config!$G$11&lt;&gt;"Sim"),"",$D147+Config!$F$11+IF(AND(Config!$F$11&gt;0,WEEKDAY($D147+Config!$F$11)=Config!$E$24),1,0))</f>
        <v/>
      </c>
      <c r="P147" s="24"/>
      <c r="Q147" s="25" t="str">
        <f aca="false">IF(COUNT(E147,G147,I147,K147,M147,O147)=0,"",((E147&lt;&gt;"")*(F147&lt;&gt;"")+(G147&lt;&gt;"")*(H147&lt;&gt;"")+(I147&lt;&gt;"")*(J147&lt;&gt;"")+(K147&lt;&gt;"")*(L147&lt;&gt;"")+(M147&lt;&gt;"")*(N147&lt;&gt;"")+(O147&lt;&gt;"")*(P147&lt;&gt;""))/COUNT(E147,G147,I147,K147,M147,O147))</f>
        <v/>
      </c>
      <c r="R147" s="26" t="str">
        <f aca="false">IF(T147="","",IF(T147=99999,"",T147))</f>
        <v/>
      </c>
      <c r="S147" s="27" t="str">
        <f aca="true">IF(T147="","",IF(T147=99999,"Concluído",IF(T147&lt;TODAY(),"Atrasado",IF(T147=TODAY(),"Hoje","Em dia"))))</f>
        <v/>
      </c>
      <c r="T147" s="28" t="str">
        <f aca="false">IF(COUNT(E147,G147,I147,K147,M147,O147)=0,"",MIN(IF(AND(E147&lt;&gt;"",F147=""),E147,99999),IF(AND(G147&lt;&gt;"",H147=""),G147,99999),IF(AND(I147&lt;&gt;"",J147=""),I147,99999),IF(AND(K147&lt;&gt;"",L147=""),K147,99999),IF(AND(M147&lt;&gt;"",N147=""),M147,99999),IF(AND(O147&lt;&gt;"",P147=""),O147,99999)))</f>
        <v/>
      </c>
    </row>
    <row r="148" customFormat="false" ht="15" hidden="false" customHeight="false" outlineLevel="0" collapsed="false">
      <c r="A148" s="20" t="n">
        <v>143</v>
      </c>
      <c r="B148" s="21"/>
      <c r="C148" s="21"/>
      <c r="D148" s="22"/>
      <c r="E148" s="23" t="str">
        <f aca="false">IF(OR(NOT(ISNUMBER($D148)),Config!$G$6&lt;&gt;"Sim"),"",$D148+Config!$F$6+IF(AND(Config!$F$6&gt;0,WEEKDAY($D148+Config!$F$6)=Config!$E$24),1,0))</f>
        <v/>
      </c>
      <c r="F148" s="24"/>
      <c r="G148" s="23" t="str">
        <f aca="false">IF(OR(NOT(ISNUMBER($D148)),Config!$G$7&lt;&gt;"Sim"),"",$D148+Config!$F$7+IF(AND(Config!$F$7&gt;0,WEEKDAY($D148+Config!$F$7)=Config!$E$24),1,0))</f>
        <v/>
      </c>
      <c r="H148" s="24"/>
      <c r="I148" s="23" t="str">
        <f aca="false">IF(OR(NOT(ISNUMBER($D148)),Config!$G$8&lt;&gt;"Sim"),"",$D148+Config!$F$8+IF(AND(Config!$F$8&gt;0,WEEKDAY($D148+Config!$F$8)=Config!$E$24),1,0))</f>
        <v/>
      </c>
      <c r="J148" s="24"/>
      <c r="K148" s="23" t="str">
        <f aca="false">IF(OR(NOT(ISNUMBER($D148)),Config!$G$9&lt;&gt;"Sim"),"",$D148+Config!$F$9+IF(AND(Config!$F$9&gt;0,WEEKDAY($D148+Config!$F$9)=Config!$E$24),1,0))</f>
        <v/>
      </c>
      <c r="L148" s="24"/>
      <c r="M148" s="23" t="str">
        <f aca="false">IF(OR(NOT(ISNUMBER($D148)),Config!$G$10&lt;&gt;"Sim"),"",$D148+Config!$F$10+IF(AND(Config!$F$10&gt;0,WEEKDAY($D148+Config!$F$10)=Config!$E$24),1,0))</f>
        <v/>
      </c>
      <c r="N148" s="24"/>
      <c r="O148" s="23" t="str">
        <f aca="false">IF(OR(NOT(ISNUMBER($D148)),Config!$G$11&lt;&gt;"Sim"),"",$D148+Config!$F$11+IF(AND(Config!$F$11&gt;0,WEEKDAY($D148+Config!$F$11)=Config!$E$24),1,0))</f>
        <v/>
      </c>
      <c r="P148" s="24"/>
      <c r="Q148" s="25" t="str">
        <f aca="false">IF(COUNT(E148,G148,I148,K148,M148,O148)=0,"",((E148&lt;&gt;"")*(F148&lt;&gt;"")+(G148&lt;&gt;"")*(H148&lt;&gt;"")+(I148&lt;&gt;"")*(J148&lt;&gt;"")+(K148&lt;&gt;"")*(L148&lt;&gt;"")+(M148&lt;&gt;"")*(N148&lt;&gt;"")+(O148&lt;&gt;"")*(P148&lt;&gt;""))/COUNT(E148,G148,I148,K148,M148,O148))</f>
        <v/>
      </c>
      <c r="R148" s="26" t="str">
        <f aca="false">IF(T148="","",IF(T148=99999,"",T148))</f>
        <v/>
      </c>
      <c r="S148" s="27" t="str">
        <f aca="true">IF(T148="","",IF(T148=99999,"Concluído",IF(T148&lt;TODAY(),"Atrasado",IF(T148=TODAY(),"Hoje","Em dia"))))</f>
        <v/>
      </c>
      <c r="T148" s="28" t="str">
        <f aca="false">IF(COUNT(E148,G148,I148,K148,M148,O148)=0,"",MIN(IF(AND(E148&lt;&gt;"",F148=""),E148,99999),IF(AND(G148&lt;&gt;"",H148=""),G148,99999),IF(AND(I148&lt;&gt;"",J148=""),I148,99999),IF(AND(K148&lt;&gt;"",L148=""),K148,99999),IF(AND(M148&lt;&gt;"",N148=""),M148,99999),IF(AND(O148&lt;&gt;"",P148=""),O148,99999)))</f>
        <v/>
      </c>
    </row>
    <row r="149" customFormat="false" ht="15" hidden="false" customHeight="false" outlineLevel="0" collapsed="false">
      <c r="A149" s="20" t="n">
        <v>144</v>
      </c>
      <c r="B149" s="21"/>
      <c r="C149" s="21"/>
      <c r="D149" s="22"/>
      <c r="E149" s="23" t="str">
        <f aca="false">IF(OR(NOT(ISNUMBER($D149)),Config!$G$6&lt;&gt;"Sim"),"",$D149+Config!$F$6+IF(AND(Config!$F$6&gt;0,WEEKDAY($D149+Config!$F$6)=Config!$E$24),1,0))</f>
        <v/>
      </c>
      <c r="F149" s="24"/>
      <c r="G149" s="23" t="str">
        <f aca="false">IF(OR(NOT(ISNUMBER($D149)),Config!$G$7&lt;&gt;"Sim"),"",$D149+Config!$F$7+IF(AND(Config!$F$7&gt;0,WEEKDAY($D149+Config!$F$7)=Config!$E$24),1,0))</f>
        <v/>
      </c>
      <c r="H149" s="24"/>
      <c r="I149" s="23" t="str">
        <f aca="false">IF(OR(NOT(ISNUMBER($D149)),Config!$G$8&lt;&gt;"Sim"),"",$D149+Config!$F$8+IF(AND(Config!$F$8&gt;0,WEEKDAY($D149+Config!$F$8)=Config!$E$24),1,0))</f>
        <v/>
      </c>
      <c r="J149" s="24"/>
      <c r="K149" s="23" t="str">
        <f aca="false">IF(OR(NOT(ISNUMBER($D149)),Config!$G$9&lt;&gt;"Sim"),"",$D149+Config!$F$9+IF(AND(Config!$F$9&gt;0,WEEKDAY($D149+Config!$F$9)=Config!$E$24),1,0))</f>
        <v/>
      </c>
      <c r="L149" s="24"/>
      <c r="M149" s="23" t="str">
        <f aca="false">IF(OR(NOT(ISNUMBER($D149)),Config!$G$10&lt;&gt;"Sim"),"",$D149+Config!$F$10+IF(AND(Config!$F$10&gt;0,WEEKDAY($D149+Config!$F$10)=Config!$E$24),1,0))</f>
        <v/>
      </c>
      <c r="N149" s="24"/>
      <c r="O149" s="23" t="str">
        <f aca="false">IF(OR(NOT(ISNUMBER($D149)),Config!$G$11&lt;&gt;"Sim"),"",$D149+Config!$F$11+IF(AND(Config!$F$11&gt;0,WEEKDAY($D149+Config!$F$11)=Config!$E$24),1,0))</f>
        <v/>
      </c>
      <c r="P149" s="24"/>
      <c r="Q149" s="25" t="str">
        <f aca="false">IF(COUNT(E149,G149,I149,K149,M149,O149)=0,"",((E149&lt;&gt;"")*(F149&lt;&gt;"")+(G149&lt;&gt;"")*(H149&lt;&gt;"")+(I149&lt;&gt;"")*(J149&lt;&gt;"")+(K149&lt;&gt;"")*(L149&lt;&gt;"")+(M149&lt;&gt;"")*(N149&lt;&gt;"")+(O149&lt;&gt;"")*(P149&lt;&gt;""))/COUNT(E149,G149,I149,K149,M149,O149))</f>
        <v/>
      </c>
      <c r="R149" s="26" t="str">
        <f aca="false">IF(T149="","",IF(T149=99999,"",T149))</f>
        <v/>
      </c>
      <c r="S149" s="27" t="str">
        <f aca="true">IF(T149="","",IF(T149=99999,"Concluído",IF(T149&lt;TODAY(),"Atrasado",IF(T149=TODAY(),"Hoje","Em dia"))))</f>
        <v/>
      </c>
      <c r="T149" s="28" t="str">
        <f aca="false">IF(COUNT(E149,G149,I149,K149,M149,O149)=0,"",MIN(IF(AND(E149&lt;&gt;"",F149=""),E149,99999),IF(AND(G149&lt;&gt;"",H149=""),G149,99999),IF(AND(I149&lt;&gt;"",J149=""),I149,99999),IF(AND(K149&lt;&gt;"",L149=""),K149,99999),IF(AND(M149&lt;&gt;"",N149=""),M149,99999),IF(AND(O149&lt;&gt;"",P149=""),O149,99999)))</f>
        <v/>
      </c>
    </row>
    <row r="150" customFormat="false" ht="15" hidden="false" customHeight="false" outlineLevel="0" collapsed="false">
      <c r="A150" s="20" t="n">
        <v>145</v>
      </c>
      <c r="B150" s="21"/>
      <c r="C150" s="21"/>
      <c r="D150" s="22"/>
      <c r="E150" s="23" t="str">
        <f aca="false">IF(OR(NOT(ISNUMBER($D150)),Config!$G$6&lt;&gt;"Sim"),"",$D150+Config!$F$6+IF(AND(Config!$F$6&gt;0,WEEKDAY($D150+Config!$F$6)=Config!$E$24),1,0))</f>
        <v/>
      </c>
      <c r="F150" s="24"/>
      <c r="G150" s="23" t="str">
        <f aca="false">IF(OR(NOT(ISNUMBER($D150)),Config!$G$7&lt;&gt;"Sim"),"",$D150+Config!$F$7+IF(AND(Config!$F$7&gt;0,WEEKDAY($D150+Config!$F$7)=Config!$E$24),1,0))</f>
        <v/>
      </c>
      <c r="H150" s="24"/>
      <c r="I150" s="23" t="str">
        <f aca="false">IF(OR(NOT(ISNUMBER($D150)),Config!$G$8&lt;&gt;"Sim"),"",$D150+Config!$F$8+IF(AND(Config!$F$8&gt;0,WEEKDAY($D150+Config!$F$8)=Config!$E$24),1,0))</f>
        <v/>
      </c>
      <c r="J150" s="24"/>
      <c r="K150" s="23" t="str">
        <f aca="false">IF(OR(NOT(ISNUMBER($D150)),Config!$G$9&lt;&gt;"Sim"),"",$D150+Config!$F$9+IF(AND(Config!$F$9&gt;0,WEEKDAY($D150+Config!$F$9)=Config!$E$24),1,0))</f>
        <v/>
      </c>
      <c r="L150" s="24"/>
      <c r="M150" s="23" t="str">
        <f aca="false">IF(OR(NOT(ISNUMBER($D150)),Config!$G$10&lt;&gt;"Sim"),"",$D150+Config!$F$10+IF(AND(Config!$F$10&gt;0,WEEKDAY($D150+Config!$F$10)=Config!$E$24),1,0))</f>
        <v/>
      </c>
      <c r="N150" s="24"/>
      <c r="O150" s="23" t="str">
        <f aca="false">IF(OR(NOT(ISNUMBER($D150)),Config!$G$11&lt;&gt;"Sim"),"",$D150+Config!$F$11+IF(AND(Config!$F$11&gt;0,WEEKDAY($D150+Config!$F$11)=Config!$E$24),1,0))</f>
        <v/>
      </c>
      <c r="P150" s="24"/>
      <c r="Q150" s="25" t="str">
        <f aca="false">IF(COUNT(E150,G150,I150,K150,M150,O150)=0,"",((E150&lt;&gt;"")*(F150&lt;&gt;"")+(G150&lt;&gt;"")*(H150&lt;&gt;"")+(I150&lt;&gt;"")*(J150&lt;&gt;"")+(K150&lt;&gt;"")*(L150&lt;&gt;"")+(M150&lt;&gt;"")*(N150&lt;&gt;"")+(O150&lt;&gt;"")*(P150&lt;&gt;""))/COUNT(E150,G150,I150,K150,M150,O150))</f>
        <v/>
      </c>
      <c r="R150" s="26" t="str">
        <f aca="false">IF(T150="","",IF(T150=99999,"",T150))</f>
        <v/>
      </c>
      <c r="S150" s="27" t="str">
        <f aca="true">IF(T150="","",IF(T150=99999,"Concluído",IF(T150&lt;TODAY(),"Atrasado",IF(T150=TODAY(),"Hoje","Em dia"))))</f>
        <v/>
      </c>
      <c r="T150" s="28" t="str">
        <f aca="false">IF(COUNT(E150,G150,I150,K150,M150,O150)=0,"",MIN(IF(AND(E150&lt;&gt;"",F150=""),E150,99999),IF(AND(G150&lt;&gt;"",H150=""),G150,99999),IF(AND(I150&lt;&gt;"",J150=""),I150,99999),IF(AND(K150&lt;&gt;"",L150=""),K150,99999),IF(AND(M150&lt;&gt;"",N150=""),M150,99999),IF(AND(O150&lt;&gt;"",P150=""),O150,99999)))</f>
        <v/>
      </c>
    </row>
    <row r="151" customFormat="false" ht="15" hidden="false" customHeight="false" outlineLevel="0" collapsed="false">
      <c r="A151" s="20" t="n">
        <v>146</v>
      </c>
      <c r="B151" s="21"/>
      <c r="C151" s="21"/>
      <c r="D151" s="22"/>
      <c r="E151" s="23" t="str">
        <f aca="false">IF(OR(NOT(ISNUMBER($D151)),Config!$G$6&lt;&gt;"Sim"),"",$D151+Config!$F$6+IF(AND(Config!$F$6&gt;0,WEEKDAY($D151+Config!$F$6)=Config!$E$24),1,0))</f>
        <v/>
      </c>
      <c r="F151" s="24"/>
      <c r="G151" s="23" t="str">
        <f aca="false">IF(OR(NOT(ISNUMBER($D151)),Config!$G$7&lt;&gt;"Sim"),"",$D151+Config!$F$7+IF(AND(Config!$F$7&gt;0,WEEKDAY($D151+Config!$F$7)=Config!$E$24),1,0))</f>
        <v/>
      </c>
      <c r="H151" s="24"/>
      <c r="I151" s="23" t="str">
        <f aca="false">IF(OR(NOT(ISNUMBER($D151)),Config!$G$8&lt;&gt;"Sim"),"",$D151+Config!$F$8+IF(AND(Config!$F$8&gt;0,WEEKDAY($D151+Config!$F$8)=Config!$E$24),1,0))</f>
        <v/>
      </c>
      <c r="J151" s="24"/>
      <c r="K151" s="23" t="str">
        <f aca="false">IF(OR(NOT(ISNUMBER($D151)),Config!$G$9&lt;&gt;"Sim"),"",$D151+Config!$F$9+IF(AND(Config!$F$9&gt;0,WEEKDAY($D151+Config!$F$9)=Config!$E$24),1,0))</f>
        <v/>
      </c>
      <c r="L151" s="24"/>
      <c r="M151" s="23" t="str">
        <f aca="false">IF(OR(NOT(ISNUMBER($D151)),Config!$G$10&lt;&gt;"Sim"),"",$D151+Config!$F$10+IF(AND(Config!$F$10&gt;0,WEEKDAY($D151+Config!$F$10)=Config!$E$24),1,0))</f>
        <v/>
      </c>
      <c r="N151" s="24"/>
      <c r="O151" s="23" t="str">
        <f aca="false">IF(OR(NOT(ISNUMBER($D151)),Config!$G$11&lt;&gt;"Sim"),"",$D151+Config!$F$11+IF(AND(Config!$F$11&gt;0,WEEKDAY($D151+Config!$F$11)=Config!$E$24),1,0))</f>
        <v/>
      </c>
      <c r="P151" s="24"/>
      <c r="Q151" s="25" t="str">
        <f aca="false">IF(COUNT(E151,G151,I151,K151,M151,O151)=0,"",((E151&lt;&gt;"")*(F151&lt;&gt;"")+(G151&lt;&gt;"")*(H151&lt;&gt;"")+(I151&lt;&gt;"")*(J151&lt;&gt;"")+(K151&lt;&gt;"")*(L151&lt;&gt;"")+(M151&lt;&gt;"")*(N151&lt;&gt;"")+(O151&lt;&gt;"")*(P151&lt;&gt;""))/COUNT(E151,G151,I151,K151,M151,O151))</f>
        <v/>
      </c>
      <c r="R151" s="26" t="str">
        <f aca="false">IF(T151="","",IF(T151=99999,"",T151))</f>
        <v/>
      </c>
      <c r="S151" s="27" t="str">
        <f aca="true">IF(T151="","",IF(T151=99999,"Concluído",IF(T151&lt;TODAY(),"Atrasado",IF(T151=TODAY(),"Hoje","Em dia"))))</f>
        <v/>
      </c>
      <c r="T151" s="28" t="str">
        <f aca="false">IF(COUNT(E151,G151,I151,K151,M151,O151)=0,"",MIN(IF(AND(E151&lt;&gt;"",F151=""),E151,99999),IF(AND(G151&lt;&gt;"",H151=""),G151,99999),IF(AND(I151&lt;&gt;"",J151=""),I151,99999),IF(AND(K151&lt;&gt;"",L151=""),K151,99999),IF(AND(M151&lt;&gt;"",N151=""),M151,99999),IF(AND(O151&lt;&gt;"",P151=""),O151,99999)))</f>
        <v/>
      </c>
    </row>
    <row r="152" customFormat="false" ht="15" hidden="false" customHeight="false" outlineLevel="0" collapsed="false">
      <c r="A152" s="20" t="n">
        <v>147</v>
      </c>
      <c r="B152" s="21"/>
      <c r="C152" s="21"/>
      <c r="D152" s="22"/>
      <c r="E152" s="23" t="str">
        <f aca="false">IF(OR(NOT(ISNUMBER($D152)),Config!$G$6&lt;&gt;"Sim"),"",$D152+Config!$F$6+IF(AND(Config!$F$6&gt;0,WEEKDAY($D152+Config!$F$6)=Config!$E$24),1,0))</f>
        <v/>
      </c>
      <c r="F152" s="24"/>
      <c r="G152" s="23" t="str">
        <f aca="false">IF(OR(NOT(ISNUMBER($D152)),Config!$G$7&lt;&gt;"Sim"),"",$D152+Config!$F$7+IF(AND(Config!$F$7&gt;0,WEEKDAY($D152+Config!$F$7)=Config!$E$24),1,0))</f>
        <v/>
      </c>
      <c r="H152" s="24"/>
      <c r="I152" s="23" t="str">
        <f aca="false">IF(OR(NOT(ISNUMBER($D152)),Config!$G$8&lt;&gt;"Sim"),"",$D152+Config!$F$8+IF(AND(Config!$F$8&gt;0,WEEKDAY($D152+Config!$F$8)=Config!$E$24),1,0))</f>
        <v/>
      </c>
      <c r="J152" s="24"/>
      <c r="K152" s="23" t="str">
        <f aca="false">IF(OR(NOT(ISNUMBER($D152)),Config!$G$9&lt;&gt;"Sim"),"",$D152+Config!$F$9+IF(AND(Config!$F$9&gt;0,WEEKDAY($D152+Config!$F$9)=Config!$E$24),1,0))</f>
        <v/>
      </c>
      <c r="L152" s="24"/>
      <c r="M152" s="23" t="str">
        <f aca="false">IF(OR(NOT(ISNUMBER($D152)),Config!$G$10&lt;&gt;"Sim"),"",$D152+Config!$F$10+IF(AND(Config!$F$10&gt;0,WEEKDAY($D152+Config!$F$10)=Config!$E$24),1,0))</f>
        <v/>
      </c>
      <c r="N152" s="24"/>
      <c r="O152" s="23" t="str">
        <f aca="false">IF(OR(NOT(ISNUMBER($D152)),Config!$G$11&lt;&gt;"Sim"),"",$D152+Config!$F$11+IF(AND(Config!$F$11&gt;0,WEEKDAY($D152+Config!$F$11)=Config!$E$24),1,0))</f>
        <v/>
      </c>
      <c r="P152" s="24"/>
      <c r="Q152" s="25" t="str">
        <f aca="false">IF(COUNT(E152,G152,I152,K152,M152,O152)=0,"",((E152&lt;&gt;"")*(F152&lt;&gt;"")+(G152&lt;&gt;"")*(H152&lt;&gt;"")+(I152&lt;&gt;"")*(J152&lt;&gt;"")+(K152&lt;&gt;"")*(L152&lt;&gt;"")+(M152&lt;&gt;"")*(N152&lt;&gt;"")+(O152&lt;&gt;"")*(P152&lt;&gt;""))/COUNT(E152,G152,I152,K152,M152,O152))</f>
        <v/>
      </c>
      <c r="R152" s="26" t="str">
        <f aca="false">IF(T152="","",IF(T152=99999,"",T152))</f>
        <v/>
      </c>
      <c r="S152" s="27" t="str">
        <f aca="true">IF(T152="","",IF(T152=99999,"Concluído",IF(T152&lt;TODAY(),"Atrasado",IF(T152=TODAY(),"Hoje","Em dia"))))</f>
        <v/>
      </c>
      <c r="T152" s="28" t="str">
        <f aca="false">IF(COUNT(E152,G152,I152,K152,M152,O152)=0,"",MIN(IF(AND(E152&lt;&gt;"",F152=""),E152,99999),IF(AND(G152&lt;&gt;"",H152=""),G152,99999),IF(AND(I152&lt;&gt;"",J152=""),I152,99999),IF(AND(K152&lt;&gt;"",L152=""),K152,99999),IF(AND(M152&lt;&gt;"",N152=""),M152,99999),IF(AND(O152&lt;&gt;"",P152=""),O152,99999)))</f>
        <v/>
      </c>
    </row>
    <row r="153" customFormat="false" ht="15" hidden="false" customHeight="false" outlineLevel="0" collapsed="false">
      <c r="A153" s="20" t="n">
        <v>148</v>
      </c>
      <c r="B153" s="21"/>
      <c r="C153" s="21"/>
      <c r="D153" s="22"/>
      <c r="E153" s="23" t="str">
        <f aca="false">IF(OR(NOT(ISNUMBER($D153)),Config!$G$6&lt;&gt;"Sim"),"",$D153+Config!$F$6+IF(AND(Config!$F$6&gt;0,WEEKDAY($D153+Config!$F$6)=Config!$E$24),1,0))</f>
        <v/>
      </c>
      <c r="F153" s="24"/>
      <c r="G153" s="23" t="str">
        <f aca="false">IF(OR(NOT(ISNUMBER($D153)),Config!$G$7&lt;&gt;"Sim"),"",$D153+Config!$F$7+IF(AND(Config!$F$7&gt;0,WEEKDAY($D153+Config!$F$7)=Config!$E$24),1,0))</f>
        <v/>
      </c>
      <c r="H153" s="24"/>
      <c r="I153" s="23" t="str">
        <f aca="false">IF(OR(NOT(ISNUMBER($D153)),Config!$G$8&lt;&gt;"Sim"),"",$D153+Config!$F$8+IF(AND(Config!$F$8&gt;0,WEEKDAY($D153+Config!$F$8)=Config!$E$24),1,0))</f>
        <v/>
      </c>
      <c r="J153" s="24"/>
      <c r="K153" s="23" t="str">
        <f aca="false">IF(OR(NOT(ISNUMBER($D153)),Config!$G$9&lt;&gt;"Sim"),"",$D153+Config!$F$9+IF(AND(Config!$F$9&gt;0,WEEKDAY($D153+Config!$F$9)=Config!$E$24),1,0))</f>
        <v/>
      </c>
      <c r="L153" s="24"/>
      <c r="M153" s="23" t="str">
        <f aca="false">IF(OR(NOT(ISNUMBER($D153)),Config!$G$10&lt;&gt;"Sim"),"",$D153+Config!$F$10+IF(AND(Config!$F$10&gt;0,WEEKDAY($D153+Config!$F$10)=Config!$E$24),1,0))</f>
        <v/>
      </c>
      <c r="N153" s="24"/>
      <c r="O153" s="23" t="str">
        <f aca="false">IF(OR(NOT(ISNUMBER($D153)),Config!$G$11&lt;&gt;"Sim"),"",$D153+Config!$F$11+IF(AND(Config!$F$11&gt;0,WEEKDAY($D153+Config!$F$11)=Config!$E$24),1,0))</f>
        <v/>
      </c>
      <c r="P153" s="24"/>
      <c r="Q153" s="25" t="str">
        <f aca="false">IF(COUNT(E153,G153,I153,K153,M153,O153)=0,"",((E153&lt;&gt;"")*(F153&lt;&gt;"")+(G153&lt;&gt;"")*(H153&lt;&gt;"")+(I153&lt;&gt;"")*(J153&lt;&gt;"")+(K153&lt;&gt;"")*(L153&lt;&gt;"")+(M153&lt;&gt;"")*(N153&lt;&gt;"")+(O153&lt;&gt;"")*(P153&lt;&gt;""))/COUNT(E153,G153,I153,K153,M153,O153))</f>
        <v/>
      </c>
      <c r="R153" s="26" t="str">
        <f aca="false">IF(T153="","",IF(T153=99999,"",T153))</f>
        <v/>
      </c>
      <c r="S153" s="27" t="str">
        <f aca="true">IF(T153="","",IF(T153=99999,"Concluído",IF(T153&lt;TODAY(),"Atrasado",IF(T153=TODAY(),"Hoje","Em dia"))))</f>
        <v/>
      </c>
      <c r="T153" s="28" t="str">
        <f aca="false">IF(COUNT(E153,G153,I153,K153,M153,O153)=0,"",MIN(IF(AND(E153&lt;&gt;"",F153=""),E153,99999),IF(AND(G153&lt;&gt;"",H153=""),G153,99999),IF(AND(I153&lt;&gt;"",J153=""),I153,99999),IF(AND(K153&lt;&gt;"",L153=""),K153,99999),IF(AND(M153&lt;&gt;"",N153=""),M153,99999),IF(AND(O153&lt;&gt;"",P153=""),O153,99999)))</f>
        <v/>
      </c>
    </row>
    <row r="154" customFormat="false" ht="15" hidden="false" customHeight="false" outlineLevel="0" collapsed="false">
      <c r="A154" s="20" t="n">
        <v>149</v>
      </c>
      <c r="B154" s="21"/>
      <c r="C154" s="21"/>
      <c r="D154" s="22"/>
      <c r="E154" s="23" t="str">
        <f aca="false">IF(OR(NOT(ISNUMBER($D154)),Config!$G$6&lt;&gt;"Sim"),"",$D154+Config!$F$6+IF(AND(Config!$F$6&gt;0,WEEKDAY($D154+Config!$F$6)=Config!$E$24),1,0))</f>
        <v/>
      </c>
      <c r="F154" s="24"/>
      <c r="G154" s="23" t="str">
        <f aca="false">IF(OR(NOT(ISNUMBER($D154)),Config!$G$7&lt;&gt;"Sim"),"",$D154+Config!$F$7+IF(AND(Config!$F$7&gt;0,WEEKDAY($D154+Config!$F$7)=Config!$E$24),1,0))</f>
        <v/>
      </c>
      <c r="H154" s="24"/>
      <c r="I154" s="23" t="str">
        <f aca="false">IF(OR(NOT(ISNUMBER($D154)),Config!$G$8&lt;&gt;"Sim"),"",$D154+Config!$F$8+IF(AND(Config!$F$8&gt;0,WEEKDAY($D154+Config!$F$8)=Config!$E$24),1,0))</f>
        <v/>
      </c>
      <c r="J154" s="24"/>
      <c r="K154" s="23" t="str">
        <f aca="false">IF(OR(NOT(ISNUMBER($D154)),Config!$G$9&lt;&gt;"Sim"),"",$D154+Config!$F$9+IF(AND(Config!$F$9&gt;0,WEEKDAY($D154+Config!$F$9)=Config!$E$24),1,0))</f>
        <v/>
      </c>
      <c r="L154" s="24"/>
      <c r="M154" s="23" t="str">
        <f aca="false">IF(OR(NOT(ISNUMBER($D154)),Config!$G$10&lt;&gt;"Sim"),"",$D154+Config!$F$10+IF(AND(Config!$F$10&gt;0,WEEKDAY($D154+Config!$F$10)=Config!$E$24),1,0))</f>
        <v/>
      </c>
      <c r="N154" s="24"/>
      <c r="O154" s="23" t="str">
        <f aca="false">IF(OR(NOT(ISNUMBER($D154)),Config!$G$11&lt;&gt;"Sim"),"",$D154+Config!$F$11+IF(AND(Config!$F$11&gt;0,WEEKDAY($D154+Config!$F$11)=Config!$E$24),1,0))</f>
        <v/>
      </c>
      <c r="P154" s="24"/>
      <c r="Q154" s="25" t="str">
        <f aca="false">IF(COUNT(E154,G154,I154,K154,M154,O154)=0,"",((E154&lt;&gt;"")*(F154&lt;&gt;"")+(G154&lt;&gt;"")*(H154&lt;&gt;"")+(I154&lt;&gt;"")*(J154&lt;&gt;"")+(K154&lt;&gt;"")*(L154&lt;&gt;"")+(M154&lt;&gt;"")*(N154&lt;&gt;"")+(O154&lt;&gt;"")*(P154&lt;&gt;""))/COUNT(E154,G154,I154,K154,M154,O154))</f>
        <v/>
      </c>
      <c r="R154" s="26" t="str">
        <f aca="false">IF(T154="","",IF(T154=99999,"",T154))</f>
        <v/>
      </c>
      <c r="S154" s="27" t="str">
        <f aca="true">IF(T154="","",IF(T154=99999,"Concluído",IF(T154&lt;TODAY(),"Atrasado",IF(T154=TODAY(),"Hoje","Em dia"))))</f>
        <v/>
      </c>
      <c r="T154" s="28" t="str">
        <f aca="false">IF(COUNT(E154,G154,I154,K154,M154,O154)=0,"",MIN(IF(AND(E154&lt;&gt;"",F154=""),E154,99999),IF(AND(G154&lt;&gt;"",H154=""),G154,99999),IF(AND(I154&lt;&gt;"",J154=""),I154,99999),IF(AND(K154&lt;&gt;"",L154=""),K154,99999),IF(AND(M154&lt;&gt;"",N154=""),M154,99999),IF(AND(O154&lt;&gt;"",P154=""),O154,99999)))</f>
        <v/>
      </c>
    </row>
    <row r="155" customFormat="false" ht="15" hidden="false" customHeight="false" outlineLevel="0" collapsed="false">
      <c r="A155" s="20" t="n">
        <v>150</v>
      </c>
      <c r="B155" s="21"/>
      <c r="C155" s="21"/>
      <c r="D155" s="22"/>
      <c r="E155" s="23" t="str">
        <f aca="false">IF(OR(NOT(ISNUMBER($D155)),Config!$G$6&lt;&gt;"Sim"),"",$D155+Config!$F$6+IF(AND(Config!$F$6&gt;0,WEEKDAY($D155+Config!$F$6)=Config!$E$24),1,0))</f>
        <v/>
      </c>
      <c r="F155" s="24"/>
      <c r="G155" s="23" t="str">
        <f aca="false">IF(OR(NOT(ISNUMBER($D155)),Config!$G$7&lt;&gt;"Sim"),"",$D155+Config!$F$7+IF(AND(Config!$F$7&gt;0,WEEKDAY($D155+Config!$F$7)=Config!$E$24),1,0))</f>
        <v/>
      </c>
      <c r="H155" s="24"/>
      <c r="I155" s="23" t="str">
        <f aca="false">IF(OR(NOT(ISNUMBER($D155)),Config!$G$8&lt;&gt;"Sim"),"",$D155+Config!$F$8+IF(AND(Config!$F$8&gt;0,WEEKDAY($D155+Config!$F$8)=Config!$E$24),1,0))</f>
        <v/>
      </c>
      <c r="J155" s="24"/>
      <c r="K155" s="23" t="str">
        <f aca="false">IF(OR(NOT(ISNUMBER($D155)),Config!$G$9&lt;&gt;"Sim"),"",$D155+Config!$F$9+IF(AND(Config!$F$9&gt;0,WEEKDAY($D155+Config!$F$9)=Config!$E$24),1,0))</f>
        <v/>
      </c>
      <c r="L155" s="24"/>
      <c r="M155" s="23" t="str">
        <f aca="false">IF(OR(NOT(ISNUMBER($D155)),Config!$G$10&lt;&gt;"Sim"),"",$D155+Config!$F$10+IF(AND(Config!$F$10&gt;0,WEEKDAY($D155+Config!$F$10)=Config!$E$24),1,0))</f>
        <v/>
      </c>
      <c r="N155" s="24"/>
      <c r="O155" s="23" t="str">
        <f aca="false">IF(OR(NOT(ISNUMBER($D155)),Config!$G$11&lt;&gt;"Sim"),"",$D155+Config!$F$11+IF(AND(Config!$F$11&gt;0,WEEKDAY($D155+Config!$F$11)=Config!$E$24),1,0))</f>
        <v/>
      </c>
      <c r="P155" s="24"/>
      <c r="Q155" s="25" t="str">
        <f aca="false">IF(COUNT(E155,G155,I155,K155,M155,O155)=0,"",((E155&lt;&gt;"")*(F155&lt;&gt;"")+(G155&lt;&gt;"")*(H155&lt;&gt;"")+(I155&lt;&gt;"")*(J155&lt;&gt;"")+(K155&lt;&gt;"")*(L155&lt;&gt;"")+(M155&lt;&gt;"")*(N155&lt;&gt;"")+(O155&lt;&gt;"")*(P155&lt;&gt;""))/COUNT(E155,G155,I155,K155,M155,O155))</f>
        <v/>
      </c>
      <c r="R155" s="26" t="str">
        <f aca="false">IF(T155="","",IF(T155=99999,"",T155))</f>
        <v/>
      </c>
      <c r="S155" s="27" t="str">
        <f aca="true">IF(T155="","",IF(T155=99999,"Concluído",IF(T155&lt;TODAY(),"Atrasado",IF(T155=TODAY(),"Hoje","Em dia"))))</f>
        <v/>
      </c>
      <c r="T155" s="28" t="str">
        <f aca="false">IF(COUNT(E155,G155,I155,K155,M155,O155)=0,"",MIN(IF(AND(E155&lt;&gt;"",F155=""),E155,99999),IF(AND(G155&lt;&gt;"",H155=""),G155,99999),IF(AND(I155&lt;&gt;"",J155=""),I155,99999),IF(AND(K155&lt;&gt;"",L155=""),K155,99999),IF(AND(M155&lt;&gt;"",N155=""),M155,99999),IF(AND(O155&lt;&gt;"",P155=""),O155,99999)))</f>
        <v/>
      </c>
    </row>
    <row r="156" customFormat="false" ht="15" hidden="false" customHeight="false" outlineLevel="0" collapsed="false">
      <c r="A156" s="20" t="n">
        <v>151</v>
      </c>
      <c r="B156" s="21"/>
      <c r="C156" s="21"/>
      <c r="D156" s="22"/>
      <c r="E156" s="23" t="str">
        <f aca="false">IF(OR(NOT(ISNUMBER($D156)),Config!$G$6&lt;&gt;"Sim"),"",$D156+Config!$F$6+IF(AND(Config!$F$6&gt;0,WEEKDAY($D156+Config!$F$6)=Config!$E$24),1,0))</f>
        <v/>
      </c>
      <c r="F156" s="24"/>
      <c r="G156" s="23" t="str">
        <f aca="false">IF(OR(NOT(ISNUMBER($D156)),Config!$G$7&lt;&gt;"Sim"),"",$D156+Config!$F$7+IF(AND(Config!$F$7&gt;0,WEEKDAY($D156+Config!$F$7)=Config!$E$24),1,0))</f>
        <v/>
      </c>
      <c r="H156" s="24"/>
      <c r="I156" s="23" t="str">
        <f aca="false">IF(OR(NOT(ISNUMBER($D156)),Config!$G$8&lt;&gt;"Sim"),"",$D156+Config!$F$8+IF(AND(Config!$F$8&gt;0,WEEKDAY($D156+Config!$F$8)=Config!$E$24),1,0))</f>
        <v/>
      </c>
      <c r="J156" s="24"/>
      <c r="K156" s="23" t="str">
        <f aca="false">IF(OR(NOT(ISNUMBER($D156)),Config!$G$9&lt;&gt;"Sim"),"",$D156+Config!$F$9+IF(AND(Config!$F$9&gt;0,WEEKDAY($D156+Config!$F$9)=Config!$E$24),1,0))</f>
        <v/>
      </c>
      <c r="L156" s="24"/>
      <c r="M156" s="23" t="str">
        <f aca="false">IF(OR(NOT(ISNUMBER($D156)),Config!$G$10&lt;&gt;"Sim"),"",$D156+Config!$F$10+IF(AND(Config!$F$10&gt;0,WEEKDAY($D156+Config!$F$10)=Config!$E$24),1,0))</f>
        <v/>
      </c>
      <c r="N156" s="24"/>
      <c r="O156" s="23" t="str">
        <f aca="false">IF(OR(NOT(ISNUMBER($D156)),Config!$G$11&lt;&gt;"Sim"),"",$D156+Config!$F$11+IF(AND(Config!$F$11&gt;0,WEEKDAY($D156+Config!$F$11)=Config!$E$24),1,0))</f>
        <v/>
      </c>
      <c r="P156" s="24"/>
      <c r="Q156" s="25" t="str">
        <f aca="false">IF(COUNT(E156,G156,I156,K156,M156,O156)=0,"",((E156&lt;&gt;"")*(F156&lt;&gt;"")+(G156&lt;&gt;"")*(H156&lt;&gt;"")+(I156&lt;&gt;"")*(J156&lt;&gt;"")+(K156&lt;&gt;"")*(L156&lt;&gt;"")+(M156&lt;&gt;"")*(N156&lt;&gt;"")+(O156&lt;&gt;"")*(P156&lt;&gt;""))/COUNT(E156,G156,I156,K156,M156,O156))</f>
        <v/>
      </c>
      <c r="R156" s="26" t="str">
        <f aca="false">IF(T156="","",IF(T156=99999,"",T156))</f>
        <v/>
      </c>
      <c r="S156" s="27" t="str">
        <f aca="true">IF(T156="","",IF(T156=99999,"Concluído",IF(T156&lt;TODAY(),"Atrasado",IF(T156=TODAY(),"Hoje","Em dia"))))</f>
        <v/>
      </c>
      <c r="T156" s="28" t="str">
        <f aca="false">IF(COUNT(E156,G156,I156,K156,M156,O156)=0,"",MIN(IF(AND(E156&lt;&gt;"",F156=""),E156,99999),IF(AND(G156&lt;&gt;"",H156=""),G156,99999),IF(AND(I156&lt;&gt;"",J156=""),I156,99999),IF(AND(K156&lt;&gt;"",L156=""),K156,99999),IF(AND(M156&lt;&gt;"",N156=""),M156,99999),IF(AND(O156&lt;&gt;"",P156=""),O156,99999)))</f>
        <v/>
      </c>
    </row>
    <row r="157" customFormat="false" ht="15" hidden="false" customHeight="false" outlineLevel="0" collapsed="false">
      <c r="A157" s="20" t="n">
        <v>152</v>
      </c>
      <c r="B157" s="21"/>
      <c r="C157" s="21"/>
      <c r="D157" s="22"/>
      <c r="E157" s="23" t="str">
        <f aca="false">IF(OR(NOT(ISNUMBER($D157)),Config!$G$6&lt;&gt;"Sim"),"",$D157+Config!$F$6+IF(AND(Config!$F$6&gt;0,WEEKDAY($D157+Config!$F$6)=Config!$E$24),1,0))</f>
        <v/>
      </c>
      <c r="F157" s="24"/>
      <c r="G157" s="23" t="str">
        <f aca="false">IF(OR(NOT(ISNUMBER($D157)),Config!$G$7&lt;&gt;"Sim"),"",$D157+Config!$F$7+IF(AND(Config!$F$7&gt;0,WEEKDAY($D157+Config!$F$7)=Config!$E$24),1,0))</f>
        <v/>
      </c>
      <c r="H157" s="24"/>
      <c r="I157" s="23" t="str">
        <f aca="false">IF(OR(NOT(ISNUMBER($D157)),Config!$G$8&lt;&gt;"Sim"),"",$D157+Config!$F$8+IF(AND(Config!$F$8&gt;0,WEEKDAY($D157+Config!$F$8)=Config!$E$24),1,0))</f>
        <v/>
      </c>
      <c r="J157" s="24"/>
      <c r="K157" s="23" t="str">
        <f aca="false">IF(OR(NOT(ISNUMBER($D157)),Config!$G$9&lt;&gt;"Sim"),"",$D157+Config!$F$9+IF(AND(Config!$F$9&gt;0,WEEKDAY($D157+Config!$F$9)=Config!$E$24),1,0))</f>
        <v/>
      </c>
      <c r="L157" s="24"/>
      <c r="M157" s="23" t="str">
        <f aca="false">IF(OR(NOT(ISNUMBER($D157)),Config!$G$10&lt;&gt;"Sim"),"",$D157+Config!$F$10+IF(AND(Config!$F$10&gt;0,WEEKDAY($D157+Config!$F$10)=Config!$E$24),1,0))</f>
        <v/>
      </c>
      <c r="N157" s="24"/>
      <c r="O157" s="23" t="str">
        <f aca="false">IF(OR(NOT(ISNUMBER($D157)),Config!$G$11&lt;&gt;"Sim"),"",$D157+Config!$F$11+IF(AND(Config!$F$11&gt;0,WEEKDAY($D157+Config!$F$11)=Config!$E$24),1,0))</f>
        <v/>
      </c>
      <c r="P157" s="24"/>
      <c r="Q157" s="25" t="str">
        <f aca="false">IF(COUNT(E157,G157,I157,K157,M157,O157)=0,"",((E157&lt;&gt;"")*(F157&lt;&gt;"")+(G157&lt;&gt;"")*(H157&lt;&gt;"")+(I157&lt;&gt;"")*(J157&lt;&gt;"")+(K157&lt;&gt;"")*(L157&lt;&gt;"")+(M157&lt;&gt;"")*(N157&lt;&gt;"")+(O157&lt;&gt;"")*(P157&lt;&gt;""))/COUNT(E157,G157,I157,K157,M157,O157))</f>
        <v/>
      </c>
      <c r="R157" s="26" t="str">
        <f aca="false">IF(T157="","",IF(T157=99999,"",T157))</f>
        <v/>
      </c>
      <c r="S157" s="27" t="str">
        <f aca="true">IF(T157="","",IF(T157=99999,"Concluído",IF(T157&lt;TODAY(),"Atrasado",IF(T157=TODAY(),"Hoje","Em dia"))))</f>
        <v/>
      </c>
      <c r="T157" s="28" t="str">
        <f aca="false">IF(COUNT(E157,G157,I157,K157,M157,O157)=0,"",MIN(IF(AND(E157&lt;&gt;"",F157=""),E157,99999),IF(AND(G157&lt;&gt;"",H157=""),G157,99999),IF(AND(I157&lt;&gt;"",J157=""),I157,99999),IF(AND(K157&lt;&gt;"",L157=""),K157,99999),IF(AND(M157&lt;&gt;"",N157=""),M157,99999),IF(AND(O157&lt;&gt;"",P157=""),O157,99999)))</f>
        <v/>
      </c>
    </row>
    <row r="158" customFormat="false" ht="15" hidden="false" customHeight="false" outlineLevel="0" collapsed="false">
      <c r="A158" s="20" t="n">
        <v>153</v>
      </c>
      <c r="B158" s="21"/>
      <c r="C158" s="21"/>
      <c r="D158" s="22"/>
      <c r="E158" s="23" t="str">
        <f aca="false">IF(OR(NOT(ISNUMBER($D158)),Config!$G$6&lt;&gt;"Sim"),"",$D158+Config!$F$6+IF(AND(Config!$F$6&gt;0,WEEKDAY($D158+Config!$F$6)=Config!$E$24),1,0))</f>
        <v/>
      </c>
      <c r="F158" s="24"/>
      <c r="G158" s="23" t="str">
        <f aca="false">IF(OR(NOT(ISNUMBER($D158)),Config!$G$7&lt;&gt;"Sim"),"",$D158+Config!$F$7+IF(AND(Config!$F$7&gt;0,WEEKDAY($D158+Config!$F$7)=Config!$E$24),1,0))</f>
        <v/>
      </c>
      <c r="H158" s="24"/>
      <c r="I158" s="23" t="str">
        <f aca="false">IF(OR(NOT(ISNUMBER($D158)),Config!$G$8&lt;&gt;"Sim"),"",$D158+Config!$F$8+IF(AND(Config!$F$8&gt;0,WEEKDAY($D158+Config!$F$8)=Config!$E$24),1,0))</f>
        <v/>
      </c>
      <c r="J158" s="24"/>
      <c r="K158" s="23" t="str">
        <f aca="false">IF(OR(NOT(ISNUMBER($D158)),Config!$G$9&lt;&gt;"Sim"),"",$D158+Config!$F$9+IF(AND(Config!$F$9&gt;0,WEEKDAY($D158+Config!$F$9)=Config!$E$24),1,0))</f>
        <v/>
      </c>
      <c r="L158" s="24"/>
      <c r="M158" s="23" t="str">
        <f aca="false">IF(OR(NOT(ISNUMBER($D158)),Config!$G$10&lt;&gt;"Sim"),"",$D158+Config!$F$10+IF(AND(Config!$F$10&gt;0,WEEKDAY($D158+Config!$F$10)=Config!$E$24),1,0))</f>
        <v/>
      </c>
      <c r="N158" s="24"/>
      <c r="O158" s="23" t="str">
        <f aca="false">IF(OR(NOT(ISNUMBER($D158)),Config!$G$11&lt;&gt;"Sim"),"",$D158+Config!$F$11+IF(AND(Config!$F$11&gt;0,WEEKDAY($D158+Config!$F$11)=Config!$E$24),1,0))</f>
        <v/>
      </c>
      <c r="P158" s="24"/>
      <c r="Q158" s="25" t="str">
        <f aca="false">IF(COUNT(E158,G158,I158,K158,M158,O158)=0,"",((E158&lt;&gt;"")*(F158&lt;&gt;"")+(G158&lt;&gt;"")*(H158&lt;&gt;"")+(I158&lt;&gt;"")*(J158&lt;&gt;"")+(K158&lt;&gt;"")*(L158&lt;&gt;"")+(M158&lt;&gt;"")*(N158&lt;&gt;"")+(O158&lt;&gt;"")*(P158&lt;&gt;""))/COUNT(E158,G158,I158,K158,M158,O158))</f>
        <v/>
      </c>
      <c r="R158" s="26" t="str">
        <f aca="false">IF(T158="","",IF(T158=99999,"",T158))</f>
        <v/>
      </c>
      <c r="S158" s="27" t="str">
        <f aca="true">IF(T158="","",IF(T158=99999,"Concluído",IF(T158&lt;TODAY(),"Atrasado",IF(T158=TODAY(),"Hoje","Em dia"))))</f>
        <v/>
      </c>
      <c r="T158" s="28" t="str">
        <f aca="false">IF(COUNT(E158,G158,I158,K158,M158,O158)=0,"",MIN(IF(AND(E158&lt;&gt;"",F158=""),E158,99999),IF(AND(G158&lt;&gt;"",H158=""),G158,99999),IF(AND(I158&lt;&gt;"",J158=""),I158,99999),IF(AND(K158&lt;&gt;"",L158=""),K158,99999),IF(AND(M158&lt;&gt;"",N158=""),M158,99999),IF(AND(O158&lt;&gt;"",P158=""),O158,99999)))</f>
        <v/>
      </c>
    </row>
    <row r="159" customFormat="false" ht="15" hidden="false" customHeight="false" outlineLevel="0" collapsed="false">
      <c r="A159" s="20" t="n">
        <v>154</v>
      </c>
      <c r="B159" s="21"/>
      <c r="C159" s="21"/>
      <c r="D159" s="22"/>
      <c r="E159" s="23" t="str">
        <f aca="false">IF(OR(NOT(ISNUMBER($D159)),Config!$G$6&lt;&gt;"Sim"),"",$D159+Config!$F$6+IF(AND(Config!$F$6&gt;0,WEEKDAY($D159+Config!$F$6)=Config!$E$24),1,0))</f>
        <v/>
      </c>
      <c r="F159" s="24"/>
      <c r="G159" s="23" t="str">
        <f aca="false">IF(OR(NOT(ISNUMBER($D159)),Config!$G$7&lt;&gt;"Sim"),"",$D159+Config!$F$7+IF(AND(Config!$F$7&gt;0,WEEKDAY($D159+Config!$F$7)=Config!$E$24),1,0))</f>
        <v/>
      </c>
      <c r="H159" s="24"/>
      <c r="I159" s="23" t="str">
        <f aca="false">IF(OR(NOT(ISNUMBER($D159)),Config!$G$8&lt;&gt;"Sim"),"",$D159+Config!$F$8+IF(AND(Config!$F$8&gt;0,WEEKDAY($D159+Config!$F$8)=Config!$E$24),1,0))</f>
        <v/>
      </c>
      <c r="J159" s="24"/>
      <c r="K159" s="23" t="str">
        <f aca="false">IF(OR(NOT(ISNUMBER($D159)),Config!$G$9&lt;&gt;"Sim"),"",$D159+Config!$F$9+IF(AND(Config!$F$9&gt;0,WEEKDAY($D159+Config!$F$9)=Config!$E$24),1,0))</f>
        <v/>
      </c>
      <c r="L159" s="24"/>
      <c r="M159" s="23" t="str">
        <f aca="false">IF(OR(NOT(ISNUMBER($D159)),Config!$G$10&lt;&gt;"Sim"),"",$D159+Config!$F$10+IF(AND(Config!$F$10&gt;0,WEEKDAY($D159+Config!$F$10)=Config!$E$24),1,0))</f>
        <v/>
      </c>
      <c r="N159" s="24"/>
      <c r="O159" s="23" t="str">
        <f aca="false">IF(OR(NOT(ISNUMBER($D159)),Config!$G$11&lt;&gt;"Sim"),"",$D159+Config!$F$11+IF(AND(Config!$F$11&gt;0,WEEKDAY($D159+Config!$F$11)=Config!$E$24),1,0))</f>
        <v/>
      </c>
      <c r="P159" s="24"/>
      <c r="Q159" s="25" t="str">
        <f aca="false">IF(COUNT(E159,G159,I159,K159,M159,O159)=0,"",((E159&lt;&gt;"")*(F159&lt;&gt;"")+(G159&lt;&gt;"")*(H159&lt;&gt;"")+(I159&lt;&gt;"")*(J159&lt;&gt;"")+(K159&lt;&gt;"")*(L159&lt;&gt;"")+(M159&lt;&gt;"")*(N159&lt;&gt;"")+(O159&lt;&gt;"")*(P159&lt;&gt;""))/COUNT(E159,G159,I159,K159,M159,O159))</f>
        <v/>
      </c>
      <c r="R159" s="26" t="str">
        <f aca="false">IF(T159="","",IF(T159=99999,"",T159))</f>
        <v/>
      </c>
      <c r="S159" s="27" t="str">
        <f aca="true">IF(T159="","",IF(T159=99999,"Concluído",IF(T159&lt;TODAY(),"Atrasado",IF(T159=TODAY(),"Hoje","Em dia"))))</f>
        <v/>
      </c>
      <c r="T159" s="28" t="str">
        <f aca="false">IF(COUNT(E159,G159,I159,K159,M159,O159)=0,"",MIN(IF(AND(E159&lt;&gt;"",F159=""),E159,99999),IF(AND(G159&lt;&gt;"",H159=""),G159,99999),IF(AND(I159&lt;&gt;"",J159=""),I159,99999),IF(AND(K159&lt;&gt;"",L159=""),K159,99999),IF(AND(M159&lt;&gt;"",N159=""),M159,99999),IF(AND(O159&lt;&gt;"",P159=""),O159,99999)))</f>
        <v/>
      </c>
    </row>
    <row r="160" customFormat="false" ht="15" hidden="false" customHeight="false" outlineLevel="0" collapsed="false">
      <c r="A160" s="20" t="n">
        <v>155</v>
      </c>
      <c r="B160" s="21"/>
      <c r="C160" s="21"/>
      <c r="D160" s="22"/>
      <c r="E160" s="23" t="str">
        <f aca="false">IF(OR(NOT(ISNUMBER($D160)),Config!$G$6&lt;&gt;"Sim"),"",$D160+Config!$F$6+IF(AND(Config!$F$6&gt;0,WEEKDAY($D160+Config!$F$6)=Config!$E$24),1,0))</f>
        <v/>
      </c>
      <c r="F160" s="24"/>
      <c r="G160" s="23" t="str">
        <f aca="false">IF(OR(NOT(ISNUMBER($D160)),Config!$G$7&lt;&gt;"Sim"),"",$D160+Config!$F$7+IF(AND(Config!$F$7&gt;0,WEEKDAY($D160+Config!$F$7)=Config!$E$24),1,0))</f>
        <v/>
      </c>
      <c r="H160" s="24"/>
      <c r="I160" s="23" t="str">
        <f aca="false">IF(OR(NOT(ISNUMBER($D160)),Config!$G$8&lt;&gt;"Sim"),"",$D160+Config!$F$8+IF(AND(Config!$F$8&gt;0,WEEKDAY($D160+Config!$F$8)=Config!$E$24),1,0))</f>
        <v/>
      </c>
      <c r="J160" s="24"/>
      <c r="K160" s="23" t="str">
        <f aca="false">IF(OR(NOT(ISNUMBER($D160)),Config!$G$9&lt;&gt;"Sim"),"",$D160+Config!$F$9+IF(AND(Config!$F$9&gt;0,WEEKDAY($D160+Config!$F$9)=Config!$E$24),1,0))</f>
        <v/>
      </c>
      <c r="L160" s="24"/>
      <c r="M160" s="23" t="str">
        <f aca="false">IF(OR(NOT(ISNUMBER($D160)),Config!$G$10&lt;&gt;"Sim"),"",$D160+Config!$F$10+IF(AND(Config!$F$10&gt;0,WEEKDAY($D160+Config!$F$10)=Config!$E$24),1,0))</f>
        <v/>
      </c>
      <c r="N160" s="24"/>
      <c r="O160" s="23" t="str">
        <f aca="false">IF(OR(NOT(ISNUMBER($D160)),Config!$G$11&lt;&gt;"Sim"),"",$D160+Config!$F$11+IF(AND(Config!$F$11&gt;0,WEEKDAY($D160+Config!$F$11)=Config!$E$24),1,0))</f>
        <v/>
      </c>
      <c r="P160" s="24"/>
      <c r="Q160" s="25" t="str">
        <f aca="false">IF(COUNT(E160,G160,I160,K160,M160,O160)=0,"",((E160&lt;&gt;"")*(F160&lt;&gt;"")+(G160&lt;&gt;"")*(H160&lt;&gt;"")+(I160&lt;&gt;"")*(J160&lt;&gt;"")+(K160&lt;&gt;"")*(L160&lt;&gt;"")+(M160&lt;&gt;"")*(N160&lt;&gt;"")+(O160&lt;&gt;"")*(P160&lt;&gt;""))/COUNT(E160,G160,I160,K160,M160,O160))</f>
        <v/>
      </c>
      <c r="R160" s="26" t="str">
        <f aca="false">IF(T160="","",IF(T160=99999,"",T160))</f>
        <v/>
      </c>
      <c r="S160" s="27" t="str">
        <f aca="true">IF(T160="","",IF(T160=99999,"Concluído",IF(T160&lt;TODAY(),"Atrasado",IF(T160=TODAY(),"Hoje","Em dia"))))</f>
        <v/>
      </c>
      <c r="T160" s="28" t="str">
        <f aca="false">IF(COUNT(E160,G160,I160,K160,M160,O160)=0,"",MIN(IF(AND(E160&lt;&gt;"",F160=""),E160,99999),IF(AND(G160&lt;&gt;"",H160=""),G160,99999),IF(AND(I160&lt;&gt;"",J160=""),I160,99999),IF(AND(K160&lt;&gt;"",L160=""),K160,99999),IF(AND(M160&lt;&gt;"",N160=""),M160,99999),IF(AND(O160&lt;&gt;"",P160=""),O160,99999)))</f>
        <v/>
      </c>
    </row>
    <row r="161" customFormat="false" ht="15" hidden="false" customHeight="false" outlineLevel="0" collapsed="false">
      <c r="A161" s="20" t="n">
        <v>156</v>
      </c>
      <c r="B161" s="21"/>
      <c r="C161" s="21"/>
      <c r="D161" s="22"/>
      <c r="E161" s="23" t="str">
        <f aca="false">IF(OR(NOT(ISNUMBER($D161)),Config!$G$6&lt;&gt;"Sim"),"",$D161+Config!$F$6+IF(AND(Config!$F$6&gt;0,WEEKDAY($D161+Config!$F$6)=Config!$E$24),1,0))</f>
        <v/>
      </c>
      <c r="F161" s="24"/>
      <c r="G161" s="23" t="str">
        <f aca="false">IF(OR(NOT(ISNUMBER($D161)),Config!$G$7&lt;&gt;"Sim"),"",$D161+Config!$F$7+IF(AND(Config!$F$7&gt;0,WEEKDAY($D161+Config!$F$7)=Config!$E$24),1,0))</f>
        <v/>
      </c>
      <c r="H161" s="24"/>
      <c r="I161" s="23" t="str">
        <f aca="false">IF(OR(NOT(ISNUMBER($D161)),Config!$G$8&lt;&gt;"Sim"),"",$D161+Config!$F$8+IF(AND(Config!$F$8&gt;0,WEEKDAY($D161+Config!$F$8)=Config!$E$24),1,0))</f>
        <v/>
      </c>
      <c r="J161" s="24"/>
      <c r="K161" s="23" t="str">
        <f aca="false">IF(OR(NOT(ISNUMBER($D161)),Config!$G$9&lt;&gt;"Sim"),"",$D161+Config!$F$9+IF(AND(Config!$F$9&gt;0,WEEKDAY($D161+Config!$F$9)=Config!$E$24),1,0))</f>
        <v/>
      </c>
      <c r="L161" s="24"/>
      <c r="M161" s="23" t="str">
        <f aca="false">IF(OR(NOT(ISNUMBER($D161)),Config!$G$10&lt;&gt;"Sim"),"",$D161+Config!$F$10+IF(AND(Config!$F$10&gt;0,WEEKDAY($D161+Config!$F$10)=Config!$E$24),1,0))</f>
        <v/>
      </c>
      <c r="N161" s="24"/>
      <c r="O161" s="23" t="str">
        <f aca="false">IF(OR(NOT(ISNUMBER($D161)),Config!$G$11&lt;&gt;"Sim"),"",$D161+Config!$F$11+IF(AND(Config!$F$11&gt;0,WEEKDAY($D161+Config!$F$11)=Config!$E$24),1,0))</f>
        <v/>
      </c>
      <c r="P161" s="24"/>
      <c r="Q161" s="25" t="str">
        <f aca="false">IF(COUNT(E161,G161,I161,K161,M161,O161)=0,"",((E161&lt;&gt;"")*(F161&lt;&gt;"")+(G161&lt;&gt;"")*(H161&lt;&gt;"")+(I161&lt;&gt;"")*(J161&lt;&gt;"")+(K161&lt;&gt;"")*(L161&lt;&gt;"")+(M161&lt;&gt;"")*(N161&lt;&gt;"")+(O161&lt;&gt;"")*(P161&lt;&gt;""))/COUNT(E161,G161,I161,K161,M161,O161))</f>
        <v/>
      </c>
      <c r="R161" s="26" t="str">
        <f aca="false">IF(T161="","",IF(T161=99999,"",T161))</f>
        <v/>
      </c>
      <c r="S161" s="27" t="str">
        <f aca="true">IF(T161="","",IF(T161=99999,"Concluído",IF(T161&lt;TODAY(),"Atrasado",IF(T161=TODAY(),"Hoje","Em dia"))))</f>
        <v/>
      </c>
      <c r="T161" s="28" t="str">
        <f aca="false">IF(COUNT(E161,G161,I161,K161,M161,O161)=0,"",MIN(IF(AND(E161&lt;&gt;"",F161=""),E161,99999),IF(AND(G161&lt;&gt;"",H161=""),G161,99999),IF(AND(I161&lt;&gt;"",J161=""),I161,99999),IF(AND(K161&lt;&gt;"",L161=""),K161,99999),IF(AND(M161&lt;&gt;"",N161=""),M161,99999),IF(AND(O161&lt;&gt;"",P161=""),O161,99999)))</f>
        <v/>
      </c>
    </row>
    <row r="162" customFormat="false" ht="15" hidden="false" customHeight="false" outlineLevel="0" collapsed="false">
      <c r="A162" s="20" t="n">
        <v>157</v>
      </c>
      <c r="B162" s="21"/>
      <c r="C162" s="21"/>
      <c r="D162" s="22"/>
      <c r="E162" s="23" t="str">
        <f aca="false">IF(OR(NOT(ISNUMBER($D162)),Config!$G$6&lt;&gt;"Sim"),"",$D162+Config!$F$6+IF(AND(Config!$F$6&gt;0,WEEKDAY($D162+Config!$F$6)=Config!$E$24),1,0))</f>
        <v/>
      </c>
      <c r="F162" s="24"/>
      <c r="G162" s="23" t="str">
        <f aca="false">IF(OR(NOT(ISNUMBER($D162)),Config!$G$7&lt;&gt;"Sim"),"",$D162+Config!$F$7+IF(AND(Config!$F$7&gt;0,WEEKDAY($D162+Config!$F$7)=Config!$E$24),1,0))</f>
        <v/>
      </c>
      <c r="H162" s="24"/>
      <c r="I162" s="23" t="str">
        <f aca="false">IF(OR(NOT(ISNUMBER($D162)),Config!$G$8&lt;&gt;"Sim"),"",$D162+Config!$F$8+IF(AND(Config!$F$8&gt;0,WEEKDAY($D162+Config!$F$8)=Config!$E$24),1,0))</f>
        <v/>
      </c>
      <c r="J162" s="24"/>
      <c r="K162" s="23" t="str">
        <f aca="false">IF(OR(NOT(ISNUMBER($D162)),Config!$G$9&lt;&gt;"Sim"),"",$D162+Config!$F$9+IF(AND(Config!$F$9&gt;0,WEEKDAY($D162+Config!$F$9)=Config!$E$24),1,0))</f>
        <v/>
      </c>
      <c r="L162" s="24"/>
      <c r="M162" s="23" t="str">
        <f aca="false">IF(OR(NOT(ISNUMBER($D162)),Config!$G$10&lt;&gt;"Sim"),"",$D162+Config!$F$10+IF(AND(Config!$F$10&gt;0,WEEKDAY($D162+Config!$F$10)=Config!$E$24),1,0))</f>
        <v/>
      </c>
      <c r="N162" s="24"/>
      <c r="O162" s="23" t="str">
        <f aca="false">IF(OR(NOT(ISNUMBER($D162)),Config!$G$11&lt;&gt;"Sim"),"",$D162+Config!$F$11+IF(AND(Config!$F$11&gt;0,WEEKDAY($D162+Config!$F$11)=Config!$E$24),1,0))</f>
        <v/>
      </c>
      <c r="P162" s="24"/>
      <c r="Q162" s="25" t="str">
        <f aca="false">IF(COUNT(E162,G162,I162,K162,M162,O162)=0,"",((E162&lt;&gt;"")*(F162&lt;&gt;"")+(G162&lt;&gt;"")*(H162&lt;&gt;"")+(I162&lt;&gt;"")*(J162&lt;&gt;"")+(K162&lt;&gt;"")*(L162&lt;&gt;"")+(M162&lt;&gt;"")*(N162&lt;&gt;"")+(O162&lt;&gt;"")*(P162&lt;&gt;""))/COUNT(E162,G162,I162,K162,M162,O162))</f>
        <v/>
      </c>
      <c r="R162" s="26" t="str">
        <f aca="false">IF(T162="","",IF(T162=99999,"",T162))</f>
        <v/>
      </c>
      <c r="S162" s="27" t="str">
        <f aca="true">IF(T162="","",IF(T162=99999,"Concluído",IF(T162&lt;TODAY(),"Atrasado",IF(T162=TODAY(),"Hoje","Em dia"))))</f>
        <v/>
      </c>
      <c r="T162" s="28" t="str">
        <f aca="false">IF(COUNT(E162,G162,I162,K162,M162,O162)=0,"",MIN(IF(AND(E162&lt;&gt;"",F162=""),E162,99999),IF(AND(G162&lt;&gt;"",H162=""),G162,99999),IF(AND(I162&lt;&gt;"",J162=""),I162,99999),IF(AND(K162&lt;&gt;"",L162=""),K162,99999),IF(AND(M162&lt;&gt;"",N162=""),M162,99999),IF(AND(O162&lt;&gt;"",P162=""),O162,99999)))</f>
        <v/>
      </c>
    </row>
    <row r="163" customFormat="false" ht="15" hidden="false" customHeight="false" outlineLevel="0" collapsed="false">
      <c r="A163" s="20" t="n">
        <v>158</v>
      </c>
      <c r="B163" s="21"/>
      <c r="C163" s="21"/>
      <c r="D163" s="22"/>
      <c r="E163" s="23" t="str">
        <f aca="false">IF(OR(NOT(ISNUMBER($D163)),Config!$G$6&lt;&gt;"Sim"),"",$D163+Config!$F$6+IF(AND(Config!$F$6&gt;0,WEEKDAY($D163+Config!$F$6)=Config!$E$24),1,0))</f>
        <v/>
      </c>
      <c r="F163" s="24"/>
      <c r="G163" s="23" t="str">
        <f aca="false">IF(OR(NOT(ISNUMBER($D163)),Config!$G$7&lt;&gt;"Sim"),"",$D163+Config!$F$7+IF(AND(Config!$F$7&gt;0,WEEKDAY($D163+Config!$F$7)=Config!$E$24),1,0))</f>
        <v/>
      </c>
      <c r="H163" s="24"/>
      <c r="I163" s="23" t="str">
        <f aca="false">IF(OR(NOT(ISNUMBER($D163)),Config!$G$8&lt;&gt;"Sim"),"",$D163+Config!$F$8+IF(AND(Config!$F$8&gt;0,WEEKDAY($D163+Config!$F$8)=Config!$E$24),1,0))</f>
        <v/>
      </c>
      <c r="J163" s="24"/>
      <c r="K163" s="23" t="str">
        <f aca="false">IF(OR(NOT(ISNUMBER($D163)),Config!$G$9&lt;&gt;"Sim"),"",$D163+Config!$F$9+IF(AND(Config!$F$9&gt;0,WEEKDAY($D163+Config!$F$9)=Config!$E$24),1,0))</f>
        <v/>
      </c>
      <c r="L163" s="24"/>
      <c r="M163" s="23" t="str">
        <f aca="false">IF(OR(NOT(ISNUMBER($D163)),Config!$G$10&lt;&gt;"Sim"),"",$D163+Config!$F$10+IF(AND(Config!$F$10&gt;0,WEEKDAY($D163+Config!$F$10)=Config!$E$24),1,0))</f>
        <v/>
      </c>
      <c r="N163" s="24"/>
      <c r="O163" s="23" t="str">
        <f aca="false">IF(OR(NOT(ISNUMBER($D163)),Config!$G$11&lt;&gt;"Sim"),"",$D163+Config!$F$11+IF(AND(Config!$F$11&gt;0,WEEKDAY($D163+Config!$F$11)=Config!$E$24),1,0))</f>
        <v/>
      </c>
      <c r="P163" s="24"/>
      <c r="Q163" s="25" t="str">
        <f aca="false">IF(COUNT(E163,G163,I163,K163,M163,O163)=0,"",((E163&lt;&gt;"")*(F163&lt;&gt;"")+(G163&lt;&gt;"")*(H163&lt;&gt;"")+(I163&lt;&gt;"")*(J163&lt;&gt;"")+(K163&lt;&gt;"")*(L163&lt;&gt;"")+(M163&lt;&gt;"")*(N163&lt;&gt;"")+(O163&lt;&gt;"")*(P163&lt;&gt;""))/COUNT(E163,G163,I163,K163,M163,O163))</f>
        <v/>
      </c>
      <c r="R163" s="26" t="str">
        <f aca="false">IF(T163="","",IF(T163=99999,"",T163))</f>
        <v/>
      </c>
      <c r="S163" s="27" t="str">
        <f aca="true">IF(T163="","",IF(T163=99999,"Concluído",IF(T163&lt;TODAY(),"Atrasado",IF(T163=TODAY(),"Hoje","Em dia"))))</f>
        <v/>
      </c>
      <c r="T163" s="28" t="str">
        <f aca="false">IF(COUNT(E163,G163,I163,K163,M163,O163)=0,"",MIN(IF(AND(E163&lt;&gt;"",F163=""),E163,99999),IF(AND(G163&lt;&gt;"",H163=""),G163,99999),IF(AND(I163&lt;&gt;"",J163=""),I163,99999),IF(AND(K163&lt;&gt;"",L163=""),K163,99999),IF(AND(M163&lt;&gt;"",N163=""),M163,99999),IF(AND(O163&lt;&gt;"",P163=""),O163,99999)))</f>
        <v/>
      </c>
    </row>
    <row r="164" customFormat="false" ht="15" hidden="false" customHeight="false" outlineLevel="0" collapsed="false">
      <c r="A164" s="20" t="n">
        <v>159</v>
      </c>
      <c r="B164" s="21"/>
      <c r="C164" s="21"/>
      <c r="D164" s="22"/>
      <c r="E164" s="23" t="str">
        <f aca="false">IF(OR(NOT(ISNUMBER($D164)),Config!$G$6&lt;&gt;"Sim"),"",$D164+Config!$F$6+IF(AND(Config!$F$6&gt;0,WEEKDAY($D164+Config!$F$6)=Config!$E$24),1,0))</f>
        <v/>
      </c>
      <c r="F164" s="24"/>
      <c r="G164" s="23" t="str">
        <f aca="false">IF(OR(NOT(ISNUMBER($D164)),Config!$G$7&lt;&gt;"Sim"),"",$D164+Config!$F$7+IF(AND(Config!$F$7&gt;0,WEEKDAY($D164+Config!$F$7)=Config!$E$24),1,0))</f>
        <v/>
      </c>
      <c r="H164" s="24"/>
      <c r="I164" s="23" t="str">
        <f aca="false">IF(OR(NOT(ISNUMBER($D164)),Config!$G$8&lt;&gt;"Sim"),"",$D164+Config!$F$8+IF(AND(Config!$F$8&gt;0,WEEKDAY($D164+Config!$F$8)=Config!$E$24),1,0))</f>
        <v/>
      </c>
      <c r="J164" s="24"/>
      <c r="K164" s="23" t="str">
        <f aca="false">IF(OR(NOT(ISNUMBER($D164)),Config!$G$9&lt;&gt;"Sim"),"",$D164+Config!$F$9+IF(AND(Config!$F$9&gt;0,WEEKDAY($D164+Config!$F$9)=Config!$E$24),1,0))</f>
        <v/>
      </c>
      <c r="L164" s="24"/>
      <c r="M164" s="23" t="str">
        <f aca="false">IF(OR(NOT(ISNUMBER($D164)),Config!$G$10&lt;&gt;"Sim"),"",$D164+Config!$F$10+IF(AND(Config!$F$10&gt;0,WEEKDAY($D164+Config!$F$10)=Config!$E$24),1,0))</f>
        <v/>
      </c>
      <c r="N164" s="24"/>
      <c r="O164" s="23" t="str">
        <f aca="false">IF(OR(NOT(ISNUMBER($D164)),Config!$G$11&lt;&gt;"Sim"),"",$D164+Config!$F$11+IF(AND(Config!$F$11&gt;0,WEEKDAY($D164+Config!$F$11)=Config!$E$24),1,0))</f>
        <v/>
      </c>
      <c r="P164" s="24"/>
      <c r="Q164" s="25" t="str">
        <f aca="false">IF(COUNT(E164,G164,I164,K164,M164,O164)=0,"",((E164&lt;&gt;"")*(F164&lt;&gt;"")+(G164&lt;&gt;"")*(H164&lt;&gt;"")+(I164&lt;&gt;"")*(J164&lt;&gt;"")+(K164&lt;&gt;"")*(L164&lt;&gt;"")+(M164&lt;&gt;"")*(N164&lt;&gt;"")+(O164&lt;&gt;"")*(P164&lt;&gt;""))/COUNT(E164,G164,I164,K164,M164,O164))</f>
        <v/>
      </c>
      <c r="R164" s="26" t="str">
        <f aca="false">IF(T164="","",IF(T164=99999,"",T164))</f>
        <v/>
      </c>
      <c r="S164" s="27" t="str">
        <f aca="true">IF(T164="","",IF(T164=99999,"Concluído",IF(T164&lt;TODAY(),"Atrasado",IF(T164=TODAY(),"Hoje","Em dia"))))</f>
        <v/>
      </c>
      <c r="T164" s="28" t="str">
        <f aca="false">IF(COUNT(E164,G164,I164,K164,M164,O164)=0,"",MIN(IF(AND(E164&lt;&gt;"",F164=""),E164,99999),IF(AND(G164&lt;&gt;"",H164=""),G164,99999),IF(AND(I164&lt;&gt;"",J164=""),I164,99999),IF(AND(K164&lt;&gt;"",L164=""),K164,99999),IF(AND(M164&lt;&gt;"",N164=""),M164,99999),IF(AND(O164&lt;&gt;"",P164=""),O164,99999)))</f>
        <v/>
      </c>
    </row>
    <row r="165" customFormat="false" ht="15" hidden="false" customHeight="false" outlineLevel="0" collapsed="false">
      <c r="A165" s="20" t="n">
        <v>160</v>
      </c>
      <c r="B165" s="21"/>
      <c r="C165" s="21"/>
      <c r="D165" s="22"/>
      <c r="E165" s="23" t="str">
        <f aca="false">IF(OR(NOT(ISNUMBER($D165)),Config!$G$6&lt;&gt;"Sim"),"",$D165+Config!$F$6+IF(AND(Config!$F$6&gt;0,WEEKDAY($D165+Config!$F$6)=Config!$E$24),1,0))</f>
        <v/>
      </c>
      <c r="F165" s="24"/>
      <c r="G165" s="23" t="str">
        <f aca="false">IF(OR(NOT(ISNUMBER($D165)),Config!$G$7&lt;&gt;"Sim"),"",$D165+Config!$F$7+IF(AND(Config!$F$7&gt;0,WEEKDAY($D165+Config!$F$7)=Config!$E$24),1,0))</f>
        <v/>
      </c>
      <c r="H165" s="24"/>
      <c r="I165" s="23" t="str">
        <f aca="false">IF(OR(NOT(ISNUMBER($D165)),Config!$G$8&lt;&gt;"Sim"),"",$D165+Config!$F$8+IF(AND(Config!$F$8&gt;0,WEEKDAY($D165+Config!$F$8)=Config!$E$24),1,0))</f>
        <v/>
      </c>
      <c r="J165" s="24"/>
      <c r="K165" s="23" t="str">
        <f aca="false">IF(OR(NOT(ISNUMBER($D165)),Config!$G$9&lt;&gt;"Sim"),"",$D165+Config!$F$9+IF(AND(Config!$F$9&gt;0,WEEKDAY($D165+Config!$F$9)=Config!$E$24),1,0))</f>
        <v/>
      </c>
      <c r="L165" s="24"/>
      <c r="M165" s="23" t="str">
        <f aca="false">IF(OR(NOT(ISNUMBER($D165)),Config!$G$10&lt;&gt;"Sim"),"",$D165+Config!$F$10+IF(AND(Config!$F$10&gt;0,WEEKDAY($D165+Config!$F$10)=Config!$E$24),1,0))</f>
        <v/>
      </c>
      <c r="N165" s="24"/>
      <c r="O165" s="23" t="str">
        <f aca="false">IF(OR(NOT(ISNUMBER($D165)),Config!$G$11&lt;&gt;"Sim"),"",$D165+Config!$F$11+IF(AND(Config!$F$11&gt;0,WEEKDAY($D165+Config!$F$11)=Config!$E$24),1,0))</f>
        <v/>
      </c>
      <c r="P165" s="24"/>
      <c r="Q165" s="25" t="str">
        <f aca="false">IF(COUNT(E165,G165,I165,K165,M165,O165)=0,"",((E165&lt;&gt;"")*(F165&lt;&gt;"")+(G165&lt;&gt;"")*(H165&lt;&gt;"")+(I165&lt;&gt;"")*(J165&lt;&gt;"")+(K165&lt;&gt;"")*(L165&lt;&gt;"")+(M165&lt;&gt;"")*(N165&lt;&gt;"")+(O165&lt;&gt;"")*(P165&lt;&gt;""))/COUNT(E165,G165,I165,K165,M165,O165))</f>
        <v/>
      </c>
      <c r="R165" s="26" t="str">
        <f aca="false">IF(T165="","",IF(T165=99999,"",T165))</f>
        <v/>
      </c>
      <c r="S165" s="27" t="str">
        <f aca="true">IF(T165="","",IF(T165=99999,"Concluído",IF(T165&lt;TODAY(),"Atrasado",IF(T165=TODAY(),"Hoje","Em dia"))))</f>
        <v/>
      </c>
      <c r="T165" s="28" t="str">
        <f aca="false">IF(COUNT(E165,G165,I165,K165,M165,O165)=0,"",MIN(IF(AND(E165&lt;&gt;"",F165=""),E165,99999),IF(AND(G165&lt;&gt;"",H165=""),G165,99999),IF(AND(I165&lt;&gt;"",J165=""),I165,99999),IF(AND(K165&lt;&gt;"",L165=""),K165,99999),IF(AND(M165&lt;&gt;"",N165=""),M165,99999),IF(AND(O165&lt;&gt;"",P165=""),O165,99999)))</f>
        <v/>
      </c>
    </row>
    <row r="166" customFormat="false" ht="15" hidden="false" customHeight="false" outlineLevel="0" collapsed="false">
      <c r="A166" s="20" t="n">
        <v>161</v>
      </c>
      <c r="B166" s="21"/>
      <c r="C166" s="21"/>
      <c r="D166" s="22"/>
      <c r="E166" s="23" t="str">
        <f aca="false">IF(OR(NOT(ISNUMBER($D166)),Config!$G$6&lt;&gt;"Sim"),"",$D166+Config!$F$6+IF(AND(Config!$F$6&gt;0,WEEKDAY($D166+Config!$F$6)=Config!$E$24),1,0))</f>
        <v/>
      </c>
      <c r="F166" s="24"/>
      <c r="G166" s="23" t="str">
        <f aca="false">IF(OR(NOT(ISNUMBER($D166)),Config!$G$7&lt;&gt;"Sim"),"",$D166+Config!$F$7+IF(AND(Config!$F$7&gt;0,WEEKDAY($D166+Config!$F$7)=Config!$E$24),1,0))</f>
        <v/>
      </c>
      <c r="H166" s="24"/>
      <c r="I166" s="23" t="str">
        <f aca="false">IF(OR(NOT(ISNUMBER($D166)),Config!$G$8&lt;&gt;"Sim"),"",$D166+Config!$F$8+IF(AND(Config!$F$8&gt;0,WEEKDAY($D166+Config!$F$8)=Config!$E$24),1,0))</f>
        <v/>
      </c>
      <c r="J166" s="24"/>
      <c r="K166" s="23" t="str">
        <f aca="false">IF(OR(NOT(ISNUMBER($D166)),Config!$G$9&lt;&gt;"Sim"),"",$D166+Config!$F$9+IF(AND(Config!$F$9&gt;0,WEEKDAY($D166+Config!$F$9)=Config!$E$24),1,0))</f>
        <v/>
      </c>
      <c r="L166" s="24"/>
      <c r="M166" s="23" t="str">
        <f aca="false">IF(OR(NOT(ISNUMBER($D166)),Config!$G$10&lt;&gt;"Sim"),"",$D166+Config!$F$10+IF(AND(Config!$F$10&gt;0,WEEKDAY($D166+Config!$F$10)=Config!$E$24),1,0))</f>
        <v/>
      </c>
      <c r="N166" s="24"/>
      <c r="O166" s="23" t="str">
        <f aca="false">IF(OR(NOT(ISNUMBER($D166)),Config!$G$11&lt;&gt;"Sim"),"",$D166+Config!$F$11+IF(AND(Config!$F$11&gt;0,WEEKDAY($D166+Config!$F$11)=Config!$E$24),1,0))</f>
        <v/>
      </c>
      <c r="P166" s="24"/>
      <c r="Q166" s="25" t="str">
        <f aca="false">IF(COUNT(E166,G166,I166,K166,M166,O166)=0,"",((E166&lt;&gt;"")*(F166&lt;&gt;"")+(G166&lt;&gt;"")*(H166&lt;&gt;"")+(I166&lt;&gt;"")*(J166&lt;&gt;"")+(K166&lt;&gt;"")*(L166&lt;&gt;"")+(M166&lt;&gt;"")*(N166&lt;&gt;"")+(O166&lt;&gt;"")*(P166&lt;&gt;""))/COUNT(E166,G166,I166,K166,M166,O166))</f>
        <v/>
      </c>
      <c r="R166" s="26" t="str">
        <f aca="false">IF(T166="","",IF(T166=99999,"",T166))</f>
        <v/>
      </c>
      <c r="S166" s="27" t="str">
        <f aca="true">IF(T166="","",IF(T166=99999,"Concluído",IF(T166&lt;TODAY(),"Atrasado",IF(T166=TODAY(),"Hoje","Em dia"))))</f>
        <v/>
      </c>
      <c r="T166" s="28" t="str">
        <f aca="false">IF(COUNT(E166,G166,I166,K166,M166,O166)=0,"",MIN(IF(AND(E166&lt;&gt;"",F166=""),E166,99999),IF(AND(G166&lt;&gt;"",H166=""),G166,99999),IF(AND(I166&lt;&gt;"",J166=""),I166,99999),IF(AND(K166&lt;&gt;"",L166=""),K166,99999),IF(AND(M166&lt;&gt;"",N166=""),M166,99999),IF(AND(O166&lt;&gt;"",P166=""),O166,99999)))</f>
        <v/>
      </c>
    </row>
    <row r="167" customFormat="false" ht="15" hidden="false" customHeight="false" outlineLevel="0" collapsed="false">
      <c r="A167" s="20" t="n">
        <v>162</v>
      </c>
      <c r="B167" s="21"/>
      <c r="C167" s="21"/>
      <c r="D167" s="22"/>
      <c r="E167" s="23" t="str">
        <f aca="false">IF(OR(NOT(ISNUMBER($D167)),Config!$G$6&lt;&gt;"Sim"),"",$D167+Config!$F$6+IF(AND(Config!$F$6&gt;0,WEEKDAY($D167+Config!$F$6)=Config!$E$24),1,0))</f>
        <v/>
      </c>
      <c r="F167" s="24"/>
      <c r="G167" s="23" t="str">
        <f aca="false">IF(OR(NOT(ISNUMBER($D167)),Config!$G$7&lt;&gt;"Sim"),"",$D167+Config!$F$7+IF(AND(Config!$F$7&gt;0,WEEKDAY($D167+Config!$F$7)=Config!$E$24),1,0))</f>
        <v/>
      </c>
      <c r="H167" s="24"/>
      <c r="I167" s="23" t="str">
        <f aca="false">IF(OR(NOT(ISNUMBER($D167)),Config!$G$8&lt;&gt;"Sim"),"",$D167+Config!$F$8+IF(AND(Config!$F$8&gt;0,WEEKDAY($D167+Config!$F$8)=Config!$E$24),1,0))</f>
        <v/>
      </c>
      <c r="J167" s="24"/>
      <c r="K167" s="23" t="str">
        <f aca="false">IF(OR(NOT(ISNUMBER($D167)),Config!$G$9&lt;&gt;"Sim"),"",$D167+Config!$F$9+IF(AND(Config!$F$9&gt;0,WEEKDAY($D167+Config!$F$9)=Config!$E$24),1,0))</f>
        <v/>
      </c>
      <c r="L167" s="24"/>
      <c r="M167" s="23" t="str">
        <f aca="false">IF(OR(NOT(ISNUMBER($D167)),Config!$G$10&lt;&gt;"Sim"),"",$D167+Config!$F$10+IF(AND(Config!$F$10&gt;0,WEEKDAY($D167+Config!$F$10)=Config!$E$24),1,0))</f>
        <v/>
      </c>
      <c r="N167" s="24"/>
      <c r="O167" s="23" t="str">
        <f aca="false">IF(OR(NOT(ISNUMBER($D167)),Config!$G$11&lt;&gt;"Sim"),"",$D167+Config!$F$11+IF(AND(Config!$F$11&gt;0,WEEKDAY($D167+Config!$F$11)=Config!$E$24),1,0))</f>
        <v/>
      </c>
      <c r="P167" s="24"/>
      <c r="Q167" s="25" t="str">
        <f aca="false">IF(COUNT(E167,G167,I167,K167,M167,O167)=0,"",((E167&lt;&gt;"")*(F167&lt;&gt;"")+(G167&lt;&gt;"")*(H167&lt;&gt;"")+(I167&lt;&gt;"")*(J167&lt;&gt;"")+(K167&lt;&gt;"")*(L167&lt;&gt;"")+(M167&lt;&gt;"")*(N167&lt;&gt;"")+(O167&lt;&gt;"")*(P167&lt;&gt;""))/COUNT(E167,G167,I167,K167,M167,O167))</f>
        <v/>
      </c>
      <c r="R167" s="26" t="str">
        <f aca="false">IF(T167="","",IF(T167=99999,"",T167))</f>
        <v/>
      </c>
      <c r="S167" s="27" t="str">
        <f aca="true">IF(T167="","",IF(T167=99999,"Concluído",IF(T167&lt;TODAY(),"Atrasado",IF(T167=TODAY(),"Hoje","Em dia"))))</f>
        <v/>
      </c>
      <c r="T167" s="28" t="str">
        <f aca="false">IF(COUNT(E167,G167,I167,K167,M167,O167)=0,"",MIN(IF(AND(E167&lt;&gt;"",F167=""),E167,99999),IF(AND(G167&lt;&gt;"",H167=""),G167,99999),IF(AND(I167&lt;&gt;"",J167=""),I167,99999),IF(AND(K167&lt;&gt;"",L167=""),K167,99999),IF(AND(M167&lt;&gt;"",N167=""),M167,99999),IF(AND(O167&lt;&gt;"",P167=""),O167,99999)))</f>
        <v/>
      </c>
    </row>
    <row r="168" customFormat="false" ht="15" hidden="false" customHeight="false" outlineLevel="0" collapsed="false">
      <c r="A168" s="20" t="n">
        <v>163</v>
      </c>
      <c r="B168" s="21"/>
      <c r="C168" s="21"/>
      <c r="D168" s="22"/>
      <c r="E168" s="23" t="str">
        <f aca="false">IF(OR(NOT(ISNUMBER($D168)),Config!$G$6&lt;&gt;"Sim"),"",$D168+Config!$F$6+IF(AND(Config!$F$6&gt;0,WEEKDAY($D168+Config!$F$6)=Config!$E$24),1,0))</f>
        <v/>
      </c>
      <c r="F168" s="24"/>
      <c r="G168" s="23" t="str">
        <f aca="false">IF(OR(NOT(ISNUMBER($D168)),Config!$G$7&lt;&gt;"Sim"),"",$D168+Config!$F$7+IF(AND(Config!$F$7&gt;0,WEEKDAY($D168+Config!$F$7)=Config!$E$24),1,0))</f>
        <v/>
      </c>
      <c r="H168" s="24"/>
      <c r="I168" s="23" t="str">
        <f aca="false">IF(OR(NOT(ISNUMBER($D168)),Config!$G$8&lt;&gt;"Sim"),"",$D168+Config!$F$8+IF(AND(Config!$F$8&gt;0,WEEKDAY($D168+Config!$F$8)=Config!$E$24),1,0))</f>
        <v/>
      </c>
      <c r="J168" s="24"/>
      <c r="K168" s="23" t="str">
        <f aca="false">IF(OR(NOT(ISNUMBER($D168)),Config!$G$9&lt;&gt;"Sim"),"",$D168+Config!$F$9+IF(AND(Config!$F$9&gt;0,WEEKDAY($D168+Config!$F$9)=Config!$E$24),1,0))</f>
        <v/>
      </c>
      <c r="L168" s="24"/>
      <c r="M168" s="23" t="str">
        <f aca="false">IF(OR(NOT(ISNUMBER($D168)),Config!$G$10&lt;&gt;"Sim"),"",$D168+Config!$F$10+IF(AND(Config!$F$10&gt;0,WEEKDAY($D168+Config!$F$10)=Config!$E$24),1,0))</f>
        <v/>
      </c>
      <c r="N168" s="24"/>
      <c r="O168" s="23" t="str">
        <f aca="false">IF(OR(NOT(ISNUMBER($D168)),Config!$G$11&lt;&gt;"Sim"),"",$D168+Config!$F$11+IF(AND(Config!$F$11&gt;0,WEEKDAY($D168+Config!$F$11)=Config!$E$24),1,0))</f>
        <v/>
      </c>
      <c r="P168" s="24"/>
      <c r="Q168" s="25" t="str">
        <f aca="false">IF(COUNT(E168,G168,I168,K168,M168,O168)=0,"",((E168&lt;&gt;"")*(F168&lt;&gt;"")+(G168&lt;&gt;"")*(H168&lt;&gt;"")+(I168&lt;&gt;"")*(J168&lt;&gt;"")+(K168&lt;&gt;"")*(L168&lt;&gt;"")+(M168&lt;&gt;"")*(N168&lt;&gt;"")+(O168&lt;&gt;"")*(P168&lt;&gt;""))/COUNT(E168,G168,I168,K168,M168,O168))</f>
        <v/>
      </c>
      <c r="R168" s="26" t="str">
        <f aca="false">IF(T168="","",IF(T168=99999,"",T168))</f>
        <v/>
      </c>
      <c r="S168" s="27" t="str">
        <f aca="true">IF(T168="","",IF(T168=99999,"Concluído",IF(T168&lt;TODAY(),"Atrasado",IF(T168=TODAY(),"Hoje","Em dia"))))</f>
        <v/>
      </c>
      <c r="T168" s="28" t="str">
        <f aca="false">IF(COUNT(E168,G168,I168,K168,M168,O168)=0,"",MIN(IF(AND(E168&lt;&gt;"",F168=""),E168,99999),IF(AND(G168&lt;&gt;"",H168=""),G168,99999),IF(AND(I168&lt;&gt;"",J168=""),I168,99999),IF(AND(K168&lt;&gt;"",L168=""),K168,99999),IF(AND(M168&lt;&gt;"",N168=""),M168,99999),IF(AND(O168&lt;&gt;"",P168=""),O168,99999)))</f>
        <v/>
      </c>
    </row>
    <row r="169" customFormat="false" ht="15" hidden="false" customHeight="false" outlineLevel="0" collapsed="false">
      <c r="A169" s="20" t="n">
        <v>164</v>
      </c>
      <c r="B169" s="21"/>
      <c r="C169" s="21"/>
      <c r="D169" s="22"/>
      <c r="E169" s="23" t="str">
        <f aca="false">IF(OR(NOT(ISNUMBER($D169)),Config!$G$6&lt;&gt;"Sim"),"",$D169+Config!$F$6+IF(AND(Config!$F$6&gt;0,WEEKDAY($D169+Config!$F$6)=Config!$E$24),1,0))</f>
        <v/>
      </c>
      <c r="F169" s="24"/>
      <c r="G169" s="23" t="str">
        <f aca="false">IF(OR(NOT(ISNUMBER($D169)),Config!$G$7&lt;&gt;"Sim"),"",$D169+Config!$F$7+IF(AND(Config!$F$7&gt;0,WEEKDAY($D169+Config!$F$7)=Config!$E$24),1,0))</f>
        <v/>
      </c>
      <c r="H169" s="24"/>
      <c r="I169" s="23" t="str">
        <f aca="false">IF(OR(NOT(ISNUMBER($D169)),Config!$G$8&lt;&gt;"Sim"),"",$D169+Config!$F$8+IF(AND(Config!$F$8&gt;0,WEEKDAY($D169+Config!$F$8)=Config!$E$24),1,0))</f>
        <v/>
      </c>
      <c r="J169" s="24"/>
      <c r="K169" s="23" t="str">
        <f aca="false">IF(OR(NOT(ISNUMBER($D169)),Config!$G$9&lt;&gt;"Sim"),"",$D169+Config!$F$9+IF(AND(Config!$F$9&gt;0,WEEKDAY($D169+Config!$F$9)=Config!$E$24),1,0))</f>
        <v/>
      </c>
      <c r="L169" s="24"/>
      <c r="M169" s="23" t="str">
        <f aca="false">IF(OR(NOT(ISNUMBER($D169)),Config!$G$10&lt;&gt;"Sim"),"",$D169+Config!$F$10+IF(AND(Config!$F$10&gt;0,WEEKDAY($D169+Config!$F$10)=Config!$E$24),1,0))</f>
        <v/>
      </c>
      <c r="N169" s="24"/>
      <c r="O169" s="23" t="str">
        <f aca="false">IF(OR(NOT(ISNUMBER($D169)),Config!$G$11&lt;&gt;"Sim"),"",$D169+Config!$F$11+IF(AND(Config!$F$11&gt;0,WEEKDAY($D169+Config!$F$11)=Config!$E$24),1,0))</f>
        <v/>
      </c>
      <c r="P169" s="24"/>
      <c r="Q169" s="25" t="str">
        <f aca="false">IF(COUNT(E169,G169,I169,K169,M169,O169)=0,"",((E169&lt;&gt;"")*(F169&lt;&gt;"")+(G169&lt;&gt;"")*(H169&lt;&gt;"")+(I169&lt;&gt;"")*(J169&lt;&gt;"")+(K169&lt;&gt;"")*(L169&lt;&gt;"")+(M169&lt;&gt;"")*(N169&lt;&gt;"")+(O169&lt;&gt;"")*(P169&lt;&gt;""))/COUNT(E169,G169,I169,K169,M169,O169))</f>
        <v/>
      </c>
      <c r="R169" s="26" t="str">
        <f aca="false">IF(T169="","",IF(T169=99999,"",T169))</f>
        <v/>
      </c>
      <c r="S169" s="27" t="str">
        <f aca="true">IF(T169="","",IF(T169=99999,"Concluído",IF(T169&lt;TODAY(),"Atrasado",IF(T169=TODAY(),"Hoje","Em dia"))))</f>
        <v/>
      </c>
      <c r="T169" s="28" t="str">
        <f aca="false">IF(COUNT(E169,G169,I169,K169,M169,O169)=0,"",MIN(IF(AND(E169&lt;&gt;"",F169=""),E169,99999),IF(AND(G169&lt;&gt;"",H169=""),G169,99999),IF(AND(I169&lt;&gt;"",J169=""),I169,99999),IF(AND(K169&lt;&gt;"",L169=""),K169,99999),IF(AND(M169&lt;&gt;"",N169=""),M169,99999),IF(AND(O169&lt;&gt;"",P169=""),O169,99999)))</f>
        <v/>
      </c>
    </row>
    <row r="170" customFormat="false" ht="15" hidden="false" customHeight="false" outlineLevel="0" collapsed="false">
      <c r="A170" s="20" t="n">
        <v>165</v>
      </c>
      <c r="B170" s="21"/>
      <c r="C170" s="21"/>
      <c r="D170" s="22"/>
      <c r="E170" s="23" t="str">
        <f aca="false">IF(OR(NOT(ISNUMBER($D170)),Config!$G$6&lt;&gt;"Sim"),"",$D170+Config!$F$6+IF(AND(Config!$F$6&gt;0,WEEKDAY($D170+Config!$F$6)=Config!$E$24),1,0))</f>
        <v/>
      </c>
      <c r="F170" s="24"/>
      <c r="G170" s="23" t="str">
        <f aca="false">IF(OR(NOT(ISNUMBER($D170)),Config!$G$7&lt;&gt;"Sim"),"",$D170+Config!$F$7+IF(AND(Config!$F$7&gt;0,WEEKDAY($D170+Config!$F$7)=Config!$E$24),1,0))</f>
        <v/>
      </c>
      <c r="H170" s="24"/>
      <c r="I170" s="23" t="str">
        <f aca="false">IF(OR(NOT(ISNUMBER($D170)),Config!$G$8&lt;&gt;"Sim"),"",$D170+Config!$F$8+IF(AND(Config!$F$8&gt;0,WEEKDAY($D170+Config!$F$8)=Config!$E$24),1,0))</f>
        <v/>
      </c>
      <c r="J170" s="24"/>
      <c r="K170" s="23" t="str">
        <f aca="false">IF(OR(NOT(ISNUMBER($D170)),Config!$G$9&lt;&gt;"Sim"),"",$D170+Config!$F$9+IF(AND(Config!$F$9&gt;0,WEEKDAY($D170+Config!$F$9)=Config!$E$24),1,0))</f>
        <v/>
      </c>
      <c r="L170" s="24"/>
      <c r="M170" s="23" t="str">
        <f aca="false">IF(OR(NOT(ISNUMBER($D170)),Config!$G$10&lt;&gt;"Sim"),"",$D170+Config!$F$10+IF(AND(Config!$F$10&gt;0,WEEKDAY($D170+Config!$F$10)=Config!$E$24),1,0))</f>
        <v/>
      </c>
      <c r="N170" s="24"/>
      <c r="O170" s="23" t="str">
        <f aca="false">IF(OR(NOT(ISNUMBER($D170)),Config!$G$11&lt;&gt;"Sim"),"",$D170+Config!$F$11+IF(AND(Config!$F$11&gt;0,WEEKDAY($D170+Config!$F$11)=Config!$E$24),1,0))</f>
        <v/>
      </c>
      <c r="P170" s="24"/>
      <c r="Q170" s="25" t="str">
        <f aca="false">IF(COUNT(E170,G170,I170,K170,M170,O170)=0,"",((E170&lt;&gt;"")*(F170&lt;&gt;"")+(G170&lt;&gt;"")*(H170&lt;&gt;"")+(I170&lt;&gt;"")*(J170&lt;&gt;"")+(K170&lt;&gt;"")*(L170&lt;&gt;"")+(M170&lt;&gt;"")*(N170&lt;&gt;"")+(O170&lt;&gt;"")*(P170&lt;&gt;""))/COUNT(E170,G170,I170,K170,M170,O170))</f>
        <v/>
      </c>
      <c r="R170" s="26" t="str">
        <f aca="false">IF(T170="","",IF(T170=99999,"",T170))</f>
        <v/>
      </c>
      <c r="S170" s="27" t="str">
        <f aca="true">IF(T170="","",IF(T170=99999,"Concluído",IF(T170&lt;TODAY(),"Atrasado",IF(T170=TODAY(),"Hoje","Em dia"))))</f>
        <v/>
      </c>
      <c r="T170" s="28" t="str">
        <f aca="false">IF(COUNT(E170,G170,I170,K170,M170,O170)=0,"",MIN(IF(AND(E170&lt;&gt;"",F170=""),E170,99999),IF(AND(G170&lt;&gt;"",H170=""),G170,99999),IF(AND(I170&lt;&gt;"",J170=""),I170,99999),IF(AND(K170&lt;&gt;"",L170=""),K170,99999),IF(AND(M170&lt;&gt;"",N170=""),M170,99999),IF(AND(O170&lt;&gt;"",P170=""),O170,99999)))</f>
        <v/>
      </c>
    </row>
    <row r="171" customFormat="false" ht="15" hidden="false" customHeight="false" outlineLevel="0" collapsed="false">
      <c r="A171" s="20" t="n">
        <v>166</v>
      </c>
      <c r="B171" s="21"/>
      <c r="C171" s="21"/>
      <c r="D171" s="22"/>
      <c r="E171" s="23" t="str">
        <f aca="false">IF(OR(NOT(ISNUMBER($D171)),Config!$G$6&lt;&gt;"Sim"),"",$D171+Config!$F$6+IF(AND(Config!$F$6&gt;0,WEEKDAY($D171+Config!$F$6)=Config!$E$24),1,0))</f>
        <v/>
      </c>
      <c r="F171" s="24"/>
      <c r="G171" s="23" t="str">
        <f aca="false">IF(OR(NOT(ISNUMBER($D171)),Config!$G$7&lt;&gt;"Sim"),"",$D171+Config!$F$7+IF(AND(Config!$F$7&gt;0,WEEKDAY($D171+Config!$F$7)=Config!$E$24),1,0))</f>
        <v/>
      </c>
      <c r="H171" s="24"/>
      <c r="I171" s="23" t="str">
        <f aca="false">IF(OR(NOT(ISNUMBER($D171)),Config!$G$8&lt;&gt;"Sim"),"",$D171+Config!$F$8+IF(AND(Config!$F$8&gt;0,WEEKDAY($D171+Config!$F$8)=Config!$E$24),1,0))</f>
        <v/>
      </c>
      <c r="J171" s="24"/>
      <c r="K171" s="23" t="str">
        <f aca="false">IF(OR(NOT(ISNUMBER($D171)),Config!$G$9&lt;&gt;"Sim"),"",$D171+Config!$F$9+IF(AND(Config!$F$9&gt;0,WEEKDAY($D171+Config!$F$9)=Config!$E$24),1,0))</f>
        <v/>
      </c>
      <c r="L171" s="24"/>
      <c r="M171" s="23" t="str">
        <f aca="false">IF(OR(NOT(ISNUMBER($D171)),Config!$G$10&lt;&gt;"Sim"),"",$D171+Config!$F$10+IF(AND(Config!$F$10&gt;0,WEEKDAY($D171+Config!$F$10)=Config!$E$24),1,0))</f>
        <v/>
      </c>
      <c r="N171" s="24"/>
      <c r="O171" s="23" t="str">
        <f aca="false">IF(OR(NOT(ISNUMBER($D171)),Config!$G$11&lt;&gt;"Sim"),"",$D171+Config!$F$11+IF(AND(Config!$F$11&gt;0,WEEKDAY($D171+Config!$F$11)=Config!$E$24),1,0))</f>
        <v/>
      </c>
      <c r="P171" s="24"/>
      <c r="Q171" s="25" t="str">
        <f aca="false">IF(COUNT(E171,G171,I171,K171,M171,O171)=0,"",((E171&lt;&gt;"")*(F171&lt;&gt;"")+(G171&lt;&gt;"")*(H171&lt;&gt;"")+(I171&lt;&gt;"")*(J171&lt;&gt;"")+(K171&lt;&gt;"")*(L171&lt;&gt;"")+(M171&lt;&gt;"")*(N171&lt;&gt;"")+(O171&lt;&gt;"")*(P171&lt;&gt;""))/COUNT(E171,G171,I171,K171,M171,O171))</f>
        <v/>
      </c>
      <c r="R171" s="26" t="str">
        <f aca="false">IF(T171="","",IF(T171=99999,"",T171))</f>
        <v/>
      </c>
      <c r="S171" s="27" t="str">
        <f aca="true">IF(T171="","",IF(T171=99999,"Concluído",IF(T171&lt;TODAY(),"Atrasado",IF(T171=TODAY(),"Hoje","Em dia"))))</f>
        <v/>
      </c>
      <c r="T171" s="28" t="str">
        <f aca="false">IF(COUNT(E171,G171,I171,K171,M171,O171)=0,"",MIN(IF(AND(E171&lt;&gt;"",F171=""),E171,99999),IF(AND(G171&lt;&gt;"",H171=""),G171,99999),IF(AND(I171&lt;&gt;"",J171=""),I171,99999),IF(AND(K171&lt;&gt;"",L171=""),K171,99999),IF(AND(M171&lt;&gt;"",N171=""),M171,99999),IF(AND(O171&lt;&gt;"",P171=""),O171,99999)))</f>
        <v/>
      </c>
    </row>
    <row r="172" customFormat="false" ht="15" hidden="false" customHeight="false" outlineLevel="0" collapsed="false">
      <c r="A172" s="20" t="n">
        <v>167</v>
      </c>
      <c r="B172" s="21"/>
      <c r="C172" s="21"/>
      <c r="D172" s="22"/>
      <c r="E172" s="23" t="str">
        <f aca="false">IF(OR(NOT(ISNUMBER($D172)),Config!$G$6&lt;&gt;"Sim"),"",$D172+Config!$F$6+IF(AND(Config!$F$6&gt;0,WEEKDAY($D172+Config!$F$6)=Config!$E$24),1,0))</f>
        <v/>
      </c>
      <c r="F172" s="24"/>
      <c r="G172" s="23" t="str">
        <f aca="false">IF(OR(NOT(ISNUMBER($D172)),Config!$G$7&lt;&gt;"Sim"),"",$D172+Config!$F$7+IF(AND(Config!$F$7&gt;0,WEEKDAY($D172+Config!$F$7)=Config!$E$24),1,0))</f>
        <v/>
      </c>
      <c r="H172" s="24"/>
      <c r="I172" s="23" t="str">
        <f aca="false">IF(OR(NOT(ISNUMBER($D172)),Config!$G$8&lt;&gt;"Sim"),"",$D172+Config!$F$8+IF(AND(Config!$F$8&gt;0,WEEKDAY($D172+Config!$F$8)=Config!$E$24),1,0))</f>
        <v/>
      </c>
      <c r="J172" s="24"/>
      <c r="K172" s="23" t="str">
        <f aca="false">IF(OR(NOT(ISNUMBER($D172)),Config!$G$9&lt;&gt;"Sim"),"",$D172+Config!$F$9+IF(AND(Config!$F$9&gt;0,WEEKDAY($D172+Config!$F$9)=Config!$E$24),1,0))</f>
        <v/>
      </c>
      <c r="L172" s="24"/>
      <c r="M172" s="23" t="str">
        <f aca="false">IF(OR(NOT(ISNUMBER($D172)),Config!$G$10&lt;&gt;"Sim"),"",$D172+Config!$F$10+IF(AND(Config!$F$10&gt;0,WEEKDAY($D172+Config!$F$10)=Config!$E$24),1,0))</f>
        <v/>
      </c>
      <c r="N172" s="24"/>
      <c r="O172" s="23" t="str">
        <f aca="false">IF(OR(NOT(ISNUMBER($D172)),Config!$G$11&lt;&gt;"Sim"),"",$D172+Config!$F$11+IF(AND(Config!$F$11&gt;0,WEEKDAY($D172+Config!$F$11)=Config!$E$24),1,0))</f>
        <v/>
      </c>
      <c r="P172" s="24"/>
      <c r="Q172" s="25" t="str">
        <f aca="false">IF(COUNT(E172,G172,I172,K172,M172,O172)=0,"",((E172&lt;&gt;"")*(F172&lt;&gt;"")+(G172&lt;&gt;"")*(H172&lt;&gt;"")+(I172&lt;&gt;"")*(J172&lt;&gt;"")+(K172&lt;&gt;"")*(L172&lt;&gt;"")+(M172&lt;&gt;"")*(N172&lt;&gt;"")+(O172&lt;&gt;"")*(P172&lt;&gt;""))/COUNT(E172,G172,I172,K172,M172,O172))</f>
        <v/>
      </c>
      <c r="R172" s="26" t="str">
        <f aca="false">IF(T172="","",IF(T172=99999,"",T172))</f>
        <v/>
      </c>
      <c r="S172" s="27" t="str">
        <f aca="true">IF(T172="","",IF(T172=99999,"Concluído",IF(T172&lt;TODAY(),"Atrasado",IF(T172=TODAY(),"Hoje","Em dia"))))</f>
        <v/>
      </c>
      <c r="T172" s="28" t="str">
        <f aca="false">IF(COUNT(E172,G172,I172,K172,M172,O172)=0,"",MIN(IF(AND(E172&lt;&gt;"",F172=""),E172,99999),IF(AND(G172&lt;&gt;"",H172=""),G172,99999),IF(AND(I172&lt;&gt;"",J172=""),I172,99999),IF(AND(K172&lt;&gt;"",L172=""),K172,99999),IF(AND(M172&lt;&gt;"",N172=""),M172,99999),IF(AND(O172&lt;&gt;"",P172=""),O172,99999)))</f>
        <v/>
      </c>
    </row>
    <row r="173" customFormat="false" ht="15" hidden="false" customHeight="false" outlineLevel="0" collapsed="false">
      <c r="A173" s="20" t="n">
        <v>168</v>
      </c>
      <c r="B173" s="21"/>
      <c r="C173" s="21"/>
      <c r="D173" s="22"/>
      <c r="E173" s="23" t="str">
        <f aca="false">IF(OR(NOT(ISNUMBER($D173)),Config!$G$6&lt;&gt;"Sim"),"",$D173+Config!$F$6+IF(AND(Config!$F$6&gt;0,WEEKDAY($D173+Config!$F$6)=Config!$E$24),1,0))</f>
        <v/>
      </c>
      <c r="F173" s="24"/>
      <c r="G173" s="23" t="str">
        <f aca="false">IF(OR(NOT(ISNUMBER($D173)),Config!$G$7&lt;&gt;"Sim"),"",$D173+Config!$F$7+IF(AND(Config!$F$7&gt;0,WEEKDAY($D173+Config!$F$7)=Config!$E$24),1,0))</f>
        <v/>
      </c>
      <c r="H173" s="24"/>
      <c r="I173" s="23" t="str">
        <f aca="false">IF(OR(NOT(ISNUMBER($D173)),Config!$G$8&lt;&gt;"Sim"),"",$D173+Config!$F$8+IF(AND(Config!$F$8&gt;0,WEEKDAY($D173+Config!$F$8)=Config!$E$24),1,0))</f>
        <v/>
      </c>
      <c r="J173" s="24"/>
      <c r="K173" s="23" t="str">
        <f aca="false">IF(OR(NOT(ISNUMBER($D173)),Config!$G$9&lt;&gt;"Sim"),"",$D173+Config!$F$9+IF(AND(Config!$F$9&gt;0,WEEKDAY($D173+Config!$F$9)=Config!$E$24),1,0))</f>
        <v/>
      </c>
      <c r="L173" s="24"/>
      <c r="M173" s="23" t="str">
        <f aca="false">IF(OR(NOT(ISNUMBER($D173)),Config!$G$10&lt;&gt;"Sim"),"",$D173+Config!$F$10+IF(AND(Config!$F$10&gt;0,WEEKDAY($D173+Config!$F$10)=Config!$E$24),1,0))</f>
        <v/>
      </c>
      <c r="N173" s="24"/>
      <c r="O173" s="23" t="str">
        <f aca="false">IF(OR(NOT(ISNUMBER($D173)),Config!$G$11&lt;&gt;"Sim"),"",$D173+Config!$F$11+IF(AND(Config!$F$11&gt;0,WEEKDAY($D173+Config!$F$11)=Config!$E$24),1,0))</f>
        <v/>
      </c>
      <c r="P173" s="24"/>
      <c r="Q173" s="25" t="str">
        <f aca="false">IF(COUNT(E173,G173,I173,K173,M173,O173)=0,"",((E173&lt;&gt;"")*(F173&lt;&gt;"")+(G173&lt;&gt;"")*(H173&lt;&gt;"")+(I173&lt;&gt;"")*(J173&lt;&gt;"")+(K173&lt;&gt;"")*(L173&lt;&gt;"")+(M173&lt;&gt;"")*(N173&lt;&gt;"")+(O173&lt;&gt;"")*(P173&lt;&gt;""))/COUNT(E173,G173,I173,K173,M173,O173))</f>
        <v/>
      </c>
      <c r="R173" s="26" t="str">
        <f aca="false">IF(T173="","",IF(T173=99999,"",T173))</f>
        <v/>
      </c>
      <c r="S173" s="27" t="str">
        <f aca="true">IF(T173="","",IF(T173=99999,"Concluído",IF(T173&lt;TODAY(),"Atrasado",IF(T173=TODAY(),"Hoje","Em dia"))))</f>
        <v/>
      </c>
      <c r="T173" s="28" t="str">
        <f aca="false">IF(COUNT(E173,G173,I173,K173,M173,O173)=0,"",MIN(IF(AND(E173&lt;&gt;"",F173=""),E173,99999),IF(AND(G173&lt;&gt;"",H173=""),G173,99999),IF(AND(I173&lt;&gt;"",J173=""),I173,99999),IF(AND(K173&lt;&gt;"",L173=""),K173,99999),IF(AND(M173&lt;&gt;"",N173=""),M173,99999),IF(AND(O173&lt;&gt;"",P173=""),O173,99999)))</f>
        <v/>
      </c>
    </row>
    <row r="174" customFormat="false" ht="15" hidden="false" customHeight="false" outlineLevel="0" collapsed="false">
      <c r="A174" s="20" t="n">
        <v>169</v>
      </c>
      <c r="B174" s="21"/>
      <c r="C174" s="21"/>
      <c r="D174" s="22"/>
      <c r="E174" s="23" t="str">
        <f aca="false">IF(OR(NOT(ISNUMBER($D174)),Config!$G$6&lt;&gt;"Sim"),"",$D174+Config!$F$6+IF(AND(Config!$F$6&gt;0,WEEKDAY($D174+Config!$F$6)=Config!$E$24),1,0))</f>
        <v/>
      </c>
      <c r="F174" s="24"/>
      <c r="G174" s="23" t="str">
        <f aca="false">IF(OR(NOT(ISNUMBER($D174)),Config!$G$7&lt;&gt;"Sim"),"",$D174+Config!$F$7+IF(AND(Config!$F$7&gt;0,WEEKDAY($D174+Config!$F$7)=Config!$E$24),1,0))</f>
        <v/>
      </c>
      <c r="H174" s="24"/>
      <c r="I174" s="23" t="str">
        <f aca="false">IF(OR(NOT(ISNUMBER($D174)),Config!$G$8&lt;&gt;"Sim"),"",$D174+Config!$F$8+IF(AND(Config!$F$8&gt;0,WEEKDAY($D174+Config!$F$8)=Config!$E$24),1,0))</f>
        <v/>
      </c>
      <c r="J174" s="24"/>
      <c r="K174" s="23" t="str">
        <f aca="false">IF(OR(NOT(ISNUMBER($D174)),Config!$G$9&lt;&gt;"Sim"),"",$D174+Config!$F$9+IF(AND(Config!$F$9&gt;0,WEEKDAY($D174+Config!$F$9)=Config!$E$24),1,0))</f>
        <v/>
      </c>
      <c r="L174" s="24"/>
      <c r="M174" s="23" t="str">
        <f aca="false">IF(OR(NOT(ISNUMBER($D174)),Config!$G$10&lt;&gt;"Sim"),"",$D174+Config!$F$10+IF(AND(Config!$F$10&gt;0,WEEKDAY($D174+Config!$F$10)=Config!$E$24),1,0))</f>
        <v/>
      </c>
      <c r="N174" s="24"/>
      <c r="O174" s="23" t="str">
        <f aca="false">IF(OR(NOT(ISNUMBER($D174)),Config!$G$11&lt;&gt;"Sim"),"",$D174+Config!$F$11+IF(AND(Config!$F$11&gt;0,WEEKDAY($D174+Config!$F$11)=Config!$E$24),1,0))</f>
        <v/>
      </c>
      <c r="P174" s="24"/>
      <c r="Q174" s="25" t="str">
        <f aca="false">IF(COUNT(E174,G174,I174,K174,M174,O174)=0,"",((E174&lt;&gt;"")*(F174&lt;&gt;"")+(G174&lt;&gt;"")*(H174&lt;&gt;"")+(I174&lt;&gt;"")*(J174&lt;&gt;"")+(K174&lt;&gt;"")*(L174&lt;&gt;"")+(M174&lt;&gt;"")*(N174&lt;&gt;"")+(O174&lt;&gt;"")*(P174&lt;&gt;""))/COUNT(E174,G174,I174,K174,M174,O174))</f>
        <v/>
      </c>
      <c r="R174" s="26" t="str">
        <f aca="false">IF(T174="","",IF(T174=99999,"",T174))</f>
        <v/>
      </c>
      <c r="S174" s="27" t="str">
        <f aca="true">IF(T174="","",IF(T174=99999,"Concluído",IF(T174&lt;TODAY(),"Atrasado",IF(T174=TODAY(),"Hoje","Em dia"))))</f>
        <v/>
      </c>
      <c r="T174" s="28" t="str">
        <f aca="false">IF(COUNT(E174,G174,I174,K174,M174,O174)=0,"",MIN(IF(AND(E174&lt;&gt;"",F174=""),E174,99999),IF(AND(G174&lt;&gt;"",H174=""),G174,99999),IF(AND(I174&lt;&gt;"",J174=""),I174,99999),IF(AND(K174&lt;&gt;"",L174=""),K174,99999),IF(AND(M174&lt;&gt;"",N174=""),M174,99999),IF(AND(O174&lt;&gt;"",P174=""),O174,99999)))</f>
        <v/>
      </c>
    </row>
    <row r="175" customFormat="false" ht="15" hidden="false" customHeight="false" outlineLevel="0" collapsed="false">
      <c r="A175" s="20" t="n">
        <v>170</v>
      </c>
      <c r="B175" s="21"/>
      <c r="C175" s="21"/>
      <c r="D175" s="22"/>
      <c r="E175" s="23" t="str">
        <f aca="false">IF(OR(NOT(ISNUMBER($D175)),Config!$G$6&lt;&gt;"Sim"),"",$D175+Config!$F$6+IF(AND(Config!$F$6&gt;0,WEEKDAY($D175+Config!$F$6)=Config!$E$24),1,0))</f>
        <v/>
      </c>
      <c r="F175" s="24"/>
      <c r="G175" s="23" t="str">
        <f aca="false">IF(OR(NOT(ISNUMBER($D175)),Config!$G$7&lt;&gt;"Sim"),"",$D175+Config!$F$7+IF(AND(Config!$F$7&gt;0,WEEKDAY($D175+Config!$F$7)=Config!$E$24),1,0))</f>
        <v/>
      </c>
      <c r="H175" s="24"/>
      <c r="I175" s="23" t="str">
        <f aca="false">IF(OR(NOT(ISNUMBER($D175)),Config!$G$8&lt;&gt;"Sim"),"",$D175+Config!$F$8+IF(AND(Config!$F$8&gt;0,WEEKDAY($D175+Config!$F$8)=Config!$E$24),1,0))</f>
        <v/>
      </c>
      <c r="J175" s="24"/>
      <c r="K175" s="23" t="str">
        <f aca="false">IF(OR(NOT(ISNUMBER($D175)),Config!$G$9&lt;&gt;"Sim"),"",$D175+Config!$F$9+IF(AND(Config!$F$9&gt;0,WEEKDAY($D175+Config!$F$9)=Config!$E$24),1,0))</f>
        <v/>
      </c>
      <c r="L175" s="24"/>
      <c r="M175" s="23" t="str">
        <f aca="false">IF(OR(NOT(ISNUMBER($D175)),Config!$G$10&lt;&gt;"Sim"),"",$D175+Config!$F$10+IF(AND(Config!$F$10&gt;0,WEEKDAY($D175+Config!$F$10)=Config!$E$24),1,0))</f>
        <v/>
      </c>
      <c r="N175" s="24"/>
      <c r="O175" s="23" t="str">
        <f aca="false">IF(OR(NOT(ISNUMBER($D175)),Config!$G$11&lt;&gt;"Sim"),"",$D175+Config!$F$11+IF(AND(Config!$F$11&gt;0,WEEKDAY($D175+Config!$F$11)=Config!$E$24),1,0))</f>
        <v/>
      </c>
      <c r="P175" s="24"/>
      <c r="Q175" s="25" t="str">
        <f aca="false">IF(COUNT(E175,G175,I175,K175,M175,O175)=0,"",((E175&lt;&gt;"")*(F175&lt;&gt;"")+(G175&lt;&gt;"")*(H175&lt;&gt;"")+(I175&lt;&gt;"")*(J175&lt;&gt;"")+(K175&lt;&gt;"")*(L175&lt;&gt;"")+(M175&lt;&gt;"")*(N175&lt;&gt;"")+(O175&lt;&gt;"")*(P175&lt;&gt;""))/COUNT(E175,G175,I175,K175,M175,O175))</f>
        <v/>
      </c>
      <c r="R175" s="26" t="str">
        <f aca="false">IF(T175="","",IF(T175=99999,"",T175))</f>
        <v/>
      </c>
      <c r="S175" s="27" t="str">
        <f aca="true">IF(T175="","",IF(T175=99999,"Concluído",IF(T175&lt;TODAY(),"Atrasado",IF(T175=TODAY(),"Hoje","Em dia"))))</f>
        <v/>
      </c>
      <c r="T175" s="28" t="str">
        <f aca="false">IF(COUNT(E175,G175,I175,K175,M175,O175)=0,"",MIN(IF(AND(E175&lt;&gt;"",F175=""),E175,99999),IF(AND(G175&lt;&gt;"",H175=""),G175,99999),IF(AND(I175&lt;&gt;"",J175=""),I175,99999),IF(AND(K175&lt;&gt;"",L175=""),K175,99999),IF(AND(M175&lt;&gt;"",N175=""),M175,99999),IF(AND(O175&lt;&gt;"",P175=""),O175,99999)))</f>
        <v/>
      </c>
    </row>
    <row r="176" customFormat="false" ht="15" hidden="false" customHeight="false" outlineLevel="0" collapsed="false">
      <c r="A176" s="20" t="n">
        <v>171</v>
      </c>
      <c r="B176" s="21"/>
      <c r="C176" s="21"/>
      <c r="D176" s="22"/>
      <c r="E176" s="23" t="str">
        <f aca="false">IF(OR(NOT(ISNUMBER($D176)),Config!$G$6&lt;&gt;"Sim"),"",$D176+Config!$F$6+IF(AND(Config!$F$6&gt;0,WEEKDAY($D176+Config!$F$6)=Config!$E$24),1,0))</f>
        <v/>
      </c>
      <c r="F176" s="24"/>
      <c r="G176" s="23" t="str">
        <f aca="false">IF(OR(NOT(ISNUMBER($D176)),Config!$G$7&lt;&gt;"Sim"),"",$D176+Config!$F$7+IF(AND(Config!$F$7&gt;0,WEEKDAY($D176+Config!$F$7)=Config!$E$24),1,0))</f>
        <v/>
      </c>
      <c r="H176" s="24"/>
      <c r="I176" s="23" t="str">
        <f aca="false">IF(OR(NOT(ISNUMBER($D176)),Config!$G$8&lt;&gt;"Sim"),"",$D176+Config!$F$8+IF(AND(Config!$F$8&gt;0,WEEKDAY($D176+Config!$F$8)=Config!$E$24),1,0))</f>
        <v/>
      </c>
      <c r="J176" s="24"/>
      <c r="K176" s="23" t="str">
        <f aca="false">IF(OR(NOT(ISNUMBER($D176)),Config!$G$9&lt;&gt;"Sim"),"",$D176+Config!$F$9+IF(AND(Config!$F$9&gt;0,WEEKDAY($D176+Config!$F$9)=Config!$E$24),1,0))</f>
        <v/>
      </c>
      <c r="L176" s="24"/>
      <c r="M176" s="23" t="str">
        <f aca="false">IF(OR(NOT(ISNUMBER($D176)),Config!$G$10&lt;&gt;"Sim"),"",$D176+Config!$F$10+IF(AND(Config!$F$10&gt;0,WEEKDAY($D176+Config!$F$10)=Config!$E$24),1,0))</f>
        <v/>
      </c>
      <c r="N176" s="24"/>
      <c r="O176" s="23" t="str">
        <f aca="false">IF(OR(NOT(ISNUMBER($D176)),Config!$G$11&lt;&gt;"Sim"),"",$D176+Config!$F$11+IF(AND(Config!$F$11&gt;0,WEEKDAY($D176+Config!$F$11)=Config!$E$24),1,0))</f>
        <v/>
      </c>
      <c r="P176" s="24"/>
      <c r="Q176" s="25" t="str">
        <f aca="false">IF(COUNT(E176,G176,I176,K176,M176,O176)=0,"",((E176&lt;&gt;"")*(F176&lt;&gt;"")+(G176&lt;&gt;"")*(H176&lt;&gt;"")+(I176&lt;&gt;"")*(J176&lt;&gt;"")+(K176&lt;&gt;"")*(L176&lt;&gt;"")+(M176&lt;&gt;"")*(N176&lt;&gt;"")+(O176&lt;&gt;"")*(P176&lt;&gt;""))/COUNT(E176,G176,I176,K176,M176,O176))</f>
        <v/>
      </c>
      <c r="R176" s="26" t="str">
        <f aca="false">IF(T176="","",IF(T176=99999,"",T176))</f>
        <v/>
      </c>
      <c r="S176" s="27" t="str">
        <f aca="true">IF(T176="","",IF(T176=99999,"Concluído",IF(T176&lt;TODAY(),"Atrasado",IF(T176=TODAY(),"Hoje","Em dia"))))</f>
        <v/>
      </c>
      <c r="T176" s="28" t="str">
        <f aca="false">IF(COUNT(E176,G176,I176,K176,M176,O176)=0,"",MIN(IF(AND(E176&lt;&gt;"",F176=""),E176,99999),IF(AND(G176&lt;&gt;"",H176=""),G176,99999),IF(AND(I176&lt;&gt;"",J176=""),I176,99999),IF(AND(K176&lt;&gt;"",L176=""),K176,99999),IF(AND(M176&lt;&gt;"",N176=""),M176,99999),IF(AND(O176&lt;&gt;"",P176=""),O176,99999)))</f>
        <v/>
      </c>
    </row>
    <row r="177" customFormat="false" ht="15" hidden="false" customHeight="false" outlineLevel="0" collapsed="false">
      <c r="A177" s="20" t="n">
        <v>172</v>
      </c>
      <c r="B177" s="21"/>
      <c r="C177" s="21"/>
      <c r="D177" s="22"/>
      <c r="E177" s="23" t="str">
        <f aca="false">IF(OR(NOT(ISNUMBER($D177)),Config!$G$6&lt;&gt;"Sim"),"",$D177+Config!$F$6+IF(AND(Config!$F$6&gt;0,WEEKDAY($D177+Config!$F$6)=Config!$E$24),1,0))</f>
        <v/>
      </c>
      <c r="F177" s="24"/>
      <c r="G177" s="23" t="str">
        <f aca="false">IF(OR(NOT(ISNUMBER($D177)),Config!$G$7&lt;&gt;"Sim"),"",$D177+Config!$F$7+IF(AND(Config!$F$7&gt;0,WEEKDAY($D177+Config!$F$7)=Config!$E$24),1,0))</f>
        <v/>
      </c>
      <c r="H177" s="24"/>
      <c r="I177" s="23" t="str">
        <f aca="false">IF(OR(NOT(ISNUMBER($D177)),Config!$G$8&lt;&gt;"Sim"),"",$D177+Config!$F$8+IF(AND(Config!$F$8&gt;0,WEEKDAY($D177+Config!$F$8)=Config!$E$24),1,0))</f>
        <v/>
      </c>
      <c r="J177" s="24"/>
      <c r="K177" s="23" t="str">
        <f aca="false">IF(OR(NOT(ISNUMBER($D177)),Config!$G$9&lt;&gt;"Sim"),"",$D177+Config!$F$9+IF(AND(Config!$F$9&gt;0,WEEKDAY($D177+Config!$F$9)=Config!$E$24),1,0))</f>
        <v/>
      </c>
      <c r="L177" s="24"/>
      <c r="M177" s="23" t="str">
        <f aca="false">IF(OR(NOT(ISNUMBER($D177)),Config!$G$10&lt;&gt;"Sim"),"",$D177+Config!$F$10+IF(AND(Config!$F$10&gt;0,WEEKDAY($D177+Config!$F$10)=Config!$E$24),1,0))</f>
        <v/>
      </c>
      <c r="N177" s="24"/>
      <c r="O177" s="23" t="str">
        <f aca="false">IF(OR(NOT(ISNUMBER($D177)),Config!$G$11&lt;&gt;"Sim"),"",$D177+Config!$F$11+IF(AND(Config!$F$11&gt;0,WEEKDAY($D177+Config!$F$11)=Config!$E$24),1,0))</f>
        <v/>
      </c>
      <c r="P177" s="24"/>
      <c r="Q177" s="25" t="str">
        <f aca="false">IF(COUNT(E177,G177,I177,K177,M177,O177)=0,"",((E177&lt;&gt;"")*(F177&lt;&gt;"")+(G177&lt;&gt;"")*(H177&lt;&gt;"")+(I177&lt;&gt;"")*(J177&lt;&gt;"")+(K177&lt;&gt;"")*(L177&lt;&gt;"")+(M177&lt;&gt;"")*(N177&lt;&gt;"")+(O177&lt;&gt;"")*(P177&lt;&gt;""))/COUNT(E177,G177,I177,K177,M177,O177))</f>
        <v/>
      </c>
      <c r="R177" s="26" t="str">
        <f aca="false">IF(T177="","",IF(T177=99999,"",T177))</f>
        <v/>
      </c>
      <c r="S177" s="27" t="str">
        <f aca="true">IF(T177="","",IF(T177=99999,"Concluído",IF(T177&lt;TODAY(),"Atrasado",IF(T177=TODAY(),"Hoje","Em dia"))))</f>
        <v/>
      </c>
      <c r="T177" s="28" t="str">
        <f aca="false">IF(COUNT(E177,G177,I177,K177,M177,O177)=0,"",MIN(IF(AND(E177&lt;&gt;"",F177=""),E177,99999),IF(AND(G177&lt;&gt;"",H177=""),G177,99999),IF(AND(I177&lt;&gt;"",J177=""),I177,99999),IF(AND(K177&lt;&gt;"",L177=""),K177,99999),IF(AND(M177&lt;&gt;"",N177=""),M177,99999),IF(AND(O177&lt;&gt;"",P177=""),O177,99999)))</f>
        <v/>
      </c>
    </row>
    <row r="178" customFormat="false" ht="15" hidden="false" customHeight="false" outlineLevel="0" collapsed="false">
      <c r="A178" s="20" t="n">
        <v>173</v>
      </c>
      <c r="B178" s="21"/>
      <c r="C178" s="21"/>
      <c r="D178" s="22"/>
      <c r="E178" s="23" t="str">
        <f aca="false">IF(OR(NOT(ISNUMBER($D178)),Config!$G$6&lt;&gt;"Sim"),"",$D178+Config!$F$6+IF(AND(Config!$F$6&gt;0,WEEKDAY($D178+Config!$F$6)=Config!$E$24),1,0))</f>
        <v/>
      </c>
      <c r="F178" s="24"/>
      <c r="G178" s="23" t="str">
        <f aca="false">IF(OR(NOT(ISNUMBER($D178)),Config!$G$7&lt;&gt;"Sim"),"",$D178+Config!$F$7+IF(AND(Config!$F$7&gt;0,WEEKDAY($D178+Config!$F$7)=Config!$E$24),1,0))</f>
        <v/>
      </c>
      <c r="H178" s="24"/>
      <c r="I178" s="23" t="str">
        <f aca="false">IF(OR(NOT(ISNUMBER($D178)),Config!$G$8&lt;&gt;"Sim"),"",$D178+Config!$F$8+IF(AND(Config!$F$8&gt;0,WEEKDAY($D178+Config!$F$8)=Config!$E$24),1,0))</f>
        <v/>
      </c>
      <c r="J178" s="24"/>
      <c r="K178" s="23" t="str">
        <f aca="false">IF(OR(NOT(ISNUMBER($D178)),Config!$G$9&lt;&gt;"Sim"),"",$D178+Config!$F$9+IF(AND(Config!$F$9&gt;0,WEEKDAY($D178+Config!$F$9)=Config!$E$24),1,0))</f>
        <v/>
      </c>
      <c r="L178" s="24"/>
      <c r="M178" s="23" t="str">
        <f aca="false">IF(OR(NOT(ISNUMBER($D178)),Config!$G$10&lt;&gt;"Sim"),"",$D178+Config!$F$10+IF(AND(Config!$F$10&gt;0,WEEKDAY($D178+Config!$F$10)=Config!$E$24),1,0))</f>
        <v/>
      </c>
      <c r="N178" s="24"/>
      <c r="O178" s="23" t="str">
        <f aca="false">IF(OR(NOT(ISNUMBER($D178)),Config!$G$11&lt;&gt;"Sim"),"",$D178+Config!$F$11+IF(AND(Config!$F$11&gt;0,WEEKDAY($D178+Config!$F$11)=Config!$E$24),1,0))</f>
        <v/>
      </c>
      <c r="P178" s="24"/>
      <c r="Q178" s="25" t="str">
        <f aca="false">IF(COUNT(E178,G178,I178,K178,M178,O178)=0,"",((E178&lt;&gt;"")*(F178&lt;&gt;"")+(G178&lt;&gt;"")*(H178&lt;&gt;"")+(I178&lt;&gt;"")*(J178&lt;&gt;"")+(K178&lt;&gt;"")*(L178&lt;&gt;"")+(M178&lt;&gt;"")*(N178&lt;&gt;"")+(O178&lt;&gt;"")*(P178&lt;&gt;""))/COUNT(E178,G178,I178,K178,M178,O178))</f>
        <v/>
      </c>
      <c r="R178" s="26" t="str">
        <f aca="false">IF(T178="","",IF(T178=99999,"",T178))</f>
        <v/>
      </c>
      <c r="S178" s="27" t="str">
        <f aca="true">IF(T178="","",IF(T178=99999,"Concluído",IF(T178&lt;TODAY(),"Atrasado",IF(T178=TODAY(),"Hoje","Em dia"))))</f>
        <v/>
      </c>
      <c r="T178" s="28" t="str">
        <f aca="false">IF(COUNT(E178,G178,I178,K178,M178,O178)=0,"",MIN(IF(AND(E178&lt;&gt;"",F178=""),E178,99999),IF(AND(G178&lt;&gt;"",H178=""),G178,99999),IF(AND(I178&lt;&gt;"",J178=""),I178,99999),IF(AND(K178&lt;&gt;"",L178=""),K178,99999),IF(AND(M178&lt;&gt;"",N178=""),M178,99999),IF(AND(O178&lt;&gt;"",P178=""),O178,99999)))</f>
        <v/>
      </c>
    </row>
    <row r="179" customFormat="false" ht="15" hidden="false" customHeight="false" outlineLevel="0" collapsed="false">
      <c r="A179" s="20" t="n">
        <v>174</v>
      </c>
      <c r="B179" s="21"/>
      <c r="C179" s="21"/>
      <c r="D179" s="22"/>
      <c r="E179" s="23" t="str">
        <f aca="false">IF(OR(NOT(ISNUMBER($D179)),Config!$G$6&lt;&gt;"Sim"),"",$D179+Config!$F$6+IF(AND(Config!$F$6&gt;0,WEEKDAY($D179+Config!$F$6)=Config!$E$24),1,0))</f>
        <v/>
      </c>
      <c r="F179" s="24"/>
      <c r="G179" s="23" t="str">
        <f aca="false">IF(OR(NOT(ISNUMBER($D179)),Config!$G$7&lt;&gt;"Sim"),"",$D179+Config!$F$7+IF(AND(Config!$F$7&gt;0,WEEKDAY($D179+Config!$F$7)=Config!$E$24),1,0))</f>
        <v/>
      </c>
      <c r="H179" s="24"/>
      <c r="I179" s="23" t="str">
        <f aca="false">IF(OR(NOT(ISNUMBER($D179)),Config!$G$8&lt;&gt;"Sim"),"",$D179+Config!$F$8+IF(AND(Config!$F$8&gt;0,WEEKDAY($D179+Config!$F$8)=Config!$E$24),1,0))</f>
        <v/>
      </c>
      <c r="J179" s="24"/>
      <c r="K179" s="23" t="str">
        <f aca="false">IF(OR(NOT(ISNUMBER($D179)),Config!$G$9&lt;&gt;"Sim"),"",$D179+Config!$F$9+IF(AND(Config!$F$9&gt;0,WEEKDAY($D179+Config!$F$9)=Config!$E$24),1,0))</f>
        <v/>
      </c>
      <c r="L179" s="24"/>
      <c r="M179" s="23" t="str">
        <f aca="false">IF(OR(NOT(ISNUMBER($D179)),Config!$G$10&lt;&gt;"Sim"),"",$D179+Config!$F$10+IF(AND(Config!$F$10&gt;0,WEEKDAY($D179+Config!$F$10)=Config!$E$24),1,0))</f>
        <v/>
      </c>
      <c r="N179" s="24"/>
      <c r="O179" s="23" t="str">
        <f aca="false">IF(OR(NOT(ISNUMBER($D179)),Config!$G$11&lt;&gt;"Sim"),"",$D179+Config!$F$11+IF(AND(Config!$F$11&gt;0,WEEKDAY($D179+Config!$F$11)=Config!$E$24),1,0))</f>
        <v/>
      </c>
      <c r="P179" s="24"/>
      <c r="Q179" s="25" t="str">
        <f aca="false">IF(COUNT(E179,G179,I179,K179,M179,O179)=0,"",((E179&lt;&gt;"")*(F179&lt;&gt;"")+(G179&lt;&gt;"")*(H179&lt;&gt;"")+(I179&lt;&gt;"")*(J179&lt;&gt;"")+(K179&lt;&gt;"")*(L179&lt;&gt;"")+(M179&lt;&gt;"")*(N179&lt;&gt;"")+(O179&lt;&gt;"")*(P179&lt;&gt;""))/COUNT(E179,G179,I179,K179,M179,O179))</f>
        <v/>
      </c>
      <c r="R179" s="26" t="str">
        <f aca="false">IF(T179="","",IF(T179=99999,"",T179))</f>
        <v/>
      </c>
      <c r="S179" s="27" t="str">
        <f aca="true">IF(T179="","",IF(T179=99999,"Concluído",IF(T179&lt;TODAY(),"Atrasado",IF(T179=TODAY(),"Hoje","Em dia"))))</f>
        <v/>
      </c>
      <c r="T179" s="28" t="str">
        <f aca="false">IF(COUNT(E179,G179,I179,K179,M179,O179)=0,"",MIN(IF(AND(E179&lt;&gt;"",F179=""),E179,99999),IF(AND(G179&lt;&gt;"",H179=""),G179,99999),IF(AND(I179&lt;&gt;"",J179=""),I179,99999),IF(AND(K179&lt;&gt;"",L179=""),K179,99999),IF(AND(M179&lt;&gt;"",N179=""),M179,99999),IF(AND(O179&lt;&gt;"",P179=""),O179,99999)))</f>
        <v/>
      </c>
    </row>
    <row r="180" customFormat="false" ht="15" hidden="false" customHeight="false" outlineLevel="0" collapsed="false">
      <c r="A180" s="20" t="n">
        <v>175</v>
      </c>
      <c r="B180" s="21"/>
      <c r="C180" s="21"/>
      <c r="D180" s="22"/>
      <c r="E180" s="23" t="str">
        <f aca="false">IF(OR(NOT(ISNUMBER($D180)),Config!$G$6&lt;&gt;"Sim"),"",$D180+Config!$F$6+IF(AND(Config!$F$6&gt;0,WEEKDAY($D180+Config!$F$6)=Config!$E$24),1,0))</f>
        <v/>
      </c>
      <c r="F180" s="24"/>
      <c r="G180" s="23" t="str">
        <f aca="false">IF(OR(NOT(ISNUMBER($D180)),Config!$G$7&lt;&gt;"Sim"),"",$D180+Config!$F$7+IF(AND(Config!$F$7&gt;0,WEEKDAY($D180+Config!$F$7)=Config!$E$24),1,0))</f>
        <v/>
      </c>
      <c r="H180" s="24"/>
      <c r="I180" s="23" t="str">
        <f aca="false">IF(OR(NOT(ISNUMBER($D180)),Config!$G$8&lt;&gt;"Sim"),"",$D180+Config!$F$8+IF(AND(Config!$F$8&gt;0,WEEKDAY($D180+Config!$F$8)=Config!$E$24),1,0))</f>
        <v/>
      </c>
      <c r="J180" s="24"/>
      <c r="K180" s="23" t="str">
        <f aca="false">IF(OR(NOT(ISNUMBER($D180)),Config!$G$9&lt;&gt;"Sim"),"",$D180+Config!$F$9+IF(AND(Config!$F$9&gt;0,WEEKDAY($D180+Config!$F$9)=Config!$E$24),1,0))</f>
        <v/>
      </c>
      <c r="L180" s="24"/>
      <c r="M180" s="23" t="str">
        <f aca="false">IF(OR(NOT(ISNUMBER($D180)),Config!$G$10&lt;&gt;"Sim"),"",$D180+Config!$F$10+IF(AND(Config!$F$10&gt;0,WEEKDAY($D180+Config!$F$10)=Config!$E$24),1,0))</f>
        <v/>
      </c>
      <c r="N180" s="24"/>
      <c r="O180" s="23" t="str">
        <f aca="false">IF(OR(NOT(ISNUMBER($D180)),Config!$G$11&lt;&gt;"Sim"),"",$D180+Config!$F$11+IF(AND(Config!$F$11&gt;0,WEEKDAY($D180+Config!$F$11)=Config!$E$24),1,0))</f>
        <v/>
      </c>
      <c r="P180" s="24"/>
      <c r="Q180" s="25" t="str">
        <f aca="false">IF(COUNT(E180,G180,I180,K180,M180,O180)=0,"",((E180&lt;&gt;"")*(F180&lt;&gt;"")+(G180&lt;&gt;"")*(H180&lt;&gt;"")+(I180&lt;&gt;"")*(J180&lt;&gt;"")+(K180&lt;&gt;"")*(L180&lt;&gt;"")+(M180&lt;&gt;"")*(N180&lt;&gt;"")+(O180&lt;&gt;"")*(P180&lt;&gt;""))/COUNT(E180,G180,I180,K180,M180,O180))</f>
        <v/>
      </c>
      <c r="R180" s="26" t="str">
        <f aca="false">IF(T180="","",IF(T180=99999,"",T180))</f>
        <v/>
      </c>
      <c r="S180" s="27" t="str">
        <f aca="true">IF(T180="","",IF(T180=99999,"Concluído",IF(T180&lt;TODAY(),"Atrasado",IF(T180=TODAY(),"Hoje","Em dia"))))</f>
        <v/>
      </c>
      <c r="T180" s="28" t="str">
        <f aca="false">IF(COUNT(E180,G180,I180,K180,M180,O180)=0,"",MIN(IF(AND(E180&lt;&gt;"",F180=""),E180,99999),IF(AND(G180&lt;&gt;"",H180=""),G180,99999),IF(AND(I180&lt;&gt;"",J180=""),I180,99999),IF(AND(K180&lt;&gt;"",L180=""),K180,99999),IF(AND(M180&lt;&gt;"",N180=""),M180,99999),IF(AND(O180&lt;&gt;"",P180=""),O180,99999)))</f>
        <v/>
      </c>
    </row>
    <row r="181" customFormat="false" ht="15" hidden="false" customHeight="false" outlineLevel="0" collapsed="false">
      <c r="A181" s="20" t="n">
        <v>176</v>
      </c>
      <c r="B181" s="21"/>
      <c r="C181" s="21"/>
      <c r="D181" s="22"/>
      <c r="E181" s="23" t="str">
        <f aca="false">IF(OR(NOT(ISNUMBER($D181)),Config!$G$6&lt;&gt;"Sim"),"",$D181+Config!$F$6+IF(AND(Config!$F$6&gt;0,WEEKDAY($D181+Config!$F$6)=Config!$E$24),1,0))</f>
        <v/>
      </c>
      <c r="F181" s="24"/>
      <c r="G181" s="23" t="str">
        <f aca="false">IF(OR(NOT(ISNUMBER($D181)),Config!$G$7&lt;&gt;"Sim"),"",$D181+Config!$F$7+IF(AND(Config!$F$7&gt;0,WEEKDAY($D181+Config!$F$7)=Config!$E$24),1,0))</f>
        <v/>
      </c>
      <c r="H181" s="24"/>
      <c r="I181" s="23" t="str">
        <f aca="false">IF(OR(NOT(ISNUMBER($D181)),Config!$G$8&lt;&gt;"Sim"),"",$D181+Config!$F$8+IF(AND(Config!$F$8&gt;0,WEEKDAY($D181+Config!$F$8)=Config!$E$24),1,0))</f>
        <v/>
      </c>
      <c r="J181" s="24"/>
      <c r="K181" s="23" t="str">
        <f aca="false">IF(OR(NOT(ISNUMBER($D181)),Config!$G$9&lt;&gt;"Sim"),"",$D181+Config!$F$9+IF(AND(Config!$F$9&gt;0,WEEKDAY($D181+Config!$F$9)=Config!$E$24),1,0))</f>
        <v/>
      </c>
      <c r="L181" s="24"/>
      <c r="M181" s="23" t="str">
        <f aca="false">IF(OR(NOT(ISNUMBER($D181)),Config!$G$10&lt;&gt;"Sim"),"",$D181+Config!$F$10+IF(AND(Config!$F$10&gt;0,WEEKDAY($D181+Config!$F$10)=Config!$E$24),1,0))</f>
        <v/>
      </c>
      <c r="N181" s="24"/>
      <c r="O181" s="23" t="str">
        <f aca="false">IF(OR(NOT(ISNUMBER($D181)),Config!$G$11&lt;&gt;"Sim"),"",$D181+Config!$F$11+IF(AND(Config!$F$11&gt;0,WEEKDAY($D181+Config!$F$11)=Config!$E$24),1,0))</f>
        <v/>
      </c>
      <c r="P181" s="24"/>
      <c r="Q181" s="25" t="str">
        <f aca="false">IF(COUNT(E181,G181,I181,K181,M181,O181)=0,"",((E181&lt;&gt;"")*(F181&lt;&gt;"")+(G181&lt;&gt;"")*(H181&lt;&gt;"")+(I181&lt;&gt;"")*(J181&lt;&gt;"")+(K181&lt;&gt;"")*(L181&lt;&gt;"")+(M181&lt;&gt;"")*(N181&lt;&gt;"")+(O181&lt;&gt;"")*(P181&lt;&gt;""))/COUNT(E181,G181,I181,K181,M181,O181))</f>
        <v/>
      </c>
      <c r="R181" s="26" t="str">
        <f aca="false">IF(T181="","",IF(T181=99999,"",T181))</f>
        <v/>
      </c>
      <c r="S181" s="27" t="str">
        <f aca="true">IF(T181="","",IF(T181=99999,"Concluído",IF(T181&lt;TODAY(),"Atrasado",IF(T181=TODAY(),"Hoje","Em dia"))))</f>
        <v/>
      </c>
      <c r="T181" s="28" t="str">
        <f aca="false">IF(COUNT(E181,G181,I181,K181,M181,O181)=0,"",MIN(IF(AND(E181&lt;&gt;"",F181=""),E181,99999),IF(AND(G181&lt;&gt;"",H181=""),G181,99999),IF(AND(I181&lt;&gt;"",J181=""),I181,99999),IF(AND(K181&lt;&gt;"",L181=""),K181,99999),IF(AND(M181&lt;&gt;"",N181=""),M181,99999),IF(AND(O181&lt;&gt;"",P181=""),O181,99999)))</f>
        <v/>
      </c>
    </row>
    <row r="182" customFormat="false" ht="15" hidden="false" customHeight="false" outlineLevel="0" collapsed="false">
      <c r="A182" s="20" t="n">
        <v>177</v>
      </c>
      <c r="B182" s="21"/>
      <c r="C182" s="21"/>
      <c r="D182" s="22"/>
      <c r="E182" s="23" t="str">
        <f aca="false">IF(OR(NOT(ISNUMBER($D182)),Config!$G$6&lt;&gt;"Sim"),"",$D182+Config!$F$6+IF(AND(Config!$F$6&gt;0,WEEKDAY($D182+Config!$F$6)=Config!$E$24),1,0))</f>
        <v/>
      </c>
      <c r="F182" s="24"/>
      <c r="G182" s="23" t="str">
        <f aca="false">IF(OR(NOT(ISNUMBER($D182)),Config!$G$7&lt;&gt;"Sim"),"",$D182+Config!$F$7+IF(AND(Config!$F$7&gt;0,WEEKDAY($D182+Config!$F$7)=Config!$E$24),1,0))</f>
        <v/>
      </c>
      <c r="H182" s="24"/>
      <c r="I182" s="23" t="str">
        <f aca="false">IF(OR(NOT(ISNUMBER($D182)),Config!$G$8&lt;&gt;"Sim"),"",$D182+Config!$F$8+IF(AND(Config!$F$8&gt;0,WEEKDAY($D182+Config!$F$8)=Config!$E$24),1,0))</f>
        <v/>
      </c>
      <c r="J182" s="24"/>
      <c r="K182" s="23" t="str">
        <f aca="false">IF(OR(NOT(ISNUMBER($D182)),Config!$G$9&lt;&gt;"Sim"),"",$D182+Config!$F$9+IF(AND(Config!$F$9&gt;0,WEEKDAY($D182+Config!$F$9)=Config!$E$24),1,0))</f>
        <v/>
      </c>
      <c r="L182" s="24"/>
      <c r="M182" s="23" t="str">
        <f aca="false">IF(OR(NOT(ISNUMBER($D182)),Config!$G$10&lt;&gt;"Sim"),"",$D182+Config!$F$10+IF(AND(Config!$F$10&gt;0,WEEKDAY($D182+Config!$F$10)=Config!$E$24),1,0))</f>
        <v/>
      </c>
      <c r="N182" s="24"/>
      <c r="O182" s="23" t="str">
        <f aca="false">IF(OR(NOT(ISNUMBER($D182)),Config!$G$11&lt;&gt;"Sim"),"",$D182+Config!$F$11+IF(AND(Config!$F$11&gt;0,WEEKDAY($D182+Config!$F$11)=Config!$E$24),1,0))</f>
        <v/>
      </c>
      <c r="P182" s="24"/>
      <c r="Q182" s="25" t="str">
        <f aca="false">IF(COUNT(E182,G182,I182,K182,M182,O182)=0,"",((E182&lt;&gt;"")*(F182&lt;&gt;"")+(G182&lt;&gt;"")*(H182&lt;&gt;"")+(I182&lt;&gt;"")*(J182&lt;&gt;"")+(K182&lt;&gt;"")*(L182&lt;&gt;"")+(M182&lt;&gt;"")*(N182&lt;&gt;"")+(O182&lt;&gt;"")*(P182&lt;&gt;""))/COUNT(E182,G182,I182,K182,M182,O182))</f>
        <v/>
      </c>
      <c r="R182" s="26" t="str">
        <f aca="false">IF(T182="","",IF(T182=99999,"",T182))</f>
        <v/>
      </c>
      <c r="S182" s="27" t="str">
        <f aca="true">IF(T182="","",IF(T182=99999,"Concluído",IF(T182&lt;TODAY(),"Atrasado",IF(T182=TODAY(),"Hoje","Em dia"))))</f>
        <v/>
      </c>
      <c r="T182" s="28" t="str">
        <f aca="false">IF(COUNT(E182,G182,I182,K182,M182,O182)=0,"",MIN(IF(AND(E182&lt;&gt;"",F182=""),E182,99999),IF(AND(G182&lt;&gt;"",H182=""),G182,99999),IF(AND(I182&lt;&gt;"",J182=""),I182,99999),IF(AND(K182&lt;&gt;"",L182=""),K182,99999),IF(AND(M182&lt;&gt;"",N182=""),M182,99999),IF(AND(O182&lt;&gt;"",P182=""),O182,99999)))</f>
        <v/>
      </c>
    </row>
    <row r="183" customFormat="false" ht="15" hidden="false" customHeight="false" outlineLevel="0" collapsed="false">
      <c r="A183" s="20" t="n">
        <v>178</v>
      </c>
      <c r="B183" s="21"/>
      <c r="C183" s="21"/>
      <c r="D183" s="22"/>
      <c r="E183" s="23" t="str">
        <f aca="false">IF(OR(NOT(ISNUMBER($D183)),Config!$G$6&lt;&gt;"Sim"),"",$D183+Config!$F$6+IF(AND(Config!$F$6&gt;0,WEEKDAY($D183+Config!$F$6)=Config!$E$24),1,0))</f>
        <v/>
      </c>
      <c r="F183" s="24"/>
      <c r="G183" s="23" t="str">
        <f aca="false">IF(OR(NOT(ISNUMBER($D183)),Config!$G$7&lt;&gt;"Sim"),"",$D183+Config!$F$7+IF(AND(Config!$F$7&gt;0,WEEKDAY($D183+Config!$F$7)=Config!$E$24),1,0))</f>
        <v/>
      </c>
      <c r="H183" s="24"/>
      <c r="I183" s="23" t="str">
        <f aca="false">IF(OR(NOT(ISNUMBER($D183)),Config!$G$8&lt;&gt;"Sim"),"",$D183+Config!$F$8+IF(AND(Config!$F$8&gt;0,WEEKDAY($D183+Config!$F$8)=Config!$E$24),1,0))</f>
        <v/>
      </c>
      <c r="J183" s="24"/>
      <c r="K183" s="23" t="str">
        <f aca="false">IF(OR(NOT(ISNUMBER($D183)),Config!$G$9&lt;&gt;"Sim"),"",$D183+Config!$F$9+IF(AND(Config!$F$9&gt;0,WEEKDAY($D183+Config!$F$9)=Config!$E$24),1,0))</f>
        <v/>
      </c>
      <c r="L183" s="24"/>
      <c r="M183" s="23" t="str">
        <f aca="false">IF(OR(NOT(ISNUMBER($D183)),Config!$G$10&lt;&gt;"Sim"),"",$D183+Config!$F$10+IF(AND(Config!$F$10&gt;0,WEEKDAY($D183+Config!$F$10)=Config!$E$24),1,0))</f>
        <v/>
      </c>
      <c r="N183" s="24"/>
      <c r="O183" s="23" t="str">
        <f aca="false">IF(OR(NOT(ISNUMBER($D183)),Config!$G$11&lt;&gt;"Sim"),"",$D183+Config!$F$11+IF(AND(Config!$F$11&gt;0,WEEKDAY($D183+Config!$F$11)=Config!$E$24),1,0))</f>
        <v/>
      </c>
      <c r="P183" s="24"/>
      <c r="Q183" s="25" t="str">
        <f aca="false">IF(COUNT(E183,G183,I183,K183,M183,O183)=0,"",((E183&lt;&gt;"")*(F183&lt;&gt;"")+(G183&lt;&gt;"")*(H183&lt;&gt;"")+(I183&lt;&gt;"")*(J183&lt;&gt;"")+(K183&lt;&gt;"")*(L183&lt;&gt;"")+(M183&lt;&gt;"")*(N183&lt;&gt;"")+(O183&lt;&gt;"")*(P183&lt;&gt;""))/COUNT(E183,G183,I183,K183,M183,O183))</f>
        <v/>
      </c>
      <c r="R183" s="26" t="str">
        <f aca="false">IF(T183="","",IF(T183=99999,"",T183))</f>
        <v/>
      </c>
      <c r="S183" s="27" t="str">
        <f aca="true">IF(T183="","",IF(T183=99999,"Concluído",IF(T183&lt;TODAY(),"Atrasado",IF(T183=TODAY(),"Hoje","Em dia"))))</f>
        <v/>
      </c>
      <c r="T183" s="28" t="str">
        <f aca="false">IF(COUNT(E183,G183,I183,K183,M183,O183)=0,"",MIN(IF(AND(E183&lt;&gt;"",F183=""),E183,99999),IF(AND(G183&lt;&gt;"",H183=""),G183,99999),IF(AND(I183&lt;&gt;"",J183=""),I183,99999),IF(AND(K183&lt;&gt;"",L183=""),K183,99999),IF(AND(M183&lt;&gt;"",N183=""),M183,99999),IF(AND(O183&lt;&gt;"",P183=""),O183,99999)))</f>
        <v/>
      </c>
    </row>
    <row r="184" customFormat="false" ht="15" hidden="false" customHeight="false" outlineLevel="0" collapsed="false">
      <c r="A184" s="20" t="n">
        <v>179</v>
      </c>
      <c r="B184" s="21"/>
      <c r="C184" s="21"/>
      <c r="D184" s="22"/>
      <c r="E184" s="23" t="str">
        <f aca="false">IF(OR(NOT(ISNUMBER($D184)),Config!$G$6&lt;&gt;"Sim"),"",$D184+Config!$F$6+IF(AND(Config!$F$6&gt;0,WEEKDAY($D184+Config!$F$6)=Config!$E$24),1,0))</f>
        <v/>
      </c>
      <c r="F184" s="24"/>
      <c r="G184" s="23" t="str">
        <f aca="false">IF(OR(NOT(ISNUMBER($D184)),Config!$G$7&lt;&gt;"Sim"),"",$D184+Config!$F$7+IF(AND(Config!$F$7&gt;0,WEEKDAY($D184+Config!$F$7)=Config!$E$24),1,0))</f>
        <v/>
      </c>
      <c r="H184" s="24"/>
      <c r="I184" s="23" t="str">
        <f aca="false">IF(OR(NOT(ISNUMBER($D184)),Config!$G$8&lt;&gt;"Sim"),"",$D184+Config!$F$8+IF(AND(Config!$F$8&gt;0,WEEKDAY($D184+Config!$F$8)=Config!$E$24),1,0))</f>
        <v/>
      </c>
      <c r="J184" s="24"/>
      <c r="K184" s="23" t="str">
        <f aca="false">IF(OR(NOT(ISNUMBER($D184)),Config!$G$9&lt;&gt;"Sim"),"",$D184+Config!$F$9+IF(AND(Config!$F$9&gt;0,WEEKDAY($D184+Config!$F$9)=Config!$E$24),1,0))</f>
        <v/>
      </c>
      <c r="L184" s="24"/>
      <c r="M184" s="23" t="str">
        <f aca="false">IF(OR(NOT(ISNUMBER($D184)),Config!$G$10&lt;&gt;"Sim"),"",$D184+Config!$F$10+IF(AND(Config!$F$10&gt;0,WEEKDAY($D184+Config!$F$10)=Config!$E$24),1,0))</f>
        <v/>
      </c>
      <c r="N184" s="24"/>
      <c r="O184" s="23" t="str">
        <f aca="false">IF(OR(NOT(ISNUMBER($D184)),Config!$G$11&lt;&gt;"Sim"),"",$D184+Config!$F$11+IF(AND(Config!$F$11&gt;0,WEEKDAY($D184+Config!$F$11)=Config!$E$24),1,0))</f>
        <v/>
      </c>
      <c r="P184" s="24"/>
      <c r="Q184" s="25" t="str">
        <f aca="false">IF(COUNT(E184,G184,I184,K184,M184,O184)=0,"",((E184&lt;&gt;"")*(F184&lt;&gt;"")+(G184&lt;&gt;"")*(H184&lt;&gt;"")+(I184&lt;&gt;"")*(J184&lt;&gt;"")+(K184&lt;&gt;"")*(L184&lt;&gt;"")+(M184&lt;&gt;"")*(N184&lt;&gt;"")+(O184&lt;&gt;"")*(P184&lt;&gt;""))/COUNT(E184,G184,I184,K184,M184,O184))</f>
        <v/>
      </c>
      <c r="R184" s="26" t="str">
        <f aca="false">IF(T184="","",IF(T184=99999,"",T184))</f>
        <v/>
      </c>
      <c r="S184" s="27" t="str">
        <f aca="true">IF(T184="","",IF(T184=99999,"Concluído",IF(T184&lt;TODAY(),"Atrasado",IF(T184=TODAY(),"Hoje","Em dia"))))</f>
        <v/>
      </c>
      <c r="T184" s="28" t="str">
        <f aca="false">IF(COUNT(E184,G184,I184,K184,M184,O184)=0,"",MIN(IF(AND(E184&lt;&gt;"",F184=""),E184,99999),IF(AND(G184&lt;&gt;"",H184=""),G184,99999),IF(AND(I184&lt;&gt;"",J184=""),I184,99999),IF(AND(K184&lt;&gt;"",L184=""),K184,99999),IF(AND(M184&lt;&gt;"",N184=""),M184,99999),IF(AND(O184&lt;&gt;"",P184=""),O184,99999)))</f>
        <v/>
      </c>
    </row>
    <row r="185" customFormat="false" ht="15" hidden="false" customHeight="false" outlineLevel="0" collapsed="false">
      <c r="A185" s="20" t="n">
        <v>180</v>
      </c>
      <c r="B185" s="21"/>
      <c r="C185" s="21"/>
      <c r="D185" s="22"/>
      <c r="E185" s="23" t="str">
        <f aca="false">IF(OR(NOT(ISNUMBER($D185)),Config!$G$6&lt;&gt;"Sim"),"",$D185+Config!$F$6+IF(AND(Config!$F$6&gt;0,WEEKDAY($D185+Config!$F$6)=Config!$E$24),1,0))</f>
        <v/>
      </c>
      <c r="F185" s="24"/>
      <c r="G185" s="23" t="str">
        <f aca="false">IF(OR(NOT(ISNUMBER($D185)),Config!$G$7&lt;&gt;"Sim"),"",$D185+Config!$F$7+IF(AND(Config!$F$7&gt;0,WEEKDAY($D185+Config!$F$7)=Config!$E$24),1,0))</f>
        <v/>
      </c>
      <c r="H185" s="24"/>
      <c r="I185" s="23" t="str">
        <f aca="false">IF(OR(NOT(ISNUMBER($D185)),Config!$G$8&lt;&gt;"Sim"),"",$D185+Config!$F$8+IF(AND(Config!$F$8&gt;0,WEEKDAY($D185+Config!$F$8)=Config!$E$24),1,0))</f>
        <v/>
      </c>
      <c r="J185" s="24"/>
      <c r="K185" s="23" t="str">
        <f aca="false">IF(OR(NOT(ISNUMBER($D185)),Config!$G$9&lt;&gt;"Sim"),"",$D185+Config!$F$9+IF(AND(Config!$F$9&gt;0,WEEKDAY($D185+Config!$F$9)=Config!$E$24),1,0))</f>
        <v/>
      </c>
      <c r="L185" s="24"/>
      <c r="M185" s="23" t="str">
        <f aca="false">IF(OR(NOT(ISNUMBER($D185)),Config!$G$10&lt;&gt;"Sim"),"",$D185+Config!$F$10+IF(AND(Config!$F$10&gt;0,WEEKDAY($D185+Config!$F$10)=Config!$E$24),1,0))</f>
        <v/>
      </c>
      <c r="N185" s="24"/>
      <c r="O185" s="23" t="str">
        <f aca="false">IF(OR(NOT(ISNUMBER($D185)),Config!$G$11&lt;&gt;"Sim"),"",$D185+Config!$F$11+IF(AND(Config!$F$11&gt;0,WEEKDAY($D185+Config!$F$11)=Config!$E$24),1,0))</f>
        <v/>
      </c>
      <c r="P185" s="24"/>
      <c r="Q185" s="25" t="str">
        <f aca="false">IF(COUNT(E185,G185,I185,K185,M185,O185)=0,"",((E185&lt;&gt;"")*(F185&lt;&gt;"")+(G185&lt;&gt;"")*(H185&lt;&gt;"")+(I185&lt;&gt;"")*(J185&lt;&gt;"")+(K185&lt;&gt;"")*(L185&lt;&gt;"")+(M185&lt;&gt;"")*(N185&lt;&gt;"")+(O185&lt;&gt;"")*(P185&lt;&gt;""))/COUNT(E185,G185,I185,K185,M185,O185))</f>
        <v/>
      </c>
      <c r="R185" s="26" t="str">
        <f aca="false">IF(T185="","",IF(T185=99999,"",T185))</f>
        <v/>
      </c>
      <c r="S185" s="27" t="str">
        <f aca="true">IF(T185="","",IF(T185=99999,"Concluído",IF(T185&lt;TODAY(),"Atrasado",IF(T185=TODAY(),"Hoje","Em dia"))))</f>
        <v/>
      </c>
      <c r="T185" s="28" t="str">
        <f aca="false">IF(COUNT(E185,G185,I185,K185,M185,O185)=0,"",MIN(IF(AND(E185&lt;&gt;"",F185=""),E185,99999),IF(AND(G185&lt;&gt;"",H185=""),G185,99999),IF(AND(I185&lt;&gt;"",J185=""),I185,99999),IF(AND(K185&lt;&gt;"",L185=""),K185,99999),IF(AND(M185&lt;&gt;"",N185=""),M185,99999),IF(AND(O185&lt;&gt;"",P185=""),O185,99999)))</f>
        <v/>
      </c>
    </row>
    <row r="186" customFormat="false" ht="15" hidden="false" customHeight="false" outlineLevel="0" collapsed="false">
      <c r="A186" s="20" t="n">
        <v>181</v>
      </c>
      <c r="B186" s="21"/>
      <c r="C186" s="21"/>
      <c r="D186" s="22"/>
      <c r="E186" s="23" t="str">
        <f aca="false">IF(OR(NOT(ISNUMBER($D186)),Config!$G$6&lt;&gt;"Sim"),"",$D186+Config!$F$6+IF(AND(Config!$F$6&gt;0,WEEKDAY($D186+Config!$F$6)=Config!$E$24),1,0))</f>
        <v/>
      </c>
      <c r="F186" s="24"/>
      <c r="G186" s="23" t="str">
        <f aca="false">IF(OR(NOT(ISNUMBER($D186)),Config!$G$7&lt;&gt;"Sim"),"",$D186+Config!$F$7+IF(AND(Config!$F$7&gt;0,WEEKDAY($D186+Config!$F$7)=Config!$E$24),1,0))</f>
        <v/>
      </c>
      <c r="H186" s="24"/>
      <c r="I186" s="23" t="str">
        <f aca="false">IF(OR(NOT(ISNUMBER($D186)),Config!$G$8&lt;&gt;"Sim"),"",$D186+Config!$F$8+IF(AND(Config!$F$8&gt;0,WEEKDAY($D186+Config!$F$8)=Config!$E$24),1,0))</f>
        <v/>
      </c>
      <c r="J186" s="24"/>
      <c r="K186" s="23" t="str">
        <f aca="false">IF(OR(NOT(ISNUMBER($D186)),Config!$G$9&lt;&gt;"Sim"),"",$D186+Config!$F$9+IF(AND(Config!$F$9&gt;0,WEEKDAY($D186+Config!$F$9)=Config!$E$24),1,0))</f>
        <v/>
      </c>
      <c r="L186" s="24"/>
      <c r="M186" s="23" t="str">
        <f aca="false">IF(OR(NOT(ISNUMBER($D186)),Config!$G$10&lt;&gt;"Sim"),"",$D186+Config!$F$10+IF(AND(Config!$F$10&gt;0,WEEKDAY($D186+Config!$F$10)=Config!$E$24),1,0))</f>
        <v/>
      </c>
      <c r="N186" s="24"/>
      <c r="O186" s="23" t="str">
        <f aca="false">IF(OR(NOT(ISNUMBER($D186)),Config!$G$11&lt;&gt;"Sim"),"",$D186+Config!$F$11+IF(AND(Config!$F$11&gt;0,WEEKDAY($D186+Config!$F$11)=Config!$E$24),1,0))</f>
        <v/>
      </c>
      <c r="P186" s="24"/>
      <c r="Q186" s="25" t="str">
        <f aca="false">IF(COUNT(E186,G186,I186,K186,M186,O186)=0,"",((E186&lt;&gt;"")*(F186&lt;&gt;"")+(G186&lt;&gt;"")*(H186&lt;&gt;"")+(I186&lt;&gt;"")*(J186&lt;&gt;"")+(K186&lt;&gt;"")*(L186&lt;&gt;"")+(M186&lt;&gt;"")*(N186&lt;&gt;"")+(O186&lt;&gt;"")*(P186&lt;&gt;""))/COUNT(E186,G186,I186,K186,M186,O186))</f>
        <v/>
      </c>
      <c r="R186" s="26" t="str">
        <f aca="false">IF(T186="","",IF(T186=99999,"",T186))</f>
        <v/>
      </c>
      <c r="S186" s="27" t="str">
        <f aca="true">IF(T186="","",IF(T186=99999,"Concluído",IF(T186&lt;TODAY(),"Atrasado",IF(T186=TODAY(),"Hoje","Em dia"))))</f>
        <v/>
      </c>
      <c r="T186" s="28" t="str">
        <f aca="false">IF(COUNT(E186,G186,I186,K186,M186,O186)=0,"",MIN(IF(AND(E186&lt;&gt;"",F186=""),E186,99999),IF(AND(G186&lt;&gt;"",H186=""),G186,99999),IF(AND(I186&lt;&gt;"",J186=""),I186,99999),IF(AND(K186&lt;&gt;"",L186=""),K186,99999),IF(AND(M186&lt;&gt;"",N186=""),M186,99999),IF(AND(O186&lt;&gt;"",P186=""),O186,99999)))</f>
        <v/>
      </c>
    </row>
    <row r="187" customFormat="false" ht="15" hidden="false" customHeight="false" outlineLevel="0" collapsed="false">
      <c r="A187" s="20" t="n">
        <v>182</v>
      </c>
      <c r="B187" s="21"/>
      <c r="C187" s="21"/>
      <c r="D187" s="22"/>
      <c r="E187" s="23" t="str">
        <f aca="false">IF(OR(NOT(ISNUMBER($D187)),Config!$G$6&lt;&gt;"Sim"),"",$D187+Config!$F$6+IF(AND(Config!$F$6&gt;0,WEEKDAY($D187+Config!$F$6)=Config!$E$24),1,0))</f>
        <v/>
      </c>
      <c r="F187" s="24"/>
      <c r="G187" s="23" t="str">
        <f aca="false">IF(OR(NOT(ISNUMBER($D187)),Config!$G$7&lt;&gt;"Sim"),"",$D187+Config!$F$7+IF(AND(Config!$F$7&gt;0,WEEKDAY($D187+Config!$F$7)=Config!$E$24),1,0))</f>
        <v/>
      </c>
      <c r="H187" s="24"/>
      <c r="I187" s="23" t="str">
        <f aca="false">IF(OR(NOT(ISNUMBER($D187)),Config!$G$8&lt;&gt;"Sim"),"",$D187+Config!$F$8+IF(AND(Config!$F$8&gt;0,WEEKDAY($D187+Config!$F$8)=Config!$E$24),1,0))</f>
        <v/>
      </c>
      <c r="J187" s="24"/>
      <c r="K187" s="23" t="str">
        <f aca="false">IF(OR(NOT(ISNUMBER($D187)),Config!$G$9&lt;&gt;"Sim"),"",$D187+Config!$F$9+IF(AND(Config!$F$9&gt;0,WEEKDAY($D187+Config!$F$9)=Config!$E$24),1,0))</f>
        <v/>
      </c>
      <c r="L187" s="24"/>
      <c r="M187" s="23" t="str">
        <f aca="false">IF(OR(NOT(ISNUMBER($D187)),Config!$G$10&lt;&gt;"Sim"),"",$D187+Config!$F$10+IF(AND(Config!$F$10&gt;0,WEEKDAY($D187+Config!$F$10)=Config!$E$24),1,0))</f>
        <v/>
      </c>
      <c r="N187" s="24"/>
      <c r="O187" s="23" t="str">
        <f aca="false">IF(OR(NOT(ISNUMBER($D187)),Config!$G$11&lt;&gt;"Sim"),"",$D187+Config!$F$11+IF(AND(Config!$F$11&gt;0,WEEKDAY($D187+Config!$F$11)=Config!$E$24),1,0))</f>
        <v/>
      </c>
      <c r="P187" s="24"/>
      <c r="Q187" s="25" t="str">
        <f aca="false">IF(COUNT(E187,G187,I187,K187,M187,O187)=0,"",((E187&lt;&gt;"")*(F187&lt;&gt;"")+(G187&lt;&gt;"")*(H187&lt;&gt;"")+(I187&lt;&gt;"")*(J187&lt;&gt;"")+(K187&lt;&gt;"")*(L187&lt;&gt;"")+(M187&lt;&gt;"")*(N187&lt;&gt;"")+(O187&lt;&gt;"")*(P187&lt;&gt;""))/COUNT(E187,G187,I187,K187,M187,O187))</f>
        <v/>
      </c>
      <c r="R187" s="26" t="str">
        <f aca="false">IF(T187="","",IF(T187=99999,"",T187))</f>
        <v/>
      </c>
      <c r="S187" s="27" t="str">
        <f aca="true">IF(T187="","",IF(T187=99999,"Concluído",IF(T187&lt;TODAY(),"Atrasado",IF(T187=TODAY(),"Hoje","Em dia"))))</f>
        <v/>
      </c>
      <c r="T187" s="28" t="str">
        <f aca="false">IF(COUNT(E187,G187,I187,K187,M187,O187)=0,"",MIN(IF(AND(E187&lt;&gt;"",F187=""),E187,99999),IF(AND(G187&lt;&gt;"",H187=""),G187,99999),IF(AND(I187&lt;&gt;"",J187=""),I187,99999),IF(AND(K187&lt;&gt;"",L187=""),K187,99999),IF(AND(M187&lt;&gt;"",N187=""),M187,99999),IF(AND(O187&lt;&gt;"",P187=""),O187,99999)))</f>
        <v/>
      </c>
    </row>
    <row r="188" customFormat="false" ht="15" hidden="false" customHeight="false" outlineLevel="0" collapsed="false">
      <c r="A188" s="20" t="n">
        <v>183</v>
      </c>
      <c r="B188" s="21"/>
      <c r="C188" s="21"/>
      <c r="D188" s="22"/>
      <c r="E188" s="23" t="str">
        <f aca="false">IF(OR(NOT(ISNUMBER($D188)),Config!$G$6&lt;&gt;"Sim"),"",$D188+Config!$F$6+IF(AND(Config!$F$6&gt;0,WEEKDAY($D188+Config!$F$6)=Config!$E$24),1,0))</f>
        <v/>
      </c>
      <c r="F188" s="24"/>
      <c r="G188" s="23" t="str">
        <f aca="false">IF(OR(NOT(ISNUMBER($D188)),Config!$G$7&lt;&gt;"Sim"),"",$D188+Config!$F$7+IF(AND(Config!$F$7&gt;0,WEEKDAY($D188+Config!$F$7)=Config!$E$24),1,0))</f>
        <v/>
      </c>
      <c r="H188" s="24"/>
      <c r="I188" s="23" t="str">
        <f aca="false">IF(OR(NOT(ISNUMBER($D188)),Config!$G$8&lt;&gt;"Sim"),"",$D188+Config!$F$8+IF(AND(Config!$F$8&gt;0,WEEKDAY($D188+Config!$F$8)=Config!$E$24),1,0))</f>
        <v/>
      </c>
      <c r="J188" s="24"/>
      <c r="K188" s="23" t="str">
        <f aca="false">IF(OR(NOT(ISNUMBER($D188)),Config!$G$9&lt;&gt;"Sim"),"",$D188+Config!$F$9+IF(AND(Config!$F$9&gt;0,WEEKDAY($D188+Config!$F$9)=Config!$E$24),1,0))</f>
        <v/>
      </c>
      <c r="L188" s="24"/>
      <c r="M188" s="23" t="str">
        <f aca="false">IF(OR(NOT(ISNUMBER($D188)),Config!$G$10&lt;&gt;"Sim"),"",$D188+Config!$F$10+IF(AND(Config!$F$10&gt;0,WEEKDAY($D188+Config!$F$10)=Config!$E$24),1,0))</f>
        <v/>
      </c>
      <c r="N188" s="24"/>
      <c r="O188" s="23" t="str">
        <f aca="false">IF(OR(NOT(ISNUMBER($D188)),Config!$G$11&lt;&gt;"Sim"),"",$D188+Config!$F$11+IF(AND(Config!$F$11&gt;0,WEEKDAY($D188+Config!$F$11)=Config!$E$24),1,0))</f>
        <v/>
      </c>
      <c r="P188" s="24"/>
      <c r="Q188" s="25" t="str">
        <f aca="false">IF(COUNT(E188,G188,I188,K188,M188,O188)=0,"",((E188&lt;&gt;"")*(F188&lt;&gt;"")+(G188&lt;&gt;"")*(H188&lt;&gt;"")+(I188&lt;&gt;"")*(J188&lt;&gt;"")+(K188&lt;&gt;"")*(L188&lt;&gt;"")+(M188&lt;&gt;"")*(N188&lt;&gt;"")+(O188&lt;&gt;"")*(P188&lt;&gt;""))/COUNT(E188,G188,I188,K188,M188,O188))</f>
        <v/>
      </c>
      <c r="R188" s="26" t="str">
        <f aca="false">IF(T188="","",IF(T188=99999,"",T188))</f>
        <v/>
      </c>
      <c r="S188" s="27" t="str">
        <f aca="true">IF(T188="","",IF(T188=99999,"Concluído",IF(T188&lt;TODAY(),"Atrasado",IF(T188=TODAY(),"Hoje","Em dia"))))</f>
        <v/>
      </c>
      <c r="T188" s="28" t="str">
        <f aca="false">IF(COUNT(E188,G188,I188,K188,M188,O188)=0,"",MIN(IF(AND(E188&lt;&gt;"",F188=""),E188,99999),IF(AND(G188&lt;&gt;"",H188=""),G188,99999),IF(AND(I188&lt;&gt;"",J188=""),I188,99999),IF(AND(K188&lt;&gt;"",L188=""),K188,99999),IF(AND(M188&lt;&gt;"",N188=""),M188,99999),IF(AND(O188&lt;&gt;"",P188=""),O188,99999)))</f>
        <v/>
      </c>
    </row>
    <row r="189" customFormat="false" ht="15" hidden="false" customHeight="false" outlineLevel="0" collapsed="false">
      <c r="A189" s="20" t="n">
        <v>184</v>
      </c>
      <c r="B189" s="21"/>
      <c r="C189" s="21"/>
      <c r="D189" s="22"/>
      <c r="E189" s="23" t="str">
        <f aca="false">IF(OR(NOT(ISNUMBER($D189)),Config!$G$6&lt;&gt;"Sim"),"",$D189+Config!$F$6+IF(AND(Config!$F$6&gt;0,WEEKDAY($D189+Config!$F$6)=Config!$E$24),1,0))</f>
        <v/>
      </c>
      <c r="F189" s="24"/>
      <c r="G189" s="23" t="str">
        <f aca="false">IF(OR(NOT(ISNUMBER($D189)),Config!$G$7&lt;&gt;"Sim"),"",$D189+Config!$F$7+IF(AND(Config!$F$7&gt;0,WEEKDAY($D189+Config!$F$7)=Config!$E$24),1,0))</f>
        <v/>
      </c>
      <c r="H189" s="24"/>
      <c r="I189" s="23" t="str">
        <f aca="false">IF(OR(NOT(ISNUMBER($D189)),Config!$G$8&lt;&gt;"Sim"),"",$D189+Config!$F$8+IF(AND(Config!$F$8&gt;0,WEEKDAY($D189+Config!$F$8)=Config!$E$24),1,0))</f>
        <v/>
      </c>
      <c r="J189" s="24"/>
      <c r="K189" s="23" t="str">
        <f aca="false">IF(OR(NOT(ISNUMBER($D189)),Config!$G$9&lt;&gt;"Sim"),"",$D189+Config!$F$9+IF(AND(Config!$F$9&gt;0,WEEKDAY($D189+Config!$F$9)=Config!$E$24),1,0))</f>
        <v/>
      </c>
      <c r="L189" s="24"/>
      <c r="M189" s="23" t="str">
        <f aca="false">IF(OR(NOT(ISNUMBER($D189)),Config!$G$10&lt;&gt;"Sim"),"",$D189+Config!$F$10+IF(AND(Config!$F$10&gt;0,WEEKDAY($D189+Config!$F$10)=Config!$E$24),1,0))</f>
        <v/>
      </c>
      <c r="N189" s="24"/>
      <c r="O189" s="23" t="str">
        <f aca="false">IF(OR(NOT(ISNUMBER($D189)),Config!$G$11&lt;&gt;"Sim"),"",$D189+Config!$F$11+IF(AND(Config!$F$11&gt;0,WEEKDAY($D189+Config!$F$11)=Config!$E$24),1,0))</f>
        <v/>
      </c>
      <c r="P189" s="24"/>
      <c r="Q189" s="25" t="str">
        <f aca="false">IF(COUNT(E189,G189,I189,K189,M189,O189)=0,"",((E189&lt;&gt;"")*(F189&lt;&gt;"")+(G189&lt;&gt;"")*(H189&lt;&gt;"")+(I189&lt;&gt;"")*(J189&lt;&gt;"")+(K189&lt;&gt;"")*(L189&lt;&gt;"")+(M189&lt;&gt;"")*(N189&lt;&gt;"")+(O189&lt;&gt;"")*(P189&lt;&gt;""))/COUNT(E189,G189,I189,K189,M189,O189))</f>
        <v/>
      </c>
      <c r="R189" s="26" t="str">
        <f aca="false">IF(T189="","",IF(T189=99999,"",T189))</f>
        <v/>
      </c>
      <c r="S189" s="27" t="str">
        <f aca="true">IF(T189="","",IF(T189=99999,"Concluído",IF(T189&lt;TODAY(),"Atrasado",IF(T189=TODAY(),"Hoje","Em dia"))))</f>
        <v/>
      </c>
      <c r="T189" s="28" t="str">
        <f aca="false">IF(COUNT(E189,G189,I189,K189,M189,O189)=0,"",MIN(IF(AND(E189&lt;&gt;"",F189=""),E189,99999),IF(AND(G189&lt;&gt;"",H189=""),G189,99999),IF(AND(I189&lt;&gt;"",J189=""),I189,99999),IF(AND(K189&lt;&gt;"",L189=""),K189,99999),IF(AND(M189&lt;&gt;"",N189=""),M189,99999),IF(AND(O189&lt;&gt;"",P189=""),O189,99999)))</f>
        <v/>
      </c>
    </row>
    <row r="190" customFormat="false" ht="15" hidden="false" customHeight="false" outlineLevel="0" collapsed="false">
      <c r="A190" s="20" t="n">
        <v>185</v>
      </c>
      <c r="B190" s="21"/>
      <c r="C190" s="21"/>
      <c r="D190" s="22"/>
      <c r="E190" s="23" t="str">
        <f aca="false">IF(OR(NOT(ISNUMBER($D190)),Config!$G$6&lt;&gt;"Sim"),"",$D190+Config!$F$6+IF(AND(Config!$F$6&gt;0,WEEKDAY($D190+Config!$F$6)=Config!$E$24),1,0))</f>
        <v/>
      </c>
      <c r="F190" s="24"/>
      <c r="G190" s="23" t="str">
        <f aca="false">IF(OR(NOT(ISNUMBER($D190)),Config!$G$7&lt;&gt;"Sim"),"",$D190+Config!$F$7+IF(AND(Config!$F$7&gt;0,WEEKDAY($D190+Config!$F$7)=Config!$E$24),1,0))</f>
        <v/>
      </c>
      <c r="H190" s="24"/>
      <c r="I190" s="23" t="str">
        <f aca="false">IF(OR(NOT(ISNUMBER($D190)),Config!$G$8&lt;&gt;"Sim"),"",$D190+Config!$F$8+IF(AND(Config!$F$8&gt;0,WEEKDAY($D190+Config!$F$8)=Config!$E$24),1,0))</f>
        <v/>
      </c>
      <c r="J190" s="24"/>
      <c r="K190" s="23" t="str">
        <f aca="false">IF(OR(NOT(ISNUMBER($D190)),Config!$G$9&lt;&gt;"Sim"),"",$D190+Config!$F$9+IF(AND(Config!$F$9&gt;0,WEEKDAY($D190+Config!$F$9)=Config!$E$24),1,0))</f>
        <v/>
      </c>
      <c r="L190" s="24"/>
      <c r="M190" s="23" t="str">
        <f aca="false">IF(OR(NOT(ISNUMBER($D190)),Config!$G$10&lt;&gt;"Sim"),"",$D190+Config!$F$10+IF(AND(Config!$F$10&gt;0,WEEKDAY($D190+Config!$F$10)=Config!$E$24),1,0))</f>
        <v/>
      </c>
      <c r="N190" s="24"/>
      <c r="O190" s="23" t="str">
        <f aca="false">IF(OR(NOT(ISNUMBER($D190)),Config!$G$11&lt;&gt;"Sim"),"",$D190+Config!$F$11+IF(AND(Config!$F$11&gt;0,WEEKDAY($D190+Config!$F$11)=Config!$E$24),1,0))</f>
        <v/>
      </c>
      <c r="P190" s="24"/>
      <c r="Q190" s="25" t="str">
        <f aca="false">IF(COUNT(E190,G190,I190,K190,M190,O190)=0,"",((E190&lt;&gt;"")*(F190&lt;&gt;"")+(G190&lt;&gt;"")*(H190&lt;&gt;"")+(I190&lt;&gt;"")*(J190&lt;&gt;"")+(K190&lt;&gt;"")*(L190&lt;&gt;"")+(M190&lt;&gt;"")*(N190&lt;&gt;"")+(O190&lt;&gt;"")*(P190&lt;&gt;""))/COUNT(E190,G190,I190,K190,M190,O190))</f>
        <v/>
      </c>
      <c r="R190" s="26" t="str">
        <f aca="false">IF(T190="","",IF(T190=99999,"",T190))</f>
        <v/>
      </c>
      <c r="S190" s="27" t="str">
        <f aca="true">IF(T190="","",IF(T190=99999,"Concluído",IF(T190&lt;TODAY(),"Atrasado",IF(T190=TODAY(),"Hoje","Em dia"))))</f>
        <v/>
      </c>
      <c r="T190" s="28" t="str">
        <f aca="false">IF(COUNT(E190,G190,I190,K190,M190,O190)=0,"",MIN(IF(AND(E190&lt;&gt;"",F190=""),E190,99999),IF(AND(G190&lt;&gt;"",H190=""),G190,99999),IF(AND(I190&lt;&gt;"",J190=""),I190,99999),IF(AND(K190&lt;&gt;"",L190=""),K190,99999),IF(AND(M190&lt;&gt;"",N190=""),M190,99999),IF(AND(O190&lt;&gt;"",P190=""),O190,99999)))</f>
        <v/>
      </c>
    </row>
    <row r="191" customFormat="false" ht="15" hidden="false" customHeight="false" outlineLevel="0" collapsed="false">
      <c r="A191" s="20" t="n">
        <v>186</v>
      </c>
      <c r="B191" s="21"/>
      <c r="C191" s="21"/>
      <c r="D191" s="22"/>
      <c r="E191" s="23" t="str">
        <f aca="false">IF(OR(NOT(ISNUMBER($D191)),Config!$G$6&lt;&gt;"Sim"),"",$D191+Config!$F$6+IF(AND(Config!$F$6&gt;0,WEEKDAY($D191+Config!$F$6)=Config!$E$24),1,0))</f>
        <v/>
      </c>
      <c r="F191" s="24"/>
      <c r="G191" s="23" t="str">
        <f aca="false">IF(OR(NOT(ISNUMBER($D191)),Config!$G$7&lt;&gt;"Sim"),"",$D191+Config!$F$7+IF(AND(Config!$F$7&gt;0,WEEKDAY($D191+Config!$F$7)=Config!$E$24),1,0))</f>
        <v/>
      </c>
      <c r="H191" s="24"/>
      <c r="I191" s="23" t="str">
        <f aca="false">IF(OR(NOT(ISNUMBER($D191)),Config!$G$8&lt;&gt;"Sim"),"",$D191+Config!$F$8+IF(AND(Config!$F$8&gt;0,WEEKDAY($D191+Config!$F$8)=Config!$E$24),1,0))</f>
        <v/>
      </c>
      <c r="J191" s="24"/>
      <c r="K191" s="23" t="str">
        <f aca="false">IF(OR(NOT(ISNUMBER($D191)),Config!$G$9&lt;&gt;"Sim"),"",$D191+Config!$F$9+IF(AND(Config!$F$9&gt;0,WEEKDAY($D191+Config!$F$9)=Config!$E$24),1,0))</f>
        <v/>
      </c>
      <c r="L191" s="24"/>
      <c r="M191" s="23" t="str">
        <f aca="false">IF(OR(NOT(ISNUMBER($D191)),Config!$G$10&lt;&gt;"Sim"),"",$D191+Config!$F$10+IF(AND(Config!$F$10&gt;0,WEEKDAY($D191+Config!$F$10)=Config!$E$24),1,0))</f>
        <v/>
      </c>
      <c r="N191" s="24"/>
      <c r="O191" s="23" t="str">
        <f aca="false">IF(OR(NOT(ISNUMBER($D191)),Config!$G$11&lt;&gt;"Sim"),"",$D191+Config!$F$11+IF(AND(Config!$F$11&gt;0,WEEKDAY($D191+Config!$F$11)=Config!$E$24),1,0))</f>
        <v/>
      </c>
      <c r="P191" s="24"/>
      <c r="Q191" s="25" t="str">
        <f aca="false">IF(COUNT(E191,G191,I191,K191,M191,O191)=0,"",((E191&lt;&gt;"")*(F191&lt;&gt;"")+(G191&lt;&gt;"")*(H191&lt;&gt;"")+(I191&lt;&gt;"")*(J191&lt;&gt;"")+(K191&lt;&gt;"")*(L191&lt;&gt;"")+(M191&lt;&gt;"")*(N191&lt;&gt;"")+(O191&lt;&gt;"")*(P191&lt;&gt;""))/COUNT(E191,G191,I191,K191,M191,O191))</f>
        <v/>
      </c>
      <c r="R191" s="26" t="str">
        <f aca="false">IF(T191="","",IF(T191=99999,"",T191))</f>
        <v/>
      </c>
      <c r="S191" s="27" t="str">
        <f aca="true">IF(T191="","",IF(T191=99999,"Concluído",IF(T191&lt;TODAY(),"Atrasado",IF(T191=TODAY(),"Hoje","Em dia"))))</f>
        <v/>
      </c>
      <c r="T191" s="28" t="str">
        <f aca="false">IF(COUNT(E191,G191,I191,K191,M191,O191)=0,"",MIN(IF(AND(E191&lt;&gt;"",F191=""),E191,99999),IF(AND(G191&lt;&gt;"",H191=""),G191,99999),IF(AND(I191&lt;&gt;"",J191=""),I191,99999),IF(AND(K191&lt;&gt;"",L191=""),K191,99999),IF(AND(M191&lt;&gt;"",N191=""),M191,99999),IF(AND(O191&lt;&gt;"",P191=""),O191,99999)))</f>
        <v/>
      </c>
    </row>
    <row r="192" customFormat="false" ht="15" hidden="false" customHeight="false" outlineLevel="0" collapsed="false">
      <c r="A192" s="20" t="n">
        <v>187</v>
      </c>
      <c r="B192" s="21"/>
      <c r="C192" s="21"/>
      <c r="D192" s="22"/>
      <c r="E192" s="23" t="str">
        <f aca="false">IF(OR(NOT(ISNUMBER($D192)),Config!$G$6&lt;&gt;"Sim"),"",$D192+Config!$F$6+IF(AND(Config!$F$6&gt;0,WEEKDAY($D192+Config!$F$6)=Config!$E$24),1,0))</f>
        <v/>
      </c>
      <c r="F192" s="24"/>
      <c r="G192" s="23" t="str">
        <f aca="false">IF(OR(NOT(ISNUMBER($D192)),Config!$G$7&lt;&gt;"Sim"),"",$D192+Config!$F$7+IF(AND(Config!$F$7&gt;0,WEEKDAY($D192+Config!$F$7)=Config!$E$24),1,0))</f>
        <v/>
      </c>
      <c r="H192" s="24"/>
      <c r="I192" s="23" t="str">
        <f aca="false">IF(OR(NOT(ISNUMBER($D192)),Config!$G$8&lt;&gt;"Sim"),"",$D192+Config!$F$8+IF(AND(Config!$F$8&gt;0,WEEKDAY($D192+Config!$F$8)=Config!$E$24),1,0))</f>
        <v/>
      </c>
      <c r="J192" s="24"/>
      <c r="K192" s="23" t="str">
        <f aca="false">IF(OR(NOT(ISNUMBER($D192)),Config!$G$9&lt;&gt;"Sim"),"",$D192+Config!$F$9+IF(AND(Config!$F$9&gt;0,WEEKDAY($D192+Config!$F$9)=Config!$E$24),1,0))</f>
        <v/>
      </c>
      <c r="L192" s="24"/>
      <c r="M192" s="23" t="str">
        <f aca="false">IF(OR(NOT(ISNUMBER($D192)),Config!$G$10&lt;&gt;"Sim"),"",$D192+Config!$F$10+IF(AND(Config!$F$10&gt;0,WEEKDAY($D192+Config!$F$10)=Config!$E$24),1,0))</f>
        <v/>
      </c>
      <c r="N192" s="24"/>
      <c r="O192" s="23" t="str">
        <f aca="false">IF(OR(NOT(ISNUMBER($D192)),Config!$G$11&lt;&gt;"Sim"),"",$D192+Config!$F$11+IF(AND(Config!$F$11&gt;0,WEEKDAY($D192+Config!$F$11)=Config!$E$24),1,0))</f>
        <v/>
      </c>
      <c r="P192" s="24"/>
      <c r="Q192" s="25" t="str">
        <f aca="false">IF(COUNT(E192,G192,I192,K192,M192,O192)=0,"",((E192&lt;&gt;"")*(F192&lt;&gt;"")+(G192&lt;&gt;"")*(H192&lt;&gt;"")+(I192&lt;&gt;"")*(J192&lt;&gt;"")+(K192&lt;&gt;"")*(L192&lt;&gt;"")+(M192&lt;&gt;"")*(N192&lt;&gt;"")+(O192&lt;&gt;"")*(P192&lt;&gt;""))/COUNT(E192,G192,I192,K192,M192,O192))</f>
        <v/>
      </c>
      <c r="R192" s="26" t="str">
        <f aca="false">IF(T192="","",IF(T192=99999,"",T192))</f>
        <v/>
      </c>
      <c r="S192" s="27" t="str">
        <f aca="true">IF(T192="","",IF(T192=99999,"Concluído",IF(T192&lt;TODAY(),"Atrasado",IF(T192=TODAY(),"Hoje","Em dia"))))</f>
        <v/>
      </c>
      <c r="T192" s="28" t="str">
        <f aca="false">IF(COUNT(E192,G192,I192,K192,M192,O192)=0,"",MIN(IF(AND(E192&lt;&gt;"",F192=""),E192,99999),IF(AND(G192&lt;&gt;"",H192=""),G192,99999),IF(AND(I192&lt;&gt;"",J192=""),I192,99999),IF(AND(K192&lt;&gt;"",L192=""),K192,99999),IF(AND(M192&lt;&gt;"",N192=""),M192,99999),IF(AND(O192&lt;&gt;"",P192=""),O192,99999)))</f>
        <v/>
      </c>
    </row>
    <row r="193" customFormat="false" ht="15" hidden="false" customHeight="false" outlineLevel="0" collapsed="false">
      <c r="A193" s="20" t="n">
        <v>188</v>
      </c>
      <c r="B193" s="21"/>
      <c r="C193" s="21"/>
      <c r="D193" s="22"/>
      <c r="E193" s="23" t="str">
        <f aca="false">IF(OR(NOT(ISNUMBER($D193)),Config!$G$6&lt;&gt;"Sim"),"",$D193+Config!$F$6+IF(AND(Config!$F$6&gt;0,WEEKDAY($D193+Config!$F$6)=Config!$E$24),1,0))</f>
        <v/>
      </c>
      <c r="F193" s="24"/>
      <c r="G193" s="23" t="str">
        <f aca="false">IF(OR(NOT(ISNUMBER($D193)),Config!$G$7&lt;&gt;"Sim"),"",$D193+Config!$F$7+IF(AND(Config!$F$7&gt;0,WEEKDAY($D193+Config!$F$7)=Config!$E$24),1,0))</f>
        <v/>
      </c>
      <c r="H193" s="24"/>
      <c r="I193" s="23" t="str">
        <f aca="false">IF(OR(NOT(ISNUMBER($D193)),Config!$G$8&lt;&gt;"Sim"),"",$D193+Config!$F$8+IF(AND(Config!$F$8&gt;0,WEEKDAY($D193+Config!$F$8)=Config!$E$24),1,0))</f>
        <v/>
      </c>
      <c r="J193" s="24"/>
      <c r="K193" s="23" t="str">
        <f aca="false">IF(OR(NOT(ISNUMBER($D193)),Config!$G$9&lt;&gt;"Sim"),"",$D193+Config!$F$9+IF(AND(Config!$F$9&gt;0,WEEKDAY($D193+Config!$F$9)=Config!$E$24),1,0))</f>
        <v/>
      </c>
      <c r="L193" s="24"/>
      <c r="M193" s="23" t="str">
        <f aca="false">IF(OR(NOT(ISNUMBER($D193)),Config!$G$10&lt;&gt;"Sim"),"",$D193+Config!$F$10+IF(AND(Config!$F$10&gt;0,WEEKDAY($D193+Config!$F$10)=Config!$E$24),1,0))</f>
        <v/>
      </c>
      <c r="N193" s="24"/>
      <c r="O193" s="23" t="str">
        <f aca="false">IF(OR(NOT(ISNUMBER($D193)),Config!$G$11&lt;&gt;"Sim"),"",$D193+Config!$F$11+IF(AND(Config!$F$11&gt;0,WEEKDAY($D193+Config!$F$11)=Config!$E$24),1,0))</f>
        <v/>
      </c>
      <c r="P193" s="24"/>
      <c r="Q193" s="25" t="str">
        <f aca="false">IF(COUNT(E193,G193,I193,K193,M193,O193)=0,"",((E193&lt;&gt;"")*(F193&lt;&gt;"")+(G193&lt;&gt;"")*(H193&lt;&gt;"")+(I193&lt;&gt;"")*(J193&lt;&gt;"")+(K193&lt;&gt;"")*(L193&lt;&gt;"")+(M193&lt;&gt;"")*(N193&lt;&gt;"")+(O193&lt;&gt;"")*(P193&lt;&gt;""))/COUNT(E193,G193,I193,K193,M193,O193))</f>
        <v/>
      </c>
      <c r="R193" s="26" t="str">
        <f aca="false">IF(T193="","",IF(T193=99999,"",T193))</f>
        <v/>
      </c>
      <c r="S193" s="27" t="str">
        <f aca="true">IF(T193="","",IF(T193=99999,"Concluído",IF(T193&lt;TODAY(),"Atrasado",IF(T193=TODAY(),"Hoje","Em dia"))))</f>
        <v/>
      </c>
      <c r="T193" s="28" t="str">
        <f aca="false">IF(COUNT(E193,G193,I193,K193,M193,O193)=0,"",MIN(IF(AND(E193&lt;&gt;"",F193=""),E193,99999),IF(AND(G193&lt;&gt;"",H193=""),G193,99999),IF(AND(I193&lt;&gt;"",J193=""),I193,99999),IF(AND(K193&lt;&gt;"",L193=""),K193,99999),IF(AND(M193&lt;&gt;"",N193=""),M193,99999),IF(AND(O193&lt;&gt;"",P193=""),O193,99999)))</f>
        <v/>
      </c>
    </row>
    <row r="194" customFormat="false" ht="15" hidden="false" customHeight="false" outlineLevel="0" collapsed="false">
      <c r="A194" s="20" t="n">
        <v>189</v>
      </c>
      <c r="B194" s="21"/>
      <c r="C194" s="21"/>
      <c r="D194" s="22"/>
      <c r="E194" s="23" t="str">
        <f aca="false">IF(OR(NOT(ISNUMBER($D194)),Config!$G$6&lt;&gt;"Sim"),"",$D194+Config!$F$6+IF(AND(Config!$F$6&gt;0,WEEKDAY($D194+Config!$F$6)=Config!$E$24),1,0))</f>
        <v/>
      </c>
      <c r="F194" s="24"/>
      <c r="G194" s="23" t="str">
        <f aca="false">IF(OR(NOT(ISNUMBER($D194)),Config!$G$7&lt;&gt;"Sim"),"",$D194+Config!$F$7+IF(AND(Config!$F$7&gt;0,WEEKDAY($D194+Config!$F$7)=Config!$E$24),1,0))</f>
        <v/>
      </c>
      <c r="H194" s="24"/>
      <c r="I194" s="23" t="str">
        <f aca="false">IF(OR(NOT(ISNUMBER($D194)),Config!$G$8&lt;&gt;"Sim"),"",$D194+Config!$F$8+IF(AND(Config!$F$8&gt;0,WEEKDAY($D194+Config!$F$8)=Config!$E$24),1,0))</f>
        <v/>
      </c>
      <c r="J194" s="24"/>
      <c r="K194" s="23" t="str">
        <f aca="false">IF(OR(NOT(ISNUMBER($D194)),Config!$G$9&lt;&gt;"Sim"),"",$D194+Config!$F$9+IF(AND(Config!$F$9&gt;0,WEEKDAY($D194+Config!$F$9)=Config!$E$24),1,0))</f>
        <v/>
      </c>
      <c r="L194" s="24"/>
      <c r="M194" s="23" t="str">
        <f aca="false">IF(OR(NOT(ISNUMBER($D194)),Config!$G$10&lt;&gt;"Sim"),"",$D194+Config!$F$10+IF(AND(Config!$F$10&gt;0,WEEKDAY($D194+Config!$F$10)=Config!$E$24),1,0))</f>
        <v/>
      </c>
      <c r="N194" s="24"/>
      <c r="O194" s="23" t="str">
        <f aca="false">IF(OR(NOT(ISNUMBER($D194)),Config!$G$11&lt;&gt;"Sim"),"",$D194+Config!$F$11+IF(AND(Config!$F$11&gt;0,WEEKDAY($D194+Config!$F$11)=Config!$E$24),1,0))</f>
        <v/>
      </c>
      <c r="P194" s="24"/>
      <c r="Q194" s="25" t="str">
        <f aca="false">IF(COUNT(E194,G194,I194,K194,M194,O194)=0,"",((E194&lt;&gt;"")*(F194&lt;&gt;"")+(G194&lt;&gt;"")*(H194&lt;&gt;"")+(I194&lt;&gt;"")*(J194&lt;&gt;"")+(K194&lt;&gt;"")*(L194&lt;&gt;"")+(M194&lt;&gt;"")*(N194&lt;&gt;"")+(O194&lt;&gt;"")*(P194&lt;&gt;""))/COUNT(E194,G194,I194,K194,M194,O194))</f>
        <v/>
      </c>
      <c r="R194" s="26" t="str">
        <f aca="false">IF(T194="","",IF(T194=99999,"",T194))</f>
        <v/>
      </c>
      <c r="S194" s="27" t="str">
        <f aca="true">IF(T194="","",IF(T194=99999,"Concluído",IF(T194&lt;TODAY(),"Atrasado",IF(T194=TODAY(),"Hoje","Em dia"))))</f>
        <v/>
      </c>
      <c r="T194" s="28" t="str">
        <f aca="false">IF(COUNT(E194,G194,I194,K194,M194,O194)=0,"",MIN(IF(AND(E194&lt;&gt;"",F194=""),E194,99999),IF(AND(G194&lt;&gt;"",H194=""),G194,99999),IF(AND(I194&lt;&gt;"",J194=""),I194,99999),IF(AND(K194&lt;&gt;"",L194=""),K194,99999),IF(AND(M194&lt;&gt;"",N194=""),M194,99999),IF(AND(O194&lt;&gt;"",P194=""),O194,99999)))</f>
        <v/>
      </c>
    </row>
    <row r="195" customFormat="false" ht="15" hidden="false" customHeight="false" outlineLevel="0" collapsed="false">
      <c r="A195" s="20" t="n">
        <v>190</v>
      </c>
      <c r="B195" s="21"/>
      <c r="C195" s="21"/>
      <c r="D195" s="22"/>
      <c r="E195" s="23" t="str">
        <f aca="false">IF(OR(NOT(ISNUMBER($D195)),Config!$G$6&lt;&gt;"Sim"),"",$D195+Config!$F$6+IF(AND(Config!$F$6&gt;0,WEEKDAY($D195+Config!$F$6)=Config!$E$24),1,0))</f>
        <v/>
      </c>
      <c r="F195" s="24"/>
      <c r="G195" s="23" t="str">
        <f aca="false">IF(OR(NOT(ISNUMBER($D195)),Config!$G$7&lt;&gt;"Sim"),"",$D195+Config!$F$7+IF(AND(Config!$F$7&gt;0,WEEKDAY($D195+Config!$F$7)=Config!$E$24),1,0))</f>
        <v/>
      </c>
      <c r="H195" s="24"/>
      <c r="I195" s="23" t="str">
        <f aca="false">IF(OR(NOT(ISNUMBER($D195)),Config!$G$8&lt;&gt;"Sim"),"",$D195+Config!$F$8+IF(AND(Config!$F$8&gt;0,WEEKDAY($D195+Config!$F$8)=Config!$E$24),1,0))</f>
        <v/>
      </c>
      <c r="J195" s="24"/>
      <c r="K195" s="23" t="str">
        <f aca="false">IF(OR(NOT(ISNUMBER($D195)),Config!$G$9&lt;&gt;"Sim"),"",$D195+Config!$F$9+IF(AND(Config!$F$9&gt;0,WEEKDAY($D195+Config!$F$9)=Config!$E$24),1,0))</f>
        <v/>
      </c>
      <c r="L195" s="24"/>
      <c r="M195" s="23" t="str">
        <f aca="false">IF(OR(NOT(ISNUMBER($D195)),Config!$G$10&lt;&gt;"Sim"),"",$D195+Config!$F$10+IF(AND(Config!$F$10&gt;0,WEEKDAY($D195+Config!$F$10)=Config!$E$24),1,0))</f>
        <v/>
      </c>
      <c r="N195" s="24"/>
      <c r="O195" s="23" t="str">
        <f aca="false">IF(OR(NOT(ISNUMBER($D195)),Config!$G$11&lt;&gt;"Sim"),"",$D195+Config!$F$11+IF(AND(Config!$F$11&gt;0,WEEKDAY($D195+Config!$F$11)=Config!$E$24),1,0))</f>
        <v/>
      </c>
      <c r="P195" s="24"/>
      <c r="Q195" s="25" t="str">
        <f aca="false">IF(COUNT(E195,G195,I195,K195,M195,O195)=0,"",((E195&lt;&gt;"")*(F195&lt;&gt;"")+(G195&lt;&gt;"")*(H195&lt;&gt;"")+(I195&lt;&gt;"")*(J195&lt;&gt;"")+(K195&lt;&gt;"")*(L195&lt;&gt;"")+(M195&lt;&gt;"")*(N195&lt;&gt;"")+(O195&lt;&gt;"")*(P195&lt;&gt;""))/COUNT(E195,G195,I195,K195,M195,O195))</f>
        <v/>
      </c>
      <c r="R195" s="26" t="str">
        <f aca="false">IF(T195="","",IF(T195=99999,"",T195))</f>
        <v/>
      </c>
      <c r="S195" s="27" t="str">
        <f aca="true">IF(T195="","",IF(T195=99999,"Concluído",IF(T195&lt;TODAY(),"Atrasado",IF(T195=TODAY(),"Hoje","Em dia"))))</f>
        <v/>
      </c>
      <c r="T195" s="28" t="str">
        <f aca="false">IF(COUNT(E195,G195,I195,K195,M195,O195)=0,"",MIN(IF(AND(E195&lt;&gt;"",F195=""),E195,99999),IF(AND(G195&lt;&gt;"",H195=""),G195,99999),IF(AND(I195&lt;&gt;"",J195=""),I195,99999),IF(AND(K195&lt;&gt;"",L195=""),K195,99999),IF(AND(M195&lt;&gt;"",N195=""),M195,99999),IF(AND(O195&lt;&gt;"",P195=""),O195,99999)))</f>
        <v/>
      </c>
    </row>
    <row r="196" customFormat="false" ht="15" hidden="false" customHeight="false" outlineLevel="0" collapsed="false">
      <c r="A196" s="20" t="n">
        <v>191</v>
      </c>
      <c r="B196" s="21"/>
      <c r="C196" s="21"/>
      <c r="D196" s="22"/>
      <c r="E196" s="23" t="str">
        <f aca="false">IF(OR(NOT(ISNUMBER($D196)),Config!$G$6&lt;&gt;"Sim"),"",$D196+Config!$F$6+IF(AND(Config!$F$6&gt;0,WEEKDAY($D196+Config!$F$6)=Config!$E$24),1,0))</f>
        <v/>
      </c>
      <c r="F196" s="24"/>
      <c r="G196" s="23" t="str">
        <f aca="false">IF(OR(NOT(ISNUMBER($D196)),Config!$G$7&lt;&gt;"Sim"),"",$D196+Config!$F$7+IF(AND(Config!$F$7&gt;0,WEEKDAY($D196+Config!$F$7)=Config!$E$24),1,0))</f>
        <v/>
      </c>
      <c r="H196" s="24"/>
      <c r="I196" s="23" t="str">
        <f aca="false">IF(OR(NOT(ISNUMBER($D196)),Config!$G$8&lt;&gt;"Sim"),"",$D196+Config!$F$8+IF(AND(Config!$F$8&gt;0,WEEKDAY($D196+Config!$F$8)=Config!$E$24),1,0))</f>
        <v/>
      </c>
      <c r="J196" s="24"/>
      <c r="K196" s="23" t="str">
        <f aca="false">IF(OR(NOT(ISNUMBER($D196)),Config!$G$9&lt;&gt;"Sim"),"",$D196+Config!$F$9+IF(AND(Config!$F$9&gt;0,WEEKDAY($D196+Config!$F$9)=Config!$E$24),1,0))</f>
        <v/>
      </c>
      <c r="L196" s="24"/>
      <c r="M196" s="23" t="str">
        <f aca="false">IF(OR(NOT(ISNUMBER($D196)),Config!$G$10&lt;&gt;"Sim"),"",$D196+Config!$F$10+IF(AND(Config!$F$10&gt;0,WEEKDAY($D196+Config!$F$10)=Config!$E$24),1,0))</f>
        <v/>
      </c>
      <c r="N196" s="24"/>
      <c r="O196" s="23" t="str">
        <f aca="false">IF(OR(NOT(ISNUMBER($D196)),Config!$G$11&lt;&gt;"Sim"),"",$D196+Config!$F$11+IF(AND(Config!$F$11&gt;0,WEEKDAY($D196+Config!$F$11)=Config!$E$24),1,0))</f>
        <v/>
      </c>
      <c r="P196" s="24"/>
      <c r="Q196" s="25" t="str">
        <f aca="false">IF(COUNT(E196,G196,I196,K196,M196,O196)=0,"",((E196&lt;&gt;"")*(F196&lt;&gt;"")+(G196&lt;&gt;"")*(H196&lt;&gt;"")+(I196&lt;&gt;"")*(J196&lt;&gt;"")+(K196&lt;&gt;"")*(L196&lt;&gt;"")+(M196&lt;&gt;"")*(N196&lt;&gt;"")+(O196&lt;&gt;"")*(P196&lt;&gt;""))/COUNT(E196,G196,I196,K196,M196,O196))</f>
        <v/>
      </c>
      <c r="R196" s="26" t="str">
        <f aca="false">IF(T196="","",IF(T196=99999,"",T196))</f>
        <v/>
      </c>
      <c r="S196" s="27" t="str">
        <f aca="true">IF(T196="","",IF(T196=99999,"Concluído",IF(T196&lt;TODAY(),"Atrasado",IF(T196=TODAY(),"Hoje","Em dia"))))</f>
        <v/>
      </c>
      <c r="T196" s="28" t="str">
        <f aca="false">IF(COUNT(E196,G196,I196,K196,M196,O196)=0,"",MIN(IF(AND(E196&lt;&gt;"",F196=""),E196,99999),IF(AND(G196&lt;&gt;"",H196=""),G196,99999),IF(AND(I196&lt;&gt;"",J196=""),I196,99999),IF(AND(K196&lt;&gt;"",L196=""),K196,99999),IF(AND(M196&lt;&gt;"",N196=""),M196,99999),IF(AND(O196&lt;&gt;"",P196=""),O196,99999)))</f>
        <v/>
      </c>
    </row>
    <row r="197" customFormat="false" ht="15" hidden="false" customHeight="false" outlineLevel="0" collapsed="false">
      <c r="A197" s="20" t="n">
        <v>192</v>
      </c>
      <c r="B197" s="21"/>
      <c r="C197" s="21"/>
      <c r="D197" s="22"/>
      <c r="E197" s="23" t="str">
        <f aca="false">IF(OR(NOT(ISNUMBER($D197)),Config!$G$6&lt;&gt;"Sim"),"",$D197+Config!$F$6+IF(AND(Config!$F$6&gt;0,WEEKDAY($D197+Config!$F$6)=Config!$E$24),1,0))</f>
        <v/>
      </c>
      <c r="F197" s="24"/>
      <c r="G197" s="23" t="str">
        <f aca="false">IF(OR(NOT(ISNUMBER($D197)),Config!$G$7&lt;&gt;"Sim"),"",$D197+Config!$F$7+IF(AND(Config!$F$7&gt;0,WEEKDAY($D197+Config!$F$7)=Config!$E$24),1,0))</f>
        <v/>
      </c>
      <c r="H197" s="24"/>
      <c r="I197" s="23" t="str">
        <f aca="false">IF(OR(NOT(ISNUMBER($D197)),Config!$G$8&lt;&gt;"Sim"),"",$D197+Config!$F$8+IF(AND(Config!$F$8&gt;0,WEEKDAY($D197+Config!$F$8)=Config!$E$24),1,0))</f>
        <v/>
      </c>
      <c r="J197" s="24"/>
      <c r="K197" s="23" t="str">
        <f aca="false">IF(OR(NOT(ISNUMBER($D197)),Config!$G$9&lt;&gt;"Sim"),"",$D197+Config!$F$9+IF(AND(Config!$F$9&gt;0,WEEKDAY($D197+Config!$F$9)=Config!$E$24),1,0))</f>
        <v/>
      </c>
      <c r="L197" s="24"/>
      <c r="M197" s="23" t="str">
        <f aca="false">IF(OR(NOT(ISNUMBER($D197)),Config!$G$10&lt;&gt;"Sim"),"",$D197+Config!$F$10+IF(AND(Config!$F$10&gt;0,WEEKDAY($D197+Config!$F$10)=Config!$E$24),1,0))</f>
        <v/>
      </c>
      <c r="N197" s="24"/>
      <c r="O197" s="23" t="str">
        <f aca="false">IF(OR(NOT(ISNUMBER($D197)),Config!$G$11&lt;&gt;"Sim"),"",$D197+Config!$F$11+IF(AND(Config!$F$11&gt;0,WEEKDAY($D197+Config!$F$11)=Config!$E$24),1,0))</f>
        <v/>
      </c>
      <c r="P197" s="24"/>
      <c r="Q197" s="25" t="str">
        <f aca="false">IF(COUNT(E197,G197,I197,K197,M197,O197)=0,"",((E197&lt;&gt;"")*(F197&lt;&gt;"")+(G197&lt;&gt;"")*(H197&lt;&gt;"")+(I197&lt;&gt;"")*(J197&lt;&gt;"")+(K197&lt;&gt;"")*(L197&lt;&gt;"")+(M197&lt;&gt;"")*(N197&lt;&gt;"")+(O197&lt;&gt;"")*(P197&lt;&gt;""))/COUNT(E197,G197,I197,K197,M197,O197))</f>
        <v/>
      </c>
      <c r="R197" s="26" t="str">
        <f aca="false">IF(T197="","",IF(T197=99999,"",T197))</f>
        <v/>
      </c>
      <c r="S197" s="27" t="str">
        <f aca="true">IF(T197="","",IF(T197=99999,"Concluído",IF(T197&lt;TODAY(),"Atrasado",IF(T197=TODAY(),"Hoje","Em dia"))))</f>
        <v/>
      </c>
      <c r="T197" s="28" t="str">
        <f aca="false">IF(COUNT(E197,G197,I197,K197,M197,O197)=0,"",MIN(IF(AND(E197&lt;&gt;"",F197=""),E197,99999),IF(AND(G197&lt;&gt;"",H197=""),G197,99999),IF(AND(I197&lt;&gt;"",J197=""),I197,99999),IF(AND(K197&lt;&gt;"",L197=""),K197,99999),IF(AND(M197&lt;&gt;"",N197=""),M197,99999),IF(AND(O197&lt;&gt;"",P197=""),O197,99999)))</f>
        <v/>
      </c>
    </row>
    <row r="198" customFormat="false" ht="15" hidden="false" customHeight="false" outlineLevel="0" collapsed="false">
      <c r="A198" s="20" t="n">
        <v>193</v>
      </c>
      <c r="B198" s="21"/>
      <c r="C198" s="21"/>
      <c r="D198" s="22"/>
      <c r="E198" s="23" t="str">
        <f aca="false">IF(OR(NOT(ISNUMBER($D198)),Config!$G$6&lt;&gt;"Sim"),"",$D198+Config!$F$6+IF(AND(Config!$F$6&gt;0,WEEKDAY($D198+Config!$F$6)=Config!$E$24),1,0))</f>
        <v/>
      </c>
      <c r="F198" s="24"/>
      <c r="G198" s="23" t="str">
        <f aca="false">IF(OR(NOT(ISNUMBER($D198)),Config!$G$7&lt;&gt;"Sim"),"",$D198+Config!$F$7+IF(AND(Config!$F$7&gt;0,WEEKDAY($D198+Config!$F$7)=Config!$E$24),1,0))</f>
        <v/>
      </c>
      <c r="H198" s="24"/>
      <c r="I198" s="23" t="str">
        <f aca="false">IF(OR(NOT(ISNUMBER($D198)),Config!$G$8&lt;&gt;"Sim"),"",$D198+Config!$F$8+IF(AND(Config!$F$8&gt;0,WEEKDAY($D198+Config!$F$8)=Config!$E$24),1,0))</f>
        <v/>
      </c>
      <c r="J198" s="24"/>
      <c r="K198" s="23" t="str">
        <f aca="false">IF(OR(NOT(ISNUMBER($D198)),Config!$G$9&lt;&gt;"Sim"),"",$D198+Config!$F$9+IF(AND(Config!$F$9&gt;0,WEEKDAY($D198+Config!$F$9)=Config!$E$24),1,0))</f>
        <v/>
      </c>
      <c r="L198" s="24"/>
      <c r="M198" s="23" t="str">
        <f aca="false">IF(OR(NOT(ISNUMBER($D198)),Config!$G$10&lt;&gt;"Sim"),"",$D198+Config!$F$10+IF(AND(Config!$F$10&gt;0,WEEKDAY($D198+Config!$F$10)=Config!$E$24),1,0))</f>
        <v/>
      </c>
      <c r="N198" s="24"/>
      <c r="O198" s="23" t="str">
        <f aca="false">IF(OR(NOT(ISNUMBER($D198)),Config!$G$11&lt;&gt;"Sim"),"",$D198+Config!$F$11+IF(AND(Config!$F$11&gt;0,WEEKDAY($D198+Config!$F$11)=Config!$E$24),1,0))</f>
        <v/>
      </c>
      <c r="P198" s="24"/>
      <c r="Q198" s="25" t="str">
        <f aca="false">IF(COUNT(E198,G198,I198,K198,M198,O198)=0,"",((E198&lt;&gt;"")*(F198&lt;&gt;"")+(G198&lt;&gt;"")*(H198&lt;&gt;"")+(I198&lt;&gt;"")*(J198&lt;&gt;"")+(K198&lt;&gt;"")*(L198&lt;&gt;"")+(M198&lt;&gt;"")*(N198&lt;&gt;"")+(O198&lt;&gt;"")*(P198&lt;&gt;""))/COUNT(E198,G198,I198,K198,M198,O198))</f>
        <v/>
      </c>
      <c r="R198" s="26" t="str">
        <f aca="false">IF(T198="","",IF(T198=99999,"",T198))</f>
        <v/>
      </c>
      <c r="S198" s="27" t="str">
        <f aca="true">IF(T198="","",IF(T198=99999,"Concluído",IF(T198&lt;TODAY(),"Atrasado",IF(T198=TODAY(),"Hoje","Em dia"))))</f>
        <v/>
      </c>
      <c r="T198" s="28" t="str">
        <f aca="false">IF(COUNT(E198,G198,I198,K198,M198,O198)=0,"",MIN(IF(AND(E198&lt;&gt;"",F198=""),E198,99999),IF(AND(G198&lt;&gt;"",H198=""),G198,99999),IF(AND(I198&lt;&gt;"",J198=""),I198,99999),IF(AND(K198&lt;&gt;"",L198=""),K198,99999),IF(AND(M198&lt;&gt;"",N198=""),M198,99999),IF(AND(O198&lt;&gt;"",P198=""),O198,99999)))</f>
        <v/>
      </c>
    </row>
    <row r="199" customFormat="false" ht="15" hidden="false" customHeight="false" outlineLevel="0" collapsed="false">
      <c r="A199" s="20" t="n">
        <v>194</v>
      </c>
      <c r="B199" s="21"/>
      <c r="C199" s="21"/>
      <c r="D199" s="22"/>
      <c r="E199" s="23" t="str">
        <f aca="false">IF(OR(NOT(ISNUMBER($D199)),Config!$G$6&lt;&gt;"Sim"),"",$D199+Config!$F$6+IF(AND(Config!$F$6&gt;0,WEEKDAY($D199+Config!$F$6)=Config!$E$24),1,0))</f>
        <v/>
      </c>
      <c r="F199" s="24"/>
      <c r="G199" s="23" t="str">
        <f aca="false">IF(OR(NOT(ISNUMBER($D199)),Config!$G$7&lt;&gt;"Sim"),"",$D199+Config!$F$7+IF(AND(Config!$F$7&gt;0,WEEKDAY($D199+Config!$F$7)=Config!$E$24),1,0))</f>
        <v/>
      </c>
      <c r="H199" s="24"/>
      <c r="I199" s="23" t="str">
        <f aca="false">IF(OR(NOT(ISNUMBER($D199)),Config!$G$8&lt;&gt;"Sim"),"",$D199+Config!$F$8+IF(AND(Config!$F$8&gt;0,WEEKDAY($D199+Config!$F$8)=Config!$E$24),1,0))</f>
        <v/>
      </c>
      <c r="J199" s="24"/>
      <c r="K199" s="23" t="str">
        <f aca="false">IF(OR(NOT(ISNUMBER($D199)),Config!$G$9&lt;&gt;"Sim"),"",$D199+Config!$F$9+IF(AND(Config!$F$9&gt;0,WEEKDAY($D199+Config!$F$9)=Config!$E$24),1,0))</f>
        <v/>
      </c>
      <c r="L199" s="24"/>
      <c r="M199" s="23" t="str">
        <f aca="false">IF(OR(NOT(ISNUMBER($D199)),Config!$G$10&lt;&gt;"Sim"),"",$D199+Config!$F$10+IF(AND(Config!$F$10&gt;0,WEEKDAY($D199+Config!$F$10)=Config!$E$24),1,0))</f>
        <v/>
      </c>
      <c r="N199" s="24"/>
      <c r="O199" s="23" t="str">
        <f aca="false">IF(OR(NOT(ISNUMBER($D199)),Config!$G$11&lt;&gt;"Sim"),"",$D199+Config!$F$11+IF(AND(Config!$F$11&gt;0,WEEKDAY($D199+Config!$F$11)=Config!$E$24),1,0))</f>
        <v/>
      </c>
      <c r="P199" s="24"/>
      <c r="Q199" s="25" t="str">
        <f aca="false">IF(COUNT(E199,G199,I199,K199,M199,O199)=0,"",((E199&lt;&gt;"")*(F199&lt;&gt;"")+(G199&lt;&gt;"")*(H199&lt;&gt;"")+(I199&lt;&gt;"")*(J199&lt;&gt;"")+(K199&lt;&gt;"")*(L199&lt;&gt;"")+(M199&lt;&gt;"")*(N199&lt;&gt;"")+(O199&lt;&gt;"")*(P199&lt;&gt;""))/COUNT(E199,G199,I199,K199,M199,O199))</f>
        <v/>
      </c>
      <c r="R199" s="26" t="str">
        <f aca="false">IF(T199="","",IF(T199=99999,"",T199))</f>
        <v/>
      </c>
      <c r="S199" s="27" t="str">
        <f aca="true">IF(T199="","",IF(T199=99999,"Concluído",IF(T199&lt;TODAY(),"Atrasado",IF(T199=TODAY(),"Hoje","Em dia"))))</f>
        <v/>
      </c>
      <c r="T199" s="28" t="str">
        <f aca="false">IF(COUNT(E199,G199,I199,K199,M199,O199)=0,"",MIN(IF(AND(E199&lt;&gt;"",F199=""),E199,99999),IF(AND(G199&lt;&gt;"",H199=""),G199,99999),IF(AND(I199&lt;&gt;"",J199=""),I199,99999),IF(AND(K199&lt;&gt;"",L199=""),K199,99999),IF(AND(M199&lt;&gt;"",N199=""),M199,99999),IF(AND(O199&lt;&gt;"",P199=""),O199,99999)))</f>
        <v/>
      </c>
    </row>
    <row r="200" customFormat="false" ht="15" hidden="false" customHeight="false" outlineLevel="0" collapsed="false">
      <c r="A200" s="20" t="n">
        <v>195</v>
      </c>
      <c r="B200" s="21"/>
      <c r="C200" s="21"/>
      <c r="D200" s="22"/>
      <c r="E200" s="23" t="str">
        <f aca="false">IF(OR(NOT(ISNUMBER($D200)),Config!$G$6&lt;&gt;"Sim"),"",$D200+Config!$F$6+IF(AND(Config!$F$6&gt;0,WEEKDAY($D200+Config!$F$6)=Config!$E$24),1,0))</f>
        <v/>
      </c>
      <c r="F200" s="24"/>
      <c r="G200" s="23" t="str">
        <f aca="false">IF(OR(NOT(ISNUMBER($D200)),Config!$G$7&lt;&gt;"Sim"),"",$D200+Config!$F$7+IF(AND(Config!$F$7&gt;0,WEEKDAY($D200+Config!$F$7)=Config!$E$24),1,0))</f>
        <v/>
      </c>
      <c r="H200" s="24"/>
      <c r="I200" s="23" t="str">
        <f aca="false">IF(OR(NOT(ISNUMBER($D200)),Config!$G$8&lt;&gt;"Sim"),"",$D200+Config!$F$8+IF(AND(Config!$F$8&gt;0,WEEKDAY($D200+Config!$F$8)=Config!$E$24),1,0))</f>
        <v/>
      </c>
      <c r="J200" s="24"/>
      <c r="K200" s="23" t="str">
        <f aca="false">IF(OR(NOT(ISNUMBER($D200)),Config!$G$9&lt;&gt;"Sim"),"",$D200+Config!$F$9+IF(AND(Config!$F$9&gt;0,WEEKDAY($D200+Config!$F$9)=Config!$E$24),1,0))</f>
        <v/>
      </c>
      <c r="L200" s="24"/>
      <c r="M200" s="23" t="str">
        <f aca="false">IF(OR(NOT(ISNUMBER($D200)),Config!$G$10&lt;&gt;"Sim"),"",$D200+Config!$F$10+IF(AND(Config!$F$10&gt;0,WEEKDAY($D200+Config!$F$10)=Config!$E$24),1,0))</f>
        <v/>
      </c>
      <c r="N200" s="24"/>
      <c r="O200" s="23" t="str">
        <f aca="false">IF(OR(NOT(ISNUMBER($D200)),Config!$G$11&lt;&gt;"Sim"),"",$D200+Config!$F$11+IF(AND(Config!$F$11&gt;0,WEEKDAY($D200+Config!$F$11)=Config!$E$24),1,0))</f>
        <v/>
      </c>
      <c r="P200" s="24"/>
      <c r="Q200" s="25" t="str">
        <f aca="false">IF(COUNT(E200,G200,I200,K200,M200,O200)=0,"",((E200&lt;&gt;"")*(F200&lt;&gt;"")+(G200&lt;&gt;"")*(H200&lt;&gt;"")+(I200&lt;&gt;"")*(J200&lt;&gt;"")+(K200&lt;&gt;"")*(L200&lt;&gt;"")+(M200&lt;&gt;"")*(N200&lt;&gt;"")+(O200&lt;&gt;"")*(P200&lt;&gt;""))/COUNT(E200,G200,I200,K200,M200,O200))</f>
        <v/>
      </c>
      <c r="R200" s="26" t="str">
        <f aca="false">IF(T200="","",IF(T200=99999,"",T200))</f>
        <v/>
      </c>
      <c r="S200" s="27" t="str">
        <f aca="true">IF(T200="","",IF(T200=99999,"Concluído",IF(T200&lt;TODAY(),"Atrasado",IF(T200=TODAY(),"Hoje","Em dia"))))</f>
        <v/>
      </c>
      <c r="T200" s="28" t="str">
        <f aca="false">IF(COUNT(E200,G200,I200,K200,M200,O200)=0,"",MIN(IF(AND(E200&lt;&gt;"",F200=""),E200,99999),IF(AND(G200&lt;&gt;"",H200=""),G200,99999),IF(AND(I200&lt;&gt;"",J200=""),I200,99999),IF(AND(K200&lt;&gt;"",L200=""),K200,99999),IF(AND(M200&lt;&gt;"",N200=""),M200,99999),IF(AND(O200&lt;&gt;"",P200=""),O200,99999)))</f>
        <v/>
      </c>
    </row>
    <row r="201" customFormat="false" ht="15" hidden="false" customHeight="false" outlineLevel="0" collapsed="false">
      <c r="A201" s="20" t="n">
        <v>196</v>
      </c>
      <c r="B201" s="21"/>
      <c r="C201" s="21"/>
      <c r="D201" s="22"/>
      <c r="E201" s="23" t="str">
        <f aca="false">IF(OR(NOT(ISNUMBER($D201)),Config!$G$6&lt;&gt;"Sim"),"",$D201+Config!$F$6+IF(AND(Config!$F$6&gt;0,WEEKDAY($D201+Config!$F$6)=Config!$E$24),1,0))</f>
        <v/>
      </c>
      <c r="F201" s="24"/>
      <c r="G201" s="23" t="str">
        <f aca="false">IF(OR(NOT(ISNUMBER($D201)),Config!$G$7&lt;&gt;"Sim"),"",$D201+Config!$F$7+IF(AND(Config!$F$7&gt;0,WEEKDAY($D201+Config!$F$7)=Config!$E$24),1,0))</f>
        <v/>
      </c>
      <c r="H201" s="24"/>
      <c r="I201" s="23" t="str">
        <f aca="false">IF(OR(NOT(ISNUMBER($D201)),Config!$G$8&lt;&gt;"Sim"),"",$D201+Config!$F$8+IF(AND(Config!$F$8&gt;0,WEEKDAY($D201+Config!$F$8)=Config!$E$24),1,0))</f>
        <v/>
      </c>
      <c r="J201" s="24"/>
      <c r="K201" s="23" t="str">
        <f aca="false">IF(OR(NOT(ISNUMBER($D201)),Config!$G$9&lt;&gt;"Sim"),"",$D201+Config!$F$9+IF(AND(Config!$F$9&gt;0,WEEKDAY($D201+Config!$F$9)=Config!$E$24),1,0))</f>
        <v/>
      </c>
      <c r="L201" s="24"/>
      <c r="M201" s="23" t="str">
        <f aca="false">IF(OR(NOT(ISNUMBER($D201)),Config!$G$10&lt;&gt;"Sim"),"",$D201+Config!$F$10+IF(AND(Config!$F$10&gt;0,WEEKDAY($D201+Config!$F$10)=Config!$E$24),1,0))</f>
        <v/>
      </c>
      <c r="N201" s="24"/>
      <c r="O201" s="23" t="str">
        <f aca="false">IF(OR(NOT(ISNUMBER($D201)),Config!$G$11&lt;&gt;"Sim"),"",$D201+Config!$F$11+IF(AND(Config!$F$11&gt;0,WEEKDAY($D201+Config!$F$11)=Config!$E$24),1,0))</f>
        <v/>
      </c>
      <c r="P201" s="24"/>
      <c r="Q201" s="25" t="str">
        <f aca="false">IF(COUNT(E201,G201,I201,K201,M201,O201)=0,"",((E201&lt;&gt;"")*(F201&lt;&gt;"")+(G201&lt;&gt;"")*(H201&lt;&gt;"")+(I201&lt;&gt;"")*(J201&lt;&gt;"")+(K201&lt;&gt;"")*(L201&lt;&gt;"")+(M201&lt;&gt;"")*(N201&lt;&gt;"")+(O201&lt;&gt;"")*(P201&lt;&gt;""))/COUNT(E201,G201,I201,K201,M201,O201))</f>
        <v/>
      </c>
      <c r="R201" s="26" t="str">
        <f aca="false">IF(T201="","",IF(T201=99999,"",T201))</f>
        <v/>
      </c>
      <c r="S201" s="27" t="str">
        <f aca="true">IF(T201="","",IF(T201=99999,"Concluído",IF(T201&lt;TODAY(),"Atrasado",IF(T201=TODAY(),"Hoje","Em dia"))))</f>
        <v/>
      </c>
      <c r="T201" s="28" t="str">
        <f aca="false">IF(COUNT(E201,G201,I201,K201,M201,O201)=0,"",MIN(IF(AND(E201&lt;&gt;"",F201=""),E201,99999),IF(AND(G201&lt;&gt;"",H201=""),G201,99999),IF(AND(I201&lt;&gt;"",J201=""),I201,99999),IF(AND(K201&lt;&gt;"",L201=""),K201,99999),IF(AND(M201&lt;&gt;"",N201=""),M201,99999),IF(AND(O201&lt;&gt;"",P201=""),O201,99999)))</f>
        <v/>
      </c>
    </row>
    <row r="202" customFormat="false" ht="15" hidden="false" customHeight="false" outlineLevel="0" collapsed="false">
      <c r="A202" s="20" t="n">
        <v>197</v>
      </c>
      <c r="B202" s="21"/>
      <c r="C202" s="21"/>
      <c r="D202" s="22"/>
      <c r="E202" s="23" t="str">
        <f aca="false">IF(OR(NOT(ISNUMBER($D202)),Config!$G$6&lt;&gt;"Sim"),"",$D202+Config!$F$6+IF(AND(Config!$F$6&gt;0,WEEKDAY($D202+Config!$F$6)=Config!$E$24),1,0))</f>
        <v/>
      </c>
      <c r="F202" s="24"/>
      <c r="G202" s="23" t="str">
        <f aca="false">IF(OR(NOT(ISNUMBER($D202)),Config!$G$7&lt;&gt;"Sim"),"",$D202+Config!$F$7+IF(AND(Config!$F$7&gt;0,WEEKDAY($D202+Config!$F$7)=Config!$E$24),1,0))</f>
        <v/>
      </c>
      <c r="H202" s="24"/>
      <c r="I202" s="23" t="str">
        <f aca="false">IF(OR(NOT(ISNUMBER($D202)),Config!$G$8&lt;&gt;"Sim"),"",$D202+Config!$F$8+IF(AND(Config!$F$8&gt;0,WEEKDAY($D202+Config!$F$8)=Config!$E$24),1,0))</f>
        <v/>
      </c>
      <c r="J202" s="24"/>
      <c r="K202" s="23" t="str">
        <f aca="false">IF(OR(NOT(ISNUMBER($D202)),Config!$G$9&lt;&gt;"Sim"),"",$D202+Config!$F$9+IF(AND(Config!$F$9&gt;0,WEEKDAY($D202+Config!$F$9)=Config!$E$24),1,0))</f>
        <v/>
      </c>
      <c r="L202" s="24"/>
      <c r="M202" s="23" t="str">
        <f aca="false">IF(OR(NOT(ISNUMBER($D202)),Config!$G$10&lt;&gt;"Sim"),"",$D202+Config!$F$10+IF(AND(Config!$F$10&gt;0,WEEKDAY($D202+Config!$F$10)=Config!$E$24),1,0))</f>
        <v/>
      </c>
      <c r="N202" s="24"/>
      <c r="O202" s="23" t="str">
        <f aca="false">IF(OR(NOT(ISNUMBER($D202)),Config!$G$11&lt;&gt;"Sim"),"",$D202+Config!$F$11+IF(AND(Config!$F$11&gt;0,WEEKDAY($D202+Config!$F$11)=Config!$E$24),1,0))</f>
        <v/>
      </c>
      <c r="P202" s="24"/>
      <c r="Q202" s="25" t="str">
        <f aca="false">IF(COUNT(E202,G202,I202,K202,M202,O202)=0,"",((E202&lt;&gt;"")*(F202&lt;&gt;"")+(G202&lt;&gt;"")*(H202&lt;&gt;"")+(I202&lt;&gt;"")*(J202&lt;&gt;"")+(K202&lt;&gt;"")*(L202&lt;&gt;"")+(M202&lt;&gt;"")*(N202&lt;&gt;"")+(O202&lt;&gt;"")*(P202&lt;&gt;""))/COUNT(E202,G202,I202,K202,M202,O202))</f>
        <v/>
      </c>
      <c r="R202" s="26" t="str">
        <f aca="false">IF(T202="","",IF(T202=99999,"",T202))</f>
        <v/>
      </c>
      <c r="S202" s="27" t="str">
        <f aca="true">IF(T202="","",IF(T202=99999,"Concluído",IF(T202&lt;TODAY(),"Atrasado",IF(T202=TODAY(),"Hoje","Em dia"))))</f>
        <v/>
      </c>
      <c r="T202" s="28" t="str">
        <f aca="false">IF(COUNT(E202,G202,I202,K202,M202,O202)=0,"",MIN(IF(AND(E202&lt;&gt;"",F202=""),E202,99999),IF(AND(G202&lt;&gt;"",H202=""),G202,99999),IF(AND(I202&lt;&gt;"",J202=""),I202,99999),IF(AND(K202&lt;&gt;"",L202=""),K202,99999),IF(AND(M202&lt;&gt;"",N202=""),M202,99999),IF(AND(O202&lt;&gt;"",P202=""),O202,99999)))</f>
        <v/>
      </c>
    </row>
    <row r="203" customFormat="false" ht="15" hidden="false" customHeight="false" outlineLevel="0" collapsed="false">
      <c r="A203" s="20" t="n">
        <v>198</v>
      </c>
      <c r="B203" s="21"/>
      <c r="C203" s="21"/>
      <c r="D203" s="22"/>
      <c r="E203" s="23" t="str">
        <f aca="false">IF(OR(NOT(ISNUMBER($D203)),Config!$G$6&lt;&gt;"Sim"),"",$D203+Config!$F$6+IF(AND(Config!$F$6&gt;0,WEEKDAY($D203+Config!$F$6)=Config!$E$24),1,0))</f>
        <v/>
      </c>
      <c r="F203" s="24"/>
      <c r="G203" s="23" t="str">
        <f aca="false">IF(OR(NOT(ISNUMBER($D203)),Config!$G$7&lt;&gt;"Sim"),"",$D203+Config!$F$7+IF(AND(Config!$F$7&gt;0,WEEKDAY($D203+Config!$F$7)=Config!$E$24),1,0))</f>
        <v/>
      </c>
      <c r="H203" s="24"/>
      <c r="I203" s="23" t="str">
        <f aca="false">IF(OR(NOT(ISNUMBER($D203)),Config!$G$8&lt;&gt;"Sim"),"",$D203+Config!$F$8+IF(AND(Config!$F$8&gt;0,WEEKDAY($D203+Config!$F$8)=Config!$E$24),1,0))</f>
        <v/>
      </c>
      <c r="J203" s="24"/>
      <c r="K203" s="23" t="str">
        <f aca="false">IF(OR(NOT(ISNUMBER($D203)),Config!$G$9&lt;&gt;"Sim"),"",$D203+Config!$F$9+IF(AND(Config!$F$9&gt;0,WEEKDAY($D203+Config!$F$9)=Config!$E$24),1,0))</f>
        <v/>
      </c>
      <c r="L203" s="24"/>
      <c r="M203" s="23" t="str">
        <f aca="false">IF(OR(NOT(ISNUMBER($D203)),Config!$G$10&lt;&gt;"Sim"),"",$D203+Config!$F$10+IF(AND(Config!$F$10&gt;0,WEEKDAY($D203+Config!$F$10)=Config!$E$24),1,0))</f>
        <v/>
      </c>
      <c r="N203" s="24"/>
      <c r="O203" s="23" t="str">
        <f aca="false">IF(OR(NOT(ISNUMBER($D203)),Config!$G$11&lt;&gt;"Sim"),"",$D203+Config!$F$11+IF(AND(Config!$F$11&gt;0,WEEKDAY($D203+Config!$F$11)=Config!$E$24),1,0))</f>
        <v/>
      </c>
      <c r="P203" s="24"/>
      <c r="Q203" s="25" t="str">
        <f aca="false">IF(COUNT(E203,G203,I203,K203,M203,O203)=0,"",((E203&lt;&gt;"")*(F203&lt;&gt;"")+(G203&lt;&gt;"")*(H203&lt;&gt;"")+(I203&lt;&gt;"")*(J203&lt;&gt;"")+(K203&lt;&gt;"")*(L203&lt;&gt;"")+(M203&lt;&gt;"")*(N203&lt;&gt;"")+(O203&lt;&gt;"")*(P203&lt;&gt;""))/COUNT(E203,G203,I203,K203,M203,O203))</f>
        <v/>
      </c>
      <c r="R203" s="26" t="str">
        <f aca="false">IF(T203="","",IF(T203=99999,"",T203))</f>
        <v/>
      </c>
      <c r="S203" s="27" t="str">
        <f aca="true">IF(T203="","",IF(T203=99999,"Concluído",IF(T203&lt;TODAY(),"Atrasado",IF(T203=TODAY(),"Hoje","Em dia"))))</f>
        <v/>
      </c>
      <c r="T203" s="28" t="str">
        <f aca="false">IF(COUNT(E203,G203,I203,K203,M203,O203)=0,"",MIN(IF(AND(E203&lt;&gt;"",F203=""),E203,99999),IF(AND(G203&lt;&gt;"",H203=""),G203,99999),IF(AND(I203&lt;&gt;"",J203=""),I203,99999),IF(AND(K203&lt;&gt;"",L203=""),K203,99999),IF(AND(M203&lt;&gt;"",N203=""),M203,99999),IF(AND(O203&lt;&gt;"",P203=""),O203,99999)))</f>
        <v/>
      </c>
    </row>
    <row r="204" customFormat="false" ht="15" hidden="false" customHeight="false" outlineLevel="0" collapsed="false">
      <c r="A204" s="20" t="n">
        <v>199</v>
      </c>
      <c r="B204" s="21"/>
      <c r="C204" s="21"/>
      <c r="D204" s="22"/>
      <c r="E204" s="23" t="str">
        <f aca="false">IF(OR(NOT(ISNUMBER($D204)),Config!$G$6&lt;&gt;"Sim"),"",$D204+Config!$F$6+IF(AND(Config!$F$6&gt;0,WEEKDAY($D204+Config!$F$6)=Config!$E$24),1,0))</f>
        <v/>
      </c>
      <c r="F204" s="24"/>
      <c r="G204" s="23" t="str">
        <f aca="false">IF(OR(NOT(ISNUMBER($D204)),Config!$G$7&lt;&gt;"Sim"),"",$D204+Config!$F$7+IF(AND(Config!$F$7&gt;0,WEEKDAY($D204+Config!$F$7)=Config!$E$24),1,0))</f>
        <v/>
      </c>
      <c r="H204" s="24"/>
      <c r="I204" s="23" t="str">
        <f aca="false">IF(OR(NOT(ISNUMBER($D204)),Config!$G$8&lt;&gt;"Sim"),"",$D204+Config!$F$8+IF(AND(Config!$F$8&gt;0,WEEKDAY($D204+Config!$F$8)=Config!$E$24),1,0))</f>
        <v/>
      </c>
      <c r="J204" s="24"/>
      <c r="K204" s="23" t="str">
        <f aca="false">IF(OR(NOT(ISNUMBER($D204)),Config!$G$9&lt;&gt;"Sim"),"",$D204+Config!$F$9+IF(AND(Config!$F$9&gt;0,WEEKDAY($D204+Config!$F$9)=Config!$E$24),1,0))</f>
        <v/>
      </c>
      <c r="L204" s="24"/>
      <c r="M204" s="23" t="str">
        <f aca="false">IF(OR(NOT(ISNUMBER($D204)),Config!$G$10&lt;&gt;"Sim"),"",$D204+Config!$F$10+IF(AND(Config!$F$10&gt;0,WEEKDAY($D204+Config!$F$10)=Config!$E$24),1,0))</f>
        <v/>
      </c>
      <c r="N204" s="24"/>
      <c r="O204" s="23" t="str">
        <f aca="false">IF(OR(NOT(ISNUMBER($D204)),Config!$G$11&lt;&gt;"Sim"),"",$D204+Config!$F$11+IF(AND(Config!$F$11&gt;0,WEEKDAY($D204+Config!$F$11)=Config!$E$24),1,0))</f>
        <v/>
      </c>
      <c r="P204" s="24"/>
      <c r="Q204" s="25" t="str">
        <f aca="false">IF(COUNT(E204,G204,I204,K204,M204,O204)=0,"",((E204&lt;&gt;"")*(F204&lt;&gt;"")+(G204&lt;&gt;"")*(H204&lt;&gt;"")+(I204&lt;&gt;"")*(J204&lt;&gt;"")+(K204&lt;&gt;"")*(L204&lt;&gt;"")+(M204&lt;&gt;"")*(N204&lt;&gt;"")+(O204&lt;&gt;"")*(P204&lt;&gt;""))/COUNT(E204,G204,I204,K204,M204,O204))</f>
        <v/>
      </c>
      <c r="R204" s="26" t="str">
        <f aca="false">IF(T204="","",IF(T204=99999,"",T204))</f>
        <v/>
      </c>
      <c r="S204" s="27" t="str">
        <f aca="true">IF(T204="","",IF(T204=99999,"Concluído",IF(T204&lt;TODAY(),"Atrasado",IF(T204=TODAY(),"Hoje","Em dia"))))</f>
        <v/>
      </c>
      <c r="T204" s="28" t="str">
        <f aca="false">IF(COUNT(E204,G204,I204,K204,M204,O204)=0,"",MIN(IF(AND(E204&lt;&gt;"",F204=""),E204,99999),IF(AND(G204&lt;&gt;"",H204=""),G204,99999),IF(AND(I204&lt;&gt;"",J204=""),I204,99999),IF(AND(K204&lt;&gt;"",L204=""),K204,99999),IF(AND(M204&lt;&gt;"",N204=""),M204,99999),IF(AND(O204&lt;&gt;"",P204=""),O204,99999)))</f>
        <v/>
      </c>
    </row>
    <row r="205" customFormat="false" ht="15" hidden="false" customHeight="false" outlineLevel="0" collapsed="false">
      <c r="A205" s="20" t="n">
        <v>200</v>
      </c>
      <c r="B205" s="21"/>
      <c r="C205" s="21"/>
      <c r="D205" s="22"/>
      <c r="E205" s="23" t="str">
        <f aca="false">IF(OR(NOT(ISNUMBER($D205)),Config!$G$6&lt;&gt;"Sim"),"",$D205+Config!$F$6+IF(AND(Config!$F$6&gt;0,WEEKDAY($D205+Config!$F$6)=Config!$E$24),1,0))</f>
        <v/>
      </c>
      <c r="F205" s="24"/>
      <c r="G205" s="23" t="str">
        <f aca="false">IF(OR(NOT(ISNUMBER($D205)),Config!$G$7&lt;&gt;"Sim"),"",$D205+Config!$F$7+IF(AND(Config!$F$7&gt;0,WEEKDAY($D205+Config!$F$7)=Config!$E$24),1,0))</f>
        <v/>
      </c>
      <c r="H205" s="24"/>
      <c r="I205" s="23" t="str">
        <f aca="false">IF(OR(NOT(ISNUMBER($D205)),Config!$G$8&lt;&gt;"Sim"),"",$D205+Config!$F$8+IF(AND(Config!$F$8&gt;0,WEEKDAY($D205+Config!$F$8)=Config!$E$24),1,0))</f>
        <v/>
      </c>
      <c r="J205" s="24"/>
      <c r="K205" s="23" t="str">
        <f aca="false">IF(OR(NOT(ISNUMBER($D205)),Config!$G$9&lt;&gt;"Sim"),"",$D205+Config!$F$9+IF(AND(Config!$F$9&gt;0,WEEKDAY($D205+Config!$F$9)=Config!$E$24),1,0))</f>
        <v/>
      </c>
      <c r="L205" s="24"/>
      <c r="M205" s="23" t="str">
        <f aca="false">IF(OR(NOT(ISNUMBER($D205)),Config!$G$10&lt;&gt;"Sim"),"",$D205+Config!$F$10+IF(AND(Config!$F$10&gt;0,WEEKDAY($D205+Config!$F$10)=Config!$E$24),1,0))</f>
        <v/>
      </c>
      <c r="N205" s="24"/>
      <c r="O205" s="23" t="str">
        <f aca="false">IF(OR(NOT(ISNUMBER($D205)),Config!$G$11&lt;&gt;"Sim"),"",$D205+Config!$F$11+IF(AND(Config!$F$11&gt;0,WEEKDAY($D205+Config!$F$11)=Config!$E$24),1,0))</f>
        <v/>
      </c>
      <c r="P205" s="24"/>
      <c r="Q205" s="25" t="str">
        <f aca="false">IF(COUNT(E205,G205,I205,K205,M205,O205)=0,"",((E205&lt;&gt;"")*(F205&lt;&gt;"")+(G205&lt;&gt;"")*(H205&lt;&gt;"")+(I205&lt;&gt;"")*(J205&lt;&gt;"")+(K205&lt;&gt;"")*(L205&lt;&gt;"")+(M205&lt;&gt;"")*(N205&lt;&gt;"")+(O205&lt;&gt;"")*(P205&lt;&gt;""))/COUNT(E205,G205,I205,K205,M205,O205))</f>
        <v/>
      </c>
      <c r="R205" s="26" t="str">
        <f aca="false">IF(T205="","",IF(T205=99999,"",T205))</f>
        <v/>
      </c>
      <c r="S205" s="27" t="str">
        <f aca="true">IF(T205="","",IF(T205=99999,"Concluído",IF(T205&lt;TODAY(),"Atrasado",IF(T205=TODAY(),"Hoje","Em dia"))))</f>
        <v/>
      </c>
      <c r="T205" s="28" t="str">
        <f aca="false">IF(COUNT(E205,G205,I205,K205,M205,O205)=0,"",MIN(IF(AND(E205&lt;&gt;"",F205=""),E205,99999),IF(AND(G205&lt;&gt;"",H205=""),G205,99999),IF(AND(I205&lt;&gt;"",J205=""),I205,99999),IF(AND(K205&lt;&gt;"",L205=""),K205,99999),IF(AND(M205&lt;&gt;"",N205=""),M205,99999),IF(AND(O205&lt;&gt;"",P205=""),O205,99999)))</f>
        <v/>
      </c>
    </row>
    <row r="206" customFormat="false" ht="15" hidden="false" customHeight="false" outlineLevel="0" collapsed="false">
      <c r="A206" s="20" t="n">
        <v>201</v>
      </c>
      <c r="B206" s="21"/>
      <c r="C206" s="21"/>
      <c r="D206" s="22"/>
      <c r="E206" s="23" t="str">
        <f aca="false">IF(OR(NOT(ISNUMBER($D206)),Config!$G$6&lt;&gt;"Sim"),"",$D206+Config!$F$6+IF(AND(Config!$F$6&gt;0,WEEKDAY($D206+Config!$F$6)=Config!$E$24),1,0))</f>
        <v/>
      </c>
      <c r="F206" s="24"/>
      <c r="G206" s="23" t="str">
        <f aca="false">IF(OR(NOT(ISNUMBER($D206)),Config!$G$7&lt;&gt;"Sim"),"",$D206+Config!$F$7+IF(AND(Config!$F$7&gt;0,WEEKDAY($D206+Config!$F$7)=Config!$E$24),1,0))</f>
        <v/>
      </c>
      <c r="H206" s="24"/>
      <c r="I206" s="23" t="str">
        <f aca="false">IF(OR(NOT(ISNUMBER($D206)),Config!$G$8&lt;&gt;"Sim"),"",$D206+Config!$F$8+IF(AND(Config!$F$8&gt;0,WEEKDAY($D206+Config!$F$8)=Config!$E$24),1,0))</f>
        <v/>
      </c>
      <c r="J206" s="24"/>
      <c r="K206" s="23" t="str">
        <f aca="false">IF(OR(NOT(ISNUMBER($D206)),Config!$G$9&lt;&gt;"Sim"),"",$D206+Config!$F$9+IF(AND(Config!$F$9&gt;0,WEEKDAY($D206+Config!$F$9)=Config!$E$24),1,0))</f>
        <v/>
      </c>
      <c r="L206" s="24"/>
      <c r="M206" s="23" t="str">
        <f aca="false">IF(OR(NOT(ISNUMBER($D206)),Config!$G$10&lt;&gt;"Sim"),"",$D206+Config!$F$10+IF(AND(Config!$F$10&gt;0,WEEKDAY($D206+Config!$F$10)=Config!$E$24),1,0))</f>
        <v/>
      </c>
      <c r="N206" s="24"/>
      <c r="O206" s="23" t="str">
        <f aca="false">IF(OR(NOT(ISNUMBER($D206)),Config!$G$11&lt;&gt;"Sim"),"",$D206+Config!$F$11+IF(AND(Config!$F$11&gt;0,WEEKDAY($D206+Config!$F$11)=Config!$E$24),1,0))</f>
        <v/>
      </c>
      <c r="P206" s="24"/>
      <c r="Q206" s="25" t="str">
        <f aca="false">IF(COUNT(E206,G206,I206,K206,M206,O206)=0,"",((E206&lt;&gt;"")*(F206&lt;&gt;"")+(G206&lt;&gt;"")*(H206&lt;&gt;"")+(I206&lt;&gt;"")*(J206&lt;&gt;"")+(K206&lt;&gt;"")*(L206&lt;&gt;"")+(M206&lt;&gt;"")*(N206&lt;&gt;"")+(O206&lt;&gt;"")*(P206&lt;&gt;""))/COUNT(E206,G206,I206,K206,M206,O206))</f>
        <v/>
      </c>
      <c r="R206" s="26" t="str">
        <f aca="false">IF(T206="","",IF(T206=99999,"",T206))</f>
        <v/>
      </c>
      <c r="S206" s="27" t="str">
        <f aca="true">IF(T206="","",IF(T206=99999,"Concluído",IF(T206&lt;TODAY(),"Atrasado",IF(T206=TODAY(),"Hoje","Em dia"))))</f>
        <v/>
      </c>
      <c r="T206" s="28" t="str">
        <f aca="false">IF(COUNT(E206,G206,I206,K206,M206,O206)=0,"",MIN(IF(AND(E206&lt;&gt;"",F206=""),E206,99999),IF(AND(G206&lt;&gt;"",H206=""),G206,99999),IF(AND(I206&lt;&gt;"",J206=""),I206,99999),IF(AND(K206&lt;&gt;"",L206=""),K206,99999),IF(AND(M206&lt;&gt;"",N206=""),M206,99999),IF(AND(O206&lt;&gt;"",P206=""),O206,99999)))</f>
        <v/>
      </c>
    </row>
    <row r="207" customFormat="false" ht="15" hidden="false" customHeight="false" outlineLevel="0" collapsed="false">
      <c r="A207" s="20" t="n">
        <v>202</v>
      </c>
      <c r="B207" s="21"/>
      <c r="C207" s="21"/>
      <c r="D207" s="22"/>
      <c r="E207" s="23" t="str">
        <f aca="false">IF(OR(NOT(ISNUMBER($D207)),Config!$G$6&lt;&gt;"Sim"),"",$D207+Config!$F$6+IF(AND(Config!$F$6&gt;0,WEEKDAY($D207+Config!$F$6)=Config!$E$24),1,0))</f>
        <v/>
      </c>
      <c r="F207" s="24"/>
      <c r="G207" s="23" t="str">
        <f aca="false">IF(OR(NOT(ISNUMBER($D207)),Config!$G$7&lt;&gt;"Sim"),"",$D207+Config!$F$7+IF(AND(Config!$F$7&gt;0,WEEKDAY($D207+Config!$F$7)=Config!$E$24),1,0))</f>
        <v/>
      </c>
      <c r="H207" s="24"/>
      <c r="I207" s="23" t="str">
        <f aca="false">IF(OR(NOT(ISNUMBER($D207)),Config!$G$8&lt;&gt;"Sim"),"",$D207+Config!$F$8+IF(AND(Config!$F$8&gt;0,WEEKDAY($D207+Config!$F$8)=Config!$E$24),1,0))</f>
        <v/>
      </c>
      <c r="J207" s="24"/>
      <c r="K207" s="23" t="str">
        <f aca="false">IF(OR(NOT(ISNUMBER($D207)),Config!$G$9&lt;&gt;"Sim"),"",$D207+Config!$F$9+IF(AND(Config!$F$9&gt;0,WEEKDAY($D207+Config!$F$9)=Config!$E$24),1,0))</f>
        <v/>
      </c>
      <c r="L207" s="24"/>
      <c r="M207" s="23" t="str">
        <f aca="false">IF(OR(NOT(ISNUMBER($D207)),Config!$G$10&lt;&gt;"Sim"),"",$D207+Config!$F$10+IF(AND(Config!$F$10&gt;0,WEEKDAY($D207+Config!$F$10)=Config!$E$24),1,0))</f>
        <v/>
      </c>
      <c r="N207" s="24"/>
      <c r="O207" s="23" t="str">
        <f aca="false">IF(OR(NOT(ISNUMBER($D207)),Config!$G$11&lt;&gt;"Sim"),"",$D207+Config!$F$11+IF(AND(Config!$F$11&gt;0,WEEKDAY($D207+Config!$F$11)=Config!$E$24),1,0))</f>
        <v/>
      </c>
      <c r="P207" s="24"/>
      <c r="Q207" s="25" t="str">
        <f aca="false">IF(COUNT(E207,G207,I207,K207,M207,O207)=0,"",((E207&lt;&gt;"")*(F207&lt;&gt;"")+(G207&lt;&gt;"")*(H207&lt;&gt;"")+(I207&lt;&gt;"")*(J207&lt;&gt;"")+(K207&lt;&gt;"")*(L207&lt;&gt;"")+(M207&lt;&gt;"")*(N207&lt;&gt;"")+(O207&lt;&gt;"")*(P207&lt;&gt;""))/COUNT(E207,G207,I207,K207,M207,O207))</f>
        <v/>
      </c>
      <c r="R207" s="26" t="str">
        <f aca="false">IF(T207="","",IF(T207=99999,"",T207))</f>
        <v/>
      </c>
      <c r="S207" s="27" t="str">
        <f aca="true">IF(T207="","",IF(T207=99999,"Concluído",IF(T207&lt;TODAY(),"Atrasado",IF(T207=TODAY(),"Hoje","Em dia"))))</f>
        <v/>
      </c>
      <c r="T207" s="28" t="str">
        <f aca="false">IF(COUNT(E207,G207,I207,K207,M207,O207)=0,"",MIN(IF(AND(E207&lt;&gt;"",F207=""),E207,99999),IF(AND(G207&lt;&gt;"",H207=""),G207,99999),IF(AND(I207&lt;&gt;"",J207=""),I207,99999),IF(AND(K207&lt;&gt;"",L207=""),K207,99999),IF(AND(M207&lt;&gt;"",N207=""),M207,99999),IF(AND(O207&lt;&gt;"",P207=""),O207,99999)))</f>
        <v/>
      </c>
    </row>
    <row r="208" customFormat="false" ht="15" hidden="false" customHeight="false" outlineLevel="0" collapsed="false">
      <c r="A208" s="20" t="n">
        <v>203</v>
      </c>
      <c r="B208" s="21"/>
      <c r="C208" s="21"/>
      <c r="D208" s="22"/>
      <c r="E208" s="23" t="str">
        <f aca="false">IF(OR(NOT(ISNUMBER($D208)),Config!$G$6&lt;&gt;"Sim"),"",$D208+Config!$F$6+IF(AND(Config!$F$6&gt;0,WEEKDAY($D208+Config!$F$6)=Config!$E$24),1,0))</f>
        <v/>
      </c>
      <c r="F208" s="24"/>
      <c r="G208" s="23" t="str">
        <f aca="false">IF(OR(NOT(ISNUMBER($D208)),Config!$G$7&lt;&gt;"Sim"),"",$D208+Config!$F$7+IF(AND(Config!$F$7&gt;0,WEEKDAY($D208+Config!$F$7)=Config!$E$24),1,0))</f>
        <v/>
      </c>
      <c r="H208" s="24"/>
      <c r="I208" s="23" t="str">
        <f aca="false">IF(OR(NOT(ISNUMBER($D208)),Config!$G$8&lt;&gt;"Sim"),"",$D208+Config!$F$8+IF(AND(Config!$F$8&gt;0,WEEKDAY($D208+Config!$F$8)=Config!$E$24),1,0))</f>
        <v/>
      </c>
      <c r="J208" s="24"/>
      <c r="K208" s="23" t="str">
        <f aca="false">IF(OR(NOT(ISNUMBER($D208)),Config!$G$9&lt;&gt;"Sim"),"",$D208+Config!$F$9+IF(AND(Config!$F$9&gt;0,WEEKDAY($D208+Config!$F$9)=Config!$E$24),1,0))</f>
        <v/>
      </c>
      <c r="L208" s="24"/>
      <c r="M208" s="23" t="str">
        <f aca="false">IF(OR(NOT(ISNUMBER($D208)),Config!$G$10&lt;&gt;"Sim"),"",$D208+Config!$F$10+IF(AND(Config!$F$10&gt;0,WEEKDAY($D208+Config!$F$10)=Config!$E$24),1,0))</f>
        <v/>
      </c>
      <c r="N208" s="24"/>
      <c r="O208" s="23" t="str">
        <f aca="false">IF(OR(NOT(ISNUMBER($D208)),Config!$G$11&lt;&gt;"Sim"),"",$D208+Config!$F$11+IF(AND(Config!$F$11&gt;0,WEEKDAY($D208+Config!$F$11)=Config!$E$24),1,0))</f>
        <v/>
      </c>
      <c r="P208" s="24"/>
      <c r="Q208" s="25" t="str">
        <f aca="false">IF(COUNT(E208,G208,I208,K208,M208,O208)=0,"",((E208&lt;&gt;"")*(F208&lt;&gt;"")+(G208&lt;&gt;"")*(H208&lt;&gt;"")+(I208&lt;&gt;"")*(J208&lt;&gt;"")+(K208&lt;&gt;"")*(L208&lt;&gt;"")+(M208&lt;&gt;"")*(N208&lt;&gt;"")+(O208&lt;&gt;"")*(P208&lt;&gt;""))/COUNT(E208,G208,I208,K208,M208,O208))</f>
        <v/>
      </c>
      <c r="R208" s="26" t="str">
        <f aca="false">IF(T208="","",IF(T208=99999,"",T208))</f>
        <v/>
      </c>
      <c r="S208" s="27" t="str">
        <f aca="true">IF(T208="","",IF(T208=99999,"Concluído",IF(T208&lt;TODAY(),"Atrasado",IF(T208=TODAY(),"Hoje","Em dia"))))</f>
        <v/>
      </c>
      <c r="T208" s="28" t="str">
        <f aca="false">IF(COUNT(E208,G208,I208,K208,M208,O208)=0,"",MIN(IF(AND(E208&lt;&gt;"",F208=""),E208,99999),IF(AND(G208&lt;&gt;"",H208=""),G208,99999),IF(AND(I208&lt;&gt;"",J208=""),I208,99999),IF(AND(K208&lt;&gt;"",L208=""),K208,99999),IF(AND(M208&lt;&gt;"",N208=""),M208,99999),IF(AND(O208&lt;&gt;"",P208=""),O208,99999)))</f>
        <v/>
      </c>
    </row>
    <row r="209" customFormat="false" ht="15" hidden="false" customHeight="false" outlineLevel="0" collapsed="false">
      <c r="A209" s="20" t="n">
        <v>204</v>
      </c>
      <c r="B209" s="21"/>
      <c r="C209" s="21"/>
      <c r="D209" s="22"/>
      <c r="E209" s="23" t="str">
        <f aca="false">IF(OR(NOT(ISNUMBER($D209)),Config!$G$6&lt;&gt;"Sim"),"",$D209+Config!$F$6+IF(AND(Config!$F$6&gt;0,WEEKDAY($D209+Config!$F$6)=Config!$E$24),1,0))</f>
        <v/>
      </c>
      <c r="F209" s="24"/>
      <c r="G209" s="23" t="str">
        <f aca="false">IF(OR(NOT(ISNUMBER($D209)),Config!$G$7&lt;&gt;"Sim"),"",$D209+Config!$F$7+IF(AND(Config!$F$7&gt;0,WEEKDAY($D209+Config!$F$7)=Config!$E$24),1,0))</f>
        <v/>
      </c>
      <c r="H209" s="24"/>
      <c r="I209" s="23" t="str">
        <f aca="false">IF(OR(NOT(ISNUMBER($D209)),Config!$G$8&lt;&gt;"Sim"),"",$D209+Config!$F$8+IF(AND(Config!$F$8&gt;0,WEEKDAY($D209+Config!$F$8)=Config!$E$24),1,0))</f>
        <v/>
      </c>
      <c r="J209" s="24"/>
      <c r="K209" s="23" t="str">
        <f aca="false">IF(OR(NOT(ISNUMBER($D209)),Config!$G$9&lt;&gt;"Sim"),"",$D209+Config!$F$9+IF(AND(Config!$F$9&gt;0,WEEKDAY($D209+Config!$F$9)=Config!$E$24),1,0))</f>
        <v/>
      </c>
      <c r="L209" s="24"/>
      <c r="M209" s="23" t="str">
        <f aca="false">IF(OR(NOT(ISNUMBER($D209)),Config!$G$10&lt;&gt;"Sim"),"",$D209+Config!$F$10+IF(AND(Config!$F$10&gt;0,WEEKDAY($D209+Config!$F$10)=Config!$E$24),1,0))</f>
        <v/>
      </c>
      <c r="N209" s="24"/>
      <c r="O209" s="23" t="str">
        <f aca="false">IF(OR(NOT(ISNUMBER($D209)),Config!$G$11&lt;&gt;"Sim"),"",$D209+Config!$F$11+IF(AND(Config!$F$11&gt;0,WEEKDAY($D209+Config!$F$11)=Config!$E$24),1,0))</f>
        <v/>
      </c>
      <c r="P209" s="24"/>
      <c r="Q209" s="25" t="str">
        <f aca="false">IF(COUNT(E209,G209,I209,K209,M209,O209)=0,"",((E209&lt;&gt;"")*(F209&lt;&gt;"")+(G209&lt;&gt;"")*(H209&lt;&gt;"")+(I209&lt;&gt;"")*(J209&lt;&gt;"")+(K209&lt;&gt;"")*(L209&lt;&gt;"")+(M209&lt;&gt;"")*(N209&lt;&gt;"")+(O209&lt;&gt;"")*(P209&lt;&gt;""))/COUNT(E209,G209,I209,K209,M209,O209))</f>
        <v/>
      </c>
      <c r="R209" s="26" t="str">
        <f aca="false">IF(T209="","",IF(T209=99999,"",T209))</f>
        <v/>
      </c>
      <c r="S209" s="27" t="str">
        <f aca="true">IF(T209="","",IF(T209=99999,"Concluído",IF(T209&lt;TODAY(),"Atrasado",IF(T209=TODAY(),"Hoje","Em dia"))))</f>
        <v/>
      </c>
      <c r="T209" s="28" t="str">
        <f aca="false">IF(COUNT(E209,G209,I209,K209,M209,O209)=0,"",MIN(IF(AND(E209&lt;&gt;"",F209=""),E209,99999),IF(AND(G209&lt;&gt;"",H209=""),G209,99999),IF(AND(I209&lt;&gt;"",J209=""),I209,99999),IF(AND(K209&lt;&gt;"",L209=""),K209,99999),IF(AND(M209&lt;&gt;"",N209=""),M209,99999),IF(AND(O209&lt;&gt;"",P209=""),O209,99999)))</f>
        <v/>
      </c>
    </row>
    <row r="210" customFormat="false" ht="15" hidden="false" customHeight="false" outlineLevel="0" collapsed="false">
      <c r="A210" s="20" t="n">
        <v>205</v>
      </c>
      <c r="B210" s="21"/>
      <c r="C210" s="21"/>
      <c r="D210" s="22"/>
      <c r="E210" s="23" t="str">
        <f aca="false">IF(OR(NOT(ISNUMBER($D210)),Config!$G$6&lt;&gt;"Sim"),"",$D210+Config!$F$6+IF(AND(Config!$F$6&gt;0,WEEKDAY($D210+Config!$F$6)=Config!$E$24),1,0))</f>
        <v/>
      </c>
      <c r="F210" s="24"/>
      <c r="G210" s="23" t="str">
        <f aca="false">IF(OR(NOT(ISNUMBER($D210)),Config!$G$7&lt;&gt;"Sim"),"",$D210+Config!$F$7+IF(AND(Config!$F$7&gt;0,WEEKDAY($D210+Config!$F$7)=Config!$E$24),1,0))</f>
        <v/>
      </c>
      <c r="H210" s="24"/>
      <c r="I210" s="23" t="str">
        <f aca="false">IF(OR(NOT(ISNUMBER($D210)),Config!$G$8&lt;&gt;"Sim"),"",$D210+Config!$F$8+IF(AND(Config!$F$8&gt;0,WEEKDAY($D210+Config!$F$8)=Config!$E$24),1,0))</f>
        <v/>
      </c>
      <c r="J210" s="24"/>
      <c r="K210" s="23" t="str">
        <f aca="false">IF(OR(NOT(ISNUMBER($D210)),Config!$G$9&lt;&gt;"Sim"),"",$D210+Config!$F$9+IF(AND(Config!$F$9&gt;0,WEEKDAY($D210+Config!$F$9)=Config!$E$24),1,0))</f>
        <v/>
      </c>
      <c r="L210" s="24"/>
      <c r="M210" s="23" t="str">
        <f aca="false">IF(OR(NOT(ISNUMBER($D210)),Config!$G$10&lt;&gt;"Sim"),"",$D210+Config!$F$10+IF(AND(Config!$F$10&gt;0,WEEKDAY($D210+Config!$F$10)=Config!$E$24),1,0))</f>
        <v/>
      </c>
      <c r="N210" s="24"/>
      <c r="O210" s="23" t="str">
        <f aca="false">IF(OR(NOT(ISNUMBER($D210)),Config!$G$11&lt;&gt;"Sim"),"",$D210+Config!$F$11+IF(AND(Config!$F$11&gt;0,WEEKDAY($D210+Config!$F$11)=Config!$E$24),1,0))</f>
        <v/>
      </c>
      <c r="P210" s="24"/>
      <c r="Q210" s="25" t="str">
        <f aca="false">IF(COUNT(E210,G210,I210,K210,M210,O210)=0,"",((E210&lt;&gt;"")*(F210&lt;&gt;"")+(G210&lt;&gt;"")*(H210&lt;&gt;"")+(I210&lt;&gt;"")*(J210&lt;&gt;"")+(K210&lt;&gt;"")*(L210&lt;&gt;"")+(M210&lt;&gt;"")*(N210&lt;&gt;"")+(O210&lt;&gt;"")*(P210&lt;&gt;""))/COUNT(E210,G210,I210,K210,M210,O210))</f>
        <v/>
      </c>
      <c r="R210" s="26" t="str">
        <f aca="false">IF(T210="","",IF(T210=99999,"",T210))</f>
        <v/>
      </c>
      <c r="S210" s="27" t="str">
        <f aca="true">IF(T210="","",IF(T210=99999,"Concluído",IF(T210&lt;TODAY(),"Atrasado",IF(T210=TODAY(),"Hoje","Em dia"))))</f>
        <v/>
      </c>
      <c r="T210" s="28" t="str">
        <f aca="false">IF(COUNT(E210,G210,I210,K210,M210,O210)=0,"",MIN(IF(AND(E210&lt;&gt;"",F210=""),E210,99999),IF(AND(G210&lt;&gt;"",H210=""),G210,99999),IF(AND(I210&lt;&gt;"",J210=""),I210,99999),IF(AND(K210&lt;&gt;"",L210=""),K210,99999),IF(AND(M210&lt;&gt;"",N210=""),M210,99999),IF(AND(O210&lt;&gt;"",P210=""),O210,99999)))</f>
        <v/>
      </c>
    </row>
    <row r="211" customFormat="false" ht="15" hidden="false" customHeight="false" outlineLevel="0" collapsed="false">
      <c r="A211" s="20" t="n">
        <v>206</v>
      </c>
      <c r="B211" s="21"/>
      <c r="C211" s="21"/>
      <c r="D211" s="22"/>
      <c r="E211" s="23" t="str">
        <f aca="false">IF(OR(NOT(ISNUMBER($D211)),Config!$G$6&lt;&gt;"Sim"),"",$D211+Config!$F$6+IF(AND(Config!$F$6&gt;0,WEEKDAY($D211+Config!$F$6)=Config!$E$24),1,0))</f>
        <v/>
      </c>
      <c r="F211" s="24"/>
      <c r="G211" s="23" t="str">
        <f aca="false">IF(OR(NOT(ISNUMBER($D211)),Config!$G$7&lt;&gt;"Sim"),"",$D211+Config!$F$7+IF(AND(Config!$F$7&gt;0,WEEKDAY($D211+Config!$F$7)=Config!$E$24),1,0))</f>
        <v/>
      </c>
      <c r="H211" s="24"/>
      <c r="I211" s="23" t="str">
        <f aca="false">IF(OR(NOT(ISNUMBER($D211)),Config!$G$8&lt;&gt;"Sim"),"",$D211+Config!$F$8+IF(AND(Config!$F$8&gt;0,WEEKDAY($D211+Config!$F$8)=Config!$E$24),1,0))</f>
        <v/>
      </c>
      <c r="J211" s="24"/>
      <c r="K211" s="23" t="str">
        <f aca="false">IF(OR(NOT(ISNUMBER($D211)),Config!$G$9&lt;&gt;"Sim"),"",$D211+Config!$F$9+IF(AND(Config!$F$9&gt;0,WEEKDAY($D211+Config!$F$9)=Config!$E$24),1,0))</f>
        <v/>
      </c>
      <c r="L211" s="24"/>
      <c r="M211" s="23" t="str">
        <f aca="false">IF(OR(NOT(ISNUMBER($D211)),Config!$G$10&lt;&gt;"Sim"),"",$D211+Config!$F$10+IF(AND(Config!$F$10&gt;0,WEEKDAY($D211+Config!$F$10)=Config!$E$24),1,0))</f>
        <v/>
      </c>
      <c r="N211" s="24"/>
      <c r="O211" s="23" t="str">
        <f aca="false">IF(OR(NOT(ISNUMBER($D211)),Config!$G$11&lt;&gt;"Sim"),"",$D211+Config!$F$11+IF(AND(Config!$F$11&gt;0,WEEKDAY($D211+Config!$F$11)=Config!$E$24),1,0))</f>
        <v/>
      </c>
      <c r="P211" s="24"/>
      <c r="Q211" s="25" t="str">
        <f aca="false">IF(COUNT(E211,G211,I211,K211,M211,O211)=0,"",((E211&lt;&gt;"")*(F211&lt;&gt;"")+(G211&lt;&gt;"")*(H211&lt;&gt;"")+(I211&lt;&gt;"")*(J211&lt;&gt;"")+(K211&lt;&gt;"")*(L211&lt;&gt;"")+(M211&lt;&gt;"")*(N211&lt;&gt;"")+(O211&lt;&gt;"")*(P211&lt;&gt;""))/COUNT(E211,G211,I211,K211,M211,O211))</f>
        <v/>
      </c>
      <c r="R211" s="26" t="str">
        <f aca="false">IF(T211="","",IF(T211=99999,"",T211))</f>
        <v/>
      </c>
      <c r="S211" s="27" t="str">
        <f aca="true">IF(T211="","",IF(T211=99999,"Concluído",IF(T211&lt;TODAY(),"Atrasado",IF(T211=TODAY(),"Hoje","Em dia"))))</f>
        <v/>
      </c>
      <c r="T211" s="28" t="str">
        <f aca="false">IF(COUNT(E211,G211,I211,K211,M211,O211)=0,"",MIN(IF(AND(E211&lt;&gt;"",F211=""),E211,99999),IF(AND(G211&lt;&gt;"",H211=""),G211,99999),IF(AND(I211&lt;&gt;"",J211=""),I211,99999),IF(AND(K211&lt;&gt;"",L211=""),K211,99999),IF(AND(M211&lt;&gt;"",N211=""),M211,99999),IF(AND(O211&lt;&gt;"",P211=""),O211,99999)))</f>
        <v/>
      </c>
    </row>
    <row r="212" customFormat="false" ht="15" hidden="false" customHeight="false" outlineLevel="0" collapsed="false">
      <c r="A212" s="20" t="n">
        <v>207</v>
      </c>
      <c r="B212" s="21"/>
      <c r="C212" s="21"/>
      <c r="D212" s="22"/>
      <c r="E212" s="23" t="str">
        <f aca="false">IF(OR(NOT(ISNUMBER($D212)),Config!$G$6&lt;&gt;"Sim"),"",$D212+Config!$F$6+IF(AND(Config!$F$6&gt;0,WEEKDAY($D212+Config!$F$6)=Config!$E$24),1,0))</f>
        <v/>
      </c>
      <c r="F212" s="24"/>
      <c r="G212" s="23" t="str">
        <f aca="false">IF(OR(NOT(ISNUMBER($D212)),Config!$G$7&lt;&gt;"Sim"),"",$D212+Config!$F$7+IF(AND(Config!$F$7&gt;0,WEEKDAY($D212+Config!$F$7)=Config!$E$24),1,0))</f>
        <v/>
      </c>
      <c r="H212" s="24"/>
      <c r="I212" s="23" t="str">
        <f aca="false">IF(OR(NOT(ISNUMBER($D212)),Config!$G$8&lt;&gt;"Sim"),"",$D212+Config!$F$8+IF(AND(Config!$F$8&gt;0,WEEKDAY($D212+Config!$F$8)=Config!$E$24),1,0))</f>
        <v/>
      </c>
      <c r="J212" s="24"/>
      <c r="K212" s="23" t="str">
        <f aca="false">IF(OR(NOT(ISNUMBER($D212)),Config!$G$9&lt;&gt;"Sim"),"",$D212+Config!$F$9+IF(AND(Config!$F$9&gt;0,WEEKDAY($D212+Config!$F$9)=Config!$E$24),1,0))</f>
        <v/>
      </c>
      <c r="L212" s="24"/>
      <c r="M212" s="23" t="str">
        <f aca="false">IF(OR(NOT(ISNUMBER($D212)),Config!$G$10&lt;&gt;"Sim"),"",$D212+Config!$F$10+IF(AND(Config!$F$10&gt;0,WEEKDAY($D212+Config!$F$10)=Config!$E$24),1,0))</f>
        <v/>
      </c>
      <c r="N212" s="24"/>
      <c r="O212" s="23" t="str">
        <f aca="false">IF(OR(NOT(ISNUMBER($D212)),Config!$G$11&lt;&gt;"Sim"),"",$D212+Config!$F$11+IF(AND(Config!$F$11&gt;0,WEEKDAY($D212+Config!$F$11)=Config!$E$24),1,0))</f>
        <v/>
      </c>
      <c r="P212" s="24"/>
      <c r="Q212" s="25" t="str">
        <f aca="false">IF(COUNT(E212,G212,I212,K212,M212,O212)=0,"",((E212&lt;&gt;"")*(F212&lt;&gt;"")+(G212&lt;&gt;"")*(H212&lt;&gt;"")+(I212&lt;&gt;"")*(J212&lt;&gt;"")+(K212&lt;&gt;"")*(L212&lt;&gt;"")+(M212&lt;&gt;"")*(N212&lt;&gt;"")+(O212&lt;&gt;"")*(P212&lt;&gt;""))/COUNT(E212,G212,I212,K212,M212,O212))</f>
        <v/>
      </c>
      <c r="R212" s="26" t="str">
        <f aca="false">IF(T212="","",IF(T212=99999,"",T212))</f>
        <v/>
      </c>
      <c r="S212" s="27" t="str">
        <f aca="true">IF(T212="","",IF(T212=99999,"Concluído",IF(T212&lt;TODAY(),"Atrasado",IF(T212=TODAY(),"Hoje","Em dia"))))</f>
        <v/>
      </c>
      <c r="T212" s="28" t="str">
        <f aca="false">IF(COUNT(E212,G212,I212,K212,M212,O212)=0,"",MIN(IF(AND(E212&lt;&gt;"",F212=""),E212,99999),IF(AND(G212&lt;&gt;"",H212=""),G212,99999),IF(AND(I212&lt;&gt;"",J212=""),I212,99999),IF(AND(K212&lt;&gt;"",L212=""),K212,99999),IF(AND(M212&lt;&gt;"",N212=""),M212,99999),IF(AND(O212&lt;&gt;"",P212=""),O212,99999)))</f>
        <v/>
      </c>
    </row>
    <row r="213" customFormat="false" ht="15" hidden="false" customHeight="false" outlineLevel="0" collapsed="false">
      <c r="A213" s="20" t="n">
        <v>208</v>
      </c>
      <c r="B213" s="21"/>
      <c r="C213" s="21"/>
      <c r="D213" s="22"/>
      <c r="E213" s="23" t="str">
        <f aca="false">IF(OR(NOT(ISNUMBER($D213)),Config!$G$6&lt;&gt;"Sim"),"",$D213+Config!$F$6+IF(AND(Config!$F$6&gt;0,WEEKDAY($D213+Config!$F$6)=Config!$E$24),1,0))</f>
        <v/>
      </c>
      <c r="F213" s="24"/>
      <c r="G213" s="23" t="str">
        <f aca="false">IF(OR(NOT(ISNUMBER($D213)),Config!$G$7&lt;&gt;"Sim"),"",$D213+Config!$F$7+IF(AND(Config!$F$7&gt;0,WEEKDAY($D213+Config!$F$7)=Config!$E$24),1,0))</f>
        <v/>
      </c>
      <c r="H213" s="24"/>
      <c r="I213" s="23" t="str">
        <f aca="false">IF(OR(NOT(ISNUMBER($D213)),Config!$G$8&lt;&gt;"Sim"),"",$D213+Config!$F$8+IF(AND(Config!$F$8&gt;0,WEEKDAY($D213+Config!$F$8)=Config!$E$24),1,0))</f>
        <v/>
      </c>
      <c r="J213" s="24"/>
      <c r="K213" s="23" t="str">
        <f aca="false">IF(OR(NOT(ISNUMBER($D213)),Config!$G$9&lt;&gt;"Sim"),"",$D213+Config!$F$9+IF(AND(Config!$F$9&gt;0,WEEKDAY($D213+Config!$F$9)=Config!$E$24),1,0))</f>
        <v/>
      </c>
      <c r="L213" s="24"/>
      <c r="M213" s="23" t="str">
        <f aca="false">IF(OR(NOT(ISNUMBER($D213)),Config!$G$10&lt;&gt;"Sim"),"",$D213+Config!$F$10+IF(AND(Config!$F$10&gt;0,WEEKDAY($D213+Config!$F$10)=Config!$E$24),1,0))</f>
        <v/>
      </c>
      <c r="N213" s="24"/>
      <c r="O213" s="23" t="str">
        <f aca="false">IF(OR(NOT(ISNUMBER($D213)),Config!$G$11&lt;&gt;"Sim"),"",$D213+Config!$F$11+IF(AND(Config!$F$11&gt;0,WEEKDAY($D213+Config!$F$11)=Config!$E$24),1,0))</f>
        <v/>
      </c>
      <c r="P213" s="24"/>
      <c r="Q213" s="25" t="str">
        <f aca="false">IF(COUNT(E213,G213,I213,K213,M213,O213)=0,"",((E213&lt;&gt;"")*(F213&lt;&gt;"")+(G213&lt;&gt;"")*(H213&lt;&gt;"")+(I213&lt;&gt;"")*(J213&lt;&gt;"")+(K213&lt;&gt;"")*(L213&lt;&gt;"")+(M213&lt;&gt;"")*(N213&lt;&gt;"")+(O213&lt;&gt;"")*(P213&lt;&gt;""))/COUNT(E213,G213,I213,K213,M213,O213))</f>
        <v/>
      </c>
      <c r="R213" s="26" t="str">
        <f aca="false">IF(T213="","",IF(T213=99999,"",T213))</f>
        <v/>
      </c>
      <c r="S213" s="27" t="str">
        <f aca="true">IF(T213="","",IF(T213=99999,"Concluído",IF(T213&lt;TODAY(),"Atrasado",IF(T213=TODAY(),"Hoje","Em dia"))))</f>
        <v/>
      </c>
      <c r="T213" s="28" t="str">
        <f aca="false">IF(COUNT(E213,G213,I213,K213,M213,O213)=0,"",MIN(IF(AND(E213&lt;&gt;"",F213=""),E213,99999),IF(AND(G213&lt;&gt;"",H213=""),G213,99999),IF(AND(I213&lt;&gt;"",J213=""),I213,99999),IF(AND(K213&lt;&gt;"",L213=""),K213,99999),IF(AND(M213&lt;&gt;"",N213=""),M213,99999),IF(AND(O213&lt;&gt;"",P213=""),O213,99999)))</f>
        <v/>
      </c>
    </row>
    <row r="214" customFormat="false" ht="15" hidden="false" customHeight="false" outlineLevel="0" collapsed="false">
      <c r="A214" s="20" t="n">
        <v>209</v>
      </c>
      <c r="B214" s="21"/>
      <c r="C214" s="21"/>
      <c r="D214" s="22"/>
      <c r="E214" s="23" t="str">
        <f aca="false">IF(OR(NOT(ISNUMBER($D214)),Config!$G$6&lt;&gt;"Sim"),"",$D214+Config!$F$6+IF(AND(Config!$F$6&gt;0,WEEKDAY($D214+Config!$F$6)=Config!$E$24),1,0))</f>
        <v/>
      </c>
      <c r="F214" s="24"/>
      <c r="G214" s="23" t="str">
        <f aca="false">IF(OR(NOT(ISNUMBER($D214)),Config!$G$7&lt;&gt;"Sim"),"",$D214+Config!$F$7+IF(AND(Config!$F$7&gt;0,WEEKDAY($D214+Config!$F$7)=Config!$E$24),1,0))</f>
        <v/>
      </c>
      <c r="H214" s="24"/>
      <c r="I214" s="23" t="str">
        <f aca="false">IF(OR(NOT(ISNUMBER($D214)),Config!$G$8&lt;&gt;"Sim"),"",$D214+Config!$F$8+IF(AND(Config!$F$8&gt;0,WEEKDAY($D214+Config!$F$8)=Config!$E$24),1,0))</f>
        <v/>
      </c>
      <c r="J214" s="24"/>
      <c r="K214" s="23" t="str">
        <f aca="false">IF(OR(NOT(ISNUMBER($D214)),Config!$G$9&lt;&gt;"Sim"),"",$D214+Config!$F$9+IF(AND(Config!$F$9&gt;0,WEEKDAY($D214+Config!$F$9)=Config!$E$24),1,0))</f>
        <v/>
      </c>
      <c r="L214" s="24"/>
      <c r="M214" s="23" t="str">
        <f aca="false">IF(OR(NOT(ISNUMBER($D214)),Config!$G$10&lt;&gt;"Sim"),"",$D214+Config!$F$10+IF(AND(Config!$F$10&gt;0,WEEKDAY($D214+Config!$F$10)=Config!$E$24),1,0))</f>
        <v/>
      </c>
      <c r="N214" s="24"/>
      <c r="O214" s="23" t="str">
        <f aca="false">IF(OR(NOT(ISNUMBER($D214)),Config!$G$11&lt;&gt;"Sim"),"",$D214+Config!$F$11+IF(AND(Config!$F$11&gt;0,WEEKDAY($D214+Config!$F$11)=Config!$E$24),1,0))</f>
        <v/>
      </c>
      <c r="P214" s="24"/>
      <c r="Q214" s="25" t="str">
        <f aca="false">IF(COUNT(E214,G214,I214,K214,M214,O214)=0,"",((E214&lt;&gt;"")*(F214&lt;&gt;"")+(G214&lt;&gt;"")*(H214&lt;&gt;"")+(I214&lt;&gt;"")*(J214&lt;&gt;"")+(K214&lt;&gt;"")*(L214&lt;&gt;"")+(M214&lt;&gt;"")*(N214&lt;&gt;"")+(O214&lt;&gt;"")*(P214&lt;&gt;""))/COUNT(E214,G214,I214,K214,M214,O214))</f>
        <v/>
      </c>
      <c r="R214" s="26" t="str">
        <f aca="false">IF(T214="","",IF(T214=99999,"",T214))</f>
        <v/>
      </c>
      <c r="S214" s="27" t="str">
        <f aca="true">IF(T214="","",IF(T214=99999,"Concluído",IF(T214&lt;TODAY(),"Atrasado",IF(T214=TODAY(),"Hoje","Em dia"))))</f>
        <v/>
      </c>
      <c r="T214" s="28" t="str">
        <f aca="false">IF(COUNT(E214,G214,I214,K214,M214,O214)=0,"",MIN(IF(AND(E214&lt;&gt;"",F214=""),E214,99999),IF(AND(G214&lt;&gt;"",H214=""),G214,99999),IF(AND(I214&lt;&gt;"",J214=""),I214,99999),IF(AND(K214&lt;&gt;"",L214=""),K214,99999),IF(AND(M214&lt;&gt;"",N214=""),M214,99999),IF(AND(O214&lt;&gt;"",P214=""),O214,99999)))</f>
        <v/>
      </c>
    </row>
    <row r="215" customFormat="false" ht="15" hidden="false" customHeight="false" outlineLevel="0" collapsed="false">
      <c r="A215" s="20" t="n">
        <v>210</v>
      </c>
      <c r="B215" s="21"/>
      <c r="C215" s="21"/>
      <c r="D215" s="22"/>
      <c r="E215" s="23" t="str">
        <f aca="false">IF(OR(NOT(ISNUMBER($D215)),Config!$G$6&lt;&gt;"Sim"),"",$D215+Config!$F$6+IF(AND(Config!$F$6&gt;0,WEEKDAY($D215+Config!$F$6)=Config!$E$24),1,0))</f>
        <v/>
      </c>
      <c r="F215" s="24"/>
      <c r="G215" s="23" t="str">
        <f aca="false">IF(OR(NOT(ISNUMBER($D215)),Config!$G$7&lt;&gt;"Sim"),"",$D215+Config!$F$7+IF(AND(Config!$F$7&gt;0,WEEKDAY($D215+Config!$F$7)=Config!$E$24),1,0))</f>
        <v/>
      </c>
      <c r="H215" s="24"/>
      <c r="I215" s="23" t="str">
        <f aca="false">IF(OR(NOT(ISNUMBER($D215)),Config!$G$8&lt;&gt;"Sim"),"",$D215+Config!$F$8+IF(AND(Config!$F$8&gt;0,WEEKDAY($D215+Config!$F$8)=Config!$E$24),1,0))</f>
        <v/>
      </c>
      <c r="J215" s="24"/>
      <c r="K215" s="23" t="str">
        <f aca="false">IF(OR(NOT(ISNUMBER($D215)),Config!$G$9&lt;&gt;"Sim"),"",$D215+Config!$F$9+IF(AND(Config!$F$9&gt;0,WEEKDAY($D215+Config!$F$9)=Config!$E$24),1,0))</f>
        <v/>
      </c>
      <c r="L215" s="24"/>
      <c r="M215" s="23" t="str">
        <f aca="false">IF(OR(NOT(ISNUMBER($D215)),Config!$G$10&lt;&gt;"Sim"),"",$D215+Config!$F$10+IF(AND(Config!$F$10&gt;0,WEEKDAY($D215+Config!$F$10)=Config!$E$24),1,0))</f>
        <v/>
      </c>
      <c r="N215" s="24"/>
      <c r="O215" s="23" t="str">
        <f aca="false">IF(OR(NOT(ISNUMBER($D215)),Config!$G$11&lt;&gt;"Sim"),"",$D215+Config!$F$11+IF(AND(Config!$F$11&gt;0,WEEKDAY($D215+Config!$F$11)=Config!$E$24),1,0))</f>
        <v/>
      </c>
      <c r="P215" s="24"/>
      <c r="Q215" s="25" t="str">
        <f aca="false">IF(COUNT(E215,G215,I215,K215,M215,O215)=0,"",((E215&lt;&gt;"")*(F215&lt;&gt;"")+(G215&lt;&gt;"")*(H215&lt;&gt;"")+(I215&lt;&gt;"")*(J215&lt;&gt;"")+(K215&lt;&gt;"")*(L215&lt;&gt;"")+(M215&lt;&gt;"")*(N215&lt;&gt;"")+(O215&lt;&gt;"")*(P215&lt;&gt;""))/COUNT(E215,G215,I215,K215,M215,O215))</f>
        <v/>
      </c>
      <c r="R215" s="26" t="str">
        <f aca="false">IF(T215="","",IF(T215=99999,"",T215))</f>
        <v/>
      </c>
      <c r="S215" s="27" t="str">
        <f aca="true">IF(T215="","",IF(T215=99999,"Concluído",IF(T215&lt;TODAY(),"Atrasado",IF(T215=TODAY(),"Hoje","Em dia"))))</f>
        <v/>
      </c>
      <c r="T215" s="28" t="str">
        <f aca="false">IF(COUNT(E215,G215,I215,K215,M215,O215)=0,"",MIN(IF(AND(E215&lt;&gt;"",F215=""),E215,99999),IF(AND(G215&lt;&gt;"",H215=""),G215,99999),IF(AND(I215&lt;&gt;"",J215=""),I215,99999),IF(AND(K215&lt;&gt;"",L215=""),K215,99999),IF(AND(M215&lt;&gt;"",N215=""),M215,99999),IF(AND(O215&lt;&gt;"",P215=""),O215,99999)))</f>
        <v/>
      </c>
    </row>
    <row r="216" customFormat="false" ht="15" hidden="false" customHeight="false" outlineLevel="0" collapsed="false">
      <c r="A216" s="20" t="n">
        <v>211</v>
      </c>
      <c r="B216" s="21"/>
      <c r="C216" s="21"/>
      <c r="D216" s="22"/>
      <c r="E216" s="23" t="str">
        <f aca="false">IF(OR(NOT(ISNUMBER($D216)),Config!$G$6&lt;&gt;"Sim"),"",$D216+Config!$F$6+IF(AND(Config!$F$6&gt;0,WEEKDAY($D216+Config!$F$6)=Config!$E$24),1,0))</f>
        <v/>
      </c>
      <c r="F216" s="24"/>
      <c r="G216" s="23" t="str">
        <f aca="false">IF(OR(NOT(ISNUMBER($D216)),Config!$G$7&lt;&gt;"Sim"),"",$D216+Config!$F$7+IF(AND(Config!$F$7&gt;0,WEEKDAY($D216+Config!$F$7)=Config!$E$24),1,0))</f>
        <v/>
      </c>
      <c r="H216" s="24"/>
      <c r="I216" s="23" t="str">
        <f aca="false">IF(OR(NOT(ISNUMBER($D216)),Config!$G$8&lt;&gt;"Sim"),"",$D216+Config!$F$8+IF(AND(Config!$F$8&gt;0,WEEKDAY($D216+Config!$F$8)=Config!$E$24),1,0))</f>
        <v/>
      </c>
      <c r="J216" s="24"/>
      <c r="K216" s="23" t="str">
        <f aca="false">IF(OR(NOT(ISNUMBER($D216)),Config!$G$9&lt;&gt;"Sim"),"",$D216+Config!$F$9+IF(AND(Config!$F$9&gt;0,WEEKDAY($D216+Config!$F$9)=Config!$E$24),1,0))</f>
        <v/>
      </c>
      <c r="L216" s="24"/>
      <c r="M216" s="23" t="str">
        <f aca="false">IF(OR(NOT(ISNUMBER($D216)),Config!$G$10&lt;&gt;"Sim"),"",$D216+Config!$F$10+IF(AND(Config!$F$10&gt;0,WEEKDAY($D216+Config!$F$10)=Config!$E$24),1,0))</f>
        <v/>
      </c>
      <c r="N216" s="24"/>
      <c r="O216" s="23" t="str">
        <f aca="false">IF(OR(NOT(ISNUMBER($D216)),Config!$G$11&lt;&gt;"Sim"),"",$D216+Config!$F$11+IF(AND(Config!$F$11&gt;0,WEEKDAY($D216+Config!$F$11)=Config!$E$24),1,0))</f>
        <v/>
      </c>
      <c r="P216" s="24"/>
      <c r="Q216" s="25" t="str">
        <f aca="false">IF(COUNT(E216,G216,I216,K216,M216,O216)=0,"",((E216&lt;&gt;"")*(F216&lt;&gt;"")+(G216&lt;&gt;"")*(H216&lt;&gt;"")+(I216&lt;&gt;"")*(J216&lt;&gt;"")+(K216&lt;&gt;"")*(L216&lt;&gt;"")+(M216&lt;&gt;"")*(N216&lt;&gt;"")+(O216&lt;&gt;"")*(P216&lt;&gt;""))/COUNT(E216,G216,I216,K216,M216,O216))</f>
        <v/>
      </c>
      <c r="R216" s="26" t="str">
        <f aca="false">IF(T216="","",IF(T216=99999,"",T216))</f>
        <v/>
      </c>
      <c r="S216" s="27" t="str">
        <f aca="true">IF(T216="","",IF(T216=99999,"Concluído",IF(T216&lt;TODAY(),"Atrasado",IF(T216=TODAY(),"Hoje","Em dia"))))</f>
        <v/>
      </c>
      <c r="T216" s="28" t="str">
        <f aca="false">IF(COUNT(E216,G216,I216,K216,M216,O216)=0,"",MIN(IF(AND(E216&lt;&gt;"",F216=""),E216,99999),IF(AND(G216&lt;&gt;"",H216=""),G216,99999),IF(AND(I216&lt;&gt;"",J216=""),I216,99999),IF(AND(K216&lt;&gt;"",L216=""),K216,99999),IF(AND(M216&lt;&gt;"",N216=""),M216,99999),IF(AND(O216&lt;&gt;"",P216=""),O216,99999)))</f>
        <v/>
      </c>
    </row>
    <row r="217" customFormat="false" ht="15" hidden="false" customHeight="false" outlineLevel="0" collapsed="false">
      <c r="A217" s="20" t="n">
        <v>212</v>
      </c>
      <c r="B217" s="21"/>
      <c r="C217" s="21"/>
      <c r="D217" s="22"/>
      <c r="E217" s="23" t="str">
        <f aca="false">IF(OR(NOT(ISNUMBER($D217)),Config!$G$6&lt;&gt;"Sim"),"",$D217+Config!$F$6+IF(AND(Config!$F$6&gt;0,WEEKDAY($D217+Config!$F$6)=Config!$E$24),1,0))</f>
        <v/>
      </c>
      <c r="F217" s="24"/>
      <c r="G217" s="23" t="str">
        <f aca="false">IF(OR(NOT(ISNUMBER($D217)),Config!$G$7&lt;&gt;"Sim"),"",$D217+Config!$F$7+IF(AND(Config!$F$7&gt;0,WEEKDAY($D217+Config!$F$7)=Config!$E$24),1,0))</f>
        <v/>
      </c>
      <c r="H217" s="24"/>
      <c r="I217" s="23" t="str">
        <f aca="false">IF(OR(NOT(ISNUMBER($D217)),Config!$G$8&lt;&gt;"Sim"),"",$D217+Config!$F$8+IF(AND(Config!$F$8&gt;0,WEEKDAY($D217+Config!$F$8)=Config!$E$24),1,0))</f>
        <v/>
      </c>
      <c r="J217" s="24"/>
      <c r="K217" s="23" t="str">
        <f aca="false">IF(OR(NOT(ISNUMBER($D217)),Config!$G$9&lt;&gt;"Sim"),"",$D217+Config!$F$9+IF(AND(Config!$F$9&gt;0,WEEKDAY($D217+Config!$F$9)=Config!$E$24),1,0))</f>
        <v/>
      </c>
      <c r="L217" s="24"/>
      <c r="M217" s="23" t="str">
        <f aca="false">IF(OR(NOT(ISNUMBER($D217)),Config!$G$10&lt;&gt;"Sim"),"",$D217+Config!$F$10+IF(AND(Config!$F$10&gt;0,WEEKDAY($D217+Config!$F$10)=Config!$E$24),1,0))</f>
        <v/>
      </c>
      <c r="N217" s="24"/>
      <c r="O217" s="23" t="str">
        <f aca="false">IF(OR(NOT(ISNUMBER($D217)),Config!$G$11&lt;&gt;"Sim"),"",$D217+Config!$F$11+IF(AND(Config!$F$11&gt;0,WEEKDAY($D217+Config!$F$11)=Config!$E$24),1,0))</f>
        <v/>
      </c>
      <c r="P217" s="24"/>
      <c r="Q217" s="25" t="str">
        <f aca="false">IF(COUNT(E217,G217,I217,K217,M217,O217)=0,"",((E217&lt;&gt;"")*(F217&lt;&gt;"")+(G217&lt;&gt;"")*(H217&lt;&gt;"")+(I217&lt;&gt;"")*(J217&lt;&gt;"")+(K217&lt;&gt;"")*(L217&lt;&gt;"")+(M217&lt;&gt;"")*(N217&lt;&gt;"")+(O217&lt;&gt;"")*(P217&lt;&gt;""))/COUNT(E217,G217,I217,K217,M217,O217))</f>
        <v/>
      </c>
      <c r="R217" s="26" t="str">
        <f aca="false">IF(T217="","",IF(T217=99999,"",T217))</f>
        <v/>
      </c>
      <c r="S217" s="27" t="str">
        <f aca="true">IF(T217="","",IF(T217=99999,"Concluído",IF(T217&lt;TODAY(),"Atrasado",IF(T217=TODAY(),"Hoje","Em dia"))))</f>
        <v/>
      </c>
      <c r="T217" s="28" t="str">
        <f aca="false">IF(COUNT(E217,G217,I217,K217,M217,O217)=0,"",MIN(IF(AND(E217&lt;&gt;"",F217=""),E217,99999),IF(AND(G217&lt;&gt;"",H217=""),G217,99999),IF(AND(I217&lt;&gt;"",J217=""),I217,99999),IF(AND(K217&lt;&gt;"",L217=""),K217,99999),IF(AND(M217&lt;&gt;"",N217=""),M217,99999),IF(AND(O217&lt;&gt;"",P217=""),O217,99999)))</f>
        <v/>
      </c>
    </row>
    <row r="218" customFormat="false" ht="15" hidden="false" customHeight="false" outlineLevel="0" collapsed="false">
      <c r="A218" s="20" t="n">
        <v>213</v>
      </c>
      <c r="B218" s="21"/>
      <c r="C218" s="21"/>
      <c r="D218" s="22"/>
      <c r="E218" s="23" t="str">
        <f aca="false">IF(OR(NOT(ISNUMBER($D218)),Config!$G$6&lt;&gt;"Sim"),"",$D218+Config!$F$6+IF(AND(Config!$F$6&gt;0,WEEKDAY($D218+Config!$F$6)=Config!$E$24),1,0))</f>
        <v/>
      </c>
      <c r="F218" s="24"/>
      <c r="G218" s="23" t="str">
        <f aca="false">IF(OR(NOT(ISNUMBER($D218)),Config!$G$7&lt;&gt;"Sim"),"",$D218+Config!$F$7+IF(AND(Config!$F$7&gt;0,WEEKDAY($D218+Config!$F$7)=Config!$E$24),1,0))</f>
        <v/>
      </c>
      <c r="H218" s="24"/>
      <c r="I218" s="23" t="str">
        <f aca="false">IF(OR(NOT(ISNUMBER($D218)),Config!$G$8&lt;&gt;"Sim"),"",$D218+Config!$F$8+IF(AND(Config!$F$8&gt;0,WEEKDAY($D218+Config!$F$8)=Config!$E$24),1,0))</f>
        <v/>
      </c>
      <c r="J218" s="24"/>
      <c r="K218" s="23" t="str">
        <f aca="false">IF(OR(NOT(ISNUMBER($D218)),Config!$G$9&lt;&gt;"Sim"),"",$D218+Config!$F$9+IF(AND(Config!$F$9&gt;0,WEEKDAY($D218+Config!$F$9)=Config!$E$24),1,0))</f>
        <v/>
      </c>
      <c r="L218" s="24"/>
      <c r="M218" s="23" t="str">
        <f aca="false">IF(OR(NOT(ISNUMBER($D218)),Config!$G$10&lt;&gt;"Sim"),"",$D218+Config!$F$10+IF(AND(Config!$F$10&gt;0,WEEKDAY($D218+Config!$F$10)=Config!$E$24),1,0))</f>
        <v/>
      </c>
      <c r="N218" s="24"/>
      <c r="O218" s="23" t="str">
        <f aca="false">IF(OR(NOT(ISNUMBER($D218)),Config!$G$11&lt;&gt;"Sim"),"",$D218+Config!$F$11+IF(AND(Config!$F$11&gt;0,WEEKDAY($D218+Config!$F$11)=Config!$E$24),1,0))</f>
        <v/>
      </c>
      <c r="P218" s="24"/>
      <c r="Q218" s="25" t="str">
        <f aca="false">IF(COUNT(E218,G218,I218,K218,M218,O218)=0,"",((E218&lt;&gt;"")*(F218&lt;&gt;"")+(G218&lt;&gt;"")*(H218&lt;&gt;"")+(I218&lt;&gt;"")*(J218&lt;&gt;"")+(K218&lt;&gt;"")*(L218&lt;&gt;"")+(M218&lt;&gt;"")*(N218&lt;&gt;"")+(O218&lt;&gt;"")*(P218&lt;&gt;""))/COUNT(E218,G218,I218,K218,M218,O218))</f>
        <v/>
      </c>
      <c r="R218" s="26" t="str">
        <f aca="false">IF(T218="","",IF(T218=99999,"",T218))</f>
        <v/>
      </c>
      <c r="S218" s="27" t="str">
        <f aca="true">IF(T218="","",IF(T218=99999,"Concluído",IF(T218&lt;TODAY(),"Atrasado",IF(T218=TODAY(),"Hoje","Em dia"))))</f>
        <v/>
      </c>
      <c r="T218" s="28" t="str">
        <f aca="false">IF(COUNT(E218,G218,I218,K218,M218,O218)=0,"",MIN(IF(AND(E218&lt;&gt;"",F218=""),E218,99999),IF(AND(G218&lt;&gt;"",H218=""),G218,99999),IF(AND(I218&lt;&gt;"",J218=""),I218,99999),IF(AND(K218&lt;&gt;"",L218=""),K218,99999),IF(AND(M218&lt;&gt;"",N218=""),M218,99999),IF(AND(O218&lt;&gt;"",P218=""),O218,99999)))</f>
        <v/>
      </c>
    </row>
    <row r="219" customFormat="false" ht="15" hidden="false" customHeight="false" outlineLevel="0" collapsed="false">
      <c r="A219" s="20" t="n">
        <v>214</v>
      </c>
      <c r="B219" s="21"/>
      <c r="C219" s="21"/>
      <c r="D219" s="22"/>
      <c r="E219" s="23" t="str">
        <f aca="false">IF(OR(NOT(ISNUMBER($D219)),Config!$G$6&lt;&gt;"Sim"),"",$D219+Config!$F$6+IF(AND(Config!$F$6&gt;0,WEEKDAY($D219+Config!$F$6)=Config!$E$24),1,0))</f>
        <v/>
      </c>
      <c r="F219" s="24"/>
      <c r="G219" s="23" t="str">
        <f aca="false">IF(OR(NOT(ISNUMBER($D219)),Config!$G$7&lt;&gt;"Sim"),"",$D219+Config!$F$7+IF(AND(Config!$F$7&gt;0,WEEKDAY($D219+Config!$F$7)=Config!$E$24),1,0))</f>
        <v/>
      </c>
      <c r="H219" s="24"/>
      <c r="I219" s="23" t="str">
        <f aca="false">IF(OR(NOT(ISNUMBER($D219)),Config!$G$8&lt;&gt;"Sim"),"",$D219+Config!$F$8+IF(AND(Config!$F$8&gt;0,WEEKDAY($D219+Config!$F$8)=Config!$E$24),1,0))</f>
        <v/>
      </c>
      <c r="J219" s="24"/>
      <c r="K219" s="23" t="str">
        <f aca="false">IF(OR(NOT(ISNUMBER($D219)),Config!$G$9&lt;&gt;"Sim"),"",$D219+Config!$F$9+IF(AND(Config!$F$9&gt;0,WEEKDAY($D219+Config!$F$9)=Config!$E$24),1,0))</f>
        <v/>
      </c>
      <c r="L219" s="24"/>
      <c r="M219" s="23" t="str">
        <f aca="false">IF(OR(NOT(ISNUMBER($D219)),Config!$G$10&lt;&gt;"Sim"),"",$D219+Config!$F$10+IF(AND(Config!$F$10&gt;0,WEEKDAY($D219+Config!$F$10)=Config!$E$24),1,0))</f>
        <v/>
      </c>
      <c r="N219" s="24"/>
      <c r="O219" s="23" t="str">
        <f aca="false">IF(OR(NOT(ISNUMBER($D219)),Config!$G$11&lt;&gt;"Sim"),"",$D219+Config!$F$11+IF(AND(Config!$F$11&gt;0,WEEKDAY($D219+Config!$F$11)=Config!$E$24),1,0))</f>
        <v/>
      </c>
      <c r="P219" s="24"/>
      <c r="Q219" s="25" t="str">
        <f aca="false">IF(COUNT(E219,G219,I219,K219,M219,O219)=0,"",((E219&lt;&gt;"")*(F219&lt;&gt;"")+(G219&lt;&gt;"")*(H219&lt;&gt;"")+(I219&lt;&gt;"")*(J219&lt;&gt;"")+(K219&lt;&gt;"")*(L219&lt;&gt;"")+(M219&lt;&gt;"")*(N219&lt;&gt;"")+(O219&lt;&gt;"")*(P219&lt;&gt;""))/COUNT(E219,G219,I219,K219,M219,O219))</f>
        <v/>
      </c>
      <c r="R219" s="26" t="str">
        <f aca="false">IF(T219="","",IF(T219=99999,"",T219))</f>
        <v/>
      </c>
      <c r="S219" s="27" t="str">
        <f aca="true">IF(T219="","",IF(T219=99999,"Concluído",IF(T219&lt;TODAY(),"Atrasado",IF(T219=TODAY(),"Hoje","Em dia"))))</f>
        <v/>
      </c>
      <c r="T219" s="28" t="str">
        <f aca="false">IF(COUNT(E219,G219,I219,K219,M219,O219)=0,"",MIN(IF(AND(E219&lt;&gt;"",F219=""),E219,99999),IF(AND(G219&lt;&gt;"",H219=""),G219,99999),IF(AND(I219&lt;&gt;"",J219=""),I219,99999),IF(AND(K219&lt;&gt;"",L219=""),K219,99999),IF(AND(M219&lt;&gt;"",N219=""),M219,99999),IF(AND(O219&lt;&gt;"",P219=""),O219,99999)))</f>
        <v/>
      </c>
    </row>
    <row r="220" customFormat="false" ht="15" hidden="false" customHeight="false" outlineLevel="0" collapsed="false">
      <c r="A220" s="20" t="n">
        <v>215</v>
      </c>
      <c r="B220" s="21"/>
      <c r="C220" s="21"/>
      <c r="D220" s="22"/>
      <c r="E220" s="23" t="str">
        <f aca="false">IF(OR(NOT(ISNUMBER($D220)),Config!$G$6&lt;&gt;"Sim"),"",$D220+Config!$F$6+IF(AND(Config!$F$6&gt;0,WEEKDAY($D220+Config!$F$6)=Config!$E$24),1,0))</f>
        <v/>
      </c>
      <c r="F220" s="24"/>
      <c r="G220" s="23" t="str">
        <f aca="false">IF(OR(NOT(ISNUMBER($D220)),Config!$G$7&lt;&gt;"Sim"),"",$D220+Config!$F$7+IF(AND(Config!$F$7&gt;0,WEEKDAY($D220+Config!$F$7)=Config!$E$24),1,0))</f>
        <v/>
      </c>
      <c r="H220" s="24"/>
      <c r="I220" s="23" t="str">
        <f aca="false">IF(OR(NOT(ISNUMBER($D220)),Config!$G$8&lt;&gt;"Sim"),"",$D220+Config!$F$8+IF(AND(Config!$F$8&gt;0,WEEKDAY($D220+Config!$F$8)=Config!$E$24),1,0))</f>
        <v/>
      </c>
      <c r="J220" s="24"/>
      <c r="K220" s="23" t="str">
        <f aca="false">IF(OR(NOT(ISNUMBER($D220)),Config!$G$9&lt;&gt;"Sim"),"",$D220+Config!$F$9+IF(AND(Config!$F$9&gt;0,WEEKDAY($D220+Config!$F$9)=Config!$E$24),1,0))</f>
        <v/>
      </c>
      <c r="L220" s="24"/>
      <c r="M220" s="23" t="str">
        <f aca="false">IF(OR(NOT(ISNUMBER($D220)),Config!$G$10&lt;&gt;"Sim"),"",$D220+Config!$F$10+IF(AND(Config!$F$10&gt;0,WEEKDAY($D220+Config!$F$10)=Config!$E$24),1,0))</f>
        <v/>
      </c>
      <c r="N220" s="24"/>
      <c r="O220" s="23" t="str">
        <f aca="false">IF(OR(NOT(ISNUMBER($D220)),Config!$G$11&lt;&gt;"Sim"),"",$D220+Config!$F$11+IF(AND(Config!$F$11&gt;0,WEEKDAY($D220+Config!$F$11)=Config!$E$24),1,0))</f>
        <v/>
      </c>
      <c r="P220" s="24"/>
      <c r="Q220" s="25" t="str">
        <f aca="false">IF(COUNT(E220,G220,I220,K220,M220,O220)=0,"",((E220&lt;&gt;"")*(F220&lt;&gt;"")+(G220&lt;&gt;"")*(H220&lt;&gt;"")+(I220&lt;&gt;"")*(J220&lt;&gt;"")+(K220&lt;&gt;"")*(L220&lt;&gt;"")+(M220&lt;&gt;"")*(N220&lt;&gt;"")+(O220&lt;&gt;"")*(P220&lt;&gt;""))/COUNT(E220,G220,I220,K220,M220,O220))</f>
        <v/>
      </c>
      <c r="R220" s="26" t="str">
        <f aca="false">IF(T220="","",IF(T220=99999,"",T220))</f>
        <v/>
      </c>
      <c r="S220" s="27" t="str">
        <f aca="true">IF(T220="","",IF(T220=99999,"Concluído",IF(T220&lt;TODAY(),"Atrasado",IF(T220=TODAY(),"Hoje","Em dia"))))</f>
        <v/>
      </c>
      <c r="T220" s="28" t="str">
        <f aca="false">IF(COUNT(E220,G220,I220,K220,M220,O220)=0,"",MIN(IF(AND(E220&lt;&gt;"",F220=""),E220,99999),IF(AND(G220&lt;&gt;"",H220=""),G220,99999),IF(AND(I220&lt;&gt;"",J220=""),I220,99999),IF(AND(K220&lt;&gt;"",L220=""),K220,99999),IF(AND(M220&lt;&gt;"",N220=""),M220,99999),IF(AND(O220&lt;&gt;"",P220=""),O220,99999)))</f>
        <v/>
      </c>
    </row>
    <row r="221" customFormat="false" ht="15" hidden="false" customHeight="false" outlineLevel="0" collapsed="false">
      <c r="A221" s="20" t="n">
        <v>216</v>
      </c>
      <c r="B221" s="21"/>
      <c r="C221" s="21"/>
      <c r="D221" s="22"/>
      <c r="E221" s="23" t="str">
        <f aca="false">IF(OR(NOT(ISNUMBER($D221)),Config!$G$6&lt;&gt;"Sim"),"",$D221+Config!$F$6+IF(AND(Config!$F$6&gt;0,WEEKDAY($D221+Config!$F$6)=Config!$E$24),1,0))</f>
        <v/>
      </c>
      <c r="F221" s="24"/>
      <c r="G221" s="23" t="str">
        <f aca="false">IF(OR(NOT(ISNUMBER($D221)),Config!$G$7&lt;&gt;"Sim"),"",$D221+Config!$F$7+IF(AND(Config!$F$7&gt;0,WEEKDAY($D221+Config!$F$7)=Config!$E$24),1,0))</f>
        <v/>
      </c>
      <c r="H221" s="24"/>
      <c r="I221" s="23" t="str">
        <f aca="false">IF(OR(NOT(ISNUMBER($D221)),Config!$G$8&lt;&gt;"Sim"),"",$D221+Config!$F$8+IF(AND(Config!$F$8&gt;0,WEEKDAY($D221+Config!$F$8)=Config!$E$24),1,0))</f>
        <v/>
      </c>
      <c r="J221" s="24"/>
      <c r="K221" s="23" t="str">
        <f aca="false">IF(OR(NOT(ISNUMBER($D221)),Config!$G$9&lt;&gt;"Sim"),"",$D221+Config!$F$9+IF(AND(Config!$F$9&gt;0,WEEKDAY($D221+Config!$F$9)=Config!$E$24),1,0))</f>
        <v/>
      </c>
      <c r="L221" s="24"/>
      <c r="M221" s="23" t="str">
        <f aca="false">IF(OR(NOT(ISNUMBER($D221)),Config!$G$10&lt;&gt;"Sim"),"",$D221+Config!$F$10+IF(AND(Config!$F$10&gt;0,WEEKDAY($D221+Config!$F$10)=Config!$E$24),1,0))</f>
        <v/>
      </c>
      <c r="N221" s="24"/>
      <c r="O221" s="23" t="str">
        <f aca="false">IF(OR(NOT(ISNUMBER($D221)),Config!$G$11&lt;&gt;"Sim"),"",$D221+Config!$F$11+IF(AND(Config!$F$11&gt;0,WEEKDAY($D221+Config!$F$11)=Config!$E$24),1,0))</f>
        <v/>
      </c>
      <c r="P221" s="24"/>
      <c r="Q221" s="25" t="str">
        <f aca="false">IF(COUNT(E221,G221,I221,K221,M221,O221)=0,"",((E221&lt;&gt;"")*(F221&lt;&gt;"")+(G221&lt;&gt;"")*(H221&lt;&gt;"")+(I221&lt;&gt;"")*(J221&lt;&gt;"")+(K221&lt;&gt;"")*(L221&lt;&gt;"")+(M221&lt;&gt;"")*(N221&lt;&gt;"")+(O221&lt;&gt;"")*(P221&lt;&gt;""))/COUNT(E221,G221,I221,K221,M221,O221))</f>
        <v/>
      </c>
      <c r="R221" s="26" t="str">
        <f aca="false">IF(T221="","",IF(T221=99999,"",T221))</f>
        <v/>
      </c>
      <c r="S221" s="27" t="str">
        <f aca="true">IF(T221="","",IF(T221=99999,"Concluído",IF(T221&lt;TODAY(),"Atrasado",IF(T221=TODAY(),"Hoje","Em dia"))))</f>
        <v/>
      </c>
      <c r="T221" s="28" t="str">
        <f aca="false">IF(COUNT(E221,G221,I221,K221,M221,O221)=0,"",MIN(IF(AND(E221&lt;&gt;"",F221=""),E221,99999),IF(AND(G221&lt;&gt;"",H221=""),G221,99999),IF(AND(I221&lt;&gt;"",J221=""),I221,99999),IF(AND(K221&lt;&gt;"",L221=""),K221,99999),IF(AND(M221&lt;&gt;"",N221=""),M221,99999),IF(AND(O221&lt;&gt;"",P221=""),O221,99999)))</f>
        <v/>
      </c>
    </row>
    <row r="222" customFormat="false" ht="15" hidden="false" customHeight="false" outlineLevel="0" collapsed="false">
      <c r="A222" s="20" t="n">
        <v>217</v>
      </c>
      <c r="B222" s="21"/>
      <c r="C222" s="21"/>
      <c r="D222" s="22"/>
      <c r="E222" s="23" t="str">
        <f aca="false">IF(OR(NOT(ISNUMBER($D222)),Config!$G$6&lt;&gt;"Sim"),"",$D222+Config!$F$6+IF(AND(Config!$F$6&gt;0,WEEKDAY($D222+Config!$F$6)=Config!$E$24),1,0))</f>
        <v/>
      </c>
      <c r="F222" s="24"/>
      <c r="G222" s="23" t="str">
        <f aca="false">IF(OR(NOT(ISNUMBER($D222)),Config!$G$7&lt;&gt;"Sim"),"",$D222+Config!$F$7+IF(AND(Config!$F$7&gt;0,WEEKDAY($D222+Config!$F$7)=Config!$E$24),1,0))</f>
        <v/>
      </c>
      <c r="H222" s="24"/>
      <c r="I222" s="23" t="str">
        <f aca="false">IF(OR(NOT(ISNUMBER($D222)),Config!$G$8&lt;&gt;"Sim"),"",$D222+Config!$F$8+IF(AND(Config!$F$8&gt;0,WEEKDAY($D222+Config!$F$8)=Config!$E$24),1,0))</f>
        <v/>
      </c>
      <c r="J222" s="24"/>
      <c r="K222" s="23" t="str">
        <f aca="false">IF(OR(NOT(ISNUMBER($D222)),Config!$G$9&lt;&gt;"Sim"),"",$D222+Config!$F$9+IF(AND(Config!$F$9&gt;0,WEEKDAY($D222+Config!$F$9)=Config!$E$24),1,0))</f>
        <v/>
      </c>
      <c r="L222" s="24"/>
      <c r="M222" s="23" t="str">
        <f aca="false">IF(OR(NOT(ISNUMBER($D222)),Config!$G$10&lt;&gt;"Sim"),"",$D222+Config!$F$10+IF(AND(Config!$F$10&gt;0,WEEKDAY($D222+Config!$F$10)=Config!$E$24),1,0))</f>
        <v/>
      </c>
      <c r="N222" s="24"/>
      <c r="O222" s="23" t="str">
        <f aca="false">IF(OR(NOT(ISNUMBER($D222)),Config!$G$11&lt;&gt;"Sim"),"",$D222+Config!$F$11+IF(AND(Config!$F$11&gt;0,WEEKDAY($D222+Config!$F$11)=Config!$E$24),1,0))</f>
        <v/>
      </c>
      <c r="P222" s="24"/>
      <c r="Q222" s="25" t="str">
        <f aca="false">IF(COUNT(E222,G222,I222,K222,M222,O222)=0,"",((E222&lt;&gt;"")*(F222&lt;&gt;"")+(G222&lt;&gt;"")*(H222&lt;&gt;"")+(I222&lt;&gt;"")*(J222&lt;&gt;"")+(K222&lt;&gt;"")*(L222&lt;&gt;"")+(M222&lt;&gt;"")*(N222&lt;&gt;"")+(O222&lt;&gt;"")*(P222&lt;&gt;""))/COUNT(E222,G222,I222,K222,M222,O222))</f>
        <v/>
      </c>
      <c r="R222" s="26" t="str">
        <f aca="false">IF(T222="","",IF(T222=99999,"",T222))</f>
        <v/>
      </c>
      <c r="S222" s="27" t="str">
        <f aca="true">IF(T222="","",IF(T222=99999,"Concluído",IF(T222&lt;TODAY(),"Atrasado",IF(T222=TODAY(),"Hoje","Em dia"))))</f>
        <v/>
      </c>
      <c r="T222" s="28" t="str">
        <f aca="false">IF(COUNT(E222,G222,I222,K222,M222,O222)=0,"",MIN(IF(AND(E222&lt;&gt;"",F222=""),E222,99999),IF(AND(G222&lt;&gt;"",H222=""),G222,99999),IF(AND(I222&lt;&gt;"",J222=""),I222,99999),IF(AND(K222&lt;&gt;"",L222=""),K222,99999),IF(AND(M222&lt;&gt;"",N222=""),M222,99999),IF(AND(O222&lt;&gt;"",P222=""),O222,99999)))</f>
        <v/>
      </c>
    </row>
    <row r="223" customFormat="false" ht="15" hidden="false" customHeight="false" outlineLevel="0" collapsed="false">
      <c r="A223" s="20" t="n">
        <v>218</v>
      </c>
      <c r="B223" s="21"/>
      <c r="C223" s="21"/>
      <c r="D223" s="22"/>
      <c r="E223" s="23" t="str">
        <f aca="false">IF(OR(NOT(ISNUMBER($D223)),Config!$G$6&lt;&gt;"Sim"),"",$D223+Config!$F$6+IF(AND(Config!$F$6&gt;0,WEEKDAY($D223+Config!$F$6)=Config!$E$24),1,0))</f>
        <v/>
      </c>
      <c r="F223" s="24"/>
      <c r="G223" s="23" t="str">
        <f aca="false">IF(OR(NOT(ISNUMBER($D223)),Config!$G$7&lt;&gt;"Sim"),"",$D223+Config!$F$7+IF(AND(Config!$F$7&gt;0,WEEKDAY($D223+Config!$F$7)=Config!$E$24),1,0))</f>
        <v/>
      </c>
      <c r="H223" s="24"/>
      <c r="I223" s="23" t="str">
        <f aca="false">IF(OR(NOT(ISNUMBER($D223)),Config!$G$8&lt;&gt;"Sim"),"",$D223+Config!$F$8+IF(AND(Config!$F$8&gt;0,WEEKDAY($D223+Config!$F$8)=Config!$E$24),1,0))</f>
        <v/>
      </c>
      <c r="J223" s="24"/>
      <c r="K223" s="23" t="str">
        <f aca="false">IF(OR(NOT(ISNUMBER($D223)),Config!$G$9&lt;&gt;"Sim"),"",$D223+Config!$F$9+IF(AND(Config!$F$9&gt;0,WEEKDAY($D223+Config!$F$9)=Config!$E$24),1,0))</f>
        <v/>
      </c>
      <c r="L223" s="24"/>
      <c r="M223" s="23" t="str">
        <f aca="false">IF(OR(NOT(ISNUMBER($D223)),Config!$G$10&lt;&gt;"Sim"),"",$D223+Config!$F$10+IF(AND(Config!$F$10&gt;0,WEEKDAY($D223+Config!$F$10)=Config!$E$24),1,0))</f>
        <v/>
      </c>
      <c r="N223" s="24"/>
      <c r="O223" s="23" t="str">
        <f aca="false">IF(OR(NOT(ISNUMBER($D223)),Config!$G$11&lt;&gt;"Sim"),"",$D223+Config!$F$11+IF(AND(Config!$F$11&gt;0,WEEKDAY($D223+Config!$F$11)=Config!$E$24),1,0))</f>
        <v/>
      </c>
      <c r="P223" s="24"/>
      <c r="Q223" s="25" t="str">
        <f aca="false">IF(COUNT(E223,G223,I223,K223,M223,O223)=0,"",((E223&lt;&gt;"")*(F223&lt;&gt;"")+(G223&lt;&gt;"")*(H223&lt;&gt;"")+(I223&lt;&gt;"")*(J223&lt;&gt;"")+(K223&lt;&gt;"")*(L223&lt;&gt;"")+(M223&lt;&gt;"")*(N223&lt;&gt;"")+(O223&lt;&gt;"")*(P223&lt;&gt;""))/COUNT(E223,G223,I223,K223,M223,O223))</f>
        <v/>
      </c>
      <c r="R223" s="26" t="str">
        <f aca="false">IF(T223="","",IF(T223=99999,"",T223))</f>
        <v/>
      </c>
      <c r="S223" s="27" t="str">
        <f aca="true">IF(T223="","",IF(T223=99999,"Concluído",IF(T223&lt;TODAY(),"Atrasado",IF(T223=TODAY(),"Hoje","Em dia"))))</f>
        <v/>
      </c>
      <c r="T223" s="28" t="str">
        <f aca="false">IF(COUNT(E223,G223,I223,K223,M223,O223)=0,"",MIN(IF(AND(E223&lt;&gt;"",F223=""),E223,99999),IF(AND(G223&lt;&gt;"",H223=""),G223,99999),IF(AND(I223&lt;&gt;"",J223=""),I223,99999),IF(AND(K223&lt;&gt;"",L223=""),K223,99999),IF(AND(M223&lt;&gt;"",N223=""),M223,99999),IF(AND(O223&lt;&gt;"",P223=""),O223,99999)))</f>
        <v/>
      </c>
    </row>
    <row r="224" customFormat="false" ht="15" hidden="false" customHeight="false" outlineLevel="0" collapsed="false">
      <c r="A224" s="20" t="n">
        <v>219</v>
      </c>
      <c r="B224" s="21"/>
      <c r="C224" s="21"/>
      <c r="D224" s="22"/>
      <c r="E224" s="23" t="str">
        <f aca="false">IF(OR(NOT(ISNUMBER($D224)),Config!$G$6&lt;&gt;"Sim"),"",$D224+Config!$F$6+IF(AND(Config!$F$6&gt;0,WEEKDAY($D224+Config!$F$6)=Config!$E$24),1,0))</f>
        <v/>
      </c>
      <c r="F224" s="24"/>
      <c r="G224" s="23" t="str">
        <f aca="false">IF(OR(NOT(ISNUMBER($D224)),Config!$G$7&lt;&gt;"Sim"),"",$D224+Config!$F$7+IF(AND(Config!$F$7&gt;0,WEEKDAY($D224+Config!$F$7)=Config!$E$24),1,0))</f>
        <v/>
      </c>
      <c r="H224" s="24"/>
      <c r="I224" s="23" t="str">
        <f aca="false">IF(OR(NOT(ISNUMBER($D224)),Config!$G$8&lt;&gt;"Sim"),"",$D224+Config!$F$8+IF(AND(Config!$F$8&gt;0,WEEKDAY($D224+Config!$F$8)=Config!$E$24),1,0))</f>
        <v/>
      </c>
      <c r="J224" s="24"/>
      <c r="K224" s="23" t="str">
        <f aca="false">IF(OR(NOT(ISNUMBER($D224)),Config!$G$9&lt;&gt;"Sim"),"",$D224+Config!$F$9+IF(AND(Config!$F$9&gt;0,WEEKDAY($D224+Config!$F$9)=Config!$E$24),1,0))</f>
        <v/>
      </c>
      <c r="L224" s="24"/>
      <c r="M224" s="23" t="str">
        <f aca="false">IF(OR(NOT(ISNUMBER($D224)),Config!$G$10&lt;&gt;"Sim"),"",$D224+Config!$F$10+IF(AND(Config!$F$10&gt;0,WEEKDAY($D224+Config!$F$10)=Config!$E$24),1,0))</f>
        <v/>
      </c>
      <c r="N224" s="24"/>
      <c r="O224" s="23" t="str">
        <f aca="false">IF(OR(NOT(ISNUMBER($D224)),Config!$G$11&lt;&gt;"Sim"),"",$D224+Config!$F$11+IF(AND(Config!$F$11&gt;0,WEEKDAY($D224+Config!$F$11)=Config!$E$24),1,0))</f>
        <v/>
      </c>
      <c r="P224" s="24"/>
      <c r="Q224" s="25" t="str">
        <f aca="false">IF(COUNT(E224,G224,I224,K224,M224,O224)=0,"",((E224&lt;&gt;"")*(F224&lt;&gt;"")+(G224&lt;&gt;"")*(H224&lt;&gt;"")+(I224&lt;&gt;"")*(J224&lt;&gt;"")+(K224&lt;&gt;"")*(L224&lt;&gt;"")+(M224&lt;&gt;"")*(N224&lt;&gt;"")+(O224&lt;&gt;"")*(P224&lt;&gt;""))/COUNT(E224,G224,I224,K224,M224,O224))</f>
        <v/>
      </c>
      <c r="R224" s="26" t="str">
        <f aca="false">IF(T224="","",IF(T224=99999,"",T224))</f>
        <v/>
      </c>
      <c r="S224" s="27" t="str">
        <f aca="true">IF(T224="","",IF(T224=99999,"Concluído",IF(T224&lt;TODAY(),"Atrasado",IF(T224=TODAY(),"Hoje","Em dia"))))</f>
        <v/>
      </c>
      <c r="T224" s="28" t="str">
        <f aca="false">IF(COUNT(E224,G224,I224,K224,M224,O224)=0,"",MIN(IF(AND(E224&lt;&gt;"",F224=""),E224,99999),IF(AND(G224&lt;&gt;"",H224=""),G224,99999),IF(AND(I224&lt;&gt;"",J224=""),I224,99999),IF(AND(K224&lt;&gt;"",L224=""),K224,99999),IF(AND(M224&lt;&gt;"",N224=""),M224,99999),IF(AND(O224&lt;&gt;"",P224=""),O224,99999)))</f>
        <v/>
      </c>
    </row>
    <row r="225" customFormat="false" ht="15" hidden="false" customHeight="false" outlineLevel="0" collapsed="false">
      <c r="A225" s="20" t="n">
        <v>220</v>
      </c>
      <c r="B225" s="21"/>
      <c r="C225" s="21"/>
      <c r="D225" s="22"/>
      <c r="E225" s="23" t="str">
        <f aca="false">IF(OR(NOT(ISNUMBER($D225)),Config!$G$6&lt;&gt;"Sim"),"",$D225+Config!$F$6+IF(AND(Config!$F$6&gt;0,WEEKDAY($D225+Config!$F$6)=Config!$E$24),1,0))</f>
        <v/>
      </c>
      <c r="F225" s="24"/>
      <c r="G225" s="23" t="str">
        <f aca="false">IF(OR(NOT(ISNUMBER($D225)),Config!$G$7&lt;&gt;"Sim"),"",$D225+Config!$F$7+IF(AND(Config!$F$7&gt;0,WEEKDAY($D225+Config!$F$7)=Config!$E$24),1,0))</f>
        <v/>
      </c>
      <c r="H225" s="24"/>
      <c r="I225" s="23" t="str">
        <f aca="false">IF(OR(NOT(ISNUMBER($D225)),Config!$G$8&lt;&gt;"Sim"),"",$D225+Config!$F$8+IF(AND(Config!$F$8&gt;0,WEEKDAY($D225+Config!$F$8)=Config!$E$24),1,0))</f>
        <v/>
      </c>
      <c r="J225" s="24"/>
      <c r="K225" s="23" t="str">
        <f aca="false">IF(OR(NOT(ISNUMBER($D225)),Config!$G$9&lt;&gt;"Sim"),"",$D225+Config!$F$9+IF(AND(Config!$F$9&gt;0,WEEKDAY($D225+Config!$F$9)=Config!$E$24),1,0))</f>
        <v/>
      </c>
      <c r="L225" s="24"/>
      <c r="M225" s="23" t="str">
        <f aca="false">IF(OR(NOT(ISNUMBER($D225)),Config!$G$10&lt;&gt;"Sim"),"",$D225+Config!$F$10+IF(AND(Config!$F$10&gt;0,WEEKDAY($D225+Config!$F$10)=Config!$E$24),1,0))</f>
        <v/>
      </c>
      <c r="N225" s="24"/>
      <c r="O225" s="23" t="str">
        <f aca="false">IF(OR(NOT(ISNUMBER($D225)),Config!$G$11&lt;&gt;"Sim"),"",$D225+Config!$F$11+IF(AND(Config!$F$11&gt;0,WEEKDAY($D225+Config!$F$11)=Config!$E$24),1,0))</f>
        <v/>
      </c>
      <c r="P225" s="24"/>
      <c r="Q225" s="25" t="str">
        <f aca="false">IF(COUNT(E225,G225,I225,K225,M225,O225)=0,"",((E225&lt;&gt;"")*(F225&lt;&gt;"")+(G225&lt;&gt;"")*(H225&lt;&gt;"")+(I225&lt;&gt;"")*(J225&lt;&gt;"")+(K225&lt;&gt;"")*(L225&lt;&gt;"")+(M225&lt;&gt;"")*(N225&lt;&gt;"")+(O225&lt;&gt;"")*(P225&lt;&gt;""))/COUNT(E225,G225,I225,K225,M225,O225))</f>
        <v/>
      </c>
      <c r="R225" s="26" t="str">
        <f aca="false">IF(T225="","",IF(T225=99999,"",T225))</f>
        <v/>
      </c>
      <c r="S225" s="27" t="str">
        <f aca="true">IF(T225="","",IF(T225=99999,"Concluído",IF(T225&lt;TODAY(),"Atrasado",IF(T225=TODAY(),"Hoje","Em dia"))))</f>
        <v/>
      </c>
      <c r="T225" s="28" t="str">
        <f aca="false">IF(COUNT(E225,G225,I225,K225,M225,O225)=0,"",MIN(IF(AND(E225&lt;&gt;"",F225=""),E225,99999),IF(AND(G225&lt;&gt;"",H225=""),G225,99999),IF(AND(I225&lt;&gt;"",J225=""),I225,99999),IF(AND(K225&lt;&gt;"",L225=""),K225,99999),IF(AND(M225&lt;&gt;"",N225=""),M225,99999),IF(AND(O225&lt;&gt;"",P225=""),O225,99999)))</f>
        <v/>
      </c>
    </row>
    <row r="226" customFormat="false" ht="15" hidden="false" customHeight="false" outlineLevel="0" collapsed="false">
      <c r="A226" s="20" t="n">
        <v>221</v>
      </c>
      <c r="B226" s="21"/>
      <c r="C226" s="21"/>
      <c r="D226" s="22"/>
      <c r="E226" s="23" t="str">
        <f aca="false">IF(OR(NOT(ISNUMBER($D226)),Config!$G$6&lt;&gt;"Sim"),"",$D226+Config!$F$6+IF(AND(Config!$F$6&gt;0,WEEKDAY($D226+Config!$F$6)=Config!$E$24),1,0))</f>
        <v/>
      </c>
      <c r="F226" s="24"/>
      <c r="G226" s="23" t="str">
        <f aca="false">IF(OR(NOT(ISNUMBER($D226)),Config!$G$7&lt;&gt;"Sim"),"",$D226+Config!$F$7+IF(AND(Config!$F$7&gt;0,WEEKDAY($D226+Config!$F$7)=Config!$E$24),1,0))</f>
        <v/>
      </c>
      <c r="H226" s="24"/>
      <c r="I226" s="23" t="str">
        <f aca="false">IF(OR(NOT(ISNUMBER($D226)),Config!$G$8&lt;&gt;"Sim"),"",$D226+Config!$F$8+IF(AND(Config!$F$8&gt;0,WEEKDAY($D226+Config!$F$8)=Config!$E$24),1,0))</f>
        <v/>
      </c>
      <c r="J226" s="24"/>
      <c r="K226" s="23" t="str">
        <f aca="false">IF(OR(NOT(ISNUMBER($D226)),Config!$G$9&lt;&gt;"Sim"),"",$D226+Config!$F$9+IF(AND(Config!$F$9&gt;0,WEEKDAY($D226+Config!$F$9)=Config!$E$24),1,0))</f>
        <v/>
      </c>
      <c r="L226" s="24"/>
      <c r="M226" s="23" t="str">
        <f aca="false">IF(OR(NOT(ISNUMBER($D226)),Config!$G$10&lt;&gt;"Sim"),"",$D226+Config!$F$10+IF(AND(Config!$F$10&gt;0,WEEKDAY($D226+Config!$F$10)=Config!$E$24),1,0))</f>
        <v/>
      </c>
      <c r="N226" s="24"/>
      <c r="O226" s="23" t="str">
        <f aca="false">IF(OR(NOT(ISNUMBER($D226)),Config!$G$11&lt;&gt;"Sim"),"",$D226+Config!$F$11+IF(AND(Config!$F$11&gt;0,WEEKDAY($D226+Config!$F$11)=Config!$E$24),1,0))</f>
        <v/>
      </c>
      <c r="P226" s="24"/>
      <c r="Q226" s="25" t="str">
        <f aca="false">IF(COUNT(E226,G226,I226,K226,M226,O226)=0,"",((E226&lt;&gt;"")*(F226&lt;&gt;"")+(G226&lt;&gt;"")*(H226&lt;&gt;"")+(I226&lt;&gt;"")*(J226&lt;&gt;"")+(K226&lt;&gt;"")*(L226&lt;&gt;"")+(M226&lt;&gt;"")*(N226&lt;&gt;"")+(O226&lt;&gt;"")*(P226&lt;&gt;""))/COUNT(E226,G226,I226,K226,M226,O226))</f>
        <v/>
      </c>
      <c r="R226" s="26" t="str">
        <f aca="false">IF(T226="","",IF(T226=99999,"",T226))</f>
        <v/>
      </c>
      <c r="S226" s="27" t="str">
        <f aca="true">IF(T226="","",IF(T226=99999,"Concluído",IF(T226&lt;TODAY(),"Atrasado",IF(T226=TODAY(),"Hoje","Em dia"))))</f>
        <v/>
      </c>
      <c r="T226" s="28" t="str">
        <f aca="false">IF(COUNT(E226,G226,I226,K226,M226,O226)=0,"",MIN(IF(AND(E226&lt;&gt;"",F226=""),E226,99999),IF(AND(G226&lt;&gt;"",H226=""),G226,99999),IF(AND(I226&lt;&gt;"",J226=""),I226,99999),IF(AND(K226&lt;&gt;"",L226=""),K226,99999),IF(AND(M226&lt;&gt;"",N226=""),M226,99999),IF(AND(O226&lt;&gt;"",P226=""),O226,99999)))</f>
        <v/>
      </c>
    </row>
    <row r="227" customFormat="false" ht="15" hidden="false" customHeight="false" outlineLevel="0" collapsed="false">
      <c r="A227" s="20" t="n">
        <v>222</v>
      </c>
      <c r="B227" s="21"/>
      <c r="C227" s="21"/>
      <c r="D227" s="22"/>
      <c r="E227" s="23" t="str">
        <f aca="false">IF(OR(NOT(ISNUMBER($D227)),Config!$G$6&lt;&gt;"Sim"),"",$D227+Config!$F$6+IF(AND(Config!$F$6&gt;0,WEEKDAY($D227+Config!$F$6)=Config!$E$24),1,0))</f>
        <v/>
      </c>
      <c r="F227" s="24"/>
      <c r="G227" s="23" t="str">
        <f aca="false">IF(OR(NOT(ISNUMBER($D227)),Config!$G$7&lt;&gt;"Sim"),"",$D227+Config!$F$7+IF(AND(Config!$F$7&gt;0,WEEKDAY($D227+Config!$F$7)=Config!$E$24),1,0))</f>
        <v/>
      </c>
      <c r="H227" s="24"/>
      <c r="I227" s="23" t="str">
        <f aca="false">IF(OR(NOT(ISNUMBER($D227)),Config!$G$8&lt;&gt;"Sim"),"",$D227+Config!$F$8+IF(AND(Config!$F$8&gt;0,WEEKDAY($D227+Config!$F$8)=Config!$E$24),1,0))</f>
        <v/>
      </c>
      <c r="J227" s="24"/>
      <c r="K227" s="23" t="str">
        <f aca="false">IF(OR(NOT(ISNUMBER($D227)),Config!$G$9&lt;&gt;"Sim"),"",$D227+Config!$F$9+IF(AND(Config!$F$9&gt;0,WEEKDAY($D227+Config!$F$9)=Config!$E$24),1,0))</f>
        <v/>
      </c>
      <c r="L227" s="24"/>
      <c r="M227" s="23" t="str">
        <f aca="false">IF(OR(NOT(ISNUMBER($D227)),Config!$G$10&lt;&gt;"Sim"),"",$D227+Config!$F$10+IF(AND(Config!$F$10&gt;0,WEEKDAY($D227+Config!$F$10)=Config!$E$24),1,0))</f>
        <v/>
      </c>
      <c r="N227" s="24"/>
      <c r="O227" s="23" t="str">
        <f aca="false">IF(OR(NOT(ISNUMBER($D227)),Config!$G$11&lt;&gt;"Sim"),"",$D227+Config!$F$11+IF(AND(Config!$F$11&gt;0,WEEKDAY($D227+Config!$F$11)=Config!$E$24),1,0))</f>
        <v/>
      </c>
      <c r="P227" s="24"/>
      <c r="Q227" s="25" t="str">
        <f aca="false">IF(COUNT(E227,G227,I227,K227,M227,O227)=0,"",((E227&lt;&gt;"")*(F227&lt;&gt;"")+(G227&lt;&gt;"")*(H227&lt;&gt;"")+(I227&lt;&gt;"")*(J227&lt;&gt;"")+(K227&lt;&gt;"")*(L227&lt;&gt;"")+(M227&lt;&gt;"")*(N227&lt;&gt;"")+(O227&lt;&gt;"")*(P227&lt;&gt;""))/COUNT(E227,G227,I227,K227,M227,O227))</f>
        <v/>
      </c>
      <c r="R227" s="26" t="str">
        <f aca="false">IF(T227="","",IF(T227=99999,"",T227))</f>
        <v/>
      </c>
      <c r="S227" s="27" t="str">
        <f aca="true">IF(T227="","",IF(T227=99999,"Concluído",IF(T227&lt;TODAY(),"Atrasado",IF(T227=TODAY(),"Hoje","Em dia"))))</f>
        <v/>
      </c>
      <c r="T227" s="28" t="str">
        <f aca="false">IF(COUNT(E227,G227,I227,K227,M227,O227)=0,"",MIN(IF(AND(E227&lt;&gt;"",F227=""),E227,99999),IF(AND(G227&lt;&gt;"",H227=""),G227,99999),IF(AND(I227&lt;&gt;"",J227=""),I227,99999),IF(AND(K227&lt;&gt;"",L227=""),K227,99999),IF(AND(M227&lt;&gt;"",N227=""),M227,99999),IF(AND(O227&lt;&gt;"",P227=""),O227,99999)))</f>
        <v/>
      </c>
    </row>
    <row r="228" customFormat="false" ht="15" hidden="false" customHeight="false" outlineLevel="0" collapsed="false">
      <c r="A228" s="20" t="n">
        <v>223</v>
      </c>
      <c r="B228" s="21"/>
      <c r="C228" s="21"/>
      <c r="D228" s="22"/>
      <c r="E228" s="23" t="str">
        <f aca="false">IF(OR(NOT(ISNUMBER($D228)),Config!$G$6&lt;&gt;"Sim"),"",$D228+Config!$F$6+IF(AND(Config!$F$6&gt;0,WEEKDAY($D228+Config!$F$6)=Config!$E$24),1,0))</f>
        <v/>
      </c>
      <c r="F228" s="24"/>
      <c r="G228" s="23" t="str">
        <f aca="false">IF(OR(NOT(ISNUMBER($D228)),Config!$G$7&lt;&gt;"Sim"),"",$D228+Config!$F$7+IF(AND(Config!$F$7&gt;0,WEEKDAY($D228+Config!$F$7)=Config!$E$24),1,0))</f>
        <v/>
      </c>
      <c r="H228" s="24"/>
      <c r="I228" s="23" t="str">
        <f aca="false">IF(OR(NOT(ISNUMBER($D228)),Config!$G$8&lt;&gt;"Sim"),"",$D228+Config!$F$8+IF(AND(Config!$F$8&gt;0,WEEKDAY($D228+Config!$F$8)=Config!$E$24),1,0))</f>
        <v/>
      </c>
      <c r="J228" s="24"/>
      <c r="K228" s="23" t="str">
        <f aca="false">IF(OR(NOT(ISNUMBER($D228)),Config!$G$9&lt;&gt;"Sim"),"",$D228+Config!$F$9+IF(AND(Config!$F$9&gt;0,WEEKDAY($D228+Config!$F$9)=Config!$E$24),1,0))</f>
        <v/>
      </c>
      <c r="L228" s="24"/>
      <c r="M228" s="23" t="str">
        <f aca="false">IF(OR(NOT(ISNUMBER($D228)),Config!$G$10&lt;&gt;"Sim"),"",$D228+Config!$F$10+IF(AND(Config!$F$10&gt;0,WEEKDAY($D228+Config!$F$10)=Config!$E$24),1,0))</f>
        <v/>
      </c>
      <c r="N228" s="24"/>
      <c r="O228" s="23" t="str">
        <f aca="false">IF(OR(NOT(ISNUMBER($D228)),Config!$G$11&lt;&gt;"Sim"),"",$D228+Config!$F$11+IF(AND(Config!$F$11&gt;0,WEEKDAY($D228+Config!$F$11)=Config!$E$24),1,0))</f>
        <v/>
      </c>
      <c r="P228" s="24"/>
      <c r="Q228" s="25" t="str">
        <f aca="false">IF(COUNT(E228,G228,I228,K228,M228,O228)=0,"",((E228&lt;&gt;"")*(F228&lt;&gt;"")+(G228&lt;&gt;"")*(H228&lt;&gt;"")+(I228&lt;&gt;"")*(J228&lt;&gt;"")+(K228&lt;&gt;"")*(L228&lt;&gt;"")+(M228&lt;&gt;"")*(N228&lt;&gt;"")+(O228&lt;&gt;"")*(P228&lt;&gt;""))/COUNT(E228,G228,I228,K228,M228,O228))</f>
        <v/>
      </c>
      <c r="R228" s="26" t="str">
        <f aca="false">IF(T228="","",IF(T228=99999,"",T228))</f>
        <v/>
      </c>
      <c r="S228" s="27" t="str">
        <f aca="true">IF(T228="","",IF(T228=99999,"Concluído",IF(T228&lt;TODAY(),"Atrasado",IF(T228=TODAY(),"Hoje","Em dia"))))</f>
        <v/>
      </c>
      <c r="T228" s="28" t="str">
        <f aca="false">IF(COUNT(E228,G228,I228,K228,M228,O228)=0,"",MIN(IF(AND(E228&lt;&gt;"",F228=""),E228,99999),IF(AND(G228&lt;&gt;"",H228=""),G228,99999),IF(AND(I228&lt;&gt;"",J228=""),I228,99999),IF(AND(K228&lt;&gt;"",L228=""),K228,99999),IF(AND(M228&lt;&gt;"",N228=""),M228,99999),IF(AND(O228&lt;&gt;"",P228=""),O228,99999)))</f>
        <v/>
      </c>
    </row>
    <row r="229" customFormat="false" ht="15" hidden="false" customHeight="false" outlineLevel="0" collapsed="false">
      <c r="A229" s="20" t="n">
        <v>224</v>
      </c>
      <c r="B229" s="21"/>
      <c r="C229" s="21"/>
      <c r="D229" s="22"/>
      <c r="E229" s="23" t="str">
        <f aca="false">IF(OR(NOT(ISNUMBER($D229)),Config!$G$6&lt;&gt;"Sim"),"",$D229+Config!$F$6+IF(AND(Config!$F$6&gt;0,WEEKDAY($D229+Config!$F$6)=Config!$E$24),1,0))</f>
        <v/>
      </c>
      <c r="F229" s="24"/>
      <c r="G229" s="23" t="str">
        <f aca="false">IF(OR(NOT(ISNUMBER($D229)),Config!$G$7&lt;&gt;"Sim"),"",$D229+Config!$F$7+IF(AND(Config!$F$7&gt;0,WEEKDAY($D229+Config!$F$7)=Config!$E$24),1,0))</f>
        <v/>
      </c>
      <c r="H229" s="24"/>
      <c r="I229" s="23" t="str">
        <f aca="false">IF(OR(NOT(ISNUMBER($D229)),Config!$G$8&lt;&gt;"Sim"),"",$D229+Config!$F$8+IF(AND(Config!$F$8&gt;0,WEEKDAY($D229+Config!$F$8)=Config!$E$24),1,0))</f>
        <v/>
      </c>
      <c r="J229" s="24"/>
      <c r="K229" s="23" t="str">
        <f aca="false">IF(OR(NOT(ISNUMBER($D229)),Config!$G$9&lt;&gt;"Sim"),"",$D229+Config!$F$9+IF(AND(Config!$F$9&gt;0,WEEKDAY($D229+Config!$F$9)=Config!$E$24),1,0))</f>
        <v/>
      </c>
      <c r="L229" s="24"/>
      <c r="M229" s="23" t="str">
        <f aca="false">IF(OR(NOT(ISNUMBER($D229)),Config!$G$10&lt;&gt;"Sim"),"",$D229+Config!$F$10+IF(AND(Config!$F$10&gt;0,WEEKDAY($D229+Config!$F$10)=Config!$E$24),1,0))</f>
        <v/>
      </c>
      <c r="N229" s="24"/>
      <c r="O229" s="23" t="str">
        <f aca="false">IF(OR(NOT(ISNUMBER($D229)),Config!$G$11&lt;&gt;"Sim"),"",$D229+Config!$F$11+IF(AND(Config!$F$11&gt;0,WEEKDAY($D229+Config!$F$11)=Config!$E$24),1,0))</f>
        <v/>
      </c>
      <c r="P229" s="24"/>
      <c r="Q229" s="25" t="str">
        <f aca="false">IF(COUNT(E229,G229,I229,K229,M229,O229)=0,"",((E229&lt;&gt;"")*(F229&lt;&gt;"")+(G229&lt;&gt;"")*(H229&lt;&gt;"")+(I229&lt;&gt;"")*(J229&lt;&gt;"")+(K229&lt;&gt;"")*(L229&lt;&gt;"")+(M229&lt;&gt;"")*(N229&lt;&gt;"")+(O229&lt;&gt;"")*(P229&lt;&gt;""))/COUNT(E229,G229,I229,K229,M229,O229))</f>
        <v/>
      </c>
      <c r="R229" s="26" t="str">
        <f aca="false">IF(T229="","",IF(T229=99999,"",T229))</f>
        <v/>
      </c>
      <c r="S229" s="27" t="str">
        <f aca="true">IF(T229="","",IF(T229=99999,"Concluído",IF(T229&lt;TODAY(),"Atrasado",IF(T229=TODAY(),"Hoje","Em dia"))))</f>
        <v/>
      </c>
      <c r="T229" s="28" t="str">
        <f aca="false">IF(COUNT(E229,G229,I229,K229,M229,O229)=0,"",MIN(IF(AND(E229&lt;&gt;"",F229=""),E229,99999),IF(AND(G229&lt;&gt;"",H229=""),G229,99999),IF(AND(I229&lt;&gt;"",J229=""),I229,99999),IF(AND(K229&lt;&gt;"",L229=""),K229,99999),IF(AND(M229&lt;&gt;"",N229=""),M229,99999),IF(AND(O229&lt;&gt;"",P229=""),O229,99999)))</f>
        <v/>
      </c>
    </row>
    <row r="230" customFormat="false" ht="15" hidden="false" customHeight="false" outlineLevel="0" collapsed="false">
      <c r="A230" s="20" t="n">
        <v>225</v>
      </c>
      <c r="B230" s="21"/>
      <c r="C230" s="21"/>
      <c r="D230" s="22"/>
      <c r="E230" s="23" t="str">
        <f aca="false">IF(OR(NOT(ISNUMBER($D230)),Config!$G$6&lt;&gt;"Sim"),"",$D230+Config!$F$6+IF(AND(Config!$F$6&gt;0,WEEKDAY($D230+Config!$F$6)=Config!$E$24),1,0))</f>
        <v/>
      </c>
      <c r="F230" s="24"/>
      <c r="G230" s="23" t="str">
        <f aca="false">IF(OR(NOT(ISNUMBER($D230)),Config!$G$7&lt;&gt;"Sim"),"",$D230+Config!$F$7+IF(AND(Config!$F$7&gt;0,WEEKDAY($D230+Config!$F$7)=Config!$E$24),1,0))</f>
        <v/>
      </c>
      <c r="H230" s="24"/>
      <c r="I230" s="23" t="str">
        <f aca="false">IF(OR(NOT(ISNUMBER($D230)),Config!$G$8&lt;&gt;"Sim"),"",$D230+Config!$F$8+IF(AND(Config!$F$8&gt;0,WEEKDAY($D230+Config!$F$8)=Config!$E$24),1,0))</f>
        <v/>
      </c>
      <c r="J230" s="24"/>
      <c r="K230" s="23" t="str">
        <f aca="false">IF(OR(NOT(ISNUMBER($D230)),Config!$G$9&lt;&gt;"Sim"),"",$D230+Config!$F$9+IF(AND(Config!$F$9&gt;0,WEEKDAY($D230+Config!$F$9)=Config!$E$24),1,0))</f>
        <v/>
      </c>
      <c r="L230" s="24"/>
      <c r="M230" s="23" t="str">
        <f aca="false">IF(OR(NOT(ISNUMBER($D230)),Config!$G$10&lt;&gt;"Sim"),"",$D230+Config!$F$10+IF(AND(Config!$F$10&gt;0,WEEKDAY($D230+Config!$F$10)=Config!$E$24),1,0))</f>
        <v/>
      </c>
      <c r="N230" s="24"/>
      <c r="O230" s="23" t="str">
        <f aca="false">IF(OR(NOT(ISNUMBER($D230)),Config!$G$11&lt;&gt;"Sim"),"",$D230+Config!$F$11+IF(AND(Config!$F$11&gt;0,WEEKDAY($D230+Config!$F$11)=Config!$E$24),1,0))</f>
        <v/>
      </c>
      <c r="P230" s="24"/>
      <c r="Q230" s="25" t="str">
        <f aca="false">IF(COUNT(E230,G230,I230,K230,M230,O230)=0,"",((E230&lt;&gt;"")*(F230&lt;&gt;"")+(G230&lt;&gt;"")*(H230&lt;&gt;"")+(I230&lt;&gt;"")*(J230&lt;&gt;"")+(K230&lt;&gt;"")*(L230&lt;&gt;"")+(M230&lt;&gt;"")*(N230&lt;&gt;"")+(O230&lt;&gt;"")*(P230&lt;&gt;""))/COUNT(E230,G230,I230,K230,M230,O230))</f>
        <v/>
      </c>
      <c r="R230" s="26" t="str">
        <f aca="false">IF(T230="","",IF(T230=99999,"",T230))</f>
        <v/>
      </c>
      <c r="S230" s="27" t="str">
        <f aca="true">IF(T230="","",IF(T230=99999,"Concluído",IF(T230&lt;TODAY(),"Atrasado",IF(T230=TODAY(),"Hoje","Em dia"))))</f>
        <v/>
      </c>
      <c r="T230" s="28" t="str">
        <f aca="false">IF(COUNT(E230,G230,I230,K230,M230,O230)=0,"",MIN(IF(AND(E230&lt;&gt;"",F230=""),E230,99999),IF(AND(G230&lt;&gt;"",H230=""),G230,99999),IF(AND(I230&lt;&gt;"",J230=""),I230,99999),IF(AND(K230&lt;&gt;"",L230=""),K230,99999),IF(AND(M230&lt;&gt;"",N230=""),M230,99999),IF(AND(O230&lt;&gt;"",P230=""),O230,99999)))</f>
        <v/>
      </c>
    </row>
    <row r="231" customFormat="false" ht="15" hidden="false" customHeight="false" outlineLevel="0" collapsed="false">
      <c r="A231" s="20" t="n">
        <v>226</v>
      </c>
      <c r="B231" s="21"/>
      <c r="C231" s="21"/>
      <c r="D231" s="22"/>
      <c r="E231" s="23" t="str">
        <f aca="false">IF(OR(NOT(ISNUMBER($D231)),Config!$G$6&lt;&gt;"Sim"),"",$D231+Config!$F$6+IF(AND(Config!$F$6&gt;0,WEEKDAY($D231+Config!$F$6)=Config!$E$24),1,0))</f>
        <v/>
      </c>
      <c r="F231" s="24"/>
      <c r="G231" s="23" t="str">
        <f aca="false">IF(OR(NOT(ISNUMBER($D231)),Config!$G$7&lt;&gt;"Sim"),"",$D231+Config!$F$7+IF(AND(Config!$F$7&gt;0,WEEKDAY($D231+Config!$F$7)=Config!$E$24),1,0))</f>
        <v/>
      </c>
      <c r="H231" s="24"/>
      <c r="I231" s="23" t="str">
        <f aca="false">IF(OR(NOT(ISNUMBER($D231)),Config!$G$8&lt;&gt;"Sim"),"",$D231+Config!$F$8+IF(AND(Config!$F$8&gt;0,WEEKDAY($D231+Config!$F$8)=Config!$E$24),1,0))</f>
        <v/>
      </c>
      <c r="J231" s="24"/>
      <c r="K231" s="23" t="str">
        <f aca="false">IF(OR(NOT(ISNUMBER($D231)),Config!$G$9&lt;&gt;"Sim"),"",$D231+Config!$F$9+IF(AND(Config!$F$9&gt;0,WEEKDAY($D231+Config!$F$9)=Config!$E$24),1,0))</f>
        <v/>
      </c>
      <c r="L231" s="24"/>
      <c r="M231" s="23" t="str">
        <f aca="false">IF(OR(NOT(ISNUMBER($D231)),Config!$G$10&lt;&gt;"Sim"),"",$D231+Config!$F$10+IF(AND(Config!$F$10&gt;0,WEEKDAY($D231+Config!$F$10)=Config!$E$24),1,0))</f>
        <v/>
      </c>
      <c r="N231" s="24"/>
      <c r="O231" s="23" t="str">
        <f aca="false">IF(OR(NOT(ISNUMBER($D231)),Config!$G$11&lt;&gt;"Sim"),"",$D231+Config!$F$11+IF(AND(Config!$F$11&gt;0,WEEKDAY($D231+Config!$F$11)=Config!$E$24),1,0))</f>
        <v/>
      </c>
      <c r="P231" s="24"/>
      <c r="Q231" s="25" t="str">
        <f aca="false">IF(COUNT(E231,G231,I231,K231,M231,O231)=0,"",((E231&lt;&gt;"")*(F231&lt;&gt;"")+(G231&lt;&gt;"")*(H231&lt;&gt;"")+(I231&lt;&gt;"")*(J231&lt;&gt;"")+(K231&lt;&gt;"")*(L231&lt;&gt;"")+(M231&lt;&gt;"")*(N231&lt;&gt;"")+(O231&lt;&gt;"")*(P231&lt;&gt;""))/COUNT(E231,G231,I231,K231,M231,O231))</f>
        <v/>
      </c>
      <c r="R231" s="26" t="str">
        <f aca="false">IF(T231="","",IF(T231=99999,"",T231))</f>
        <v/>
      </c>
      <c r="S231" s="27" t="str">
        <f aca="true">IF(T231="","",IF(T231=99999,"Concluído",IF(T231&lt;TODAY(),"Atrasado",IF(T231=TODAY(),"Hoje","Em dia"))))</f>
        <v/>
      </c>
      <c r="T231" s="28" t="str">
        <f aca="false">IF(COUNT(E231,G231,I231,K231,M231,O231)=0,"",MIN(IF(AND(E231&lt;&gt;"",F231=""),E231,99999),IF(AND(G231&lt;&gt;"",H231=""),G231,99999),IF(AND(I231&lt;&gt;"",J231=""),I231,99999),IF(AND(K231&lt;&gt;"",L231=""),K231,99999),IF(AND(M231&lt;&gt;"",N231=""),M231,99999),IF(AND(O231&lt;&gt;"",P231=""),O231,99999)))</f>
        <v/>
      </c>
    </row>
    <row r="232" customFormat="false" ht="15" hidden="false" customHeight="false" outlineLevel="0" collapsed="false">
      <c r="A232" s="20" t="n">
        <v>227</v>
      </c>
      <c r="B232" s="21"/>
      <c r="C232" s="21"/>
      <c r="D232" s="22"/>
      <c r="E232" s="23" t="str">
        <f aca="false">IF(OR(NOT(ISNUMBER($D232)),Config!$G$6&lt;&gt;"Sim"),"",$D232+Config!$F$6+IF(AND(Config!$F$6&gt;0,WEEKDAY($D232+Config!$F$6)=Config!$E$24),1,0))</f>
        <v/>
      </c>
      <c r="F232" s="24"/>
      <c r="G232" s="23" t="str">
        <f aca="false">IF(OR(NOT(ISNUMBER($D232)),Config!$G$7&lt;&gt;"Sim"),"",$D232+Config!$F$7+IF(AND(Config!$F$7&gt;0,WEEKDAY($D232+Config!$F$7)=Config!$E$24),1,0))</f>
        <v/>
      </c>
      <c r="H232" s="24"/>
      <c r="I232" s="23" t="str">
        <f aca="false">IF(OR(NOT(ISNUMBER($D232)),Config!$G$8&lt;&gt;"Sim"),"",$D232+Config!$F$8+IF(AND(Config!$F$8&gt;0,WEEKDAY($D232+Config!$F$8)=Config!$E$24),1,0))</f>
        <v/>
      </c>
      <c r="J232" s="24"/>
      <c r="K232" s="23" t="str">
        <f aca="false">IF(OR(NOT(ISNUMBER($D232)),Config!$G$9&lt;&gt;"Sim"),"",$D232+Config!$F$9+IF(AND(Config!$F$9&gt;0,WEEKDAY($D232+Config!$F$9)=Config!$E$24),1,0))</f>
        <v/>
      </c>
      <c r="L232" s="24"/>
      <c r="M232" s="23" t="str">
        <f aca="false">IF(OR(NOT(ISNUMBER($D232)),Config!$G$10&lt;&gt;"Sim"),"",$D232+Config!$F$10+IF(AND(Config!$F$10&gt;0,WEEKDAY($D232+Config!$F$10)=Config!$E$24),1,0))</f>
        <v/>
      </c>
      <c r="N232" s="24"/>
      <c r="O232" s="23" t="str">
        <f aca="false">IF(OR(NOT(ISNUMBER($D232)),Config!$G$11&lt;&gt;"Sim"),"",$D232+Config!$F$11+IF(AND(Config!$F$11&gt;0,WEEKDAY($D232+Config!$F$11)=Config!$E$24),1,0))</f>
        <v/>
      </c>
      <c r="P232" s="24"/>
      <c r="Q232" s="25" t="str">
        <f aca="false">IF(COUNT(E232,G232,I232,K232,M232,O232)=0,"",((E232&lt;&gt;"")*(F232&lt;&gt;"")+(G232&lt;&gt;"")*(H232&lt;&gt;"")+(I232&lt;&gt;"")*(J232&lt;&gt;"")+(K232&lt;&gt;"")*(L232&lt;&gt;"")+(M232&lt;&gt;"")*(N232&lt;&gt;"")+(O232&lt;&gt;"")*(P232&lt;&gt;""))/COUNT(E232,G232,I232,K232,M232,O232))</f>
        <v/>
      </c>
      <c r="R232" s="26" t="str">
        <f aca="false">IF(T232="","",IF(T232=99999,"",T232))</f>
        <v/>
      </c>
      <c r="S232" s="27" t="str">
        <f aca="true">IF(T232="","",IF(T232=99999,"Concluído",IF(T232&lt;TODAY(),"Atrasado",IF(T232=TODAY(),"Hoje","Em dia"))))</f>
        <v/>
      </c>
      <c r="T232" s="28" t="str">
        <f aca="false">IF(COUNT(E232,G232,I232,K232,M232,O232)=0,"",MIN(IF(AND(E232&lt;&gt;"",F232=""),E232,99999),IF(AND(G232&lt;&gt;"",H232=""),G232,99999),IF(AND(I232&lt;&gt;"",J232=""),I232,99999),IF(AND(K232&lt;&gt;"",L232=""),K232,99999),IF(AND(M232&lt;&gt;"",N232=""),M232,99999),IF(AND(O232&lt;&gt;"",P232=""),O232,99999)))</f>
        <v/>
      </c>
    </row>
    <row r="233" customFormat="false" ht="15" hidden="false" customHeight="false" outlineLevel="0" collapsed="false">
      <c r="A233" s="20" t="n">
        <v>228</v>
      </c>
      <c r="B233" s="21"/>
      <c r="C233" s="21"/>
      <c r="D233" s="22"/>
      <c r="E233" s="23" t="str">
        <f aca="false">IF(OR(NOT(ISNUMBER($D233)),Config!$G$6&lt;&gt;"Sim"),"",$D233+Config!$F$6+IF(AND(Config!$F$6&gt;0,WEEKDAY($D233+Config!$F$6)=Config!$E$24),1,0))</f>
        <v/>
      </c>
      <c r="F233" s="24"/>
      <c r="G233" s="23" t="str">
        <f aca="false">IF(OR(NOT(ISNUMBER($D233)),Config!$G$7&lt;&gt;"Sim"),"",$D233+Config!$F$7+IF(AND(Config!$F$7&gt;0,WEEKDAY($D233+Config!$F$7)=Config!$E$24),1,0))</f>
        <v/>
      </c>
      <c r="H233" s="24"/>
      <c r="I233" s="23" t="str">
        <f aca="false">IF(OR(NOT(ISNUMBER($D233)),Config!$G$8&lt;&gt;"Sim"),"",$D233+Config!$F$8+IF(AND(Config!$F$8&gt;0,WEEKDAY($D233+Config!$F$8)=Config!$E$24),1,0))</f>
        <v/>
      </c>
      <c r="J233" s="24"/>
      <c r="K233" s="23" t="str">
        <f aca="false">IF(OR(NOT(ISNUMBER($D233)),Config!$G$9&lt;&gt;"Sim"),"",$D233+Config!$F$9+IF(AND(Config!$F$9&gt;0,WEEKDAY($D233+Config!$F$9)=Config!$E$24),1,0))</f>
        <v/>
      </c>
      <c r="L233" s="24"/>
      <c r="M233" s="23" t="str">
        <f aca="false">IF(OR(NOT(ISNUMBER($D233)),Config!$G$10&lt;&gt;"Sim"),"",$D233+Config!$F$10+IF(AND(Config!$F$10&gt;0,WEEKDAY($D233+Config!$F$10)=Config!$E$24),1,0))</f>
        <v/>
      </c>
      <c r="N233" s="24"/>
      <c r="O233" s="23" t="str">
        <f aca="false">IF(OR(NOT(ISNUMBER($D233)),Config!$G$11&lt;&gt;"Sim"),"",$D233+Config!$F$11+IF(AND(Config!$F$11&gt;0,WEEKDAY($D233+Config!$F$11)=Config!$E$24),1,0))</f>
        <v/>
      </c>
      <c r="P233" s="24"/>
      <c r="Q233" s="25" t="str">
        <f aca="false">IF(COUNT(E233,G233,I233,K233,M233,O233)=0,"",((E233&lt;&gt;"")*(F233&lt;&gt;"")+(G233&lt;&gt;"")*(H233&lt;&gt;"")+(I233&lt;&gt;"")*(J233&lt;&gt;"")+(K233&lt;&gt;"")*(L233&lt;&gt;"")+(M233&lt;&gt;"")*(N233&lt;&gt;"")+(O233&lt;&gt;"")*(P233&lt;&gt;""))/COUNT(E233,G233,I233,K233,M233,O233))</f>
        <v/>
      </c>
      <c r="R233" s="26" t="str">
        <f aca="false">IF(T233="","",IF(T233=99999,"",T233))</f>
        <v/>
      </c>
      <c r="S233" s="27" t="str">
        <f aca="true">IF(T233="","",IF(T233=99999,"Concluído",IF(T233&lt;TODAY(),"Atrasado",IF(T233=TODAY(),"Hoje","Em dia"))))</f>
        <v/>
      </c>
      <c r="T233" s="28" t="str">
        <f aca="false">IF(COUNT(E233,G233,I233,K233,M233,O233)=0,"",MIN(IF(AND(E233&lt;&gt;"",F233=""),E233,99999),IF(AND(G233&lt;&gt;"",H233=""),G233,99999),IF(AND(I233&lt;&gt;"",J233=""),I233,99999),IF(AND(K233&lt;&gt;"",L233=""),K233,99999),IF(AND(M233&lt;&gt;"",N233=""),M233,99999),IF(AND(O233&lt;&gt;"",P233=""),O233,99999)))</f>
        <v/>
      </c>
    </row>
    <row r="234" customFormat="false" ht="15" hidden="false" customHeight="false" outlineLevel="0" collapsed="false">
      <c r="A234" s="20" t="n">
        <v>229</v>
      </c>
      <c r="B234" s="21"/>
      <c r="C234" s="21"/>
      <c r="D234" s="22"/>
      <c r="E234" s="23" t="str">
        <f aca="false">IF(OR(NOT(ISNUMBER($D234)),Config!$G$6&lt;&gt;"Sim"),"",$D234+Config!$F$6+IF(AND(Config!$F$6&gt;0,WEEKDAY($D234+Config!$F$6)=Config!$E$24),1,0))</f>
        <v/>
      </c>
      <c r="F234" s="24"/>
      <c r="G234" s="23" t="str">
        <f aca="false">IF(OR(NOT(ISNUMBER($D234)),Config!$G$7&lt;&gt;"Sim"),"",$D234+Config!$F$7+IF(AND(Config!$F$7&gt;0,WEEKDAY($D234+Config!$F$7)=Config!$E$24),1,0))</f>
        <v/>
      </c>
      <c r="H234" s="24"/>
      <c r="I234" s="23" t="str">
        <f aca="false">IF(OR(NOT(ISNUMBER($D234)),Config!$G$8&lt;&gt;"Sim"),"",$D234+Config!$F$8+IF(AND(Config!$F$8&gt;0,WEEKDAY($D234+Config!$F$8)=Config!$E$24),1,0))</f>
        <v/>
      </c>
      <c r="J234" s="24"/>
      <c r="K234" s="23" t="str">
        <f aca="false">IF(OR(NOT(ISNUMBER($D234)),Config!$G$9&lt;&gt;"Sim"),"",$D234+Config!$F$9+IF(AND(Config!$F$9&gt;0,WEEKDAY($D234+Config!$F$9)=Config!$E$24),1,0))</f>
        <v/>
      </c>
      <c r="L234" s="24"/>
      <c r="M234" s="23" t="str">
        <f aca="false">IF(OR(NOT(ISNUMBER($D234)),Config!$G$10&lt;&gt;"Sim"),"",$D234+Config!$F$10+IF(AND(Config!$F$10&gt;0,WEEKDAY($D234+Config!$F$10)=Config!$E$24),1,0))</f>
        <v/>
      </c>
      <c r="N234" s="24"/>
      <c r="O234" s="23" t="str">
        <f aca="false">IF(OR(NOT(ISNUMBER($D234)),Config!$G$11&lt;&gt;"Sim"),"",$D234+Config!$F$11+IF(AND(Config!$F$11&gt;0,WEEKDAY($D234+Config!$F$11)=Config!$E$24),1,0))</f>
        <v/>
      </c>
      <c r="P234" s="24"/>
      <c r="Q234" s="25" t="str">
        <f aca="false">IF(COUNT(E234,G234,I234,K234,M234,O234)=0,"",((E234&lt;&gt;"")*(F234&lt;&gt;"")+(G234&lt;&gt;"")*(H234&lt;&gt;"")+(I234&lt;&gt;"")*(J234&lt;&gt;"")+(K234&lt;&gt;"")*(L234&lt;&gt;"")+(M234&lt;&gt;"")*(N234&lt;&gt;"")+(O234&lt;&gt;"")*(P234&lt;&gt;""))/COUNT(E234,G234,I234,K234,M234,O234))</f>
        <v/>
      </c>
      <c r="R234" s="26" t="str">
        <f aca="false">IF(T234="","",IF(T234=99999,"",T234))</f>
        <v/>
      </c>
      <c r="S234" s="27" t="str">
        <f aca="true">IF(T234="","",IF(T234=99999,"Concluído",IF(T234&lt;TODAY(),"Atrasado",IF(T234=TODAY(),"Hoje","Em dia"))))</f>
        <v/>
      </c>
      <c r="T234" s="28" t="str">
        <f aca="false">IF(COUNT(E234,G234,I234,K234,M234,O234)=0,"",MIN(IF(AND(E234&lt;&gt;"",F234=""),E234,99999),IF(AND(G234&lt;&gt;"",H234=""),G234,99999),IF(AND(I234&lt;&gt;"",J234=""),I234,99999),IF(AND(K234&lt;&gt;"",L234=""),K234,99999),IF(AND(M234&lt;&gt;"",N234=""),M234,99999),IF(AND(O234&lt;&gt;"",P234=""),O234,99999)))</f>
        <v/>
      </c>
    </row>
    <row r="235" customFormat="false" ht="15" hidden="false" customHeight="false" outlineLevel="0" collapsed="false">
      <c r="A235" s="20" t="n">
        <v>230</v>
      </c>
      <c r="B235" s="21"/>
      <c r="C235" s="21"/>
      <c r="D235" s="22"/>
      <c r="E235" s="23" t="str">
        <f aca="false">IF(OR(NOT(ISNUMBER($D235)),Config!$G$6&lt;&gt;"Sim"),"",$D235+Config!$F$6+IF(AND(Config!$F$6&gt;0,WEEKDAY($D235+Config!$F$6)=Config!$E$24),1,0))</f>
        <v/>
      </c>
      <c r="F235" s="24"/>
      <c r="G235" s="23" t="str">
        <f aca="false">IF(OR(NOT(ISNUMBER($D235)),Config!$G$7&lt;&gt;"Sim"),"",$D235+Config!$F$7+IF(AND(Config!$F$7&gt;0,WEEKDAY($D235+Config!$F$7)=Config!$E$24),1,0))</f>
        <v/>
      </c>
      <c r="H235" s="24"/>
      <c r="I235" s="23" t="str">
        <f aca="false">IF(OR(NOT(ISNUMBER($D235)),Config!$G$8&lt;&gt;"Sim"),"",$D235+Config!$F$8+IF(AND(Config!$F$8&gt;0,WEEKDAY($D235+Config!$F$8)=Config!$E$24),1,0))</f>
        <v/>
      </c>
      <c r="J235" s="24"/>
      <c r="K235" s="23" t="str">
        <f aca="false">IF(OR(NOT(ISNUMBER($D235)),Config!$G$9&lt;&gt;"Sim"),"",$D235+Config!$F$9+IF(AND(Config!$F$9&gt;0,WEEKDAY($D235+Config!$F$9)=Config!$E$24),1,0))</f>
        <v/>
      </c>
      <c r="L235" s="24"/>
      <c r="M235" s="23" t="str">
        <f aca="false">IF(OR(NOT(ISNUMBER($D235)),Config!$G$10&lt;&gt;"Sim"),"",$D235+Config!$F$10+IF(AND(Config!$F$10&gt;0,WEEKDAY($D235+Config!$F$10)=Config!$E$24),1,0))</f>
        <v/>
      </c>
      <c r="N235" s="24"/>
      <c r="O235" s="23" t="str">
        <f aca="false">IF(OR(NOT(ISNUMBER($D235)),Config!$G$11&lt;&gt;"Sim"),"",$D235+Config!$F$11+IF(AND(Config!$F$11&gt;0,WEEKDAY($D235+Config!$F$11)=Config!$E$24),1,0))</f>
        <v/>
      </c>
      <c r="P235" s="24"/>
      <c r="Q235" s="25" t="str">
        <f aca="false">IF(COUNT(E235,G235,I235,K235,M235,O235)=0,"",((E235&lt;&gt;"")*(F235&lt;&gt;"")+(G235&lt;&gt;"")*(H235&lt;&gt;"")+(I235&lt;&gt;"")*(J235&lt;&gt;"")+(K235&lt;&gt;"")*(L235&lt;&gt;"")+(M235&lt;&gt;"")*(N235&lt;&gt;"")+(O235&lt;&gt;"")*(P235&lt;&gt;""))/COUNT(E235,G235,I235,K235,M235,O235))</f>
        <v/>
      </c>
      <c r="R235" s="26" t="str">
        <f aca="false">IF(T235="","",IF(T235=99999,"",T235))</f>
        <v/>
      </c>
      <c r="S235" s="27" t="str">
        <f aca="true">IF(T235="","",IF(T235=99999,"Concluído",IF(T235&lt;TODAY(),"Atrasado",IF(T235=TODAY(),"Hoje","Em dia"))))</f>
        <v/>
      </c>
      <c r="T235" s="28" t="str">
        <f aca="false">IF(COUNT(E235,G235,I235,K235,M235,O235)=0,"",MIN(IF(AND(E235&lt;&gt;"",F235=""),E235,99999),IF(AND(G235&lt;&gt;"",H235=""),G235,99999),IF(AND(I235&lt;&gt;"",J235=""),I235,99999),IF(AND(K235&lt;&gt;"",L235=""),K235,99999),IF(AND(M235&lt;&gt;"",N235=""),M235,99999),IF(AND(O235&lt;&gt;"",P235=""),O235,99999)))</f>
        <v/>
      </c>
    </row>
    <row r="236" customFormat="false" ht="15" hidden="false" customHeight="false" outlineLevel="0" collapsed="false">
      <c r="A236" s="20" t="n">
        <v>231</v>
      </c>
      <c r="B236" s="21"/>
      <c r="C236" s="21"/>
      <c r="D236" s="22"/>
      <c r="E236" s="23" t="str">
        <f aca="false">IF(OR(NOT(ISNUMBER($D236)),Config!$G$6&lt;&gt;"Sim"),"",$D236+Config!$F$6+IF(AND(Config!$F$6&gt;0,WEEKDAY($D236+Config!$F$6)=Config!$E$24),1,0))</f>
        <v/>
      </c>
      <c r="F236" s="24"/>
      <c r="G236" s="23" t="str">
        <f aca="false">IF(OR(NOT(ISNUMBER($D236)),Config!$G$7&lt;&gt;"Sim"),"",$D236+Config!$F$7+IF(AND(Config!$F$7&gt;0,WEEKDAY($D236+Config!$F$7)=Config!$E$24),1,0))</f>
        <v/>
      </c>
      <c r="H236" s="24"/>
      <c r="I236" s="23" t="str">
        <f aca="false">IF(OR(NOT(ISNUMBER($D236)),Config!$G$8&lt;&gt;"Sim"),"",$D236+Config!$F$8+IF(AND(Config!$F$8&gt;0,WEEKDAY($D236+Config!$F$8)=Config!$E$24),1,0))</f>
        <v/>
      </c>
      <c r="J236" s="24"/>
      <c r="K236" s="23" t="str">
        <f aca="false">IF(OR(NOT(ISNUMBER($D236)),Config!$G$9&lt;&gt;"Sim"),"",$D236+Config!$F$9+IF(AND(Config!$F$9&gt;0,WEEKDAY($D236+Config!$F$9)=Config!$E$24),1,0))</f>
        <v/>
      </c>
      <c r="L236" s="24"/>
      <c r="M236" s="23" t="str">
        <f aca="false">IF(OR(NOT(ISNUMBER($D236)),Config!$G$10&lt;&gt;"Sim"),"",$D236+Config!$F$10+IF(AND(Config!$F$10&gt;0,WEEKDAY($D236+Config!$F$10)=Config!$E$24),1,0))</f>
        <v/>
      </c>
      <c r="N236" s="24"/>
      <c r="O236" s="23" t="str">
        <f aca="false">IF(OR(NOT(ISNUMBER($D236)),Config!$G$11&lt;&gt;"Sim"),"",$D236+Config!$F$11+IF(AND(Config!$F$11&gt;0,WEEKDAY($D236+Config!$F$11)=Config!$E$24),1,0))</f>
        <v/>
      </c>
      <c r="P236" s="24"/>
      <c r="Q236" s="25" t="str">
        <f aca="false">IF(COUNT(E236,G236,I236,K236,M236,O236)=0,"",((E236&lt;&gt;"")*(F236&lt;&gt;"")+(G236&lt;&gt;"")*(H236&lt;&gt;"")+(I236&lt;&gt;"")*(J236&lt;&gt;"")+(K236&lt;&gt;"")*(L236&lt;&gt;"")+(M236&lt;&gt;"")*(N236&lt;&gt;"")+(O236&lt;&gt;"")*(P236&lt;&gt;""))/COUNT(E236,G236,I236,K236,M236,O236))</f>
        <v/>
      </c>
      <c r="R236" s="26" t="str">
        <f aca="false">IF(T236="","",IF(T236=99999,"",T236))</f>
        <v/>
      </c>
      <c r="S236" s="27" t="str">
        <f aca="true">IF(T236="","",IF(T236=99999,"Concluído",IF(T236&lt;TODAY(),"Atrasado",IF(T236=TODAY(),"Hoje","Em dia"))))</f>
        <v/>
      </c>
      <c r="T236" s="28" t="str">
        <f aca="false">IF(COUNT(E236,G236,I236,K236,M236,O236)=0,"",MIN(IF(AND(E236&lt;&gt;"",F236=""),E236,99999),IF(AND(G236&lt;&gt;"",H236=""),G236,99999),IF(AND(I236&lt;&gt;"",J236=""),I236,99999),IF(AND(K236&lt;&gt;"",L236=""),K236,99999),IF(AND(M236&lt;&gt;"",N236=""),M236,99999),IF(AND(O236&lt;&gt;"",P236=""),O236,99999)))</f>
        <v/>
      </c>
    </row>
    <row r="237" customFormat="false" ht="15" hidden="false" customHeight="false" outlineLevel="0" collapsed="false">
      <c r="A237" s="20" t="n">
        <v>232</v>
      </c>
      <c r="B237" s="21"/>
      <c r="C237" s="21"/>
      <c r="D237" s="22"/>
      <c r="E237" s="23" t="str">
        <f aca="false">IF(OR(NOT(ISNUMBER($D237)),Config!$G$6&lt;&gt;"Sim"),"",$D237+Config!$F$6+IF(AND(Config!$F$6&gt;0,WEEKDAY($D237+Config!$F$6)=Config!$E$24),1,0))</f>
        <v/>
      </c>
      <c r="F237" s="24"/>
      <c r="G237" s="23" t="str">
        <f aca="false">IF(OR(NOT(ISNUMBER($D237)),Config!$G$7&lt;&gt;"Sim"),"",$D237+Config!$F$7+IF(AND(Config!$F$7&gt;0,WEEKDAY($D237+Config!$F$7)=Config!$E$24),1,0))</f>
        <v/>
      </c>
      <c r="H237" s="24"/>
      <c r="I237" s="23" t="str">
        <f aca="false">IF(OR(NOT(ISNUMBER($D237)),Config!$G$8&lt;&gt;"Sim"),"",$D237+Config!$F$8+IF(AND(Config!$F$8&gt;0,WEEKDAY($D237+Config!$F$8)=Config!$E$24),1,0))</f>
        <v/>
      </c>
      <c r="J237" s="24"/>
      <c r="K237" s="23" t="str">
        <f aca="false">IF(OR(NOT(ISNUMBER($D237)),Config!$G$9&lt;&gt;"Sim"),"",$D237+Config!$F$9+IF(AND(Config!$F$9&gt;0,WEEKDAY($D237+Config!$F$9)=Config!$E$24),1,0))</f>
        <v/>
      </c>
      <c r="L237" s="24"/>
      <c r="M237" s="23" t="str">
        <f aca="false">IF(OR(NOT(ISNUMBER($D237)),Config!$G$10&lt;&gt;"Sim"),"",$D237+Config!$F$10+IF(AND(Config!$F$10&gt;0,WEEKDAY($D237+Config!$F$10)=Config!$E$24),1,0))</f>
        <v/>
      </c>
      <c r="N237" s="24"/>
      <c r="O237" s="23" t="str">
        <f aca="false">IF(OR(NOT(ISNUMBER($D237)),Config!$G$11&lt;&gt;"Sim"),"",$D237+Config!$F$11+IF(AND(Config!$F$11&gt;0,WEEKDAY($D237+Config!$F$11)=Config!$E$24),1,0))</f>
        <v/>
      </c>
      <c r="P237" s="24"/>
      <c r="Q237" s="25" t="str">
        <f aca="false">IF(COUNT(E237,G237,I237,K237,M237,O237)=0,"",((E237&lt;&gt;"")*(F237&lt;&gt;"")+(G237&lt;&gt;"")*(H237&lt;&gt;"")+(I237&lt;&gt;"")*(J237&lt;&gt;"")+(K237&lt;&gt;"")*(L237&lt;&gt;"")+(M237&lt;&gt;"")*(N237&lt;&gt;"")+(O237&lt;&gt;"")*(P237&lt;&gt;""))/COUNT(E237,G237,I237,K237,M237,O237))</f>
        <v/>
      </c>
      <c r="R237" s="26" t="str">
        <f aca="false">IF(T237="","",IF(T237=99999,"",T237))</f>
        <v/>
      </c>
      <c r="S237" s="27" t="str">
        <f aca="true">IF(T237="","",IF(T237=99999,"Concluído",IF(T237&lt;TODAY(),"Atrasado",IF(T237=TODAY(),"Hoje","Em dia"))))</f>
        <v/>
      </c>
      <c r="T237" s="28" t="str">
        <f aca="false">IF(COUNT(E237,G237,I237,K237,M237,O237)=0,"",MIN(IF(AND(E237&lt;&gt;"",F237=""),E237,99999),IF(AND(G237&lt;&gt;"",H237=""),G237,99999),IF(AND(I237&lt;&gt;"",J237=""),I237,99999),IF(AND(K237&lt;&gt;"",L237=""),K237,99999),IF(AND(M237&lt;&gt;"",N237=""),M237,99999),IF(AND(O237&lt;&gt;"",P237=""),O237,99999)))</f>
        <v/>
      </c>
    </row>
    <row r="238" customFormat="false" ht="15" hidden="false" customHeight="false" outlineLevel="0" collapsed="false">
      <c r="A238" s="20" t="n">
        <v>233</v>
      </c>
      <c r="B238" s="21"/>
      <c r="C238" s="21"/>
      <c r="D238" s="22"/>
      <c r="E238" s="23" t="str">
        <f aca="false">IF(OR(NOT(ISNUMBER($D238)),Config!$G$6&lt;&gt;"Sim"),"",$D238+Config!$F$6+IF(AND(Config!$F$6&gt;0,WEEKDAY($D238+Config!$F$6)=Config!$E$24),1,0))</f>
        <v/>
      </c>
      <c r="F238" s="24"/>
      <c r="G238" s="23" t="str">
        <f aca="false">IF(OR(NOT(ISNUMBER($D238)),Config!$G$7&lt;&gt;"Sim"),"",$D238+Config!$F$7+IF(AND(Config!$F$7&gt;0,WEEKDAY($D238+Config!$F$7)=Config!$E$24),1,0))</f>
        <v/>
      </c>
      <c r="H238" s="24"/>
      <c r="I238" s="23" t="str">
        <f aca="false">IF(OR(NOT(ISNUMBER($D238)),Config!$G$8&lt;&gt;"Sim"),"",$D238+Config!$F$8+IF(AND(Config!$F$8&gt;0,WEEKDAY($D238+Config!$F$8)=Config!$E$24),1,0))</f>
        <v/>
      </c>
      <c r="J238" s="24"/>
      <c r="K238" s="23" t="str">
        <f aca="false">IF(OR(NOT(ISNUMBER($D238)),Config!$G$9&lt;&gt;"Sim"),"",$D238+Config!$F$9+IF(AND(Config!$F$9&gt;0,WEEKDAY($D238+Config!$F$9)=Config!$E$24),1,0))</f>
        <v/>
      </c>
      <c r="L238" s="24"/>
      <c r="M238" s="23" t="str">
        <f aca="false">IF(OR(NOT(ISNUMBER($D238)),Config!$G$10&lt;&gt;"Sim"),"",$D238+Config!$F$10+IF(AND(Config!$F$10&gt;0,WEEKDAY($D238+Config!$F$10)=Config!$E$24),1,0))</f>
        <v/>
      </c>
      <c r="N238" s="24"/>
      <c r="O238" s="23" t="str">
        <f aca="false">IF(OR(NOT(ISNUMBER($D238)),Config!$G$11&lt;&gt;"Sim"),"",$D238+Config!$F$11+IF(AND(Config!$F$11&gt;0,WEEKDAY($D238+Config!$F$11)=Config!$E$24),1,0))</f>
        <v/>
      </c>
      <c r="P238" s="24"/>
      <c r="Q238" s="25" t="str">
        <f aca="false">IF(COUNT(E238,G238,I238,K238,M238,O238)=0,"",((E238&lt;&gt;"")*(F238&lt;&gt;"")+(G238&lt;&gt;"")*(H238&lt;&gt;"")+(I238&lt;&gt;"")*(J238&lt;&gt;"")+(K238&lt;&gt;"")*(L238&lt;&gt;"")+(M238&lt;&gt;"")*(N238&lt;&gt;"")+(O238&lt;&gt;"")*(P238&lt;&gt;""))/COUNT(E238,G238,I238,K238,M238,O238))</f>
        <v/>
      </c>
      <c r="R238" s="26" t="str">
        <f aca="false">IF(T238="","",IF(T238=99999,"",T238))</f>
        <v/>
      </c>
      <c r="S238" s="27" t="str">
        <f aca="true">IF(T238="","",IF(T238=99999,"Concluído",IF(T238&lt;TODAY(),"Atrasado",IF(T238=TODAY(),"Hoje","Em dia"))))</f>
        <v/>
      </c>
      <c r="T238" s="28" t="str">
        <f aca="false">IF(COUNT(E238,G238,I238,K238,M238,O238)=0,"",MIN(IF(AND(E238&lt;&gt;"",F238=""),E238,99999),IF(AND(G238&lt;&gt;"",H238=""),G238,99999),IF(AND(I238&lt;&gt;"",J238=""),I238,99999),IF(AND(K238&lt;&gt;"",L238=""),K238,99999),IF(AND(M238&lt;&gt;"",N238=""),M238,99999),IF(AND(O238&lt;&gt;"",P238=""),O238,99999)))</f>
        <v/>
      </c>
    </row>
    <row r="239" customFormat="false" ht="15" hidden="false" customHeight="false" outlineLevel="0" collapsed="false">
      <c r="A239" s="20" t="n">
        <v>234</v>
      </c>
      <c r="B239" s="21"/>
      <c r="C239" s="21"/>
      <c r="D239" s="22"/>
      <c r="E239" s="23" t="str">
        <f aca="false">IF(OR(NOT(ISNUMBER($D239)),Config!$G$6&lt;&gt;"Sim"),"",$D239+Config!$F$6+IF(AND(Config!$F$6&gt;0,WEEKDAY($D239+Config!$F$6)=Config!$E$24),1,0))</f>
        <v/>
      </c>
      <c r="F239" s="24"/>
      <c r="G239" s="23" t="str">
        <f aca="false">IF(OR(NOT(ISNUMBER($D239)),Config!$G$7&lt;&gt;"Sim"),"",$D239+Config!$F$7+IF(AND(Config!$F$7&gt;0,WEEKDAY($D239+Config!$F$7)=Config!$E$24),1,0))</f>
        <v/>
      </c>
      <c r="H239" s="24"/>
      <c r="I239" s="23" t="str">
        <f aca="false">IF(OR(NOT(ISNUMBER($D239)),Config!$G$8&lt;&gt;"Sim"),"",$D239+Config!$F$8+IF(AND(Config!$F$8&gt;0,WEEKDAY($D239+Config!$F$8)=Config!$E$24),1,0))</f>
        <v/>
      </c>
      <c r="J239" s="24"/>
      <c r="K239" s="23" t="str">
        <f aca="false">IF(OR(NOT(ISNUMBER($D239)),Config!$G$9&lt;&gt;"Sim"),"",$D239+Config!$F$9+IF(AND(Config!$F$9&gt;0,WEEKDAY($D239+Config!$F$9)=Config!$E$24),1,0))</f>
        <v/>
      </c>
      <c r="L239" s="24"/>
      <c r="M239" s="23" t="str">
        <f aca="false">IF(OR(NOT(ISNUMBER($D239)),Config!$G$10&lt;&gt;"Sim"),"",$D239+Config!$F$10+IF(AND(Config!$F$10&gt;0,WEEKDAY($D239+Config!$F$10)=Config!$E$24),1,0))</f>
        <v/>
      </c>
      <c r="N239" s="24"/>
      <c r="O239" s="23" t="str">
        <f aca="false">IF(OR(NOT(ISNUMBER($D239)),Config!$G$11&lt;&gt;"Sim"),"",$D239+Config!$F$11+IF(AND(Config!$F$11&gt;0,WEEKDAY($D239+Config!$F$11)=Config!$E$24),1,0))</f>
        <v/>
      </c>
      <c r="P239" s="24"/>
      <c r="Q239" s="25" t="str">
        <f aca="false">IF(COUNT(E239,G239,I239,K239,M239,O239)=0,"",((E239&lt;&gt;"")*(F239&lt;&gt;"")+(G239&lt;&gt;"")*(H239&lt;&gt;"")+(I239&lt;&gt;"")*(J239&lt;&gt;"")+(K239&lt;&gt;"")*(L239&lt;&gt;"")+(M239&lt;&gt;"")*(N239&lt;&gt;"")+(O239&lt;&gt;"")*(P239&lt;&gt;""))/COUNT(E239,G239,I239,K239,M239,O239))</f>
        <v/>
      </c>
      <c r="R239" s="26" t="str">
        <f aca="false">IF(T239="","",IF(T239=99999,"",T239))</f>
        <v/>
      </c>
      <c r="S239" s="27" t="str">
        <f aca="true">IF(T239="","",IF(T239=99999,"Concluído",IF(T239&lt;TODAY(),"Atrasado",IF(T239=TODAY(),"Hoje","Em dia"))))</f>
        <v/>
      </c>
      <c r="T239" s="28" t="str">
        <f aca="false">IF(COUNT(E239,G239,I239,K239,M239,O239)=0,"",MIN(IF(AND(E239&lt;&gt;"",F239=""),E239,99999),IF(AND(G239&lt;&gt;"",H239=""),G239,99999),IF(AND(I239&lt;&gt;"",J239=""),I239,99999),IF(AND(K239&lt;&gt;"",L239=""),K239,99999),IF(AND(M239&lt;&gt;"",N239=""),M239,99999),IF(AND(O239&lt;&gt;"",P239=""),O239,99999)))</f>
        <v/>
      </c>
    </row>
    <row r="240" customFormat="false" ht="15" hidden="false" customHeight="false" outlineLevel="0" collapsed="false">
      <c r="A240" s="20" t="n">
        <v>235</v>
      </c>
      <c r="B240" s="21"/>
      <c r="C240" s="21"/>
      <c r="D240" s="22"/>
      <c r="E240" s="23" t="str">
        <f aca="false">IF(OR(NOT(ISNUMBER($D240)),Config!$G$6&lt;&gt;"Sim"),"",$D240+Config!$F$6+IF(AND(Config!$F$6&gt;0,WEEKDAY($D240+Config!$F$6)=Config!$E$24),1,0))</f>
        <v/>
      </c>
      <c r="F240" s="24"/>
      <c r="G240" s="23" t="str">
        <f aca="false">IF(OR(NOT(ISNUMBER($D240)),Config!$G$7&lt;&gt;"Sim"),"",$D240+Config!$F$7+IF(AND(Config!$F$7&gt;0,WEEKDAY($D240+Config!$F$7)=Config!$E$24),1,0))</f>
        <v/>
      </c>
      <c r="H240" s="24"/>
      <c r="I240" s="23" t="str">
        <f aca="false">IF(OR(NOT(ISNUMBER($D240)),Config!$G$8&lt;&gt;"Sim"),"",$D240+Config!$F$8+IF(AND(Config!$F$8&gt;0,WEEKDAY($D240+Config!$F$8)=Config!$E$24),1,0))</f>
        <v/>
      </c>
      <c r="J240" s="24"/>
      <c r="K240" s="23" t="str">
        <f aca="false">IF(OR(NOT(ISNUMBER($D240)),Config!$G$9&lt;&gt;"Sim"),"",$D240+Config!$F$9+IF(AND(Config!$F$9&gt;0,WEEKDAY($D240+Config!$F$9)=Config!$E$24),1,0))</f>
        <v/>
      </c>
      <c r="L240" s="24"/>
      <c r="M240" s="23" t="str">
        <f aca="false">IF(OR(NOT(ISNUMBER($D240)),Config!$G$10&lt;&gt;"Sim"),"",$D240+Config!$F$10+IF(AND(Config!$F$10&gt;0,WEEKDAY($D240+Config!$F$10)=Config!$E$24),1,0))</f>
        <v/>
      </c>
      <c r="N240" s="24"/>
      <c r="O240" s="23" t="str">
        <f aca="false">IF(OR(NOT(ISNUMBER($D240)),Config!$G$11&lt;&gt;"Sim"),"",$D240+Config!$F$11+IF(AND(Config!$F$11&gt;0,WEEKDAY($D240+Config!$F$11)=Config!$E$24),1,0))</f>
        <v/>
      </c>
      <c r="P240" s="24"/>
      <c r="Q240" s="25" t="str">
        <f aca="false">IF(COUNT(E240,G240,I240,K240,M240,O240)=0,"",((E240&lt;&gt;"")*(F240&lt;&gt;"")+(G240&lt;&gt;"")*(H240&lt;&gt;"")+(I240&lt;&gt;"")*(J240&lt;&gt;"")+(K240&lt;&gt;"")*(L240&lt;&gt;"")+(M240&lt;&gt;"")*(N240&lt;&gt;"")+(O240&lt;&gt;"")*(P240&lt;&gt;""))/COUNT(E240,G240,I240,K240,M240,O240))</f>
        <v/>
      </c>
      <c r="R240" s="26" t="str">
        <f aca="false">IF(T240="","",IF(T240=99999,"",T240))</f>
        <v/>
      </c>
      <c r="S240" s="27" t="str">
        <f aca="true">IF(T240="","",IF(T240=99999,"Concluído",IF(T240&lt;TODAY(),"Atrasado",IF(T240=TODAY(),"Hoje","Em dia"))))</f>
        <v/>
      </c>
      <c r="T240" s="28" t="str">
        <f aca="false">IF(COUNT(E240,G240,I240,K240,M240,O240)=0,"",MIN(IF(AND(E240&lt;&gt;"",F240=""),E240,99999),IF(AND(G240&lt;&gt;"",H240=""),G240,99999),IF(AND(I240&lt;&gt;"",J240=""),I240,99999),IF(AND(K240&lt;&gt;"",L240=""),K240,99999),IF(AND(M240&lt;&gt;"",N240=""),M240,99999),IF(AND(O240&lt;&gt;"",P240=""),O240,99999)))</f>
        <v/>
      </c>
    </row>
    <row r="241" customFormat="false" ht="15" hidden="false" customHeight="false" outlineLevel="0" collapsed="false">
      <c r="A241" s="20" t="n">
        <v>236</v>
      </c>
      <c r="B241" s="21"/>
      <c r="C241" s="21"/>
      <c r="D241" s="22"/>
      <c r="E241" s="23" t="str">
        <f aca="false">IF(OR(NOT(ISNUMBER($D241)),Config!$G$6&lt;&gt;"Sim"),"",$D241+Config!$F$6+IF(AND(Config!$F$6&gt;0,WEEKDAY($D241+Config!$F$6)=Config!$E$24),1,0))</f>
        <v/>
      </c>
      <c r="F241" s="24"/>
      <c r="G241" s="23" t="str">
        <f aca="false">IF(OR(NOT(ISNUMBER($D241)),Config!$G$7&lt;&gt;"Sim"),"",$D241+Config!$F$7+IF(AND(Config!$F$7&gt;0,WEEKDAY($D241+Config!$F$7)=Config!$E$24),1,0))</f>
        <v/>
      </c>
      <c r="H241" s="24"/>
      <c r="I241" s="23" t="str">
        <f aca="false">IF(OR(NOT(ISNUMBER($D241)),Config!$G$8&lt;&gt;"Sim"),"",$D241+Config!$F$8+IF(AND(Config!$F$8&gt;0,WEEKDAY($D241+Config!$F$8)=Config!$E$24),1,0))</f>
        <v/>
      </c>
      <c r="J241" s="24"/>
      <c r="K241" s="23" t="str">
        <f aca="false">IF(OR(NOT(ISNUMBER($D241)),Config!$G$9&lt;&gt;"Sim"),"",$D241+Config!$F$9+IF(AND(Config!$F$9&gt;0,WEEKDAY($D241+Config!$F$9)=Config!$E$24),1,0))</f>
        <v/>
      </c>
      <c r="L241" s="24"/>
      <c r="M241" s="23" t="str">
        <f aca="false">IF(OR(NOT(ISNUMBER($D241)),Config!$G$10&lt;&gt;"Sim"),"",$D241+Config!$F$10+IF(AND(Config!$F$10&gt;0,WEEKDAY($D241+Config!$F$10)=Config!$E$24),1,0))</f>
        <v/>
      </c>
      <c r="N241" s="24"/>
      <c r="O241" s="23" t="str">
        <f aca="false">IF(OR(NOT(ISNUMBER($D241)),Config!$G$11&lt;&gt;"Sim"),"",$D241+Config!$F$11+IF(AND(Config!$F$11&gt;0,WEEKDAY($D241+Config!$F$11)=Config!$E$24),1,0))</f>
        <v/>
      </c>
      <c r="P241" s="24"/>
      <c r="Q241" s="25" t="str">
        <f aca="false">IF(COUNT(E241,G241,I241,K241,M241,O241)=0,"",((E241&lt;&gt;"")*(F241&lt;&gt;"")+(G241&lt;&gt;"")*(H241&lt;&gt;"")+(I241&lt;&gt;"")*(J241&lt;&gt;"")+(K241&lt;&gt;"")*(L241&lt;&gt;"")+(M241&lt;&gt;"")*(N241&lt;&gt;"")+(O241&lt;&gt;"")*(P241&lt;&gt;""))/COUNT(E241,G241,I241,K241,M241,O241))</f>
        <v/>
      </c>
      <c r="R241" s="26" t="str">
        <f aca="false">IF(T241="","",IF(T241=99999,"",T241))</f>
        <v/>
      </c>
      <c r="S241" s="27" t="str">
        <f aca="true">IF(T241="","",IF(T241=99999,"Concluído",IF(T241&lt;TODAY(),"Atrasado",IF(T241=TODAY(),"Hoje","Em dia"))))</f>
        <v/>
      </c>
      <c r="T241" s="28" t="str">
        <f aca="false">IF(COUNT(E241,G241,I241,K241,M241,O241)=0,"",MIN(IF(AND(E241&lt;&gt;"",F241=""),E241,99999),IF(AND(G241&lt;&gt;"",H241=""),G241,99999),IF(AND(I241&lt;&gt;"",J241=""),I241,99999),IF(AND(K241&lt;&gt;"",L241=""),K241,99999),IF(AND(M241&lt;&gt;"",N241=""),M241,99999),IF(AND(O241&lt;&gt;"",P241=""),O241,99999)))</f>
        <v/>
      </c>
    </row>
    <row r="242" customFormat="false" ht="15" hidden="false" customHeight="false" outlineLevel="0" collapsed="false">
      <c r="A242" s="20" t="n">
        <v>237</v>
      </c>
      <c r="B242" s="21"/>
      <c r="C242" s="21"/>
      <c r="D242" s="22"/>
      <c r="E242" s="23" t="str">
        <f aca="false">IF(OR(NOT(ISNUMBER($D242)),Config!$G$6&lt;&gt;"Sim"),"",$D242+Config!$F$6+IF(AND(Config!$F$6&gt;0,WEEKDAY($D242+Config!$F$6)=Config!$E$24),1,0))</f>
        <v/>
      </c>
      <c r="F242" s="24"/>
      <c r="G242" s="23" t="str">
        <f aca="false">IF(OR(NOT(ISNUMBER($D242)),Config!$G$7&lt;&gt;"Sim"),"",$D242+Config!$F$7+IF(AND(Config!$F$7&gt;0,WEEKDAY($D242+Config!$F$7)=Config!$E$24),1,0))</f>
        <v/>
      </c>
      <c r="H242" s="24"/>
      <c r="I242" s="23" t="str">
        <f aca="false">IF(OR(NOT(ISNUMBER($D242)),Config!$G$8&lt;&gt;"Sim"),"",$D242+Config!$F$8+IF(AND(Config!$F$8&gt;0,WEEKDAY($D242+Config!$F$8)=Config!$E$24),1,0))</f>
        <v/>
      </c>
      <c r="J242" s="24"/>
      <c r="K242" s="23" t="str">
        <f aca="false">IF(OR(NOT(ISNUMBER($D242)),Config!$G$9&lt;&gt;"Sim"),"",$D242+Config!$F$9+IF(AND(Config!$F$9&gt;0,WEEKDAY($D242+Config!$F$9)=Config!$E$24),1,0))</f>
        <v/>
      </c>
      <c r="L242" s="24"/>
      <c r="M242" s="23" t="str">
        <f aca="false">IF(OR(NOT(ISNUMBER($D242)),Config!$G$10&lt;&gt;"Sim"),"",$D242+Config!$F$10+IF(AND(Config!$F$10&gt;0,WEEKDAY($D242+Config!$F$10)=Config!$E$24),1,0))</f>
        <v/>
      </c>
      <c r="N242" s="24"/>
      <c r="O242" s="23" t="str">
        <f aca="false">IF(OR(NOT(ISNUMBER($D242)),Config!$G$11&lt;&gt;"Sim"),"",$D242+Config!$F$11+IF(AND(Config!$F$11&gt;0,WEEKDAY($D242+Config!$F$11)=Config!$E$24),1,0))</f>
        <v/>
      </c>
      <c r="P242" s="24"/>
      <c r="Q242" s="25" t="str">
        <f aca="false">IF(COUNT(E242,G242,I242,K242,M242,O242)=0,"",((E242&lt;&gt;"")*(F242&lt;&gt;"")+(G242&lt;&gt;"")*(H242&lt;&gt;"")+(I242&lt;&gt;"")*(J242&lt;&gt;"")+(K242&lt;&gt;"")*(L242&lt;&gt;"")+(M242&lt;&gt;"")*(N242&lt;&gt;"")+(O242&lt;&gt;"")*(P242&lt;&gt;""))/COUNT(E242,G242,I242,K242,M242,O242))</f>
        <v/>
      </c>
      <c r="R242" s="26" t="str">
        <f aca="false">IF(T242="","",IF(T242=99999,"",T242))</f>
        <v/>
      </c>
      <c r="S242" s="27" t="str">
        <f aca="true">IF(T242="","",IF(T242=99999,"Concluído",IF(T242&lt;TODAY(),"Atrasado",IF(T242=TODAY(),"Hoje","Em dia"))))</f>
        <v/>
      </c>
      <c r="T242" s="28" t="str">
        <f aca="false">IF(COUNT(E242,G242,I242,K242,M242,O242)=0,"",MIN(IF(AND(E242&lt;&gt;"",F242=""),E242,99999),IF(AND(G242&lt;&gt;"",H242=""),G242,99999),IF(AND(I242&lt;&gt;"",J242=""),I242,99999),IF(AND(K242&lt;&gt;"",L242=""),K242,99999),IF(AND(M242&lt;&gt;"",N242=""),M242,99999),IF(AND(O242&lt;&gt;"",P242=""),O242,99999)))</f>
        <v/>
      </c>
    </row>
    <row r="243" customFormat="false" ht="15" hidden="false" customHeight="false" outlineLevel="0" collapsed="false">
      <c r="A243" s="20" t="n">
        <v>238</v>
      </c>
      <c r="B243" s="21"/>
      <c r="C243" s="21"/>
      <c r="D243" s="22"/>
      <c r="E243" s="23" t="str">
        <f aca="false">IF(OR(NOT(ISNUMBER($D243)),Config!$G$6&lt;&gt;"Sim"),"",$D243+Config!$F$6+IF(AND(Config!$F$6&gt;0,WEEKDAY($D243+Config!$F$6)=Config!$E$24),1,0))</f>
        <v/>
      </c>
      <c r="F243" s="24"/>
      <c r="G243" s="23" t="str">
        <f aca="false">IF(OR(NOT(ISNUMBER($D243)),Config!$G$7&lt;&gt;"Sim"),"",$D243+Config!$F$7+IF(AND(Config!$F$7&gt;0,WEEKDAY($D243+Config!$F$7)=Config!$E$24),1,0))</f>
        <v/>
      </c>
      <c r="H243" s="24"/>
      <c r="I243" s="23" t="str">
        <f aca="false">IF(OR(NOT(ISNUMBER($D243)),Config!$G$8&lt;&gt;"Sim"),"",$D243+Config!$F$8+IF(AND(Config!$F$8&gt;0,WEEKDAY($D243+Config!$F$8)=Config!$E$24),1,0))</f>
        <v/>
      </c>
      <c r="J243" s="24"/>
      <c r="K243" s="23" t="str">
        <f aca="false">IF(OR(NOT(ISNUMBER($D243)),Config!$G$9&lt;&gt;"Sim"),"",$D243+Config!$F$9+IF(AND(Config!$F$9&gt;0,WEEKDAY($D243+Config!$F$9)=Config!$E$24),1,0))</f>
        <v/>
      </c>
      <c r="L243" s="24"/>
      <c r="M243" s="23" t="str">
        <f aca="false">IF(OR(NOT(ISNUMBER($D243)),Config!$G$10&lt;&gt;"Sim"),"",$D243+Config!$F$10+IF(AND(Config!$F$10&gt;0,WEEKDAY($D243+Config!$F$10)=Config!$E$24),1,0))</f>
        <v/>
      </c>
      <c r="N243" s="24"/>
      <c r="O243" s="23" t="str">
        <f aca="false">IF(OR(NOT(ISNUMBER($D243)),Config!$G$11&lt;&gt;"Sim"),"",$D243+Config!$F$11+IF(AND(Config!$F$11&gt;0,WEEKDAY($D243+Config!$F$11)=Config!$E$24),1,0))</f>
        <v/>
      </c>
      <c r="P243" s="24"/>
      <c r="Q243" s="25" t="str">
        <f aca="false">IF(COUNT(E243,G243,I243,K243,M243,O243)=0,"",((E243&lt;&gt;"")*(F243&lt;&gt;"")+(G243&lt;&gt;"")*(H243&lt;&gt;"")+(I243&lt;&gt;"")*(J243&lt;&gt;"")+(K243&lt;&gt;"")*(L243&lt;&gt;"")+(M243&lt;&gt;"")*(N243&lt;&gt;"")+(O243&lt;&gt;"")*(P243&lt;&gt;""))/COUNT(E243,G243,I243,K243,M243,O243))</f>
        <v/>
      </c>
      <c r="R243" s="26" t="str">
        <f aca="false">IF(T243="","",IF(T243=99999,"",T243))</f>
        <v/>
      </c>
      <c r="S243" s="27" t="str">
        <f aca="true">IF(T243="","",IF(T243=99999,"Concluído",IF(T243&lt;TODAY(),"Atrasado",IF(T243=TODAY(),"Hoje","Em dia"))))</f>
        <v/>
      </c>
      <c r="T243" s="28" t="str">
        <f aca="false">IF(COUNT(E243,G243,I243,K243,M243,O243)=0,"",MIN(IF(AND(E243&lt;&gt;"",F243=""),E243,99999),IF(AND(G243&lt;&gt;"",H243=""),G243,99999),IF(AND(I243&lt;&gt;"",J243=""),I243,99999),IF(AND(K243&lt;&gt;"",L243=""),K243,99999),IF(AND(M243&lt;&gt;"",N243=""),M243,99999),IF(AND(O243&lt;&gt;"",P243=""),O243,99999)))</f>
        <v/>
      </c>
    </row>
    <row r="244" customFormat="false" ht="15" hidden="false" customHeight="false" outlineLevel="0" collapsed="false">
      <c r="A244" s="20" t="n">
        <v>239</v>
      </c>
      <c r="B244" s="21"/>
      <c r="C244" s="21"/>
      <c r="D244" s="22"/>
      <c r="E244" s="23" t="str">
        <f aca="false">IF(OR(NOT(ISNUMBER($D244)),Config!$G$6&lt;&gt;"Sim"),"",$D244+Config!$F$6+IF(AND(Config!$F$6&gt;0,WEEKDAY($D244+Config!$F$6)=Config!$E$24),1,0))</f>
        <v/>
      </c>
      <c r="F244" s="24"/>
      <c r="G244" s="23" t="str">
        <f aca="false">IF(OR(NOT(ISNUMBER($D244)),Config!$G$7&lt;&gt;"Sim"),"",$D244+Config!$F$7+IF(AND(Config!$F$7&gt;0,WEEKDAY($D244+Config!$F$7)=Config!$E$24),1,0))</f>
        <v/>
      </c>
      <c r="H244" s="24"/>
      <c r="I244" s="23" t="str">
        <f aca="false">IF(OR(NOT(ISNUMBER($D244)),Config!$G$8&lt;&gt;"Sim"),"",$D244+Config!$F$8+IF(AND(Config!$F$8&gt;0,WEEKDAY($D244+Config!$F$8)=Config!$E$24),1,0))</f>
        <v/>
      </c>
      <c r="J244" s="24"/>
      <c r="K244" s="23" t="str">
        <f aca="false">IF(OR(NOT(ISNUMBER($D244)),Config!$G$9&lt;&gt;"Sim"),"",$D244+Config!$F$9+IF(AND(Config!$F$9&gt;0,WEEKDAY($D244+Config!$F$9)=Config!$E$24),1,0))</f>
        <v/>
      </c>
      <c r="L244" s="24"/>
      <c r="M244" s="23" t="str">
        <f aca="false">IF(OR(NOT(ISNUMBER($D244)),Config!$G$10&lt;&gt;"Sim"),"",$D244+Config!$F$10+IF(AND(Config!$F$10&gt;0,WEEKDAY($D244+Config!$F$10)=Config!$E$24),1,0))</f>
        <v/>
      </c>
      <c r="N244" s="24"/>
      <c r="O244" s="23" t="str">
        <f aca="false">IF(OR(NOT(ISNUMBER($D244)),Config!$G$11&lt;&gt;"Sim"),"",$D244+Config!$F$11+IF(AND(Config!$F$11&gt;0,WEEKDAY($D244+Config!$F$11)=Config!$E$24),1,0))</f>
        <v/>
      </c>
      <c r="P244" s="24"/>
      <c r="Q244" s="25" t="str">
        <f aca="false">IF(COUNT(E244,G244,I244,K244,M244,O244)=0,"",((E244&lt;&gt;"")*(F244&lt;&gt;"")+(G244&lt;&gt;"")*(H244&lt;&gt;"")+(I244&lt;&gt;"")*(J244&lt;&gt;"")+(K244&lt;&gt;"")*(L244&lt;&gt;"")+(M244&lt;&gt;"")*(N244&lt;&gt;"")+(O244&lt;&gt;"")*(P244&lt;&gt;""))/COUNT(E244,G244,I244,K244,M244,O244))</f>
        <v/>
      </c>
      <c r="R244" s="26" t="str">
        <f aca="false">IF(T244="","",IF(T244=99999,"",T244))</f>
        <v/>
      </c>
      <c r="S244" s="27" t="str">
        <f aca="true">IF(T244="","",IF(T244=99999,"Concluído",IF(T244&lt;TODAY(),"Atrasado",IF(T244=TODAY(),"Hoje","Em dia"))))</f>
        <v/>
      </c>
      <c r="T244" s="28" t="str">
        <f aca="false">IF(COUNT(E244,G244,I244,K244,M244,O244)=0,"",MIN(IF(AND(E244&lt;&gt;"",F244=""),E244,99999),IF(AND(G244&lt;&gt;"",H244=""),G244,99999),IF(AND(I244&lt;&gt;"",J244=""),I244,99999),IF(AND(K244&lt;&gt;"",L244=""),K244,99999),IF(AND(M244&lt;&gt;"",N244=""),M244,99999),IF(AND(O244&lt;&gt;"",P244=""),O244,99999)))</f>
        <v/>
      </c>
    </row>
    <row r="245" customFormat="false" ht="15" hidden="false" customHeight="false" outlineLevel="0" collapsed="false">
      <c r="A245" s="20" t="n">
        <v>240</v>
      </c>
      <c r="B245" s="21"/>
      <c r="C245" s="21"/>
      <c r="D245" s="22"/>
      <c r="E245" s="23" t="str">
        <f aca="false">IF(OR(NOT(ISNUMBER($D245)),Config!$G$6&lt;&gt;"Sim"),"",$D245+Config!$F$6+IF(AND(Config!$F$6&gt;0,WEEKDAY($D245+Config!$F$6)=Config!$E$24),1,0))</f>
        <v/>
      </c>
      <c r="F245" s="24"/>
      <c r="G245" s="23" t="str">
        <f aca="false">IF(OR(NOT(ISNUMBER($D245)),Config!$G$7&lt;&gt;"Sim"),"",$D245+Config!$F$7+IF(AND(Config!$F$7&gt;0,WEEKDAY($D245+Config!$F$7)=Config!$E$24),1,0))</f>
        <v/>
      </c>
      <c r="H245" s="24"/>
      <c r="I245" s="23" t="str">
        <f aca="false">IF(OR(NOT(ISNUMBER($D245)),Config!$G$8&lt;&gt;"Sim"),"",$D245+Config!$F$8+IF(AND(Config!$F$8&gt;0,WEEKDAY($D245+Config!$F$8)=Config!$E$24),1,0))</f>
        <v/>
      </c>
      <c r="J245" s="24"/>
      <c r="K245" s="23" t="str">
        <f aca="false">IF(OR(NOT(ISNUMBER($D245)),Config!$G$9&lt;&gt;"Sim"),"",$D245+Config!$F$9+IF(AND(Config!$F$9&gt;0,WEEKDAY($D245+Config!$F$9)=Config!$E$24),1,0))</f>
        <v/>
      </c>
      <c r="L245" s="24"/>
      <c r="M245" s="23" t="str">
        <f aca="false">IF(OR(NOT(ISNUMBER($D245)),Config!$G$10&lt;&gt;"Sim"),"",$D245+Config!$F$10+IF(AND(Config!$F$10&gt;0,WEEKDAY($D245+Config!$F$10)=Config!$E$24),1,0))</f>
        <v/>
      </c>
      <c r="N245" s="24"/>
      <c r="O245" s="23" t="str">
        <f aca="false">IF(OR(NOT(ISNUMBER($D245)),Config!$G$11&lt;&gt;"Sim"),"",$D245+Config!$F$11+IF(AND(Config!$F$11&gt;0,WEEKDAY($D245+Config!$F$11)=Config!$E$24),1,0))</f>
        <v/>
      </c>
      <c r="P245" s="24"/>
      <c r="Q245" s="25" t="str">
        <f aca="false">IF(COUNT(E245,G245,I245,K245,M245,O245)=0,"",((E245&lt;&gt;"")*(F245&lt;&gt;"")+(G245&lt;&gt;"")*(H245&lt;&gt;"")+(I245&lt;&gt;"")*(J245&lt;&gt;"")+(K245&lt;&gt;"")*(L245&lt;&gt;"")+(M245&lt;&gt;"")*(N245&lt;&gt;"")+(O245&lt;&gt;"")*(P245&lt;&gt;""))/COUNT(E245,G245,I245,K245,M245,O245))</f>
        <v/>
      </c>
      <c r="R245" s="26" t="str">
        <f aca="false">IF(T245="","",IF(T245=99999,"",T245))</f>
        <v/>
      </c>
      <c r="S245" s="27" t="str">
        <f aca="true">IF(T245="","",IF(T245=99999,"Concluído",IF(T245&lt;TODAY(),"Atrasado",IF(T245=TODAY(),"Hoje","Em dia"))))</f>
        <v/>
      </c>
      <c r="T245" s="28" t="str">
        <f aca="false">IF(COUNT(E245,G245,I245,K245,M245,O245)=0,"",MIN(IF(AND(E245&lt;&gt;"",F245=""),E245,99999),IF(AND(G245&lt;&gt;"",H245=""),G245,99999),IF(AND(I245&lt;&gt;"",J245=""),I245,99999),IF(AND(K245&lt;&gt;"",L245=""),K245,99999),IF(AND(M245&lt;&gt;"",N245=""),M245,99999),IF(AND(O245&lt;&gt;"",P245=""),O245,99999)))</f>
        <v/>
      </c>
    </row>
    <row r="246" customFormat="false" ht="15" hidden="false" customHeight="false" outlineLevel="0" collapsed="false">
      <c r="A246" s="20" t="n">
        <v>241</v>
      </c>
      <c r="B246" s="21"/>
      <c r="C246" s="21"/>
      <c r="D246" s="22"/>
      <c r="E246" s="23" t="str">
        <f aca="false">IF(OR(NOT(ISNUMBER($D246)),Config!$G$6&lt;&gt;"Sim"),"",$D246+Config!$F$6+IF(AND(Config!$F$6&gt;0,WEEKDAY($D246+Config!$F$6)=Config!$E$24),1,0))</f>
        <v/>
      </c>
      <c r="F246" s="24"/>
      <c r="G246" s="23" t="str">
        <f aca="false">IF(OR(NOT(ISNUMBER($D246)),Config!$G$7&lt;&gt;"Sim"),"",$D246+Config!$F$7+IF(AND(Config!$F$7&gt;0,WEEKDAY($D246+Config!$F$7)=Config!$E$24),1,0))</f>
        <v/>
      </c>
      <c r="H246" s="24"/>
      <c r="I246" s="23" t="str">
        <f aca="false">IF(OR(NOT(ISNUMBER($D246)),Config!$G$8&lt;&gt;"Sim"),"",$D246+Config!$F$8+IF(AND(Config!$F$8&gt;0,WEEKDAY($D246+Config!$F$8)=Config!$E$24),1,0))</f>
        <v/>
      </c>
      <c r="J246" s="24"/>
      <c r="K246" s="23" t="str">
        <f aca="false">IF(OR(NOT(ISNUMBER($D246)),Config!$G$9&lt;&gt;"Sim"),"",$D246+Config!$F$9+IF(AND(Config!$F$9&gt;0,WEEKDAY($D246+Config!$F$9)=Config!$E$24),1,0))</f>
        <v/>
      </c>
      <c r="L246" s="24"/>
      <c r="M246" s="23" t="str">
        <f aca="false">IF(OR(NOT(ISNUMBER($D246)),Config!$G$10&lt;&gt;"Sim"),"",$D246+Config!$F$10+IF(AND(Config!$F$10&gt;0,WEEKDAY($D246+Config!$F$10)=Config!$E$24),1,0))</f>
        <v/>
      </c>
      <c r="N246" s="24"/>
      <c r="O246" s="23" t="str">
        <f aca="false">IF(OR(NOT(ISNUMBER($D246)),Config!$G$11&lt;&gt;"Sim"),"",$D246+Config!$F$11+IF(AND(Config!$F$11&gt;0,WEEKDAY($D246+Config!$F$11)=Config!$E$24),1,0))</f>
        <v/>
      </c>
      <c r="P246" s="24"/>
      <c r="Q246" s="25" t="str">
        <f aca="false">IF(COUNT(E246,G246,I246,K246,M246,O246)=0,"",((E246&lt;&gt;"")*(F246&lt;&gt;"")+(G246&lt;&gt;"")*(H246&lt;&gt;"")+(I246&lt;&gt;"")*(J246&lt;&gt;"")+(K246&lt;&gt;"")*(L246&lt;&gt;"")+(M246&lt;&gt;"")*(N246&lt;&gt;"")+(O246&lt;&gt;"")*(P246&lt;&gt;""))/COUNT(E246,G246,I246,K246,M246,O246))</f>
        <v/>
      </c>
      <c r="R246" s="26" t="str">
        <f aca="false">IF(T246="","",IF(T246=99999,"",T246))</f>
        <v/>
      </c>
      <c r="S246" s="27" t="str">
        <f aca="true">IF(T246="","",IF(T246=99999,"Concluído",IF(T246&lt;TODAY(),"Atrasado",IF(T246=TODAY(),"Hoje","Em dia"))))</f>
        <v/>
      </c>
      <c r="T246" s="28" t="str">
        <f aca="false">IF(COUNT(E246,G246,I246,K246,M246,O246)=0,"",MIN(IF(AND(E246&lt;&gt;"",F246=""),E246,99999),IF(AND(G246&lt;&gt;"",H246=""),G246,99999),IF(AND(I246&lt;&gt;"",J246=""),I246,99999),IF(AND(K246&lt;&gt;"",L246=""),K246,99999),IF(AND(M246&lt;&gt;"",N246=""),M246,99999),IF(AND(O246&lt;&gt;"",P246=""),O246,99999)))</f>
        <v/>
      </c>
    </row>
    <row r="247" customFormat="false" ht="15" hidden="false" customHeight="false" outlineLevel="0" collapsed="false">
      <c r="A247" s="20" t="n">
        <v>242</v>
      </c>
      <c r="B247" s="21"/>
      <c r="C247" s="21"/>
      <c r="D247" s="22"/>
      <c r="E247" s="23" t="str">
        <f aca="false">IF(OR(NOT(ISNUMBER($D247)),Config!$G$6&lt;&gt;"Sim"),"",$D247+Config!$F$6+IF(AND(Config!$F$6&gt;0,WEEKDAY($D247+Config!$F$6)=Config!$E$24),1,0))</f>
        <v/>
      </c>
      <c r="F247" s="24"/>
      <c r="G247" s="23" t="str">
        <f aca="false">IF(OR(NOT(ISNUMBER($D247)),Config!$G$7&lt;&gt;"Sim"),"",$D247+Config!$F$7+IF(AND(Config!$F$7&gt;0,WEEKDAY($D247+Config!$F$7)=Config!$E$24),1,0))</f>
        <v/>
      </c>
      <c r="H247" s="24"/>
      <c r="I247" s="23" t="str">
        <f aca="false">IF(OR(NOT(ISNUMBER($D247)),Config!$G$8&lt;&gt;"Sim"),"",$D247+Config!$F$8+IF(AND(Config!$F$8&gt;0,WEEKDAY($D247+Config!$F$8)=Config!$E$24),1,0))</f>
        <v/>
      </c>
      <c r="J247" s="24"/>
      <c r="K247" s="23" t="str">
        <f aca="false">IF(OR(NOT(ISNUMBER($D247)),Config!$G$9&lt;&gt;"Sim"),"",$D247+Config!$F$9+IF(AND(Config!$F$9&gt;0,WEEKDAY($D247+Config!$F$9)=Config!$E$24),1,0))</f>
        <v/>
      </c>
      <c r="L247" s="24"/>
      <c r="M247" s="23" t="str">
        <f aca="false">IF(OR(NOT(ISNUMBER($D247)),Config!$G$10&lt;&gt;"Sim"),"",$D247+Config!$F$10+IF(AND(Config!$F$10&gt;0,WEEKDAY($D247+Config!$F$10)=Config!$E$24),1,0))</f>
        <v/>
      </c>
      <c r="N247" s="24"/>
      <c r="O247" s="23" t="str">
        <f aca="false">IF(OR(NOT(ISNUMBER($D247)),Config!$G$11&lt;&gt;"Sim"),"",$D247+Config!$F$11+IF(AND(Config!$F$11&gt;0,WEEKDAY($D247+Config!$F$11)=Config!$E$24),1,0))</f>
        <v/>
      </c>
      <c r="P247" s="24"/>
      <c r="Q247" s="25" t="str">
        <f aca="false">IF(COUNT(E247,G247,I247,K247,M247,O247)=0,"",((E247&lt;&gt;"")*(F247&lt;&gt;"")+(G247&lt;&gt;"")*(H247&lt;&gt;"")+(I247&lt;&gt;"")*(J247&lt;&gt;"")+(K247&lt;&gt;"")*(L247&lt;&gt;"")+(M247&lt;&gt;"")*(N247&lt;&gt;"")+(O247&lt;&gt;"")*(P247&lt;&gt;""))/COUNT(E247,G247,I247,K247,M247,O247))</f>
        <v/>
      </c>
      <c r="R247" s="26" t="str">
        <f aca="false">IF(T247="","",IF(T247=99999,"",T247))</f>
        <v/>
      </c>
      <c r="S247" s="27" t="str">
        <f aca="true">IF(T247="","",IF(T247=99999,"Concluído",IF(T247&lt;TODAY(),"Atrasado",IF(T247=TODAY(),"Hoje","Em dia"))))</f>
        <v/>
      </c>
      <c r="T247" s="28" t="str">
        <f aca="false">IF(COUNT(E247,G247,I247,K247,M247,O247)=0,"",MIN(IF(AND(E247&lt;&gt;"",F247=""),E247,99999),IF(AND(G247&lt;&gt;"",H247=""),G247,99999),IF(AND(I247&lt;&gt;"",J247=""),I247,99999),IF(AND(K247&lt;&gt;"",L247=""),K247,99999),IF(AND(M247&lt;&gt;"",N247=""),M247,99999),IF(AND(O247&lt;&gt;"",P247=""),O247,99999)))</f>
        <v/>
      </c>
    </row>
    <row r="248" customFormat="false" ht="15" hidden="false" customHeight="false" outlineLevel="0" collapsed="false">
      <c r="A248" s="20" t="n">
        <v>243</v>
      </c>
      <c r="B248" s="21"/>
      <c r="C248" s="21"/>
      <c r="D248" s="22"/>
      <c r="E248" s="23" t="str">
        <f aca="false">IF(OR(NOT(ISNUMBER($D248)),Config!$G$6&lt;&gt;"Sim"),"",$D248+Config!$F$6+IF(AND(Config!$F$6&gt;0,WEEKDAY($D248+Config!$F$6)=Config!$E$24),1,0))</f>
        <v/>
      </c>
      <c r="F248" s="24"/>
      <c r="G248" s="23" t="str">
        <f aca="false">IF(OR(NOT(ISNUMBER($D248)),Config!$G$7&lt;&gt;"Sim"),"",$D248+Config!$F$7+IF(AND(Config!$F$7&gt;0,WEEKDAY($D248+Config!$F$7)=Config!$E$24),1,0))</f>
        <v/>
      </c>
      <c r="H248" s="24"/>
      <c r="I248" s="23" t="str">
        <f aca="false">IF(OR(NOT(ISNUMBER($D248)),Config!$G$8&lt;&gt;"Sim"),"",$D248+Config!$F$8+IF(AND(Config!$F$8&gt;0,WEEKDAY($D248+Config!$F$8)=Config!$E$24),1,0))</f>
        <v/>
      </c>
      <c r="J248" s="24"/>
      <c r="K248" s="23" t="str">
        <f aca="false">IF(OR(NOT(ISNUMBER($D248)),Config!$G$9&lt;&gt;"Sim"),"",$D248+Config!$F$9+IF(AND(Config!$F$9&gt;0,WEEKDAY($D248+Config!$F$9)=Config!$E$24),1,0))</f>
        <v/>
      </c>
      <c r="L248" s="24"/>
      <c r="M248" s="23" t="str">
        <f aca="false">IF(OR(NOT(ISNUMBER($D248)),Config!$G$10&lt;&gt;"Sim"),"",$D248+Config!$F$10+IF(AND(Config!$F$10&gt;0,WEEKDAY($D248+Config!$F$10)=Config!$E$24),1,0))</f>
        <v/>
      </c>
      <c r="N248" s="24"/>
      <c r="O248" s="23" t="str">
        <f aca="false">IF(OR(NOT(ISNUMBER($D248)),Config!$G$11&lt;&gt;"Sim"),"",$D248+Config!$F$11+IF(AND(Config!$F$11&gt;0,WEEKDAY($D248+Config!$F$11)=Config!$E$24),1,0))</f>
        <v/>
      </c>
      <c r="P248" s="24"/>
      <c r="Q248" s="25" t="str">
        <f aca="false">IF(COUNT(E248,G248,I248,K248,M248,O248)=0,"",((E248&lt;&gt;"")*(F248&lt;&gt;"")+(G248&lt;&gt;"")*(H248&lt;&gt;"")+(I248&lt;&gt;"")*(J248&lt;&gt;"")+(K248&lt;&gt;"")*(L248&lt;&gt;"")+(M248&lt;&gt;"")*(N248&lt;&gt;"")+(O248&lt;&gt;"")*(P248&lt;&gt;""))/COUNT(E248,G248,I248,K248,M248,O248))</f>
        <v/>
      </c>
      <c r="R248" s="26" t="str">
        <f aca="false">IF(T248="","",IF(T248=99999,"",T248))</f>
        <v/>
      </c>
      <c r="S248" s="27" t="str">
        <f aca="true">IF(T248="","",IF(T248=99999,"Concluído",IF(T248&lt;TODAY(),"Atrasado",IF(T248=TODAY(),"Hoje","Em dia"))))</f>
        <v/>
      </c>
      <c r="T248" s="28" t="str">
        <f aca="false">IF(COUNT(E248,G248,I248,K248,M248,O248)=0,"",MIN(IF(AND(E248&lt;&gt;"",F248=""),E248,99999),IF(AND(G248&lt;&gt;"",H248=""),G248,99999),IF(AND(I248&lt;&gt;"",J248=""),I248,99999),IF(AND(K248&lt;&gt;"",L248=""),K248,99999),IF(AND(M248&lt;&gt;"",N248=""),M248,99999),IF(AND(O248&lt;&gt;"",P248=""),O248,99999)))</f>
        <v/>
      </c>
    </row>
    <row r="249" customFormat="false" ht="15" hidden="false" customHeight="false" outlineLevel="0" collapsed="false">
      <c r="A249" s="20" t="n">
        <v>244</v>
      </c>
      <c r="B249" s="21"/>
      <c r="C249" s="21"/>
      <c r="D249" s="22"/>
      <c r="E249" s="23" t="str">
        <f aca="false">IF(OR(NOT(ISNUMBER($D249)),Config!$G$6&lt;&gt;"Sim"),"",$D249+Config!$F$6+IF(AND(Config!$F$6&gt;0,WEEKDAY($D249+Config!$F$6)=Config!$E$24),1,0))</f>
        <v/>
      </c>
      <c r="F249" s="24"/>
      <c r="G249" s="23" t="str">
        <f aca="false">IF(OR(NOT(ISNUMBER($D249)),Config!$G$7&lt;&gt;"Sim"),"",$D249+Config!$F$7+IF(AND(Config!$F$7&gt;0,WEEKDAY($D249+Config!$F$7)=Config!$E$24),1,0))</f>
        <v/>
      </c>
      <c r="H249" s="24"/>
      <c r="I249" s="23" t="str">
        <f aca="false">IF(OR(NOT(ISNUMBER($D249)),Config!$G$8&lt;&gt;"Sim"),"",$D249+Config!$F$8+IF(AND(Config!$F$8&gt;0,WEEKDAY($D249+Config!$F$8)=Config!$E$24),1,0))</f>
        <v/>
      </c>
      <c r="J249" s="24"/>
      <c r="K249" s="23" t="str">
        <f aca="false">IF(OR(NOT(ISNUMBER($D249)),Config!$G$9&lt;&gt;"Sim"),"",$D249+Config!$F$9+IF(AND(Config!$F$9&gt;0,WEEKDAY($D249+Config!$F$9)=Config!$E$24),1,0))</f>
        <v/>
      </c>
      <c r="L249" s="24"/>
      <c r="M249" s="23" t="str">
        <f aca="false">IF(OR(NOT(ISNUMBER($D249)),Config!$G$10&lt;&gt;"Sim"),"",$D249+Config!$F$10+IF(AND(Config!$F$10&gt;0,WEEKDAY($D249+Config!$F$10)=Config!$E$24),1,0))</f>
        <v/>
      </c>
      <c r="N249" s="24"/>
      <c r="O249" s="23" t="str">
        <f aca="false">IF(OR(NOT(ISNUMBER($D249)),Config!$G$11&lt;&gt;"Sim"),"",$D249+Config!$F$11+IF(AND(Config!$F$11&gt;0,WEEKDAY($D249+Config!$F$11)=Config!$E$24),1,0))</f>
        <v/>
      </c>
      <c r="P249" s="24"/>
      <c r="Q249" s="25" t="str">
        <f aca="false">IF(COUNT(E249,G249,I249,K249,M249,O249)=0,"",((E249&lt;&gt;"")*(F249&lt;&gt;"")+(G249&lt;&gt;"")*(H249&lt;&gt;"")+(I249&lt;&gt;"")*(J249&lt;&gt;"")+(K249&lt;&gt;"")*(L249&lt;&gt;"")+(M249&lt;&gt;"")*(N249&lt;&gt;"")+(O249&lt;&gt;"")*(P249&lt;&gt;""))/COUNT(E249,G249,I249,K249,M249,O249))</f>
        <v/>
      </c>
      <c r="R249" s="26" t="str">
        <f aca="false">IF(T249="","",IF(T249=99999,"",T249))</f>
        <v/>
      </c>
      <c r="S249" s="27" t="str">
        <f aca="true">IF(T249="","",IF(T249=99999,"Concluído",IF(T249&lt;TODAY(),"Atrasado",IF(T249=TODAY(),"Hoje","Em dia"))))</f>
        <v/>
      </c>
      <c r="T249" s="28" t="str">
        <f aca="false">IF(COUNT(E249,G249,I249,K249,M249,O249)=0,"",MIN(IF(AND(E249&lt;&gt;"",F249=""),E249,99999),IF(AND(G249&lt;&gt;"",H249=""),G249,99999),IF(AND(I249&lt;&gt;"",J249=""),I249,99999),IF(AND(K249&lt;&gt;"",L249=""),K249,99999),IF(AND(M249&lt;&gt;"",N249=""),M249,99999),IF(AND(O249&lt;&gt;"",P249=""),O249,99999)))</f>
        <v/>
      </c>
    </row>
    <row r="250" customFormat="false" ht="15" hidden="false" customHeight="false" outlineLevel="0" collapsed="false">
      <c r="A250" s="20" t="n">
        <v>245</v>
      </c>
      <c r="B250" s="21"/>
      <c r="C250" s="21"/>
      <c r="D250" s="22"/>
      <c r="E250" s="23" t="str">
        <f aca="false">IF(OR(NOT(ISNUMBER($D250)),Config!$G$6&lt;&gt;"Sim"),"",$D250+Config!$F$6+IF(AND(Config!$F$6&gt;0,WEEKDAY($D250+Config!$F$6)=Config!$E$24),1,0))</f>
        <v/>
      </c>
      <c r="F250" s="24"/>
      <c r="G250" s="23" t="str">
        <f aca="false">IF(OR(NOT(ISNUMBER($D250)),Config!$G$7&lt;&gt;"Sim"),"",$D250+Config!$F$7+IF(AND(Config!$F$7&gt;0,WEEKDAY($D250+Config!$F$7)=Config!$E$24),1,0))</f>
        <v/>
      </c>
      <c r="H250" s="24"/>
      <c r="I250" s="23" t="str">
        <f aca="false">IF(OR(NOT(ISNUMBER($D250)),Config!$G$8&lt;&gt;"Sim"),"",$D250+Config!$F$8+IF(AND(Config!$F$8&gt;0,WEEKDAY($D250+Config!$F$8)=Config!$E$24),1,0))</f>
        <v/>
      </c>
      <c r="J250" s="24"/>
      <c r="K250" s="23" t="str">
        <f aca="false">IF(OR(NOT(ISNUMBER($D250)),Config!$G$9&lt;&gt;"Sim"),"",$D250+Config!$F$9+IF(AND(Config!$F$9&gt;0,WEEKDAY($D250+Config!$F$9)=Config!$E$24),1,0))</f>
        <v/>
      </c>
      <c r="L250" s="24"/>
      <c r="M250" s="23" t="str">
        <f aca="false">IF(OR(NOT(ISNUMBER($D250)),Config!$G$10&lt;&gt;"Sim"),"",$D250+Config!$F$10+IF(AND(Config!$F$10&gt;0,WEEKDAY($D250+Config!$F$10)=Config!$E$24),1,0))</f>
        <v/>
      </c>
      <c r="N250" s="24"/>
      <c r="O250" s="23" t="str">
        <f aca="false">IF(OR(NOT(ISNUMBER($D250)),Config!$G$11&lt;&gt;"Sim"),"",$D250+Config!$F$11+IF(AND(Config!$F$11&gt;0,WEEKDAY($D250+Config!$F$11)=Config!$E$24),1,0))</f>
        <v/>
      </c>
      <c r="P250" s="24"/>
      <c r="Q250" s="25" t="str">
        <f aca="false">IF(COUNT(E250,G250,I250,K250,M250,O250)=0,"",((E250&lt;&gt;"")*(F250&lt;&gt;"")+(G250&lt;&gt;"")*(H250&lt;&gt;"")+(I250&lt;&gt;"")*(J250&lt;&gt;"")+(K250&lt;&gt;"")*(L250&lt;&gt;"")+(M250&lt;&gt;"")*(N250&lt;&gt;"")+(O250&lt;&gt;"")*(P250&lt;&gt;""))/COUNT(E250,G250,I250,K250,M250,O250))</f>
        <v/>
      </c>
      <c r="R250" s="26" t="str">
        <f aca="false">IF(T250="","",IF(T250=99999,"",T250))</f>
        <v/>
      </c>
      <c r="S250" s="27" t="str">
        <f aca="true">IF(T250="","",IF(T250=99999,"Concluído",IF(T250&lt;TODAY(),"Atrasado",IF(T250=TODAY(),"Hoje","Em dia"))))</f>
        <v/>
      </c>
      <c r="T250" s="28" t="str">
        <f aca="false">IF(COUNT(E250,G250,I250,K250,M250,O250)=0,"",MIN(IF(AND(E250&lt;&gt;"",F250=""),E250,99999),IF(AND(G250&lt;&gt;"",H250=""),G250,99999),IF(AND(I250&lt;&gt;"",J250=""),I250,99999),IF(AND(K250&lt;&gt;"",L250=""),K250,99999),IF(AND(M250&lt;&gt;"",N250=""),M250,99999),IF(AND(O250&lt;&gt;"",P250=""),O250,99999)))</f>
        <v/>
      </c>
    </row>
    <row r="251" customFormat="false" ht="15" hidden="false" customHeight="false" outlineLevel="0" collapsed="false">
      <c r="A251" s="20" t="n">
        <v>246</v>
      </c>
      <c r="B251" s="21"/>
      <c r="C251" s="21"/>
      <c r="D251" s="22"/>
      <c r="E251" s="23" t="str">
        <f aca="false">IF(OR(NOT(ISNUMBER($D251)),Config!$G$6&lt;&gt;"Sim"),"",$D251+Config!$F$6+IF(AND(Config!$F$6&gt;0,WEEKDAY($D251+Config!$F$6)=Config!$E$24),1,0))</f>
        <v/>
      </c>
      <c r="F251" s="24"/>
      <c r="G251" s="23" t="str">
        <f aca="false">IF(OR(NOT(ISNUMBER($D251)),Config!$G$7&lt;&gt;"Sim"),"",$D251+Config!$F$7+IF(AND(Config!$F$7&gt;0,WEEKDAY($D251+Config!$F$7)=Config!$E$24),1,0))</f>
        <v/>
      </c>
      <c r="H251" s="24"/>
      <c r="I251" s="23" t="str">
        <f aca="false">IF(OR(NOT(ISNUMBER($D251)),Config!$G$8&lt;&gt;"Sim"),"",$D251+Config!$F$8+IF(AND(Config!$F$8&gt;0,WEEKDAY($D251+Config!$F$8)=Config!$E$24),1,0))</f>
        <v/>
      </c>
      <c r="J251" s="24"/>
      <c r="K251" s="23" t="str">
        <f aca="false">IF(OR(NOT(ISNUMBER($D251)),Config!$G$9&lt;&gt;"Sim"),"",$D251+Config!$F$9+IF(AND(Config!$F$9&gt;0,WEEKDAY($D251+Config!$F$9)=Config!$E$24),1,0))</f>
        <v/>
      </c>
      <c r="L251" s="24"/>
      <c r="M251" s="23" t="str">
        <f aca="false">IF(OR(NOT(ISNUMBER($D251)),Config!$G$10&lt;&gt;"Sim"),"",$D251+Config!$F$10+IF(AND(Config!$F$10&gt;0,WEEKDAY($D251+Config!$F$10)=Config!$E$24),1,0))</f>
        <v/>
      </c>
      <c r="N251" s="24"/>
      <c r="O251" s="23" t="str">
        <f aca="false">IF(OR(NOT(ISNUMBER($D251)),Config!$G$11&lt;&gt;"Sim"),"",$D251+Config!$F$11+IF(AND(Config!$F$11&gt;0,WEEKDAY($D251+Config!$F$11)=Config!$E$24),1,0))</f>
        <v/>
      </c>
      <c r="P251" s="24"/>
      <c r="Q251" s="25" t="str">
        <f aca="false">IF(COUNT(E251,G251,I251,K251,M251,O251)=0,"",((E251&lt;&gt;"")*(F251&lt;&gt;"")+(G251&lt;&gt;"")*(H251&lt;&gt;"")+(I251&lt;&gt;"")*(J251&lt;&gt;"")+(K251&lt;&gt;"")*(L251&lt;&gt;"")+(M251&lt;&gt;"")*(N251&lt;&gt;"")+(O251&lt;&gt;"")*(P251&lt;&gt;""))/COUNT(E251,G251,I251,K251,M251,O251))</f>
        <v/>
      </c>
      <c r="R251" s="26" t="str">
        <f aca="false">IF(T251="","",IF(T251=99999,"",T251))</f>
        <v/>
      </c>
      <c r="S251" s="27" t="str">
        <f aca="true">IF(T251="","",IF(T251=99999,"Concluído",IF(T251&lt;TODAY(),"Atrasado",IF(T251=TODAY(),"Hoje","Em dia"))))</f>
        <v/>
      </c>
      <c r="T251" s="28" t="str">
        <f aca="false">IF(COUNT(E251,G251,I251,K251,M251,O251)=0,"",MIN(IF(AND(E251&lt;&gt;"",F251=""),E251,99999),IF(AND(G251&lt;&gt;"",H251=""),G251,99999),IF(AND(I251&lt;&gt;"",J251=""),I251,99999),IF(AND(K251&lt;&gt;"",L251=""),K251,99999),IF(AND(M251&lt;&gt;"",N251=""),M251,99999),IF(AND(O251&lt;&gt;"",P251=""),O251,99999)))</f>
        <v/>
      </c>
    </row>
    <row r="252" customFormat="false" ht="15" hidden="false" customHeight="false" outlineLevel="0" collapsed="false">
      <c r="A252" s="20" t="n">
        <v>247</v>
      </c>
      <c r="B252" s="21"/>
      <c r="C252" s="21"/>
      <c r="D252" s="22"/>
      <c r="E252" s="23" t="str">
        <f aca="false">IF(OR(NOT(ISNUMBER($D252)),Config!$G$6&lt;&gt;"Sim"),"",$D252+Config!$F$6+IF(AND(Config!$F$6&gt;0,WEEKDAY($D252+Config!$F$6)=Config!$E$24),1,0))</f>
        <v/>
      </c>
      <c r="F252" s="24"/>
      <c r="G252" s="23" t="str">
        <f aca="false">IF(OR(NOT(ISNUMBER($D252)),Config!$G$7&lt;&gt;"Sim"),"",$D252+Config!$F$7+IF(AND(Config!$F$7&gt;0,WEEKDAY($D252+Config!$F$7)=Config!$E$24),1,0))</f>
        <v/>
      </c>
      <c r="H252" s="24"/>
      <c r="I252" s="23" t="str">
        <f aca="false">IF(OR(NOT(ISNUMBER($D252)),Config!$G$8&lt;&gt;"Sim"),"",$D252+Config!$F$8+IF(AND(Config!$F$8&gt;0,WEEKDAY($D252+Config!$F$8)=Config!$E$24),1,0))</f>
        <v/>
      </c>
      <c r="J252" s="24"/>
      <c r="K252" s="23" t="str">
        <f aca="false">IF(OR(NOT(ISNUMBER($D252)),Config!$G$9&lt;&gt;"Sim"),"",$D252+Config!$F$9+IF(AND(Config!$F$9&gt;0,WEEKDAY($D252+Config!$F$9)=Config!$E$24),1,0))</f>
        <v/>
      </c>
      <c r="L252" s="24"/>
      <c r="M252" s="23" t="str">
        <f aca="false">IF(OR(NOT(ISNUMBER($D252)),Config!$G$10&lt;&gt;"Sim"),"",$D252+Config!$F$10+IF(AND(Config!$F$10&gt;0,WEEKDAY($D252+Config!$F$10)=Config!$E$24),1,0))</f>
        <v/>
      </c>
      <c r="N252" s="24"/>
      <c r="O252" s="23" t="str">
        <f aca="false">IF(OR(NOT(ISNUMBER($D252)),Config!$G$11&lt;&gt;"Sim"),"",$D252+Config!$F$11+IF(AND(Config!$F$11&gt;0,WEEKDAY($D252+Config!$F$11)=Config!$E$24),1,0))</f>
        <v/>
      </c>
      <c r="P252" s="24"/>
      <c r="Q252" s="25" t="str">
        <f aca="false">IF(COUNT(E252,G252,I252,K252,M252,O252)=0,"",((E252&lt;&gt;"")*(F252&lt;&gt;"")+(G252&lt;&gt;"")*(H252&lt;&gt;"")+(I252&lt;&gt;"")*(J252&lt;&gt;"")+(K252&lt;&gt;"")*(L252&lt;&gt;"")+(M252&lt;&gt;"")*(N252&lt;&gt;"")+(O252&lt;&gt;"")*(P252&lt;&gt;""))/COUNT(E252,G252,I252,K252,M252,O252))</f>
        <v/>
      </c>
      <c r="R252" s="26" t="str">
        <f aca="false">IF(T252="","",IF(T252=99999,"",T252))</f>
        <v/>
      </c>
      <c r="S252" s="27" t="str">
        <f aca="true">IF(T252="","",IF(T252=99999,"Concluído",IF(T252&lt;TODAY(),"Atrasado",IF(T252=TODAY(),"Hoje","Em dia"))))</f>
        <v/>
      </c>
      <c r="T252" s="28" t="str">
        <f aca="false">IF(COUNT(E252,G252,I252,K252,M252,O252)=0,"",MIN(IF(AND(E252&lt;&gt;"",F252=""),E252,99999),IF(AND(G252&lt;&gt;"",H252=""),G252,99999),IF(AND(I252&lt;&gt;"",J252=""),I252,99999),IF(AND(K252&lt;&gt;"",L252=""),K252,99999),IF(AND(M252&lt;&gt;"",N252=""),M252,99999),IF(AND(O252&lt;&gt;"",P252=""),O252,99999)))</f>
        <v/>
      </c>
    </row>
    <row r="253" customFormat="false" ht="15" hidden="false" customHeight="false" outlineLevel="0" collapsed="false">
      <c r="A253" s="20" t="n">
        <v>248</v>
      </c>
      <c r="B253" s="21"/>
      <c r="C253" s="21"/>
      <c r="D253" s="22"/>
      <c r="E253" s="23" t="str">
        <f aca="false">IF(OR(NOT(ISNUMBER($D253)),Config!$G$6&lt;&gt;"Sim"),"",$D253+Config!$F$6+IF(AND(Config!$F$6&gt;0,WEEKDAY($D253+Config!$F$6)=Config!$E$24),1,0))</f>
        <v/>
      </c>
      <c r="F253" s="24"/>
      <c r="G253" s="23" t="str">
        <f aca="false">IF(OR(NOT(ISNUMBER($D253)),Config!$G$7&lt;&gt;"Sim"),"",$D253+Config!$F$7+IF(AND(Config!$F$7&gt;0,WEEKDAY($D253+Config!$F$7)=Config!$E$24),1,0))</f>
        <v/>
      </c>
      <c r="H253" s="24"/>
      <c r="I253" s="23" t="str">
        <f aca="false">IF(OR(NOT(ISNUMBER($D253)),Config!$G$8&lt;&gt;"Sim"),"",$D253+Config!$F$8+IF(AND(Config!$F$8&gt;0,WEEKDAY($D253+Config!$F$8)=Config!$E$24),1,0))</f>
        <v/>
      </c>
      <c r="J253" s="24"/>
      <c r="K253" s="23" t="str">
        <f aca="false">IF(OR(NOT(ISNUMBER($D253)),Config!$G$9&lt;&gt;"Sim"),"",$D253+Config!$F$9+IF(AND(Config!$F$9&gt;0,WEEKDAY($D253+Config!$F$9)=Config!$E$24),1,0))</f>
        <v/>
      </c>
      <c r="L253" s="24"/>
      <c r="M253" s="23" t="str">
        <f aca="false">IF(OR(NOT(ISNUMBER($D253)),Config!$G$10&lt;&gt;"Sim"),"",$D253+Config!$F$10+IF(AND(Config!$F$10&gt;0,WEEKDAY($D253+Config!$F$10)=Config!$E$24),1,0))</f>
        <v/>
      </c>
      <c r="N253" s="24"/>
      <c r="O253" s="23" t="str">
        <f aca="false">IF(OR(NOT(ISNUMBER($D253)),Config!$G$11&lt;&gt;"Sim"),"",$D253+Config!$F$11+IF(AND(Config!$F$11&gt;0,WEEKDAY($D253+Config!$F$11)=Config!$E$24),1,0))</f>
        <v/>
      </c>
      <c r="P253" s="24"/>
      <c r="Q253" s="25" t="str">
        <f aca="false">IF(COUNT(E253,G253,I253,K253,M253,O253)=0,"",((E253&lt;&gt;"")*(F253&lt;&gt;"")+(G253&lt;&gt;"")*(H253&lt;&gt;"")+(I253&lt;&gt;"")*(J253&lt;&gt;"")+(K253&lt;&gt;"")*(L253&lt;&gt;"")+(M253&lt;&gt;"")*(N253&lt;&gt;"")+(O253&lt;&gt;"")*(P253&lt;&gt;""))/COUNT(E253,G253,I253,K253,M253,O253))</f>
        <v/>
      </c>
      <c r="R253" s="26" t="str">
        <f aca="false">IF(T253="","",IF(T253=99999,"",T253))</f>
        <v/>
      </c>
      <c r="S253" s="27" t="str">
        <f aca="true">IF(T253="","",IF(T253=99999,"Concluído",IF(T253&lt;TODAY(),"Atrasado",IF(T253=TODAY(),"Hoje","Em dia"))))</f>
        <v/>
      </c>
      <c r="T253" s="28" t="str">
        <f aca="false">IF(COUNT(E253,G253,I253,K253,M253,O253)=0,"",MIN(IF(AND(E253&lt;&gt;"",F253=""),E253,99999),IF(AND(G253&lt;&gt;"",H253=""),G253,99999),IF(AND(I253&lt;&gt;"",J253=""),I253,99999),IF(AND(K253&lt;&gt;"",L253=""),K253,99999),IF(AND(M253&lt;&gt;"",N253=""),M253,99999),IF(AND(O253&lt;&gt;"",P253=""),O253,99999)))</f>
        <v/>
      </c>
    </row>
    <row r="254" customFormat="false" ht="15" hidden="false" customHeight="false" outlineLevel="0" collapsed="false">
      <c r="A254" s="20" t="n">
        <v>249</v>
      </c>
      <c r="B254" s="21"/>
      <c r="C254" s="21"/>
      <c r="D254" s="22"/>
      <c r="E254" s="23" t="str">
        <f aca="false">IF(OR(NOT(ISNUMBER($D254)),Config!$G$6&lt;&gt;"Sim"),"",$D254+Config!$F$6+IF(AND(Config!$F$6&gt;0,WEEKDAY($D254+Config!$F$6)=Config!$E$24),1,0))</f>
        <v/>
      </c>
      <c r="F254" s="24"/>
      <c r="G254" s="23" t="str">
        <f aca="false">IF(OR(NOT(ISNUMBER($D254)),Config!$G$7&lt;&gt;"Sim"),"",$D254+Config!$F$7+IF(AND(Config!$F$7&gt;0,WEEKDAY($D254+Config!$F$7)=Config!$E$24),1,0))</f>
        <v/>
      </c>
      <c r="H254" s="24"/>
      <c r="I254" s="23" t="str">
        <f aca="false">IF(OR(NOT(ISNUMBER($D254)),Config!$G$8&lt;&gt;"Sim"),"",$D254+Config!$F$8+IF(AND(Config!$F$8&gt;0,WEEKDAY($D254+Config!$F$8)=Config!$E$24),1,0))</f>
        <v/>
      </c>
      <c r="J254" s="24"/>
      <c r="K254" s="23" t="str">
        <f aca="false">IF(OR(NOT(ISNUMBER($D254)),Config!$G$9&lt;&gt;"Sim"),"",$D254+Config!$F$9+IF(AND(Config!$F$9&gt;0,WEEKDAY($D254+Config!$F$9)=Config!$E$24),1,0))</f>
        <v/>
      </c>
      <c r="L254" s="24"/>
      <c r="M254" s="23" t="str">
        <f aca="false">IF(OR(NOT(ISNUMBER($D254)),Config!$G$10&lt;&gt;"Sim"),"",$D254+Config!$F$10+IF(AND(Config!$F$10&gt;0,WEEKDAY($D254+Config!$F$10)=Config!$E$24),1,0))</f>
        <v/>
      </c>
      <c r="N254" s="24"/>
      <c r="O254" s="23" t="str">
        <f aca="false">IF(OR(NOT(ISNUMBER($D254)),Config!$G$11&lt;&gt;"Sim"),"",$D254+Config!$F$11+IF(AND(Config!$F$11&gt;0,WEEKDAY($D254+Config!$F$11)=Config!$E$24),1,0))</f>
        <v/>
      </c>
      <c r="P254" s="24"/>
      <c r="Q254" s="25" t="str">
        <f aca="false">IF(COUNT(E254,G254,I254,K254,M254,O254)=0,"",((E254&lt;&gt;"")*(F254&lt;&gt;"")+(G254&lt;&gt;"")*(H254&lt;&gt;"")+(I254&lt;&gt;"")*(J254&lt;&gt;"")+(K254&lt;&gt;"")*(L254&lt;&gt;"")+(M254&lt;&gt;"")*(N254&lt;&gt;"")+(O254&lt;&gt;"")*(P254&lt;&gt;""))/COUNT(E254,G254,I254,K254,M254,O254))</f>
        <v/>
      </c>
      <c r="R254" s="26" t="str">
        <f aca="false">IF(T254="","",IF(T254=99999,"",T254))</f>
        <v/>
      </c>
      <c r="S254" s="27" t="str">
        <f aca="true">IF(T254="","",IF(T254=99999,"Concluído",IF(T254&lt;TODAY(),"Atrasado",IF(T254=TODAY(),"Hoje","Em dia"))))</f>
        <v/>
      </c>
      <c r="T254" s="28" t="str">
        <f aca="false">IF(COUNT(E254,G254,I254,K254,M254,O254)=0,"",MIN(IF(AND(E254&lt;&gt;"",F254=""),E254,99999),IF(AND(G254&lt;&gt;"",H254=""),G254,99999),IF(AND(I254&lt;&gt;"",J254=""),I254,99999),IF(AND(K254&lt;&gt;"",L254=""),K254,99999),IF(AND(M254&lt;&gt;"",N254=""),M254,99999),IF(AND(O254&lt;&gt;"",P254=""),O254,99999)))</f>
        <v/>
      </c>
    </row>
    <row r="255" customFormat="false" ht="15" hidden="false" customHeight="false" outlineLevel="0" collapsed="false">
      <c r="A255" s="20" t="n">
        <v>250</v>
      </c>
      <c r="B255" s="21"/>
      <c r="C255" s="21"/>
      <c r="D255" s="22"/>
      <c r="E255" s="23" t="str">
        <f aca="false">IF(OR(NOT(ISNUMBER($D255)),Config!$G$6&lt;&gt;"Sim"),"",$D255+Config!$F$6+IF(AND(Config!$F$6&gt;0,WEEKDAY($D255+Config!$F$6)=Config!$E$24),1,0))</f>
        <v/>
      </c>
      <c r="F255" s="24"/>
      <c r="G255" s="23" t="str">
        <f aca="false">IF(OR(NOT(ISNUMBER($D255)),Config!$G$7&lt;&gt;"Sim"),"",$D255+Config!$F$7+IF(AND(Config!$F$7&gt;0,WEEKDAY($D255+Config!$F$7)=Config!$E$24),1,0))</f>
        <v/>
      </c>
      <c r="H255" s="24"/>
      <c r="I255" s="23" t="str">
        <f aca="false">IF(OR(NOT(ISNUMBER($D255)),Config!$G$8&lt;&gt;"Sim"),"",$D255+Config!$F$8+IF(AND(Config!$F$8&gt;0,WEEKDAY($D255+Config!$F$8)=Config!$E$24),1,0))</f>
        <v/>
      </c>
      <c r="J255" s="24"/>
      <c r="K255" s="23" t="str">
        <f aca="false">IF(OR(NOT(ISNUMBER($D255)),Config!$G$9&lt;&gt;"Sim"),"",$D255+Config!$F$9+IF(AND(Config!$F$9&gt;0,WEEKDAY($D255+Config!$F$9)=Config!$E$24),1,0))</f>
        <v/>
      </c>
      <c r="L255" s="24"/>
      <c r="M255" s="23" t="str">
        <f aca="false">IF(OR(NOT(ISNUMBER($D255)),Config!$G$10&lt;&gt;"Sim"),"",$D255+Config!$F$10+IF(AND(Config!$F$10&gt;0,WEEKDAY($D255+Config!$F$10)=Config!$E$24),1,0))</f>
        <v/>
      </c>
      <c r="N255" s="24"/>
      <c r="O255" s="23" t="str">
        <f aca="false">IF(OR(NOT(ISNUMBER($D255)),Config!$G$11&lt;&gt;"Sim"),"",$D255+Config!$F$11+IF(AND(Config!$F$11&gt;0,WEEKDAY($D255+Config!$F$11)=Config!$E$24),1,0))</f>
        <v/>
      </c>
      <c r="P255" s="24"/>
      <c r="Q255" s="25" t="str">
        <f aca="false">IF(COUNT(E255,G255,I255,K255,M255,O255)=0,"",((E255&lt;&gt;"")*(F255&lt;&gt;"")+(G255&lt;&gt;"")*(H255&lt;&gt;"")+(I255&lt;&gt;"")*(J255&lt;&gt;"")+(K255&lt;&gt;"")*(L255&lt;&gt;"")+(M255&lt;&gt;"")*(N255&lt;&gt;"")+(O255&lt;&gt;"")*(P255&lt;&gt;""))/COUNT(E255,G255,I255,K255,M255,O255))</f>
        <v/>
      </c>
      <c r="R255" s="26" t="str">
        <f aca="false">IF(T255="","",IF(T255=99999,"",T255))</f>
        <v/>
      </c>
      <c r="S255" s="27" t="str">
        <f aca="true">IF(T255="","",IF(T255=99999,"Concluído",IF(T255&lt;TODAY(),"Atrasado",IF(T255=TODAY(),"Hoje","Em dia"))))</f>
        <v/>
      </c>
      <c r="T255" s="28" t="str">
        <f aca="false">IF(COUNT(E255,G255,I255,K255,M255,O255)=0,"",MIN(IF(AND(E255&lt;&gt;"",F255=""),E255,99999),IF(AND(G255&lt;&gt;"",H255=""),G255,99999),IF(AND(I255&lt;&gt;"",J255=""),I255,99999),IF(AND(K255&lt;&gt;"",L255=""),K255,99999),IF(AND(M255&lt;&gt;"",N255=""),M255,99999),IF(AND(O255&lt;&gt;"",P255=""),O255,99999)))</f>
        <v/>
      </c>
    </row>
    <row r="256" customFormat="false" ht="15" hidden="false" customHeight="false" outlineLevel="0" collapsed="false">
      <c r="A256" s="20" t="n">
        <v>251</v>
      </c>
      <c r="B256" s="21"/>
      <c r="C256" s="21"/>
      <c r="D256" s="22"/>
      <c r="E256" s="23" t="str">
        <f aca="false">IF(OR(NOT(ISNUMBER($D256)),Config!$G$6&lt;&gt;"Sim"),"",$D256+Config!$F$6+IF(AND(Config!$F$6&gt;0,WEEKDAY($D256+Config!$F$6)=Config!$E$24),1,0))</f>
        <v/>
      </c>
      <c r="F256" s="24"/>
      <c r="G256" s="23" t="str">
        <f aca="false">IF(OR(NOT(ISNUMBER($D256)),Config!$G$7&lt;&gt;"Sim"),"",$D256+Config!$F$7+IF(AND(Config!$F$7&gt;0,WEEKDAY($D256+Config!$F$7)=Config!$E$24),1,0))</f>
        <v/>
      </c>
      <c r="H256" s="24"/>
      <c r="I256" s="23" t="str">
        <f aca="false">IF(OR(NOT(ISNUMBER($D256)),Config!$G$8&lt;&gt;"Sim"),"",$D256+Config!$F$8+IF(AND(Config!$F$8&gt;0,WEEKDAY($D256+Config!$F$8)=Config!$E$24),1,0))</f>
        <v/>
      </c>
      <c r="J256" s="24"/>
      <c r="K256" s="23" t="str">
        <f aca="false">IF(OR(NOT(ISNUMBER($D256)),Config!$G$9&lt;&gt;"Sim"),"",$D256+Config!$F$9+IF(AND(Config!$F$9&gt;0,WEEKDAY($D256+Config!$F$9)=Config!$E$24),1,0))</f>
        <v/>
      </c>
      <c r="L256" s="24"/>
      <c r="M256" s="23" t="str">
        <f aca="false">IF(OR(NOT(ISNUMBER($D256)),Config!$G$10&lt;&gt;"Sim"),"",$D256+Config!$F$10+IF(AND(Config!$F$10&gt;0,WEEKDAY($D256+Config!$F$10)=Config!$E$24),1,0))</f>
        <v/>
      </c>
      <c r="N256" s="24"/>
      <c r="O256" s="23" t="str">
        <f aca="false">IF(OR(NOT(ISNUMBER($D256)),Config!$G$11&lt;&gt;"Sim"),"",$D256+Config!$F$11+IF(AND(Config!$F$11&gt;0,WEEKDAY($D256+Config!$F$11)=Config!$E$24),1,0))</f>
        <v/>
      </c>
      <c r="P256" s="24"/>
      <c r="Q256" s="25" t="str">
        <f aca="false">IF(COUNT(E256,G256,I256,K256,M256,O256)=0,"",((E256&lt;&gt;"")*(F256&lt;&gt;"")+(G256&lt;&gt;"")*(H256&lt;&gt;"")+(I256&lt;&gt;"")*(J256&lt;&gt;"")+(K256&lt;&gt;"")*(L256&lt;&gt;"")+(M256&lt;&gt;"")*(N256&lt;&gt;"")+(O256&lt;&gt;"")*(P256&lt;&gt;""))/COUNT(E256,G256,I256,K256,M256,O256))</f>
        <v/>
      </c>
      <c r="R256" s="26" t="str">
        <f aca="false">IF(T256="","",IF(T256=99999,"",T256))</f>
        <v/>
      </c>
      <c r="S256" s="27" t="str">
        <f aca="true">IF(T256="","",IF(T256=99999,"Concluído",IF(T256&lt;TODAY(),"Atrasado",IF(T256=TODAY(),"Hoje","Em dia"))))</f>
        <v/>
      </c>
      <c r="T256" s="28" t="str">
        <f aca="false">IF(COUNT(E256,G256,I256,K256,M256,O256)=0,"",MIN(IF(AND(E256&lt;&gt;"",F256=""),E256,99999),IF(AND(G256&lt;&gt;"",H256=""),G256,99999),IF(AND(I256&lt;&gt;"",J256=""),I256,99999),IF(AND(K256&lt;&gt;"",L256=""),K256,99999),IF(AND(M256&lt;&gt;"",N256=""),M256,99999),IF(AND(O256&lt;&gt;"",P256=""),O256,99999)))</f>
        <v/>
      </c>
    </row>
    <row r="257" customFormat="false" ht="15" hidden="false" customHeight="false" outlineLevel="0" collapsed="false">
      <c r="A257" s="20" t="n">
        <v>252</v>
      </c>
      <c r="B257" s="21"/>
      <c r="C257" s="21"/>
      <c r="D257" s="22"/>
      <c r="E257" s="23" t="str">
        <f aca="false">IF(OR(NOT(ISNUMBER($D257)),Config!$G$6&lt;&gt;"Sim"),"",$D257+Config!$F$6+IF(AND(Config!$F$6&gt;0,WEEKDAY($D257+Config!$F$6)=Config!$E$24),1,0))</f>
        <v/>
      </c>
      <c r="F257" s="24"/>
      <c r="G257" s="23" t="str">
        <f aca="false">IF(OR(NOT(ISNUMBER($D257)),Config!$G$7&lt;&gt;"Sim"),"",$D257+Config!$F$7+IF(AND(Config!$F$7&gt;0,WEEKDAY($D257+Config!$F$7)=Config!$E$24),1,0))</f>
        <v/>
      </c>
      <c r="H257" s="24"/>
      <c r="I257" s="23" t="str">
        <f aca="false">IF(OR(NOT(ISNUMBER($D257)),Config!$G$8&lt;&gt;"Sim"),"",$D257+Config!$F$8+IF(AND(Config!$F$8&gt;0,WEEKDAY($D257+Config!$F$8)=Config!$E$24),1,0))</f>
        <v/>
      </c>
      <c r="J257" s="24"/>
      <c r="K257" s="23" t="str">
        <f aca="false">IF(OR(NOT(ISNUMBER($D257)),Config!$G$9&lt;&gt;"Sim"),"",$D257+Config!$F$9+IF(AND(Config!$F$9&gt;0,WEEKDAY($D257+Config!$F$9)=Config!$E$24),1,0))</f>
        <v/>
      </c>
      <c r="L257" s="24"/>
      <c r="M257" s="23" t="str">
        <f aca="false">IF(OR(NOT(ISNUMBER($D257)),Config!$G$10&lt;&gt;"Sim"),"",$D257+Config!$F$10+IF(AND(Config!$F$10&gt;0,WEEKDAY($D257+Config!$F$10)=Config!$E$24),1,0))</f>
        <v/>
      </c>
      <c r="N257" s="24"/>
      <c r="O257" s="23" t="str">
        <f aca="false">IF(OR(NOT(ISNUMBER($D257)),Config!$G$11&lt;&gt;"Sim"),"",$D257+Config!$F$11+IF(AND(Config!$F$11&gt;0,WEEKDAY($D257+Config!$F$11)=Config!$E$24),1,0))</f>
        <v/>
      </c>
      <c r="P257" s="24"/>
      <c r="Q257" s="25" t="str">
        <f aca="false">IF(COUNT(E257,G257,I257,K257,M257,O257)=0,"",((E257&lt;&gt;"")*(F257&lt;&gt;"")+(G257&lt;&gt;"")*(H257&lt;&gt;"")+(I257&lt;&gt;"")*(J257&lt;&gt;"")+(K257&lt;&gt;"")*(L257&lt;&gt;"")+(M257&lt;&gt;"")*(N257&lt;&gt;"")+(O257&lt;&gt;"")*(P257&lt;&gt;""))/COUNT(E257,G257,I257,K257,M257,O257))</f>
        <v/>
      </c>
      <c r="R257" s="26" t="str">
        <f aca="false">IF(T257="","",IF(T257=99999,"",T257))</f>
        <v/>
      </c>
      <c r="S257" s="27" t="str">
        <f aca="true">IF(T257="","",IF(T257=99999,"Concluído",IF(T257&lt;TODAY(),"Atrasado",IF(T257=TODAY(),"Hoje","Em dia"))))</f>
        <v/>
      </c>
      <c r="T257" s="28" t="str">
        <f aca="false">IF(COUNT(E257,G257,I257,K257,M257,O257)=0,"",MIN(IF(AND(E257&lt;&gt;"",F257=""),E257,99999),IF(AND(G257&lt;&gt;"",H257=""),G257,99999),IF(AND(I257&lt;&gt;"",J257=""),I257,99999),IF(AND(K257&lt;&gt;"",L257=""),K257,99999),IF(AND(M257&lt;&gt;"",N257=""),M257,99999),IF(AND(O257&lt;&gt;"",P257=""),O257,99999)))</f>
        <v/>
      </c>
    </row>
    <row r="258" customFormat="false" ht="15" hidden="false" customHeight="false" outlineLevel="0" collapsed="false">
      <c r="A258" s="20" t="n">
        <v>253</v>
      </c>
      <c r="B258" s="21"/>
      <c r="C258" s="21"/>
      <c r="D258" s="22"/>
      <c r="E258" s="23" t="str">
        <f aca="false">IF(OR(NOT(ISNUMBER($D258)),Config!$G$6&lt;&gt;"Sim"),"",$D258+Config!$F$6+IF(AND(Config!$F$6&gt;0,WEEKDAY($D258+Config!$F$6)=Config!$E$24),1,0))</f>
        <v/>
      </c>
      <c r="F258" s="24"/>
      <c r="G258" s="23" t="str">
        <f aca="false">IF(OR(NOT(ISNUMBER($D258)),Config!$G$7&lt;&gt;"Sim"),"",$D258+Config!$F$7+IF(AND(Config!$F$7&gt;0,WEEKDAY($D258+Config!$F$7)=Config!$E$24),1,0))</f>
        <v/>
      </c>
      <c r="H258" s="24"/>
      <c r="I258" s="23" t="str">
        <f aca="false">IF(OR(NOT(ISNUMBER($D258)),Config!$G$8&lt;&gt;"Sim"),"",$D258+Config!$F$8+IF(AND(Config!$F$8&gt;0,WEEKDAY($D258+Config!$F$8)=Config!$E$24),1,0))</f>
        <v/>
      </c>
      <c r="J258" s="24"/>
      <c r="K258" s="23" t="str">
        <f aca="false">IF(OR(NOT(ISNUMBER($D258)),Config!$G$9&lt;&gt;"Sim"),"",$D258+Config!$F$9+IF(AND(Config!$F$9&gt;0,WEEKDAY($D258+Config!$F$9)=Config!$E$24),1,0))</f>
        <v/>
      </c>
      <c r="L258" s="24"/>
      <c r="M258" s="23" t="str">
        <f aca="false">IF(OR(NOT(ISNUMBER($D258)),Config!$G$10&lt;&gt;"Sim"),"",$D258+Config!$F$10+IF(AND(Config!$F$10&gt;0,WEEKDAY($D258+Config!$F$10)=Config!$E$24),1,0))</f>
        <v/>
      </c>
      <c r="N258" s="24"/>
      <c r="O258" s="23" t="str">
        <f aca="false">IF(OR(NOT(ISNUMBER($D258)),Config!$G$11&lt;&gt;"Sim"),"",$D258+Config!$F$11+IF(AND(Config!$F$11&gt;0,WEEKDAY($D258+Config!$F$11)=Config!$E$24),1,0))</f>
        <v/>
      </c>
      <c r="P258" s="24"/>
      <c r="Q258" s="25" t="str">
        <f aca="false">IF(COUNT(E258,G258,I258,K258,M258,O258)=0,"",((E258&lt;&gt;"")*(F258&lt;&gt;"")+(G258&lt;&gt;"")*(H258&lt;&gt;"")+(I258&lt;&gt;"")*(J258&lt;&gt;"")+(K258&lt;&gt;"")*(L258&lt;&gt;"")+(M258&lt;&gt;"")*(N258&lt;&gt;"")+(O258&lt;&gt;"")*(P258&lt;&gt;""))/COUNT(E258,G258,I258,K258,M258,O258))</f>
        <v/>
      </c>
      <c r="R258" s="26" t="str">
        <f aca="false">IF(T258="","",IF(T258=99999,"",T258))</f>
        <v/>
      </c>
      <c r="S258" s="27" t="str">
        <f aca="true">IF(T258="","",IF(T258=99999,"Concluído",IF(T258&lt;TODAY(),"Atrasado",IF(T258=TODAY(),"Hoje","Em dia"))))</f>
        <v/>
      </c>
      <c r="T258" s="28" t="str">
        <f aca="false">IF(COUNT(E258,G258,I258,K258,M258,O258)=0,"",MIN(IF(AND(E258&lt;&gt;"",F258=""),E258,99999),IF(AND(G258&lt;&gt;"",H258=""),G258,99999),IF(AND(I258&lt;&gt;"",J258=""),I258,99999),IF(AND(K258&lt;&gt;"",L258=""),K258,99999),IF(AND(M258&lt;&gt;"",N258=""),M258,99999),IF(AND(O258&lt;&gt;"",P258=""),O258,99999)))</f>
        <v/>
      </c>
    </row>
    <row r="259" customFormat="false" ht="15" hidden="false" customHeight="false" outlineLevel="0" collapsed="false">
      <c r="A259" s="20" t="n">
        <v>254</v>
      </c>
      <c r="B259" s="21"/>
      <c r="C259" s="21"/>
      <c r="D259" s="22"/>
      <c r="E259" s="23" t="str">
        <f aca="false">IF(OR(NOT(ISNUMBER($D259)),Config!$G$6&lt;&gt;"Sim"),"",$D259+Config!$F$6+IF(AND(Config!$F$6&gt;0,WEEKDAY($D259+Config!$F$6)=Config!$E$24),1,0))</f>
        <v/>
      </c>
      <c r="F259" s="24"/>
      <c r="G259" s="23" t="str">
        <f aca="false">IF(OR(NOT(ISNUMBER($D259)),Config!$G$7&lt;&gt;"Sim"),"",$D259+Config!$F$7+IF(AND(Config!$F$7&gt;0,WEEKDAY($D259+Config!$F$7)=Config!$E$24),1,0))</f>
        <v/>
      </c>
      <c r="H259" s="24"/>
      <c r="I259" s="23" t="str">
        <f aca="false">IF(OR(NOT(ISNUMBER($D259)),Config!$G$8&lt;&gt;"Sim"),"",$D259+Config!$F$8+IF(AND(Config!$F$8&gt;0,WEEKDAY($D259+Config!$F$8)=Config!$E$24),1,0))</f>
        <v/>
      </c>
      <c r="J259" s="24"/>
      <c r="K259" s="23" t="str">
        <f aca="false">IF(OR(NOT(ISNUMBER($D259)),Config!$G$9&lt;&gt;"Sim"),"",$D259+Config!$F$9+IF(AND(Config!$F$9&gt;0,WEEKDAY($D259+Config!$F$9)=Config!$E$24),1,0))</f>
        <v/>
      </c>
      <c r="L259" s="24"/>
      <c r="M259" s="23" t="str">
        <f aca="false">IF(OR(NOT(ISNUMBER($D259)),Config!$G$10&lt;&gt;"Sim"),"",$D259+Config!$F$10+IF(AND(Config!$F$10&gt;0,WEEKDAY($D259+Config!$F$10)=Config!$E$24),1,0))</f>
        <v/>
      </c>
      <c r="N259" s="24"/>
      <c r="O259" s="23" t="str">
        <f aca="false">IF(OR(NOT(ISNUMBER($D259)),Config!$G$11&lt;&gt;"Sim"),"",$D259+Config!$F$11+IF(AND(Config!$F$11&gt;0,WEEKDAY($D259+Config!$F$11)=Config!$E$24),1,0))</f>
        <v/>
      </c>
      <c r="P259" s="24"/>
      <c r="Q259" s="25" t="str">
        <f aca="false">IF(COUNT(E259,G259,I259,K259,M259,O259)=0,"",((E259&lt;&gt;"")*(F259&lt;&gt;"")+(G259&lt;&gt;"")*(H259&lt;&gt;"")+(I259&lt;&gt;"")*(J259&lt;&gt;"")+(K259&lt;&gt;"")*(L259&lt;&gt;"")+(M259&lt;&gt;"")*(N259&lt;&gt;"")+(O259&lt;&gt;"")*(P259&lt;&gt;""))/COUNT(E259,G259,I259,K259,M259,O259))</f>
        <v/>
      </c>
      <c r="R259" s="26" t="str">
        <f aca="false">IF(T259="","",IF(T259=99999,"",T259))</f>
        <v/>
      </c>
      <c r="S259" s="27" t="str">
        <f aca="true">IF(T259="","",IF(T259=99999,"Concluído",IF(T259&lt;TODAY(),"Atrasado",IF(T259=TODAY(),"Hoje","Em dia"))))</f>
        <v/>
      </c>
      <c r="T259" s="28" t="str">
        <f aca="false">IF(COUNT(E259,G259,I259,K259,M259,O259)=0,"",MIN(IF(AND(E259&lt;&gt;"",F259=""),E259,99999),IF(AND(G259&lt;&gt;"",H259=""),G259,99999),IF(AND(I259&lt;&gt;"",J259=""),I259,99999),IF(AND(K259&lt;&gt;"",L259=""),K259,99999),IF(AND(M259&lt;&gt;"",N259=""),M259,99999),IF(AND(O259&lt;&gt;"",P259=""),O259,99999)))</f>
        <v/>
      </c>
    </row>
    <row r="260" customFormat="false" ht="15" hidden="false" customHeight="false" outlineLevel="0" collapsed="false">
      <c r="A260" s="20" t="n">
        <v>255</v>
      </c>
      <c r="B260" s="21"/>
      <c r="C260" s="21"/>
      <c r="D260" s="22"/>
      <c r="E260" s="23" t="str">
        <f aca="false">IF(OR(NOT(ISNUMBER($D260)),Config!$G$6&lt;&gt;"Sim"),"",$D260+Config!$F$6+IF(AND(Config!$F$6&gt;0,WEEKDAY($D260+Config!$F$6)=Config!$E$24),1,0))</f>
        <v/>
      </c>
      <c r="F260" s="24"/>
      <c r="G260" s="23" t="str">
        <f aca="false">IF(OR(NOT(ISNUMBER($D260)),Config!$G$7&lt;&gt;"Sim"),"",$D260+Config!$F$7+IF(AND(Config!$F$7&gt;0,WEEKDAY($D260+Config!$F$7)=Config!$E$24),1,0))</f>
        <v/>
      </c>
      <c r="H260" s="24"/>
      <c r="I260" s="23" t="str">
        <f aca="false">IF(OR(NOT(ISNUMBER($D260)),Config!$G$8&lt;&gt;"Sim"),"",$D260+Config!$F$8+IF(AND(Config!$F$8&gt;0,WEEKDAY($D260+Config!$F$8)=Config!$E$24),1,0))</f>
        <v/>
      </c>
      <c r="J260" s="24"/>
      <c r="K260" s="23" t="str">
        <f aca="false">IF(OR(NOT(ISNUMBER($D260)),Config!$G$9&lt;&gt;"Sim"),"",$D260+Config!$F$9+IF(AND(Config!$F$9&gt;0,WEEKDAY($D260+Config!$F$9)=Config!$E$24),1,0))</f>
        <v/>
      </c>
      <c r="L260" s="24"/>
      <c r="M260" s="23" t="str">
        <f aca="false">IF(OR(NOT(ISNUMBER($D260)),Config!$G$10&lt;&gt;"Sim"),"",$D260+Config!$F$10+IF(AND(Config!$F$10&gt;0,WEEKDAY($D260+Config!$F$10)=Config!$E$24),1,0))</f>
        <v/>
      </c>
      <c r="N260" s="24"/>
      <c r="O260" s="23" t="str">
        <f aca="false">IF(OR(NOT(ISNUMBER($D260)),Config!$G$11&lt;&gt;"Sim"),"",$D260+Config!$F$11+IF(AND(Config!$F$11&gt;0,WEEKDAY($D260+Config!$F$11)=Config!$E$24),1,0))</f>
        <v/>
      </c>
      <c r="P260" s="24"/>
      <c r="Q260" s="25" t="str">
        <f aca="false">IF(COUNT(E260,G260,I260,K260,M260,O260)=0,"",((E260&lt;&gt;"")*(F260&lt;&gt;"")+(G260&lt;&gt;"")*(H260&lt;&gt;"")+(I260&lt;&gt;"")*(J260&lt;&gt;"")+(K260&lt;&gt;"")*(L260&lt;&gt;"")+(M260&lt;&gt;"")*(N260&lt;&gt;"")+(O260&lt;&gt;"")*(P260&lt;&gt;""))/COUNT(E260,G260,I260,K260,M260,O260))</f>
        <v/>
      </c>
      <c r="R260" s="26" t="str">
        <f aca="false">IF(T260="","",IF(T260=99999,"",T260))</f>
        <v/>
      </c>
      <c r="S260" s="27" t="str">
        <f aca="true">IF(T260="","",IF(T260=99999,"Concluído",IF(T260&lt;TODAY(),"Atrasado",IF(T260=TODAY(),"Hoje","Em dia"))))</f>
        <v/>
      </c>
      <c r="T260" s="28" t="str">
        <f aca="false">IF(COUNT(E260,G260,I260,K260,M260,O260)=0,"",MIN(IF(AND(E260&lt;&gt;"",F260=""),E260,99999),IF(AND(G260&lt;&gt;"",H260=""),G260,99999),IF(AND(I260&lt;&gt;"",J260=""),I260,99999),IF(AND(K260&lt;&gt;"",L260=""),K260,99999),IF(AND(M260&lt;&gt;"",N260=""),M260,99999),IF(AND(O260&lt;&gt;"",P260=""),O260,99999)))</f>
        <v/>
      </c>
    </row>
    <row r="261" customFormat="false" ht="15" hidden="false" customHeight="false" outlineLevel="0" collapsed="false">
      <c r="A261" s="20" t="n">
        <v>256</v>
      </c>
      <c r="B261" s="21"/>
      <c r="C261" s="21"/>
      <c r="D261" s="22"/>
      <c r="E261" s="23" t="str">
        <f aca="false">IF(OR(NOT(ISNUMBER($D261)),Config!$G$6&lt;&gt;"Sim"),"",$D261+Config!$F$6+IF(AND(Config!$F$6&gt;0,WEEKDAY($D261+Config!$F$6)=Config!$E$24),1,0))</f>
        <v/>
      </c>
      <c r="F261" s="24"/>
      <c r="G261" s="23" t="str">
        <f aca="false">IF(OR(NOT(ISNUMBER($D261)),Config!$G$7&lt;&gt;"Sim"),"",$D261+Config!$F$7+IF(AND(Config!$F$7&gt;0,WEEKDAY($D261+Config!$F$7)=Config!$E$24),1,0))</f>
        <v/>
      </c>
      <c r="H261" s="24"/>
      <c r="I261" s="23" t="str">
        <f aca="false">IF(OR(NOT(ISNUMBER($D261)),Config!$G$8&lt;&gt;"Sim"),"",$D261+Config!$F$8+IF(AND(Config!$F$8&gt;0,WEEKDAY($D261+Config!$F$8)=Config!$E$24),1,0))</f>
        <v/>
      </c>
      <c r="J261" s="24"/>
      <c r="K261" s="23" t="str">
        <f aca="false">IF(OR(NOT(ISNUMBER($D261)),Config!$G$9&lt;&gt;"Sim"),"",$D261+Config!$F$9+IF(AND(Config!$F$9&gt;0,WEEKDAY($D261+Config!$F$9)=Config!$E$24),1,0))</f>
        <v/>
      </c>
      <c r="L261" s="24"/>
      <c r="M261" s="23" t="str">
        <f aca="false">IF(OR(NOT(ISNUMBER($D261)),Config!$G$10&lt;&gt;"Sim"),"",$D261+Config!$F$10+IF(AND(Config!$F$10&gt;0,WEEKDAY($D261+Config!$F$10)=Config!$E$24),1,0))</f>
        <v/>
      </c>
      <c r="N261" s="24"/>
      <c r="O261" s="23" t="str">
        <f aca="false">IF(OR(NOT(ISNUMBER($D261)),Config!$G$11&lt;&gt;"Sim"),"",$D261+Config!$F$11+IF(AND(Config!$F$11&gt;0,WEEKDAY($D261+Config!$F$11)=Config!$E$24),1,0))</f>
        <v/>
      </c>
      <c r="P261" s="24"/>
      <c r="Q261" s="25" t="str">
        <f aca="false">IF(COUNT(E261,G261,I261,K261,M261,O261)=0,"",((E261&lt;&gt;"")*(F261&lt;&gt;"")+(G261&lt;&gt;"")*(H261&lt;&gt;"")+(I261&lt;&gt;"")*(J261&lt;&gt;"")+(K261&lt;&gt;"")*(L261&lt;&gt;"")+(M261&lt;&gt;"")*(N261&lt;&gt;"")+(O261&lt;&gt;"")*(P261&lt;&gt;""))/COUNT(E261,G261,I261,K261,M261,O261))</f>
        <v/>
      </c>
      <c r="R261" s="26" t="str">
        <f aca="false">IF(T261="","",IF(T261=99999,"",T261))</f>
        <v/>
      </c>
      <c r="S261" s="27" t="str">
        <f aca="true">IF(T261="","",IF(T261=99999,"Concluído",IF(T261&lt;TODAY(),"Atrasado",IF(T261=TODAY(),"Hoje","Em dia"))))</f>
        <v/>
      </c>
      <c r="T261" s="28" t="str">
        <f aca="false">IF(COUNT(E261,G261,I261,K261,M261,O261)=0,"",MIN(IF(AND(E261&lt;&gt;"",F261=""),E261,99999),IF(AND(G261&lt;&gt;"",H261=""),G261,99999),IF(AND(I261&lt;&gt;"",J261=""),I261,99999),IF(AND(K261&lt;&gt;"",L261=""),K261,99999),IF(AND(M261&lt;&gt;"",N261=""),M261,99999),IF(AND(O261&lt;&gt;"",P261=""),O261,99999)))</f>
        <v/>
      </c>
    </row>
    <row r="262" customFormat="false" ht="15" hidden="false" customHeight="false" outlineLevel="0" collapsed="false">
      <c r="A262" s="20" t="n">
        <v>257</v>
      </c>
      <c r="B262" s="21"/>
      <c r="C262" s="21"/>
      <c r="D262" s="22"/>
      <c r="E262" s="23" t="str">
        <f aca="false">IF(OR(NOT(ISNUMBER($D262)),Config!$G$6&lt;&gt;"Sim"),"",$D262+Config!$F$6+IF(AND(Config!$F$6&gt;0,WEEKDAY($D262+Config!$F$6)=Config!$E$24),1,0))</f>
        <v/>
      </c>
      <c r="F262" s="24"/>
      <c r="G262" s="23" t="str">
        <f aca="false">IF(OR(NOT(ISNUMBER($D262)),Config!$G$7&lt;&gt;"Sim"),"",$D262+Config!$F$7+IF(AND(Config!$F$7&gt;0,WEEKDAY($D262+Config!$F$7)=Config!$E$24),1,0))</f>
        <v/>
      </c>
      <c r="H262" s="24"/>
      <c r="I262" s="23" t="str">
        <f aca="false">IF(OR(NOT(ISNUMBER($D262)),Config!$G$8&lt;&gt;"Sim"),"",$D262+Config!$F$8+IF(AND(Config!$F$8&gt;0,WEEKDAY($D262+Config!$F$8)=Config!$E$24),1,0))</f>
        <v/>
      </c>
      <c r="J262" s="24"/>
      <c r="K262" s="23" t="str">
        <f aca="false">IF(OR(NOT(ISNUMBER($D262)),Config!$G$9&lt;&gt;"Sim"),"",$D262+Config!$F$9+IF(AND(Config!$F$9&gt;0,WEEKDAY($D262+Config!$F$9)=Config!$E$24),1,0))</f>
        <v/>
      </c>
      <c r="L262" s="24"/>
      <c r="M262" s="23" t="str">
        <f aca="false">IF(OR(NOT(ISNUMBER($D262)),Config!$G$10&lt;&gt;"Sim"),"",$D262+Config!$F$10+IF(AND(Config!$F$10&gt;0,WEEKDAY($D262+Config!$F$10)=Config!$E$24),1,0))</f>
        <v/>
      </c>
      <c r="N262" s="24"/>
      <c r="O262" s="23" t="str">
        <f aca="false">IF(OR(NOT(ISNUMBER($D262)),Config!$G$11&lt;&gt;"Sim"),"",$D262+Config!$F$11+IF(AND(Config!$F$11&gt;0,WEEKDAY($D262+Config!$F$11)=Config!$E$24),1,0))</f>
        <v/>
      </c>
      <c r="P262" s="24"/>
      <c r="Q262" s="25" t="str">
        <f aca="false">IF(COUNT(E262,G262,I262,K262,M262,O262)=0,"",((E262&lt;&gt;"")*(F262&lt;&gt;"")+(G262&lt;&gt;"")*(H262&lt;&gt;"")+(I262&lt;&gt;"")*(J262&lt;&gt;"")+(K262&lt;&gt;"")*(L262&lt;&gt;"")+(M262&lt;&gt;"")*(N262&lt;&gt;"")+(O262&lt;&gt;"")*(P262&lt;&gt;""))/COUNT(E262,G262,I262,K262,M262,O262))</f>
        <v/>
      </c>
      <c r="R262" s="26" t="str">
        <f aca="false">IF(T262="","",IF(T262=99999,"",T262))</f>
        <v/>
      </c>
      <c r="S262" s="27" t="str">
        <f aca="true">IF(T262="","",IF(T262=99999,"Concluído",IF(T262&lt;TODAY(),"Atrasado",IF(T262=TODAY(),"Hoje","Em dia"))))</f>
        <v/>
      </c>
      <c r="T262" s="28" t="str">
        <f aca="false">IF(COUNT(E262,G262,I262,K262,M262,O262)=0,"",MIN(IF(AND(E262&lt;&gt;"",F262=""),E262,99999),IF(AND(G262&lt;&gt;"",H262=""),G262,99999),IF(AND(I262&lt;&gt;"",J262=""),I262,99999),IF(AND(K262&lt;&gt;"",L262=""),K262,99999),IF(AND(M262&lt;&gt;"",N262=""),M262,99999),IF(AND(O262&lt;&gt;"",P262=""),O262,99999)))</f>
        <v/>
      </c>
    </row>
    <row r="263" customFormat="false" ht="15" hidden="false" customHeight="false" outlineLevel="0" collapsed="false">
      <c r="A263" s="20" t="n">
        <v>258</v>
      </c>
      <c r="B263" s="21"/>
      <c r="C263" s="21"/>
      <c r="D263" s="22"/>
      <c r="E263" s="23" t="str">
        <f aca="false">IF(OR(NOT(ISNUMBER($D263)),Config!$G$6&lt;&gt;"Sim"),"",$D263+Config!$F$6+IF(AND(Config!$F$6&gt;0,WEEKDAY($D263+Config!$F$6)=Config!$E$24),1,0))</f>
        <v/>
      </c>
      <c r="F263" s="24"/>
      <c r="G263" s="23" t="str">
        <f aca="false">IF(OR(NOT(ISNUMBER($D263)),Config!$G$7&lt;&gt;"Sim"),"",$D263+Config!$F$7+IF(AND(Config!$F$7&gt;0,WEEKDAY($D263+Config!$F$7)=Config!$E$24),1,0))</f>
        <v/>
      </c>
      <c r="H263" s="24"/>
      <c r="I263" s="23" t="str">
        <f aca="false">IF(OR(NOT(ISNUMBER($D263)),Config!$G$8&lt;&gt;"Sim"),"",$D263+Config!$F$8+IF(AND(Config!$F$8&gt;0,WEEKDAY($D263+Config!$F$8)=Config!$E$24),1,0))</f>
        <v/>
      </c>
      <c r="J263" s="24"/>
      <c r="K263" s="23" t="str">
        <f aca="false">IF(OR(NOT(ISNUMBER($D263)),Config!$G$9&lt;&gt;"Sim"),"",$D263+Config!$F$9+IF(AND(Config!$F$9&gt;0,WEEKDAY($D263+Config!$F$9)=Config!$E$24),1,0))</f>
        <v/>
      </c>
      <c r="L263" s="24"/>
      <c r="M263" s="23" t="str">
        <f aca="false">IF(OR(NOT(ISNUMBER($D263)),Config!$G$10&lt;&gt;"Sim"),"",$D263+Config!$F$10+IF(AND(Config!$F$10&gt;0,WEEKDAY($D263+Config!$F$10)=Config!$E$24),1,0))</f>
        <v/>
      </c>
      <c r="N263" s="24"/>
      <c r="O263" s="23" t="str">
        <f aca="false">IF(OR(NOT(ISNUMBER($D263)),Config!$G$11&lt;&gt;"Sim"),"",$D263+Config!$F$11+IF(AND(Config!$F$11&gt;0,WEEKDAY($D263+Config!$F$11)=Config!$E$24),1,0))</f>
        <v/>
      </c>
      <c r="P263" s="24"/>
      <c r="Q263" s="25" t="str">
        <f aca="false">IF(COUNT(E263,G263,I263,K263,M263,O263)=0,"",((E263&lt;&gt;"")*(F263&lt;&gt;"")+(G263&lt;&gt;"")*(H263&lt;&gt;"")+(I263&lt;&gt;"")*(J263&lt;&gt;"")+(K263&lt;&gt;"")*(L263&lt;&gt;"")+(M263&lt;&gt;"")*(N263&lt;&gt;"")+(O263&lt;&gt;"")*(P263&lt;&gt;""))/COUNT(E263,G263,I263,K263,M263,O263))</f>
        <v/>
      </c>
      <c r="R263" s="26" t="str">
        <f aca="false">IF(T263="","",IF(T263=99999,"",T263))</f>
        <v/>
      </c>
      <c r="S263" s="27" t="str">
        <f aca="true">IF(T263="","",IF(T263=99999,"Concluído",IF(T263&lt;TODAY(),"Atrasado",IF(T263=TODAY(),"Hoje","Em dia"))))</f>
        <v/>
      </c>
      <c r="T263" s="28" t="str">
        <f aca="false">IF(COUNT(E263,G263,I263,K263,M263,O263)=0,"",MIN(IF(AND(E263&lt;&gt;"",F263=""),E263,99999),IF(AND(G263&lt;&gt;"",H263=""),G263,99999),IF(AND(I263&lt;&gt;"",J263=""),I263,99999),IF(AND(K263&lt;&gt;"",L263=""),K263,99999),IF(AND(M263&lt;&gt;"",N263=""),M263,99999),IF(AND(O263&lt;&gt;"",P263=""),O263,99999)))</f>
        <v/>
      </c>
    </row>
    <row r="264" customFormat="false" ht="15" hidden="false" customHeight="false" outlineLevel="0" collapsed="false">
      <c r="A264" s="20" t="n">
        <v>259</v>
      </c>
      <c r="B264" s="21"/>
      <c r="C264" s="21"/>
      <c r="D264" s="22"/>
      <c r="E264" s="23" t="str">
        <f aca="false">IF(OR(NOT(ISNUMBER($D264)),Config!$G$6&lt;&gt;"Sim"),"",$D264+Config!$F$6+IF(AND(Config!$F$6&gt;0,WEEKDAY($D264+Config!$F$6)=Config!$E$24),1,0))</f>
        <v/>
      </c>
      <c r="F264" s="24"/>
      <c r="G264" s="23" t="str">
        <f aca="false">IF(OR(NOT(ISNUMBER($D264)),Config!$G$7&lt;&gt;"Sim"),"",$D264+Config!$F$7+IF(AND(Config!$F$7&gt;0,WEEKDAY($D264+Config!$F$7)=Config!$E$24),1,0))</f>
        <v/>
      </c>
      <c r="H264" s="24"/>
      <c r="I264" s="23" t="str">
        <f aca="false">IF(OR(NOT(ISNUMBER($D264)),Config!$G$8&lt;&gt;"Sim"),"",$D264+Config!$F$8+IF(AND(Config!$F$8&gt;0,WEEKDAY($D264+Config!$F$8)=Config!$E$24),1,0))</f>
        <v/>
      </c>
      <c r="J264" s="24"/>
      <c r="K264" s="23" t="str">
        <f aca="false">IF(OR(NOT(ISNUMBER($D264)),Config!$G$9&lt;&gt;"Sim"),"",$D264+Config!$F$9+IF(AND(Config!$F$9&gt;0,WEEKDAY($D264+Config!$F$9)=Config!$E$24),1,0))</f>
        <v/>
      </c>
      <c r="L264" s="24"/>
      <c r="M264" s="23" t="str">
        <f aca="false">IF(OR(NOT(ISNUMBER($D264)),Config!$G$10&lt;&gt;"Sim"),"",$D264+Config!$F$10+IF(AND(Config!$F$10&gt;0,WEEKDAY($D264+Config!$F$10)=Config!$E$24),1,0))</f>
        <v/>
      </c>
      <c r="N264" s="24"/>
      <c r="O264" s="23" t="str">
        <f aca="false">IF(OR(NOT(ISNUMBER($D264)),Config!$G$11&lt;&gt;"Sim"),"",$D264+Config!$F$11+IF(AND(Config!$F$11&gt;0,WEEKDAY($D264+Config!$F$11)=Config!$E$24),1,0))</f>
        <v/>
      </c>
      <c r="P264" s="24"/>
      <c r="Q264" s="25" t="str">
        <f aca="false">IF(COUNT(E264,G264,I264,K264,M264,O264)=0,"",((E264&lt;&gt;"")*(F264&lt;&gt;"")+(G264&lt;&gt;"")*(H264&lt;&gt;"")+(I264&lt;&gt;"")*(J264&lt;&gt;"")+(K264&lt;&gt;"")*(L264&lt;&gt;"")+(M264&lt;&gt;"")*(N264&lt;&gt;"")+(O264&lt;&gt;"")*(P264&lt;&gt;""))/COUNT(E264,G264,I264,K264,M264,O264))</f>
        <v/>
      </c>
      <c r="R264" s="26" t="str">
        <f aca="false">IF(T264="","",IF(T264=99999,"",T264))</f>
        <v/>
      </c>
      <c r="S264" s="27" t="str">
        <f aca="true">IF(T264="","",IF(T264=99999,"Concluído",IF(T264&lt;TODAY(),"Atrasado",IF(T264=TODAY(),"Hoje","Em dia"))))</f>
        <v/>
      </c>
      <c r="T264" s="28" t="str">
        <f aca="false">IF(COUNT(E264,G264,I264,K264,M264,O264)=0,"",MIN(IF(AND(E264&lt;&gt;"",F264=""),E264,99999),IF(AND(G264&lt;&gt;"",H264=""),G264,99999),IF(AND(I264&lt;&gt;"",J264=""),I264,99999),IF(AND(K264&lt;&gt;"",L264=""),K264,99999),IF(AND(M264&lt;&gt;"",N264=""),M264,99999),IF(AND(O264&lt;&gt;"",P264=""),O264,99999)))</f>
        <v/>
      </c>
    </row>
    <row r="265" customFormat="false" ht="15" hidden="false" customHeight="false" outlineLevel="0" collapsed="false">
      <c r="A265" s="20" t="n">
        <v>260</v>
      </c>
      <c r="B265" s="21"/>
      <c r="C265" s="21"/>
      <c r="D265" s="22"/>
      <c r="E265" s="23" t="str">
        <f aca="false">IF(OR(NOT(ISNUMBER($D265)),Config!$G$6&lt;&gt;"Sim"),"",$D265+Config!$F$6+IF(AND(Config!$F$6&gt;0,WEEKDAY($D265+Config!$F$6)=Config!$E$24),1,0))</f>
        <v/>
      </c>
      <c r="F265" s="24"/>
      <c r="G265" s="23" t="str">
        <f aca="false">IF(OR(NOT(ISNUMBER($D265)),Config!$G$7&lt;&gt;"Sim"),"",$D265+Config!$F$7+IF(AND(Config!$F$7&gt;0,WEEKDAY($D265+Config!$F$7)=Config!$E$24),1,0))</f>
        <v/>
      </c>
      <c r="H265" s="24"/>
      <c r="I265" s="23" t="str">
        <f aca="false">IF(OR(NOT(ISNUMBER($D265)),Config!$G$8&lt;&gt;"Sim"),"",$D265+Config!$F$8+IF(AND(Config!$F$8&gt;0,WEEKDAY($D265+Config!$F$8)=Config!$E$24),1,0))</f>
        <v/>
      </c>
      <c r="J265" s="24"/>
      <c r="K265" s="23" t="str">
        <f aca="false">IF(OR(NOT(ISNUMBER($D265)),Config!$G$9&lt;&gt;"Sim"),"",$D265+Config!$F$9+IF(AND(Config!$F$9&gt;0,WEEKDAY($D265+Config!$F$9)=Config!$E$24),1,0))</f>
        <v/>
      </c>
      <c r="L265" s="24"/>
      <c r="M265" s="23" t="str">
        <f aca="false">IF(OR(NOT(ISNUMBER($D265)),Config!$G$10&lt;&gt;"Sim"),"",$D265+Config!$F$10+IF(AND(Config!$F$10&gt;0,WEEKDAY($D265+Config!$F$10)=Config!$E$24),1,0))</f>
        <v/>
      </c>
      <c r="N265" s="24"/>
      <c r="O265" s="23" t="str">
        <f aca="false">IF(OR(NOT(ISNUMBER($D265)),Config!$G$11&lt;&gt;"Sim"),"",$D265+Config!$F$11+IF(AND(Config!$F$11&gt;0,WEEKDAY($D265+Config!$F$11)=Config!$E$24),1,0))</f>
        <v/>
      </c>
      <c r="P265" s="24"/>
      <c r="Q265" s="25" t="str">
        <f aca="false">IF(COUNT(E265,G265,I265,K265,M265,O265)=0,"",((E265&lt;&gt;"")*(F265&lt;&gt;"")+(G265&lt;&gt;"")*(H265&lt;&gt;"")+(I265&lt;&gt;"")*(J265&lt;&gt;"")+(K265&lt;&gt;"")*(L265&lt;&gt;"")+(M265&lt;&gt;"")*(N265&lt;&gt;"")+(O265&lt;&gt;"")*(P265&lt;&gt;""))/COUNT(E265,G265,I265,K265,M265,O265))</f>
        <v/>
      </c>
      <c r="R265" s="26" t="str">
        <f aca="false">IF(T265="","",IF(T265=99999,"",T265))</f>
        <v/>
      </c>
      <c r="S265" s="27" t="str">
        <f aca="true">IF(T265="","",IF(T265=99999,"Concluído",IF(T265&lt;TODAY(),"Atrasado",IF(T265=TODAY(),"Hoje","Em dia"))))</f>
        <v/>
      </c>
      <c r="T265" s="28" t="str">
        <f aca="false">IF(COUNT(E265,G265,I265,K265,M265,O265)=0,"",MIN(IF(AND(E265&lt;&gt;"",F265=""),E265,99999),IF(AND(G265&lt;&gt;"",H265=""),G265,99999),IF(AND(I265&lt;&gt;"",J265=""),I265,99999),IF(AND(K265&lt;&gt;"",L265=""),K265,99999),IF(AND(M265&lt;&gt;"",N265=""),M265,99999),IF(AND(O265&lt;&gt;"",P265=""),O265,99999)))</f>
        <v/>
      </c>
    </row>
    <row r="266" customFormat="false" ht="15" hidden="false" customHeight="false" outlineLevel="0" collapsed="false">
      <c r="A266" s="20" t="n">
        <v>261</v>
      </c>
      <c r="B266" s="21"/>
      <c r="C266" s="21"/>
      <c r="D266" s="22"/>
      <c r="E266" s="23" t="str">
        <f aca="false">IF(OR(NOT(ISNUMBER($D266)),Config!$G$6&lt;&gt;"Sim"),"",$D266+Config!$F$6+IF(AND(Config!$F$6&gt;0,WEEKDAY($D266+Config!$F$6)=Config!$E$24),1,0))</f>
        <v/>
      </c>
      <c r="F266" s="24"/>
      <c r="G266" s="23" t="str">
        <f aca="false">IF(OR(NOT(ISNUMBER($D266)),Config!$G$7&lt;&gt;"Sim"),"",$D266+Config!$F$7+IF(AND(Config!$F$7&gt;0,WEEKDAY($D266+Config!$F$7)=Config!$E$24),1,0))</f>
        <v/>
      </c>
      <c r="H266" s="24"/>
      <c r="I266" s="23" t="str">
        <f aca="false">IF(OR(NOT(ISNUMBER($D266)),Config!$G$8&lt;&gt;"Sim"),"",$D266+Config!$F$8+IF(AND(Config!$F$8&gt;0,WEEKDAY($D266+Config!$F$8)=Config!$E$24),1,0))</f>
        <v/>
      </c>
      <c r="J266" s="24"/>
      <c r="K266" s="23" t="str">
        <f aca="false">IF(OR(NOT(ISNUMBER($D266)),Config!$G$9&lt;&gt;"Sim"),"",$D266+Config!$F$9+IF(AND(Config!$F$9&gt;0,WEEKDAY($D266+Config!$F$9)=Config!$E$24),1,0))</f>
        <v/>
      </c>
      <c r="L266" s="24"/>
      <c r="M266" s="23" t="str">
        <f aca="false">IF(OR(NOT(ISNUMBER($D266)),Config!$G$10&lt;&gt;"Sim"),"",$D266+Config!$F$10+IF(AND(Config!$F$10&gt;0,WEEKDAY($D266+Config!$F$10)=Config!$E$24),1,0))</f>
        <v/>
      </c>
      <c r="N266" s="24"/>
      <c r="O266" s="23" t="str">
        <f aca="false">IF(OR(NOT(ISNUMBER($D266)),Config!$G$11&lt;&gt;"Sim"),"",$D266+Config!$F$11+IF(AND(Config!$F$11&gt;0,WEEKDAY($D266+Config!$F$11)=Config!$E$24),1,0))</f>
        <v/>
      </c>
      <c r="P266" s="24"/>
      <c r="Q266" s="25" t="str">
        <f aca="false">IF(COUNT(E266,G266,I266,K266,M266,O266)=0,"",((E266&lt;&gt;"")*(F266&lt;&gt;"")+(G266&lt;&gt;"")*(H266&lt;&gt;"")+(I266&lt;&gt;"")*(J266&lt;&gt;"")+(K266&lt;&gt;"")*(L266&lt;&gt;"")+(M266&lt;&gt;"")*(N266&lt;&gt;"")+(O266&lt;&gt;"")*(P266&lt;&gt;""))/COUNT(E266,G266,I266,K266,M266,O266))</f>
        <v/>
      </c>
      <c r="R266" s="26" t="str">
        <f aca="false">IF(T266="","",IF(T266=99999,"",T266))</f>
        <v/>
      </c>
      <c r="S266" s="27" t="str">
        <f aca="true">IF(T266="","",IF(T266=99999,"Concluído",IF(T266&lt;TODAY(),"Atrasado",IF(T266=TODAY(),"Hoje","Em dia"))))</f>
        <v/>
      </c>
      <c r="T266" s="28" t="str">
        <f aca="false">IF(COUNT(E266,G266,I266,K266,M266,O266)=0,"",MIN(IF(AND(E266&lt;&gt;"",F266=""),E266,99999),IF(AND(G266&lt;&gt;"",H266=""),G266,99999),IF(AND(I266&lt;&gt;"",J266=""),I266,99999),IF(AND(K266&lt;&gt;"",L266=""),K266,99999),IF(AND(M266&lt;&gt;"",N266=""),M266,99999),IF(AND(O266&lt;&gt;"",P266=""),O266,99999)))</f>
        <v/>
      </c>
    </row>
    <row r="267" customFormat="false" ht="15" hidden="false" customHeight="false" outlineLevel="0" collapsed="false">
      <c r="A267" s="20" t="n">
        <v>262</v>
      </c>
      <c r="B267" s="21"/>
      <c r="C267" s="21"/>
      <c r="D267" s="22"/>
      <c r="E267" s="23" t="str">
        <f aca="false">IF(OR(NOT(ISNUMBER($D267)),Config!$G$6&lt;&gt;"Sim"),"",$D267+Config!$F$6+IF(AND(Config!$F$6&gt;0,WEEKDAY($D267+Config!$F$6)=Config!$E$24),1,0))</f>
        <v/>
      </c>
      <c r="F267" s="24"/>
      <c r="G267" s="23" t="str">
        <f aca="false">IF(OR(NOT(ISNUMBER($D267)),Config!$G$7&lt;&gt;"Sim"),"",$D267+Config!$F$7+IF(AND(Config!$F$7&gt;0,WEEKDAY($D267+Config!$F$7)=Config!$E$24),1,0))</f>
        <v/>
      </c>
      <c r="H267" s="24"/>
      <c r="I267" s="23" t="str">
        <f aca="false">IF(OR(NOT(ISNUMBER($D267)),Config!$G$8&lt;&gt;"Sim"),"",$D267+Config!$F$8+IF(AND(Config!$F$8&gt;0,WEEKDAY($D267+Config!$F$8)=Config!$E$24),1,0))</f>
        <v/>
      </c>
      <c r="J267" s="24"/>
      <c r="K267" s="23" t="str">
        <f aca="false">IF(OR(NOT(ISNUMBER($D267)),Config!$G$9&lt;&gt;"Sim"),"",$D267+Config!$F$9+IF(AND(Config!$F$9&gt;0,WEEKDAY($D267+Config!$F$9)=Config!$E$24),1,0))</f>
        <v/>
      </c>
      <c r="L267" s="24"/>
      <c r="M267" s="23" t="str">
        <f aca="false">IF(OR(NOT(ISNUMBER($D267)),Config!$G$10&lt;&gt;"Sim"),"",$D267+Config!$F$10+IF(AND(Config!$F$10&gt;0,WEEKDAY($D267+Config!$F$10)=Config!$E$24),1,0))</f>
        <v/>
      </c>
      <c r="N267" s="24"/>
      <c r="O267" s="23" t="str">
        <f aca="false">IF(OR(NOT(ISNUMBER($D267)),Config!$G$11&lt;&gt;"Sim"),"",$D267+Config!$F$11+IF(AND(Config!$F$11&gt;0,WEEKDAY($D267+Config!$F$11)=Config!$E$24),1,0))</f>
        <v/>
      </c>
      <c r="P267" s="24"/>
      <c r="Q267" s="25" t="str">
        <f aca="false">IF(COUNT(E267,G267,I267,K267,M267,O267)=0,"",((E267&lt;&gt;"")*(F267&lt;&gt;"")+(G267&lt;&gt;"")*(H267&lt;&gt;"")+(I267&lt;&gt;"")*(J267&lt;&gt;"")+(K267&lt;&gt;"")*(L267&lt;&gt;"")+(M267&lt;&gt;"")*(N267&lt;&gt;"")+(O267&lt;&gt;"")*(P267&lt;&gt;""))/COUNT(E267,G267,I267,K267,M267,O267))</f>
        <v/>
      </c>
      <c r="R267" s="26" t="str">
        <f aca="false">IF(T267="","",IF(T267=99999,"",T267))</f>
        <v/>
      </c>
      <c r="S267" s="27" t="str">
        <f aca="true">IF(T267="","",IF(T267=99999,"Concluído",IF(T267&lt;TODAY(),"Atrasado",IF(T267=TODAY(),"Hoje","Em dia"))))</f>
        <v/>
      </c>
      <c r="T267" s="28" t="str">
        <f aca="false">IF(COUNT(E267,G267,I267,K267,M267,O267)=0,"",MIN(IF(AND(E267&lt;&gt;"",F267=""),E267,99999),IF(AND(G267&lt;&gt;"",H267=""),G267,99999),IF(AND(I267&lt;&gt;"",J267=""),I267,99999),IF(AND(K267&lt;&gt;"",L267=""),K267,99999),IF(AND(M267&lt;&gt;"",N267=""),M267,99999),IF(AND(O267&lt;&gt;"",P267=""),O267,99999)))</f>
        <v/>
      </c>
    </row>
    <row r="268" customFormat="false" ht="15" hidden="false" customHeight="false" outlineLevel="0" collapsed="false">
      <c r="A268" s="20" t="n">
        <v>263</v>
      </c>
      <c r="B268" s="21"/>
      <c r="C268" s="21"/>
      <c r="D268" s="22"/>
      <c r="E268" s="23" t="str">
        <f aca="false">IF(OR(NOT(ISNUMBER($D268)),Config!$G$6&lt;&gt;"Sim"),"",$D268+Config!$F$6+IF(AND(Config!$F$6&gt;0,WEEKDAY($D268+Config!$F$6)=Config!$E$24),1,0))</f>
        <v/>
      </c>
      <c r="F268" s="24"/>
      <c r="G268" s="23" t="str">
        <f aca="false">IF(OR(NOT(ISNUMBER($D268)),Config!$G$7&lt;&gt;"Sim"),"",$D268+Config!$F$7+IF(AND(Config!$F$7&gt;0,WEEKDAY($D268+Config!$F$7)=Config!$E$24),1,0))</f>
        <v/>
      </c>
      <c r="H268" s="24"/>
      <c r="I268" s="23" t="str">
        <f aca="false">IF(OR(NOT(ISNUMBER($D268)),Config!$G$8&lt;&gt;"Sim"),"",$D268+Config!$F$8+IF(AND(Config!$F$8&gt;0,WEEKDAY($D268+Config!$F$8)=Config!$E$24),1,0))</f>
        <v/>
      </c>
      <c r="J268" s="24"/>
      <c r="K268" s="23" t="str">
        <f aca="false">IF(OR(NOT(ISNUMBER($D268)),Config!$G$9&lt;&gt;"Sim"),"",$D268+Config!$F$9+IF(AND(Config!$F$9&gt;0,WEEKDAY($D268+Config!$F$9)=Config!$E$24),1,0))</f>
        <v/>
      </c>
      <c r="L268" s="24"/>
      <c r="M268" s="23" t="str">
        <f aca="false">IF(OR(NOT(ISNUMBER($D268)),Config!$G$10&lt;&gt;"Sim"),"",$D268+Config!$F$10+IF(AND(Config!$F$10&gt;0,WEEKDAY($D268+Config!$F$10)=Config!$E$24),1,0))</f>
        <v/>
      </c>
      <c r="N268" s="24"/>
      <c r="O268" s="23" t="str">
        <f aca="false">IF(OR(NOT(ISNUMBER($D268)),Config!$G$11&lt;&gt;"Sim"),"",$D268+Config!$F$11+IF(AND(Config!$F$11&gt;0,WEEKDAY($D268+Config!$F$11)=Config!$E$24),1,0))</f>
        <v/>
      </c>
      <c r="P268" s="24"/>
      <c r="Q268" s="25" t="str">
        <f aca="false">IF(COUNT(E268,G268,I268,K268,M268,O268)=0,"",((E268&lt;&gt;"")*(F268&lt;&gt;"")+(G268&lt;&gt;"")*(H268&lt;&gt;"")+(I268&lt;&gt;"")*(J268&lt;&gt;"")+(K268&lt;&gt;"")*(L268&lt;&gt;"")+(M268&lt;&gt;"")*(N268&lt;&gt;"")+(O268&lt;&gt;"")*(P268&lt;&gt;""))/COUNT(E268,G268,I268,K268,M268,O268))</f>
        <v/>
      </c>
      <c r="R268" s="26" t="str">
        <f aca="false">IF(T268="","",IF(T268=99999,"",T268))</f>
        <v/>
      </c>
      <c r="S268" s="27" t="str">
        <f aca="true">IF(T268="","",IF(T268=99999,"Concluído",IF(T268&lt;TODAY(),"Atrasado",IF(T268=TODAY(),"Hoje","Em dia"))))</f>
        <v/>
      </c>
      <c r="T268" s="28" t="str">
        <f aca="false">IF(COUNT(E268,G268,I268,K268,M268,O268)=0,"",MIN(IF(AND(E268&lt;&gt;"",F268=""),E268,99999),IF(AND(G268&lt;&gt;"",H268=""),G268,99999),IF(AND(I268&lt;&gt;"",J268=""),I268,99999),IF(AND(K268&lt;&gt;"",L268=""),K268,99999),IF(AND(M268&lt;&gt;"",N268=""),M268,99999),IF(AND(O268&lt;&gt;"",P268=""),O268,99999)))</f>
        <v/>
      </c>
    </row>
    <row r="269" customFormat="false" ht="15" hidden="false" customHeight="false" outlineLevel="0" collapsed="false">
      <c r="A269" s="20" t="n">
        <v>264</v>
      </c>
      <c r="B269" s="21"/>
      <c r="C269" s="21"/>
      <c r="D269" s="22"/>
      <c r="E269" s="23" t="str">
        <f aca="false">IF(OR(NOT(ISNUMBER($D269)),Config!$G$6&lt;&gt;"Sim"),"",$D269+Config!$F$6+IF(AND(Config!$F$6&gt;0,WEEKDAY($D269+Config!$F$6)=Config!$E$24),1,0))</f>
        <v/>
      </c>
      <c r="F269" s="24"/>
      <c r="G269" s="23" t="str">
        <f aca="false">IF(OR(NOT(ISNUMBER($D269)),Config!$G$7&lt;&gt;"Sim"),"",$D269+Config!$F$7+IF(AND(Config!$F$7&gt;0,WEEKDAY($D269+Config!$F$7)=Config!$E$24),1,0))</f>
        <v/>
      </c>
      <c r="H269" s="24"/>
      <c r="I269" s="23" t="str">
        <f aca="false">IF(OR(NOT(ISNUMBER($D269)),Config!$G$8&lt;&gt;"Sim"),"",$D269+Config!$F$8+IF(AND(Config!$F$8&gt;0,WEEKDAY($D269+Config!$F$8)=Config!$E$24),1,0))</f>
        <v/>
      </c>
      <c r="J269" s="24"/>
      <c r="K269" s="23" t="str">
        <f aca="false">IF(OR(NOT(ISNUMBER($D269)),Config!$G$9&lt;&gt;"Sim"),"",$D269+Config!$F$9+IF(AND(Config!$F$9&gt;0,WEEKDAY($D269+Config!$F$9)=Config!$E$24),1,0))</f>
        <v/>
      </c>
      <c r="L269" s="24"/>
      <c r="M269" s="23" t="str">
        <f aca="false">IF(OR(NOT(ISNUMBER($D269)),Config!$G$10&lt;&gt;"Sim"),"",$D269+Config!$F$10+IF(AND(Config!$F$10&gt;0,WEEKDAY($D269+Config!$F$10)=Config!$E$24),1,0))</f>
        <v/>
      </c>
      <c r="N269" s="24"/>
      <c r="O269" s="23" t="str">
        <f aca="false">IF(OR(NOT(ISNUMBER($D269)),Config!$G$11&lt;&gt;"Sim"),"",$D269+Config!$F$11+IF(AND(Config!$F$11&gt;0,WEEKDAY($D269+Config!$F$11)=Config!$E$24),1,0))</f>
        <v/>
      </c>
      <c r="P269" s="24"/>
      <c r="Q269" s="25" t="str">
        <f aca="false">IF(COUNT(E269,G269,I269,K269,M269,O269)=0,"",((E269&lt;&gt;"")*(F269&lt;&gt;"")+(G269&lt;&gt;"")*(H269&lt;&gt;"")+(I269&lt;&gt;"")*(J269&lt;&gt;"")+(K269&lt;&gt;"")*(L269&lt;&gt;"")+(M269&lt;&gt;"")*(N269&lt;&gt;"")+(O269&lt;&gt;"")*(P269&lt;&gt;""))/COUNT(E269,G269,I269,K269,M269,O269))</f>
        <v/>
      </c>
      <c r="R269" s="26" t="str">
        <f aca="false">IF(T269="","",IF(T269=99999,"",T269))</f>
        <v/>
      </c>
      <c r="S269" s="27" t="str">
        <f aca="true">IF(T269="","",IF(T269=99999,"Concluído",IF(T269&lt;TODAY(),"Atrasado",IF(T269=TODAY(),"Hoje","Em dia"))))</f>
        <v/>
      </c>
      <c r="T269" s="28" t="str">
        <f aca="false">IF(COUNT(E269,G269,I269,K269,M269,O269)=0,"",MIN(IF(AND(E269&lt;&gt;"",F269=""),E269,99999),IF(AND(G269&lt;&gt;"",H269=""),G269,99999),IF(AND(I269&lt;&gt;"",J269=""),I269,99999),IF(AND(K269&lt;&gt;"",L269=""),K269,99999),IF(AND(M269&lt;&gt;"",N269=""),M269,99999),IF(AND(O269&lt;&gt;"",P269=""),O269,99999)))</f>
        <v/>
      </c>
    </row>
    <row r="270" customFormat="false" ht="15" hidden="false" customHeight="false" outlineLevel="0" collapsed="false">
      <c r="A270" s="20" t="n">
        <v>265</v>
      </c>
      <c r="B270" s="21"/>
      <c r="C270" s="21"/>
      <c r="D270" s="22"/>
      <c r="E270" s="23" t="str">
        <f aca="false">IF(OR(NOT(ISNUMBER($D270)),Config!$G$6&lt;&gt;"Sim"),"",$D270+Config!$F$6+IF(AND(Config!$F$6&gt;0,WEEKDAY($D270+Config!$F$6)=Config!$E$24),1,0))</f>
        <v/>
      </c>
      <c r="F270" s="24"/>
      <c r="G270" s="23" t="str">
        <f aca="false">IF(OR(NOT(ISNUMBER($D270)),Config!$G$7&lt;&gt;"Sim"),"",$D270+Config!$F$7+IF(AND(Config!$F$7&gt;0,WEEKDAY($D270+Config!$F$7)=Config!$E$24),1,0))</f>
        <v/>
      </c>
      <c r="H270" s="24"/>
      <c r="I270" s="23" t="str">
        <f aca="false">IF(OR(NOT(ISNUMBER($D270)),Config!$G$8&lt;&gt;"Sim"),"",$D270+Config!$F$8+IF(AND(Config!$F$8&gt;0,WEEKDAY($D270+Config!$F$8)=Config!$E$24),1,0))</f>
        <v/>
      </c>
      <c r="J270" s="24"/>
      <c r="K270" s="23" t="str">
        <f aca="false">IF(OR(NOT(ISNUMBER($D270)),Config!$G$9&lt;&gt;"Sim"),"",$D270+Config!$F$9+IF(AND(Config!$F$9&gt;0,WEEKDAY($D270+Config!$F$9)=Config!$E$24),1,0))</f>
        <v/>
      </c>
      <c r="L270" s="24"/>
      <c r="M270" s="23" t="str">
        <f aca="false">IF(OR(NOT(ISNUMBER($D270)),Config!$G$10&lt;&gt;"Sim"),"",$D270+Config!$F$10+IF(AND(Config!$F$10&gt;0,WEEKDAY($D270+Config!$F$10)=Config!$E$24),1,0))</f>
        <v/>
      </c>
      <c r="N270" s="24"/>
      <c r="O270" s="23" t="str">
        <f aca="false">IF(OR(NOT(ISNUMBER($D270)),Config!$G$11&lt;&gt;"Sim"),"",$D270+Config!$F$11+IF(AND(Config!$F$11&gt;0,WEEKDAY($D270+Config!$F$11)=Config!$E$24),1,0))</f>
        <v/>
      </c>
      <c r="P270" s="24"/>
      <c r="Q270" s="25" t="str">
        <f aca="false">IF(COUNT(E270,G270,I270,K270,M270,O270)=0,"",((E270&lt;&gt;"")*(F270&lt;&gt;"")+(G270&lt;&gt;"")*(H270&lt;&gt;"")+(I270&lt;&gt;"")*(J270&lt;&gt;"")+(K270&lt;&gt;"")*(L270&lt;&gt;"")+(M270&lt;&gt;"")*(N270&lt;&gt;"")+(O270&lt;&gt;"")*(P270&lt;&gt;""))/COUNT(E270,G270,I270,K270,M270,O270))</f>
        <v/>
      </c>
      <c r="R270" s="26" t="str">
        <f aca="false">IF(T270="","",IF(T270=99999,"",T270))</f>
        <v/>
      </c>
      <c r="S270" s="27" t="str">
        <f aca="true">IF(T270="","",IF(T270=99999,"Concluído",IF(T270&lt;TODAY(),"Atrasado",IF(T270=TODAY(),"Hoje","Em dia"))))</f>
        <v/>
      </c>
      <c r="T270" s="28" t="str">
        <f aca="false">IF(COUNT(E270,G270,I270,K270,M270,O270)=0,"",MIN(IF(AND(E270&lt;&gt;"",F270=""),E270,99999),IF(AND(G270&lt;&gt;"",H270=""),G270,99999),IF(AND(I270&lt;&gt;"",J270=""),I270,99999),IF(AND(K270&lt;&gt;"",L270=""),K270,99999),IF(AND(M270&lt;&gt;"",N270=""),M270,99999),IF(AND(O270&lt;&gt;"",P270=""),O270,99999)))</f>
        <v/>
      </c>
    </row>
    <row r="271" customFormat="false" ht="15" hidden="false" customHeight="false" outlineLevel="0" collapsed="false">
      <c r="A271" s="20" t="n">
        <v>266</v>
      </c>
      <c r="B271" s="21"/>
      <c r="C271" s="21"/>
      <c r="D271" s="22"/>
      <c r="E271" s="23" t="str">
        <f aca="false">IF(OR(NOT(ISNUMBER($D271)),Config!$G$6&lt;&gt;"Sim"),"",$D271+Config!$F$6+IF(AND(Config!$F$6&gt;0,WEEKDAY($D271+Config!$F$6)=Config!$E$24),1,0))</f>
        <v/>
      </c>
      <c r="F271" s="24"/>
      <c r="G271" s="23" t="str">
        <f aca="false">IF(OR(NOT(ISNUMBER($D271)),Config!$G$7&lt;&gt;"Sim"),"",$D271+Config!$F$7+IF(AND(Config!$F$7&gt;0,WEEKDAY($D271+Config!$F$7)=Config!$E$24),1,0))</f>
        <v/>
      </c>
      <c r="H271" s="24"/>
      <c r="I271" s="23" t="str">
        <f aca="false">IF(OR(NOT(ISNUMBER($D271)),Config!$G$8&lt;&gt;"Sim"),"",$D271+Config!$F$8+IF(AND(Config!$F$8&gt;0,WEEKDAY($D271+Config!$F$8)=Config!$E$24),1,0))</f>
        <v/>
      </c>
      <c r="J271" s="24"/>
      <c r="K271" s="23" t="str">
        <f aca="false">IF(OR(NOT(ISNUMBER($D271)),Config!$G$9&lt;&gt;"Sim"),"",$D271+Config!$F$9+IF(AND(Config!$F$9&gt;0,WEEKDAY($D271+Config!$F$9)=Config!$E$24),1,0))</f>
        <v/>
      </c>
      <c r="L271" s="24"/>
      <c r="M271" s="23" t="str">
        <f aca="false">IF(OR(NOT(ISNUMBER($D271)),Config!$G$10&lt;&gt;"Sim"),"",$D271+Config!$F$10+IF(AND(Config!$F$10&gt;0,WEEKDAY($D271+Config!$F$10)=Config!$E$24),1,0))</f>
        <v/>
      </c>
      <c r="N271" s="24"/>
      <c r="O271" s="23" t="str">
        <f aca="false">IF(OR(NOT(ISNUMBER($D271)),Config!$G$11&lt;&gt;"Sim"),"",$D271+Config!$F$11+IF(AND(Config!$F$11&gt;0,WEEKDAY($D271+Config!$F$11)=Config!$E$24),1,0))</f>
        <v/>
      </c>
      <c r="P271" s="24"/>
      <c r="Q271" s="25" t="str">
        <f aca="false">IF(COUNT(E271,G271,I271,K271,M271,O271)=0,"",((E271&lt;&gt;"")*(F271&lt;&gt;"")+(G271&lt;&gt;"")*(H271&lt;&gt;"")+(I271&lt;&gt;"")*(J271&lt;&gt;"")+(K271&lt;&gt;"")*(L271&lt;&gt;"")+(M271&lt;&gt;"")*(N271&lt;&gt;"")+(O271&lt;&gt;"")*(P271&lt;&gt;""))/COUNT(E271,G271,I271,K271,M271,O271))</f>
        <v/>
      </c>
      <c r="R271" s="26" t="str">
        <f aca="false">IF(T271="","",IF(T271=99999,"",T271))</f>
        <v/>
      </c>
      <c r="S271" s="27" t="str">
        <f aca="true">IF(T271="","",IF(T271=99999,"Concluído",IF(T271&lt;TODAY(),"Atrasado",IF(T271=TODAY(),"Hoje","Em dia"))))</f>
        <v/>
      </c>
      <c r="T271" s="28" t="str">
        <f aca="false">IF(COUNT(E271,G271,I271,K271,M271,O271)=0,"",MIN(IF(AND(E271&lt;&gt;"",F271=""),E271,99999),IF(AND(G271&lt;&gt;"",H271=""),G271,99999),IF(AND(I271&lt;&gt;"",J271=""),I271,99999),IF(AND(K271&lt;&gt;"",L271=""),K271,99999),IF(AND(M271&lt;&gt;"",N271=""),M271,99999),IF(AND(O271&lt;&gt;"",P271=""),O271,99999)))</f>
        <v/>
      </c>
    </row>
    <row r="272" customFormat="false" ht="15" hidden="false" customHeight="false" outlineLevel="0" collapsed="false">
      <c r="A272" s="20" t="n">
        <v>267</v>
      </c>
      <c r="B272" s="21"/>
      <c r="C272" s="21"/>
      <c r="D272" s="22"/>
      <c r="E272" s="23" t="str">
        <f aca="false">IF(OR(NOT(ISNUMBER($D272)),Config!$G$6&lt;&gt;"Sim"),"",$D272+Config!$F$6+IF(AND(Config!$F$6&gt;0,WEEKDAY($D272+Config!$F$6)=Config!$E$24),1,0))</f>
        <v/>
      </c>
      <c r="F272" s="24"/>
      <c r="G272" s="23" t="str">
        <f aca="false">IF(OR(NOT(ISNUMBER($D272)),Config!$G$7&lt;&gt;"Sim"),"",$D272+Config!$F$7+IF(AND(Config!$F$7&gt;0,WEEKDAY($D272+Config!$F$7)=Config!$E$24),1,0))</f>
        <v/>
      </c>
      <c r="H272" s="24"/>
      <c r="I272" s="23" t="str">
        <f aca="false">IF(OR(NOT(ISNUMBER($D272)),Config!$G$8&lt;&gt;"Sim"),"",$D272+Config!$F$8+IF(AND(Config!$F$8&gt;0,WEEKDAY($D272+Config!$F$8)=Config!$E$24),1,0))</f>
        <v/>
      </c>
      <c r="J272" s="24"/>
      <c r="K272" s="23" t="str">
        <f aca="false">IF(OR(NOT(ISNUMBER($D272)),Config!$G$9&lt;&gt;"Sim"),"",$D272+Config!$F$9+IF(AND(Config!$F$9&gt;0,WEEKDAY($D272+Config!$F$9)=Config!$E$24),1,0))</f>
        <v/>
      </c>
      <c r="L272" s="24"/>
      <c r="M272" s="23" t="str">
        <f aca="false">IF(OR(NOT(ISNUMBER($D272)),Config!$G$10&lt;&gt;"Sim"),"",$D272+Config!$F$10+IF(AND(Config!$F$10&gt;0,WEEKDAY($D272+Config!$F$10)=Config!$E$24),1,0))</f>
        <v/>
      </c>
      <c r="N272" s="24"/>
      <c r="O272" s="23" t="str">
        <f aca="false">IF(OR(NOT(ISNUMBER($D272)),Config!$G$11&lt;&gt;"Sim"),"",$D272+Config!$F$11+IF(AND(Config!$F$11&gt;0,WEEKDAY($D272+Config!$F$11)=Config!$E$24),1,0))</f>
        <v/>
      </c>
      <c r="P272" s="24"/>
      <c r="Q272" s="25" t="str">
        <f aca="false">IF(COUNT(E272,G272,I272,K272,M272,O272)=0,"",((E272&lt;&gt;"")*(F272&lt;&gt;"")+(G272&lt;&gt;"")*(H272&lt;&gt;"")+(I272&lt;&gt;"")*(J272&lt;&gt;"")+(K272&lt;&gt;"")*(L272&lt;&gt;"")+(M272&lt;&gt;"")*(N272&lt;&gt;"")+(O272&lt;&gt;"")*(P272&lt;&gt;""))/COUNT(E272,G272,I272,K272,M272,O272))</f>
        <v/>
      </c>
      <c r="R272" s="26" t="str">
        <f aca="false">IF(T272="","",IF(T272=99999,"",T272))</f>
        <v/>
      </c>
      <c r="S272" s="27" t="str">
        <f aca="true">IF(T272="","",IF(T272=99999,"Concluído",IF(T272&lt;TODAY(),"Atrasado",IF(T272=TODAY(),"Hoje","Em dia"))))</f>
        <v/>
      </c>
      <c r="T272" s="28" t="str">
        <f aca="false">IF(COUNT(E272,G272,I272,K272,M272,O272)=0,"",MIN(IF(AND(E272&lt;&gt;"",F272=""),E272,99999),IF(AND(G272&lt;&gt;"",H272=""),G272,99999),IF(AND(I272&lt;&gt;"",J272=""),I272,99999),IF(AND(K272&lt;&gt;"",L272=""),K272,99999),IF(AND(M272&lt;&gt;"",N272=""),M272,99999),IF(AND(O272&lt;&gt;"",P272=""),O272,99999)))</f>
        <v/>
      </c>
    </row>
    <row r="273" customFormat="false" ht="15" hidden="false" customHeight="false" outlineLevel="0" collapsed="false">
      <c r="A273" s="20" t="n">
        <v>268</v>
      </c>
      <c r="B273" s="21"/>
      <c r="C273" s="21"/>
      <c r="D273" s="22"/>
      <c r="E273" s="23" t="str">
        <f aca="false">IF(OR(NOT(ISNUMBER($D273)),Config!$G$6&lt;&gt;"Sim"),"",$D273+Config!$F$6+IF(AND(Config!$F$6&gt;0,WEEKDAY($D273+Config!$F$6)=Config!$E$24),1,0))</f>
        <v/>
      </c>
      <c r="F273" s="24"/>
      <c r="G273" s="23" t="str">
        <f aca="false">IF(OR(NOT(ISNUMBER($D273)),Config!$G$7&lt;&gt;"Sim"),"",$D273+Config!$F$7+IF(AND(Config!$F$7&gt;0,WEEKDAY($D273+Config!$F$7)=Config!$E$24),1,0))</f>
        <v/>
      </c>
      <c r="H273" s="24"/>
      <c r="I273" s="23" t="str">
        <f aca="false">IF(OR(NOT(ISNUMBER($D273)),Config!$G$8&lt;&gt;"Sim"),"",$D273+Config!$F$8+IF(AND(Config!$F$8&gt;0,WEEKDAY($D273+Config!$F$8)=Config!$E$24),1,0))</f>
        <v/>
      </c>
      <c r="J273" s="24"/>
      <c r="K273" s="23" t="str">
        <f aca="false">IF(OR(NOT(ISNUMBER($D273)),Config!$G$9&lt;&gt;"Sim"),"",$D273+Config!$F$9+IF(AND(Config!$F$9&gt;0,WEEKDAY($D273+Config!$F$9)=Config!$E$24),1,0))</f>
        <v/>
      </c>
      <c r="L273" s="24"/>
      <c r="M273" s="23" t="str">
        <f aca="false">IF(OR(NOT(ISNUMBER($D273)),Config!$G$10&lt;&gt;"Sim"),"",$D273+Config!$F$10+IF(AND(Config!$F$10&gt;0,WEEKDAY($D273+Config!$F$10)=Config!$E$24),1,0))</f>
        <v/>
      </c>
      <c r="N273" s="24"/>
      <c r="O273" s="23" t="str">
        <f aca="false">IF(OR(NOT(ISNUMBER($D273)),Config!$G$11&lt;&gt;"Sim"),"",$D273+Config!$F$11+IF(AND(Config!$F$11&gt;0,WEEKDAY($D273+Config!$F$11)=Config!$E$24),1,0))</f>
        <v/>
      </c>
      <c r="P273" s="24"/>
      <c r="Q273" s="25" t="str">
        <f aca="false">IF(COUNT(E273,G273,I273,K273,M273,O273)=0,"",((E273&lt;&gt;"")*(F273&lt;&gt;"")+(G273&lt;&gt;"")*(H273&lt;&gt;"")+(I273&lt;&gt;"")*(J273&lt;&gt;"")+(K273&lt;&gt;"")*(L273&lt;&gt;"")+(M273&lt;&gt;"")*(N273&lt;&gt;"")+(O273&lt;&gt;"")*(P273&lt;&gt;""))/COUNT(E273,G273,I273,K273,M273,O273))</f>
        <v/>
      </c>
      <c r="R273" s="26" t="str">
        <f aca="false">IF(T273="","",IF(T273=99999,"",T273))</f>
        <v/>
      </c>
      <c r="S273" s="27" t="str">
        <f aca="true">IF(T273="","",IF(T273=99999,"Concluído",IF(T273&lt;TODAY(),"Atrasado",IF(T273=TODAY(),"Hoje","Em dia"))))</f>
        <v/>
      </c>
      <c r="T273" s="28" t="str">
        <f aca="false">IF(COUNT(E273,G273,I273,K273,M273,O273)=0,"",MIN(IF(AND(E273&lt;&gt;"",F273=""),E273,99999),IF(AND(G273&lt;&gt;"",H273=""),G273,99999),IF(AND(I273&lt;&gt;"",J273=""),I273,99999),IF(AND(K273&lt;&gt;"",L273=""),K273,99999),IF(AND(M273&lt;&gt;"",N273=""),M273,99999),IF(AND(O273&lt;&gt;"",P273=""),O273,99999)))</f>
        <v/>
      </c>
    </row>
    <row r="274" customFormat="false" ht="15" hidden="false" customHeight="false" outlineLevel="0" collapsed="false">
      <c r="A274" s="20" t="n">
        <v>269</v>
      </c>
      <c r="B274" s="21"/>
      <c r="C274" s="21"/>
      <c r="D274" s="22"/>
      <c r="E274" s="23" t="str">
        <f aca="false">IF(OR(NOT(ISNUMBER($D274)),Config!$G$6&lt;&gt;"Sim"),"",$D274+Config!$F$6+IF(AND(Config!$F$6&gt;0,WEEKDAY($D274+Config!$F$6)=Config!$E$24),1,0))</f>
        <v/>
      </c>
      <c r="F274" s="24"/>
      <c r="G274" s="23" t="str">
        <f aca="false">IF(OR(NOT(ISNUMBER($D274)),Config!$G$7&lt;&gt;"Sim"),"",$D274+Config!$F$7+IF(AND(Config!$F$7&gt;0,WEEKDAY($D274+Config!$F$7)=Config!$E$24),1,0))</f>
        <v/>
      </c>
      <c r="H274" s="24"/>
      <c r="I274" s="23" t="str">
        <f aca="false">IF(OR(NOT(ISNUMBER($D274)),Config!$G$8&lt;&gt;"Sim"),"",$D274+Config!$F$8+IF(AND(Config!$F$8&gt;0,WEEKDAY($D274+Config!$F$8)=Config!$E$24),1,0))</f>
        <v/>
      </c>
      <c r="J274" s="24"/>
      <c r="K274" s="23" t="str">
        <f aca="false">IF(OR(NOT(ISNUMBER($D274)),Config!$G$9&lt;&gt;"Sim"),"",$D274+Config!$F$9+IF(AND(Config!$F$9&gt;0,WEEKDAY($D274+Config!$F$9)=Config!$E$24),1,0))</f>
        <v/>
      </c>
      <c r="L274" s="24"/>
      <c r="M274" s="23" t="str">
        <f aca="false">IF(OR(NOT(ISNUMBER($D274)),Config!$G$10&lt;&gt;"Sim"),"",$D274+Config!$F$10+IF(AND(Config!$F$10&gt;0,WEEKDAY($D274+Config!$F$10)=Config!$E$24),1,0))</f>
        <v/>
      </c>
      <c r="N274" s="24"/>
      <c r="O274" s="23" t="str">
        <f aca="false">IF(OR(NOT(ISNUMBER($D274)),Config!$G$11&lt;&gt;"Sim"),"",$D274+Config!$F$11+IF(AND(Config!$F$11&gt;0,WEEKDAY($D274+Config!$F$11)=Config!$E$24),1,0))</f>
        <v/>
      </c>
      <c r="P274" s="24"/>
      <c r="Q274" s="25" t="str">
        <f aca="false">IF(COUNT(E274,G274,I274,K274,M274,O274)=0,"",((E274&lt;&gt;"")*(F274&lt;&gt;"")+(G274&lt;&gt;"")*(H274&lt;&gt;"")+(I274&lt;&gt;"")*(J274&lt;&gt;"")+(K274&lt;&gt;"")*(L274&lt;&gt;"")+(M274&lt;&gt;"")*(N274&lt;&gt;"")+(O274&lt;&gt;"")*(P274&lt;&gt;""))/COUNT(E274,G274,I274,K274,M274,O274))</f>
        <v/>
      </c>
      <c r="R274" s="26" t="str">
        <f aca="false">IF(T274="","",IF(T274=99999,"",T274))</f>
        <v/>
      </c>
      <c r="S274" s="27" t="str">
        <f aca="true">IF(T274="","",IF(T274=99999,"Concluído",IF(T274&lt;TODAY(),"Atrasado",IF(T274=TODAY(),"Hoje","Em dia"))))</f>
        <v/>
      </c>
      <c r="T274" s="28" t="str">
        <f aca="false">IF(COUNT(E274,G274,I274,K274,M274,O274)=0,"",MIN(IF(AND(E274&lt;&gt;"",F274=""),E274,99999),IF(AND(G274&lt;&gt;"",H274=""),G274,99999),IF(AND(I274&lt;&gt;"",J274=""),I274,99999),IF(AND(K274&lt;&gt;"",L274=""),K274,99999),IF(AND(M274&lt;&gt;"",N274=""),M274,99999),IF(AND(O274&lt;&gt;"",P274=""),O274,99999)))</f>
        <v/>
      </c>
    </row>
    <row r="275" customFormat="false" ht="15" hidden="false" customHeight="false" outlineLevel="0" collapsed="false">
      <c r="A275" s="20" t="n">
        <v>270</v>
      </c>
      <c r="B275" s="21"/>
      <c r="C275" s="21"/>
      <c r="D275" s="22"/>
      <c r="E275" s="23" t="str">
        <f aca="false">IF(OR(NOT(ISNUMBER($D275)),Config!$G$6&lt;&gt;"Sim"),"",$D275+Config!$F$6+IF(AND(Config!$F$6&gt;0,WEEKDAY($D275+Config!$F$6)=Config!$E$24),1,0))</f>
        <v/>
      </c>
      <c r="F275" s="24"/>
      <c r="G275" s="23" t="str">
        <f aca="false">IF(OR(NOT(ISNUMBER($D275)),Config!$G$7&lt;&gt;"Sim"),"",$D275+Config!$F$7+IF(AND(Config!$F$7&gt;0,WEEKDAY($D275+Config!$F$7)=Config!$E$24),1,0))</f>
        <v/>
      </c>
      <c r="H275" s="24"/>
      <c r="I275" s="23" t="str">
        <f aca="false">IF(OR(NOT(ISNUMBER($D275)),Config!$G$8&lt;&gt;"Sim"),"",$D275+Config!$F$8+IF(AND(Config!$F$8&gt;0,WEEKDAY($D275+Config!$F$8)=Config!$E$24),1,0))</f>
        <v/>
      </c>
      <c r="J275" s="24"/>
      <c r="K275" s="23" t="str">
        <f aca="false">IF(OR(NOT(ISNUMBER($D275)),Config!$G$9&lt;&gt;"Sim"),"",$D275+Config!$F$9+IF(AND(Config!$F$9&gt;0,WEEKDAY($D275+Config!$F$9)=Config!$E$24),1,0))</f>
        <v/>
      </c>
      <c r="L275" s="24"/>
      <c r="M275" s="23" t="str">
        <f aca="false">IF(OR(NOT(ISNUMBER($D275)),Config!$G$10&lt;&gt;"Sim"),"",$D275+Config!$F$10+IF(AND(Config!$F$10&gt;0,WEEKDAY($D275+Config!$F$10)=Config!$E$24),1,0))</f>
        <v/>
      </c>
      <c r="N275" s="24"/>
      <c r="O275" s="23" t="str">
        <f aca="false">IF(OR(NOT(ISNUMBER($D275)),Config!$G$11&lt;&gt;"Sim"),"",$D275+Config!$F$11+IF(AND(Config!$F$11&gt;0,WEEKDAY($D275+Config!$F$11)=Config!$E$24),1,0))</f>
        <v/>
      </c>
      <c r="P275" s="24"/>
      <c r="Q275" s="25" t="str">
        <f aca="false">IF(COUNT(E275,G275,I275,K275,M275,O275)=0,"",((E275&lt;&gt;"")*(F275&lt;&gt;"")+(G275&lt;&gt;"")*(H275&lt;&gt;"")+(I275&lt;&gt;"")*(J275&lt;&gt;"")+(K275&lt;&gt;"")*(L275&lt;&gt;"")+(M275&lt;&gt;"")*(N275&lt;&gt;"")+(O275&lt;&gt;"")*(P275&lt;&gt;""))/COUNT(E275,G275,I275,K275,M275,O275))</f>
        <v/>
      </c>
      <c r="R275" s="26" t="str">
        <f aca="false">IF(T275="","",IF(T275=99999,"",T275))</f>
        <v/>
      </c>
      <c r="S275" s="27" t="str">
        <f aca="true">IF(T275="","",IF(T275=99999,"Concluído",IF(T275&lt;TODAY(),"Atrasado",IF(T275=TODAY(),"Hoje","Em dia"))))</f>
        <v/>
      </c>
      <c r="T275" s="28" t="str">
        <f aca="false">IF(COUNT(E275,G275,I275,K275,M275,O275)=0,"",MIN(IF(AND(E275&lt;&gt;"",F275=""),E275,99999),IF(AND(G275&lt;&gt;"",H275=""),G275,99999),IF(AND(I275&lt;&gt;"",J275=""),I275,99999),IF(AND(K275&lt;&gt;"",L275=""),K275,99999),IF(AND(M275&lt;&gt;"",N275=""),M275,99999),IF(AND(O275&lt;&gt;"",P275=""),O275,99999)))</f>
        <v/>
      </c>
    </row>
    <row r="276" customFormat="false" ht="15" hidden="false" customHeight="false" outlineLevel="0" collapsed="false">
      <c r="A276" s="20" t="n">
        <v>271</v>
      </c>
      <c r="B276" s="21"/>
      <c r="C276" s="21"/>
      <c r="D276" s="22"/>
      <c r="E276" s="23" t="str">
        <f aca="false">IF(OR(NOT(ISNUMBER($D276)),Config!$G$6&lt;&gt;"Sim"),"",$D276+Config!$F$6+IF(AND(Config!$F$6&gt;0,WEEKDAY($D276+Config!$F$6)=Config!$E$24),1,0))</f>
        <v/>
      </c>
      <c r="F276" s="24"/>
      <c r="G276" s="23" t="str">
        <f aca="false">IF(OR(NOT(ISNUMBER($D276)),Config!$G$7&lt;&gt;"Sim"),"",$D276+Config!$F$7+IF(AND(Config!$F$7&gt;0,WEEKDAY($D276+Config!$F$7)=Config!$E$24),1,0))</f>
        <v/>
      </c>
      <c r="H276" s="24"/>
      <c r="I276" s="23" t="str">
        <f aca="false">IF(OR(NOT(ISNUMBER($D276)),Config!$G$8&lt;&gt;"Sim"),"",$D276+Config!$F$8+IF(AND(Config!$F$8&gt;0,WEEKDAY($D276+Config!$F$8)=Config!$E$24),1,0))</f>
        <v/>
      </c>
      <c r="J276" s="24"/>
      <c r="K276" s="23" t="str">
        <f aca="false">IF(OR(NOT(ISNUMBER($D276)),Config!$G$9&lt;&gt;"Sim"),"",$D276+Config!$F$9+IF(AND(Config!$F$9&gt;0,WEEKDAY($D276+Config!$F$9)=Config!$E$24),1,0))</f>
        <v/>
      </c>
      <c r="L276" s="24"/>
      <c r="M276" s="23" t="str">
        <f aca="false">IF(OR(NOT(ISNUMBER($D276)),Config!$G$10&lt;&gt;"Sim"),"",$D276+Config!$F$10+IF(AND(Config!$F$10&gt;0,WEEKDAY($D276+Config!$F$10)=Config!$E$24),1,0))</f>
        <v/>
      </c>
      <c r="N276" s="24"/>
      <c r="O276" s="23" t="str">
        <f aca="false">IF(OR(NOT(ISNUMBER($D276)),Config!$G$11&lt;&gt;"Sim"),"",$D276+Config!$F$11+IF(AND(Config!$F$11&gt;0,WEEKDAY($D276+Config!$F$11)=Config!$E$24),1,0))</f>
        <v/>
      </c>
      <c r="P276" s="24"/>
      <c r="Q276" s="25" t="str">
        <f aca="false">IF(COUNT(E276,G276,I276,K276,M276,O276)=0,"",((E276&lt;&gt;"")*(F276&lt;&gt;"")+(G276&lt;&gt;"")*(H276&lt;&gt;"")+(I276&lt;&gt;"")*(J276&lt;&gt;"")+(K276&lt;&gt;"")*(L276&lt;&gt;"")+(M276&lt;&gt;"")*(N276&lt;&gt;"")+(O276&lt;&gt;"")*(P276&lt;&gt;""))/COUNT(E276,G276,I276,K276,M276,O276))</f>
        <v/>
      </c>
      <c r="R276" s="26" t="str">
        <f aca="false">IF(T276="","",IF(T276=99999,"",T276))</f>
        <v/>
      </c>
      <c r="S276" s="27" t="str">
        <f aca="true">IF(T276="","",IF(T276=99999,"Concluído",IF(T276&lt;TODAY(),"Atrasado",IF(T276=TODAY(),"Hoje","Em dia"))))</f>
        <v/>
      </c>
      <c r="T276" s="28" t="str">
        <f aca="false">IF(COUNT(E276,G276,I276,K276,M276,O276)=0,"",MIN(IF(AND(E276&lt;&gt;"",F276=""),E276,99999),IF(AND(G276&lt;&gt;"",H276=""),G276,99999),IF(AND(I276&lt;&gt;"",J276=""),I276,99999),IF(AND(K276&lt;&gt;"",L276=""),K276,99999),IF(AND(M276&lt;&gt;"",N276=""),M276,99999),IF(AND(O276&lt;&gt;"",P276=""),O276,99999)))</f>
        <v/>
      </c>
    </row>
    <row r="277" customFormat="false" ht="15" hidden="false" customHeight="false" outlineLevel="0" collapsed="false">
      <c r="A277" s="20" t="n">
        <v>272</v>
      </c>
      <c r="B277" s="21"/>
      <c r="C277" s="21"/>
      <c r="D277" s="22"/>
      <c r="E277" s="23" t="str">
        <f aca="false">IF(OR(NOT(ISNUMBER($D277)),Config!$G$6&lt;&gt;"Sim"),"",$D277+Config!$F$6+IF(AND(Config!$F$6&gt;0,WEEKDAY($D277+Config!$F$6)=Config!$E$24),1,0))</f>
        <v/>
      </c>
      <c r="F277" s="24"/>
      <c r="G277" s="23" t="str">
        <f aca="false">IF(OR(NOT(ISNUMBER($D277)),Config!$G$7&lt;&gt;"Sim"),"",$D277+Config!$F$7+IF(AND(Config!$F$7&gt;0,WEEKDAY($D277+Config!$F$7)=Config!$E$24),1,0))</f>
        <v/>
      </c>
      <c r="H277" s="24"/>
      <c r="I277" s="23" t="str">
        <f aca="false">IF(OR(NOT(ISNUMBER($D277)),Config!$G$8&lt;&gt;"Sim"),"",$D277+Config!$F$8+IF(AND(Config!$F$8&gt;0,WEEKDAY($D277+Config!$F$8)=Config!$E$24),1,0))</f>
        <v/>
      </c>
      <c r="J277" s="24"/>
      <c r="K277" s="23" t="str">
        <f aca="false">IF(OR(NOT(ISNUMBER($D277)),Config!$G$9&lt;&gt;"Sim"),"",$D277+Config!$F$9+IF(AND(Config!$F$9&gt;0,WEEKDAY($D277+Config!$F$9)=Config!$E$24),1,0))</f>
        <v/>
      </c>
      <c r="L277" s="24"/>
      <c r="M277" s="23" t="str">
        <f aca="false">IF(OR(NOT(ISNUMBER($D277)),Config!$G$10&lt;&gt;"Sim"),"",$D277+Config!$F$10+IF(AND(Config!$F$10&gt;0,WEEKDAY($D277+Config!$F$10)=Config!$E$24),1,0))</f>
        <v/>
      </c>
      <c r="N277" s="24"/>
      <c r="O277" s="23" t="str">
        <f aca="false">IF(OR(NOT(ISNUMBER($D277)),Config!$G$11&lt;&gt;"Sim"),"",$D277+Config!$F$11+IF(AND(Config!$F$11&gt;0,WEEKDAY($D277+Config!$F$11)=Config!$E$24),1,0))</f>
        <v/>
      </c>
      <c r="P277" s="24"/>
      <c r="Q277" s="25" t="str">
        <f aca="false">IF(COUNT(E277,G277,I277,K277,M277,O277)=0,"",((E277&lt;&gt;"")*(F277&lt;&gt;"")+(G277&lt;&gt;"")*(H277&lt;&gt;"")+(I277&lt;&gt;"")*(J277&lt;&gt;"")+(K277&lt;&gt;"")*(L277&lt;&gt;"")+(M277&lt;&gt;"")*(N277&lt;&gt;"")+(O277&lt;&gt;"")*(P277&lt;&gt;""))/COUNT(E277,G277,I277,K277,M277,O277))</f>
        <v/>
      </c>
      <c r="R277" s="26" t="str">
        <f aca="false">IF(T277="","",IF(T277=99999,"",T277))</f>
        <v/>
      </c>
      <c r="S277" s="27" t="str">
        <f aca="true">IF(T277="","",IF(T277=99999,"Concluído",IF(T277&lt;TODAY(),"Atrasado",IF(T277=TODAY(),"Hoje","Em dia"))))</f>
        <v/>
      </c>
      <c r="T277" s="28" t="str">
        <f aca="false">IF(COUNT(E277,G277,I277,K277,M277,O277)=0,"",MIN(IF(AND(E277&lt;&gt;"",F277=""),E277,99999),IF(AND(G277&lt;&gt;"",H277=""),G277,99999),IF(AND(I277&lt;&gt;"",J277=""),I277,99999),IF(AND(K277&lt;&gt;"",L277=""),K277,99999),IF(AND(M277&lt;&gt;"",N277=""),M277,99999),IF(AND(O277&lt;&gt;"",P277=""),O277,99999)))</f>
        <v/>
      </c>
    </row>
    <row r="278" customFormat="false" ht="15" hidden="false" customHeight="false" outlineLevel="0" collapsed="false">
      <c r="A278" s="20" t="n">
        <v>273</v>
      </c>
      <c r="B278" s="21"/>
      <c r="C278" s="21"/>
      <c r="D278" s="22"/>
      <c r="E278" s="23" t="str">
        <f aca="false">IF(OR(NOT(ISNUMBER($D278)),Config!$G$6&lt;&gt;"Sim"),"",$D278+Config!$F$6+IF(AND(Config!$F$6&gt;0,WEEKDAY($D278+Config!$F$6)=Config!$E$24),1,0))</f>
        <v/>
      </c>
      <c r="F278" s="24"/>
      <c r="G278" s="23" t="str">
        <f aca="false">IF(OR(NOT(ISNUMBER($D278)),Config!$G$7&lt;&gt;"Sim"),"",$D278+Config!$F$7+IF(AND(Config!$F$7&gt;0,WEEKDAY($D278+Config!$F$7)=Config!$E$24),1,0))</f>
        <v/>
      </c>
      <c r="H278" s="24"/>
      <c r="I278" s="23" t="str">
        <f aca="false">IF(OR(NOT(ISNUMBER($D278)),Config!$G$8&lt;&gt;"Sim"),"",$D278+Config!$F$8+IF(AND(Config!$F$8&gt;0,WEEKDAY($D278+Config!$F$8)=Config!$E$24),1,0))</f>
        <v/>
      </c>
      <c r="J278" s="24"/>
      <c r="K278" s="23" t="str">
        <f aca="false">IF(OR(NOT(ISNUMBER($D278)),Config!$G$9&lt;&gt;"Sim"),"",$D278+Config!$F$9+IF(AND(Config!$F$9&gt;0,WEEKDAY($D278+Config!$F$9)=Config!$E$24),1,0))</f>
        <v/>
      </c>
      <c r="L278" s="24"/>
      <c r="M278" s="23" t="str">
        <f aca="false">IF(OR(NOT(ISNUMBER($D278)),Config!$G$10&lt;&gt;"Sim"),"",$D278+Config!$F$10+IF(AND(Config!$F$10&gt;0,WEEKDAY($D278+Config!$F$10)=Config!$E$24),1,0))</f>
        <v/>
      </c>
      <c r="N278" s="24"/>
      <c r="O278" s="23" t="str">
        <f aca="false">IF(OR(NOT(ISNUMBER($D278)),Config!$G$11&lt;&gt;"Sim"),"",$D278+Config!$F$11+IF(AND(Config!$F$11&gt;0,WEEKDAY($D278+Config!$F$11)=Config!$E$24),1,0))</f>
        <v/>
      </c>
      <c r="P278" s="24"/>
      <c r="Q278" s="25" t="str">
        <f aca="false">IF(COUNT(E278,G278,I278,K278,M278,O278)=0,"",((E278&lt;&gt;"")*(F278&lt;&gt;"")+(G278&lt;&gt;"")*(H278&lt;&gt;"")+(I278&lt;&gt;"")*(J278&lt;&gt;"")+(K278&lt;&gt;"")*(L278&lt;&gt;"")+(M278&lt;&gt;"")*(N278&lt;&gt;"")+(O278&lt;&gt;"")*(P278&lt;&gt;""))/COUNT(E278,G278,I278,K278,M278,O278))</f>
        <v/>
      </c>
      <c r="R278" s="26" t="str">
        <f aca="false">IF(T278="","",IF(T278=99999,"",T278))</f>
        <v/>
      </c>
      <c r="S278" s="27" t="str">
        <f aca="true">IF(T278="","",IF(T278=99999,"Concluído",IF(T278&lt;TODAY(),"Atrasado",IF(T278=TODAY(),"Hoje","Em dia"))))</f>
        <v/>
      </c>
      <c r="T278" s="28" t="str">
        <f aca="false">IF(COUNT(E278,G278,I278,K278,M278,O278)=0,"",MIN(IF(AND(E278&lt;&gt;"",F278=""),E278,99999),IF(AND(G278&lt;&gt;"",H278=""),G278,99999),IF(AND(I278&lt;&gt;"",J278=""),I278,99999),IF(AND(K278&lt;&gt;"",L278=""),K278,99999),IF(AND(M278&lt;&gt;"",N278=""),M278,99999),IF(AND(O278&lt;&gt;"",P278=""),O278,99999)))</f>
        <v/>
      </c>
    </row>
    <row r="279" customFormat="false" ht="15" hidden="false" customHeight="false" outlineLevel="0" collapsed="false">
      <c r="A279" s="20" t="n">
        <v>274</v>
      </c>
      <c r="B279" s="21"/>
      <c r="C279" s="21"/>
      <c r="D279" s="22"/>
      <c r="E279" s="23" t="str">
        <f aca="false">IF(OR(NOT(ISNUMBER($D279)),Config!$G$6&lt;&gt;"Sim"),"",$D279+Config!$F$6+IF(AND(Config!$F$6&gt;0,WEEKDAY($D279+Config!$F$6)=Config!$E$24),1,0))</f>
        <v/>
      </c>
      <c r="F279" s="24"/>
      <c r="G279" s="23" t="str">
        <f aca="false">IF(OR(NOT(ISNUMBER($D279)),Config!$G$7&lt;&gt;"Sim"),"",$D279+Config!$F$7+IF(AND(Config!$F$7&gt;0,WEEKDAY($D279+Config!$F$7)=Config!$E$24),1,0))</f>
        <v/>
      </c>
      <c r="H279" s="24"/>
      <c r="I279" s="23" t="str">
        <f aca="false">IF(OR(NOT(ISNUMBER($D279)),Config!$G$8&lt;&gt;"Sim"),"",$D279+Config!$F$8+IF(AND(Config!$F$8&gt;0,WEEKDAY($D279+Config!$F$8)=Config!$E$24),1,0))</f>
        <v/>
      </c>
      <c r="J279" s="24"/>
      <c r="K279" s="23" t="str">
        <f aca="false">IF(OR(NOT(ISNUMBER($D279)),Config!$G$9&lt;&gt;"Sim"),"",$D279+Config!$F$9+IF(AND(Config!$F$9&gt;0,WEEKDAY($D279+Config!$F$9)=Config!$E$24),1,0))</f>
        <v/>
      </c>
      <c r="L279" s="24"/>
      <c r="M279" s="23" t="str">
        <f aca="false">IF(OR(NOT(ISNUMBER($D279)),Config!$G$10&lt;&gt;"Sim"),"",$D279+Config!$F$10+IF(AND(Config!$F$10&gt;0,WEEKDAY($D279+Config!$F$10)=Config!$E$24),1,0))</f>
        <v/>
      </c>
      <c r="N279" s="24"/>
      <c r="O279" s="23" t="str">
        <f aca="false">IF(OR(NOT(ISNUMBER($D279)),Config!$G$11&lt;&gt;"Sim"),"",$D279+Config!$F$11+IF(AND(Config!$F$11&gt;0,WEEKDAY($D279+Config!$F$11)=Config!$E$24),1,0))</f>
        <v/>
      </c>
      <c r="P279" s="24"/>
      <c r="Q279" s="25" t="str">
        <f aca="false">IF(COUNT(E279,G279,I279,K279,M279,O279)=0,"",((E279&lt;&gt;"")*(F279&lt;&gt;"")+(G279&lt;&gt;"")*(H279&lt;&gt;"")+(I279&lt;&gt;"")*(J279&lt;&gt;"")+(K279&lt;&gt;"")*(L279&lt;&gt;"")+(M279&lt;&gt;"")*(N279&lt;&gt;"")+(O279&lt;&gt;"")*(P279&lt;&gt;""))/COUNT(E279,G279,I279,K279,M279,O279))</f>
        <v/>
      </c>
      <c r="R279" s="26" t="str">
        <f aca="false">IF(T279="","",IF(T279=99999,"",T279))</f>
        <v/>
      </c>
      <c r="S279" s="27" t="str">
        <f aca="true">IF(T279="","",IF(T279=99999,"Concluído",IF(T279&lt;TODAY(),"Atrasado",IF(T279=TODAY(),"Hoje","Em dia"))))</f>
        <v/>
      </c>
      <c r="T279" s="28" t="str">
        <f aca="false">IF(COUNT(E279,G279,I279,K279,M279,O279)=0,"",MIN(IF(AND(E279&lt;&gt;"",F279=""),E279,99999),IF(AND(G279&lt;&gt;"",H279=""),G279,99999),IF(AND(I279&lt;&gt;"",J279=""),I279,99999),IF(AND(K279&lt;&gt;"",L279=""),K279,99999),IF(AND(M279&lt;&gt;"",N279=""),M279,99999),IF(AND(O279&lt;&gt;"",P279=""),O279,99999)))</f>
        <v/>
      </c>
    </row>
    <row r="280" customFormat="false" ht="15" hidden="false" customHeight="false" outlineLevel="0" collapsed="false">
      <c r="A280" s="20" t="n">
        <v>275</v>
      </c>
      <c r="B280" s="21"/>
      <c r="C280" s="21"/>
      <c r="D280" s="22"/>
      <c r="E280" s="23" t="str">
        <f aca="false">IF(OR(NOT(ISNUMBER($D280)),Config!$G$6&lt;&gt;"Sim"),"",$D280+Config!$F$6+IF(AND(Config!$F$6&gt;0,WEEKDAY($D280+Config!$F$6)=Config!$E$24),1,0))</f>
        <v/>
      </c>
      <c r="F280" s="24"/>
      <c r="G280" s="23" t="str">
        <f aca="false">IF(OR(NOT(ISNUMBER($D280)),Config!$G$7&lt;&gt;"Sim"),"",$D280+Config!$F$7+IF(AND(Config!$F$7&gt;0,WEEKDAY($D280+Config!$F$7)=Config!$E$24),1,0))</f>
        <v/>
      </c>
      <c r="H280" s="24"/>
      <c r="I280" s="23" t="str">
        <f aca="false">IF(OR(NOT(ISNUMBER($D280)),Config!$G$8&lt;&gt;"Sim"),"",$D280+Config!$F$8+IF(AND(Config!$F$8&gt;0,WEEKDAY($D280+Config!$F$8)=Config!$E$24),1,0))</f>
        <v/>
      </c>
      <c r="J280" s="24"/>
      <c r="K280" s="23" t="str">
        <f aca="false">IF(OR(NOT(ISNUMBER($D280)),Config!$G$9&lt;&gt;"Sim"),"",$D280+Config!$F$9+IF(AND(Config!$F$9&gt;0,WEEKDAY($D280+Config!$F$9)=Config!$E$24),1,0))</f>
        <v/>
      </c>
      <c r="L280" s="24"/>
      <c r="M280" s="23" t="str">
        <f aca="false">IF(OR(NOT(ISNUMBER($D280)),Config!$G$10&lt;&gt;"Sim"),"",$D280+Config!$F$10+IF(AND(Config!$F$10&gt;0,WEEKDAY($D280+Config!$F$10)=Config!$E$24),1,0))</f>
        <v/>
      </c>
      <c r="N280" s="24"/>
      <c r="O280" s="23" t="str">
        <f aca="false">IF(OR(NOT(ISNUMBER($D280)),Config!$G$11&lt;&gt;"Sim"),"",$D280+Config!$F$11+IF(AND(Config!$F$11&gt;0,WEEKDAY($D280+Config!$F$11)=Config!$E$24),1,0))</f>
        <v/>
      </c>
      <c r="P280" s="24"/>
      <c r="Q280" s="25" t="str">
        <f aca="false">IF(COUNT(E280,G280,I280,K280,M280,O280)=0,"",((E280&lt;&gt;"")*(F280&lt;&gt;"")+(G280&lt;&gt;"")*(H280&lt;&gt;"")+(I280&lt;&gt;"")*(J280&lt;&gt;"")+(K280&lt;&gt;"")*(L280&lt;&gt;"")+(M280&lt;&gt;"")*(N280&lt;&gt;"")+(O280&lt;&gt;"")*(P280&lt;&gt;""))/COUNT(E280,G280,I280,K280,M280,O280))</f>
        <v/>
      </c>
      <c r="R280" s="26" t="str">
        <f aca="false">IF(T280="","",IF(T280=99999,"",T280))</f>
        <v/>
      </c>
      <c r="S280" s="27" t="str">
        <f aca="true">IF(T280="","",IF(T280=99999,"Concluído",IF(T280&lt;TODAY(),"Atrasado",IF(T280=TODAY(),"Hoje","Em dia"))))</f>
        <v/>
      </c>
      <c r="T280" s="28" t="str">
        <f aca="false">IF(COUNT(E280,G280,I280,K280,M280,O280)=0,"",MIN(IF(AND(E280&lt;&gt;"",F280=""),E280,99999),IF(AND(G280&lt;&gt;"",H280=""),G280,99999),IF(AND(I280&lt;&gt;"",J280=""),I280,99999),IF(AND(K280&lt;&gt;"",L280=""),K280,99999),IF(AND(M280&lt;&gt;"",N280=""),M280,99999),IF(AND(O280&lt;&gt;"",P280=""),O280,99999)))</f>
        <v/>
      </c>
    </row>
    <row r="281" customFormat="false" ht="15" hidden="false" customHeight="false" outlineLevel="0" collapsed="false">
      <c r="A281" s="20" t="n">
        <v>276</v>
      </c>
      <c r="B281" s="21"/>
      <c r="C281" s="21"/>
      <c r="D281" s="22"/>
      <c r="E281" s="23" t="str">
        <f aca="false">IF(OR(NOT(ISNUMBER($D281)),Config!$G$6&lt;&gt;"Sim"),"",$D281+Config!$F$6+IF(AND(Config!$F$6&gt;0,WEEKDAY($D281+Config!$F$6)=Config!$E$24),1,0))</f>
        <v/>
      </c>
      <c r="F281" s="24"/>
      <c r="G281" s="23" t="str">
        <f aca="false">IF(OR(NOT(ISNUMBER($D281)),Config!$G$7&lt;&gt;"Sim"),"",$D281+Config!$F$7+IF(AND(Config!$F$7&gt;0,WEEKDAY($D281+Config!$F$7)=Config!$E$24),1,0))</f>
        <v/>
      </c>
      <c r="H281" s="24"/>
      <c r="I281" s="23" t="str">
        <f aca="false">IF(OR(NOT(ISNUMBER($D281)),Config!$G$8&lt;&gt;"Sim"),"",$D281+Config!$F$8+IF(AND(Config!$F$8&gt;0,WEEKDAY($D281+Config!$F$8)=Config!$E$24),1,0))</f>
        <v/>
      </c>
      <c r="J281" s="24"/>
      <c r="K281" s="23" t="str">
        <f aca="false">IF(OR(NOT(ISNUMBER($D281)),Config!$G$9&lt;&gt;"Sim"),"",$D281+Config!$F$9+IF(AND(Config!$F$9&gt;0,WEEKDAY($D281+Config!$F$9)=Config!$E$24),1,0))</f>
        <v/>
      </c>
      <c r="L281" s="24"/>
      <c r="M281" s="23" t="str">
        <f aca="false">IF(OR(NOT(ISNUMBER($D281)),Config!$G$10&lt;&gt;"Sim"),"",$D281+Config!$F$10+IF(AND(Config!$F$10&gt;0,WEEKDAY($D281+Config!$F$10)=Config!$E$24),1,0))</f>
        <v/>
      </c>
      <c r="N281" s="24"/>
      <c r="O281" s="23" t="str">
        <f aca="false">IF(OR(NOT(ISNUMBER($D281)),Config!$G$11&lt;&gt;"Sim"),"",$D281+Config!$F$11+IF(AND(Config!$F$11&gt;0,WEEKDAY($D281+Config!$F$11)=Config!$E$24),1,0))</f>
        <v/>
      </c>
      <c r="P281" s="24"/>
      <c r="Q281" s="25" t="str">
        <f aca="false">IF(COUNT(E281,G281,I281,K281,M281,O281)=0,"",((E281&lt;&gt;"")*(F281&lt;&gt;"")+(G281&lt;&gt;"")*(H281&lt;&gt;"")+(I281&lt;&gt;"")*(J281&lt;&gt;"")+(K281&lt;&gt;"")*(L281&lt;&gt;"")+(M281&lt;&gt;"")*(N281&lt;&gt;"")+(O281&lt;&gt;"")*(P281&lt;&gt;""))/COUNT(E281,G281,I281,K281,M281,O281))</f>
        <v/>
      </c>
      <c r="R281" s="26" t="str">
        <f aca="false">IF(T281="","",IF(T281=99999,"",T281))</f>
        <v/>
      </c>
      <c r="S281" s="27" t="str">
        <f aca="true">IF(T281="","",IF(T281=99999,"Concluído",IF(T281&lt;TODAY(),"Atrasado",IF(T281=TODAY(),"Hoje","Em dia"))))</f>
        <v/>
      </c>
      <c r="T281" s="28" t="str">
        <f aca="false">IF(COUNT(E281,G281,I281,K281,M281,O281)=0,"",MIN(IF(AND(E281&lt;&gt;"",F281=""),E281,99999),IF(AND(G281&lt;&gt;"",H281=""),G281,99999),IF(AND(I281&lt;&gt;"",J281=""),I281,99999),IF(AND(K281&lt;&gt;"",L281=""),K281,99999),IF(AND(M281&lt;&gt;"",N281=""),M281,99999),IF(AND(O281&lt;&gt;"",P281=""),O281,99999)))</f>
        <v/>
      </c>
    </row>
    <row r="282" customFormat="false" ht="15" hidden="false" customHeight="false" outlineLevel="0" collapsed="false">
      <c r="A282" s="20" t="n">
        <v>277</v>
      </c>
      <c r="B282" s="21"/>
      <c r="C282" s="21"/>
      <c r="D282" s="22"/>
      <c r="E282" s="23" t="str">
        <f aca="false">IF(OR(NOT(ISNUMBER($D282)),Config!$G$6&lt;&gt;"Sim"),"",$D282+Config!$F$6+IF(AND(Config!$F$6&gt;0,WEEKDAY($D282+Config!$F$6)=Config!$E$24),1,0))</f>
        <v/>
      </c>
      <c r="F282" s="24"/>
      <c r="G282" s="23" t="str">
        <f aca="false">IF(OR(NOT(ISNUMBER($D282)),Config!$G$7&lt;&gt;"Sim"),"",$D282+Config!$F$7+IF(AND(Config!$F$7&gt;0,WEEKDAY($D282+Config!$F$7)=Config!$E$24),1,0))</f>
        <v/>
      </c>
      <c r="H282" s="24"/>
      <c r="I282" s="23" t="str">
        <f aca="false">IF(OR(NOT(ISNUMBER($D282)),Config!$G$8&lt;&gt;"Sim"),"",$D282+Config!$F$8+IF(AND(Config!$F$8&gt;0,WEEKDAY($D282+Config!$F$8)=Config!$E$24),1,0))</f>
        <v/>
      </c>
      <c r="J282" s="24"/>
      <c r="K282" s="23" t="str">
        <f aca="false">IF(OR(NOT(ISNUMBER($D282)),Config!$G$9&lt;&gt;"Sim"),"",$D282+Config!$F$9+IF(AND(Config!$F$9&gt;0,WEEKDAY($D282+Config!$F$9)=Config!$E$24),1,0))</f>
        <v/>
      </c>
      <c r="L282" s="24"/>
      <c r="M282" s="23" t="str">
        <f aca="false">IF(OR(NOT(ISNUMBER($D282)),Config!$G$10&lt;&gt;"Sim"),"",$D282+Config!$F$10+IF(AND(Config!$F$10&gt;0,WEEKDAY($D282+Config!$F$10)=Config!$E$24),1,0))</f>
        <v/>
      </c>
      <c r="N282" s="24"/>
      <c r="O282" s="23" t="str">
        <f aca="false">IF(OR(NOT(ISNUMBER($D282)),Config!$G$11&lt;&gt;"Sim"),"",$D282+Config!$F$11+IF(AND(Config!$F$11&gt;0,WEEKDAY($D282+Config!$F$11)=Config!$E$24),1,0))</f>
        <v/>
      </c>
      <c r="P282" s="24"/>
      <c r="Q282" s="25" t="str">
        <f aca="false">IF(COUNT(E282,G282,I282,K282,M282,O282)=0,"",((E282&lt;&gt;"")*(F282&lt;&gt;"")+(G282&lt;&gt;"")*(H282&lt;&gt;"")+(I282&lt;&gt;"")*(J282&lt;&gt;"")+(K282&lt;&gt;"")*(L282&lt;&gt;"")+(M282&lt;&gt;"")*(N282&lt;&gt;"")+(O282&lt;&gt;"")*(P282&lt;&gt;""))/COUNT(E282,G282,I282,K282,M282,O282))</f>
        <v/>
      </c>
      <c r="R282" s="26" t="str">
        <f aca="false">IF(T282="","",IF(T282=99999,"",T282))</f>
        <v/>
      </c>
      <c r="S282" s="27" t="str">
        <f aca="true">IF(T282="","",IF(T282=99999,"Concluído",IF(T282&lt;TODAY(),"Atrasado",IF(T282=TODAY(),"Hoje","Em dia"))))</f>
        <v/>
      </c>
      <c r="T282" s="28" t="str">
        <f aca="false">IF(COUNT(E282,G282,I282,K282,M282,O282)=0,"",MIN(IF(AND(E282&lt;&gt;"",F282=""),E282,99999),IF(AND(G282&lt;&gt;"",H282=""),G282,99999),IF(AND(I282&lt;&gt;"",J282=""),I282,99999),IF(AND(K282&lt;&gt;"",L282=""),K282,99999),IF(AND(M282&lt;&gt;"",N282=""),M282,99999),IF(AND(O282&lt;&gt;"",P282=""),O282,99999)))</f>
        <v/>
      </c>
    </row>
    <row r="283" customFormat="false" ht="15" hidden="false" customHeight="false" outlineLevel="0" collapsed="false">
      <c r="A283" s="20" t="n">
        <v>278</v>
      </c>
      <c r="B283" s="21"/>
      <c r="C283" s="21"/>
      <c r="D283" s="22"/>
      <c r="E283" s="23" t="str">
        <f aca="false">IF(OR(NOT(ISNUMBER($D283)),Config!$G$6&lt;&gt;"Sim"),"",$D283+Config!$F$6+IF(AND(Config!$F$6&gt;0,WEEKDAY($D283+Config!$F$6)=Config!$E$24),1,0))</f>
        <v/>
      </c>
      <c r="F283" s="24"/>
      <c r="G283" s="23" t="str">
        <f aca="false">IF(OR(NOT(ISNUMBER($D283)),Config!$G$7&lt;&gt;"Sim"),"",$D283+Config!$F$7+IF(AND(Config!$F$7&gt;0,WEEKDAY($D283+Config!$F$7)=Config!$E$24),1,0))</f>
        <v/>
      </c>
      <c r="H283" s="24"/>
      <c r="I283" s="23" t="str">
        <f aca="false">IF(OR(NOT(ISNUMBER($D283)),Config!$G$8&lt;&gt;"Sim"),"",$D283+Config!$F$8+IF(AND(Config!$F$8&gt;0,WEEKDAY($D283+Config!$F$8)=Config!$E$24),1,0))</f>
        <v/>
      </c>
      <c r="J283" s="24"/>
      <c r="K283" s="23" t="str">
        <f aca="false">IF(OR(NOT(ISNUMBER($D283)),Config!$G$9&lt;&gt;"Sim"),"",$D283+Config!$F$9+IF(AND(Config!$F$9&gt;0,WEEKDAY($D283+Config!$F$9)=Config!$E$24),1,0))</f>
        <v/>
      </c>
      <c r="L283" s="24"/>
      <c r="M283" s="23" t="str">
        <f aca="false">IF(OR(NOT(ISNUMBER($D283)),Config!$G$10&lt;&gt;"Sim"),"",$D283+Config!$F$10+IF(AND(Config!$F$10&gt;0,WEEKDAY($D283+Config!$F$10)=Config!$E$24),1,0))</f>
        <v/>
      </c>
      <c r="N283" s="24"/>
      <c r="O283" s="23" t="str">
        <f aca="false">IF(OR(NOT(ISNUMBER($D283)),Config!$G$11&lt;&gt;"Sim"),"",$D283+Config!$F$11+IF(AND(Config!$F$11&gt;0,WEEKDAY($D283+Config!$F$11)=Config!$E$24),1,0))</f>
        <v/>
      </c>
      <c r="P283" s="24"/>
      <c r="Q283" s="25" t="str">
        <f aca="false">IF(COUNT(E283,G283,I283,K283,M283,O283)=0,"",((E283&lt;&gt;"")*(F283&lt;&gt;"")+(G283&lt;&gt;"")*(H283&lt;&gt;"")+(I283&lt;&gt;"")*(J283&lt;&gt;"")+(K283&lt;&gt;"")*(L283&lt;&gt;"")+(M283&lt;&gt;"")*(N283&lt;&gt;"")+(O283&lt;&gt;"")*(P283&lt;&gt;""))/COUNT(E283,G283,I283,K283,M283,O283))</f>
        <v/>
      </c>
      <c r="R283" s="26" t="str">
        <f aca="false">IF(T283="","",IF(T283=99999,"",T283))</f>
        <v/>
      </c>
      <c r="S283" s="27" t="str">
        <f aca="true">IF(T283="","",IF(T283=99999,"Concluído",IF(T283&lt;TODAY(),"Atrasado",IF(T283=TODAY(),"Hoje","Em dia"))))</f>
        <v/>
      </c>
      <c r="T283" s="28" t="str">
        <f aca="false">IF(COUNT(E283,G283,I283,K283,M283,O283)=0,"",MIN(IF(AND(E283&lt;&gt;"",F283=""),E283,99999),IF(AND(G283&lt;&gt;"",H283=""),G283,99999),IF(AND(I283&lt;&gt;"",J283=""),I283,99999),IF(AND(K283&lt;&gt;"",L283=""),K283,99999),IF(AND(M283&lt;&gt;"",N283=""),M283,99999),IF(AND(O283&lt;&gt;"",P283=""),O283,99999)))</f>
        <v/>
      </c>
    </row>
    <row r="284" customFormat="false" ht="15" hidden="false" customHeight="false" outlineLevel="0" collapsed="false">
      <c r="A284" s="20" t="n">
        <v>279</v>
      </c>
      <c r="B284" s="21"/>
      <c r="C284" s="21"/>
      <c r="D284" s="22"/>
      <c r="E284" s="23" t="str">
        <f aca="false">IF(OR(NOT(ISNUMBER($D284)),Config!$G$6&lt;&gt;"Sim"),"",$D284+Config!$F$6+IF(AND(Config!$F$6&gt;0,WEEKDAY($D284+Config!$F$6)=Config!$E$24),1,0))</f>
        <v/>
      </c>
      <c r="F284" s="24"/>
      <c r="G284" s="23" t="str">
        <f aca="false">IF(OR(NOT(ISNUMBER($D284)),Config!$G$7&lt;&gt;"Sim"),"",$D284+Config!$F$7+IF(AND(Config!$F$7&gt;0,WEEKDAY($D284+Config!$F$7)=Config!$E$24),1,0))</f>
        <v/>
      </c>
      <c r="H284" s="24"/>
      <c r="I284" s="23" t="str">
        <f aca="false">IF(OR(NOT(ISNUMBER($D284)),Config!$G$8&lt;&gt;"Sim"),"",$D284+Config!$F$8+IF(AND(Config!$F$8&gt;0,WEEKDAY($D284+Config!$F$8)=Config!$E$24),1,0))</f>
        <v/>
      </c>
      <c r="J284" s="24"/>
      <c r="K284" s="23" t="str">
        <f aca="false">IF(OR(NOT(ISNUMBER($D284)),Config!$G$9&lt;&gt;"Sim"),"",$D284+Config!$F$9+IF(AND(Config!$F$9&gt;0,WEEKDAY($D284+Config!$F$9)=Config!$E$24),1,0))</f>
        <v/>
      </c>
      <c r="L284" s="24"/>
      <c r="M284" s="23" t="str">
        <f aca="false">IF(OR(NOT(ISNUMBER($D284)),Config!$G$10&lt;&gt;"Sim"),"",$D284+Config!$F$10+IF(AND(Config!$F$10&gt;0,WEEKDAY($D284+Config!$F$10)=Config!$E$24),1,0))</f>
        <v/>
      </c>
      <c r="N284" s="24"/>
      <c r="O284" s="23" t="str">
        <f aca="false">IF(OR(NOT(ISNUMBER($D284)),Config!$G$11&lt;&gt;"Sim"),"",$D284+Config!$F$11+IF(AND(Config!$F$11&gt;0,WEEKDAY($D284+Config!$F$11)=Config!$E$24),1,0))</f>
        <v/>
      </c>
      <c r="P284" s="24"/>
      <c r="Q284" s="25" t="str">
        <f aca="false">IF(COUNT(E284,G284,I284,K284,M284,O284)=0,"",((E284&lt;&gt;"")*(F284&lt;&gt;"")+(G284&lt;&gt;"")*(H284&lt;&gt;"")+(I284&lt;&gt;"")*(J284&lt;&gt;"")+(K284&lt;&gt;"")*(L284&lt;&gt;"")+(M284&lt;&gt;"")*(N284&lt;&gt;"")+(O284&lt;&gt;"")*(P284&lt;&gt;""))/COUNT(E284,G284,I284,K284,M284,O284))</f>
        <v/>
      </c>
      <c r="R284" s="26" t="str">
        <f aca="false">IF(T284="","",IF(T284=99999,"",T284))</f>
        <v/>
      </c>
      <c r="S284" s="27" t="str">
        <f aca="true">IF(T284="","",IF(T284=99999,"Concluído",IF(T284&lt;TODAY(),"Atrasado",IF(T284=TODAY(),"Hoje","Em dia"))))</f>
        <v/>
      </c>
      <c r="T284" s="28" t="str">
        <f aca="false">IF(COUNT(E284,G284,I284,K284,M284,O284)=0,"",MIN(IF(AND(E284&lt;&gt;"",F284=""),E284,99999),IF(AND(G284&lt;&gt;"",H284=""),G284,99999),IF(AND(I284&lt;&gt;"",J284=""),I284,99999),IF(AND(K284&lt;&gt;"",L284=""),K284,99999),IF(AND(M284&lt;&gt;"",N284=""),M284,99999),IF(AND(O284&lt;&gt;"",P284=""),O284,99999)))</f>
        <v/>
      </c>
    </row>
    <row r="285" customFormat="false" ht="15" hidden="false" customHeight="false" outlineLevel="0" collapsed="false">
      <c r="A285" s="20" t="n">
        <v>280</v>
      </c>
      <c r="B285" s="21"/>
      <c r="C285" s="21"/>
      <c r="D285" s="22"/>
      <c r="E285" s="23" t="str">
        <f aca="false">IF(OR(NOT(ISNUMBER($D285)),Config!$G$6&lt;&gt;"Sim"),"",$D285+Config!$F$6+IF(AND(Config!$F$6&gt;0,WEEKDAY($D285+Config!$F$6)=Config!$E$24),1,0))</f>
        <v/>
      </c>
      <c r="F285" s="24"/>
      <c r="G285" s="23" t="str">
        <f aca="false">IF(OR(NOT(ISNUMBER($D285)),Config!$G$7&lt;&gt;"Sim"),"",$D285+Config!$F$7+IF(AND(Config!$F$7&gt;0,WEEKDAY($D285+Config!$F$7)=Config!$E$24),1,0))</f>
        <v/>
      </c>
      <c r="H285" s="24"/>
      <c r="I285" s="23" t="str">
        <f aca="false">IF(OR(NOT(ISNUMBER($D285)),Config!$G$8&lt;&gt;"Sim"),"",$D285+Config!$F$8+IF(AND(Config!$F$8&gt;0,WEEKDAY($D285+Config!$F$8)=Config!$E$24),1,0))</f>
        <v/>
      </c>
      <c r="J285" s="24"/>
      <c r="K285" s="23" t="str">
        <f aca="false">IF(OR(NOT(ISNUMBER($D285)),Config!$G$9&lt;&gt;"Sim"),"",$D285+Config!$F$9+IF(AND(Config!$F$9&gt;0,WEEKDAY($D285+Config!$F$9)=Config!$E$24),1,0))</f>
        <v/>
      </c>
      <c r="L285" s="24"/>
      <c r="M285" s="23" t="str">
        <f aca="false">IF(OR(NOT(ISNUMBER($D285)),Config!$G$10&lt;&gt;"Sim"),"",$D285+Config!$F$10+IF(AND(Config!$F$10&gt;0,WEEKDAY($D285+Config!$F$10)=Config!$E$24),1,0))</f>
        <v/>
      </c>
      <c r="N285" s="24"/>
      <c r="O285" s="23" t="str">
        <f aca="false">IF(OR(NOT(ISNUMBER($D285)),Config!$G$11&lt;&gt;"Sim"),"",$D285+Config!$F$11+IF(AND(Config!$F$11&gt;0,WEEKDAY($D285+Config!$F$11)=Config!$E$24),1,0))</f>
        <v/>
      </c>
      <c r="P285" s="24"/>
      <c r="Q285" s="25" t="str">
        <f aca="false">IF(COUNT(E285,G285,I285,K285,M285,O285)=0,"",((E285&lt;&gt;"")*(F285&lt;&gt;"")+(G285&lt;&gt;"")*(H285&lt;&gt;"")+(I285&lt;&gt;"")*(J285&lt;&gt;"")+(K285&lt;&gt;"")*(L285&lt;&gt;"")+(M285&lt;&gt;"")*(N285&lt;&gt;"")+(O285&lt;&gt;"")*(P285&lt;&gt;""))/COUNT(E285,G285,I285,K285,M285,O285))</f>
        <v/>
      </c>
      <c r="R285" s="26" t="str">
        <f aca="false">IF(T285="","",IF(T285=99999,"",T285))</f>
        <v/>
      </c>
      <c r="S285" s="27" t="str">
        <f aca="true">IF(T285="","",IF(T285=99999,"Concluído",IF(T285&lt;TODAY(),"Atrasado",IF(T285=TODAY(),"Hoje","Em dia"))))</f>
        <v/>
      </c>
      <c r="T285" s="28" t="str">
        <f aca="false">IF(COUNT(E285,G285,I285,K285,M285,O285)=0,"",MIN(IF(AND(E285&lt;&gt;"",F285=""),E285,99999),IF(AND(G285&lt;&gt;"",H285=""),G285,99999),IF(AND(I285&lt;&gt;"",J285=""),I285,99999),IF(AND(K285&lt;&gt;"",L285=""),K285,99999),IF(AND(M285&lt;&gt;"",N285=""),M285,99999),IF(AND(O285&lt;&gt;"",P285=""),O285,99999)))</f>
        <v/>
      </c>
    </row>
    <row r="286" customFormat="false" ht="15" hidden="false" customHeight="false" outlineLevel="0" collapsed="false">
      <c r="A286" s="20" t="n">
        <v>281</v>
      </c>
      <c r="B286" s="21"/>
      <c r="C286" s="21"/>
      <c r="D286" s="22"/>
      <c r="E286" s="23" t="str">
        <f aca="false">IF(OR(NOT(ISNUMBER($D286)),Config!$G$6&lt;&gt;"Sim"),"",$D286+Config!$F$6+IF(AND(Config!$F$6&gt;0,WEEKDAY($D286+Config!$F$6)=Config!$E$24),1,0))</f>
        <v/>
      </c>
      <c r="F286" s="24"/>
      <c r="G286" s="23" t="str">
        <f aca="false">IF(OR(NOT(ISNUMBER($D286)),Config!$G$7&lt;&gt;"Sim"),"",$D286+Config!$F$7+IF(AND(Config!$F$7&gt;0,WEEKDAY($D286+Config!$F$7)=Config!$E$24),1,0))</f>
        <v/>
      </c>
      <c r="H286" s="24"/>
      <c r="I286" s="23" t="str">
        <f aca="false">IF(OR(NOT(ISNUMBER($D286)),Config!$G$8&lt;&gt;"Sim"),"",$D286+Config!$F$8+IF(AND(Config!$F$8&gt;0,WEEKDAY($D286+Config!$F$8)=Config!$E$24),1,0))</f>
        <v/>
      </c>
      <c r="J286" s="24"/>
      <c r="K286" s="23" t="str">
        <f aca="false">IF(OR(NOT(ISNUMBER($D286)),Config!$G$9&lt;&gt;"Sim"),"",$D286+Config!$F$9+IF(AND(Config!$F$9&gt;0,WEEKDAY($D286+Config!$F$9)=Config!$E$24),1,0))</f>
        <v/>
      </c>
      <c r="L286" s="24"/>
      <c r="M286" s="23" t="str">
        <f aca="false">IF(OR(NOT(ISNUMBER($D286)),Config!$G$10&lt;&gt;"Sim"),"",$D286+Config!$F$10+IF(AND(Config!$F$10&gt;0,WEEKDAY($D286+Config!$F$10)=Config!$E$24),1,0))</f>
        <v/>
      </c>
      <c r="N286" s="24"/>
      <c r="O286" s="23" t="str">
        <f aca="false">IF(OR(NOT(ISNUMBER($D286)),Config!$G$11&lt;&gt;"Sim"),"",$D286+Config!$F$11+IF(AND(Config!$F$11&gt;0,WEEKDAY($D286+Config!$F$11)=Config!$E$24),1,0))</f>
        <v/>
      </c>
      <c r="P286" s="24"/>
      <c r="Q286" s="25" t="str">
        <f aca="false">IF(COUNT(E286,G286,I286,K286,M286,O286)=0,"",((E286&lt;&gt;"")*(F286&lt;&gt;"")+(G286&lt;&gt;"")*(H286&lt;&gt;"")+(I286&lt;&gt;"")*(J286&lt;&gt;"")+(K286&lt;&gt;"")*(L286&lt;&gt;"")+(M286&lt;&gt;"")*(N286&lt;&gt;"")+(O286&lt;&gt;"")*(P286&lt;&gt;""))/COUNT(E286,G286,I286,K286,M286,O286))</f>
        <v/>
      </c>
      <c r="R286" s="26" t="str">
        <f aca="false">IF(T286="","",IF(T286=99999,"",T286))</f>
        <v/>
      </c>
      <c r="S286" s="27" t="str">
        <f aca="true">IF(T286="","",IF(T286=99999,"Concluído",IF(T286&lt;TODAY(),"Atrasado",IF(T286=TODAY(),"Hoje","Em dia"))))</f>
        <v/>
      </c>
      <c r="T286" s="28" t="str">
        <f aca="false">IF(COUNT(E286,G286,I286,K286,M286,O286)=0,"",MIN(IF(AND(E286&lt;&gt;"",F286=""),E286,99999),IF(AND(G286&lt;&gt;"",H286=""),G286,99999),IF(AND(I286&lt;&gt;"",J286=""),I286,99999),IF(AND(K286&lt;&gt;"",L286=""),K286,99999),IF(AND(M286&lt;&gt;"",N286=""),M286,99999),IF(AND(O286&lt;&gt;"",P286=""),O286,99999)))</f>
        <v/>
      </c>
    </row>
    <row r="287" customFormat="false" ht="15" hidden="false" customHeight="false" outlineLevel="0" collapsed="false">
      <c r="A287" s="20" t="n">
        <v>282</v>
      </c>
      <c r="B287" s="21"/>
      <c r="C287" s="21"/>
      <c r="D287" s="22"/>
      <c r="E287" s="23" t="str">
        <f aca="false">IF(OR(NOT(ISNUMBER($D287)),Config!$G$6&lt;&gt;"Sim"),"",$D287+Config!$F$6+IF(AND(Config!$F$6&gt;0,WEEKDAY($D287+Config!$F$6)=Config!$E$24),1,0))</f>
        <v/>
      </c>
      <c r="F287" s="24"/>
      <c r="G287" s="23" t="str">
        <f aca="false">IF(OR(NOT(ISNUMBER($D287)),Config!$G$7&lt;&gt;"Sim"),"",$D287+Config!$F$7+IF(AND(Config!$F$7&gt;0,WEEKDAY($D287+Config!$F$7)=Config!$E$24),1,0))</f>
        <v/>
      </c>
      <c r="H287" s="24"/>
      <c r="I287" s="23" t="str">
        <f aca="false">IF(OR(NOT(ISNUMBER($D287)),Config!$G$8&lt;&gt;"Sim"),"",$D287+Config!$F$8+IF(AND(Config!$F$8&gt;0,WEEKDAY($D287+Config!$F$8)=Config!$E$24),1,0))</f>
        <v/>
      </c>
      <c r="J287" s="24"/>
      <c r="K287" s="23" t="str">
        <f aca="false">IF(OR(NOT(ISNUMBER($D287)),Config!$G$9&lt;&gt;"Sim"),"",$D287+Config!$F$9+IF(AND(Config!$F$9&gt;0,WEEKDAY($D287+Config!$F$9)=Config!$E$24),1,0))</f>
        <v/>
      </c>
      <c r="L287" s="24"/>
      <c r="M287" s="23" t="str">
        <f aca="false">IF(OR(NOT(ISNUMBER($D287)),Config!$G$10&lt;&gt;"Sim"),"",$D287+Config!$F$10+IF(AND(Config!$F$10&gt;0,WEEKDAY($D287+Config!$F$10)=Config!$E$24),1,0))</f>
        <v/>
      </c>
      <c r="N287" s="24"/>
      <c r="O287" s="23" t="str">
        <f aca="false">IF(OR(NOT(ISNUMBER($D287)),Config!$G$11&lt;&gt;"Sim"),"",$D287+Config!$F$11+IF(AND(Config!$F$11&gt;0,WEEKDAY($D287+Config!$F$11)=Config!$E$24),1,0))</f>
        <v/>
      </c>
      <c r="P287" s="24"/>
      <c r="Q287" s="25" t="str">
        <f aca="false">IF(COUNT(E287,G287,I287,K287,M287,O287)=0,"",((E287&lt;&gt;"")*(F287&lt;&gt;"")+(G287&lt;&gt;"")*(H287&lt;&gt;"")+(I287&lt;&gt;"")*(J287&lt;&gt;"")+(K287&lt;&gt;"")*(L287&lt;&gt;"")+(M287&lt;&gt;"")*(N287&lt;&gt;"")+(O287&lt;&gt;"")*(P287&lt;&gt;""))/COUNT(E287,G287,I287,K287,M287,O287))</f>
        <v/>
      </c>
      <c r="R287" s="26" t="str">
        <f aca="false">IF(T287="","",IF(T287=99999,"",T287))</f>
        <v/>
      </c>
      <c r="S287" s="27" t="str">
        <f aca="true">IF(T287="","",IF(T287=99999,"Concluído",IF(T287&lt;TODAY(),"Atrasado",IF(T287=TODAY(),"Hoje","Em dia"))))</f>
        <v/>
      </c>
      <c r="T287" s="28" t="str">
        <f aca="false">IF(COUNT(E287,G287,I287,K287,M287,O287)=0,"",MIN(IF(AND(E287&lt;&gt;"",F287=""),E287,99999),IF(AND(G287&lt;&gt;"",H287=""),G287,99999),IF(AND(I287&lt;&gt;"",J287=""),I287,99999),IF(AND(K287&lt;&gt;"",L287=""),K287,99999),IF(AND(M287&lt;&gt;"",N287=""),M287,99999),IF(AND(O287&lt;&gt;"",P287=""),O287,99999)))</f>
        <v/>
      </c>
    </row>
    <row r="288" customFormat="false" ht="15" hidden="false" customHeight="false" outlineLevel="0" collapsed="false">
      <c r="A288" s="20" t="n">
        <v>283</v>
      </c>
      <c r="B288" s="21"/>
      <c r="C288" s="21"/>
      <c r="D288" s="22"/>
      <c r="E288" s="23" t="str">
        <f aca="false">IF(OR(NOT(ISNUMBER($D288)),Config!$G$6&lt;&gt;"Sim"),"",$D288+Config!$F$6+IF(AND(Config!$F$6&gt;0,WEEKDAY($D288+Config!$F$6)=Config!$E$24),1,0))</f>
        <v/>
      </c>
      <c r="F288" s="24"/>
      <c r="G288" s="23" t="str">
        <f aca="false">IF(OR(NOT(ISNUMBER($D288)),Config!$G$7&lt;&gt;"Sim"),"",$D288+Config!$F$7+IF(AND(Config!$F$7&gt;0,WEEKDAY($D288+Config!$F$7)=Config!$E$24),1,0))</f>
        <v/>
      </c>
      <c r="H288" s="24"/>
      <c r="I288" s="23" t="str">
        <f aca="false">IF(OR(NOT(ISNUMBER($D288)),Config!$G$8&lt;&gt;"Sim"),"",$D288+Config!$F$8+IF(AND(Config!$F$8&gt;0,WEEKDAY($D288+Config!$F$8)=Config!$E$24),1,0))</f>
        <v/>
      </c>
      <c r="J288" s="24"/>
      <c r="K288" s="23" t="str">
        <f aca="false">IF(OR(NOT(ISNUMBER($D288)),Config!$G$9&lt;&gt;"Sim"),"",$D288+Config!$F$9+IF(AND(Config!$F$9&gt;0,WEEKDAY($D288+Config!$F$9)=Config!$E$24),1,0))</f>
        <v/>
      </c>
      <c r="L288" s="24"/>
      <c r="M288" s="23" t="str">
        <f aca="false">IF(OR(NOT(ISNUMBER($D288)),Config!$G$10&lt;&gt;"Sim"),"",$D288+Config!$F$10+IF(AND(Config!$F$10&gt;0,WEEKDAY($D288+Config!$F$10)=Config!$E$24),1,0))</f>
        <v/>
      </c>
      <c r="N288" s="24"/>
      <c r="O288" s="23" t="str">
        <f aca="false">IF(OR(NOT(ISNUMBER($D288)),Config!$G$11&lt;&gt;"Sim"),"",$D288+Config!$F$11+IF(AND(Config!$F$11&gt;0,WEEKDAY($D288+Config!$F$11)=Config!$E$24),1,0))</f>
        <v/>
      </c>
      <c r="P288" s="24"/>
      <c r="Q288" s="25" t="str">
        <f aca="false">IF(COUNT(E288,G288,I288,K288,M288,O288)=0,"",((E288&lt;&gt;"")*(F288&lt;&gt;"")+(G288&lt;&gt;"")*(H288&lt;&gt;"")+(I288&lt;&gt;"")*(J288&lt;&gt;"")+(K288&lt;&gt;"")*(L288&lt;&gt;"")+(M288&lt;&gt;"")*(N288&lt;&gt;"")+(O288&lt;&gt;"")*(P288&lt;&gt;""))/COUNT(E288,G288,I288,K288,M288,O288))</f>
        <v/>
      </c>
      <c r="R288" s="26" t="str">
        <f aca="false">IF(T288="","",IF(T288=99999,"",T288))</f>
        <v/>
      </c>
      <c r="S288" s="27" t="str">
        <f aca="true">IF(T288="","",IF(T288=99999,"Concluído",IF(T288&lt;TODAY(),"Atrasado",IF(T288=TODAY(),"Hoje","Em dia"))))</f>
        <v/>
      </c>
      <c r="T288" s="28" t="str">
        <f aca="false">IF(COUNT(E288,G288,I288,K288,M288,O288)=0,"",MIN(IF(AND(E288&lt;&gt;"",F288=""),E288,99999),IF(AND(G288&lt;&gt;"",H288=""),G288,99999),IF(AND(I288&lt;&gt;"",J288=""),I288,99999),IF(AND(K288&lt;&gt;"",L288=""),K288,99999),IF(AND(M288&lt;&gt;"",N288=""),M288,99999),IF(AND(O288&lt;&gt;"",P288=""),O288,99999)))</f>
        <v/>
      </c>
    </row>
    <row r="289" customFormat="false" ht="15" hidden="false" customHeight="false" outlineLevel="0" collapsed="false">
      <c r="A289" s="20" t="n">
        <v>284</v>
      </c>
      <c r="B289" s="21"/>
      <c r="C289" s="21"/>
      <c r="D289" s="22"/>
      <c r="E289" s="23" t="str">
        <f aca="false">IF(OR(NOT(ISNUMBER($D289)),Config!$G$6&lt;&gt;"Sim"),"",$D289+Config!$F$6+IF(AND(Config!$F$6&gt;0,WEEKDAY($D289+Config!$F$6)=Config!$E$24),1,0))</f>
        <v/>
      </c>
      <c r="F289" s="24"/>
      <c r="G289" s="23" t="str">
        <f aca="false">IF(OR(NOT(ISNUMBER($D289)),Config!$G$7&lt;&gt;"Sim"),"",$D289+Config!$F$7+IF(AND(Config!$F$7&gt;0,WEEKDAY($D289+Config!$F$7)=Config!$E$24),1,0))</f>
        <v/>
      </c>
      <c r="H289" s="24"/>
      <c r="I289" s="23" t="str">
        <f aca="false">IF(OR(NOT(ISNUMBER($D289)),Config!$G$8&lt;&gt;"Sim"),"",$D289+Config!$F$8+IF(AND(Config!$F$8&gt;0,WEEKDAY($D289+Config!$F$8)=Config!$E$24),1,0))</f>
        <v/>
      </c>
      <c r="J289" s="24"/>
      <c r="K289" s="23" t="str">
        <f aca="false">IF(OR(NOT(ISNUMBER($D289)),Config!$G$9&lt;&gt;"Sim"),"",$D289+Config!$F$9+IF(AND(Config!$F$9&gt;0,WEEKDAY($D289+Config!$F$9)=Config!$E$24),1,0))</f>
        <v/>
      </c>
      <c r="L289" s="24"/>
      <c r="M289" s="23" t="str">
        <f aca="false">IF(OR(NOT(ISNUMBER($D289)),Config!$G$10&lt;&gt;"Sim"),"",$D289+Config!$F$10+IF(AND(Config!$F$10&gt;0,WEEKDAY($D289+Config!$F$10)=Config!$E$24),1,0))</f>
        <v/>
      </c>
      <c r="N289" s="24"/>
      <c r="O289" s="23" t="str">
        <f aca="false">IF(OR(NOT(ISNUMBER($D289)),Config!$G$11&lt;&gt;"Sim"),"",$D289+Config!$F$11+IF(AND(Config!$F$11&gt;0,WEEKDAY($D289+Config!$F$11)=Config!$E$24),1,0))</f>
        <v/>
      </c>
      <c r="P289" s="24"/>
      <c r="Q289" s="25" t="str">
        <f aca="false">IF(COUNT(E289,G289,I289,K289,M289,O289)=0,"",((E289&lt;&gt;"")*(F289&lt;&gt;"")+(G289&lt;&gt;"")*(H289&lt;&gt;"")+(I289&lt;&gt;"")*(J289&lt;&gt;"")+(K289&lt;&gt;"")*(L289&lt;&gt;"")+(M289&lt;&gt;"")*(N289&lt;&gt;"")+(O289&lt;&gt;"")*(P289&lt;&gt;""))/COUNT(E289,G289,I289,K289,M289,O289))</f>
        <v/>
      </c>
      <c r="R289" s="26" t="str">
        <f aca="false">IF(T289="","",IF(T289=99999,"",T289))</f>
        <v/>
      </c>
      <c r="S289" s="27" t="str">
        <f aca="true">IF(T289="","",IF(T289=99999,"Concluído",IF(T289&lt;TODAY(),"Atrasado",IF(T289=TODAY(),"Hoje","Em dia"))))</f>
        <v/>
      </c>
      <c r="T289" s="28" t="str">
        <f aca="false">IF(COUNT(E289,G289,I289,K289,M289,O289)=0,"",MIN(IF(AND(E289&lt;&gt;"",F289=""),E289,99999),IF(AND(G289&lt;&gt;"",H289=""),G289,99999),IF(AND(I289&lt;&gt;"",J289=""),I289,99999),IF(AND(K289&lt;&gt;"",L289=""),K289,99999),IF(AND(M289&lt;&gt;"",N289=""),M289,99999),IF(AND(O289&lt;&gt;"",P289=""),O289,99999)))</f>
        <v/>
      </c>
    </row>
    <row r="290" customFormat="false" ht="15" hidden="false" customHeight="false" outlineLevel="0" collapsed="false">
      <c r="A290" s="20" t="n">
        <v>285</v>
      </c>
      <c r="B290" s="21"/>
      <c r="C290" s="21"/>
      <c r="D290" s="22"/>
      <c r="E290" s="23" t="str">
        <f aca="false">IF(OR(NOT(ISNUMBER($D290)),Config!$G$6&lt;&gt;"Sim"),"",$D290+Config!$F$6+IF(AND(Config!$F$6&gt;0,WEEKDAY($D290+Config!$F$6)=Config!$E$24),1,0))</f>
        <v/>
      </c>
      <c r="F290" s="24"/>
      <c r="G290" s="23" t="str">
        <f aca="false">IF(OR(NOT(ISNUMBER($D290)),Config!$G$7&lt;&gt;"Sim"),"",$D290+Config!$F$7+IF(AND(Config!$F$7&gt;0,WEEKDAY($D290+Config!$F$7)=Config!$E$24),1,0))</f>
        <v/>
      </c>
      <c r="H290" s="24"/>
      <c r="I290" s="23" t="str">
        <f aca="false">IF(OR(NOT(ISNUMBER($D290)),Config!$G$8&lt;&gt;"Sim"),"",$D290+Config!$F$8+IF(AND(Config!$F$8&gt;0,WEEKDAY($D290+Config!$F$8)=Config!$E$24),1,0))</f>
        <v/>
      </c>
      <c r="J290" s="24"/>
      <c r="K290" s="23" t="str">
        <f aca="false">IF(OR(NOT(ISNUMBER($D290)),Config!$G$9&lt;&gt;"Sim"),"",$D290+Config!$F$9+IF(AND(Config!$F$9&gt;0,WEEKDAY($D290+Config!$F$9)=Config!$E$24),1,0))</f>
        <v/>
      </c>
      <c r="L290" s="24"/>
      <c r="M290" s="23" t="str">
        <f aca="false">IF(OR(NOT(ISNUMBER($D290)),Config!$G$10&lt;&gt;"Sim"),"",$D290+Config!$F$10+IF(AND(Config!$F$10&gt;0,WEEKDAY($D290+Config!$F$10)=Config!$E$24),1,0))</f>
        <v/>
      </c>
      <c r="N290" s="24"/>
      <c r="O290" s="23" t="str">
        <f aca="false">IF(OR(NOT(ISNUMBER($D290)),Config!$G$11&lt;&gt;"Sim"),"",$D290+Config!$F$11+IF(AND(Config!$F$11&gt;0,WEEKDAY($D290+Config!$F$11)=Config!$E$24),1,0))</f>
        <v/>
      </c>
      <c r="P290" s="24"/>
      <c r="Q290" s="25" t="str">
        <f aca="false">IF(COUNT(E290,G290,I290,K290,M290,O290)=0,"",((E290&lt;&gt;"")*(F290&lt;&gt;"")+(G290&lt;&gt;"")*(H290&lt;&gt;"")+(I290&lt;&gt;"")*(J290&lt;&gt;"")+(K290&lt;&gt;"")*(L290&lt;&gt;"")+(M290&lt;&gt;"")*(N290&lt;&gt;"")+(O290&lt;&gt;"")*(P290&lt;&gt;""))/COUNT(E290,G290,I290,K290,M290,O290))</f>
        <v/>
      </c>
      <c r="R290" s="26" t="str">
        <f aca="false">IF(T290="","",IF(T290=99999,"",T290))</f>
        <v/>
      </c>
      <c r="S290" s="27" t="str">
        <f aca="true">IF(T290="","",IF(T290=99999,"Concluído",IF(T290&lt;TODAY(),"Atrasado",IF(T290=TODAY(),"Hoje","Em dia"))))</f>
        <v/>
      </c>
      <c r="T290" s="28" t="str">
        <f aca="false">IF(COUNT(E290,G290,I290,K290,M290,O290)=0,"",MIN(IF(AND(E290&lt;&gt;"",F290=""),E290,99999),IF(AND(G290&lt;&gt;"",H290=""),G290,99999),IF(AND(I290&lt;&gt;"",J290=""),I290,99999),IF(AND(K290&lt;&gt;"",L290=""),K290,99999),IF(AND(M290&lt;&gt;"",N290=""),M290,99999),IF(AND(O290&lt;&gt;"",P290=""),O290,99999)))</f>
        <v/>
      </c>
    </row>
    <row r="291" customFormat="false" ht="15" hidden="false" customHeight="false" outlineLevel="0" collapsed="false">
      <c r="A291" s="20" t="n">
        <v>286</v>
      </c>
      <c r="B291" s="21"/>
      <c r="C291" s="21"/>
      <c r="D291" s="22"/>
      <c r="E291" s="23" t="str">
        <f aca="false">IF(OR(NOT(ISNUMBER($D291)),Config!$G$6&lt;&gt;"Sim"),"",$D291+Config!$F$6+IF(AND(Config!$F$6&gt;0,WEEKDAY($D291+Config!$F$6)=Config!$E$24),1,0))</f>
        <v/>
      </c>
      <c r="F291" s="24"/>
      <c r="G291" s="23" t="str">
        <f aca="false">IF(OR(NOT(ISNUMBER($D291)),Config!$G$7&lt;&gt;"Sim"),"",$D291+Config!$F$7+IF(AND(Config!$F$7&gt;0,WEEKDAY($D291+Config!$F$7)=Config!$E$24),1,0))</f>
        <v/>
      </c>
      <c r="H291" s="24"/>
      <c r="I291" s="23" t="str">
        <f aca="false">IF(OR(NOT(ISNUMBER($D291)),Config!$G$8&lt;&gt;"Sim"),"",$D291+Config!$F$8+IF(AND(Config!$F$8&gt;0,WEEKDAY($D291+Config!$F$8)=Config!$E$24),1,0))</f>
        <v/>
      </c>
      <c r="J291" s="24"/>
      <c r="K291" s="23" t="str">
        <f aca="false">IF(OR(NOT(ISNUMBER($D291)),Config!$G$9&lt;&gt;"Sim"),"",$D291+Config!$F$9+IF(AND(Config!$F$9&gt;0,WEEKDAY($D291+Config!$F$9)=Config!$E$24),1,0))</f>
        <v/>
      </c>
      <c r="L291" s="24"/>
      <c r="M291" s="23" t="str">
        <f aca="false">IF(OR(NOT(ISNUMBER($D291)),Config!$G$10&lt;&gt;"Sim"),"",$D291+Config!$F$10+IF(AND(Config!$F$10&gt;0,WEEKDAY($D291+Config!$F$10)=Config!$E$24),1,0))</f>
        <v/>
      </c>
      <c r="N291" s="24"/>
      <c r="O291" s="23" t="str">
        <f aca="false">IF(OR(NOT(ISNUMBER($D291)),Config!$G$11&lt;&gt;"Sim"),"",$D291+Config!$F$11+IF(AND(Config!$F$11&gt;0,WEEKDAY($D291+Config!$F$11)=Config!$E$24),1,0))</f>
        <v/>
      </c>
      <c r="P291" s="24"/>
      <c r="Q291" s="25" t="str">
        <f aca="false">IF(COUNT(E291,G291,I291,K291,M291,O291)=0,"",((E291&lt;&gt;"")*(F291&lt;&gt;"")+(G291&lt;&gt;"")*(H291&lt;&gt;"")+(I291&lt;&gt;"")*(J291&lt;&gt;"")+(K291&lt;&gt;"")*(L291&lt;&gt;"")+(M291&lt;&gt;"")*(N291&lt;&gt;"")+(O291&lt;&gt;"")*(P291&lt;&gt;""))/COUNT(E291,G291,I291,K291,M291,O291))</f>
        <v/>
      </c>
      <c r="R291" s="26" t="str">
        <f aca="false">IF(T291="","",IF(T291=99999,"",T291))</f>
        <v/>
      </c>
      <c r="S291" s="27" t="str">
        <f aca="true">IF(T291="","",IF(T291=99999,"Concluído",IF(T291&lt;TODAY(),"Atrasado",IF(T291=TODAY(),"Hoje","Em dia"))))</f>
        <v/>
      </c>
      <c r="T291" s="28" t="str">
        <f aca="false">IF(COUNT(E291,G291,I291,K291,M291,O291)=0,"",MIN(IF(AND(E291&lt;&gt;"",F291=""),E291,99999),IF(AND(G291&lt;&gt;"",H291=""),G291,99999),IF(AND(I291&lt;&gt;"",J291=""),I291,99999),IF(AND(K291&lt;&gt;"",L291=""),K291,99999),IF(AND(M291&lt;&gt;"",N291=""),M291,99999),IF(AND(O291&lt;&gt;"",P291=""),O291,99999)))</f>
        <v/>
      </c>
    </row>
    <row r="292" customFormat="false" ht="15" hidden="false" customHeight="false" outlineLevel="0" collapsed="false">
      <c r="A292" s="20" t="n">
        <v>287</v>
      </c>
      <c r="B292" s="21"/>
      <c r="C292" s="21"/>
      <c r="D292" s="22"/>
      <c r="E292" s="23" t="str">
        <f aca="false">IF(OR(NOT(ISNUMBER($D292)),Config!$G$6&lt;&gt;"Sim"),"",$D292+Config!$F$6+IF(AND(Config!$F$6&gt;0,WEEKDAY($D292+Config!$F$6)=Config!$E$24),1,0))</f>
        <v/>
      </c>
      <c r="F292" s="24"/>
      <c r="G292" s="23" t="str">
        <f aca="false">IF(OR(NOT(ISNUMBER($D292)),Config!$G$7&lt;&gt;"Sim"),"",$D292+Config!$F$7+IF(AND(Config!$F$7&gt;0,WEEKDAY($D292+Config!$F$7)=Config!$E$24),1,0))</f>
        <v/>
      </c>
      <c r="H292" s="24"/>
      <c r="I292" s="23" t="str">
        <f aca="false">IF(OR(NOT(ISNUMBER($D292)),Config!$G$8&lt;&gt;"Sim"),"",$D292+Config!$F$8+IF(AND(Config!$F$8&gt;0,WEEKDAY($D292+Config!$F$8)=Config!$E$24),1,0))</f>
        <v/>
      </c>
      <c r="J292" s="24"/>
      <c r="K292" s="23" t="str">
        <f aca="false">IF(OR(NOT(ISNUMBER($D292)),Config!$G$9&lt;&gt;"Sim"),"",$D292+Config!$F$9+IF(AND(Config!$F$9&gt;0,WEEKDAY($D292+Config!$F$9)=Config!$E$24),1,0))</f>
        <v/>
      </c>
      <c r="L292" s="24"/>
      <c r="M292" s="23" t="str">
        <f aca="false">IF(OR(NOT(ISNUMBER($D292)),Config!$G$10&lt;&gt;"Sim"),"",$D292+Config!$F$10+IF(AND(Config!$F$10&gt;0,WEEKDAY($D292+Config!$F$10)=Config!$E$24),1,0))</f>
        <v/>
      </c>
      <c r="N292" s="24"/>
      <c r="O292" s="23" t="str">
        <f aca="false">IF(OR(NOT(ISNUMBER($D292)),Config!$G$11&lt;&gt;"Sim"),"",$D292+Config!$F$11+IF(AND(Config!$F$11&gt;0,WEEKDAY($D292+Config!$F$11)=Config!$E$24),1,0))</f>
        <v/>
      </c>
      <c r="P292" s="24"/>
      <c r="Q292" s="25" t="str">
        <f aca="false">IF(COUNT(E292,G292,I292,K292,M292,O292)=0,"",((E292&lt;&gt;"")*(F292&lt;&gt;"")+(G292&lt;&gt;"")*(H292&lt;&gt;"")+(I292&lt;&gt;"")*(J292&lt;&gt;"")+(K292&lt;&gt;"")*(L292&lt;&gt;"")+(M292&lt;&gt;"")*(N292&lt;&gt;"")+(O292&lt;&gt;"")*(P292&lt;&gt;""))/COUNT(E292,G292,I292,K292,M292,O292))</f>
        <v/>
      </c>
      <c r="R292" s="26" t="str">
        <f aca="false">IF(T292="","",IF(T292=99999,"",T292))</f>
        <v/>
      </c>
      <c r="S292" s="27" t="str">
        <f aca="true">IF(T292="","",IF(T292=99999,"Concluído",IF(T292&lt;TODAY(),"Atrasado",IF(T292=TODAY(),"Hoje","Em dia"))))</f>
        <v/>
      </c>
      <c r="T292" s="28" t="str">
        <f aca="false">IF(COUNT(E292,G292,I292,K292,M292,O292)=0,"",MIN(IF(AND(E292&lt;&gt;"",F292=""),E292,99999),IF(AND(G292&lt;&gt;"",H292=""),G292,99999),IF(AND(I292&lt;&gt;"",J292=""),I292,99999),IF(AND(K292&lt;&gt;"",L292=""),K292,99999),IF(AND(M292&lt;&gt;"",N292=""),M292,99999),IF(AND(O292&lt;&gt;"",P292=""),O292,99999)))</f>
        <v/>
      </c>
    </row>
    <row r="293" customFormat="false" ht="15" hidden="false" customHeight="false" outlineLevel="0" collapsed="false">
      <c r="A293" s="20" t="n">
        <v>288</v>
      </c>
      <c r="B293" s="21"/>
      <c r="C293" s="21"/>
      <c r="D293" s="22"/>
      <c r="E293" s="23" t="str">
        <f aca="false">IF(OR(NOT(ISNUMBER($D293)),Config!$G$6&lt;&gt;"Sim"),"",$D293+Config!$F$6+IF(AND(Config!$F$6&gt;0,WEEKDAY($D293+Config!$F$6)=Config!$E$24),1,0))</f>
        <v/>
      </c>
      <c r="F293" s="24"/>
      <c r="G293" s="23" t="str">
        <f aca="false">IF(OR(NOT(ISNUMBER($D293)),Config!$G$7&lt;&gt;"Sim"),"",$D293+Config!$F$7+IF(AND(Config!$F$7&gt;0,WEEKDAY($D293+Config!$F$7)=Config!$E$24),1,0))</f>
        <v/>
      </c>
      <c r="H293" s="24"/>
      <c r="I293" s="23" t="str">
        <f aca="false">IF(OR(NOT(ISNUMBER($D293)),Config!$G$8&lt;&gt;"Sim"),"",$D293+Config!$F$8+IF(AND(Config!$F$8&gt;0,WEEKDAY($D293+Config!$F$8)=Config!$E$24),1,0))</f>
        <v/>
      </c>
      <c r="J293" s="24"/>
      <c r="K293" s="23" t="str">
        <f aca="false">IF(OR(NOT(ISNUMBER($D293)),Config!$G$9&lt;&gt;"Sim"),"",$D293+Config!$F$9+IF(AND(Config!$F$9&gt;0,WEEKDAY($D293+Config!$F$9)=Config!$E$24),1,0))</f>
        <v/>
      </c>
      <c r="L293" s="24"/>
      <c r="M293" s="23" t="str">
        <f aca="false">IF(OR(NOT(ISNUMBER($D293)),Config!$G$10&lt;&gt;"Sim"),"",$D293+Config!$F$10+IF(AND(Config!$F$10&gt;0,WEEKDAY($D293+Config!$F$10)=Config!$E$24),1,0))</f>
        <v/>
      </c>
      <c r="N293" s="24"/>
      <c r="O293" s="23" t="str">
        <f aca="false">IF(OR(NOT(ISNUMBER($D293)),Config!$G$11&lt;&gt;"Sim"),"",$D293+Config!$F$11+IF(AND(Config!$F$11&gt;0,WEEKDAY($D293+Config!$F$11)=Config!$E$24),1,0))</f>
        <v/>
      </c>
      <c r="P293" s="24"/>
      <c r="Q293" s="25" t="str">
        <f aca="false">IF(COUNT(E293,G293,I293,K293,M293,O293)=0,"",((E293&lt;&gt;"")*(F293&lt;&gt;"")+(G293&lt;&gt;"")*(H293&lt;&gt;"")+(I293&lt;&gt;"")*(J293&lt;&gt;"")+(K293&lt;&gt;"")*(L293&lt;&gt;"")+(M293&lt;&gt;"")*(N293&lt;&gt;"")+(O293&lt;&gt;"")*(P293&lt;&gt;""))/COUNT(E293,G293,I293,K293,M293,O293))</f>
        <v/>
      </c>
      <c r="R293" s="26" t="str">
        <f aca="false">IF(T293="","",IF(T293=99999,"",T293))</f>
        <v/>
      </c>
      <c r="S293" s="27" t="str">
        <f aca="true">IF(T293="","",IF(T293=99999,"Concluído",IF(T293&lt;TODAY(),"Atrasado",IF(T293=TODAY(),"Hoje","Em dia"))))</f>
        <v/>
      </c>
      <c r="T293" s="28" t="str">
        <f aca="false">IF(COUNT(E293,G293,I293,K293,M293,O293)=0,"",MIN(IF(AND(E293&lt;&gt;"",F293=""),E293,99999),IF(AND(G293&lt;&gt;"",H293=""),G293,99999),IF(AND(I293&lt;&gt;"",J293=""),I293,99999),IF(AND(K293&lt;&gt;"",L293=""),K293,99999),IF(AND(M293&lt;&gt;"",N293=""),M293,99999),IF(AND(O293&lt;&gt;"",P293=""),O293,99999)))</f>
        <v/>
      </c>
    </row>
    <row r="294" customFormat="false" ht="15" hidden="false" customHeight="false" outlineLevel="0" collapsed="false">
      <c r="A294" s="20" t="n">
        <v>289</v>
      </c>
      <c r="B294" s="21"/>
      <c r="C294" s="21"/>
      <c r="D294" s="22"/>
      <c r="E294" s="23" t="str">
        <f aca="false">IF(OR(NOT(ISNUMBER($D294)),Config!$G$6&lt;&gt;"Sim"),"",$D294+Config!$F$6+IF(AND(Config!$F$6&gt;0,WEEKDAY($D294+Config!$F$6)=Config!$E$24),1,0))</f>
        <v/>
      </c>
      <c r="F294" s="24"/>
      <c r="G294" s="23" t="str">
        <f aca="false">IF(OR(NOT(ISNUMBER($D294)),Config!$G$7&lt;&gt;"Sim"),"",$D294+Config!$F$7+IF(AND(Config!$F$7&gt;0,WEEKDAY($D294+Config!$F$7)=Config!$E$24),1,0))</f>
        <v/>
      </c>
      <c r="H294" s="24"/>
      <c r="I294" s="23" t="str">
        <f aca="false">IF(OR(NOT(ISNUMBER($D294)),Config!$G$8&lt;&gt;"Sim"),"",$D294+Config!$F$8+IF(AND(Config!$F$8&gt;0,WEEKDAY($D294+Config!$F$8)=Config!$E$24),1,0))</f>
        <v/>
      </c>
      <c r="J294" s="24"/>
      <c r="K294" s="23" t="str">
        <f aca="false">IF(OR(NOT(ISNUMBER($D294)),Config!$G$9&lt;&gt;"Sim"),"",$D294+Config!$F$9+IF(AND(Config!$F$9&gt;0,WEEKDAY($D294+Config!$F$9)=Config!$E$24),1,0))</f>
        <v/>
      </c>
      <c r="L294" s="24"/>
      <c r="M294" s="23" t="str">
        <f aca="false">IF(OR(NOT(ISNUMBER($D294)),Config!$G$10&lt;&gt;"Sim"),"",$D294+Config!$F$10+IF(AND(Config!$F$10&gt;0,WEEKDAY($D294+Config!$F$10)=Config!$E$24),1,0))</f>
        <v/>
      </c>
      <c r="N294" s="24"/>
      <c r="O294" s="23" t="str">
        <f aca="false">IF(OR(NOT(ISNUMBER($D294)),Config!$G$11&lt;&gt;"Sim"),"",$D294+Config!$F$11+IF(AND(Config!$F$11&gt;0,WEEKDAY($D294+Config!$F$11)=Config!$E$24),1,0))</f>
        <v/>
      </c>
      <c r="P294" s="24"/>
      <c r="Q294" s="25" t="str">
        <f aca="false">IF(COUNT(E294,G294,I294,K294,M294,O294)=0,"",((E294&lt;&gt;"")*(F294&lt;&gt;"")+(G294&lt;&gt;"")*(H294&lt;&gt;"")+(I294&lt;&gt;"")*(J294&lt;&gt;"")+(K294&lt;&gt;"")*(L294&lt;&gt;"")+(M294&lt;&gt;"")*(N294&lt;&gt;"")+(O294&lt;&gt;"")*(P294&lt;&gt;""))/COUNT(E294,G294,I294,K294,M294,O294))</f>
        <v/>
      </c>
      <c r="R294" s="26" t="str">
        <f aca="false">IF(T294="","",IF(T294=99999,"",T294))</f>
        <v/>
      </c>
      <c r="S294" s="27" t="str">
        <f aca="true">IF(T294="","",IF(T294=99999,"Concluído",IF(T294&lt;TODAY(),"Atrasado",IF(T294=TODAY(),"Hoje","Em dia"))))</f>
        <v/>
      </c>
      <c r="T294" s="28" t="str">
        <f aca="false">IF(COUNT(E294,G294,I294,K294,M294,O294)=0,"",MIN(IF(AND(E294&lt;&gt;"",F294=""),E294,99999),IF(AND(G294&lt;&gt;"",H294=""),G294,99999),IF(AND(I294&lt;&gt;"",J294=""),I294,99999),IF(AND(K294&lt;&gt;"",L294=""),K294,99999),IF(AND(M294&lt;&gt;"",N294=""),M294,99999),IF(AND(O294&lt;&gt;"",P294=""),O294,99999)))</f>
        <v/>
      </c>
    </row>
    <row r="295" customFormat="false" ht="15" hidden="false" customHeight="false" outlineLevel="0" collapsed="false">
      <c r="A295" s="20" t="n">
        <v>290</v>
      </c>
      <c r="B295" s="21"/>
      <c r="C295" s="21"/>
      <c r="D295" s="22"/>
      <c r="E295" s="23" t="str">
        <f aca="false">IF(OR(NOT(ISNUMBER($D295)),Config!$G$6&lt;&gt;"Sim"),"",$D295+Config!$F$6+IF(AND(Config!$F$6&gt;0,WEEKDAY($D295+Config!$F$6)=Config!$E$24),1,0))</f>
        <v/>
      </c>
      <c r="F295" s="24"/>
      <c r="G295" s="23" t="str">
        <f aca="false">IF(OR(NOT(ISNUMBER($D295)),Config!$G$7&lt;&gt;"Sim"),"",$D295+Config!$F$7+IF(AND(Config!$F$7&gt;0,WEEKDAY($D295+Config!$F$7)=Config!$E$24),1,0))</f>
        <v/>
      </c>
      <c r="H295" s="24"/>
      <c r="I295" s="23" t="str">
        <f aca="false">IF(OR(NOT(ISNUMBER($D295)),Config!$G$8&lt;&gt;"Sim"),"",$D295+Config!$F$8+IF(AND(Config!$F$8&gt;0,WEEKDAY($D295+Config!$F$8)=Config!$E$24),1,0))</f>
        <v/>
      </c>
      <c r="J295" s="24"/>
      <c r="K295" s="23" t="str">
        <f aca="false">IF(OR(NOT(ISNUMBER($D295)),Config!$G$9&lt;&gt;"Sim"),"",$D295+Config!$F$9+IF(AND(Config!$F$9&gt;0,WEEKDAY($D295+Config!$F$9)=Config!$E$24),1,0))</f>
        <v/>
      </c>
      <c r="L295" s="24"/>
      <c r="M295" s="23" t="str">
        <f aca="false">IF(OR(NOT(ISNUMBER($D295)),Config!$G$10&lt;&gt;"Sim"),"",$D295+Config!$F$10+IF(AND(Config!$F$10&gt;0,WEEKDAY($D295+Config!$F$10)=Config!$E$24),1,0))</f>
        <v/>
      </c>
      <c r="N295" s="24"/>
      <c r="O295" s="23" t="str">
        <f aca="false">IF(OR(NOT(ISNUMBER($D295)),Config!$G$11&lt;&gt;"Sim"),"",$D295+Config!$F$11+IF(AND(Config!$F$11&gt;0,WEEKDAY($D295+Config!$F$11)=Config!$E$24),1,0))</f>
        <v/>
      </c>
      <c r="P295" s="24"/>
      <c r="Q295" s="25" t="str">
        <f aca="false">IF(COUNT(E295,G295,I295,K295,M295,O295)=0,"",((E295&lt;&gt;"")*(F295&lt;&gt;"")+(G295&lt;&gt;"")*(H295&lt;&gt;"")+(I295&lt;&gt;"")*(J295&lt;&gt;"")+(K295&lt;&gt;"")*(L295&lt;&gt;"")+(M295&lt;&gt;"")*(N295&lt;&gt;"")+(O295&lt;&gt;"")*(P295&lt;&gt;""))/COUNT(E295,G295,I295,K295,M295,O295))</f>
        <v/>
      </c>
      <c r="R295" s="26" t="str">
        <f aca="false">IF(T295="","",IF(T295=99999,"",T295))</f>
        <v/>
      </c>
      <c r="S295" s="27" t="str">
        <f aca="true">IF(T295="","",IF(T295=99999,"Concluído",IF(T295&lt;TODAY(),"Atrasado",IF(T295=TODAY(),"Hoje","Em dia"))))</f>
        <v/>
      </c>
      <c r="T295" s="28" t="str">
        <f aca="false">IF(COUNT(E295,G295,I295,K295,M295,O295)=0,"",MIN(IF(AND(E295&lt;&gt;"",F295=""),E295,99999),IF(AND(G295&lt;&gt;"",H295=""),G295,99999),IF(AND(I295&lt;&gt;"",J295=""),I295,99999),IF(AND(K295&lt;&gt;"",L295=""),K295,99999),IF(AND(M295&lt;&gt;"",N295=""),M295,99999),IF(AND(O295&lt;&gt;"",P295=""),O295,99999)))</f>
        <v/>
      </c>
    </row>
    <row r="296" customFormat="false" ht="15" hidden="false" customHeight="false" outlineLevel="0" collapsed="false">
      <c r="A296" s="20" t="n">
        <v>291</v>
      </c>
      <c r="B296" s="21"/>
      <c r="C296" s="21"/>
      <c r="D296" s="22"/>
      <c r="E296" s="23" t="str">
        <f aca="false">IF(OR(NOT(ISNUMBER($D296)),Config!$G$6&lt;&gt;"Sim"),"",$D296+Config!$F$6+IF(AND(Config!$F$6&gt;0,WEEKDAY($D296+Config!$F$6)=Config!$E$24),1,0))</f>
        <v/>
      </c>
      <c r="F296" s="24"/>
      <c r="G296" s="23" t="str">
        <f aca="false">IF(OR(NOT(ISNUMBER($D296)),Config!$G$7&lt;&gt;"Sim"),"",$D296+Config!$F$7+IF(AND(Config!$F$7&gt;0,WEEKDAY($D296+Config!$F$7)=Config!$E$24),1,0))</f>
        <v/>
      </c>
      <c r="H296" s="24"/>
      <c r="I296" s="23" t="str">
        <f aca="false">IF(OR(NOT(ISNUMBER($D296)),Config!$G$8&lt;&gt;"Sim"),"",$D296+Config!$F$8+IF(AND(Config!$F$8&gt;0,WEEKDAY($D296+Config!$F$8)=Config!$E$24),1,0))</f>
        <v/>
      </c>
      <c r="J296" s="24"/>
      <c r="K296" s="23" t="str">
        <f aca="false">IF(OR(NOT(ISNUMBER($D296)),Config!$G$9&lt;&gt;"Sim"),"",$D296+Config!$F$9+IF(AND(Config!$F$9&gt;0,WEEKDAY($D296+Config!$F$9)=Config!$E$24),1,0))</f>
        <v/>
      </c>
      <c r="L296" s="24"/>
      <c r="M296" s="23" t="str">
        <f aca="false">IF(OR(NOT(ISNUMBER($D296)),Config!$G$10&lt;&gt;"Sim"),"",$D296+Config!$F$10+IF(AND(Config!$F$10&gt;0,WEEKDAY($D296+Config!$F$10)=Config!$E$24),1,0))</f>
        <v/>
      </c>
      <c r="N296" s="24"/>
      <c r="O296" s="23" t="str">
        <f aca="false">IF(OR(NOT(ISNUMBER($D296)),Config!$G$11&lt;&gt;"Sim"),"",$D296+Config!$F$11+IF(AND(Config!$F$11&gt;0,WEEKDAY($D296+Config!$F$11)=Config!$E$24),1,0))</f>
        <v/>
      </c>
      <c r="P296" s="24"/>
      <c r="Q296" s="25" t="str">
        <f aca="false">IF(COUNT(E296,G296,I296,K296,M296,O296)=0,"",((E296&lt;&gt;"")*(F296&lt;&gt;"")+(G296&lt;&gt;"")*(H296&lt;&gt;"")+(I296&lt;&gt;"")*(J296&lt;&gt;"")+(K296&lt;&gt;"")*(L296&lt;&gt;"")+(M296&lt;&gt;"")*(N296&lt;&gt;"")+(O296&lt;&gt;"")*(P296&lt;&gt;""))/COUNT(E296,G296,I296,K296,M296,O296))</f>
        <v/>
      </c>
      <c r="R296" s="26" t="str">
        <f aca="false">IF(T296="","",IF(T296=99999,"",T296))</f>
        <v/>
      </c>
      <c r="S296" s="27" t="str">
        <f aca="true">IF(T296="","",IF(T296=99999,"Concluído",IF(T296&lt;TODAY(),"Atrasado",IF(T296=TODAY(),"Hoje","Em dia"))))</f>
        <v/>
      </c>
      <c r="T296" s="28" t="str">
        <f aca="false">IF(COUNT(E296,G296,I296,K296,M296,O296)=0,"",MIN(IF(AND(E296&lt;&gt;"",F296=""),E296,99999),IF(AND(G296&lt;&gt;"",H296=""),G296,99999),IF(AND(I296&lt;&gt;"",J296=""),I296,99999),IF(AND(K296&lt;&gt;"",L296=""),K296,99999),IF(AND(M296&lt;&gt;"",N296=""),M296,99999),IF(AND(O296&lt;&gt;"",P296=""),O296,99999)))</f>
        <v/>
      </c>
    </row>
    <row r="297" customFormat="false" ht="15" hidden="false" customHeight="false" outlineLevel="0" collapsed="false">
      <c r="A297" s="20" t="n">
        <v>292</v>
      </c>
      <c r="B297" s="21"/>
      <c r="C297" s="21"/>
      <c r="D297" s="22"/>
      <c r="E297" s="23" t="str">
        <f aca="false">IF(OR(NOT(ISNUMBER($D297)),Config!$G$6&lt;&gt;"Sim"),"",$D297+Config!$F$6+IF(AND(Config!$F$6&gt;0,WEEKDAY($D297+Config!$F$6)=Config!$E$24),1,0))</f>
        <v/>
      </c>
      <c r="F297" s="24"/>
      <c r="G297" s="23" t="str">
        <f aca="false">IF(OR(NOT(ISNUMBER($D297)),Config!$G$7&lt;&gt;"Sim"),"",$D297+Config!$F$7+IF(AND(Config!$F$7&gt;0,WEEKDAY($D297+Config!$F$7)=Config!$E$24),1,0))</f>
        <v/>
      </c>
      <c r="H297" s="24"/>
      <c r="I297" s="23" t="str">
        <f aca="false">IF(OR(NOT(ISNUMBER($D297)),Config!$G$8&lt;&gt;"Sim"),"",$D297+Config!$F$8+IF(AND(Config!$F$8&gt;0,WEEKDAY($D297+Config!$F$8)=Config!$E$24),1,0))</f>
        <v/>
      </c>
      <c r="J297" s="24"/>
      <c r="K297" s="23" t="str">
        <f aca="false">IF(OR(NOT(ISNUMBER($D297)),Config!$G$9&lt;&gt;"Sim"),"",$D297+Config!$F$9+IF(AND(Config!$F$9&gt;0,WEEKDAY($D297+Config!$F$9)=Config!$E$24),1,0))</f>
        <v/>
      </c>
      <c r="L297" s="24"/>
      <c r="M297" s="23" t="str">
        <f aca="false">IF(OR(NOT(ISNUMBER($D297)),Config!$G$10&lt;&gt;"Sim"),"",$D297+Config!$F$10+IF(AND(Config!$F$10&gt;0,WEEKDAY($D297+Config!$F$10)=Config!$E$24),1,0))</f>
        <v/>
      </c>
      <c r="N297" s="24"/>
      <c r="O297" s="23" t="str">
        <f aca="false">IF(OR(NOT(ISNUMBER($D297)),Config!$G$11&lt;&gt;"Sim"),"",$D297+Config!$F$11+IF(AND(Config!$F$11&gt;0,WEEKDAY($D297+Config!$F$11)=Config!$E$24),1,0))</f>
        <v/>
      </c>
      <c r="P297" s="24"/>
      <c r="Q297" s="25" t="str">
        <f aca="false">IF(COUNT(E297,G297,I297,K297,M297,O297)=0,"",((E297&lt;&gt;"")*(F297&lt;&gt;"")+(G297&lt;&gt;"")*(H297&lt;&gt;"")+(I297&lt;&gt;"")*(J297&lt;&gt;"")+(K297&lt;&gt;"")*(L297&lt;&gt;"")+(M297&lt;&gt;"")*(N297&lt;&gt;"")+(O297&lt;&gt;"")*(P297&lt;&gt;""))/COUNT(E297,G297,I297,K297,M297,O297))</f>
        <v/>
      </c>
      <c r="R297" s="26" t="str">
        <f aca="false">IF(T297="","",IF(T297=99999,"",T297))</f>
        <v/>
      </c>
      <c r="S297" s="27" t="str">
        <f aca="true">IF(T297="","",IF(T297=99999,"Concluído",IF(T297&lt;TODAY(),"Atrasado",IF(T297=TODAY(),"Hoje","Em dia"))))</f>
        <v/>
      </c>
      <c r="T297" s="28" t="str">
        <f aca="false">IF(COUNT(E297,G297,I297,K297,M297,O297)=0,"",MIN(IF(AND(E297&lt;&gt;"",F297=""),E297,99999),IF(AND(G297&lt;&gt;"",H297=""),G297,99999),IF(AND(I297&lt;&gt;"",J297=""),I297,99999),IF(AND(K297&lt;&gt;"",L297=""),K297,99999),IF(AND(M297&lt;&gt;"",N297=""),M297,99999),IF(AND(O297&lt;&gt;"",P297=""),O297,99999)))</f>
        <v/>
      </c>
    </row>
    <row r="298" customFormat="false" ht="15" hidden="false" customHeight="false" outlineLevel="0" collapsed="false">
      <c r="A298" s="20" t="n">
        <v>293</v>
      </c>
      <c r="B298" s="21"/>
      <c r="C298" s="21"/>
      <c r="D298" s="22"/>
      <c r="E298" s="23" t="str">
        <f aca="false">IF(OR(NOT(ISNUMBER($D298)),Config!$G$6&lt;&gt;"Sim"),"",$D298+Config!$F$6+IF(AND(Config!$F$6&gt;0,WEEKDAY($D298+Config!$F$6)=Config!$E$24),1,0))</f>
        <v/>
      </c>
      <c r="F298" s="24"/>
      <c r="G298" s="23" t="str">
        <f aca="false">IF(OR(NOT(ISNUMBER($D298)),Config!$G$7&lt;&gt;"Sim"),"",$D298+Config!$F$7+IF(AND(Config!$F$7&gt;0,WEEKDAY($D298+Config!$F$7)=Config!$E$24),1,0))</f>
        <v/>
      </c>
      <c r="H298" s="24"/>
      <c r="I298" s="23" t="str">
        <f aca="false">IF(OR(NOT(ISNUMBER($D298)),Config!$G$8&lt;&gt;"Sim"),"",$D298+Config!$F$8+IF(AND(Config!$F$8&gt;0,WEEKDAY($D298+Config!$F$8)=Config!$E$24),1,0))</f>
        <v/>
      </c>
      <c r="J298" s="24"/>
      <c r="K298" s="23" t="str">
        <f aca="false">IF(OR(NOT(ISNUMBER($D298)),Config!$G$9&lt;&gt;"Sim"),"",$D298+Config!$F$9+IF(AND(Config!$F$9&gt;0,WEEKDAY($D298+Config!$F$9)=Config!$E$24),1,0))</f>
        <v/>
      </c>
      <c r="L298" s="24"/>
      <c r="M298" s="23" t="str">
        <f aca="false">IF(OR(NOT(ISNUMBER($D298)),Config!$G$10&lt;&gt;"Sim"),"",$D298+Config!$F$10+IF(AND(Config!$F$10&gt;0,WEEKDAY($D298+Config!$F$10)=Config!$E$24),1,0))</f>
        <v/>
      </c>
      <c r="N298" s="24"/>
      <c r="O298" s="23" t="str">
        <f aca="false">IF(OR(NOT(ISNUMBER($D298)),Config!$G$11&lt;&gt;"Sim"),"",$D298+Config!$F$11+IF(AND(Config!$F$11&gt;0,WEEKDAY($D298+Config!$F$11)=Config!$E$24),1,0))</f>
        <v/>
      </c>
      <c r="P298" s="24"/>
      <c r="Q298" s="25" t="str">
        <f aca="false">IF(COUNT(E298,G298,I298,K298,M298,O298)=0,"",((E298&lt;&gt;"")*(F298&lt;&gt;"")+(G298&lt;&gt;"")*(H298&lt;&gt;"")+(I298&lt;&gt;"")*(J298&lt;&gt;"")+(K298&lt;&gt;"")*(L298&lt;&gt;"")+(M298&lt;&gt;"")*(N298&lt;&gt;"")+(O298&lt;&gt;"")*(P298&lt;&gt;""))/COUNT(E298,G298,I298,K298,M298,O298))</f>
        <v/>
      </c>
      <c r="R298" s="26" t="str">
        <f aca="false">IF(T298="","",IF(T298=99999,"",T298))</f>
        <v/>
      </c>
      <c r="S298" s="27" t="str">
        <f aca="true">IF(T298="","",IF(T298=99999,"Concluído",IF(T298&lt;TODAY(),"Atrasado",IF(T298=TODAY(),"Hoje","Em dia"))))</f>
        <v/>
      </c>
      <c r="T298" s="28" t="str">
        <f aca="false">IF(COUNT(E298,G298,I298,K298,M298,O298)=0,"",MIN(IF(AND(E298&lt;&gt;"",F298=""),E298,99999),IF(AND(G298&lt;&gt;"",H298=""),G298,99999),IF(AND(I298&lt;&gt;"",J298=""),I298,99999),IF(AND(K298&lt;&gt;"",L298=""),K298,99999),IF(AND(M298&lt;&gt;"",N298=""),M298,99999),IF(AND(O298&lt;&gt;"",P298=""),O298,99999)))</f>
        <v/>
      </c>
    </row>
    <row r="299" customFormat="false" ht="15" hidden="false" customHeight="false" outlineLevel="0" collapsed="false">
      <c r="A299" s="20" t="n">
        <v>294</v>
      </c>
      <c r="B299" s="21"/>
      <c r="C299" s="21"/>
      <c r="D299" s="22"/>
      <c r="E299" s="23" t="str">
        <f aca="false">IF(OR(NOT(ISNUMBER($D299)),Config!$G$6&lt;&gt;"Sim"),"",$D299+Config!$F$6+IF(AND(Config!$F$6&gt;0,WEEKDAY($D299+Config!$F$6)=Config!$E$24),1,0))</f>
        <v/>
      </c>
      <c r="F299" s="24"/>
      <c r="G299" s="23" t="str">
        <f aca="false">IF(OR(NOT(ISNUMBER($D299)),Config!$G$7&lt;&gt;"Sim"),"",$D299+Config!$F$7+IF(AND(Config!$F$7&gt;0,WEEKDAY($D299+Config!$F$7)=Config!$E$24),1,0))</f>
        <v/>
      </c>
      <c r="H299" s="24"/>
      <c r="I299" s="23" t="str">
        <f aca="false">IF(OR(NOT(ISNUMBER($D299)),Config!$G$8&lt;&gt;"Sim"),"",$D299+Config!$F$8+IF(AND(Config!$F$8&gt;0,WEEKDAY($D299+Config!$F$8)=Config!$E$24),1,0))</f>
        <v/>
      </c>
      <c r="J299" s="24"/>
      <c r="K299" s="23" t="str">
        <f aca="false">IF(OR(NOT(ISNUMBER($D299)),Config!$G$9&lt;&gt;"Sim"),"",$D299+Config!$F$9+IF(AND(Config!$F$9&gt;0,WEEKDAY($D299+Config!$F$9)=Config!$E$24),1,0))</f>
        <v/>
      </c>
      <c r="L299" s="24"/>
      <c r="M299" s="23" t="str">
        <f aca="false">IF(OR(NOT(ISNUMBER($D299)),Config!$G$10&lt;&gt;"Sim"),"",$D299+Config!$F$10+IF(AND(Config!$F$10&gt;0,WEEKDAY($D299+Config!$F$10)=Config!$E$24),1,0))</f>
        <v/>
      </c>
      <c r="N299" s="24"/>
      <c r="O299" s="23" t="str">
        <f aca="false">IF(OR(NOT(ISNUMBER($D299)),Config!$G$11&lt;&gt;"Sim"),"",$D299+Config!$F$11+IF(AND(Config!$F$11&gt;0,WEEKDAY($D299+Config!$F$11)=Config!$E$24),1,0))</f>
        <v/>
      </c>
      <c r="P299" s="24"/>
      <c r="Q299" s="25" t="str">
        <f aca="false">IF(COUNT(E299,G299,I299,K299,M299,O299)=0,"",((E299&lt;&gt;"")*(F299&lt;&gt;"")+(G299&lt;&gt;"")*(H299&lt;&gt;"")+(I299&lt;&gt;"")*(J299&lt;&gt;"")+(K299&lt;&gt;"")*(L299&lt;&gt;"")+(M299&lt;&gt;"")*(N299&lt;&gt;"")+(O299&lt;&gt;"")*(P299&lt;&gt;""))/COUNT(E299,G299,I299,K299,M299,O299))</f>
        <v/>
      </c>
      <c r="R299" s="26" t="str">
        <f aca="false">IF(T299="","",IF(T299=99999,"",T299))</f>
        <v/>
      </c>
      <c r="S299" s="27" t="str">
        <f aca="true">IF(T299="","",IF(T299=99999,"Concluído",IF(T299&lt;TODAY(),"Atrasado",IF(T299=TODAY(),"Hoje","Em dia"))))</f>
        <v/>
      </c>
      <c r="T299" s="28" t="str">
        <f aca="false">IF(COUNT(E299,G299,I299,K299,M299,O299)=0,"",MIN(IF(AND(E299&lt;&gt;"",F299=""),E299,99999),IF(AND(G299&lt;&gt;"",H299=""),G299,99999),IF(AND(I299&lt;&gt;"",J299=""),I299,99999),IF(AND(K299&lt;&gt;"",L299=""),K299,99999),IF(AND(M299&lt;&gt;"",N299=""),M299,99999),IF(AND(O299&lt;&gt;"",P299=""),O299,99999)))</f>
        <v/>
      </c>
    </row>
    <row r="300" customFormat="false" ht="15" hidden="false" customHeight="false" outlineLevel="0" collapsed="false">
      <c r="A300" s="20" t="n">
        <v>295</v>
      </c>
      <c r="B300" s="21"/>
      <c r="C300" s="21"/>
      <c r="D300" s="22"/>
      <c r="E300" s="23" t="str">
        <f aca="false">IF(OR(NOT(ISNUMBER($D300)),Config!$G$6&lt;&gt;"Sim"),"",$D300+Config!$F$6+IF(AND(Config!$F$6&gt;0,WEEKDAY($D300+Config!$F$6)=Config!$E$24),1,0))</f>
        <v/>
      </c>
      <c r="F300" s="24"/>
      <c r="G300" s="23" t="str">
        <f aca="false">IF(OR(NOT(ISNUMBER($D300)),Config!$G$7&lt;&gt;"Sim"),"",$D300+Config!$F$7+IF(AND(Config!$F$7&gt;0,WEEKDAY($D300+Config!$F$7)=Config!$E$24),1,0))</f>
        <v/>
      </c>
      <c r="H300" s="24"/>
      <c r="I300" s="23" t="str">
        <f aca="false">IF(OR(NOT(ISNUMBER($D300)),Config!$G$8&lt;&gt;"Sim"),"",$D300+Config!$F$8+IF(AND(Config!$F$8&gt;0,WEEKDAY($D300+Config!$F$8)=Config!$E$24),1,0))</f>
        <v/>
      </c>
      <c r="J300" s="24"/>
      <c r="K300" s="23" t="str">
        <f aca="false">IF(OR(NOT(ISNUMBER($D300)),Config!$G$9&lt;&gt;"Sim"),"",$D300+Config!$F$9+IF(AND(Config!$F$9&gt;0,WEEKDAY($D300+Config!$F$9)=Config!$E$24),1,0))</f>
        <v/>
      </c>
      <c r="L300" s="24"/>
      <c r="M300" s="23" t="str">
        <f aca="false">IF(OR(NOT(ISNUMBER($D300)),Config!$G$10&lt;&gt;"Sim"),"",$D300+Config!$F$10+IF(AND(Config!$F$10&gt;0,WEEKDAY($D300+Config!$F$10)=Config!$E$24),1,0))</f>
        <v/>
      </c>
      <c r="N300" s="24"/>
      <c r="O300" s="23" t="str">
        <f aca="false">IF(OR(NOT(ISNUMBER($D300)),Config!$G$11&lt;&gt;"Sim"),"",$D300+Config!$F$11+IF(AND(Config!$F$11&gt;0,WEEKDAY($D300+Config!$F$11)=Config!$E$24),1,0))</f>
        <v/>
      </c>
      <c r="P300" s="24"/>
      <c r="Q300" s="25" t="str">
        <f aca="false">IF(COUNT(E300,G300,I300,K300,M300,O300)=0,"",((E300&lt;&gt;"")*(F300&lt;&gt;"")+(G300&lt;&gt;"")*(H300&lt;&gt;"")+(I300&lt;&gt;"")*(J300&lt;&gt;"")+(K300&lt;&gt;"")*(L300&lt;&gt;"")+(M300&lt;&gt;"")*(N300&lt;&gt;"")+(O300&lt;&gt;"")*(P300&lt;&gt;""))/COUNT(E300,G300,I300,K300,M300,O300))</f>
        <v/>
      </c>
      <c r="R300" s="26" t="str">
        <f aca="false">IF(T300="","",IF(T300=99999,"",T300))</f>
        <v/>
      </c>
      <c r="S300" s="27" t="str">
        <f aca="true">IF(T300="","",IF(T300=99999,"Concluído",IF(T300&lt;TODAY(),"Atrasado",IF(T300=TODAY(),"Hoje","Em dia"))))</f>
        <v/>
      </c>
      <c r="T300" s="28" t="str">
        <f aca="false">IF(COUNT(E300,G300,I300,K300,M300,O300)=0,"",MIN(IF(AND(E300&lt;&gt;"",F300=""),E300,99999),IF(AND(G300&lt;&gt;"",H300=""),G300,99999),IF(AND(I300&lt;&gt;"",J300=""),I300,99999),IF(AND(K300&lt;&gt;"",L300=""),K300,99999),IF(AND(M300&lt;&gt;"",N300=""),M300,99999),IF(AND(O300&lt;&gt;"",P300=""),O300,99999)))</f>
        <v/>
      </c>
    </row>
    <row r="301" customFormat="false" ht="15" hidden="false" customHeight="false" outlineLevel="0" collapsed="false">
      <c r="A301" s="20" t="n">
        <v>296</v>
      </c>
      <c r="B301" s="21"/>
      <c r="C301" s="21"/>
      <c r="D301" s="22"/>
      <c r="E301" s="23" t="str">
        <f aca="false">IF(OR(NOT(ISNUMBER($D301)),Config!$G$6&lt;&gt;"Sim"),"",$D301+Config!$F$6+IF(AND(Config!$F$6&gt;0,WEEKDAY($D301+Config!$F$6)=Config!$E$24),1,0))</f>
        <v/>
      </c>
      <c r="F301" s="24"/>
      <c r="G301" s="23" t="str">
        <f aca="false">IF(OR(NOT(ISNUMBER($D301)),Config!$G$7&lt;&gt;"Sim"),"",$D301+Config!$F$7+IF(AND(Config!$F$7&gt;0,WEEKDAY($D301+Config!$F$7)=Config!$E$24),1,0))</f>
        <v/>
      </c>
      <c r="H301" s="24"/>
      <c r="I301" s="23" t="str">
        <f aca="false">IF(OR(NOT(ISNUMBER($D301)),Config!$G$8&lt;&gt;"Sim"),"",$D301+Config!$F$8+IF(AND(Config!$F$8&gt;0,WEEKDAY($D301+Config!$F$8)=Config!$E$24),1,0))</f>
        <v/>
      </c>
      <c r="J301" s="24"/>
      <c r="K301" s="23" t="str">
        <f aca="false">IF(OR(NOT(ISNUMBER($D301)),Config!$G$9&lt;&gt;"Sim"),"",$D301+Config!$F$9+IF(AND(Config!$F$9&gt;0,WEEKDAY($D301+Config!$F$9)=Config!$E$24),1,0))</f>
        <v/>
      </c>
      <c r="L301" s="24"/>
      <c r="M301" s="23" t="str">
        <f aca="false">IF(OR(NOT(ISNUMBER($D301)),Config!$G$10&lt;&gt;"Sim"),"",$D301+Config!$F$10+IF(AND(Config!$F$10&gt;0,WEEKDAY($D301+Config!$F$10)=Config!$E$24),1,0))</f>
        <v/>
      </c>
      <c r="N301" s="24"/>
      <c r="O301" s="23" t="str">
        <f aca="false">IF(OR(NOT(ISNUMBER($D301)),Config!$G$11&lt;&gt;"Sim"),"",$D301+Config!$F$11+IF(AND(Config!$F$11&gt;0,WEEKDAY($D301+Config!$F$11)=Config!$E$24),1,0))</f>
        <v/>
      </c>
      <c r="P301" s="24"/>
      <c r="Q301" s="25" t="str">
        <f aca="false">IF(COUNT(E301,G301,I301,K301,M301,O301)=0,"",((E301&lt;&gt;"")*(F301&lt;&gt;"")+(G301&lt;&gt;"")*(H301&lt;&gt;"")+(I301&lt;&gt;"")*(J301&lt;&gt;"")+(K301&lt;&gt;"")*(L301&lt;&gt;"")+(M301&lt;&gt;"")*(N301&lt;&gt;"")+(O301&lt;&gt;"")*(P301&lt;&gt;""))/COUNT(E301,G301,I301,K301,M301,O301))</f>
        <v/>
      </c>
      <c r="R301" s="26" t="str">
        <f aca="false">IF(T301="","",IF(T301=99999,"",T301))</f>
        <v/>
      </c>
      <c r="S301" s="27" t="str">
        <f aca="true">IF(T301="","",IF(T301=99999,"Concluído",IF(T301&lt;TODAY(),"Atrasado",IF(T301=TODAY(),"Hoje","Em dia"))))</f>
        <v/>
      </c>
      <c r="T301" s="28" t="str">
        <f aca="false">IF(COUNT(E301,G301,I301,K301,M301,O301)=0,"",MIN(IF(AND(E301&lt;&gt;"",F301=""),E301,99999),IF(AND(G301&lt;&gt;"",H301=""),G301,99999),IF(AND(I301&lt;&gt;"",J301=""),I301,99999),IF(AND(K301&lt;&gt;"",L301=""),K301,99999),IF(AND(M301&lt;&gt;"",N301=""),M301,99999),IF(AND(O301&lt;&gt;"",P301=""),O301,99999)))</f>
        <v/>
      </c>
    </row>
    <row r="302" customFormat="false" ht="15" hidden="false" customHeight="false" outlineLevel="0" collapsed="false">
      <c r="A302" s="20" t="n">
        <v>297</v>
      </c>
      <c r="B302" s="21"/>
      <c r="C302" s="21"/>
      <c r="D302" s="22"/>
      <c r="E302" s="23" t="str">
        <f aca="false">IF(OR(NOT(ISNUMBER($D302)),Config!$G$6&lt;&gt;"Sim"),"",$D302+Config!$F$6+IF(AND(Config!$F$6&gt;0,WEEKDAY($D302+Config!$F$6)=Config!$E$24),1,0))</f>
        <v/>
      </c>
      <c r="F302" s="24"/>
      <c r="G302" s="23" t="str">
        <f aca="false">IF(OR(NOT(ISNUMBER($D302)),Config!$G$7&lt;&gt;"Sim"),"",$D302+Config!$F$7+IF(AND(Config!$F$7&gt;0,WEEKDAY($D302+Config!$F$7)=Config!$E$24),1,0))</f>
        <v/>
      </c>
      <c r="H302" s="24"/>
      <c r="I302" s="23" t="str">
        <f aca="false">IF(OR(NOT(ISNUMBER($D302)),Config!$G$8&lt;&gt;"Sim"),"",$D302+Config!$F$8+IF(AND(Config!$F$8&gt;0,WEEKDAY($D302+Config!$F$8)=Config!$E$24),1,0))</f>
        <v/>
      </c>
      <c r="J302" s="24"/>
      <c r="K302" s="23" t="str">
        <f aca="false">IF(OR(NOT(ISNUMBER($D302)),Config!$G$9&lt;&gt;"Sim"),"",$D302+Config!$F$9+IF(AND(Config!$F$9&gt;0,WEEKDAY($D302+Config!$F$9)=Config!$E$24),1,0))</f>
        <v/>
      </c>
      <c r="L302" s="24"/>
      <c r="M302" s="23" t="str">
        <f aca="false">IF(OR(NOT(ISNUMBER($D302)),Config!$G$10&lt;&gt;"Sim"),"",$D302+Config!$F$10+IF(AND(Config!$F$10&gt;0,WEEKDAY($D302+Config!$F$10)=Config!$E$24),1,0))</f>
        <v/>
      </c>
      <c r="N302" s="24"/>
      <c r="O302" s="23" t="str">
        <f aca="false">IF(OR(NOT(ISNUMBER($D302)),Config!$G$11&lt;&gt;"Sim"),"",$D302+Config!$F$11+IF(AND(Config!$F$11&gt;0,WEEKDAY($D302+Config!$F$11)=Config!$E$24),1,0))</f>
        <v/>
      </c>
      <c r="P302" s="24"/>
      <c r="Q302" s="25" t="str">
        <f aca="false">IF(COUNT(E302,G302,I302,K302,M302,O302)=0,"",((E302&lt;&gt;"")*(F302&lt;&gt;"")+(G302&lt;&gt;"")*(H302&lt;&gt;"")+(I302&lt;&gt;"")*(J302&lt;&gt;"")+(K302&lt;&gt;"")*(L302&lt;&gt;"")+(M302&lt;&gt;"")*(N302&lt;&gt;"")+(O302&lt;&gt;"")*(P302&lt;&gt;""))/COUNT(E302,G302,I302,K302,M302,O302))</f>
        <v/>
      </c>
      <c r="R302" s="26" t="str">
        <f aca="false">IF(T302="","",IF(T302=99999,"",T302))</f>
        <v/>
      </c>
      <c r="S302" s="27" t="str">
        <f aca="true">IF(T302="","",IF(T302=99999,"Concluído",IF(T302&lt;TODAY(),"Atrasado",IF(T302=TODAY(),"Hoje","Em dia"))))</f>
        <v/>
      </c>
      <c r="T302" s="28" t="str">
        <f aca="false">IF(COUNT(E302,G302,I302,K302,M302,O302)=0,"",MIN(IF(AND(E302&lt;&gt;"",F302=""),E302,99999),IF(AND(G302&lt;&gt;"",H302=""),G302,99999),IF(AND(I302&lt;&gt;"",J302=""),I302,99999),IF(AND(K302&lt;&gt;"",L302=""),K302,99999),IF(AND(M302&lt;&gt;"",N302=""),M302,99999),IF(AND(O302&lt;&gt;"",P302=""),O302,99999)))</f>
        <v/>
      </c>
    </row>
    <row r="303" customFormat="false" ht="15" hidden="false" customHeight="false" outlineLevel="0" collapsed="false">
      <c r="A303" s="20" t="n">
        <v>298</v>
      </c>
      <c r="B303" s="21"/>
      <c r="C303" s="21"/>
      <c r="D303" s="22"/>
      <c r="E303" s="23" t="str">
        <f aca="false">IF(OR(NOT(ISNUMBER($D303)),Config!$G$6&lt;&gt;"Sim"),"",$D303+Config!$F$6+IF(AND(Config!$F$6&gt;0,WEEKDAY($D303+Config!$F$6)=Config!$E$24),1,0))</f>
        <v/>
      </c>
      <c r="F303" s="24"/>
      <c r="G303" s="23" t="str">
        <f aca="false">IF(OR(NOT(ISNUMBER($D303)),Config!$G$7&lt;&gt;"Sim"),"",$D303+Config!$F$7+IF(AND(Config!$F$7&gt;0,WEEKDAY($D303+Config!$F$7)=Config!$E$24),1,0))</f>
        <v/>
      </c>
      <c r="H303" s="24"/>
      <c r="I303" s="23" t="str">
        <f aca="false">IF(OR(NOT(ISNUMBER($D303)),Config!$G$8&lt;&gt;"Sim"),"",$D303+Config!$F$8+IF(AND(Config!$F$8&gt;0,WEEKDAY($D303+Config!$F$8)=Config!$E$24),1,0))</f>
        <v/>
      </c>
      <c r="J303" s="24"/>
      <c r="K303" s="23" t="str">
        <f aca="false">IF(OR(NOT(ISNUMBER($D303)),Config!$G$9&lt;&gt;"Sim"),"",$D303+Config!$F$9+IF(AND(Config!$F$9&gt;0,WEEKDAY($D303+Config!$F$9)=Config!$E$24),1,0))</f>
        <v/>
      </c>
      <c r="L303" s="24"/>
      <c r="M303" s="23" t="str">
        <f aca="false">IF(OR(NOT(ISNUMBER($D303)),Config!$G$10&lt;&gt;"Sim"),"",$D303+Config!$F$10+IF(AND(Config!$F$10&gt;0,WEEKDAY($D303+Config!$F$10)=Config!$E$24),1,0))</f>
        <v/>
      </c>
      <c r="N303" s="24"/>
      <c r="O303" s="23" t="str">
        <f aca="false">IF(OR(NOT(ISNUMBER($D303)),Config!$G$11&lt;&gt;"Sim"),"",$D303+Config!$F$11+IF(AND(Config!$F$11&gt;0,WEEKDAY($D303+Config!$F$11)=Config!$E$24),1,0))</f>
        <v/>
      </c>
      <c r="P303" s="24"/>
      <c r="Q303" s="25" t="str">
        <f aca="false">IF(COUNT(E303,G303,I303,K303,M303,O303)=0,"",((E303&lt;&gt;"")*(F303&lt;&gt;"")+(G303&lt;&gt;"")*(H303&lt;&gt;"")+(I303&lt;&gt;"")*(J303&lt;&gt;"")+(K303&lt;&gt;"")*(L303&lt;&gt;"")+(M303&lt;&gt;"")*(N303&lt;&gt;"")+(O303&lt;&gt;"")*(P303&lt;&gt;""))/COUNT(E303,G303,I303,K303,M303,O303))</f>
        <v/>
      </c>
      <c r="R303" s="26" t="str">
        <f aca="false">IF(T303="","",IF(T303=99999,"",T303))</f>
        <v/>
      </c>
      <c r="S303" s="27" t="str">
        <f aca="true">IF(T303="","",IF(T303=99999,"Concluído",IF(T303&lt;TODAY(),"Atrasado",IF(T303=TODAY(),"Hoje","Em dia"))))</f>
        <v/>
      </c>
      <c r="T303" s="28" t="str">
        <f aca="false">IF(COUNT(E303,G303,I303,K303,M303,O303)=0,"",MIN(IF(AND(E303&lt;&gt;"",F303=""),E303,99999),IF(AND(G303&lt;&gt;"",H303=""),G303,99999),IF(AND(I303&lt;&gt;"",J303=""),I303,99999),IF(AND(K303&lt;&gt;"",L303=""),K303,99999),IF(AND(M303&lt;&gt;"",N303=""),M303,99999),IF(AND(O303&lt;&gt;"",P303=""),O303,99999)))</f>
        <v/>
      </c>
    </row>
    <row r="304" customFormat="false" ht="15" hidden="false" customHeight="false" outlineLevel="0" collapsed="false">
      <c r="A304" s="20" t="n">
        <v>299</v>
      </c>
      <c r="B304" s="21"/>
      <c r="C304" s="21"/>
      <c r="D304" s="22"/>
      <c r="E304" s="23" t="str">
        <f aca="false">IF(OR(NOT(ISNUMBER($D304)),Config!$G$6&lt;&gt;"Sim"),"",$D304+Config!$F$6+IF(AND(Config!$F$6&gt;0,WEEKDAY($D304+Config!$F$6)=Config!$E$24),1,0))</f>
        <v/>
      </c>
      <c r="F304" s="24"/>
      <c r="G304" s="23" t="str">
        <f aca="false">IF(OR(NOT(ISNUMBER($D304)),Config!$G$7&lt;&gt;"Sim"),"",$D304+Config!$F$7+IF(AND(Config!$F$7&gt;0,WEEKDAY($D304+Config!$F$7)=Config!$E$24),1,0))</f>
        <v/>
      </c>
      <c r="H304" s="24"/>
      <c r="I304" s="23" t="str">
        <f aca="false">IF(OR(NOT(ISNUMBER($D304)),Config!$G$8&lt;&gt;"Sim"),"",$D304+Config!$F$8+IF(AND(Config!$F$8&gt;0,WEEKDAY($D304+Config!$F$8)=Config!$E$24),1,0))</f>
        <v/>
      </c>
      <c r="J304" s="24"/>
      <c r="K304" s="23" t="str">
        <f aca="false">IF(OR(NOT(ISNUMBER($D304)),Config!$G$9&lt;&gt;"Sim"),"",$D304+Config!$F$9+IF(AND(Config!$F$9&gt;0,WEEKDAY($D304+Config!$F$9)=Config!$E$24),1,0))</f>
        <v/>
      </c>
      <c r="L304" s="24"/>
      <c r="M304" s="23" t="str">
        <f aca="false">IF(OR(NOT(ISNUMBER($D304)),Config!$G$10&lt;&gt;"Sim"),"",$D304+Config!$F$10+IF(AND(Config!$F$10&gt;0,WEEKDAY($D304+Config!$F$10)=Config!$E$24),1,0))</f>
        <v/>
      </c>
      <c r="N304" s="24"/>
      <c r="O304" s="23" t="str">
        <f aca="false">IF(OR(NOT(ISNUMBER($D304)),Config!$G$11&lt;&gt;"Sim"),"",$D304+Config!$F$11+IF(AND(Config!$F$11&gt;0,WEEKDAY($D304+Config!$F$11)=Config!$E$24),1,0))</f>
        <v/>
      </c>
      <c r="P304" s="24"/>
      <c r="Q304" s="25" t="str">
        <f aca="false">IF(COUNT(E304,G304,I304,K304,M304,O304)=0,"",((E304&lt;&gt;"")*(F304&lt;&gt;"")+(G304&lt;&gt;"")*(H304&lt;&gt;"")+(I304&lt;&gt;"")*(J304&lt;&gt;"")+(K304&lt;&gt;"")*(L304&lt;&gt;"")+(M304&lt;&gt;"")*(N304&lt;&gt;"")+(O304&lt;&gt;"")*(P304&lt;&gt;""))/COUNT(E304,G304,I304,K304,M304,O304))</f>
        <v/>
      </c>
      <c r="R304" s="26" t="str">
        <f aca="false">IF(T304="","",IF(T304=99999,"",T304))</f>
        <v/>
      </c>
      <c r="S304" s="27" t="str">
        <f aca="true">IF(T304="","",IF(T304=99999,"Concluído",IF(T304&lt;TODAY(),"Atrasado",IF(T304=TODAY(),"Hoje","Em dia"))))</f>
        <v/>
      </c>
      <c r="T304" s="28" t="str">
        <f aca="false">IF(COUNT(E304,G304,I304,K304,M304,O304)=0,"",MIN(IF(AND(E304&lt;&gt;"",F304=""),E304,99999),IF(AND(G304&lt;&gt;"",H304=""),G304,99999),IF(AND(I304&lt;&gt;"",J304=""),I304,99999),IF(AND(K304&lt;&gt;"",L304=""),K304,99999),IF(AND(M304&lt;&gt;"",N304=""),M304,99999),IF(AND(O304&lt;&gt;"",P304=""),O304,99999)))</f>
        <v/>
      </c>
    </row>
    <row r="305" customFormat="false" ht="15" hidden="false" customHeight="false" outlineLevel="0" collapsed="false">
      <c r="A305" s="20" t="n">
        <v>300</v>
      </c>
      <c r="B305" s="21"/>
      <c r="C305" s="21"/>
      <c r="D305" s="22"/>
      <c r="E305" s="23" t="str">
        <f aca="false">IF(OR(NOT(ISNUMBER($D305)),Config!$G$6&lt;&gt;"Sim"),"",$D305+Config!$F$6+IF(AND(Config!$F$6&gt;0,WEEKDAY($D305+Config!$F$6)=Config!$E$24),1,0))</f>
        <v/>
      </c>
      <c r="F305" s="24"/>
      <c r="G305" s="23" t="str">
        <f aca="false">IF(OR(NOT(ISNUMBER($D305)),Config!$G$7&lt;&gt;"Sim"),"",$D305+Config!$F$7+IF(AND(Config!$F$7&gt;0,WEEKDAY($D305+Config!$F$7)=Config!$E$24),1,0))</f>
        <v/>
      </c>
      <c r="H305" s="24"/>
      <c r="I305" s="23" t="str">
        <f aca="false">IF(OR(NOT(ISNUMBER($D305)),Config!$G$8&lt;&gt;"Sim"),"",$D305+Config!$F$8+IF(AND(Config!$F$8&gt;0,WEEKDAY($D305+Config!$F$8)=Config!$E$24),1,0))</f>
        <v/>
      </c>
      <c r="J305" s="24"/>
      <c r="K305" s="23" t="str">
        <f aca="false">IF(OR(NOT(ISNUMBER($D305)),Config!$G$9&lt;&gt;"Sim"),"",$D305+Config!$F$9+IF(AND(Config!$F$9&gt;0,WEEKDAY($D305+Config!$F$9)=Config!$E$24),1,0))</f>
        <v/>
      </c>
      <c r="L305" s="24"/>
      <c r="M305" s="23" t="str">
        <f aca="false">IF(OR(NOT(ISNUMBER($D305)),Config!$G$10&lt;&gt;"Sim"),"",$D305+Config!$F$10+IF(AND(Config!$F$10&gt;0,WEEKDAY($D305+Config!$F$10)=Config!$E$24),1,0))</f>
        <v/>
      </c>
      <c r="N305" s="24"/>
      <c r="O305" s="23" t="str">
        <f aca="false">IF(OR(NOT(ISNUMBER($D305)),Config!$G$11&lt;&gt;"Sim"),"",$D305+Config!$F$11+IF(AND(Config!$F$11&gt;0,WEEKDAY($D305+Config!$F$11)=Config!$E$24),1,0))</f>
        <v/>
      </c>
      <c r="P305" s="24"/>
      <c r="Q305" s="25" t="str">
        <f aca="false">IF(COUNT(E305,G305,I305,K305,M305,O305)=0,"",((E305&lt;&gt;"")*(F305&lt;&gt;"")+(G305&lt;&gt;"")*(H305&lt;&gt;"")+(I305&lt;&gt;"")*(J305&lt;&gt;"")+(K305&lt;&gt;"")*(L305&lt;&gt;"")+(M305&lt;&gt;"")*(N305&lt;&gt;"")+(O305&lt;&gt;"")*(P305&lt;&gt;""))/COUNT(E305,G305,I305,K305,M305,O305))</f>
        <v/>
      </c>
      <c r="R305" s="26" t="str">
        <f aca="false">IF(T305="","",IF(T305=99999,"",T305))</f>
        <v/>
      </c>
      <c r="S305" s="27" t="str">
        <f aca="true">IF(T305="","",IF(T305=99999,"Concluído",IF(T305&lt;TODAY(),"Atrasado",IF(T305=TODAY(),"Hoje","Em dia"))))</f>
        <v/>
      </c>
      <c r="T305" s="28" t="str">
        <f aca="false">IF(COUNT(E305,G305,I305,K305,M305,O305)=0,"",MIN(IF(AND(E305&lt;&gt;"",F305=""),E305,99999),IF(AND(G305&lt;&gt;"",H305=""),G305,99999),IF(AND(I305&lt;&gt;"",J305=""),I305,99999),IF(AND(K305&lt;&gt;"",L305=""),K305,99999),IF(AND(M305&lt;&gt;"",N305=""),M305,99999),IF(AND(O305&lt;&gt;"",P305=""),O305,99999)))</f>
        <v/>
      </c>
    </row>
  </sheetData>
  <autoFilter ref="A5:S305"/>
  <mergeCells count="6">
    <mergeCell ref="E4:F4"/>
    <mergeCell ref="G4:H4"/>
    <mergeCell ref="I4:J4"/>
    <mergeCell ref="K4:L4"/>
    <mergeCell ref="M4:N4"/>
    <mergeCell ref="O4:P4"/>
  </mergeCells>
  <conditionalFormatting sqref="E6:E305">
    <cfRule type="expression" priority="2" aboveAverage="0" equalAverage="0" bottom="0" percent="0" rank="0" text="" dxfId="11">
      <formula>AND(ISNUMBER(E6),F6&lt;&gt;"")</formula>
    </cfRule>
    <cfRule type="expression" priority="3" aboveAverage="0" equalAverage="0" bottom="0" percent="0" rank="0" text="" dxfId="12">
      <formula>AND(ISNUMBER(E6),F6="",E6&lt;TODAY())</formula>
    </cfRule>
    <cfRule type="expression" priority="4" aboveAverage="0" equalAverage="0" bottom="0" percent="0" rank="0" text="" dxfId="13">
      <formula>AND(ISNUMBER(E6),F6="",E6=TODAY())</formula>
    </cfRule>
  </conditionalFormatting>
  <conditionalFormatting sqref="G6:G305">
    <cfRule type="expression" priority="5" aboveAverage="0" equalAverage="0" bottom="0" percent="0" rank="0" text="" dxfId="11">
      <formula>AND(ISNUMBER(G6),H6&lt;&gt;"")</formula>
    </cfRule>
    <cfRule type="expression" priority="6" aboveAverage="0" equalAverage="0" bottom="0" percent="0" rank="0" text="" dxfId="12">
      <formula>AND(ISNUMBER(G6),H6="",G6&lt;TODAY())</formula>
    </cfRule>
    <cfRule type="expression" priority="7" aboveAverage="0" equalAverage="0" bottom="0" percent="0" rank="0" text="" dxfId="13">
      <formula>AND(ISNUMBER(G6),H6="",G6=TODAY())</formula>
    </cfRule>
  </conditionalFormatting>
  <conditionalFormatting sqref="I6:I305">
    <cfRule type="expression" priority="8" aboveAverage="0" equalAverage="0" bottom="0" percent="0" rank="0" text="" dxfId="11">
      <formula>AND(ISNUMBER(I6),J6&lt;&gt;"")</formula>
    </cfRule>
    <cfRule type="expression" priority="9" aboveAverage="0" equalAverage="0" bottom="0" percent="0" rank="0" text="" dxfId="12">
      <formula>AND(ISNUMBER(I6),J6="",I6&lt;TODAY())</formula>
    </cfRule>
    <cfRule type="expression" priority="10" aboveAverage="0" equalAverage="0" bottom="0" percent="0" rank="0" text="" dxfId="13">
      <formula>AND(ISNUMBER(I6),J6="",I6=TODAY())</formula>
    </cfRule>
  </conditionalFormatting>
  <conditionalFormatting sqref="K6:K305">
    <cfRule type="expression" priority="11" aboveAverage="0" equalAverage="0" bottom="0" percent="0" rank="0" text="" dxfId="11">
      <formula>AND(ISNUMBER(K6),L6&lt;&gt;"")</formula>
    </cfRule>
    <cfRule type="expression" priority="12" aboveAverage="0" equalAverage="0" bottom="0" percent="0" rank="0" text="" dxfId="12">
      <formula>AND(ISNUMBER(K6),L6="",K6&lt;TODAY())</formula>
    </cfRule>
    <cfRule type="expression" priority="13" aboveAverage="0" equalAverage="0" bottom="0" percent="0" rank="0" text="" dxfId="13">
      <formula>AND(ISNUMBER(K6),L6="",K6=TODAY())</formula>
    </cfRule>
  </conditionalFormatting>
  <conditionalFormatting sqref="M6:M305">
    <cfRule type="expression" priority="14" aboveAverage="0" equalAverage="0" bottom="0" percent="0" rank="0" text="" dxfId="11">
      <formula>AND(ISNUMBER(M6),N6&lt;&gt;"")</formula>
    </cfRule>
    <cfRule type="expression" priority="15" aboveAverage="0" equalAverage="0" bottom="0" percent="0" rank="0" text="" dxfId="12">
      <formula>AND(ISNUMBER(M6),N6="",M6&lt;TODAY())</formula>
    </cfRule>
    <cfRule type="expression" priority="16" aboveAverage="0" equalAverage="0" bottom="0" percent="0" rank="0" text="" dxfId="13">
      <formula>AND(ISNUMBER(M6),N6="",M6=TODAY())</formula>
    </cfRule>
  </conditionalFormatting>
  <conditionalFormatting sqref="O6:O305">
    <cfRule type="expression" priority="17" aboveAverage="0" equalAverage="0" bottom="0" percent="0" rank="0" text="" dxfId="11">
      <formula>AND(ISNUMBER(O6),P6&lt;&gt;"")</formula>
    </cfRule>
    <cfRule type="expression" priority="18" aboveAverage="0" equalAverage="0" bottom="0" percent="0" rank="0" text="" dxfId="12">
      <formula>AND(ISNUMBER(O6),P6="",O6&lt;TODAY())</formula>
    </cfRule>
    <cfRule type="expression" priority="19" aboveAverage="0" equalAverage="0" bottom="0" percent="0" rank="0" text="" dxfId="13">
      <formula>AND(ISNUMBER(O6),P6="",O6=TODAY())</formula>
    </cfRule>
  </conditionalFormatting>
  <conditionalFormatting sqref="S6:S305">
    <cfRule type="expression" priority="20" aboveAverage="0" equalAverage="0" bottom="0" percent="0" rank="0" text="" dxfId="14">
      <formula>S6="Atrasado"</formula>
    </cfRule>
    <cfRule type="expression" priority="21" aboveAverage="0" equalAverage="0" bottom="0" percent="0" rank="0" text="" dxfId="15">
      <formula>S6="Hoje"</formula>
    </cfRule>
    <cfRule type="expression" priority="22" aboveAverage="0" equalAverage="0" bottom="0" percent="0" rank="0" text="" dxfId="11">
      <formula>S6="Concluído"</formula>
    </cfRule>
  </conditionalFormatting>
  <conditionalFormatting sqref="Q6:Q305">
    <cfRule type="dataBar" priority="23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{1E36DC2C-B694-4EDC-A3A6-71FAEDEFCB5C}</x14:id>
        </ext>
      </extLst>
    </cfRule>
  </conditionalFormatting>
  <dataValidations count="3">
    <dataValidation allowBlank="true" error="Área fora da lista (aba Config). Deseja manter mesmo assim?" errorStyle="warning" operator="between" showDropDown="false" showErrorMessage="true" showInputMessage="false" sqref="C6:C305" type="list">
      <formula1>Config!$K$6:$K$13</formula1>
      <formula2>0</formula2>
    </dataValidation>
    <dataValidation allowBlank="true" error="Digite uma data válida (ex.: 27/09/2026)." errorStyle="stop" operator="between" showDropDown="false" showErrorMessage="true" showInputMessage="false" sqref="D6:D305" type="date">
      <formula1>36526</formula1>
      <formula2>73051</formula2>
    </dataValidation>
    <dataValidation allowBlank="true" error="Use ✓ ou x para marcar como feito." errorStyle="warning" operator="between" showDropDown="false" showErrorMessage="true" showInputMessage="false" sqref="F6:F305 H6:H305 J6:J305 L6:L305 N6:N305 P6:P305" type="list">
      <formula1>"✓,x"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36DC2C-B694-4EDC-A3A6-71FAEDEFCB5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Q6:Q305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1CAF"/>
    <pageSetUpPr fitToPage="tru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5" t="s">
        <v>113</v>
      </c>
    </row>
    <row r="2" customFormat="false" ht="15" hidden="false" customHeight="false" outlineLevel="0" collapsed="false">
      <c r="A2" s="16" t="s">
        <v>114</v>
      </c>
    </row>
    <row r="3" customFormat="false" ht="15" hidden="false" customHeight="false" outlineLevel="0" collapsed="false">
      <c r="A3" s="16" t="s">
        <v>115</v>
      </c>
    </row>
    <row r="5" customFormat="false" ht="21.75" hidden="false" customHeight="true" outlineLevel="0" collapsed="false">
      <c r="A5" s="18" t="s">
        <v>72</v>
      </c>
      <c r="B5" s="18" t="s">
        <v>76</v>
      </c>
      <c r="C5" s="18" t="s">
        <v>116</v>
      </c>
      <c r="D5" s="18" t="s">
        <v>117</v>
      </c>
      <c r="E5" s="18" t="s">
        <v>118</v>
      </c>
      <c r="F5" s="18" t="s">
        <v>77</v>
      </c>
      <c r="G5" s="18" t="s">
        <v>119</v>
      </c>
    </row>
    <row r="6" customFormat="false" ht="15" hidden="false" customHeight="false" outlineLevel="0" collapsed="false">
      <c r="A6" s="20" t="n">
        <v>1</v>
      </c>
      <c r="B6" s="22" t="n">
        <v>46301</v>
      </c>
      <c r="C6" s="21" t="s">
        <v>120</v>
      </c>
      <c r="D6" s="21" t="s">
        <v>121</v>
      </c>
      <c r="E6" s="21"/>
      <c r="F6" s="24" t="s">
        <v>84</v>
      </c>
      <c r="G6" s="21" t="s">
        <v>122</v>
      </c>
    </row>
    <row r="7" customFormat="false" ht="15" hidden="false" customHeight="false" outlineLevel="0" collapsed="false">
      <c r="A7" s="20" t="n">
        <v>2</v>
      </c>
      <c r="B7" s="22"/>
      <c r="C7" s="21"/>
      <c r="D7" s="21"/>
      <c r="E7" s="21"/>
      <c r="F7" s="24"/>
      <c r="G7" s="21"/>
    </row>
    <row r="8" customFormat="false" ht="15" hidden="false" customHeight="false" outlineLevel="0" collapsed="false">
      <c r="A8" s="20" t="n">
        <v>3</v>
      </c>
      <c r="B8" s="22"/>
      <c r="C8" s="21"/>
      <c r="D8" s="21"/>
      <c r="E8" s="21"/>
      <c r="F8" s="24"/>
      <c r="G8" s="21"/>
    </row>
    <row r="9" customFormat="false" ht="15" hidden="false" customHeight="false" outlineLevel="0" collapsed="false">
      <c r="A9" s="20" t="n">
        <v>4</v>
      </c>
      <c r="B9" s="22"/>
      <c r="C9" s="21"/>
      <c r="D9" s="21"/>
      <c r="E9" s="21"/>
      <c r="F9" s="24"/>
      <c r="G9" s="21"/>
    </row>
    <row r="10" customFormat="false" ht="15" hidden="false" customHeight="false" outlineLevel="0" collapsed="false">
      <c r="A10" s="20" t="n">
        <v>5</v>
      </c>
      <c r="B10" s="22"/>
      <c r="C10" s="21"/>
      <c r="D10" s="21"/>
      <c r="E10" s="21"/>
      <c r="F10" s="24"/>
      <c r="G10" s="21"/>
    </row>
    <row r="11" customFormat="false" ht="15" hidden="false" customHeight="false" outlineLevel="0" collapsed="false">
      <c r="A11" s="20" t="n">
        <v>6</v>
      </c>
      <c r="B11" s="22"/>
      <c r="C11" s="21"/>
      <c r="D11" s="21"/>
      <c r="E11" s="21"/>
      <c r="F11" s="24"/>
      <c r="G11" s="21"/>
    </row>
    <row r="12" customFormat="false" ht="15" hidden="false" customHeight="false" outlineLevel="0" collapsed="false">
      <c r="A12" s="20" t="n">
        <v>7</v>
      </c>
      <c r="B12" s="22"/>
      <c r="C12" s="21"/>
      <c r="D12" s="21"/>
      <c r="E12" s="21"/>
      <c r="F12" s="24"/>
      <c r="G12" s="21"/>
    </row>
    <row r="13" customFormat="false" ht="15" hidden="false" customHeight="false" outlineLevel="0" collapsed="false">
      <c r="A13" s="20" t="n">
        <v>8</v>
      </c>
      <c r="B13" s="22"/>
      <c r="C13" s="21"/>
      <c r="D13" s="21"/>
      <c r="E13" s="21"/>
      <c r="F13" s="24"/>
      <c r="G13" s="21"/>
    </row>
    <row r="14" customFormat="false" ht="15" hidden="false" customHeight="false" outlineLevel="0" collapsed="false">
      <c r="A14" s="20" t="n">
        <v>9</v>
      </c>
      <c r="B14" s="22"/>
      <c r="C14" s="21"/>
      <c r="D14" s="21"/>
      <c r="E14" s="21"/>
      <c r="F14" s="24"/>
      <c r="G14" s="21"/>
    </row>
    <row r="15" customFormat="false" ht="15" hidden="false" customHeight="false" outlineLevel="0" collapsed="false">
      <c r="A15" s="20" t="n">
        <v>10</v>
      </c>
      <c r="B15" s="22"/>
      <c r="C15" s="21"/>
      <c r="D15" s="21"/>
      <c r="E15" s="21"/>
      <c r="F15" s="24"/>
      <c r="G15" s="21"/>
    </row>
    <row r="16" customFormat="false" ht="15" hidden="false" customHeight="false" outlineLevel="0" collapsed="false">
      <c r="A16" s="20" t="n">
        <v>11</v>
      </c>
      <c r="B16" s="22"/>
      <c r="C16" s="21"/>
      <c r="D16" s="21"/>
      <c r="E16" s="21"/>
      <c r="F16" s="24"/>
      <c r="G16" s="21"/>
    </row>
    <row r="17" customFormat="false" ht="15" hidden="false" customHeight="false" outlineLevel="0" collapsed="false">
      <c r="A17" s="20" t="n">
        <v>12</v>
      </c>
      <c r="B17" s="22"/>
      <c r="C17" s="21"/>
      <c r="D17" s="21"/>
      <c r="E17" s="21"/>
      <c r="F17" s="24"/>
      <c r="G17" s="21"/>
    </row>
    <row r="18" customFormat="false" ht="15" hidden="false" customHeight="false" outlineLevel="0" collapsed="false">
      <c r="A18" s="20" t="n">
        <v>13</v>
      </c>
      <c r="B18" s="22"/>
      <c r="C18" s="21"/>
      <c r="D18" s="21"/>
      <c r="E18" s="21"/>
      <c r="F18" s="24"/>
      <c r="G18" s="21"/>
    </row>
    <row r="19" customFormat="false" ht="15" hidden="false" customHeight="false" outlineLevel="0" collapsed="false">
      <c r="A19" s="20" t="n">
        <v>14</v>
      </c>
      <c r="B19" s="22"/>
      <c r="C19" s="21"/>
      <c r="D19" s="21"/>
      <c r="E19" s="21"/>
      <c r="F19" s="24"/>
      <c r="G19" s="21"/>
    </row>
    <row r="20" customFormat="false" ht="15" hidden="false" customHeight="false" outlineLevel="0" collapsed="false">
      <c r="A20" s="20" t="n">
        <v>15</v>
      </c>
      <c r="B20" s="22"/>
      <c r="C20" s="21"/>
      <c r="D20" s="21"/>
      <c r="E20" s="21"/>
      <c r="F20" s="24"/>
      <c r="G20" s="21"/>
    </row>
    <row r="21" customFormat="false" ht="15" hidden="false" customHeight="false" outlineLevel="0" collapsed="false">
      <c r="A21" s="20" t="n">
        <v>16</v>
      </c>
      <c r="B21" s="22"/>
      <c r="C21" s="21"/>
      <c r="D21" s="21"/>
      <c r="E21" s="21"/>
      <c r="F21" s="24"/>
      <c r="G21" s="21"/>
    </row>
    <row r="22" customFormat="false" ht="15" hidden="false" customHeight="false" outlineLevel="0" collapsed="false">
      <c r="A22" s="20" t="n">
        <v>17</v>
      </c>
      <c r="B22" s="22"/>
      <c r="C22" s="21"/>
      <c r="D22" s="21"/>
      <c r="E22" s="21"/>
      <c r="F22" s="24"/>
      <c r="G22" s="21"/>
    </row>
    <row r="23" customFormat="false" ht="15" hidden="false" customHeight="false" outlineLevel="0" collapsed="false">
      <c r="A23" s="20" t="n">
        <v>18</v>
      </c>
      <c r="B23" s="22"/>
      <c r="C23" s="21"/>
      <c r="D23" s="21"/>
      <c r="E23" s="21"/>
      <c r="F23" s="24"/>
      <c r="G23" s="21"/>
    </row>
    <row r="24" customFormat="false" ht="15" hidden="false" customHeight="false" outlineLevel="0" collapsed="false">
      <c r="A24" s="20" t="n">
        <v>19</v>
      </c>
      <c r="B24" s="22"/>
      <c r="C24" s="21"/>
      <c r="D24" s="21"/>
      <c r="E24" s="21"/>
      <c r="F24" s="24"/>
      <c r="G24" s="21"/>
    </row>
    <row r="25" customFormat="false" ht="15" hidden="false" customHeight="false" outlineLevel="0" collapsed="false">
      <c r="A25" s="20" t="n">
        <v>20</v>
      </c>
      <c r="B25" s="22"/>
      <c r="C25" s="21"/>
      <c r="D25" s="21"/>
      <c r="E25" s="21"/>
      <c r="F25" s="24"/>
      <c r="G25" s="21"/>
    </row>
    <row r="26" customFormat="false" ht="15" hidden="false" customHeight="false" outlineLevel="0" collapsed="false">
      <c r="A26" s="20" t="n">
        <v>21</v>
      </c>
      <c r="B26" s="22"/>
      <c r="C26" s="21"/>
      <c r="D26" s="21"/>
      <c r="E26" s="21"/>
      <c r="F26" s="24"/>
      <c r="G26" s="21"/>
    </row>
    <row r="27" customFormat="false" ht="15" hidden="false" customHeight="false" outlineLevel="0" collapsed="false">
      <c r="A27" s="20" t="n">
        <v>22</v>
      </c>
      <c r="B27" s="22"/>
      <c r="C27" s="21"/>
      <c r="D27" s="21"/>
      <c r="E27" s="21"/>
      <c r="F27" s="24"/>
      <c r="G27" s="21"/>
    </row>
    <row r="28" customFormat="false" ht="15" hidden="false" customHeight="false" outlineLevel="0" collapsed="false">
      <c r="A28" s="20" t="n">
        <v>23</v>
      </c>
      <c r="B28" s="22"/>
      <c r="C28" s="21"/>
      <c r="D28" s="21"/>
      <c r="E28" s="21"/>
      <c r="F28" s="24"/>
      <c r="G28" s="21"/>
    </row>
    <row r="29" customFormat="false" ht="15" hidden="false" customHeight="false" outlineLevel="0" collapsed="false">
      <c r="A29" s="20" t="n">
        <v>24</v>
      </c>
      <c r="B29" s="22"/>
      <c r="C29" s="21"/>
      <c r="D29" s="21"/>
      <c r="E29" s="21"/>
      <c r="F29" s="24"/>
      <c r="G29" s="21"/>
    </row>
    <row r="30" customFormat="false" ht="15" hidden="false" customHeight="false" outlineLevel="0" collapsed="false">
      <c r="A30" s="20" t="n">
        <v>25</v>
      </c>
      <c r="B30" s="22"/>
      <c r="C30" s="21"/>
      <c r="D30" s="21"/>
      <c r="E30" s="21"/>
      <c r="F30" s="24"/>
      <c r="G30" s="21"/>
    </row>
    <row r="31" customFormat="false" ht="15" hidden="false" customHeight="false" outlineLevel="0" collapsed="false">
      <c r="A31" s="20" t="n">
        <v>26</v>
      </c>
      <c r="B31" s="22"/>
      <c r="C31" s="21"/>
      <c r="D31" s="21"/>
      <c r="E31" s="21"/>
      <c r="F31" s="24"/>
      <c r="G31" s="21"/>
    </row>
    <row r="32" customFormat="false" ht="15" hidden="false" customHeight="false" outlineLevel="0" collapsed="false">
      <c r="A32" s="20" t="n">
        <v>27</v>
      </c>
      <c r="B32" s="22"/>
      <c r="C32" s="21"/>
      <c r="D32" s="21"/>
      <c r="E32" s="21"/>
      <c r="F32" s="24"/>
      <c r="G32" s="21"/>
    </row>
    <row r="33" customFormat="false" ht="15" hidden="false" customHeight="false" outlineLevel="0" collapsed="false">
      <c r="A33" s="20" t="n">
        <v>28</v>
      </c>
      <c r="B33" s="22"/>
      <c r="C33" s="21"/>
      <c r="D33" s="21"/>
      <c r="E33" s="21"/>
      <c r="F33" s="24"/>
      <c r="G33" s="21"/>
    </row>
    <row r="34" customFormat="false" ht="15" hidden="false" customHeight="false" outlineLevel="0" collapsed="false">
      <c r="A34" s="20" t="n">
        <v>29</v>
      </c>
      <c r="B34" s="22"/>
      <c r="C34" s="21"/>
      <c r="D34" s="21"/>
      <c r="E34" s="21"/>
      <c r="F34" s="24"/>
      <c r="G34" s="21"/>
    </row>
    <row r="35" customFormat="false" ht="15" hidden="false" customHeight="false" outlineLevel="0" collapsed="false">
      <c r="A35" s="20" t="n">
        <v>30</v>
      </c>
      <c r="B35" s="22"/>
      <c r="C35" s="21"/>
      <c r="D35" s="21"/>
      <c r="E35" s="21"/>
      <c r="F35" s="24"/>
      <c r="G35" s="21"/>
    </row>
    <row r="36" customFormat="false" ht="15" hidden="false" customHeight="false" outlineLevel="0" collapsed="false">
      <c r="A36" s="20" t="n">
        <v>31</v>
      </c>
      <c r="B36" s="22"/>
      <c r="C36" s="21"/>
      <c r="D36" s="21"/>
      <c r="E36" s="21"/>
      <c r="F36" s="24"/>
      <c r="G36" s="21"/>
    </row>
    <row r="37" customFormat="false" ht="15" hidden="false" customHeight="false" outlineLevel="0" collapsed="false">
      <c r="A37" s="20" t="n">
        <v>32</v>
      </c>
      <c r="B37" s="22"/>
      <c r="C37" s="21"/>
      <c r="D37" s="21"/>
      <c r="E37" s="21"/>
      <c r="F37" s="24"/>
      <c r="G37" s="21"/>
    </row>
    <row r="38" customFormat="false" ht="15" hidden="false" customHeight="false" outlineLevel="0" collapsed="false">
      <c r="A38" s="20" t="n">
        <v>33</v>
      </c>
      <c r="B38" s="22"/>
      <c r="C38" s="21"/>
      <c r="D38" s="21"/>
      <c r="E38" s="21"/>
      <c r="F38" s="24"/>
      <c r="G38" s="21"/>
    </row>
    <row r="39" customFormat="false" ht="15" hidden="false" customHeight="false" outlineLevel="0" collapsed="false">
      <c r="A39" s="20" t="n">
        <v>34</v>
      </c>
      <c r="B39" s="22"/>
      <c r="C39" s="21"/>
      <c r="D39" s="21"/>
      <c r="E39" s="21"/>
      <c r="F39" s="24"/>
      <c r="G39" s="21"/>
    </row>
    <row r="40" customFormat="false" ht="15" hidden="false" customHeight="false" outlineLevel="0" collapsed="false">
      <c r="A40" s="20" t="n">
        <v>35</v>
      </c>
      <c r="B40" s="22"/>
      <c r="C40" s="21"/>
      <c r="D40" s="21"/>
      <c r="E40" s="21"/>
      <c r="F40" s="24"/>
      <c r="G40" s="21"/>
    </row>
    <row r="41" customFormat="false" ht="15" hidden="false" customHeight="false" outlineLevel="0" collapsed="false">
      <c r="A41" s="20" t="n">
        <v>36</v>
      </c>
      <c r="B41" s="22"/>
      <c r="C41" s="21"/>
      <c r="D41" s="21"/>
      <c r="E41" s="21"/>
      <c r="F41" s="24"/>
      <c r="G41" s="21"/>
    </row>
    <row r="42" customFormat="false" ht="15" hidden="false" customHeight="false" outlineLevel="0" collapsed="false">
      <c r="A42" s="20" t="n">
        <v>37</v>
      </c>
      <c r="B42" s="22"/>
      <c r="C42" s="21"/>
      <c r="D42" s="21"/>
      <c r="E42" s="21"/>
      <c r="F42" s="24"/>
      <c r="G42" s="21"/>
    </row>
    <row r="43" customFormat="false" ht="15" hidden="false" customHeight="false" outlineLevel="0" collapsed="false">
      <c r="A43" s="20" t="n">
        <v>38</v>
      </c>
      <c r="B43" s="22"/>
      <c r="C43" s="21"/>
      <c r="D43" s="21"/>
      <c r="E43" s="21"/>
      <c r="F43" s="24"/>
      <c r="G43" s="21"/>
    </row>
    <row r="44" customFormat="false" ht="15" hidden="false" customHeight="false" outlineLevel="0" collapsed="false">
      <c r="A44" s="20" t="n">
        <v>39</v>
      </c>
      <c r="B44" s="22"/>
      <c r="C44" s="21"/>
      <c r="D44" s="21"/>
      <c r="E44" s="21"/>
      <c r="F44" s="24"/>
      <c r="G44" s="21"/>
    </row>
    <row r="45" customFormat="false" ht="15" hidden="false" customHeight="false" outlineLevel="0" collapsed="false">
      <c r="A45" s="20" t="n">
        <v>40</v>
      </c>
      <c r="B45" s="22"/>
      <c r="C45" s="21"/>
      <c r="D45" s="21"/>
      <c r="E45" s="21"/>
      <c r="F45" s="24"/>
      <c r="G45" s="21"/>
    </row>
    <row r="46" customFormat="false" ht="15" hidden="false" customHeight="false" outlineLevel="0" collapsed="false">
      <c r="A46" s="20" t="n">
        <v>41</v>
      </c>
      <c r="B46" s="22"/>
      <c r="C46" s="21"/>
      <c r="D46" s="21"/>
      <c r="E46" s="21"/>
      <c r="F46" s="24"/>
      <c r="G46" s="21"/>
    </row>
    <row r="47" customFormat="false" ht="15" hidden="false" customHeight="false" outlineLevel="0" collapsed="false">
      <c r="A47" s="20" t="n">
        <v>42</v>
      </c>
      <c r="B47" s="22"/>
      <c r="C47" s="21"/>
      <c r="D47" s="21"/>
      <c r="E47" s="21"/>
      <c r="F47" s="24"/>
      <c r="G47" s="21"/>
    </row>
    <row r="48" customFormat="false" ht="15" hidden="false" customHeight="false" outlineLevel="0" collapsed="false">
      <c r="A48" s="20" t="n">
        <v>43</v>
      </c>
      <c r="B48" s="22"/>
      <c r="C48" s="21"/>
      <c r="D48" s="21"/>
      <c r="E48" s="21"/>
      <c r="F48" s="24"/>
      <c r="G48" s="21"/>
    </row>
    <row r="49" customFormat="false" ht="15" hidden="false" customHeight="false" outlineLevel="0" collapsed="false">
      <c r="A49" s="20" t="n">
        <v>44</v>
      </c>
      <c r="B49" s="22"/>
      <c r="C49" s="21"/>
      <c r="D49" s="21"/>
      <c r="E49" s="21"/>
      <c r="F49" s="24"/>
      <c r="G49" s="21"/>
    </row>
    <row r="50" customFormat="false" ht="15" hidden="false" customHeight="false" outlineLevel="0" collapsed="false">
      <c r="A50" s="20" t="n">
        <v>45</v>
      </c>
      <c r="B50" s="22"/>
      <c r="C50" s="21"/>
      <c r="D50" s="21"/>
      <c r="E50" s="21"/>
      <c r="F50" s="24"/>
      <c r="G50" s="21"/>
    </row>
    <row r="51" customFormat="false" ht="15" hidden="false" customHeight="false" outlineLevel="0" collapsed="false">
      <c r="A51" s="20" t="n">
        <v>46</v>
      </c>
      <c r="B51" s="22"/>
      <c r="C51" s="21"/>
      <c r="D51" s="21"/>
      <c r="E51" s="21"/>
      <c r="F51" s="24"/>
      <c r="G51" s="21"/>
    </row>
    <row r="52" customFormat="false" ht="15" hidden="false" customHeight="false" outlineLevel="0" collapsed="false">
      <c r="A52" s="20" t="n">
        <v>47</v>
      </c>
      <c r="B52" s="22"/>
      <c r="C52" s="21"/>
      <c r="D52" s="21"/>
      <c r="E52" s="21"/>
      <c r="F52" s="24"/>
      <c r="G52" s="21"/>
    </row>
    <row r="53" customFormat="false" ht="15" hidden="false" customHeight="false" outlineLevel="0" collapsed="false">
      <c r="A53" s="20" t="n">
        <v>48</v>
      </c>
      <c r="B53" s="22"/>
      <c r="C53" s="21"/>
      <c r="D53" s="21"/>
      <c r="E53" s="21"/>
      <c r="F53" s="24"/>
      <c r="G53" s="21"/>
    </row>
    <row r="54" customFormat="false" ht="15" hidden="false" customHeight="false" outlineLevel="0" collapsed="false">
      <c r="A54" s="20" t="n">
        <v>49</v>
      </c>
      <c r="B54" s="22"/>
      <c r="C54" s="21"/>
      <c r="D54" s="21"/>
      <c r="E54" s="21"/>
      <c r="F54" s="24"/>
      <c r="G54" s="21"/>
    </row>
    <row r="55" customFormat="false" ht="15" hidden="false" customHeight="false" outlineLevel="0" collapsed="false">
      <c r="A55" s="20" t="n">
        <v>50</v>
      </c>
      <c r="B55" s="22"/>
      <c r="C55" s="21"/>
      <c r="D55" s="21"/>
      <c r="E55" s="21"/>
      <c r="F55" s="24"/>
      <c r="G55" s="21"/>
    </row>
    <row r="56" customFormat="false" ht="15" hidden="false" customHeight="false" outlineLevel="0" collapsed="false">
      <c r="A56" s="20" t="n">
        <v>51</v>
      </c>
      <c r="B56" s="22"/>
      <c r="C56" s="21"/>
      <c r="D56" s="21"/>
      <c r="E56" s="21"/>
      <c r="F56" s="24"/>
      <c r="G56" s="21"/>
    </row>
    <row r="57" customFormat="false" ht="15" hidden="false" customHeight="false" outlineLevel="0" collapsed="false">
      <c r="A57" s="20" t="n">
        <v>52</v>
      </c>
      <c r="B57" s="22"/>
      <c r="C57" s="21"/>
      <c r="D57" s="21"/>
      <c r="E57" s="21"/>
      <c r="F57" s="24"/>
      <c r="G57" s="21"/>
    </row>
    <row r="58" customFormat="false" ht="15" hidden="false" customHeight="false" outlineLevel="0" collapsed="false">
      <c r="A58" s="20" t="n">
        <v>53</v>
      </c>
      <c r="B58" s="22"/>
      <c r="C58" s="21"/>
      <c r="D58" s="21"/>
      <c r="E58" s="21"/>
      <c r="F58" s="24"/>
      <c r="G58" s="21"/>
    </row>
    <row r="59" customFormat="false" ht="15" hidden="false" customHeight="false" outlineLevel="0" collapsed="false">
      <c r="A59" s="20" t="n">
        <v>54</v>
      </c>
      <c r="B59" s="22"/>
      <c r="C59" s="21"/>
      <c r="D59" s="21"/>
      <c r="E59" s="21"/>
      <c r="F59" s="24"/>
      <c r="G59" s="21"/>
    </row>
    <row r="60" customFormat="false" ht="15" hidden="false" customHeight="false" outlineLevel="0" collapsed="false">
      <c r="A60" s="20" t="n">
        <v>55</v>
      </c>
      <c r="B60" s="22"/>
      <c r="C60" s="21"/>
      <c r="D60" s="21"/>
      <c r="E60" s="21"/>
      <c r="F60" s="24"/>
      <c r="G60" s="21"/>
    </row>
    <row r="61" customFormat="false" ht="15" hidden="false" customHeight="false" outlineLevel="0" collapsed="false">
      <c r="A61" s="20" t="n">
        <v>56</v>
      </c>
      <c r="B61" s="22"/>
      <c r="C61" s="21"/>
      <c r="D61" s="21"/>
      <c r="E61" s="21"/>
      <c r="F61" s="24"/>
      <c r="G61" s="21"/>
    </row>
    <row r="62" customFormat="false" ht="15" hidden="false" customHeight="false" outlineLevel="0" collapsed="false">
      <c r="A62" s="20" t="n">
        <v>57</v>
      </c>
      <c r="B62" s="22"/>
      <c r="C62" s="21"/>
      <c r="D62" s="21"/>
      <c r="E62" s="21"/>
      <c r="F62" s="24"/>
      <c r="G62" s="21"/>
    </row>
    <row r="63" customFormat="false" ht="15" hidden="false" customHeight="false" outlineLevel="0" collapsed="false">
      <c r="A63" s="20" t="n">
        <v>58</v>
      </c>
      <c r="B63" s="22"/>
      <c r="C63" s="21"/>
      <c r="D63" s="21"/>
      <c r="E63" s="21"/>
      <c r="F63" s="24"/>
      <c r="G63" s="21"/>
    </row>
    <row r="64" customFormat="false" ht="15" hidden="false" customHeight="false" outlineLevel="0" collapsed="false">
      <c r="A64" s="20" t="n">
        <v>59</v>
      </c>
      <c r="B64" s="22"/>
      <c r="C64" s="21"/>
      <c r="D64" s="21"/>
      <c r="E64" s="21"/>
      <c r="F64" s="24"/>
      <c r="G64" s="21"/>
    </row>
    <row r="65" customFormat="false" ht="15" hidden="false" customHeight="false" outlineLevel="0" collapsed="false">
      <c r="A65" s="20" t="n">
        <v>60</v>
      </c>
      <c r="B65" s="22"/>
      <c r="C65" s="21"/>
      <c r="D65" s="21"/>
      <c r="E65" s="21"/>
      <c r="F65" s="24"/>
      <c r="G65" s="21"/>
    </row>
    <row r="66" customFormat="false" ht="15" hidden="false" customHeight="false" outlineLevel="0" collapsed="false">
      <c r="A66" s="20" t="n">
        <v>61</v>
      </c>
      <c r="B66" s="22"/>
      <c r="C66" s="21"/>
      <c r="D66" s="21"/>
      <c r="E66" s="21"/>
      <c r="F66" s="24"/>
      <c r="G66" s="21"/>
    </row>
    <row r="67" customFormat="false" ht="15" hidden="false" customHeight="false" outlineLevel="0" collapsed="false">
      <c r="A67" s="20" t="n">
        <v>62</v>
      </c>
      <c r="B67" s="22"/>
      <c r="C67" s="21"/>
      <c r="D67" s="21"/>
      <c r="E67" s="21"/>
      <c r="F67" s="24"/>
      <c r="G67" s="21"/>
    </row>
    <row r="68" customFormat="false" ht="15" hidden="false" customHeight="false" outlineLevel="0" collapsed="false">
      <c r="A68" s="20" t="n">
        <v>63</v>
      </c>
      <c r="B68" s="22"/>
      <c r="C68" s="21"/>
      <c r="D68" s="21"/>
      <c r="E68" s="21"/>
      <c r="F68" s="24"/>
      <c r="G68" s="21"/>
    </row>
    <row r="69" customFormat="false" ht="15" hidden="false" customHeight="false" outlineLevel="0" collapsed="false">
      <c r="A69" s="20" t="n">
        <v>64</v>
      </c>
      <c r="B69" s="22"/>
      <c r="C69" s="21"/>
      <c r="D69" s="21"/>
      <c r="E69" s="21"/>
      <c r="F69" s="24"/>
      <c r="G69" s="21"/>
    </row>
    <row r="70" customFormat="false" ht="15" hidden="false" customHeight="false" outlineLevel="0" collapsed="false">
      <c r="A70" s="20" t="n">
        <v>65</v>
      </c>
      <c r="B70" s="22"/>
      <c r="C70" s="21"/>
      <c r="D70" s="21"/>
      <c r="E70" s="21"/>
      <c r="F70" s="24"/>
      <c r="G70" s="21"/>
    </row>
    <row r="71" customFormat="false" ht="15" hidden="false" customHeight="false" outlineLevel="0" collapsed="false">
      <c r="A71" s="20" t="n">
        <v>66</v>
      </c>
      <c r="B71" s="22"/>
      <c r="C71" s="21"/>
      <c r="D71" s="21"/>
      <c r="E71" s="21"/>
      <c r="F71" s="24"/>
      <c r="G71" s="21"/>
    </row>
    <row r="72" customFormat="false" ht="15" hidden="false" customHeight="false" outlineLevel="0" collapsed="false">
      <c r="A72" s="20" t="n">
        <v>67</v>
      </c>
      <c r="B72" s="22"/>
      <c r="C72" s="21"/>
      <c r="D72" s="21"/>
      <c r="E72" s="21"/>
      <c r="F72" s="24"/>
      <c r="G72" s="21"/>
    </row>
    <row r="73" customFormat="false" ht="15" hidden="false" customHeight="false" outlineLevel="0" collapsed="false">
      <c r="A73" s="20" t="n">
        <v>68</v>
      </c>
      <c r="B73" s="22"/>
      <c r="C73" s="21"/>
      <c r="D73" s="21"/>
      <c r="E73" s="21"/>
      <c r="F73" s="24"/>
      <c r="G73" s="21"/>
    </row>
    <row r="74" customFormat="false" ht="15" hidden="false" customHeight="false" outlineLevel="0" collapsed="false">
      <c r="A74" s="20" t="n">
        <v>69</v>
      </c>
      <c r="B74" s="22"/>
      <c r="C74" s="21"/>
      <c r="D74" s="21"/>
      <c r="E74" s="21"/>
      <c r="F74" s="24"/>
      <c r="G74" s="21"/>
    </row>
    <row r="75" customFormat="false" ht="15" hidden="false" customHeight="false" outlineLevel="0" collapsed="false">
      <c r="A75" s="20" t="n">
        <v>70</v>
      </c>
      <c r="B75" s="22"/>
      <c r="C75" s="21"/>
      <c r="D75" s="21"/>
      <c r="E75" s="21"/>
      <c r="F75" s="24"/>
      <c r="G75" s="21"/>
    </row>
    <row r="76" customFormat="false" ht="15" hidden="false" customHeight="false" outlineLevel="0" collapsed="false">
      <c r="A76" s="20" t="n">
        <v>71</v>
      </c>
      <c r="B76" s="22"/>
      <c r="C76" s="21"/>
      <c r="D76" s="21"/>
      <c r="E76" s="21"/>
      <c r="F76" s="24"/>
      <c r="G76" s="21"/>
    </row>
    <row r="77" customFormat="false" ht="15" hidden="false" customHeight="false" outlineLevel="0" collapsed="false">
      <c r="A77" s="20" t="n">
        <v>72</v>
      </c>
      <c r="B77" s="22"/>
      <c r="C77" s="21"/>
      <c r="D77" s="21"/>
      <c r="E77" s="21"/>
      <c r="F77" s="24"/>
      <c r="G77" s="21"/>
    </row>
    <row r="78" customFormat="false" ht="15" hidden="false" customHeight="false" outlineLevel="0" collapsed="false">
      <c r="A78" s="20" t="n">
        <v>73</v>
      </c>
      <c r="B78" s="22"/>
      <c r="C78" s="21"/>
      <c r="D78" s="21"/>
      <c r="E78" s="21"/>
      <c r="F78" s="24"/>
      <c r="G78" s="21"/>
    </row>
    <row r="79" customFormat="false" ht="15" hidden="false" customHeight="false" outlineLevel="0" collapsed="false">
      <c r="A79" s="20" t="n">
        <v>74</v>
      </c>
      <c r="B79" s="22"/>
      <c r="C79" s="21"/>
      <c r="D79" s="21"/>
      <c r="E79" s="21"/>
      <c r="F79" s="24"/>
      <c r="G79" s="21"/>
    </row>
    <row r="80" customFormat="false" ht="15" hidden="false" customHeight="false" outlineLevel="0" collapsed="false">
      <c r="A80" s="20" t="n">
        <v>75</v>
      </c>
      <c r="B80" s="22"/>
      <c r="C80" s="21"/>
      <c r="D80" s="21"/>
      <c r="E80" s="21"/>
      <c r="F80" s="24"/>
      <c r="G80" s="21"/>
    </row>
    <row r="81" customFormat="false" ht="15" hidden="false" customHeight="false" outlineLevel="0" collapsed="false">
      <c r="A81" s="20" t="n">
        <v>76</v>
      </c>
      <c r="B81" s="22"/>
      <c r="C81" s="21"/>
      <c r="D81" s="21"/>
      <c r="E81" s="21"/>
      <c r="F81" s="24"/>
      <c r="G81" s="21"/>
    </row>
    <row r="82" customFormat="false" ht="15" hidden="false" customHeight="false" outlineLevel="0" collapsed="false">
      <c r="A82" s="20" t="n">
        <v>77</v>
      </c>
      <c r="B82" s="22"/>
      <c r="C82" s="21"/>
      <c r="D82" s="21"/>
      <c r="E82" s="21"/>
      <c r="F82" s="24"/>
      <c r="G82" s="21"/>
    </row>
    <row r="83" customFormat="false" ht="15" hidden="false" customHeight="false" outlineLevel="0" collapsed="false">
      <c r="A83" s="20" t="n">
        <v>78</v>
      </c>
      <c r="B83" s="22"/>
      <c r="C83" s="21"/>
      <c r="D83" s="21"/>
      <c r="E83" s="21"/>
      <c r="F83" s="24"/>
      <c r="G83" s="21"/>
    </row>
    <row r="84" customFormat="false" ht="15" hidden="false" customHeight="false" outlineLevel="0" collapsed="false">
      <c r="A84" s="20" t="n">
        <v>79</v>
      </c>
      <c r="B84" s="22"/>
      <c r="C84" s="21"/>
      <c r="D84" s="21"/>
      <c r="E84" s="21"/>
      <c r="F84" s="24"/>
      <c r="G84" s="21"/>
    </row>
    <row r="85" customFormat="false" ht="15" hidden="false" customHeight="false" outlineLevel="0" collapsed="false">
      <c r="A85" s="20" t="n">
        <v>80</v>
      </c>
      <c r="B85" s="22"/>
      <c r="C85" s="21"/>
      <c r="D85" s="21"/>
      <c r="E85" s="21"/>
      <c r="F85" s="24"/>
      <c r="G85" s="21"/>
    </row>
    <row r="86" customFormat="false" ht="15" hidden="false" customHeight="false" outlineLevel="0" collapsed="false">
      <c r="A86" s="20" t="n">
        <v>81</v>
      </c>
      <c r="B86" s="22"/>
      <c r="C86" s="21"/>
      <c r="D86" s="21"/>
      <c r="E86" s="21"/>
      <c r="F86" s="24"/>
      <c r="G86" s="21"/>
    </row>
    <row r="87" customFormat="false" ht="15" hidden="false" customHeight="false" outlineLevel="0" collapsed="false">
      <c r="A87" s="20" t="n">
        <v>82</v>
      </c>
      <c r="B87" s="22"/>
      <c r="C87" s="21"/>
      <c r="D87" s="21"/>
      <c r="E87" s="21"/>
      <c r="F87" s="24"/>
      <c r="G87" s="21"/>
    </row>
    <row r="88" customFormat="false" ht="15" hidden="false" customHeight="false" outlineLevel="0" collapsed="false">
      <c r="A88" s="20" t="n">
        <v>83</v>
      </c>
      <c r="B88" s="22"/>
      <c r="C88" s="21"/>
      <c r="D88" s="21"/>
      <c r="E88" s="21"/>
      <c r="F88" s="24"/>
      <c r="G88" s="21"/>
    </row>
    <row r="89" customFormat="false" ht="15" hidden="false" customHeight="false" outlineLevel="0" collapsed="false">
      <c r="A89" s="20" t="n">
        <v>84</v>
      </c>
      <c r="B89" s="22"/>
      <c r="C89" s="21"/>
      <c r="D89" s="21"/>
      <c r="E89" s="21"/>
      <c r="F89" s="24"/>
      <c r="G89" s="21"/>
    </row>
    <row r="90" customFormat="false" ht="15" hidden="false" customHeight="false" outlineLevel="0" collapsed="false">
      <c r="A90" s="20" t="n">
        <v>85</v>
      </c>
      <c r="B90" s="22"/>
      <c r="C90" s="21"/>
      <c r="D90" s="21"/>
      <c r="E90" s="21"/>
      <c r="F90" s="24"/>
      <c r="G90" s="21"/>
    </row>
    <row r="91" customFormat="false" ht="15" hidden="false" customHeight="false" outlineLevel="0" collapsed="false">
      <c r="A91" s="20" t="n">
        <v>86</v>
      </c>
      <c r="B91" s="22"/>
      <c r="C91" s="21"/>
      <c r="D91" s="21"/>
      <c r="E91" s="21"/>
      <c r="F91" s="24"/>
      <c r="G91" s="21"/>
    </row>
    <row r="92" customFormat="false" ht="15" hidden="false" customHeight="false" outlineLevel="0" collapsed="false">
      <c r="A92" s="20" t="n">
        <v>87</v>
      </c>
      <c r="B92" s="22"/>
      <c r="C92" s="21"/>
      <c r="D92" s="21"/>
      <c r="E92" s="21"/>
      <c r="F92" s="24"/>
      <c r="G92" s="21"/>
    </row>
    <row r="93" customFormat="false" ht="15" hidden="false" customHeight="false" outlineLevel="0" collapsed="false">
      <c r="A93" s="20" t="n">
        <v>88</v>
      </c>
      <c r="B93" s="22"/>
      <c r="C93" s="21"/>
      <c r="D93" s="21"/>
      <c r="E93" s="21"/>
      <c r="F93" s="24"/>
      <c r="G93" s="21"/>
    </row>
    <row r="94" customFormat="false" ht="15" hidden="false" customHeight="false" outlineLevel="0" collapsed="false">
      <c r="A94" s="20" t="n">
        <v>89</v>
      </c>
      <c r="B94" s="22"/>
      <c r="C94" s="21"/>
      <c r="D94" s="21"/>
      <c r="E94" s="21"/>
      <c r="F94" s="24"/>
      <c r="G94" s="21"/>
    </row>
    <row r="95" customFormat="false" ht="15" hidden="false" customHeight="false" outlineLevel="0" collapsed="false">
      <c r="A95" s="20" t="n">
        <v>90</v>
      </c>
      <c r="B95" s="22"/>
      <c r="C95" s="21"/>
      <c r="D95" s="21"/>
      <c r="E95" s="21"/>
      <c r="F95" s="24"/>
      <c r="G95" s="21"/>
    </row>
    <row r="96" customFormat="false" ht="15" hidden="false" customHeight="false" outlineLevel="0" collapsed="false">
      <c r="A96" s="20" t="n">
        <v>91</v>
      </c>
      <c r="B96" s="22"/>
      <c r="C96" s="21"/>
      <c r="D96" s="21"/>
      <c r="E96" s="21"/>
      <c r="F96" s="24"/>
      <c r="G96" s="21"/>
    </row>
    <row r="97" customFormat="false" ht="15" hidden="false" customHeight="false" outlineLevel="0" collapsed="false">
      <c r="A97" s="20" t="n">
        <v>92</v>
      </c>
      <c r="B97" s="22"/>
      <c r="C97" s="21"/>
      <c r="D97" s="21"/>
      <c r="E97" s="21"/>
      <c r="F97" s="24"/>
      <c r="G97" s="21"/>
    </row>
    <row r="98" customFormat="false" ht="15" hidden="false" customHeight="false" outlineLevel="0" collapsed="false">
      <c r="A98" s="20" t="n">
        <v>93</v>
      </c>
      <c r="B98" s="22"/>
      <c r="C98" s="21"/>
      <c r="D98" s="21"/>
      <c r="E98" s="21"/>
      <c r="F98" s="24"/>
      <c r="G98" s="21"/>
    </row>
    <row r="99" customFormat="false" ht="15" hidden="false" customHeight="false" outlineLevel="0" collapsed="false">
      <c r="A99" s="20" t="n">
        <v>94</v>
      </c>
      <c r="B99" s="22"/>
      <c r="C99" s="21"/>
      <c r="D99" s="21"/>
      <c r="E99" s="21"/>
      <c r="F99" s="24"/>
      <c r="G99" s="21"/>
    </row>
    <row r="100" customFormat="false" ht="15" hidden="false" customHeight="false" outlineLevel="0" collapsed="false">
      <c r="A100" s="20" t="n">
        <v>95</v>
      </c>
      <c r="B100" s="22"/>
      <c r="C100" s="21"/>
      <c r="D100" s="21"/>
      <c r="E100" s="21"/>
      <c r="F100" s="24"/>
      <c r="G100" s="21"/>
    </row>
    <row r="101" customFormat="false" ht="15" hidden="false" customHeight="false" outlineLevel="0" collapsed="false">
      <c r="A101" s="20" t="n">
        <v>96</v>
      </c>
      <c r="B101" s="22"/>
      <c r="C101" s="21"/>
      <c r="D101" s="21"/>
      <c r="E101" s="21"/>
      <c r="F101" s="24"/>
      <c r="G101" s="21"/>
    </row>
    <row r="102" customFormat="false" ht="15" hidden="false" customHeight="false" outlineLevel="0" collapsed="false">
      <c r="A102" s="20" t="n">
        <v>97</v>
      </c>
      <c r="B102" s="22"/>
      <c r="C102" s="21"/>
      <c r="D102" s="21"/>
      <c r="E102" s="21"/>
      <c r="F102" s="24"/>
      <c r="G102" s="21"/>
    </row>
    <row r="103" customFormat="false" ht="15" hidden="false" customHeight="false" outlineLevel="0" collapsed="false">
      <c r="A103" s="20" t="n">
        <v>98</v>
      </c>
      <c r="B103" s="22"/>
      <c r="C103" s="21"/>
      <c r="D103" s="21"/>
      <c r="E103" s="21"/>
      <c r="F103" s="24"/>
      <c r="G103" s="21"/>
    </row>
    <row r="104" customFormat="false" ht="15" hidden="false" customHeight="false" outlineLevel="0" collapsed="false">
      <c r="A104" s="20" t="n">
        <v>99</v>
      </c>
      <c r="B104" s="22"/>
      <c r="C104" s="21"/>
      <c r="D104" s="21"/>
      <c r="E104" s="21"/>
      <c r="F104" s="24"/>
      <c r="G104" s="21"/>
    </row>
    <row r="105" customFormat="false" ht="15" hidden="false" customHeight="false" outlineLevel="0" collapsed="false">
      <c r="A105" s="20" t="n">
        <v>100</v>
      </c>
      <c r="B105" s="22"/>
      <c r="C105" s="21"/>
      <c r="D105" s="21"/>
      <c r="E105" s="21"/>
      <c r="F105" s="24"/>
      <c r="G105" s="21"/>
    </row>
    <row r="106" customFormat="false" ht="15" hidden="false" customHeight="false" outlineLevel="0" collapsed="false">
      <c r="A106" s="20" t="n">
        <v>101</v>
      </c>
      <c r="B106" s="22"/>
      <c r="C106" s="21"/>
      <c r="D106" s="21"/>
      <c r="E106" s="21"/>
      <c r="F106" s="24"/>
      <c r="G106" s="21"/>
    </row>
    <row r="107" customFormat="false" ht="15" hidden="false" customHeight="false" outlineLevel="0" collapsed="false">
      <c r="A107" s="20" t="n">
        <v>102</v>
      </c>
      <c r="B107" s="22"/>
      <c r="C107" s="21"/>
      <c r="D107" s="21"/>
      <c r="E107" s="21"/>
      <c r="F107" s="24"/>
      <c r="G107" s="21"/>
    </row>
    <row r="108" customFormat="false" ht="15" hidden="false" customHeight="false" outlineLevel="0" collapsed="false">
      <c r="A108" s="20" t="n">
        <v>103</v>
      </c>
      <c r="B108" s="22"/>
      <c r="C108" s="21"/>
      <c r="D108" s="21"/>
      <c r="E108" s="21"/>
      <c r="F108" s="24"/>
      <c r="G108" s="21"/>
    </row>
    <row r="109" customFormat="false" ht="15" hidden="false" customHeight="false" outlineLevel="0" collapsed="false">
      <c r="A109" s="20" t="n">
        <v>104</v>
      </c>
      <c r="B109" s="22"/>
      <c r="C109" s="21"/>
      <c r="D109" s="21"/>
      <c r="E109" s="21"/>
      <c r="F109" s="24"/>
      <c r="G109" s="21"/>
    </row>
    <row r="110" customFormat="false" ht="15" hidden="false" customHeight="false" outlineLevel="0" collapsed="false">
      <c r="A110" s="20" t="n">
        <v>105</v>
      </c>
      <c r="B110" s="22"/>
      <c r="C110" s="21"/>
      <c r="D110" s="21"/>
      <c r="E110" s="21"/>
      <c r="F110" s="24"/>
      <c r="G110" s="21"/>
    </row>
    <row r="111" customFormat="false" ht="15" hidden="false" customHeight="false" outlineLevel="0" collapsed="false">
      <c r="A111" s="20" t="n">
        <v>106</v>
      </c>
      <c r="B111" s="22"/>
      <c r="C111" s="21"/>
      <c r="D111" s="21"/>
      <c r="E111" s="21"/>
      <c r="F111" s="24"/>
      <c r="G111" s="21"/>
    </row>
    <row r="112" customFormat="false" ht="15" hidden="false" customHeight="false" outlineLevel="0" collapsed="false">
      <c r="A112" s="20" t="n">
        <v>107</v>
      </c>
      <c r="B112" s="22"/>
      <c r="C112" s="21"/>
      <c r="D112" s="21"/>
      <c r="E112" s="21"/>
      <c r="F112" s="24"/>
      <c r="G112" s="21"/>
    </row>
    <row r="113" customFormat="false" ht="15" hidden="false" customHeight="false" outlineLevel="0" collapsed="false">
      <c r="A113" s="20" t="n">
        <v>108</v>
      </c>
      <c r="B113" s="22"/>
      <c r="C113" s="21"/>
      <c r="D113" s="21"/>
      <c r="E113" s="21"/>
      <c r="F113" s="24"/>
      <c r="G113" s="21"/>
    </row>
    <row r="114" customFormat="false" ht="15" hidden="false" customHeight="false" outlineLevel="0" collapsed="false">
      <c r="A114" s="20" t="n">
        <v>109</v>
      </c>
      <c r="B114" s="22"/>
      <c r="C114" s="21"/>
      <c r="D114" s="21"/>
      <c r="E114" s="21"/>
      <c r="F114" s="24"/>
      <c r="G114" s="21"/>
    </row>
    <row r="115" customFormat="false" ht="15" hidden="false" customHeight="false" outlineLevel="0" collapsed="false">
      <c r="A115" s="20" t="n">
        <v>110</v>
      </c>
      <c r="B115" s="22"/>
      <c r="C115" s="21"/>
      <c r="D115" s="21"/>
      <c r="E115" s="21"/>
      <c r="F115" s="24"/>
      <c r="G115" s="21"/>
    </row>
    <row r="116" customFormat="false" ht="15" hidden="false" customHeight="false" outlineLevel="0" collapsed="false">
      <c r="A116" s="20" t="n">
        <v>111</v>
      </c>
      <c r="B116" s="22"/>
      <c r="C116" s="21"/>
      <c r="D116" s="21"/>
      <c r="E116" s="21"/>
      <c r="F116" s="24"/>
      <c r="G116" s="21"/>
    </row>
    <row r="117" customFormat="false" ht="15" hidden="false" customHeight="false" outlineLevel="0" collapsed="false">
      <c r="A117" s="20" t="n">
        <v>112</v>
      </c>
      <c r="B117" s="22"/>
      <c r="C117" s="21"/>
      <c r="D117" s="21"/>
      <c r="E117" s="21"/>
      <c r="F117" s="24"/>
      <c r="G117" s="21"/>
    </row>
    <row r="118" customFormat="false" ht="15" hidden="false" customHeight="false" outlineLevel="0" collapsed="false">
      <c r="A118" s="20" t="n">
        <v>113</v>
      </c>
      <c r="B118" s="22"/>
      <c r="C118" s="21"/>
      <c r="D118" s="21"/>
      <c r="E118" s="21"/>
      <c r="F118" s="24"/>
      <c r="G118" s="21"/>
    </row>
    <row r="119" customFormat="false" ht="15" hidden="false" customHeight="false" outlineLevel="0" collapsed="false">
      <c r="A119" s="20" t="n">
        <v>114</v>
      </c>
      <c r="B119" s="22"/>
      <c r="C119" s="21"/>
      <c r="D119" s="21"/>
      <c r="E119" s="21"/>
      <c r="F119" s="24"/>
      <c r="G119" s="21"/>
    </row>
    <row r="120" customFormat="false" ht="15" hidden="false" customHeight="false" outlineLevel="0" collapsed="false">
      <c r="A120" s="20" t="n">
        <v>115</v>
      </c>
      <c r="B120" s="22"/>
      <c r="C120" s="21"/>
      <c r="D120" s="21"/>
      <c r="E120" s="21"/>
      <c r="F120" s="24"/>
      <c r="G120" s="21"/>
    </row>
    <row r="121" customFormat="false" ht="15" hidden="false" customHeight="false" outlineLevel="0" collapsed="false">
      <c r="A121" s="20" t="n">
        <v>116</v>
      </c>
      <c r="B121" s="22"/>
      <c r="C121" s="21"/>
      <c r="D121" s="21"/>
      <c r="E121" s="21"/>
      <c r="F121" s="24"/>
      <c r="G121" s="21"/>
    </row>
    <row r="122" customFormat="false" ht="15" hidden="false" customHeight="false" outlineLevel="0" collapsed="false">
      <c r="A122" s="20" t="n">
        <v>117</v>
      </c>
      <c r="B122" s="22"/>
      <c r="C122" s="21"/>
      <c r="D122" s="21"/>
      <c r="E122" s="21"/>
      <c r="F122" s="24"/>
      <c r="G122" s="21"/>
    </row>
    <row r="123" customFormat="false" ht="15" hidden="false" customHeight="false" outlineLevel="0" collapsed="false">
      <c r="A123" s="20" t="n">
        <v>118</v>
      </c>
      <c r="B123" s="22"/>
      <c r="C123" s="21"/>
      <c r="D123" s="21"/>
      <c r="E123" s="21"/>
      <c r="F123" s="24"/>
      <c r="G123" s="21"/>
    </row>
    <row r="124" customFormat="false" ht="15" hidden="false" customHeight="false" outlineLevel="0" collapsed="false">
      <c r="A124" s="20" t="n">
        <v>119</v>
      </c>
      <c r="B124" s="22"/>
      <c r="C124" s="21"/>
      <c r="D124" s="21"/>
      <c r="E124" s="21"/>
      <c r="F124" s="24"/>
      <c r="G124" s="21"/>
    </row>
    <row r="125" customFormat="false" ht="15" hidden="false" customHeight="false" outlineLevel="0" collapsed="false">
      <c r="A125" s="20" t="n">
        <v>120</v>
      </c>
      <c r="B125" s="22"/>
      <c r="C125" s="21"/>
      <c r="D125" s="21"/>
      <c r="E125" s="21"/>
      <c r="F125" s="24"/>
      <c r="G125" s="21"/>
    </row>
    <row r="126" customFormat="false" ht="15" hidden="false" customHeight="false" outlineLevel="0" collapsed="false">
      <c r="A126" s="20" t="n">
        <v>121</v>
      </c>
      <c r="B126" s="22"/>
      <c r="C126" s="21"/>
      <c r="D126" s="21"/>
      <c r="E126" s="21"/>
      <c r="F126" s="24"/>
      <c r="G126" s="21"/>
    </row>
    <row r="127" customFormat="false" ht="15" hidden="false" customHeight="false" outlineLevel="0" collapsed="false">
      <c r="A127" s="20" t="n">
        <v>122</v>
      </c>
      <c r="B127" s="22"/>
      <c r="C127" s="21"/>
      <c r="D127" s="21"/>
      <c r="E127" s="21"/>
      <c r="F127" s="24"/>
      <c r="G127" s="21"/>
    </row>
    <row r="128" customFormat="false" ht="15" hidden="false" customHeight="false" outlineLevel="0" collapsed="false">
      <c r="A128" s="20" t="n">
        <v>123</v>
      </c>
      <c r="B128" s="22"/>
      <c r="C128" s="21"/>
      <c r="D128" s="21"/>
      <c r="E128" s="21"/>
      <c r="F128" s="24"/>
      <c r="G128" s="21"/>
    </row>
    <row r="129" customFormat="false" ht="15" hidden="false" customHeight="false" outlineLevel="0" collapsed="false">
      <c r="A129" s="20" t="n">
        <v>124</v>
      </c>
      <c r="B129" s="22"/>
      <c r="C129" s="21"/>
      <c r="D129" s="21"/>
      <c r="E129" s="21"/>
      <c r="F129" s="24"/>
      <c r="G129" s="21"/>
    </row>
    <row r="130" customFormat="false" ht="15" hidden="false" customHeight="false" outlineLevel="0" collapsed="false">
      <c r="A130" s="20" t="n">
        <v>125</v>
      </c>
      <c r="B130" s="22"/>
      <c r="C130" s="21"/>
      <c r="D130" s="21"/>
      <c r="E130" s="21"/>
      <c r="F130" s="24"/>
      <c r="G130" s="21"/>
    </row>
    <row r="131" customFormat="false" ht="15" hidden="false" customHeight="false" outlineLevel="0" collapsed="false">
      <c r="A131" s="20" t="n">
        <v>126</v>
      </c>
      <c r="B131" s="22"/>
      <c r="C131" s="21"/>
      <c r="D131" s="21"/>
      <c r="E131" s="21"/>
      <c r="F131" s="24"/>
      <c r="G131" s="21"/>
    </row>
    <row r="132" customFormat="false" ht="15" hidden="false" customHeight="false" outlineLevel="0" collapsed="false">
      <c r="A132" s="20" t="n">
        <v>127</v>
      </c>
      <c r="B132" s="22"/>
      <c r="C132" s="21"/>
      <c r="D132" s="21"/>
      <c r="E132" s="21"/>
      <c r="F132" s="24"/>
      <c r="G132" s="21"/>
    </row>
    <row r="133" customFormat="false" ht="15" hidden="false" customHeight="false" outlineLevel="0" collapsed="false">
      <c r="A133" s="20" t="n">
        <v>128</v>
      </c>
      <c r="B133" s="22"/>
      <c r="C133" s="21"/>
      <c r="D133" s="21"/>
      <c r="E133" s="21"/>
      <c r="F133" s="24"/>
      <c r="G133" s="21"/>
    </row>
    <row r="134" customFormat="false" ht="15" hidden="false" customHeight="false" outlineLevel="0" collapsed="false">
      <c r="A134" s="20" t="n">
        <v>129</v>
      </c>
      <c r="B134" s="22"/>
      <c r="C134" s="21"/>
      <c r="D134" s="21"/>
      <c r="E134" s="21"/>
      <c r="F134" s="24"/>
      <c r="G134" s="21"/>
    </row>
    <row r="135" customFormat="false" ht="15" hidden="false" customHeight="false" outlineLevel="0" collapsed="false">
      <c r="A135" s="20" t="n">
        <v>130</v>
      </c>
      <c r="B135" s="22"/>
      <c r="C135" s="21"/>
      <c r="D135" s="21"/>
      <c r="E135" s="21"/>
      <c r="F135" s="24"/>
      <c r="G135" s="21"/>
    </row>
    <row r="136" customFormat="false" ht="15" hidden="false" customHeight="false" outlineLevel="0" collapsed="false">
      <c r="A136" s="20" t="n">
        <v>131</v>
      </c>
      <c r="B136" s="22"/>
      <c r="C136" s="21"/>
      <c r="D136" s="21"/>
      <c r="E136" s="21"/>
      <c r="F136" s="24"/>
      <c r="G136" s="21"/>
    </row>
    <row r="137" customFormat="false" ht="15" hidden="false" customHeight="false" outlineLevel="0" collapsed="false">
      <c r="A137" s="20" t="n">
        <v>132</v>
      </c>
      <c r="B137" s="22"/>
      <c r="C137" s="21"/>
      <c r="D137" s="21"/>
      <c r="E137" s="21"/>
      <c r="F137" s="24"/>
      <c r="G137" s="21"/>
    </row>
    <row r="138" customFormat="false" ht="15" hidden="false" customHeight="false" outlineLevel="0" collapsed="false">
      <c r="A138" s="20" t="n">
        <v>133</v>
      </c>
      <c r="B138" s="22"/>
      <c r="C138" s="21"/>
      <c r="D138" s="21"/>
      <c r="E138" s="21"/>
      <c r="F138" s="24"/>
      <c r="G138" s="21"/>
    </row>
    <row r="139" customFormat="false" ht="15" hidden="false" customHeight="false" outlineLevel="0" collapsed="false">
      <c r="A139" s="20" t="n">
        <v>134</v>
      </c>
      <c r="B139" s="22"/>
      <c r="C139" s="21"/>
      <c r="D139" s="21"/>
      <c r="E139" s="21"/>
      <c r="F139" s="24"/>
      <c r="G139" s="21"/>
    </row>
    <row r="140" customFormat="false" ht="15" hidden="false" customHeight="false" outlineLevel="0" collapsed="false">
      <c r="A140" s="20" t="n">
        <v>135</v>
      </c>
      <c r="B140" s="22"/>
      <c r="C140" s="21"/>
      <c r="D140" s="21"/>
      <c r="E140" s="21"/>
      <c r="F140" s="24"/>
      <c r="G140" s="21"/>
    </row>
    <row r="141" customFormat="false" ht="15" hidden="false" customHeight="false" outlineLevel="0" collapsed="false">
      <c r="A141" s="20" t="n">
        <v>136</v>
      </c>
      <c r="B141" s="22"/>
      <c r="C141" s="21"/>
      <c r="D141" s="21"/>
      <c r="E141" s="21"/>
      <c r="F141" s="24"/>
      <c r="G141" s="21"/>
    </row>
    <row r="142" customFormat="false" ht="15" hidden="false" customHeight="false" outlineLevel="0" collapsed="false">
      <c r="A142" s="20" t="n">
        <v>137</v>
      </c>
      <c r="B142" s="22"/>
      <c r="C142" s="21"/>
      <c r="D142" s="21"/>
      <c r="E142" s="21"/>
      <c r="F142" s="24"/>
      <c r="G142" s="21"/>
    </row>
    <row r="143" customFormat="false" ht="15" hidden="false" customHeight="false" outlineLevel="0" collapsed="false">
      <c r="A143" s="20" t="n">
        <v>138</v>
      </c>
      <c r="B143" s="22"/>
      <c r="C143" s="21"/>
      <c r="D143" s="21"/>
      <c r="E143" s="21"/>
      <c r="F143" s="24"/>
      <c r="G143" s="21"/>
    </row>
    <row r="144" customFormat="false" ht="15" hidden="false" customHeight="false" outlineLevel="0" collapsed="false">
      <c r="A144" s="20" t="n">
        <v>139</v>
      </c>
      <c r="B144" s="22"/>
      <c r="C144" s="21"/>
      <c r="D144" s="21"/>
      <c r="E144" s="21"/>
      <c r="F144" s="24"/>
      <c r="G144" s="21"/>
    </row>
    <row r="145" customFormat="false" ht="15" hidden="false" customHeight="false" outlineLevel="0" collapsed="false">
      <c r="A145" s="20" t="n">
        <v>140</v>
      </c>
      <c r="B145" s="22"/>
      <c r="C145" s="21"/>
      <c r="D145" s="21"/>
      <c r="E145" s="21"/>
      <c r="F145" s="24"/>
      <c r="G145" s="21"/>
    </row>
    <row r="146" customFormat="false" ht="15" hidden="false" customHeight="false" outlineLevel="0" collapsed="false">
      <c r="A146" s="20" t="n">
        <v>141</v>
      </c>
      <c r="B146" s="22"/>
      <c r="C146" s="21"/>
      <c r="D146" s="21"/>
      <c r="E146" s="21"/>
      <c r="F146" s="24"/>
      <c r="G146" s="21"/>
    </row>
    <row r="147" customFormat="false" ht="15" hidden="false" customHeight="false" outlineLevel="0" collapsed="false">
      <c r="A147" s="20" t="n">
        <v>142</v>
      </c>
      <c r="B147" s="22"/>
      <c r="C147" s="21"/>
      <c r="D147" s="21"/>
      <c r="E147" s="21"/>
      <c r="F147" s="24"/>
      <c r="G147" s="21"/>
    </row>
    <row r="148" customFormat="false" ht="15" hidden="false" customHeight="false" outlineLevel="0" collapsed="false">
      <c r="A148" s="20" t="n">
        <v>143</v>
      </c>
      <c r="B148" s="22"/>
      <c r="C148" s="21"/>
      <c r="D148" s="21"/>
      <c r="E148" s="21"/>
      <c r="F148" s="24"/>
      <c r="G148" s="21"/>
    </row>
    <row r="149" customFormat="false" ht="15" hidden="false" customHeight="false" outlineLevel="0" collapsed="false">
      <c r="A149" s="20" t="n">
        <v>144</v>
      </c>
      <c r="B149" s="22"/>
      <c r="C149" s="21"/>
      <c r="D149" s="21"/>
      <c r="E149" s="21"/>
      <c r="F149" s="24"/>
      <c r="G149" s="21"/>
    </row>
    <row r="150" customFormat="false" ht="15" hidden="false" customHeight="false" outlineLevel="0" collapsed="false">
      <c r="A150" s="20" t="n">
        <v>145</v>
      </c>
      <c r="B150" s="22"/>
      <c r="C150" s="21"/>
      <c r="D150" s="21"/>
      <c r="E150" s="21"/>
      <c r="F150" s="24"/>
      <c r="G150" s="21"/>
    </row>
    <row r="151" customFormat="false" ht="15" hidden="false" customHeight="false" outlineLevel="0" collapsed="false">
      <c r="A151" s="20" t="n">
        <v>146</v>
      </c>
      <c r="B151" s="22"/>
      <c r="C151" s="21"/>
      <c r="D151" s="21"/>
      <c r="E151" s="21"/>
      <c r="F151" s="24"/>
      <c r="G151" s="21"/>
    </row>
    <row r="152" customFormat="false" ht="15" hidden="false" customHeight="false" outlineLevel="0" collapsed="false">
      <c r="A152" s="20" t="n">
        <v>147</v>
      </c>
      <c r="B152" s="22"/>
      <c r="C152" s="21"/>
      <c r="D152" s="21"/>
      <c r="E152" s="21"/>
      <c r="F152" s="24"/>
      <c r="G152" s="21"/>
    </row>
    <row r="153" customFormat="false" ht="15" hidden="false" customHeight="false" outlineLevel="0" collapsed="false">
      <c r="A153" s="20" t="n">
        <v>148</v>
      </c>
      <c r="B153" s="22"/>
      <c r="C153" s="21"/>
      <c r="D153" s="21"/>
      <c r="E153" s="21"/>
      <c r="F153" s="24"/>
      <c r="G153" s="21"/>
    </row>
    <row r="154" customFormat="false" ht="15" hidden="false" customHeight="false" outlineLevel="0" collapsed="false">
      <c r="A154" s="20" t="n">
        <v>149</v>
      </c>
      <c r="B154" s="22"/>
      <c r="C154" s="21"/>
      <c r="D154" s="21"/>
      <c r="E154" s="21"/>
      <c r="F154" s="24"/>
      <c r="G154" s="21"/>
    </row>
    <row r="155" customFormat="false" ht="15" hidden="false" customHeight="false" outlineLevel="0" collapsed="false">
      <c r="A155" s="20" t="n">
        <v>150</v>
      </c>
      <c r="B155" s="22"/>
      <c r="C155" s="21"/>
      <c r="D155" s="21"/>
      <c r="E155" s="21"/>
      <c r="F155" s="24"/>
      <c r="G155" s="21"/>
    </row>
    <row r="156" customFormat="false" ht="15" hidden="false" customHeight="false" outlineLevel="0" collapsed="false">
      <c r="A156" s="20" t="n">
        <v>151</v>
      </c>
      <c r="B156" s="22"/>
      <c r="C156" s="21"/>
      <c r="D156" s="21"/>
      <c r="E156" s="21"/>
      <c r="F156" s="24"/>
      <c r="G156" s="21"/>
    </row>
    <row r="157" customFormat="false" ht="15" hidden="false" customHeight="false" outlineLevel="0" collapsed="false">
      <c r="A157" s="20" t="n">
        <v>152</v>
      </c>
      <c r="B157" s="22"/>
      <c r="C157" s="21"/>
      <c r="D157" s="21"/>
      <c r="E157" s="21"/>
      <c r="F157" s="24"/>
      <c r="G157" s="21"/>
    </row>
    <row r="158" customFormat="false" ht="15" hidden="false" customHeight="false" outlineLevel="0" collapsed="false">
      <c r="A158" s="20" t="n">
        <v>153</v>
      </c>
      <c r="B158" s="22"/>
      <c r="C158" s="21"/>
      <c r="D158" s="21"/>
      <c r="E158" s="21"/>
      <c r="F158" s="24"/>
      <c r="G158" s="21"/>
    </row>
    <row r="159" customFormat="false" ht="15" hidden="false" customHeight="false" outlineLevel="0" collapsed="false">
      <c r="A159" s="20" t="n">
        <v>154</v>
      </c>
      <c r="B159" s="22"/>
      <c r="C159" s="21"/>
      <c r="D159" s="21"/>
      <c r="E159" s="21"/>
      <c r="F159" s="24"/>
      <c r="G159" s="21"/>
    </row>
    <row r="160" customFormat="false" ht="15" hidden="false" customHeight="false" outlineLevel="0" collapsed="false">
      <c r="A160" s="20" t="n">
        <v>155</v>
      </c>
      <c r="B160" s="22"/>
      <c r="C160" s="21"/>
      <c r="D160" s="21"/>
      <c r="E160" s="21"/>
      <c r="F160" s="24"/>
      <c r="G160" s="21"/>
    </row>
    <row r="161" customFormat="false" ht="15" hidden="false" customHeight="false" outlineLevel="0" collapsed="false">
      <c r="A161" s="20" t="n">
        <v>156</v>
      </c>
      <c r="B161" s="22"/>
      <c r="C161" s="21"/>
      <c r="D161" s="21"/>
      <c r="E161" s="21"/>
      <c r="F161" s="24"/>
      <c r="G161" s="21"/>
    </row>
    <row r="162" customFormat="false" ht="15" hidden="false" customHeight="false" outlineLevel="0" collapsed="false">
      <c r="A162" s="20" t="n">
        <v>157</v>
      </c>
      <c r="B162" s="22"/>
      <c r="C162" s="21"/>
      <c r="D162" s="21"/>
      <c r="E162" s="21"/>
      <c r="F162" s="24"/>
      <c r="G162" s="21"/>
    </row>
    <row r="163" customFormat="false" ht="15" hidden="false" customHeight="false" outlineLevel="0" collapsed="false">
      <c r="A163" s="20" t="n">
        <v>158</v>
      </c>
      <c r="B163" s="22"/>
      <c r="C163" s="21"/>
      <c r="D163" s="21"/>
      <c r="E163" s="21"/>
      <c r="F163" s="24"/>
      <c r="G163" s="21"/>
    </row>
    <row r="164" customFormat="false" ht="15" hidden="false" customHeight="false" outlineLevel="0" collapsed="false">
      <c r="A164" s="20" t="n">
        <v>159</v>
      </c>
      <c r="B164" s="22"/>
      <c r="C164" s="21"/>
      <c r="D164" s="21"/>
      <c r="E164" s="21"/>
      <c r="F164" s="24"/>
      <c r="G164" s="21"/>
    </row>
    <row r="165" customFormat="false" ht="15" hidden="false" customHeight="false" outlineLevel="0" collapsed="false">
      <c r="A165" s="20" t="n">
        <v>160</v>
      </c>
      <c r="B165" s="22"/>
      <c r="C165" s="21"/>
      <c r="D165" s="21"/>
      <c r="E165" s="21"/>
      <c r="F165" s="24"/>
      <c r="G165" s="21"/>
    </row>
    <row r="166" customFormat="false" ht="15" hidden="false" customHeight="false" outlineLevel="0" collapsed="false">
      <c r="A166" s="20" t="n">
        <v>161</v>
      </c>
      <c r="B166" s="22"/>
      <c r="C166" s="21"/>
      <c r="D166" s="21"/>
      <c r="E166" s="21"/>
      <c r="F166" s="24"/>
      <c r="G166" s="21"/>
    </row>
    <row r="167" customFormat="false" ht="15" hidden="false" customHeight="false" outlineLevel="0" collapsed="false">
      <c r="A167" s="20" t="n">
        <v>162</v>
      </c>
      <c r="B167" s="22"/>
      <c r="C167" s="21"/>
      <c r="D167" s="21"/>
      <c r="E167" s="21"/>
      <c r="F167" s="24"/>
      <c r="G167" s="21"/>
    </row>
    <row r="168" customFormat="false" ht="15" hidden="false" customHeight="false" outlineLevel="0" collapsed="false">
      <c r="A168" s="20" t="n">
        <v>163</v>
      </c>
      <c r="B168" s="22"/>
      <c r="C168" s="21"/>
      <c r="D168" s="21"/>
      <c r="E168" s="21"/>
      <c r="F168" s="24"/>
      <c r="G168" s="21"/>
    </row>
    <row r="169" customFormat="false" ht="15" hidden="false" customHeight="false" outlineLevel="0" collapsed="false">
      <c r="A169" s="20" t="n">
        <v>164</v>
      </c>
      <c r="B169" s="22"/>
      <c r="C169" s="21"/>
      <c r="D169" s="21"/>
      <c r="E169" s="21"/>
      <c r="F169" s="24"/>
      <c r="G169" s="21"/>
    </row>
    <row r="170" customFormat="false" ht="15" hidden="false" customHeight="false" outlineLevel="0" collapsed="false">
      <c r="A170" s="20" t="n">
        <v>165</v>
      </c>
      <c r="B170" s="22"/>
      <c r="C170" s="21"/>
      <c r="D170" s="21"/>
      <c r="E170" s="21"/>
      <c r="F170" s="24"/>
      <c r="G170" s="21"/>
    </row>
    <row r="171" customFormat="false" ht="15" hidden="false" customHeight="false" outlineLevel="0" collapsed="false">
      <c r="A171" s="20" t="n">
        <v>166</v>
      </c>
      <c r="B171" s="22"/>
      <c r="C171" s="21"/>
      <c r="D171" s="21"/>
      <c r="E171" s="21"/>
      <c r="F171" s="24"/>
      <c r="G171" s="21"/>
    </row>
    <row r="172" customFormat="false" ht="15" hidden="false" customHeight="false" outlineLevel="0" collapsed="false">
      <c r="A172" s="20" t="n">
        <v>167</v>
      </c>
      <c r="B172" s="22"/>
      <c r="C172" s="21"/>
      <c r="D172" s="21"/>
      <c r="E172" s="21"/>
      <c r="F172" s="24"/>
      <c r="G172" s="21"/>
    </row>
    <row r="173" customFormat="false" ht="15" hidden="false" customHeight="false" outlineLevel="0" collapsed="false">
      <c r="A173" s="20" t="n">
        <v>168</v>
      </c>
      <c r="B173" s="22"/>
      <c r="C173" s="21"/>
      <c r="D173" s="21"/>
      <c r="E173" s="21"/>
      <c r="F173" s="24"/>
      <c r="G173" s="21"/>
    </row>
    <row r="174" customFormat="false" ht="15" hidden="false" customHeight="false" outlineLevel="0" collapsed="false">
      <c r="A174" s="20" t="n">
        <v>169</v>
      </c>
      <c r="B174" s="22"/>
      <c r="C174" s="21"/>
      <c r="D174" s="21"/>
      <c r="E174" s="21"/>
      <c r="F174" s="24"/>
      <c r="G174" s="21"/>
    </row>
    <row r="175" customFormat="false" ht="15" hidden="false" customHeight="false" outlineLevel="0" collapsed="false">
      <c r="A175" s="20" t="n">
        <v>170</v>
      </c>
      <c r="B175" s="22"/>
      <c r="C175" s="21"/>
      <c r="D175" s="21"/>
      <c r="E175" s="21"/>
      <c r="F175" s="24"/>
      <c r="G175" s="21"/>
    </row>
    <row r="176" customFormat="false" ht="15" hidden="false" customHeight="false" outlineLevel="0" collapsed="false">
      <c r="A176" s="20" t="n">
        <v>171</v>
      </c>
      <c r="B176" s="22"/>
      <c r="C176" s="21"/>
      <c r="D176" s="21"/>
      <c r="E176" s="21"/>
      <c r="F176" s="24"/>
      <c r="G176" s="21"/>
    </row>
    <row r="177" customFormat="false" ht="15" hidden="false" customHeight="false" outlineLevel="0" collapsed="false">
      <c r="A177" s="20" t="n">
        <v>172</v>
      </c>
      <c r="B177" s="22"/>
      <c r="C177" s="21"/>
      <c r="D177" s="21"/>
      <c r="E177" s="21"/>
      <c r="F177" s="24"/>
      <c r="G177" s="21"/>
    </row>
    <row r="178" customFormat="false" ht="15" hidden="false" customHeight="false" outlineLevel="0" collapsed="false">
      <c r="A178" s="20" t="n">
        <v>173</v>
      </c>
      <c r="B178" s="22"/>
      <c r="C178" s="21"/>
      <c r="D178" s="21"/>
      <c r="E178" s="21"/>
      <c r="F178" s="24"/>
      <c r="G178" s="21"/>
    </row>
    <row r="179" customFormat="false" ht="15" hidden="false" customHeight="false" outlineLevel="0" collapsed="false">
      <c r="A179" s="20" t="n">
        <v>174</v>
      </c>
      <c r="B179" s="22"/>
      <c r="C179" s="21"/>
      <c r="D179" s="21"/>
      <c r="E179" s="21"/>
      <c r="F179" s="24"/>
      <c r="G179" s="21"/>
    </row>
    <row r="180" customFormat="false" ht="15" hidden="false" customHeight="false" outlineLevel="0" collapsed="false">
      <c r="A180" s="20" t="n">
        <v>175</v>
      </c>
      <c r="B180" s="22"/>
      <c r="C180" s="21"/>
      <c r="D180" s="21"/>
      <c r="E180" s="21"/>
      <c r="F180" s="24"/>
      <c r="G180" s="21"/>
    </row>
    <row r="181" customFormat="false" ht="15" hidden="false" customHeight="false" outlineLevel="0" collapsed="false">
      <c r="A181" s="20" t="n">
        <v>176</v>
      </c>
      <c r="B181" s="22"/>
      <c r="C181" s="21"/>
      <c r="D181" s="21"/>
      <c r="E181" s="21"/>
      <c r="F181" s="24"/>
      <c r="G181" s="21"/>
    </row>
    <row r="182" customFormat="false" ht="15" hidden="false" customHeight="false" outlineLevel="0" collapsed="false">
      <c r="A182" s="20" t="n">
        <v>177</v>
      </c>
      <c r="B182" s="22"/>
      <c r="C182" s="21"/>
      <c r="D182" s="21"/>
      <c r="E182" s="21"/>
      <c r="F182" s="24"/>
      <c r="G182" s="21"/>
    </row>
    <row r="183" customFormat="false" ht="15" hidden="false" customHeight="false" outlineLevel="0" collapsed="false">
      <c r="A183" s="20" t="n">
        <v>178</v>
      </c>
      <c r="B183" s="22"/>
      <c r="C183" s="21"/>
      <c r="D183" s="21"/>
      <c r="E183" s="21"/>
      <c r="F183" s="24"/>
      <c r="G183" s="21"/>
    </row>
    <row r="184" customFormat="false" ht="15" hidden="false" customHeight="false" outlineLevel="0" collapsed="false">
      <c r="A184" s="20" t="n">
        <v>179</v>
      </c>
      <c r="B184" s="22"/>
      <c r="C184" s="21"/>
      <c r="D184" s="21"/>
      <c r="E184" s="21"/>
      <c r="F184" s="24"/>
      <c r="G184" s="21"/>
    </row>
    <row r="185" customFormat="false" ht="15" hidden="false" customHeight="false" outlineLevel="0" collapsed="false">
      <c r="A185" s="20" t="n">
        <v>180</v>
      </c>
      <c r="B185" s="22"/>
      <c r="C185" s="21"/>
      <c r="D185" s="21"/>
      <c r="E185" s="21"/>
      <c r="F185" s="24"/>
      <c r="G185" s="21"/>
    </row>
    <row r="186" customFormat="false" ht="15" hidden="false" customHeight="false" outlineLevel="0" collapsed="false">
      <c r="A186" s="20" t="n">
        <v>181</v>
      </c>
      <c r="B186" s="22"/>
      <c r="C186" s="21"/>
      <c r="D186" s="21"/>
      <c r="E186" s="21"/>
      <c r="F186" s="24"/>
      <c r="G186" s="21"/>
    </row>
    <row r="187" customFormat="false" ht="15" hidden="false" customHeight="false" outlineLevel="0" collapsed="false">
      <c r="A187" s="20" t="n">
        <v>182</v>
      </c>
      <c r="B187" s="22"/>
      <c r="C187" s="21"/>
      <c r="D187" s="21"/>
      <c r="E187" s="21"/>
      <c r="F187" s="24"/>
      <c r="G187" s="21"/>
    </row>
    <row r="188" customFormat="false" ht="15" hidden="false" customHeight="false" outlineLevel="0" collapsed="false">
      <c r="A188" s="20" t="n">
        <v>183</v>
      </c>
      <c r="B188" s="22"/>
      <c r="C188" s="21"/>
      <c r="D188" s="21"/>
      <c r="E188" s="21"/>
      <c r="F188" s="24"/>
      <c r="G188" s="21"/>
    </row>
    <row r="189" customFormat="false" ht="15" hidden="false" customHeight="false" outlineLevel="0" collapsed="false">
      <c r="A189" s="20" t="n">
        <v>184</v>
      </c>
      <c r="B189" s="22"/>
      <c r="C189" s="21"/>
      <c r="D189" s="21"/>
      <c r="E189" s="21"/>
      <c r="F189" s="24"/>
      <c r="G189" s="21"/>
    </row>
    <row r="190" customFormat="false" ht="15" hidden="false" customHeight="false" outlineLevel="0" collapsed="false">
      <c r="A190" s="20" t="n">
        <v>185</v>
      </c>
      <c r="B190" s="22"/>
      <c r="C190" s="21"/>
      <c r="D190" s="21"/>
      <c r="E190" s="21"/>
      <c r="F190" s="24"/>
      <c r="G190" s="21"/>
    </row>
    <row r="191" customFormat="false" ht="15" hidden="false" customHeight="false" outlineLevel="0" collapsed="false">
      <c r="A191" s="20" t="n">
        <v>186</v>
      </c>
      <c r="B191" s="22"/>
      <c r="C191" s="21"/>
      <c r="D191" s="21"/>
      <c r="E191" s="21"/>
      <c r="F191" s="24"/>
      <c r="G191" s="21"/>
    </row>
    <row r="192" customFormat="false" ht="15" hidden="false" customHeight="false" outlineLevel="0" collapsed="false">
      <c r="A192" s="20" t="n">
        <v>187</v>
      </c>
      <c r="B192" s="22"/>
      <c r="C192" s="21"/>
      <c r="D192" s="21"/>
      <c r="E192" s="21"/>
      <c r="F192" s="24"/>
      <c r="G192" s="21"/>
    </row>
    <row r="193" customFormat="false" ht="15" hidden="false" customHeight="false" outlineLevel="0" collapsed="false">
      <c r="A193" s="20" t="n">
        <v>188</v>
      </c>
      <c r="B193" s="22"/>
      <c r="C193" s="21"/>
      <c r="D193" s="21"/>
      <c r="E193" s="21"/>
      <c r="F193" s="24"/>
      <c r="G193" s="21"/>
    </row>
    <row r="194" customFormat="false" ht="15" hidden="false" customHeight="false" outlineLevel="0" collapsed="false">
      <c r="A194" s="20" t="n">
        <v>189</v>
      </c>
      <c r="B194" s="22"/>
      <c r="C194" s="21"/>
      <c r="D194" s="21"/>
      <c r="E194" s="21"/>
      <c r="F194" s="24"/>
      <c r="G194" s="21"/>
    </row>
    <row r="195" customFormat="false" ht="15" hidden="false" customHeight="false" outlineLevel="0" collapsed="false">
      <c r="A195" s="20" t="n">
        <v>190</v>
      </c>
      <c r="B195" s="22"/>
      <c r="C195" s="21"/>
      <c r="D195" s="21"/>
      <c r="E195" s="21"/>
      <c r="F195" s="24"/>
      <c r="G195" s="21"/>
    </row>
    <row r="196" customFormat="false" ht="15" hidden="false" customHeight="false" outlineLevel="0" collapsed="false">
      <c r="A196" s="20" t="n">
        <v>191</v>
      </c>
      <c r="B196" s="22"/>
      <c r="C196" s="21"/>
      <c r="D196" s="21"/>
      <c r="E196" s="21"/>
      <c r="F196" s="24"/>
      <c r="G196" s="21"/>
    </row>
    <row r="197" customFormat="false" ht="15" hidden="false" customHeight="false" outlineLevel="0" collapsed="false">
      <c r="A197" s="20" t="n">
        <v>192</v>
      </c>
      <c r="B197" s="22"/>
      <c r="C197" s="21"/>
      <c r="D197" s="21"/>
      <c r="E197" s="21"/>
      <c r="F197" s="24"/>
      <c r="G197" s="21"/>
    </row>
    <row r="198" customFormat="false" ht="15" hidden="false" customHeight="false" outlineLevel="0" collapsed="false">
      <c r="A198" s="20" t="n">
        <v>193</v>
      </c>
      <c r="B198" s="22"/>
      <c r="C198" s="21"/>
      <c r="D198" s="21"/>
      <c r="E198" s="21"/>
      <c r="F198" s="24"/>
      <c r="G198" s="21"/>
    </row>
    <row r="199" customFormat="false" ht="15" hidden="false" customHeight="false" outlineLevel="0" collapsed="false">
      <c r="A199" s="20" t="n">
        <v>194</v>
      </c>
      <c r="B199" s="22"/>
      <c r="C199" s="21"/>
      <c r="D199" s="21"/>
      <c r="E199" s="21"/>
      <c r="F199" s="24"/>
      <c r="G199" s="21"/>
    </row>
    <row r="200" customFormat="false" ht="15" hidden="false" customHeight="false" outlineLevel="0" collapsed="false">
      <c r="A200" s="20" t="n">
        <v>195</v>
      </c>
      <c r="B200" s="22"/>
      <c r="C200" s="21"/>
      <c r="D200" s="21"/>
      <c r="E200" s="21"/>
      <c r="F200" s="24"/>
      <c r="G200" s="21"/>
    </row>
    <row r="201" customFormat="false" ht="15" hidden="false" customHeight="false" outlineLevel="0" collapsed="false">
      <c r="A201" s="20" t="n">
        <v>196</v>
      </c>
      <c r="B201" s="22"/>
      <c r="C201" s="21"/>
      <c r="D201" s="21"/>
      <c r="E201" s="21"/>
      <c r="F201" s="24"/>
      <c r="G201" s="21"/>
    </row>
    <row r="202" customFormat="false" ht="15" hidden="false" customHeight="false" outlineLevel="0" collapsed="false">
      <c r="A202" s="20" t="n">
        <v>197</v>
      </c>
      <c r="B202" s="22"/>
      <c r="C202" s="21"/>
      <c r="D202" s="21"/>
      <c r="E202" s="21"/>
      <c r="F202" s="24"/>
      <c r="G202" s="21"/>
    </row>
    <row r="203" customFormat="false" ht="15" hidden="false" customHeight="false" outlineLevel="0" collapsed="false">
      <c r="A203" s="20" t="n">
        <v>198</v>
      </c>
      <c r="B203" s="22"/>
      <c r="C203" s="21"/>
      <c r="D203" s="21"/>
      <c r="E203" s="21"/>
      <c r="F203" s="24"/>
      <c r="G203" s="21"/>
    </row>
    <row r="204" customFormat="false" ht="15" hidden="false" customHeight="false" outlineLevel="0" collapsed="false">
      <c r="A204" s="20" t="n">
        <v>199</v>
      </c>
      <c r="B204" s="22"/>
      <c r="C204" s="21"/>
      <c r="D204" s="21"/>
      <c r="E204" s="21"/>
      <c r="F204" s="24"/>
      <c r="G204" s="21"/>
    </row>
    <row r="205" customFormat="false" ht="15" hidden="false" customHeight="false" outlineLevel="0" collapsed="false">
      <c r="A205" s="20" t="n">
        <v>200</v>
      </c>
      <c r="B205" s="22"/>
      <c r="C205" s="21"/>
      <c r="D205" s="21"/>
      <c r="E205" s="21"/>
      <c r="F205" s="24"/>
      <c r="G205" s="21"/>
    </row>
  </sheetData>
  <dataValidations count="4">
    <dataValidation allowBlank="true" error="Digite uma data válida (ex.: 06/10/2026)." errorStyle="stop" operator="between" showDropDown="false" showErrorMessage="true" showInputMessage="false" sqref="B6:B205" type="date">
      <formula1>36526</formula1>
      <formula2>73051</formula2>
    </dataValidation>
    <dataValidation allowBlank="true" errorStyle="stop" operator="between" showDropDown="false" showErrorMessage="false" showInputMessage="false" sqref="D6:D205" type="list">
      <formula1>Config!$C$15:$C$19</formula1>
      <formula2>0</formula2>
    </dataValidation>
    <dataValidation allowBlank="true" errorStyle="warning" operator="between" showDropDown="false" showErrorMessage="false" showInputMessage="false" sqref="E6:E205" type="list">
      <formula1>Config!$K$6:$K$13</formula1>
      <formula2>0</formula2>
    </dataValidation>
    <dataValidation allowBlank="true" errorStyle="warning" operator="between" showDropDown="false" showErrorMessage="false" showInputMessage="false" sqref="F6:F205" type="list">
      <formula1>"✓,x"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32D"/>
    <pageSetUpPr fitToPage="true"/>
  </sheetPr>
  <dimension ref="B1:R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.39"/>
    <col collapsed="false" customWidth="true" hidden="false" outlineLevel="0" max="3" min="3" style="0" width="21"/>
    <col collapsed="false" customWidth="true" hidden="false" outlineLevel="0" max="4" min="4" style="0" width="1.39"/>
    <col collapsed="false" customWidth="true" hidden="false" outlineLevel="0" max="5" min="5" style="0" width="21"/>
    <col collapsed="false" customWidth="true" hidden="false" outlineLevel="0" max="6" min="6" style="0" width="1.39"/>
    <col collapsed="false" customWidth="true" hidden="false" outlineLevel="0" max="7" min="7" style="0" width="21"/>
    <col collapsed="false" customWidth="true" hidden="false" outlineLevel="0" max="8" min="8" style="0" width="1.39"/>
    <col collapsed="false" customWidth="true" hidden="false" outlineLevel="0" max="9" min="9" style="0" width="21"/>
    <col collapsed="false" customWidth="true" hidden="false" outlineLevel="0" max="10" min="10" style="0" width="1.39"/>
    <col collapsed="false" customWidth="true" hidden="false" outlineLevel="0" max="11" min="11" style="0" width="21"/>
    <col collapsed="false" customWidth="true" hidden="false" outlineLevel="0" max="12" min="12" style="0" width="1.39"/>
    <col collapsed="false" customWidth="true" hidden="false" outlineLevel="0" max="13" min="13" style="0" width="21"/>
    <col collapsed="false" customWidth="true" hidden="false" outlineLevel="0" max="14" min="14" style="0" width="1.39"/>
    <col collapsed="false" customWidth="true" hidden="false" outlineLevel="0" max="15" min="15" style="0" width="21"/>
    <col collapsed="false" customWidth="true" hidden="false" outlineLevel="0" max="16" min="16" style="0" width="2"/>
    <col collapsed="false" customWidth="true" hidden="true" outlineLevel="0" max="17" min="17" style="0" width="16"/>
    <col collapsed="false" customWidth="true" hidden="true" outlineLevel="0" max="18" min="18" style="0" width="12"/>
  </cols>
  <sheetData>
    <row r="1" customFormat="false" ht="21.75" hidden="false" customHeight="true" outlineLevel="0" collapsed="false">
      <c r="B1" s="30" t="s">
        <v>123</v>
      </c>
      <c r="C1" s="30"/>
      <c r="D1" s="30"/>
      <c r="E1" s="30"/>
      <c r="F1" s="31" t="s">
        <v>124</v>
      </c>
      <c r="G1" s="31"/>
      <c r="H1" s="32" t="s">
        <v>45</v>
      </c>
      <c r="I1" s="32"/>
      <c r="J1" s="32" t="s">
        <v>47</v>
      </c>
      <c r="K1" s="32"/>
      <c r="L1" s="32" t="s">
        <v>49</v>
      </c>
      <c r="M1" s="32"/>
      <c r="N1" s="33" t="s">
        <v>125</v>
      </c>
      <c r="O1" s="33"/>
    </row>
    <row r="2" customFormat="false" ht="21.75" hidden="false" customHeight="true" outlineLevel="0" collapsed="false">
      <c r="B2" s="34" t="s">
        <v>126</v>
      </c>
      <c r="C2" s="34"/>
      <c r="D2" s="35" t="s">
        <v>127</v>
      </c>
      <c r="E2" s="35"/>
      <c r="F2" s="34" t="s">
        <v>128</v>
      </c>
      <c r="G2" s="34"/>
      <c r="H2" s="35" t="n">
        <v>2026</v>
      </c>
      <c r="I2" s="35"/>
      <c r="J2" s="34" t="s">
        <v>129</v>
      </c>
      <c r="K2" s="34"/>
      <c r="L2" s="36" t="n">
        <f aca="true">TODAY()</f>
        <v>46303</v>
      </c>
      <c r="M2" s="36"/>
      <c r="N2" s="37" t="str">
        <f aca="false">COUNTIFS(Base!$K$5:$K$2004,"✓",Base!$E$5:$E$2004,"&gt;="&amp;$R$3,Base!$E$5:$E$2004,"&lt;="&amp;$R$4)&amp;" de "&amp;COUNTIFS(Base!$E$5:$E$2004,"&gt;="&amp;$R$3,Base!$E$5:$E$2004,"&lt;="&amp;$R$4)&amp;" concluídos no mês"</f>
        <v>3 de 89 concluídos no mês</v>
      </c>
      <c r="O2" s="37"/>
      <c r="Q2" s="28" t="s">
        <v>130</v>
      </c>
      <c r="R2" s="38" t="n">
        <f aca="true">IFERROR(MATCH($D$2,Config!$I$6:$I$17,0),MONTH(TODAY()))</f>
        <v>10</v>
      </c>
    </row>
    <row r="3" customFormat="false" ht="36" hidden="false" customHeight="true" outlineLevel="0" collapsed="false">
      <c r="B3" s="39" t="str">
        <f aca="false">$D$2&amp;" "&amp;$H$2</f>
        <v>Outubro 2026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Q3" s="28" t="s">
        <v>131</v>
      </c>
      <c r="R3" s="40" t="n">
        <f aca="true">DATE(IF(ISNUMBER($H$2),$H$2,YEAR(TODAY())),$R$2,1)</f>
        <v>46296</v>
      </c>
    </row>
    <row r="4" customFormat="false" ht="18" hidden="false" customHeight="true" outlineLevel="0" collapsed="false">
      <c r="B4" s="41"/>
      <c r="C4" s="42" t="str">
        <f aca="false">" "&amp;UPPER(Config!$C$15)&amp;"  ("&amp;COUNTIFS(Base!$I$5:$I$2004,Config!$C$15,Base!$E$5:$E$2004,"&gt;="&amp;$R$3,Base!$E$5:$E$2004,"&lt;="&amp;$R$4)&amp;")"</f>
        <v> TEÓRICA  (20)</v>
      </c>
      <c r="D4" s="43"/>
      <c r="E4" s="42" t="str">
        <f aca="false">" "&amp;UPPER(Config!$C$16)&amp;"  ("&amp;COUNTIFS(Base!$I$5:$I$2004,Config!$C$16,Base!$E$5:$E$2004,"&gt;="&amp;$R$3,Base!$E$5:$E$2004,"&lt;="&amp;$R$4)&amp;")"</f>
        <v> REVISÃO  (20)</v>
      </c>
      <c r="F4" s="44"/>
      <c r="G4" s="42" t="str">
        <f aca="false">" "&amp;UPPER(Config!$C$17)&amp;"  ("&amp;COUNTIFS(Base!$I$5:$I$2004,Config!$C$17,Base!$E$5:$E$2004,"&gt;="&amp;$R$3,Base!$E$5:$E$2004,"&lt;="&amp;$R$4)&amp;")"</f>
        <v> PRÁTICA  (48)</v>
      </c>
      <c r="H4" s="45"/>
      <c r="I4" s="42" t="str">
        <f aca="false">" "&amp;UPPER(Config!$C$18)&amp;"  ("&amp;COUNTIFS(Base!$I$5:$I$2004,Config!$C$18,Base!$E$5:$E$2004,"&gt;="&amp;$R$3,Base!$E$5:$E$2004,"&lt;="&amp;$R$4)&amp;")"</f>
        <v> SIMULADO  (1)</v>
      </c>
      <c r="J4" s="46"/>
      <c r="K4" s="42" t="str">
        <f aca="false">" "&amp;UPPER(Config!$C$19)&amp;"  ("&amp;COUNTIFS(Base!$I$5:$I$2004,Config!$C$19,Base!$E$5:$E$2004,"&gt;="&amp;$R$3,Base!$E$5:$E$2004,"&lt;="&amp;$R$4)&amp;")"</f>
        <v> OUTRO  (0)</v>
      </c>
      <c r="L4" s="47" t="s">
        <v>132</v>
      </c>
      <c r="M4" s="47"/>
      <c r="N4" s="47"/>
      <c r="O4" s="47"/>
      <c r="Q4" s="28" t="s">
        <v>133</v>
      </c>
      <c r="R4" s="40" t="n">
        <f aca="false">DATE(YEAR($R$3),$R$2+1,0)</f>
        <v>46326</v>
      </c>
    </row>
    <row r="5" customFormat="false" ht="6" hidden="false" customHeight="true" outlineLevel="0" collapsed="false">
      <c r="Q5" s="28" t="s">
        <v>134</v>
      </c>
      <c r="R5" s="40" t="n">
        <f aca="false">$R$3-WEEKDAY($R$3)+1</f>
        <v>46292</v>
      </c>
    </row>
    <row r="6" customFormat="false" ht="21.75" hidden="false" customHeight="true" outlineLevel="0" collapsed="false">
      <c r="B6" s="48" t="s">
        <v>135</v>
      </c>
      <c r="C6" s="48"/>
      <c r="D6" s="49" t="s">
        <v>136</v>
      </c>
      <c r="E6" s="49"/>
      <c r="F6" s="49" t="s">
        <v>137</v>
      </c>
      <c r="G6" s="49"/>
      <c r="H6" s="49" t="s">
        <v>138</v>
      </c>
      <c r="I6" s="49"/>
      <c r="J6" s="49" t="s">
        <v>139</v>
      </c>
      <c r="K6" s="49"/>
      <c r="L6" s="49" t="s">
        <v>140</v>
      </c>
      <c r="M6" s="49"/>
      <c r="N6" s="49" t="s">
        <v>141</v>
      </c>
      <c r="O6" s="49"/>
    </row>
    <row r="7" customFormat="false" ht="18.75" hidden="false" customHeight="true" outlineLevel="0" collapsed="false">
      <c r="B7" s="50"/>
      <c r="C7" s="51" t="n">
        <f aca="false">$R$5+0</f>
        <v>46292</v>
      </c>
      <c r="D7" s="52"/>
      <c r="E7" s="51" t="n">
        <f aca="false">$R$5+1</f>
        <v>46293</v>
      </c>
      <c r="F7" s="52"/>
      <c r="G7" s="51" t="n">
        <f aca="false">$R$5+2</f>
        <v>46294</v>
      </c>
      <c r="H7" s="52"/>
      <c r="I7" s="51" t="n">
        <f aca="false">$R$5+3</f>
        <v>46295</v>
      </c>
      <c r="J7" s="52"/>
      <c r="K7" s="51" t="n">
        <f aca="false">$R$5+4</f>
        <v>46296</v>
      </c>
      <c r="L7" s="52"/>
      <c r="M7" s="51" t="n">
        <f aca="false">$R$5+5</f>
        <v>46297</v>
      </c>
      <c r="N7" s="52"/>
      <c r="O7" s="51" t="n">
        <f aca="false">$R$5+6</f>
        <v>46298</v>
      </c>
    </row>
    <row r="8" customFormat="false" ht="16.5" hidden="false" customHeight="true" outlineLevel="0" collapsed="false">
      <c r="B8" s="53" t="str">
        <f aca="false">IFERROR(INDEX(Base!$N$5:$N$2004,MATCH(C7*100+1,Base!$P$5:$P$2004,0)),"")</f>
        <v>TEOx</v>
      </c>
      <c r="C8" s="54" t="str">
        <f aca="false">IFERROR(INDEX(Base!$M$5:$M$2004,MATCH(C7*100+1,Base!$P$5:$P$2004,0)),"")</f>
        <v>✓ T · Cardiopediatria</v>
      </c>
      <c r="D8" s="55" t="str">
        <f aca="false">IFERROR(INDEX(Base!$N$5:$N$2004,MATCH(E7*100+1,Base!$P$5:$P$2004,0)),"")</f>
        <v>REVx</v>
      </c>
      <c r="E8" s="54" t="str">
        <f aca="false">IFERROR(INDEX(Base!$M$5:$M$2004,MATCH(E7*100+1,Base!$P$5:$P$2004,0)),"")</f>
        <v>✓ R1 · Cardiopediatria</v>
      </c>
      <c r="F8" s="55" t="str">
        <f aca="false">IFERROR(INDEX(Base!$N$5:$N$2004,MATCH(G7*100+1,Base!$P$5:$P$2004,0)),"")</f>
        <v>REVx</v>
      </c>
      <c r="G8" s="54" t="str">
        <f aca="false">IFERROR(INDEX(Base!$M$5:$M$2004,MATCH(G7*100+1,Base!$P$5:$P$2004,0)),"")</f>
        <v>✓ R1 · Doenças da Tireoide</v>
      </c>
      <c r="H8" s="55" t="str">
        <f aca="false">IFERROR(INDEX(Base!$N$5:$N$2004,MATCH(I7*100+1,Base!$P$5:$P$2004,0)),"")</f>
        <v/>
      </c>
      <c r="I8" s="54" t="str">
        <f aca="false">IFERROR(INDEX(Base!$M$5:$M$2004,MATCH(I7*100+1,Base!$P$5:$P$2004,0)),"")</f>
        <v/>
      </c>
      <c r="J8" s="55" t="str">
        <f aca="false">IFERROR(INDEX(Base!$N$5:$N$2004,MATCH(K7*100+1,Base!$P$5:$P$2004,0)),"")</f>
        <v/>
      </c>
      <c r="K8" s="54" t="str">
        <f aca="false">IFERROR(INDEX(Base!$M$5:$M$2004,MATCH(K7*100+1,Base!$P$5:$P$2004,0)),"")</f>
        <v/>
      </c>
      <c r="L8" s="55" t="str">
        <f aca="false">IFERROR(INDEX(Base!$N$5:$N$2004,MATCH(M7*100+1,Base!$P$5:$P$2004,0)),"")</f>
        <v>TEOx</v>
      </c>
      <c r="M8" s="54" t="str">
        <f aca="false">IFERROR(INDEX(Base!$M$5:$M$2004,MATCH(M7*100+1,Base!$P$5:$P$2004,0)),"")</f>
        <v>✓ T · ATB</v>
      </c>
      <c r="N8" s="55" t="str">
        <f aca="false">IFERROR(INDEX(Base!$N$5:$N$2004,MATCH(O7*100+1,Base!$P$5:$P$2004,0)),"")</f>
        <v>REV</v>
      </c>
      <c r="O8" s="54" t="str">
        <f aca="false">IFERROR(INDEX(Base!$M$5:$M$2004,MATCH(O7*100+1,Base!$P$5:$P$2004,0)),"")</f>
        <v>R1 · ATB</v>
      </c>
    </row>
    <row r="9" customFormat="false" ht="16.5" hidden="false" customHeight="true" outlineLevel="0" collapsed="false">
      <c r="B9" s="53" t="str">
        <f aca="false">IFERROR(INDEX(Base!$N$5:$N$2004,MATCH(C7*100+2,Base!$P$5:$P$2004,0)),"")</f>
        <v>TEOx</v>
      </c>
      <c r="C9" s="54" t="str">
        <f aca="false">IFERROR(INDEX(Base!$M$5:$M$2004,MATCH(C7*100+2,Base!$P$5:$P$2004,0)),"")</f>
        <v>✓ T · Nefrologia Pediátrica / ITU</v>
      </c>
      <c r="D9" s="55" t="str">
        <f aca="false">IFERROR(INDEX(Base!$N$5:$N$2004,MATCH(E7*100+2,Base!$P$5:$P$2004,0)),"")</f>
        <v>REVx</v>
      </c>
      <c r="E9" s="54" t="str">
        <f aca="false">IFERROR(INDEX(Base!$M$5:$M$2004,MATCH(E7*100+2,Base!$P$5:$P$2004,0)),"")</f>
        <v>✓ R1 · Nefrologia Pediátrica / ITU</v>
      </c>
      <c r="F9" s="55" t="str">
        <f aca="false">IFERROR(INDEX(Base!$N$5:$N$2004,MATCH(G7*100+2,Base!$P$5:$P$2004,0)),"")</f>
        <v>REV</v>
      </c>
      <c r="G9" s="54" t="str">
        <f aca="false">IFERROR(INDEX(Base!$M$5:$M$2004,MATCH(G7*100+2,Base!$P$5:$P$2004,0)),"")</f>
        <v>R1 · Valvopatias</v>
      </c>
      <c r="H9" s="55" t="str">
        <f aca="false">IFERROR(INDEX(Base!$N$5:$N$2004,MATCH(I7*100+2,Base!$P$5:$P$2004,0)),"")</f>
        <v/>
      </c>
      <c r="I9" s="54" t="str">
        <f aca="false">IFERROR(INDEX(Base!$M$5:$M$2004,MATCH(I7*100+2,Base!$P$5:$P$2004,0)),"")</f>
        <v/>
      </c>
      <c r="J9" s="55" t="str">
        <f aca="false">IFERROR(INDEX(Base!$N$5:$N$2004,MATCH(K7*100+2,Base!$P$5:$P$2004,0)),"")</f>
        <v/>
      </c>
      <c r="K9" s="54" t="str">
        <f aca="false">IFERROR(INDEX(Base!$M$5:$M$2004,MATCH(K7*100+2,Base!$P$5:$P$2004,0)),"")</f>
        <v/>
      </c>
      <c r="L9" s="55" t="str">
        <f aca="false">IFERROR(INDEX(Base!$N$5:$N$2004,MATCH(M7*100+2,Base!$P$5:$P$2004,0)),"")</f>
        <v/>
      </c>
      <c r="M9" s="54" t="str">
        <f aca="false">IFERROR(INDEX(Base!$M$5:$M$2004,MATCH(M7*100+2,Base!$P$5:$P$2004,0)),"")</f>
        <v/>
      </c>
      <c r="N9" s="55" t="str">
        <f aca="false">IFERROR(INDEX(Base!$N$5:$N$2004,MATCH(O7*100+2,Base!$P$5:$P$2004,0)),"")</f>
        <v/>
      </c>
      <c r="O9" s="54" t="str">
        <f aca="false">IFERROR(INDEX(Base!$M$5:$M$2004,MATCH(O7*100+2,Base!$P$5:$P$2004,0)),"")</f>
        <v/>
      </c>
    </row>
    <row r="10" customFormat="false" ht="16.5" hidden="false" customHeight="true" outlineLevel="0" collapsed="false">
      <c r="B10" s="53" t="str">
        <f aca="false">IFERROR(INDEX(Base!$N$5:$N$2004,MATCH(C7*100+3,Base!$P$5:$P$2004,0)),"")</f>
        <v>TEOx</v>
      </c>
      <c r="C10" s="54" t="str">
        <f aca="false">IFERROR(INDEX(Base!$M$5:$M$2004,MATCH(C7*100+3,Base!$P$5:$P$2004,0)),"")</f>
        <v>✓ T · Asma e DPOC</v>
      </c>
      <c r="D10" s="55" t="str">
        <f aca="false">IFERROR(INDEX(Base!$N$5:$N$2004,MATCH(E7*100+3,Base!$P$5:$P$2004,0)),"")</f>
        <v>REVx</v>
      </c>
      <c r="E10" s="54" t="str">
        <f aca="false">IFERROR(INDEX(Base!$M$5:$M$2004,MATCH(E7*100+3,Base!$P$5:$P$2004,0)),"")</f>
        <v>✓ R1 · Asma e DPOC</v>
      </c>
      <c r="F10" s="55" t="str">
        <f aca="false">IFERROR(INDEX(Base!$N$5:$N$2004,MATCH(G7*100+3,Base!$P$5:$P$2004,0)),"")</f>
        <v>REV</v>
      </c>
      <c r="G10" s="54" t="str">
        <f aca="false">IFERROR(INDEX(Base!$M$5:$M$2004,MATCH(G7*100+3,Base!$P$5:$P$2004,0)),"")</f>
        <v>R1 · Demência e Parkinson</v>
      </c>
      <c r="H10" s="55" t="str">
        <f aca="false">IFERROR(INDEX(Base!$N$5:$N$2004,MATCH(I7*100+3,Base!$P$5:$P$2004,0)),"")</f>
        <v/>
      </c>
      <c r="I10" s="54" t="str">
        <f aca="false">IFERROR(INDEX(Base!$M$5:$M$2004,MATCH(I7*100+3,Base!$P$5:$P$2004,0)),"")</f>
        <v/>
      </c>
      <c r="J10" s="55" t="str">
        <f aca="false">IFERROR(INDEX(Base!$N$5:$N$2004,MATCH(K7*100+3,Base!$P$5:$P$2004,0)),"")</f>
        <v/>
      </c>
      <c r="K10" s="54" t="str">
        <f aca="false">IFERROR(INDEX(Base!$M$5:$M$2004,MATCH(K7*100+3,Base!$P$5:$P$2004,0)),"")</f>
        <v/>
      </c>
      <c r="L10" s="55" t="str">
        <f aca="false">IFERROR(INDEX(Base!$N$5:$N$2004,MATCH(M7*100+3,Base!$P$5:$P$2004,0)),"")</f>
        <v/>
      </c>
      <c r="M10" s="54" t="str">
        <f aca="false">IFERROR(INDEX(Base!$M$5:$M$2004,MATCH(M7*100+3,Base!$P$5:$P$2004,0)),"")</f>
        <v/>
      </c>
      <c r="N10" s="55" t="str">
        <f aca="false">IFERROR(INDEX(Base!$N$5:$N$2004,MATCH(O7*100+3,Base!$P$5:$P$2004,0)),"")</f>
        <v/>
      </c>
      <c r="O10" s="54" t="str">
        <f aca="false">IFERROR(INDEX(Base!$M$5:$M$2004,MATCH(O7*100+3,Base!$P$5:$P$2004,0)),"")</f>
        <v/>
      </c>
    </row>
    <row r="11" customFormat="false" ht="16.5" hidden="false" customHeight="true" outlineLevel="0" collapsed="false">
      <c r="B11" s="53" t="str">
        <f aca="false">IFERROR(INDEX(Base!$N$5:$N$2004,MATCH(C7*100+4,Base!$P$5:$P$2004,0)),"")</f>
        <v/>
      </c>
      <c r="C11" s="54" t="str">
        <f aca="false">IFERROR(INDEX(Base!$M$5:$M$2004,MATCH(C7*100+4,Base!$P$5:$P$2004,0)),"")</f>
        <v/>
      </c>
      <c r="D11" s="55" t="str">
        <f aca="false">IFERROR(INDEX(Base!$N$5:$N$2004,MATCH(E7*100+4,Base!$P$5:$P$2004,0)),"")</f>
        <v>TEOx</v>
      </c>
      <c r="E11" s="54" t="str">
        <f aca="false">IFERROR(INDEX(Base!$M$5:$M$2004,MATCH(E7*100+4,Base!$P$5:$P$2004,0)),"")</f>
        <v>✓ T · Doenças da Tireoide</v>
      </c>
      <c r="F11" s="55" t="str">
        <f aca="false">IFERROR(INDEX(Base!$N$5:$N$2004,MATCH(G7*100+4,Base!$P$5:$P$2004,0)),"")</f>
        <v/>
      </c>
      <c r="G11" s="54" t="str">
        <f aca="false">IFERROR(INDEX(Base!$M$5:$M$2004,MATCH(G7*100+4,Base!$P$5:$P$2004,0)),"")</f>
        <v/>
      </c>
      <c r="H11" s="55" t="str">
        <f aca="false">IFERROR(INDEX(Base!$N$5:$N$2004,MATCH(I7*100+4,Base!$P$5:$P$2004,0)),"")</f>
        <v/>
      </c>
      <c r="I11" s="54" t="str">
        <f aca="false">IFERROR(INDEX(Base!$M$5:$M$2004,MATCH(I7*100+4,Base!$P$5:$P$2004,0)),"")</f>
        <v/>
      </c>
      <c r="J11" s="55" t="str">
        <f aca="false">IFERROR(INDEX(Base!$N$5:$N$2004,MATCH(K7*100+4,Base!$P$5:$P$2004,0)),"")</f>
        <v/>
      </c>
      <c r="K11" s="54" t="str">
        <f aca="false">IFERROR(INDEX(Base!$M$5:$M$2004,MATCH(K7*100+4,Base!$P$5:$P$2004,0)),"")</f>
        <v/>
      </c>
      <c r="L11" s="55" t="str">
        <f aca="false">IFERROR(INDEX(Base!$N$5:$N$2004,MATCH(M7*100+4,Base!$P$5:$P$2004,0)),"")</f>
        <v/>
      </c>
      <c r="M11" s="54" t="str">
        <f aca="false">IFERROR(INDEX(Base!$M$5:$M$2004,MATCH(M7*100+4,Base!$P$5:$P$2004,0)),"")</f>
        <v/>
      </c>
      <c r="N11" s="55" t="str">
        <f aca="false">IFERROR(INDEX(Base!$N$5:$N$2004,MATCH(O7*100+4,Base!$P$5:$P$2004,0)),"")</f>
        <v/>
      </c>
      <c r="O11" s="54" t="str">
        <f aca="false">IFERROR(INDEX(Base!$M$5:$M$2004,MATCH(O7*100+4,Base!$P$5:$P$2004,0)),"")</f>
        <v/>
      </c>
    </row>
    <row r="12" customFormat="false" ht="16.5" hidden="false" customHeight="true" outlineLevel="0" collapsed="false">
      <c r="B12" s="53" t="str">
        <f aca="false">IFERROR(INDEX(Base!$N$5:$N$2004,MATCH(C7*100+5,Base!$P$5:$P$2004,0)),"")</f>
        <v/>
      </c>
      <c r="C12" s="54" t="str">
        <f aca="false">IFERROR(INDEX(Base!$M$5:$M$2004,MATCH(C7*100+5,Base!$P$5:$P$2004,0)),"")</f>
        <v/>
      </c>
      <c r="D12" s="55" t="str">
        <f aca="false">IFERROR(INDEX(Base!$N$5:$N$2004,MATCH(E7*100+5,Base!$P$5:$P$2004,0)),"")</f>
        <v>TEO</v>
      </c>
      <c r="E12" s="54" t="str">
        <f aca="false">IFERROR(INDEX(Base!$M$5:$M$2004,MATCH(E7*100+5,Base!$P$5:$P$2004,0)),"")</f>
        <v>T · Valvopatias</v>
      </c>
      <c r="F12" s="55" t="str">
        <f aca="false">IFERROR(INDEX(Base!$N$5:$N$2004,MATCH(G7*100+5,Base!$P$5:$P$2004,0)),"")</f>
        <v/>
      </c>
      <c r="G12" s="54" t="str">
        <f aca="false">IFERROR(INDEX(Base!$M$5:$M$2004,MATCH(G7*100+5,Base!$P$5:$P$2004,0)),"")</f>
        <v/>
      </c>
      <c r="H12" s="55" t="str">
        <f aca="false">IFERROR(INDEX(Base!$N$5:$N$2004,MATCH(I7*100+5,Base!$P$5:$P$2004,0)),"")</f>
        <v/>
      </c>
      <c r="I12" s="54" t="str">
        <f aca="false">IFERROR(INDEX(Base!$M$5:$M$2004,MATCH(I7*100+5,Base!$P$5:$P$2004,0)),"")</f>
        <v/>
      </c>
      <c r="J12" s="55" t="str">
        <f aca="false">IFERROR(INDEX(Base!$N$5:$N$2004,MATCH(K7*100+5,Base!$P$5:$P$2004,0)),"")</f>
        <v/>
      </c>
      <c r="K12" s="54" t="str">
        <f aca="false">IFERROR(INDEX(Base!$M$5:$M$2004,MATCH(K7*100+5,Base!$P$5:$P$2004,0)),"")</f>
        <v/>
      </c>
      <c r="L12" s="55" t="str">
        <f aca="false">IFERROR(INDEX(Base!$N$5:$N$2004,MATCH(M7*100+5,Base!$P$5:$P$2004,0)),"")</f>
        <v/>
      </c>
      <c r="M12" s="54" t="str">
        <f aca="false">IFERROR(INDEX(Base!$M$5:$M$2004,MATCH(M7*100+5,Base!$P$5:$P$2004,0)),"")</f>
        <v/>
      </c>
      <c r="N12" s="55" t="str">
        <f aca="false">IFERROR(INDEX(Base!$N$5:$N$2004,MATCH(O7*100+5,Base!$P$5:$P$2004,0)),"")</f>
        <v/>
      </c>
      <c r="O12" s="54" t="str">
        <f aca="false">IFERROR(INDEX(Base!$M$5:$M$2004,MATCH(O7*100+5,Base!$P$5:$P$2004,0)),"")</f>
        <v/>
      </c>
    </row>
    <row r="13" customFormat="false" ht="16.5" hidden="false" customHeight="true" outlineLevel="0" collapsed="false">
      <c r="B13" s="53" t="str">
        <f aca="false">IFERROR(INDEX(Base!$N$5:$N$2004,MATCH(C7*100+6,Base!$P$5:$P$2004,0)),"")</f>
        <v/>
      </c>
      <c r="C13" s="54" t="str">
        <f aca="false">IFERROR(INDEX(Base!$M$5:$M$2004,MATCH(C7*100+6,Base!$P$5:$P$2004,0)),"")</f>
        <v/>
      </c>
      <c r="D13" s="55" t="str">
        <f aca="false">IFERROR(INDEX(Base!$N$5:$N$2004,MATCH(E7*100+6,Base!$P$5:$P$2004,0)),"")</f>
        <v>TEO</v>
      </c>
      <c r="E13" s="54" t="str">
        <f aca="false">IFERROR(INDEX(Base!$M$5:$M$2004,MATCH(E7*100+6,Base!$P$5:$P$2004,0)),"")</f>
        <v>T · Demência e Parkinson</v>
      </c>
      <c r="F13" s="55" t="str">
        <f aca="false">IFERROR(INDEX(Base!$N$5:$N$2004,MATCH(G7*100+6,Base!$P$5:$P$2004,0)),"")</f>
        <v/>
      </c>
      <c r="G13" s="54" t="str">
        <f aca="false">IFERROR(INDEX(Base!$M$5:$M$2004,MATCH(G7*100+6,Base!$P$5:$P$2004,0)),"")</f>
        <v/>
      </c>
      <c r="H13" s="55" t="str">
        <f aca="false">IFERROR(INDEX(Base!$N$5:$N$2004,MATCH(I7*100+6,Base!$P$5:$P$2004,0)),"")</f>
        <v/>
      </c>
      <c r="I13" s="54" t="str">
        <f aca="false">IFERROR(INDEX(Base!$M$5:$M$2004,MATCH(I7*100+6,Base!$P$5:$P$2004,0)),"")</f>
        <v/>
      </c>
      <c r="J13" s="55" t="str">
        <f aca="false">IFERROR(INDEX(Base!$N$5:$N$2004,MATCH(K7*100+6,Base!$P$5:$P$2004,0)),"")</f>
        <v/>
      </c>
      <c r="K13" s="54" t="str">
        <f aca="false">IFERROR(INDEX(Base!$M$5:$M$2004,MATCH(K7*100+6,Base!$P$5:$P$2004,0)),"")</f>
        <v/>
      </c>
      <c r="L13" s="55" t="str">
        <f aca="false">IFERROR(INDEX(Base!$N$5:$N$2004,MATCH(M7*100+6,Base!$P$5:$P$2004,0)),"")</f>
        <v/>
      </c>
      <c r="M13" s="54" t="str">
        <f aca="false">IFERROR(INDEX(Base!$M$5:$M$2004,MATCH(M7*100+6,Base!$P$5:$P$2004,0)),"")</f>
        <v/>
      </c>
      <c r="N13" s="55" t="str">
        <f aca="false">IFERROR(INDEX(Base!$N$5:$N$2004,MATCH(O7*100+6,Base!$P$5:$P$2004,0)),"")</f>
        <v/>
      </c>
      <c r="O13" s="54" t="str">
        <f aca="false">IFERROR(INDEX(Base!$M$5:$M$2004,MATCH(O7*100+6,Base!$P$5:$P$2004,0)),"")</f>
        <v/>
      </c>
    </row>
    <row r="14" customFormat="false" ht="12" hidden="false" customHeight="true" outlineLevel="0" collapsed="false">
      <c r="B14" s="56"/>
      <c r="C14" s="57" t="str">
        <f aca="false">IF(COUNTIF(Base!$E$5:$E$2004,C7)&gt;6,"+"&amp;(COUNTIF(Base!$E$5:$E$2004,C7)-6)&amp;" mais","")</f>
        <v/>
      </c>
      <c r="D14" s="58"/>
      <c r="E14" s="57" t="str">
        <f aca="false">IF(COUNTIF(Base!$E$5:$E$2004,E7)&gt;6,"+"&amp;(COUNTIF(Base!$E$5:$E$2004,E7)-6)&amp;" mais","")</f>
        <v/>
      </c>
      <c r="F14" s="58"/>
      <c r="G14" s="57" t="str">
        <f aca="false">IF(COUNTIF(Base!$E$5:$E$2004,G7)&gt;6,"+"&amp;(COUNTIF(Base!$E$5:$E$2004,G7)-6)&amp;" mais","")</f>
        <v/>
      </c>
      <c r="H14" s="58"/>
      <c r="I14" s="57" t="str">
        <f aca="false">IF(COUNTIF(Base!$E$5:$E$2004,I7)&gt;6,"+"&amp;(COUNTIF(Base!$E$5:$E$2004,I7)-6)&amp;" mais","")</f>
        <v/>
      </c>
      <c r="J14" s="58"/>
      <c r="K14" s="57" t="str">
        <f aca="false">IF(COUNTIF(Base!$E$5:$E$2004,K7)&gt;6,"+"&amp;(COUNTIF(Base!$E$5:$E$2004,K7)-6)&amp;" mais","")</f>
        <v/>
      </c>
      <c r="L14" s="58"/>
      <c r="M14" s="57" t="str">
        <f aca="false">IF(COUNTIF(Base!$E$5:$E$2004,M7)&gt;6,"+"&amp;(COUNTIF(Base!$E$5:$E$2004,M7)-6)&amp;" mais","")</f>
        <v/>
      </c>
      <c r="N14" s="58"/>
      <c r="O14" s="57" t="str">
        <f aca="false">IF(COUNTIF(Base!$E$5:$E$2004,O7)&gt;6,"+"&amp;(COUNTIF(Base!$E$5:$E$2004,O7)-6)&amp;" mais","")</f>
        <v/>
      </c>
    </row>
    <row r="15" customFormat="false" ht="18.75" hidden="false" customHeight="true" outlineLevel="0" collapsed="false">
      <c r="B15" s="50"/>
      <c r="C15" s="51" t="n">
        <f aca="false">$R$5+7</f>
        <v>46299</v>
      </c>
      <c r="D15" s="52"/>
      <c r="E15" s="51" t="n">
        <f aca="false">$R$5+8</f>
        <v>46300</v>
      </c>
      <c r="F15" s="52"/>
      <c r="G15" s="51" t="n">
        <f aca="false">$R$5+9</f>
        <v>46301</v>
      </c>
      <c r="H15" s="52"/>
      <c r="I15" s="51" t="n">
        <f aca="false">$R$5+10</f>
        <v>46302</v>
      </c>
      <c r="J15" s="52"/>
      <c r="K15" s="51" t="n">
        <f aca="false">$R$5+11</f>
        <v>46303</v>
      </c>
      <c r="L15" s="52"/>
      <c r="M15" s="51" t="n">
        <f aca="false">$R$5+12</f>
        <v>46304</v>
      </c>
      <c r="N15" s="52"/>
      <c r="O15" s="51" t="n">
        <f aca="false">$R$5+13</f>
        <v>46305</v>
      </c>
    </row>
    <row r="16" customFormat="false" ht="16.5" hidden="false" customHeight="true" outlineLevel="0" collapsed="false">
      <c r="B16" s="53" t="str">
        <f aca="false">IFERROR(INDEX(Base!$N$5:$N$2004,MATCH(C15*100+1,Base!$P$5:$P$2004,0)),"")</f>
        <v>PRA</v>
      </c>
      <c r="C16" s="54" t="str">
        <f aca="false">IFERROR(INDEX(Base!$M$5:$M$2004,MATCH(C15*100+1,Base!$P$5:$P$2004,0)),"")</f>
        <v>R2 · Cardiopediatria</v>
      </c>
      <c r="D16" s="55" t="str">
        <f aca="false">IFERROR(INDEX(Base!$N$5:$N$2004,MATCH(E15*100+1,Base!$P$5:$P$2004,0)),"")</f>
        <v>PRA</v>
      </c>
      <c r="E16" s="54" t="str">
        <f aca="false">IFERROR(INDEX(Base!$M$5:$M$2004,MATCH(E15*100+1,Base!$P$5:$P$2004,0)),"")</f>
        <v>R2 · Doenças da Tireoide</v>
      </c>
      <c r="F16" s="55" t="str">
        <f aca="false">IFERROR(INDEX(Base!$N$5:$N$2004,MATCH(G15*100+1,Base!$P$5:$P$2004,0)),"")</f>
        <v>REV</v>
      </c>
      <c r="G16" s="54" t="str">
        <f aca="false">IFERROR(INDEX(Base!$M$5:$M$2004,MATCH(G15*100+1,Base!$P$5:$P$2004,0)),"")</f>
        <v>R1 · Transtornos Psiquiátricos I</v>
      </c>
      <c r="H16" s="55" t="str">
        <f aca="false">IFERROR(INDEX(Base!$N$5:$N$2004,MATCH(I15*100+1,Base!$P$5:$P$2004,0)),"")</f>
        <v/>
      </c>
      <c r="I16" s="54" t="str">
        <f aca="false">IFERROR(INDEX(Base!$M$5:$M$2004,MATCH(I15*100+1,Base!$P$5:$P$2004,0)),"")</f>
        <v/>
      </c>
      <c r="J16" s="55" t="str">
        <f aca="false">IFERROR(INDEX(Base!$N$5:$N$2004,MATCH(K15*100+1,Base!$P$5:$P$2004,0)),"")</f>
        <v>TEOx</v>
      </c>
      <c r="K16" s="54" t="str">
        <f aca="false">IFERROR(INDEX(Base!$M$5:$M$2004,MATCH(K15*100+1,Base!$P$5:$P$2004,0)),"")</f>
        <v>✓ T · Síndromes Febris — Dengue</v>
      </c>
      <c r="L16" s="55" t="str">
        <f aca="false">IFERROR(INDEX(Base!$N$5:$N$2004,MATCH(M15*100+1,Base!$P$5:$P$2004,0)),"")</f>
        <v>PRA</v>
      </c>
      <c r="M16" s="54" t="str">
        <f aca="false">IFERROR(INDEX(Base!$M$5:$M$2004,MATCH(M15*100+1,Base!$P$5:$P$2004,0)),"")</f>
        <v>R2 · ATB</v>
      </c>
      <c r="N16" s="55" t="str">
        <f aca="false">IFERROR(INDEX(Base!$N$5:$N$2004,MATCH(O15*100+1,Base!$P$5:$P$2004,0)),"")</f>
        <v/>
      </c>
      <c r="O16" s="54" t="str">
        <f aca="false">IFERROR(INDEX(Base!$M$5:$M$2004,MATCH(O15*100+1,Base!$P$5:$P$2004,0)),"")</f>
        <v/>
      </c>
    </row>
    <row r="17" customFormat="false" ht="16.5" hidden="false" customHeight="true" outlineLevel="0" collapsed="false">
      <c r="B17" s="53" t="str">
        <f aca="false">IFERROR(INDEX(Base!$N$5:$N$2004,MATCH(C15*100+2,Base!$P$5:$P$2004,0)),"")</f>
        <v>PRA</v>
      </c>
      <c r="C17" s="54" t="str">
        <f aca="false">IFERROR(INDEX(Base!$M$5:$M$2004,MATCH(C15*100+2,Base!$P$5:$P$2004,0)),"")</f>
        <v>R2 · Nefrologia Pediátrica / ITU</v>
      </c>
      <c r="D17" s="55" t="str">
        <f aca="false">IFERROR(INDEX(Base!$N$5:$N$2004,MATCH(E15*100+2,Base!$P$5:$P$2004,0)),"")</f>
        <v>PRA</v>
      </c>
      <c r="E17" s="54" t="str">
        <f aca="false">IFERROR(INDEX(Base!$M$5:$M$2004,MATCH(E15*100+2,Base!$P$5:$P$2004,0)),"")</f>
        <v>R2 · Valvopatias</v>
      </c>
      <c r="F17" s="55" t="str">
        <f aca="false">IFERROR(INDEX(Base!$N$5:$N$2004,MATCH(G15*100+2,Base!$P$5:$P$2004,0)),"")</f>
        <v>SIMx</v>
      </c>
      <c r="G17" s="54" t="str">
        <f aca="false">IFERROR(INDEX(Base!$M$5:$M$2004,MATCH(G15*100+2,Base!$P$5:$P$2004,0)),"")</f>
        <v>✓ SIM · UFCSPA 2026</v>
      </c>
      <c r="H17" s="55" t="str">
        <f aca="false">IFERROR(INDEX(Base!$N$5:$N$2004,MATCH(I15*100+2,Base!$P$5:$P$2004,0)),"")</f>
        <v/>
      </c>
      <c r="I17" s="54" t="str">
        <f aca="false">IFERROR(INDEX(Base!$M$5:$M$2004,MATCH(I15*100+2,Base!$P$5:$P$2004,0)),"")</f>
        <v/>
      </c>
      <c r="J17" s="55" t="str">
        <f aca="false">IFERROR(INDEX(Base!$N$5:$N$2004,MATCH(K15*100+2,Base!$P$5:$P$2004,0)),"")</f>
        <v/>
      </c>
      <c r="K17" s="54" t="str">
        <f aca="false">IFERROR(INDEX(Base!$M$5:$M$2004,MATCH(K15*100+2,Base!$P$5:$P$2004,0)),"")</f>
        <v/>
      </c>
      <c r="L17" s="55" t="str">
        <f aca="false">IFERROR(INDEX(Base!$N$5:$N$2004,MATCH(M15*100+2,Base!$P$5:$P$2004,0)),"")</f>
        <v>REV</v>
      </c>
      <c r="M17" s="54" t="str">
        <f aca="false">IFERROR(INDEX(Base!$M$5:$M$2004,MATCH(M15*100+2,Base!$P$5:$P$2004,0)),"")</f>
        <v>R1 · Síndromes Febris — Dengue</v>
      </c>
      <c r="N17" s="55" t="str">
        <f aca="false">IFERROR(INDEX(Base!$N$5:$N$2004,MATCH(O15*100+2,Base!$P$5:$P$2004,0)),"")</f>
        <v/>
      </c>
      <c r="O17" s="54" t="str">
        <f aca="false">IFERROR(INDEX(Base!$M$5:$M$2004,MATCH(O15*100+2,Base!$P$5:$P$2004,0)),"")</f>
        <v/>
      </c>
    </row>
    <row r="18" customFormat="false" ht="16.5" hidden="false" customHeight="true" outlineLevel="0" collapsed="false">
      <c r="B18" s="53" t="str">
        <f aca="false">IFERROR(INDEX(Base!$N$5:$N$2004,MATCH(C15*100+3,Base!$P$5:$P$2004,0)),"")</f>
        <v>PRA</v>
      </c>
      <c r="C18" s="54" t="str">
        <f aca="false">IFERROR(INDEX(Base!$M$5:$M$2004,MATCH(C15*100+3,Base!$P$5:$P$2004,0)),"")</f>
        <v>R2 · Asma e DPOC</v>
      </c>
      <c r="D18" s="55" t="str">
        <f aca="false">IFERROR(INDEX(Base!$N$5:$N$2004,MATCH(E15*100+3,Base!$P$5:$P$2004,0)),"")</f>
        <v>PRA</v>
      </c>
      <c r="E18" s="54" t="str">
        <f aca="false">IFERROR(INDEX(Base!$M$5:$M$2004,MATCH(E15*100+3,Base!$P$5:$P$2004,0)),"")</f>
        <v>R2 · Demência e Parkinson</v>
      </c>
      <c r="F18" s="55" t="str">
        <f aca="false">IFERROR(INDEX(Base!$N$5:$N$2004,MATCH(G15*100+3,Base!$P$5:$P$2004,0)),"")</f>
        <v/>
      </c>
      <c r="G18" s="54" t="str">
        <f aca="false">IFERROR(INDEX(Base!$M$5:$M$2004,MATCH(G15*100+3,Base!$P$5:$P$2004,0)),"")</f>
        <v/>
      </c>
      <c r="H18" s="55" t="str">
        <f aca="false">IFERROR(INDEX(Base!$N$5:$N$2004,MATCH(I15*100+3,Base!$P$5:$P$2004,0)),"")</f>
        <v/>
      </c>
      <c r="I18" s="54" t="str">
        <f aca="false">IFERROR(INDEX(Base!$M$5:$M$2004,MATCH(I15*100+3,Base!$P$5:$P$2004,0)),"")</f>
        <v/>
      </c>
      <c r="J18" s="55" t="str">
        <f aca="false">IFERROR(INDEX(Base!$N$5:$N$2004,MATCH(K15*100+3,Base!$P$5:$P$2004,0)),"")</f>
        <v/>
      </c>
      <c r="K18" s="54" t="str">
        <f aca="false">IFERROR(INDEX(Base!$M$5:$M$2004,MATCH(K15*100+3,Base!$P$5:$P$2004,0)),"")</f>
        <v/>
      </c>
      <c r="L18" s="55" t="str">
        <f aca="false">IFERROR(INDEX(Base!$N$5:$N$2004,MATCH(M15*100+3,Base!$P$5:$P$2004,0)),"")</f>
        <v/>
      </c>
      <c r="M18" s="54" t="str">
        <f aca="false">IFERROR(INDEX(Base!$M$5:$M$2004,MATCH(M15*100+3,Base!$P$5:$P$2004,0)),"")</f>
        <v/>
      </c>
      <c r="N18" s="55" t="str">
        <f aca="false">IFERROR(INDEX(Base!$N$5:$N$2004,MATCH(O15*100+3,Base!$P$5:$P$2004,0)),"")</f>
        <v/>
      </c>
      <c r="O18" s="54" t="str">
        <f aca="false">IFERROR(INDEX(Base!$M$5:$M$2004,MATCH(O15*100+3,Base!$P$5:$P$2004,0)),"")</f>
        <v/>
      </c>
    </row>
    <row r="19" customFormat="false" ht="16.5" hidden="false" customHeight="true" outlineLevel="0" collapsed="false">
      <c r="B19" s="53" t="str">
        <f aca="false">IFERROR(INDEX(Base!$N$5:$N$2004,MATCH(C15*100+4,Base!$P$5:$P$2004,0)),"")</f>
        <v/>
      </c>
      <c r="C19" s="54" t="str">
        <f aca="false">IFERROR(INDEX(Base!$M$5:$M$2004,MATCH(C15*100+4,Base!$P$5:$P$2004,0)),"")</f>
        <v/>
      </c>
      <c r="D19" s="55" t="str">
        <f aca="false">IFERROR(INDEX(Base!$N$5:$N$2004,MATCH(E15*100+4,Base!$P$5:$P$2004,0)),"")</f>
        <v>TEO</v>
      </c>
      <c r="E19" s="54" t="str">
        <f aca="false">IFERROR(INDEX(Base!$M$5:$M$2004,MATCH(E15*100+4,Base!$P$5:$P$2004,0)),"")</f>
        <v>T · Transtornos Psiquiátricos I</v>
      </c>
      <c r="F19" s="55" t="str">
        <f aca="false">IFERROR(INDEX(Base!$N$5:$N$2004,MATCH(G15*100+4,Base!$P$5:$P$2004,0)),"")</f>
        <v/>
      </c>
      <c r="G19" s="54" t="str">
        <f aca="false">IFERROR(INDEX(Base!$M$5:$M$2004,MATCH(G15*100+4,Base!$P$5:$P$2004,0)),"")</f>
        <v/>
      </c>
      <c r="H19" s="55" t="str">
        <f aca="false">IFERROR(INDEX(Base!$N$5:$N$2004,MATCH(I15*100+4,Base!$P$5:$P$2004,0)),"")</f>
        <v/>
      </c>
      <c r="I19" s="54" t="str">
        <f aca="false">IFERROR(INDEX(Base!$M$5:$M$2004,MATCH(I15*100+4,Base!$P$5:$P$2004,0)),"")</f>
        <v/>
      </c>
      <c r="J19" s="55" t="str">
        <f aca="false">IFERROR(INDEX(Base!$N$5:$N$2004,MATCH(K15*100+4,Base!$P$5:$P$2004,0)),"")</f>
        <v/>
      </c>
      <c r="K19" s="54" t="str">
        <f aca="false">IFERROR(INDEX(Base!$M$5:$M$2004,MATCH(K15*100+4,Base!$P$5:$P$2004,0)),"")</f>
        <v/>
      </c>
      <c r="L19" s="55" t="str">
        <f aca="false">IFERROR(INDEX(Base!$N$5:$N$2004,MATCH(M15*100+4,Base!$P$5:$P$2004,0)),"")</f>
        <v/>
      </c>
      <c r="M19" s="54" t="str">
        <f aca="false">IFERROR(INDEX(Base!$M$5:$M$2004,MATCH(M15*100+4,Base!$P$5:$P$2004,0)),"")</f>
        <v/>
      </c>
      <c r="N19" s="55" t="str">
        <f aca="false">IFERROR(INDEX(Base!$N$5:$N$2004,MATCH(O15*100+4,Base!$P$5:$P$2004,0)),"")</f>
        <v/>
      </c>
      <c r="O19" s="54" t="str">
        <f aca="false">IFERROR(INDEX(Base!$M$5:$M$2004,MATCH(O15*100+4,Base!$P$5:$P$2004,0)),"")</f>
        <v/>
      </c>
    </row>
    <row r="20" customFormat="false" ht="16.5" hidden="false" customHeight="true" outlineLevel="0" collapsed="false">
      <c r="B20" s="53" t="str">
        <f aca="false">IFERROR(INDEX(Base!$N$5:$N$2004,MATCH(C15*100+5,Base!$P$5:$P$2004,0)),"")</f>
        <v/>
      </c>
      <c r="C20" s="54" t="str">
        <f aca="false">IFERROR(INDEX(Base!$M$5:$M$2004,MATCH(C15*100+5,Base!$P$5:$P$2004,0)),"")</f>
        <v/>
      </c>
      <c r="D20" s="55" t="str">
        <f aca="false">IFERROR(INDEX(Base!$N$5:$N$2004,MATCH(E15*100+5,Base!$P$5:$P$2004,0)),"")</f>
        <v/>
      </c>
      <c r="E20" s="54" t="str">
        <f aca="false">IFERROR(INDEX(Base!$M$5:$M$2004,MATCH(E15*100+5,Base!$P$5:$P$2004,0)),"")</f>
        <v/>
      </c>
      <c r="F20" s="55" t="str">
        <f aca="false">IFERROR(INDEX(Base!$N$5:$N$2004,MATCH(G15*100+5,Base!$P$5:$P$2004,0)),"")</f>
        <v/>
      </c>
      <c r="G20" s="54" t="str">
        <f aca="false">IFERROR(INDEX(Base!$M$5:$M$2004,MATCH(G15*100+5,Base!$P$5:$P$2004,0)),"")</f>
        <v/>
      </c>
      <c r="H20" s="55" t="str">
        <f aca="false">IFERROR(INDEX(Base!$N$5:$N$2004,MATCH(I15*100+5,Base!$P$5:$P$2004,0)),"")</f>
        <v/>
      </c>
      <c r="I20" s="54" t="str">
        <f aca="false">IFERROR(INDEX(Base!$M$5:$M$2004,MATCH(I15*100+5,Base!$P$5:$P$2004,0)),"")</f>
        <v/>
      </c>
      <c r="J20" s="55" t="str">
        <f aca="false">IFERROR(INDEX(Base!$N$5:$N$2004,MATCH(K15*100+5,Base!$P$5:$P$2004,0)),"")</f>
        <v/>
      </c>
      <c r="K20" s="54" t="str">
        <f aca="false">IFERROR(INDEX(Base!$M$5:$M$2004,MATCH(K15*100+5,Base!$P$5:$P$2004,0)),"")</f>
        <v/>
      </c>
      <c r="L20" s="55" t="str">
        <f aca="false">IFERROR(INDEX(Base!$N$5:$N$2004,MATCH(M15*100+5,Base!$P$5:$P$2004,0)),"")</f>
        <v/>
      </c>
      <c r="M20" s="54" t="str">
        <f aca="false">IFERROR(INDEX(Base!$M$5:$M$2004,MATCH(M15*100+5,Base!$P$5:$P$2004,0)),"")</f>
        <v/>
      </c>
      <c r="N20" s="55" t="str">
        <f aca="false">IFERROR(INDEX(Base!$N$5:$N$2004,MATCH(O15*100+5,Base!$P$5:$P$2004,0)),"")</f>
        <v/>
      </c>
      <c r="O20" s="54" t="str">
        <f aca="false">IFERROR(INDEX(Base!$M$5:$M$2004,MATCH(O15*100+5,Base!$P$5:$P$2004,0)),"")</f>
        <v/>
      </c>
    </row>
    <row r="21" customFormat="false" ht="16.5" hidden="false" customHeight="true" outlineLevel="0" collapsed="false">
      <c r="B21" s="53" t="str">
        <f aca="false">IFERROR(INDEX(Base!$N$5:$N$2004,MATCH(C15*100+6,Base!$P$5:$P$2004,0)),"")</f>
        <v/>
      </c>
      <c r="C21" s="54" t="str">
        <f aca="false">IFERROR(INDEX(Base!$M$5:$M$2004,MATCH(C15*100+6,Base!$P$5:$P$2004,0)),"")</f>
        <v/>
      </c>
      <c r="D21" s="55" t="str">
        <f aca="false">IFERROR(INDEX(Base!$N$5:$N$2004,MATCH(E15*100+6,Base!$P$5:$P$2004,0)),"")</f>
        <v/>
      </c>
      <c r="E21" s="54" t="str">
        <f aca="false">IFERROR(INDEX(Base!$M$5:$M$2004,MATCH(E15*100+6,Base!$P$5:$P$2004,0)),"")</f>
        <v/>
      </c>
      <c r="F21" s="55" t="str">
        <f aca="false">IFERROR(INDEX(Base!$N$5:$N$2004,MATCH(G15*100+6,Base!$P$5:$P$2004,0)),"")</f>
        <v/>
      </c>
      <c r="G21" s="54" t="str">
        <f aca="false">IFERROR(INDEX(Base!$M$5:$M$2004,MATCH(G15*100+6,Base!$P$5:$P$2004,0)),"")</f>
        <v/>
      </c>
      <c r="H21" s="55" t="str">
        <f aca="false">IFERROR(INDEX(Base!$N$5:$N$2004,MATCH(I15*100+6,Base!$P$5:$P$2004,0)),"")</f>
        <v/>
      </c>
      <c r="I21" s="54" t="str">
        <f aca="false">IFERROR(INDEX(Base!$M$5:$M$2004,MATCH(I15*100+6,Base!$P$5:$P$2004,0)),"")</f>
        <v/>
      </c>
      <c r="J21" s="55" t="str">
        <f aca="false">IFERROR(INDEX(Base!$N$5:$N$2004,MATCH(K15*100+6,Base!$P$5:$P$2004,0)),"")</f>
        <v/>
      </c>
      <c r="K21" s="54" t="str">
        <f aca="false">IFERROR(INDEX(Base!$M$5:$M$2004,MATCH(K15*100+6,Base!$P$5:$P$2004,0)),"")</f>
        <v/>
      </c>
      <c r="L21" s="55" t="str">
        <f aca="false">IFERROR(INDEX(Base!$N$5:$N$2004,MATCH(M15*100+6,Base!$P$5:$P$2004,0)),"")</f>
        <v/>
      </c>
      <c r="M21" s="54" t="str">
        <f aca="false">IFERROR(INDEX(Base!$M$5:$M$2004,MATCH(M15*100+6,Base!$P$5:$P$2004,0)),"")</f>
        <v/>
      </c>
      <c r="N21" s="55" t="str">
        <f aca="false">IFERROR(INDEX(Base!$N$5:$N$2004,MATCH(O15*100+6,Base!$P$5:$P$2004,0)),"")</f>
        <v/>
      </c>
      <c r="O21" s="54" t="str">
        <f aca="false">IFERROR(INDEX(Base!$M$5:$M$2004,MATCH(O15*100+6,Base!$P$5:$P$2004,0)),"")</f>
        <v/>
      </c>
    </row>
    <row r="22" customFormat="false" ht="12" hidden="false" customHeight="true" outlineLevel="0" collapsed="false">
      <c r="B22" s="56"/>
      <c r="C22" s="57" t="str">
        <f aca="false">IF(COUNTIF(Base!$E$5:$E$2004,C15)&gt;6,"+"&amp;(COUNTIF(Base!$E$5:$E$2004,C15)-6)&amp;" mais","")</f>
        <v/>
      </c>
      <c r="D22" s="58"/>
      <c r="E22" s="57" t="str">
        <f aca="false">IF(COUNTIF(Base!$E$5:$E$2004,E15)&gt;6,"+"&amp;(COUNTIF(Base!$E$5:$E$2004,E15)-6)&amp;" mais","")</f>
        <v/>
      </c>
      <c r="F22" s="58"/>
      <c r="G22" s="57" t="str">
        <f aca="false">IF(COUNTIF(Base!$E$5:$E$2004,G15)&gt;6,"+"&amp;(COUNTIF(Base!$E$5:$E$2004,G15)-6)&amp;" mais","")</f>
        <v/>
      </c>
      <c r="H22" s="58"/>
      <c r="I22" s="57" t="str">
        <f aca="false">IF(COUNTIF(Base!$E$5:$E$2004,I15)&gt;6,"+"&amp;(COUNTIF(Base!$E$5:$E$2004,I15)-6)&amp;" mais","")</f>
        <v/>
      </c>
      <c r="J22" s="58"/>
      <c r="K22" s="57" t="str">
        <f aca="false">IF(COUNTIF(Base!$E$5:$E$2004,K15)&gt;6,"+"&amp;(COUNTIF(Base!$E$5:$E$2004,K15)-6)&amp;" mais","")</f>
        <v/>
      </c>
      <c r="L22" s="58"/>
      <c r="M22" s="57" t="str">
        <f aca="false">IF(COUNTIF(Base!$E$5:$E$2004,M15)&gt;6,"+"&amp;(COUNTIF(Base!$E$5:$E$2004,M15)-6)&amp;" mais","")</f>
        <v/>
      </c>
      <c r="N22" s="58"/>
      <c r="O22" s="57" t="str">
        <f aca="false">IF(COUNTIF(Base!$E$5:$E$2004,O15)&gt;6,"+"&amp;(COUNTIF(Base!$E$5:$E$2004,O15)-6)&amp;" mais","")</f>
        <v/>
      </c>
    </row>
    <row r="23" customFormat="false" ht="18.75" hidden="false" customHeight="true" outlineLevel="0" collapsed="false">
      <c r="B23" s="50"/>
      <c r="C23" s="51" t="n">
        <f aca="false">$R$5+14</f>
        <v>46306</v>
      </c>
      <c r="D23" s="52"/>
      <c r="E23" s="51" t="n">
        <f aca="false">$R$5+15</f>
        <v>46307</v>
      </c>
      <c r="F23" s="52"/>
      <c r="G23" s="51" t="n">
        <f aca="false">$R$5+16</f>
        <v>46308</v>
      </c>
      <c r="H23" s="52"/>
      <c r="I23" s="51" t="n">
        <f aca="false">$R$5+17</f>
        <v>46309</v>
      </c>
      <c r="J23" s="52"/>
      <c r="K23" s="51" t="n">
        <f aca="false">$R$5+18</f>
        <v>46310</v>
      </c>
      <c r="L23" s="52"/>
      <c r="M23" s="51" t="n">
        <f aca="false">$R$5+19</f>
        <v>46311</v>
      </c>
      <c r="N23" s="52"/>
      <c r="O23" s="51" t="n">
        <f aca="false">$R$5+20</f>
        <v>46312</v>
      </c>
    </row>
    <row r="24" customFormat="false" ht="16.5" hidden="false" customHeight="true" outlineLevel="0" collapsed="false">
      <c r="B24" s="53" t="str">
        <f aca="false">IFERROR(INDEX(Base!$N$5:$N$2004,MATCH(C23*100+1,Base!$P$5:$P$2004,0)),"")</f>
        <v>TEO</v>
      </c>
      <c r="C24" s="54" t="str">
        <f aca="false">IFERROR(INDEX(Base!$M$5:$M$2004,MATCH(C23*100+1,Base!$P$5:$P$2004,0)),"")</f>
        <v>T · Endocardite Infecciosa / Meningites</v>
      </c>
      <c r="D24" s="55" t="str">
        <f aca="false">IFERROR(INDEX(Base!$N$5:$N$2004,MATCH(E23*100+1,Base!$P$5:$P$2004,0)),"")</f>
        <v>PRA</v>
      </c>
      <c r="E24" s="54" t="str">
        <f aca="false">IFERROR(INDEX(Base!$M$5:$M$2004,MATCH(E23*100+1,Base!$P$5:$P$2004,0)),"")</f>
        <v>R3 · Cardiopediatria</v>
      </c>
      <c r="F24" s="55" t="str">
        <f aca="false">IFERROR(INDEX(Base!$N$5:$N$2004,MATCH(G23*100+1,Base!$P$5:$P$2004,0)),"")</f>
        <v>PRA</v>
      </c>
      <c r="G24" s="54" t="str">
        <f aca="false">IFERROR(INDEX(Base!$M$5:$M$2004,MATCH(G23*100+1,Base!$P$5:$P$2004,0)),"")</f>
        <v>R3 · Doenças da Tireoide</v>
      </c>
      <c r="H24" s="55" t="str">
        <f aca="false">IFERROR(INDEX(Base!$N$5:$N$2004,MATCH(I23*100+1,Base!$P$5:$P$2004,0)),"")</f>
        <v>TEO</v>
      </c>
      <c r="I24" s="54" t="str">
        <f aca="false">IFERROR(INDEX(Base!$M$5:$M$2004,MATCH(I23*100+1,Base!$P$5:$P$2004,0)),"")</f>
        <v>T · Distúrbios Hipertensivos na Gestação</v>
      </c>
      <c r="J24" s="55" t="str">
        <f aca="false">IFERROR(INDEX(Base!$N$5:$N$2004,MATCH(K23*100+1,Base!$P$5:$P$2004,0)),"")</f>
        <v>PRA</v>
      </c>
      <c r="K24" s="54" t="str">
        <f aca="false">IFERROR(INDEX(Base!$M$5:$M$2004,MATCH(K23*100+1,Base!$P$5:$P$2004,0)),"")</f>
        <v>R2 · Síndromes Febris — Dengue</v>
      </c>
      <c r="L24" s="55" t="str">
        <f aca="false">IFERROR(INDEX(Base!$N$5:$N$2004,MATCH(M23*100+1,Base!$P$5:$P$2004,0)),"")</f>
        <v>TEO</v>
      </c>
      <c r="M24" s="54" t="str">
        <f aca="false">IFERROR(INDEX(Base!$M$5:$M$2004,MATCH(M23*100+1,Base!$P$5:$P$2004,0)),"")</f>
        <v>T · Doenças da Suprarrenal</v>
      </c>
      <c r="N24" s="55" t="str">
        <f aca="false">IFERROR(INDEX(Base!$N$5:$N$2004,MATCH(O23*100+1,Base!$P$5:$P$2004,0)),"")</f>
        <v>PRA</v>
      </c>
      <c r="O24" s="54" t="str">
        <f aca="false">IFERROR(INDEX(Base!$M$5:$M$2004,MATCH(O23*100+1,Base!$P$5:$P$2004,0)),"")</f>
        <v>R3 · ATB</v>
      </c>
    </row>
    <row r="25" customFormat="false" ht="16.5" hidden="false" customHeight="true" outlineLevel="0" collapsed="false">
      <c r="B25" s="53" t="str">
        <f aca="false">IFERROR(INDEX(Base!$N$5:$N$2004,MATCH(C23*100+2,Base!$P$5:$P$2004,0)),"")</f>
        <v/>
      </c>
      <c r="C25" s="54" t="str">
        <f aca="false">IFERROR(INDEX(Base!$M$5:$M$2004,MATCH(C23*100+2,Base!$P$5:$P$2004,0)),"")</f>
        <v/>
      </c>
      <c r="D25" s="55" t="str">
        <f aca="false">IFERROR(INDEX(Base!$N$5:$N$2004,MATCH(E23*100+2,Base!$P$5:$P$2004,0)),"")</f>
        <v>PRA</v>
      </c>
      <c r="E25" s="54" t="str">
        <f aca="false">IFERROR(INDEX(Base!$M$5:$M$2004,MATCH(E23*100+2,Base!$P$5:$P$2004,0)),"")</f>
        <v>R3 · Nefrologia Pediátrica / ITU</v>
      </c>
      <c r="F25" s="55" t="str">
        <f aca="false">IFERROR(INDEX(Base!$N$5:$N$2004,MATCH(G23*100+2,Base!$P$5:$P$2004,0)),"")</f>
        <v>PRA</v>
      </c>
      <c r="G25" s="54" t="str">
        <f aca="false">IFERROR(INDEX(Base!$M$5:$M$2004,MATCH(G23*100+2,Base!$P$5:$P$2004,0)),"")</f>
        <v>R3 · Valvopatias</v>
      </c>
      <c r="H25" s="55" t="str">
        <f aca="false">IFERROR(INDEX(Base!$N$5:$N$2004,MATCH(I23*100+2,Base!$P$5:$P$2004,0)),"")</f>
        <v>TEO</v>
      </c>
      <c r="I25" s="54" t="str">
        <f aca="false">IFERROR(INDEX(Base!$M$5:$M$2004,MATCH(I23*100+2,Base!$P$5:$P$2004,0)),"")</f>
        <v>T · Sofrimento Fetal e Vitalidade Fetal</v>
      </c>
      <c r="J25" s="55" t="str">
        <f aca="false">IFERROR(INDEX(Base!$N$5:$N$2004,MATCH(K23*100+2,Base!$P$5:$P$2004,0)),"")</f>
        <v>REV</v>
      </c>
      <c r="K25" s="54" t="str">
        <f aca="false">IFERROR(INDEX(Base!$M$5:$M$2004,MATCH(K23*100+2,Base!$P$5:$P$2004,0)),"")</f>
        <v>R1 · Distúrbios Hipertensivos na Gestação</v>
      </c>
      <c r="L25" s="55" t="str">
        <f aca="false">IFERROR(INDEX(Base!$N$5:$N$2004,MATCH(M23*100+2,Base!$P$5:$P$2004,0)),"")</f>
        <v>TEO</v>
      </c>
      <c r="M25" s="54" t="str">
        <f aca="false">IFERROR(INDEX(Base!$M$5:$M$2004,MATCH(M23*100+2,Base!$P$5:$P$2004,0)),"")</f>
        <v>T · Infecções Sexualmente Transmissíveis</v>
      </c>
      <c r="N25" s="55" t="str">
        <f aca="false">IFERROR(INDEX(Base!$N$5:$N$2004,MATCH(O23*100+2,Base!$P$5:$P$2004,0)),"")</f>
        <v>REV</v>
      </c>
      <c r="O25" s="54" t="str">
        <f aca="false">IFERROR(INDEX(Base!$M$5:$M$2004,MATCH(O23*100+2,Base!$P$5:$P$2004,0)),"")</f>
        <v>R1 · Doenças da Suprarrenal</v>
      </c>
    </row>
    <row r="26" customFormat="false" ht="16.5" hidden="false" customHeight="true" outlineLevel="0" collapsed="false">
      <c r="B26" s="53" t="str">
        <f aca="false">IFERROR(INDEX(Base!$N$5:$N$2004,MATCH(C23*100+3,Base!$P$5:$P$2004,0)),"")</f>
        <v/>
      </c>
      <c r="C26" s="54" t="str">
        <f aca="false">IFERROR(INDEX(Base!$M$5:$M$2004,MATCH(C23*100+3,Base!$P$5:$P$2004,0)),"")</f>
        <v/>
      </c>
      <c r="D26" s="55" t="str">
        <f aca="false">IFERROR(INDEX(Base!$N$5:$N$2004,MATCH(E23*100+3,Base!$P$5:$P$2004,0)),"")</f>
        <v>PRA</v>
      </c>
      <c r="E26" s="54" t="str">
        <f aca="false">IFERROR(INDEX(Base!$M$5:$M$2004,MATCH(E23*100+3,Base!$P$5:$P$2004,0)),"")</f>
        <v>R3 · Asma e DPOC</v>
      </c>
      <c r="F26" s="55" t="str">
        <f aca="false">IFERROR(INDEX(Base!$N$5:$N$2004,MATCH(G23*100+3,Base!$P$5:$P$2004,0)),"")</f>
        <v>PRA</v>
      </c>
      <c r="G26" s="54" t="str">
        <f aca="false">IFERROR(INDEX(Base!$M$5:$M$2004,MATCH(G23*100+3,Base!$P$5:$P$2004,0)),"")</f>
        <v>R3 · Demência e Parkinson</v>
      </c>
      <c r="H26" s="55" t="str">
        <f aca="false">IFERROR(INDEX(Base!$N$5:$N$2004,MATCH(I23*100+3,Base!$P$5:$P$2004,0)),"")</f>
        <v/>
      </c>
      <c r="I26" s="54" t="str">
        <f aca="false">IFERROR(INDEX(Base!$M$5:$M$2004,MATCH(I23*100+3,Base!$P$5:$P$2004,0)),"")</f>
        <v/>
      </c>
      <c r="J26" s="55" t="str">
        <f aca="false">IFERROR(INDEX(Base!$N$5:$N$2004,MATCH(K23*100+3,Base!$P$5:$P$2004,0)),"")</f>
        <v>REV</v>
      </c>
      <c r="K26" s="54" t="str">
        <f aca="false">IFERROR(INDEX(Base!$M$5:$M$2004,MATCH(K23*100+3,Base!$P$5:$P$2004,0)),"")</f>
        <v>R1 · Sofrimento Fetal e Vitalidade Fetal</v>
      </c>
      <c r="L26" s="55" t="str">
        <f aca="false">IFERROR(INDEX(Base!$N$5:$N$2004,MATCH(M23*100+3,Base!$P$5:$P$2004,0)),"")</f>
        <v>TEO</v>
      </c>
      <c r="M26" s="54" t="str">
        <f aca="false">IFERROR(INDEX(Base!$M$5:$M$2004,MATCH(M23*100+3,Base!$P$5:$P$2004,0)),"")</f>
        <v>T · Parasitoses Intestinais</v>
      </c>
      <c r="N26" s="55" t="str">
        <f aca="false">IFERROR(INDEX(Base!$N$5:$N$2004,MATCH(O23*100+3,Base!$P$5:$P$2004,0)),"")</f>
        <v>REV</v>
      </c>
      <c r="O26" s="54" t="str">
        <f aca="false">IFERROR(INDEX(Base!$M$5:$M$2004,MATCH(O23*100+3,Base!$P$5:$P$2004,0)),"")</f>
        <v>R1 · Infecções Sexualmente Transmissíveis</v>
      </c>
    </row>
    <row r="27" customFormat="false" ht="16.5" hidden="false" customHeight="true" outlineLevel="0" collapsed="false">
      <c r="B27" s="53" t="str">
        <f aca="false">IFERROR(INDEX(Base!$N$5:$N$2004,MATCH(C23*100+4,Base!$P$5:$P$2004,0)),"")</f>
        <v/>
      </c>
      <c r="C27" s="54" t="str">
        <f aca="false">IFERROR(INDEX(Base!$M$5:$M$2004,MATCH(C23*100+4,Base!$P$5:$P$2004,0)),"")</f>
        <v/>
      </c>
      <c r="D27" s="55" t="str">
        <f aca="false">IFERROR(INDEX(Base!$N$5:$N$2004,MATCH(E23*100+4,Base!$P$5:$P$2004,0)),"")</f>
        <v>PRA</v>
      </c>
      <c r="E27" s="54" t="str">
        <f aca="false">IFERROR(INDEX(Base!$M$5:$M$2004,MATCH(E23*100+4,Base!$P$5:$P$2004,0)),"")</f>
        <v>R2 · Transtornos Psiquiátricos I</v>
      </c>
      <c r="F27" s="55" t="str">
        <f aca="false">IFERROR(INDEX(Base!$N$5:$N$2004,MATCH(G23*100+4,Base!$P$5:$P$2004,0)),"")</f>
        <v>REV</v>
      </c>
      <c r="G27" s="54" t="str">
        <f aca="false">IFERROR(INDEX(Base!$M$5:$M$2004,MATCH(G23*100+4,Base!$P$5:$P$2004,0)),"")</f>
        <v>R1 · Especialidade Cirúrgica I</v>
      </c>
      <c r="H27" s="55" t="str">
        <f aca="false">IFERROR(INDEX(Base!$N$5:$N$2004,MATCH(I23*100+4,Base!$P$5:$P$2004,0)),"")</f>
        <v/>
      </c>
      <c r="I27" s="54" t="str">
        <f aca="false">IFERROR(INDEX(Base!$M$5:$M$2004,MATCH(I23*100+4,Base!$P$5:$P$2004,0)),"")</f>
        <v/>
      </c>
      <c r="J27" s="55" t="str">
        <f aca="false">IFERROR(INDEX(Base!$N$5:$N$2004,MATCH(K23*100+4,Base!$P$5:$P$2004,0)),"")</f>
        <v/>
      </c>
      <c r="K27" s="54" t="str">
        <f aca="false">IFERROR(INDEX(Base!$M$5:$M$2004,MATCH(K23*100+4,Base!$P$5:$P$2004,0)),"")</f>
        <v/>
      </c>
      <c r="L27" s="55" t="str">
        <f aca="false">IFERROR(INDEX(Base!$N$5:$N$2004,MATCH(M23*100+4,Base!$P$5:$P$2004,0)),"")</f>
        <v>TEO</v>
      </c>
      <c r="M27" s="54" t="str">
        <f aca="false">IFERROR(INDEX(Base!$M$5:$M$2004,MATCH(M23*100+4,Base!$P$5:$P$2004,0)),"")</f>
        <v>T · HIV/AIDS</v>
      </c>
      <c r="N27" s="55" t="str">
        <f aca="false">IFERROR(INDEX(Base!$N$5:$N$2004,MATCH(O23*100+4,Base!$P$5:$P$2004,0)),"")</f>
        <v>REV</v>
      </c>
      <c r="O27" s="54" t="str">
        <f aca="false">IFERROR(INDEX(Base!$M$5:$M$2004,MATCH(O23*100+4,Base!$P$5:$P$2004,0)),"")</f>
        <v>R1 · Parasitoses Intestinais</v>
      </c>
    </row>
    <row r="28" customFormat="false" ht="16.5" hidden="false" customHeight="true" outlineLevel="0" collapsed="false">
      <c r="B28" s="53" t="str">
        <f aca="false">IFERROR(INDEX(Base!$N$5:$N$2004,MATCH(C23*100+5,Base!$P$5:$P$2004,0)),"")</f>
        <v/>
      </c>
      <c r="C28" s="54" t="str">
        <f aca="false">IFERROR(INDEX(Base!$M$5:$M$2004,MATCH(C23*100+5,Base!$P$5:$P$2004,0)),"")</f>
        <v/>
      </c>
      <c r="D28" s="55" t="str">
        <f aca="false">IFERROR(INDEX(Base!$N$5:$N$2004,MATCH(E23*100+5,Base!$P$5:$P$2004,0)),"")</f>
        <v>REV</v>
      </c>
      <c r="E28" s="54" t="str">
        <f aca="false">IFERROR(INDEX(Base!$M$5:$M$2004,MATCH(E23*100+5,Base!$P$5:$P$2004,0)),"")</f>
        <v>R1 · Endocardite Infecciosa / Meningites</v>
      </c>
      <c r="F28" s="55" t="str">
        <f aca="false">IFERROR(INDEX(Base!$N$5:$N$2004,MATCH(G23*100+5,Base!$P$5:$P$2004,0)),"")</f>
        <v>REV</v>
      </c>
      <c r="G28" s="54" t="str">
        <f aca="false">IFERROR(INDEX(Base!$M$5:$M$2004,MATCH(G23*100+5,Base!$P$5:$P$2004,0)),"")</f>
        <v>R1 · Especialidade Cirúrgica II</v>
      </c>
      <c r="H28" s="55" t="str">
        <f aca="false">IFERROR(INDEX(Base!$N$5:$N$2004,MATCH(I23*100+5,Base!$P$5:$P$2004,0)),"")</f>
        <v/>
      </c>
      <c r="I28" s="54" t="str">
        <f aca="false">IFERROR(INDEX(Base!$M$5:$M$2004,MATCH(I23*100+5,Base!$P$5:$P$2004,0)),"")</f>
        <v/>
      </c>
      <c r="J28" s="55" t="str">
        <f aca="false">IFERROR(INDEX(Base!$N$5:$N$2004,MATCH(K23*100+5,Base!$P$5:$P$2004,0)),"")</f>
        <v/>
      </c>
      <c r="K28" s="54" t="str">
        <f aca="false">IFERROR(INDEX(Base!$M$5:$M$2004,MATCH(K23*100+5,Base!$P$5:$P$2004,0)),"")</f>
        <v/>
      </c>
      <c r="L28" s="55" t="str">
        <f aca="false">IFERROR(INDEX(Base!$N$5:$N$2004,MATCH(M23*100+5,Base!$P$5:$P$2004,0)),"")</f>
        <v/>
      </c>
      <c r="M28" s="54" t="str">
        <f aca="false">IFERROR(INDEX(Base!$M$5:$M$2004,MATCH(M23*100+5,Base!$P$5:$P$2004,0)),"")</f>
        <v/>
      </c>
      <c r="N28" s="55" t="str">
        <f aca="false">IFERROR(INDEX(Base!$N$5:$N$2004,MATCH(O23*100+5,Base!$P$5:$P$2004,0)),"")</f>
        <v>REV</v>
      </c>
      <c r="O28" s="54" t="str">
        <f aca="false">IFERROR(INDEX(Base!$M$5:$M$2004,MATCH(O23*100+5,Base!$P$5:$P$2004,0)),"")</f>
        <v>R1 · HIV/AIDS</v>
      </c>
    </row>
    <row r="29" customFormat="false" ht="16.5" hidden="false" customHeight="true" outlineLevel="0" collapsed="false">
      <c r="B29" s="53" t="str">
        <f aca="false">IFERROR(INDEX(Base!$N$5:$N$2004,MATCH(C23*100+6,Base!$P$5:$P$2004,0)),"")</f>
        <v/>
      </c>
      <c r="C29" s="54" t="str">
        <f aca="false">IFERROR(INDEX(Base!$M$5:$M$2004,MATCH(C23*100+6,Base!$P$5:$P$2004,0)),"")</f>
        <v/>
      </c>
      <c r="D29" s="55" t="str">
        <f aca="false">IFERROR(INDEX(Base!$N$5:$N$2004,MATCH(E23*100+6,Base!$P$5:$P$2004,0)),"")</f>
        <v>TEO</v>
      </c>
      <c r="E29" s="54" t="str">
        <f aca="false">IFERROR(INDEX(Base!$M$5:$M$2004,MATCH(E23*100+6,Base!$P$5:$P$2004,0)),"")</f>
        <v>T · Especialidade Cirúrgica I</v>
      </c>
      <c r="F29" s="55" t="str">
        <f aca="false">IFERROR(INDEX(Base!$N$5:$N$2004,MATCH(G23*100+6,Base!$P$5:$P$2004,0)),"")</f>
        <v/>
      </c>
      <c r="G29" s="54" t="str">
        <f aca="false">IFERROR(INDEX(Base!$M$5:$M$2004,MATCH(G23*100+6,Base!$P$5:$P$2004,0)),"")</f>
        <v/>
      </c>
      <c r="H29" s="55" t="str">
        <f aca="false">IFERROR(INDEX(Base!$N$5:$N$2004,MATCH(I23*100+6,Base!$P$5:$P$2004,0)),"")</f>
        <v/>
      </c>
      <c r="I29" s="54" t="str">
        <f aca="false">IFERROR(INDEX(Base!$M$5:$M$2004,MATCH(I23*100+6,Base!$P$5:$P$2004,0)),"")</f>
        <v/>
      </c>
      <c r="J29" s="55" t="str">
        <f aca="false">IFERROR(INDEX(Base!$N$5:$N$2004,MATCH(K23*100+6,Base!$P$5:$P$2004,0)),"")</f>
        <v/>
      </c>
      <c r="K29" s="54" t="str">
        <f aca="false">IFERROR(INDEX(Base!$M$5:$M$2004,MATCH(K23*100+6,Base!$P$5:$P$2004,0)),"")</f>
        <v/>
      </c>
      <c r="L29" s="55" t="str">
        <f aca="false">IFERROR(INDEX(Base!$N$5:$N$2004,MATCH(M23*100+6,Base!$P$5:$P$2004,0)),"")</f>
        <v/>
      </c>
      <c r="M29" s="54" t="str">
        <f aca="false">IFERROR(INDEX(Base!$M$5:$M$2004,MATCH(M23*100+6,Base!$P$5:$P$2004,0)),"")</f>
        <v/>
      </c>
      <c r="N29" s="55" t="str">
        <f aca="false">IFERROR(INDEX(Base!$N$5:$N$2004,MATCH(O23*100+6,Base!$P$5:$P$2004,0)),"")</f>
        <v/>
      </c>
      <c r="O29" s="54" t="str">
        <f aca="false">IFERROR(INDEX(Base!$M$5:$M$2004,MATCH(O23*100+6,Base!$P$5:$P$2004,0)),"")</f>
        <v/>
      </c>
    </row>
    <row r="30" customFormat="false" ht="12" hidden="false" customHeight="true" outlineLevel="0" collapsed="false">
      <c r="B30" s="56"/>
      <c r="C30" s="57" t="str">
        <f aca="false">IF(COUNTIF(Base!$E$5:$E$2004,C23)&gt;6,"+"&amp;(COUNTIF(Base!$E$5:$E$2004,C23)-6)&amp;" mais","")</f>
        <v/>
      </c>
      <c r="D30" s="58"/>
      <c r="E30" s="57" t="str">
        <f aca="false">IF(COUNTIF(Base!$E$5:$E$2004,E23)&gt;6,"+"&amp;(COUNTIF(Base!$E$5:$E$2004,E23)-6)&amp;" mais","")</f>
        <v>+1 mais</v>
      </c>
      <c r="F30" s="58"/>
      <c r="G30" s="57" t="str">
        <f aca="false">IF(COUNTIF(Base!$E$5:$E$2004,G23)&gt;6,"+"&amp;(COUNTIF(Base!$E$5:$E$2004,G23)-6)&amp;" mais","")</f>
        <v/>
      </c>
      <c r="H30" s="58"/>
      <c r="I30" s="57" t="str">
        <f aca="false">IF(COUNTIF(Base!$E$5:$E$2004,I23)&gt;6,"+"&amp;(COUNTIF(Base!$E$5:$E$2004,I23)-6)&amp;" mais","")</f>
        <v/>
      </c>
      <c r="J30" s="58"/>
      <c r="K30" s="57" t="str">
        <f aca="false">IF(COUNTIF(Base!$E$5:$E$2004,K23)&gt;6,"+"&amp;(COUNTIF(Base!$E$5:$E$2004,K23)-6)&amp;" mais","")</f>
        <v/>
      </c>
      <c r="L30" s="58"/>
      <c r="M30" s="57" t="str">
        <f aca="false">IF(COUNTIF(Base!$E$5:$E$2004,M23)&gt;6,"+"&amp;(COUNTIF(Base!$E$5:$E$2004,M23)-6)&amp;" mais","")</f>
        <v/>
      </c>
      <c r="N30" s="58"/>
      <c r="O30" s="57" t="str">
        <f aca="false">IF(COUNTIF(Base!$E$5:$E$2004,O23)&gt;6,"+"&amp;(COUNTIF(Base!$E$5:$E$2004,O23)-6)&amp;" mais","")</f>
        <v/>
      </c>
    </row>
    <row r="31" customFormat="false" ht="18.75" hidden="false" customHeight="true" outlineLevel="0" collapsed="false">
      <c r="B31" s="50"/>
      <c r="C31" s="51" t="n">
        <f aca="false">$R$5+21</f>
        <v>46313</v>
      </c>
      <c r="D31" s="52"/>
      <c r="E31" s="51" t="n">
        <f aca="false">$R$5+22</f>
        <v>46314</v>
      </c>
      <c r="F31" s="52"/>
      <c r="G31" s="51" t="n">
        <f aca="false">$R$5+23</f>
        <v>46315</v>
      </c>
      <c r="H31" s="52"/>
      <c r="I31" s="51" t="n">
        <f aca="false">$R$5+24</f>
        <v>46316</v>
      </c>
      <c r="J31" s="52"/>
      <c r="K31" s="51" t="n">
        <f aca="false">$R$5+25</f>
        <v>46317</v>
      </c>
      <c r="L31" s="52"/>
      <c r="M31" s="51" t="n">
        <f aca="false">$R$5+26</f>
        <v>46318</v>
      </c>
      <c r="N31" s="52"/>
      <c r="O31" s="51" t="n">
        <f aca="false">$R$5+27</f>
        <v>46319</v>
      </c>
    </row>
    <row r="32" customFormat="false" ht="16.5" hidden="false" customHeight="true" outlineLevel="0" collapsed="false">
      <c r="B32" s="53" t="str">
        <f aca="false">IFERROR(INDEX(Base!$N$5:$N$2004,MATCH(C31*100+1,Base!$P$5:$P$2004,0)),"")</f>
        <v>PRA</v>
      </c>
      <c r="C32" s="54" t="str">
        <f aca="false">IFERROR(INDEX(Base!$M$5:$M$2004,MATCH(C31*100+1,Base!$P$5:$P$2004,0)),"")</f>
        <v>R2 · Endocardite Infecciosa / Meningites</v>
      </c>
      <c r="D32" s="55" t="str">
        <f aca="false">IFERROR(INDEX(Base!$N$5:$N$2004,MATCH(E31*100+1,Base!$P$5:$P$2004,0)),"")</f>
        <v>PRA</v>
      </c>
      <c r="E32" s="54" t="str">
        <f aca="false">IFERROR(INDEX(Base!$M$5:$M$2004,MATCH(E31*100+1,Base!$P$5:$P$2004,0)),"")</f>
        <v>R2 · Especialidade Cirúrgica I</v>
      </c>
      <c r="F32" s="55" t="str">
        <f aca="false">IFERROR(INDEX(Base!$N$5:$N$2004,MATCH(G31*100+1,Base!$P$5:$P$2004,0)),"")</f>
        <v>PRA</v>
      </c>
      <c r="G32" s="54" t="str">
        <f aca="false">IFERROR(INDEX(Base!$M$5:$M$2004,MATCH(G31*100+1,Base!$P$5:$P$2004,0)),"")</f>
        <v>R3 · Transtornos Psiquiátricos I</v>
      </c>
      <c r="H32" s="55" t="str">
        <f aca="false">IFERROR(INDEX(Base!$N$5:$N$2004,MATCH(I31*100+1,Base!$P$5:$P$2004,0)),"")</f>
        <v>PRA</v>
      </c>
      <c r="I32" s="54" t="str">
        <f aca="false">IFERROR(INDEX(Base!$M$5:$M$2004,MATCH(I31*100+1,Base!$P$5:$P$2004,0)),"")</f>
        <v>R2 · Distúrbios Hipertensivos na Gestação</v>
      </c>
      <c r="J32" s="55" t="str">
        <f aca="false">IFERROR(INDEX(Base!$N$5:$N$2004,MATCH(K31*100+1,Base!$P$5:$P$2004,0)),"")</f>
        <v/>
      </c>
      <c r="K32" s="54" t="str">
        <f aca="false">IFERROR(INDEX(Base!$M$5:$M$2004,MATCH(K31*100+1,Base!$P$5:$P$2004,0)),"")</f>
        <v/>
      </c>
      <c r="L32" s="55" t="str">
        <f aca="false">IFERROR(INDEX(Base!$N$5:$N$2004,MATCH(M31*100+1,Base!$P$5:$P$2004,0)),"")</f>
        <v>PRA</v>
      </c>
      <c r="M32" s="54" t="str">
        <f aca="false">IFERROR(INDEX(Base!$M$5:$M$2004,MATCH(M31*100+1,Base!$P$5:$P$2004,0)),"")</f>
        <v>R3 · Síndromes Febris — Dengue</v>
      </c>
      <c r="N32" s="55" t="str">
        <f aca="false">IFERROR(INDEX(Base!$N$5:$N$2004,MATCH(O31*100+1,Base!$P$5:$P$2004,0)),"")</f>
        <v>REV</v>
      </c>
      <c r="O32" s="54" t="str">
        <f aca="false">IFERROR(INDEX(Base!$M$5:$M$2004,MATCH(O31*100+1,Base!$P$5:$P$2004,0)),"")</f>
        <v>R1 · Pneumonias Comunitárias</v>
      </c>
    </row>
    <row r="33" customFormat="false" ht="16.5" hidden="false" customHeight="true" outlineLevel="0" collapsed="false">
      <c r="B33" s="53" t="str">
        <f aca="false">IFERROR(INDEX(Base!$N$5:$N$2004,MATCH(C31*100+2,Base!$P$5:$P$2004,0)),"")</f>
        <v/>
      </c>
      <c r="C33" s="54" t="str">
        <f aca="false">IFERROR(INDEX(Base!$M$5:$M$2004,MATCH(C31*100+2,Base!$P$5:$P$2004,0)),"")</f>
        <v/>
      </c>
      <c r="D33" s="55" t="str">
        <f aca="false">IFERROR(INDEX(Base!$N$5:$N$2004,MATCH(E31*100+2,Base!$P$5:$P$2004,0)),"")</f>
        <v>PRA</v>
      </c>
      <c r="E33" s="54" t="str">
        <f aca="false">IFERROR(INDEX(Base!$M$5:$M$2004,MATCH(E31*100+2,Base!$P$5:$P$2004,0)),"")</f>
        <v>R2 · Especialidade Cirúrgica II</v>
      </c>
      <c r="F33" s="55" t="str">
        <f aca="false">IFERROR(INDEX(Base!$N$5:$N$2004,MATCH(G31*100+2,Base!$P$5:$P$2004,0)),"")</f>
        <v>REV</v>
      </c>
      <c r="G33" s="54" t="str">
        <f aca="false">IFERROR(INDEX(Base!$M$5:$M$2004,MATCH(G31*100+2,Base!$P$5:$P$2004,0)),"")</f>
        <v>R1 · Dermatologia I e II</v>
      </c>
      <c r="H33" s="55" t="str">
        <f aca="false">IFERROR(INDEX(Base!$N$5:$N$2004,MATCH(I31*100+2,Base!$P$5:$P$2004,0)),"")</f>
        <v>PRA</v>
      </c>
      <c r="I33" s="54" t="str">
        <f aca="false">IFERROR(INDEX(Base!$M$5:$M$2004,MATCH(I31*100+2,Base!$P$5:$P$2004,0)),"")</f>
        <v>R2 · Sofrimento Fetal e Vitalidade Fetal</v>
      </c>
      <c r="J33" s="55" t="str">
        <f aca="false">IFERROR(INDEX(Base!$N$5:$N$2004,MATCH(K31*100+2,Base!$P$5:$P$2004,0)),"")</f>
        <v/>
      </c>
      <c r="K33" s="54" t="str">
        <f aca="false">IFERROR(INDEX(Base!$M$5:$M$2004,MATCH(K31*100+2,Base!$P$5:$P$2004,0)),"")</f>
        <v/>
      </c>
      <c r="L33" s="55" t="str">
        <f aca="false">IFERROR(INDEX(Base!$N$5:$N$2004,MATCH(M31*100+2,Base!$P$5:$P$2004,0)),"")</f>
        <v>PRA</v>
      </c>
      <c r="M33" s="54" t="str">
        <f aca="false">IFERROR(INDEX(Base!$M$5:$M$2004,MATCH(M31*100+2,Base!$P$5:$P$2004,0)),"")</f>
        <v>R2 · Doenças da Suprarrenal</v>
      </c>
      <c r="N33" s="55" t="str">
        <f aca="false">IFERROR(INDEX(Base!$N$5:$N$2004,MATCH(O31*100+2,Base!$P$5:$P$2004,0)),"")</f>
        <v>REV</v>
      </c>
      <c r="O33" s="54" t="str">
        <f aca="false">IFERROR(INDEX(Base!$M$5:$M$2004,MATCH(O31*100+2,Base!$P$5:$P$2004,0)),"")</f>
        <v>R1 · Tuberculose</v>
      </c>
    </row>
    <row r="34" customFormat="false" ht="16.5" hidden="false" customHeight="true" outlineLevel="0" collapsed="false">
      <c r="B34" s="53" t="str">
        <f aca="false">IFERROR(INDEX(Base!$N$5:$N$2004,MATCH(C31*100+3,Base!$P$5:$P$2004,0)),"")</f>
        <v/>
      </c>
      <c r="C34" s="54" t="str">
        <f aca="false">IFERROR(INDEX(Base!$M$5:$M$2004,MATCH(C31*100+3,Base!$P$5:$P$2004,0)),"")</f>
        <v/>
      </c>
      <c r="D34" s="55" t="str">
        <f aca="false">IFERROR(INDEX(Base!$N$5:$N$2004,MATCH(E31*100+3,Base!$P$5:$P$2004,0)),"")</f>
        <v>TEO</v>
      </c>
      <c r="E34" s="54" t="str">
        <f aca="false">IFERROR(INDEX(Base!$M$5:$M$2004,MATCH(E31*100+3,Base!$P$5:$P$2004,0)),"")</f>
        <v>T · Dermatologia I e II</v>
      </c>
      <c r="F34" s="55" t="str">
        <f aca="false">IFERROR(INDEX(Base!$N$5:$N$2004,MATCH(G31*100+3,Base!$P$5:$P$2004,0)),"")</f>
        <v>TEO</v>
      </c>
      <c r="G34" s="54" t="str">
        <f aca="false">IFERROR(INDEX(Base!$M$5:$M$2004,MATCH(G31*100+3,Base!$P$5:$P$2004,0)),"")</f>
        <v>T · Bônus Oftalmo</v>
      </c>
      <c r="H34" s="55" t="str">
        <f aca="false">IFERROR(INDEX(Base!$N$5:$N$2004,MATCH(I31*100+3,Base!$P$5:$P$2004,0)),"")</f>
        <v>REV</v>
      </c>
      <c r="I34" s="54" t="str">
        <f aca="false">IFERROR(INDEX(Base!$M$5:$M$2004,MATCH(I31*100+3,Base!$P$5:$P$2004,0)),"")</f>
        <v>R1 · Bônus Oftalmo</v>
      </c>
      <c r="J34" s="55" t="str">
        <f aca="false">IFERROR(INDEX(Base!$N$5:$N$2004,MATCH(K31*100+3,Base!$P$5:$P$2004,0)),"")</f>
        <v/>
      </c>
      <c r="K34" s="54" t="str">
        <f aca="false">IFERROR(INDEX(Base!$M$5:$M$2004,MATCH(K31*100+3,Base!$P$5:$P$2004,0)),"")</f>
        <v/>
      </c>
      <c r="L34" s="55" t="str">
        <f aca="false">IFERROR(INDEX(Base!$N$5:$N$2004,MATCH(M31*100+3,Base!$P$5:$P$2004,0)),"")</f>
        <v>PRA</v>
      </c>
      <c r="M34" s="54" t="str">
        <f aca="false">IFERROR(INDEX(Base!$M$5:$M$2004,MATCH(M31*100+3,Base!$P$5:$P$2004,0)),"")</f>
        <v>R2 · Infecções Sexualmente Transmissíveis</v>
      </c>
      <c r="N34" s="55" t="str">
        <f aca="false">IFERROR(INDEX(Base!$N$5:$N$2004,MATCH(O31*100+3,Base!$P$5:$P$2004,0)),"")</f>
        <v>REV</v>
      </c>
      <c r="O34" s="54" t="str">
        <f aca="false">IFERROR(INDEX(Base!$M$5:$M$2004,MATCH(O31*100+3,Base!$P$5:$P$2004,0)),"")</f>
        <v>R1 · Câncer de Pulmão e TEP</v>
      </c>
    </row>
    <row r="35" customFormat="false" ht="16.5" hidden="false" customHeight="true" outlineLevel="0" collapsed="false">
      <c r="B35" s="53" t="str">
        <f aca="false">IFERROR(INDEX(Base!$N$5:$N$2004,MATCH(C31*100+4,Base!$P$5:$P$2004,0)),"")</f>
        <v/>
      </c>
      <c r="C35" s="54" t="str">
        <f aca="false">IFERROR(INDEX(Base!$M$5:$M$2004,MATCH(C31*100+4,Base!$P$5:$P$2004,0)),"")</f>
        <v/>
      </c>
      <c r="D35" s="55" t="str">
        <f aca="false">IFERROR(INDEX(Base!$N$5:$N$2004,MATCH(E31*100+4,Base!$P$5:$P$2004,0)),"")</f>
        <v/>
      </c>
      <c r="E35" s="54" t="str">
        <f aca="false">IFERROR(INDEX(Base!$M$5:$M$2004,MATCH(E31*100+4,Base!$P$5:$P$2004,0)),"")</f>
        <v/>
      </c>
      <c r="F35" s="55" t="str">
        <f aca="false">IFERROR(INDEX(Base!$N$5:$N$2004,MATCH(G31*100+4,Base!$P$5:$P$2004,0)),"")</f>
        <v>TEO</v>
      </c>
      <c r="G35" s="54" t="str">
        <f aca="false">IFERROR(INDEX(Base!$M$5:$M$2004,MATCH(G31*100+4,Base!$P$5:$P$2004,0)),"")</f>
        <v>T · Insuficiência Cardíaca</v>
      </c>
      <c r="H35" s="55" t="str">
        <f aca="false">IFERROR(INDEX(Base!$N$5:$N$2004,MATCH(I31*100+4,Base!$P$5:$P$2004,0)),"")</f>
        <v>REV</v>
      </c>
      <c r="I35" s="54" t="str">
        <f aca="false">IFERROR(INDEX(Base!$M$5:$M$2004,MATCH(I31*100+4,Base!$P$5:$P$2004,0)),"")</f>
        <v>R1 · Insuficiência Cardíaca</v>
      </c>
      <c r="J35" s="55" t="str">
        <f aca="false">IFERROR(INDEX(Base!$N$5:$N$2004,MATCH(K31*100+4,Base!$P$5:$P$2004,0)),"")</f>
        <v/>
      </c>
      <c r="K35" s="54" t="str">
        <f aca="false">IFERROR(INDEX(Base!$M$5:$M$2004,MATCH(K31*100+4,Base!$P$5:$P$2004,0)),"")</f>
        <v/>
      </c>
      <c r="L35" s="55" t="str">
        <f aca="false">IFERROR(INDEX(Base!$N$5:$N$2004,MATCH(M31*100+4,Base!$P$5:$P$2004,0)),"")</f>
        <v>PRA</v>
      </c>
      <c r="M35" s="54" t="str">
        <f aca="false">IFERROR(INDEX(Base!$M$5:$M$2004,MATCH(M31*100+4,Base!$P$5:$P$2004,0)),"")</f>
        <v>R2 · Parasitoses Intestinais</v>
      </c>
      <c r="N35" s="55" t="str">
        <f aca="false">IFERROR(INDEX(Base!$N$5:$N$2004,MATCH(O31*100+4,Base!$P$5:$P$2004,0)),"")</f>
        <v/>
      </c>
      <c r="O35" s="54" t="str">
        <f aca="false">IFERROR(INDEX(Base!$M$5:$M$2004,MATCH(O31*100+4,Base!$P$5:$P$2004,0)),"")</f>
        <v/>
      </c>
    </row>
    <row r="36" customFormat="false" ht="16.5" hidden="false" customHeight="true" outlineLevel="0" collapsed="false">
      <c r="B36" s="53" t="str">
        <f aca="false">IFERROR(INDEX(Base!$N$5:$N$2004,MATCH(C31*100+5,Base!$P$5:$P$2004,0)),"")</f>
        <v/>
      </c>
      <c r="C36" s="54" t="str">
        <f aca="false">IFERROR(INDEX(Base!$M$5:$M$2004,MATCH(C31*100+5,Base!$P$5:$P$2004,0)),"")</f>
        <v/>
      </c>
      <c r="D36" s="55" t="str">
        <f aca="false">IFERROR(INDEX(Base!$N$5:$N$2004,MATCH(E31*100+5,Base!$P$5:$P$2004,0)),"")</f>
        <v/>
      </c>
      <c r="E36" s="54" t="str">
        <f aca="false">IFERROR(INDEX(Base!$M$5:$M$2004,MATCH(E31*100+5,Base!$P$5:$P$2004,0)),"")</f>
        <v/>
      </c>
      <c r="F36" s="55" t="str">
        <f aca="false">IFERROR(INDEX(Base!$N$5:$N$2004,MATCH(G31*100+5,Base!$P$5:$P$2004,0)),"")</f>
        <v/>
      </c>
      <c r="G36" s="54" t="str">
        <f aca="false">IFERROR(INDEX(Base!$M$5:$M$2004,MATCH(G31*100+5,Base!$P$5:$P$2004,0)),"")</f>
        <v/>
      </c>
      <c r="H36" s="55" t="str">
        <f aca="false">IFERROR(INDEX(Base!$N$5:$N$2004,MATCH(I31*100+5,Base!$P$5:$P$2004,0)),"")</f>
        <v/>
      </c>
      <c r="I36" s="54" t="str">
        <f aca="false">IFERROR(INDEX(Base!$M$5:$M$2004,MATCH(I31*100+5,Base!$P$5:$P$2004,0)),"")</f>
        <v/>
      </c>
      <c r="J36" s="55" t="str">
        <f aca="false">IFERROR(INDEX(Base!$N$5:$N$2004,MATCH(K31*100+5,Base!$P$5:$P$2004,0)),"")</f>
        <v/>
      </c>
      <c r="K36" s="54" t="str">
        <f aca="false">IFERROR(INDEX(Base!$M$5:$M$2004,MATCH(K31*100+5,Base!$P$5:$P$2004,0)),"")</f>
        <v/>
      </c>
      <c r="L36" s="55" t="str">
        <f aca="false">IFERROR(INDEX(Base!$N$5:$N$2004,MATCH(M31*100+5,Base!$P$5:$P$2004,0)),"")</f>
        <v>PRA</v>
      </c>
      <c r="M36" s="54" t="str">
        <f aca="false">IFERROR(INDEX(Base!$M$5:$M$2004,MATCH(M31*100+5,Base!$P$5:$P$2004,0)),"")</f>
        <v>R2 · HIV/AIDS</v>
      </c>
      <c r="N36" s="55" t="str">
        <f aca="false">IFERROR(INDEX(Base!$N$5:$N$2004,MATCH(O31*100+5,Base!$P$5:$P$2004,0)),"")</f>
        <v/>
      </c>
      <c r="O36" s="54" t="str">
        <f aca="false">IFERROR(INDEX(Base!$M$5:$M$2004,MATCH(O31*100+5,Base!$P$5:$P$2004,0)),"")</f>
        <v/>
      </c>
    </row>
    <row r="37" customFormat="false" ht="16.5" hidden="false" customHeight="true" outlineLevel="0" collapsed="false">
      <c r="B37" s="53" t="str">
        <f aca="false">IFERROR(INDEX(Base!$N$5:$N$2004,MATCH(C31*100+6,Base!$P$5:$P$2004,0)),"")</f>
        <v/>
      </c>
      <c r="C37" s="54" t="str">
        <f aca="false">IFERROR(INDEX(Base!$M$5:$M$2004,MATCH(C31*100+6,Base!$P$5:$P$2004,0)),"")</f>
        <v/>
      </c>
      <c r="D37" s="55" t="str">
        <f aca="false">IFERROR(INDEX(Base!$N$5:$N$2004,MATCH(E31*100+6,Base!$P$5:$P$2004,0)),"")</f>
        <v/>
      </c>
      <c r="E37" s="54" t="str">
        <f aca="false">IFERROR(INDEX(Base!$M$5:$M$2004,MATCH(E31*100+6,Base!$P$5:$P$2004,0)),"")</f>
        <v/>
      </c>
      <c r="F37" s="55" t="str">
        <f aca="false">IFERROR(INDEX(Base!$N$5:$N$2004,MATCH(G31*100+6,Base!$P$5:$P$2004,0)),"")</f>
        <v/>
      </c>
      <c r="G37" s="54" t="str">
        <f aca="false">IFERROR(INDEX(Base!$M$5:$M$2004,MATCH(G31*100+6,Base!$P$5:$P$2004,0)),"")</f>
        <v/>
      </c>
      <c r="H37" s="55" t="str">
        <f aca="false">IFERROR(INDEX(Base!$N$5:$N$2004,MATCH(I31*100+6,Base!$P$5:$P$2004,0)),"")</f>
        <v/>
      </c>
      <c r="I37" s="54" t="str">
        <f aca="false">IFERROR(INDEX(Base!$M$5:$M$2004,MATCH(I31*100+6,Base!$P$5:$P$2004,0)),"")</f>
        <v/>
      </c>
      <c r="J37" s="55" t="str">
        <f aca="false">IFERROR(INDEX(Base!$N$5:$N$2004,MATCH(K31*100+6,Base!$P$5:$P$2004,0)),"")</f>
        <v/>
      </c>
      <c r="K37" s="54" t="str">
        <f aca="false">IFERROR(INDEX(Base!$M$5:$M$2004,MATCH(K31*100+6,Base!$P$5:$P$2004,0)),"")</f>
        <v/>
      </c>
      <c r="L37" s="55" t="str">
        <f aca="false">IFERROR(INDEX(Base!$N$5:$N$2004,MATCH(M31*100+6,Base!$P$5:$P$2004,0)),"")</f>
        <v>TEO</v>
      </c>
      <c r="M37" s="54" t="str">
        <f aca="false">IFERROR(INDEX(Base!$M$5:$M$2004,MATCH(M31*100+6,Base!$P$5:$P$2004,0)),"")</f>
        <v>T · Pneumonias Comunitárias</v>
      </c>
      <c r="N37" s="55" t="str">
        <f aca="false">IFERROR(INDEX(Base!$N$5:$N$2004,MATCH(O31*100+6,Base!$P$5:$P$2004,0)),"")</f>
        <v/>
      </c>
      <c r="O37" s="54" t="str">
        <f aca="false">IFERROR(INDEX(Base!$M$5:$M$2004,MATCH(O31*100+6,Base!$P$5:$P$2004,0)),"")</f>
        <v/>
      </c>
    </row>
    <row r="38" customFormat="false" ht="12" hidden="false" customHeight="true" outlineLevel="0" collapsed="false">
      <c r="B38" s="56"/>
      <c r="C38" s="57" t="str">
        <f aca="false">IF(COUNTIF(Base!$E$5:$E$2004,C31)&gt;6,"+"&amp;(COUNTIF(Base!$E$5:$E$2004,C31)-6)&amp;" mais","")</f>
        <v/>
      </c>
      <c r="D38" s="58"/>
      <c r="E38" s="57" t="str">
        <f aca="false">IF(COUNTIF(Base!$E$5:$E$2004,E31)&gt;6,"+"&amp;(COUNTIF(Base!$E$5:$E$2004,E31)-6)&amp;" mais","")</f>
        <v/>
      </c>
      <c r="F38" s="58"/>
      <c r="G38" s="57" t="str">
        <f aca="false">IF(COUNTIF(Base!$E$5:$E$2004,G31)&gt;6,"+"&amp;(COUNTIF(Base!$E$5:$E$2004,G31)-6)&amp;" mais","")</f>
        <v/>
      </c>
      <c r="H38" s="58"/>
      <c r="I38" s="57" t="str">
        <f aca="false">IF(COUNTIF(Base!$E$5:$E$2004,I31)&gt;6,"+"&amp;(COUNTIF(Base!$E$5:$E$2004,I31)-6)&amp;" mais","")</f>
        <v/>
      </c>
      <c r="J38" s="58"/>
      <c r="K38" s="57" t="str">
        <f aca="false">IF(COUNTIF(Base!$E$5:$E$2004,K31)&gt;6,"+"&amp;(COUNTIF(Base!$E$5:$E$2004,K31)-6)&amp;" mais","")</f>
        <v/>
      </c>
      <c r="L38" s="58"/>
      <c r="M38" s="57" t="str">
        <f aca="false">IF(COUNTIF(Base!$E$5:$E$2004,M31)&gt;6,"+"&amp;(COUNTIF(Base!$E$5:$E$2004,M31)-6)&amp;" mais","")</f>
        <v>+2 mais</v>
      </c>
      <c r="N38" s="58"/>
      <c r="O38" s="57" t="str">
        <f aca="false">IF(COUNTIF(Base!$E$5:$E$2004,O31)&gt;6,"+"&amp;(COUNTIF(Base!$E$5:$E$2004,O31)-6)&amp;" mais","")</f>
        <v/>
      </c>
    </row>
    <row r="39" customFormat="false" ht="18.75" hidden="false" customHeight="true" outlineLevel="0" collapsed="false">
      <c r="B39" s="50"/>
      <c r="C39" s="51" t="n">
        <f aca="false">$R$5+28</f>
        <v>46320</v>
      </c>
      <c r="D39" s="52"/>
      <c r="E39" s="51" t="n">
        <f aca="false">$R$5+29</f>
        <v>46321</v>
      </c>
      <c r="F39" s="52"/>
      <c r="G39" s="51" t="n">
        <f aca="false">$R$5+30</f>
        <v>46322</v>
      </c>
      <c r="H39" s="52"/>
      <c r="I39" s="51" t="n">
        <f aca="false">$R$5+31</f>
        <v>46323</v>
      </c>
      <c r="J39" s="52"/>
      <c r="K39" s="51" t="n">
        <f aca="false">$R$5+32</f>
        <v>46324</v>
      </c>
      <c r="L39" s="52"/>
      <c r="M39" s="51" t="n">
        <f aca="false">$R$5+33</f>
        <v>46325</v>
      </c>
      <c r="N39" s="52"/>
      <c r="O39" s="51" t="n">
        <f aca="false">$R$5+34</f>
        <v>46326</v>
      </c>
    </row>
    <row r="40" customFormat="false" ht="16.5" hidden="false" customHeight="true" outlineLevel="0" collapsed="false">
      <c r="B40" s="53" t="str">
        <f aca="false">IFERROR(INDEX(Base!$N$5:$N$2004,MATCH(C39*100+1,Base!$P$5:$P$2004,0)),"")</f>
        <v/>
      </c>
      <c r="C40" s="54" t="str">
        <f aca="false">IFERROR(INDEX(Base!$M$5:$M$2004,MATCH(C39*100+1,Base!$P$5:$P$2004,0)),"")</f>
        <v/>
      </c>
      <c r="D40" s="55" t="str">
        <f aca="false">IFERROR(INDEX(Base!$N$5:$N$2004,MATCH(E39*100+1,Base!$P$5:$P$2004,0)),"")</f>
        <v>PRA</v>
      </c>
      <c r="E40" s="54" t="str">
        <f aca="false">IFERROR(INDEX(Base!$M$5:$M$2004,MATCH(E39*100+1,Base!$P$5:$P$2004,0)),"")</f>
        <v>R3 · Endocardite Infecciosa / Meningites</v>
      </c>
      <c r="F40" s="55" t="str">
        <f aca="false">IFERROR(INDEX(Base!$N$5:$N$2004,MATCH(G39*100+1,Base!$P$5:$P$2004,0)),"")</f>
        <v>PRA</v>
      </c>
      <c r="G40" s="54" t="str">
        <f aca="false">IFERROR(INDEX(Base!$M$5:$M$2004,MATCH(G39*100+1,Base!$P$5:$P$2004,0)),"")</f>
        <v>R4 · Cardiopediatria</v>
      </c>
      <c r="H40" s="55" t="str">
        <f aca="false">IFERROR(INDEX(Base!$N$5:$N$2004,MATCH(I39*100+1,Base!$P$5:$P$2004,0)),"")</f>
        <v>PRA</v>
      </c>
      <c r="I40" s="54" t="str">
        <f aca="false">IFERROR(INDEX(Base!$M$5:$M$2004,MATCH(I39*100+1,Base!$P$5:$P$2004,0)),"")</f>
        <v>R4 · Doenças da Tireoide</v>
      </c>
      <c r="J40" s="55" t="str">
        <f aca="false">IFERROR(INDEX(Base!$N$5:$N$2004,MATCH(K39*100+1,Base!$P$5:$P$2004,0)),"")</f>
        <v>PRA</v>
      </c>
      <c r="K40" s="54" t="str">
        <f aca="false">IFERROR(INDEX(Base!$M$5:$M$2004,MATCH(K39*100+1,Base!$P$5:$P$2004,0)),"")</f>
        <v>R3 · Distúrbios Hipertensivos na Gestação</v>
      </c>
      <c r="L40" s="55" t="str">
        <f aca="false">IFERROR(INDEX(Base!$N$5:$N$2004,MATCH(M39*100+1,Base!$P$5:$P$2004,0)),"")</f>
        <v>PRA</v>
      </c>
      <c r="M40" s="54" t="str">
        <f aca="false">IFERROR(INDEX(Base!$M$5:$M$2004,MATCH(M39*100+1,Base!$P$5:$P$2004,0)),"")</f>
        <v>R2 · Pneumonias Comunitárias</v>
      </c>
      <c r="N40" s="55" t="str">
        <f aca="false">IFERROR(INDEX(Base!$N$5:$N$2004,MATCH(O39*100+1,Base!$P$5:$P$2004,0)),"")</f>
        <v>PRA</v>
      </c>
      <c r="O40" s="54" t="str">
        <f aca="false">IFERROR(INDEX(Base!$M$5:$M$2004,MATCH(O39*100+1,Base!$P$5:$P$2004,0)),"")</f>
        <v>R3 · Doenças da Suprarrenal</v>
      </c>
    </row>
    <row r="41" customFormat="false" ht="16.5" hidden="false" customHeight="true" outlineLevel="0" collapsed="false">
      <c r="B41" s="53" t="str">
        <f aca="false">IFERROR(INDEX(Base!$N$5:$N$2004,MATCH(C39*100+2,Base!$P$5:$P$2004,0)),"")</f>
        <v/>
      </c>
      <c r="C41" s="54" t="str">
        <f aca="false">IFERROR(INDEX(Base!$M$5:$M$2004,MATCH(C39*100+2,Base!$P$5:$P$2004,0)),"")</f>
        <v/>
      </c>
      <c r="D41" s="55" t="str">
        <f aca="false">IFERROR(INDEX(Base!$N$5:$N$2004,MATCH(E39*100+2,Base!$P$5:$P$2004,0)),"")</f>
        <v>PRA</v>
      </c>
      <c r="E41" s="54" t="str">
        <f aca="false">IFERROR(INDEX(Base!$M$5:$M$2004,MATCH(E39*100+2,Base!$P$5:$P$2004,0)),"")</f>
        <v>R2 · Dermatologia I e II</v>
      </c>
      <c r="F41" s="55" t="str">
        <f aca="false">IFERROR(INDEX(Base!$N$5:$N$2004,MATCH(G39*100+2,Base!$P$5:$P$2004,0)),"")</f>
        <v>PRA</v>
      </c>
      <c r="G41" s="54" t="str">
        <f aca="false">IFERROR(INDEX(Base!$M$5:$M$2004,MATCH(G39*100+2,Base!$P$5:$P$2004,0)),"")</f>
        <v>R4 · Nefrologia Pediátrica / ITU</v>
      </c>
      <c r="H41" s="55" t="str">
        <f aca="false">IFERROR(INDEX(Base!$N$5:$N$2004,MATCH(I39*100+2,Base!$P$5:$P$2004,0)),"")</f>
        <v>PRA</v>
      </c>
      <c r="I41" s="54" t="str">
        <f aca="false">IFERROR(INDEX(Base!$M$5:$M$2004,MATCH(I39*100+2,Base!$P$5:$P$2004,0)),"")</f>
        <v>R4 · Valvopatias</v>
      </c>
      <c r="J41" s="55" t="str">
        <f aca="false">IFERROR(INDEX(Base!$N$5:$N$2004,MATCH(K39*100+2,Base!$P$5:$P$2004,0)),"")</f>
        <v>PRA</v>
      </c>
      <c r="K41" s="54" t="str">
        <f aca="false">IFERROR(INDEX(Base!$M$5:$M$2004,MATCH(K39*100+2,Base!$P$5:$P$2004,0)),"")</f>
        <v>R3 · Sofrimento Fetal e Vitalidade Fetal</v>
      </c>
      <c r="L41" s="55" t="str">
        <f aca="false">IFERROR(INDEX(Base!$N$5:$N$2004,MATCH(M39*100+2,Base!$P$5:$P$2004,0)),"")</f>
        <v>PRA</v>
      </c>
      <c r="M41" s="54" t="str">
        <f aca="false">IFERROR(INDEX(Base!$M$5:$M$2004,MATCH(M39*100+2,Base!$P$5:$P$2004,0)),"")</f>
        <v>R2 · Tuberculose</v>
      </c>
      <c r="N41" s="55" t="str">
        <f aca="false">IFERROR(INDEX(Base!$N$5:$N$2004,MATCH(O39*100+2,Base!$P$5:$P$2004,0)),"")</f>
        <v>PRA</v>
      </c>
      <c r="O41" s="54" t="str">
        <f aca="false">IFERROR(INDEX(Base!$M$5:$M$2004,MATCH(O39*100+2,Base!$P$5:$P$2004,0)),"")</f>
        <v>R3 · Infecções Sexualmente Transmissíveis</v>
      </c>
    </row>
    <row r="42" customFormat="false" ht="16.5" hidden="false" customHeight="true" outlineLevel="0" collapsed="false">
      <c r="B42" s="53" t="str">
        <f aca="false">IFERROR(INDEX(Base!$N$5:$N$2004,MATCH(C39*100+3,Base!$P$5:$P$2004,0)),"")</f>
        <v/>
      </c>
      <c r="C42" s="54" t="str">
        <f aca="false">IFERROR(INDEX(Base!$M$5:$M$2004,MATCH(C39*100+3,Base!$P$5:$P$2004,0)),"")</f>
        <v/>
      </c>
      <c r="D42" s="55" t="str">
        <f aca="false">IFERROR(INDEX(Base!$N$5:$N$2004,MATCH(E39*100+3,Base!$P$5:$P$2004,0)),"")</f>
        <v>TEO</v>
      </c>
      <c r="E42" s="54" t="str">
        <f aca="false">IFERROR(INDEX(Base!$M$5:$M$2004,MATCH(E39*100+3,Base!$P$5:$P$2004,0)),"")</f>
        <v>T · Ortopedia I e II</v>
      </c>
      <c r="F42" s="55" t="str">
        <f aca="false">IFERROR(INDEX(Base!$N$5:$N$2004,MATCH(G39*100+3,Base!$P$5:$P$2004,0)),"")</f>
        <v>PRA</v>
      </c>
      <c r="G42" s="54" t="str">
        <f aca="false">IFERROR(INDEX(Base!$M$5:$M$2004,MATCH(G39*100+3,Base!$P$5:$P$2004,0)),"")</f>
        <v>R4 · Asma e DPOC</v>
      </c>
      <c r="H42" s="55" t="str">
        <f aca="false">IFERROR(INDEX(Base!$N$5:$N$2004,MATCH(I39*100+3,Base!$P$5:$P$2004,0)),"")</f>
        <v>PRA</v>
      </c>
      <c r="I42" s="54" t="str">
        <f aca="false">IFERROR(INDEX(Base!$M$5:$M$2004,MATCH(I39*100+3,Base!$P$5:$P$2004,0)),"")</f>
        <v>R4 · Demência e Parkinson</v>
      </c>
      <c r="J42" s="55" t="str">
        <f aca="false">IFERROR(INDEX(Base!$N$5:$N$2004,MATCH(K39*100+3,Base!$P$5:$P$2004,0)),"")</f>
        <v/>
      </c>
      <c r="K42" s="54" t="str">
        <f aca="false">IFERROR(INDEX(Base!$M$5:$M$2004,MATCH(K39*100+3,Base!$P$5:$P$2004,0)),"")</f>
        <v/>
      </c>
      <c r="L42" s="55" t="str">
        <f aca="false">IFERROR(INDEX(Base!$N$5:$N$2004,MATCH(M39*100+3,Base!$P$5:$P$2004,0)),"")</f>
        <v>PRA</v>
      </c>
      <c r="M42" s="54" t="str">
        <f aca="false">IFERROR(INDEX(Base!$M$5:$M$2004,MATCH(M39*100+3,Base!$P$5:$P$2004,0)),"")</f>
        <v>R2 · Câncer de Pulmão e TEP</v>
      </c>
      <c r="N42" s="55" t="str">
        <f aca="false">IFERROR(INDEX(Base!$N$5:$N$2004,MATCH(O39*100+3,Base!$P$5:$P$2004,0)),"")</f>
        <v>PRA</v>
      </c>
      <c r="O42" s="54" t="str">
        <f aca="false">IFERROR(INDEX(Base!$M$5:$M$2004,MATCH(O39*100+3,Base!$P$5:$P$2004,0)),"")</f>
        <v>R3 · Parasitoses Intestinais</v>
      </c>
    </row>
    <row r="43" customFormat="false" ht="16.5" hidden="false" customHeight="true" outlineLevel="0" collapsed="false">
      <c r="B43" s="53" t="str">
        <f aca="false">IFERROR(INDEX(Base!$N$5:$N$2004,MATCH(C39*100+4,Base!$P$5:$P$2004,0)),"")</f>
        <v/>
      </c>
      <c r="C43" s="54" t="str">
        <f aca="false">IFERROR(INDEX(Base!$M$5:$M$2004,MATCH(C39*100+4,Base!$P$5:$P$2004,0)),"")</f>
        <v/>
      </c>
      <c r="D43" s="55" t="str">
        <f aca="false">IFERROR(INDEX(Base!$N$5:$N$2004,MATCH(E39*100+4,Base!$P$5:$P$2004,0)),"")</f>
        <v/>
      </c>
      <c r="E43" s="54" t="str">
        <f aca="false">IFERROR(INDEX(Base!$M$5:$M$2004,MATCH(E39*100+4,Base!$P$5:$P$2004,0)),"")</f>
        <v/>
      </c>
      <c r="F43" s="55" t="str">
        <f aca="false">IFERROR(INDEX(Base!$N$5:$N$2004,MATCH(G39*100+4,Base!$P$5:$P$2004,0)),"")</f>
        <v>PRA</v>
      </c>
      <c r="G43" s="54" t="str">
        <f aca="false">IFERROR(INDEX(Base!$M$5:$M$2004,MATCH(G39*100+4,Base!$P$5:$P$2004,0)),"")</f>
        <v>R3 · Especialidade Cirúrgica I</v>
      </c>
      <c r="H43" s="55" t="str">
        <f aca="false">IFERROR(INDEX(Base!$N$5:$N$2004,MATCH(I39*100+4,Base!$P$5:$P$2004,0)),"")</f>
        <v>REV</v>
      </c>
      <c r="I43" s="54" t="str">
        <f aca="false">IFERROR(INDEX(Base!$M$5:$M$2004,MATCH(I39*100+4,Base!$P$5:$P$2004,0)),"")</f>
        <v>R1 · Fraqueza Muscular — Polineuropatias</v>
      </c>
      <c r="J43" s="55" t="str">
        <f aca="false">IFERROR(INDEX(Base!$N$5:$N$2004,MATCH(K39*100+4,Base!$P$5:$P$2004,0)),"")</f>
        <v/>
      </c>
      <c r="K43" s="54" t="str">
        <f aca="false">IFERROR(INDEX(Base!$M$5:$M$2004,MATCH(K39*100+4,Base!$P$5:$P$2004,0)),"")</f>
        <v/>
      </c>
      <c r="L43" s="55" t="str">
        <f aca="false">IFERROR(INDEX(Base!$N$5:$N$2004,MATCH(M39*100+4,Base!$P$5:$P$2004,0)),"")</f>
        <v/>
      </c>
      <c r="M43" s="54" t="str">
        <f aca="false">IFERROR(INDEX(Base!$M$5:$M$2004,MATCH(M39*100+4,Base!$P$5:$P$2004,0)),"")</f>
        <v/>
      </c>
      <c r="N43" s="55" t="str">
        <f aca="false">IFERROR(INDEX(Base!$N$5:$N$2004,MATCH(O39*100+4,Base!$P$5:$P$2004,0)),"")</f>
        <v>PRA</v>
      </c>
      <c r="O43" s="54" t="str">
        <f aca="false">IFERROR(INDEX(Base!$M$5:$M$2004,MATCH(O39*100+4,Base!$P$5:$P$2004,0)),"")</f>
        <v>R3 · HIV/AIDS</v>
      </c>
    </row>
    <row r="44" customFormat="false" ht="16.5" hidden="false" customHeight="true" outlineLevel="0" collapsed="false">
      <c r="B44" s="53" t="str">
        <f aca="false">IFERROR(INDEX(Base!$N$5:$N$2004,MATCH(C39*100+5,Base!$P$5:$P$2004,0)),"")</f>
        <v/>
      </c>
      <c r="C44" s="54" t="str">
        <f aca="false">IFERROR(INDEX(Base!$M$5:$M$2004,MATCH(C39*100+5,Base!$P$5:$P$2004,0)),"")</f>
        <v/>
      </c>
      <c r="D44" s="55" t="str">
        <f aca="false">IFERROR(INDEX(Base!$N$5:$N$2004,MATCH(E39*100+5,Base!$P$5:$P$2004,0)),"")</f>
        <v/>
      </c>
      <c r="E44" s="54" t="str">
        <f aca="false">IFERROR(INDEX(Base!$M$5:$M$2004,MATCH(E39*100+5,Base!$P$5:$P$2004,0)),"")</f>
        <v/>
      </c>
      <c r="F44" s="55" t="str">
        <f aca="false">IFERROR(INDEX(Base!$N$5:$N$2004,MATCH(G39*100+5,Base!$P$5:$P$2004,0)),"")</f>
        <v>PRA</v>
      </c>
      <c r="G44" s="54" t="str">
        <f aca="false">IFERROR(INDEX(Base!$M$5:$M$2004,MATCH(G39*100+5,Base!$P$5:$P$2004,0)),"")</f>
        <v>R3 · Especialidade Cirúrgica II</v>
      </c>
      <c r="H44" s="55" t="str">
        <f aca="false">IFERROR(INDEX(Base!$N$5:$N$2004,MATCH(I39*100+5,Base!$P$5:$P$2004,0)),"")</f>
        <v/>
      </c>
      <c r="I44" s="54" t="str">
        <f aca="false">IFERROR(INDEX(Base!$M$5:$M$2004,MATCH(I39*100+5,Base!$P$5:$P$2004,0)),"")</f>
        <v/>
      </c>
      <c r="J44" s="55" t="str">
        <f aca="false">IFERROR(INDEX(Base!$N$5:$N$2004,MATCH(K39*100+5,Base!$P$5:$P$2004,0)),"")</f>
        <v/>
      </c>
      <c r="K44" s="54" t="str">
        <f aca="false">IFERROR(INDEX(Base!$M$5:$M$2004,MATCH(K39*100+5,Base!$P$5:$P$2004,0)),"")</f>
        <v/>
      </c>
      <c r="L44" s="55" t="str">
        <f aca="false">IFERROR(INDEX(Base!$N$5:$N$2004,MATCH(M39*100+5,Base!$P$5:$P$2004,0)),"")</f>
        <v/>
      </c>
      <c r="M44" s="54" t="str">
        <f aca="false">IFERROR(INDEX(Base!$M$5:$M$2004,MATCH(M39*100+5,Base!$P$5:$P$2004,0)),"")</f>
        <v/>
      </c>
      <c r="N44" s="55" t="str">
        <f aca="false">IFERROR(INDEX(Base!$N$5:$N$2004,MATCH(O39*100+5,Base!$P$5:$P$2004,0)),"")</f>
        <v/>
      </c>
      <c r="O44" s="54" t="str">
        <f aca="false">IFERROR(INDEX(Base!$M$5:$M$2004,MATCH(O39*100+5,Base!$P$5:$P$2004,0)),"")</f>
        <v/>
      </c>
    </row>
    <row r="45" customFormat="false" ht="16.5" hidden="false" customHeight="true" outlineLevel="0" collapsed="false">
      <c r="B45" s="53" t="str">
        <f aca="false">IFERROR(INDEX(Base!$N$5:$N$2004,MATCH(C39*100+6,Base!$P$5:$P$2004,0)),"")</f>
        <v/>
      </c>
      <c r="C45" s="54" t="str">
        <f aca="false">IFERROR(INDEX(Base!$M$5:$M$2004,MATCH(C39*100+6,Base!$P$5:$P$2004,0)),"")</f>
        <v/>
      </c>
      <c r="D45" s="55" t="str">
        <f aca="false">IFERROR(INDEX(Base!$N$5:$N$2004,MATCH(E39*100+6,Base!$P$5:$P$2004,0)),"")</f>
        <v/>
      </c>
      <c r="E45" s="54" t="str">
        <f aca="false">IFERROR(INDEX(Base!$M$5:$M$2004,MATCH(E39*100+6,Base!$P$5:$P$2004,0)),"")</f>
        <v/>
      </c>
      <c r="F45" s="55" t="str">
        <f aca="false">IFERROR(INDEX(Base!$N$5:$N$2004,MATCH(G39*100+6,Base!$P$5:$P$2004,0)),"")</f>
        <v>PRA</v>
      </c>
      <c r="G45" s="54" t="str">
        <f aca="false">IFERROR(INDEX(Base!$M$5:$M$2004,MATCH(G39*100+6,Base!$P$5:$P$2004,0)),"")</f>
        <v>R2 · Bônus Oftalmo</v>
      </c>
      <c r="H45" s="55" t="str">
        <f aca="false">IFERROR(INDEX(Base!$N$5:$N$2004,MATCH(I39*100+6,Base!$P$5:$P$2004,0)),"")</f>
        <v/>
      </c>
      <c r="I45" s="54" t="str">
        <f aca="false">IFERROR(INDEX(Base!$M$5:$M$2004,MATCH(I39*100+6,Base!$P$5:$P$2004,0)),"")</f>
        <v/>
      </c>
      <c r="J45" s="55" t="str">
        <f aca="false">IFERROR(INDEX(Base!$N$5:$N$2004,MATCH(K39*100+6,Base!$P$5:$P$2004,0)),"")</f>
        <v/>
      </c>
      <c r="K45" s="54" t="str">
        <f aca="false">IFERROR(INDEX(Base!$M$5:$M$2004,MATCH(K39*100+6,Base!$P$5:$P$2004,0)),"")</f>
        <v/>
      </c>
      <c r="L45" s="55" t="str">
        <f aca="false">IFERROR(INDEX(Base!$N$5:$N$2004,MATCH(M39*100+6,Base!$P$5:$P$2004,0)),"")</f>
        <v/>
      </c>
      <c r="M45" s="54" t="str">
        <f aca="false">IFERROR(INDEX(Base!$M$5:$M$2004,MATCH(M39*100+6,Base!$P$5:$P$2004,0)),"")</f>
        <v/>
      </c>
      <c r="N45" s="55" t="str">
        <f aca="false">IFERROR(INDEX(Base!$N$5:$N$2004,MATCH(O39*100+6,Base!$P$5:$P$2004,0)),"")</f>
        <v/>
      </c>
      <c r="O45" s="54" t="str">
        <f aca="false">IFERROR(INDEX(Base!$M$5:$M$2004,MATCH(O39*100+6,Base!$P$5:$P$2004,0)),"")</f>
        <v/>
      </c>
    </row>
    <row r="46" customFormat="false" ht="12" hidden="false" customHeight="true" outlineLevel="0" collapsed="false">
      <c r="B46" s="56"/>
      <c r="C46" s="57" t="str">
        <f aca="false">IF(COUNTIF(Base!$E$5:$E$2004,C39)&gt;6,"+"&amp;(COUNTIF(Base!$E$5:$E$2004,C39)-6)&amp;" mais","")</f>
        <v/>
      </c>
      <c r="D46" s="58"/>
      <c r="E46" s="57" t="str">
        <f aca="false">IF(COUNTIF(Base!$E$5:$E$2004,E39)&gt;6,"+"&amp;(COUNTIF(Base!$E$5:$E$2004,E39)-6)&amp;" mais","")</f>
        <v/>
      </c>
      <c r="F46" s="58"/>
      <c r="G46" s="57" t="str">
        <f aca="false">IF(COUNTIF(Base!$E$5:$E$2004,G39)&gt;6,"+"&amp;(COUNTIF(Base!$E$5:$E$2004,G39)-6)&amp;" mais","")</f>
        <v>+3 mais</v>
      </c>
      <c r="H46" s="58"/>
      <c r="I46" s="57" t="str">
        <f aca="false">IF(COUNTIF(Base!$E$5:$E$2004,I39)&gt;6,"+"&amp;(COUNTIF(Base!$E$5:$E$2004,I39)-6)&amp;" mais","")</f>
        <v/>
      </c>
      <c r="J46" s="58"/>
      <c r="K46" s="57" t="str">
        <f aca="false">IF(COUNTIF(Base!$E$5:$E$2004,K39)&gt;6,"+"&amp;(COUNTIF(Base!$E$5:$E$2004,K39)-6)&amp;" mais","")</f>
        <v/>
      </c>
      <c r="L46" s="58"/>
      <c r="M46" s="57" t="str">
        <f aca="false">IF(COUNTIF(Base!$E$5:$E$2004,M39)&gt;6,"+"&amp;(COUNTIF(Base!$E$5:$E$2004,M39)-6)&amp;" mais","")</f>
        <v/>
      </c>
      <c r="N46" s="58"/>
      <c r="O46" s="57" t="str">
        <f aca="false">IF(COUNTIF(Base!$E$5:$E$2004,O39)&gt;6,"+"&amp;(COUNTIF(Base!$E$5:$E$2004,O39)-6)&amp;" mais","")</f>
        <v/>
      </c>
    </row>
    <row r="47" customFormat="false" ht="18.75" hidden="false" customHeight="true" outlineLevel="0" collapsed="false">
      <c r="B47" s="50"/>
      <c r="C47" s="51" t="n">
        <f aca="false">$R$5+35</f>
        <v>46327</v>
      </c>
      <c r="D47" s="52"/>
      <c r="E47" s="51" t="n">
        <f aca="false">$R$5+36</f>
        <v>46328</v>
      </c>
      <c r="F47" s="52"/>
      <c r="G47" s="51" t="n">
        <f aca="false">$R$5+37</f>
        <v>46329</v>
      </c>
      <c r="H47" s="52"/>
      <c r="I47" s="51" t="n">
        <f aca="false">$R$5+38</f>
        <v>46330</v>
      </c>
      <c r="J47" s="52"/>
      <c r="K47" s="51" t="n">
        <f aca="false">$R$5+39</f>
        <v>46331</v>
      </c>
      <c r="L47" s="52"/>
      <c r="M47" s="51" t="n">
        <f aca="false">$R$5+40</f>
        <v>46332</v>
      </c>
      <c r="N47" s="52"/>
      <c r="O47" s="51" t="n">
        <f aca="false">$R$5+41</f>
        <v>46333</v>
      </c>
    </row>
    <row r="48" customFormat="false" ht="16.5" hidden="false" customHeight="true" outlineLevel="0" collapsed="false">
      <c r="B48" s="53" t="str">
        <f aca="false">IFERROR(INDEX(Base!$N$5:$N$2004,MATCH(C47*100+1,Base!$P$5:$P$2004,0)),"")</f>
        <v>PRA</v>
      </c>
      <c r="C48" s="54" t="str">
        <f aca="false">IFERROR(INDEX(Base!$M$5:$M$2004,MATCH(C47*100+1,Base!$P$5:$P$2004,0)),"")</f>
        <v>R4 · ATB</v>
      </c>
      <c r="D48" s="55" t="str">
        <f aca="false">IFERROR(INDEX(Base!$N$5:$N$2004,MATCH(E47*100+1,Base!$P$5:$P$2004,0)),"")</f>
        <v>PRA</v>
      </c>
      <c r="E48" s="54" t="str">
        <f aca="false">IFERROR(INDEX(Base!$M$5:$M$2004,MATCH(E47*100+1,Base!$P$5:$P$2004,0)),"")</f>
        <v>R2 · Ortopedia I e II</v>
      </c>
      <c r="F48" s="55" t="str">
        <f aca="false">IFERROR(INDEX(Base!$N$5:$N$2004,MATCH(G47*100+1,Base!$P$5:$P$2004,0)),"")</f>
        <v>PRA</v>
      </c>
      <c r="G48" s="54" t="str">
        <f aca="false">IFERROR(INDEX(Base!$M$5:$M$2004,MATCH(G47*100+1,Base!$P$5:$P$2004,0)),"")</f>
        <v>R3 · Dermatologia I e II</v>
      </c>
      <c r="H48" s="55" t="str">
        <f aca="false">IFERROR(INDEX(Base!$N$5:$N$2004,MATCH(I47*100+1,Base!$P$5:$P$2004,0)),"")</f>
        <v>PRA</v>
      </c>
      <c r="I48" s="54" t="str">
        <f aca="false">IFERROR(INDEX(Base!$M$5:$M$2004,MATCH(I47*100+1,Base!$P$5:$P$2004,0)),"")</f>
        <v>R4 · Transtornos Psiquiátricos I</v>
      </c>
      <c r="J48" s="55" t="str">
        <f aca="false">IFERROR(INDEX(Base!$N$5:$N$2004,MATCH(K47*100+1,Base!$P$5:$P$2004,0)),"")</f>
        <v/>
      </c>
      <c r="K48" s="54" t="str">
        <f aca="false">IFERROR(INDEX(Base!$M$5:$M$2004,MATCH(K47*100+1,Base!$P$5:$P$2004,0)),"")</f>
        <v/>
      </c>
      <c r="L48" s="55" t="str">
        <f aca="false">IFERROR(INDEX(Base!$N$5:$N$2004,MATCH(M47*100+1,Base!$P$5:$P$2004,0)),"")</f>
        <v/>
      </c>
      <c r="M48" s="54" t="str">
        <f aca="false">IFERROR(INDEX(Base!$M$5:$M$2004,MATCH(M47*100+1,Base!$P$5:$P$2004,0)),"")</f>
        <v/>
      </c>
      <c r="N48" s="55" t="str">
        <f aca="false">IFERROR(INDEX(Base!$N$5:$N$2004,MATCH(O47*100+1,Base!$P$5:$P$2004,0)),"")</f>
        <v>PRA</v>
      </c>
      <c r="O48" s="54" t="str">
        <f aca="false">IFERROR(INDEX(Base!$M$5:$M$2004,MATCH(O47*100+1,Base!$P$5:$P$2004,0)),"")</f>
        <v>R4 · Síndromes Febris — Dengue</v>
      </c>
    </row>
    <row r="49" customFormat="false" ht="16.5" hidden="false" customHeight="true" outlineLevel="0" collapsed="false">
      <c r="B49" s="53" t="str">
        <f aca="false">IFERROR(INDEX(Base!$N$5:$N$2004,MATCH(C47*100+2,Base!$P$5:$P$2004,0)),"")</f>
        <v/>
      </c>
      <c r="C49" s="54" t="str">
        <f aca="false">IFERROR(INDEX(Base!$M$5:$M$2004,MATCH(C47*100+2,Base!$P$5:$P$2004,0)),"")</f>
        <v/>
      </c>
      <c r="D49" s="55" t="str">
        <f aca="false">IFERROR(INDEX(Base!$N$5:$N$2004,MATCH(E47*100+2,Base!$P$5:$P$2004,0)),"")</f>
        <v/>
      </c>
      <c r="E49" s="54" t="str">
        <f aca="false">IFERROR(INDEX(Base!$M$5:$M$2004,MATCH(E47*100+2,Base!$P$5:$P$2004,0)),"")</f>
        <v/>
      </c>
      <c r="F49" s="55" t="str">
        <f aca="false">IFERROR(INDEX(Base!$N$5:$N$2004,MATCH(G47*100+2,Base!$P$5:$P$2004,0)),"")</f>
        <v>PRA</v>
      </c>
      <c r="G49" s="54" t="str">
        <f aca="false">IFERROR(INDEX(Base!$M$5:$M$2004,MATCH(G47*100+2,Base!$P$5:$P$2004,0)),"")</f>
        <v>R2 · Fraqueza Muscular — Polineuropatias</v>
      </c>
      <c r="H49" s="55" t="str">
        <f aca="false">IFERROR(INDEX(Base!$N$5:$N$2004,MATCH(I47*100+2,Base!$P$5:$P$2004,0)),"")</f>
        <v>PRA</v>
      </c>
      <c r="I49" s="54" t="str">
        <f aca="false">IFERROR(INDEX(Base!$M$5:$M$2004,MATCH(I47*100+2,Base!$P$5:$P$2004,0)),"")</f>
        <v>R3 · Bônus Oftalmo</v>
      </c>
      <c r="J49" s="55" t="str">
        <f aca="false">IFERROR(INDEX(Base!$N$5:$N$2004,MATCH(K47*100+2,Base!$P$5:$P$2004,0)),"")</f>
        <v/>
      </c>
      <c r="K49" s="54" t="str">
        <f aca="false">IFERROR(INDEX(Base!$M$5:$M$2004,MATCH(K47*100+2,Base!$P$5:$P$2004,0)),"")</f>
        <v/>
      </c>
      <c r="L49" s="55" t="str">
        <f aca="false">IFERROR(INDEX(Base!$N$5:$N$2004,MATCH(M47*100+2,Base!$P$5:$P$2004,0)),"")</f>
        <v/>
      </c>
      <c r="M49" s="54" t="str">
        <f aca="false">IFERROR(INDEX(Base!$M$5:$M$2004,MATCH(M47*100+2,Base!$P$5:$P$2004,0)),"")</f>
        <v/>
      </c>
      <c r="N49" s="55" t="str">
        <f aca="false">IFERROR(INDEX(Base!$N$5:$N$2004,MATCH(O47*100+2,Base!$P$5:$P$2004,0)),"")</f>
        <v>PRA</v>
      </c>
      <c r="O49" s="54" t="str">
        <f aca="false">IFERROR(INDEX(Base!$M$5:$M$2004,MATCH(O47*100+2,Base!$P$5:$P$2004,0)),"")</f>
        <v>R3 · Pneumonias Comunitárias</v>
      </c>
    </row>
    <row r="50" customFormat="false" ht="16.5" hidden="false" customHeight="true" outlineLevel="0" collapsed="false">
      <c r="B50" s="53" t="str">
        <f aca="false">IFERROR(INDEX(Base!$N$5:$N$2004,MATCH(C47*100+3,Base!$P$5:$P$2004,0)),"")</f>
        <v/>
      </c>
      <c r="C50" s="54" t="str">
        <f aca="false">IFERROR(INDEX(Base!$M$5:$M$2004,MATCH(C47*100+3,Base!$P$5:$P$2004,0)),"")</f>
        <v/>
      </c>
      <c r="D50" s="55" t="str">
        <f aca="false">IFERROR(INDEX(Base!$N$5:$N$2004,MATCH(E47*100+3,Base!$P$5:$P$2004,0)),"")</f>
        <v/>
      </c>
      <c r="E50" s="54" t="str">
        <f aca="false">IFERROR(INDEX(Base!$M$5:$M$2004,MATCH(E47*100+3,Base!$P$5:$P$2004,0)),"")</f>
        <v/>
      </c>
      <c r="F50" s="55" t="str">
        <f aca="false">IFERROR(INDEX(Base!$N$5:$N$2004,MATCH(G47*100+3,Base!$P$5:$P$2004,0)),"")</f>
        <v/>
      </c>
      <c r="G50" s="54" t="str">
        <f aca="false">IFERROR(INDEX(Base!$M$5:$M$2004,MATCH(G47*100+3,Base!$P$5:$P$2004,0)),"")</f>
        <v/>
      </c>
      <c r="H50" s="55" t="str">
        <f aca="false">IFERROR(INDEX(Base!$N$5:$N$2004,MATCH(I47*100+3,Base!$P$5:$P$2004,0)),"")</f>
        <v>PRA</v>
      </c>
      <c r="I50" s="54" t="str">
        <f aca="false">IFERROR(INDEX(Base!$M$5:$M$2004,MATCH(I47*100+3,Base!$P$5:$P$2004,0)),"")</f>
        <v>R3 · Insuficiência Cardíaca</v>
      </c>
      <c r="J50" s="55" t="str">
        <f aca="false">IFERROR(INDEX(Base!$N$5:$N$2004,MATCH(K47*100+3,Base!$P$5:$P$2004,0)),"")</f>
        <v/>
      </c>
      <c r="K50" s="54" t="str">
        <f aca="false">IFERROR(INDEX(Base!$M$5:$M$2004,MATCH(K47*100+3,Base!$P$5:$P$2004,0)),"")</f>
        <v/>
      </c>
      <c r="L50" s="55" t="str">
        <f aca="false">IFERROR(INDEX(Base!$N$5:$N$2004,MATCH(M47*100+3,Base!$P$5:$P$2004,0)),"")</f>
        <v/>
      </c>
      <c r="M50" s="54" t="str">
        <f aca="false">IFERROR(INDEX(Base!$M$5:$M$2004,MATCH(M47*100+3,Base!$P$5:$P$2004,0)),"")</f>
        <v/>
      </c>
      <c r="N50" s="55" t="str">
        <f aca="false">IFERROR(INDEX(Base!$N$5:$N$2004,MATCH(O47*100+3,Base!$P$5:$P$2004,0)),"")</f>
        <v>PRA</v>
      </c>
      <c r="O50" s="54" t="str">
        <f aca="false">IFERROR(INDEX(Base!$M$5:$M$2004,MATCH(O47*100+3,Base!$P$5:$P$2004,0)),"")</f>
        <v>R3 · Tuberculose</v>
      </c>
    </row>
    <row r="51" customFormat="false" ht="16.5" hidden="false" customHeight="true" outlineLevel="0" collapsed="false">
      <c r="B51" s="53" t="str">
        <f aca="false">IFERROR(INDEX(Base!$N$5:$N$2004,MATCH(C47*100+4,Base!$P$5:$P$2004,0)),"")</f>
        <v/>
      </c>
      <c r="C51" s="54" t="str">
        <f aca="false">IFERROR(INDEX(Base!$M$5:$M$2004,MATCH(C47*100+4,Base!$P$5:$P$2004,0)),"")</f>
        <v/>
      </c>
      <c r="D51" s="55" t="str">
        <f aca="false">IFERROR(INDEX(Base!$N$5:$N$2004,MATCH(E47*100+4,Base!$P$5:$P$2004,0)),"")</f>
        <v/>
      </c>
      <c r="E51" s="54" t="str">
        <f aca="false">IFERROR(INDEX(Base!$M$5:$M$2004,MATCH(E47*100+4,Base!$P$5:$P$2004,0)),"")</f>
        <v/>
      </c>
      <c r="F51" s="55" t="str">
        <f aca="false">IFERROR(INDEX(Base!$N$5:$N$2004,MATCH(G47*100+4,Base!$P$5:$P$2004,0)),"")</f>
        <v/>
      </c>
      <c r="G51" s="54" t="str">
        <f aca="false">IFERROR(INDEX(Base!$M$5:$M$2004,MATCH(G47*100+4,Base!$P$5:$P$2004,0)),"")</f>
        <v/>
      </c>
      <c r="H51" s="55" t="str">
        <f aca="false">IFERROR(INDEX(Base!$N$5:$N$2004,MATCH(I47*100+4,Base!$P$5:$P$2004,0)),"")</f>
        <v/>
      </c>
      <c r="I51" s="54" t="str">
        <f aca="false">IFERROR(INDEX(Base!$M$5:$M$2004,MATCH(I47*100+4,Base!$P$5:$P$2004,0)),"")</f>
        <v/>
      </c>
      <c r="J51" s="55" t="str">
        <f aca="false">IFERROR(INDEX(Base!$N$5:$N$2004,MATCH(K47*100+4,Base!$P$5:$P$2004,0)),"")</f>
        <v/>
      </c>
      <c r="K51" s="54" t="str">
        <f aca="false">IFERROR(INDEX(Base!$M$5:$M$2004,MATCH(K47*100+4,Base!$P$5:$P$2004,0)),"")</f>
        <v/>
      </c>
      <c r="L51" s="55" t="str">
        <f aca="false">IFERROR(INDEX(Base!$N$5:$N$2004,MATCH(M47*100+4,Base!$P$5:$P$2004,0)),"")</f>
        <v/>
      </c>
      <c r="M51" s="54" t="str">
        <f aca="false">IFERROR(INDEX(Base!$M$5:$M$2004,MATCH(M47*100+4,Base!$P$5:$P$2004,0)),"")</f>
        <v/>
      </c>
      <c r="N51" s="55" t="str">
        <f aca="false">IFERROR(INDEX(Base!$N$5:$N$2004,MATCH(O47*100+4,Base!$P$5:$P$2004,0)),"")</f>
        <v>PRA</v>
      </c>
      <c r="O51" s="54" t="str">
        <f aca="false">IFERROR(INDEX(Base!$M$5:$M$2004,MATCH(O47*100+4,Base!$P$5:$P$2004,0)),"")</f>
        <v>R3 · Câncer de Pulmão e TEP</v>
      </c>
    </row>
    <row r="52" customFormat="false" ht="16.5" hidden="false" customHeight="true" outlineLevel="0" collapsed="false">
      <c r="B52" s="53" t="str">
        <f aca="false">IFERROR(INDEX(Base!$N$5:$N$2004,MATCH(C47*100+5,Base!$P$5:$P$2004,0)),"")</f>
        <v/>
      </c>
      <c r="C52" s="54" t="str">
        <f aca="false">IFERROR(INDEX(Base!$M$5:$M$2004,MATCH(C47*100+5,Base!$P$5:$P$2004,0)),"")</f>
        <v/>
      </c>
      <c r="D52" s="55" t="str">
        <f aca="false">IFERROR(INDEX(Base!$N$5:$N$2004,MATCH(E47*100+5,Base!$P$5:$P$2004,0)),"")</f>
        <v/>
      </c>
      <c r="E52" s="54" t="str">
        <f aca="false">IFERROR(INDEX(Base!$M$5:$M$2004,MATCH(E47*100+5,Base!$P$5:$P$2004,0)),"")</f>
        <v/>
      </c>
      <c r="F52" s="55" t="str">
        <f aca="false">IFERROR(INDEX(Base!$N$5:$N$2004,MATCH(G47*100+5,Base!$P$5:$P$2004,0)),"")</f>
        <v/>
      </c>
      <c r="G52" s="54" t="str">
        <f aca="false">IFERROR(INDEX(Base!$M$5:$M$2004,MATCH(G47*100+5,Base!$P$5:$P$2004,0)),"")</f>
        <v/>
      </c>
      <c r="H52" s="55" t="str">
        <f aca="false">IFERROR(INDEX(Base!$N$5:$N$2004,MATCH(I47*100+5,Base!$P$5:$P$2004,0)),"")</f>
        <v/>
      </c>
      <c r="I52" s="54" t="str">
        <f aca="false">IFERROR(INDEX(Base!$M$5:$M$2004,MATCH(I47*100+5,Base!$P$5:$P$2004,0)),"")</f>
        <v/>
      </c>
      <c r="J52" s="55" t="str">
        <f aca="false">IFERROR(INDEX(Base!$N$5:$N$2004,MATCH(K47*100+5,Base!$P$5:$P$2004,0)),"")</f>
        <v/>
      </c>
      <c r="K52" s="54" t="str">
        <f aca="false">IFERROR(INDEX(Base!$M$5:$M$2004,MATCH(K47*100+5,Base!$P$5:$P$2004,0)),"")</f>
        <v/>
      </c>
      <c r="L52" s="55" t="str">
        <f aca="false">IFERROR(INDEX(Base!$N$5:$N$2004,MATCH(M47*100+5,Base!$P$5:$P$2004,0)),"")</f>
        <v/>
      </c>
      <c r="M52" s="54" t="str">
        <f aca="false">IFERROR(INDEX(Base!$M$5:$M$2004,MATCH(M47*100+5,Base!$P$5:$P$2004,0)),"")</f>
        <v/>
      </c>
      <c r="N52" s="55" t="str">
        <f aca="false">IFERROR(INDEX(Base!$N$5:$N$2004,MATCH(O47*100+5,Base!$P$5:$P$2004,0)),"")</f>
        <v/>
      </c>
      <c r="O52" s="54" t="str">
        <f aca="false">IFERROR(INDEX(Base!$M$5:$M$2004,MATCH(O47*100+5,Base!$P$5:$P$2004,0)),"")</f>
        <v/>
      </c>
    </row>
    <row r="53" customFormat="false" ht="16.5" hidden="false" customHeight="true" outlineLevel="0" collapsed="false">
      <c r="B53" s="53" t="str">
        <f aca="false">IFERROR(INDEX(Base!$N$5:$N$2004,MATCH(C47*100+6,Base!$P$5:$P$2004,0)),"")</f>
        <v/>
      </c>
      <c r="C53" s="54" t="str">
        <f aca="false">IFERROR(INDEX(Base!$M$5:$M$2004,MATCH(C47*100+6,Base!$P$5:$P$2004,0)),"")</f>
        <v/>
      </c>
      <c r="D53" s="55" t="str">
        <f aca="false">IFERROR(INDEX(Base!$N$5:$N$2004,MATCH(E47*100+6,Base!$P$5:$P$2004,0)),"")</f>
        <v/>
      </c>
      <c r="E53" s="54" t="str">
        <f aca="false">IFERROR(INDEX(Base!$M$5:$M$2004,MATCH(E47*100+6,Base!$P$5:$P$2004,0)),"")</f>
        <v/>
      </c>
      <c r="F53" s="55" t="str">
        <f aca="false">IFERROR(INDEX(Base!$N$5:$N$2004,MATCH(G47*100+6,Base!$P$5:$P$2004,0)),"")</f>
        <v/>
      </c>
      <c r="G53" s="54" t="str">
        <f aca="false">IFERROR(INDEX(Base!$M$5:$M$2004,MATCH(G47*100+6,Base!$P$5:$P$2004,0)),"")</f>
        <v/>
      </c>
      <c r="H53" s="55" t="str">
        <f aca="false">IFERROR(INDEX(Base!$N$5:$N$2004,MATCH(I47*100+6,Base!$P$5:$P$2004,0)),"")</f>
        <v/>
      </c>
      <c r="I53" s="54" t="str">
        <f aca="false">IFERROR(INDEX(Base!$M$5:$M$2004,MATCH(I47*100+6,Base!$P$5:$P$2004,0)),"")</f>
        <v/>
      </c>
      <c r="J53" s="55" t="str">
        <f aca="false">IFERROR(INDEX(Base!$N$5:$N$2004,MATCH(K47*100+6,Base!$P$5:$P$2004,0)),"")</f>
        <v/>
      </c>
      <c r="K53" s="54" t="str">
        <f aca="false">IFERROR(INDEX(Base!$M$5:$M$2004,MATCH(K47*100+6,Base!$P$5:$P$2004,0)),"")</f>
        <v/>
      </c>
      <c r="L53" s="55" t="str">
        <f aca="false">IFERROR(INDEX(Base!$N$5:$N$2004,MATCH(M47*100+6,Base!$P$5:$P$2004,0)),"")</f>
        <v/>
      </c>
      <c r="M53" s="54" t="str">
        <f aca="false">IFERROR(INDEX(Base!$M$5:$M$2004,MATCH(M47*100+6,Base!$P$5:$P$2004,0)),"")</f>
        <v/>
      </c>
      <c r="N53" s="55" t="str">
        <f aca="false">IFERROR(INDEX(Base!$N$5:$N$2004,MATCH(O47*100+6,Base!$P$5:$P$2004,0)),"")</f>
        <v/>
      </c>
      <c r="O53" s="54" t="str">
        <f aca="false">IFERROR(INDEX(Base!$M$5:$M$2004,MATCH(O47*100+6,Base!$P$5:$P$2004,0)),"")</f>
        <v/>
      </c>
    </row>
    <row r="54" customFormat="false" ht="12" hidden="false" customHeight="true" outlineLevel="0" collapsed="false">
      <c r="B54" s="56"/>
      <c r="C54" s="57" t="str">
        <f aca="false">IF(COUNTIF(Base!$E$5:$E$2004,C47)&gt;6,"+"&amp;(COUNTIF(Base!$E$5:$E$2004,C47)-6)&amp;" mais","")</f>
        <v/>
      </c>
      <c r="D54" s="58"/>
      <c r="E54" s="57" t="str">
        <f aca="false">IF(COUNTIF(Base!$E$5:$E$2004,E47)&gt;6,"+"&amp;(COUNTIF(Base!$E$5:$E$2004,E47)-6)&amp;" mais","")</f>
        <v/>
      </c>
      <c r="F54" s="58"/>
      <c r="G54" s="57" t="str">
        <f aca="false">IF(COUNTIF(Base!$E$5:$E$2004,G47)&gt;6,"+"&amp;(COUNTIF(Base!$E$5:$E$2004,G47)-6)&amp;" mais","")</f>
        <v/>
      </c>
      <c r="H54" s="58"/>
      <c r="I54" s="57" t="str">
        <f aca="false">IF(COUNTIF(Base!$E$5:$E$2004,I47)&gt;6,"+"&amp;(COUNTIF(Base!$E$5:$E$2004,I47)-6)&amp;" mais","")</f>
        <v/>
      </c>
      <c r="J54" s="58"/>
      <c r="K54" s="57" t="str">
        <f aca="false">IF(COUNTIF(Base!$E$5:$E$2004,K47)&gt;6,"+"&amp;(COUNTIF(Base!$E$5:$E$2004,K47)-6)&amp;" mais","")</f>
        <v/>
      </c>
      <c r="L54" s="58"/>
      <c r="M54" s="57" t="str">
        <f aca="false">IF(COUNTIF(Base!$E$5:$E$2004,M47)&gt;6,"+"&amp;(COUNTIF(Base!$E$5:$E$2004,M47)-6)&amp;" mais","")</f>
        <v/>
      </c>
      <c r="N54" s="58"/>
      <c r="O54" s="57" t="str">
        <f aca="false">IF(COUNTIF(Base!$E$5:$E$2004,O47)&gt;6,"+"&amp;(COUNTIF(Base!$E$5:$E$2004,O47)-6)&amp;" mais","")</f>
        <v/>
      </c>
    </row>
  </sheetData>
  <mergeCells count="22">
    <mergeCell ref="B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O3"/>
    <mergeCell ref="L4:O4"/>
    <mergeCell ref="B6:C6"/>
    <mergeCell ref="D6:E6"/>
    <mergeCell ref="F6:G6"/>
    <mergeCell ref="H6:I6"/>
    <mergeCell ref="J6:K6"/>
    <mergeCell ref="L6:M6"/>
    <mergeCell ref="N6:O6"/>
  </mergeCells>
  <conditionalFormatting sqref="C7:C54">
    <cfRule type="expression" priority="2" aboveAverage="0" equalAverage="0" bottom="0" percent="0" rank="0" text="" dxfId="16">
      <formula>C7=TODAY()</formula>
    </cfRule>
    <cfRule type="expression" priority="3" aboveAverage="0" equalAverage="0" bottom="0" percent="0" rank="0" text="" dxfId="17">
      <formula>$B7="TEO"</formula>
    </cfRule>
    <cfRule type="expression" priority="4" aboveAverage="0" equalAverage="0" bottom="0" percent="0" rank="0" text="" dxfId="18">
      <formula>$B7="TEOx"</formula>
    </cfRule>
    <cfRule type="expression" priority="5" aboveAverage="0" equalAverage="0" bottom="0" percent="0" rank="0" text="" dxfId="19">
      <formula>$B7="REV"</formula>
    </cfRule>
    <cfRule type="expression" priority="6" aboveAverage="0" equalAverage="0" bottom="0" percent="0" rank="0" text="" dxfId="20">
      <formula>$B7="REVx"</formula>
    </cfRule>
    <cfRule type="expression" priority="7" aboveAverage="0" equalAverage="0" bottom="0" percent="0" rank="0" text="" dxfId="21">
      <formula>$B7="PRA"</formula>
    </cfRule>
    <cfRule type="expression" priority="8" aboveAverage="0" equalAverage="0" bottom="0" percent="0" rank="0" text="" dxfId="22">
      <formula>$B7="PRAx"</formula>
    </cfRule>
    <cfRule type="expression" priority="9" aboveAverage="0" equalAverage="0" bottom="0" percent="0" rank="0" text="" dxfId="23">
      <formula>$B7="SIM"</formula>
    </cfRule>
    <cfRule type="expression" priority="10" aboveAverage="0" equalAverage="0" bottom="0" percent="0" rank="0" text="" dxfId="24">
      <formula>$B7="SIMx"</formula>
    </cfRule>
    <cfRule type="expression" priority="11" aboveAverage="0" equalAverage="0" bottom="0" percent="0" rank="0" text="" dxfId="25">
      <formula>$B7="OUT"</formula>
    </cfRule>
    <cfRule type="expression" priority="12" aboveAverage="0" equalAverage="0" bottom="0" percent="0" rank="0" text="" dxfId="26">
      <formula>$B7="OUTx"</formula>
    </cfRule>
  </conditionalFormatting>
  <conditionalFormatting sqref="E7:E54">
    <cfRule type="expression" priority="13" aboveAverage="0" equalAverage="0" bottom="0" percent="0" rank="0" text="" dxfId="16">
      <formula>E7=TODAY()</formula>
    </cfRule>
    <cfRule type="expression" priority="14" aboveAverage="0" equalAverage="0" bottom="0" percent="0" rank="0" text="" dxfId="17">
      <formula>$D7="TEO"</formula>
    </cfRule>
    <cfRule type="expression" priority="15" aboveAverage="0" equalAverage="0" bottom="0" percent="0" rank="0" text="" dxfId="18">
      <formula>$D7="TEOx"</formula>
    </cfRule>
    <cfRule type="expression" priority="16" aboveAverage="0" equalAverage="0" bottom="0" percent="0" rank="0" text="" dxfId="19">
      <formula>$D7="REV"</formula>
    </cfRule>
    <cfRule type="expression" priority="17" aboveAverage="0" equalAverage="0" bottom="0" percent="0" rank="0" text="" dxfId="20">
      <formula>$D7="REVx"</formula>
    </cfRule>
    <cfRule type="expression" priority="18" aboveAverage="0" equalAverage="0" bottom="0" percent="0" rank="0" text="" dxfId="21">
      <formula>$D7="PRA"</formula>
    </cfRule>
    <cfRule type="expression" priority="19" aboveAverage="0" equalAverage="0" bottom="0" percent="0" rank="0" text="" dxfId="22">
      <formula>$D7="PRAx"</formula>
    </cfRule>
    <cfRule type="expression" priority="20" aboveAverage="0" equalAverage="0" bottom="0" percent="0" rank="0" text="" dxfId="23">
      <formula>$D7="SIM"</formula>
    </cfRule>
    <cfRule type="expression" priority="21" aboveAverage="0" equalAverage="0" bottom="0" percent="0" rank="0" text="" dxfId="24">
      <formula>$D7="SIMx"</formula>
    </cfRule>
    <cfRule type="expression" priority="22" aboveAverage="0" equalAverage="0" bottom="0" percent="0" rank="0" text="" dxfId="25">
      <formula>$D7="OUT"</formula>
    </cfRule>
    <cfRule type="expression" priority="23" aboveAverage="0" equalAverage="0" bottom="0" percent="0" rank="0" text="" dxfId="26">
      <formula>$D7="OUTx"</formula>
    </cfRule>
  </conditionalFormatting>
  <conditionalFormatting sqref="G7:G54">
    <cfRule type="expression" priority="24" aboveAverage="0" equalAverage="0" bottom="0" percent="0" rank="0" text="" dxfId="16">
      <formula>G7=TODAY()</formula>
    </cfRule>
    <cfRule type="expression" priority="25" aboveAverage="0" equalAverage="0" bottom="0" percent="0" rank="0" text="" dxfId="17">
      <formula>$F7="TEO"</formula>
    </cfRule>
    <cfRule type="expression" priority="26" aboveAverage="0" equalAverage="0" bottom="0" percent="0" rank="0" text="" dxfId="18">
      <formula>$F7="TEOx"</formula>
    </cfRule>
    <cfRule type="expression" priority="27" aboveAverage="0" equalAverage="0" bottom="0" percent="0" rank="0" text="" dxfId="19">
      <formula>$F7="REV"</formula>
    </cfRule>
    <cfRule type="expression" priority="28" aboveAverage="0" equalAverage="0" bottom="0" percent="0" rank="0" text="" dxfId="20">
      <formula>$F7="REVx"</formula>
    </cfRule>
    <cfRule type="expression" priority="29" aboveAverage="0" equalAverage="0" bottom="0" percent="0" rank="0" text="" dxfId="21">
      <formula>$F7="PRA"</formula>
    </cfRule>
    <cfRule type="expression" priority="30" aboveAverage="0" equalAverage="0" bottom="0" percent="0" rank="0" text="" dxfId="22">
      <formula>$F7="PRAx"</formula>
    </cfRule>
    <cfRule type="expression" priority="31" aboveAverage="0" equalAverage="0" bottom="0" percent="0" rank="0" text="" dxfId="23">
      <formula>$F7="SIM"</formula>
    </cfRule>
    <cfRule type="expression" priority="32" aboveAverage="0" equalAverage="0" bottom="0" percent="0" rank="0" text="" dxfId="24">
      <formula>$F7="SIMx"</formula>
    </cfRule>
    <cfRule type="expression" priority="33" aboveAverage="0" equalAverage="0" bottom="0" percent="0" rank="0" text="" dxfId="25">
      <formula>$F7="OUT"</formula>
    </cfRule>
    <cfRule type="expression" priority="34" aboveAverage="0" equalAverage="0" bottom="0" percent="0" rank="0" text="" dxfId="26">
      <formula>$F7="OUTx"</formula>
    </cfRule>
  </conditionalFormatting>
  <conditionalFormatting sqref="I7:I54">
    <cfRule type="expression" priority="35" aboveAverage="0" equalAverage="0" bottom="0" percent="0" rank="0" text="" dxfId="16">
      <formula>I7=TODAY()</formula>
    </cfRule>
    <cfRule type="expression" priority="36" aboveAverage="0" equalAverage="0" bottom="0" percent="0" rank="0" text="" dxfId="17">
      <formula>$H7="TEO"</formula>
    </cfRule>
    <cfRule type="expression" priority="37" aboveAverage="0" equalAverage="0" bottom="0" percent="0" rank="0" text="" dxfId="18">
      <formula>$H7="TEOx"</formula>
    </cfRule>
    <cfRule type="expression" priority="38" aboveAverage="0" equalAverage="0" bottom="0" percent="0" rank="0" text="" dxfId="19">
      <formula>$H7="REV"</formula>
    </cfRule>
    <cfRule type="expression" priority="39" aboveAverage="0" equalAverage="0" bottom="0" percent="0" rank="0" text="" dxfId="20">
      <formula>$H7="REVx"</formula>
    </cfRule>
    <cfRule type="expression" priority="40" aboveAverage="0" equalAverage="0" bottom="0" percent="0" rank="0" text="" dxfId="21">
      <formula>$H7="PRA"</formula>
    </cfRule>
    <cfRule type="expression" priority="41" aboveAverage="0" equalAverage="0" bottom="0" percent="0" rank="0" text="" dxfId="22">
      <formula>$H7="PRAx"</formula>
    </cfRule>
    <cfRule type="expression" priority="42" aboveAverage="0" equalAverage="0" bottom="0" percent="0" rank="0" text="" dxfId="23">
      <formula>$H7="SIM"</formula>
    </cfRule>
    <cfRule type="expression" priority="43" aboveAverage="0" equalAverage="0" bottom="0" percent="0" rank="0" text="" dxfId="24">
      <formula>$H7="SIMx"</formula>
    </cfRule>
    <cfRule type="expression" priority="44" aboveAverage="0" equalAverage="0" bottom="0" percent="0" rank="0" text="" dxfId="25">
      <formula>$H7="OUT"</formula>
    </cfRule>
    <cfRule type="expression" priority="45" aboveAverage="0" equalAverage="0" bottom="0" percent="0" rank="0" text="" dxfId="26">
      <formula>$H7="OUTx"</formula>
    </cfRule>
  </conditionalFormatting>
  <conditionalFormatting sqref="K7:K54">
    <cfRule type="expression" priority="46" aboveAverage="0" equalAverage="0" bottom="0" percent="0" rank="0" text="" dxfId="16">
      <formula>K7=TODAY()</formula>
    </cfRule>
    <cfRule type="expression" priority="47" aboveAverage="0" equalAverage="0" bottom="0" percent="0" rank="0" text="" dxfId="17">
      <formula>$J7="TEO"</formula>
    </cfRule>
    <cfRule type="expression" priority="48" aboveAverage="0" equalAverage="0" bottom="0" percent="0" rank="0" text="" dxfId="18">
      <formula>$J7="TEOx"</formula>
    </cfRule>
    <cfRule type="expression" priority="49" aboveAverage="0" equalAverage="0" bottom="0" percent="0" rank="0" text="" dxfId="19">
      <formula>$J7="REV"</formula>
    </cfRule>
    <cfRule type="expression" priority="50" aboveAverage="0" equalAverage="0" bottom="0" percent="0" rank="0" text="" dxfId="20">
      <formula>$J7="REVx"</formula>
    </cfRule>
    <cfRule type="expression" priority="51" aboveAverage="0" equalAverage="0" bottom="0" percent="0" rank="0" text="" dxfId="21">
      <formula>$J7="PRA"</formula>
    </cfRule>
    <cfRule type="expression" priority="52" aboveAverage="0" equalAverage="0" bottom="0" percent="0" rank="0" text="" dxfId="22">
      <formula>$J7="PRAx"</formula>
    </cfRule>
    <cfRule type="expression" priority="53" aboveAverage="0" equalAverage="0" bottom="0" percent="0" rank="0" text="" dxfId="23">
      <formula>$J7="SIM"</formula>
    </cfRule>
    <cfRule type="expression" priority="54" aboveAverage="0" equalAverage="0" bottom="0" percent="0" rank="0" text="" dxfId="24">
      <formula>$J7="SIMx"</formula>
    </cfRule>
    <cfRule type="expression" priority="55" aboveAverage="0" equalAverage="0" bottom="0" percent="0" rank="0" text="" dxfId="25">
      <formula>$J7="OUT"</formula>
    </cfRule>
    <cfRule type="expression" priority="56" aboveAverage="0" equalAverage="0" bottom="0" percent="0" rank="0" text="" dxfId="26">
      <formula>$J7="OUTx"</formula>
    </cfRule>
  </conditionalFormatting>
  <conditionalFormatting sqref="M7:M54">
    <cfRule type="expression" priority="57" aboveAverage="0" equalAverage="0" bottom="0" percent="0" rank="0" text="" dxfId="16">
      <formula>M7=TODAY()</formula>
    </cfRule>
    <cfRule type="expression" priority="58" aboveAverage="0" equalAverage="0" bottom="0" percent="0" rank="0" text="" dxfId="17">
      <formula>$L7="TEO"</formula>
    </cfRule>
    <cfRule type="expression" priority="59" aboveAverage="0" equalAverage="0" bottom="0" percent="0" rank="0" text="" dxfId="18">
      <formula>$L7="TEOx"</formula>
    </cfRule>
    <cfRule type="expression" priority="60" aboveAverage="0" equalAverage="0" bottom="0" percent="0" rank="0" text="" dxfId="19">
      <formula>$L7="REV"</formula>
    </cfRule>
    <cfRule type="expression" priority="61" aboveAverage="0" equalAverage="0" bottom="0" percent="0" rank="0" text="" dxfId="20">
      <formula>$L7="REVx"</formula>
    </cfRule>
    <cfRule type="expression" priority="62" aboveAverage="0" equalAverage="0" bottom="0" percent="0" rank="0" text="" dxfId="21">
      <formula>$L7="PRA"</formula>
    </cfRule>
    <cfRule type="expression" priority="63" aboveAverage="0" equalAverage="0" bottom="0" percent="0" rank="0" text="" dxfId="22">
      <formula>$L7="PRAx"</formula>
    </cfRule>
    <cfRule type="expression" priority="64" aboveAverage="0" equalAverage="0" bottom="0" percent="0" rank="0" text="" dxfId="23">
      <formula>$L7="SIM"</formula>
    </cfRule>
    <cfRule type="expression" priority="65" aboveAverage="0" equalAverage="0" bottom="0" percent="0" rank="0" text="" dxfId="24">
      <formula>$L7="SIMx"</formula>
    </cfRule>
    <cfRule type="expression" priority="66" aboveAverage="0" equalAverage="0" bottom="0" percent="0" rank="0" text="" dxfId="25">
      <formula>$L7="OUT"</formula>
    </cfRule>
    <cfRule type="expression" priority="67" aboveAverage="0" equalAverage="0" bottom="0" percent="0" rank="0" text="" dxfId="26">
      <formula>$L7="OUTx"</formula>
    </cfRule>
  </conditionalFormatting>
  <conditionalFormatting sqref="O7:O54">
    <cfRule type="expression" priority="68" aboveAverage="0" equalAverage="0" bottom="0" percent="0" rank="0" text="" dxfId="16">
      <formula>O7=TODAY()</formula>
    </cfRule>
    <cfRule type="expression" priority="69" aboveAverage="0" equalAverage="0" bottom="0" percent="0" rank="0" text="" dxfId="17">
      <formula>$N7="TEO"</formula>
    </cfRule>
    <cfRule type="expression" priority="70" aboveAverage="0" equalAverage="0" bottom="0" percent="0" rank="0" text="" dxfId="18">
      <formula>$N7="TEOx"</formula>
    </cfRule>
    <cfRule type="expression" priority="71" aboveAverage="0" equalAverage="0" bottom="0" percent="0" rank="0" text="" dxfId="19">
      <formula>$N7="REV"</formula>
    </cfRule>
    <cfRule type="expression" priority="72" aboveAverage="0" equalAverage="0" bottom="0" percent="0" rank="0" text="" dxfId="20">
      <formula>$N7="REVx"</formula>
    </cfRule>
    <cfRule type="expression" priority="73" aboveAverage="0" equalAverage="0" bottom="0" percent="0" rank="0" text="" dxfId="21">
      <formula>$N7="PRA"</formula>
    </cfRule>
    <cfRule type="expression" priority="74" aboveAverage="0" equalAverage="0" bottom="0" percent="0" rank="0" text="" dxfId="22">
      <formula>$N7="PRAx"</formula>
    </cfRule>
    <cfRule type="expression" priority="75" aboveAverage="0" equalAverage="0" bottom="0" percent="0" rank="0" text="" dxfId="23">
      <formula>$N7="SIM"</formula>
    </cfRule>
    <cfRule type="expression" priority="76" aboveAverage="0" equalAverage="0" bottom="0" percent="0" rank="0" text="" dxfId="24">
      <formula>$N7="SIMx"</formula>
    </cfRule>
    <cfRule type="expression" priority="77" aboveAverage="0" equalAverage="0" bottom="0" percent="0" rank="0" text="" dxfId="25">
      <formula>$N7="OUT"</formula>
    </cfRule>
    <cfRule type="expression" priority="78" aboveAverage="0" equalAverage="0" bottom="0" percent="0" rank="0" text="" dxfId="26">
      <formula>$N7="OUTx"</formula>
    </cfRule>
  </conditionalFormatting>
  <conditionalFormatting sqref="B7:B54">
    <cfRule type="expression" priority="79" aboveAverage="0" equalAverage="0" bottom="0" percent="0" rank="0" text="" dxfId="27">
      <formula>LEFT($B7,3)="TEO"</formula>
    </cfRule>
    <cfRule type="expression" priority="80" aboveAverage="0" equalAverage="0" bottom="0" percent="0" rank="0" text="" dxfId="28">
      <formula>LEFT($B7,3)="REV"</formula>
    </cfRule>
    <cfRule type="expression" priority="81" aboveAverage="0" equalAverage="0" bottom="0" percent="0" rank="0" text="" dxfId="29">
      <formula>LEFT($B7,3)="PRA"</formula>
    </cfRule>
    <cfRule type="expression" priority="82" aboveAverage="0" equalAverage="0" bottom="0" percent="0" rank="0" text="" dxfId="30">
      <formula>LEFT($B7,3)="SIM"</formula>
    </cfRule>
    <cfRule type="expression" priority="83" aboveAverage="0" equalAverage="0" bottom="0" percent="0" rank="0" text="" dxfId="31">
      <formula>LEFT($B7,3)="OUT"</formula>
    </cfRule>
  </conditionalFormatting>
  <conditionalFormatting sqref="D7:D54">
    <cfRule type="expression" priority="84" aboveAverage="0" equalAverage="0" bottom="0" percent="0" rank="0" text="" dxfId="27">
      <formula>LEFT($D7,3)="TEO"</formula>
    </cfRule>
    <cfRule type="expression" priority="85" aboveAverage="0" equalAverage="0" bottom="0" percent="0" rank="0" text="" dxfId="28">
      <formula>LEFT($D7,3)="REV"</formula>
    </cfRule>
    <cfRule type="expression" priority="86" aboveAverage="0" equalAverage="0" bottom="0" percent="0" rank="0" text="" dxfId="29">
      <formula>LEFT($D7,3)="PRA"</formula>
    </cfRule>
    <cfRule type="expression" priority="87" aboveAverage="0" equalAverage="0" bottom="0" percent="0" rank="0" text="" dxfId="30">
      <formula>LEFT($D7,3)="SIM"</formula>
    </cfRule>
    <cfRule type="expression" priority="88" aboveAverage="0" equalAverage="0" bottom="0" percent="0" rank="0" text="" dxfId="31">
      <formula>LEFT($D7,3)="OUT"</formula>
    </cfRule>
  </conditionalFormatting>
  <conditionalFormatting sqref="F7:F54">
    <cfRule type="expression" priority="89" aboveAverage="0" equalAverage="0" bottom="0" percent="0" rank="0" text="" dxfId="27">
      <formula>LEFT($F7,3)="TEO"</formula>
    </cfRule>
    <cfRule type="expression" priority="90" aboveAverage="0" equalAverage="0" bottom="0" percent="0" rank="0" text="" dxfId="28">
      <formula>LEFT($F7,3)="REV"</formula>
    </cfRule>
    <cfRule type="expression" priority="91" aboveAverage="0" equalAverage="0" bottom="0" percent="0" rank="0" text="" dxfId="29">
      <formula>LEFT($F7,3)="PRA"</formula>
    </cfRule>
    <cfRule type="expression" priority="92" aboveAverage="0" equalAverage="0" bottom="0" percent="0" rank="0" text="" dxfId="30">
      <formula>LEFT($F7,3)="SIM"</formula>
    </cfRule>
    <cfRule type="expression" priority="93" aboveAverage="0" equalAverage="0" bottom="0" percent="0" rank="0" text="" dxfId="31">
      <formula>LEFT($F7,3)="OUT"</formula>
    </cfRule>
  </conditionalFormatting>
  <conditionalFormatting sqref="H7:H54">
    <cfRule type="expression" priority="94" aboveAverage="0" equalAverage="0" bottom="0" percent="0" rank="0" text="" dxfId="27">
      <formula>LEFT($H7,3)="TEO"</formula>
    </cfRule>
    <cfRule type="expression" priority="95" aboveAverage="0" equalAverage="0" bottom="0" percent="0" rank="0" text="" dxfId="28">
      <formula>LEFT($H7,3)="REV"</formula>
    </cfRule>
    <cfRule type="expression" priority="96" aboveAverage="0" equalAverage="0" bottom="0" percent="0" rank="0" text="" dxfId="29">
      <formula>LEFT($H7,3)="PRA"</formula>
    </cfRule>
    <cfRule type="expression" priority="97" aboveAverage="0" equalAverage="0" bottom="0" percent="0" rank="0" text="" dxfId="30">
      <formula>LEFT($H7,3)="SIM"</formula>
    </cfRule>
    <cfRule type="expression" priority="98" aboveAverage="0" equalAverage="0" bottom="0" percent="0" rank="0" text="" dxfId="31">
      <formula>LEFT($H7,3)="OUT"</formula>
    </cfRule>
  </conditionalFormatting>
  <conditionalFormatting sqref="J7:J54">
    <cfRule type="expression" priority="99" aboveAverage="0" equalAverage="0" bottom="0" percent="0" rank="0" text="" dxfId="27">
      <formula>LEFT($J7,3)="TEO"</formula>
    </cfRule>
    <cfRule type="expression" priority="100" aboveAverage="0" equalAverage="0" bottom="0" percent="0" rank="0" text="" dxfId="28">
      <formula>LEFT($J7,3)="REV"</formula>
    </cfRule>
    <cfRule type="expression" priority="101" aboveAverage="0" equalAverage="0" bottom="0" percent="0" rank="0" text="" dxfId="29">
      <formula>LEFT($J7,3)="PRA"</formula>
    </cfRule>
    <cfRule type="expression" priority="102" aboveAverage="0" equalAverage="0" bottom="0" percent="0" rank="0" text="" dxfId="30">
      <formula>LEFT($J7,3)="SIM"</formula>
    </cfRule>
    <cfRule type="expression" priority="103" aboveAverage="0" equalAverage="0" bottom="0" percent="0" rank="0" text="" dxfId="31">
      <formula>LEFT($J7,3)="OUT"</formula>
    </cfRule>
  </conditionalFormatting>
  <conditionalFormatting sqref="L7:L54">
    <cfRule type="expression" priority="104" aboveAverage="0" equalAverage="0" bottom="0" percent="0" rank="0" text="" dxfId="27">
      <formula>LEFT($L7,3)="TEO"</formula>
    </cfRule>
    <cfRule type="expression" priority="105" aboveAverage="0" equalAverage="0" bottom="0" percent="0" rank="0" text="" dxfId="28">
      <formula>LEFT($L7,3)="REV"</formula>
    </cfRule>
    <cfRule type="expression" priority="106" aboveAverage="0" equalAverage="0" bottom="0" percent="0" rank="0" text="" dxfId="29">
      <formula>LEFT($L7,3)="PRA"</formula>
    </cfRule>
    <cfRule type="expression" priority="107" aboveAverage="0" equalAverage="0" bottom="0" percent="0" rank="0" text="" dxfId="30">
      <formula>LEFT($L7,3)="SIM"</formula>
    </cfRule>
    <cfRule type="expression" priority="108" aboveAverage="0" equalAverage="0" bottom="0" percent="0" rank="0" text="" dxfId="31">
      <formula>LEFT($L7,3)="OUT"</formula>
    </cfRule>
  </conditionalFormatting>
  <conditionalFormatting sqref="N7:N54">
    <cfRule type="expression" priority="109" aboveAverage="0" equalAverage="0" bottom="0" percent="0" rank="0" text="" dxfId="27">
      <formula>LEFT($N7,3)="TEO"</formula>
    </cfRule>
    <cfRule type="expression" priority="110" aboveAverage="0" equalAverage="0" bottom="0" percent="0" rank="0" text="" dxfId="28">
      <formula>LEFT($N7,3)="REV"</formula>
    </cfRule>
    <cfRule type="expression" priority="111" aboveAverage="0" equalAverage="0" bottom="0" percent="0" rank="0" text="" dxfId="29">
      <formula>LEFT($N7,3)="PRA"</formula>
    </cfRule>
    <cfRule type="expression" priority="112" aboveAverage="0" equalAverage="0" bottom="0" percent="0" rank="0" text="" dxfId="30">
      <formula>LEFT($N7,3)="SIM"</formula>
    </cfRule>
    <cfRule type="expression" priority="113" aboveAverage="0" equalAverage="0" bottom="0" percent="0" rank="0" text="" dxfId="31">
      <formula>LEFT($N7,3)="OUT"</formula>
    </cfRule>
  </conditionalFormatting>
  <conditionalFormatting sqref="B7:C54">
    <cfRule type="expression" priority="114" aboveAverage="0" equalAverage="0" bottom="0" percent="0" rank="0" text="" dxfId="32">
      <formula>($R$5+INT((ROW(B7)-7)/8)*7+0)=TODAY()</formula>
    </cfRule>
    <cfRule type="expression" priority="115" aboveAverage="0" equalAverage="0" bottom="0" percent="0" rank="0" text="" dxfId="33">
      <formula>MONTH(($R$5+INT((ROW(B7)-7)/8)*7+0))&lt;&gt;$R$2</formula>
    </cfRule>
  </conditionalFormatting>
  <conditionalFormatting sqref="D7:E54">
    <cfRule type="expression" priority="116" aboveAverage="0" equalAverage="0" bottom="0" percent="0" rank="0" text="" dxfId="32">
      <formula>($R$5+INT((ROW(D7)-7)/8)*7+1)=TODAY()</formula>
    </cfRule>
    <cfRule type="expression" priority="117" aboveAverage="0" equalAverage="0" bottom="0" percent="0" rank="0" text="" dxfId="33">
      <formula>MONTH(($R$5+INT((ROW(D7)-7)/8)*7+1))&lt;&gt;$R$2</formula>
    </cfRule>
  </conditionalFormatting>
  <conditionalFormatting sqref="F7:G54">
    <cfRule type="expression" priority="118" aboveAverage="0" equalAverage="0" bottom="0" percent="0" rank="0" text="" dxfId="32">
      <formula>($R$5+INT((ROW(F7)-7)/8)*7+2)=TODAY()</formula>
    </cfRule>
    <cfRule type="expression" priority="119" aboveAverage="0" equalAverage="0" bottom="0" percent="0" rank="0" text="" dxfId="33">
      <formula>MONTH(($R$5+INT((ROW(F7)-7)/8)*7+2))&lt;&gt;$R$2</formula>
    </cfRule>
  </conditionalFormatting>
  <conditionalFormatting sqref="H7:I54">
    <cfRule type="expression" priority="120" aboveAverage="0" equalAverage="0" bottom="0" percent="0" rank="0" text="" dxfId="32">
      <formula>($R$5+INT((ROW(H7)-7)/8)*7+3)=TODAY()</formula>
    </cfRule>
    <cfRule type="expression" priority="121" aboveAverage="0" equalAverage="0" bottom="0" percent="0" rank="0" text="" dxfId="33">
      <formula>MONTH(($R$5+INT((ROW(H7)-7)/8)*7+3))&lt;&gt;$R$2</formula>
    </cfRule>
  </conditionalFormatting>
  <conditionalFormatting sqref="J7:K54">
    <cfRule type="expression" priority="122" aboveAverage="0" equalAverage="0" bottom="0" percent="0" rank="0" text="" dxfId="32">
      <formula>($R$5+INT((ROW(J7)-7)/8)*7+4)=TODAY()</formula>
    </cfRule>
    <cfRule type="expression" priority="123" aboveAverage="0" equalAverage="0" bottom="0" percent="0" rank="0" text="" dxfId="33">
      <formula>MONTH(($R$5+INT((ROW(J7)-7)/8)*7+4))&lt;&gt;$R$2</formula>
    </cfRule>
  </conditionalFormatting>
  <conditionalFormatting sqref="L7:M54">
    <cfRule type="expression" priority="124" aboveAverage="0" equalAverage="0" bottom="0" percent="0" rank="0" text="" dxfId="32">
      <formula>($R$5+INT((ROW(L7)-7)/8)*7+5)=TODAY()</formula>
    </cfRule>
    <cfRule type="expression" priority="125" aboveAverage="0" equalAverage="0" bottom="0" percent="0" rank="0" text="" dxfId="33">
      <formula>MONTH(($R$5+INT((ROW(L7)-7)/8)*7+5))&lt;&gt;$R$2</formula>
    </cfRule>
  </conditionalFormatting>
  <conditionalFormatting sqref="N7:O54">
    <cfRule type="expression" priority="126" aboveAverage="0" equalAverage="0" bottom="0" percent="0" rank="0" text="" dxfId="32">
      <formula>($R$5+INT((ROW(N7)-7)/8)*7+6)=TODAY()</formula>
    </cfRule>
    <cfRule type="expression" priority="127" aboveAverage="0" equalAverage="0" bottom="0" percent="0" rank="0" text="" dxfId="33">
      <formula>MONTH(($R$5+INT((ROW(N7)-7)/8)*7+6))&lt;&gt;$R$2</formula>
    </cfRule>
  </conditionalFormatting>
  <dataValidations count="2">
    <dataValidation allowBlank="false" errorStyle="stop" operator="between" showDropDown="false" showErrorMessage="false" showInputMessage="false" sqref="D2" type="list">
      <formula1>Config!$I$6:$I$17</formula1>
      <formula2>0</formula2>
    </dataValidation>
    <dataValidation allowBlank="false" error="Digite um ano entre 2000 e 2100." errorStyle="stop" operator="between" showDropDown="false" showErrorMessage="true" showInputMessage="false" sqref="H2" type="whole">
      <formula1>2000</formula1>
      <formula2>2100</formula2>
    </dataValidation>
  </dataValidations>
  <hyperlinks>
    <hyperlink ref="F1" location="'Calendário'!A1" display="Mês"/>
    <hyperlink ref="H1" location="'Semana'!A1" display="Semana"/>
    <hyperlink ref="J1" location="'Tabela'!A1" display="Tabela"/>
    <hyperlink ref="L1" location="'Painel'!A1" display="Painel"/>
    <hyperlink ref="N1" location="'Temas'!B6" display="+ Novo tema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B1:R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.39"/>
    <col collapsed="false" customWidth="true" hidden="false" outlineLevel="0" max="3" min="3" style="0" width="25"/>
    <col collapsed="false" customWidth="true" hidden="false" outlineLevel="0" max="4" min="4" style="0" width="1.39"/>
    <col collapsed="false" customWidth="true" hidden="false" outlineLevel="0" max="5" min="5" style="0" width="25"/>
    <col collapsed="false" customWidth="true" hidden="false" outlineLevel="0" max="6" min="6" style="0" width="1.39"/>
    <col collapsed="false" customWidth="true" hidden="false" outlineLevel="0" max="7" min="7" style="0" width="25"/>
    <col collapsed="false" customWidth="true" hidden="false" outlineLevel="0" max="8" min="8" style="0" width="1.39"/>
    <col collapsed="false" customWidth="true" hidden="false" outlineLevel="0" max="9" min="9" style="0" width="25"/>
    <col collapsed="false" customWidth="true" hidden="false" outlineLevel="0" max="10" min="10" style="0" width="1.39"/>
    <col collapsed="false" customWidth="true" hidden="false" outlineLevel="0" max="11" min="11" style="0" width="25"/>
    <col collapsed="false" customWidth="true" hidden="false" outlineLevel="0" max="12" min="12" style="0" width="1.39"/>
    <col collapsed="false" customWidth="true" hidden="false" outlineLevel="0" max="13" min="13" style="0" width="25"/>
    <col collapsed="false" customWidth="true" hidden="false" outlineLevel="0" max="14" min="14" style="0" width="1.39"/>
    <col collapsed="false" customWidth="true" hidden="false" outlineLevel="0" max="15" min="15" style="0" width="25"/>
    <col collapsed="false" customWidth="true" hidden="true" outlineLevel="0" max="17" min="17" style="0" width="16"/>
    <col collapsed="false" customWidth="true" hidden="true" outlineLevel="0" max="18" min="18" style="0" width="12"/>
  </cols>
  <sheetData>
    <row r="1" customFormat="false" ht="21.75" hidden="false" customHeight="true" outlineLevel="0" collapsed="false">
      <c r="B1" s="30" t="s">
        <v>123</v>
      </c>
      <c r="C1" s="30"/>
      <c r="D1" s="30"/>
      <c r="E1" s="30"/>
      <c r="F1" s="32" t="s">
        <v>124</v>
      </c>
      <c r="G1" s="32"/>
      <c r="H1" s="31" t="s">
        <v>45</v>
      </c>
      <c r="I1" s="31"/>
      <c r="J1" s="32" t="s">
        <v>47</v>
      </c>
      <c r="K1" s="32"/>
      <c r="L1" s="32" t="s">
        <v>49</v>
      </c>
      <c r="M1" s="32"/>
      <c r="N1" s="33" t="s">
        <v>125</v>
      </c>
      <c r="O1" s="33"/>
    </row>
    <row r="2" customFormat="false" ht="21.75" hidden="false" customHeight="true" outlineLevel="0" collapsed="false">
      <c r="B2" s="34" t="s">
        <v>142</v>
      </c>
      <c r="C2" s="34"/>
      <c r="D2" s="59" t="n">
        <f aca="true">TODAY()</f>
        <v>46303</v>
      </c>
      <c r="E2" s="59"/>
      <c r="F2" s="60" t="s">
        <v>143</v>
      </c>
      <c r="G2" s="60"/>
      <c r="H2" s="60"/>
      <c r="I2" s="60"/>
      <c r="J2" s="60"/>
      <c r="K2" s="60"/>
      <c r="Q2" s="28" t="s">
        <v>144</v>
      </c>
      <c r="R2" s="40" t="n">
        <f aca="true">IF(ISNUMBER($D$2),$D$2,TODAY())-WEEKDAY(IF(ISNUMBER($D$2),$D$2,TODAY()))+1</f>
        <v>46299</v>
      </c>
    </row>
    <row r="3" customFormat="false" ht="36" hidden="false" customHeight="true" outlineLevel="0" collapsed="false">
      <c r="B3" s="39" t="str">
        <f aca="false">DAY($R$2)&amp;" de "&amp;LOWER(INDEX(Config!$I$6:$I$17,MONTH($R$2)))&amp;" a "&amp;DAY($R$3)&amp;" de "&amp;LOWER(INDEX(Config!$I$6:$I$17,MONTH($R$3)))&amp;" de "&amp;YEAR($R$3)</f>
        <v>4 de outubro a 10 de outubro de 2026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Q3" s="28" t="s">
        <v>145</v>
      </c>
      <c r="R3" s="40" t="n">
        <f aca="false">$R$2+6</f>
        <v>46305</v>
      </c>
    </row>
    <row r="4" customFormat="false" ht="18" hidden="false" customHeight="true" outlineLevel="0" collapsed="false">
      <c r="B4" s="41"/>
      <c r="C4" s="42" t="str">
        <f aca="false">" "&amp;UPPER(Config!$C$15)&amp;"  ("&amp;COUNTIFS(Base!$I$5:$I$2004,Config!$C$15,Base!$E$5:$E$2004,"&gt;="&amp;$R$2,Base!$E$5:$E$2004,"&lt;="&amp;$R$3)&amp;")"</f>
        <v> TEÓRICA  (2)</v>
      </c>
      <c r="D4" s="43"/>
      <c r="E4" s="42" t="str">
        <f aca="false">" "&amp;UPPER(Config!$C$16)&amp;"  ("&amp;COUNTIFS(Base!$I$5:$I$2004,Config!$C$16,Base!$E$5:$E$2004,"&gt;="&amp;$R$2,Base!$E$5:$E$2004,"&lt;="&amp;$R$3)&amp;")"</f>
        <v> REVISÃO  (2)</v>
      </c>
      <c r="F4" s="44"/>
      <c r="G4" s="42" t="str">
        <f aca="false">" "&amp;UPPER(Config!$C$17)&amp;"  ("&amp;COUNTIFS(Base!$I$5:$I$2004,Config!$C$17,Base!$E$5:$E$2004,"&gt;="&amp;$R$2,Base!$E$5:$E$2004,"&lt;="&amp;$R$3)&amp;")"</f>
        <v> PRÁTICA  (7)</v>
      </c>
      <c r="H4" s="45"/>
      <c r="I4" s="42" t="str">
        <f aca="false">" "&amp;UPPER(Config!$C$18)&amp;"  ("&amp;COUNTIFS(Base!$I$5:$I$2004,Config!$C$18,Base!$E$5:$E$2004,"&gt;="&amp;$R$2,Base!$E$5:$E$2004,"&lt;="&amp;$R$3)&amp;")"</f>
        <v> SIMULADO  (1)</v>
      </c>
      <c r="J4" s="46"/>
      <c r="K4" s="42" t="str">
        <f aca="false">" "&amp;UPPER(Config!$C$19)&amp;"  ("&amp;COUNTIFS(Base!$I$5:$I$2004,Config!$C$19,Base!$E$5:$E$2004,"&gt;="&amp;$R$2,Base!$E$5:$E$2004,"&lt;="&amp;$R$3)&amp;")"</f>
        <v> OUTRO  (0)</v>
      </c>
      <c r="L4" s="47" t="s">
        <v>146</v>
      </c>
      <c r="M4" s="47"/>
      <c r="N4" s="47"/>
      <c r="O4" s="47"/>
    </row>
    <row r="5" customFormat="false" ht="6" hidden="false" customHeight="true" outlineLevel="0" collapsed="false"/>
    <row r="6" customFormat="false" ht="21.75" hidden="false" customHeight="true" outlineLevel="0" collapsed="false">
      <c r="B6" s="48" t="s">
        <v>147</v>
      </c>
      <c r="C6" s="48"/>
      <c r="D6" s="49" t="s">
        <v>148</v>
      </c>
      <c r="E6" s="49"/>
      <c r="F6" s="49" t="s">
        <v>149</v>
      </c>
      <c r="G6" s="49"/>
      <c r="H6" s="49" t="s">
        <v>150</v>
      </c>
      <c r="I6" s="49"/>
      <c r="J6" s="49" t="s">
        <v>151</v>
      </c>
      <c r="K6" s="49"/>
      <c r="L6" s="49" t="s">
        <v>152</v>
      </c>
      <c r="M6" s="49"/>
      <c r="N6" s="49" t="s">
        <v>153</v>
      </c>
      <c r="O6" s="49"/>
    </row>
    <row r="7" customFormat="false" ht="24" hidden="false" customHeight="true" outlineLevel="0" collapsed="false">
      <c r="B7" s="50"/>
      <c r="C7" s="61" t="n">
        <f aca="false">$R$2+0</f>
        <v>46299</v>
      </c>
      <c r="D7" s="52"/>
      <c r="E7" s="61" t="n">
        <f aca="false">$R$2+1</f>
        <v>46300</v>
      </c>
      <c r="F7" s="52"/>
      <c r="G7" s="61" t="n">
        <f aca="false">$R$2+2</f>
        <v>46301</v>
      </c>
      <c r="H7" s="52"/>
      <c r="I7" s="61" t="n">
        <f aca="false">$R$2+3</f>
        <v>46302</v>
      </c>
      <c r="J7" s="52"/>
      <c r="K7" s="61" t="n">
        <f aca="false">$R$2+4</f>
        <v>46303</v>
      </c>
      <c r="L7" s="52"/>
      <c r="M7" s="61" t="n">
        <f aca="false">$R$2+5</f>
        <v>46304</v>
      </c>
      <c r="N7" s="52"/>
      <c r="O7" s="61" t="n">
        <f aca="false">$R$2+6</f>
        <v>46305</v>
      </c>
    </row>
    <row r="8" customFormat="false" ht="15" hidden="false" customHeight="true" outlineLevel="0" collapsed="false">
      <c r="B8" s="50"/>
      <c r="C8" s="62" t="str">
        <f aca="false">IF(COUNTIF(Base!$E$5:$E$2004,C7)=0,"livre",COUNTIF(Base!$E$5:$E$2004,C7)&amp;IF(COUNTIF(Base!$E$5:$E$2004,C7)=1," item · "," itens · ")&amp;COUNTIFS(Base!$E$5:$E$2004,C7,Base!$K$5:$K$2004,"✓")&amp;" ✓")</f>
        <v>3 itens · 0 ✓</v>
      </c>
      <c r="D8" s="52"/>
      <c r="E8" s="62" t="str">
        <f aca="false">IF(COUNTIF(Base!$E$5:$E$2004,E7)=0,"livre",COUNTIF(Base!$E$5:$E$2004,E7)&amp;IF(COUNTIF(Base!$E$5:$E$2004,E7)=1," item · "," itens · ")&amp;COUNTIFS(Base!$E$5:$E$2004,E7,Base!$K$5:$K$2004,"✓")&amp;" ✓")</f>
        <v>4 itens · 0 ✓</v>
      </c>
      <c r="F8" s="52"/>
      <c r="G8" s="62" t="str">
        <f aca="false">IF(COUNTIF(Base!$E$5:$E$2004,G7)=0,"livre",COUNTIF(Base!$E$5:$E$2004,G7)&amp;IF(COUNTIF(Base!$E$5:$E$2004,G7)=1," item · "," itens · ")&amp;COUNTIFS(Base!$E$5:$E$2004,G7,Base!$K$5:$K$2004,"✓")&amp;" ✓")</f>
        <v>2 itens · 1 ✓</v>
      </c>
      <c r="H8" s="52"/>
      <c r="I8" s="62" t="str">
        <f aca="false">IF(COUNTIF(Base!$E$5:$E$2004,I7)=0,"livre",COUNTIF(Base!$E$5:$E$2004,I7)&amp;IF(COUNTIF(Base!$E$5:$E$2004,I7)=1," item · "," itens · ")&amp;COUNTIFS(Base!$E$5:$E$2004,I7,Base!$K$5:$K$2004,"✓")&amp;" ✓")</f>
        <v>livre</v>
      </c>
      <c r="J8" s="52"/>
      <c r="K8" s="62" t="str">
        <f aca="false">IF(COUNTIF(Base!$E$5:$E$2004,K7)=0,"livre",COUNTIF(Base!$E$5:$E$2004,K7)&amp;IF(COUNTIF(Base!$E$5:$E$2004,K7)=1," item · "," itens · ")&amp;COUNTIFS(Base!$E$5:$E$2004,K7,Base!$K$5:$K$2004,"✓")&amp;" ✓")</f>
        <v>1 item · 1 ✓</v>
      </c>
      <c r="L8" s="52"/>
      <c r="M8" s="62" t="str">
        <f aca="false">IF(COUNTIF(Base!$E$5:$E$2004,M7)=0,"livre",COUNTIF(Base!$E$5:$E$2004,M7)&amp;IF(COUNTIF(Base!$E$5:$E$2004,M7)=1," item · "," itens · ")&amp;COUNTIFS(Base!$E$5:$E$2004,M7,Base!$K$5:$K$2004,"✓")&amp;" ✓")</f>
        <v>2 itens · 0 ✓</v>
      </c>
      <c r="N8" s="52"/>
      <c r="O8" s="62" t="str">
        <f aca="false">IF(COUNTIF(Base!$E$5:$E$2004,O7)=0,"livre",COUNTIF(Base!$E$5:$E$2004,O7)&amp;IF(COUNTIF(Base!$E$5:$E$2004,O7)=1," item · "," itens · ")&amp;COUNTIFS(Base!$E$5:$E$2004,O7,Base!$K$5:$K$2004,"✓")&amp;" ✓")</f>
        <v>livre</v>
      </c>
    </row>
    <row r="9" customFormat="false" ht="18" hidden="false" customHeight="true" outlineLevel="0" collapsed="false">
      <c r="B9" s="53" t="str">
        <f aca="false">IFERROR(INDEX(Base!$N$5:$N$2004,MATCH(C7*100+1,Base!$P$5:$P$2004,0)),"")</f>
        <v>PRA</v>
      </c>
      <c r="C9" s="63" t="str">
        <f aca="false">IFERROR(INDEX(Base!$M$5:$M$2004,MATCH(C7*100+1,Base!$P$5:$P$2004,0)),"")</f>
        <v>R2 · Cardiopediatria</v>
      </c>
      <c r="D9" s="55" t="str">
        <f aca="false">IFERROR(INDEX(Base!$N$5:$N$2004,MATCH(E7*100+1,Base!$P$5:$P$2004,0)),"")</f>
        <v>PRA</v>
      </c>
      <c r="E9" s="63" t="str">
        <f aca="false">IFERROR(INDEX(Base!$M$5:$M$2004,MATCH(E7*100+1,Base!$P$5:$P$2004,0)),"")</f>
        <v>R2 · Doenças da Tireoide</v>
      </c>
      <c r="F9" s="55" t="str">
        <f aca="false">IFERROR(INDEX(Base!$N$5:$N$2004,MATCH(G7*100+1,Base!$P$5:$P$2004,0)),"")</f>
        <v>REV</v>
      </c>
      <c r="G9" s="63" t="str">
        <f aca="false">IFERROR(INDEX(Base!$M$5:$M$2004,MATCH(G7*100+1,Base!$P$5:$P$2004,0)),"")</f>
        <v>R1 · Transtornos Psiquiátricos I</v>
      </c>
      <c r="H9" s="55" t="str">
        <f aca="false">IFERROR(INDEX(Base!$N$5:$N$2004,MATCH(I7*100+1,Base!$P$5:$P$2004,0)),"")</f>
        <v/>
      </c>
      <c r="I9" s="63" t="str">
        <f aca="false">IFERROR(INDEX(Base!$M$5:$M$2004,MATCH(I7*100+1,Base!$P$5:$P$2004,0)),"")</f>
        <v/>
      </c>
      <c r="J9" s="55" t="str">
        <f aca="false">IFERROR(INDEX(Base!$N$5:$N$2004,MATCH(K7*100+1,Base!$P$5:$P$2004,0)),"")</f>
        <v>TEOx</v>
      </c>
      <c r="K9" s="63" t="str">
        <f aca="false">IFERROR(INDEX(Base!$M$5:$M$2004,MATCH(K7*100+1,Base!$P$5:$P$2004,0)),"")</f>
        <v>✓ T · Síndromes Febris — Dengue</v>
      </c>
      <c r="L9" s="55" t="str">
        <f aca="false">IFERROR(INDEX(Base!$N$5:$N$2004,MATCH(M7*100+1,Base!$P$5:$P$2004,0)),"")</f>
        <v>PRA</v>
      </c>
      <c r="M9" s="63" t="str">
        <f aca="false">IFERROR(INDEX(Base!$M$5:$M$2004,MATCH(M7*100+1,Base!$P$5:$P$2004,0)),"")</f>
        <v>R2 · ATB</v>
      </c>
      <c r="N9" s="55" t="str">
        <f aca="false">IFERROR(INDEX(Base!$N$5:$N$2004,MATCH(O7*100+1,Base!$P$5:$P$2004,0)),"")</f>
        <v/>
      </c>
      <c r="O9" s="63" t="str">
        <f aca="false">IFERROR(INDEX(Base!$M$5:$M$2004,MATCH(O7*100+1,Base!$P$5:$P$2004,0)),"")</f>
        <v/>
      </c>
    </row>
    <row r="10" customFormat="false" ht="18" hidden="false" customHeight="true" outlineLevel="0" collapsed="false">
      <c r="B10" s="53" t="str">
        <f aca="false">IFERROR(INDEX(Base!$N$5:$N$2004,MATCH(C7*100+2,Base!$P$5:$P$2004,0)),"")</f>
        <v>PRA</v>
      </c>
      <c r="C10" s="63" t="str">
        <f aca="false">IFERROR(INDEX(Base!$M$5:$M$2004,MATCH(C7*100+2,Base!$P$5:$P$2004,0)),"")</f>
        <v>R2 · Nefrologia Pediátrica / ITU</v>
      </c>
      <c r="D10" s="55" t="str">
        <f aca="false">IFERROR(INDEX(Base!$N$5:$N$2004,MATCH(E7*100+2,Base!$P$5:$P$2004,0)),"")</f>
        <v>PRA</v>
      </c>
      <c r="E10" s="63" t="str">
        <f aca="false">IFERROR(INDEX(Base!$M$5:$M$2004,MATCH(E7*100+2,Base!$P$5:$P$2004,0)),"")</f>
        <v>R2 · Valvopatias</v>
      </c>
      <c r="F10" s="55" t="str">
        <f aca="false">IFERROR(INDEX(Base!$N$5:$N$2004,MATCH(G7*100+2,Base!$P$5:$P$2004,0)),"")</f>
        <v>SIMx</v>
      </c>
      <c r="G10" s="63" t="str">
        <f aca="false">IFERROR(INDEX(Base!$M$5:$M$2004,MATCH(G7*100+2,Base!$P$5:$P$2004,0)),"")</f>
        <v>✓ SIM · UFCSPA 2026</v>
      </c>
      <c r="H10" s="55" t="str">
        <f aca="false">IFERROR(INDEX(Base!$N$5:$N$2004,MATCH(I7*100+2,Base!$P$5:$P$2004,0)),"")</f>
        <v/>
      </c>
      <c r="I10" s="63" t="str">
        <f aca="false">IFERROR(INDEX(Base!$M$5:$M$2004,MATCH(I7*100+2,Base!$P$5:$P$2004,0)),"")</f>
        <v/>
      </c>
      <c r="J10" s="55" t="str">
        <f aca="false">IFERROR(INDEX(Base!$N$5:$N$2004,MATCH(K7*100+2,Base!$P$5:$P$2004,0)),"")</f>
        <v/>
      </c>
      <c r="K10" s="63" t="str">
        <f aca="false">IFERROR(INDEX(Base!$M$5:$M$2004,MATCH(K7*100+2,Base!$P$5:$P$2004,0)),"")</f>
        <v/>
      </c>
      <c r="L10" s="55" t="str">
        <f aca="false">IFERROR(INDEX(Base!$N$5:$N$2004,MATCH(M7*100+2,Base!$P$5:$P$2004,0)),"")</f>
        <v>REV</v>
      </c>
      <c r="M10" s="63" t="str">
        <f aca="false">IFERROR(INDEX(Base!$M$5:$M$2004,MATCH(M7*100+2,Base!$P$5:$P$2004,0)),"")</f>
        <v>R1 · Síndromes Febris — Dengue</v>
      </c>
      <c r="N10" s="55" t="str">
        <f aca="false">IFERROR(INDEX(Base!$N$5:$N$2004,MATCH(O7*100+2,Base!$P$5:$P$2004,0)),"")</f>
        <v/>
      </c>
      <c r="O10" s="63" t="str">
        <f aca="false">IFERROR(INDEX(Base!$M$5:$M$2004,MATCH(O7*100+2,Base!$P$5:$P$2004,0)),"")</f>
        <v/>
      </c>
    </row>
    <row r="11" customFormat="false" ht="18" hidden="false" customHeight="true" outlineLevel="0" collapsed="false">
      <c r="B11" s="53" t="str">
        <f aca="false">IFERROR(INDEX(Base!$N$5:$N$2004,MATCH(C7*100+3,Base!$P$5:$P$2004,0)),"")</f>
        <v>PRA</v>
      </c>
      <c r="C11" s="63" t="str">
        <f aca="false">IFERROR(INDEX(Base!$M$5:$M$2004,MATCH(C7*100+3,Base!$P$5:$P$2004,0)),"")</f>
        <v>R2 · Asma e DPOC</v>
      </c>
      <c r="D11" s="55" t="str">
        <f aca="false">IFERROR(INDEX(Base!$N$5:$N$2004,MATCH(E7*100+3,Base!$P$5:$P$2004,0)),"")</f>
        <v>PRA</v>
      </c>
      <c r="E11" s="63" t="str">
        <f aca="false">IFERROR(INDEX(Base!$M$5:$M$2004,MATCH(E7*100+3,Base!$P$5:$P$2004,0)),"")</f>
        <v>R2 · Demência e Parkinson</v>
      </c>
      <c r="F11" s="55" t="str">
        <f aca="false">IFERROR(INDEX(Base!$N$5:$N$2004,MATCH(G7*100+3,Base!$P$5:$P$2004,0)),"")</f>
        <v/>
      </c>
      <c r="G11" s="63" t="str">
        <f aca="false">IFERROR(INDEX(Base!$M$5:$M$2004,MATCH(G7*100+3,Base!$P$5:$P$2004,0)),"")</f>
        <v/>
      </c>
      <c r="H11" s="55" t="str">
        <f aca="false">IFERROR(INDEX(Base!$N$5:$N$2004,MATCH(I7*100+3,Base!$P$5:$P$2004,0)),"")</f>
        <v/>
      </c>
      <c r="I11" s="63" t="str">
        <f aca="false">IFERROR(INDEX(Base!$M$5:$M$2004,MATCH(I7*100+3,Base!$P$5:$P$2004,0)),"")</f>
        <v/>
      </c>
      <c r="J11" s="55" t="str">
        <f aca="false">IFERROR(INDEX(Base!$N$5:$N$2004,MATCH(K7*100+3,Base!$P$5:$P$2004,0)),"")</f>
        <v/>
      </c>
      <c r="K11" s="63" t="str">
        <f aca="false">IFERROR(INDEX(Base!$M$5:$M$2004,MATCH(K7*100+3,Base!$P$5:$P$2004,0)),"")</f>
        <v/>
      </c>
      <c r="L11" s="55" t="str">
        <f aca="false">IFERROR(INDEX(Base!$N$5:$N$2004,MATCH(M7*100+3,Base!$P$5:$P$2004,0)),"")</f>
        <v/>
      </c>
      <c r="M11" s="63" t="str">
        <f aca="false">IFERROR(INDEX(Base!$M$5:$M$2004,MATCH(M7*100+3,Base!$P$5:$P$2004,0)),"")</f>
        <v/>
      </c>
      <c r="N11" s="55" t="str">
        <f aca="false">IFERROR(INDEX(Base!$N$5:$N$2004,MATCH(O7*100+3,Base!$P$5:$P$2004,0)),"")</f>
        <v/>
      </c>
      <c r="O11" s="63" t="str">
        <f aca="false">IFERROR(INDEX(Base!$M$5:$M$2004,MATCH(O7*100+3,Base!$P$5:$P$2004,0)),"")</f>
        <v/>
      </c>
    </row>
    <row r="12" customFormat="false" ht="18" hidden="false" customHeight="true" outlineLevel="0" collapsed="false">
      <c r="B12" s="53" t="str">
        <f aca="false">IFERROR(INDEX(Base!$N$5:$N$2004,MATCH(C7*100+4,Base!$P$5:$P$2004,0)),"")</f>
        <v/>
      </c>
      <c r="C12" s="63" t="str">
        <f aca="false">IFERROR(INDEX(Base!$M$5:$M$2004,MATCH(C7*100+4,Base!$P$5:$P$2004,0)),"")</f>
        <v/>
      </c>
      <c r="D12" s="55" t="str">
        <f aca="false">IFERROR(INDEX(Base!$N$5:$N$2004,MATCH(E7*100+4,Base!$P$5:$P$2004,0)),"")</f>
        <v>TEO</v>
      </c>
      <c r="E12" s="63" t="str">
        <f aca="false">IFERROR(INDEX(Base!$M$5:$M$2004,MATCH(E7*100+4,Base!$P$5:$P$2004,0)),"")</f>
        <v>T · Transtornos Psiquiátricos I</v>
      </c>
      <c r="F12" s="55" t="str">
        <f aca="false">IFERROR(INDEX(Base!$N$5:$N$2004,MATCH(G7*100+4,Base!$P$5:$P$2004,0)),"")</f>
        <v/>
      </c>
      <c r="G12" s="63" t="str">
        <f aca="false">IFERROR(INDEX(Base!$M$5:$M$2004,MATCH(G7*100+4,Base!$P$5:$P$2004,0)),"")</f>
        <v/>
      </c>
      <c r="H12" s="55" t="str">
        <f aca="false">IFERROR(INDEX(Base!$N$5:$N$2004,MATCH(I7*100+4,Base!$P$5:$P$2004,0)),"")</f>
        <v/>
      </c>
      <c r="I12" s="63" t="str">
        <f aca="false">IFERROR(INDEX(Base!$M$5:$M$2004,MATCH(I7*100+4,Base!$P$5:$P$2004,0)),"")</f>
        <v/>
      </c>
      <c r="J12" s="55" t="str">
        <f aca="false">IFERROR(INDEX(Base!$N$5:$N$2004,MATCH(K7*100+4,Base!$P$5:$P$2004,0)),"")</f>
        <v/>
      </c>
      <c r="K12" s="63" t="str">
        <f aca="false">IFERROR(INDEX(Base!$M$5:$M$2004,MATCH(K7*100+4,Base!$P$5:$P$2004,0)),"")</f>
        <v/>
      </c>
      <c r="L12" s="55" t="str">
        <f aca="false">IFERROR(INDEX(Base!$N$5:$N$2004,MATCH(M7*100+4,Base!$P$5:$P$2004,0)),"")</f>
        <v/>
      </c>
      <c r="M12" s="63" t="str">
        <f aca="false">IFERROR(INDEX(Base!$M$5:$M$2004,MATCH(M7*100+4,Base!$P$5:$P$2004,0)),"")</f>
        <v/>
      </c>
      <c r="N12" s="55" t="str">
        <f aca="false">IFERROR(INDEX(Base!$N$5:$N$2004,MATCH(O7*100+4,Base!$P$5:$P$2004,0)),"")</f>
        <v/>
      </c>
      <c r="O12" s="63" t="str">
        <f aca="false">IFERROR(INDEX(Base!$M$5:$M$2004,MATCH(O7*100+4,Base!$P$5:$P$2004,0)),"")</f>
        <v/>
      </c>
    </row>
    <row r="13" customFormat="false" ht="18" hidden="false" customHeight="true" outlineLevel="0" collapsed="false">
      <c r="B13" s="53" t="str">
        <f aca="false">IFERROR(INDEX(Base!$N$5:$N$2004,MATCH(C7*100+5,Base!$P$5:$P$2004,0)),"")</f>
        <v/>
      </c>
      <c r="C13" s="63" t="str">
        <f aca="false">IFERROR(INDEX(Base!$M$5:$M$2004,MATCH(C7*100+5,Base!$P$5:$P$2004,0)),"")</f>
        <v/>
      </c>
      <c r="D13" s="55" t="str">
        <f aca="false">IFERROR(INDEX(Base!$N$5:$N$2004,MATCH(E7*100+5,Base!$P$5:$P$2004,0)),"")</f>
        <v/>
      </c>
      <c r="E13" s="63" t="str">
        <f aca="false">IFERROR(INDEX(Base!$M$5:$M$2004,MATCH(E7*100+5,Base!$P$5:$P$2004,0)),"")</f>
        <v/>
      </c>
      <c r="F13" s="55" t="str">
        <f aca="false">IFERROR(INDEX(Base!$N$5:$N$2004,MATCH(G7*100+5,Base!$P$5:$P$2004,0)),"")</f>
        <v/>
      </c>
      <c r="G13" s="63" t="str">
        <f aca="false">IFERROR(INDEX(Base!$M$5:$M$2004,MATCH(G7*100+5,Base!$P$5:$P$2004,0)),"")</f>
        <v/>
      </c>
      <c r="H13" s="55" t="str">
        <f aca="false">IFERROR(INDEX(Base!$N$5:$N$2004,MATCH(I7*100+5,Base!$P$5:$P$2004,0)),"")</f>
        <v/>
      </c>
      <c r="I13" s="63" t="str">
        <f aca="false">IFERROR(INDEX(Base!$M$5:$M$2004,MATCH(I7*100+5,Base!$P$5:$P$2004,0)),"")</f>
        <v/>
      </c>
      <c r="J13" s="55" t="str">
        <f aca="false">IFERROR(INDEX(Base!$N$5:$N$2004,MATCH(K7*100+5,Base!$P$5:$P$2004,0)),"")</f>
        <v/>
      </c>
      <c r="K13" s="63" t="str">
        <f aca="false">IFERROR(INDEX(Base!$M$5:$M$2004,MATCH(K7*100+5,Base!$P$5:$P$2004,0)),"")</f>
        <v/>
      </c>
      <c r="L13" s="55" t="str">
        <f aca="false">IFERROR(INDEX(Base!$N$5:$N$2004,MATCH(M7*100+5,Base!$P$5:$P$2004,0)),"")</f>
        <v/>
      </c>
      <c r="M13" s="63" t="str">
        <f aca="false">IFERROR(INDEX(Base!$M$5:$M$2004,MATCH(M7*100+5,Base!$P$5:$P$2004,0)),"")</f>
        <v/>
      </c>
      <c r="N13" s="55" t="str">
        <f aca="false">IFERROR(INDEX(Base!$N$5:$N$2004,MATCH(O7*100+5,Base!$P$5:$P$2004,0)),"")</f>
        <v/>
      </c>
      <c r="O13" s="63" t="str">
        <f aca="false">IFERROR(INDEX(Base!$M$5:$M$2004,MATCH(O7*100+5,Base!$P$5:$P$2004,0)),"")</f>
        <v/>
      </c>
    </row>
    <row r="14" customFormat="false" ht="18" hidden="false" customHeight="true" outlineLevel="0" collapsed="false">
      <c r="B14" s="53" t="str">
        <f aca="false">IFERROR(INDEX(Base!$N$5:$N$2004,MATCH(C7*100+6,Base!$P$5:$P$2004,0)),"")</f>
        <v/>
      </c>
      <c r="C14" s="63" t="str">
        <f aca="false">IFERROR(INDEX(Base!$M$5:$M$2004,MATCH(C7*100+6,Base!$P$5:$P$2004,0)),"")</f>
        <v/>
      </c>
      <c r="D14" s="55" t="str">
        <f aca="false">IFERROR(INDEX(Base!$N$5:$N$2004,MATCH(E7*100+6,Base!$P$5:$P$2004,0)),"")</f>
        <v/>
      </c>
      <c r="E14" s="63" t="str">
        <f aca="false">IFERROR(INDEX(Base!$M$5:$M$2004,MATCH(E7*100+6,Base!$P$5:$P$2004,0)),"")</f>
        <v/>
      </c>
      <c r="F14" s="55" t="str">
        <f aca="false">IFERROR(INDEX(Base!$N$5:$N$2004,MATCH(G7*100+6,Base!$P$5:$P$2004,0)),"")</f>
        <v/>
      </c>
      <c r="G14" s="63" t="str">
        <f aca="false">IFERROR(INDEX(Base!$M$5:$M$2004,MATCH(G7*100+6,Base!$P$5:$P$2004,0)),"")</f>
        <v/>
      </c>
      <c r="H14" s="55" t="str">
        <f aca="false">IFERROR(INDEX(Base!$N$5:$N$2004,MATCH(I7*100+6,Base!$P$5:$P$2004,0)),"")</f>
        <v/>
      </c>
      <c r="I14" s="63" t="str">
        <f aca="false">IFERROR(INDEX(Base!$M$5:$M$2004,MATCH(I7*100+6,Base!$P$5:$P$2004,0)),"")</f>
        <v/>
      </c>
      <c r="J14" s="55" t="str">
        <f aca="false">IFERROR(INDEX(Base!$N$5:$N$2004,MATCH(K7*100+6,Base!$P$5:$P$2004,0)),"")</f>
        <v/>
      </c>
      <c r="K14" s="63" t="str">
        <f aca="false">IFERROR(INDEX(Base!$M$5:$M$2004,MATCH(K7*100+6,Base!$P$5:$P$2004,0)),"")</f>
        <v/>
      </c>
      <c r="L14" s="55" t="str">
        <f aca="false">IFERROR(INDEX(Base!$N$5:$N$2004,MATCH(M7*100+6,Base!$P$5:$P$2004,0)),"")</f>
        <v/>
      </c>
      <c r="M14" s="63" t="str">
        <f aca="false">IFERROR(INDEX(Base!$M$5:$M$2004,MATCH(M7*100+6,Base!$P$5:$P$2004,0)),"")</f>
        <v/>
      </c>
      <c r="N14" s="55" t="str">
        <f aca="false">IFERROR(INDEX(Base!$N$5:$N$2004,MATCH(O7*100+6,Base!$P$5:$P$2004,0)),"")</f>
        <v/>
      </c>
      <c r="O14" s="63" t="str">
        <f aca="false">IFERROR(INDEX(Base!$M$5:$M$2004,MATCH(O7*100+6,Base!$P$5:$P$2004,0)),"")</f>
        <v/>
      </c>
    </row>
    <row r="15" customFormat="false" ht="18" hidden="false" customHeight="true" outlineLevel="0" collapsed="false">
      <c r="B15" s="53" t="str">
        <f aca="false">IFERROR(INDEX(Base!$N$5:$N$2004,MATCH(C7*100+7,Base!$P$5:$P$2004,0)),"")</f>
        <v/>
      </c>
      <c r="C15" s="63" t="str">
        <f aca="false">IFERROR(INDEX(Base!$M$5:$M$2004,MATCH(C7*100+7,Base!$P$5:$P$2004,0)),"")</f>
        <v/>
      </c>
      <c r="D15" s="55" t="str">
        <f aca="false">IFERROR(INDEX(Base!$N$5:$N$2004,MATCH(E7*100+7,Base!$P$5:$P$2004,0)),"")</f>
        <v/>
      </c>
      <c r="E15" s="63" t="str">
        <f aca="false">IFERROR(INDEX(Base!$M$5:$M$2004,MATCH(E7*100+7,Base!$P$5:$P$2004,0)),"")</f>
        <v/>
      </c>
      <c r="F15" s="55" t="str">
        <f aca="false">IFERROR(INDEX(Base!$N$5:$N$2004,MATCH(G7*100+7,Base!$P$5:$P$2004,0)),"")</f>
        <v/>
      </c>
      <c r="G15" s="63" t="str">
        <f aca="false">IFERROR(INDEX(Base!$M$5:$M$2004,MATCH(G7*100+7,Base!$P$5:$P$2004,0)),"")</f>
        <v/>
      </c>
      <c r="H15" s="55" t="str">
        <f aca="false">IFERROR(INDEX(Base!$N$5:$N$2004,MATCH(I7*100+7,Base!$P$5:$P$2004,0)),"")</f>
        <v/>
      </c>
      <c r="I15" s="63" t="str">
        <f aca="false">IFERROR(INDEX(Base!$M$5:$M$2004,MATCH(I7*100+7,Base!$P$5:$P$2004,0)),"")</f>
        <v/>
      </c>
      <c r="J15" s="55" t="str">
        <f aca="false">IFERROR(INDEX(Base!$N$5:$N$2004,MATCH(K7*100+7,Base!$P$5:$P$2004,0)),"")</f>
        <v/>
      </c>
      <c r="K15" s="63" t="str">
        <f aca="false">IFERROR(INDEX(Base!$M$5:$M$2004,MATCH(K7*100+7,Base!$P$5:$P$2004,0)),"")</f>
        <v/>
      </c>
      <c r="L15" s="55" t="str">
        <f aca="false">IFERROR(INDEX(Base!$N$5:$N$2004,MATCH(M7*100+7,Base!$P$5:$P$2004,0)),"")</f>
        <v/>
      </c>
      <c r="M15" s="63" t="str">
        <f aca="false">IFERROR(INDEX(Base!$M$5:$M$2004,MATCH(M7*100+7,Base!$P$5:$P$2004,0)),"")</f>
        <v/>
      </c>
      <c r="N15" s="55" t="str">
        <f aca="false">IFERROR(INDEX(Base!$N$5:$N$2004,MATCH(O7*100+7,Base!$P$5:$P$2004,0)),"")</f>
        <v/>
      </c>
      <c r="O15" s="63" t="str">
        <f aca="false">IFERROR(INDEX(Base!$M$5:$M$2004,MATCH(O7*100+7,Base!$P$5:$P$2004,0)),"")</f>
        <v/>
      </c>
    </row>
    <row r="16" customFormat="false" ht="18" hidden="false" customHeight="true" outlineLevel="0" collapsed="false">
      <c r="B16" s="53" t="str">
        <f aca="false">IFERROR(INDEX(Base!$N$5:$N$2004,MATCH(C7*100+8,Base!$P$5:$P$2004,0)),"")</f>
        <v/>
      </c>
      <c r="C16" s="63" t="str">
        <f aca="false">IFERROR(INDEX(Base!$M$5:$M$2004,MATCH(C7*100+8,Base!$P$5:$P$2004,0)),"")</f>
        <v/>
      </c>
      <c r="D16" s="55" t="str">
        <f aca="false">IFERROR(INDEX(Base!$N$5:$N$2004,MATCH(E7*100+8,Base!$P$5:$P$2004,0)),"")</f>
        <v/>
      </c>
      <c r="E16" s="63" t="str">
        <f aca="false">IFERROR(INDEX(Base!$M$5:$M$2004,MATCH(E7*100+8,Base!$P$5:$P$2004,0)),"")</f>
        <v/>
      </c>
      <c r="F16" s="55" t="str">
        <f aca="false">IFERROR(INDEX(Base!$N$5:$N$2004,MATCH(G7*100+8,Base!$P$5:$P$2004,0)),"")</f>
        <v/>
      </c>
      <c r="G16" s="63" t="str">
        <f aca="false">IFERROR(INDEX(Base!$M$5:$M$2004,MATCH(G7*100+8,Base!$P$5:$P$2004,0)),"")</f>
        <v/>
      </c>
      <c r="H16" s="55" t="str">
        <f aca="false">IFERROR(INDEX(Base!$N$5:$N$2004,MATCH(I7*100+8,Base!$P$5:$P$2004,0)),"")</f>
        <v/>
      </c>
      <c r="I16" s="63" t="str">
        <f aca="false">IFERROR(INDEX(Base!$M$5:$M$2004,MATCH(I7*100+8,Base!$P$5:$P$2004,0)),"")</f>
        <v/>
      </c>
      <c r="J16" s="55" t="str">
        <f aca="false">IFERROR(INDEX(Base!$N$5:$N$2004,MATCH(K7*100+8,Base!$P$5:$P$2004,0)),"")</f>
        <v/>
      </c>
      <c r="K16" s="63" t="str">
        <f aca="false">IFERROR(INDEX(Base!$M$5:$M$2004,MATCH(K7*100+8,Base!$P$5:$P$2004,0)),"")</f>
        <v/>
      </c>
      <c r="L16" s="55" t="str">
        <f aca="false">IFERROR(INDEX(Base!$N$5:$N$2004,MATCH(M7*100+8,Base!$P$5:$P$2004,0)),"")</f>
        <v/>
      </c>
      <c r="M16" s="63" t="str">
        <f aca="false">IFERROR(INDEX(Base!$M$5:$M$2004,MATCH(M7*100+8,Base!$P$5:$P$2004,0)),"")</f>
        <v/>
      </c>
      <c r="N16" s="55" t="str">
        <f aca="false">IFERROR(INDEX(Base!$N$5:$N$2004,MATCH(O7*100+8,Base!$P$5:$P$2004,0)),"")</f>
        <v/>
      </c>
      <c r="O16" s="63" t="str">
        <f aca="false">IFERROR(INDEX(Base!$M$5:$M$2004,MATCH(O7*100+8,Base!$P$5:$P$2004,0)),"")</f>
        <v/>
      </c>
    </row>
    <row r="17" customFormat="false" ht="18" hidden="false" customHeight="true" outlineLevel="0" collapsed="false">
      <c r="B17" s="53" t="str">
        <f aca="false">IFERROR(INDEX(Base!$N$5:$N$2004,MATCH(C7*100+9,Base!$P$5:$P$2004,0)),"")</f>
        <v/>
      </c>
      <c r="C17" s="63" t="str">
        <f aca="false">IFERROR(INDEX(Base!$M$5:$M$2004,MATCH(C7*100+9,Base!$P$5:$P$2004,0)),"")</f>
        <v/>
      </c>
      <c r="D17" s="55" t="str">
        <f aca="false">IFERROR(INDEX(Base!$N$5:$N$2004,MATCH(E7*100+9,Base!$P$5:$P$2004,0)),"")</f>
        <v/>
      </c>
      <c r="E17" s="63" t="str">
        <f aca="false">IFERROR(INDEX(Base!$M$5:$M$2004,MATCH(E7*100+9,Base!$P$5:$P$2004,0)),"")</f>
        <v/>
      </c>
      <c r="F17" s="55" t="str">
        <f aca="false">IFERROR(INDEX(Base!$N$5:$N$2004,MATCH(G7*100+9,Base!$P$5:$P$2004,0)),"")</f>
        <v/>
      </c>
      <c r="G17" s="63" t="str">
        <f aca="false">IFERROR(INDEX(Base!$M$5:$M$2004,MATCH(G7*100+9,Base!$P$5:$P$2004,0)),"")</f>
        <v/>
      </c>
      <c r="H17" s="55" t="str">
        <f aca="false">IFERROR(INDEX(Base!$N$5:$N$2004,MATCH(I7*100+9,Base!$P$5:$P$2004,0)),"")</f>
        <v/>
      </c>
      <c r="I17" s="63" t="str">
        <f aca="false">IFERROR(INDEX(Base!$M$5:$M$2004,MATCH(I7*100+9,Base!$P$5:$P$2004,0)),"")</f>
        <v/>
      </c>
      <c r="J17" s="55" t="str">
        <f aca="false">IFERROR(INDEX(Base!$N$5:$N$2004,MATCH(K7*100+9,Base!$P$5:$P$2004,0)),"")</f>
        <v/>
      </c>
      <c r="K17" s="63" t="str">
        <f aca="false">IFERROR(INDEX(Base!$M$5:$M$2004,MATCH(K7*100+9,Base!$P$5:$P$2004,0)),"")</f>
        <v/>
      </c>
      <c r="L17" s="55" t="str">
        <f aca="false">IFERROR(INDEX(Base!$N$5:$N$2004,MATCH(M7*100+9,Base!$P$5:$P$2004,0)),"")</f>
        <v/>
      </c>
      <c r="M17" s="63" t="str">
        <f aca="false">IFERROR(INDEX(Base!$M$5:$M$2004,MATCH(M7*100+9,Base!$P$5:$P$2004,0)),"")</f>
        <v/>
      </c>
      <c r="N17" s="55" t="str">
        <f aca="false">IFERROR(INDEX(Base!$N$5:$N$2004,MATCH(O7*100+9,Base!$P$5:$P$2004,0)),"")</f>
        <v/>
      </c>
      <c r="O17" s="63" t="str">
        <f aca="false">IFERROR(INDEX(Base!$M$5:$M$2004,MATCH(O7*100+9,Base!$P$5:$P$2004,0)),"")</f>
        <v/>
      </c>
    </row>
    <row r="18" customFormat="false" ht="18" hidden="false" customHeight="true" outlineLevel="0" collapsed="false">
      <c r="B18" s="53" t="str">
        <f aca="false">IFERROR(INDEX(Base!$N$5:$N$2004,MATCH(C7*100+10,Base!$P$5:$P$2004,0)),"")</f>
        <v/>
      </c>
      <c r="C18" s="63" t="str">
        <f aca="false">IFERROR(INDEX(Base!$M$5:$M$2004,MATCH(C7*100+10,Base!$P$5:$P$2004,0)),"")</f>
        <v/>
      </c>
      <c r="D18" s="55" t="str">
        <f aca="false">IFERROR(INDEX(Base!$N$5:$N$2004,MATCH(E7*100+10,Base!$P$5:$P$2004,0)),"")</f>
        <v/>
      </c>
      <c r="E18" s="63" t="str">
        <f aca="false">IFERROR(INDEX(Base!$M$5:$M$2004,MATCH(E7*100+10,Base!$P$5:$P$2004,0)),"")</f>
        <v/>
      </c>
      <c r="F18" s="55" t="str">
        <f aca="false">IFERROR(INDEX(Base!$N$5:$N$2004,MATCH(G7*100+10,Base!$P$5:$P$2004,0)),"")</f>
        <v/>
      </c>
      <c r="G18" s="63" t="str">
        <f aca="false">IFERROR(INDEX(Base!$M$5:$M$2004,MATCH(G7*100+10,Base!$P$5:$P$2004,0)),"")</f>
        <v/>
      </c>
      <c r="H18" s="55" t="str">
        <f aca="false">IFERROR(INDEX(Base!$N$5:$N$2004,MATCH(I7*100+10,Base!$P$5:$P$2004,0)),"")</f>
        <v/>
      </c>
      <c r="I18" s="63" t="str">
        <f aca="false">IFERROR(INDEX(Base!$M$5:$M$2004,MATCH(I7*100+10,Base!$P$5:$P$2004,0)),"")</f>
        <v/>
      </c>
      <c r="J18" s="55" t="str">
        <f aca="false">IFERROR(INDEX(Base!$N$5:$N$2004,MATCH(K7*100+10,Base!$P$5:$P$2004,0)),"")</f>
        <v/>
      </c>
      <c r="K18" s="63" t="str">
        <f aca="false">IFERROR(INDEX(Base!$M$5:$M$2004,MATCH(K7*100+10,Base!$P$5:$P$2004,0)),"")</f>
        <v/>
      </c>
      <c r="L18" s="55" t="str">
        <f aca="false">IFERROR(INDEX(Base!$N$5:$N$2004,MATCH(M7*100+10,Base!$P$5:$P$2004,0)),"")</f>
        <v/>
      </c>
      <c r="M18" s="63" t="str">
        <f aca="false">IFERROR(INDEX(Base!$M$5:$M$2004,MATCH(M7*100+10,Base!$P$5:$P$2004,0)),"")</f>
        <v/>
      </c>
      <c r="N18" s="55" t="str">
        <f aca="false">IFERROR(INDEX(Base!$N$5:$N$2004,MATCH(O7*100+10,Base!$P$5:$P$2004,0)),"")</f>
        <v/>
      </c>
      <c r="O18" s="63" t="str">
        <f aca="false">IFERROR(INDEX(Base!$M$5:$M$2004,MATCH(O7*100+10,Base!$P$5:$P$2004,0)),"")</f>
        <v/>
      </c>
    </row>
    <row r="19" customFormat="false" ht="18" hidden="false" customHeight="true" outlineLevel="0" collapsed="false">
      <c r="B19" s="53" t="str">
        <f aca="false">IFERROR(INDEX(Base!$N$5:$N$2004,MATCH(C7*100+11,Base!$P$5:$P$2004,0)),"")</f>
        <v/>
      </c>
      <c r="C19" s="63" t="str">
        <f aca="false">IFERROR(INDEX(Base!$M$5:$M$2004,MATCH(C7*100+11,Base!$P$5:$P$2004,0)),"")</f>
        <v/>
      </c>
      <c r="D19" s="55" t="str">
        <f aca="false">IFERROR(INDEX(Base!$N$5:$N$2004,MATCH(E7*100+11,Base!$P$5:$P$2004,0)),"")</f>
        <v/>
      </c>
      <c r="E19" s="63" t="str">
        <f aca="false">IFERROR(INDEX(Base!$M$5:$M$2004,MATCH(E7*100+11,Base!$P$5:$P$2004,0)),"")</f>
        <v/>
      </c>
      <c r="F19" s="55" t="str">
        <f aca="false">IFERROR(INDEX(Base!$N$5:$N$2004,MATCH(G7*100+11,Base!$P$5:$P$2004,0)),"")</f>
        <v/>
      </c>
      <c r="G19" s="63" t="str">
        <f aca="false">IFERROR(INDEX(Base!$M$5:$M$2004,MATCH(G7*100+11,Base!$P$5:$P$2004,0)),"")</f>
        <v/>
      </c>
      <c r="H19" s="55" t="str">
        <f aca="false">IFERROR(INDEX(Base!$N$5:$N$2004,MATCH(I7*100+11,Base!$P$5:$P$2004,0)),"")</f>
        <v/>
      </c>
      <c r="I19" s="63" t="str">
        <f aca="false">IFERROR(INDEX(Base!$M$5:$M$2004,MATCH(I7*100+11,Base!$P$5:$P$2004,0)),"")</f>
        <v/>
      </c>
      <c r="J19" s="55" t="str">
        <f aca="false">IFERROR(INDEX(Base!$N$5:$N$2004,MATCH(K7*100+11,Base!$P$5:$P$2004,0)),"")</f>
        <v/>
      </c>
      <c r="K19" s="63" t="str">
        <f aca="false">IFERROR(INDEX(Base!$M$5:$M$2004,MATCH(K7*100+11,Base!$P$5:$P$2004,0)),"")</f>
        <v/>
      </c>
      <c r="L19" s="55" t="str">
        <f aca="false">IFERROR(INDEX(Base!$N$5:$N$2004,MATCH(M7*100+11,Base!$P$5:$P$2004,0)),"")</f>
        <v/>
      </c>
      <c r="M19" s="63" t="str">
        <f aca="false">IFERROR(INDEX(Base!$M$5:$M$2004,MATCH(M7*100+11,Base!$P$5:$P$2004,0)),"")</f>
        <v/>
      </c>
      <c r="N19" s="55" t="str">
        <f aca="false">IFERROR(INDEX(Base!$N$5:$N$2004,MATCH(O7*100+11,Base!$P$5:$P$2004,0)),"")</f>
        <v/>
      </c>
      <c r="O19" s="63" t="str">
        <f aca="false">IFERROR(INDEX(Base!$M$5:$M$2004,MATCH(O7*100+11,Base!$P$5:$P$2004,0)),"")</f>
        <v/>
      </c>
    </row>
    <row r="20" customFormat="false" ht="18" hidden="false" customHeight="true" outlineLevel="0" collapsed="false">
      <c r="B20" s="53" t="str">
        <f aca="false">IFERROR(INDEX(Base!$N$5:$N$2004,MATCH(C7*100+12,Base!$P$5:$P$2004,0)),"")</f>
        <v/>
      </c>
      <c r="C20" s="63" t="str">
        <f aca="false">IFERROR(INDEX(Base!$M$5:$M$2004,MATCH(C7*100+12,Base!$P$5:$P$2004,0)),"")</f>
        <v/>
      </c>
      <c r="D20" s="55" t="str">
        <f aca="false">IFERROR(INDEX(Base!$N$5:$N$2004,MATCH(E7*100+12,Base!$P$5:$P$2004,0)),"")</f>
        <v/>
      </c>
      <c r="E20" s="63" t="str">
        <f aca="false">IFERROR(INDEX(Base!$M$5:$M$2004,MATCH(E7*100+12,Base!$P$5:$P$2004,0)),"")</f>
        <v/>
      </c>
      <c r="F20" s="55" t="str">
        <f aca="false">IFERROR(INDEX(Base!$N$5:$N$2004,MATCH(G7*100+12,Base!$P$5:$P$2004,0)),"")</f>
        <v/>
      </c>
      <c r="G20" s="63" t="str">
        <f aca="false">IFERROR(INDEX(Base!$M$5:$M$2004,MATCH(G7*100+12,Base!$P$5:$P$2004,0)),"")</f>
        <v/>
      </c>
      <c r="H20" s="55" t="str">
        <f aca="false">IFERROR(INDEX(Base!$N$5:$N$2004,MATCH(I7*100+12,Base!$P$5:$P$2004,0)),"")</f>
        <v/>
      </c>
      <c r="I20" s="63" t="str">
        <f aca="false">IFERROR(INDEX(Base!$M$5:$M$2004,MATCH(I7*100+12,Base!$P$5:$P$2004,0)),"")</f>
        <v/>
      </c>
      <c r="J20" s="55" t="str">
        <f aca="false">IFERROR(INDEX(Base!$N$5:$N$2004,MATCH(K7*100+12,Base!$P$5:$P$2004,0)),"")</f>
        <v/>
      </c>
      <c r="K20" s="63" t="str">
        <f aca="false">IFERROR(INDEX(Base!$M$5:$M$2004,MATCH(K7*100+12,Base!$P$5:$P$2004,0)),"")</f>
        <v/>
      </c>
      <c r="L20" s="55" t="str">
        <f aca="false">IFERROR(INDEX(Base!$N$5:$N$2004,MATCH(M7*100+12,Base!$P$5:$P$2004,0)),"")</f>
        <v/>
      </c>
      <c r="M20" s="63" t="str">
        <f aca="false">IFERROR(INDEX(Base!$M$5:$M$2004,MATCH(M7*100+12,Base!$P$5:$P$2004,0)),"")</f>
        <v/>
      </c>
      <c r="N20" s="55" t="str">
        <f aca="false">IFERROR(INDEX(Base!$N$5:$N$2004,MATCH(O7*100+12,Base!$P$5:$P$2004,0)),"")</f>
        <v/>
      </c>
      <c r="O20" s="63" t="str">
        <f aca="false">IFERROR(INDEX(Base!$M$5:$M$2004,MATCH(O7*100+12,Base!$P$5:$P$2004,0)),"")</f>
        <v/>
      </c>
    </row>
    <row r="21" customFormat="false" ht="18" hidden="false" customHeight="true" outlineLevel="0" collapsed="false">
      <c r="B21" s="53" t="str">
        <f aca="false">IFERROR(INDEX(Base!$N$5:$N$2004,MATCH(C7*100+13,Base!$P$5:$P$2004,0)),"")</f>
        <v/>
      </c>
      <c r="C21" s="63" t="str">
        <f aca="false">IFERROR(INDEX(Base!$M$5:$M$2004,MATCH(C7*100+13,Base!$P$5:$P$2004,0)),"")</f>
        <v/>
      </c>
      <c r="D21" s="55" t="str">
        <f aca="false">IFERROR(INDEX(Base!$N$5:$N$2004,MATCH(E7*100+13,Base!$P$5:$P$2004,0)),"")</f>
        <v/>
      </c>
      <c r="E21" s="63" t="str">
        <f aca="false">IFERROR(INDEX(Base!$M$5:$M$2004,MATCH(E7*100+13,Base!$P$5:$P$2004,0)),"")</f>
        <v/>
      </c>
      <c r="F21" s="55" t="str">
        <f aca="false">IFERROR(INDEX(Base!$N$5:$N$2004,MATCH(G7*100+13,Base!$P$5:$P$2004,0)),"")</f>
        <v/>
      </c>
      <c r="G21" s="63" t="str">
        <f aca="false">IFERROR(INDEX(Base!$M$5:$M$2004,MATCH(G7*100+13,Base!$P$5:$P$2004,0)),"")</f>
        <v/>
      </c>
      <c r="H21" s="55" t="str">
        <f aca="false">IFERROR(INDEX(Base!$N$5:$N$2004,MATCH(I7*100+13,Base!$P$5:$P$2004,0)),"")</f>
        <v/>
      </c>
      <c r="I21" s="63" t="str">
        <f aca="false">IFERROR(INDEX(Base!$M$5:$M$2004,MATCH(I7*100+13,Base!$P$5:$P$2004,0)),"")</f>
        <v/>
      </c>
      <c r="J21" s="55" t="str">
        <f aca="false">IFERROR(INDEX(Base!$N$5:$N$2004,MATCH(K7*100+13,Base!$P$5:$P$2004,0)),"")</f>
        <v/>
      </c>
      <c r="K21" s="63" t="str">
        <f aca="false">IFERROR(INDEX(Base!$M$5:$M$2004,MATCH(K7*100+13,Base!$P$5:$P$2004,0)),"")</f>
        <v/>
      </c>
      <c r="L21" s="55" t="str">
        <f aca="false">IFERROR(INDEX(Base!$N$5:$N$2004,MATCH(M7*100+13,Base!$P$5:$P$2004,0)),"")</f>
        <v/>
      </c>
      <c r="M21" s="63" t="str">
        <f aca="false">IFERROR(INDEX(Base!$M$5:$M$2004,MATCH(M7*100+13,Base!$P$5:$P$2004,0)),"")</f>
        <v/>
      </c>
      <c r="N21" s="55" t="str">
        <f aca="false">IFERROR(INDEX(Base!$N$5:$N$2004,MATCH(O7*100+13,Base!$P$5:$P$2004,0)),"")</f>
        <v/>
      </c>
      <c r="O21" s="63" t="str">
        <f aca="false">IFERROR(INDEX(Base!$M$5:$M$2004,MATCH(O7*100+13,Base!$P$5:$P$2004,0)),"")</f>
        <v/>
      </c>
    </row>
    <row r="22" customFormat="false" ht="18" hidden="false" customHeight="true" outlineLevel="0" collapsed="false">
      <c r="B22" s="53" t="str">
        <f aca="false">IFERROR(INDEX(Base!$N$5:$N$2004,MATCH(C7*100+14,Base!$P$5:$P$2004,0)),"")</f>
        <v/>
      </c>
      <c r="C22" s="63" t="str">
        <f aca="false">IFERROR(INDEX(Base!$M$5:$M$2004,MATCH(C7*100+14,Base!$P$5:$P$2004,0)),"")</f>
        <v/>
      </c>
      <c r="D22" s="55" t="str">
        <f aca="false">IFERROR(INDEX(Base!$N$5:$N$2004,MATCH(E7*100+14,Base!$P$5:$P$2004,0)),"")</f>
        <v/>
      </c>
      <c r="E22" s="63" t="str">
        <f aca="false">IFERROR(INDEX(Base!$M$5:$M$2004,MATCH(E7*100+14,Base!$P$5:$P$2004,0)),"")</f>
        <v/>
      </c>
      <c r="F22" s="55" t="str">
        <f aca="false">IFERROR(INDEX(Base!$N$5:$N$2004,MATCH(G7*100+14,Base!$P$5:$P$2004,0)),"")</f>
        <v/>
      </c>
      <c r="G22" s="63" t="str">
        <f aca="false">IFERROR(INDEX(Base!$M$5:$M$2004,MATCH(G7*100+14,Base!$P$5:$P$2004,0)),"")</f>
        <v/>
      </c>
      <c r="H22" s="55" t="str">
        <f aca="false">IFERROR(INDEX(Base!$N$5:$N$2004,MATCH(I7*100+14,Base!$P$5:$P$2004,0)),"")</f>
        <v/>
      </c>
      <c r="I22" s="63" t="str">
        <f aca="false">IFERROR(INDEX(Base!$M$5:$M$2004,MATCH(I7*100+14,Base!$P$5:$P$2004,0)),"")</f>
        <v/>
      </c>
      <c r="J22" s="55" t="str">
        <f aca="false">IFERROR(INDEX(Base!$N$5:$N$2004,MATCH(K7*100+14,Base!$P$5:$P$2004,0)),"")</f>
        <v/>
      </c>
      <c r="K22" s="63" t="str">
        <f aca="false">IFERROR(INDEX(Base!$M$5:$M$2004,MATCH(K7*100+14,Base!$P$5:$P$2004,0)),"")</f>
        <v/>
      </c>
      <c r="L22" s="55" t="str">
        <f aca="false">IFERROR(INDEX(Base!$N$5:$N$2004,MATCH(M7*100+14,Base!$P$5:$P$2004,0)),"")</f>
        <v/>
      </c>
      <c r="M22" s="63" t="str">
        <f aca="false">IFERROR(INDEX(Base!$M$5:$M$2004,MATCH(M7*100+14,Base!$P$5:$P$2004,0)),"")</f>
        <v/>
      </c>
      <c r="N22" s="55" t="str">
        <f aca="false">IFERROR(INDEX(Base!$N$5:$N$2004,MATCH(O7*100+14,Base!$P$5:$P$2004,0)),"")</f>
        <v/>
      </c>
      <c r="O22" s="63" t="str">
        <f aca="false">IFERROR(INDEX(Base!$M$5:$M$2004,MATCH(O7*100+14,Base!$P$5:$P$2004,0)),"")</f>
        <v/>
      </c>
    </row>
    <row r="23" customFormat="false" ht="18" hidden="false" customHeight="true" outlineLevel="0" collapsed="false">
      <c r="B23" s="53" t="str">
        <f aca="false">IFERROR(INDEX(Base!$N$5:$N$2004,MATCH(C7*100+15,Base!$P$5:$P$2004,0)),"")</f>
        <v/>
      </c>
      <c r="C23" s="63" t="str">
        <f aca="false">IFERROR(INDEX(Base!$M$5:$M$2004,MATCH(C7*100+15,Base!$P$5:$P$2004,0)),"")</f>
        <v/>
      </c>
      <c r="D23" s="55" t="str">
        <f aca="false">IFERROR(INDEX(Base!$N$5:$N$2004,MATCH(E7*100+15,Base!$P$5:$P$2004,0)),"")</f>
        <v/>
      </c>
      <c r="E23" s="63" t="str">
        <f aca="false">IFERROR(INDEX(Base!$M$5:$M$2004,MATCH(E7*100+15,Base!$P$5:$P$2004,0)),"")</f>
        <v/>
      </c>
      <c r="F23" s="55" t="str">
        <f aca="false">IFERROR(INDEX(Base!$N$5:$N$2004,MATCH(G7*100+15,Base!$P$5:$P$2004,0)),"")</f>
        <v/>
      </c>
      <c r="G23" s="63" t="str">
        <f aca="false">IFERROR(INDEX(Base!$M$5:$M$2004,MATCH(G7*100+15,Base!$P$5:$P$2004,0)),"")</f>
        <v/>
      </c>
      <c r="H23" s="55" t="str">
        <f aca="false">IFERROR(INDEX(Base!$N$5:$N$2004,MATCH(I7*100+15,Base!$P$5:$P$2004,0)),"")</f>
        <v/>
      </c>
      <c r="I23" s="63" t="str">
        <f aca="false">IFERROR(INDEX(Base!$M$5:$M$2004,MATCH(I7*100+15,Base!$P$5:$P$2004,0)),"")</f>
        <v/>
      </c>
      <c r="J23" s="55" t="str">
        <f aca="false">IFERROR(INDEX(Base!$N$5:$N$2004,MATCH(K7*100+15,Base!$P$5:$P$2004,0)),"")</f>
        <v/>
      </c>
      <c r="K23" s="63" t="str">
        <f aca="false">IFERROR(INDEX(Base!$M$5:$M$2004,MATCH(K7*100+15,Base!$P$5:$P$2004,0)),"")</f>
        <v/>
      </c>
      <c r="L23" s="55" t="str">
        <f aca="false">IFERROR(INDEX(Base!$N$5:$N$2004,MATCH(M7*100+15,Base!$P$5:$P$2004,0)),"")</f>
        <v/>
      </c>
      <c r="M23" s="63" t="str">
        <f aca="false">IFERROR(INDEX(Base!$M$5:$M$2004,MATCH(M7*100+15,Base!$P$5:$P$2004,0)),"")</f>
        <v/>
      </c>
      <c r="N23" s="55" t="str">
        <f aca="false">IFERROR(INDEX(Base!$N$5:$N$2004,MATCH(O7*100+15,Base!$P$5:$P$2004,0)),"")</f>
        <v/>
      </c>
      <c r="O23" s="63" t="str">
        <f aca="false">IFERROR(INDEX(Base!$M$5:$M$2004,MATCH(O7*100+15,Base!$P$5:$P$2004,0)),"")</f>
        <v/>
      </c>
    </row>
    <row r="24" customFormat="false" ht="12.75" hidden="false" customHeight="true" outlineLevel="0" collapsed="false">
      <c r="B24" s="56"/>
      <c r="C24" s="57" t="str">
        <f aca="false">IF(COUNTIF(Base!$E$5:$E$2004,C7)&gt;15,"+"&amp;(COUNTIF(Base!$E$5:$E$2004,C7)-15)&amp;" mais (veja a aba Tabela)","")</f>
        <v/>
      </c>
      <c r="D24" s="58"/>
      <c r="E24" s="57" t="str">
        <f aca="false">IF(COUNTIF(Base!$E$5:$E$2004,E7)&gt;15,"+"&amp;(COUNTIF(Base!$E$5:$E$2004,E7)-15)&amp;" mais (veja a aba Tabela)","")</f>
        <v/>
      </c>
      <c r="F24" s="58"/>
      <c r="G24" s="57" t="str">
        <f aca="false">IF(COUNTIF(Base!$E$5:$E$2004,G7)&gt;15,"+"&amp;(COUNTIF(Base!$E$5:$E$2004,G7)-15)&amp;" mais (veja a aba Tabela)","")</f>
        <v/>
      </c>
      <c r="H24" s="58"/>
      <c r="I24" s="57" t="str">
        <f aca="false">IF(COUNTIF(Base!$E$5:$E$2004,I7)&gt;15,"+"&amp;(COUNTIF(Base!$E$5:$E$2004,I7)-15)&amp;" mais (veja a aba Tabela)","")</f>
        <v/>
      </c>
      <c r="J24" s="58"/>
      <c r="K24" s="57" t="str">
        <f aca="false">IF(COUNTIF(Base!$E$5:$E$2004,K7)&gt;15,"+"&amp;(COUNTIF(Base!$E$5:$E$2004,K7)-15)&amp;" mais (veja a aba Tabela)","")</f>
        <v/>
      </c>
      <c r="L24" s="58"/>
      <c r="M24" s="57" t="str">
        <f aca="false">IF(COUNTIF(Base!$E$5:$E$2004,M7)&gt;15,"+"&amp;(COUNTIF(Base!$E$5:$E$2004,M7)-15)&amp;" mais (veja a aba Tabela)","")</f>
        <v/>
      </c>
      <c r="N24" s="58"/>
      <c r="O24" s="57" t="str">
        <f aca="false">IF(COUNTIF(Base!$E$5:$E$2004,O7)&gt;15,"+"&amp;(COUNTIF(Base!$E$5:$E$2004,O7)-15)&amp;" mais (veja a aba Tabela)","")</f>
        <v/>
      </c>
    </row>
  </sheetData>
  <mergeCells count="18">
    <mergeCell ref="B1:E1"/>
    <mergeCell ref="F1:G1"/>
    <mergeCell ref="H1:I1"/>
    <mergeCell ref="J1:K1"/>
    <mergeCell ref="L1:M1"/>
    <mergeCell ref="N1:O1"/>
    <mergeCell ref="B2:C2"/>
    <mergeCell ref="D2:E2"/>
    <mergeCell ref="F2:K2"/>
    <mergeCell ref="B3:O3"/>
    <mergeCell ref="L4:O4"/>
    <mergeCell ref="B6:C6"/>
    <mergeCell ref="D6:E6"/>
    <mergeCell ref="F6:G6"/>
    <mergeCell ref="H6:I6"/>
    <mergeCell ref="J6:K6"/>
    <mergeCell ref="L6:M6"/>
    <mergeCell ref="N6:O6"/>
  </mergeCells>
  <conditionalFormatting sqref="C7">
    <cfRule type="expression" priority="2" aboveAverage="0" equalAverage="0" bottom="0" percent="0" rank="0" text="" dxfId="16">
      <formula>C7=TODAY()</formula>
    </cfRule>
  </conditionalFormatting>
  <conditionalFormatting sqref="E7">
    <cfRule type="expression" priority="3" aboveAverage="0" equalAverage="0" bottom="0" percent="0" rank="0" text="" dxfId="16">
      <formula>E7=TODAY()</formula>
    </cfRule>
  </conditionalFormatting>
  <conditionalFormatting sqref="G7">
    <cfRule type="expression" priority="4" aboveAverage="0" equalAverage="0" bottom="0" percent="0" rank="0" text="" dxfId="16">
      <formula>G7=TODAY()</formula>
    </cfRule>
  </conditionalFormatting>
  <conditionalFormatting sqref="I7">
    <cfRule type="expression" priority="5" aboveAverage="0" equalAverage="0" bottom="0" percent="0" rank="0" text="" dxfId="16">
      <formula>I7=TODAY()</formula>
    </cfRule>
  </conditionalFormatting>
  <conditionalFormatting sqref="K7">
    <cfRule type="expression" priority="6" aboveAverage="0" equalAverage="0" bottom="0" percent="0" rank="0" text="" dxfId="16">
      <formula>K7=TODAY()</formula>
    </cfRule>
  </conditionalFormatting>
  <conditionalFormatting sqref="M7">
    <cfRule type="expression" priority="7" aboveAverage="0" equalAverage="0" bottom="0" percent="0" rank="0" text="" dxfId="16">
      <formula>M7=TODAY()</formula>
    </cfRule>
  </conditionalFormatting>
  <conditionalFormatting sqref="O7">
    <cfRule type="expression" priority="8" aboveAverage="0" equalAverage="0" bottom="0" percent="0" rank="0" text="" dxfId="16">
      <formula>O7=TODAY()</formula>
    </cfRule>
  </conditionalFormatting>
  <conditionalFormatting sqref="C9:C23">
    <cfRule type="expression" priority="9" aboveAverage="0" equalAverage="0" bottom="0" percent="0" rank="0" text="" dxfId="17">
      <formula>$B9="TEO"</formula>
    </cfRule>
    <cfRule type="expression" priority="10" aboveAverage="0" equalAverage="0" bottom="0" percent="0" rank="0" text="" dxfId="18">
      <formula>$B9="TEOx"</formula>
    </cfRule>
    <cfRule type="expression" priority="11" aboveAverage="0" equalAverage="0" bottom="0" percent="0" rank="0" text="" dxfId="19">
      <formula>$B9="REV"</formula>
    </cfRule>
    <cfRule type="expression" priority="12" aboveAverage="0" equalAverage="0" bottom="0" percent="0" rank="0" text="" dxfId="20">
      <formula>$B9="REVx"</formula>
    </cfRule>
    <cfRule type="expression" priority="13" aboveAverage="0" equalAverage="0" bottom="0" percent="0" rank="0" text="" dxfId="21">
      <formula>$B9="PRA"</formula>
    </cfRule>
    <cfRule type="expression" priority="14" aboveAverage="0" equalAverage="0" bottom="0" percent="0" rank="0" text="" dxfId="22">
      <formula>$B9="PRAx"</formula>
    </cfRule>
    <cfRule type="expression" priority="15" aboveAverage="0" equalAverage="0" bottom="0" percent="0" rank="0" text="" dxfId="23">
      <formula>$B9="SIM"</formula>
    </cfRule>
    <cfRule type="expression" priority="16" aboveAverage="0" equalAverage="0" bottom="0" percent="0" rank="0" text="" dxfId="24">
      <formula>$B9="SIMx"</formula>
    </cfRule>
    <cfRule type="expression" priority="17" aboveAverage="0" equalAverage="0" bottom="0" percent="0" rank="0" text="" dxfId="25">
      <formula>$B9="OUT"</formula>
    </cfRule>
    <cfRule type="expression" priority="18" aboveAverage="0" equalAverage="0" bottom="0" percent="0" rank="0" text="" dxfId="26">
      <formula>$B9="OUTx"</formula>
    </cfRule>
  </conditionalFormatting>
  <conditionalFormatting sqref="B9:B23">
    <cfRule type="expression" priority="19" aboveAverage="0" equalAverage="0" bottom="0" percent="0" rank="0" text="" dxfId="27">
      <formula>LEFT($B9,3)="TEO"</formula>
    </cfRule>
    <cfRule type="expression" priority="20" aboveAverage="0" equalAverage="0" bottom="0" percent="0" rank="0" text="" dxfId="28">
      <formula>LEFT($B9,3)="REV"</formula>
    </cfRule>
    <cfRule type="expression" priority="21" aboveAverage="0" equalAverage="0" bottom="0" percent="0" rank="0" text="" dxfId="29">
      <formula>LEFT($B9,3)="PRA"</formula>
    </cfRule>
    <cfRule type="expression" priority="22" aboveAverage="0" equalAverage="0" bottom="0" percent="0" rank="0" text="" dxfId="30">
      <formula>LEFT($B9,3)="SIM"</formula>
    </cfRule>
    <cfRule type="expression" priority="23" aboveAverage="0" equalAverage="0" bottom="0" percent="0" rank="0" text="" dxfId="31">
      <formula>LEFT($B9,3)="OUT"</formula>
    </cfRule>
  </conditionalFormatting>
  <conditionalFormatting sqref="E9:E23">
    <cfRule type="expression" priority="24" aboveAverage="0" equalAverage="0" bottom="0" percent="0" rank="0" text="" dxfId="17">
      <formula>$D9="TEO"</formula>
    </cfRule>
    <cfRule type="expression" priority="25" aboveAverage="0" equalAverage="0" bottom="0" percent="0" rank="0" text="" dxfId="18">
      <formula>$D9="TEOx"</formula>
    </cfRule>
    <cfRule type="expression" priority="26" aboveAverage="0" equalAverage="0" bottom="0" percent="0" rank="0" text="" dxfId="19">
      <formula>$D9="REV"</formula>
    </cfRule>
    <cfRule type="expression" priority="27" aboveAverage="0" equalAverage="0" bottom="0" percent="0" rank="0" text="" dxfId="20">
      <formula>$D9="REVx"</formula>
    </cfRule>
    <cfRule type="expression" priority="28" aboveAverage="0" equalAverage="0" bottom="0" percent="0" rank="0" text="" dxfId="21">
      <formula>$D9="PRA"</formula>
    </cfRule>
    <cfRule type="expression" priority="29" aboveAverage="0" equalAverage="0" bottom="0" percent="0" rank="0" text="" dxfId="22">
      <formula>$D9="PRAx"</formula>
    </cfRule>
    <cfRule type="expression" priority="30" aboveAverage="0" equalAverage="0" bottom="0" percent="0" rank="0" text="" dxfId="23">
      <formula>$D9="SIM"</formula>
    </cfRule>
    <cfRule type="expression" priority="31" aboveAverage="0" equalAverage="0" bottom="0" percent="0" rank="0" text="" dxfId="24">
      <formula>$D9="SIMx"</formula>
    </cfRule>
    <cfRule type="expression" priority="32" aboveAverage="0" equalAverage="0" bottom="0" percent="0" rank="0" text="" dxfId="25">
      <formula>$D9="OUT"</formula>
    </cfRule>
    <cfRule type="expression" priority="33" aboveAverage="0" equalAverage="0" bottom="0" percent="0" rank="0" text="" dxfId="26">
      <formula>$D9="OUTx"</formula>
    </cfRule>
  </conditionalFormatting>
  <conditionalFormatting sqref="D9:D23">
    <cfRule type="expression" priority="34" aboveAverage="0" equalAverage="0" bottom="0" percent="0" rank="0" text="" dxfId="27">
      <formula>LEFT($D9,3)="TEO"</formula>
    </cfRule>
    <cfRule type="expression" priority="35" aboveAverage="0" equalAverage="0" bottom="0" percent="0" rank="0" text="" dxfId="28">
      <formula>LEFT($D9,3)="REV"</formula>
    </cfRule>
    <cfRule type="expression" priority="36" aboveAverage="0" equalAverage="0" bottom="0" percent="0" rank="0" text="" dxfId="29">
      <formula>LEFT($D9,3)="PRA"</formula>
    </cfRule>
    <cfRule type="expression" priority="37" aboveAverage="0" equalAverage="0" bottom="0" percent="0" rank="0" text="" dxfId="30">
      <formula>LEFT($D9,3)="SIM"</formula>
    </cfRule>
    <cfRule type="expression" priority="38" aboveAverage="0" equalAverage="0" bottom="0" percent="0" rank="0" text="" dxfId="31">
      <formula>LEFT($D9,3)="OUT"</formula>
    </cfRule>
  </conditionalFormatting>
  <conditionalFormatting sqref="G9:G23">
    <cfRule type="expression" priority="39" aboveAverage="0" equalAverage="0" bottom="0" percent="0" rank="0" text="" dxfId="17">
      <formula>$F9="TEO"</formula>
    </cfRule>
    <cfRule type="expression" priority="40" aboveAverage="0" equalAverage="0" bottom="0" percent="0" rank="0" text="" dxfId="18">
      <formula>$F9="TEOx"</formula>
    </cfRule>
    <cfRule type="expression" priority="41" aboveAverage="0" equalAverage="0" bottom="0" percent="0" rank="0" text="" dxfId="19">
      <formula>$F9="REV"</formula>
    </cfRule>
    <cfRule type="expression" priority="42" aboveAverage="0" equalAverage="0" bottom="0" percent="0" rank="0" text="" dxfId="20">
      <formula>$F9="REVx"</formula>
    </cfRule>
    <cfRule type="expression" priority="43" aboveAverage="0" equalAverage="0" bottom="0" percent="0" rank="0" text="" dxfId="21">
      <formula>$F9="PRA"</formula>
    </cfRule>
    <cfRule type="expression" priority="44" aboveAverage="0" equalAverage="0" bottom="0" percent="0" rank="0" text="" dxfId="22">
      <formula>$F9="PRAx"</formula>
    </cfRule>
    <cfRule type="expression" priority="45" aboveAverage="0" equalAverage="0" bottom="0" percent="0" rank="0" text="" dxfId="23">
      <formula>$F9="SIM"</formula>
    </cfRule>
    <cfRule type="expression" priority="46" aboveAverage="0" equalAverage="0" bottom="0" percent="0" rank="0" text="" dxfId="24">
      <formula>$F9="SIMx"</formula>
    </cfRule>
    <cfRule type="expression" priority="47" aboveAverage="0" equalAverage="0" bottom="0" percent="0" rank="0" text="" dxfId="25">
      <formula>$F9="OUT"</formula>
    </cfRule>
    <cfRule type="expression" priority="48" aboveAverage="0" equalAverage="0" bottom="0" percent="0" rank="0" text="" dxfId="26">
      <formula>$F9="OUTx"</formula>
    </cfRule>
  </conditionalFormatting>
  <conditionalFormatting sqref="F9:F23">
    <cfRule type="expression" priority="49" aboveAverage="0" equalAverage="0" bottom="0" percent="0" rank="0" text="" dxfId="27">
      <formula>LEFT($F9,3)="TEO"</formula>
    </cfRule>
    <cfRule type="expression" priority="50" aboveAverage="0" equalAverage="0" bottom="0" percent="0" rank="0" text="" dxfId="28">
      <formula>LEFT($F9,3)="REV"</formula>
    </cfRule>
    <cfRule type="expression" priority="51" aboveAverage="0" equalAverage="0" bottom="0" percent="0" rank="0" text="" dxfId="29">
      <formula>LEFT($F9,3)="PRA"</formula>
    </cfRule>
    <cfRule type="expression" priority="52" aboveAverage="0" equalAverage="0" bottom="0" percent="0" rank="0" text="" dxfId="30">
      <formula>LEFT($F9,3)="SIM"</formula>
    </cfRule>
    <cfRule type="expression" priority="53" aboveAverage="0" equalAverage="0" bottom="0" percent="0" rank="0" text="" dxfId="31">
      <formula>LEFT($F9,3)="OUT"</formula>
    </cfRule>
  </conditionalFormatting>
  <conditionalFormatting sqref="I9:I23">
    <cfRule type="expression" priority="54" aboveAverage="0" equalAverage="0" bottom="0" percent="0" rank="0" text="" dxfId="17">
      <formula>$H9="TEO"</formula>
    </cfRule>
    <cfRule type="expression" priority="55" aboveAverage="0" equalAverage="0" bottom="0" percent="0" rank="0" text="" dxfId="18">
      <formula>$H9="TEOx"</formula>
    </cfRule>
    <cfRule type="expression" priority="56" aboveAverage="0" equalAverage="0" bottom="0" percent="0" rank="0" text="" dxfId="19">
      <formula>$H9="REV"</formula>
    </cfRule>
    <cfRule type="expression" priority="57" aboveAverage="0" equalAverage="0" bottom="0" percent="0" rank="0" text="" dxfId="20">
      <formula>$H9="REVx"</formula>
    </cfRule>
    <cfRule type="expression" priority="58" aboveAverage="0" equalAverage="0" bottom="0" percent="0" rank="0" text="" dxfId="21">
      <formula>$H9="PRA"</formula>
    </cfRule>
    <cfRule type="expression" priority="59" aboveAverage="0" equalAverage="0" bottom="0" percent="0" rank="0" text="" dxfId="22">
      <formula>$H9="PRAx"</formula>
    </cfRule>
    <cfRule type="expression" priority="60" aboveAverage="0" equalAverage="0" bottom="0" percent="0" rank="0" text="" dxfId="23">
      <formula>$H9="SIM"</formula>
    </cfRule>
    <cfRule type="expression" priority="61" aboveAverage="0" equalAverage="0" bottom="0" percent="0" rank="0" text="" dxfId="24">
      <formula>$H9="SIMx"</formula>
    </cfRule>
    <cfRule type="expression" priority="62" aboveAverage="0" equalAverage="0" bottom="0" percent="0" rank="0" text="" dxfId="25">
      <formula>$H9="OUT"</formula>
    </cfRule>
    <cfRule type="expression" priority="63" aboveAverage="0" equalAverage="0" bottom="0" percent="0" rank="0" text="" dxfId="26">
      <formula>$H9="OUTx"</formula>
    </cfRule>
  </conditionalFormatting>
  <conditionalFormatting sqref="H9:H23">
    <cfRule type="expression" priority="64" aboveAverage="0" equalAverage="0" bottom="0" percent="0" rank="0" text="" dxfId="27">
      <formula>LEFT($H9,3)="TEO"</formula>
    </cfRule>
    <cfRule type="expression" priority="65" aboveAverage="0" equalAverage="0" bottom="0" percent="0" rank="0" text="" dxfId="28">
      <formula>LEFT($H9,3)="REV"</formula>
    </cfRule>
    <cfRule type="expression" priority="66" aboveAverage="0" equalAverage="0" bottom="0" percent="0" rank="0" text="" dxfId="29">
      <formula>LEFT($H9,3)="PRA"</formula>
    </cfRule>
    <cfRule type="expression" priority="67" aboveAverage="0" equalAverage="0" bottom="0" percent="0" rank="0" text="" dxfId="30">
      <formula>LEFT($H9,3)="SIM"</formula>
    </cfRule>
    <cfRule type="expression" priority="68" aboveAverage="0" equalAverage="0" bottom="0" percent="0" rank="0" text="" dxfId="31">
      <formula>LEFT($H9,3)="OUT"</formula>
    </cfRule>
  </conditionalFormatting>
  <conditionalFormatting sqref="K9:K23">
    <cfRule type="expression" priority="69" aboveAverage="0" equalAverage="0" bottom="0" percent="0" rank="0" text="" dxfId="17">
      <formula>$J9="TEO"</formula>
    </cfRule>
    <cfRule type="expression" priority="70" aboveAverage="0" equalAverage="0" bottom="0" percent="0" rank="0" text="" dxfId="18">
      <formula>$J9="TEOx"</formula>
    </cfRule>
    <cfRule type="expression" priority="71" aboveAverage="0" equalAverage="0" bottom="0" percent="0" rank="0" text="" dxfId="19">
      <formula>$J9="REV"</formula>
    </cfRule>
    <cfRule type="expression" priority="72" aboveAverage="0" equalAverage="0" bottom="0" percent="0" rank="0" text="" dxfId="20">
      <formula>$J9="REVx"</formula>
    </cfRule>
    <cfRule type="expression" priority="73" aboveAverage="0" equalAverage="0" bottom="0" percent="0" rank="0" text="" dxfId="21">
      <formula>$J9="PRA"</formula>
    </cfRule>
    <cfRule type="expression" priority="74" aboveAverage="0" equalAverage="0" bottom="0" percent="0" rank="0" text="" dxfId="22">
      <formula>$J9="PRAx"</formula>
    </cfRule>
    <cfRule type="expression" priority="75" aboveAverage="0" equalAverage="0" bottom="0" percent="0" rank="0" text="" dxfId="23">
      <formula>$J9="SIM"</formula>
    </cfRule>
    <cfRule type="expression" priority="76" aboveAverage="0" equalAverage="0" bottom="0" percent="0" rank="0" text="" dxfId="24">
      <formula>$J9="SIMx"</formula>
    </cfRule>
    <cfRule type="expression" priority="77" aboveAverage="0" equalAverage="0" bottom="0" percent="0" rank="0" text="" dxfId="25">
      <formula>$J9="OUT"</formula>
    </cfRule>
    <cfRule type="expression" priority="78" aboveAverage="0" equalAverage="0" bottom="0" percent="0" rank="0" text="" dxfId="26">
      <formula>$J9="OUTx"</formula>
    </cfRule>
  </conditionalFormatting>
  <conditionalFormatting sqref="J9:J23">
    <cfRule type="expression" priority="79" aboveAverage="0" equalAverage="0" bottom="0" percent="0" rank="0" text="" dxfId="27">
      <formula>LEFT($J9,3)="TEO"</formula>
    </cfRule>
    <cfRule type="expression" priority="80" aboveAverage="0" equalAverage="0" bottom="0" percent="0" rank="0" text="" dxfId="28">
      <formula>LEFT($J9,3)="REV"</formula>
    </cfRule>
    <cfRule type="expression" priority="81" aboveAverage="0" equalAverage="0" bottom="0" percent="0" rank="0" text="" dxfId="29">
      <formula>LEFT($J9,3)="PRA"</formula>
    </cfRule>
    <cfRule type="expression" priority="82" aboveAverage="0" equalAverage="0" bottom="0" percent="0" rank="0" text="" dxfId="30">
      <formula>LEFT($J9,3)="SIM"</formula>
    </cfRule>
    <cfRule type="expression" priority="83" aboveAverage="0" equalAverage="0" bottom="0" percent="0" rank="0" text="" dxfId="31">
      <formula>LEFT($J9,3)="OUT"</formula>
    </cfRule>
  </conditionalFormatting>
  <conditionalFormatting sqref="M9:M23">
    <cfRule type="expression" priority="84" aboveAverage="0" equalAverage="0" bottom="0" percent="0" rank="0" text="" dxfId="17">
      <formula>$L9="TEO"</formula>
    </cfRule>
    <cfRule type="expression" priority="85" aboveAverage="0" equalAverage="0" bottom="0" percent="0" rank="0" text="" dxfId="18">
      <formula>$L9="TEOx"</formula>
    </cfRule>
    <cfRule type="expression" priority="86" aboveAverage="0" equalAverage="0" bottom="0" percent="0" rank="0" text="" dxfId="19">
      <formula>$L9="REV"</formula>
    </cfRule>
    <cfRule type="expression" priority="87" aboveAverage="0" equalAverage="0" bottom="0" percent="0" rank="0" text="" dxfId="20">
      <formula>$L9="REVx"</formula>
    </cfRule>
    <cfRule type="expression" priority="88" aboveAverage="0" equalAverage="0" bottom="0" percent="0" rank="0" text="" dxfId="21">
      <formula>$L9="PRA"</formula>
    </cfRule>
    <cfRule type="expression" priority="89" aboveAverage="0" equalAverage="0" bottom="0" percent="0" rank="0" text="" dxfId="22">
      <formula>$L9="PRAx"</formula>
    </cfRule>
    <cfRule type="expression" priority="90" aboveAverage="0" equalAverage="0" bottom="0" percent="0" rank="0" text="" dxfId="23">
      <formula>$L9="SIM"</formula>
    </cfRule>
    <cfRule type="expression" priority="91" aboveAverage="0" equalAverage="0" bottom="0" percent="0" rank="0" text="" dxfId="24">
      <formula>$L9="SIMx"</formula>
    </cfRule>
    <cfRule type="expression" priority="92" aboveAverage="0" equalAverage="0" bottom="0" percent="0" rank="0" text="" dxfId="25">
      <formula>$L9="OUT"</formula>
    </cfRule>
    <cfRule type="expression" priority="93" aboveAverage="0" equalAverage="0" bottom="0" percent="0" rank="0" text="" dxfId="26">
      <formula>$L9="OUTx"</formula>
    </cfRule>
  </conditionalFormatting>
  <conditionalFormatting sqref="L9:L23">
    <cfRule type="expression" priority="94" aboveAverage="0" equalAverage="0" bottom="0" percent="0" rank="0" text="" dxfId="27">
      <formula>LEFT($L9,3)="TEO"</formula>
    </cfRule>
    <cfRule type="expression" priority="95" aboveAverage="0" equalAverage="0" bottom="0" percent="0" rank="0" text="" dxfId="28">
      <formula>LEFT($L9,3)="REV"</formula>
    </cfRule>
    <cfRule type="expression" priority="96" aboveAverage="0" equalAverage="0" bottom="0" percent="0" rank="0" text="" dxfId="29">
      <formula>LEFT($L9,3)="PRA"</formula>
    </cfRule>
    <cfRule type="expression" priority="97" aboveAverage="0" equalAverage="0" bottom="0" percent="0" rank="0" text="" dxfId="30">
      <formula>LEFT($L9,3)="SIM"</formula>
    </cfRule>
    <cfRule type="expression" priority="98" aboveAverage="0" equalAverage="0" bottom="0" percent="0" rank="0" text="" dxfId="31">
      <formula>LEFT($L9,3)="OUT"</formula>
    </cfRule>
  </conditionalFormatting>
  <conditionalFormatting sqref="O9:O23">
    <cfRule type="expression" priority="99" aboveAverage="0" equalAverage="0" bottom="0" percent="0" rank="0" text="" dxfId="17">
      <formula>$N9="TEO"</formula>
    </cfRule>
    <cfRule type="expression" priority="100" aboveAverage="0" equalAverage="0" bottom="0" percent="0" rank="0" text="" dxfId="18">
      <formula>$N9="TEOx"</formula>
    </cfRule>
    <cfRule type="expression" priority="101" aboveAverage="0" equalAverage="0" bottom="0" percent="0" rank="0" text="" dxfId="19">
      <formula>$N9="REV"</formula>
    </cfRule>
    <cfRule type="expression" priority="102" aboveAverage="0" equalAverage="0" bottom="0" percent="0" rank="0" text="" dxfId="20">
      <formula>$N9="REVx"</formula>
    </cfRule>
    <cfRule type="expression" priority="103" aboveAverage="0" equalAverage="0" bottom="0" percent="0" rank="0" text="" dxfId="21">
      <formula>$N9="PRA"</formula>
    </cfRule>
    <cfRule type="expression" priority="104" aboveAverage="0" equalAverage="0" bottom="0" percent="0" rank="0" text="" dxfId="22">
      <formula>$N9="PRAx"</formula>
    </cfRule>
    <cfRule type="expression" priority="105" aboveAverage="0" equalAverage="0" bottom="0" percent="0" rank="0" text="" dxfId="23">
      <formula>$N9="SIM"</formula>
    </cfRule>
    <cfRule type="expression" priority="106" aboveAverage="0" equalAverage="0" bottom="0" percent="0" rank="0" text="" dxfId="24">
      <formula>$N9="SIMx"</formula>
    </cfRule>
    <cfRule type="expression" priority="107" aboveAverage="0" equalAverage="0" bottom="0" percent="0" rank="0" text="" dxfId="25">
      <formula>$N9="OUT"</formula>
    </cfRule>
    <cfRule type="expression" priority="108" aboveAverage="0" equalAverage="0" bottom="0" percent="0" rank="0" text="" dxfId="26">
      <formula>$N9="OUTx"</formula>
    </cfRule>
  </conditionalFormatting>
  <conditionalFormatting sqref="N9:N23">
    <cfRule type="expression" priority="109" aboveAverage="0" equalAverage="0" bottom="0" percent="0" rank="0" text="" dxfId="27">
      <formula>LEFT($N9,3)="TEO"</formula>
    </cfRule>
    <cfRule type="expression" priority="110" aboveAverage="0" equalAverage="0" bottom="0" percent="0" rank="0" text="" dxfId="28">
      <formula>LEFT($N9,3)="REV"</formula>
    </cfRule>
    <cfRule type="expression" priority="111" aboveAverage="0" equalAverage="0" bottom="0" percent="0" rank="0" text="" dxfId="29">
      <formula>LEFT($N9,3)="PRA"</formula>
    </cfRule>
    <cfRule type="expression" priority="112" aboveAverage="0" equalAverage="0" bottom="0" percent="0" rank="0" text="" dxfId="30">
      <formula>LEFT($N9,3)="SIM"</formula>
    </cfRule>
    <cfRule type="expression" priority="113" aboveAverage="0" equalAverage="0" bottom="0" percent="0" rank="0" text="" dxfId="31">
      <formula>LEFT($N9,3)="OUT"</formula>
    </cfRule>
  </conditionalFormatting>
  <conditionalFormatting sqref="B7:C24">
    <cfRule type="expression" priority="114" aboveAverage="0" equalAverage="0" bottom="0" percent="0" rank="0" text="" dxfId="32">
      <formula>($R$2+0)=TODAY()</formula>
    </cfRule>
  </conditionalFormatting>
  <conditionalFormatting sqref="D7:E24">
    <cfRule type="expression" priority="115" aboveAverage="0" equalAverage="0" bottom="0" percent="0" rank="0" text="" dxfId="32">
      <formula>($R$2+1)=TODAY()</formula>
    </cfRule>
  </conditionalFormatting>
  <conditionalFormatting sqref="F7:G24">
    <cfRule type="expression" priority="116" aboveAverage="0" equalAverage="0" bottom="0" percent="0" rank="0" text="" dxfId="32">
      <formula>($R$2+2)=TODAY()</formula>
    </cfRule>
  </conditionalFormatting>
  <conditionalFormatting sqref="H7:I24">
    <cfRule type="expression" priority="117" aboveAverage="0" equalAverage="0" bottom="0" percent="0" rank="0" text="" dxfId="32">
      <formula>($R$2+3)=TODAY()</formula>
    </cfRule>
  </conditionalFormatting>
  <conditionalFormatting sqref="J7:K24">
    <cfRule type="expression" priority="118" aboveAverage="0" equalAverage="0" bottom="0" percent="0" rank="0" text="" dxfId="32">
      <formula>($R$2+4)=TODAY()</formula>
    </cfRule>
  </conditionalFormatting>
  <conditionalFormatting sqref="L7:M24">
    <cfRule type="expression" priority="119" aboveAverage="0" equalAverage="0" bottom="0" percent="0" rank="0" text="" dxfId="32">
      <formula>($R$2+5)=TODAY()</formula>
    </cfRule>
  </conditionalFormatting>
  <conditionalFormatting sqref="N7:O24">
    <cfRule type="expression" priority="120" aboveAverage="0" equalAverage="0" bottom="0" percent="0" rank="0" text="" dxfId="32">
      <formula>($R$2+6)=TODAY()</formula>
    </cfRule>
  </conditionalFormatting>
  <hyperlinks>
    <hyperlink ref="F1" location="'Calendário'!A1" display="Mês"/>
    <hyperlink ref="H1" location="'Semana'!A1" display="Semana"/>
    <hyperlink ref="J1" location="'Tabela'!A1" display="Tabela"/>
    <hyperlink ref="L1" location="'Painel'!A1" display="Painel"/>
    <hyperlink ref="N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534E"/>
    <pageSetUpPr fitToPage="true"/>
  </sheetPr>
  <dimension ref="A1:K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true" outlineLevel="0" max="10" min="10" style="0" width="12"/>
    <col collapsed="false" customWidth="true" hidden="true" outlineLevel="0" max="11" min="11" style="0" width="8"/>
  </cols>
  <sheetData>
    <row r="1" customFormat="false" ht="15" hidden="false" customHeight="false" outlineLevel="0" collapsed="false">
      <c r="D1" s="64" t="s">
        <v>124</v>
      </c>
      <c r="E1" s="64" t="s">
        <v>45</v>
      </c>
      <c r="G1" s="65" t="s">
        <v>47</v>
      </c>
      <c r="H1" s="64" t="s">
        <v>49</v>
      </c>
      <c r="I1" s="66" t="s">
        <v>125</v>
      </c>
    </row>
    <row r="2" customFormat="false" ht="22.05" hidden="false" customHeight="false" outlineLevel="0" collapsed="false">
      <c r="A2" s="15" t="s">
        <v>154</v>
      </c>
    </row>
    <row r="3" customFormat="false" ht="15" hidden="false" customHeight="false" outlineLevel="0" collapsed="false">
      <c r="A3" s="16" t="s">
        <v>155</v>
      </c>
    </row>
    <row r="5" customFormat="false" ht="21.75" hidden="false" customHeight="true" outlineLevel="0" collapsed="false">
      <c r="A5" s="18" t="s">
        <v>156</v>
      </c>
      <c r="B5" s="18" t="s">
        <v>76</v>
      </c>
      <c r="C5" s="18" t="s">
        <v>157</v>
      </c>
      <c r="D5" s="18" t="s">
        <v>158</v>
      </c>
      <c r="E5" s="18" t="s">
        <v>159</v>
      </c>
      <c r="F5" s="18" t="s">
        <v>160</v>
      </c>
      <c r="G5" s="18" t="s">
        <v>117</v>
      </c>
      <c r="H5" s="18" t="s">
        <v>74</v>
      </c>
      <c r="I5" s="18" t="s">
        <v>161</v>
      </c>
      <c r="J5" s="18" t="s">
        <v>162</v>
      </c>
      <c r="K5" s="18" t="s">
        <v>163</v>
      </c>
    </row>
    <row r="6" customFormat="false" ht="15" hidden="false" customHeight="false" outlineLevel="0" collapsed="false">
      <c r="A6" s="67" t="n">
        <f aca="false">IF($K6="","",ROW()-5)</f>
        <v>1</v>
      </c>
      <c r="B6" s="68" t="n">
        <f aca="false">IF($K6="","",INDEX(Base!$E$5:$E$2004,$K6))</f>
        <v>46292</v>
      </c>
      <c r="C6" s="69" t="n">
        <f aca="false">IF($K6="","",B6)</f>
        <v>46292</v>
      </c>
      <c r="D6" s="70" t="str">
        <f aca="false">IF($K6="","",INDEX(Base!$F$5:$F$2004,$K6))</f>
        <v>Cardiopediatria</v>
      </c>
      <c r="E6" s="70" t="str">
        <f aca="false">IF($K6="","",INDEX(Base!$G$5:$G$2004,$K6))</f>
        <v>Aula teórica</v>
      </c>
      <c r="F6" s="71" t="str">
        <f aca="false">IF($K6="","",INDEX(Base!$H$5:$H$2004,$K6))</f>
        <v>T</v>
      </c>
      <c r="G6" s="71" t="str">
        <f aca="false">IF($K6="","",INDEX(Base!$I$5:$I$2004,$K6))</f>
        <v>Teórica</v>
      </c>
      <c r="H6" s="70" t="str">
        <f aca="false">IF($K6="","",INDEX(Base!$J$5:$J$2004,$K6))</f>
        <v>Pediatria</v>
      </c>
      <c r="I6" s="71" t="str">
        <f aca="false">IF($K6="","",INDEX(Base!$L$5:$L$2004,$K6))</f>
        <v>Concluído</v>
      </c>
      <c r="J6" s="72" t="n">
        <f aca="false">IFERROR(SMALL(Base!$P$5:$P$2004,ROW()-5),"")</f>
        <v>4629201</v>
      </c>
      <c r="K6" s="72" t="n">
        <f aca="false">IF(J6="","",MATCH(J6,Base!$P$5:$P$2004,0))</f>
        <v>1</v>
      </c>
    </row>
    <row r="7" customFormat="false" ht="15" hidden="false" customHeight="false" outlineLevel="0" collapsed="false">
      <c r="A7" s="67" t="n">
        <f aca="false">IF($K7="","",ROW()-5)</f>
        <v>2</v>
      </c>
      <c r="B7" s="68" t="n">
        <f aca="false">IF($K7="","",INDEX(Base!$E$5:$E$2004,$K7))</f>
        <v>46292</v>
      </c>
      <c r="C7" s="69" t="n">
        <f aca="false">IF($K7="","",B7)</f>
        <v>46292</v>
      </c>
      <c r="D7" s="70" t="str">
        <f aca="false">IF($K7="","",INDEX(Base!$F$5:$F$2004,$K7))</f>
        <v>Nefrologia Pediátrica / ITU</v>
      </c>
      <c r="E7" s="70" t="str">
        <f aca="false">IF($K7="","",INDEX(Base!$G$5:$G$2004,$K7))</f>
        <v>Aula teórica</v>
      </c>
      <c r="F7" s="71" t="str">
        <f aca="false">IF($K7="","",INDEX(Base!$H$5:$H$2004,$K7))</f>
        <v>T</v>
      </c>
      <c r="G7" s="71" t="str">
        <f aca="false">IF($K7="","",INDEX(Base!$I$5:$I$2004,$K7))</f>
        <v>Teórica</v>
      </c>
      <c r="H7" s="70" t="str">
        <f aca="false">IF($K7="","",INDEX(Base!$J$5:$J$2004,$K7))</f>
        <v>Pediatria</v>
      </c>
      <c r="I7" s="71" t="str">
        <f aca="false">IF($K7="","",INDEX(Base!$L$5:$L$2004,$K7))</f>
        <v>Concluído</v>
      </c>
      <c r="J7" s="72" t="n">
        <f aca="false">IFERROR(SMALL(Base!$P$5:$P$2004,ROW()-5),"")</f>
        <v>4629202</v>
      </c>
      <c r="K7" s="72" t="n">
        <f aca="false">IF(J7="","",MATCH(J7,Base!$P$5:$P$2004,0))</f>
        <v>7</v>
      </c>
    </row>
    <row r="8" customFormat="false" ht="15" hidden="false" customHeight="false" outlineLevel="0" collapsed="false">
      <c r="A8" s="67" t="n">
        <f aca="false">IF($K8="","",ROW()-5)</f>
        <v>3</v>
      </c>
      <c r="B8" s="68" t="n">
        <f aca="false">IF($K8="","",INDEX(Base!$E$5:$E$2004,$K8))</f>
        <v>46292</v>
      </c>
      <c r="C8" s="69" t="n">
        <f aca="false">IF($K8="","",B8)</f>
        <v>46292</v>
      </c>
      <c r="D8" s="70" t="str">
        <f aca="false">IF($K8="","",INDEX(Base!$F$5:$F$2004,$K8))</f>
        <v>Asma e DPOC</v>
      </c>
      <c r="E8" s="70" t="str">
        <f aca="false">IF($K8="","",INDEX(Base!$G$5:$G$2004,$K8))</f>
        <v>Aula teórica</v>
      </c>
      <c r="F8" s="71" t="str">
        <f aca="false">IF($K8="","",INDEX(Base!$H$5:$H$2004,$K8))</f>
        <v>T</v>
      </c>
      <c r="G8" s="71" t="str">
        <f aca="false">IF($K8="","",INDEX(Base!$I$5:$I$2004,$K8))</f>
        <v>Teórica</v>
      </c>
      <c r="H8" s="70" t="str">
        <f aca="false">IF($K8="","",INDEX(Base!$J$5:$J$2004,$K8))</f>
        <v>Clínica Médica</v>
      </c>
      <c r="I8" s="71" t="str">
        <f aca="false">IF($K8="","",INDEX(Base!$L$5:$L$2004,$K8))</f>
        <v>Concluído</v>
      </c>
      <c r="J8" s="72" t="n">
        <f aca="false">IFERROR(SMALL(Base!$P$5:$P$2004,ROW()-5),"")</f>
        <v>4629203</v>
      </c>
      <c r="K8" s="72" t="n">
        <f aca="false">IF(J8="","",MATCH(J8,Base!$P$5:$P$2004,0))</f>
        <v>13</v>
      </c>
    </row>
    <row r="9" customFormat="false" ht="15" hidden="false" customHeight="false" outlineLevel="0" collapsed="false">
      <c r="A9" s="67" t="n">
        <f aca="false">IF($K9="","",ROW()-5)</f>
        <v>4</v>
      </c>
      <c r="B9" s="68" t="n">
        <f aca="false">IF($K9="","",INDEX(Base!$E$5:$E$2004,$K9))</f>
        <v>46293</v>
      </c>
      <c r="C9" s="69" t="n">
        <f aca="false">IF($K9="","",B9)</f>
        <v>46293</v>
      </c>
      <c r="D9" s="70" t="str">
        <f aca="false">IF($K9="","",INDEX(Base!$F$5:$F$2004,$K9))</f>
        <v>Cardiopediatria</v>
      </c>
      <c r="E9" s="70" t="str">
        <f aca="false">IF($K9="","",INDEX(Base!$G$5:$G$2004,$K9))</f>
        <v>1ª Revisão</v>
      </c>
      <c r="F9" s="71" t="str">
        <f aca="false">IF($K9="","",INDEX(Base!$H$5:$H$2004,$K9))</f>
        <v>R1</v>
      </c>
      <c r="G9" s="71" t="str">
        <f aca="false">IF($K9="","",INDEX(Base!$I$5:$I$2004,$K9))</f>
        <v>Revisão</v>
      </c>
      <c r="H9" s="70" t="str">
        <f aca="false">IF($K9="","",INDEX(Base!$J$5:$J$2004,$K9))</f>
        <v>Pediatria</v>
      </c>
      <c r="I9" s="71" t="str">
        <f aca="false">IF($K9="","",INDEX(Base!$L$5:$L$2004,$K9))</f>
        <v>Concluído</v>
      </c>
      <c r="J9" s="72" t="n">
        <f aca="false">IFERROR(SMALL(Base!$P$5:$P$2004,ROW()-5),"")</f>
        <v>4629301</v>
      </c>
      <c r="K9" s="72" t="n">
        <f aca="false">IF(J9="","",MATCH(J9,Base!$P$5:$P$2004,0))</f>
        <v>2</v>
      </c>
    </row>
    <row r="10" customFormat="false" ht="15" hidden="false" customHeight="false" outlineLevel="0" collapsed="false">
      <c r="A10" s="67" t="n">
        <f aca="false">IF($K10="","",ROW()-5)</f>
        <v>5</v>
      </c>
      <c r="B10" s="68" t="n">
        <f aca="false">IF($K10="","",INDEX(Base!$E$5:$E$2004,$K10))</f>
        <v>46293</v>
      </c>
      <c r="C10" s="69" t="n">
        <f aca="false">IF($K10="","",B10)</f>
        <v>46293</v>
      </c>
      <c r="D10" s="70" t="str">
        <f aca="false">IF($K10="","",INDEX(Base!$F$5:$F$2004,$K10))</f>
        <v>Nefrologia Pediátrica / ITU</v>
      </c>
      <c r="E10" s="70" t="str">
        <f aca="false">IF($K10="","",INDEX(Base!$G$5:$G$2004,$K10))</f>
        <v>1ª Revisão</v>
      </c>
      <c r="F10" s="71" t="str">
        <f aca="false">IF($K10="","",INDEX(Base!$H$5:$H$2004,$K10))</f>
        <v>R1</v>
      </c>
      <c r="G10" s="71" t="str">
        <f aca="false">IF($K10="","",INDEX(Base!$I$5:$I$2004,$K10))</f>
        <v>Revisão</v>
      </c>
      <c r="H10" s="70" t="str">
        <f aca="false">IF($K10="","",INDEX(Base!$J$5:$J$2004,$K10))</f>
        <v>Pediatria</v>
      </c>
      <c r="I10" s="71" t="str">
        <f aca="false">IF($K10="","",INDEX(Base!$L$5:$L$2004,$K10))</f>
        <v>Concluído</v>
      </c>
      <c r="J10" s="72" t="n">
        <f aca="false">IFERROR(SMALL(Base!$P$5:$P$2004,ROW()-5),"")</f>
        <v>4629302</v>
      </c>
      <c r="K10" s="72" t="n">
        <f aca="false">IF(J10="","",MATCH(J10,Base!$P$5:$P$2004,0))</f>
        <v>8</v>
      </c>
    </row>
    <row r="11" customFormat="false" ht="15" hidden="false" customHeight="false" outlineLevel="0" collapsed="false">
      <c r="A11" s="67" t="n">
        <f aca="false">IF($K11="","",ROW()-5)</f>
        <v>6</v>
      </c>
      <c r="B11" s="68" t="n">
        <f aca="false">IF($K11="","",INDEX(Base!$E$5:$E$2004,$K11))</f>
        <v>46293</v>
      </c>
      <c r="C11" s="69" t="n">
        <f aca="false">IF($K11="","",B11)</f>
        <v>46293</v>
      </c>
      <c r="D11" s="70" t="str">
        <f aca="false">IF($K11="","",INDEX(Base!$F$5:$F$2004,$K11))</f>
        <v>Asma e DPOC</v>
      </c>
      <c r="E11" s="70" t="str">
        <f aca="false">IF($K11="","",INDEX(Base!$G$5:$G$2004,$K11))</f>
        <v>1ª Revisão</v>
      </c>
      <c r="F11" s="71" t="str">
        <f aca="false">IF($K11="","",INDEX(Base!$H$5:$H$2004,$K11))</f>
        <v>R1</v>
      </c>
      <c r="G11" s="71" t="str">
        <f aca="false">IF($K11="","",INDEX(Base!$I$5:$I$2004,$K11))</f>
        <v>Revisão</v>
      </c>
      <c r="H11" s="70" t="str">
        <f aca="false">IF($K11="","",INDEX(Base!$J$5:$J$2004,$K11))</f>
        <v>Clínica Médica</v>
      </c>
      <c r="I11" s="71" t="str">
        <f aca="false">IF($K11="","",INDEX(Base!$L$5:$L$2004,$K11))</f>
        <v>Concluído</v>
      </c>
      <c r="J11" s="72" t="n">
        <f aca="false">IFERROR(SMALL(Base!$P$5:$P$2004,ROW()-5),"")</f>
        <v>4629303</v>
      </c>
      <c r="K11" s="72" t="n">
        <f aca="false">IF(J11="","",MATCH(J11,Base!$P$5:$P$2004,0))</f>
        <v>14</v>
      </c>
    </row>
    <row r="12" customFormat="false" ht="15" hidden="false" customHeight="false" outlineLevel="0" collapsed="false">
      <c r="A12" s="67" t="n">
        <f aca="false">IF($K12="","",ROW()-5)</f>
        <v>7</v>
      </c>
      <c r="B12" s="68" t="n">
        <f aca="false">IF($K12="","",INDEX(Base!$E$5:$E$2004,$K12))</f>
        <v>46293</v>
      </c>
      <c r="C12" s="69" t="n">
        <f aca="false">IF($K12="","",B12)</f>
        <v>46293</v>
      </c>
      <c r="D12" s="70" t="str">
        <f aca="false">IF($K12="","",INDEX(Base!$F$5:$F$2004,$K12))</f>
        <v>Doenças da Tireoide</v>
      </c>
      <c r="E12" s="70" t="str">
        <f aca="false">IF($K12="","",INDEX(Base!$G$5:$G$2004,$K12))</f>
        <v>Aula teórica</v>
      </c>
      <c r="F12" s="71" t="str">
        <f aca="false">IF($K12="","",INDEX(Base!$H$5:$H$2004,$K12))</f>
        <v>T</v>
      </c>
      <c r="G12" s="71" t="str">
        <f aca="false">IF($K12="","",INDEX(Base!$I$5:$I$2004,$K12))</f>
        <v>Teórica</v>
      </c>
      <c r="H12" s="70" t="str">
        <f aca="false">IF($K12="","",INDEX(Base!$J$5:$J$2004,$K12))</f>
        <v>Clínica Médica</v>
      </c>
      <c r="I12" s="71" t="str">
        <f aca="false">IF($K12="","",INDEX(Base!$L$5:$L$2004,$K12))</f>
        <v>Concluído</v>
      </c>
      <c r="J12" s="72" t="n">
        <f aca="false">IFERROR(SMALL(Base!$P$5:$P$2004,ROW()-5),"")</f>
        <v>4629304</v>
      </c>
      <c r="K12" s="72" t="n">
        <f aca="false">IF(J12="","",MATCH(J12,Base!$P$5:$P$2004,0))</f>
        <v>19</v>
      </c>
    </row>
    <row r="13" customFormat="false" ht="15" hidden="false" customHeight="false" outlineLevel="0" collapsed="false">
      <c r="A13" s="67" t="n">
        <f aca="false">IF($K13="","",ROW()-5)</f>
        <v>8</v>
      </c>
      <c r="B13" s="68" t="n">
        <f aca="false">IF($K13="","",INDEX(Base!$E$5:$E$2004,$K13))</f>
        <v>46293</v>
      </c>
      <c r="C13" s="69" t="n">
        <f aca="false">IF($K13="","",B13)</f>
        <v>46293</v>
      </c>
      <c r="D13" s="70" t="str">
        <f aca="false">IF($K13="","",INDEX(Base!$F$5:$F$2004,$K13))</f>
        <v>Valvopatias</v>
      </c>
      <c r="E13" s="70" t="str">
        <f aca="false">IF($K13="","",INDEX(Base!$G$5:$G$2004,$K13))</f>
        <v>Aula teórica</v>
      </c>
      <c r="F13" s="71" t="str">
        <f aca="false">IF($K13="","",INDEX(Base!$H$5:$H$2004,$K13))</f>
        <v>T</v>
      </c>
      <c r="G13" s="71" t="str">
        <f aca="false">IF($K13="","",INDEX(Base!$I$5:$I$2004,$K13))</f>
        <v>Teórica</v>
      </c>
      <c r="H13" s="70" t="str">
        <f aca="false">IF($K13="","",INDEX(Base!$J$5:$J$2004,$K13))</f>
        <v>Clínica Médica</v>
      </c>
      <c r="I13" s="71" t="str">
        <f aca="false">IF($K13="","",INDEX(Base!$L$5:$L$2004,$K13))</f>
        <v>Atrasado</v>
      </c>
      <c r="J13" s="72" t="n">
        <f aca="false">IFERROR(SMALL(Base!$P$5:$P$2004,ROW()-5),"")</f>
        <v>4629305</v>
      </c>
      <c r="K13" s="72" t="n">
        <f aca="false">IF(J13="","",MATCH(J13,Base!$P$5:$P$2004,0))</f>
        <v>25</v>
      </c>
    </row>
    <row r="14" customFormat="false" ht="15" hidden="false" customHeight="false" outlineLevel="0" collapsed="false">
      <c r="A14" s="67" t="n">
        <f aca="false">IF($K14="","",ROW()-5)</f>
        <v>9</v>
      </c>
      <c r="B14" s="68" t="n">
        <f aca="false">IF($K14="","",INDEX(Base!$E$5:$E$2004,$K14))</f>
        <v>46293</v>
      </c>
      <c r="C14" s="69" t="n">
        <f aca="false">IF($K14="","",B14)</f>
        <v>46293</v>
      </c>
      <c r="D14" s="70" t="str">
        <f aca="false">IF($K14="","",INDEX(Base!$F$5:$F$2004,$K14))</f>
        <v>Demência e Parkinson</v>
      </c>
      <c r="E14" s="70" t="str">
        <f aca="false">IF($K14="","",INDEX(Base!$G$5:$G$2004,$K14))</f>
        <v>Aula teórica</v>
      </c>
      <c r="F14" s="71" t="str">
        <f aca="false">IF($K14="","",INDEX(Base!$H$5:$H$2004,$K14))</f>
        <v>T</v>
      </c>
      <c r="G14" s="71" t="str">
        <f aca="false">IF($K14="","",INDEX(Base!$I$5:$I$2004,$K14))</f>
        <v>Teórica</v>
      </c>
      <c r="H14" s="70" t="str">
        <f aca="false">IF($K14="","",INDEX(Base!$J$5:$J$2004,$K14))</f>
        <v>Clínica Médica</v>
      </c>
      <c r="I14" s="71" t="str">
        <f aca="false">IF($K14="","",INDEX(Base!$L$5:$L$2004,$K14))</f>
        <v>Atrasado</v>
      </c>
      <c r="J14" s="72" t="n">
        <f aca="false">IFERROR(SMALL(Base!$P$5:$P$2004,ROW()-5),"")</f>
        <v>4629306</v>
      </c>
      <c r="K14" s="72" t="n">
        <f aca="false">IF(J14="","",MATCH(J14,Base!$P$5:$P$2004,0))</f>
        <v>31</v>
      </c>
    </row>
    <row r="15" customFormat="false" ht="15" hidden="false" customHeight="false" outlineLevel="0" collapsed="false">
      <c r="A15" s="67" t="n">
        <f aca="false">IF($K15="","",ROW()-5)</f>
        <v>10</v>
      </c>
      <c r="B15" s="68" t="n">
        <f aca="false">IF($K15="","",INDEX(Base!$E$5:$E$2004,$K15))</f>
        <v>46294</v>
      </c>
      <c r="C15" s="69" t="n">
        <f aca="false">IF($K15="","",B15)</f>
        <v>46294</v>
      </c>
      <c r="D15" s="70" t="str">
        <f aca="false">IF($K15="","",INDEX(Base!$F$5:$F$2004,$K15))</f>
        <v>Doenças da Tireoide</v>
      </c>
      <c r="E15" s="70" t="str">
        <f aca="false">IF($K15="","",INDEX(Base!$G$5:$G$2004,$K15))</f>
        <v>1ª Revisão</v>
      </c>
      <c r="F15" s="71" t="str">
        <f aca="false">IF($K15="","",INDEX(Base!$H$5:$H$2004,$K15))</f>
        <v>R1</v>
      </c>
      <c r="G15" s="71" t="str">
        <f aca="false">IF($K15="","",INDEX(Base!$I$5:$I$2004,$K15))</f>
        <v>Revisão</v>
      </c>
      <c r="H15" s="70" t="str">
        <f aca="false">IF($K15="","",INDEX(Base!$J$5:$J$2004,$K15))</f>
        <v>Clínica Médica</v>
      </c>
      <c r="I15" s="71" t="str">
        <f aca="false">IF($K15="","",INDEX(Base!$L$5:$L$2004,$K15))</f>
        <v>Concluído</v>
      </c>
      <c r="J15" s="72" t="n">
        <f aca="false">IFERROR(SMALL(Base!$P$5:$P$2004,ROW()-5),"")</f>
        <v>4629401</v>
      </c>
      <c r="K15" s="72" t="n">
        <f aca="false">IF(J15="","",MATCH(J15,Base!$P$5:$P$2004,0))</f>
        <v>20</v>
      </c>
    </row>
    <row r="16" customFormat="false" ht="15" hidden="false" customHeight="false" outlineLevel="0" collapsed="false">
      <c r="A16" s="67" t="n">
        <f aca="false">IF($K16="","",ROW()-5)</f>
        <v>11</v>
      </c>
      <c r="B16" s="68" t="n">
        <f aca="false">IF($K16="","",INDEX(Base!$E$5:$E$2004,$K16))</f>
        <v>46294</v>
      </c>
      <c r="C16" s="69" t="n">
        <f aca="false">IF($K16="","",B16)</f>
        <v>46294</v>
      </c>
      <c r="D16" s="70" t="str">
        <f aca="false">IF($K16="","",INDEX(Base!$F$5:$F$2004,$K16))</f>
        <v>Valvopatias</v>
      </c>
      <c r="E16" s="70" t="str">
        <f aca="false">IF($K16="","",INDEX(Base!$G$5:$G$2004,$K16))</f>
        <v>1ª Revisão</v>
      </c>
      <c r="F16" s="71" t="str">
        <f aca="false">IF($K16="","",INDEX(Base!$H$5:$H$2004,$K16))</f>
        <v>R1</v>
      </c>
      <c r="G16" s="71" t="str">
        <f aca="false">IF($K16="","",INDEX(Base!$I$5:$I$2004,$K16))</f>
        <v>Revisão</v>
      </c>
      <c r="H16" s="70" t="str">
        <f aca="false">IF($K16="","",INDEX(Base!$J$5:$J$2004,$K16))</f>
        <v>Clínica Médica</v>
      </c>
      <c r="I16" s="71" t="str">
        <f aca="false">IF($K16="","",INDEX(Base!$L$5:$L$2004,$K16))</f>
        <v>Atrasado</v>
      </c>
      <c r="J16" s="72" t="n">
        <f aca="false">IFERROR(SMALL(Base!$P$5:$P$2004,ROW()-5),"")</f>
        <v>4629402</v>
      </c>
      <c r="K16" s="72" t="n">
        <f aca="false">IF(J16="","",MATCH(J16,Base!$P$5:$P$2004,0))</f>
        <v>26</v>
      </c>
    </row>
    <row r="17" customFormat="false" ht="15" hidden="false" customHeight="false" outlineLevel="0" collapsed="false">
      <c r="A17" s="67" t="n">
        <f aca="false">IF($K17="","",ROW()-5)</f>
        <v>12</v>
      </c>
      <c r="B17" s="68" t="n">
        <f aca="false">IF($K17="","",INDEX(Base!$E$5:$E$2004,$K17))</f>
        <v>46294</v>
      </c>
      <c r="C17" s="69" t="n">
        <f aca="false">IF($K17="","",B17)</f>
        <v>46294</v>
      </c>
      <c r="D17" s="70" t="str">
        <f aca="false">IF($K17="","",INDEX(Base!$F$5:$F$2004,$K17))</f>
        <v>Demência e Parkinson</v>
      </c>
      <c r="E17" s="70" t="str">
        <f aca="false">IF($K17="","",INDEX(Base!$G$5:$G$2004,$K17))</f>
        <v>1ª Revisão</v>
      </c>
      <c r="F17" s="71" t="str">
        <f aca="false">IF($K17="","",INDEX(Base!$H$5:$H$2004,$K17))</f>
        <v>R1</v>
      </c>
      <c r="G17" s="71" t="str">
        <f aca="false">IF($K17="","",INDEX(Base!$I$5:$I$2004,$K17))</f>
        <v>Revisão</v>
      </c>
      <c r="H17" s="70" t="str">
        <f aca="false">IF($K17="","",INDEX(Base!$J$5:$J$2004,$K17))</f>
        <v>Clínica Médica</v>
      </c>
      <c r="I17" s="71" t="str">
        <f aca="false">IF($K17="","",INDEX(Base!$L$5:$L$2004,$K17))</f>
        <v>Atrasado</v>
      </c>
      <c r="J17" s="72" t="n">
        <f aca="false">IFERROR(SMALL(Base!$P$5:$P$2004,ROW()-5),"")</f>
        <v>4629403</v>
      </c>
      <c r="K17" s="72" t="n">
        <f aca="false">IF(J17="","",MATCH(J17,Base!$P$5:$P$2004,0))</f>
        <v>32</v>
      </c>
    </row>
    <row r="18" customFormat="false" ht="15" hidden="false" customHeight="false" outlineLevel="0" collapsed="false">
      <c r="A18" s="67" t="n">
        <f aca="false">IF($K18="","",ROW()-5)</f>
        <v>13</v>
      </c>
      <c r="B18" s="68" t="n">
        <f aca="false">IF($K18="","",INDEX(Base!$E$5:$E$2004,$K18))</f>
        <v>46297</v>
      </c>
      <c r="C18" s="69" t="n">
        <f aca="false">IF($K18="","",B18)</f>
        <v>46297</v>
      </c>
      <c r="D18" s="70" t="str">
        <f aca="false">IF($K18="","",INDEX(Base!$F$5:$F$2004,$K18))</f>
        <v>ATB</v>
      </c>
      <c r="E18" s="70" t="str">
        <f aca="false">IF($K18="","",INDEX(Base!$G$5:$G$2004,$K18))</f>
        <v>Aula teórica</v>
      </c>
      <c r="F18" s="71" t="str">
        <f aca="false">IF($K18="","",INDEX(Base!$H$5:$H$2004,$K18))</f>
        <v>T</v>
      </c>
      <c r="G18" s="71" t="str">
        <f aca="false">IF($K18="","",INDEX(Base!$I$5:$I$2004,$K18))</f>
        <v>Teórica</v>
      </c>
      <c r="H18" s="70" t="str">
        <f aca="false">IF($K18="","",INDEX(Base!$J$5:$J$2004,$K18))</f>
        <v>Clínica Médica</v>
      </c>
      <c r="I18" s="71" t="str">
        <f aca="false">IF($K18="","",INDEX(Base!$L$5:$L$2004,$K18))</f>
        <v>Concluído</v>
      </c>
      <c r="J18" s="72" t="n">
        <f aca="false">IFERROR(SMALL(Base!$P$5:$P$2004,ROW()-5),"")</f>
        <v>4629701</v>
      </c>
      <c r="K18" s="72" t="n">
        <f aca="false">IF(J18="","",MATCH(J18,Base!$P$5:$P$2004,0))</f>
        <v>37</v>
      </c>
    </row>
    <row r="19" customFormat="false" ht="15" hidden="false" customHeight="false" outlineLevel="0" collapsed="false">
      <c r="A19" s="67" t="n">
        <f aca="false">IF($K19="","",ROW()-5)</f>
        <v>14</v>
      </c>
      <c r="B19" s="68" t="n">
        <f aca="false">IF($K19="","",INDEX(Base!$E$5:$E$2004,$K19))</f>
        <v>46298</v>
      </c>
      <c r="C19" s="69" t="n">
        <f aca="false">IF($K19="","",B19)</f>
        <v>46298</v>
      </c>
      <c r="D19" s="70" t="str">
        <f aca="false">IF($K19="","",INDEX(Base!$F$5:$F$2004,$K19))</f>
        <v>ATB</v>
      </c>
      <c r="E19" s="70" t="str">
        <f aca="false">IF($K19="","",INDEX(Base!$G$5:$G$2004,$K19))</f>
        <v>1ª Revisão</v>
      </c>
      <c r="F19" s="71" t="str">
        <f aca="false">IF($K19="","",INDEX(Base!$H$5:$H$2004,$K19))</f>
        <v>R1</v>
      </c>
      <c r="G19" s="71" t="str">
        <f aca="false">IF($K19="","",INDEX(Base!$I$5:$I$2004,$K19))</f>
        <v>Revisão</v>
      </c>
      <c r="H19" s="70" t="str">
        <f aca="false">IF($K19="","",INDEX(Base!$J$5:$J$2004,$K19))</f>
        <v>Clínica Médica</v>
      </c>
      <c r="I19" s="71" t="str">
        <f aca="false">IF($K19="","",INDEX(Base!$L$5:$L$2004,$K19))</f>
        <v>Atrasado</v>
      </c>
      <c r="J19" s="72" t="n">
        <f aca="false">IFERROR(SMALL(Base!$P$5:$P$2004,ROW()-5),"")</f>
        <v>4629801</v>
      </c>
      <c r="K19" s="72" t="n">
        <f aca="false">IF(J19="","",MATCH(J19,Base!$P$5:$P$2004,0))</f>
        <v>38</v>
      </c>
    </row>
    <row r="20" customFormat="false" ht="15" hidden="false" customHeight="false" outlineLevel="0" collapsed="false">
      <c r="A20" s="67" t="n">
        <f aca="false">IF($K20="","",ROW()-5)</f>
        <v>15</v>
      </c>
      <c r="B20" s="68" t="n">
        <f aca="false">IF($K20="","",INDEX(Base!$E$5:$E$2004,$K20))</f>
        <v>46299</v>
      </c>
      <c r="C20" s="69" t="n">
        <f aca="false">IF($K20="","",B20)</f>
        <v>46299</v>
      </c>
      <c r="D20" s="70" t="str">
        <f aca="false">IF($K20="","",INDEX(Base!$F$5:$F$2004,$K20))</f>
        <v>Cardiopediatria</v>
      </c>
      <c r="E20" s="70" t="str">
        <f aca="false">IF($K20="","",INDEX(Base!$G$5:$G$2004,$K20))</f>
        <v>2ª Revisão</v>
      </c>
      <c r="F20" s="71" t="str">
        <f aca="false">IF($K20="","",INDEX(Base!$H$5:$H$2004,$K20))</f>
        <v>R2</v>
      </c>
      <c r="G20" s="71" t="str">
        <f aca="false">IF($K20="","",INDEX(Base!$I$5:$I$2004,$K20))</f>
        <v>Prática</v>
      </c>
      <c r="H20" s="70" t="str">
        <f aca="false">IF($K20="","",INDEX(Base!$J$5:$J$2004,$K20))</f>
        <v>Pediatria</v>
      </c>
      <c r="I20" s="71" t="str">
        <f aca="false">IF($K20="","",INDEX(Base!$L$5:$L$2004,$K20))</f>
        <v>Atrasado</v>
      </c>
      <c r="J20" s="72" t="n">
        <f aca="false">IFERROR(SMALL(Base!$P$5:$P$2004,ROW()-5),"")</f>
        <v>4629901</v>
      </c>
      <c r="K20" s="72" t="n">
        <f aca="false">IF(J20="","",MATCH(J20,Base!$P$5:$P$2004,0))</f>
        <v>3</v>
      </c>
    </row>
    <row r="21" customFormat="false" ht="15" hidden="false" customHeight="false" outlineLevel="0" collapsed="false">
      <c r="A21" s="67" t="n">
        <f aca="false">IF($K21="","",ROW()-5)</f>
        <v>16</v>
      </c>
      <c r="B21" s="68" t="n">
        <f aca="false">IF($K21="","",INDEX(Base!$E$5:$E$2004,$K21))</f>
        <v>46299</v>
      </c>
      <c r="C21" s="69" t="n">
        <f aca="false">IF($K21="","",B21)</f>
        <v>46299</v>
      </c>
      <c r="D21" s="70" t="str">
        <f aca="false">IF($K21="","",INDEX(Base!$F$5:$F$2004,$K21))</f>
        <v>Nefrologia Pediátrica / ITU</v>
      </c>
      <c r="E21" s="70" t="str">
        <f aca="false">IF($K21="","",INDEX(Base!$G$5:$G$2004,$K21))</f>
        <v>2ª Revisão</v>
      </c>
      <c r="F21" s="71" t="str">
        <f aca="false">IF($K21="","",INDEX(Base!$H$5:$H$2004,$K21))</f>
        <v>R2</v>
      </c>
      <c r="G21" s="71" t="str">
        <f aca="false">IF($K21="","",INDEX(Base!$I$5:$I$2004,$K21))</f>
        <v>Prática</v>
      </c>
      <c r="H21" s="70" t="str">
        <f aca="false">IF($K21="","",INDEX(Base!$J$5:$J$2004,$K21))</f>
        <v>Pediatria</v>
      </c>
      <c r="I21" s="71" t="str">
        <f aca="false">IF($K21="","",INDEX(Base!$L$5:$L$2004,$K21))</f>
        <v>Atrasado</v>
      </c>
      <c r="J21" s="72" t="n">
        <f aca="false">IFERROR(SMALL(Base!$P$5:$P$2004,ROW()-5),"")</f>
        <v>4629902</v>
      </c>
      <c r="K21" s="72" t="n">
        <f aca="false">IF(J21="","",MATCH(J21,Base!$P$5:$P$2004,0))</f>
        <v>9</v>
      </c>
    </row>
    <row r="22" customFormat="false" ht="15" hidden="false" customHeight="false" outlineLevel="0" collapsed="false">
      <c r="A22" s="67" t="n">
        <f aca="false">IF($K22="","",ROW()-5)</f>
        <v>17</v>
      </c>
      <c r="B22" s="68" t="n">
        <f aca="false">IF($K22="","",INDEX(Base!$E$5:$E$2004,$K22))</f>
        <v>46299</v>
      </c>
      <c r="C22" s="69" t="n">
        <f aca="false">IF($K22="","",B22)</f>
        <v>46299</v>
      </c>
      <c r="D22" s="70" t="str">
        <f aca="false">IF($K22="","",INDEX(Base!$F$5:$F$2004,$K22))</f>
        <v>Asma e DPOC</v>
      </c>
      <c r="E22" s="70" t="str">
        <f aca="false">IF($K22="","",INDEX(Base!$G$5:$G$2004,$K22))</f>
        <v>2ª Revisão</v>
      </c>
      <c r="F22" s="71" t="str">
        <f aca="false">IF($K22="","",INDEX(Base!$H$5:$H$2004,$K22))</f>
        <v>R2</v>
      </c>
      <c r="G22" s="71" t="str">
        <f aca="false">IF($K22="","",INDEX(Base!$I$5:$I$2004,$K22))</f>
        <v>Prática</v>
      </c>
      <c r="H22" s="70" t="str">
        <f aca="false">IF($K22="","",INDEX(Base!$J$5:$J$2004,$K22))</f>
        <v>Clínica Médica</v>
      </c>
      <c r="I22" s="71" t="str">
        <f aca="false">IF($K22="","",INDEX(Base!$L$5:$L$2004,$K22))</f>
        <v>Atrasado</v>
      </c>
      <c r="J22" s="72" t="n">
        <f aca="false">IFERROR(SMALL(Base!$P$5:$P$2004,ROW()-5),"")</f>
        <v>4629903</v>
      </c>
      <c r="K22" s="72" t="n">
        <f aca="false">IF(J22="","",MATCH(J22,Base!$P$5:$P$2004,0))</f>
        <v>15</v>
      </c>
    </row>
    <row r="23" customFormat="false" ht="15" hidden="false" customHeight="false" outlineLevel="0" collapsed="false">
      <c r="A23" s="67" t="n">
        <f aca="false">IF($K23="","",ROW()-5)</f>
        <v>18</v>
      </c>
      <c r="B23" s="68" t="n">
        <f aca="false">IF($K23="","",INDEX(Base!$E$5:$E$2004,$K23))</f>
        <v>46300</v>
      </c>
      <c r="C23" s="69" t="n">
        <f aca="false">IF($K23="","",B23)</f>
        <v>46300</v>
      </c>
      <c r="D23" s="70" t="str">
        <f aca="false">IF($K23="","",INDEX(Base!$F$5:$F$2004,$K23))</f>
        <v>Doenças da Tireoide</v>
      </c>
      <c r="E23" s="70" t="str">
        <f aca="false">IF($K23="","",INDEX(Base!$G$5:$G$2004,$K23))</f>
        <v>2ª Revisão</v>
      </c>
      <c r="F23" s="71" t="str">
        <f aca="false">IF($K23="","",INDEX(Base!$H$5:$H$2004,$K23))</f>
        <v>R2</v>
      </c>
      <c r="G23" s="71" t="str">
        <f aca="false">IF($K23="","",INDEX(Base!$I$5:$I$2004,$K23))</f>
        <v>Prática</v>
      </c>
      <c r="H23" s="70" t="str">
        <f aca="false">IF($K23="","",INDEX(Base!$J$5:$J$2004,$K23))</f>
        <v>Clínica Médica</v>
      </c>
      <c r="I23" s="71" t="str">
        <f aca="false">IF($K23="","",INDEX(Base!$L$5:$L$2004,$K23))</f>
        <v>Atrasado</v>
      </c>
      <c r="J23" s="72" t="n">
        <f aca="false">IFERROR(SMALL(Base!$P$5:$P$2004,ROW()-5),"")</f>
        <v>4630001</v>
      </c>
      <c r="K23" s="72" t="n">
        <f aca="false">IF(J23="","",MATCH(J23,Base!$P$5:$P$2004,0))</f>
        <v>21</v>
      </c>
    </row>
    <row r="24" customFormat="false" ht="15" hidden="false" customHeight="false" outlineLevel="0" collapsed="false">
      <c r="A24" s="67" t="n">
        <f aca="false">IF($K24="","",ROW()-5)</f>
        <v>19</v>
      </c>
      <c r="B24" s="68" t="n">
        <f aca="false">IF($K24="","",INDEX(Base!$E$5:$E$2004,$K24))</f>
        <v>46300</v>
      </c>
      <c r="C24" s="69" t="n">
        <f aca="false">IF($K24="","",B24)</f>
        <v>46300</v>
      </c>
      <c r="D24" s="70" t="str">
        <f aca="false">IF($K24="","",INDEX(Base!$F$5:$F$2004,$K24))</f>
        <v>Valvopatias</v>
      </c>
      <c r="E24" s="70" t="str">
        <f aca="false">IF($K24="","",INDEX(Base!$G$5:$G$2004,$K24))</f>
        <v>2ª Revisão</v>
      </c>
      <c r="F24" s="71" t="str">
        <f aca="false">IF($K24="","",INDEX(Base!$H$5:$H$2004,$K24))</f>
        <v>R2</v>
      </c>
      <c r="G24" s="71" t="str">
        <f aca="false">IF($K24="","",INDEX(Base!$I$5:$I$2004,$K24))</f>
        <v>Prática</v>
      </c>
      <c r="H24" s="70" t="str">
        <f aca="false">IF($K24="","",INDEX(Base!$J$5:$J$2004,$K24))</f>
        <v>Clínica Médica</v>
      </c>
      <c r="I24" s="71" t="str">
        <f aca="false">IF($K24="","",INDEX(Base!$L$5:$L$2004,$K24))</f>
        <v>Atrasado</v>
      </c>
      <c r="J24" s="72" t="n">
        <f aca="false">IFERROR(SMALL(Base!$P$5:$P$2004,ROW()-5),"")</f>
        <v>4630002</v>
      </c>
      <c r="K24" s="72" t="n">
        <f aca="false">IF(J24="","",MATCH(J24,Base!$P$5:$P$2004,0))</f>
        <v>27</v>
      </c>
    </row>
    <row r="25" customFormat="false" ht="15" hidden="false" customHeight="false" outlineLevel="0" collapsed="false">
      <c r="A25" s="67" t="n">
        <f aca="false">IF($K25="","",ROW()-5)</f>
        <v>20</v>
      </c>
      <c r="B25" s="68" t="n">
        <f aca="false">IF($K25="","",INDEX(Base!$E$5:$E$2004,$K25))</f>
        <v>46300</v>
      </c>
      <c r="C25" s="69" t="n">
        <f aca="false">IF($K25="","",B25)</f>
        <v>46300</v>
      </c>
      <c r="D25" s="70" t="str">
        <f aca="false">IF($K25="","",INDEX(Base!$F$5:$F$2004,$K25))</f>
        <v>Demência e Parkinson</v>
      </c>
      <c r="E25" s="70" t="str">
        <f aca="false">IF($K25="","",INDEX(Base!$G$5:$G$2004,$K25))</f>
        <v>2ª Revisão</v>
      </c>
      <c r="F25" s="71" t="str">
        <f aca="false">IF($K25="","",INDEX(Base!$H$5:$H$2004,$K25))</f>
        <v>R2</v>
      </c>
      <c r="G25" s="71" t="str">
        <f aca="false">IF($K25="","",INDEX(Base!$I$5:$I$2004,$K25))</f>
        <v>Prática</v>
      </c>
      <c r="H25" s="70" t="str">
        <f aca="false">IF($K25="","",INDEX(Base!$J$5:$J$2004,$K25))</f>
        <v>Clínica Médica</v>
      </c>
      <c r="I25" s="71" t="str">
        <f aca="false">IF($K25="","",INDEX(Base!$L$5:$L$2004,$K25))</f>
        <v>Atrasado</v>
      </c>
      <c r="J25" s="72" t="n">
        <f aca="false">IFERROR(SMALL(Base!$P$5:$P$2004,ROW()-5),"")</f>
        <v>4630003</v>
      </c>
      <c r="K25" s="72" t="n">
        <f aca="false">IF(J25="","",MATCH(J25,Base!$P$5:$P$2004,0))</f>
        <v>33</v>
      </c>
    </row>
    <row r="26" customFormat="false" ht="15" hidden="false" customHeight="false" outlineLevel="0" collapsed="false">
      <c r="A26" s="67" t="n">
        <f aca="false">IF($K26="","",ROW()-5)</f>
        <v>21</v>
      </c>
      <c r="B26" s="68" t="n">
        <f aca="false">IF($K26="","",INDEX(Base!$E$5:$E$2004,$K26))</f>
        <v>46300</v>
      </c>
      <c r="C26" s="69" t="n">
        <f aca="false">IF($K26="","",B26)</f>
        <v>46300</v>
      </c>
      <c r="D26" s="70" t="str">
        <f aca="false">IF($K26="","",INDEX(Base!$F$5:$F$2004,$K26))</f>
        <v>Transtornos Psiquiátricos I</v>
      </c>
      <c r="E26" s="70" t="str">
        <f aca="false">IF($K26="","",INDEX(Base!$G$5:$G$2004,$K26))</f>
        <v>Aula teórica</v>
      </c>
      <c r="F26" s="71" t="str">
        <f aca="false">IF($K26="","",INDEX(Base!$H$5:$H$2004,$K26))</f>
        <v>T</v>
      </c>
      <c r="G26" s="71" t="str">
        <f aca="false">IF($K26="","",INDEX(Base!$I$5:$I$2004,$K26))</f>
        <v>Teórica</v>
      </c>
      <c r="H26" s="70" t="str">
        <f aca="false">IF($K26="","",INDEX(Base!$J$5:$J$2004,$K26))</f>
        <v>Clínica Médica</v>
      </c>
      <c r="I26" s="71" t="str">
        <f aca="false">IF($K26="","",INDEX(Base!$L$5:$L$2004,$K26))</f>
        <v>Atrasado</v>
      </c>
      <c r="J26" s="72" t="n">
        <f aca="false">IFERROR(SMALL(Base!$P$5:$P$2004,ROW()-5),"")</f>
        <v>4630004</v>
      </c>
      <c r="K26" s="72" t="n">
        <f aca="false">IF(J26="","",MATCH(J26,Base!$P$5:$P$2004,0))</f>
        <v>43</v>
      </c>
    </row>
    <row r="27" customFormat="false" ht="15" hidden="false" customHeight="false" outlineLevel="0" collapsed="false">
      <c r="A27" s="67" t="n">
        <f aca="false">IF($K27="","",ROW()-5)</f>
        <v>22</v>
      </c>
      <c r="B27" s="68" t="n">
        <f aca="false">IF($K27="","",INDEX(Base!$E$5:$E$2004,$K27))</f>
        <v>46301</v>
      </c>
      <c r="C27" s="69" t="n">
        <f aca="false">IF($K27="","",B27)</f>
        <v>46301</v>
      </c>
      <c r="D27" s="70" t="str">
        <f aca="false">IF($K27="","",INDEX(Base!$F$5:$F$2004,$K27))</f>
        <v>Transtornos Psiquiátricos I</v>
      </c>
      <c r="E27" s="70" t="str">
        <f aca="false">IF($K27="","",INDEX(Base!$G$5:$G$2004,$K27))</f>
        <v>1ª Revisão</v>
      </c>
      <c r="F27" s="71" t="str">
        <f aca="false">IF($K27="","",INDEX(Base!$H$5:$H$2004,$K27))</f>
        <v>R1</v>
      </c>
      <c r="G27" s="71" t="str">
        <f aca="false">IF($K27="","",INDEX(Base!$I$5:$I$2004,$K27))</f>
        <v>Revisão</v>
      </c>
      <c r="H27" s="70" t="str">
        <f aca="false">IF($K27="","",INDEX(Base!$J$5:$J$2004,$K27))</f>
        <v>Clínica Médica</v>
      </c>
      <c r="I27" s="71" t="str">
        <f aca="false">IF($K27="","",INDEX(Base!$L$5:$L$2004,$K27))</f>
        <v>Atrasado</v>
      </c>
      <c r="J27" s="72" t="n">
        <f aca="false">IFERROR(SMALL(Base!$P$5:$P$2004,ROW()-5),"")</f>
        <v>4630101</v>
      </c>
      <c r="K27" s="72" t="n">
        <f aca="false">IF(J27="","",MATCH(J27,Base!$P$5:$P$2004,0))</f>
        <v>44</v>
      </c>
    </row>
    <row r="28" customFormat="false" ht="15" hidden="false" customHeight="false" outlineLevel="0" collapsed="false">
      <c r="A28" s="67" t="n">
        <f aca="false">IF($K28="","",ROW()-5)</f>
        <v>23</v>
      </c>
      <c r="B28" s="68" t="n">
        <f aca="false">IF($K28="","",INDEX(Base!$E$5:$E$2004,$K28))</f>
        <v>46301</v>
      </c>
      <c r="C28" s="69" t="n">
        <f aca="false">IF($K28="","",B28)</f>
        <v>46301</v>
      </c>
      <c r="D28" s="70" t="str">
        <f aca="false">IF($K28="","",INDEX(Base!$F$5:$F$2004,$K28))</f>
        <v>UFCSPA 2026</v>
      </c>
      <c r="E28" s="70" t="str">
        <f aca="false">IF($K28="","",INDEX(Base!$G$5:$G$2004,$K28))</f>
        <v>Evento avulso</v>
      </c>
      <c r="F28" s="71" t="str">
        <f aca="false">IF($K28="","",INDEX(Base!$H$5:$H$2004,$K28))</f>
        <v>SIM</v>
      </c>
      <c r="G28" s="71" t="str">
        <f aca="false">IF($K28="","",INDEX(Base!$I$5:$I$2004,$K28))</f>
        <v>Simulado</v>
      </c>
      <c r="H28" s="70" t="str">
        <f aca="false">IF($K28="","",INDEX(Base!$J$5:$J$2004,$K28))</f>
        <v/>
      </c>
      <c r="I28" s="71" t="str">
        <f aca="false">IF($K28="","",INDEX(Base!$L$5:$L$2004,$K28))</f>
        <v>Concluído</v>
      </c>
      <c r="J28" s="72" t="n">
        <f aca="false">IFERROR(SMALL(Base!$P$5:$P$2004,ROW()-5),"")</f>
        <v>4630102</v>
      </c>
      <c r="K28" s="72" t="n">
        <f aca="false">IF(J28="","",MATCH(J28,Base!$P$5:$P$2004,0))</f>
        <v>1801</v>
      </c>
    </row>
    <row r="29" customFormat="false" ht="15" hidden="false" customHeight="false" outlineLevel="0" collapsed="false">
      <c r="A29" s="67" t="n">
        <f aca="false">IF($K29="","",ROW()-5)</f>
        <v>24</v>
      </c>
      <c r="B29" s="68" t="n">
        <f aca="false">IF($K29="","",INDEX(Base!$E$5:$E$2004,$K29))</f>
        <v>46303</v>
      </c>
      <c r="C29" s="69" t="n">
        <f aca="false">IF($K29="","",B29)</f>
        <v>46303</v>
      </c>
      <c r="D29" s="70" t="str">
        <f aca="false">IF($K29="","",INDEX(Base!$F$5:$F$2004,$K29))</f>
        <v>Síndromes Febris — Dengue</v>
      </c>
      <c r="E29" s="70" t="str">
        <f aca="false">IF($K29="","",INDEX(Base!$G$5:$G$2004,$K29))</f>
        <v>Aula teórica</v>
      </c>
      <c r="F29" s="71" t="str">
        <f aca="false">IF($K29="","",INDEX(Base!$H$5:$H$2004,$K29))</f>
        <v>T</v>
      </c>
      <c r="G29" s="71" t="str">
        <f aca="false">IF($K29="","",INDEX(Base!$I$5:$I$2004,$K29))</f>
        <v>Teórica</v>
      </c>
      <c r="H29" s="70" t="str">
        <f aca="false">IF($K29="","",INDEX(Base!$J$5:$J$2004,$K29))</f>
        <v>Clínica Médica</v>
      </c>
      <c r="I29" s="71" t="str">
        <f aca="false">IF($K29="","",INDEX(Base!$L$5:$L$2004,$K29))</f>
        <v>Concluído</v>
      </c>
      <c r="J29" s="72" t="n">
        <f aca="false">IFERROR(SMALL(Base!$P$5:$P$2004,ROW()-5),"")</f>
        <v>4630301</v>
      </c>
      <c r="K29" s="72" t="n">
        <f aca="false">IF(J29="","",MATCH(J29,Base!$P$5:$P$2004,0))</f>
        <v>49</v>
      </c>
    </row>
    <row r="30" customFormat="false" ht="15" hidden="false" customHeight="false" outlineLevel="0" collapsed="false">
      <c r="A30" s="67" t="n">
        <f aca="false">IF($K30="","",ROW()-5)</f>
        <v>25</v>
      </c>
      <c r="B30" s="68" t="n">
        <f aca="false">IF($K30="","",INDEX(Base!$E$5:$E$2004,$K30))</f>
        <v>46304</v>
      </c>
      <c r="C30" s="69" t="n">
        <f aca="false">IF($K30="","",B30)</f>
        <v>46304</v>
      </c>
      <c r="D30" s="70" t="str">
        <f aca="false">IF($K30="","",INDEX(Base!$F$5:$F$2004,$K30))</f>
        <v>ATB</v>
      </c>
      <c r="E30" s="70" t="str">
        <f aca="false">IF($K30="","",INDEX(Base!$G$5:$G$2004,$K30))</f>
        <v>2ª Revisão</v>
      </c>
      <c r="F30" s="71" t="str">
        <f aca="false">IF($K30="","",INDEX(Base!$H$5:$H$2004,$K30))</f>
        <v>R2</v>
      </c>
      <c r="G30" s="71" t="str">
        <f aca="false">IF($K30="","",INDEX(Base!$I$5:$I$2004,$K30))</f>
        <v>Prática</v>
      </c>
      <c r="H30" s="70" t="str">
        <f aca="false">IF($K30="","",INDEX(Base!$J$5:$J$2004,$K30))</f>
        <v>Clínica Médica</v>
      </c>
      <c r="I30" s="71" t="str">
        <f aca="false">IF($K30="","",INDEX(Base!$L$5:$L$2004,$K30))</f>
        <v>Pendente</v>
      </c>
      <c r="J30" s="72" t="n">
        <f aca="false">IFERROR(SMALL(Base!$P$5:$P$2004,ROW()-5),"")</f>
        <v>4630401</v>
      </c>
      <c r="K30" s="72" t="n">
        <f aca="false">IF(J30="","",MATCH(J30,Base!$P$5:$P$2004,0))</f>
        <v>39</v>
      </c>
    </row>
    <row r="31" customFormat="false" ht="15" hidden="false" customHeight="false" outlineLevel="0" collapsed="false">
      <c r="A31" s="67" t="n">
        <f aca="false">IF($K31="","",ROW()-5)</f>
        <v>26</v>
      </c>
      <c r="B31" s="68" t="n">
        <f aca="false">IF($K31="","",INDEX(Base!$E$5:$E$2004,$K31))</f>
        <v>46304</v>
      </c>
      <c r="C31" s="69" t="n">
        <f aca="false">IF($K31="","",B31)</f>
        <v>46304</v>
      </c>
      <c r="D31" s="70" t="str">
        <f aca="false">IF($K31="","",INDEX(Base!$F$5:$F$2004,$K31))</f>
        <v>Síndromes Febris — Dengue</v>
      </c>
      <c r="E31" s="70" t="str">
        <f aca="false">IF($K31="","",INDEX(Base!$G$5:$G$2004,$K31))</f>
        <v>1ª Revisão</v>
      </c>
      <c r="F31" s="71" t="str">
        <f aca="false">IF($K31="","",INDEX(Base!$H$5:$H$2004,$K31))</f>
        <v>R1</v>
      </c>
      <c r="G31" s="71" t="str">
        <f aca="false">IF($K31="","",INDEX(Base!$I$5:$I$2004,$K31))</f>
        <v>Revisão</v>
      </c>
      <c r="H31" s="70" t="str">
        <f aca="false">IF($K31="","",INDEX(Base!$J$5:$J$2004,$K31))</f>
        <v>Clínica Médica</v>
      </c>
      <c r="I31" s="71" t="str">
        <f aca="false">IF($K31="","",INDEX(Base!$L$5:$L$2004,$K31))</f>
        <v>Pendente</v>
      </c>
      <c r="J31" s="72" t="n">
        <f aca="false">IFERROR(SMALL(Base!$P$5:$P$2004,ROW()-5),"")</f>
        <v>4630402</v>
      </c>
      <c r="K31" s="72" t="n">
        <f aca="false">IF(J31="","",MATCH(J31,Base!$P$5:$P$2004,0))</f>
        <v>50</v>
      </c>
    </row>
    <row r="32" customFormat="false" ht="15" hidden="false" customHeight="false" outlineLevel="0" collapsed="false">
      <c r="A32" s="67" t="n">
        <f aca="false">IF($K32="","",ROW()-5)</f>
        <v>27</v>
      </c>
      <c r="B32" s="68" t="n">
        <f aca="false">IF($K32="","",INDEX(Base!$E$5:$E$2004,$K32))</f>
        <v>46306</v>
      </c>
      <c r="C32" s="69" t="n">
        <f aca="false">IF($K32="","",B32)</f>
        <v>46306</v>
      </c>
      <c r="D32" s="70" t="str">
        <f aca="false">IF($K32="","",INDEX(Base!$F$5:$F$2004,$K32))</f>
        <v>Endocardite Infecciosa / Meningites</v>
      </c>
      <c r="E32" s="70" t="str">
        <f aca="false">IF($K32="","",INDEX(Base!$G$5:$G$2004,$K32))</f>
        <v>Aula teórica</v>
      </c>
      <c r="F32" s="71" t="str">
        <f aca="false">IF($K32="","",INDEX(Base!$H$5:$H$2004,$K32))</f>
        <v>T</v>
      </c>
      <c r="G32" s="71" t="str">
        <f aca="false">IF($K32="","",INDEX(Base!$I$5:$I$2004,$K32))</f>
        <v>Teórica</v>
      </c>
      <c r="H32" s="70" t="str">
        <f aca="false">IF($K32="","",INDEX(Base!$J$5:$J$2004,$K32))</f>
        <v>Clínica Médica</v>
      </c>
      <c r="I32" s="71" t="str">
        <f aca="false">IF($K32="","",INDEX(Base!$L$5:$L$2004,$K32))</f>
        <v>Pendente</v>
      </c>
      <c r="J32" s="72" t="n">
        <f aca="false">IFERROR(SMALL(Base!$P$5:$P$2004,ROW()-5),"")</f>
        <v>4630601</v>
      </c>
      <c r="K32" s="72" t="n">
        <f aca="false">IF(J32="","",MATCH(J32,Base!$P$5:$P$2004,0))</f>
        <v>55</v>
      </c>
    </row>
    <row r="33" customFormat="false" ht="15" hidden="false" customHeight="false" outlineLevel="0" collapsed="false">
      <c r="A33" s="67" t="n">
        <f aca="false">IF($K33="","",ROW()-5)</f>
        <v>28</v>
      </c>
      <c r="B33" s="68" t="n">
        <f aca="false">IF($K33="","",INDEX(Base!$E$5:$E$2004,$K33))</f>
        <v>46307</v>
      </c>
      <c r="C33" s="69" t="n">
        <f aca="false">IF($K33="","",B33)</f>
        <v>46307</v>
      </c>
      <c r="D33" s="70" t="str">
        <f aca="false">IF($K33="","",INDEX(Base!$F$5:$F$2004,$K33))</f>
        <v>Cardiopediatria</v>
      </c>
      <c r="E33" s="70" t="str">
        <f aca="false">IF($K33="","",INDEX(Base!$G$5:$G$2004,$K33))</f>
        <v>3ª Revisão</v>
      </c>
      <c r="F33" s="71" t="str">
        <f aca="false">IF($K33="","",INDEX(Base!$H$5:$H$2004,$K33))</f>
        <v>R3</v>
      </c>
      <c r="G33" s="71" t="str">
        <f aca="false">IF($K33="","",INDEX(Base!$I$5:$I$2004,$K33))</f>
        <v>Prática</v>
      </c>
      <c r="H33" s="70" t="str">
        <f aca="false">IF($K33="","",INDEX(Base!$J$5:$J$2004,$K33))</f>
        <v>Pediatria</v>
      </c>
      <c r="I33" s="71" t="str">
        <f aca="false">IF($K33="","",INDEX(Base!$L$5:$L$2004,$K33))</f>
        <v>Pendente</v>
      </c>
      <c r="J33" s="72" t="n">
        <f aca="false">IFERROR(SMALL(Base!$P$5:$P$2004,ROW()-5),"")</f>
        <v>4630701</v>
      </c>
      <c r="K33" s="72" t="n">
        <f aca="false">IF(J33="","",MATCH(J33,Base!$P$5:$P$2004,0))</f>
        <v>4</v>
      </c>
    </row>
    <row r="34" customFormat="false" ht="15" hidden="false" customHeight="false" outlineLevel="0" collapsed="false">
      <c r="A34" s="67" t="n">
        <f aca="false">IF($K34="","",ROW()-5)</f>
        <v>29</v>
      </c>
      <c r="B34" s="68" t="n">
        <f aca="false">IF($K34="","",INDEX(Base!$E$5:$E$2004,$K34))</f>
        <v>46307</v>
      </c>
      <c r="C34" s="69" t="n">
        <f aca="false">IF($K34="","",B34)</f>
        <v>46307</v>
      </c>
      <c r="D34" s="70" t="str">
        <f aca="false">IF($K34="","",INDEX(Base!$F$5:$F$2004,$K34))</f>
        <v>Nefrologia Pediátrica / ITU</v>
      </c>
      <c r="E34" s="70" t="str">
        <f aca="false">IF($K34="","",INDEX(Base!$G$5:$G$2004,$K34))</f>
        <v>3ª Revisão</v>
      </c>
      <c r="F34" s="71" t="str">
        <f aca="false">IF($K34="","",INDEX(Base!$H$5:$H$2004,$K34))</f>
        <v>R3</v>
      </c>
      <c r="G34" s="71" t="str">
        <f aca="false">IF($K34="","",INDEX(Base!$I$5:$I$2004,$K34))</f>
        <v>Prática</v>
      </c>
      <c r="H34" s="70" t="str">
        <f aca="false">IF($K34="","",INDEX(Base!$J$5:$J$2004,$K34))</f>
        <v>Pediatria</v>
      </c>
      <c r="I34" s="71" t="str">
        <f aca="false">IF($K34="","",INDEX(Base!$L$5:$L$2004,$K34))</f>
        <v>Pendente</v>
      </c>
      <c r="J34" s="72" t="n">
        <f aca="false">IFERROR(SMALL(Base!$P$5:$P$2004,ROW()-5),"")</f>
        <v>4630702</v>
      </c>
      <c r="K34" s="72" t="n">
        <f aca="false">IF(J34="","",MATCH(J34,Base!$P$5:$P$2004,0))</f>
        <v>10</v>
      </c>
    </row>
    <row r="35" customFormat="false" ht="15" hidden="false" customHeight="false" outlineLevel="0" collapsed="false">
      <c r="A35" s="67" t="n">
        <f aca="false">IF($K35="","",ROW()-5)</f>
        <v>30</v>
      </c>
      <c r="B35" s="68" t="n">
        <f aca="false">IF($K35="","",INDEX(Base!$E$5:$E$2004,$K35))</f>
        <v>46307</v>
      </c>
      <c r="C35" s="69" t="n">
        <f aca="false">IF($K35="","",B35)</f>
        <v>46307</v>
      </c>
      <c r="D35" s="70" t="str">
        <f aca="false">IF($K35="","",INDEX(Base!$F$5:$F$2004,$K35))</f>
        <v>Asma e DPOC</v>
      </c>
      <c r="E35" s="70" t="str">
        <f aca="false">IF($K35="","",INDEX(Base!$G$5:$G$2004,$K35))</f>
        <v>3ª Revisão</v>
      </c>
      <c r="F35" s="71" t="str">
        <f aca="false">IF($K35="","",INDEX(Base!$H$5:$H$2004,$K35))</f>
        <v>R3</v>
      </c>
      <c r="G35" s="71" t="str">
        <f aca="false">IF($K35="","",INDEX(Base!$I$5:$I$2004,$K35))</f>
        <v>Prática</v>
      </c>
      <c r="H35" s="70" t="str">
        <f aca="false">IF($K35="","",INDEX(Base!$J$5:$J$2004,$K35))</f>
        <v>Clínica Médica</v>
      </c>
      <c r="I35" s="71" t="str">
        <f aca="false">IF($K35="","",INDEX(Base!$L$5:$L$2004,$K35))</f>
        <v>Pendente</v>
      </c>
      <c r="J35" s="72" t="n">
        <f aca="false">IFERROR(SMALL(Base!$P$5:$P$2004,ROW()-5),"")</f>
        <v>4630703</v>
      </c>
      <c r="K35" s="72" t="n">
        <f aca="false">IF(J35="","",MATCH(J35,Base!$P$5:$P$2004,0))</f>
        <v>16</v>
      </c>
    </row>
    <row r="36" customFormat="false" ht="15" hidden="false" customHeight="false" outlineLevel="0" collapsed="false">
      <c r="A36" s="67" t="n">
        <f aca="false">IF($K36="","",ROW()-5)</f>
        <v>31</v>
      </c>
      <c r="B36" s="68" t="n">
        <f aca="false">IF($K36="","",INDEX(Base!$E$5:$E$2004,$K36))</f>
        <v>46307</v>
      </c>
      <c r="C36" s="69" t="n">
        <f aca="false">IF($K36="","",B36)</f>
        <v>46307</v>
      </c>
      <c r="D36" s="70" t="str">
        <f aca="false">IF($K36="","",INDEX(Base!$F$5:$F$2004,$K36))</f>
        <v>Transtornos Psiquiátricos I</v>
      </c>
      <c r="E36" s="70" t="str">
        <f aca="false">IF($K36="","",INDEX(Base!$G$5:$G$2004,$K36))</f>
        <v>2ª Revisão</v>
      </c>
      <c r="F36" s="71" t="str">
        <f aca="false">IF($K36="","",INDEX(Base!$H$5:$H$2004,$K36))</f>
        <v>R2</v>
      </c>
      <c r="G36" s="71" t="str">
        <f aca="false">IF($K36="","",INDEX(Base!$I$5:$I$2004,$K36))</f>
        <v>Prática</v>
      </c>
      <c r="H36" s="70" t="str">
        <f aca="false">IF($K36="","",INDEX(Base!$J$5:$J$2004,$K36))</f>
        <v>Clínica Médica</v>
      </c>
      <c r="I36" s="71" t="str">
        <f aca="false">IF($K36="","",INDEX(Base!$L$5:$L$2004,$K36))</f>
        <v>Pendente</v>
      </c>
      <c r="J36" s="72" t="n">
        <f aca="false">IFERROR(SMALL(Base!$P$5:$P$2004,ROW()-5),"")</f>
        <v>4630704</v>
      </c>
      <c r="K36" s="72" t="n">
        <f aca="false">IF(J36="","",MATCH(J36,Base!$P$5:$P$2004,0))</f>
        <v>45</v>
      </c>
    </row>
    <row r="37" customFormat="false" ht="15" hidden="false" customHeight="false" outlineLevel="0" collapsed="false">
      <c r="A37" s="67" t="n">
        <f aca="false">IF($K37="","",ROW()-5)</f>
        <v>32</v>
      </c>
      <c r="B37" s="68" t="n">
        <f aca="false">IF($K37="","",INDEX(Base!$E$5:$E$2004,$K37))</f>
        <v>46307</v>
      </c>
      <c r="C37" s="69" t="n">
        <f aca="false">IF($K37="","",B37)</f>
        <v>46307</v>
      </c>
      <c r="D37" s="70" t="str">
        <f aca="false">IF($K37="","",INDEX(Base!$F$5:$F$2004,$K37))</f>
        <v>Endocardite Infecciosa / Meningites</v>
      </c>
      <c r="E37" s="70" t="str">
        <f aca="false">IF($K37="","",INDEX(Base!$G$5:$G$2004,$K37))</f>
        <v>1ª Revisão</v>
      </c>
      <c r="F37" s="71" t="str">
        <f aca="false">IF($K37="","",INDEX(Base!$H$5:$H$2004,$K37))</f>
        <v>R1</v>
      </c>
      <c r="G37" s="71" t="str">
        <f aca="false">IF($K37="","",INDEX(Base!$I$5:$I$2004,$K37))</f>
        <v>Revisão</v>
      </c>
      <c r="H37" s="70" t="str">
        <f aca="false">IF($K37="","",INDEX(Base!$J$5:$J$2004,$K37))</f>
        <v>Clínica Médica</v>
      </c>
      <c r="I37" s="71" t="str">
        <f aca="false">IF($K37="","",INDEX(Base!$L$5:$L$2004,$K37))</f>
        <v>Pendente</v>
      </c>
      <c r="J37" s="72" t="n">
        <f aca="false">IFERROR(SMALL(Base!$P$5:$P$2004,ROW()-5),"")</f>
        <v>4630705</v>
      </c>
      <c r="K37" s="72" t="n">
        <f aca="false">IF(J37="","",MATCH(J37,Base!$P$5:$P$2004,0))</f>
        <v>56</v>
      </c>
    </row>
    <row r="38" customFormat="false" ht="15" hidden="false" customHeight="false" outlineLevel="0" collapsed="false">
      <c r="A38" s="67" t="n">
        <f aca="false">IF($K38="","",ROW()-5)</f>
        <v>33</v>
      </c>
      <c r="B38" s="68" t="n">
        <f aca="false">IF($K38="","",INDEX(Base!$E$5:$E$2004,$K38))</f>
        <v>46307</v>
      </c>
      <c r="C38" s="69" t="n">
        <f aca="false">IF($K38="","",B38)</f>
        <v>46307</v>
      </c>
      <c r="D38" s="70" t="str">
        <f aca="false">IF($K38="","",INDEX(Base!$F$5:$F$2004,$K38))</f>
        <v>Especialidade Cirúrgica I</v>
      </c>
      <c r="E38" s="70" t="str">
        <f aca="false">IF($K38="","",INDEX(Base!$G$5:$G$2004,$K38))</f>
        <v>Aula teórica</v>
      </c>
      <c r="F38" s="71" t="str">
        <f aca="false">IF($K38="","",INDEX(Base!$H$5:$H$2004,$K38))</f>
        <v>T</v>
      </c>
      <c r="G38" s="71" t="str">
        <f aca="false">IF($K38="","",INDEX(Base!$I$5:$I$2004,$K38))</f>
        <v>Teórica</v>
      </c>
      <c r="H38" s="70" t="str">
        <f aca="false">IF($K38="","",INDEX(Base!$J$5:$J$2004,$K38))</f>
        <v>Cirurgia</v>
      </c>
      <c r="I38" s="71" t="str">
        <f aca="false">IF($K38="","",INDEX(Base!$L$5:$L$2004,$K38))</f>
        <v>Pendente</v>
      </c>
      <c r="J38" s="72" t="n">
        <f aca="false">IFERROR(SMALL(Base!$P$5:$P$2004,ROW()-5),"")</f>
        <v>4630706</v>
      </c>
      <c r="K38" s="72" t="n">
        <f aca="false">IF(J38="","",MATCH(J38,Base!$P$5:$P$2004,0))</f>
        <v>61</v>
      </c>
    </row>
    <row r="39" customFormat="false" ht="15" hidden="false" customHeight="false" outlineLevel="0" collapsed="false">
      <c r="A39" s="67" t="n">
        <f aca="false">IF($K39="","",ROW()-5)</f>
        <v>34</v>
      </c>
      <c r="B39" s="68" t="n">
        <f aca="false">IF($K39="","",INDEX(Base!$E$5:$E$2004,$K39))</f>
        <v>46307</v>
      </c>
      <c r="C39" s="69" t="n">
        <f aca="false">IF($K39="","",B39)</f>
        <v>46307</v>
      </c>
      <c r="D39" s="70" t="str">
        <f aca="false">IF($K39="","",INDEX(Base!$F$5:$F$2004,$K39))</f>
        <v>Especialidade Cirúrgica II</v>
      </c>
      <c r="E39" s="70" t="str">
        <f aca="false">IF($K39="","",INDEX(Base!$G$5:$G$2004,$K39))</f>
        <v>Aula teórica</v>
      </c>
      <c r="F39" s="71" t="str">
        <f aca="false">IF($K39="","",INDEX(Base!$H$5:$H$2004,$K39))</f>
        <v>T</v>
      </c>
      <c r="G39" s="71" t="str">
        <f aca="false">IF($K39="","",INDEX(Base!$I$5:$I$2004,$K39))</f>
        <v>Teórica</v>
      </c>
      <c r="H39" s="70" t="str">
        <f aca="false">IF($K39="","",INDEX(Base!$J$5:$J$2004,$K39))</f>
        <v>Cirurgia</v>
      </c>
      <c r="I39" s="71" t="str">
        <f aca="false">IF($K39="","",INDEX(Base!$L$5:$L$2004,$K39))</f>
        <v>Pendente</v>
      </c>
      <c r="J39" s="72" t="n">
        <f aca="false">IFERROR(SMALL(Base!$P$5:$P$2004,ROW()-5),"")</f>
        <v>4630707</v>
      </c>
      <c r="K39" s="72" t="n">
        <f aca="false">IF(J39="","",MATCH(J39,Base!$P$5:$P$2004,0))</f>
        <v>67</v>
      </c>
    </row>
    <row r="40" customFormat="false" ht="15" hidden="false" customHeight="false" outlineLevel="0" collapsed="false">
      <c r="A40" s="67" t="n">
        <f aca="false">IF($K40="","",ROW()-5)</f>
        <v>35</v>
      </c>
      <c r="B40" s="68" t="n">
        <f aca="false">IF($K40="","",INDEX(Base!$E$5:$E$2004,$K40))</f>
        <v>46308</v>
      </c>
      <c r="C40" s="69" t="n">
        <f aca="false">IF($K40="","",B40)</f>
        <v>46308</v>
      </c>
      <c r="D40" s="70" t="str">
        <f aca="false">IF($K40="","",INDEX(Base!$F$5:$F$2004,$K40))</f>
        <v>Doenças da Tireoide</v>
      </c>
      <c r="E40" s="70" t="str">
        <f aca="false">IF($K40="","",INDEX(Base!$G$5:$G$2004,$K40))</f>
        <v>3ª Revisão</v>
      </c>
      <c r="F40" s="71" t="str">
        <f aca="false">IF($K40="","",INDEX(Base!$H$5:$H$2004,$K40))</f>
        <v>R3</v>
      </c>
      <c r="G40" s="71" t="str">
        <f aca="false">IF($K40="","",INDEX(Base!$I$5:$I$2004,$K40))</f>
        <v>Prática</v>
      </c>
      <c r="H40" s="70" t="str">
        <f aca="false">IF($K40="","",INDEX(Base!$J$5:$J$2004,$K40))</f>
        <v>Clínica Médica</v>
      </c>
      <c r="I40" s="71" t="str">
        <f aca="false">IF($K40="","",INDEX(Base!$L$5:$L$2004,$K40))</f>
        <v>Pendente</v>
      </c>
      <c r="J40" s="72" t="n">
        <f aca="false">IFERROR(SMALL(Base!$P$5:$P$2004,ROW()-5),"")</f>
        <v>4630801</v>
      </c>
      <c r="K40" s="72" t="n">
        <f aca="false">IF(J40="","",MATCH(J40,Base!$P$5:$P$2004,0))</f>
        <v>22</v>
      </c>
    </row>
    <row r="41" customFormat="false" ht="15" hidden="false" customHeight="false" outlineLevel="0" collapsed="false">
      <c r="A41" s="67" t="n">
        <f aca="false">IF($K41="","",ROW()-5)</f>
        <v>36</v>
      </c>
      <c r="B41" s="68" t="n">
        <f aca="false">IF($K41="","",INDEX(Base!$E$5:$E$2004,$K41))</f>
        <v>46308</v>
      </c>
      <c r="C41" s="69" t="n">
        <f aca="false">IF($K41="","",B41)</f>
        <v>46308</v>
      </c>
      <c r="D41" s="70" t="str">
        <f aca="false">IF($K41="","",INDEX(Base!$F$5:$F$2004,$K41))</f>
        <v>Valvopatias</v>
      </c>
      <c r="E41" s="70" t="str">
        <f aca="false">IF($K41="","",INDEX(Base!$G$5:$G$2004,$K41))</f>
        <v>3ª Revisão</v>
      </c>
      <c r="F41" s="71" t="str">
        <f aca="false">IF($K41="","",INDEX(Base!$H$5:$H$2004,$K41))</f>
        <v>R3</v>
      </c>
      <c r="G41" s="71" t="str">
        <f aca="false">IF($K41="","",INDEX(Base!$I$5:$I$2004,$K41))</f>
        <v>Prática</v>
      </c>
      <c r="H41" s="70" t="str">
        <f aca="false">IF($K41="","",INDEX(Base!$J$5:$J$2004,$K41))</f>
        <v>Clínica Médica</v>
      </c>
      <c r="I41" s="71" t="str">
        <f aca="false">IF($K41="","",INDEX(Base!$L$5:$L$2004,$K41))</f>
        <v>Pendente</v>
      </c>
      <c r="J41" s="72" t="n">
        <f aca="false">IFERROR(SMALL(Base!$P$5:$P$2004,ROW()-5),"")</f>
        <v>4630802</v>
      </c>
      <c r="K41" s="72" t="n">
        <f aca="false">IF(J41="","",MATCH(J41,Base!$P$5:$P$2004,0))</f>
        <v>28</v>
      </c>
    </row>
    <row r="42" customFormat="false" ht="15" hidden="false" customHeight="false" outlineLevel="0" collapsed="false">
      <c r="A42" s="67" t="n">
        <f aca="false">IF($K42="","",ROW()-5)</f>
        <v>37</v>
      </c>
      <c r="B42" s="68" t="n">
        <f aca="false">IF($K42="","",INDEX(Base!$E$5:$E$2004,$K42))</f>
        <v>46308</v>
      </c>
      <c r="C42" s="69" t="n">
        <f aca="false">IF($K42="","",B42)</f>
        <v>46308</v>
      </c>
      <c r="D42" s="70" t="str">
        <f aca="false">IF($K42="","",INDEX(Base!$F$5:$F$2004,$K42))</f>
        <v>Demência e Parkinson</v>
      </c>
      <c r="E42" s="70" t="str">
        <f aca="false">IF($K42="","",INDEX(Base!$G$5:$G$2004,$K42))</f>
        <v>3ª Revisão</v>
      </c>
      <c r="F42" s="71" t="str">
        <f aca="false">IF($K42="","",INDEX(Base!$H$5:$H$2004,$K42))</f>
        <v>R3</v>
      </c>
      <c r="G42" s="71" t="str">
        <f aca="false">IF($K42="","",INDEX(Base!$I$5:$I$2004,$K42))</f>
        <v>Prática</v>
      </c>
      <c r="H42" s="70" t="str">
        <f aca="false">IF($K42="","",INDEX(Base!$J$5:$J$2004,$K42))</f>
        <v>Clínica Médica</v>
      </c>
      <c r="I42" s="71" t="str">
        <f aca="false">IF($K42="","",INDEX(Base!$L$5:$L$2004,$K42))</f>
        <v>Pendente</v>
      </c>
      <c r="J42" s="72" t="n">
        <f aca="false">IFERROR(SMALL(Base!$P$5:$P$2004,ROW()-5),"")</f>
        <v>4630803</v>
      </c>
      <c r="K42" s="72" t="n">
        <f aca="false">IF(J42="","",MATCH(J42,Base!$P$5:$P$2004,0))</f>
        <v>34</v>
      </c>
    </row>
    <row r="43" customFormat="false" ht="15" hidden="false" customHeight="false" outlineLevel="0" collapsed="false">
      <c r="A43" s="67" t="n">
        <f aca="false">IF($K43="","",ROW()-5)</f>
        <v>38</v>
      </c>
      <c r="B43" s="68" t="n">
        <f aca="false">IF($K43="","",INDEX(Base!$E$5:$E$2004,$K43))</f>
        <v>46308</v>
      </c>
      <c r="C43" s="69" t="n">
        <f aca="false">IF($K43="","",B43)</f>
        <v>46308</v>
      </c>
      <c r="D43" s="70" t="str">
        <f aca="false">IF($K43="","",INDEX(Base!$F$5:$F$2004,$K43))</f>
        <v>Especialidade Cirúrgica I</v>
      </c>
      <c r="E43" s="70" t="str">
        <f aca="false">IF($K43="","",INDEX(Base!$G$5:$G$2004,$K43))</f>
        <v>1ª Revisão</v>
      </c>
      <c r="F43" s="71" t="str">
        <f aca="false">IF($K43="","",INDEX(Base!$H$5:$H$2004,$K43))</f>
        <v>R1</v>
      </c>
      <c r="G43" s="71" t="str">
        <f aca="false">IF($K43="","",INDEX(Base!$I$5:$I$2004,$K43))</f>
        <v>Revisão</v>
      </c>
      <c r="H43" s="70" t="str">
        <f aca="false">IF($K43="","",INDEX(Base!$J$5:$J$2004,$K43))</f>
        <v>Cirurgia</v>
      </c>
      <c r="I43" s="71" t="str">
        <f aca="false">IF($K43="","",INDEX(Base!$L$5:$L$2004,$K43))</f>
        <v>Pendente</v>
      </c>
      <c r="J43" s="72" t="n">
        <f aca="false">IFERROR(SMALL(Base!$P$5:$P$2004,ROW()-5),"")</f>
        <v>4630804</v>
      </c>
      <c r="K43" s="72" t="n">
        <f aca="false">IF(J43="","",MATCH(J43,Base!$P$5:$P$2004,0))</f>
        <v>62</v>
      </c>
    </row>
    <row r="44" customFormat="false" ht="15" hidden="false" customHeight="false" outlineLevel="0" collapsed="false">
      <c r="A44" s="67" t="n">
        <f aca="false">IF($K44="","",ROW()-5)</f>
        <v>39</v>
      </c>
      <c r="B44" s="68" t="n">
        <f aca="false">IF($K44="","",INDEX(Base!$E$5:$E$2004,$K44))</f>
        <v>46308</v>
      </c>
      <c r="C44" s="69" t="n">
        <f aca="false">IF($K44="","",B44)</f>
        <v>46308</v>
      </c>
      <c r="D44" s="70" t="str">
        <f aca="false">IF($K44="","",INDEX(Base!$F$5:$F$2004,$K44))</f>
        <v>Especialidade Cirúrgica II</v>
      </c>
      <c r="E44" s="70" t="str">
        <f aca="false">IF($K44="","",INDEX(Base!$G$5:$G$2004,$K44))</f>
        <v>1ª Revisão</v>
      </c>
      <c r="F44" s="71" t="str">
        <f aca="false">IF($K44="","",INDEX(Base!$H$5:$H$2004,$K44))</f>
        <v>R1</v>
      </c>
      <c r="G44" s="71" t="str">
        <f aca="false">IF($K44="","",INDEX(Base!$I$5:$I$2004,$K44))</f>
        <v>Revisão</v>
      </c>
      <c r="H44" s="70" t="str">
        <f aca="false">IF($K44="","",INDEX(Base!$J$5:$J$2004,$K44))</f>
        <v>Cirurgia</v>
      </c>
      <c r="I44" s="71" t="str">
        <f aca="false">IF($K44="","",INDEX(Base!$L$5:$L$2004,$K44))</f>
        <v>Pendente</v>
      </c>
      <c r="J44" s="72" t="n">
        <f aca="false">IFERROR(SMALL(Base!$P$5:$P$2004,ROW()-5),"")</f>
        <v>4630805</v>
      </c>
      <c r="K44" s="72" t="n">
        <f aca="false">IF(J44="","",MATCH(J44,Base!$P$5:$P$2004,0))</f>
        <v>68</v>
      </c>
    </row>
    <row r="45" customFormat="false" ht="15" hidden="false" customHeight="false" outlineLevel="0" collapsed="false">
      <c r="A45" s="67" t="n">
        <f aca="false">IF($K45="","",ROW()-5)</f>
        <v>40</v>
      </c>
      <c r="B45" s="68" t="n">
        <f aca="false">IF($K45="","",INDEX(Base!$E$5:$E$2004,$K45))</f>
        <v>46309</v>
      </c>
      <c r="C45" s="69" t="n">
        <f aca="false">IF($K45="","",B45)</f>
        <v>46309</v>
      </c>
      <c r="D45" s="70" t="str">
        <f aca="false">IF($K45="","",INDEX(Base!$F$5:$F$2004,$K45))</f>
        <v>Distúrbios Hipertensivos na Gestação</v>
      </c>
      <c r="E45" s="70" t="str">
        <f aca="false">IF($K45="","",INDEX(Base!$G$5:$G$2004,$K45))</f>
        <v>Aula teórica</v>
      </c>
      <c r="F45" s="71" t="str">
        <f aca="false">IF($K45="","",INDEX(Base!$H$5:$H$2004,$K45))</f>
        <v>T</v>
      </c>
      <c r="G45" s="71" t="str">
        <f aca="false">IF($K45="","",INDEX(Base!$I$5:$I$2004,$K45))</f>
        <v>Teórica</v>
      </c>
      <c r="H45" s="70" t="str">
        <f aca="false">IF($K45="","",INDEX(Base!$J$5:$J$2004,$K45))</f>
        <v>Ginecologia e Obstetrícia</v>
      </c>
      <c r="I45" s="71" t="str">
        <f aca="false">IF($K45="","",INDEX(Base!$L$5:$L$2004,$K45))</f>
        <v>Pendente</v>
      </c>
      <c r="J45" s="72" t="n">
        <f aca="false">IFERROR(SMALL(Base!$P$5:$P$2004,ROW()-5),"")</f>
        <v>4630901</v>
      </c>
      <c r="K45" s="72" t="n">
        <f aca="false">IF(J45="","",MATCH(J45,Base!$P$5:$P$2004,0))</f>
        <v>73</v>
      </c>
    </row>
    <row r="46" customFormat="false" ht="15" hidden="false" customHeight="false" outlineLevel="0" collapsed="false">
      <c r="A46" s="67" t="n">
        <f aca="false">IF($K46="","",ROW()-5)</f>
        <v>41</v>
      </c>
      <c r="B46" s="68" t="n">
        <f aca="false">IF($K46="","",INDEX(Base!$E$5:$E$2004,$K46))</f>
        <v>46309</v>
      </c>
      <c r="C46" s="69" t="n">
        <f aca="false">IF($K46="","",B46)</f>
        <v>46309</v>
      </c>
      <c r="D46" s="70" t="str">
        <f aca="false">IF($K46="","",INDEX(Base!$F$5:$F$2004,$K46))</f>
        <v>Sofrimento Fetal e Vitalidade Fetal</v>
      </c>
      <c r="E46" s="70" t="str">
        <f aca="false">IF($K46="","",INDEX(Base!$G$5:$G$2004,$K46))</f>
        <v>Aula teórica</v>
      </c>
      <c r="F46" s="71" t="str">
        <f aca="false">IF($K46="","",INDEX(Base!$H$5:$H$2004,$K46))</f>
        <v>T</v>
      </c>
      <c r="G46" s="71" t="str">
        <f aca="false">IF($K46="","",INDEX(Base!$I$5:$I$2004,$K46))</f>
        <v>Teórica</v>
      </c>
      <c r="H46" s="70" t="str">
        <f aca="false">IF($K46="","",INDEX(Base!$J$5:$J$2004,$K46))</f>
        <v>Ginecologia e Obstetrícia</v>
      </c>
      <c r="I46" s="71" t="str">
        <f aca="false">IF($K46="","",INDEX(Base!$L$5:$L$2004,$K46))</f>
        <v>Pendente</v>
      </c>
      <c r="J46" s="72" t="n">
        <f aca="false">IFERROR(SMALL(Base!$P$5:$P$2004,ROW()-5),"")</f>
        <v>4630902</v>
      </c>
      <c r="K46" s="72" t="n">
        <f aca="false">IF(J46="","",MATCH(J46,Base!$P$5:$P$2004,0))</f>
        <v>79</v>
      </c>
    </row>
    <row r="47" customFormat="false" ht="15" hidden="false" customHeight="false" outlineLevel="0" collapsed="false">
      <c r="A47" s="67" t="n">
        <f aca="false">IF($K47="","",ROW()-5)</f>
        <v>42</v>
      </c>
      <c r="B47" s="68" t="n">
        <f aca="false">IF($K47="","",INDEX(Base!$E$5:$E$2004,$K47))</f>
        <v>46310</v>
      </c>
      <c r="C47" s="69" t="n">
        <f aca="false">IF($K47="","",B47)</f>
        <v>46310</v>
      </c>
      <c r="D47" s="70" t="str">
        <f aca="false">IF($K47="","",INDEX(Base!$F$5:$F$2004,$K47))</f>
        <v>Síndromes Febris — Dengue</v>
      </c>
      <c r="E47" s="70" t="str">
        <f aca="false">IF($K47="","",INDEX(Base!$G$5:$G$2004,$K47))</f>
        <v>2ª Revisão</v>
      </c>
      <c r="F47" s="71" t="str">
        <f aca="false">IF($K47="","",INDEX(Base!$H$5:$H$2004,$K47))</f>
        <v>R2</v>
      </c>
      <c r="G47" s="71" t="str">
        <f aca="false">IF($K47="","",INDEX(Base!$I$5:$I$2004,$K47))</f>
        <v>Prática</v>
      </c>
      <c r="H47" s="70" t="str">
        <f aca="false">IF($K47="","",INDEX(Base!$J$5:$J$2004,$K47))</f>
        <v>Clínica Médica</v>
      </c>
      <c r="I47" s="71" t="str">
        <f aca="false">IF($K47="","",INDEX(Base!$L$5:$L$2004,$K47))</f>
        <v>Pendente</v>
      </c>
      <c r="J47" s="72" t="n">
        <f aca="false">IFERROR(SMALL(Base!$P$5:$P$2004,ROW()-5),"")</f>
        <v>4631001</v>
      </c>
      <c r="K47" s="72" t="n">
        <f aca="false">IF(J47="","",MATCH(J47,Base!$P$5:$P$2004,0))</f>
        <v>51</v>
      </c>
    </row>
    <row r="48" customFormat="false" ht="15" hidden="false" customHeight="false" outlineLevel="0" collapsed="false">
      <c r="A48" s="67" t="n">
        <f aca="false">IF($K48="","",ROW()-5)</f>
        <v>43</v>
      </c>
      <c r="B48" s="68" t="n">
        <f aca="false">IF($K48="","",INDEX(Base!$E$5:$E$2004,$K48))</f>
        <v>46310</v>
      </c>
      <c r="C48" s="69" t="n">
        <f aca="false">IF($K48="","",B48)</f>
        <v>46310</v>
      </c>
      <c r="D48" s="70" t="str">
        <f aca="false">IF($K48="","",INDEX(Base!$F$5:$F$2004,$K48))</f>
        <v>Distúrbios Hipertensivos na Gestação</v>
      </c>
      <c r="E48" s="70" t="str">
        <f aca="false">IF($K48="","",INDEX(Base!$G$5:$G$2004,$K48))</f>
        <v>1ª Revisão</v>
      </c>
      <c r="F48" s="71" t="str">
        <f aca="false">IF($K48="","",INDEX(Base!$H$5:$H$2004,$K48))</f>
        <v>R1</v>
      </c>
      <c r="G48" s="71" t="str">
        <f aca="false">IF($K48="","",INDEX(Base!$I$5:$I$2004,$K48))</f>
        <v>Revisão</v>
      </c>
      <c r="H48" s="70" t="str">
        <f aca="false">IF($K48="","",INDEX(Base!$J$5:$J$2004,$K48))</f>
        <v>Ginecologia e Obstetrícia</v>
      </c>
      <c r="I48" s="71" t="str">
        <f aca="false">IF($K48="","",INDEX(Base!$L$5:$L$2004,$K48))</f>
        <v>Pendente</v>
      </c>
      <c r="J48" s="72" t="n">
        <f aca="false">IFERROR(SMALL(Base!$P$5:$P$2004,ROW()-5),"")</f>
        <v>4631002</v>
      </c>
      <c r="K48" s="72" t="n">
        <f aca="false">IF(J48="","",MATCH(J48,Base!$P$5:$P$2004,0))</f>
        <v>74</v>
      </c>
    </row>
    <row r="49" customFormat="false" ht="15" hidden="false" customHeight="false" outlineLevel="0" collapsed="false">
      <c r="A49" s="67" t="n">
        <f aca="false">IF($K49="","",ROW()-5)</f>
        <v>44</v>
      </c>
      <c r="B49" s="68" t="n">
        <f aca="false">IF($K49="","",INDEX(Base!$E$5:$E$2004,$K49))</f>
        <v>46310</v>
      </c>
      <c r="C49" s="69" t="n">
        <f aca="false">IF($K49="","",B49)</f>
        <v>46310</v>
      </c>
      <c r="D49" s="70" t="str">
        <f aca="false">IF($K49="","",INDEX(Base!$F$5:$F$2004,$K49))</f>
        <v>Sofrimento Fetal e Vitalidade Fetal</v>
      </c>
      <c r="E49" s="70" t="str">
        <f aca="false">IF($K49="","",INDEX(Base!$G$5:$G$2004,$K49))</f>
        <v>1ª Revisão</v>
      </c>
      <c r="F49" s="71" t="str">
        <f aca="false">IF($K49="","",INDEX(Base!$H$5:$H$2004,$K49))</f>
        <v>R1</v>
      </c>
      <c r="G49" s="71" t="str">
        <f aca="false">IF($K49="","",INDEX(Base!$I$5:$I$2004,$K49))</f>
        <v>Revisão</v>
      </c>
      <c r="H49" s="70" t="str">
        <f aca="false">IF($K49="","",INDEX(Base!$J$5:$J$2004,$K49))</f>
        <v>Ginecologia e Obstetrícia</v>
      </c>
      <c r="I49" s="71" t="str">
        <f aca="false">IF($K49="","",INDEX(Base!$L$5:$L$2004,$K49))</f>
        <v>Pendente</v>
      </c>
      <c r="J49" s="72" t="n">
        <f aca="false">IFERROR(SMALL(Base!$P$5:$P$2004,ROW()-5),"")</f>
        <v>4631003</v>
      </c>
      <c r="K49" s="72" t="n">
        <f aca="false">IF(J49="","",MATCH(J49,Base!$P$5:$P$2004,0))</f>
        <v>80</v>
      </c>
    </row>
    <row r="50" customFormat="false" ht="15" hidden="false" customHeight="false" outlineLevel="0" collapsed="false">
      <c r="A50" s="67" t="n">
        <f aca="false">IF($K50="","",ROW()-5)</f>
        <v>45</v>
      </c>
      <c r="B50" s="68" t="n">
        <f aca="false">IF($K50="","",INDEX(Base!$E$5:$E$2004,$K50))</f>
        <v>46311</v>
      </c>
      <c r="C50" s="69" t="n">
        <f aca="false">IF($K50="","",B50)</f>
        <v>46311</v>
      </c>
      <c r="D50" s="70" t="str">
        <f aca="false">IF($K50="","",INDEX(Base!$F$5:$F$2004,$K50))</f>
        <v>Doenças da Suprarrenal</v>
      </c>
      <c r="E50" s="70" t="str">
        <f aca="false">IF($K50="","",INDEX(Base!$G$5:$G$2004,$K50))</f>
        <v>Aula teórica</v>
      </c>
      <c r="F50" s="71" t="str">
        <f aca="false">IF($K50="","",INDEX(Base!$H$5:$H$2004,$K50))</f>
        <v>T</v>
      </c>
      <c r="G50" s="71" t="str">
        <f aca="false">IF($K50="","",INDEX(Base!$I$5:$I$2004,$K50))</f>
        <v>Teórica</v>
      </c>
      <c r="H50" s="70" t="str">
        <f aca="false">IF($K50="","",INDEX(Base!$J$5:$J$2004,$K50))</f>
        <v>Clínica Médica</v>
      </c>
      <c r="I50" s="71" t="str">
        <f aca="false">IF($K50="","",INDEX(Base!$L$5:$L$2004,$K50))</f>
        <v>Pendente</v>
      </c>
      <c r="J50" s="72" t="n">
        <f aca="false">IFERROR(SMALL(Base!$P$5:$P$2004,ROW()-5),"")</f>
        <v>4631101</v>
      </c>
      <c r="K50" s="72" t="n">
        <f aca="false">IF(J50="","",MATCH(J50,Base!$P$5:$P$2004,0))</f>
        <v>85</v>
      </c>
    </row>
    <row r="51" customFormat="false" ht="15" hidden="false" customHeight="false" outlineLevel="0" collapsed="false">
      <c r="A51" s="67" t="n">
        <f aca="false">IF($K51="","",ROW()-5)</f>
        <v>46</v>
      </c>
      <c r="B51" s="68" t="n">
        <f aca="false">IF($K51="","",INDEX(Base!$E$5:$E$2004,$K51))</f>
        <v>46311</v>
      </c>
      <c r="C51" s="69" t="n">
        <f aca="false">IF($K51="","",B51)</f>
        <v>46311</v>
      </c>
      <c r="D51" s="70" t="str">
        <f aca="false">IF($K51="","",INDEX(Base!$F$5:$F$2004,$K51))</f>
        <v>Infecções Sexualmente Transmissíveis</v>
      </c>
      <c r="E51" s="70" t="str">
        <f aca="false">IF($K51="","",INDEX(Base!$G$5:$G$2004,$K51))</f>
        <v>Aula teórica</v>
      </c>
      <c r="F51" s="71" t="str">
        <f aca="false">IF($K51="","",INDEX(Base!$H$5:$H$2004,$K51))</f>
        <v>T</v>
      </c>
      <c r="G51" s="71" t="str">
        <f aca="false">IF($K51="","",INDEX(Base!$I$5:$I$2004,$K51))</f>
        <v>Teórica</v>
      </c>
      <c r="H51" s="70" t="str">
        <f aca="false">IF($K51="","",INDEX(Base!$J$5:$J$2004,$K51))</f>
        <v>Ginecologia e Obstetrícia</v>
      </c>
      <c r="I51" s="71" t="str">
        <f aca="false">IF($K51="","",INDEX(Base!$L$5:$L$2004,$K51))</f>
        <v>Pendente</v>
      </c>
      <c r="J51" s="72" t="n">
        <f aca="false">IFERROR(SMALL(Base!$P$5:$P$2004,ROW()-5),"")</f>
        <v>4631102</v>
      </c>
      <c r="K51" s="72" t="n">
        <f aca="false">IF(J51="","",MATCH(J51,Base!$P$5:$P$2004,0))</f>
        <v>91</v>
      </c>
    </row>
    <row r="52" customFormat="false" ht="15" hidden="false" customHeight="false" outlineLevel="0" collapsed="false">
      <c r="A52" s="67" t="n">
        <f aca="false">IF($K52="","",ROW()-5)</f>
        <v>47</v>
      </c>
      <c r="B52" s="68" t="n">
        <f aca="false">IF($K52="","",INDEX(Base!$E$5:$E$2004,$K52))</f>
        <v>46311</v>
      </c>
      <c r="C52" s="69" t="n">
        <f aca="false">IF($K52="","",B52)</f>
        <v>46311</v>
      </c>
      <c r="D52" s="70" t="str">
        <f aca="false">IF($K52="","",INDEX(Base!$F$5:$F$2004,$K52))</f>
        <v>Parasitoses Intestinais</v>
      </c>
      <c r="E52" s="70" t="str">
        <f aca="false">IF($K52="","",INDEX(Base!$G$5:$G$2004,$K52))</f>
        <v>Aula teórica</v>
      </c>
      <c r="F52" s="71" t="str">
        <f aca="false">IF($K52="","",INDEX(Base!$H$5:$H$2004,$K52))</f>
        <v>T</v>
      </c>
      <c r="G52" s="71" t="str">
        <f aca="false">IF($K52="","",INDEX(Base!$I$5:$I$2004,$K52))</f>
        <v>Teórica</v>
      </c>
      <c r="H52" s="70" t="str">
        <f aca="false">IF($K52="","",INDEX(Base!$J$5:$J$2004,$K52))</f>
        <v>Pediatria</v>
      </c>
      <c r="I52" s="71" t="str">
        <f aca="false">IF($K52="","",INDEX(Base!$L$5:$L$2004,$K52))</f>
        <v>Pendente</v>
      </c>
      <c r="J52" s="72" t="n">
        <f aca="false">IFERROR(SMALL(Base!$P$5:$P$2004,ROW()-5),"")</f>
        <v>4631103</v>
      </c>
      <c r="K52" s="72" t="n">
        <f aca="false">IF(J52="","",MATCH(J52,Base!$P$5:$P$2004,0))</f>
        <v>97</v>
      </c>
    </row>
    <row r="53" customFormat="false" ht="15" hidden="false" customHeight="false" outlineLevel="0" collapsed="false">
      <c r="A53" s="67" t="n">
        <f aca="false">IF($K53="","",ROW()-5)</f>
        <v>48</v>
      </c>
      <c r="B53" s="68" t="n">
        <f aca="false">IF($K53="","",INDEX(Base!$E$5:$E$2004,$K53))</f>
        <v>46311</v>
      </c>
      <c r="C53" s="69" t="n">
        <f aca="false">IF($K53="","",B53)</f>
        <v>46311</v>
      </c>
      <c r="D53" s="70" t="str">
        <f aca="false">IF($K53="","",INDEX(Base!$F$5:$F$2004,$K53))</f>
        <v>HIV/AIDS</v>
      </c>
      <c r="E53" s="70" t="str">
        <f aca="false">IF($K53="","",INDEX(Base!$G$5:$G$2004,$K53))</f>
        <v>Aula teórica</v>
      </c>
      <c r="F53" s="71" t="str">
        <f aca="false">IF($K53="","",INDEX(Base!$H$5:$H$2004,$K53))</f>
        <v>T</v>
      </c>
      <c r="G53" s="71" t="str">
        <f aca="false">IF($K53="","",INDEX(Base!$I$5:$I$2004,$K53))</f>
        <v>Teórica</v>
      </c>
      <c r="H53" s="70" t="str">
        <f aca="false">IF($K53="","",INDEX(Base!$J$5:$J$2004,$K53))</f>
        <v>Clínica Médica</v>
      </c>
      <c r="I53" s="71" t="str">
        <f aca="false">IF($K53="","",INDEX(Base!$L$5:$L$2004,$K53))</f>
        <v>Pendente</v>
      </c>
      <c r="J53" s="72" t="n">
        <f aca="false">IFERROR(SMALL(Base!$P$5:$P$2004,ROW()-5),"")</f>
        <v>4631104</v>
      </c>
      <c r="K53" s="72" t="n">
        <f aca="false">IF(J53="","",MATCH(J53,Base!$P$5:$P$2004,0))</f>
        <v>103</v>
      </c>
    </row>
    <row r="54" customFormat="false" ht="15" hidden="false" customHeight="false" outlineLevel="0" collapsed="false">
      <c r="A54" s="67" t="n">
        <f aca="false">IF($K54="","",ROW()-5)</f>
        <v>49</v>
      </c>
      <c r="B54" s="68" t="n">
        <f aca="false">IF($K54="","",INDEX(Base!$E$5:$E$2004,$K54))</f>
        <v>46312</v>
      </c>
      <c r="C54" s="69" t="n">
        <f aca="false">IF($K54="","",B54)</f>
        <v>46312</v>
      </c>
      <c r="D54" s="70" t="str">
        <f aca="false">IF($K54="","",INDEX(Base!$F$5:$F$2004,$K54))</f>
        <v>ATB</v>
      </c>
      <c r="E54" s="70" t="str">
        <f aca="false">IF($K54="","",INDEX(Base!$G$5:$G$2004,$K54))</f>
        <v>3ª Revisão</v>
      </c>
      <c r="F54" s="71" t="str">
        <f aca="false">IF($K54="","",INDEX(Base!$H$5:$H$2004,$K54))</f>
        <v>R3</v>
      </c>
      <c r="G54" s="71" t="str">
        <f aca="false">IF($K54="","",INDEX(Base!$I$5:$I$2004,$K54))</f>
        <v>Prática</v>
      </c>
      <c r="H54" s="70" t="str">
        <f aca="false">IF($K54="","",INDEX(Base!$J$5:$J$2004,$K54))</f>
        <v>Clínica Médica</v>
      </c>
      <c r="I54" s="71" t="str">
        <f aca="false">IF($K54="","",INDEX(Base!$L$5:$L$2004,$K54))</f>
        <v>Pendente</v>
      </c>
      <c r="J54" s="72" t="n">
        <f aca="false">IFERROR(SMALL(Base!$P$5:$P$2004,ROW()-5),"")</f>
        <v>4631201</v>
      </c>
      <c r="K54" s="72" t="n">
        <f aca="false">IF(J54="","",MATCH(J54,Base!$P$5:$P$2004,0))</f>
        <v>40</v>
      </c>
    </row>
    <row r="55" customFormat="false" ht="15" hidden="false" customHeight="false" outlineLevel="0" collapsed="false">
      <c r="A55" s="67" t="n">
        <f aca="false">IF($K55="","",ROW()-5)</f>
        <v>50</v>
      </c>
      <c r="B55" s="68" t="n">
        <f aca="false">IF($K55="","",INDEX(Base!$E$5:$E$2004,$K55))</f>
        <v>46312</v>
      </c>
      <c r="C55" s="69" t="n">
        <f aca="false">IF($K55="","",B55)</f>
        <v>46312</v>
      </c>
      <c r="D55" s="70" t="str">
        <f aca="false">IF($K55="","",INDEX(Base!$F$5:$F$2004,$K55))</f>
        <v>Doenças da Suprarrenal</v>
      </c>
      <c r="E55" s="70" t="str">
        <f aca="false">IF($K55="","",INDEX(Base!$G$5:$G$2004,$K55))</f>
        <v>1ª Revisão</v>
      </c>
      <c r="F55" s="71" t="str">
        <f aca="false">IF($K55="","",INDEX(Base!$H$5:$H$2004,$K55))</f>
        <v>R1</v>
      </c>
      <c r="G55" s="71" t="str">
        <f aca="false">IF($K55="","",INDEX(Base!$I$5:$I$2004,$K55))</f>
        <v>Revisão</v>
      </c>
      <c r="H55" s="70" t="str">
        <f aca="false">IF($K55="","",INDEX(Base!$J$5:$J$2004,$K55))</f>
        <v>Clínica Médica</v>
      </c>
      <c r="I55" s="71" t="str">
        <f aca="false">IF($K55="","",INDEX(Base!$L$5:$L$2004,$K55))</f>
        <v>Pendente</v>
      </c>
      <c r="J55" s="72" t="n">
        <f aca="false">IFERROR(SMALL(Base!$P$5:$P$2004,ROW()-5),"")</f>
        <v>4631202</v>
      </c>
      <c r="K55" s="72" t="n">
        <f aca="false">IF(J55="","",MATCH(J55,Base!$P$5:$P$2004,0))</f>
        <v>86</v>
      </c>
    </row>
    <row r="56" customFormat="false" ht="15" hidden="false" customHeight="false" outlineLevel="0" collapsed="false">
      <c r="A56" s="67" t="n">
        <f aca="false">IF($K56="","",ROW()-5)</f>
        <v>51</v>
      </c>
      <c r="B56" s="68" t="n">
        <f aca="false">IF($K56="","",INDEX(Base!$E$5:$E$2004,$K56))</f>
        <v>46312</v>
      </c>
      <c r="C56" s="69" t="n">
        <f aca="false">IF($K56="","",B56)</f>
        <v>46312</v>
      </c>
      <c r="D56" s="70" t="str">
        <f aca="false">IF($K56="","",INDEX(Base!$F$5:$F$2004,$K56))</f>
        <v>Infecções Sexualmente Transmissíveis</v>
      </c>
      <c r="E56" s="70" t="str">
        <f aca="false">IF($K56="","",INDEX(Base!$G$5:$G$2004,$K56))</f>
        <v>1ª Revisão</v>
      </c>
      <c r="F56" s="71" t="str">
        <f aca="false">IF($K56="","",INDEX(Base!$H$5:$H$2004,$K56))</f>
        <v>R1</v>
      </c>
      <c r="G56" s="71" t="str">
        <f aca="false">IF($K56="","",INDEX(Base!$I$5:$I$2004,$K56))</f>
        <v>Revisão</v>
      </c>
      <c r="H56" s="70" t="str">
        <f aca="false">IF($K56="","",INDEX(Base!$J$5:$J$2004,$K56))</f>
        <v>Ginecologia e Obstetrícia</v>
      </c>
      <c r="I56" s="71" t="str">
        <f aca="false">IF($K56="","",INDEX(Base!$L$5:$L$2004,$K56))</f>
        <v>Pendente</v>
      </c>
      <c r="J56" s="72" t="n">
        <f aca="false">IFERROR(SMALL(Base!$P$5:$P$2004,ROW()-5),"")</f>
        <v>4631203</v>
      </c>
      <c r="K56" s="72" t="n">
        <f aca="false">IF(J56="","",MATCH(J56,Base!$P$5:$P$2004,0))</f>
        <v>92</v>
      </c>
    </row>
    <row r="57" customFormat="false" ht="15" hidden="false" customHeight="false" outlineLevel="0" collapsed="false">
      <c r="A57" s="67" t="n">
        <f aca="false">IF($K57="","",ROW()-5)</f>
        <v>52</v>
      </c>
      <c r="B57" s="68" t="n">
        <f aca="false">IF($K57="","",INDEX(Base!$E$5:$E$2004,$K57))</f>
        <v>46312</v>
      </c>
      <c r="C57" s="69" t="n">
        <f aca="false">IF($K57="","",B57)</f>
        <v>46312</v>
      </c>
      <c r="D57" s="70" t="str">
        <f aca="false">IF($K57="","",INDEX(Base!$F$5:$F$2004,$K57))</f>
        <v>Parasitoses Intestinais</v>
      </c>
      <c r="E57" s="70" t="str">
        <f aca="false">IF($K57="","",INDEX(Base!$G$5:$G$2004,$K57))</f>
        <v>1ª Revisão</v>
      </c>
      <c r="F57" s="71" t="str">
        <f aca="false">IF($K57="","",INDEX(Base!$H$5:$H$2004,$K57))</f>
        <v>R1</v>
      </c>
      <c r="G57" s="71" t="str">
        <f aca="false">IF($K57="","",INDEX(Base!$I$5:$I$2004,$K57))</f>
        <v>Revisão</v>
      </c>
      <c r="H57" s="70" t="str">
        <f aca="false">IF($K57="","",INDEX(Base!$J$5:$J$2004,$K57))</f>
        <v>Pediatria</v>
      </c>
      <c r="I57" s="71" t="str">
        <f aca="false">IF($K57="","",INDEX(Base!$L$5:$L$2004,$K57))</f>
        <v>Pendente</v>
      </c>
      <c r="J57" s="72" t="n">
        <f aca="false">IFERROR(SMALL(Base!$P$5:$P$2004,ROW()-5),"")</f>
        <v>4631204</v>
      </c>
      <c r="K57" s="72" t="n">
        <f aca="false">IF(J57="","",MATCH(J57,Base!$P$5:$P$2004,0))</f>
        <v>98</v>
      </c>
    </row>
    <row r="58" customFormat="false" ht="15" hidden="false" customHeight="false" outlineLevel="0" collapsed="false">
      <c r="A58" s="67" t="n">
        <f aca="false">IF($K58="","",ROW()-5)</f>
        <v>53</v>
      </c>
      <c r="B58" s="68" t="n">
        <f aca="false">IF($K58="","",INDEX(Base!$E$5:$E$2004,$K58))</f>
        <v>46312</v>
      </c>
      <c r="C58" s="69" t="n">
        <f aca="false">IF($K58="","",B58)</f>
        <v>46312</v>
      </c>
      <c r="D58" s="70" t="str">
        <f aca="false">IF($K58="","",INDEX(Base!$F$5:$F$2004,$K58))</f>
        <v>HIV/AIDS</v>
      </c>
      <c r="E58" s="70" t="str">
        <f aca="false">IF($K58="","",INDEX(Base!$G$5:$G$2004,$K58))</f>
        <v>1ª Revisão</v>
      </c>
      <c r="F58" s="71" t="str">
        <f aca="false">IF($K58="","",INDEX(Base!$H$5:$H$2004,$K58))</f>
        <v>R1</v>
      </c>
      <c r="G58" s="71" t="str">
        <f aca="false">IF($K58="","",INDEX(Base!$I$5:$I$2004,$K58))</f>
        <v>Revisão</v>
      </c>
      <c r="H58" s="70" t="str">
        <f aca="false">IF($K58="","",INDEX(Base!$J$5:$J$2004,$K58))</f>
        <v>Clínica Médica</v>
      </c>
      <c r="I58" s="71" t="str">
        <f aca="false">IF($K58="","",INDEX(Base!$L$5:$L$2004,$K58))</f>
        <v>Pendente</v>
      </c>
      <c r="J58" s="72" t="n">
        <f aca="false">IFERROR(SMALL(Base!$P$5:$P$2004,ROW()-5),"")</f>
        <v>4631205</v>
      </c>
      <c r="K58" s="72" t="n">
        <f aca="false">IF(J58="","",MATCH(J58,Base!$P$5:$P$2004,0))</f>
        <v>104</v>
      </c>
    </row>
    <row r="59" customFormat="false" ht="15" hidden="false" customHeight="false" outlineLevel="0" collapsed="false">
      <c r="A59" s="67" t="n">
        <f aca="false">IF($K59="","",ROW()-5)</f>
        <v>54</v>
      </c>
      <c r="B59" s="68" t="n">
        <f aca="false">IF($K59="","",INDEX(Base!$E$5:$E$2004,$K59))</f>
        <v>46313</v>
      </c>
      <c r="C59" s="69" t="n">
        <f aca="false">IF($K59="","",B59)</f>
        <v>46313</v>
      </c>
      <c r="D59" s="70" t="str">
        <f aca="false">IF($K59="","",INDEX(Base!$F$5:$F$2004,$K59))</f>
        <v>Endocardite Infecciosa / Meningites</v>
      </c>
      <c r="E59" s="70" t="str">
        <f aca="false">IF($K59="","",INDEX(Base!$G$5:$G$2004,$K59))</f>
        <v>2ª Revisão</v>
      </c>
      <c r="F59" s="71" t="str">
        <f aca="false">IF($K59="","",INDEX(Base!$H$5:$H$2004,$K59))</f>
        <v>R2</v>
      </c>
      <c r="G59" s="71" t="str">
        <f aca="false">IF($K59="","",INDEX(Base!$I$5:$I$2004,$K59))</f>
        <v>Prática</v>
      </c>
      <c r="H59" s="70" t="str">
        <f aca="false">IF($K59="","",INDEX(Base!$J$5:$J$2004,$K59))</f>
        <v>Clínica Médica</v>
      </c>
      <c r="I59" s="71" t="str">
        <f aca="false">IF($K59="","",INDEX(Base!$L$5:$L$2004,$K59))</f>
        <v>Pendente</v>
      </c>
      <c r="J59" s="72" t="n">
        <f aca="false">IFERROR(SMALL(Base!$P$5:$P$2004,ROW()-5),"")</f>
        <v>4631301</v>
      </c>
      <c r="K59" s="72" t="n">
        <f aca="false">IF(J59="","",MATCH(J59,Base!$P$5:$P$2004,0))</f>
        <v>57</v>
      </c>
    </row>
    <row r="60" customFormat="false" ht="15" hidden="false" customHeight="false" outlineLevel="0" collapsed="false">
      <c r="A60" s="67" t="n">
        <f aca="false">IF($K60="","",ROW()-5)</f>
        <v>55</v>
      </c>
      <c r="B60" s="68" t="n">
        <f aca="false">IF($K60="","",INDEX(Base!$E$5:$E$2004,$K60))</f>
        <v>46314</v>
      </c>
      <c r="C60" s="69" t="n">
        <f aca="false">IF($K60="","",B60)</f>
        <v>46314</v>
      </c>
      <c r="D60" s="70" t="str">
        <f aca="false">IF($K60="","",INDEX(Base!$F$5:$F$2004,$K60))</f>
        <v>Especialidade Cirúrgica I</v>
      </c>
      <c r="E60" s="70" t="str">
        <f aca="false">IF($K60="","",INDEX(Base!$G$5:$G$2004,$K60))</f>
        <v>2ª Revisão</v>
      </c>
      <c r="F60" s="71" t="str">
        <f aca="false">IF($K60="","",INDEX(Base!$H$5:$H$2004,$K60))</f>
        <v>R2</v>
      </c>
      <c r="G60" s="71" t="str">
        <f aca="false">IF($K60="","",INDEX(Base!$I$5:$I$2004,$K60))</f>
        <v>Prática</v>
      </c>
      <c r="H60" s="70" t="str">
        <f aca="false">IF($K60="","",INDEX(Base!$J$5:$J$2004,$K60))</f>
        <v>Cirurgia</v>
      </c>
      <c r="I60" s="71" t="str">
        <f aca="false">IF($K60="","",INDEX(Base!$L$5:$L$2004,$K60))</f>
        <v>Pendente</v>
      </c>
      <c r="J60" s="72" t="n">
        <f aca="false">IFERROR(SMALL(Base!$P$5:$P$2004,ROW()-5),"")</f>
        <v>4631401</v>
      </c>
      <c r="K60" s="72" t="n">
        <f aca="false">IF(J60="","",MATCH(J60,Base!$P$5:$P$2004,0))</f>
        <v>63</v>
      </c>
    </row>
    <row r="61" customFormat="false" ht="15" hidden="false" customHeight="false" outlineLevel="0" collapsed="false">
      <c r="A61" s="67" t="n">
        <f aca="false">IF($K61="","",ROW()-5)</f>
        <v>56</v>
      </c>
      <c r="B61" s="68" t="n">
        <f aca="false">IF($K61="","",INDEX(Base!$E$5:$E$2004,$K61))</f>
        <v>46314</v>
      </c>
      <c r="C61" s="69" t="n">
        <f aca="false">IF($K61="","",B61)</f>
        <v>46314</v>
      </c>
      <c r="D61" s="70" t="str">
        <f aca="false">IF($K61="","",INDEX(Base!$F$5:$F$2004,$K61))</f>
        <v>Especialidade Cirúrgica II</v>
      </c>
      <c r="E61" s="70" t="str">
        <f aca="false">IF($K61="","",INDEX(Base!$G$5:$G$2004,$K61))</f>
        <v>2ª Revisão</v>
      </c>
      <c r="F61" s="71" t="str">
        <f aca="false">IF($K61="","",INDEX(Base!$H$5:$H$2004,$K61))</f>
        <v>R2</v>
      </c>
      <c r="G61" s="71" t="str">
        <f aca="false">IF($K61="","",INDEX(Base!$I$5:$I$2004,$K61))</f>
        <v>Prática</v>
      </c>
      <c r="H61" s="70" t="str">
        <f aca="false">IF($K61="","",INDEX(Base!$J$5:$J$2004,$K61))</f>
        <v>Cirurgia</v>
      </c>
      <c r="I61" s="71" t="str">
        <f aca="false">IF($K61="","",INDEX(Base!$L$5:$L$2004,$K61))</f>
        <v>Pendente</v>
      </c>
      <c r="J61" s="72" t="n">
        <f aca="false">IFERROR(SMALL(Base!$P$5:$P$2004,ROW()-5),"")</f>
        <v>4631402</v>
      </c>
      <c r="K61" s="72" t="n">
        <f aca="false">IF(J61="","",MATCH(J61,Base!$P$5:$P$2004,0))</f>
        <v>69</v>
      </c>
    </row>
    <row r="62" customFormat="false" ht="15" hidden="false" customHeight="false" outlineLevel="0" collapsed="false">
      <c r="A62" s="67" t="n">
        <f aca="false">IF($K62="","",ROW()-5)</f>
        <v>57</v>
      </c>
      <c r="B62" s="68" t="n">
        <f aca="false">IF($K62="","",INDEX(Base!$E$5:$E$2004,$K62))</f>
        <v>46314</v>
      </c>
      <c r="C62" s="69" t="n">
        <f aca="false">IF($K62="","",B62)</f>
        <v>46314</v>
      </c>
      <c r="D62" s="70" t="str">
        <f aca="false">IF($K62="","",INDEX(Base!$F$5:$F$2004,$K62))</f>
        <v>Dermatologia I e II</v>
      </c>
      <c r="E62" s="70" t="str">
        <f aca="false">IF($K62="","",INDEX(Base!$G$5:$G$2004,$K62))</f>
        <v>Aula teórica</v>
      </c>
      <c r="F62" s="71" t="str">
        <f aca="false">IF($K62="","",INDEX(Base!$H$5:$H$2004,$K62))</f>
        <v>T</v>
      </c>
      <c r="G62" s="71" t="str">
        <f aca="false">IF($K62="","",INDEX(Base!$I$5:$I$2004,$K62))</f>
        <v>Teórica</v>
      </c>
      <c r="H62" s="70" t="str">
        <f aca="false">IF($K62="","",INDEX(Base!$J$5:$J$2004,$K62))</f>
        <v>Clínica Médica</v>
      </c>
      <c r="I62" s="71" t="str">
        <f aca="false">IF($K62="","",INDEX(Base!$L$5:$L$2004,$K62))</f>
        <v>Pendente</v>
      </c>
      <c r="J62" s="72" t="n">
        <f aca="false">IFERROR(SMALL(Base!$P$5:$P$2004,ROW()-5),"")</f>
        <v>4631403</v>
      </c>
      <c r="K62" s="72" t="n">
        <f aca="false">IF(J62="","",MATCH(J62,Base!$P$5:$P$2004,0))</f>
        <v>109</v>
      </c>
    </row>
    <row r="63" customFormat="false" ht="15" hidden="false" customHeight="false" outlineLevel="0" collapsed="false">
      <c r="A63" s="67" t="n">
        <f aca="false">IF($K63="","",ROW()-5)</f>
        <v>58</v>
      </c>
      <c r="B63" s="68" t="n">
        <f aca="false">IF($K63="","",INDEX(Base!$E$5:$E$2004,$K63))</f>
        <v>46315</v>
      </c>
      <c r="C63" s="69" t="n">
        <f aca="false">IF($K63="","",B63)</f>
        <v>46315</v>
      </c>
      <c r="D63" s="70" t="str">
        <f aca="false">IF($K63="","",INDEX(Base!$F$5:$F$2004,$K63))</f>
        <v>Transtornos Psiquiátricos I</v>
      </c>
      <c r="E63" s="70" t="str">
        <f aca="false">IF($K63="","",INDEX(Base!$G$5:$G$2004,$K63))</f>
        <v>3ª Revisão</v>
      </c>
      <c r="F63" s="71" t="str">
        <f aca="false">IF($K63="","",INDEX(Base!$H$5:$H$2004,$K63))</f>
        <v>R3</v>
      </c>
      <c r="G63" s="71" t="str">
        <f aca="false">IF($K63="","",INDEX(Base!$I$5:$I$2004,$K63))</f>
        <v>Prática</v>
      </c>
      <c r="H63" s="70" t="str">
        <f aca="false">IF($K63="","",INDEX(Base!$J$5:$J$2004,$K63))</f>
        <v>Clínica Médica</v>
      </c>
      <c r="I63" s="71" t="str">
        <f aca="false">IF($K63="","",INDEX(Base!$L$5:$L$2004,$K63))</f>
        <v>Pendente</v>
      </c>
      <c r="J63" s="72" t="n">
        <f aca="false">IFERROR(SMALL(Base!$P$5:$P$2004,ROW()-5),"")</f>
        <v>4631501</v>
      </c>
      <c r="K63" s="72" t="n">
        <f aca="false">IF(J63="","",MATCH(J63,Base!$P$5:$P$2004,0))</f>
        <v>46</v>
      </c>
    </row>
    <row r="64" customFormat="false" ht="15" hidden="false" customHeight="false" outlineLevel="0" collapsed="false">
      <c r="A64" s="67" t="n">
        <f aca="false">IF($K64="","",ROW()-5)</f>
        <v>59</v>
      </c>
      <c r="B64" s="68" t="n">
        <f aca="false">IF($K64="","",INDEX(Base!$E$5:$E$2004,$K64))</f>
        <v>46315</v>
      </c>
      <c r="C64" s="69" t="n">
        <f aca="false">IF($K64="","",B64)</f>
        <v>46315</v>
      </c>
      <c r="D64" s="70" t="str">
        <f aca="false">IF($K64="","",INDEX(Base!$F$5:$F$2004,$K64))</f>
        <v>Dermatologia I e II</v>
      </c>
      <c r="E64" s="70" t="str">
        <f aca="false">IF($K64="","",INDEX(Base!$G$5:$G$2004,$K64))</f>
        <v>1ª Revisão</v>
      </c>
      <c r="F64" s="71" t="str">
        <f aca="false">IF($K64="","",INDEX(Base!$H$5:$H$2004,$K64))</f>
        <v>R1</v>
      </c>
      <c r="G64" s="71" t="str">
        <f aca="false">IF($K64="","",INDEX(Base!$I$5:$I$2004,$K64))</f>
        <v>Revisão</v>
      </c>
      <c r="H64" s="70" t="str">
        <f aca="false">IF($K64="","",INDEX(Base!$J$5:$J$2004,$K64))</f>
        <v>Clínica Médica</v>
      </c>
      <c r="I64" s="71" t="str">
        <f aca="false">IF($K64="","",INDEX(Base!$L$5:$L$2004,$K64))</f>
        <v>Pendente</v>
      </c>
      <c r="J64" s="72" t="n">
        <f aca="false">IFERROR(SMALL(Base!$P$5:$P$2004,ROW()-5),"")</f>
        <v>4631502</v>
      </c>
      <c r="K64" s="72" t="n">
        <f aca="false">IF(J64="","",MATCH(J64,Base!$P$5:$P$2004,0))</f>
        <v>110</v>
      </c>
    </row>
    <row r="65" customFormat="false" ht="15" hidden="false" customHeight="false" outlineLevel="0" collapsed="false">
      <c r="A65" s="67" t="n">
        <f aca="false">IF($K65="","",ROW()-5)</f>
        <v>60</v>
      </c>
      <c r="B65" s="68" t="n">
        <f aca="false">IF($K65="","",INDEX(Base!$E$5:$E$2004,$K65))</f>
        <v>46315</v>
      </c>
      <c r="C65" s="69" t="n">
        <f aca="false">IF($K65="","",B65)</f>
        <v>46315</v>
      </c>
      <c r="D65" s="70" t="str">
        <f aca="false">IF($K65="","",INDEX(Base!$F$5:$F$2004,$K65))</f>
        <v>Bônus Oftalmo</v>
      </c>
      <c r="E65" s="70" t="str">
        <f aca="false">IF($K65="","",INDEX(Base!$G$5:$G$2004,$K65))</f>
        <v>Aula teórica</v>
      </c>
      <c r="F65" s="71" t="str">
        <f aca="false">IF($K65="","",INDEX(Base!$H$5:$H$2004,$K65))</f>
        <v>T</v>
      </c>
      <c r="G65" s="71" t="str">
        <f aca="false">IF($K65="","",INDEX(Base!$I$5:$I$2004,$K65))</f>
        <v>Teórica</v>
      </c>
      <c r="H65" s="70" t="str">
        <f aca="false">IF($K65="","",INDEX(Base!$J$5:$J$2004,$K65))</f>
        <v>Cirurgia</v>
      </c>
      <c r="I65" s="71" t="str">
        <f aca="false">IF($K65="","",INDEX(Base!$L$5:$L$2004,$K65))</f>
        <v>Pendente</v>
      </c>
      <c r="J65" s="72" t="n">
        <f aca="false">IFERROR(SMALL(Base!$P$5:$P$2004,ROW()-5),"")</f>
        <v>4631503</v>
      </c>
      <c r="K65" s="72" t="n">
        <f aca="false">IF(J65="","",MATCH(J65,Base!$P$5:$P$2004,0))</f>
        <v>115</v>
      </c>
    </row>
    <row r="66" customFormat="false" ht="15" hidden="false" customHeight="false" outlineLevel="0" collapsed="false">
      <c r="A66" s="67" t="n">
        <f aca="false">IF($K66="","",ROW()-5)</f>
        <v>61</v>
      </c>
      <c r="B66" s="68" t="n">
        <f aca="false">IF($K66="","",INDEX(Base!$E$5:$E$2004,$K66))</f>
        <v>46315</v>
      </c>
      <c r="C66" s="69" t="n">
        <f aca="false">IF($K66="","",B66)</f>
        <v>46315</v>
      </c>
      <c r="D66" s="70" t="str">
        <f aca="false">IF($K66="","",INDEX(Base!$F$5:$F$2004,$K66))</f>
        <v>Insuficiência Cardíaca</v>
      </c>
      <c r="E66" s="70" t="str">
        <f aca="false">IF($K66="","",INDEX(Base!$G$5:$G$2004,$K66))</f>
        <v>Aula teórica</v>
      </c>
      <c r="F66" s="71" t="str">
        <f aca="false">IF($K66="","",INDEX(Base!$H$5:$H$2004,$K66))</f>
        <v>T</v>
      </c>
      <c r="G66" s="71" t="str">
        <f aca="false">IF($K66="","",INDEX(Base!$I$5:$I$2004,$K66))</f>
        <v>Teórica</v>
      </c>
      <c r="H66" s="70" t="str">
        <f aca="false">IF($K66="","",INDEX(Base!$J$5:$J$2004,$K66))</f>
        <v>Clínica Médica</v>
      </c>
      <c r="I66" s="71" t="str">
        <f aca="false">IF($K66="","",INDEX(Base!$L$5:$L$2004,$K66))</f>
        <v>Pendente</v>
      </c>
      <c r="J66" s="72" t="n">
        <f aca="false">IFERROR(SMALL(Base!$P$5:$P$2004,ROW()-5),"")</f>
        <v>4631504</v>
      </c>
      <c r="K66" s="72" t="n">
        <f aca="false">IF(J66="","",MATCH(J66,Base!$P$5:$P$2004,0))</f>
        <v>121</v>
      </c>
    </row>
    <row r="67" customFormat="false" ht="15" hidden="false" customHeight="false" outlineLevel="0" collapsed="false">
      <c r="A67" s="67" t="n">
        <f aca="false">IF($K67="","",ROW()-5)</f>
        <v>62</v>
      </c>
      <c r="B67" s="68" t="n">
        <f aca="false">IF($K67="","",INDEX(Base!$E$5:$E$2004,$K67))</f>
        <v>46316</v>
      </c>
      <c r="C67" s="69" t="n">
        <f aca="false">IF($K67="","",B67)</f>
        <v>46316</v>
      </c>
      <c r="D67" s="70" t="str">
        <f aca="false">IF($K67="","",INDEX(Base!$F$5:$F$2004,$K67))</f>
        <v>Distúrbios Hipertensivos na Gestação</v>
      </c>
      <c r="E67" s="70" t="str">
        <f aca="false">IF($K67="","",INDEX(Base!$G$5:$G$2004,$K67))</f>
        <v>2ª Revisão</v>
      </c>
      <c r="F67" s="71" t="str">
        <f aca="false">IF($K67="","",INDEX(Base!$H$5:$H$2004,$K67))</f>
        <v>R2</v>
      </c>
      <c r="G67" s="71" t="str">
        <f aca="false">IF($K67="","",INDEX(Base!$I$5:$I$2004,$K67))</f>
        <v>Prática</v>
      </c>
      <c r="H67" s="70" t="str">
        <f aca="false">IF($K67="","",INDEX(Base!$J$5:$J$2004,$K67))</f>
        <v>Ginecologia e Obstetrícia</v>
      </c>
      <c r="I67" s="71" t="str">
        <f aca="false">IF($K67="","",INDEX(Base!$L$5:$L$2004,$K67))</f>
        <v>Pendente</v>
      </c>
      <c r="J67" s="72" t="n">
        <f aca="false">IFERROR(SMALL(Base!$P$5:$P$2004,ROW()-5),"")</f>
        <v>4631601</v>
      </c>
      <c r="K67" s="72" t="n">
        <f aca="false">IF(J67="","",MATCH(J67,Base!$P$5:$P$2004,0))</f>
        <v>75</v>
      </c>
    </row>
    <row r="68" customFormat="false" ht="15" hidden="false" customHeight="false" outlineLevel="0" collapsed="false">
      <c r="A68" s="67" t="n">
        <f aca="false">IF($K68="","",ROW()-5)</f>
        <v>63</v>
      </c>
      <c r="B68" s="68" t="n">
        <f aca="false">IF($K68="","",INDEX(Base!$E$5:$E$2004,$K68))</f>
        <v>46316</v>
      </c>
      <c r="C68" s="69" t="n">
        <f aca="false">IF($K68="","",B68)</f>
        <v>46316</v>
      </c>
      <c r="D68" s="70" t="str">
        <f aca="false">IF($K68="","",INDEX(Base!$F$5:$F$2004,$K68))</f>
        <v>Sofrimento Fetal e Vitalidade Fetal</v>
      </c>
      <c r="E68" s="70" t="str">
        <f aca="false">IF($K68="","",INDEX(Base!$G$5:$G$2004,$K68))</f>
        <v>2ª Revisão</v>
      </c>
      <c r="F68" s="71" t="str">
        <f aca="false">IF($K68="","",INDEX(Base!$H$5:$H$2004,$K68))</f>
        <v>R2</v>
      </c>
      <c r="G68" s="71" t="str">
        <f aca="false">IF($K68="","",INDEX(Base!$I$5:$I$2004,$K68))</f>
        <v>Prática</v>
      </c>
      <c r="H68" s="70" t="str">
        <f aca="false">IF($K68="","",INDEX(Base!$J$5:$J$2004,$K68))</f>
        <v>Ginecologia e Obstetrícia</v>
      </c>
      <c r="I68" s="71" t="str">
        <f aca="false">IF($K68="","",INDEX(Base!$L$5:$L$2004,$K68))</f>
        <v>Pendente</v>
      </c>
      <c r="J68" s="72" t="n">
        <f aca="false">IFERROR(SMALL(Base!$P$5:$P$2004,ROW()-5),"")</f>
        <v>4631602</v>
      </c>
      <c r="K68" s="72" t="n">
        <f aca="false">IF(J68="","",MATCH(J68,Base!$P$5:$P$2004,0))</f>
        <v>81</v>
      </c>
    </row>
    <row r="69" customFormat="false" ht="15" hidden="false" customHeight="false" outlineLevel="0" collapsed="false">
      <c r="A69" s="67" t="n">
        <f aca="false">IF($K69="","",ROW()-5)</f>
        <v>64</v>
      </c>
      <c r="B69" s="68" t="n">
        <f aca="false">IF($K69="","",INDEX(Base!$E$5:$E$2004,$K69))</f>
        <v>46316</v>
      </c>
      <c r="C69" s="69" t="n">
        <f aca="false">IF($K69="","",B69)</f>
        <v>46316</v>
      </c>
      <c r="D69" s="70" t="str">
        <f aca="false">IF($K69="","",INDEX(Base!$F$5:$F$2004,$K69))</f>
        <v>Bônus Oftalmo</v>
      </c>
      <c r="E69" s="70" t="str">
        <f aca="false">IF($K69="","",INDEX(Base!$G$5:$G$2004,$K69))</f>
        <v>1ª Revisão</v>
      </c>
      <c r="F69" s="71" t="str">
        <f aca="false">IF($K69="","",INDEX(Base!$H$5:$H$2004,$K69))</f>
        <v>R1</v>
      </c>
      <c r="G69" s="71" t="str">
        <f aca="false">IF($K69="","",INDEX(Base!$I$5:$I$2004,$K69))</f>
        <v>Revisão</v>
      </c>
      <c r="H69" s="70" t="str">
        <f aca="false">IF($K69="","",INDEX(Base!$J$5:$J$2004,$K69))</f>
        <v>Cirurgia</v>
      </c>
      <c r="I69" s="71" t="str">
        <f aca="false">IF($K69="","",INDEX(Base!$L$5:$L$2004,$K69))</f>
        <v>Pendente</v>
      </c>
      <c r="J69" s="72" t="n">
        <f aca="false">IFERROR(SMALL(Base!$P$5:$P$2004,ROW()-5),"")</f>
        <v>4631603</v>
      </c>
      <c r="K69" s="72" t="n">
        <f aca="false">IF(J69="","",MATCH(J69,Base!$P$5:$P$2004,0))</f>
        <v>116</v>
      </c>
    </row>
    <row r="70" customFormat="false" ht="15" hidden="false" customHeight="false" outlineLevel="0" collapsed="false">
      <c r="A70" s="67" t="n">
        <f aca="false">IF($K70="","",ROW()-5)</f>
        <v>65</v>
      </c>
      <c r="B70" s="68" t="n">
        <f aca="false">IF($K70="","",INDEX(Base!$E$5:$E$2004,$K70))</f>
        <v>46316</v>
      </c>
      <c r="C70" s="69" t="n">
        <f aca="false">IF($K70="","",B70)</f>
        <v>46316</v>
      </c>
      <c r="D70" s="70" t="str">
        <f aca="false">IF($K70="","",INDEX(Base!$F$5:$F$2004,$K70))</f>
        <v>Insuficiência Cardíaca</v>
      </c>
      <c r="E70" s="70" t="str">
        <f aca="false">IF($K70="","",INDEX(Base!$G$5:$G$2004,$K70))</f>
        <v>1ª Revisão</v>
      </c>
      <c r="F70" s="71" t="str">
        <f aca="false">IF($K70="","",INDEX(Base!$H$5:$H$2004,$K70))</f>
        <v>R1</v>
      </c>
      <c r="G70" s="71" t="str">
        <f aca="false">IF($K70="","",INDEX(Base!$I$5:$I$2004,$K70))</f>
        <v>Revisão</v>
      </c>
      <c r="H70" s="70" t="str">
        <f aca="false">IF($K70="","",INDEX(Base!$J$5:$J$2004,$K70))</f>
        <v>Clínica Médica</v>
      </c>
      <c r="I70" s="71" t="str">
        <f aca="false">IF($K70="","",INDEX(Base!$L$5:$L$2004,$K70))</f>
        <v>Pendente</v>
      </c>
      <c r="J70" s="72" t="n">
        <f aca="false">IFERROR(SMALL(Base!$P$5:$P$2004,ROW()-5),"")</f>
        <v>4631604</v>
      </c>
      <c r="K70" s="72" t="n">
        <f aca="false">IF(J70="","",MATCH(J70,Base!$P$5:$P$2004,0))</f>
        <v>122</v>
      </c>
    </row>
    <row r="71" customFormat="false" ht="15" hidden="false" customHeight="false" outlineLevel="0" collapsed="false">
      <c r="A71" s="67" t="n">
        <f aca="false">IF($K71="","",ROW()-5)</f>
        <v>66</v>
      </c>
      <c r="B71" s="68" t="n">
        <f aca="false">IF($K71="","",INDEX(Base!$E$5:$E$2004,$K71))</f>
        <v>46318</v>
      </c>
      <c r="C71" s="69" t="n">
        <f aca="false">IF($K71="","",B71)</f>
        <v>46318</v>
      </c>
      <c r="D71" s="70" t="str">
        <f aca="false">IF($K71="","",INDEX(Base!$F$5:$F$2004,$K71))</f>
        <v>Síndromes Febris — Dengue</v>
      </c>
      <c r="E71" s="70" t="str">
        <f aca="false">IF($K71="","",INDEX(Base!$G$5:$G$2004,$K71))</f>
        <v>3ª Revisão</v>
      </c>
      <c r="F71" s="71" t="str">
        <f aca="false">IF($K71="","",INDEX(Base!$H$5:$H$2004,$K71))</f>
        <v>R3</v>
      </c>
      <c r="G71" s="71" t="str">
        <f aca="false">IF($K71="","",INDEX(Base!$I$5:$I$2004,$K71))</f>
        <v>Prática</v>
      </c>
      <c r="H71" s="70" t="str">
        <f aca="false">IF($K71="","",INDEX(Base!$J$5:$J$2004,$K71))</f>
        <v>Clínica Médica</v>
      </c>
      <c r="I71" s="71" t="str">
        <f aca="false">IF($K71="","",INDEX(Base!$L$5:$L$2004,$K71))</f>
        <v>Pendente</v>
      </c>
      <c r="J71" s="72" t="n">
        <f aca="false">IFERROR(SMALL(Base!$P$5:$P$2004,ROW()-5),"")</f>
        <v>4631801</v>
      </c>
      <c r="K71" s="72" t="n">
        <f aca="false">IF(J71="","",MATCH(J71,Base!$P$5:$P$2004,0))</f>
        <v>52</v>
      </c>
    </row>
    <row r="72" customFormat="false" ht="15" hidden="false" customHeight="false" outlineLevel="0" collapsed="false">
      <c r="A72" s="67" t="n">
        <f aca="false">IF($K72="","",ROW()-5)</f>
        <v>67</v>
      </c>
      <c r="B72" s="68" t="n">
        <f aca="false">IF($K72="","",INDEX(Base!$E$5:$E$2004,$K72))</f>
        <v>46318</v>
      </c>
      <c r="C72" s="69" t="n">
        <f aca="false">IF($K72="","",B72)</f>
        <v>46318</v>
      </c>
      <c r="D72" s="70" t="str">
        <f aca="false">IF($K72="","",INDEX(Base!$F$5:$F$2004,$K72))</f>
        <v>Doenças da Suprarrenal</v>
      </c>
      <c r="E72" s="70" t="str">
        <f aca="false">IF($K72="","",INDEX(Base!$G$5:$G$2004,$K72))</f>
        <v>2ª Revisão</v>
      </c>
      <c r="F72" s="71" t="str">
        <f aca="false">IF($K72="","",INDEX(Base!$H$5:$H$2004,$K72))</f>
        <v>R2</v>
      </c>
      <c r="G72" s="71" t="str">
        <f aca="false">IF($K72="","",INDEX(Base!$I$5:$I$2004,$K72))</f>
        <v>Prática</v>
      </c>
      <c r="H72" s="70" t="str">
        <f aca="false">IF($K72="","",INDEX(Base!$J$5:$J$2004,$K72))</f>
        <v>Clínica Médica</v>
      </c>
      <c r="I72" s="71" t="str">
        <f aca="false">IF($K72="","",INDEX(Base!$L$5:$L$2004,$K72))</f>
        <v>Pendente</v>
      </c>
      <c r="J72" s="72" t="n">
        <f aca="false">IFERROR(SMALL(Base!$P$5:$P$2004,ROW()-5),"")</f>
        <v>4631802</v>
      </c>
      <c r="K72" s="72" t="n">
        <f aca="false">IF(J72="","",MATCH(J72,Base!$P$5:$P$2004,0))</f>
        <v>87</v>
      </c>
    </row>
    <row r="73" customFormat="false" ht="15" hidden="false" customHeight="false" outlineLevel="0" collapsed="false">
      <c r="A73" s="67" t="n">
        <f aca="false">IF($K73="","",ROW()-5)</f>
        <v>68</v>
      </c>
      <c r="B73" s="68" t="n">
        <f aca="false">IF($K73="","",INDEX(Base!$E$5:$E$2004,$K73))</f>
        <v>46318</v>
      </c>
      <c r="C73" s="69" t="n">
        <f aca="false">IF($K73="","",B73)</f>
        <v>46318</v>
      </c>
      <c r="D73" s="70" t="str">
        <f aca="false">IF($K73="","",INDEX(Base!$F$5:$F$2004,$K73))</f>
        <v>Infecções Sexualmente Transmissíveis</v>
      </c>
      <c r="E73" s="70" t="str">
        <f aca="false">IF($K73="","",INDEX(Base!$G$5:$G$2004,$K73))</f>
        <v>2ª Revisão</v>
      </c>
      <c r="F73" s="71" t="str">
        <f aca="false">IF($K73="","",INDEX(Base!$H$5:$H$2004,$K73))</f>
        <v>R2</v>
      </c>
      <c r="G73" s="71" t="str">
        <f aca="false">IF($K73="","",INDEX(Base!$I$5:$I$2004,$K73))</f>
        <v>Prática</v>
      </c>
      <c r="H73" s="70" t="str">
        <f aca="false">IF($K73="","",INDEX(Base!$J$5:$J$2004,$K73))</f>
        <v>Ginecologia e Obstetrícia</v>
      </c>
      <c r="I73" s="71" t="str">
        <f aca="false">IF($K73="","",INDEX(Base!$L$5:$L$2004,$K73))</f>
        <v>Pendente</v>
      </c>
      <c r="J73" s="72" t="n">
        <f aca="false">IFERROR(SMALL(Base!$P$5:$P$2004,ROW()-5),"")</f>
        <v>4631803</v>
      </c>
      <c r="K73" s="72" t="n">
        <f aca="false">IF(J73="","",MATCH(J73,Base!$P$5:$P$2004,0))</f>
        <v>93</v>
      </c>
    </row>
    <row r="74" customFormat="false" ht="15" hidden="false" customHeight="false" outlineLevel="0" collapsed="false">
      <c r="A74" s="67" t="n">
        <f aca="false">IF($K74="","",ROW()-5)</f>
        <v>69</v>
      </c>
      <c r="B74" s="68" t="n">
        <f aca="false">IF($K74="","",INDEX(Base!$E$5:$E$2004,$K74))</f>
        <v>46318</v>
      </c>
      <c r="C74" s="69" t="n">
        <f aca="false">IF($K74="","",B74)</f>
        <v>46318</v>
      </c>
      <c r="D74" s="70" t="str">
        <f aca="false">IF($K74="","",INDEX(Base!$F$5:$F$2004,$K74))</f>
        <v>Parasitoses Intestinais</v>
      </c>
      <c r="E74" s="70" t="str">
        <f aca="false">IF($K74="","",INDEX(Base!$G$5:$G$2004,$K74))</f>
        <v>2ª Revisão</v>
      </c>
      <c r="F74" s="71" t="str">
        <f aca="false">IF($K74="","",INDEX(Base!$H$5:$H$2004,$K74))</f>
        <v>R2</v>
      </c>
      <c r="G74" s="71" t="str">
        <f aca="false">IF($K74="","",INDEX(Base!$I$5:$I$2004,$K74))</f>
        <v>Prática</v>
      </c>
      <c r="H74" s="70" t="str">
        <f aca="false">IF($K74="","",INDEX(Base!$J$5:$J$2004,$K74))</f>
        <v>Pediatria</v>
      </c>
      <c r="I74" s="71" t="str">
        <f aca="false">IF($K74="","",INDEX(Base!$L$5:$L$2004,$K74))</f>
        <v>Pendente</v>
      </c>
      <c r="J74" s="72" t="n">
        <f aca="false">IFERROR(SMALL(Base!$P$5:$P$2004,ROW()-5),"")</f>
        <v>4631804</v>
      </c>
      <c r="K74" s="72" t="n">
        <f aca="false">IF(J74="","",MATCH(J74,Base!$P$5:$P$2004,0))</f>
        <v>99</v>
      </c>
    </row>
    <row r="75" customFormat="false" ht="15" hidden="false" customHeight="false" outlineLevel="0" collapsed="false">
      <c r="A75" s="67" t="n">
        <f aca="false">IF($K75="","",ROW()-5)</f>
        <v>70</v>
      </c>
      <c r="B75" s="68" t="n">
        <f aca="false">IF($K75="","",INDEX(Base!$E$5:$E$2004,$K75))</f>
        <v>46318</v>
      </c>
      <c r="C75" s="69" t="n">
        <f aca="false">IF($K75="","",B75)</f>
        <v>46318</v>
      </c>
      <c r="D75" s="70" t="str">
        <f aca="false">IF($K75="","",INDEX(Base!$F$5:$F$2004,$K75))</f>
        <v>HIV/AIDS</v>
      </c>
      <c r="E75" s="70" t="str">
        <f aca="false">IF($K75="","",INDEX(Base!$G$5:$G$2004,$K75))</f>
        <v>2ª Revisão</v>
      </c>
      <c r="F75" s="71" t="str">
        <f aca="false">IF($K75="","",INDEX(Base!$H$5:$H$2004,$K75))</f>
        <v>R2</v>
      </c>
      <c r="G75" s="71" t="str">
        <f aca="false">IF($K75="","",INDEX(Base!$I$5:$I$2004,$K75))</f>
        <v>Prática</v>
      </c>
      <c r="H75" s="70" t="str">
        <f aca="false">IF($K75="","",INDEX(Base!$J$5:$J$2004,$K75))</f>
        <v>Clínica Médica</v>
      </c>
      <c r="I75" s="71" t="str">
        <f aca="false">IF($K75="","",INDEX(Base!$L$5:$L$2004,$K75))</f>
        <v>Pendente</v>
      </c>
      <c r="J75" s="72" t="n">
        <f aca="false">IFERROR(SMALL(Base!$P$5:$P$2004,ROW()-5),"")</f>
        <v>4631805</v>
      </c>
      <c r="K75" s="72" t="n">
        <f aca="false">IF(J75="","",MATCH(J75,Base!$P$5:$P$2004,0))</f>
        <v>105</v>
      </c>
    </row>
    <row r="76" customFormat="false" ht="15" hidden="false" customHeight="false" outlineLevel="0" collapsed="false">
      <c r="A76" s="67" t="n">
        <f aca="false">IF($K76="","",ROW()-5)</f>
        <v>71</v>
      </c>
      <c r="B76" s="68" t="n">
        <f aca="false">IF($K76="","",INDEX(Base!$E$5:$E$2004,$K76))</f>
        <v>46318</v>
      </c>
      <c r="C76" s="69" t="n">
        <f aca="false">IF($K76="","",B76)</f>
        <v>46318</v>
      </c>
      <c r="D76" s="70" t="str">
        <f aca="false">IF($K76="","",INDEX(Base!$F$5:$F$2004,$K76))</f>
        <v>Pneumonias Comunitárias</v>
      </c>
      <c r="E76" s="70" t="str">
        <f aca="false">IF($K76="","",INDEX(Base!$G$5:$G$2004,$K76))</f>
        <v>Aula teórica</v>
      </c>
      <c r="F76" s="71" t="str">
        <f aca="false">IF($K76="","",INDEX(Base!$H$5:$H$2004,$K76))</f>
        <v>T</v>
      </c>
      <c r="G76" s="71" t="str">
        <f aca="false">IF($K76="","",INDEX(Base!$I$5:$I$2004,$K76))</f>
        <v>Teórica</v>
      </c>
      <c r="H76" s="70" t="str">
        <f aca="false">IF($K76="","",INDEX(Base!$J$5:$J$2004,$K76))</f>
        <v>Clínica Médica</v>
      </c>
      <c r="I76" s="71" t="str">
        <f aca="false">IF($K76="","",INDEX(Base!$L$5:$L$2004,$K76))</f>
        <v>Pendente</v>
      </c>
      <c r="J76" s="72" t="n">
        <f aca="false">IFERROR(SMALL(Base!$P$5:$P$2004,ROW()-5),"")</f>
        <v>4631806</v>
      </c>
      <c r="K76" s="72" t="n">
        <f aca="false">IF(J76="","",MATCH(J76,Base!$P$5:$P$2004,0))</f>
        <v>127</v>
      </c>
    </row>
    <row r="77" customFormat="false" ht="15" hidden="false" customHeight="false" outlineLevel="0" collapsed="false">
      <c r="A77" s="67" t="n">
        <f aca="false">IF($K77="","",ROW()-5)</f>
        <v>72</v>
      </c>
      <c r="B77" s="68" t="n">
        <f aca="false">IF($K77="","",INDEX(Base!$E$5:$E$2004,$K77))</f>
        <v>46318</v>
      </c>
      <c r="C77" s="69" t="n">
        <f aca="false">IF($K77="","",B77)</f>
        <v>46318</v>
      </c>
      <c r="D77" s="70" t="str">
        <f aca="false">IF($K77="","",INDEX(Base!$F$5:$F$2004,$K77))</f>
        <v>Tuberculose</v>
      </c>
      <c r="E77" s="70" t="str">
        <f aca="false">IF($K77="","",INDEX(Base!$G$5:$G$2004,$K77))</f>
        <v>Aula teórica</v>
      </c>
      <c r="F77" s="71" t="str">
        <f aca="false">IF($K77="","",INDEX(Base!$H$5:$H$2004,$K77))</f>
        <v>T</v>
      </c>
      <c r="G77" s="71" t="str">
        <f aca="false">IF($K77="","",INDEX(Base!$I$5:$I$2004,$K77))</f>
        <v>Teórica</v>
      </c>
      <c r="H77" s="70" t="str">
        <f aca="false">IF($K77="","",INDEX(Base!$J$5:$J$2004,$K77))</f>
        <v>Clínica Médica</v>
      </c>
      <c r="I77" s="71" t="str">
        <f aca="false">IF($K77="","",INDEX(Base!$L$5:$L$2004,$K77))</f>
        <v>Pendente</v>
      </c>
      <c r="J77" s="72" t="n">
        <f aca="false">IFERROR(SMALL(Base!$P$5:$P$2004,ROW()-5),"")</f>
        <v>4631807</v>
      </c>
      <c r="K77" s="72" t="n">
        <f aca="false">IF(J77="","",MATCH(J77,Base!$P$5:$P$2004,0))</f>
        <v>133</v>
      </c>
    </row>
    <row r="78" customFormat="false" ht="15" hidden="false" customHeight="false" outlineLevel="0" collapsed="false">
      <c r="A78" s="67" t="n">
        <f aca="false">IF($K78="","",ROW()-5)</f>
        <v>73</v>
      </c>
      <c r="B78" s="68" t="n">
        <f aca="false">IF($K78="","",INDEX(Base!$E$5:$E$2004,$K78))</f>
        <v>46318</v>
      </c>
      <c r="C78" s="69" t="n">
        <f aca="false">IF($K78="","",B78)</f>
        <v>46318</v>
      </c>
      <c r="D78" s="70" t="str">
        <f aca="false">IF($K78="","",INDEX(Base!$F$5:$F$2004,$K78))</f>
        <v>Câncer de Pulmão e TEP</v>
      </c>
      <c r="E78" s="70" t="str">
        <f aca="false">IF($K78="","",INDEX(Base!$G$5:$G$2004,$K78))</f>
        <v>Aula teórica</v>
      </c>
      <c r="F78" s="71" t="str">
        <f aca="false">IF($K78="","",INDEX(Base!$H$5:$H$2004,$K78))</f>
        <v>T</v>
      </c>
      <c r="G78" s="71" t="str">
        <f aca="false">IF($K78="","",INDEX(Base!$I$5:$I$2004,$K78))</f>
        <v>Teórica</v>
      </c>
      <c r="H78" s="70" t="str">
        <f aca="false">IF($K78="","",INDEX(Base!$J$5:$J$2004,$K78))</f>
        <v>Clínica Médica</v>
      </c>
      <c r="I78" s="71" t="str">
        <f aca="false">IF($K78="","",INDEX(Base!$L$5:$L$2004,$K78))</f>
        <v>Pendente</v>
      </c>
      <c r="J78" s="72" t="n">
        <f aca="false">IFERROR(SMALL(Base!$P$5:$P$2004,ROW()-5),"")</f>
        <v>4631808</v>
      </c>
      <c r="K78" s="72" t="n">
        <f aca="false">IF(J78="","",MATCH(J78,Base!$P$5:$P$2004,0))</f>
        <v>139</v>
      </c>
    </row>
    <row r="79" customFormat="false" ht="15" hidden="false" customHeight="false" outlineLevel="0" collapsed="false">
      <c r="A79" s="67" t="n">
        <f aca="false">IF($K79="","",ROW()-5)</f>
        <v>74</v>
      </c>
      <c r="B79" s="68" t="n">
        <f aca="false">IF($K79="","",INDEX(Base!$E$5:$E$2004,$K79))</f>
        <v>46319</v>
      </c>
      <c r="C79" s="69" t="n">
        <f aca="false">IF($K79="","",B79)</f>
        <v>46319</v>
      </c>
      <c r="D79" s="70" t="str">
        <f aca="false">IF($K79="","",INDEX(Base!$F$5:$F$2004,$K79))</f>
        <v>Pneumonias Comunitárias</v>
      </c>
      <c r="E79" s="70" t="str">
        <f aca="false">IF($K79="","",INDEX(Base!$G$5:$G$2004,$K79))</f>
        <v>1ª Revisão</v>
      </c>
      <c r="F79" s="71" t="str">
        <f aca="false">IF($K79="","",INDEX(Base!$H$5:$H$2004,$K79))</f>
        <v>R1</v>
      </c>
      <c r="G79" s="71" t="str">
        <f aca="false">IF($K79="","",INDEX(Base!$I$5:$I$2004,$K79))</f>
        <v>Revisão</v>
      </c>
      <c r="H79" s="70" t="str">
        <f aca="false">IF($K79="","",INDEX(Base!$J$5:$J$2004,$K79))</f>
        <v>Clínica Médica</v>
      </c>
      <c r="I79" s="71" t="str">
        <f aca="false">IF($K79="","",INDEX(Base!$L$5:$L$2004,$K79))</f>
        <v>Pendente</v>
      </c>
      <c r="J79" s="72" t="n">
        <f aca="false">IFERROR(SMALL(Base!$P$5:$P$2004,ROW()-5),"")</f>
        <v>4631901</v>
      </c>
      <c r="K79" s="72" t="n">
        <f aca="false">IF(J79="","",MATCH(J79,Base!$P$5:$P$2004,0))</f>
        <v>128</v>
      </c>
    </row>
    <row r="80" customFormat="false" ht="15" hidden="false" customHeight="false" outlineLevel="0" collapsed="false">
      <c r="A80" s="67" t="n">
        <f aca="false">IF($K80="","",ROW()-5)</f>
        <v>75</v>
      </c>
      <c r="B80" s="68" t="n">
        <f aca="false">IF($K80="","",INDEX(Base!$E$5:$E$2004,$K80))</f>
        <v>46319</v>
      </c>
      <c r="C80" s="69" t="n">
        <f aca="false">IF($K80="","",B80)</f>
        <v>46319</v>
      </c>
      <c r="D80" s="70" t="str">
        <f aca="false">IF($K80="","",INDEX(Base!$F$5:$F$2004,$K80))</f>
        <v>Tuberculose</v>
      </c>
      <c r="E80" s="70" t="str">
        <f aca="false">IF($K80="","",INDEX(Base!$G$5:$G$2004,$K80))</f>
        <v>1ª Revisão</v>
      </c>
      <c r="F80" s="71" t="str">
        <f aca="false">IF($K80="","",INDEX(Base!$H$5:$H$2004,$K80))</f>
        <v>R1</v>
      </c>
      <c r="G80" s="71" t="str">
        <f aca="false">IF($K80="","",INDEX(Base!$I$5:$I$2004,$K80))</f>
        <v>Revisão</v>
      </c>
      <c r="H80" s="70" t="str">
        <f aca="false">IF($K80="","",INDEX(Base!$J$5:$J$2004,$K80))</f>
        <v>Clínica Médica</v>
      </c>
      <c r="I80" s="71" t="str">
        <f aca="false">IF($K80="","",INDEX(Base!$L$5:$L$2004,$K80))</f>
        <v>Pendente</v>
      </c>
      <c r="J80" s="72" t="n">
        <f aca="false">IFERROR(SMALL(Base!$P$5:$P$2004,ROW()-5),"")</f>
        <v>4631902</v>
      </c>
      <c r="K80" s="72" t="n">
        <f aca="false">IF(J80="","",MATCH(J80,Base!$P$5:$P$2004,0))</f>
        <v>134</v>
      </c>
    </row>
    <row r="81" customFormat="false" ht="15" hidden="false" customHeight="false" outlineLevel="0" collapsed="false">
      <c r="A81" s="67" t="n">
        <f aca="false">IF($K81="","",ROW()-5)</f>
        <v>76</v>
      </c>
      <c r="B81" s="68" t="n">
        <f aca="false">IF($K81="","",INDEX(Base!$E$5:$E$2004,$K81))</f>
        <v>46319</v>
      </c>
      <c r="C81" s="69" t="n">
        <f aca="false">IF($K81="","",B81)</f>
        <v>46319</v>
      </c>
      <c r="D81" s="70" t="str">
        <f aca="false">IF($K81="","",INDEX(Base!$F$5:$F$2004,$K81))</f>
        <v>Câncer de Pulmão e TEP</v>
      </c>
      <c r="E81" s="70" t="str">
        <f aca="false">IF($K81="","",INDEX(Base!$G$5:$G$2004,$K81))</f>
        <v>1ª Revisão</v>
      </c>
      <c r="F81" s="71" t="str">
        <f aca="false">IF($K81="","",INDEX(Base!$H$5:$H$2004,$K81))</f>
        <v>R1</v>
      </c>
      <c r="G81" s="71" t="str">
        <f aca="false">IF($K81="","",INDEX(Base!$I$5:$I$2004,$K81))</f>
        <v>Revisão</v>
      </c>
      <c r="H81" s="70" t="str">
        <f aca="false">IF($K81="","",INDEX(Base!$J$5:$J$2004,$K81))</f>
        <v>Clínica Médica</v>
      </c>
      <c r="I81" s="71" t="str">
        <f aca="false">IF($K81="","",INDEX(Base!$L$5:$L$2004,$K81))</f>
        <v>Pendente</v>
      </c>
      <c r="J81" s="72" t="n">
        <f aca="false">IFERROR(SMALL(Base!$P$5:$P$2004,ROW()-5),"")</f>
        <v>4631903</v>
      </c>
      <c r="K81" s="72" t="n">
        <f aca="false">IF(J81="","",MATCH(J81,Base!$P$5:$P$2004,0))</f>
        <v>140</v>
      </c>
    </row>
    <row r="82" customFormat="false" ht="15" hidden="false" customHeight="false" outlineLevel="0" collapsed="false">
      <c r="A82" s="67" t="n">
        <f aca="false">IF($K82="","",ROW()-5)</f>
        <v>77</v>
      </c>
      <c r="B82" s="68" t="n">
        <f aca="false">IF($K82="","",INDEX(Base!$E$5:$E$2004,$K82))</f>
        <v>46321</v>
      </c>
      <c r="C82" s="69" t="n">
        <f aca="false">IF($K82="","",B82)</f>
        <v>46321</v>
      </c>
      <c r="D82" s="70" t="str">
        <f aca="false">IF($K82="","",INDEX(Base!$F$5:$F$2004,$K82))</f>
        <v>Endocardite Infecciosa / Meningites</v>
      </c>
      <c r="E82" s="70" t="str">
        <f aca="false">IF($K82="","",INDEX(Base!$G$5:$G$2004,$K82))</f>
        <v>3ª Revisão</v>
      </c>
      <c r="F82" s="71" t="str">
        <f aca="false">IF($K82="","",INDEX(Base!$H$5:$H$2004,$K82))</f>
        <v>R3</v>
      </c>
      <c r="G82" s="71" t="str">
        <f aca="false">IF($K82="","",INDEX(Base!$I$5:$I$2004,$K82))</f>
        <v>Prática</v>
      </c>
      <c r="H82" s="70" t="str">
        <f aca="false">IF($K82="","",INDEX(Base!$J$5:$J$2004,$K82))</f>
        <v>Clínica Médica</v>
      </c>
      <c r="I82" s="71" t="str">
        <f aca="false">IF($K82="","",INDEX(Base!$L$5:$L$2004,$K82))</f>
        <v>Pendente</v>
      </c>
      <c r="J82" s="72" t="n">
        <f aca="false">IFERROR(SMALL(Base!$P$5:$P$2004,ROW()-5),"")</f>
        <v>4632101</v>
      </c>
      <c r="K82" s="72" t="n">
        <f aca="false">IF(J82="","",MATCH(J82,Base!$P$5:$P$2004,0))</f>
        <v>58</v>
      </c>
    </row>
    <row r="83" customFormat="false" ht="15" hidden="false" customHeight="false" outlineLevel="0" collapsed="false">
      <c r="A83" s="67" t="n">
        <f aca="false">IF($K83="","",ROW()-5)</f>
        <v>78</v>
      </c>
      <c r="B83" s="68" t="n">
        <f aca="false">IF($K83="","",INDEX(Base!$E$5:$E$2004,$K83))</f>
        <v>46321</v>
      </c>
      <c r="C83" s="69" t="n">
        <f aca="false">IF($K83="","",B83)</f>
        <v>46321</v>
      </c>
      <c r="D83" s="70" t="str">
        <f aca="false">IF($K83="","",INDEX(Base!$F$5:$F$2004,$K83))</f>
        <v>Dermatologia I e II</v>
      </c>
      <c r="E83" s="70" t="str">
        <f aca="false">IF($K83="","",INDEX(Base!$G$5:$G$2004,$K83))</f>
        <v>2ª Revisão</v>
      </c>
      <c r="F83" s="71" t="str">
        <f aca="false">IF($K83="","",INDEX(Base!$H$5:$H$2004,$K83))</f>
        <v>R2</v>
      </c>
      <c r="G83" s="71" t="str">
        <f aca="false">IF($K83="","",INDEX(Base!$I$5:$I$2004,$K83))</f>
        <v>Prática</v>
      </c>
      <c r="H83" s="70" t="str">
        <f aca="false">IF($K83="","",INDEX(Base!$J$5:$J$2004,$K83))</f>
        <v>Clínica Médica</v>
      </c>
      <c r="I83" s="71" t="str">
        <f aca="false">IF($K83="","",INDEX(Base!$L$5:$L$2004,$K83))</f>
        <v>Pendente</v>
      </c>
      <c r="J83" s="72" t="n">
        <f aca="false">IFERROR(SMALL(Base!$P$5:$P$2004,ROW()-5),"")</f>
        <v>4632102</v>
      </c>
      <c r="K83" s="72" t="n">
        <f aca="false">IF(J83="","",MATCH(J83,Base!$P$5:$P$2004,0))</f>
        <v>111</v>
      </c>
    </row>
    <row r="84" customFormat="false" ht="15" hidden="false" customHeight="false" outlineLevel="0" collapsed="false">
      <c r="A84" s="67" t="n">
        <f aca="false">IF($K84="","",ROW()-5)</f>
        <v>79</v>
      </c>
      <c r="B84" s="68" t="n">
        <f aca="false">IF($K84="","",INDEX(Base!$E$5:$E$2004,$K84))</f>
        <v>46321</v>
      </c>
      <c r="C84" s="69" t="n">
        <f aca="false">IF($K84="","",B84)</f>
        <v>46321</v>
      </c>
      <c r="D84" s="70" t="str">
        <f aca="false">IF($K84="","",INDEX(Base!$F$5:$F$2004,$K84))</f>
        <v>Ortopedia I e II</v>
      </c>
      <c r="E84" s="70" t="str">
        <f aca="false">IF($K84="","",INDEX(Base!$G$5:$G$2004,$K84))</f>
        <v>Aula teórica</v>
      </c>
      <c r="F84" s="71" t="str">
        <f aca="false">IF($K84="","",INDEX(Base!$H$5:$H$2004,$K84))</f>
        <v>T</v>
      </c>
      <c r="G84" s="71" t="str">
        <f aca="false">IF($K84="","",INDEX(Base!$I$5:$I$2004,$K84))</f>
        <v>Teórica</v>
      </c>
      <c r="H84" s="70" t="str">
        <f aca="false">IF($K84="","",INDEX(Base!$J$5:$J$2004,$K84))</f>
        <v>Cirurgia</v>
      </c>
      <c r="I84" s="71" t="str">
        <f aca="false">IF($K84="","",INDEX(Base!$L$5:$L$2004,$K84))</f>
        <v>Pendente</v>
      </c>
      <c r="J84" s="72" t="n">
        <f aca="false">IFERROR(SMALL(Base!$P$5:$P$2004,ROW()-5),"")</f>
        <v>4632103</v>
      </c>
      <c r="K84" s="72" t="n">
        <f aca="false">IF(J84="","",MATCH(J84,Base!$P$5:$P$2004,0))</f>
        <v>145</v>
      </c>
    </row>
    <row r="85" customFormat="false" ht="15" hidden="false" customHeight="false" outlineLevel="0" collapsed="false">
      <c r="A85" s="67" t="n">
        <f aca="false">IF($K85="","",ROW()-5)</f>
        <v>80</v>
      </c>
      <c r="B85" s="68" t="n">
        <f aca="false">IF($K85="","",INDEX(Base!$E$5:$E$2004,$K85))</f>
        <v>46322</v>
      </c>
      <c r="C85" s="69" t="n">
        <f aca="false">IF($K85="","",B85)</f>
        <v>46322</v>
      </c>
      <c r="D85" s="70" t="str">
        <f aca="false">IF($K85="","",INDEX(Base!$F$5:$F$2004,$K85))</f>
        <v>Cardiopediatria</v>
      </c>
      <c r="E85" s="70" t="str">
        <f aca="false">IF($K85="","",INDEX(Base!$G$5:$G$2004,$K85))</f>
        <v>4ª Revisão</v>
      </c>
      <c r="F85" s="71" t="str">
        <f aca="false">IF($K85="","",INDEX(Base!$H$5:$H$2004,$K85))</f>
        <v>R4</v>
      </c>
      <c r="G85" s="71" t="str">
        <f aca="false">IF($K85="","",INDEX(Base!$I$5:$I$2004,$K85))</f>
        <v>Prática</v>
      </c>
      <c r="H85" s="70" t="str">
        <f aca="false">IF($K85="","",INDEX(Base!$J$5:$J$2004,$K85))</f>
        <v>Pediatria</v>
      </c>
      <c r="I85" s="71" t="str">
        <f aca="false">IF($K85="","",INDEX(Base!$L$5:$L$2004,$K85))</f>
        <v>Pendente</v>
      </c>
      <c r="J85" s="72" t="n">
        <f aca="false">IFERROR(SMALL(Base!$P$5:$P$2004,ROW()-5),"")</f>
        <v>4632201</v>
      </c>
      <c r="K85" s="72" t="n">
        <f aca="false">IF(J85="","",MATCH(J85,Base!$P$5:$P$2004,0))</f>
        <v>5</v>
      </c>
    </row>
    <row r="86" customFormat="false" ht="15" hidden="false" customHeight="false" outlineLevel="0" collapsed="false">
      <c r="A86" s="67" t="n">
        <f aca="false">IF($K86="","",ROW()-5)</f>
        <v>81</v>
      </c>
      <c r="B86" s="68" t="n">
        <f aca="false">IF($K86="","",INDEX(Base!$E$5:$E$2004,$K86))</f>
        <v>46322</v>
      </c>
      <c r="C86" s="69" t="n">
        <f aca="false">IF($K86="","",B86)</f>
        <v>46322</v>
      </c>
      <c r="D86" s="70" t="str">
        <f aca="false">IF($K86="","",INDEX(Base!$F$5:$F$2004,$K86))</f>
        <v>Nefrologia Pediátrica / ITU</v>
      </c>
      <c r="E86" s="70" t="str">
        <f aca="false">IF($K86="","",INDEX(Base!$G$5:$G$2004,$K86))</f>
        <v>4ª Revisão</v>
      </c>
      <c r="F86" s="71" t="str">
        <f aca="false">IF($K86="","",INDEX(Base!$H$5:$H$2004,$K86))</f>
        <v>R4</v>
      </c>
      <c r="G86" s="71" t="str">
        <f aca="false">IF($K86="","",INDEX(Base!$I$5:$I$2004,$K86))</f>
        <v>Prática</v>
      </c>
      <c r="H86" s="70" t="str">
        <f aca="false">IF($K86="","",INDEX(Base!$J$5:$J$2004,$K86))</f>
        <v>Pediatria</v>
      </c>
      <c r="I86" s="71" t="str">
        <f aca="false">IF($K86="","",INDEX(Base!$L$5:$L$2004,$K86))</f>
        <v>Pendente</v>
      </c>
      <c r="J86" s="72" t="n">
        <f aca="false">IFERROR(SMALL(Base!$P$5:$P$2004,ROW()-5),"")</f>
        <v>4632202</v>
      </c>
      <c r="K86" s="72" t="n">
        <f aca="false">IF(J86="","",MATCH(J86,Base!$P$5:$P$2004,0))</f>
        <v>11</v>
      </c>
    </row>
    <row r="87" customFormat="false" ht="15" hidden="false" customHeight="false" outlineLevel="0" collapsed="false">
      <c r="A87" s="67" t="n">
        <f aca="false">IF($K87="","",ROW()-5)</f>
        <v>82</v>
      </c>
      <c r="B87" s="68" t="n">
        <f aca="false">IF($K87="","",INDEX(Base!$E$5:$E$2004,$K87))</f>
        <v>46322</v>
      </c>
      <c r="C87" s="69" t="n">
        <f aca="false">IF($K87="","",B87)</f>
        <v>46322</v>
      </c>
      <c r="D87" s="70" t="str">
        <f aca="false">IF($K87="","",INDEX(Base!$F$5:$F$2004,$K87))</f>
        <v>Asma e DPOC</v>
      </c>
      <c r="E87" s="70" t="str">
        <f aca="false">IF($K87="","",INDEX(Base!$G$5:$G$2004,$K87))</f>
        <v>4ª Revisão</v>
      </c>
      <c r="F87" s="71" t="str">
        <f aca="false">IF($K87="","",INDEX(Base!$H$5:$H$2004,$K87))</f>
        <v>R4</v>
      </c>
      <c r="G87" s="71" t="str">
        <f aca="false">IF($K87="","",INDEX(Base!$I$5:$I$2004,$K87))</f>
        <v>Prática</v>
      </c>
      <c r="H87" s="70" t="str">
        <f aca="false">IF($K87="","",INDEX(Base!$J$5:$J$2004,$K87))</f>
        <v>Clínica Médica</v>
      </c>
      <c r="I87" s="71" t="str">
        <f aca="false">IF($K87="","",INDEX(Base!$L$5:$L$2004,$K87))</f>
        <v>Pendente</v>
      </c>
      <c r="J87" s="72" t="n">
        <f aca="false">IFERROR(SMALL(Base!$P$5:$P$2004,ROW()-5),"")</f>
        <v>4632203</v>
      </c>
      <c r="K87" s="72" t="n">
        <f aca="false">IF(J87="","",MATCH(J87,Base!$P$5:$P$2004,0))</f>
        <v>17</v>
      </c>
    </row>
    <row r="88" customFormat="false" ht="15" hidden="false" customHeight="false" outlineLevel="0" collapsed="false">
      <c r="A88" s="67" t="n">
        <f aca="false">IF($K88="","",ROW()-5)</f>
        <v>83</v>
      </c>
      <c r="B88" s="68" t="n">
        <f aca="false">IF($K88="","",INDEX(Base!$E$5:$E$2004,$K88))</f>
        <v>46322</v>
      </c>
      <c r="C88" s="69" t="n">
        <f aca="false">IF($K88="","",B88)</f>
        <v>46322</v>
      </c>
      <c r="D88" s="70" t="str">
        <f aca="false">IF($K88="","",INDEX(Base!$F$5:$F$2004,$K88))</f>
        <v>Especialidade Cirúrgica I</v>
      </c>
      <c r="E88" s="70" t="str">
        <f aca="false">IF($K88="","",INDEX(Base!$G$5:$G$2004,$K88))</f>
        <v>3ª Revisão</v>
      </c>
      <c r="F88" s="71" t="str">
        <f aca="false">IF($K88="","",INDEX(Base!$H$5:$H$2004,$K88))</f>
        <v>R3</v>
      </c>
      <c r="G88" s="71" t="str">
        <f aca="false">IF($K88="","",INDEX(Base!$I$5:$I$2004,$K88))</f>
        <v>Prática</v>
      </c>
      <c r="H88" s="70" t="str">
        <f aca="false">IF($K88="","",INDEX(Base!$J$5:$J$2004,$K88))</f>
        <v>Cirurgia</v>
      </c>
      <c r="I88" s="71" t="str">
        <f aca="false">IF($K88="","",INDEX(Base!$L$5:$L$2004,$K88))</f>
        <v>Pendente</v>
      </c>
      <c r="J88" s="72" t="n">
        <f aca="false">IFERROR(SMALL(Base!$P$5:$P$2004,ROW()-5),"")</f>
        <v>4632204</v>
      </c>
      <c r="K88" s="72" t="n">
        <f aca="false">IF(J88="","",MATCH(J88,Base!$P$5:$P$2004,0))</f>
        <v>64</v>
      </c>
    </row>
    <row r="89" customFormat="false" ht="15" hidden="false" customHeight="false" outlineLevel="0" collapsed="false">
      <c r="A89" s="67" t="n">
        <f aca="false">IF($K89="","",ROW()-5)</f>
        <v>84</v>
      </c>
      <c r="B89" s="68" t="n">
        <f aca="false">IF($K89="","",INDEX(Base!$E$5:$E$2004,$K89))</f>
        <v>46322</v>
      </c>
      <c r="C89" s="69" t="n">
        <f aca="false">IF($K89="","",B89)</f>
        <v>46322</v>
      </c>
      <c r="D89" s="70" t="str">
        <f aca="false">IF($K89="","",INDEX(Base!$F$5:$F$2004,$K89))</f>
        <v>Especialidade Cirúrgica II</v>
      </c>
      <c r="E89" s="70" t="str">
        <f aca="false">IF($K89="","",INDEX(Base!$G$5:$G$2004,$K89))</f>
        <v>3ª Revisão</v>
      </c>
      <c r="F89" s="71" t="str">
        <f aca="false">IF($K89="","",INDEX(Base!$H$5:$H$2004,$K89))</f>
        <v>R3</v>
      </c>
      <c r="G89" s="71" t="str">
        <f aca="false">IF($K89="","",INDEX(Base!$I$5:$I$2004,$K89))</f>
        <v>Prática</v>
      </c>
      <c r="H89" s="70" t="str">
        <f aca="false">IF($K89="","",INDEX(Base!$J$5:$J$2004,$K89))</f>
        <v>Cirurgia</v>
      </c>
      <c r="I89" s="71" t="str">
        <f aca="false">IF($K89="","",INDEX(Base!$L$5:$L$2004,$K89))</f>
        <v>Pendente</v>
      </c>
      <c r="J89" s="72" t="n">
        <f aca="false">IFERROR(SMALL(Base!$P$5:$P$2004,ROW()-5),"")</f>
        <v>4632205</v>
      </c>
      <c r="K89" s="72" t="n">
        <f aca="false">IF(J89="","",MATCH(J89,Base!$P$5:$P$2004,0))</f>
        <v>70</v>
      </c>
    </row>
    <row r="90" customFormat="false" ht="15" hidden="false" customHeight="false" outlineLevel="0" collapsed="false">
      <c r="A90" s="67" t="n">
        <f aca="false">IF($K90="","",ROW()-5)</f>
        <v>85</v>
      </c>
      <c r="B90" s="68" t="n">
        <f aca="false">IF($K90="","",INDEX(Base!$E$5:$E$2004,$K90))</f>
        <v>46322</v>
      </c>
      <c r="C90" s="69" t="n">
        <f aca="false">IF($K90="","",B90)</f>
        <v>46322</v>
      </c>
      <c r="D90" s="70" t="str">
        <f aca="false">IF($K90="","",INDEX(Base!$F$5:$F$2004,$K90))</f>
        <v>Bônus Oftalmo</v>
      </c>
      <c r="E90" s="70" t="str">
        <f aca="false">IF($K90="","",INDEX(Base!$G$5:$G$2004,$K90))</f>
        <v>2ª Revisão</v>
      </c>
      <c r="F90" s="71" t="str">
        <f aca="false">IF($K90="","",INDEX(Base!$H$5:$H$2004,$K90))</f>
        <v>R2</v>
      </c>
      <c r="G90" s="71" t="str">
        <f aca="false">IF($K90="","",INDEX(Base!$I$5:$I$2004,$K90))</f>
        <v>Prática</v>
      </c>
      <c r="H90" s="70" t="str">
        <f aca="false">IF($K90="","",INDEX(Base!$J$5:$J$2004,$K90))</f>
        <v>Cirurgia</v>
      </c>
      <c r="I90" s="71" t="str">
        <f aca="false">IF($K90="","",INDEX(Base!$L$5:$L$2004,$K90))</f>
        <v>Pendente</v>
      </c>
      <c r="J90" s="72" t="n">
        <f aca="false">IFERROR(SMALL(Base!$P$5:$P$2004,ROW()-5),"")</f>
        <v>4632206</v>
      </c>
      <c r="K90" s="72" t="n">
        <f aca="false">IF(J90="","",MATCH(J90,Base!$P$5:$P$2004,0))</f>
        <v>117</v>
      </c>
    </row>
    <row r="91" customFormat="false" ht="15" hidden="false" customHeight="false" outlineLevel="0" collapsed="false">
      <c r="A91" s="67" t="n">
        <f aca="false">IF($K91="","",ROW()-5)</f>
        <v>86</v>
      </c>
      <c r="B91" s="68" t="n">
        <f aca="false">IF($K91="","",INDEX(Base!$E$5:$E$2004,$K91))</f>
        <v>46322</v>
      </c>
      <c r="C91" s="69" t="n">
        <f aca="false">IF($K91="","",B91)</f>
        <v>46322</v>
      </c>
      <c r="D91" s="70" t="str">
        <f aca="false">IF($K91="","",INDEX(Base!$F$5:$F$2004,$K91))</f>
        <v>Insuficiência Cardíaca</v>
      </c>
      <c r="E91" s="70" t="str">
        <f aca="false">IF($K91="","",INDEX(Base!$G$5:$G$2004,$K91))</f>
        <v>2ª Revisão</v>
      </c>
      <c r="F91" s="71" t="str">
        <f aca="false">IF($K91="","",INDEX(Base!$H$5:$H$2004,$K91))</f>
        <v>R2</v>
      </c>
      <c r="G91" s="71" t="str">
        <f aca="false">IF($K91="","",INDEX(Base!$I$5:$I$2004,$K91))</f>
        <v>Prática</v>
      </c>
      <c r="H91" s="70" t="str">
        <f aca="false">IF($K91="","",INDEX(Base!$J$5:$J$2004,$K91))</f>
        <v>Clínica Médica</v>
      </c>
      <c r="I91" s="71" t="str">
        <f aca="false">IF($K91="","",INDEX(Base!$L$5:$L$2004,$K91))</f>
        <v>Pendente</v>
      </c>
      <c r="J91" s="72" t="n">
        <f aca="false">IFERROR(SMALL(Base!$P$5:$P$2004,ROW()-5),"")</f>
        <v>4632207</v>
      </c>
      <c r="K91" s="72" t="n">
        <f aca="false">IF(J91="","",MATCH(J91,Base!$P$5:$P$2004,0))</f>
        <v>123</v>
      </c>
    </row>
    <row r="92" customFormat="false" ht="15" hidden="false" customHeight="false" outlineLevel="0" collapsed="false">
      <c r="A92" s="67" t="n">
        <f aca="false">IF($K92="","",ROW()-5)</f>
        <v>87</v>
      </c>
      <c r="B92" s="68" t="n">
        <f aca="false">IF($K92="","",INDEX(Base!$E$5:$E$2004,$K92))</f>
        <v>46322</v>
      </c>
      <c r="C92" s="69" t="n">
        <f aca="false">IF($K92="","",B92)</f>
        <v>46322</v>
      </c>
      <c r="D92" s="70" t="str">
        <f aca="false">IF($K92="","",INDEX(Base!$F$5:$F$2004,$K92))</f>
        <v>Ortopedia I e II</v>
      </c>
      <c r="E92" s="70" t="str">
        <f aca="false">IF($K92="","",INDEX(Base!$G$5:$G$2004,$K92))</f>
        <v>1ª Revisão</v>
      </c>
      <c r="F92" s="71" t="str">
        <f aca="false">IF($K92="","",INDEX(Base!$H$5:$H$2004,$K92))</f>
        <v>R1</v>
      </c>
      <c r="G92" s="71" t="str">
        <f aca="false">IF($K92="","",INDEX(Base!$I$5:$I$2004,$K92))</f>
        <v>Revisão</v>
      </c>
      <c r="H92" s="70" t="str">
        <f aca="false">IF($K92="","",INDEX(Base!$J$5:$J$2004,$K92))</f>
        <v>Cirurgia</v>
      </c>
      <c r="I92" s="71" t="str">
        <f aca="false">IF($K92="","",INDEX(Base!$L$5:$L$2004,$K92))</f>
        <v>Pendente</v>
      </c>
      <c r="J92" s="72" t="n">
        <f aca="false">IFERROR(SMALL(Base!$P$5:$P$2004,ROW()-5),"")</f>
        <v>4632208</v>
      </c>
      <c r="K92" s="72" t="n">
        <f aca="false">IF(J92="","",MATCH(J92,Base!$P$5:$P$2004,0))</f>
        <v>146</v>
      </c>
    </row>
    <row r="93" customFormat="false" ht="15" hidden="false" customHeight="false" outlineLevel="0" collapsed="false">
      <c r="A93" s="67" t="n">
        <f aca="false">IF($K93="","",ROW()-5)</f>
        <v>88</v>
      </c>
      <c r="B93" s="68" t="n">
        <f aca="false">IF($K93="","",INDEX(Base!$E$5:$E$2004,$K93))</f>
        <v>46322</v>
      </c>
      <c r="C93" s="69" t="n">
        <f aca="false">IF($K93="","",B93)</f>
        <v>46322</v>
      </c>
      <c r="D93" s="70" t="str">
        <f aca="false">IF($K93="","",INDEX(Base!$F$5:$F$2004,$K93))</f>
        <v>Fraqueza Muscular — Polineuropatias</v>
      </c>
      <c r="E93" s="70" t="str">
        <f aca="false">IF($K93="","",INDEX(Base!$G$5:$G$2004,$K93))</f>
        <v>Aula teórica</v>
      </c>
      <c r="F93" s="71" t="str">
        <f aca="false">IF($K93="","",INDEX(Base!$H$5:$H$2004,$K93))</f>
        <v>T</v>
      </c>
      <c r="G93" s="71" t="str">
        <f aca="false">IF($K93="","",INDEX(Base!$I$5:$I$2004,$K93))</f>
        <v>Teórica</v>
      </c>
      <c r="H93" s="70" t="str">
        <f aca="false">IF($K93="","",INDEX(Base!$J$5:$J$2004,$K93))</f>
        <v>Clínica Médica</v>
      </c>
      <c r="I93" s="71" t="str">
        <f aca="false">IF($K93="","",INDEX(Base!$L$5:$L$2004,$K93))</f>
        <v>Pendente</v>
      </c>
      <c r="J93" s="72" t="n">
        <f aca="false">IFERROR(SMALL(Base!$P$5:$P$2004,ROW()-5),"")</f>
        <v>4632209</v>
      </c>
      <c r="K93" s="72" t="n">
        <f aca="false">IF(J93="","",MATCH(J93,Base!$P$5:$P$2004,0))</f>
        <v>151</v>
      </c>
    </row>
    <row r="94" customFormat="false" ht="15" hidden="false" customHeight="false" outlineLevel="0" collapsed="false">
      <c r="A94" s="67" t="n">
        <f aca="false">IF($K94="","",ROW()-5)</f>
        <v>89</v>
      </c>
      <c r="B94" s="68" t="n">
        <f aca="false">IF($K94="","",INDEX(Base!$E$5:$E$2004,$K94))</f>
        <v>46323</v>
      </c>
      <c r="C94" s="69" t="n">
        <f aca="false">IF($K94="","",B94)</f>
        <v>46323</v>
      </c>
      <c r="D94" s="70" t="str">
        <f aca="false">IF($K94="","",INDEX(Base!$F$5:$F$2004,$K94))</f>
        <v>Doenças da Tireoide</v>
      </c>
      <c r="E94" s="70" t="str">
        <f aca="false">IF($K94="","",INDEX(Base!$G$5:$G$2004,$K94))</f>
        <v>4ª Revisão</v>
      </c>
      <c r="F94" s="71" t="str">
        <f aca="false">IF($K94="","",INDEX(Base!$H$5:$H$2004,$K94))</f>
        <v>R4</v>
      </c>
      <c r="G94" s="71" t="str">
        <f aca="false">IF($K94="","",INDEX(Base!$I$5:$I$2004,$K94))</f>
        <v>Prática</v>
      </c>
      <c r="H94" s="70" t="str">
        <f aca="false">IF($K94="","",INDEX(Base!$J$5:$J$2004,$K94))</f>
        <v>Clínica Médica</v>
      </c>
      <c r="I94" s="71" t="str">
        <f aca="false">IF($K94="","",INDEX(Base!$L$5:$L$2004,$K94))</f>
        <v>Pendente</v>
      </c>
      <c r="J94" s="72" t="n">
        <f aca="false">IFERROR(SMALL(Base!$P$5:$P$2004,ROW()-5),"")</f>
        <v>4632301</v>
      </c>
      <c r="K94" s="72" t="n">
        <f aca="false">IF(J94="","",MATCH(J94,Base!$P$5:$P$2004,0))</f>
        <v>23</v>
      </c>
    </row>
    <row r="95" customFormat="false" ht="15" hidden="false" customHeight="false" outlineLevel="0" collapsed="false">
      <c r="A95" s="67" t="n">
        <f aca="false">IF($K95="","",ROW()-5)</f>
        <v>90</v>
      </c>
      <c r="B95" s="68" t="n">
        <f aca="false">IF($K95="","",INDEX(Base!$E$5:$E$2004,$K95))</f>
        <v>46323</v>
      </c>
      <c r="C95" s="69" t="n">
        <f aca="false">IF($K95="","",B95)</f>
        <v>46323</v>
      </c>
      <c r="D95" s="70" t="str">
        <f aca="false">IF($K95="","",INDEX(Base!$F$5:$F$2004,$K95))</f>
        <v>Valvopatias</v>
      </c>
      <c r="E95" s="70" t="str">
        <f aca="false">IF($K95="","",INDEX(Base!$G$5:$G$2004,$K95))</f>
        <v>4ª Revisão</v>
      </c>
      <c r="F95" s="71" t="str">
        <f aca="false">IF($K95="","",INDEX(Base!$H$5:$H$2004,$K95))</f>
        <v>R4</v>
      </c>
      <c r="G95" s="71" t="str">
        <f aca="false">IF($K95="","",INDEX(Base!$I$5:$I$2004,$K95))</f>
        <v>Prática</v>
      </c>
      <c r="H95" s="70" t="str">
        <f aca="false">IF($K95="","",INDEX(Base!$J$5:$J$2004,$K95))</f>
        <v>Clínica Médica</v>
      </c>
      <c r="I95" s="71" t="str">
        <f aca="false">IF($K95="","",INDEX(Base!$L$5:$L$2004,$K95))</f>
        <v>Pendente</v>
      </c>
      <c r="J95" s="72" t="n">
        <f aca="false">IFERROR(SMALL(Base!$P$5:$P$2004,ROW()-5),"")</f>
        <v>4632302</v>
      </c>
      <c r="K95" s="72" t="n">
        <f aca="false">IF(J95="","",MATCH(J95,Base!$P$5:$P$2004,0))</f>
        <v>29</v>
      </c>
    </row>
    <row r="96" customFormat="false" ht="15" hidden="false" customHeight="false" outlineLevel="0" collapsed="false">
      <c r="A96" s="67" t="n">
        <f aca="false">IF($K96="","",ROW()-5)</f>
        <v>91</v>
      </c>
      <c r="B96" s="68" t="n">
        <f aca="false">IF($K96="","",INDEX(Base!$E$5:$E$2004,$K96))</f>
        <v>46323</v>
      </c>
      <c r="C96" s="69" t="n">
        <f aca="false">IF($K96="","",B96)</f>
        <v>46323</v>
      </c>
      <c r="D96" s="70" t="str">
        <f aca="false">IF($K96="","",INDEX(Base!$F$5:$F$2004,$K96))</f>
        <v>Demência e Parkinson</v>
      </c>
      <c r="E96" s="70" t="str">
        <f aca="false">IF($K96="","",INDEX(Base!$G$5:$G$2004,$K96))</f>
        <v>4ª Revisão</v>
      </c>
      <c r="F96" s="71" t="str">
        <f aca="false">IF($K96="","",INDEX(Base!$H$5:$H$2004,$K96))</f>
        <v>R4</v>
      </c>
      <c r="G96" s="71" t="str">
        <f aca="false">IF($K96="","",INDEX(Base!$I$5:$I$2004,$K96))</f>
        <v>Prática</v>
      </c>
      <c r="H96" s="70" t="str">
        <f aca="false">IF($K96="","",INDEX(Base!$J$5:$J$2004,$K96))</f>
        <v>Clínica Médica</v>
      </c>
      <c r="I96" s="71" t="str">
        <f aca="false">IF($K96="","",INDEX(Base!$L$5:$L$2004,$K96))</f>
        <v>Pendente</v>
      </c>
      <c r="J96" s="72" t="n">
        <f aca="false">IFERROR(SMALL(Base!$P$5:$P$2004,ROW()-5),"")</f>
        <v>4632303</v>
      </c>
      <c r="K96" s="72" t="n">
        <f aca="false">IF(J96="","",MATCH(J96,Base!$P$5:$P$2004,0))</f>
        <v>35</v>
      </c>
    </row>
    <row r="97" customFormat="false" ht="15" hidden="false" customHeight="false" outlineLevel="0" collapsed="false">
      <c r="A97" s="67" t="n">
        <f aca="false">IF($K97="","",ROW()-5)</f>
        <v>92</v>
      </c>
      <c r="B97" s="68" t="n">
        <f aca="false">IF($K97="","",INDEX(Base!$E$5:$E$2004,$K97))</f>
        <v>46323</v>
      </c>
      <c r="C97" s="69" t="n">
        <f aca="false">IF($K97="","",B97)</f>
        <v>46323</v>
      </c>
      <c r="D97" s="70" t="str">
        <f aca="false">IF($K97="","",INDEX(Base!$F$5:$F$2004,$K97))</f>
        <v>Fraqueza Muscular — Polineuropatias</v>
      </c>
      <c r="E97" s="70" t="str">
        <f aca="false">IF($K97="","",INDEX(Base!$G$5:$G$2004,$K97))</f>
        <v>1ª Revisão</v>
      </c>
      <c r="F97" s="71" t="str">
        <f aca="false">IF($K97="","",INDEX(Base!$H$5:$H$2004,$K97))</f>
        <v>R1</v>
      </c>
      <c r="G97" s="71" t="str">
        <f aca="false">IF($K97="","",INDEX(Base!$I$5:$I$2004,$K97))</f>
        <v>Revisão</v>
      </c>
      <c r="H97" s="70" t="str">
        <f aca="false">IF($K97="","",INDEX(Base!$J$5:$J$2004,$K97))</f>
        <v>Clínica Médica</v>
      </c>
      <c r="I97" s="71" t="str">
        <f aca="false">IF($K97="","",INDEX(Base!$L$5:$L$2004,$K97))</f>
        <v>Pendente</v>
      </c>
      <c r="J97" s="72" t="n">
        <f aca="false">IFERROR(SMALL(Base!$P$5:$P$2004,ROW()-5),"")</f>
        <v>4632304</v>
      </c>
      <c r="K97" s="72" t="n">
        <f aca="false">IF(J97="","",MATCH(J97,Base!$P$5:$P$2004,0))</f>
        <v>152</v>
      </c>
    </row>
    <row r="98" customFormat="false" ht="15" hidden="false" customHeight="false" outlineLevel="0" collapsed="false">
      <c r="A98" s="67" t="n">
        <f aca="false">IF($K98="","",ROW()-5)</f>
        <v>93</v>
      </c>
      <c r="B98" s="68" t="n">
        <f aca="false">IF($K98="","",INDEX(Base!$E$5:$E$2004,$K98))</f>
        <v>46324</v>
      </c>
      <c r="C98" s="69" t="n">
        <f aca="false">IF($K98="","",B98)</f>
        <v>46324</v>
      </c>
      <c r="D98" s="70" t="str">
        <f aca="false">IF($K98="","",INDEX(Base!$F$5:$F$2004,$K98))</f>
        <v>Distúrbios Hipertensivos na Gestação</v>
      </c>
      <c r="E98" s="70" t="str">
        <f aca="false">IF($K98="","",INDEX(Base!$G$5:$G$2004,$K98))</f>
        <v>3ª Revisão</v>
      </c>
      <c r="F98" s="71" t="str">
        <f aca="false">IF($K98="","",INDEX(Base!$H$5:$H$2004,$K98))</f>
        <v>R3</v>
      </c>
      <c r="G98" s="71" t="str">
        <f aca="false">IF($K98="","",INDEX(Base!$I$5:$I$2004,$K98))</f>
        <v>Prática</v>
      </c>
      <c r="H98" s="70" t="str">
        <f aca="false">IF($K98="","",INDEX(Base!$J$5:$J$2004,$K98))</f>
        <v>Ginecologia e Obstetrícia</v>
      </c>
      <c r="I98" s="71" t="str">
        <f aca="false">IF($K98="","",INDEX(Base!$L$5:$L$2004,$K98))</f>
        <v>Pendente</v>
      </c>
      <c r="J98" s="72" t="n">
        <f aca="false">IFERROR(SMALL(Base!$P$5:$P$2004,ROW()-5),"")</f>
        <v>4632401</v>
      </c>
      <c r="K98" s="72" t="n">
        <f aca="false">IF(J98="","",MATCH(J98,Base!$P$5:$P$2004,0))</f>
        <v>76</v>
      </c>
    </row>
    <row r="99" customFormat="false" ht="15" hidden="false" customHeight="false" outlineLevel="0" collapsed="false">
      <c r="A99" s="67" t="n">
        <f aca="false">IF($K99="","",ROW()-5)</f>
        <v>94</v>
      </c>
      <c r="B99" s="68" t="n">
        <f aca="false">IF($K99="","",INDEX(Base!$E$5:$E$2004,$K99))</f>
        <v>46324</v>
      </c>
      <c r="C99" s="69" t="n">
        <f aca="false">IF($K99="","",B99)</f>
        <v>46324</v>
      </c>
      <c r="D99" s="70" t="str">
        <f aca="false">IF($K99="","",INDEX(Base!$F$5:$F$2004,$K99))</f>
        <v>Sofrimento Fetal e Vitalidade Fetal</v>
      </c>
      <c r="E99" s="70" t="str">
        <f aca="false">IF($K99="","",INDEX(Base!$G$5:$G$2004,$K99))</f>
        <v>3ª Revisão</v>
      </c>
      <c r="F99" s="71" t="str">
        <f aca="false">IF($K99="","",INDEX(Base!$H$5:$H$2004,$K99))</f>
        <v>R3</v>
      </c>
      <c r="G99" s="71" t="str">
        <f aca="false">IF($K99="","",INDEX(Base!$I$5:$I$2004,$K99))</f>
        <v>Prática</v>
      </c>
      <c r="H99" s="70" t="str">
        <f aca="false">IF($K99="","",INDEX(Base!$J$5:$J$2004,$K99))</f>
        <v>Ginecologia e Obstetrícia</v>
      </c>
      <c r="I99" s="71" t="str">
        <f aca="false">IF($K99="","",INDEX(Base!$L$5:$L$2004,$K99))</f>
        <v>Pendente</v>
      </c>
      <c r="J99" s="72" t="n">
        <f aca="false">IFERROR(SMALL(Base!$P$5:$P$2004,ROW()-5),"")</f>
        <v>4632402</v>
      </c>
      <c r="K99" s="72" t="n">
        <f aca="false">IF(J99="","",MATCH(J99,Base!$P$5:$P$2004,0))</f>
        <v>82</v>
      </c>
    </row>
    <row r="100" customFormat="false" ht="15" hidden="false" customHeight="false" outlineLevel="0" collapsed="false">
      <c r="A100" s="67" t="n">
        <f aca="false">IF($K100="","",ROW()-5)</f>
        <v>95</v>
      </c>
      <c r="B100" s="68" t="n">
        <f aca="false">IF($K100="","",INDEX(Base!$E$5:$E$2004,$K100))</f>
        <v>46325</v>
      </c>
      <c r="C100" s="69" t="n">
        <f aca="false">IF($K100="","",B100)</f>
        <v>46325</v>
      </c>
      <c r="D100" s="70" t="str">
        <f aca="false">IF($K100="","",INDEX(Base!$F$5:$F$2004,$K100))</f>
        <v>Pneumonias Comunitárias</v>
      </c>
      <c r="E100" s="70" t="str">
        <f aca="false">IF($K100="","",INDEX(Base!$G$5:$G$2004,$K100))</f>
        <v>2ª Revisão</v>
      </c>
      <c r="F100" s="71" t="str">
        <f aca="false">IF($K100="","",INDEX(Base!$H$5:$H$2004,$K100))</f>
        <v>R2</v>
      </c>
      <c r="G100" s="71" t="str">
        <f aca="false">IF($K100="","",INDEX(Base!$I$5:$I$2004,$K100))</f>
        <v>Prática</v>
      </c>
      <c r="H100" s="70" t="str">
        <f aca="false">IF($K100="","",INDEX(Base!$J$5:$J$2004,$K100))</f>
        <v>Clínica Médica</v>
      </c>
      <c r="I100" s="71" t="str">
        <f aca="false">IF($K100="","",INDEX(Base!$L$5:$L$2004,$K100))</f>
        <v>Pendente</v>
      </c>
      <c r="J100" s="72" t="n">
        <f aca="false">IFERROR(SMALL(Base!$P$5:$P$2004,ROW()-5),"")</f>
        <v>4632501</v>
      </c>
      <c r="K100" s="72" t="n">
        <f aca="false">IF(J100="","",MATCH(J100,Base!$P$5:$P$2004,0))</f>
        <v>129</v>
      </c>
    </row>
    <row r="101" customFormat="false" ht="15" hidden="false" customHeight="false" outlineLevel="0" collapsed="false">
      <c r="A101" s="67" t="n">
        <f aca="false">IF($K101="","",ROW()-5)</f>
        <v>96</v>
      </c>
      <c r="B101" s="68" t="n">
        <f aca="false">IF($K101="","",INDEX(Base!$E$5:$E$2004,$K101))</f>
        <v>46325</v>
      </c>
      <c r="C101" s="69" t="n">
        <f aca="false">IF($K101="","",B101)</f>
        <v>46325</v>
      </c>
      <c r="D101" s="70" t="str">
        <f aca="false">IF($K101="","",INDEX(Base!$F$5:$F$2004,$K101))</f>
        <v>Tuberculose</v>
      </c>
      <c r="E101" s="70" t="str">
        <f aca="false">IF($K101="","",INDEX(Base!$G$5:$G$2004,$K101))</f>
        <v>2ª Revisão</v>
      </c>
      <c r="F101" s="71" t="str">
        <f aca="false">IF($K101="","",INDEX(Base!$H$5:$H$2004,$K101))</f>
        <v>R2</v>
      </c>
      <c r="G101" s="71" t="str">
        <f aca="false">IF($K101="","",INDEX(Base!$I$5:$I$2004,$K101))</f>
        <v>Prática</v>
      </c>
      <c r="H101" s="70" t="str">
        <f aca="false">IF($K101="","",INDEX(Base!$J$5:$J$2004,$K101))</f>
        <v>Clínica Médica</v>
      </c>
      <c r="I101" s="71" t="str">
        <f aca="false">IF($K101="","",INDEX(Base!$L$5:$L$2004,$K101))</f>
        <v>Pendente</v>
      </c>
      <c r="J101" s="72" t="n">
        <f aca="false">IFERROR(SMALL(Base!$P$5:$P$2004,ROW()-5),"")</f>
        <v>4632502</v>
      </c>
      <c r="K101" s="72" t="n">
        <f aca="false">IF(J101="","",MATCH(J101,Base!$P$5:$P$2004,0))</f>
        <v>135</v>
      </c>
    </row>
    <row r="102" customFormat="false" ht="15" hidden="false" customHeight="false" outlineLevel="0" collapsed="false">
      <c r="A102" s="67" t="n">
        <f aca="false">IF($K102="","",ROW()-5)</f>
        <v>97</v>
      </c>
      <c r="B102" s="68" t="n">
        <f aca="false">IF($K102="","",INDEX(Base!$E$5:$E$2004,$K102))</f>
        <v>46325</v>
      </c>
      <c r="C102" s="69" t="n">
        <f aca="false">IF($K102="","",B102)</f>
        <v>46325</v>
      </c>
      <c r="D102" s="70" t="str">
        <f aca="false">IF($K102="","",INDEX(Base!$F$5:$F$2004,$K102))</f>
        <v>Câncer de Pulmão e TEP</v>
      </c>
      <c r="E102" s="70" t="str">
        <f aca="false">IF($K102="","",INDEX(Base!$G$5:$G$2004,$K102))</f>
        <v>2ª Revisão</v>
      </c>
      <c r="F102" s="71" t="str">
        <f aca="false">IF($K102="","",INDEX(Base!$H$5:$H$2004,$K102))</f>
        <v>R2</v>
      </c>
      <c r="G102" s="71" t="str">
        <f aca="false">IF($K102="","",INDEX(Base!$I$5:$I$2004,$K102))</f>
        <v>Prática</v>
      </c>
      <c r="H102" s="70" t="str">
        <f aca="false">IF($K102="","",INDEX(Base!$J$5:$J$2004,$K102))</f>
        <v>Clínica Médica</v>
      </c>
      <c r="I102" s="71" t="str">
        <f aca="false">IF($K102="","",INDEX(Base!$L$5:$L$2004,$K102))</f>
        <v>Pendente</v>
      </c>
      <c r="J102" s="72" t="n">
        <f aca="false">IFERROR(SMALL(Base!$P$5:$P$2004,ROW()-5),"")</f>
        <v>4632503</v>
      </c>
      <c r="K102" s="72" t="n">
        <f aca="false">IF(J102="","",MATCH(J102,Base!$P$5:$P$2004,0))</f>
        <v>141</v>
      </c>
    </row>
    <row r="103" customFormat="false" ht="15" hidden="false" customHeight="false" outlineLevel="0" collapsed="false">
      <c r="A103" s="67" t="n">
        <f aca="false">IF($K103="","",ROW()-5)</f>
        <v>98</v>
      </c>
      <c r="B103" s="68" t="n">
        <f aca="false">IF($K103="","",INDEX(Base!$E$5:$E$2004,$K103))</f>
        <v>46326</v>
      </c>
      <c r="C103" s="69" t="n">
        <f aca="false">IF($K103="","",B103)</f>
        <v>46326</v>
      </c>
      <c r="D103" s="70" t="str">
        <f aca="false">IF($K103="","",INDEX(Base!$F$5:$F$2004,$K103))</f>
        <v>Doenças da Suprarrenal</v>
      </c>
      <c r="E103" s="70" t="str">
        <f aca="false">IF($K103="","",INDEX(Base!$G$5:$G$2004,$K103))</f>
        <v>3ª Revisão</v>
      </c>
      <c r="F103" s="71" t="str">
        <f aca="false">IF($K103="","",INDEX(Base!$H$5:$H$2004,$K103))</f>
        <v>R3</v>
      </c>
      <c r="G103" s="71" t="str">
        <f aca="false">IF($K103="","",INDEX(Base!$I$5:$I$2004,$K103))</f>
        <v>Prática</v>
      </c>
      <c r="H103" s="70" t="str">
        <f aca="false">IF($K103="","",INDEX(Base!$J$5:$J$2004,$K103))</f>
        <v>Clínica Médica</v>
      </c>
      <c r="I103" s="71" t="str">
        <f aca="false">IF($K103="","",INDEX(Base!$L$5:$L$2004,$K103))</f>
        <v>Pendente</v>
      </c>
      <c r="J103" s="72" t="n">
        <f aca="false">IFERROR(SMALL(Base!$P$5:$P$2004,ROW()-5),"")</f>
        <v>4632601</v>
      </c>
      <c r="K103" s="72" t="n">
        <f aca="false">IF(J103="","",MATCH(J103,Base!$P$5:$P$2004,0))</f>
        <v>88</v>
      </c>
    </row>
    <row r="104" customFormat="false" ht="15" hidden="false" customHeight="false" outlineLevel="0" collapsed="false">
      <c r="A104" s="67" t="n">
        <f aca="false">IF($K104="","",ROW()-5)</f>
        <v>99</v>
      </c>
      <c r="B104" s="68" t="n">
        <f aca="false">IF($K104="","",INDEX(Base!$E$5:$E$2004,$K104))</f>
        <v>46326</v>
      </c>
      <c r="C104" s="69" t="n">
        <f aca="false">IF($K104="","",B104)</f>
        <v>46326</v>
      </c>
      <c r="D104" s="70" t="str">
        <f aca="false">IF($K104="","",INDEX(Base!$F$5:$F$2004,$K104))</f>
        <v>Infecções Sexualmente Transmissíveis</v>
      </c>
      <c r="E104" s="70" t="str">
        <f aca="false">IF($K104="","",INDEX(Base!$G$5:$G$2004,$K104))</f>
        <v>3ª Revisão</v>
      </c>
      <c r="F104" s="71" t="str">
        <f aca="false">IF($K104="","",INDEX(Base!$H$5:$H$2004,$K104))</f>
        <v>R3</v>
      </c>
      <c r="G104" s="71" t="str">
        <f aca="false">IF($K104="","",INDEX(Base!$I$5:$I$2004,$K104))</f>
        <v>Prática</v>
      </c>
      <c r="H104" s="70" t="str">
        <f aca="false">IF($K104="","",INDEX(Base!$J$5:$J$2004,$K104))</f>
        <v>Ginecologia e Obstetrícia</v>
      </c>
      <c r="I104" s="71" t="str">
        <f aca="false">IF($K104="","",INDEX(Base!$L$5:$L$2004,$K104))</f>
        <v>Pendente</v>
      </c>
      <c r="J104" s="72" t="n">
        <f aca="false">IFERROR(SMALL(Base!$P$5:$P$2004,ROW()-5),"")</f>
        <v>4632602</v>
      </c>
      <c r="K104" s="72" t="n">
        <f aca="false">IF(J104="","",MATCH(J104,Base!$P$5:$P$2004,0))</f>
        <v>94</v>
      </c>
    </row>
    <row r="105" customFormat="false" ht="15" hidden="false" customHeight="false" outlineLevel="0" collapsed="false">
      <c r="A105" s="67" t="n">
        <f aca="false">IF($K105="","",ROW()-5)</f>
        <v>100</v>
      </c>
      <c r="B105" s="68" t="n">
        <f aca="false">IF($K105="","",INDEX(Base!$E$5:$E$2004,$K105))</f>
        <v>46326</v>
      </c>
      <c r="C105" s="69" t="n">
        <f aca="false">IF($K105="","",B105)</f>
        <v>46326</v>
      </c>
      <c r="D105" s="70" t="str">
        <f aca="false">IF($K105="","",INDEX(Base!$F$5:$F$2004,$K105))</f>
        <v>Parasitoses Intestinais</v>
      </c>
      <c r="E105" s="70" t="str">
        <f aca="false">IF($K105="","",INDEX(Base!$G$5:$G$2004,$K105))</f>
        <v>3ª Revisão</v>
      </c>
      <c r="F105" s="71" t="str">
        <f aca="false">IF($K105="","",INDEX(Base!$H$5:$H$2004,$K105))</f>
        <v>R3</v>
      </c>
      <c r="G105" s="71" t="str">
        <f aca="false">IF($K105="","",INDEX(Base!$I$5:$I$2004,$K105))</f>
        <v>Prática</v>
      </c>
      <c r="H105" s="70" t="str">
        <f aca="false">IF($K105="","",INDEX(Base!$J$5:$J$2004,$K105))</f>
        <v>Pediatria</v>
      </c>
      <c r="I105" s="71" t="str">
        <f aca="false">IF($K105="","",INDEX(Base!$L$5:$L$2004,$K105))</f>
        <v>Pendente</v>
      </c>
      <c r="J105" s="72" t="n">
        <f aca="false">IFERROR(SMALL(Base!$P$5:$P$2004,ROW()-5),"")</f>
        <v>4632603</v>
      </c>
      <c r="K105" s="72" t="n">
        <f aca="false">IF(J105="","",MATCH(J105,Base!$P$5:$P$2004,0))</f>
        <v>100</v>
      </c>
    </row>
    <row r="106" customFormat="false" ht="15" hidden="false" customHeight="false" outlineLevel="0" collapsed="false">
      <c r="A106" s="67" t="n">
        <f aca="false">IF($K106="","",ROW()-5)</f>
        <v>101</v>
      </c>
      <c r="B106" s="68" t="n">
        <f aca="false">IF($K106="","",INDEX(Base!$E$5:$E$2004,$K106))</f>
        <v>46326</v>
      </c>
      <c r="C106" s="69" t="n">
        <f aca="false">IF($K106="","",B106)</f>
        <v>46326</v>
      </c>
      <c r="D106" s="70" t="str">
        <f aca="false">IF($K106="","",INDEX(Base!$F$5:$F$2004,$K106))</f>
        <v>HIV/AIDS</v>
      </c>
      <c r="E106" s="70" t="str">
        <f aca="false">IF($K106="","",INDEX(Base!$G$5:$G$2004,$K106))</f>
        <v>3ª Revisão</v>
      </c>
      <c r="F106" s="71" t="str">
        <f aca="false">IF($K106="","",INDEX(Base!$H$5:$H$2004,$K106))</f>
        <v>R3</v>
      </c>
      <c r="G106" s="71" t="str">
        <f aca="false">IF($K106="","",INDEX(Base!$I$5:$I$2004,$K106))</f>
        <v>Prática</v>
      </c>
      <c r="H106" s="70" t="str">
        <f aca="false">IF($K106="","",INDEX(Base!$J$5:$J$2004,$K106))</f>
        <v>Clínica Médica</v>
      </c>
      <c r="I106" s="71" t="str">
        <f aca="false">IF($K106="","",INDEX(Base!$L$5:$L$2004,$K106))</f>
        <v>Pendente</v>
      </c>
      <c r="J106" s="72" t="n">
        <f aca="false">IFERROR(SMALL(Base!$P$5:$P$2004,ROW()-5),"")</f>
        <v>4632604</v>
      </c>
      <c r="K106" s="72" t="n">
        <f aca="false">IF(J106="","",MATCH(J106,Base!$P$5:$P$2004,0))</f>
        <v>106</v>
      </c>
    </row>
    <row r="107" customFormat="false" ht="15" hidden="false" customHeight="false" outlineLevel="0" collapsed="false">
      <c r="A107" s="67" t="n">
        <f aca="false">IF($K107="","",ROW()-5)</f>
        <v>102</v>
      </c>
      <c r="B107" s="68" t="n">
        <f aca="false">IF($K107="","",INDEX(Base!$E$5:$E$2004,$K107))</f>
        <v>46327</v>
      </c>
      <c r="C107" s="69" t="n">
        <f aca="false">IF($K107="","",B107)</f>
        <v>46327</v>
      </c>
      <c r="D107" s="70" t="str">
        <f aca="false">IF($K107="","",INDEX(Base!$F$5:$F$2004,$K107))</f>
        <v>ATB</v>
      </c>
      <c r="E107" s="70" t="str">
        <f aca="false">IF($K107="","",INDEX(Base!$G$5:$G$2004,$K107))</f>
        <v>4ª Revisão</v>
      </c>
      <c r="F107" s="71" t="str">
        <f aca="false">IF($K107="","",INDEX(Base!$H$5:$H$2004,$K107))</f>
        <v>R4</v>
      </c>
      <c r="G107" s="71" t="str">
        <f aca="false">IF($K107="","",INDEX(Base!$I$5:$I$2004,$K107))</f>
        <v>Prática</v>
      </c>
      <c r="H107" s="70" t="str">
        <f aca="false">IF($K107="","",INDEX(Base!$J$5:$J$2004,$K107))</f>
        <v>Clínica Médica</v>
      </c>
      <c r="I107" s="71" t="str">
        <f aca="false">IF($K107="","",INDEX(Base!$L$5:$L$2004,$K107))</f>
        <v>Pendente</v>
      </c>
      <c r="J107" s="72" t="n">
        <f aca="false">IFERROR(SMALL(Base!$P$5:$P$2004,ROW()-5),"")</f>
        <v>4632701</v>
      </c>
      <c r="K107" s="72" t="n">
        <f aca="false">IF(J107="","",MATCH(J107,Base!$P$5:$P$2004,0))</f>
        <v>41</v>
      </c>
    </row>
    <row r="108" customFormat="false" ht="15" hidden="false" customHeight="false" outlineLevel="0" collapsed="false">
      <c r="A108" s="67" t="n">
        <f aca="false">IF($K108="","",ROW()-5)</f>
        <v>103</v>
      </c>
      <c r="B108" s="68" t="n">
        <f aca="false">IF($K108="","",INDEX(Base!$E$5:$E$2004,$K108))</f>
        <v>46328</v>
      </c>
      <c r="C108" s="69" t="n">
        <f aca="false">IF($K108="","",B108)</f>
        <v>46328</v>
      </c>
      <c r="D108" s="70" t="str">
        <f aca="false">IF($K108="","",INDEX(Base!$F$5:$F$2004,$K108))</f>
        <v>Ortopedia I e II</v>
      </c>
      <c r="E108" s="70" t="str">
        <f aca="false">IF($K108="","",INDEX(Base!$G$5:$G$2004,$K108))</f>
        <v>2ª Revisão</v>
      </c>
      <c r="F108" s="71" t="str">
        <f aca="false">IF($K108="","",INDEX(Base!$H$5:$H$2004,$K108))</f>
        <v>R2</v>
      </c>
      <c r="G108" s="71" t="str">
        <f aca="false">IF($K108="","",INDEX(Base!$I$5:$I$2004,$K108))</f>
        <v>Prática</v>
      </c>
      <c r="H108" s="70" t="str">
        <f aca="false">IF($K108="","",INDEX(Base!$J$5:$J$2004,$K108))</f>
        <v>Cirurgia</v>
      </c>
      <c r="I108" s="71" t="str">
        <f aca="false">IF($K108="","",INDEX(Base!$L$5:$L$2004,$K108))</f>
        <v>Pendente</v>
      </c>
      <c r="J108" s="72" t="n">
        <f aca="false">IFERROR(SMALL(Base!$P$5:$P$2004,ROW()-5),"")</f>
        <v>4632801</v>
      </c>
      <c r="K108" s="72" t="n">
        <f aca="false">IF(J108="","",MATCH(J108,Base!$P$5:$P$2004,0))</f>
        <v>147</v>
      </c>
    </row>
    <row r="109" customFormat="false" ht="15" hidden="false" customHeight="false" outlineLevel="0" collapsed="false">
      <c r="A109" s="67" t="n">
        <f aca="false">IF($K109="","",ROW()-5)</f>
        <v>104</v>
      </c>
      <c r="B109" s="68" t="n">
        <f aca="false">IF($K109="","",INDEX(Base!$E$5:$E$2004,$K109))</f>
        <v>46329</v>
      </c>
      <c r="C109" s="69" t="n">
        <f aca="false">IF($K109="","",B109)</f>
        <v>46329</v>
      </c>
      <c r="D109" s="70" t="str">
        <f aca="false">IF($K109="","",INDEX(Base!$F$5:$F$2004,$K109))</f>
        <v>Dermatologia I e II</v>
      </c>
      <c r="E109" s="70" t="str">
        <f aca="false">IF($K109="","",INDEX(Base!$G$5:$G$2004,$K109))</f>
        <v>3ª Revisão</v>
      </c>
      <c r="F109" s="71" t="str">
        <f aca="false">IF($K109="","",INDEX(Base!$H$5:$H$2004,$K109))</f>
        <v>R3</v>
      </c>
      <c r="G109" s="71" t="str">
        <f aca="false">IF($K109="","",INDEX(Base!$I$5:$I$2004,$K109))</f>
        <v>Prática</v>
      </c>
      <c r="H109" s="70" t="str">
        <f aca="false">IF($K109="","",INDEX(Base!$J$5:$J$2004,$K109))</f>
        <v>Clínica Médica</v>
      </c>
      <c r="I109" s="71" t="str">
        <f aca="false">IF($K109="","",INDEX(Base!$L$5:$L$2004,$K109))</f>
        <v>Pendente</v>
      </c>
      <c r="J109" s="72" t="n">
        <f aca="false">IFERROR(SMALL(Base!$P$5:$P$2004,ROW()-5),"")</f>
        <v>4632901</v>
      </c>
      <c r="K109" s="72" t="n">
        <f aca="false">IF(J109="","",MATCH(J109,Base!$P$5:$P$2004,0))</f>
        <v>112</v>
      </c>
    </row>
    <row r="110" customFormat="false" ht="15" hidden="false" customHeight="false" outlineLevel="0" collapsed="false">
      <c r="A110" s="67" t="n">
        <f aca="false">IF($K110="","",ROW()-5)</f>
        <v>105</v>
      </c>
      <c r="B110" s="68" t="n">
        <f aca="false">IF($K110="","",INDEX(Base!$E$5:$E$2004,$K110))</f>
        <v>46329</v>
      </c>
      <c r="C110" s="69" t="n">
        <f aca="false">IF($K110="","",B110)</f>
        <v>46329</v>
      </c>
      <c r="D110" s="70" t="str">
        <f aca="false">IF($K110="","",INDEX(Base!$F$5:$F$2004,$K110))</f>
        <v>Fraqueza Muscular — Polineuropatias</v>
      </c>
      <c r="E110" s="70" t="str">
        <f aca="false">IF($K110="","",INDEX(Base!$G$5:$G$2004,$K110))</f>
        <v>2ª Revisão</v>
      </c>
      <c r="F110" s="71" t="str">
        <f aca="false">IF($K110="","",INDEX(Base!$H$5:$H$2004,$K110))</f>
        <v>R2</v>
      </c>
      <c r="G110" s="71" t="str">
        <f aca="false">IF($K110="","",INDEX(Base!$I$5:$I$2004,$K110))</f>
        <v>Prática</v>
      </c>
      <c r="H110" s="70" t="str">
        <f aca="false">IF($K110="","",INDEX(Base!$J$5:$J$2004,$K110))</f>
        <v>Clínica Médica</v>
      </c>
      <c r="I110" s="71" t="str">
        <f aca="false">IF($K110="","",INDEX(Base!$L$5:$L$2004,$K110))</f>
        <v>Pendente</v>
      </c>
      <c r="J110" s="72" t="n">
        <f aca="false">IFERROR(SMALL(Base!$P$5:$P$2004,ROW()-5),"")</f>
        <v>4632902</v>
      </c>
      <c r="K110" s="72" t="n">
        <f aca="false">IF(J110="","",MATCH(J110,Base!$P$5:$P$2004,0))</f>
        <v>153</v>
      </c>
    </row>
    <row r="111" customFormat="false" ht="15" hidden="false" customHeight="false" outlineLevel="0" collapsed="false">
      <c r="A111" s="67" t="n">
        <f aca="false">IF($K111="","",ROW()-5)</f>
        <v>106</v>
      </c>
      <c r="B111" s="68" t="n">
        <f aca="false">IF($K111="","",INDEX(Base!$E$5:$E$2004,$K111))</f>
        <v>46330</v>
      </c>
      <c r="C111" s="69" t="n">
        <f aca="false">IF($K111="","",B111)</f>
        <v>46330</v>
      </c>
      <c r="D111" s="70" t="str">
        <f aca="false">IF($K111="","",INDEX(Base!$F$5:$F$2004,$K111))</f>
        <v>Transtornos Psiquiátricos I</v>
      </c>
      <c r="E111" s="70" t="str">
        <f aca="false">IF($K111="","",INDEX(Base!$G$5:$G$2004,$K111))</f>
        <v>4ª Revisão</v>
      </c>
      <c r="F111" s="71" t="str">
        <f aca="false">IF($K111="","",INDEX(Base!$H$5:$H$2004,$K111))</f>
        <v>R4</v>
      </c>
      <c r="G111" s="71" t="str">
        <f aca="false">IF($K111="","",INDEX(Base!$I$5:$I$2004,$K111))</f>
        <v>Prática</v>
      </c>
      <c r="H111" s="70" t="str">
        <f aca="false">IF($K111="","",INDEX(Base!$J$5:$J$2004,$K111))</f>
        <v>Clínica Médica</v>
      </c>
      <c r="I111" s="71" t="str">
        <f aca="false">IF($K111="","",INDEX(Base!$L$5:$L$2004,$K111))</f>
        <v>Pendente</v>
      </c>
      <c r="J111" s="72" t="n">
        <f aca="false">IFERROR(SMALL(Base!$P$5:$P$2004,ROW()-5),"")</f>
        <v>4633001</v>
      </c>
      <c r="K111" s="72" t="n">
        <f aca="false">IF(J111="","",MATCH(J111,Base!$P$5:$P$2004,0))</f>
        <v>47</v>
      </c>
    </row>
    <row r="112" customFormat="false" ht="15" hidden="false" customHeight="false" outlineLevel="0" collapsed="false">
      <c r="A112" s="67" t="n">
        <f aca="false">IF($K112="","",ROW()-5)</f>
        <v>107</v>
      </c>
      <c r="B112" s="68" t="n">
        <f aca="false">IF($K112="","",INDEX(Base!$E$5:$E$2004,$K112))</f>
        <v>46330</v>
      </c>
      <c r="C112" s="69" t="n">
        <f aca="false">IF($K112="","",B112)</f>
        <v>46330</v>
      </c>
      <c r="D112" s="70" t="str">
        <f aca="false">IF($K112="","",INDEX(Base!$F$5:$F$2004,$K112))</f>
        <v>Bônus Oftalmo</v>
      </c>
      <c r="E112" s="70" t="str">
        <f aca="false">IF($K112="","",INDEX(Base!$G$5:$G$2004,$K112))</f>
        <v>3ª Revisão</v>
      </c>
      <c r="F112" s="71" t="str">
        <f aca="false">IF($K112="","",INDEX(Base!$H$5:$H$2004,$K112))</f>
        <v>R3</v>
      </c>
      <c r="G112" s="71" t="str">
        <f aca="false">IF($K112="","",INDEX(Base!$I$5:$I$2004,$K112))</f>
        <v>Prática</v>
      </c>
      <c r="H112" s="70" t="str">
        <f aca="false">IF($K112="","",INDEX(Base!$J$5:$J$2004,$K112))</f>
        <v>Cirurgia</v>
      </c>
      <c r="I112" s="71" t="str">
        <f aca="false">IF($K112="","",INDEX(Base!$L$5:$L$2004,$K112))</f>
        <v>Pendente</v>
      </c>
      <c r="J112" s="72" t="n">
        <f aca="false">IFERROR(SMALL(Base!$P$5:$P$2004,ROW()-5),"")</f>
        <v>4633002</v>
      </c>
      <c r="K112" s="72" t="n">
        <f aca="false">IF(J112="","",MATCH(J112,Base!$P$5:$P$2004,0))</f>
        <v>118</v>
      </c>
    </row>
    <row r="113" customFormat="false" ht="15" hidden="false" customHeight="false" outlineLevel="0" collapsed="false">
      <c r="A113" s="67" t="n">
        <f aca="false">IF($K113="","",ROW()-5)</f>
        <v>108</v>
      </c>
      <c r="B113" s="68" t="n">
        <f aca="false">IF($K113="","",INDEX(Base!$E$5:$E$2004,$K113))</f>
        <v>46330</v>
      </c>
      <c r="C113" s="69" t="n">
        <f aca="false">IF($K113="","",B113)</f>
        <v>46330</v>
      </c>
      <c r="D113" s="70" t="str">
        <f aca="false">IF($K113="","",INDEX(Base!$F$5:$F$2004,$K113))</f>
        <v>Insuficiência Cardíaca</v>
      </c>
      <c r="E113" s="70" t="str">
        <f aca="false">IF($K113="","",INDEX(Base!$G$5:$G$2004,$K113))</f>
        <v>3ª Revisão</v>
      </c>
      <c r="F113" s="71" t="str">
        <f aca="false">IF($K113="","",INDEX(Base!$H$5:$H$2004,$K113))</f>
        <v>R3</v>
      </c>
      <c r="G113" s="71" t="str">
        <f aca="false">IF($K113="","",INDEX(Base!$I$5:$I$2004,$K113))</f>
        <v>Prática</v>
      </c>
      <c r="H113" s="70" t="str">
        <f aca="false">IF($K113="","",INDEX(Base!$J$5:$J$2004,$K113))</f>
        <v>Clínica Médica</v>
      </c>
      <c r="I113" s="71" t="str">
        <f aca="false">IF($K113="","",INDEX(Base!$L$5:$L$2004,$K113))</f>
        <v>Pendente</v>
      </c>
      <c r="J113" s="72" t="n">
        <f aca="false">IFERROR(SMALL(Base!$P$5:$P$2004,ROW()-5),"")</f>
        <v>4633003</v>
      </c>
      <c r="K113" s="72" t="n">
        <f aca="false">IF(J113="","",MATCH(J113,Base!$P$5:$P$2004,0))</f>
        <v>124</v>
      </c>
    </row>
    <row r="114" customFormat="false" ht="15" hidden="false" customHeight="false" outlineLevel="0" collapsed="false">
      <c r="A114" s="67" t="n">
        <f aca="false">IF($K114="","",ROW()-5)</f>
        <v>109</v>
      </c>
      <c r="B114" s="68" t="n">
        <f aca="false">IF($K114="","",INDEX(Base!$E$5:$E$2004,$K114))</f>
        <v>46333</v>
      </c>
      <c r="C114" s="69" t="n">
        <f aca="false">IF($K114="","",B114)</f>
        <v>46333</v>
      </c>
      <c r="D114" s="70" t="str">
        <f aca="false">IF($K114="","",INDEX(Base!$F$5:$F$2004,$K114))</f>
        <v>Síndromes Febris — Dengue</v>
      </c>
      <c r="E114" s="70" t="str">
        <f aca="false">IF($K114="","",INDEX(Base!$G$5:$G$2004,$K114))</f>
        <v>4ª Revisão</v>
      </c>
      <c r="F114" s="71" t="str">
        <f aca="false">IF($K114="","",INDEX(Base!$H$5:$H$2004,$K114))</f>
        <v>R4</v>
      </c>
      <c r="G114" s="71" t="str">
        <f aca="false">IF($K114="","",INDEX(Base!$I$5:$I$2004,$K114))</f>
        <v>Prática</v>
      </c>
      <c r="H114" s="70" t="str">
        <f aca="false">IF($K114="","",INDEX(Base!$J$5:$J$2004,$K114))</f>
        <v>Clínica Médica</v>
      </c>
      <c r="I114" s="71" t="str">
        <f aca="false">IF($K114="","",INDEX(Base!$L$5:$L$2004,$K114))</f>
        <v>Pendente</v>
      </c>
      <c r="J114" s="72" t="n">
        <f aca="false">IFERROR(SMALL(Base!$P$5:$P$2004,ROW()-5),"")</f>
        <v>4633301</v>
      </c>
      <c r="K114" s="72" t="n">
        <f aca="false">IF(J114="","",MATCH(J114,Base!$P$5:$P$2004,0))</f>
        <v>53</v>
      </c>
    </row>
    <row r="115" customFormat="false" ht="15" hidden="false" customHeight="false" outlineLevel="0" collapsed="false">
      <c r="A115" s="67" t="n">
        <f aca="false">IF($K115="","",ROW()-5)</f>
        <v>110</v>
      </c>
      <c r="B115" s="68" t="n">
        <f aca="false">IF($K115="","",INDEX(Base!$E$5:$E$2004,$K115))</f>
        <v>46333</v>
      </c>
      <c r="C115" s="69" t="n">
        <f aca="false">IF($K115="","",B115)</f>
        <v>46333</v>
      </c>
      <c r="D115" s="70" t="str">
        <f aca="false">IF($K115="","",INDEX(Base!$F$5:$F$2004,$K115))</f>
        <v>Pneumonias Comunitárias</v>
      </c>
      <c r="E115" s="70" t="str">
        <f aca="false">IF($K115="","",INDEX(Base!$G$5:$G$2004,$K115))</f>
        <v>3ª Revisão</v>
      </c>
      <c r="F115" s="71" t="str">
        <f aca="false">IF($K115="","",INDEX(Base!$H$5:$H$2004,$K115))</f>
        <v>R3</v>
      </c>
      <c r="G115" s="71" t="str">
        <f aca="false">IF($K115="","",INDEX(Base!$I$5:$I$2004,$K115))</f>
        <v>Prática</v>
      </c>
      <c r="H115" s="70" t="str">
        <f aca="false">IF($K115="","",INDEX(Base!$J$5:$J$2004,$K115))</f>
        <v>Clínica Médica</v>
      </c>
      <c r="I115" s="71" t="str">
        <f aca="false">IF($K115="","",INDEX(Base!$L$5:$L$2004,$K115))</f>
        <v>Pendente</v>
      </c>
      <c r="J115" s="72" t="n">
        <f aca="false">IFERROR(SMALL(Base!$P$5:$P$2004,ROW()-5),"")</f>
        <v>4633302</v>
      </c>
      <c r="K115" s="72" t="n">
        <f aca="false">IF(J115="","",MATCH(J115,Base!$P$5:$P$2004,0))</f>
        <v>130</v>
      </c>
    </row>
    <row r="116" customFormat="false" ht="15" hidden="false" customHeight="false" outlineLevel="0" collapsed="false">
      <c r="A116" s="67" t="n">
        <f aca="false">IF($K116="","",ROW()-5)</f>
        <v>111</v>
      </c>
      <c r="B116" s="68" t="n">
        <f aca="false">IF($K116="","",INDEX(Base!$E$5:$E$2004,$K116))</f>
        <v>46333</v>
      </c>
      <c r="C116" s="69" t="n">
        <f aca="false">IF($K116="","",B116)</f>
        <v>46333</v>
      </c>
      <c r="D116" s="70" t="str">
        <f aca="false">IF($K116="","",INDEX(Base!$F$5:$F$2004,$K116))</f>
        <v>Tuberculose</v>
      </c>
      <c r="E116" s="70" t="str">
        <f aca="false">IF($K116="","",INDEX(Base!$G$5:$G$2004,$K116))</f>
        <v>3ª Revisão</v>
      </c>
      <c r="F116" s="71" t="str">
        <f aca="false">IF($K116="","",INDEX(Base!$H$5:$H$2004,$K116))</f>
        <v>R3</v>
      </c>
      <c r="G116" s="71" t="str">
        <f aca="false">IF($K116="","",INDEX(Base!$I$5:$I$2004,$K116))</f>
        <v>Prática</v>
      </c>
      <c r="H116" s="70" t="str">
        <f aca="false">IF($K116="","",INDEX(Base!$J$5:$J$2004,$K116))</f>
        <v>Clínica Médica</v>
      </c>
      <c r="I116" s="71" t="str">
        <f aca="false">IF($K116="","",INDEX(Base!$L$5:$L$2004,$K116))</f>
        <v>Pendente</v>
      </c>
      <c r="J116" s="72" t="n">
        <f aca="false">IFERROR(SMALL(Base!$P$5:$P$2004,ROW()-5),"")</f>
        <v>4633303</v>
      </c>
      <c r="K116" s="72" t="n">
        <f aca="false">IF(J116="","",MATCH(J116,Base!$P$5:$P$2004,0))</f>
        <v>136</v>
      </c>
    </row>
    <row r="117" customFormat="false" ht="15" hidden="false" customHeight="false" outlineLevel="0" collapsed="false">
      <c r="A117" s="67" t="n">
        <f aca="false">IF($K117="","",ROW()-5)</f>
        <v>112</v>
      </c>
      <c r="B117" s="68" t="n">
        <f aca="false">IF($K117="","",INDEX(Base!$E$5:$E$2004,$K117))</f>
        <v>46333</v>
      </c>
      <c r="C117" s="69" t="n">
        <f aca="false">IF($K117="","",B117)</f>
        <v>46333</v>
      </c>
      <c r="D117" s="70" t="str">
        <f aca="false">IF($K117="","",INDEX(Base!$F$5:$F$2004,$K117))</f>
        <v>Câncer de Pulmão e TEP</v>
      </c>
      <c r="E117" s="70" t="str">
        <f aca="false">IF($K117="","",INDEX(Base!$G$5:$G$2004,$K117))</f>
        <v>3ª Revisão</v>
      </c>
      <c r="F117" s="71" t="str">
        <f aca="false">IF($K117="","",INDEX(Base!$H$5:$H$2004,$K117))</f>
        <v>R3</v>
      </c>
      <c r="G117" s="71" t="str">
        <f aca="false">IF($K117="","",INDEX(Base!$I$5:$I$2004,$K117))</f>
        <v>Prática</v>
      </c>
      <c r="H117" s="70" t="str">
        <f aca="false">IF($K117="","",INDEX(Base!$J$5:$J$2004,$K117))</f>
        <v>Clínica Médica</v>
      </c>
      <c r="I117" s="71" t="str">
        <f aca="false">IF($K117="","",INDEX(Base!$L$5:$L$2004,$K117))</f>
        <v>Pendente</v>
      </c>
      <c r="J117" s="72" t="n">
        <f aca="false">IFERROR(SMALL(Base!$P$5:$P$2004,ROW()-5),"")</f>
        <v>4633304</v>
      </c>
      <c r="K117" s="72" t="n">
        <f aca="false">IF(J117="","",MATCH(J117,Base!$P$5:$P$2004,0))</f>
        <v>142</v>
      </c>
    </row>
    <row r="118" customFormat="false" ht="15" hidden="false" customHeight="false" outlineLevel="0" collapsed="false">
      <c r="A118" s="67" t="n">
        <f aca="false">IF($K118="","",ROW()-5)</f>
        <v>113</v>
      </c>
      <c r="B118" s="68" t="n">
        <f aca="false">IF($K118="","",INDEX(Base!$E$5:$E$2004,$K118))</f>
        <v>46336</v>
      </c>
      <c r="C118" s="69" t="n">
        <f aca="false">IF($K118="","",B118)</f>
        <v>46336</v>
      </c>
      <c r="D118" s="70" t="str">
        <f aca="false">IF($K118="","",INDEX(Base!$F$5:$F$2004,$K118))</f>
        <v>Endocardite Infecciosa / Meningites</v>
      </c>
      <c r="E118" s="70" t="str">
        <f aca="false">IF($K118="","",INDEX(Base!$G$5:$G$2004,$K118))</f>
        <v>4ª Revisão</v>
      </c>
      <c r="F118" s="71" t="str">
        <f aca="false">IF($K118="","",INDEX(Base!$H$5:$H$2004,$K118))</f>
        <v>R4</v>
      </c>
      <c r="G118" s="71" t="str">
        <f aca="false">IF($K118="","",INDEX(Base!$I$5:$I$2004,$K118))</f>
        <v>Prática</v>
      </c>
      <c r="H118" s="70" t="str">
        <f aca="false">IF($K118="","",INDEX(Base!$J$5:$J$2004,$K118))</f>
        <v>Clínica Médica</v>
      </c>
      <c r="I118" s="71" t="str">
        <f aca="false">IF($K118="","",INDEX(Base!$L$5:$L$2004,$K118))</f>
        <v>Pendente</v>
      </c>
      <c r="J118" s="72" t="n">
        <f aca="false">IFERROR(SMALL(Base!$P$5:$P$2004,ROW()-5),"")</f>
        <v>4633601</v>
      </c>
      <c r="K118" s="72" t="n">
        <f aca="false">IF(J118="","",MATCH(J118,Base!$P$5:$P$2004,0))</f>
        <v>59</v>
      </c>
    </row>
    <row r="119" customFormat="false" ht="15" hidden="false" customHeight="false" outlineLevel="0" collapsed="false">
      <c r="A119" s="67" t="n">
        <f aca="false">IF($K119="","",ROW()-5)</f>
        <v>114</v>
      </c>
      <c r="B119" s="68" t="n">
        <f aca="false">IF($K119="","",INDEX(Base!$E$5:$E$2004,$K119))</f>
        <v>46336</v>
      </c>
      <c r="C119" s="69" t="n">
        <f aca="false">IF($K119="","",B119)</f>
        <v>46336</v>
      </c>
      <c r="D119" s="70" t="str">
        <f aca="false">IF($K119="","",INDEX(Base!$F$5:$F$2004,$K119))</f>
        <v>Ortopedia I e II</v>
      </c>
      <c r="E119" s="70" t="str">
        <f aca="false">IF($K119="","",INDEX(Base!$G$5:$G$2004,$K119))</f>
        <v>3ª Revisão</v>
      </c>
      <c r="F119" s="71" t="str">
        <f aca="false">IF($K119="","",INDEX(Base!$H$5:$H$2004,$K119))</f>
        <v>R3</v>
      </c>
      <c r="G119" s="71" t="str">
        <f aca="false">IF($K119="","",INDEX(Base!$I$5:$I$2004,$K119))</f>
        <v>Prática</v>
      </c>
      <c r="H119" s="70" t="str">
        <f aca="false">IF($K119="","",INDEX(Base!$J$5:$J$2004,$K119))</f>
        <v>Cirurgia</v>
      </c>
      <c r="I119" s="71" t="str">
        <f aca="false">IF($K119="","",INDEX(Base!$L$5:$L$2004,$K119))</f>
        <v>Pendente</v>
      </c>
      <c r="J119" s="72" t="n">
        <f aca="false">IFERROR(SMALL(Base!$P$5:$P$2004,ROW()-5),"")</f>
        <v>4633602</v>
      </c>
      <c r="K119" s="72" t="n">
        <f aca="false">IF(J119="","",MATCH(J119,Base!$P$5:$P$2004,0))</f>
        <v>148</v>
      </c>
    </row>
    <row r="120" customFormat="false" ht="15" hidden="false" customHeight="false" outlineLevel="0" collapsed="false">
      <c r="A120" s="67" t="n">
        <f aca="false">IF($K120="","",ROW()-5)</f>
        <v>115</v>
      </c>
      <c r="B120" s="68" t="n">
        <f aca="false">IF($K120="","",INDEX(Base!$E$5:$E$2004,$K120))</f>
        <v>46337</v>
      </c>
      <c r="C120" s="69" t="n">
        <f aca="false">IF($K120="","",B120)</f>
        <v>46337</v>
      </c>
      <c r="D120" s="70" t="str">
        <f aca="false">IF($K120="","",INDEX(Base!$F$5:$F$2004,$K120))</f>
        <v>Especialidade Cirúrgica I</v>
      </c>
      <c r="E120" s="70" t="str">
        <f aca="false">IF($K120="","",INDEX(Base!$G$5:$G$2004,$K120))</f>
        <v>4ª Revisão</v>
      </c>
      <c r="F120" s="71" t="str">
        <f aca="false">IF($K120="","",INDEX(Base!$H$5:$H$2004,$K120))</f>
        <v>R4</v>
      </c>
      <c r="G120" s="71" t="str">
        <f aca="false">IF($K120="","",INDEX(Base!$I$5:$I$2004,$K120))</f>
        <v>Prática</v>
      </c>
      <c r="H120" s="70" t="str">
        <f aca="false">IF($K120="","",INDEX(Base!$J$5:$J$2004,$K120))</f>
        <v>Cirurgia</v>
      </c>
      <c r="I120" s="71" t="str">
        <f aca="false">IF($K120="","",INDEX(Base!$L$5:$L$2004,$K120))</f>
        <v>Pendente</v>
      </c>
      <c r="J120" s="72" t="n">
        <f aca="false">IFERROR(SMALL(Base!$P$5:$P$2004,ROW()-5),"")</f>
        <v>4633701</v>
      </c>
      <c r="K120" s="72" t="n">
        <f aca="false">IF(J120="","",MATCH(J120,Base!$P$5:$P$2004,0))</f>
        <v>65</v>
      </c>
    </row>
    <row r="121" customFormat="false" ht="15" hidden="false" customHeight="false" outlineLevel="0" collapsed="false">
      <c r="A121" s="67" t="n">
        <f aca="false">IF($K121="","",ROW()-5)</f>
        <v>116</v>
      </c>
      <c r="B121" s="68" t="n">
        <f aca="false">IF($K121="","",INDEX(Base!$E$5:$E$2004,$K121))</f>
        <v>46337</v>
      </c>
      <c r="C121" s="69" t="n">
        <f aca="false">IF($K121="","",B121)</f>
        <v>46337</v>
      </c>
      <c r="D121" s="70" t="str">
        <f aca="false">IF($K121="","",INDEX(Base!$F$5:$F$2004,$K121))</f>
        <v>Especialidade Cirúrgica II</v>
      </c>
      <c r="E121" s="70" t="str">
        <f aca="false">IF($K121="","",INDEX(Base!$G$5:$G$2004,$K121))</f>
        <v>4ª Revisão</v>
      </c>
      <c r="F121" s="71" t="str">
        <f aca="false">IF($K121="","",INDEX(Base!$H$5:$H$2004,$K121))</f>
        <v>R4</v>
      </c>
      <c r="G121" s="71" t="str">
        <f aca="false">IF($K121="","",INDEX(Base!$I$5:$I$2004,$K121))</f>
        <v>Prática</v>
      </c>
      <c r="H121" s="70" t="str">
        <f aca="false">IF($K121="","",INDEX(Base!$J$5:$J$2004,$K121))</f>
        <v>Cirurgia</v>
      </c>
      <c r="I121" s="71" t="str">
        <f aca="false">IF($K121="","",INDEX(Base!$L$5:$L$2004,$K121))</f>
        <v>Pendente</v>
      </c>
      <c r="J121" s="72" t="n">
        <f aca="false">IFERROR(SMALL(Base!$P$5:$P$2004,ROW()-5),"")</f>
        <v>4633702</v>
      </c>
      <c r="K121" s="72" t="n">
        <f aca="false">IF(J121="","",MATCH(J121,Base!$P$5:$P$2004,0))</f>
        <v>71</v>
      </c>
    </row>
    <row r="122" customFormat="false" ht="15" hidden="false" customHeight="false" outlineLevel="0" collapsed="false">
      <c r="A122" s="67" t="n">
        <f aca="false">IF($K122="","",ROW()-5)</f>
        <v>117</v>
      </c>
      <c r="B122" s="68" t="n">
        <f aca="false">IF($K122="","",INDEX(Base!$E$5:$E$2004,$K122))</f>
        <v>46337</v>
      </c>
      <c r="C122" s="69" t="n">
        <f aca="false">IF($K122="","",B122)</f>
        <v>46337</v>
      </c>
      <c r="D122" s="70" t="str">
        <f aca="false">IF($K122="","",INDEX(Base!$F$5:$F$2004,$K122))</f>
        <v>Fraqueza Muscular — Polineuropatias</v>
      </c>
      <c r="E122" s="70" t="str">
        <f aca="false">IF($K122="","",INDEX(Base!$G$5:$G$2004,$K122))</f>
        <v>3ª Revisão</v>
      </c>
      <c r="F122" s="71" t="str">
        <f aca="false">IF($K122="","",INDEX(Base!$H$5:$H$2004,$K122))</f>
        <v>R3</v>
      </c>
      <c r="G122" s="71" t="str">
        <f aca="false">IF($K122="","",INDEX(Base!$I$5:$I$2004,$K122))</f>
        <v>Prática</v>
      </c>
      <c r="H122" s="70" t="str">
        <f aca="false">IF($K122="","",INDEX(Base!$J$5:$J$2004,$K122))</f>
        <v>Clínica Médica</v>
      </c>
      <c r="I122" s="71" t="str">
        <f aca="false">IF($K122="","",INDEX(Base!$L$5:$L$2004,$K122))</f>
        <v>Pendente</v>
      </c>
      <c r="J122" s="72" t="n">
        <f aca="false">IFERROR(SMALL(Base!$P$5:$P$2004,ROW()-5),"")</f>
        <v>4633703</v>
      </c>
      <c r="K122" s="72" t="n">
        <f aca="false">IF(J122="","",MATCH(J122,Base!$P$5:$P$2004,0))</f>
        <v>154</v>
      </c>
    </row>
    <row r="123" customFormat="false" ht="15" hidden="false" customHeight="false" outlineLevel="0" collapsed="false">
      <c r="A123" s="67" t="n">
        <f aca="false">IF($K123="","",ROW()-5)</f>
        <v>118</v>
      </c>
      <c r="B123" s="68" t="n">
        <f aca="false">IF($K123="","",INDEX(Base!$E$5:$E$2004,$K123))</f>
        <v>46339</v>
      </c>
      <c r="C123" s="69" t="n">
        <f aca="false">IF($K123="","",B123)</f>
        <v>46339</v>
      </c>
      <c r="D123" s="70" t="str">
        <f aca="false">IF($K123="","",INDEX(Base!$F$5:$F$2004,$K123))</f>
        <v>Distúrbios Hipertensivos na Gestação</v>
      </c>
      <c r="E123" s="70" t="str">
        <f aca="false">IF($K123="","",INDEX(Base!$G$5:$G$2004,$K123))</f>
        <v>4ª Revisão</v>
      </c>
      <c r="F123" s="71" t="str">
        <f aca="false">IF($K123="","",INDEX(Base!$H$5:$H$2004,$K123))</f>
        <v>R4</v>
      </c>
      <c r="G123" s="71" t="str">
        <f aca="false">IF($K123="","",INDEX(Base!$I$5:$I$2004,$K123))</f>
        <v>Prática</v>
      </c>
      <c r="H123" s="70" t="str">
        <f aca="false">IF($K123="","",INDEX(Base!$J$5:$J$2004,$K123))</f>
        <v>Ginecologia e Obstetrícia</v>
      </c>
      <c r="I123" s="71" t="str">
        <f aca="false">IF($K123="","",INDEX(Base!$L$5:$L$2004,$K123))</f>
        <v>Pendente</v>
      </c>
      <c r="J123" s="72" t="n">
        <f aca="false">IFERROR(SMALL(Base!$P$5:$P$2004,ROW()-5),"")</f>
        <v>4633901</v>
      </c>
      <c r="K123" s="72" t="n">
        <f aca="false">IF(J123="","",MATCH(J123,Base!$P$5:$P$2004,0))</f>
        <v>77</v>
      </c>
    </row>
    <row r="124" customFormat="false" ht="15" hidden="false" customHeight="false" outlineLevel="0" collapsed="false">
      <c r="A124" s="67" t="n">
        <f aca="false">IF($K124="","",ROW()-5)</f>
        <v>119</v>
      </c>
      <c r="B124" s="68" t="n">
        <f aca="false">IF($K124="","",INDEX(Base!$E$5:$E$2004,$K124))</f>
        <v>46339</v>
      </c>
      <c r="C124" s="69" t="n">
        <f aca="false">IF($K124="","",B124)</f>
        <v>46339</v>
      </c>
      <c r="D124" s="70" t="str">
        <f aca="false">IF($K124="","",INDEX(Base!$F$5:$F$2004,$K124))</f>
        <v>Sofrimento Fetal e Vitalidade Fetal</v>
      </c>
      <c r="E124" s="70" t="str">
        <f aca="false">IF($K124="","",INDEX(Base!$G$5:$G$2004,$K124))</f>
        <v>4ª Revisão</v>
      </c>
      <c r="F124" s="71" t="str">
        <f aca="false">IF($K124="","",INDEX(Base!$H$5:$H$2004,$K124))</f>
        <v>R4</v>
      </c>
      <c r="G124" s="71" t="str">
        <f aca="false">IF($K124="","",INDEX(Base!$I$5:$I$2004,$K124))</f>
        <v>Prática</v>
      </c>
      <c r="H124" s="70" t="str">
        <f aca="false">IF($K124="","",INDEX(Base!$J$5:$J$2004,$K124))</f>
        <v>Ginecologia e Obstetrícia</v>
      </c>
      <c r="I124" s="71" t="str">
        <f aca="false">IF($K124="","",INDEX(Base!$L$5:$L$2004,$K124))</f>
        <v>Pendente</v>
      </c>
      <c r="J124" s="72" t="n">
        <f aca="false">IFERROR(SMALL(Base!$P$5:$P$2004,ROW()-5),"")</f>
        <v>4633902</v>
      </c>
      <c r="K124" s="72" t="n">
        <f aca="false">IF(J124="","",MATCH(J124,Base!$P$5:$P$2004,0))</f>
        <v>83</v>
      </c>
    </row>
    <row r="125" customFormat="false" ht="15" hidden="false" customHeight="false" outlineLevel="0" collapsed="false">
      <c r="A125" s="67" t="n">
        <f aca="false">IF($K125="","",ROW()-5)</f>
        <v>120</v>
      </c>
      <c r="B125" s="68" t="n">
        <f aca="false">IF($K125="","",INDEX(Base!$E$5:$E$2004,$K125))</f>
        <v>46341</v>
      </c>
      <c r="C125" s="69" t="n">
        <f aca="false">IF($K125="","",B125)</f>
        <v>46341</v>
      </c>
      <c r="D125" s="70" t="str">
        <f aca="false">IF($K125="","",INDEX(Base!$F$5:$F$2004,$K125))</f>
        <v>Doenças da Suprarrenal</v>
      </c>
      <c r="E125" s="70" t="str">
        <f aca="false">IF($K125="","",INDEX(Base!$G$5:$G$2004,$K125))</f>
        <v>4ª Revisão</v>
      </c>
      <c r="F125" s="71" t="str">
        <f aca="false">IF($K125="","",INDEX(Base!$H$5:$H$2004,$K125))</f>
        <v>R4</v>
      </c>
      <c r="G125" s="71" t="str">
        <f aca="false">IF($K125="","",INDEX(Base!$I$5:$I$2004,$K125))</f>
        <v>Prática</v>
      </c>
      <c r="H125" s="70" t="str">
        <f aca="false">IF($K125="","",INDEX(Base!$J$5:$J$2004,$K125))</f>
        <v>Clínica Médica</v>
      </c>
      <c r="I125" s="71" t="str">
        <f aca="false">IF($K125="","",INDEX(Base!$L$5:$L$2004,$K125))</f>
        <v>Pendente</v>
      </c>
      <c r="J125" s="72" t="n">
        <f aca="false">IFERROR(SMALL(Base!$P$5:$P$2004,ROW()-5),"")</f>
        <v>4634101</v>
      </c>
      <c r="K125" s="72" t="n">
        <f aca="false">IF(J125="","",MATCH(J125,Base!$P$5:$P$2004,0))</f>
        <v>89</v>
      </c>
    </row>
    <row r="126" customFormat="false" ht="15" hidden="false" customHeight="false" outlineLevel="0" collapsed="false">
      <c r="A126" s="67" t="n">
        <f aca="false">IF($K126="","",ROW()-5)</f>
        <v>121</v>
      </c>
      <c r="B126" s="68" t="n">
        <f aca="false">IF($K126="","",INDEX(Base!$E$5:$E$2004,$K126))</f>
        <v>46341</v>
      </c>
      <c r="C126" s="69" t="n">
        <f aca="false">IF($K126="","",B126)</f>
        <v>46341</v>
      </c>
      <c r="D126" s="70" t="str">
        <f aca="false">IF($K126="","",INDEX(Base!$F$5:$F$2004,$K126))</f>
        <v>Infecções Sexualmente Transmissíveis</v>
      </c>
      <c r="E126" s="70" t="str">
        <f aca="false">IF($K126="","",INDEX(Base!$G$5:$G$2004,$K126))</f>
        <v>4ª Revisão</v>
      </c>
      <c r="F126" s="71" t="str">
        <f aca="false">IF($K126="","",INDEX(Base!$H$5:$H$2004,$K126))</f>
        <v>R4</v>
      </c>
      <c r="G126" s="71" t="str">
        <f aca="false">IF($K126="","",INDEX(Base!$I$5:$I$2004,$K126))</f>
        <v>Prática</v>
      </c>
      <c r="H126" s="70" t="str">
        <f aca="false">IF($K126="","",INDEX(Base!$J$5:$J$2004,$K126))</f>
        <v>Ginecologia e Obstetrícia</v>
      </c>
      <c r="I126" s="71" t="str">
        <f aca="false">IF($K126="","",INDEX(Base!$L$5:$L$2004,$K126))</f>
        <v>Pendente</v>
      </c>
      <c r="J126" s="72" t="n">
        <f aca="false">IFERROR(SMALL(Base!$P$5:$P$2004,ROW()-5),"")</f>
        <v>4634102</v>
      </c>
      <c r="K126" s="72" t="n">
        <f aca="false">IF(J126="","",MATCH(J126,Base!$P$5:$P$2004,0))</f>
        <v>95</v>
      </c>
    </row>
    <row r="127" customFormat="false" ht="15" hidden="false" customHeight="false" outlineLevel="0" collapsed="false">
      <c r="A127" s="67" t="n">
        <f aca="false">IF($K127="","",ROW()-5)</f>
        <v>122</v>
      </c>
      <c r="B127" s="68" t="n">
        <f aca="false">IF($K127="","",INDEX(Base!$E$5:$E$2004,$K127))</f>
        <v>46341</v>
      </c>
      <c r="C127" s="69" t="n">
        <f aca="false">IF($K127="","",B127)</f>
        <v>46341</v>
      </c>
      <c r="D127" s="70" t="str">
        <f aca="false">IF($K127="","",INDEX(Base!$F$5:$F$2004,$K127))</f>
        <v>Parasitoses Intestinais</v>
      </c>
      <c r="E127" s="70" t="str">
        <f aca="false">IF($K127="","",INDEX(Base!$G$5:$G$2004,$K127))</f>
        <v>4ª Revisão</v>
      </c>
      <c r="F127" s="71" t="str">
        <f aca="false">IF($K127="","",INDEX(Base!$H$5:$H$2004,$K127))</f>
        <v>R4</v>
      </c>
      <c r="G127" s="71" t="str">
        <f aca="false">IF($K127="","",INDEX(Base!$I$5:$I$2004,$K127))</f>
        <v>Prática</v>
      </c>
      <c r="H127" s="70" t="str">
        <f aca="false">IF($K127="","",INDEX(Base!$J$5:$J$2004,$K127))</f>
        <v>Pediatria</v>
      </c>
      <c r="I127" s="71" t="str">
        <f aca="false">IF($K127="","",INDEX(Base!$L$5:$L$2004,$K127))</f>
        <v>Pendente</v>
      </c>
      <c r="J127" s="72" t="n">
        <f aca="false">IFERROR(SMALL(Base!$P$5:$P$2004,ROW()-5),"")</f>
        <v>4634103</v>
      </c>
      <c r="K127" s="72" t="n">
        <f aca="false">IF(J127="","",MATCH(J127,Base!$P$5:$P$2004,0))</f>
        <v>101</v>
      </c>
    </row>
    <row r="128" customFormat="false" ht="15" hidden="false" customHeight="false" outlineLevel="0" collapsed="false">
      <c r="A128" s="67" t="n">
        <f aca="false">IF($K128="","",ROW()-5)</f>
        <v>123</v>
      </c>
      <c r="B128" s="68" t="n">
        <f aca="false">IF($K128="","",INDEX(Base!$E$5:$E$2004,$K128))</f>
        <v>46341</v>
      </c>
      <c r="C128" s="69" t="n">
        <f aca="false">IF($K128="","",B128)</f>
        <v>46341</v>
      </c>
      <c r="D128" s="70" t="str">
        <f aca="false">IF($K128="","",INDEX(Base!$F$5:$F$2004,$K128))</f>
        <v>HIV/AIDS</v>
      </c>
      <c r="E128" s="70" t="str">
        <f aca="false">IF($K128="","",INDEX(Base!$G$5:$G$2004,$K128))</f>
        <v>4ª Revisão</v>
      </c>
      <c r="F128" s="71" t="str">
        <f aca="false">IF($K128="","",INDEX(Base!$H$5:$H$2004,$K128))</f>
        <v>R4</v>
      </c>
      <c r="G128" s="71" t="str">
        <f aca="false">IF($K128="","",INDEX(Base!$I$5:$I$2004,$K128))</f>
        <v>Prática</v>
      </c>
      <c r="H128" s="70" t="str">
        <f aca="false">IF($K128="","",INDEX(Base!$J$5:$J$2004,$K128))</f>
        <v>Clínica Médica</v>
      </c>
      <c r="I128" s="71" t="str">
        <f aca="false">IF($K128="","",INDEX(Base!$L$5:$L$2004,$K128))</f>
        <v>Pendente</v>
      </c>
      <c r="J128" s="72" t="n">
        <f aca="false">IFERROR(SMALL(Base!$P$5:$P$2004,ROW()-5),"")</f>
        <v>4634104</v>
      </c>
      <c r="K128" s="72" t="n">
        <f aca="false">IF(J128="","",MATCH(J128,Base!$P$5:$P$2004,0))</f>
        <v>107</v>
      </c>
    </row>
    <row r="129" customFormat="false" ht="15" hidden="false" customHeight="false" outlineLevel="0" collapsed="false">
      <c r="A129" s="67" t="n">
        <f aca="false">IF($K129="","",ROW()-5)</f>
        <v>124</v>
      </c>
      <c r="B129" s="68" t="n">
        <f aca="false">IF($K129="","",INDEX(Base!$E$5:$E$2004,$K129))</f>
        <v>46344</v>
      </c>
      <c r="C129" s="69" t="n">
        <f aca="false">IF($K129="","",B129)</f>
        <v>46344</v>
      </c>
      <c r="D129" s="70" t="str">
        <f aca="false">IF($K129="","",INDEX(Base!$F$5:$F$2004,$K129))</f>
        <v>Dermatologia I e II</v>
      </c>
      <c r="E129" s="70" t="str">
        <f aca="false">IF($K129="","",INDEX(Base!$G$5:$G$2004,$K129))</f>
        <v>4ª Revisão</v>
      </c>
      <c r="F129" s="71" t="str">
        <f aca="false">IF($K129="","",INDEX(Base!$H$5:$H$2004,$K129))</f>
        <v>R4</v>
      </c>
      <c r="G129" s="71" t="str">
        <f aca="false">IF($K129="","",INDEX(Base!$I$5:$I$2004,$K129))</f>
        <v>Prática</v>
      </c>
      <c r="H129" s="70" t="str">
        <f aca="false">IF($K129="","",INDEX(Base!$J$5:$J$2004,$K129))</f>
        <v>Clínica Médica</v>
      </c>
      <c r="I129" s="71" t="str">
        <f aca="false">IF($K129="","",INDEX(Base!$L$5:$L$2004,$K129))</f>
        <v>Pendente</v>
      </c>
      <c r="J129" s="72" t="n">
        <f aca="false">IFERROR(SMALL(Base!$P$5:$P$2004,ROW()-5),"")</f>
        <v>4634401</v>
      </c>
      <c r="K129" s="72" t="n">
        <f aca="false">IF(J129="","",MATCH(J129,Base!$P$5:$P$2004,0))</f>
        <v>113</v>
      </c>
    </row>
    <row r="130" customFormat="false" ht="15" hidden="false" customHeight="false" outlineLevel="0" collapsed="false">
      <c r="A130" s="67" t="n">
        <f aca="false">IF($K130="","",ROW()-5)</f>
        <v>125</v>
      </c>
      <c r="B130" s="68" t="n">
        <f aca="false">IF($K130="","",INDEX(Base!$E$5:$E$2004,$K130))</f>
        <v>46345</v>
      </c>
      <c r="C130" s="69" t="n">
        <f aca="false">IF($K130="","",B130)</f>
        <v>46345</v>
      </c>
      <c r="D130" s="70" t="str">
        <f aca="false">IF($K130="","",INDEX(Base!$F$5:$F$2004,$K130))</f>
        <v>Bônus Oftalmo</v>
      </c>
      <c r="E130" s="70" t="str">
        <f aca="false">IF($K130="","",INDEX(Base!$G$5:$G$2004,$K130))</f>
        <v>4ª Revisão</v>
      </c>
      <c r="F130" s="71" t="str">
        <f aca="false">IF($K130="","",INDEX(Base!$H$5:$H$2004,$K130))</f>
        <v>R4</v>
      </c>
      <c r="G130" s="71" t="str">
        <f aca="false">IF($K130="","",INDEX(Base!$I$5:$I$2004,$K130))</f>
        <v>Prática</v>
      </c>
      <c r="H130" s="70" t="str">
        <f aca="false">IF($K130="","",INDEX(Base!$J$5:$J$2004,$K130))</f>
        <v>Cirurgia</v>
      </c>
      <c r="I130" s="71" t="str">
        <f aca="false">IF($K130="","",INDEX(Base!$L$5:$L$2004,$K130))</f>
        <v>Pendente</v>
      </c>
      <c r="J130" s="72" t="n">
        <f aca="false">IFERROR(SMALL(Base!$P$5:$P$2004,ROW()-5),"")</f>
        <v>4634501</v>
      </c>
      <c r="K130" s="72" t="n">
        <f aca="false">IF(J130="","",MATCH(J130,Base!$P$5:$P$2004,0))</f>
        <v>119</v>
      </c>
    </row>
    <row r="131" customFormat="false" ht="15" hidden="false" customHeight="false" outlineLevel="0" collapsed="false">
      <c r="A131" s="67" t="n">
        <f aca="false">IF($K131="","",ROW()-5)</f>
        <v>126</v>
      </c>
      <c r="B131" s="68" t="n">
        <f aca="false">IF($K131="","",INDEX(Base!$E$5:$E$2004,$K131))</f>
        <v>46345</v>
      </c>
      <c r="C131" s="69" t="n">
        <f aca="false">IF($K131="","",B131)</f>
        <v>46345</v>
      </c>
      <c r="D131" s="70" t="str">
        <f aca="false">IF($K131="","",INDEX(Base!$F$5:$F$2004,$K131))</f>
        <v>Insuficiência Cardíaca</v>
      </c>
      <c r="E131" s="70" t="str">
        <f aca="false">IF($K131="","",INDEX(Base!$G$5:$G$2004,$K131))</f>
        <v>4ª Revisão</v>
      </c>
      <c r="F131" s="71" t="str">
        <f aca="false">IF($K131="","",INDEX(Base!$H$5:$H$2004,$K131))</f>
        <v>R4</v>
      </c>
      <c r="G131" s="71" t="str">
        <f aca="false">IF($K131="","",INDEX(Base!$I$5:$I$2004,$K131))</f>
        <v>Prática</v>
      </c>
      <c r="H131" s="70" t="str">
        <f aca="false">IF($K131="","",INDEX(Base!$J$5:$J$2004,$K131))</f>
        <v>Clínica Médica</v>
      </c>
      <c r="I131" s="71" t="str">
        <f aca="false">IF($K131="","",INDEX(Base!$L$5:$L$2004,$K131))</f>
        <v>Pendente</v>
      </c>
      <c r="J131" s="72" t="n">
        <f aca="false">IFERROR(SMALL(Base!$P$5:$P$2004,ROW()-5),"")</f>
        <v>4634502</v>
      </c>
      <c r="K131" s="72" t="n">
        <f aca="false">IF(J131="","",MATCH(J131,Base!$P$5:$P$2004,0))</f>
        <v>125</v>
      </c>
    </row>
    <row r="132" customFormat="false" ht="15" hidden="false" customHeight="false" outlineLevel="0" collapsed="false">
      <c r="A132" s="67" t="n">
        <f aca="false">IF($K132="","",ROW()-5)</f>
        <v>127</v>
      </c>
      <c r="B132" s="68" t="n">
        <f aca="false">IF($K132="","",INDEX(Base!$E$5:$E$2004,$K132))</f>
        <v>46348</v>
      </c>
      <c r="C132" s="69" t="n">
        <f aca="false">IF($K132="","",B132)</f>
        <v>46348</v>
      </c>
      <c r="D132" s="70" t="str">
        <f aca="false">IF($K132="","",INDEX(Base!$F$5:$F$2004,$K132))</f>
        <v>Pneumonias Comunitárias</v>
      </c>
      <c r="E132" s="70" t="str">
        <f aca="false">IF($K132="","",INDEX(Base!$G$5:$G$2004,$K132))</f>
        <v>4ª Revisão</v>
      </c>
      <c r="F132" s="71" t="str">
        <f aca="false">IF($K132="","",INDEX(Base!$H$5:$H$2004,$K132))</f>
        <v>R4</v>
      </c>
      <c r="G132" s="71" t="str">
        <f aca="false">IF($K132="","",INDEX(Base!$I$5:$I$2004,$K132))</f>
        <v>Prática</v>
      </c>
      <c r="H132" s="70" t="str">
        <f aca="false">IF($K132="","",INDEX(Base!$J$5:$J$2004,$K132))</f>
        <v>Clínica Médica</v>
      </c>
      <c r="I132" s="71" t="str">
        <f aca="false">IF($K132="","",INDEX(Base!$L$5:$L$2004,$K132))</f>
        <v>Pendente</v>
      </c>
      <c r="J132" s="72" t="n">
        <f aca="false">IFERROR(SMALL(Base!$P$5:$P$2004,ROW()-5),"")</f>
        <v>4634801</v>
      </c>
      <c r="K132" s="72" t="n">
        <f aca="false">IF(J132="","",MATCH(J132,Base!$P$5:$P$2004,0))</f>
        <v>131</v>
      </c>
    </row>
    <row r="133" customFormat="false" ht="15" hidden="false" customHeight="false" outlineLevel="0" collapsed="false">
      <c r="A133" s="67" t="n">
        <f aca="false">IF($K133="","",ROW()-5)</f>
        <v>128</v>
      </c>
      <c r="B133" s="68" t="n">
        <f aca="false">IF($K133="","",INDEX(Base!$E$5:$E$2004,$K133))</f>
        <v>46348</v>
      </c>
      <c r="C133" s="69" t="n">
        <f aca="false">IF($K133="","",B133)</f>
        <v>46348</v>
      </c>
      <c r="D133" s="70" t="str">
        <f aca="false">IF($K133="","",INDEX(Base!$F$5:$F$2004,$K133))</f>
        <v>Tuberculose</v>
      </c>
      <c r="E133" s="70" t="str">
        <f aca="false">IF($K133="","",INDEX(Base!$G$5:$G$2004,$K133))</f>
        <v>4ª Revisão</v>
      </c>
      <c r="F133" s="71" t="str">
        <f aca="false">IF($K133="","",INDEX(Base!$H$5:$H$2004,$K133))</f>
        <v>R4</v>
      </c>
      <c r="G133" s="71" t="str">
        <f aca="false">IF($K133="","",INDEX(Base!$I$5:$I$2004,$K133))</f>
        <v>Prática</v>
      </c>
      <c r="H133" s="70" t="str">
        <f aca="false">IF($K133="","",INDEX(Base!$J$5:$J$2004,$K133))</f>
        <v>Clínica Médica</v>
      </c>
      <c r="I133" s="71" t="str">
        <f aca="false">IF($K133="","",INDEX(Base!$L$5:$L$2004,$K133))</f>
        <v>Pendente</v>
      </c>
      <c r="J133" s="72" t="n">
        <f aca="false">IFERROR(SMALL(Base!$P$5:$P$2004,ROW()-5),"")</f>
        <v>4634802</v>
      </c>
      <c r="K133" s="72" t="n">
        <f aca="false">IF(J133="","",MATCH(J133,Base!$P$5:$P$2004,0))</f>
        <v>137</v>
      </c>
    </row>
    <row r="134" customFormat="false" ht="15" hidden="false" customHeight="false" outlineLevel="0" collapsed="false">
      <c r="A134" s="67" t="n">
        <f aca="false">IF($K134="","",ROW()-5)</f>
        <v>129</v>
      </c>
      <c r="B134" s="68" t="n">
        <f aca="false">IF($K134="","",INDEX(Base!$E$5:$E$2004,$K134))</f>
        <v>46348</v>
      </c>
      <c r="C134" s="69" t="n">
        <f aca="false">IF($K134="","",B134)</f>
        <v>46348</v>
      </c>
      <c r="D134" s="70" t="str">
        <f aca="false">IF($K134="","",INDEX(Base!$F$5:$F$2004,$K134))</f>
        <v>Câncer de Pulmão e TEP</v>
      </c>
      <c r="E134" s="70" t="str">
        <f aca="false">IF($K134="","",INDEX(Base!$G$5:$G$2004,$K134))</f>
        <v>4ª Revisão</v>
      </c>
      <c r="F134" s="71" t="str">
        <f aca="false">IF($K134="","",INDEX(Base!$H$5:$H$2004,$K134))</f>
        <v>R4</v>
      </c>
      <c r="G134" s="71" t="str">
        <f aca="false">IF($K134="","",INDEX(Base!$I$5:$I$2004,$K134))</f>
        <v>Prática</v>
      </c>
      <c r="H134" s="70" t="str">
        <f aca="false">IF($K134="","",INDEX(Base!$J$5:$J$2004,$K134))</f>
        <v>Clínica Médica</v>
      </c>
      <c r="I134" s="71" t="str">
        <f aca="false">IF($K134="","",INDEX(Base!$L$5:$L$2004,$K134))</f>
        <v>Pendente</v>
      </c>
      <c r="J134" s="72" t="n">
        <f aca="false">IFERROR(SMALL(Base!$P$5:$P$2004,ROW()-5),"")</f>
        <v>4634803</v>
      </c>
      <c r="K134" s="72" t="n">
        <f aca="false">IF(J134="","",MATCH(J134,Base!$P$5:$P$2004,0))</f>
        <v>143</v>
      </c>
    </row>
    <row r="135" customFormat="false" ht="15" hidden="false" customHeight="false" outlineLevel="0" collapsed="false">
      <c r="A135" s="67" t="n">
        <f aca="false">IF($K135="","",ROW()-5)</f>
        <v>130</v>
      </c>
      <c r="B135" s="68" t="n">
        <f aca="false">IF($K135="","",INDEX(Base!$E$5:$E$2004,$K135))</f>
        <v>46351</v>
      </c>
      <c r="C135" s="69" t="n">
        <f aca="false">IF($K135="","",B135)</f>
        <v>46351</v>
      </c>
      <c r="D135" s="70" t="str">
        <f aca="false">IF($K135="","",INDEX(Base!$F$5:$F$2004,$K135))</f>
        <v>Ortopedia I e II</v>
      </c>
      <c r="E135" s="70" t="str">
        <f aca="false">IF($K135="","",INDEX(Base!$G$5:$G$2004,$K135))</f>
        <v>4ª Revisão</v>
      </c>
      <c r="F135" s="71" t="str">
        <f aca="false">IF($K135="","",INDEX(Base!$H$5:$H$2004,$K135))</f>
        <v>R4</v>
      </c>
      <c r="G135" s="71" t="str">
        <f aca="false">IF($K135="","",INDEX(Base!$I$5:$I$2004,$K135))</f>
        <v>Prática</v>
      </c>
      <c r="H135" s="70" t="str">
        <f aca="false">IF($K135="","",INDEX(Base!$J$5:$J$2004,$K135))</f>
        <v>Cirurgia</v>
      </c>
      <c r="I135" s="71" t="str">
        <f aca="false">IF($K135="","",INDEX(Base!$L$5:$L$2004,$K135))</f>
        <v>Pendente</v>
      </c>
      <c r="J135" s="72" t="n">
        <f aca="false">IFERROR(SMALL(Base!$P$5:$P$2004,ROW()-5),"")</f>
        <v>4635101</v>
      </c>
      <c r="K135" s="72" t="n">
        <f aca="false">IF(J135="","",MATCH(J135,Base!$P$5:$P$2004,0))</f>
        <v>149</v>
      </c>
    </row>
    <row r="136" customFormat="false" ht="15" hidden="false" customHeight="false" outlineLevel="0" collapsed="false">
      <c r="A136" s="67" t="n">
        <f aca="false">IF($K136="","",ROW()-5)</f>
        <v>131</v>
      </c>
      <c r="B136" s="68" t="n">
        <f aca="false">IF($K136="","",INDEX(Base!$E$5:$E$2004,$K136))</f>
        <v>46352</v>
      </c>
      <c r="C136" s="69" t="n">
        <f aca="false">IF($K136="","",B136)</f>
        <v>46352</v>
      </c>
      <c r="D136" s="70" t="str">
        <f aca="false">IF($K136="","",INDEX(Base!$F$5:$F$2004,$K136))</f>
        <v>Cardiopediatria</v>
      </c>
      <c r="E136" s="70" t="str">
        <f aca="false">IF($K136="","",INDEX(Base!$G$5:$G$2004,$K136))</f>
        <v>5ª Revisão</v>
      </c>
      <c r="F136" s="71" t="str">
        <f aca="false">IF($K136="","",INDEX(Base!$H$5:$H$2004,$K136))</f>
        <v>R5</v>
      </c>
      <c r="G136" s="71" t="str">
        <f aca="false">IF($K136="","",INDEX(Base!$I$5:$I$2004,$K136))</f>
        <v>Revisão</v>
      </c>
      <c r="H136" s="70" t="str">
        <f aca="false">IF($K136="","",INDEX(Base!$J$5:$J$2004,$K136))</f>
        <v>Pediatria</v>
      </c>
      <c r="I136" s="71" t="str">
        <f aca="false">IF($K136="","",INDEX(Base!$L$5:$L$2004,$K136))</f>
        <v>Pendente</v>
      </c>
      <c r="J136" s="72" t="n">
        <f aca="false">IFERROR(SMALL(Base!$P$5:$P$2004,ROW()-5),"")</f>
        <v>4635201</v>
      </c>
      <c r="K136" s="72" t="n">
        <f aca="false">IF(J136="","",MATCH(J136,Base!$P$5:$P$2004,0))</f>
        <v>6</v>
      </c>
    </row>
    <row r="137" customFormat="false" ht="15" hidden="false" customHeight="false" outlineLevel="0" collapsed="false">
      <c r="A137" s="67" t="n">
        <f aca="false">IF($K137="","",ROW()-5)</f>
        <v>132</v>
      </c>
      <c r="B137" s="68" t="n">
        <f aca="false">IF($K137="","",INDEX(Base!$E$5:$E$2004,$K137))</f>
        <v>46352</v>
      </c>
      <c r="C137" s="69" t="n">
        <f aca="false">IF($K137="","",B137)</f>
        <v>46352</v>
      </c>
      <c r="D137" s="70" t="str">
        <f aca="false">IF($K137="","",INDEX(Base!$F$5:$F$2004,$K137))</f>
        <v>Nefrologia Pediátrica / ITU</v>
      </c>
      <c r="E137" s="70" t="str">
        <f aca="false">IF($K137="","",INDEX(Base!$G$5:$G$2004,$K137))</f>
        <v>5ª Revisão</v>
      </c>
      <c r="F137" s="71" t="str">
        <f aca="false">IF($K137="","",INDEX(Base!$H$5:$H$2004,$K137))</f>
        <v>R5</v>
      </c>
      <c r="G137" s="71" t="str">
        <f aca="false">IF($K137="","",INDEX(Base!$I$5:$I$2004,$K137))</f>
        <v>Revisão</v>
      </c>
      <c r="H137" s="70" t="str">
        <f aca="false">IF($K137="","",INDEX(Base!$J$5:$J$2004,$K137))</f>
        <v>Pediatria</v>
      </c>
      <c r="I137" s="71" t="str">
        <f aca="false">IF($K137="","",INDEX(Base!$L$5:$L$2004,$K137))</f>
        <v>Pendente</v>
      </c>
      <c r="J137" s="72" t="n">
        <f aca="false">IFERROR(SMALL(Base!$P$5:$P$2004,ROW()-5),"")</f>
        <v>4635202</v>
      </c>
      <c r="K137" s="72" t="n">
        <f aca="false">IF(J137="","",MATCH(J137,Base!$P$5:$P$2004,0))</f>
        <v>12</v>
      </c>
    </row>
    <row r="138" customFormat="false" ht="15" hidden="false" customHeight="false" outlineLevel="0" collapsed="false">
      <c r="A138" s="67" t="n">
        <f aca="false">IF($K138="","",ROW()-5)</f>
        <v>133</v>
      </c>
      <c r="B138" s="68" t="n">
        <f aca="false">IF($K138="","",INDEX(Base!$E$5:$E$2004,$K138))</f>
        <v>46352</v>
      </c>
      <c r="C138" s="69" t="n">
        <f aca="false">IF($K138="","",B138)</f>
        <v>46352</v>
      </c>
      <c r="D138" s="70" t="str">
        <f aca="false">IF($K138="","",INDEX(Base!$F$5:$F$2004,$K138))</f>
        <v>Asma e DPOC</v>
      </c>
      <c r="E138" s="70" t="str">
        <f aca="false">IF($K138="","",INDEX(Base!$G$5:$G$2004,$K138))</f>
        <v>5ª Revisão</v>
      </c>
      <c r="F138" s="71" t="str">
        <f aca="false">IF($K138="","",INDEX(Base!$H$5:$H$2004,$K138))</f>
        <v>R5</v>
      </c>
      <c r="G138" s="71" t="str">
        <f aca="false">IF($K138="","",INDEX(Base!$I$5:$I$2004,$K138))</f>
        <v>Revisão</v>
      </c>
      <c r="H138" s="70" t="str">
        <f aca="false">IF($K138="","",INDEX(Base!$J$5:$J$2004,$K138))</f>
        <v>Clínica Médica</v>
      </c>
      <c r="I138" s="71" t="str">
        <f aca="false">IF($K138="","",INDEX(Base!$L$5:$L$2004,$K138))</f>
        <v>Pendente</v>
      </c>
      <c r="J138" s="72" t="n">
        <f aca="false">IFERROR(SMALL(Base!$P$5:$P$2004,ROW()-5),"")</f>
        <v>4635203</v>
      </c>
      <c r="K138" s="72" t="n">
        <f aca="false">IF(J138="","",MATCH(J138,Base!$P$5:$P$2004,0))</f>
        <v>18</v>
      </c>
    </row>
    <row r="139" customFormat="false" ht="15" hidden="false" customHeight="false" outlineLevel="0" collapsed="false">
      <c r="A139" s="67" t="n">
        <f aca="false">IF($K139="","",ROW()-5)</f>
        <v>134</v>
      </c>
      <c r="B139" s="68" t="n">
        <f aca="false">IF($K139="","",INDEX(Base!$E$5:$E$2004,$K139))</f>
        <v>46352</v>
      </c>
      <c r="C139" s="69" t="n">
        <f aca="false">IF($K139="","",B139)</f>
        <v>46352</v>
      </c>
      <c r="D139" s="70" t="str">
        <f aca="false">IF($K139="","",INDEX(Base!$F$5:$F$2004,$K139))</f>
        <v>Fraqueza Muscular — Polineuropatias</v>
      </c>
      <c r="E139" s="70" t="str">
        <f aca="false">IF($K139="","",INDEX(Base!$G$5:$G$2004,$K139))</f>
        <v>4ª Revisão</v>
      </c>
      <c r="F139" s="71" t="str">
        <f aca="false">IF($K139="","",INDEX(Base!$H$5:$H$2004,$K139))</f>
        <v>R4</v>
      </c>
      <c r="G139" s="71" t="str">
        <f aca="false">IF($K139="","",INDEX(Base!$I$5:$I$2004,$K139))</f>
        <v>Prática</v>
      </c>
      <c r="H139" s="70" t="str">
        <f aca="false">IF($K139="","",INDEX(Base!$J$5:$J$2004,$K139))</f>
        <v>Clínica Médica</v>
      </c>
      <c r="I139" s="71" t="str">
        <f aca="false">IF($K139="","",INDEX(Base!$L$5:$L$2004,$K139))</f>
        <v>Pendente</v>
      </c>
      <c r="J139" s="72" t="n">
        <f aca="false">IFERROR(SMALL(Base!$P$5:$P$2004,ROW()-5),"")</f>
        <v>4635204</v>
      </c>
      <c r="K139" s="72" t="n">
        <f aca="false">IF(J139="","",MATCH(J139,Base!$P$5:$P$2004,0))</f>
        <v>155</v>
      </c>
    </row>
    <row r="140" customFormat="false" ht="15" hidden="false" customHeight="false" outlineLevel="0" collapsed="false">
      <c r="A140" s="67" t="n">
        <f aca="false">IF($K140="","",ROW()-5)</f>
        <v>135</v>
      </c>
      <c r="B140" s="68" t="n">
        <f aca="false">IF($K140="","",INDEX(Base!$E$5:$E$2004,$K140))</f>
        <v>46353</v>
      </c>
      <c r="C140" s="69" t="n">
        <f aca="false">IF($K140="","",B140)</f>
        <v>46353</v>
      </c>
      <c r="D140" s="70" t="str">
        <f aca="false">IF($K140="","",INDEX(Base!$F$5:$F$2004,$K140))</f>
        <v>Doenças da Tireoide</v>
      </c>
      <c r="E140" s="70" t="str">
        <f aca="false">IF($K140="","",INDEX(Base!$G$5:$G$2004,$K140))</f>
        <v>5ª Revisão</v>
      </c>
      <c r="F140" s="71" t="str">
        <f aca="false">IF($K140="","",INDEX(Base!$H$5:$H$2004,$K140))</f>
        <v>R5</v>
      </c>
      <c r="G140" s="71" t="str">
        <f aca="false">IF($K140="","",INDEX(Base!$I$5:$I$2004,$K140))</f>
        <v>Revisão</v>
      </c>
      <c r="H140" s="70" t="str">
        <f aca="false">IF($K140="","",INDEX(Base!$J$5:$J$2004,$K140))</f>
        <v>Clínica Médica</v>
      </c>
      <c r="I140" s="71" t="str">
        <f aca="false">IF($K140="","",INDEX(Base!$L$5:$L$2004,$K140))</f>
        <v>Pendente</v>
      </c>
      <c r="J140" s="72" t="n">
        <f aca="false">IFERROR(SMALL(Base!$P$5:$P$2004,ROW()-5),"")</f>
        <v>4635301</v>
      </c>
      <c r="K140" s="72" t="n">
        <f aca="false">IF(J140="","",MATCH(J140,Base!$P$5:$P$2004,0))</f>
        <v>24</v>
      </c>
    </row>
    <row r="141" customFormat="false" ht="15" hidden="false" customHeight="false" outlineLevel="0" collapsed="false">
      <c r="A141" s="67" t="n">
        <f aca="false">IF($K141="","",ROW()-5)</f>
        <v>136</v>
      </c>
      <c r="B141" s="68" t="n">
        <f aca="false">IF($K141="","",INDEX(Base!$E$5:$E$2004,$K141))</f>
        <v>46353</v>
      </c>
      <c r="C141" s="69" t="n">
        <f aca="false">IF($K141="","",B141)</f>
        <v>46353</v>
      </c>
      <c r="D141" s="70" t="str">
        <f aca="false">IF($K141="","",INDEX(Base!$F$5:$F$2004,$K141))</f>
        <v>Valvopatias</v>
      </c>
      <c r="E141" s="70" t="str">
        <f aca="false">IF($K141="","",INDEX(Base!$G$5:$G$2004,$K141))</f>
        <v>5ª Revisão</v>
      </c>
      <c r="F141" s="71" t="str">
        <f aca="false">IF($K141="","",INDEX(Base!$H$5:$H$2004,$K141))</f>
        <v>R5</v>
      </c>
      <c r="G141" s="71" t="str">
        <f aca="false">IF($K141="","",INDEX(Base!$I$5:$I$2004,$K141))</f>
        <v>Revisão</v>
      </c>
      <c r="H141" s="70" t="str">
        <f aca="false">IF($K141="","",INDEX(Base!$J$5:$J$2004,$K141))</f>
        <v>Clínica Médica</v>
      </c>
      <c r="I141" s="71" t="str">
        <f aca="false">IF($K141="","",INDEX(Base!$L$5:$L$2004,$K141))</f>
        <v>Pendente</v>
      </c>
      <c r="J141" s="72" t="n">
        <f aca="false">IFERROR(SMALL(Base!$P$5:$P$2004,ROW()-5),"")</f>
        <v>4635302</v>
      </c>
      <c r="K141" s="72" t="n">
        <f aca="false">IF(J141="","",MATCH(J141,Base!$P$5:$P$2004,0))</f>
        <v>30</v>
      </c>
    </row>
    <row r="142" customFormat="false" ht="15" hidden="false" customHeight="false" outlineLevel="0" collapsed="false">
      <c r="A142" s="67" t="n">
        <f aca="false">IF($K142="","",ROW()-5)</f>
        <v>137</v>
      </c>
      <c r="B142" s="68" t="n">
        <f aca="false">IF($K142="","",INDEX(Base!$E$5:$E$2004,$K142))</f>
        <v>46353</v>
      </c>
      <c r="C142" s="69" t="n">
        <f aca="false">IF($K142="","",B142)</f>
        <v>46353</v>
      </c>
      <c r="D142" s="70" t="str">
        <f aca="false">IF($K142="","",INDEX(Base!$F$5:$F$2004,$K142))</f>
        <v>Demência e Parkinson</v>
      </c>
      <c r="E142" s="70" t="str">
        <f aca="false">IF($K142="","",INDEX(Base!$G$5:$G$2004,$K142))</f>
        <v>5ª Revisão</v>
      </c>
      <c r="F142" s="71" t="str">
        <f aca="false">IF($K142="","",INDEX(Base!$H$5:$H$2004,$K142))</f>
        <v>R5</v>
      </c>
      <c r="G142" s="71" t="str">
        <f aca="false">IF($K142="","",INDEX(Base!$I$5:$I$2004,$K142))</f>
        <v>Revisão</v>
      </c>
      <c r="H142" s="70" t="str">
        <f aca="false">IF($K142="","",INDEX(Base!$J$5:$J$2004,$K142))</f>
        <v>Clínica Médica</v>
      </c>
      <c r="I142" s="71" t="str">
        <f aca="false">IF($K142="","",INDEX(Base!$L$5:$L$2004,$K142))</f>
        <v>Pendente</v>
      </c>
      <c r="J142" s="72" t="n">
        <f aca="false">IFERROR(SMALL(Base!$P$5:$P$2004,ROW()-5),"")</f>
        <v>4635303</v>
      </c>
      <c r="K142" s="72" t="n">
        <f aca="false">IF(J142="","",MATCH(J142,Base!$P$5:$P$2004,0))</f>
        <v>36</v>
      </c>
    </row>
    <row r="143" customFormat="false" ht="15" hidden="false" customHeight="false" outlineLevel="0" collapsed="false">
      <c r="A143" s="67" t="n">
        <f aca="false">IF($K143="","",ROW()-5)</f>
        <v>138</v>
      </c>
      <c r="B143" s="68" t="n">
        <f aca="false">IF($K143="","",INDEX(Base!$E$5:$E$2004,$K143))</f>
        <v>46357</v>
      </c>
      <c r="C143" s="69" t="n">
        <f aca="false">IF($K143="","",B143)</f>
        <v>46357</v>
      </c>
      <c r="D143" s="70" t="str">
        <f aca="false">IF($K143="","",INDEX(Base!$F$5:$F$2004,$K143))</f>
        <v>ATB</v>
      </c>
      <c r="E143" s="70" t="str">
        <f aca="false">IF($K143="","",INDEX(Base!$G$5:$G$2004,$K143))</f>
        <v>5ª Revisão</v>
      </c>
      <c r="F143" s="71" t="str">
        <f aca="false">IF($K143="","",INDEX(Base!$H$5:$H$2004,$K143))</f>
        <v>R5</v>
      </c>
      <c r="G143" s="71" t="str">
        <f aca="false">IF($K143="","",INDEX(Base!$I$5:$I$2004,$K143))</f>
        <v>Revisão</v>
      </c>
      <c r="H143" s="70" t="str">
        <f aca="false">IF($K143="","",INDEX(Base!$J$5:$J$2004,$K143))</f>
        <v>Clínica Médica</v>
      </c>
      <c r="I143" s="71" t="str">
        <f aca="false">IF($K143="","",INDEX(Base!$L$5:$L$2004,$K143))</f>
        <v>Pendente</v>
      </c>
      <c r="J143" s="72" t="n">
        <f aca="false">IFERROR(SMALL(Base!$P$5:$P$2004,ROW()-5),"")</f>
        <v>4635701</v>
      </c>
      <c r="K143" s="72" t="n">
        <f aca="false">IF(J143="","",MATCH(J143,Base!$P$5:$P$2004,0))</f>
        <v>42</v>
      </c>
    </row>
    <row r="144" customFormat="false" ht="15" hidden="false" customHeight="false" outlineLevel="0" collapsed="false">
      <c r="A144" s="67" t="n">
        <f aca="false">IF($K144="","",ROW()-5)</f>
        <v>139</v>
      </c>
      <c r="B144" s="68" t="n">
        <f aca="false">IF($K144="","",INDEX(Base!$E$5:$E$2004,$K144))</f>
        <v>46360</v>
      </c>
      <c r="C144" s="69" t="n">
        <f aca="false">IF($K144="","",B144)</f>
        <v>46360</v>
      </c>
      <c r="D144" s="70" t="str">
        <f aca="false">IF($K144="","",INDEX(Base!$F$5:$F$2004,$K144))</f>
        <v>Transtornos Psiquiátricos I</v>
      </c>
      <c r="E144" s="70" t="str">
        <f aca="false">IF($K144="","",INDEX(Base!$G$5:$G$2004,$K144))</f>
        <v>5ª Revisão</v>
      </c>
      <c r="F144" s="71" t="str">
        <f aca="false">IF($K144="","",INDEX(Base!$H$5:$H$2004,$K144))</f>
        <v>R5</v>
      </c>
      <c r="G144" s="71" t="str">
        <f aca="false">IF($K144="","",INDEX(Base!$I$5:$I$2004,$K144))</f>
        <v>Revisão</v>
      </c>
      <c r="H144" s="70" t="str">
        <f aca="false">IF($K144="","",INDEX(Base!$J$5:$J$2004,$K144))</f>
        <v>Clínica Médica</v>
      </c>
      <c r="I144" s="71" t="str">
        <f aca="false">IF($K144="","",INDEX(Base!$L$5:$L$2004,$K144))</f>
        <v>Pendente</v>
      </c>
      <c r="J144" s="72" t="n">
        <f aca="false">IFERROR(SMALL(Base!$P$5:$P$2004,ROW()-5),"")</f>
        <v>4636001</v>
      </c>
      <c r="K144" s="72" t="n">
        <f aca="false">IF(J144="","",MATCH(J144,Base!$P$5:$P$2004,0))</f>
        <v>48</v>
      </c>
    </row>
    <row r="145" customFormat="false" ht="15" hidden="false" customHeight="false" outlineLevel="0" collapsed="false">
      <c r="A145" s="67" t="n">
        <f aca="false">IF($K145="","",ROW()-5)</f>
        <v>140</v>
      </c>
      <c r="B145" s="68" t="n">
        <f aca="false">IF($K145="","",INDEX(Base!$E$5:$E$2004,$K145))</f>
        <v>46363</v>
      </c>
      <c r="C145" s="69" t="n">
        <f aca="false">IF($K145="","",B145)</f>
        <v>46363</v>
      </c>
      <c r="D145" s="70" t="str">
        <f aca="false">IF($K145="","",INDEX(Base!$F$5:$F$2004,$K145))</f>
        <v>Síndromes Febris — Dengue</v>
      </c>
      <c r="E145" s="70" t="str">
        <f aca="false">IF($K145="","",INDEX(Base!$G$5:$G$2004,$K145))</f>
        <v>5ª Revisão</v>
      </c>
      <c r="F145" s="71" t="str">
        <f aca="false">IF($K145="","",INDEX(Base!$H$5:$H$2004,$K145))</f>
        <v>R5</v>
      </c>
      <c r="G145" s="71" t="str">
        <f aca="false">IF($K145="","",INDEX(Base!$I$5:$I$2004,$K145))</f>
        <v>Revisão</v>
      </c>
      <c r="H145" s="70" t="str">
        <f aca="false">IF($K145="","",INDEX(Base!$J$5:$J$2004,$K145))</f>
        <v>Clínica Médica</v>
      </c>
      <c r="I145" s="71" t="str">
        <f aca="false">IF($K145="","",INDEX(Base!$L$5:$L$2004,$K145))</f>
        <v>Pendente</v>
      </c>
      <c r="J145" s="72" t="n">
        <f aca="false">IFERROR(SMALL(Base!$P$5:$P$2004,ROW()-5),"")</f>
        <v>4636301</v>
      </c>
      <c r="K145" s="72" t="n">
        <f aca="false">IF(J145="","",MATCH(J145,Base!$P$5:$P$2004,0))</f>
        <v>54</v>
      </c>
    </row>
    <row r="146" customFormat="false" ht="15" hidden="false" customHeight="false" outlineLevel="0" collapsed="false">
      <c r="A146" s="67" t="n">
        <f aca="false">IF($K146="","",ROW()-5)</f>
        <v>141</v>
      </c>
      <c r="B146" s="68" t="n">
        <f aca="false">IF($K146="","",INDEX(Base!$E$5:$E$2004,$K146))</f>
        <v>46366</v>
      </c>
      <c r="C146" s="69" t="n">
        <f aca="false">IF($K146="","",B146)</f>
        <v>46366</v>
      </c>
      <c r="D146" s="70" t="str">
        <f aca="false">IF($K146="","",INDEX(Base!$F$5:$F$2004,$K146))</f>
        <v>Endocardite Infecciosa / Meningites</v>
      </c>
      <c r="E146" s="70" t="str">
        <f aca="false">IF($K146="","",INDEX(Base!$G$5:$G$2004,$K146))</f>
        <v>5ª Revisão</v>
      </c>
      <c r="F146" s="71" t="str">
        <f aca="false">IF($K146="","",INDEX(Base!$H$5:$H$2004,$K146))</f>
        <v>R5</v>
      </c>
      <c r="G146" s="71" t="str">
        <f aca="false">IF($K146="","",INDEX(Base!$I$5:$I$2004,$K146))</f>
        <v>Revisão</v>
      </c>
      <c r="H146" s="70" t="str">
        <f aca="false">IF($K146="","",INDEX(Base!$J$5:$J$2004,$K146))</f>
        <v>Clínica Médica</v>
      </c>
      <c r="I146" s="71" t="str">
        <f aca="false">IF($K146="","",INDEX(Base!$L$5:$L$2004,$K146))</f>
        <v>Pendente</v>
      </c>
      <c r="J146" s="72" t="n">
        <f aca="false">IFERROR(SMALL(Base!$P$5:$P$2004,ROW()-5),"")</f>
        <v>4636601</v>
      </c>
      <c r="K146" s="72" t="n">
        <f aca="false">IF(J146="","",MATCH(J146,Base!$P$5:$P$2004,0))</f>
        <v>60</v>
      </c>
    </row>
    <row r="147" customFormat="false" ht="15" hidden="false" customHeight="false" outlineLevel="0" collapsed="false">
      <c r="A147" s="67" t="n">
        <f aca="false">IF($K147="","",ROW()-5)</f>
        <v>142</v>
      </c>
      <c r="B147" s="68" t="n">
        <f aca="false">IF($K147="","",INDEX(Base!$E$5:$E$2004,$K147))</f>
        <v>46367</v>
      </c>
      <c r="C147" s="69" t="n">
        <f aca="false">IF($K147="","",B147)</f>
        <v>46367</v>
      </c>
      <c r="D147" s="70" t="str">
        <f aca="false">IF($K147="","",INDEX(Base!$F$5:$F$2004,$K147))</f>
        <v>Especialidade Cirúrgica I</v>
      </c>
      <c r="E147" s="70" t="str">
        <f aca="false">IF($K147="","",INDEX(Base!$G$5:$G$2004,$K147))</f>
        <v>5ª Revisão</v>
      </c>
      <c r="F147" s="71" t="str">
        <f aca="false">IF($K147="","",INDEX(Base!$H$5:$H$2004,$K147))</f>
        <v>R5</v>
      </c>
      <c r="G147" s="71" t="str">
        <f aca="false">IF($K147="","",INDEX(Base!$I$5:$I$2004,$K147))</f>
        <v>Revisão</v>
      </c>
      <c r="H147" s="70" t="str">
        <f aca="false">IF($K147="","",INDEX(Base!$J$5:$J$2004,$K147))</f>
        <v>Cirurgia</v>
      </c>
      <c r="I147" s="71" t="str">
        <f aca="false">IF($K147="","",INDEX(Base!$L$5:$L$2004,$K147))</f>
        <v>Pendente</v>
      </c>
      <c r="J147" s="72" t="n">
        <f aca="false">IFERROR(SMALL(Base!$P$5:$P$2004,ROW()-5),"")</f>
        <v>4636701</v>
      </c>
      <c r="K147" s="72" t="n">
        <f aca="false">IF(J147="","",MATCH(J147,Base!$P$5:$P$2004,0))</f>
        <v>66</v>
      </c>
    </row>
    <row r="148" customFormat="false" ht="15" hidden="false" customHeight="false" outlineLevel="0" collapsed="false">
      <c r="A148" s="67" t="n">
        <f aca="false">IF($K148="","",ROW()-5)</f>
        <v>143</v>
      </c>
      <c r="B148" s="68" t="n">
        <f aca="false">IF($K148="","",INDEX(Base!$E$5:$E$2004,$K148))</f>
        <v>46367</v>
      </c>
      <c r="C148" s="69" t="n">
        <f aca="false">IF($K148="","",B148)</f>
        <v>46367</v>
      </c>
      <c r="D148" s="70" t="str">
        <f aca="false">IF($K148="","",INDEX(Base!$F$5:$F$2004,$K148))</f>
        <v>Especialidade Cirúrgica II</v>
      </c>
      <c r="E148" s="70" t="str">
        <f aca="false">IF($K148="","",INDEX(Base!$G$5:$G$2004,$K148))</f>
        <v>5ª Revisão</v>
      </c>
      <c r="F148" s="71" t="str">
        <f aca="false">IF($K148="","",INDEX(Base!$H$5:$H$2004,$K148))</f>
        <v>R5</v>
      </c>
      <c r="G148" s="71" t="str">
        <f aca="false">IF($K148="","",INDEX(Base!$I$5:$I$2004,$K148))</f>
        <v>Revisão</v>
      </c>
      <c r="H148" s="70" t="str">
        <f aca="false">IF($K148="","",INDEX(Base!$J$5:$J$2004,$K148))</f>
        <v>Cirurgia</v>
      </c>
      <c r="I148" s="71" t="str">
        <f aca="false">IF($K148="","",INDEX(Base!$L$5:$L$2004,$K148))</f>
        <v>Pendente</v>
      </c>
      <c r="J148" s="72" t="n">
        <f aca="false">IFERROR(SMALL(Base!$P$5:$P$2004,ROW()-5),"")</f>
        <v>4636702</v>
      </c>
      <c r="K148" s="72" t="n">
        <f aca="false">IF(J148="","",MATCH(J148,Base!$P$5:$P$2004,0))</f>
        <v>72</v>
      </c>
    </row>
    <row r="149" customFormat="false" ht="15" hidden="false" customHeight="false" outlineLevel="0" collapsed="false">
      <c r="A149" s="67" t="n">
        <f aca="false">IF($K149="","",ROW()-5)</f>
        <v>144</v>
      </c>
      <c r="B149" s="68" t="n">
        <f aca="false">IF($K149="","",INDEX(Base!$E$5:$E$2004,$K149))</f>
        <v>46369</v>
      </c>
      <c r="C149" s="69" t="n">
        <f aca="false">IF($K149="","",B149)</f>
        <v>46369</v>
      </c>
      <c r="D149" s="70" t="str">
        <f aca="false">IF($K149="","",INDEX(Base!$F$5:$F$2004,$K149))</f>
        <v>Distúrbios Hipertensivos na Gestação</v>
      </c>
      <c r="E149" s="70" t="str">
        <f aca="false">IF($K149="","",INDEX(Base!$G$5:$G$2004,$K149))</f>
        <v>5ª Revisão</v>
      </c>
      <c r="F149" s="71" t="str">
        <f aca="false">IF($K149="","",INDEX(Base!$H$5:$H$2004,$K149))</f>
        <v>R5</v>
      </c>
      <c r="G149" s="71" t="str">
        <f aca="false">IF($K149="","",INDEX(Base!$I$5:$I$2004,$K149))</f>
        <v>Revisão</v>
      </c>
      <c r="H149" s="70" t="str">
        <f aca="false">IF($K149="","",INDEX(Base!$J$5:$J$2004,$K149))</f>
        <v>Ginecologia e Obstetrícia</v>
      </c>
      <c r="I149" s="71" t="str">
        <f aca="false">IF($K149="","",INDEX(Base!$L$5:$L$2004,$K149))</f>
        <v>Pendente</v>
      </c>
      <c r="J149" s="72" t="n">
        <f aca="false">IFERROR(SMALL(Base!$P$5:$P$2004,ROW()-5),"")</f>
        <v>4636901</v>
      </c>
      <c r="K149" s="72" t="n">
        <f aca="false">IF(J149="","",MATCH(J149,Base!$P$5:$P$2004,0))</f>
        <v>78</v>
      </c>
    </row>
    <row r="150" customFormat="false" ht="15" hidden="false" customHeight="false" outlineLevel="0" collapsed="false">
      <c r="A150" s="67" t="n">
        <f aca="false">IF($K150="","",ROW()-5)</f>
        <v>145</v>
      </c>
      <c r="B150" s="68" t="n">
        <f aca="false">IF($K150="","",INDEX(Base!$E$5:$E$2004,$K150))</f>
        <v>46369</v>
      </c>
      <c r="C150" s="69" t="n">
        <f aca="false">IF($K150="","",B150)</f>
        <v>46369</v>
      </c>
      <c r="D150" s="70" t="str">
        <f aca="false">IF($K150="","",INDEX(Base!$F$5:$F$2004,$K150))</f>
        <v>Sofrimento Fetal e Vitalidade Fetal</v>
      </c>
      <c r="E150" s="70" t="str">
        <f aca="false">IF($K150="","",INDEX(Base!$G$5:$G$2004,$K150))</f>
        <v>5ª Revisão</v>
      </c>
      <c r="F150" s="71" t="str">
        <f aca="false">IF($K150="","",INDEX(Base!$H$5:$H$2004,$K150))</f>
        <v>R5</v>
      </c>
      <c r="G150" s="71" t="str">
        <f aca="false">IF($K150="","",INDEX(Base!$I$5:$I$2004,$K150))</f>
        <v>Revisão</v>
      </c>
      <c r="H150" s="70" t="str">
        <f aca="false">IF($K150="","",INDEX(Base!$J$5:$J$2004,$K150))</f>
        <v>Ginecologia e Obstetrícia</v>
      </c>
      <c r="I150" s="71" t="str">
        <f aca="false">IF($K150="","",INDEX(Base!$L$5:$L$2004,$K150))</f>
        <v>Pendente</v>
      </c>
      <c r="J150" s="72" t="n">
        <f aca="false">IFERROR(SMALL(Base!$P$5:$P$2004,ROW()-5),"")</f>
        <v>4636902</v>
      </c>
      <c r="K150" s="72" t="n">
        <f aca="false">IF(J150="","",MATCH(J150,Base!$P$5:$P$2004,0))</f>
        <v>84</v>
      </c>
    </row>
    <row r="151" customFormat="false" ht="15" hidden="false" customHeight="false" outlineLevel="0" collapsed="false">
      <c r="A151" s="67" t="n">
        <f aca="false">IF($K151="","",ROW()-5)</f>
        <v>146</v>
      </c>
      <c r="B151" s="68" t="n">
        <f aca="false">IF($K151="","",INDEX(Base!$E$5:$E$2004,$K151))</f>
        <v>46371</v>
      </c>
      <c r="C151" s="69" t="n">
        <f aca="false">IF($K151="","",B151)</f>
        <v>46371</v>
      </c>
      <c r="D151" s="70" t="str">
        <f aca="false">IF($K151="","",INDEX(Base!$F$5:$F$2004,$K151))</f>
        <v>Doenças da Suprarrenal</v>
      </c>
      <c r="E151" s="70" t="str">
        <f aca="false">IF($K151="","",INDEX(Base!$G$5:$G$2004,$K151))</f>
        <v>5ª Revisão</v>
      </c>
      <c r="F151" s="71" t="str">
        <f aca="false">IF($K151="","",INDEX(Base!$H$5:$H$2004,$K151))</f>
        <v>R5</v>
      </c>
      <c r="G151" s="71" t="str">
        <f aca="false">IF($K151="","",INDEX(Base!$I$5:$I$2004,$K151))</f>
        <v>Revisão</v>
      </c>
      <c r="H151" s="70" t="str">
        <f aca="false">IF($K151="","",INDEX(Base!$J$5:$J$2004,$K151))</f>
        <v>Clínica Médica</v>
      </c>
      <c r="I151" s="71" t="str">
        <f aca="false">IF($K151="","",INDEX(Base!$L$5:$L$2004,$K151))</f>
        <v>Pendente</v>
      </c>
      <c r="J151" s="72" t="n">
        <f aca="false">IFERROR(SMALL(Base!$P$5:$P$2004,ROW()-5),"")</f>
        <v>4637101</v>
      </c>
      <c r="K151" s="72" t="n">
        <f aca="false">IF(J151="","",MATCH(J151,Base!$P$5:$P$2004,0))</f>
        <v>90</v>
      </c>
    </row>
    <row r="152" customFormat="false" ht="15" hidden="false" customHeight="false" outlineLevel="0" collapsed="false">
      <c r="A152" s="67" t="n">
        <f aca="false">IF($K152="","",ROW()-5)</f>
        <v>147</v>
      </c>
      <c r="B152" s="68" t="n">
        <f aca="false">IF($K152="","",INDEX(Base!$E$5:$E$2004,$K152))</f>
        <v>46371</v>
      </c>
      <c r="C152" s="69" t="n">
        <f aca="false">IF($K152="","",B152)</f>
        <v>46371</v>
      </c>
      <c r="D152" s="70" t="str">
        <f aca="false">IF($K152="","",INDEX(Base!$F$5:$F$2004,$K152))</f>
        <v>Infecções Sexualmente Transmissíveis</v>
      </c>
      <c r="E152" s="70" t="str">
        <f aca="false">IF($K152="","",INDEX(Base!$G$5:$G$2004,$K152))</f>
        <v>5ª Revisão</v>
      </c>
      <c r="F152" s="71" t="str">
        <f aca="false">IF($K152="","",INDEX(Base!$H$5:$H$2004,$K152))</f>
        <v>R5</v>
      </c>
      <c r="G152" s="71" t="str">
        <f aca="false">IF($K152="","",INDEX(Base!$I$5:$I$2004,$K152))</f>
        <v>Revisão</v>
      </c>
      <c r="H152" s="70" t="str">
        <f aca="false">IF($K152="","",INDEX(Base!$J$5:$J$2004,$K152))</f>
        <v>Ginecologia e Obstetrícia</v>
      </c>
      <c r="I152" s="71" t="str">
        <f aca="false">IF($K152="","",INDEX(Base!$L$5:$L$2004,$K152))</f>
        <v>Pendente</v>
      </c>
      <c r="J152" s="72" t="n">
        <f aca="false">IFERROR(SMALL(Base!$P$5:$P$2004,ROW()-5),"")</f>
        <v>4637102</v>
      </c>
      <c r="K152" s="72" t="n">
        <f aca="false">IF(J152="","",MATCH(J152,Base!$P$5:$P$2004,0))</f>
        <v>96</v>
      </c>
    </row>
    <row r="153" customFormat="false" ht="15" hidden="false" customHeight="false" outlineLevel="0" collapsed="false">
      <c r="A153" s="67" t="n">
        <f aca="false">IF($K153="","",ROW()-5)</f>
        <v>148</v>
      </c>
      <c r="B153" s="68" t="n">
        <f aca="false">IF($K153="","",INDEX(Base!$E$5:$E$2004,$K153))</f>
        <v>46371</v>
      </c>
      <c r="C153" s="69" t="n">
        <f aca="false">IF($K153="","",B153)</f>
        <v>46371</v>
      </c>
      <c r="D153" s="70" t="str">
        <f aca="false">IF($K153="","",INDEX(Base!$F$5:$F$2004,$K153))</f>
        <v>Parasitoses Intestinais</v>
      </c>
      <c r="E153" s="70" t="str">
        <f aca="false">IF($K153="","",INDEX(Base!$G$5:$G$2004,$K153))</f>
        <v>5ª Revisão</v>
      </c>
      <c r="F153" s="71" t="str">
        <f aca="false">IF($K153="","",INDEX(Base!$H$5:$H$2004,$K153))</f>
        <v>R5</v>
      </c>
      <c r="G153" s="71" t="str">
        <f aca="false">IF($K153="","",INDEX(Base!$I$5:$I$2004,$K153))</f>
        <v>Revisão</v>
      </c>
      <c r="H153" s="70" t="str">
        <f aca="false">IF($K153="","",INDEX(Base!$J$5:$J$2004,$K153))</f>
        <v>Pediatria</v>
      </c>
      <c r="I153" s="71" t="str">
        <f aca="false">IF($K153="","",INDEX(Base!$L$5:$L$2004,$K153))</f>
        <v>Pendente</v>
      </c>
      <c r="J153" s="72" t="n">
        <f aca="false">IFERROR(SMALL(Base!$P$5:$P$2004,ROW()-5),"")</f>
        <v>4637103</v>
      </c>
      <c r="K153" s="72" t="n">
        <f aca="false">IF(J153="","",MATCH(J153,Base!$P$5:$P$2004,0))</f>
        <v>102</v>
      </c>
    </row>
    <row r="154" customFormat="false" ht="15" hidden="false" customHeight="false" outlineLevel="0" collapsed="false">
      <c r="A154" s="67" t="n">
        <f aca="false">IF($K154="","",ROW()-5)</f>
        <v>149</v>
      </c>
      <c r="B154" s="68" t="n">
        <f aca="false">IF($K154="","",INDEX(Base!$E$5:$E$2004,$K154))</f>
        <v>46371</v>
      </c>
      <c r="C154" s="69" t="n">
        <f aca="false">IF($K154="","",B154)</f>
        <v>46371</v>
      </c>
      <c r="D154" s="70" t="str">
        <f aca="false">IF($K154="","",INDEX(Base!$F$5:$F$2004,$K154))</f>
        <v>HIV/AIDS</v>
      </c>
      <c r="E154" s="70" t="str">
        <f aca="false">IF($K154="","",INDEX(Base!$G$5:$G$2004,$K154))</f>
        <v>5ª Revisão</v>
      </c>
      <c r="F154" s="71" t="str">
        <f aca="false">IF($K154="","",INDEX(Base!$H$5:$H$2004,$K154))</f>
        <v>R5</v>
      </c>
      <c r="G154" s="71" t="str">
        <f aca="false">IF($K154="","",INDEX(Base!$I$5:$I$2004,$K154))</f>
        <v>Revisão</v>
      </c>
      <c r="H154" s="70" t="str">
        <f aca="false">IF($K154="","",INDEX(Base!$J$5:$J$2004,$K154))</f>
        <v>Clínica Médica</v>
      </c>
      <c r="I154" s="71" t="str">
        <f aca="false">IF($K154="","",INDEX(Base!$L$5:$L$2004,$K154))</f>
        <v>Pendente</v>
      </c>
      <c r="J154" s="72" t="n">
        <f aca="false">IFERROR(SMALL(Base!$P$5:$P$2004,ROW()-5),"")</f>
        <v>4637104</v>
      </c>
      <c r="K154" s="72" t="n">
        <f aca="false">IF(J154="","",MATCH(J154,Base!$P$5:$P$2004,0))</f>
        <v>108</v>
      </c>
    </row>
    <row r="155" customFormat="false" ht="15" hidden="false" customHeight="false" outlineLevel="0" collapsed="false">
      <c r="A155" s="67" t="n">
        <f aca="false">IF($K155="","",ROW()-5)</f>
        <v>150</v>
      </c>
      <c r="B155" s="68" t="n">
        <f aca="false">IF($K155="","",INDEX(Base!$E$5:$E$2004,$K155))</f>
        <v>46374</v>
      </c>
      <c r="C155" s="69" t="n">
        <f aca="false">IF($K155="","",B155)</f>
        <v>46374</v>
      </c>
      <c r="D155" s="70" t="str">
        <f aca="false">IF($K155="","",INDEX(Base!$F$5:$F$2004,$K155))</f>
        <v>Dermatologia I e II</v>
      </c>
      <c r="E155" s="70" t="str">
        <f aca="false">IF($K155="","",INDEX(Base!$G$5:$G$2004,$K155))</f>
        <v>5ª Revisão</v>
      </c>
      <c r="F155" s="71" t="str">
        <f aca="false">IF($K155="","",INDEX(Base!$H$5:$H$2004,$K155))</f>
        <v>R5</v>
      </c>
      <c r="G155" s="71" t="str">
        <f aca="false">IF($K155="","",INDEX(Base!$I$5:$I$2004,$K155))</f>
        <v>Revisão</v>
      </c>
      <c r="H155" s="70" t="str">
        <f aca="false">IF($K155="","",INDEX(Base!$J$5:$J$2004,$K155))</f>
        <v>Clínica Médica</v>
      </c>
      <c r="I155" s="71" t="str">
        <f aca="false">IF($K155="","",INDEX(Base!$L$5:$L$2004,$K155))</f>
        <v>Pendente</v>
      </c>
      <c r="J155" s="72" t="n">
        <f aca="false">IFERROR(SMALL(Base!$P$5:$P$2004,ROW()-5),"")</f>
        <v>4637401</v>
      </c>
      <c r="K155" s="72" t="n">
        <f aca="false">IF(J155="","",MATCH(J155,Base!$P$5:$P$2004,0))</f>
        <v>114</v>
      </c>
    </row>
    <row r="156" customFormat="false" ht="15" hidden="false" customHeight="false" outlineLevel="0" collapsed="false">
      <c r="A156" s="67" t="n">
        <f aca="false">IF($K156="","",ROW()-5)</f>
        <v>151</v>
      </c>
      <c r="B156" s="68" t="n">
        <f aca="false">IF($K156="","",INDEX(Base!$E$5:$E$2004,$K156))</f>
        <v>46375</v>
      </c>
      <c r="C156" s="69" t="n">
        <f aca="false">IF($K156="","",B156)</f>
        <v>46375</v>
      </c>
      <c r="D156" s="70" t="str">
        <f aca="false">IF($K156="","",INDEX(Base!$F$5:$F$2004,$K156))</f>
        <v>Bônus Oftalmo</v>
      </c>
      <c r="E156" s="70" t="str">
        <f aca="false">IF($K156="","",INDEX(Base!$G$5:$G$2004,$K156))</f>
        <v>5ª Revisão</v>
      </c>
      <c r="F156" s="71" t="str">
        <f aca="false">IF($K156="","",INDEX(Base!$H$5:$H$2004,$K156))</f>
        <v>R5</v>
      </c>
      <c r="G156" s="71" t="str">
        <f aca="false">IF($K156="","",INDEX(Base!$I$5:$I$2004,$K156))</f>
        <v>Revisão</v>
      </c>
      <c r="H156" s="70" t="str">
        <f aca="false">IF($K156="","",INDEX(Base!$J$5:$J$2004,$K156))</f>
        <v>Cirurgia</v>
      </c>
      <c r="I156" s="71" t="str">
        <f aca="false">IF($K156="","",INDEX(Base!$L$5:$L$2004,$K156))</f>
        <v>Pendente</v>
      </c>
      <c r="J156" s="72" t="n">
        <f aca="false">IFERROR(SMALL(Base!$P$5:$P$2004,ROW()-5),"")</f>
        <v>4637501</v>
      </c>
      <c r="K156" s="72" t="n">
        <f aca="false">IF(J156="","",MATCH(J156,Base!$P$5:$P$2004,0))</f>
        <v>120</v>
      </c>
    </row>
    <row r="157" customFormat="false" ht="15" hidden="false" customHeight="false" outlineLevel="0" collapsed="false">
      <c r="A157" s="67" t="n">
        <f aca="false">IF($K157="","",ROW()-5)</f>
        <v>152</v>
      </c>
      <c r="B157" s="68" t="n">
        <f aca="false">IF($K157="","",INDEX(Base!$E$5:$E$2004,$K157))</f>
        <v>46375</v>
      </c>
      <c r="C157" s="69" t="n">
        <f aca="false">IF($K157="","",B157)</f>
        <v>46375</v>
      </c>
      <c r="D157" s="70" t="str">
        <f aca="false">IF($K157="","",INDEX(Base!$F$5:$F$2004,$K157))</f>
        <v>Insuficiência Cardíaca</v>
      </c>
      <c r="E157" s="70" t="str">
        <f aca="false">IF($K157="","",INDEX(Base!$G$5:$G$2004,$K157))</f>
        <v>5ª Revisão</v>
      </c>
      <c r="F157" s="71" t="str">
        <f aca="false">IF($K157="","",INDEX(Base!$H$5:$H$2004,$K157))</f>
        <v>R5</v>
      </c>
      <c r="G157" s="71" t="str">
        <f aca="false">IF($K157="","",INDEX(Base!$I$5:$I$2004,$K157))</f>
        <v>Revisão</v>
      </c>
      <c r="H157" s="70" t="str">
        <f aca="false">IF($K157="","",INDEX(Base!$J$5:$J$2004,$K157))</f>
        <v>Clínica Médica</v>
      </c>
      <c r="I157" s="71" t="str">
        <f aca="false">IF($K157="","",INDEX(Base!$L$5:$L$2004,$K157))</f>
        <v>Pendente</v>
      </c>
      <c r="J157" s="72" t="n">
        <f aca="false">IFERROR(SMALL(Base!$P$5:$P$2004,ROW()-5),"")</f>
        <v>4637502</v>
      </c>
      <c r="K157" s="72" t="n">
        <f aca="false">IF(J157="","",MATCH(J157,Base!$P$5:$P$2004,0))</f>
        <v>126</v>
      </c>
    </row>
    <row r="158" customFormat="false" ht="15" hidden="false" customHeight="false" outlineLevel="0" collapsed="false">
      <c r="A158" s="67" t="n">
        <f aca="false">IF($K158="","",ROW()-5)</f>
        <v>153</v>
      </c>
      <c r="B158" s="68" t="n">
        <f aca="false">IF($K158="","",INDEX(Base!$E$5:$E$2004,$K158))</f>
        <v>46378</v>
      </c>
      <c r="C158" s="69" t="n">
        <f aca="false">IF($K158="","",B158)</f>
        <v>46378</v>
      </c>
      <c r="D158" s="70" t="str">
        <f aca="false">IF($K158="","",INDEX(Base!$F$5:$F$2004,$K158))</f>
        <v>Pneumonias Comunitárias</v>
      </c>
      <c r="E158" s="70" t="str">
        <f aca="false">IF($K158="","",INDEX(Base!$G$5:$G$2004,$K158))</f>
        <v>5ª Revisão</v>
      </c>
      <c r="F158" s="71" t="str">
        <f aca="false">IF($K158="","",INDEX(Base!$H$5:$H$2004,$K158))</f>
        <v>R5</v>
      </c>
      <c r="G158" s="71" t="str">
        <f aca="false">IF($K158="","",INDEX(Base!$I$5:$I$2004,$K158))</f>
        <v>Revisão</v>
      </c>
      <c r="H158" s="70" t="str">
        <f aca="false">IF($K158="","",INDEX(Base!$J$5:$J$2004,$K158))</f>
        <v>Clínica Médica</v>
      </c>
      <c r="I158" s="71" t="str">
        <f aca="false">IF($K158="","",INDEX(Base!$L$5:$L$2004,$K158))</f>
        <v>Pendente</v>
      </c>
      <c r="J158" s="72" t="n">
        <f aca="false">IFERROR(SMALL(Base!$P$5:$P$2004,ROW()-5),"")</f>
        <v>4637801</v>
      </c>
      <c r="K158" s="72" t="n">
        <f aca="false">IF(J158="","",MATCH(J158,Base!$P$5:$P$2004,0))</f>
        <v>132</v>
      </c>
    </row>
    <row r="159" customFormat="false" ht="15" hidden="false" customHeight="false" outlineLevel="0" collapsed="false">
      <c r="A159" s="67" t="n">
        <f aca="false">IF($K159="","",ROW()-5)</f>
        <v>154</v>
      </c>
      <c r="B159" s="68" t="n">
        <f aca="false">IF($K159="","",INDEX(Base!$E$5:$E$2004,$K159))</f>
        <v>46378</v>
      </c>
      <c r="C159" s="69" t="n">
        <f aca="false">IF($K159="","",B159)</f>
        <v>46378</v>
      </c>
      <c r="D159" s="70" t="str">
        <f aca="false">IF($K159="","",INDEX(Base!$F$5:$F$2004,$K159))</f>
        <v>Tuberculose</v>
      </c>
      <c r="E159" s="70" t="str">
        <f aca="false">IF($K159="","",INDEX(Base!$G$5:$G$2004,$K159))</f>
        <v>5ª Revisão</v>
      </c>
      <c r="F159" s="71" t="str">
        <f aca="false">IF($K159="","",INDEX(Base!$H$5:$H$2004,$K159))</f>
        <v>R5</v>
      </c>
      <c r="G159" s="71" t="str">
        <f aca="false">IF($K159="","",INDEX(Base!$I$5:$I$2004,$K159))</f>
        <v>Revisão</v>
      </c>
      <c r="H159" s="70" t="str">
        <f aca="false">IF($K159="","",INDEX(Base!$J$5:$J$2004,$K159))</f>
        <v>Clínica Médica</v>
      </c>
      <c r="I159" s="71" t="str">
        <f aca="false">IF($K159="","",INDEX(Base!$L$5:$L$2004,$K159))</f>
        <v>Pendente</v>
      </c>
      <c r="J159" s="72" t="n">
        <f aca="false">IFERROR(SMALL(Base!$P$5:$P$2004,ROW()-5),"")</f>
        <v>4637802</v>
      </c>
      <c r="K159" s="72" t="n">
        <f aca="false">IF(J159="","",MATCH(J159,Base!$P$5:$P$2004,0))</f>
        <v>138</v>
      </c>
    </row>
    <row r="160" customFormat="false" ht="15" hidden="false" customHeight="false" outlineLevel="0" collapsed="false">
      <c r="A160" s="67" t="n">
        <f aca="false">IF($K160="","",ROW()-5)</f>
        <v>155</v>
      </c>
      <c r="B160" s="68" t="n">
        <f aca="false">IF($K160="","",INDEX(Base!$E$5:$E$2004,$K160))</f>
        <v>46378</v>
      </c>
      <c r="C160" s="69" t="n">
        <f aca="false">IF($K160="","",B160)</f>
        <v>46378</v>
      </c>
      <c r="D160" s="70" t="str">
        <f aca="false">IF($K160="","",INDEX(Base!$F$5:$F$2004,$K160))</f>
        <v>Câncer de Pulmão e TEP</v>
      </c>
      <c r="E160" s="70" t="str">
        <f aca="false">IF($K160="","",INDEX(Base!$G$5:$G$2004,$K160))</f>
        <v>5ª Revisão</v>
      </c>
      <c r="F160" s="71" t="str">
        <f aca="false">IF($K160="","",INDEX(Base!$H$5:$H$2004,$K160))</f>
        <v>R5</v>
      </c>
      <c r="G160" s="71" t="str">
        <f aca="false">IF($K160="","",INDEX(Base!$I$5:$I$2004,$K160))</f>
        <v>Revisão</v>
      </c>
      <c r="H160" s="70" t="str">
        <f aca="false">IF($K160="","",INDEX(Base!$J$5:$J$2004,$K160))</f>
        <v>Clínica Médica</v>
      </c>
      <c r="I160" s="71" t="str">
        <f aca="false">IF($K160="","",INDEX(Base!$L$5:$L$2004,$K160))</f>
        <v>Pendente</v>
      </c>
      <c r="J160" s="72" t="n">
        <f aca="false">IFERROR(SMALL(Base!$P$5:$P$2004,ROW()-5),"")</f>
        <v>4637803</v>
      </c>
      <c r="K160" s="72" t="n">
        <f aca="false">IF(J160="","",MATCH(J160,Base!$P$5:$P$2004,0))</f>
        <v>144</v>
      </c>
    </row>
    <row r="161" customFormat="false" ht="15" hidden="false" customHeight="false" outlineLevel="0" collapsed="false">
      <c r="A161" s="67" t="n">
        <f aca="false">IF($K161="","",ROW()-5)</f>
        <v>156</v>
      </c>
      <c r="B161" s="68" t="n">
        <f aca="false">IF($K161="","",INDEX(Base!$E$5:$E$2004,$K161))</f>
        <v>46381</v>
      </c>
      <c r="C161" s="69" t="n">
        <f aca="false">IF($K161="","",B161)</f>
        <v>46381</v>
      </c>
      <c r="D161" s="70" t="str">
        <f aca="false">IF($K161="","",INDEX(Base!$F$5:$F$2004,$K161))</f>
        <v>Ortopedia I e II</v>
      </c>
      <c r="E161" s="70" t="str">
        <f aca="false">IF($K161="","",INDEX(Base!$G$5:$G$2004,$K161))</f>
        <v>5ª Revisão</v>
      </c>
      <c r="F161" s="71" t="str">
        <f aca="false">IF($K161="","",INDEX(Base!$H$5:$H$2004,$K161))</f>
        <v>R5</v>
      </c>
      <c r="G161" s="71" t="str">
        <f aca="false">IF($K161="","",INDEX(Base!$I$5:$I$2004,$K161))</f>
        <v>Revisão</v>
      </c>
      <c r="H161" s="70" t="str">
        <f aca="false">IF($K161="","",INDEX(Base!$J$5:$J$2004,$K161))</f>
        <v>Cirurgia</v>
      </c>
      <c r="I161" s="71" t="str">
        <f aca="false">IF($K161="","",INDEX(Base!$L$5:$L$2004,$K161))</f>
        <v>Pendente</v>
      </c>
      <c r="J161" s="72" t="n">
        <f aca="false">IFERROR(SMALL(Base!$P$5:$P$2004,ROW()-5),"")</f>
        <v>4638101</v>
      </c>
      <c r="K161" s="72" t="n">
        <f aca="false">IF(J161="","",MATCH(J161,Base!$P$5:$P$2004,0))</f>
        <v>150</v>
      </c>
    </row>
    <row r="162" customFormat="false" ht="15" hidden="false" customHeight="false" outlineLevel="0" collapsed="false">
      <c r="A162" s="67" t="n">
        <f aca="false">IF($K162="","",ROW()-5)</f>
        <v>157</v>
      </c>
      <c r="B162" s="68" t="n">
        <f aca="false">IF($K162="","",INDEX(Base!$E$5:$E$2004,$K162))</f>
        <v>46382</v>
      </c>
      <c r="C162" s="69" t="n">
        <f aca="false">IF($K162="","",B162)</f>
        <v>46382</v>
      </c>
      <c r="D162" s="70" t="str">
        <f aca="false">IF($K162="","",INDEX(Base!$F$5:$F$2004,$K162))</f>
        <v>Fraqueza Muscular — Polineuropatias</v>
      </c>
      <c r="E162" s="70" t="str">
        <f aca="false">IF($K162="","",INDEX(Base!$G$5:$G$2004,$K162))</f>
        <v>5ª Revisão</v>
      </c>
      <c r="F162" s="71" t="str">
        <f aca="false">IF($K162="","",INDEX(Base!$H$5:$H$2004,$K162))</f>
        <v>R5</v>
      </c>
      <c r="G162" s="71" t="str">
        <f aca="false">IF($K162="","",INDEX(Base!$I$5:$I$2004,$K162))</f>
        <v>Revisão</v>
      </c>
      <c r="H162" s="70" t="str">
        <f aca="false">IF($K162="","",INDEX(Base!$J$5:$J$2004,$K162))</f>
        <v>Clínica Médica</v>
      </c>
      <c r="I162" s="71" t="str">
        <f aca="false">IF($K162="","",INDEX(Base!$L$5:$L$2004,$K162))</f>
        <v>Pendente</v>
      </c>
      <c r="J162" s="72" t="n">
        <f aca="false">IFERROR(SMALL(Base!$P$5:$P$2004,ROW()-5),"")</f>
        <v>4638201</v>
      </c>
      <c r="K162" s="72" t="n">
        <f aca="false">IF(J162="","",MATCH(J162,Base!$P$5:$P$2004,0))</f>
        <v>156</v>
      </c>
    </row>
    <row r="163" customFormat="false" ht="15" hidden="false" customHeight="false" outlineLevel="0" collapsed="false">
      <c r="A163" s="67" t="str">
        <f aca="false">IF($K163="","",ROW()-5)</f>
        <v/>
      </c>
      <c r="B163" s="68" t="str">
        <f aca="false">IF($K163="","",INDEX(Base!$E$5:$E$2004,$K163))</f>
        <v/>
      </c>
      <c r="C163" s="69" t="str">
        <f aca="false">IF($K163="","",B163)</f>
        <v/>
      </c>
      <c r="D163" s="70" t="str">
        <f aca="false">IF($K163="","",INDEX(Base!$F$5:$F$2004,$K163))</f>
        <v/>
      </c>
      <c r="E163" s="70" t="str">
        <f aca="false">IF($K163="","",INDEX(Base!$G$5:$G$2004,$K163))</f>
        <v/>
      </c>
      <c r="F163" s="71" t="str">
        <f aca="false">IF($K163="","",INDEX(Base!$H$5:$H$2004,$K163))</f>
        <v/>
      </c>
      <c r="G163" s="71" t="str">
        <f aca="false">IF($K163="","",INDEX(Base!$I$5:$I$2004,$K163))</f>
        <v/>
      </c>
      <c r="H163" s="70" t="str">
        <f aca="false">IF($K163="","",INDEX(Base!$J$5:$J$2004,$K163))</f>
        <v/>
      </c>
      <c r="I163" s="71" t="str">
        <f aca="false">IF($K163="","",INDEX(Base!$L$5:$L$2004,$K163))</f>
        <v/>
      </c>
      <c r="J163" s="72" t="str">
        <f aca="false">IFERROR(SMALL(Base!$P$5:$P$2004,ROW()-5),"")</f>
        <v/>
      </c>
      <c r="K163" s="72" t="str">
        <f aca="false">IF(J163="","",MATCH(J163,Base!$P$5:$P$2004,0))</f>
        <v/>
      </c>
    </row>
    <row r="164" customFormat="false" ht="15" hidden="false" customHeight="false" outlineLevel="0" collapsed="false">
      <c r="A164" s="67" t="str">
        <f aca="false">IF($K164="","",ROW()-5)</f>
        <v/>
      </c>
      <c r="B164" s="68" t="str">
        <f aca="false">IF($K164="","",INDEX(Base!$E$5:$E$2004,$K164))</f>
        <v/>
      </c>
      <c r="C164" s="69" t="str">
        <f aca="false">IF($K164="","",B164)</f>
        <v/>
      </c>
      <c r="D164" s="70" t="str">
        <f aca="false">IF($K164="","",INDEX(Base!$F$5:$F$2004,$K164))</f>
        <v/>
      </c>
      <c r="E164" s="70" t="str">
        <f aca="false">IF($K164="","",INDEX(Base!$G$5:$G$2004,$K164))</f>
        <v/>
      </c>
      <c r="F164" s="71" t="str">
        <f aca="false">IF($K164="","",INDEX(Base!$H$5:$H$2004,$K164))</f>
        <v/>
      </c>
      <c r="G164" s="71" t="str">
        <f aca="false">IF($K164="","",INDEX(Base!$I$5:$I$2004,$K164))</f>
        <v/>
      </c>
      <c r="H164" s="70" t="str">
        <f aca="false">IF($K164="","",INDEX(Base!$J$5:$J$2004,$K164))</f>
        <v/>
      </c>
      <c r="I164" s="71" t="str">
        <f aca="false">IF($K164="","",INDEX(Base!$L$5:$L$2004,$K164))</f>
        <v/>
      </c>
      <c r="J164" s="72" t="str">
        <f aca="false">IFERROR(SMALL(Base!$P$5:$P$2004,ROW()-5),"")</f>
        <v/>
      </c>
      <c r="K164" s="72" t="str">
        <f aca="false">IF(J164="","",MATCH(J164,Base!$P$5:$P$2004,0))</f>
        <v/>
      </c>
    </row>
    <row r="165" customFormat="false" ht="15" hidden="false" customHeight="false" outlineLevel="0" collapsed="false">
      <c r="A165" s="67" t="str">
        <f aca="false">IF($K165="","",ROW()-5)</f>
        <v/>
      </c>
      <c r="B165" s="68" t="str">
        <f aca="false">IF($K165="","",INDEX(Base!$E$5:$E$2004,$K165))</f>
        <v/>
      </c>
      <c r="C165" s="69" t="str">
        <f aca="false">IF($K165="","",B165)</f>
        <v/>
      </c>
      <c r="D165" s="70" t="str">
        <f aca="false">IF($K165="","",INDEX(Base!$F$5:$F$2004,$K165))</f>
        <v/>
      </c>
      <c r="E165" s="70" t="str">
        <f aca="false">IF($K165="","",INDEX(Base!$G$5:$G$2004,$K165))</f>
        <v/>
      </c>
      <c r="F165" s="71" t="str">
        <f aca="false">IF($K165="","",INDEX(Base!$H$5:$H$2004,$K165))</f>
        <v/>
      </c>
      <c r="G165" s="71" t="str">
        <f aca="false">IF($K165="","",INDEX(Base!$I$5:$I$2004,$K165))</f>
        <v/>
      </c>
      <c r="H165" s="70" t="str">
        <f aca="false">IF($K165="","",INDEX(Base!$J$5:$J$2004,$K165))</f>
        <v/>
      </c>
      <c r="I165" s="71" t="str">
        <f aca="false">IF($K165="","",INDEX(Base!$L$5:$L$2004,$K165))</f>
        <v/>
      </c>
      <c r="J165" s="72" t="str">
        <f aca="false">IFERROR(SMALL(Base!$P$5:$P$2004,ROW()-5),"")</f>
        <v/>
      </c>
      <c r="K165" s="72" t="str">
        <f aca="false">IF(J165="","",MATCH(J165,Base!$P$5:$P$2004,0))</f>
        <v/>
      </c>
    </row>
    <row r="166" customFormat="false" ht="15" hidden="false" customHeight="false" outlineLevel="0" collapsed="false">
      <c r="A166" s="67" t="str">
        <f aca="false">IF($K166="","",ROW()-5)</f>
        <v/>
      </c>
      <c r="B166" s="68" t="str">
        <f aca="false">IF($K166="","",INDEX(Base!$E$5:$E$2004,$K166))</f>
        <v/>
      </c>
      <c r="C166" s="69" t="str">
        <f aca="false">IF($K166="","",B166)</f>
        <v/>
      </c>
      <c r="D166" s="70" t="str">
        <f aca="false">IF($K166="","",INDEX(Base!$F$5:$F$2004,$K166))</f>
        <v/>
      </c>
      <c r="E166" s="70" t="str">
        <f aca="false">IF($K166="","",INDEX(Base!$G$5:$G$2004,$K166))</f>
        <v/>
      </c>
      <c r="F166" s="71" t="str">
        <f aca="false">IF($K166="","",INDEX(Base!$H$5:$H$2004,$K166))</f>
        <v/>
      </c>
      <c r="G166" s="71" t="str">
        <f aca="false">IF($K166="","",INDEX(Base!$I$5:$I$2004,$K166))</f>
        <v/>
      </c>
      <c r="H166" s="70" t="str">
        <f aca="false">IF($K166="","",INDEX(Base!$J$5:$J$2004,$K166))</f>
        <v/>
      </c>
      <c r="I166" s="71" t="str">
        <f aca="false">IF($K166="","",INDEX(Base!$L$5:$L$2004,$K166))</f>
        <v/>
      </c>
      <c r="J166" s="72" t="str">
        <f aca="false">IFERROR(SMALL(Base!$P$5:$P$2004,ROW()-5),"")</f>
        <v/>
      </c>
      <c r="K166" s="72" t="str">
        <f aca="false">IF(J166="","",MATCH(J166,Base!$P$5:$P$2004,0))</f>
        <v/>
      </c>
    </row>
    <row r="167" customFormat="false" ht="15" hidden="false" customHeight="false" outlineLevel="0" collapsed="false">
      <c r="A167" s="67" t="str">
        <f aca="false">IF($K167="","",ROW()-5)</f>
        <v/>
      </c>
      <c r="B167" s="68" t="str">
        <f aca="false">IF($K167="","",INDEX(Base!$E$5:$E$2004,$K167))</f>
        <v/>
      </c>
      <c r="C167" s="69" t="str">
        <f aca="false">IF($K167="","",B167)</f>
        <v/>
      </c>
      <c r="D167" s="70" t="str">
        <f aca="false">IF($K167="","",INDEX(Base!$F$5:$F$2004,$K167))</f>
        <v/>
      </c>
      <c r="E167" s="70" t="str">
        <f aca="false">IF($K167="","",INDEX(Base!$G$5:$G$2004,$K167))</f>
        <v/>
      </c>
      <c r="F167" s="71" t="str">
        <f aca="false">IF($K167="","",INDEX(Base!$H$5:$H$2004,$K167))</f>
        <v/>
      </c>
      <c r="G167" s="71" t="str">
        <f aca="false">IF($K167="","",INDEX(Base!$I$5:$I$2004,$K167))</f>
        <v/>
      </c>
      <c r="H167" s="70" t="str">
        <f aca="false">IF($K167="","",INDEX(Base!$J$5:$J$2004,$K167))</f>
        <v/>
      </c>
      <c r="I167" s="71" t="str">
        <f aca="false">IF($K167="","",INDEX(Base!$L$5:$L$2004,$K167))</f>
        <v/>
      </c>
      <c r="J167" s="72" t="str">
        <f aca="false">IFERROR(SMALL(Base!$P$5:$P$2004,ROW()-5),"")</f>
        <v/>
      </c>
      <c r="K167" s="72" t="str">
        <f aca="false">IF(J167="","",MATCH(J167,Base!$P$5:$P$2004,0))</f>
        <v/>
      </c>
    </row>
    <row r="168" customFormat="false" ht="15" hidden="false" customHeight="false" outlineLevel="0" collapsed="false">
      <c r="A168" s="67" t="str">
        <f aca="false">IF($K168="","",ROW()-5)</f>
        <v/>
      </c>
      <c r="B168" s="68" t="str">
        <f aca="false">IF($K168="","",INDEX(Base!$E$5:$E$2004,$K168))</f>
        <v/>
      </c>
      <c r="C168" s="69" t="str">
        <f aca="false">IF($K168="","",B168)</f>
        <v/>
      </c>
      <c r="D168" s="70" t="str">
        <f aca="false">IF($K168="","",INDEX(Base!$F$5:$F$2004,$K168))</f>
        <v/>
      </c>
      <c r="E168" s="70" t="str">
        <f aca="false">IF($K168="","",INDEX(Base!$G$5:$G$2004,$K168))</f>
        <v/>
      </c>
      <c r="F168" s="71" t="str">
        <f aca="false">IF($K168="","",INDEX(Base!$H$5:$H$2004,$K168))</f>
        <v/>
      </c>
      <c r="G168" s="71" t="str">
        <f aca="false">IF($K168="","",INDEX(Base!$I$5:$I$2004,$K168))</f>
        <v/>
      </c>
      <c r="H168" s="70" t="str">
        <f aca="false">IF($K168="","",INDEX(Base!$J$5:$J$2004,$K168))</f>
        <v/>
      </c>
      <c r="I168" s="71" t="str">
        <f aca="false">IF($K168="","",INDEX(Base!$L$5:$L$2004,$K168))</f>
        <v/>
      </c>
      <c r="J168" s="72" t="str">
        <f aca="false">IFERROR(SMALL(Base!$P$5:$P$2004,ROW()-5),"")</f>
        <v/>
      </c>
      <c r="K168" s="72" t="str">
        <f aca="false">IF(J168="","",MATCH(J168,Base!$P$5:$P$2004,0))</f>
        <v/>
      </c>
    </row>
    <row r="169" customFormat="false" ht="15" hidden="false" customHeight="false" outlineLevel="0" collapsed="false">
      <c r="A169" s="67" t="str">
        <f aca="false">IF($K169="","",ROW()-5)</f>
        <v/>
      </c>
      <c r="B169" s="68" t="str">
        <f aca="false">IF($K169="","",INDEX(Base!$E$5:$E$2004,$K169))</f>
        <v/>
      </c>
      <c r="C169" s="69" t="str">
        <f aca="false">IF($K169="","",B169)</f>
        <v/>
      </c>
      <c r="D169" s="70" t="str">
        <f aca="false">IF($K169="","",INDEX(Base!$F$5:$F$2004,$K169))</f>
        <v/>
      </c>
      <c r="E169" s="70" t="str">
        <f aca="false">IF($K169="","",INDEX(Base!$G$5:$G$2004,$K169))</f>
        <v/>
      </c>
      <c r="F169" s="71" t="str">
        <f aca="false">IF($K169="","",INDEX(Base!$H$5:$H$2004,$K169))</f>
        <v/>
      </c>
      <c r="G169" s="71" t="str">
        <f aca="false">IF($K169="","",INDEX(Base!$I$5:$I$2004,$K169))</f>
        <v/>
      </c>
      <c r="H169" s="70" t="str">
        <f aca="false">IF($K169="","",INDEX(Base!$J$5:$J$2004,$K169))</f>
        <v/>
      </c>
      <c r="I169" s="71" t="str">
        <f aca="false">IF($K169="","",INDEX(Base!$L$5:$L$2004,$K169))</f>
        <v/>
      </c>
      <c r="J169" s="72" t="str">
        <f aca="false">IFERROR(SMALL(Base!$P$5:$P$2004,ROW()-5),"")</f>
        <v/>
      </c>
      <c r="K169" s="72" t="str">
        <f aca="false">IF(J169="","",MATCH(J169,Base!$P$5:$P$2004,0))</f>
        <v/>
      </c>
    </row>
    <row r="170" customFormat="false" ht="15" hidden="false" customHeight="false" outlineLevel="0" collapsed="false">
      <c r="A170" s="67" t="str">
        <f aca="false">IF($K170="","",ROW()-5)</f>
        <v/>
      </c>
      <c r="B170" s="68" t="str">
        <f aca="false">IF($K170="","",INDEX(Base!$E$5:$E$2004,$K170))</f>
        <v/>
      </c>
      <c r="C170" s="69" t="str">
        <f aca="false">IF($K170="","",B170)</f>
        <v/>
      </c>
      <c r="D170" s="70" t="str">
        <f aca="false">IF($K170="","",INDEX(Base!$F$5:$F$2004,$K170))</f>
        <v/>
      </c>
      <c r="E170" s="70" t="str">
        <f aca="false">IF($K170="","",INDEX(Base!$G$5:$G$2004,$K170))</f>
        <v/>
      </c>
      <c r="F170" s="71" t="str">
        <f aca="false">IF($K170="","",INDEX(Base!$H$5:$H$2004,$K170))</f>
        <v/>
      </c>
      <c r="G170" s="71" t="str">
        <f aca="false">IF($K170="","",INDEX(Base!$I$5:$I$2004,$K170))</f>
        <v/>
      </c>
      <c r="H170" s="70" t="str">
        <f aca="false">IF($K170="","",INDEX(Base!$J$5:$J$2004,$K170))</f>
        <v/>
      </c>
      <c r="I170" s="71" t="str">
        <f aca="false">IF($K170="","",INDEX(Base!$L$5:$L$2004,$K170))</f>
        <v/>
      </c>
      <c r="J170" s="72" t="str">
        <f aca="false">IFERROR(SMALL(Base!$P$5:$P$2004,ROW()-5),"")</f>
        <v/>
      </c>
      <c r="K170" s="72" t="str">
        <f aca="false">IF(J170="","",MATCH(J170,Base!$P$5:$P$2004,0))</f>
        <v/>
      </c>
    </row>
    <row r="171" customFormat="false" ht="15" hidden="false" customHeight="false" outlineLevel="0" collapsed="false">
      <c r="A171" s="67" t="str">
        <f aca="false">IF($K171="","",ROW()-5)</f>
        <v/>
      </c>
      <c r="B171" s="68" t="str">
        <f aca="false">IF($K171="","",INDEX(Base!$E$5:$E$2004,$K171))</f>
        <v/>
      </c>
      <c r="C171" s="69" t="str">
        <f aca="false">IF($K171="","",B171)</f>
        <v/>
      </c>
      <c r="D171" s="70" t="str">
        <f aca="false">IF($K171="","",INDEX(Base!$F$5:$F$2004,$K171))</f>
        <v/>
      </c>
      <c r="E171" s="70" t="str">
        <f aca="false">IF($K171="","",INDEX(Base!$G$5:$G$2004,$K171))</f>
        <v/>
      </c>
      <c r="F171" s="71" t="str">
        <f aca="false">IF($K171="","",INDEX(Base!$H$5:$H$2004,$K171))</f>
        <v/>
      </c>
      <c r="G171" s="71" t="str">
        <f aca="false">IF($K171="","",INDEX(Base!$I$5:$I$2004,$K171))</f>
        <v/>
      </c>
      <c r="H171" s="70" t="str">
        <f aca="false">IF($K171="","",INDEX(Base!$J$5:$J$2004,$K171))</f>
        <v/>
      </c>
      <c r="I171" s="71" t="str">
        <f aca="false">IF($K171="","",INDEX(Base!$L$5:$L$2004,$K171))</f>
        <v/>
      </c>
      <c r="J171" s="72" t="str">
        <f aca="false">IFERROR(SMALL(Base!$P$5:$P$2004,ROW()-5),"")</f>
        <v/>
      </c>
      <c r="K171" s="72" t="str">
        <f aca="false">IF(J171="","",MATCH(J171,Base!$P$5:$P$2004,0))</f>
        <v/>
      </c>
    </row>
    <row r="172" customFormat="false" ht="15" hidden="false" customHeight="false" outlineLevel="0" collapsed="false">
      <c r="A172" s="67" t="str">
        <f aca="false">IF($K172="","",ROW()-5)</f>
        <v/>
      </c>
      <c r="B172" s="68" t="str">
        <f aca="false">IF($K172="","",INDEX(Base!$E$5:$E$2004,$K172))</f>
        <v/>
      </c>
      <c r="C172" s="69" t="str">
        <f aca="false">IF($K172="","",B172)</f>
        <v/>
      </c>
      <c r="D172" s="70" t="str">
        <f aca="false">IF($K172="","",INDEX(Base!$F$5:$F$2004,$K172))</f>
        <v/>
      </c>
      <c r="E172" s="70" t="str">
        <f aca="false">IF($K172="","",INDEX(Base!$G$5:$G$2004,$K172))</f>
        <v/>
      </c>
      <c r="F172" s="71" t="str">
        <f aca="false">IF($K172="","",INDEX(Base!$H$5:$H$2004,$K172))</f>
        <v/>
      </c>
      <c r="G172" s="71" t="str">
        <f aca="false">IF($K172="","",INDEX(Base!$I$5:$I$2004,$K172))</f>
        <v/>
      </c>
      <c r="H172" s="70" t="str">
        <f aca="false">IF($K172="","",INDEX(Base!$J$5:$J$2004,$K172))</f>
        <v/>
      </c>
      <c r="I172" s="71" t="str">
        <f aca="false">IF($K172="","",INDEX(Base!$L$5:$L$2004,$K172))</f>
        <v/>
      </c>
      <c r="J172" s="72" t="str">
        <f aca="false">IFERROR(SMALL(Base!$P$5:$P$2004,ROW()-5),"")</f>
        <v/>
      </c>
      <c r="K172" s="72" t="str">
        <f aca="false">IF(J172="","",MATCH(J172,Base!$P$5:$P$2004,0))</f>
        <v/>
      </c>
    </row>
    <row r="173" customFormat="false" ht="15" hidden="false" customHeight="false" outlineLevel="0" collapsed="false">
      <c r="A173" s="67" t="str">
        <f aca="false">IF($K173="","",ROW()-5)</f>
        <v/>
      </c>
      <c r="B173" s="68" t="str">
        <f aca="false">IF($K173="","",INDEX(Base!$E$5:$E$2004,$K173))</f>
        <v/>
      </c>
      <c r="C173" s="69" t="str">
        <f aca="false">IF($K173="","",B173)</f>
        <v/>
      </c>
      <c r="D173" s="70" t="str">
        <f aca="false">IF($K173="","",INDEX(Base!$F$5:$F$2004,$K173))</f>
        <v/>
      </c>
      <c r="E173" s="70" t="str">
        <f aca="false">IF($K173="","",INDEX(Base!$G$5:$G$2004,$K173))</f>
        <v/>
      </c>
      <c r="F173" s="71" t="str">
        <f aca="false">IF($K173="","",INDEX(Base!$H$5:$H$2004,$K173))</f>
        <v/>
      </c>
      <c r="G173" s="71" t="str">
        <f aca="false">IF($K173="","",INDEX(Base!$I$5:$I$2004,$K173))</f>
        <v/>
      </c>
      <c r="H173" s="70" t="str">
        <f aca="false">IF($K173="","",INDEX(Base!$J$5:$J$2004,$K173))</f>
        <v/>
      </c>
      <c r="I173" s="71" t="str">
        <f aca="false">IF($K173="","",INDEX(Base!$L$5:$L$2004,$K173))</f>
        <v/>
      </c>
      <c r="J173" s="72" t="str">
        <f aca="false">IFERROR(SMALL(Base!$P$5:$P$2004,ROW()-5),"")</f>
        <v/>
      </c>
      <c r="K173" s="72" t="str">
        <f aca="false">IF(J173="","",MATCH(J173,Base!$P$5:$P$2004,0))</f>
        <v/>
      </c>
    </row>
    <row r="174" customFormat="false" ht="15" hidden="false" customHeight="false" outlineLevel="0" collapsed="false">
      <c r="A174" s="67" t="str">
        <f aca="false">IF($K174="","",ROW()-5)</f>
        <v/>
      </c>
      <c r="B174" s="68" t="str">
        <f aca="false">IF($K174="","",INDEX(Base!$E$5:$E$2004,$K174))</f>
        <v/>
      </c>
      <c r="C174" s="69" t="str">
        <f aca="false">IF($K174="","",B174)</f>
        <v/>
      </c>
      <c r="D174" s="70" t="str">
        <f aca="false">IF($K174="","",INDEX(Base!$F$5:$F$2004,$K174))</f>
        <v/>
      </c>
      <c r="E174" s="70" t="str">
        <f aca="false">IF($K174="","",INDEX(Base!$G$5:$G$2004,$K174))</f>
        <v/>
      </c>
      <c r="F174" s="71" t="str">
        <f aca="false">IF($K174="","",INDEX(Base!$H$5:$H$2004,$K174))</f>
        <v/>
      </c>
      <c r="G174" s="71" t="str">
        <f aca="false">IF($K174="","",INDEX(Base!$I$5:$I$2004,$K174))</f>
        <v/>
      </c>
      <c r="H174" s="70" t="str">
        <f aca="false">IF($K174="","",INDEX(Base!$J$5:$J$2004,$K174))</f>
        <v/>
      </c>
      <c r="I174" s="71" t="str">
        <f aca="false">IF($K174="","",INDEX(Base!$L$5:$L$2004,$K174))</f>
        <v/>
      </c>
      <c r="J174" s="72" t="str">
        <f aca="false">IFERROR(SMALL(Base!$P$5:$P$2004,ROW()-5),"")</f>
        <v/>
      </c>
      <c r="K174" s="72" t="str">
        <f aca="false">IF(J174="","",MATCH(J174,Base!$P$5:$P$2004,0))</f>
        <v/>
      </c>
    </row>
    <row r="175" customFormat="false" ht="15" hidden="false" customHeight="false" outlineLevel="0" collapsed="false">
      <c r="A175" s="67" t="str">
        <f aca="false">IF($K175="","",ROW()-5)</f>
        <v/>
      </c>
      <c r="B175" s="68" t="str">
        <f aca="false">IF($K175="","",INDEX(Base!$E$5:$E$2004,$K175))</f>
        <v/>
      </c>
      <c r="C175" s="69" t="str">
        <f aca="false">IF($K175="","",B175)</f>
        <v/>
      </c>
      <c r="D175" s="70" t="str">
        <f aca="false">IF($K175="","",INDEX(Base!$F$5:$F$2004,$K175))</f>
        <v/>
      </c>
      <c r="E175" s="70" t="str">
        <f aca="false">IF($K175="","",INDEX(Base!$G$5:$G$2004,$K175))</f>
        <v/>
      </c>
      <c r="F175" s="71" t="str">
        <f aca="false">IF($K175="","",INDEX(Base!$H$5:$H$2004,$K175))</f>
        <v/>
      </c>
      <c r="G175" s="71" t="str">
        <f aca="false">IF($K175="","",INDEX(Base!$I$5:$I$2004,$K175))</f>
        <v/>
      </c>
      <c r="H175" s="70" t="str">
        <f aca="false">IF($K175="","",INDEX(Base!$J$5:$J$2004,$K175))</f>
        <v/>
      </c>
      <c r="I175" s="71" t="str">
        <f aca="false">IF($K175="","",INDEX(Base!$L$5:$L$2004,$K175))</f>
        <v/>
      </c>
      <c r="J175" s="72" t="str">
        <f aca="false">IFERROR(SMALL(Base!$P$5:$P$2004,ROW()-5),"")</f>
        <v/>
      </c>
      <c r="K175" s="72" t="str">
        <f aca="false">IF(J175="","",MATCH(J175,Base!$P$5:$P$2004,0))</f>
        <v/>
      </c>
    </row>
    <row r="176" customFormat="false" ht="15" hidden="false" customHeight="false" outlineLevel="0" collapsed="false">
      <c r="A176" s="67" t="str">
        <f aca="false">IF($K176="","",ROW()-5)</f>
        <v/>
      </c>
      <c r="B176" s="68" t="str">
        <f aca="false">IF($K176="","",INDEX(Base!$E$5:$E$2004,$K176))</f>
        <v/>
      </c>
      <c r="C176" s="69" t="str">
        <f aca="false">IF($K176="","",B176)</f>
        <v/>
      </c>
      <c r="D176" s="70" t="str">
        <f aca="false">IF($K176="","",INDEX(Base!$F$5:$F$2004,$K176))</f>
        <v/>
      </c>
      <c r="E176" s="70" t="str">
        <f aca="false">IF($K176="","",INDEX(Base!$G$5:$G$2004,$K176))</f>
        <v/>
      </c>
      <c r="F176" s="71" t="str">
        <f aca="false">IF($K176="","",INDEX(Base!$H$5:$H$2004,$K176))</f>
        <v/>
      </c>
      <c r="G176" s="71" t="str">
        <f aca="false">IF($K176="","",INDEX(Base!$I$5:$I$2004,$K176))</f>
        <v/>
      </c>
      <c r="H176" s="70" t="str">
        <f aca="false">IF($K176="","",INDEX(Base!$J$5:$J$2004,$K176))</f>
        <v/>
      </c>
      <c r="I176" s="71" t="str">
        <f aca="false">IF($K176="","",INDEX(Base!$L$5:$L$2004,$K176))</f>
        <v/>
      </c>
      <c r="J176" s="72" t="str">
        <f aca="false">IFERROR(SMALL(Base!$P$5:$P$2004,ROW()-5),"")</f>
        <v/>
      </c>
      <c r="K176" s="72" t="str">
        <f aca="false">IF(J176="","",MATCH(J176,Base!$P$5:$P$2004,0))</f>
        <v/>
      </c>
    </row>
    <row r="177" customFormat="false" ht="15" hidden="false" customHeight="false" outlineLevel="0" collapsed="false">
      <c r="A177" s="67" t="str">
        <f aca="false">IF($K177="","",ROW()-5)</f>
        <v/>
      </c>
      <c r="B177" s="68" t="str">
        <f aca="false">IF($K177="","",INDEX(Base!$E$5:$E$2004,$K177))</f>
        <v/>
      </c>
      <c r="C177" s="69" t="str">
        <f aca="false">IF($K177="","",B177)</f>
        <v/>
      </c>
      <c r="D177" s="70" t="str">
        <f aca="false">IF($K177="","",INDEX(Base!$F$5:$F$2004,$K177))</f>
        <v/>
      </c>
      <c r="E177" s="70" t="str">
        <f aca="false">IF($K177="","",INDEX(Base!$G$5:$G$2004,$K177))</f>
        <v/>
      </c>
      <c r="F177" s="71" t="str">
        <f aca="false">IF($K177="","",INDEX(Base!$H$5:$H$2004,$K177))</f>
        <v/>
      </c>
      <c r="G177" s="71" t="str">
        <f aca="false">IF($K177="","",INDEX(Base!$I$5:$I$2004,$K177))</f>
        <v/>
      </c>
      <c r="H177" s="70" t="str">
        <f aca="false">IF($K177="","",INDEX(Base!$J$5:$J$2004,$K177))</f>
        <v/>
      </c>
      <c r="I177" s="71" t="str">
        <f aca="false">IF($K177="","",INDEX(Base!$L$5:$L$2004,$K177))</f>
        <v/>
      </c>
      <c r="J177" s="72" t="str">
        <f aca="false">IFERROR(SMALL(Base!$P$5:$P$2004,ROW()-5),"")</f>
        <v/>
      </c>
      <c r="K177" s="72" t="str">
        <f aca="false">IF(J177="","",MATCH(J177,Base!$P$5:$P$2004,0))</f>
        <v/>
      </c>
    </row>
    <row r="178" customFormat="false" ht="15" hidden="false" customHeight="false" outlineLevel="0" collapsed="false">
      <c r="A178" s="67" t="str">
        <f aca="false">IF($K178="","",ROW()-5)</f>
        <v/>
      </c>
      <c r="B178" s="68" t="str">
        <f aca="false">IF($K178="","",INDEX(Base!$E$5:$E$2004,$K178))</f>
        <v/>
      </c>
      <c r="C178" s="69" t="str">
        <f aca="false">IF($K178="","",B178)</f>
        <v/>
      </c>
      <c r="D178" s="70" t="str">
        <f aca="false">IF($K178="","",INDEX(Base!$F$5:$F$2004,$K178))</f>
        <v/>
      </c>
      <c r="E178" s="70" t="str">
        <f aca="false">IF($K178="","",INDEX(Base!$G$5:$G$2004,$K178))</f>
        <v/>
      </c>
      <c r="F178" s="71" t="str">
        <f aca="false">IF($K178="","",INDEX(Base!$H$5:$H$2004,$K178))</f>
        <v/>
      </c>
      <c r="G178" s="71" t="str">
        <f aca="false">IF($K178="","",INDEX(Base!$I$5:$I$2004,$K178))</f>
        <v/>
      </c>
      <c r="H178" s="70" t="str">
        <f aca="false">IF($K178="","",INDEX(Base!$J$5:$J$2004,$K178))</f>
        <v/>
      </c>
      <c r="I178" s="71" t="str">
        <f aca="false">IF($K178="","",INDEX(Base!$L$5:$L$2004,$K178))</f>
        <v/>
      </c>
      <c r="J178" s="72" t="str">
        <f aca="false">IFERROR(SMALL(Base!$P$5:$P$2004,ROW()-5),"")</f>
        <v/>
      </c>
      <c r="K178" s="72" t="str">
        <f aca="false">IF(J178="","",MATCH(J178,Base!$P$5:$P$2004,0))</f>
        <v/>
      </c>
    </row>
    <row r="179" customFormat="false" ht="15" hidden="false" customHeight="false" outlineLevel="0" collapsed="false">
      <c r="A179" s="67" t="str">
        <f aca="false">IF($K179="","",ROW()-5)</f>
        <v/>
      </c>
      <c r="B179" s="68" t="str">
        <f aca="false">IF($K179="","",INDEX(Base!$E$5:$E$2004,$K179))</f>
        <v/>
      </c>
      <c r="C179" s="69" t="str">
        <f aca="false">IF($K179="","",B179)</f>
        <v/>
      </c>
      <c r="D179" s="70" t="str">
        <f aca="false">IF($K179="","",INDEX(Base!$F$5:$F$2004,$K179))</f>
        <v/>
      </c>
      <c r="E179" s="70" t="str">
        <f aca="false">IF($K179="","",INDEX(Base!$G$5:$G$2004,$K179))</f>
        <v/>
      </c>
      <c r="F179" s="71" t="str">
        <f aca="false">IF($K179="","",INDEX(Base!$H$5:$H$2004,$K179))</f>
        <v/>
      </c>
      <c r="G179" s="71" t="str">
        <f aca="false">IF($K179="","",INDEX(Base!$I$5:$I$2004,$K179))</f>
        <v/>
      </c>
      <c r="H179" s="70" t="str">
        <f aca="false">IF($K179="","",INDEX(Base!$J$5:$J$2004,$K179))</f>
        <v/>
      </c>
      <c r="I179" s="71" t="str">
        <f aca="false">IF($K179="","",INDEX(Base!$L$5:$L$2004,$K179))</f>
        <v/>
      </c>
      <c r="J179" s="72" t="str">
        <f aca="false">IFERROR(SMALL(Base!$P$5:$P$2004,ROW()-5),"")</f>
        <v/>
      </c>
      <c r="K179" s="72" t="str">
        <f aca="false">IF(J179="","",MATCH(J179,Base!$P$5:$P$2004,0))</f>
        <v/>
      </c>
    </row>
    <row r="180" customFormat="false" ht="15" hidden="false" customHeight="false" outlineLevel="0" collapsed="false">
      <c r="A180" s="67" t="str">
        <f aca="false">IF($K180="","",ROW()-5)</f>
        <v/>
      </c>
      <c r="B180" s="68" t="str">
        <f aca="false">IF($K180="","",INDEX(Base!$E$5:$E$2004,$K180))</f>
        <v/>
      </c>
      <c r="C180" s="69" t="str">
        <f aca="false">IF($K180="","",B180)</f>
        <v/>
      </c>
      <c r="D180" s="70" t="str">
        <f aca="false">IF($K180="","",INDEX(Base!$F$5:$F$2004,$K180))</f>
        <v/>
      </c>
      <c r="E180" s="70" t="str">
        <f aca="false">IF($K180="","",INDEX(Base!$G$5:$G$2004,$K180))</f>
        <v/>
      </c>
      <c r="F180" s="71" t="str">
        <f aca="false">IF($K180="","",INDEX(Base!$H$5:$H$2004,$K180))</f>
        <v/>
      </c>
      <c r="G180" s="71" t="str">
        <f aca="false">IF($K180="","",INDEX(Base!$I$5:$I$2004,$K180))</f>
        <v/>
      </c>
      <c r="H180" s="70" t="str">
        <f aca="false">IF($K180="","",INDEX(Base!$J$5:$J$2004,$K180))</f>
        <v/>
      </c>
      <c r="I180" s="71" t="str">
        <f aca="false">IF($K180="","",INDEX(Base!$L$5:$L$2004,$K180))</f>
        <v/>
      </c>
      <c r="J180" s="72" t="str">
        <f aca="false">IFERROR(SMALL(Base!$P$5:$P$2004,ROW()-5),"")</f>
        <v/>
      </c>
      <c r="K180" s="72" t="str">
        <f aca="false">IF(J180="","",MATCH(J180,Base!$P$5:$P$2004,0))</f>
        <v/>
      </c>
    </row>
    <row r="181" customFormat="false" ht="15" hidden="false" customHeight="false" outlineLevel="0" collapsed="false">
      <c r="A181" s="67" t="str">
        <f aca="false">IF($K181="","",ROW()-5)</f>
        <v/>
      </c>
      <c r="B181" s="68" t="str">
        <f aca="false">IF($K181="","",INDEX(Base!$E$5:$E$2004,$K181))</f>
        <v/>
      </c>
      <c r="C181" s="69" t="str">
        <f aca="false">IF($K181="","",B181)</f>
        <v/>
      </c>
      <c r="D181" s="70" t="str">
        <f aca="false">IF($K181="","",INDEX(Base!$F$5:$F$2004,$K181))</f>
        <v/>
      </c>
      <c r="E181" s="70" t="str">
        <f aca="false">IF($K181="","",INDEX(Base!$G$5:$G$2004,$K181))</f>
        <v/>
      </c>
      <c r="F181" s="71" t="str">
        <f aca="false">IF($K181="","",INDEX(Base!$H$5:$H$2004,$K181))</f>
        <v/>
      </c>
      <c r="G181" s="71" t="str">
        <f aca="false">IF($K181="","",INDEX(Base!$I$5:$I$2004,$K181))</f>
        <v/>
      </c>
      <c r="H181" s="70" t="str">
        <f aca="false">IF($K181="","",INDEX(Base!$J$5:$J$2004,$K181))</f>
        <v/>
      </c>
      <c r="I181" s="71" t="str">
        <f aca="false">IF($K181="","",INDEX(Base!$L$5:$L$2004,$K181))</f>
        <v/>
      </c>
      <c r="J181" s="72" t="str">
        <f aca="false">IFERROR(SMALL(Base!$P$5:$P$2004,ROW()-5),"")</f>
        <v/>
      </c>
      <c r="K181" s="72" t="str">
        <f aca="false">IF(J181="","",MATCH(J181,Base!$P$5:$P$2004,0))</f>
        <v/>
      </c>
    </row>
    <row r="182" customFormat="false" ht="15" hidden="false" customHeight="false" outlineLevel="0" collapsed="false">
      <c r="A182" s="67" t="str">
        <f aca="false">IF($K182="","",ROW()-5)</f>
        <v/>
      </c>
      <c r="B182" s="68" t="str">
        <f aca="false">IF($K182="","",INDEX(Base!$E$5:$E$2004,$K182))</f>
        <v/>
      </c>
      <c r="C182" s="69" t="str">
        <f aca="false">IF($K182="","",B182)</f>
        <v/>
      </c>
      <c r="D182" s="70" t="str">
        <f aca="false">IF($K182="","",INDEX(Base!$F$5:$F$2004,$K182))</f>
        <v/>
      </c>
      <c r="E182" s="70" t="str">
        <f aca="false">IF($K182="","",INDEX(Base!$G$5:$G$2004,$K182))</f>
        <v/>
      </c>
      <c r="F182" s="71" t="str">
        <f aca="false">IF($K182="","",INDEX(Base!$H$5:$H$2004,$K182))</f>
        <v/>
      </c>
      <c r="G182" s="71" t="str">
        <f aca="false">IF($K182="","",INDEX(Base!$I$5:$I$2004,$K182))</f>
        <v/>
      </c>
      <c r="H182" s="70" t="str">
        <f aca="false">IF($K182="","",INDEX(Base!$J$5:$J$2004,$K182))</f>
        <v/>
      </c>
      <c r="I182" s="71" t="str">
        <f aca="false">IF($K182="","",INDEX(Base!$L$5:$L$2004,$K182))</f>
        <v/>
      </c>
      <c r="J182" s="72" t="str">
        <f aca="false">IFERROR(SMALL(Base!$P$5:$P$2004,ROW()-5),"")</f>
        <v/>
      </c>
      <c r="K182" s="72" t="str">
        <f aca="false">IF(J182="","",MATCH(J182,Base!$P$5:$P$2004,0))</f>
        <v/>
      </c>
    </row>
    <row r="183" customFormat="false" ht="15" hidden="false" customHeight="false" outlineLevel="0" collapsed="false">
      <c r="A183" s="67" t="str">
        <f aca="false">IF($K183="","",ROW()-5)</f>
        <v/>
      </c>
      <c r="B183" s="68" t="str">
        <f aca="false">IF($K183="","",INDEX(Base!$E$5:$E$2004,$K183))</f>
        <v/>
      </c>
      <c r="C183" s="69" t="str">
        <f aca="false">IF($K183="","",B183)</f>
        <v/>
      </c>
      <c r="D183" s="70" t="str">
        <f aca="false">IF($K183="","",INDEX(Base!$F$5:$F$2004,$K183))</f>
        <v/>
      </c>
      <c r="E183" s="70" t="str">
        <f aca="false">IF($K183="","",INDEX(Base!$G$5:$G$2004,$K183))</f>
        <v/>
      </c>
      <c r="F183" s="71" t="str">
        <f aca="false">IF($K183="","",INDEX(Base!$H$5:$H$2004,$K183))</f>
        <v/>
      </c>
      <c r="G183" s="71" t="str">
        <f aca="false">IF($K183="","",INDEX(Base!$I$5:$I$2004,$K183))</f>
        <v/>
      </c>
      <c r="H183" s="70" t="str">
        <f aca="false">IF($K183="","",INDEX(Base!$J$5:$J$2004,$K183))</f>
        <v/>
      </c>
      <c r="I183" s="71" t="str">
        <f aca="false">IF($K183="","",INDEX(Base!$L$5:$L$2004,$K183))</f>
        <v/>
      </c>
      <c r="J183" s="72" t="str">
        <f aca="false">IFERROR(SMALL(Base!$P$5:$P$2004,ROW()-5),"")</f>
        <v/>
      </c>
      <c r="K183" s="72" t="str">
        <f aca="false">IF(J183="","",MATCH(J183,Base!$P$5:$P$2004,0))</f>
        <v/>
      </c>
    </row>
    <row r="184" customFormat="false" ht="15" hidden="false" customHeight="false" outlineLevel="0" collapsed="false">
      <c r="A184" s="67" t="str">
        <f aca="false">IF($K184="","",ROW()-5)</f>
        <v/>
      </c>
      <c r="B184" s="68" t="str">
        <f aca="false">IF($K184="","",INDEX(Base!$E$5:$E$2004,$K184))</f>
        <v/>
      </c>
      <c r="C184" s="69" t="str">
        <f aca="false">IF($K184="","",B184)</f>
        <v/>
      </c>
      <c r="D184" s="70" t="str">
        <f aca="false">IF($K184="","",INDEX(Base!$F$5:$F$2004,$K184))</f>
        <v/>
      </c>
      <c r="E184" s="70" t="str">
        <f aca="false">IF($K184="","",INDEX(Base!$G$5:$G$2004,$K184))</f>
        <v/>
      </c>
      <c r="F184" s="71" t="str">
        <f aca="false">IF($K184="","",INDEX(Base!$H$5:$H$2004,$K184))</f>
        <v/>
      </c>
      <c r="G184" s="71" t="str">
        <f aca="false">IF($K184="","",INDEX(Base!$I$5:$I$2004,$K184))</f>
        <v/>
      </c>
      <c r="H184" s="70" t="str">
        <f aca="false">IF($K184="","",INDEX(Base!$J$5:$J$2004,$K184))</f>
        <v/>
      </c>
      <c r="I184" s="71" t="str">
        <f aca="false">IF($K184="","",INDEX(Base!$L$5:$L$2004,$K184))</f>
        <v/>
      </c>
      <c r="J184" s="72" t="str">
        <f aca="false">IFERROR(SMALL(Base!$P$5:$P$2004,ROW()-5),"")</f>
        <v/>
      </c>
      <c r="K184" s="72" t="str">
        <f aca="false">IF(J184="","",MATCH(J184,Base!$P$5:$P$2004,0))</f>
        <v/>
      </c>
    </row>
    <row r="185" customFormat="false" ht="15" hidden="false" customHeight="false" outlineLevel="0" collapsed="false">
      <c r="A185" s="67" t="str">
        <f aca="false">IF($K185="","",ROW()-5)</f>
        <v/>
      </c>
      <c r="B185" s="68" t="str">
        <f aca="false">IF($K185="","",INDEX(Base!$E$5:$E$2004,$K185))</f>
        <v/>
      </c>
      <c r="C185" s="69" t="str">
        <f aca="false">IF($K185="","",B185)</f>
        <v/>
      </c>
      <c r="D185" s="70" t="str">
        <f aca="false">IF($K185="","",INDEX(Base!$F$5:$F$2004,$K185))</f>
        <v/>
      </c>
      <c r="E185" s="70" t="str">
        <f aca="false">IF($K185="","",INDEX(Base!$G$5:$G$2004,$K185))</f>
        <v/>
      </c>
      <c r="F185" s="71" t="str">
        <f aca="false">IF($K185="","",INDEX(Base!$H$5:$H$2004,$K185))</f>
        <v/>
      </c>
      <c r="G185" s="71" t="str">
        <f aca="false">IF($K185="","",INDEX(Base!$I$5:$I$2004,$K185))</f>
        <v/>
      </c>
      <c r="H185" s="70" t="str">
        <f aca="false">IF($K185="","",INDEX(Base!$J$5:$J$2004,$K185))</f>
        <v/>
      </c>
      <c r="I185" s="71" t="str">
        <f aca="false">IF($K185="","",INDEX(Base!$L$5:$L$2004,$K185))</f>
        <v/>
      </c>
      <c r="J185" s="72" t="str">
        <f aca="false">IFERROR(SMALL(Base!$P$5:$P$2004,ROW()-5),"")</f>
        <v/>
      </c>
      <c r="K185" s="72" t="str">
        <f aca="false">IF(J185="","",MATCH(J185,Base!$P$5:$P$2004,0))</f>
        <v/>
      </c>
    </row>
    <row r="186" customFormat="false" ht="15" hidden="false" customHeight="false" outlineLevel="0" collapsed="false">
      <c r="A186" s="67" t="str">
        <f aca="false">IF($K186="","",ROW()-5)</f>
        <v/>
      </c>
      <c r="B186" s="68" t="str">
        <f aca="false">IF($K186="","",INDEX(Base!$E$5:$E$2004,$K186))</f>
        <v/>
      </c>
      <c r="C186" s="69" t="str">
        <f aca="false">IF($K186="","",B186)</f>
        <v/>
      </c>
      <c r="D186" s="70" t="str">
        <f aca="false">IF($K186="","",INDEX(Base!$F$5:$F$2004,$K186))</f>
        <v/>
      </c>
      <c r="E186" s="70" t="str">
        <f aca="false">IF($K186="","",INDEX(Base!$G$5:$G$2004,$K186))</f>
        <v/>
      </c>
      <c r="F186" s="71" t="str">
        <f aca="false">IF($K186="","",INDEX(Base!$H$5:$H$2004,$K186))</f>
        <v/>
      </c>
      <c r="G186" s="71" t="str">
        <f aca="false">IF($K186="","",INDEX(Base!$I$5:$I$2004,$K186))</f>
        <v/>
      </c>
      <c r="H186" s="70" t="str">
        <f aca="false">IF($K186="","",INDEX(Base!$J$5:$J$2004,$K186))</f>
        <v/>
      </c>
      <c r="I186" s="71" t="str">
        <f aca="false">IF($K186="","",INDEX(Base!$L$5:$L$2004,$K186))</f>
        <v/>
      </c>
      <c r="J186" s="72" t="str">
        <f aca="false">IFERROR(SMALL(Base!$P$5:$P$2004,ROW()-5),"")</f>
        <v/>
      </c>
      <c r="K186" s="72" t="str">
        <f aca="false">IF(J186="","",MATCH(J186,Base!$P$5:$P$2004,0))</f>
        <v/>
      </c>
    </row>
    <row r="187" customFormat="false" ht="15" hidden="false" customHeight="false" outlineLevel="0" collapsed="false">
      <c r="A187" s="67" t="str">
        <f aca="false">IF($K187="","",ROW()-5)</f>
        <v/>
      </c>
      <c r="B187" s="68" t="str">
        <f aca="false">IF($K187="","",INDEX(Base!$E$5:$E$2004,$K187))</f>
        <v/>
      </c>
      <c r="C187" s="69" t="str">
        <f aca="false">IF($K187="","",B187)</f>
        <v/>
      </c>
      <c r="D187" s="70" t="str">
        <f aca="false">IF($K187="","",INDEX(Base!$F$5:$F$2004,$K187))</f>
        <v/>
      </c>
      <c r="E187" s="70" t="str">
        <f aca="false">IF($K187="","",INDEX(Base!$G$5:$G$2004,$K187))</f>
        <v/>
      </c>
      <c r="F187" s="71" t="str">
        <f aca="false">IF($K187="","",INDEX(Base!$H$5:$H$2004,$K187))</f>
        <v/>
      </c>
      <c r="G187" s="71" t="str">
        <f aca="false">IF($K187="","",INDEX(Base!$I$5:$I$2004,$K187))</f>
        <v/>
      </c>
      <c r="H187" s="70" t="str">
        <f aca="false">IF($K187="","",INDEX(Base!$J$5:$J$2004,$K187))</f>
        <v/>
      </c>
      <c r="I187" s="71" t="str">
        <f aca="false">IF($K187="","",INDEX(Base!$L$5:$L$2004,$K187))</f>
        <v/>
      </c>
      <c r="J187" s="72" t="str">
        <f aca="false">IFERROR(SMALL(Base!$P$5:$P$2004,ROW()-5),"")</f>
        <v/>
      </c>
      <c r="K187" s="72" t="str">
        <f aca="false">IF(J187="","",MATCH(J187,Base!$P$5:$P$2004,0))</f>
        <v/>
      </c>
    </row>
    <row r="188" customFormat="false" ht="15" hidden="false" customHeight="false" outlineLevel="0" collapsed="false">
      <c r="A188" s="67" t="str">
        <f aca="false">IF($K188="","",ROW()-5)</f>
        <v/>
      </c>
      <c r="B188" s="68" t="str">
        <f aca="false">IF($K188="","",INDEX(Base!$E$5:$E$2004,$K188))</f>
        <v/>
      </c>
      <c r="C188" s="69" t="str">
        <f aca="false">IF($K188="","",B188)</f>
        <v/>
      </c>
      <c r="D188" s="70" t="str">
        <f aca="false">IF($K188="","",INDEX(Base!$F$5:$F$2004,$K188))</f>
        <v/>
      </c>
      <c r="E188" s="70" t="str">
        <f aca="false">IF($K188="","",INDEX(Base!$G$5:$G$2004,$K188))</f>
        <v/>
      </c>
      <c r="F188" s="71" t="str">
        <f aca="false">IF($K188="","",INDEX(Base!$H$5:$H$2004,$K188))</f>
        <v/>
      </c>
      <c r="G188" s="71" t="str">
        <f aca="false">IF($K188="","",INDEX(Base!$I$5:$I$2004,$K188))</f>
        <v/>
      </c>
      <c r="H188" s="70" t="str">
        <f aca="false">IF($K188="","",INDEX(Base!$J$5:$J$2004,$K188))</f>
        <v/>
      </c>
      <c r="I188" s="71" t="str">
        <f aca="false">IF($K188="","",INDEX(Base!$L$5:$L$2004,$K188))</f>
        <v/>
      </c>
      <c r="J188" s="72" t="str">
        <f aca="false">IFERROR(SMALL(Base!$P$5:$P$2004,ROW()-5),"")</f>
        <v/>
      </c>
      <c r="K188" s="72" t="str">
        <f aca="false">IF(J188="","",MATCH(J188,Base!$P$5:$P$2004,0))</f>
        <v/>
      </c>
    </row>
    <row r="189" customFormat="false" ht="15" hidden="false" customHeight="false" outlineLevel="0" collapsed="false">
      <c r="A189" s="67" t="str">
        <f aca="false">IF($K189="","",ROW()-5)</f>
        <v/>
      </c>
      <c r="B189" s="68" t="str">
        <f aca="false">IF($K189="","",INDEX(Base!$E$5:$E$2004,$K189))</f>
        <v/>
      </c>
      <c r="C189" s="69" t="str">
        <f aca="false">IF($K189="","",B189)</f>
        <v/>
      </c>
      <c r="D189" s="70" t="str">
        <f aca="false">IF($K189="","",INDEX(Base!$F$5:$F$2004,$K189))</f>
        <v/>
      </c>
      <c r="E189" s="70" t="str">
        <f aca="false">IF($K189="","",INDEX(Base!$G$5:$G$2004,$K189))</f>
        <v/>
      </c>
      <c r="F189" s="71" t="str">
        <f aca="false">IF($K189="","",INDEX(Base!$H$5:$H$2004,$K189))</f>
        <v/>
      </c>
      <c r="G189" s="71" t="str">
        <f aca="false">IF($K189="","",INDEX(Base!$I$5:$I$2004,$K189))</f>
        <v/>
      </c>
      <c r="H189" s="70" t="str">
        <f aca="false">IF($K189="","",INDEX(Base!$J$5:$J$2004,$K189))</f>
        <v/>
      </c>
      <c r="I189" s="71" t="str">
        <f aca="false">IF($K189="","",INDEX(Base!$L$5:$L$2004,$K189))</f>
        <v/>
      </c>
      <c r="J189" s="72" t="str">
        <f aca="false">IFERROR(SMALL(Base!$P$5:$P$2004,ROW()-5),"")</f>
        <v/>
      </c>
      <c r="K189" s="72" t="str">
        <f aca="false">IF(J189="","",MATCH(J189,Base!$P$5:$P$2004,0))</f>
        <v/>
      </c>
    </row>
    <row r="190" customFormat="false" ht="15" hidden="false" customHeight="false" outlineLevel="0" collapsed="false">
      <c r="A190" s="67" t="str">
        <f aca="false">IF($K190="","",ROW()-5)</f>
        <v/>
      </c>
      <c r="B190" s="68" t="str">
        <f aca="false">IF($K190="","",INDEX(Base!$E$5:$E$2004,$K190))</f>
        <v/>
      </c>
      <c r="C190" s="69" t="str">
        <f aca="false">IF($K190="","",B190)</f>
        <v/>
      </c>
      <c r="D190" s="70" t="str">
        <f aca="false">IF($K190="","",INDEX(Base!$F$5:$F$2004,$K190))</f>
        <v/>
      </c>
      <c r="E190" s="70" t="str">
        <f aca="false">IF($K190="","",INDEX(Base!$G$5:$G$2004,$K190))</f>
        <v/>
      </c>
      <c r="F190" s="71" t="str">
        <f aca="false">IF($K190="","",INDEX(Base!$H$5:$H$2004,$K190))</f>
        <v/>
      </c>
      <c r="G190" s="71" t="str">
        <f aca="false">IF($K190="","",INDEX(Base!$I$5:$I$2004,$K190))</f>
        <v/>
      </c>
      <c r="H190" s="70" t="str">
        <f aca="false">IF($K190="","",INDEX(Base!$J$5:$J$2004,$K190))</f>
        <v/>
      </c>
      <c r="I190" s="71" t="str">
        <f aca="false">IF($K190="","",INDEX(Base!$L$5:$L$2004,$K190))</f>
        <v/>
      </c>
      <c r="J190" s="72" t="str">
        <f aca="false">IFERROR(SMALL(Base!$P$5:$P$2004,ROW()-5),"")</f>
        <v/>
      </c>
      <c r="K190" s="72" t="str">
        <f aca="false">IF(J190="","",MATCH(J190,Base!$P$5:$P$2004,0))</f>
        <v/>
      </c>
    </row>
    <row r="191" customFormat="false" ht="15" hidden="false" customHeight="false" outlineLevel="0" collapsed="false">
      <c r="A191" s="67" t="str">
        <f aca="false">IF($K191="","",ROW()-5)</f>
        <v/>
      </c>
      <c r="B191" s="68" t="str">
        <f aca="false">IF($K191="","",INDEX(Base!$E$5:$E$2004,$K191))</f>
        <v/>
      </c>
      <c r="C191" s="69" t="str">
        <f aca="false">IF($K191="","",B191)</f>
        <v/>
      </c>
      <c r="D191" s="70" t="str">
        <f aca="false">IF($K191="","",INDEX(Base!$F$5:$F$2004,$K191))</f>
        <v/>
      </c>
      <c r="E191" s="70" t="str">
        <f aca="false">IF($K191="","",INDEX(Base!$G$5:$G$2004,$K191))</f>
        <v/>
      </c>
      <c r="F191" s="71" t="str">
        <f aca="false">IF($K191="","",INDEX(Base!$H$5:$H$2004,$K191))</f>
        <v/>
      </c>
      <c r="G191" s="71" t="str">
        <f aca="false">IF($K191="","",INDEX(Base!$I$5:$I$2004,$K191))</f>
        <v/>
      </c>
      <c r="H191" s="70" t="str">
        <f aca="false">IF($K191="","",INDEX(Base!$J$5:$J$2004,$K191))</f>
        <v/>
      </c>
      <c r="I191" s="71" t="str">
        <f aca="false">IF($K191="","",INDEX(Base!$L$5:$L$2004,$K191))</f>
        <v/>
      </c>
      <c r="J191" s="72" t="str">
        <f aca="false">IFERROR(SMALL(Base!$P$5:$P$2004,ROW()-5),"")</f>
        <v/>
      </c>
      <c r="K191" s="72" t="str">
        <f aca="false">IF(J191="","",MATCH(J191,Base!$P$5:$P$2004,0))</f>
        <v/>
      </c>
    </row>
    <row r="192" customFormat="false" ht="15" hidden="false" customHeight="false" outlineLevel="0" collapsed="false">
      <c r="A192" s="67" t="str">
        <f aca="false">IF($K192="","",ROW()-5)</f>
        <v/>
      </c>
      <c r="B192" s="68" t="str">
        <f aca="false">IF($K192="","",INDEX(Base!$E$5:$E$2004,$K192))</f>
        <v/>
      </c>
      <c r="C192" s="69" t="str">
        <f aca="false">IF($K192="","",B192)</f>
        <v/>
      </c>
      <c r="D192" s="70" t="str">
        <f aca="false">IF($K192="","",INDEX(Base!$F$5:$F$2004,$K192))</f>
        <v/>
      </c>
      <c r="E192" s="70" t="str">
        <f aca="false">IF($K192="","",INDEX(Base!$G$5:$G$2004,$K192))</f>
        <v/>
      </c>
      <c r="F192" s="71" t="str">
        <f aca="false">IF($K192="","",INDEX(Base!$H$5:$H$2004,$K192))</f>
        <v/>
      </c>
      <c r="G192" s="71" t="str">
        <f aca="false">IF($K192="","",INDEX(Base!$I$5:$I$2004,$K192))</f>
        <v/>
      </c>
      <c r="H192" s="70" t="str">
        <f aca="false">IF($K192="","",INDEX(Base!$J$5:$J$2004,$K192))</f>
        <v/>
      </c>
      <c r="I192" s="71" t="str">
        <f aca="false">IF($K192="","",INDEX(Base!$L$5:$L$2004,$K192))</f>
        <v/>
      </c>
      <c r="J192" s="72" t="str">
        <f aca="false">IFERROR(SMALL(Base!$P$5:$P$2004,ROW()-5),"")</f>
        <v/>
      </c>
      <c r="K192" s="72" t="str">
        <f aca="false">IF(J192="","",MATCH(J192,Base!$P$5:$P$2004,0))</f>
        <v/>
      </c>
    </row>
    <row r="193" customFormat="false" ht="15" hidden="false" customHeight="false" outlineLevel="0" collapsed="false">
      <c r="A193" s="67" t="str">
        <f aca="false">IF($K193="","",ROW()-5)</f>
        <v/>
      </c>
      <c r="B193" s="68" t="str">
        <f aca="false">IF($K193="","",INDEX(Base!$E$5:$E$2004,$K193))</f>
        <v/>
      </c>
      <c r="C193" s="69" t="str">
        <f aca="false">IF($K193="","",B193)</f>
        <v/>
      </c>
      <c r="D193" s="70" t="str">
        <f aca="false">IF($K193="","",INDEX(Base!$F$5:$F$2004,$K193))</f>
        <v/>
      </c>
      <c r="E193" s="70" t="str">
        <f aca="false">IF($K193="","",INDEX(Base!$G$5:$G$2004,$K193))</f>
        <v/>
      </c>
      <c r="F193" s="71" t="str">
        <f aca="false">IF($K193="","",INDEX(Base!$H$5:$H$2004,$K193))</f>
        <v/>
      </c>
      <c r="G193" s="71" t="str">
        <f aca="false">IF($K193="","",INDEX(Base!$I$5:$I$2004,$K193))</f>
        <v/>
      </c>
      <c r="H193" s="70" t="str">
        <f aca="false">IF($K193="","",INDEX(Base!$J$5:$J$2004,$K193))</f>
        <v/>
      </c>
      <c r="I193" s="71" t="str">
        <f aca="false">IF($K193="","",INDEX(Base!$L$5:$L$2004,$K193))</f>
        <v/>
      </c>
      <c r="J193" s="72" t="str">
        <f aca="false">IFERROR(SMALL(Base!$P$5:$P$2004,ROW()-5),"")</f>
        <v/>
      </c>
      <c r="K193" s="72" t="str">
        <f aca="false">IF(J193="","",MATCH(J193,Base!$P$5:$P$2004,0))</f>
        <v/>
      </c>
    </row>
    <row r="194" customFormat="false" ht="15" hidden="false" customHeight="false" outlineLevel="0" collapsed="false">
      <c r="A194" s="67" t="str">
        <f aca="false">IF($K194="","",ROW()-5)</f>
        <v/>
      </c>
      <c r="B194" s="68" t="str">
        <f aca="false">IF($K194="","",INDEX(Base!$E$5:$E$2004,$K194))</f>
        <v/>
      </c>
      <c r="C194" s="69" t="str">
        <f aca="false">IF($K194="","",B194)</f>
        <v/>
      </c>
      <c r="D194" s="70" t="str">
        <f aca="false">IF($K194="","",INDEX(Base!$F$5:$F$2004,$K194))</f>
        <v/>
      </c>
      <c r="E194" s="70" t="str">
        <f aca="false">IF($K194="","",INDEX(Base!$G$5:$G$2004,$K194))</f>
        <v/>
      </c>
      <c r="F194" s="71" t="str">
        <f aca="false">IF($K194="","",INDEX(Base!$H$5:$H$2004,$K194))</f>
        <v/>
      </c>
      <c r="G194" s="71" t="str">
        <f aca="false">IF($K194="","",INDEX(Base!$I$5:$I$2004,$K194))</f>
        <v/>
      </c>
      <c r="H194" s="70" t="str">
        <f aca="false">IF($K194="","",INDEX(Base!$J$5:$J$2004,$K194))</f>
        <v/>
      </c>
      <c r="I194" s="71" t="str">
        <f aca="false">IF($K194="","",INDEX(Base!$L$5:$L$2004,$K194))</f>
        <v/>
      </c>
      <c r="J194" s="72" t="str">
        <f aca="false">IFERROR(SMALL(Base!$P$5:$P$2004,ROW()-5),"")</f>
        <v/>
      </c>
      <c r="K194" s="72" t="str">
        <f aca="false">IF(J194="","",MATCH(J194,Base!$P$5:$P$2004,0))</f>
        <v/>
      </c>
    </row>
    <row r="195" customFormat="false" ht="15" hidden="false" customHeight="false" outlineLevel="0" collapsed="false">
      <c r="A195" s="67" t="str">
        <f aca="false">IF($K195="","",ROW()-5)</f>
        <v/>
      </c>
      <c r="B195" s="68" t="str">
        <f aca="false">IF($K195="","",INDEX(Base!$E$5:$E$2004,$K195))</f>
        <v/>
      </c>
      <c r="C195" s="69" t="str">
        <f aca="false">IF($K195="","",B195)</f>
        <v/>
      </c>
      <c r="D195" s="70" t="str">
        <f aca="false">IF($K195="","",INDEX(Base!$F$5:$F$2004,$K195))</f>
        <v/>
      </c>
      <c r="E195" s="70" t="str">
        <f aca="false">IF($K195="","",INDEX(Base!$G$5:$G$2004,$K195))</f>
        <v/>
      </c>
      <c r="F195" s="71" t="str">
        <f aca="false">IF($K195="","",INDEX(Base!$H$5:$H$2004,$K195))</f>
        <v/>
      </c>
      <c r="G195" s="71" t="str">
        <f aca="false">IF($K195="","",INDEX(Base!$I$5:$I$2004,$K195))</f>
        <v/>
      </c>
      <c r="H195" s="70" t="str">
        <f aca="false">IF($K195="","",INDEX(Base!$J$5:$J$2004,$K195))</f>
        <v/>
      </c>
      <c r="I195" s="71" t="str">
        <f aca="false">IF($K195="","",INDEX(Base!$L$5:$L$2004,$K195))</f>
        <v/>
      </c>
      <c r="J195" s="72" t="str">
        <f aca="false">IFERROR(SMALL(Base!$P$5:$P$2004,ROW()-5),"")</f>
        <v/>
      </c>
      <c r="K195" s="72" t="str">
        <f aca="false">IF(J195="","",MATCH(J195,Base!$P$5:$P$2004,0))</f>
        <v/>
      </c>
    </row>
    <row r="196" customFormat="false" ht="15" hidden="false" customHeight="false" outlineLevel="0" collapsed="false">
      <c r="A196" s="67" t="str">
        <f aca="false">IF($K196="","",ROW()-5)</f>
        <v/>
      </c>
      <c r="B196" s="68" t="str">
        <f aca="false">IF($K196="","",INDEX(Base!$E$5:$E$2004,$K196))</f>
        <v/>
      </c>
      <c r="C196" s="69" t="str">
        <f aca="false">IF($K196="","",B196)</f>
        <v/>
      </c>
      <c r="D196" s="70" t="str">
        <f aca="false">IF($K196="","",INDEX(Base!$F$5:$F$2004,$K196))</f>
        <v/>
      </c>
      <c r="E196" s="70" t="str">
        <f aca="false">IF($K196="","",INDEX(Base!$G$5:$G$2004,$K196))</f>
        <v/>
      </c>
      <c r="F196" s="71" t="str">
        <f aca="false">IF($K196="","",INDEX(Base!$H$5:$H$2004,$K196))</f>
        <v/>
      </c>
      <c r="G196" s="71" t="str">
        <f aca="false">IF($K196="","",INDEX(Base!$I$5:$I$2004,$K196))</f>
        <v/>
      </c>
      <c r="H196" s="70" t="str">
        <f aca="false">IF($K196="","",INDEX(Base!$J$5:$J$2004,$K196))</f>
        <v/>
      </c>
      <c r="I196" s="71" t="str">
        <f aca="false">IF($K196="","",INDEX(Base!$L$5:$L$2004,$K196))</f>
        <v/>
      </c>
      <c r="J196" s="72" t="str">
        <f aca="false">IFERROR(SMALL(Base!$P$5:$P$2004,ROW()-5),"")</f>
        <v/>
      </c>
      <c r="K196" s="72" t="str">
        <f aca="false">IF(J196="","",MATCH(J196,Base!$P$5:$P$2004,0))</f>
        <v/>
      </c>
    </row>
    <row r="197" customFormat="false" ht="15" hidden="false" customHeight="false" outlineLevel="0" collapsed="false">
      <c r="A197" s="67" t="str">
        <f aca="false">IF($K197="","",ROW()-5)</f>
        <v/>
      </c>
      <c r="B197" s="68" t="str">
        <f aca="false">IF($K197="","",INDEX(Base!$E$5:$E$2004,$K197))</f>
        <v/>
      </c>
      <c r="C197" s="69" t="str">
        <f aca="false">IF($K197="","",B197)</f>
        <v/>
      </c>
      <c r="D197" s="70" t="str">
        <f aca="false">IF($K197="","",INDEX(Base!$F$5:$F$2004,$K197))</f>
        <v/>
      </c>
      <c r="E197" s="70" t="str">
        <f aca="false">IF($K197="","",INDEX(Base!$G$5:$G$2004,$K197))</f>
        <v/>
      </c>
      <c r="F197" s="71" t="str">
        <f aca="false">IF($K197="","",INDEX(Base!$H$5:$H$2004,$K197))</f>
        <v/>
      </c>
      <c r="G197" s="71" t="str">
        <f aca="false">IF($K197="","",INDEX(Base!$I$5:$I$2004,$K197))</f>
        <v/>
      </c>
      <c r="H197" s="70" t="str">
        <f aca="false">IF($K197="","",INDEX(Base!$J$5:$J$2004,$K197))</f>
        <v/>
      </c>
      <c r="I197" s="71" t="str">
        <f aca="false">IF($K197="","",INDEX(Base!$L$5:$L$2004,$K197))</f>
        <v/>
      </c>
      <c r="J197" s="72" t="str">
        <f aca="false">IFERROR(SMALL(Base!$P$5:$P$2004,ROW()-5),"")</f>
        <v/>
      </c>
      <c r="K197" s="72" t="str">
        <f aca="false">IF(J197="","",MATCH(J197,Base!$P$5:$P$2004,0))</f>
        <v/>
      </c>
    </row>
    <row r="198" customFormat="false" ht="15" hidden="false" customHeight="false" outlineLevel="0" collapsed="false">
      <c r="A198" s="67" t="str">
        <f aca="false">IF($K198="","",ROW()-5)</f>
        <v/>
      </c>
      <c r="B198" s="68" t="str">
        <f aca="false">IF($K198="","",INDEX(Base!$E$5:$E$2004,$K198))</f>
        <v/>
      </c>
      <c r="C198" s="69" t="str">
        <f aca="false">IF($K198="","",B198)</f>
        <v/>
      </c>
      <c r="D198" s="70" t="str">
        <f aca="false">IF($K198="","",INDEX(Base!$F$5:$F$2004,$K198))</f>
        <v/>
      </c>
      <c r="E198" s="70" t="str">
        <f aca="false">IF($K198="","",INDEX(Base!$G$5:$G$2004,$K198))</f>
        <v/>
      </c>
      <c r="F198" s="71" t="str">
        <f aca="false">IF($K198="","",INDEX(Base!$H$5:$H$2004,$K198))</f>
        <v/>
      </c>
      <c r="G198" s="71" t="str">
        <f aca="false">IF($K198="","",INDEX(Base!$I$5:$I$2004,$K198))</f>
        <v/>
      </c>
      <c r="H198" s="70" t="str">
        <f aca="false">IF($K198="","",INDEX(Base!$J$5:$J$2004,$K198))</f>
        <v/>
      </c>
      <c r="I198" s="71" t="str">
        <f aca="false">IF($K198="","",INDEX(Base!$L$5:$L$2004,$K198))</f>
        <v/>
      </c>
      <c r="J198" s="72" t="str">
        <f aca="false">IFERROR(SMALL(Base!$P$5:$P$2004,ROW()-5),"")</f>
        <v/>
      </c>
      <c r="K198" s="72" t="str">
        <f aca="false">IF(J198="","",MATCH(J198,Base!$P$5:$P$2004,0))</f>
        <v/>
      </c>
    </row>
    <row r="199" customFormat="false" ht="15" hidden="false" customHeight="false" outlineLevel="0" collapsed="false">
      <c r="A199" s="67" t="str">
        <f aca="false">IF($K199="","",ROW()-5)</f>
        <v/>
      </c>
      <c r="B199" s="68" t="str">
        <f aca="false">IF($K199="","",INDEX(Base!$E$5:$E$2004,$K199))</f>
        <v/>
      </c>
      <c r="C199" s="69" t="str">
        <f aca="false">IF($K199="","",B199)</f>
        <v/>
      </c>
      <c r="D199" s="70" t="str">
        <f aca="false">IF($K199="","",INDEX(Base!$F$5:$F$2004,$K199))</f>
        <v/>
      </c>
      <c r="E199" s="70" t="str">
        <f aca="false">IF($K199="","",INDEX(Base!$G$5:$G$2004,$K199))</f>
        <v/>
      </c>
      <c r="F199" s="71" t="str">
        <f aca="false">IF($K199="","",INDEX(Base!$H$5:$H$2004,$K199))</f>
        <v/>
      </c>
      <c r="G199" s="71" t="str">
        <f aca="false">IF($K199="","",INDEX(Base!$I$5:$I$2004,$K199))</f>
        <v/>
      </c>
      <c r="H199" s="70" t="str">
        <f aca="false">IF($K199="","",INDEX(Base!$J$5:$J$2004,$K199))</f>
        <v/>
      </c>
      <c r="I199" s="71" t="str">
        <f aca="false">IF($K199="","",INDEX(Base!$L$5:$L$2004,$K199))</f>
        <v/>
      </c>
      <c r="J199" s="72" t="str">
        <f aca="false">IFERROR(SMALL(Base!$P$5:$P$2004,ROW()-5),"")</f>
        <v/>
      </c>
      <c r="K199" s="72" t="str">
        <f aca="false">IF(J199="","",MATCH(J199,Base!$P$5:$P$2004,0))</f>
        <v/>
      </c>
    </row>
    <row r="200" customFormat="false" ht="15" hidden="false" customHeight="false" outlineLevel="0" collapsed="false">
      <c r="A200" s="67" t="str">
        <f aca="false">IF($K200="","",ROW()-5)</f>
        <v/>
      </c>
      <c r="B200" s="68" t="str">
        <f aca="false">IF($K200="","",INDEX(Base!$E$5:$E$2004,$K200))</f>
        <v/>
      </c>
      <c r="C200" s="69" t="str">
        <f aca="false">IF($K200="","",B200)</f>
        <v/>
      </c>
      <c r="D200" s="70" t="str">
        <f aca="false">IF($K200="","",INDEX(Base!$F$5:$F$2004,$K200))</f>
        <v/>
      </c>
      <c r="E200" s="70" t="str">
        <f aca="false">IF($K200="","",INDEX(Base!$G$5:$G$2004,$K200))</f>
        <v/>
      </c>
      <c r="F200" s="71" t="str">
        <f aca="false">IF($K200="","",INDEX(Base!$H$5:$H$2004,$K200))</f>
        <v/>
      </c>
      <c r="G200" s="71" t="str">
        <f aca="false">IF($K200="","",INDEX(Base!$I$5:$I$2004,$K200))</f>
        <v/>
      </c>
      <c r="H200" s="70" t="str">
        <f aca="false">IF($K200="","",INDEX(Base!$J$5:$J$2004,$K200))</f>
        <v/>
      </c>
      <c r="I200" s="71" t="str">
        <f aca="false">IF($K200="","",INDEX(Base!$L$5:$L$2004,$K200))</f>
        <v/>
      </c>
      <c r="J200" s="72" t="str">
        <f aca="false">IFERROR(SMALL(Base!$P$5:$P$2004,ROW()-5),"")</f>
        <v/>
      </c>
      <c r="K200" s="72" t="str">
        <f aca="false">IF(J200="","",MATCH(J200,Base!$P$5:$P$2004,0))</f>
        <v/>
      </c>
    </row>
    <row r="201" customFormat="false" ht="15" hidden="false" customHeight="false" outlineLevel="0" collapsed="false">
      <c r="A201" s="67" t="str">
        <f aca="false">IF($K201="","",ROW()-5)</f>
        <v/>
      </c>
      <c r="B201" s="68" t="str">
        <f aca="false">IF($K201="","",INDEX(Base!$E$5:$E$2004,$K201))</f>
        <v/>
      </c>
      <c r="C201" s="69" t="str">
        <f aca="false">IF($K201="","",B201)</f>
        <v/>
      </c>
      <c r="D201" s="70" t="str">
        <f aca="false">IF($K201="","",INDEX(Base!$F$5:$F$2004,$K201))</f>
        <v/>
      </c>
      <c r="E201" s="70" t="str">
        <f aca="false">IF($K201="","",INDEX(Base!$G$5:$G$2004,$K201))</f>
        <v/>
      </c>
      <c r="F201" s="71" t="str">
        <f aca="false">IF($K201="","",INDEX(Base!$H$5:$H$2004,$K201))</f>
        <v/>
      </c>
      <c r="G201" s="71" t="str">
        <f aca="false">IF($K201="","",INDEX(Base!$I$5:$I$2004,$K201))</f>
        <v/>
      </c>
      <c r="H201" s="70" t="str">
        <f aca="false">IF($K201="","",INDEX(Base!$J$5:$J$2004,$K201))</f>
        <v/>
      </c>
      <c r="I201" s="71" t="str">
        <f aca="false">IF($K201="","",INDEX(Base!$L$5:$L$2004,$K201))</f>
        <v/>
      </c>
      <c r="J201" s="72" t="str">
        <f aca="false">IFERROR(SMALL(Base!$P$5:$P$2004,ROW()-5),"")</f>
        <v/>
      </c>
      <c r="K201" s="72" t="str">
        <f aca="false">IF(J201="","",MATCH(J201,Base!$P$5:$P$2004,0))</f>
        <v/>
      </c>
    </row>
    <row r="202" customFormat="false" ht="15" hidden="false" customHeight="false" outlineLevel="0" collapsed="false">
      <c r="A202" s="67" t="str">
        <f aca="false">IF($K202="","",ROW()-5)</f>
        <v/>
      </c>
      <c r="B202" s="68" t="str">
        <f aca="false">IF($K202="","",INDEX(Base!$E$5:$E$2004,$K202))</f>
        <v/>
      </c>
      <c r="C202" s="69" t="str">
        <f aca="false">IF($K202="","",B202)</f>
        <v/>
      </c>
      <c r="D202" s="70" t="str">
        <f aca="false">IF($K202="","",INDEX(Base!$F$5:$F$2004,$K202))</f>
        <v/>
      </c>
      <c r="E202" s="70" t="str">
        <f aca="false">IF($K202="","",INDEX(Base!$G$5:$G$2004,$K202))</f>
        <v/>
      </c>
      <c r="F202" s="71" t="str">
        <f aca="false">IF($K202="","",INDEX(Base!$H$5:$H$2004,$K202))</f>
        <v/>
      </c>
      <c r="G202" s="71" t="str">
        <f aca="false">IF($K202="","",INDEX(Base!$I$5:$I$2004,$K202))</f>
        <v/>
      </c>
      <c r="H202" s="70" t="str">
        <f aca="false">IF($K202="","",INDEX(Base!$J$5:$J$2004,$K202))</f>
        <v/>
      </c>
      <c r="I202" s="71" t="str">
        <f aca="false">IF($K202="","",INDEX(Base!$L$5:$L$2004,$K202))</f>
        <v/>
      </c>
      <c r="J202" s="72" t="str">
        <f aca="false">IFERROR(SMALL(Base!$P$5:$P$2004,ROW()-5),"")</f>
        <v/>
      </c>
      <c r="K202" s="72" t="str">
        <f aca="false">IF(J202="","",MATCH(J202,Base!$P$5:$P$2004,0))</f>
        <v/>
      </c>
    </row>
    <row r="203" customFormat="false" ht="15" hidden="false" customHeight="false" outlineLevel="0" collapsed="false">
      <c r="A203" s="67" t="str">
        <f aca="false">IF($K203="","",ROW()-5)</f>
        <v/>
      </c>
      <c r="B203" s="68" t="str">
        <f aca="false">IF($K203="","",INDEX(Base!$E$5:$E$2004,$K203))</f>
        <v/>
      </c>
      <c r="C203" s="69" t="str">
        <f aca="false">IF($K203="","",B203)</f>
        <v/>
      </c>
      <c r="D203" s="70" t="str">
        <f aca="false">IF($K203="","",INDEX(Base!$F$5:$F$2004,$K203))</f>
        <v/>
      </c>
      <c r="E203" s="70" t="str">
        <f aca="false">IF($K203="","",INDEX(Base!$G$5:$G$2004,$K203))</f>
        <v/>
      </c>
      <c r="F203" s="71" t="str">
        <f aca="false">IF($K203="","",INDEX(Base!$H$5:$H$2004,$K203))</f>
        <v/>
      </c>
      <c r="G203" s="71" t="str">
        <f aca="false">IF($K203="","",INDEX(Base!$I$5:$I$2004,$K203))</f>
        <v/>
      </c>
      <c r="H203" s="70" t="str">
        <f aca="false">IF($K203="","",INDEX(Base!$J$5:$J$2004,$K203))</f>
        <v/>
      </c>
      <c r="I203" s="71" t="str">
        <f aca="false">IF($K203="","",INDEX(Base!$L$5:$L$2004,$K203))</f>
        <v/>
      </c>
      <c r="J203" s="72" t="str">
        <f aca="false">IFERROR(SMALL(Base!$P$5:$P$2004,ROW()-5),"")</f>
        <v/>
      </c>
      <c r="K203" s="72" t="str">
        <f aca="false">IF(J203="","",MATCH(J203,Base!$P$5:$P$2004,0))</f>
        <v/>
      </c>
    </row>
    <row r="204" customFormat="false" ht="15" hidden="false" customHeight="false" outlineLevel="0" collapsed="false">
      <c r="A204" s="67" t="str">
        <f aca="false">IF($K204="","",ROW()-5)</f>
        <v/>
      </c>
      <c r="B204" s="68" t="str">
        <f aca="false">IF($K204="","",INDEX(Base!$E$5:$E$2004,$K204))</f>
        <v/>
      </c>
      <c r="C204" s="69" t="str">
        <f aca="false">IF($K204="","",B204)</f>
        <v/>
      </c>
      <c r="D204" s="70" t="str">
        <f aca="false">IF($K204="","",INDEX(Base!$F$5:$F$2004,$K204))</f>
        <v/>
      </c>
      <c r="E204" s="70" t="str">
        <f aca="false">IF($K204="","",INDEX(Base!$G$5:$G$2004,$K204))</f>
        <v/>
      </c>
      <c r="F204" s="71" t="str">
        <f aca="false">IF($K204="","",INDEX(Base!$H$5:$H$2004,$K204))</f>
        <v/>
      </c>
      <c r="G204" s="71" t="str">
        <f aca="false">IF($K204="","",INDEX(Base!$I$5:$I$2004,$K204))</f>
        <v/>
      </c>
      <c r="H204" s="70" t="str">
        <f aca="false">IF($K204="","",INDEX(Base!$J$5:$J$2004,$K204))</f>
        <v/>
      </c>
      <c r="I204" s="71" t="str">
        <f aca="false">IF($K204="","",INDEX(Base!$L$5:$L$2004,$K204))</f>
        <v/>
      </c>
      <c r="J204" s="72" t="str">
        <f aca="false">IFERROR(SMALL(Base!$P$5:$P$2004,ROW()-5),"")</f>
        <v/>
      </c>
      <c r="K204" s="72" t="str">
        <f aca="false">IF(J204="","",MATCH(J204,Base!$P$5:$P$2004,0))</f>
        <v/>
      </c>
    </row>
    <row r="205" customFormat="false" ht="15" hidden="false" customHeight="false" outlineLevel="0" collapsed="false">
      <c r="A205" s="67" t="str">
        <f aca="false">IF($K205="","",ROW()-5)</f>
        <v/>
      </c>
      <c r="B205" s="68" t="str">
        <f aca="false">IF($K205="","",INDEX(Base!$E$5:$E$2004,$K205))</f>
        <v/>
      </c>
      <c r="C205" s="69" t="str">
        <f aca="false">IF($K205="","",B205)</f>
        <v/>
      </c>
      <c r="D205" s="70" t="str">
        <f aca="false">IF($K205="","",INDEX(Base!$F$5:$F$2004,$K205))</f>
        <v/>
      </c>
      <c r="E205" s="70" t="str">
        <f aca="false">IF($K205="","",INDEX(Base!$G$5:$G$2004,$K205))</f>
        <v/>
      </c>
      <c r="F205" s="71" t="str">
        <f aca="false">IF($K205="","",INDEX(Base!$H$5:$H$2004,$K205))</f>
        <v/>
      </c>
      <c r="G205" s="71" t="str">
        <f aca="false">IF($K205="","",INDEX(Base!$I$5:$I$2004,$K205))</f>
        <v/>
      </c>
      <c r="H205" s="70" t="str">
        <f aca="false">IF($K205="","",INDEX(Base!$J$5:$J$2004,$K205))</f>
        <v/>
      </c>
      <c r="I205" s="71" t="str">
        <f aca="false">IF($K205="","",INDEX(Base!$L$5:$L$2004,$K205))</f>
        <v/>
      </c>
      <c r="J205" s="72" t="str">
        <f aca="false">IFERROR(SMALL(Base!$P$5:$P$2004,ROW()-5),"")</f>
        <v/>
      </c>
      <c r="K205" s="72" t="str">
        <f aca="false">IF(J205="","",MATCH(J205,Base!$P$5:$P$2004,0))</f>
        <v/>
      </c>
    </row>
    <row r="206" customFormat="false" ht="15" hidden="false" customHeight="false" outlineLevel="0" collapsed="false">
      <c r="A206" s="67" t="str">
        <f aca="false">IF($K206="","",ROW()-5)</f>
        <v/>
      </c>
      <c r="B206" s="68" t="str">
        <f aca="false">IF($K206="","",INDEX(Base!$E$5:$E$2004,$K206))</f>
        <v/>
      </c>
      <c r="C206" s="69" t="str">
        <f aca="false">IF($K206="","",B206)</f>
        <v/>
      </c>
      <c r="D206" s="70" t="str">
        <f aca="false">IF($K206="","",INDEX(Base!$F$5:$F$2004,$K206))</f>
        <v/>
      </c>
      <c r="E206" s="70" t="str">
        <f aca="false">IF($K206="","",INDEX(Base!$G$5:$G$2004,$K206))</f>
        <v/>
      </c>
      <c r="F206" s="71" t="str">
        <f aca="false">IF($K206="","",INDEX(Base!$H$5:$H$2004,$K206))</f>
        <v/>
      </c>
      <c r="G206" s="71" t="str">
        <f aca="false">IF($K206="","",INDEX(Base!$I$5:$I$2004,$K206))</f>
        <v/>
      </c>
      <c r="H206" s="70" t="str">
        <f aca="false">IF($K206="","",INDEX(Base!$J$5:$J$2004,$K206))</f>
        <v/>
      </c>
      <c r="I206" s="71" t="str">
        <f aca="false">IF($K206="","",INDEX(Base!$L$5:$L$2004,$K206))</f>
        <v/>
      </c>
      <c r="J206" s="72" t="str">
        <f aca="false">IFERROR(SMALL(Base!$P$5:$P$2004,ROW()-5),"")</f>
        <v/>
      </c>
      <c r="K206" s="72" t="str">
        <f aca="false">IF(J206="","",MATCH(J206,Base!$P$5:$P$2004,0))</f>
        <v/>
      </c>
    </row>
    <row r="207" customFormat="false" ht="15" hidden="false" customHeight="false" outlineLevel="0" collapsed="false">
      <c r="A207" s="67" t="str">
        <f aca="false">IF($K207="","",ROW()-5)</f>
        <v/>
      </c>
      <c r="B207" s="68" t="str">
        <f aca="false">IF($K207="","",INDEX(Base!$E$5:$E$2004,$K207))</f>
        <v/>
      </c>
      <c r="C207" s="69" t="str">
        <f aca="false">IF($K207="","",B207)</f>
        <v/>
      </c>
      <c r="D207" s="70" t="str">
        <f aca="false">IF($K207="","",INDEX(Base!$F$5:$F$2004,$K207))</f>
        <v/>
      </c>
      <c r="E207" s="70" t="str">
        <f aca="false">IF($K207="","",INDEX(Base!$G$5:$G$2004,$K207))</f>
        <v/>
      </c>
      <c r="F207" s="71" t="str">
        <f aca="false">IF($K207="","",INDEX(Base!$H$5:$H$2004,$K207))</f>
        <v/>
      </c>
      <c r="G207" s="71" t="str">
        <f aca="false">IF($K207="","",INDEX(Base!$I$5:$I$2004,$K207))</f>
        <v/>
      </c>
      <c r="H207" s="70" t="str">
        <f aca="false">IF($K207="","",INDEX(Base!$J$5:$J$2004,$K207))</f>
        <v/>
      </c>
      <c r="I207" s="71" t="str">
        <f aca="false">IF($K207="","",INDEX(Base!$L$5:$L$2004,$K207))</f>
        <v/>
      </c>
      <c r="J207" s="72" t="str">
        <f aca="false">IFERROR(SMALL(Base!$P$5:$P$2004,ROW()-5),"")</f>
        <v/>
      </c>
      <c r="K207" s="72" t="str">
        <f aca="false">IF(J207="","",MATCH(J207,Base!$P$5:$P$2004,0))</f>
        <v/>
      </c>
    </row>
    <row r="208" customFormat="false" ht="15" hidden="false" customHeight="false" outlineLevel="0" collapsed="false">
      <c r="A208" s="67" t="str">
        <f aca="false">IF($K208="","",ROW()-5)</f>
        <v/>
      </c>
      <c r="B208" s="68" t="str">
        <f aca="false">IF($K208="","",INDEX(Base!$E$5:$E$2004,$K208))</f>
        <v/>
      </c>
      <c r="C208" s="69" t="str">
        <f aca="false">IF($K208="","",B208)</f>
        <v/>
      </c>
      <c r="D208" s="70" t="str">
        <f aca="false">IF($K208="","",INDEX(Base!$F$5:$F$2004,$K208))</f>
        <v/>
      </c>
      <c r="E208" s="70" t="str">
        <f aca="false">IF($K208="","",INDEX(Base!$G$5:$G$2004,$K208))</f>
        <v/>
      </c>
      <c r="F208" s="71" t="str">
        <f aca="false">IF($K208="","",INDEX(Base!$H$5:$H$2004,$K208))</f>
        <v/>
      </c>
      <c r="G208" s="71" t="str">
        <f aca="false">IF($K208="","",INDEX(Base!$I$5:$I$2004,$K208))</f>
        <v/>
      </c>
      <c r="H208" s="70" t="str">
        <f aca="false">IF($K208="","",INDEX(Base!$J$5:$J$2004,$K208))</f>
        <v/>
      </c>
      <c r="I208" s="71" t="str">
        <f aca="false">IF($K208="","",INDEX(Base!$L$5:$L$2004,$K208))</f>
        <v/>
      </c>
      <c r="J208" s="72" t="str">
        <f aca="false">IFERROR(SMALL(Base!$P$5:$P$2004,ROW()-5),"")</f>
        <v/>
      </c>
      <c r="K208" s="72" t="str">
        <f aca="false">IF(J208="","",MATCH(J208,Base!$P$5:$P$2004,0))</f>
        <v/>
      </c>
    </row>
    <row r="209" customFormat="false" ht="15" hidden="false" customHeight="false" outlineLevel="0" collapsed="false">
      <c r="A209" s="67" t="str">
        <f aca="false">IF($K209="","",ROW()-5)</f>
        <v/>
      </c>
      <c r="B209" s="68" t="str">
        <f aca="false">IF($K209="","",INDEX(Base!$E$5:$E$2004,$K209))</f>
        <v/>
      </c>
      <c r="C209" s="69" t="str">
        <f aca="false">IF($K209="","",B209)</f>
        <v/>
      </c>
      <c r="D209" s="70" t="str">
        <f aca="false">IF($K209="","",INDEX(Base!$F$5:$F$2004,$K209))</f>
        <v/>
      </c>
      <c r="E209" s="70" t="str">
        <f aca="false">IF($K209="","",INDEX(Base!$G$5:$G$2004,$K209))</f>
        <v/>
      </c>
      <c r="F209" s="71" t="str">
        <f aca="false">IF($K209="","",INDEX(Base!$H$5:$H$2004,$K209))</f>
        <v/>
      </c>
      <c r="G209" s="71" t="str">
        <f aca="false">IF($K209="","",INDEX(Base!$I$5:$I$2004,$K209))</f>
        <v/>
      </c>
      <c r="H209" s="70" t="str">
        <f aca="false">IF($K209="","",INDEX(Base!$J$5:$J$2004,$K209))</f>
        <v/>
      </c>
      <c r="I209" s="71" t="str">
        <f aca="false">IF($K209="","",INDEX(Base!$L$5:$L$2004,$K209))</f>
        <v/>
      </c>
      <c r="J209" s="72" t="str">
        <f aca="false">IFERROR(SMALL(Base!$P$5:$P$2004,ROW()-5),"")</f>
        <v/>
      </c>
      <c r="K209" s="72" t="str">
        <f aca="false">IF(J209="","",MATCH(J209,Base!$P$5:$P$2004,0))</f>
        <v/>
      </c>
    </row>
    <row r="210" customFormat="false" ht="15" hidden="false" customHeight="false" outlineLevel="0" collapsed="false">
      <c r="A210" s="67" t="str">
        <f aca="false">IF($K210="","",ROW()-5)</f>
        <v/>
      </c>
      <c r="B210" s="68" t="str">
        <f aca="false">IF($K210="","",INDEX(Base!$E$5:$E$2004,$K210))</f>
        <v/>
      </c>
      <c r="C210" s="69" t="str">
        <f aca="false">IF($K210="","",B210)</f>
        <v/>
      </c>
      <c r="D210" s="70" t="str">
        <f aca="false">IF($K210="","",INDEX(Base!$F$5:$F$2004,$K210))</f>
        <v/>
      </c>
      <c r="E210" s="70" t="str">
        <f aca="false">IF($K210="","",INDEX(Base!$G$5:$G$2004,$K210))</f>
        <v/>
      </c>
      <c r="F210" s="71" t="str">
        <f aca="false">IF($K210="","",INDEX(Base!$H$5:$H$2004,$K210))</f>
        <v/>
      </c>
      <c r="G210" s="71" t="str">
        <f aca="false">IF($K210="","",INDEX(Base!$I$5:$I$2004,$K210))</f>
        <v/>
      </c>
      <c r="H210" s="70" t="str">
        <f aca="false">IF($K210="","",INDEX(Base!$J$5:$J$2004,$K210))</f>
        <v/>
      </c>
      <c r="I210" s="71" t="str">
        <f aca="false">IF($K210="","",INDEX(Base!$L$5:$L$2004,$K210))</f>
        <v/>
      </c>
      <c r="J210" s="72" t="str">
        <f aca="false">IFERROR(SMALL(Base!$P$5:$P$2004,ROW()-5),"")</f>
        <v/>
      </c>
      <c r="K210" s="72" t="str">
        <f aca="false">IF(J210="","",MATCH(J210,Base!$P$5:$P$2004,0))</f>
        <v/>
      </c>
    </row>
    <row r="211" customFormat="false" ht="15" hidden="false" customHeight="false" outlineLevel="0" collapsed="false">
      <c r="A211" s="67" t="str">
        <f aca="false">IF($K211="","",ROW()-5)</f>
        <v/>
      </c>
      <c r="B211" s="68" t="str">
        <f aca="false">IF($K211="","",INDEX(Base!$E$5:$E$2004,$K211))</f>
        <v/>
      </c>
      <c r="C211" s="69" t="str">
        <f aca="false">IF($K211="","",B211)</f>
        <v/>
      </c>
      <c r="D211" s="70" t="str">
        <f aca="false">IF($K211="","",INDEX(Base!$F$5:$F$2004,$K211))</f>
        <v/>
      </c>
      <c r="E211" s="70" t="str">
        <f aca="false">IF($K211="","",INDEX(Base!$G$5:$G$2004,$K211))</f>
        <v/>
      </c>
      <c r="F211" s="71" t="str">
        <f aca="false">IF($K211="","",INDEX(Base!$H$5:$H$2004,$K211))</f>
        <v/>
      </c>
      <c r="G211" s="71" t="str">
        <f aca="false">IF($K211="","",INDEX(Base!$I$5:$I$2004,$K211))</f>
        <v/>
      </c>
      <c r="H211" s="70" t="str">
        <f aca="false">IF($K211="","",INDEX(Base!$J$5:$J$2004,$K211))</f>
        <v/>
      </c>
      <c r="I211" s="71" t="str">
        <f aca="false">IF($K211="","",INDEX(Base!$L$5:$L$2004,$K211))</f>
        <v/>
      </c>
      <c r="J211" s="72" t="str">
        <f aca="false">IFERROR(SMALL(Base!$P$5:$P$2004,ROW()-5),"")</f>
        <v/>
      </c>
      <c r="K211" s="72" t="str">
        <f aca="false">IF(J211="","",MATCH(J211,Base!$P$5:$P$2004,0))</f>
        <v/>
      </c>
    </row>
    <row r="212" customFormat="false" ht="15" hidden="false" customHeight="false" outlineLevel="0" collapsed="false">
      <c r="A212" s="67" t="str">
        <f aca="false">IF($K212="","",ROW()-5)</f>
        <v/>
      </c>
      <c r="B212" s="68" t="str">
        <f aca="false">IF($K212="","",INDEX(Base!$E$5:$E$2004,$K212))</f>
        <v/>
      </c>
      <c r="C212" s="69" t="str">
        <f aca="false">IF($K212="","",B212)</f>
        <v/>
      </c>
      <c r="D212" s="70" t="str">
        <f aca="false">IF($K212="","",INDEX(Base!$F$5:$F$2004,$K212))</f>
        <v/>
      </c>
      <c r="E212" s="70" t="str">
        <f aca="false">IF($K212="","",INDEX(Base!$G$5:$G$2004,$K212))</f>
        <v/>
      </c>
      <c r="F212" s="71" t="str">
        <f aca="false">IF($K212="","",INDEX(Base!$H$5:$H$2004,$K212))</f>
        <v/>
      </c>
      <c r="G212" s="71" t="str">
        <f aca="false">IF($K212="","",INDEX(Base!$I$5:$I$2004,$K212))</f>
        <v/>
      </c>
      <c r="H212" s="70" t="str">
        <f aca="false">IF($K212="","",INDEX(Base!$J$5:$J$2004,$K212))</f>
        <v/>
      </c>
      <c r="I212" s="71" t="str">
        <f aca="false">IF($K212="","",INDEX(Base!$L$5:$L$2004,$K212))</f>
        <v/>
      </c>
      <c r="J212" s="72" t="str">
        <f aca="false">IFERROR(SMALL(Base!$P$5:$P$2004,ROW()-5),"")</f>
        <v/>
      </c>
      <c r="K212" s="72" t="str">
        <f aca="false">IF(J212="","",MATCH(J212,Base!$P$5:$P$2004,0))</f>
        <v/>
      </c>
    </row>
    <row r="213" customFormat="false" ht="15" hidden="false" customHeight="false" outlineLevel="0" collapsed="false">
      <c r="A213" s="67" t="str">
        <f aca="false">IF($K213="","",ROW()-5)</f>
        <v/>
      </c>
      <c r="B213" s="68" t="str">
        <f aca="false">IF($K213="","",INDEX(Base!$E$5:$E$2004,$K213))</f>
        <v/>
      </c>
      <c r="C213" s="69" t="str">
        <f aca="false">IF($K213="","",B213)</f>
        <v/>
      </c>
      <c r="D213" s="70" t="str">
        <f aca="false">IF($K213="","",INDEX(Base!$F$5:$F$2004,$K213))</f>
        <v/>
      </c>
      <c r="E213" s="70" t="str">
        <f aca="false">IF($K213="","",INDEX(Base!$G$5:$G$2004,$K213))</f>
        <v/>
      </c>
      <c r="F213" s="71" t="str">
        <f aca="false">IF($K213="","",INDEX(Base!$H$5:$H$2004,$K213))</f>
        <v/>
      </c>
      <c r="G213" s="71" t="str">
        <f aca="false">IF($K213="","",INDEX(Base!$I$5:$I$2004,$K213))</f>
        <v/>
      </c>
      <c r="H213" s="70" t="str">
        <f aca="false">IF($K213="","",INDEX(Base!$J$5:$J$2004,$K213))</f>
        <v/>
      </c>
      <c r="I213" s="71" t="str">
        <f aca="false">IF($K213="","",INDEX(Base!$L$5:$L$2004,$K213))</f>
        <v/>
      </c>
      <c r="J213" s="72" t="str">
        <f aca="false">IFERROR(SMALL(Base!$P$5:$P$2004,ROW()-5),"")</f>
        <v/>
      </c>
      <c r="K213" s="72" t="str">
        <f aca="false">IF(J213="","",MATCH(J213,Base!$P$5:$P$2004,0))</f>
        <v/>
      </c>
    </row>
    <row r="214" customFormat="false" ht="15" hidden="false" customHeight="false" outlineLevel="0" collapsed="false">
      <c r="A214" s="67" t="str">
        <f aca="false">IF($K214="","",ROW()-5)</f>
        <v/>
      </c>
      <c r="B214" s="68" t="str">
        <f aca="false">IF($K214="","",INDEX(Base!$E$5:$E$2004,$K214))</f>
        <v/>
      </c>
      <c r="C214" s="69" t="str">
        <f aca="false">IF($K214="","",B214)</f>
        <v/>
      </c>
      <c r="D214" s="70" t="str">
        <f aca="false">IF($K214="","",INDEX(Base!$F$5:$F$2004,$K214))</f>
        <v/>
      </c>
      <c r="E214" s="70" t="str">
        <f aca="false">IF($K214="","",INDEX(Base!$G$5:$G$2004,$K214))</f>
        <v/>
      </c>
      <c r="F214" s="71" t="str">
        <f aca="false">IF($K214="","",INDEX(Base!$H$5:$H$2004,$K214))</f>
        <v/>
      </c>
      <c r="G214" s="71" t="str">
        <f aca="false">IF($K214="","",INDEX(Base!$I$5:$I$2004,$K214))</f>
        <v/>
      </c>
      <c r="H214" s="70" t="str">
        <f aca="false">IF($K214="","",INDEX(Base!$J$5:$J$2004,$K214))</f>
        <v/>
      </c>
      <c r="I214" s="71" t="str">
        <f aca="false">IF($K214="","",INDEX(Base!$L$5:$L$2004,$K214))</f>
        <v/>
      </c>
      <c r="J214" s="72" t="str">
        <f aca="false">IFERROR(SMALL(Base!$P$5:$P$2004,ROW()-5),"")</f>
        <v/>
      </c>
      <c r="K214" s="72" t="str">
        <f aca="false">IF(J214="","",MATCH(J214,Base!$P$5:$P$2004,0))</f>
        <v/>
      </c>
    </row>
    <row r="215" customFormat="false" ht="15" hidden="false" customHeight="false" outlineLevel="0" collapsed="false">
      <c r="A215" s="67" t="str">
        <f aca="false">IF($K215="","",ROW()-5)</f>
        <v/>
      </c>
      <c r="B215" s="68" t="str">
        <f aca="false">IF($K215="","",INDEX(Base!$E$5:$E$2004,$K215))</f>
        <v/>
      </c>
      <c r="C215" s="69" t="str">
        <f aca="false">IF($K215="","",B215)</f>
        <v/>
      </c>
      <c r="D215" s="70" t="str">
        <f aca="false">IF($K215="","",INDEX(Base!$F$5:$F$2004,$K215))</f>
        <v/>
      </c>
      <c r="E215" s="70" t="str">
        <f aca="false">IF($K215="","",INDEX(Base!$G$5:$G$2004,$K215))</f>
        <v/>
      </c>
      <c r="F215" s="71" t="str">
        <f aca="false">IF($K215="","",INDEX(Base!$H$5:$H$2004,$K215))</f>
        <v/>
      </c>
      <c r="G215" s="71" t="str">
        <f aca="false">IF($K215="","",INDEX(Base!$I$5:$I$2004,$K215))</f>
        <v/>
      </c>
      <c r="H215" s="70" t="str">
        <f aca="false">IF($K215="","",INDEX(Base!$J$5:$J$2004,$K215))</f>
        <v/>
      </c>
      <c r="I215" s="71" t="str">
        <f aca="false">IF($K215="","",INDEX(Base!$L$5:$L$2004,$K215))</f>
        <v/>
      </c>
      <c r="J215" s="72" t="str">
        <f aca="false">IFERROR(SMALL(Base!$P$5:$P$2004,ROW()-5),"")</f>
        <v/>
      </c>
      <c r="K215" s="72" t="str">
        <f aca="false">IF(J215="","",MATCH(J215,Base!$P$5:$P$2004,0))</f>
        <v/>
      </c>
    </row>
    <row r="216" customFormat="false" ht="15" hidden="false" customHeight="false" outlineLevel="0" collapsed="false">
      <c r="A216" s="67" t="str">
        <f aca="false">IF($K216="","",ROW()-5)</f>
        <v/>
      </c>
      <c r="B216" s="68" t="str">
        <f aca="false">IF($K216="","",INDEX(Base!$E$5:$E$2004,$K216))</f>
        <v/>
      </c>
      <c r="C216" s="69" t="str">
        <f aca="false">IF($K216="","",B216)</f>
        <v/>
      </c>
      <c r="D216" s="70" t="str">
        <f aca="false">IF($K216="","",INDEX(Base!$F$5:$F$2004,$K216))</f>
        <v/>
      </c>
      <c r="E216" s="70" t="str">
        <f aca="false">IF($K216="","",INDEX(Base!$G$5:$G$2004,$K216))</f>
        <v/>
      </c>
      <c r="F216" s="71" t="str">
        <f aca="false">IF($K216="","",INDEX(Base!$H$5:$H$2004,$K216))</f>
        <v/>
      </c>
      <c r="G216" s="71" t="str">
        <f aca="false">IF($K216="","",INDEX(Base!$I$5:$I$2004,$K216))</f>
        <v/>
      </c>
      <c r="H216" s="70" t="str">
        <f aca="false">IF($K216="","",INDEX(Base!$J$5:$J$2004,$K216))</f>
        <v/>
      </c>
      <c r="I216" s="71" t="str">
        <f aca="false">IF($K216="","",INDEX(Base!$L$5:$L$2004,$K216))</f>
        <v/>
      </c>
      <c r="J216" s="72" t="str">
        <f aca="false">IFERROR(SMALL(Base!$P$5:$P$2004,ROW()-5),"")</f>
        <v/>
      </c>
      <c r="K216" s="72" t="str">
        <f aca="false">IF(J216="","",MATCH(J216,Base!$P$5:$P$2004,0))</f>
        <v/>
      </c>
    </row>
    <row r="217" customFormat="false" ht="15" hidden="false" customHeight="false" outlineLevel="0" collapsed="false">
      <c r="A217" s="67" t="str">
        <f aca="false">IF($K217="","",ROW()-5)</f>
        <v/>
      </c>
      <c r="B217" s="68" t="str">
        <f aca="false">IF($K217="","",INDEX(Base!$E$5:$E$2004,$K217))</f>
        <v/>
      </c>
      <c r="C217" s="69" t="str">
        <f aca="false">IF($K217="","",B217)</f>
        <v/>
      </c>
      <c r="D217" s="70" t="str">
        <f aca="false">IF($K217="","",INDEX(Base!$F$5:$F$2004,$K217))</f>
        <v/>
      </c>
      <c r="E217" s="70" t="str">
        <f aca="false">IF($K217="","",INDEX(Base!$G$5:$G$2004,$K217))</f>
        <v/>
      </c>
      <c r="F217" s="71" t="str">
        <f aca="false">IF($K217="","",INDEX(Base!$H$5:$H$2004,$K217))</f>
        <v/>
      </c>
      <c r="G217" s="71" t="str">
        <f aca="false">IF($K217="","",INDEX(Base!$I$5:$I$2004,$K217))</f>
        <v/>
      </c>
      <c r="H217" s="70" t="str">
        <f aca="false">IF($K217="","",INDEX(Base!$J$5:$J$2004,$K217))</f>
        <v/>
      </c>
      <c r="I217" s="71" t="str">
        <f aca="false">IF($K217="","",INDEX(Base!$L$5:$L$2004,$K217))</f>
        <v/>
      </c>
      <c r="J217" s="72" t="str">
        <f aca="false">IFERROR(SMALL(Base!$P$5:$P$2004,ROW()-5),"")</f>
        <v/>
      </c>
      <c r="K217" s="72" t="str">
        <f aca="false">IF(J217="","",MATCH(J217,Base!$P$5:$P$2004,0))</f>
        <v/>
      </c>
    </row>
    <row r="218" customFormat="false" ht="15" hidden="false" customHeight="false" outlineLevel="0" collapsed="false">
      <c r="A218" s="67" t="str">
        <f aca="false">IF($K218="","",ROW()-5)</f>
        <v/>
      </c>
      <c r="B218" s="68" t="str">
        <f aca="false">IF($K218="","",INDEX(Base!$E$5:$E$2004,$K218))</f>
        <v/>
      </c>
      <c r="C218" s="69" t="str">
        <f aca="false">IF($K218="","",B218)</f>
        <v/>
      </c>
      <c r="D218" s="70" t="str">
        <f aca="false">IF($K218="","",INDEX(Base!$F$5:$F$2004,$K218))</f>
        <v/>
      </c>
      <c r="E218" s="70" t="str">
        <f aca="false">IF($K218="","",INDEX(Base!$G$5:$G$2004,$K218))</f>
        <v/>
      </c>
      <c r="F218" s="71" t="str">
        <f aca="false">IF($K218="","",INDEX(Base!$H$5:$H$2004,$K218))</f>
        <v/>
      </c>
      <c r="G218" s="71" t="str">
        <f aca="false">IF($K218="","",INDEX(Base!$I$5:$I$2004,$K218))</f>
        <v/>
      </c>
      <c r="H218" s="70" t="str">
        <f aca="false">IF($K218="","",INDEX(Base!$J$5:$J$2004,$K218))</f>
        <v/>
      </c>
      <c r="I218" s="71" t="str">
        <f aca="false">IF($K218="","",INDEX(Base!$L$5:$L$2004,$K218))</f>
        <v/>
      </c>
      <c r="J218" s="72" t="str">
        <f aca="false">IFERROR(SMALL(Base!$P$5:$P$2004,ROW()-5),"")</f>
        <v/>
      </c>
      <c r="K218" s="72" t="str">
        <f aca="false">IF(J218="","",MATCH(J218,Base!$P$5:$P$2004,0))</f>
        <v/>
      </c>
    </row>
    <row r="219" customFormat="false" ht="15" hidden="false" customHeight="false" outlineLevel="0" collapsed="false">
      <c r="A219" s="67" t="str">
        <f aca="false">IF($K219="","",ROW()-5)</f>
        <v/>
      </c>
      <c r="B219" s="68" t="str">
        <f aca="false">IF($K219="","",INDEX(Base!$E$5:$E$2004,$K219))</f>
        <v/>
      </c>
      <c r="C219" s="69" t="str">
        <f aca="false">IF($K219="","",B219)</f>
        <v/>
      </c>
      <c r="D219" s="70" t="str">
        <f aca="false">IF($K219="","",INDEX(Base!$F$5:$F$2004,$K219))</f>
        <v/>
      </c>
      <c r="E219" s="70" t="str">
        <f aca="false">IF($K219="","",INDEX(Base!$G$5:$G$2004,$K219))</f>
        <v/>
      </c>
      <c r="F219" s="71" t="str">
        <f aca="false">IF($K219="","",INDEX(Base!$H$5:$H$2004,$K219))</f>
        <v/>
      </c>
      <c r="G219" s="71" t="str">
        <f aca="false">IF($K219="","",INDEX(Base!$I$5:$I$2004,$K219))</f>
        <v/>
      </c>
      <c r="H219" s="70" t="str">
        <f aca="false">IF($K219="","",INDEX(Base!$J$5:$J$2004,$K219))</f>
        <v/>
      </c>
      <c r="I219" s="71" t="str">
        <f aca="false">IF($K219="","",INDEX(Base!$L$5:$L$2004,$K219))</f>
        <v/>
      </c>
      <c r="J219" s="72" t="str">
        <f aca="false">IFERROR(SMALL(Base!$P$5:$P$2004,ROW()-5),"")</f>
        <v/>
      </c>
      <c r="K219" s="72" t="str">
        <f aca="false">IF(J219="","",MATCH(J219,Base!$P$5:$P$2004,0))</f>
        <v/>
      </c>
    </row>
    <row r="220" customFormat="false" ht="15" hidden="false" customHeight="false" outlineLevel="0" collapsed="false">
      <c r="A220" s="67" t="str">
        <f aca="false">IF($K220="","",ROW()-5)</f>
        <v/>
      </c>
      <c r="B220" s="68" t="str">
        <f aca="false">IF($K220="","",INDEX(Base!$E$5:$E$2004,$K220))</f>
        <v/>
      </c>
      <c r="C220" s="69" t="str">
        <f aca="false">IF($K220="","",B220)</f>
        <v/>
      </c>
      <c r="D220" s="70" t="str">
        <f aca="false">IF($K220="","",INDEX(Base!$F$5:$F$2004,$K220))</f>
        <v/>
      </c>
      <c r="E220" s="70" t="str">
        <f aca="false">IF($K220="","",INDEX(Base!$G$5:$G$2004,$K220))</f>
        <v/>
      </c>
      <c r="F220" s="71" t="str">
        <f aca="false">IF($K220="","",INDEX(Base!$H$5:$H$2004,$K220))</f>
        <v/>
      </c>
      <c r="G220" s="71" t="str">
        <f aca="false">IF($K220="","",INDEX(Base!$I$5:$I$2004,$K220))</f>
        <v/>
      </c>
      <c r="H220" s="70" t="str">
        <f aca="false">IF($K220="","",INDEX(Base!$J$5:$J$2004,$K220))</f>
        <v/>
      </c>
      <c r="I220" s="71" t="str">
        <f aca="false">IF($K220="","",INDEX(Base!$L$5:$L$2004,$K220))</f>
        <v/>
      </c>
      <c r="J220" s="72" t="str">
        <f aca="false">IFERROR(SMALL(Base!$P$5:$P$2004,ROW()-5),"")</f>
        <v/>
      </c>
      <c r="K220" s="72" t="str">
        <f aca="false">IF(J220="","",MATCH(J220,Base!$P$5:$P$2004,0))</f>
        <v/>
      </c>
    </row>
    <row r="221" customFormat="false" ht="15" hidden="false" customHeight="false" outlineLevel="0" collapsed="false">
      <c r="A221" s="67" t="str">
        <f aca="false">IF($K221="","",ROW()-5)</f>
        <v/>
      </c>
      <c r="B221" s="68" t="str">
        <f aca="false">IF($K221="","",INDEX(Base!$E$5:$E$2004,$K221))</f>
        <v/>
      </c>
      <c r="C221" s="69" t="str">
        <f aca="false">IF($K221="","",B221)</f>
        <v/>
      </c>
      <c r="D221" s="70" t="str">
        <f aca="false">IF($K221="","",INDEX(Base!$F$5:$F$2004,$K221))</f>
        <v/>
      </c>
      <c r="E221" s="70" t="str">
        <f aca="false">IF($K221="","",INDEX(Base!$G$5:$G$2004,$K221))</f>
        <v/>
      </c>
      <c r="F221" s="71" t="str">
        <f aca="false">IF($K221="","",INDEX(Base!$H$5:$H$2004,$K221))</f>
        <v/>
      </c>
      <c r="G221" s="71" t="str">
        <f aca="false">IF($K221="","",INDEX(Base!$I$5:$I$2004,$K221))</f>
        <v/>
      </c>
      <c r="H221" s="70" t="str">
        <f aca="false">IF($K221="","",INDEX(Base!$J$5:$J$2004,$K221))</f>
        <v/>
      </c>
      <c r="I221" s="71" t="str">
        <f aca="false">IF($K221="","",INDEX(Base!$L$5:$L$2004,$K221))</f>
        <v/>
      </c>
      <c r="J221" s="72" t="str">
        <f aca="false">IFERROR(SMALL(Base!$P$5:$P$2004,ROW()-5),"")</f>
        <v/>
      </c>
      <c r="K221" s="72" t="str">
        <f aca="false">IF(J221="","",MATCH(J221,Base!$P$5:$P$2004,0))</f>
        <v/>
      </c>
    </row>
    <row r="222" customFormat="false" ht="15" hidden="false" customHeight="false" outlineLevel="0" collapsed="false">
      <c r="A222" s="67" t="str">
        <f aca="false">IF($K222="","",ROW()-5)</f>
        <v/>
      </c>
      <c r="B222" s="68" t="str">
        <f aca="false">IF($K222="","",INDEX(Base!$E$5:$E$2004,$K222))</f>
        <v/>
      </c>
      <c r="C222" s="69" t="str">
        <f aca="false">IF($K222="","",B222)</f>
        <v/>
      </c>
      <c r="D222" s="70" t="str">
        <f aca="false">IF($K222="","",INDEX(Base!$F$5:$F$2004,$K222))</f>
        <v/>
      </c>
      <c r="E222" s="70" t="str">
        <f aca="false">IF($K222="","",INDEX(Base!$G$5:$G$2004,$K222))</f>
        <v/>
      </c>
      <c r="F222" s="71" t="str">
        <f aca="false">IF($K222="","",INDEX(Base!$H$5:$H$2004,$K222))</f>
        <v/>
      </c>
      <c r="G222" s="71" t="str">
        <f aca="false">IF($K222="","",INDEX(Base!$I$5:$I$2004,$K222))</f>
        <v/>
      </c>
      <c r="H222" s="70" t="str">
        <f aca="false">IF($K222="","",INDEX(Base!$J$5:$J$2004,$K222))</f>
        <v/>
      </c>
      <c r="I222" s="71" t="str">
        <f aca="false">IF($K222="","",INDEX(Base!$L$5:$L$2004,$K222))</f>
        <v/>
      </c>
      <c r="J222" s="72" t="str">
        <f aca="false">IFERROR(SMALL(Base!$P$5:$P$2004,ROW()-5),"")</f>
        <v/>
      </c>
      <c r="K222" s="72" t="str">
        <f aca="false">IF(J222="","",MATCH(J222,Base!$P$5:$P$2004,0))</f>
        <v/>
      </c>
    </row>
    <row r="223" customFormat="false" ht="15" hidden="false" customHeight="false" outlineLevel="0" collapsed="false">
      <c r="A223" s="67" t="str">
        <f aca="false">IF($K223="","",ROW()-5)</f>
        <v/>
      </c>
      <c r="B223" s="68" t="str">
        <f aca="false">IF($K223="","",INDEX(Base!$E$5:$E$2004,$K223))</f>
        <v/>
      </c>
      <c r="C223" s="69" t="str">
        <f aca="false">IF($K223="","",B223)</f>
        <v/>
      </c>
      <c r="D223" s="70" t="str">
        <f aca="false">IF($K223="","",INDEX(Base!$F$5:$F$2004,$K223))</f>
        <v/>
      </c>
      <c r="E223" s="70" t="str">
        <f aca="false">IF($K223="","",INDEX(Base!$G$5:$G$2004,$K223))</f>
        <v/>
      </c>
      <c r="F223" s="71" t="str">
        <f aca="false">IF($K223="","",INDEX(Base!$H$5:$H$2004,$K223))</f>
        <v/>
      </c>
      <c r="G223" s="71" t="str">
        <f aca="false">IF($K223="","",INDEX(Base!$I$5:$I$2004,$K223))</f>
        <v/>
      </c>
      <c r="H223" s="70" t="str">
        <f aca="false">IF($K223="","",INDEX(Base!$J$5:$J$2004,$K223))</f>
        <v/>
      </c>
      <c r="I223" s="71" t="str">
        <f aca="false">IF($K223="","",INDEX(Base!$L$5:$L$2004,$K223))</f>
        <v/>
      </c>
      <c r="J223" s="72" t="str">
        <f aca="false">IFERROR(SMALL(Base!$P$5:$P$2004,ROW()-5),"")</f>
        <v/>
      </c>
      <c r="K223" s="72" t="str">
        <f aca="false">IF(J223="","",MATCH(J223,Base!$P$5:$P$2004,0))</f>
        <v/>
      </c>
    </row>
    <row r="224" customFormat="false" ht="15" hidden="false" customHeight="false" outlineLevel="0" collapsed="false">
      <c r="A224" s="67" t="str">
        <f aca="false">IF($K224="","",ROW()-5)</f>
        <v/>
      </c>
      <c r="B224" s="68" t="str">
        <f aca="false">IF($K224="","",INDEX(Base!$E$5:$E$2004,$K224))</f>
        <v/>
      </c>
      <c r="C224" s="69" t="str">
        <f aca="false">IF($K224="","",B224)</f>
        <v/>
      </c>
      <c r="D224" s="70" t="str">
        <f aca="false">IF($K224="","",INDEX(Base!$F$5:$F$2004,$K224))</f>
        <v/>
      </c>
      <c r="E224" s="70" t="str">
        <f aca="false">IF($K224="","",INDEX(Base!$G$5:$G$2004,$K224))</f>
        <v/>
      </c>
      <c r="F224" s="71" t="str">
        <f aca="false">IF($K224="","",INDEX(Base!$H$5:$H$2004,$K224))</f>
        <v/>
      </c>
      <c r="G224" s="71" t="str">
        <f aca="false">IF($K224="","",INDEX(Base!$I$5:$I$2004,$K224))</f>
        <v/>
      </c>
      <c r="H224" s="70" t="str">
        <f aca="false">IF($K224="","",INDEX(Base!$J$5:$J$2004,$K224))</f>
        <v/>
      </c>
      <c r="I224" s="71" t="str">
        <f aca="false">IF($K224="","",INDEX(Base!$L$5:$L$2004,$K224))</f>
        <v/>
      </c>
      <c r="J224" s="72" t="str">
        <f aca="false">IFERROR(SMALL(Base!$P$5:$P$2004,ROW()-5),"")</f>
        <v/>
      </c>
      <c r="K224" s="72" t="str">
        <f aca="false">IF(J224="","",MATCH(J224,Base!$P$5:$P$2004,0))</f>
        <v/>
      </c>
    </row>
    <row r="225" customFormat="false" ht="15" hidden="false" customHeight="false" outlineLevel="0" collapsed="false">
      <c r="A225" s="67" t="str">
        <f aca="false">IF($K225="","",ROW()-5)</f>
        <v/>
      </c>
      <c r="B225" s="68" t="str">
        <f aca="false">IF($K225="","",INDEX(Base!$E$5:$E$2004,$K225))</f>
        <v/>
      </c>
      <c r="C225" s="69" t="str">
        <f aca="false">IF($K225="","",B225)</f>
        <v/>
      </c>
      <c r="D225" s="70" t="str">
        <f aca="false">IF($K225="","",INDEX(Base!$F$5:$F$2004,$K225))</f>
        <v/>
      </c>
      <c r="E225" s="70" t="str">
        <f aca="false">IF($K225="","",INDEX(Base!$G$5:$G$2004,$K225))</f>
        <v/>
      </c>
      <c r="F225" s="71" t="str">
        <f aca="false">IF($K225="","",INDEX(Base!$H$5:$H$2004,$K225))</f>
        <v/>
      </c>
      <c r="G225" s="71" t="str">
        <f aca="false">IF($K225="","",INDEX(Base!$I$5:$I$2004,$K225))</f>
        <v/>
      </c>
      <c r="H225" s="70" t="str">
        <f aca="false">IF($K225="","",INDEX(Base!$J$5:$J$2004,$K225))</f>
        <v/>
      </c>
      <c r="I225" s="71" t="str">
        <f aca="false">IF($K225="","",INDEX(Base!$L$5:$L$2004,$K225))</f>
        <v/>
      </c>
      <c r="J225" s="72" t="str">
        <f aca="false">IFERROR(SMALL(Base!$P$5:$P$2004,ROW()-5),"")</f>
        <v/>
      </c>
      <c r="K225" s="72" t="str">
        <f aca="false">IF(J225="","",MATCH(J225,Base!$P$5:$P$2004,0))</f>
        <v/>
      </c>
    </row>
    <row r="226" customFormat="false" ht="15" hidden="false" customHeight="false" outlineLevel="0" collapsed="false">
      <c r="A226" s="67" t="str">
        <f aca="false">IF($K226="","",ROW()-5)</f>
        <v/>
      </c>
      <c r="B226" s="68" t="str">
        <f aca="false">IF($K226="","",INDEX(Base!$E$5:$E$2004,$K226))</f>
        <v/>
      </c>
      <c r="C226" s="69" t="str">
        <f aca="false">IF($K226="","",B226)</f>
        <v/>
      </c>
      <c r="D226" s="70" t="str">
        <f aca="false">IF($K226="","",INDEX(Base!$F$5:$F$2004,$K226))</f>
        <v/>
      </c>
      <c r="E226" s="70" t="str">
        <f aca="false">IF($K226="","",INDEX(Base!$G$5:$G$2004,$K226))</f>
        <v/>
      </c>
      <c r="F226" s="71" t="str">
        <f aca="false">IF($K226="","",INDEX(Base!$H$5:$H$2004,$K226))</f>
        <v/>
      </c>
      <c r="G226" s="71" t="str">
        <f aca="false">IF($K226="","",INDEX(Base!$I$5:$I$2004,$K226))</f>
        <v/>
      </c>
      <c r="H226" s="70" t="str">
        <f aca="false">IF($K226="","",INDEX(Base!$J$5:$J$2004,$K226))</f>
        <v/>
      </c>
      <c r="I226" s="71" t="str">
        <f aca="false">IF($K226="","",INDEX(Base!$L$5:$L$2004,$K226))</f>
        <v/>
      </c>
      <c r="J226" s="72" t="str">
        <f aca="false">IFERROR(SMALL(Base!$P$5:$P$2004,ROW()-5),"")</f>
        <v/>
      </c>
      <c r="K226" s="72" t="str">
        <f aca="false">IF(J226="","",MATCH(J226,Base!$P$5:$P$2004,0))</f>
        <v/>
      </c>
    </row>
    <row r="227" customFormat="false" ht="15" hidden="false" customHeight="false" outlineLevel="0" collapsed="false">
      <c r="A227" s="67" t="str">
        <f aca="false">IF($K227="","",ROW()-5)</f>
        <v/>
      </c>
      <c r="B227" s="68" t="str">
        <f aca="false">IF($K227="","",INDEX(Base!$E$5:$E$2004,$K227))</f>
        <v/>
      </c>
      <c r="C227" s="69" t="str">
        <f aca="false">IF($K227="","",B227)</f>
        <v/>
      </c>
      <c r="D227" s="70" t="str">
        <f aca="false">IF($K227="","",INDEX(Base!$F$5:$F$2004,$K227))</f>
        <v/>
      </c>
      <c r="E227" s="70" t="str">
        <f aca="false">IF($K227="","",INDEX(Base!$G$5:$G$2004,$K227))</f>
        <v/>
      </c>
      <c r="F227" s="71" t="str">
        <f aca="false">IF($K227="","",INDEX(Base!$H$5:$H$2004,$K227))</f>
        <v/>
      </c>
      <c r="G227" s="71" t="str">
        <f aca="false">IF($K227="","",INDEX(Base!$I$5:$I$2004,$K227))</f>
        <v/>
      </c>
      <c r="H227" s="70" t="str">
        <f aca="false">IF($K227="","",INDEX(Base!$J$5:$J$2004,$K227))</f>
        <v/>
      </c>
      <c r="I227" s="71" t="str">
        <f aca="false">IF($K227="","",INDEX(Base!$L$5:$L$2004,$K227))</f>
        <v/>
      </c>
      <c r="J227" s="72" t="str">
        <f aca="false">IFERROR(SMALL(Base!$P$5:$P$2004,ROW()-5),"")</f>
        <v/>
      </c>
      <c r="K227" s="72" t="str">
        <f aca="false">IF(J227="","",MATCH(J227,Base!$P$5:$P$2004,0))</f>
        <v/>
      </c>
    </row>
    <row r="228" customFormat="false" ht="15" hidden="false" customHeight="false" outlineLevel="0" collapsed="false">
      <c r="A228" s="67" t="str">
        <f aca="false">IF($K228="","",ROW()-5)</f>
        <v/>
      </c>
      <c r="B228" s="68" t="str">
        <f aca="false">IF($K228="","",INDEX(Base!$E$5:$E$2004,$K228))</f>
        <v/>
      </c>
      <c r="C228" s="69" t="str">
        <f aca="false">IF($K228="","",B228)</f>
        <v/>
      </c>
      <c r="D228" s="70" t="str">
        <f aca="false">IF($K228="","",INDEX(Base!$F$5:$F$2004,$K228))</f>
        <v/>
      </c>
      <c r="E228" s="70" t="str">
        <f aca="false">IF($K228="","",INDEX(Base!$G$5:$G$2004,$K228))</f>
        <v/>
      </c>
      <c r="F228" s="71" t="str">
        <f aca="false">IF($K228="","",INDEX(Base!$H$5:$H$2004,$K228))</f>
        <v/>
      </c>
      <c r="G228" s="71" t="str">
        <f aca="false">IF($K228="","",INDEX(Base!$I$5:$I$2004,$K228))</f>
        <v/>
      </c>
      <c r="H228" s="70" t="str">
        <f aca="false">IF($K228="","",INDEX(Base!$J$5:$J$2004,$K228))</f>
        <v/>
      </c>
      <c r="I228" s="71" t="str">
        <f aca="false">IF($K228="","",INDEX(Base!$L$5:$L$2004,$K228))</f>
        <v/>
      </c>
      <c r="J228" s="72" t="str">
        <f aca="false">IFERROR(SMALL(Base!$P$5:$P$2004,ROW()-5),"")</f>
        <v/>
      </c>
      <c r="K228" s="72" t="str">
        <f aca="false">IF(J228="","",MATCH(J228,Base!$P$5:$P$2004,0))</f>
        <v/>
      </c>
    </row>
    <row r="229" customFormat="false" ht="15" hidden="false" customHeight="false" outlineLevel="0" collapsed="false">
      <c r="A229" s="67" t="str">
        <f aca="false">IF($K229="","",ROW()-5)</f>
        <v/>
      </c>
      <c r="B229" s="68" t="str">
        <f aca="false">IF($K229="","",INDEX(Base!$E$5:$E$2004,$K229))</f>
        <v/>
      </c>
      <c r="C229" s="69" t="str">
        <f aca="false">IF($K229="","",B229)</f>
        <v/>
      </c>
      <c r="D229" s="70" t="str">
        <f aca="false">IF($K229="","",INDEX(Base!$F$5:$F$2004,$K229))</f>
        <v/>
      </c>
      <c r="E229" s="70" t="str">
        <f aca="false">IF($K229="","",INDEX(Base!$G$5:$G$2004,$K229))</f>
        <v/>
      </c>
      <c r="F229" s="71" t="str">
        <f aca="false">IF($K229="","",INDEX(Base!$H$5:$H$2004,$K229))</f>
        <v/>
      </c>
      <c r="G229" s="71" t="str">
        <f aca="false">IF($K229="","",INDEX(Base!$I$5:$I$2004,$K229))</f>
        <v/>
      </c>
      <c r="H229" s="70" t="str">
        <f aca="false">IF($K229="","",INDEX(Base!$J$5:$J$2004,$K229))</f>
        <v/>
      </c>
      <c r="I229" s="71" t="str">
        <f aca="false">IF($K229="","",INDEX(Base!$L$5:$L$2004,$K229))</f>
        <v/>
      </c>
      <c r="J229" s="72" t="str">
        <f aca="false">IFERROR(SMALL(Base!$P$5:$P$2004,ROW()-5),"")</f>
        <v/>
      </c>
      <c r="K229" s="72" t="str">
        <f aca="false">IF(J229="","",MATCH(J229,Base!$P$5:$P$2004,0))</f>
        <v/>
      </c>
    </row>
    <row r="230" customFormat="false" ht="15" hidden="false" customHeight="false" outlineLevel="0" collapsed="false">
      <c r="A230" s="67" t="str">
        <f aca="false">IF($K230="","",ROW()-5)</f>
        <v/>
      </c>
      <c r="B230" s="68" t="str">
        <f aca="false">IF($K230="","",INDEX(Base!$E$5:$E$2004,$K230))</f>
        <v/>
      </c>
      <c r="C230" s="69" t="str">
        <f aca="false">IF($K230="","",B230)</f>
        <v/>
      </c>
      <c r="D230" s="70" t="str">
        <f aca="false">IF($K230="","",INDEX(Base!$F$5:$F$2004,$K230))</f>
        <v/>
      </c>
      <c r="E230" s="70" t="str">
        <f aca="false">IF($K230="","",INDEX(Base!$G$5:$G$2004,$K230))</f>
        <v/>
      </c>
      <c r="F230" s="71" t="str">
        <f aca="false">IF($K230="","",INDEX(Base!$H$5:$H$2004,$K230))</f>
        <v/>
      </c>
      <c r="G230" s="71" t="str">
        <f aca="false">IF($K230="","",INDEX(Base!$I$5:$I$2004,$K230))</f>
        <v/>
      </c>
      <c r="H230" s="70" t="str">
        <f aca="false">IF($K230="","",INDEX(Base!$J$5:$J$2004,$K230))</f>
        <v/>
      </c>
      <c r="I230" s="71" t="str">
        <f aca="false">IF($K230="","",INDEX(Base!$L$5:$L$2004,$K230))</f>
        <v/>
      </c>
      <c r="J230" s="72" t="str">
        <f aca="false">IFERROR(SMALL(Base!$P$5:$P$2004,ROW()-5),"")</f>
        <v/>
      </c>
      <c r="K230" s="72" t="str">
        <f aca="false">IF(J230="","",MATCH(J230,Base!$P$5:$P$2004,0))</f>
        <v/>
      </c>
    </row>
    <row r="231" customFormat="false" ht="15" hidden="false" customHeight="false" outlineLevel="0" collapsed="false">
      <c r="A231" s="67" t="str">
        <f aca="false">IF($K231="","",ROW()-5)</f>
        <v/>
      </c>
      <c r="B231" s="68" t="str">
        <f aca="false">IF($K231="","",INDEX(Base!$E$5:$E$2004,$K231))</f>
        <v/>
      </c>
      <c r="C231" s="69" t="str">
        <f aca="false">IF($K231="","",B231)</f>
        <v/>
      </c>
      <c r="D231" s="70" t="str">
        <f aca="false">IF($K231="","",INDEX(Base!$F$5:$F$2004,$K231))</f>
        <v/>
      </c>
      <c r="E231" s="70" t="str">
        <f aca="false">IF($K231="","",INDEX(Base!$G$5:$G$2004,$K231))</f>
        <v/>
      </c>
      <c r="F231" s="71" t="str">
        <f aca="false">IF($K231="","",INDEX(Base!$H$5:$H$2004,$K231))</f>
        <v/>
      </c>
      <c r="G231" s="71" t="str">
        <f aca="false">IF($K231="","",INDEX(Base!$I$5:$I$2004,$K231))</f>
        <v/>
      </c>
      <c r="H231" s="70" t="str">
        <f aca="false">IF($K231="","",INDEX(Base!$J$5:$J$2004,$K231))</f>
        <v/>
      </c>
      <c r="I231" s="71" t="str">
        <f aca="false">IF($K231="","",INDEX(Base!$L$5:$L$2004,$K231))</f>
        <v/>
      </c>
      <c r="J231" s="72" t="str">
        <f aca="false">IFERROR(SMALL(Base!$P$5:$P$2004,ROW()-5),"")</f>
        <v/>
      </c>
      <c r="K231" s="72" t="str">
        <f aca="false">IF(J231="","",MATCH(J231,Base!$P$5:$P$2004,0))</f>
        <v/>
      </c>
    </row>
    <row r="232" customFormat="false" ht="15" hidden="false" customHeight="false" outlineLevel="0" collapsed="false">
      <c r="A232" s="67" t="str">
        <f aca="false">IF($K232="","",ROW()-5)</f>
        <v/>
      </c>
      <c r="B232" s="68" t="str">
        <f aca="false">IF($K232="","",INDEX(Base!$E$5:$E$2004,$K232))</f>
        <v/>
      </c>
      <c r="C232" s="69" t="str">
        <f aca="false">IF($K232="","",B232)</f>
        <v/>
      </c>
      <c r="D232" s="70" t="str">
        <f aca="false">IF($K232="","",INDEX(Base!$F$5:$F$2004,$K232))</f>
        <v/>
      </c>
      <c r="E232" s="70" t="str">
        <f aca="false">IF($K232="","",INDEX(Base!$G$5:$G$2004,$K232))</f>
        <v/>
      </c>
      <c r="F232" s="71" t="str">
        <f aca="false">IF($K232="","",INDEX(Base!$H$5:$H$2004,$K232))</f>
        <v/>
      </c>
      <c r="G232" s="71" t="str">
        <f aca="false">IF($K232="","",INDEX(Base!$I$5:$I$2004,$K232))</f>
        <v/>
      </c>
      <c r="H232" s="70" t="str">
        <f aca="false">IF($K232="","",INDEX(Base!$J$5:$J$2004,$K232))</f>
        <v/>
      </c>
      <c r="I232" s="71" t="str">
        <f aca="false">IF($K232="","",INDEX(Base!$L$5:$L$2004,$K232))</f>
        <v/>
      </c>
      <c r="J232" s="72" t="str">
        <f aca="false">IFERROR(SMALL(Base!$P$5:$P$2004,ROW()-5),"")</f>
        <v/>
      </c>
      <c r="K232" s="72" t="str">
        <f aca="false">IF(J232="","",MATCH(J232,Base!$P$5:$P$2004,0))</f>
        <v/>
      </c>
    </row>
    <row r="233" customFormat="false" ht="15" hidden="false" customHeight="false" outlineLevel="0" collapsed="false">
      <c r="A233" s="67" t="str">
        <f aca="false">IF($K233="","",ROW()-5)</f>
        <v/>
      </c>
      <c r="B233" s="68" t="str">
        <f aca="false">IF($K233="","",INDEX(Base!$E$5:$E$2004,$K233))</f>
        <v/>
      </c>
      <c r="C233" s="69" t="str">
        <f aca="false">IF($K233="","",B233)</f>
        <v/>
      </c>
      <c r="D233" s="70" t="str">
        <f aca="false">IF($K233="","",INDEX(Base!$F$5:$F$2004,$K233))</f>
        <v/>
      </c>
      <c r="E233" s="70" t="str">
        <f aca="false">IF($K233="","",INDEX(Base!$G$5:$G$2004,$K233))</f>
        <v/>
      </c>
      <c r="F233" s="71" t="str">
        <f aca="false">IF($K233="","",INDEX(Base!$H$5:$H$2004,$K233))</f>
        <v/>
      </c>
      <c r="G233" s="71" t="str">
        <f aca="false">IF($K233="","",INDEX(Base!$I$5:$I$2004,$K233))</f>
        <v/>
      </c>
      <c r="H233" s="70" t="str">
        <f aca="false">IF($K233="","",INDEX(Base!$J$5:$J$2004,$K233))</f>
        <v/>
      </c>
      <c r="I233" s="71" t="str">
        <f aca="false">IF($K233="","",INDEX(Base!$L$5:$L$2004,$K233))</f>
        <v/>
      </c>
      <c r="J233" s="72" t="str">
        <f aca="false">IFERROR(SMALL(Base!$P$5:$P$2004,ROW()-5),"")</f>
        <v/>
      </c>
      <c r="K233" s="72" t="str">
        <f aca="false">IF(J233="","",MATCH(J233,Base!$P$5:$P$2004,0))</f>
        <v/>
      </c>
    </row>
    <row r="234" customFormat="false" ht="15" hidden="false" customHeight="false" outlineLevel="0" collapsed="false">
      <c r="A234" s="67" t="str">
        <f aca="false">IF($K234="","",ROW()-5)</f>
        <v/>
      </c>
      <c r="B234" s="68" t="str">
        <f aca="false">IF($K234="","",INDEX(Base!$E$5:$E$2004,$K234))</f>
        <v/>
      </c>
      <c r="C234" s="69" t="str">
        <f aca="false">IF($K234="","",B234)</f>
        <v/>
      </c>
      <c r="D234" s="70" t="str">
        <f aca="false">IF($K234="","",INDEX(Base!$F$5:$F$2004,$K234))</f>
        <v/>
      </c>
      <c r="E234" s="70" t="str">
        <f aca="false">IF($K234="","",INDEX(Base!$G$5:$G$2004,$K234))</f>
        <v/>
      </c>
      <c r="F234" s="71" t="str">
        <f aca="false">IF($K234="","",INDEX(Base!$H$5:$H$2004,$K234))</f>
        <v/>
      </c>
      <c r="G234" s="71" t="str">
        <f aca="false">IF($K234="","",INDEX(Base!$I$5:$I$2004,$K234))</f>
        <v/>
      </c>
      <c r="H234" s="70" t="str">
        <f aca="false">IF($K234="","",INDEX(Base!$J$5:$J$2004,$K234))</f>
        <v/>
      </c>
      <c r="I234" s="71" t="str">
        <f aca="false">IF($K234="","",INDEX(Base!$L$5:$L$2004,$K234))</f>
        <v/>
      </c>
      <c r="J234" s="72" t="str">
        <f aca="false">IFERROR(SMALL(Base!$P$5:$P$2004,ROW()-5),"")</f>
        <v/>
      </c>
      <c r="K234" s="72" t="str">
        <f aca="false">IF(J234="","",MATCH(J234,Base!$P$5:$P$2004,0))</f>
        <v/>
      </c>
    </row>
    <row r="235" customFormat="false" ht="15" hidden="false" customHeight="false" outlineLevel="0" collapsed="false">
      <c r="A235" s="67" t="str">
        <f aca="false">IF($K235="","",ROW()-5)</f>
        <v/>
      </c>
      <c r="B235" s="68" t="str">
        <f aca="false">IF($K235="","",INDEX(Base!$E$5:$E$2004,$K235))</f>
        <v/>
      </c>
      <c r="C235" s="69" t="str">
        <f aca="false">IF($K235="","",B235)</f>
        <v/>
      </c>
      <c r="D235" s="70" t="str">
        <f aca="false">IF($K235="","",INDEX(Base!$F$5:$F$2004,$K235))</f>
        <v/>
      </c>
      <c r="E235" s="70" t="str">
        <f aca="false">IF($K235="","",INDEX(Base!$G$5:$G$2004,$K235))</f>
        <v/>
      </c>
      <c r="F235" s="71" t="str">
        <f aca="false">IF($K235="","",INDEX(Base!$H$5:$H$2004,$K235))</f>
        <v/>
      </c>
      <c r="G235" s="71" t="str">
        <f aca="false">IF($K235="","",INDEX(Base!$I$5:$I$2004,$K235))</f>
        <v/>
      </c>
      <c r="H235" s="70" t="str">
        <f aca="false">IF($K235="","",INDEX(Base!$J$5:$J$2004,$K235))</f>
        <v/>
      </c>
      <c r="I235" s="71" t="str">
        <f aca="false">IF($K235="","",INDEX(Base!$L$5:$L$2004,$K235))</f>
        <v/>
      </c>
      <c r="J235" s="72" t="str">
        <f aca="false">IFERROR(SMALL(Base!$P$5:$P$2004,ROW()-5),"")</f>
        <v/>
      </c>
      <c r="K235" s="72" t="str">
        <f aca="false">IF(J235="","",MATCH(J235,Base!$P$5:$P$2004,0))</f>
        <v/>
      </c>
    </row>
    <row r="236" customFormat="false" ht="15" hidden="false" customHeight="false" outlineLevel="0" collapsed="false">
      <c r="A236" s="67" t="str">
        <f aca="false">IF($K236="","",ROW()-5)</f>
        <v/>
      </c>
      <c r="B236" s="68" t="str">
        <f aca="false">IF($K236="","",INDEX(Base!$E$5:$E$2004,$K236))</f>
        <v/>
      </c>
      <c r="C236" s="69" t="str">
        <f aca="false">IF($K236="","",B236)</f>
        <v/>
      </c>
      <c r="D236" s="70" t="str">
        <f aca="false">IF($K236="","",INDEX(Base!$F$5:$F$2004,$K236))</f>
        <v/>
      </c>
      <c r="E236" s="70" t="str">
        <f aca="false">IF($K236="","",INDEX(Base!$G$5:$G$2004,$K236))</f>
        <v/>
      </c>
      <c r="F236" s="71" t="str">
        <f aca="false">IF($K236="","",INDEX(Base!$H$5:$H$2004,$K236))</f>
        <v/>
      </c>
      <c r="G236" s="71" t="str">
        <f aca="false">IF($K236="","",INDEX(Base!$I$5:$I$2004,$K236))</f>
        <v/>
      </c>
      <c r="H236" s="70" t="str">
        <f aca="false">IF($K236="","",INDEX(Base!$J$5:$J$2004,$K236))</f>
        <v/>
      </c>
      <c r="I236" s="71" t="str">
        <f aca="false">IF($K236="","",INDEX(Base!$L$5:$L$2004,$K236))</f>
        <v/>
      </c>
      <c r="J236" s="72" t="str">
        <f aca="false">IFERROR(SMALL(Base!$P$5:$P$2004,ROW()-5),"")</f>
        <v/>
      </c>
      <c r="K236" s="72" t="str">
        <f aca="false">IF(J236="","",MATCH(J236,Base!$P$5:$P$2004,0))</f>
        <v/>
      </c>
    </row>
    <row r="237" customFormat="false" ht="15" hidden="false" customHeight="false" outlineLevel="0" collapsed="false">
      <c r="A237" s="67" t="str">
        <f aca="false">IF($K237="","",ROW()-5)</f>
        <v/>
      </c>
      <c r="B237" s="68" t="str">
        <f aca="false">IF($K237="","",INDEX(Base!$E$5:$E$2004,$K237))</f>
        <v/>
      </c>
      <c r="C237" s="69" t="str">
        <f aca="false">IF($K237="","",B237)</f>
        <v/>
      </c>
      <c r="D237" s="70" t="str">
        <f aca="false">IF($K237="","",INDEX(Base!$F$5:$F$2004,$K237))</f>
        <v/>
      </c>
      <c r="E237" s="70" t="str">
        <f aca="false">IF($K237="","",INDEX(Base!$G$5:$G$2004,$K237))</f>
        <v/>
      </c>
      <c r="F237" s="71" t="str">
        <f aca="false">IF($K237="","",INDEX(Base!$H$5:$H$2004,$K237))</f>
        <v/>
      </c>
      <c r="G237" s="71" t="str">
        <f aca="false">IF($K237="","",INDEX(Base!$I$5:$I$2004,$K237))</f>
        <v/>
      </c>
      <c r="H237" s="70" t="str">
        <f aca="false">IF($K237="","",INDEX(Base!$J$5:$J$2004,$K237))</f>
        <v/>
      </c>
      <c r="I237" s="71" t="str">
        <f aca="false">IF($K237="","",INDEX(Base!$L$5:$L$2004,$K237))</f>
        <v/>
      </c>
      <c r="J237" s="72" t="str">
        <f aca="false">IFERROR(SMALL(Base!$P$5:$P$2004,ROW()-5),"")</f>
        <v/>
      </c>
      <c r="K237" s="72" t="str">
        <f aca="false">IF(J237="","",MATCH(J237,Base!$P$5:$P$2004,0))</f>
        <v/>
      </c>
    </row>
    <row r="238" customFormat="false" ht="15" hidden="false" customHeight="false" outlineLevel="0" collapsed="false">
      <c r="A238" s="67" t="str">
        <f aca="false">IF($K238="","",ROW()-5)</f>
        <v/>
      </c>
      <c r="B238" s="68" t="str">
        <f aca="false">IF($K238="","",INDEX(Base!$E$5:$E$2004,$K238))</f>
        <v/>
      </c>
      <c r="C238" s="69" t="str">
        <f aca="false">IF($K238="","",B238)</f>
        <v/>
      </c>
      <c r="D238" s="70" t="str">
        <f aca="false">IF($K238="","",INDEX(Base!$F$5:$F$2004,$K238))</f>
        <v/>
      </c>
      <c r="E238" s="70" t="str">
        <f aca="false">IF($K238="","",INDEX(Base!$G$5:$G$2004,$K238))</f>
        <v/>
      </c>
      <c r="F238" s="71" t="str">
        <f aca="false">IF($K238="","",INDEX(Base!$H$5:$H$2004,$K238))</f>
        <v/>
      </c>
      <c r="G238" s="71" t="str">
        <f aca="false">IF($K238="","",INDEX(Base!$I$5:$I$2004,$K238))</f>
        <v/>
      </c>
      <c r="H238" s="70" t="str">
        <f aca="false">IF($K238="","",INDEX(Base!$J$5:$J$2004,$K238))</f>
        <v/>
      </c>
      <c r="I238" s="71" t="str">
        <f aca="false">IF($K238="","",INDEX(Base!$L$5:$L$2004,$K238))</f>
        <v/>
      </c>
      <c r="J238" s="72" t="str">
        <f aca="false">IFERROR(SMALL(Base!$P$5:$P$2004,ROW()-5),"")</f>
        <v/>
      </c>
      <c r="K238" s="72" t="str">
        <f aca="false">IF(J238="","",MATCH(J238,Base!$P$5:$P$2004,0))</f>
        <v/>
      </c>
    </row>
    <row r="239" customFormat="false" ht="15" hidden="false" customHeight="false" outlineLevel="0" collapsed="false">
      <c r="A239" s="67" t="str">
        <f aca="false">IF($K239="","",ROW()-5)</f>
        <v/>
      </c>
      <c r="B239" s="68" t="str">
        <f aca="false">IF($K239="","",INDEX(Base!$E$5:$E$2004,$K239))</f>
        <v/>
      </c>
      <c r="C239" s="69" t="str">
        <f aca="false">IF($K239="","",B239)</f>
        <v/>
      </c>
      <c r="D239" s="70" t="str">
        <f aca="false">IF($K239="","",INDEX(Base!$F$5:$F$2004,$K239))</f>
        <v/>
      </c>
      <c r="E239" s="70" t="str">
        <f aca="false">IF($K239="","",INDEX(Base!$G$5:$G$2004,$K239))</f>
        <v/>
      </c>
      <c r="F239" s="71" t="str">
        <f aca="false">IF($K239="","",INDEX(Base!$H$5:$H$2004,$K239))</f>
        <v/>
      </c>
      <c r="G239" s="71" t="str">
        <f aca="false">IF($K239="","",INDEX(Base!$I$5:$I$2004,$K239))</f>
        <v/>
      </c>
      <c r="H239" s="70" t="str">
        <f aca="false">IF($K239="","",INDEX(Base!$J$5:$J$2004,$K239))</f>
        <v/>
      </c>
      <c r="I239" s="71" t="str">
        <f aca="false">IF($K239="","",INDEX(Base!$L$5:$L$2004,$K239))</f>
        <v/>
      </c>
      <c r="J239" s="72" t="str">
        <f aca="false">IFERROR(SMALL(Base!$P$5:$P$2004,ROW()-5),"")</f>
        <v/>
      </c>
      <c r="K239" s="72" t="str">
        <f aca="false">IF(J239="","",MATCH(J239,Base!$P$5:$P$2004,0))</f>
        <v/>
      </c>
    </row>
    <row r="240" customFormat="false" ht="15" hidden="false" customHeight="false" outlineLevel="0" collapsed="false">
      <c r="A240" s="67" t="str">
        <f aca="false">IF($K240="","",ROW()-5)</f>
        <v/>
      </c>
      <c r="B240" s="68" t="str">
        <f aca="false">IF($K240="","",INDEX(Base!$E$5:$E$2004,$K240))</f>
        <v/>
      </c>
      <c r="C240" s="69" t="str">
        <f aca="false">IF($K240="","",B240)</f>
        <v/>
      </c>
      <c r="D240" s="70" t="str">
        <f aca="false">IF($K240="","",INDEX(Base!$F$5:$F$2004,$K240))</f>
        <v/>
      </c>
      <c r="E240" s="70" t="str">
        <f aca="false">IF($K240="","",INDEX(Base!$G$5:$G$2004,$K240))</f>
        <v/>
      </c>
      <c r="F240" s="71" t="str">
        <f aca="false">IF($K240="","",INDEX(Base!$H$5:$H$2004,$K240))</f>
        <v/>
      </c>
      <c r="G240" s="71" t="str">
        <f aca="false">IF($K240="","",INDEX(Base!$I$5:$I$2004,$K240))</f>
        <v/>
      </c>
      <c r="H240" s="70" t="str">
        <f aca="false">IF($K240="","",INDEX(Base!$J$5:$J$2004,$K240))</f>
        <v/>
      </c>
      <c r="I240" s="71" t="str">
        <f aca="false">IF($K240="","",INDEX(Base!$L$5:$L$2004,$K240))</f>
        <v/>
      </c>
      <c r="J240" s="72" t="str">
        <f aca="false">IFERROR(SMALL(Base!$P$5:$P$2004,ROW()-5),"")</f>
        <v/>
      </c>
      <c r="K240" s="72" t="str">
        <f aca="false">IF(J240="","",MATCH(J240,Base!$P$5:$P$2004,0))</f>
        <v/>
      </c>
    </row>
    <row r="241" customFormat="false" ht="15" hidden="false" customHeight="false" outlineLevel="0" collapsed="false">
      <c r="A241" s="67" t="str">
        <f aca="false">IF($K241="","",ROW()-5)</f>
        <v/>
      </c>
      <c r="B241" s="68" t="str">
        <f aca="false">IF($K241="","",INDEX(Base!$E$5:$E$2004,$K241))</f>
        <v/>
      </c>
      <c r="C241" s="69" t="str">
        <f aca="false">IF($K241="","",B241)</f>
        <v/>
      </c>
      <c r="D241" s="70" t="str">
        <f aca="false">IF($K241="","",INDEX(Base!$F$5:$F$2004,$K241))</f>
        <v/>
      </c>
      <c r="E241" s="70" t="str">
        <f aca="false">IF($K241="","",INDEX(Base!$G$5:$G$2004,$K241))</f>
        <v/>
      </c>
      <c r="F241" s="71" t="str">
        <f aca="false">IF($K241="","",INDEX(Base!$H$5:$H$2004,$K241))</f>
        <v/>
      </c>
      <c r="G241" s="71" t="str">
        <f aca="false">IF($K241="","",INDEX(Base!$I$5:$I$2004,$K241))</f>
        <v/>
      </c>
      <c r="H241" s="70" t="str">
        <f aca="false">IF($K241="","",INDEX(Base!$J$5:$J$2004,$K241))</f>
        <v/>
      </c>
      <c r="I241" s="71" t="str">
        <f aca="false">IF($K241="","",INDEX(Base!$L$5:$L$2004,$K241))</f>
        <v/>
      </c>
      <c r="J241" s="72" t="str">
        <f aca="false">IFERROR(SMALL(Base!$P$5:$P$2004,ROW()-5),"")</f>
        <v/>
      </c>
      <c r="K241" s="72" t="str">
        <f aca="false">IF(J241="","",MATCH(J241,Base!$P$5:$P$2004,0))</f>
        <v/>
      </c>
    </row>
    <row r="242" customFormat="false" ht="15" hidden="false" customHeight="false" outlineLevel="0" collapsed="false">
      <c r="A242" s="67" t="str">
        <f aca="false">IF($K242="","",ROW()-5)</f>
        <v/>
      </c>
      <c r="B242" s="68" t="str">
        <f aca="false">IF($K242="","",INDEX(Base!$E$5:$E$2004,$K242))</f>
        <v/>
      </c>
      <c r="C242" s="69" t="str">
        <f aca="false">IF($K242="","",B242)</f>
        <v/>
      </c>
      <c r="D242" s="70" t="str">
        <f aca="false">IF($K242="","",INDEX(Base!$F$5:$F$2004,$K242))</f>
        <v/>
      </c>
      <c r="E242" s="70" t="str">
        <f aca="false">IF($K242="","",INDEX(Base!$G$5:$G$2004,$K242))</f>
        <v/>
      </c>
      <c r="F242" s="71" t="str">
        <f aca="false">IF($K242="","",INDEX(Base!$H$5:$H$2004,$K242))</f>
        <v/>
      </c>
      <c r="G242" s="71" t="str">
        <f aca="false">IF($K242="","",INDEX(Base!$I$5:$I$2004,$K242))</f>
        <v/>
      </c>
      <c r="H242" s="70" t="str">
        <f aca="false">IF($K242="","",INDEX(Base!$J$5:$J$2004,$K242))</f>
        <v/>
      </c>
      <c r="I242" s="71" t="str">
        <f aca="false">IF($K242="","",INDEX(Base!$L$5:$L$2004,$K242))</f>
        <v/>
      </c>
      <c r="J242" s="72" t="str">
        <f aca="false">IFERROR(SMALL(Base!$P$5:$P$2004,ROW()-5),"")</f>
        <v/>
      </c>
      <c r="K242" s="72" t="str">
        <f aca="false">IF(J242="","",MATCH(J242,Base!$P$5:$P$2004,0))</f>
        <v/>
      </c>
    </row>
    <row r="243" customFormat="false" ht="15" hidden="false" customHeight="false" outlineLevel="0" collapsed="false">
      <c r="A243" s="67" t="str">
        <f aca="false">IF($K243="","",ROW()-5)</f>
        <v/>
      </c>
      <c r="B243" s="68" t="str">
        <f aca="false">IF($K243="","",INDEX(Base!$E$5:$E$2004,$K243))</f>
        <v/>
      </c>
      <c r="C243" s="69" t="str">
        <f aca="false">IF($K243="","",B243)</f>
        <v/>
      </c>
      <c r="D243" s="70" t="str">
        <f aca="false">IF($K243="","",INDEX(Base!$F$5:$F$2004,$K243))</f>
        <v/>
      </c>
      <c r="E243" s="70" t="str">
        <f aca="false">IF($K243="","",INDEX(Base!$G$5:$G$2004,$K243))</f>
        <v/>
      </c>
      <c r="F243" s="71" t="str">
        <f aca="false">IF($K243="","",INDEX(Base!$H$5:$H$2004,$K243))</f>
        <v/>
      </c>
      <c r="G243" s="71" t="str">
        <f aca="false">IF($K243="","",INDEX(Base!$I$5:$I$2004,$K243))</f>
        <v/>
      </c>
      <c r="H243" s="70" t="str">
        <f aca="false">IF($K243="","",INDEX(Base!$J$5:$J$2004,$K243))</f>
        <v/>
      </c>
      <c r="I243" s="71" t="str">
        <f aca="false">IF($K243="","",INDEX(Base!$L$5:$L$2004,$K243))</f>
        <v/>
      </c>
      <c r="J243" s="72" t="str">
        <f aca="false">IFERROR(SMALL(Base!$P$5:$P$2004,ROW()-5),"")</f>
        <v/>
      </c>
      <c r="K243" s="72" t="str">
        <f aca="false">IF(J243="","",MATCH(J243,Base!$P$5:$P$2004,0))</f>
        <v/>
      </c>
    </row>
    <row r="244" customFormat="false" ht="15" hidden="false" customHeight="false" outlineLevel="0" collapsed="false">
      <c r="A244" s="67" t="str">
        <f aca="false">IF($K244="","",ROW()-5)</f>
        <v/>
      </c>
      <c r="B244" s="68" t="str">
        <f aca="false">IF($K244="","",INDEX(Base!$E$5:$E$2004,$K244))</f>
        <v/>
      </c>
      <c r="C244" s="69" t="str">
        <f aca="false">IF($K244="","",B244)</f>
        <v/>
      </c>
      <c r="D244" s="70" t="str">
        <f aca="false">IF($K244="","",INDEX(Base!$F$5:$F$2004,$K244))</f>
        <v/>
      </c>
      <c r="E244" s="70" t="str">
        <f aca="false">IF($K244="","",INDEX(Base!$G$5:$G$2004,$K244))</f>
        <v/>
      </c>
      <c r="F244" s="71" t="str">
        <f aca="false">IF($K244="","",INDEX(Base!$H$5:$H$2004,$K244))</f>
        <v/>
      </c>
      <c r="G244" s="71" t="str">
        <f aca="false">IF($K244="","",INDEX(Base!$I$5:$I$2004,$K244))</f>
        <v/>
      </c>
      <c r="H244" s="70" t="str">
        <f aca="false">IF($K244="","",INDEX(Base!$J$5:$J$2004,$K244))</f>
        <v/>
      </c>
      <c r="I244" s="71" t="str">
        <f aca="false">IF($K244="","",INDEX(Base!$L$5:$L$2004,$K244))</f>
        <v/>
      </c>
      <c r="J244" s="72" t="str">
        <f aca="false">IFERROR(SMALL(Base!$P$5:$P$2004,ROW()-5),"")</f>
        <v/>
      </c>
      <c r="K244" s="72" t="str">
        <f aca="false">IF(J244="","",MATCH(J244,Base!$P$5:$P$2004,0))</f>
        <v/>
      </c>
    </row>
    <row r="245" customFormat="false" ht="15" hidden="false" customHeight="false" outlineLevel="0" collapsed="false">
      <c r="A245" s="67" t="str">
        <f aca="false">IF($K245="","",ROW()-5)</f>
        <v/>
      </c>
      <c r="B245" s="68" t="str">
        <f aca="false">IF($K245="","",INDEX(Base!$E$5:$E$2004,$K245))</f>
        <v/>
      </c>
      <c r="C245" s="69" t="str">
        <f aca="false">IF($K245="","",B245)</f>
        <v/>
      </c>
      <c r="D245" s="70" t="str">
        <f aca="false">IF($K245="","",INDEX(Base!$F$5:$F$2004,$K245))</f>
        <v/>
      </c>
      <c r="E245" s="70" t="str">
        <f aca="false">IF($K245="","",INDEX(Base!$G$5:$G$2004,$K245))</f>
        <v/>
      </c>
      <c r="F245" s="71" t="str">
        <f aca="false">IF($K245="","",INDEX(Base!$H$5:$H$2004,$K245))</f>
        <v/>
      </c>
      <c r="G245" s="71" t="str">
        <f aca="false">IF($K245="","",INDEX(Base!$I$5:$I$2004,$K245))</f>
        <v/>
      </c>
      <c r="H245" s="70" t="str">
        <f aca="false">IF($K245="","",INDEX(Base!$J$5:$J$2004,$K245))</f>
        <v/>
      </c>
      <c r="I245" s="71" t="str">
        <f aca="false">IF($K245="","",INDEX(Base!$L$5:$L$2004,$K245))</f>
        <v/>
      </c>
      <c r="J245" s="72" t="str">
        <f aca="false">IFERROR(SMALL(Base!$P$5:$P$2004,ROW()-5),"")</f>
        <v/>
      </c>
      <c r="K245" s="72" t="str">
        <f aca="false">IF(J245="","",MATCH(J245,Base!$P$5:$P$2004,0))</f>
        <v/>
      </c>
    </row>
    <row r="246" customFormat="false" ht="15" hidden="false" customHeight="false" outlineLevel="0" collapsed="false">
      <c r="A246" s="67" t="str">
        <f aca="false">IF($K246="","",ROW()-5)</f>
        <v/>
      </c>
      <c r="B246" s="68" t="str">
        <f aca="false">IF($K246="","",INDEX(Base!$E$5:$E$2004,$K246))</f>
        <v/>
      </c>
      <c r="C246" s="69" t="str">
        <f aca="false">IF($K246="","",B246)</f>
        <v/>
      </c>
      <c r="D246" s="70" t="str">
        <f aca="false">IF($K246="","",INDEX(Base!$F$5:$F$2004,$K246))</f>
        <v/>
      </c>
      <c r="E246" s="70" t="str">
        <f aca="false">IF($K246="","",INDEX(Base!$G$5:$G$2004,$K246))</f>
        <v/>
      </c>
      <c r="F246" s="71" t="str">
        <f aca="false">IF($K246="","",INDEX(Base!$H$5:$H$2004,$K246))</f>
        <v/>
      </c>
      <c r="G246" s="71" t="str">
        <f aca="false">IF($K246="","",INDEX(Base!$I$5:$I$2004,$K246))</f>
        <v/>
      </c>
      <c r="H246" s="70" t="str">
        <f aca="false">IF($K246="","",INDEX(Base!$J$5:$J$2004,$K246))</f>
        <v/>
      </c>
      <c r="I246" s="71" t="str">
        <f aca="false">IF($K246="","",INDEX(Base!$L$5:$L$2004,$K246))</f>
        <v/>
      </c>
      <c r="J246" s="72" t="str">
        <f aca="false">IFERROR(SMALL(Base!$P$5:$P$2004,ROW()-5),"")</f>
        <v/>
      </c>
      <c r="K246" s="72" t="str">
        <f aca="false">IF(J246="","",MATCH(J246,Base!$P$5:$P$2004,0))</f>
        <v/>
      </c>
    </row>
    <row r="247" customFormat="false" ht="15" hidden="false" customHeight="false" outlineLevel="0" collapsed="false">
      <c r="A247" s="67" t="str">
        <f aca="false">IF($K247="","",ROW()-5)</f>
        <v/>
      </c>
      <c r="B247" s="68" t="str">
        <f aca="false">IF($K247="","",INDEX(Base!$E$5:$E$2004,$K247))</f>
        <v/>
      </c>
      <c r="C247" s="69" t="str">
        <f aca="false">IF($K247="","",B247)</f>
        <v/>
      </c>
      <c r="D247" s="70" t="str">
        <f aca="false">IF($K247="","",INDEX(Base!$F$5:$F$2004,$K247))</f>
        <v/>
      </c>
      <c r="E247" s="70" t="str">
        <f aca="false">IF($K247="","",INDEX(Base!$G$5:$G$2004,$K247))</f>
        <v/>
      </c>
      <c r="F247" s="71" t="str">
        <f aca="false">IF($K247="","",INDEX(Base!$H$5:$H$2004,$K247))</f>
        <v/>
      </c>
      <c r="G247" s="71" t="str">
        <f aca="false">IF($K247="","",INDEX(Base!$I$5:$I$2004,$K247))</f>
        <v/>
      </c>
      <c r="H247" s="70" t="str">
        <f aca="false">IF($K247="","",INDEX(Base!$J$5:$J$2004,$K247))</f>
        <v/>
      </c>
      <c r="I247" s="71" t="str">
        <f aca="false">IF($K247="","",INDEX(Base!$L$5:$L$2004,$K247))</f>
        <v/>
      </c>
      <c r="J247" s="72" t="str">
        <f aca="false">IFERROR(SMALL(Base!$P$5:$P$2004,ROW()-5),"")</f>
        <v/>
      </c>
      <c r="K247" s="72" t="str">
        <f aca="false">IF(J247="","",MATCH(J247,Base!$P$5:$P$2004,0))</f>
        <v/>
      </c>
    </row>
    <row r="248" customFormat="false" ht="15" hidden="false" customHeight="false" outlineLevel="0" collapsed="false">
      <c r="A248" s="67" t="str">
        <f aca="false">IF($K248="","",ROW()-5)</f>
        <v/>
      </c>
      <c r="B248" s="68" t="str">
        <f aca="false">IF($K248="","",INDEX(Base!$E$5:$E$2004,$K248))</f>
        <v/>
      </c>
      <c r="C248" s="69" t="str">
        <f aca="false">IF($K248="","",B248)</f>
        <v/>
      </c>
      <c r="D248" s="70" t="str">
        <f aca="false">IF($K248="","",INDEX(Base!$F$5:$F$2004,$K248))</f>
        <v/>
      </c>
      <c r="E248" s="70" t="str">
        <f aca="false">IF($K248="","",INDEX(Base!$G$5:$G$2004,$K248))</f>
        <v/>
      </c>
      <c r="F248" s="71" t="str">
        <f aca="false">IF($K248="","",INDEX(Base!$H$5:$H$2004,$K248))</f>
        <v/>
      </c>
      <c r="G248" s="71" t="str">
        <f aca="false">IF($K248="","",INDEX(Base!$I$5:$I$2004,$K248))</f>
        <v/>
      </c>
      <c r="H248" s="70" t="str">
        <f aca="false">IF($K248="","",INDEX(Base!$J$5:$J$2004,$K248))</f>
        <v/>
      </c>
      <c r="I248" s="71" t="str">
        <f aca="false">IF($K248="","",INDEX(Base!$L$5:$L$2004,$K248))</f>
        <v/>
      </c>
      <c r="J248" s="72" t="str">
        <f aca="false">IFERROR(SMALL(Base!$P$5:$P$2004,ROW()-5),"")</f>
        <v/>
      </c>
      <c r="K248" s="72" t="str">
        <f aca="false">IF(J248="","",MATCH(J248,Base!$P$5:$P$2004,0))</f>
        <v/>
      </c>
    </row>
    <row r="249" customFormat="false" ht="15" hidden="false" customHeight="false" outlineLevel="0" collapsed="false">
      <c r="A249" s="67" t="str">
        <f aca="false">IF($K249="","",ROW()-5)</f>
        <v/>
      </c>
      <c r="B249" s="68" t="str">
        <f aca="false">IF($K249="","",INDEX(Base!$E$5:$E$2004,$K249))</f>
        <v/>
      </c>
      <c r="C249" s="69" t="str">
        <f aca="false">IF($K249="","",B249)</f>
        <v/>
      </c>
      <c r="D249" s="70" t="str">
        <f aca="false">IF($K249="","",INDEX(Base!$F$5:$F$2004,$K249))</f>
        <v/>
      </c>
      <c r="E249" s="70" t="str">
        <f aca="false">IF($K249="","",INDEX(Base!$G$5:$G$2004,$K249))</f>
        <v/>
      </c>
      <c r="F249" s="71" t="str">
        <f aca="false">IF($K249="","",INDEX(Base!$H$5:$H$2004,$K249))</f>
        <v/>
      </c>
      <c r="G249" s="71" t="str">
        <f aca="false">IF($K249="","",INDEX(Base!$I$5:$I$2004,$K249))</f>
        <v/>
      </c>
      <c r="H249" s="70" t="str">
        <f aca="false">IF($K249="","",INDEX(Base!$J$5:$J$2004,$K249))</f>
        <v/>
      </c>
      <c r="I249" s="71" t="str">
        <f aca="false">IF($K249="","",INDEX(Base!$L$5:$L$2004,$K249))</f>
        <v/>
      </c>
      <c r="J249" s="72" t="str">
        <f aca="false">IFERROR(SMALL(Base!$P$5:$P$2004,ROW()-5),"")</f>
        <v/>
      </c>
      <c r="K249" s="72" t="str">
        <f aca="false">IF(J249="","",MATCH(J249,Base!$P$5:$P$2004,0))</f>
        <v/>
      </c>
    </row>
    <row r="250" customFormat="false" ht="15" hidden="false" customHeight="false" outlineLevel="0" collapsed="false">
      <c r="A250" s="67" t="str">
        <f aca="false">IF($K250="","",ROW()-5)</f>
        <v/>
      </c>
      <c r="B250" s="68" t="str">
        <f aca="false">IF($K250="","",INDEX(Base!$E$5:$E$2004,$K250))</f>
        <v/>
      </c>
      <c r="C250" s="69" t="str">
        <f aca="false">IF($K250="","",B250)</f>
        <v/>
      </c>
      <c r="D250" s="70" t="str">
        <f aca="false">IF($K250="","",INDEX(Base!$F$5:$F$2004,$K250))</f>
        <v/>
      </c>
      <c r="E250" s="70" t="str">
        <f aca="false">IF($K250="","",INDEX(Base!$G$5:$G$2004,$K250))</f>
        <v/>
      </c>
      <c r="F250" s="71" t="str">
        <f aca="false">IF($K250="","",INDEX(Base!$H$5:$H$2004,$K250))</f>
        <v/>
      </c>
      <c r="G250" s="71" t="str">
        <f aca="false">IF($K250="","",INDEX(Base!$I$5:$I$2004,$K250))</f>
        <v/>
      </c>
      <c r="H250" s="70" t="str">
        <f aca="false">IF($K250="","",INDEX(Base!$J$5:$J$2004,$K250))</f>
        <v/>
      </c>
      <c r="I250" s="71" t="str">
        <f aca="false">IF($K250="","",INDEX(Base!$L$5:$L$2004,$K250))</f>
        <v/>
      </c>
      <c r="J250" s="72" t="str">
        <f aca="false">IFERROR(SMALL(Base!$P$5:$P$2004,ROW()-5),"")</f>
        <v/>
      </c>
      <c r="K250" s="72" t="str">
        <f aca="false">IF(J250="","",MATCH(J250,Base!$P$5:$P$2004,0))</f>
        <v/>
      </c>
    </row>
    <row r="251" customFormat="false" ht="15" hidden="false" customHeight="false" outlineLevel="0" collapsed="false">
      <c r="A251" s="67" t="str">
        <f aca="false">IF($K251="","",ROW()-5)</f>
        <v/>
      </c>
      <c r="B251" s="68" t="str">
        <f aca="false">IF($K251="","",INDEX(Base!$E$5:$E$2004,$K251))</f>
        <v/>
      </c>
      <c r="C251" s="69" t="str">
        <f aca="false">IF($K251="","",B251)</f>
        <v/>
      </c>
      <c r="D251" s="70" t="str">
        <f aca="false">IF($K251="","",INDEX(Base!$F$5:$F$2004,$K251))</f>
        <v/>
      </c>
      <c r="E251" s="70" t="str">
        <f aca="false">IF($K251="","",INDEX(Base!$G$5:$G$2004,$K251))</f>
        <v/>
      </c>
      <c r="F251" s="71" t="str">
        <f aca="false">IF($K251="","",INDEX(Base!$H$5:$H$2004,$K251))</f>
        <v/>
      </c>
      <c r="G251" s="71" t="str">
        <f aca="false">IF($K251="","",INDEX(Base!$I$5:$I$2004,$K251))</f>
        <v/>
      </c>
      <c r="H251" s="70" t="str">
        <f aca="false">IF($K251="","",INDEX(Base!$J$5:$J$2004,$K251))</f>
        <v/>
      </c>
      <c r="I251" s="71" t="str">
        <f aca="false">IF($K251="","",INDEX(Base!$L$5:$L$2004,$K251))</f>
        <v/>
      </c>
      <c r="J251" s="72" t="str">
        <f aca="false">IFERROR(SMALL(Base!$P$5:$P$2004,ROW()-5),"")</f>
        <v/>
      </c>
      <c r="K251" s="72" t="str">
        <f aca="false">IF(J251="","",MATCH(J251,Base!$P$5:$P$2004,0))</f>
        <v/>
      </c>
    </row>
    <row r="252" customFormat="false" ht="15" hidden="false" customHeight="false" outlineLevel="0" collapsed="false">
      <c r="A252" s="67" t="str">
        <f aca="false">IF($K252="","",ROW()-5)</f>
        <v/>
      </c>
      <c r="B252" s="68" t="str">
        <f aca="false">IF($K252="","",INDEX(Base!$E$5:$E$2004,$K252))</f>
        <v/>
      </c>
      <c r="C252" s="69" t="str">
        <f aca="false">IF($K252="","",B252)</f>
        <v/>
      </c>
      <c r="D252" s="70" t="str">
        <f aca="false">IF($K252="","",INDEX(Base!$F$5:$F$2004,$K252))</f>
        <v/>
      </c>
      <c r="E252" s="70" t="str">
        <f aca="false">IF($K252="","",INDEX(Base!$G$5:$G$2004,$K252))</f>
        <v/>
      </c>
      <c r="F252" s="71" t="str">
        <f aca="false">IF($K252="","",INDEX(Base!$H$5:$H$2004,$K252))</f>
        <v/>
      </c>
      <c r="G252" s="71" t="str">
        <f aca="false">IF($K252="","",INDEX(Base!$I$5:$I$2004,$K252))</f>
        <v/>
      </c>
      <c r="H252" s="70" t="str">
        <f aca="false">IF($K252="","",INDEX(Base!$J$5:$J$2004,$K252))</f>
        <v/>
      </c>
      <c r="I252" s="71" t="str">
        <f aca="false">IF($K252="","",INDEX(Base!$L$5:$L$2004,$K252))</f>
        <v/>
      </c>
      <c r="J252" s="72" t="str">
        <f aca="false">IFERROR(SMALL(Base!$P$5:$P$2004,ROW()-5),"")</f>
        <v/>
      </c>
      <c r="K252" s="72" t="str">
        <f aca="false">IF(J252="","",MATCH(J252,Base!$P$5:$P$2004,0))</f>
        <v/>
      </c>
    </row>
    <row r="253" customFormat="false" ht="15" hidden="false" customHeight="false" outlineLevel="0" collapsed="false">
      <c r="A253" s="67" t="str">
        <f aca="false">IF($K253="","",ROW()-5)</f>
        <v/>
      </c>
      <c r="B253" s="68" t="str">
        <f aca="false">IF($K253="","",INDEX(Base!$E$5:$E$2004,$K253))</f>
        <v/>
      </c>
      <c r="C253" s="69" t="str">
        <f aca="false">IF($K253="","",B253)</f>
        <v/>
      </c>
      <c r="D253" s="70" t="str">
        <f aca="false">IF($K253="","",INDEX(Base!$F$5:$F$2004,$K253))</f>
        <v/>
      </c>
      <c r="E253" s="70" t="str">
        <f aca="false">IF($K253="","",INDEX(Base!$G$5:$G$2004,$K253))</f>
        <v/>
      </c>
      <c r="F253" s="71" t="str">
        <f aca="false">IF($K253="","",INDEX(Base!$H$5:$H$2004,$K253))</f>
        <v/>
      </c>
      <c r="G253" s="71" t="str">
        <f aca="false">IF($K253="","",INDEX(Base!$I$5:$I$2004,$K253))</f>
        <v/>
      </c>
      <c r="H253" s="70" t="str">
        <f aca="false">IF($K253="","",INDEX(Base!$J$5:$J$2004,$K253))</f>
        <v/>
      </c>
      <c r="I253" s="71" t="str">
        <f aca="false">IF($K253="","",INDEX(Base!$L$5:$L$2004,$K253))</f>
        <v/>
      </c>
      <c r="J253" s="72" t="str">
        <f aca="false">IFERROR(SMALL(Base!$P$5:$P$2004,ROW()-5),"")</f>
        <v/>
      </c>
      <c r="K253" s="72" t="str">
        <f aca="false">IF(J253="","",MATCH(J253,Base!$P$5:$P$2004,0))</f>
        <v/>
      </c>
    </row>
    <row r="254" customFormat="false" ht="15" hidden="false" customHeight="false" outlineLevel="0" collapsed="false">
      <c r="A254" s="67" t="str">
        <f aca="false">IF($K254="","",ROW()-5)</f>
        <v/>
      </c>
      <c r="B254" s="68" t="str">
        <f aca="false">IF($K254="","",INDEX(Base!$E$5:$E$2004,$K254))</f>
        <v/>
      </c>
      <c r="C254" s="69" t="str">
        <f aca="false">IF($K254="","",B254)</f>
        <v/>
      </c>
      <c r="D254" s="70" t="str">
        <f aca="false">IF($K254="","",INDEX(Base!$F$5:$F$2004,$K254))</f>
        <v/>
      </c>
      <c r="E254" s="70" t="str">
        <f aca="false">IF($K254="","",INDEX(Base!$G$5:$G$2004,$K254))</f>
        <v/>
      </c>
      <c r="F254" s="71" t="str">
        <f aca="false">IF($K254="","",INDEX(Base!$H$5:$H$2004,$K254))</f>
        <v/>
      </c>
      <c r="G254" s="71" t="str">
        <f aca="false">IF($K254="","",INDEX(Base!$I$5:$I$2004,$K254))</f>
        <v/>
      </c>
      <c r="H254" s="70" t="str">
        <f aca="false">IF($K254="","",INDEX(Base!$J$5:$J$2004,$K254))</f>
        <v/>
      </c>
      <c r="I254" s="71" t="str">
        <f aca="false">IF($K254="","",INDEX(Base!$L$5:$L$2004,$K254))</f>
        <v/>
      </c>
      <c r="J254" s="72" t="str">
        <f aca="false">IFERROR(SMALL(Base!$P$5:$P$2004,ROW()-5),"")</f>
        <v/>
      </c>
      <c r="K254" s="72" t="str">
        <f aca="false">IF(J254="","",MATCH(J254,Base!$P$5:$P$2004,0))</f>
        <v/>
      </c>
    </row>
    <row r="255" customFormat="false" ht="15" hidden="false" customHeight="false" outlineLevel="0" collapsed="false">
      <c r="A255" s="67" t="str">
        <f aca="false">IF($K255="","",ROW()-5)</f>
        <v/>
      </c>
      <c r="B255" s="68" t="str">
        <f aca="false">IF($K255="","",INDEX(Base!$E$5:$E$2004,$K255))</f>
        <v/>
      </c>
      <c r="C255" s="69" t="str">
        <f aca="false">IF($K255="","",B255)</f>
        <v/>
      </c>
      <c r="D255" s="70" t="str">
        <f aca="false">IF($K255="","",INDEX(Base!$F$5:$F$2004,$K255))</f>
        <v/>
      </c>
      <c r="E255" s="70" t="str">
        <f aca="false">IF($K255="","",INDEX(Base!$G$5:$G$2004,$K255))</f>
        <v/>
      </c>
      <c r="F255" s="71" t="str">
        <f aca="false">IF($K255="","",INDEX(Base!$H$5:$H$2004,$K255))</f>
        <v/>
      </c>
      <c r="G255" s="71" t="str">
        <f aca="false">IF($K255="","",INDEX(Base!$I$5:$I$2004,$K255))</f>
        <v/>
      </c>
      <c r="H255" s="70" t="str">
        <f aca="false">IF($K255="","",INDEX(Base!$J$5:$J$2004,$K255))</f>
        <v/>
      </c>
      <c r="I255" s="71" t="str">
        <f aca="false">IF($K255="","",INDEX(Base!$L$5:$L$2004,$K255))</f>
        <v/>
      </c>
      <c r="J255" s="72" t="str">
        <f aca="false">IFERROR(SMALL(Base!$P$5:$P$2004,ROW()-5),"")</f>
        <v/>
      </c>
      <c r="K255" s="72" t="str">
        <f aca="false">IF(J255="","",MATCH(J255,Base!$P$5:$P$2004,0))</f>
        <v/>
      </c>
    </row>
    <row r="256" customFormat="false" ht="15" hidden="false" customHeight="false" outlineLevel="0" collapsed="false">
      <c r="A256" s="67" t="str">
        <f aca="false">IF($K256="","",ROW()-5)</f>
        <v/>
      </c>
      <c r="B256" s="68" t="str">
        <f aca="false">IF($K256="","",INDEX(Base!$E$5:$E$2004,$K256))</f>
        <v/>
      </c>
      <c r="C256" s="69" t="str">
        <f aca="false">IF($K256="","",B256)</f>
        <v/>
      </c>
      <c r="D256" s="70" t="str">
        <f aca="false">IF($K256="","",INDEX(Base!$F$5:$F$2004,$K256))</f>
        <v/>
      </c>
      <c r="E256" s="70" t="str">
        <f aca="false">IF($K256="","",INDEX(Base!$G$5:$G$2004,$K256))</f>
        <v/>
      </c>
      <c r="F256" s="71" t="str">
        <f aca="false">IF($K256="","",INDEX(Base!$H$5:$H$2004,$K256))</f>
        <v/>
      </c>
      <c r="G256" s="71" t="str">
        <f aca="false">IF($K256="","",INDEX(Base!$I$5:$I$2004,$K256))</f>
        <v/>
      </c>
      <c r="H256" s="70" t="str">
        <f aca="false">IF($K256="","",INDEX(Base!$J$5:$J$2004,$K256))</f>
        <v/>
      </c>
      <c r="I256" s="71" t="str">
        <f aca="false">IF($K256="","",INDEX(Base!$L$5:$L$2004,$K256))</f>
        <v/>
      </c>
      <c r="J256" s="72" t="str">
        <f aca="false">IFERROR(SMALL(Base!$P$5:$P$2004,ROW()-5),"")</f>
        <v/>
      </c>
      <c r="K256" s="72" t="str">
        <f aca="false">IF(J256="","",MATCH(J256,Base!$P$5:$P$2004,0))</f>
        <v/>
      </c>
    </row>
    <row r="257" customFormat="false" ht="15" hidden="false" customHeight="false" outlineLevel="0" collapsed="false">
      <c r="A257" s="67" t="str">
        <f aca="false">IF($K257="","",ROW()-5)</f>
        <v/>
      </c>
      <c r="B257" s="68" t="str">
        <f aca="false">IF($K257="","",INDEX(Base!$E$5:$E$2004,$K257))</f>
        <v/>
      </c>
      <c r="C257" s="69" t="str">
        <f aca="false">IF($K257="","",B257)</f>
        <v/>
      </c>
      <c r="D257" s="70" t="str">
        <f aca="false">IF($K257="","",INDEX(Base!$F$5:$F$2004,$K257))</f>
        <v/>
      </c>
      <c r="E257" s="70" t="str">
        <f aca="false">IF($K257="","",INDEX(Base!$G$5:$G$2004,$K257))</f>
        <v/>
      </c>
      <c r="F257" s="71" t="str">
        <f aca="false">IF($K257="","",INDEX(Base!$H$5:$H$2004,$K257))</f>
        <v/>
      </c>
      <c r="G257" s="71" t="str">
        <f aca="false">IF($K257="","",INDEX(Base!$I$5:$I$2004,$K257))</f>
        <v/>
      </c>
      <c r="H257" s="70" t="str">
        <f aca="false">IF($K257="","",INDEX(Base!$J$5:$J$2004,$K257))</f>
        <v/>
      </c>
      <c r="I257" s="71" t="str">
        <f aca="false">IF($K257="","",INDEX(Base!$L$5:$L$2004,$K257))</f>
        <v/>
      </c>
      <c r="J257" s="72" t="str">
        <f aca="false">IFERROR(SMALL(Base!$P$5:$P$2004,ROW()-5),"")</f>
        <v/>
      </c>
      <c r="K257" s="72" t="str">
        <f aca="false">IF(J257="","",MATCH(J257,Base!$P$5:$P$2004,0))</f>
        <v/>
      </c>
    </row>
    <row r="258" customFormat="false" ht="15" hidden="false" customHeight="false" outlineLevel="0" collapsed="false">
      <c r="A258" s="67" t="str">
        <f aca="false">IF($K258="","",ROW()-5)</f>
        <v/>
      </c>
      <c r="B258" s="68" t="str">
        <f aca="false">IF($K258="","",INDEX(Base!$E$5:$E$2004,$K258))</f>
        <v/>
      </c>
      <c r="C258" s="69" t="str">
        <f aca="false">IF($K258="","",B258)</f>
        <v/>
      </c>
      <c r="D258" s="70" t="str">
        <f aca="false">IF($K258="","",INDEX(Base!$F$5:$F$2004,$K258))</f>
        <v/>
      </c>
      <c r="E258" s="70" t="str">
        <f aca="false">IF($K258="","",INDEX(Base!$G$5:$G$2004,$K258))</f>
        <v/>
      </c>
      <c r="F258" s="71" t="str">
        <f aca="false">IF($K258="","",INDEX(Base!$H$5:$H$2004,$K258))</f>
        <v/>
      </c>
      <c r="G258" s="71" t="str">
        <f aca="false">IF($K258="","",INDEX(Base!$I$5:$I$2004,$K258))</f>
        <v/>
      </c>
      <c r="H258" s="70" t="str">
        <f aca="false">IF($K258="","",INDEX(Base!$J$5:$J$2004,$K258))</f>
        <v/>
      </c>
      <c r="I258" s="71" t="str">
        <f aca="false">IF($K258="","",INDEX(Base!$L$5:$L$2004,$K258))</f>
        <v/>
      </c>
      <c r="J258" s="72" t="str">
        <f aca="false">IFERROR(SMALL(Base!$P$5:$P$2004,ROW()-5),"")</f>
        <v/>
      </c>
      <c r="K258" s="72" t="str">
        <f aca="false">IF(J258="","",MATCH(J258,Base!$P$5:$P$2004,0))</f>
        <v/>
      </c>
    </row>
    <row r="259" customFormat="false" ht="15" hidden="false" customHeight="false" outlineLevel="0" collapsed="false">
      <c r="A259" s="67" t="str">
        <f aca="false">IF($K259="","",ROW()-5)</f>
        <v/>
      </c>
      <c r="B259" s="68" t="str">
        <f aca="false">IF($K259="","",INDEX(Base!$E$5:$E$2004,$K259))</f>
        <v/>
      </c>
      <c r="C259" s="69" t="str">
        <f aca="false">IF($K259="","",B259)</f>
        <v/>
      </c>
      <c r="D259" s="70" t="str">
        <f aca="false">IF($K259="","",INDEX(Base!$F$5:$F$2004,$K259))</f>
        <v/>
      </c>
      <c r="E259" s="70" t="str">
        <f aca="false">IF($K259="","",INDEX(Base!$G$5:$G$2004,$K259))</f>
        <v/>
      </c>
      <c r="F259" s="71" t="str">
        <f aca="false">IF($K259="","",INDEX(Base!$H$5:$H$2004,$K259))</f>
        <v/>
      </c>
      <c r="G259" s="71" t="str">
        <f aca="false">IF($K259="","",INDEX(Base!$I$5:$I$2004,$K259))</f>
        <v/>
      </c>
      <c r="H259" s="70" t="str">
        <f aca="false">IF($K259="","",INDEX(Base!$J$5:$J$2004,$K259))</f>
        <v/>
      </c>
      <c r="I259" s="71" t="str">
        <f aca="false">IF($K259="","",INDEX(Base!$L$5:$L$2004,$K259))</f>
        <v/>
      </c>
      <c r="J259" s="72" t="str">
        <f aca="false">IFERROR(SMALL(Base!$P$5:$P$2004,ROW()-5),"")</f>
        <v/>
      </c>
      <c r="K259" s="72" t="str">
        <f aca="false">IF(J259="","",MATCH(J259,Base!$P$5:$P$2004,0))</f>
        <v/>
      </c>
    </row>
    <row r="260" customFormat="false" ht="15" hidden="false" customHeight="false" outlineLevel="0" collapsed="false">
      <c r="A260" s="67" t="str">
        <f aca="false">IF($K260="","",ROW()-5)</f>
        <v/>
      </c>
      <c r="B260" s="68" t="str">
        <f aca="false">IF($K260="","",INDEX(Base!$E$5:$E$2004,$K260))</f>
        <v/>
      </c>
      <c r="C260" s="69" t="str">
        <f aca="false">IF($K260="","",B260)</f>
        <v/>
      </c>
      <c r="D260" s="70" t="str">
        <f aca="false">IF($K260="","",INDEX(Base!$F$5:$F$2004,$K260))</f>
        <v/>
      </c>
      <c r="E260" s="70" t="str">
        <f aca="false">IF($K260="","",INDEX(Base!$G$5:$G$2004,$K260))</f>
        <v/>
      </c>
      <c r="F260" s="71" t="str">
        <f aca="false">IF($K260="","",INDEX(Base!$H$5:$H$2004,$K260))</f>
        <v/>
      </c>
      <c r="G260" s="71" t="str">
        <f aca="false">IF($K260="","",INDEX(Base!$I$5:$I$2004,$K260))</f>
        <v/>
      </c>
      <c r="H260" s="70" t="str">
        <f aca="false">IF($K260="","",INDEX(Base!$J$5:$J$2004,$K260))</f>
        <v/>
      </c>
      <c r="I260" s="71" t="str">
        <f aca="false">IF($K260="","",INDEX(Base!$L$5:$L$2004,$K260))</f>
        <v/>
      </c>
      <c r="J260" s="72" t="str">
        <f aca="false">IFERROR(SMALL(Base!$P$5:$P$2004,ROW()-5),"")</f>
        <v/>
      </c>
      <c r="K260" s="72" t="str">
        <f aca="false">IF(J260="","",MATCH(J260,Base!$P$5:$P$2004,0))</f>
        <v/>
      </c>
    </row>
    <row r="261" customFormat="false" ht="15" hidden="false" customHeight="false" outlineLevel="0" collapsed="false">
      <c r="A261" s="67" t="str">
        <f aca="false">IF($K261="","",ROW()-5)</f>
        <v/>
      </c>
      <c r="B261" s="68" t="str">
        <f aca="false">IF($K261="","",INDEX(Base!$E$5:$E$2004,$K261))</f>
        <v/>
      </c>
      <c r="C261" s="69" t="str">
        <f aca="false">IF($K261="","",B261)</f>
        <v/>
      </c>
      <c r="D261" s="70" t="str">
        <f aca="false">IF($K261="","",INDEX(Base!$F$5:$F$2004,$K261))</f>
        <v/>
      </c>
      <c r="E261" s="70" t="str">
        <f aca="false">IF($K261="","",INDEX(Base!$G$5:$G$2004,$K261))</f>
        <v/>
      </c>
      <c r="F261" s="71" t="str">
        <f aca="false">IF($K261="","",INDEX(Base!$H$5:$H$2004,$K261))</f>
        <v/>
      </c>
      <c r="G261" s="71" t="str">
        <f aca="false">IF($K261="","",INDEX(Base!$I$5:$I$2004,$K261))</f>
        <v/>
      </c>
      <c r="H261" s="70" t="str">
        <f aca="false">IF($K261="","",INDEX(Base!$J$5:$J$2004,$K261))</f>
        <v/>
      </c>
      <c r="I261" s="71" t="str">
        <f aca="false">IF($K261="","",INDEX(Base!$L$5:$L$2004,$K261))</f>
        <v/>
      </c>
      <c r="J261" s="72" t="str">
        <f aca="false">IFERROR(SMALL(Base!$P$5:$P$2004,ROW()-5),"")</f>
        <v/>
      </c>
      <c r="K261" s="72" t="str">
        <f aca="false">IF(J261="","",MATCH(J261,Base!$P$5:$P$2004,0))</f>
        <v/>
      </c>
    </row>
    <row r="262" customFormat="false" ht="15" hidden="false" customHeight="false" outlineLevel="0" collapsed="false">
      <c r="A262" s="67" t="str">
        <f aca="false">IF($K262="","",ROW()-5)</f>
        <v/>
      </c>
      <c r="B262" s="68" t="str">
        <f aca="false">IF($K262="","",INDEX(Base!$E$5:$E$2004,$K262))</f>
        <v/>
      </c>
      <c r="C262" s="69" t="str">
        <f aca="false">IF($K262="","",B262)</f>
        <v/>
      </c>
      <c r="D262" s="70" t="str">
        <f aca="false">IF($K262="","",INDEX(Base!$F$5:$F$2004,$K262))</f>
        <v/>
      </c>
      <c r="E262" s="70" t="str">
        <f aca="false">IF($K262="","",INDEX(Base!$G$5:$G$2004,$K262))</f>
        <v/>
      </c>
      <c r="F262" s="71" t="str">
        <f aca="false">IF($K262="","",INDEX(Base!$H$5:$H$2004,$K262))</f>
        <v/>
      </c>
      <c r="G262" s="71" t="str">
        <f aca="false">IF($K262="","",INDEX(Base!$I$5:$I$2004,$K262))</f>
        <v/>
      </c>
      <c r="H262" s="70" t="str">
        <f aca="false">IF($K262="","",INDEX(Base!$J$5:$J$2004,$K262))</f>
        <v/>
      </c>
      <c r="I262" s="71" t="str">
        <f aca="false">IF($K262="","",INDEX(Base!$L$5:$L$2004,$K262))</f>
        <v/>
      </c>
      <c r="J262" s="72" t="str">
        <f aca="false">IFERROR(SMALL(Base!$P$5:$P$2004,ROW()-5),"")</f>
        <v/>
      </c>
      <c r="K262" s="72" t="str">
        <f aca="false">IF(J262="","",MATCH(J262,Base!$P$5:$P$2004,0))</f>
        <v/>
      </c>
    </row>
    <row r="263" customFormat="false" ht="15" hidden="false" customHeight="false" outlineLevel="0" collapsed="false">
      <c r="A263" s="67" t="str">
        <f aca="false">IF($K263="","",ROW()-5)</f>
        <v/>
      </c>
      <c r="B263" s="68" t="str">
        <f aca="false">IF($K263="","",INDEX(Base!$E$5:$E$2004,$K263))</f>
        <v/>
      </c>
      <c r="C263" s="69" t="str">
        <f aca="false">IF($K263="","",B263)</f>
        <v/>
      </c>
      <c r="D263" s="70" t="str">
        <f aca="false">IF($K263="","",INDEX(Base!$F$5:$F$2004,$K263))</f>
        <v/>
      </c>
      <c r="E263" s="70" t="str">
        <f aca="false">IF($K263="","",INDEX(Base!$G$5:$G$2004,$K263))</f>
        <v/>
      </c>
      <c r="F263" s="71" t="str">
        <f aca="false">IF($K263="","",INDEX(Base!$H$5:$H$2004,$K263))</f>
        <v/>
      </c>
      <c r="G263" s="71" t="str">
        <f aca="false">IF($K263="","",INDEX(Base!$I$5:$I$2004,$K263))</f>
        <v/>
      </c>
      <c r="H263" s="70" t="str">
        <f aca="false">IF($K263="","",INDEX(Base!$J$5:$J$2004,$K263))</f>
        <v/>
      </c>
      <c r="I263" s="71" t="str">
        <f aca="false">IF($K263="","",INDEX(Base!$L$5:$L$2004,$K263))</f>
        <v/>
      </c>
      <c r="J263" s="72" t="str">
        <f aca="false">IFERROR(SMALL(Base!$P$5:$P$2004,ROW()-5),"")</f>
        <v/>
      </c>
      <c r="K263" s="72" t="str">
        <f aca="false">IF(J263="","",MATCH(J263,Base!$P$5:$P$2004,0))</f>
        <v/>
      </c>
    </row>
    <row r="264" customFormat="false" ht="15" hidden="false" customHeight="false" outlineLevel="0" collapsed="false">
      <c r="A264" s="67" t="str">
        <f aca="false">IF($K264="","",ROW()-5)</f>
        <v/>
      </c>
      <c r="B264" s="68" t="str">
        <f aca="false">IF($K264="","",INDEX(Base!$E$5:$E$2004,$K264))</f>
        <v/>
      </c>
      <c r="C264" s="69" t="str">
        <f aca="false">IF($K264="","",B264)</f>
        <v/>
      </c>
      <c r="D264" s="70" t="str">
        <f aca="false">IF($K264="","",INDEX(Base!$F$5:$F$2004,$K264))</f>
        <v/>
      </c>
      <c r="E264" s="70" t="str">
        <f aca="false">IF($K264="","",INDEX(Base!$G$5:$G$2004,$K264))</f>
        <v/>
      </c>
      <c r="F264" s="71" t="str">
        <f aca="false">IF($K264="","",INDEX(Base!$H$5:$H$2004,$K264))</f>
        <v/>
      </c>
      <c r="G264" s="71" t="str">
        <f aca="false">IF($K264="","",INDEX(Base!$I$5:$I$2004,$K264))</f>
        <v/>
      </c>
      <c r="H264" s="70" t="str">
        <f aca="false">IF($K264="","",INDEX(Base!$J$5:$J$2004,$K264))</f>
        <v/>
      </c>
      <c r="I264" s="71" t="str">
        <f aca="false">IF($K264="","",INDEX(Base!$L$5:$L$2004,$K264))</f>
        <v/>
      </c>
      <c r="J264" s="72" t="str">
        <f aca="false">IFERROR(SMALL(Base!$P$5:$P$2004,ROW()-5),"")</f>
        <v/>
      </c>
      <c r="K264" s="72" t="str">
        <f aca="false">IF(J264="","",MATCH(J264,Base!$P$5:$P$2004,0))</f>
        <v/>
      </c>
    </row>
    <row r="265" customFormat="false" ht="15" hidden="false" customHeight="false" outlineLevel="0" collapsed="false">
      <c r="A265" s="67" t="str">
        <f aca="false">IF($K265="","",ROW()-5)</f>
        <v/>
      </c>
      <c r="B265" s="68" t="str">
        <f aca="false">IF($K265="","",INDEX(Base!$E$5:$E$2004,$K265))</f>
        <v/>
      </c>
      <c r="C265" s="69" t="str">
        <f aca="false">IF($K265="","",B265)</f>
        <v/>
      </c>
      <c r="D265" s="70" t="str">
        <f aca="false">IF($K265="","",INDEX(Base!$F$5:$F$2004,$K265))</f>
        <v/>
      </c>
      <c r="E265" s="70" t="str">
        <f aca="false">IF($K265="","",INDEX(Base!$G$5:$G$2004,$K265))</f>
        <v/>
      </c>
      <c r="F265" s="71" t="str">
        <f aca="false">IF($K265="","",INDEX(Base!$H$5:$H$2004,$K265))</f>
        <v/>
      </c>
      <c r="G265" s="71" t="str">
        <f aca="false">IF($K265="","",INDEX(Base!$I$5:$I$2004,$K265))</f>
        <v/>
      </c>
      <c r="H265" s="70" t="str">
        <f aca="false">IF($K265="","",INDEX(Base!$J$5:$J$2004,$K265))</f>
        <v/>
      </c>
      <c r="I265" s="71" t="str">
        <f aca="false">IF($K265="","",INDEX(Base!$L$5:$L$2004,$K265))</f>
        <v/>
      </c>
      <c r="J265" s="72" t="str">
        <f aca="false">IFERROR(SMALL(Base!$P$5:$P$2004,ROW()-5),"")</f>
        <v/>
      </c>
      <c r="K265" s="72" t="str">
        <f aca="false">IF(J265="","",MATCH(J265,Base!$P$5:$P$2004,0))</f>
        <v/>
      </c>
    </row>
    <row r="266" customFormat="false" ht="15" hidden="false" customHeight="false" outlineLevel="0" collapsed="false">
      <c r="A266" s="67" t="str">
        <f aca="false">IF($K266="","",ROW()-5)</f>
        <v/>
      </c>
      <c r="B266" s="68" t="str">
        <f aca="false">IF($K266="","",INDEX(Base!$E$5:$E$2004,$K266))</f>
        <v/>
      </c>
      <c r="C266" s="69" t="str">
        <f aca="false">IF($K266="","",B266)</f>
        <v/>
      </c>
      <c r="D266" s="70" t="str">
        <f aca="false">IF($K266="","",INDEX(Base!$F$5:$F$2004,$K266))</f>
        <v/>
      </c>
      <c r="E266" s="70" t="str">
        <f aca="false">IF($K266="","",INDEX(Base!$G$5:$G$2004,$K266))</f>
        <v/>
      </c>
      <c r="F266" s="71" t="str">
        <f aca="false">IF($K266="","",INDEX(Base!$H$5:$H$2004,$K266))</f>
        <v/>
      </c>
      <c r="G266" s="71" t="str">
        <f aca="false">IF($K266="","",INDEX(Base!$I$5:$I$2004,$K266))</f>
        <v/>
      </c>
      <c r="H266" s="70" t="str">
        <f aca="false">IF($K266="","",INDEX(Base!$J$5:$J$2004,$K266))</f>
        <v/>
      </c>
      <c r="I266" s="71" t="str">
        <f aca="false">IF($K266="","",INDEX(Base!$L$5:$L$2004,$K266))</f>
        <v/>
      </c>
      <c r="J266" s="72" t="str">
        <f aca="false">IFERROR(SMALL(Base!$P$5:$P$2004,ROW()-5),"")</f>
        <v/>
      </c>
      <c r="K266" s="72" t="str">
        <f aca="false">IF(J266="","",MATCH(J266,Base!$P$5:$P$2004,0))</f>
        <v/>
      </c>
    </row>
    <row r="267" customFormat="false" ht="15" hidden="false" customHeight="false" outlineLevel="0" collapsed="false">
      <c r="A267" s="67" t="str">
        <f aca="false">IF($K267="","",ROW()-5)</f>
        <v/>
      </c>
      <c r="B267" s="68" t="str">
        <f aca="false">IF($K267="","",INDEX(Base!$E$5:$E$2004,$K267))</f>
        <v/>
      </c>
      <c r="C267" s="69" t="str">
        <f aca="false">IF($K267="","",B267)</f>
        <v/>
      </c>
      <c r="D267" s="70" t="str">
        <f aca="false">IF($K267="","",INDEX(Base!$F$5:$F$2004,$K267))</f>
        <v/>
      </c>
      <c r="E267" s="70" t="str">
        <f aca="false">IF($K267="","",INDEX(Base!$G$5:$G$2004,$K267))</f>
        <v/>
      </c>
      <c r="F267" s="71" t="str">
        <f aca="false">IF($K267="","",INDEX(Base!$H$5:$H$2004,$K267))</f>
        <v/>
      </c>
      <c r="G267" s="71" t="str">
        <f aca="false">IF($K267="","",INDEX(Base!$I$5:$I$2004,$K267))</f>
        <v/>
      </c>
      <c r="H267" s="70" t="str">
        <f aca="false">IF($K267="","",INDEX(Base!$J$5:$J$2004,$K267))</f>
        <v/>
      </c>
      <c r="I267" s="71" t="str">
        <f aca="false">IF($K267="","",INDEX(Base!$L$5:$L$2004,$K267))</f>
        <v/>
      </c>
      <c r="J267" s="72" t="str">
        <f aca="false">IFERROR(SMALL(Base!$P$5:$P$2004,ROW()-5),"")</f>
        <v/>
      </c>
      <c r="K267" s="72" t="str">
        <f aca="false">IF(J267="","",MATCH(J267,Base!$P$5:$P$2004,0))</f>
        <v/>
      </c>
    </row>
    <row r="268" customFormat="false" ht="15" hidden="false" customHeight="false" outlineLevel="0" collapsed="false">
      <c r="A268" s="67" t="str">
        <f aca="false">IF($K268="","",ROW()-5)</f>
        <v/>
      </c>
      <c r="B268" s="68" t="str">
        <f aca="false">IF($K268="","",INDEX(Base!$E$5:$E$2004,$K268))</f>
        <v/>
      </c>
      <c r="C268" s="69" t="str">
        <f aca="false">IF($K268="","",B268)</f>
        <v/>
      </c>
      <c r="D268" s="70" t="str">
        <f aca="false">IF($K268="","",INDEX(Base!$F$5:$F$2004,$K268))</f>
        <v/>
      </c>
      <c r="E268" s="70" t="str">
        <f aca="false">IF($K268="","",INDEX(Base!$G$5:$G$2004,$K268))</f>
        <v/>
      </c>
      <c r="F268" s="71" t="str">
        <f aca="false">IF($K268="","",INDEX(Base!$H$5:$H$2004,$K268))</f>
        <v/>
      </c>
      <c r="G268" s="71" t="str">
        <f aca="false">IF($K268="","",INDEX(Base!$I$5:$I$2004,$K268))</f>
        <v/>
      </c>
      <c r="H268" s="70" t="str">
        <f aca="false">IF($K268="","",INDEX(Base!$J$5:$J$2004,$K268))</f>
        <v/>
      </c>
      <c r="I268" s="71" t="str">
        <f aca="false">IF($K268="","",INDEX(Base!$L$5:$L$2004,$K268))</f>
        <v/>
      </c>
      <c r="J268" s="72" t="str">
        <f aca="false">IFERROR(SMALL(Base!$P$5:$P$2004,ROW()-5),"")</f>
        <v/>
      </c>
      <c r="K268" s="72" t="str">
        <f aca="false">IF(J268="","",MATCH(J268,Base!$P$5:$P$2004,0))</f>
        <v/>
      </c>
    </row>
    <row r="269" customFormat="false" ht="15" hidden="false" customHeight="false" outlineLevel="0" collapsed="false">
      <c r="A269" s="67" t="str">
        <f aca="false">IF($K269="","",ROW()-5)</f>
        <v/>
      </c>
      <c r="B269" s="68" t="str">
        <f aca="false">IF($K269="","",INDEX(Base!$E$5:$E$2004,$K269))</f>
        <v/>
      </c>
      <c r="C269" s="69" t="str">
        <f aca="false">IF($K269="","",B269)</f>
        <v/>
      </c>
      <c r="D269" s="70" t="str">
        <f aca="false">IF($K269="","",INDEX(Base!$F$5:$F$2004,$K269))</f>
        <v/>
      </c>
      <c r="E269" s="70" t="str">
        <f aca="false">IF($K269="","",INDEX(Base!$G$5:$G$2004,$K269))</f>
        <v/>
      </c>
      <c r="F269" s="71" t="str">
        <f aca="false">IF($K269="","",INDEX(Base!$H$5:$H$2004,$K269))</f>
        <v/>
      </c>
      <c r="G269" s="71" t="str">
        <f aca="false">IF($K269="","",INDEX(Base!$I$5:$I$2004,$K269))</f>
        <v/>
      </c>
      <c r="H269" s="70" t="str">
        <f aca="false">IF($K269="","",INDEX(Base!$J$5:$J$2004,$K269))</f>
        <v/>
      </c>
      <c r="I269" s="71" t="str">
        <f aca="false">IF($K269="","",INDEX(Base!$L$5:$L$2004,$K269))</f>
        <v/>
      </c>
      <c r="J269" s="72" t="str">
        <f aca="false">IFERROR(SMALL(Base!$P$5:$P$2004,ROW()-5),"")</f>
        <v/>
      </c>
      <c r="K269" s="72" t="str">
        <f aca="false">IF(J269="","",MATCH(J269,Base!$P$5:$P$2004,0))</f>
        <v/>
      </c>
    </row>
    <row r="270" customFormat="false" ht="15" hidden="false" customHeight="false" outlineLevel="0" collapsed="false">
      <c r="A270" s="67" t="str">
        <f aca="false">IF($K270="","",ROW()-5)</f>
        <v/>
      </c>
      <c r="B270" s="68" t="str">
        <f aca="false">IF($K270="","",INDEX(Base!$E$5:$E$2004,$K270))</f>
        <v/>
      </c>
      <c r="C270" s="69" t="str">
        <f aca="false">IF($K270="","",B270)</f>
        <v/>
      </c>
      <c r="D270" s="70" t="str">
        <f aca="false">IF($K270="","",INDEX(Base!$F$5:$F$2004,$K270))</f>
        <v/>
      </c>
      <c r="E270" s="70" t="str">
        <f aca="false">IF($K270="","",INDEX(Base!$G$5:$G$2004,$K270))</f>
        <v/>
      </c>
      <c r="F270" s="71" t="str">
        <f aca="false">IF($K270="","",INDEX(Base!$H$5:$H$2004,$K270))</f>
        <v/>
      </c>
      <c r="G270" s="71" t="str">
        <f aca="false">IF($K270="","",INDEX(Base!$I$5:$I$2004,$K270))</f>
        <v/>
      </c>
      <c r="H270" s="70" t="str">
        <f aca="false">IF($K270="","",INDEX(Base!$J$5:$J$2004,$K270))</f>
        <v/>
      </c>
      <c r="I270" s="71" t="str">
        <f aca="false">IF($K270="","",INDEX(Base!$L$5:$L$2004,$K270))</f>
        <v/>
      </c>
      <c r="J270" s="72" t="str">
        <f aca="false">IFERROR(SMALL(Base!$P$5:$P$2004,ROW()-5),"")</f>
        <v/>
      </c>
      <c r="K270" s="72" t="str">
        <f aca="false">IF(J270="","",MATCH(J270,Base!$P$5:$P$2004,0))</f>
        <v/>
      </c>
    </row>
    <row r="271" customFormat="false" ht="15" hidden="false" customHeight="false" outlineLevel="0" collapsed="false">
      <c r="A271" s="67" t="str">
        <f aca="false">IF($K271="","",ROW()-5)</f>
        <v/>
      </c>
      <c r="B271" s="68" t="str">
        <f aca="false">IF($K271="","",INDEX(Base!$E$5:$E$2004,$K271))</f>
        <v/>
      </c>
      <c r="C271" s="69" t="str">
        <f aca="false">IF($K271="","",B271)</f>
        <v/>
      </c>
      <c r="D271" s="70" t="str">
        <f aca="false">IF($K271="","",INDEX(Base!$F$5:$F$2004,$K271))</f>
        <v/>
      </c>
      <c r="E271" s="70" t="str">
        <f aca="false">IF($K271="","",INDEX(Base!$G$5:$G$2004,$K271))</f>
        <v/>
      </c>
      <c r="F271" s="71" t="str">
        <f aca="false">IF($K271="","",INDEX(Base!$H$5:$H$2004,$K271))</f>
        <v/>
      </c>
      <c r="G271" s="71" t="str">
        <f aca="false">IF($K271="","",INDEX(Base!$I$5:$I$2004,$K271))</f>
        <v/>
      </c>
      <c r="H271" s="70" t="str">
        <f aca="false">IF($K271="","",INDEX(Base!$J$5:$J$2004,$K271))</f>
        <v/>
      </c>
      <c r="I271" s="71" t="str">
        <f aca="false">IF($K271="","",INDEX(Base!$L$5:$L$2004,$K271))</f>
        <v/>
      </c>
      <c r="J271" s="72" t="str">
        <f aca="false">IFERROR(SMALL(Base!$P$5:$P$2004,ROW()-5),"")</f>
        <v/>
      </c>
      <c r="K271" s="72" t="str">
        <f aca="false">IF(J271="","",MATCH(J271,Base!$P$5:$P$2004,0))</f>
        <v/>
      </c>
    </row>
    <row r="272" customFormat="false" ht="15" hidden="false" customHeight="false" outlineLevel="0" collapsed="false">
      <c r="A272" s="67" t="str">
        <f aca="false">IF($K272="","",ROW()-5)</f>
        <v/>
      </c>
      <c r="B272" s="68" t="str">
        <f aca="false">IF($K272="","",INDEX(Base!$E$5:$E$2004,$K272))</f>
        <v/>
      </c>
      <c r="C272" s="69" t="str">
        <f aca="false">IF($K272="","",B272)</f>
        <v/>
      </c>
      <c r="D272" s="70" t="str">
        <f aca="false">IF($K272="","",INDEX(Base!$F$5:$F$2004,$K272))</f>
        <v/>
      </c>
      <c r="E272" s="70" t="str">
        <f aca="false">IF($K272="","",INDEX(Base!$G$5:$G$2004,$K272))</f>
        <v/>
      </c>
      <c r="F272" s="71" t="str">
        <f aca="false">IF($K272="","",INDEX(Base!$H$5:$H$2004,$K272))</f>
        <v/>
      </c>
      <c r="G272" s="71" t="str">
        <f aca="false">IF($K272="","",INDEX(Base!$I$5:$I$2004,$K272))</f>
        <v/>
      </c>
      <c r="H272" s="70" t="str">
        <f aca="false">IF($K272="","",INDEX(Base!$J$5:$J$2004,$K272))</f>
        <v/>
      </c>
      <c r="I272" s="71" t="str">
        <f aca="false">IF($K272="","",INDEX(Base!$L$5:$L$2004,$K272))</f>
        <v/>
      </c>
      <c r="J272" s="72" t="str">
        <f aca="false">IFERROR(SMALL(Base!$P$5:$P$2004,ROW()-5),"")</f>
        <v/>
      </c>
      <c r="K272" s="72" t="str">
        <f aca="false">IF(J272="","",MATCH(J272,Base!$P$5:$P$2004,0))</f>
        <v/>
      </c>
    </row>
    <row r="273" customFormat="false" ht="15" hidden="false" customHeight="false" outlineLevel="0" collapsed="false">
      <c r="A273" s="67" t="str">
        <f aca="false">IF($K273="","",ROW()-5)</f>
        <v/>
      </c>
      <c r="B273" s="68" t="str">
        <f aca="false">IF($K273="","",INDEX(Base!$E$5:$E$2004,$K273))</f>
        <v/>
      </c>
      <c r="C273" s="69" t="str">
        <f aca="false">IF($K273="","",B273)</f>
        <v/>
      </c>
      <c r="D273" s="70" t="str">
        <f aca="false">IF($K273="","",INDEX(Base!$F$5:$F$2004,$K273))</f>
        <v/>
      </c>
      <c r="E273" s="70" t="str">
        <f aca="false">IF($K273="","",INDEX(Base!$G$5:$G$2004,$K273))</f>
        <v/>
      </c>
      <c r="F273" s="71" t="str">
        <f aca="false">IF($K273="","",INDEX(Base!$H$5:$H$2004,$K273))</f>
        <v/>
      </c>
      <c r="G273" s="71" t="str">
        <f aca="false">IF($K273="","",INDEX(Base!$I$5:$I$2004,$K273))</f>
        <v/>
      </c>
      <c r="H273" s="70" t="str">
        <f aca="false">IF($K273="","",INDEX(Base!$J$5:$J$2004,$K273))</f>
        <v/>
      </c>
      <c r="I273" s="71" t="str">
        <f aca="false">IF($K273="","",INDEX(Base!$L$5:$L$2004,$K273))</f>
        <v/>
      </c>
      <c r="J273" s="72" t="str">
        <f aca="false">IFERROR(SMALL(Base!$P$5:$P$2004,ROW()-5),"")</f>
        <v/>
      </c>
      <c r="K273" s="72" t="str">
        <f aca="false">IF(J273="","",MATCH(J273,Base!$P$5:$P$2004,0))</f>
        <v/>
      </c>
    </row>
    <row r="274" customFormat="false" ht="15" hidden="false" customHeight="false" outlineLevel="0" collapsed="false">
      <c r="A274" s="67" t="str">
        <f aca="false">IF($K274="","",ROW()-5)</f>
        <v/>
      </c>
      <c r="B274" s="68" t="str">
        <f aca="false">IF($K274="","",INDEX(Base!$E$5:$E$2004,$K274))</f>
        <v/>
      </c>
      <c r="C274" s="69" t="str">
        <f aca="false">IF($K274="","",B274)</f>
        <v/>
      </c>
      <c r="D274" s="70" t="str">
        <f aca="false">IF($K274="","",INDEX(Base!$F$5:$F$2004,$K274))</f>
        <v/>
      </c>
      <c r="E274" s="70" t="str">
        <f aca="false">IF($K274="","",INDEX(Base!$G$5:$G$2004,$K274))</f>
        <v/>
      </c>
      <c r="F274" s="71" t="str">
        <f aca="false">IF($K274="","",INDEX(Base!$H$5:$H$2004,$K274))</f>
        <v/>
      </c>
      <c r="G274" s="71" t="str">
        <f aca="false">IF($K274="","",INDEX(Base!$I$5:$I$2004,$K274))</f>
        <v/>
      </c>
      <c r="H274" s="70" t="str">
        <f aca="false">IF($K274="","",INDEX(Base!$J$5:$J$2004,$K274))</f>
        <v/>
      </c>
      <c r="I274" s="71" t="str">
        <f aca="false">IF($K274="","",INDEX(Base!$L$5:$L$2004,$K274))</f>
        <v/>
      </c>
      <c r="J274" s="72" t="str">
        <f aca="false">IFERROR(SMALL(Base!$P$5:$P$2004,ROW()-5),"")</f>
        <v/>
      </c>
      <c r="K274" s="72" t="str">
        <f aca="false">IF(J274="","",MATCH(J274,Base!$P$5:$P$2004,0))</f>
        <v/>
      </c>
    </row>
    <row r="275" customFormat="false" ht="15" hidden="false" customHeight="false" outlineLevel="0" collapsed="false">
      <c r="A275" s="67" t="str">
        <f aca="false">IF($K275="","",ROW()-5)</f>
        <v/>
      </c>
      <c r="B275" s="68" t="str">
        <f aca="false">IF($K275="","",INDEX(Base!$E$5:$E$2004,$K275))</f>
        <v/>
      </c>
      <c r="C275" s="69" t="str">
        <f aca="false">IF($K275="","",B275)</f>
        <v/>
      </c>
      <c r="D275" s="70" t="str">
        <f aca="false">IF($K275="","",INDEX(Base!$F$5:$F$2004,$K275))</f>
        <v/>
      </c>
      <c r="E275" s="70" t="str">
        <f aca="false">IF($K275="","",INDEX(Base!$G$5:$G$2004,$K275))</f>
        <v/>
      </c>
      <c r="F275" s="71" t="str">
        <f aca="false">IF($K275="","",INDEX(Base!$H$5:$H$2004,$K275))</f>
        <v/>
      </c>
      <c r="G275" s="71" t="str">
        <f aca="false">IF($K275="","",INDEX(Base!$I$5:$I$2004,$K275))</f>
        <v/>
      </c>
      <c r="H275" s="70" t="str">
        <f aca="false">IF($K275="","",INDEX(Base!$J$5:$J$2004,$K275))</f>
        <v/>
      </c>
      <c r="I275" s="71" t="str">
        <f aca="false">IF($K275="","",INDEX(Base!$L$5:$L$2004,$K275))</f>
        <v/>
      </c>
      <c r="J275" s="72" t="str">
        <f aca="false">IFERROR(SMALL(Base!$P$5:$P$2004,ROW()-5),"")</f>
        <v/>
      </c>
      <c r="K275" s="72" t="str">
        <f aca="false">IF(J275="","",MATCH(J275,Base!$P$5:$P$2004,0))</f>
        <v/>
      </c>
    </row>
    <row r="276" customFormat="false" ht="15" hidden="false" customHeight="false" outlineLevel="0" collapsed="false">
      <c r="A276" s="67" t="str">
        <f aca="false">IF($K276="","",ROW()-5)</f>
        <v/>
      </c>
      <c r="B276" s="68" t="str">
        <f aca="false">IF($K276="","",INDEX(Base!$E$5:$E$2004,$K276))</f>
        <v/>
      </c>
      <c r="C276" s="69" t="str">
        <f aca="false">IF($K276="","",B276)</f>
        <v/>
      </c>
      <c r="D276" s="70" t="str">
        <f aca="false">IF($K276="","",INDEX(Base!$F$5:$F$2004,$K276))</f>
        <v/>
      </c>
      <c r="E276" s="70" t="str">
        <f aca="false">IF($K276="","",INDEX(Base!$G$5:$G$2004,$K276))</f>
        <v/>
      </c>
      <c r="F276" s="71" t="str">
        <f aca="false">IF($K276="","",INDEX(Base!$H$5:$H$2004,$K276))</f>
        <v/>
      </c>
      <c r="G276" s="71" t="str">
        <f aca="false">IF($K276="","",INDEX(Base!$I$5:$I$2004,$K276))</f>
        <v/>
      </c>
      <c r="H276" s="70" t="str">
        <f aca="false">IF($K276="","",INDEX(Base!$J$5:$J$2004,$K276))</f>
        <v/>
      </c>
      <c r="I276" s="71" t="str">
        <f aca="false">IF($K276="","",INDEX(Base!$L$5:$L$2004,$K276))</f>
        <v/>
      </c>
      <c r="J276" s="72" t="str">
        <f aca="false">IFERROR(SMALL(Base!$P$5:$P$2004,ROW()-5),"")</f>
        <v/>
      </c>
      <c r="K276" s="72" t="str">
        <f aca="false">IF(J276="","",MATCH(J276,Base!$P$5:$P$2004,0))</f>
        <v/>
      </c>
    </row>
    <row r="277" customFormat="false" ht="15" hidden="false" customHeight="false" outlineLevel="0" collapsed="false">
      <c r="A277" s="67" t="str">
        <f aca="false">IF($K277="","",ROW()-5)</f>
        <v/>
      </c>
      <c r="B277" s="68" t="str">
        <f aca="false">IF($K277="","",INDEX(Base!$E$5:$E$2004,$K277))</f>
        <v/>
      </c>
      <c r="C277" s="69" t="str">
        <f aca="false">IF($K277="","",B277)</f>
        <v/>
      </c>
      <c r="D277" s="70" t="str">
        <f aca="false">IF($K277="","",INDEX(Base!$F$5:$F$2004,$K277))</f>
        <v/>
      </c>
      <c r="E277" s="70" t="str">
        <f aca="false">IF($K277="","",INDEX(Base!$G$5:$G$2004,$K277))</f>
        <v/>
      </c>
      <c r="F277" s="71" t="str">
        <f aca="false">IF($K277="","",INDEX(Base!$H$5:$H$2004,$K277))</f>
        <v/>
      </c>
      <c r="G277" s="71" t="str">
        <f aca="false">IF($K277="","",INDEX(Base!$I$5:$I$2004,$K277))</f>
        <v/>
      </c>
      <c r="H277" s="70" t="str">
        <f aca="false">IF($K277="","",INDEX(Base!$J$5:$J$2004,$K277))</f>
        <v/>
      </c>
      <c r="I277" s="71" t="str">
        <f aca="false">IF($K277="","",INDEX(Base!$L$5:$L$2004,$K277))</f>
        <v/>
      </c>
      <c r="J277" s="72" t="str">
        <f aca="false">IFERROR(SMALL(Base!$P$5:$P$2004,ROW()-5),"")</f>
        <v/>
      </c>
      <c r="K277" s="72" t="str">
        <f aca="false">IF(J277="","",MATCH(J277,Base!$P$5:$P$2004,0))</f>
        <v/>
      </c>
    </row>
    <row r="278" customFormat="false" ht="15" hidden="false" customHeight="false" outlineLevel="0" collapsed="false">
      <c r="A278" s="67" t="str">
        <f aca="false">IF($K278="","",ROW()-5)</f>
        <v/>
      </c>
      <c r="B278" s="68" t="str">
        <f aca="false">IF($K278="","",INDEX(Base!$E$5:$E$2004,$K278))</f>
        <v/>
      </c>
      <c r="C278" s="69" t="str">
        <f aca="false">IF($K278="","",B278)</f>
        <v/>
      </c>
      <c r="D278" s="70" t="str">
        <f aca="false">IF($K278="","",INDEX(Base!$F$5:$F$2004,$K278))</f>
        <v/>
      </c>
      <c r="E278" s="70" t="str">
        <f aca="false">IF($K278="","",INDEX(Base!$G$5:$G$2004,$K278))</f>
        <v/>
      </c>
      <c r="F278" s="71" t="str">
        <f aca="false">IF($K278="","",INDEX(Base!$H$5:$H$2004,$K278))</f>
        <v/>
      </c>
      <c r="G278" s="71" t="str">
        <f aca="false">IF($K278="","",INDEX(Base!$I$5:$I$2004,$K278))</f>
        <v/>
      </c>
      <c r="H278" s="70" t="str">
        <f aca="false">IF($K278="","",INDEX(Base!$J$5:$J$2004,$K278))</f>
        <v/>
      </c>
      <c r="I278" s="71" t="str">
        <f aca="false">IF($K278="","",INDEX(Base!$L$5:$L$2004,$K278))</f>
        <v/>
      </c>
      <c r="J278" s="72" t="str">
        <f aca="false">IFERROR(SMALL(Base!$P$5:$P$2004,ROW()-5),"")</f>
        <v/>
      </c>
      <c r="K278" s="72" t="str">
        <f aca="false">IF(J278="","",MATCH(J278,Base!$P$5:$P$2004,0))</f>
        <v/>
      </c>
    </row>
    <row r="279" customFormat="false" ht="15" hidden="false" customHeight="false" outlineLevel="0" collapsed="false">
      <c r="A279" s="67" t="str">
        <f aca="false">IF($K279="","",ROW()-5)</f>
        <v/>
      </c>
      <c r="B279" s="68" t="str">
        <f aca="false">IF($K279="","",INDEX(Base!$E$5:$E$2004,$K279))</f>
        <v/>
      </c>
      <c r="C279" s="69" t="str">
        <f aca="false">IF($K279="","",B279)</f>
        <v/>
      </c>
      <c r="D279" s="70" t="str">
        <f aca="false">IF($K279="","",INDEX(Base!$F$5:$F$2004,$K279))</f>
        <v/>
      </c>
      <c r="E279" s="70" t="str">
        <f aca="false">IF($K279="","",INDEX(Base!$G$5:$G$2004,$K279))</f>
        <v/>
      </c>
      <c r="F279" s="71" t="str">
        <f aca="false">IF($K279="","",INDEX(Base!$H$5:$H$2004,$K279))</f>
        <v/>
      </c>
      <c r="G279" s="71" t="str">
        <f aca="false">IF($K279="","",INDEX(Base!$I$5:$I$2004,$K279))</f>
        <v/>
      </c>
      <c r="H279" s="70" t="str">
        <f aca="false">IF($K279="","",INDEX(Base!$J$5:$J$2004,$K279))</f>
        <v/>
      </c>
      <c r="I279" s="71" t="str">
        <f aca="false">IF($K279="","",INDEX(Base!$L$5:$L$2004,$K279))</f>
        <v/>
      </c>
      <c r="J279" s="72" t="str">
        <f aca="false">IFERROR(SMALL(Base!$P$5:$P$2004,ROW()-5),"")</f>
        <v/>
      </c>
      <c r="K279" s="72" t="str">
        <f aca="false">IF(J279="","",MATCH(J279,Base!$P$5:$P$2004,0))</f>
        <v/>
      </c>
    </row>
    <row r="280" customFormat="false" ht="15" hidden="false" customHeight="false" outlineLevel="0" collapsed="false">
      <c r="A280" s="67" t="str">
        <f aca="false">IF($K280="","",ROW()-5)</f>
        <v/>
      </c>
      <c r="B280" s="68" t="str">
        <f aca="false">IF($K280="","",INDEX(Base!$E$5:$E$2004,$K280))</f>
        <v/>
      </c>
      <c r="C280" s="69" t="str">
        <f aca="false">IF($K280="","",B280)</f>
        <v/>
      </c>
      <c r="D280" s="70" t="str">
        <f aca="false">IF($K280="","",INDEX(Base!$F$5:$F$2004,$K280))</f>
        <v/>
      </c>
      <c r="E280" s="70" t="str">
        <f aca="false">IF($K280="","",INDEX(Base!$G$5:$G$2004,$K280))</f>
        <v/>
      </c>
      <c r="F280" s="71" t="str">
        <f aca="false">IF($K280="","",INDEX(Base!$H$5:$H$2004,$K280))</f>
        <v/>
      </c>
      <c r="G280" s="71" t="str">
        <f aca="false">IF($K280="","",INDEX(Base!$I$5:$I$2004,$K280))</f>
        <v/>
      </c>
      <c r="H280" s="70" t="str">
        <f aca="false">IF($K280="","",INDEX(Base!$J$5:$J$2004,$K280))</f>
        <v/>
      </c>
      <c r="I280" s="71" t="str">
        <f aca="false">IF($K280="","",INDEX(Base!$L$5:$L$2004,$K280))</f>
        <v/>
      </c>
      <c r="J280" s="72" t="str">
        <f aca="false">IFERROR(SMALL(Base!$P$5:$P$2004,ROW()-5),"")</f>
        <v/>
      </c>
      <c r="K280" s="72" t="str">
        <f aca="false">IF(J280="","",MATCH(J280,Base!$P$5:$P$2004,0))</f>
        <v/>
      </c>
    </row>
    <row r="281" customFormat="false" ht="15" hidden="false" customHeight="false" outlineLevel="0" collapsed="false">
      <c r="A281" s="67" t="str">
        <f aca="false">IF($K281="","",ROW()-5)</f>
        <v/>
      </c>
      <c r="B281" s="68" t="str">
        <f aca="false">IF($K281="","",INDEX(Base!$E$5:$E$2004,$K281))</f>
        <v/>
      </c>
      <c r="C281" s="69" t="str">
        <f aca="false">IF($K281="","",B281)</f>
        <v/>
      </c>
      <c r="D281" s="70" t="str">
        <f aca="false">IF($K281="","",INDEX(Base!$F$5:$F$2004,$K281))</f>
        <v/>
      </c>
      <c r="E281" s="70" t="str">
        <f aca="false">IF($K281="","",INDEX(Base!$G$5:$G$2004,$K281))</f>
        <v/>
      </c>
      <c r="F281" s="71" t="str">
        <f aca="false">IF($K281="","",INDEX(Base!$H$5:$H$2004,$K281))</f>
        <v/>
      </c>
      <c r="G281" s="71" t="str">
        <f aca="false">IF($K281="","",INDEX(Base!$I$5:$I$2004,$K281))</f>
        <v/>
      </c>
      <c r="H281" s="70" t="str">
        <f aca="false">IF($K281="","",INDEX(Base!$J$5:$J$2004,$K281))</f>
        <v/>
      </c>
      <c r="I281" s="71" t="str">
        <f aca="false">IF($K281="","",INDEX(Base!$L$5:$L$2004,$K281))</f>
        <v/>
      </c>
      <c r="J281" s="72" t="str">
        <f aca="false">IFERROR(SMALL(Base!$P$5:$P$2004,ROW()-5),"")</f>
        <v/>
      </c>
      <c r="K281" s="72" t="str">
        <f aca="false">IF(J281="","",MATCH(J281,Base!$P$5:$P$2004,0))</f>
        <v/>
      </c>
    </row>
    <row r="282" customFormat="false" ht="15" hidden="false" customHeight="false" outlineLevel="0" collapsed="false">
      <c r="A282" s="67" t="str">
        <f aca="false">IF($K282="","",ROW()-5)</f>
        <v/>
      </c>
      <c r="B282" s="68" t="str">
        <f aca="false">IF($K282="","",INDEX(Base!$E$5:$E$2004,$K282))</f>
        <v/>
      </c>
      <c r="C282" s="69" t="str">
        <f aca="false">IF($K282="","",B282)</f>
        <v/>
      </c>
      <c r="D282" s="70" t="str">
        <f aca="false">IF($K282="","",INDEX(Base!$F$5:$F$2004,$K282))</f>
        <v/>
      </c>
      <c r="E282" s="70" t="str">
        <f aca="false">IF($K282="","",INDEX(Base!$G$5:$G$2004,$K282))</f>
        <v/>
      </c>
      <c r="F282" s="71" t="str">
        <f aca="false">IF($K282="","",INDEX(Base!$H$5:$H$2004,$K282))</f>
        <v/>
      </c>
      <c r="G282" s="71" t="str">
        <f aca="false">IF($K282="","",INDEX(Base!$I$5:$I$2004,$K282))</f>
        <v/>
      </c>
      <c r="H282" s="70" t="str">
        <f aca="false">IF($K282="","",INDEX(Base!$J$5:$J$2004,$K282))</f>
        <v/>
      </c>
      <c r="I282" s="71" t="str">
        <f aca="false">IF($K282="","",INDEX(Base!$L$5:$L$2004,$K282))</f>
        <v/>
      </c>
      <c r="J282" s="72" t="str">
        <f aca="false">IFERROR(SMALL(Base!$P$5:$P$2004,ROW()-5),"")</f>
        <v/>
      </c>
      <c r="K282" s="72" t="str">
        <f aca="false">IF(J282="","",MATCH(J282,Base!$P$5:$P$2004,0))</f>
        <v/>
      </c>
    </row>
    <row r="283" customFormat="false" ht="15" hidden="false" customHeight="false" outlineLevel="0" collapsed="false">
      <c r="A283" s="67" t="str">
        <f aca="false">IF($K283="","",ROW()-5)</f>
        <v/>
      </c>
      <c r="B283" s="68" t="str">
        <f aca="false">IF($K283="","",INDEX(Base!$E$5:$E$2004,$K283))</f>
        <v/>
      </c>
      <c r="C283" s="69" t="str">
        <f aca="false">IF($K283="","",B283)</f>
        <v/>
      </c>
      <c r="D283" s="70" t="str">
        <f aca="false">IF($K283="","",INDEX(Base!$F$5:$F$2004,$K283))</f>
        <v/>
      </c>
      <c r="E283" s="70" t="str">
        <f aca="false">IF($K283="","",INDEX(Base!$G$5:$G$2004,$K283))</f>
        <v/>
      </c>
      <c r="F283" s="71" t="str">
        <f aca="false">IF($K283="","",INDEX(Base!$H$5:$H$2004,$K283))</f>
        <v/>
      </c>
      <c r="G283" s="71" t="str">
        <f aca="false">IF($K283="","",INDEX(Base!$I$5:$I$2004,$K283))</f>
        <v/>
      </c>
      <c r="H283" s="70" t="str">
        <f aca="false">IF($K283="","",INDEX(Base!$J$5:$J$2004,$K283))</f>
        <v/>
      </c>
      <c r="I283" s="71" t="str">
        <f aca="false">IF($K283="","",INDEX(Base!$L$5:$L$2004,$K283))</f>
        <v/>
      </c>
      <c r="J283" s="72" t="str">
        <f aca="false">IFERROR(SMALL(Base!$P$5:$P$2004,ROW()-5),"")</f>
        <v/>
      </c>
      <c r="K283" s="72" t="str">
        <f aca="false">IF(J283="","",MATCH(J283,Base!$P$5:$P$2004,0))</f>
        <v/>
      </c>
    </row>
    <row r="284" customFormat="false" ht="15" hidden="false" customHeight="false" outlineLevel="0" collapsed="false">
      <c r="A284" s="67" t="str">
        <f aca="false">IF($K284="","",ROW()-5)</f>
        <v/>
      </c>
      <c r="B284" s="68" t="str">
        <f aca="false">IF($K284="","",INDEX(Base!$E$5:$E$2004,$K284))</f>
        <v/>
      </c>
      <c r="C284" s="69" t="str">
        <f aca="false">IF($K284="","",B284)</f>
        <v/>
      </c>
      <c r="D284" s="70" t="str">
        <f aca="false">IF($K284="","",INDEX(Base!$F$5:$F$2004,$K284))</f>
        <v/>
      </c>
      <c r="E284" s="70" t="str">
        <f aca="false">IF($K284="","",INDEX(Base!$G$5:$G$2004,$K284))</f>
        <v/>
      </c>
      <c r="F284" s="71" t="str">
        <f aca="false">IF($K284="","",INDEX(Base!$H$5:$H$2004,$K284))</f>
        <v/>
      </c>
      <c r="G284" s="71" t="str">
        <f aca="false">IF($K284="","",INDEX(Base!$I$5:$I$2004,$K284))</f>
        <v/>
      </c>
      <c r="H284" s="70" t="str">
        <f aca="false">IF($K284="","",INDEX(Base!$J$5:$J$2004,$K284))</f>
        <v/>
      </c>
      <c r="I284" s="71" t="str">
        <f aca="false">IF($K284="","",INDEX(Base!$L$5:$L$2004,$K284))</f>
        <v/>
      </c>
      <c r="J284" s="72" t="str">
        <f aca="false">IFERROR(SMALL(Base!$P$5:$P$2004,ROW()-5),"")</f>
        <v/>
      </c>
      <c r="K284" s="72" t="str">
        <f aca="false">IF(J284="","",MATCH(J284,Base!$P$5:$P$2004,0))</f>
        <v/>
      </c>
    </row>
    <row r="285" customFormat="false" ht="15" hidden="false" customHeight="false" outlineLevel="0" collapsed="false">
      <c r="A285" s="67" t="str">
        <f aca="false">IF($K285="","",ROW()-5)</f>
        <v/>
      </c>
      <c r="B285" s="68" t="str">
        <f aca="false">IF($K285="","",INDEX(Base!$E$5:$E$2004,$K285))</f>
        <v/>
      </c>
      <c r="C285" s="69" t="str">
        <f aca="false">IF($K285="","",B285)</f>
        <v/>
      </c>
      <c r="D285" s="70" t="str">
        <f aca="false">IF($K285="","",INDEX(Base!$F$5:$F$2004,$K285))</f>
        <v/>
      </c>
      <c r="E285" s="70" t="str">
        <f aca="false">IF($K285="","",INDEX(Base!$G$5:$G$2004,$K285))</f>
        <v/>
      </c>
      <c r="F285" s="71" t="str">
        <f aca="false">IF($K285="","",INDEX(Base!$H$5:$H$2004,$K285))</f>
        <v/>
      </c>
      <c r="G285" s="71" t="str">
        <f aca="false">IF($K285="","",INDEX(Base!$I$5:$I$2004,$K285))</f>
        <v/>
      </c>
      <c r="H285" s="70" t="str">
        <f aca="false">IF($K285="","",INDEX(Base!$J$5:$J$2004,$K285))</f>
        <v/>
      </c>
      <c r="I285" s="71" t="str">
        <f aca="false">IF($K285="","",INDEX(Base!$L$5:$L$2004,$K285))</f>
        <v/>
      </c>
      <c r="J285" s="72" t="str">
        <f aca="false">IFERROR(SMALL(Base!$P$5:$P$2004,ROW()-5),"")</f>
        <v/>
      </c>
      <c r="K285" s="72" t="str">
        <f aca="false">IF(J285="","",MATCH(J285,Base!$P$5:$P$2004,0))</f>
        <v/>
      </c>
    </row>
    <row r="286" customFormat="false" ht="15" hidden="false" customHeight="false" outlineLevel="0" collapsed="false">
      <c r="A286" s="67" t="str">
        <f aca="false">IF($K286="","",ROW()-5)</f>
        <v/>
      </c>
      <c r="B286" s="68" t="str">
        <f aca="false">IF($K286="","",INDEX(Base!$E$5:$E$2004,$K286))</f>
        <v/>
      </c>
      <c r="C286" s="69" t="str">
        <f aca="false">IF($K286="","",B286)</f>
        <v/>
      </c>
      <c r="D286" s="70" t="str">
        <f aca="false">IF($K286="","",INDEX(Base!$F$5:$F$2004,$K286))</f>
        <v/>
      </c>
      <c r="E286" s="70" t="str">
        <f aca="false">IF($K286="","",INDEX(Base!$G$5:$G$2004,$K286))</f>
        <v/>
      </c>
      <c r="F286" s="71" t="str">
        <f aca="false">IF($K286="","",INDEX(Base!$H$5:$H$2004,$K286))</f>
        <v/>
      </c>
      <c r="G286" s="71" t="str">
        <f aca="false">IF($K286="","",INDEX(Base!$I$5:$I$2004,$K286))</f>
        <v/>
      </c>
      <c r="H286" s="70" t="str">
        <f aca="false">IF($K286="","",INDEX(Base!$J$5:$J$2004,$K286))</f>
        <v/>
      </c>
      <c r="I286" s="71" t="str">
        <f aca="false">IF($K286="","",INDEX(Base!$L$5:$L$2004,$K286))</f>
        <v/>
      </c>
      <c r="J286" s="72" t="str">
        <f aca="false">IFERROR(SMALL(Base!$P$5:$P$2004,ROW()-5),"")</f>
        <v/>
      </c>
      <c r="K286" s="72" t="str">
        <f aca="false">IF(J286="","",MATCH(J286,Base!$P$5:$P$2004,0))</f>
        <v/>
      </c>
    </row>
    <row r="287" customFormat="false" ht="15" hidden="false" customHeight="false" outlineLevel="0" collapsed="false">
      <c r="A287" s="67" t="str">
        <f aca="false">IF($K287="","",ROW()-5)</f>
        <v/>
      </c>
      <c r="B287" s="68" t="str">
        <f aca="false">IF($K287="","",INDEX(Base!$E$5:$E$2004,$K287))</f>
        <v/>
      </c>
      <c r="C287" s="69" t="str">
        <f aca="false">IF($K287="","",B287)</f>
        <v/>
      </c>
      <c r="D287" s="70" t="str">
        <f aca="false">IF($K287="","",INDEX(Base!$F$5:$F$2004,$K287))</f>
        <v/>
      </c>
      <c r="E287" s="70" t="str">
        <f aca="false">IF($K287="","",INDEX(Base!$G$5:$G$2004,$K287))</f>
        <v/>
      </c>
      <c r="F287" s="71" t="str">
        <f aca="false">IF($K287="","",INDEX(Base!$H$5:$H$2004,$K287))</f>
        <v/>
      </c>
      <c r="G287" s="71" t="str">
        <f aca="false">IF($K287="","",INDEX(Base!$I$5:$I$2004,$K287))</f>
        <v/>
      </c>
      <c r="H287" s="70" t="str">
        <f aca="false">IF($K287="","",INDEX(Base!$J$5:$J$2004,$K287))</f>
        <v/>
      </c>
      <c r="I287" s="71" t="str">
        <f aca="false">IF($K287="","",INDEX(Base!$L$5:$L$2004,$K287))</f>
        <v/>
      </c>
      <c r="J287" s="72" t="str">
        <f aca="false">IFERROR(SMALL(Base!$P$5:$P$2004,ROW()-5),"")</f>
        <v/>
      </c>
      <c r="K287" s="72" t="str">
        <f aca="false">IF(J287="","",MATCH(J287,Base!$P$5:$P$2004,0))</f>
        <v/>
      </c>
    </row>
    <row r="288" customFormat="false" ht="15" hidden="false" customHeight="false" outlineLevel="0" collapsed="false">
      <c r="A288" s="67" t="str">
        <f aca="false">IF($K288="","",ROW()-5)</f>
        <v/>
      </c>
      <c r="B288" s="68" t="str">
        <f aca="false">IF($K288="","",INDEX(Base!$E$5:$E$2004,$K288))</f>
        <v/>
      </c>
      <c r="C288" s="69" t="str">
        <f aca="false">IF($K288="","",B288)</f>
        <v/>
      </c>
      <c r="D288" s="70" t="str">
        <f aca="false">IF($K288="","",INDEX(Base!$F$5:$F$2004,$K288))</f>
        <v/>
      </c>
      <c r="E288" s="70" t="str">
        <f aca="false">IF($K288="","",INDEX(Base!$G$5:$G$2004,$K288))</f>
        <v/>
      </c>
      <c r="F288" s="71" t="str">
        <f aca="false">IF($K288="","",INDEX(Base!$H$5:$H$2004,$K288))</f>
        <v/>
      </c>
      <c r="G288" s="71" t="str">
        <f aca="false">IF($K288="","",INDEX(Base!$I$5:$I$2004,$K288))</f>
        <v/>
      </c>
      <c r="H288" s="70" t="str">
        <f aca="false">IF($K288="","",INDEX(Base!$J$5:$J$2004,$K288))</f>
        <v/>
      </c>
      <c r="I288" s="71" t="str">
        <f aca="false">IF($K288="","",INDEX(Base!$L$5:$L$2004,$K288))</f>
        <v/>
      </c>
      <c r="J288" s="72" t="str">
        <f aca="false">IFERROR(SMALL(Base!$P$5:$P$2004,ROW()-5),"")</f>
        <v/>
      </c>
      <c r="K288" s="72" t="str">
        <f aca="false">IF(J288="","",MATCH(J288,Base!$P$5:$P$2004,0))</f>
        <v/>
      </c>
    </row>
    <row r="289" customFormat="false" ht="15" hidden="false" customHeight="false" outlineLevel="0" collapsed="false">
      <c r="A289" s="67" t="str">
        <f aca="false">IF($K289="","",ROW()-5)</f>
        <v/>
      </c>
      <c r="B289" s="68" t="str">
        <f aca="false">IF($K289="","",INDEX(Base!$E$5:$E$2004,$K289))</f>
        <v/>
      </c>
      <c r="C289" s="69" t="str">
        <f aca="false">IF($K289="","",B289)</f>
        <v/>
      </c>
      <c r="D289" s="70" t="str">
        <f aca="false">IF($K289="","",INDEX(Base!$F$5:$F$2004,$K289))</f>
        <v/>
      </c>
      <c r="E289" s="70" t="str">
        <f aca="false">IF($K289="","",INDEX(Base!$G$5:$G$2004,$K289))</f>
        <v/>
      </c>
      <c r="F289" s="71" t="str">
        <f aca="false">IF($K289="","",INDEX(Base!$H$5:$H$2004,$K289))</f>
        <v/>
      </c>
      <c r="G289" s="71" t="str">
        <f aca="false">IF($K289="","",INDEX(Base!$I$5:$I$2004,$K289))</f>
        <v/>
      </c>
      <c r="H289" s="70" t="str">
        <f aca="false">IF($K289="","",INDEX(Base!$J$5:$J$2004,$K289))</f>
        <v/>
      </c>
      <c r="I289" s="71" t="str">
        <f aca="false">IF($K289="","",INDEX(Base!$L$5:$L$2004,$K289))</f>
        <v/>
      </c>
      <c r="J289" s="72" t="str">
        <f aca="false">IFERROR(SMALL(Base!$P$5:$P$2004,ROW()-5),"")</f>
        <v/>
      </c>
      <c r="K289" s="72" t="str">
        <f aca="false">IF(J289="","",MATCH(J289,Base!$P$5:$P$2004,0))</f>
        <v/>
      </c>
    </row>
    <row r="290" customFormat="false" ht="15" hidden="false" customHeight="false" outlineLevel="0" collapsed="false">
      <c r="A290" s="67" t="str">
        <f aca="false">IF($K290="","",ROW()-5)</f>
        <v/>
      </c>
      <c r="B290" s="68" t="str">
        <f aca="false">IF($K290="","",INDEX(Base!$E$5:$E$2004,$K290))</f>
        <v/>
      </c>
      <c r="C290" s="69" t="str">
        <f aca="false">IF($K290="","",B290)</f>
        <v/>
      </c>
      <c r="D290" s="70" t="str">
        <f aca="false">IF($K290="","",INDEX(Base!$F$5:$F$2004,$K290))</f>
        <v/>
      </c>
      <c r="E290" s="70" t="str">
        <f aca="false">IF($K290="","",INDEX(Base!$G$5:$G$2004,$K290))</f>
        <v/>
      </c>
      <c r="F290" s="71" t="str">
        <f aca="false">IF($K290="","",INDEX(Base!$H$5:$H$2004,$K290))</f>
        <v/>
      </c>
      <c r="G290" s="71" t="str">
        <f aca="false">IF($K290="","",INDEX(Base!$I$5:$I$2004,$K290))</f>
        <v/>
      </c>
      <c r="H290" s="70" t="str">
        <f aca="false">IF($K290="","",INDEX(Base!$J$5:$J$2004,$K290))</f>
        <v/>
      </c>
      <c r="I290" s="71" t="str">
        <f aca="false">IF($K290="","",INDEX(Base!$L$5:$L$2004,$K290))</f>
        <v/>
      </c>
      <c r="J290" s="72" t="str">
        <f aca="false">IFERROR(SMALL(Base!$P$5:$P$2004,ROW()-5),"")</f>
        <v/>
      </c>
      <c r="K290" s="72" t="str">
        <f aca="false">IF(J290="","",MATCH(J290,Base!$P$5:$P$2004,0))</f>
        <v/>
      </c>
    </row>
    <row r="291" customFormat="false" ht="15" hidden="false" customHeight="false" outlineLevel="0" collapsed="false">
      <c r="A291" s="67" t="str">
        <f aca="false">IF($K291="","",ROW()-5)</f>
        <v/>
      </c>
      <c r="B291" s="68" t="str">
        <f aca="false">IF($K291="","",INDEX(Base!$E$5:$E$2004,$K291))</f>
        <v/>
      </c>
      <c r="C291" s="69" t="str">
        <f aca="false">IF($K291="","",B291)</f>
        <v/>
      </c>
      <c r="D291" s="70" t="str">
        <f aca="false">IF($K291="","",INDEX(Base!$F$5:$F$2004,$K291))</f>
        <v/>
      </c>
      <c r="E291" s="70" t="str">
        <f aca="false">IF($K291="","",INDEX(Base!$G$5:$G$2004,$K291))</f>
        <v/>
      </c>
      <c r="F291" s="71" t="str">
        <f aca="false">IF($K291="","",INDEX(Base!$H$5:$H$2004,$K291))</f>
        <v/>
      </c>
      <c r="G291" s="71" t="str">
        <f aca="false">IF($K291="","",INDEX(Base!$I$5:$I$2004,$K291))</f>
        <v/>
      </c>
      <c r="H291" s="70" t="str">
        <f aca="false">IF($K291="","",INDEX(Base!$J$5:$J$2004,$K291))</f>
        <v/>
      </c>
      <c r="I291" s="71" t="str">
        <f aca="false">IF($K291="","",INDEX(Base!$L$5:$L$2004,$K291))</f>
        <v/>
      </c>
      <c r="J291" s="72" t="str">
        <f aca="false">IFERROR(SMALL(Base!$P$5:$P$2004,ROW()-5),"")</f>
        <v/>
      </c>
      <c r="K291" s="72" t="str">
        <f aca="false">IF(J291="","",MATCH(J291,Base!$P$5:$P$2004,0))</f>
        <v/>
      </c>
    </row>
    <row r="292" customFormat="false" ht="15" hidden="false" customHeight="false" outlineLevel="0" collapsed="false">
      <c r="A292" s="67" t="str">
        <f aca="false">IF($K292="","",ROW()-5)</f>
        <v/>
      </c>
      <c r="B292" s="68" t="str">
        <f aca="false">IF($K292="","",INDEX(Base!$E$5:$E$2004,$K292))</f>
        <v/>
      </c>
      <c r="C292" s="69" t="str">
        <f aca="false">IF($K292="","",B292)</f>
        <v/>
      </c>
      <c r="D292" s="70" t="str">
        <f aca="false">IF($K292="","",INDEX(Base!$F$5:$F$2004,$K292))</f>
        <v/>
      </c>
      <c r="E292" s="70" t="str">
        <f aca="false">IF($K292="","",INDEX(Base!$G$5:$G$2004,$K292))</f>
        <v/>
      </c>
      <c r="F292" s="71" t="str">
        <f aca="false">IF($K292="","",INDEX(Base!$H$5:$H$2004,$K292))</f>
        <v/>
      </c>
      <c r="G292" s="71" t="str">
        <f aca="false">IF($K292="","",INDEX(Base!$I$5:$I$2004,$K292))</f>
        <v/>
      </c>
      <c r="H292" s="70" t="str">
        <f aca="false">IF($K292="","",INDEX(Base!$J$5:$J$2004,$K292))</f>
        <v/>
      </c>
      <c r="I292" s="71" t="str">
        <f aca="false">IF($K292="","",INDEX(Base!$L$5:$L$2004,$K292))</f>
        <v/>
      </c>
      <c r="J292" s="72" t="str">
        <f aca="false">IFERROR(SMALL(Base!$P$5:$P$2004,ROW()-5),"")</f>
        <v/>
      </c>
      <c r="K292" s="72" t="str">
        <f aca="false">IF(J292="","",MATCH(J292,Base!$P$5:$P$2004,0))</f>
        <v/>
      </c>
    </row>
    <row r="293" customFormat="false" ht="15" hidden="false" customHeight="false" outlineLevel="0" collapsed="false">
      <c r="A293" s="67" t="str">
        <f aca="false">IF($K293="","",ROW()-5)</f>
        <v/>
      </c>
      <c r="B293" s="68" t="str">
        <f aca="false">IF($K293="","",INDEX(Base!$E$5:$E$2004,$K293))</f>
        <v/>
      </c>
      <c r="C293" s="69" t="str">
        <f aca="false">IF($K293="","",B293)</f>
        <v/>
      </c>
      <c r="D293" s="70" t="str">
        <f aca="false">IF($K293="","",INDEX(Base!$F$5:$F$2004,$K293))</f>
        <v/>
      </c>
      <c r="E293" s="70" t="str">
        <f aca="false">IF($K293="","",INDEX(Base!$G$5:$G$2004,$K293))</f>
        <v/>
      </c>
      <c r="F293" s="71" t="str">
        <f aca="false">IF($K293="","",INDEX(Base!$H$5:$H$2004,$K293))</f>
        <v/>
      </c>
      <c r="G293" s="71" t="str">
        <f aca="false">IF($K293="","",INDEX(Base!$I$5:$I$2004,$K293))</f>
        <v/>
      </c>
      <c r="H293" s="70" t="str">
        <f aca="false">IF($K293="","",INDEX(Base!$J$5:$J$2004,$K293))</f>
        <v/>
      </c>
      <c r="I293" s="71" t="str">
        <f aca="false">IF($K293="","",INDEX(Base!$L$5:$L$2004,$K293))</f>
        <v/>
      </c>
      <c r="J293" s="72" t="str">
        <f aca="false">IFERROR(SMALL(Base!$P$5:$P$2004,ROW()-5),"")</f>
        <v/>
      </c>
      <c r="K293" s="72" t="str">
        <f aca="false">IF(J293="","",MATCH(J293,Base!$P$5:$P$2004,0))</f>
        <v/>
      </c>
    </row>
    <row r="294" customFormat="false" ht="15" hidden="false" customHeight="false" outlineLevel="0" collapsed="false">
      <c r="A294" s="67" t="str">
        <f aca="false">IF($K294="","",ROW()-5)</f>
        <v/>
      </c>
      <c r="B294" s="68" t="str">
        <f aca="false">IF($K294="","",INDEX(Base!$E$5:$E$2004,$K294))</f>
        <v/>
      </c>
      <c r="C294" s="69" t="str">
        <f aca="false">IF($K294="","",B294)</f>
        <v/>
      </c>
      <c r="D294" s="70" t="str">
        <f aca="false">IF($K294="","",INDEX(Base!$F$5:$F$2004,$K294))</f>
        <v/>
      </c>
      <c r="E294" s="70" t="str">
        <f aca="false">IF($K294="","",INDEX(Base!$G$5:$G$2004,$K294))</f>
        <v/>
      </c>
      <c r="F294" s="71" t="str">
        <f aca="false">IF($K294="","",INDEX(Base!$H$5:$H$2004,$K294))</f>
        <v/>
      </c>
      <c r="G294" s="71" t="str">
        <f aca="false">IF($K294="","",INDEX(Base!$I$5:$I$2004,$K294))</f>
        <v/>
      </c>
      <c r="H294" s="70" t="str">
        <f aca="false">IF($K294="","",INDEX(Base!$J$5:$J$2004,$K294))</f>
        <v/>
      </c>
      <c r="I294" s="71" t="str">
        <f aca="false">IF($K294="","",INDEX(Base!$L$5:$L$2004,$K294))</f>
        <v/>
      </c>
      <c r="J294" s="72" t="str">
        <f aca="false">IFERROR(SMALL(Base!$P$5:$P$2004,ROW()-5),"")</f>
        <v/>
      </c>
      <c r="K294" s="72" t="str">
        <f aca="false">IF(J294="","",MATCH(J294,Base!$P$5:$P$2004,0))</f>
        <v/>
      </c>
    </row>
    <row r="295" customFormat="false" ht="15" hidden="false" customHeight="false" outlineLevel="0" collapsed="false">
      <c r="A295" s="67" t="str">
        <f aca="false">IF($K295="","",ROW()-5)</f>
        <v/>
      </c>
      <c r="B295" s="68" t="str">
        <f aca="false">IF($K295="","",INDEX(Base!$E$5:$E$2004,$K295))</f>
        <v/>
      </c>
      <c r="C295" s="69" t="str">
        <f aca="false">IF($K295="","",B295)</f>
        <v/>
      </c>
      <c r="D295" s="70" t="str">
        <f aca="false">IF($K295="","",INDEX(Base!$F$5:$F$2004,$K295))</f>
        <v/>
      </c>
      <c r="E295" s="70" t="str">
        <f aca="false">IF($K295="","",INDEX(Base!$G$5:$G$2004,$K295))</f>
        <v/>
      </c>
      <c r="F295" s="71" t="str">
        <f aca="false">IF($K295="","",INDEX(Base!$H$5:$H$2004,$K295))</f>
        <v/>
      </c>
      <c r="G295" s="71" t="str">
        <f aca="false">IF($K295="","",INDEX(Base!$I$5:$I$2004,$K295))</f>
        <v/>
      </c>
      <c r="H295" s="70" t="str">
        <f aca="false">IF($K295="","",INDEX(Base!$J$5:$J$2004,$K295))</f>
        <v/>
      </c>
      <c r="I295" s="71" t="str">
        <f aca="false">IF($K295="","",INDEX(Base!$L$5:$L$2004,$K295))</f>
        <v/>
      </c>
      <c r="J295" s="72" t="str">
        <f aca="false">IFERROR(SMALL(Base!$P$5:$P$2004,ROW()-5),"")</f>
        <v/>
      </c>
      <c r="K295" s="72" t="str">
        <f aca="false">IF(J295="","",MATCH(J295,Base!$P$5:$P$2004,0))</f>
        <v/>
      </c>
    </row>
    <row r="296" customFormat="false" ht="15" hidden="false" customHeight="false" outlineLevel="0" collapsed="false">
      <c r="A296" s="67" t="str">
        <f aca="false">IF($K296="","",ROW()-5)</f>
        <v/>
      </c>
      <c r="B296" s="68" t="str">
        <f aca="false">IF($K296="","",INDEX(Base!$E$5:$E$2004,$K296))</f>
        <v/>
      </c>
      <c r="C296" s="69" t="str">
        <f aca="false">IF($K296="","",B296)</f>
        <v/>
      </c>
      <c r="D296" s="70" t="str">
        <f aca="false">IF($K296="","",INDEX(Base!$F$5:$F$2004,$K296))</f>
        <v/>
      </c>
      <c r="E296" s="70" t="str">
        <f aca="false">IF($K296="","",INDEX(Base!$G$5:$G$2004,$K296))</f>
        <v/>
      </c>
      <c r="F296" s="71" t="str">
        <f aca="false">IF($K296="","",INDEX(Base!$H$5:$H$2004,$K296))</f>
        <v/>
      </c>
      <c r="G296" s="71" t="str">
        <f aca="false">IF($K296="","",INDEX(Base!$I$5:$I$2004,$K296))</f>
        <v/>
      </c>
      <c r="H296" s="70" t="str">
        <f aca="false">IF($K296="","",INDEX(Base!$J$5:$J$2004,$K296))</f>
        <v/>
      </c>
      <c r="I296" s="71" t="str">
        <f aca="false">IF($K296="","",INDEX(Base!$L$5:$L$2004,$K296))</f>
        <v/>
      </c>
      <c r="J296" s="72" t="str">
        <f aca="false">IFERROR(SMALL(Base!$P$5:$P$2004,ROW()-5),"")</f>
        <v/>
      </c>
      <c r="K296" s="72" t="str">
        <f aca="false">IF(J296="","",MATCH(J296,Base!$P$5:$P$2004,0))</f>
        <v/>
      </c>
    </row>
    <row r="297" customFormat="false" ht="15" hidden="false" customHeight="false" outlineLevel="0" collapsed="false">
      <c r="A297" s="67" t="str">
        <f aca="false">IF($K297="","",ROW()-5)</f>
        <v/>
      </c>
      <c r="B297" s="68" t="str">
        <f aca="false">IF($K297="","",INDEX(Base!$E$5:$E$2004,$K297))</f>
        <v/>
      </c>
      <c r="C297" s="69" t="str">
        <f aca="false">IF($K297="","",B297)</f>
        <v/>
      </c>
      <c r="D297" s="70" t="str">
        <f aca="false">IF($K297="","",INDEX(Base!$F$5:$F$2004,$K297))</f>
        <v/>
      </c>
      <c r="E297" s="70" t="str">
        <f aca="false">IF($K297="","",INDEX(Base!$G$5:$G$2004,$K297))</f>
        <v/>
      </c>
      <c r="F297" s="71" t="str">
        <f aca="false">IF($K297="","",INDEX(Base!$H$5:$H$2004,$K297))</f>
        <v/>
      </c>
      <c r="G297" s="71" t="str">
        <f aca="false">IF($K297="","",INDEX(Base!$I$5:$I$2004,$K297))</f>
        <v/>
      </c>
      <c r="H297" s="70" t="str">
        <f aca="false">IF($K297="","",INDEX(Base!$J$5:$J$2004,$K297))</f>
        <v/>
      </c>
      <c r="I297" s="71" t="str">
        <f aca="false">IF($K297="","",INDEX(Base!$L$5:$L$2004,$K297))</f>
        <v/>
      </c>
      <c r="J297" s="72" t="str">
        <f aca="false">IFERROR(SMALL(Base!$P$5:$P$2004,ROW()-5),"")</f>
        <v/>
      </c>
      <c r="K297" s="72" t="str">
        <f aca="false">IF(J297="","",MATCH(J297,Base!$P$5:$P$2004,0))</f>
        <v/>
      </c>
    </row>
    <row r="298" customFormat="false" ht="15" hidden="false" customHeight="false" outlineLevel="0" collapsed="false">
      <c r="A298" s="67" t="str">
        <f aca="false">IF($K298="","",ROW()-5)</f>
        <v/>
      </c>
      <c r="B298" s="68" t="str">
        <f aca="false">IF($K298="","",INDEX(Base!$E$5:$E$2004,$K298))</f>
        <v/>
      </c>
      <c r="C298" s="69" t="str">
        <f aca="false">IF($K298="","",B298)</f>
        <v/>
      </c>
      <c r="D298" s="70" t="str">
        <f aca="false">IF($K298="","",INDEX(Base!$F$5:$F$2004,$K298))</f>
        <v/>
      </c>
      <c r="E298" s="70" t="str">
        <f aca="false">IF($K298="","",INDEX(Base!$G$5:$G$2004,$K298))</f>
        <v/>
      </c>
      <c r="F298" s="71" t="str">
        <f aca="false">IF($K298="","",INDEX(Base!$H$5:$H$2004,$K298))</f>
        <v/>
      </c>
      <c r="G298" s="71" t="str">
        <f aca="false">IF($K298="","",INDEX(Base!$I$5:$I$2004,$K298))</f>
        <v/>
      </c>
      <c r="H298" s="70" t="str">
        <f aca="false">IF($K298="","",INDEX(Base!$J$5:$J$2004,$K298))</f>
        <v/>
      </c>
      <c r="I298" s="71" t="str">
        <f aca="false">IF($K298="","",INDEX(Base!$L$5:$L$2004,$K298))</f>
        <v/>
      </c>
      <c r="J298" s="72" t="str">
        <f aca="false">IFERROR(SMALL(Base!$P$5:$P$2004,ROW()-5),"")</f>
        <v/>
      </c>
      <c r="K298" s="72" t="str">
        <f aca="false">IF(J298="","",MATCH(J298,Base!$P$5:$P$2004,0))</f>
        <v/>
      </c>
    </row>
    <row r="299" customFormat="false" ht="15" hidden="false" customHeight="false" outlineLevel="0" collapsed="false">
      <c r="A299" s="67" t="str">
        <f aca="false">IF($K299="","",ROW()-5)</f>
        <v/>
      </c>
      <c r="B299" s="68" t="str">
        <f aca="false">IF($K299="","",INDEX(Base!$E$5:$E$2004,$K299))</f>
        <v/>
      </c>
      <c r="C299" s="69" t="str">
        <f aca="false">IF($K299="","",B299)</f>
        <v/>
      </c>
      <c r="D299" s="70" t="str">
        <f aca="false">IF($K299="","",INDEX(Base!$F$5:$F$2004,$K299))</f>
        <v/>
      </c>
      <c r="E299" s="70" t="str">
        <f aca="false">IF($K299="","",INDEX(Base!$G$5:$G$2004,$K299))</f>
        <v/>
      </c>
      <c r="F299" s="71" t="str">
        <f aca="false">IF($K299="","",INDEX(Base!$H$5:$H$2004,$K299))</f>
        <v/>
      </c>
      <c r="G299" s="71" t="str">
        <f aca="false">IF($K299="","",INDEX(Base!$I$5:$I$2004,$K299))</f>
        <v/>
      </c>
      <c r="H299" s="70" t="str">
        <f aca="false">IF($K299="","",INDEX(Base!$J$5:$J$2004,$K299))</f>
        <v/>
      </c>
      <c r="I299" s="71" t="str">
        <f aca="false">IF($K299="","",INDEX(Base!$L$5:$L$2004,$K299))</f>
        <v/>
      </c>
      <c r="J299" s="72" t="str">
        <f aca="false">IFERROR(SMALL(Base!$P$5:$P$2004,ROW()-5),"")</f>
        <v/>
      </c>
      <c r="K299" s="72" t="str">
        <f aca="false">IF(J299="","",MATCH(J299,Base!$P$5:$P$2004,0))</f>
        <v/>
      </c>
    </row>
    <row r="300" customFormat="false" ht="15" hidden="false" customHeight="false" outlineLevel="0" collapsed="false">
      <c r="A300" s="67" t="str">
        <f aca="false">IF($K300="","",ROW()-5)</f>
        <v/>
      </c>
      <c r="B300" s="68" t="str">
        <f aca="false">IF($K300="","",INDEX(Base!$E$5:$E$2004,$K300))</f>
        <v/>
      </c>
      <c r="C300" s="69" t="str">
        <f aca="false">IF($K300="","",B300)</f>
        <v/>
      </c>
      <c r="D300" s="70" t="str">
        <f aca="false">IF($K300="","",INDEX(Base!$F$5:$F$2004,$K300))</f>
        <v/>
      </c>
      <c r="E300" s="70" t="str">
        <f aca="false">IF($K300="","",INDEX(Base!$G$5:$G$2004,$K300))</f>
        <v/>
      </c>
      <c r="F300" s="71" t="str">
        <f aca="false">IF($K300="","",INDEX(Base!$H$5:$H$2004,$K300))</f>
        <v/>
      </c>
      <c r="G300" s="71" t="str">
        <f aca="false">IF($K300="","",INDEX(Base!$I$5:$I$2004,$K300))</f>
        <v/>
      </c>
      <c r="H300" s="70" t="str">
        <f aca="false">IF($K300="","",INDEX(Base!$J$5:$J$2004,$K300))</f>
        <v/>
      </c>
      <c r="I300" s="71" t="str">
        <f aca="false">IF($K300="","",INDEX(Base!$L$5:$L$2004,$K300))</f>
        <v/>
      </c>
      <c r="J300" s="72" t="str">
        <f aca="false">IFERROR(SMALL(Base!$P$5:$P$2004,ROW()-5),"")</f>
        <v/>
      </c>
      <c r="K300" s="72" t="str">
        <f aca="false">IF(J300="","",MATCH(J300,Base!$P$5:$P$2004,0))</f>
        <v/>
      </c>
    </row>
    <row r="301" customFormat="false" ht="15" hidden="false" customHeight="false" outlineLevel="0" collapsed="false">
      <c r="A301" s="67" t="str">
        <f aca="false">IF($K301="","",ROW()-5)</f>
        <v/>
      </c>
      <c r="B301" s="68" t="str">
        <f aca="false">IF($K301="","",INDEX(Base!$E$5:$E$2004,$K301))</f>
        <v/>
      </c>
      <c r="C301" s="69" t="str">
        <f aca="false">IF($K301="","",B301)</f>
        <v/>
      </c>
      <c r="D301" s="70" t="str">
        <f aca="false">IF($K301="","",INDEX(Base!$F$5:$F$2004,$K301))</f>
        <v/>
      </c>
      <c r="E301" s="70" t="str">
        <f aca="false">IF($K301="","",INDEX(Base!$G$5:$G$2004,$K301))</f>
        <v/>
      </c>
      <c r="F301" s="71" t="str">
        <f aca="false">IF($K301="","",INDEX(Base!$H$5:$H$2004,$K301))</f>
        <v/>
      </c>
      <c r="G301" s="71" t="str">
        <f aca="false">IF($K301="","",INDEX(Base!$I$5:$I$2004,$K301))</f>
        <v/>
      </c>
      <c r="H301" s="70" t="str">
        <f aca="false">IF($K301="","",INDEX(Base!$J$5:$J$2004,$K301))</f>
        <v/>
      </c>
      <c r="I301" s="71" t="str">
        <f aca="false">IF($K301="","",INDEX(Base!$L$5:$L$2004,$K301))</f>
        <v/>
      </c>
      <c r="J301" s="72" t="str">
        <f aca="false">IFERROR(SMALL(Base!$P$5:$P$2004,ROW()-5),"")</f>
        <v/>
      </c>
      <c r="K301" s="72" t="str">
        <f aca="false">IF(J301="","",MATCH(J301,Base!$P$5:$P$2004,0))</f>
        <v/>
      </c>
    </row>
    <row r="302" customFormat="false" ht="15" hidden="false" customHeight="false" outlineLevel="0" collapsed="false">
      <c r="A302" s="67" t="str">
        <f aca="false">IF($K302="","",ROW()-5)</f>
        <v/>
      </c>
      <c r="B302" s="68" t="str">
        <f aca="false">IF($K302="","",INDEX(Base!$E$5:$E$2004,$K302))</f>
        <v/>
      </c>
      <c r="C302" s="69" t="str">
        <f aca="false">IF($K302="","",B302)</f>
        <v/>
      </c>
      <c r="D302" s="70" t="str">
        <f aca="false">IF($K302="","",INDEX(Base!$F$5:$F$2004,$K302))</f>
        <v/>
      </c>
      <c r="E302" s="70" t="str">
        <f aca="false">IF($K302="","",INDEX(Base!$G$5:$G$2004,$K302))</f>
        <v/>
      </c>
      <c r="F302" s="71" t="str">
        <f aca="false">IF($K302="","",INDEX(Base!$H$5:$H$2004,$K302))</f>
        <v/>
      </c>
      <c r="G302" s="71" t="str">
        <f aca="false">IF($K302="","",INDEX(Base!$I$5:$I$2004,$K302))</f>
        <v/>
      </c>
      <c r="H302" s="70" t="str">
        <f aca="false">IF($K302="","",INDEX(Base!$J$5:$J$2004,$K302))</f>
        <v/>
      </c>
      <c r="I302" s="71" t="str">
        <f aca="false">IF($K302="","",INDEX(Base!$L$5:$L$2004,$K302))</f>
        <v/>
      </c>
      <c r="J302" s="72" t="str">
        <f aca="false">IFERROR(SMALL(Base!$P$5:$P$2004,ROW()-5),"")</f>
        <v/>
      </c>
      <c r="K302" s="72" t="str">
        <f aca="false">IF(J302="","",MATCH(J302,Base!$P$5:$P$2004,0))</f>
        <v/>
      </c>
    </row>
    <row r="303" customFormat="false" ht="15" hidden="false" customHeight="false" outlineLevel="0" collapsed="false">
      <c r="A303" s="67" t="str">
        <f aca="false">IF($K303="","",ROW()-5)</f>
        <v/>
      </c>
      <c r="B303" s="68" t="str">
        <f aca="false">IF($K303="","",INDEX(Base!$E$5:$E$2004,$K303))</f>
        <v/>
      </c>
      <c r="C303" s="69" t="str">
        <f aca="false">IF($K303="","",B303)</f>
        <v/>
      </c>
      <c r="D303" s="70" t="str">
        <f aca="false">IF($K303="","",INDEX(Base!$F$5:$F$2004,$K303))</f>
        <v/>
      </c>
      <c r="E303" s="70" t="str">
        <f aca="false">IF($K303="","",INDEX(Base!$G$5:$G$2004,$K303))</f>
        <v/>
      </c>
      <c r="F303" s="71" t="str">
        <f aca="false">IF($K303="","",INDEX(Base!$H$5:$H$2004,$K303))</f>
        <v/>
      </c>
      <c r="G303" s="71" t="str">
        <f aca="false">IF($K303="","",INDEX(Base!$I$5:$I$2004,$K303))</f>
        <v/>
      </c>
      <c r="H303" s="70" t="str">
        <f aca="false">IF($K303="","",INDEX(Base!$J$5:$J$2004,$K303))</f>
        <v/>
      </c>
      <c r="I303" s="71" t="str">
        <f aca="false">IF($K303="","",INDEX(Base!$L$5:$L$2004,$K303))</f>
        <v/>
      </c>
      <c r="J303" s="72" t="str">
        <f aca="false">IFERROR(SMALL(Base!$P$5:$P$2004,ROW()-5),"")</f>
        <v/>
      </c>
      <c r="K303" s="72" t="str">
        <f aca="false">IF(J303="","",MATCH(J303,Base!$P$5:$P$2004,0))</f>
        <v/>
      </c>
    </row>
    <row r="304" customFormat="false" ht="15" hidden="false" customHeight="false" outlineLevel="0" collapsed="false">
      <c r="A304" s="67" t="str">
        <f aca="false">IF($K304="","",ROW()-5)</f>
        <v/>
      </c>
      <c r="B304" s="68" t="str">
        <f aca="false">IF($K304="","",INDEX(Base!$E$5:$E$2004,$K304))</f>
        <v/>
      </c>
      <c r="C304" s="69" t="str">
        <f aca="false">IF($K304="","",B304)</f>
        <v/>
      </c>
      <c r="D304" s="70" t="str">
        <f aca="false">IF($K304="","",INDEX(Base!$F$5:$F$2004,$K304))</f>
        <v/>
      </c>
      <c r="E304" s="70" t="str">
        <f aca="false">IF($K304="","",INDEX(Base!$G$5:$G$2004,$K304))</f>
        <v/>
      </c>
      <c r="F304" s="71" t="str">
        <f aca="false">IF($K304="","",INDEX(Base!$H$5:$H$2004,$K304))</f>
        <v/>
      </c>
      <c r="G304" s="71" t="str">
        <f aca="false">IF($K304="","",INDEX(Base!$I$5:$I$2004,$K304))</f>
        <v/>
      </c>
      <c r="H304" s="70" t="str">
        <f aca="false">IF($K304="","",INDEX(Base!$J$5:$J$2004,$K304))</f>
        <v/>
      </c>
      <c r="I304" s="71" t="str">
        <f aca="false">IF($K304="","",INDEX(Base!$L$5:$L$2004,$K304))</f>
        <v/>
      </c>
      <c r="J304" s="72" t="str">
        <f aca="false">IFERROR(SMALL(Base!$P$5:$P$2004,ROW()-5),"")</f>
        <v/>
      </c>
      <c r="K304" s="72" t="str">
        <f aca="false">IF(J304="","",MATCH(J304,Base!$P$5:$P$2004,0))</f>
        <v/>
      </c>
    </row>
    <row r="305" customFormat="false" ht="15" hidden="false" customHeight="false" outlineLevel="0" collapsed="false">
      <c r="A305" s="67" t="str">
        <f aca="false">IF($K305="","",ROW()-5)</f>
        <v/>
      </c>
      <c r="B305" s="68" t="str">
        <f aca="false">IF($K305="","",INDEX(Base!$E$5:$E$2004,$K305))</f>
        <v/>
      </c>
      <c r="C305" s="69" t="str">
        <f aca="false">IF($K305="","",B305)</f>
        <v/>
      </c>
      <c r="D305" s="70" t="str">
        <f aca="false">IF($K305="","",INDEX(Base!$F$5:$F$2004,$K305))</f>
        <v/>
      </c>
      <c r="E305" s="70" t="str">
        <f aca="false">IF($K305="","",INDEX(Base!$G$5:$G$2004,$K305))</f>
        <v/>
      </c>
      <c r="F305" s="71" t="str">
        <f aca="false">IF($K305="","",INDEX(Base!$H$5:$H$2004,$K305))</f>
        <v/>
      </c>
      <c r="G305" s="71" t="str">
        <f aca="false">IF($K305="","",INDEX(Base!$I$5:$I$2004,$K305))</f>
        <v/>
      </c>
      <c r="H305" s="70" t="str">
        <f aca="false">IF($K305="","",INDEX(Base!$J$5:$J$2004,$K305))</f>
        <v/>
      </c>
      <c r="I305" s="71" t="str">
        <f aca="false">IF($K305="","",INDEX(Base!$L$5:$L$2004,$K305))</f>
        <v/>
      </c>
      <c r="J305" s="72" t="str">
        <f aca="false">IFERROR(SMALL(Base!$P$5:$P$2004,ROW()-5),"")</f>
        <v/>
      </c>
      <c r="K305" s="72" t="str">
        <f aca="false">IF(J305="","",MATCH(J305,Base!$P$5:$P$2004,0))</f>
        <v/>
      </c>
    </row>
    <row r="306" customFormat="false" ht="15" hidden="false" customHeight="false" outlineLevel="0" collapsed="false">
      <c r="A306" s="67" t="str">
        <f aca="false">IF($K306="","",ROW()-5)</f>
        <v/>
      </c>
      <c r="B306" s="68" t="str">
        <f aca="false">IF($K306="","",INDEX(Base!$E$5:$E$2004,$K306))</f>
        <v/>
      </c>
      <c r="C306" s="69" t="str">
        <f aca="false">IF($K306="","",B306)</f>
        <v/>
      </c>
      <c r="D306" s="70" t="str">
        <f aca="false">IF($K306="","",INDEX(Base!$F$5:$F$2004,$K306))</f>
        <v/>
      </c>
      <c r="E306" s="70" t="str">
        <f aca="false">IF($K306="","",INDEX(Base!$G$5:$G$2004,$K306))</f>
        <v/>
      </c>
      <c r="F306" s="71" t="str">
        <f aca="false">IF($K306="","",INDEX(Base!$H$5:$H$2004,$K306))</f>
        <v/>
      </c>
      <c r="G306" s="71" t="str">
        <f aca="false">IF($K306="","",INDEX(Base!$I$5:$I$2004,$K306))</f>
        <v/>
      </c>
      <c r="H306" s="70" t="str">
        <f aca="false">IF($K306="","",INDEX(Base!$J$5:$J$2004,$K306))</f>
        <v/>
      </c>
      <c r="I306" s="71" t="str">
        <f aca="false">IF($K306="","",INDEX(Base!$L$5:$L$2004,$K306))</f>
        <v/>
      </c>
      <c r="J306" s="72" t="str">
        <f aca="false">IFERROR(SMALL(Base!$P$5:$P$2004,ROW()-5),"")</f>
        <v/>
      </c>
      <c r="K306" s="72" t="str">
        <f aca="false">IF(J306="","",MATCH(J306,Base!$P$5:$P$2004,0))</f>
        <v/>
      </c>
    </row>
    <row r="307" customFormat="false" ht="15" hidden="false" customHeight="false" outlineLevel="0" collapsed="false">
      <c r="A307" s="67" t="str">
        <f aca="false">IF($K307="","",ROW()-5)</f>
        <v/>
      </c>
      <c r="B307" s="68" t="str">
        <f aca="false">IF($K307="","",INDEX(Base!$E$5:$E$2004,$K307))</f>
        <v/>
      </c>
      <c r="C307" s="69" t="str">
        <f aca="false">IF($K307="","",B307)</f>
        <v/>
      </c>
      <c r="D307" s="70" t="str">
        <f aca="false">IF($K307="","",INDEX(Base!$F$5:$F$2004,$K307))</f>
        <v/>
      </c>
      <c r="E307" s="70" t="str">
        <f aca="false">IF($K307="","",INDEX(Base!$G$5:$G$2004,$K307))</f>
        <v/>
      </c>
      <c r="F307" s="71" t="str">
        <f aca="false">IF($K307="","",INDEX(Base!$H$5:$H$2004,$K307))</f>
        <v/>
      </c>
      <c r="G307" s="71" t="str">
        <f aca="false">IF($K307="","",INDEX(Base!$I$5:$I$2004,$K307))</f>
        <v/>
      </c>
      <c r="H307" s="70" t="str">
        <f aca="false">IF($K307="","",INDEX(Base!$J$5:$J$2004,$K307))</f>
        <v/>
      </c>
      <c r="I307" s="71" t="str">
        <f aca="false">IF($K307="","",INDEX(Base!$L$5:$L$2004,$K307))</f>
        <v/>
      </c>
      <c r="J307" s="72" t="str">
        <f aca="false">IFERROR(SMALL(Base!$P$5:$P$2004,ROW()-5),"")</f>
        <v/>
      </c>
      <c r="K307" s="72" t="str">
        <f aca="false">IF(J307="","",MATCH(J307,Base!$P$5:$P$2004,0))</f>
        <v/>
      </c>
    </row>
    <row r="308" customFormat="false" ht="15" hidden="false" customHeight="false" outlineLevel="0" collapsed="false">
      <c r="A308" s="67" t="str">
        <f aca="false">IF($K308="","",ROW()-5)</f>
        <v/>
      </c>
      <c r="B308" s="68" t="str">
        <f aca="false">IF($K308="","",INDEX(Base!$E$5:$E$2004,$K308))</f>
        <v/>
      </c>
      <c r="C308" s="69" t="str">
        <f aca="false">IF($K308="","",B308)</f>
        <v/>
      </c>
      <c r="D308" s="70" t="str">
        <f aca="false">IF($K308="","",INDEX(Base!$F$5:$F$2004,$K308))</f>
        <v/>
      </c>
      <c r="E308" s="70" t="str">
        <f aca="false">IF($K308="","",INDEX(Base!$G$5:$G$2004,$K308))</f>
        <v/>
      </c>
      <c r="F308" s="71" t="str">
        <f aca="false">IF($K308="","",INDEX(Base!$H$5:$H$2004,$K308))</f>
        <v/>
      </c>
      <c r="G308" s="71" t="str">
        <f aca="false">IF($K308="","",INDEX(Base!$I$5:$I$2004,$K308))</f>
        <v/>
      </c>
      <c r="H308" s="70" t="str">
        <f aca="false">IF($K308="","",INDEX(Base!$J$5:$J$2004,$K308))</f>
        <v/>
      </c>
      <c r="I308" s="71" t="str">
        <f aca="false">IF($K308="","",INDEX(Base!$L$5:$L$2004,$K308))</f>
        <v/>
      </c>
      <c r="J308" s="72" t="str">
        <f aca="false">IFERROR(SMALL(Base!$P$5:$P$2004,ROW()-5),"")</f>
        <v/>
      </c>
      <c r="K308" s="72" t="str">
        <f aca="false">IF(J308="","",MATCH(J308,Base!$P$5:$P$2004,0))</f>
        <v/>
      </c>
    </row>
    <row r="309" customFormat="false" ht="15" hidden="false" customHeight="false" outlineLevel="0" collapsed="false">
      <c r="A309" s="67" t="str">
        <f aca="false">IF($K309="","",ROW()-5)</f>
        <v/>
      </c>
      <c r="B309" s="68" t="str">
        <f aca="false">IF($K309="","",INDEX(Base!$E$5:$E$2004,$K309))</f>
        <v/>
      </c>
      <c r="C309" s="69" t="str">
        <f aca="false">IF($K309="","",B309)</f>
        <v/>
      </c>
      <c r="D309" s="70" t="str">
        <f aca="false">IF($K309="","",INDEX(Base!$F$5:$F$2004,$K309))</f>
        <v/>
      </c>
      <c r="E309" s="70" t="str">
        <f aca="false">IF($K309="","",INDEX(Base!$G$5:$G$2004,$K309))</f>
        <v/>
      </c>
      <c r="F309" s="71" t="str">
        <f aca="false">IF($K309="","",INDEX(Base!$H$5:$H$2004,$K309))</f>
        <v/>
      </c>
      <c r="G309" s="71" t="str">
        <f aca="false">IF($K309="","",INDEX(Base!$I$5:$I$2004,$K309))</f>
        <v/>
      </c>
      <c r="H309" s="70" t="str">
        <f aca="false">IF($K309="","",INDEX(Base!$J$5:$J$2004,$K309))</f>
        <v/>
      </c>
      <c r="I309" s="71" t="str">
        <f aca="false">IF($K309="","",INDEX(Base!$L$5:$L$2004,$K309))</f>
        <v/>
      </c>
      <c r="J309" s="72" t="str">
        <f aca="false">IFERROR(SMALL(Base!$P$5:$P$2004,ROW()-5),"")</f>
        <v/>
      </c>
      <c r="K309" s="72" t="str">
        <f aca="false">IF(J309="","",MATCH(J309,Base!$P$5:$P$2004,0))</f>
        <v/>
      </c>
    </row>
    <row r="310" customFormat="false" ht="15" hidden="false" customHeight="false" outlineLevel="0" collapsed="false">
      <c r="A310" s="67" t="str">
        <f aca="false">IF($K310="","",ROW()-5)</f>
        <v/>
      </c>
      <c r="B310" s="68" t="str">
        <f aca="false">IF($K310="","",INDEX(Base!$E$5:$E$2004,$K310))</f>
        <v/>
      </c>
      <c r="C310" s="69" t="str">
        <f aca="false">IF($K310="","",B310)</f>
        <v/>
      </c>
      <c r="D310" s="70" t="str">
        <f aca="false">IF($K310="","",INDEX(Base!$F$5:$F$2004,$K310))</f>
        <v/>
      </c>
      <c r="E310" s="70" t="str">
        <f aca="false">IF($K310="","",INDEX(Base!$G$5:$G$2004,$K310))</f>
        <v/>
      </c>
      <c r="F310" s="71" t="str">
        <f aca="false">IF($K310="","",INDEX(Base!$H$5:$H$2004,$K310))</f>
        <v/>
      </c>
      <c r="G310" s="71" t="str">
        <f aca="false">IF($K310="","",INDEX(Base!$I$5:$I$2004,$K310))</f>
        <v/>
      </c>
      <c r="H310" s="70" t="str">
        <f aca="false">IF($K310="","",INDEX(Base!$J$5:$J$2004,$K310))</f>
        <v/>
      </c>
      <c r="I310" s="71" t="str">
        <f aca="false">IF($K310="","",INDEX(Base!$L$5:$L$2004,$K310))</f>
        <v/>
      </c>
      <c r="J310" s="72" t="str">
        <f aca="false">IFERROR(SMALL(Base!$P$5:$P$2004,ROW()-5),"")</f>
        <v/>
      </c>
      <c r="K310" s="72" t="str">
        <f aca="false">IF(J310="","",MATCH(J310,Base!$P$5:$P$2004,0))</f>
        <v/>
      </c>
    </row>
    <row r="311" customFormat="false" ht="15" hidden="false" customHeight="false" outlineLevel="0" collapsed="false">
      <c r="A311" s="67" t="str">
        <f aca="false">IF($K311="","",ROW()-5)</f>
        <v/>
      </c>
      <c r="B311" s="68" t="str">
        <f aca="false">IF($K311="","",INDEX(Base!$E$5:$E$2004,$K311))</f>
        <v/>
      </c>
      <c r="C311" s="69" t="str">
        <f aca="false">IF($K311="","",B311)</f>
        <v/>
      </c>
      <c r="D311" s="70" t="str">
        <f aca="false">IF($K311="","",INDEX(Base!$F$5:$F$2004,$K311))</f>
        <v/>
      </c>
      <c r="E311" s="70" t="str">
        <f aca="false">IF($K311="","",INDEX(Base!$G$5:$G$2004,$K311))</f>
        <v/>
      </c>
      <c r="F311" s="71" t="str">
        <f aca="false">IF($K311="","",INDEX(Base!$H$5:$H$2004,$K311))</f>
        <v/>
      </c>
      <c r="G311" s="71" t="str">
        <f aca="false">IF($K311="","",INDEX(Base!$I$5:$I$2004,$K311))</f>
        <v/>
      </c>
      <c r="H311" s="70" t="str">
        <f aca="false">IF($K311="","",INDEX(Base!$J$5:$J$2004,$K311))</f>
        <v/>
      </c>
      <c r="I311" s="71" t="str">
        <f aca="false">IF($K311="","",INDEX(Base!$L$5:$L$2004,$K311))</f>
        <v/>
      </c>
      <c r="J311" s="72" t="str">
        <f aca="false">IFERROR(SMALL(Base!$P$5:$P$2004,ROW()-5),"")</f>
        <v/>
      </c>
      <c r="K311" s="72" t="str">
        <f aca="false">IF(J311="","",MATCH(J311,Base!$P$5:$P$2004,0))</f>
        <v/>
      </c>
    </row>
    <row r="312" customFormat="false" ht="15" hidden="false" customHeight="false" outlineLevel="0" collapsed="false">
      <c r="A312" s="67" t="str">
        <f aca="false">IF($K312="","",ROW()-5)</f>
        <v/>
      </c>
      <c r="B312" s="68" t="str">
        <f aca="false">IF($K312="","",INDEX(Base!$E$5:$E$2004,$K312))</f>
        <v/>
      </c>
      <c r="C312" s="69" t="str">
        <f aca="false">IF($K312="","",B312)</f>
        <v/>
      </c>
      <c r="D312" s="70" t="str">
        <f aca="false">IF($K312="","",INDEX(Base!$F$5:$F$2004,$K312))</f>
        <v/>
      </c>
      <c r="E312" s="70" t="str">
        <f aca="false">IF($K312="","",INDEX(Base!$G$5:$G$2004,$K312))</f>
        <v/>
      </c>
      <c r="F312" s="71" t="str">
        <f aca="false">IF($K312="","",INDEX(Base!$H$5:$H$2004,$K312))</f>
        <v/>
      </c>
      <c r="G312" s="71" t="str">
        <f aca="false">IF($K312="","",INDEX(Base!$I$5:$I$2004,$K312))</f>
        <v/>
      </c>
      <c r="H312" s="70" t="str">
        <f aca="false">IF($K312="","",INDEX(Base!$J$5:$J$2004,$K312))</f>
        <v/>
      </c>
      <c r="I312" s="71" t="str">
        <f aca="false">IF($K312="","",INDEX(Base!$L$5:$L$2004,$K312))</f>
        <v/>
      </c>
      <c r="J312" s="72" t="str">
        <f aca="false">IFERROR(SMALL(Base!$P$5:$P$2004,ROW()-5),"")</f>
        <v/>
      </c>
      <c r="K312" s="72" t="str">
        <f aca="false">IF(J312="","",MATCH(J312,Base!$P$5:$P$2004,0))</f>
        <v/>
      </c>
    </row>
    <row r="313" customFormat="false" ht="15" hidden="false" customHeight="false" outlineLevel="0" collapsed="false">
      <c r="A313" s="67" t="str">
        <f aca="false">IF($K313="","",ROW()-5)</f>
        <v/>
      </c>
      <c r="B313" s="68" t="str">
        <f aca="false">IF($K313="","",INDEX(Base!$E$5:$E$2004,$K313))</f>
        <v/>
      </c>
      <c r="C313" s="69" t="str">
        <f aca="false">IF($K313="","",B313)</f>
        <v/>
      </c>
      <c r="D313" s="70" t="str">
        <f aca="false">IF($K313="","",INDEX(Base!$F$5:$F$2004,$K313))</f>
        <v/>
      </c>
      <c r="E313" s="70" t="str">
        <f aca="false">IF($K313="","",INDEX(Base!$G$5:$G$2004,$K313))</f>
        <v/>
      </c>
      <c r="F313" s="71" t="str">
        <f aca="false">IF($K313="","",INDEX(Base!$H$5:$H$2004,$K313))</f>
        <v/>
      </c>
      <c r="G313" s="71" t="str">
        <f aca="false">IF($K313="","",INDEX(Base!$I$5:$I$2004,$K313))</f>
        <v/>
      </c>
      <c r="H313" s="70" t="str">
        <f aca="false">IF($K313="","",INDEX(Base!$J$5:$J$2004,$K313))</f>
        <v/>
      </c>
      <c r="I313" s="71" t="str">
        <f aca="false">IF($K313="","",INDEX(Base!$L$5:$L$2004,$K313))</f>
        <v/>
      </c>
      <c r="J313" s="72" t="str">
        <f aca="false">IFERROR(SMALL(Base!$P$5:$P$2004,ROW()-5),"")</f>
        <v/>
      </c>
      <c r="K313" s="72" t="str">
        <f aca="false">IF(J313="","",MATCH(J313,Base!$P$5:$P$2004,0))</f>
        <v/>
      </c>
    </row>
    <row r="314" customFormat="false" ht="15" hidden="false" customHeight="false" outlineLevel="0" collapsed="false">
      <c r="A314" s="67" t="str">
        <f aca="false">IF($K314="","",ROW()-5)</f>
        <v/>
      </c>
      <c r="B314" s="68" t="str">
        <f aca="false">IF($K314="","",INDEX(Base!$E$5:$E$2004,$K314))</f>
        <v/>
      </c>
      <c r="C314" s="69" t="str">
        <f aca="false">IF($K314="","",B314)</f>
        <v/>
      </c>
      <c r="D314" s="70" t="str">
        <f aca="false">IF($K314="","",INDEX(Base!$F$5:$F$2004,$K314))</f>
        <v/>
      </c>
      <c r="E314" s="70" t="str">
        <f aca="false">IF($K314="","",INDEX(Base!$G$5:$G$2004,$K314))</f>
        <v/>
      </c>
      <c r="F314" s="71" t="str">
        <f aca="false">IF($K314="","",INDEX(Base!$H$5:$H$2004,$K314))</f>
        <v/>
      </c>
      <c r="G314" s="71" t="str">
        <f aca="false">IF($K314="","",INDEX(Base!$I$5:$I$2004,$K314))</f>
        <v/>
      </c>
      <c r="H314" s="70" t="str">
        <f aca="false">IF($K314="","",INDEX(Base!$J$5:$J$2004,$K314))</f>
        <v/>
      </c>
      <c r="I314" s="71" t="str">
        <f aca="false">IF($K314="","",INDEX(Base!$L$5:$L$2004,$K314))</f>
        <v/>
      </c>
      <c r="J314" s="72" t="str">
        <f aca="false">IFERROR(SMALL(Base!$P$5:$P$2004,ROW()-5),"")</f>
        <v/>
      </c>
      <c r="K314" s="72" t="str">
        <f aca="false">IF(J314="","",MATCH(J314,Base!$P$5:$P$2004,0))</f>
        <v/>
      </c>
    </row>
    <row r="315" customFormat="false" ht="15" hidden="false" customHeight="false" outlineLevel="0" collapsed="false">
      <c r="A315" s="67" t="str">
        <f aca="false">IF($K315="","",ROW()-5)</f>
        <v/>
      </c>
      <c r="B315" s="68" t="str">
        <f aca="false">IF($K315="","",INDEX(Base!$E$5:$E$2004,$K315))</f>
        <v/>
      </c>
      <c r="C315" s="69" t="str">
        <f aca="false">IF($K315="","",B315)</f>
        <v/>
      </c>
      <c r="D315" s="70" t="str">
        <f aca="false">IF($K315="","",INDEX(Base!$F$5:$F$2004,$K315))</f>
        <v/>
      </c>
      <c r="E315" s="70" t="str">
        <f aca="false">IF($K315="","",INDEX(Base!$G$5:$G$2004,$K315))</f>
        <v/>
      </c>
      <c r="F315" s="71" t="str">
        <f aca="false">IF($K315="","",INDEX(Base!$H$5:$H$2004,$K315))</f>
        <v/>
      </c>
      <c r="G315" s="71" t="str">
        <f aca="false">IF($K315="","",INDEX(Base!$I$5:$I$2004,$K315))</f>
        <v/>
      </c>
      <c r="H315" s="70" t="str">
        <f aca="false">IF($K315="","",INDEX(Base!$J$5:$J$2004,$K315))</f>
        <v/>
      </c>
      <c r="I315" s="71" t="str">
        <f aca="false">IF($K315="","",INDEX(Base!$L$5:$L$2004,$K315))</f>
        <v/>
      </c>
      <c r="J315" s="72" t="str">
        <f aca="false">IFERROR(SMALL(Base!$P$5:$P$2004,ROW()-5),"")</f>
        <v/>
      </c>
      <c r="K315" s="72" t="str">
        <f aca="false">IF(J315="","",MATCH(J315,Base!$P$5:$P$2004,0))</f>
        <v/>
      </c>
    </row>
    <row r="316" customFormat="false" ht="15" hidden="false" customHeight="false" outlineLevel="0" collapsed="false">
      <c r="A316" s="67" t="str">
        <f aca="false">IF($K316="","",ROW()-5)</f>
        <v/>
      </c>
      <c r="B316" s="68" t="str">
        <f aca="false">IF($K316="","",INDEX(Base!$E$5:$E$2004,$K316))</f>
        <v/>
      </c>
      <c r="C316" s="69" t="str">
        <f aca="false">IF($K316="","",B316)</f>
        <v/>
      </c>
      <c r="D316" s="70" t="str">
        <f aca="false">IF($K316="","",INDEX(Base!$F$5:$F$2004,$K316))</f>
        <v/>
      </c>
      <c r="E316" s="70" t="str">
        <f aca="false">IF($K316="","",INDEX(Base!$G$5:$G$2004,$K316))</f>
        <v/>
      </c>
      <c r="F316" s="71" t="str">
        <f aca="false">IF($K316="","",INDEX(Base!$H$5:$H$2004,$K316))</f>
        <v/>
      </c>
      <c r="G316" s="71" t="str">
        <f aca="false">IF($K316="","",INDEX(Base!$I$5:$I$2004,$K316))</f>
        <v/>
      </c>
      <c r="H316" s="70" t="str">
        <f aca="false">IF($K316="","",INDEX(Base!$J$5:$J$2004,$K316))</f>
        <v/>
      </c>
      <c r="I316" s="71" t="str">
        <f aca="false">IF($K316="","",INDEX(Base!$L$5:$L$2004,$K316))</f>
        <v/>
      </c>
      <c r="J316" s="72" t="str">
        <f aca="false">IFERROR(SMALL(Base!$P$5:$P$2004,ROW()-5),"")</f>
        <v/>
      </c>
      <c r="K316" s="72" t="str">
        <f aca="false">IF(J316="","",MATCH(J316,Base!$P$5:$P$2004,0))</f>
        <v/>
      </c>
    </row>
    <row r="317" customFormat="false" ht="15" hidden="false" customHeight="false" outlineLevel="0" collapsed="false">
      <c r="A317" s="67" t="str">
        <f aca="false">IF($K317="","",ROW()-5)</f>
        <v/>
      </c>
      <c r="B317" s="68" t="str">
        <f aca="false">IF($K317="","",INDEX(Base!$E$5:$E$2004,$K317))</f>
        <v/>
      </c>
      <c r="C317" s="69" t="str">
        <f aca="false">IF($K317="","",B317)</f>
        <v/>
      </c>
      <c r="D317" s="70" t="str">
        <f aca="false">IF($K317="","",INDEX(Base!$F$5:$F$2004,$K317))</f>
        <v/>
      </c>
      <c r="E317" s="70" t="str">
        <f aca="false">IF($K317="","",INDEX(Base!$G$5:$G$2004,$K317))</f>
        <v/>
      </c>
      <c r="F317" s="71" t="str">
        <f aca="false">IF($K317="","",INDEX(Base!$H$5:$H$2004,$K317))</f>
        <v/>
      </c>
      <c r="G317" s="71" t="str">
        <f aca="false">IF($K317="","",INDEX(Base!$I$5:$I$2004,$K317))</f>
        <v/>
      </c>
      <c r="H317" s="70" t="str">
        <f aca="false">IF($K317="","",INDEX(Base!$J$5:$J$2004,$K317))</f>
        <v/>
      </c>
      <c r="I317" s="71" t="str">
        <f aca="false">IF($K317="","",INDEX(Base!$L$5:$L$2004,$K317))</f>
        <v/>
      </c>
      <c r="J317" s="72" t="str">
        <f aca="false">IFERROR(SMALL(Base!$P$5:$P$2004,ROW()-5),"")</f>
        <v/>
      </c>
      <c r="K317" s="72" t="str">
        <f aca="false">IF(J317="","",MATCH(J317,Base!$P$5:$P$2004,0))</f>
        <v/>
      </c>
    </row>
    <row r="318" customFormat="false" ht="15" hidden="false" customHeight="false" outlineLevel="0" collapsed="false">
      <c r="A318" s="67" t="str">
        <f aca="false">IF($K318="","",ROW()-5)</f>
        <v/>
      </c>
      <c r="B318" s="68" t="str">
        <f aca="false">IF($K318="","",INDEX(Base!$E$5:$E$2004,$K318))</f>
        <v/>
      </c>
      <c r="C318" s="69" t="str">
        <f aca="false">IF($K318="","",B318)</f>
        <v/>
      </c>
      <c r="D318" s="70" t="str">
        <f aca="false">IF($K318="","",INDEX(Base!$F$5:$F$2004,$K318))</f>
        <v/>
      </c>
      <c r="E318" s="70" t="str">
        <f aca="false">IF($K318="","",INDEX(Base!$G$5:$G$2004,$K318))</f>
        <v/>
      </c>
      <c r="F318" s="71" t="str">
        <f aca="false">IF($K318="","",INDEX(Base!$H$5:$H$2004,$K318))</f>
        <v/>
      </c>
      <c r="G318" s="71" t="str">
        <f aca="false">IF($K318="","",INDEX(Base!$I$5:$I$2004,$K318))</f>
        <v/>
      </c>
      <c r="H318" s="70" t="str">
        <f aca="false">IF($K318="","",INDEX(Base!$J$5:$J$2004,$K318))</f>
        <v/>
      </c>
      <c r="I318" s="71" t="str">
        <f aca="false">IF($K318="","",INDEX(Base!$L$5:$L$2004,$K318))</f>
        <v/>
      </c>
      <c r="J318" s="72" t="str">
        <f aca="false">IFERROR(SMALL(Base!$P$5:$P$2004,ROW()-5),"")</f>
        <v/>
      </c>
      <c r="K318" s="72" t="str">
        <f aca="false">IF(J318="","",MATCH(J318,Base!$P$5:$P$2004,0))</f>
        <v/>
      </c>
    </row>
    <row r="319" customFormat="false" ht="15" hidden="false" customHeight="false" outlineLevel="0" collapsed="false">
      <c r="A319" s="67" t="str">
        <f aca="false">IF($K319="","",ROW()-5)</f>
        <v/>
      </c>
      <c r="B319" s="68" t="str">
        <f aca="false">IF($K319="","",INDEX(Base!$E$5:$E$2004,$K319))</f>
        <v/>
      </c>
      <c r="C319" s="69" t="str">
        <f aca="false">IF($K319="","",B319)</f>
        <v/>
      </c>
      <c r="D319" s="70" t="str">
        <f aca="false">IF($K319="","",INDEX(Base!$F$5:$F$2004,$K319))</f>
        <v/>
      </c>
      <c r="E319" s="70" t="str">
        <f aca="false">IF($K319="","",INDEX(Base!$G$5:$G$2004,$K319))</f>
        <v/>
      </c>
      <c r="F319" s="71" t="str">
        <f aca="false">IF($K319="","",INDEX(Base!$H$5:$H$2004,$K319))</f>
        <v/>
      </c>
      <c r="G319" s="71" t="str">
        <f aca="false">IF($K319="","",INDEX(Base!$I$5:$I$2004,$K319))</f>
        <v/>
      </c>
      <c r="H319" s="70" t="str">
        <f aca="false">IF($K319="","",INDEX(Base!$J$5:$J$2004,$K319))</f>
        <v/>
      </c>
      <c r="I319" s="71" t="str">
        <f aca="false">IF($K319="","",INDEX(Base!$L$5:$L$2004,$K319))</f>
        <v/>
      </c>
      <c r="J319" s="72" t="str">
        <f aca="false">IFERROR(SMALL(Base!$P$5:$P$2004,ROW()-5),"")</f>
        <v/>
      </c>
      <c r="K319" s="72" t="str">
        <f aca="false">IF(J319="","",MATCH(J319,Base!$P$5:$P$2004,0))</f>
        <v/>
      </c>
    </row>
    <row r="320" customFormat="false" ht="15" hidden="false" customHeight="false" outlineLevel="0" collapsed="false">
      <c r="A320" s="67" t="str">
        <f aca="false">IF($K320="","",ROW()-5)</f>
        <v/>
      </c>
      <c r="B320" s="68" t="str">
        <f aca="false">IF($K320="","",INDEX(Base!$E$5:$E$2004,$K320))</f>
        <v/>
      </c>
      <c r="C320" s="69" t="str">
        <f aca="false">IF($K320="","",B320)</f>
        <v/>
      </c>
      <c r="D320" s="70" t="str">
        <f aca="false">IF($K320="","",INDEX(Base!$F$5:$F$2004,$K320))</f>
        <v/>
      </c>
      <c r="E320" s="70" t="str">
        <f aca="false">IF($K320="","",INDEX(Base!$G$5:$G$2004,$K320))</f>
        <v/>
      </c>
      <c r="F320" s="71" t="str">
        <f aca="false">IF($K320="","",INDEX(Base!$H$5:$H$2004,$K320))</f>
        <v/>
      </c>
      <c r="G320" s="71" t="str">
        <f aca="false">IF($K320="","",INDEX(Base!$I$5:$I$2004,$K320))</f>
        <v/>
      </c>
      <c r="H320" s="70" t="str">
        <f aca="false">IF($K320="","",INDEX(Base!$J$5:$J$2004,$K320))</f>
        <v/>
      </c>
      <c r="I320" s="71" t="str">
        <f aca="false">IF($K320="","",INDEX(Base!$L$5:$L$2004,$K320))</f>
        <v/>
      </c>
      <c r="J320" s="72" t="str">
        <f aca="false">IFERROR(SMALL(Base!$P$5:$P$2004,ROW()-5),"")</f>
        <v/>
      </c>
      <c r="K320" s="72" t="str">
        <f aca="false">IF(J320="","",MATCH(J320,Base!$P$5:$P$2004,0))</f>
        <v/>
      </c>
    </row>
    <row r="321" customFormat="false" ht="15" hidden="false" customHeight="false" outlineLevel="0" collapsed="false">
      <c r="A321" s="67" t="str">
        <f aca="false">IF($K321="","",ROW()-5)</f>
        <v/>
      </c>
      <c r="B321" s="68" t="str">
        <f aca="false">IF($K321="","",INDEX(Base!$E$5:$E$2004,$K321))</f>
        <v/>
      </c>
      <c r="C321" s="69" t="str">
        <f aca="false">IF($K321="","",B321)</f>
        <v/>
      </c>
      <c r="D321" s="70" t="str">
        <f aca="false">IF($K321="","",INDEX(Base!$F$5:$F$2004,$K321))</f>
        <v/>
      </c>
      <c r="E321" s="70" t="str">
        <f aca="false">IF($K321="","",INDEX(Base!$G$5:$G$2004,$K321))</f>
        <v/>
      </c>
      <c r="F321" s="71" t="str">
        <f aca="false">IF($K321="","",INDEX(Base!$H$5:$H$2004,$K321))</f>
        <v/>
      </c>
      <c r="G321" s="71" t="str">
        <f aca="false">IF($K321="","",INDEX(Base!$I$5:$I$2004,$K321))</f>
        <v/>
      </c>
      <c r="H321" s="70" t="str">
        <f aca="false">IF($K321="","",INDEX(Base!$J$5:$J$2004,$K321))</f>
        <v/>
      </c>
      <c r="I321" s="71" t="str">
        <f aca="false">IF($K321="","",INDEX(Base!$L$5:$L$2004,$K321))</f>
        <v/>
      </c>
      <c r="J321" s="72" t="str">
        <f aca="false">IFERROR(SMALL(Base!$P$5:$P$2004,ROW()-5),"")</f>
        <v/>
      </c>
      <c r="K321" s="72" t="str">
        <f aca="false">IF(J321="","",MATCH(J321,Base!$P$5:$P$2004,0))</f>
        <v/>
      </c>
    </row>
    <row r="322" customFormat="false" ht="15" hidden="false" customHeight="false" outlineLevel="0" collapsed="false">
      <c r="A322" s="67" t="str">
        <f aca="false">IF($K322="","",ROW()-5)</f>
        <v/>
      </c>
      <c r="B322" s="68" t="str">
        <f aca="false">IF($K322="","",INDEX(Base!$E$5:$E$2004,$K322))</f>
        <v/>
      </c>
      <c r="C322" s="69" t="str">
        <f aca="false">IF($K322="","",B322)</f>
        <v/>
      </c>
      <c r="D322" s="70" t="str">
        <f aca="false">IF($K322="","",INDEX(Base!$F$5:$F$2004,$K322))</f>
        <v/>
      </c>
      <c r="E322" s="70" t="str">
        <f aca="false">IF($K322="","",INDEX(Base!$G$5:$G$2004,$K322))</f>
        <v/>
      </c>
      <c r="F322" s="71" t="str">
        <f aca="false">IF($K322="","",INDEX(Base!$H$5:$H$2004,$K322))</f>
        <v/>
      </c>
      <c r="G322" s="71" t="str">
        <f aca="false">IF($K322="","",INDEX(Base!$I$5:$I$2004,$K322))</f>
        <v/>
      </c>
      <c r="H322" s="70" t="str">
        <f aca="false">IF($K322="","",INDEX(Base!$J$5:$J$2004,$K322))</f>
        <v/>
      </c>
      <c r="I322" s="71" t="str">
        <f aca="false">IF($K322="","",INDEX(Base!$L$5:$L$2004,$K322))</f>
        <v/>
      </c>
      <c r="J322" s="72" t="str">
        <f aca="false">IFERROR(SMALL(Base!$P$5:$P$2004,ROW()-5),"")</f>
        <v/>
      </c>
      <c r="K322" s="72" t="str">
        <f aca="false">IF(J322="","",MATCH(J322,Base!$P$5:$P$2004,0))</f>
        <v/>
      </c>
    </row>
    <row r="323" customFormat="false" ht="15" hidden="false" customHeight="false" outlineLevel="0" collapsed="false">
      <c r="A323" s="67" t="str">
        <f aca="false">IF($K323="","",ROW()-5)</f>
        <v/>
      </c>
      <c r="B323" s="68" t="str">
        <f aca="false">IF($K323="","",INDEX(Base!$E$5:$E$2004,$K323))</f>
        <v/>
      </c>
      <c r="C323" s="69" t="str">
        <f aca="false">IF($K323="","",B323)</f>
        <v/>
      </c>
      <c r="D323" s="70" t="str">
        <f aca="false">IF($K323="","",INDEX(Base!$F$5:$F$2004,$K323))</f>
        <v/>
      </c>
      <c r="E323" s="70" t="str">
        <f aca="false">IF($K323="","",INDEX(Base!$G$5:$G$2004,$K323))</f>
        <v/>
      </c>
      <c r="F323" s="71" t="str">
        <f aca="false">IF($K323="","",INDEX(Base!$H$5:$H$2004,$K323))</f>
        <v/>
      </c>
      <c r="G323" s="71" t="str">
        <f aca="false">IF($K323="","",INDEX(Base!$I$5:$I$2004,$K323))</f>
        <v/>
      </c>
      <c r="H323" s="70" t="str">
        <f aca="false">IF($K323="","",INDEX(Base!$J$5:$J$2004,$K323))</f>
        <v/>
      </c>
      <c r="I323" s="71" t="str">
        <f aca="false">IF($K323="","",INDEX(Base!$L$5:$L$2004,$K323))</f>
        <v/>
      </c>
      <c r="J323" s="72" t="str">
        <f aca="false">IFERROR(SMALL(Base!$P$5:$P$2004,ROW()-5),"")</f>
        <v/>
      </c>
      <c r="K323" s="72" t="str">
        <f aca="false">IF(J323="","",MATCH(J323,Base!$P$5:$P$2004,0))</f>
        <v/>
      </c>
    </row>
    <row r="324" customFormat="false" ht="15" hidden="false" customHeight="false" outlineLevel="0" collapsed="false">
      <c r="A324" s="67" t="str">
        <f aca="false">IF($K324="","",ROW()-5)</f>
        <v/>
      </c>
      <c r="B324" s="68" t="str">
        <f aca="false">IF($K324="","",INDEX(Base!$E$5:$E$2004,$K324))</f>
        <v/>
      </c>
      <c r="C324" s="69" t="str">
        <f aca="false">IF($K324="","",B324)</f>
        <v/>
      </c>
      <c r="D324" s="70" t="str">
        <f aca="false">IF($K324="","",INDEX(Base!$F$5:$F$2004,$K324))</f>
        <v/>
      </c>
      <c r="E324" s="70" t="str">
        <f aca="false">IF($K324="","",INDEX(Base!$G$5:$G$2004,$K324))</f>
        <v/>
      </c>
      <c r="F324" s="71" t="str">
        <f aca="false">IF($K324="","",INDEX(Base!$H$5:$H$2004,$K324))</f>
        <v/>
      </c>
      <c r="G324" s="71" t="str">
        <f aca="false">IF($K324="","",INDEX(Base!$I$5:$I$2004,$K324))</f>
        <v/>
      </c>
      <c r="H324" s="70" t="str">
        <f aca="false">IF($K324="","",INDEX(Base!$J$5:$J$2004,$K324))</f>
        <v/>
      </c>
      <c r="I324" s="71" t="str">
        <f aca="false">IF($K324="","",INDEX(Base!$L$5:$L$2004,$K324))</f>
        <v/>
      </c>
      <c r="J324" s="72" t="str">
        <f aca="false">IFERROR(SMALL(Base!$P$5:$P$2004,ROW()-5),"")</f>
        <v/>
      </c>
      <c r="K324" s="72" t="str">
        <f aca="false">IF(J324="","",MATCH(J324,Base!$P$5:$P$2004,0))</f>
        <v/>
      </c>
    </row>
    <row r="325" customFormat="false" ht="15" hidden="false" customHeight="false" outlineLevel="0" collapsed="false">
      <c r="A325" s="67" t="str">
        <f aca="false">IF($K325="","",ROW()-5)</f>
        <v/>
      </c>
      <c r="B325" s="68" t="str">
        <f aca="false">IF($K325="","",INDEX(Base!$E$5:$E$2004,$K325))</f>
        <v/>
      </c>
      <c r="C325" s="69" t="str">
        <f aca="false">IF($K325="","",B325)</f>
        <v/>
      </c>
      <c r="D325" s="70" t="str">
        <f aca="false">IF($K325="","",INDEX(Base!$F$5:$F$2004,$K325))</f>
        <v/>
      </c>
      <c r="E325" s="70" t="str">
        <f aca="false">IF($K325="","",INDEX(Base!$G$5:$G$2004,$K325))</f>
        <v/>
      </c>
      <c r="F325" s="71" t="str">
        <f aca="false">IF($K325="","",INDEX(Base!$H$5:$H$2004,$K325))</f>
        <v/>
      </c>
      <c r="G325" s="71" t="str">
        <f aca="false">IF($K325="","",INDEX(Base!$I$5:$I$2004,$K325))</f>
        <v/>
      </c>
      <c r="H325" s="70" t="str">
        <f aca="false">IF($K325="","",INDEX(Base!$J$5:$J$2004,$K325))</f>
        <v/>
      </c>
      <c r="I325" s="71" t="str">
        <f aca="false">IF($K325="","",INDEX(Base!$L$5:$L$2004,$K325))</f>
        <v/>
      </c>
      <c r="J325" s="72" t="str">
        <f aca="false">IFERROR(SMALL(Base!$P$5:$P$2004,ROW()-5),"")</f>
        <v/>
      </c>
      <c r="K325" s="72" t="str">
        <f aca="false">IF(J325="","",MATCH(J325,Base!$P$5:$P$2004,0))</f>
        <v/>
      </c>
    </row>
    <row r="326" customFormat="false" ht="15" hidden="false" customHeight="false" outlineLevel="0" collapsed="false">
      <c r="A326" s="67" t="str">
        <f aca="false">IF($K326="","",ROW()-5)</f>
        <v/>
      </c>
      <c r="B326" s="68" t="str">
        <f aca="false">IF($K326="","",INDEX(Base!$E$5:$E$2004,$K326))</f>
        <v/>
      </c>
      <c r="C326" s="69" t="str">
        <f aca="false">IF($K326="","",B326)</f>
        <v/>
      </c>
      <c r="D326" s="70" t="str">
        <f aca="false">IF($K326="","",INDEX(Base!$F$5:$F$2004,$K326))</f>
        <v/>
      </c>
      <c r="E326" s="70" t="str">
        <f aca="false">IF($K326="","",INDEX(Base!$G$5:$G$2004,$K326))</f>
        <v/>
      </c>
      <c r="F326" s="71" t="str">
        <f aca="false">IF($K326="","",INDEX(Base!$H$5:$H$2004,$K326))</f>
        <v/>
      </c>
      <c r="G326" s="71" t="str">
        <f aca="false">IF($K326="","",INDEX(Base!$I$5:$I$2004,$K326))</f>
        <v/>
      </c>
      <c r="H326" s="70" t="str">
        <f aca="false">IF($K326="","",INDEX(Base!$J$5:$J$2004,$K326))</f>
        <v/>
      </c>
      <c r="I326" s="71" t="str">
        <f aca="false">IF($K326="","",INDEX(Base!$L$5:$L$2004,$K326))</f>
        <v/>
      </c>
      <c r="J326" s="72" t="str">
        <f aca="false">IFERROR(SMALL(Base!$P$5:$P$2004,ROW()-5),"")</f>
        <v/>
      </c>
      <c r="K326" s="72" t="str">
        <f aca="false">IF(J326="","",MATCH(J326,Base!$P$5:$P$2004,0))</f>
        <v/>
      </c>
    </row>
    <row r="327" customFormat="false" ht="15" hidden="false" customHeight="false" outlineLevel="0" collapsed="false">
      <c r="A327" s="67" t="str">
        <f aca="false">IF($K327="","",ROW()-5)</f>
        <v/>
      </c>
      <c r="B327" s="68" t="str">
        <f aca="false">IF($K327="","",INDEX(Base!$E$5:$E$2004,$K327))</f>
        <v/>
      </c>
      <c r="C327" s="69" t="str">
        <f aca="false">IF($K327="","",B327)</f>
        <v/>
      </c>
      <c r="D327" s="70" t="str">
        <f aca="false">IF($K327="","",INDEX(Base!$F$5:$F$2004,$K327))</f>
        <v/>
      </c>
      <c r="E327" s="70" t="str">
        <f aca="false">IF($K327="","",INDEX(Base!$G$5:$G$2004,$K327))</f>
        <v/>
      </c>
      <c r="F327" s="71" t="str">
        <f aca="false">IF($K327="","",INDEX(Base!$H$5:$H$2004,$K327))</f>
        <v/>
      </c>
      <c r="G327" s="71" t="str">
        <f aca="false">IF($K327="","",INDEX(Base!$I$5:$I$2004,$K327))</f>
        <v/>
      </c>
      <c r="H327" s="70" t="str">
        <f aca="false">IF($K327="","",INDEX(Base!$J$5:$J$2004,$K327))</f>
        <v/>
      </c>
      <c r="I327" s="71" t="str">
        <f aca="false">IF($K327="","",INDEX(Base!$L$5:$L$2004,$K327))</f>
        <v/>
      </c>
      <c r="J327" s="72" t="str">
        <f aca="false">IFERROR(SMALL(Base!$P$5:$P$2004,ROW()-5),"")</f>
        <v/>
      </c>
      <c r="K327" s="72" t="str">
        <f aca="false">IF(J327="","",MATCH(J327,Base!$P$5:$P$2004,0))</f>
        <v/>
      </c>
    </row>
    <row r="328" customFormat="false" ht="15" hidden="false" customHeight="false" outlineLevel="0" collapsed="false">
      <c r="A328" s="67" t="str">
        <f aca="false">IF($K328="","",ROW()-5)</f>
        <v/>
      </c>
      <c r="B328" s="68" t="str">
        <f aca="false">IF($K328="","",INDEX(Base!$E$5:$E$2004,$K328))</f>
        <v/>
      </c>
      <c r="C328" s="69" t="str">
        <f aca="false">IF($K328="","",B328)</f>
        <v/>
      </c>
      <c r="D328" s="70" t="str">
        <f aca="false">IF($K328="","",INDEX(Base!$F$5:$F$2004,$K328))</f>
        <v/>
      </c>
      <c r="E328" s="70" t="str">
        <f aca="false">IF($K328="","",INDEX(Base!$G$5:$G$2004,$K328))</f>
        <v/>
      </c>
      <c r="F328" s="71" t="str">
        <f aca="false">IF($K328="","",INDEX(Base!$H$5:$H$2004,$K328))</f>
        <v/>
      </c>
      <c r="G328" s="71" t="str">
        <f aca="false">IF($K328="","",INDEX(Base!$I$5:$I$2004,$K328))</f>
        <v/>
      </c>
      <c r="H328" s="70" t="str">
        <f aca="false">IF($K328="","",INDEX(Base!$J$5:$J$2004,$K328))</f>
        <v/>
      </c>
      <c r="I328" s="71" t="str">
        <f aca="false">IF($K328="","",INDEX(Base!$L$5:$L$2004,$K328))</f>
        <v/>
      </c>
      <c r="J328" s="72" t="str">
        <f aca="false">IFERROR(SMALL(Base!$P$5:$P$2004,ROW()-5),"")</f>
        <v/>
      </c>
      <c r="K328" s="72" t="str">
        <f aca="false">IF(J328="","",MATCH(J328,Base!$P$5:$P$2004,0))</f>
        <v/>
      </c>
    </row>
    <row r="329" customFormat="false" ht="15" hidden="false" customHeight="false" outlineLevel="0" collapsed="false">
      <c r="A329" s="67" t="str">
        <f aca="false">IF($K329="","",ROW()-5)</f>
        <v/>
      </c>
      <c r="B329" s="68" t="str">
        <f aca="false">IF($K329="","",INDEX(Base!$E$5:$E$2004,$K329))</f>
        <v/>
      </c>
      <c r="C329" s="69" t="str">
        <f aca="false">IF($K329="","",B329)</f>
        <v/>
      </c>
      <c r="D329" s="70" t="str">
        <f aca="false">IF($K329="","",INDEX(Base!$F$5:$F$2004,$K329))</f>
        <v/>
      </c>
      <c r="E329" s="70" t="str">
        <f aca="false">IF($K329="","",INDEX(Base!$G$5:$G$2004,$K329))</f>
        <v/>
      </c>
      <c r="F329" s="71" t="str">
        <f aca="false">IF($K329="","",INDEX(Base!$H$5:$H$2004,$K329))</f>
        <v/>
      </c>
      <c r="G329" s="71" t="str">
        <f aca="false">IF($K329="","",INDEX(Base!$I$5:$I$2004,$K329))</f>
        <v/>
      </c>
      <c r="H329" s="70" t="str">
        <f aca="false">IF($K329="","",INDEX(Base!$J$5:$J$2004,$K329))</f>
        <v/>
      </c>
      <c r="I329" s="71" t="str">
        <f aca="false">IF($K329="","",INDEX(Base!$L$5:$L$2004,$K329))</f>
        <v/>
      </c>
      <c r="J329" s="72" t="str">
        <f aca="false">IFERROR(SMALL(Base!$P$5:$P$2004,ROW()-5),"")</f>
        <v/>
      </c>
      <c r="K329" s="72" t="str">
        <f aca="false">IF(J329="","",MATCH(J329,Base!$P$5:$P$2004,0))</f>
        <v/>
      </c>
    </row>
    <row r="330" customFormat="false" ht="15" hidden="false" customHeight="false" outlineLevel="0" collapsed="false">
      <c r="A330" s="67" t="str">
        <f aca="false">IF($K330="","",ROW()-5)</f>
        <v/>
      </c>
      <c r="B330" s="68" t="str">
        <f aca="false">IF($K330="","",INDEX(Base!$E$5:$E$2004,$K330))</f>
        <v/>
      </c>
      <c r="C330" s="69" t="str">
        <f aca="false">IF($K330="","",B330)</f>
        <v/>
      </c>
      <c r="D330" s="70" t="str">
        <f aca="false">IF($K330="","",INDEX(Base!$F$5:$F$2004,$K330))</f>
        <v/>
      </c>
      <c r="E330" s="70" t="str">
        <f aca="false">IF($K330="","",INDEX(Base!$G$5:$G$2004,$K330))</f>
        <v/>
      </c>
      <c r="F330" s="71" t="str">
        <f aca="false">IF($K330="","",INDEX(Base!$H$5:$H$2004,$K330))</f>
        <v/>
      </c>
      <c r="G330" s="71" t="str">
        <f aca="false">IF($K330="","",INDEX(Base!$I$5:$I$2004,$K330))</f>
        <v/>
      </c>
      <c r="H330" s="70" t="str">
        <f aca="false">IF($K330="","",INDEX(Base!$J$5:$J$2004,$K330))</f>
        <v/>
      </c>
      <c r="I330" s="71" t="str">
        <f aca="false">IF($K330="","",INDEX(Base!$L$5:$L$2004,$K330))</f>
        <v/>
      </c>
      <c r="J330" s="72" t="str">
        <f aca="false">IFERROR(SMALL(Base!$P$5:$P$2004,ROW()-5),"")</f>
        <v/>
      </c>
      <c r="K330" s="72" t="str">
        <f aca="false">IF(J330="","",MATCH(J330,Base!$P$5:$P$2004,0))</f>
        <v/>
      </c>
    </row>
    <row r="331" customFormat="false" ht="15" hidden="false" customHeight="false" outlineLevel="0" collapsed="false">
      <c r="A331" s="67" t="str">
        <f aca="false">IF($K331="","",ROW()-5)</f>
        <v/>
      </c>
      <c r="B331" s="68" t="str">
        <f aca="false">IF($K331="","",INDEX(Base!$E$5:$E$2004,$K331))</f>
        <v/>
      </c>
      <c r="C331" s="69" t="str">
        <f aca="false">IF($K331="","",B331)</f>
        <v/>
      </c>
      <c r="D331" s="70" t="str">
        <f aca="false">IF($K331="","",INDEX(Base!$F$5:$F$2004,$K331))</f>
        <v/>
      </c>
      <c r="E331" s="70" t="str">
        <f aca="false">IF($K331="","",INDEX(Base!$G$5:$G$2004,$K331))</f>
        <v/>
      </c>
      <c r="F331" s="71" t="str">
        <f aca="false">IF($K331="","",INDEX(Base!$H$5:$H$2004,$K331))</f>
        <v/>
      </c>
      <c r="G331" s="71" t="str">
        <f aca="false">IF($K331="","",INDEX(Base!$I$5:$I$2004,$K331))</f>
        <v/>
      </c>
      <c r="H331" s="70" t="str">
        <f aca="false">IF($K331="","",INDEX(Base!$J$5:$J$2004,$K331))</f>
        <v/>
      </c>
      <c r="I331" s="71" t="str">
        <f aca="false">IF($K331="","",INDEX(Base!$L$5:$L$2004,$K331))</f>
        <v/>
      </c>
      <c r="J331" s="72" t="str">
        <f aca="false">IFERROR(SMALL(Base!$P$5:$P$2004,ROW()-5),"")</f>
        <v/>
      </c>
      <c r="K331" s="72" t="str">
        <f aca="false">IF(J331="","",MATCH(J331,Base!$P$5:$P$2004,0))</f>
        <v/>
      </c>
    </row>
    <row r="332" customFormat="false" ht="15" hidden="false" customHeight="false" outlineLevel="0" collapsed="false">
      <c r="A332" s="67" t="str">
        <f aca="false">IF($K332="","",ROW()-5)</f>
        <v/>
      </c>
      <c r="B332" s="68" t="str">
        <f aca="false">IF($K332="","",INDEX(Base!$E$5:$E$2004,$K332))</f>
        <v/>
      </c>
      <c r="C332" s="69" t="str">
        <f aca="false">IF($K332="","",B332)</f>
        <v/>
      </c>
      <c r="D332" s="70" t="str">
        <f aca="false">IF($K332="","",INDEX(Base!$F$5:$F$2004,$K332))</f>
        <v/>
      </c>
      <c r="E332" s="70" t="str">
        <f aca="false">IF($K332="","",INDEX(Base!$G$5:$G$2004,$K332))</f>
        <v/>
      </c>
      <c r="F332" s="71" t="str">
        <f aca="false">IF($K332="","",INDEX(Base!$H$5:$H$2004,$K332))</f>
        <v/>
      </c>
      <c r="G332" s="71" t="str">
        <f aca="false">IF($K332="","",INDEX(Base!$I$5:$I$2004,$K332))</f>
        <v/>
      </c>
      <c r="H332" s="70" t="str">
        <f aca="false">IF($K332="","",INDEX(Base!$J$5:$J$2004,$K332))</f>
        <v/>
      </c>
      <c r="I332" s="71" t="str">
        <f aca="false">IF($K332="","",INDEX(Base!$L$5:$L$2004,$K332))</f>
        <v/>
      </c>
      <c r="J332" s="72" t="str">
        <f aca="false">IFERROR(SMALL(Base!$P$5:$P$2004,ROW()-5),"")</f>
        <v/>
      </c>
      <c r="K332" s="72" t="str">
        <f aca="false">IF(J332="","",MATCH(J332,Base!$P$5:$P$2004,0))</f>
        <v/>
      </c>
    </row>
    <row r="333" customFormat="false" ht="15" hidden="false" customHeight="false" outlineLevel="0" collapsed="false">
      <c r="A333" s="67" t="str">
        <f aca="false">IF($K333="","",ROW()-5)</f>
        <v/>
      </c>
      <c r="B333" s="68" t="str">
        <f aca="false">IF($K333="","",INDEX(Base!$E$5:$E$2004,$K333))</f>
        <v/>
      </c>
      <c r="C333" s="69" t="str">
        <f aca="false">IF($K333="","",B333)</f>
        <v/>
      </c>
      <c r="D333" s="70" t="str">
        <f aca="false">IF($K333="","",INDEX(Base!$F$5:$F$2004,$K333))</f>
        <v/>
      </c>
      <c r="E333" s="70" t="str">
        <f aca="false">IF($K333="","",INDEX(Base!$G$5:$G$2004,$K333))</f>
        <v/>
      </c>
      <c r="F333" s="71" t="str">
        <f aca="false">IF($K333="","",INDEX(Base!$H$5:$H$2004,$K333))</f>
        <v/>
      </c>
      <c r="G333" s="71" t="str">
        <f aca="false">IF($K333="","",INDEX(Base!$I$5:$I$2004,$K333))</f>
        <v/>
      </c>
      <c r="H333" s="70" t="str">
        <f aca="false">IF($K333="","",INDEX(Base!$J$5:$J$2004,$K333))</f>
        <v/>
      </c>
      <c r="I333" s="71" t="str">
        <f aca="false">IF($K333="","",INDEX(Base!$L$5:$L$2004,$K333))</f>
        <v/>
      </c>
      <c r="J333" s="72" t="str">
        <f aca="false">IFERROR(SMALL(Base!$P$5:$P$2004,ROW()-5),"")</f>
        <v/>
      </c>
      <c r="K333" s="72" t="str">
        <f aca="false">IF(J333="","",MATCH(J333,Base!$P$5:$P$2004,0))</f>
        <v/>
      </c>
    </row>
    <row r="334" customFormat="false" ht="15" hidden="false" customHeight="false" outlineLevel="0" collapsed="false">
      <c r="A334" s="67" t="str">
        <f aca="false">IF($K334="","",ROW()-5)</f>
        <v/>
      </c>
      <c r="B334" s="68" t="str">
        <f aca="false">IF($K334="","",INDEX(Base!$E$5:$E$2004,$K334))</f>
        <v/>
      </c>
      <c r="C334" s="69" t="str">
        <f aca="false">IF($K334="","",B334)</f>
        <v/>
      </c>
      <c r="D334" s="70" t="str">
        <f aca="false">IF($K334="","",INDEX(Base!$F$5:$F$2004,$K334))</f>
        <v/>
      </c>
      <c r="E334" s="70" t="str">
        <f aca="false">IF($K334="","",INDEX(Base!$G$5:$G$2004,$K334))</f>
        <v/>
      </c>
      <c r="F334" s="71" t="str">
        <f aca="false">IF($K334="","",INDEX(Base!$H$5:$H$2004,$K334))</f>
        <v/>
      </c>
      <c r="G334" s="71" t="str">
        <f aca="false">IF($K334="","",INDEX(Base!$I$5:$I$2004,$K334))</f>
        <v/>
      </c>
      <c r="H334" s="70" t="str">
        <f aca="false">IF($K334="","",INDEX(Base!$J$5:$J$2004,$K334))</f>
        <v/>
      </c>
      <c r="I334" s="71" t="str">
        <f aca="false">IF($K334="","",INDEX(Base!$L$5:$L$2004,$K334))</f>
        <v/>
      </c>
      <c r="J334" s="72" t="str">
        <f aca="false">IFERROR(SMALL(Base!$P$5:$P$2004,ROW()-5),"")</f>
        <v/>
      </c>
      <c r="K334" s="72" t="str">
        <f aca="false">IF(J334="","",MATCH(J334,Base!$P$5:$P$2004,0))</f>
        <v/>
      </c>
    </row>
    <row r="335" customFormat="false" ht="15" hidden="false" customHeight="false" outlineLevel="0" collapsed="false">
      <c r="A335" s="67" t="str">
        <f aca="false">IF($K335="","",ROW()-5)</f>
        <v/>
      </c>
      <c r="B335" s="68" t="str">
        <f aca="false">IF($K335="","",INDEX(Base!$E$5:$E$2004,$K335))</f>
        <v/>
      </c>
      <c r="C335" s="69" t="str">
        <f aca="false">IF($K335="","",B335)</f>
        <v/>
      </c>
      <c r="D335" s="70" t="str">
        <f aca="false">IF($K335="","",INDEX(Base!$F$5:$F$2004,$K335))</f>
        <v/>
      </c>
      <c r="E335" s="70" t="str">
        <f aca="false">IF($K335="","",INDEX(Base!$G$5:$G$2004,$K335))</f>
        <v/>
      </c>
      <c r="F335" s="71" t="str">
        <f aca="false">IF($K335="","",INDEX(Base!$H$5:$H$2004,$K335))</f>
        <v/>
      </c>
      <c r="G335" s="71" t="str">
        <f aca="false">IF($K335="","",INDEX(Base!$I$5:$I$2004,$K335))</f>
        <v/>
      </c>
      <c r="H335" s="70" t="str">
        <f aca="false">IF($K335="","",INDEX(Base!$J$5:$J$2004,$K335))</f>
        <v/>
      </c>
      <c r="I335" s="71" t="str">
        <f aca="false">IF($K335="","",INDEX(Base!$L$5:$L$2004,$K335))</f>
        <v/>
      </c>
      <c r="J335" s="72" t="str">
        <f aca="false">IFERROR(SMALL(Base!$P$5:$P$2004,ROW()-5),"")</f>
        <v/>
      </c>
      <c r="K335" s="72" t="str">
        <f aca="false">IF(J335="","",MATCH(J335,Base!$P$5:$P$2004,0))</f>
        <v/>
      </c>
    </row>
    <row r="336" customFormat="false" ht="15" hidden="false" customHeight="false" outlineLevel="0" collapsed="false">
      <c r="A336" s="67" t="str">
        <f aca="false">IF($K336="","",ROW()-5)</f>
        <v/>
      </c>
      <c r="B336" s="68" t="str">
        <f aca="false">IF($K336="","",INDEX(Base!$E$5:$E$2004,$K336))</f>
        <v/>
      </c>
      <c r="C336" s="69" t="str">
        <f aca="false">IF($K336="","",B336)</f>
        <v/>
      </c>
      <c r="D336" s="70" t="str">
        <f aca="false">IF($K336="","",INDEX(Base!$F$5:$F$2004,$K336))</f>
        <v/>
      </c>
      <c r="E336" s="70" t="str">
        <f aca="false">IF($K336="","",INDEX(Base!$G$5:$G$2004,$K336))</f>
        <v/>
      </c>
      <c r="F336" s="71" t="str">
        <f aca="false">IF($K336="","",INDEX(Base!$H$5:$H$2004,$K336))</f>
        <v/>
      </c>
      <c r="G336" s="71" t="str">
        <f aca="false">IF($K336="","",INDEX(Base!$I$5:$I$2004,$K336))</f>
        <v/>
      </c>
      <c r="H336" s="70" t="str">
        <f aca="false">IF($K336="","",INDEX(Base!$J$5:$J$2004,$K336))</f>
        <v/>
      </c>
      <c r="I336" s="71" t="str">
        <f aca="false">IF($K336="","",INDEX(Base!$L$5:$L$2004,$K336))</f>
        <v/>
      </c>
      <c r="J336" s="72" t="str">
        <f aca="false">IFERROR(SMALL(Base!$P$5:$P$2004,ROW()-5),"")</f>
        <v/>
      </c>
      <c r="K336" s="72" t="str">
        <f aca="false">IF(J336="","",MATCH(J336,Base!$P$5:$P$2004,0))</f>
        <v/>
      </c>
    </row>
    <row r="337" customFormat="false" ht="15" hidden="false" customHeight="false" outlineLevel="0" collapsed="false">
      <c r="A337" s="67" t="str">
        <f aca="false">IF($K337="","",ROW()-5)</f>
        <v/>
      </c>
      <c r="B337" s="68" t="str">
        <f aca="false">IF($K337="","",INDEX(Base!$E$5:$E$2004,$K337))</f>
        <v/>
      </c>
      <c r="C337" s="69" t="str">
        <f aca="false">IF($K337="","",B337)</f>
        <v/>
      </c>
      <c r="D337" s="70" t="str">
        <f aca="false">IF($K337="","",INDEX(Base!$F$5:$F$2004,$K337))</f>
        <v/>
      </c>
      <c r="E337" s="70" t="str">
        <f aca="false">IF($K337="","",INDEX(Base!$G$5:$G$2004,$K337))</f>
        <v/>
      </c>
      <c r="F337" s="71" t="str">
        <f aca="false">IF($K337="","",INDEX(Base!$H$5:$H$2004,$K337))</f>
        <v/>
      </c>
      <c r="G337" s="71" t="str">
        <f aca="false">IF($K337="","",INDEX(Base!$I$5:$I$2004,$K337))</f>
        <v/>
      </c>
      <c r="H337" s="70" t="str">
        <f aca="false">IF($K337="","",INDEX(Base!$J$5:$J$2004,$K337))</f>
        <v/>
      </c>
      <c r="I337" s="71" t="str">
        <f aca="false">IF($K337="","",INDEX(Base!$L$5:$L$2004,$K337))</f>
        <v/>
      </c>
      <c r="J337" s="72" t="str">
        <f aca="false">IFERROR(SMALL(Base!$P$5:$P$2004,ROW()-5),"")</f>
        <v/>
      </c>
      <c r="K337" s="72" t="str">
        <f aca="false">IF(J337="","",MATCH(J337,Base!$P$5:$P$2004,0))</f>
        <v/>
      </c>
    </row>
    <row r="338" customFormat="false" ht="15" hidden="false" customHeight="false" outlineLevel="0" collapsed="false">
      <c r="A338" s="67" t="str">
        <f aca="false">IF($K338="","",ROW()-5)</f>
        <v/>
      </c>
      <c r="B338" s="68" t="str">
        <f aca="false">IF($K338="","",INDEX(Base!$E$5:$E$2004,$K338))</f>
        <v/>
      </c>
      <c r="C338" s="69" t="str">
        <f aca="false">IF($K338="","",B338)</f>
        <v/>
      </c>
      <c r="D338" s="70" t="str">
        <f aca="false">IF($K338="","",INDEX(Base!$F$5:$F$2004,$K338))</f>
        <v/>
      </c>
      <c r="E338" s="70" t="str">
        <f aca="false">IF($K338="","",INDEX(Base!$G$5:$G$2004,$K338))</f>
        <v/>
      </c>
      <c r="F338" s="71" t="str">
        <f aca="false">IF($K338="","",INDEX(Base!$H$5:$H$2004,$K338))</f>
        <v/>
      </c>
      <c r="G338" s="71" t="str">
        <f aca="false">IF($K338="","",INDEX(Base!$I$5:$I$2004,$K338))</f>
        <v/>
      </c>
      <c r="H338" s="70" t="str">
        <f aca="false">IF($K338="","",INDEX(Base!$J$5:$J$2004,$K338))</f>
        <v/>
      </c>
      <c r="I338" s="71" t="str">
        <f aca="false">IF($K338="","",INDEX(Base!$L$5:$L$2004,$K338))</f>
        <v/>
      </c>
      <c r="J338" s="72" t="str">
        <f aca="false">IFERROR(SMALL(Base!$P$5:$P$2004,ROW()-5),"")</f>
        <v/>
      </c>
      <c r="K338" s="72" t="str">
        <f aca="false">IF(J338="","",MATCH(J338,Base!$P$5:$P$2004,0))</f>
        <v/>
      </c>
    </row>
    <row r="339" customFormat="false" ht="15" hidden="false" customHeight="false" outlineLevel="0" collapsed="false">
      <c r="A339" s="67" t="str">
        <f aca="false">IF($K339="","",ROW()-5)</f>
        <v/>
      </c>
      <c r="B339" s="68" t="str">
        <f aca="false">IF($K339="","",INDEX(Base!$E$5:$E$2004,$K339))</f>
        <v/>
      </c>
      <c r="C339" s="69" t="str">
        <f aca="false">IF($K339="","",B339)</f>
        <v/>
      </c>
      <c r="D339" s="70" t="str">
        <f aca="false">IF($K339="","",INDEX(Base!$F$5:$F$2004,$K339))</f>
        <v/>
      </c>
      <c r="E339" s="70" t="str">
        <f aca="false">IF($K339="","",INDEX(Base!$G$5:$G$2004,$K339))</f>
        <v/>
      </c>
      <c r="F339" s="71" t="str">
        <f aca="false">IF($K339="","",INDEX(Base!$H$5:$H$2004,$K339))</f>
        <v/>
      </c>
      <c r="G339" s="71" t="str">
        <f aca="false">IF($K339="","",INDEX(Base!$I$5:$I$2004,$K339))</f>
        <v/>
      </c>
      <c r="H339" s="70" t="str">
        <f aca="false">IF($K339="","",INDEX(Base!$J$5:$J$2004,$K339))</f>
        <v/>
      </c>
      <c r="I339" s="71" t="str">
        <f aca="false">IF($K339="","",INDEX(Base!$L$5:$L$2004,$K339))</f>
        <v/>
      </c>
      <c r="J339" s="72" t="str">
        <f aca="false">IFERROR(SMALL(Base!$P$5:$P$2004,ROW()-5),"")</f>
        <v/>
      </c>
      <c r="K339" s="72" t="str">
        <f aca="false">IF(J339="","",MATCH(J339,Base!$P$5:$P$2004,0))</f>
        <v/>
      </c>
    </row>
    <row r="340" customFormat="false" ht="15" hidden="false" customHeight="false" outlineLevel="0" collapsed="false">
      <c r="A340" s="67" t="str">
        <f aca="false">IF($K340="","",ROW()-5)</f>
        <v/>
      </c>
      <c r="B340" s="68" t="str">
        <f aca="false">IF($K340="","",INDEX(Base!$E$5:$E$2004,$K340))</f>
        <v/>
      </c>
      <c r="C340" s="69" t="str">
        <f aca="false">IF($K340="","",B340)</f>
        <v/>
      </c>
      <c r="D340" s="70" t="str">
        <f aca="false">IF($K340="","",INDEX(Base!$F$5:$F$2004,$K340))</f>
        <v/>
      </c>
      <c r="E340" s="70" t="str">
        <f aca="false">IF($K340="","",INDEX(Base!$G$5:$G$2004,$K340))</f>
        <v/>
      </c>
      <c r="F340" s="71" t="str">
        <f aca="false">IF($K340="","",INDEX(Base!$H$5:$H$2004,$K340))</f>
        <v/>
      </c>
      <c r="G340" s="71" t="str">
        <f aca="false">IF($K340="","",INDEX(Base!$I$5:$I$2004,$K340))</f>
        <v/>
      </c>
      <c r="H340" s="70" t="str">
        <f aca="false">IF($K340="","",INDEX(Base!$J$5:$J$2004,$K340))</f>
        <v/>
      </c>
      <c r="I340" s="71" t="str">
        <f aca="false">IF($K340="","",INDEX(Base!$L$5:$L$2004,$K340))</f>
        <v/>
      </c>
      <c r="J340" s="72" t="str">
        <f aca="false">IFERROR(SMALL(Base!$P$5:$P$2004,ROW()-5),"")</f>
        <v/>
      </c>
      <c r="K340" s="72" t="str">
        <f aca="false">IF(J340="","",MATCH(J340,Base!$P$5:$P$2004,0))</f>
        <v/>
      </c>
    </row>
    <row r="341" customFormat="false" ht="15" hidden="false" customHeight="false" outlineLevel="0" collapsed="false">
      <c r="A341" s="67" t="str">
        <f aca="false">IF($K341="","",ROW()-5)</f>
        <v/>
      </c>
      <c r="B341" s="68" t="str">
        <f aca="false">IF($K341="","",INDEX(Base!$E$5:$E$2004,$K341))</f>
        <v/>
      </c>
      <c r="C341" s="69" t="str">
        <f aca="false">IF($K341="","",B341)</f>
        <v/>
      </c>
      <c r="D341" s="70" t="str">
        <f aca="false">IF($K341="","",INDEX(Base!$F$5:$F$2004,$K341))</f>
        <v/>
      </c>
      <c r="E341" s="70" t="str">
        <f aca="false">IF($K341="","",INDEX(Base!$G$5:$G$2004,$K341))</f>
        <v/>
      </c>
      <c r="F341" s="71" t="str">
        <f aca="false">IF($K341="","",INDEX(Base!$H$5:$H$2004,$K341))</f>
        <v/>
      </c>
      <c r="G341" s="71" t="str">
        <f aca="false">IF($K341="","",INDEX(Base!$I$5:$I$2004,$K341))</f>
        <v/>
      </c>
      <c r="H341" s="70" t="str">
        <f aca="false">IF($K341="","",INDEX(Base!$J$5:$J$2004,$K341))</f>
        <v/>
      </c>
      <c r="I341" s="71" t="str">
        <f aca="false">IF($K341="","",INDEX(Base!$L$5:$L$2004,$K341))</f>
        <v/>
      </c>
      <c r="J341" s="72" t="str">
        <f aca="false">IFERROR(SMALL(Base!$P$5:$P$2004,ROW()-5),"")</f>
        <v/>
      </c>
      <c r="K341" s="72" t="str">
        <f aca="false">IF(J341="","",MATCH(J341,Base!$P$5:$P$2004,0))</f>
        <v/>
      </c>
    </row>
    <row r="342" customFormat="false" ht="15" hidden="false" customHeight="false" outlineLevel="0" collapsed="false">
      <c r="A342" s="67" t="str">
        <f aca="false">IF($K342="","",ROW()-5)</f>
        <v/>
      </c>
      <c r="B342" s="68" t="str">
        <f aca="false">IF($K342="","",INDEX(Base!$E$5:$E$2004,$K342))</f>
        <v/>
      </c>
      <c r="C342" s="69" t="str">
        <f aca="false">IF($K342="","",B342)</f>
        <v/>
      </c>
      <c r="D342" s="70" t="str">
        <f aca="false">IF($K342="","",INDEX(Base!$F$5:$F$2004,$K342))</f>
        <v/>
      </c>
      <c r="E342" s="70" t="str">
        <f aca="false">IF($K342="","",INDEX(Base!$G$5:$G$2004,$K342))</f>
        <v/>
      </c>
      <c r="F342" s="71" t="str">
        <f aca="false">IF($K342="","",INDEX(Base!$H$5:$H$2004,$K342))</f>
        <v/>
      </c>
      <c r="G342" s="71" t="str">
        <f aca="false">IF($K342="","",INDEX(Base!$I$5:$I$2004,$K342))</f>
        <v/>
      </c>
      <c r="H342" s="70" t="str">
        <f aca="false">IF($K342="","",INDEX(Base!$J$5:$J$2004,$K342))</f>
        <v/>
      </c>
      <c r="I342" s="71" t="str">
        <f aca="false">IF($K342="","",INDEX(Base!$L$5:$L$2004,$K342))</f>
        <v/>
      </c>
      <c r="J342" s="72" t="str">
        <f aca="false">IFERROR(SMALL(Base!$P$5:$P$2004,ROW()-5),"")</f>
        <v/>
      </c>
      <c r="K342" s="72" t="str">
        <f aca="false">IF(J342="","",MATCH(J342,Base!$P$5:$P$2004,0))</f>
        <v/>
      </c>
    </row>
    <row r="343" customFormat="false" ht="15" hidden="false" customHeight="false" outlineLevel="0" collapsed="false">
      <c r="A343" s="67" t="str">
        <f aca="false">IF($K343="","",ROW()-5)</f>
        <v/>
      </c>
      <c r="B343" s="68" t="str">
        <f aca="false">IF($K343="","",INDEX(Base!$E$5:$E$2004,$K343))</f>
        <v/>
      </c>
      <c r="C343" s="69" t="str">
        <f aca="false">IF($K343="","",B343)</f>
        <v/>
      </c>
      <c r="D343" s="70" t="str">
        <f aca="false">IF($K343="","",INDEX(Base!$F$5:$F$2004,$K343))</f>
        <v/>
      </c>
      <c r="E343" s="70" t="str">
        <f aca="false">IF($K343="","",INDEX(Base!$G$5:$G$2004,$K343))</f>
        <v/>
      </c>
      <c r="F343" s="71" t="str">
        <f aca="false">IF($K343="","",INDEX(Base!$H$5:$H$2004,$K343))</f>
        <v/>
      </c>
      <c r="G343" s="71" t="str">
        <f aca="false">IF($K343="","",INDEX(Base!$I$5:$I$2004,$K343))</f>
        <v/>
      </c>
      <c r="H343" s="70" t="str">
        <f aca="false">IF($K343="","",INDEX(Base!$J$5:$J$2004,$K343))</f>
        <v/>
      </c>
      <c r="I343" s="71" t="str">
        <f aca="false">IF($K343="","",INDEX(Base!$L$5:$L$2004,$K343))</f>
        <v/>
      </c>
      <c r="J343" s="72" t="str">
        <f aca="false">IFERROR(SMALL(Base!$P$5:$P$2004,ROW()-5),"")</f>
        <v/>
      </c>
      <c r="K343" s="72" t="str">
        <f aca="false">IF(J343="","",MATCH(J343,Base!$P$5:$P$2004,0))</f>
        <v/>
      </c>
    </row>
    <row r="344" customFormat="false" ht="15" hidden="false" customHeight="false" outlineLevel="0" collapsed="false">
      <c r="A344" s="67" t="str">
        <f aca="false">IF($K344="","",ROW()-5)</f>
        <v/>
      </c>
      <c r="B344" s="68" t="str">
        <f aca="false">IF($K344="","",INDEX(Base!$E$5:$E$2004,$K344))</f>
        <v/>
      </c>
      <c r="C344" s="69" t="str">
        <f aca="false">IF($K344="","",B344)</f>
        <v/>
      </c>
      <c r="D344" s="70" t="str">
        <f aca="false">IF($K344="","",INDEX(Base!$F$5:$F$2004,$K344))</f>
        <v/>
      </c>
      <c r="E344" s="70" t="str">
        <f aca="false">IF($K344="","",INDEX(Base!$G$5:$G$2004,$K344))</f>
        <v/>
      </c>
      <c r="F344" s="71" t="str">
        <f aca="false">IF($K344="","",INDEX(Base!$H$5:$H$2004,$K344))</f>
        <v/>
      </c>
      <c r="G344" s="71" t="str">
        <f aca="false">IF($K344="","",INDEX(Base!$I$5:$I$2004,$K344))</f>
        <v/>
      </c>
      <c r="H344" s="70" t="str">
        <f aca="false">IF($K344="","",INDEX(Base!$J$5:$J$2004,$K344))</f>
        <v/>
      </c>
      <c r="I344" s="71" t="str">
        <f aca="false">IF($K344="","",INDEX(Base!$L$5:$L$2004,$K344))</f>
        <v/>
      </c>
      <c r="J344" s="72" t="str">
        <f aca="false">IFERROR(SMALL(Base!$P$5:$P$2004,ROW()-5),"")</f>
        <v/>
      </c>
      <c r="K344" s="72" t="str">
        <f aca="false">IF(J344="","",MATCH(J344,Base!$P$5:$P$2004,0))</f>
        <v/>
      </c>
    </row>
    <row r="345" customFormat="false" ht="15" hidden="false" customHeight="false" outlineLevel="0" collapsed="false">
      <c r="A345" s="67" t="str">
        <f aca="false">IF($K345="","",ROW()-5)</f>
        <v/>
      </c>
      <c r="B345" s="68" t="str">
        <f aca="false">IF($K345="","",INDEX(Base!$E$5:$E$2004,$K345))</f>
        <v/>
      </c>
      <c r="C345" s="69" t="str">
        <f aca="false">IF($K345="","",B345)</f>
        <v/>
      </c>
      <c r="D345" s="70" t="str">
        <f aca="false">IF($K345="","",INDEX(Base!$F$5:$F$2004,$K345))</f>
        <v/>
      </c>
      <c r="E345" s="70" t="str">
        <f aca="false">IF($K345="","",INDEX(Base!$G$5:$G$2004,$K345))</f>
        <v/>
      </c>
      <c r="F345" s="71" t="str">
        <f aca="false">IF($K345="","",INDEX(Base!$H$5:$H$2004,$K345))</f>
        <v/>
      </c>
      <c r="G345" s="71" t="str">
        <f aca="false">IF($K345="","",INDEX(Base!$I$5:$I$2004,$K345))</f>
        <v/>
      </c>
      <c r="H345" s="70" t="str">
        <f aca="false">IF($K345="","",INDEX(Base!$J$5:$J$2004,$K345))</f>
        <v/>
      </c>
      <c r="I345" s="71" t="str">
        <f aca="false">IF($K345="","",INDEX(Base!$L$5:$L$2004,$K345))</f>
        <v/>
      </c>
      <c r="J345" s="72" t="str">
        <f aca="false">IFERROR(SMALL(Base!$P$5:$P$2004,ROW()-5),"")</f>
        <v/>
      </c>
      <c r="K345" s="72" t="str">
        <f aca="false">IF(J345="","",MATCH(J345,Base!$P$5:$P$2004,0))</f>
        <v/>
      </c>
    </row>
    <row r="346" customFormat="false" ht="15" hidden="false" customHeight="false" outlineLevel="0" collapsed="false">
      <c r="A346" s="67" t="str">
        <f aca="false">IF($K346="","",ROW()-5)</f>
        <v/>
      </c>
      <c r="B346" s="68" t="str">
        <f aca="false">IF($K346="","",INDEX(Base!$E$5:$E$2004,$K346))</f>
        <v/>
      </c>
      <c r="C346" s="69" t="str">
        <f aca="false">IF($K346="","",B346)</f>
        <v/>
      </c>
      <c r="D346" s="70" t="str">
        <f aca="false">IF($K346="","",INDEX(Base!$F$5:$F$2004,$K346))</f>
        <v/>
      </c>
      <c r="E346" s="70" t="str">
        <f aca="false">IF($K346="","",INDEX(Base!$G$5:$G$2004,$K346))</f>
        <v/>
      </c>
      <c r="F346" s="71" t="str">
        <f aca="false">IF($K346="","",INDEX(Base!$H$5:$H$2004,$K346))</f>
        <v/>
      </c>
      <c r="G346" s="71" t="str">
        <f aca="false">IF($K346="","",INDEX(Base!$I$5:$I$2004,$K346))</f>
        <v/>
      </c>
      <c r="H346" s="70" t="str">
        <f aca="false">IF($K346="","",INDEX(Base!$J$5:$J$2004,$K346))</f>
        <v/>
      </c>
      <c r="I346" s="71" t="str">
        <f aca="false">IF($K346="","",INDEX(Base!$L$5:$L$2004,$K346))</f>
        <v/>
      </c>
      <c r="J346" s="72" t="str">
        <f aca="false">IFERROR(SMALL(Base!$P$5:$P$2004,ROW()-5),"")</f>
        <v/>
      </c>
      <c r="K346" s="72" t="str">
        <f aca="false">IF(J346="","",MATCH(J346,Base!$P$5:$P$2004,0))</f>
        <v/>
      </c>
    </row>
    <row r="347" customFormat="false" ht="15" hidden="false" customHeight="false" outlineLevel="0" collapsed="false">
      <c r="A347" s="67" t="str">
        <f aca="false">IF($K347="","",ROW()-5)</f>
        <v/>
      </c>
      <c r="B347" s="68" t="str">
        <f aca="false">IF($K347="","",INDEX(Base!$E$5:$E$2004,$K347))</f>
        <v/>
      </c>
      <c r="C347" s="69" t="str">
        <f aca="false">IF($K347="","",B347)</f>
        <v/>
      </c>
      <c r="D347" s="70" t="str">
        <f aca="false">IF($K347="","",INDEX(Base!$F$5:$F$2004,$K347))</f>
        <v/>
      </c>
      <c r="E347" s="70" t="str">
        <f aca="false">IF($K347="","",INDEX(Base!$G$5:$G$2004,$K347))</f>
        <v/>
      </c>
      <c r="F347" s="71" t="str">
        <f aca="false">IF($K347="","",INDEX(Base!$H$5:$H$2004,$K347))</f>
        <v/>
      </c>
      <c r="G347" s="71" t="str">
        <f aca="false">IF($K347="","",INDEX(Base!$I$5:$I$2004,$K347))</f>
        <v/>
      </c>
      <c r="H347" s="70" t="str">
        <f aca="false">IF($K347="","",INDEX(Base!$J$5:$J$2004,$K347))</f>
        <v/>
      </c>
      <c r="I347" s="71" t="str">
        <f aca="false">IF($K347="","",INDEX(Base!$L$5:$L$2004,$K347))</f>
        <v/>
      </c>
      <c r="J347" s="72" t="str">
        <f aca="false">IFERROR(SMALL(Base!$P$5:$P$2004,ROW()-5),"")</f>
        <v/>
      </c>
      <c r="K347" s="72" t="str">
        <f aca="false">IF(J347="","",MATCH(J347,Base!$P$5:$P$2004,0))</f>
        <v/>
      </c>
    </row>
    <row r="348" customFormat="false" ht="15" hidden="false" customHeight="false" outlineLevel="0" collapsed="false">
      <c r="A348" s="67" t="str">
        <f aca="false">IF($K348="","",ROW()-5)</f>
        <v/>
      </c>
      <c r="B348" s="68" t="str">
        <f aca="false">IF($K348="","",INDEX(Base!$E$5:$E$2004,$K348))</f>
        <v/>
      </c>
      <c r="C348" s="69" t="str">
        <f aca="false">IF($K348="","",B348)</f>
        <v/>
      </c>
      <c r="D348" s="70" t="str">
        <f aca="false">IF($K348="","",INDEX(Base!$F$5:$F$2004,$K348))</f>
        <v/>
      </c>
      <c r="E348" s="70" t="str">
        <f aca="false">IF($K348="","",INDEX(Base!$G$5:$G$2004,$K348))</f>
        <v/>
      </c>
      <c r="F348" s="71" t="str">
        <f aca="false">IF($K348="","",INDEX(Base!$H$5:$H$2004,$K348))</f>
        <v/>
      </c>
      <c r="G348" s="71" t="str">
        <f aca="false">IF($K348="","",INDEX(Base!$I$5:$I$2004,$K348))</f>
        <v/>
      </c>
      <c r="H348" s="70" t="str">
        <f aca="false">IF($K348="","",INDEX(Base!$J$5:$J$2004,$K348))</f>
        <v/>
      </c>
      <c r="I348" s="71" t="str">
        <f aca="false">IF($K348="","",INDEX(Base!$L$5:$L$2004,$K348))</f>
        <v/>
      </c>
      <c r="J348" s="72" t="str">
        <f aca="false">IFERROR(SMALL(Base!$P$5:$P$2004,ROW()-5),"")</f>
        <v/>
      </c>
      <c r="K348" s="72" t="str">
        <f aca="false">IF(J348="","",MATCH(J348,Base!$P$5:$P$2004,0))</f>
        <v/>
      </c>
    </row>
    <row r="349" customFormat="false" ht="15" hidden="false" customHeight="false" outlineLevel="0" collapsed="false">
      <c r="A349" s="67" t="str">
        <f aca="false">IF($K349="","",ROW()-5)</f>
        <v/>
      </c>
      <c r="B349" s="68" t="str">
        <f aca="false">IF($K349="","",INDEX(Base!$E$5:$E$2004,$K349))</f>
        <v/>
      </c>
      <c r="C349" s="69" t="str">
        <f aca="false">IF($K349="","",B349)</f>
        <v/>
      </c>
      <c r="D349" s="70" t="str">
        <f aca="false">IF($K349="","",INDEX(Base!$F$5:$F$2004,$K349))</f>
        <v/>
      </c>
      <c r="E349" s="70" t="str">
        <f aca="false">IF($K349="","",INDEX(Base!$G$5:$G$2004,$K349))</f>
        <v/>
      </c>
      <c r="F349" s="71" t="str">
        <f aca="false">IF($K349="","",INDEX(Base!$H$5:$H$2004,$K349))</f>
        <v/>
      </c>
      <c r="G349" s="71" t="str">
        <f aca="false">IF($K349="","",INDEX(Base!$I$5:$I$2004,$K349))</f>
        <v/>
      </c>
      <c r="H349" s="70" t="str">
        <f aca="false">IF($K349="","",INDEX(Base!$J$5:$J$2004,$K349))</f>
        <v/>
      </c>
      <c r="I349" s="71" t="str">
        <f aca="false">IF($K349="","",INDEX(Base!$L$5:$L$2004,$K349))</f>
        <v/>
      </c>
      <c r="J349" s="72" t="str">
        <f aca="false">IFERROR(SMALL(Base!$P$5:$P$2004,ROW()-5),"")</f>
        <v/>
      </c>
      <c r="K349" s="72" t="str">
        <f aca="false">IF(J349="","",MATCH(J349,Base!$P$5:$P$2004,0))</f>
        <v/>
      </c>
    </row>
    <row r="350" customFormat="false" ht="15" hidden="false" customHeight="false" outlineLevel="0" collapsed="false">
      <c r="A350" s="67" t="str">
        <f aca="false">IF($K350="","",ROW()-5)</f>
        <v/>
      </c>
      <c r="B350" s="68" t="str">
        <f aca="false">IF($K350="","",INDEX(Base!$E$5:$E$2004,$K350))</f>
        <v/>
      </c>
      <c r="C350" s="69" t="str">
        <f aca="false">IF($K350="","",B350)</f>
        <v/>
      </c>
      <c r="D350" s="70" t="str">
        <f aca="false">IF($K350="","",INDEX(Base!$F$5:$F$2004,$K350))</f>
        <v/>
      </c>
      <c r="E350" s="70" t="str">
        <f aca="false">IF($K350="","",INDEX(Base!$G$5:$G$2004,$K350))</f>
        <v/>
      </c>
      <c r="F350" s="71" t="str">
        <f aca="false">IF($K350="","",INDEX(Base!$H$5:$H$2004,$K350))</f>
        <v/>
      </c>
      <c r="G350" s="71" t="str">
        <f aca="false">IF($K350="","",INDEX(Base!$I$5:$I$2004,$K350))</f>
        <v/>
      </c>
      <c r="H350" s="70" t="str">
        <f aca="false">IF($K350="","",INDEX(Base!$J$5:$J$2004,$K350))</f>
        <v/>
      </c>
      <c r="I350" s="71" t="str">
        <f aca="false">IF($K350="","",INDEX(Base!$L$5:$L$2004,$K350))</f>
        <v/>
      </c>
      <c r="J350" s="72" t="str">
        <f aca="false">IFERROR(SMALL(Base!$P$5:$P$2004,ROW()-5),"")</f>
        <v/>
      </c>
      <c r="K350" s="72" t="str">
        <f aca="false">IF(J350="","",MATCH(J350,Base!$P$5:$P$2004,0))</f>
        <v/>
      </c>
    </row>
    <row r="351" customFormat="false" ht="15" hidden="false" customHeight="false" outlineLevel="0" collapsed="false">
      <c r="A351" s="67" t="str">
        <f aca="false">IF($K351="","",ROW()-5)</f>
        <v/>
      </c>
      <c r="B351" s="68" t="str">
        <f aca="false">IF($K351="","",INDEX(Base!$E$5:$E$2004,$K351))</f>
        <v/>
      </c>
      <c r="C351" s="69" t="str">
        <f aca="false">IF($K351="","",B351)</f>
        <v/>
      </c>
      <c r="D351" s="70" t="str">
        <f aca="false">IF($K351="","",INDEX(Base!$F$5:$F$2004,$K351))</f>
        <v/>
      </c>
      <c r="E351" s="70" t="str">
        <f aca="false">IF($K351="","",INDEX(Base!$G$5:$G$2004,$K351))</f>
        <v/>
      </c>
      <c r="F351" s="71" t="str">
        <f aca="false">IF($K351="","",INDEX(Base!$H$5:$H$2004,$K351))</f>
        <v/>
      </c>
      <c r="G351" s="71" t="str">
        <f aca="false">IF($K351="","",INDEX(Base!$I$5:$I$2004,$K351))</f>
        <v/>
      </c>
      <c r="H351" s="70" t="str">
        <f aca="false">IF($K351="","",INDEX(Base!$J$5:$J$2004,$K351))</f>
        <v/>
      </c>
      <c r="I351" s="71" t="str">
        <f aca="false">IF($K351="","",INDEX(Base!$L$5:$L$2004,$K351))</f>
        <v/>
      </c>
      <c r="J351" s="72" t="str">
        <f aca="false">IFERROR(SMALL(Base!$P$5:$P$2004,ROW()-5),"")</f>
        <v/>
      </c>
      <c r="K351" s="72" t="str">
        <f aca="false">IF(J351="","",MATCH(J351,Base!$P$5:$P$2004,0))</f>
        <v/>
      </c>
    </row>
    <row r="352" customFormat="false" ht="15" hidden="false" customHeight="false" outlineLevel="0" collapsed="false">
      <c r="A352" s="67" t="str">
        <f aca="false">IF($K352="","",ROW()-5)</f>
        <v/>
      </c>
      <c r="B352" s="68" t="str">
        <f aca="false">IF($K352="","",INDEX(Base!$E$5:$E$2004,$K352))</f>
        <v/>
      </c>
      <c r="C352" s="69" t="str">
        <f aca="false">IF($K352="","",B352)</f>
        <v/>
      </c>
      <c r="D352" s="70" t="str">
        <f aca="false">IF($K352="","",INDEX(Base!$F$5:$F$2004,$K352))</f>
        <v/>
      </c>
      <c r="E352" s="70" t="str">
        <f aca="false">IF($K352="","",INDEX(Base!$G$5:$G$2004,$K352))</f>
        <v/>
      </c>
      <c r="F352" s="71" t="str">
        <f aca="false">IF($K352="","",INDEX(Base!$H$5:$H$2004,$K352))</f>
        <v/>
      </c>
      <c r="G352" s="71" t="str">
        <f aca="false">IF($K352="","",INDEX(Base!$I$5:$I$2004,$K352))</f>
        <v/>
      </c>
      <c r="H352" s="70" t="str">
        <f aca="false">IF($K352="","",INDEX(Base!$J$5:$J$2004,$K352))</f>
        <v/>
      </c>
      <c r="I352" s="71" t="str">
        <f aca="false">IF($K352="","",INDEX(Base!$L$5:$L$2004,$K352))</f>
        <v/>
      </c>
      <c r="J352" s="72" t="str">
        <f aca="false">IFERROR(SMALL(Base!$P$5:$P$2004,ROW()-5),"")</f>
        <v/>
      </c>
      <c r="K352" s="72" t="str">
        <f aca="false">IF(J352="","",MATCH(J352,Base!$P$5:$P$2004,0))</f>
        <v/>
      </c>
    </row>
    <row r="353" customFormat="false" ht="15" hidden="false" customHeight="false" outlineLevel="0" collapsed="false">
      <c r="A353" s="67" t="str">
        <f aca="false">IF($K353="","",ROW()-5)</f>
        <v/>
      </c>
      <c r="B353" s="68" t="str">
        <f aca="false">IF($K353="","",INDEX(Base!$E$5:$E$2004,$K353))</f>
        <v/>
      </c>
      <c r="C353" s="69" t="str">
        <f aca="false">IF($K353="","",B353)</f>
        <v/>
      </c>
      <c r="D353" s="70" t="str">
        <f aca="false">IF($K353="","",INDEX(Base!$F$5:$F$2004,$K353))</f>
        <v/>
      </c>
      <c r="E353" s="70" t="str">
        <f aca="false">IF($K353="","",INDEX(Base!$G$5:$G$2004,$K353))</f>
        <v/>
      </c>
      <c r="F353" s="71" t="str">
        <f aca="false">IF($K353="","",INDEX(Base!$H$5:$H$2004,$K353))</f>
        <v/>
      </c>
      <c r="G353" s="71" t="str">
        <f aca="false">IF($K353="","",INDEX(Base!$I$5:$I$2004,$K353))</f>
        <v/>
      </c>
      <c r="H353" s="70" t="str">
        <f aca="false">IF($K353="","",INDEX(Base!$J$5:$J$2004,$K353))</f>
        <v/>
      </c>
      <c r="I353" s="71" t="str">
        <f aca="false">IF($K353="","",INDEX(Base!$L$5:$L$2004,$K353))</f>
        <v/>
      </c>
      <c r="J353" s="72" t="str">
        <f aca="false">IFERROR(SMALL(Base!$P$5:$P$2004,ROW()-5),"")</f>
        <v/>
      </c>
      <c r="K353" s="72" t="str">
        <f aca="false">IF(J353="","",MATCH(J353,Base!$P$5:$P$2004,0))</f>
        <v/>
      </c>
    </row>
    <row r="354" customFormat="false" ht="15" hidden="false" customHeight="false" outlineLevel="0" collapsed="false">
      <c r="A354" s="67" t="str">
        <f aca="false">IF($K354="","",ROW()-5)</f>
        <v/>
      </c>
      <c r="B354" s="68" t="str">
        <f aca="false">IF($K354="","",INDEX(Base!$E$5:$E$2004,$K354))</f>
        <v/>
      </c>
      <c r="C354" s="69" t="str">
        <f aca="false">IF($K354="","",B354)</f>
        <v/>
      </c>
      <c r="D354" s="70" t="str">
        <f aca="false">IF($K354="","",INDEX(Base!$F$5:$F$2004,$K354))</f>
        <v/>
      </c>
      <c r="E354" s="70" t="str">
        <f aca="false">IF($K354="","",INDEX(Base!$G$5:$G$2004,$K354))</f>
        <v/>
      </c>
      <c r="F354" s="71" t="str">
        <f aca="false">IF($K354="","",INDEX(Base!$H$5:$H$2004,$K354))</f>
        <v/>
      </c>
      <c r="G354" s="71" t="str">
        <f aca="false">IF($K354="","",INDEX(Base!$I$5:$I$2004,$K354))</f>
        <v/>
      </c>
      <c r="H354" s="70" t="str">
        <f aca="false">IF($K354="","",INDEX(Base!$J$5:$J$2004,$K354))</f>
        <v/>
      </c>
      <c r="I354" s="71" t="str">
        <f aca="false">IF($K354="","",INDEX(Base!$L$5:$L$2004,$K354))</f>
        <v/>
      </c>
      <c r="J354" s="72" t="str">
        <f aca="false">IFERROR(SMALL(Base!$P$5:$P$2004,ROW()-5),"")</f>
        <v/>
      </c>
      <c r="K354" s="72" t="str">
        <f aca="false">IF(J354="","",MATCH(J354,Base!$P$5:$P$2004,0))</f>
        <v/>
      </c>
    </row>
    <row r="355" customFormat="false" ht="15" hidden="false" customHeight="false" outlineLevel="0" collapsed="false">
      <c r="A355" s="67" t="str">
        <f aca="false">IF($K355="","",ROW()-5)</f>
        <v/>
      </c>
      <c r="B355" s="68" t="str">
        <f aca="false">IF($K355="","",INDEX(Base!$E$5:$E$2004,$K355))</f>
        <v/>
      </c>
      <c r="C355" s="69" t="str">
        <f aca="false">IF($K355="","",B355)</f>
        <v/>
      </c>
      <c r="D355" s="70" t="str">
        <f aca="false">IF($K355="","",INDEX(Base!$F$5:$F$2004,$K355))</f>
        <v/>
      </c>
      <c r="E355" s="70" t="str">
        <f aca="false">IF($K355="","",INDEX(Base!$G$5:$G$2004,$K355))</f>
        <v/>
      </c>
      <c r="F355" s="71" t="str">
        <f aca="false">IF($K355="","",INDEX(Base!$H$5:$H$2004,$K355))</f>
        <v/>
      </c>
      <c r="G355" s="71" t="str">
        <f aca="false">IF($K355="","",INDEX(Base!$I$5:$I$2004,$K355))</f>
        <v/>
      </c>
      <c r="H355" s="70" t="str">
        <f aca="false">IF($K355="","",INDEX(Base!$J$5:$J$2004,$K355))</f>
        <v/>
      </c>
      <c r="I355" s="71" t="str">
        <f aca="false">IF($K355="","",INDEX(Base!$L$5:$L$2004,$K355))</f>
        <v/>
      </c>
      <c r="J355" s="72" t="str">
        <f aca="false">IFERROR(SMALL(Base!$P$5:$P$2004,ROW()-5),"")</f>
        <v/>
      </c>
      <c r="K355" s="72" t="str">
        <f aca="false">IF(J355="","",MATCH(J355,Base!$P$5:$P$2004,0))</f>
        <v/>
      </c>
    </row>
    <row r="356" customFormat="false" ht="15" hidden="false" customHeight="false" outlineLevel="0" collapsed="false">
      <c r="A356" s="67" t="str">
        <f aca="false">IF($K356="","",ROW()-5)</f>
        <v/>
      </c>
      <c r="B356" s="68" t="str">
        <f aca="false">IF($K356="","",INDEX(Base!$E$5:$E$2004,$K356))</f>
        <v/>
      </c>
      <c r="C356" s="69" t="str">
        <f aca="false">IF($K356="","",B356)</f>
        <v/>
      </c>
      <c r="D356" s="70" t="str">
        <f aca="false">IF($K356="","",INDEX(Base!$F$5:$F$2004,$K356))</f>
        <v/>
      </c>
      <c r="E356" s="70" t="str">
        <f aca="false">IF($K356="","",INDEX(Base!$G$5:$G$2004,$K356))</f>
        <v/>
      </c>
      <c r="F356" s="71" t="str">
        <f aca="false">IF($K356="","",INDEX(Base!$H$5:$H$2004,$K356))</f>
        <v/>
      </c>
      <c r="G356" s="71" t="str">
        <f aca="false">IF($K356="","",INDEX(Base!$I$5:$I$2004,$K356))</f>
        <v/>
      </c>
      <c r="H356" s="70" t="str">
        <f aca="false">IF($K356="","",INDEX(Base!$J$5:$J$2004,$K356))</f>
        <v/>
      </c>
      <c r="I356" s="71" t="str">
        <f aca="false">IF($K356="","",INDEX(Base!$L$5:$L$2004,$K356))</f>
        <v/>
      </c>
      <c r="J356" s="72" t="str">
        <f aca="false">IFERROR(SMALL(Base!$P$5:$P$2004,ROW()-5),"")</f>
        <v/>
      </c>
      <c r="K356" s="72" t="str">
        <f aca="false">IF(J356="","",MATCH(J356,Base!$P$5:$P$2004,0))</f>
        <v/>
      </c>
    </row>
    <row r="357" customFormat="false" ht="15" hidden="false" customHeight="false" outlineLevel="0" collapsed="false">
      <c r="A357" s="67" t="str">
        <f aca="false">IF($K357="","",ROW()-5)</f>
        <v/>
      </c>
      <c r="B357" s="68" t="str">
        <f aca="false">IF($K357="","",INDEX(Base!$E$5:$E$2004,$K357))</f>
        <v/>
      </c>
      <c r="C357" s="69" t="str">
        <f aca="false">IF($K357="","",B357)</f>
        <v/>
      </c>
      <c r="D357" s="70" t="str">
        <f aca="false">IF($K357="","",INDEX(Base!$F$5:$F$2004,$K357))</f>
        <v/>
      </c>
      <c r="E357" s="70" t="str">
        <f aca="false">IF($K357="","",INDEX(Base!$G$5:$G$2004,$K357))</f>
        <v/>
      </c>
      <c r="F357" s="71" t="str">
        <f aca="false">IF($K357="","",INDEX(Base!$H$5:$H$2004,$K357))</f>
        <v/>
      </c>
      <c r="G357" s="71" t="str">
        <f aca="false">IF($K357="","",INDEX(Base!$I$5:$I$2004,$K357))</f>
        <v/>
      </c>
      <c r="H357" s="70" t="str">
        <f aca="false">IF($K357="","",INDEX(Base!$J$5:$J$2004,$K357))</f>
        <v/>
      </c>
      <c r="I357" s="71" t="str">
        <f aca="false">IF($K357="","",INDEX(Base!$L$5:$L$2004,$K357))</f>
        <v/>
      </c>
      <c r="J357" s="72" t="str">
        <f aca="false">IFERROR(SMALL(Base!$P$5:$P$2004,ROW()-5),"")</f>
        <v/>
      </c>
      <c r="K357" s="72" t="str">
        <f aca="false">IF(J357="","",MATCH(J357,Base!$P$5:$P$2004,0))</f>
        <v/>
      </c>
    </row>
    <row r="358" customFormat="false" ht="15" hidden="false" customHeight="false" outlineLevel="0" collapsed="false">
      <c r="A358" s="67" t="str">
        <f aca="false">IF($K358="","",ROW()-5)</f>
        <v/>
      </c>
      <c r="B358" s="68" t="str">
        <f aca="false">IF($K358="","",INDEX(Base!$E$5:$E$2004,$K358))</f>
        <v/>
      </c>
      <c r="C358" s="69" t="str">
        <f aca="false">IF($K358="","",B358)</f>
        <v/>
      </c>
      <c r="D358" s="70" t="str">
        <f aca="false">IF($K358="","",INDEX(Base!$F$5:$F$2004,$K358))</f>
        <v/>
      </c>
      <c r="E358" s="70" t="str">
        <f aca="false">IF($K358="","",INDEX(Base!$G$5:$G$2004,$K358))</f>
        <v/>
      </c>
      <c r="F358" s="71" t="str">
        <f aca="false">IF($K358="","",INDEX(Base!$H$5:$H$2004,$K358))</f>
        <v/>
      </c>
      <c r="G358" s="71" t="str">
        <f aca="false">IF($K358="","",INDEX(Base!$I$5:$I$2004,$K358))</f>
        <v/>
      </c>
      <c r="H358" s="70" t="str">
        <f aca="false">IF($K358="","",INDEX(Base!$J$5:$J$2004,$K358))</f>
        <v/>
      </c>
      <c r="I358" s="71" t="str">
        <f aca="false">IF($K358="","",INDEX(Base!$L$5:$L$2004,$K358))</f>
        <v/>
      </c>
      <c r="J358" s="72" t="str">
        <f aca="false">IFERROR(SMALL(Base!$P$5:$P$2004,ROW()-5),"")</f>
        <v/>
      </c>
      <c r="K358" s="72" t="str">
        <f aca="false">IF(J358="","",MATCH(J358,Base!$P$5:$P$2004,0))</f>
        <v/>
      </c>
    </row>
    <row r="359" customFormat="false" ht="15" hidden="false" customHeight="false" outlineLevel="0" collapsed="false">
      <c r="A359" s="67" t="str">
        <f aca="false">IF($K359="","",ROW()-5)</f>
        <v/>
      </c>
      <c r="B359" s="68" t="str">
        <f aca="false">IF($K359="","",INDEX(Base!$E$5:$E$2004,$K359))</f>
        <v/>
      </c>
      <c r="C359" s="69" t="str">
        <f aca="false">IF($K359="","",B359)</f>
        <v/>
      </c>
      <c r="D359" s="70" t="str">
        <f aca="false">IF($K359="","",INDEX(Base!$F$5:$F$2004,$K359))</f>
        <v/>
      </c>
      <c r="E359" s="70" t="str">
        <f aca="false">IF($K359="","",INDEX(Base!$G$5:$G$2004,$K359))</f>
        <v/>
      </c>
      <c r="F359" s="71" t="str">
        <f aca="false">IF($K359="","",INDEX(Base!$H$5:$H$2004,$K359))</f>
        <v/>
      </c>
      <c r="G359" s="71" t="str">
        <f aca="false">IF($K359="","",INDEX(Base!$I$5:$I$2004,$K359))</f>
        <v/>
      </c>
      <c r="H359" s="70" t="str">
        <f aca="false">IF($K359="","",INDEX(Base!$J$5:$J$2004,$K359))</f>
        <v/>
      </c>
      <c r="I359" s="71" t="str">
        <f aca="false">IF($K359="","",INDEX(Base!$L$5:$L$2004,$K359))</f>
        <v/>
      </c>
      <c r="J359" s="72" t="str">
        <f aca="false">IFERROR(SMALL(Base!$P$5:$P$2004,ROW()-5),"")</f>
        <v/>
      </c>
      <c r="K359" s="72" t="str">
        <f aca="false">IF(J359="","",MATCH(J359,Base!$P$5:$P$2004,0))</f>
        <v/>
      </c>
    </row>
    <row r="360" customFormat="false" ht="15" hidden="false" customHeight="false" outlineLevel="0" collapsed="false">
      <c r="A360" s="67" t="str">
        <f aca="false">IF($K360="","",ROW()-5)</f>
        <v/>
      </c>
      <c r="B360" s="68" t="str">
        <f aca="false">IF($K360="","",INDEX(Base!$E$5:$E$2004,$K360))</f>
        <v/>
      </c>
      <c r="C360" s="69" t="str">
        <f aca="false">IF($K360="","",B360)</f>
        <v/>
      </c>
      <c r="D360" s="70" t="str">
        <f aca="false">IF($K360="","",INDEX(Base!$F$5:$F$2004,$K360))</f>
        <v/>
      </c>
      <c r="E360" s="70" t="str">
        <f aca="false">IF($K360="","",INDEX(Base!$G$5:$G$2004,$K360))</f>
        <v/>
      </c>
      <c r="F360" s="71" t="str">
        <f aca="false">IF($K360="","",INDEX(Base!$H$5:$H$2004,$K360))</f>
        <v/>
      </c>
      <c r="G360" s="71" t="str">
        <f aca="false">IF($K360="","",INDEX(Base!$I$5:$I$2004,$K360))</f>
        <v/>
      </c>
      <c r="H360" s="70" t="str">
        <f aca="false">IF($K360="","",INDEX(Base!$J$5:$J$2004,$K360))</f>
        <v/>
      </c>
      <c r="I360" s="71" t="str">
        <f aca="false">IF($K360="","",INDEX(Base!$L$5:$L$2004,$K360))</f>
        <v/>
      </c>
      <c r="J360" s="72" t="str">
        <f aca="false">IFERROR(SMALL(Base!$P$5:$P$2004,ROW()-5),"")</f>
        <v/>
      </c>
      <c r="K360" s="72" t="str">
        <f aca="false">IF(J360="","",MATCH(J360,Base!$P$5:$P$2004,0))</f>
        <v/>
      </c>
    </row>
    <row r="361" customFormat="false" ht="15" hidden="false" customHeight="false" outlineLevel="0" collapsed="false">
      <c r="A361" s="67" t="str">
        <f aca="false">IF($K361="","",ROW()-5)</f>
        <v/>
      </c>
      <c r="B361" s="68" t="str">
        <f aca="false">IF($K361="","",INDEX(Base!$E$5:$E$2004,$K361))</f>
        <v/>
      </c>
      <c r="C361" s="69" t="str">
        <f aca="false">IF($K361="","",B361)</f>
        <v/>
      </c>
      <c r="D361" s="70" t="str">
        <f aca="false">IF($K361="","",INDEX(Base!$F$5:$F$2004,$K361))</f>
        <v/>
      </c>
      <c r="E361" s="70" t="str">
        <f aca="false">IF($K361="","",INDEX(Base!$G$5:$G$2004,$K361))</f>
        <v/>
      </c>
      <c r="F361" s="71" t="str">
        <f aca="false">IF($K361="","",INDEX(Base!$H$5:$H$2004,$K361))</f>
        <v/>
      </c>
      <c r="G361" s="71" t="str">
        <f aca="false">IF($K361="","",INDEX(Base!$I$5:$I$2004,$K361))</f>
        <v/>
      </c>
      <c r="H361" s="70" t="str">
        <f aca="false">IF($K361="","",INDEX(Base!$J$5:$J$2004,$K361))</f>
        <v/>
      </c>
      <c r="I361" s="71" t="str">
        <f aca="false">IF($K361="","",INDEX(Base!$L$5:$L$2004,$K361))</f>
        <v/>
      </c>
      <c r="J361" s="72" t="str">
        <f aca="false">IFERROR(SMALL(Base!$P$5:$P$2004,ROW()-5),"")</f>
        <v/>
      </c>
      <c r="K361" s="72" t="str">
        <f aca="false">IF(J361="","",MATCH(J361,Base!$P$5:$P$2004,0))</f>
        <v/>
      </c>
    </row>
    <row r="362" customFormat="false" ht="15" hidden="false" customHeight="false" outlineLevel="0" collapsed="false">
      <c r="A362" s="67" t="str">
        <f aca="false">IF($K362="","",ROW()-5)</f>
        <v/>
      </c>
      <c r="B362" s="68" t="str">
        <f aca="false">IF($K362="","",INDEX(Base!$E$5:$E$2004,$K362))</f>
        <v/>
      </c>
      <c r="C362" s="69" t="str">
        <f aca="false">IF($K362="","",B362)</f>
        <v/>
      </c>
      <c r="D362" s="70" t="str">
        <f aca="false">IF($K362="","",INDEX(Base!$F$5:$F$2004,$K362))</f>
        <v/>
      </c>
      <c r="E362" s="70" t="str">
        <f aca="false">IF($K362="","",INDEX(Base!$G$5:$G$2004,$K362))</f>
        <v/>
      </c>
      <c r="F362" s="71" t="str">
        <f aca="false">IF($K362="","",INDEX(Base!$H$5:$H$2004,$K362))</f>
        <v/>
      </c>
      <c r="G362" s="71" t="str">
        <f aca="false">IF($K362="","",INDEX(Base!$I$5:$I$2004,$K362))</f>
        <v/>
      </c>
      <c r="H362" s="70" t="str">
        <f aca="false">IF($K362="","",INDEX(Base!$J$5:$J$2004,$K362))</f>
        <v/>
      </c>
      <c r="I362" s="71" t="str">
        <f aca="false">IF($K362="","",INDEX(Base!$L$5:$L$2004,$K362))</f>
        <v/>
      </c>
      <c r="J362" s="72" t="str">
        <f aca="false">IFERROR(SMALL(Base!$P$5:$P$2004,ROW()-5),"")</f>
        <v/>
      </c>
      <c r="K362" s="72" t="str">
        <f aca="false">IF(J362="","",MATCH(J362,Base!$P$5:$P$2004,0))</f>
        <v/>
      </c>
    </row>
    <row r="363" customFormat="false" ht="15" hidden="false" customHeight="false" outlineLevel="0" collapsed="false">
      <c r="A363" s="67" t="str">
        <f aca="false">IF($K363="","",ROW()-5)</f>
        <v/>
      </c>
      <c r="B363" s="68" t="str">
        <f aca="false">IF($K363="","",INDEX(Base!$E$5:$E$2004,$K363))</f>
        <v/>
      </c>
      <c r="C363" s="69" t="str">
        <f aca="false">IF($K363="","",B363)</f>
        <v/>
      </c>
      <c r="D363" s="70" t="str">
        <f aca="false">IF($K363="","",INDEX(Base!$F$5:$F$2004,$K363))</f>
        <v/>
      </c>
      <c r="E363" s="70" t="str">
        <f aca="false">IF($K363="","",INDEX(Base!$G$5:$G$2004,$K363))</f>
        <v/>
      </c>
      <c r="F363" s="71" t="str">
        <f aca="false">IF($K363="","",INDEX(Base!$H$5:$H$2004,$K363))</f>
        <v/>
      </c>
      <c r="G363" s="71" t="str">
        <f aca="false">IF($K363="","",INDEX(Base!$I$5:$I$2004,$K363))</f>
        <v/>
      </c>
      <c r="H363" s="70" t="str">
        <f aca="false">IF($K363="","",INDEX(Base!$J$5:$J$2004,$K363))</f>
        <v/>
      </c>
      <c r="I363" s="71" t="str">
        <f aca="false">IF($K363="","",INDEX(Base!$L$5:$L$2004,$K363))</f>
        <v/>
      </c>
      <c r="J363" s="72" t="str">
        <f aca="false">IFERROR(SMALL(Base!$P$5:$P$2004,ROW()-5),"")</f>
        <v/>
      </c>
      <c r="K363" s="72" t="str">
        <f aca="false">IF(J363="","",MATCH(J363,Base!$P$5:$P$2004,0))</f>
        <v/>
      </c>
    </row>
    <row r="364" customFormat="false" ht="15" hidden="false" customHeight="false" outlineLevel="0" collapsed="false">
      <c r="A364" s="67" t="str">
        <f aca="false">IF($K364="","",ROW()-5)</f>
        <v/>
      </c>
      <c r="B364" s="68" t="str">
        <f aca="false">IF($K364="","",INDEX(Base!$E$5:$E$2004,$K364))</f>
        <v/>
      </c>
      <c r="C364" s="69" t="str">
        <f aca="false">IF($K364="","",B364)</f>
        <v/>
      </c>
      <c r="D364" s="70" t="str">
        <f aca="false">IF($K364="","",INDEX(Base!$F$5:$F$2004,$K364))</f>
        <v/>
      </c>
      <c r="E364" s="70" t="str">
        <f aca="false">IF($K364="","",INDEX(Base!$G$5:$G$2004,$K364))</f>
        <v/>
      </c>
      <c r="F364" s="71" t="str">
        <f aca="false">IF($K364="","",INDEX(Base!$H$5:$H$2004,$K364))</f>
        <v/>
      </c>
      <c r="G364" s="71" t="str">
        <f aca="false">IF($K364="","",INDEX(Base!$I$5:$I$2004,$K364))</f>
        <v/>
      </c>
      <c r="H364" s="70" t="str">
        <f aca="false">IF($K364="","",INDEX(Base!$J$5:$J$2004,$K364))</f>
        <v/>
      </c>
      <c r="I364" s="71" t="str">
        <f aca="false">IF($K364="","",INDEX(Base!$L$5:$L$2004,$K364))</f>
        <v/>
      </c>
      <c r="J364" s="72" t="str">
        <f aca="false">IFERROR(SMALL(Base!$P$5:$P$2004,ROW()-5),"")</f>
        <v/>
      </c>
      <c r="K364" s="72" t="str">
        <f aca="false">IF(J364="","",MATCH(J364,Base!$P$5:$P$2004,0))</f>
        <v/>
      </c>
    </row>
    <row r="365" customFormat="false" ht="15" hidden="false" customHeight="false" outlineLevel="0" collapsed="false">
      <c r="A365" s="67" t="str">
        <f aca="false">IF($K365="","",ROW()-5)</f>
        <v/>
      </c>
      <c r="B365" s="68" t="str">
        <f aca="false">IF($K365="","",INDEX(Base!$E$5:$E$2004,$K365))</f>
        <v/>
      </c>
      <c r="C365" s="69" t="str">
        <f aca="false">IF($K365="","",B365)</f>
        <v/>
      </c>
      <c r="D365" s="70" t="str">
        <f aca="false">IF($K365="","",INDEX(Base!$F$5:$F$2004,$K365))</f>
        <v/>
      </c>
      <c r="E365" s="70" t="str">
        <f aca="false">IF($K365="","",INDEX(Base!$G$5:$G$2004,$K365))</f>
        <v/>
      </c>
      <c r="F365" s="71" t="str">
        <f aca="false">IF($K365="","",INDEX(Base!$H$5:$H$2004,$K365))</f>
        <v/>
      </c>
      <c r="G365" s="71" t="str">
        <f aca="false">IF($K365="","",INDEX(Base!$I$5:$I$2004,$K365))</f>
        <v/>
      </c>
      <c r="H365" s="70" t="str">
        <f aca="false">IF($K365="","",INDEX(Base!$J$5:$J$2004,$K365))</f>
        <v/>
      </c>
      <c r="I365" s="71" t="str">
        <f aca="false">IF($K365="","",INDEX(Base!$L$5:$L$2004,$K365))</f>
        <v/>
      </c>
      <c r="J365" s="72" t="str">
        <f aca="false">IFERROR(SMALL(Base!$P$5:$P$2004,ROW()-5),"")</f>
        <v/>
      </c>
      <c r="K365" s="72" t="str">
        <f aca="false">IF(J365="","",MATCH(J365,Base!$P$5:$P$2004,0))</f>
        <v/>
      </c>
    </row>
    <row r="366" customFormat="false" ht="15" hidden="false" customHeight="false" outlineLevel="0" collapsed="false">
      <c r="A366" s="67" t="str">
        <f aca="false">IF($K366="","",ROW()-5)</f>
        <v/>
      </c>
      <c r="B366" s="68" t="str">
        <f aca="false">IF($K366="","",INDEX(Base!$E$5:$E$2004,$K366))</f>
        <v/>
      </c>
      <c r="C366" s="69" t="str">
        <f aca="false">IF($K366="","",B366)</f>
        <v/>
      </c>
      <c r="D366" s="70" t="str">
        <f aca="false">IF($K366="","",INDEX(Base!$F$5:$F$2004,$K366))</f>
        <v/>
      </c>
      <c r="E366" s="70" t="str">
        <f aca="false">IF($K366="","",INDEX(Base!$G$5:$G$2004,$K366))</f>
        <v/>
      </c>
      <c r="F366" s="71" t="str">
        <f aca="false">IF($K366="","",INDEX(Base!$H$5:$H$2004,$K366))</f>
        <v/>
      </c>
      <c r="G366" s="71" t="str">
        <f aca="false">IF($K366="","",INDEX(Base!$I$5:$I$2004,$K366))</f>
        <v/>
      </c>
      <c r="H366" s="70" t="str">
        <f aca="false">IF($K366="","",INDEX(Base!$J$5:$J$2004,$K366))</f>
        <v/>
      </c>
      <c r="I366" s="71" t="str">
        <f aca="false">IF($K366="","",INDEX(Base!$L$5:$L$2004,$K366))</f>
        <v/>
      </c>
      <c r="J366" s="72" t="str">
        <f aca="false">IFERROR(SMALL(Base!$P$5:$P$2004,ROW()-5),"")</f>
        <v/>
      </c>
      <c r="K366" s="72" t="str">
        <f aca="false">IF(J366="","",MATCH(J366,Base!$P$5:$P$2004,0))</f>
        <v/>
      </c>
    </row>
    <row r="367" customFormat="false" ht="15" hidden="false" customHeight="false" outlineLevel="0" collapsed="false">
      <c r="A367" s="67" t="str">
        <f aca="false">IF($K367="","",ROW()-5)</f>
        <v/>
      </c>
      <c r="B367" s="68" t="str">
        <f aca="false">IF($K367="","",INDEX(Base!$E$5:$E$2004,$K367))</f>
        <v/>
      </c>
      <c r="C367" s="69" t="str">
        <f aca="false">IF($K367="","",B367)</f>
        <v/>
      </c>
      <c r="D367" s="70" t="str">
        <f aca="false">IF($K367="","",INDEX(Base!$F$5:$F$2004,$K367))</f>
        <v/>
      </c>
      <c r="E367" s="70" t="str">
        <f aca="false">IF($K367="","",INDEX(Base!$G$5:$G$2004,$K367))</f>
        <v/>
      </c>
      <c r="F367" s="71" t="str">
        <f aca="false">IF($K367="","",INDEX(Base!$H$5:$H$2004,$K367))</f>
        <v/>
      </c>
      <c r="G367" s="71" t="str">
        <f aca="false">IF($K367="","",INDEX(Base!$I$5:$I$2004,$K367))</f>
        <v/>
      </c>
      <c r="H367" s="70" t="str">
        <f aca="false">IF($K367="","",INDEX(Base!$J$5:$J$2004,$K367))</f>
        <v/>
      </c>
      <c r="I367" s="71" t="str">
        <f aca="false">IF($K367="","",INDEX(Base!$L$5:$L$2004,$K367))</f>
        <v/>
      </c>
      <c r="J367" s="72" t="str">
        <f aca="false">IFERROR(SMALL(Base!$P$5:$P$2004,ROW()-5),"")</f>
        <v/>
      </c>
      <c r="K367" s="72" t="str">
        <f aca="false">IF(J367="","",MATCH(J367,Base!$P$5:$P$2004,0))</f>
        <v/>
      </c>
    </row>
    <row r="368" customFormat="false" ht="15" hidden="false" customHeight="false" outlineLevel="0" collapsed="false">
      <c r="A368" s="67" t="str">
        <f aca="false">IF($K368="","",ROW()-5)</f>
        <v/>
      </c>
      <c r="B368" s="68" t="str">
        <f aca="false">IF($K368="","",INDEX(Base!$E$5:$E$2004,$K368))</f>
        <v/>
      </c>
      <c r="C368" s="69" t="str">
        <f aca="false">IF($K368="","",B368)</f>
        <v/>
      </c>
      <c r="D368" s="70" t="str">
        <f aca="false">IF($K368="","",INDEX(Base!$F$5:$F$2004,$K368))</f>
        <v/>
      </c>
      <c r="E368" s="70" t="str">
        <f aca="false">IF($K368="","",INDEX(Base!$G$5:$G$2004,$K368))</f>
        <v/>
      </c>
      <c r="F368" s="71" t="str">
        <f aca="false">IF($K368="","",INDEX(Base!$H$5:$H$2004,$K368))</f>
        <v/>
      </c>
      <c r="G368" s="71" t="str">
        <f aca="false">IF($K368="","",INDEX(Base!$I$5:$I$2004,$K368))</f>
        <v/>
      </c>
      <c r="H368" s="70" t="str">
        <f aca="false">IF($K368="","",INDEX(Base!$J$5:$J$2004,$K368))</f>
        <v/>
      </c>
      <c r="I368" s="71" t="str">
        <f aca="false">IF($K368="","",INDEX(Base!$L$5:$L$2004,$K368))</f>
        <v/>
      </c>
      <c r="J368" s="72" t="str">
        <f aca="false">IFERROR(SMALL(Base!$P$5:$P$2004,ROW()-5),"")</f>
        <v/>
      </c>
      <c r="K368" s="72" t="str">
        <f aca="false">IF(J368="","",MATCH(J368,Base!$P$5:$P$2004,0))</f>
        <v/>
      </c>
    </row>
    <row r="369" customFormat="false" ht="15" hidden="false" customHeight="false" outlineLevel="0" collapsed="false">
      <c r="A369" s="67" t="str">
        <f aca="false">IF($K369="","",ROW()-5)</f>
        <v/>
      </c>
      <c r="B369" s="68" t="str">
        <f aca="false">IF($K369="","",INDEX(Base!$E$5:$E$2004,$K369))</f>
        <v/>
      </c>
      <c r="C369" s="69" t="str">
        <f aca="false">IF($K369="","",B369)</f>
        <v/>
      </c>
      <c r="D369" s="70" t="str">
        <f aca="false">IF($K369="","",INDEX(Base!$F$5:$F$2004,$K369))</f>
        <v/>
      </c>
      <c r="E369" s="70" t="str">
        <f aca="false">IF($K369="","",INDEX(Base!$G$5:$G$2004,$K369))</f>
        <v/>
      </c>
      <c r="F369" s="71" t="str">
        <f aca="false">IF($K369="","",INDEX(Base!$H$5:$H$2004,$K369))</f>
        <v/>
      </c>
      <c r="G369" s="71" t="str">
        <f aca="false">IF($K369="","",INDEX(Base!$I$5:$I$2004,$K369))</f>
        <v/>
      </c>
      <c r="H369" s="70" t="str">
        <f aca="false">IF($K369="","",INDEX(Base!$J$5:$J$2004,$K369))</f>
        <v/>
      </c>
      <c r="I369" s="71" t="str">
        <f aca="false">IF($K369="","",INDEX(Base!$L$5:$L$2004,$K369))</f>
        <v/>
      </c>
      <c r="J369" s="72" t="str">
        <f aca="false">IFERROR(SMALL(Base!$P$5:$P$2004,ROW()-5),"")</f>
        <v/>
      </c>
      <c r="K369" s="72" t="str">
        <f aca="false">IF(J369="","",MATCH(J369,Base!$P$5:$P$2004,0))</f>
        <v/>
      </c>
    </row>
    <row r="370" customFormat="false" ht="15" hidden="false" customHeight="false" outlineLevel="0" collapsed="false">
      <c r="A370" s="67" t="str">
        <f aca="false">IF($K370="","",ROW()-5)</f>
        <v/>
      </c>
      <c r="B370" s="68" t="str">
        <f aca="false">IF($K370="","",INDEX(Base!$E$5:$E$2004,$K370))</f>
        <v/>
      </c>
      <c r="C370" s="69" t="str">
        <f aca="false">IF($K370="","",B370)</f>
        <v/>
      </c>
      <c r="D370" s="70" t="str">
        <f aca="false">IF($K370="","",INDEX(Base!$F$5:$F$2004,$K370))</f>
        <v/>
      </c>
      <c r="E370" s="70" t="str">
        <f aca="false">IF($K370="","",INDEX(Base!$G$5:$G$2004,$K370))</f>
        <v/>
      </c>
      <c r="F370" s="71" t="str">
        <f aca="false">IF($K370="","",INDEX(Base!$H$5:$H$2004,$K370))</f>
        <v/>
      </c>
      <c r="G370" s="71" t="str">
        <f aca="false">IF($K370="","",INDEX(Base!$I$5:$I$2004,$K370))</f>
        <v/>
      </c>
      <c r="H370" s="70" t="str">
        <f aca="false">IF($K370="","",INDEX(Base!$J$5:$J$2004,$K370))</f>
        <v/>
      </c>
      <c r="I370" s="71" t="str">
        <f aca="false">IF($K370="","",INDEX(Base!$L$5:$L$2004,$K370))</f>
        <v/>
      </c>
      <c r="J370" s="72" t="str">
        <f aca="false">IFERROR(SMALL(Base!$P$5:$P$2004,ROW()-5),"")</f>
        <v/>
      </c>
      <c r="K370" s="72" t="str">
        <f aca="false">IF(J370="","",MATCH(J370,Base!$P$5:$P$2004,0))</f>
        <v/>
      </c>
    </row>
    <row r="371" customFormat="false" ht="15" hidden="false" customHeight="false" outlineLevel="0" collapsed="false">
      <c r="A371" s="67" t="str">
        <f aca="false">IF($K371="","",ROW()-5)</f>
        <v/>
      </c>
      <c r="B371" s="68" t="str">
        <f aca="false">IF($K371="","",INDEX(Base!$E$5:$E$2004,$K371))</f>
        <v/>
      </c>
      <c r="C371" s="69" t="str">
        <f aca="false">IF($K371="","",B371)</f>
        <v/>
      </c>
      <c r="D371" s="70" t="str">
        <f aca="false">IF($K371="","",INDEX(Base!$F$5:$F$2004,$K371))</f>
        <v/>
      </c>
      <c r="E371" s="70" t="str">
        <f aca="false">IF($K371="","",INDEX(Base!$G$5:$G$2004,$K371))</f>
        <v/>
      </c>
      <c r="F371" s="71" t="str">
        <f aca="false">IF($K371="","",INDEX(Base!$H$5:$H$2004,$K371))</f>
        <v/>
      </c>
      <c r="G371" s="71" t="str">
        <f aca="false">IF($K371="","",INDEX(Base!$I$5:$I$2004,$K371))</f>
        <v/>
      </c>
      <c r="H371" s="70" t="str">
        <f aca="false">IF($K371="","",INDEX(Base!$J$5:$J$2004,$K371))</f>
        <v/>
      </c>
      <c r="I371" s="71" t="str">
        <f aca="false">IF($K371="","",INDEX(Base!$L$5:$L$2004,$K371))</f>
        <v/>
      </c>
      <c r="J371" s="72" t="str">
        <f aca="false">IFERROR(SMALL(Base!$P$5:$P$2004,ROW()-5),"")</f>
        <v/>
      </c>
      <c r="K371" s="72" t="str">
        <f aca="false">IF(J371="","",MATCH(J371,Base!$P$5:$P$2004,0))</f>
        <v/>
      </c>
    </row>
    <row r="372" customFormat="false" ht="15" hidden="false" customHeight="false" outlineLevel="0" collapsed="false">
      <c r="A372" s="67" t="str">
        <f aca="false">IF($K372="","",ROW()-5)</f>
        <v/>
      </c>
      <c r="B372" s="68" t="str">
        <f aca="false">IF($K372="","",INDEX(Base!$E$5:$E$2004,$K372))</f>
        <v/>
      </c>
      <c r="C372" s="69" t="str">
        <f aca="false">IF($K372="","",B372)</f>
        <v/>
      </c>
      <c r="D372" s="70" t="str">
        <f aca="false">IF($K372="","",INDEX(Base!$F$5:$F$2004,$K372))</f>
        <v/>
      </c>
      <c r="E372" s="70" t="str">
        <f aca="false">IF($K372="","",INDEX(Base!$G$5:$G$2004,$K372))</f>
        <v/>
      </c>
      <c r="F372" s="71" t="str">
        <f aca="false">IF($K372="","",INDEX(Base!$H$5:$H$2004,$K372))</f>
        <v/>
      </c>
      <c r="G372" s="71" t="str">
        <f aca="false">IF($K372="","",INDEX(Base!$I$5:$I$2004,$K372))</f>
        <v/>
      </c>
      <c r="H372" s="70" t="str">
        <f aca="false">IF($K372="","",INDEX(Base!$J$5:$J$2004,$K372))</f>
        <v/>
      </c>
      <c r="I372" s="71" t="str">
        <f aca="false">IF($K372="","",INDEX(Base!$L$5:$L$2004,$K372))</f>
        <v/>
      </c>
      <c r="J372" s="72" t="str">
        <f aca="false">IFERROR(SMALL(Base!$P$5:$P$2004,ROW()-5),"")</f>
        <v/>
      </c>
      <c r="K372" s="72" t="str">
        <f aca="false">IF(J372="","",MATCH(J372,Base!$P$5:$P$2004,0))</f>
        <v/>
      </c>
    </row>
    <row r="373" customFormat="false" ht="15" hidden="false" customHeight="false" outlineLevel="0" collapsed="false">
      <c r="A373" s="67" t="str">
        <f aca="false">IF($K373="","",ROW()-5)</f>
        <v/>
      </c>
      <c r="B373" s="68" t="str">
        <f aca="false">IF($K373="","",INDEX(Base!$E$5:$E$2004,$K373))</f>
        <v/>
      </c>
      <c r="C373" s="69" t="str">
        <f aca="false">IF($K373="","",B373)</f>
        <v/>
      </c>
      <c r="D373" s="70" t="str">
        <f aca="false">IF($K373="","",INDEX(Base!$F$5:$F$2004,$K373))</f>
        <v/>
      </c>
      <c r="E373" s="70" t="str">
        <f aca="false">IF($K373="","",INDEX(Base!$G$5:$G$2004,$K373))</f>
        <v/>
      </c>
      <c r="F373" s="71" t="str">
        <f aca="false">IF($K373="","",INDEX(Base!$H$5:$H$2004,$K373))</f>
        <v/>
      </c>
      <c r="G373" s="71" t="str">
        <f aca="false">IF($K373="","",INDEX(Base!$I$5:$I$2004,$K373))</f>
        <v/>
      </c>
      <c r="H373" s="70" t="str">
        <f aca="false">IF($K373="","",INDEX(Base!$J$5:$J$2004,$K373))</f>
        <v/>
      </c>
      <c r="I373" s="71" t="str">
        <f aca="false">IF($K373="","",INDEX(Base!$L$5:$L$2004,$K373))</f>
        <v/>
      </c>
      <c r="J373" s="72" t="str">
        <f aca="false">IFERROR(SMALL(Base!$P$5:$P$2004,ROW()-5),"")</f>
        <v/>
      </c>
      <c r="K373" s="72" t="str">
        <f aca="false">IF(J373="","",MATCH(J373,Base!$P$5:$P$2004,0))</f>
        <v/>
      </c>
    </row>
    <row r="374" customFormat="false" ht="15" hidden="false" customHeight="false" outlineLevel="0" collapsed="false">
      <c r="A374" s="67" t="str">
        <f aca="false">IF($K374="","",ROW()-5)</f>
        <v/>
      </c>
      <c r="B374" s="68" t="str">
        <f aca="false">IF($K374="","",INDEX(Base!$E$5:$E$2004,$K374))</f>
        <v/>
      </c>
      <c r="C374" s="69" t="str">
        <f aca="false">IF($K374="","",B374)</f>
        <v/>
      </c>
      <c r="D374" s="70" t="str">
        <f aca="false">IF($K374="","",INDEX(Base!$F$5:$F$2004,$K374))</f>
        <v/>
      </c>
      <c r="E374" s="70" t="str">
        <f aca="false">IF($K374="","",INDEX(Base!$G$5:$G$2004,$K374))</f>
        <v/>
      </c>
      <c r="F374" s="71" t="str">
        <f aca="false">IF($K374="","",INDEX(Base!$H$5:$H$2004,$K374))</f>
        <v/>
      </c>
      <c r="G374" s="71" t="str">
        <f aca="false">IF($K374="","",INDEX(Base!$I$5:$I$2004,$K374))</f>
        <v/>
      </c>
      <c r="H374" s="70" t="str">
        <f aca="false">IF($K374="","",INDEX(Base!$J$5:$J$2004,$K374))</f>
        <v/>
      </c>
      <c r="I374" s="71" t="str">
        <f aca="false">IF($K374="","",INDEX(Base!$L$5:$L$2004,$K374))</f>
        <v/>
      </c>
      <c r="J374" s="72" t="str">
        <f aca="false">IFERROR(SMALL(Base!$P$5:$P$2004,ROW()-5),"")</f>
        <v/>
      </c>
      <c r="K374" s="72" t="str">
        <f aca="false">IF(J374="","",MATCH(J374,Base!$P$5:$P$2004,0))</f>
        <v/>
      </c>
    </row>
    <row r="375" customFormat="false" ht="15" hidden="false" customHeight="false" outlineLevel="0" collapsed="false">
      <c r="A375" s="67" t="str">
        <f aca="false">IF($K375="","",ROW()-5)</f>
        <v/>
      </c>
      <c r="B375" s="68" t="str">
        <f aca="false">IF($K375="","",INDEX(Base!$E$5:$E$2004,$K375))</f>
        <v/>
      </c>
      <c r="C375" s="69" t="str">
        <f aca="false">IF($K375="","",B375)</f>
        <v/>
      </c>
      <c r="D375" s="70" t="str">
        <f aca="false">IF($K375="","",INDEX(Base!$F$5:$F$2004,$K375))</f>
        <v/>
      </c>
      <c r="E375" s="70" t="str">
        <f aca="false">IF($K375="","",INDEX(Base!$G$5:$G$2004,$K375))</f>
        <v/>
      </c>
      <c r="F375" s="71" t="str">
        <f aca="false">IF($K375="","",INDEX(Base!$H$5:$H$2004,$K375))</f>
        <v/>
      </c>
      <c r="G375" s="71" t="str">
        <f aca="false">IF($K375="","",INDEX(Base!$I$5:$I$2004,$K375))</f>
        <v/>
      </c>
      <c r="H375" s="70" t="str">
        <f aca="false">IF($K375="","",INDEX(Base!$J$5:$J$2004,$K375))</f>
        <v/>
      </c>
      <c r="I375" s="71" t="str">
        <f aca="false">IF($K375="","",INDEX(Base!$L$5:$L$2004,$K375))</f>
        <v/>
      </c>
      <c r="J375" s="72" t="str">
        <f aca="false">IFERROR(SMALL(Base!$P$5:$P$2004,ROW()-5),"")</f>
        <v/>
      </c>
      <c r="K375" s="72" t="str">
        <f aca="false">IF(J375="","",MATCH(J375,Base!$P$5:$P$2004,0))</f>
        <v/>
      </c>
    </row>
    <row r="376" customFormat="false" ht="15" hidden="false" customHeight="false" outlineLevel="0" collapsed="false">
      <c r="A376" s="67" t="str">
        <f aca="false">IF($K376="","",ROW()-5)</f>
        <v/>
      </c>
      <c r="B376" s="68" t="str">
        <f aca="false">IF($K376="","",INDEX(Base!$E$5:$E$2004,$K376))</f>
        <v/>
      </c>
      <c r="C376" s="69" t="str">
        <f aca="false">IF($K376="","",B376)</f>
        <v/>
      </c>
      <c r="D376" s="70" t="str">
        <f aca="false">IF($K376="","",INDEX(Base!$F$5:$F$2004,$K376))</f>
        <v/>
      </c>
      <c r="E376" s="70" t="str">
        <f aca="false">IF($K376="","",INDEX(Base!$G$5:$G$2004,$K376))</f>
        <v/>
      </c>
      <c r="F376" s="71" t="str">
        <f aca="false">IF($K376="","",INDEX(Base!$H$5:$H$2004,$K376))</f>
        <v/>
      </c>
      <c r="G376" s="71" t="str">
        <f aca="false">IF($K376="","",INDEX(Base!$I$5:$I$2004,$K376))</f>
        <v/>
      </c>
      <c r="H376" s="70" t="str">
        <f aca="false">IF($K376="","",INDEX(Base!$J$5:$J$2004,$K376))</f>
        <v/>
      </c>
      <c r="I376" s="71" t="str">
        <f aca="false">IF($K376="","",INDEX(Base!$L$5:$L$2004,$K376))</f>
        <v/>
      </c>
      <c r="J376" s="72" t="str">
        <f aca="false">IFERROR(SMALL(Base!$P$5:$P$2004,ROW()-5),"")</f>
        <v/>
      </c>
      <c r="K376" s="72" t="str">
        <f aca="false">IF(J376="","",MATCH(J376,Base!$P$5:$P$2004,0))</f>
        <v/>
      </c>
    </row>
    <row r="377" customFormat="false" ht="15" hidden="false" customHeight="false" outlineLevel="0" collapsed="false">
      <c r="A377" s="67" t="str">
        <f aca="false">IF($K377="","",ROW()-5)</f>
        <v/>
      </c>
      <c r="B377" s="68" t="str">
        <f aca="false">IF($K377="","",INDEX(Base!$E$5:$E$2004,$K377))</f>
        <v/>
      </c>
      <c r="C377" s="69" t="str">
        <f aca="false">IF($K377="","",B377)</f>
        <v/>
      </c>
      <c r="D377" s="70" t="str">
        <f aca="false">IF($K377="","",INDEX(Base!$F$5:$F$2004,$K377))</f>
        <v/>
      </c>
      <c r="E377" s="70" t="str">
        <f aca="false">IF($K377="","",INDEX(Base!$G$5:$G$2004,$K377))</f>
        <v/>
      </c>
      <c r="F377" s="71" t="str">
        <f aca="false">IF($K377="","",INDEX(Base!$H$5:$H$2004,$K377))</f>
        <v/>
      </c>
      <c r="G377" s="71" t="str">
        <f aca="false">IF($K377="","",INDEX(Base!$I$5:$I$2004,$K377))</f>
        <v/>
      </c>
      <c r="H377" s="70" t="str">
        <f aca="false">IF($K377="","",INDEX(Base!$J$5:$J$2004,$K377))</f>
        <v/>
      </c>
      <c r="I377" s="71" t="str">
        <f aca="false">IF($K377="","",INDEX(Base!$L$5:$L$2004,$K377))</f>
        <v/>
      </c>
      <c r="J377" s="72" t="str">
        <f aca="false">IFERROR(SMALL(Base!$P$5:$P$2004,ROW()-5),"")</f>
        <v/>
      </c>
      <c r="K377" s="72" t="str">
        <f aca="false">IF(J377="","",MATCH(J377,Base!$P$5:$P$2004,0))</f>
        <v/>
      </c>
    </row>
    <row r="378" customFormat="false" ht="15" hidden="false" customHeight="false" outlineLevel="0" collapsed="false">
      <c r="A378" s="67" t="str">
        <f aca="false">IF($K378="","",ROW()-5)</f>
        <v/>
      </c>
      <c r="B378" s="68" t="str">
        <f aca="false">IF($K378="","",INDEX(Base!$E$5:$E$2004,$K378))</f>
        <v/>
      </c>
      <c r="C378" s="69" t="str">
        <f aca="false">IF($K378="","",B378)</f>
        <v/>
      </c>
      <c r="D378" s="70" t="str">
        <f aca="false">IF($K378="","",INDEX(Base!$F$5:$F$2004,$K378))</f>
        <v/>
      </c>
      <c r="E378" s="70" t="str">
        <f aca="false">IF($K378="","",INDEX(Base!$G$5:$G$2004,$K378))</f>
        <v/>
      </c>
      <c r="F378" s="71" t="str">
        <f aca="false">IF($K378="","",INDEX(Base!$H$5:$H$2004,$K378))</f>
        <v/>
      </c>
      <c r="G378" s="71" t="str">
        <f aca="false">IF($K378="","",INDEX(Base!$I$5:$I$2004,$K378))</f>
        <v/>
      </c>
      <c r="H378" s="70" t="str">
        <f aca="false">IF($K378="","",INDEX(Base!$J$5:$J$2004,$K378))</f>
        <v/>
      </c>
      <c r="I378" s="71" t="str">
        <f aca="false">IF($K378="","",INDEX(Base!$L$5:$L$2004,$K378))</f>
        <v/>
      </c>
      <c r="J378" s="72" t="str">
        <f aca="false">IFERROR(SMALL(Base!$P$5:$P$2004,ROW()-5),"")</f>
        <v/>
      </c>
      <c r="K378" s="72" t="str">
        <f aca="false">IF(J378="","",MATCH(J378,Base!$P$5:$P$2004,0))</f>
        <v/>
      </c>
    </row>
    <row r="379" customFormat="false" ht="15" hidden="false" customHeight="false" outlineLevel="0" collapsed="false">
      <c r="A379" s="67" t="str">
        <f aca="false">IF($K379="","",ROW()-5)</f>
        <v/>
      </c>
      <c r="B379" s="68" t="str">
        <f aca="false">IF($K379="","",INDEX(Base!$E$5:$E$2004,$K379))</f>
        <v/>
      </c>
      <c r="C379" s="69" t="str">
        <f aca="false">IF($K379="","",B379)</f>
        <v/>
      </c>
      <c r="D379" s="70" t="str">
        <f aca="false">IF($K379="","",INDEX(Base!$F$5:$F$2004,$K379))</f>
        <v/>
      </c>
      <c r="E379" s="70" t="str">
        <f aca="false">IF($K379="","",INDEX(Base!$G$5:$G$2004,$K379))</f>
        <v/>
      </c>
      <c r="F379" s="71" t="str">
        <f aca="false">IF($K379="","",INDEX(Base!$H$5:$H$2004,$K379))</f>
        <v/>
      </c>
      <c r="G379" s="71" t="str">
        <f aca="false">IF($K379="","",INDEX(Base!$I$5:$I$2004,$K379))</f>
        <v/>
      </c>
      <c r="H379" s="70" t="str">
        <f aca="false">IF($K379="","",INDEX(Base!$J$5:$J$2004,$K379))</f>
        <v/>
      </c>
      <c r="I379" s="71" t="str">
        <f aca="false">IF($K379="","",INDEX(Base!$L$5:$L$2004,$K379))</f>
        <v/>
      </c>
      <c r="J379" s="72" t="str">
        <f aca="false">IFERROR(SMALL(Base!$P$5:$P$2004,ROW()-5),"")</f>
        <v/>
      </c>
      <c r="K379" s="72" t="str">
        <f aca="false">IF(J379="","",MATCH(J379,Base!$P$5:$P$2004,0))</f>
        <v/>
      </c>
    </row>
    <row r="380" customFormat="false" ht="15" hidden="false" customHeight="false" outlineLevel="0" collapsed="false">
      <c r="A380" s="67" t="str">
        <f aca="false">IF($K380="","",ROW()-5)</f>
        <v/>
      </c>
      <c r="B380" s="68" t="str">
        <f aca="false">IF($K380="","",INDEX(Base!$E$5:$E$2004,$K380))</f>
        <v/>
      </c>
      <c r="C380" s="69" t="str">
        <f aca="false">IF($K380="","",B380)</f>
        <v/>
      </c>
      <c r="D380" s="70" t="str">
        <f aca="false">IF($K380="","",INDEX(Base!$F$5:$F$2004,$K380))</f>
        <v/>
      </c>
      <c r="E380" s="70" t="str">
        <f aca="false">IF($K380="","",INDEX(Base!$G$5:$G$2004,$K380))</f>
        <v/>
      </c>
      <c r="F380" s="71" t="str">
        <f aca="false">IF($K380="","",INDEX(Base!$H$5:$H$2004,$K380))</f>
        <v/>
      </c>
      <c r="G380" s="71" t="str">
        <f aca="false">IF($K380="","",INDEX(Base!$I$5:$I$2004,$K380))</f>
        <v/>
      </c>
      <c r="H380" s="70" t="str">
        <f aca="false">IF($K380="","",INDEX(Base!$J$5:$J$2004,$K380))</f>
        <v/>
      </c>
      <c r="I380" s="71" t="str">
        <f aca="false">IF($K380="","",INDEX(Base!$L$5:$L$2004,$K380))</f>
        <v/>
      </c>
      <c r="J380" s="72" t="str">
        <f aca="false">IFERROR(SMALL(Base!$P$5:$P$2004,ROW()-5),"")</f>
        <v/>
      </c>
      <c r="K380" s="72" t="str">
        <f aca="false">IF(J380="","",MATCH(J380,Base!$P$5:$P$2004,0))</f>
        <v/>
      </c>
    </row>
    <row r="381" customFormat="false" ht="15" hidden="false" customHeight="false" outlineLevel="0" collapsed="false">
      <c r="A381" s="67" t="str">
        <f aca="false">IF($K381="","",ROW()-5)</f>
        <v/>
      </c>
      <c r="B381" s="68" t="str">
        <f aca="false">IF($K381="","",INDEX(Base!$E$5:$E$2004,$K381))</f>
        <v/>
      </c>
      <c r="C381" s="69" t="str">
        <f aca="false">IF($K381="","",B381)</f>
        <v/>
      </c>
      <c r="D381" s="70" t="str">
        <f aca="false">IF($K381="","",INDEX(Base!$F$5:$F$2004,$K381))</f>
        <v/>
      </c>
      <c r="E381" s="70" t="str">
        <f aca="false">IF($K381="","",INDEX(Base!$G$5:$G$2004,$K381))</f>
        <v/>
      </c>
      <c r="F381" s="71" t="str">
        <f aca="false">IF($K381="","",INDEX(Base!$H$5:$H$2004,$K381))</f>
        <v/>
      </c>
      <c r="G381" s="71" t="str">
        <f aca="false">IF($K381="","",INDEX(Base!$I$5:$I$2004,$K381))</f>
        <v/>
      </c>
      <c r="H381" s="70" t="str">
        <f aca="false">IF($K381="","",INDEX(Base!$J$5:$J$2004,$K381))</f>
        <v/>
      </c>
      <c r="I381" s="71" t="str">
        <f aca="false">IF($K381="","",INDEX(Base!$L$5:$L$2004,$K381))</f>
        <v/>
      </c>
      <c r="J381" s="72" t="str">
        <f aca="false">IFERROR(SMALL(Base!$P$5:$P$2004,ROW()-5),"")</f>
        <v/>
      </c>
      <c r="K381" s="72" t="str">
        <f aca="false">IF(J381="","",MATCH(J381,Base!$P$5:$P$2004,0))</f>
        <v/>
      </c>
    </row>
    <row r="382" customFormat="false" ht="15" hidden="false" customHeight="false" outlineLevel="0" collapsed="false">
      <c r="A382" s="67" t="str">
        <f aca="false">IF($K382="","",ROW()-5)</f>
        <v/>
      </c>
      <c r="B382" s="68" t="str">
        <f aca="false">IF($K382="","",INDEX(Base!$E$5:$E$2004,$K382))</f>
        <v/>
      </c>
      <c r="C382" s="69" t="str">
        <f aca="false">IF($K382="","",B382)</f>
        <v/>
      </c>
      <c r="D382" s="70" t="str">
        <f aca="false">IF($K382="","",INDEX(Base!$F$5:$F$2004,$K382))</f>
        <v/>
      </c>
      <c r="E382" s="70" t="str">
        <f aca="false">IF($K382="","",INDEX(Base!$G$5:$G$2004,$K382))</f>
        <v/>
      </c>
      <c r="F382" s="71" t="str">
        <f aca="false">IF($K382="","",INDEX(Base!$H$5:$H$2004,$K382))</f>
        <v/>
      </c>
      <c r="G382" s="71" t="str">
        <f aca="false">IF($K382="","",INDEX(Base!$I$5:$I$2004,$K382))</f>
        <v/>
      </c>
      <c r="H382" s="70" t="str">
        <f aca="false">IF($K382="","",INDEX(Base!$J$5:$J$2004,$K382))</f>
        <v/>
      </c>
      <c r="I382" s="71" t="str">
        <f aca="false">IF($K382="","",INDEX(Base!$L$5:$L$2004,$K382))</f>
        <v/>
      </c>
      <c r="J382" s="72" t="str">
        <f aca="false">IFERROR(SMALL(Base!$P$5:$P$2004,ROW()-5),"")</f>
        <v/>
      </c>
      <c r="K382" s="72" t="str">
        <f aca="false">IF(J382="","",MATCH(J382,Base!$P$5:$P$2004,0))</f>
        <v/>
      </c>
    </row>
    <row r="383" customFormat="false" ht="15" hidden="false" customHeight="false" outlineLevel="0" collapsed="false">
      <c r="A383" s="67" t="str">
        <f aca="false">IF($K383="","",ROW()-5)</f>
        <v/>
      </c>
      <c r="B383" s="68" t="str">
        <f aca="false">IF($K383="","",INDEX(Base!$E$5:$E$2004,$K383))</f>
        <v/>
      </c>
      <c r="C383" s="69" t="str">
        <f aca="false">IF($K383="","",B383)</f>
        <v/>
      </c>
      <c r="D383" s="70" t="str">
        <f aca="false">IF($K383="","",INDEX(Base!$F$5:$F$2004,$K383))</f>
        <v/>
      </c>
      <c r="E383" s="70" t="str">
        <f aca="false">IF($K383="","",INDEX(Base!$G$5:$G$2004,$K383))</f>
        <v/>
      </c>
      <c r="F383" s="71" t="str">
        <f aca="false">IF($K383="","",INDEX(Base!$H$5:$H$2004,$K383))</f>
        <v/>
      </c>
      <c r="G383" s="71" t="str">
        <f aca="false">IF($K383="","",INDEX(Base!$I$5:$I$2004,$K383))</f>
        <v/>
      </c>
      <c r="H383" s="70" t="str">
        <f aca="false">IF($K383="","",INDEX(Base!$J$5:$J$2004,$K383))</f>
        <v/>
      </c>
      <c r="I383" s="71" t="str">
        <f aca="false">IF($K383="","",INDEX(Base!$L$5:$L$2004,$K383))</f>
        <v/>
      </c>
      <c r="J383" s="72" t="str">
        <f aca="false">IFERROR(SMALL(Base!$P$5:$P$2004,ROW()-5),"")</f>
        <v/>
      </c>
      <c r="K383" s="72" t="str">
        <f aca="false">IF(J383="","",MATCH(J383,Base!$P$5:$P$2004,0))</f>
        <v/>
      </c>
    </row>
    <row r="384" customFormat="false" ht="15" hidden="false" customHeight="false" outlineLevel="0" collapsed="false">
      <c r="A384" s="67" t="str">
        <f aca="false">IF($K384="","",ROW()-5)</f>
        <v/>
      </c>
      <c r="B384" s="68" t="str">
        <f aca="false">IF($K384="","",INDEX(Base!$E$5:$E$2004,$K384))</f>
        <v/>
      </c>
      <c r="C384" s="69" t="str">
        <f aca="false">IF($K384="","",B384)</f>
        <v/>
      </c>
      <c r="D384" s="70" t="str">
        <f aca="false">IF($K384="","",INDEX(Base!$F$5:$F$2004,$K384))</f>
        <v/>
      </c>
      <c r="E384" s="70" t="str">
        <f aca="false">IF($K384="","",INDEX(Base!$G$5:$G$2004,$K384))</f>
        <v/>
      </c>
      <c r="F384" s="71" t="str">
        <f aca="false">IF($K384="","",INDEX(Base!$H$5:$H$2004,$K384))</f>
        <v/>
      </c>
      <c r="G384" s="71" t="str">
        <f aca="false">IF($K384="","",INDEX(Base!$I$5:$I$2004,$K384))</f>
        <v/>
      </c>
      <c r="H384" s="70" t="str">
        <f aca="false">IF($K384="","",INDEX(Base!$J$5:$J$2004,$K384))</f>
        <v/>
      </c>
      <c r="I384" s="71" t="str">
        <f aca="false">IF($K384="","",INDEX(Base!$L$5:$L$2004,$K384))</f>
        <v/>
      </c>
      <c r="J384" s="72" t="str">
        <f aca="false">IFERROR(SMALL(Base!$P$5:$P$2004,ROW()-5),"")</f>
        <v/>
      </c>
      <c r="K384" s="72" t="str">
        <f aca="false">IF(J384="","",MATCH(J384,Base!$P$5:$P$2004,0))</f>
        <v/>
      </c>
    </row>
    <row r="385" customFormat="false" ht="15" hidden="false" customHeight="false" outlineLevel="0" collapsed="false">
      <c r="A385" s="67" t="str">
        <f aca="false">IF($K385="","",ROW()-5)</f>
        <v/>
      </c>
      <c r="B385" s="68" t="str">
        <f aca="false">IF($K385="","",INDEX(Base!$E$5:$E$2004,$K385))</f>
        <v/>
      </c>
      <c r="C385" s="69" t="str">
        <f aca="false">IF($K385="","",B385)</f>
        <v/>
      </c>
      <c r="D385" s="70" t="str">
        <f aca="false">IF($K385="","",INDEX(Base!$F$5:$F$2004,$K385))</f>
        <v/>
      </c>
      <c r="E385" s="70" t="str">
        <f aca="false">IF($K385="","",INDEX(Base!$G$5:$G$2004,$K385))</f>
        <v/>
      </c>
      <c r="F385" s="71" t="str">
        <f aca="false">IF($K385="","",INDEX(Base!$H$5:$H$2004,$K385))</f>
        <v/>
      </c>
      <c r="G385" s="71" t="str">
        <f aca="false">IF($K385="","",INDEX(Base!$I$5:$I$2004,$K385))</f>
        <v/>
      </c>
      <c r="H385" s="70" t="str">
        <f aca="false">IF($K385="","",INDEX(Base!$J$5:$J$2004,$K385))</f>
        <v/>
      </c>
      <c r="I385" s="71" t="str">
        <f aca="false">IF($K385="","",INDEX(Base!$L$5:$L$2004,$K385))</f>
        <v/>
      </c>
      <c r="J385" s="72" t="str">
        <f aca="false">IFERROR(SMALL(Base!$P$5:$P$2004,ROW()-5),"")</f>
        <v/>
      </c>
      <c r="K385" s="72" t="str">
        <f aca="false">IF(J385="","",MATCH(J385,Base!$P$5:$P$2004,0))</f>
        <v/>
      </c>
    </row>
    <row r="386" customFormat="false" ht="15" hidden="false" customHeight="false" outlineLevel="0" collapsed="false">
      <c r="A386" s="67" t="str">
        <f aca="false">IF($K386="","",ROW()-5)</f>
        <v/>
      </c>
      <c r="B386" s="68" t="str">
        <f aca="false">IF($K386="","",INDEX(Base!$E$5:$E$2004,$K386))</f>
        <v/>
      </c>
      <c r="C386" s="69" t="str">
        <f aca="false">IF($K386="","",B386)</f>
        <v/>
      </c>
      <c r="D386" s="70" t="str">
        <f aca="false">IF($K386="","",INDEX(Base!$F$5:$F$2004,$K386))</f>
        <v/>
      </c>
      <c r="E386" s="70" t="str">
        <f aca="false">IF($K386="","",INDEX(Base!$G$5:$G$2004,$K386))</f>
        <v/>
      </c>
      <c r="F386" s="71" t="str">
        <f aca="false">IF($K386="","",INDEX(Base!$H$5:$H$2004,$K386))</f>
        <v/>
      </c>
      <c r="G386" s="71" t="str">
        <f aca="false">IF($K386="","",INDEX(Base!$I$5:$I$2004,$K386))</f>
        <v/>
      </c>
      <c r="H386" s="70" t="str">
        <f aca="false">IF($K386="","",INDEX(Base!$J$5:$J$2004,$K386))</f>
        <v/>
      </c>
      <c r="I386" s="71" t="str">
        <f aca="false">IF($K386="","",INDEX(Base!$L$5:$L$2004,$K386))</f>
        <v/>
      </c>
      <c r="J386" s="72" t="str">
        <f aca="false">IFERROR(SMALL(Base!$P$5:$P$2004,ROW()-5),"")</f>
        <v/>
      </c>
      <c r="K386" s="72" t="str">
        <f aca="false">IF(J386="","",MATCH(J386,Base!$P$5:$P$2004,0))</f>
        <v/>
      </c>
    </row>
    <row r="387" customFormat="false" ht="15" hidden="false" customHeight="false" outlineLevel="0" collapsed="false">
      <c r="A387" s="67" t="str">
        <f aca="false">IF($K387="","",ROW()-5)</f>
        <v/>
      </c>
      <c r="B387" s="68" t="str">
        <f aca="false">IF($K387="","",INDEX(Base!$E$5:$E$2004,$K387))</f>
        <v/>
      </c>
      <c r="C387" s="69" t="str">
        <f aca="false">IF($K387="","",B387)</f>
        <v/>
      </c>
      <c r="D387" s="70" t="str">
        <f aca="false">IF($K387="","",INDEX(Base!$F$5:$F$2004,$K387))</f>
        <v/>
      </c>
      <c r="E387" s="70" t="str">
        <f aca="false">IF($K387="","",INDEX(Base!$G$5:$G$2004,$K387))</f>
        <v/>
      </c>
      <c r="F387" s="71" t="str">
        <f aca="false">IF($K387="","",INDEX(Base!$H$5:$H$2004,$K387))</f>
        <v/>
      </c>
      <c r="G387" s="71" t="str">
        <f aca="false">IF($K387="","",INDEX(Base!$I$5:$I$2004,$K387))</f>
        <v/>
      </c>
      <c r="H387" s="70" t="str">
        <f aca="false">IF($K387="","",INDEX(Base!$J$5:$J$2004,$K387))</f>
        <v/>
      </c>
      <c r="I387" s="71" t="str">
        <f aca="false">IF($K387="","",INDEX(Base!$L$5:$L$2004,$K387))</f>
        <v/>
      </c>
      <c r="J387" s="72" t="str">
        <f aca="false">IFERROR(SMALL(Base!$P$5:$P$2004,ROW()-5),"")</f>
        <v/>
      </c>
      <c r="K387" s="72" t="str">
        <f aca="false">IF(J387="","",MATCH(J387,Base!$P$5:$P$2004,0))</f>
        <v/>
      </c>
    </row>
    <row r="388" customFormat="false" ht="15" hidden="false" customHeight="false" outlineLevel="0" collapsed="false">
      <c r="A388" s="67" t="str">
        <f aca="false">IF($K388="","",ROW()-5)</f>
        <v/>
      </c>
      <c r="B388" s="68" t="str">
        <f aca="false">IF($K388="","",INDEX(Base!$E$5:$E$2004,$K388))</f>
        <v/>
      </c>
      <c r="C388" s="69" t="str">
        <f aca="false">IF($K388="","",B388)</f>
        <v/>
      </c>
      <c r="D388" s="70" t="str">
        <f aca="false">IF($K388="","",INDEX(Base!$F$5:$F$2004,$K388))</f>
        <v/>
      </c>
      <c r="E388" s="70" t="str">
        <f aca="false">IF($K388="","",INDEX(Base!$G$5:$G$2004,$K388))</f>
        <v/>
      </c>
      <c r="F388" s="71" t="str">
        <f aca="false">IF($K388="","",INDEX(Base!$H$5:$H$2004,$K388))</f>
        <v/>
      </c>
      <c r="G388" s="71" t="str">
        <f aca="false">IF($K388="","",INDEX(Base!$I$5:$I$2004,$K388))</f>
        <v/>
      </c>
      <c r="H388" s="70" t="str">
        <f aca="false">IF($K388="","",INDEX(Base!$J$5:$J$2004,$K388))</f>
        <v/>
      </c>
      <c r="I388" s="71" t="str">
        <f aca="false">IF($K388="","",INDEX(Base!$L$5:$L$2004,$K388))</f>
        <v/>
      </c>
      <c r="J388" s="72" t="str">
        <f aca="false">IFERROR(SMALL(Base!$P$5:$P$2004,ROW()-5),"")</f>
        <v/>
      </c>
      <c r="K388" s="72" t="str">
        <f aca="false">IF(J388="","",MATCH(J388,Base!$P$5:$P$2004,0))</f>
        <v/>
      </c>
    </row>
    <row r="389" customFormat="false" ht="15" hidden="false" customHeight="false" outlineLevel="0" collapsed="false">
      <c r="A389" s="67" t="str">
        <f aca="false">IF($K389="","",ROW()-5)</f>
        <v/>
      </c>
      <c r="B389" s="68" t="str">
        <f aca="false">IF($K389="","",INDEX(Base!$E$5:$E$2004,$K389))</f>
        <v/>
      </c>
      <c r="C389" s="69" t="str">
        <f aca="false">IF($K389="","",B389)</f>
        <v/>
      </c>
      <c r="D389" s="70" t="str">
        <f aca="false">IF($K389="","",INDEX(Base!$F$5:$F$2004,$K389))</f>
        <v/>
      </c>
      <c r="E389" s="70" t="str">
        <f aca="false">IF($K389="","",INDEX(Base!$G$5:$G$2004,$K389))</f>
        <v/>
      </c>
      <c r="F389" s="71" t="str">
        <f aca="false">IF($K389="","",INDEX(Base!$H$5:$H$2004,$K389))</f>
        <v/>
      </c>
      <c r="G389" s="71" t="str">
        <f aca="false">IF($K389="","",INDEX(Base!$I$5:$I$2004,$K389))</f>
        <v/>
      </c>
      <c r="H389" s="70" t="str">
        <f aca="false">IF($K389="","",INDEX(Base!$J$5:$J$2004,$K389))</f>
        <v/>
      </c>
      <c r="I389" s="71" t="str">
        <f aca="false">IF($K389="","",INDEX(Base!$L$5:$L$2004,$K389))</f>
        <v/>
      </c>
      <c r="J389" s="72" t="str">
        <f aca="false">IFERROR(SMALL(Base!$P$5:$P$2004,ROW()-5),"")</f>
        <v/>
      </c>
      <c r="K389" s="72" t="str">
        <f aca="false">IF(J389="","",MATCH(J389,Base!$P$5:$P$2004,0))</f>
        <v/>
      </c>
    </row>
    <row r="390" customFormat="false" ht="15" hidden="false" customHeight="false" outlineLevel="0" collapsed="false">
      <c r="A390" s="67" t="str">
        <f aca="false">IF($K390="","",ROW()-5)</f>
        <v/>
      </c>
      <c r="B390" s="68" t="str">
        <f aca="false">IF($K390="","",INDEX(Base!$E$5:$E$2004,$K390))</f>
        <v/>
      </c>
      <c r="C390" s="69" t="str">
        <f aca="false">IF($K390="","",B390)</f>
        <v/>
      </c>
      <c r="D390" s="70" t="str">
        <f aca="false">IF($K390="","",INDEX(Base!$F$5:$F$2004,$K390))</f>
        <v/>
      </c>
      <c r="E390" s="70" t="str">
        <f aca="false">IF($K390="","",INDEX(Base!$G$5:$G$2004,$K390))</f>
        <v/>
      </c>
      <c r="F390" s="71" t="str">
        <f aca="false">IF($K390="","",INDEX(Base!$H$5:$H$2004,$K390))</f>
        <v/>
      </c>
      <c r="G390" s="71" t="str">
        <f aca="false">IF($K390="","",INDEX(Base!$I$5:$I$2004,$K390))</f>
        <v/>
      </c>
      <c r="H390" s="70" t="str">
        <f aca="false">IF($K390="","",INDEX(Base!$J$5:$J$2004,$K390))</f>
        <v/>
      </c>
      <c r="I390" s="71" t="str">
        <f aca="false">IF($K390="","",INDEX(Base!$L$5:$L$2004,$K390))</f>
        <v/>
      </c>
      <c r="J390" s="72" t="str">
        <f aca="false">IFERROR(SMALL(Base!$P$5:$P$2004,ROW()-5),"")</f>
        <v/>
      </c>
      <c r="K390" s="72" t="str">
        <f aca="false">IF(J390="","",MATCH(J390,Base!$P$5:$P$2004,0))</f>
        <v/>
      </c>
    </row>
    <row r="391" customFormat="false" ht="15" hidden="false" customHeight="false" outlineLevel="0" collapsed="false">
      <c r="A391" s="67" t="str">
        <f aca="false">IF($K391="","",ROW()-5)</f>
        <v/>
      </c>
      <c r="B391" s="68" t="str">
        <f aca="false">IF($K391="","",INDEX(Base!$E$5:$E$2004,$K391))</f>
        <v/>
      </c>
      <c r="C391" s="69" t="str">
        <f aca="false">IF($K391="","",B391)</f>
        <v/>
      </c>
      <c r="D391" s="70" t="str">
        <f aca="false">IF($K391="","",INDEX(Base!$F$5:$F$2004,$K391))</f>
        <v/>
      </c>
      <c r="E391" s="70" t="str">
        <f aca="false">IF($K391="","",INDEX(Base!$G$5:$G$2004,$K391))</f>
        <v/>
      </c>
      <c r="F391" s="71" t="str">
        <f aca="false">IF($K391="","",INDEX(Base!$H$5:$H$2004,$K391))</f>
        <v/>
      </c>
      <c r="G391" s="71" t="str">
        <f aca="false">IF($K391="","",INDEX(Base!$I$5:$I$2004,$K391))</f>
        <v/>
      </c>
      <c r="H391" s="70" t="str">
        <f aca="false">IF($K391="","",INDEX(Base!$J$5:$J$2004,$K391))</f>
        <v/>
      </c>
      <c r="I391" s="71" t="str">
        <f aca="false">IF($K391="","",INDEX(Base!$L$5:$L$2004,$K391))</f>
        <v/>
      </c>
      <c r="J391" s="72" t="str">
        <f aca="false">IFERROR(SMALL(Base!$P$5:$P$2004,ROW()-5),"")</f>
        <v/>
      </c>
      <c r="K391" s="72" t="str">
        <f aca="false">IF(J391="","",MATCH(J391,Base!$P$5:$P$2004,0))</f>
        <v/>
      </c>
    </row>
    <row r="392" customFormat="false" ht="15" hidden="false" customHeight="false" outlineLevel="0" collapsed="false">
      <c r="A392" s="67" t="str">
        <f aca="false">IF($K392="","",ROW()-5)</f>
        <v/>
      </c>
      <c r="B392" s="68" t="str">
        <f aca="false">IF($K392="","",INDEX(Base!$E$5:$E$2004,$K392))</f>
        <v/>
      </c>
      <c r="C392" s="69" t="str">
        <f aca="false">IF($K392="","",B392)</f>
        <v/>
      </c>
      <c r="D392" s="70" t="str">
        <f aca="false">IF($K392="","",INDEX(Base!$F$5:$F$2004,$K392))</f>
        <v/>
      </c>
      <c r="E392" s="70" t="str">
        <f aca="false">IF($K392="","",INDEX(Base!$G$5:$G$2004,$K392))</f>
        <v/>
      </c>
      <c r="F392" s="71" t="str">
        <f aca="false">IF($K392="","",INDEX(Base!$H$5:$H$2004,$K392))</f>
        <v/>
      </c>
      <c r="G392" s="71" t="str">
        <f aca="false">IF($K392="","",INDEX(Base!$I$5:$I$2004,$K392))</f>
        <v/>
      </c>
      <c r="H392" s="70" t="str">
        <f aca="false">IF($K392="","",INDEX(Base!$J$5:$J$2004,$K392))</f>
        <v/>
      </c>
      <c r="I392" s="71" t="str">
        <f aca="false">IF($K392="","",INDEX(Base!$L$5:$L$2004,$K392))</f>
        <v/>
      </c>
      <c r="J392" s="72" t="str">
        <f aca="false">IFERROR(SMALL(Base!$P$5:$P$2004,ROW()-5),"")</f>
        <v/>
      </c>
      <c r="K392" s="72" t="str">
        <f aca="false">IF(J392="","",MATCH(J392,Base!$P$5:$P$2004,0))</f>
        <v/>
      </c>
    </row>
    <row r="393" customFormat="false" ht="15" hidden="false" customHeight="false" outlineLevel="0" collapsed="false">
      <c r="A393" s="67" t="str">
        <f aca="false">IF($K393="","",ROW()-5)</f>
        <v/>
      </c>
      <c r="B393" s="68" t="str">
        <f aca="false">IF($K393="","",INDEX(Base!$E$5:$E$2004,$K393))</f>
        <v/>
      </c>
      <c r="C393" s="69" t="str">
        <f aca="false">IF($K393="","",B393)</f>
        <v/>
      </c>
      <c r="D393" s="70" t="str">
        <f aca="false">IF($K393="","",INDEX(Base!$F$5:$F$2004,$K393))</f>
        <v/>
      </c>
      <c r="E393" s="70" t="str">
        <f aca="false">IF($K393="","",INDEX(Base!$G$5:$G$2004,$K393))</f>
        <v/>
      </c>
      <c r="F393" s="71" t="str">
        <f aca="false">IF($K393="","",INDEX(Base!$H$5:$H$2004,$K393))</f>
        <v/>
      </c>
      <c r="G393" s="71" t="str">
        <f aca="false">IF($K393="","",INDEX(Base!$I$5:$I$2004,$K393))</f>
        <v/>
      </c>
      <c r="H393" s="70" t="str">
        <f aca="false">IF($K393="","",INDEX(Base!$J$5:$J$2004,$K393))</f>
        <v/>
      </c>
      <c r="I393" s="71" t="str">
        <f aca="false">IF($K393="","",INDEX(Base!$L$5:$L$2004,$K393))</f>
        <v/>
      </c>
      <c r="J393" s="72" t="str">
        <f aca="false">IFERROR(SMALL(Base!$P$5:$P$2004,ROW()-5),"")</f>
        <v/>
      </c>
      <c r="K393" s="72" t="str">
        <f aca="false">IF(J393="","",MATCH(J393,Base!$P$5:$P$2004,0))</f>
        <v/>
      </c>
    </row>
    <row r="394" customFormat="false" ht="15" hidden="false" customHeight="false" outlineLevel="0" collapsed="false">
      <c r="A394" s="67" t="str">
        <f aca="false">IF($K394="","",ROW()-5)</f>
        <v/>
      </c>
      <c r="B394" s="68" t="str">
        <f aca="false">IF($K394="","",INDEX(Base!$E$5:$E$2004,$K394))</f>
        <v/>
      </c>
      <c r="C394" s="69" t="str">
        <f aca="false">IF($K394="","",B394)</f>
        <v/>
      </c>
      <c r="D394" s="70" t="str">
        <f aca="false">IF($K394="","",INDEX(Base!$F$5:$F$2004,$K394))</f>
        <v/>
      </c>
      <c r="E394" s="70" t="str">
        <f aca="false">IF($K394="","",INDEX(Base!$G$5:$G$2004,$K394))</f>
        <v/>
      </c>
      <c r="F394" s="71" t="str">
        <f aca="false">IF($K394="","",INDEX(Base!$H$5:$H$2004,$K394))</f>
        <v/>
      </c>
      <c r="G394" s="71" t="str">
        <f aca="false">IF($K394="","",INDEX(Base!$I$5:$I$2004,$K394))</f>
        <v/>
      </c>
      <c r="H394" s="70" t="str">
        <f aca="false">IF($K394="","",INDEX(Base!$J$5:$J$2004,$K394))</f>
        <v/>
      </c>
      <c r="I394" s="71" t="str">
        <f aca="false">IF($K394="","",INDEX(Base!$L$5:$L$2004,$K394))</f>
        <v/>
      </c>
      <c r="J394" s="72" t="str">
        <f aca="false">IFERROR(SMALL(Base!$P$5:$P$2004,ROW()-5),"")</f>
        <v/>
      </c>
      <c r="K394" s="72" t="str">
        <f aca="false">IF(J394="","",MATCH(J394,Base!$P$5:$P$2004,0))</f>
        <v/>
      </c>
    </row>
    <row r="395" customFormat="false" ht="15" hidden="false" customHeight="false" outlineLevel="0" collapsed="false">
      <c r="A395" s="67" t="str">
        <f aca="false">IF($K395="","",ROW()-5)</f>
        <v/>
      </c>
      <c r="B395" s="68" t="str">
        <f aca="false">IF($K395="","",INDEX(Base!$E$5:$E$2004,$K395))</f>
        <v/>
      </c>
      <c r="C395" s="69" t="str">
        <f aca="false">IF($K395="","",B395)</f>
        <v/>
      </c>
      <c r="D395" s="70" t="str">
        <f aca="false">IF($K395="","",INDEX(Base!$F$5:$F$2004,$K395))</f>
        <v/>
      </c>
      <c r="E395" s="70" t="str">
        <f aca="false">IF($K395="","",INDEX(Base!$G$5:$G$2004,$K395))</f>
        <v/>
      </c>
      <c r="F395" s="71" t="str">
        <f aca="false">IF($K395="","",INDEX(Base!$H$5:$H$2004,$K395))</f>
        <v/>
      </c>
      <c r="G395" s="71" t="str">
        <f aca="false">IF($K395="","",INDEX(Base!$I$5:$I$2004,$K395))</f>
        <v/>
      </c>
      <c r="H395" s="70" t="str">
        <f aca="false">IF($K395="","",INDEX(Base!$J$5:$J$2004,$K395))</f>
        <v/>
      </c>
      <c r="I395" s="71" t="str">
        <f aca="false">IF($K395="","",INDEX(Base!$L$5:$L$2004,$K395))</f>
        <v/>
      </c>
      <c r="J395" s="72" t="str">
        <f aca="false">IFERROR(SMALL(Base!$P$5:$P$2004,ROW()-5),"")</f>
        <v/>
      </c>
      <c r="K395" s="72" t="str">
        <f aca="false">IF(J395="","",MATCH(J395,Base!$P$5:$P$2004,0))</f>
        <v/>
      </c>
    </row>
    <row r="396" customFormat="false" ht="15" hidden="false" customHeight="false" outlineLevel="0" collapsed="false">
      <c r="A396" s="67" t="str">
        <f aca="false">IF($K396="","",ROW()-5)</f>
        <v/>
      </c>
      <c r="B396" s="68" t="str">
        <f aca="false">IF($K396="","",INDEX(Base!$E$5:$E$2004,$K396))</f>
        <v/>
      </c>
      <c r="C396" s="69" t="str">
        <f aca="false">IF($K396="","",B396)</f>
        <v/>
      </c>
      <c r="D396" s="70" t="str">
        <f aca="false">IF($K396="","",INDEX(Base!$F$5:$F$2004,$K396))</f>
        <v/>
      </c>
      <c r="E396" s="70" t="str">
        <f aca="false">IF($K396="","",INDEX(Base!$G$5:$G$2004,$K396))</f>
        <v/>
      </c>
      <c r="F396" s="71" t="str">
        <f aca="false">IF($K396="","",INDEX(Base!$H$5:$H$2004,$K396))</f>
        <v/>
      </c>
      <c r="G396" s="71" t="str">
        <f aca="false">IF($K396="","",INDEX(Base!$I$5:$I$2004,$K396))</f>
        <v/>
      </c>
      <c r="H396" s="70" t="str">
        <f aca="false">IF($K396="","",INDEX(Base!$J$5:$J$2004,$K396))</f>
        <v/>
      </c>
      <c r="I396" s="71" t="str">
        <f aca="false">IF($K396="","",INDEX(Base!$L$5:$L$2004,$K396))</f>
        <v/>
      </c>
      <c r="J396" s="72" t="str">
        <f aca="false">IFERROR(SMALL(Base!$P$5:$P$2004,ROW()-5),"")</f>
        <v/>
      </c>
      <c r="K396" s="72" t="str">
        <f aca="false">IF(J396="","",MATCH(J396,Base!$P$5:$P$2004,0))</f>
        <v/>
      </c>
    </row>
    <row r="397" customFormat="false" ht="15" hidden="false" customHeight="false" outlineLevel="0" collapsed="false">
      <c r="A397" s="67" t="str">
        <f aca="false">IF($K397="","",ROW()-5)</f>
        <v/>
      </c>
      <c r="B397" s="68" t="str">
        <f aca="false">IF($K397="","",INDEX(Base!$E$5:$E$2004,$K397))</f>
        <v/>
      </c>
      <c r="C397" s="69" t="str">
        <f aca="false">IF($K397="","",B397)</f>
        <v/>
      </c>
      <c r="D397" s="70" t="str">
        <f aca="false">IF($K397="","",INDEX(Base!$F$5:$F$2004,$K397))</f>
        <v/>
      </c>
      <c r="E397" s="70" t="str">
        <f aca="false">IF($K397="","",INDEX(Base!$G$5:$G$2004,$K397))</f>
        <v/>
      </c>
      <c r="F397" s="71" t="str">
        <f aca="false">IF($K397="","",INDEX(Base!$H$5:$H$2004,$K397))</f>
        <v/>
      </c>
      <c r="G397" s="71" t="str">
        <f aca="false">IF($K397="","",INDEX(Base!$I$5:$I$2004,$K397))</f>
        <v/>
      </c>
      <c r="H397" s="70" t="str">
        <f aca="false">IF($K397="","",INDEX(Base!$J$5:$J$2004,$K397))</f>
        <v/>
      </c>
      <c r="I397" s="71" t="str">
        <f aca="false">IF($K397="","",INDEX(Base!$L$5:$L$2004,$K397))</f>
        <v/>
      </c>
      <c r="J397" s="72" t="str">
        <f aca="false">IFERROR(SMALL(Base!$P$5:$P$2004,ROW()-5),"")</f>
        <v/>
      </c>
      <c r="K397" s="72" t="str">
        <f aca="false">IF(J397="","",MATCH(J397,Base!$P$5:$P$2004,0))</f>
        <v/>
      </c>
    </row>
    <row r="398" customFormat="false" ht="15" hidden="false" customHeight="false" outlineLevel="0" collapsed="false">
      <c r="A398" s="67" t="str">
        <f aca="false">IF($K398="","",ROW()-5)</f>
        <v/>
      </c>
      <c r="B398" s="68" t="str">
        <f aca="false">IF($K398="","",INDEX(Base!$E$5:$E$2004,$K398))</f>
        <v/>
      </c>
      <c r="C398" s="69" t="str">
        <f aca="false">IF($K398="","",B398)</f>
        <v/>
      </c>
      <c r="D398" s="70" t="str">
        <f aca="false">IF($K398="","",INDEX(Base!$F$5:$F$2004,$K398))</f>
        <v/>
      </c>
      <c r="E398" s="70" t="str">
        <f aca="false">IF($K398="","",INDEX(Base!$G$5:$G$2004,$K398))</f>
        <v/>
      </c>
      <c r="F398" s="71" t="str">
        <f aca="false">IF($K398="","",INDEX(Base!$H$5:$H$2004,$K398))</f>
        <v/>
      </c>
      <c r="G398" s="71" t="str">
        <f aca="false">IF($K398="","",INDEX(Base!$I$5:$I$2004,$K398))</f>
        <v/>
      </c>
      <c r="H398" s="70" t="str">
        <f aca="false">IF($K398="","",INDEX(Base!$J$5:$J$2004,$K398))</f>
        <v/>
      </c>
      <c r="I398" s="71" t="str">
        <f aca="false">IF($K398="","",INDEX(Base!$L$5:$L$2004,$K398))</f>
        <v/>
      </c>
      <c r="J398" s="72" t="str">
        <f aca="false">IFERROR(SMALL(Base!$P$5:$P$2004,ROW()-5),"")</f>
        <v/>
      </c>
      <c r="K398" s="72" t="str">
        <f aca="false">IF(J398="","",MATCH(J398,Base!$P$5:$P$2004,0))</f>
        <v/>
      </c>
    </row>
    <row r="399" customFormat="false" ht="15" hidden="false" customHeight="false" outlineLevel="0" collapsed="false">
      <c r="A399" s="67" t="str">
        <f aca="false">IF($K399="","",ROW()-5)</f>
        <v/>
      </c>
      <c r="B399" s="68" t="str">
        <f aca="false">IF($K399="","",INDEX(Base!$E$5:$E$2004,$K399))</f>
        <v/>
      </c>
      <c r="C399" s="69" t="str">
        <f aca="false">IF($K399="","",B399)</f>
        <v/>
      </c>
      <c r="D399" s="70" t="str">
        <f aca="false">IF($K399="","",INDEX(Base!$F$5:$F$2004,$K399))</f>
        <v/>
      </c>
      <c r="E399" s="70" t="str">
        <f aca="false">IF($K399="","",INDEX(Base!$G$5:$G$2004,$K399))</f>
        <v/>
      </c>
      <c r="F399" s="71" t="str">
        <f aca="false">IF($K399="","",INDEX(Base!$H$5:$H$2004,$K399))</f>
        <v/>
      </c>
      <c r="G399" s="71" t="str">
        <f aca="false">IF($K399="","",INDEX(Base!$I$5:$I$2004,$K399))</f>
        <v/>
      </c>
      <c r="H399" s="70" t="str">
        <f aca="false">IF($K399="","",INDEX(Base!$J$5:$J$2004,$K399))</f>
        <v/>
      </c>
      <c r="I399" s="71" t="str">
        <f aca="false">IF($K399="","",INDEX(Base!$L$5:$L$2004,$K399))</f>
        <v/>
      </c>
      <c r="J399" s="72" t="str">
        <f aca="false">IFERROR(SMALL(Base!$P$5:$P$2004,ROW()-5),"")</f>
        <v/>
      </c>
      <c r="K399" s="72" t="str">
        <f aca="false">IF(J399="","",MATCH(J399,Base!$P$5:$P$2004,0))</f>
        <v/>
      </c>
    </row>
    <row r="400" customFormat="false" ht="15" hidden="false" customHeight="false" outlineLevel="0" collapsed="false">
      <c r="A400" s="67" t="str">
        <f aca="false">IF($K400="","",ROW()-5)</f>
        <v/>
      </c>
      <c r="B400" s="68" t="str">
        <f aca="false">IF($K400="","",INDEX(Base!$E$5:$E$2004,$K400))</f>
        <v/>
      </c>
      <c r="C400" s="69" t="str">
        <f aca="false">IF($K400="","",B400)</f>
        <v/>
      </c>
      <c r="D400" s="70" t="str">
        <f aca="false">IF($K400="","",INDEX(Base!$F$5:$F$2004,$K400))</f>
        <v/>
      </c>
      <c r="E400" s="70" t="str">
        <f aca="false">IF($K400="","",INDEX(Base!$G$5:$G$2004,$K400))</f>
        <v/>
      </c>
      <c r="F400" s="71" t="str">
        <f aca="false">IF($K400="","",INDEX(Base!$H$5:$H$2004,$K400))</f>
        <v/>
      </c>
      <c r="G400" s="71" t="str">
        <f aca="false">IF($K400="","",INDEX(Base!$I$5:$I$2004,$K400))</f>
        <v/>
      </c>
      <c r="H400" s="70" t="str">
        <f aca="false">IF($K400="","",INDEX(Base!$J$5:$J$2004,$K400))</f>
        <v/>
      </c>
      <c r="I400" s="71" t="str">
        <f aca="false">IF($K400="","",INDEX(Base!$L$5:$L$2004,$K400))</f>
        <v/>
      </c>
      <c r="J400" s="72" t="str">
        <f aca="false">IFERROR(SMALL(Base!$P$5:$P$2004,ROW()-5),"")</f>
        <v/>
      </c>
      <c r="K400" s="72" t="str">
        <f aca="false">IF(J400="","",MATCH(J400,Base!$P$5:$P$2004,0))</f>
        <v/>
      </c>
    </row>
    <row r="401" customFormat="false" ht="15" hidden="false" customHeight="false" outlineLevel="0" collapsed="false">
      <c r="A401" s="67" t="str">
        <f aca="false">IF($K401="","",ROW()-5)</f>
        <v/>
      </c>
      <c r="B401" s="68" t="str">
        <f aca="false">IF($K401="","",INDEX(Base!$E$5:$E$2004,$K401))</f>
        <v/>
      </c>
      <c r="C401" s="69" t="str">
        <f aca="false">IF($K401="","",B401)</f>
        <v/>
      </c>
      <c r="D401" s="70" t="str">
        <f aca="false">IF($K401="","",INDEX(Base!$F$5:$F$2004,$K401))</f>
        <v/>
      </c>
      <c r="E401" s="70" t="str">
        <f aca="false">IF($K401="","",INDEX(Base!$G$5:$G$2004,$K401))</f>
        <v/>
      </c>
      <c r="F401" s="71" t="str">
        <f aca="false">IF($K401="","",INDEX(Base!$H$5:$H$2004,$K401))</f>
        <v/>
      </c>
      <c r="G401" s="71" t="str">
        <f aca="false">IF($K401="","",INDEX(Base!$I$5:$I$2004,$K401))</f>
        <v/>
      </c>
      <c r="H401" s="70" t="str">
        <f aca="false">IF($K401="","",INDEX(Base!$J$5:$J$2004,$K401))</f>
        <v/>
      </c>
      <c r="I401" s="71" t="str">
        <f aca="false">IF($K401="","",INDEX(Base!$L$5:$L$2004,$K401))</f>
        <v/>
      </c>
      <c r="J401" s="72" t="str">
        <f aca="false">IFERROR(SMALL(Base!$P$5:$P$2004,ROW()-5),"")</f>
        <v/>
      </c>
      <c r="K401" s="72" t="str">
        <f aca="false">IF(J401="","",MATCH(J401,Base!$P$5:$P$2004,0))</f>
        <v/>
      </c>
    </row>
    <row r="402" customFormat="false" ht="15" hidden="false" customHeight="false" outlineLevel="0" collapsed="false">
      <c r="A402" s="67" t="str">
        <f aca="false">IF($K402="","",ROW()-5)</f>
        <v/>
      </c>
      <c r="B402" s="68" t="str">
        <f aca="false">IF($K402="","",INDEX(Base!$E$5:$E$2004,$K402))</f>
        <v/>
      </c>
      <c r="C402" s="69" t="str">
        <f aca="false">IF($K402="","",B402)</f>
        <v/>
      </c>
      <c r="D402" s="70" t="str">
        <f aca="false">IF($K402="","",INDEX(Base!$F$5:$F$2004,$K402))</f>
        <v/>
      </c>
      <c r="E402" s="70" t="str">
        <f aca="false">IF($K402="","",INDEX(Base!$G$5:$G$2004,$K402))</f>
        <v/>
      </c>
      <c r="F402" s="71" t="str">
        <f aca="false">IF($K402="","",INDEX(Base!$H$5:$H$2004,$K402))</f>
        <v/>
      </c>
      <c r="G402" s="71" t="str">
        <f aca="false">IF($K402="","",INDEX(Base!$I$5:$I$2004,$K402))</f>
        <v/>
      </c>
      <c r="H402" s="70" t="str">
        <f aca="false">IF($K402="","",INDEX(Base!$J$5:$J$2004,$K402))</f>
        <v/>
      </c>
      <c r="I402" s="71" t="str">
        <f aca="false">IF($K402="","",INDEX(Base!$L$5:$L$2004,$K402))</f>
        <v/>
      </c>
      <c r="J402" s="72" t="str">
        <f aca="false">IFERROR(SMALL(Base!$P$5:$P$2004,ROW()-5),"")</f>
        <v/>
      </c>
      <c r="K402" s="72" t="str">
        <f aca="false">IF(J402="","",MATCH(J402,Base!$P$5:$P$2004,0))</f>
        <v/>
      </c>
    </row>
    <row r="403" customFormat="false" ht="15" hidden="false" customHeight="false" outlineLevel="0" collapsed="false">
      <c r="A403" s="67" t="str">
        <f aca="false">IF($K403="","",ROW()-5)</f>
        <v/>
      </c>
      <c r="B403" s="68" t="str">
        <f aca="false">IF($K403="","",INDEX(Base!$E$5:$E$2004,$K403))</f>
        <v/>
      </c>
      <c r="C403" s="69" t="str">
        <f aca="false">IF($K403="","",B403)</f>
        <v/>
      </c>
      <c r="D403" s="70" t="str">
        <f aca="false">IF($K403="","",INDEX(Base!$F$5:$F$2004,$K403))</f>
        <v/>
      </c>
      <c r="E403" s="70" t="str">
        <f aca="false">IF($K403="","",INDEX(Base!$G$5:$G$2004,$K403))</f>
        <v/>
      </c>
      <c r="F403" s="71" t="str">
        <f aca="false">IF($K403="","",INDEX(Base!$H$5:$H$2004,$K403))</f>
        <v/>
      </c>
      <c r="G403" s="71" t="str">
        <f aca="false">IF($K403="","",INDEX(Base!$I$5:$I$2004,$K403))</f>
        <v/>
      </c>
      <c r="H403" s="70" t="str">
        <f aca="false">IF($K403="","",INDEX(Base!$J$5:$J$2004,$K403))</f>
        <v/>
      </c>
      <c r="I403" s="71" t="str">
        <f aca="false">IF($K403="","",INDEX(Base!$L$5:$L$2004,$K403))</f>
        <v/>
      </c>
      <c r="J403" s="72" t="str">
        <f aca="false">IFERROR(SMALL(Base!$P$5:$P$2004,ROW()-5),"")</f>
        <v/>
      </c>
      <c r="K403" s="72" t="str">
        <f aca="false">IF(J403="","",MATCH(J403,Base!$P$5:$P$2004,0))</f>
        <v/>
      </c>
    </row>
    <row r="404" customFormat="false" ht="15" hidden="false" customHeight="false" outlineLevel="0" collapsed="false">
      <c r="A404" s="67" t="str">
        <f aca="false">IF($K404="","",ROW()-5)</f>
        <v/>
      </c>
      <c r="B404" s="68" t="str">
        <f aca="false">IF($K404="","",INDEX(Base!$E$5:$E$2004,$K404))</f>
        <v/>
      </c>
      <c r="C404" s="69" t="str">
        <f aca="false">IF($K404="","",B404)</f>
        <v/>
      </c>
      <c r="D404" s="70" t="str">
        <f aca="false">IF($K404="","",INDEX(Base!$F$5:$F$2004,$K404))</f>
        <v/>
      </c>
      <c r="E404" s="70" t="str">
        <f aca="false">IF($K404="","",INDEX(Base!$G$5:$G$2004,$K404))</f>
        <v/>
      </c>
      <c r="F404" s="71" t="str">
        <f aca="false">IF($K404="","",INDEX(Base!$H$5:$H$2004,$K404))</f>
        <v/>
      </c>
      <c r="G404" s="71" t="str">
        <f aca="false">IF($K404="","",INDEX(Base!$I$5:$I$2004,$K404))</f>
        <v/>
      </c>
      <c r="H404" s="70" t="str">
        <f aca="false">IF($K404="","",INDEX(Base!$J$5:$J$2004,$K404))</f>
        <v/>
      </c>
      <c r="I404" s="71" t="str">
        <f aca="false">IF($K404="","",INDEX(Base!$L$5:$L$2004,$K404))</f>
        <v/>
      </c>
      <c r="J404" s="72" t="str">
        <f aca="false">IFERROR(SMALL(Base!$P$5:$P$2004,ROW()-5),"")</f>
        <v/>
      </c>
      <c r="K404" s="72" t="str">
        <f aca="false">IF(J404="","",MATCH(J404,Base!$P$5:$P$2004,0))</f>
        <v/>
      </c>
    </row>
    <row r="405" customFormat="false" ht="15" hidden="false" customHeight="false" outlineLevel="0" collapsed="false">
      <c r="A405" s="67" t="str">
        <f aca="false">IF($K405="","",ROW()-5)</f>
        <v/>
      </c>
      <c r="B405" s="68" t="str">
        <f aca="false">IF($K405="","",INDEX(Base!$E$5:$E$2004,$K405))</f>
        <v/>
      </c>
      <c r="C405" s="69" t="str">
        <f aca="false">IF($K405="","",B405)</f>
        <v/>
      </c>
      <c r="D405" s="70" t="str">
        <f aca="false">IF($K405="","",INDEX(Base!$F$5:$F$2004,$K405))</f>
        <v/>
      </c>
      <c r="E405" s="70" t="str">
        <f aca="false">IF($K405="","",INDEX(Base!$G$5:$G$2004,$K405))</f>
        <v/>
      </c>
      <c r="F405" s="71" t="str">
        <f aca="false">IF($K405="","",INDEX(Base!$H$5:$H$2004,$K405))</f>
        <v/>
      </c>
      <c r="G405" s="71" t="str">
        <f aca="false">IF($K405="","",INDEX(Base!$I$5:$I$2004,$K405))</f>
        <v/>
      </c>
      <c r="H405" s="70" t="str">
        <f aca="false">IF($K405="","",INDEX(Base!$J$5:$J$2004,$K405))</f>
        <v/>
      </c>
      <c r="I405" s="71" t="str">
        <f aca="false">IF($K405="","",INDEX(Base!$L$5:$L$2004,$K405))</f>
        <v/>
      </c>
      <c r="J405" s="72" t="str">
        <f aca="false">IFERROR(SMALL(Base!$P$5:$P$2004,ROW()-5),"")</f>
        <v/>
      </c>
      <c r="K405" s="72" t="str">
        <f aca="false">IF(J405="","",MATCH(J405,Base!$P$5:$P$2004,0))</f>
        <v/>
      </c>
    </row>
    <row r="406" customFormat="false" ht="15" hidden="false" customHeight="false" outlineLevel="0" collapsed="false">
      <c r="A406" s="67" t="str">
        <f aca="false">IF($K406="","",ROW()-5)</f>
        <v/>
      </c>
      <c r="B406" s="68" t="str">
        <f aca="false">IF($K406="","",INDEX(Base!$E$5:$E$2004,$K406))</f>
        <v/>
      </c>
      <c r="C406" s="69" t="str">
        <f aca="false">IF($K406="","",B406)</f>
        <v/>
      </c>
      <c r="D406" s="70" t="str">
        <f aca="false">IF($K406="","",INDEX(Base!$F$5:$F$2004,$K406))</f>
        <v/>
      </c>
      <c r="E406" s="70" t="str">
        <f aca="false">IF($K406="","",INDEX(Base!$G$5:$G$2004,$K406))</f>
        <v/>
      </c>
      <c r="F406" s="71" t="str">
        <f aca="false">IF($K406="","",INDEX(Base!$H$5:$H$2004,$K406))</f>
        <v/>
      </c>
      <c r="G406" s="71" t="str">
        <f aca="false">IF($K406="","",INDEX(Base!$I$5:$I$2004,$K406))</f>
        <v/>
      </c>
      <c r="H406" s="70" t="str">
        <f aca="false">IF($K406="","",INDEX(Base!$J$5:$J$2004,$K406))</f>
        <v/>
      </c>
      <c r="I406" s="71" t="str">
        <f aca="false">IF($K406="","",INDEX(Base!$L$5:$L$2004,$K406))</f>
        <v/>
      </c>
      <c r="J406" s="72" t="str">
        <f aca="false">IFERROR(SMALL(Base!$P$5:$P$2004,ROW()-5),"")</f>
        <v/>
      </c>
      <c r="K406" s="72" t="str">
        <f aca="false">IF(J406="","",MATCH(J406,Base!$P$5:$P$2004,0))</f>
        <v/>
      </c>
    </row>
    <row r="407" customFormat="false" ht="15" hidden="false" customHeight="false" outlineLevel="0" collapsed="false">
      <c r="A407" s="67" t="str">
        <f aca="false">IF($K407="","",ROW()-5)</f>
        <v/>
      </c>
      <c r="B407" s="68" t="str">
        <f aca="false">IF($K407="","",INDEX(Base!$E$5:$E$2004,$K407))</f>
        <v/>
      </c>
      <c r="C407" s="69" t="str">
        <f aca="false">IF($K407="","",B407)</f>
        <v/>
      </c>
      <c r="D407" s="70" t="str">
        <f aca="false">IF($K407="","",INDEX(Base!$F$5:$F$2004,$K407))</f>
        <v/>
      </c>
      <c r="E407" s="70" t="str">
        <f aca="false">IF($K407="","",INDEX(Base!$G$5:$G$2004,$K407))</f>
        <v/>
      </c>
      <c r="F407" s="71" t="str">
        <f aca="false">IF($K407="","",INDEX(Base!$H$5:$H$2004,$K407))</f>
        <v/>
      </c>
      <c r="G407" s="71" t="str">
        <f aca="false">IF($K407="","",INDEX(Base!$I$5:$I$2004,$K407))</f>
        <v/>
      </c>
      <c r="H407" s="70" t="str">
        <f aca="false">IF($K407="","",INDEX(Base!$J$5:$J$2004,$K407))</f>
        <v/>
      </c>
      <c r="I407" s="71" t="str">
        <f aca="false">IF($K407="","",INDEX(Base!$L$5:$L$2004,$K407))</f>
        <v/>
      </c>
      <c r="J407" s="72" t="str">
        <f aca="false">IFERROR(SMALL(Base!$P$5:$P$2004,ROW()-5),"")</f>
        <v/>
      </c>
      <c r="K407" s="72" t="str">
        <f aca="false">IF(J407="","",MATCH(J407,Base!$P$5:$P$2004,0))</f>
        <v/>
      </c>
    </row>
    <row r="408" customFormat="false" ht="15" hidden="false" customHeight="false" outlineLevel="0" collapsed="false">
      <c r="A408" s="67" t="str">
        <f aca="false">IF($K408="","",ROW()-5)</f>
        <v/>
      </c>
      <c r="B408" s="68" t="str">
        <f aca="false">IF($K408="","",INDEX(Base!$E$5:$E$2004,$K408))</f>
        <v/>
      </c>
      <c r="C408" s="69" t="str">
        <f aca="false">IF($K408="","",B408)</f>
        <v/>
      </c>
      <c r="D408" s="70" t="str">
        <f aca="false">IF($K408="","",INDEX(Base!$F$5:$F$2004,$K408))</f>
        <v/>
      </c>
      <c r="E408" s="70" t="str">
        <f aca="false">IF($K408="","",INDEX(Base!$G$5:$G$2004,$K408))</f>
        <v/>
      </c>
      <c r="F408" s="71" t="str">
        <f aca="false">IF($K408="","",INDEX(Base!$H$5:$H$2004,$K408))</f>
        <v/>
      </c>
      <c r="G408" s="71" t="str">
        <f aca="false">IF($K408="","",INDEX(Base!$I$5:$I$2004,$K408))</f>
        <v/>
      </c>
      <c r="H408" s="70" t="str">
        <f aca="false">IF($K408="","",INDEX(Base!$J$5:$J$2004,$K408))</f>
        <v/>
      </c>
      <c r="I408" s="71" t="str">
        <f aca="false">IF($K408="","",INDEX(Base!$L$5:$L$2004,$K408))</f>
        <v/>
      </c>
      <c r="J408" s="72" t="str">
        <f aca="false">IFERROR(SMALL(Base!$P$5:$P$2004,ROW()-5),"")</f>
        <v/>
      </c>
      <c r="K408" s="72" t="str">
        <f aca="false">IF(J408="","",MATCH(J408,Base!$P$5:$P$2004,0))</f>
        <v/>
      </c>
    </row>
    <row r="409" customFormat="false" ht="15" hidden="false" customHeight="false" outlineLevel="0" collapsed="false">
      <c r="A409" s="67" t="str">
        <f aca="false">IF($K409="","",ROW()-5)</f>
        <v/>
      </c>
      <c r="B409" s="68" t="str">
        <f aca="false">IF($K409="","",INDEX(Base!$E$5:$E$2004,$K409))</f>
        <v/>
      </c>
      <c r="C409" s="69" t="str">
        <f aca="false">IF($K409="","",B409)</f>
        <v/>
      </c>
      <c r="D409" s="70" t="str">
        <f aca="false">IF($K409="","",INDEX(Base!$F$5:$F$2004,$K409))</f>
        <v/>
      </c>
      <c r="E409" s="70" t="str">
        <f aca="false">IF($K409="","",INDEX(Base!$G$5:$G$2004,$K409))</f>
        <v/>
      </c>
      <c r="F409" s="71" t="str">
        <f aca="false">IF($K409="","",INDEX(Base!$H$5:$H$2004,$K409))</f>
        <v/>
      </c>
      <c r="G409" s="71" t="str">
        <f aca="false">IF($K409="","",INDEX(Base!$I$5:$I$2004,$K409))</f>
        <v/>
      </c>
      <c r="H409" s="70" t="str">
        <f aca="false">IF($K409="","",INDEX(Base!$J$5:$J$2004,$K409))</f>
        <v/>
      </c>
      <c r="I409" s="71" t="str">
        <f aca="false">IF($K409="","",INDEX(Base!$L$5:$L$2004,$K409))</f>
        <v/>
      </c>
      <c r="J409" s="72" t="str">
        <f aca="false">IFERROR(SMALL(Base!$P$5:$P$2004,ROW()-5),"")</f>
        <v/>
      </c>
      <c r="K409" s="72" t="str">
        <f aca="false">IF(J409="","",MATCH(J409,Base!$P$5:$P$2004,0))</f>
        <v/>
      </c>
    </row>
    <row r="410" customFormat="false" ht="15" hidden="false" customHeight="false" outlineLevel="0" collapsed="false">
      <c r="A410" s="67" t="str">
        <f aca="false">IF($K410="","",ROW()-5)</f>
        <v/>
      </c>
      <c r="B410" s="68" t="str">
        <f aca="false">IF($K410="","",INDEX(Base!$E$5:$E$2004,$K410))</f>
        <v/>
      </c>
      <c r="C410" s="69" t="str">
        <f aca="false">IF($K410="","",B410)</f>
        <v/>
      </c>
      <c r="D410" s="70" t="str">
        <f aca="false">IF($K410="","",INDEX(Base!$F$5:$F$2004,$K410))</f>
        <v/>
      </c>
      <c r="E410" s="70" t="str">
        <f aca="false">IF($K410="","",INDEX(Base!$G$5:$G$2004,$K410))</f>
        <v/>
      </c>
      <c r="F410" s="71" t="str">
        <f aca="false">IF($K410="","",INDEX(Base!$H$5:$H$2004,$K410))</f>
        <v/>
      </c>
      <c r="G410" s="71" t="str">
        <f aca="false">IF($K410="","",INDEX(Base!$I$5:$I$2004,$K410))</f>
        <v/>
      </c>
      <c r="H410" s="70" t="str">
        <f aca="false">IF($K410="","",INDEX(Base!$J$5:$J$2004,$K410))</f>
        <v/>
      </c>
      <c r="I410" s="71" t="str">
        <f aca="false">IF($K410="","",INDEX(Base!$L$5:$L$2004,$K410))</f>
        <v/>
      </c>
      <c r="J410" s="72" t="str">
        <f aca="false">IFERROR(SMALL(Base!$P$5:$P$2004,ROW()-5),"")</f>
        <v/>
      </c>
      <c r="K410" s="72" t="str">
        <f aca="false">IF(J410="","",MATCH(J410,Base!$P$5:$P$2004,0))</f>
        <v/>
      </c>
    </row>
    <row r="411" customFormat="false" ht="15" hidden="false" customHeight="false" outlineLevel="0" collapsed="false">
      <c r="A411" s="67" t="str">
        <f aca="false">IF($K411="","",ROW()-5)</f>
        <v/>
      </c>
      <c r="B411" s="68" t="str">
        <f aca="false">IF($K411="","",INDEX(Base!$E$5:$E$2004,$K411))</f>
        <v/>
      </c>
      <c r="C411" s="69" t="str">
        <f aca="false">IF($K411="","",B411)</f>
        <v/>
      </c>
      <c r="D411" s="70" t="str">
        <f aca="false">IF($K411="","",INDEX(Base!$F$5:$F$2004,$K411))</f>
        <v/>
      </c>
      <c r="E411" s="70" t="str">
        <f aca="false">IF($K411="","",INDEX(Base!$G$5:$G$2004,$K411))</f>
        <v/>
      </c>
      <c r="F411" s="71" t="str">
        <f aca="false">IF($K411="","",INDEX(Base!$H$5:$H$2004,$K411))</f>
        <v/>
      </c>
      <c r="G411" s="71" t="str">
        <f aca="false">IF($K411="","",INDEX(Base!$I$5:$I$2004,$K411))</f>
        <v/>
      </c>
      <c r="H411" s="70" t="str">
        <f aca="false">IF($K411="","",INDEX(Base!$J$5:$J$2004,$K411))</f>
        <v/>
      </c>
      <c r="I411" s="71" t="str">
        <f aca="false">IF($K411="","",INDEX(Base!$L$5:$L$2004,$K411))</f>
        <v/>
      </c>
      <c r="J411" s="72" t="str">
        <f aca="false">IFERROR(SMALL(Base!$P$5:$P$2004,ROW()-5),"")</f>
        <v/>
      </c>
      <c r="K411" s="72" t="str">
        <f aca="false">IF(J411="","",MATCH(J411,Base!$P$5:$P$2004,0))</f>
        <v/>
      </c>
    </row>
    <row r="412" customFormat="false" ht="15" hidden="false" customHeight="false" outlineLevel="0" collapsed="false">
      <c r="A412" s="67" t="str">
        <f aca="false">IF($K412="","",ROW()-5)</f>
        <v/>
      </c>
      <c r="B412" s="68" t="str">
        <f aca="false">IF($K412="","",INDEX(Base!$E$5:$E$2004,$K412))</f>
        <v/>
      </c>
      <c r="C412" s="69" t="str">
        <f aca="false">IF($K412="","",B412)</f>
        <v/>
      </c>
      <c r="D412" s="70" t="str">
        <f aca="false">IF($K412="","",INDEX(Base!$F$5:$F$2004,$K412))</f>
        <v/>
      </c>
      <c r="E412" s="70" t="str">
        <f aca="false">IF($K412="","",INDEX(Base!$G$5:$G$2004,$K412))</f>
        <v/>
      </c>
      <c r="F412" s="71" t="str">
        <f aca="false">IF($K412="","",INDEX(Base!$H$5:$H$2004,$K412))</f>
        <v/>
      </c>
      <c r="G412" s="71" t="str">
        <f aca="false">IF($K412="","",INDEX(Base!$I$5:$I$2004,$K412))</f>
        <v/>
      </c>
      <c r="H412" s="70" t="str">
        <f aca="false">IF($K412="","",INDEX(Base!$J$5:$J$2004,$K412))</f>
        <v/>
      </c>
      <c r="I412" s="71" t="str">
        <f aca="false">IF($K412="","",INDEX(Base!$L$5:$L$2004,$K412))</f>
        <v/>
      </c>
      <c r="J412" s="72" t="str">
        <f aca="false">IFERROR(SMALL(Base!$P$5:$P$2004,ROW()-5),"")</f>
        <v/>
      </c>
      <c r="K412" s="72" t="str">
        <f aca="false">IF(J412="","",MATCH(J412,Base!$P$5:$P$2004,0))</f>
        <v/>
      </c>
    </row>
    <row r="413" customFormat="false" ht="15" hidden="false" customHeight="false" outlineLevel="0" collapsed="false">
      <c r="A413" s="67" t="str">
        <f aca="false">IF($K413="","",ROW()-5)</f>
        <v/>
      </c>
      <c r="B413" s="68" t="str">
        <f aca="false">IF($K413="","",INDEX(Base!$E$5:$E$2004,$K413))</f>
        <v/>
      </c>
      <c r="C413" s="69" t="str">
        <f aca="false">IF($K413="","",B413)</f>
        <v/>
      </c>
      <c r="D413" s="70" t="str">
        <f aca="false">IF($K413="","",INDEX(Base!$F$5:$F$2004,$K413))</f>
        <v/>
      </c>
      <c r="E413" s="70" t="str">
        <f aca="false">IF($K413="","",INDEX(Base!$G$5:$G$2004,$K413))</f>
        <v/>
      </c>
      <c r="F413" s="71" t="str">
        <f aca="false">IF($K413="","",INDEX(Base!$H$5:$H$2004,$K413))</f>
        <v/>
      </c>
      <c r="G413" s="71" t="str">
        <f aca="false">IF($K413="","",INDEX(Base!$I$5:$I$2004,$K413))</f>
        <v/>
      </c>
      <c r="H413" s="70" t="str">
        <f aca="false">IF($K413="","",INDEX(Base!$J$5:$J$2004,$K413))</f>
        <v/>
      </c>
      <c r="I413" s="71" t="str">
        <f aca="false">IF($K413="","",INDEX(Base!$L$5:$L$2004,$K413))</f>
        <v/>
      </c>
      <c r="J413" s="72" t="str">
        <f aca="false">IFERROR(SMALL(Base!$P$5:$P$2004,ROW()-5),"")</f>
        <v/>
      </c>
      <c r="K413" s="72" t="str">
        <f aca="false">IF(J413="","",MATCH(J413,Base!$P$5:$P$2004,0))</f>
        <v/>
      </c>
    </row>
    <row r="414" customFormat="false" ht="15" hidden="false" customHeight="false" outlineLevel="0" collapsed="false">
      <c r="A414" s="67" t="str">
        <f aca="false">IF($K414="","",ROW()-5)</f>
        <v/>
      </c>
      <c r="B414" s="68" t="str">
        <f aca="false">IF($K414="","",INDEX(Base!$E$5:$E$2004,$K414))</f>
        <v/>
      </c>
      <c r="C414" s="69" t="str">
        <f aca="false">IF($K414="","",B414)</f>
        <v/>
      </c>
      <c r="D414" s="70" t="str">
        <f aca="false">IF($K414="","",INDEX(Base!$F$5:$F$2004,$K414))</f>
        <v/>
      </c>
      <c r="E414" s="70" t="str">
        <f aca="false">IF($K414="","",INDEX(Base!$G$5:$G$2004,$K414))</f>
        <v/>
      </c>
      <c r="F414" s="71" t="str">
        <f aca="false">IF($K414="","",INDEX(Base!$H$5:$H$2004,$K414))</f>
        <v/>
      </c>
      <c r="G414" s="71" t="str">
        <f aca="false">IF($K414="","",INDEX(Base!$I$5:$I$2004,$K414))</f>
        <v/>
      </c>
      <c r="H414" s="70" t="str">
        <f aca="false">IF($K414="","",INDEX(Base!$J$5:$J$2004,$K414))</f>
        <v/>
      </c>
      <c r="I414" s="71" t="str">
        <f aca="false">IF($K414="","",INDEX(Base!$L$5:$L$2004,$K414))</f>
        <v/>
      </c>
      <c r="J414" s="72" t="str">
        <f aca="false">IFERROR(SMALL(Base!$P$5:$P$2004,ROW()-5),"")</f>
        <v/>
      </c>
      <c r="K414" s="72" t="str">
        <f aca="false">IF(J414="","",MATCH(J414,Base!$P$5:$P$2004,0))</f>
        <v/>
      </c>
    </row>
    <row r="415" customFormat="false" ht="15" hidden="false" customHeight="false" outlineLevel="0" collapsed="false">
      <c r="A415" s="67" t="str">
        <f aca="false">IF($K415="","",ROW()-5)</f>
        <v/>
      </c>
      <c r="B415" s="68" t="str">
        <f aca="false">IF($K415="","",INDEX(Base!$E$5:$E$2004,$K415))</f>
        <v/>
      </c>
      <c r="C415" s="69" t="str">
        <f aca="false">IF($K415="","",B415)</f>
        <v/>
      </c>
      <c r="D415" s="70" t="str">
        <f aca="false">IF($K415="","",INDEX(Base!$F$5:$F$2004,$K415))</f>
        <v/>
      </c>
      <c r="E415" s="70" t="str">
        <f aca="false">IF($K415="","",INDEX(Base!$G$5:$G$2004,$K415))</f>
        <v/>
      </c>
      <c r="F415" s="71" t="str">
        <f aca="false">IF($K415="","",INDEX(Base!$H$5:$H$2004,$K415))</f>
        <v/>
      </c>
      <c r="G415" s="71" t="str">
        <f aca="false">IF($K415="","",INDEX(Base!$I$5:$I$2004,$K415))</f>
        <v/>
      </c>
      <c r="H415" s="70" t="str">
        <f aca="false">IF($K415="","",INDEX(Base!$J$5:$J$2004,$K415))</f>
        <v/>
      </c>
      <c r="I415" s="71" t="str">
        <f aca="false">IF($K415="","",INDEX(Base!$L$5:$L$2004,$K415))</f>
        <v/>
      </c>
      <c r="J415" s="72" t="str">
        <f aca="false">IFERROR(SMALL(Base!$P$5:$P$2004,ROW()-5),"")</f>
        <v/>
      </c>
      <c r="K415" s="72" t="str">
        <f aca="false">IF(J415="","",MATCH(J415,Base!$P$5:$P$2004,0))</f>
        <v/>
      </c>
    </row>
    <row r="416" customFormat="false" ht="15" hidden="false" customHeight="false" outlineLevel="0" collapsed="false">
      <c r="A416" s="67" t="str">
        <f aca="false">IF($K416="","",ROW()-5)</f>
        <v/>
      </c>
      <c r="B416" s="68" t="str">
        <f aca="false">IF($K416="","",INDEX(Base!$E$5:$E$2004,$K416))</f>
        <v/>
      </c>
      <c r="C416" s="69" t="str">
        <f aca="false">IF($K416="","",B416)</f>
        <v/>
      </c>
      <c r="D416" s="70" t="str">
        <f aca="false">IF($K416="","",INDEX(Base!$F$5:$F$2004,$K416))</f>
        <v/>
      </c>
      <c r="E416" s="70" t="str">
        <f aca="false">IF($K416="","",INDEX(Base!$G$5:$G$2004,$K416))</f>
        <v/>
      </c>
      <c r="F416" s="71" t="str">
        <f aca="false">IF($K416="","",INDEX(Base!$H$5:$H$2004,$K416))</f>
        <v/>
      </c>
      <c r="G416" s="71" t="str">
        <f aca="false">IF($K416="","",INDEX(Base!$I$5:$I$2004,$K416))</f>
        <v/>
      </c>
      <c r="H416" s="70" t="str">
        <f aca="false">IF($K416="","",INDEX(Base!$J$5:$J$2004,$K416))</f>
        <v/>
      </c>
      <c r="I416" s="71" t="str">
        <f aca="false">IF($K416="","",INDEX(Base!$L$5:$L$2004,$K416))</f>
        <v/>
      </c>
      <c r="J416" s="72" t="str">
        <f aca="false">IFERROR(SMALL(Base!$P$5:$P$2004,ROW()-5),"")</f>
        <v/>
      </c>
      <c r="K416" s="72" t="str">
        <f aca="false">IF(J416="","",MATCH(J416,Base!$P$5:$P$2004,0))</f>
        <v/>
      </c>
    </row>
    <row r="417" customFormat="false" ht="15" hidden="false" customHeight="false" outlineLevel="0" collapsed="false">
      <c r="A417" s="67" t="str">
        <f aca="false">IF($K417="","",ROW()-5)</f>
        <v/>
      </c>
      <c r="B417" s="68" t="str">
        <f aca="false">IF($K417="","",INDEX(Base!$E$5:$E$2004,$K417))</f>
        <v/>
      </c>
      <c r="C417" s="69" t="str">
        <f aca="false">IF($K417="","",B417)</f>
        <v/>
      </c>
      <c r="D417" s="70" t="str">
        <f aca="false">IF($K417="","",INDEX(Base!$F$5:$F$2004,$K417))</f>
        <v/>
      </c>
      <c r="E417" s="70" t="str">
        <f aca="false">IF($K417="","",INDEX(Base!$G$5:$G$2004,$K417))</f>
        <v/>
      </c>
      <c r="F417" s="71" t="str">
        <f aca="false">IF($K417="","",INDEX(Base!$H$5:$H$2004,$K417))</f>
        <v/>
      </c>
      <c r="G417" s="71" t="str">
        <f aca="false">IF($K417="","",INDEX(Base!$I$5:$I$2004,$K417))</f>
        <v/>
      </c>
      <c r="H417" s="70" t="str">
        <f aca="false">IF($K417="","",INDEX(Base!$J$5:$J$2004,$K417))</f>
        <v/>
      </c>
      <c r="I417" s="71" t="str">
        <f aca="false">IF($K417="","",INDEX(Base!$L$5:$L$2004,$K417))</f>
        <v/>
      </c>
      <c r="J417" s="72" t="str">
        <f aca="false">IFERROR(SMALL(Base!$P$5:$P$2004,ROW()-5),"")</f>
        <v/>
      </c>
      <c r="K417" s="72" t="str">
        <f aca="false">IF(J417="","",MATCH(J417,Base!$P$5:$P$2004,0))</f>
        <v/>
      </c>
    </row>
    <row r="418" customFormat="false" ht="15" hidden="false" customHeight="false" outlineLevel="0" collapsed="false">
      <c r="A418" s="67" t="str">
        <f aca="false">IF($K418="","",ROW()-5)</f>
        <v/>
      </c>
      <c r="B418" s="68" t="str">
        <f aca="false">IF($K418="","",INDEX(Base!$E$5:$E$2004,$K418))</f>
        <v/>
      </c>
      <c r="C418" s="69" t="str">
        <f aca="false">IF($K418="","",B418)</f>
        <v/>
      </c>
      <c r="D418" s="70" t="str">
        <f aca="false">IF($K418="","",INDEX(Base!$F$5:$F$2004,$K418))</f>
        <v/>
      </c>
      <c r="E418" s="70" t="str">
        <f aca="false">IF($K418="","",INDEX(Base!$G$5:$G$2004,$K418))</f>
        <v/>
      </c>
      <c r="F418" s="71" t="str">
        <f aca="false">IF($K418="","",INDEX(Base!$H$5:$H$2004,$K418))</f>
        <v/>
      </c>
      <c r="G418" s="71" t="str">
        <f aca="false">IF($K418="","",INDEX(Base!$I$5:$I$2004,$K418))</f>
        <v/>
      </c>
      <c r="H418" s="70" t="str">
        <f aca="false">IF($K418="","",INDEX(Base!$J$5:$J$2004,$K418))</f>
        <v/>
      </c>
      <c r="I418" s="71" t="str">
        <f aca="false">IF($K418="","",INDEX(Base!$L$5:$L$2004,$K418))</f>
        <v/>
      </c>
      <c r="J418" s="72" t="str">
        <f aca="false">IFERROR(SMALL(Base!$P$5:$P$2004,ROW()-5),"")</f>
        <v/>
      </c>
      <c r="K418" s="72" t="str">
        <f aca="false">IF(J418="","",MATCH(J418,Base!$P$5:$P$2004,0))</f>
        <v/>
      </c>
    </row>
    <row r="419" customFormat="false" ht="15" hidden="false" customHeight="false" outlineLevel="0" collapsed="false">
      <c r="A419" s="67" t="str">
        <f aca="false">IF($K419="","",ROW()-5)</f>
        <v/>
      </c>
      <c r="B419" s="68" t="str">
        <f aca="false">IF($K419="","",INDEX(Base!$E$5:$E$2004,$K419))</f>
        <v/>
      </c>
      <c r="C419" s="69" t="str">
        <f aca="false">IF($K419="","",B419)</f>
        <v/>
      </c>
      <c r="D419" s="70" t="str">
        <f aca="false">IF($K419="","",INDEX(Base!$F$5:$F$2004,$K419))</f>
        <v/>
      </c>
      <c r="E419" s="70" t="str">
        <f aca="false">IF($K419="","",INDEX(Base!$G$5:$G$2004,$K419))</f>
        <v/>
      </c>
      <c r="F419" s="71" t="str">
        <f aca="false">IF($K419="","",INDEX(Base!$H$5:$H$2004,$K419))</f>
        <v/>
      </c>
      <c r="G419" s="71" t="str">
        <f aca="false">IF($K419="","",INDEX(Base!$I$5:$I$2004,$K419))</f>
        <v/>
      </c>
      <c r="H419" s="70" t="str">
        <f aca="false">IF($K419="","",INDEX(Base!$J$5:$J$2004,$K419))</f>
        <v/>
      </c>
      <c r="I419" s="71" t="str">
        <f aca="false">IF($K419="","",INDEX(Base!$L$5:$L$2004,$K419))</f>
        <v/>
      </c>
      <c r="J419" s="72" t="str">
        <f aca="false">IFERROR(SMALL(Base!$P$5:$P$2004,ROW()-5),"")</f>
        <v/>
      </c>
      <c r="K419" s="72" t="str">
        <f aca="false">IF(J419="","",MATCH(J419,Base!$P$5:$P$2004,0))</f>
        <v/>
      </c>
    </row>
    <row r="420" customFormat="false" ht="15" hidden="false" customHeight="false" outlineLevel="0" collapsed="false">
      <c r="A420" s="67" t="str">
        <f aca="false">IF($K420="","",ROW()-5)</f>
        <v/>
      </c>
      <c r="B420" s="68" t="str">
        <f aca="false">IF($K420="","",INDEX(Base!$E$5:$E$2004,$K420))</f>
        <v/>
      </c>
      <c r="C420" s="69" t="str">
        <f aca="false">IF($K420="","",B420)</f>
        <v/>
      </c>
      <c r="D420" s="70" t="str">
        <f aca="false">IF($K420="","",INDEX(Base!$F$5:$F$2004,$K420))</f>
        <v/>
      </c>
      <c r="E420" s="70" t="str">
        <f aca="false">IF($K420="","",INDEX(Base!$G$5:$G$2004,$K420))</f>
        <v/>
      </c>
      <c r="F420" s="71" t="str">
        <f aca="false">IF($K420="","",INDEX(Base!$H$5:$H$2004,$K420))</f>
        <v/>
      </c>
      <c r="G420" s="71" t="str">
        <f aca="false">IF($K420="","",INDEX(Base!$I$5:$I$2004,$K420))</f>
        <v/>
      </c>
      <c r="H420" s="70" t="str">
        <f aca="false">IF($K420="","",INDEX(Base!$J$5:$J$2004,$K420))</f>
        <v/>
      </c>
      <c r="I420" s="71" t="str">
        <f aca="false">IF($K420="","",INDEX(Base!$L$5:$L$2004,$K420))</f>
        <v/>
      </c>
      <c r="J420" s="72" t="str">
        <f aca="false">IFERROR(SMALL(Base!$P$5:$P$2004,ROW()-5),"")</f>
        <v/>
      </c>
      <c r="K420" s="72" t="str">
        <f aca="false">IF(J420="","",MATCH(J420,Base!$P$5:$P$2004,0))</f>
        <v/>
      </c>
    </row>
    <row r="421" customFormat="false" ht="15" hidden="false" customHeight="false" outlineLevel="0" collapsed="false">
      <c r="A421" s="67" t="str">
        <f aca="false">IF($K421="","",ROW()-5)</f>
        <v/>
      </c>
      <c r="B421" s="68" t="str">
        <f aca="false">IF($K421="","",INDEX(Base!$E$5:$E$2004,$K421))</f>
        <v/>
      </c>
      <c r="C421" s="69" t="str">
        <f aca="false">IF($K421="","",B421)</f>
        <v/>
      </c>
      <c r="D421" s="70" t="str">
        <f aca="false">IF($K421="","",INDEX(Base!$F$5:$F$2004,$K421))</f>
        <v/>
      </c>
      <c r="E421" s="70" t="str">
        <f aca="false">IF($K421="","",INDEX(Base!$G$5:$G$2004,$K421))</f>
        <v/>
      </c>
      <c r="F421" s="71" t="str">
        <f aca="false">IF($K421="","",INDEX(Base!$H$5:$H$2004,$K421))</f>
        <v/>
      </c>
      <c r="G421" s="71" t="str">
        <f aca="false">IF($K421="","",INDEX(Base!$I$5:$I$2004,$K421))</f>
        <v/>
      </c>
      <c r="H421" s="70" t="str">
        <f aca="false">IF($K421="","",INDEX(Base!$J$5:$J$2004,$K421))</f>
        <v/>
      </c>
      <c r="I421" s="71" t="str">
        <f aca="false">IF($K421="","",INDEX(Base!$L$5:$L$2004,$K421))</f>
        <v/>
      </c>
      <c r="J421" s="72" t="str">
        <f aca="false">IFERROR(SMALL(Base!$P$5:$P$2004,ROW()-5),"")</f>
        <v/>
      </c>
      <c r="K421" s="72" t="str">
        <f aca="false">IF(J421="","",MATCH(J421,Base!$P$5:$P$2004,0))</f>
        <v/>
      </c>
    </row>
    <row r="422" customFormat="false" ht="15" hidden="false" customHeight="false" outlineLevel="0" collapsed="false">
      <c r="A422" s="67" t="str">
        <f aca="false">IF($K422="","",ROW()-5)</f>
        <v/>
      </c>
      <c r="B422" s="68" t="str">
        <f aca="false">IF($K422="","",INDEX(Base!$E$5:$E$2004,$K422))</f>
        <v/>
      </c>
      <c r="C422" s="69" t="str">
        <f aca="false">IF($K422="","",B422)</f>
        <v/>
      </c>
      <c r="D422" s="70" t="str">
        <f aca="false">IF($K422="","",INDEX(Base!$F$5:$F$2004,$K422))</f>
        <v/>
      </c>
      <c r="E422" s="70" t="str">
        <f aca="false">IF($K422="","",INDEX(Base!$G$5:$G$2004,$K422))</f>
        <v/>
      </c>
      <c r="F422" s="71" t="str">
        <f aca="false">IF($K422="","",INDEX(Base!$H$5:$H$2004,$K422))</f>
        <v/>
      </c>
      <c r="G422" s="71" t="str">
        <f aca="false">IF($K422="","",INDEX(Base!$I$5:$I$2004,$K422))</f>
        <v/>
      </c>
      <c r="H422" s="70" t="str">
        <f aca="false">IF($K422="","",INDEX(Base!$J$5:$J$2004,$K422))</f>
        <v/>
      </c>
      <c r="I422" s="71" t="str">
        <f aca="false">IF($K422="","",INDEX(Base!$L$5:$L$2004,$K422))</f>
        <v/>
      </c>
      <c r="J422" s="72" t="str">
        <f aca="false">IFERROR(SMALL(Base!$P$5:$P$2004,ROW()-5),"")</f>
        <v/>
      </c>
      <c r="K422" s="72" t="str">
        <f aca="false">IF(J422="","",MATCH(J422,Base!$P$5:$P$2004,0))</f>
        <v/>
      </c>
    </row>
    <row r="423" customFormat="false" ht="15" hidden="false" customHeight="false" outlineLevel="0" collapsed="false">
      <c r="A423" s="67" t="str">
        <f aca="false">IF($K423="","",ROW()-5)</f>
        <v/>
      </c>
      <c r="B423" s="68" t="str">
        <f aca="false">IF($K423="","",INDEX(Base!$E$5:$E$2004,$K423))</f>
        <v/>
      </c>
      <c r="C423" s="69" t="str">
        <f aca="false">IF($K423="","",B423)</f>
        <v/>
      </c>
      <c r="D423" s="70" t="str">
        <f aca="false">IF($K423="","",INDEX(Base!$F$5:$F$2004,$K423))</f>
        <v/>
      </c>
      <c r="E423" s="70" t="str">
        <f aca="false">IF($K423="","",INDEX(Base!$G$5:$G$2004,$K423))</f>
        <v/>
      </c>
      <c r="F423" s="71" t="str">
        <f aca="false">IF($K423="","",INDEX(Base!$H$5:$H$2004,$K423))</f>
        <v/>
      </c>
      <c r="G423" s="71" t="str">
        <f aca="false">IF($K423="","",INDEX(Base!$I$5:$I$2004,$K423))</f>
        <v/>
      </c>
      <c r="H423" s="70" t="str">
        <f aca="false">IF($K423="","",INDEX(Base!$J$5:$J$2004,$K423))</f>
        <v/>
      </c>
      <c r="I423" s="71" t="str">
        <f aca="false">IF($K423="","",INDEX(Base!$L$5:$L$2004,$K423))</f>
        <v/>
      </c>
      <c r="J423" s="72" t="str">
        <f aca="false">IFERROR(SMALL(Base!$P$5:$P$2004,ROW()-5),"")</f>
        <v/>
      </c>
      <c r="K423" s="72" t="str">
        <f aca="false">IF(J423="","",MATCH(J423,Base!$P$5:$P$2004,0))</f>
        <v/>
      </c>
    </row>
    <row r="424" customFormat="false" ht="15" hidden="false" customHeight="false" outlineLevel="0" collapsed="false">
      <c r="A424" s="67" t="str">
        <f aca="false">IF($K424="","",ROW()-5)</f>
        <v/>
      </c>
      <c r="B424" s="68" t="str">
        <f aca="false">IF($K424="","",INDEX(Base!$E$5:$E$2004,$K424))</f>
        <v/>
      </c>
      <c r="C424" s="69" t="str">
        <f aca="false">IF($K424="","",B424)</f>
        <v/>
      </c>
      <c r="D424" s="70" t="str">
        <f aca="false">IF($K424="","",INDEX(Base!$F$5:$F$2004,$K424))</f>
        <v/>
      </c>
      <c r="E424" s="70" t="str">
        <f aca="false">IF($K424="","",INDEX(Base!$G$5:$G$2004,$K424))</f>
        <v/>
      </c>
      <c r="F424" s="71" t="str">
        <f aca="false">IF($K424="","",INDEX(Base!$H$5:$H$2004,$K424))</f>
        <v/>
      </c>
      <c r="G424" s="71" t="str">
        <f aca="false">IF($K424="","",INDEX(Base!$I$5:$I$2004,$K424))</f>
        <v/>
      </c>
      <c r="H424" s="70" t="str">
        <f aca="false">IF($K424="","",INDEX(Base!$J$5:$J$2004,$K424))</f>
        <v/>
      </c>
      <c r="I424" s="71" t="str">
        <f aca="false">IF($K424="","",INDEX(Base!$L$5:$L$2004,$K424))</f>
        <v/>
      </c>
      <c r="J424" s="72" t="str">
        <f aca="false">IFERROR(SMALL(Base!$P$5:$P$2004,ROW()-5),"")</f>
        <v/>
      </c>
      <c r="K424" s="72" t="str">
        <f aca="false">IF(J424="","",MATCH(J424,Base!$P$5:$P$2004,0))</f>
        <v/>
      </c>
    </row>
    <row r="425" customFormat="false" ht="15" hidden="false" customHeight="false" outlineLevel="0" collapsed="false">
      <c r="A425" s="67" t="str">
        <f aca="false">IF($K425="","",ROW()-5)</f>
        <v/>
      </c>
      <c r="B425" s="68" t="str">
        <f aca="false">IF($K425="","",INDEX(Base!$E$5:$E$2004,$K425))</f>
        <v/>
      </c>
      <c r="C425" s="69" t="str">
        <f aca="false">IF($K425="","",B425)</f>
        <v/>
      </c>
      <c r="D425" s="70" t="str">
        <f aca="false">IF($K425="","",INDEX(Base!$F$5:$F$2004,$K425))</f>
        <v/>
      </c>
      <c r="E425" s="70" t="str">
        <f aca="false">IF($K425="","",INDEX(Base!$G$5:$G$2004,$K425))</f>
        <v/>
      </c>
      <c r="F425" s="71" t="str">
        <f aca="false">IF($K425="","",INDEX(Base!$H$5:$H$2004,$K425))</f>
        <v/>
      </c>
      <c r="G425" s="71" t="str">
        <f aca="false">IF($K425="","",INDEX(Base!$I$5:$I$2004,$K425))</f>
        <v/>
      </c>
      <c r="H425" s="70" t="str">
        <f aca="false">IF($K425="","",INDEX(Base!$J$5:$J$2004,$K425))</f>
        <v/>
      </c>
      <c r="I425" s="71" t="str">
        <f aca="false">IF($K425="","",INDEX(Base!$L$5:$L$2004,$K425))</f>
        <v/>
      </c>
      <c r="J425" s="72" t="str">
        <f aca="false">IFERROR(SMALL(Base!$P$5:$P$2004,ROW()-5),"")</f>
        <v/>
      </c>
      <c r="K425" s="72" t="str">
        <f aca="false">IF(J425="","",MATCH(J425,Base!$P$5:$P$2004,0))</f>
        <v/>
      </c>
    </row>
    <row r="426" customFormat="false" ht="15" hidden="false" customHeight="false" outlineLevel="0" collapsed="false">
      <c r="A426" s="67" t="str">
        <f aca="false">IF($K426="","",ROW()-5)</f>
        <v/>
      </c>
      <c r="B426" s="68" t="str">
        <f aca="false">IF($K426="","",INDEX(Base!$E$5:$E$2004,$K426))</f>
        <v/>
      </c>
      <c r="C426" s="69" t="str">
        <f aca="false">IF($K426="","",B426)</f>
        <v/>
      </c>
      <c r="D426" s="70" t="str">
        <f aca="false">IF($K426="","",INDEX(Base!$F$5:$F$2004,$K426))</f>
        <v/>
      </c>
      <c r="E426" s="70" t="str">
        <f aca="false">IF($K426="","",INDEX(Base!$G$5:$G$2004,$K426))</f>
        <v/>
      </c>
      <c r="F426" s="71" t="str">
        <f aca="false">IF($K426="","",INDEX(Base!$H$5:$H$2004,$K426))</f>
        <v/>
      </c>
      <c r="G426" s="71" t="str">
        <f aca="false">IF($K426="","",INDEX(Base!$I$5:$I$2004,$K426))</f>
        <v/>
      </c>
      <c r="H426" s="70" t="str">
        <f aca="false">IF($K426="","",INDEX(Base!$J$5:$J$2004,$K426))</f>
        <v/>
      </c>
      <c r="I426" s="71" t="str">
        <f aca="false">IF($K426="","",INDEX(Base!$L$5:$L$2004,$K426))</f>
        <v/>
      </c>
      <c r="J426" s="72" t="str">
        <f aca="false">IFERROR(SMALL(Base!$P$5:$P$2004,ROW()-5),"")</f>
        <v/>
      </c>
      <c r="K426" s="72" t="str">
        <f aca="false">IF(J426="","",MATCH(J426,Base!$P$5:$P$2004,0))</f>
        <v/>
      </c>
    </row>
    <row r="427" customFormat="false" ht="15" hidden="false" customHeight="false" outlineLevel="0" collapsed="false">
      <c r="A427" s="67" t="str">
        <f aca="false">IF($K427="","",ROW()-5)</f>
        <v/>
      </c>
      <c r="B427" s="68" t="str">
        <f aca="false">IF($K427="","",INDEX(Base!$E$5:$E$2004,$K427))</f>
        <v/>
      </c>
      <c r="C427" s="69" t="str">
        <f aca="false">IF($K427="","",B427)</f>
        <v/>
      </c>
      <c r="D427" s="70" t="str">
        <f aca="false">IF($K427="","",INDEX(Base!$F$5:$F$2004,$K427))</f>
        <v/>
      </c>
      <c r="E427" s="70" t="str">
        <f aca="false">IF($K427="","",INDEX(Base!$G$5:$G$2004,$K427))</f>
        <v/>
      </c>
      <c r="F427" s="71" t="str">
        <f aca="false">IF($K427="","",INDEX(Base!$H$5:$H$2004,$K427))</f>
        <v/>
      </c>
      <c r="G427" s="71" t="str">
        <f aca="false">IF($K427="","",INDEX(Base!$I$5:$I$2004,$K427))</f>
        <v/>
      </c>
      <c r="H427" s="70" t="str">
        <f aca="false">IF($K427="","",INDEX(Base!$J$5:$J$2004,$K427))</f>
        <v/>
      </c>
      <c r="I427" s="71" t="str">
        <f aca="false">IF($K427="","",INDEX(Base!$L$5:$L$2004,$K427))</f>
        <v/>
      </c>
      <c r="J427" s="72" t="str">
        <f aca="false">IFERROR(SMALL(Base!$P$5:$P$2004,ROW()-5),"")</f>
        <v/>
      </c>
      <c r="K427" s="72" t="str">
        <f aca="false">IF(J427="","",MATCH(J427,Base!$P$5:$P$2004,0))</f>
        <v/>
      </c>
    </row>
    <row r="428" customFormat="false" ht="15" hidden="false" customHeight="false" outlineLevel="0" collapsed="false">
      <c r="A428" s="67" t="str">
        <f aca="false">IF($K428="","",ROW()-5)</f>
        <v/>
      </c>
      <c r="B428" s="68" t="str">
        <f aca="false">IF($K428="","",INDEX(Base!$E$5:$E$2004,$K428))</f>
        <v/>
      </c>
      <c r="C428" s="69" t="str">
        <f aca="false">IF($K428="","",B428)</f>
        <v/>
      </c>
      <c r="D428" s="70" t="str">
        <f aca="false">IF($K428="","",INDEX(Base!$F$5:$F$2004,$K428))</f>
        <v/>
      </c>
      <c r="E428" s="70" t="str">
        <f aca="false">IF($K428="","",INDEX(Base!$G$5:$G$2004,$K428))</f>
        <v/>
      </c>
      <c r="F428" s="71" t="str">
        <f aca="false">IF($K428="","",INDEX(Base!$H$5:$H$2004,$K428))</f>
        <v/>
      </c>
      <c r="G428" s="71" t="str">
        <f aca="false">IF($K428="","",INDEX(Base!$I$5:$I$2004,$K428))</f>
        <v/>
      </c>
      <c r="H428" s="70" t="str">
        <f aca="false">IF($K428="","",INDEX(Base!$J$5:$J$2004,$K428))</f>
        <v/>
      </c>
      <c r="I428" s="71" t="str">
        <f aca="false">IF($K428="","",INDEX(Base!$L$5:$L$2004,$K428))</f>
        <v/>
      </c>
      <c r="J428" s="72" t="str">
        <f aca="false">IFERROR(SMALL(Base!$P$5:$P$2004,ROW()-5),"")</f>
        <v/>
      </c>
      <c r="K428" s="72" t="str">
        <f aca="false">IF(J428="","",MATCH(J428,Base!$P$5:$P$2004,0))</f>
        <v/>
      </c>
    </row>
    <row r="429" customFormat="false" ht="15" hidden="false" customHeight="false" outlineLevel="0" collapsed="false">
      <c r="A429" s="67" t="str">
        <f aca="false">IF($K429="","",ROW()-5)</f>
        <v/>
      </c>
      <c r="B429" s="68" t="str">
        <f aca="false">IF($K429="","",INDEX(Base!$E$5:$E$2004,$K429))</f>
        <v/>
      </c>
      <c r="C429" s="69" t="str">
        <f aca="false">IF($K429="","",B429)</f>
        <v/>
      </c>
      <c r="D429" s="70" t="str">
        <f aca="false">IF($K429="","",INDEX(Base!$F$5:$F$2004,$K429))</f>
        <v/>
      </c>
      <c r="E429" s="70" t="str">
        <f aca="false">IF($K429="","",INDEX(Base!$G$5:$G$2004,$K429))</f>
        <v/>
      </c>
      <c r="F429" s="71" t="str">
        <f aca="false">IF($K429="","",INDEX(Base!$H$5:$H$2004,$K429))</f>
        <v/>
      </c>
      <c r="G429" s="71" t="str">
        <f aca="false">IF($K429="","",INDEX(Base!$I$5:$I$2004,$K429))</f>
        <v/>
      </c>
      <c r="H429" s="70" t="str">
        <f aca="false">IF($K429="","",INDEX(Base!$J$5:$J$2004,$K429))</f>
        <v/>
      </c>
      <c r="I429" s="71" t="str">
        <f aca="false">IF($K429="","",INDEX(Base!$L$5:$L$2004,$K429))</f>
        <v/>
      </c>
      <c r="J429" s="72" t="str">
        <f aca="false">IFERROR(SMALL(Base!$P$5:$P$2004,ROW()-5),"")</f>
        <v/>
      </c>
      <c r="K429" s="72" t="str">
        <f aca="false">IF(J429="","",MATCH(J429,Base!$P$5:$P$2004,0))</f>
        <v/>
      </c>
    </row>
    <row r="430" customFormat="false" ht="15" hidden="false" customHeight="false" outlineLevel="0" collapsed="false">
      <c r="A430" s="67" t="str">
        <f aca="false">IF($K430="","",ROW()-5)</f>
        <v/>
      </c>
      <c r="B430" s="68" t="str">
        <f aca="false">IF($K430="","",INDEX(Base!$E$5:$E$2004,$K430))</f>
        <v/>
      </c>
      <c r="C430" s="69" t="str">
        <f aca="false">IF($K430="","",B430)</f>
        <v/>
      </c>
      <c r="D430" s="70" t="str">
        <f aca="false">IF($K430="","",INDEX(Base!$F$5:$F$2004,$K430))</f>
        <v/>
      </c>
      <c r="E430" s="70" t="str">
        <f aca="false">IF($K430="","",INDEX(Base!$G$5:$G$2004,$K430))</f>
        <v/>
      </c>
      <c r="F430" s="71" t="str">
        <f aca="false">IF($K430="","",INDEX(Base!$H$5:$H$2004,$K430))</f>
        <v/>
      </c>
      <c r="G430" s="71" t="str">
        <f aca="false">IF($K430="","",INDEX(Base!$I$5:$I$2004,$K430))</f>
        <v/>
      </c>
      <c r="H430" s="70" t="str">
        <f aca="false">IF($K430="","",INDEX(Base!$J$5:$J$2004,$K430))</f>
        <v/>
      </c>
      <c r="I430" s="71" t="str">
        <f aca="false">IF($K430="","",INDEX(Base!$L$5:$L$2004,$K430))</f>
        <v/>
      </c>
      <c r="J430" s="72" t="str">
        <f aca="false">IFERROR(SMALL(Base!$P$5:$P$2004,ROW()-5),"")</f>
        <v/>
      </c>
      <c r="K430" s="72" t="str">
        <f aca="false">IF(J430="","",MATCH(J430,Base!$P$5:$P$2004,0))</f>
        <v/>
      </c>
    </row>
    <row r="431" customFormat="false" ht="15" hidden="false" customHeight="false" outlineLevel="0" collapsed="false">
      <c r="A431" s="67" t="str">
        <f aca="false">IF($K431="","",ROW()-5)</f>
        <v/>
      </c>
      <c r="B431" s="68" t="str">
        <f aca="false">IF($K431="","",INDEX(Base!$E$5:$E$2004,$K431))</f>
        <v/>
      </c>
      <c r="C431" s="69" t="str">
        <f aca="false">IF($K431="","",B431)</f>
        <v/>
      </c>
      <c r="D431" s="70" t="str">
        <f aca="false">IF($K431="","",INDEX(Base!$F$5:$F$2004,$K431))</f>
        <v/>
      </c>
      <c r="E431" s="70" t="str">
        <f aca="false">IF($K431="","",INDEX(Base!$G$5:$G$2004,$K431))</f>
        <v/>
      </c>
      <c r="F431" s="71" t="str">
        <f aca="false">IF($K431="","",INDEX(Base!$H$5:$H$2004,$K431))</f>
        <v/>
      </c>
      <c r="G431" s="71" t="str">
        <f aca="false">IF($K431="","",INDEX(Base!$I$5:$I$2004,$K431))</f>
        <v/>
      </c>
      <c r="H431" s="70" t="str">
        <f aca="false">IF($K431="","",INDEX(Base!$J$5:$J$2004,$K431))</f>
        <v/>
      </c>
      <c r="I431" s="71" t="str">
        <f aca="false">IF($K431="","",INDEX(Base!$L$5:$L$2004,$K431))</f>
        <v/>
      </c>
      <c r="J431" s="72" t="str">
        <f aca="false">IFERROR(SMALL(Base!$P$5:$P$2004,ROW()-5),"")</f>
        <v/>
      </c>
      <c r="K431" s="72" t="str">
        <f aca="false">IF(J431="","",MATCH(J431,Base!$P$5:$P$2004,0))</f>
        <v/>
      </c>
    </row>
    <row r="432" customFormat="false" ht="15" hidden="false" customHeight="false" outlineLevel="0" collapsed="false">
      <c r="A432" s="67" t="str">
        <f aca="false">IF($K432="","",ROW()-5)</f>
        <v/>
      </c>
      <c r="B432" s="68" t="str">
        <f aca="false">IF($K432="","",INDEX(Base!$E$5:$E$2004,$K432))</f>
        <v/>
      </c>
      <c r="C432" s="69" t="str">
        <f aca="false">IF($K432="","",B432)</f>
        <v/>
      </c>
      <c r="D432" s="70" t="str">
        <f aca="false">IF($K432="","",INDEX(Base!$F$5:$F$2004,$K432))</f>
        <v/>
      </c>
      <c r="E432" s="70" t="str">
        <f aca="false">IF($K432="","",INDEX(Base!$G$5:$G$2004,$K432))</f>
        <v/>
      </c>
      <c r="F432" s="71" t="str">
        <f aca="false">IF($K432="","",INDEX(Base!$H$5:$H$2004,$K432))</f>
        <v/>
      </c>
      <c r="G432" s="71" t="str">
        <f aca="false">IF($K432="","",INDEX(Base!$I$5:$I$2004,$K432))</f>
        <v/>
      </c>
      <c r="H432" s="70" t="str">
        <f aca="false">IF($K432="","",INDEX(Base!$J$5:$J$2004,$K432))</f>
        <v/>
      </c>
      <c r="I432" s="71" t="str">
        <f aca="false">IF($K432="","",INDEX(Base!$L$5:$L$2004,$K432))</f>
        <v/>
      </c>
      <c r="J432" s="72" t="str">
        <f aca="false">IFERROR(SMALL(Base!$P$5:$P$2004,ROW()-5),"")</f>
        <v/>
      </c>
      <c r="K432" s="72" t="str">
        <f aca="false">IF(J432="","",MATCH(J432,Base!$P$5:$P$2004,0))</f>
        <v/>
      </c>
    </row>
    <row r="433" customFormat="false" ht="15" hidden="false" customHeight="false" outlineLevel="0" collapsed="false">
      <c r="A433" s="67" t="str">
        <f aca="false">IF($K433="","",ROW()-5)</f>
        <v/>
      </c>
      <c r="B433" s="68" t="str">
        <f aca="false">IF($K433="","",INDEX(Base!$E$5:$E$2004,$K433))</f>
        <v/>
      </c>
      <c r="C433" s="69" t="str">
        <f aca="false">IF($K433="","",B433)</f>
        <v/>
      </c>
      <c r="D433" s="70" t="str">
        <f aca="false">IF($K433="","",INDEX(Base!$F$5:$F$2004,$K433))</f>
        <v/>
      </c>
      <c r="E433" s="70" t="str">
        <f aca="false">IF($K433="","",INDEX(Base!$G$5:$G$2004,$K433))</f>
        <v/>
      </c>
      <c r="F433" s="71" t="str">
        <f aca="false">IF($K433="","",INDEX(Base!$H$5:$H$2004,$K433))</f>
        <v/>
      </c>
      <c r="G433" s="71" t="str">
        <f aca="false">IF($K433="","",INDEX(Base!$I$5:$I$2004,$K433))</f>
        <v/>
      </c>
      <c r="H433" s="70" t="str">
        <f aca="false">IF($K433="","",INDEX(Base!$J$5:$J$2004,$K433))</f>
        <v/>
      </c>
      <c r="I433" s="71" t="str">
        <f aca="false">IF($K433="","",INDEX(Base!$L$5:$L$2004,$K433))</f>
        <v/>
      </c>
      <c r="J433" s="72" t="str">
        <f aca="false">IFERROR(SMALL(Base!$P$5:$P$2004,ROW()-5),"")</f>
        <v/>
      </c>
      <c r="K433" s="72" t="str">
        <f aca="false">IF(J433="","",MATCH(J433,Base!$P$5:$P$2004,0))</f>
        <v/>
      </c>
    </row>
    <row r="434" customFormat="false" ht="15" hidden="false" customHeight="false" outlineLevel="0" collapsed="false">
      <c r="A434" s="67" t="str">
        <f aca="false">IF($K434="","",ROW()-5)</f>
        <v/>
      </c>
      <c r="B434" s="68" t="str">
        <f aca="false">IF($K434="","",INDEX(Base!$E$5:$E$2004,$K434))</f>
        <v/>
      </c>
      <c r="C434" s="69" t="str">
        <f aca="false">IF($K434="","",B434)</f>
        <v/>
      </c>
      <c r="D434" s="70" t="str">
        <f aca="false">IF($K434="","",INDEX(Base!$F$5:$F$2004,$K434))</f>
        <v/>
      </c>
      <c r="E434" s="70" t="str">
        <f aca="false">IF($K434="","",INDEX(Base!$G$5:$G$2004,$K434))</f>
        <v/>
      </c>
      <c r="F434" s="71" t="str">
        <f aca="false">IF($K434="","",INDEX(Base!$H$5:$H$2004,$K434))</f>
        <v/>
      </c>
      <c r="G434" s="71" t="str">
        <f aca="false">IF($K434="","",INDEX(Base!$I$5:$I$2004,$K434))</f>
        <v/>
      </c>
      <c r="H434" s="70" t="str">
        <f aca="false">IF($K434="","",INDEX(Base!$J$5:$J$2004,$K434))</f>
        <v/>
      </c>
      <c r="I434" s="71" t="str">
        <f aca="false">IF($K434="","",INDEX(Base!$L$5:$L$2004,$K434))</f>
        <v/>
      </c>
      <c r="J434" s="72" t="str">
        <f aca="false">IFERROR(SMALL(Base!$P$5:$P$2004,ROW()-5),"")</f>
        <v/>
      </c>
      <c r="K434" s="72" t="str">
        <f aca="false">IF(J434="","",MATCH(J434,Base!$P$5:$P$2004,0))</f>
        <v/>
      </c>
    </row>
    <row r="435" customFormat="false" ht="15" hidden="false" customHeight="false" outlineLevel="0" collapsed="false">
      <c r="A435" s="67" t="str">
        <f aca="false">IF($K435="","",ROW()-5)</f>
        <v/>
      </c>
      <c r="B435" s="68" t="str">
        <f aca="false">IF($K435="","",INDEX(Base!$E$5:$E$2004,$K435))</f>
        <v/>
      </c>
      <c r="C435" s="69" t="str">
        <f aca="false">IF($K435="","",B435)</f>
        <v/>
      </c>
      <c r="D435" s="70" t="str">
        <f aca="false">IF($K435="","",INDEX(Base!$F$5:$F$2004,$K435))</f>
        <v/>
      </c>
      <c r="E435" s="70" t="str">
        <f aca="false">IF($K435="","",INDEX(Base!$G$5:$G$2004,$K435))</f>
        <v/>
      </c>
      <c r="F435" s="71" t="str">
        <f aca="false">IF($K435="","",INDEX(Base!$H$5:$H$2004,$K435))</f>
        <v/>
      </c>
      <c r="G435" s="71" t="str">
        <f aca="false">IF($K435="","",INDEX(Base!$I$5:$I$2004,$K435))</f>
        <v/>
      </c>
      <c r="H435" s="70" t="str">
        <f aca="false">IF($K435="","",INDEX(Base!$J$5:$J$2004,$K435))</f>
        <v/>
      </c>
      <c r="I435" s="71" t="str">
        <f aca="false">IF($K435="","",INDEX(Base!$L$5:$L$2004,$K435))</f>
        <v/>
      </c>
      <c r="J435" s="72" t="str">
        <f aca="false">IFERROR(SMALL(Base!$P$5:$P$2004,ROW()-5),"")</f>
        <v/>
      </c>
      <c r="K435" s="72" t="str">
        <f aca="false">IF(J435="","",MATCH(J435,Base!$P$5:$P$2004,0))</f>
        <v/>
      </c>
    </row>
    <row r="436" customFormat="false" ht="15" hidden="false" customHeight="false" outlineLevel="0" collapsed="false">
      <c r="A436" s="67" t="str">
        <f aca="false">IF($K436="","",ROW()-5)</f>
        <v/>
      </c>
      <c r="B436" s="68" t="str">
        <f aca="false">IF($K436="","",INDEX(Base!$E$5:$E$2004,$K436))</f>
        <v/>
      </c>
      <c r="C436" s="69" t="str">
        <f aca="false">IF($K436="","",B436)</f>
        <v/>
      </c>
      <c r="D436" s="70" t="str">
        <f aca="false">IF($K436="","",INDEX(Base!$F$5:$F$2004,$K436))</f>
        <v/>
      </c>
      <c r="E436" s="70" t="str">
        <f aca="false">IF($K436="","",INDEX(Base!$G$5:$G$2004,$K436))</f>
        <v/>
      </c>
      <c r="F436" s="71" t="str">
        <f aca="false">IF($K436="","",INDEX(Base!$H$5:$H$2004,$K436))</f>
        <v/>
      </c>
      <c r="G436" s="71" t="str">
        <f aca="false">IF($K436="","",INDEX(Base!$I$5:$I$2004,$K436))</f>
        <v/>
      </c>
      <c r="H436" s="70" t="str">
        <f aca="false">IF($K436="","",INDEX(Base!$J$5:$J$2004,$K436))</f>
        <v/>
      </c>
      <c r="I436" s="71" t="str">
        <f aca="false">IF($K436="","",INDEX(Base!$L$5:$L$2004,$K436))</f>
        <v/>
      </c>
      <c r="J436" s="72" t="str">
        <f aca="false">IFERROR(SMALL(Base!$P$5:$P$2004,ROW()-5),"")</f>
        <v/>
      </c>
      <c r="K436" s="72" t="str">
        <f aca="false">IF(J436="","",MATCH(J436,Base!$P$5:$P$2004,0))</f>
        <v/>
      </c>
    </row>
    <row r="437" customFormat="false" ht="15" hidden="false" customHeight="false" outlineLevel="0" collapsed="false">
      <c r="A437" s="67" t="str">
        <f aca="false">IF($K437="","",ROW()-5)</f>
        <v/>
      </c>
      <c r="B437" s="68" t="str">
        <f aca="false">IF($K437="","",INDEX(Base!$E$5:$E$2004,$K437))</f>
        <v/>
      </c>
      <c r="C437" s="69" t="str">
        <f aca="false">IF($K437="","",B437)</f>
        <v/>
      </c>
      <c r="D437" s="70" t="str">
        <f aca="false">IF($K437="","",INDEX(Base!$F$5:$F$2004,$K437))</f>
        <v/>
      </c>
      <c r="E437" s="70" t="str">
        <f aca="false">IF($K437="","",INDEX(Base!$G$5:$G$2004,$K437))</f>
        <v/>
      </c>
      <c r="F437" s="71" t="str">
        <f aca="false">IF($K437="","",INDEX(Base!$H$5:$H$2004,$K437))</f>
        <v/>
      </c>
      <c r="G437" s="71" t="str">
        <f aca="false">IF($K437="","",INDEX(Base!$I$5:$I$2004,$K437))</f>
        <v/>
      </c>
      <c r="H437" s="70" t="str">
        <f aca="false">IF($K437="","",INDEX(Base!$J$5:$J$2004,$K437))</f>
        <v/>
      </c>
      <c r="I437" s="71" t="str">
        <f aca="false">IF($K437="","",INDEX(Base!$L$5:$L$2004,$K437))</f>
        <v/>
      </c>
      <c r="J437" s="72" t="str">
        <f aca="false">IFERROR(SMALL(Base!$P$5:$P$2004,ROW()-5),"")</f>
        <v/>
      </c>
      <c r="K437" s="72" t="str">
        <f aca="false">IF(J437="","",MATCH(J437,Base!$P$5:$P$2004,0))</f>
        <v/>
      </c>
    </row>
    <row r="438" customFormat="false" ht="15" hidden="false" customHeight="false" outlineLevel="0" collapsed="false">
      <c r="A438" s="67" t="str">
        <f aca="false">IF($K438="","",ROW()-5)</f>
        <v/>
      </c>
      <c r="B438" s="68" t="str">
        <f aca="false">IF($K438="","",INDEX(Base!$E$5:$E$2004,$K438))</f>
        <v/>
      </c>
      <c r="C438" s="69" t="str">
        <f aca="false">IF($K438="","",B438)</f>
        <v/>
      </c>
      <c r="D438" s="70" t="str">
        <f aca="false">IF($K438="","",INDEX(Base!$F$5:$F$2004,$K438))</f>
        <v/>
      </c>
      <c r="E438" s="70" t="str">
        <f aca="false">IF($K438="","",INDEX(Base!$G$5:$G$2004,$K438))</f>
        <v/>
      </c>
      <c r="F438" s="71" t="str">
        <f aca="false">IF($K438="","",INDEX(Base!$H$5:$H$2004,$K438))</f>
        <v/>
      </c>
      <c r="G438" s="71" t="str">
        <f aca="false">IF($K438="","",INDEX(Base!$I$5:$I$2004,$K438))</f>
        <v/>
      </c>
      <c r="H438" s="70" t="str">
        <f aca="false">IF($K438="","",INDEX(Base!$J$5:$J$2004,$K438))</f>
        <v/>
      </c>
      <c r="I438" s="71" t="str">
        <f aca="false">IF($K438="","",INDEX(Base!$L$5:$L$2004,$K438))</f>
        <v/>
      </c>
      <c r="J438" s="72" t="str">
        <f aca="false">IFERROR(SMALL(Base!$P$5:$P$2004,ROW()-5),"")</f>
        <v/>
      </c>
      <c r="K438" s="72" t="str">
        <f aca="false">IF(J438="","",MATCH(J438,Base!$P$5:$P$2004,0))</f>
        <v/>
      </c>
    </row>
    <row r="439" customFormat="false" ht="15" hidden="false" customHeight="false" outlineLevel="0" collapsed="false">
      <c r="A439" s="67" t="str">
        <f aca="false">IF($K439="","",ROW()-5)</f>
        <v/>
      </c>
      <c r="B439" s="68" t="str">
        <f aca="false">IF($K439="","",INDEX(Base!$E$5:$E$2004,$K439))</f>
        <v/>
      </c>
      <c r="C439" s="69" t="str">
        <f aca="false">IF($K439="","",B439)</f>
        <v/>
      </c>
      <c r="D439" s="70" t="str">
        <f aca="false">IF($K439="","",INDEX(Base!$F$5:$F$2004,$K439))</f>
        <v/>
      </c>
      <c r="E439" s="70" t="str">
        <f aca="false">IF($K439="","",INDEX(Base!$G$5:$G$2004,$K439))</f>
        <v/>
      </c>
      <c r="F439" s="71" t="str">
        <f aca="false">IF($K439="","",INDEX(Base!$H$5:$H$2004,$K439))</f>
        <v/>
      </c>
      <c r="G439" s="71" t="str">
        <f aca="false">IF($K439="","",INDEX(Base!$I$5:$I$2004,$K439))</f>
        <v/>
      </c>
      <c r="H439" s="70" t="str">
        <f aca="false">IF($K439="","",INDEX(Base!$J$5:$J$2004,$K439))</f>
        <v/>
      </c>
      <c r="I439" s="71" t="str">
        <f aca="false">IF($K439="","",INDEX(Base!$L$5:$L$2004,$K439))</f>
        <v/>
      </c>
      <c r="J439" s="72" t="str">
        <f aca="false">IFERROR(SMALL(Base!$P$5:$P$2004,ROW()-5),"")</f>
        <v/>
      </c>
      <c r="K439" s="72" t="str">
        <f aca="false">IF(J439="","",MATCH(J439,Base!$P$5:$P$2004,0))</f>
        <v/>
      </c>
    </row>
    <row r="440" customFormat="false" ht="15" hidden="false" customHeight="false" outlineLevel="0" collapsed="false">
      <c r="A440" s="67" t="str">
        <f aca="false">IF($K440="","",ROW()-5)</f>
        <v/>
      </c>
      <c r="B440" s="68" t="str">
        <f aca="false">IF($K440="","",INDEX(Base!$E$5:$E$2004,$K440))</f>
        <v/>
      </c>
      <c r="C440" s="69" t="str">
        <f aca="false">IF($K440="","",B440)</f>
        <v/>
      </c>
      <c r="D440" s="70" t="str">
        <f aca="false">IF($K440="","",INDEX(Base!$F$5:$F$2004,$K440))</f>
        <v/>
      </c>
      <c r="E440" s="70" t="str">
        <f aca="false">IF($K440="","",INDEX(Base!$G$5:$G$2004,$K440))</f>
        <v/>
      </c>
      <c r="F440" s="71" t="str">
        <f aca="false">IF($K440="","",INDEX(Base!$H$5:$H$2004,$K440))</f>
        <v/>
      </c>
      <c r="G440" s="71" t="str">
        <f aca="false">IF($K440="","",INDEX(Base!$I$5:$I$2004,$K440))</f>
        <v/>
      </c>
      <c r="H440" s="70" t="str">
        <f aca="false">IF($K440="","",INDEX(Base!$J$5:$J$2004,$K440))</f>
        <v/>
      </c>
      <c r="I440" s="71" t="str">
        <f aca="false">IF($K440="","",INDEX(Base!$L$5:$L$2004,$K440))</f>
        <v/>
      </c>
      <c r="J440" s="72" t="str">
        <f aca="false">IFERROR(SMALL(Base!$P$5:$P$2004,ROW()-5),"")</f>
        <v/>
      </c>
      <c r="K440" s="72" t="str">
        <f aca="false">IF(J440="","",MATCH(J440,Base!$P$5:$P$2004,0))</f>
        <v/>
      </c>
    </row>
    <row r="441" customFormat="false" ht="15" hidden="false" customHeight="false" outlineLevel="0" collapsed="false">
      <c r="A441" s="67" t="str">
        <f aca="false">IF($K441="","",ROW()-5)</f>
        <v/>
      </c>
      <c r="B441" s="68" t="str">
        <f aca="false">IF($K441="","",INDEX(Base!$E$5:$E$2004,$K441))</f>
        <v/>
      </c>
      <c r="C441" s="69" t="str">
        <f aca="false">IF($K441="","",B441)</f>
        <v/>
      </c>
      <c r="D441" s="70" t="str">
        <f aca="false">IF($K441="","",INDEX(Base!$F$5:$F$2004,$K441))</f>
        <v/>
      </c>
      <c r="E441" s="70" t="str">
        <f aca="false">IF($K441="","",INDEX(Base!$G$5:$G$2004,$K441))</f>
        <v/>
      </c>
      <c r="F441" s="71" t="str">
        <f aca="false">IF($K441="","",INDEX(Base!$H$5:$H$2004,$K441))</f>
        <v/>
      </c>
      <c r="G441" s="71" t="str">
        <f aca="false">IF($K441="","",INDEX(Base!$I$5:$I$2004,$K441))</f>
        <v/>
      </c>
      <c r="H441" s="70" t="str">
        <f aca="false">IF($K441="","",INDEX(Base!$J$5:$J$2004,$K441))</f>
        <v/>
      </c>
      <c r="I441" s="71" t="str">
        <f aca="false">IF($K441="","",INDEX(Base!$L$5:$L$2004,$K441))</f>
        <v/>
      </c>
      <c r="J441" s="72" t="str">
        <f aca="false">IFERROR(SMALL(Base!$P$5:$P$2004,ROW()-5),"")</f>
        <v/>
      </c>
      <c r="K441" s="72" t="str">
        <f aca="false">IF(J441="","",MATCH(J441,Base!$P$5:$P$2004,0))</f>
        <v/>
      </c>
    </row>
    <row r="442" customFormat="false" ht="15" hidden="false" customHeight="false" outlineLevel="0" collapsed="false">
      <c r="A442" s="67" t="str">
        <f aca="false">IF($K442="","",ROW()-5)</f>
        <v/>
      </c>
      <c r="B442" s="68" t="str">
        <f aca="false">IF($K442="","",INDEX(Base!$E$5:$E$2004,$K442))</f>
        <v/>
      </c>
      <c r="C442" s="69" t="str">
        <f aca="false">IF($K442="","",B442)</f>
        <v/>
      </c>
      <c r="D442" s="70" t="str">
        <f aca="false">IF($K442="","",INDEX(Base!$F$5:$F$2004,$K442))</f>
        <v/>
      </c>
      <c r="E442" s="70" t="str">
        <f aca="false">IF($K442="","",INDEX(Base!$G$5:$G$2004,$K442))</f>
        <v/>
      </c>
      <c r="F442" s="71" t="str">
        <f aca="false">IF($K442="","",INDEX(Base!$H$5:$H$2004,$K442))</f>
        <v/>
      </c>
      <c r="G442" s="71" t="str">
        <f aca="false">IF($K442="","",INDEX(Base!$I$5:$I$2004,$K442))</f>
        <v/>
      </c>
      <c r="H442" s="70" t="str">
        <f aca="false">IF($K442="","",INDEX(Base!$J$5:$J$2004,$K442))</f>
        <v/>
      </c>
      <c r="I442" s="71" t="str">
        <f aca="false">IF($K442="","",INDEX(Base!$L$5:$L$2004,$K442))</f>
        <v/>
      </c>
      <c r="J442" s="72" t="str">
        <f aca="false">IFERROR(SMALL(Base!$P$5:$P$2004,ROW()-5),"")</f>
        <v/>
      </c>
      <c r="K442" s="72" t="str">
        <f aca="false">IF(J442="","",MATCH(J442,Base!$P$5:$P$2004,0))</f>
        <v/>
      </c>
    </row>
    <row r="443" customFormat="false" ht="15" hidden="false" customHeight="false" outlineLevel="0" collapsed="false">
      <c r="A443" s="67" t="str">
        <f aca="false">IF($K443="","",ROW()-5)</f>
        <v/>
      </c>
      <c r="B443" s="68" t="str">
        <f aca="false">IF($K443="","",INDEX(Base!$E$5:$E$2004,$K443))</f>
        <v/>
      </c>
      <c r="C443" s="69" t="str">
        <f aca="false">IF($K443="","",B443)</f>
        <v/>
      </c>
      <c r="D443" s="70" t="str">
        <f aca="false">IF($K443="","",INDEX(Base!$F$5:$F$2004,$K443))</f>
        <v/>
      </c>
      <c r="E443" s="70" t="str">
        <f aca="false">IF($K443="","",INDEX(Base!$G$5:$G$2004,$K443))</f>
        <v/>
      </c>
      <c r="F443" s="71" t="str">
        <f aca="false">IF($K443="","",INDEX(Base!$H$5:$H$2004,$K443))</f>
        <v/>
      </c>
      <c r="G443" s="71" t="str">
        <f aca="false">IF($K443="","",INDEX(Base!$I$5:$I$2004,$K443))</f>
        <v/>
      </c>
      <c r="H443" s="70" t="str">
        <f aca="false">IF($K443="","",INDEX(Base!$J$5:$J$2004,$K443))</f>
        <v/>
      </c>
      <c r="I443" s="71" t="str">
        <f aca="false">IF($K443="","",INDEX(Base!$L$5:$L$2004,$K443))</f>
        <v/>
      </c>
      <c r="J443" s="72" t="str">
        <f aca="false">IFERROR(SMALL(Base!$P$5:$P$2004,ROW()-5),"")</f>
        <v/>
      </c>
      <c r="K443" s="72" t="str">
        <f aca="false">IF(J443="","",MATCH(J443,Base!$P$5:$P$2004,0))</f>
        <v/>
      </c>
    </row>
    <row r="444" customFormat="false" ht="15" hidden="false" customHeight="false" outlineLevel="0" collapsed="false">
      <c r="A444" s="67" t="str">
        <f aca="false">IF($K444="","",ROW()-5)</f>
        <v/>
      </c>
      <c r="B444" s="68" t="str">
        <f aca="false">IF($K444="","",INDEX(Base!$E$5:$E$2004,$K444))</f>
        <v/>
      </c>
      <c r="C444" s="69" t="str">
        <f aca="false">IF($K444="","",B444)</f>
        <v/>
      </c>
      <c r="D444" s="70" t="str">
        <f aca="false">IF($K444="","",INDEX(Base!$F$5:$F$2004,$K444))</f>
        <v/>
      </c>
      <c r="E444" s="70" t="str">
        <f aca="false">IF($K444="","",INDEX(Base!$G$5:$G$2004,$K444))</f>
        <v/>
      </c>
      <c r="F444" s="71" t="str">
        <f aca="false">IF($K444="","",INDEX(Base!$H$5:$H$2004,$K444))</f>
        <v/>
      </c>
      <c r="G444" s="71" t="str">
        <f aca="false">IF($K444="","",INDEX(Base!$I$5:$I$2004,$K444))</f>
        <v/>
      </c>
      <c r="H444" s="70" t="str">
        <f aca="false">IF($K444="","",INDEX(Base!$J$5:$J$2004,$K444))</f>
        <v/>
      </c>
      <c r="I444" s="71" t="str">
        <f aca="false">IF($K444="","",INDEX(Base!$L$5:$L$2004,$K444))</f>
        <v/>
      </c>
      <c r="J444" s="72" t="str">
        <f aca="false">IFERROR(SMALL(Base!$P$5:$P$2004,ROW()-5),"")</f>
        <v/>
      </c>
      <c r="K444" s="72" t="str">
        <f aca="false">IF(J444="","",MATCH(J444,Base!$P$5:$P$2004,0))</f>
        <v/>
      </c>
    </row>
    <row r="445" customFormat="false" ht="15" hidden="false" customHeight="false" outlineLevel="0" collapsed="false">
      <c r="A445" s="67" t="str">
        <f aca="false">IF($K445="","",ROW()-5)</f>
        <v/>
      </c>
      <c r="B445" s="68" t="str">
        <f aca="false">IF($K445="","",INDEX(Base!$E$5:$E$2004,$K445))</f>
        <v/>
      </c>
      <c r="C445" s="69" t="str">
        <f aca="false">IF($K445="","",B445)</f>
        <v/>
      </c>
      <c r="D445" s="70" t="str">
        <f aca="false">IF($K445="","",INDEX(Base!$F$5:$F$2004,$K445))</f>
        <v/>
      </c>
      <c r="E445" s="70" t="str">
        <f aca="false">IF($K445="","",INDEX(Base!$G$5:$G$2004,$K445))</f>
        <v/>
      </c>
      <c r="F445" s="71" t="str">
        <f aca="false">IF($K445="","",INDEX(Base!$H$5:$H$2004,$K445))</f>
        <v/>
      </c>
      <c r="G445" s="71" t="str">
        <f aca="false">IF($K445="","",INDEX(Base!$I$5:$I$2004,$K445))</f>
        <v/>
      </c>
      <c r="H445" s="70" t="str">
        <f aca="false">IF($K445="","",INDEX(Base!$J$5:$J$2004,$K445))</f>
        <v/>
      </c>
      <c r="I445" s="71" t="str">
        <f aca="false">IF($K445="","",INDEX(Base!$L$5:$L$2004,$K445))</f>
        <v/>
      </c>
      <c r="J445" s="72" t="str">
        <f aca="false">IFERROR(SMALL(Base!$P$5:$P$2004,ROW()-5),"")</f>
        <v/>
      </c>
      <c r="K445" s="72" t="str">
        <f aca="false">IF(J445="","",MATCH(J445,Base!$P$5:$P$2004,0))</f>
        <v/>
      </c>
    </row>
    <row r="446" customFormat="false" ht="15" hidden="false" customHeight="false" outlineLevel="0" collapsed="false">
      <c r="A446" s="67" t="str">
        <f aca="false">IF($K446="","",ROW()-5)</f>
        <v/>
      </c>
      <c r="B446" s="68" t="str">
        <f aca="false">IF($K446="","",INDEX(Base!$E$5:$E$2004,$K446))</f>
        <v/>
      </c>
      <c r="C446" s="69" t="str">
        <f aca="false">IF($K446="","",B446)</f>
        <v/>
      </c>
      <c r="D446" s="70" t="str">
        <f aca="false">IF($K446="","",INDEX(Base!$F$5:$F$2004,$K446))</f>
        <v/>
      </c>
      <c r="E446" s="70" t="str">
        <f aca="false">IF($K446="","",INDEX(Base!$G$5:$G$2004,$K446))</f>
        <v/>
      </c>
      <c r="F446" s="71" t="str">
        <f aca="false">IF($K446="","",INDEX(Base!$H$5:$H$2004,$K446))</f>
        <v/>
      </c>
      <c r="G446" s="71" t="str">
        <f aca="false">IF($K446="","",INDEX(Base!$I$5:$I$2004,$K446))</f>
        <v/>
      </c>
      <c r="H446" s="70" t="str">
        <f aca="false">IF($K446="","",INDEX(Base!$J$5:$J$2004,$K446))</f>
        <v/>
      </c>
      <c r="I446" s="71" t="str">
        <f aca="false">IF($K446="","",INDEX(Base!$L$5:$L$2004,$K446))</f>
        <v/>
      </c>
      <c r="J446" s="72" t="str">
        <f aca="false">IFERROR(SMALL(Base!$P$5:$P$2004,ROW()-5),"")</f>
        <v/>
      </c>
      <c r="K446" s="72" t="str">
        <f aca="false">IF(J446="","",MATCH(J446,Base!$P$5:$P$2004,0))</f>
        <v/>
      </c>
    </row>
    <row r="447" customFormat="false" ht="15" hidden="false" customHeight="false" outlineLevel="0" collapsed="false">
      <c r="A447" s="67" t="str">
        <f aca="false">IF($K447="","",ROW()-5)</f>
        <v/>
      </c>
      <c r="B447" s="68" t="str">
        <f aca="false">IF($K447="","",INDEX(Base!$E$5:$E$2004,$K447))</f>
        <v/>
      </c>
      <c r="C447" s="69" t="str">
        <f aca="false">IF($K447="","",B447)</f>
        <v/>
      </c>
      <c r="D447" s="70" t="str">
        <f aca="false">IF($K447="","",INDEX(Base!$F$5:$F$2004,$K447))</f>
        <v/>
      </c>
      <c r="E447" s="70" t="str">
        <f aca="false">IF($K447="","",INDEX(Base!$G$5:$G$2004,$K447))</f>
        <v/>
      </c>
      <c r="F447" s="71" t="str">
        <f aca="false">IF($K447="","",INDEX(Base!$H$5:$H$2004,$K447))</f>
        <v/>
      </c>
      <c r="G447" s="71" t="str">
        <f aca="false">IF($K447="","",INDEX(Base!$I$5:$I$2004,$K447))</f>
        <v/>
      </c>
      <c r="H447" s="70" t="str">
        <f aca="false">IF($K447="","",INDEX(Base!$J$5:$J$2004,$K447))</f>
        <v/>
      </c>
      <c r="I447" s="71" t="str">
        <f aca="false">IF($K447="","",INDEX(Base!$L$5:$L$2004,$K447))</f>
        <v/>
      </c>
      <c r="J447" s="72" t="str">
        <f aca="false">IFERROR(SMALL(Base!$P$5:$P$2004,ROW()-5),"")</f>
        <v/>
      </c>
      <c r="K447" s="72" t="str">
        <f aca="false">IF(J447="","",MATCH(J447,Base!$P$5:$P$2004,0))</f>
        <v/>
      </c>
    </row>
    <row r="448" customFormat="false" ht="15" hidden="false" customHeight="false" outlineLevel="0" collapsed="false">
      <c r="A448" s="67" t="str">
        <f aca="false">IF($K448="","",ROW()-5)</f>
        <v/>
      </c>
      <c r="B448" s="68" t="str">
        <f aca="false">IF($K448="","",INDEX(Base!$E$5:$E$2004,$K448))</f>
        <v/>
      </c>
      <c r="C448" s="69" t="str">
        <f aca="false">IF($K448="","",B448)</f>
        <v/>
      </c>
      <c r="D448" s="70" t="str">
        <f aca="false">IF($K448="","",INDEX(Base!$F$5:$F$2004,$K448))</f>
        <v/>
      </c>
      <c r="E448" s="70" t="str">
        <f aca="false">IF($K448="","",INDEX(Base!$G$5:$G$2004,$K448))</f>
        <v/>
      </c>
      <c r="F448" s="71" t="str">
        <f aca="false">IF($K448="","",INDEX(Base!$H$5:$H$2004,$K448))</f>
        <v/>
      </c>
      <c r="G448" s="71" t="str">
        <f aca="false">IF($K448="","",INDEX(Base!$I$5:$I$2004,$K448))</f>
        <v/>
      </c>
      <c r="H448" s="70" t="str">
        <f aca="false">IF($K448="","",INDEX(Base!$J$5:$J$2004,$K448))</f>
        <v/>
      </c>
      <c r="I448" s="71" t="str">
        <f aca="false">IF($K448="","",INDEX(Base!$L$5:$L$2004,$K448))</f>
        <v/>
      </c>
      <c r="J448" s="72" t="str">
        <f aca="false">IFERROR(SMALL(Base!$P$5:$P$2004,ROW()-5),"")</f>
        <v/>
      </c>
      <c r="K448" s="72" t="str">
        <f aca="false">IF(J448="","",MATCH(J448,Base!$P$5:$P$2004,0))</f>
        <v/>
      </c>
    </row>
    <row r="449" customFormat="false" ht="15" hidden="false" customHeight="false" outlineLevel="0" collapsed="false">
      <c r="A449" s="67" t="str">
        <f aca="false">IF($K449="","",ROW()-5)</f>
        <v/>
      </c>
      <c r="B449" s="68" t="str">
        <f aca="false">IF($K449="","",INDEX(Base!$E$5:$E$2004,$K449))</f>
        <v/>
      </c>
      <c r="C449" s="69" t="str">
        <f aca="false">IF($K449="","",B449)</f>
        <v/>
      </c>
      <c r="D449" s="70" t="str">
        <f aca="false">IF($K449="","",INDEX(Base!$F$5:$F$2004,$K449))</f>
        <v/>
      </c>
      <c r="E449" s="70" t="str">
        <f aca="false">IF($K449="","",INDEX(Base!$G$5:$G$2004,$K449))</f>
        <v/>
      </c>
      <c r="F449" s="71" t="str">
        <f aca="false">IF($K449="","",INDEX(Base!$H$5:$H$2004,$K449))</f>
        <v/>
      </c>
      <c r="G449" s="71" t="str">
        <f aca="false">IF($K449="","",INDEX(Base!$I$5:$I$2004,$K449))</f>
        <v/>
      </c>
      <c r="H449" s="70" t="str">
        <f aca="false">IF($K449="","",INDEX(Base!$J$5:$J$2004,$K449))</f>
        <v/>
      </c>
      <c r="I449" s="71" t="str">
        <f aca="false">IF($K449="","",INDEX(Base!$L$5:$L$2004,$K449))</f>
        <v/>
      </c>
      <c r="J449" s="72" t="str">
        <f aca="false">IFERROR(SMALL(Base!$P$5:$P$2004,ROW()-5),"")</f>
        <v/>
      </c>
      <c r="K449" s="72" t="str">
        <f aca="false">IF(J449="","",MATCH(J449,Base!$P$5:$P$2004,0))</f>
        <v/>
      </c>
    </row>
    <row r="450" customFormat="false" ht="15" hidden="false" customHeight="false" outlineLevel="0" collapsed="false">
      <c r="A450" s="67" t="str">
        <f aca="false">IF($K450="","",ROW()-5)</f>
        <v/>
      </c>
      <c r="B450" s="68" t="str">
        <f aca="false">IF($K450="","",INDEX(Base!$E$5:$E$2004,$K450))</f>
        <v/>
      </c>
      <c r="C450" s="69" t="str">
        <f aca="false">IF($K450="","",B450)</f>
        <v/>
      </c>
      <c r="D450" s="70" t="str">
        <f aca="false">IF($K450="","",INDEX(Base!$F$5:$F$2004,$K450))</f>
        <v/>
      </c>
      <c r="E450" s="70" t="str">
        <f aca="false">IF($K450="","",INDEX(Base!$G$5:$G$2004,$K450))</f>
        <v/>
      </c>
      <c r="F450" s="71" t="str">
        <f aca="false">IF($K450="","",INDEX(Base!$H$5:$H$2004,$K450))</f>
        <v/>
      </c>
      <c r="G450" s="71" t="str">
        <f aca="false">IF($K450="","",INDEX(Base!$I$5:$I$2004,$K450))</f>
        <v/>
      </c>
      <c r="H450" s="70" t="str">
        <f aca="false">IF($K450="","",INDEX(Base!$J$5:$J$2004,$K450))</f>
        <v/>
      </c>
      <c r="I450" s="71" t="str">
        <f aca="false">IF($K450="","",INDEX(Base!$L$5:$L$2004,$K450))</f>
        <v/>
      </c>
      <c r="J450" s="72" t="str">
        <f aca="false">IFERROR(SMALL(Base!$P$5:$P$2004,ROW()-5),"")</f>
        <v/>
      </c>
      <c r="K450" s="72" t="str">
        <f aca="false">IF(J450="","",MATCH(J450,Base!$P$5:$P$2004,0))</f>
        <v/>
      </c>
    </row>
    <row r="451" customFormat="false" ht="15" hidden="false" customHeight="false" outlineLevel="0" collapsed="false">
      <c r="A451" s="67" t="str">
        <f aca="false">IF($K451="","",ROW()-5)</f>
        <v/>
      </c>
      <c r="B451" s="68" t="str">
        <f aca="false">IF($K451="","",INDEX(Base!$E$5:$E$2004,$K451))</f>
        <v/>
      </c>
      <c r="C451" s="69" t="str">
        <f aca="false">IF($K451="","",B451)</f>
        <v/>
      </c>
      <c r="D451" s="70" t="str">
        <f aca="false">IF($K451="","",INDEX(Base!$F$5:$F$2004,$K451))</f>
        <v/>
      </c>
      <c r="E451" s="70" t="str">
        <f aca="false">IF($K451="","",INDEX(Base!$G$5:$G$2004,$K451))</f>
        <v/>
      </c>
      <c r="F451" s="71" t="str">
        <f aca="false">IF($K451="","",INDEX(Base!$H$5:$H$2004,$K451))</f>
        <v/>
      </c>
      <c r="G451" s="71" t="str">
        <f aca="false">IF($K451="","",INDEX(Base!$I$5:$I$2004,$K451))</f>
        <v/>
      </c>
      <c r="H451" s="70" t="str">
        <f aca="false">IF($K451="","",INDEX(Base!$J$5:$J$2004,$K451))</f>
        <v/>
      </c>
      <c r="I451" s="71" t="str">
        <f aca="false">IF($K451="","",INDEX(Base!$L$5:$L$2004,$K451))</f>
        <v/>
      </c>
      <c r="J451" s="72" t="str">
        <f aca="false">IFERROR(SMALL(Base!$P$5:$P$2004,ROW()-5),"")</f>
        <v/>
      </c>
      <c r="K451" s="72" t="str">
        <f aca="false">IF(J451="","",MATCH(J451,Base!$P$5:$P$2004,0))</f>
        <v/>
      </c>
    </row>
    <row r="452" customFormat="false" ht="15" hidden="false" customHeight="false" outlineLevel="0" collapsed="false">
      <c r="A452" s="67" t="str">
        <f aca="false">IF($K452="","",ROW()-5)</f>
        <v/>
      </c>
      <c r="B452" s="68" t="str">
        <f aca="false">IF($K452="","",INDEX(Base!$E$5:$E$2004,$K452))</f>
        <v/>
      </c>
      <c r="C452" s="69" t="str">
        <f aca="false">IF($K452="","",B452)</f>
        <v/>
      </c>
      <c r="D452" s="70" t="str">
        <f aca="false">IF($K452="","",INDEX(Base!$F$5:$F$2004,$K452))</f>
        <v/>
      </c>
      <c r="E452" s="70" t="str">
        <f aca="false">IF($K452="","",INDEX(Base!$G$5:$G$2004,$K452))</f>
        <v/>
      </c>
      <c r="F452" s="71" t="str">
        <f aca="false">IF($K452="","",INDEX(Base!$H$5:$H$2004,$K452))</f>
        <v/>
      </c>
      <c r="G452" s="71" t="str">
        <f aca="false">IF($K452="","",INDEX(Base!$I$5:$I$2004,$K452))</f>
        <v/>
      </c>
      <c r="H452" s="70" t="str">
        <f aca="false">IF($K452="","",INDEX(Base!$J$5:$J$2004,$K452))</f>
        <v/>
      </c>
      <c r="I452" s="71" t="str">
        <f aca="false">IF($K452="","",INDEX(Base!$L$5:$L$2004,$K452))</f>
        <v/>
      </c>
      <c r="J452" s="72" t="str">
        <f aca="false">IFERROR(SMALL(Base!$P$5:$P$2004,ROW()-5),"")</f>
        <v/>
      </c>
      <c r="K452" s="72" t="str">
        <f aca="false">IF(J452="","",MATCH(J452,Base!$P$5:$P$2004,0))</f>
        <v/>
      </c>
    </row>
    <row r="453" customFormat="false" ht="15" hidden="false" customHeight="false" outlineLevel="0" collapsed="false">
      <c r="A453" s="67" t="str">
        <f aca="false">IF($K453="","",ROW()-5)</f>
        <v/>
      </c>
      <c r="B453" s="68" t="str">
        <f aca="false">IF($K453="","",INDEX(Base!$E$5:$E$2004,$K453))</f>
        <v/>
      </c>
      <c r="C453" s="69" t="str">
        <f aca="false">IF($K453="","",B453)</f>
        <v/>
      </c>
      <c r="D453" s="70" t="str">
        <f aca="false">IF($K453="","",INDEX(Base!$F$5:$F$2004,$K453))</f>
        <v/>
      </c>
      <c r="E453" s="70" t="str">
        <f aca="false">IF($K453="","",INDEX(Base!$G$5:$G$2004,$K453))</f>
        <v/>
      </c>
      <c r="F453" s="71" t="str">
        <f aca="false">IF($K453="","",INDEX(Base!$H$5:$H$2004,$K453))</f>
        <v/>
      </c>
      <c r="G453" s="71" t="str">
        <f aca="false">IF($K453="","",INDEX(Base!$I$5:$I$2004,$K453))</f>
        <v/>
      </c>
      <c r="H453" s="70" t="str">
        <f aca="false">IF($K453="","",INDEX(Base!$J$5:$J$2004,$K453))</f>
        <v/>
      </c>
      <c r="I453" s="71" t="str">
        <f aca="false">IF($K453="","",INDEX(Base!$L$5:$L$2004,$K453))</f>
        <v/>
      </c>
      <c r="J453" s="72" t="str">
        <f aca="false">IFERROR(SMALL(Base!$P$5:$P$2004,ROW()-5),"")</f>
        <v/>
      </c>
      <c r="K453" s="72" t="str">
        <f aca="false">IF(J453="","",MATCH(J453,Base!$P$5:$P$2004,0))</f>
        <v/>
      </c>
    </row>
    <row r="454" customFormat="false" ht="15" hidden="false" customHeight="false" outlineLevel="0" collapsed="false">
      <c r="A454" s="67" t="str">
        <f aca="false">IF($K454="","",ROW()-5)</f>
        <v/>
      </c>
      <c r="B454" s="68" t="str">
        <f aca="false">IF($K454="","",INDEX(Base!$E$5:$E$2004,$K454))</f>
        <v/>
      </c>
      <c r="C454" s="69" t="str">
        <f aca="false">IF($K454="","",B454)</f>
        <v/>
      </c>
      <c r="D454" s="70" t="str">
        <f aca="false">IF($K454="","",INDEX(Base!$F$5:$F$2004,$K454))</f>
        <v/>
      </c>
      <c r="E454" s="70" t="str">
        <f aca="false">IF($K454="","",INDEX(Base!$G$5:$G$2004,$K454))</f>
        <v/>
      </c>
      <c r="F454" s="71" t="str">
        <f aca="false">IF($K454="","",INDEX(Base!$H$5:$H$2004,$K454))</f>
        <v/>
      </c>
      <c r="G454" s="71" t="str">
        <f aca="false">IF($K454="","",INDEX(Base!$I$5:$I$2004,$K454))</f>
        <v/>
      </c>
      <c r="H454" s="70" t="str">
        <f aca="false">IF($K454="","",INDEX(Base!$J$5:$J$2004,$K454))</f>
        <v/>
      </c>
      <c r="I454" s="71" t="str">
        <f aca="false">IF($K454="","",INDEX(Base!$L$5:$L$2004,$K454))</f>
        <v/>
      </c>
      <c r="J454" s="72" t="str">
        <f aca="false">IFERROR(SMALL(Base!$P$5:$P$2004,ROW()-5),"")</f>
        <v/>
      </c>
      <c r="K454" s="72" t="str">
        <f aca="false">IF(J454="","",MATCH(J454,Base!$P$5:$P$2004,0))</f>
        <v/>
      </c>
    </row>
    <row r="455" customFormat="false" ht="15" hidden="false" customHeight="false" outlineLevel="0" collapsed="false">
      <c r="A455" s="67" t="str">
        <f aca="false">IF($K455="","",ROW()-5)</f>
        <v/>
      </c>
      <c r="B455" s="68" t="str">
        <f aca="false">IF($K455="","",INDEX(Base!$E$5:$E$2004,$K455))</f>
        <v/>
      </c>
      <c r="C455" s="69" t="str">
        <f aca="false">IF($K455="","",B455)</f>
        <v/>
      </c>
      <c r="D455" s="70" t="str">
        <f aca="false">IF($K455="","",INDEX(Base!$F$5:$F$2004,$K455))</f>
        <v/>
      </c>
      <c r="E455" s="70" t="str">
        <f aca="false">IF($K455="","",INDEX(Base!$G$5:$G$2004,$K455))</f>
        <v/>
      </c>
      <c r="F455" s="71" t="str">
        <f aca="false">IF($K455="","",INDEX(Base!$H$5:$H$2004,$K455))</f>
        <v/>
      </c>
      <c r="G455" s="71" t="str">
        <f aca="false">IF($K455="","",INDEX(Base!$I$5:$I$2004,$K455))</f>
        <v/>
      </c>
      <c r="H455" s="70" t="str">
        <f aca="false">IF($K455="","",INDEX(Base!$J$5:$J$2004,$K455))</f>
        <v/>
      </c>
      <c r="I455" s="71" t="str">
        <f aca="false">IF($K455="","",INDEX(Base!$L$5:$L$2004,$K455))</f>
        <v/>
      </c>
      <c r="J455" s="72" t="str">
        <f aca="false">IFERROR(SMALL(Base!$P$5:$P$2004,ROW()-5),"")</f>
        <v/>
      </c>
      <c r="K455" s="72" t="str">
        <f aca="false">IF(J455="","",MATCH(J455,Base!$P$5:$P$2004,0))</f>
        <v/>
      </c>
    </row>
    <row r="456" customFormat="false" ht="15" hidden="false" customHeight="false" outlineLevel="0" collapsed="false">
      <c r="A456" s="67" t="str">
        <f aca="false">IF($K456="","",ROW()-5)</f>
        <v/>
      </c>
      <c r="B456" s="68" t="str">
        <f aca="false">IF($K456="","",INDEX(Base!$E$5:$E$2004,$K456))</f>
        <v/>
      </c>
      <c r="C456" s="69" t="str">
        <f aca="false">IF($K456="","",B456)</f>
        <v/>
      </c>
      <c r="D456" s="70" t="str">
        <f aca="false">IF($K456="","",INDEX(Base!$F$5:$F$2004,$K456))</f>
        <v/>
      </c>
      <c r="E456" s="70" t="str">
        <f aca="false">IF($K456="","",INDEX(Base!$G$5:$G$2004,$K456))</f>
        <v/>
      </c>
      <c r="F456" s="71" t="str">
        <f aca="false">IF($K456="","",INDEX(Base!$H$5:$H$2004,$K456))</f>
        <v/>
      </c>
      <c r="G456" s="71" t="str">
        <f aca="false">IF($K456="","",INDEX(Base!$I$5:$I$2004,$K456))</f>
        <v/>
      </c>
      <c r="H456" s="70" t="str">
        <f aca="false">IF($K456="","",INDEX(Base!$J$5:$J$2004,$K456))</f>
        <v/>
      </c>
      <c r="I456" s="71" t="str">
        <f aca="false">IF($K456="","",INDEX(Base!$L$5:$L$2004,$K456))</f>
        <v/>
      </c>
      <c r="J456" s="72" t="str">
        <f aca="false">IFERROR(SMALL(Base!$P$5:$P$2004,ROW()-5),"")</f>
        <v/>
      </c>
      <c r="K456" s="72" t="str">
        <f aca="false">IF(J456="","",MATCH(J456,Base!$P$5:$P$2004,0))</f>
        <v/>
      </c>
    </row>
    <row r="457" customFormat="false" ht="15" hidden="false" customHeight="false" outlineLevel="0" collapsed="false">
      <c r="A457" s="67" t="str">
        <f aca="false">IF($K457="","",ROW()-5)</f>
        <v/>
      </c>
      <c r="B457" s="68" t="str">
        <f aca="false">IF($K457="","",INDEX(Base!$E$5:$E$2004,$K457))</f>
        <v/>
      </c>
      <c r="C457" s="69" t="str">
        <f aca="false">IF($K457="","",B457)</f>
        <v/>
      </c>
      <c r="D457" s="70" t="str">
        <f aca="false">IF($K457="","",INDEX(Base!$F$5:$F$2004,$K457))</f>
        <v/>
      </c>
      <c r="E457" s="70" t="str">
        <f aca="false">IF($K457="","",INDEX(Base!$G$5:$G$2004,$K457))</f>
        <v/>
      </c>
      <c r="F457" s="71" t="str">
        <f aca="false">IF($K457="","",INDEX(Base!$H$5:$H$2004,$K457))</f>
        <v/>
      </c>
      <c r="G457" s="71" t="str">
        <f aca="false">IF($K457="","",INDEX(Base!$I$5:$I$2004,$K457))</f>
        <v/>
      </c>
      <c r="H457" s="70" t="str">
        <f aca="false">IF($K457="","",INDEX(Base!$J$5:$J$2004,$K457))</f>
        <v/>
      </c>
      <c r="I457" s="71" t="str">
        <f aca="false">IF($K457="","",INDEX(Base!$L$5:$L$2004,$K457))</f>
        <v/>
      </c>
      <c r="J457" s="72" t="str">
        <f aca="false">IFERROR(SMALL(Base!$P$5:$P$2004,ROW()-5),"")</f>
        <v/>
      </c>
      <c r="K457" s="72" t="str">
        <f aca="false">IF(J457="","",MATCH(J457,Base!$P$5:$P$2004,0))</f>
        <v/>
      </c>
    </row>
    <row r="458" customFormat="false" ht="15" hidden="false" customHeight="false" outlineLevel="0" collapsed="false">
      <c r="A458" s="67" t="str">
        <f aca="false">IF($K458="","",ROW()-5)</f>
        <v/>
      </c>
      <c r="B458" s="68" t="str">
        <f aca="false">IF($K458="","",INDEX(Base!$E$5:$E$2004,$K458))</f>
        <v/>
      </c>
      <c r="C458" s="69" t="str">
        <f aca="false">IF($K458="","",B458)</f>
        <v/>
      </c>
      <c r="D458" s="70" t="str">
        <f aca="false">IF($K458="","",INDEX(Base!$F$5:$F$2004,$K458))</f>
        <v/>
      </c>
      <c r="E458" s="70" t="str">
        <f aca="false">IF($K458="","",INDEX(Base!$G$5:$G$2004,$K458))</f>
        <v/>
      </c>
      <c r="F458" s="71" t="str">
        <f aca="false">IF($K458="","",INDEX(Base!$H$5:$H$2004,$K458))</f>
        <v/>
      </c>
      <c r="G458" s="71" t="str">
        <f aca="false">IF($K458="","",INDEX(Base!$I$5:$I$2004,$K458))</f>
        <v/>
      </c>
      <c r="H458" s="70" t="str">
        <f aca="false">IF($K458="","",INDEX(Base!$J$5:$J$2004,$K458))</f>
        <v/>
      </c>
      <c r="I458" s="71" t="str">
        <f aca="false">IF($K458="","",INDEX(Base!$L$5:$L$2004,$K458))</f>
        <v/>
      </c>
      <c r="J458" s="72" t="str">
        <f aca="false">IFERROR(SMALL(Base!$P$5:$P$2004,ROW()-5),"")</f>
        <v/>
      </c>
      <c r="K458" s="72" t="str">
        <f aca="false">IF(J458="","",MATCH(J458,Base!$P$5:$P$2004,0))</f>
        <v/>
      </c>
    </row>
    <row r="459" customFormat="false" ht="15" hidden="false" customHeight="false" outlineLevel="0" collapsed="false">
      <c r="A459" s="67" t="str">
        <f aca="false">IF($K459="","",ROW()-5)</f>
        <v/>
      </c>
      <c r="B459" s="68" t="str">
        <f aca="false">IF($K459="","",INDEX(Base!$E$5:$E$2004,$K459))</f>
        <v/>
      </c>
      <c r="C459" s="69" t="str">
        <f aca="false">IF($K459="","",B459)</f>
        <v/>
      </c>
      <c r="D459" s="70" t="str">
        <f aca="false">IF($K459="","",INDEX(Base!$F$5:$F$2004,$K459))</f>
        <v/>
      </c>
      <c r="E459" s="70" t="str">
        <f aca="false">IF($K459="","",INDEX(Base!$G$5:$G$2004,$K459))</f>
        <v/>
      </c>
      <c r="F459" s="71" t="str">
        <f aca="false">IF($K459="","",INDEX(Base!$H$5:$H$2004,$K459))</f>
        <v/>
      </c>
      <c r="G459" s="71" t="str">
        <f aca="false">IF($K459="","",INDEX(Base!$I$5:$I$2004,$K459))</f>
        <v/>
      </c>
      <c r="H459" s="70" t="str">
        <f aca="false">IF($K459="","",INDEX(Base!$J$5:$J$2004,$K459))</f>
        <v/>
      </c>
      <c r="I459" s="71" t="str">
        <f aca="false">IF($K459="","",INDEX(Base!$L$5:$L$2004,$K459))</f>
        <v/>
      </c>
      <c r="J459" s="72" t="str">
        <f aca="false">IFERROR(SMALL(Base!$P$5:$P$2004,ROW()-5),"")</f>
        <v/>
      </c>
      <c r="K459" s="72" t="str">
        <f aca="false">IF(J459="","",MATCH(J459,Base!$P$5:$P$2004,0))</f>
        <v/>
      </c>
    </row>
    <row r="460" customFormat="false" ht="15" hidden="false" customHeight="false" outlineLevel="0" collapsed="false">
      <c r="A460" s="67" t="str">
        <f aca="false">IF($K460="","",ROW()-5)</f>
        <v/>
      </c>
      <c r="B460" s="68" t="str">
        <f aca="false">IF($K460="","",INDEX(Base!$E$5:$E$2004,$K460))</f>
        <v/>
      </c>
      <c r="C460" s="69" t="str">
        <f aca="false">IF($K460="","",B460)</f>
        <v/>
      </c>
      <c r="D460" s="70" t="str">
        <f aca="false">IF($K460="","",INDEX(Base!$F$5:$F$2004,$K460))</f>
        <v/>
      </c>
      <c r="E460" s="70" t="str">
        <f aca="false">IF($K460="","",INDEX(Base!$G$5:$G$2004,$K460))</f>
        <v/>
      </c>
      <c r="F460" s="71" t="str">
        <f aca="false">IF($K460="","",INDEX(Base!$H$5:$H$2004,$K460))</f>
        <v/>
      </c>
      <c r="G460" s="71" t="str">
        <f aca="false">IF($K460="","",INDEX(Base!$I$5:$I$2004,$K460))</f>
        <v/>
      </c>
      <c r="H460" s="70" t="str">
        <f aca="false">IF($K460="","",INDEX(Base!$J$5:$J$2004,$K460))</f>
        <v/>
      </c>
      <c r="I460" s="71" t="str">
        <f aca="false">IF($K460="","",INDEX(Base!$L$5:$L$2004,$K460))</f>
        <v/>
      </c>
      <c r="J460" s="72" t="str">
        <f aca="false">IFERROR(SMALL(Base!$P$5:$P$2004,ROW()-5),"")</f>
        <v/>
      </c>
      <c r="K460" s="72" t="str">
        <f aca="false">IF(J460="","",MATCH(J460,Base!$P$5:$P$2004,0))</f>
        <v/>
      </c>
    </row>
    <row r="461" customFormat="false" ht="15" hidden="false" customHeight="false" outlineLevel="0" collapsed="false">
      <c r="A461" s="67" t="str">
        <f aca="false">IF($K461="","",ROW()-5)</f>
        <v/>
      </c>
      <c r="B461" s="68" t="str">
        <f aca="false">IF($K461="","",INDEX(Base!$E$5:$E$2004,$K461))</f>
        <v/>
      </c>
      <c r="C461" s="69" t="str">
        <f aca="false">IF($K461="","",B461)</f>
        <v/>
      </c>
      <c r="D461" s="70" t="str">
        <f aca="false">IF($K461="","",INDEX(Base!$F$5:$F$2004,$K461))</f>
        <v/>
      </c>
      <c r="E461" s="70" t="str">
        <f aca="false">IF($K461="","",INDEX(Base!$G$5:$G$2004,$K461))</f>
        <v/>
      </c>
      <c r="F461" s="71" t="str">
        <f aca="false">IF($K461="","",INDEX(Base!$H$5:$H$2004,$K461))</f>
        <v/>
      </c>
      <c r="G461" s="71" t="str">
        <f aca="false">IF($K461="","",INDEX(Base!$I$5:$I$2004,$K461))</f>
        <v/>
      </c>
      <c r="H461" s="70" t="str">
        <f aca="false">IF($K461="","",INDEX(Base!$J$5:$J$2004,$K461))</f>
        <v/>
      </c>
      <c r="I461" s="71" t="str">
        <f aca="false">IF($K461="","",INDEX(Base!$L$5:$L$2004,$K461))</f>
        <v/>
      </c>
      <c r="J461" s="72" t="str">
        <f aca="false">IFERROR(SMALL(Base!$P$5:$P$2004,ROW()-5),"")</f>
        <v/>
      </c>
      <c r="K461" s="72" t="str">
        <f aca="false">IF(J461="","",MATCH(J461,Base!$P$5:$P$2004,0))</f>
        <v/>
      </c>
    </row>
    <row r="462" customFormat="false" ht="15" hidden="false" customHeight="false" outlineLevel="0" collapsed="false">
      <c r="A462" s="67" t="str">
        <f aca="false">IF($K462="","",ROW()-5)</f>
        <v/>
      </c>
      <c r="B462" s="68" t="str">
        <f aca="false">IF($K462="","",INDEX(Base!$E$5:$E$2004,$K462))</f>
        <v/>
      </c>
      <c r="C462" s="69" t="str">
        <f aca="false">IF($K462="","",B462)</f>
        <v/>
      </c>
      <c r="D462" s="70" t="str">
        <f aca="false">IF($K462="","",INDEX(Base!$F$5:$F$2004,$K462))</f>
        <v/>
      </c>
      <c r="E462" s="70" t="str">
        <f aca="false">IF($K462="","",INDEX(Base!$G$5:$G$2004,$K462))</f>
        <v/>
      </c>
      <c r="F462" s="71" t="str">
        <f aca="false">IF($K462="","",INDEX(Base!$H$5:$H$2004,$K462))</f>
        <v/>
      </c>
      <c r="G462" s="71" t="str">
        <f aca="false">IF($K462="","",INDEX(Base!$I$5:$I$2004,$K462))</f>
        <v/>
      </c>
      <c r="H462" s="70" t="str">
        <f aca="false">IF($K462="","",INDEX(Base!$J$5:$J$2004,$K462))</f>
        <v/>
      </c>
      <c r="I462" s="71" t="str">
        <f aca="false">IF($K462="","",INDEX(Base!$L$5:$L$2004,$K462))</f>
        <v/>
      </c>
      <c r="J462" s="72" t="str">
        <f aca="false">IFERROR(SMALL(Base!$P$5:$P$2004,ROW()-5),"")</f>
        <v/>
      </c>
      <c r="K462" s="72" t="str">
        <f aca="false">IF(J462="","",MATCH(J462,Base!$P$5:$P$2004,0))</f>
        <v/>
      </c>
    </row>
    <row r="463" customFormat="false" ht="15" hidden="false" customHeight="false" outlineLevel="0" collapsed="false">
      <c r="A463" s="67" t="str">
        <f aca="false">IF($K463="","",ROW()-5)</f>
        <v/>
      </c>
      <c r="B463" s="68" t="str">
        <f aca="false">IF($K463="","",INDEX(Base!$E$5:$E$2004,$K463))</f>
        <v/>
      </c>
      <c r="C463" s="69" t="str">
        <f aca="false">IF($K463="","",B463)</f>
        <v/>
      </c>
      <c r="D463" s="70" t="str">
        <f aca="false">IF($K463="","",INDEX(Base!$F$5:$F$2004,$K463))</f>
        <v/>
      </c>
      <c r="E463" s="70" t="str">
        <f aca="false">IF($K463="","",INDEX(Base!$G$5:$G$2004,$K463))</f>
        <v/>
      </c>
      <c r="F463" s="71" t="str">
        <f aca="false">IF($K463="","",INDEX(Base!$H$5:$H$2004,$K463))</f>
        <v/>
      </c>
      <c r="G463" s="71" t="str">
        <f aca="false">IF($K463="","",INDEX(Base!$I$5:$I$2004,$K463))</f>
        <v/>
      </c>
      <c r="H463" s="70" t="str">
        <f aca="false">IF($K463="","",INDEX(Base!$J$5:$J$2004,$K463))</f>
        <v/>
      </c>
      <c r="I463" s="71" t="str">
        <f aca="false">IF($K463="","",INDEX(Base!$L$5:$L$2004,$K463))</f>
        <v/>
      </c>
      <c r="J463" s="72" t="str">
        <f aca="false">IFERROR(SMALL(Base!$P$5:$P$2004,ROW()-5),"")</f>
        <v/>
      </c>
      <c r="K463" s="72" t="str">
        <f aca="false">IF(J463="","",MATCH(J463,Base!$P$5:$P$2004,0))</f>
        <v/>
      </c>
    </row>
    <row r="464" customFormat="false" ht="15" hidden="false" customHeight="false" outlineLevel="0" collapsed="false">
      <c r="A464" s="67" t="str">
        <f aca="false">IF($K464="","",ROW()-5)</f>
        <v/>
      </c>
      <c r="B464" s="68" t="str">
        <f aca="false">IF($K464="","",INDEX(Base!$E$5:$E$2004,$K464))</f>
        <v/>
      </c>
      <c r="C464" s="69" t="str">
        <f aca="false">IF($K464="","",B464)</f>
        <v/>
      </c>
      <c r="D464" s="70" t="str">
        <f aca="false">IF($K464="","",INDEX(Base!$F$5:$F$2004,$K464))</f>
        <v/>
      </c>
      <c r="E464" s="70" t="str">
        <f aca="false">IF($K464="","",INDEX(Base!$G$5:$G$2004,$K464))</f>
        <v/>
      </c>
      <c r="F464" s="71" t="str">
        <f aca="false">IF($K464="","",INDEX(Base!$H$5:$H$2004,$K464))</f>
        <v/>
      </c>
      <c r="G464" s="71" t="str">
        <f aca="false">IF($K464="","",INDEX(Base!$I$5:$I$2004,$K464))</f>
        <v/>
      </c>
      <c r="H464" s="70" t="str">
        <f aca="false">IF($K464="","",INDEX(Base!$J$5:$J$2004,$K464))</f>
        <v/>
      </c>
      <c r="I464" s="71" t="str">
        <f aca="false">IF($K464="","",INDEX(Base!$L$5:$L$2004,$K464))</f>
        <v/>
      </c>
      <c r="J464" s="72" t="str">
        <f aca="false">IFERROR(SMALL(Base!$P$5:$P$2004,ROW()-5),"")</f>
        <v/>
      </c>
      <c r="K464" s="72" t="str">
        <f aca="false">IF(J464="","",MATCH(J464,Base!$P$5:$P$2004,0))</f>
        <v/>
      </c>
    </row>
    <row r="465" customFormat="false" ht="15" hidden="false" customHeight="false" outlineLevel="0" collapsed="false">
      <c r="A465" s="67" t="str">
        <f aca="false">IF($K465="","",ROW()-5)</f>
        <v/>
      </c>
      <c r="B465" s="68" t="str">
        <f aca="false">IF($K465="","",INDEX(Base!$E$5:$E$2004,$K465))</f>
        <v/>
      </c>
      <c r="C465" s="69" t="str">
        <f aca="false">IF($K465="","",B465)</f>
        <v/>
      </c>
      <c r="D465" s="70" t="str">
        <f aca="false">IF($K465="","",INDEX(Base!$F$5:$F$2004,$K465))</f>
        <v/>
      </c>
      <c r="E465" s="70" t="str">
        <f aca="false">IF($K465="","",INDEX(Base!$G$5:$G$2004,$K465))</f>
        <v/>
      </c>
      <c r="F465" s="71" t="str">
        <f aca="false">IF($K465="","",INDEX(Base!$H$5:$H$2004,$K465))</f>
        <v/>
      </c>
      <c r="G465" s="71" t="str">
        <f aca="false">IF($K465="","",INDEX(Base!$I$5:$I$2004,$K465))</f>
        <v/>
      </c>
      <c r="H465" s="70" t="str">
        <f aca="false">IF($K465="","",INDEX(Base!$J$5:$J$2004,$K465))</f>
        <v/>
      </c>
      <c r="I465" s="71" t="str">
        <f aca="false">IF($K465="","",INDEX(Base!$L$5:$L$2004,$K465))</f>
        <v/>
      </c>
      <c r="J465" s="72" t="str">
        <f aca="false">IFERROR(SMALL(Base!$P$5:$P$2004,ROW()-5),"")</f>
        <v/>
      </c>
      <c r="K465" s="72" t="str">
        <f aca="false">IF(J465="","",MATCH(J465,Base!$P$5:$P$2004,0))</f>
        <v/>
      </c>
    </row>
    <row r="466" customFormat="false" ht="15" hidden="false" customHeight="false" outlineLevel="0" collapsed="false">
      <c r="A466" s="67" t="str">
        <f aca="false">IF($K466="","",ROW()-5)</f>
        <v/>
      </c>
      <c r="B466" s="68" t="str">
        <f aca="false">IF($K466="","",INDEX(Base!$E$5:$E$2004,$K466))</f>
        <v/>
      </c>
      <c r="C466" s="69" t="str">
        <f aca="false">IF($K466="","",B466)</f>
        <v/>
      </c>
      <c r="D466" s="70" t="str">
        <f aca="false">IF($K466="","",INDEX(Base!$F$5:$F$2004,$K466))</f>
        <v/>
      </c>
      <c r="E466" s="70" t="str">
        <f aca="false">IF($K466="","",INDEX(Base!$G$5:$G$2004,$K466))</f>
        <v/>
      </c>
      <c r="F466" s="71" t="str">
        <f aca="false">IF($K466="","",INDEX(Base!$H$5:$H$2004,$K466))</f>
        <v/>
      </c>
      <c r="G466" s="71" t="str">
        <f aca="false">IF($K466="","",INDEX(Base!$I$5:$I$2004,$K466))</f>
        <v/>
      </c>
      <c r="H466" s="70" t="str">
        <f aca="false">IF($K466="","",INDEX(Base!$J$5:$J$2004,$K466))</f>
        <v/>
      </c>
      <c r="I466" s="71" t="str">
        <f aca="false">IF($K466="","",INDEX(Base!$L$5:$L$2004,$K466))</f>
        <v/>
      </c>
      <c r="J466" s="72" t="str">
        <f aca="false">IFERROR(SMALL(Base!$P$5:$P$2004,ROW()-5),"")</f>
        <v/>
      </c>
      <c r="K466" s="72" t="str">
        <f aca="false">IF(J466="","",MATCH(J466,Base!$P$5:$P$2004,0))</f>
        <v/>
      </c>
    </row>
    <row r="467" customFormat="false" ht="15" hidden="false" customHeight="false" outlineLevel="0" collapsed="false">
      <c r="A467" s="67" t="str">
        <f aca="false">IF($K467="","",ROW()-5)</f>
        <v/>
      </c>
      <c r="B467" s="68" t="str">
        <f aca="false">IF($K467="","",INDEX(Base!$E$5:$E$2004,$K467))</f>
        <v/>
      </c>
      <c r="C467" s="69" t="str">
        <f aca="false">IF($K467="","",B467)</f>
        <v/>
      </c>
      <c r="D467" s="70" t="str">
        <f aca="false">IF($K467="","",INDEX(Base!$F$5:$F$2004,$K467))</f>
        <v/>
      </c>
      <c r="E467" s="70" t="str">
        <f aca="false">IF($K467="","",INDEX(Base!$G$5:$G$2004,$K467))</f>
        <v/>
      </c>
      <c r="F467" s="71" t="str">
        <f aca="false">IF($K467="","",INDEX(Base!$H$5:$H$2004,$K467))</f>
        <v/>
      </c>
      <c r="G467" s="71" t="str">
        <f aca="false">IF($K467="","",INDEX(Base!$I$5:$I$2004,$K467))</f>
        <v/>
      </c>
      <c r="H467" s="70" t="str">
        <f aca="false">IF($K467="","",INDEX(Base!$J$5:$J$2004,$K467))</f>
        <v/>
      </c>
      <c r="I467" s="71" t="str">
        <f aca="false">IF($K467="","",INDEX(Base!$L$5:$L$2004,$K467))</f>
        <v/>
      </c>
      <c r="J467" s="72" t="str">
        <f aca="false">IFERROR(SMALL(Base!$P$5:$P$2004,ROW()-5),"")</f>
        <v/>
      </c>
      <c r="K467" s="72" t="str">
        <f aca="false">IF(J467="","",MATCH(J467,Base!$P$5:$P$2004,0))</f>
        <v/>
      </c>
    </row>
    <row r="468" customFormat="false" ht="15" hidden="false" customHeight="false" outlineLevel="0" collapsed="false">
      <c r="A468" s="67" t="str">
        <f aca="false">IF($K468="","",ROW()-5)</f>
        <v/>
      </c>
      <c r="B468" s="68" t="str">
        <f aca="false">IF($K468="","",INDEX(Base!$E$5:$E$2004,$K468))</f>
        <v/>
      </c>
      <c r="C468" s="69" t="str">
        <f aca="false">IF($K468="","",B468)</f>
        <v/>
      </c>
      <c r="D468" s="70" t="str">
        <f aca="false">IF($K468="","",INDEX(Base!$F$5:$F$2004,$K468))</f>
        <v/>
      </c>
      <c r="E468" s="70" t="str">
        <f aca="false">IF($K468="","",INDEX(Base!$G$5:$G$2004,$K468))</f>
        <v/>
      </c>
      <c r="F468" s="71" t="str">
        <f aca="false">IF($K468="","",INDEX(Base!$H$5:$H$2004,$K468))</f>
        <v/>
      </c>
      <c r="G468" s="71" t="str">
        <f aca="false">IF($K468="","",INDEX(Base!$I$5:$I$2004,$K468))</f>
        <v/>
      </c>
      <c r="H468" s="70" t="str">
        <f aca="false">IF($K468="","",INDEX(Base!$J$5:$J$2004,$K468))</f>
        <v/>
      </c>
      <c r="I468" s="71" t="str">
        <f aca="false">IF($K468="","",INDEX(Base!$L$5:$L$2004,$K468))</f>
        <v/>
      </c>
      <c r="J468" s="72" t="str">
        <f aca="false">IFERROR(SMALL(Base!$P$5:$P$2004,ROW()-5),"")</f>
        <v/>
      </c>
      <c r="K468" s="72" t="str">
        <f aca="false">IF(J468="","",MATCH(J468,Base!$P$5:$P$2004,0))</f>
        <v/>
      </c>
    </row>
    <row r="469" customFormat="false" ht="15" hidden="false" customHeight="false" outlineLevel="0" collapsed="false">
      <c r="A469" s="67" t="str">
        <f aca="false">IF($K469="","",ROW()-5)</f>
        <v/>
      </c>
      <c r="B469" s="68" t="str">
        <f aca="false">IF($K469="","",INDEX(Base!$E$5:$E$2004,$K469))</f>
        <v/>
      </c>
      <c r="C469" s="69" t="str">
        <f aca="false">IF($K469="","",B469)</f>
        <v/>
      </c>
      <c r="D469" s="70" t="str">
        <f aca="false">IF($K469="","",INDEX(Base!$F$5:$F$2004,$K469))</f>
        <v/>
      </c>
      <c r="E469" s="70" t="str">
        <f aca="false">IF($K469="","",INDEX(Base!$G$5:$G$2004,$K469))</f>
        <v/>
      </c>
      <c r="F469" s="71" t="str">
        <f aca="false">IF($K469="","",INDEX(Base!$H$5:$H$2004,$K469))</f>
        <v/>
      </c>
      <c r="G469" s="71" t="str">
        <f aca="false">IF($K469="","",INDEX(Base!$I$5:$I$2004,$K469))</f>
        <v/>
      </c>
      <c r="H469" s="70" t="str">
        <f aca="false">IF($K469="","",INDEX(Base!$J$5:$J$2004,$K469))</f>
        <v/>
      </c>
      <c r="I469" s="71" t="str">
        <f aca="false">IF($K469="","",INDEX(Base!$L$5:$L$2004,$K469))</f>
        <v/>
      </c>
      <c r="J469" s="72" t="str">
        <f aca="false">IFERROR(SMALL(Base!$P$5:$P$2004,ROW()-5),"")</f>
        <v/>
      </c>
      <c r="K469" s="72" t="str">
        <f aca="false">IF(J469="","",MATCH(J469,Base!$P$5:$P$2004,0))</f>
        <v/>
      </c>
    </row>
    <row r="470" customFormat="false" ht="15" hidden="false" customHeight="false" outlineLevel="0" collapsed="false">
      <c r="A470" s="67" t="str">
        <f aca="false">IF($K470="","",ROW()-5)</f>
        <v/>
      </c>
      <c r="B470" s="68" t="str">
        <f aca="false">IF($K470="","",INDEX(Base!$E$5:$E$2004,$K470))</f>
        <v/>
      </c>
      <c r="C470" s="69" t="str">
        <f aca="false">IF($K470="","",B470)</f>
        <v/>
      </c>
      <c r="D470" s="70" t="str">
        <f aca="false">IF($K470="","",INDEX(Base!$F$5:$F$2004,$K470))</f>
        <v/>
      </c>
      <c r="E470" s="70" t="str">
        <f aca="false">IF($K470="","",INDEX(Base!$G$5:$G$2004,$K470))</f>
        <v/>
      </c>
      <c r="F470" s="71" t="str">
        <f aca="false">IF($K470="","",INDEX(Base!$H$5:$H$2004,$K470))</f>
        <v/>
      </c>
      <c r="G470" s="71" t="str">
        <f aca="false">IF($K470="","",INDEX(Base!$I$5:$I$2004,$K470))</f>
        <v/>
      </c>
      <c r="H470" s="70" t="str">
        <f aca="false">IF($K470="","",INDEX(Base!$J$5:$J$2004,$K470))</f>
        <v/>
      </c>
      <c r="I470" s="71" t="str">
        <f aca="false">IF($K470="","",INDEX(Base!$L$5:$L$2004,$K470))</f>
        <v/>
      </c>
      <c r="J470" s="72" t="str">
        <f aca="false">IFERROR(SMALL(Base!$P$5:$P$2004,ROW()-5),"")</f>
        <v/>
      </c>
      <c r="K470" s="72" t="str">
        <f aca="false">IF(J470="","",MATCH(J470,Base!$P$5:$P$2004,0))</f>
        <v/>
      </c>
    </row>
    <row r="471" customFormat="false" ht="15" hidden="false" customHeight="false" outlineLevel="0" collapsed="false">
      <c r="A471" s="67" t="str">
        <f aca="false">IF($K471="","",ROW()-5)</f>
        <v/>
      </c>
      <c r="B471" s="68" t="str">
        <f aca="false">IF($K471="","",INDEX(Base!$E$5:$E$2004,$K471))</f>
        <v/>
      </c>
      <c r="C471" s="69" t="str">
        <f aca="false">IF($K471="","",B471)</f>
        <v/>
      </c>
      <c r="D471" s="70" t="str">
        <f aca="false">IF($K471="","",INDEX(Base!$F$5:$F$2004,$K471))</f>
        <v/>
      </c>
      <c r="E471" s="70" t="str">
        <f aca="false">IF($K471="","",INDEX(Base!$G$5:$G$2004,$K471))</f>
        <v/>
      </c>
      <c r="F471" s="71" t="str">
        <f aca="false">IF($K471="","",INDEX(Base!$H$5:$H$2004,$K471))</f>
        <v/>
      </c>
      <c r="G471" s="71" t="str">
        <f aca="false">IF($K471="","",INDEX(Base!$I$5:$I$2004,$K471))</f>
        <v/>
      </c>
      <c r="H471" s="70" t="str">
        <f aca="false">IF($K471="","",INDEX(Base!$J$5:$J$2004,$K471))</f>
        <v/>
      </c>
      <c r="I471" s="71" t="str">
        <f aca="false">IF($K471="","",INDEX(Base!$L$5:$L$2004,$K471))</f>
        <v/>
      </c>
      <c r="J471" s="72" t="str">
        <f aca="false">IFERROR(SMALL(Base!$P$5:$P$2004,ROW()-5),"")</f>
        <v/>
      </c>
      <c r="K471" s="72" t="str">
        <f aca="false">IF(J471="","",MATCH(J471,Base!$P$5:$P$2004,0))</f>
        <v/>
      </c>
    </row>
    <row r="472" customFormat="false" ht="15" hidden="false" customHeight="false" outlineLevel="0" collapsed="false">
      <c r="A472" s="67" t="str">
        <f aca="false">IF($K472="","",ROW()-5)</f>
        <v/>
      </c>
      <c r="B472" s="68" t="str">
        <f aca="false">IF($K472="","",INDEX(Base!$E$5:$E$2004,$K472))</f>
        <v/>
      </c>
      <c r="C472" s="69" t="str">
        <f aca="false">IF($K472="","",B472)</f>
        <v/>
      </c>
      <c r="D472" s="70" t="str">
        <f aca="false">IF($K472="","",INDEX(Base!$F$5:$F$2004,$K472))</f>
        <v/>
      </c>
      <c r="E472" s="70" t="str">
        <f aca="false">IF($K472="","",INDEX(Base!$G$5:$G$2004,$K472))</f>
        <v/>
      </c>
      <c r="F472" s="71" t="str">
        <f aca="false">IF($K472="","",INDEX(Base!$H$5:$H$2004,$K472))</f>
        <v/>
      </c>
      <c r="G472" s="71" t="str">
        <f aca="false">IF($K472="","",INDEX(Base!$I$5:$I$2004,$K472))</f>
        <v/>
      </c>
      <c r="H472" s="70" t="str">
        <f aca="false">IF($K472="","",INDEX(Base!$J$5:$J$2004,$K472))</f>
        <v/>
      </c>
      <c r="I472" s="71" t="str">
        <f aca="false">IF($K472="","",INDEX(Base!$L$5:$L$2004,$K472))</f>
        <v/>
      </c>
      <c r="J472" s="72" t="str">
        <f aca="false">IFERROR(SMALL(Base!$P$5:$P$2004,ROW()-5),"")</f>
        <v/>
      </c>
      <c r="K472" s="72" t="str">
        <f aca="false">IF(J472="","",MATCH(J472,Base!$P$5:$P$2004,0))</f>
        <v/>
      </c>
    </row>
    <row r="473" customFormat="false" ht="15" hidden="false" customHeight="false" outlineLevel="0" collapsed="false">
      <c r="A473" s="67" t="str">
        <f aca="false">IF($K473="","",ROW()-5)</f>
        <v/>
      </c>
      <c r="B473" s="68" t="str">
        <f aca="false">IF($K473="","",INDEX(Base!$E$5:$E$2004,$K473))</f>
        <v/>
      </c>
      <c r="C473" s="69" t="str">
        <f aca="false">IF($K473="","",B473)</f>
        <v/>
      </c>
      <c r="D473" s="70" t="str">
        <f aca="false">IF($K473="","",INDEX(Base!$F$5:$F$2004,$K473))</f>
        <v/>
      </c>
      <c r="E473" s="70" t="str">
        <f aca="false">IF($K473="","",INDEX(Base!$G$5:$G$2004,$K473))</f>
        <v/>
      </c>
      <c r="F473" s="71" t="str">
        <f aca="false">IF($K473="","",INDEX(Base!$H$5:$H$2004,$K473))</f>
        <v/>
      </c>
      <c r="G473" s="71" t="str">
        <f aca="false">IF($K473="","",INDEX(Base!$I$5:$I$2004,$K473))</f>
        <v/>
      </c>
      <c r="H473" s="70" t="str">
        <f aca="false">IF($K473="","",INDEX(Base!$J$5:$J$2004,$K473))</f>
        <v/>
      </c>
      <c r="I473" s="71" t="str">
        <f aca="false">IF($K473="","",INDEX(Base!$L$5:$L$2004,$K473))</f>
        <v/>
      </c>
      <c r="J473" s="72" t="str">
        <f aca="false">IFERROR(SMALL(Base!$P$5:$P$2004,ROW()-5),"")</f>
        <v/>
      </c>
      <c r="K473" s="72" t="str">
        <f aca="false">IF(J473="","",MATCH(J473,Base!$P$5:$P$2004,0))</f>
        <v/>
      </c>
    </row>
    <row r="474" customFormat="false" ht="15" hidden="false" customHeight="false" outlineLevel="0" collapsed="false">
      <c r="A474" s="67" t="str">
        <f aca="false">IF($K474="","",ROW()-5)</f>
        <v/>
      </c>
      <c r="B474" s="68" t="str">
        <f aca="false">IF($K474="","",INDEX(Base!$E$5:$E$2004,$K474))</f>
        <v/>
      </c>
      <c r="C474" s="69" t="str">
        <f aca="false">IF($K474="","",B474)</f>
        <v/>
      </c>
      <c r="D474" s="70" t="str">
        <f aca="false">IF($K474="","",INDEX(Base!$F$5:$F$2004,$K474))</f>
        <v/>
      </c>
      <c r="E474" s="70" t="str">
        <f aca="false">IF($K474="","",INDEX(Base!$G$5:$G$2004,$K474))</f>
        <v/>
      </c>
      <c r="F474" s="71" t="str">
        <f aca="false">IF($K474="","",INDEX(Base!$H$5:$H$2004,$K474))</f>
        <v/>
      </c>
      <c r="G474" s="71" t="str">
        <f aca="false">IF($K474="","",INDEX(Base!$I$5:$I$2004,$K474))</f>
        <v/>
      </c>
      <c r="H474" s="70" t="str">
        <f aca="false">IF($K474="","",INDEX(Base!$J$5:$J$2004,$K474))</f>
        <v/>
      </c>
      <c r="I474" s="71" t="str">
        <f aca="false">IF($K474="","",INDEX(Base!$L$5:$L$2004,$K474))</f>
        <v/>
      </c>
      <c r="J474" s="72" t="str">
        <f aca="false">IFERROR(SMALL(Base!$P$5:$P$2004,ROW()-5),"")</f>
        <v/>
      </c>
      <c r="K474" s="72" t="str">
        <f aca="false">IF(J474="","",MATCH(J474,Base!$P$5:$P$2004,0))</f>
        <v/>
      </c>
    </row>
    <row r="475" customFormat="false" ht="15" hidden="false" customHeight="false" outlineLevel="0" collapsed="false">
      <c r="A475" s="67" t="str">
        <f aca="false">IF($K475="","",ROW()-5)</f>
        <v/>
      </c>
      <c r="B475" s="68" t="str">
        <f aca="false">IF($K475="","",INDEX(Base!$E$5:$E$2004,$K475))</f>
        <v/>
      </c>
      <c r="C475" s="69" t="str">
        <f aca="false">IF($K475="","",B475)</f>
        <v/>
      </c>
      <c r="D475" s="70" t="str">
        <f aca="false">IF($K475="","",INDEX(Base!$F$5:$F$2004,$K475))</f>
        <v/>
      </c>
      <c r="E475" s="70" t="str">
        <f aca="false">IF($K475="","",INDEX(Base!$G$5:$G$2004,$K475))</f>
        <v/>
      </c>
      <c r="F475" s="71" t="str">
        <f aca="false">IF($K475="","",INDEX(Base!$H$5:$H$2004,$K475))</f>
        <v/>
      </c>
      <c r="G475" s="71" t="str">
        <f aca="false">IF($K475="","",INDEX(Base!$I$5:$I$2004,$K475))</f>
        <v/>
      </c>
      <c r="H475" s="70" t="str">
        <f aca="false">IF($K475="","",INDEX(Base!$J$5:$J$2004,$K475))</f>
        <v/>
      </c>
      <c r="I475" s="71" t="str">
        <f aca="false">IF($K475="","",INDEX(Base!$L$5:$L$2004,$K475))</f>
        <v/>
      </c>
      <c r="J475" s="72" t="str">
        <f aca="false">IFERROR(SMALL(Base!$P$5:$P$2004,ROW()-5),"")</f>
        <v/>
      </c>
      <c r="K475" s="72" t="str">
        <f aca="false">IF(J475="","",MATCH(J475,Base!$P$5:$P$2004,0))</f>
        <v/>
      </c>
    </row>
    <row r="476" customFormat="false" ht="15" hidden="false" customHeight="false" outlineLevel="0" collapsed="false">
      <c r="A476" s="67" t="str">
        <f aca="false">IF($K476="","",ROW()-5)</f>
        <v/>
      </c>
      <c r="B476" s="68" t="str">
        <f aca="false">IF($K476="","",INDEX(Base!$E$5:$E$2004,$K476))</f>
        <v/>
      </c>
      <c r="C476" s="69" t="str">
        <f aca="false">IF($K476="","",B476)</f>
        <v/>
      </c>
      <c r="D476" s="70" t="str">
        <f aca="false">IF($K476="","",INDEX(Base!$F$5:$F$2004,$K476))</f>
        <v/>
      </c>
      <c r="E476" s="70" t="str">
        <f aca="false">IF($K476="","",INDEX(Base!$G$5:$G$2004,$K476))</f>
        <v/>
      </c>
      <c r="F476" s="71" t="str">
        <f aca="false">IF($K476="","",INDEX(Base!$H$5:$H$2004,$K476))</f>
        <v/>
      </c>
      <c r="G476" s="71" t="str">
        <f aca="false">IF($K476="","",INDEX(Base!$I$5:$I$2004,$K476))</f>
        <v/>
      </c>
      <c r="H476" s="70" t="str">
        <f aca="false">IF($K476="","",INDEX(Base!$J$5:$J$2004,$K476))</f>
        <v/>
      </c>
      <c r="I476" s="71" t="str">
        <f aca="false">IF($K476="","",INDEX(Base!$L$5:$L$2004,$K476))</f>
        <v/>
      </c>
      <c r="J476" s="72" t="str">
        <f aca="false">IFERROR(SMALL(Base!$P$5:$P$2004,ROW()-5),"")</f>
        <v/>
      </c>
      <c r="K476" s="72" t="str">
        <f aca="false">IF(J476="","",MATCH(J476,Base!$P$5:$P$2004,0))</f>
        <v/>
      </c>
    </row>
    <row r="477" customFormat="false" ht="15" hidden="false" customHeight="false" outlineLevel="0" collapsed="false">
      <c r="A477" s="67" t="str">
        <f aca="false">IF($K477="","",ROW()-5)</f>
        <v/>
      </c>
      <c r="B477" s="68" t="str">
        <f aca="false">IF($K477="","",INDEX(Base!$E$5:$E$2004,$K477))</f>
        <v/>
      </c>
      <c r="C477" s="69" t="str">
        <f aca="false">IF($K477="","",B477)</f>
        <v/>
      </c>
      <c r="D477" s="70" t="str">
        <f aca="false">IF($K477="","",INDEX(Base!$F$5:$F$2004,$K477))</f>
        <v/>
      </c>
      <c r="E477" s="70" t="str">
        <f aca="false">IF($K477="","",INDEX(Base!$G$5:$G$2004,$K477))</f>
        <v/>
      </c>
      <c r="F477" s="71" t="str">
        <f aca="false">IF($K477="","",INDEX(Base!$H$5:$H$2004,$K477))</f>
        <v/>
      </c>
      <c r="G477" s="71" t="str">
        <f aca="false">IF($K477="","",INDEX(Base!$I$5:$I$2004,$K477))</f>
        <v/>
      </c>
      <c r="H477" s="70" t="str">
        <f aca="false">IF($K477="","",INDEX(Base!$J$5:$J$2004,$K477))</f>
        <v/>
      </c>
      <c r="I477" s="71" t="str">
        <f aca="false">IF($K477="","",INDEX(Base!$L$5:$L$2004,$K477))</f>
        <v/>
      </c>
      <c r="J477" s="72" t="str">
        <f aca="false">IFERROR(SMALL(Base!$P$5:$P$2004,ROW()-5),"")</f>
        <v/>
      </c>
      <c r="K477" s="72" t="str">
        <f aca="false">IF(J477="","",MATCH(J477,Base!$P$5:$P$2004,0))</f>
        <v/>
      </c>
    </row>
    <row r="478" customFormat="false" ht="15" hidden="false" customHeight="false" outlineLevel="0" collapsed="false">
      <c r="A478" s="67" t="str">
        <f aca="false">IF($K478="","",ROW()-5)</f>
        <v/>
      </c>
      <c r="B478" s="68" t="str">
        <f aca="false">IF($K478="","",INDEX(Base!$E$5:$E$2004,$K478))</f>
        <v/>
      </c>
      <c r="C478" s="69" t="str">
        <f aca="false">IF($K478="","",B478)</f>
        <v/>
      </c>
      <c r="D478" s="70" t="str">
        <f aca="false">IF($K478="","",INDEX(Base!$F$5:$F$2004,$K478))</f>
        <v/>
      </c>
      <c r="E478" s="70" t="str">
        <f aca="false">IF($K478="","",INDEX(Base!$G$5:$G$2004,$K478))</f>
        <v/>
      </c>
      <c r="F478" s="71" t="str">
        <f aca="false">IF($K478="","",INDEX(Base!$H$5:$H$2004,$K478))</f>
        <v/>
      </c>
      <c r="G478" s="71" t="str">
        <f aca="false">IF($K478="","",INDEX(Base!$I$5:$I$2004,$K478))</f>
        <v/>
      </c>
      <c r="H478" s="70" t="str">
        <f aca="false">IF($K478="","",INDEX(Base!$J$5:$J$2004,$K478))</f>
        <v/>
      </c>
      <c r="I478" s="71" t="str">
        <f aca="false">IF($K478="","",INDEX(Base!$L$5:$L$2004,$K478))</f>
        <v/>
      </c>
      <c r="J478" s="72" t="str">
        <f aca="false">IFERROR(SMALL(Base!$P$5:$P$2004,ROW()-5),"")</f>
        <v/>
      </c>
      <c r="K478" s="72" t="str">
        <f aca="false">IF(J478="","",MATCH(J478,Base!$P$5:$P$2004,0))</f>
        <v/>
      </c>
    </row>
    <row r="479" customFormat="false" ht="15" hidden="false" customHeight="false" outlineLevel="0" collapsed="false">
      <c r="A479" s="67" t="str">
        <f aca="false">IF($K479="","",ROW()-5)</f>
        <v/>
      </c>
      <c r="B479" s="68" t="str">
        <f aca="false">IF($K479="","",INDEX(Base!$E$5:$E$2004,$K479))</f>
        <v/>
      </c>
      <c r="C479" s="69" t="str">
        <f aca="false">IF($K479="","",B479)</f>
        <v/>
      </c>
      <c r="D479" s="70" t="str">
        <f aca="false">IF($K479="","",INDEX(Base!$F$5:$F$2004,$K479))</f>
        <v/>
      </c>
      <c r="E479" s="70" t="str">
        <f aca="false">IF($K479="","",INDEX(Base!$G$5:$G$2004,$K479))</f>
        <v/>
      </c>
      <c r="F479" s="71" t="str">
        <f aca="false">IF($K479="","",INDEX(Base!$H$5:$H$2004,$K479))</f>
        <v/>
      </c>
      <c r="G479" s="71" t="str">
        <f aca="false">IF($K479="","",INDEX(Base!$I$5:$I$2004,$K479))</f>
        <v/>
      </c>
      <c r="H479" s="70" t="str">
        <f aca="false">IF($K479="","",INDEX(Base!$J$5:$J$2004,$K479))</f>
        <v/>
      </c>
      <c r="I479" s="71" t="str">
        <f aca="false">IF($K479="","",INDEX(Base!$L$5:$L$2004,$K479))</f>
        <v/>
      </c>
      <c r="J479" s="72" t="str">
        <f aca="false">IFERROR(SMALL(Base!$P$5:$P$2004,ROW()-5),"")</f>
        <v/>
      </c>
      <c r="K479" s="72" t="str">
        <f aca="false">IF(J479="","",MATCH(J479,Base!$P$5:$P$2004,0))</f>
        <v/>
      </c>
    </row>
    <row r="480" customFormat="false" ht="15" hidden="false" customHeight="false" outlineLevel="0" collapsed="false">
      <c r="A480" s="67" t="str">
        <f aca="false">IF($K480="","",ROW()-5)</f>
        <v/>
      </c>
      <c r="B480" s="68" t="str">
        <f aca="false">IF($K480="","",INDEX(Base!$E$5:$E$2004,$K480))</f>
        <v/>
      </c>
      <c r="C480" s="69" t="str">
        <f aca="false">IF($K480="","",B480)</f>
        <v/>
      </c>
      <c r="D480" s="70" t="str">
        <f aca="false">IF($K480="","",INDEX(Base!$F$5:$F$2004,$K480))</f>
        <v/>
      </c>
      <c r="E480" s="70" t="str">
        <f aca="false">IF($K480="","",INDEX(Base!$G$5:$G$2004,$K480))</f>
        <v/>
      </c>
      <c r="F480" s="71" t="str">
        <f aca="false">IF($K480="","",INDEX(Base!$H$5:$H$2004,$K480))</f>
        <v/>
      </c>
      <c r="G480" s="71" t="str">
        <f aca="false">IF($K480="","",INDEX(Base!$I$5:$I$2004,$K480))</f>
        <v/>
      </c>
      <c r="H480" s="70" t="str">
        <f aca="false">IF($K480="","",INDEX(Base!$J$5:$J$2004,$K480))</f>
        <v/>
      </c>
      <c r="I480" s="71" t="str">
        <f aca="false">IF($K480="","",INDEX(Base!$L$5:$L$2004,$K480))</f>
        <v/>
      </c>
      <c r="J480" s="72" t="str">
        <f aca="false">IFERROR(SMALL(Base!$P$5:$P$2004,ROW()-5),"")</f>
        <v/>
      </c>
      <c r="K480" s="72" t="str">
        <f aca="false">IF(J480="","",MATCH(J480,Base!$P$5:$P$2004,0))</f>
        <v/>
      </c>
    </row>
    <row r="481" customFormat="false" ht="15" hidden="false" customHeight="false" outlineLevel="0" collapsed="false">
      <c r="A481" s="67" t="str">
        <f aca="false">IF($K481="","",ROW()-5)</f>
        <v/>
      </c>
      <c r="B481" s="68" t="str">
        <f aca="false">IF($K481="","",INDEX(Base!$E$5:$E$2004,$K481))</f>
        <v/>
      </c>
      <c r="C481" s="69" t="str">
        <f aca="false">IF($K481="","",B481)</f>
        <v/>
      </c>
      <c r="D481" s="70" t="str">
        <f aca="false">IF($K481="","",INDEX(Base!$F$5:$F$2004,$K481))</f>
        <v/>
      </c>
      <c r="E481" s="70" t="str">
        <f aca="false">IF($K481="","",INDEX(Base!$G$5:$G$2004,$K481))</f>
        <v/>
      </c>
      <c r="F481" s="71" t="str">
        <f aca="false">IF($K481="","",INDEX(Base!$H$5:$H$2004,$K481))</f>
        <v/>
      </c>
      <c r="G481" s="71" t="str">
        <f aca="false">IF($K481="","",INDEX(Base!$I$5:$I$2004,$K481))</f>
        <v/>
      </c>
      <c r="H481" s="70" t="str">
        <f aca="false">IF($K481="","",INDEX(Base!$J$5:$J$2004,$K481))</f>
        <v/>
      </c>
      <c r="I481" s="71" t="str">
        <f aca="false">IF($K481="","",INDEX(Base!$L$5:$L$2004,$K481))</f>
        <v/>
      </c>
      <c r="J481" s="72" t="str">
        <f aca="false">IFERROR(SMALL(Base!$P$5:$P$2004,ROW()-5),"")</f>
        <v/>
      </c>
      <c r="K481" s="72" t="str">
        <f aca="false">IF(J481="","",MATCH(J481,Base!$P$5:$P$2004,0))</f>
        <v/>
      </c>
    </row>
    <row r="482" customFormat="false" ht="15" hidden="false" customHeight="false" outlineLevel="0" collapsed="false">
      <c r="A482" s="67" t="str">
        <f aca="false">IF($K482="","",ROW()-5)</f>
        <v/>
      </c>
      <c r="B482" s="68" t="str">
        <f aca="false">IF($K482="","",INDEX(Base!$E$5:$E$2004,$K482))</f>
        <v/>
      </c>
      <c r="C482" s="69" t="str">
        <f aca="false">IF($K482="","",B482)</f>
        <v/>
      </c>
      <c r="D482" s="70" t="str">
        <f aca="false">IF($K482="","",INDEX(Base!$F$5:$F$2004,$K482))</f>
        <v/>
      </c>
      <c r="E482" s="70" t="str">
        <f aca="false">IF($K482="","",INDEX(Base!$G$5:$G$2004,$K482))</f>
        <v/>
      </c>
      <c r="F482" s="71" t="str">
        <f aca="false">IF($K482="","",INDEX(Base!$H$5:$H$2004,$K482))</f>
        <v/>
      </c>
      <c r="G482" s="71" t="str">
        <f aca="false">IF($K482="","",INDEX(Base!$I$5:$I$2004,$K482))</f>
        <v/>
      </c>
      <c r="H482" s="70" t="str">
        <f aca="false">IF($K482="","",INDEX(Base!$J$5:$J$2004,$K482))</f>
        <v/>
      </c>
      <c r="I482" s="71" t="str">
        <f aca="false">IF($K482="","",INDEX(Base!$L$5:$L$2004,$K482))</f>
        <v/>
      </c>
      <c r="J482" s="72" t="str">
        <f aca="false">IFERROR(SMALL(Base!$P$5:$P$2004,ROW()-5),"")</f>
        <v/>
      </c>
      <c r="K482" s="72" t="str">
        <f aca="false">IF(J482="","",MATCH(J482,Base!$P$5:$P$2004,0))</f>
        <v/>
      </c>
    </row>
    <row r="483" customFormat="false" ht="15" hidden="false" customHeight="false" outlineLevel="0" collapsed="false">
      <c r="A483" s="67" t="str">
        <f aca="false">IF($K483="","",ROW()-5)</f>
        <v/>
      </c>
      <c r="B483" s="68" t="str">
        <f aca="false">IF($K483="","",INDEX(Base!$E$5:$E$2004,$K483))</f>
        <v/>
      </c>
      <c r="C483" s="69" t="str">
        <f aca="false">IF($K483="","",B483)</f>
        <v/>
      </c>
      <c r="D483" s="70" t="str">
        <f aca="false">IF($K483="","",INDEX(Base!$F$5:$F$2004,$K483))</f>
        <v/>
      </c>
      <c r="E483" s="70" t="str">
        <f aca="false">IF($K483="","",INDEX(Base!$G$5:$G$2004,$K483))</f>
        <v/>
      </c>
      <c r="F483" s="71" t="str">
        <f aca="false">IF($K483="","",INDEX(Base!$H$5:$H$2004,$K483))</f>
        <v/>
      </c>
      <c r="G483" s="71" t="str">
        <f aca="false">IF($K483="","",INDEX(Base!$I$5:$I$2004,$K483))</f>
        <v/>
      </c>
      <c r="H483" s="70" t="str">
        <f aca="false">IF($K483="","",INDEX(Base!$J$5:$J$2004,$K483))</f>
        <v/>
      </c>
      <c r="I483" s="71" t="str">
        <f aca="false">IF($K483="","",INDEX(Base!$L$5:$L$2004,$K483))</f>
        <v/>
      </c>
      <c r="J483" s="72" t="str">
        <f aca="false">IFERROR(SMALL(Base!$P$5:$P$2004,ROW()-5),"")</f>
        <v/>
      </c>
      <c r="K483" s="72" t="str">
        <f aca="false">IF(J483="","",MATCH(J483,Base!$P$5:$P$2004,0))</f>
        <v/>
      </c>
    </row>
    <row r="484" customFormat="false" ht="15" hidden="false" customHeight="false" outlineLevel="0" collapsed="false">
      <c r="A484" s="67" t="str">
        <f aca="false">IF($K484="","",ROW()-5)</f>
        <v/>
      </c>
      <c r="B484" s="68" t="str">
        <f aca="false">IF($K484="","",INDEX(Base!$E$5:$E$2004,$K484))</f>
        <v/>
      </c>
      <c r="C484" s="69" t="str">
        <f aca="false">IF($K484="","",B484)</f>
        <v/>
      </c>
      <c r="D484" s="70" t="str">
        <f aca="false">IF($K484="","",INDEX(Base!$F$5:$F$2004,$K484))</f>
        <v/>
      </c>
      <c r="E484" s="70" t="str">
        <f aca="false">IF($K484="","",INDEX(Base!$G$5:$G$2004,$K484))</f>
        <v/>
      </c>
      <c r="F484" s="71" t="str">
        <f aca="false">IF($K484="","",INDEX(Base!$H$5:$H$2004,$K484))</f>
        <v/>
      </c>
      <c r="G484" s="71" t="str">
        <f aca="false">IF($K484="","",INDEX(Base!$I$5:$I$2004,$K484))</f>
        <v/>
      </c>
      <c r="H484" s="70" t="str">
        <f aca="false">IF($K484="","",INDEX(Base!$J$5:$J$2004,$K484))</f>
        <v/>
      </c>
      <c r="I484" s="71" t="str">
        <f aca="false">IF($K484="","",INDEX(Base!$L$5:$L$2004,$K484))</f>
        <v/>
      </c>
      <c r="J484" s="72" t="str">
        <f aca="false">IFERROR(SMALL(Base!$P$5:$P$2004,ROW()-5),"")</f>
        <v/>
      </c>
      <c r="K484" s="72" t="str">
        <f aca="false">IF(J484="","",MATCH(J484,Base!$P$5:$P$2004,0))</f>
        <v/>
      </c>
    </row>
    <row r="485" customFormat="false" ht="15" hidden="false" customHeight="false" outlineLevel="0" collapsed="false">
      <c r="A485" s="67" t="str">
        <f aca="false">IF($K485="","",ROW()-5)</f>
        <v/>
      </c>
      <c r="B485" s="68" t="str">
        <f aca="false">IF($K485="","",INDEX(Base!$E$5:$E$2004,$K485))</f>
        <v/>
      </c>
      <c r="C485" s="69" t="str">
        <f aca="false">IF($K485="","",B485)</f>
        <v/>
      </c>
      <c r="D485" s="70" t="str">
        <f aca="false">IF($K485="","",INDEX(Base!$F$5:$F$2004,$K485))</f>
        <v/>
      </c>
      <c r="E485" s="70" t="str">
        <f aca="false">IF($K485="","",INDEX(Base!$G$5:$G$2004,$K485))</f>
        <v/>
      </c>
      <c r="F485" s="71" t="str">
        <f aca="false">IF($K485="","",INDEX(Base!$H$5:$H$2004,$K485))</f>
        <v/>
      </c>
      <c r="G485" s="71" t="str">
        <f aca="false">IF($K485="","",INDEX(Base!$I$5:$I$2004,$K485))</f>
        <v/>
      </c>
      <c r="H485" s="70" t="str">
        <f aca="false">IF($K485="","",INDEX(Base!$J$5:$J$2004,$K485))</f>
        <v/>
      </c>
      <c r="I485" s="71" t="str">
        <f aca="false">IF($K485="","",INDEX(Base!$L$5:$L$2004,$K485))</f>
        <v/>
      </c>
      <c r="J485" s="72" t="str">
        <f aca="false">IFERROR(SMALL(Base!$P$5:$P$2004,ROW()-5),"")</f>
        <v/>
      </c>
      <c r="K485" s="72" t="str">
        <f aca="false">IF(J485="","",MATCH(J485,Base!$P$5:$P$2004,0))</f>
        <v/>
      </c>
    </row>
    <row r="486" customFormat="false" ht="15" hidden="false" customHeight="false" outlineLevel="0" collapsed="false">
      <c r="A486" s="67" t="str">
        <f aca="false">IF($K486="","",ROW()-5)</f>
        <v/>
      </c>
      <c r="B486" s="68" t="str">
        <f aca="false">IF($K486="","",INDEX(Base!$E$5:$E$2004,$K486))</f>
        <v/>
      </c>
      <c r="C486" s="69" t="str">
        <f aca="false">IF($K486="","",B486)</f>
        <v/>
      </c>
      <c r="D486" s="70" t="str">
        <f aca="false">IF($K486="","",INDEX(Base!$F$5:$F$2004,$K486))</f>
        <v/>
      </c>
      <c r="E486" s="70" t="str">
        <f aca="false">IF($K486="","",INDEX(Base!$G$5:$G$2004,$K486))</f>
        <v/>
      </c>
      <c r="F486" s="71" t="str">
        <f aca="false">IF($K486="","",INDEX(Base!$H$5:$H$2004,$K486))</f>
        <v/>
      </c>
      <c r="G486" s="71" t="str">
        <f aca="false">IF($K486="","",INDEX(Base!$I$5:$I$2004,$K486))</f>
        <v/>
      </c>
      <c r="H486" s="70" t="str">
        <f aca="false">IF($K486="","",INDEX(Base!$J$5:$J$2004,$K486))</f>
        <v/>
      </c>
      <c r="I486" s="71" t="str">
        <f aca="false">IF($K486="","",INDEX(Base!$L$5:$L$2004,$K486))</f>
        <v/>
      </c>
      <c r="J486" s="72" t="str">
        <f aca="false">IFERROR(SMALL(Base!$P$5:$P$2004,ROW()-5),"")</f>
        <v/>
      </c>
      <c r="K486" s="72" t="str">
        <f aca="false">IF(J486="","",MATCH(J486,Base!$P$5:$P$2004,0))</f>
        <v/>
      </c>
    </row>
    <row r="487" customFormat="false" ht="15" hidden="false" customHeight="false" outlineLevel="0" collapsed="false">
      <c r="A487" s="67" t="str">
        <f aca="false">IF($K487="","",ROW()-5)</f>
        <v/>
      </c>
      <c r="B487" s="68" t="str">
        <f aca="false">IF($K487="","",INDEX(Base!$E$5:$E$2004,$K487))</f>
        <v/>
      </c>
      <c r="C487" s="69" t="str">
        <f aca="false">IF($K487="","",B487)</f>
        <v/>
      </c>
      <c r="D487" s="70" t="str">
        <f aca="false">IF($K487="","",INDEX(Base!$F$5:$F$2004,$K487))</f>
        <v/>
      </c>
      <c r="E487" s="70" t="str">
        <f aca="false">IF($K487="","",INDEX(Base!$G$5:$G$2004,$K487))</f>
        <v/>
      </c>
      <c r="F487" s="71" t="str">
        <f aca="false">IF($K487="","",INDEX(Base!$H$5:$H$2004,$K487))</f>
        <v/>
      </c>
      <c r="G487" s="71" t="str">
        <f aca="false">IF($K487="","",INDEX(Base!$I$5:$I$2004,$K487))</f>
        <v/>
      </c>
      <c r="H487" s="70" t="str">
        <f aca="false">IF($K487="","",INDEX(Base!$J$5:$J$2004,$K487))</f>
        <v/>
      </c>
      <c r="I487" s="71" t="str">
        <f aca="false">IF($K487="","",INDEX(Base!$L$5:$L$2004,$K487))</f>
        <v/>
      </c>
      <c r="J487" s="72" t="str">
        <f aca="false">IFERROR(SMALL(Base!$P$5:$P$2004,ROW()-5),"")</f>
        <v/>
      </c>
      <c r="K487" s="72" t="str">
        <f aca="false">IF(J487="","",MATCH(J487,Base!$P$5:$P$2004,0))</f>
        <v/>
      </c>
    </row>
    <row r="488" customFormat="false" ht="15" hidden="false" customHeight="false" outlineLevel="0" collapsed="false">
      <c r="A488" s="67" t="str">
        <f aca="false">IF($K488="","",ROW()-5)</f>
        <v/>
      </c>
      <c r="B488" s="68" t="str">
        <f aca="false">IF($K488="","",INDEX(Base!$E$5:$E$2004,$K488))</f>
        <v/>
      </c>
      <c r="C488" s="69" t="str">
        <f aca="false">IF($K488="","",B488)</f>
        <v/>
      </c>
      <c r="D488" s="70" t="str">
        <f aca="false">IF($K488="","",INDEX(Base!$F$5:$F$2004,$K488))</f>
        <v/>
      </c>
      <c r="E488" s="70" t="str">
        <f aca="false">IF($K488="","",INDEX(Base!$G$5:$G$2004,$K488))</f>
        <v/>
      </c>
      <c r="F488" s="71" t="str">
        <f aca="false">IF($K488="","",INDEX(Base!$H$5:$H$2004,$K488))</f>
        <v/>
      </c>
      <c r="G488" s="71" t="str">
        <f aca="false">IF($K488="","",INDEX(Base!$I$5:$I$2004,$K488))</f>
        <v/>
      </c>
      <c r="H488" s="70" t="str">
        <f aca="false">IF($K488="","",INDEX(Base!$J$5:$J$2004,$K488))</f>
        <v/>
      </c>
      <c r="I488" s="71" t="str">
        <f aca="false">IF($K488="","",INDEX(Base!$L$5:$L$2004,$K488))</f>
        <v/>
      </c>
      <c r="J488" s="72" t="str">
        <f aca="false">IFERROR(SMALL(Base!$P$5:$P$2004,ROW()-5),"")</f>
        <v/>
      </c>
      <c r="K488" s="72" t="str">
        <f aca="false">IF(J488="","",MATCH(J488,Base!$P$5:$P$2004,0))</f>
        <v/>
      </c>
    </row>
    <row r="489" customFormat="false" ht="15" hidden="false" customHeight="false" outlineLevel="0" collapsed="false">
      <c r="A489" s="67" t="str">
        <f aca="false">IF($K489="","",ROW()-5)</f>
        <v/>
      </c>
      <c r="B489" s="68" t="str">
        <f aca="false">IF($K489="","",INDEX(Base!$E$5:$E$2004,$K489))</f>
        <v/>
      </c>
      <c r="C489" s="69" t="str">
        <f aca="false">IF($K489="","",B489)</f>
        <v/>
      </c>
      <c r="D489" s="70" t="str">
        <f aca="false">IF($K489="","",INDEX(Base!$F$5:$F$2004,$K489))</f>
        <v/>
      </c>
      <c r="E489" s="70" t="str">
        <f aca="false">IF($K489="","",INDEX(Base!$G$5:$G$2004,$K489))</f>
        <v/>
      </c>
      <c r="F489" s="71" t="str">
        <f aca="false">IF($K489="","",INDEX(Base!$H$5:$H$2004,$K489))</f>
        <v/>
      </c>
      <c r="G489" s="71" t="str">
        <f aca="false">IF($K489="","",INDEX(Base!$I$5:$I$2004,$K489))</f>
        <v/>
      </c>
      <c r="H489" s="70" t="str">
        <f aca="false">IF($K489="","",INDEX(Base!$J$5:$J$2004,$K489))</f>
        <v/>
      </c>
      <c r="I489" s="71" t="str">
        <f aca="false">IF($K489="","",INDEX(Base!$L$5:$L$2004,$K489))</f>
        <v/>
      </c>
      <c r="J489" s="72" t="str">
        <f aca="false">IFERROR(SMALL(Base!$P$5:$P$2004,ROW()-5),"")</f>
        <v/>
      </c>
      <c r="K489" s="72" t="str">
        <f aca="false">IF(J489="","",MATCH(J489,Base!$P$5:$P$2004,0))</f>
        <v/>
      </c>
    </row>
    <row r="490" customFormat="false" ht="15" hidden="false" customHeight="false" outlineLevel="0" collapsed="false">
      <c r="A490" s="67" t="str">
        <f aca="false">IF($K490="","",ROW()-5)</f>
        <v/>
      </c>
      <c r="B490" s="68" t="str">
        <f aca="false">IF($K490="","",INDEX(Base!$E$5:$E$2004,$K490))</f>
        <v/>
      </c>
      <c r="C490" s="69" t="str">
        <f aca="false">IF($K490="","",B490)</f>
        <v/>
      </c>
      <c r="D490" s="70" t="str">
        <f aca="false">IF($K490="","",INDEX(Base!$F$5:$F$2004,$K490))</f>
        <v/>
      </c>
      <c r="E490" s="70" t="str">
        <f aca="false">IF($K490="","",INDEX(Base!$G$5:$G$2004,$K490))</f>
        <v/>
      </c>
      <c r="F490" s="71" t="str">
        <f aca="false">IF($K490="","",INDEX(Base!$H$5:$H$2004,$K490))</f>
        <v/>
      </c>
      <c r="G490" s="71" t="str">
        <f aca="false">IF($K490="","",INDEX(Base!$I$5:$I$2004,$K490))</f>
        <v/>
      </c>
      <c r="H490" s="70" t="str">
        <f aca="false">IF($K490="","",INDEX(Base!$J$5:$J$2004,$K490))</f>
        <v/>
      </c>
      <c r="I490" s="71" t="str">
        <f aca="false">IF($K490="","",INDEX(Base!$L$5:$L$2004,$K490))</f>
        <v/>
      </c>
      <c r="J490" s="72" t="str">
        <f aca="false">IFERROR(SMALL(Base!$P$5:$P$2004,ROW()-5),"")</f>
        <v/>
      </c>
      <c r="K490" s="72" t="str">
        <f aca="false">IF(J490="","",MATCH(J490,Base!$P$5:$P$2004,0))</f>
        <v/>
      </c>
    </row>
    <row r="491" customFormat="false" ht="15" hidden="false" customHeight="false" outlineLevel="0" collapsed="false">
      <c r="A491" s="67" t="str">
        <f aca="false">IF($K491="","",ROW()-5)</f>
        <v/>
      </c>
      <c r="B491" s="68" t="str">
        <f aca="false">IF($K491="","",INDEX(Base!$E$5:$E$2004,$K491))</f>
        <v/>
      </c>
      <c r="C491" s="69" t="str">
        <f aca="false">IF($K491="","",B491)</f>
        <v/>
      </c>
      <c r="D491" s="70" t="str">
        <f aca="false">IF($K491="","",INDEX(Base!$F$5:$F$2004,$K491))</f>
        <v/>
      </c>
      <c r="E491" s="70" t="str">
        <f aca="false">IF($K491="","",INDEX(Base!$G$5:$G$2004,$K491))</f>
        <v/>
      </c>
      <c r="F491" s="71" t="str">
        <f aca="false">IF($K491="","",INDEX(Base!$H$5:$H$2004,$K491))</f>
        <v/>
      </c>
      <c r="G491" s="71" t="str">
        <f aca="false">IF($K491="","",INDEX(Base!$I$5:$I$2004,$K491))</f>
        <v/>
      </c>
      <c r="H491" s="70" t="str">
        <f aca="false">IF($K491="","",INDEX(Base!$J$5:$J$2004,$K491))</f>
        <v/>
      </c>
      <c r="I491" s="71" t="str">
        <f aca="false">IF($K491="","",INDEX(Base!$L$5:$L$2004,$K491))</f>
        <v/>
      </c>
      <c r="J491" s="72" t="str">
        <f aca="false">IFERROR(SMALL(Base!$P$5:$P$2004,ROW()-5),"")</f>
        <v/>
      </c>
      <c r="K491" s="72" t="str">
        <f aca="false">IF(J491="","",MATCH(J491,Base!$P$5:$P$2004,0))</f>
        <v/>
      </c>
    </row>
    <row r="492" customFormat="false" ht="15" hidden="false" customHeight="false" outlineLevel="0" collapsed="false">
      <c r="A492" s="67" t="str">
        <f aca="false">IF($K492="","",ROW()-5)</f>
        <v/>
      </c>
      <c r="B492" s="68" t="str">
        <f aca="false">IF($K492="","",INDEX(Base!$E$5:$E$2004,$K492))</f>
        <v/>
      </c>
      <c r="C492" s="69" t="str">
        <f aca="false">IF($K492="","",B492)</f>
        <v/>
      </c>
      <c r="D492" s="70" t="str">
        <f aca="false">IF($K492="","",INDEX(Base!$F$5:$F$2004,$K492))</f>
        <v/>
      </c>
      <c r="E492" s="70" t="str">
        <f aca="false">IF($K492="","",INDEX(Base!$G$5:$G$2004,$K492))</f>
        <v/>
      </c>
      <c r="F492" s="71" t="str">
        <f aca="false">IF($K492="","",INDEX(Base!$H$5:$H$2004,$K492))</f>
        <v/>
      </c>
      <c r="G492" s="71" t="str">
        <f aca="false">IF($K492="","",INDEX(Base!$I$5:$I$2004,$K492))</f>
        <v/>
      </c>
      <c r="H492" s="70" t="str">
        <f aca="false">IF($K492="","",INDEX(Base!$J$5:$J$2004,$K492))</f>
        <v/>
      </c>
      <c r="I492" s="71" t="str">
        <f aca="false">IF($K492="","",INDEX(Base!$L$5:$L$2004,$K492))</f>
        <v/>
      </c>
      <c r="J492" s="72" t="str">
        <f aca="false">IFERROR(SMALL(Base!$P$5:$P$2004,ROW()-5),"")</f>
        <v/>
      </c>
      <c r="K492" s="72" t="str">
        <f aca="false">IF(J492="","",MATCH(J492,Base!$P$5:$P$2004,0))</f>
        <v/>
      </c>
    </row>
    <row r="493" customFormat="false" ht="15" hidden="false" customHeight="false" outlineLevel="0" collapsed="false">
      <c r="A493" s="67" t="str">
        <f aca="false">IF($K493="","",ROW()-5)</f>
        <v/>
      </c>
      <c r="B493" s="68" t="str">
        <f aca="false">IF($K493="","",INDEX(Base!$E$5:$E$2004,$K493))</f>
        <v/>
      </c>
      <c r="C493" s="69" t="str">
        <f aca="false">IF($K493="","",B493)</f>
        <v/>
      </c>
      <c r="D493" s="70" t="str">
        <f aca="false">IF($K493="","",INDEX(Base!$F$5:$F$2004,$K493))</f>
        <v/>
      </c>
      <c r="E493" s="70" t="str">
        <f aca="false">IF($K493="","",INDEX(Base!$G$5:$G$2004,$K493))</f>
        <v/>
      </c>
      <c r="F493" s="71" t="str">
        <f aca="false">IF($K493="","",INDEX(Base!$H$5:$H$2004,$K493))</f>
        <v/>
      </c>
      <c r="G493" s="71" t="str">
        <f aca="false">IF($K493="","",INDEX(Base!$I$5:$I$2004,$K493))</f>
        <v/>
      </c>
      <c r="H493" s="70" t="str">
        <f aca="false">IF($K493="","",INDEX(Base!$J$5:$J$2004,$K493))</f>
        <v/>
      </c>
      <c r="I493" s="71" t="str">
        <f aca="false">IF($K493="","",INDEX(Base!$L$5:$L$2004,$K493))</f>
        <v/>
      </c>
      <c r="J493" s="72" t="str">
        <f aca="false">IFERROR(SMALL(Base!$P$5:$P$2004,ROW()-5),"")</f>
        <v/>
      </c>
      <c r="K493" s="72" t="str">
        <f aca="false">IF(J493="","",MATCH(J493,Base!$P$5:$P$2004,0))</f>
        <v/>
      </c>
    </row>
    <row r="494" customFormat="false" ht="15" hidden="false" customHeight="false" outlineLevel="0" collapsed="false">
      <c r="A494" s="67" t="str">
        <f aca="false">IF($K494="","",ROW()-5)</f>
        <v/>
      </c>
      <c r="B494" s="68" t="str">
        <f aca="false">IF($K494="","",INDEX(Base!$E$5:$E$2004,$K494))</f>
        <v/>
      </c>
      <c r="C494" s="69" t="str">
        <f aca="false">IF($K494="","",B494)</f>
        <v/>
      </c>
      <c r="D494" s="70" t="str">
        <f aca="false">IF($K494="","",INDEX(Base!$F$5:$F$2004,$K494))</f>
        <v/>
      </c>
      <c r="E494" s="70" t="str">
        <f aca="false">IF($K494="","",INDEX(Base!$G$5:$G$2004,$K494))</f>
        <v/>
      </c>
      <c r="F494" s="71" t="str">
        <f aca="false">IF($K494="","",INDEX(Base!$H$5:$H$2004,$K494))</f>
        <v/>
      </c>
      <c r="G494" s="71" t="str">
        <f aca="false">IF($K494="","",INDEX(Base!$I$5:$I$2004,$K494))</f>
        <v/>
      </c>
      <c r="H494" s="70" t="str">
        <f aca="false">IF($K494="","",INDEX(Base!$J$5:$J$2004,$K494))</f>
        <v/>
      </c>
      <c r="I494" s="71" t="str">
        <f aca="false">IF($K494="","",INDEX(Base!$L$5:$L$2004,$K494))</f>
        <v/>
      </c>
      <c r="J494" s="72" t="str">
        <f aca="false">IFERROR(SMALL(Base!$P$5:$P$2004,ROW()-5),"")</f>
        <v/>
      </c>
      <c r="K494" s="72" t="str">
        <f aca="false">IF(J494="","",MATCH(J494,Base!$P$5:$P$2004,0))</f>
        <v/>
      </c>
    </row>
    <row r="495" customFormat="false" ht="15" hidden="false" customHeight="false" outlineLevel="0" collapsed="false">
      <c r="A495" s="67" t="str">
        <f aca="false">IF($K495="","",ROW()-5)</f>
        <v/>
      </c>
      <c r="B495" s="68" t="str">
        <f aca="false">IF($K495="","",INDEX(Base!$E$5:$E$2004,$K495))</f>
        <v/>
      </c>
      <c r="C495" s="69" t="str">
        <f aca="false">IF($K495="","",B495)</f>
        <v/>
      </c>
      <c r="D495" s="70" t="str">
        <f aca="false">IF($K495="","",INDEX(Base!$F$5:$F$2004,$K495))</f>
        <v/>
      </c>
      <c r="E495" s="70" t="str">
        <f aca="false">IF($K495="","",INDEX(Base!$G$5:$G$2004,$K495))</f>
        <v/>
      </c>
      <c r="F495" s="71" t="str">
        <f aca="false">IF($K495="","",INDEX(Base!$H$5:$H$2004,$K495))</f>
        <v/>
      </c>
      <c r="G495" s="71" t="str">
        <f aca="false">IF($K495="","",INDEX(Base!$I$5:$I$2004,$K495))</f>
        <v/>
      </c>
      <c r="H495" s="70" t="str">
        <f aca="false">IF($K495="","",INDEX(Base!$J$5:$J$2004,$K495))</f>
        <v/>
      </c>
      <c r="I495" s="71" t="str">
        <f aca="false">IF($K495="","",INDEX(Base!$L$5:$L$2004,$K495))</f>
        <v/>
      </c>
      <c r="J495" s="72" t="str">
        <f aca="false">IFERROR(SMALL(Base!$P$5:$P$2004,ROW()-5),"")</f>
        <v/>
      </c>
      <c r="K495" s="72" t="str">
        <f aca="false">IF(J495="","",MATCH(J495,Base!$P$5:$P$2004,0))</f>
        <v/>
      </c>
    </row>
    <row r="496" customFormat="false" ht="15" hidden="false" customHeight="false" outlineLevel="0" collapsed="false">
      <c r="A496" s="67" t="str">
        <f aca="false">IF($K496="","",ROW()-5)</f>
        <v/>
      </c>
      <c r="B496" s="68" t="str">
        <f aca="false">IF($K496="","",INDEX(Base!$E$5:$E$2004,$K496))</f>
        <v/>
      </c>
      <c r="C496" s="69" t="str">
        <f aca="false">IF($K496="","",B496)</f>
        <v/>
      </c>
      <c r="D496" s="70" t="str">
        <f aca="false">IF($K496="","",INDEX(Base!$F$5:$F$2004,$K496))</f>
        <v/>
      </c>
      <c r="E496" s="70" t="str">
        <f aca="false">IF($K496="","",INDEX(Base!$G$5:$G$2004,$K496))</f>
        <v/>
      </c>
      <c r="F496" s="71" t="str">
        <f aca="false">IF($K496="","",INDEX(Base!$H$5:$H$2004,$K496))</f>
        <v/>
      </c>
      <c r="G496" s="71" t="str">
        <f aca="false">IF($K496="","",INDEX(Base!$I$5:$I$2004,$K496))</f>
        <v/>
      </c>
      <c r="H496" s="70" t="str">
        <f aca="false">IF($K496="","",INDEX(Base!$J$5:$J$2004,$K496))</f>
        <v/>
      </c>
      <c r="I496" s="71" t="str">
        <f aca="false">IF($K496="","",INDEX(Base!$L$5:$L$2004,$K496))</f>
        <v/>
      </c>
      <c r="J496" s="72" t="str">
        <f aca="false">IFERROR(SMALL(Base!$P$5:$P$2004,ROW()-5),"")</f>
        <v/>
      </c>
      <c r="K496" s="72" t="str">
        <f aca="false">IF(J496="","",MATCH(J496,Base!$P$5:$P$2004,0))</f>
        <v/>
      </c>
    </row>
    <row r="497" customFormat="false" ht="15" hidden="false" customHeight="false" outlineLevel="0" collapsed="false">
      <c r="A497" s="67" t="str">
        <f aca="false">IF($K497="","",ROW()-5)</f>
        <v/>
      </c>
      <c r="B497" s="68" t="str">
        <f aca="false">IF($K497="","",INDEX(Base!$E$5:$E$2004,$K497))</f>
        <v/>
      </c>
      <c r="C497" s="69" t="str">
        <f aca="false">IF($K497="","",B497)</f>
        <v/>
      </c>
      <c r="D497" s="70" t="str">
        <f aca="false">IF($K497="","",INDEX(Base!$F$5:$F$2004,$K497))</f>
        <v/>
      </c>
      <c r="E497" s="70" t="str">
        <f aca="false">IF($K497="","",INDEX(Base!$G$5:$G$2004,$K497))</f>
        <v/>
      </c>
      <c r="F497" s="71" t="str">
        <f aca="false">IF($K497="","",INDEX(Base!$H$5:$H$2004,$K497))</f>
        <v/>
      </c>
      <c r="G497" s="71" t="str">
        <f aca="false">IF($K497="","",INDEX(Base!$I$5:$I$2004,$K497))</f>
        <v/>
      </c>
      <c r="H497" s="70" t="str">
        <f aca="false">IF($K497="","",INDEX(Base!$J$5:$J$2004,$K497))</f>
        <v/>
      </c>
      <c r="I497" s="71" t="str">
        <f aca="false">IF($K497="","",INDEX(Base!$L$5:$L$2004,$K497))</f>
        <v/>
      </c>
      <c r="J497" s="72" t="str">
        <f aca="false">IFERROR(SMALL(Base!$P$5:$P$2004,ROW()-5),"")</f>
        <v/>
      </c>
      <c r="K497" s="72" t="str">
        <f aca="false">IF(J497="","",MATCH(J497,Base!$P$5:$P$2004,0))</f>
        <v/>
      </c>
    </row>
    <row r="498" customFormat="false" ht="15" hidden="false" customHeight="false" outlineLevel="0" collapsed="false">
      <c r="A498" s="67" t="str">
        <f aca="false">IF($K498="","",ROW()-5)</f>
        <v/>
      </c>
      <c r="B498" s="68" t="str">
        <f aca="false">IF($K498="","",INDEX(Base!$E$5:$E$2004,$K498))</f>
        <v/>
      </c>
      <c r="C498" s="69" t="str">
        <f aca="false">IF($K498="","",B498)</f>
        <v/>
      </c>
      <c r="D498" s="70" t="str">
        <f aca="false">IF($K498="","",INDEX(Base!$F$5:$F$2004,$K498))</f>
        <v/>
      </c>
      <c r="E498" s="70" t="str">
        <f aca="false">IF($K498="","",INDEX(Base!$G$5:$G$2004,$K498))</f>
        <v/>
      </c>
      <c r="F498" s="71" t="str">
        <f aca="false">IF($K498="","",INDEX(Base!$H$5:$H$2004,$K498))</f>
        <v/>
      </c>
      <c r="G498" s="71" t="str">
        <f aca="false">IF($K498="","",INDEX(Base!$I$5:$I$2004,$K498))</f>
        <v/>
      </c>
      <c r="H498" s="70" t="str">
        <f aca="false">IF($K498="","",INDEX(Base!$J$5:$J$2004,$K498))</f>
        <v/>
      </c>
      <c r="I498" s="71" t="str">
        <f aca="false">IF($K498="","",INDEX(Base!$L$5:$L$2004,$K498))</f>
        <v/>
      </c>
      <c r="J498" s="72" t="str">
        <f aca="false">IFERROR(SMALL(Base!$P$5:$P$2004,ROW()-5),"")</f>
        <v/>
      </c>
      <c r="K498" s="72" t="str">
        <f aca="false">IF(J498="","",MATCH(J498,Base!$P$5:$P$2004,0))</f>
        <v/>
      </c>
    </row>
    <row r="499" customFormat="false" ht="15" hidden="false" customHeight="false" outlineLevel="0" collapsed="false">
      <c r="A499" s="67" t="str">
        <f aca="false">IF($K499="","",ROW()-5)</f>
        <v/>
      </c>
      <c r="B499" s="68" t="str">
        <f aca="false">IF($K499="","",INDEX(Base!$E$5:$E$2004,$K499))</f>
        <v/>
      </c>
      <c r="C499" s="69" t="str">
        <f aca="false">IF($K499="","",B499)</f>
        <v/>
      </c>
      <c r="D499" s="70" t="str">
        <f aca="false">IF($K499="","",INDEX(Base!$F$5:$F$2004,$K499))</f>
        <v/>
      </c>
      <c r="E499" s="70" t="str">
        <f aca="false">IF($K499="","",INDEX(Base!$G$5:$G$2004,$K499))</f>
        <v/>
      </c>
      <c r="F499" s="71" t="str">
        <f aca="false">IF($K499="","",INDEX(Base!$H$5:$H$2004,$K499))</f>
        <v/>
      </c>
      <c r="G499" s="71" t="str">
        <f aca="false">IF($K499="","",INDEX(Base!$I$5:$I$2004,$K499))</f>
        <v/>
      </c>
      <c r="H499" s="70" t="str">
        <f aca="false">IF($K499="","",INDEX(Base!$J$5:$J$2004,$K499))</f>
        <v/>
      </c>
      <c r="I499" s="71" t="str">
        <f aca="false">IF($K499="","",INDEX(Base!$L$5:$L$2004,$K499))</f>
        <v/>
      </c>
      <c r="J499" s="72" t="str">
        <f aca="false">IFERROR(SMALL(Base!$P$5:$P$2004,ROW()-5),"")</f>
        <v/>
      </c>
      <c r="K499" s="72" t="str">
        <f aca="false">IF(J499="","",MATCH(J499,Base!$P$5:$P$2004,0))</f>
        <v/>
      </c>
    </row>
    <row r="500" customFormat="false" ht="15" hidden="false" customHeight="false" outlineLevel="0" collapsed="false">
      <c r="A500" s="67" t="str">
        <f aca="false">IF($K500="","",ROW()-5)</f>
        <v/>
      </c>
      <c r="B500" s="68" t="str">
        <f aca="false">IF($K500="","",INDEX(Base!$E$5:$E$2004,$K500))</f>
        <v/>
      </c>
      <c r="C500" s="69" t="str">
        <f aca="false">IF($K500="","",B500)</f>
        <v/>
      </c>
      <c r="D500" s="70" t="str">
        <f aca="false">IF($K500="","",INDEX(Base!$F$5:$F$2004,$K500))</f>
        <v/>
      </c>
      <c r="E500" s="70" t="str">
        <f aca="false">IF($K500="","",INDEX(Base!$G$5:$G$2004,$K500))</f>
        <v/>
      </c>
      <c r="F500" s="71" t="str">
        <f aca="false">IF($K500="","",INDEX(Base!$H$5:$H$2004,$K500))</f>
        <v/>
      </c>
      <c r="G500" s="71" t="str">
        <f aca="false">IF($K500="","",INDEX(Base!$I$5:$I$2004,$K500))</f>
        <v/>
      </c>
      <c r="H500" s="70" t="str">
        <f aca="false">IF($K500="","",INDEX(Base!$J$5:$J$2004,$K500))</f>
        <v/>
      </c>
      <c r="I500" s="71" t="str">
        <f aca="false">IF($K500="","",INDEX(Base!$L$5:$L$2004,$K500))</f>
        <v/>
      </c>
      <c r="J500" s="72" t="str">
        <f aca="false">IFERROR(SMALL(Base!$P$5:$P$2004,ROW()-5),"")</f>
        <v/>
      </c>
      <c r="K500" s="72" t="str">
        <f aca="false">IF(J500="","",MATCH(J500,Base!$P$5:$P$2004,0))</f>
        <v/>
      </c>
    </row>
    <row r="501" customFormat="false" ht="15" hidden="false" customHeight="false" outlineLevel="0" collapsed="false">
      <c r="A501" s="67" t="str">
        <f aca="false">IF($K501="","",ROW()-5)</f>
        <v/>
      </c>
      <c r="B501" s="68" t="str">
        <f aca="false">IF($K501="","",INDEX(Base!$E$5:$E$2004,$K501))</f>
        <v/>
      </c>
      <c r="C501" s="69" t="str">
        <f aca="false">IF($K501="","",B501)</f>
        <v/>
      </c>
      <c r="D501" s="70" t="str">
        <f aca="false">IF($K501="","",INDEX(Base!$F$5:$F$2004,$K501))</f>
        <v/>
      </c>
      <c r="E501" s="70" t="str">
        <f aca="false">IF($K501="","",INDEX(Base!$G$5:$G$2004,$K501))</f>
        <v/>
      </c>
      <c r="F501" s="71" t="str">
        <f aca="false">IF($K501="","",INDEX(Base!$H$5:$H$2004,$K501))</f>
        <v/>
      </c>
      <c r="G501" s="71" t="str">
        <f aca="false">IF($K501="","",INDEX(Base!$I$5:$I$2004,$K501))</f>
        <v/>
      </c>
      <c r="H501" s="70" t="str">
        <f aca="false">IF($K501="","",INDEX(Base!$J$5:$J$2004,$K501))</f>
        <v/>
      </c>
      <c r="I501" s="71" t="str">
        <f aca="false">IF($K501="","",INDEX(Base!$L$5:$L$2004,$K501))</f>
        <v/>
      </c>
      <c r="J501" s="72" t="str">
        <f aca="false">IFERROR(SMALL(Base!$P$5:$P$2004,ROW()-5),"")</f>
        <v/>
      </c>
      <c r="K501" s="72" t="str">
        <f aca="false">IF(J501="","",MATCH(J501,Base!$P$5:$P$2004,0))</f>
        <v/>
      </c>
    </row>
    <row r="502" customFormat="false" ht="15" hidden="false" customHeight="false" outlineLevel="0" collapsed="false">
      <c r="A502" s="67" t="str">
        <f aca="false">IF($K502="","",ROW()-5)</f>
        <v/>
      </c>
      <c r="B502" s="68" t="str">
        <f aca="false">IF($K502="","",INDEX(Base!$E$5:$E$2004,$K502))</f>
        <v/>
      </c>
      <c r="C502" s="69" t="str">
        <f aca="false">IF($K502="","",B502)</f>
        <v/>
      </c>
      <c r="D502" s="70" t="str">
        <f aca="false">IF($K502="","",INDEX(Base!$F$5:$F$2004,$K502))</f>
        <v/>
      </c>
      <c r="E502" s="70" t="str">
        <f aca="false">IF($K502="","",INDEX(Base!$G$5:$G$2004,$K502))</f>
        <v/>
      </c>
      <c r="F502" s="71" t="str">
        <f aca="false">IF($K502="","",INDEX(Base!$H$5:$H$2004,$K502))</f>
        <v/>
      </c>
      <c r="G502" s="71" t="str">
        <f aca="false">IF($K502="","",INDEX(Base!$I$5:$I$2004,$K502))</f>
        <v/>
      </c>
      <c r="H502" s="70" t="str">
        <f aca="false">IF($K502="","",INDEX(Base!$J$5:$J$2004,$K502))</f>
        <v/>
      </c>
      <c r="I502" s="71" t="str">
        <f aca="false">IF($K502="","",INDEX(Base!$L$5:$L$2004,$K502))</f>
        <v/>
      </c>
      <c r="J502" s="72" t="str">
        <f aca="false">IFERROR(SMALL(Base!$P$5:$P$2004,ROW()-5),"")</f>
        <v/>
      </c>
      <c r="K502" s="72" t="str">
        <f aca="false">IF(J502="","",MATCH(J502,Base!$P$5:$P$2004,0))</f>
        <v/>
      </c>
    </row>
    <row r="503" customFormat="false" ht="15" hidden="false" customHeight="false" outlineLevel="0" collapsed="false">
      <c r="A503" s="67" t="str">
        <f aca="false">IF($K503="","",ROW()-5)</f>
        <v/>
      </c>
      <c r="B503" s="68" t="str">
        <f aca="false">IF($K503="","",INDEX(Base!$E$5:$E$2004,$K503))</f>
        <v/>
      </c>
      <c r="C503" s="69" t="str">
        <f aca="false">IF($K503="","",B503)</f>
        <v/>
      </c>
      <c r="D503" s="70" t="str">
        <f aca="false">IF($K503="","",INDEX(Base!$F$5:$F$2004,$K503))</f>
        <v/>
      </c>
      <c r="E503" s="70" t="str">
        <f aca="false">IF($K503="","",INDEX(Base!$G$5:$G$2004,$K503))</f>
        <v/>
      </c>
      <c r="F503" s="71" t="str">
        <f aca="false">IF($K503="","",INDEX(Base!$H$5:$H$2004,$K503))</f>
        <v/>
      </c>
      <c r="G503" s="71" t="str">
        <f aca="false">IF($K503="","",INDEX(Base!$I$5:$I$2004,$K503))</f>
        <v/>
      </c>
      <c r="H503" s="70" t="str">
        <f aca="false">IF($K503="","",INDEX(Base!$J$5:$J$2004,$K503))</f>
        <v/>
      </c>
      <c r="I503" s="71" t="str">
        <f aca="false">IF($K503="","",INDEX(Base!$L$5:$L$2004,$K503))</f>
        <v/>
      </c>
      <c r="J503" s="72" t="str">
        <f aca="false">IFERROR(SMALL(Base!$P$5:$P$2004,ROW()-5),"")</f>
        <v/>
      </c>
      <c r="K503" s="72" t="str">
        <f aca="false">IF(J503="","",MATCH(J503,Base!$P$5:$P$2004,0))</f>
        <v/>
      </c>
    </row>
    <row r="504" customFormat="false" ht="15" hidden="false" customHeight="false" outlineLevel="0" collapsed="false">
      <c r="A504" s="67" t="str">
        <f aca="false">IF($K504="","",ROW()-5)</f>
        <v/>
      </c>
      <c r="B504" s="68" t="str">
        <f aca="false">IF($K504="","",INDEX(Base!$E$5:$E$2004,$K504))</f>
        <v/>
      </c>
      <c r="C504" s="69" t="str">
        <f aca="false">IF($K504="","",B504)</f>
        <v/>
      </c>
      <c r="D504" s="70" t="str">
        <f aca="false">IF($K504="","",INDEX(Base!$F$5:$F$2004,$K504))</f>
        <v/>
      </c>
      <c r="E504" s="70" t="str">
        <f aca="false">IF($K504="","",INDEX(Base!$G$5:$G$2004,$K504))</f>
        <v/>
      </c>
      <c r="F504" s="71" t="str">
        <f aca="false">IF($K504="","",INDEX(Base!$H$5:$H$2004,$K504))</f>
        <v/>
      </c>
      <c r="G504" s="71" t="str">
        <f aca="false">IF($K504="","",INDEX(Base!$I$5:$I$2004,$K504))</f>
        <v/>
      </c>
      <c r="H504" s="70" t="str">
        <f aca="false">IF($K504="","",INDEX(Base!$J$5:$J$2004,$K504))</f>
        <v/>
      </c>
      <c r="I504" s="71" t="str">
        <f aca="false">IF($K504="","",INDEX(Base!$L$5:$L$2004,$K504))</f>
        <v/>
      </c>
      <c r="J504" s="72" t="str">
        <f aca="false">IFERROR(SMALL(Base!$P$5:$P$2004,ROW()-5),"")</f>
        <v/>
      </c>
      <c r="K504" s="72" t="str">
        <f aca="false">IF(J504="","",MATCH(J504,Base!$P$5:$P$2004,0))</f>
        <v/>
      </c>
    </row>
    <row r="505" customFormat="false" ht="15" hidden="false" customHeight="false" outlineLevel="0" collapsed="false">
      <c r="A505" s="67" t="str">
        <f aca="false">IF($K505="","",ROW()-5)</f>
        <v/>
      </c>
      <c r="B505" s="68" t="str">
        <f aca="false">IF($K505="","",INDEX(Base!$E$5:$E$2004,$K505))</f>
        <v/>
      </c>
      <c r="C505" s="69" t="str">
        <f aca="false">IF($K505="","",B505)</f>
        <v/>
      </c>
      <c r="D505" s="70" t="str">
        <f aca="false">IF($K505="","",INDEX(Base!$F$5:$F$2004,$K505))</f>
        <v/>
      </c>
      <c r="E505" s="70" t="str">
        <f aca="false">IF($K505="","",INDEX(Base!$G$5:$G$2004,$K505))</f>
        <v/>
      </c>
      <c r="F505" s="71" t="str">
        <f aca="false">IF($K505="","",INDEX(Base!$H$5:$H$2004,$K505))</f>
        <v/>
      </c>
      <c r="G505" s="71" t="str">
        <f aca="false">IF($K505="","",INDEX(Base!$I$5:$I$2004,$K505))</f>
        <v/>
      </c>
      <c r="H505" s="70" t="str">
        <f aca="false">IF($K505="","",INDEX(Base!$J$5:$J$2004,$K505))</f>
        <v/>
      </c>
      <c r="I505" s="71" t="str">
        <f aca="false">IF($K505="","",INDEX(Base!$L$5:$L$2004,$K505))</f>
        <v/>
      </c>
      <c r="J505" s="72" t="str">
        <f aca="false">IFERROR(SMALL(Base!$P$5:$P$2004,ROW()-5),"")</f>
        <v/>
      </c>
      <c r="K505" s="72" t="str">
        <f aca="false">IF(J505="","",MATCH(J505,Base!$P$5:$P$2004,0))</f>
        <v/>
      </c>
    </row>
    <row r="506" customFormat="false" ht="15" hidden="false" customHeight="false" outlineLevel="0" collapsed="false">
      <c r="A506" s="67" t="str">
        <f aca="false">IF($K506="","",ROW()-5)</f>
        <v/>
      </c>
      <c r="B506" s="68" t="str">
        <f aca="false">IF($K506="","",INDEX(Base!$E$5:$E$2004,$K506))</f>
        <v/>
      </c>
      <c r="C506" s="69" t="str">
        <f aca="false">IF($K506="","",B506)</f>
        <v/>
      </c>
      <c r="D506" s="70" t="str">
        <f aca="false">IF($K506="","",INDEX(Base!$F$5:$F$2004,$K506))</f>
        <v/>
      </c>
      <c r="E506" s="70" t="str">
        <f aca="false">IF($K506="","",INDEX(Base!$G$5:$G$2004,$K506))</f>
        <v/>
      </c>
      <c r="F506" s="71" t="str">
        <f aca="false">IF($K506="","",INDEX(Base!$H$5:$H$2004,$K506))</f>
        <v/>
      </c>
      <c r="G506" s="71" t="str">
        <f aca="false">IF($K506="","",INDEX(Base!$I$5:$I$2004,$K506))</f>
        <v/>
      </c>
      <c r="H506" s="70" t="str">
        <f aca="false">IF($K506="","",INDEX(Base!$J$5:$J$2004,$K506))</f>
        <v/>
      </c>
      <c r="I506" s="71" t="str">
        <f aca="false">IF($K506="","",INDEX(Base!$L$5:$L$2004,$K506))</f>
        <v/>
      </c>
      <c r="J506" s="72" t="str">
        <f aca="false">IFERROR(SMALL(Base!$P$5:$P$2004,ROW()-5),"")</f>
        <v/>
      </c>
      <c r="K506" s="72" t="str">
        <f aca="false">IF(J506="","",MATCH(J506,Base!$P$5:$P$2004,0))</f>
        <v/>
      </c>
    </row>
    <row r="507" customFormat="false" ht="15" hidden="false" customHeight="false" outlineLevel="0" collapsed="false">
      <c r="A507" s="67" t="str">
        <f aca="false">IF($K507="","",ROW()-5)</f>
        <v/>
      </c>
      <c r="B507" s="68" t="str">
        <f aca="false">IF($K507="","",INDEX(Base!$E$5:$E$2004,$K507))</f>
        <v/>
      </c>
      <c r="C507" s="69" t="str">
        <f aca="false">IF($K507="","",B507)</f>
        <v/>
      </c>
      <c r="D507" s="70" t="str">
        <f aca="false">IF($K507="","",INDEX(Base!$F$5:$F$2004,$K507))</f>
        <v/>
      </c>
      <c r="E507" s="70" t="str">
        <f aca="false">IF($K507="","",INDEX(Base!$G$5:$G$2004,$K507))</f>
        <v/>
      </c>
      <c r="F507" s="71" t="str">
        <f aca="false">IF($K507="","",INDEX(Base!$H$5:$H$2004,$K507))</f>
        <v/>
      </c>
      <c r="G507" s="71" t="str">
        <f aca="false">IF($K507="","",INDEX(Base!$I$5:$I$2004,$K507))</f>
        <v/>
      </c>
      <c r="H507" s="70" t="str">
        <f aca="false">IF($K507="","",INDEX(Base!$J$5:$J$2004,$K507))</f>
        <v/>
      </c>
      <c r="I507" s="71" t="str">
        <f aca="false">IF($K507="","",INDEX(Base!$L$5:$L$2004,$K507))</f>
        <v/>
      </c>
      <c r="J507" s="72" t="str">
        <f aca="false">IFERROR(SMALL(Base!$P$5:$P$2004,ROW()-5),"")</f>
        <v/>
      </c>
      <c r="K507" s="72" t="str">
        <f aca="false">IF(J507="","",MATCH(J507,Base!$P$5:$P$2004,0))</f>
        <v/>
      </c>
    </row>
    <row r="508" customFormat="false" ht="15" hidden="false" customHeight="false" outlineLevel="0" collapsed="false">
      <c r="A508" s="67" t="str">
        <f aca="false">IF($K508="","",ROW()-5)</f>
        <v/>
      </c>
      <c r="B508" s="68" t="str">
        <f aca="false">IF($K508="","",INDEX(Base!$E$5:$E$2004,$K508))</f>
        <v/>
      </c>
      <c r="C508" s="69" t="str">
        <f aca="false">IF($K508="","",B508)</f>
        <v/>
      </c>
      <c r="D508" s="70" t="str">
        <f aca="false">IF($K508="","",INDEX(Base!$F$5:$F$2004,$K508))</f>
        <v/>
      </c>
      <c r="E508" s="70" t="str">
        <f aca="false">IF($K508="","",INDEX(Base!$G$5:$G$2004,$K508))</f>
        <v/>
      </c>
      <c r="F508" s="71" t="str">
        <f aca="false">IF($K508="","",INDEX(Base!$H$5:$H$2004,$K508))</f>
        <v/>
      </c>
      <c r="G508" s="71" t="str">
        <f aca="false">IF($K508="","",INDEX(Base!$I$5:$I$2004,$K508))</f>
        <v/>
      </c>
      <c r="H508" s="70" t="str">
        <f aca="false">IF($K508="","",INDEX(Base!$J$5:$J$2004,$K508))</f>
        <v/>
      </c>
      <c r="I508" s="71" t="str">
        <f aca="false">IF($K508="","",INDEX(Base!$L$5:$L$2004,$K508))</f>
        <v/>
      </c>
      <c r="J508" s="72" t="str">
        <f aca="false">IFERROR(SMALL(Base!$P$5:$P$2004,ROW()-5),"")</f>
        <v/>
      </c>
      <c r="K508" s="72" t="str">
        <f aca="false">IF(J508="","",MATCH(J508,Base!$P$5:$P$2004,0))</f>
        <v/>
      </c>
    </row>
    <row r="509" customFormat="false" ht="15" hidden="false" customHeight="false" outlineLevel="0" collapsed="false">
      <c r="A509" s="67" t="str">
        <f aca="false">IF($K509="","",ROW()-5)</f>
        <v/>
      </c>
      <c r="B509" s="68" t="str">
        <f aca="false">IF($K509="","",INDEX(Base!$E$5:$E$2004,$K509))</f>
        <v/>
      </c>
      <c r="C509" s="69" t="str">
        <f aca="false">IF($K509="","",B509)</f>
        <v/>
      </c>
      <c r="D509" s="70" t="str">
        <f aca="false">IF($K509="","",INDEX(Base!$F$5:$F$2004,$K509))</f>
        <v/>
      </c>
      <c r="E509" s="70" t="str">
        <f aca="false">IF($K509="","",INDEX(Base!$G$5:$G$2004,$K509))</f>
        <v/>
      </c>
      <c r="F509" s="71" t="str">
        <f aca="false">IF($K509="","",INDEX(Base!$H$5:$H$2004,$K509))</f>
        <v/>
      </c>
      <c r="G509" s="71" t="str">
        <f aca="false">IF($K509="","",INDEX(Base!$I$5:$I$2004,$K509))</f>
        <v/>
      </c>
      <c r="H509" s="70" t="str">
        <f aca="false">IF($K509="","",INDEX(Base!$J$5:$J$2004,$K509))</f>
        <v/>
      </c>
      <c r="I509" s="71" t="str">
        <f aca="false">IF($K509="","",INDEX(Base!$L$5:$L$2004,$K509))</f>
        <v/>
      </c>
      <c r="J509" s="72" t="str">
        <f aca="false">IFERROR(SMALL(Base!$P$5:$P$2004,ROW()-5),"")</f>
        <v/>
      </c>
      <c r="K509" s="72" t="str">
        <f aca="false">IF(J509="","",MATCH(J509,Base!$P$5:$P$2004,0))</f>
        <v/>
      </c>
    </row>
    <row r="510" customFormat="false" ht="15" hidden="false" customHeight="false" outlineLevel="0" collapsed="false">
      <c r="A510" s="67" t="str">
        <f aca="false">IF($K510="","",ROW()-5)</f>
        <v/>
      </c>
      <c r="B510" s="68" t="str">
        <f aca="false">IF($K510="","",INDEX(Base!$E$5:$E$2004,$K510))</f>
        <v/>
      </c>
      <c r="C510" s="69" t="str">
        <f aca="false">IF($K510="","",B510)</f>
        <v/>
      </c>
      <c r="D510" s="70" t="str">
        <f aca="false">IF($K510="","",INDEX(Base!$F$5:$F$2004,$K510))</f>
        <v/>
      </c>
      <c r="E510" s="70" t="str">
        <f aca="false">IF($K510="","",INDEX(Base!$G$5:$G$2004,$K510))</f>
        <v/>
      </c>
      <c r="F510" s="71" t="str">
        <f aca="false">IF($K510="","",INDEX(Base!$H$5:$H$2004,$K510))</f>
        <v/>
      </c>
      <c r="G510" s="71" t="str">
        <f aca="false">IF($K510="","",INDEX(Base!$I$5:$I$2004,$K510))</f>
        <v/>
      </c>
      <c r="H510" s="70" t="str">
        <f aca="false">IF($K510="","",INDEX(Base!$J$5:$J$2004,$K510))</f>
        <v/>
      </c>
      <c r="I510" s="71" t="str">
        <f aca="false">IF($K510="","",INDEX(Base!$L$5:$L$2004,$K510))</f>
        <v/>
      </c>
      <c r="J510" s="72" t="str">
        <f aca="false">IFERROR(SMALL(Base!$P$5:$P$2004,ROW()-5),"")</f>
        <v/>
      </c>
      <c r="K510" s="72" t="str">
        <f aca="false">IF(J510="","",MATCH(J510,Base!$P$5:$P$2004,0))</f>
        <v/>
      </c>
    </row>
    <row r="511" customFormat="false" ht="15" hidden="false" customHeight="false" outlineLevel="0" collapsed="false">
      <c r="A511" s="67" t="str">
        <f aca="false">IF($K511="","",ROW()-5)</f>
        <v/>
      </c>
      <c r="B511" s="68" t="str">
        <f aca="false">IF($K511="","",INDEX(Base!$E$5:$E$2004,$K511))</f>
        <v/>
      </c>
      <c r="C511" s="69" t="str">
        <f aca="false">IF($K511="","",B511)</f>
        <v/>
      </c>
      <c r="D511" s="70" t="str">
        <f aca="false">IF($K511="","",INDEX(Base!$F$5:$F$2004,$K511))</f>
        <v/>
      </c>
      <c r="E511" s="70" t="str">
        <f aca="false">IF($K511="","",INDEX(Base!$G$5:$G$2004,$K511))</f>
        <v/>
      </c>
      <c r="F511" s="71" t="str">
        <f aca="false">IF($K511="","",INDEX(Base!$H$5:$H$2004,$K511))</f>
        <v/>
      </c>
      <c r="G511" s="71" t="str">
        <f aca="false">IF($K511="","",INDEX(Base!$I$5:$I$2004,$K511))</f>
        <v/>
      </c>
      <c r="H511" s="70" t="str">
        <f aca="false">IF($K511="","",INDEX(Base!$J$5:$J$2004,$K511))</f>
        <v/>
      </c>
      <c r="I511" s="71" t="str">
        <f aca="false">IF($K511="","",INDEX(Base!$L$5:$L$2004,$K511))</f>
        <v/>
      </c>
      <c r="J511" s="72" t="str">
        <f aca="false">IFERROR(SMALL(Base!$P$5:$P$2004,ROW()-5),"")</f>
        <v/>
      </c>
      <c r="K511" s="72" t="str">
        <f aca="false">IF(J511="","",MATCH(J511,Base!$P$5:$P$2004,0))</f>
        <v/>
      </c>
    </row>
    <row r="512" customFormat="false" ht="15" hidden="false" customHeight="false" outlineLevel="0" collapsed="false">
      <c r="A512" s="67" t="str">
        <f aca="false">IF($K512="","",ROW()-5)</f>
        <v/>
      </c>
      <c r="B512" s="68" t="str">
        <f aca="false">IF($K512="","",INDEX(Base!$E$5:$E$2004,$K512))</f>
        <v/>
      </c>
      <c r="C512" s="69" t="str">
        <f aca="false">IF($K512="","",B512)</f>
        <v/>
      </c>
      <c r="D512" s="70" t="str">
        <f aca="false">IF($K512="","",INDEX(Base!$F$5:$F$2004,$K512))</f>
        <v/>
      </c>
      <c r="E512" s="70" t="str">
        <f aca="false">IF($K512="","",INDEX(Base!$G$5:$G$2004,$K512))</f>
        <v/>
      </c>
      <c r="F512" s="71" t="str">
        <f aca="false">IF($K512="","",INDEX(Base!$H$5:$H$2004,$K512))</f>
        <v/>
      </c>
      <c r="G512" s="71" t="str">
        <f aca="false">IF($K512="","",INDEX(Base!$I$5:$I$2004,$K512))</f>
        <v/>
      </c>
      <c r="H512" s="70" t="str">
        <f aca="false">IF($K512="","",INDEX(Base!$J$5:$J$2004,$K512))</f>
        <v/>
      </c>
      <c r="I512" s="71" t="str">
        <f aca="false">IF($K512="","",INDEX(Base!$L$5:$L$2004,$K512))</f>
        <v/>
      </c>
      <c r="J512" s="72" t="str">
        <f aca="false">IFERROR(SMALL(Base!$P$5:$P$2004,ROW()-5),"")</f>
        <v/>
      </c>
      <c r="K512" s="72" t="str">
        <f aca="false">IF(J512="","",MATCH(J512,Base!$P$5:$P$2004,0))</f>
        <v/>
      </c>
    </row>
    <row r="513" customFormat="false" ht="15" hidden="false" customHeight="false" outlineLevel="0" collapsed="false">
      <c r="A513" s="67" t="str">
        <f aca="false">IF($K513="","",ROW()-5)</f>
        <v/>
      </c>
      <c r="B513" s="68" t="str">
        <f aca="false">IF($K513="","",INDEX(Base!$E$5:$E$2004,$K513))</f>
        <v/>
      </c>
      <c r="C513" s="69" t="str">
        <f aca="false">IF($K513="","",B513)</f>
        <v/>
      </c>
      <c r="D513" s="70" t="str">
        <f aca="false">IF($K513="","",INDEX(Base!$F$5:$F$2004,$K513))</f>
        <v/>
      </c>
      <c r="E513" s="70" t="str">
        <f aca="false">IF($K513="","",INDEX(Base!$G$5:$G$2004,$K513))</f>
        <v/>
      </c>
      <c r="F513" s="71" t="str">
        <f aca="false">IF($K513="","",INDEX(Base!$H$5:$H$2004,$K513))</f>
        <v/>
      </c>
      <c r="G513" s="71" t="str">
        <f aca="false">IF($K513="","",INDEX(Base!$I$5:$I$2004,$K513))</f>
        <v/>
      </c>
      <c r="H513" s="70" t="str">
        <f aca="false">IF($K513="","",INDEX(Base!$J$5:$J$2004,$K513))</f>
        <v/>
      </c>
      <c r="I513" s="71" t="str">
        <f aca="false">IF($K513="","",INDEX(Base!$L$5:$L$2004,$K513))</f>
        <v/>
      </c>
      <c r="J513" s="72" t="str">
        <f aca="false">IFERROR(SMALL(Base!$P$5:$P$2004,ROW()-5),"")</f>
        <v/>
      </c>
      <c r="K513" s="72" t="str">
        <f aca="false">IF(J513="","",MATCH(J513,Base!$P$5:$P$2004,0))</f>
        <v/>
      </c>
    </row>
    <row r="514" customFormat="false" ht="15" hidden="false" customHeight="false" outlineLevel="0" collapsed="false">
      <c r="A514" s="67" t="str">
        <f aca="false">IF($K514="","",ROW()-5)</f>
        <v/>
      </c>
      <c r="B514" s="68" t="str">
        <f aca="false">IF($K514="","",INDEX(Base!$E$5:$E$2004,$K514))</f>
        <v/>
      </c>
      <c r="C514" s="69" t="str">
        <f aca="false">IF($K514="","",B514)</f>
        <v/>
      </c>
      <c r="D514" s="70" t="str">
        <f aca="false">IF($K514="","",INDEX(Base!$F$5:$F$2004,$K514))</f>
        <v/>
      </c>
      <c r="E514" s="70" t="str">
        <f aca="false">IF($K514="","",INDEX(Base!$G$5:$G$2004,$K514))</f>
        <v/>
      </c>
      <c r="F514" s="71" t="str">
        <f aca="false">IF($K514="","",INDEX(Base!$H$5:$H$2004,$K514))</f>
        <v/>
      </c>
      <c r="G514" s="71" t="str">
        <f aca="false">IF($K514="","",INDEX(Base!$I$5:$I$2004,$K514))</f>
        <v/>
      </c>
      <c r="H514" s="70" t="str">
        <f aca="false">IF($K514="","",INDEX(Base!$J$5:$J$2004,$K514))</f>
        <v/>
      </c>
      <c r="I514" s="71" t="str">
        <f aca="false">IF($K514="","",INDEX(Base!$L$5:$L$2004,$K514))</f>
        <v/>
      </c>
      <c r="J514" s="72" t="str">
        <f aca="false">IFERROR(SMALL(Base!$P$5:$P$2004,ROW()-5),"")</f>
        <v/>
      </c>
      <c r="K514" s="72" t="str">
        <f aca="false">IF(J514="","",MATCH(J514,Base!$P$5:$P$2004,0))</f>
        <v/>
      </c>
    </row>
    <row r="515" customFormat="false" ht="15" hidden="false" customHeight="false" outlineLevel="0" collapsed="false">
      <c r="A515" s="67" t="str">
        <f aca="false">IF($K515="","",ROW()-5)</f>
        <v/>
      </c>
      <c r="B515" s="68" t="str">
        <f aca="false">IF($K515="","",INDEX(Base!$E$5:$E$2004,$K515))</f>
        <v/>
      </c>
      <c r="C515" s="69" t="str">
        <f aca="false">IF($K515="","",B515)</f>
        <v/>
      </c>
      <c r="D515" s="70" t="str">
        <f aca="false">IF($K515="","",INDEX(Base!$F$5:$F$2004,$K515))</f>
        <v/>
      </c>
      <c r="E515" s="70" t="str">
        <f aca="false">IF($K515="","",INDEX(Base!$G$5:$G$2004,$K515))</f>
        <v/>
      </c>
      <c r="F515" s="71" t="str">
        <f aca="false">IF($K515="","",INDEX(Base!$H$5:$H$2004,$K515))</f>
        <v/>
      </c>
      <c r="G515" s="71" t="str">
        <f aca="false">IF($K515="","",INDEX(Base!$I$5:$I$2004,$K515))</f>
        <v/>
      </c>
      <c r="H515" s="70" t="str">
        <f aca="false">IF($K515="","",INDEX(Base!$J$5:$J$2004,$K515))</f>
        <v/>
      </c>
      <c r="I515" s="71" t="str">
        <f aca="false">IF($K515="","",INDEX(Base!$L$5:$L$2004,$K515))</f>
        <v/>
      </c>
      <c r="J515" s="72" t="str">
        <f aca="false">IFERROR(SMALL(Base!$P$5:$P$2004,ROW()-5),"")</f>
        <v/>
      </c>
      <c r="K515" s="72" t="str">
        <f aca="false">IF(J515="","",MATCH(J515,Base!$P$5:$P$2004,0))</f>
        <v/>
      </c>
    </row>
    <row r="516" customFormat="false" ht="15" hidden="false" customHeight="false" outlineLevel="0" collapsed="false">
      <c r="A516" s="67" t="str">
        <f aca="false">IF($K516="","",ROW()-5)</f>
        <v/>
      </c>
      <c r="B516" s="68" t="str">
        <f aca="false">IF($K516="","",INDEX(Base!$E$5:$E$2004,$K516))</f>
        <v/>
      </c>
      <c r="C516" s="69" t="str">
        <f aca="false">IF($K516="","",B516)</f>
        <v/>
      </c>
      <c r="D516" s="70" t="str">
        <f aca="false">IF($K516="","",INDEX(Base!$F$5:$F$2004,$K516))</f>
        <v/>
      </c>
      <c r="E516" s="70" t="str">
        <f aca="false">IF($K516="","",INDEX(Base!$G$5:$G$2004,$K516))</f>
        <v/>
      </c>
      <c r="F516" s="71" t="str">
        <f aca="false">IF($K516="","",INDEX(Base!$H$5:$H$2004,$K516))</f>
        <v/>
      </c>
      <c r="G516" s="71" t="str">
        <f aca="false">IF($K516="","",INDEX(Base!$I$5:$I$2004,$K516))</f>
        <v/>
      </c>
      <c r="H516" s="70" t="str">
        <f aca="false">IF($K516="","",INDEX(Base!$J$5:$J$2004,$K516))</f>
        <v/>
      </c>
      <c r="I516" s="71" t="str">
        <f aca="false">IF($K516="","",INDEX(Base!$L$5:$L$2004,$K516))</f>
        <v/>
      </c>
      <c r="J516" s="72" t="str">
        <f aca="false">IFERROR(SMALL(Base!$P$5:$P$2004,ROW()-5),"")</f>
        <v/>
      </c>
      <c r="K516" s="72" t="str">
        <f aca="false">IF(J516="","",MATCH(J516,Base!$P$5:$P$2004,0))</f>
        <v/>
      </c>
    </row>
    <row r="517" customFormat="false" ht="15" hidden="false" customHeight="false" outlineLevel="0" collapsed="false">
      <c r="A517" s="67" t="str">
        <f aca="false">IF($K517="","",ROW()-5)</f>
        <v/>
      </c>
      <c r="B517" s="68" t="str">
        <f aca="false">IF($K517="","",INDEX(Base!$E$5:$E$2004,$K517))</f>
        <v/>
      </c>
      <c r="C517" s="69" t="str">
        <f aca="false">IF($K517="","",B517)</f>
        <v/>
      </c>
      <c r="D517" s="70" t="str">
        <f aca="false">IF($K517="","",INDEX(Base!$F$5:$F$2004,$K517))</f>
        <v/>
      </c>
      <c r="E517" s="70" t="str">
        <f aca="false">IF($K517="","",INDEX(Base!$G$5:$G$2004,$K517))</f>
        <v/>
      </c>
      <c r="F517" s="71" t="str">
        <f aca="false">IF($K517="","",INDEX(Base!$H$5:$H$2004,$K517))</f>
        <v/>
      </c>
      <c r="G517" s="71" t="str">
        <f aca="false">IF($K517="","",INDEX(Base!$I$5:$I$2004,$K517))</f>
        <v/>
      </c>
      <c r="H517" s="70" t="str">
        <f aca="false">IF($K517="","",INDEX(Base!$J$5:$J$2004,$K517))</f>
        <v/>
      </c>
      <c r="I517" s="71" t="str">
        <f aca="false">IF($K517="","",INDEX(Base!$L$5:$L$2004,$K517))</f>
        <v/>
      </c>
      <c r="J517" s="72" t="str">
        <f aca="false">IFERROR(SMALL(Base!$P$5:$P$2004,ROW()-5),"")</f>
        <v/>
      </c>
      <c r="K517" s="72" t="str">
        <f aca="false">IF(J517="","",MATCH(J517,Base!$P$5:$P$2004,0))</f>
        <v/>
      </c>
    </row>
    <row r="518" customFormat="false" ht="15" hidden="false" customHeight="false" outlineLevel="0" collapsed="false">
      <c r="A518" s="67" t="str">
        <f aca="false">IF($K518="","",ROW()-5)</f>
        <v/>
      </c>
      <c r="B518" s="68" t="str">
        <f aca="false">IF($K518="","",INDEX(Base!$E$5:$E$2004,$K518))</f>
        <v/>
      </c>
      <c r="C518" s="69" t="str">
        <f aca="false">IF($K518="","",B518)</f>
        <v/>
      </c>
      <c r="D518" s="70" t="str">
        <f aca="false">IF($K518="","",INDEX(Base!$F$5:$F$2004,$K518))</f>
        <v/>
      </c>
      <c r="E518" s="70" t="str">
        <f aca="false">IF($K518="","",INDEX(Base!$G$5:$G$2004,$K518))</f>
        <v/>
      </c>
      <c r="F518" s="71" t="str">
        <f aca="false">IF($K518="","",INDEX(Base!$H$5:$H$2004,$K518))</f>
        <v/>
      </c>
      <c r="G518" s="71" t="str">
        <f aca="false">IF($K518="","",INDEX(Base!$I$5:$I$2004,$K518))</f>
        <v/>
      </c>
      <c r="H518" s="70" t="str">
        <f aca="false">IF($K518="","",INDEX(Base!$J$5:$J$2004,$K518))</f>
        <v/>
      </c>
      <c r="I518" s="71" t="str">
        <f aca="false">IF($K518="","",INDEX(Base!$L$5:$L$2004,$K518))</f>
        <v/>
      </c>
      <c r="J518" s="72" t="str">
        <f aca="false">IFERROR(SMALL(Base!$P$5:$P$2004,ROW()-5),"")</f>
        <v/>
      </c>
      <c r="K518" s="72" t="str">
        <f aca="false">IF(J518="","",MATCH(J518,Base!$P$5:$P$2004,0))</f>
        <v/>
      </c>
    </row>
    <row r="519" customFormat="false" ht="15" hidden="false" customHeight="false" outlineLevel="0" collapsed="false">
      <c r="A519" s="67" t="str">
        <f aca="false">IF($K519="","",ROW()-5)</f>
        <v/>
      </c>
      <c r="B519" s="68" t="str">
        <f aca="false">IF($K519="","",INDEX(Base!$E$5:$E$2004,$K519))</f>
        <v/>
      </c>
      <c r="C519" s="69" t="str">
        <f aca="false">IF($K519="","",B519)</f>
        <v/>
      </c>
      <c r="D519" s="70" t="str">
        <f aca="false">IF($K519="","",INDEX(Base!$F$5:$F$2004,$K519))</f>
        <v/>
      </c>
      <c r="E519" s="70" t="str">
        <f aca="false">IF($K519="","",INDEX(Base!$G$5:$G$2004,$K519))</f>
        <v/>
      </c>
      <c r="F519" s="71" t="str">
        <f aca="false">IF($K519="","",INDEX(Base!$H$5:$H$2004,$K519))</f>
        <v/>
      </c>
      <c r="G519" s="71" t="str">
        <f aca="false">IF($K519="","",INDEX(Base!$I$5:$I$2004,$K519))</f>
        <v/>
      </c>
      <c r="H519" s="70" t="str">
        <f aca="false">IF($K519="","",INDEX(Base!$J$5:$J$2004,$K519))</f>
        <v/>
      </c>
      <c r="I519" s="71" t="str">
        <f aca="false">IF($K519="","",INDEX(Base!$L$5:$L$2004,$K519))</f>
        <v/>
      </c>
      <c r="J519" s="72" t="str">
        <f aca="false">IFERROR(SMALL(Base!$P$5:$P$2004,ROW()-5),"")</f>
        <v/>
      </c>
      <c r="K519" s="72" t="str">
        <f aca="false">IF(J519="","",MATCH(J519,Base!$P$5:$P$2004,0))</f>
        <v/>
      </c>
    </row>
    <row r="520" customFormat="false" ht="15" hidden="false" customHeight="false" outlineLevel="0" collapsed="false">
      <c r="A520" s="67" t="str">
        <f aca="false">IF($K520="","",ROW()-5)</f>
        <v/>
      </c>
      <c r="B520" s="68" t="str">
        <f aca="false">IF($K520="","",INDEX(Base!$E$5:$E$2004,$K520))</f>
        <v/>
      </c>
      <c r="C520" s="69" t="str">
        <f aca="false">IF($K520="","",B520)</f>
        <v/>
      </c>
      <c r="D520" s="70" t="str">
        <f aca="false">IF($K520="","",INDEX(Base!$F$5:$F$2004,$K520))</f>
        <v/>
      </c>
      <c r="E520" s="70" t="str">
        <f aca="false">IF($K520="","",INDEX(Base!$G$5:$G$2004,$K520))</f>
        <v/>
      </c>
      <c r="F520" s="71" t="str">
        <f aca="false">IF($K520="","",INDEX(Base!$H$5:$H$2004,$K520))</f>
        <v/>
      </c>
      <c r="G520" s="71" t="str">
        <f aca="false">IF($K520="","",INDEX(Base!$I$5:$I$2004,$K520))</f>
        <v/>
      </c>
      <c r="H520" s="70" t="str">
        <f aca="false">IF($K520="","",INDEX(Base!$J$5:$J$2004,$K520))</f>
        <v/>
      </c>
      <c r="I520" s="71" t="str">
        <f aca="false">IF($K520="","",INDEX(Base!$L$5:$L$2004,$K520))</f>
        <v/>
      </c>
      <c r="J520" s="72" t="str">
        <f aca="false">IFERROR(SMALL(Base!$P$5:$P$2004,ROW()-5),"")</f>
        <v/>
      </c>
      <c r="K520" s="72" t="str">
        <f aca="false">IF(J520="","",MATCH(J520,Base!$P$5:$P$2004,0))</f>
        <v/>
      </c>
    </row>
    <row r="521" customFormat="false" ht="15" hidden="false" customHeight="false" outlineLevel="0" collapsed="false">
      <c r="A521" s="67" t="str">
        <f aca="false">IF($K521="","",ROW()-5)</f>
        <v/>
      </c>
      <c r="B521" s="68" t="str">
        <f aca="false">IF($K521="","",INDEX(Base!$E$5:$E$2004,$K521))</f>
        <v/>
      </c>
      <c r="C521" s="69" t="str">
        <f aca="false">IF($K521="","",B521)</f>
        <v/>
      </c>
      <c r="D521" s="70" t="str">
        <f aca="false">IF($K521="","",INDEX(Base!$F$5:$F$2004,$K521))</f>
        <v/>
      </c>
      <c r="E521" s="70" t="str">
        <f aca="false">IF($K521="","",INDEX(Base!$G$5:$G$2004,$K521))</f>
        <v/>
      </c>
      <c r="F521" s="71" t="str">
        <f aca="false">IF($K521="","",INDEX(Base!$H$5:$H$2004,$K521))</f>
        <v/>
      </c>
      <c r="G521" s="71" t="str">
        <f aca="false">IF($K521="","",INDEX(Base!$I$5:$I$2004,$K521))</f>
        <v/>
      </c>
      <c r="H521" s="70" t="str">
        <f aca="false">IF($K521="","",INDEX(Base!$J$5:$J$2004,$K521))</f>
        <v/>
      </c>
      <c r="I521" s="71" t="str">
        <f aca="false">IF($K521="","",INDEX(Base!$L$5:$L$2004,$K521))</f>
        <v/>
      </c>
      <c r="J521" s="72" t="str">
        <f aca="false">IFERROR(SMALL(Base!$P$5:$P$2004,ROW()-5),"")</f>
        <v/>
      </c>
      <c r="K521" s="72" t="str">
        <f aca="false">IF(J521="","",MATCH(J521,Base!$P$5:$P$2004,0))</f>
        <v/>
      </c>
    </row>
    <row r="522" customFormat="false" ht="15" hidden="false" customHeight="false" outlineLevel="0" collapsed="false">
      <c r="A522" s="67" t="str">
        <f aca="false">IF($K522="","",ROW()-5)</f>
        <v/>
      </c>
      <c r="B522" s="68" t="str">
        <f aca="false">IF($K522="","",INDEX(Base!$E$5:$E$2004,$K522))</f>
        <v/>
      </c>
      <c r="C522" s="69" t="str">
        <f aca="false">IF($K522="","",B522)</f>
        <v/>
      </c>
      <c r="D522" s="70" t="str">
        <f aca="false">IF($K522="","",INDEX(Base!$F$5:$F$2004,$K522))</f>
        <v/>
      </c>
      <c r="E522" s="70" t="str">
        <f aca="false">IF($K522="","",INDEX(Base!$G$5:$G$2004,$K522))</f>
        <v/>
      </c>
      <c r="F522" s="71" t="str">
        <f aca="false">IF($K522="","",INDEX(Base!$H$5:$H$2004,$K522))</f>
        <v/>
      </c>
      <c r="G522" s="71" t="str">
        <f aca="false">IF($K522="","",INDEX(Base!$I$5:$I$2004,$K522))</f>
        <v/>
      </c>
      <c r="H522" s="70" t="str">
        <f aca="false">IF($K522="","",INDEX(Base!$J$5:$J$2004,$K522))</f>
        <v/>
      </c>
      <c r="I522" s="71" t="str">
        <f aca="false">IF($K522="","",INDEX(Base!$L$5:$L$2004,$K522))</f>
        <v/>
      </c>
      <c r="J522" s="72" t="str">
        <f aca="false">IFERROR(SMALL(Base!$P$5:$P$2004,ROW()-5),"")</f>
        <v/>
      </c>
      <c r="K522" s="72" t="str">
        <f aca="false">IF(J522="","",MATCH(J522,Base!$P$5:$P$2004,0))</f>
        <v/>
      </c>
    </row>
    <row r="523" customFormat="false" ht="15" hidden="false" customHeight="false" outlineLevel="0" collapsed="false">
      <c r="A523" s="67" t="str">
        <f aca="false">IF($K523="","",ROW()-5)</f>
        <v/>
      </c>
      <c r="B523" s="68" t="str">
        <f aca="false">IF($K523="","",INDEX(Base!$E$5:$E$2004,$K523))</f>
        <v/>
      </c>
      <c r="C523" s="69" t="str">
        <f aca="false">IF($K523="","",B523)</f>
        <v/>
      </c>
      <c r="D523" s="70" t="str">
        <f aca="false">IF($K523="","",INDEX(Base!$F$5:$F$2004,$K523))</f>
        <v/>
      </c>
      <c r="E523" s="70" t="str">
        <f aca="false">IF($K523="","",INDEX(Base!$G$5:$G$2004,$K523))</f>
        <v/>
      </c>
      <c r="F523" s="71" t="str">
        <f aca="false">IF($K523="","",INDEX(Base!$H$5:$H$2004,$K523))</f>
        <v/>
      </c>
      <c r="G523" s="71" t="str">
        <f aca="false">IF($K523="","",INDEX(Base!$I$5:$I$2004,$K523))</f>
        <v/>
      </c>
      <c r="H523" s="70" t="str">
        <f aca="false">IF($K523="","",INDEX(Base!$J$5:$J$2004,$K523))</f>
        <v/>
      </c>
      <c r="I523" s="71" t="str">
        <f aca="false">IF($K523="","",INDEX(Base!$L$5:$L$2004,$K523))</f>
        <v/>
      </c>
      <c r="J523" s="72" t="str">
        <f aca="false">IFERROR(SMALL(Base!$P$5:$P$2004,ROW()-5),"")</f>
        <v/>
      </c>
      <c r="K523" s="72" t="str">
        <f aca="false">IF(J523="","",MATCH(J523,Base!$P$5:$P$2004,0))</f>
        <v/>
      </c>
    </row>
    <row r="524" customFormat="false" ht="15" hidden="false" customHeight="false" outlineLevel="0" collapsed="false">
      <c r="A524" s="67" t="str">
        <f aca="false">IF($K524="","",ROW()-5)</f>
        <v/>
      </c>
      <c r="B524" s="68" t="str">
        <f aca="false">IF($K524="","",INDEX(Base!$E$5:$E$2004,$K524))</f>
        <v/>
      </c>
      <c r="C524" s="69" t="str">
        <f aca="false">IF($K524="","",B524)</f>
        <v/>
      </c>
      <c r="D524" s="70" t="str">
        <f aca="false">IF($K524="","",INDEX(Base!$F$5:$F$2004,$K524))</f>
        <v/>
      </c>
      <c r="E524" s="70" t="str">
        <f aca="false">IF($K524="","",INDEX(Base!$G$5:$G$2004,$K524))</f>
        <v/>
      </c>
      <c r="F524" s="71" t="str">
        <f aca="false">IF($K524="","",INDEX(Base!$H$5:$H$2004,$K524))</f>
        <v/>
      </c>
      <c r="G524" s="71" t="str">
        <f aca="false">IF($K524="","",INDEX(Base!$I$5:$I$2004,$K524))</f>
        <v/>
      </c>
      <c r="H524" s="70" t="str">
        <f aca="false">IF($K524="","",INDEX(Base!$J$5:$J$2004,$K524))</f>
        <v/>
      </c>
      <c r="I524" s="71" t="str">
        <f aca="false">IF($K524="","",INDEX(Base!$L$5:$L$2004,$K524))</f>
        <v/>
      </c>
      <c r="J524" s="72" t="str">
        <f aca="false">IFERROR(SMALL(Base!$P$5:$P$2004,ROW()-5),"")</f>
        <v/>
      </c>
      <c r="K524" s="72" t="str">
        <f aca="false">IF(J524="","",MATCH(J524,Base!$P$5:$P$2004,0))</f>
        <v/>
      </c>
    </row>
    <row r="525" customFormat="false" ht="15" hidden="false" customHeight="false" outlineLevel="0" collapsed="false">
      <c r="A525" s="67" t="str">
        <f aca="false">IF($K525="","",ROW()-5)</f>
        <v/>
      </c>
      <c r="B525" s="68" t="str">
        <f aca="false">IF($K525="","",INDEX(Base!$E$5:$E$2004,$K525))</f>
        <v/>
      </c>
      <c r="C525" s="69" t="str">
        <f aca="false">IF($K525="","",B525)</f>
        <v/>
      </c>
      <c r="D525" s="70" t="str">
        <f aca="false">IF($K525="","",INDEX(Base!$F$5:$F$2004,$K525))</f>
        <v/>
      </c>
      <c r="E525" s="70" t="str">
        <f aca="false">IF($K525="","",INDEX(Base!$G$5:$G$2004,$K525))</f>
        <v/>
      </c>
      <c r="F525" s="71" t="str">
        <f aca="false">IF($K525="","",INDEX(Base!$H$5:$H$2004,$K525))</f>
        <v/>
      </c>
      <c r="G525" s="71" t="str">
        <f aca="false">IF($K525="","",INDEX(Base!$I$5:$I$2004,$K525))</f>
        <v/>
      </c>
      <c r="H525" s="70" t="str">
        <f aca="false">IF($K525="","",INDEX(Base!$J$5:$J$2004,$K525))</f>
        <v/>
      </c>
      <c r="I525" s="71" t="str">
        <f aca="false">IF($K525="","",INDEX(Base!$L$5:$L$2004,$K525))</f>
        <v/>
      </c>
      <c r="J525" s="72" t="str">
        <f aca="false">IFERROR(SMALL(Base!$P$5:$P$2004,ROW()-5),"")</f>
        <v/>
      </c>
      <c r="K525" s="72" t="str">
        <f aca="false">IF(J525="","",MATCH(J525,Base!$P$5:$P$2004,0))</f>
        <v/>
      </c>
    </row>
    <row r="526" customFormat="false" ht="15" hidden="false" customHeight="false" outlineLevel="0" collapsed="false">
      <c r="A526" s="67" t="str">
        <f aca="false">IF($K526="","",ROW()-5)</f>
        <v/>
      </c>
      <c r="B526" s="68" t="str">
        <f aca="false">IF($K526="","",INDEX(Base!$E$5:$E$2004,$K526))</f>
        <v/>
      </c>
      <c r="C526" s="69" t="str">
        <f aca="false">IF($K526="","",B526)</f>
        <v/>
      </c>
      <c r="D526" s="70" t="str">
        <f aca="false">IF($K526="","",INDEX(Base!$F$5:$F$2004,$K526))</f>
        <v/>
      </c>
      <c r="E526" s="70" t="str">
        <f aca="false">IF($K526="","",INDEX(Base!$G$5:$G$2004,$K526))</f>
        <v/>
      </c>
      <c r="F526" s="71" t="str">
        <f aca="false">IF($K526="","",INDEX(Base!$H$5:$H$2004,$K526))</f>
        <v/>
      </c>
      <c r="G526" s="71" t="str">
        <f aca="false">IF($K526="","",INDEX(Base!$I$5:$I$2004,$K526))</f>
        <v/>
      </c>
      <c r="H526" s="70" t="str">
        <f aca="false">IF($K526="","",INDEX(Base!$J$5:$J$2004,$K526))</f>
        <v/>
      </c>
      <c r="I526" s="71" t="str">
        <f aca="false">IF($K526="","",INDEX(Base!$L$5:$L$2004,$K526))</f>
        <v/>
      </c>
      <c r="J526" s="72" t="str">
        <f aca="false">IFERROR(SMALL(Base!$P$5:$P$2004,ROW()-5),"")</f>
        <v/>
      </c>
      <c r="K526" s="72" t="str">
        <f aca="false">IF(J526="","",MATCH(J526,Base!$P$5:$P$2004,0))</f>
        <v/>
      </c>
    </row>
    <row r="527" customFormat="false" ht="15" hidden="false" customHeight="false" outlineLevel="0" collapsed="false">
      <c r="A527" s="67" t="str">
        <f aca="false">IF($K527="","",ROW()-5)</f>
        <v/>
      </c>
      <c r="B527" s="68" t="str">
        <f aca="false">IF($K527="","",INDEX(Base!$E$5:$E$2004,$K527))</f>
        <v/>
      </c>
      <c r="C527" s="69" t="str">
        <f aca="false">IF($K527="","",B527)</f>
        <v/>
      </c>
      <c r="D527" s="70" t="str">
        <f aca="false">IF($K527="","",INDEX(Base!$F$5:$F$2004,$K527))</f>
        <v/>
      </c>
      <c r="E527" s="70" t="str">
        <f aca="false">IF($K527="","",INDEX(Base!$G$5:$G$2004,$K527))</f>
        <v/>
      </c>
      <c r="F527" s="71" t="str">
        <f aca="false">IF($K527="","",INDEX(Base!$H$5:$H$2004,$K527))</f>
        <v/>
      </c>
      <c r="G527" s="71" t="str">
        <f aca="false">IF($K527="","",INDEX(Base!$I$5:$I$2004,$K527))</f>
        <v/>
      </c>
      <c r="H527" s="70" t="str">
        <f aca="false">IF($K527="","",INDEX(Base!$J$5:$J$2004,$K527))</f>
        <v/>
      </c>
      <c r="I527" s="71" t="str">
        <f aca="false">IF($K527="","",INDEX(Base!$L$5:$L$2004,$K527))</f>
        <v/>
      </c>
      <c r="J527" s="72" t="str">
        <f aca="false">IFERROR(SMALL(Base!$P$5:$P$2004,ROW()-5),"")</f>
        <v/>
      </c>
      <c r="K527" s="72" t="str">
        <f aca="false">IF(J527="","",MATCH(J527,Base!$P$5:$P$2004,0))</f>
        <v/>
      </c>
    </row>
    <row r="528" customFormat="false" ht="15" hidden="false" customHeight="false" outlineLevel="0" collapsed="false">
      <c r="A528" s="67" t="str">
        <f aca="false">IF($K528="","",ROW()-5)</f>
        <v/>
      </c>
      <c r="B528" s="68" t="str">
        <f aca="false">IF($K528="","",INDEX(Base!$E$5:$E$2004,$K528))</f>
        <v/>
      </c>
      <c r="C528" s="69" t="str">
        <f aca="false">IF($K528="","",B528)</f>
        <v/>
      </c>
      <c r="D528" s="70" t="str">
        <f aca="false">IF($K528="","",INDEX(Base!$F$5:$F$2004,$K528))</f>
        <v/>
      </c>
      <c r="E528" s="70" t="str">
        <f aca="false">IF($K528="","",INDEX(Base!$G$5:$G$2004,$K528))</f>
        <v/>
      </c>
      <c r="F528" s="71" t="str">
        <f aca="false">IF($K528="","",INDEX(Base!$H$5:$H$2004,$K528))</f>
        <v/>
      </c>
      <c r="G528" s="71" t="str">
        <f aca="false">IF($K528="","",INDEX(Base!$I$5:$I$2004,$K528))</f>
        <v/>
      </c>
      <c r="H528" s="70" t="str">
        <f aca="false">IF($K528="","",INDEX(Base!$J$5:$J$2004,$K528))</f>
        <v/>
      </c>
      <c r="I528" s="71" t="str">
        <f aca="false">IF($K528="","",INDEX(Base!$L$5:$L$2004,$K528))</f>
        <v/>
      </c>
      <c r="J528" s="72" t="str">
        <f aca="false">IFERROR(SMALL(Base!$P$5:$P$2004,ROW()-5),"")</f>
        <v/>
      </c>
      <c r="K528" s="72" t="str">
        <f aca="false">IF(J528="","",MATCH(J528,Base!$P$5:$P$2004,0))</f>
        <v/>
      </c>
    </row>
    <row r="529" customFormat="false" ht="15" hidden="false" customHeight="false" outlineLevel="0" collapsed="false">
      <c r="A529" s="67" t="str">
        <f aca="false">IF($K529="","",ROW()-5)</f>
        <v/>
      </c>
      <c r="B529" s="68" t="str">
        <f aca="false">IF($K529="","",INDEX(Base!$E$5:$E$2004,$K529))</f>
        <v/>
      </c>
      <c r="C529" s="69" t="str">
        <f aca="false">IF($K529="","",B529)</f>
        <v/>
      </c>
      <c r="D529" s="70" t="str">
        <f aca="false">IF($K529="","",INDEX(Base!$F$5:$F$2004,$K529))</f>
        <v/>
      </c>
      <c r="E529" s="70" t="str">
        <f aca="false">IF($K529="","",INDEX(Base!$G$5:$G$2004,$K529))</f>
        <v/>
      </c>
      <c r="F529" s="71" t="str">
        <f aca="false">IF($K529="","",INDEX(Base!$H$5:$H$2004,$K529))</f>
        <v/>
      </c>
      <c r="G529" s="71" t="str">
        <f aca="false">IF($K529="","",INDEX(Base!$I$5:$I$2004,$K529))</f>
        <v/>
      </c>
      <c r="H529" s="70" t="str">
        <f aca="false">IF($K529="","",INDEX(Base!$J$5:$J$2004,$K529))</f>
        <v/>
      </c>
      <c r="I529" s="71" t="str">
        <f aca="false">IF($K529="","",INDEX(Base!$L$5:$L$2004,$K529))</f>
        <v/>
      </c>
      <c r="J529" s="72" t="str">
        <f aca="false">IFERROR(SMALL(Base!$P$5:$P$2004,ROW()-5),"")</f>
        <v/>
      </c>
      <c r="K529" s="72" t="str">
        <f aca="false">IF(J529="","",MATCH(J529,Base!$P$5:$P$2004,0))</f>
        <v/>
      </c>
    </row>
    <row r="530" customFormat="false" ht="15" hidden="false" customHeight="false" outlineLevel="0" collapsed="false">
      <c r="A530" s="67" t="str">
        <f aca="false">IF($K530="","",ROW()-5)</f>
        <v/>
      </c>
      <c r="B530" s="68" t="str">
        <f aca="false">IF($K530="","",INDEX(Base!$E$5:$E$2004,$K530))</f>
        <v/>
      </c>
      <c r="C530" s="69" t="str">
        <f aca="false">IF($K530="","",B530)</f>
        <v/>
      </c>
      <c r="D530" s="70" t="str">
        <f aca="false">IF($K530="","",INDEX(Base!$F$5:$F$2004,$K530))</f>
        <v/>
      </c>
      <c r="E530" s="70" t="str">
        <f aca="false">IF($K530="","",INDEX(Base!$G$5:$G$2004,$K530))</f>
        <v/>
      </c>
      <c r="F530" s="71" t="str">
        <f aca="false">IF($K530="","",INDEX(Base!$H$5:$H$2004,$K530))</f>
        <v/>
      </c>
      <c r="G530" s="71" t="str">
        <f aca="false">IF($K530="","",INDEX(Base!$I$5:$I$2004,$K530))</f>
        <v/>
      </c>
      <c r="H530" s="70" t="str">
        <f aca="false">IF($K530="","",INDEX(Base!$J$5:$J$2004,$K530))</f>
        <v/>
      </c>
      <c r="I530" s="71" t="str">
        <f aca="false">IF($K530="","",INDEX(Base!$L$5:$L$2004,$K530))</f>
        <v/>
      </c>
      <c r="J530" s="72" t="str">
        <f aca="false">IFERROR(SMALL(Base!$P$5:$P$2004,ROW()-5),"")</f>
        <v/>
      </c>
      <c r="K530" s="72" t="str">
        <f aca="false">IF(J530="","",MATCH(J530,Base!$P$5:$P$2004,0))</f>
        <v/>
      </c>
    </row>
    <row r="531" customFormat="false" ht="15" hidden="false" customHeight="false" outlineLevel="0" collapsed="false">
      <c r="A531" s="67" t="str">
        <f aca="false">IF($K531="","",ROW()-5)</f>
        <v/>
      </c>
      <c r="B531" s="68" t="str">
        <f aca="false">IF($K531="","",INDEX(Base!$E$5:$E$2004,$K531))</f>
        <v/>
      </c>
      <c r="C531" s="69" t="str">
        <f aca="false">IF($K531="","",B531)</f>
        <v/>
      </c>
      <c r="D531" s="70" t="str">
        <f aca="false">IF($K531="","",INDEX(Base!$F$5:$F$2004,$K531))</f>
        <v/>
      </c>
      <c r="E531" s="70" t="str">
        <f aca="false">IF($K531="","",INDEX(Base!$G$5:$G$2004,$K531))</f>
        <v/>
      </c>
      <c r="F531" s="71" t="str">
        <f aca="false">IF($K531="","",INDEX(Base!$H$5:$H$2004,$K531))</f>
        <v/>
      </c>
      <c r="G531" s="71" t="str">
        <f aca="false">IF($K531="","",INDEX(Base!$I$5:$I$2004,$K531))</f>
        <v/>
      </c>
      <c r="H531" s="70" t="str">
        <f aca="false">IF($K531="","",INDEX(Base!$J$5:$J$2004,$K531))</f>
        <v/>
      </c>
      <c r="I531" s="71" t="str">
        <f aca="false">IF($K531="","",INDEX(Base!$L$5:$L$2004,$K531))</f>
        <v/>
      </c>
      <c r="J531" s="72" t="str">
        <f aca="false">IFERROR(SMALL(Base!$P$5:$P$2004,ROW()-5),"")</f>
        <v/>
      </c>
      <c r="K531" s="72" t="str">
        <f aca="false">IF(J531="","",MATCH(J531,Base!$P$5:$P$2004,0))</f>
        <v/>
      </c>
    </row>
    <row r="532" customFormat="false" ht="15" hidden="false" customHeight="false" outlineLevel="0" collapsed="false">
      <c r="A532" s="67" t="str">
        <f aca="false">IF($K532="","",ROW()-5)</f>
        <v/>
      </c>
      <c r="B532" s="68" t="str">
        <f aca="false">IF($K532="","",INDEX(Base!$E$5:$E$2004,$K532))</f>
        <v/>
      </c>
      <c r="C532" s="69" t="str">
        <f aca="false">IF($K532="","",B532)</f>
        <v/>
      </c>
      <c r="D532" s="70" t="str">
        <f aca="false">IF($K532="","",INDEX(Base!$F$5:$F$2004,$K532))</f>
        <v/>
      </c>
      <c r="E532" s="70" t="str">
        <f aca="false">IF($K532="","",INDEX(Base!$G$5:$G$2004,$K532))</f>
        <v/>
      </c>
      <c r="F532" s="71" t="str">
        <f aca="false">IF($K532="","",INDEX(Base!$H$5:$H$2004,$K532))</f>
        <v/>
      </c>
      <c r="G532" s="71" t="str">
        <f aca="false">IF($K532="","",INDEX(Base!$I$5:$I$2004,$K532))</f>
        <v/>
      </c>
      <c r="H532" s="70" t="str">
        <f aca="false">IF($K532="","",INDEX(Base!$J$5:$J$2004,$K532))</f>
        <v/>
      </c>
      <c r="I532" s="71" t="str">
        <f aca="false">IF($K532="","",INDEX(Base!$L$5:$L$2004,$K532))</f>
        <v/>
      </c>
      <c r="J532" s="72" t="str">
        <f aca="false">IFERROR(SMALL(Base!$P$5:$P$2004,ROW()-5),"")</f>
        <v/>
      </c>
      <c r="K532" s="72" t="str">
        <f aca="false">IF(J532="","",MATCH(J532,Base!$P$5:$P$2004,0))</f>
        <v/>
      </c>
    </row>
    <row r="533" customFormat="false" ht="15" hidden="false" customHeight="false" outlineLevel="0" collapsed="false">
      <c r="A533" s="67" t="str">
        <f aca="false">IF($K533="","",ROW()-5)</f>
        <v/>
      </c>
      <c r="B533" s="68" t="str">
        <f aca="false">IF($K533="","",INDEX(Base!$E$5:$E$2004,$K533))</f>
        <v/>
      </c>
      <c r="C533" s="69" t="str">
        <f aca="false">IF($K533="","",B533)</f>
        <v/>
      </c>
      <c r="D533" s="70" t="str">
        <f aca="false">IF($K533="","",INDEX(Base!$F$5:$F$2004,$K533))</f>
        <v/>
      </c>
      <c r="E533" s="70" t="str">
        <f aca="false">IF($K533="","",INDEX(Base!$G$5:$G$2004,$K533))</f>
        <v/>
      </c>
      <c r="F533" s="71" t="str">
        <f aca="false">IF($K533="","",INDEX(Base!$H$5:$H$2004,$K533))</f>
        <v/>
      </c>
      <c r="G533" s="71" t="str">
        <f aca="false">IF($K533="","",INDEX(Base!$I$5:$I$2004,$K533))</f>
        <v/>
      </c>
      <c r="H533" s="70" t="str">
        <f aca="false">IF($K533="","",INDEX(Base!$J$5:$J$2004,$K533))</f>
        <v/>
      </c>
      <c r="I533" s="71" t="str">
        <f aca="false">IF($K533="","",INDEX(Base!$L$5:$L$2004,$K533))</f>
        <v/>
      </c>
      <c r="J533" s="72" t="str">
        <f aca="false">IFERROR(SMALL(Base!$P$5:$P$2004,ROW()-5),"")</f>
        <v/>
      </c>
      <c r="K533" s="72" t="str">
        <f aca="false">IF(J533="","",MATCH(J533,Base!$P$5:$P$2004,0))</f>
        <v/>
      </c>
    </row>
    <row r="534" customFormat="false" ht="15" hidden="false" customHeight="false" outlineLevel="0" collapsed="false">
      <c r="A534" s="67" t="str">
        <f aca="false">IF($K534="","",ROW()-5)</f>
        <v/>
      </c>
      <c r="B534" s="68" t="str">
        <f aca="false">IF($K534="","",INDEX(Base!$E$5:$E$2004,$K534))</f>
        <v/>
      </c>
      <c r="C534" s="69" t="str">
        <f aca="false">IF($K534="","",B534)</f>
        <v/>
      </c>
      <c r="D534" s="70" t="str">
        <f aca="false">IF($K534="","",INDEX(Base!$F$5:$F$2004,$K534))</f>
        <v/>
      </c>
      <c r="E534" s="70" t="str">
        <f aca="false">IF($K534="","",INDEX(Base!$G$5:$G$2004,$K534))</f>
        <v/>
      </c>
      <c r="F534" s="71" t="str">
        <f aca="false">IF($K534="","",INDEX(Base!$H$5:$H$2004,$K534))</f>
        <v/>
      </c>
      <c r="G534" s="71" t="str">
        <f aca="false">IF($K534="","",INDEX(Base!$I$5:$I$2004,$K534))</f>
        <v/>
      </c>
      <c r="H534" s="70" t="str">
        <f aca="false">IF($K534="","",INDEX(Base!$J$5:$J$2004,$K534))</f>
        <v/>
      </c>
      <c r="I534" s="71" t="str">
        <f aca="false">IF($K534="","",INDEX(Base!$L$5:$L$2004,$K534))</f>
        <v/>
      </c>
      <c r="J534" s="72" t="str">
        <f aca="false">IFERROR(SMALL(Base!$P$5:$P$2004,ROW()-5),"")</f>
        <v/>
      </c>
      <c r="K534" s="72" t="str">
        <f aca="false">IF(J534="","",MATCH(J534,Base!$P$5:$P$2004,0))</f>
        <v/>
      </c>
    </row>
    <row r="535" customFormat="false" ht="15" hidden="false" customHeight="false" outlineLevel="0" collapsed="false">
      <c r="A535" s="67" t="str">
        <f aca="false">IF($K535="","",ROW()-5)</f>
        <v/>
      </c>
      <c r="B535" s="68" t="str">
        <f aca="false">IF($K535="","",INDEX(Base!$E$5:$E$2004,$K535))</f>
        <v/>
      </c>
      <c r="C535" s="69" t="str">
        <f aca="false">IF($K535="","",B535)</f>
        <v/>
      </c>
      <c r="D535" s="70" t="str">
        <f aca="false">IF($K535="","",INDEX(Base!$F$5:$F$2004,$K535))</f>
        <v/>
      </c>
      <c r="E535" s="70" t="str">
        <f aca="false">IF($K535="","",INDEX(Base!$G$5:$G$2004,$K535))</f>
        <v/>
      </c>
      <c r="F535" s="71" t="str">
        <f aca="false">IF($K535="","",INDEX(Base!$H$5:$H$2004,$K535))</f>
        <v/>
      </c>
      <c r="G535" s="71" t="str">
        <f aca="false">IF($K535="","",INDEX(Base!$I$5:$I$2004,$K535))</f>
        <v/>
      </c>
      <c r="H535" s="70" t="str">
        <f aca="false">IF($K535="","",INDEX(Base!$J$5:$J$2004,$K535))</f>
        <v/>
      </c>
      <c r="I535" s="71" t="str">
        <f aca="false">IF($K535="","",INDEX(Base!$L$5:$L$2004,$K535))</f>
        <v/>
      </c>
      <c r="J535" s="72" t="str">
        <f aca="false">IFERROR(SMALL(Base!$P$5:$P$2004,ROW()-5),"")</f>
        <v/>
      </c>
      <c r="K535" s="72" t="str">
        <f aca="false">IF(J535="","",MATCH(J535,Base!$P$5:$P$2004,0))</f>
        <v/>
      </c>
    </row>
    <row r="536" customFormat="false" ht="15" hidden="false" customHeight="false" outlineLevel="0" collapsed="false">
      <c r="A536" s="67" t="str">
        <f aca="false">IF($K536="","",ROW()-5)</f>
        <v/>
      </c>
      <c r="B536" s="68" t="str">
        <f aca="false">IF($K536="","",INDEX(Base!$E$5:$E$2004,$K536))</f>
        <v/>
      </c>
      <c r="C536" s="69" t="str">
        <f aca="false">IF($K536="","",B536)</f>
        <v/>
      </c>
      <c r="D536" s="70" t="str">
        <f aca="false">IF($K536="","",INDEX(Base!$F$5:$F$2004,$K536))</f>
        <v/>
      </c>
      <c r="E536" s="70" t="str">
        <f aca="false">IF($K536="","",INDEX(Base!$G$5:$G$2004,$K536))</f>
        <v/>
      </c>
      <c r="F536" s="71" t="str">
        <f aca="false">IF($K536="","",INDEX(Base!$H$5:$H$2004,$K536))</f>
        <v/>
      </c>
      <c r="G536" s="71" t="str">
        <f aca="false">IF($K536="","",INDEX(Base!$I$5:$I$2004,$K536))</f>
        <v/>
      </c>
      <c r="H536" s="70" t="str">
        <f aca="false">IF($K536="","",INDEX(Base!$J$5:$J$2004,$K536))</f>
        <v/>
      </c>
      <c r="I536" s="71" t="str">
        <f aca="false">IF($K536="","",INDEX(Base!$L$5:$L$2004,$K536))</f>
        <v/>
      </c>
      <c r="J536" s="72" t="str">
        <f aca="false">IFERROR(SMALL(Base!$P$5:$P$2004,ROW()-5),"")</f>
        <v/>
      </c>
      <c r="K536" s="72" t="str">
        <f aca="false">IF(J536="","",MATCH(J536,Base!$P$5:$P$2004,0))</f>
        <v/>
      </c>
    </row>
    <row r="537" customFormat="false" ht="15" hidden="false" customHeight="false" outlineLevel="0" collapsed="false">
      <c r="A537" s="67" t="str">
        <f aca="false">IF($K537="","",ROW()-5)</f>
        <v/>
      </c>
      <c r="B537" s="68" t="str">
        <f aca="false">IF($K537="","",INDEX(Base!$E$5:$E$2004,$K537))</f>
        <v/>
      </c>
      <c r="C537" s="69" t="str">
        <f aca="false">IF($K537="","",B537)</f>
        <v/>
      </c>
      <c r="D537" s="70" t="str">
        <f aca="false">IF($K537="","",INDEX(Base!$F$5:$F$2004,$K537))</f>
        <v/>
      </c>
      <c r="E537" s="70" t="str">
        <f aca="false">IF($K537="","",INDEX(Base!$G$5:$G$2004,$K537))</f>
        <v/>
      </c>
      <c r="F537" s="71" t="str">
        <f aca="false">IF($K537="","",INDEX(Base!$H$5:$H$2004,$K537))</f>
        <v/>
      </c>
      <c r="G537" s="71" t="str">
        <f aca="false">IF($K537="","",INDEX(Base!$I$5:$I$2004,$K537))</f>
        <v/>
      </c>
      <c r="H537" s="70" t="str">
        <f aca="false">IF($K537="","",INDEX(Base!$J$5:$J$2004,$K537))</f>
        <v/>
      </c>
      <c r="I537" s="71" t="str">
        <f aca="false">IF($K537="","",INDEX(Base!$L$5:$L$2004,$K537))</f>
        <v/>
      </c>
      <c r="J537" s="72" t="str">
        <f aca="false">IFERROR(SMALL(Base!$P$5:$P$2004,ROW()-5),"")</f>
        <v/>
      </c>
      <c r="K537" s="72" t="str">
        <f aca="false">IF(J537="","",MATCH(J537,Base!$P$5:$P$2004,0))</f>
        <v/>
      </c>
    </row>
    <row r="538" customFormat="false" ht="15" hidden="false" customHeight="false" outlineLevel="0" collapsed="false">
      <c r="A538" s="67" t="str">
        <f aca="false">IF($K538="","",ROW()-5)</f>
        <v/>
      </c>
      <c r="B538" s="68" t="str">
        <f aca="false">IF($K538="","",INDEX(Base!$E$5:$E$2004,$K538))</f>
        <v/>
      </c>
      <c r="C538" s="69" t="str">
        <f aca="false">IF($K538="","",B538)</f>
        <v/>
      </c>
      <c r="D538" s="70" t="str">
        <f aca="false">IF($K538="","",INDEX(Base!$F$5:$F$2004,$K538))</f>
        <v/>
      </c>
      <c r="E538" s="70" t="str">
        <f aca="false">IF($K538="","",INDEX(Base!$G$5:$G$2004,$K538))</f>
        <v/>
      </c>
      <c r="F538" s="71" t="str">
        <f aca="false">IF($K538="","",INDEX(Base!$H$5:$H$2004,$K538))</f>
        <v/>
      </c>
      <c r="G538" s="71" t="str">
        <f aca="false">IF($K538="","",INDEX(Base!$I$5:$I$2004,$K538))</f>
        <v/>
      </c>
      <c r="H538" s="70" t="str">
        <f aca="false">IF($K538="","",INDEX(Base!$J$5:$J$2004,$K538))</f>
        <v/>
      </c>
      <c r="I538" s="71" t="str">
        <f aca="false">IF($K538="","",INDEX(Base!$L$5:$L$2004,$K538))</f>
        <v/>
      </c>
      <c r="J538" s="72" t="str">
        <f aca="false">IFERROR(SMALL(Base!$P$5:$P$2004,ROW()-5),"")</f>
        <v/>
      </c>
      <c r="K538" s="72" t="str">
        <f aca="false">IF(J538="","",MATCH(J538,Base!$P$5:$P$2004,0))</f>
        <v/>
      </c>
    </row>
    <row r="539" customFormat="false" ht="15" hidden="false" customHeight="false" outlineLevel="0" collapsed="false">
      <c r="A539" s="67" t="str">
        <f aca="false">IF($K539="","",ROW()-5)</f>
        <v/>
      </c>
      <c r="B539" s="68" t="str">
        <f aca="false">IF($K539="","",INDEX(Base!$E$5:$E$2004,$K539))</f>
        <v/>
      </c>
      <c r="C539" s="69" t="str">
        <f aca="false">IF($K539="","",B539)</f>
        <v/>
      </c>
      <c r="D539" s="70" t="str">
        <f aca="false">IF($K539="","",INDEX(Base!$F$5:$F$2004,$K539))</f>
        <v/>
      </c>
      <c r="E539" s="70" t="str">
        <f aca="false">IF($K539="","",INDEX(Base!$G$5:$G$2004,$K539))</f>
        <v/>
      </c>
      <c r="F539" s="71" t="str">
        <f aca="false">IF($K539="","",INDEX(Base!$H$5:$H$2004,$K539))</f>
        <v/>
      </c>
      <c r="G539" s="71" t="str">
        <f aca="false">IF($K539="","",INDEX(Base!$I$5:$I$2004,$K539))</f>
        <v/>
      </c>
      <c r="H539" s="70" t="str">
        <f aca="false">IF($K539="","",INDEX(Base!$J$5:$J$2004,$K539))</f>
        <v/>
      </c>
      <c r="I539" s="71" t="str">
        <f aca="false">IF($K539="","",INDEX(Base!$L$5:$L$2004,$K539))</f>
        <v/>
      </c>
      <c r="J539" s="72" t="str">
        <f aca="false">IFERROR(SMALL(Base!$P$5:$P$2004,ROW()-5),"")</f>
        <v/>
      </c>
      <c r="K539" s="72" t="str">
        <f aca="false">IF(J539="","",MATCH(J539,Base!$P$5:$P$2004,0))</f>
        <v/>
      </c>
    </row>
    <row r="540" customFormat="false" ht="15" hidden="false" customHeight="false" outlineLevel="0" collapsed="false">
      <c r="A540" s="67" t="str">
        <f aca="false">IF($K540="","",ROW()-5)</f>
        <v/>
      </c>
      <c r="B540" s="68" t="str">
        <f aca="false">IF($K540="","",INDEX(Base!$E$5:$E$2004,$K540))</f>
        <v/>
      </c>
      <c r="C540" s="69" t="str">
        <f aca="false">IF($K540="","",B540)</f>
        <v/>
      </c>
      <c r="D540" s="70" t="str">
        <f aca="false">IF($K540="","",INDEX(Base!$F$5:$F$2004,$K540))</f>
        <v/>
      </c>
      <c r="E540" s="70" t="str">
        <f aca="false">IF($K540="","",INDEX(Base!$G$5:$G$2004,$K540))</f>
        <v/>
      </c>
      <c r="F540" s="71" t="str">
        <f aca="false">IF($K540="","",INDEX(Base!$H$5:$H$2004,$K540))</f>
        <v/>
      </c>
      <c r="G540" s="71" t="str">
        <f aca="false">IF($K540="","",INDEX(Base!$I$5:$I$2004,$K540))</f>
        <v/>
      </c>
      <c r="H540" s="70" t="str">
        <f aca="false">IF($K540="","",INDEX(Base!$J$5:$J$2004,$K540))</f>
        <v/>
      </c>
      <c r="I540" s="71" t="str">
        <f aca="false">IF($K540="","",INDEX(Base!$L$5:$L$2004,$K540))</f>
        <v/>
      </c>
      <c r="J540" s="72" t="str">
        <f aca="false">IFERROR(SMALL(Base!$P$5:$P$2004,ROW()-5),"")</f>
        <v/>
      </c>
      <c r="K540" s="72" t="str">
        <f aca="false">IF(J540="","",MATCH(J540,Base!$P$5:$P$2004,0))</f>
        <v/>
      </c>
    </row>
    <row r="541" customFormat="false" ht="15" hidden="false" customHeight="false" outlineLevel="0" collapsed="false">
      <c r="A541" s="67" t="str">
        <f aca="false">IF($K541="","",ROW()-5)</f>
        <v/>
      </c>
      <c r="B541" s="68" t="str">
        <f aca="false">IF($K541="","",INDEX(Base!$E$5:$E$2004,$K541))</f>
        <v/>
      </c>
      <c r="C541" s="69" t="str">
        <f aca="false">IF($K541="","",B541)</f>
        <v/>
      </c>
      <c r="D541" s="70" t="str">
        <f aca="false">IF($K541="","",INDEX(Base!$F$5:$F$2004,$K541))</f>
        <v/>
      </c>
      <c r="E541" s="70" t="str">
        <f aca="false">IF($K541="","",INDEX(Base!$G$5:$G$2004,$K541))</f>
        <v/>
      </c>
      <c r="F541" s="71" t="str">
        <f aca="false">IF($K541="","",INDEX(Base!$H$5:$H$2004,$K541))</f>
        <v/>
      </c>
      <c r="G541" s="71" t="str">
        <f aca="false">IF($K541="","",INDEX(Base!$I$5:$I$2004,$K541))</f>
        <v/>
      </c>
      <c r="H541" s="70" t="str">
        <f aca="false">IF($K541="","",INDEX(Base!$J$5:$J$2004,$K541))</f>
        <v/>
      </c>
      <c r="I541" s="71" t="str">
        <f aca="false">IF($K541="","",INDEX(Base!$L$5:$L$2004,$K541))</f>
        <v/>
      </c>
      <c r="J541" s="72" t="str">
        <f aca="false">IFERROR(SMALL(Base!$P$5:$P$2004,ROW()-5),"")</f>
        <v/>
      </c>
      <c r="K541" s="72" t="str">
        <f aca="false">IF(J541="","",MATCH(J541,Base!$P$5:$P$2004,0))</f>
        <v/>
      </c>
    </row>
    <row r="542" customFormat="false" ht="15" hidden="false" customHeight="false" outlineLevel="0" collapsed="false">
      <c r="A542" s="67" t="str">
        <f aca="false">IF($K542="","",ROW()-5)</f>
        <v/>
      </c>
      <c r="B542" s="68" t="str">
        <f aca="false">IF($K542="","",INDEX(Base!$E$5:$E$2004,$K542))</f>
        <v/>
      </c>
      <c r="C542" s="69" t="str">
        <f aca="false">IF($K542="","",B542)</f>
        <v/>
      </c>
      <c r="D542" s="70" t="str">
        <f aca="false">IF($K542="","",INDEX(Base!$F$5:$F$2004,$K542))</f>
        <v/>
      </c>
      <c r="E542" s="70" t="str">
        <f aca="false">IF($K542="","",INDEX(Base!$G$5:$G$2004,$K542))</f>
        <v/>
      </c>
      <c r="F542" s="71" t="str">
        <f aca="false">IF($K542="","",INDEX(Base!$H$5:$H$2004,$K542))</f>
        <v/>
      </c>
      <c r="G542" s="71" t="str">
        <f aca="false">IF($K542="","",INDEX(Base!$I$5:$I$2004,$K542))</f>
        <v/>
      </c>
      <c r="H542" s="70" t="str">
        <f aca="false">IF($K542="","",INDEX(Base!$J$5:$J$2004,$K542))</f>
        <v/>
      </c>
      <c r="I542" s="71" t="str">
        <f aca="false">IF($K542="","",INDEX(Base!$L$5:$L$2004,$K542))</f>
        <v/>
      </c>
      <c r="J542" s="72" t="str">
        <f aca="false">IFERROR(SMALL(Base!$P$5:$P$2004,ROW()-5),"")</f>
        <v/>
      </c>
      <c r="K542" s="72" t="str">
        <f aca="false">IF(J542="","",MATCH(J542,Base!$P$5:$P$2004,0))</f>
        <v/>
      </c>
    </row>
    <row r="543" customFormat="false" ht="15" hidden="false" customHeight="false" outlineLevel="0" collapsed="false">
      <c r="A543" s="67" t="str">
        <f aca="false">IF($K543="","",ROW()-5)</f>
        <v/>
      </c>
      <c r="B543" s="68" t="str">
        <f aca="false">IF($K543="","",INDEX(Base!$E$5:$E$2004,$K543))</f>
        <v/>
      </c>
      <c r="C543" s="69" t="str">
        <f aca="false">IF($K543="","",B543)</f>
        <v/>
      </c>
      <c r="D543" s="70" t="str">
        <f aca="false">IF($K543="","",INDEX(Base!$F$5:$F$2004,$K543))</f>
        <v/>
      </c>
      <c r="E543" s="70" t="str">
        <f aca="false">IF($K543="","",INDEX(Base!$G$5:$G$2004,$K543))</f>
        <v/>
      </c>
      <c r="F543" s="71" t="str">
        <f aca="false">IF($K543="","",INDEX(Base!$H$5:$H$2004,$K543))</f>
        <v/>
      </c>
      <c r="G543" s="71" t="str">
        <f aca="false">IF($K543="","",INDEX(Base!$I$5:$I$2004,$K543))</f>
        <v/>
      </c>
      <c r="H543" s="70" t="str">
        <f aca="false">IF($K543="","",INDEX(Base!$J$5:$J$2004,$K543))</f>
        <v/>
      </c>
      <c r="I543" s="71" t="str">
        <f aca="false">IF($K543="","",INDEX(Base!$L$5:$L$2004,$K543))</f>
        <v/>
      </c>
      <c r="J543" s="72" t="str">
        <f aca="false">IFERROR(SMALL(Base!$P$5:$P$2004,ROW()-5),"")</f>
        <v/>
      </c>
      <c r="K543" s="72" t="str">
        <f aca="false">IF(J543="","",MATCH(J543,Base!$P$5:$P$2004,0))</f>
        <v/>
      </c>
    </row>
    <row r="544" customFormat="false" ht="15" hidden="false" customHeight="false" outlineLevel="0" collapsed="false">
      <c r="A544" s="67" t="str">
        <f aca="false">IF($K544="","",ROW()-5)</f>
        <v/>
      </c>
      <c r="B544" s="68" t="str">
        <f aca="false">IF($K544="","",INDEX(Base!$E$5:$E$2004,$K544))</f>
        <v/>
      </c>
      <c r="C544" s="69" t="str">
        <f aca="false">IF($K544="","",B544)</f>
        <v/>
      </c>
      <c r="D544" s="70" t="str">
        <f aca="false">IF($K544="","",INDEX(Base!$F$5:$F$2004,$K544))</f>
        <v/>
      </c>
      <c r="E544" s="70" t="str">
        <f aca="false">IF($K544="","",INDEX(Base!$G$5:$G$2004,$K544))</f>
        <v/>
      </c>
      <c r="F544" s="71" t="str">
        <f aca="false">IF($K544="","",INDEX(Base!$H$5:$H$2004,$K544))</f>
        <v/>
      </c>
      <c r="G544" s="71" t="str">
        <f aca="false">IF($K544="","",INDEX(Base!$I$5:$I$2004,$K544))</f>
        <v/>
      </c>
      <c r="H544" s="70" t="str">
        <f aca="false">IF($K544="","",INDEX(Base!$J$5:$J$2004,$K544))</f>
        <v/>
      </c>
      <c r="I544" s="71" t="str">
        <f aca="false">IF($K544="","",INDEX(Base!$L$5:$L$2004,$K544))</f>
        <v/>
      </c>
      <c r="J544" s="72" t="str">
        <f aca="false">IFERROR(SMALL(Base!$P$5:$P$2004,ROW()-5),"")</f>
        <v/>
      </c>
      <c r="K544" s="72" t="str">
        <f aca="false">IF(J544="","",MATCH(J544,Base!$P$5:$P$2004,0))</f>
        <v/>
      </c>
    </row>
    <row r="545" customFormat="false" ht="15" hidden="false" customHeight="false" outlineLevel="0" collapsed="false">
      <c r="A545" s="67" t="str">
        <f aca="false">IF($K545="","",ROW()-5)</f>
        <v/>
      </c>
      <c r="B545" s="68" t="str">
        <f aca="false">IF($K545="","",INDEX(Base!$E$5:$E$2004,$K545))</f>
        <v/>
      </c>
      <c r="C545" s="69" t="str">
        <f aca="false">IF($K545="","",B545)</f>
        <v/>
      </c>
      <c r="D545" s="70" t="str">
        <f aca="false">IF($K545="","",INDEX(Base!$F$5:$F$2004,$K545))</f>
        <v/>
      </c>
      <c r="E545" s="70" t="str">
        <f aca="false">IF($K545="","",INDEX(Base!$G$5:$G$2004,$K545))</f>
        <v/>
      </c>
      <c r="F545" s="71" t="str">
        <f aca="false">IF($K545="","",INDEX(Base!$H$5:$H$2004,$K545))</f>
        <v/>
      </c>
      <c r="G545" s="71" t="str">
        <f aca="false">IF($K545="","",INDEX(Base!$I$5:$I$2004,$K545))</f>
        <v/>
      </c>
      <c r="H545" s="70" t="str">
        <f aca="false">IF($K545="","",INDEX(Base!$J$5:$J$2004,$K545))</f>
        <v/>
      </c>
      <c r="I545" s="71" t="str">
        <f aca="false">IF($K545="","",INDEX(Base!$L$5:$L$2004,$K545))</f>
        <v/>
      </c>
      <c r="J545" s="72" t="str">
        <f aca="false">IFERROR(SMALL(Base!$P$5:$P$2004,ROW()-5),"")</f>
        <v/>
      </c>
      <c r="K545" s="72" t="str">
        <f aca="false">IF(J545="","",MATCH(J545,Base!$P$5:$P$2004,0))</f>
        <v/>
      </c>
    </row>
    <row r="546" customFormat="false" ht="15" hidden="false" customHeight="false" outlineLevel="0" collapsed="false">
      <c r="A546" s="67" t="str">
        <f aca="false">IF($K546="","",ROW()-5)</f>
        <v/>
      </c>
      <c r="B546" s="68" t="str">
        <f aca="false">IF($K546="","",INDEX(Base!$E$5:$E$2004,$K546))</f>
        <v/>
      </c>
      <c r="C546" s="69" t="str">
        <f aca="false">IF($K546="","",B546)</f>
        <v/>
      </c>
      <c r="D546" s="70" t="str">
        <f aca="false">IF($K546="","",INDEX(Base!$F$5:$F$2004,$K546))</f>
        <v/>
      </c>
      <c r="E546" s="70" t="str">
        <f aca="false">IF($K546="","",INDEX(Base!$G$5:$G$2004,$K546))</f>
        <v/>
      </c>
      <c r="F546" s="71" t="str">
        <f aca="false">IF($K546="","",INDEX(Base!$H$5:$H$2004,$K546))</f>
        <v/>
      </c>
      <c r="G546" s="71" t="str">
        <f aca="false">IF($K546="","",INDEX(Base!$I$5:$I$2004,$K546))</f>
        <v/>
      </c>
      <c r="H546" s="70" t="str">
        <f aca="false">IF($K546="","",INDEX(Base!$J$5:$J$2004,$K546))</f>
        <v/>
      </c>
      <c r="I546" s="71" t="str">
        <f aca="false">IF($K546="","",INDEX(Base!$L$5:$L$2004,$K546))</f>
        <v/>
      </c>
      <c r="J546" s="72" t="str">
        <f aca="false">IFERROR(SMALL(Base!$P$5:$P$2004,ROW()-5),"")</f>
        <v/>
      </c>
      <c r="K546" s="72" t="str">
        <f aca="false">IF(J546="","",MATCH(J546,Base!$P$5:$P$2004,0))</f>
        <v/>
      </c>
    </row>
    <row r="547" customFormat="false" ht="15" hidden="false" customHeight="false" outlineLevel="0" collapsed="false">
      <c r="A547" s="67" t="str">
        <f aca="false">IF($K547="","",ROW()-5)</f>
        <v/>
      </c>
      <c r="B547" s="68" t="str">
        <f aca="false">IF($K547="","",INDEX(Base!$E$5:$E$2004,$K547))</f>
        <v/>
      </c>
      <c r="C547" s="69" t="str">
        <f aca="false">IF($K547="","",B547)</f>
        <v/>
      </c>
      <c r="D547" s="70" t="str">
        <f aca="false">IF($K547="","",INDEX(Base!$F$5:$F$2004,$K547))</f>
        <v/>
      </c>
      <c r="E547" s="70" t="str">
        <f aca="false">IF($K547="","",INDEX(Base!$G$5:$G$2004,$K547))</f>
        <v/>
      </c>
      <c r="F547" s="71" t="str">
        <f aca="false">IF($K547="","",INDEX(Base!$H$5:$H$2004,$K547))</f>
        <v/>
      </c>
      <c r="G547" s="71" t="str">
        <f aca="false">IF($K547="","",INDEX(Base!$I$5:$I$2004,$K547))</f>
        <v/>
      </c>
      <c r="H547" s="70" t="str">
        <f aca="false">IF($K547="","",INDEX(Base!$J$5:$J$2004,$K547))</f>
        <v/>
      </c>
      <c r="I547" s="71" t="str">
        <f aca="false">IF($K547="","",INDEX(Base!$L$5:$L$2004,$K547))</f>
        <v/>
      </c>
      <c r="J547" s="72" t="str">
        <f aca="false">IFERROR(SMALL(Base!$P$5:$P$2004,ROW()-5),"")</f>
        <v/>
      </c>
      <c r="K547" s="72" t="str">
        <f aca="false">IF(J547="","",MATCH(J547,Base!$P$5:$P$2004,0))</f>
        <v/>
      </c>
    </row>
    <row r="548" customFormat="false" ht="15" hidden="false" customHeight="false" outlineLevel="0" collapsed="false">
      <c r="A548" s="67" t="str">
        <f aca="false">IF($K548="","",ROW()-5)</f>
        <v/>
      </c>
      <c r="B548" s="68" t="str">
        <f aca="false">IF($K548="","",INDEX(Base!$E$5:$E$2004,$K548))</f>
        <v/>
      </c>
      <c r="C548" s="69" t="str">
        <f aca="false">IF($K548="","",B548)</f>
        <v/>
      </c>
      <c r="D548" s="70" t="str">
        <f aca="false">IF($K548="","",INDEX(Base!$F$5:$F$2004,$K548))</f>
        <v/>
      </c>
      <c r="E548" s="70" t="str">
        <f aca="false">IF($K548="","",INDEX(Base!$G$5:$G$2004,$K548))</f>
        <v/>
      </c>
      <c r="F548" s="71" t="str">
        <f aca="false">IF($K548="","",INDEX(Base!$H$5:$H$2004,$K548))</f>
        <v/>
      </c>
      <c r="G548" s="71" t="str">
        <f aca="false">IF($K548="","",INDEX(Base!$I$5:$I$2004,$K548))</f>
        <v/>
      </c>
      <c r="H548" s="70" t="str">
        <f aca="false">IF($K548="","",INDEX(Base!$J$5:$J$2004,$K548))</f>
        <v/>
      </c>
      <c r="I548" s="71" t="str">
        <f aca="false">IF($K548="","",INDEX(Base!$L$5:$L$2004,$K548))</f>
        <v/>
      </c>
      <c r="J548" s="72" t="str">
        <f aca="false">IFERROR(SMALL(Base!$P$5:$P$2004,ROW()-5),"")</f>
        <v/>
      </c>
      <c r="K548" s="72" t="str">
        <f aca="false">IF(J548="","",MATCH(J548,Base!$P$5:$P$2004,0))</f>
        <v/>
      </c>
    </row>
    <row r="549" customFormat="false" ht="15" hidden="false" customHeight="false" outlineLevel="0" collapsed="false">
      <c r="A549" s="67" t="str">
        <f aca="false">IF($K549="","",ROW()-5)</f>
        <v/>
      </c>
      <c r="B549" s="68" t="str">
        <f aca="false">IF($K549="","",INDEX(Base!$E$5:$E$2004,$K549))</f>
        <v/>
      </c>
      <c r="C549" s="69" t="str">
        <f aca="false">IF($K549="","",B549)</f>
        <v/>
      </c>
      <c r="D549" s="70" t="str">
        <f aca="false">IF($K549="","",INDEX(Base!$F$5:$F$2004,$K549))</f>
        <v/>
      </c>
      <c r="E549" s="70" t="str">
        <f aca="false">IF($K549="","",INDEX(Base!$G$5:$G$2004,$K549))</f>
        <v/>
      </c>
      <c r="F549" s="71" t="str">
        <f aca="false">IF($K549="","",INDEX(Base!$H$5:$H$2004,$K549))</f>
        <v/>
      </c>
      <c r="G549" s="71" t="str">
        <f aca="false">IF($K549="","",INDEX(Base!$I$5:$I$2004,$K549))</f>
        <v/>
      </c>
      <c r="H549" s="70" t="str">
        <f aca="false">IF($K549="","",INDEX(Base!$J$5:$J$2004,$K549))</f>
        <v/>
      </c>
      <c r="I549" s="71" t="str">
        <f aca="false">IF($K549="","",INDEX(Base!$L$5:$L$2004,$K549))</f>
        <v/>
      </c>
      <c r="J549" s="72" t="str">
        <f aca="false">IFERROR(SMALL(Base!$P$5:$P$2004,ROW()-5),"")</f>
        <v/>
      </c>
      <c r="K549" s="72" t="str">
        <f aca="false">IF(J549="","",MATCH(J549,Base!$P$5:$P$2004,0))</f>
        <v/>
      </c>
    </row>
    <row r="550" customFormat="false" ht="15" hidden="false" customHeight="false" outlineLevel="0" collapsed="false">
      <c r="A550" s="67" t="str">
        <f aca="false">IF($K550="","",ROW()-5)</f>
        <v/>
      </c>
      <c r="B550" s="68" t="str">
        <f aca="false">IF($K550="","",INDEX(Base!$E$5:$E$2004,$K550))</f>
        <v/>
      </c>
      <c r="C550" s="69" t="str">
        <f aca="false">IF($K550="","",B550)</f>
        <v/>
      </c>
      <c r="D550" s="70" t="str">
        <f aca="false">IF($K550="","",INDEX(Base!$F$5:$F$2004,$K550))</f>
        <v/>
      </c>
      <c r="E550" s="70" t="str">
        <f aca="false">IF($K550="","",INDEX(Base!$G$5:$G$2004,$K550))</f>
        <v/>
      </c>
      <c r="F550" s="71" t="str">
        <f aca="false">IF($K550="","",INDEX(Base!$H$5:$H$2004,$K550))</f>
        <v/>
      </c>
      <c r="G550" s="71" t="str">
        <f aca="false">IF($K550="","",INDEX(Base!$I$5:$I$2004,$K550))</f>
        <v/>
      </c>
      <c r="H550" s="70" t="str">
        <f aca="false">IF($K550="","",INDEX(Base!$J$5:$J$2004,$K550))</f>
        <v/>
      </c>
      <c r="I550" s="71" t="str">
        <f aca="false">IF($K550="","",INDEX(Base!$L$5:$L$2004,$K550))</f>
        <v/>
      </c>
      <c r="J550" s="72" t="str">
        <f aca="false">IFERROR(SMALL(Base!$P$5:$P$2004,ROW()-5),"")</f>
        <v/>
      </c>
      <c r="K550" s="72" t="str">
        <f aca="false">IF(J550="","",MATCH(J550,Base!$P$5:$P$2004,0))</f>
        <v/>
      </c>
    </row>
    <row r="551" customFormat="false" ht="15" hidden="false" customHeight="false" outlineLevel="0" collapsed="false">
      <c r="A551" s="67" t="str">
        <f aca="false">IF($K551="","",ROW()-5)</f>
        <v/>
      </c>
      <c r="B551" s="68" t="str">
        <f aca="false">IF($K551="","",INDEX(Base!$E$5:$E$2004,$K551))</f>
        <v/>
      </c>
      <c r="C551" s="69" t="str">
        <f aca="false">IF($K551="","",B551)</f>
        <v/>
      </c>
      <c r="D551" s="70" t="str">
        <f aca="false">IF($K551="","",INDEX(Base!$F$5:$F$2004,$K551))</f>
        <v/>
      </c>
      <c r="E551" s="70" t="str">
        <f aca="false">IF($K551="","",INDEX(Base!$G$5:$G$2004,$K551))</f>
        <v/>
      </c>
      <c r="F551" s="71" t="str">
        <f aca="false">IF($K551="","",INDEX(Base!$H$5:$H$2004,$K551))</f>
        <v/>
      </c>
      <c r="G551" s="71" t="str">
        <f aca="false">IF($K551="","",INDEX(Base!$I$5:$I$2004,$K551))</f>
        <v/>
      </c>
      <c r="H551" s="70" t="str">
        <f aca="false">IF($K551="","",INDEX(Base!$J$5:$J$2004,$K551))</f>
        <v/>
      </c>
      <c r="I551" s="71" t="str">
        <f aca="false">IF($K551="","",INDEX(Base!$L$5:$L$2004,$K551))</f>
        <v/>
      </c>
      <c r="J551" s="72" t="str">
        <f aca="false">IFERROR(SMALL(Base!$P$5:$P$2004,ROW()-5),"")</f>
        <v/>
      </c>
      <c r="K551" s="72" t="str">
        <f aca="false">IF(J551="","",MATCH(J551,Base!$P$5:$P$2004,0))</f>
        <v/>
      </c>
    </row>
    <row r="552" customFormat="false" ht="15" hidden="false" customHeight="false" outlineLevel="0" collapsed="false">
      <c r="A552" s="67" t="str">
        <f aca="false">IF($K552="","",ROW()-5)</f>
        <v/>
      </c>
      <c r="B552" s="68" t="str">
        <f aca="false">IF($K552="","",INDEX(Base!$E$5:$E$2004,$K552))</f>
        <v/>
      </c>
      <c r="C552" s="69" t="str">
        <f aca="false">IF($K552="","",B552)</f>
        <v/>
      </c>
      <c r="D552" s="70" t="str">
        <f aca="false">IF($K552="","",INDEX(Base!$F$5:$F$2004,$K552))</f>
        <v/>
      </c>
      <c r="E552" s="70" t="str">
        <f aca="false">IF($K552="","",INDEX(Base!$G$5:$G$2004,$K552))</f>
        <v/>
      </c>
      <c r="F552" s="71" t="str">
        <f aca="false">IF($K552="","",INDEX(Base!$H$5:$H$2004,$K552))</f>
        <v/>
      </c>
      <c r="G552" s="71" t="str">
        <f aca="false">IF($K552="","",INDEX(Base!$I$5:$I$2004,$K552))</f>
        <v/>
      </c>
      <c r="H552" s="70" t="str">
        <f aca="false">IF($K552="","",INDEX(Base!$J$5:$J$2004,$K552))</f>
        <v/>
      </c>
      <c r="I552" s="71" t="str">
        <f aca="false">IF($K552="","",INDEX(Base!$L$5:$L$2004,$K552))</f>
        <v/>
      </c>
      <c r="J552" s="72" t="str">
        <f aca="false">IFERROR(SMALL(Base!$P$5:$P$2004,ROW()-5),"")</f>
        <v/>
      </c>
      <c r="K552" s="72" t="str">
        <f aca="false">IF(J552="","",MATCH(J552,Base!$P$5:$P$2004,0))</f>
        <v/>
      </c>
    </row>
    <row r="553" customFormat="false" ht="15" hidden="false" customHeight="false" outlineLevel="0" collapsed="false">
      <c r="A553" s="67" t="str">
        <f aca="false">IF($K553="","",ROW()-5)</f>
        <v/>
      </c>
      <c r="B553" s="68" t="str">
        <f aca="false">IF($K553="","",INDEX(Base!$E$5:$E$2004,$K553))</f>
        <v/>
      </c>
      <c r="C553" s="69" t="str">
        <f aca="false">IF($K553="","",B553)</f>
        <v/>
      </c>
      <c r="D553" s="70" t="str">
        <f aca="false">IF($K553="","",INDEX(Base!$F$5:$F$2004,$K553))</f>
        <v/>
      </c>
      <c r="E553" s="70" t="str">
        <f aca="false">IF($K553="","",INDEX(Base!$G$5:$G$2004,$K553))</f>
        <v/>
      </c>
      <c r="F553" s="71" t="str">
        <f aca="false">IF($K553="","",INDEX(Base!$H$5:$H$2004,$K553))</f>
        <v/>
      </c>
      <c r="G553" s="71" t="str">
        <f aca="false">IF($K553="","",INDEX(Base!$I$5:$I$2004,$K553))</f>
        <v/>
      </c>
      <c r="H553" s="70" t="str">
        <f aca="false">IF($K553="","",INDEX(Base!$J$5:$J$2004,$K553))</f>
        <v/>
      </c>
      <c r="I553" s="71" t="str">
        <f aca="false">IF($K553="","",INDEX(Base!$L$5:$L$2004,$K553))</f>
        <v/>
      </c>
      <c r="J553" s="72" t="str">
        <f aca="false">IFERROR(SMALL(Base!$P$5:$P$2004,ROW()-5),"")</f>
        <v/>
      </c>
      <c r="K553" s="72" t="str">
        <f aca="false">IF(J553="","",MATCH(J553,Base!$P$5:$P$2004,0))</f>
        <v/>
      </c>
    </row>
    <row r="554" customFormat="false" ht="15" hidden="false" customHeight="false" outlineLevel="0" collapsed="false">
      <c r="A554" s="67" t="str">
        <f aca="false">IF($K554="","",ROW()-5)</f>
        <v/>
      </c>
      <c r="B554" s="68" t="str">
        <f aca="false">IF($K554="","",INDEX(Base!$E$5:$E$2004,$K554))</f>
        <v/>
      </c>
      <c r="C554" s="69" t="str">
        <f aca="false">IF($K554="","",B554)</f>
        <v/>
      </c>
      <c r="D554" s="70" t="str">
        <f aca="false">IF($K554="","",INDEX(Base!$F$5:$F$2004,$K554))</f>
        <v/>
      </c>
      <c r="E554" s="70" t="str">
        <f aca="false">IF($K554="","",INDEX(Base!$G$5:$G$2004,$K554))</f>
        <v/>
      </c>
      <c r="F554" s="71" t="str">
        <f aca="false">IF($K554="","",INDEX(Base!$H$5:$H$2004,$K554))</f>
        <v/>
      </c>
      <c r="G554" s="71" t="str">
        <f aca="false">IF($K554="","",INDEX(Base!$I$5:$I$2004,$K554))</f>
        <v/>
      </c>
      <c r="H554" s="70" t="str">
        <f aca="false">IF($K554="","",INDEX(Base!$J$5:$J$2004,$K554))</f>
        <v/>
      </c>
      <c r="I554" s="71" t="str">
        <f aca="false">IF($K554="","",INDEX(Base!$L$5:$L$2004,$K554))</f>
        <v/>
      </c>
      <c r="J554" s="72" t="str">
        <f aca="false">IFERROR(SMALL(Base!$P$5:$P$2004,ROW()-5),"")</f>
        <v/>
      </c>
      <c r="K554" s="72" t="str">
        <f aca="false">IF(J554="","",MATCH(J554,Base!$P$5:$P$2004,0))</f>
        <v/>
      </c>
    </row>
    <row r="555" customFormat="false" ht="15" hidden="false" customHeight="false" outlineLevel="0" collapsed="false">
      <c r="A555" s="67" t="str">
        <f aca="false">IF($K555="","",ROW()-5)</f>
        <v/>
      </c>
      <c r="B555" s="68" t="str">
        <f aca="false">IF($K555="","",INDEX(Base!$E$5:$E$2004,$K555))</f>
        <v/>
      </c>
      <c r="C555" s="69" t="str">
        <f aca="false">IF($K555="","",B555)</f>
        <v/>
      </c>
      <c r="D555" s="70" t="str">
        <f aca="false">IF($K555="","",INDEX(Base!$F$5:$F$2004,$K555))</f>
        <v/>
      </c>
      <c r="E555" s="70" t="str">
        <f aca="false">IF($K555="","",INDEX(Base!$G$5:$G$2004,$K555))</f>
        <v/>
      </c>
      <c r="F555" s="71" t="str">
        <f aca="false">IF($K555="","",INDEX(Base!$H$5:$H$2004,$K555))</f>
        <v/>
      </c>
      <c r="G555" s="71" t="str">
        <f aca="false">IF($K555="","",INDEX(Base!$I$5:$I$2004,$K555))</f>
        <v/>
      </c>
      <c r="H555" s="70" t="str">
        <f aca="false">IF($K555="","",INDEX(Base!$J$5:$J$2004,$K555))</f>
        <v/>
      </c>
      <c r="I555" s="71" t="str">
        <f aca="false">IF($K555="","",INDEX(Base!$L$5:$L$2004,$K555))</f>
        <v/>
      </c>
      <c r="J555" s="72" t="str">
        <f aca="false">IFERROR(SMALL(Base!$P$5:$P$2004,ROW()-5),"")</f>
        <v/>
      </c>
      <c r="K555" s="72" t="str">
        <f aca="false">IF(J555="","",MATCH(J555,Base!$P$5:$P$2004,0))</f>
        <v/>
      </c>
    </row>
    <row r="556" customFormat="false" ht="15" hidden="false" customHeight="false" outlineLevel="0" collapsed="false">
      <c r="A556" s="67" t="str">
        <f aca="false">IF($K556="","",ROW()-5)</f>
        <v/>
      </c>
      <c r="B556" s="68" t="str">
        <f aca="false">IF($K556="","",INDEX(Base!$E$5:$E$2004,$K556))</f>
        <v/>
      </c>
      <c r="C556" s="69" t="str">
        <f aca="false">IF($K556="","",B556)</f>
        <v/>
      </c>
      <c r="D556" s="70" t="str">
        <f aca="false">IF($K556="","",INDEX(Base!$F$5:$F$2004,$K556))</f>
        <v/>
      </c>
      <c r="E556" s="70" t="str">
        <f aca="false">IF($K556="","",INDEX(Base!$G$5:$G$2004,$K556))</f>
        <v/>
      </c>
      <c r="F556" s="71" t="str">
        <f aca="false">IF($K556="","",INDEX(Base!$H$5:$H$2004,$K556))</f>
        <v/>
      </c>
      <c r="G556" s="71" t="str">
        <f aca="false">IF($K556="","",INDEX(Base!$I$5:$I$2004,$K556))</f>
        <v/>
      </c>
      <c r="H556" s="70" t="str">
        <f aca="false">IF($K556="","",INDEX(Base!$J$5:$J$2004,$K556))</f>
        <v/>
      </c>
      <c r="I556" s="71" t="str">
        <f aca="false">IF($K556="","",INDEX(Base!$L$5:$L$2004,$K556))</f>
        <v/>
      </c>
      <c r="J556" s="72" t="str">
        <f aca="false">IFERROR(SMALL(Base!$P$5:$P$2004,ROW()-5),"")</f>
        <v/>
      </c>
      <c r="K556" s="72" t="str">
        <f aca="false">IF(J556="","",MATCH(J556,Base!$P$5:$P$2004,0))</f>
        <v/>
      </c>
    </row>
    <row r="557" customFormat="false" ht="15" hidden="false" customHeight="false" outlineLevel="0" collapsed="false">
      <c r="A557" s="67" t="str">
        <f aca="false">IF($K557="","",ROW()-5)</f>
        <v/>
      </c>
      <c r="B557" s="68" t="str">
        <f aca="false">IF($K557="","",INDEX(Base!$E$5:$E$2004,$K557))</f>
        <v/>
      </c>
      <c r="C557" s="69" t="str">
        <f aca="false">IF($K557="","",B557)</f>
        <v/>
      </c>
      <c r="D557" s="70" t="str">
        <f aca="false">IF($K557="","",INDEX(Base!$F$5:$F$2004,$K557))</f>
        <v/>
      </c>
      <c r="E557" s="70" t="str">
        <f aca="false">IF($K557="","",INDEX(Base!$G$5:$G$2004,$K557))</f>
        <v/>
      </c>
      <c r="F557" s="71" t="str">
        <f aca="false">IF($K557="","",INDEX(Base!$H$5:$H$2004,$K557))</f>
        <v/>
      </c>
      <c r="G557" s="71" t="str">
        <f aca="false">IF($K557="","",INDEX(Base!$I$5:$I$2004,$K557))</f>
        <v/>
      </c>
      <c r="H557" s="70" t="str">
        <f aca="false">IF($K557="","",INDEX(Base!$J$5:$J$2004,$K557))</f>
        <v/>
      </c>
      <c r="I557" s="71" t="str">
        <f aca="false">IF($K557="","",INDEX(Base!$L$5:$L$2004,$K557))</f>
        <v/>
      </c>
      <c r="J557" s="72" t="str">
        <f aca="false">IFERROR(SMALL(Base!$P$5:$P$2004,ROW()-5),"")</f>
        <v/>
      </c>
      <c r="K557" s="72" t="str">
        <f aca="false">IF(J557="","",MATCH(J557,Base!$P$5:$P$2004,0))</f>
        <v/>
      </c>
    </row>
    <row r="558" customFormat="false" ht="15" hidden="false" customHeight="false" outlineLevel="0" collapsed="false">
      <c r="A558" s="67" t="str">
        <f aca="false">IF($K558="","",ROW()-5)</f>
        <v/>
      </c>
      <c r="B558" s="68" t="str">
        <f aca="false">IF($K558="","",INDEX(Base!$E$5:$E$2004,$K558))</f>
        <v/>
      </c>
      <c r="C558" s="69" t="str">
        <f aca="false">IF($K558="","",B558)</f>
        <v/>
      </c>
      <c r="D558" s="70" t="str">
        <f aca="false">IF($K558="","",INDEX(Base!$F$5:$F$2004,$K558))</f>
        <v/>
      </c>
      <c r="E558" s="70" t="str">
        <f aca="false">IF($K558="","",INDEX(Base!$G$5:$G$2004,$K558))</f>
        <v/>
      </c>
      <c r="F558" s="71" t="str">
        <f aca="false">IF($K558="","",INDEX(Base!$H$5:$H$2004,$K558))</f>
        <v/>
      </c>
      <c r="G558" s="71" t="str">
        <f aca="false">IF($K558="","",INDEX(Base!$I$5:$I$2004,$K558))</f>
        <v/>
      </c>
      <c r="H558" s="70" t="str">
        <f aca="false">IF($K558="","",INDEX(Base!$J$5:$J$2004,$K558))</f>
        <v/>
      </c>
      <c r="I558" s="71" t="str">
        <f aca="false">IF($K558="","",INDEX(Base!$L$5:$L$2004,$K558))</f>
        <v/>
      </c>
      <c r="J558" s="72" t="str">
        <f aca="false">IFERROR(SMALL(Base!$P$5:$P$2004,ROW()-5),"")</f>
        <v/>
      </c>
      <c r="K558" s="72" t="str">
        <f aca="false">IF(J558="","",MATCH(J558,Base!$P$5:$P$2004,0))</f>
        <v/>
      </c>
    </row>
    <row r="559" customFormat="false" ht="15" hidden="false" customHeight="false" outlineLevel="0" collapsed="false">
      <c r="A559" s="67" t="str">
        <f aca="false">IF($K559="","",ROW()-5)</f>
        <v/>
      </c>
      <c r="B559" s="68" t="str">
        <f aca="false">IF($K559="","",INDEX(Base!$E$5:$E$2004,$K559))</f>
        <v/>
      </c>
      <c r="C559" s="69" t="str">
        <f aca="false">IF($K559="","",B559)</f>
        <v/>
      </c>
      <c r="D559" s="70" t="str">
        <f aca="false">IF($K559="","",INDEX(Base!$F$5:$F$2004,$K559))</f>
        <v/>
      </c>
      <c r="E559" s="70" t="str">
        <f aca="false">IF($K559="","",INDEX(Base!$G$5:$G$2004,$K559))</f>
        <v/>
      </c>
      <c r="F559" s="71" t="str">
        <f aca="false">IF($K559="","",INDEX(Base!$H$5:$H$2004,$K559))</f>
        <v/>
      </c>
      <c r="G559" s="71" t="str">
        <f aca="false">IF($K559="","",INDEX(Base!$I$5:$I$2004,$K559))</f>
        <v/>
      </c>
      <c r="H559" s="70" t="str">
        <f aca="false">IF($K559="","",INDEX(Base!$J$5:$J$2004,$K559))</f>
        <v/>
      </c>
      <c r="I559" s="71" t="str">
        <f aca="false">IF($K559="","",INDEX(Base!$L$5:$L$2004,$K559))</f>
        <v/>
      </c>
      <c r="J559" s="72" t="str">
        <f aca="false">IFERROR(SMALL(Base!$P$5:$P$2004,ROW()-5),"")</f>
        <v/>
      </c>
      <c r="K559" s="72" t="str">
        <f aca="false">IF(J559="","",MATCH(J559,Base!$P$5:$P$2004,0))</f>
        <v/>
      </c>
    </row>
    <row r="560" customFormat="false" ht="15" hidden="false" customHeight="false" outlineLevel="0" collapsed="false">
      <c r="A560" s="67" t="str">
        <f aca="false">IF($K560="","",ROW()-5)</f>
        <v/>
      </c>
      <c r="B560" s="68" t="str">
        <f aca="false">IF($K560="","",INDEX(Base!$E$5:$E$2004,$K560))</f>
        <v/>
      </c>
      <c r="C560" s="69" t="str">
        <f aca="false">IF($K560="","",B560)</f>
        <v/>
      </c>
      <c r="D560" s="70" t="str">
        <f aca="false">IF($K560="","",INDEX(Base!$F$5:$F$2004,$K560))</f>
        <v/>
      </c>
      <c r="E560" s="70" t="str">
        <f aca="false">IF($K560="","",INDEX(Base!$G$5:$G$2004,$K560))</f>
        <v/>
      </c>
      <c r="F560" s="71" t="str">
        <f aca="false">IF($K560="","",INDEX(Base!$H$5:$H$2004,$K560))</f>
        <v/>
      </c>
      <c r="G560" s="71" t="str">
        <f aca="false">IF($K560="","",INDEX(Base!$I$5:$I$2004,$K560))</f>
        <v/>
      </c>
      <c r="H560" s="70" t="str">
        <f aca="false">IF($K560="","",INDEX(Base!$J$5:$J$2004,$K560))</f>
        <v/>
      </c>
      <c r="I560" s="71" t="str">
        <f aca="false">IF($K560="","",INDEX(Base!$L$5:$L$2004,$K560))</f>
        <v/>
      </c>
      <c r="J560" s="72" t="str">
        <f aca="false">IFERROR(SMALL(Base!$P$5:$P$2004,ROW()-5),"")</f>
        <v/>
      </c>
      <c r="K560" s="72" t="str">
        <f aca="false">IF(J560="","",MATCH(J560,Base!$P$5:$P$2004,0))</f>
        <v/>
      </c>
    </row>
    <row r="561" customFormat="false" ht="15" hidden="false" customHeight="false" outlineLevel="0" collapsed="false">
      <c r="A561" s="67" t="str">
        <f aca="false">IF($K561="","",ROW()-5)</f>
        <v/>
      </c>
      <c r="B561" s="68" t="str">
        <f aca="false">IF($K561="","",INDEX(Base!$E$5:$E$2004,$K561))</f>
        <v/>
      </c>
      <c r="C561" s="69" t="str">
        <f aca="false">IF($K561="","",B561)</f>
        <v/>
      </c>
      <c r="D561" s="70" t="str">
        <f aca="false">IF($K561="","",INDEX(Base!$F$5:$F$2004,$K561))</f>
        <v/>
      </c>
      <c r="E561" s="70" t="str">
        <f aca="false">IF($K561="","",INDEX(Base!$G$5:$G$2004,$K561))</f>
        <v/>
      </c>
      <c r="F561" s="71" t="str">
        <f aca="false">IF($K561="","",INDEX(Base!$H$5:$H$2004,$K561))</f>
        <v/>
      </c>
      <c r="G561" s="71" t="str">
        <f aca="false">IF($K561="","",INDEX(Base!$I$5:$I$2004,$K561))</f>
        <v/>
      </c>
      <c r="H561" s="70" t="str">
        <f aca="false">IF($K561="","",INDEX(Base!$J$5:$J$2004,$K561))</f>
        <v/>
      </c>
      <c r="I561" s="71" t="str">
        <f aca="false">IF($K561="","",INDEX(Base!$L$5:$L$2004,$K561))</f>
        <v/>
      </c>
      <c r="J561" s="72" t="str">
        <f aca="false">IFERROR(SMALL(Base!$P$5:$P$2004,ROW()-5),"")</f>
        <v/>
      </c>
      <c r="K561" s="72" t="str">
        <f aca="false">IF(J561="","",MATCH(J561,Base!$P$5:$P$2004,0))</f>
        <v/>
      </c>
    </row>
    <row r="562" customFormat="false" ht="15" hidden="false" customHeight="false" outlineLevel="0" collapsed="false">
      <c r="A562" s="67" t="str">
        <f aca="false">IF($K562="","",ROW()-5)</f>
        <v/>
      </c>
      <c r="B562" s="68" t="str">
        <f aca="false">IF($K562="","",INDEX(Base!$E$5:$E$2004,$K562))</f>
        <v/>
      </c>
      <c r="C562" s="69" t="str">
        <f aca="false">IF($K562="","",B562)</f>
        <v/>
      </c>
      <c r="D562" s="70" t="str">
        <f aca="false">IF($K562="","",INDEX(Base!$F$5:$F$2004,$K562))</f>
        <v/>
      </c>
      <c r="E562" s="70" t="str">
        <f aca="false">IF($K562="","",INDEX(Base!$G$5:$G$2004,$K562))</f>
        <v/>
      </c>
      <c r="F562" s="71" t="str">
        <f aca="false">IF($K562="","",INDEX(Base!$H$5:$H$2004,$K562))</f>
        <v/>
      </c>
      <c r="G562" s="71" t="str">
        <f aca="false">IF($K562="","",INDEX(Base!$I$5:$I$2004,$K562))</f>
        <v/>
      </c>
      <c r="H562" s="70" t="str">
        <f aca="false">IF($K562="","",INDEX(Base!$J$5:$J$2004,$K562))</f>
        <v/>
      </c>
      <c r="I562" s="71" t="str">
        <f aca="false">IF($K562="","",INDEX(Base!$L$5:$L$2004,$K562))</f>
        <v/>
      </c>
      <c r="J562" s="72" t="str">
        <f aca="false">IFERROR(SMALL(Base!$P$5:$P$2004,ROW()-5),"")</f>
        <v/>
      </c>
      <c r="K562" s="72" t="str">
        <f aca="false">IF(J562="","",MATCH(J562,Base!$P$5:$P$2004,0))</f>
        <v/>
      </c>
    </row>
    <row r="563" customFormat="false" ht="15" hidden="false" customHeight="false" outlineLevel="0" collapsed="false">
      <c r="A563" s="67" t="str">
        <f aca="false">IF($K563="","",ROW()-5)</f>
        <v/>
      </c>
      <c r="B563" s="68" t="str">
        <f aca="false">IF($K563="","",INDEX(Base!$E$5:$E$2004,$K563))</f>
        <v/>
      </c>
      <c r="C563" s="69" t="str">
        <f aca="false">IF($K563="","",B563)</f>
        <v/>
      </c>
      <c r="D563" s="70" t="str">
        <f aca="false">IF($K563="","",INDEX(Base!$F$5:$F$2004,$K563))</f>
        <v/>
      </c>
      <c r="E563" s="70" t="str">
        <f aca="false">IF($K563="","",INDEX(Base!$G$5:$G$2004,$K563))</f>
        <v/>
      </c>
      <c r="F563" s="71" t="str">
        <f aca="false">IF($K563="","",INDEX(Base!$H$5:$H$2004,$K563))</f>
        <v/>
      </c>
      <c r="G563" s="71" t="str">
        <f aca="false">IF($K563="","",INDEX(Base!$I$5:$I$2004,$K563))</f>
        <v/>
      </c>
      <c r="H563" s="70" t="str">
        <f aca="false">IF($K563="","",INDEX(Base!$J$5:$J$2004,$K563))</f>
        <v/>
      </c>
      <c r="I563" s="71" t="str">
        <f aca="false">IF($K563="","",INDEX(Base!$L$5:$L$2004,$K563))</f>
        <v/>
      </c>
      <c r="J563" s="72" t="str">
        <f aca="false">IFERROR(SMALL(Base!$P$5:$P$2004,ROW()-5),"")</f>
        <v/>
      </c>
      <c r="K563" s="72" t="str">
        <f aca="false">IF(J563="","",MATCH(J563,Base!$P$5:$P$2004,0))</f>
        <v/>
      </c>
    </row>
    <row r="564" customFormat="false" ht="15" hidden="false" customHeight="false" outlineLevel="0" collapsed="false">
      <c r="A564" s="67" t="str">
        <f aca="false">IF($K564="","",ROW()-5)</f>
        <v/>
      </c>
      <c r="B564" s="68" t="str">
        <f aca="false">IF($K564="","",INDEX(Base!$E$5:$E$2004,$K564))</f>
        <v/>
      </c>
      <c r="C564" s="69" t="str">
        <f aca="false">IF($K564="","",B564)</f>
        <v/>
      </c>
      <c r="D564" s="70" t="str">
        <f aca="false">IF($K564="","",INDEX(Base!$F$5:$F$2004,$K564))</f>
        <v/>
      </c>
      <c r="E564" s="70" t="str">
        <f aca="false">IF($K564="","",INDEX(Base!$G$5:$G$2004,$K564))</f>
        <v/>
      </c>
      <c r="F564" s="71" t="str">
        <f aca="false">IF($K564="","",INDEX(Base!$H$5:$H$2004,$K564))</f>
        <v/>
      </c>
      <c r="G564" s="71" t="str">
        <f aca="false">IF($K564="","",INDEX(Base!$I$5:$I$2004,$K564))</f>
        <v/>
      </c>
      <c r="H564" s="70" t="str">
        <f aca="false">IF($K564="","",INDEX(Base!$J$5:$J$2004,$K564))</f>
        <v/>
      </c>
      <c r="I564" s="71" t="str">
        <f aca="false">IF($K564="","",INDEX(Base!$L$5:$L$2004,$K564))</f>
        <v/>
      </c>
      <c r="J564" s="72" t="str">
        <f aca="false">IFERROR(SMALL(Base!$P$5:$P$2004,ROW()-5),"")</f>
        <v/>
      </c>
      <c r="K564" s="72" t="str">
        <f aca="false">IF(J564="","",MATCH(J564,Base!$P$5:$P$2004,0))</f>
        <v/>
      </c>
    </row>
    <row r="565" customFormat="false" ht="15" hidden="false" customHeight="false" outlineLevel="0" collapsed="false">
      <c r="A565" s="67" t="str">
        <f aca="false">IF($K565="","",ROW()-5)</f>
        <v/>
      </c>
      <c r="B565" s="68" t="str">
        <f aca="false">IF($K565="","",INDEX(Base!$E$5:$E$2004,$K565))</f>
        <v/>
      </c>
      <c r="C565" s="69" t="str">
        <f aca="false">IF($K565="","",B565)</f>
        <v/>
      </c>
      <c r="D565" s="70" t="str">
        <f aca="false">IF($K565="","",INDEX(Base!$F$5:$F$2004,$K565))</f>
        <v/>
      </c>
      <c r="E565" s="70" t="str">
        <f aca="false">IF($K565="","",INDEX(Base!$G$5:$G$2004,$K565))</f>
        <v/>
      </c>
      <c r="F565" s="71" t="str">
        <f aca="false">IF($K565="","",INDEX(Base!$H$5:$H$2004,$K565))</f>
        <v/>
      </c>
      <c r="G565" s="71" t="str">
        <f aca="false">IF($K565="","",INDEX(Base!$I$5:$I$2004,$K565))</f>
        <v/>
      </c>
      <c r="H565" s="70" t="str">
        <f aca="false">IF($K565="","",INDEX(Base!$J$5:$J$2004,$K565))</f>
        <v/>
      </c>
      <c r="I565" s="71" t="str">
        <f aca="false">IF($K565="","",INDEX(Base!$L$5:$L$2004,$K565))</f>
        <v/>
      </c>
      <c r="J565" s="72" t="str">
        <f aca="false">IFERROR(SMALL(Base!$P$5:$P$2004,ROW()-5),"")</f>
        <v/>
      </c>
      <c r="K565" s="72" t="str">
        <f aca="false">IF(J565="","",MATCH(J565,Base!$P$5:$P$2004,0))</f>
        <v/>
      </c>
    </row>
    <row r="566" customFormat="false" ht="15" hidden="false" customHeight="false" outlineLevel="0" collapsed="false">
      <c r="A566" s="67" t="str">
        <f aca="false">IF($K566="","",ROW()-5)</f>
        <v/>
      </c>
      <c r="B566" s="68" t="str">
        <f aca="false">IF($K566="","",INDEX(Base!$E$5:$E$2004,$K566))</f>
        <v/>
      </c>
      <c r="C566" s="69" t="str">
        <f aca="false">IF($K566="","",B566)</f>
        <v/>
      </c>
      <c r="D566" s="70" t="str">
        <f aca="false">IF($K566="","",INDEX(Base!$F$5:$F$2004,$K566))</f>
        <v/>
      </c>
      <c r="E566" s="70" t="str">
        <f aca="false">IF($K566="","",INDEX(Base!$G$5:$G$2004,$K566))</f>
        <v/>
      </c>
      <c r="F566" s="71" t="str">
        <f aca="false">IF($K566="","",INDEX(Base!$H$5:$H$2004,$K566))</f>
        <v/>
      </c>
      <c r="G566" s="71" t="str">
        <f aca="false">IF($K566="","",INDEX(Base!$I$5:$I$2004,$K566))</f>
        <v/>
      </c>
      <c r="H566" s="70" t="str">
        <f aca="false">IF($K566="","",INDEX(Base!$J$5:$J$2004,$K566))</f>
        <v/>
      </c>
      <c r="I566" s="71" t="str">
        <f aca="false">IF($K566="","",INDEX(Base!$L$5:$L$2004,$K566))</f>
        <v/>
      </c>
      <c r="J566" s="72" t="str">
        <f aca="false">IFERROR(SMALL(Base!$P$5:$P$2004,ROW()-5),"")</f>
        <v/>
      </c>
      <c r="K566" s="72" t="str">
        <f aca="false">IF(J566="","",MATCH(J566,Base!$P$5:$P$2004,0))</f>
        <v/>
      </c>
    </row>
    <row r="567" customFormat="false" ht="15" hidden="false" customHeight="false" outlineLevel="0" collapsed="false">
      <c r="A567" s="67" t="str">
        <f aca="false">IF($K567="","",ROW()-5)</f>
        <v/>
      </c>
      <c r="B567" s="68" t="str">
        <f aca="false">IF($K567="","",INDEX(Base!$E$5:$E$2004,$K567))</f>
        <v/>
      </c>
      <c r="C567" s="69" t="str">
        <f aca="false">IF($K567="","",B567)</f>
        <v/>
      </c>
      <c r="D567" s="70" t="str">
        <f aca="false">IF($K567="","",INDEX(Base!$F$5:$F$2004,$K567))</f>
        <v/>
      </c>
      <c r="E567" s="70" t="str">
        <f aca="false">IF($K567="","",INDEX(Base!$G$5:$G$2004,$K567))</f>
        <v/>
      </c>
      <c r="F567" s="71" t="str">
        <f aca="false">IF($K567="","",INDEX(Base!$H$5:$H$2004,$K567))</f>
        <v/>
      </c>
      <c r="G567" s="71" t="str">
        <f aca="false">IF($K567="","",INDEX(Base!$I$5:$I$2004,$K567))</f>
        <v/>
      </c>
      <c r="H567" s="70" t="str">
        <f aca="false">IF($K567="","",INDEX(Base!$J$5:$J$2004,$K567))</f>
        <v/>
      </c>
      <c r="I567" s="71" t="str">
        <f aca="false">IF($K567="","",INDEX(Base!$L$5:$L$2004,$K567))</f>
        <v/>
      </c>
      <c r="J567" s="72" t="str">
        <f aca="false">IFERROR(SMALL(Base!$P$5:$P$2004,ROW()-5),"")</f>
        <v/>
      </c>
      <c r="K567" s="72" t="str">
        <f aca="false">IF(J567="","",MATCH(J567,Base!$P$5:$P$2004,0))</f>
        <v/>
      </c>
    </row>
    <row r="568" customFormat="false" ht="15" hidden="false" customHeight="false" outlineLevel="0" collapsed="false">
      <c r="A568" s="67" t="str">
        <f aca="false">IF($K568="","",ROW()-5)</f>
        <v/>
      </c>
      <c r="B568" s="68" t="str">
        <f aca="false">IF($K568="","",INDEX(Base!$E$5:$E$2004,$K568))</f>
        <v/>
      </c>
      <c r="C568" s="69" t="str">
        <f aca="false">IF($K568="","",B568)</f>
        <v/>
      </c>
      <c r="D568" s="70" t="str">
        <f aca="false">IF($K568="","",INDEX(Base!$F$5:$F$2004,$K568))</f>
        <v/>
      </c>
      <c r="E568" s="70" t="str">
        <f aca="false">IF($K568="","",INDEX(Base!$G$5:$G$2004,$K568))</f>
        <v/>
      </c>
      <c r="F568" s="71" t="str">
        <f aca="false">IF($K568="","",INDEX(Base!$H$5:$H$2004,$K568))</f>
        <v/>
      </c>
      <c r="G568" s="71" t="str">
        <f aca="false">IF($K568="","",INDEX(Base!$I$5:$I$2004,$K568))</f>
        <v/>
      </c>
      <c r="H568" s="70" t="str">
        <f aca="false">IF($K568="","",INDEX(Base!$J$5:$J$2004,$K568))</f>
        <v/>
      </c>
      <c r="I568" s="71" t="str">
        <f aca="false">IF($K568="","",INDEX(Base!$L$5:$L$2004,$K568))</f>
        <v/>
      </c>
      <c r="J568" s="72" t="str">
        <f aca="false">IFERROR(SMALL(Base!$P$5:$P$2004,ROW()-5),"")</f>
        <v/>
      </c>
      <c r="K568" s="72" t="str">
        <f aca="false">IF(J568="","",MATCH(J568,Base!$P$5:$P$2004,0))</f>
        <v/>
      </c>
    </row>
    <row r="569" customFormat="false" ht="15" hidden="false" customHeight="false" outlineLevel="0" collapsed="false">
      <c r="A569" s="67" t="str">
        <f aca="false">IF($K569="","",ROW()-5)</f>
        <v/>
      </c>
      <c r="B569" s="68" t="str">
        <f aca="false">IF($K569="","",INDEX(Base!$E$5:$E$2004,$K569))</f>
        <v/>
      </c>
      <c r="C569" s="69" t="str">
        <f aca="false">IF($K569="","",B569)</f>
        <v/>
      </c>
      <c r="D569" s="70" t="str">
        <f aca="false">IF($K569="","",INDEX(Base!$F$5:$F$2004,$K569))</f>
        <v/>
      </c>
      <c r="E569" s="70" t="str">
        <f aca="false">IF($K569="","",INDEX(Base!$G$5:$G$2004,$K569))</f>
        <v/>
      </c>
      <c r="F569" s="71" t="str">
        <f aca="false">IF($K569="","",INDEX(Base!$H$5:$H$2004,$K569))</f>
        <v/>
      </c>
      <c r="G569" s="71" t="str">
        <f aca="false">IF($K569="","",INDEX(Base!$I$5:$I$2004,$K569))</f>
        <v/>
      </c>
      <c r="H569" s="70" t="str">
        <f aca="false">IF($K569="","",INDEX(Base!$J$5:$J$2004,$K569))</f>
        <v/>
      </c>
      <c r="I569" s="71" t="str">
        <f aca="false">IF($K569="","",INDEX(Base!$L$5:$L$2004,$K569))</f>
        <v/>
      </c>
      <c r="J569" s="72" t="str">
        <f aca="false">IFERROR(SMALL(Base!$P$5:$P$2004,ROW()-5),"")</f>
        <v/>
      </c>
      <c r="K569" s="72" t="str">
        <f aca="false">IF(J569="","",MATCH(J569,Base!$P$5:$P$2004,0))</f>
        <v/>
      </c>
    </row>
    <row r="570" customFormat="false" ht="15" hidden="false" customHeight="false" outlineLevel="0" collapsed="false">
      <c r="A570" s="67" t="str">
        <f aca="false">IF($K570="","",ROW()-5)</f>
        <v/>
      </c>
      <c r="B570" s="68" t="str">
        <f aca="false">IF($K570="","",INDEX(Base!$E$5:$E$2004,$K570))</f>
        <v/>
      </c>
      <c r="C570" s="69" t="str">
        <f aca="false">IF($K570="","",B570)</f>
        <v/>
      </c>
      <c r="D570" s="70" t="str">
        <f aca="false">IF($K570="","",INDEX(Base!$F$5:$F$2004,$K570))</f>
        <v/>
      </c>
      <c r="E570" s="70" t="str">
        <f aca="false">IF($K570="","",INDEX(Base!$G$5:$G$2004,$K570))</f>
        <v/>
      </c>
      <c r="F570" s="71" t="str">
        <f aca="false">IF($K570="","",INDEX(Base!$H$5:$H$2004,$K570))</f>
        <v/>
      </c>
      <c r="G570" s="71" t="str">
        <f aca="false">IF($K570="","",INDEX(Base!$I$5:$I$2004,$K570))</f>
        <v/>
      </c>
      <c r="H570" s="70" t="str">
        <f aca="false">IF($K570="","",INDEX(Base!$J$5:$J$2004,$K570))</f>
        <v/>
      </c>
      <c r="I570" s="71" t="str">
        <f aca="false">IF($K570="","",INDEX(Base!$L$5:$L$2004,$K570))</f>
        <v/>
      </c>
      <c r="J570" s="72" t="str">
        <f aca="false">IFERROR(SMALL(Base!$P$5:$P$2004,ROW()-5),"")</f>
        <v/>
      </c>
      <c r="K570" s="72" t="str">
        <f aca="false">IF(J570="","",MATCH(J570,Base!$P$5:$P$2004,0))</f>
        <v/>
      </c>
    </row>
    <row r="571" customFormat="false" ht="15" hidden="false" customHeight="false" outlineLevel="0" collapsed="false">
      <c r="A571" s="67" t="str">
        <f aca="false">IF($K571="","",ROW()-5)</f>
        <v/>
      </c>
      <c r="B571" s="68" t="str">
        <f aca="false">IF($K571="","",INDEX(Base!$E$5:$E$2004,$K571))</f>
        <v/>
      </c>
      <c r="C571" s="69" t="str">
        <f aca="false">IF($K571="","",B571)</f>
        <v/>
      </c>
      <c r="D571" s="70" t="str">
        <f aca="false">IF($K571="","",INDEX(Base!$F$5:$F$2004,$K571))</f>
        <v/>
      </c>
      <c r="E571" s="70" t="str">
        <f aca="false">IF($K571="","",INDEX(Base!$G$5:$G$2004,$K571))</f>
        <v/>
      </c>
      <c r="F571" s="71" t="str">
        <f aca="false">IF($K571="","",INDEX(Base!$H$5:$H$2004,$K571))</f>
        <v/>
      </c>
      <c r="G571" s="71" t="str">
        <f aca="false">IF($K571="","",INDEX(Base!$I$5:$I$2004,$K571))</f>
        <v/>
      </c>
      <c r="H571" s="70" t="str">
        <f aca="false">IF($K571="","",INDEX(Base!$J$5:$J$2004,$K571))</f>
        <v/>
      </c>
      <c r="I571" s="71" t="str">
        <f aca="false">IF($K571="","",INDEX(Base!$L$5:$L$2004,$K571))</f>
        <v/>
      </c>
      <c r="J571" s="72" t="str">
        <f aca="false">IFERROR(SMALL(Base!$P$5:$P$2004,ROW()-5),"")</f>
        <v/>
      </c>
      <c r="K571" s="72" t="str">
        <f aca="false">IF(J571="","",MATCH(J571,Base!$P$5:$P$2004,0))</f>
        <v/>
      </c>
    </row>
    <row r="572" customFormat="false" ht="15" hidden="false" customHeight="false" outlineLevel="0" collapsed="false">
      <c r="A572" s="67" t="str">
        <f aca="false">IF($K572="","",ROW()-5)</f>
        <v/>
      </c>
      <c r="B572" s="68" t="str">
        <f aca="false">IF($K572="","",INDEX(Base!$E$5:$E$2004,$K572))</f>
        <v/>
      </c>
      <c r="C572" s="69" t="str">
        <f aca="false">IF($K572="","",B572)</f>
        <v/>
      </c>
      <c r="D572" s="70" t="str">
        <f aca="false">IF($K572="","",INDEX(Base!$F$5:$F$2004,$K572))</f>
        <v/>
      </c>
      <c r="E572" s="70" t="str">
        <f aca="false">IF($K572="","",INDEX(Base!$G$5:$G$2004,$K572))</f>
        <v/>
      </c>
      <c r="F572" s="71" t="str">
        <f aca="false">IF($K572="","",INDEX(Base!$H$5:$H$2004,$K572))</f>
        <v/>
      </c>
      <c r="G572" s="71" t="str">
        <f aca="false">IF($K572="","",INDEX(Base!$I$5:$I$2004,$K572))</f>
        <v/>
      </c>
      <c r="H572" s="70" t="str">
        <f aca="false">IF($K572="","",INDEX(Base!$J$5:$J$2004,$K572))</f>
        <v/>
      </c>
      <c r="I572" s="71" t="str">
        <f aca="false">IF($K572="","",INDEX(Base!$L$5:$L$2004,$K572))</f>
        <v/>
      </c>
      <c r="J572" s="72" t="str">
        <f aca="false">IFERROR(SMALL(Base!$P$5:$P$2004,ROW()-5),"")</f>
        <v/>
      </c>
      <c r="K572" s="72" t="str">
        <f aca="false">IF(J572="","",MATCH(J572,Base!$P$5:$P$2004,0))</f>
        <v/>
      </c>
    </row>
    <row r="573" customFormat="false" ht="15" hidden="false" customHeight="false" outlineLevel="0" collapsed="false">
      <c r="A573" s="67" t="str">
        <f aca="false">IF($K573="","",ROW()-5)</f>
        <v/>
      </c>
      <c r="B573" s="68" t="str">
        <f aca="false">IF($K573="","",INDEX(Base!$E$5:$E$2004,$K573))</f>
        <v/>
      </c>
      <c r="C573" s="69" t="str">
        <f aca="false">IF($K573="","",B573)</f>
        <v/>
      </c>
      <c r="D573" s="70" t="str">
        <f aca="false">IF($K573="","",INDEX(Base!$F$5:$F$2004,$K573))</f>
        <v/>
      </c>
      <c r="E573" s="70" t="str">
        <f aca="false">IF($K573="","",INDEX(Base!$G$5:$G$2004,$K573))</f>
        <v/>
      </c>
      <c r="F573" s="71" t="str">
        <f aca="false">IF($K573="","",INDEX(Base!$H$5:$H$2004,$K573))</f>
        <v/>
      </c>
      <c r="G573" s="71" t="str">
        <f aca="false">IF($K573="","",INDEX(Base!$I$5:$I$2004,$K573))</f>
        <v/>
      </c>
      <c r="H573" s="70" t="str">
        <f aca="false">IF($K573="","",INDEX(Base!$J$5:$J$2004,$K573))</f>
        <v/>
      </c>
      <c r="I573" s="71" t="str">
        <f aca="false">IF($K573="","",INDEX(Base!$L$5:$L$2004,$K573))</f>
        <v/>
      </c>
      <c r="J573" s="72" t="str">
        <f aca="false">IFERROR(SMALL(Base!$P$5:$P$2004,ROW()-5),"")</f>
        <v/>
      </c>
      <c r="K573" s="72" t="str">
        <f aca="false">IF(J573="","",MATCH(J573,Base!$P$5:$P$2004,0))</f>
        <v/>
      </c>
    </row>
    <row r="574" customFormat="false" ht="15" hidden="false" customHeight="false" outlineLevel="0" collapsed="false">
      <c r="A574" s="67" t="str">
        <f aca="false">IF($K574="","",ROW()-5)</f>
        <v/>
      </c>
      <c r="B574" s="68" t="str">
        <f aca="false">IF($K574="","",INDEX(Base!$E$5:$E$2004,$K574))</f>
        <v/>
      </c>
      <c r="C574" s="69" t="str">
        <f aca="false">IF($K574="","",B574)</f>
        <v/>
      </c>
      <c r="D574" s="70" t="str">
        <f aca="false">IF($K574="","",INDEX(Base!$F$5:$F$2004,$K574))</f>
        <v/>
      </c>
      <c r="E574" s="70" t="str">
        <f aca="false">IF($K574="","",INDEX(Base!$G$5:$G$2004,$K574))</f>
        <v/>
      </c>
      <c r="F574" s="71" t="str">
        <f aca="false">IF($K574="","",INDEX(Base!$H$5:$H$2004,$K574))</f>
        <v/>
      </c>
      <c r="G574" s="71" t="str">
        <f aca="false">IF($K574="","",INDEX(Base!$I$5:$I$2004,$K574))</f>
        <v/>
      </c>
      <c r="H574" s="70" t="str">
        <f aca="false">IF($K574="","",INDEX(Base!$J$5:$J$2004,$K574))</f>
        <v/>
      </c>
      <c r="I574" s="71" t="str">
        <f aca="false">IF($K574="","",INDEX(Base!$L$5:$L$2004,$K574))</f>
        <v/>
      </c>
      <c r="J574" s="72" t="str">
        <f aca="false">IFERROR(SMALL(Base!$P$5:$P$2004,ROW()-5),"")</f>
        <v/>
      </c>
      <c r="K574" s="72" t="str">
        <f aca="false">IF(J574="","",MATCH(J574,Base!$P$5:$P$2004,0))</f>
        <v/>
      </c>
    </row>
    <row r="575" customFormat="false" ht="15" hidden="false" customHeight="false" outlineLevel="0" collapsed="false">
      <c r="A575" s="67" t="str">
        <f aca="false">IF($K575="","",ROW()-5)</f>
        <v/>
      </c>
      <c r="B575" s="68" t="str">
        <f aca="false">IF($K575="","",INDEX(Base!$E$5:$E$2004,$K575))</f>
        <v/>
      </c>
      <c r="C575" s="69" t="str">
        <f aca="false">IF($K575="","",B575)</f>
        <v/>
      </c>
      <c r="D575" s="70" t="str">
        <f aca="false">IF($K575="","",INDEX(Base!$F$5:$F$2004,$K575))</f>
        <v/>
      </c>
      <c r="E575" s="70" t="str">
        <f aca="false">IF($K575="","",INDEX(Base!$G$5:$G$2004,$K575))</f>
        <v/>
      </c>
      <c r="F575" s="71" t="str">
        <f aca="false">IF($K575="","",INDEX(Base!$H$5:$H$2004,$K575))</f>
        <v/>
      </c>
      <c r="G575" s="71" t="str">
        <f aca="false">IF($K575="","",INDEX(Base!$I$5:$I$2004,$K575))</f>
        <v/>
      </c>
      <c r="H575" s="70" t="str">
        <f aca="false">IF($K575="","",INDEX(Base!$J$5:$J$2004,$K575))</f>
        <v/>
      </c>
      <c r="I575" s="71" t="str">
        <f aca="false">IF($K575="","",INDEX(Base!$L$5:$L$2004,$K575))</f>
        <v/>
      </c>
      <c r="J575" s="72" t="str">
        <f aca="false">IFERROR(SMALL(Base!$P$5:$P$2004,ROW()-5),"")</f>
        <v/>
      </c>
      <c r="K575" s="72" t="str">
        <f aca="false">IF(J575="","",MATCH(J575,Base!$P$5:$P$2004,0))</f>
        <v/>
      </c>
    </row>
    <row r="576" customFormat="false" ht="15" hidden="false" customHeight="false" outlineLevel="0" collapsed="false">
      <c r="A576" s="67" t="str">
        <f aca="false">IF($K576="","",ROW()-5)</f>
        <v/>
      </c>
      <c r="B576" s="68" t="str">
        <f aca="false">IF($K576="","",INDEX(Base!$E$5:$E$2004,$K576))</f>
        <v/>
      </c>
      <c r="C576" s="69" t="str">
        <f aca="false">IF($K576="","",B576)</f>
        <v/>
      </c>
      <c r="D576" s="70" t="str">
        <f aca="false">IF($K576="","",INDEX(Base!$F$5:$F$2004,$K576))</f>
        <v/>
      </c>
      <c r="E576" s="70" t="str">
        <f aca="false">IF($K576="","",INDEX(Base!$G$5:$G$2004,$K576))</f>
        <v/>
      </c>
      <c r="F576" s="71" t="str">
        <f aca="false">IF($K576="","",INDEX(Base!$H$5:$H$2004,$K576))</f>
        <v/>
      </c>
      <c r="G576" s="71" t="str">
        <f aca="false">IF($K576="","",INDEX(Base!$I$5:$I$2004,$K576))</f>
        <v/>
      </c>
      <c r="H576" s="70" t="str">
        <f aca="false">IF($K576="","",INDEX(Base!$J$5:$J$2004,$K576))</f>
        <v/>
      </c>
      <c r="I576" s="71" t="str">
        <f aca="false">IF($K576="","",INDEX(Base!$L$5:$L$2004,$K576))</f>
        <v/>
      </c>
      <c r="J576" s="72" t="str">
        <f aca="false">IFERROR(SMALL(Base!$P$5:$P$2004,ROW()-5),"")</f>
        <v/>
      </c>
      <c r="K576" s="72" t="str">
        <f aca="false">IF(J576="","",MATCH(J576,Base!$P$5:$P$2004,0))</f>
        <v/>
      </c>
    </row>
    <row r="577" customFormat="false" ht="15" hidden="false" customHeight="false" outlineLevel="0" collapsed="false">
      <c r="A577" s="67" t="str">
        <f aca="false">IF($K577="","",ROW()-5)</f>
        <v/>
      </c>
      <c r="B577" s="68" t="str">
        <f aca="false">IF($K577="","",INDEX(Base!$E$5:$E$2004,$K577))</f>
        <v/>
      </c>
      <c r="C577" s="69" t="str">
        <f aca="false">IF($K577="","",B577)</f>
        <v/>
      </c>
      <c r="D577" s="70" t="str">
        <f aca="false">IF($K577="","",INDEX(Base!$F$5:$F$2004,$K577))</f>
        <v/>
      </c>
      <c r="E577" s="70" t="str">
        <f aca="false">IF($K577="","",INDEX(Base!$G$5:$G$2004,$K577))</f>
        <v/>
      </c>
      <c r="F577" s="71" t="str">
        <f aca="false">IF($K577="","",INDEX(Base!$H$5:$H$2004,$K577))</f>
        <v/>
      </c>
      <c r="G577" s="71" t="str">
        <f aca="false">IF($K577="","",INDEX(Base!$I$5:$I$2004,$K577))</f>
        <v/>
      </c>
      <c r="H577" s="70" t="str">
        <f aca="false">IF($K577="","",INDEX(Base!$J$5:$J$2004,$K577))</f>
        <v/>
      </c>
      <c r="I577" s="71" t="str">
        <f aca="false">IF($K577="","",INDEX(Base!$L$5:$L$2004,$K577))</f>
        <v/>
      </c>
      <c r="J577" s="72" t="str">
        <f aca="false">IFERROR(SMALL(Base!$P$5:$P$2004,ROW()-5),"")</f>
        <v/>
      </c>
      <c r="K577" s="72" t="str">
        <f aca="false">IF(J577="","",MATCH(J577,Base!$P$5:$P$2004,0))</f>
        <v/>
      </c>
    </row>
    <row r="578" customFormat="false" ht="15" hidden="false" customHeight="false" outlineLevel="0" collapsed="false">
      <c r="A578" s="67" t="str">
        <f aca="false">IF($K578="","",ROW()-5)</f>
        <v/>
      </c>
      <c r="B578" s="68" t="str">
        <f aca="false">IF($K578="","",INDEX(Base!$E$5:$E$2004,$K578))</f>
        <v/>
      </c>
      <c r="C578" s="69" t="str">
        <f aca="false">IF($K578="","",B578)</f>
        <v/>
      </c>
      <c r="D578" s="70" t="str">
        <f aca="false">IF($K578="","",INDEX(Base!$F$5:$F$2004,$K578))</f>
        <v/>
      </c>
      <c r="E578" s="70" t="str">
        <f aca="false">IF($K578="","",INDEX(Base!$G$5:$G$2004,$K578))</f>
        <v/>
      </c>
      <c r="F578" s="71" t="str">
        <f aca="false">IF($K578="","",INDEX(Base!$H$5:$H$2004,$K578))</f>
        <v/>
      </c>
      <c r="G578" s="71" t="str">
        <f aca="false">IF($K578="","",INDEX(Base!$I$5:$I$2004,$K578))</f>
        <v/>
      </c>
      <c r="H578" s="70" t="str">
        <f aca="false">IF($K578="","",INDEX(Base!$J$5:$J$2004,$K578))</f>
        <v/>
      </c>
      <c r="I578" s="71" t="str">
        <f aca="false">IF($K578="","",INDEX(Base!$L$5:$L$2004,$K578))</f>
        <v/>
      </c>
      <c r="J578" s="72" t="str">
        <f aca="false">IFERROR(SMALL(Base!$P$5:$P$2004,ROW()-5),"")</f>
        <v/>
      </c>
      <c r="K578" s="72" t="str">
        <f aca="false">IF(J578="","",MATCH(J578,Base!$P$5:$P$2004,0))</f>
        <v/>
      </c>
    </row>
    <row r="579" customFormat="false" ht="15" hidden="false" customHeight="false" outlineLevel="0" collapsed="false">
      <c r="A579" s="67" t="str">
        <f aca="false">IF($K579="","",ROW()-5)</f>
        <v/>
      </c>
      <c r="B579" s="68" t="str">
        <f aca="false">IF($K579="","",INDEX(Base!$E$5:$E$2004,$K579))</f>
        <v/>
      </c>
      <c r="C579" s="69" t="str">
        <f aca="false">IF($K579="","",B579)</f>
        <v/>
      </c>
      <c r="D579" s="70" t="str">
        <f aca="false">IF($K579="","",INDEX(Base!$F$5:$F$2004,$K579))</f>
        <v/>
      </c>
      <c r="E579" s="70" t="str">
        <f aca="false">IF($K579="","",INDEX(Base!$G$5:$G$2004,$K579))</f>
        <v/>
      </c>
      <c r="F579" s="71" t="str">
        <f aca="false">IF($K579="","",INDEX(Base!$H$5:$H$2004,$K579))</f>
        <v/>
      </c>
      <c r="G579" s="71" t="str">
        <f aca="false">IF($K579="","",INDEX(Base!$I$5:$I$2004,$K579))</f>
        <v/>
      </c>
      <c r="H579" s="70" t="str">
        <f aca="false">IF($K579="","",INDEX(Base!$J$5:$J$2004,$K579))</f>
        <v/>
      </c>
      <c r="I579" s="71" t="str">
        <f aca="false">IF($K579="","",INDEX(Base!$L$5:$L$2004,$K579))</f>
        <v/>
      </c>
      <c r="J579" s="72" t="str">
        <f aca="false">IFERROR(SMALL(Base!$P$5:$P$2004,ROW()-5),"")</f>
        <v/>
      </c>
      <c r="K579" s="72" t="str">
        <f aca="false">IF(J579="","",MATCH(J579,Base!$P$5:$P$2004,0))</f>
        <v/>
      </c>
    </row>
    <row r="580" customFormat="false" ht="15" hidden="false" customHeight="false" outlineLevel="0" collapsed="false">
      <c r="A580" s="67" t="str">
        <f aca="false">IF($K580="","",ROW()-5)</f>
        <v/>
      </c>
      <c r="B580" s="68" t="str">
        <f aca="false">IF($K580="","",INDEX(Base!$E$5:$E$2004,$K580))</f>
        <v/>
      </c>
      <c r="C580" s="69" t="str">
        <f aca="false">IF($K580="","",B580)</f>
        <v/>
      </c>
      <c r="D580" s="70" t="str">
        <f aca="false">IF($K580="","",INDEX(Base!$F$5:$F$2004,$K580))</f>
        <v/>
      </c>
      <c r="E580" s="70" t="str">
        <f aca="false">IF($K580="","",INDEX(Base!$G$5:$G$2004,$K580))</f>
        <v/>
      </c>
      <c r="F580" s="71" t="str">
        <f aca="false">IF($K580="","",INDEX(Base!$H$5:$H$2004,$K580))</f>
        <v/>
      </c>
      <c r="G580" s="71" t="str">
        <f aca="false">IF($K580="","",INDEX(Base!$I$5:$I$2004,$K580))</f>
        <v/>
      </c>
      <c r="H580" s="70" t="str">
        <f aca="false">IF($K580="","",INDEX(Base!$J$5:$J$2004,$K580))</f>
        <v/>
      </c>
      <c r="I580" s="71" t="str">
        <f aca="false">IF($K580="","",INDEX(Base!$L$5:$L$2004,$K580))</f>
        <v/>
      </c>
      <c r="J580" s="72" t="str">
        <f aca="false">IFERROR(SMALL(Base!$P$5:$P$2004,ROW()-5),"")</f>
        <v/>
      </c>
      <c r="K580" s="72" t="str">
        <f aca="false">IF(J580="","",MATCH(J580,Base!$P$5:$P$2004,0))</f>
        <v/>
      </c>
    </row>
    <row r="581" customFormat="false" ht="15" hidden="false" customHeight="false" outlineLevel="0" collapsed="false">
      <c r="A581" s="67" t="str">
        <f aca="false">IF($K581="","",ROW()-5)</f>
        <v/>
      </c>
      <c r="B581" s="68" t="str">
        <f aca="false">IF($K581="","",INDEX(Base!$E$5:$E$2004,$K581))</f>
        <v/>
      </c>
      <c r="C581" s="69" t="str">
        <f aca="false">IF($K581="","",B581)</f>
        <v/>
      </c>
      <c r="D581" s="70" t="str">
        <f aca="false">IF($K581="","",INDEX(Base!$F$5:$F$2004,$K581))</f>
        <v/>
      </c>
      <c r="E581" s="70" t="str">
        <f aca="false">IF($K581="","",INDEX(Base!$G$5:$G$2004,$K581))</f>
        <v/>
      </c>
      <c r="F581" s="71" t="str">
        <f aca="false">IF($K581="","",INDEX(Base!$H$5:$H$2004,$K581))</f>
        <v/>
      </c>
      <c r="G581" s="71" t="str">
        <f aca="false">IF($K581="","",INDEX(Base!$I$5:$I$2004,$K581))</f>
        <v/>
      </c>
      <c r="H581" s="70" t="str">
        <f aca="false">IF($K581="","",INDEX(Base!$J$5:$J$2004,$K581))</f>
        <v/>
      </c>
      <c r="I581" s="71" t="str">
        <f aca="false">IF($K581="","",INDEX(Base!$L$5:$L$2004,$K581))</f>
        <v/>
      </c>
      <c r="J581" s="72" t="str">
        <f aca="false">IFERROR(SMALL(Base!$P$5:$P$2004,ROW()-5),"")</f>
        <v/>
      </c>
      <c r="K581" s="72" t="str">
        <f aca="false">IF(J581="","",MATCH(J581,Base!$P$5:$P$2004,0))</f>
        <v/>
      </c>
    </row>
    <row r="582" customFormat="false" ht="15" hidden="false" customHeight="false" outlineLevel="0" collapsed="false">
      <c r="A582" s="67" t="str">
        <f aca="false">IF($K582="","",ROW()-5)</f>
        <v/>
      </c>
      <c r="B582" s="68" t="str">
        <f aca="false">IF($K582="","",INDEX(Base!$E$5:$E$2004,$K582))</f>
        <v/>
      </c>
      <c r="C582" s="69" t="str">
        <f aca="false">IF($K582="","",B582)</f>
        <v/>
      </c>
      <c r="D582" s="70" t="str">
        <f aca="false">IF($K582="","",INDEX(Base!$F$5:$F$2004,$K582))</f>
        <v/>
      </c>
      <c r="E582" s="70" t="str">
        <f aca="false">IF($K582="","",INDEX(Base!$G$5:$G$2004,$K582))</f>
        <v/>
      </c>
      <c r="F582" s="71" t="str">
        <f aca="false">IF($K582="","",INDEX(Base!$H$5:$H$2004,$K582))</f>
        <v/>
      </c>
      <c r="G582" s="71" t="str">
        <f aca="false">IF($K582="","",INDEX(Base!$I$5:$I$2004,$K582))</f>
        <v/>
      </c>
      <c r="H582" s="70" t="str">
        <f aca="false">IF($K582="","",INDEX(Base!$J$5:$J$2004,$K582))</f>
        <v/>
      </c>
      <c r="I582" s="71" t="str">
        <f aca="false">IF($K582="","",INDEX(Base!$L$5:$L$2004,$K582))</f>
        <v/>
      </c>
      <c r="J582" s="72" t="str">
        <f aca="false">IFERROR(SMALL(Base!$P$5:$P$2004,ROW()-5),"")</f>
        <v/>
      </c>
      <c r="K582" s="72" t="str">
        <f aca="false">IF(J582="","",MATCH(J582,Base!$P$5:$P$2004,0))</f>
        <v/>
      </c>
    </row>
    <row r="583" customFormat="false" ht="15" hidden="false" customHeight="false" outlineLevel="0" collapsed="false">
      <c r="A583" s="67" t="str">
        <f aca="false">IF($K583="","",ROW()-5)</f>
        <v/>
      </c>
      <c r="B583" s="68" t="str">
        <f aca="false">IF($K583="","",INDEX(Base!$E$5:$E$2004,$K583))</f>
        <v/>
      </c>
      <c r="C583" s="69" t="str">
        <f aca="false">IF($K583="","",B583)</f>
        <v/>
      </c>
      <c r="D583" s="70" t="str">
        <f aca="false">IF($K583="","",INDEX(Base!$F$5:$F$2004,$K583))</f>
        <v/>
      </c>
      <c r="E583" s="70" t="str">
        <f aca="false">IF($K583="","",INDEX(Base!$G$5:$G$2004,$K583))</f>
        <v/>
      </c>
      <c r="F583" s="71" t="str">
        <f aca="false">IF($K583="","",INDEX(Base!$H$5:$H$2004,$K583))</f>
        <v/>
      </c>
      <c r="G583" s="71" t="str">
        <f aca="false">IF($K583="","",INDEX(Base!$I$5:$I$2004,$K583))</f>
        <v/>
      </c>
      <c r="H583" s="70" t="str">
        <f aca="false">IF($K583="","",INDEX(Base!$J$5:$J$2004,$K583))</f>
        <v/>
      </c>
      <c r="I583" s="71" t="str">
        <f aca="false">IF($K583="","",INDEX(Base!$L$5:$L$2004,$K583))</f>
        <v/>
      </c>
      <c r="J583" s="72" t="str">
        <f aca="false">IFERROR(SMALL(Base!$P$5:$P$2004,ROW()-5),"")</f>
        <v/>
      </c>
      <c r="K583" s="72" t="str">
        <f aca="false">IF(J583="","",MATCH(J583,Base!$P$5:$P$2004,0))</f>
        <v/>
      </c>
    </row>
    <row r="584" customFormat="false" ht="15" hidden="false" customHeight="false" outlineLevel="0" collapsed="false">
      <c r="A584" s="67" t="str">
        <f aca="false">IF($K584="","",ROW()-5)</f>
        <v/>
      </c>
      <c r="B584" s="68" t="str">
        <f aca="false">IF($K584="","",INDEX(Base!$E$5:$E$2004,$K584))</f>
        <v/>
      </c>
      <c r="C584" s="69" t="str">
        <f aca="false">IF($K584="","",B584)</f>
        <v/>
      </c>
      <c r="D584" s="70" t="str">
        <f aca="false">IF($K584="","",INDEX(Base!$F$5:$F$2004,$K584))</f>
        <v/>
      </c>
      <c r="E584" s="70" t="str">
        <f aca="false">IF($K584="","",INDEX(Base!$G$5:$G$2004,$K584))</f>
        <v/>
      </c>
      <c r="F584" s="71" t="str">
        <f aca="false">IF($K584="","",INDEX(Base!$H$5:$H$2004,$K584))</f>
        <v/>
      </c>
      <c r="G584" s="71" t="str">
        <f aca="false">IF($K584="","",INDEX(Base!$I$5:$I$2004,$K584))</f>
        <v/>
      </c>
      <c r="H584" s="70" t="str">
        <f aca="false">IF($K584="","",INDEX(Base!$J$5:$J$2004,$K584))</f>
        <v/>
      </c>
      <c r="I584" s="71" t="str">
        <f aca="false">IF($K584="","",INDEX(Base!$L$5:$L$2004,$K584))</f>
        <v/>
      </c>
      <c r="J584" s="72" t="str">
        <f aca="false">IFERROR(SMALL(Base!$P$5:$P$2004,ROW()-5),"")</f>
        <v/>
      </c>
      <c r="K584" s="72" t="str">
        <f aca="false">IF(J584="","",MATCH(J584,Base!$P$5:$P$2004,0))</f>
        <v/>
      </c>
    </row>
    <row r="585" customFormat="false" ht="15" hidden="false" customHeight="false" outlineLevel="0" collapsed="false">
      <c r="A585" s="67" t="str">
        <f aca="false">IF($K585="","",ROW()-5)</f>
        <v/>
      </c>
      <c r="B585" s="68" t="str">
        <f aca="false">IF($K585="","",INDEX(Base!$E$5:$E$2004,$K585))</f>
        <v/>
      </c>
      <c r="C585" s="69" t="str">
        <f aca="false">IF($K585="","",B585)</f>
        <v/>
      </c>
      <c r="D585" s="70" t="str">
        <f aca="false">IF($K585="","",INDEX(Base!$F$5:$F$2004,$K585))</f>
        <v/>
      </c>
      <c r="E585" s="70" t="str">
        <f aca="false">IF($K585="","",INDEX(Base!$G$5:$G$2004,$K585))</f>
        <v/>
      </c>
      <c r="F585" s="71" t="str">
        <f aca="false">IF($K585="","",INDEX(Base!$H$5:$H$2004,$K585))</f>
        <v/>
      </c>
      <c r="G585" s="71" t="str">
        <f aca="false">IF($K585="","",INDEX(Base!$I$5:$I$2004,$K585))</f>
        <v/>
      </c>
      <c r="H585" s="70" t="str">
        <f aca="false">IF($K585="","",INDEX(Base!$J$5:$J$2004,$K585))</f>
        <v/>
      </c>
      <c r="I585" s="71" t="str">
        <f aca="false">IF($K585="","",INDEX(Base!$L$5:$L$2004,$K585))</f>
        <v/>
      </c>
      <c r="J585" s="72" t="str">
        <f aca="false">IFERROR(SMALL(Base!$P$5:$P$2004,ROW()-5),"")</f>
        <v/>
      </c>
      <c r="K585" s="72" t="str">
        <f aca="false">IF(J585="","",MATCH(J585,Base!$P$5:$P$2004,0))</f>
        <v/>
      </c>
    </row>
    <row r="586" customFormat="false" ht="15" hidden="false" customHeight="false" outlineLevel="0" collapsed="false">
      <c r="A586" s="67" t="str">
        <f aca="false">IF($K586="","",ROW()-5)</f>
        <v/>
      </c>
      <c r="B586" s="68" t="str">
        <f aca="false">IF($K586="","",INDEX(Base!$E$5:$E$2004,$K586))</f>
        <v/>
      </c>
      <c r="C586" s="69" t="str">
        <f aca="false">IF($K586="","",B586)</f>
        <v/>
      </c>
      <c r="D586" s="70" t="str">
        <f aca="false">IF($K586="","",INDEX(Base!$F$5:$F$2004,$K586))</f>
        <v/>
      </c>
      <c r="E586" s="70" t="str">
        <f aca="false">IF($K586="","",INDEX(Base!$G$5:$G$2004,$K586))</f>
        <v/>
      </c>
      <c r="F586" s="71" t="str">
        <f aca="false">IF($K586="","",INDEX(Base!$H$5:$H$2004,$K586))</f>
        <v/>
      </c>
      <c r="G586" s="71" t="str">
        <f aca="false">IF($K586="","",INDEX(Base!$I$5:$I$2004,$K586))</f>
        <v/>
      </c>
      <c r="H586" s="70" t="str">
        <f aca="false">IF($K586="","",INDEX(Base!$J$5:$J$2004,$K586))</f>
        <v/>
      </c>
      <c r="I586" s="71" t="str">
        <f aca="false">IF($K586="","",INDEX(Base!$L$5:$L$2004,$K586))</f>
        <v/>
      </c>
      <c r="J586" s="72" t="str">
        <f aca="false">IFERROR(SMALL(Base!$P$5:$P$2004,ROW()-5),"")</f>
        <v/>
      </c>
      <c r="K586" s="72" t="str">
        <f aca="false">IF(J586="","",MATCH(J586,Base!$P$5:$P$2004,0))</f>
        <v/>
      </c>
    </row>
    <row r="587" customFormat="false" ht="15" hidden="false" customHeight="false" outlineLevel="0" collapsed="false">
      <c r="A587" s="67" t="str">
        <f aca="false">IF($K587="","",ROW()-5)</f>
        <v/>
      </c>
      <c r="B587" s="68" t="str">
        <f aca="false">IF($K587="","",INDEX(Base!$E$5:$E$2004,$K587))</f>
        <v/>
      </c>
      <c r="C587" s="69" t="str">
        <f aca="false">IF($K587="","",B587)</f>
        <v/>
      </c>
      <c r="D587" s="70" t="str">
        <f aca="false">IF($K587="","",INDEX(Base!$F$5:$F$2004,$K587))</f>
        <v/>
      </c>
      <c r="E587" s="70" t="str">
        <f aca="false">IF($K587="","",INDEX(Base!$G$5:$G$2004,$K587))</f>
        <v/>
      </c>
      <c r="F587" s="71" t="str">
        <f aca="false">IF($K587="","",INDEX(Base!$H$5:$H$2004,$K587))</f>
        <v/>
      </c>
      <c r="G587" s="71" t="str">
        <f aca="false">IF($K587="","",INDEX(Base!$I$5:$I$2004,$K587))</f>
        <v/>
      </c>
      <c r="H587" s="70" t="str">
        <f aca="false">IF($K587="","",INDEX(Base!$J$5:$J$2004,$K587))</f>
        <v/>
      </c>
      <c r="I587" s="71" t="str">
        <f aca="false">IF($K587="","",INDEX(Base!$L$5:$L$2004,$K587))</f>
        <v/>
      </c>
      <c r="J587" s="72" t="str">
        <f aca="false">IFERROR(SMALL(Base!$P$5:$P$2004,ROW()-5),"")</f>
        <v/>
      </c>
      <c r="K587" s="72" t="str">
        <f aca="false">IF(J587="","",MATCH(J587,Base!$P$5:$P$2004,0))</f>
        <v/>
      </c>
    </row>
    <row r="588" customFormat="false" ht="15" hidden="false" customHeight="false" outlineLevel="0" collapsed="false">
      <c r="A588" s="67" t="str">
        <f aca="false">IF($K588="","",ROW()-5)</f>
        <v/>
      </c>
      <c r="B588" s="68" t="str">
        <f aca="false">IF($K588="","",INDEX(Base!$E$5:$E$2004,$K588))</f>
        <v/>
      </c>
      <c r="C588" s="69" t="str">
        <f aca="false">IF($K588="","",B588)</f>
        <v/>
      </c>
      <c r="D588" s="70" t="str">
        <f aca="false">IF($K588="","",INDEX(Base!$F$5:$F$2004,$K588))</f>
        <v/>
      </c>
      <c r="E588" s="70" t="str">
        <f aca="false">IF($K588="","",INDEX(Base!$G$5:$G$2004,$K588))</f>
        <v/>
      </c>
      <c r="F588" s="71" t="str">
        <f aca="false">IF($K588="","",INDEX(Base!$H$5:$H$2004,$K588))</f>
        <v/>
      </c>
      <c r="G588" s="71" t="str">
        <f aca="false">IF($K588="","",INDEX(Base!$I$5:$I$2004,$K588))</f>
        <v/>
      </c>
      <c r="H588" s="70" t="str">
        <f aca="false">IF($K588="","",INDEX(Base!$J$5:$J$2004,$K588))</f>
        <v/>
      </c>
      <c r="I588" s="71" t="str">
        <f aca="false">IF($K588="","",INDEX(Base!$L$5:$L$2004,$K588))</f>
        <v/>
      </c>
      <c r="J588" s="72" t="str">
        <f aca="false">IFERROR(SMALL(Base!$P$5:$P$2004,ROW()-5),"")</f>
        <v/>
      </c>
      <c r="K588" s="72" t="str">
        <f aca="false">IF(J588="","",MATCH(J588,Base!$P$5:$P$2004,0))</f>
        <v/>
      </c>
    </row>
    <row r="589" customFormat="false" ht="15" hidden="false" customHeight="false" outlineLevel="0" collapsed="false">
      <c r="A589" s="67" t="str">
        <f aca="false">IF($K589="","",ROW()-5)</f>
        <v/>
      </c>
      <c r="B589" s="68" t="str">
        <f aca="false">IF($K589="","",INDEX(Base!$E$5:$E$2004,$K589))</f>
        <v/>
      </c>
      <c r="C589" s="69" t="str">
        <f aca="false">IF($K589="","",B589)</f>
        <v/>
      </c>
      <c r="D589" s="70" t="str">
        <f aca="false">IF($K589="","",INDEX(Base!$F$5:$F$2004,$K589))</f>
        <v/>
      </c>
      <c r="E589" s="70" t="str">
        <f aca="false">IF($K589="","",INDEX(Base!$G$5:$G$2004,$K589))</f>
        <v/>
      </c>
      <c r="F589" s="71" t="str">
        <f aca="false">IF($K589="","",INDEX(Base!$H$5:$H$2004,$K589))</f>
        <v/>
      </c>
      <c r="G589" s="71" t="str">
        <f aca="false">IF($K589="","",INDEX(Base!$I$5:$I$2004,$K589))</f>
        <v/>
      </c>
      <c r="H589" s="70" t="str">
        <f aca="false">IF($K589="","",INDEX(Base!$J$5:$J$2004,$K589))</f>
        <v/>
      </c>
      <c r="I589" s="71" t="str">
        <f aca="false">IF($K589="","",INDEX(Base!$L$5:$L$2004,$K589))</f>
        <v/>
      </c>
      <c r="J589" s="72" t="str">
        <f aca="false">IFERROR(SMALL(Base!$P$5:$P$2004,ROW()-5),"")</f>
        <v/>
      </c>
      <c r="K589" s="72" t="str">
        <f aca="false">IF(J589="","",MATCH(J589,Base!$P$5:$P$2004,0))</f>
        <v/>
      </c>
    </row>
    <row r="590" customFormat="false" ht="15" hidden="false" customHeight="false" outlineLevel="0" collapsed="false">
      <c r="A590" s="67" t="str">
        <f aca="false">IF($K590="","",ROW()-5)</f>
        <v/>
      </c>
      <c r="B590" s="68" t="str">
        <f aca="false">IF($K590="","",INDEX(Base!$E$5:$E$2004,$K590))</f>
        <v/>
      </c>
      <c r="C590" s="69" t="str">
        <f aca="false">IF($K590="","",B590)</f>
        <v/>
      </c>
      <c r="D590" s="70" t="str">
        <f aca="false">IF($K590="","",INDEX(Base!$F$5:$F$2004,$K590))</f>
        <v/>
      </c>
      <c r="E590" s="70" t="str">
        <f aca="false">IF($K590="","",INDEX(Base!$G$5:$G$2004,$K590))</f>
        <v/>
      </c>
      <c r="F590" s="71" t="str">
        <f aca="false">IF($K590="","",INDEX(Base!$H$5:$H$2004,$K590))</f>
        <v/>
      </c>
      <c r="G590" s="71" t="str">
        <f aca="false">IF($K590="","",INDEX(Base!$I$5:$I$2004,$K590))</f>
        <v/>
      </c>
      <c r="H590" s="70" t="str">
        <f aca="false">IF($K590="","",INDEX(Base!$J$5:$J$2004,$K590))</f>
        <v/>
      </c>
      <c r="I590" s="71" t="str">
        <f aca="false">IF($K590="","",INDEX(Base!$L$5:$L$2004,$K590))</f>
        <v/>
      </c>
      <c r="J590" s="72" t="str">
        <f aca="false">IFERROR(SMALL(Base!$P$5:$P$2004,ROW()-5),"")</f>
        <v/>
      </c>
      <c r="K590" s="72" t="str">
        <f aca="false">IF(J590="","",MATCH(J590,Base!$P$5:$P$2004,0))</f>
        <v/>
      </c>
    </row>
    <row r="591" customFormat="false" ht="15" hidden="false" customHeight="false" outlineLevel="0" collapsed="false">
      <c r="A591" s="67" t="str">
        <f aca="false">IF($K591="","",ROW()-5)</f>
        <v/>
      </c>
      <c r="B591" s="68" t="str">
        <f aca="false">IF($K591="","",INDEX(Base!$E$5:$E$2004,$K591))</f>
        <v/>
      </c>
      <c r="C591" s="69" t="str">
        <f aca="false">IF($K591="","",B591)</f>
        <v/>
      </c>
      <c r="D591" s="70" t="str">
        <f aca="false">IF($K591="","",INDEX(Base!$F$5:$F$2004,$K591))</f>
        <v/>
      </c>
      <c r="E591" s="70" t="str">
        <f aca="false">IF($K591="","",INDEX(Base!$G$5:$G$2004,$K591))</f>
        <v/>
      </c>
      <c r="F591" s="71" t="str">
        <f aca="false">IF($K591="","",INDEX(Base!$H$5:$H$2004,$K591))</f>
        <v/>
      </c>
      <c r="G591" s="71" t="str">
        <f aca="false">IF($K591="","",INDEX(Base!$I$5:$I$2004,$K591))</f>
        <v/>
      </c>
      <c r="H591" s="70" t="str">
        <f aca="false">IF($K591="","",INDEX(Base!$J$5:$J$2004,$K591))</f>
        <v/>
      </c>
      <c r="I591" s="71" t="str">
        <f aca="false">IF($K591="","",INDEX(Base!$L$5:$L$2004,$K591))</f>
        <v/>
      </c>
      <c r="J591" s="72" t="str">
        <f aca="false">IFERROR(SMALL(Base!$P$5:$P$2004,ROW()-5),"")</f>
        <v/>
      </c>
      <c r="K591" s="72" t="str">
        <f aca="false">IF(J591="","",MATCH(J591,Base!$P$5:$P$2004,0))</f>
        <v/>
      </c>
    </row>
    <row r="592" customFormat="false" ht="15" hidden="false" customHeight="false" outlineLevel="0" collapsed="false">
      <c r="A592" s="67" t="str">
        <f aca="false">IF($K592="","",ROW()-5)</f>
        <v/>
      </c>
      <c r="B592" s="68" t="str">
        <f aca="false">IF($K592="","",INDEX(Base!$E$5:$E$2004,$K592))</f>
        <v/>
      </c>
      <c r="C592" s="69" t="str">
        <f aca="false">IF($K592="","",B592)</f>
        <v/>
      </c>
      <c r="D592" s="70" t="str">
        <f aca="false">IF($K592="","",INDEX(Base!$F$5:$F$2004,$K592))</f>
        <v/>
      </c>
      <c r="E592" s="70" t="str">
        <f aca="false">IF($K592="","",INDEX(Base!$G$5:$G$2004,$K592))</f>
        <v/>
      </c>
      <c r="F592" s="71" t="str">
        <f aca="false">IF($K592="","",INDEX(Base!$H$5:$H$2004,$K592))</f>
        <v/>
      </c>
      <c r="G592" s="71" t="str">
        <f aca="false">IF($K592="","",INDEX(Base!$I$5:$I$2004,$K592))</f>
        <v/>
      </c>
      <c r="H592" s="70" t="str">
        <f aca="false">IF($K592="","",INDEX(Base!$J$5:$J$2004,$K592))</f>
        <v/>
      </c>
      <c r="I592" s="71" t="str">
        <f aca="false">IF($K592="","",INDEX(Base!$L$5:$L$2004,$K592))</f>
        <v/>
      </c>
      <c r="J592" s="72" t="str">
        <f aca="false">IFERROR(SMALL(Base!$P$5:$P$2004,ROW()-5),"")</f>
        <v/>
      </c>
      <c r="K592" s="72" t="str">
        <f aca="false">IF(J592="","",MATCH(J592,Base!$P$5:$P$2004,0))</f>
        <v/>
      </c>
    </row>
    <row r="593" customFormat="false" ht="15" hidden="false" customHeight="false" outlineLevel="0" collapsed="false">
      <c r="A593" s="67" t="str">
        <f aca="false">IF($K593="","",ROW()-5)</f>
        <v/>
      </c>
      <c r="B593" s="68" t="str">
        <f aca="false">IF($K593="","",INDEX(Base!$E$5:$E$2004,$K593))</f>
        <v/>
      </c>
      <c r="C593" s="69" t="str">
        <f aca="false">IF($K593="","",B593)</f>
        <v/>
      </c>
      <c r="D593" s="70" t="str">
        <f aca="false">IF($K593="","",INDEX(Base!$F$5:$F$2004,$K593))</f>
        <v/>
      </c>
      <c r="E593" s="70" t="str">
        <f aca="false">IF($K593="","",INDEX(Base!$G$5:$G$2004,$K593))</f>
        <v/>
      </c>
      <c r="F593" s="71" t="str">
        <f aca="false">IF($K593="","",INDEX(Base!$H$5:$H$2004,$K593))</f>
        <v/>
      </c>
      <c r="G593" s="71" t="str">
        <f aca="false">IF($K593="","",INDEX(Base!$I$5:$I$2004,$K593))</f>
        <v/>
      </c>
      <c r="H593" s="70" t="str">
        <f aca="false">IF($K593="","",INDEX(Base!$J$5:$J$2004,$K593))</f>
        <v/>
      </c>
      <c r="I593" s="71" t="str">
        <f aca="false">IF($K593="","",INDEX(Base!$L$5:$L$2004,$K593))</f>
        <v/>
      </c>
      <c r="J593" s="72" t="str">
        <f aca="false">IFERROR(SMALL(Base!$P$5:$P$2004,ROW()-5),"")</f>
        <v/>
      </c>
      <c r="K593" s="72" t="str">
        <f aca="false">IF(J593="","",MATCH(J593,Base!$P$5:$P$2004,0))</f>
        <v/>
      </c>
    </row>
    <row r="594" customFormat="false" ht="15" hidden="false" customHeight="false" outlineLevel="0" collapsed="false">
      <c r="A594" s="67" t="str">
        <f aca="false">IF($K594="","",ROW()-5)</f>
        <v/>
      </c>
      <c r="B594" s="68" t="str">
        <f aca="false">IF($K594="","",INDEX(Base!$E$5:$E$2004,$K594))</f>
        <v/>
      </c>
      <c r="C594" s="69" t="str">
        <f aca="false">IF($K594="","",B594)</f>
        <v/>
      </c>
      <c r="D594" s="70" t="str">
        <f aca="false">IF($K594="","",INDEX(Base!$F$5:$F$2004,$K594))</f>
        <v/>
      </c>
      <c r="E594" s="70" t="str">
        <f aca="false">IF($K594="","",INDEX(Base!$G$5:$G$2004,$K594))</f>
        <v/>
      </c>
      <c r="F594" s="71" t="str">
        <f aca="false">IF($K594="","",INDEX(Base!$H$5:$H$2004,$K594))</f>
        <v/>
      </c>
      <c r="G594" s="71" t="str">
        <f aca="false">IF($K594="","",INDEX(Base!$I$5:$I$2004,$K594))</f>
        <v/>
      </c>
      <c r="H594" s="70" t="str">
        <f aca="false">IF($K594="","",INDEX(Base!$J$5:$J$2004,$K594))</f>
        <v/>
      </c>
      <c r="I594" s="71" t="str">
        <f aca="false">IF($K594="","",INDEX(Base!$L$5:$L$2004,$K594))</f>
        <v/>
      </c>
      <c r="J594" s="72" t="str">
        <f aca="false">IFERROR(SMALL(Base!$P$5:$P$2004,ROW()-5),"")</f>
        <v/>
      </c>
      <c r="K594" s="72" t="str">
        <f aca="false">IF(J594="","",MATCH(J594,Base!$P$5:$P$2004,0))</f>
        <v/>
      </c>
    </row>
    <row r="595" customFormat="false" ht="15" hidden="false" customHeight="false" outlineLevel="0" collapsed="false">
      <c r="A595" s="67" t="str">
        <f aca="false">IF($K595="","",ROW()-5)</f>
        <v/>
      </c>
      <c r="B595" s="68" t="str">
        <f aca="false">IF($K595="","",INDEX(Base!$E$5:$E$2004,$K595))</f>
        <v/>
      </c>
      <c r="C595" s="69" t="str">
        <f aca="false">IF($K595="","",B595)</f>
        <v/>
      </c>
      <c r="D595" s="70" t="str">
        <f aca="false">IF($K595="","",INDEX(Base!$F$5:$F$2004,$K595))</f>
        <v/>
      </c>
      <c r="E595" s="70" t="str">
        <f aca="false">IF($K595="","",INDEX(Base!$G$5:$G$2004,$K595))</f>
        <v/>
      </c>
      <c r="F595" s="71" t="str">
        <f aca="false">IF($K595="","",INDEX(Base!$H$5:$H$2004,$K595))</f>
        <v/>
      </c>
      <c r="G595" s="71" t="str">
        <f aca="false">IF($K595="","",INDEX(Base!$I$5:$I$2004,$K595))</f>
        <v/>
      </c>
      <c r="H595" s="70" t="str">
        <f aca="false">IF($K595="","",INDEX(Base!$J$5:$J$2004,$K595))</f>
        <v/>
      </c>
      <c r="I595" s="71" t="str">
        <f aca="false">IF($K595="","",INDEX(Base!$L$5:$L$2004,$K595))</f>
        <v/>
      </c>
      <c r="J595" s="72" t="str">
        <f aca="false">IFERROR(SMALL(Base!$P$5:$P$2004,ROW()-5),"")</f>
        <v/>
      </c>
      <c r="K595" s="72" t="str">
        <f aca="false">IF(J595="","",MATCH(J595,Base!$P$5:$P$2004,0))</f>
        <v/>
      </c>
    </row>
    <row r="596" customFormat="false" ht="15" hidden="false" customHeight="false" outlineLevel="0" collapsed="false">
      <c r="A596" s="67" t="str">
        <f aca="false">IF($K596="","",ROW()-5)</f>
        <v/>
      </c>
      <c r="B596" s="68" t="str">
        <f aca="false">IF($K596="","",INDEX(Base!$E$5:$E$2004,$K596))</f>
        <v/>
      </c>
      <c r="C596" s="69" t="str">
        <f aca="false">IF($K596="","",B596)</f>
        <v/>
      </c>
      <c r="D596" s="70" t="str">
        <f aca="false">IF($K596="","",INDEX(Base!$F$5:$F$2004,$K596))</f>
        <v/>
      </c>
      <c r="E596" s="70" t="str">
        <f aca="false">IF($K596="","",INDEX(Base!$G$5:$G$2004,$K596))</f>
        <v/>
      </c>
      <c r="F596" s="71" t="str">
        <f aca="false">IF($K596="","",INDEX(Base!$H$5:$H$2004,$K596))</f>
        <v/>
      </c>
      <c r="G596" s="71" t="str">
        <f aca="false">IF($K596="","",INDEX(Base!$I$5:$I$2004,$K596))</f>
        <v/>
      </c>
      <c r="H596" s="70" t="str">
        <f aca="false">IF($K596="","",INDEX(Base!$J$5:$J$2004,$K596))</f>
        <v/>
      </c>
      <c r="I596" s="71" t="str">
        <f aca="false">IF($K596="","",INDEX(Base!$L$5:$L$2004,$K596))</f>
        <v/>
      </c>
      <c r="J596" s="72" t="str">
        <f aca="false">IFERROR(SMALL(Base!$P$5:$P$2004,ROW()-5),"")</f>
        <v/>
      </c>
      <c r="K596" s="72" t="str">
        <f aca="false">IF(J596="","",MATCH(J596,Base!$P$5:$P$2004,0))</f>
        <v/>
      </c>
    </row>
    <row r="597" customFormat="false" ht="15" hidden="false" customHeight="false" outlineLevel="0" collapsed="false">
      <c r="A597" s="67" t="str">
        <f aca="false">IF($K597="","",ROW()-5)</f>
        <v/>
      </c>
      <c r="B597" s="68" t="str">
        <f aca="false">IF($K597="","",INDEX(Base!$E$5:$E$2004,$K597))</f>
        <v/>
      </c>
      <c r="C597" s="69" t="str">
        <f aca="false">IF($K597="","",B597)</f>
        <v/>
      </c>
      <c r="D597" s="70" t="str">
        <f aca="false">IF($K597="","",INDEX(Base!$F$5:$F$2004,$K597))</f>
        <v/>
      </c>
      <c r="E597" s="70" t="str">
        <f aca="false">IF($K597="","",INDEX(Base!$G$5:$G$2004,$K597))</f>
        <v/>
      </c>
      <c r="F597" s="71" t="str">
        <f aca="false">IF($K597="","",INDEX(Base!$H$5:$H$2004,$K597))</f>
        <v/>
      </c>
      <c r="G597" s="71" t="str">
        <f aca="false">IF($K597="","",INDEX(Base!$I$5:$I$2004,$K597))</f>
        <v/>
      </c>
      <c r="H597" s="70" t="str">
        <f aca="false">IF($K597="","",INDEX(Base!$J$5:$J$2004,$K597))</f>
        <v/>
      </c>
      <c r="I597" s="71" t="str">
        <f aca="false">IF($K597="","",INDEX(Base!$L$5:$L$2004,$K597))</f>
        <v/>
      </c>
      <c r="J597" s="72" t="str">
        <f aca="false">IFERROR(SMALL(Base!$P$5:$P$2004,ROW()-5),"")</f>
        <v/>
      </c>
      <c r="K597" s="72" t="str">
        <f aca="false">IF(J597="","",MATCH(J597,Base!$P$5:$P$2004,0))</f>
        <v/>
      </c>
    </row>
    <row r="598" customFormat="false" ht="15" hidden="false" customHeight="false" outlineLevel="0" collapsed="false">
      <c r="A598" s="67" t="str">
        <f aca="false">IF($K598="","",ROW()-5)</f>
        <v/>
      </c>
      <c r="B598" s="68" t="str">
        <f aca="false">IF($K598="","",INDEX(Base!$E$5:$E$2004,$K598))</f>
        <v/>
      </c>
      <c r="C598" s="69" t="str">
        <f aca="false">IF($K598="","",B598)</f>
        <v/>
      </c>
      <c r="D598" s="70" t="str">
        <f aca="false">IF($K598="","",INDEX(Base!$F$5:$F$2004,$K598))</f>
        <v/>
      </c>
      <c r="E598" s="70" t="str">
        <f aca="false">IF($K598="","",INDEX(Base!$G$5:$G$2004,$K598))</f>
        <v/>
      </c>
      <c r="F598" s="71" t="str">
        <f aca="false">IF($K598="","",INDEX(Base!$H$5:$H$2004,$K598))</f>
        <v/>
      </c>
      <c r="G598" s="71" t="str">
        <f aca="false">IF($K598="","",INDEX(Base!$I$5:$I$2004,$K598))</f>
        <v/>
      </c>
      <c r="H598" s="70" t="str">
        <f aca="false">IF($K598="","",INDEX(Base!$J$5:$J$2004,$K598))</f>
        <v/>
      </c>
      <c r="I598" s="71" t="str">
        <f aca="false">IF($K598="","",INDEX(Base!$L$5:$L$2004,$K598))</f>
        <v/>
      </c>
      <c r="J598" s="72" t="str">
        <f aca="false">IFERROR(SMALL(Base!$P$5:$P$2004,ROW()-5),"")</f>
        <v/>
      </c>
      <c r="K598" s="72" t="str">
        <f aca="false">IF(J598="","",MATCH(J598,Base!$P$5:$P$2004,0))</f>
        <v/>
      </c>
    </row>
    <row r="599" customFormat="false" ht="15" hidden="false" customHeight="false" outlineLevel="0" collapsed="false">
      <c r="A599" s="67" t="str">
        <f aca="false">IF($K599="","",ROW()-5)</f>
        <v/>
      </c>
      <c r="B599" s="68" t="str">
        <f aca="false">IF($K599="","",INDEX(Base!$E$5:$E$2004,$K599))</f>
        <v/>
      </c>
      <c r="C599" s="69" t="str">
        <f aca="false">IF($K599="","",B599)</f>
        <v/>
      </c>
      <c r="D599" s="70" t="str">
        <f aca="false">IF($K599="","",INDEX(Base!$F$5:$F$2004,$K599))</f>
        <v/>
      </c>
      <c r="E599" s="70" t="str">
        <f aca="false">IF($K599="","",INDEX(Base!$G$5:$G$2004,$K599))</f>
        <v/>
      </c>
      <c r="F599" s="71" t="str">
        <f aca="false">IF($K599="","",INDEX(Base!$H$5:$H$2004,$K599))</f>
        <v/>
      </c>
      <c r="G599" s="71" t="str">
        <f aca="false">IF($K599="","",INDEX(Base!$I$5:$I$2004,$K599))</f>
        <v/>
      </c>
      <c r="H599" s="70" t="str">
        <f aca="false">IF($K599="","",INDEX(Base!$J$5:$J$2004,$K599))</f>
        <v/>
      </c>
      <c r="I599" s="71" t="str">
        <f aca="false">IF($K599="","",INDEX(Base!$L$5:$L$2004,$K599))</f>
        <v/>
      </c>
      <c r="J599" s="72" t="str">
        <f aca="false">IFERROR(SMALL(Base!$P$5:$P$2004,ROW()-5),"")</f>
        <v/>
      </c>
      <c r="K599" s="72" t="str">
        <f aca="false">IF(J599="","",MATCH(J599,Base!$P$5:$P$2004,0))</f>
        <v/>
      </c>
    </row>
    <row r="600" customFormat="false" ht="15" hidden="false" customHeight="false" outlineLevel="0" collapsed="false">
      <c r="A600" s="67" t="str">
        <f aca="false">IF($K600="","",ROW()-5)</f>
        <v/>
      </c>
      <c r="B600" s="68" t="str">
        <f aca="false">IF($K600="","",INDEX(Base!$E$5:$E$2004,$K600))</f>
        <v/>
      </c>
      <c r="C600" s="69" t="str">
        <f aca="false">IF($K600="","",B600)</f>
        <v/>
      </c>
      <c r="D600" s="70" t="str">
        <f aca="false">IF($K600="","",INDEX(Base!$F$5:$F$2004,$K600))</f>
        <v/>
      </c>
      <c r="E600" s="70" t="str">
        <f aca="false">IF($K600="","",INDEX(Base!$G$5:$G$2004,$K600))</f>
        <v/>
      </c>
      <c r="F600" s="71" t="str">
        <f aca="false">IF($K600="","",INDEX(Base!$H$5:$H$2004,$K600))</f>
        <v/>
      </c>
      <c r="G600" s="71" t="str">
        <f aca="false">IF($K600="","",INDEX(Base!$I$5:$I$2004,$K600))</f>
        <v/>
      </c>
      <c r="H600" s="70" t="str">
        <f aca="false">IF($K600="","",INDEX(Base!$J$5:$J$2004,$K600))</f>
        <v/>
      </c>
      <c r="I600" s="71" t="str">
        <f aca="false">IF($K600="","",INDEX(Base!$L$5:$L$2004,$K600))</f>
        <v/>
      </c>
      <c r="J600" s="72" t="str">
        <f aca="false">IFERROR(SMALL(Base!$P$5:$P$2004,ROW()-5),"")</f>
        <v/>
      </c>
      <c r="K600" s="72" t="str">
        <f aca="false">IF(J600="","",MATCH(J600,Base!$P$5:$P$2004,0))</f>
        <v/>
      </c>
    </row>
    <row r="601" customFormat="false" ht="15" hidden="false" customHeight="false" outlineLevel="0" collapsed="false">
      <c r="A601" s="67" t="str">
        <f aca="false">IF($K601="","",ROW()-5)</f>
        <v/>
      </c>
      <c r="B601" s="68" t="str">
        <f aca="false">IF($K601="","",INDEX(Base!$E$5:$E$2004,$K601))</f>
        <v/>
      </c>
      <c r="C601" s="69" t="str">
        <f aca="false">IF($K601="","",B601)</f>
        <v/>
      </c>
      <c r="D601" s="70" t="str">
        <f aca="false">IF($K601="","",INDEX(Base!$F$5:$F$2004,$K601))</f>
        <v/>
      </c>
      <c r="E601" s="70" t="str">
        <f aca="false">IF($K601="","",INDEX(Base!$G$5:$G$2004,$K601))</f>
        <v/>
      </c>
      <c r="F601" s="71" t="str">
        <f aca="false">IF($K601="","",INDEX(Base!$H$5:$H$2004,$K601))</f>
        <v/>
      </c>
      <c r="G601" s="71" t="str">
        <f aca="false">IF($K601="","",INDEX(Base!$I$5:$I$2004,$K601))</f>
        <v/>
      </c>
      <c r="H601" s="70" t="str">
        <f aca="false">IF($K601="","",INDEX(Base!$J$5:$J$2004,$K601))</f>
        <v/>
      </c>
      <c r="I601" s="71" t="str">
        <f aca="false">IF($K601="","",INDEX(Base!$L$5:$L$2004,$K601))</f>
        <v/>
      </c>
      <c r="J601" s="72" t="str">
        <f aca="false">IFERROR(SMALL(Base!$P$5:$P$2004,ROW()-5),"")</f>
        <v/>
      </c>
      <c r="K601" s="72" t="str">
        <f aca="false">IF(J601="","",MATCH(J601,Base!$P$5:$P$2004,0))</f>
        <v/>
      </c>
    </row>
    <row r="602" customFormat="false" ht="15" hidden="false" customHeight="false" outlineLevel="0" collapsed="false">
      <c r="A602" s="67" t="str">
        <f aca="false">IF($K602="","",ROW()-5)</f>
        <v/>
      </c>
      <c r="B602" s="68" t="str">
        <f aca="false">IF($K602="","",INDEX(Base!$E$5:$E$2004,$K602))</f>
        <v/>
      </c>
      <c r="C602" s="69" t="str">
        <f aca="false">IF($K602="","",B602)</f>
        <v/>
      </c>
      <c r="D602" s="70" t="str">
        <f aca="false">IF($K602="","",INDEX(Base!$F$5:$F$2004,$K602))</f>
        <v/>
      </c>
      <c r="E602" s="70" t="str">
        <f aca="false">IF($K602="","",INDEX(Base!$G$5:$G$2004,$K602))</f>
        <v/>
      </c>
      <c r="F602" s="71" t="str">
        <f aca="false">IF($K602="","",INDEX(Base!$H$5:$H$2004,$K602))</f>
        <v/>
      </c>
      <c r="G602" s="71" t="str">
        <f aca="false">IF($K602="","",INDEX(Base!$I$5:$I$2004,$K602))</f>
        <v/>
      </c>
      <c r="H602" s="70" t="str">
        <f aca="false">IF($K602="","",INDEX(Base!$J$5:$J$2004,$K602))</f>
        <v/>
      </c>
      <c r="I602" s="71" t="str">
        <f aca="false">IF($K602="","",INDEX(Base!$L$5:$L$2004,$K602))</f>
        <v/>
      </c>
      <c r="J602" s="72" t="str">
        <f aca="false">IFERROR(SMALL(Base!$P$5:$P$2004,ROW()-5),"")</f>
        <v/>
      </c>
      <c r="K602" s="72" t="str">
        <f aca="false">IF(J602="","",MATCH(J602,Base!$P$5:$P$2004,0))</f>
        <v/>
      </c>
    </row>
    <row r="603" customFormat="false" ht="15" hidden="false" customHeight="false" outlineLevel="0" collapsed="false">
      <c r="A603" s="67" t="str">
        <f aca="false">IF($K603="","",ROW()-5)</f>
        <v/>
      </c>
      <c r="B603" s="68" t="str">
        <f aca="false">IF($K603="","",INDEX(Base!$E$5:$E$2004,$K603))</f>
        <v/>
      </c>
      <c r="C603" s="69" t="str">
        <f aca="false">IF($K603="","",B603)</f>
        <v/>
      </c>
      <c r="D603" s="70" t="str">
        <f aca="false">IF($K603="","",INDEX(Base!$F$5:$F$2004,$K603))</f>
        <v/>
      </c>
      <c r="E603" s="70" t="str">
        <f aca="false">IF($K603="","",INDEX(Base!$G$5:$G$2004,$K603))</f>
        <v/>
      </c>
      <c r="F603" s="71" t="str">
        <f aca="false">IF($K603="","",INDEX(Base!$H$5:$H$2004,$K603))</f>
        <v/>
      </c>
      <c r="G603" s="71" t="str">
        <f aca="false">IF($K603="","",INDEX(Base!$I$5:$I$2004,$K603))</f>
        <v/>
      </c>
      <c r="H603" s="70" t="str">
        <f aca="false">IF($K603="","",INDEX(Base!$J$5:$J$2004,$K603))</f>
        <v/>
      </c>
      <c r="I603" s="71" t="str">
        <f aca="false">IF($K603="","",INDEX(Base!$L$5:$L$2004,$K603))</f>
        <v/>
      </c>
      <c r="J603" s="72" t="str">
        <f aca="false">IFERROR(SMALL(Base!$P$5:$P$2004,ROW()-5),"")</f>
        <v/>
      </c>
      <c r="K603" s="72" t="str">
        <f aca="false">IF(J603="","",MATCH(J603,Base!$P$5:$P$2004,0))</f>
        <v/>
      </c>
    </row>
    <row r="604" customFormat="false" ht="15" hidden="false" customHeight="false" outlineLevel="0" collapsed="false">
      <c r="A604" s="67" t="str">
        <f aca="false">IF($K604="","",ROW()-5)</f>
        <v/>
      </c>
      <c r="B604" s="68" t="str">
        <f aca="false">IF($K604="","",INDEX(Base!$E$5:$E$2004,$K604))</f>
        <v/>
      </c>
      <c r="C604" s="69" t="str">
        <f aca="false">IF($K604="","",B604)</f>
        <v/>
      </c>
      <c r="D604" s="70" t="str">
        <f aca="false">IF($K604="","",INDEX(Base!$F$5:$F$2004,$K604))</f>
        <v/>
      </c>
      <c r="E604" s="70" t="str">
        <f aca="false">IF($K604="","",INDEX(Base!$G$5:$G$2004,$K604))</f>
        <v/>
      </c>
      <c r="F604" s="71" t="str">
        <f aca="false">IF($K604="","",INDEX(Base!$H$5:$H$2004,$K604))</f>
        <v/>
      </c>
      <c r="G604" s="71" t="str">
        <f aca="false">IF($K604="","",INDEX(Base!$I$5:$I$2004,$K604))</f>
        <v/>
      </c>
      <c r="H604" s="70" t="str">
        <f aca="false">IF($K604="","",INDEX(Base!$J$5:$J$2004,$K604))</f>
        <v/>
      </c>
      <c r="I604" s="71" t="str">
        <f aca="false">IF($K604="","",INDEX(Base!$L$5:$L$2004,$K604))</f>
        <v/>
      </c>
      <c r="J604" s="72" t="str">
        <f aca="false">IFERROR(SMALL(Base!$P$5:$P$2004,ROW()-5),"")</f>
        <v/>
      </c>
      <c r="K604" s="72" t="str">
        <f aca="false">IF(J604="","",MATCH(J604,Base!$P$5:$P$2004,0))</f>
        <v/>
      </c>
    </row>
    <row r="605" customFormat="false" ht="15" hidden="false" customHeight="false" outlineLevel="0" collapsed="false">
      <c r="A605" s="67" t="str">
        <f aca="false">IF($K605="","",ROW()-5)</f>
        <v/>
      </c>
      <c r="B605" s="68" t="str">
        <f aca="false">IF($K605="","",INDEX(Base!$E$5:$E$2004,$K605))</f>
        <v/>
      </c>
      <c r="C605" s="69" t="str">
        <f aca="false">IF($K605="","",B605)</f>
        <v/>
      </c>
      <c r="D605" s="70" t="str">
        <f aca="false">IF($K605="","",INDEX(Base!$F$5:$F$2004,$K605))</f>
        <v/>
      </c>
      <c r="E605" s="70" t="str">
        <f aca="false">IF($K605="","",INDEX(Base!$G$5:$G$2004,$K605))</f>
        <v/>
      </c>
      <c r="F605" s="71" t="str">
        <f aca="false">IF($K605="","",INDEX(Base!$H$5:$H$2004,$K605))</f>
        <v/>
      </c>
      <c r="G605" s="71" t="str">
        <f aca="false">IF($K605="","",INDEX(Base!$I$5:$I$2004,$K605))</f>
        <v/>
      </c>
      <c r="H605" s="70" t="str">
        <f aca="false">IF($K605="","",INDEX(Base!$J$5:$J$2004,$K605))</f>
        <v/>
      </c>
      <c r="I605" s="71" t="str">
        <f aca="false">IF($K605="","",INDEX(Base!$L$5:$L$2004,$K605))</f>
        <v/>
      </c>
      <c r="J605" s="72" t="str">
        <f aca="false">IFERROR(SMALL(Base!$P$5:$P$2004,ROW()-5),"")</f>
        <v/>
      </c>
      <c r="K605" s="72" t="str">
        <f aca="false">IF(J605="","",MATCH(J605,Base!$P$5:$P$2004,0))</f>
        <v/>
      </c>
    </row>
    <row r="606" customFormat="false" ht="15" hidden="false" customHeight="false" outlineLevel="0" collapsed="false">
      <c r="A606" s="67" t="str">
        <f aca="false">IF($K606="","",ROW()-5)</f>
        <v/>
      </c>
      <c r="B606" s="68" t="str">
        <f aca="false">IF($K606="","",INDEX(Base!$E$5:$E$2004,$K606))</f>
        <v/>
      </c>
      <c r="C606" s="69" t="str">
        <f aca="false">IF($K606="","",B606)</f>
        <v/>
      </c>
      <c r="D606" s="70" t="str">
        <f aca="false">IF($K606="","",INDEX(Base!$F$5:$F$2004,$K606))</f>
        <v/>
      </c>
      <c r="E606" s="70" t="str">
        <f aca="false">IF($K606="","",INDEX(Base!$G$5:$G$2004,$K606))</f>
        <v/>
      </c>
      <c r="F606" s="71" t="str">
        <f aca="false">IF($K606="","",INDEX(Base!$H$5:$H$2004,$K606))</f>
        <v/>
      </c>
      <c r="G606" s="71" t="str">
        <f aca="false">IF($K606="","",INDEX(Base!$I$5:$I$2004,$K606))</f>
        <v/>
      </c>
      <c r="H606" s="70" t="str">
        <f aca="false">IF($K606="","",INDEX(Base!$J$5:$J$2004,$K606))</f>
        <v/>
      </c>
      <c r="I606" s="71" t="str">
        <f aca="false">IF($K606="","",INDEX(Base!$L$5:$L$2004,$K606))</f>
        <v/>
      </c>
      <c r="J606" s="72" t="str">
        <f aca="false">IFERROR(SMALL(Base!$P$5:$P$2004,ROW()-5),"")</f>
        <v/>
      </c>
      <c r="K606" s="72" t="str">
        <f aca="false">IF(J606="","",MATCH(J606,Base!$P$5:$P$2004,0))</f>
        <v/>
      </c>
    </row>
    <row r="607" customFormat="false" ht="15" hidden="false" customHeight="false" outlineLevel="0" collapsed="false">
      <c r="A607" s="67" t="str">
        <f aca="false">IF($K607="","",ROW()-5)</f>
        <v/>
      </c>
      <c r="B607" s="68" t="str">
        <f aca="false">IF($K607="","",INDEX(Base!$E$5:$E$2004,$K607))</f>
        <v/>
      </c>
      <c r="C607" s="69" t="str">
        <f aca="false">IF($K607="","",B607)</f>
        <v/>
      </c>
      <c r="D607" s="70" t="str">
        <f aca="false">IF($K607="","",INDEX(Base!$F$5:$F$2004,$K607))</f>
        <v/>
      </c>
      <c r="E607" s="70" t="str">
        <f aca="false">IF($K607="","",INDEX(Base!$G$5:$G$2004,$K607))</f>
        <v/>
      </c>
      <c r="F607" s="71" t="str">
        <f aca="false">IF($K607="","",INDEX(Base!$H$5:$H$2004,$K607))</f>
        <v/>
      </c>
      <c r="G607" s="71" t="str">
        <f aca="false">IF($K607="","",INDEX(Base!$I$5:$I$2004,$K607))</f>
        <v/>
      </c>
      <c r="H607" s="70" t="str">
        <f aca="false">IF($K607="","",INDEX(Base!$J$5:$J$2004,$K607))</f>
        <v/>
      </c>
      <c r="I607" s="71" t="str">
        <f aca="false">IF($K607="","",INDEX(Base!$L$5:$L$2004,$K607))</f>
        <v/>
      </c>
      <c r="J607" s="72" t="str">
        <f aca="false">IFERROR(SMALL(Base!$P$5:$P$2004,ROW()-5),"")</f>
        <v/>
      </c>
      <c r="K607" s="72" t="str">
        <f aca="false">IF(J607="","",MATCH(J607,Base!$P$5:$P$2004,0))</f>
        <v/>
      </c>
    </row>
    <row r="608" customFormat="false" ht="15" hidden="false" customHeight="false" outlineLevel="0" collapsed="false">
      <c r="A608" s="67" t="str">
        <f aca="false">IF($K608="","",ROW()-5)</f>
        <v/>
      </c>
      <c r="B608" s="68" t="str">
        <f aca="false">IF($K608="","",INDEX(Base!$E$5:$E$2004,$K608))</f>
        <v/>
      </c>
      <c r="C608" s="69" t="str">
        <f aca="false">IF($K608="","",B608)</f>
        <v/>
      </c>
      <c r="D608" s="70" t="str">
        <f aca="false">IF($K608="","",INDEX(Base!$F$5:$F$2004,$K608))</f>
        <v/>
      </c>
      <c r="E608" s="70" t="str">
        <f aca="false">IF($K608="","",INDEX(Base!$G$5:$G$2004,$K608))</f>
        <v/>
      </c>
      <c r="F608" s="71" t="str">
        <f aca="false">IF($K608="","",INDEX(Base!$H$5:$H$2004,$K608))</f>
        <v/>
      </c>
      <c r="G608" s="71" t="str">
        <f aca="false">IF($K608="","",INDEX(Base!$I$5:$I$2004,$K608))</f>
        <v/>
      </c>
      <c r="H608" s="70" t="str">
        <f aca="false">IF($K608="","",INDEX(Base!$J$5:$J$2004,$K608))</f>
        <v/>
      </c>
      <c r="I608" s="71" t="str">
        <f aca="false">IF($K608="","",INDEX(Base!$L$5:$L$2004,$K608))</f>
        <v/>
      </c>
      <c r="J608" s="72" t="str">
        <f aca="false">IFERROR(SMALL(Base!$P$5:$P$2004,ROW()-5),"")</f>
        <v/>
      </c>
      <c r="K608" s="72" t="str">
        <f aca="false">IF(J608="","",MATCH(J608,Base!$P$5:$P$2004,0))</f>
        <v/>
      </c>
    </row>
    <row r="609" customFormat="false" ht="15" hidden="false" customHeight="false" outlineLevel="0" collapsed="false">
      <c r="A609" s="67" t="str">
        <f aca="false">IF($K609="","",ROW()-5)</f>
        <v/>
      </c>
      <c r="B609" s="68" t="str">
        <f aca="false">IF($K609="","",INDEX(Base!$E$5:$E$2004,$K609))</f>
        <v/>
      </c>
      <c r="C609" s="69" t="str">
        <f aca="false">IF($K609="","",B609)</f>
        <v/>
      </c>
      <c r="D609" s="70" t="str">
        <f aca="false">IF($K609="","",INDEX(Base!$F$5:$F$2004,$K609))</f>
        <v/>
      </c>
      <c r="E609" s="70" t="str">
        <f aca="false">IF($K609="","",INDEX(Base!$G$5:$G$2004,$K609))</f>
        <v/>
      </c>
      <c r="F609" s="71" t="str">
        <f aca="false">IF($K609="","",INDEX(Base!$H$5:$H$2004,$K609))</f>
        <v/>
      </c>
      <c r="G609" s="71" t="str">
        <f aca="false">IF($K609="","",INDEX(Base!$I$5:$I$2004,$K609))</f>
        <v/>
      </c>
      <c r="H609" s="70" t="str">
        <f aca="false">IF($K609="","",INDEX(Base!$J$5:$J$2004,$K609))</f>
        <v/>
      </c>
      <c r="I609" s="71" t="str">
        <f aca="false">IF($K609="","",INDEX(Base!$L$5:$L$2004,$K609))</f>
        <v/>
      </c>
      <c r="J609" s="72" t="str">
        <f aca="false">IFERROR(SMALL(Base!$P$5:$P$2004,ROW()-5),"")</f>
        <v/>
      </c>
      <c r="K609" s="72" t="str">
        <f aca="false">IF(J609="","",MATCH(J609,Base!$P$5:$P$2004,0))</f>
        <v/>
      </c>
    </row>
    <row r="610" customFormat="false" ht="15" hidden="false" customHeight="false" outlineLevel="0" collapsed="false">
      <c r="A610" s="67" t="str">
        <f aca="false">IF($K610="","",ROW()-5)</f>
        <v/>
      </c>
      <c r="B610" s="68" t="str">
        <f aca="false">IF($K610="","",INDEX(Base!$E$5:$E$2004,$K610))</f>
        <v/>
      </c>
      <c r="C610" s="69" t="str">
        <f aca="false">IF($K610="","",B610)</f>
        <v/>
      </c>
      <c r="D610" s="70" t="str">
        <f aca="false">IF($K610="","",INDEX(Base!$F$5:$F$2004,$K610))</f>
        <v/>
      </c>
      <c r="E610" s="70" t="str">
        <f aca="false">IF($K610="","",INDEX(Base!$G$5:$G$2004,$K610))</f>
        <v/>
      </c>
      <c r="F610" s="71" t="str">
        <f aca="false">IF($K610="","",INDEX(Base!$H$5:$H$2004,$K610))</f>
        <v/>
      </c>
      <c r="G610" s="71" t="str">
        <f aca="false">IF($K610="","",INDEX(Base!$I$5:$I$2004,$K610))</f>
        <v/>
      </c>
      <c r="H610" s="70" t="str">
        <f aca="false">IF($K610="","",INDEX(Base!$J$5:$J$2004,$K610))</f>
        <v/>
      </c>
      <c r="I610" s="71" t="str">
        <f aca="false">IF($K610="","",INDEX(Base!$L$5:$L$2004,$K610))</f>
        <v/>
      </c>
      <c r="J610" s="72" t="str">
        <f aca="false">IFERROR(SMALL(Base!$P$5:$P$2004,ROW()-5),"")</f>
        <v/>
      </c>
      <c r="K610" s="72" t="str">
        <f aca="false">IF(J610="","",MATCH(J610,Base!$P$5:$P$2004,0))</f>
        <v/>
      </c>
    </row>
    <row r="611" customFormat="false" ht="15" hidden="false" customHeight="false" outlineLevel="0" collapsed="false">
      <c r="A611" s="67" t="str">
        <f aca="false">IF($K611="","",ROW()-5)</f>
        <v/>
      </c>
      <c r="B611" s="68" t="str">
        <f aca="false">IF($K611="","",INDEX(Base!$E$5:$E$2004,$K611))</f>
        <v/>
      </c>
      <c r="C611" s="69" t="str">
        <f aca="false">IF($K611="","",B611)</f>
        <v/>
      </c>
      <c r="D611" s="70" t="str">
        <f aca="false">IF($K611="","",INDEX(Base!$F$5:$F$2004,$K611))</f>
        <v/>
      </c>
      <c r="E611" s="70" t="str">
        <f aca="false">IF($K611="","",INDEX(Base!$G$5:$G$2004,$K611))</f>
        <v/>
      </c>
      <c r="F611" s="71" t="str">
        <f aca="false">IF($K611="","",INDEX(Base!$H$5:$H$2004,$K611))</f>
        <v/>
      </c>
      <c r="G611" s="71" t="str">
        <f aca="false">IF($K611="","",INDEX(Base!$I$5:$I$2004,$K611))</f>
        <v/>
      </c>
      <c r="H611" s="70" t="str">
        <f aca="false">IF($K611="","",INDEX(Base!$J$5:$J$2004,$K611))</f>
        <v/>
      </c>
      <c r="I611" s="71" t="str">
        <f aca="false">IF($K611="","",INDEX(Base!$L$5:$L$2004,$K611))</f>
        <v/>
      </c>
      <c r="J611" s="72" t="str">
        <f aca="false">IFERROR(SMALL(Base!$P$5:$P$2004,ROW()-5),"")</f>
        <v/>
      </c>
      <c r="K611" s="72" t="str">
        <f aca="false">IF(J611="","",MATCH(J611,Base!$P$5:$P$2004,0))</f>
        <v/>
      </c>
    </row>
    <row r="612" customFormat="false" ht="15" hidden="false" customHeight="false" outlineLevel="0" collapsed="false">
      <c r="A612" s="67" t="str">
        <f aca="false">IF($K612="","",ROW()-5)</f>
        <v/>
      </c>
      <c r="B612" s="68" t="str">
        <f aca="false">IF($K612="","",INDEX(Base!$E$5:$E$2004,$K612))</f>
        <v/>
      </c>
      <c r="C612" s="69" t="str">
        <f aca="false">IF($K612="","",B612)</f>
        <v/>
      </c>
      <c r="D612" s="70" t="str">
        <f aca="false">IF($K612="","",INDEX(Base!$F$5:$F$2004,$K612))</f>
        <v/>
      </c>
      <c r="E612" s="70" t="str">
        <f aca="false">IF($K612="","",INDEX(Base!$G$5:$G$2004,$K612))</f>
        <v/>
      </c>
      <c r="F612" s="71" t="str">
        <f aca="false">IF($K612="","",INDEX(Base!$H$5:$H$2004,$K612))</f>
        <v/>
      </c>
      <c r="G612" s="71" t="str">
        <f aca="false">IF($K612="","",INDEX(Base!$I$5:$I$2004,$K612))</f>
        <v/>
      </c>
      <c r="H612" s="70" t="str">
        <f aca="false">IF($K612="","",INDEX(Base!$J$5:$J$2004,$K612))</f>
        <v/>
      </c>
      <c r="I612" s="71" t="str">
        <f aca="false">IF($K612="","",INDEX(Base!$L$5:$L$2004,$K612))</f>
        <v/>
      </c>
      <c r="J612" s="72" t="str">
        <f aca="false">IFERROR(SMALL(Base!$P$5:$P$2004,ROW()-5),"")</f>
        <v/>
      </c>
      <c r="K612" s="72" t="str">
        <f aca="false">IF(J612="","",MATCH(J612,Base!$P$5:$P$2004,0))</f>
        <v/>
      </c>
    </row>
    <row r="613" customFormat="false" ht="15" hidden="false" customHeight="false" outlineLevel="0" collapsed="false">
      <c r="A613" s="67" t="str">
        <f aca="false">IF($K613="","",ROW()-5)</f>
        <v/>
      </c>
      <c r="B613" s="68" t="str">
        <f aca="false">IF($K613="","",INDEX(Base!$E$5:$E$2004,$K613))</f>
        <v/>
      </c>
      <c r="C613" s="69" t="str">
        <f aca="false">IF($K613="","",B613)</f>
        <v/>
      </c>
      <c r="D613" s="70" t="str">
        <f aca="false">IF($K613="","",INDEX(Base!$F$5:$F$2004,$K613))</f>
        <v/>
      </c>
      <c r="E613" s="70" t="str">
        <f aca="false">IF($K613="","",INDEX(Base!$G$5:$G$2004,$K613))</f>
        <v/>
      </c>
      <c r="F613" s="71" t="str">
        <f aca="false">IF($K613="","",INDEX(Base!$H$5:$H$2004,$K613))</f>
        <v/>
      </c>
      <c r="G613" s="71" t="str">
        <f aca="false">IF($K613="","",INDEX(Base!$I$5:$I$2004,$K613))</f>
        <v/>
      </c>
      <c r="H613" s="70" t="str">
        <f aca="false">IF($K613="","",INDEX(Base!$J$5:$J$2004,$K613))</f>
        <v/>
      </c>
      <c r="I613" s="71" t="str">
        <f aca="false">IF($K613="","",INDEX(Base!$L$5:$L$2004,$K613))</f>
        <v/>
      </c>
      <c r="J613" s="72" t="str">
        <f aca="false">IFERROR(SMALL(Base!$P$5:$P$2004,ROW()-5),"")</f>
        <v/>
      </c>
      <c r="K613" s="72" t="str">
        <f aca="false">IF(J613="","",MATCH(J613,Base!$P$5:$P$2004,0))</f>
        <v/>
      </c>
    </row>
    <row r="614" customFormat="false" ht="15" hidden="false" customHeight="false" outlineLevel="0" collapsed="false">
      <c r="A614" s="67" t="str">
        <f aca="false">IF($K614="","",ROW()-5)</f>
        <v/>
      </c>
      <c r="B614" s="68" t="str">
        <f aca="false">IF($K614="","",INDEX(Base!$E$5:$E$2004,$K614))</f>
        <v/>
      </c>
      <c r="C614" s="69" t="str">
        <f aca="false">IF($K614="","",B614)</f>
        <v/>
      </c>
      <c r="D614" s="70" t="str">
        <f aca="false">IF($K614="","",INDEX(Base!$F$5:$F$2004,$K614))</f>
        <v/>
      </c>
      <c r="E614" s="70" t="str">
        <f aca="false">IF($K614="","",INDEX(Base!$G$5:$G$2004,$K614))</f>
        <v/>
      </c>
      <c r="F614" s="71" t="str">
        <f aca="false">IF($K614="","",INDEX(Base!$H$5:$H$2004,$K614))</f>
        <v/>
      </c>
      <c r="G614" s="71" t="str">
        <f aca="false">IF($K614="","",INDEX(Base!$I$5:$I$2004,$K614))</f>
        <v/>
      </c>
      <c r="H614" s="70" t="str">
        <f aca="false">IF($K614="","",INDEX(Base!$J$5:$J$2004,$K614))</f>
        <v/>
      </c>
      <c r="I614" s="71" t="str">
        <f aca="false">IF($K614="","",INDEX(Base!$L$5:$L$2004,$K614))</f>
        <v/>
      </c>
      <c r="J614" s="72" t="str">
        <f aca="false">IFERROR(SMALL(Base!$P$5:$P$2004,ROW()-5),"")</f>
        <v/>
      </c>
      <c r="K614" s="72" t="str">
        <f aca="false">IF(J614="","",MATCH(J614,Base!$P$5:$P$2004,0))</f>
        <v/>
      </c>
    </row>
    <row r="615" customFormat="false" ht="15" hidden="false" customHeight="false" outlineLevel="0" collapsed="false">
      <c r="A615" s="67" t="str">
        <f aca="false">IF($K615="","",ROW()-5)</f>
        <v/>
      </c>
      <c r="B615" s="68" t="str">
        <f aca="false">IF($K615="","",INDEX(Base!$E$5:$E$2004,$K615))</f>
        <v/>
      </c>
      <c r="C615" s="69" t="str">
        <f aca="false">IF($K615="","",B615)</f>
        <v/>
      </c>
      <c r="D615" s="70" t="str">
        <f aca="false">IF($K615="","",INDEX(Base!$F$5:$F$2004,$K615))</f>
        <v/>
      </c>
      <c r="E615" s="70" t="str">
        <f aca="false">IF($K615="","",INDEX(Base!$G$5:$G$2004,$K615))</f>
        <v/>
      </c>
      <c r="F615" s="71" t="str">
        <f aca="false">IF($K615="","",INDEX(Base!$H$5:$H$2004,$K615))</f>
        <v/>
      </c>
      <c r="G615" s="71" t="str">
        <f aca="false">IF($K615="","",INDEX(Base!$I$5:$I$2004,$K615))</f>
        <v/>
      </c>
      <c r="H615" s="70" t="str">
        <f aca="false">IF($K615="","",INDEX(Base!$J$5:$J$2004,$K615))</f>
        <v/>
      </c>
      <c r="I615" s="71" t="str">
        <f aca="false">IF($K615="","",INDEX(Base!$L$5:$L$2004,$K615))</f>
        <v/>
      </c>
      <c r="J615" s="72" t="str">
        <f aca="false">IFERROR(SMALL(Base!$P$5:$P$2004,ROW()-5),"")</f>
        <v/>
      </c>
      <c r="K615" s="72" t="str">
        <f aca="false">IF(J615="","",MATCH(J615,Base!$P$5:$P$2004,0))</f>
        <v/>
      </c>
    </row>
    <row r="616" customFormat="false" ht="15" hidden="false" customHeight="false" outlineLevel="0" collapsed="false">
      <c r="A616" s="67" t="str">
        <f aca="false">IF($K616="","",ROW()-5)</f>
        <v/>
      </c>
      <c r="B616" s="68" t="str">
        <f aca="false">IF($K616="","",INDEX(Base!$E$5:$E$2004,$K616))</f>
        <v/>
      </c>
      <c r="C616" s="69" t="str">
        <f aca="false">IF($K616="","",B616)</f>
        <v/>
      </c>
      <c r="D616" s="70" t="str">
        <f aca="false">IF($K616="","",INDEX(Base!$F$5:$F$2004,$K616))</f>
        <v/>
      </c>
      <c r="E616" s="70" t="str">
        <f aca="false">IF($K616="","",INDEX(Base!$G$5:$G$2004,$K616))</f>
        <v/>
      </c>
      <c r="F616" s="71" t="str">
        <f aca="false">IF($K616="","",INDEX(Base!$H$5:$H$2004,$K616))</f>
        <v/>
      </c>
      <c r="G616" s="71" t="str">
        <f aca="false">IF($K616="","",INDEX(Base!$I$5:$I$2004,$K616))</f>
        <v/>
      </c>
      <c r="H616" s="70" t="str">
        <f aca="false">IF($K616="","",INDEX(Base!$J$5:$J$2004,$K616))</f>
        <v/>
      </c>
      <c r="I616" s="71" t="str">
        <f aca="false">IF($K616="","",INDEX(Base!$L$5:$L$2004,$K616))</f>
        <v/>
      </c>
      <c r="J616" s="72" t="str">
        <f aca="false">IFERROR(SMALL(Base!$P$5:$P$2004,ROW()-5),"")</f>
        <v/>
      </c>
      <c r="K616" s="72" t="str">
        <f aca="false">IF(J616="","",MATCH(J616,Base!$P$5:$P$2004,0))</f>
        <v/>
      </c>
    </row>
    <row r="617" customFormat="false" ht="15" hidden="false" customHeight="false" outlineLevel="0" collapsed="false">
      <c r="A617" s="67" t="str">
        <f aca="false">IF($K617="","",ROW()-5)</f>
        <v/>
      </c>
      <c r="B617" s="68" t="str">
        <f aca="false">IF($K617="","",INDEX(Base!$E$5:$E$2004,$K617))</f>
        <v/>
      </c>
      <c r="C617" s="69" t="str">
        <f aca="false">IF($K617="","",B617)</f>
        <v/>
      </c>
      <c r="D617" s="70" t="str">
        <f aca="false">IF($K617="","",INDEX(Base!$F$5:$F$2004,$K617))</f>
        <v/>
      </c>
      <c r="E617" s="70" t="str">
        <f aca="false">IF($K617="","",INDEX(Base!$G$5:$G$2004,$K617))</f>
        <v/>
      </c>
      <c r="F617" s="71" t="str">
        <f aca="false">IF($K617="","",INDEX(Base!$H$5:$H$2004,$K617))</f>
        <v/>
      </c>
      <c r="G617" s="71" t="str">
        <f aca="false">IF($K617="","",INDEX(Base!$I$5:$I$2004,$K617))</f>
        <v/>
      </c>
      <c r="H617" s="70" t="str">
        <f aca="false">IF($K617="","",INDEX(Base!$J$5:$J$2004,$K617))</f>
        <v/>
      </c>
      <c r="I617" s="71" t="str">
        <f aca="false">IF($K617="","",INDEX(Base!$L$5:$L$2004,$K617))</f>
        <v/>
      </c>
      <c r="J617" s="72" t="str">
        <f aca="false">IFERROR(SMALL(Base!$P$5:$P$2004,ROW()-5),"")</f>
        <v/>
      </c>
      <c r="K617" s="72" t="str">
        <f aca="false">IF(J617="","",MATCH(J617,Base!$P$5:$P$2004,0))</f>
        <v/>
      </c>
    </row>
    <row r="618" customFormat="false" ht="15" hidden="false" customHeight="false" outlineLevel="0" collapsed="false">
      <c r="A618" s="67" t="str">
        <f aca="false">IF($K618="","",ROW()-5)</f>
        <v/>
      </c>
      <c r="B618" s="68" t="str">
        <f aca="false">IF($K618="","",INDEX(Base!$E$5:$E$2004,$K618))</f>
        <v/>
      </c>
      <c r="C618" s="69" t="str">
        <f aca="false">IF($K618="","",B618)</f>
        <v/>
      </c>
      <c r="D618" s="70" t="str">
        <f aca="false">IF($K618="","",INDEX(Base!$F$5:$F$2004,$K618))</f>
        <v/>
      </c>
      <c r="E618" s="70" t="str">
        <f aca="false">IF($K618="","",INDEX(Base!$G$5:$G$2004,$K618))</f>
        <v/>
      </c>
      <c r="F618" s="71" t="str">
        <f aca="false">IF($K618="","",INDEX(Base!$H$5:$H$2004,$K618))</f>
        <v/>
      </c>
      <c r="G618" s="71" t="str">
        <f aca="false">IF($K618="","",INDEX(Base!$I$5:$I$2004,$K618))</f>
        <v/>
      </c>
      <c r="H618" s="70" t="str">
        <f aca="false">IF($K618="","",INDEX(Base!$J$5:$J$2004,$K618))</f>
        <v/>
      </c>
      <c r="I618" s="71" t="str">
        <f aca="false">IF($K618="","",INDEX(Base!$L$5:$L$2004,$K618))</f>
        <v/>
      </c>
      <c r="J618" s="72" t="str">
        <f aca="false">IFERROR(SMALL(Base!$P$5:$P$2004,ROW()-5),"")</f>
        <v/>
      </c>
      <c r="K618" s="72" t="str">
        <f aca="false">IF(J618="","",MATCH(J618,Base!$P$5:$P$2004,0))</f>
        <v/>
      </c>
    </row>
    <row r="619" customFormat="false" ht="15" hidden="false" customHeight="false" outlineLevel="0" collapsed="false">
      <c r="A619" s="67" t="str">
        <f aca="false">IF($K619="","",ROW()-5)</f>
        <v/>
      </c>
      <c r="B619" s="68" t="str">
        <f aca="false">IF($K619="","",INDEX(Base!$E$5:$E$2004,$K619))</f>
        <v/>
      </c>
      <c r="C619" s="69" t="str">
        <f aca="false">IF($K619="","",B619)</f>
        <v/>
      </c>
      <c r="D619" s="70" t="str">
        <f aca="false">IF($K619="","",INDEX(Base!$F$5:$F$2004,$K619))</f>
        <v/>
      </c>
      <c r="E619" s="70" t="str">
        <f aca="false">IF($K619="","",INDEX(Base!$G$5:$G$2004,$K619))</f>
        <v/>
      </c>
      <c r="F619" s="71" t="str">
        <f aca="false">IF($K619="","",INDEX(Base!$H$5:$H$2004,$K619))</f>
        <v/>
      </c>
      <c r="G619" s="71" t="str">
        <f aca="false">IF($K619="","",INDEX(Base!$I$5:$I$2004,$K619))</f>
        <v/>
      </c>
      <c r="H619" s="70" t="str">
        <f aca="false">IF($K619="","",INDEX(Base!$J$5:$J$2004,$K619))</f>
        <v/>
      </c>
      <c r="I619" s="71" t="str">
        <f aca="false">IF($K619="","",INDEX(Base!$L$5:$L$2004,$K619))</f>
        <v/>
      </c>
      <c r="J619" s="72" t="str">
        <f aca="false">IFERROR(SMALL(Base!$P$5:$P$2004,ROW()-5),"")</f>
        <v/>
      </c>
      <c r="K619" s="72" t="str">
        <f aca="false">IF(J619="","",MATCH(J619,Base!$P$5:$P$2004,0))</f>
        <v/>
      </c>
    </row>
    <row r="620" customFormat="false" ht="15" hidden="false" customHeight="false" outlineLevel="0" collapsed="false">
      <c r="A620" s="67" t="str">
        <f aca="false">IF($K620="","",ROW()-5)</f>
        <v/>
      </c>
      <c r="B620" s="68" t="str">
        <f aca="false">IF($K620="","",INDEX(Base!$E$5:$E$2004,$K620))</f>
        <v/>
      </c>
      <c r="C620" s="69" t="str">
        <f aca="false">IF($K620="","",B620)</f>
        <v/>
      </c>
      <c r="D620" s="70" t="str">
        <f aca="false">IF($K620="","",INDEX(Base!$F$5:$F$2004,$K620))</f>
        <v/>
      </c>
      <c r="E620" s="70" t="str">
        <f aca="false">IF($K620="","",INDEX(Base!$G$5:$G$2004,$K620))</f>
        <v/>
      </c>
      <c r="F620" s="71" t="str">
        <f aca="false">IF($K620="","",INDEX(Base!$H$5:$H$2004,$K620))</f>
        <v/>
      </c>
      <c r="G620" s="71" t="str">
        <f aca="false">IF($K620="","",INDEX(Base!$I$5:$I$2004,$K620))</f>
        <v/>
      </c>
      <c r="H620" s="70" t="str">
        <f aca="false">IF($K620="","",INDEX(Base!$J$5:$J$2004,$K620))</f>
        <v/>
      </c>
      <c r="I620" s="71" t="str">
        <f aca="false">IF($K620="","",INDEX(Base!$L$5:$L$2004,$K620))</f>
        <v/>
      </c>
      <c r="J620" s="72" t="str">
        <f aca="false">IFERROR(SMALL(Base!$P$5:$P$2004,ROW()-5),"")</f>
        <v/>
      </c>
      <c r="K620" s="72" t="str">
        <f aca="false">IF(J620="","",MATCH(J620,Base!$P$5:$P$2004,0))</f>
        <v/>
      </c>
    </row>
    <row r="621" customFormat="false" ht="15" hidden="false" customHeight="false" outlineLevel="0" collapsed="false">
      <c r="A621" s="67" t="str">
        <f aca="false">IF($K621="","",ROW()-5)</f>
        <v/>
      </c>
      <c r="B621" s="68" t="str">
        <f aca="false">IF($K621="","",INDEX(Base!$E$5:$E$2004,$K621))</f>
        <v/>
      </c>
      <c r="C621" s="69" t="str">
        <f aca="false">IF($K621="","",B621)</f>
        <v/>
      </c>
      <c r="D621" s="70" t="str">
        <f aca="false">IF($K621="","",INDEX(Base!$F$5:$F$2004,$K621))</f>
        <v/>
      </c>
      <c r="E621" s="70" t="str">
        <f aca="false">IF($K621="","",INDEX(Base!$G$5:$G$2004,$K621))</f>
        <v/>
      </c>
      <c r="F621" s="71" t="str">
        <f aca="false">IF($K621="","",INDEX(Base!$H$5:$H$2004,$K621))</f>
        <v/>
      </c>
      <c r="G621" s="71" t="str">
        <f aca="false">IF($K621="","",INDEX(Base!$I$5:$I$2004,$K621))</f>
        <v/>
      </c>
      <c r="H621" s="70" t="str">
        <f aca="false">IF($K621="","",INDEX(Base!$J$5:$J$2004,$K621))</f>
        <v/>
      </c>
      <c r="I621" s="71" t="str">
        <f aca="false">IF($K621="","",INDEX(Base!$L$5:$L$2004,$K621))</f>
        <v/>
      </c>
      <c r="J621" s="72" t="str">
        <f aca="false">IFERROR(SMALL(Base!$P$5:$P$2004,ROW()-5),"")</f>
        <v/>
      </c>
      <c r="K621" s="72" t="str">
        <f aca="false">IF(J621="","",MATCH(J621,Base!$P$5:$P$2004,0))</f>
        <v/>
      </c>
    </row>
    <row r="622" customFormat="false" ht="15" hidden="false" customHeight="false" outlineLevel="0" collapsed="false">
      <c r="A622" s="67" t="str">
        <f aca="false">IF($K622="","",ROW()-5)</f>
        <v/>
      </c>
      <c r="B622" s="68" t="str">
        <f aca="false">IF($K622="","",INDEX(Base!$E$5:$E$2004,$K622))</f>
        <v/>
      </c>
      <c r="C622" s="69" t="str">
        <f aca="false">IF($K622="","",B622)</f>
        <v/>
      </c>
      <c r="D622" s="70" t="str">
        <f aca="false">IF($K622="","",INDEX(Base!$F$5:$F$2004,$K622))</f>
        <v/>
      </c>
      <c r="E622" s="70" t="str">
        <f aca="false">IF($K622="","",INDEX(Base!$G$5:$G$2004,$K622))</f>
        <v/>
      </c>
      <c r="F622" s="71" t="str">
        <f aca="false">IF($K622="","",INDEX(Base!$H$5:$H$2004,$K622))</f>
        <v/>
      </c>
      <c r="G622" s="71" t="str">
        <f aca="false">IF($K622="","",INDEX(Base!$I$5:$I$2004,$K622))</f>
        <v/>
      </c>
      <c r="H622" s="70" t="str">
        <f aca="false">IF($K622="","",INDEX(Base!$J$5:$J$2004,$K622))</f>
        <v/>
      </c>
      <c r="I622" s="71" t="str">
        <f aca="false">IF($K622="","",INDEX(Base!$L$5:$L$2004,$K622))</f>
        <v/>
      </c>
      <c r="J622" s="72" t="str">
        <f aca="false">IFERROR(SMALL(Base!$P$5:$P$2004,ROW()-5),"")</f>
        <v/>
      </c>
      <c r="K622" s="72" t="str">
        <f aca="false">IF(J622="","",MATCH(J622,Base!$P$5:$P$2004,0))</f>
        <v/>
      </c>
    </row>
    <row r="623" customFormat="false" ht="15" hidden="false" customHeight="false" outlineLevel="0" collapsed="false">
      <c r="A623" s="67" t="str">
        <f aca="false">IF($K623="","",ROW()-5)</f>
        <v/>
      </c>
      <c r="B623" s="68" t="str">
        <f aca="false">IF($K623="","",INDEX(Base!$E$5:$E$2004,$K623))</f>
        <v/>
      </c>
      <c r="C623" s="69" t="str">
        <f aca="false">IF($K623="","",B623)</f>
        <v/>
      </c>
      <c r="D623" s="70" t="str">
        <f aca="false">IF($K623="","",INDEX(Base!$F$5:$F$2004,$K623))</f>
        <v/>
      </c>
      <c r="E623" s="70" t="str">
        <f aca="false">IF($K623="","",INDEX(Base!$G$5:$G$2004,$K623))</f>
        <v/>
      </c>
      <c r="F623" s="71" t="str">
        <f aca="false">IF($K623="","",INDEX(Base!$H$5:$H$2004,$K623))</f>
        <v/>
      </c>
      <c r="G623" s="71" t="str">
        <f aca="false">IF($K623="","",INDEX(Base!$I$5:$I$2004,$K623))</f>
        <v/>
      </c>
      <c r="H623" s="70" t="str">
        <f aca="false">IF($K623="","",INDEX(Base!$J$5:$J$2004,$K623))</f>
        <v/>
      </c>
      <c r="I623" s="71" t="str">
        <f aca="false">IF($K623="","",INDEX(Base!$L$5:$L$2004,$K623))</f>
        <v/>
      </c>
      <c r="J623" s="72" t="str">
        <f aca="false">IFERROR(SMALL(Base!$P$5:$P$2004,ROW()-5),"")</f>
        <v/>
      </c>
      <c r="K623" s="72" t="str">
        <f aca="false">IF(J623="","",MATCH(J623,Base!$P$5:$P$2004,0))</f>
        <v/>
      </c>
    </row>
    <row r="624" customFormat="false" ht="15" hidden="false" customHeight="false" outlineLevel="0" collapsed="false">
      <c r="A624" s="67" t="str">
        <f aca="false">IF($K624="","",ROW()-5)</f>
        <v/>
      </c>
      <c r="B624" s="68" t="str">
        <f aca="false">IF($K624="","",INDEX(Base!$E$5:$E$2004,$K624))</f>
        <v/>
      </c>
      <c r="C624" s="69" t="str">
        <f aca="false">IF($K624="","",B624)</f>
        <v/>
      </c>
      <c r="D624" s="70" t="str">
        <f aca="false">IF($K624="","",INDEX(Base!$F$5:$F$2004,$K624))</f>
        <v/>
      </c>
      <c r="E624" s="70" t="str">
        <f aca="false">IF($K624="","",INDEX(Base!$G$5:$G$2004,$K624))</f>
        <v/>
      </c>
      <c r="F624" s="71" t="str">
        <f aca="false">IF($K624="","",INDEX(Base!$H$5:$H$2004,$K624))</f>
        <v/>
      </c>
      <c r="G624" s="71" t="str">
        <f aca="false">IF($K624="","",INDEX(Base!$I$5:$I$2004,$K624))</f>
        <v/>
      </c>
      <c r="H624" s="70" t="str">
        <f aca="false">IF($K624="","",INDEX(Base!$J$5:$J$2004,$K624))</f>
        <v/>
      </c>
      <c r="I624" s="71" t="str">
        <f aca="false">IF($K624="","",INDEX(Base!$L$5:$L$2004,$K624))</f>
        <v/>
      </c>
      <c r="J624" s="72" t="str">
        <f aca="false">IFERROR(SMALL(Base!$P$5:$P$2004,ROW()-5),"")</f>
        <v/>
      </c>
      <c r="K624" s="72" t="str">
        <f aca="false">IF(J624="","",MATCH(J624,Base!$P$5:$P$2004,0))</f>
        <v/>
      </c>
    </row>
    <row r="625" customFormat="false" ht="15" hidden="false" customHeight="false" outlineLevel="0" collapsed="false">
      <c r="A625" s="67" t="str">
        <f aca="false">IF($K625="","",ROW()-5)</f>
        <v/>
      </c>
      <c r="B625" s="68" t="str">
        <f aca="false">IF($K625="","",INDEX(Base!$E$5:$E$2004,$K625))</f>
        <v/>
      </c>
      <c r="C625" s="69" t="str">
        <f aca="false">IF($K625="","",B625)</f>
        <v/>
      </c>
      <c r="D625" s="70" t="str">
        <f aca="false">IF($K625="","",INDEX(Base!$F$5:$F$2004,$K625))</f>
        <v/>
      </c>
      <c r="E625" s="70" t="str">
        <f aca="false">IF($K625="","",INDEX(Base!$G$5:$G$2004,$K625))</f>
        <v/>
      </c>
      <c r="F625" s="71" t="str">
        <f aca="false">IF($K625="","",INDEX(Base!$H$5:$H$2004,$K625))</f>
        <v/>
      </c>
      <c r="G625" s="71" t="str">
        <f aca="false">IF($K625="","",INDEX(Base!$I$5:$I$2004,$K625))</f>
        <v/>
      </c>
      <c r="H625" s="70" t="str">
        <f aca="false">IF($K625="","",INDEX(Base!$J$5:$J$2004,$K625))</f>
        <v/>
      </c>
      <c r="I625" s="71" t="str">
        <f aca="false">IF($K625="","",INDEX(Base!$L$5:$L$2004,$K625))</f>
        <v/>
      </c>
      <c r="J625" s="72" t="str">
        <f aca="false">IFERROR(SMALL(Base!$P$5:$P$2004,ROW()-5),"")</f>
        <v/>
      </c>
      <c r="K625" s="72" t="str">
        <f aca="false">IF(J625="","",MATCH(J625,Base!$P$5:$P$2004,0))</f>
        <v/>
      </c>
    </row>
    <row r="626" customFormat="false" ht="15" hidden="false" customHeight="false" outlineLevel="0" collapsed="false">
      <c r="A626" s="67" t="str">
        <f aca="false">IF($K626="","",ROW()-5)</f>
        <v/>
      </c>
      <c r="B626" s="68" t="str">
        <f aca="false">IF($K626="","",INDEX(Base!$E$5:$E$2004,$K626))</f>
        <v/>
      </c>
      <c r="C626" s="69" t="str">
        <f aca="false">IF($K626="","",B626)</f>
        <v/>
      </c>
      <c r="D626" s="70" t="str">
        <f aca="false">IF($K626="","",INDEX(Base!$F$5:$F$2004,$K626))</f>
        <v/>
      </c>
      <c r="E626" s="70" t="str">
        <f aca="false">IF($K626="","",INDEX(Base!$G$5:$G$2004,$K626))</f>
        <v/>
      </c>
      <c r="F626" s="71" t="str">
        <f aca="false">IF($K626="","",INDEX(Base!$H$5:$H$2004,$K626))</f>
        <v/>
      </c>
      <c r="G626" s="71" t="str">
        <f aca="false">IF($K626="","",INDEX(Base!$I$5:$I$2004,$K626))</f>
        <v/>
      </c>
      <c r="H626" s="70" t="str">
        <f aca="false">IF($K626="","",INDEX(Base!$J$5:$J$2004,$K626))</f>
        <v/>
      </c>
      <c r="I626" s="71" t="str">
        <f aca="false">IF($K626="","",INDEX(Base!$L$5:$L$2004,$K626))</f>
        <v/>
      </c>
      <c r="J626" s="72" t="str">
        <f aca="false">IFERROR(SMALL(Base!$P$5:$P$2004,ROW()-5),"")</f>
        <v/>
      </c>
      <c r="K626" s="72" t="str">
        <f aca="false">IF(J626="","",MATCH(J626,Base!$P$5:$P$2004,0))</f>
        <v/>
      </c>
    </row>
    <row r="627" customFormat="false" ht="15" hidden="false" customHeight="false" outlineLevel="0" collapsed="false">
      <c r="A627" s="67" t="str">
        <f aca="false">IF($K627="","",ROW()-5)</f>
        <v/>
      </c>
      <c r="B627" s="68" t="str">
        <f aca="false">IF($K627="","",INDEX(Base!$E$5:$E$2004,$K627))</f>
        <v/>
      </c>
      <c r="C627" s="69" t="str">
        <f aca="false">IF($K627="","",B627)</f>
        <v/>
      </c>
      <c r="D627" s="70" t="str">
        <f aca="false">IF($K627="","",INDEX(Base!$F$5:$F$2004,$K627))</f>
        <v/>
      </c>
      <c r="E627" s="70" t="str">
        <f aca="false">IF($K627="","",INDEX(Base!$G$5:$G$2004,$K627))</f>
        <v/>
      </c>
      <c r="F627" s="71" t="str">
        <f aca="false">IF($K627="","",INDEX(Base!$H$5:$H$2004,$K627))</f>
        <v/>
      </c>
      <c r="G627" s="71" t="str">
        <f aca="false">IF($K627="","",INDEX(Base!$I$5:$I$2004,$K627))</f>
        <v/>
      </c>
      <c r="H627" s="70" t="str">
        <f aca="false">IF($K627="","",INDEX(Base!$J$5:$J$2004,$K627))</f>
        <v/>
      </c>
      <c r="I627" s="71" t="str">
        <f aca="false">IF($K627="","",INDEX(Base!$L$5:$L$2004,$K627))</f>
        <v/>
      </c>
      <c r="J627" s="72" t="str">
        <f aca="false">IFERROR(SMALL(Base!$P$5:$P$2004,ROW()-5),"")</f>
        <v/>
      </c>
      <c r="K627" s="72" t="str">
        <f aca="false">IF(J627="","",MATCH(J627,Base!$P$5:$P$2004,0))</f>
        <v/>
      </c>
    </row>
    <row r="628" customFormat="false" ht="15" hidden="false" customHeight="false" outlineLevel="0" collapsed="false">
      <c r="A628" s="67" t="str">
        <f aca="false">IF($K628="","",ROW()-5)</f>
        <v/>
      </c>
      <c r="B628" s="68" t="str">
        <f aca="false">IF($K628="","",INDEX(Base!$E$5:$E$2004,$K628))</f>
        <v/>
      </c>
      <c r="C628" s="69" t="str">
        <f aca="false">IF($K628="","",B628)</f>
        <v/>
      </c>
      <c r="D628" s="70" t="str">
        <f aca="false">IF($K628="","",INDEX(Base!$F$5:$F$2004,$K628))</f>
        <v/>
      </c>
      <c r="E628" s="70" t="str">
        <f aca="false">IF($K628="","",INDEX(Base!$G$5:$G$2004,$K628))</f>
        <v/>
      </c>
      <c r="F628" s="71" t="str">
        <f aca="false">IF($K628="","",INDEX(Base!$H$5:$H$2004,$K628))</f>
        <v/>
      </c>
      <c r="G628" s="71" t="str">
        <f aca="false">IF($K628="","",INDEX(Base!$I$5:$I$2004,$K628))</f>
        <v/>
      </c>
      <c r="H628" s="70" t="str">
        <f aca="false">IF($K628="","",INDEX(Base!$J$5:$J$2004,$K628))</f>
        <v/>
      </c>
      <c r="I628" s="71" t="str">
        <f aca="false">IF($K628="","",INDEX(Base!$L$5:$L$2004,$K628))</f>
        <v/>
      </c>
      <c r="J628" s="72" t="str">
        <f aca="false">IFERROR(SMALL(Base!$P$5:$P$2004,ROW()-5),"")</f>
        <v/>
      </c>
      <c r="K628" s="72" t="str">
        <f aca="false">IF(J628="","",MATCH(J628,Base!$P$5:$P$2004,0))</f>
        <v/>
      </c>
    </row>
    <row r="629" customFormat="false" ht="15" hidden="false" customHeight="false" outlineLevel="0" collapsed="false">
      <c r="A629" s="67" t="str">
        <f aca="false">IF($K629="","",ROW()-5)</f>
        <v/>
      </c>
      <c r="B629" s="68" t="str">
        <f aca="false">IF($K629="","",INDEX(Base!$E$5:$E$2004,$K629))</f>
        <v/>
      </c>
      <c r="C629" s="69" t="str">
        <f aca="false">IF($K629="","",B629)</f>
        <v/>
      </c>
      <c r="D629" s="70" t="str">
        <f aca="false">IF($K629="","",INDEX(Base!$F$5:$F$2004,$K629))</f>
        <v/>
      </c>
      <c r="E629" s="70" t="str">
        <f aca="false">IF($K629="","",INDEX(Base!$G$5:$G$2004,$K629))</f>
        <v/>
      </c>
      <c r="F629" s="71" t="str">
        <f aca="false">IF($K629="","",INDEX(Base!$H$5:$H$2004,$K629))</f>
        <v/>
      </c>
      <c r="G629" s="71" t="str">
        <f aca="false">IF($K629="","",INDEX(Base!$I$5:$I$2004,$K629))</f>
        <v/>
      </c>
      <c r="H629" s="70" t="str">
        <f aca="false">IF($K629="","",INDEX(Base!$J$5:$J$2004,$K629))</f>
        <v/>
      </c>
      <c r="I629" s="71" t="str">
        <f aca="false">IF($K629="","",INDEX(Base!$L$5:$L$2004,$K629))</f>
        <v/>
      </c>
      <c r="J629" s="72" t="str">
        <f aca="false">IFERROR(SMALL(Base!$P$5:$P$2004,ROW()-5),"")</f>
        <v/>
      </c>
      <c r="K629" s="72" t="str">
        <f aca="false">IF(J629="","",MATCH(J629,Base!$P$5:$P$2004,0))</f>
        <v/>
      </c>
    </row>
    <row r="630" customFormat="false" ht="15" hidden="false" customHeight="false" outlineLevel="0" collapsed="false">
      <c r="A630" s="67" t="str">
        <f aca="false">IF($K630="","",ROW()-5)</f>
        <v/>
      </c>
      <c r="B630" s="68" t="str">
        <f aca="false">IF($K630="","",INDEX(Base!$E$5:$E$2004,$K630))</f>
        <v/>
      </c>
      <c r="C630" s="69" t="str">
        <f aca="false">IF($K630="","",B630)</f>
        <v/>
      </c>
      <c r="D630" s="70" t="str">
        <f aca="false">IF($K630="","",INDEX(Base!$F$5:$F$2004,$K630))</f>
        <v/>
      </c>
      <c r="E630" s="70" t="str">
        <f aca="false">IF($K630="","",INDEX(Base!$G$5:$G$2004,$K630))</f>
        <v/>
      </c>
      <c r="F630" s="71" t="str">
        <f aca="false">IF($K630="","",INDEX(Base!$H$5:$H$2004,$K630))</f>
        <v/>
      </c>
      <c r="G630" s="71" t="str">
        <f aca="false">IF($K630="","",INDEX(Base!$I$5:$I$2004,$K630))</f>
        <v/>
      </c>
      <c r="H630" s="70" t="str">
        <f aca="false">IF($K630="","",INDEX(Base!$J$5:$J$2004,$K630))</f>
        <v/>
      </c>
      <c r="I630" s="71" t="str">
        <f aca="false">IF($K630="","",INDEX(Base!$L$5:$L$2004,$K630))</f>
        <v/>
      </c>
      <c r="J630" s="72" t="str">
        <f aca="false">IFERROR(SMALL(Base!$P$5:$P$2004,ROW()-5),"")</f>
        <v/>
      </c>
      <c r="K630" s="72" t="str">
        <f aca="false">IF(J630="","",MATCH(J630,Base!$P$5:$P$2004,0))</f>
        <v/>
      </c>
    </row>
    <row r="631" customFormat="false" ht="15" hidden="false" customHeight="false" outlineLevel="0" collapsed="false">
      <c r="A631" s="67" t="str">
        <f aca="false">IF($K631="","",ROW()-5)</f>
        <v/>
      </c>
      <c r="B631" s="68" t="str">
        <f aca="false">IF($K631="","",INDEX(Base!$E$5:$E$2004,$K631))</f>
        <v/>
      </c>
      <c r="C631" s="69" t="str">
        <f aca="false">IF($K631="","",B631)</f>
        <v/>
      </c>
      <c r="D631" s="70" t="str">
        <f aca="false">IF($K631="","",INDEX(Base!$F$5:$F$2004,$K631))</f>
        <v/>
      </c>
      <c r="E631" s="70" t="str">
        <f aca="false">IF($K631="","",INDEX(Base!$G$5:$G$2004,$K631))</f>
        <v/>
      </c>
      <c r="F631" s="71" t="str">
        <f aca="false">IF($K631="","",INDEX(Base!$H$5:$H$2004,$K631))</f>
        <v/>
      </c>
      <c r="G631" s="71" t="str">
        <f aca="false">IF($K631="","",INDEX(Base!$I$5:$I$2004,$K631))</f>
        <v/>
      </c>
      <c r="H631" s="70" t="str">
        <f aca="false">IF($K631="","",INDEX(Base!$J$5:$J$2004,$K631))</f>
        <v/>
      </c>
      <c r="I631" s="71" t="str">
        <f aca="false">IF($K631="","",INDEX(Base!$L$5:$L$2004,$K631))</f>
        <v/>
      </c>
      <c r="J631" s="72" t="str">
        <f aca="false">IFERROR(SMALL(Base!$P$5:$P$2004,ROW()-5),"")</f>
        <v/>
      </c>
      <c r="K631" s="72" t="str">
        <f aca="false">IF(J631="","",MATCH(J631,Base!$P$5:$P$2004,0))</f>
        <v/>
      </c>
    </row>
    <row r="632" customFormat="false" ht="15" hidden="false" customHeight="false" outlineLevel="0" collapsed="false">
      <c r="A632" s="67" t="str">
        <f aca="false">IF($K632="","",ROW()-5)</f>
        <v/>
      </c>
      <c r="B632" s="68" t="str">
        <f aca="false">IF($K632="","",INDEX(Base!$E$5:$E$2004,$K632))</f>
        <v/>
      </c>
      <c r="C632" s="69" t="str">
        <f aca="false">IF($K632="","",B632)</f>
        <v/>
      </c>
      <c r="D632" s="70" t="str">
        <f aca="false">IF($K632="","",INDEX(Base!$F$5:$F$2004,$K632))</f>
        <v/>
      </c>
      <c r="E632" s="70" t="str">
        <f aca="false">IF($K632="","",INDEX(Base!$G$5:$G$2004,$K632))</f>
        <v/>
      </c>
      <c r="F632" s="71" t="str">
        <f aca="false">IF($K632="","",INDEX(Base!$H$5:$H$2004,$K632))</f>
        <v/>
      </c>
      <c r="G632" s="71" t="str">
        <f aca="false">IF($K632="","",INDEX(Base!$I$5:$I$2004,$K632))</f>
        <v/>
      </c>
      <c r="H632" s="70" t="str">
        <f aca="false">IF($K632="","",INDEX(Base!$J$5:$J$2004,$K632))</f>
        <v/>
      </c>
      <c r="I632" s="71" t="str">
        <f aca="false">IF($K632="","",INDEX(Base!$L$5:$L$2004,$K632))</f>
        <v/>
      </c>
      <c r="J632" s="72" t="str">
        <f aca="false">IFERROR(SMALL(Base!$P$5:$P$2004,ROW()-5),"")</f>
        <v/>
      </c>
      <c r="K632" s="72" t="str">
        <f aca="false">IF(J632="","",MATCH(J632,Base!$P$5:$P$2004,0))</f>
        <v/>
      </c>
    </row>
    <row r="633" customFormat="false" ht="15" hidden="false" customHeight="false" outlineLevel="0" collapsed="false">
      <c r="A633" s="67" t="str">
        <f aca="false">IF($K633="","",ROW()-5)</f>
        <v/>
      </c>
      <c r="B633" s="68" t="str">
        <f aca="false">IF($K633="","",INDEX(Base!$E$5:$E$2004,$K633))</f>
        <v/>
      </c>
      <c r="C633" s="69" t="str">
        <f aca="false">IF($K633="","",B633)</f>
        <v/>
      </c>
      <c r="D633" s="70" t="str">
        <f aca="false">IF($K633="","",INDEX(Base!$F$5:$F$2004,$K633))</f>
        <v/>
      </c>
      <c r="E633" s="70" t="str">
        <f aca="false">IF($K633="","",INDEX(Base!$G$5:$G$2004,$K633))</f>
        <v/>
      </c>
      <c r="F633" s="71" t="str">
        <f aca="false">IF($K633="","",INDEX(Base!$H$5:$H$2004,$K633))</f>
        <v/>
      </c>
      <c r="G633" s="71" t="str">
        <f aca="false">IF($K633="","",INDEX(Base!$I$5:$I$2004,$K633))</f>
        <v/>
      </c>
      <c r="H633" s="70" t="str">
        <f aca="false">IF($K633="","",INDEX(Base!$J$5:$J$2004,$K633))</f>
        <v/>
      </c>
      <c r="I633" s="71" t="str">
        <f aca="false">IF($K633="","",INDEX(Base!$L$5:$L$2004,$K633))</f>
        <v/>
      </c>
      <c r="J633" s="72" t="str">
        <f aca="false">IFERROR(SMALL(Base!$P$5:$P$2004,ROW()-5),"")</f>
        <v/>
      </c>
      <c r="K633" s="72" t="str">
        <f aca="false">IF(J633="","",MATCH(J633,Base!$P$5:$P$2004,0))</f>
        <v/>
      </c>
    </row>
    <row r="634" customFormat="false" ht="15" hidden="false" customHeight="false" outlineLevel="0" collapsed="false">
      <c r="A634" s="67" t="str">
        <f aca="false">IF($K634="","",ROW()-5)</f>
        <v/>
      </c>
      <c r="B634" s="68" t="str">
        <f aca="false">IF($K634="","",INDEX(Base!$E$5:$E$2004,$K634))</f>
        <v/>
      </c>
      <c r="C634" s="69" t="str">
        <f aca="false">IF($K634="","",B634)</f>
        <v/>
      </c>
      <c r="D634" s="70" t="str">
        <f aca="false">IF($K634="","",INDEX(Base!$F$5:$F$2004,$K634))</f>
        <v/>
      </c>
      <c r="E634" s="70" t="str">
        <f aca="false">IF($K634="","",INDEX(Base!$G$5:$G$2004,$K634))</f>
        <v/>
      </c>
      <c r="F634" s="71" t="str">
        <f aca="false">IF($K634="","",INDEX(Base!$H$5:$H$2004,$K634))</f>
        <v/>
      </c>
      <c r="G634" s="71" t="str">
        <f aca="false">IF($K634="","",INDEX(Base!$I$5:$I$2004,$K634))</f>
        <v/>
      </c>
      <c r="H634" s="70" t="str">
        <f aca="false">IF($K634="","",INDEX(Base!$J$5:$J$2004,$K634))</f>
        <v/>
      </c>
      <c r="I634" s="71" t="str">
        <f aca="false">IF($K634="","",INDEX(Base!$L$5:$L$2004,$K634))</f>
        <v/>
      </c>
      <c r="J634" s="72" t="str">
        <f aca="false">IFERROR(SMALL(Base!$P$5:$P$2004,ROW()-5),"")</f>
        <v/>
      </c>
      <c r="K634" s="72" t="str">
        <f aca="false">IF(J634="","",MATCH(J634,Base!$P$5:$P$2004,0))</f>
        <v/>
      </c>
    </row>
    <row r="635" customFormat="false" ht="15" hidden="false" customHeight="false" outlineLevel="0" collapsed="false">
      <c r="A635" s="67" t="str">
        <f aca="false">IF($K635="","",ROW()-5)</f>
        <v/>
      </c>
      <c r="B635" s="68" t="str">
        <f aca="false">IF($K635="","",INDEX(Base!$E$5:$E$2004,$K635))</f>
        <v/>
      </c>
      <c r="C635" s="69" t="str">
        <f aca="false">IF($K635="","",B635)</f>
        <v/>
      </c>
      <c r="D635" s="70" t="str">
        <f aca="false">IF($K635="","",INDEX(Base!$F$5:$F$2004,$K635))</f>
        <v/>
      </c>
      <c r="E635" s="70" t="str">
        <f aca="false">IF($K635="","",INDEX(Base!$G$5:$G$2004,$K635))</f>
        <v/>
      </c>
      <c r="F635" s="71" t="str">
        <f aca="false">IF($K635="","",INDEX(Base!$H$5:$H$2004,$K635))</f>
        <v/>
      </c>
      <c r="G635" s="71" t="str">
        <f aca="false">IF($K635="","",INDEX(Base!$I$5:$I$2004,$K635))</f>
        <v/>
      </c>
      <c r="H635" s="70" t="str">
        <f aca="false">IF($K635="","",INDEX(Base!$J$5:$J$2004,$K635))</f>
        <v/>
      </c>
      <c r="I635" s="71" t="str">
        <f aca="false">IF($K635="","",INDEX(Base!$L$5:$L$2004,$K635))</f>
        <v/>
      </c>
      <c r="J635" s="72" t="str">
        <f aca="false">IFERROR(SMALL(Base!$P$5:$P$2004,ROW()-5),"")</f>
        <v/>
      </c>
      <c r="K635" s="72" t="str">
        <f aca="false">IF(J635="","",MATCH(J635,Base!$P$5:$P$2004,0))</f>
        <v/>
      </c>
    </row>
    <row r="636" customFormat="false" ht="15" hidden="false" customHeight="false" outlineLevel="0" collapsed="false">
      <c r="A636" s="67" t="str">
        <f aca="false">IF($K636="","",ROW()-5)</f>
        <v/>
      </c>
      <c r="B636" s="68" t="str">
        <f aca="false">IF($K636="","",INDEX(Base!$E$5:$E$2004,$K636))</f>
        <v/>
      </c>
      <c r="C636" s="69" t="str">
        <f aca="false">IF($K636="","",B636)</f>
        <v/>
      </c>
      <c r="D636" s="70" t="str">
        <f aca="false">IF($K636="","",INDEX(Base!$F$5:$F$2004,$K636))</f>
        <v/>
      </c>
      <c r="E636" s="70" t="str">
        <f aca="false">IF($K636="","",INDEX(Base!$G$5:$G$2004,$K636))</f>
        <v/>
      </c>
      <c r="F636" s="71" t="str">
        <f aca="false">IF($K636="","",INDEX(Base!$H$5:$H$2004,$K636))</f>
        <v/>
      </c>
      <c r="G636" s="71" t="str">
        <f aca="false">IF($K636="","",INDEX(Base!$I$5:$I$2004,$K636))</f>
        <v/>
      </c>
      <c r="H636" s="70" t="str">
        <f aca="false">IF($K636="","",INDEX(Base!$J$5:$J$2004,$K636))</f>
        <v/>
      </c>
      <c r="I636" s="71" t="str">
        <f aca="false">IF($K636="","",INDEX(Base!$L$5:$L$2004,$K636))</f>
        <v/>
      </c>
      <c r="J636" s="72" t="str">
        <f aca="false">IFERROR(SMALL(Base!$P$5:$P$2004,ROW()-5),"")</f>
        <v/>
      </c>
      <c r="K636" s="72" t="str">
        <f aca="false">IF(J636="","",MATCH(J636,Base!$P$5:$P$2004,0))</f>
        <v/>
      </c>
    </row>
    <row r="637" customFormat="false" ht="15" hidden="false" customHeight="false" outlineLevel="0" collapsed="false">
      <c r="A637" s="67" t="str">
        <f aca="false">IF($K637="","",ROW()-5)</f>
        <v/>
      </c>
      <c r="B637" s="68" t="str">
        <f aca="false">IF($K637="","",INDEX(Base!$E$5:$E$2004,$K637))</f>
        <v/>
      </c>
      <c r="C637" s="69" t="str">
        <f aca="false">IF($K637="","",B637)</f>
        <v/>
      </c>
      <c r="D637" s="70" t="str">
        <f aca="false">IF($K637="","",INDEX(Base!$F$5:$F$2004,$K637))</f>
        <v/>
      </c>
      <c r="E637" s="70" t="str">
        <f aca="false">IF($K637="","",INDEX(Base!$G$5:$G$2004,$K637))</f>
        <v/>
      </c>
      <c r="F637" s="71" t="str">
        <f aca="false">IF($K637="","",INDEX(Base!$H$5:$H$2004,$K637))</f>
        <v/>
      </c>
      <c r="G637" s="71" t="str">
        <f aca="false">IF($K637="","",INDEX(Base!$I$5:$I$2004,$K637))</f>
        <v/>
      </c>
      <c r="H637" s="70" t="str">
        <f aca="false">IF($K637="","",INDEX(Base!$J$5:$J$2004,$K637))</f>
        <v/>
      </c>
      <c r="I637" s="71" t="str">
        <f aca="false">IF($K637="","",INDEX(Base!$L$5:$L$2004,$K637))</f>
        <v/>
      </c>
      <c r="J637" s="72" t="str">
        <f aca="false">IFERROR(SMALL(Base!$P$5:$P$2004,ROW()-5),"")</f>
        <v/>
      </c>
      <c r="K637" s="72" t="str">
        <f aca="false">IF(J637="","",MATCH(J637,Base!$P$5:$P$2004,0))</f>
        <v/>
      </c>
    </row>
    <row r="638" customFormat="false" ht="15" hidden="false" customHeight="false" outlineLevel="0" collapsed="false">
      <c r="A638" s="67" t="str">
        <f aca="false">IF($K638="","",ROW()-5)</f>
        <v/>
      </c>
      <c r="B638" s="68" t="str">
        <f aca="false">IF($K638="","",INDEX(Base!$E$5:$E$2004,$K638))</f>
        <v/>
      </c>
      <c r="C638" s="69" t="str">
        <f aca="false">IF($K638="","",B638)</f>
        <v/>
      </c>
      <c r="D638" s="70" t="str">
        <f aca="false">IF($K638="","",INDEX(Base!$F$5:$F$2004,$K638))</f>
        <v/>
      </c>
      <c r="E638" s="70" t="str">
        <f aca="false">IF($K638="","",INDEX(Base!$G$5:$G$2004,$K638))</f>
        <v/>
      </c>
      <c r="F638" s="71" t="str">
        <f aca="false">IF($K638="","",INDEX(Base!$H$5:$H$2004,$K638))</f>
        <v/>
      </c>
      <c r="G638" s="71" t="str">
        <f aca="false">IF($K638="","",INDEX(Base!$I$5:$I$2004,$K638))</f>
        <v/>
      </c>
      <c r="H638" s="70" t="str">
        <f aca="false">IF($K638="","",INDEX(Base!$J$5:$J$2004,$K638))</f>
        <v/>
      </c>
      <c r="I638" s="71" t="str">
        <f aca="false">IF($K638="","",INDEX(Base!$L$5:$L$2004,$K638))</f>
        <v/>
      </c>
      <c r="J638" s="72" t="str">
        <f aca="false">IFERROR(SMALL(Base!$P$5:$P$2004,ROW()-5),"")</f>
        <v/>
      </c>
      <c r="K638" s="72" t="str">
        <f aca="false">IF(J638="","",MATCH(J638,Base!$P$5:$P$2004,0))</f>
        <v/>
      </c>
    </row>
    <row r="639" customFormat="false" ht="15" hidden="false" customHeight="false" outlineLevel="0" collapsed="false">
      <c r="A639" s="67" t="str">
        <f aca="false">IF($K639="","",ROW()-5)</f>
        <v/>
      </c>
      <c r="B639" s="68" t="str">
        <f aca="false">IF($K639="","",INDEX(Base!$E$5:$E$2004,$K639))</f>
        <v/>
      </c>
      <c r="C639" s="69" t="str">
        <f aca="false">IF($K639="","",B639)</f>
        <v/>
      </c>
      <c r="D639" s="70" t="str">
        <f aca="false">IF($K639="","",INDEX(Base!$F$5:$F$2004,$K639))</f>
        <v/>
      </c>
      <c r="E639" s="70" t="str">
        <f aca="false">IF($K639="","",INDEX(Base!$G$5:$G$2004,$K639))</f>
        <v/>
      </c>
      <c r="F639" s="71" t="str">
        <f aca="false">IF($K639="","",INDEX(Base!$H$5:$H$2004,$K639))</f>
        <v/>
      </c>
      <c r="G639" s="71" t="str">
        <f aca="false">IF($K639="","",INDEX(Base!$I$5:$I$2004,$K639))</f>
        <v/>
      </c>
      <c r="H639" s="70" t="str">
        <f aca="false">IF($K639="","",INDEX(Base!$J$5:$J$2004,$K639))</f>
        <v/>
      </c>
      <c r="I639" s="71" t="str">
        <f aca="false">IF($K639="","",INDEX(Base!$L$5:$L$2004,$K639))</f>
        <v/>
      </c>
      <c r="J639" s="72" t="str">
        <f aca="false">IFERROR(SMALL(Base!$P$5:$P$2004,ROW()-5),"")</f>
        <v/>
      </c>
      <c r="K639" s="72" t="str">
        <f aca="false">IF(J639="","",MATCH(J639,Base!$P$5:$P$2004,0))</f>
        <v/>
      </c>
    </row>
    <row r="640" customFormat="false" ht="15" hidden="false" customHeight="false" outlineLevel="0" collapsed="false">
      <c r="A640" s="67" t="str">
        <f aca="false">IF($K640="","",ROW()-5)</f>
        <v/>
      </c>
      <c r="B640" s="68" t="str">
        <f aca="false">IF($K640="","",INDEX(Base!$E$5:$E$2004,$K640))</f>
        <v/>
      </c>
      <c r="C640" s="69" t="str">
        <f aca="false">IF($K640="","",B640)</f>
        <v/>
      </c>
      <c r="D640" s="70" t="str">
        <f aca="false">IF($K640="","",INDEX(Base!$F$5:$F$2004,$K640))</f>
        <v/>
      </c>
      <c r="E640" s="70" t="str">
        <f aca="false">IF($K640="","",INDEX(Base!$G$5:$G$2004,$K640))</f>
        <v/>
      </c>
      <c r="F640" s="71" t="str">
        <f aca="false">IF($K640="","",INDEX(Base!$H$5:$H$2004,$K640))</f>
        <v/>
      </c>
      <c r="G640" s="71" t="str">
        <f aca="false">IF($K640="","",INDEX(Base!$I$5:$I$2004,$K640))</f>
        <v/>
      </c>
      <c r="H640" s="70" t="str">
        <f aca="false">IF($K640="","",INDEX(Base!$J$5:$J$2004,$K640))</f>
        <v/>
      </c>
      <c r="I640" s="71" t="str">
        <f aca="false">IF($K640="","",INDEX(Base!$L$5:$L$2004,$K640))</f>
        <v/>
      </c>
      <c r="J640" s="72" t="str">
        <f aca="false">IFERROR(SMALL(Base!$P$5:$P$2004,ROW()-5),"")</f>
        <v/>
      </c>
      <c r="K640" s="72" t="str">
        <f aca="false">IF(J640="","",MATCH(J640,Base!$P$5:$P$2004,0))</f>
        <v/>
      </c>
    </row>
    <row r="641" customFormat="false" ht="15" hidden="false" customHeight="false" outlineLevel="0" collapsed="false">
      <c r="A641" s="67" t="str">
        <f aca="false">IF($K641="","",ROW()-5)</f>
        <v/>
      </c>
      <c r="B641" s="68" t="str">
        <f aca="false">IF($K641="","",INDEX(Base!$E$5:$E$2004,$K641))</f>
        <v/>
      </c>
      <c r="C641" s="69" t="str">
        <f aca="false">IF($K641="","",B641)</f>
        <v/>
      </c>
      <c r="D641" s="70" t="str">
        <f aca="false">IF($K641="","",INDEX(Base!$F$5:$F$2004,$K641))</f>
        <v/>
      </c>
      <c r="E641" s="70" t="str">
        <f aca="false">IF($K641="","",INDEX(Base!$G$5:$G$2004,$K641))</f>
        <v/>
      </c>
      <c r="F641" s="71" t="str">
        <f aca="false">IF($K641="","",INDEX(Base!$H$5:$H$2004,$K641))</f>
        <v/>
      </c>
      <c r="G641" s="71" t="str">
        <f aca="false">IF($K641="","",INDEX(Base!$I$5:$I$2004,$K641))</f>
        <v/>
      </c>
      <c r="H641" s="70" t="str">
        <f aca="false">IF($K641="","",INDEX(Base!$J$5:$J$2004,$K641))</f>
        <v/>
      </c>
      <c r="I641" s="71" t="str">
        <f aca="false">IF($K641="","",INDEX(Base!$L$5:$L$2004,$K641))</f>
        <v/>
      </c>
      <c r="J641" s="72" t="str">
        <f aca="false">IFERROR(SMALL(Base!$P$5:$P$2004,ROW()-5),"")</f>
        <v/>
      </c>
      <c r="K641" s="72" t="str">
        <f aca="false">IF(J641="","",MATCH(J641,Base!$P$5:$P$2004,0))</f>
        <v/>
      </c>
    </row>
    <row r="642" customFormat="false" ht="15" hidden="false" customHeight="false" outlineLevel="0" collapsed="false">
      <c r="A642" s="67" t="str">
        <f aca="false">IF($K642="","",ROW()-5)</f>
        <v/>
      </c>
      <c r="B642" s="68" t="str">
        <f aca="false">IF($K642="","",INDEX(Base!$E$5:$E$2004,$K642))</f>
        <v/>
      </c>
      <c r="C642" s="69" t="str">
        <f aca="false">IF($K642="","",B642)</f>
        <v/>
      </c>
      <c r="D642" s="70" t="str">
        <f aca="false">IF($K642="","",INDEX(Base!$F$5:$F$2004,$K642))</f>
        <v/>
      </c>
      <c r="E642" s="70" t="str">
        <f aca="false">IF($K642="","",INDEX(Base!$G$5:$G$2004,$K642))</f>
        <v/>
      </c>
      <c r="F642" s="71" t="str">
        <f aca="false">IF($K642="","",INDEX(Base!$H$5:$H$2004,$K642))</f>
        <v/>
      </c>
      <c r="G642" s="71" t="str">
        <f aca="false">IF($K642="","",INDEX(Base!$I$5:$I$2004,$K642))</f>
        <v/>
      </c>
      <c r="H642" s="70" t="str">
        <f aca="false">IF($K642="","",INDEX(Base!$J$5:$J$2004,$K642))</f>
        <v/>
      </c>
      <c r="I642" s="71" t="str">
        <f aca="false">IF($K642="","",INDEX(Base!$L$5:$L$2004,$K642))</f>
        <v/>
      </c>
      <c r="J642" s="72" t="str">
        <f aca="false">IFERROR(SMALL(Base!$P$5:$P$2004,ROW()-5),"")</f>
        <v/>
      </c>
      <c r="K642" s="72" t="str">
        <f aca="false">IF(J642="","",MATCH(J642,Base!$P$5:$P$2004,0))</f>
        <v/>
      </c>
    </row>
    <row r="643" customFormat="false" ht="15" hidden="false" customHeight="false" outlineLevel="0" collapsed="false">
      <c r="A643" s="67" t="str">
        <f aca="false">IF($K643="","",ROW()-5)</f>
        <v/>
      </c>
      <c r="B643" s="68" t="str">
        <f aca="false">IF($K643="","",INDEX(Base!$E$5:$E$2004,$K643))</f>
        <v/>
      </c>
      <c r="C643" s="69" t="str">
        <f aca="false">IF($K643="","",B643)</f>
        <v/>
      </c>
      <c r="D643" s="70" t="str">
        <f aca="false">IF($K643="","",INDEX(Base!$F$5:$F$2004,$K643))</f>
        <v/>
      </c>
      <c r="E643" s="70" t="str">
        <f aca="false">IF($K643="","",INDEX(Base!$G$5:$G$2004,$K643))</f>
        <v/>
      </c>
      <c r="F643" s="71" t="str">
        <f aca="false">IF($K643="","",INDEX(Base!$H$5:$H$2004,$K643))</f>
        <v/>
      </c>
      <c r="G643" s="71" t="str">
        <f aca="false">IF($K643="","",INDEX(Base!$I$5:$I$2004,$K643))</f>
        <v/>
      </c>
      <c r="H643" s="70" t="str">
        <f aca="false">IF($K643="","",INDEX(Base!$J$5:$J$2004,$K643))</f>
        <v/>
      </c>
      <c r="I643" s="71" t="str">
        <f aca="false">IF($K643="","",INDEX(Base!$L$5:$L$2004,$K643))</f>
        <v/>
      </c>
      <c r="J643" s="72" t="str">
        <f aca="false">IFERROR(SMALL(Base!$P$5:$P$2004,ROW()-5),"")</f>
        <v/>
      </c>
      <c r="K643" s="72" t="str">
        <f aca="false">IF(J643="","",MATCH(J643,Base!$P$5:$P$2004,0))</f>
        <v/>
      </c>
    </row>
    <row r="644" customFormat="false" ht="15" hidden="false" customHeight="false" outlineLevel="0" collapsed="false">
      <c r="A644" s="67" t="str">
        <f aca="false">IF($K644="","",ROW()-5)</f>
        <v/>
      </c>
      <c r="B644" s="68" t="str">
        <f aca="false">IF($K644="","",INDEX(Base!$E$5:$E$2004,$K644))</f>
        <v/>
      </c>
      <c r="C644" s="69" t="str">
        <f aca="false">IF($K644="","",B644)</f>
        <v/>
      </c>
      <c r="D644" s="70" t="str">
        <f aca="false">IF($K644="","",INDEX(Base!$F$5:$F$2004,$K644))</f>
        <v/>
      </c>
      <c r="E644" s="70" t="str">
        <f aca="false">IF($K644="","",INDEX(Base!$G$5:$G$2004,$K644))</f>
        <v/>
      </c>
      <c r="F644" s="71" t="str">
        <f aca="false">IF($K644="","",INDEX(Base!$H$5:$H$2004,$K644))</f>
        <v/>
      </c>
      <c r="G644" s="71" t="str">
        <f aca="false">IF($K644="","",INDEX(Base!$I$5:$I$2004,$K644))</f>
        <v/>
      </c>
      <c r="H644" s="70" t="str">
        <f aca="false">IF($K644="","",INDEX(Base!$J$5:$J$2004,$K644))</f>
        <v/>
      </c>
      <c r="I644" s="71" t="str">
        <f aca="false">IF($K644="","",INDEX(Base!$L$5:$L$2004,$K644))</f>
        <v/>
      </c>
      <c r="J644" s="72" t="str">
        <f aca="false">IFERROR(SMALL(Base!$P$5:$P$2004,ROW()-5),"")</f>
        <v/>
      </c>
      <c r="K644" s="72" t="str">
        <f aca="false">IF(J644="","",MATCH(J644,Base!$P$5:$P$2004,0))</f>
        <v/>
      </c>
    </row>
    <row r="645" customFormat="false" ht="15" hidden="false" customHeight="false" outlineLevel="0" collapsed="false">
      <c r="A645" s="67" t="str">
        <f aca="false">IF($K645="","",ROW()-5)</f>
        <v/>
      </c>
      <c r="B645" s="68" t="str">
        <f aca="false">IF($K645="","",INDEX(Base!$E$5:$E$2004,$K645))</f>
        <v/>
      </c>
      <c r="C645" s="69" t="str">
        <f aca="false">IF($K645="","",B645)</f>
        <v/>
      </c>
      <c r="D645" s="70" t="str">
        <f aca="false">IF($K645="","",INDEX(Base!$F$5:$F$2004,$K645))</f>
        <v/>
      </c>
      <c r="E645" s="70" t="str">
        <f aca="false">IF($K645="","",INDEX(Base!$G$5:$G$2004,$K645))</f>
        <v/>
      </c>
      <c r="F645" s="71" t="str">
        <f aca="false">IF($K645="","",INDEX(Base!$H$5:$H$2004,$K645))</f>
        <v/>
      </c>
      <c r="G645" s="71" t="str">
        <f aca="false">IF($K645="","",INDEX(Base!$I$5:$I$2004,$K645))</f>
        <v/>
      </c>
      <c r="H645" s="70" t="str">
        <f aca="false">IF($K645="","",INDEX(Base!$J$5:$J$2004,$K645))</f>
        <v/>
      </c>
      <c r="I645" s="71" t="str">
        <f aca="false">IF($K645="","",INDEX(Base!$L$5:$L$2004,$K645))</f>
        <v/>
      </c>
      <c r="J645" s="72" t="str">
        <f aca="false">IFERROR(SMALL(Base!$P$5:$P$2004,ROW()-5),"")</f>
        <v/>
      </c>
      <c r="K645" s="72" t="str">
        <f aca="false">IF(J645="","",MATCH(J645,Base!$P$5:$P$2004,0))</f>
        <v/>
      </c>
    </row>
    <row r="646" customFormat="false" ht="15" hidden="false" customHeight="false" outlineLevel="0" collapsed="false">
      <c r="A646" s="67" t="str">
        <f aca="false">IF($K646="","",ROW()-5)</f>
        <v/>
      </c>
      <c r="B646" s="68" t="str">
        <f aca="false">IF($K646="","",INDEX(Base!$E$5:$E$2004,$K646))</f>
        <v/>
      </c>
      <c r="C646" s="69" t="str">
        <f aca="false">IF($K646="","",B646)</f>
        <v/>
      </c>
      <c r="D646" s="70" t="str">
        <f aca="false">IF($K646="","",INDEX(Base!$F$5:$F$2004,$K646))</f>
        <v/>
      </c>
      <c r="E646" s="70" t="str">
        <f aca="false">IF($K646="","",INDEX(Base!$G$5:$G$2004,$K646))</f>
        <v/>
      </c>
      <c r="F646" s="71" t="str">
        <f aca="false">IF($K646="","",INDEX(Base!$H$5:$H$2004,$K646))</f>
        <v/>
      </c>
      <c r="G646" s="71" t="str">
        <f aca="false">IF($K646="","",INDEX(Base!$I$5:$I$2004,$K646))</f>
        <v/>
      </c>
      <c r="H646" s="70" t="str">
        <f aca="false">IF($K646="","",INDEX(Base!$J$5:$J$2004,$K646))</f>
        <v/>
      </c>
      <c r="I646" s="71" t="str">
        <f aca="false">IF($K646="","",INDEX(Base!$L$5:$L$2004,$K646))</f>
        <v/>
      </c>
      <c r="J646" s="72" t="str">
        <f aca="false">IFERROR(SMALL(Base!$P$5:$P$2004,ROW()-5),"")</f>
        <v/>
      </c>
      <c r="K646" s="72" t="str">
        <f aca="false">IF(J646="","",MATCH(J646,Base!$P$5:$P$2004,0))</f>
        <v/>
      </c>
    </row>
    <row r="647" customFormat="false" ht="15" hidden="false" customHeight="false" outlineLevel="0" collapsed="false">
      <c r="A647" s="67" t="str">
        <f aca="false">IF($K647="","",ROW()-5)</f>
        <v/>
      </c>
      <c r="B647" s="68" t="str">
        <f aca="false">IF($K647="","",INDEX(Base!$E$5:$E$2004,$K647))</f>
        <v/>
      </c>
      <c r="C647" s="69" t="str">
        <f aca="false">IF($K647="","",B647)</f>
        <v/>
      </c>
      <c r="D647" s="70" t="str">
        <f aca="false">IF($K647="","",INDEX(Base!$F$5:$F$2004,$K647))</f>
        <v/>
      </c>
      <c r="E647" s="70" t="str">
        <f aca="false">IF($K647="","",INDEX(Base!$G$5:$G$2004,$K647))</f>
        <v/>
      </c>
      <c r="F647" s="71" t="str">
        <f aca="false">IF($K647="","",INDEX(Base!$H$5:$H$2004,$K647))</f>
        <v/>
      </c>
      <c r="G647" s="71" t="str">
        <f aca="false">IF($K647="","",INDEX(Base!$I$5:$I$2004,$K647))</f>
        <v/>
      </c>
      <c r="H647" s="70" t="str">
        <f aca="false">IF($K647="","",INDEX(Base!$J$5:$J$2004,$K647))</f>
        <v/>
      </c>
      <c r="I647" s="71" t="str">
        <f aca="false">IF($K647="","",INDEX(Base!$L$5:$L$2004,$K647))</f>
        <v/>
      </c>
      <c r="J647" s="72" t="str">
        <f aca="false">IFERROR(SMALL(Base!$P$5:$P$2004,ROW()-5),"")</f>
        <v/>
      </c>
      <c r="K647" s="72" t="str">
        <f aca="false">IF(J647="","",MATCH(J647,Base!$P$5:$P$2004,0))</f>
        <v/>
      </c>
    </row>
    <row r="648" customFormat="false" ht="15" hidden="false" customHeight="false" outlineLevel="0" collapsed="false">
      <c r="A648" s="67" t="str">
        <f aca="false">IF($K648="","",ROW()-5)</f>
        <v/>
      </c>
      <c r="B648" s="68" t="str">
        <f aca="false">IF($K648="","",INDEX(Base!$E$5:$E$2004,$K648))</f>
        <v/>
      </c>
      <c r="C648" s="69" t="str">
        <f aca="false">IF($K648="","",B648)</f>
        <v/>
      </c>
      <c r="D648" s="70" t="str">
        <f aca="false">IF($K648="","",INDEX(Base!$F$5:$F$2004,$K648))</f>
        <v/>
      </c>
      <c r="E648" s="70" t="str">
        <f aca="false">IF($K648="","",INDEX(Base!$G$5:$G$2004,$K648))</f>
        <v/>
      </c>
      <c r="F648" s="71" t="str">
        <f aca="false">IF($K648="","",INDEX(Base!$H$5:$H$2004,$K648))</f>
        <v/>
      </c>
      <c r="G648" s="71" t="str">
        <f aca="false">IF($K648="","",INDEX(Base!$I$5:$I$2004,$K648))</f>
        <v/>
      </c>
      <c r="H648" s="70" t="str">
        <f aca="false">IF($K648="","",INDEX(Base!$J$5:$J$2004,$K648))</f>
        <v/>
      </c>
      <c r="I648" s="71" t="str">
        <f aca="false">IF($K648="","",INDEX(Base!$L$5:$L$2004,$K648))</f>
        <v/>
      </c>
      <c r="J648" s="72" t="str">
        <f aca="false">IFERROR(SMALL(Base!$P$5:$P$2004,ROW()-5),"")</f>
        <v/>
      </c>
      <c r="K648" s="72" t="str">
        <f aca="false">IF(J648="","",MATCH(J648,Base!$P$5:$P$2004,0))</f>
        <v/>
      </c>
    </row>
    <row r="649" customFormat="false" ht="15" hidden="false" customHeight="false" outlineLevel="0" collapsed="false">
      <c r="A649" s="67" t="str">
        <f aca="false">IF($K649="","",ROW()-5)</f>
        <v/>
      </c>
      <c r="B649" s="68" t="str">
        <f aca="false">IF($K649="","",INDEX(Base!$E$5:$E$2004,$K649))</f>
        <v/>
      </c>
      <c r="C649" s="69" t="str">
        <f aca="false">IF($K649="","",B649)</f>
        <v/>
      </c>
      <c r="D649" s="70" t="str">
        <f aca="false">IF($K649="","",INDEX(Base!$F$5:$F$2004,$K649))</f>
        <v/>
      </c>
      <c r="E649" s="70" t="str">
        <f aca="false">IF($K649="","",INDEX(Base!$G$5:$G$2004,$K649))</f>
        <v/>
      </c>
      <c r="F649" s="71" t="str">
        <f aca="false">IF($K649="","",INDEX(Base!$H$5:$H$2004,$K649))</f>
        <v/>
      </c>
      <c r="G649" s="71" t="str">
        <f aca="false">IF($K649="","",INDEX(Base!$I$5:$I$2004,$K649))</f>
        <v/>
      </c>
      <c r="H649" s="70" t="str">
        <f aca="false">IF($K649="","",INDEX(Base!$J$5:$J$2004,$K649))</f>
        <v/>
      </c>
      <c r="I649" s="71" t="str">
        <f aca="false">IF($K649="","",INDEX(Base!$L$5:$L$2004,$K649))</f>
        <v/>
      </c>
      <c r="J649" s="72" t="str">
        <f aca="false">IFERROR(SMALL(Base!$P$5:$P$2004,ROW()-5),"")</f>
        <v/>
      </c>
      <c r="K649" s="72" t="str">
        <f aca="false">IF(J649="","",MATCH(J649,Base!$P$5:$P$2004,0))</f>
        <v/>
      </c>
    </row>
    <row r="650" customFormat="false" ht="15" hidden="false" customHeight="false" outlineLevel="0" collapsed="false">
      <c r="A650" s="67" t="str">
        <f aca="false">IF($K650="","",ROW()-5)</f>
        <v/>
      </c>
      <c r="B650" s="68" t="str">
        <f aca="false">IF($K650="","",INDEX(Base!$E$5:$E$2004,$K650))</f>
        <v/>
      </c>
      <c r="C650" s="69" t="str">
        <f aca="false">IF($K650="","",B650)</f>
        <v/>
      </c>
      <c r="D650" s="70" t="str">
        <f aca="false">IF($K650="","",INDEX(Base!$F$5:$F$2004,$K650))</f>
        <v/>
      </c>
      <c r="E650" s="70" t="str">
        <f aca="false">IF($K650="","",INDEX(Base!$G$5:$G$2004,$K650))</f>
        <v/>
      </c>
      <c r="F650" s="71" t="str">
        <f aca="false">IF($K650="","",INDEX(Base!$H$5:$H$2004,$K650))</f>
        <v/>
      </c>
      <c r="G650" s="71" t="str">
        <f aca="false">IF($K650="","",INDEX(Base!$I$5:$I$2004,$K650))</f>
        <v/>
      </c>
      <c r="H650" s="70" t="str">
        <f aca="false">IF($K650="","",INDEX(Base!$J$5:$J$2004,$K650))</f>
        <v/>
      </c>
      <c r="I650" s="71" t="str">
        <f aca="false">IF($K650="","",INDEX(Base!$L$5:$L$2004,$K650))</f>
        <v/>
      </c>
      <c r="J650" s="72" t="str">
        <f aca="false">IFERROR(SMALL(Base!$P$5:$P$2004,ROW()-5),"")</f>
        <v/>
      </c>
      <c r="K650" s="72" t="str">
        <f aca="false">IF(J650="","",MATCH(J650,Base!$P$5:$P$2004,0))</f>
        <v/>
      </c>
    </row>
    <row r="651" customFormat="false" ht="15" hidden="false" customHeight="false" outlineLevel="0" collapsed="false">
      <c r="A651" s="67" t="str">
        <f aca="false">IF($K651="","",ROW()-5)</f>
        <v/>
      </c>
      <c r="B651" s="68" t="str">
        <f aca="false">IF($K651="","",INDEX(Base!$E$5:$E$2004,$K651))</f>
        <v/>
      </c>
      <c r="C651" s="69" t="str">
        <f aca="false">IF($K651="","",B651)</f>
        <v/>
      </c>
      <c r="D651" s="70" t="str">
        <f aca="false">IF($K651="","",INDEX(Base!$F$5:$F$2004,$K651))</f>
        <v/>
      </c>
      <c r="E651" s="70" t="str">
        <f aca="false">IF($K651="","",INDEX(Base!$G$5:$G$2004,$K651))</f>
        <v/>
      </c>
      <c r="F651" s="71" t="str">
        <f aca="false">IF($K651="","",INDEX(Base!$H$5:$H$2004,$K651))</f>
        <v/>
      </c>
      <c r="G651" s="71" t="str">
        <f aca="false">IF($K651="","",INDEX(Base!$I$5:$I$2004,$K651))</f>
        <v/>
      </c>
      <c r="H651" s="70" t="str">
        <f aca="false">IF($K651="","",INDEX(Base!$J$5:$J$2004,$K651))</f>
        <v/>
      </c>
      <c r="I651" s="71" t="str">
        <f aca="false">IF($K651="","",INDEX(Base!$L$5:$L$2004,$K651))</f>
        <v/>
      </c>
      <c r="J651" s="72" t="str">
        <f aca="false">IFERROR(SMALL(Base!$P$5:$P$2004,ROW()-5),"")</f>
        <v/>
      </c>
      <c r="K651" s="72" t="str">
        <f aca="false">IF(J651="","",MATCH(J651,Base!$P$5:$P$2004,0))</f>
        <v/>
      </c>
    </row>
    <row r="652" customFormat="false" ht="15" hidden="false" customHeight="false" outlineLevel="0" collapsed="false">
      <c r="A652" s="67" t="str">
        <f aca="false">IF($K652="","",ROW()-5)</f>
        <v/>
      </c>
      <c r="B652" s="68" t="str">
        <f aca="false">IF($K652="","",INDEX(Base!$E$5:$E$2004,$K652))</f>
        <v/>
      </c>
      <c r="C652" s="69" t="str">
        <f aca="false">IF($K652="","",B652)</f>
        <v/>
      </c>
      <c r="D652" s="70" t="str">
        <f aca="false">IF($K652="","",INDEX(Base!$F$5:$F$2004,$K652))</f>
        <v/>
      </c>
      <c r="E652" s="70" t="str">
        <f aca="false">IF($K652="","",INDEX(Base!$G$5:$G$2004,$K652))</f>
        <v/>
      </c>
      <c r="F652" s="71" t="str">
        <f aca="false">IF($K652="","",INDEX(Base!$H$5:$H$2004,$K652))</f>
        <v/>
      </c>
      <c r="G652" s="71" t="str">
        <f aca="false">IF($K652="","",INDEX(Base!$I$5:$I$2004,$K652))</f>
        <v/>
      </c>
      <c r="H652" s="70" t="str">
        <f aca="false">IF($K652="","",INDEX(Base!$J$5:$J$2004,$K652))</f>
        <v/>
      </c>
      <c r="I652" s="71" t="str">
        <f aca="false">IF($K652="","",INDEX(Base!$L$5:$L$2004,$K652))</f>
        <v/>
      </c>
      <c r="J652" s="72" t="str">
        <f aca="false">IFERROR(SMALL(Base!$P$5:$P$2004,ROW()-5),"")</f>
        <v/>
      </c>
      <c r="K652" s="72" t="str">
        <f aca="false">IF(J652="","",MATCH(J652,Base!$P$5:$P$2004,0))</f>
        <v/>
      </c>
    </row>
    <row r="653" customFormat="false" ht="15" hidden="false" customHeight="false" outlineLevel="0" collapsed="false">
      <c r="A653" s="67" t="str">
        <f aca="false">IF($K653="","",ROW()-5)</f>
        <v/>
      </c>
      <c r="B653" s="68" t="str">
        <f aca="false">IF($K653="","",INDEX(Base!$E$5:$E$2004,$K653))</f>
        <v/>
      </c>
      <c r="C653" s="69" t="str">
        <f aca="false">IF($K653="","",B653)</f>
        <v/>
      </c>
      <c r="D653" s="70" t="str">
        <f aca="false">IF($K653="","",INDEX(Base!$F$5:$F$2004,$K653))</f>
        <v/>
      </c>
      <c r="E653" s="70" t="str">
        <f aca="false">IF($K653="","",INDEX(Base!$G$5:$G$2004,$K653))</f>
        <v/>
      </c>
      <c r="F653" s="71" t="str">
        <f aca="false">IF($K653="","",INDEX(Base!$H$5:$H$2004,$K653))</f>
        <v/>
      </c>
      <c r="G653" s="71" t="str">
        <f aca="false">IF($K653="","",INDEX(Base!$I$5:$I$2004,$K653))</f>
        <v/>
      </c>
      <c r="H653" s="70" t="str">
        <f aca="false">IF($K653="","",INDEX(Base!$J$5:$J$2004,$K653))</f>
        <v/>
      </c>
      <c r="I653" s="71" t="str">
        <f aca="false">IF($K653="","",INDEX(Base!$L$5:$L$2004,$K653))</f>
        <v/>
      </c>
      <c r="J653" s="72" t="str">
        <f aca="false">IFERROR(SMALL(Base!$P$5:$P$2004,ROW()-5),"")</f>
        <v/>
      </c>
      <c r="K653" s="72" t="str">
        <f aca="false">IF(J653="","",MATCH(J653,Base!$P$5:$P$2004,0))</f>
        <v/>
      </c>
    </row>
    <row r="654" customFormat="false" ht="15" hidden="false" customHeight="false" outlineLevel="0" collapsed="false">
      <c r="A654" s="67" t="str">
        <f aca="false">IF($K654="","",ROW()-5)</f>
        <v/>
      </c>
      <c r="B654" s="68" t="str">
        <f aca="false">IF($K654="","",INDEX(Base!$E$5:$E$2004,$K654))</f>
        <v/>
      </c>
      <c r="C654" s="69" t="str">
        <f aca="false">IF($K654="","",B654)</f>
        <v/>
      </c>
      <c r="D654" s="70" t="str">
        <f aca="false">IF($K654="","",INDEX(Base!$F$5:$F$2004,$K654))</f>
        <v/>
      </c>
      <c r="E654" s="70" t="str">
        <f aca="false">IF($K654="","",INDEX(Base!$G$5:$G$2004,$K654))</f>
        <v/>
      </c>
      <c r="F654" s="71" t="str">
        <f aca="false">IF($K654="","",INDEX(Base!$H$5:$H$2004,$K654))</f>
        <v/>
      </c>
      <c r="G654" s="71" t="str">
        <f aca="false">IF($K654="","",INDEX(Base!$I$5:$I$2004,$K654))</f>
        <v/>
      </c>
      <c r="H654" s="70" t="str">
        <f aca="false">IF($K654="","",INDEX(Base!$J$5:$J$2004,$K654))</f>
        <v/>
      </c>
      <c r="I654" s="71" t="str">
        <f aca="false">IF($K654="","",INDEX(Base!$L$5:$L$2004,$K654))</f>
        <v/>
      </c>
      <c r="J654" s="72" t="str">
        <f aca="false">IFERROR(SMALL(Base!$P$5:$P$2004,ROW()-5),"")</f>
        <v/>
      </c>
      <c r="K654" s="72" t="str">
        <f aca="false">IF(J654="","",MATCH(J654,Base!$P$5:$P$2004,0))</f>
        <v/>
      </c>
    </row>
    <row r="655" customFormat="false" ht="15" hidden="false" customHeight="false" outlineLevel="0" collapsed="false">
      <c r="A655" s="67" t="str">
        <f aca="false">IF($K655="","",ROW()-5)</f>
        <v/>
      </c>
      <c r="B655" s="68" t="str">
        <f aca="false">IF($K655="","",INDEX(Base!$E$5:$E$2004,$K655))</f>
        <v/>
      </c>
      <c r="C655" s="69" t="str">
        <f aca="false">IF($K655="","",B655)</f>
        <v/>
      </c>
      <c r="D655" s="70" t="str">
        <f aca="false">IF($K655="","",INDEX(Base!$F$5:$F$2004,$K655))</f>
        <v/>
      </c>
      <c r="E655" s="70" t="str">
        <f aca="false">IF($K655="","",INDEX(Base!$G$5:$G$2004,$K655))</f>
        <v/>
      </c>
      <c r="F655" s="71" t="str">
        <f aca="false">IF($K655="","",INDEX(Base!$H$5:$H$2004,$K655))</f>
        <v/>
      </c>
      <c r="G655" s="71" t="str">
        <f aca="false">IF($K655="","",INDEX(Base!$I$5:$I$2004,$K655))</f>
        <v/>
      </c>
      <c r="H655" s="70" t="str">
        <f aca="false">IF($K655="","",INDEX(Base!$J$5:$J$2004,$K655))</f>
        <v/>
      </c>
      <c r="I655" s="71" t="str">
        <f aca="false">IF($K655="","",INDEX(Base!$L$5:$L$2004,$K655))</f>
        <v/>
      </c>
      <c r="J655" s="72" t="str">
        <f aca="false">IFERROR(SMALL(Base!$P$5:$P$2004,ROW()-5),"")</f>
        <v/>
      </c>
      <c r="K655" s="72" t="str">
        <f aca="false">IF(J655="","",MATCH(J655,Base!$P$5:$P$2004,0))</f>
        <v/>
      </c>
    </row>
    <row r="656" customFormat="false" ht="15" hidden="false" customHeight="false" outlineLevel="0" collapsed="false">
      <c r="A656" s="67" t="str">
        <f aca="false">IF($K656="","",ROW()-5)</f>
        <v/>
      </c>
      <c r="B656" s="68" t="str">
        <f aca="false">IF($K656="","",INDEX(Base!$E$5:$E$2004,$K656))</f>
        <v/>
      </c>
      <c r="C656" s="69" t="str">
        <f aca="false">IF($K656="","",B656)</f>
        <v/>
      </c>
      <c r="D656" s="70" t="str">
        <f aca="false">IF($K656="","",INDEX(Base!$F$5:$F$2004,$K656))</f>
        <v/>
      </c>
      <c r="E656" s="70" t="str">
        <f aca="false">IF($K656="","",INDEX(Base!$G$5:$G$2004,$K656))</f>
        <v/>
      </c>
      <c r="F656" s="71" t="str">
        <f aca="false">IF($K656="","",INDEX(Base!$H$5:$H$2004,$K656))</f>
        <v/>
      </c>
      <c r="G656" s="71" t="str">
        <f aca="false">IF($K656="","",INDEX(Base!$I$5:$I$2004,$K656))</f>
        <v/>
      </c>
      <c r="H656" s="70" t="str">
        <f aca="false">IF($K656="","",INDEX(Base!$J$5:$J$2004,$K656))</f>
        <v/>
      </c>
      <c r="I656" s="71" t="str">
        <f aca="false">IF($K656="","",INDEX(Base!$L$5:$L$2004,$K656))</f>
        <v/>
      </c>
      <c r="J656" s="72" t="str">
        <f aca="false">IFERROR(SMALL(Base!$P$5:$P$2004,ROW()-5),"")</f>
        <v/>
      </c>
      <c r="K656" s="72" t="str">
        <f aca="false">IF(J656="","",MATCH(J656,Base!$P$5:$P$2004,0))</f>
        <v/>
      </c>
    </row>
    <row r="657" customFormat="false" ht="15" hidden="false" customHeight="false" outlineLevel="0" collapsed="false">
      <c r="A657" s="67" t="str">
        <f aca="false">IF($K657="","",ROW()-5)</f>
        <v/>
      </c>
      <c r="B657" s="68" t="str">
        <f aca="false">IF($K657="","",INDEX(Base!$E$5:$E$2004,$K657))</f>
        <v/>
      </c>
      <c r="C657" s="69" t="str">
        <f aca="false">IF($K657="","",B657)</f>
        <v/>
      </c>
      <c r="D657" s="70" t="str">
        <f aca="false">IF($K657="","",INDEX(Base!$F$5:$F$2004,$K657))</f>
        <v/>
      </c>
      <c r="E657" s="70" t="str">
        <f aca="false">IF($K657="","",INDEX(Base!$G$5:$G$2004,$K657))</f>
        <v/>
      </c>
      <c r="F657" s="71" t="str">
        <f aca="false">IF($K657="","",INDEX(Base!$H$5:$H$2004,$K657))</f>
        <v/>
      </c>
      <c r="G657" s="71" t="str">
        <f aca="false">IF($K657="","",INDEX(Base!$I$5:$I$2004,$K657))</f>
        <v/>
      </c>
      <c r="H657" s="70" t="str">
        <f aca="false">IF($K657="","",INDEX(Base!$J$5:$J$2004,$K657))</f>
        <v/>
      </c>
      <c r="I657" s="71" t="str">
        <f aca="false">IF($K657="","",INDEX(Base!$L$5:$L$2004,$K657))</f>
        <v/>
      </c>
      <c r="J657" s="72" t="str">
        <f aca="false">IFERROR(SMALL(Base!$P$5:$P$2004,ROW()-5),"")</f>
        <v/>
      </c>
      <c r="K657" s="72" t="str">
        <f aca="false">IF(J657="","",MATCH(J657,Base!$P$5:$P$2004,0))</f>
        <v/>
      </c>
    </row>
    <row r="658" customFormat="false" ht="15" hidden="false" customHeight="false" outlineLevel="0" collapsed="false">
      <c r="A658" s="67" t="str">
        <f aca="false">IF($K658="","",ROW()-5)</f>
        <v/>
      </c>
      <c r="B658" s="68" t="str">
        <f aca="false">IF($K658="","",INDEX(Base!$E$5:$E$2004,$K658))</f>
        <v/>
      </c>
      <c r="C658" s="69" t="str">
        <f aca="false">IF($K658="","",B658)</f>
        <v/>
      </c>
      <c r="D658" s="70" t="str">
        <f aca="false">IF($K658="","",INDEX(Base!$F$5:$F$2004,$K658))</f>
        <v/>
      </c>
      <c r="E658" s="70" t="str">
        <f aca="false">IF($K658="","",INDEX(Base!$G$5:$G$2004,$K658))</f>
        <v/>
      </c>
      <c r="F658" s="71" t="str">
        <f aca="false">IF($K658="","",INDEX(Base!$H$5:$H$2004,$K658))</f>
        <v/>
      </c>
      <c r="G658" s="71" t="str">
        <f aca="false">IF($K658="","",INDEX(Base!$I$5:$I$2004,$K658))</f>
        <v/>
      </c>
      <c r="H658" s="70" t="str">
        <f aca="false">IF($K658="","",INDEX(Base!$J$5:$J$2004,$K658))</f>
        <v/>
      </c>
      <c r="I658" s="71" t="str">
        <f aca="false">IF($K658="","",INDEX(Base!$L$5:$L$2004,$K658))</f>
        <v/>
      </c>
      <c r="J658" s="72" t="str">
        <f aca="false">IFERROR(SMALL(Base!$P$5:$P$2004,ROW()-5),"")</f>
        <v/>
      </c>
      <c r="K658" s="72" t="str">
        <f aca="false">IF(J658="","",MATCH(J658,Base!$P$5:$P$2004,0))</f>
        <v/>
      </c>
    </row>
    <row r="659" customFormat="false" ht="15" hidden="false" customHeight="false" outlineLevel="0" collapsed="false">
      <c r="A659" s="67" t="str">
        <f aca="false">IF($K659="","",ROW()-5)</f>
        <v/>
      </c>
      <c r="B659" s="68" t="str">
        <f aca="false">IF($K659="","",INDEX(Base!$E$5:$E$2004,$K659))</f>
        <v/>
      </c>
      <c r="C659" s="69" t="str">
        <f aca="false">IF($K659="","",B659)</f>
        <v/>
      </c>
      <c r="D659" s="70" t="str">
        <f aca="false">IF($K659="","",INDEX(Base!$F$5:$F$2004,$K659))</f>
        <v/>
      </c>
      <c r="E659" s="70" t="str">
        <f aca="false">IF($K659="","",INDEX(Base!$G$5:$G$2004,$K659))</f>
        <v/>
      </c>
      <c r="F659" s="71" t="str">
        <f aca="false">IF($K659="","",INDEX(Base!$H$5:$H$2004,$K659))</f>
        <v/>
      </c>
      <c r="G659" s="71" t="str">
        <f aca="false">IF($K659="","",INDEX(Base!$I$5:$I$2004,$K659))</f>
        <v/>
      </c>
      <c r="H659" s="70" t="str">
        <f aca="false">IF($K659="","",INDEX(Base!$J$5:$J$2004,$K659))</f>
        <v/>
      </c>
      <c r="I659" s="71" t="str">
        <f aca="false">IF($K659="","",INDEX(Base!$L$5:$L$2004,$K659))</f>
        <v/>
      </c>
      <c r="J659" s="72" t="str">
        <f aca="false">IFERROR(SMALL(Base!$P$5:$P$2004,ROW()-5),"")</f>
        <v/>
      </c>
      <c r="K659" s="72" t="str">
        <f aca="false">IF(J659="","",MATCH(J659,Base!$P$5:$P$2004,0))</f>
        <v/>
      </c>
    </row>
    <row r="660" customFormat="false" ht="15" hidden="false" customHeight="false" outlineLevel="0" collapsed="false">
      <c r="A660" s="67" t="str">
        <f aca="false">IF($K660="","",ROW()-5)</f>
        <v/>
      </c>
      <c r="B660" s="68" t="str">
        <f aca="false">IF($K660="","",INDEX(Base!$E$5:$E$2004,$K660))</f>
        <v/>
      </c>
      <c r="C660" s="69" t="str">
        <f aca="false">IF($K660="","",B660)</f>
        <v/>
      </c>
      <c r="D660" s="70" t="str">
        <f aca="false">IF($K660="","",INDEX(Base!$F$5:$F$2004,$K660))</f>
        <v/>
      </c>
      <c r="E660" s="70" t="str">
        <f aca="false">IF($K660="","",INDEX(Base!$G$5:$G$2004,$K660))</f>
        <v/>
      </c>
      <c r="F660" s="71" t="str">
        <f aca="false">IF($K660="","",INDEX(Base!$H$5:$H$2004,$K660))</f>
        <v/>
      </c>
      <c r="G660" s="71" t="str">
        <f aca="false">IF($K660="","",INDEX(Base!$I$5:$I$2004,$K660))</f>
        <v/>
      </c>
      <c r="H660" s="70" t="str">
        <f aca="false">IF($K660="","",INDEX(Base!$J$5:$J$2004,$K660))</f>
        <v/>
      </c>
      <c r="I660" s="71" t="str">
        <f aca="false">IF($K660="","",INDEX(Base!$L$5:$L$2004,$K660))</f>
        <v/>
      </c>
      <c r="J660" s="72" t="str">
        <f aca="false">IFERROR(SMALL(Base!$P$5:$P$2004,ROW()-5),"")</f>
        <v/>
      </c>
      <c r="K660" s="72" t="str">
        <f aca="false">IF(J660="","",MATCH(J660,Base!$P$5:$P$2004,0))</f>
        <v/>
      </c>
    </row>
    <row r="661" customFormat="false" ht="15" hidden="false" customHeight="false" outlineLevel="0" collapsed="false">
      <c r="A661" s="67" t="str">
        <f aca="false">IF($K661="","",ROW()-5)</f>
        <v/>
      </c>
      <c r="B661" s="68" t="str">
        <f aca="false">IF($K661="","",INDEX(Base!$E$5:$E$2004,$K661))</f>
        <v/>
      </c>
      <c r="C661" s="69" t="str">
        <f aca="false">IF($K661="","",B661)</f>
        <v/>
      </c>
      <c r="D661" s="70" t="str">
        <f aca="false">IF($K661="","",INDEX(Base!$F$5:$F$2004,$K661))</f>
        <v/>
      </c>
      <c r="E661" s="70" t="str">
        <f aca="false">IF($K661="","",INDEX(Base!$G$5:$G$2004,$K661))</f>
        <v/>
      </c>
      <c r="F661" s="71" t="str">
        <f aca="false">IF($K661="","",INDEX(Base!$H$5:$H$2004,$K661))</f>
        <v/>
      </c>
      <c r="G661" s="71" t="str">
        <f aca="false">IF($K661="","",INDEX(Base!$I$5:$I$2004,$K661))</f>
        <v/>
      </c>
      <c r="H661" s="70" t="str">
        <f aca="false">IF($K661="","",INDEX(Base!$J$5:$J$2004,$K661))</f>
        <v/>
      </c>
      <c r="I661" s="71" t="str">
        <f aca="false">IF($K661="","",INDEX(Base!$L$5:$L$2004,$K661))</f>
        <v/>
      </c>
      <c r="J661" s="72" t="str">
        <f aca="false">IFERROR(SMALL(Base!$P$5:$P$2004,ROW()-5),"")</f>
        <v/>
      </c>
      <c r="K661" s="72" t="str">
        <f aca="false">IF(J661="","",MATCH(J661,Base!$P$5:$P$2004,0))</f>
        <v/>
      </c>
    </row>
    <row r="662" customFormat="false" ht="15" hidden="false" customHeight="false" outlineLevel="0" collapsed="false">
      <c r="A662" s="67" t="str">
        <f aca="false">IF($K662="","",ROW()-5)</f>
        <v/>
      </c>
      <c r="B662" s="68" t="str">
        <f aca="false">IF($K662="","",INDEX(Base!$E$5:$E$2004,$K662))</f>
        <v/>
      </c>
      <c r="C662" s="69" t="str">
        <f aca="false">IF($K662="","",B662)</f>
        <v/>
      </c>
      <c r="D662" s="70" t="str">
        <f aca="false">IF($K662="","",INDEX(Base!$F$5:$F$2004,$K662))</f>
        <v/>
      </c>
      <c r="E662" s="70" t="str">
        <f aca="false">IF($K662="","",INDEX(Base!$G$5:$G$2004,$K662))</f>
        <v/>
      </c>
      <c r="F662" s="71" t="str">
        <f aca="false">IF($K662="","",INDEX(Base!$H$5:$H$2004,$K662))</f>
        <v/>
      </c>
      <c r="G662" s="71" t="str">
        <f aca="false">IF($K662="","",INDEX(Base!$I$5:$I$2004,$K662))</f>
        <v/>
      </c>
      <c r="H662" s="70" t="str">
        <f aca="false">IF($K662="","",INDEX(Base!$J$5:$J$2004,$K662))</f>
        <v/>
      </c>
      <c r="I662" s="71" t="str">
        <f aca="false">IF($K662="","",INDEX(Base!$L$5:$L$2004,$K662))</f>
        <v/>
      </c>
      <c r="J662" s="72" t="str">
        <f aca="false">IFERROR(SMALL(Base!$P$5:$P$2004,ROW()-5),"")</f>
        <v/>
      </c>
      <c r="K662" s="72" t="str">
        <f aca="false">IF(J662="","",MATCH(J662,Base!$P$5:$P$2004,0))</f>
        <v/>
      </c>
    </row>
    <row r="663" customFormat="false" ht="15" hidden="false" customHeight="false" outlineLevel="0" collapsed="false">
      <c r="A663" s="67" t="str">
        <f aca="false">IF($K663="","",ROW()-5)</f>
        <v/>
      </c>
      <c r="B663" s="68" t="str">
        <f aca="false">IF($K663="","",INDEX(Base!$E$5:$E$2004,$K663))</f>
        <v/>
      </c>
      <c r="C663" s="69" t="str">
        <f aca="false">IF($K663="","",B663)</f>
        <v/>
      </c>
      <c r="D663" s="70" t="str">
        <f aca="false">IF($K663="","",INDEX(Base!$F$5:$F$2004,$K663))</f>
        <v/>
      </c>
      <c r="E663" s="70" t="str">
        <f aca="false">IF($K663="","",INDEX(Base!$G$5:$G$2004,$K663))</f>
        <v/>
      </c>
      <c r="F663" s="71" t="str">
        <f aca="false">IF($K663="","",INDEX(Base!$H$5:$H$2004,$K663))</f>
        <v/>
      </c>
      <c r="G663" s="71" t="str">
        <f aca="false">IF($K663="","",INDEX(Base!$I$5:$I$2004,$K663))</f>
        <v/>
      </c>
      <c r="H663" s="70" t="str">
        <f aca="false">IF($K663="","",INDEX(Base!$J$5:$J$2004,$K663))</f>
        <v/>
      </c>
      <c r="I663" s="71" t="str">
        <f aca="false">IF($K663="","",INDEX(Base!$L$5:$L$2004,$K663))</f>
        <v/>
      </c>
      <c r="J663" s="72" t="str">
        <f aca="false">IFERROR(SMALL(Base!$P$5:$P$2004,ROW()-5),"")</f>
        <v/>
      </c>
      <c r="K663" s="72" t="str">
        <f aca="false">IF(J663="","",MATCH(J663,Base!$P$5:$P$2004,0))</f>
        <v/>
      </c>
    </row>
    <row r="664" customFormat="false" ht="15" hidden="false" customHeight="false" outlineLevel="0" collapsed="false">
      <c r="A664" s="67" t="str">
        <f aca="false">IF($K664="","",ROW()-5)</f>
        <v/>
      </c>
      <c r="B664" s="68" t="str">
        <f aca="false">IF($K664="","",INDEX(Base!$E$5:$E$2004,$K664))</f>
        <v/>
      </c>
      <c r="C664" s="69" t="str">
        <f aca="false">IF($K664="","",B664)</f>
        <v/>
      </c>
      <c r="D664" s="70" t="str">
        <f aca="false">IF($K664="","",INDEX(Base!$F$5:$F$2004,$K664))</f>
        <v/>
      </c>
      <c r="E664" s="70" t="str">
        <f aca="false">IF($K664="","",INDEX(Base!$G$5:$G$2004,$K664))</f>
        <v/>
      </c>
      <c r="F664" s="71" t="str">
        <f aca="false">IF($K664="","",INDEX(Base!$H$5:$H$2004,$K664))</f>
        <v/>
      </c>
      <c r="G664" s="71" t="str">
        <f aca="false">IF($K664="","",INDEX(Base!$I$5:$I$2004,$K664))</f>
        <v/>
      </c>
      <c r="H664" s="70" t="str">
        <f aca="false">IF($K664="","",INDEX(Base!$J$5:$J$2004,$K664))</f>
        <v/>
      </c>
      <c r="I664" s="71" t="str">
        <f aca="false">IF($K664="","",INDEX(Base!$L$5:$L$2004,$K664))</f>
        <v/>
      </c>
      <c r="J664" s="72" t="str">
        <f aca="false">IFERROR(SMALL(Base!$P$5:$P$2004,ROW()-5),"")</f>
        <v/>
      </c>
      <c r="K664" s="72" t="str">
        <f aca="false">IF(J664="","",MATCH(J664,Base!$P$5:$P$2004,0))</f>
        <v/>
      </c>
    </row>
    <row r="665" customFormat="false" ht="15" hidden="false" customHeight="false" outlineLevel="0" collapsed="false">
      <c r="A665" s="67" t="str">
        <f aca="false">IF($K665="","",ROW()-5)</f>
        <v/>
      </c>
      <c r="B665" s="68" t="str">
        <f aca="false">IF($K665="","",INDEX(Base!$E$5:$E$2004,$K665))</f>
        <v/>
      </c>
      <c r="C665" s="69" t="str">
        <f aca="false">IF($K665="","",B665)</f>
        <v/>
      </c>
      <c r="D665" s="70" t="str">
        <f aca="false">IF($K665="","",INDEX(Base!$F$5:$F$2004,$K665))</f>
        <v/>
      </c>
      <c r="E665" s="70" t="str">
        <f aca="false">IF($K665="","",INDEX(Base!$G$5:$G$2004,$K665))</f>
        <v/>
      </c>
      <c r="F665" s="71" t="str">
        <f aca="false">IF($K665="","",INDEX(Base!$H$5:$H$2004,$K665))</f>
        <v/>
      </c>
      <c r="G665" s="71" t="str">
        <f aca="false">IF($K665="","",INDEX(Base!$I$5:$I$2004,$K665))</f>
        <v/>
      </c>
      <c r="H665" s="70" t="str">
        <f aca="false">IF($K665="","",INDEX(Base!$J$5:$J$2004,$K665))</f>
        <v/>
      </c>
      <c r="I665" s="71" t="str">
        <f aca="false">IF($K665="","",INDEX(Base!$L$5:$L$2004,$K665))</f>
        <v/>
      </c>
      <c r="J665" s="72" t="str">
        <f aca="false">IFERROR(SMALL(Base!$P$5:$P$2004,ROW()-5),"")</f>
        <v/>
      </c>
      <c r="K665" s="72" t="str">
        <f aca="false">IF(J665="","",MATCH(J665,Base!$P$5:$P$2004,0))</f>
        <v/>
      </c>
    </row>
    <row r="666" customFormat="false" ht="15" hidden="false" customHeight="false" outlineLevel="0" collapsed="false">
      <c r="A666" s="67" t="str">
        <f aca="false">IF($K666="","",ROW()-5)</f>
        <v/>
      </c>
      <c r="B666" s="68" t="str">
        <f aca="false">IF($K666="","",INDEX(Base!$E$5:$E$2004,$K666))</f>
        <v/>
      </c>
      <c r="C666" s="69" t="str">
        <f aca="false">IF($K666="","",B666)</f>
        <v/>
      </c>
      <c r="D666" s="70" t="str">
        <f aca="false">IF($K666="","",INDEX(Base!$F$5:$F$2004,$K666))</f>
        <v/>
      </c>
      <c r="E666" s="70" t="str">
        <f aca="false">IF($K666="","",INDEX(Base!$G$5:$G$2004,$K666))</f>
        <v/>
      </c>
      <c r="F666" s="71" t="str">
        <f aca="false">IF($K666="","",INDEX(Base!$H$5:$H$2004,$K666))</f>
        <v/>
      </c>
      <c r="G666" s="71" t="str">
        <f aca="false">IF($K666="","",INDEX(Base!$I$5:$I$2004,$K666))</f>
        <v/>
      </c>
      <c r="H666" s="70" t="str">
        <f aca="false">IF($K666="","",INDEX(Base!$J$5:$J$2004,$K666))</f>
        <v/>
      </c>
      <c r="I666" s="71" t="str">
        <f aca="false">IF($K666="","",INDEX(Base!$L$5:$L$2004,$K666))</f>
        <v/>
      </c>
      <c r="J666" s="72" t="str">
        <f aca="false">IFERROR(SMALL(Base!$P$5:$P$2004,ROW()-5),"")</f>
        <v/>
      </c>
      <c r="K666" s="72" t="str">
        <f aca="false">IF(J666="","",MATCH(J666,Base!$P$5:$P$2004,0))</f>
        <v/>
      </c>
    </row>
    <row r="667" customFormat="false" ht="15" hidden="false" customHeight="false" outlineLevel="0" collapsed="false">
      <c r="A667" s="67" t="str">
        <f aca="false">IF($K667="","",ROW()-5)</f>
        <v/>
      </c>
      <c r="B667" s="68" t="str">
        <f aca="false">IF($K667="","",INDEX(Base!$E$5:$E$2004,$K667))</f>
        <v/>
      </c>
      <c r="C667" s="69" t="str">
        <f aca="false">IF($K667="","",B667)</f>
        <v/>
      </c>
      <c r="D667" s="70" t="str">
        <f aca="false">IF($K667="","",INDEX(Base!$F$5:$F$2004,$K667))</f>
        <v/>
      </c>
      <c r="E667" s="70" t="str">
        <f aca="false">IF($K667="","",INDEX(Base!$G$5:$G$2004,$K667))</f>
        <v/>
      </c>
      <c r="F667" s="71" t="str">
        <f aca="false">IF($K667="","",INDEX(Base!$H$5:$H$2004,$K667))</f>
        <v/>
      </c>
      <c r="G667" s="71" t="str">
        <f aca="false">IF($K667="","",INDEX(Base!$I$5:$I$2004,$K667))</f>
        <v/>
      </c>
      <c r="H667" s="70" t="str">
        <f aca="false">IF($K667="","",INDEX(Base!$J$5:$J$2004,$K667))</f>
        <v/>
      </c>
      <c r="I667" s="71" t="str">
        <f aca="false">IF($K667="","",INDEX(Base!$L$5:$L$2004,$K667))</f>
        <v/>
      </c>
      <c r="J667" s="72" t="str">
        <f aca="false">IFERROR(SMALL(Base!$P$5:$P$2004,ROW()-5),"")</f>
        <v/>
      </c>
      <c r="K667" s="72" t="str">
        <f aca="false">IF(J667="","",MATCH(J667,Base!$P$5:$P$2004,0))</f>
        <v/>
      </c>
    </row>
    <row r="668" customFormat="false" ht="15" hidden="false" customHeight="false" outlineLevel="0" collapsed="false">
      <c r="A668" s="67" t="str">
        <f aca="false">IF($K668="","",ROW()-5)</f>
        <v/>
      </c>
      <c r="B668" s="68" t="str">
        <f aca="false">IF($K668="","",INDEX(Base!$E$5:$E$2004,$K668))</f>
        <v/>
      </c>
      <c r="C668" s="69" t="str">
        <f aca="false">IF($K668="","",B668)</f>
        <v/>
      </c>
      <c r="D668" s="70" t="str">
        <f aca="false">IF($K668="","",INDEX(Base!$F$5:$F$2004,$K668))</f>
        <v/>
      </c>
      <c r="E668" s="70" t="str">
        <f aca="false">IF($K668="","",INDEX(Base!$G$5:$G$2004,$K668))</f>
        <v/>
      </c>
      <c r="F668" s="71" t="str">
        <f aca="false">IF($K668="","",INDEX(Base!$H$5:$H$2004,$K668))</f>
        <v/>
      </c>
      <c r="G668" s="71" t="str">
        <f aca="false">IF($K668="","",INDEX(Base!$I$5:$I$2004,$K668))</f>
        <v/>
      </c>
      <c r="H668" s="70" t="str">
        <f aca="false">IF($K668="","",INDEX(Base!$J$5:$J$2004,$K668))</f>
        <v/>
      </c>
      <c r="I668" s="71" t="str">
        <f aca="false">IF($K668="","",INDEX(Base!$L$5:$L$2004,$K668))</f>
        <v/>
      </c>
      <c r="J668" s="72" t="str">
        <f aca="false">IFERROR(SMALL(Base!$P$5:$P$2004,ROW()-5),"")</f>
        <v/>
      </c>
      <c r="K668" s="72" t="str">
        <f aca="false">IF(J668="","",MATCH(J668,Base!$P$5:$P$2004,0))</f>
        <v/>
      </c>
    </row>
    <row r="669" customFormat="false" ht="15" hidden="false" customHeight="false" outlineLevel="0" collapsed="false">
      <c r="A669" s="67" t="str">
        <f aca="false">IF($K669="","",ROW()-5)</f>
        <v/>
      </c>
      <c r="B669" s="68" t="str">
        <f aca="false">IF($K669="","",INDEX(Base!$E$5:$E$2004,$K669))</f>
        <v/>
      </c>
      <c r="C669" s="69" t="str">
        <f aca="false">IF($K669="","",B669)</f>
        <v/>
      </c>
      <c r="D669" s="70" t="str">
        <f aca="false">IF($K669="","",INDEX(Base!$F$5:$F$2004,$K669))</f>
        <v/>
      </c>
      <c r="E669" s="70" t="str">
        <f aca="false">IF($K669="","",INDEX(Base!$G$5:$G$2004,$K669))</f>
        <v/>
      </c>
      <c r="F669" s="71" t="str">
        <f aca="false">IF($K669="","",INDEX(Base!$H$5:$H$2004,$K669))</f>
        <v/>
      </c>
      <c r="G669" s="71" t="str">
        <f aca="false">IF($K669="","",INDEX(Base!$I$5:$I$2004,$K669))</f>
        <v/>
      </c>
      <c r="H669" s="70" t="str">
        <f aca="false">IF($K669="","",INDEX(Base!$J$5:$J$2004,$K669))</f>
        <v/>
      </c>
      <c r="I669" s="71" t="str">
        <f aca="false">IF($K669="","",INDEX(Base!$L$5:$L$2004,$K669))</f>
        <v/>
      </c>
      <c r="J669" s="72" t="str">
        <f aca="false">IFERROR(SMALL(Base!$P$5:$P$2004,ROW()-5),"")</f>
        <v/>
      </c>
      <c r="K669" s="72" t="str">
        <f aca="false">IF(J669="","",MATCH(J669,Base!$P$5:$P$2004,0))</f>
        <v/>
      </c>
    </row>
    <row r="670" customFormat="false" ht="15" hidden="false" customHeight="false" outlineLevel="0" collapsed="false">
      <c r="A670" s="67" t="str">
        <f aca="false">IF($K670="","",ROW()-5)</f>
        <v/>
      </c>
      <c r="B670" s="68" t="str">
        <f aca="false">IF($K670="","",INDEX(Base!$E$5:$E$2004,$K670))</f>
        <v/>
      </c>
      <c r="C670" s="69" t="str">
        <f aca="false">IF($K670="","",B670)</f>
        <v/>
      </c>
      <c r="D670" s="70" t="str">
        <f aca="false">IF($K670="","",INDEX(Base!$F$5:$F$2004,$K670))</f>
        <v/>
      </c>
      <c r="E670" s="70" t="str">
        <f aca="false">IF($K670="","",INDEX(Base!$G$5:$G$2004,$K670))</f>
        <v/>
      </c>
      <c r="F670" s="71" t="str">
        <f aca="false">IF($K670="","",INDEX(Base!$H$5:$H$2004,$K670))</f>
        <v/>
      </c>
      <c r="G670" s="71" t="str">
        <f aca="false">IF($K670="","",INDEX(Base!$I$5:$I$2004,$K670))</f>
        <v/>
      </c>
      <c r="H670" s="70" t="str">
        <f aca="false">IF($K670="","",INDEX(Base!$J$5:$J$2004,$K670))</f>
        <v/>
      </c>
      <c r="I670" s="71" t="str">
        <f aca="false">IF($K670="","",INDEX(Base!$L$5:$L$2004,$K670))</f>
        <v/>
      </c>
      <c r="J670" s="72" t="str">
        <f aca="false">IFERROR(SMALL(Base!$P$5:$P$2004,ROW()-5),"")</f>
        <v/>
      </c>
      <c r="K670" s="72" t="str">
        <f aca="false">IF(J670="","",MATCH(J670,Base!$P$5:$P$2004,0))</f>
        <v/>
      </c>
    </row>
    <row r="671" customFormat="false" ht="15" hidden="false" customHeight="false" outlineLevel="0" collapsed="false">
      <c r="A671" s="67" t="str">
        <f aca="false">IF($K671="","",ROW()-5)</f>
        <v/>
      </c>
      <c r="B671" s="68" t="str">
        <f aca="false">IF($K671="","",INDEX(Base!$E$5:$E$2004,$K671))</f>
        <v/>
      </c>
      <c r="C671" s="69" t="str">
        <f aca="false">IF($K671="","",B671)</f>
        <v/>
      </c>
      <c r="D671" s="70" t="str">
        <f aca="false">IF($K671="","",INDEX(Base!$F$5:$F$2004,$K671))</f>
        <v/>
      </c>
      <c r="E671" s="70" t="str">
        <f aca="false">IF($K671="","",INDEX(Base!$G$5:$G$2004,$K671))</f>
        <v/>
      </c>
      <c r="F671" s="71" t="str">
        <f aca="false">IF($K671="","",INDEX(Base!$H$5:$H$2004,$K671))</f>
        <v/>
      </c>
      <c r="G671" s="71" t="str">
        <f aca="false">IF($K671="","",INDEX(Base!$I$5:$I$2004,$K671))</f>
        <v/>
      </c>
      <c r="H671" s="70" t="str">
        <f aca="false">IF($K671="","",INDEX(Base!$J$5:$J$2004,$K671))</f>
        <v/>
      </c>
      <c r="I671" s="71" t="str">
        <f aca="false">IF($K671="","",INDEX(Base!$L$5:$L$2004,$K671))</f>
        <v/>
      </c>
      <c r="J671" s="72" t="str">
        <f aca="false">IFERROR(SMALL(Base!$P$5:$P$2004,ROW()-5),"")</f>
        <v/>
      </c>
      <c r="K671" s="72" t="str">
        <f aca="false">IF(J671="","",MATCH(J671,Base!$P$5:$P$2004,0))</f>
        <v/>
      </c>
    </row>
    <row r="672" customFormat="false" ht="15" hidden="false" customHeight="false" outlineLevel="0" collapsed="false">
      <c r="A672" s="67" t="str">
        <f aca="false">IF($K672="","",ROW()-5)</f>
        <v/>
      </c>
      <c r="B672" s="68" t="str">
        <f aca="false">IF($K672="","",INDEX(Base!$E$5:$E$2004,$K672))</f>
        <v/>
      </c>
      <c r="C672" s="69" t="str">
        <f aca="false">IF($K672="","",B672)</f>
        <v/>
      </c>
      <c r="D672" s="70" t="str">
        <f aca="false">IF($K672="","",INDEX(Base!$F$5:$F$2004,$K672))</f>
        <v/>
      </c>
      <c r="E672" s="70" t="str">
        <f aca="false">IF($K672="","",INDEX(Base!$G$5:$G$2004,$K672))</f>
        <v/>
      </c>
      <c r="F672" s="71" t="str">
        <f aca="false">IF($K672="","",INDEX(Base!$H$5:$H$2004,$K672))</f>
        <v/>
      </c>
      <c r="G672" s="71" t="str">
        <f aca="false">IF($K672="","",INDEX(Base!$I$5:$I$2004,$K672))</f>
        <v/>
      </c>
      <c r="H672" s="70" t="str">
        <f aca="false">IF($K672="","",INDEX(Base!$J$5:$J$2004,$K672))</f>
        <v/>
      </c>
      <c r="I672" s="71" t="str">
        <f aca="false">IF($K672="","",INDEX(Base!$L$5:$L$2004,$K672))</f>
        <v/>
      </c>
      <c r="J672" s="72" t="str">
        <f aca="false">IFERROR(SMALL(Base!$P$5:$P$2004,ROW()-5),"")</f>
        <v/>
      </c>
      <c r="K672" s="72" t="str">
        <f aca="false">IF(J672="","",MATCH(J672,Base!$P$5:$P$2004,0))</f>
        <v/>
      </c>
    </row>
    <row r="673" customFormat="false" ht="15" hidden="false" customHeight="false" outlineLevel="0" collapsed="false">
      <c r="A673" s="67" t="str">
        <f aca="false">IF($K673="","",ROW()-5)</f>
        <v/>
      </c>
      <c r="B673" s="68" t="str">
        <f aca="false">IF($K673="","",INDEX(Base!$E$5:$E$2004,$K673))</f>
        <v/>
      </c>
      <c r="C673" s="69" t="str">
        <f aca="false">IF($K673="","",B673)</f>
        <v/>
      </c>
      <c r="D673" s="70" t="str">
        <f aca="false">IF($K673="","",INDEX(Base!$F$5:$F$2004,$K673))</f>
        <v/>
      </c>
      <c r="E673" s="70" t="str">
        <f aca="false">IF($K673="","",INDEX(Base!$G$5:$G$2004,$K673))</f>
        <v/>
      </c>
      <c r="F673" s="71" t="str">
        <f aca="false">IF($K673="","",INDEX(Base!$H$5:$H$2004,$K673))</f>
        <v/>
      </c>
      <c r="G673" s="71" t="str">
        <f aca="false">IF($K673="","",INDEX(Base!$I$5:$I$2004,$K673))</f>
        <v/>
      </c>
      <c r="H673" s="70" t="str">
        <f aca="false">IF($K673="","",INDEX(Base!$J$5:$J$2004,$K673))</f>
        <v/>
      </c>
      <c r="I673" s="71" t="str">
        <f aca="false">IF($K673="","",INDEX(Base!$L$5:$L$2004,$K673))</f>
        <v/>
      </c>
      <c r="J673" s="72" t="str">
        <f aca="false">IFERROR(SMALL(Base!$P$5:$P$2004,ROW()-5),"")</f>
        <v/>
      </c>
      <c r="K673" s="72" t="str">
        <f aca="false">IF(J673="","",MATCH(J673,Base!$P$5:$P$2004,0))</f>
        <v/>
      </c>
    </row>
    <row r="674" customFormat="false" ht="15" hidden="false" customHeight="false" outlineLevel="0" collapsed="false">
      <c r="A674" s="67" t="str">
        <f aca="false">IF($K674="","",ROW()-5)</f>
        <v/>
      </c>
      <c r="B674" s="68" t="str">
        <f aca="false">IF($K674="","",INDEX(Base!$E$5:$E$2004,$K674))</f>
        <v/>
      </c>
      <c r="C674" s="69" t="str">
        <f aca="false">IF($K674="","",B674)</f>
        <v/>
      </c>
      <c r="D674" s="70" t="str">
        <f aca="false">IF($K674="","",INDEX(Base!$F$5:$F$2004,$K674))</f>
        <v/>
      </c>
      <c r="E674" s="70" t="str">
        <f aca="false">IF($K674="","",INDEX(Base!$G$5:$G$2004,$K674))</f>
        <v/>
      </c>
      <c r="F674" s="71" t="str">
        <f aca="false">IF($K674="","",INDEX(Base!$H$5:$H$2004,$K674))</f>
        <v/>
      </c>
      <c r="G674" s="71" t="str">
        <f aca="false">IF($K674="","",INDEX(Base!$I$5:$I$2004,$K674))</f>
        <v/>
      </c>
      <c r="H674" s="70" t="str">
        <f aca="false">IF($K674="","",INDEX(Base!$J$5:$J$2004,$K674))</f>
        <v/>
      </c>
      <c r="I674" s="71" t="str">
        <f aca="false">IF($K674="","",INDEX(Base!$L$5:$L$2004,$K674))</f>
        <v/>
      </c>
      <c r="J674" s="72" t="str">
        <f aca="false">IFERROR(SMALL(Base!$P$5:$P$2004,ROW()-5),"")</f>
        <v/>
      </c>
      <c r="K674" s="72" t="str">
        <f aca="false">IF(J674="","",MATCH(J674,Base!$P$5:$P$2004,0))</f>
        <v/>
      </c>
    </row>
    <row r="675" customFormat="false" ht="15" hidden="false" customHeight="false" outlineLevel="0" collapsed="false">
      <c r="A675" s="67" t="str">
        <f aca="false">IF($K675="","",ROW()-5)</f>
        <v/>
      </c>
      <c r="B675" s="68" t="str">
        <f aca="false">IF($K675="","",INDEX(Base!$E$5:$E$2004,$K675))</f>
        <v/>
      </c>
      <c r="C675" s="69" t="str">
        <f aca="false">IF($K675="","",B675)</f>
        <v/>
      </c>
      <c r="D675" s="70" t="str">
        <f aca="false">IF($K675="","",INDEX(Base!$F$5:$F$2004,$K675))</f>
        <v/>
      </c>
      <c r="E675" s="70" t="str">
        <f aca="false">IF($K675="","",INDEX(Base!$G$5:$G$2004,$K675))</f>
        <v/>
      </c>
      <c r="F675" s="71" t="str">
        <f aca="false">IF($K675="","",INDEX(Base!$H$5:$H$2004,$K675))</f>
        <v/>
      </c>
      <c r="G675" s="71" t="str">
        <f aca="false">IF($K675="","",INDEX(Base!$I$5:$I$2004,$K675))</f>
        <v/>
      </c>
      <c r="H675" s="70" t="str">
        <f aca="false">IF($K675="","",INDEX(Base!$J$5:$J$2004,$K675))</f>
        <v/>
      </c>
      <c r="I675" s="71" t="str">
        <f aca="false">IF($K675="","",INDEX(Base!$L$5:$L$2004,$K675))</f>
        <v/>
      </c>
      <c r="J675" s="72" t="str">
        <f aca="false">IFERROR(SMALL(Base!$P$5:$P$2004,ROW()-5),"")</f>
        <v/>
      </c>
      <c r="K675" s="72" t="str">
        <f aca="false">IF(J675="","",MATCH(J675,Base!$P$5:$P$2004,0))</f>
        <v/>
      </c>
    </row>
    <row r="676" customFormat="false" ht="15" hidden="false" customHeight="false" outlineLevel="0" collapsed="false">
      <c r="A676" s="67" t="str">
        <f aca="false">IF($K676="","",ROW()-5)</f>
        <v/>
      </c>
      <c r="B676" s="68" t="str">
        <f aca="false">IF($K676="","",INDEX(Base!$E$5:$E$2004,$K676))</f>
        <v/>
      </c>
      <c r="C676" s="69" t="str">
        <f aca="false">IF($K676="","",B676)</f>
        <v/>
      </c>
      <c r="D676" s="70" t="str">
        <f aca="false">IF($K676="","",INDEX(Base!$F$5:$F$2004,$K676))</f>
        <v/>
      </c>
      <c r="E676" s="70" t="str">
        <f aca="false">IF($K676="","",INDEX(Base!$G$5:$G$2004,$K676))</f>
        <v/>
      </c>
      <c r="F676" s="71" t="str">
        <f aca="false">IF($K676="","",INDEX(Base!$H$5:$H$2004,$K676))</f>
        <v/>
      </c>
      <c r="G676" s="71" t="str">
        <f aca="false">IF($K676="","",INDEX(Base!$I$5:$I$2004,$K676))</f>
        <v/>
      </c>
      <c r="H676" s="70" t="str">
        <f aca="false">IF($K676="","",INDEX(Base!$J$5:$J$2004,$K676))</f>
        <v/>
      </c>
      <c r="I676" s="71" t="str">
        <f aca="false">IF($K676="","",INDEX(Base!$L$5:$L$2004,$K676))</f>
        <v/>
      </c>
      <c r="J676" s="72" t="str">
        <f aca="false">IFERROR(SMALL(Base!$P$5:$P$2004,ROW()-5),"")</f>
        <v/>
      </c>
      <c r="K676" s="72" t="str">
        <f aca="false">IF(J676="","",MATCH(J676,Base!$P$5:$P$2004,0))</f>
        <v/>
      </c>
    </row>
    <row r="677" customFormat="false" ht="15" hidden="false" customHeight="false" outlineLevel="0" collapsed="false">
      <c r="A677" s="67" t="str">
        <f aca="false">IF($K677="","",ROW()-5)</f>
        <v/>
      </c>
      <c r="B677" s="68" t="str">
        <f aca="false">IF($K677="","",INDEX(Base!$E$5:$E$2004,$K677))</f>
        <v/>
      </c>
      <c r="C677" s="69" t="str">
        <f aca="false">IF($K677="","",B677)</f>
        <v/>
      </c>
      <c r="D677" s="70" t="str">
        <f aca="false">IF($K677="","",INDEX(Base!$F$5:$F$2004,$K677))</f>
        <v/>
      </c>
      <c r="E677" s="70" t="str">
        <f aca="false">IF($K677="","",INDEX(Base!$G$5:$G$2004,$K677))</f>
        <v/>
      </c>
      <c r="F677" s="71" t="str">
        <f aca="false">IF($K677="","",INDEX(Base!$H$5:$H$2004,$K677))</f>
        <v/>
      </c>
      <c r="G677" s="71" t="str">
        <f aca="false">IF($K677="","",INDEX(Base!$I$5:$I$2004,$K677))</f>
        <v/>
      </c>
      <c r="H677" s="70" t="str">
        <f aca="false">IF($K677="","",INDEX(Base!$J$5:$J$2004,$K677))</f>
        <v/>
      </c>
      <c r="I677" s="71" t="str">
        <f aca="false">IF($K677="","",INDEX(Base!$L$5:$L$2004,$K677))</f>
        <v/>
      </c>
      <c r="J677" s="72" t="str">
        <f aca="false">IFERROR(SMALL(Base!$P$5:$P$2004,ROW()-5),"")</f>
        <v/>
      </c>
      <c r="K677" s="72" t="str">
        <f aca="false">IF(J677="","",MATCH(J677,Base!$P$5:$P$2004,0))</f>
        <v/>
      </c>
    </row>
    <row r="678" customFormat="false" ht="15" hidden="false" customHeight="false" outlineLevel="0" collapsed="false">
      <c r="A678" s="67" t="str">
        <f aca="false">IF($K678="","",ROW()-5)</f>
        <v/>
      </c>
      <c r="B678" s="68" t="str">
        <f aca="false">IF($K678="","",INDEX(Base!$E$5:$E$2004,$K678))</f>
        <v/>
      </c>
      <c r="C678" s="69" t="str">
        <f aca="false">IF($K678="","",B678)</f>
        <v/>
      </c>
      <c r="D678" s="70" t="str">
        <f aca="false">IF($K678="","",INDEX(Base!$F$5:$F$2004,$K678))</f>
        <v/>
      </c>
      <c r="E678" s="70" t="str">
        <f aca="false">IF($K678="","",INDEX(Base!$G$5:$G$2004,$K678))</f>
        <v/>
      </c>
      <c r="F678" s="71" t="str">
        <f aca="false">IF($K678="","",INDEX(Base!$H$5:$H$2004,$K678))</f>
        <v/>
      </c>
      <c r="G678" s="71" t="str">
        <f aca="false">IF($K678="","",INDEX(Base!$I$5:$I$2004,$K678))</f>
        <v/>
      </c>
      <c r="H678" s="70" t="str">
        <f aca="false">IF($K678="","",INDEX(Base!$J$5:$J$2004,$K678))</f>
        <v/>
      </c>
      <c r="I678" s="71" t="str">
        <f aca="false">IF($K678="","",INDEX(Base!$L$5:$L$2004,$K678))</f>
        <v/>
      </c>
      <c r="J678" s="72" t="str">
        <f aca="false">IFERROR(SMALL(Base!$P$5:$P$2004,ROW()-5),"")</f>
        <v/>
      </c>
      <c r="K678" s="72" t="str">
        <f aca="false">IF(J678="","",MATCH(J678,Base!$P$5:$P$2004,0))</f>
        <v/>
      </c>
    </row>
    <row r="679" customFormat="false" ht="15" hidden="false" customHeight="false" outlineLevel="0" collapsed="false">
      <c r="A679" s="67" t="str">
        <f aca="false">IF($K679="","",ROW()-5)</f>
        <v/>
      </c>
      <c r="B679" s="68" t="str">
        <f aca="false">IF($K679="","",INDEX(Base!$E$5:$E$2004,$K679))</f>
        <v/>
      </c>
      <c r="C679" s="69" t="str">
        <f aca="false">IF($K679="","",B679)</f>
        <v/>
      </c>
      <c r="D679" s="70" t="str">
        <f aca="false">IF($K679="","",INDEX(Base!$F$5:$F$2004,$K679))</f>
        <v/>
      </c>
      <c r="E679" s="70" t="str">
        <f aca="false">IF($K679="","",INDEX(Base!$G$5:$G$2004,$K679))</f>
        <v/>
      </c>
      <c r="F679" s="71" t="str">
        <f aca="false">IF($K679="","",INDEX(Base!$H$5:$H$2004,$K679))</f>
        <v/>
      </c>
      <c r="G679" s="71" t="str">
        <f aca="false">IF($K679="","",INDEX(Base!$I$5:$I$2004,$K679))</f>
        <v/>
      </c>
      <c r="H679" s="70" t="str">
        <f aca="false">IF($K679="","",INDEX(Base!$J$5:$J$2004,$K679))</f>
        <v/>
      </c>
      <c r="I679" s="71" t="str">
        <f aca="false">IF($K679="","",INDEX(Base!$L$5:$L$2004,$K679))</f>
        <v/>
      </c>
      <c r="J679" s="72" t="str">
        <f aca="false">IFERROR(SMALL(Base!$P$5:$P$2004,ROW()-5),"")</f>
        <v/>
      </c>
      <c r="K679" s="72" t="str">
        <f aca="false">IF(J679="","",MATCH(J679,Base!$P$5:$P$2004,0))</f>
        <v/>
      </c>
    </row>
    <row r="680" customFormat="false" ht="15" hidden="false" customHeight="false" outlineLevel="0" collapsed="false">
      <c r="A680" s="67" t="str">
        <f aca="false">IF($K680="","",ROW()-5)</f>
        <v/>
      </c>
      <c r="B680" s="68" t="str">
        <f aca="false">IF($K680="","",INDEX(Base!$E$5:$E$2004,$K680))</f>
        <v/>
      </c>
      <c r="C680" s="69" t="str">
        <f aca="false">IF($K680="","",B680)</f>
        <v/>
      </c>
      <c r="D680" s="70" t="str">
        <f aca="false">IF($K680="","",INDEX(Base!$F$5:$F$2004,$K680))</f>
        <v/>
      </c>
      <c r="E680" s="70" t="str">
        <f aca="false">IF($K680="","",INDEX(Base!$G$5:$G$2004,$K680))</f>
        <v/>
      </c>
      <c r="F680" s="71" t="str">
        <f aca="false">IF($K680="","",INDEX(Base!$H$5:$H$2004,$K680))</f>
        <v/>
      </c>
      <c r="G680" s="71" t="str">
        <f aca="false">IF($K680="","",INDEX(Base!$I$5:$I$2004,$K680))</f>
        <v/>
      </c>
      <c r="H680" s="70" t="str">
        <f aca="false">IF($K680="","",INDEX(Base!$J$5:$J$2004,$K680))</f>
        <v/>
      </c>
      <c r="I680" s="71" t="str">
        <f aca="false">IF($K680="","",INDEX(Base!$L$5:$L$2004,$K680))</f>
        <v/>
      </c>
      <c r="J680" s="72" t="str">
        <f aca="false">IFERROR(SMALL(Base!$P$5:$P$2004,ROW()-5),"")</f>
        <v/>
      </c>
      <c r="K680" s="72" t="str">
        <f aca="false">IF(J680="","",MATCH(J680,Base!$P$5:$P$2004,0))</f>
        <v/>
      </c>
    </row>
    <row r="681" customFormat="false" ht="15" hidden="false" customHeight="false" outlineLevel="0" collapsed="false">
      <c r="A681" s="67" t="str">
        <f aca="false">IF($K681="","",ROW()-5)</f>
        <v/>
      </c>
      <c r="B681" s="68" t="str">
        <f aca="false">IF($K681="","",INDEX(Base!$E$5:$E$2004,$K681))</f>
        <v/>
      </c>
      <c r="C681" s="69" t="str">
        <f aca="false">IF($K681="","",B681)</f>
        <v/>
      </c>
      <c r="D681" s="70" t="str">
        <f aca="false">IF($K681="","",INDEX(Base!$F$5:$F$2004,$K681))</f>
        <v/>
      </c>
      <c r="E681" s="70" t="str">
        <f aca="false">IF($K681="","",INDEX(Base!$G$5:$G$2004,$K681))</f>
        <v/>
      </c>
      <c r="F681" s="71" t="str">
        <f aca="false">IF($K681="","",INDEX(Base!$H$5:$H$2004,$K681))</f>
        <v/>
      </c>
      <c r="G681" s="71" t="str">
        <f aca="false">IF($K681="","",INDEX(Base!$I$5:$I$2004,$K681))</f>
        <v/>
      </c>
      <c r="H681" s="70" t="str">
        <f aca="false">IF($K681="","",INDEX(Base!$J$5:$J$2004,$K681))</f>
        <v/>
      </c>
      <c r="I681" s="71" t="str">
        <f aca="false">IF($K681="","",INDEX(Base!$L$5:$L$2004,$K681))</f>
        <v/>
      </c>
      <c r="J681" s="72" t="str">
        <f aca="false">IFERROR(SMALL(Base!$P$5:$P$2004,ROW()-5),"")</f>
        <v/>
      </c>
      <c r="K681" s="72" t="str">
        <f aca="false">IF(J681="","",MATCH(J681,Base!$P$5:$P$2004,0))</f>
        <v/>
      </c>
    </row>
    <row r="682" customFormat="false" ht="15" hidden="false" customHeight="false" outlineLevel="0" collapsed="false">
      <c r="A682" s="67" t="str">
        <f aca="false">IF($K682="","",ROW()-5)</f>
        <v/>
      </c>
      <c r="B682" s="68" t="str">
        <f aca="false">IF($K682="","",INDEX(Base!$E$5:$E$2004,$K682))</f>
        <v/>
      </c>
      <c r="C682" s="69" t="str">
        <f aca="false">IF($K682="","",B682)</f>
        <v/>
      </c>
      <c r="D682" s="70" t="str">
        <f aca="false">IF($K682="","",INDEX(Base!$F$5:$F$2004,$K682))</f>
        <v/>
      </c>
      <c r="E682" s="70" t="str">
        <f aca="false">IF($K682="","",INDEX(Base!$G$5:$G$2004,$K682))</f>
        <v/>
      </c>
      <c r="F682" s="71" t="str">
        <f aca="false">IF($K682="","",INDEX(Base!$H$5:$H$2004,$K682))</f>
        <v/>
      </c>
      <c r="G682" s="71" t="str">
        <f aca="false">IF($K682="","",INDEX(Base!$I$5:$I$2004,$K682))</f>
        <v/>
      </c>
      <c r="H682" s="70" t="str">
        <f aca="false">IF($K682="","",INDEX(Base!$J$5:$J$2004,$K682))</f>
        <v/>
      </c>
      <c r="I682" s="71" t="str">
        <f aca="false">IF($K682="","",INDEX(Base!$L$5:$L$2004,$K682))</f>
        <v/>
      </c>
      <c r="J682" s="72" t="str">
        <f aca="false">IFERROR(SMALL(Base!$P$5:$P$2004,ROW()-5),"")</f>
        <v/>
      </c>
      <c r="K682" s="72" t="str">
        <f aca="false">IF(J682="","",MATCH(J682,Base!$P$5:$P$2004,0))</f>
        <v/>
      </c>
    </row>
    <row r="683" customFormat="false" ht="15" hidden="false" customHeight="false" outlineLevel="0" collapsed="false">
      <c r="A683" s="67" t="str">
        <f aca="false">IF($K683="","",ROW()-5)</f>
        <v/>
      </c>
      <c r="B683" s="68" t="str">
        <f aca="false">IF($K683="","",INDEX(Base!$E$5:$E$2004,$K683))</f>
        <v/>
      </c>
      <c r="C683" s="69" t="str">
        <f aca="false">IF($K683="","",B683)</f>
        <v/>
      </c>
      <c r="D683" s="70" t="str">
        <f aca="false">IF($K683="","",INDEX(Base!$F$5:$F$2004,$K683))</f>
        <v/>
      </c>
      <c r="E683" s="70" t="str">
        <f aca="false">IF($K683="","",INDEX(Base!$G$5:$G$2004,$K683))</f>
        <v/>
      </c>
      <c r="F683" s="71" t="str">
        <f aca="false">IF($K683="","",INDEX(Base!$H$5:$H$2004,$K683))</f>
        <v/>
      </c>
      <c r="G683" s="71" t="str">
        <f aca="false">IF($K683="","",INDEX(Base!$I$5:$I$2004,$K683))</f>
        <v/>
      </c>
      <c r="H683" s="70" t="str">
        <f aca="false">IF($K683="","",INDEX(Base!$J$5:$J$2004,$K683))</f>
        <v/>
      </c>
      <c r="I683" s="71" t="str">
        <f aca="false">IF($K683="","",INDEX(Base!$L$5:$L$2004,$K683))</f>
        <v/>
      </c>
      <c r="J683" s="72" t="str">
        <f aca="false">IFERROR(SMALL(Base!$P$5:$P$2004,ROW()-5),"")</f>
        <v/>
      </c>
      <c r="K683" s="72" t="str">
        <f aca="false">IF(J683="","",MATCH(J683,Base!$P$5:$P$2004,0))</f>
        <v/>
      </c>
    </row>
    <row r="684" customFormat="false" ht="15" hidden="false" customHeight="false" outlineLevel="0" collapsed="false">
      <c r="A684" s="67" t="str">
        <f aca="false">IF($K684="","",ROW()-5)</f>
        <v/>
      </c>
      <c r="B684" s="68" t="str">
        <f aca="false">IF($K684="","",INDEX(Base!$E$5:$E$2004,$K684))</f>
        <v/>
      </c>
      <c r="C684" s="69" t="str">
        <f aca="false">IF($K684="","",B684)</f>
        <v/>
      </c>
      <c r="D684" s="70" t="str">
        <f aca="false">IF($K684="","",INDEX(Base!$F$5:$F$2004,$K684))</f>
        <v/>
      </c>
      <c r="E684" s="70" t="str">
        <f aca="false">IF($K684="","",INDEX(Base!$G$5:$G$2004,$K684))</f>
        <v/>
      </c>
      <c r="F684" s="71" t="str">
        <f aca="false">IF($K684="","",INDEX(Base!$H$5:$H$2004,$K684))</f>
        <v/>
      </c>
      <c r="G684" s="71" t="str">
        <f aca="false">IF($K684="","",INDEX(Base!$I$5:$I$2004,$K684))</f>
        <v/>
      </c>
      <c r="H684" s="70" t="str">
        <f aca="false">IF($K684="","",INDEX(Base!$J$5:$J$2004,$K684))</f>
        <v/>
      </c>
      <c r="I684" s="71" t="str">
        <f aca="false">IF($K684="","",INDEX(Base!$L$5:$L$2004,$K684))</f>
        <v/>
      </c>
      <c r="J684" s="72" t="str">
        <f aca="false">IFERROR(SMALL(Base!$P$5:$P$2004,ROW()-5),"")</f>
        <v/>
      </c>
      <c r="K684" s="72" t="str">
        <f aca="false">IF(J684="","",MATCH(J684,Base!$P$5:$P$2004,0))</f>
        <v/>
      </c>
    </row>
    <row r="685" customFormat="false" ht="15" hidden="false" customHeight="false" outlineLevel="0" collapsed="false">
      <c r="A685" s="67" t="str">
        <f aca="false">IF($K685="","",ROW()-5)</f>
        <v/>
      </c>
      <c r="B685" s="68" t="str">
        <f aca="false">IF($K685="","",INDEX(Base!$E$5:$E$2004,$K685))</f>
        <v/>
      </c>
      <c r="C685" s="69" t="str">
        <f aca="false">IF($K685="","",B685)</f>
        <v/>
      </c>
      <c r="D685" s="70" t="str">
        <f aca="false">IF($K685="","",INDEX(Base!$F$5:$F$2004,$K685))</f>
        <v/>
      </c>
      <c r="E685" s="70" t="str">
        <f aca="false">IF($K685="","",INDEX(Base!$G$5:$G$2004,$K685))</f>
        <v/>
      </c>
      <c r="F685" s="71" t="str">
        <f aca="false">IF($K685="","",INDEX(Base!$H$5:$H$2004,$K685))</f>
        <v/>
      </c>
      <c r="G685" s="71" t="str">
        <f aca="false">IF($K685="","",INDEX(Base!$I$5:$I$2004,$K685))</f>
        <v/>
      </c>
      <c r="H685" s="70" t="str">
        <f aca="false">IF($K685="","",INDEX(Base!$J$5:$J$2004,$K685))</f>
        <v/>
      </c>
      <c r="I685" s="71" t="str">
        <f aca="false">IF($K685="","",INDEX(Base!$L$5:$L$2004,$K685))</f>
        <v/>
      </c>
      <c r="J685" s="72" t="str">
        <f aca="false">IFERROR(SMALL(Base!$P$5:$P$2004,ROW()-5),"")</f>
        <v/>
      </c>
      <c r="K685" s="72" t="str">
        <f aca="false">IF(J685="","",MATCH(J685,Base!$P$5:$P$2004,0))</f>
        <v/>
      </c>
    </row>
    <row r="686" customFormat="false" ht="15" hidden="false" customHeight="false" outlineLevel="0" collapsed="false">
      <c r="A686" s="67" t="str">
        <f aca="false">IF($K686="","",ROW()-5)</f>
        <v/>
      </c>
      <c r="B686" s="68" t="str">
        <f aca="false">IF($K686="","",INDEX(Base!$E$5:$E$2004,$K686))</f>
        <v/>
      </c>
      <c r="C686" s="69" t="str">
        <f aca="false">IF($K686="","",B686)</f>
        <v/>
      </c>
      <c r="D686" s="70" t="str">
        <f aca="false">IF($K686="","",INDEX(Base!$F$5:$F$2004,$K686))</f>
        <v/>
      </c>
      <c r="E686" s="70" t="str">
        <f aca="false">IF($K686="","",INDEX(Base!$G$5:$G$2004,$K686))</f>
        <v/>
      </c>
      <c r="F686" s="71" t="str">
        <f aca="false">IF($K686="","",INDEX(Base!$H$5:$H$2004,$K686))</f>
        <v/>
      </c>
      <c r="G686" s="71" t="str">
        <f aca="false">IF($K686="","",INDEX(Base!$I$5:$I$2004,$K686))</f>
        <v/>
      </c>
      <c r="H686" s="70" t="str">
        <f aca="false">IF($K686="","",INDEX(Base!$J$5:$J$2004,$K686))</f>
        <v/>
      </c>
      <c r="I686" s="71" t="str">
        <f aca="false">IF($K686="","",INDEX(Base!$L$5:$L$2004,$K686))</f>
        <v/>
      </c>
      <c r="J686" s="72" t="str">
        <f aca="false">IFERROR(SMALL(Base!$P$5:$P$2004,ROW()-5),"")</f>
        <v/>
      </c>
      <c r="K686" s="72" t="str">
        <f aca="false">IF(J686="","",MATCH(J686,Base!$P$5:$P$2004,0))</f>
        <v/>
      </c>
    </row>
    <row r="687" customFormat="false" ht="15" hidden="false" customHeight="false" outlineLevel="0" collapsed="false">
      <c r="A687" s="67" t="str">
        <f aca="false">IF($K687="","",ROW()-5)</f>
        <v/>
      </c>
      <c r="B687" s="68" t="str">
        <f aca="false">IF($K687="","",INDEX(Base!$E$5:$E$2004,$K687))</f>
        <v/>
      </c>
      <c r="C687" s="69" t="str">
        <f aca="false">IF($K687="","",B687)</f>
        <v/>
      </c>
      <c r="D687" s="70" t="str">
        <f aca="false">IF($K687="","",INDEX(Base!$F$5:$F$2004,$K687))</f>
        <v/>
      </c>
      <c r="E687" s="70" t="str">
        <f aca="false">IF($K687="","",INDEX(Base!$G$5:$G$2004,$K687))</f>
        <v/>
      </c>
      <c r="F687" s="71" t="str">
        <f aca="false">IF($K687="","",INDEX(Base!$H$5:$H$2004,$K687))</f>
        <v/>
      </c>
      <c r="G687" s="71" t="str">
        <f aca="false">IF($K687="","",INDEX(Base!$I$5:$I$2004,$K687))</f>
        <v/>
      </c>
      <c r="H687" s="70" t="str">
        <f aca="false">IF($K687="","",INDEX(Base!$J$5:$J$2004,$K687))</f>
        <v/>
      </c>
      <c r="I687" s="71" t="str">
        <f aca="false">IF($K687="","",INDEX(Base!$L$5:$L$2004,$K687))</f>
        <v/>
      </c>
      <c r="J687" s="72" t="str">
        <f aca="false">IFERROR(SMALL(Base!$P$5:$P$2004,ROW()-5),"")</f>
        <v/>
      </c>
      <c r="K687" s="72" t="str">
        <f aca="false">IF(J687="","",MATCH(J687,Base!$P$5:$P$2004,0))</f>
        <v/>
      </c>
    </row>
    <row r="688" customFormat="false" ht="15" hidden="false" customHeight="false" outlineLevel="0" collapsed="false">
      <c r="A688" s="67" t="str">
        <f aca="false">IF($K688="","",ROW()-5)</f>
        <v/>
      </c>
      <c r="B688" s="68" t="str">
        <f aca="false">IF($K688="","",INDEX(Base!$E$5:$E$2004,$K688))</f>
        <v/>
      </c>
      <c r="C688" s="69" t="str">
        <f aca="false">IF($K688="","",B688)</f>
        <v/>
      </c>
      <c r="D688" s="70" t="str">
        <f aca="false">IF($K688="","",INDEX(Base!$F$5:$F$2004,$K688))</f>
        <v/>
      </c>
      <c r="E688" s="70" t="str">
        <f aca="false">IF($K688="","",INDEX(Base!$G$5:$G$2004,$K688))</f>
        <v/>
      </c>
      <c r="F688" s="71" t="str">
        <f aca="false">IF($K688="","",INDEX(Base!$H$5:$H$2004,$K688))</f>
        <v/>
      </c>
      <c r="G688" s="71" t="str">
        <f aca="false">IF($K688="","",INDEX(Base!$I$5:$I$2004,$K688))</f>
        <v/>
      </c>
      <c r="H688" s="70" t="str">
        <f aca="false">IF($K688="","",INDEX(Base!$J$5:$J$2004,$K688))</f>
        <v/>
      </c>
      <c r="I688" s="71" t="str">
        <f aca="false">IF($K688="","",INDEX(Base!$L$5:$L$2004,$K688))</f>
        <v/>
      </c>
      <c r="J688" s="72" t="str">
        <f aca="false">IFERROR(SMALL(Base!$P$5:$P$2004,ROW()-5),"")</f>
        <v/>
      </c>
      <c r="K688" s="72" t="str">
        <f aca="false">IF(J688="","",MATCH(J688,Base!$P$5:$P$2004,0))</f>
        <v/>
      </c>
    </row>
    <row r="689" customFormat="false" ht="15" hidden="false" customHeight="false" outlineLevel="0" collapsed="false">
      <c r="A689" s="67" t="str">
        <f aca="false">IF($K689="","",ROW()-5)</f>
        <v/>
      </c>
      <c r="B689" s="68" t="str">
        <f aca="false">IF($K689="","",INDEX(Base!$E$5:$E$2004,$K689))</f>
        <v/>
      </c>
      <c r="C689" s="69" t="str">
        <f aca="false">IF($K689="","",B689)</f>
        <v/>
      </c>
      <c r="D689" s="70" t="str">
        <f aca="false">IF($K689="","",INDEX(Base!$F$5:$F$2004,$K689))</f>
        <v/>
      </c>
      <c r="E689" s="70" t="str">
        <f aca="false">IF($K689="","",INDEX(Base!$G$5:$G$2004,$K689))</f>
        <v/>
      </c>
      <c r="F689" s="71" t="str">
        <f aca="false">IF($K689="","",INDEX(Base!$H$5:$H$2004,$K689))</f>
        <v/>
      </c>
      <c r="G689" s="71" t="str">
        <f aca="false">IF($K689="","",INDEX(Base!$I$5:$I$2004,$K689))</f>
        <v/>
      </c>
      <c r="H689" s="70" t="str">
        <f aca="false">IF($K689="","",INDEX(Base!$J$5:$J$2004,$K689))</f>
        <v/>
      </c>
      <c r="I689" s="71" t="str">
        <f aca="false">IF($K689="","",INDEX(Base!$L$5:$L$2004,$K689))</f>
        <v/>
      </c>
      <c r="J689" s="72" t="str">
        <f aca="false">IFERROR(SMALL(Base!$P$5:$P$2004,ROW()-5),"")</f>
        <v/>
      </c>
      <c r="K689" s="72" t="str">
        <f aca="false">IF(J689="","",MATCH(J689,Base!$P$5:$P$2004,0))</f>
        <v/>
      </c>
    </row>
    <row r="690" customFormat="false" ht="15" hidden="false" customHeight="false" outlineLevel="0" collapsed="false">
      <c r="A690" s="67" t="str">
        <f aca="false">IF($K690="","",ROW()-5)</f>
        <v/>
      </c>
      <c r="B690" s="68" t="str">
        <f aca="false">IF($K690="","",INDEX(Base!$E$5:$E$2004,$K690))</f>
        <v/>
      </c>
      <c r="C690" s="69" t="str">
        <f aca="false">IF($K690="","",B690)</f>
        <v/>
      </c>
      <c r="D690" s="70" t="str">
        <f aca="false">IF($K690="","",INDEX(Base!$F$5:$F$2004,$K690))</f>
        <v/>
      </c>
      <c r="E690" s="70" t="str">
        <f aca="false">IF($K690="","",INDEX(Base!$G$5:$G$2004,$K690))</f>
        <v/>
      </c>
      <c r="F690" s="71" t="str">
        <f aca="false">IF($K690="","",INDEX(Base!$H$5:$H$2004,$K690))</f>
        <v/>
      </c>
      <c r="G690" s="71" t="str">
        <f aca="false">IF($K690="","",INDEX(Base!$I$5:$I$2004,$K690))</f>
        <v/>
      </c>
      <c r="H690" s="70" t="str">
        <f aca="false">IF($K690="","",INDEX(Base!$J$5:$J$2004,$K690))</f>
        <v/>
      </c>
      <c r="I690" s="71" t="str">
        <f aca="false">IF($K690="","",INDEX(Base!$L$5:$L$2004,$K690))</f>
        <v/>
      </c>
      <c r="J690" s="72" t="str">
        <f aca="false">IFERROR(SMALL(Base!$P$5:$P$2004,ROW()-5),"")</f>
        <v/>
      </c>
      <c r="K690" s="72" t="str">
        <f aca="false">IF(J690="","",MATCH(J690,Base!$P$5:$P$2004,0))</f>
        <v/>
      </c>
    </row>
    <row r="691" customFormat="false" ht="15" hidden="false" customHeight="false" outlineLevel="0" collapsed="false">
      <c r="A691" s="67" t="str">
        <f aca="false">IF($K691="","",ROW()-5)</f>
        <v/>
      </c>
      <c r="B691" s="68" t="str">
        <f aca="false">IF($K691="","",INDEX(Base!$E$5:$E$2004,$K691))</f>
        <v/>
      </c>
      <c r="C691" s="69" t="str">
        <f aca="false">IF($K691="","",B691)</f>
        <v/>
      </c>
      <c r="D691" s="70" t="str">
        <f aca="false">IF($K691="","",INDEX(Base!$F$5:$F$2004,$K691))</f>
        <v/>
      </c>
      <c r="E691" s="70" t="str">
        <f aca="false">IF($K691="","",INDEX(Base!$G$5:$G$2004,$K691))</f>
        <v/>
      </c>
      <c r="F691" s="71" t="str">
        <f aca="false">IF($K691="","",INDEX(Base!$H$5:$H$2004,$K691))</f>
        <v/>
      </c>
      <c r="G691" s="71" t="str">
        <f aca="false">IF($K691="","",INDEX(Base!$I$5:$I$2004,$K691))</f>
        <v/>
      </c>
      <c r="H691" s="70" t="str">
        <f aca="false">IF($K691="","",INDEX(Base!$J$5:$J$2004,$K691))</f>
        <v/>
      </c>
      <c r="I691" s="71" t="str">
        <f aca="false">IF($K691="","",INDEX(Base!$L$5:$L$2004,$K691))</f>
        <v/>
      </c>
      <c r="J691" s="72" t="str">
        <f aca="false">IFERROR(SMALL(Base!$P$5:$P$2004,ROW()-5),"")</f>
        <v/>
      </c>
      <c r="K691" s="72" t="str">
        <f aca="false">IF(J691="","",MATCH(J691,Base!$P$5:$P$2004,0))</f>
        <v/>
      </c>
    </row>
    <row r="692" customFormat="false" ht="15" hidden="false" customHeight="false" outlineLevel="0" collapsed="false">
      <c r="A692" s="67" t="str">
        <f aca="false">IF($K692="","",ROW()-5)</f>
        <v/>
      </c>
      <c r="B692" s="68" t="str">
        <f aca="false">IF($K692="","",INDEX(Base!$E$5:$E$2004,$K692))</f>
        <v/>
      </c>
      <c r="C692" s="69" t="str">
        <f aca="false">IF($K692="","",B692)</f>
        <v/>
      </c>
      <c r="D692" s="70" t="str">
        <f aca="false">IF($K692="","",INDEX(Base!$F$5:$F$2004,$K692))</f>
        <v/>
      </c>
      <c r="E692" s="70" t="str">
        <f aca="false">IF($K692="","",INDEX(Base!$G$5:$G$2004,$K692))</f>
        <v/>
      </c>
      <c r="F692" s="71" t="str">
        <f aca="false">IF($K692="","",INDEX(Base!$H$5:$H$2004,$K692))</f>
        <v/>
      </c>
      <c r="G692" s="71" t="str">
        <f aca="false">IF($K692="","",INDEX(Base!$I$5:$I$2004,$K692))</f>
        <v/>
      </c>
      <c r="H692" s="70" t="str">
        <f aca="false">IF($K692="","",INDEX(Base!$J$5:$J$2004,$K692))</f>
        <v/>
      </c>
      <c r="I692" s="71" t="str">
        <f aca="false">IF($K692="","",INDEX(Base!$L$5:$L$2004,$K692))</f>
        <v/>
      </c>
      <c r="J692" s="72" t="str">
        <f aca="false">IFERROR(SMALL(Base!$P$5:$P$2004,ROW()-5),"")</f>
        <v/>
      </c>
      <c r="K692" s="72" t="str">
        <f aca="false">IF(J692="","",MATCH(J692,Base!$P$5:$P$2004,0))</f>
        <v/>
      </c>
    </row>
    <row r="693" customFormat="false" ht="15" hidden="false" customHeight="false" outlineLevel="0" collapsed="false">
      <c r="A693" s="67" t="str">
        <f aca="false">IF($K693="","",ROW()-5)</f>
        <v/>
      </c>
      <c r="B693" s="68" t="str">
        <f aca="false">IF($K693="","",INDEX(Base!$E$5:$E$2004,$K693))</f>
        <v/>
      </c>
      <c r="C693" s="69" t="str">
        <f aca="false">IF($K693="","",B693)</f>
        <v/>
      </c>
      <c r="D693" s="70" t="str">
        <f aca="false">IF($K693="","",INDEX(Base!$F$5:$F$2004,$K693))</f>
        <v/>
      </c>
      <c r="E693" s="70" t="str">
        <f aca="false">IF($K693="","",INDEX(Base!$G$5:$G$2004,$K693))</f>
        <v/>
      </c>
      <c r="F693" s="71" t="str">
        <f aca="false">IF($K693="","",INDEX(Base!$H$5:$H$2004,$K693))</f>
        <v/>
      </c>
      <c r="G693" s="71" t="str">
        <f aca="false">IF($K693="","",INDEX(Base!$I$5:$I$2004,$K693))</f>
        <v/>
      </c>
      <c r="H693" s="70" t="str">
        <f aca="false">IF($K693="","",INDEX(Base!$J$5:$J$2004,$K693))</f>
        <v/>
      </c>
      <c r="I693" s="71" t="str">
        <f aca="false">IF($K693="","",INDEX(Base!$L$5:$L$2004,$K693))</f>
        <v/>
      </c>
      <c r="J693" s="72" t="str">
        <f aca="false">IFERROR(SMALL(Base!$P$5:$P$2004,ROW()-5),"")</f>
        <v/>
      </c>
      <c r="K693" s="72" t="str">
        <f aca="false">IF(J693="","",MATCH(J693,Base!$P$5:$P$2004,0))</f>
        <v/>
      </c>
    </row>
    <row r="694" customFormat="false" ht="15" hidden="false" customHeight="false" outlineLevel="0" collapsed="false">
      <c r="A694" s="67" t="str">
        <f aca="false">IF($K694="","",ROW()-5)</f>
        <v/>
      </c>
      <c r="B694" s="68" t="str">
        <f aca="false">IF($K694="","",INDEX(Base!$E$5:$E$2004,$K694))</f>
        <v/>
      </c>
      <c r="C694" s="69" t="str">
        <f aca="false">IF($K694="","",B694)</f>
        <v/>
      </c>
      <c r="D694" s="70" t="str">
        <f aca="false">IF($K694="","",INDEX(Base!$F$5:$F$2004,$K694))</f>
        <v/>
      </c>
      <c r="E694" s="70" t="str">
        <f aca="false">IF($K694="","",INDEX(Base!$G$5:$G$2004,$K694))</f>
        <v/>
      </c>
      <c r="F694" s="71" t="str">
        <f aca="false">IF($K694="","",INDEX(Base!$H$5:$H$2004,$K694))</f>
        <v/>
      </c>
      <c r="G694" s="71" t="str">
        <f aca="false">IF($K694="","",INDEX(Base!$I$5:$I$2004,$K694))</f>
        <v/>
      </c>
      <c r="H694" s="70" t="str">
        <f aca="false">IF($K694="","",INDEX(Base!$J$5:$J$2004,$K694))</f>
        <v/>
      </c>
      <c r="I694" s="71" t="str">
        <f aca="false">IF($K694="","",INDEX(Base!$L$5:$L$2004,$K694))</f>
        <v/>
      </c>
      <c r="J694" s="72" t="str">
        <f aca="false">IFERROR(SMALL(Base!$P$5:$P$2004,ROW()-5),"")</f>
        <v/>
      </c>
      <c r="K694" s="72" t="str">
        <f aca="false">IF(J694="","",MATCH(J694,Base!$P$5:$P$2004,0))</f>
        <v/>
      </c>
    </row>
    <row r="695" customFormat="false" ht="15" hidden="false" customHeight="false" outlineLevel="0" collapsed="false">
      <c r="A695" s="67" t="str">
        <f aca="false">IF($K695="","",ROW()-5)</f>
        <v/>
      </c>
      <c r="B695" s="68" t="str">
        <f aca="false">IF($K695="","",INDEX(Base!$E$5:$E$2004,$K695))</f>
        <v/>
      </c>
      <c r="C695" s="69" t="str">
        <f aca="false">IF($K695="","",B695)</f>
        <v/>
      </c>
      <c r="D695" s="70" t="str">
        <f aca="false">IF($K695="","",INDEX(Base!$F$5:$F$2004,$K695))</f>
        <v/>
      </c>
      <c r="E695" s="70" t="str">
        <f aca="false">IF($K695="","",INDEX(Base!$G$5:$G$2004,$K695))</f>
        <v/>
      </c>
      <c r="F695" s="71" t="str">
        <f aca="false">IF($K695="","",INDEX(Base!$H$5:$H$2004,$K695))</f>
        <v/>
      </c>
      <c r="G695" s="71" t="str">
        <f aca="false">IF($K695="","",INDEX(Base!$I$5:$I$2004,$K695))</f>
        <v/>
      </c>
      <c r="H695" s="70" t="str">
        <f aca="false">IF($K695="","",INDEX(Base!$J$5:$J$2004,$K695))</f>
        <v/>
      </c>
      <c r="I695" s="71" t="str">
        <f aca="false">IF($K695="","",INDEX(Base!$L$5:$L$2004,$K695))</f>
        <v/>
      </c>
      <c r="J695" s="72" t="str">
        <f aca="false">IFERROR(SMALL(Base!$P$5:$P$2004,ROW()-5),"")</f>
        <v/>
      </c>
      <c r="K695" s="72" t="str">
        <f aca="false">IF(J695="","",MATCH(J695,Base!$P$5:$P$2004,0))</f>
        <v/>
      </c>
    </row>
    <row r="696" customFormat="false" ht="15" hidden="false" customHeight="false" outlineLevel="0" collapsed="false">
      <c r="A696" s="67" t="str">
        <f aca="false">IF($K696="","",ROW()-5)</f>
        <v/>
      </c>
      <c r="B696" s="68" t="str">
        <f aca="false">IF($K696="","",INDEX(Base!$E$5:$E$2004,$K696))</f>
        <v/>
      </c>
      <c r="C696" s="69" t="str">
        <f aca="false">IF($K696="","",B696)</f>
        <v/>
      </c>
      <c r="D696" s="70" t="str">
        <f aca="false">IF($K696="","",INDEX(Base!$F$5:$F$2004,$K696))</f>
        <v/>
      </c>
      <c r="E696" s="70" t="str">
        <f aca="false">IF($K696="","",INDEX(Base!$G$5:$G$2004,$K696))</f>
        <v/>
      </c>
      <c r="F696" s="71" t="str">
        <f aca="false">IF($K696="","",INDEX(Base!$H$5:$H$2004,$K696))</f>
        <v/>
      </c>
      <c r="G696" s="71" t="str">
        <f aca="false">IF($K696="","",INDEX(Base!$I$5:$I$2004,$K696))</f>
        <v/>
      </c>
      <c r="H696" s="70" t="str">
        <f aca="false">IF($K696="","",INDEX(Base!$J$5:$J$2004,$K696))</f>
        <v/>
      </c>
      <c r="I696" s="71" t="str">
        <f aca="false">IF($K696="","",INDEX(Base!$L$5:$L$2004,$K696))</f>
        <v/>
      </c>
      <c r="J696" s="72" t="str">
        <f aca="false">IFERROR(SMALL(Base!$P$5:$P$2004,ROW()-5),"")</f>
        <v/>
      </c>
      <c r="K696" s="72" t="str">
        <f aca="false">IF(J696="","",MATCH(J696,Base!$P$5:$P$2004,0))</f>
        <v/>
      </c>
    </row>
    <row r="697" customFormat="false" ht="15" hidden="false" customHeight="false" outlineLevel="0" collapsed="false">
      <c r="A697" s="67" t="str">
        <f aca="false">IF($K697="","",ROW()-5)</f>
        <v/>
      </c>
      <c r="B697" s="68" t="str">
        <f aca="false">IF($K697="","",INDEX(Base!$E$5:$E$2004,$K697))</f>
        <v/>
      </c>
      <c r="C697" s="69" t="str">
        <f aca="false">IF($K697="","",B697)</f>
        <v/>
      </c>
      <c r="D697" s="70" t="str">
        <f aca="false">IF($K697="","",INDEX(Base!$F$5:$F$2004,$K697))</f>
        <v/>
      </c>
      <c r="E697" s="70" t="str">
        <f aca="false">IF($K697="","",INDEX(Base!$G$5:$G$2004,$K697))</f>
        <v/>
      </c>
      <c r="F697" s="71" t="str">
        <f aca="false">IF($K697="","",INDEX(Base!$H$5:$H$2004,$K697))</f>
        <v/>
      </c>
      <c r="G697" s="71" t="str">
        <f aca="false">IF($K697="","",INDEX(Base!$I$5:$I$2004,$K697))</f>
        <v/>
      </c>
      <c r="H697" s="70" t="str">
        <f aca="false">IF($K697="","",INDEX(Base!$J$5:$J$2004,$K697))</f>
        <v/>
      </c>
      <c r="I697" s="71" t="str">
        <f aca="false">IF($K697="","",INDEX(Base!$L$5:$L$2004,$K697))</f>
        <v/>
      </c>
      <c r="J697" s="72" t="str">
        <f aca="false">IFERROR(SMALL(Base!$P$5:$P$2004,ROW()-5),"")</f>
        <v/>
      </c>
      <c r="K697" s="72" t="str">
        <f aca="false">IF(J697="","",MATCH(J697,Base!$P$5:$P$2004,0))</f>
        <v/>
      </c>
    </row>
    <row r="698" customFormat="false" ht="15" hidden="false" customHeight="false" outlineLevel="0" collapsed="false">
      <c r="A698" s="67" t="str">
        <f aca="false">IF($K698="","",ROW()-5)</f>
        <v/>
      </c>
      <c r="B698" s="68" t="str">
        <f aca="false">IF($K698="","",INDEX(Base!$E$5:$E$2004,$K698))</f>
        <v/>
      </c>
      <c r="C698" s="69" t="str">
        <f aca="false">IF($K698="","",B698)</f>
        <v/>
      </c>
      <c r="D698" s="70" t="str">
        <f aca="false">IF($K698="","",INDEX(Base!$F$5:$F$2004,$K698))</f>
        <v/>
      </c>
      <c r="E698" s="70" t="str">
        <f aca="false">IF($K698="","",INDEX(Base!$G$5:$G$2004,$K698))</f>
        <v/>
      </c>
      <c r="F698" s="71" t="str">
        <f aca="false">IF($K698="","",INDEX(Base!$H$5:$H$2004,$K698))</f>
        <v/>
      </c>
      <c r="G698" s="71" t="str">
        <f aca="false">IF($K698="","",INDEX(Base!$I$5:$I$2004,$K698))</f>
        <v/>
      </c>
      <c r="H698" s="70" t="str">
        <f aca="false">IF($K698="","",INDEX(Base!$J$5:$J$2004,$K698))</f>
        <v/>
      </c>
      <c r="I698" s="71" t="str">
        <f aca="false">IF($K698="","",INDEX(Base!$L$5:$L$2004,$K698))</f>
        <v/>
      </c>
      <c r="J698" s="72" t="str">
        <f aca="false">IFERROR(SMALL(Base!$P$5:$P$2004,ROW()-5),"")</f>
        <v/>
      </c>
      <c r="K698" s="72" t="str">
        <f aca="false">IF(J698="","",MATCH(J698,Base!$P$5:$P$2004,0))</f>
        <v/>
      </c>
    </row>
    <row r="699" customFormat="false" ht="15" hidden="false" customHeight="false" outlineLevel="0" collapsed="false">
      <c r="A699" s="67" t="str">
        <f aca="false">IF($K699="","",ROW()-5)</f>
        <v/>
      </c>
      <c r="B699" s="68" t="str">
        <f aca="false">IF($K699="","",INDEX(Base!$E$5:$E$2004,$K699))</f>
        <v/>
      </c>
      <c r="C699" s="69" t="str">
        <f aca="false">IF($K699="","",B699)</f>
        <v/>
      </c>
      <c r="D699" s="70" t="str">
        <f aca="false">IF($K699="","",INDEX(Base!$F$5:$F$2004,$K699))</f>
        <v/>
      </c>
      <c r="E699" s="70" t="str">
        <f aca="false">IF($K699="","",INDEX(Base!$G$5:$G$2004,$K699))</f>
        <v/>
      </c>
      <c r="F699" s="71" t="str">
        <f aca="false">IF($K699="","",INDEX(Base!$H$5:$H$2004,$K699))</f>
        <v/>
      </c>
      <c r="G699" s="71" t="str">
        <f aca="false">IF($K699="","",INDEX(Base!$I$5:$I$2004,$K699))</f>
        <v/>
      </c>
      <c r="H699" s="70" t="str">
        <f aca="false">IF($K699="","",INDEX(Base!$J$5:$J$2004,$K699))</f>
        <v/>
      </c>
      <c r="I699" s="71" t="str">
        <f aca="false">IF($K699="","",INDEX(Base!$L$5:$L$2004,$K699))</f>
        <v/>
      </c>
      <c r="J699" s="72" t="str">
        <f aca="false">IFERROR(SMALL(Base!$P$5:$P$2004,ROW()-5),"")</f>
        <v/>
      </c>
      <c r="K699" s="72" t="str">
        <f aca="false">IF(J699="","",MATCH(J699,Base!$P$5:$P$2004,0))</f>
        <v/>
      </c>
    </row>
    <row r="700" customFormat="false" ht="15" hidden="false" customHeight="false" outlineLevel="0" collapsed="false">
      <c r="A700" s="67" t="str">
        <f aca="false">IF($K700="","",ROW()-5)</f>
        <v/>
      </c>
      <c r="B700" s="68" t="str">
        <f aca="false">IF($K700="","",INDEX(Base!$E$5:$E$2004,$K700))</f>
        <v/>
      </c>
      <c r="C700" s="69" t="str">
        <f aca="false">IF($K700="","",B700)</f>
        <v/>
      </c>
      <c r="D700" s="70" t="str">
        <f aca="false">IF($K700="","",INDEX(Base!$F$5:$F$2004,$K700))</f>
        <v/>
      </c>
      <c r="E700" s="70" t="str">
        <f aca="false">IF($K700="","",INDEX(Base!$G$5:$G$2004,$K700))</f>
        <v/>
      </c>
      <c r="F700" s="71" t="str">
        <f aca="false">IF($K700="","",INDEX(Base!$H$5:$H$2004,$K700))</f>
        <v/>
      </c>
      <c r="G700" s="71" t="str">
        <f aca="false">IF($K700="","",INDEX(Base!$I$5:$I$2004,$K700))</f>
        <v/>
      </c>
      <c r="H700" s="70" t="str">
        <f aca="false">IF($K700="","",INDEX(Base!$J$5:$J$2004,$K700))</f>
        <v/>
      </c>
      <c r="I700" s="71" t="str">
        <f aca="false">IF($K700="","",INDEX(Base!$L$5:$L$2004,$K700))</f>
        <v/>
      </c>
      <c r="J700" s="72" t="str">
        <f aca="false">IFERROR(SMALL(Base!$P$5:$P$2004,ROW()-5),"")</f>
        <v/>
      </c>
      <c r="K700" s="72" t="str">
        <f aca="false">IF(J700="","",MATCH(J700,Base!$P$5:$P$2004,0))</f>
        <v/>
      </c>
    </row>
    <row r="701" customFormat="false" ht="15" hidden="false" customHeight="false" outlineLevel="0" collapsed="false">
      <c r="A701" s="67" t="str">
        <f aca="false">IF($K701="","",ROW()-5)</f>
        <v/>
      </c>
      <c r="B701" s="68" t="str">
        <f aca="false">IF($K701="","",INDEX(Base!$E$5:$E$2004,$K701))</f>
        <v/>
      </c>
      <c r="C701" s="69" t="str">
        <f aca="false">IF($K701="","",B701)</f>
        <v/>
      </c>
      <c r="D701" s="70" t="str">
        <f aca="false">IF($K701="","",INDEX(Base!$F$5:$F$2004,$K701))</f>
        <v/>
      </c>
      <c r="E701" s="70" t="str">
        <f aca="false">IF($K701="","",INDEX(Base!$G$5:$G$2004,$K701))</f>
        <v/>
      </c>
      <c r="F701" s="71" t="str">
        <f aca="false">IF($K701="","",INDEX(Base!$H$5:$H$2004,$K701))</f>
        <v/>
      </c>
      <c r="G701" s="71" t="str">
        <f aca="false">IF($K701="","",INDEX(Base!$I$5:$I$2004,$K701))</f>
        <v/>
      </c>
      <c r="H701" s="70" t="str">
        <f aca="false">IF($K701="","",INDEX(Base!$J$5:$J$2004,$K701))</f>
        <v/>
      </c>
      <c r="I701" s="71" t="str">
        <f aca="false">IF($K701="","",INDEX(Base!$L$5:$L$2004,$K701))</f>
        <v/>
      </c>
      <c r="J701" s="72" t="str">
        <f aca="false">IFERROR(SMALL(Base!$P$5:$P$2004,ROW()-5),"")</f>
        <v/>
      </c>
      <c r="K701" s="72" t="str">
        <f aca="false">IF(J701="","",MATCH(J701,Base!$P$5:$P$2004,0))</f>
        <v/>
      </c>
    </row>
    <row r="702" customFormat="false" ht="15" hidden="false" customHeight="false" outlineLevel="0" collapsed="false">
      <c r="A702" s="67" t="str">
        <f aca="false">IF($K702="","",ROW()-5)</f>
        <v/>
      </c>
      <c r="B702" s="68" t="str">
        <f aca="false">IF($K702="","",INDEX(Base!$E$5:$E$2004,$K702))</f>
        <v/>
      </c>
      <c r="C702" s="69" t="str">
        <f aca="false">IF($K702="","",B702)</f>
        <v/>
      </c>
      <c r="D702" s="70" t="str">
        <f aca="false">IF($K702="","",INDEX(Base!$F$5:$F$2004,$K702))</f>
        <v/>
      </c>
      <c r="E702" s="70" t="str">
        <f aca="false">IF($K702="","",INDEX(Base!$G$5:$G$2004,$K702))</f>
        <v/>
      </c>
      <c r="F702" s="71" t="str">
        <f aca="false">IF($K702="","",INDEX(Base!$H$5:$H$2004,$K702))</f>
        <v/>
      </c>
      <c r="G702" s="71" t="str">
        <f aca="false">IF($K702="","",INDEX(Base!$I$5:$I$2004,$K702))</f>
        <v/>
      </c>
      <c r="H702" s="70" t="str">
        <f aca="false">IF($K702="","",INDEX(Base!$J$5:$J$2004,$K702))</f>
        <v/>
      </c>
      <c r="I702" s="71" t="str">
        <f aca="false">IF($K702="","",INDEX(Base!$L$5:$L$2004,$K702))</f>
        <v/>
      </c>
      <c r="J702" s="72" t="str">
        <f aca="false">IFERROR(SMALL(Base!$P$5:$P$2004,ROW()-5),"")</f>
        <v/>
      </c>
      <c r="K702" s="72" t="str">
        <f aca="false">IF(J702="","",MATCH(J702,Base!$P$5:$P$2004,0))</f>
        <v/>
      </c>
    </row>
    <row r="703" customFormat="false" ht="15" hidden="false" customHeight="false" outlineLevel="0" collapsed="false">
      <c r="A703" s="67" t="str">
        <f aca="false">IF($K703="","",ROW()-5)</f>
        <v/>
      </c>
      <c r="B703" s="68" t="str">
        <f aca="false">IF($K703="","",INDEX(Base!$E$5:$E$2004,$K703))</f>
        <v/>
      </c>
      <c r="C703" s="69" t="str">
        <f aca="false">IF($K703="","",B703)</f>
        <v/>
      </c>
      <c r="D703" s="70" t="str">
        <f aca="false">IF($K703="","",INDEX(Base!$F$5:$F$2004,$K703))</f>
        <v/>
      </c>
      <c r="E703" s="70" t="str">
        <f aca="false">IF($K703="","",INDEX(Base!$G$5:$G$2004,$K703))</f>
        <v/>
      </c>
      <c r="F703" s="71" t="str">
        <f aca="false">IF($K703="","",INDEX(Base!$H$5:$H$2004,$K703))</f>
        <v/>
      </c>
      <c r="G703" s="71" t="str">
        <f aca="false">IF($K703="","",INDEX(Base!$I$5:$I$2004,$K703))</f>
        <v/>
      </c>
      <c r="H703" s="70" t="str">
        <f aca="false">IF($K703="","",INDEX(Base!$J$5:$J$2004,$K703))</f>
        <v/>
      </c>
      <c r="I703" s="71" t="str">
        <f aca="false">IF($K703="","",INDEX(Base!$L$5:$L$2004,$K703))</f>
        <v/>
      </c>
      <c r="J703" s="72" t="str">
        <f aca="false">IFERROR(SMALL(Base!$P$5:$P$2004,ROW()-5),"")</f>
        <v/>
      </c>
      <c r="K703" s="72" t="str">
        <f aca="false">IF(J703="","",MATCH(J703,Base!$P$5:$P$2004,0))</f>
        <v/>
      </c>
    </row>
    <row r="704" customFormat="false" ht="15" hidden="false" customHeight="false" outlineLevel="0" collapsed="false">
      <c r="A704" s="67" t="str">
        <f aca="false">IF($K704="","",ROW()-5)</f>
        <v/>
      </c>
      <c r="B704" s="68" t="str">
        <f aca="false">IF($K704="","",INDEX(Base!$E$5:$E$2004,$K704))</f>
        <v/>
      </c>
      <c r="C704" s="69" t="str">
        <f aca="false">IF($K704="","",B704)</f>
        <v/>
      </c>
      <c r="D704" s="70" t="str">
        <f aca="false">IF($K704="","",INDEX(Base!$F$5:$F$2004,$K704))</f>
        <v/>
      </c>
      <c r="E704" s="70" t="str">
        <f aca="false">IF($K704="","",INDEX(Base!$G$5:$G$2004,$K704))</f>
        <v/>
      </c>
      <c r="F704" s="71" t="str">
        <f aca="false">IF($K704="","",INDEX(Base!$H$5:$H$2004,$K704))</f>
        <v/>
      </c>
      <c r="G704" s="71" t="str">
        <f aca="false">IF($K704="","",INDEX(Base!$I$5:$I$2004,$K704))</f>
        <v/>
      </c>
      <c r="H704" s="70" t="str">
        <f aca="false">IF($K704="","",INDEX(Base!$J$5:$J$2004,$K704))</f>
        <v/>
      </c>
      <c r="I704" s="71" t="str">
        <f aca="false">IF($K704="","",INDEX(Base!$L$5:$L$2004,$K704))</f>
        <v/>
      </c>
      <c r="J704" s="72" t="str">
        <f aca="false">IFERROR(SMALL(Base!$P$5:$P$2004,ROW()-5),"")</f>
        <v/>
      </c>
      <c r="K704" s="72" t="str">
        <f aca="false">IF(J704="","",MATCH(J704,Base!$P$5:$P$2004,0))</f>
        <v/>
      </c>
    </row>
    <row r="705" customFormat="false" ht="15" hidden="false" customHeight="false" outlineLevel="0" collapsed="false">
      <c r="A705" s="67" t="str">
        <f aca="false">IF($K705="","",ROW()-5)</f>
        <v/>
      </c>
      <c r="B705" s="68" t="str">
        <f aca="false">IF($K705="","",INDEX(Base!$E$5:$E$2004,$K705))</f>
        <v/>
      </c>
      <c r="C705" s="69" t="str">
        <f aca="false">IF($K705="","",B705)</f>
        <v/>
      </c>
      <c r="D705" s="70" t="str">
        <f aca="false">IF($K705="","",INDEX(Base!$F$5:$F$2004,$K705))</f>
        <v/>
      </c>
      <c r="E705" s="70" t="str">
        <f aca="false">IF($K705="","",INDEX(Base!$G$5:$G$2004,$K705))</f>
        <v/>
      </c>
      <c r="F705" s="71" t="str">
        <f aca="false">IF($K705="","",INDEX(Base!$H$5:$H$2004,$K705))</f>
        <v/>
      </c>
      <c r="G705" s="71" t="str">
        <f aca="false">IF($K705="","",INDEX(Base!$I$5:$I$2004,$K705))</f>
        <v/>
      </c>
      <c r="H705" s="70" t="str">
        <f aca="false">IF($K705="","",INDEX(Base!$J$5:$J$2004,$K705))</f>
        <v/>
      </c>
      <c r="I705" s="71" t="str">
        <f aca="false">IF($K705="","",INDEX(Base!$L$5:$L$2004,$K705))</f>
        <v/>
      </c>
      <c r="J705" s="72" t="str">
        <f aca="false">IFERROR(SMALL(Base!$P$5:$P$2004,ROW()-5),"")</f>
        <v/>
      </c>
      <c r="K705" s="72" t="str">
        <f aca="false">IF(J705="","",MATCH(J705,Base!$P$5:$P$2004,0))</f>
        <v/>
      </c>
    </row>
    <row r="706" customFormat="false" ht="15" hidden="false" customHeight="false" outlineLevel="0" collapsed="false">
      <c r="A706" s="67" t="str">
        <f aca="false">IF($K706="","",ROW()-5)</f>
        <v/>
      </c>
      <c r="B706" s="68" t="str">
        <f aca="false">IF($K706="","",INDEX(Base!$E$5:$E$2004,$K706))</f>
        <v/>
      </c>
      <c r="C706" s="69" t="str">
        <f aca="false">IF($K706="","",B706)</f>
        <v/>
      </c>
      <c r="D706" s="70" t="str">
        <f aca="false">IF($K706="","",INDEX(Base!$F$5:$F$2004,$K706))</f>
        <v/>
      </c>
      <c r="E706" s="70" t="str">
        <f aca="false">IF($K706="","",INDEX(Base!$G$5:$G$2004,$K706))</f>
        <v/>
      </c>
      <c r="F706" s="71" t="str">
        <f aca="false">IF($K706="","",INDEX(Base!$H$5:$H$2004,$K706))</f>
        <v/>
      </c>
      <c r="G706" s="71" t="str">
        <f aca="false">IF($K706="","",INDEX(Base!$I$5:$I$2004,$K706))</f>
        <v/>
      </c>
      <c r="H706" s="70" t="str">
        <f aca="false">IF($K706="","",INDEX(Base!$J$5:$J$2004,$K706))</f>
        <v/>
      </c>
      <c r="I706" s="71" t="str">
        <f aca="false">IF($K706="","",INDEX(Base!$L$5:$L$2004,$K706))</f>
        <v/>
      </c>
      <c r="J706" s="72" t="str">
        <f aca="false">IFERROR(SMALL(Base!$P$5:$P$2004,ROW()-5),"")</f>
        <v/>
      </c>
      <c r="K706" s="72" t="str">
        <f aca="false">IF(J706="","",MATCH(J706,Base!$P$5:$P$2004,0))</f>
        <v/>
      </c>
    </row>
    <row r="707" customFormat="false" ht="15" hidden="false" customHeight="false" outlineLevel="0" collapsed="false">
      <c r="A707" s="67" t="str">
        <f aca="false">IF($K707="","",ROW()-5)</f>
        <v/>
      </c>
      <c r="B707" s="68" t="str">
        <f aca="false">IF($K707="","",INDEX(Base!$E$5:$E$2004,$K707))</f>
        <v/>
      </c>
      <c r="C707" s="69" t="str">
        <f aca="false">IF($K707="","",B707)</f>
        <v/>
      </c>
      <c r="D707" s="70" t="str">
        <f aca="false">IF($K707="","",INDEX(Base!$F$5:$F$2004,$K707))</f>
        <v/>
      </c>
      <c r="E707" s="70" t="str">
        <f aca="false">IF($K707="","",INDEX(Base!$G$5:$G$2004,$K707))</f>
        <v/>
      </c>
      <c r="F707" s="71" t="str">
        <f aca="false">IF($K707="","",INDEX(Base!$H$5:$H$2004,$K707))</f>
        <v/>
      </c>
      <c r="G707" s="71" t="str">
        <f aca="false">IF($K707="","",INDEX(Base!$I$5:$I$2004,$K707))</f>
        <v/>
      </c>
      <c r="H707" s="70" t="str">
        <f aca="false">IF($K707="","",INDEX(Base!$J$5:$J$2004,$K707))</f>
        <v/>
      </c>
      <c r="I707" s="71" t="str">
        <f aca="false">IF($K707="","",INDEX(Base!$L$5:$L$2004,$K707))</f>
        <v/>
      </c>
      <c r="J707" s="72" t="str">
        <f aca="false">IFERROR(SMALL(Base!$P$5:$P$2004,ROW()-5),"")</f>
        <v/>
      </c>
      <c r="K707" s="72" t="str">
        <f aca="false">IF(J707="","",MATCH(J707,Base!$P$5:$P$2004,0))</f>
        <v/>
      </c>
    </row>
    <row r="708" customFormat="false" ht="15" hidden="false" customHeight="false" outlineLevel="0" collapsed="false">
      <c r="A708" s="67" t="str">
        <f aca="false">IF($K708="","",ROW()-5)</f>
        <v/>
      </c>
      <c r="B708" s="68" t="str">
        <f aca="false">IF($K708="","",INDEX(Base!$E$5:$E$2004,$K708))</f>
        <v/>
      </c>
      <c r="C708" s="69" t="str">
        <f aca="false">IF($K708="","",B708)</f>
        <v/>
      </c>
      <c r="D708" s="70" t="str">
        <f aca="false">IF($K708="","",INDEX(Base!$F$5:$F$2004,$K708))</f>
        <v/>
      </c>
      <c r="E708" s="70" t="str">
        <f aca="false">IF($K708="","",INDEX(Base!$G$5:$G$2004,$K708))</f>
        <v/>
      </c>
      <c r="F708" s="71" t="str">
        <f aca="false">IF($K708="","",INDEX(Base!$H$5:$H$2004,$K708))</f>
        <v/>
      </c>
      <c r="G708" s="71" t="str">
        <f aca="false">IF($K708="","",INDEX(Base!$I$5:$I$2004,$K708))</f>
        <v/>
      </c>
      <c r="H708" s="70" t="str">
        <f aca="false">IF($K708="","",INDEX(Base!$J$5:$J$2004,$K708))</f>
        <v/>
      </c>
      <c r="I708" s="71" t="str">
        <f aca="false">IF($K708="","",INDEX(Base!$L$5:$L$2004,$K708))</f>
        <v/>
      </c>
      <c r="J708" s="72" t="str">
        <f aca="false">IFERROR(SMALL(Base!$P$5:$P$2004,ROW()-5),"")</f>
        <v/>
      </c>
      <c r="K708" s="72" t="str">
        <f aca="false">IF(J708="","",MATCH(J708,Base!$P$5:$P$2004,0))</f>
        <v/>
      </c>
    </row>
    <row r="709" customFormat="false" ht="15" hidden="false" customHeight="false" outlineLevel="0" collapsed="false">
      <c r="A709" s="67" t="str">
        <f aca="false">IF($K709="","",ROW()-5)</f>
        <v/>
      </c>
      <c r="B709" s="68" t="str">
        <f aca="false">IF($K709="","",INDEX(Base!$E$5:$E$2004,$K709))</f>
        <v/>
      </c>
      <c r="C709" s="69" t="str">
        <f aca="false">IF($K709="","",B709)</f>
        <v/>
      </c>
      <c r="D709" s="70" t="str">
        <f aca="false">IF($K709="","",INDEX(Base!$F$5:$F$2004,$K709))</f>
        <v/>
      </c>
      <c r="E709" s="70" t="str">
        <f aca="false">IF($K709="","",INDEX(Base!$G$5:$G$2004,$K709))</f>
        <v/>
      </c>
      <c r="F709" s="71" t="str">
        <f aca="false">IF($K709="","",INDEX(Base!$H$5:$H$2004,$K709))</f>
        <v/>
      </c>
      <c r="G709" s="71" t="str">
        <f aca="false">IF($K709="","",INDEX(Base!$I$5:$I$2004,$K709))</f>
        <v/>
      </c>
      <c r="H709" s="70" t="str">
        <f aca="false">IF($K709="","",INDEX(Base!$J$5:$J$2004,$K709))</f>
        <v/>
      </c>
      <c r="I709" s="71" t="str">
        <f aca="false">IF($K709="","",INDEX(Base!$L$5:$L$2004,$K709))</f>
        <v/>
      </c>
      <c r="J709" s="72" t="str">
        <f aca="false">IFERROR(SMALL(Base!$P$5:$P$2004,ROW()-5),"")</f>
        <v/>
      </c>
      <c r="K709" s="72" t="str">
        <f aca="false">IF(J709="","",MATCH(J709,Base!$P$5:$P$2004,0))</f>
        <v/>
      </c>
    </row>
    <row r="710" customFormat="false" ht="15" hidden="false" customHeight="false" outlineLevel="0" collapsed="false">
      <c r="A710" s="67" t="str">
        <f aca="false">IF($K710="","",ROW()-5)</f>
        <v/>
      </c>
      <c r="B710" s="68" t="str">
        <f aca="false">IF($K710="","",INDEX(Base!$E$5:$E$2004,$K710))</f>
        <v/>
      </c>
      <c r="C710" s="69" t="str">
        <f aca="false">IF($K710="","",B710)</f>
        <v/>
      </c>
      <c r="D710" s="70" t="str">
        <f aca="false">IF($K710="","",INDEX(Base!$F$5:$F$2004,$K710))</f>
        <v/>
      </c>
      <c r="E710" s="70" t="str">
        <f aca="false">IF($K710="","",INDEX(Base!$G$5:$G$2004,$K710))</f>
        <v/>
      </c>
      <c r="F710" s="71" t="str">
        <f aca="false">IF($K710="","",INDEX(Base!$H$5:$H$2004,$K710))</f>
        <v/>
      </c>
      <c r="G710" s="71" t="str">
        <f aca="false">IF($K710="","",INDEX(Base!$I$5:$I$2004,$K710))</f>
        <v/>
      </c>
      <c r="H710" s="70" t="str">
        <f aca="false">IF($K710="","",INDEX(Base!$J$5:$J$2004,$K710))</f>
        <v/>
      </c>
      <c r="I710" s="71" t="str">
        <f aca="false">IF($K710="","",INDEX(Base!$L$5:$L$2004,$K710))</f>
        <v/>
      </c>
      <c r="J710" s="72" t="str">
        <f aca="false">IFERROR(SMALL(Base!$P$5:$P$2004,ROW()-5),"")</f>
        <v/>
      </c>
      <c r="K710" s="72" t="str">
        <f aca="false">IF(J710="","",MATCH(J710,Base!$P$5:$P$2004,0))</f>
        <v/>
      </c>
    </row>
    <row r="711" customFormat="false" ht="15" hidden="false" customHeight="false" outlineLevel="0" collapsed="false">
      <c r="A711" s="67" t="str">
        <f aca="false">IF($K711="","",ROW()-5)</f>
        <v/>
      </c>
      <c r="B711" s="68" t="str">
        <f aca="false">IF($K711="","",INDEX(Base!$E$5:$E$2004,$K711))</f>
        <v/>
      </c>
      <c r="C711" s="69" t="str">
        <f aca="false">IF($K711="","",B711)</f>
        <v/>
      </c>
      <c r="D711" s="70" t="str">
        <f aca="false">IF($K711="","",INDEX(Base!$F$5:$F$2004,$K711))</f>
        <v/>
      </c>
      <c r="E711" s="70" t="str">
        <f aca="false">IF($K711="","",INDEX(Base!$G$5:$G$2004,$K711))</f>
        <v/>
      </c>
      <c r="F711" s="71" t="str">
        <f aca="false">IF($K711="","",INDEX(Base!$H$5:$H$2004,$K711))</f>
        <v/>
      </c>
      <c r="G711" s="71" t="str">
        <f aca="false">IF($K711="","",INDEX(Base!$I$5:$I$2004,$K711))</f>
        <v/>
      </c>
      <c r="H711" s="70" t="str">
        <f aca="false">IF($K711="","",INDEX(Base!$J$5:$J$2004,$K711))</f>
        <v/>
      </c>
      <c r="I711" s="71" t="str">
        <f aca="false">IF($K711="","",INDEX(Base!$L$5:$L$2004,$K711))</f>
        <v/>
      </c>
      <c r="J711" s="72" t="str">
        <f aca="false">IFERROR(SMALL(Base!$P$5:$P$2004,ROW()-5),"")</f>
        <v/>
      </c>
      <c r="K711" s="72" t="str">
        <f aca="false">IF(J711="","",MATCH(J711,Base!$P$5:$P$2004,0))</f>
        <v/>
      </c>
    </row>
    <row r="712" customFormat="false" ht="15" hidden="false" customHeight="false" outlineLevel="0" collapsed="false">
      <c r="A712" s="67" t="str">
        <f aca="false">IF($K712="","",ROW()-5)</f>
        <v/>
      </c>
      <c r="B712" s="68" t="str">
        <f aca="false">IF($K712="","",INDEX(Base!$E$5:$E$2004,$K712))</f>
        <v/>
      </c>
      <c r="C712" s="69" t="str">
        <f aca="false">IF($K712="","",B712)</f>
        <v/>
      </c>
      <c r="D712" s="70" t="str">
        <f aca="false">IF($K712="","",INDEX(Base!$F$5:$F$2004,$K712))</f>
        <v/>
      </c>
      <c r="E712" s="70" t="str">
        <f aca="false">IF($K712="","",INDEX(Base!$G$5:$G$2004,$K712))</f>
        <v/>
      </c>
      <c r="F712" s="71" t="str">
        <f aca="false">IF($K712="","",INDEX(Base!$H$5:$H$2004,$K712))</f>
        <v/>
      </c>
      <c r="G712" s="71" t="str">
        <f aca="false">IF($K712="","",INDEX(Base!$I$5:$I$2004,$K712))</f>
        <v/>
      </c>
      <c r="H712" s="70" t="str">
        <f aca="false">IF($K712="","",INDEX(Base!$J$5:$J$2004,$K712))</f>
        <v/>
      </c>
      <c r="I712" s="71" t="str">
        <f aca="false">IF($K712="","",INDEX(Base!$L$5:$L$2004,$K712))</f>
        <v/>
      </c>
      <c r="J712" s="72" t="str">
        <f aca="false">IFERROR(SMALL(Base!$P$5:$P$2004,ROW()-5),"")</f>
        <v/>
      </c>
      <c r="K712" s="72" t="str">
        <f aca="false">IF(J712="","",MATCH(J712,Base!$P$5:$P$2004,0))</f>
        <v/>
      </c>
    </row>
    <row r="713" customFormat="false" ht="15" hidden="false" customHeight="false" outlineLevel="0" collapsed="false">
      <c r="A713" s="67" t="str">
        <f aca="false">IF($K713="","",ROW()-5)</f>
        <v/>
      </c>
      <c r="B713" s="68" t="str">
        <f aca="false">IF($K713="","",INDEX(Base!$E$5:$E$2004,$K713))</f>
        <v/>
      </c>
      <c r="C713" s="69" t="str">
        <f aca="false">IF($K713="","",B713)</f>
        <v/>
      </c>
      <c r="D713" s="70" t="str">
        <f aca="false">IF($K713="","",INDEX(Base!$F$5:$F$2004,$K713))</f>
        <v/>
      </c>
      <c r="E713" s="70" t="str">
        <f aca="false">IF($K713="","",INDEX(Base!$G$5:$G$2004,$K713))</f>
        <v/>
      </c>
      <c r="F713" s="71" t="str">
        <f aca="false">IF($K713="","",INDEX(Base!$H$5:$H$2004,$K713))</f>
        <v/>
      </c>
      <c r="G713" s="71" t="str">
        <f aca="false">IF($K713="","",INDEX(Base!$I$5:$I$2004,$K713))</f>
        <v/>
      </c>
      <c r="H713" s="70" t="str">
        <f aca="false">IF($K713="","",INDEX(Base!$J$5:$J$2004,$K713))</f>
        <v/>
      </c>
      <c r="I713" s="71" t="str">
        <f aca="false">IF($K713="","",INDEX(Base!$L$5:$L$2004,$K713))</f>
        <v/>
      </c>
      <c r="J713" s="72" t="str">
        <f aca="false">IFERROR(SMALL(Base!$P$5:$P$2004,ROW()-5),"")</f>
        <v/>
      </c>
      <c r="K713" s="72" t="str">
        <f aca="false">IF(J713="","",MATCH(J713,Base!$P$5:$P$2004,0))</f>
        <v/>
      </c>
    </row>
    <row r="714" customFormat="false" ht="15" hidden="false" customHeight="false" outlineLevel="0" collapsed="false">
      <c r="A714" s="67" t="str">
        <f aca="false">IF($K714="","",ROW()-5)</f>
        <v/>
      </c>
      <c r="B714" s="68" t="str">
        <f aca="false">IF($K714="","",INDEX(Base!$E$5:$E$2004,$K714))</f>
        <v/>
      </c>
      <c r="C714" s="69" t="str">
        <f aca="false">IF($K714="","",B714)</f>
        <v/>
      </c>
      <c r="D714" s="70" t="str">
        <f aca="false">IF($K714="","",INDEX(Base!$F$5:$F$2004,$K714))</f>
        <v/>
      </c>
      <c r="E714" s="70" t="str">
        <f aca="false">IF($K714="","",INDEX(Base!$G$5:$G$2004,$K714))</f>
        <v/>
      </c>
      <c r="F714" s="71" t="str">
        <f aca="false">IF($K714="","",INDEX(Base!$H$5:$H$2004,$K714))</f>
        <v/>
      </c>
      <c r="G714" s="71" t="str">
        <f aca="false">IF($K714="","",INDEX(Base!$I$5:$I$2004,$K714))</f>
        <v/>
      </c>
      <c r="H714" s="70" t="str">
        <f aca="false">IF($K714="","",INDEX(Base!$J$5:$J$2004,$K714))</f>
        <v/>
      </c>
      <c r="I714" s="71" t="str">
        <f aca="false">IF($K714="","",INDEX(Base!$L$5:$L$2004,$K714))</f>
        <v/>
      </c>
      <c r="J714" s="72" t="str">
        <f aca="false">IFERROR(SMALL(Base!$P$5:$P$2004,ROW()-5),"")</f>
        <v/>
      </c>
      <c r="K714" s="72" t="str">
        <f aca="false">IF(J714="","",MATCH(J714,Base!$P$5:$P$2004,0))</f>
        <v/>
      </c>
    </row>
    <row r="715" customFormat="false" ht="15" hidden="false" customHeight="false" outlineLevel="0" collapsed="false">
      <c r="A715" s="67" t="str">
        <f aca="false">IF($K715="","",ROW()-5)</f>
        <v/>
      </c>
      <c r="B715" s="68" t="str">
        <f aca="false">IF($K715="","",INDEX(Base!$E$5:$E$2004,$K715))</f>
        <v/>
      </c>
      <c r="C715" s="69" t="str">
        <f aca="false">IF($K715="","",B715)</f>
        <v/>
      </c>
      <c r="D715" s="70" t="str">
        <f aca="false">IF($K715="","",INDEX(Base!$F$5:$F$2004,$K715))</f>
        <v/>
      </c>
      <c r="E715" s="70" t="str">
        <f aca="false">IF($K715="","",INDEX(Base!$G$5:$G$2004,$K715))</f>
        <v/>
      </c>
      <c r="F715" s="71" t="str">
        <f aca="false">IF($K715="","",INDEX(Base!$H$5:$H$2004,$K715))</f>
        <v/>
      </c>
      <c r="G715" s="71" t="str">
        <f aca="false">IF($K715="","",INDEX(Base!$I$5:$I$2004,$K715))</f>
        <v/>
      </c>
      <c r="H715" s="70" t="str">
        <f aca="false">IF($K715="","",INDEX(Base!$J$5:$J$2004,$K715))</f>
        <v/>
      </c>
      <c r="I715" s="71" t="str">
        <f aca="false">IF($K715="","",INDEX(Base!$L$5:$L$2004,$K715))</f>
        <v/>
      </c>
      <c r="J715" s="72" t="str">
        <f aca="false">IFERROR(SMALL(Base!$P$5:$P$2004,ROW()-5),"")</f>
        <v/>
      </c>
      <c r="K715" s="72" t="str">
        <f aca="false">IF(J715="","",MATCH(J715,Base!$P$5:$P$2004,0))</f>
        <v/>
      </c>
    </row>
    <row r="716" customFormat="false" ht="15" hidden="false" customHeight="false" outlineLevel="0" collapsed="false">
      <c r="A716" s="67" t="str">
        <f aca="false">IF($K716="","",ROW()-5)</f>
        <v/>
      </c>
      <c r="B716" s="68" t="str">
        <f aca="false">IF($K716="","",INDEX(Base!$E$5:$E$2004,$K716))</f>
        <v/>
      </c>
      <c r="C716" s="69" t="str">
        <f aca="false">IF($K716="","",B716)</f>
        <v/>
      </c>
      <c r="D716" s="70" t="str">
        <f aca="false">IF($K716="","",INDEX(Base!$F$5:$F$2004,$K716))</f>
        <v/>
      </c>
      <c r="E716" s="70" t="str">
        <f aca="false">IF($K716="","",INDEX(Base!$G$5:$G$2004,$K716))</f>
        <v/>
      </c>
      <c r="F716" s="71" t="str">
        <f aca="false">IF($K716="","",INDEX(Base!$H$5:$H$2004,$K716))</f>
        <v/>
      </c>
      <c r="G716" s="71" t="str">
        <f aca="false">IF($K716="","",INDEX(Base!$I$5:$I$2004,$K716))</f>
        <v/>
      </c>
      <c r="H716" s="70" t="str">
        <f aca="false">IF($K716="","",INDEX(Base!$J$5:$J$2004,$K716))</f>
        <v/>
      </c>
      <c r="I716" s="71" t="str">
        <f aca="false">IF($K716="","",INDEX(Base!$L$5:$L$2004,$K716))</f>
        <v/>
      </c>
      <c r="J716" s="72" t="str">
        <f aca="false">IFERROR(SMALL(Base!$P$5:$P$2004,ROW()-5),"")</f>
        <v/>
      </c>
      <c r="K716" s="72" t="str">
        <f aca="false">IF(J716="","",MATCH(J716,Base!$P$5:$P$2004,0))</f>
        <v/>
      </c>
    </row>
    <row r="717" customFormat="false" ht="15" hidden="false" customHeight="false" outlineLevel="0" collapsed="false">
      <c r="A717" s="67" t="str">
        <f aca="false">IF($K717="","",ROW()-5)</f>
        <v/>
      </c>
      <c r="B717" s="68" t="str">
        <f aca="false">IF($K717="","",INDEX(Base!$E$5:$E$2004,$K717))</f>
        <v/>
      </c>
      <c r="C717" s="69" t="str">
        <f aca="false">IF($K717="","",B717)</f>
        <v/>
      </c>
      <c r="D717" s="70" t="str">
        <f aca="false">IF($K717="","",INDEX(Base!$F$5:$F$2004,$K717))</f>
        <v/>
      </c>
      <c r="E717" s="70" t="str">
        <f aca="false">IF($K717="","",INDEX(Base!$G$5:$G$2004,$K717))</f>
        <v/>
      </c>
      <c r="F717" s="71" t="str">
        <f aca="false">IF($K717="","",INDEX(Base!$H$5:$H$2004,$K717))</f>
        <v/>
      </c>
      <c r="G717" s="71" t="str">
        <f aca="false">IF($K717="","",INDEX(Base!$I$5:$I$2004,$K717))</f>
        <v/>
      </c>
      <c r="H717" s="70" t="str">
        <f aca="false">IF($K717="","",INDEX(Base!$J$5:$J$2004,$K717))</f>
        <v/>
      </c>
      <c r="I717" s="71" t="str">
        <f aca="false">IF($K717="","",INDEX(Base!$L$5:$L$2004,$K717))</f>
        <v/>
      </c>
      <c r="J717" s="72" t="str">
        <f aca="false">IFERROR(SMALL(Base!$P$5:$P$2004,ROW()-5),"")</f>
        <v/>
      </c>
      <c r="K717" s="72" t="str">
        <f aca="false">IF(J717="","",MATCH(J717,Base!$P$5:$P$2004,0))</f>
        <v/>
      </c>
    </row>
    <row r="718" customFormat="false" ht="15" hidden="false" customHeight="false" outlineLevel="0" collapsed="false">
      <c r="A718" s="67" t="str">
        <f aca="false">IF($K718="","",ROW()-5)</f>
        <v/>
      </c>
      <c r="B718" s="68" t="str">
        <f aca="false">IF($K718="","",INDEX(Base!$E$5:$E$2004,$K718))</f>
        <v/>
      </c>
      <c r="C718" s="69" t="str">
        <f aca="false">IF($K718="","",B718)</f>
        <v/>
      </c>
      <c r="D718" s="70" t="str">
        <f aca="false">IF($K718="","",INDEX(Base!$F$5:$F$2004,$K718))</f>
        <v/>
      </c>
      <c r="E718" s="70" t="str">
        <f aca="false">IF($K718="","",INDEX(Base!$G$5:$G$2004,$K718))</f>
        <v/>
      </c>
      <c r="F718" s="71" t="str">
        <f aca="false">IF($K718="","",INDEX(Base!$H$5:$H$2004,$K718))</f>
        <v/>
      </c>
      <c r="G718" s="71" t="str">
        <f aca="false">IF($K718="","",INDEX(Base!$I$5:$I$2004,$K718))</f>
        <v/>
      </c>
      <c r="H718" s="70" t="str">
        <f aca="false">IF($K718="","",INDEX(Base!$J$5:$J$2004,$K718))</f>
        <v/>
      </c>
      <c r="I718" s="71" t="str">
        <f aca="false">IF($K718="","",INDEX(Base!$L$5:$L$2004,$K718))</f>
        <v/>
      </c>
      <c r="J718" s="72" t="str">
        <f aca="false">IFERROR(SMALL(Base!$P$5:$P$2004,ROW()-5),"")</f>
        <v/>
      </c>
      <c r="K718" s="72" t="str">
        <f aca="false">IF(J718="","",MATCH(J718,Base!$P$5:$P$2004,0))</f>
        <v/>
      </c>
    </row>
    <row r="719" customFormat="false" ht="15" hidden="false" customHeight="false" outlineLevel="0" collapsed="false">
      <c r="A719" s="67" t="str">
        <f aca="false">IF($K719="","",ROW()-5)</f>
        <v/>
      </c>
      <c r="B719" s="68" t="str">
        <f aca="false">IF($K719="","",INDEX(Base!$E$5:$E$2004,$K719))</f>
        <v/>
      </c>
      <c r="C719" s="69" t="str">
        <f aca="false">IF($K719="","",B719)</f>
        <v/>
      </c>
      <c r="D719" s="70" t="str">
        <f aca="false">IF($K719="","",INDEX(Base!$F$5:$F$2004,$K719))</f>
        <v/>
      </c>
      <c r="E719" s="70" t="str">
        <f aca="false">IF($K719="","",INDEX(Base!$G$5:$G$2004,$K719))</f>
        <v/>
      </c>
      <c r="F719" s="71" t="str">
        <f aca="false">IF($K719="","",INDEX(Base!$H$5:$H$2004,$K719))</f>
        <v/>
      </c>
      <c r="G719" s="71" t="str">
        <f aca="false">IF($K719="","",INDEX(Base!$I$5:$I$2004,$K719))</f>
        <v/>
      </c>
      <c r="H719" s="70" t="str">
        <f aca="false">IF($K719="","",INDEX(Base!$J$5:$J$2004,$K719))</f>
        <v/>
      </c>
      <c r="I719" s="71" t="str">
        <f aca="false">IF($K719="","",INDEX(Base!$L$5:$L$2004,$K719))</f>
        <v/>
      </c>
      <c r="J719" s="72" t="str">
        <f aca="false">IFERROR(SMALL(Base!$P$5:$P$2004,ROW()-5),"")</f>
        <v/>
      </c>
      <c r="K719" s="72" t="str">
        <f aca="false">IF(J719="","",MATCH(J719,Base!$P$5:$P$2004,0))</f>
        <v/>
      </c>
    </row>
    <row r="720" customFormat="false" ht="15" hidden="false" customHeight="false" outlineLevel="0" collapsed="false">
      <c r="A720" s="67" t="str">
        <f aca="false">IF($K720="","",ROW()-5)</f>
        <v/>
      </c>
      <c r="B720" s="68" t="str">
        <f aca="false">IF($K720="","",INDEX(Base!$E$5:$E$2004,$K720))</f>
        <v/>
      </c>
      <c r="C720" s="69" t="str">
        <f aca="false">IF($K720="","",B720)</f>
        <v/>
      </c>
      <c r="D720" s="70" t="str">
        <f aca="false">IF($K720="","",INDEX(Base!$F$5:$F$2004,$K720))</f>
        <v/>
      </c>
      <c r="E720" s="70" t="str">
        <f aca="false">IF($K720="","",INDEX(Base!$G$5:$G$2004,$K720))</f>
        <v/>
      </c>
      <c r="F720" s="71" t="str">
        <f aca="false">IF($K720="","",INDEX(Base!$H$5:$H$2004,$K720))</f>
        <v/>
      </c>
      <c r="G720" s="71" t="str">
        <f aca="false">IF($K720="","",INDEX(Base!$I$5:$I$2004,$K720))</f>
        <v/>
      </c>
      <c r="H720" s="70" t="str">
        <f aca="false">IF($K720="","",INDEX(Base!$J$5:$J$2004,$K720))</f>
        <v/>
      </c>
      <c r="I720" s="71" t="str">
        <f aca="false">IF($K720="","",INDEX(Base!$L$5:$L$2004,$K720))</f>
        <v/>
      </c>
      <c r="J720" s="72" t="str">
        <f aca="false">IFERROR(SMALL(Base!$P$5:$P$2004,ROW()-5),"")</f>
        <v/>
      </c>
      <c r="K720" s="72" t="str">
        <f aca="false">IF(J720="","",MATCH(J720,Base!$P$5:$P$2004,0))</f>
        <v/>
      </c>
    </row>
    <row r="721" customFormat="false" ht="15" hidden="false" customHeight="false" outlineLevel="0" collapsed="false">
      <c r="A721" s="67" t="str">
        <f aca="false">IF($K721="","",ROW()-5)</f>
        <v/>
      </c>
      <c r="B721" s="68" t="str">
        <f aca="false">IF($K721="","",INDEX(Base!$E$5:$E$2004,$K721))</f>
        <v/>
      </c>
      <c r="C721" s="69" t="str">
        <f aca="false">IF($K721="","",B721)</f>
        <v/>
      </c>
      <c r="D721" s="70" t="str">
        <f aca="false">IF($K721="","",INDEX(Base!$F$5:$F$2004,$K721))</f>
        <v/>
      </c>
      <c r="E721" s="70" t="str">
        <f aca="false">IF($K721="","",INDEX(Base!$G$5:$G$2004,$K721))</f>
        <v/>
      </c>
      <c r="F721" s="71" t="str">
        <f aca="false">IF($K721="","",INDEX(Base!$H$5:$H$2004,$K721))</f>
        <v/>
      </c>
      <c r="G721" s="71" t="str">
        <f aca="false">IF($K721="","",INDEX(Base!$I$5:$I$2004,$K721))</f>
        <v/>
      </c>
      <c r="H721" s="70" t="str">
        <f aca="false">IF($K721="","",INDEX(Base!$J$5:$J$2004,$K721))</f>
        <v/>
      </c>
      <c r="I721" s="71" t="str">
        <f aca="false">IF($K721="","",INDEX(Base!$L$5:$L$2004,$K721))</f>
        <v/>
      </c>
      <c r="J721" s="72" t="str">
        <f aca="false">IFERROR(SMALL(Base!$P$5:$P$2004,ROW()-5),"")</f>
        <v/>
      </c>
      <c r="K721" s="72" t="str">
        <f aca="false">IF(J721="","",MATCH(J721,Base!$P$5:$P$2004,0))</f>
        <v/>
      </c>
    </row>
    <row r="722" customFormat="false" ht="15" hidden="false" customHeight="false" outlineLevel="0" collapsed="false">
      <c r="A722" s="67" t="str">
        <f aca="false">IF($K722="","",ROW()-5)</f>
        <v/>
      </c>
      <c r="B722" s="68" t="str">
        <f aca="false">IF($K722="","",INDEX(Base!$E$5:$E$2004,$K722))</f>
        <v/>
      </c>
      <c r="C722" s="69" t="str">
        <f aca="false">IF($K722="","",B722)</f>
        <v/>
      </c>
      <c r="D722" s="70" t="str">
        <f aca="false">IF($K722="","",INDEX(Base!$F$5:$F$2004,$K722))</f>
        <v/>
      </c>
      <c r="E722" s="70" t="str">
        <f aca="false">IF($K722="","",INDEX(Base!$G$5:$G$2004,$K722))</f>
        <v/>
      </c>
      <c r="F722" s="71" t="str">
        <f aca="false">IF($K722="","",INDEX(Base!$H$5:$H$2004,$K722))</f>
        <v/>
      </c>
      <c r="G722" s="71" t="str">
        <f aca="false">IF($K722="","",INDEX(Base!$I$5:$I$2004,$K722))</f>
        <v/>
      </c>
      <c r="H722" s="70" t="str">
        <f aca="false">IF($K722="","",INDEX(Base!$J$5:$J$2004,$K722))</f>
        <v/>
      </c>
      <c r="I722" s="71" t="str">
        <f aca="false">IF($K722="","",INDEX(Base!$L$5:$L$2004,$K722))</f>
        <v/>
      </c>
      <c r="J722" s="72" t="str">
        <f aca="false">IFERROR(SMALL(Base!$P$5:$P$2004,ROW()-5),"")</f>
        <v/>
      </c>
      <c r="K722" s="72" t="str">
        <f aca="false">IF(J722="","",MATCH(J722,Base!$P$5:$P$2004,0))</f>
        <v/>
      </c>
    </row>
    <row r="723" customFormat="false" ht="15" hidden="false" customHeight="false" outlineLevel="0" collapsed="false">
      <c r="A723" s="67" t="str">
        <f aca="false">IF($K723="","",ROW()-5)</f>
        <v/>
      </c>
      <c r="B723" s="68" t="str">
        <f aca="false">IF($K723="","",INDEX(Base!$E$5:$E$2004,$K723))</f>
        <v/>
      </c>
      <c r="C723" s="69" t="str">
        <f aca="false">IF($K723="","",B723)</f>
        <v/>
      </c>
      <c r="D723" s="70" t="str">
        <f aca="false">IF($K723="","",INDEX(Base!$F$5:$F$2004,$K723))</f>
        <v/>
      </c>
      <c r="E723" s="70" t="str">
        <f aca="false">IF($K723="","",INDEX(Base!$G$5:$G$2004,$K723))</f>
        <v/>
      </c>
      <c r="F723" s="71" t="str">
        <f aca="false">IF($K723="","",INDEX(Base!$H$5:$H$2004,$K723))</f>
        <v/>
      </c>
      <c r="G723" s="71" t="str">
        <f aca="false">IF($K723="","",INDEX(Base!$I$5:$I$2004,$K723))</f>
        <v/>
      </c>
      <c r="H723" s="70" t="str">
        <f aca="false">IF($K723="","",INDEX(Base!$J$5:$J$2004,$K723))</f>
        <v/>
      </c>
      <c r="I723" s="71" t="str">
        <f aca="false">IF($K723="","",INDEX(Base!$L$5:$L$2004,$K723))</f>
        <v/>
      </c>
      <c r="J723" s="72" t="str">
        <f aca="false">IFERROR(SMALL(Base!$P$5:$P$2004,ROW()-5),"")</f>
        <v/>
      </c>
      <c r="K723" s="72" t="str">
        <f aca="false">IF(J723="","",MATCH(J723,Base!$P$5:$P$2004,0))</f>
        <v/>
      </c>
    </row>
    <row r="724" customFormat="false" ht="15" hidden="false" customHeight="false" outlineLevel="0" collapsed="false">
      <c r="A724" s="67" t="str">
        <f aca="false">IF($K724="","",ROW()-5)</f>
        <v/>
      </c>
      <c r="B724" s="68" t="str">
        <f aca="false">IF($K724="","",INDEX(Base!$E$5:$E$2004,$K724))</f>
        <v/>
      </c>
      <c r="C724" s="69" t="str">
        <f aca="false">IF($K724="","",B724)</f>
        <v/>
      </c>
      <c r="D724" s="70" t="str">
        <f aca="false">IF($K724="","",INDEX(Base!$F$5:$F$2004,$K724))</f>
        <v/>
      </c>
      <c r="E724" s="70" t="str">
        <f aca="false">IF($K724="","",INDEX(Base!$G$5:$G$2004,$K724))</f>
        <v/>
      </c>
      <c r="F724" s="71" t="str">
        <f aca="false">IF($K724="","",INDEX(Base!$H$5:$H$2004,$K724))</f>
        <v/>
      </c>
      <c r="G724" s="71" t="str">
        <f aca="false">IF($K724="","",INDEX(Base!$I$5:$I$2004,$K724))</f>
        <v/>
      </c>
      <c r="H724" s="70" t="str">
        <f aca="false">IF($K724="","",INDEX(Base!$J$5:$J$2004,$K724))</f>
        <v/>
      </c>
      <c r="I724" s="71" t="str">
        <f aca="false">IF($K724="","",INDEX(Base!$L$5:$L$2004,$K724))</f>
        <v/>
      </c>
      <c r="J724" s="72" t="str">
        <f aca="false">IFERROR(SMALL(Base!$P$5:$P$2004,ROW()-5),"")</f>
        <v/>
      </c>
      <c r="K724" s="72" t="str">
        <f aca="false">IF(J724="","",MATCH(J724,Base!$P$5:$P$2004,0))</f>
        <v/>
      </c>
    </row>
    <row r="725" customFormat="false" ht="15" hidden="false" customHeight="false" outlineLevel="0" collapsed="false">
      <c r="A725" s="67" t="str">
        <f aca="false">IF($K725="","",ROW()-5)</f>
        <v/>
      </c>
      <c r="B725" s="68" t="str">
        <f aca="false">IF($K725="","",INDEX(Base!$E$5:$E$2004,$K725))</f>
        <v/>
      </c>
      <c r="C725" s="69" t="str">
        <f aca="false">IF($K725="","",B725)</f>
        <v/>
      </c>
      <c r="D725" s="70" t="str">
        <f aca="false">IF($K725="","",INDEX(Base!$F$5:$F$2004,$K725))</f>
        <v/>
      </c>
      <c r="E725" s="70" t="str">
        <f aca="false">IF($K725="","",INDEX(Base!$G$5:$G$2004,$K725))</f>
        <v/>
      </c>
      <c r="F725" s="71" t="str">
        <f aca="false">IF($K725="","",INDEX(Base!$H$5:$H$2004,$K725))</f>
        <v/>
      </c>
      <c r="G725" s="71" t="str">
        <f aca="false">IF($K725="","",INDEX(Base!$I$5:$I$2004,$K725))</f>
        <v/>
      </c>
      <c r="H725" s="70" t="str">
        <f aca="false">IF($K725="","",INDEX(Base!$J$5:$J$2004,$K725))</f>
        <v/>
      </c>
      <c r="I725" s="71" t="str">
        <f aca="false">IF($K725="","",INDEX(Base!$L$5:$L$2004,$K725))</f>
        <v/>
      </c>
      <c r="J725" s="72" t="str">
        <f aca="false">IFERROR(SMALL(Base!$P$5:$P$2004,ROW()-5),"")</f>
        <v/>
      </c>
      <c r="K725" s="72" t="str">
        <f aca="false">IF(J725="","",MATCH(J725,Base!$P$5:$P$2004,0))</f>
        <v/>
      </c>
    </row>
    <row r="726" customFormat="false" ht="15" hidden="false" customHeight="false" outlineLevel="0" collapsed="false">
      <c r="A726" s="67" t="str">
        <f aca="false">IF($K726="","",ROW()-5)</f>
        <v/>
      </c>
      <c r="B726" s="68" t="str">
        <f aca="false">IF($K726="","",INDEX(Base!$E$5:$E$2004,$K726))</f>
        <v/>
      </c>
      <c r="C726" s="69" t="str">
        <f aca="false">IF($K726="","",B726)</f>
        <v/>
      </c>
      <c r="D726" s="70" t="str">
        <f aca="false">IF($K726="","",INDEX(Base!$F$5:$F$2004,$K726))</f>
        <v/>
      </c>
      <c r="E726" s="70" t="str">
        <f aca="false">IF($K726="","",INDEX(Base!$G$5:$G$2004,$K726))</f>
        <v/>
      </c>
      <c r="F726" s="71" t="str">
        <f aca="false">IF($K726="","",INDEX(Base!$H$5:$H$2004,$K726))</f>
        <v/>
      </c>
      <c r="G726" s="71" t="str">
        <f aca="false">IF($K726="","",INDEX(Base!$I$5:$I$2004,$K726))</f>
        <v/>
      </c>
      <c r="H726" s="70" t="str">
        <f aca="false">IF($K726="","",INDEX(Base!$J$5:$J$2004,$K726))</f>
        <v/>
      </c>
      <c r="I726" s="71" t="str">
        <f aca="false">IF($K726="","",INDEX(Base!$L$5:$L$2004,$K726))</f>
        <v/>
      </c>
      <c r="J726" s="72" t="str">
        <f aca="false">IFERROR(SMALL(Base!$P$5:$P$2004,ROW()-5),"")</f>
        <v/>
      </c>
      <c r="K726" s="72" t="str">
        <f aca="false">IF(J726="","",MATCH(J726,Base!$P$5:$P$2004,0))</f>
        <v/>
      </c>
    </row>
    <row r="727" customFormat="false" ht="15" hidden="false" customHeight="false" outlineLevel="0" collapsed="false">
      <c r="A727" s="67" t="str">
        <f aca="false">IF($K727="","",ROW()-5)</f>
        <v/>
      </c>
      <c r="B727" s="68" t="str">
        <f aca="false">IF($K727="","",INDEX(Base!$E$5:$E$2004,$K727))</f>
        <v/>
      </c>
      <c r="C727" s="69" t="str">
        <f aca="false">IF($K727="","",B727)</f>
        <v/>
      </c>
      <c r="D727" s="70" t="str">
        <f aca="false">IF($K727="","",INDEX(Base!$F$5:$F$2004,$K727))</f>
        <v/>
      </c>
      <c r="E727" s="70" t="str">
        <f aca="false">IF($K727="","",INDEX(Base!$G$5:$G$2004,$K727))</f>
        <v/>
      </c>
      <c r="F727" s="71" t="str">
        <f aca="false">IF($K727="","",INDEX(Base!$H$5:$H$2004,$K727))</f>
        <v/>
      </c>
      <c r="G727" s="71" t="str">
        <f aca="false">IF($K727="","",INDEX(Base!$I$5:$I$2004,$K727))</f>
        <v/>
      </c>
      <c r="H727" s="70" t="str">
        <f aca="false">IF($K727="","",INDEX(Base!$J$5:$J$2004,$K727))</f>
        <v/>
      </c>
      <c r="I727" s="71" t="str">
        <f aca="false">IF($K727="","",INDEX(Base!$L$5:$L$2004,$K727))</f>
        <v/>
      </c>
      <c r="J727" s="72" t="str">
        <f aca="false">IFERROR(SMALL(Base!$P$5:$P$2004,ROW()-5),"")</f>
        <v/>
      </c>
      <c r="K727" s="72" t="str">
        <f aca="false">IF(J727="","",MATCH(J727,Base!$P$5:$P$2004,0))</f>
        <v/>
      </c>
    </row>
    <row r="728" customFormat="false" ht="15" hidden="false" customHeight="false" outlineLevel="0" collapsed="false">
      <c r="A728" s="67" t="str">
        <f aca="false">IF($K728="","",ROW()-5)</f>
        <v/>
      </c>
      <c r="B728" s="68" t="str">
        <f aca="false">IF($K728="","",INDEX(Base!$E$5:$E$2004,$K728))</f>
        <v/>
      </c>
      <c r="C728" s="69" t="str">
        <f aca="false">IF($K728="","",B728)</f>
        <v/>
      </c>
      <c r="D728" s="70" t="str">
        <f aca="false">IF($K728="","",INDEX(Base!$F$5:$F$2004,$K728))</f>
        <v/>
      </c>
      <c r="E728" s="70" t="str">
        <f aca="false">IF($K728="","",INDEX(Base!$G$5:$G$2004,$K728))</f>
        <v/>
      </c>
      <c r="F728" s="71" t="str">
        <f aca="false">IF($K728="","",INDEX(Base!$H$5:$H$2004,$K728))</f>
        <v/>
      </c>
      <c r="G728" s="71" t="str">
        <f aca="false">IF($K728="","",INDEX(Base!$I$5:$I$2004,$K728))</f>
        <v/>
      </c>
      <c r="H728" s="70" t="str">
        <f aca="false">IF($K728="","",INDEX(Base!$J$5:$J$2004,$K728))</f>
        <v/>
      </c>
      <c r="I728" s="71" t="str">
        <f aca="false">IF($K728="","",INDEX(Base!$L$5:$L$2004,$K728))</f>
        <v/>
      </c>
      <c r="J728" s="72" t="str">
        <f aca="false">IFERROR(SMALL(Base!$P$5:$P$2004,ROW()-5),"")</f>
        <v/>
      </c>
      <c r="K728" s="72" t="str">
        <f aca="false">IF(J728="","",MATCH(J728,Base!$P$5:$P$2004,0))</f>
        <v/>
      </c>
    </row>
    <row r="729" customFormat="false" ht="15" hidden="false" customHeight="false" outlineLevel="0" collapsed="false">
      <c r="A729" s="67" t="str">
        <f aca="false">IF($K729="","",ROW()-5)</f>
        <v/>
      </c>
      <c r="B729" s="68" t="str">
        <f aca="false">IF($K729="","",INDEX(Base!$E$5:$E$2004,$K729))</f>
        <v/>
      </c>
      <c r="C729" s="69" t="str">
        <f aca="false">IF($K729="","",B729)</f>
        <v/>
      </c>
      <c r="D729" s="70" t="str">
        <f aca="false">IF($K729="","",INDEX(Base!$F$5:$F$2004,$K729))</f>
        <v/>
      </c>
      <c r="E729" s="70" t="str">
        <f aca="false">IF($K729="","",INDEX(Base!$G$5:$G$2004,$K729))</f>
        <v/>
      </c>
      <c r="F729" s="71" t="str">
        <f aca="false">IF($K729="","",INDEX(Base!$H$5:$H$2004,$K729))</f>
        <v/>
      </c>
      <c r="G729" s="71" t="str">
        <f aca="false">IF($K729="","",INDEX(Base!$I$5:$I$2004,$K729))</f>
        <v/>
      </c>
      <c r="H729" s="70" t="str">
        <f aca="false">IF($K729="","",INDEX(Base!$J$5:$J$2004,$K729))</f>
        <v/>
      </c>
      <c r="I729" s="71" t="str">
        <f aca="false">IF($K729="","",INDEX(Base!$L$5:$L$2004,$K729))</f>
        <v/>
      </c>
      <c r="J729" s="72" t="str">
        <f aca="false">IFERROR(SMALL(Base!$P$5:$P$2004,ROW()-5),"")</f>
        <v/>
      </c>
      <c r="K729" s="72" t="str">
        <f aca="false">IF(J729="","",MATCH(J729,Base!$P$5:$P$2004,0))</f>
        <v/>
      </c>
    </row>
    <row r="730" customFormat="false" ht="15" hidden="false" customHeight="false" outlineLevel="0" collapsed="false">
      <c r="A730" s="67" t="str">
        <f aca="false">IF($K730="","",ROW()-5)</f>
        <v/>
      </c>
      <c r="B730" s="68" t="str">
        <f aca="false">IF($K730="","",INDEX(Base!$E$5:$E$2004,$K730))</f>
        <v/>
      </c>
      <c r="C730" s="69" t="str">
        <f aca="false">IF($K730="","",B730)</f>
        <v/>
      </c>
      <c r="D730" s="70" t="str">
        <f aca="false">IF($K730="","",INDEX(Base!$F$5:$F$2004,$K730))</f>
        <v/>
      </c>
      <c r="E730" s="70" t="str">
        <f aca="false">IF($K730="","",INDEX(Base!$G$5:$G$2004,$K730))</f>
        <v/>
      </c>
      <c r="F730" s="71" t="str">
        <f aca="false">IF($K730="","",INDEX(Base!$H$5:$H$2004,$K730))</f>
        <v/>
      </c>
      <c r="G730" s="71" t="str">
        <f aca="false">IF($K730="","",INDEX(Base!$I$5:$I$2004,$K730))</f>
        <v/>
      </c>
      <c r="H730" s="70" t="str">
        <f aca="false">IF($K730="","",INDEX(Base!$J$5:$J$2004,$K730))</f>
        <v/>
      </c>
      <c r="I730" s="71" t="str">
        <f aca="false">IF($K730="","",INDEX(Base!$L$5:$L$2004,$K730))</f>
        <v/>
      </c>
      <c r="J730" s="72" t="str">
        <f aca="false">IFERROR(SMALL(Base!$P$5:$P$2004,ROW()-5),"")</f>
        <v/>
      </c>
      <c r="K730" s="72" t="str">
        <f aca="false">IF(J730="","",MATCH(J730,Base!$P$5:$P$2004,0))</f>
        <v/>
      </c>
    </row>
    <row r="731" customFormat="false" ht="15" hidden="false" customHeight="false" outlineLevel="0" collapsed="false">
      <c r="A731" s="67" t="str">
        <f aca="false">IF($K731="","",ROW()-5)</f>
        <v/>
      </c>
      <c r="B731" s="68" t="str">
        <f aca="false">IF($K731="","",INDEX(Base!$E$5:$E$2004,$K731))</f>
        <v/>
      </c>
      <c r="C731" s="69" t="str">
        <f aca="false">IF($K731="","",B731)</f>
        <v/>
      </c>
      <c r="D731" s="70" t="str">
        <f aca="false">IF($K731="","",INDEX(Base!$F$5:$F$2004,$K731))</f>
        <v/>
      </c>
      <c r="E731" s="70" t="str">
        <f aca="false">IF($K731="","",INDEX(Base!$G$5:$G$2004,$K731))</f>
        <v/>
      </c>
      <c r="F731" s="71" t="str">
        <f aca="false">IF($K731="","",INDEX(Base!$H$5:$H$2004,$K731))</f>
        <v/>
      </c>
      <c r="G731" s="71" t="str">
        <f aca="false">IF($K731="","",INDEX(Base!$I$5:$I$2004,$K731))</f>
        <v/>
      </c>
      <c r="H731" s="70" t="str">
        <f aca="false">IF($K731="","",INDEX(Base!$J$5:$J$2004,$K731))</f>
        <v/>
      </c>
      <c r="I731" s="71" t="str">
        <f aca="false">IF($K731="","",INDEX(Base!$L$5:$L$2004,$K731))</f>
        <v/>
      </c>
      <c r="J731" s="72" t="str">
        <f aca="false">IFERROR(SMALL(Base!$P$5:$P$2004,ROW()-5),"")</f>
        <v/>
      </c>
      <c r="K731" s="72" t="str">
        <f aca="false">IF(J731="","",MATCH(J731,Base!$P$5:$P$2004,0))</f>
        <v/>
      </c>
    </row>
    <row r="732" customFormat="false" ht="15" hidden="false" customHeight="false" outlineLevel="0" collapsed="false">
      <c r="A732" s="67" t="str">
        <f aca="false">IF($K732="","",ROW()-5)</f>
        <v/>
      </c>
      <c r="B732" s="68" t="str">
        <f aca="false">IF($K732="","",INDEX(Base!$E$5:$E$2004,$K732))</f>
        <v/>
      </c>
      <c r="C732" s="69" t="str">
        <f aca="false">IF($K732="","",B732)</f>
        <v/>
      </c>
      <c r="D732" s="70" t="str">
        <f aca="false">IF($K732="","",INDEX(Base!$F$5:$F$2004,$K732))</f>
        <v/>
      </c>
      <c r="E732" s="70" t="str">
        <f aca="false">IF($K732="","",INDEX(Base!$G$5:$G$2004,$K732))</f>
        <v/>
      </c>
      <c r="F732" s="71" t="str">
        <f aca="false">IF($K732="","",INDEX(Base!$H$5:$H$2004,$K732))</f>
        <v/>
      </c>
      <c r="G732" s="71" t="str">
        <f aca="false">IF($K732="","",INDEX(Base!$I$5:$I$2004,$K732))</f>
        <v/>
      </c>
      <c r="H732" s="70" t="str">
        <f aca="false">IF($K732="","",INDEX(Base!$J$5:$J$2004,$K732))</f>
        <v/>
      </c>
      <c r="I732" s="71" t="str">
        <f aca="false">IF($K732="","",INDEX(Base!$L$5:$L$2004,$K732))</f>
        <v/>
      </c>
      <c r="J732" s="72" t="str">
        <f aca="false">IFERROR(SMALL(Base!$P$5:$P$2004,ROW()-5),"")</f>
        <v/>
      </c>
      <c r="K732" s="72" t="str">
        <f aca="false">IF(J732="","",MATCH(J732,Base!$P$5:$P$2004,0))</f>
        <v/>
      </c>
    </row>
    <row r="733" customFormat="false" ht="15" hidden="false" customHeight="false" outlineLevel="0" collapsed="false">
      <c r="A733" s="67" t="str">
        <f aca="false">IF($K733="","",ROW()-5)</f>
        <v/>
      </c>
      <c r="B733" s="68" t="str">
        <f aca="false">IF($K733="","",INDEX(Base!$E$5:$E$2004,$K733))</f>
        <v/>
      </c>
      <c r="C733" s="69" t="str">
        <f aca="false">IF($K733="","",B733)</f>
        <v/>
      </c>
      <c r="D733" s="70" t="str">
        <f aca="false">IF($K733="","",INDEX(Base!$F$5:$F$2004,$K733))</f>
        <v/>
      </c>
      <c r="E733" s="70" t="str">
        <f aca="false">IF($K733="","",INDEX(Base!$G$5:$G$2004,$K733))</f>
        <v/>
      </c>
      <c r="F733" s="71" t="str">
        <f aca="false">IF($K733="","",INDEX(Base!$H$5:$H$2004,$K733))</f>
        <v/>
      </c>
      <c r="G733" s="71" t="str">
        <f aca="false">IF($K733="","",INDEX(Base!$I$5:$I$2004,$K733))</f>
        <v/>
      </c>
      <c r="H733" s="70" t="str">
        <f aca="false">IF($K733="","",INDEX(Base!$J$5:$J$2004,$K733))</f>
        <v/>
      </c>
      <c r="I733" s="71" t="str">
        <f aca="false">IF($K733="","",INDEX(Base!$L$5:$L$2004,$K733))</f>
        <v/>
      </c>
      <c r="J733" s="72" t="str">
        <f aca="false">IFERROR(SMALL(Base!$P$5:$P$2004,ROW()-5),"")</f>
        <v/>
      </c>
      <c r="K733" s="72" t="str">
        <f aca="false">IF(J733="","",MATCH(J733,Base!$P$5:$P$2004,0))</f>
        <v/>
      </c>
    </row>
    <row r="734" customFormat="false" ht="15" hidden="false" customHeight="false" outlineLevel="0" collapsed="false">
      <c r="A734" s="67" t="str">
        <f aca="false">IF($K734="","",ROW()-5)</f>
        <v/>
      </c>
      <c r="B734" s="68" t="str">
        <f aca="false">IF($K734="","",INDEX(Base!$E$5:$E$2004,$K734))</f>
        <v/>
      </c>
      <c r="C734" s="69" t="str">
        <f aca="false">IF($K734="","",B734)</f>
        <v/>
      </c>
      <c r="D734" s="70" t="str">
        <f aca="false">IF($K734="","",INDEX(Base!$F$5:$F$2004,$K734))</f>
        <v/>
      </c>
      <c r="E734" s="70" t="str">
        <f aca="false">IF($K734="","",INDEX(Base!$G$5:$G$2004,$K734))</f>
        <v/>
      </c>
      <c r="F734" s="71" t="str">
        <f aca="false">IF($K734="","",INDEX(Base!$H$5:$H$2004,$K734))</f>
        <v/>
      </c>
      <c r="G734" s="71" t="str">
        <f aca="false">IF($K734="","",INDEX(Base!$I$5:$I$2004,$K734))</f>
        <v/>
      </c>
      <c r="H734" s="70" t="str">
        <f aca="false">IF($K734="","",INDEX(Base!$J$5:$J$2004,$K734))</f>
        <v/>
      </c>
      <c r="I734" s="71" t="str">
        <f aca="false">IF($K734="","",INDEX(Base!$L$5:$L$2004,$K734))</f>
        <v/>
      </c>
      <c r="J734" s="72" t="str">
        <f aca="false">IFERROR(SMALL(Base!$P$5:$P$2004,ROW()-5),"")</f>
        <v/>
      </c>
      <c r="K734" s="72" t="str">
        <f aca="false">IF(J734="","",MATCH(J734,Base!$P$5:$P$2004,0))</f>
        <v/>
      </c>
    </row>
    <row r="735" customFormat="false" ht="15" hidden="false" customHeight="false" outlineLevel="0" collapsed="false">
      <c r="A735" s="67" t="str">
        <f aca="false">IF($K735="","",ROW()-5)</f>
        <v/>
      </c>
      <c r="B735" s="68" t="str">
        <f aca="false">IF($K735="","",INDEX(Base!$E$5:$E$2004,$K735))</f>
        <v/>
      </c>
      <c r="C735" s="69" t="str">
        <f aca="false">IF($K735="","",B735)</f>
        <v/>
      </c>
      <c r="D735" s="70" t="str">
        <f aca="false">IF($K735="","",INDEX(Base!$F$5:$F$2004,$K735))</f>
        <v/>
      </c>
      <c r="E735" s="70" t="str">
        <f aca="false">IF($K735="","",INDEX(Base!$G$5:$G$2004,$K735))</f>
        <v/>
      </c>
      <c r="F735" s="71" t="str">
        <f aca="false">IF($K735="","",INDEX(Base!$H$5:$H$2004,$K735))</f>
        <v/>
      </c>
      <c r="G735" s="71" t="str">
        <f aca="false">IF($K735="","",INDEX(Base!$I$5:$I$2004,$K735))</f>
        <v/>
      </c>
      <c r="H735" s="70" t="str">
        <f aca="false">IF($K735="","",INDEX(Base!$J$5:$J$2004,$K735))</f>
        <v/>
      </c>
      <c r="I735" s="71" t="str">
        <f aca="false">IF($K735="","",INDEX(Base!$L$5:$L$2004,$K735))</f>
        <v/>
      </c>
      <c r="J735" s="72" t="str">
        <f aca="false">IFERROR(SMALL(Base!$P$5:$P$2004,ROW()-5),"")</f>
        <v/>
      </c>
      <c r="K735" s="72" t="str">
        <f aca="false">IF(J735="","",MATCH(J735,Base!$P$5:$P$2004,0))</f>
        <v/>
      </c>
    </row>
    <row r="736" customFormat="false" ht="15" hidden="false" customHeight="false" outlineLevel="0" collapsed="false">
      <c r="A736" s="67" t="str">
        <f aca="false">IF($K736="","",ROW()-5)</f>
        <v/>
      </c>
      <c r="B736" s="68" t="str">
        <f aca="false">IF($K736="","",INDEX(Base!$E$5:$E$2004,$K736))</f>
        <v/>
      </c>
      <c r="C736" s="69" t="str">
        <f aca="false">IF($K736="","",B736)</f>
        <v/>
      </c>
      <c r="D736" s="70" t="str">
        <f aca="false">IF($K736="","",INDEX(Base!$F$5:$F$2004,$K736))</f>
        <v/>
      </c>
      <c r="E736" s="70" t="str">
        <f aca="false">IF($K736="","",INDEX(Base!$G$5:$G$2004,$K736))</f>
        <v/>
      </c>
      <c r="F736" s="71" t="str">
        <f aca="false">IF($K736="","",INDEX(Base!$H$5:$H$2004,$K736))</f>
        <v/>
      </c>
      <c r="G736" s="71" t="str">
        <f aca="false">IF($K736="","",INDEX(Base!$I$5:$I$2004,$K736))</f>
        <v/>
      </c>
      <c r="H736" s="70" t="str">
        <f aca="false">IF($K736="","",INDEX(Base!$J$5:$J$2004,$K736))</f>
        <v/>
      </c>
      <c r="I736" s="71" t="str">
        <f aca="false">IF($K736="","",INDEX(Base!$L$5:$L$2004,$K736))</f>
        <v/>
      </c>
      <c r="J736" s="72" t="str">
        <f aca="false">IFERROR(SMALL(Base!$P$5:$P$2004,ROW()-5),"")</f>
        <v/>
      </c>
      <c r="K736" s="72" t="str">
        <f aca="false">IF(J736="","",MATCH(J736,Base!$P$5:$P$2004,0))</f>
        <v/>
      </c>
    </row>
    <row r="737" customFormat="false" ht="15" hidden="false" customHeight="false" outlineLevel="0" collapsed="false">
      <c r="A737" s="67" t="str">
        <f aca="false">IF($K737="","",ROW()-5)</f>
        <v/>
      </c>
      <c r="B737" s="68" t="str">
        <f aca="false">IF($K737="","",INDEX(Base!$E$5:$E$2004,$K737))</f>
        <v/>
      </c>
      <c r="C737" s="69" t="str">
        <f aca="false">IF($K737="","",B737)</f>
        <v/>
      </c>
      <c r="D737" s="70" t="str">
        <f aca="false">IF($K737="","",INDEX(Base!$F$5:$F$2004,$K737))</f>
        <v/>
      </c>
      <c r="E737" s="70" t="str">
        <f aca="false">IF($K737="","",INDEX(Base!$G$5:$G$2004,$K737))</f>
        <v/>
      </c>
      <c r="F737" s="71" t="str">
        <f aca="false">IF($K737="","",INDEX(Base!$H$5:$H$2004,$K737))</f>
        <v/>
      </c>
      <c r="G737" s="71" t="str">
        <f aca="false">IF($K737="","",INDEX(Base!$I$5:$I$2004,$K737))</f>
        <v/>
      </c>
      <c r="H737" s="70" t="str">
        <f aca="false">IF($K737="","",INDEX(Base!$J$5:$J$2004,$K737))</f>
        <v/>
      </c>
      <c r="I737" s="71" t="str">
        <f aca="false">IF($K737="","",INDEX(Base!$L$5:$L$2004,$K737))</f>
        <v/>
      </c>
      <c r="J737" s="72" t="str">
        <f aca="false">IFERROR(SMALL(Base!$P$5:$P$2004,ROW()-5),"")</f>
        <v/>
      </c>
      <c r="K737" s="72" t="str">
        <f aca="false">IF(J737="","",MATCH(J737,Base!$P$5:$P$2004,0))</f>
        <v/>
      </c>
    </row>
    <row r="738" customFormat="false" ht="15" hidden="false" customHeight="false" outlineLevel="0" collapsed="false">
      <c r="A738" s="67" t="str">
        <f aca="false">IF($K738="","",ROW()-5)</f>
        <v/>
      </c>
      <c r="B738" s="68" t="str">
        <f aca="false">IF($K738="","",INDEX(Base!$E$5:$E$2004,$K738))</f>
        <v/>
      </c>
      <c r="C738" s="69" t="str">
        <f aca="false">IF($K738="","",B738)</f>
        <v/>
      </c>
      <c r="D738" s="70" t="str">
        <f aca="false">IF($K738="","",INDEX(Base!$F$5:$F$2004,$K738))</f>
        <v/>
      </c>
      <c r="E738" s="70" t="str">
        <f aca="false">IF($K738="","",INDEX(Base!$G$5:$G$2004,$K738))</f>
        <v/>
      </c>
      <c r="F738" s="71" t="str">
        <f aca="false">IF($K738="","",INDEX(Base!$H$5:$H$2004,$K738))</f>
        <v/>
      </c>
      <c r="G738" s="71" t="str">
        <f aca="false">IF($K738="","",INDEX(Base!$I$5:$I$2004,$K738))</f>
        <v/>
      </c>
      <c r="H738" s="70" t="str">
        <f aca="false">IF($K738="","",INDEX(Base!$J$5:$J$2004,$K738))</f>
        <v/>
      </c>
      <c r="I738" s="71" t="str">
        <f aca="false">IF($K738="","",INDEX(Base!$L$5:$L$2004,$K738))</f>
        <v/>
      </c>
      <c r="J738" s="72" t="str">
        <f aca="false">IFERROR(SMALL(Base!$P$5:$P$2004,ROW()-5),"")</f>
        <v/>
      </c>
      <c r="K738" s="72" t="str">
        <f aca="false">IF(J738="","",MATCH(J738,Base!$P$5:$P$2004,0))</f>
        <v/>
      </c>
    </row>
    <row r="739" customFormat="false" ht="15" hidden="false" customHeight="false" outlineLevel="0" collapsed="false">
      <c r="A739" s="67" t="str">
        <f aca="false">IF($K739="","",ROW()-5)</f>
        <v/>
      </c>
      <c r="B739" s="68" t="str">
        <f aca="false">IF($K739="","",INDEX(Base!$E$5:$E$2004,$K739))</f>
        <v/>
      </c>
      <c r="C739" s="69" t="str">
        <f aca="false">IF($K739="","",B739)</f>
        <v/>
      </c>
      <c r="D739" s="70" t="str">
        <f aca="false">IF($K739="","",INDEX(Base!$F$5:$F$2004,$K739))</f>
        <v/>
      </c>
      <c r="E739" s="70" t="str">
        <f aca="false">IF($K739="","",INDEX(Base!$G$5:$G$2004,$K739))</f>
        <v/>
      </c>
      <c r="F739" s="71" t="str">
        <f aca="false">IF($K739="","",INDEX(Base!$H$5:$H$2004,$K739))</f>
        <v/>
      </c>
      <c r="G739" s="71" t="str">
        <f aca="false">IF($K739="","",INDEX(Base!$I$5:$I$2004,$K739))</f>
        <v/>
      </c>
      <c r="H739" s="70" t="str">
        <f aca="false">IF($K739="","",INDEX(Base!$J$5:$J$2004,$K739))</f>
        <v/>
      </c>
      <c r="I739" s="71" t="str">
        <f aca="false">IF($K739="","",INDEX(Base!$L$5:$L$2004,$K739))</f>
        <v/>
      </c>
      <c r="J739" s="72" t="str">
        <f aca="false">IFERROR(SMALL(Base!$P$5:$P$2004,ROW()-5),"")</f>
        <v/>
      </c>
      <c r="K739" s="72" t="str">
        <f aca="false">IF(J739="","",MATCH(J739,Base!$P$5:$P$2004,0))</f>
        <v/>
      </c>
    </row>
    <row r="740" customFormat="false" ht="15" hidden="false" customHeight="false" outlineLevel="0" collapsed="false">
      <c r="A740" s="67" t="str">
        <f aca="false">IF($K740="","",ROW()-5)</f>
        <v/>
      </c>
      <c r="B740" s="68" t="str">
        <f aca="false">IF($K740="","",INDEX(Base!$E$5:$E$2004,$K740))</f>
        <v/>
      </c>
      <c r="C740" s="69" t="str">
        <f aca="false">IF($K740="","",B740)</f>
        <v/>
      </c>
      <c r="D740" s="70" t="str">
        <f aca="false">IF($K740="","",INDEX(Base!$F$5:$F$2004,$K740))</f>
        <v/>
      </c>
      <c r="E740" s="70" t="str">
        <f aca="false">IF($K740="","",INDEX(Base!$G$5:$G$2004,$K740))</f>
        <v/>
      </c>
      <c r="F740" s="71" t="str">
        <f aca="false">IF($K740="","",INDEX(Base!$H$5:$H$2004,$K740))</f>
        <v/>
      </c>
      <c r="G740" s="71" t="str">
        <f aca="false">IF($K740="","",INDEX(Base!$I$5:$I$2004,$K740))</f>
        <v/>
      </c>
      <c r="H740" s="70" t="str">
        <f aca="false">IF($K740="","",INDEX(Base!$J$5:$J$2004,$K740))</f>
        <v/>
      </c>
      <c r="I740" s="71" t="str">
        <f aca="false">IF($K740="","",INDEX(Base!$L$5:$L$2004,$K740))</f>
        <v/>
      </c>
      <c r="J740" s="72" t="str">
        <f aca="false">IFERROR(SMALL(Base!$P$5:$P$2004,ROW()-5),"")</f>
        <v/>
      </c>
      <c r="K740" s="72" t="str">
        <f aca="false">IF(J740="","",MATCH(J740,Base!$P$5:$P$2004,0))</f>
        <v/>
      </c>
    </row>
    <row r="741" customFormat="false" ht="15" hidden="false" customHeight="false" outlineLevel="0" collapsed="false">
      <c r="A741" s="67" t="str">
        <f aca="false">IF($K741="","",ROW()-5)</f>
        <v/>
      </c>
      <c r="B741" s="68" t="str">
        <f aca="false">IF($K741="","",INDEX(Base!$E$5:$E$2004,$K741))</f>
        <v/>
      </c>
      <c r="C741" s="69" t="str">
        <f aca="false">IF($K741="","",B741)</f>
        <v/>
      </c>
      <c r="D741" s="70" t="str">
        <f aca="false">IF($K741="","",INDEX(Base!$F$5:$F$2004,$K741))</f>
        <v/>
      </c>
      <c r="E741" s="70" t="str">
        <f aca="false">IF($K741="","",INDEX(Base!$G$5:$G$2004,$K741))</f>
        <v/>
      </c>
      <c r="F741" s="71" t="str">
        <f aca="false">IF($K741="","",INDEX(Base!$H$5:$H$2004,$K741))</f>
        <v/>
      </c>
      <c r="G741" s="71" t="str">
        <f aca="false">IF($K741="","",INDEX(Base!$I$5:$I$2004,$K741))</f>
        <v/>
      </c>
      <c r="H741" s="70" t="str">
        <f aca="false">IF($K741="","",INDEX(Base!$J$5:$J$2004,$K741))</f>
        <v/>
      </c>
      <c r="I741" s="71" t="str">
        <f aca="false">IF($K741="","",INDEX(Base!$L$5:$L$2004,$K741))</f>
        <v/>
      </c>
      <c r="J741" s="72" t="str">
        <f aca="false">IFERROR(SMALL(Base!$P$5:$P$2004,ROW()-5),"")</f>
        <v/>
      </c>
      <c r="K741" s="72" t="str">
        <f aca="false">IF(J741="","",MATCH(J741,Base!$P$5:$P$2004,0))</f>
        <v/>
      </c>
    </row>
    <row r="742" customFormat="false" ht="15" hidden="false" customHeight="false" outlineLevel="0" collapsed="false">
      <c r="A742" s="67" t="str">
        <f aca="false">IF($K742="","",ROW()-5)</f>
        <v/>
      </c>
      <c r="B742" s="68" t="str">
        <f aca="false">IF($K742="","",INDEX(Base!$E$5:$E$2004,$K742))</f>
        <v/>
      </c>
      <c r="C742" s="69" t="str">
        <f aca="false">IF($K742="","",B742)</f>
        <v/>
      </c>
      <c r="D742" s="70" t="str">
        <f aca="false">IF($K742="","",INDEX(Base!$F$5:$F$2004,$K742))</f>
        <v/>
      </c>
      <c r="E742" s="70" t="str">
        <f aca="false">IF($K742="","",INDEX(Base!$G$5:$G$2004,$K742))</f>
        <v/>
      </c>
      <c r="F742" s="71" t="str">
        <f aca="false">IF($K742="","",INDEX(Base!$H$5:$H$2004,$K742))</f>
        <v/>
      </c>
      <c r="G742" s="71" t="str">
        <f aca="false">IF($K742="","",INDEX(Base!$I$5:$I$2004,$K742))</f>
        <v/>
      </c>
      <c r="H742" s="70" t="str">
        <f aca="false">IF($K742="","",INDEX(Base!$J$5:$J$2004,$K742))</f>
        <v/>
      </c>
      <c r="I742" s="71" t="str">
        <f aca="false">IF($K742="","",INDEX(Base!$L$5:$L$2004,$K742))</f>
        <v/>
      </c>
      <c r="J742" s="72" t="str">
        <f aca="false">IFERROR(SMALL(Base!$P$5:$P$2004,ROW()-5),"")</f>
        <v/>
      </c>
      <c r="K742" s="72" t="str">
        <f aca="false">IF(J742="","",MATCH(J742,Base!$P$5:$P$2004,0))</f>
        <v/>
      </c>
    </row>
    <row r="743" customFormat="false" ht="15" hidden="false" customHeight="false" outlineLevel="0" collapsed="false">
      <c r="A743" s="67" t="str">
        <f aca="false">IF($K743="","",ROW()-5)</f>
        <v/>
      </c>
      <c r="B743" s="68" t="str">
        <f aca="false">IF($K743="","",INDEX(Base!$E$5:$E$2004,$K743))</f>
        <v/>
      </c>
      <c r="C743" s="69" t="str">
        <f aca="false">IF($K743="","",B743)</f>
        <v/>
      </c>
      <c r="D743" s="70" t="str">
        <f aca="false">IF($K743="","",INDEX(Base!$F$5:$F$2004,$K743))</f>
        <v/>
      </c>
      <c r="E743" s="70" t="str">
        <f aca="false">IF($K743="","",INDEX(Base!$G$5:$G$2004,$K743))</f>
        <v/>
      </c>
      <c r="F743" s="71" t="str">
        <f aca="false">IF($K743="","",INDEX(Base!$H$5:$H$2004,$K743))</f>
        <v/>
      </c>
      <c r="G743" s="71" t="str">
        <f aca="false">IF($K743="","",INDEX(Base!$I$5:$I$2004,$K743))</f>
        <v/>
      </c>
      <c r="H743" s="70" t="str">
        <f aca="false">IF($K743="","",INDEX(Base!$J$5:$J$2004,$K743))</f>
        <v/>
      </c>
      <c r="I743" s="71" t="str">
        <f aca="false">IF($K743="","",INDEX(Base!$L$5:$L$2004,$K743))</f>
        <v/>
      </c>
      <c r="J743" s="72" t="str">
        <f aca="false">IFERROR(SMALL(Base!$P$5:$P$2004,ROW()-5),"")</f>
        <v/>
      </c>
      <c r="K743" s="72" t="str">
        <f aca="false">IF(J743="","",MATCH(J743,Base!$P$5:$P$2004,0))</f>
        <v/>
      </c>
    </row>
    <row r="744" customFormat="false" ht="15" hidden="false" customHeight="false" outlineLevel="0" collapsed="false">
      <c r="A744" s="67" t="str">
        <f aca="false">IF($K744="","",ROW()-5)</f>
        <v/>
      </c>
      <c r="B744" s="68" t="str">
        <f aca="false">IF($K744="","",INDEX(Base!$E$5:$E$2004,$K744))</f>
        <v/>
      </c>
      <c r="C744" s="69" t="str">
        <f aca="false">IF($K744="","",B744)</f>
        <v/>
      </c>
      <c r="D744" s="70" t="str">
        <f aca="false">IF($K744="","",INDEX(Base!$F$5:$F$2004,$K744))</f>
        <v/>
      </c>
      <c r="E744" s="70" t="str">
        <f aca="false">IF($K744="","",INDEX(Base!$G$5:$G$2004,$K744))</f>
        <v/>
      </c>
      <c r="F744" s="71" t="str">
        <f aca="false">IF($K744="","",INDEX(Base!$H$5:$H$2004,$K744))</f>
        <v/>
      </c>
      <c r="G744" s="71" t="str">
        <f aca="false">IF($K744="","",INDEX(Base!$I$5:$I$2004,$K744))</f>
        <v/>
      </c>
      <c r="H744" s="70" t="str">
        <f aca="false">IF($K744="","",INDEX(Base!$J$5:$J$2004,$K744))</f>
        <v/>
      </c>
      <c r="I744" s="71" t="str">
        <f aca="false">IF($K744="","",INDEX(Base!$L$5:$L$2004,$K744))</f>
        <v/>
      </c>
      <c r="J744" s="72" t="str">
        <f aca="false">IFERROR(SMALL(Base!$P$5:$P$2004,ROW()-5),"")</f>
        <v/>
      </c>
      <c r="K744" s="72" t="str">
        <f aca="false">IF(J744="","",MATCH(J744,Base!$P$5:$P$2004,0))</f>
        <v/>
      </c>
    </row>
    <row r="745" customFormat="false" ht="15" hidden="false" customHeight="false" outlineLevel="0" collapsed="false">
      <c r="A745" s="67" t="str">
        <f aca="false">IF($K745="","",ROW()-5)</f>
        <v/>
      </c>
      <c r="B745" s="68" t="str">
        <f aca="false">IF($K745="","",INDEX(Base!$E$5:$E$2004,$K745))</f>
        <v/>
      </c>
      <c r="C745" s="69" t="str">
        <f aca="false">IF($K745="","",B745)</f>
        <v/>
      </c>
      <c r="D745" s="70" t="str">
        <f aca="false">IF($K745="","",INDEX(Base!$F$5:$F$2004,$K745))</f>
        <v/>
      </c>
      <c r="E745" s="70" t="str">
        <f aca="false">IF($K745="","",INDEX(Base!$G$5:$G$2004,$K745))</f>
        <v/>
      </c>
      <c r="F745" s="71" t="str">
        <f aca="false">IF($K745="","",INDEX(Base!$H$5:$H$2004,$K745))</f>
        <v/>
      </c>
      <c r="G745" s="71" t="str">
        <f aca="false">IF($K745="","",INDEX(Base!$I$5:$I$2004,$K745))</f>
        <v/>
      </c>
      <c r="H745" s="70" t="str">
        <f aca="false">IF($K745="","",INDEX(Base!$J$5:$J$2004,$K745))</f>
        <v/>
      </c>
      <c r="I745" s="71" t="str">
        <f aca="false">IF($K745="","",INDEX(Base!$L$5:$L$2004,$K745))</f>
        <v/>
      </c>
      <c r="J745" s="72" t="str">
        <f aca="false">IFERROR(SMALL(Base!$P$5:$P$2004,ROW()-5),"")</f>
        <v/>
      </c>
      <c r="K745" s="72" t="str">
        <f aca="false">IF(J745="","",MATCH(J745,Base!$P$5:$P$2004,0))</f>
        <v/>
      </c>
    </row>
    <row r="746" customFormat="false" ht="15" hidden="false" customHeight="false" outlineLevel="0" collapsed="false">
      <c r="A746" s="67" t="str">
        <f aca="false">IF($K746="","",ROW()-5)</f>
        <v/>
      </c>
      <c r="B746" s="68" t="str">
        <f aca="false">IF($K746="","",INDEX(Base!$E$5:$E$2004,$K746))</f>
        <v/>
      </c>
      <c r="C746" s="69" t="str">
        <f aca="false">IF($K746="","",B746)</f>
        <v/>
      </c>
      <c r="D746" s="70" t="str">
        <f aca="false">IF($K746="","",INDEX(Base!$F$5:$F$2004,$K746))</f>
        <v/>
      </c>
      <c r="E746" s="70" t="str">
        <f aca="false">IF($K746="","",INDEX(Base!$G$5:$G$2004,$K746))</f>
        <v/>
      </c>
      <c r="F746" s="71" t="str">
        <f aca="false">IF($K746="","",INDEX(Base!$H$5:$H$2004,$K746))</f>
        <v/>
      </c>
      <c r="G746" s="71" t="str">
        <f aca="false">IF($K746="","",INDEX(Base!$I$5:$I$2004,$K746))</f>
        <v/>
      </c>
      <c r="H746" s="70" t="str">
        <f aca="false">IF($K746="","",INDEX(Base!$J$5:$J$2004,$K746))</f>
        <v/>
      </c>
      <c r="I746" s="71" t="str">
        <f aca="false">IF($K746="","",INDEX(Base!$L$5:$L$2004,$K746))</f>
        <v/>
      </c>
      <c r="J746" s="72" t="str">
        <f aca="false">IFERROR(SMALL(Base!$P$5:$P$2004,ROW()-5),"")</f>
        <v/>
      </c>
      <c r="K746" s="72" t="str">
        <f aca="false">IF(J746="","",MATCH(J746,Base!$P$5:$P$2004,0))</f>
        <v/>
      </c>
    </row>
    <row r="747" customFormat="false" ht="15" hidden="false" customHeight="false" outlineLevel="0" collapsed="false">
      <c r="A747" s="67" t="str">
        <f aca="false">IF($K747="","",ROW()-5)</f>
        <v/>
      </c>
      <c r="B747" s="68" t="str">
        <f aca="false">IF($K747="","",INDEX(Base!$E$5:$E$2004,$K747))</f>
        <v/>
      </c>
      <c r="C747" s="69" t="str">
        <f aca="false">IF($K747="","",B747)</f>
        <v/>
      </c>
      <c r="D747" s="70" t="str">
        <f aca="false">IF($K747="","",INDEX(Base!$F$5:$F$2004,$K747))</f>
        <v/>
      </c>
      <c r="E747" s="70" t="str">
        <f aca="false">IF($K747="","",INDEX(Base!$G$5:$G$2004,$K747))</f>
        <v/>
      </c>
      <c r="F747" s="71" t="str">
        <f aca="false">IF($K747="","",INDEX(Base!$H$5:$H$2004,$K747))</f>
        <v/>
      </c>
      <c r="G747" s="71" t="str">
        <f aca="false">IF($K747="","",INDEX(Base!$I$5:$I$2004,$K747))</f>
        <v/>
      </c>
      <c r="H747" s="70" t="str">
        <f aca="false">IF($K747="","",INDEX(Base!$J$5:$J$2004,$K747))</f>
        <v/>
      </c>
      <c r="I747" s="71" t="str">
        <f aca="false">IF($K747="","",INDEX(Base!$L$5:$L$2004,$K747))</f>
        <v/>
      </c>
      <c r="J747" s="72" t="str">
        <f aca="false">IFERROR(SMALL(Base!$P$5:$P$2004,ROW()-5),"")</f>
        <v/>
      </c>
      <c r="K747" s="72" t="str">
        <f aca="false">IF(J747="","",MATCH(J747,Base!$P$5:$P$2004,0))</f>
        <v/>
      </c>
    </row>
    <row r="748" customFormat="false" ht="15" hidden="false" customHeight="false" outlineLevel="0" collapsed="false">
      <c r="A748" s="67" t="str">
        <f aca="false">IF($K748="","",ROW()-5)</f>
        <v/>
      </c>
      <c r="B748" s="68" t="str">
        <f aca="false">IF($K748="","",INDEX(Base!$E$5:$E$2004,$K748))</f>
        <v/>
      </c>
      <c r="C748" s="69" t="str">
        <f aca="false">IF($K748="","",B748)</f>
        <v/>
      </c>
      <c r="D748" s="70" t="str">
        <f aca="false">IF($K748="","",INDEX(Base!$F$5:$F$2004,$K748))</f>
        <v/>
      </c>
      <c r="E748" s="70" t="str">
        <f aca="false">IF($K748="","",INDEX(Base!$G$5:$G$2004,$K748))</f>
        <v/>
      </c>
      <c r="F748" s="71" t="str">
        <f aca="false">IF($K748="","",INDEX(Base!$H$5:$H$2004,$K748))</f>
        <v/>
      </c>
      <c r="G748" s="71" t="str">
        <f aca="false">IF($K748="","",INDEX(Base!$I$5:$I$2004,$K748))</f>
        <v/>
      </c>
      <c r="H748" s="70" t="str">
        <f aca="false">IF($K748="","",INDEX(Base!$J$5:$J$2004,$K748))</f>
        <v/>
      </c>
      <c r="I748" s="71" t="str">
        <f aca="false">IF($K748="","",INDEX(Base!$L$5:$L$2004,$K748))</f>
        <v/>
      </c>
      <c r="J748" s="72" t="str">
        <f aca="false">IFERROR(SMALL(Base!$P$5:$P$2004,ROW()-5),"")</f>
        <v/>
      </c>
      <c r="K748" s="72" t="str">
        <f aca="false">IF(J748="","",MATCH(J748,Base!$P$5:$P$2004,0))</f>
        <v/>
      </c>
    </row>
    <row r="749" customFormat="false" ht="15" hidden="false" customHeight="false" outlineLevel="0" collapsed="false">
      <c r="A749" s="67" t="str">
        <f aca="false">IF($K749="","",ROW()-5)</f>
        <v/>
      </c>
      <c r="B749" s="68" t="str">
        <f aca="false">IF($K749="","",INDEX(Base!$E$5:$E$2004,$K749))</f>
        <v/>
      </c>
      <c r="C749" s="69" t="str">
        <f aca="false">IF($K749="","",B749)</f>
        <v/>
      </c>
      <c r="D749" s="70" t="str">
        <f aca="false">IF($K749="","",INDEX(Base!$F$5:$F$2004,$K749))</f>
        <v/>
      </c>
      <c r="E749" s="70" t="str">
        <f aca="false">IF($K749="","",INDEX(Base!$G$5:$G$2004,$K749))</f>
        <v/>
      </c>
      <c r="F749" s="71" t="str">
        <f aca="false">IF($K749="","",INDEX(Base!$H$5:$H$2004,$K749))</f>
        <v/>
      </c>
      <c r="G749" s="71" t="str">
        <f aca="false">IF($K749="","",INDEX(Base!$I$5:$I$2004,$K749))</f>
        <v/>
      </c>
      <c r="H749" s="70" t="str">
        <f aca="false">IF($K749="","",INDEX(Base!$J$5:$J$2004,$K749))</f>
        <v/>
      </c>
      <c r="I749" s="71" t="str">
        <f aca="false">IF($K749="","",INDEX(Base!$L$5:$L$2004,$K749))</f>
        <v/>
      </c>
      <c r="J749" s="72" t="str">
        <f aca="false">IFERROR(SMALL(Base!$P$5:$P$2004,ROW()-5),"")</f>
        <v/>
      </c>
      <c r="K749" s="72" t="str">
        <f aca="false">IF(J749="","",MATCH(J749,Base!$P$5:$P$2004,0))</f>
        <v/>
      </c>
    </row>
    <row r="750" customFormat="false" ht="15" hidden="false" customHeight="false" outlineLevel="0" collapsed="false">
      <c r="A750" s="67" t="str">
        <f aca="false">IF($K750="","",ROW()-5)</f>
        <v/>
      </c>
      <c r="B750" s="68" t="str">
        <f aca="false">IF($K750="","",INDEX(Base!$E$5:$E$2004,$K750))</f>
        <v/>
      </c>
      <c r="C750" s="69" t="str">
        <f aca="false">IF($K750="","",B750)</f>
        <v/>
      </c>
      <c r="D750" s="70" t="str">
        <f aca="false">IF($K750="","",INDEX(Base!$F$5:$F$2004,$K750))</f>
        <v/>
      </c>
      <c r="E750" s="70" t="str">
        <f aca="false">IF($K750="","",INDEX(Base!$G$5:$G$2004,$K750))</f>
        <v/>
      </c>
      <c r="F750" s="71" t="str">
        <f aca="false">IF($K750="","",INDEX(Base!$H$5:$H$2004,$K750))</f>
        <v/>
      </c>
      <c r="G750" s="71" t="str">
        <f aca="false">IF($K750="","",INDEX(Base!$I$5:$I$2004,$K750))</f>
        <v/>
      </c>
      <c r="H750" s="70" t="str">
        <f aca="false">IF($K750="","",INDEX(Base!$J$5:$J$2004,$K750))</f>
        <v/>
      </c>
      <c r="I750" s="71" t="str">
        <f aca="false">IF($K750="","",INDEX(Base!$L$5:$L$2004,$K750))</f>
        <v/>
      </c>
      <c r="J750" s="72" t="str">
        <f aca="false">IFERROR(SMALL(Base!$P$5:$P$2004,ROW()-5),"")</f>
        <v/>
      </c>
      <c r="K750" s="72" t="str">
        <f aca="false">IF(J750="","",MATCH(J750,Base!$P$5:$P$2004,0))</f>
        <v/>
      </c>
    </row>
    <row r="751" customFormat="false" ht="15" hidden="false" customHeight="false" outlineLevel="0" collapsed="false">
      <c r="A751" s="67" t="str">
        <f aca="false">IF($K751="","",ROW()-5)</f>
        <v/>
      </c>
      <c r="B751" s="68" t="str">
        <f aca="false">IF($K751="","",INDEX(Base!$E$5:$E$2004,$K751))</f>
        <v/>
      </c>
      <c r="C751" s="69" t="str">
        <f aca="false">IF($K751="","",B751)</f>
        <v/>
      </c>
      <c r="D751" s="70" t="str">
        <f aca="false">IF($K751="","",INDEX(Base!$F$5:$F$2004,$K751))</f>
        <v/>
      </c>
      <c r="E751" s="70" t="str">
        <f aca="false">IF($K751="","",INDEX(Base!$G$5:$G$2004,$K751))</f>
        <v/>
      </c>
      <c r="F751" s="71" t="str">
        <f aca="false">IF($K751="","",INDEX(Base!$H$5:$H$2004,$K751))</f>
        <v/>
      </c>
      <c r="G751" s="71" t="str">
        <f aca="false">IF($K751="","",INDEX(Base!$I$5:$I$2004,$K751))</f>
        <v/>
      </c>
      <c r="H751" s="70" t="str">
        <f aca="false">IF($K751="","",INDEX(Base!$J$5:$J$2004,$K751))</f>
        <v/>
      </c>
      <c r="I751" s="71" t="str">
        <f aca="false">IF($K751="","",INDEX(Base!$L$5:$L$2004,$K751))</f>
        <v/>
      </c>
      <c r="J751" s="72" t="str">
        <f aca="false">IFERROR(SMALL(Base!$P$5:$P$2004,ROW()-5),"")</f>
        <v/>
      </c>
      <c r="K751" s="72" t="str">
        <f aca="false">IF(J751="","",MATCH(J751,Base!$P$5:$P$2004,0))</f>
        <v/>
      </c>
    </row>
    <row r="752" customFormat="false" ht="15" hidden="false" customHeight="false" outlineLevel="0" collapsed="false">
      <c r="A752" s="67" t="str">
        <f aca="false">IF($K752="","",ROW()-5)</f>
        <v/>
      </c>
      <c r="B752" s="68" t="str">
        <f aca="false">IF($K752="","",INDEX(Base!$E$5:$E$2004,$K752))</f>
        <v/>
      </c>
      <c r="C752" s="69" t="str">
        <f aca="false">IF($K752="","",B752)</f>
        <v/>
      </c>
      <c r="D752" s="70" t="str">
        <f aca="false">IF($K752="","",INDEX(Base!$F$5:$F$2004,$K752))</f>
        <v/>
      </c>
      <c r="E752" s="70" t="str">
        <f aca="false">IF($K752="","",INDEX(Base!$G$5:$G$2004,$K752))</f>
        <v/>
      </c>
      <c r="F752" s="71" t="str">
        <f aca="false">IF($K752="","",INDEX(Base!$H$5:$H$2004,$K752))</f>
        <v/>
      </c>
      <c r="G752" s="71" t="str">
        <f aca="false">IF($K752="","",INDEX(Base!$I$5:$I$2004,$K752))</f>
        <v/>
      </c>
      <c r="H752" s="70" t="str">
        <f aca="false">IF($K752="","",INDEX(Base!$J$5:$J$2004,$K752))</f>
        <v/>
      </c>
      <c r="I752" s="71" t="str">
        <f aca="false">IF($K752="","",INDEX(Base!$L$5:$L$2004,$K752))</f>
        <v/>
      </c>
      <c r="J752" s="72" t="str">
        <f aca="false">IFERROR(SMALL(Base!$P$5:$P$2004,ROW()-5),"")</f>
        <v/>
      </c>
      <c r="K752" s="72" t="str">
        <f aca="false">IF(J752="","",MATCH(J752,Base!$P$5:$P$2004,0))</f>
        <v/>
      </c>
    </row>
    <row r="753" customFormat="false" ht="15" hidden="false" customHeight="false" outlineLevel="0" collapsed="false">
      <c r="A753" s="67" t="str">
        <f aca="false">IF($K753="","",ROW()-5)</f>
        <v/>
      </c>
      <c r="B753" s="68" t="str">
        <f aca="false">IF($K753="","",INDEX(Base!$E$5:$E$2004,$K753))</f>
        <v/>
      </c>
      <c r="C753" s="69" t="str">
        <f aca="false">IF($K753="","",B753)</f>
        <v/>
      </c>
      <c r="D753" s="70" t="str">
        <f aca="false">IF($K753="","",INDEX(Base!$F$5:$F$2004,$K753))</f>
        <v/>
      </c>
      <c r="E753" s="70" t="str">
        <f aca="false">IF($K753="","",INDEX(Base!$G$5:$G$2004,$K753))</f>
        <v/>
      </c>
      <c r="F753" s="71" t="str">
        <f aca="false">IF($K753="","",INDEX(Base!$H$5:$H$2004,$K753))</f>
        <v/>
      </c>
      <c r="G753" s="71" t="str">
        <f aca="false">IF($K753="","",INDEX(Base!$I$5:$I$2004,$K753))</f>
        <v/>
      </c>
      <c r="H753" s="70" t="str">
        <f aca="false">IF($K753="","",INDEX(Base!$J$5:$J$2004,$K753))</f>
        <v/>
      </c>
      <c r="I753" s="71" t="str">
        <f aca="false">IF($K753="","",INDEX(Base!$L$5:$L$2004,$K753))</f>
        <v/>
      </c>
      <c r="J753" s="72" t="str">
        <f aca="false">IFERROR(SMALL(Base!$P$5:$P$2004,ROW()-5),"")</f>
        <v/>
      </c>
      <c r="K753" s="72" t="str">
        <f aca="false">IF(J753="","",MATCH(J753,Base!$P$5:$P$2004,0))</f>
        <v/>
      </c>
    </row>
    <row r="754" customFormat="false" ht="15" hidden="false" customHeight="false" outlineLevel="0" collapsed="false">
      <c r="A754" s="67" t="str">
        <f aca="false">IF($K754="","",ROW()-5)</f>
        <v/>
      </c>
      <c r="B754" s="68" t="str">
        <f aca="false">IF($K754="","",INDEX(Base!$E$5:$E$2004,$K754))</f>
        <v/>
      </c>
      <c r="C754" s="69" t="str">
        <f aca="false">IF($K754="","",B754)</f>
        <v/>
      </c>
      <c r="D754" s="70" t="str">
        <f aca="false">IF($K754="","",INDEX(Base!$F$5:$F$2004,$K754))</f>
        <v/>
      </c>
      <c r="E754" s="70" t="str">
        <f aca="false">IF($K754="","",INDEX(Base!$G$5:$G$2004,$K754))</f>
        <v/>
      </c>
      <c r="F754" s="71" t="str">
        <f aca="false">IF($K754="","",INDEX(Base!$H$5:$H$2004,$K754))</f>
        <v/>
      </c>
      <c r="G754" s="71" t="str">
        <f aca="false">IF($K754="","",INDEX(Base!$I$5:$I$2004,$K754))</f>
        <v/>
      </c>
      <c r="H754" s="70" t="str">
        <f aca="false">IF($K754="","",INDEX(Base!$J$5:$J$2004,$K754))</f>
        <v/>
      </c>
      <c r="I754" s="71" t="str">
        <f aca="false">IF($K754="","",INDEX(Base!$L$5:$L$2004,$K754))</f>
        <v/>
      </c>
      <c r="J754" s="72" t="str">
        <f aca="false">IFERROR(SMALL(Base!$P$5:$P$2004,ROW()-5),"")</f>
        <v/>
      </c>
      <c r="K754" s="72" t="str">
        <f aca="false">IF(J754="","",MATCH(J754,Base!$P$5:$P$2004,0))</f>
        <v/>
      </c>
    </row>
    <row r="755" customFormat="false" ht="15" hidden="false" customHeight="false" outlineLevel="0" collapsed="false">
      <c r="A755" s="67" t="str">
        <f aca="false">IF($K755="","",ROW()-5)</f>
        <v/>
      </c>
      <c r="B755" s="68" t="str">
        <f aca="false">IF($K755="","",INDEX(Base!$E$5:$E$2004,$K755))</f>
        <v/>
      </c>
      <c r="C755" s="69" t="str">
        <f aca="false">IF($K755="","",B755)</f>
        <v/>
      </c>
      <c r="D755" s="70" t="str">
        <f aca="false">IF($K755="","",INDEX(Base!$F$5:$F$2004,$K755))</f>
        <v/>
      </c>
      <c r="E755" s="70" t="str">
        <f aca="false">IF($K755="","",INDEX(Base!$G$5:$G$2004,$K755))</f>
        <v/>
      </c>
      <c r="F755" s="71" t="str">
        <f aca="false">IF($K755="","",INDEX(Base!$H$5:$H$2004,$K755))</f>
        <v/>
      </c>
      <c r="G755" s="71" t="str">
        <f aca="false">IF($K755="","",INDEX(Base!$I$5:$I$2004,$K755))</f>
        <v/>
      </c>
      <c r="H755" s="70" t="str">
        <f aca="false">IF($K755="","",INDEX(Base!$J$5:$J$2004,$K755))</f>
        <v/>
      </c>
      <c r="I755" s="71" t="str">
        <f aca="false">IF($K755="","",INDEX(Base!$L$5:$L$2004,$K755))</f>
        <v/>
      </c>
      <c r="J755" s="72" t="str">
        <f aca="false">IFERROR(SMALL(Base!$P$5:$P$2004,ROW()-5),"")</f>
        <v/>
      </c>
      <c r="K755" s="72" t="str">
        <f aca="false">IF(J755="","",MATCH(J755,Base!$P$5:$P$2004,0))</f>
        <v/>
      </c>
    </row>
    <row r="756" customFormat="false" ht="15" hidden="false" customHeight="false" outlineLevel="0" collapsed="false">
      <c r="A756" s="67" t="str">
        <f aca="false">IF($K756="","",ROW()-5)</f>
        <v/>
      </c>
      <c r="B756" s="68" t="str">
        <f aca="false">IF($K756="","",INDEX(Base!$E$5:$E$2004,$K756))</f>
        <v/>
      </c>
      <c r="C756" s="69" t="str">
        <f aca="false">IF($K756="","",B756)</f>
        <v/>
      </c>
      <c r="D756" s="70" t="str">
        <f aca="false">IF($K756="","",INDEX(Base!$F$5:$F$2004,$K756))</f>
        <v/>
      </c>
      <c r="E756" s="70" t="str">
        <f aca="false">IF($K756="","",INDEX(Base!$G$5:$G$2004,$K756))</f>
        <v/>
      </c>
      <c r="F756" s="71" t="str">
        <f aca="false">IF($K756="","",INDEX(Base!$H$5:$H$2004,$K756))</f>
        <v/>
      </c>
      <c r="G756" s="71" t="str">
        <f aca="false">IF($K756="","",INDEX(Base!$I$5:$I$2004,$K756))</f>
        <v/>
      </c>
      <c r="H756" s="70" t="str">
        <f aca="false">IF($K756="","",INDEX(Base!$J$5:$J$2004,$K756))</f>
        <v/>
      </c>
      <c r="I756" s="71" t="str">
        <f aca="false">IF($K756="","",INDEX(Base!$L$5:$L$2004,$K756))</f>
        <v/>
      </c>
      <c r="J756" s="72" t="str">
        <f aca="false">IFERROR(SMALL(Base!$P$5:$P$2004,ROW()-5),"")</f>
        <v/>
      </c>
      <c r="K756" s="72" t="str">
        <f aca="false">IF(J756="","",MATCH(J756,Base!$P$5:$P$2004,0))</f>
        <v/>
      </c>
    </row>
    <row r="757" customFormat="false" ht="15" hidden="false" customHeight="false" outlineLevel="0" collapsed="false">
      <c r="A757" s="67" t="str">
        <f aca="false">IF($K757="","",ROW()-5)</f>
        <v/>
      </c>
      <c r="B757" s="68" t="str">
        <f aca="false">IF($K757="","",INDEX(Base!$E$5:$E$2004,$K757))</f>
        <v/>
      </c>
      <c r="C757" s="69" t="str">
        <f aca="false">IF($K757="","",B757)</f>
        <v/>
      </c>
      <c r="D757" s="70" t="str">
        <f aca="false">IF($K757="","",INDEX(Base!$F$5:$F$2004,$K757))</f>
        <v/>
      </c>
      <c r="E757" s="70" t="str">
        <f aca="false">IF($K757="","",INDEX(Base!$G$5:$G$2004,$K757))</f>
        <v/>
      </c>
      <c r="F757" s="71" t="str">
        <f aca="false">IF($K757="","",INDEX(Base!$H$5:$H$2004,$K757))</f>
        <v/>
      </c>
      <c r="G757" s="71" t="str">
        <f aca="false">IF($K757="","",INDEX(Base!$I$5:$I$2004,$K757))</f>
        <v/>
      </c>
      <c r="H757" s="70" t="str">
        <f aca="false">IF($K757="","",INDEX(Base!$J$5:$J$2004,$K757))</f>
        <v/>
      </c>
      <c r="I757" s="71" t="str">
        <f aca="false">IF($K757="","",INDEX(Base!$L$5:$L$2004,$K757))</f>
        <v/>
      </c>
      <c r="J757" s="72" t="str">
        <f aca="false">IFERROR(SMALL(Base!$P$5:$P$2004,ROW()-5),"")</f>
        <v/>
      </c>
      <c r="K757" s="72" t="str">
        <f aca="false">IF(J757="","",MATCH(J757,Base!$P$5:$P$2004,0))</f>
        <v/>
      </c>
    </row>
    <row r="758" customFormat="false" ht="15" hidden="false" customHeight="false" outlineLevel="0" collapsed="false">
      <c r="A758" s="67" t="str">
        <f aca="false">IF($K758="","",ROW()-5)</f>
        <v/>
      </c>
      <c r="B758" s="68" t="str">
        <f aca="false">IF($K758="","",INDEX(Base!$E$5:$E$2004,$K758))</f>
        <v/>
      </c>
      <c r="C758" s="69" t="str">
        <f aca="false">IF($K758="","",B758)</f>
        <v/>
      </c>
      <c r="D758" s="70" t="str">
        <f aca="false">IF($K758="","",INDEX(Base!$F$5:$F$2004,$K758))</f>
        <v/>
      </c>
      <c r="E758" s="70" t="str">
        <f aca="false">IF($K758="","",INDEX(Base!$G$5:$G$2004,$K758))</f>
        <v/>
      </c>
      <c r="F758" s="71" t="str">
        <f aca="false">IF($K758="","",INDEX(Base!$H$5:$H$2004,$K758))</f>
        <v/>
      </c>
      <c r="G758" s="71" t="str">
        <f aca="false">IF($K758="","",INDEX(Base!$I$5:$I$2004,$K758))</f>
        <v/>
      </c>
      <c r="H758" s="70" t="str">
        <f aca="false">IF($K758="","",INDEX(Base!$J$5:$J$2004,$K758))</f>
        <v/>
      </c>
      <c r="I758" s="71" t="str">
        <f aca="false">IF($K758="","",INDEX(Base!$L$5:$L$2004,$K758))</f>
        <v/>
      </c>
      <c r="J758" s="72" t="str">
        <f aca="false">IFERROR(SMALL(Base!$P$5:$P$2004,ROW()-5),"")</f>
        <v/>
      </c>
      <c r="K758" s="72" t="str">
        <f aca="false">IF(J758="","",MATCH(J758,Base!$P$5:$P$2004,0))</f>
        <v/>
      </c>
    </row>
    <row r="759" customFormat="false" ht="15" hidden="false" customHeight="false" outlineLevel="0" collapsed="false">
      <c r="A759" s="67" t="str">
        <f aca="false">IF($K759="","",ROW()-5)</f>
        <v/>
      </c>
      <c r="B759" s="68" t="str">
        <f aca="false">IF($K759="","",INDEX(Base!$E$5:$E$2004,$K759))</f>
        <v/>
      </c>
      <c r="C759" s="69" t="str">
        <f aca="false">IF($K759="","",B759)</f>
        <v/>
      </c>
      <c r="D759" s="70" t="str">
        <f aca="false">IF($K759="","",INDEX(Base!$F$5:$F$2004,$K759))</f>
        <v/>
      </c>
      <c r="E759" s="70" t="str">
        <f aca="false">IF($K759="","",INDEX(Base!$G$5:$G$2004,$K759))</f>
        <v/>
      </c>
      <c r="F759" s="71" t="str">
        <f aca="false">IF($K759="","",INDEX(Base!$H$5:$H$2004,$K759))</f>
        <v/>
      </c>
      <c r="G759" s="71" t="str">
        <f aca="false">IF($K759="","",INDEX(Base!$I$5:$I$2004,$K759))</f>
        <v/>
      </c>
      <c r="H759" s="70" t="str">
        <f aca="false">IF($K759="","",INDEX(Base!$J$5:$J$2004,$K759))</f>
        <v/>
      </c>
      <c r="I759" s="71" t="str">
        <f aca="false">IF($K759="","",INDEX(Base!$L$5:$L$2004,$K759))</f>
        <v/>
      </c>
      <c r="J759" s="72" t="str">
        <f aca="false">IFERROR(SMALL(Base!$P$5:$P$2004,ROW()-5),"")</f>
        <v/>
      </c>
      <c r="K759" s="72" t="str">
        <f aca="false">IF(J759="","",MATCH(J759,Base!$P$5:$P$2004,0))</f>
        <v/>
      </c>
    </row>
    <row r="760" customFormat="false" ht="15" hidden="false" customHeight="false" outlineLevel="0" collapsed="false">
      <c r="A760" s="67" t="str">
        <f aca="false">IF($K760="","",ROW()-5)</f>
        <v/>
      </c>
      <c r="B760" s="68" t="str">
        <f aca="false">IF($K760="","",INDEX(Base!$E$5:$E$2004,$K760))</f>
        <v/>
      </c>
      <c r="C760" s="69" t="str">
        <f aca="false">IF($K760="","",B760)</f>
        <v/>
      </c>
      <c r="D760" s="70" t="str">
        <f aca="false">IF($K760="","",INDEX(Base!$F$5:$F$2004,$K760))</f>
        <v/>
      </c>
      <c r="E760" s="70" t="str">
        <f aca="false">IF($K760="","",INDEX(Base!$G$5:$G$2004,$K760))</f>
        <v/>
      </c>
      <c r="F760" s="71" t="str">
        <f aca="false">IF($K760="","",INDEX(Base!$H$5:$H$2004,$K760))</f>
        <v/>
      </c>
      <c r="G760" s="71" t="str">
        <f aca="false">IF($K760="","",INDEX(Base!$I$5:$I$2004,$K760))</f>
        <v/>
      </c>
      <c r="H760" s="70" t="str">
        <f aca="false">IF($K760="","",INDEX(Base!$J$5:$J$2004,$K760))</f>
        <v/>
      </c>
      <c r="I760" s="71" t="str">
        <f aca="false">IF($K760="","",INDEX(Base!$L$5:$L$2004,$K760))</f>
        <v/>
      </c>
      <c r="J760" s="72" t="str">
        <f aca="false">IFERROR(SMALL(Base!$P$5:$P$2004,ROW()-5),"")</f>
        <v/>
      </c>
      <c r="K760" s="72" t="str">
        <f aca="false">IF(J760="","",MATCH(J760,Base!$P$5:$P$2004,0))</f>
        <v/>
      </c>
    </row>
    <row r="761" customFormat="false" ht="15" hidden="false" customHeight="false" outlineLevel="0" collapsed="false">
      <c r="A761" s="67" t="str">
        <f aca="false">IF($K761="","",ROW()-5)</f>
        <v/>
      </c>
      <c r="B761" s="68" t="str">
        <f aca="false">IF($K761="","",INDEX(Base!$E$5:$E$2004,$K761))</f>
        <v/>
      </c>
      <c r="C761" s="69" t="str">
        <f aca="false">IF($K761="","",B761)</f>
        <v/>
      </c>
      <c r="D761" s="70" t="str">
        <f aca="false">IF($K761="","",INDEX(Base!$F$5:$F$2004,$K761))</f>
        <v/>
      </c>
      <c r="E761" s="70" t="str">
        <f aca="false">IF($K761="","",INDEX(Base!$G$5:$G$2004,$K761))</f>
        <v/>
      </c>
      <c r="F761" s="71" t="str">
        <f aca="false">IF($K761="","",INDEX(Base!$H$5:$H$2004,$K761))</f>
        <v/>
      </c>
      <c r="G761" s="71" t="str">
        <f aca="false">IF($K761="","",INDEX(Base!$I$5:$I$2004,$K761))</f>
        <v/>
      </c>
      <c r="H761" s="70" t="str">
        <f aca="false">IF($K761="","",INDEX(Base!$J$5:$J$2004,$K761))</f>
        <v/>
      </c>
      <c r="I761" s="71" t="str">
        <f aca="false">IF($K761="","",INDEX(Base!$L$5:$L$2004,$K761))</f>
        <v/>
      </c>
      <c r="J761" s="72" t="str">
        <f aca="false">IFERROR(SMALL(Base!$P$5:$P$2004,ROW()-5),"")</f>
        <v/>
      </c>
      <c r="K761" s="72" t="str">
        <f aca="false">IF(J761="","",MATCH(J761,Base!$P$5:$P$2004,0))</f>
        <v/>
      </c>
    </row>
    <row r="762" customFormat="false" ht="15" hidden="false" customHeight="false" outlineLevel="0" collapsed="false">
      <c r="A762" s="67" t="str">
        <f aca="false">IF($K762="","",ROW()-5)</f>
        <v/>
      </c>
      <c r="B762" s="68" t="str">
        <f aca="false">IF($K762="","",INDEX(Base!$E$5:$E$2004,$K762))</f>
        <v/>
      </c>
      <c r="C762" s="69" t="str">
        <f aca="false">IF($K762="","",B762)</f>
        <v/>
      </c>
      <c r="D762" s="70" t="str">
        <f aca="false">IF($K762="","",INDEX(Base!$F$5:$F$2004,$K762))</f>
        <v/>
      </c>
      <c r="E762" s="70" t="str">
        <f aca="false">IF($K762="","",INDEX(Base!$G$5:$G$2004,$K762))</f>
        <v/>
      </c>
      <c r="F762" s="71" t="str">
        <f aca="false">IF($K762="","",INDEX(Base!$H$5:$H$2004,$K762))</f>
        <v/>
      </c>
      <c r="G762" s="71" t="str">
        <f aca="false">IF($K762="","",INDEX(Base!$I$5:$I$2004,$K762))</f>
        <v/>
      </c>
      <c r="H762" s="70" t="str">
        <f aca="false">IF($K762="","",INDEX(Base!$J$5:$J$2004,$K762))</f>
        <v/>
      </c>
      <c r="I762" s="71" t="str">
        <f aca="false">IF($K762="","",INDEX(Base!$L$5:$L$2004,$K762))</f>
        <v/>
      </c>
      <c r="J762" s="72" t="str">
        <f aca="false">IFERROR(SMALL(Base!$P$5:$P$2004,ROW()-5),"")</f>
        <v/>
      </c>
      <c r="K762" s="72" t="str">
        <f aca="false">IF(J762="","",MATCH(J762,Base!$P$5:$P$2004,0))</f>
        <v/>
      </c>
    </row>
    <row r="763" customFormat="false" ht="15" hidden="false" customHeight="false" outlineLevel="0" collapsed="false">
      <c r="A763" s="67" t="str">
        <f aca="false">IF($K763="","",ROW()-5)</f>
        <v/>
      </c>
      <c r="B763" s="68" t="str">
        <f aca="false">IF($K763="","",INDEX(Base!$E$5:$E$2004,$K763))</f>
        <v/>
      </c>
      <c r="C763" s="69" t="str">
        <f aca="false">IF($K763="","",B763)</f>
        <v/>
      </c>
      <c r="D763" s="70" t="str">
        <f aca="false">IF($K763="","",INDEX(Base!$F$5:$F$2004,$K763))</f>
        <v/>
      </c>
      <c r="E763" s="70" t="str">
        <f aca="false">IF($K763="","",INDEX(Base!$G$5:$G$2004,$K763))</f>
        <v/>
      </c>
      <c r="F763" s="71" t="str">
        <f aca="false">IF($K763="","",INDEX(Base!$H$5:$H$2004,$K763))</f>
        <v/>
      </c>
      <c r="G763" s="71" t="str">
        <f aca="false">IF($K763="","",INDEX(Base!$I$5:$I$2004,$K763))</f>
        <v/>
      </c>
      <c r="H763" s="70" t="str">
        <f aca="false">IF($K763="","",INDEX(Base!$J$5:$J$2004,$K763))</f>
        <v/>
      </c>
      <c r="I763" s="71" t="str">
        <f aca="false">IF($K763="","",INDEX(Base!$L$5:$L$2004,$K763))</f>
        <v/>
      </c>
      <c r="J763" s="72" t="str">
        <f aca="false">IFERROR(SMALL(Base!$P$5:$P$2004,ROW()-5),"")</f>
        <v/>
      </c>
      <c r="K763" s="72" t="str">
        <f aca="false">IF(J763="","",MATCH(J763,Base!$P$5:$P$2004,0))</f>
        <v/>
      </c>
    </row>
    <row r="764" customFormat="false" ht="15" hidden="false" customHeight="false" outlineLevel="0" collapsed="false">
      <c r="A764" s="67" t="str">
        <f aca="false">IF($K764="","",ROW()-5)</f>
        <v/>
      </c>
      <c r="B764" s="68" t="str">
        <f aca="false">IF($K764="","",INDEX(Base!$E$5:$E$2004,$K764))</f>
        <v/>
      </c>
      <c r="C764" s="69" t="str">
        <f aca="false">IF($K764="","",B764)</f>
        <v/>
      </c>
      <c r="D764" s="70" t="str">
        <f aca="false">IF($K764="","",INDEX(Base!$F$5:$F$2004,$K764))</f>
        <v/>
      </c>
      <c r="E764" s="70" t="str">
        <f aca="false">IF($K764="","",INDEX(Base!$G$5:$G$2004,$K764))</f>
        <v/>
      </c>
      <c r="F764" s="71" t="str">
        <f aca="false">IF($K764="","",INDEX(Base!$H$5:$H$2004,$K764))</f>
        <v/>
      </c>
      <c r="G764" s="71" t="str">
        <f aca="false">IF($K764="","",INDEX(Base!$I$5:$I$2004,$K764))</f>
        <v/>
      </c>
      <c r="H764" s="70" t="str">
        <f aca="false">IF($K764="","",INDEX(Base!$J$5:$J$2004,$K764))</f>
        <v/>
      </c>
      <c r="I764" s="71" t="str">
        <f aca="false">IF($K764="","",INDEX(Base!$L$5:$L$2004,$K764))</f>
        <v/>
      </c>
      <c r="J764" s="72" t="str">
        <f aca="false">IFERROR(SMALL(Base!$P$5:$P$2004,ROW()-5),"")</f>
        <v/>
      </c>
      <c r="K764" s="72" t="str">
        <f aca="false">IF(J764="","",MATCH(J764,Base!$P$5:$P$2004,0))</f>
        <v/>
      </c>
    </row>
    <row r="765" customFormat="false" ht="15" hidden="false" customHeight="false" outlineLevel="0" collapsed="false">
      <c r="A765" s="67" t="str">
        <f aca="false">IF($K765="","",ROW()-5)</f>
        <v/>
      </c>
      <c r="B765" s="68" t="str">
        <f aca="false">IF($K765="","",INDEX(Base!$E$5:$E$2004,$K765))</f>
        <v/>
      </c>
      <c r="C765" s="69" t="str">
        <f aca="false">IF($K765="","",B765)</f>
        <v/>
      </c>
      <c r="D765" s="70" t="str">
        <f aca="false">IF($K765="","",INDEX(Base!$F$5:$F$2004,$K765))</f>
        <v/>
      </c>
      <c r="E765" s="70" t="str">
        <f aca="false">IF($K765="","",INDEX(Base!$G$5:$G$2004,$K765))</f>
        <v/>
      </c>
      <c r="F765" s="71" t="str">
        <f aca="false">IF($K765="","",INDEX(Base!$H$5:$H$2004,$K765))</f>
        <v/>
      </c>
      <c r="G765" s="71" t="str">
        <f aca="false">IF($K765="","",INDEX(Base!$I$5:$I$2004,$K765))</f>
        <v/>
      </c>
      <c r="H765" s="70" t="str">
        <f aca="false">IF($K765="","",INDEX(Base!$J$5:$J$2004,$K765))</f>
        <v/>
      </c>
      <c r="I765" s="71" t="str">
        <f aca="false">IF($K765="","",INDEX(Base!$L$5:$L$2004,$K765))</f>
        <v/>
      </c>
      <c r="J765" s="72" t="str">
        <f aca="false">IFERROR(SMALL(Base!$P$5:$P$2004,ROW()-5),"")</f>
        <v/>
      </c>
      <c r="K765" s="72" t="str">
        <f aca="false">IF(J765="","",MATCH(J765,Base!$P$5:$P$2004,0))</f>
        <v/>
      </c>
    </row>
    <row r="766" customFormat="false" ht="15" hidden="false" customHeight="false" outlineLevel="0" collapsed="false">
      <c r="A766" s="67" t="str">
        <f aca="false">IF($K766="","",ROW()-5)</f>
        <v/>
      </c>
      <c r="B766" s="68" t="str">
        <f aca="false">IF($K766="","",INDEX(Base!$E$5:$E$2004,$K766))</f>
        <v/>
      </c>
      <c r="C766" s="69" t="str">
        <f aca="false">IF($K766="","",B766)</f>
        <v/>
      </c>
      <c r="D766" s="70" t="str">
        <f aca="false">IF($K766="","",INDEX(Base!$F$5:$F$2004,$K766))</f>
        <v/>
      </c>
      <c r="E766" s="70" t="str">
        <f aca="false">IF($K766="","",INDEX(Base!$G$5:$G$2004,$K766))</f>
        <v/>
      </c>
      <c r="F766" s="71" t="str">
        <f aca="false">IF($K766="","",INDEX(Base!$H$5:$H$2004,$K766))</f>
        <v/>
      </c>
      <c r="G766" s="71" t="str">
        <f aca="false">IF($K766="","",INDEX(Base!$I$5:$I$2004,$K766))</f>
        <v/>
      </c>
      <c r="H766" s="70" t="str">
        <f aca="false">IF($K766="","",INDEX(Base!$J$5:$J$2004,$K766))</f>
        <v/>
      </c>
      <c r="I766" s="71" t="str">
        <f aca="false">IF($K766="","",INDEX(Base!$L$5:$L$2004,$K766))</f>
        <v/>
      </c>
      <c r="J766" s="72" t="str">
        <f aca="false">IFERROR(SMALL(Base!$P$5:$P$2004,ROW()-5),"")</f>
        <v/>
      </c>
      <c r="K766" s="72" t="str">
        <f aca="false">IF(J766="","",MATCH(J766,Base!$P$5:$P$2004,0))</f>
        <v/>
      </c>
    </row>
    <row r="767" customFormat="false" ht="15" hidden="false" customHeight="false" outlineLevel="0" collapsed="false">
      <c r="A767" s="67" t="str">
        <f aca="false">IF($K767="","",ROW()-5)</f>
        <v/>
      </c>
      <c r="B767" s="68" t="str">
        <f aca="false">IF($K767="","",INDEX(Base!$E$5:$E$2004,$K767))</f>
        <v/>
      </c>
      <c r="C767" s="69" t="str">
        <f aca="false">IF($K767="","",B767)</f>
        <v/>
      </c>
      <c r="D767" s="70" t="str">
        <f aca="false">IF($K767="","",INDEX(Base!$F$5:$F$2004,$K767))</f>
        <v/>
      </c>
      <c r="E767" s="70" t="str">
        <f aca="false">IF($K767="","",INDEX(Base!$G$5:$G$2004,$K767))</f>
        <v/>
      </c>
      <c r="F767" s="71" t="str">
        <f aca="false">IF($K767="","",INDEX(Base!$H$5:$H$2004,$K767))</f>
        <v/>
      </c>
      <c r="G767" s="71" t="str">
        <f aca="false">IF($K767="","",INDEX(Base!$I$5:$I$2004,$K767))</f>
        <v/>
      </c>
      <c r="H767" s="70" t="str">
        <f aca="false">IF($K767="","",INDEX(Base!$J$5:$J$2004,$K767))</f>
        <v/>
      </c>
      <c r="I767" s="71" t="str">
        <f aca="false">IF($K767="","",INDEX(Base!$L$5:$L$2004,$K767))</f>
        <v/>
      </c>
      <c r="J767" s="72" t="str">
        <f aca="false">IFERROR(SMALL(Base!$P$5:$P$2004,ROW()-5),"")</f>
        <v/>
      </c>
      <c r="K767" s="72" t="str">
        <f aca="false">IF(J767="","",MATCH(J767,Base!$P$5:$P$2004,0))</f>
        <v/>
      </c>
    </row>
    <row r="768" customFormat="false" ht="15" hidden="false" customHeight="false" outlineLevel="0" collapsed="false">
      <c r="A768" s="67" t="str">
        <f aca="false">IF($K768="","",ROW()-5)</f>
        <v/>
      </c>
      <c r="B768" s="68" t="str">
        <f aca="false">IF($K768="","",INDEX(Base!$E$5:$E$2004,$K768))</f>
        <v/>
      </c>
      <c r="C768" s="69" t="str">
        <f aca="false">IF($K768="","",B768)</f>
        <v/>
      </c>
      <c r="D768" s="70" t="str">
        <f aca="false">IF($K768="","",INDEX(Base!$F$5:$F$2004,$K768))</f>
        <v/>
      </c>
      <c r="E768" s="70" t="str">
        <f aca="false">IF($K768="","",INDEX(Base!$G$5:$G$2004,$K768))</f>
        <v/>
      </c>
      <c r="F768" s="71" t="str">
        <f aca="false">IF($K768="","",INDEX(Base!$H$5:$H$2004,$K768))</f>
        <v/>
      </c>
      <c r="G768" s="71" t="str">
        <f aca="false">IF($K768="","",INDEX(Base!$I$5:$I$2004,$K768))</f>
        <v/>
      </c>
      <c r="H768" s="70" t="str">
        <f aca="false">IF($K768="","",INDEX(Base!$J$5:$J$2004,$K768))</f>
        <v/>
      </c>
      <c r="I768" s="71" t="str">
        <f aca="false">IF($K768="","",INDEX(Base!$L$5:$L$2004,$K768))</f>
        <v/>
      </c>
      <c r="J768" s="72" t="str">
        <f aca="false">IFERROR(SMALL(Base!$P$5:$P$2004,ROW()-5),"")</f>
        <v/>
      </c>
      <c r="K768" s="72" t="str">
        <f aca="false">IF(J768="","",MATCH(J768,Base!$P$5:$P$2004,0))</f>
        <v/>
      </c>
    </row>
    <row r="769" customFormat="false" ht="15" hidden="false" customHeight="false" outlineLevel="0" collapsed="false">
      <c r="A769" s="67" t="str">
        <f aca="false">IF($K769="","",ROW()-5)</f>
        <v/>
      </c>
      <c r="B769" s="68" t="str">
        <f aca="false">IF($K769="","",INDEX(Base!$E$5:$E$2004,$K769))</f>
        <v/>
      </c>
      <c r="C769" s="69" t="str">
        <f aca="false">IF($K769="","",B769)</f>
        <v/>
      </c>
      <c r="D769" s="70" t="str">
        <f aca="false">IF($K769="","",INDEX(Base!$F$5:$F$2004,$K769))</f>
        <v/>
      </c>
      <c r="E769" s="70" t="str">
        <f aca="false">IF($K769="","",INDEX(Base!$G$5:$G$2004,$K769))</f>
        <v/>
      </c>
      <c r="F769" s="71" t="str">
        <f aca="false">IF($K769="","",INDEX(Base!$H$5:$H$2004,$K769))</f>
        <v/>
      </c>
      <c r="G769" s="71" t="str">
        <f aca="false">IF($K769="","",INDEX(Base!$I$5:$I$2004,$K769))</f>
        <v/>
      </c>
      <c r="H769" s="70" t="str">
        <f aca="false">IF($K769="","",INDEX(Base!$J$5:$J$2004,$K769))</f>
        <v/>
      </c>
      <c r="I769" s="71" t="str">
        <f aca="false">IF($K769="","",INDEX(Base!$L$5:$L$2004,$K769))</f>
        <v/>
      </c>
      <c r="J769" s="72" t="str">
        <f aca="false">IFERROR(SMALL(Base!$P$5:$P$2004,ROW()-5),"")</f>
        <v/>
      </c>
      <c r="K769" s="72" t="str">
        <f aca="false">IF(J769="","",MATCH(J769,Base!$P$5:$P$2004,0))</f>
        <v/>
      </c>
    </row>
    <row r="770" customFormat="false" ht="15" hidden="false" customHeight="false" outlineLevel="0" collapsed="false">
      <c r="A770" s="67" t="str">
        <f aca="false">IF($K770="","",ROW()-5)</f>
        <v/>
      </c>
      <c r="B770" s="68" t="str">
        <f aca="false">IF($K770="","",INDEX(Base!$E$5:$E$2004,$K770))</f>
        <v/>
      </c>
      <c r="C770" s="69" t="str">
        <f aca="false">IF($K770="","",B770)</f>
        <v/>
      </c>
      <c r="D770" s="70" t="str">
        <f aca="false">IF($K770="","",INDEX(Base!$F$5:$F$2004,$K770))</f>
        <v/>
      </c>
      <c r="E770" s="70" t="str">
        <f aca="false">IF($K770="","",INDEX(Base!$G$5:$G$2004,$K770))</f>
        <v/>
      </c>
      <c r="F770" s="71" t="str">
        <f aca="false">IF($K770="","",INDEX(Base!$H$5:$H$2004,$K770))</f>
        <v/>
      </c>
      <c r="G770" s="71" t="str">
        <f aca="false">IF($K770="","",INDEX(Base!$I$5:$I$2004,$K770))</f>
        <v/>
      </c>
      <c r="H770" s="70" t="str">
        <f aca="false">IF($K770="","",INDEX(Base!$J$5:$J$2004,$K770))</f>
        <v/>
      </c>
      <c r="I770" s="71" t="str">
        <f aca="false">IF($K770="","",INDEX(Base!$L$5:$L$2004,$K770))</f>
        <v/>
      </c>
      <c r="J770" s="72" t="str">
        <f aca="false">IFERROR(SMALL(Base!$P$5:$P$2004,ROW()-5),"")</f>
        <v/>
      </c>
      <c r="K770" s="72" t="str">
        <f aca="false">IF(J770="","",MATCH(J770,Base!$P$5:$P$2004,0))</f>
        <v/>
      </c>
    </row>
    <row r="771" customFormat="false" ht="15" hidden="false" customHeight="false" outlineLevel="0" collapsed="false">
      <c r="A771" s="67" t="str">
        <f aca="false">IF($K771="","",ROW()-5)</f>
        <v/>
      </c>
      <c r="B771" s="68" t="str">
        <f aca="false">IF($K771="","",INDEX(Base!$E$5:$E$2004,$K771))</f>
        <v/>
      </c>
      <c r="C771" s="69" t="str">
        <f aca="false">IF($K771="","",B771)</f>
        <v/>
      </c>
      <c r="D771" s="70" t="str">
        <f aca="false">IF($K771="","",INDEX(Base!$F$5:$F$2004,$K771))</f>
        <v/>
      </c>
      <c r="E771" s="70" t="str">
        <f aca="false">IF($K771="","",INDEX(Base!$G$5:$G$2004,$K771))</f>
        <v/>
      </c>
      <c r="F771" s="71" t="str">
        <f aca="false">IF($K771="","",INDEX(Base!$H$5:$H$2004,$K771))</f>
        <v/>
      </c>
      <c r="G771" s="71" t="str">
        <f aca="false">IF($K771="","",INDEX(Base!$I$5:$I$2004,$K771))</f>
        <v/>
      </c>
      <c r="H771" s="70" t="str">
        <f aca="false">IF($K771="","",INDEX(Base!$J$5:$J$2004,$K771))</f>
        <v/>
      </c>
      <c r="I771" s="71" t="str">
        <f aca="false">IF($K771="","",INDEX(Base!$L$5:$L$2004,$K771))</f>
        <v/>
      </c>
      <c r="J771" s="72" t="str">
        <f aca="false">IFERROR(SMALL(Base!$P$5:$P$2004,ROW()-5),"")</f>
        <v/>
      </c>
      <c r="K771" s="72" t="str">
        <f aca="false">IF(J771="","",MATCH(J771,Base!$P$5:$P$2004,0))</f>
        <v/>
      </c>
    </row>
    <row r="772" customFormat="false" ht="15" hidden="false" customHeight="false" outlineLevel="0" collapsed="false">
      <c r="A772" s="67" t="str">
        <f aca="false">IF($K772="","",ROW()-5)</f>
        <v/>
      </c>
      <c r="B772" s="68" t="str">
        <f aca="false">IF($K772="","",INDEX(Base!$E$5:$E$2004,$K772))</f>
        <v/>
      </c>
      <c r="C772" s="69" t="str">
        <f aca="false">IF($K772="","",B772)</f>
        <v/>
      </c>
      <c r="D772" s="70" t="str">
        <f aca="false">IF($K772="","",INDEX(Base!$F$5:$F$2004,$K772))</f>
        <v/>
      </c>
      <c r="E772" s="70" t="str">
        <f aca="false">IF($K772="","",INDEX(Base!$G$5:$G$2004,$K772))</f>
        <v/>
      </c>
      <c r="F772" s="71" t="str">
        <f aca="false">IF($K772="","",INDEX(Base!$H$5:$H$2004,$K772))</f>
        <v/>
      </c>
      <c r="G772" s="71" t="str">
        <f aca="false">IF($K772="","",INDEX(Base!$I$5:$I$2004,$K772))</f>
        <v/>
      </c>
      <c r="H772" s="70" t="str">
        <f aca="false">IF($K772="","",INDEX(Base!$J$5:$J$2004,$K772))</f>
        <v/>
      </c>
      <c r="I772" s="71" t="str">
        <f aca="false">IF($K772="","",INDEX(Base!$L$5:$L$2004,$K772))</f>
        <v/>
      </c>
      <c r="J772" s="72" t="str">
        <f aca="false">IFERROR(SMALL(Base!$P$5:$P$2004,ROW()-5),"")</f>
        <v/>
      </c>
      <c r="K772" s="72" t="str">
        <f aca="false">IF(J772="","",MATCH(J772,Base!$P$5:$P$2004,0))</f>
        <v/>
      </c>
    </row>
    <row r="773" customFormat="false" ht="15" hidden="false" customHeight="false" outlineLevel="0" collapsed="false">
      <c r="A773" s="67" t="str">
        <f aca="false">IF($K773="","",ROW()-5)</f>
        <v/>
      </c>
      <c r="B773" s="68" t="str">
        <f aca="false">IF($K773="","",INDEX(Base!$E$5:$E$2004,$K773))</f>
        <v/>
      </c>
      <c r="C773" s="69" t="str">
        <f aca="false">IF($K773="","",B773)</f>
        <v/>
      </c>
      <c r="D773" s="70" t="str">
        <f aca="false">IF($K773="","",INDEX(Base!$F$5:$F$2004,$K773))</f>
        <v/>
      </c>
      <c r="E773" s="70" t="str">
        <f aca="false">IF($K773="","",INDEX(Base!$G$5:$G$2004,$K773))</f>
        <v/>
      </c>
      <c r="F773" s="71" t="str">
        <f aca="false">IF($K773="","",INDEX(Base!$H$5:$H$2004,$K773))</f>
        <v/>
      </c>
      <c r="G773" s="71" t="str">
        <f aca="false">IF($K773="","",INDEX(Base!$I$5:$I$2004,$K773))</f>
        <v/>
      </c>
      <c r="H773" s="70" t="str">
        <f aca="false">IF($K773="","",INDEX(Base!$J$5:$J$2004,$K773))</f>
        <v/>
      </c>
      <c r="I773" s="71" t="str">
        <f aca="false">IF($K773="","",INDEX(Base!$L$5:$L$2004,$K773))</f>
        <v/>
      </c>
      <c r="J773" s="72" t="str">
        <f aca="false">IFERROR(SMALL(Base!$P$5:$P$2004,ROW()-5),"")</f>
        <v/>
      </c>
      <c r="K773" s="72" t="str">
        <f aca="false">IF(J773="","",MATCH(J773,Base!$P$5:$P$2004,0))</f>
        <v/>
      </c>
    </row>
    <row r="774" customFormat="false" ht="15" hidden="false" customHeight="false" outlineLevel="0" collapsed="false">
      <c r="A774" s="67" t="str">
        <f aca="false">IF($K774="","",ROW()-5)</f>
        <v/>
      </c>
      <c r="B774" s="68" t="str">
        <f aca="false">IF($K774="","",INDEX(Base!$E$5:$E$2004,$K774))</f>
        <v/>
      </c>
      <c r="C774" s="69" t="str">
        <f aca="false">IF($K774="","",B774)</f>
        <v/>
      </c>
      <c r="D774" s="70" t="str">
        <f aca="false">IF($K774="","",INDEX(Base!$F$5:$F$2004,$K774))</f>
        <v/>
      </c>
      <c r="E774" s="70" t="str">
        <f aca="false">IF($K774="","",INDEX(Base!$G$5:$G$2004,$K774))</f>
        <v/>
      </c>
      <c r="F774" s="71" t="str">
        <f aca="false">IF($K774="","",INDEX(Base!$H$5:$H$2004,$K774))</f>
        <v/>
      </c>
      <c r="G774" s="71" t="str">
        <f aca="false">IF($K774="","",INDEX(Base!$I$5:$I$2004,$K774))</f>
        <v/>
      </c>
      <c r="H774" s="70" t="str">
        <f aca="false">IF($K774="","",INDEX(Base!$J$5:$J$2004,$K774))</f>
        <v/>
      </c>
      <c r="I774" s="71" t="str">
        <f aca="false">IF($K774="","",INDEX(Base!$L$5:$L$2004,$K774))</f>
        <v/>
      </c>
      <c r="J774" s="72" t="str">
        <f aca="false">IFERROR(SMALL(Base!$P$5:$P$2004,ROW()-5),"")</f>
        <v/>
      </c>
      <c r="K774" s="72" t="str">
        <f aca="false">IF(J774="","",MATCH(J774,Base!$P$5:$P$2004,0))</f>
        <v/>
      </c>
    </row>
    <row r="775" customFormat="false" ht="15" hidden="false" customHeight="false" outlineLevel="0" collapsed="false">
      <c r="A775" s="67" t="str">
        <f aca="false">IF($K775="","",ROW()-5)</f>
        <v/>
      </c>
      <c r="B775" s="68" t="str">
        <f aca="false">IF($K775="","",INDEX(Base!$E$5:$E$2004,$K775))</f>
        <v/>
      </c>
      <c r="C775" s="69" t="str">
        <f aca="false">IF($K775="","",B775)</f>
        <v/>
      </c>
      <c r="D775" s="70" t="str">
        <f aca="false">IF($K775="","",INDEX(Base!$F$5:$F$2004,$K775))</f>
        <v/>
      </c>
      <c r="E775" s="70" t="str">
        <f aca="false">IF($K775="","",INDEX(Base!$G$5:$G$2004,$K775))</f>
        <v/>
      </c>
      <c r="F775" s="71" t="str">
        <f aca="false">IF($K775="","",INDEX(Base!$H$5:$H$2004,$K775))</f>
        <v/>
      </c>
      <c r="G775" s="71" t="str">
        <f aca="false">IF($K775="","",INDEX(Base!$I$5:$I$2004,$K775))</f>
        <v/>
      </c>
      <c r="H775" s="70" t="str">
        <f aca="false">IF($K775="","",INDEX(Base!$J$5:$J$2004,$K775))</f>
        <v/>
      </c>
      <c r="I775" s="71" t="str">
        <f aca="false">IF($K775="","",INDEX(Base!$L$5:$L$2004,$K775))</f>
        <v/>
      </c>
      <c r="J775" s="72" t="str">
        <f aca="false">IFERROR(SMALL(Base!$P$5:$P$2004,ROW()-5),"")</f>
        <v/>
      </c>
      <c r="K775" s="72" t="str">
        <f aca="false">IF(J775="","",MATCH(J775,Base!$P$5:$P$2004,0))</f>
        <v/>
      </c>
    </row>
    <row r="776" customFormat="false" ht="15" hidden="false" customHeight="false" outlineLevel="0" collapsed="false">
      <c r="A776" s="67" t="str">
        <f aca="false">IF($K776="","",ROW()-5)</f>
        <v/>
      </c>
      <c r="B776" s="68" t="str">
        <f aca="false">IF($K776="","",INDEX(Base!$E$5:$E$2004,$K776))</f>
        <v/>
      </c>
      <c r="C776" s="69" t="str">
        <f aca="false">IF($K776="","",B776)</f>
        <v/>
      </c>
      <c r="D776" s="70" t="str">
        <f aca="false">IF($K776="","",INDEX(Base!$F$5:$F$2004,$K776))</f>
        <v/>
      </c>
      <c r="E776" s="70" t="str">
        <f aca="false">IF($K776="","",INDEX(Base!$G$5:$G$2004,$K776))</f>
        <v/>
      </c>
      <c r="F776" s="71" t="str">
        <f aca="false">IF($K776="","",INDEX(Base!$H$5:$H$2004,$K776))</f>
        <v/>
      </c>
      <c r="G776" s="71" t="str">
        <f aca="false">IF($K776="","",INDEX(Base!$I$5:$I$2004,$K776))</f>
        <v/>
      </c>
      <c r="H776" s="70" t="str">
        <f aca="false">IF($K776="","",INDEX(Base!$J$5:$J$2004,$K776))</f>
        <v/>
      </c>
      <c r="I776" s="71" t="str">
        <f aca="false">IF($K776="","",INDEX(Base!$L$5:$L$2004,$K776))</f>
        <v/>
      </c>
      <c r="J776" s="72" t="str">
        <f aca="false">IFERROR(SMALL(Base!$P$5:$P$2004,ROW()-5),"")</f>
        <v/>
      </c>
      <c r="K776" s="72" t="str">
        <f aca="false">IF(J776="","",MATCH(J776,Base!$P$5:$P$2004,0))</f>
        <v/>
      </c>
    </row>
    <row r="777" customFormat="false" ht="15" hidden="false" customHeight="false" outlineLevel="0" collapsed="false">
      <c r="A777" s="67" t="str">
        <f aca="false">IF($K777="","",ROW()-5)</f>
        <v/>
      </c>
      <c r="B777" s="68" t="str">
        <f aca="false">IF($K777="","",INDEX(Base!$E$5:$E$2004,$K777))</f>
        <v/>
      </c>
      <c r="C777" s="69" t="str">
        <f aca="false">IF($K777="","",B777)</f>
        <v/>
      </c>
      <c r="D777" s="70" t="str">
        <f aca="false">IF($K777="","",INDEX(Base!$F$5:$F$2004,$K777))</f>
        <v/>
      </c>
      <c r="E777" s="70" t="str">
        <f aca="false">IF($K777="","",INDEX(Base!$G$5:$G$2004,$K777))</f>
        <v/>
      </c>
      <c r="F777" s="71" t="str">
        <f aca="false">IF($K777="","",INDEX(Base!$H$5:$H$2004,$K777))</f>
        <v/>
      </c>
      <c r="G777" s="71" t="str">
        <f aca="false">IF($K777="","",INDEX(Base!$I$5:$I$2004,$K777))</f>
        <v/>
      </c>
      <c r="H777" s="70" t="str">
        <f aca="false">IF($K777="","",INDEX(Base!$J$5:$J$2004,$K777))</f>
        <v/>
      </c>
      <c r="I777" s="71" t="str">
        <f aca="false">IF($K777="","",INDEX(Base!$L$5:$L$2004,$K777))</f>
        <v/>
      </c>
      <c r="J777" s="72" t="str">
        <f aca="false">IFERROR(SMALL(Base!$P$5:$P$2004,ROW()-5),"")</f>
        <v/>
      </c>
      <c r="K777" s="72" t="str">
        <f aca="false">IF(J777="","",MATCH(J777,Base!$P$5:$P$2004,0))</f>
        <v/>
      </c>
    </row>
    <row r="778" customFormat="false" ht="15" hidden="false" customHeight="false" outlineLevel="0" collapsed="false">
      <c r="A778" s="67" t="str">
        <f aca="false">IF($K778="","",ROW()-5)</f>
        <v/>
      </c>
      <c r="B778" s="68" t="str">
        <f aca="false">IF($K778="","",INDEX(Base!$E$5:$E$2004,$K778))</f>
        <v/>
      </c>
      <c r="C778" s="69" t="str">
        <f aca="false">IF($K778="","",B778)</f>
        <v/>
      </c>
      <c r="D778" s="70" t="str">
        <f aca="false">IF($K778="","",INDEX(Base!$F$5:$F$2004,$K778))</f>
        <v/>
      </c>
      <c r="E778" s="70" t="str">
        <f aca="false">IF($K778="","",INDEX(Base!$G$5:$G$2004,$K778))</f>
        <v/>
      </c>
      <c r="F778" s="71" t="str">
        <f aca="false">IF($K778="","",INDEX(Base!$H$5:$H$2004,$K778))</f>
        <v/>
      </c>
      <c r="G778" s="71" t="str">
        <f aca="false">IF($K778="","",INDEX(Base!$I$5:$I$2004,$K778))</f>
        <v/>
      </c>
      <c r="H778" s="70" t="str">
        <f aca="false">IF($K778="","",INDEX(Base!$J$5:$J$2004,$K778))</f>
        <v/>
      </c>
      <c r="I778" s="71" t="str">
        <f aca="false">IF($K778="","",INDEX(Base!$L$5:$L$2004,$K778))</f>
        <v/>
      </c>
      <c r="J778" s="72" t="str">
        <f aca="false">IFERROR(SMALL(Base!$P$5:$P$2004,ROW()-5),"")</f>
        <v/>
      </c>
      <c r="K778" s="72" t="str">
        <f aca="false">IF(J778="","",MATCH(J778,Base!$P$5:$P$2004,0))</f>
        <v/>
      </c>
    </row>
    <row r="779" customFormat="false" ht="15" hidden="false" customHeight="false" outlineLevel="0" collapsed="false">
      <c r="A779" s="67" t="str">
        <f aca="false">IF($K779="","",ROW()-5)</f>
        <v/>
      </c>
      <c r="B779" s="68" t="str">
        <f aca="false">IF($K779="","",INDEX(Base!$E$5:$E$2004,$K779))</f>
        <v/>
      </c>
      <c r="C779" s="69" t="str">
        <f aca="false">IF($K779="","",B779)</f>
        <v/>
      </c>
      <c r="D779" s="70" t="str">
        <f aca="false">IF($K779="","",INDEX(Base!$F$5:$F$2004,$K779))</f>
        <v/>
      </c>
      <c r="E779" s="70" t="str">
        <f aca="false">IF($K779="","",INDEX(Base!$G$5:$G$2004,$K779))</f>
        <v/>
      </c>
      <c r="F779" s="71" t="str">
        <f aca="false">IF($K779="","",INDEX(Base!$H$5:$H$2004,$K779))</f>
        <v/>
      </c>
      <c r="G779" s="71" t="str">
        <f aca="false">IF($K779="","",INDEX(Base!$I$5:$I$2004,$K779))</f>
        <v/>
      </c>
      <c r="H779" s="70" t="str">
        <f aca="false">IF($K779="","",INDEX(Base!$J$5:$J$2004,$K779))</f>
        <v/>
      </c>
      <c r="I779" s="71" t="str">
        <f aca="false">IF($K779="","",INDEX(Base!$L$5:$L$2004,$K779))</f>
        <v/>
      </c>
      <c r="J779" s="72" t="str">
        <f aca="false">IFERROR(SMALL(Base!$P$5:$P$2004,ROW()-5),"")</f>
        <v/>
      </c>
      <c r="K779" s="72" t="str">
        <f aca="false">IF(J779="","",MATCH(J779,Base!$P$5:$P$2004,0))</f>
        <v/>
      </c>
    </row>
    <row r="780" customFormat="false" ht="15" hidden="false" customHeight="false" outlineLevel="0" collapsed="false">
      <c r="A780" s="67" t="str">
        <f aca="false">IF($K780="","",ROW()-5)</f>
        <v/>
      </c>
      <c r="B780" s="68" t="str">
        <f aca="false">IF($K780="","",INDEX(Base!$E$5:$E$2004,$K780))</f>
        <v/>
      </c>
      <c r="C780" s="69" t="str">
        <f aca="false">IF($K780="","",B780)</f>
        <v/>
      </c>
      <c r="D780" s="70" t="str">
        <f aca="false">IF($K780="","",INDEX(Base!$F$5:$F$2004,$K780))</f>
        <v/>
      </c>
      <c r="E780" s="70" t="str">
        <f aca="false">IF($K780="","",INDEX(Base!$G$5:$G$2004,$K780))</f>
        <v/>
      </c>
      <c r="F780" s="71" t="str">
        <f aca="false">IF($K780="","",INDEX(Base!$H$5:$H$2004,$K780))</f>
        <v/>
      </c>
      <c r="G780" s="71" t="str">
        <f aca="false">IF($K780="","",INDEX(Base!$I$5:$I$2004,$K780))</f>
        <v/>
      </c>
      <c r="H780" s="70" t="str">
        <f aca="false">IF($K780="","",INDEX(Base!$J$5:$J$2004,$K780))</f>
        <v/>
      </c>
      <c r="I780" s="71" t="str">
        <f aca="false">IF($K780="","",INDEX(Base!$L$5:$L$2004,$K780))</f>
        <v/>
      </c>
      <c r="J780" s="72" t="str">
        <f aca="false">IFERROR(SMALL(Base!$P$5:$P$2004,ROW()-5),"")</f>
        <v/>
      </c>
      <c r="K780" s="72" t="str">
        <f aca="false">IF(J780="","",MATCH(J780,Base!$P$5:$P$2004,0))</f>
        <v/>
      </c>
    </row>
    <row r="781" customFormat="false" ht="15" hidden="false" customHeight="false" outlineLevel="0" collapsed="false">
      <c r="A781" s="67" t="str">
        <f aca="false">IF($K781="","",ROW()-5)</f>
        <v/>
      </c>
      <c r="B781" s="68" t="str">
        <f aca="false">IF($K781="","",INDEX(Base!$E$5:$E$2004,$K781))</f>
        <v/>
      </c>
      <c r="C781" s="69" t="str">
        <f aca="false">IF($K781="","",B781)</f>
        <v/>
      </c>
      <c r="D781" s="70" t="str">
        <f aca="false">IF($K781="","",INDEX(Base!$F$5:$F$2004,$K781))</f>
        <v/>
      </c>
      <c r="E781" s="70" t="str">
        <f aca="false">IF($K781="","",INDEX(Base!$G$5:$G$2004,$K781))</f>
        <v/>
      </c>
      <c r="F781" s="71" t="str">
        <f aca="false">IF($K781="","",INDEX(Base!$H$5:$H$2004,$K781))</f>
        <v/>
      </c>
      <c r="G781" s="71" t="str">
        <f aca="false">IF($K781="","",INDEX(Base!$I$5:$I$2004,$K781))</f>
        <v/>
      </c>
      <c r="H781" s="70" t="str">
        <f aca="false">IF($K781="","",INDEX(Base!$J$5:$J$2004,$K781))</f>
        <v/>
      </c>
      <c r="I781" s="71" t="str">
        <f aca="false">IF($K781="","",INDEX(Base!$L$5:$L$2004,$K781))</f>
        <v/>
      </c>
      <c r="J781" s="72" t="str">
        <f aca="false">IFERROR(SMALL(Base!$P$5:$P$2004,ROW()-5),"")</f>
        <v/>
      </c>
      <c r="K781" s="72" t="str">
        <f aca="false">IF(J781="","",MATCH(J781,Base!$P$5:$P$2004,0))</f>
        <v/>
      </c>
    </row>
    <row r="782" customFormat="false" ht="15" hidden="false" customHeight="false" outlineLevel="0" collapsed="false">
      <c r="A782" s="67" t="str">
        <f aca="false">IF($K782="","",ROW()-5)</f>
        <v/>
      </c>
      <c r="B782" s="68" t="str">
        <f aca="false">IF($K782="","",INDEX(Base!$E$5:$E$2004,$K782))</f>
        <v/>
      </c>
      <c r="C782" s="69" t="str">
        <f aca="false">IF($K782="","",B782)</f>
        <v/>
      </c>
      <c r="D782" s="70" t="str">
        <f aca="false">IF($K782="","",INDEX(Base!$F$5:$F$2004,$K782))</f>
        <v/>
      </c>
      <c r="E782" s="70" t="str">
        <f aca="false">IF($K782="","",INDEX(Base!$G$5:$G$2004,$K782))</f>
        <v/>
      </c>
      <c r="F782" s="71" t="str">
        <f aca="false">IF($K782="","",INDEX(Base!$H$5:$H$2004,$K782))</f>
        <v/>
      </c>
      <c r="G782" s="71" t="str">
        <f aca="false">IF($K782="","",INDEX(Base!$I$5:$I$2004,$K782))</f>
        <v/>
      </c>
      <c r="H782" s="70" t="str">
        <f aca="false">IF($K782="","",INDEX(Base!$J$5:$J$2004,$K782))</f>
        <v/>
      </c>
      <c r="I782" s="71" t="str">
        <f aca="false">IF($K782="","",INDEX(Base!$L$5:$L$2004,$K782))</f>
        <v/>
      </c>
      <c r="J782" s="72" t="str">
        <f aca="false">IFERROR(SMALL(Base!$P$5:$P$2004,ROW()-5),"")</f>
        <v/>
      </c>
      <c r="K782" s="72" t="str">
        <f aca="false">IF(J782="","",MATCH(J782,Base!$P$5:$P$2004,0))</f>
        <v/>
      </c>
    </row>
    <row r="783" customFormat="false" ht="15" hidden="false" customHeight="false" outlineLevel="0" collapsed="false">
      <c r="A783" s="67" t="str">
        <f aca="false">IF($K783="","",ROW()-5)</f>
        <v/>
      </c>
      <c r="B783" s="68" t="str">
        <f aca="false">IF($K783="","",INDEX(Base!$E$5:$E$2004,$K783))</f>
        <v/>
      </c>
      <c r="C783" s="69" t="str">
        <f aca="false">IF($K783="","",B783)</f>
        <v/>
      </c>
      <c r="D783" s="70" t="str">
        <f aca="false">IF($K783="","",INDEX(Base!$F$5:$F$2004,$K783))</f>
        <v/>
      </c>
      <c r="E783" s="70" t="str">
        <f aca="false">IF($K783="","",INDEX(Base!$G$5:$G$2004,$K783))</f>
        <v/>
      </c>
      <c r="F783" s="71" t="str">
        <f aca="false">IF($K783="","",INDEX(Base!$H$5:$H$2004,$K783))</f>
        <v/>
      </c>
      <c r="G783" s="71" t="str">
        <f aca="false">IF($K783="","",INDEX(Base!$I$5:$I$2004,$K783))</f>
        <v/>
      </c>
      <c r="H783" s="70" t="str">
        <f aca="false">IF($K783="","",INDEX(Base!$J$5:$J$2004,$K783))</f>
        <v/>
      </c>
      <c r="I783" s="71" t="str">
        <f aca="false">IF($K783="","",INDEX(Base!$L$5:$L$2004,$K783))</f>
        <v/>
      </c>
      <c r="J783" s="72" t="str">
        <f aca="false">IFERROR(SMALL(Base!$P$5:$P$2004,ROW()-5),"")</f>
        <v/>
      </c>
      <c r="K783" s="72" t="str">
        <f aca="false">IF(J783="","",MATCH(J783,Base!$P$5:$P$2004,0))</f>
        <v/>
      </c>
    </row>
    <row r="784" customFormat="false" ht="15" hidden="false" customHeight="false" outlineLevel="0" collapsed="false">
      <c r="A784" s="67" t="str">
        <f aca="false">IF($K784="","",ROW()-5)</f>
        <v/>
      </c>
      <c r="B784" s="68" t="str">
        <f aca="false">IF($K784="","",INDEX(Base!$E$5:$E$2004,$K784))</f>
        <v/>
      </c>
      <c r="C784" s="69" t="str">
        <f aca="false">IF($K784="","",B784)</f>
        <v/>
      </c>
      <c r="D784" s="70" t="str">
        <f aca="false">IF($K784="","",INDEX(Base!$F$5:$F$2004,$K784))</f>
        <v/>
      </c>
      <c r="E784" s="70" t="str">
        <f aca="false">IF($K784="","",INDEX(Base!$G$5:$G$2004,$K784))</f>
        <v/>
      </c>
      <c r="F784" s="71" t="str">
        <f aca="false">IF($K784="","",INDEX(Base!$H$5:$H$2004,$K784))</f>
        <v/>
      </c>
      <c r="G784" s="71" t="str">
        <f aca="false">IF($K784="","",INDEX(Base!$I$5:$I$2004,$K784))</f>
        <v/>
      </c>
      <c r="H784" s="70" t="str">
        <f aca="false">IF($K784="","",INDEX(Base!$J$5:$J$2004,$K784))</f>
        <v/>
      </c>
      <c r="I784" s="71" t="str">
        <f aca="false">IF($K784="","",INDEX(Base!$L$5:$L$2004,$K784))</f>
        <v/>
      </c>
      <c r="J784" s="72" t="str">
        <f aca="false">IFERROR(SMALL(Base!$P$5:$P$2004,ROW()-5),"")</f>
        <v/>
      </c>
      <c r="K784" s="72" t="str">
        <f aca="false">IF(J784="","",MATCH(J784,Base!$P$5:$P$2004,0))</f>
        <v/>
      </c>
    </row>
    <row r="785" customFormat="false" ht="15" hidden="false" customHeight="false" outlineLevel="0" collapsed="false">
      <c r="A785" s="67" t="str">
        <f aca="false">IF($K785="","",ROW()-5)</f>
        <v/>
      </c>
      <c r="B785" s="68" t="str">
        <f aca="false">IF($K785="","",INDEX(Base!$E$5:$E$2004,$K785))</f>
        <v/>
      </c>
      <c r="C785" s="69" t="str">
        <f aca="false">IF($K785="","",B785)</f>
        <v/>
      </c>
      <c r="D785" s="70" t="str">
        <f aca="false">IF($K785="","",INDEX(Base!$F$5:$F$2004,$K785))</f>
        <v/>
      </c>
      <c r="E785" s="70" t="str">
        <f aca="false">IF($K785="","",INDEX(Base!$G$5:$G$2004,$K785))</f>
        <v/>
      </c>
      <c r="F785" s="71" t="str">
        <f aca="false">IF($K785="","",INDEX(Base!$H$5:$H$2004,$K785))</f>
        <v/>
      </c>
      <c r="G785" s="71" t="str">
        <f aca="false">IF($K785="","",INDEX(Base!$I$5:$I$2004,$K785))</f>
        <v/>
      </c>
      <c r="H785" s="70" t="str">
        <f aca="false">IF($K785="","",INDEX(Base!$J$5:$J$2004,$K785))</f>
        <v/>
      </c>
      <c r="I785" s="71" t="str">
        <f aca="false">IF($K785="","",INDEX(Base!$L$5:$L$2004,$K785))</f>
        <v/>
      </c>
      <c r="J785" s="72" t="str">
        <f aca="false">IFERROR(SMALL(Base!$P$5:$P$2004,ROW()-5),"")</f>
        <v/>
      </c>
      <c r="K785" s="72" t="str">
        <f aca="false">IF(J785="","",MATCH(J785,Base!$P$5:$P$2004,0))</f>
        <v/>
      </c>
    </row>
    <row r="786" customFormat="false" ht="15" hidden="false" customHeight="false" outlineLevel="0" collapsed="false">
      <c r="A786" s="67" t="str">
        <f aca="false">IF($K786="","",ROW()-5)</f>
        <v/>
      </c>
      <c r="B786" s="68" t="str">
        <f aca="false">IF($K786="","",INDEX(Base!$E$5:$E$2004,$K786))</f>
        <v/>
      </c>
      <c r="C786" s="69" t="str">
        <f aca="false">IF($K786="","",B786)</f>
        <v/>
      </c>
      <c r="D786" s="70" t="str">
        <f aca="false">IF($K786="","",INDEX(Base!$F$5:$F$2004,$K786))</f>
        <v/>
      </c>
      <c r="E786" s="70" t="str">
        <f aca="false">IF($K786="","",INDEX(Base!$G$5:$G$2004,$K786))</f>
        <v/>
      </c>
      <c r="F786" s="71" t="str">
        <f aca="false">IF($K786="","",INDEX(Base!$H$5:$H$2004,$K786))</f>
        <v/>
      </c>
      <c r="G786" s="71" t="str">
        <f aca="false">IF($K786="","",INDEX(Base!$I$5:$I$2004,$K786))</f>
        <v/>
      </c>
      <c r="H786" s="70" t="str">
        <f aca="false">IF($K786="","",INDEX(Base!$J$5:$J$2004,$K786))</f>
        <v/>
      </c>
      <c r="I786" s="71" t="str">
        <f aca="false">IF($K786="","",INDEX(Base!$L$5:$L$2004,$K786))</f>
        <v/>
      </c>
      <c r="J786" s="72" t="str">
        <f aca="false">IFERROR(SMALL(Base!$P$5:$P$2004,ROW()-5),"")</f>
        <v/>
      </c>
      <c r="K786" s="72" t="str">
        <f aca="false">IF(J786="","",MATCH(J786,Base!$P$5:$P$2004,0))</f>
        <v/>
      </c>
    </row>
    <row r="787" customFormat="false" ht="15" hidden="false" customHeight="false" outlineLevel="0" collapsed="false">
      <c r="A787" s="67" t="str">
        <f aca="false">IF($K787="","",ROW()-5)</f>
        <v/>
      </c>
      <c r="B787" s="68" t="str">
        <f aca="false">IF($K787="","",INDEX(Base!$E$5:$E$2004,$K787))</f>
        <v/>
      </c>
      <c r="C787" s="69" t="str">
        <f aca="false">IF($K787="","",B787)</f>
        <v/>
      </c>
      <c r="D787" s="70" t="str">
        <f aca="false">IF($K787="","",INDEX(Base!$F$5:$F$2004,$K787))</f>
        <v/>
      </c>
      <c r="E787" s="70" t="str">
        <f aca="false">IF($K787="","",INDEX(Base!$G$5:$G$2004,$K787))</f>
        <v/>
      </c>
      <c r="F787" s="71" t="str">
        <f aca="false">IF($K787="","",INDEX(Base!$H$5:$H$2004,$K787))</f>
        <v/>
      </c>
      <c r="G787" s="71" t="str">
        <f aca="false">IF($K787="","",INDEX(Base!$I$5:$I$2004,$K787))</f>
        <v/>
      </c>
      <c r="H787" s="70" t="str">
        <f aca="false">IF($K787="","",INDEX(Base!$J$5:$J$2004,$K787))</f>
        <v/>
      </c>
      <c r="I787" s="71" t="str">
        <f aca="false">IF($K787="","",INDEX(Base!$L$5:$L$2004,$K787))</f>
        <v/>
      </c>
      <c r="J787" s="72" t="str">
        <f aca="false">IFERROR(SMALL(Base!$P$5:$P$2004,ROW()-5),"")</f>
        <v/>
      </c>
      <c r="K787" s="72" t="str">
        <f aca="false">IF(J787="","",MATCH(J787,Base!$P$5:$P$2004,0))</f>
        <v/>
      </c>
    </row>
    <row r="788" customFormat="false" ht="15" hidden="false" customHeight="false" outlineLevel="0" collapsed="false">
      <c r="A788" s="67" t="str">
        <f aca="false">IF($K788="","",ROW()-5)</f>
        <v/>
      </c>
      <c r="B788" s="68" t="str">
        <f aca="false">IF($K788="","",INDEX(Base!$E$5:$E$2004,$K788))</f>
        <v/>
      </c>
      <c r="C788" s="69" t="str">
        <f aca="false">IF($K788="","",B788)</f>
        <v/>
      </c>
      <c r="D788" s="70" t="str">
        <f aca="false">IF($K788="","",INDEX(Base!$F$5:$F$2004,$K788))</f>
        <v/>
      </c>
      <c r="E788" s="70" t="str">
        <f aca="false">IF($K788="","",INDEX(Base!$G$5:$G$2004,$K788))</f>
        <v/>
      </c>
      <c r="F788" s="71" t="str">
        <f aca="false">IF($K788="","",INDEX(Base!$H$5:$H$2004,$K788))</f>
        <v/>
      </c>
      <c r="G788" s="71" t="str">
        <f aca="false">IF($K788="","",INDEX(Base!$I$5:$I$2004,$K788))</f>
        <v/>
      </c>
      <c r="H788" s="70" t="str">
        <f aca="false">IF($K788="","",INDEX(Base!$J$5:$J$2004,$K788))</f>
        <v/>
      </c>
      <c r="I788" s="71" t="str">
        <f aca="false">IF($K788="","",INDEX(Base!$L$5:$L$2004,$K788))</f>
        <v/>
      </c>
      <c r="J788" s="72" t="str">
        <f aca="false">IFERROR(SMALL(Base!$P$5:$P$2004,ROW()-5),"")</f>
        <v/>
      </c>
      <c r="K788" s="72" t="str">
        <f aca="false">IF(J788="","",MATCH(J788,Base!$P$5:$P$2004,0))</f>
        <v/>
      </c>
    </row>
    <row r="789" customFormat="false" ht="15" hidden="false" customHeight="false" outlineLevel="0" collapsed="false">
      <c r="A789" s="67" t="str">
        <f aca="false">IF($K789="","",ROW()-5)</f>
        <v/>
      </c>
      <c r="B789" s="68" t="str">
        <f aca="false">IF($K789="","",INDEX(Base!$E$5:$E$2004,$K789))</f>
        <v/>
      </c>
      <c r="C789" s="69" t="str">
        <f aca="false">IF($K789="","",B789)</f>
        <v/>
      </c>
      <c r="D789" s="70" t="str">
        <f aca="false">IF($K789="","",INDEX(Base!$F$5:$F$2004,$K789))</f>
        <v/>
      </c>
      <c r="E789" s="70" t="str">
        <f aca="false">IF($K789="","",INDEX(Base!$G$5:$G$2004,$K789))</f>
        <v/>
      </c>
      <c r="F789" s="71" t="str">
        <f aca="false">IF($K789="","",INDEX(Base!$H$5:$H$2004,$K789))</f>
        <v/>
      </c>
      <c r="G789" s="71" t="str">
        <f aca="false">IF($K789="","",INDEX(Base!$I$5:$I$2004,$K789))</f>
        <v/>
      </c>
      <c r="H789" s="70" t="str">
        <f aca="false">IF($K789="","",INDEX(Base!$J$5:$J$2004,$K789))</f>
        <v/>
      </c>
      <c r="I789" s="71" t="str">
        <f aca="false">IF($K789="","",INDEX(Base!$L$5:$L$2004,$K789))</f>
        <v/>
      </c>
      <c r="J789" s="72" t="str">
        <f aca="false">IFERROR(SMALL(Base!$P$5:$P$2004,ROW()-5),"")</f>
        <v/>
      </c>
      <c r="K789" s="72" t="str">
        <f aca="false">IF(J789="","",MATCH(J789,Base!$P$5:$P$2004,0))</f>
        <v/>
      </c>
    </row>
    <row r="790" customFormat="false" ht="15" hidden="false" customHeight="false" outlineLevel="0" collapsed="false">
      <c r="A790" s="67" t="str">
        <f aca="false">IF($K790="","",ROW()-5)</f>
        <v/>
      </c>
      <c r="B790" s="68" t="str">
        <f aca="false">IF($K790="","",INDEX(Base!$E$5:$E$2004,$K790))</f>
        <v/>
      </c>
      <c r="C790" s="69" t="str">
        <f aca="false">IF($K790="","",B790)</f>
        <v/>
      </c>
      <c r="D790" s="70" t="str">
        <f aca="false">IF($K790="","",INDEX(Base!$F$5:$F$2004,$K790))</f>
        <v/>
      </c>
      <c r="E790" s="70" t="str">
        <f aca="false">IF($K790="","",INDEX(Base!$G$5:$G$2004,$K790))</f>
        <v/>
      </c>
      <c r="F790" s="71" t="str">
        <f aca="false">IF($K790="","",INDEX(Base!$H$5:$H$2004,$K790))</f>
        <v/>
      </c>
      <c r="G790" s="71" t="str">
        <f aca="false">IF($K790="","",INDEX(Base!$I$5:$I$2004,$K790))</f>
        <v/>
      </c>
      <c r="H790" s="70" t="str">
        <f aca="false">IF($K790="","",INDEX(Base!$J$5:$J$2004,$K790))</f>
        <v/>
      </c>
      <c r="I790" s="71" t="str">
        <f aca="false">IF($K790="","",INDEX(Base!$L$5:$L$2004,$K790))</f>
        <v/>
      </c>
      <c r="J790" s="72" t="str">
        <f aca="false">IFERROR(SMALL(Base!$P$5:$P$2004,ROW()-5),"")</f>
        <v/>
      </c>
      <c r="K790" s="72" t="str">
        <f aca="false">IF(J790="","",MATCH(J790,Base!$P$5:$P$2004,0))</f>
        <v/>
      </c>
    </row>
    <row r="791" customFormat="false" ht="15" hidden="false" customHeight="false" outlineLevel="0" collapsed="false">
      <c r="A791" s="67" t="str">
        <f aca="false">IF($K791="","",ROW()-5)</f>
        <v/>
      </c>
      <c r="B791" s="68" t="str">
        <f aca="false">IF($K791="","",INDEX(Base!$E$5:$E$2004,$K791))</f>
        <v/>
      </c>
      <c r="C791" s="69" t="str">
        <f aca="false">IF($K791="","",B791)</f>
        <v/>
      </c>
      <c r="D791" s="70" t="str">
        <f aca="false">IF($K791="","",INDEX(Base!$F$5:$F$2004,$K791))</f>
        <v/>
      </c>
      <c r="E791" s="70" t="str">
        <f aca="false">IF($K791="","",INDEX(Base!$G$5:$G$2004,$K791))</f>
        <v/>
      </c>
      <c r="F791" s="71" t="str">
        <f aca="false">IF($K791="","",INDEX(Base!$H$5:$H$2004,$K791))</f>
        <v/>
      </c>
      <c r="G791" s="71" t="str">
        <f aca="false">IF($K791="","",INDEX(Base!$I$5:$I$2004,$K791))</f>
        <v/>
      </c>
      <c r="H791" s="70" t="str">
        <f aca="false">IF($K791="","",INDEX(Base!$J$5:$J$2004,$K791))</f>
        <v/>
      </c>
      <c r="I791" s="71" t="str">
        <f aca="false">IF($K791="","",INDEX(Base!$L$5:$L$2004,$K791))</f>
        <v/>
      </c>
      <c r="J791" s="72" t="str">
        <f aca="false">IFERROR(SMALL(Base!$P$5:$P$2004,ROW()-5),"")</f>
        <v/>
      </c>
      <c r="K791" s="72" t="str">
        <f aca="false">IF(J791="","",MATCH(J791,Base!$P$5:$P$2004,0))</f>
        <v/>
      </c>
    </row>
    <row r="792" customFormat="false" ht="15" hidden="false" customHeight="false" outlineLevel="0" collapsed="false">
      <c r="A792" s="67" t="str">
        <f aca="false">IF($K792="","",ROW()-5)</f>
        <v/>
      </c>
      <c r="B792" s="68" t="str">
        <f aca="false">IF($K792="","",INDEX(Base!$E$5:$E$2004,$K792))</f>
        <v/>
      </c>
      <c r="C792" s="69" t="str">
        <f aca="false">IF($K792="","",B792)</f>
        <v/>
      </c>
      <c r="D792" s="70" t="str">
        <f aca="false">IF($K792="","",INDEX(Base!$F$5:$F$2004,$K792))</f>
        <v/>
      </c>
      <c r="E792" s="70" t="str">
        <f aca="false">IF($K792="","",INDEX(Base!$G$5:$G$2004,$K792))</f>
        <v/>
      </c>
      <c r="F792" s="71" t="str">
        <f aca="false">IF($K792="","",INDEX(Base!$H$5:$H$2004,$K792))</f>
        <v/>
      </c>
      <c r="G792" s="71" t="str">
        <f aca="false">IF($K792="","",INDEX(Base!$I$5:$I$2004,$K792))</f>
        <v/>
      </c>
      <c r="H792" s="70" t="str">
        <f aca="false">IF($K792="","",INDEX(Base!$J$5:$J$2004,$K792))</f>
        <v/>
      </c>
      <c r="I792" s="71" t="str">
        <f aca="false">IF($K792="","",INDEX(Base!$L$5:$L$2004,$K792))</f>
        <v/>
      </c>
      <c r="J792" s="72" t="str">
        <f aca="false">IFERROR(SMALL(Base!$P$5:$P$2004,ROW()-5),"")</f>
        <v/>
      </c>
      <c r="K792" s="72" t="str">
        <f aca="false">IF(J792="","",MATCH(J792,Base!$P$5:$P$2004,0))</f>
        <v/>
      </c>
    </row>
    <row r="793" customFormat="false" ht="15" hidden="false" customHeight="false" outlineLevel="0" collapsed="false">
      <c r="A793" s="67" t="str">
        <f aca="false">IF($K793="","",ROW()-5)</f>
        <v/>
      </c>
      <c r="B793" s="68" t="str">
        <f aca="false">IF($K793="","",INDEX(Base!$E$5:$E$2004,$K793))</f>
        <v/>
      </c>
      <c r="C793" s="69" t="str">
        <f aca="false">IF($K793="","",B793)</f>
        <v/>
      </c>
      <c r="D793" s="70" t="str">
        <f aca="false">IF($K793="","",INDEX(Base!$F$5:$F$2004,$K793))</f>
        <v/>
      </c>
      <c r="E793" s="70" t="str">
        <f aca="false">IF($K793="","",INDEX(Base!$G$5:$G$2004,$K793))</f>
        <v/>
      </c>
      <c r="F793" s="71" t="str">
        <f aca="false">IF($K793="","",INDEX(Base!$H$5:$H$2004,$K793))</f>
        <v/>
      </c>
      <c r="G793" s="71" t="str">
        <f aca="false">IF($K793="","",INDEX(Base!$I$5:$I$2004,$K793))</f>
        <v/>
      </c>
      <c r="H793" s="70" t="str">
        <f aca="false">IF($K793="","",INDEX(Base!$J$5:$J$2004,$K793))</f>
        <v/>
      </c>
      <c r="I793" s="71" t="str">
        <f aca="false">IF($K793="","",INDEX(Base!$L$5:$L$2004,$K793))</f>
        <v/>
      </c>
      <c r="J793" s="72" t="str">
        <f aca="false">IFERROR(SMALL(Base!$P$5:$P$2004,ROW()-5),"")</f>
        <v/>
      </c>
      <c r="K793" s="72" t="str">
        <f aca="false">IF(J793="","",MATCH(J793,Base!$P$5:$P$2004,0))</f>
        <v/>
      </c>
    </row>
    <row r="794" customFormat="false" ht="15" hidden="false" customHeight="false" outlineLevel="0" collapsed="false">
      <c r="A794" s="67" t="str">
        <f aca="false">IF($K794="","",ROW()-5)</f>
        <v/>
      </c>
      <c r="B794" s="68" t="str">
        <f aca="false">IF($K794="","",INDEX(Base!$E$5:$E$2004,$K794))</f>
        <v/>
      </c>
      <c r="C794" s="69" t="str">
        <f aca="false">IF($K794="","",B794)</f>
        <v/>
      </c>
      <c r="D794" s="70" t="str">
        <f aca="false">IF($K794="","",INDEX(Base!$F$5:$F$2004,$K794))</f>
        <v/>
      </c>
      <c r="E794" s="70" t="str">
        <f aca="false">IF($K794="","",INDEX(Base!$G$5:$G$2004,$K794))</f>
        <v/>
      </c>
      <c r="F794" s="71" t="str">
        <f aca="false">IF($K794="","",INDEX(Base!$H$5:$H$2004,$K794))</f>
        <v/>
      </c>
      <c r="G794" s="71" t="str">
        <f aca="false">IF($K794="","",INDEX(Base!$I$5:$I$2004,$K794))</f>
        <v/>
      </c>
      <c r="H794" s="70" t="str">
        <f aca="false">IF($K794="","",INDEX(Base!$J$5:$J$2004,$K794))</f>
        <v/>
      </c>
      <c r="I794" s="71" t="str">
        <f aca="false">IF($K794="","",INDEX(Base!$L$5:$L$2004,$K794))</f>
        <v/>
      </c>
      <c r="J794" s="72" t="str">
        <f aca="false">IFERROR(SMALL(Base!$P$5:$P$2004,ROW()-5),"")</f>
        <v/>
      </c>
      <c r="K794" s="72" t="str">
        <f aca="false">IF(J794="","",MATCH(J794,Base!$P$5:$P$2004,0))</f>
        <v/>
      </c>
    </row>
    <row r="795" customFormat="false" ht="15" hidden="false" customHeight="false" outlineLevel="0" collapsed="false">
      <c r="A795" s="67" t="str">
        <f aca="false">IF($K795="","",ROW()-5)</f>
        <v/>
      </c>
      <c r="B795" s="68" t="str">
        <f aca="false">IF($K795="","",INDEX(Base!$E$5:$E$2004,$K795))</f>
        <v/>
      </c>
      <c r="C795" s="69" t="str">
        <f aca="false">IF($K795="","",B795)</f>
        <v/>
      </c>
      <c r="D795" s="70" t="str">
        <f aca="false">IF($K795="","",INDEX(Base!$F$5:$F$2004,$K795))</f>
        <v/>
      </c>
      <c r="E795" s="70" t="str">
        <f aca="false">IF($K795="","",INDEX(Base!$G$5:$G$2004,$K795))</f>
        <v/>
      </c>
      <c r="F795" s="71" t="str">
        <f aca="false">IF($K795="","",INDEX(Base!$H$5:$H$2004,$K795))</f>
        <v/>
      </c>
      <c r="G795" s="71" t="str">
        <f aca="false">IF($K795="","",INDEX(Base!$I$5:$I$2004,$K795))</f>
        <v/>
      </c>
      <c r="H795" s="70" t="str">
        <f aca="false">IF($K795="","",INDEX(Base!$J$5:$J$2004,$K795))</f>
        <v/>
      </c>
      <c r="I795" s="71" t="str">
        <f aca="false">IF($K795="","",INDEX(Base!$L$5:$L$2004,$K795))</f>
        <v/>
      </c>
      <c r="J795" s="72" t="str">
        <f aca="false">IFERROR(SMALL(Base!$P$5:$P$2004,ROW()-5),"")</f>
        <v/>
      </c>
      <c r="K795" s="72" t="str">
        <f aca="false">IF(J795="","",MATCH(J795,Base!$P$5:$P$2004,0))</f>
        <v/>
      </c>
    </row>
    <row r="796" customFormat="false" ht="15" hidden="false" customHeight="false" outlineLevel="0" collapsed="false">
      <c r="A796" s="67" t="str">
        <f aca="false">IF($K796="","",ROW()-5)</f>
        <v/>
      </c>
      <c r="B796" s="68" t="str">
        <f aca="false">IF($K796="","",INDEX(Base!$E$5:$E$2004,$K796))</f>
        <v/>
      </c>
      <c r="C796" s="69" t="str">
        <f aca="false">IF($K796="","",B796)</f>
        <v/>
      </c>
      <c r="D796" s="70" t="str">
        <f aca="false">IF($K796="","",INDEX(Base!$F$5:$F$2004,$K796))</f>
        <v/>
      </c>
      <c r="E796" s="70" t="str">
        <f aca="false">IF($K796="","",INDEX(Base!$G$5:$G$2004,$K796))</f>
        <v/>
      </c>
      <c r="F796" s="71" t="str">
        <f aca="false">IF($K796="","",INDEX(Base!$H$5:$H$2004,$K796))</f>
        <v/>
      </c>
      <c r="G796" s="71" t="str">
        <f aca="false">IF($K796="","",INDEX(Base!$I$5:$I$2004,$K796))</f>
        <v/>
      </c>
      <c r="H796" s="70" t="str">
        <f aca="false">IF($K796="","",INDEX(Base!$J$5:$J$2004,$K796))</f>
        <v/>
      </c>
      <c r="I796" s="71" t="str">
        <f aca="false">IF($K796="","",INDEX(Base!$L$5:$L$2004,$K796))</f>
        <v/>
      </c>
      <c r="J796" s="72" t="str">
        <f aca="false">IFERROR(SMALL(Base!$P$5:$P$2004,ROW()-5),"")</f>
        <v/>
      </c>
      <c r="K796" s="72" t="str">
        <f aca="false">IF(J796="","",MATCH(J796,Base!$P$5:$P$2004,0))</f>
        <v/>
      </c>
    </row>
    <row r="797" customFormat="false" ht="15" hidden="false" customHeight="false" outlineLevel="0" collapsed="false">
      <c r="A797" s="67" t="str">
        <f aca="false">IF($K797="","",ROW()-5)</f>
        <v/>
      </c>
      <c r="B797" s="68" t="str">
        <f aca="false">IF($K797="","",INDEX(Base!$E$5:$E$2004,$K797))</f>
        <v/>
      </c>
      <c r="C797" s="69" t="str">
        <f aca="false">IF($K797="","",B797)</f>
        <v/>
      </c>
      <c r="D797" s="70" t="str">
        <f aca="false">IF($K797="","",INDEX(Base!$F$5:$F$2004,$K797))</f>
        <v/>
      </c>
      <c r="E797" s="70" t="str">
        <f aca="false">IF($K797="","",INDEX(Base!$G$5:$G$2004,$K797))</f>
        <v/>
      </c>
      <c r="F797" s="71" t="str">
        <f aca="false">IF($K797="","",INDEX(Base!$H$5:$H$2004,$K797))</f>
        <v/>
      </c>
      <c r="G797" s="71" t="str">
        <f aca="false">IF($K797="","",INDEX(Base!$I$5:$I$2004,$K797))</f>
        <v/>
      </c>
      <c r="H797" s="70" t="str">
        <f aca="false">IF($K797="","",INDEX(Base!$J$5:$J$2004,$K797))</f>
        <v/>
      </c>
      <c r="I797" s="71" t="str">
        <f aca="false">IF($K797="","",INDEX(Base!$L$5:$L$2004,$K797))</f>
        <v/>
      </c>
      <c r="J797" s="72" t="str">
        <f aca="false">IFERROR(SMALL(Base!$P$5:$P$2004,ROW()-5),"")</f>
        <v/>
      </c>
      <c r="K797" s="72" t="str">
        <f aca="false">IF(J797="","",MATCH(J797,Base!$P$5:$P$2004,0))</f>
        <v/>
      </c>
    </row>
    <row r="798" customFormat="false" ht="15" hidden="false" customHeight="false" outlineLevel="0" collapsed="false">
      <c r="A798" s="67" t="str">
        <f aca="false">IF($K798="","",ROW()-5)</f>
        <v/>
      </c>
      <c r="B798" s="68" t="str">
        <f aca="false">IF($K798="","",INDEX(Base!$E$5:$E$2004,$K798))</f>
        <v/>
      </c>
      <c r="C798" s="69" t="str">
        <f aca="false">IF($K798="","",B798)</f>
        <v/>
      </c>
      <c r="D798" s="70" t="str">
        <f aca="false">IF($K798="","",INDEX(Base!$F$5:$F$2004,$K798))</f>
        <v/>
      </c>
      <c r="E798" s="70" t="str">
        <f aca="false">IF($K798="","",INDEX(Base!$G$5:$G$2004,$K798))</f>
        <v/>
      </c>
      <c r="F798" s="71" t="str">
        <f aca="false">IF($K798="","",INDEX(Base!$H$5:$H$2004,$K798))</f>
        <v/>
      </c>
      <c r="G798" s="71" t="str">
        <f aca="false">IF($K798="","",INDEX(Base!$I$5:$I$2004,$K798))</f>
        <v/>
      </c>
      <c r="H798" s="70" t="str">
        <f aca="false">IF($K798="","",INDEX(Base!$J$5:$J$2004,$K798))</f>
        <v/>
      </c>
      <c r="I798" s="71" t="str">
        <f aca="false">IF($K798="","",INDEX(Base!$L$5:$L$2004,$K798))</f>
        <v/>
      </c>
      <c r="J798" s="72" t="str">
        <f aca="false">IFERROR(SMALL(Base!$P$5:$P$2004,ROW()-5),"")</f>
        <v/>
      </c>
      <c r="K798" s="72" t="str">
        <f aca="false">IF(J798="","",MATCH(J798,Base!$P$5:$P$2004,0))</f>
        <v/>
      </c>
    </row>
    <row r="799" customFormat="false" ht="15" hidden="false" customHeight="false" outlineLevel="0" collapsed="false">
      <c r="A799" s="67" t="str">
        <f aca="false">IF($K799="","",ROW()-5)</f>
        <v/>
      </c>
      <c r="B799" s="68" t="str">
        <f aca="false">IF($K799="","",INDEX(Base!$E$5:$E$2004,$K799))</f>
        <v/>
      </c>
      <c r="C799" s="69" t="str">
        <f aca="false">IF($K799="","",B799)</f>
        <v/>
      </c>
      <c r="D799" s="70" t="str">
        <f aca="false">IF($K799="","",INDEX(Base!$F$5:$F$2004,$K799))</f>
        <v/>
      </c>
      <c r="E799" s="70" t="str">
        <f aca="false">IF($K799="","",INDEX(Base!$G$5:$G$2004,$K799))</f>
        <v/>
      </c>
      <c r="F799" s="71" t="str">
        <f aca="false">IF($K799="","",INDEX(Base!$H$5:$H$2004,$K799))</f>
        <v/>
      </c>
      <c r="G799" s="71" t="str">
        <f aca="false">IF($K799="","",INDEX(Base!$I$5:$I$2004,$K799))</f>
        <v/>
      </c>
      <c r="H799" s="70" t="str">
        <f aca="false">IF($K799="","",INDEX(Base!$J$5:$J$2004,$K799))</f>
        <v/>
      </c>
      <c r="I799" s="71" t="str">
        <f aca="false">IF($K799="","",INDEX(Base!$L$5:$L$2004,$K799))</f>
        <v/>
      </c>
      <c r="J799" s="72" t="str">
        <f aca="false">IFERROR(SMALL(Base!$P$5:$P$2004,ROW()-5),"")</f>
        <v/>
      </c>
      <c r="K799" s="72" t="str">
        <f aca="false">IF(J799="","",MATCH(J799,Base!$P$5:$P$2004,0))</f>
        <v/>
      </c>
    </row>
    <row r="800" customFormat="false" ht="15" hidden="false" customHeight="false" outlineLevel="0" collapsed="false">
      <c r="A800" s="67" t="str">
        <f aca="false">IF($K800="","",ROW()-5)</f>
        <v/>
      </c>
      <c r="B800" s="68" t="str">
        <f aca="false">IF($K800="","",INDEX(Base!$E$5:$E$2004,$K800))</f>
        <v/>
      </c>
      <c r="C800" s="69" t="str">
        <f aca="false">IF($K800="","",B800)</f>
        <v/>
      </c>
      <c r="D800" s="70" t="str">
        <f aca="false">IF($K800="","",INDEX(Base!$F$5:$F$2004,$K800))</f>
        <v/>
      </c>
      <c r="E800" s="70" t="str">
        <f aca="false">IF($K800="","",INDEX(Base!$G$5:$G$2004,$K800))</f>
        <v/>
      </c>
      <c r="F800" s="71" t="str">
        <f aca="false">IF($K800="","",INDEX(Base!$H$5:$H$2004,$K800))</f>
        <v/>
      </c>
      <c r="G800" s="71" t="str">
        <f aca="false">IF($K800="","",INDEX(Base!$I$5:$I$2004,$K800))</f>
        <v/>
      </c>
      <c r="H800" s="70" t="str">
        <f aca="false">IF($K800="","",INDEX(Base!$J$5:$J$2004,$K800))</f>
        <v/>
      </c>
      <c r="I800" s="71" t="str">
        <f aca="false">IF($K800="","",INDEX(Base!$L$5:$L$2004,$K800))</f>
        <v/>
      </c>
      <c r="J800" s="72" t="str">
        <f aca="false">IFERROR(SMALL(Base!$P$5:$P$2004,ROW()-5),"")</f>
        <v/>
      </c>
      <c r="K800" s="72" t="str">
        <f aca="false">IF(J800="","",MATCH(J800,Base!$P$5:$P$2004,0))</f>
        <v/>
      </c>
    </row>
    <row r="801" customFormat="false" ht="15" hidden="false" customHeight="false" outlineLevel="0" collapsed="false">
      <c r="A801" s="67" t="str">
        <f aca="false">IF($K801="","",ROW()-5)</f>
        <v/>
      </c>
      <c r="B801" s="68" t="str">
        <f aca="false">IF($K801="","",INDEX(Base!$E$5:$E$2004,$K801))</f>
        <v/>
      </c>
      <c r="C801" s="69" t="str">
        <f aca="false">IF($K801="","",B801)</f>
        <v/>
      </c>
      <c r="D801" s="70" t="str">
        <f aca="false">IF($K801="","",INDEX(Base!$F$5:$F$2004,$K801))</f>
        <v/>
      </c>
      <c r="E801" s="70" t="str">
        <f aca="false">IF($K801="","",INDEX(Base!$G$5:$G$2004,$K801))</f>
        <v/>
      </c>
      <c r="F801" s="71" t="str">
        <f aca="false">IF($K801="","",INDEX(Base!$H$5:$H$2004,$K801))</f>
        <v/>
      </c>
      <c r="G801" s="71" t="str">
        <f aca="false">IF($K801="","",INDEX(Base!$I$5:$I$2004,$K801))</f>
        <v/>
      </c>
      <c r="H801" s="70" t="str">
        <f aca="false">IF($K801="","",INDEX(Base!$J$5:$J$2004,$K801))</f>
        <v/>
      </c>
      <c r="I801" s="71" t="str">
        <f aca="false">IF($K801="","",INDEX(Base!$L$5:$L$2004,$K801))</f>
        <v/>
      </c>
      <c r="J801" s="72" t="str">
        <f aca="false">IFERROR(SMALL(Base!$P$5:$P$2004,ROW()-5),"")</f>
        <v/>
      </c>
      <c r="K801" s="72" t="str">
        <f aca="false">IF(J801="","",MATCH(J801,Base!$P$5:$P$2004,0))</f>
        <v/>
      </c>
    </row>
    <row r="802" customFormat="false" ht="15" hidden="false" customHeight="false" outlineLevel="0" collapsed="false">
      <c r="A802" s="67" t="str">
        <f aca="false">IF($K802="","",ROW()-5)</f>
        <v/>
      </c>
      <c r="B802" s="68" t="str">
        <f aca="false">IF($K802="","",INDEX(Base!$E$5:$E$2004,$K802))</f>
        <v/>
      </c>
      <c r="C802" s="69" t="str">
        <f aca="false">IF($K802="","",B802)</f>
        <v/>
      </c>
      <c r="D802" s="70" t="str">
        <f aca="false">IF($K802="","",INDEX(Base!$F$5:$F$2004,$K802))</f>
        <v/>
      </c>
      <c r="E802" s="70" t="str">
        <f aca="false">IF($K802="","",INDEX(Base!$G$5:$G$2004,$K802))</f>
        <v/>
      </c>
      <c r="F802" s="71" t="str">
        <f aca="false">IF($K802="","",INDEX(Base!$H$5:$H$2004,$K802))</f>
        <v/>
      </c>
      <c r="G802" s="71" t="str">
        <f aca="false">IF($K802="","",INDEX(Base!$I$5:$I$2004,$K802))</f>
        <v/>
      </c>
      <c r="H802" s="70" t="str">
        <f aca="false">IF($K802="","",INDEX(Base!$J$5:$J$2004,$K802))</f>
        <v/>
      </c>
      <c r="I802" s="71" t="str">
        <f aca="false">IF($K802="","",INDEX(Base!$L$5:$L$2004,$K802))</f>
        <v/>
      </c>
      <c r="J802" s="72" t="str">
        <f aca="false">IFERROR(SMALL(Base!$P$5:$P$2004,ROW()-5),"")</f>
        <v/>
      </c>
      <c r="K802" s="72" t="str">
        <f aca="false">IF(J802="","",MATCH(J802,Base!$P$5:$P$2004,0))</f>
        <v/>
      </c>
    </row>
    <row r="803" customFormat="false" ht="15" hidden="false" customHeight="false" outlineLevel="0" collapsed="false">
      <c r="A803" s="67" t="str">
        <f aca="false">IF($K803="","",ROW()-5)</f>
        <v/>
      </c>
      <c r="B803" s="68" t="str">
        <f aca="false">IF($K803="","",INDEX(Base!$E$5:$E$2004,$K803))</f>
        <v/>
      </c>
      <c r="C803" s="69" t="str">
        <f aca="false">IF($K803="","",B803)</f>
        <v/>
      </c>
      <c r="D803" s="70" t="str">
        <f aca="false">IF($K803="","",INDEX(Base!$F$5:$F$2004,$K803))</f>
        <v/>
      </c>
      <c r="E803" s="70" t="str">
        <f aca="false">IF($K803="","",INDEX(Base!$G$5:$G$2004,$K803))</f>
        <v/>
      </c>
      <c r="F803" s="71" t="str">
        <f aca="false">IF($K803="","",INDEX(Base!$H$5:$H$2004,$K803))</f>
        <v/>
      </c>
      <c r="G803" s="71" t="str">
        <f aca="false">IF($K803="","",INDEX(Base!$I$5:$I$2004,$K803))</f>
        <v/>
      </c>
      <c r="H803" s="70" t="str">
        <f aca="false">IF($K803="","",INDEX(Base!$J$5:$J$2004,$K803))</f>
        <v/>
      </c>
      <c r="I803" s="71" t="str">
        <f aca="false">IF($K803="","",INDEX(Base!$L$5:$L$2004,$K803))</f>
        <v/>
      </c>
      <c r="J803" s="72" t="str">
        <f aca="false">IFERROR(SMALL(Base!$P$5:$P$2004,ROW()-5),"")</f>
        <v/>
      </c>
      <c r="K803" s="72" t="str">
        <f aca="false">IF(J803="","",MATCH(J803,Base!$P$5:$P$2004,0))</f>
        <v/>
      </c>
    </row>
    <row r="804" customFormat="false" ht="15" hidden="false" customHeight="false" outlineLevel="0" collapsed="false">
      <c r="A804" s="67" t="str">
        <f aca="false">IF($K804="","",ROW()-5)</f>
        <v/>
      </c>
      <c r="B804" s="68" t="str">
        <f aca="false">IF($K804="","",INDEX(Base!$E$5:$E$2004,$K804))</f>
        <v/>
      </c>
      <c r="C804" s="69" t="str">
        <f aca="false">IF($K804="","",B804)</f>
        <v/>
      </c>
      <c r="D804" s="70" t="str">
        <f aca="false">IF($K804="","",INDEX(Base!$F$5:$F$2004,$K804))</f>
        <v/>
      </c>
      <c r="E804" s="70" t="str">
        <f aca="false">IF($K804="","",INDEX(Base!$G$5:$G$2004,$K804))</f>
        <v/>
      </c>
      <c r="F804" s="71" t="str">
        <f aca="false">IF($K804="","",INDEX(Base!$H$5:$H$2004,$K804))</f>
        <v/>
      </c>
      <c r="G804" s="71" t="str">
        <f aca="false">IF($K804="","",INDEX(Base!$I$5:$I$2004,$K804))</f>
        <v/>
      </c>
      <c r="H804" s="70" t="str">
        <f aca="false">IF($K804="","",INDEX(Base!$J$5:$J$2004,$K804))</f>
        <v/>
      </c>
      <c r="I804" s="71" t="str">
        <f aca="false">IF($K804="","",INDEX(Base!$L$5:$L$2004,$K804))</f>
        <v/>
      </c>
      <c r="J804" s="72" t="str">
        <f aca="false">IFERROR(SMALL(Base!$P$5:$P$2004,ROW()-5),"")</f>
        <v/>
      </c>
      <c r="K804" s="72" t="str">
        <f aca="false">IF(J804="","",MATCH(J804,Base!$P$5:$P$2004,0))</f>
        <v/>
      </c>
    </row>
    <row r="805" customFormat="false" ht="15" hidden="false" customHeight="false" outlineLevel="0" collapsed="false">
      <c r="A805" s="67" t="str">
        <f aca="false">IF($K805="","",ROW()-5)</f>
        <v/>
      </c>
      <c r="B805" s="68" t="str">
        <f aca="false">IF($K805="","",INDEX(Base!$E$5:$E$2004,$K805))</f>
        <v/>
      </c>
      <c r="C805" s="69" t="str">
        <f aca="false">IF($K805="","",B805)</f>
        <v/>
      </c>
      <c r="D805" s="70" t="str">
        <f aca="false">IF($K805="","",INDEX(Base!$F$5:$F$2004,$K805))</f>
        <v/>
      </c>
      <c r="E805" s="70" t="str">
        <f aca="false">IF($K805="","",INDEX(Base!$G$5:$G$2004,$K805))</f>
        <v/>
      </c>
      <c r="F805" s="71" t="str">
        <f aca="false">IF($K805="","",INDEX(Base!$H$5:$H$2004,$K805))</f>
        <v/>
      </c>
      <c r="G805" s="71" t="str">
        <f aca="false">IF($K805="","",INDEX(Base!$I$5:$I$2004,$K805))</f>
        <v/>
      </c>
      <c r="H805" s="70" t="str">
        <f aca="false">IF($K805="","",INDEX(Base!$J$5:$J$2004,$K805))</f>
        <v/>
      </c>
      <c r="I805" s="71" t="str">
        <f aca="false">IF($K805="","",INDEX(Base!$L$5:$L$2004,$K805))</f>
        <v/>
      </c>
      <c r="J805" s="72" t="str">
        <f aca="false">IFERROR(SMALL(Base!$P$5:$P$2004,ROW()-5),"")</f>
        <v/>
      </c>
      <c r="K805" s="72" t="str">
        <f aca="false">IF(J805="","",MATCH(J805,Base!$P$5:$P$2004,0))</f>
        <v/>
      </c>
    </row>
    <row r="806" customFormat="false" ht="15" hidden="false" customHeight="false" outlineLevel="0" collapsed="false">
      <c r="A806" s="67" t="str">
        <f aca="false">IF($K806="","",ROW()-5)</f>
        <v/>
      </c>
      <c r="B806" s="68" t="str">
        <f aca="false">IF($K806="","",INDEX(Base!$E$5:$E$2004,$K806))</f>
        <v/>
      </c>
      <c r="C806" s="69" t="str">
        <f aca="false">IF($K806="","",B806)</f>
        <v/>
      </c>
      <c r="D806" s="70" t="str">
        <f aca="false">IF($K806="","",INDEX(Base!$F$5:$F$2004,$K806))</f>
        <v/>
      </c>
      <c r="E806" s="70" t="str">
        <f aca="false">IF($K806="","",INDEX(Base!$G$5:$G$2004,$K806))</f>
        <v/>
      </c>
      <c r="F806" s="71" t="str">
        <f aca="false">IF($K806="","",INDEX(Base!$H$5:$H$2004,$K806))</f>
        <v/>
      </c>
      <c r="G806" s="71" t="str">
        <f aca="false">IF($K806="","",INDEX(Base!$I$5:$I$2004,$K806))</f>
        <v/>
      </c>
      <c r="H806" s="70" t="str">
        <f aca="false">IF($K806="","",INDEX(Base!$J$5:$J$2004,$K806))</f>
        <v/>
      </c>
      <c r="I806" s="71" t="str">
        <f aca="false">IF($K806="","",INDEX(Base!$L$5:$L$2004,$K806))</f>
        <v/>
      </c>
      <c r="J806" s="72" t="str">
        <f aca="false">IFERROR(SMALL(Base!$P$5:$P$2004,ROW()-5),"")</f>
        <v/>
      </c>
      <c r="K806" s="72" t="str">
        <f aca="false">IF(J806="","",MATCH(J806,Base!$P$5:$P$2004,0))</f>
        <v/>
      </c>
    </row>
    <row r="807" customFormat="false" ht="15" hidden="false" customHeight="false" outlineLevel="0" collapsed="false">
      <c r="A807" s="67" t="str">
        <f aca="false">IF($K807="","",ROW()-5)</f>
        <v/>
      </c>
      <c r="B807" s="68" t="str">
        <f aca="false">IF($K807="","",INDEX(Base!$E$5:$E$2004,$K807))</f>
        <v/>
      </c>
      <c r="C807" s="69" t="str">
        <f aca="false">IF($K807="","",B807)</f>
        <v/>
      </c>
      <c r="D807" s="70" t="str">
        <f aca="false">IF($K807="","",INDEX(Base!$F$5:$F$2004,$K807))</f>
        <v/>
      </c>
      <c r="E807" s="70" t="str">
        <f aca="false">IF($K807="","",INDEX(Base!$G$5:$G$2004,$K807))</f>
        <v/>
      </c>
      <c r="F807" s="71" t="str">
        <f aca="false">IF($K807="","",INDEX(Base!$H$5:$H$2004,$K807))</f>
        <v/>
      </c>
      <c r="G807" s="71" t="str">
        <f aca="false">IF($K807="","",INDEX(Base!$I$5:$I$2004,$K807))</f>
        <v/>
      </c>
      <c r="H807" s="70" t="str">
        <f aca="false">IF($K807="","",INDEX(Base!$J$5:$J$2004,$K807))</f>
        <v/>
      </c>
      <c r="I807" s="71" t="str">
        <f aca="false">IF($K807="","",INDEX(Base!$L$5:$L$2004,$K807))</f>
        <v/>
      </c>
      <c r="J807" s="72" t="str">
        <f aca="false">IFERROR(SMALL(Base!$P$5:$P$2004,ROW()-5),"")</f>
        <v/>
      </c>
      <c r="K807" s="72" t="str">
        <f aca="false">IF(J807="","",MATCH(J807,Base!$P$5:$P$2004,0))</f>
        <v/>
      </c>
    </row>
    <row r="808" customFormat="false" ht="15" hidden="false" customHeight="false" outlineLevel="0" collapsed="false">
      <c r="A808" s="67" t="str">
        <f aca="false">IF($K808="","",ROW()-5)</f>
        <v/>
      </c>
      <c r="B808" s="68" t="str">
        <f aca="false">IF($K808="","",INDEX(Base!$E$5:$E$2004,$K808))</f>
        <v/>
      </c>
      <c r="C808" s="69" t="str">
        <f aca="false">IF($K808="","",B808)</f>
        <v/>
      </c>
      <c r="D808" s="70" t="str">
        <f aca="false">IF($K808="","",INDEX(Base!$F$5:$F$2004,$K808))</f>
        <v/>
      </c>
      <c r="E808" s="70" t="str">
        <f aca="false">IF($K808="","",INDEX(Base!$G$5:$G$2004,$K808))</f>
        <v/>
      </c>
      <c r="F808" s="71" t="str">
        <f aca="false">IF($K808="","",INDEX(Base!$H$5:$H$2004,$K808))</f>
        <v/>
      </c>
      <c r="G808" s="71" t="str">
        <f aca="false">IF($K808="","",INDEX(Base!$I$5:$I$2004,$K808))</f>
        <v/>
      </c>
      <c r="H808" s="70" t="str">
        <f aca="false">IF($K808="","",INDEX(Base!$J$5:$J$2004,$K808))</f>
        <v/>
      </c>
      <c r="I808" s="71" t="str">
        <f aca="false">IF($K808="","",INDEX(Base!$L$5:$L$2004,$K808))</f>
        <v/>
      </c>
      <c r="J808" s="72" t="str">
        <f aca="false">IFERROR(SMALL(Base!$P$5:$P$2004,ROW()-5),"")</f>
        <v/>
      </c>
      <c r="K808" s="72" t="str">
        <f aca="false">IF(J808="","",MATCH(J808,Base!$P$5:$P$2004,0))</f>
        <v/>
      </c>
    </row>
    <row r="809" customFormat="false" ht="15" hidden="false" customHeight="false" outlineLevel="0" collapsed="false">
      <c r="A809" s="67" t="str">
        <f aca="false">IF($K809="","",ROW()-5)</f>
        <v/>
      </c>
      <c r="B809" s="68" t="str">
        <f aca="false">IF($K809="","",INDEX(Base!$E$5:$E$2004,$K809))</f>
        <v/>
      </c>
      <c r="C809" s="69" t="str">
        <f aca="false">IF($K809="","",B809)</f>
        <v/>
      </c>
      <c r="D809" s="70" t="str">
        <f aca="false">IF($K809="","",INDEX(Base!$F$5:$F$2004,$K809))</f>
        <v/>
      </c>
      <c r="E809" s="70" t="str">
        <f aca="false">IF($K809="","",INDEX(Base!$G$5:$G$2004,$K809))</f>
        <v/>
      </c>
      <c r="F809" s="71" t="str">
        <f aca="false">IF($K809="","",INDEX(Base!$H$5:$H$2004,$K809))</f>
        <v/>
      </c>
      <c r="G809" s="71" t="str">
        <f aca="false">IF($K809="","",INDEX(Base!$I$5:$I$2004,$K809))</f>
        <v/>
      </c>
      <c r="H809" s="70" t="str">
        <f aca="false">IF($K809="","",INDEX(Base!$J$5:$J$2004,$K809))</f>
        <v/>
      </c>
      <c r="I809" s="71" t="str">
        <f aca="false">IF($K809="","",INDEX(Base!$L$5:$L$2004,$K809))</f>
        <v/>
      </c>
      <c r="J809" s="72" t="str">
        <f aca="false">IFERROR(SMALL(Base!$P$5:$P$2004,ROW()-5),"")</f>
        <v/>
      </c>
      <c r="K809" s="72" t="str">
        <f aca="false">IF(J809="","",MATCH(J809,Base!$P$5:$P$2004,0))</f>
        <v/>
      </c>
    </row>
    <row r="810" customFormat="false" ht="15" hidden="false" customHeight="false" outlineLevel="0" collapsed="false">
      <c r="A810" s="67" t="str">
        <f aca="false">IF($K810="","",ROW()-5)</f>
        <v/>
      </c>
      <c r="B810" s="68" t="str">
        <f aca="false">IF($K810="","",INDEX(Base!$E$5:$E$2004,$K810))</f>
        <v/>
      </c>
      <c r="C810" s="69" t="str">
        <f aca="false">IF($K810="","",B810)</f>
        <v/>
      </c>
      <c r="D810" s="70" t="str">
        <f aca="false">IF($K810="","",INDEX(Base!$F$5:$F$2004,$K810))</f>
        <v/>
      </c>
      <c r="E810" s="70" t="str">
        <f aca="false">IF($K810="","",INDEX(Base!$G$5:$G$2004,$K810))</f>
        <v/>
      </c>
      <c r="F810" s="71" t="str">
        <f aca="false">IF($K810="","",INDEX(Base!$H$5:$H$2004,$K810))</f>
        <v/>
      </c>
      <c r="G810" s="71" t="str">
        <f aca="false">IF($K810="","",INDEX(Base!$I$5:$I$2004,$K810))</f>
        <v/>
      </c>
      <c r="H810" s="70" t="str">
        <f aca="false">IF($K810="","",INDEX(Base!$J$5:$J$2004,$K810))</f>
        <v/>
      </c>
      <c r="I810" s="71" t="str">
        <f aca="false">IF($K810="","",INDEX(Base!$L$5:$L$2004,$K810))</f>
        <v/>
      </c>
      <c r="J810" s="72" t="str">
        <f aca="false">IFERROR(SMALL(Base!$P$5:$P$2004,ROW()-5),"")</f>
        <v/>
      </c>
      <c r="K810" s="72" t="str">
        <f aca="false">IF(J810="","",MATCH(J810,Base!$P$5:$P$2004,0))</f>
        <v/>
      </c>
    </row>
    <row r="811" customFormat="false" ht="15" hidden="false" customHeight="false" outlineLevel="0" collapsed="false">
      <c r="A811" s="67" t="str">
        <f aca="false">IF($K811="","",ROW()-5)</f>
        <v/>
      </c>
      <c r="B811" s="68" t="str">
        <f aca="false">IF($K811="","",INDEX(Base!$E$5:$E$2004,$K811))</f>
        <v/>
      </c>
      <c r="C811" s="69" t="str">
        <f aca="false">IF($K811="","",B811)</f>
        <v/>
      </c>
      <c r="D811" s="70" t="str">
        <f aca="false">IF($K811="","",INDEX(Base!$F$5:$F$2004,$K811))</f>
        <v/>
      </c>
      <c r="E811" s="70" t="str">
        <f aca="false">IF($K811="","",INDEX(Base!$G$5:$G$2004,$K811))</f>
        <v/>
      </c>
      <c r="F811" s="71" t="str">
        <f aca="false">IF($K811="","",INDEX(Base!$H$5:$H$2004,$K811))</f>
        <v/>
      </c>
      <c r="G811" s="71" t="str">
        <f aca="false">IF($K811="","",INDEX(Base!$I$5:$I$2004,$K811))</f>
        <v/>
      </c>
      <c r="H811" s="70" t="str">
        <f aca="false">IF($K811="","",INDEX(Base!$J$5:$J$2004,$K811))</f>
        <v/>
      </c>
      <c r="I811" s="71" t="str">
        <f aca="false">IF($K811="","",INDEX(Base!$L$5:$L$2004,$K811))</f>
        <v/>
      </c>
      <c r="J811" s="72" t="str">
        <f aca="false">IFERROR(SMALL(Base!$P$5:$P$2004,ROW()-5),"")</f>
        <v/>
      </c>
      <c r="K811" s="72" t="str">
        <f aca="false">IF(J811="","",MATCH(J811,Base!$P$5:$P$2004,0))</f>
        <v/>
      </c>
    </row>
    <row r="812" customFormat="false" ht="15" hidden="false" customHeight="false" outlineLevel="0" collapsed="false">
      <c r="A812" s="67" t="str">
        <f aca="false">IF($K812="","",ROW()-5)</f>
        <v/>
      </c>
      <c r="B812" s="68" t="str">
        <f aca="false">IF($K812="","",INDEX(Base!$E$5:$E$2004,$K812))</f>
        <v/>
      </c>
      <c r="C812" s="69" t="str">
        <f aca="false">IF($K812="","",B812)</f>
        <v/>
      </c>
      <c r="D812" s="70" t="str">
        <f aca="false">IF($K812="","",INDEX(Base!$F$5:$F$2004,$K812))</f>
        <v/>
      </c>
      <c r="E812" s="70" t="str">
        <f aca="false">IF($K812="","",INDEX(Base!$G$5:$G$2004,$K812))</f>
        <v/>
      </c>
      <c r="F812" s="71" t="str">
        <f aca="false">IF($K812="","",INDEX(Base!$H$5:$H$2004,$K812))</f>
        <v/>
      </c>
      <c r="G812" s="71" t="str">
        <f aca="false">IF($K812="","",INDEX(Base!$I$5:$I$2004,$K812))</f>
        <v/>
      </c>
      <c r="H812" s="70" t="str">
        <f aca="false">IF($K812="","",INDEX(Base!$J$5:$J$2004,$K812))</f>
        <v/>
      </c>
      <c r="I812" s="71" t="str">
        <f aca="false">IF($K812="","",INDEX(Base!$L$5:$L$2004,$K812))</f>
        <v/>
      </c>
      <c r="J812" s="72" t="str">
        <f aca="false">IFERROR(SMALL(Base!$P$5:$P$2004,ROW()-5),"")</f>
        <v/>
      </c>
      <c r="K812" s="72" t="str">
        <f aca="false">IF(J812="","",MATCH(J812,Base!$P$5:$P$2004,0))</f>
        <v/>
      </c>
    </row>
    <row r="813" customFormat="false" ht="15" hidden="false" customHeight="false" outlineLevel="0" collapsed="false">
      <c r="A813" s="67" t="str">
        <f aca="false">IF($K813="","",ROW()-5)</f>
        <v/>
      </c>
      <c r="B813" s="68" t="str">
        <f aca="false">IF($K813="","",INDEX(Base!$E$5:$E$2004,$K813))</f>
        <v/>
      </c>
      <c r="C813" s="69" t="str">
        <f aca="false">IF($K813="","",B813)</f>
        <v/>
      </c>
      <c r="D813" s="70" t="str">
        <f aca="false">IF($K813="","",INDEX(Base!$F$5:$F$2004,$K813))</f>
        <v/>
      </c>
      <c r="E813" s="70" t="str">
        <f aca="false">IF($K813="","",INDEX(Base!$G$5:$G$2004,$K813))</f>
        <v/>
      </c>
      <c r="F813" s="71" t="str">
        <f aca="false">IF($K813="","",INDEX(Base!$H$5:$H$2004,$K813))</f>
        <v/>
      </c>
      <c r="G813" s="71" t="str">
        <f aca="false">IF($K813="","",INDEX(Base!$I$5:$I$2004,$K813))</f>
        <v/>
      </c>
      <c r="H813" s="70" t="str">
        <f aca="false">IF($K813="","",INDEX(Base!$J$5:$J$2004,$K813))</f>
        <v/>
      </c>
      <c r="I813" s="71" t="str">
        <f aca="false">IF($K813="","",INDEX(Base!$L$5:$L$2004,$K813))</f>
        <v/>
      </c>
      <c r="J813" s="72" t="str">
        <f aca="false">IFERROR(SMALL(Base!$P$5:$P$2004,ROW()-5),"")</f>
        <v/>
      </c>
      <c r="K813" s="72" t="str">
        <f aca="false">IF(J813="","",MATCH(J813,Base!$P$5:$P$2004,0))</f>
        <v/>
      </c>
    </row>
    <row r="814" customFormat="false" ht="15" hidden="false" customHeight="false" outlineLevel="0" collapsed="false">
      <c r="A814" s="67" t="str">
        <f aca="false">IF($K814="","",ROW()-5)</f>
        <v/>
      </c>
      <c r="B814" s="68" t="str">
        <f aca="false">IF($K814="","",INDEX(Base!$E$5:$E$2004,$K814))</f>
        <v/>
      </c>
      <c r="C814" s="69" t="str">
        <f aca="false">IF($K814="","",B814)</f>
        <v/>
      </c>
      <c r="D814" s="70" t="str">
        <f aca="false">IF($K814="","",INDEX(Base!$F$5:$F$2004,$K814))</f>
        <v/>
      </c>
      <c r="E814" s="70" t="str">
        <f aca="false">IF($K814="","",INDEX(Base!$G$5:$G$2004,$K814))</f>
        <v/>
      </c>
      <c r="F814" s="71" t="str">
        <f aca="false">IF($K814="","",INDEX(Base!$H$5:$H$2004,$K814))</f>
        <v/>
      </c>
      <c r="G814" s="71" t="str">
        <f aca="false">IF($K814="","",INDEX(Base!$I$5:$I$2004,$K814))</f>
        <v/>
      </c>
      <c r="H814" s="70" t="str">
        <f aca="false">IF($K814="","",INDEX(Base!$J$5:$J$2004,$K814))</f>
        <v/>
      </c>
      <c r="I814" s="71" t="str">
        <f aca="false">IF($K814="","",INDEX(Base!$L$5:$L$2004,$K814))</f>
        <v/>
      </c>
      <c r="J814" s="72" t="str">
        <f aca="false">IFERROR(SMALL(Base!$P$5:$P$2004,ROW()-5),"")</f>
        <v/>
      </c>
      <c r="K814" s="72" t="str">
        <f aca="false">IF(J814="","",MATCH(J814,Base!$P$5:$P$2004,0))</f>
        <v/>
      </c>
    </row>
    <row r="815" customFormat="false" ht="15" hidden="false" customHeight="false" outlineLevel="0" collapsed="false">
      <c r="A815" s="67" t="str">
        <f aca="false">IF($K815="","",ROW()-5)</f>
        <v/>
      </c>
      <c r="B815" s="68" t="str">
        <f aca="false">IF($K815="","",INDEX(Base!$E$5:$E$2004,$K815))</f>
        <v/>
      </c>
      <c r="C815" s="69" t="str">
        <f aca="false">IF($K815="","",B815)</f>
        <v/>
      </c>
      <c r="D815" s="70" t="str">
        <f aca="false">IF($K815="","",INDEX(Base!$F$5:$F$2004,$K815))</f>
        <v/>
      </c>
      <c r="E815" s="70" t="str">
        <f aca="false">IF($K815="","",INDEX(Base!$G$5:$G$2004,$K815))</f>
        <v/>
      </c>
      <c r="F815" s="71" t="str">
        <f aca="false">IF($K815="","",INDEX(Base!$H$5:$H$2004,$K815))</f>
        <v/>
      </c>
      <c r="G815" s="71" t="str">
        <f aca="false">IF($K815="","",INDEX(Base!$I$5:$I$2004,$K815))</f>
        <v/>
      </c>
      <c r="H815" s="70" t="str">
        <f aca="false">IF($K815="","",INDEX(Base!$J$5:$J$2004,$K815))</f>
        <v/>
      </c>
      <c r="I815" s="71" t="str">
        <f aca="false">IF($K815="","",INDEX(Base!$L$5:$L$2004,$K815))</f>
        <v/>
      </c>
      <c r="J815" s="72" t="str">
        <f aca="false">IFERROR(SMALL(Base!$P$5:$P$2004,ROW()-5),"")</f>
        <v/>
      </c>
      <c r="K815" s="72" t="str">
        <f aca="false">IF(J815="","",MATCH(J815,Base!$P$5:$P$2004,0))</f>
        <v/>
      </c>
    </row>
    <row r="816" customFormat="false" ht="15" hidden="false" customHeight="false" outlineLevel="0" collapsed="false">
      <c r="A816" s="67" t="str">
        <f aca="false">IF($K816="","",ROW()-5)</f>
        <v/>
      </c>
      <c r="B816" s="68" t="str">
        <f aca="false">IF($K816="","",INDEX(Base!$E$5:$E$2004,$K816))</f>
        <v/>
      </c>
      <c r="C816" s="69" t="str">
        <f aca="false">IF($K816="","",B816)</f>
        <v/>
      </c>
      <c r="D816" s="70" t="str">
        <f aca="false">IF($K816="","",INDEX(Base!$F$5:$F$2004,$K816))</f>
        <v/>
      </c>
      <c r="E816" s="70" t="str">
        <f aca="false">IF($K816="","",INDEX(Base!$G$5:$G$2004,$K816))</f>
        <v/>
      </c>
      <c r="F816" s="71" t="str">
        <f aca="false">IF($K816="","",INDEX(Base!$H$5:$H$2004,$K816))</f>
        <v/>
      </c>
      <c r="G816" s="71" t="str">
        <f aca="false">IF($K816="","",INDEX(Base!$I$5:$I$2004,$K816))</f>
        <v/>
      </c>
      <c r="H816" s="70" t="str">
        <f aca="false">IF($K816="","",INDEX(Base!$J$5:$J$2004,$K816))</f>
        <v/>
      </c>
      <c r="I816" s="71" t="str">
        <f aca="false">IF($K816="","",INDEX(Base!$L$5:$L$2004,$K816))</f>
        <v/>
      </c>
      <c r="J816" s="72" t="str">
        <f aca="false">IFERROR(SMALL(Base!$P$5:$P$2004,ROW()-5),"")</f>
        <v/>
      </c>
      <c r="K816" s="72" t="str">
        <f aca="false">IF(J816="","",MATCH(J816,Base!$P$5:$P$2004,0))</f>
        <v/>
      </c>
    </row>
    <row r="817" customFormat="false" ht="15" hidden="false" customHeight="false" outlineLevel="0" collapsed="false">
      <c r="A817" s="67" t="str">
        <f aca="false">IF($K817="","",ROW()-5)</f>
        <v/>
      </c>
      <c r="B817" s="68" t="str">
        <f aca="false">IF($K817="","",INDEX(Base!$E$5:$E$2004,$K817))</f>
        <v/>
      </c>
      <c r="C817" s="69" t="str">
        <f aca="false">IF($K817="","",B817)</f>
        <v/>
      </c>
      <c r="D817" s="70" t="str">
        <f aca="false">IF($K817="","",INDEX(Base!$F$5:$F$2004,$K817))</f>
        <v/>
      </c>
      <c r="E817" s="70" t="str">
        <f aca="false">IF($K817="","",INDEX(Base!$G$5:$G$2004,$K817))</f>
        <v/>
      </c>
      <c r="F817" s="71" t="str">
        <f aca="false">IF($K817="","",INDEX(Base!$H$5:$H$2004,$K817))</f>
        <v/>
      </c>
      <c r="G817" s="71" t="str">
        <f aca="false">IF($K817="","",INDEX(Base!$I$5:$I$2004,$K817))</f>
        <v/>
      </c>
      <c r="H817" s="70" t="str">
        <f aca="false">IF($K817="","",INDEX(Base!$J$5:$J$2004,$K817))</f>
        <v/>
      </c>
      <c r="I817" s="71" t="str">
        <f aca="false">IF($K817="","",INDEX(Base!$L$5:$L$2004,$K817))</f>
        <v/>
      </c>
      <c r="J817" s="72" t="str">
        <f aca="false">IFERROR(SMALL(Base!$P$5:$P$2004,ROW()-5),"")</f>
        <v/>
      </c>
      <c r="K817" s="72" t="str">
        <f aca="false">IF(J817="","",MATCH(J817,Base!$P$5:$P$2004,0))</f>
        <v/>
      </c>
    </row>
    <row r="818" customFormat="false" ht="15" hidden="false" customHeight="false" outlineLevel="0" collapsed="false">
      <c r="A818" s="67" t="str">
        <f aca="false">IF($K818="","",ROW()-5)</f>
        <v/>
      </c>
      <c r="B818" s="68" t="str">
        <f aca="false">IF($K818="","",INDEX(Base!$E$5:$E$2004,$K818))</f>
        <v/>
      </c>
      <c r="C818" s="69" t="str">
        <f aca="false">IF($K818="","",B818)</f>
        <v/>
      </c>
      <c r="D818" s="70" t="str">
        <f aca="false">IF($K818="","",INDEX(Base!$F$5:$F$2004,$K818))</f>
        <v/>
      </c>
      <c r="E818" s="70" t="str">
        <f aca="false">IF($K818="","",INDEX(Base!$G$5:$G$2004,$K818))</f>
        <v/>
      </c>
      <c r="F818" s="71" t="str">
        <f aca="false">IF($K818="","",INDEX(Base!$H$5:$H$2004,$K818))</f>
        <v/>
      </c>
      <c r="G818" s="71" t="str">
        <f aca="false">IF($K818="","",INDEX(Base!$I$5:$I$2004,$K818))</f>
        <v/>
      </c>
      <c r="H818" s="70" t="str">
        <f aca="false">IF($K818="","",INDEX(Base!$J$5:$J$2004,$K818))</f>
        <v/>
      </c>
      <c r="I818" s="71" t="str">
        <f aca="false">IF($K818="","",INDEX(Base!$L$5:$L$2004,$K818))</f>
        <v/>
      </c>
      <c r="J818" s="72" t="str">
        <f aca="false">IFERROR(SMALL(Base!$P$5:$P$2004,ROW()-5),"")</f>
        <v/>
      </c>
      <c r="K818" s="72" t="str">
        <f aca="false">IF(J818="","",MATCH(J818,Base!$P$5:$P$2004,0))</f>
        <v/>
      </c>
    </row>
    <row r="819" customFormat="false" ht="15" hidden="false" customHeight="false" outlineLevel="0" collapsed="false">
      <c r="A819" s="67" t="str">
        <f aca="false">IF($K819="","",ROW()-5)</f>
        <v/>
      </c>
      <c r="B819" s="68" t="str">
        <f aca="false">IF($K819="","",INDEX(Base!$E$5:$E$2004,$K819))</f>
        <v/>
      </c>
      <c r="C819" s="69" t="str">
        <f aca="false">IF($K819="","",B819)</f>
        <v/>
      </c>
      <c r="D819" s="70" t="str">
        <f aca="false">IF($K819="","",INDEX(Base!$F$5:$F$2004,$K819))</f>
        <v/>
      </c>
      <c r="E819" s="70" t="str">
        <f aca="false">IF($K819="","",INDEX(Base!$G$5:$G$2004,$K819))</f>
        <v/>
      </c>
      <c r="F819" s="71" t="str">
        <f aca="false">IF($K819="","",INDEX(Base!$H$5:$H$2004,$K819))</f>
        <v/>
      </c>
      <c r="G819" s="71" t="str">
        <f aca="false">IF($K819="","",INDEX(Base!$I$5:$I$2004,$K819))</f>
        <v/>
      </c>
      <c r="H819" s="70" t="str">
        <f aca="false">IF($K819="","",INDEX(Base!$J$5:$J$2004,$K819))</f>
        <v/>
      </c>
      <c r="I819" s="71" t="str">
        <f aca="false">IF($K819="","",INDEX(Base!$L$5:$L$2004,$K819))</f>
        <v/>
      </c>
      <c r="J819" s="72" t="str">
        <f aca="false">IFERROR(SMALL(Base!$P$5:$P$2004,ROW()-5),"")</f>
        <v/>
      </c>
      <c r="K819" s="72" t="str">
        <f aca="false">IF(J819="","",MATCH(J819,Base!$P$5:$P$2004,0))</f>
        <v/>
      </c>
    </row>
    <row r="820" customFormat="false" ht="15" hidden="false" customHeight="false" outlineLevel="0" collapsed="false">
      <c r="A820" s="67" t="str">
        <f aca="false">IF($K820="","",ROW()-5)</f>
        <v/>
      </c>
      <c r="B820" s="68" t="str">
        <f aca="false">IF($K820="","",INDEX(Base!$E$5:$E$2004,$K820))</f>
        <v/>
      </c>
      <c r="C820" s="69" t="str">
        <f aca="false">IF($K820="","",B820)</f>
        <v/>
      </c>
      <c r="D820" s="70" t="str">
        <f aca="false">IF($K820="","",INDEX(Base!$F$5:$F$2004,$K820))</f>
        <v/>
      </c>
      <c r="E820" s="70" t="str">
        <f aca="false">IF($K820="","",INDEX(Base!$G$5:$G$2004,$K820))</f>
        <v/>
      </c>
      <c r="F820" s="71" t="str">
        <f aca="false">IF($K820="","",INDEX(Base!$H$5:$H$2004,$K820))</f>
        <v/>
      </c>
      <c r="G820" s="71" t="str">
        <f aca="false">IF($K820="","",INDEX(Base!$I$5:$I$2004,$K820))</f>
        <v/>
      </c>
      <c r="H820" s="70" t="str">
        <f aca="false">IF($K820="","",INDEX(Base!$J$5:$J$2004,$K820))</f>
        <v/>
      </c>
      <c r="I820" s="71" t="str">
        <f aca="false">IF($K820="","",INDEX(Base!$L$5:$L$2004,$K820))</f>
        <v/>
      </c>
      <c r="J820" s="72" t="str">
        <f aca="false">IFERROR(SMALL(Base!$P$5:$P$2004,ROW()-5),"")</f>
        <v/>
      </c>
      <c r="K820" s="72" t="str">
        <f aca="false">IF(J820="","",MATCH(J820,Base!$P$5:$P$2004,0))</f>
        <v/>
      </c>
    </row>
    <row r="821" customFormat="false" ht="15" hidden="false" customHeight="false" outlineLevel="0" collapsed="false">
      <c r="A821" s="67" t="str">
        <f aca="false">IF($K821="","",ROW()-5)</f>
        <v/>
      </c>
      <c r="B821" s="68" t="str">
        <f aca="false">IF($K821="","",INDEX(Base!$E$5:$E$2004,$K821))</f>
        <v/>
      </c>
      <c r="C821" s="69" t="str">
        <f aca="false">IF($K821="","",B821)</f>
        <v/>
      </c>
      <c r="D821" s="70" t="str">
        <f aca="false">IF($K821="","",INDEX(Base!$F$5:$F$2004,$K821))</f>
        <v/>
      </c>
      <c r="E821" s="70" t="str">
        <f aca="false">IF($K821="","",INDEX(Base!$G$5:$G$2004,$K821))</f>
        <v/>
      </c>
      <c r="F821" s="71" t="str">
        <f aca="false">IF($K821="","",INDEX(Base!$H$5:$H$2004,$K821))</f>
        <v/>
      </c>
      <c r="G821" s="71" t="str">
        <f aca="false">IF($K821="","",INDEX(Base!$I$5:$I$2004,$K821))</f>
        <v/>
      </c>
      <c r="H821" s="70" t="str">
        <f aca="false">IF($K821="","",INDEX(Base!$J$5:$J$2004,$K821))</f>
        <v/>
      </c>
      <c r="I821" s="71" t="str">
        <f aca="false">IF($K821="","",INDEX(Base!$L$5:$L$2004,$K821))</f>
        <v/>
      </c>
      <c r="J821" s="72" t="str">
        <f aca="false">IFERROR(SMALL(Base!$P$5:$P$2004,ROW()-5),"")</f>
        <v/>
      </c>
      <c r="K821" s="72" t="str">
        <f aca="false">IF(J821="","",MATCH(J821,Base!$P$5:$P$2004,0))</f>
        <v/>
      </c>
    </row>
    <row r="822" customFormat="false" ht="15" hidden="false" customHeight="false" outlineLevel="0" collapsed="false">
      <c r="A822" s="67" t="str">
        <f aca="false">IF($K822="","",ROW()-5)</f>
        <v/>
      </c>
      <c r="B822" s="68" t="str">
        <f aca="false">IF($K822="","",INDEX(Base!$E$5:$E$2004,$K822))</f>
        <v/>
      </c>
      <c r="C822" s="69" t="str">
        <f aca="false">IF($K822="","",B822)</f>
        <v/>
      </c>
      <c r="D822" s="70" t="str">
        <f aca="false">IF($K822="","",INDEX(Base!$F$5:$F$2004,$K822))</f>
        <v/>
      </c>
      <c r="E822" s="70" t="str">
        <f aca="false">IF($K822="","",INDEX(Base!$G$5:$G$2004,$K822))</f>
        <v/>
      </c>
      <c r="F822" s="71" t="str">
        <f aca="false">IF($K822="","",INDEX(Base!$H$5:$H$2004,$K822))</f>
        <v/>
      </c>
      <c r="G822" s="71" t="str">
        <f aca="false">IF($K822="","",INDEX(Base!$I$5:$I$2004,$K822))</f>
        <v/>
      </c>
      <c r="H822" s="70" t="str">
        <f aca="false">IF($K822="","",INDEX(Base!$J$5:$J$2004,$K822))</f>
        <v/>
      </c>
      <c r="I822" s="71" t="str">
        <f aca="false">IF($K822="","",INDEX(Base!$L$5:$L$2004,$K822))</f>
        <v/>
      </c>
      <c r="J822" s="72" t="str">
        <f aca="false">IFERROR(SMALL(Base!$P$5:$P$2004,ROW()-5),"")</f>
        <v/>
      </c>
      <c r="K822" s="72" t="str">
        <f aca="false">IF(J822="","",MATCH(J822,Base!$P$5:$P$2004,0))</f>
        <v/>
      </c>
    </row>
    <row r="823" customFormat="false" ht="15" hidden="false" customHeight="false" outlineLevel="0" collapsed="false">
      <c r="A823" s="67" t="str">
        <f aca="false">IF($K823="","",ROW()-5)</f>
        <v/>
      </c>
      <c r="B823" s="68" t="str">
        <f aca="false">IF($K823="","",INDEX(Base!$E$5:$E$2004,$K823))</f>
        <v/>
      </c>
      <c r="C823" s="69" t="str">
        <f aca="false">IF($K823="","",B823)</f>
        <v/>
      </c>
      <c r="D823" s="70" t="str">
        <f aca="false">IF($K823="","",INDEX(Base!$F$5:$F$2004,$K823))</f>
        <v/>
      </c>
      <c r="E823" s="70" t="str">
        <f aca="false">IF($K823="","",INDEX(Base!$G$5:$G$2004,$K823))</f>
        <v/>
      </c>
      <c r="F823" s="71" t="str">
        <f aca="false">IF($K823="","",INDEX(Base!$H$5:$H$2004,$K823))</f>
        <v/>
      </c>
      <c r="G823" s="71" t="str">
        <f aca="false">IF($K823="","",INDEX(Base!$I$5:$I$2004,$K823))</f>
        <v/>
      </c>
      <c r="H823" s="70" t="str">
        <f aca="false">IF($K823="","",INDEX(Base!$J$5:$J$2004,$K823))</f>
        <v/>
      </c>
      <c r="I823" s="71" t="str">
        <f aca="false">IF($K823="","",INDEX(Base!$L$5:$L$2004,$K823))</f>
        <v/>
      </c>
      <c r="J823" s="72" t="str">
        <f aca="false">IFERROR(SMALL(Base!$P$5:$P$2004,ROW()-5),"")</f>
        <v/>
      </c>
      <c r="K823" s="72" t="str">
        <f aca="false">IF(J823="","",MATCH(J823,Base!$P$5:$P$2004,0))</f>
        <v/>
      </c>
    </row>
    <row r="824" customFormat="false" ht="15" hidden="false" customHeight="false" outlineLevel="0" collapsed="false">
      <c r="A824" s="67" t="str">
        <f aca="false">IF($K824="","",ROW()-5)</f>
        <v/>
      </c>
      <c r="B824" s="68" t="str">
        <f aca="false">IF($K824="","",INDEX(Base!$E$5:$E$2004,$K824))</f>
        <v/>
      </c>
      <c r="C824" s="69" t="str">
        <f aca="false">IF($K824="","",B824)</f>
        <v/>
      </c>
      <c r="D824" s="70" t="str">
        <f aca="false">IF($K824="","",INDEX(Base!$F$5:$F$2004,$K824))</f>
        <v/>
      </c>
      <c r="E824" s="70" t="str">
        <f aca="false">IF($K824="","",INDEX(Base!$G$5:$G$2004,$K824))</f>
        <v/>
      </c>
      <c r="F824" s="71" t="str">
        <f aca="false">IF($K824="","",INDEX(Base!$H$5:$H$2004,$K824))</f>
        <v/>
      </c>
      <c r="G824" s="71" t="str">
        <f aca="false">IF($K824="","",INDEX(Base!$I$5:$I$2004,$K824))</f>
        <v/>
      </c>
      <c r="H824" s="70" t="str">
        <f aca="false">IF($K824="","",INDEX(Base!$J$5:$J$2004,$K824))</f>
        <v/>
      </c>
      <c r="I824" s="71" t="str">
        <f aca="false">IF($K824="","",INDEX(Base!$L$5:$L$2004,$K824))</f>
        <v/>
      </c>
      <c r="J824" s="72" t="str">
        <f aca="false">IFERROR(SMALL(Base!$P$5:$P$2004,ROW()-5),"")</f>
        <v/>
      </c>
      <c r="K824" s="72" t="str">
        <f aca="false">IF(J824="","",MATCH(J824,Base!$P$5:$P$2004,0))</f>
        <v/>
      </c>
    </row>
    <row r="825" customFormat="false" ht="15" hidden="false" customHeight="false" outlineLevel="0" collapsed="false">
      <c r="A825" s="67" t="str">
        <f aca="false">IF($K825="","",ROW()-5)</f>
        <v/>
      </c>
      <c r="B825" s="68" t="str">
        <f aca="false">IF($K825="","",INDEX(Base!$E$5:$E$2004,$K825))</f>
        <v/>
      </c>
      <c r="C825" s="69" t="str">
        <f aca="false">IF($K825="","",B825)</f>
        <v/>
      </c>
      <c r="D825" s="70" t="str">
        <f aca="false">IF($K825="","",INDEX(Base!$F$5:$F$2004,$K825))</f>
        <v/>
      </c>
      <c r="E825" s="70" t="str">
        <f aca="false">IF($K825="","",INDEX(Base!$G$5:$G$2004,$K825))</f>
        <v/>
      </c>
      <c r="F825" s="71" t="str">
        <f aca="false">IF($K825="","",INDEX(Base!$H$5:$H$2004,$K825))</f>
        <v/>
      </c>
      <c r="G825" s="71" t="str">
        <f aca="false">IF($K825="","",INDEX(Base!$I$5:$I$2004,$K825))</f>
        <v/>
      </c>
      <c r="H825" s="70" t="str">
        <f aca="false">IF($K825="","",INDEX(Base!$J$5:$J$2004,$K825))</f>
        <v/>
      </c>
      <c r="I825" s="71" t="str">
        <f aca="false">IF($K825="","",INDEX(Base!$L$5:$L$2004,$K825))</f>
        <v/>
      </c>
      <c r="J825" s="72" t="str">
        <f aca="false">IFERROR(SMALL(Base!$P$5:$P$2004,ROW()-5),"")</f>
        <v/>
      </c>
      <c r="K825" s="72" t="str">
        <f aca="false">IF(J825="","",MATCH(J825,Base!$P$5:$P$2004,0))</f>
        <v/>
      </c>
    </row>
    <row r="826" customFormat="false" ht="15" hidden="false" customHeight="false" outlineLevel="0" collapsed="false">
      <c r="A826" s="67" t="str">
        <f aca="false">IF($K826="","",ROW()-5)</f>
        <v/>
      </c>
      <c r="B826" s="68" t="str">
        <f aca="false">IF($K826="","",INDEX(Base!$E$5:$E$2004,$K826))</f>
        <v/>
      </c>
      <c r="C826" s="69" t="str">
        <f aca="false">IF($K826="","",B826)</f>
        <v/>
      </c>
      <c r="D826" s="70" t="str">
        <f aca="false">IF($K826="","",INDEX(Base!$F$5:$F$2004,$K826))</f>
        <v/>
      </c>
      <c r="E826" s="70" t="str">
        <f aca="false">IF($K826="","",INDEX(Base!$G$5:$G$2004,$K826))</f>
        <v/>
      </c>
      <c r="F826" s="71" t="str">
        <f aca="false">IF($K826="","",INDEX(Base!$H$5:$H$2004,$K826))</f>
        <v/>
      </c>
      <c r="G826" s="71" t="str">
        <f aca="false">IF($K826="","",INDEX(Base!$I$5:$I$2004,$K826))</f>
        <v/>
      </c>
      <c r="H826" s="70" t="str">
        <f aca="false">IF($K826="","",INDEX(Base!$J$5:$J$2004,$K826))</f>
        <v/>
      </c>
      <c r="I826" s="71" t="str">
        <f aca="false">IF($K826="","",INDEX(Base!$L$5:$L$2004,$K826))</f>
        <v/>
      </c>
      <c r="J826" s="72" t="str">
        <f aca="false">IFERROR(SMALL(Base!$P$5:$P$2004,ROW()-5),"")</f>
        <v/>
      </c>
      <c r="K826" s="72" t="str">
        <f aca="false">IF(J826="","",MATCH(J826,Base!$P$5:$P$2004,0))</f>
        <v/>
      </c>
    </row>
    <row r="827" customFormat="false" ht="15" hidden="false" customHeight="false" outlineLevel="0" collapsed="false">
      <c r="A827" s="67" t="str">
        <f aca="false">IF($K827="","",ROW()-5)</f>
        <v/>
      </c>
      <c r="B827" s="68" t="str">
        <f aca="false">IF($K827="","",INDEX(Base!$E$5:$E$2004,$K827))</f>
        <v/>
      </c>
      <c r="C827" s="69" t="str">
        <f aca="false">IF($K827="","",B827)</f>
        <v/>
      </c>
      <c r="D827" s="70" t="str">
        <f aca="false">IF($K827="","",INDEX(Base!$F$5:$F$2004,$K827))</f>
        <v/>
      </c>
      <c r="E827" s="70" t="str">
        <f aca="false">IF($K827="","",INDEX(Base!$G$5:$G$2004,$K827))</f>
        <v/>
      </c>
      <c r="F827" s="71" t="str">
        <f aca="false">IF($K827="","",INDEX(Base!$H$5:$H$2004,$K827))</f>
        <v/>
      </c>
      <c r="G827" s="71" t="str">
        <f aca="false">IF($K827="","",INDEX(Base!$I$5:$I$2004,$K827))</f>
        <v/>
      </c>
      <c r="H827" s="70" t="str">
        <f aca="false">IF($K827="","",INDEX(Base!$J$5:$J$2004,$K827))</f>
        <v/>
      </c>
      <c r="I827" s="71" t="str">
        <f aca="false">IF($K827="","",INDEX(Base!$L$5:$L$2004,$K827))</f>
        <v/>
      </c>
      <c r="J827" s="72" t="str">
        <f aca="false">IFERROR(SMALL(Base!$P$5:$P$2004,ROW()-5),"")</f>
        <v/>
      </c>
      <c r="K827" s="72" t="str">
        <f aca="false">IF(J827="","",MATCH(J827,Base!$P$5:$P$2004,0))</f>
        <v/>
      </c>
    </row>
    <row r="828" customFormat="false" ht="15" hidden="false" customHeight="false" outlineLevel="0" collapsed="false">
      <c r="A828" s="67" t="str">
        <f aca="false">IF($K828="","",ROW()-5)</f>
        <v/>
      </c>
      <c r="B828" s="68" t="str">
        <f aca="false">IF($K828="","",INDEX(Base!$E$5:$E$2004,$K828))</f>
        <v/>
      </c>
      <c r="C828" s="69" t="str">
        <f aca="false">IF($K828="","",B828)</f>
        <v/>
      </c>
      <c r="D828" s="70" t="str">
        <f aca="false">IF($K828="","",INDEX(Base!$F$5:$F$2004,$K828))</f>
        <v/>
      </c>
      <c r="E828" s="70" t="str">
        <f aca="false">IF($K828="","",INDEX(Base!$G$5:$G$2004,$K828))</f>
        <v/>
      </c>
      <c r="F828" s="71" t="str">
        <f aca="false">IF($K828="","",INDEX(Base!$H$5:$H$2004,$K828))</f>
        <v/>
      </c>
      <c r="G828" s="71" t="str">
        <f aca="false">IF($K828="","",INDEX(Base!$I$5:$I$2004,$K828))</f>
        <v/>
      </c>
      <c r="H828" s="70" t="str">
        <f aca="false">IF($K828="","",INDEX(Base!$J$5:$J$2004,$K828))</f>
        <v/>
      </c>
      <c r="I828" s="71" t="str">
        <f aca="false">IF($K828="","",INDEX(Base!$L$5:$L$2004,$K828))</f>
        <v/>
      </c>
      <c r="J828" s="72" t="str">
        <f aca="false">IFERROR(SMALL(Base!$P$5:$P$2004,ROW()-5),"")</f>
        <v/>
      </c>
      <c r="K828" s="72" t="str">
        <f aca="false">IF(J828="","",MATCH(J828,Base!$P$5:$P$2004,0))</f>
        <v/>
      </c>
    </row>
    <row r="829" customFormat="false" ht="15" hidden="false" customHeight="false" outlineLevel="0" collapsed="false">
      <c r="A829" s="67" t="str">
        <f aca="false">IF($K829="","",ROW()-5)</f>
        <v/>
      </c>
      <c r="B829" s="68" t="str">
        <f aca="false">IF($K829="","",INDEX(Base!$E$5:$E$2004,$K829))</f>
        <v/>
      </c>
      <c r="C829" s="69" t="str">
        <f aca="false">IF($K829="","",B829)</f>
        <v/>
      </c>
      <c r="D829" s="70" t="str">
        <f aca="false">IF($K829="","",INDEX(Base!$F$5:$F$2004,$K829))</f>
        <v/>
      </c>
      <c r="E829" s="70" t="str">
        <f aca="false">IF($K829="","",INDEX(Base!$G$5:$G$2004,$K829))</f>
        <v/>
      </c>
      <c r="F829" s="71" t="str">
        <f aca="false">IF($K829="","",INDEX(Base!$H$5:$H$2004,$K829))</f>
        <v/>
      </c>
      <c r="G829" s="71" t="str">
        <f aca="false">IF($K829="","",INDEX(Base!$I$5:$I$2004,$K829))</f>
        <v/>
      </c>
      <c r="H829" s="70" t="str">
        <f aca="false">IF($K829="","",INDEX(Base!$J$5:$J$2004,$K829))</f>
        <v/>
      </c>
      <c r="I829" s="71" t="str">
        <f aca="false">IF($K829="","",INDEX(Base!$L$5:$L$2004,$K829))</f>
        <v/>
      </c>
      <c r="J829" s="72" t="str">
        <f aca="false">IFERROR(SMALL(Base!$P$5:$P$2004,ROW()-5),"")</f>
        <v/>
      </c>
      <c r="K829" s="72" t="str">
        <f aca="false">IF(J829="","",MATCH(J829,Base!$P$5:$P$2004,0))</f>
        <v/>
      </c>
    </row>
    <row r="830" customFormat="false" ht="15" hidden="false" customHeight="false" outlineLevel="0" collapsed="false">
      <c r="A830" s="67" t="str">
        <f aca="false">IF($K830="","",ROW()-5)</f>
        <v/>
      </c>
      <c r="B830" s="68" t="str">
        <f aca="false">IF($K830="","",INDEX(Base!$E$5:$E$2004,$K830))</f>
        <v/>
      </c>
      <c r="C830" s="69" t="str">
        <f aca="false">IF($K830="","",B830)</f>
        <v/>
      </c>
      <c r="D830" s="70" t="str">
        <f aca="false">IF($K830="","",INDEX(Base!$F$5:$F$2004,$K830))</f>
        <v/>
      </c>
      <c r="E830" s="70" t="str">
        <f aca="false">IF($K830="","",INDEX(Base!$G$5:$G$2004,$K830))</f>
        <v/>
      </c>
      <c r="F830" s="71" t="str">
        <f aca="false">IF($K830="","",INDEX(Base!$H$5:$H$2004,$K830))</f>
        <v/>
      </c>
      <c r="G830" s="71" t="str">
        <f aca="false">IF($K830="","",INDEX(Base!$I$5:$I$2004,$K830))</f>
        <v/>
      </c>
      <c r="H830" s="70" t="str">
        <f aca="false">IF($K830="","",INDEX(Base!$J$5:$J$2004,$K830))</f>
        <v/>
      </c>
      <c r="I830" s="71" t="str">
        <f aca="false">IF($K830="","",INDEX(Base!$L$5:$L$2004,$K830))</f>
        <v/>
      </c>
      <c r="J830" s="72" t="str">
        <f aca="false">IFERROR(SMALL(Base!$P$5:$P$2004,ROW()-5),"")</f>
        <v/>
      </c>
      <c r="K830" s="72" t="str">
        <f aca="false">IF(J830="","",MATCH(J830,Base!$P$5:$P$2004,0))</f>
        <v/>
      </c>
    </row>
    <row r="831" customFormat="false" ht="15" hidden="false" customHeight="false" outlineLevel="0" collapsed="false">
      <c r="A831" s="67" t="str">
        <f aca="false">IF($K831="","",ROW()-5)</f>
        <v/>
      </c>
      <c r="B831" s="68" t="str">
        <f aca="false">IF($K831="","",INDEX(Base!$E$5:$E$2004,$K831))</f>
        <v/>
      </c>
      <c r="C831" s="69" t="str">
        <f aca="false">IF($K831="","",B831)</f>
        <v/>
      </c>
      <c r="D831" s="70" t="str">
        <f aca="false">IF($K831="","",INDEX(Base!$F$5:$F$2004,$K831))</f>
        <v/>
      </c>
      <c r="E831" s="70" t="str">
        <f aca="false">IF($K831="","",INDEX(Base!$G$5:$G$2004,$K831))</f>
        <v/>
      </c>
      <c r="F831" s="71" t="str">
        <f aca="false">IF($K831="","",INDEX(Base!$H$5:$H$2004,$K831))</f>
        <v/>
      </c>
      <c r="G831" s="71" t="str">
        <f aca="false">IF($K831="","",INDEX(Base!$I$5:$I$2004,$K831))</f>
        <v/>
      </c>
      <c r="H831" s="70" t="str">
        <f aca="false">IF($K831="","",INDEX(Base!$J$5:$J$2004,$K831))</f>
        <v/>
      </c>
      <c r="I831" s="71" t="str">
        <f aca="false">IF($K831="","",INDEX(Base!$L$5:$L$2004,$K831))</f>
        <v/>
      </c>
      <c r="J831" s="72" t="str">
        <f aca="false">IFERROR(SMALL(Base!$P$5:$P$2004,ROW()-5),"")</f>
        <v/>
      </c>
      <c r="K831" s="72" t="str">
        <f aca="false">IF(J831="","",MATCH(J831,Base!$P$5:$P$2004,0))</f>
        <v/>
      </c>
    </row>
    <row r="832" customFormat="false" ht="15" hidden="false" customHeight="false" outlineLevel="0" collapsed="false">
      <c r="A832" s="67" t="str">
        <f aca="false">IF($K832="","",ROW()-5)</f>
        <v/>
      </c>
      <c r="B832" s="68" t="str">
        <f aca="false">IF($K832="","",INDEX(Base!$E$5:$E$2004,$K832))</f>
        <v/>
      </c>
      <c r="C832" s="69" t="str">
        <f aca="false">IF($K832="","",B832)</f>
        <v/>
      </c>
      <c r="D832" s="70" t="str">
        <f aca="false">IF($K832="","",INDEX(Base!$F$5:$F$2004,$K832))</f>
        <v/>
      </c>
      <c r="E832" s="70" t="str">
        <f aca="false">IF($K832="","",INDEX(Base!$G$5:$G$2004,$K832))</f>
        <v/>
      </c>
      <c r="F832" s="71" t="str">
        <f aca="false">IF($K832="","",INDEX(Base!$H$5:$H$2004,$K832))</f>
        <v/>
      </c>
      <c r="G832" s="71" t="str">
        <f aca="false">IF($K832="","",INDEX(Base!$I$5:$I$2004,$K832))</f>
        <v/>
      </c>
      <c r="H832" s="70" t="str">
        <f aca="false">IF($K832="","",INDEX(Base!$J$5:$J$2004,$K832))</f>
        <v/>
      </c>
      <c r="I832" s="71" t="str">
        <f aca="false">IF($K832="","",INDEX(Base!$L$5:$L$2004,$K832))</f>
        <v/>
      </c>
      <c r="J832" s="72" t="str">
        <f aca="false">IFERROR(SMALL(Base!$P$5:$P$2004,ROW()-5),"")</f>
        <v/>
      </c>
      <c r="K832" s="72" t="str">
        <f aca="false">IF(J832="","",MATCH(J832,Base!$P$5:$P$2004,0))</f>
        <v/>
      </c>
    </row>
    <row r="833" customFormat="false" ht="15" hidden="false" customHeight="false" outlineLevel="0" collapsed="false">
      <c r="A833" s="67" t="str">
        <f aca="false">IF($K833="","",ROW()-5)</f>
        <v/>
      </c>
      <c r="B833" s="68" t="str">
        <f aca="false">IF($K833="","",INDEX(Base!$E$5:$E$2004,$K833))</f>
        <v/>
      </c>
      <c r="C833" s="69" t="str">
        <f aca="false">IF($K833="","",B833)</f>
        <v/>
      </c>
      <c r="D833" s="70" t="str">
        <f aca="false">IF($K833="","",INDEX(Base!$F$5:$F$2004,$K833))</f>
        <v/>
      </c>
      <c r="E833" s="70" t="str">
        <f aca="false">IF($K833="","",INDEX(Base!$G$5:$G$2004,$K833))</f>
        <v/>
      </c>
      <c r="F833" s="71" t="str">
        <f aca="false">IF($K833="","",INDEX(Base!$H$5:$H$2004,$K833))</f>
        <v/>
      </c>
      <c r="G833" s="71" t="str">
        <f aca="false">IF($K833="","",INDEX(Base!$I$5:$I$2004,$K833))</f>
        <v/>
      </c>
      <c r="H833" s="70" t="str">
        <f aca="false">IF($K833="","",INDEX(Base!$J$5:$J$2004,$K833))</f>
        <v/>
      </c>
      <c r="I833" s="71" t="str">
        <f aca="false">IF($K833="","",INDEX(Base!$L$5:$L$2004,$K833))</f>
        <v/>
      </c>
      <c r="J833" s="72" t="str">
        <f aca="false">IFERROR(SMALL(Base!$P$5:$P$2004,ROW()-5),"")</f>
        <v/>
      </c>
      <c r="K833" s="72" t="str">
        <f aca="false">IF(J833="","",MATCH(J833,Base!$P$5:$P$2004,0))</f>
        <v/>
      </c>
    </row>
    <row r="834" customFormat="false" ht="15" hidden="false" customHeight="false" outlineLevel="0" collapsed="false">
      <c r="A834" s="67" t="str">
        <f aca="false">IF($K834="","",ROW()-5)</f>
        <v/>
      </c>
      <c r="B834" s="68" t="str">
        <f aca="false">IF($K834="","",INDEX(Base!$E$5:$E$2004,$K834))</f>
        <v/>
      </c>
      <c r="C834" s="69" t="str">
        <f aca="false">IF($K834="","",B834)</f>
        <v/>
      </c>
      <c r="D834" s="70" t="str">
        <f aca="false">IF($K834="","",INDEX(Base!$F$5:$F$2004,$K834))</f>
        <v/>
      </c>
      <c r="E834" s="70" t="str">
        <f aca="false">IF($K834="","",INDEX(Base!$G$5:$G$2004,$K834))</f>
        <v/>
      </c>
      <c r="F834" s="71" t="str">
        <f aca="false">IF($K834="","",INDEX(Base!$H$5:$H$2004,$K834))</f>
        <v/>
      </c>
      <c r="G834" s="71" t="str">
        <f aca="false">IF($K834="","",INDEX(Base!$I$5:$I$2004,$K834))</f>
        <v/>
      </c>
      <c r="H834" s="70" t="str">
        <f aca="false">IF($K834="","",INDEX(Base!$J$5:$J$2004,$K834))</f>
        <v/>
      </c>
      <c r="I834" s="71" t="str">
        <f aca="false">IF($K834="","",INDEX(Base!$L$5:$L$2004,$K834))</f>
        <v/>
      </c>
      <c r="J834" s="72" t="str">
        <f aca="false">IFERROR(SMALL(Base!$P$5:$P$2004,ROW()-5),"")</f>
        <v/>
      </c>
      <c r="K834" s="72" t="str">
        <f aca="false">IF(J834="","",MATCH(J834,Base!$P$5:$P$2004,0))</f>
        <v/>
      </c>
    </row>
    <row r="835" customFormat="false" ht="15" hidden="false" customHeight="false" outlineLevel="0" collapsed="false">
      <c r="A835" s="67" t="str">
        <f aca="false">IF($K835="","",ROW()-5)</f>
        <v/>
      </c>
      <c r="B835" s="68" t="str">
        <f aca="false">IF($K835="","",INDEX(Base!$E$5:$E$2004,$K835))</f>
        <v/>
      </c>
      <c r="C835" s="69" t="str">
        <f aca="false">IF($K835="","",B835)</f>
        <v/>
      </c>
      <c r="D835" s="70" t="str">
        <f aca="false">IF($K835="","",INDEX(Base!$F$5:$F$2004,$K835))</f>
        <v/>
      </c>
      <c r="E835" s="70" t="str">
        <f aca="false">IF($K835="","",INDEX(Base!$G$5:$G$2004,$K835))</f>
        <v/>
      </c>
      <c r="F835" s="71" t="str">
        <f aca="false">IF($K835="","",INDEX(Base!$H$5:$H$2004,$K835))</f>
        <v/>
      </c>
      <c r="G835" s="71" t="str">
        <f aca="false">IF($K835="","",INDEX(Base!$I$5:$I$2004,$K835))</f>
        <v/>
      </c>
      <c r="H835" s="70" t="str">
        <f aca="false">IF($K835="","",INDEX(Base!$J$5:$J$2004,$K835))</f>
        <v/>
      </c>
      <c r="I835" s="71" t="str">
        <f aca="false">IF($K835="","",INDEX(Base!$L$5:$L$2004,$K835))</f>
        <v/>
      </c>
      <c r="J835" s="72" t="str">
        <f aca="false">IFERROR(SMALL(Base!$P$5:$P$2004,ROW()-5),"")</f>
        <v/>
      </c>
      <c r="K835" s="72" t="str">
        <f aca="false">IF(J835="","",MATCH(J835,Base!$P$5:$P$2004,0))</f>
        <v/>
      </c>
    </row>
    <row r="836" customFormat="false" ht="15" hidden="false" customHeight="false" outlineLevel="0" collapsed="false">
      <c r="A836" s="67" t="str">
        <f aca="false">IF($K836="","",ROW()-5)</f>
        <v/>
      </c>
      <c r="B836" s="68" t="str">
        <f aca="false">IF($K836="","",INDEX(Base!$E$5:$E$2004,$K836))</f>
        <v/>
      </c>
      <c r="C836" s="69" t="str">
        <f aca="false">IF($K836="","",B836)</f>
        <v/>
      </c>
      <c r="D836" s="70" t="str">
        <f aca="false">IF($K836="","",INDEX(Base!$F$5:$F$2004,$K836))</f>
        <v/>
      </c>
      <c r="E836" s="70" t="str">
        <f aca="false">IF($K836="","",INDEX(Base!$G$5:$G$2004,$K836))</f>
        <v/>
      </c>
      <c r="F836" s="71" t="str">
        <f aca="false">IF($K836="","",INDEX(Base!$H$5:$H$2004,$K836))</f>
        <v/>
      </c>
      <c r="G836" s="71" t="str">
        <f aca="false">IF($K836="","",INDEX(Base!$I$5:$I$2004,$K836))</f>
        <v/>
      </c>
      <c r="H836" s="70" t="str">
        <f aca="false">IF($K836="","",INDEX(Base!$J$5:$J$2004,$K836))</f>
        <v/>
      </c>
      <c r="I836" s="71" t="str">
        <f aca="false">IF($K836="","",INDEX(Base!$L$5:$L$2004,$K836))</f>
        <v/>
      </c>
      <c r="J836" s="72" t="str">
        <f aca="false">IFERROR(SMALL(Base!$P$5:$P$2004,ROW()-5),"")</f>
        <v/>
      </c>
      <c r="K836" s="72" t="str">
        <f aca="false">IF(J836="","",MATCH(J836,Base!$P$5:$P$2004,0))</f>
        <v/>
      </c>
    </row>
    <row r="837" customFormat="false" ht="15" hidden="false" customHeight="false" outlineLevel="0" collapsed="false">
      <c r="A837" s="67" t="str">
        <f aca="false">IF($K837="","",ROW()-5)</f>
        <v/>
      </c>
      <c r="B837" s="68" t="str">
        <f aca="false">IF($K837="","",INDEX(Base!$E$5:$E$2004,$K837))</f>
        <v/>
      </c>
      <c r="C837" s="69" t="str">
        <f aca="false">IF($K837="","",B837)</f>
        <v/>
      </c>
      <c r="D837" s="70" t="str">
        <f aca="false">IF($K837="","",INDEX(Base!$F$5:$F$2004,$K837))</f>
        <v/>
      </c>
      <c r="E837" s="70" t="str">
        <f aca="false">IF($K837="","",INDEX(Base!$G$5:$G$2004,$K837))</f>
        <v/>
      </c>
      <c r="F837" s="71" t="str">
        <f aca="false">IF($K837="","",INDEX(Base!$H$5:$H$2004,$K837))</f>
        <v/>
      </c>
      <c r="G837" s="71" t="str">
        <f aca="false">IF($K837="","",INDEX(Base!$I$5:$I$2004,$K837))</f>
        <v/>
      </c>
      <c r="H837" s="70" t="str">
        <f aca="false">IF($K837="","",INDEX(Base!$J$5:$J$2004,$K837))</f>
        <v/>
      </c>
      <c r="I837" s="71" t="str">
        <f aca="false">IF($K837="","",INDEX(Base!$L$5:$L$2004,$K837))</f>
        <v/>
      </c>
      <c r="J837" s="72" t="str">
        <f aca="false">IFERROR(SMALL(Base!$P$5:$P$2004,ROW()-5),"")</f>
        <v/>
      </c>
      <c r="K837" s="72" t="str">
        <f aca="false">IF(J837="","",MATCH(J837,Base!$P$5:$P$2004,0))</f>
        <v/>
      </c>
    </row>
    <row r="838" customFormat="false" ht="15" hidden="false" customHeight="false" outlineLevel="0" collapsed="false">
      <c r="A838" s="67" t="str">
        <f aca="false">IF($K838="","",ROW()-5)</f>
        <v/>
      </c>
      <c r="B838" s="68" t="str">
        <f aca="false">IF($K838="","",INDEX(Base!$E$5:$E$2004,$K838))</f>
        <v/>
      </c>
      <c r="C838" s="69" t="str">
        <f aca="false">IF($K838="","",B838)</f>
        <v/>
      </c>
      <c r="D838" s="70" t="str">
        <f aca="false">IF($K838="","",INDEX(Base!$F$5:$F$2004,$K838))</f>
        <v/>
      </c>
      <c r="E838" s="70" t="str">
        <f aca="false">IF($K838="","",INDEX(Base!$G$5:$G$2004,$K838))</f>
        <v/>
      </c>
      <c r="F838" s="71" t="str">
        <f aca="false">IF($K838="","",INDEX(Base!$H$5:$H$2004,$K838))</f>
        <v/>
      </c>
      <c r="G838" s="71" t="str">
        <f aca="false">IF($K838="","",INDEX(Base!$I$5:$I$2004,$K838))</f>
        <v/>
      </c>
      <c r="H838" s="70" t="str">
        <f aca="false">IF($K838="","",INDEX(Base!$J$5:$J$2004,$K838))</f>
        <v/>
      </c>
      <c r="I838" s="71" t="str">
        <f aca="false">IF($K838="","",INDEX(Base!$L$5:$L$2004,$K838))</f>
        <v/>
      </c>
      <c r="J838" s="72" t="str">
        <f aca="false">IFERROR(SMALL(Base!$P$5:$P$2004,ROW()-5),"")</f>
        <v/>
      </c>
      <c r="K838" s="72" t="str">
        <f aca="false">IF(J838="","",MATCH(J838,Base!$P$5:$P$2004,0))</f>
        <v/>
      </c>
    </row>
    <row r="839" customFormat="false" ht="15" hidden="false" customHeight="false" outlineLevel="0" collapsed="false">
      <c r="A839" s="67" t="str">
        <f aca="false">IF($K839="","",ROW()-5)</f>
        <v/>
      </c>
      <c r="B839" s="68" t="str">
        <f aca="false">IF($K839="","",INDEX(Base!$E$5:$E$2004,$K839))</f>
        <v/>
      </c>
      <c r="C839" s="69" t="str">
        <f aca="false">IF($K839="","",B839)</f>
        <v/>
      </c>
      <c r="D839" s="70" t="str">
        <f aca="false">IF($K839="","",INDEX(Base!$F$5:$F$2004,$K839))</f>
        <v/>
      </c>
      <c r="E839" s="70" t="str">
        <f aca="false">IF($K839="","",INDEX(Base!$G$5:$G$2004,$K839))</f>
        <v/>
      </c>
      <c r="F839" s="71" t="str">
        <f aca="false">IF($K839="","",INDEX(Base!$H$5:$H$2004,$K839))</f>
        <v/>
      </c>
      <c r="G839" s="71" t="str">
        <f aca="false">IF($K839="","",INDEX(Base!$I$5:$I$2004,$K839))</f>
        <v/>
      </c>
      <c r="H839" s="70" t="str">
        <f aca="false">IF($K839="","",INDEX(Base!$J$5:$J$2004,$K839))</f>
        <v/>
      </c>
      <c r="I839" s="71" t="str">
        <f aca="false">IF($K839="","",INDEX(Base!$L$5:$L$2004,$K839))</f>
        <v/>
      </c>
      <c r="J839" s="72" t="str">
        <f aca="false">IFERROR(SMALL(Base!$P$5:$P$2004,ROW()-5),"")</f>
        <v/>
      </c>
      <c r="K839" s="72" t="str">
        <f aca="false">IF(J839="","",MATCH(J839,Base!$P$5:$P$2004,0))</f>
        <v/>
      </c>
    </row>
    <row r="840" customFormat="false" ht="15" hidden="false" customHeight="false" outlineLevel="0" collapsed="false">
      <c r="A840" s="67" t="str">
        <f aca="false">IF($K840="","",ROW()-5)</f>
        <v/>
      </c>
      <c r="B840" s="68" t="str">
        <f aca="false">IF($K840="","",INDEX(Base!$E$5:$E$2004,$K840))</f>
        <v/>
      </c>
      <c r="C840" s="69" t="str">
        <f aca="false">IF($K840="","",B840)</f>
        <v/>
      </c>
      <c r="D840" s="70" t="str">
        <f aca="false">IF($K840="","",INDEX(Base!$F$5:$F$2004,$K840))</f>
        <v/>
      </c>
      <c r="E840" s="70" t="str">
        <f aca="false">IF($K840="","",INDEX(Base!$G$5:$G$2004,$K840))</f>
        <v/>
      </c>
      <c r="F840" s="71" t="str">
        <f aca="false">IF($K840="","",INDEX(Base!$H$5:$H$2004,$K840))</f>
        <v/>
      </c>
      <c r="G840" s="71" t="str">
        <f aca="false">IF($K840="","",INDEX(Base!$I$5:$I$2004,$K840))</f>
        <v/>
      </c>
      <c r="H840" s="70" t="str">
        <f aca="false">IF($K840="","",INDEX(Base!$J$5:$J$2004,$K840))</f>
        <v/>
      </c>
      <c r="I840" s="71" t="str">
        <f aca="false">IF($K840="","",INDEX(Base!$L$5:$L$2004,$K840))</f>
        <v/>
      </c>
      <c r="J840" s="72" t="str">
        <f aca="false">IFERROR(SMALL(Base!$P$5:$P$2004,ROW()-5),"")</f>
        <v/>
      </c>
      <c r="K840" s="72" t="str">
        <f aca="false">IF(J840="","",MATCH(J840,Base!$P$5:$P$2004,0))</f>
        <v/>
      </c>
    </row>
    <row r="841" customFormat="false" ht="15" hidden="false" customHeight="false" outlineLevel="0" collapsed="false">
      <c r="A841" s="67" t="str">
        <f aca="false">IF($K841="","",ROW()-5)</f>
        <v/>
      </c>
      <c r="B841" s="68" t="str">
        <f aca="false">IF($K841="","",INDEX(Base!$E$5:$E$2004,$K841))</f>
        <v/>
      </c>
      <c r="C841" s="69" t="str">
        <f aca="false">IF($K841="","",B841)</f>
        <v/>
      </c>
      <c r="D841" s="70" t="str">
        <f aca="false">IF($K841="","",INDEX(Base!$F$5:$F$2004,$K841))</f>
        <v/>
      </c>
      <c r="E841" s="70" t="str">
        <f aca="false">IF($K841="","",INDEX(Base!$G$5:$G$2004,$K841))</f>
        <v/>
      </c>
      <c r="F841" s="71" t="str">
        <f aca="false">IF($K841="","",INDEX(Base!$H$5:$H$2004,$K841))</f>
        <v/>
      </c>
      <c r="G841" s="71" t="str">
        <f aca="false">IF($K841="","",INDEX(Base!$I$5:$I$2004,$K841))</f>
        <v/>
      </c>
      <c r="H841" s="70" t="str">
        <f aca="false">IF($K841="","",INDEX(Base!$J$5:$J$2004,$K841))</f>
        <v/>
      </c>
      <c r="I841" s="71" t="str">
        <f aca="false">IF($K841="","",INDEX(Base!$L$5:$L$2004,$K841))</f>
        <v/>
      </c>
      <c r="J841" s="72" t="str">
        <f aca="false">IFERROR(SMALL(Base!$P$5:$P$2004,ROW()-5),"")</f>
        <v/>
      </c>
      <c r="K841" s="72" t="str">
        <f aca="false">IF(J841="","",MATCH(J841,Base!$P$5:$P$2004,0))</f>
        <v/>
      </c>
    </row>
    <row r="842" customFormat="false" ht="15" hidden="false" customHeight="false" outlineLevel="0" collapsed="false">
      <c r="A842" s="67" t="str">
        <f aca="false">IF($K842="","",ROW()-5)</f>
        <v/>
      </c>
      <c r="B842" s="68" t="str">
        <f aca="false">IF($K842="","",INDEX(Base!$E$5:$E$2004,$K842))</f>
        <v/>
      </c>
      <c r="C842" s="69" t="str">
        <f aca="false">IF($K842="","",B842)</f>
        <v/>
      </c>
      <c r="D842" s="70" t="str">
        <f aca="false">IF($K842="","",INDEX(Base!$F$5:$F$2004,$K842))</f>
        <v/>
      </c>
      <c r="E842" s="70" t="str">
        <f aca="false">IF($K842="","",INDEX(Base!$G$5:$G$2004,$K842))</f>
        <v/>
      </c>
      <c r="F842" s="71" t="str">
        <f aca="false">IF($K842="","",INDEX(Base!$H$5:$H$2004,$K842))</f>
        <v/>
      </c>
      <c r="G842" s="71" t="str">
        <f aca="false">IF($K842="","",INDEX(Base!$I$5:$I$2004,$K842))</f>
        <v/>
      </c>
      <c r="H842" s="70" t="str">
        <f aca="false">IF($K842="","",INDEX(Base!$J$5:$J$2004,$K842))</f>
        <v/>
      </c>
      <c r="I842" s="71" t="str">
        <f aca="false">IF($K842="","",INDEX(Base!$L$5:$L$2004,$K842))</f>
        <v/>
      </c>
      <c r="J842" s="72" t="str">
        <f aca="false">IFERROR(SMALL(Base!$P$5:$P$2004,ROW()-5),"")</f>
        <v/>
      </c>
      <c r="K842" s="72" t="str">
        <f aca="false">IF(J842="","",MATCH(J842,Base!$P$5:$P$2004,0))</f>
        <v/>
      </c>
    </row>
    <row r="843" customFormat="false" ht="15" hidden="false" customHeight="false" outlineLevel="0" collapsed="false">
      <c r="A843" s="67" t="str">
        <f aca="false">IF($K843="","",ROW()-5)</f>
        <v/>
      </c>
      <c r="B843" s="68" t="str">
        <f aca="false">IF($K843="","",INDEX(Base!$E$5:$E$2004,$K843))</f>
        <v/>
      </c>
      <c r="C843" s="69" t="str">
        <f aca="false">IF($K843="","",B843)</f>
        <v/>
      </c>
      <c r="D843" s="70" t="str">
        <f aca="false">IF($K843="","",INDEX(Base!$F$5:$F$2004,$K843))</f>
        <v/>
      </c>
      <c r="E843" s="70" t="str">
        <f aca="false">IF($K843="","",INDEX(Base!$G$5:$G$2004,$K843))</f>
        <v/>
      </c>
      <c r="F843" s="71" t="str">
        <f aca="false">IF($K843="","",INDEX(Base!$H$5:$H$2004,$K843))</f>
        <v/>
      </c>
      <c r="G843" s="71" t="str">
        <f aca="false">IF($K843="","",INDEX(Base!$I$5:$I$2004,$K843))</f>
        <v/>
      </c>
      <c r="H843" s="70" t="str">
        <f aca="false">IF($K843="","",INDEX(Base!$J$5:$J$2004,$K843))</f>
        <v/>
      </c>
      <c r="I843" s="71" t="str">
        <f aca="false">IF($K843="","",INDEX(Base!$L$5:$L$2004,$K843))</f>
        <v/>
      </c>
      <c r="J843" s="72" t="str">
        <f aca="false">IFERROR(SMALL(Base!$P$5:$P$2004,ROW()-5),"")</f>
        <v/>
      </c>
      <c r="K843" s="72" t="str">
        <f aca="false">IF(J843="","",MATCH(J843,Base!$P$5:$P$2004,0))</f>
        <v/>
      </c>
    </row>
    <row r="844" customFormat="false" ht="15" hidden="false" customHeight="false" outlineLevel="0" collapsed="false">
      <c r="A844" s="67" t="str">
        <f aca="false">IF($K844="","",ROW()-5)</f>
        <v/>
      </c>
      <c r="B844" s="68" t="str">
        <f aca="false">IF($K844="","",INDEX(Base!$E$5:$E$2004,$K844))</f>
        <v/>
      </c>
      <c r="C844" s="69" t="str">
        <f aca="false">IF($K844="","",B844)</f>
        <v/>
      </c>
      <c r="D844" s="70" t="str">
        <f aca="false">IF($K844="","",INDEX(Base!$F$5:$F$2004,$K844))</f>
        <v/>
      </c>
      <c r="E844" s="70" t="str">
        <f aca="false">IF($K844="","",INDEX(Base!$G$5:$G$2004,$K844))</f>
        <v/>
      </c>
      <c r="F844" s="71" t="str">
        <f aca="false">IF($K844="","",INDEX(Base!$H$5:$H$2004,$K844))</f>
        <v/>
      </c>
      <c r="G844" s="71" t="str">
        <f aca="false">IF($K844="","",INDEX(Base!$I$5:$I$2004,$K844))</f>
        <v/>
      </c>
      <c r="H844" s="70" t="str">
        <f aca="false">IF($K844="","",INDEX(Base!$J$5:$J$2004,$K844))</f>
        <v/>
      </c>
      <c r="I844" s="71" t="str">
        <f aca="false">IF($K844="","",INDEX(Base!$L$5:$L$2004,$K844))</f>
        <v/>
      </c>
      <c r="J844" s="72" t="str">
        <f aca="false">IFERROR(SMALL(Base!$P$5:$P$2004,ROW()-5),"")</f>
        <v/>
      </c>
      <c r="K844" s="72" t="str">
        <f aca="false">IF(J844="","",MATCH(J844,Base!$P$5:$P$2004,0))</f>
        <v/>
      </c>
    </row>
    <row r="845" customFormat="false" ht="15" hidden="false" customHeight="false" outlineLevel="0" collapsed="false">
      <c r="A845" s="67" t="str">
        <f aca="false">IF($K845="","",ROW()-5)</f>
        <v/>
      </c>
      <c r="B845" s="68" t="str">
        <f aca="false">IF($K845="","",INDEX(Base!$E$5:$E$2004,$K845))</f>
        <v/>
      </c>
      <c r="C845" s="69" t="str">
        <f aca="false">IF($K845="","",B845)</f>
        <v/>
      </c>
      <c r="D845" s="70" t="str">
        <f aca="false">IF($K845="","",INDEX(Base!$F$5:$F$2004,$K845))</f>
        <v/>
      </c>
      <c r="E845" s="70" t="str">
        <f aca="false">IF($K845="","",INDEX(Base!$G$5:$G$2004,$K845))</f>
        <v/>
      </c>
      <c r="F845" s="71" t="str">
        <f aca="false">IF($K845="","",INDEX(Base!$H$5:$H$2004,$K845))</f>
        <v/>
      </c>
      <c r="G845" s="71" t="str">
        <f aca="false">IF($K845="","",INDEX(Base!$I$5:$I$2004,$K845))</f>
        <v/>
      </c>
      <c r="H845" s="70" t="str">
        <f aca="false">IF($K845="","",INDEX(Base!$J$5:$J$2004,$K845))</f>
        <v/>
      </c>
      <c r="I845" s="71" t="str">
        <f aca="false">IF($K845="","",INDEX(Base!$L$5:$L$2004,$K845))</f>
        <v/>
      </c>
      <c r="J845" s="72" t="str">
        <f aca="false">IFERROR(SMALL(Base!$P$5:$P$2004,ROW()-5),"")</f>
        <v/>
      </c>
      <c r="K845" s="72" t="str">
        <f aca="false">IF(J845="","",MATCH(J845,Base!$P$5:$P$2004,0))</f>
        <v/>
      </c>
    </row>
    <row r="846" customFormat="false" ht="15" hidden="false" customHeight="false" outlineLevel="0" collapsed="false">
      <c r="A846" s="67" t="str">
        <f aca="false">IF($K846="","",ROW()-5)</f>
        <v/>
      </c>
      <c r="B846" s="68" t="str">
        <f aca="false">IF($K846="","",INDEX(Base!$E$5:$E$2004,$K846))</f>
        <v/>
      </c>
      <c r="C846" s="69" t="str">
        <f aca="false">IF($K846="","",B846)</f>
        <v/>
      </c>
      <c r="D846" s="70" t="str">
        <f aca="false">IF($K846="","",INDEX(Base!$F$5:$F$2004,$K846))</f>
        <v/>
      </c>
      <c r="E846" s="70" t="str">
        <f aca="false">IF($K846="","",INDEX(Base!$G$5:$G$2004,$K846))</f>
        <v/>
      </c>
      <c r="F846" s="71" t="str">
        <f aca="false">IF($K846="","",INDEX(Base!$H$5:$H$2004,$K846))</f>
        <v/>
      </c>
      <c r="G846" s="71" t="str">
        <f aca="false">IF($K846="","",INDEX(Base!$I$5:$I$2004,$K846))</f>
        <v/>
      </c>
      <c r="H846" s="70" t="str">
        <f aca="false">IF($K846="","",INDEX(Base!$J$5:$J$2004,$K846))</f>
        <v/>
      </c>
      <c r="I846" s="71" t="str">
        <f aca="false">IF($K846="","",INDEX(Base!$L$5:$L$2004,$K846))</f>
        <v/>
      </c>
      <c r="J846" s="72" t="str">
        <f aca="false">IFERROR(SMALL(Base!$P$5:$P$2004,ROW()-5),"")</f>
        <v/>
      </c>
      <c r="K846" s="72" t="str">
        <f aca="false">IF(J846="","",MATCH(J846,Base!$P$5:$P$2004,0))</f>
        <v/>
      </c>
    </row>
    <row r="847" customFormat="false" ht="15" hidden="false" customHeight="false" outlineLevel="0" collapsed="false">
      <c r="A847" s="67" t="str">
        <f aca="false">IF($K847="","",ROW()-5)</f>
        <v/>
      </c>
      <c r="B847" s="68" t="str">
        <f aca="false">IF($K847="","",INDEX(Base!$E$5:$E$2004,$K847))</f>
        <v/>
      </c>
      <c r="C847" s="69" t="str">
        <f aca="false">IF($K847="","",B847)</f>
        <v/>
      </c>
      <c r="D847" s="70" t="str">
        <f aca="false">IF($K847="","",INDEX(Base!$F$5:$F$2004,$K847))</f>
        <v/>
      </c>
      <c r="E847" s="70" t="str">
        <f aca="false">IF($K847="","",INDEX(Base!$G$5:$G$2004,$K847))</f>
        <v/>
      </c>
      <c r="F847" s="71" t="str">
        <f aca="false">IF($K847="","",INDEX(Base!$H$5:$H$2004,$K847))</f>
        <v/>
      </c>
      <c r="G847" s="71" t="str">
        <f aca="false">IF($K847="","",INDEX(Base!$I$5:$I$2004,$K847))</f>
        <v/>
      </c>
      <c r="H847" s="70" t="str">
        <f aca="false">IF($K847="","",INDEX(Base!$J$5:$J$2004,$K847))</f>
        <v/>
      </c>
      <c r="I847" s="71" t="str">
        <f aca="false">IF($K847="","",INDEX(Base!$L$5:$L$2004,$K847))</f>
        <v/>
      </c>
      <c r="J847" s="72" t="str">
        <f aca="false">IFERROR(SMALL(Base!$P$5:$P$2004,ROW()-5),"")</f>
        <v/>
      </c>
      <c r="K847" s="72" t="str">
        <f aca="false">IF(J847="","",MATCH(J847,Base!$P$5:$P$2004,0))</f>
        <v/>
      </c>
    </row>
    <row r="848" customFormat="false" ht="15" hidden="false" customHeight="false" outlineLevel="0" collapsed="false">
      <c r="A848" s="67" t="str">
        <f aca="false">IF($K848="","",ROW()-5)</f>
        <v/>
      </c>
      <c r="B848" s="68" t="str">
        <f aca="false">IF($K848="","",INDEX(Base!$E$5:$E$2004,$K848))</f>
        <v/>
      </c>
      <c r="C848" s="69" t="str">
        <f aca="false">IF($K848="","",B848)</f>
        <v/>
      </c>
      <c r="D848" s="70" t="str">
        <f aca="false">IF($K848="","",INDEX(Base!$F$5:$F$2004,$K848))</f>
        <v/>
      </c>
      <c r="E848" s="70" t="str">
        <f aca="false">IF($K848="","",INDEX(Base!$G$5:$G$2004,$K848))</f>
        <v/>
      </c>
      <c r="F848" s="71" t="str">
        <f aca="false">IF($K848="","",INDEX(Base!$H$5:$H$2004,$K848))</f>
        <v/>
      </c>
      <c r="G848" s="71" t="str">
        <f aca="false">IF($K848="","",INDEX(Base!$I$5:$I$2004,$K848))</f>
        <v/>
      </c>
      <c r="H848" s="70" t="str">
        <f aca="false">IF($K848="","",INDEX(Base!$J$5:$J$2004,$K848))</f>
        <v/>
      </c>
      <c r="I848" s="71" t="str">
        <f aca="false">IF($K848="","",INDEX(Base!$L$5:$L$2004,$K848))</f>
        <v/>
      </c>
      <c r="J848" s="72" t="str">
        <f aca="false">IFERROR(SMALL(Base!$P$5:$P$2004,ROW()-5),"")</f>
        <v/>
      </c>
      <c r="K848" s="72" t="str">
        <f aca="false">IF(J848="","",MATCH(J848,Base!$P$5:$P$2004,0))</f>
        <v/>
      </c>
    </row>
    <row r="849" customFormat="false" ht="15" hidden="false" customHeight="false" outlineLevel="0" collapsed="false">
      <c r="A849" s="67" t="str">
        <f aca="false">IF($K849="","",ROW()-5)</f>
        <v/>
      </c>
      <c r="B849" s="68" t="str">
        <f aca="false">IF($K849="","",INDEX(Base!$E$5:$E$2004,$K849))</f>
        <v/>
      </c>
      <c r="C849" s="69" t="str">
        <f aca="false">IF($K849="","",B849)</f>
        <v/>
      </c>
      <c r="D849" s="70" t="str">
        <f aca="false">IF($K849="","",INDEX(Base!$F$5:$F$2004,$K849))</f>
        <v/>
      </c>
      <c r="E849" s="70" t="str">
        <f aca="false">IF($K849="","",INDEX(Base!$G$5:$G$2004,$K849))</f>
        <v/>
      </c>
      <c r="F849" s="71" t="str">
        <f aca="false">IF($K849="","",INDEX(Base!$H$5:$H$2004,$K849))</f>
        <v/>
      </c>
      <c r="G849" s="71" t="str">
        <f aca="false">IF($K849="","",INDEX(Base!$I$5:$I$2004,$K849))</f>
        <v/>
      </c>
      <c r="H849" s="70" t="str">
        <f aca="false">IF($K849="","",INDEX(Base!$J$5:$J$2004,$K849))</f>
        <v/>
      </c>
      <c r="I849" s="71" t="str">
        <f aca="false">IF($K849="","",INDEX(Base!$L$5:$L$2004,$K849))</f>
        <v/>
      </c>
      <c r="J849" s="72" t="str">
        <f aca="false">IFERROR(SMALL(Base!$P$5:$P$2004,ROW()-5),"")</f>
        <v/>
      </c>
      <c r="K849" s="72" t="str">
        <f aca="false">IF(J849="","",MATCH(J849,Base!$P$5:$P$2004,0))</f>
        <v/>
      </c>
    </row>
    <row r="850" customFormat="false" ht="15" hidden="false" customHeight="false" outlineLevel="0" collapsed="false">
      <c r="A850" s="67" t="str">
        <f aca="false">IF($K850="","",ROW()-5)</f>
        <v/>
      </c>
      <c r="B850" s="68" t="str">
        <f aca="false">IF($K850="","",INDEX(Base!$E$5:$E$2004,$K850))</f>
        <v/>
      </c>
      <c r="C850" s="69" t="str">
        <f aca="false">IF($K850="","",B850)</f>
        <v/>
      </c>
      <c r="D850" s="70" t="str">
        <f aca="false">IF($K850="","",INDEX(Base!$F$5:$F$2004,$K850))</f>
        <v/>
      </c>
      <c r="E850" s="70" t="str">
        <f aca="false">IF($K850="","",INDEX(Base!$G$5:$G$2004,$K850))</f>
        <v/>
      </c>
      <c r="F850" s="71" t="str">
        <f aca="false">IF($K850="","",INDEX(Base!$H$5:$H$2004,$K850))</f>
        <v/>
      </c>
      <c r="G850" s="71" t="str">
        <f aca="false">IF($K850="","",INDEX(Base!$I$5:$I$2004,$K850))</f>
        <v/>
      </c>
      <c r="H850" s="70" t="str">
        <f aca="false">IF($K850="","",INDEX(Base!$J$5:$J$2004,$K850))</f>
        <v/>
      </c>
      <c r="I850" s="71" t="str">
        <f aca="false">IF($K850="","",INDEX(Base!$L$5:$L$2004,$K850))</f>
        <v/>
      </c>
      <c r="J850" s="72" t="str">
        <f aca="false">IFERROR(SMALL(Base!$P$5:$P$2004,ROW()-5),"")</f>
        <v/>
      </c>
      <c r="K850" s="72" t="str">
        <f aca="false">IF(J850="","",MATCH(J850,Base!$P$5:$P$2004,0))</f>
        <v/>
      </c>
    </row>
    <row r="851" customFormat="false" ht="15" hidden="false" customHeight="false" outlineLevel="0" collapsed="false">
      <c r="A851" s="67" t="str">
        <f aca="false">IF($K851="","",ROW()-5)</f>
        <v/>
      </c>
      <c r="B851" s="68" t="str">
        <f aca="false">IF($K851="","",INDEX(Base!$E$5:$E$2004,$K851))</f>
        <v/>
      </c>
      <c r="C851" s="69" t="str">
        <f aca="false">IF($K851="","",B851)</f>
        <v/>
      </c>
      <c r="D851" s="70" t="str">
        <f aca="false">IF($K851="","",INDEX(Base!$F$5:$F$2004,$K851))</f>
        <v/>
      </c>
      <c r="E851" s="70" t="str">
        <f aca="false">IF($K851="","",INDEX(Base!$G$5:$G$2004,$K851))</f>
        <v/>
      </c>
      <c r="F851" s="71" t="str">
        <f aca="false">IF($K851="","",INDEX(Base!$H$5:$H$2004,$K851))</f>
        <v/>
      </c>
      <c r="G851" s="71" t="str">
        <f aca="false">IF($K851="","",INDEX(Base!$I$5:$I$2004,$K851))</f>
        <v/>
      </c>
      <c r="H851" s="70" t="str">
        <f aca="false">IF($K851="","",INDEX(Base!$J$5:$J$2004,$K851))</f>
        <v/>
      </c>
      <c r="I851" s="71" t="str">
        <f aca="false">IF($K851="","",INDEX(Base!$L$5:$L$2004,$K851))</f>
        <v/>
      </c>
      <c r="J851" s="72" t="str">
        <f aca="false">IFERROR(SMALL(Base!$P$5:$P$2004,ROW()-5),"")</f>
        <v/>
      </c>
      <c r="K851" s="72" t="str">
        <f aca="false">IF(J851="","",MATCH(J851,Base!$P$5:$P$2004,0))</f>
        <v/>
      </c>
    </row>
    <row r="852" customFormat="false" ht="15" hidden="false" customHeight="false" outlineLevel="0" collapsed="false">
      <c r="A852" s="67" t="str">
        <f aca="false">IF($K852="","",ROW()-5)</f>
        <v/>
      </c>
      <c r="B852" s="68" t="str">
        <f aca="false">IF($K852="","",INDEX(Base!$E$5:$E$2004,$K852))</f>
        <v/>
      </c>
      <c r="C852" s="69" t="str">
        <f aca="false">IF($K852="","",B852)</f>
        <v/>
      </c>
      <c r="D852" s="70" t="str">
        <f aca="false">IF($K852="","",INDEX(Base!$F$5:$F$2004,$K852))</f>
        <v/>
      </c>
      <c r="E852" s="70" t="str">
        <f aca="false">IF($K852="","",INDEX(Base!$G$5:$G$2004,$K852))</f>
        <v/>
      </c>
      <c r="F852" s="71" t="str">
        <f aca="false">IF($K852="","",INDEX(Base!$H$5:$H$2004,$K852))</f>
        <v/>
      </c>
      <c r="G852" s="71" t="str">
        <f aca="false">IF($K852="","",INDEX(Base!$I$5:$I$2004,$K852))</f>
        <v/>
      </c>
      <c r="H852" s="70" t="str">
        <f aca="false">IF($K852="","",INDEX(Base!$J$5:$J$2004,$K852))</f>
        <v/>
      </c>
      <c r="I852" s="71" t="str">
        <f aca="false">IF($K852="","",INDEX(Base!$L$5:$L$2004,$K852))</f>
        <v/>
      </c>
      <c r="J852" s="72" t="str">
        <f aca="false">IFERROR(SMALL(Base!$P$5:$P$2004,ROW()-5),"")</f>
        <v/>
      </c>
      <c r="K852" s="72" t="str">
        <f aca="false">IF(J852="","",MATCH(J852,Base!$P$5:$P$2004,0))</f>
        <v/>
      </c>
    </row>
    <row r="853" customFormat="false" ht="15" hidden="false" customHeight="false" outlineLevel="0" collapsed="false">
      <c r="A853" s="67" t="str">
        <f aca="false">IF($K853="","",ROW()-5)</f>
        <v/>
      </c>
      <c r="B853" s="68" t="str">
        <f aca="false">IF($K853="","",INDEX(Base!$E$5:$E$2004,$K853))</f>
        <v/>
      </c>
      <c r="C853" s="69" t="str">
        <f aca="false">IF($K853="","",B853)</f>
        <v/>
      </c>
      <c r="D853" s="70" t="str">
        <f aca="false">IF($K853="","",INDEX(Base!$F$5:$F$2004,$K853))</f>
        <v/>
      </c>
      <c r="E853" s="70" t="str">
        <f aca="false">IF($K853="","",INDEX(Base!$G$5:$G$2004,$K853))</f>
        <v/>
      </c>
      <c r="F853" s="71" t="str">
        <f aca="false">IF($K853="","",INDEX(Base!$H$5:$H$2004,$K853))</f>
        <v/>
      </c>
      <c r="G853" s="71" t="str">
        <f aca="false">IF($K853="","",INDEX(Base!$I$5:$I$2004,$K853))</f>
        <v/>
      </c>
      <c r="H853" s="70" t="str">
        <f aca="false">IF($K853="","",INDEX(Base!$J$5:$J$2004,$K853))</f>
        <v/>
      </c>
      <c r="I853" s="71" t="str">
        <f aca="false">IF($K853="","",INDEX(Base!$L$5:$L$2004,$K853))</f>
        <v/>
      </c>
      <c r="J853" s="72" t="str">
        <f aca="false">IFERROR(SMALL(Base!$P$5:$P$2004,ROW()-5),"")</f>
        <v/>
      </c>
      <c r="K853" s="72" t="str">
        <f aca="false">IF(J853="","",MATCH(J853,Base!$P$5:$P$2004,0))</f>
        <v/>
      </c>
    </row>
    <row r="854" customFormat="false" ht="15" hidden="false" customHeight="false" outlineLevel="0" collapsed="false">
      <c r="A854" s="67" t="str">
        <f aca="false">IF($K854="","",ROW()-5)</f>
        <v/>
      </c>
      <c r="B854" s="68" t="str">
        <f aca="false">IF($K854="","",INDEX(Base!$E$5:$E$2004,$K854))</f>
        <v/>
      </c>
      <c r="C854" s="69" t="str">
        <f aca="false">IF($K854="","",B854)</f>
        <v/>
      </c>
      <c r="D854" s="70" t="str">
        <f aca="false">IF($K854="","",INDEX(Base!$F$5:$F$2004,$K854))</f>
        <v/>
      </c>
      <c r="E854" s="70" t="str">
        <f aca="false">IF($K854="","",INDEX(Base!$G$5:$G$2004,$K854))</f>
        <v/>
      </c>
      <c r="F854" s="71" t="str">
        <f aca="false">IF($K854="","",INDEX(Base!$H$5:$H$2004,$K854))</f>
        <v/>
      </c>
      <c r="G854" s="71" t="str">
        <f aca="false">IF($K854="","",INDEX(Base!$I$5:$I$2004,$K854))</f>
        <v/>
      </c>
      <c r="H854" s="70" t="str">
        <f aca="false">IF($K854="","",INDEX(Base!$J$5:$J$2004,$K854))</f>
        <v/>
      </c>
      <c r="I854" s="71" t="str">
        <f aca="false">IF($K854="","",INDEX(Base!$L$5:$L$2004,$K854))</f>
        <v/>
      </c>
      <c r="J854" s="72" t="str">
        <f aca="false">IFERROR(SMALL(Base!$P$5:$P$2004,ROW()-5),"")</f>
        <v/>
      </c>
      <c r="K854" s="72" t="str">
        <f aca="false">IF(J854="","",MATCH(J854,Base!$P$5:$P$2004,0))</f>
        <v/>
      </c>
    </row>
    <row r="855" customFormat="false" ht="15" hidden="false" customHeight="false" outlineLevel="0" collapsed="false">
      <c r="A855" s="67" t="str">
        <f aca="false">IF($K855="","",ROW()-5)</f>
        <v/>
      </c>
      <c r="B855" s="68" t="str">
        <f aca="false">IF($K855="","",INDEX(Base!$E$5:$E$2004,$K855))</f>
        <v/>
      </c>
      <c r="C855" s="69" t="str">
        <f aca="false">IF($K855="","",B855)</f>
        <v/>
      </c>
      <c r="D855" s="70" t="str">
        <f aca="false">IF($K855="","",INDEX(Base!$F$5:$F$2004,$K855))</f>
        <v/>
      </c>
      <c r="E855" s="70" t="str">
        <f aca="false">IF($K855="","",INDEX(Base!$G$5:$G$2004,$K855))</f>
        <v/>
      </c>
      <c r="F855" s="71" t="str">
        <f aca="false">IF($K855="","",INDEX(Base!$H$5:$H$2004,$K855))</f>
        <v/>
      </c>
      <c r="G855" s="71" t="str">
        <f aca="false">IF($K855="","",INDEX(Base!$I$5:$I$2004,$K855))</f>
        <v/>
      </c>
      <c r="H855" s="70" t="str">
        <f aca="false">IF($K855="","",INDEX(Base!$J$5:$J$2004,$K855))</f>
        <v/>
      </c>
      <c r="I855" s="71" t="str">
        <f aca="false">IF($K855="","",INDEX(Base!$L$5:$L$2004,$K855))</f>
        <v/>
      </c>
      <c r="J855" s="72" t="str">
        <f aca="false">IFERROR(SMALL(Base!$P$5:$P$2004,ROW()-5),"")</f>
        <v/>
      </c>
      <c r="K855" s="72" t="str">
        <f aca="false">IF(J855="","",MATCH(J855,Base!$P$5:$P$2004,0))</f>
        <v/>
      </c>
    </row>
    <row r="856" customFormat="false" ht="15" hidden="false" customHeight="false" outlineLevel="0" collapsed="false">
      <c r="A856" s="67" t="str">
        <f aca="false">IF($K856="","",ROW()-5)</f>
        <v/>
      </c>
      <c r="B856" s="68" t="str">
        <f aca="false">IF($K856="","",INDEX(Base!$E$5:$E$2004,$K856))</f>
        <v/>
      </c>
      <c r="C856" s="69" t="str">
        <f aca="false">IF($K856="","",B856)</f>
        <v/>
      </c>
      <c r="D856" s="70" t="str">
        <f aca="false">IF($K856="","",INDEX(Base!$F$5:$F$2004,$K856))</f>
        <v/>
      </c>
      <c r="E856" s="70" t="str">
        <f aca="false">IF($K856="","",INDEX(Base!$G$5:$G$2004,$K856))</f>
        <v/>
      </c>
      <c r="F856" s="71" t="str">
        <f aca="false">IF($K856="","",INDEX(Base!$H$5:$H$2004,$K856))</f>
        <v/>
      </c>
      <c r="G856" s="71" t="str">
        <f aca="false">IF($K856="","",INDEX(Base!$I$5:$I$2004,$K856))</f>
        <v/>
      </c>
      <c r="H856" s="70" t="str">
        <f aca="false">IF($K856="","",INDEX(Base!$J$5:$J$2004,$K856))</f>
        <v/>
      </c>
      <c r="I856" s="71" t="str">
        <f aca="false">IF($K856="","",INDEX(Base!$L$5:$L$2004,$K856))</f>
        <v/>
      </c>
      <c r="J856" s="72" t="str">
        <f aca="false">IFERROR(SMALL(Base!$P$5:$P$2004,ROW()-5),"")</f>
        <v/>
      </c>
      <c r="K856" s="72" t="str">
        <f aca="false">IF(J856="","",MATCH(J856,Base!$P$5:$P$2004,0))</f>
        <v/>
      </c>
    </row>
    <row r="857" customFormat="false" ht="15" hidden="false" customHeight="false" outlineLevel="0" collapsed="false">
      <c r="A857" s="67" t="str">
        <f aca="false">IF($K857="","",ROW()-5)</f>
        <v/>
      </c>
      <c r="B857" s="68" t="str">
        <f aca="false">IF($K857="","",INDEX(Base!$E$5:$E$2004,$K857))</f>
        <v/>
      </c>
      <c r="C857" s="69" t="str">
        <f aca="false">IF($K857="","",B857)</f>
        <v/>
      </c>
      <c r="D857" s="70" t="str">
        <f aca="false">IF($K857="","",INDEX(Base!$F$5:$F$2004,$K857))</f>
        <v/>
      </c>
      <c r="E857" s="70" t="str">
        <f aca="false">IF($K857="","",INDEX(Base!$G$5:$G$2004,$K857))</f>
        <v/>
      </c>
      <c r="F857" s="71" t="str">
        <f aca="false">IF($K857="","",INDEX(Base!$H$5:$H$2004,$K857))</f>
        <v/>
      </c>
      <c r="G857" s="71" t="str">
        <f aca="false">IF($K857="","",INDEX(Base!$I$5:$I$2004,$K857))</f>
        <v/>
      </c>
      <c r="H857" s="70" t="str">
        <f aca="false">IF($K857="","",INDEX(Base!$J$5:$J$2004,$K857))</f>
        <v/>
      </c>
      <c r="I857" s="71" t="str">
        <f aca="false">IF($K857="","",INDEX(Base!$L$5:$L$2004,$K857))</f>
        <v/>
      </c>
      <c r="J857" s="72" t="str">
        <f aca="false">IFERROR(SMALL(Base!$P$5:$P$2004,ROW()-5),"")</f>
        <v/>
      </c>
      <c r="K857" s="72" t="str">
        <f aca="false">IF(J857="","",MATCH(J857,Base!$P$5:$P$2004,0))</f>
        <v/>
      </c>
    </row>
    <row r="858" customFormat="false" ht="15" hidden="false" customHeight="false" outlineLevel="0" collapsed="false">
      <c r="A858" s="67" t="str">
        <f aca="false">IF($K858="","",ROW()-5)</f>
        <v/>
      </c>
      <c r="B858" s="68" t="str">
        <f aca="false">IF($K858="","",INDEX(Base!$E$5:$E$2004,$K858))</f>
        <v/>
      </c>
      <c r="C858" s="69" t="str">
        <f aca="false">IF($K858="","",B858)</f>
        <v/>
      </c>
      <c r="D858" s="70" t="str">
        <f aca="false">IF($K858="","",INDEX(Base!$F$5:$F$2004,$K858))</f>
        <v/>
      </c>
      <c r="E858" s="70" t="str">
        <f aca="false">IF($K858="","",INDEX(Base!$G$5:$G$2004,$K858))</f>
        <v/>
      </c>
      <c r="F858" s="71" t="str">
        <f aca="false">IF($K858="","",INDEX(Base!$H$5:$H$2004,$K858))</f>
        <v/>
      </c>
      <c r="G858" s="71" t="str">
        <f aca="false">IF($K858="","",INDEX(Base!$I$5:$I$2004,$K858))</f>
        <v/>
      </c>
      <c r="H858" s="70" t="str">
        <f aca="false">IF($K858="","",INDEX(Base!$J$5:$J$2004,$K858))</f>
        <v/>
      </c>
      <c r="I858" s="71" t="str">
        <f aca="false">IF($K858="","",INDEX(Base!$L$5:$L$2004,$K858))</f>
        <v/>
      </c>
      <c r="J858" s="72" t="str">
        <f aca="false">IFERROR(SMALL(Base!$P$5:$P$2004,ROW()-5),"")</f>
        <v/>
      </c>
      <c r="K858" s="72" t="str">
        <f aca="false">IF(J858="","",MATCH(J858,Base!$P$5:$P$2004,0))</f>
        <v/>
      </c>
    </row>
    <row r="859" customFormat="false" ht="15" hidden="false" customHeight="false" outlineLevel="0" collapsed="false">
      <c r="A859" s="67" t="str">
        <f aca="false">IF($K859="","",ROW()-5)</f>
        <v/>
      </c>
      <c r="B859" s="68" t="str">
        <f aca="false">IF($K859="","",INDEX(Base!$E$5:$E$2004,$K859))</f>
        <v/>
      </c>
      <c r="C859" s="69" t="str">
        <f aca="false">IF($K859="","",B859)</f>
        <v/>
      </c>
      <c r="D859" s="70" t="str">
        <f aca="false">IF($K859="","",INDEX(Base!$F$5:$F$2004,$K859))</f>
        <v/>
      </c>
      <c r="E859" s="70" t="str">
        <f aca="false">IF($K859="","",INDEX(Base!$G$5:$G$2004,$K859))</f>
        <v/>
      </c>
      <c r="F859" s="71" t="str">
        <f aca="false">IF($K859="","",INDEX(Base!$H$5:$H$2004,$K859))</f>
        <v/>
      </c>
      <c r="G859" s="71" t="str">
        <f aca="false">IF($K859="","",INDEX(Base!$I$5:$I$2004,$K859))</f>
        <v/>
      </c>
      <c r="H859" s="70" t="str">
        <f aca="false">IF($K859="","",INDEX(Base!$J$5:$J$2004,$K859))</f>
        <v/>
      </c>
      <c r="I859" s="71" t="str">
        <f aca="false">IF($K859="","",INDEX(Base!$L$5:$L$2004,$K859))</f>
        <v/>
      </c>
      <c r="J859" s="72" t="str">
        <f aca="false">IFERROR(SMALL(Base!$P$5:$P$2004,ROW()-5),"")</f>
        <v/>
      </c>
      <c r="K859" s="72" t="str">
        <f aca="false">IF(J859="","",MATCH(J859,Base!$P$5:$P$2004,0))</f>
        <v/>
      </c>
    </row>
    <row r="860" customFormat="false" ht="15" hidden="false" customHeight="false" outlineLevel="0" collapsed="false">
      <c r="A860" s="67" t="str">
        <f aca="false">IF($K860="","",ROW()-5)</f>
        <v/>
      </c>
      <c r="B860" s="68" t="str">
        <f aca="false">IF($K860="","",INDEX(Base!$E$5:$E$2004,$K860))</f>
        <v/>
      </c>
      <c r="C860" s="69" t="str">
        <f aca="false">IF($K860="","",B860)</f>
        <v/>
      </c>
      <c r="D860" s="70" t="str">
        <f aca="false">IF($K860="","",INDEX(Base!$F$5:$F$2004,$K860))</f>
        <v/>
      </c>
      <c r="E860" s="70" t="str">
        <f aca="false">IF($K860="","",INDEX(Base!$G$5:$G$2004,$K860))</f>
        <v/>
      </c>
      <c r="F860" s="71" t="str">
        <f aca="false">IF($K860="","",INDEX(Base!$H$5:$H$2004,$K860))</f>
        <v/>
      </c>
      <c r="G860" s="71" t="str">
        <f aca="false">IF($K860="","",INDEX(Base!$I$5:$I$2004,$K860))</f>
        <v/>
      </c>
      <c r="H860" s="70" t="str">
        <f aca="false">IF($K860="","",INDEX(Base!$J$5:$J$2004,$K860))</f>
        <v/>
      </c>
      <c r="I860" s="71" t="str">
        <f aca="false">IF($K860="","",INDEX(Base!$L$5:$L$2004,$K860))</f>
        <v/>
      </c>
      <c r="J860" s="72" t="str">
        <f aca="false">IFERROR(SMALL(Base!$P$5:$P$2004,ROW()-5),"")</f>
        <v/>
      </c>
      <c r="K860" s="72" t="str">
        <f aca="false">IF(J860="","",MATCH(J860,Base!$P$5:$P$2004,0))</f>
        <v/>
      </c>
    </row>
    <row r="861" customFormat="false" ht="15" hidden="false" customHeight="false" outlineLevel="0" collapsed="false">
      <c r="A861" s="67" t="str">
        <f aca="false">IF($K861="","",ROW()-5)</f>
        <v/>
      </c>
      <c r="B861" s="68" t="str">
        <f aca="false">IF($K861="","",INDEX(Base!$E$5:$E$2004,$K861))</f>
        <v/>
      </c>
      <c r="C861" s="69" t="str">
        <f aca="false">IF($K861="","",B861)</f>
        <v/>
      </c>
      <c r="D861" s="70" t="str">
        <f aca="false">IF($K861="","",INDEX(Base!$F$5:$F$2004,$K861))</f>
        <v/>
      </c>
      <c r="E861" s="70" t="str">
        <f aca="false">IF($K861="","",INDEX(Base!$G$5:$G$2004,$K861))</f>
        <v/>
      </c>
      <c r="F861" s="71" t="str">
        <f aca="false">IF($K861="","",INDEX(Base!$H$5:$H$2004,$K861))</f>
        <v/>
      </c>
      <c r="G861" s="71" t="str">
        <f aca="false">IF($K861="","",INDEX(Base!$I$5:$I$2004,$K861))</f>
        <v/>
      </c>
      <c r="H861" s="70" t="str">
        <f aca="false">IF($K861="","",INDEX(Base!$J$5:$J$2004,$K861))</f>
        <v/>
      </c>
      <c r="I861" s="71" t="str">
        <f aca="false">IF($K861="","",INDEX(Base!$L$5:$L$2004,$K861))</f>
        <v/>
      </c>
      <c r="J861" s="72" t="str">
        <f aca="false">IFERROR(SMALL(Base!$P$5:$P$2004,ROW()-5),"")</f>
        <v/>
      </c>
      <c r="K861" s="72" t="str">
        <f aca="false">IF(J861="","",MATCH(J861,Base!$P$5:$P$2004,0))</f>
        <v/>
      </c>
    </row>
    <row r="862" customFormat="false" ht="15" hidden="false" customHeight="false" outlineLevel="0" collapsed="false">
      <c r="A862" s="67" t="str">
        <f aca="false">IF($K862="","",ROW()-5)</f>
        <v/>
      </c>
      <c r="B862" s="68" t="str">
        <f aca="false">IF($K862="","",INDEX(Base!$E$5:$E$2004,$K862))</f>
        <v/>
      </c>
      <c r="C862" s="69" t="str">
        <f aca="false">IF($K862="","",B862)</f>
        <v/>
      </c>
      <c r="D862" s="70" t="str">
        <f aca="false">IF($K862="","",INDEX(Base!$F$5:$F$2004,$K862))</f>
        <v/>
      </c>
      <c r="E862" s="70" t="str">
        <f aca="false">IF($K862="","",INDEX(Base!$G$5:$G$2004,$K862))</f>
        <v/>
      </c>
      <c r="F862" s="71" t="str">
        <f aca="false">IF($K862="","",INDEX(Base!$H$5:$H$2004,$K862))</f>
        <v/>
      </c>
      <c r="G862" s="71" t="str">
        <f aca="false">IF($K862="","",INDEX(Base!$I$5:$I$2004,$K862))</f>
        <v/>
      </c>
      <c r="H862" s="70" t="str">
        <f aca="false">IF($K862="","",INDEX(Base!$J$5:$J$2004,$K862))</f>
        <v/>
      </c>
      <c r="I862" s="71" t="str">
        <f aca="false">IF($K862="","",INDEX(Base!$L$5:$L$2004,$K862))</f>
        <v/>
      </c>
      <c r="J862" s="72" t="str">
        <f aca="false">IFERROR(SMALL(Base!$P$5:$P$2004,ROW()-5),"")</f>
        <v/>
      </c>
      <c r="K862" s="72" t="str">
        <f aca="false">IF(J862="","",MATCH(J862,Base!$P$5:$P$2004,0))</f>
        <v/>
      </c>
    </row>
    <row r="863" customFormat="false" ht="15" hidden="false" customHeight="false" outlineLevel="0" collapsed="false">
      <c r="A863" s="67" t="str">
        <f aca="false">IF($K863="","",ROW()-5)</f>
        <v/>
      </c>
      <c r="B863" s="68" t="str">
        <f aca="false">IF($K863="","",INDEX(Base!$E$5:$E$2004,$K863))</f>
        <v/>
      </c>
      <c r="C863" s="69" t="str">
        <f aca="false">IF($K863="","",B863)</f>
        <v/>
      </c>
      <c r="D863" s="70" t="str">
        <f aca="false">IF($K863="","",INDEX(Base!$F$5:$F$2004,$K863))</f>
        <v/>
      </c>
      <c r="E863" s="70" t="str">
        <f aca="false">IF($K863="","",INDEX(Base!$G$5:$G$2004,$K863))</f>
        <v/>
      </c>
      <c r="F863" s="71" t="str">
        <f aca="false">IF($K863="","",INDEX(Base!$H$5:$H$2004,$K863))</f>
        <v/>
      </c>
      <c r="G863" s="71" t="str">
        <f aca="false">IF($K863="","",INDEX(Base!$I$5:$I$2004,$K863))</f>
        <v/>
      </c>
      <c r="H863" s="70" t="str">
        <f aca="false">IF($K863="","",INDEX(Base!$J$5:$J$2004,$K863))</f>
        <v/>
      </c>
      <c r="I863" s="71" t="str">
        <f aca="false">IF($K863="","",INDEX(Base!$L$5:$L$2004,$K863))</f>
        <v/>
      </c>
      <c r="J863" s="72" t="str">
        <f aca="false">IFERROR(SMALL(Base!$P$5:$P$2004,ROW()-5),"")</f>
        <v/>
      </c>
      <c r="K863" s="72" t="str">
        <f aca="false">IF(J863="","",MATCH(J863,Base!$P$5:$P$2004,0))</f>
        <v/>
      </c>
    </row>
    <row r="864" customFormat="false" ht="15" hidden="false" customHeight="false" outlineLevel="0" collapsed="false">
      <c r="A864" s="67" t="str">
        <f aca="false">IF($K864="","",ROW()-5)</f>
        <v/>
      </c>
      <c r="B864" s="68" t="str">
        <f aca="false">IF($K864="","",INDEX(Base!$E$5:$E$2004,$K864))</f>
        <v/>
      </c>
      <c r="C864" s="69" t="str">
        <f aca="false">IF($K864="","",B864)</f>
        <v/>
      </c>
      <c r="D864" s="70" t="str">
        <f aca="false">IF($K864="","",INDEX(Base!$F$5:$F$2004,$K864))</f>
        <v/>
      </c>
      <c r="E864" s="70" t="str">
        <f aca="false">IF($K864="","",INDEX(Base!$G$5:$G$2004,$K864))</f>
        <v/>
      </c>
      <c r="F864" s="71" t="str">
        <f aca="false">IF($K864="","",INDEX(Base!$H$5:$H$2004,$K864))</f>
        <v/>
      </c>
      <c r="G864" s="71" t="str">
        <f aca="false">IF($K864="","",INDEX(Base!$I$5:$I$2004,$K864))</f>
        <v/>
      </c>
      <c r="H864" s="70" t="str">
        <f aca="false">IF($K864="","",INDEX(Base!$J$5:$J$2004,$K864))</f>
        <v/>
      </c>
      <c r="I864" s="71" t="str">
        <f aca="false">IF($K864="","",INDEX(Base!$L$5:$L$2004,$K864))</f>
        <v/>
      </c>
      <c r="J864" s="72" t="str">
        <f aca="false">IFERROR(SMALL(Base!$P$5:$P$2004,ROW()-5),"")</f>
        <v/>
      </c>
      <c r="K864" s="72" t="str">
        <f aca="false">IF(J864="","",MATCH(J864,Base!$P$5:$P$2004,0))</f>
        <v/>
      </c>
    </row>
    <row r="865" customFormat="false" ht="15" hidden="false" customHeight="false" outlineLevel="0" collapsed="false">
      <c r="A865" s="67" t="str">
        <f aca="false">IF($K865="","",ROW()-5)</f>
        <v/>
      </c>
      <c r="B865" s="68" t="str">
        <f aca="false">IF($K865="","",INDEX(Base!$E$5:$E$2004,$K865))</f>
        <v/>
      </c>
      <c r="C865" s="69" t="str">
        <f aca="false">IF($K865="","",B865)</f>
        <v/>
      </c>
      <c r="D865" s="70" t="str">
        <f aca="false">IF($K865="","",INDEX(Base!$F$5:$F$2004,$K865))</f>
        <v/>
      </c>
      <c r="E865" s="70" t="str">
        <f aca="false">IF($K865="","",INDEX(Base!$G$5:$G$2004,$K865))</f>
        <v/>
      </c>
      <c r="F865" s="71" t="str">
        <f aca="false">IF($K865="","",INDEX(Base!$H$5:$H$2004,$K865))</f>
        <v/>
      </c>
      <c r="G865" s="71" t="str">
        <f aca="false">IF($K865="","",INDEX(Base!$I$5:$I$2004,$K865))</f>
        <v/>
      </c>
      <c r="H865" s="70" t="str">
        <f aca="false">IF($K865="","",INDEX(Base!$J$5:$J$2004,$K865))</f>
        <v/>
      </c>
      <c r="I865" s="71" t="str">
        <f aca="false">IF($K865="","",INDEX(Base!$L$5:$L$2004,$K865))</f>
        <v/>
      </c>
      <c r="J865" s="72" t="str">
        <f aca="false">IFERROR(SMALL(Base!$P$5:$P$2004,ROW()-5),"")</f>
        <v/>
      </c>
      <c r="K865" s="72" t="str">
        <f aca="false">IF(J865="","",MATCH(J865,Base!$P$5:$P$2004,0))</f>
        <v/>
      </c>
    </row>
    <row r="866" customFormat="false" ht="15" hidden="false" customHeight="false" outlineLevel="0" collapsed="false">
      <c r="A866" s="67" t="str">
        <f aca="false">IF($K866="","",ROW()-5)</f>
        <v/>
      </c>
      <c r="B866" s="68" t="str">
        <f aca="false">IF($K866="","",INDEX(Base!$E$5:$E$2004,$K866))</f>
        <v/>
      </c>
      <c r="C866" s="69" t="str">
        <f aca="false">IF($K866="","",B866)</f>
        <v/>
      </c>
      <c r="D866" s="70" t="str">
        <f aca="false">IF($K866="","",INDEX(Base!$F$5:$F$2004,$K866))</f>
        <v/>
      </c>
      <c r="E866" s="70" t="str">
        <f aca="false">IF($K866="","",INDEX(Base!$G$5:$G$2004,$K866))</f>
        <v/>
      </c>
      <c r="F866" s="71" t="str">
        <f aca="false">IF($K866="","",INDEX(Base!$H$5:$H$2004,$K866))</f>
        <v/>
      </c>
      <c r="G866" s="71" t="str">
        <f aca="false">IF($K866="","",INDEX(Base!$I$5:$I$2004,$K866))</f>
        <v/>
      </c>
      <c r="H866" s="70" t="str">
        <f aca="false">IF($K866="","",INDEX(Base!$J$5:$J$2004,$K866))</f>
        <v/>
      </c>
      <c r="I866" s="71" t="str">
        <f aca="false">IF($K866="","",INDEX(Base!$L$5:$L$2004,$K866))</f>
        <v/>
      </c>
      <c r="J866" s="72" t="str">
        <f aca="false">IFERROR(SMALL(Base!$P$5:$P$2004,ROW()-5),"")</f>
        <v/>
      </c>
      <c r="K866" s="72" t="str">
        <f aca="false">IF(J866="","",MATCH(J866,Base!$P$5:$P$2004,0))</f>
        <v/>
      </c>
    </row>
    <row r="867" customFormat="false" ht="15" hidden="false" customHeight="false" outlineLevel="0" collapsed="false">
      <c r="A867" s="67" t="str">
        <f aca="false">IF($K867="","",ROW()-5)</f>
        <v/>
      </c>
      <c r="B867" s="68" t="str">
        <f aca="false">IF($K867="","",INDEX(Base!$E$5:$E$2004,$K867))</f>
        <v/>
      </c>
      <c r="C867" s="69" t="str">
        <f aca="false">IF($K867="","",B867)</f>
        <v/>
      </c>
      <c r="D867" s="70" t="str">
        <f aca="false">IF($K867="","",INDEX(Base!$F$5:$F$2004,$K867))</f>
        <v/>
      </c>
      <c r="E867" s="70" t="str">
        <f aca="false">IF($K867="","",INDEX(Base!$G$5:$G$2004,$K867))</f>
        <v/>
      </c>
      <c r="F867" s="71" t="str">
        <f aca="false">IF($K867="","",INDEX(Base!$H$5:$H$2004,$K867))</f>
        <v/>
      </c>
      <c r="G867" s="71" t="str">
        <f aca="false">IF($K867="","",INDEX(Base!$I$5:$I$2004,$K867))</f>
        <v/>
      </c>
      <c r="H867" s="70" t="str">
        <f aca="false">IF($K867="","",INDEX(Base!$J$5:$J$2004,$K867))</f>
        <v/>
      </c>
      <c r="I867" s="71" t="str">
        <f aca="false">IF($K867="","",INDEX(Base!$L$5:$L$2004,$K867))</f>
        <v/>
      </c>
      <c r="J867" s="72" t="str">
        <f aca="false">IFERROR(SMALL(Base!$P$5:$P$2004,ROW()-5),"")</f>
        <v/>
      </c>
      <c r="K867" s="72" t="str">
        <f aca="false">IF(J867="","",MATCH(J867,Base!$P$5:$P$2004,0))</f>
        <v/>
      </c>
    </row>
    <row r="868" customFormat="false" ht="15" hidden="false" customHeight="false" outlineLevel="0" collapsed="false">
      <c r="A868" s="67" t="str">
        <f aca="false">IF($K868="","",ROW()-5)</f>
        <v/>
      </c>
      <c r="B868" s="68" t="str">
        <f aca="false">IF($K868="","",INDEX(Base!$E$5:$E$2004,$K868))</f>
        <v/>
      </c>
      <c r="C868" s="69" t="str">
        <f aca="false">IF($K868="","",B868)</f>
        <v/>
      </c>
      <c r="D868" s="70" t="str">
        <f aca="false">IF($K868="","",INDEX(Base!$F$5:$F$2004,$K868))</f>
        <v/>
      </c>
      <c r="E868" s="70" t="str">
        <f aca="false">IF($K868="","",INDEX(Base!$G$5:$G$2004,$K868))</f>
        <v/>
      </c>
      <c r="F868" s="71" t="str">
        <f aca="false">IF($K868="","",INDEX(Base!$H$5:$H$2004,$K868))</f>
        <v/>
      </c>
      <c r="G868" s="71" t="str">
        <f aca="false">IF($K868="","",INDEX(Base!$I$5:$I$2004,$K868))</f>
        <v/>
      </c>
      <c r="H868" s="70" t="str">
        <f aca="false">IF($K868="","",INDEX(Base!$J$5:$J$2004,$K868))</f>
        <v/>
      </c>
      <c r="I868" s="71" t="str">
        <f aca="false">IF($K868="","",INDEX(Base!$L$5:$L$2004,$K868))</f>
        <v/>
      </c>
      <c r="J868" s="72" t="str">
        <f aca="false">IFERROR(SMALL(Base!$P$5:$P$2004,ROW()-5),"")</f>
        <v/>
      </c>
      <c r="K868" s="72" t="str">
        <f aca="false">IF(J868="","",MATCH(J868,Base!$P$5:$P$2004,0))</f>
        <v/>
      </c>
    </row>
    <row r="869" customFormat="false" ht="15" hidden="false" customHeight="false" outlineLevel="0" collapsed="false">
      <c r="A869" s="67" t="str">
        <f aca="false">IF($K869="","",ROW()-5)</f>
        <v/>
      </c>
      <c r="B869" s="68" t="str">
        <f aca="false">IF($K869="","",INDEX(Base!$E$5:$E$2004,$K869))</f>
        <v/>
      </c>
      <c r="C869" s="69" t="str">
        <f aca="false">IF($K869="","",B869)</f>
        <v/>
      </c>
      <c r="D869" s="70" t="str">
        <f aca="false">IF($K869="","",INDEX(Base!$F$5:$F$2004,$K869))</f>
        <v/>
      </c>
      <c r="E869" s="70" t="str">
        <f aca="false">IF($K869="","",INDEX(Base!$G$5:$G$2004,$K869))</f>
        <v/>
      </c>
      <c r="F869" s="71" t="str">
        <f aca="false">IF($K869="","",INDEX(Base!$H$5:$H$2004,$K869))</f>
        <v/>
      </c>
      <c r="G869" s="71" t="str">
        <f aca="false">IF($K869="","",INDEX(Base!$I$5:$I$2004,$K869))</f>
        <v/>
      </c>
      <c r="H869" s="70" t="str">
        <f aca="false">IF($K869="","",INDEX(Base!$J$5:$J$2004,$K869))</f>
        <v/>
      </c>
      <c r="I869" s="71" t="str">
        <f aca="false">IF($K869="","",INDEX(Base!$L$5:$L$2004,$K869))</f>
        <v/>
      </c>
      <c r="J869" s="72" t="str">
        <f aca="false">IFERROR(SMALL(Base!$P$5:$P$2004,ROW()-5),"")</f>
        <v/>
      </c>
      <c r="K869" s="72" t="str">
        <f aca="false">IF(J869="","",MATCH(J869,Base!$P$5:$P$2004,0))</f>
        <v/>
      </c>
    </row>
    <row r="870" customFormat="false" ht="15" hidden="false" customHeight="false" outlineLevel="0" collapsed="false">
      <c r="A870" s="67" t="str">
        <f aca="false">IF($K870="","",ROW()-5)</f>
        <v/>
      </c>
      <c r="B870" s="68" t="str">
        <f aca="false">IF($K870="","",INDEX(Base!$E$5:$E$2004,$K870))</f>
        <v/>
      </c>
      <c r="C870" s="69" t="str">
        <f aca="false">IF($K870="","",B870)</f>
        <v/>
      </c>
      <c r="D870" s="70" t="str">
        <f aca="false">IF($K870="","",INDEX(Base!$F$5:$F$2004,$K870))</f>
        <v/>
      </c>
      <c r="E870" s="70" t="str">
        <f aca="false">IF($K870="","",INDEX(Base!$G$5:$G$2004,$K870))</f>
        <v/>
      </c>
      <c r="F870" s="71" t="str">
        <f aca="false">IF($K870="","",INDEX(Base!$H$5:$H$2004,$K870))</f>
        <v/>
      </c>
      <c r="G870" s="71" t="str">
        <f aca="false">IF($K870="","",INDEX(Base!$I$5:$I$2004,$K870))</f>
        <v/>
      </c>
      <c r="H870" s="70" t="str">
        <f aca="false">IF($K870="","",INDEX(Base!$J$5:$J$2004,$K870))</f>
        <v/>
      </c>
      <c r="I870" s="71" t="str">
        <f aca="false">IF($K870="","",INDEX(Base!$L$5:$L$2004,$K870))</f>
        <v/>
      </c>
      <c r="J870" s="72" t="str">
        <f aca="false">IFERROR(SMALL(Base!$P$5:$P$2004,ROW()-5),"")</f>
        <v/>
      </c>
      <c r="K870" s="72" t="str">
        <f aca="false">IF(J870="","",MATCH(J870,Base!$P$5:$P$2004,0))</f>
        <v/>
      </c>
    </row>
    <row r="871" customFormat="false" ht="15" hidden="false" customHeight="false" outlineLevel="0" collapsed="false">
      <c r="A871" s="67" t="str">
        <f aca="false">IF($K871="","",ROW()-5)</f>
        <v/>
      </c>
      <c r="B871" s="68" t="str">
        <f aca="false">IF($K871="","",INDEX(Base!$E$5:$E$2004,$K871))</f>
        <v/>
      </c>
      <c r="C871" s="69" t="str">
        <f aca="false">IF($K871="","",B871)</f>
        <v/>
      </c>
      <c r="D871" s="70" t="str">
        <f aca="false">IF($K871="","",INDEX(Base!$F$5:$F$2004,$K871))</f>
        <v/>
      </c>
      <c r="E871" s="70" t="str">
        <f aca="false">IF($K871="","",INDEX(Base!$G$5:$G$2004,$K871))</f>
        <v/>
      </c>
      <c r="F871" s="71" t="str">
        <f aca="false">IF($K871="","",INDEX(Base!$H$5:$H$2004,$K871))</f>
        <v/>
      </c>
      <c r="G871" s="71" t="str">
        <f aca="false">IF($K871="","",INDEX(Base!$I$5:$I$2004,$K871))</f>
        <v/>
      </c>
      <c r="H871" s="70" t="str">
        <f aca="false">IF($K871="","",INDEX(Base!$J$5:$J$2004,$K871))</f>
        <v/>
      </c>
      <c r="I871" s="71" t="str">
        <f aca="false">IF($K871="","",INDEX(Base!$L$5:$L$2004,$K871))</f>
        <v/>
      </c>
      <c r="J871" s="72" t="str">
        <f aca="false">IFERROR(SMALL(Base!$P$5:$P$2004,ROW()-5),"")</f>
        <v/>
      </c>
      <c r="K871" s="72" t="str">
        <f aca="false">IF(J871="","",MATCH(J871,Base!$P$5:$P$2004,0))</f>
        <v/>
      </c>
    </row>
    <row r="872" customFormat="false" ht="15" hidden="false" customHeight="false" outlineLevel="0" collapsed="false">
      <c r="A872" s="67" t="str">
        <f aca="false">IF($K872="","",ROW()-5)</f>
        <v/>
      </c>
      <c r="B872" s="68" t="str">
        <f aca="false">IF($K872="","",INDEX(Base!$E$5:$E$2004,$K872))</f>
        <v/>
      </c>
      <c r="C872" s="69" t="str">
        <f aca="false">IF($K872="","",B872)</f>
        <v/>
      </c>
      <c r="D872" s="70" t="str">
        <f aca="false">IF($K872="","",INDEX(Base!$F$5:$F$2004,$K872))</f>
        <v/>
      </c>
      <c r="E872" s="70" t="str">
        <f aca="false">IF($K872="","",INDEX(Base!$G$5:$G$2004,$K872))</f>
        <v/>
      </c>
      <c r="F872" s="71" t="str">
        <f aca="false">IF($K872="","",INDEX(Base!$H$5:$H$2004,$K872))</f>
        <v/>
      </c>
      <c r="G872" s="71" t="str">
        <f aca="false">IF($K872="","",INDEX(Base!$I$5:$I$2004,$K872))</f>
        <v/>
      </c>
      <c r="H872" s="70" t="str">
        <f aca="false">IF($K872="","",INDEX(Base!$J$5:$J$2004,$K872))</f>
        <v/>
      </c>
      <c r="I872" s="71" t="str">
        <f aca="false">IF($K872="","",INDEX(Base!$L$5:$L$2004,$K872))</f>
        <v/>
      </c>
      <c r="J872" s="72" t="str">
        <f aca="false">IFERROR(SMALL(Base!$P$5:$P$2004,ROW()-5),"")</f>
        <v/>
      </c>
      <c r="K872" s="72" t="str">
        <f aca="false">IF(J872="","",MATCH(J872,Base!$P$5:$P$2004,0))</f>
        <v/>
      </c>
    </row>
    <row r="873" customFormat="false" ht="15" hidden="false" customHeight="false" outlineLevel="0" collapsed="false">
      <c r="A873" s="67" t="str">
        <f aca="false">IF($K873="","",ROW()-5)</f>
        <v/>
      </c>
      <c r="B873" s="68" t="str">
        <f aca="false">IF($K873="","",INDEX(Base!$E$5:$E$2004,$K873))</f>
        <v/>
      </c>
      <c r="C873" s="69" t="str">
        <f aca="false">IF($K873="","",B873)</f>
        <v/>
      </c>
      <c r="D873" s="70" t="str">
        <f aca="false">IF($K873="","",INDEX(Base!$F$5:$F$2004,$K873))</f>
        <v/>
      </c>
      <c r="E873" s="70" t="str">
        <f aca="false">IF($K873="","",INDEX(Base!$G$5:$G$2004,$K873))</f>
        <v/>
      </c>
      <c r="F873" s="71" t="str">
        <f aca="false">IF($K873="","",INDEX(Base!$H$5:$H$2004,$K873))</f>
        <v/>
      </c>
      <c r="G873" s="71" t="str">
        <f aca="false">IF($K873="","",INDEX(Base!$I$5:$I$2004,$K873))</f>
        <v/>
      </c>
      <c r="H873" s="70" t="str">
        <f aca="false">IF($K873="","",INDEX(Base!$J$5:$J$2004,$K873))</f>
        <v/>
      </c>
      <c r="I873" s="71" t="str">
        <f aca="false">IF($K873="","",INDEX(Base!$L$5:$L$2004,$K873))</f>
        <v/>
      </c>
      <c r="J873" s="72" t="str">
        <f aca="false">IFERROR(SMALL(Base!$P$5:$P$2004,ROW()-5),"")</f>
        <v/>
      </c>
      <c r="K873" s="72" t="str">
        <f aca="false">IF(J873="","",MATCH(J873,Base!$P$5:$P$2004,0))</f>
        <v/>
      </c>
    </row>
    <row r="874" customFormat="false" ht="15" hidden="false" customHeight="false" outlineLevel="0" collapsed="false">
      <c r="A874" s="67" t="str">
        <f aca="false">IF($K874="","",ROW()-5)</f>
        <v/>
      </c>
      <c r="B874" s="68" t="str">
        <f aca="false">IF($K874="","",INDEX(Base!$E$5:$E$2004,$K874))</f>
        <v/>
      </c>
      <c r="C874" s="69" t="str">
        <f aca="false">IF($K874="","",B874)</f>
        <v/>
      </c>
      <c r="D874" s="70" t="str">
        <f aca="false">IF($K874="","",INDEX(Base!$F$5:$F$2004,$K874))</f>
        <v/>
      </c>
      <c r="E874" s="70" t="str">
        <f aca="false">IF($K874="","",INDEX(Base!$G$5:$G$2004,$K874))</f>
        <v/>
      </c>
      <c r="F874" s="71" t="str">
        <f aca="false">IF($K874="","",INDEX(Base!$H$5:$H$2004,$K874))</f>
        <v/>
      </c>
      <c r="G874" s="71" t="str">
        <f aca="false">IF($K874="","",INDEX(Base!$I$5:$I$2004,$K874))</f>
        <v/>
      </c>
      <c r="H874" s="70" t="str">
        <f aca="false">IF($K874="","",INDEX(Base!$J$5:$J$2004,$K874))</f>
        <v/>
      </c>
      <c r="I874" s="71" t="str">
        <f aca="false">IF($K874="","",INDEX(Base!$L$5:$L$2004,$K874))</f>
        <v/>
      </c>
      <c r="J874" s="72" t="str">
        <f aca="false">IFERROR(SMALL(Base!$P$5:$P$2004,ROW()-5),"")</f>
        <v/>
      </c>
      <c r="K874" s="72" t="str">
        <f aca="false">IF(J874="","",MATCH(J874,Base!$P$5:$P$2004,0))</f>
        <v/>
      </c>
    </row>
    <row r="875" customFormat="false" ht="15" hidden="false" customHeight="false" outlineLevel="0" collapsed="false">
      <c r="A875" s="67" t="str">
        <f aca="false">IF($K875="","",ROW()-5)</f>
        <v/>
      </c>
      <c r="B875" s="68" t="str">
        <f aca="false">IF($K875="","",INDEX(Base!$E$5:$E$2004,$K875))</f>
        <v/>
      </c>
      <c r="C875" s="69" t="str">
        <f aca="false">IF($K875="","",B875)</f>
        <v/>
      </c>
      <c r="D875" s="70" t="str">
        <f aca="false">IF($K875="","",INDEX(Base!$F$5:$F$2004,$K875))</f>
        <v/>
      </c>
      <c r="E875" s="70" t="str">
        <f aca="false">IF($K875="","",INDEX(Base!$G$5:$G$2004,$K875))</f>
        <v/>
      </c>
      <c r="F875" s="71" t="str">
        <f aca="false">IF($K875="","",INDEX(Base!$H$5:$H$2004,$K875))</f>
        <v/>
      </c>
      <c r="G875" s="71" t="str">
        <f aca="false">IF($K875="","",INDEX(Base!$I$5:$I$2004,$K875))</f>
        <v/>
      </c>
      <c r="H875" s="70" t="str">
        <f aca="false">IF($K875="","",INDEX(Base!$J$5:$J$2004,$K875))</f>
        <v/>
      </c>
      <c r="I875" s="71" t="str">
        <f aca="false">IF($K875="","",INDEX(Base!$L$5:$L$2004,$K875))</f>
        <v/>
      </c>
      <c r="J875" s="72" t="str">
        <f aca="false">IFERROR(SMALL(Base!$P$5:$P$2004,ROW()-5),"")</f>
        <v/>
      </c>
      <c r="K875" s="72" t="str">
        <f aca="false">IF(J875="","",MATCH(J875,Base!$P$5:$P$2004,0))</f>
        <v/>
      </c>
    </row>
    <row r="876" customFormat="false" ht="15" hidden="false" customHeight="false" outlineLevel="0" collapsed="false">
      <c r="A876" s="67" t="str">
        <f aca="false">IF($K876="","",ROW()-5)</f>
        <v/>
      </c>
      <c r="B876" s="68" t="str">
        <f aca="false">IF($K876="","",INDEX(Base!$E$5:$E$2004,$K876))</f>
        <v/>
      </c>
      <c r="C876" s="69" t="str">
        <f aca="false">IF($K876="","",B876)</f>
        <v/>
      </c>
      <c r="D876" s="70" t="str">
        <f aca="false">IF($K876="","",INDEX(Base!$F$5:$F$2004,$K876))</f>
        <v/>
      </c>
      <c r="E876" s="70" t="str">
        <f aca="false">IF($K876="","",INDEX(Base!$G$5:$G$2004,$K876))</f>
        <v/>
      </c>
      <c r="F876" s="71" t="str">
        <f aca="false">IF($K876="","",INDEX(Base!$H$5:$H$2004,$K876))</f>
        <v/>
      </c>
      <c r="G876" s="71" t="str">
        <f aca="false">IF($K876="","",INDEX(Base!$I$5:$I$2004,$K876))</f>
        <v/>
      </c>
      <c r="H876" s="70" t="str">
        <f aca="false">IF($K876="","",INDEX(Base!$J$5:$J$2004,$K876))</f>
        <v/>
      </c>
      <c r="I876" s="71" t="str">
        <f aca="false">IF($K876="","",INDEX(Base!$L$5:$L$2004,$K876))</f>
        <v/>
      </c>
      <c r="J876" s="72" t="str">
        <f aca="false">IFERROR(SMALL(Base!$P$5:$P$2004,ROW()-5),"")</f>
        <v/>
      </c>
      <c r="K876" s="72" t="str">
        <f aca="false">IF(J876="","",MATCH(J876,Base!$P$5:$P$2004,0))</f>
        <v/>
      </c>
    </row>
    <row r="877" customFormat="false" ht="15" hidden="false" customHeight="false" outlineLevel="0" collapsed="false">
      <c r="A877" s="67" t="str">
        <f aca="false">IF($K877="","",ROW()-5)</f>
        <v/>
      </c>
      <c r="B877" s="68" t="str">
        <f aca="false">IF($K877="","",INDEX(Base!$E$5:$E$2004,$K877))</f>
        <v/>
      </c>
      <c r="C877" s="69" t="str">
        <f aca="false">IF($K877="","",B877)</f>
        <v/>
      </c>
      <c r="D877" s="70" t="str">
        <f aca="false">IF($K877="","",INDEX(Base!$F$5:$F$2004,$K877))</f>
        <v/>
      </c>
      <c r="E877" s="70" t="str">
        <f aca="false">IF($K877="","",INDEX(Base!$G$5:$G$2004,$K877))</f>
        <v/>
      </c>
      <c r="F877" s="71" t="str">
        <f aca="false">IF($K877="","",INDEX(Base!$H$5:$H$2004,$K877))</f>
        <v/>
      </c>
      <c r="G877" s="71" t="str">
        <f aca="false">IF($K877="","",INDEX(Base!$I$5:$I$2004,$K877))</f>
        <v/>
      </c>
      <c r="H877" s="70" t="str">
        <f aca="false">IF($K877="","",INDEX(Base!$J$5:$J$2004,$K877))</f>
        <v/>
      </c>
      <c r="I877" s="71" t="str">
        <f aca="false">IF($K877="","",INDEX(Base!$L$5:$L$2004,$K877))</f>
        <v/>
      </c>
      <c r="J877" s="72" t="str">
        <f aca="false">IFERROR(SMALL(Base!$P$5:$P$2004,ROW()-5),"")</f>
        <v/>
      </c>
      <c r="K877" s="72" t="str">
        <f aca="false">IF(J877="","",MATCH(J877,Base!$P$5:$P$2004,0))</f>
        <v/>
      </c>
    </row>
    <row r="878" customFormat="false" ht="15" hidden="false" customHeight="false" outlineLevel="0" collapsed="false">
      <c r="A878" s="67" t="str">
        <f aca="false">IF($K878="","",ROW()-5)</f>
        <v/>
      </c>
      <c r="B878" s="68" t="str">
        <f aca="false">IF($K878="","",INDEX(Base!$E$5:$E$2004,$K878))</f>
        <v/>
      </c>
      <c r="C878" s="69" t="str">
        <f aca="false">IF($K878="","",B878)</f>
        <v/>
      </c>
      <c r="D878" s="70" t="str">
        <f aca="false">IF($K878="","",INDEX(Base!$F$5:$F$2004,$K878))</f>
        <v/>
      </c>
      <c r="E878" s="70" t="str">
        <f aca="false">IF($K878="","",INDEX(Base!$G$5:$G$2004,$K878))</f>
        <v/>
      </c>
      <c r="F878" s="71" t="str">
        <f aca="false">IF($K878="","",INDEX(Base!$H$5:$H$2004,$K878))</f>
        <v/>
      </c>
      <c r="G878" s="71" t="str">
        <f aca="false">IF($K878="","",INDEX(Base!$I$5:$I$2004,$K878))</f>
        <v/>
      </c>
      <c r="H878" s="70" t="str">
        <f aca="false">IF($K878="","",INDEX(Base!$J$5:$J$2004,$K878))</f>
        <v/>
      </c>
      <c r="I878" s="71" t="str">
        <f aca="false">IF($K878="","",INDEX(Base!$L$5:$L$2004,$K878))</f>
        <v/>
      </c>
      <c r="J878" s="72" t="str">
        <f aca="false">IFERROR(SMALL(Base!$P$5:$P$2004,ROW()-5),"")</f>
        <v/>
      </c>
      <c r="K878" s="72" t="str">
        <f aca="false">IF(J878="","",MATCH(J878,Base!$P$5:$P$2004,0))</f>
        <v/>
      </c>
    </row>
    <row r="879" customFormat="false" ht="15" hidden="false" customHeight="false" outlineLevel="0" collapsed="false">
      <c r="A879" s="67" t="str">
        <f aca="false">IF($K879="","",ROW()-5)</f>
        <v/>
      </c>
      <c r="B879" s="68" t="str">
        <f aca="false">IF($K879="","",INDEX(Base!$E$5:$E$2004,$K879))</f>
        <v/>
      </c>
      <c r="C879" s="69" t="str">
        <f aca="false">IF($K879="","",B879)</f>
        <v/>
      </c>
      <c r="D879" s="70" t="str">
        <f aca="false">IF($K879="","",INDEX(Base!$F$5:$F$2004,$K879))</f>
        <v/>
      </c>
      <c r="E879" s="70" t="str">
        <f aca="false">IF($K879="","",INDEX(Base!$G$5:$G$2004,$K879))</f>
        <v/>
      </c>
      <c r="F879" s="71" t="str">
        <f aca="false">IF($K879="","",INDEX(Base!$H$5:$H$2004,$K879))</f>
        <v/>
      </c>
      <c r="G879" s="71" t="str">
        <f aca="false">IF($K879="","",INDEX(Base!$I$5:$I$2004,$K879))</f>
        <v/>
      </c>
      <c r="H879" s="70" t="str">
        <f aca="false">IF($K879="","",INDEX(Base!$J$5:$J$2004,$K879))</f>
        <v/>
      </c>
      <c r="I879" s="71" t="str">
        <f aca="false">IF($K879="","",INDEX(Base!$L$5:$L$2004,$K879))</f>
        <v/>
      </c>
      <c r="J879" s="72" t="str">
        <f aca="false">IFERROR(SMALL(Base!$P$5:$P$2004,ROW()-5),"")</f>
        <v/>
      </c>
      <c r="K879" s="72" t="str">
        <f aca="false">IF(J879="","",MATCH(J879,Base!$P$5:$P$2004,0))</f>
        <v/>
      </c>
    </row>
    <row r="880" customFormat="false" ht="15" hidden="false" customHeight="false" outlineLevel="0" collapsed="false">
      <c r="A880" s="67" t="str">
        <f aca="false">IF($K880="","",ROW()-5)</f>
        <v/>
      </c>
      <c r="B880" s="68" t="str">
        <f aca="false">IF($K880="","",INDEX(Base!$E$5:$E$2004,$K880))</f>
        <v/>
      </c>
      <c r="C880" s="69" t="str">
        <f aca="false">IF($K880="","",B880)</f>
        <v/>
      </c>
      <c r="D880" s="70" t="str">
        <f aca="false">IF($K880="","",INDEX(Base!$F$5:$F$2004,$K880))</f>
        <v/>
      </c>
      <c r="E880" s="70" t="str">
        <f aca="false">IF($K880="","",INDEX(Base!$G$5:$G$2004,$K880))</f>
        <v/>
      </c>
      <c r="F880" s="71" t="str">
        <f aca="false">IF($K880="","",INDEX(Base!$H$5:$H$2004,$K880))</f>
        <v/>
      </c>
      <c r="G880" s="71" t="str">
        <f aca="false">IF($K880="","",INDEX(Base!$I$5:$I$2004,$K880))</f>
        <v/>
      </c>
      <c r="H880" s="70" t="str">
        <f aca="false">IF($K880="","",INDEX(Base!$J$5:$J$2004,$K880))</f>
        <v/>
      </c>
      <c r="I880" s="71" t="str">
        <f aca="false">IF($K880="","",INDEX(Base!$L$5:$L$2004,$K880))</f>
        <v/>
      </c>
      <c r="J880" s="72" t="str">
        <f aca="false">IFERROR(SMALL(Base!$P$5:$P$2004,ROW()-5),"")</f>
        <v/>
      </c>
      <c r="K880" s="72" t="str">
        <f aca="false">IF(J880="","",MATCH(J880,Base!$P$5:$P$2004,0))</f>
        <v/>
      </c>
    </row>
    <row r="881" customFormat="false" ht="15" hidden="false" customHeight="false" outlineLevel="0" collapsed="false">
      <c r="A881" s="67" t="str">
        <f aca="false">IF($K881="","",ROW()-5)</f>
        <v/>
      </c>
      <c r="B881" s="68" t="str">
        <f aca="false">IF($K881="","",INDEX(Base!$E$5:$E$2004,$K881))</f>
        <v/>
      </c>
      <c r="C881" s="69" t="str">
        <f aca="false">IF($K881="","",B881)</f>
        <v/>
      </c>
      <c r="D881" s="70" t="str">
        <f aca="false">IF($K881="","",INDEX(Base!$F$5:$F$2004,$K881))</f>
        <v/>
      </c>
      <c r="E881" s="70" t="str">
        <f aca="false">IF($K881="","",INDEX(Base!$G$5:$G$2004,$K881))</f>
        <v/>
      </c>
      <c r="F881" s="71" t="str">
        <f aca="false">IF($K881="","",INDEX(Base!$H$5:$H$2004,$K881))</f>
        <v/>
      </c>
      <c r="G881" s="71" t="str">
        <f aca="false">IF($K881="","",INDEX(Base!$I$5:$I$2004,$K881))</f>
        <v/>
      </c>
      <c r="H881" s="70" t="str">
        <f aca="false">IF($K881="","",INDEX(Base!$J$5:$J$2004,$K881))</f>
        <v/>
      </c>
      <c r="I881" s="71" t="str">
        <f aca="false">IF($K881="","",INDEX(Base!$L$5:$L$2004,$K881))</f>
        <v/>
      </c>
      <c r="J881" s="72" t="str">
        <f aca="false">IFERROR(SMALL(Base!$P$5:$P$2004,ROW()-5),"")</f>
        <v/>
      </c>
      <c r="K881" s="72" t="str">
        <f aca="false">IF(J881="","",MATCH(J881,Base!$P$5:$P$2004,0))</f>
        <v/>
      </c>
    </row>
    <row r="882" customFormat="false" ht="15" hidden="false" customHeight="false" outlineLevel="0" collapsed="false">
      <c r="A882" s="67" t="str">
        <f aca="false">IF($K882="","",ROW()-5)</f>
        <v/>
      </c>
      <c r="B882" s="68" t="str">
        <f aca="false">IF($K882="","",INDEX(Base!$E$5:$E$2004,$K882))</f>
        <v/>
      </c>
      <c r="C882" s="69" t="str">
        <f aca="false">IF($K882="","",B882)</f>
        <v/>
      </c>
      <c r="D882" s="70" t="str">
        <f aca="false">IF($K882="","",INDEX(Base!$F$5:$F$2004,$K882))</f>
        <v/>
      </c>
      <c r="E882" s="70" t="str">
        <f aca="false">IF($K882="","",INDEX(Base!$G$5:$G$2004,$K882))</f>
        <v/>
      </c>
      <c r="F882" s="71" t="str">
        <f aca="false">IF($K882="","",INDEX(Base!$H$5:$H$2004,$K882))</f>
        <v/>
      </c>
      <c r="G882" s="71" t="str">
        <f aca="false">IF($K882="","",INDEX(Base!$I$5:$I$2004,$K882))</f>
        <v/>
      </c>
      <c r="H882" s="70" t="str">
        <f aca="false">IF($K882="","",INDEX(Base!$J$5:$J$2004,$K882))</f>
        <v/>
      </c>
      <c r="I882" s="71" t="str">
        <f aca="false">IF($K882="","",INDEX(Base!$L$5:$L$2004,$K882))</f>
        <v/>
      </c>
      <c r="J882" s="72" t="str">
        <f aca="false">IFERROR(SMALL(Base!$P$5:$P$2004,ROW()-5),"")</f>
        <v/>
      </c>
      <c r="K882" s="72" t="str">
        <f aca="false">IF(J882="","",MATCH(J882,Base!$P$5:$P$2004,0))</f>
        <v/>
      </c>
    </row>
    <row r="883" customFormat="false" ht="15" hidden="false" customHeight="false" outlineLevel="0" collapsed="false">
      <c r="A883" s="67" t="str">
        <f aca="false">IF($K883="","",ROW()-5)</f>
        <v/>
      </c>
      <c r="B883" s="68" t="str">
        <f aca="false">IF($K883="","",INDEX(Base!$E$5:$E$2004,$K883))</f>
        <v/>
      </c>
      <c r="C883" s="69" t="str">
        <f aca="false">IF($K883="","",B883)</f>
        <v/>
      </c>
      <c r="D883" s="70" t="str">
        <f aca="false">IF($K883="","",INDEX(Base!$F$5:$F$2004,$K883))</f>
        <v/>
      </c>
      <c r="E883" s="70" t="str">
        <f aca="false">IF($K883="","",INDEX(Base!$G$5:$G$2004,$K883))</f>
        <v/>
      </c>
      <c r="F883" s="71" t="str">
        <f aca="false">IF($K883="","",INDEX(Base!$H$5:$H$2004,$K883))</f>
        <v/>
      </c>
      <c r="G883" s="71" t="str">
        <f aca="false">IF($K883="","",INDEX(Base!$I$5:$I$2004,$K883))</f>
        <v/>
      </c>
      <c r="H883" s="70" t="str">
        <f aca="false">IF($K883="","",INDEX(Base!$J$5:$J$2004,$K883))</f>
        <v/>
      </c>
      <c r="I883" s="71" t="str">
        <f aca="false">IF($K883="","",INDEX(Base!$L$5:$L$2004,$K883))</f>
        <v/>
      </c>
      <c r="J883" s="72" t="str">
        <f aca="false">IFERROR(SMALL(Base!$P$5:$P$2004,ROW()-5),"")</f>
        <v/>
      </c>
      <c r="K883" s="72" t="str">
        <f aca="false">IF(J883="","",MATCH(J883,Base!$P$5:$P$2004,0))</f>
        <v/>
      </c>
    </row>
    <row r="884" customFormat="false" ht="15" hidden="false" customHeight="false" outlineLevel="0" collapsed="false">
      <c r="A884" s="67" t="str">
        <f aca="false">IF($K884="","",ROW()-5)</f>
        <v/>
      </c>
      <c r="B884" s="68" t="str">
        <f aca="false">IF($K884="","",INDEX(Base!$E$5:$E$2004,$K884))</f>
        <v/>
      </c>
      <c r="C884" s="69" t="str">
        <f aca="false">IF($K884="","",B884)</f>
        <v/>
      </c>
      <c r="D884" s="70" t="str">
        <f aca="false">IF($K884="","",INDEX(Base!$F$5:$F$2004,$K884))</f>
        <v/>
      </c>
      <c r="E884" s="70" t="str">
        <f aca="false">IF($K884="","",INDEX(Base!$G$5:$G$2004,$K884))</f>
        <v/>
      </c>
      <c r="F884" s="71" t="str">
        <f aca="false">IF($K884="","",INDEX(Base!$H$5:$H$2004,$K884))</f>
        <v/>
      </c>
      <c r="G884" s="71" t="str">
        <f aca="false">IF($K884="","",INDEX(Base!$I$5:$I$2004,$K884))</f>
        <v/>
      </c>
      <c r="H884" s="70" t="str">
        <f aca="false">IF($K884="","",INDEX(Base!$J$5:$J$2004,$K884))</f>
        <v/>
      </c>
      <c r="I884" s="71" t="str">
        <f aca="false">IF($K884="","",INDEX(Base!$L$5:$L$2004,$K884))</f>
        <v/>
      </c>
      <c r="J884" s="72" t="str">
        <f aca="false">IFERROR(SMALL(Base!$P$5:$P$2004,ROW()-5),"")</f>
        <v/>
      </c>
      <c r="K884" s="72" t="str">
        <f aca="false">IF(J884="","",MATCH(J884,Base!$P$5:$P$2004,0))</f>
        <v/>
      </c>
    </row>
    <row r="885" customFormat="false" ht="15" hidden="false" customHeight="false" outlineLevel="0" collapsed="false">
      <c r="A885" s="67" t="str">
        <f aca="false">IF($K885="","",ROW()-5)</f>
        <v/>
      </c>
      <c r="B885" s="68" t="str">
        <f aca="false">IF($K885="","",INDEX(Base!$E$5:$E$2004,$K885))</f>
        <v/>
      </c>
      <c r="C885" s="69" t="str">
        <f aca="false">IF($K885="","",B885)</f>
        <v/>
      </c>
      <c r="D885" s="70" t="str">
        <f aca="false">IF($K885="","",INDEX(Base!$F$5:$F$2004,$K885))</f>
        <v/>
      </c>
      <c r="E885" s="70" t="str">
        <f aca="false">IF($K885="","",INDEX(Base!$G$5:$G$2004,$K885))</f>
        <v/>
      </c>
      <c r="F885" s="71" t="str">
        <f aca="false">IF($K885="","",INDEX(Base!$H$5:$H$2004,$K885))</f>
        <v/>
      </c>
      <c r="G885" s="71" t="str">
        <f aca="false">IF($K885="","",INDEX(Base!$I$5:$I$2004,$K885))</f>
        <v/>
      </c>
      <c r="H885" s="70" t="str">
        <f aca="false">IF($K885="","",INDEX(Base!$J$5:$J$2004,$K885))</f>
        <v/>
      </c>
      <c r="I885" s="71" t="str">
        <f aca="false">IF($K885="","",INDEX(Base!$L$5:$L$2004,$K885))</f>
        <v/>
      </c>
      <c r="J885" s="72" t="str">
        <f aca="false">IFERROR(SMALL(Base!$P$5:$P$2004,ROW()-5),"")</f>
        <v/>
      </c>
      <c r="K885" s="72" t="str">
        <f aca="false">IF(J885="","",MATCH(J885,Base!$P$5:$P$2004,0))</f>
        <v/>
      </c>
    </row>
    <row r="886" customFormat="false" ht="15" hidden="false" customHeight="false" outlineLevel="0" collapsed="false">
      <c r="A886" s="67" t="str">
        <f aca="false">IF($K886="","",ROW()-5)</f>
        <v/>
      </c>
      <c r="B886" s="68" t="str">
        <f aca="false">IF($K886="","",INDEX(Base!$E$5:$E$2004,$K886))</f>
        <v/>
      </c>
      <c r="C886" s="69" t="str">
        <f aca="false">IF($K886="","",B886)</f>
        <v/>
      </c>
      <c r="D886" s="70" t="str">
        <f aca="false">IF($K886="","",INDEX(Base!$F$5:$F$2004,$K886))</f>
        <v/>
      </c>
      <c r="E886" s="70" t="str">
        <f aca="false">IF($K886="","",INDEX(Base!$G$5:$G$2004,$K886))</f>
        <v/>
      </c>
      <c r="F886" s="71" t="str">
        <f aca="false">IF($K886="","",INDEX(Base!$H$5:$H$2004,$K886))</f>
        <v/>
      </c>
      <c r="G886" s="71" t="str">
        <f aca="false">IF($K886="","",INDEX(Base!$I$5:$I$2004,$K886))</f>
        <v/>
      </c>
      <c r="H886" s="70" t="str">
        <f aca="false">IF($K886="","",INDEX(Base!$J$5:$J$2004,$K886))</f>
        <v/>
      </c>
      <c r="I886" s="71" t="str">
        <f aca="false">IF($K886="","",INDEX(Base!$L$5:$L$2004,$K886))</f>
        <v/>
      </c>
      <c r="J886" s="72" t="str">
        <f aca="false">IFERROR(SMALL(Base!$P$5:$P$2004,ROW()-5),"")</f>
        <v/>
      </c>
      <c r="K886" s="72" t="str">
        <f aca="false">IF(J886="","",MATCH(J886,Base!$P$5:$P$2004,0))</f>
        <v/>
      </c>
    </row>
    <row r="887" customFormat="false" ht="15" hidden="false" customHeight="false" outlineLevel="0" collapsed="false">
      <c r="A887" s="67" t="str">
        <f aca="false">IF($K887="","",ROW()-5)</f>
        <v/>
      </c>
      <c r="B887" s="68" t="str">
        <f aca="false">IF($K887="","",INDEX(Base!$E$5:$E$2004,$K887))</f>
        <v/>
      </c>
      <c r="C887" s="69" t="str">
        <f aca="false">IF($K887="","",B887)</f>
        <v/>
      </c>
      <c r="D887" s="70" t="str">
        <f aca="false">IF($K887="","",INDEX(Base!$F$5:$F$2004,$K887))</f>
        <v/>
      </c>
      <c r="E887" s="70" t="str">
        <f aca="false">IF($K887="","",INDEX(Base!$G$5:$G$2004,$K887))</f>
        <v/>
      </c>
      <c r="F887" s="71" t="str">
        <f aca="false">IF($K887="","",INDEX(Base!$H$5:$H$2004,$K887))</f>
        <v/>
      </c>
      <c r="G887" s="71" t="str">
        <f aca="false">IF($K887="","",INDEX(Base!$I$5:$I$2004,$K887))</f>
        <v/>
      </c>
      <c r="H887" s="70" t="str">
        <f aca="false">IF($K887="","",INDEX(Base!$J$5:$J$2004,$K887))</f>
        <v/>
      </c>
      <c r="I887" s="71" t="str">
        <f aca="false">IF($K887="","",INDEX(Base!$L$5:$L$2004,$K887))</f>
        <v/>
      </c>
      <c r="J887" s="72" t="str">
        <f aca="false">IFERROR(SMALL(Base!$P$5:$P$2004,ROW()-5),"")</f>
        <v/>
      </c>
      <c r="K887" s="72" t="str">
        <f aca="false">IF(J887="","",MATCH(J887,Base!$P$5:$P$2004,0))</f>
        <v/>
      </c>
    </row>
    <row r="888" customFormat="false" ht="15" hidden="false" customHeight="false" outlineLevel="0" collapsed="false">
      <c r="A888" s="67" t="str">
        <f aca="false">IF($K888="","",ROW()-5)</f>
        <v/>
      </c>
      <c r="B888" s="68" t="str">
        <f aca="false">IF($K888="","",INDEX(Base!$E$5:$E$2004,$K888))</f>
        <v/>
      </c>
      <c r="C888" s="69" t="str">
        <f aca="false">IF($K888="","",B888)</f>
        <v/>
      </c>
      <c r="D888" s="70" t="str">
        <f aca="false">IF($K888="","",INDEX(Base!$F$5:$F$2004,$K888))</f>
        <v/>
      </c>
      <c r="E888" s="70" t="str">
        <f aca="false">IF($K888="","",INDEX(Base!$G$5:$G$2004,$K888))</f>
        <v/>
      </c>
      <c r="F888" s="71" t="str">
        <f aca="false">IF($K888="","",INDEX(Base!$H$5:$H$2004,$K888))</f>
        <v/>
      </c>
      <c r="G888" s="71" t="str">
        <f aca="false">IF($K888="","",INDEX(Base!$I$5:$I$2004,$K888))</f>
        <v/>
      </c>
      <c r="H888" s="70" t="str">
        <f aca="false">IF($K888="","",INDEX(Base!$J$5:$J$2004,$K888))</f>
        <v/>
      </c>
      <c r="I888" s="71" t="str">
        <f aca="false">IF($K888="","",INDEX(Base!$L$5:$L$2004,$K888))</f>
        <v/>
      </c>
      <c r="J888" s="72" t="str">
        <f aca="false">IFERROR(SMALL(Base!$P$5:$P$2004,ROW()-5),"")</f>
        <v/>
      </c>
      <c r="K888" s="72" t="str">
        <f aca="false">IF(J888="","",MATCH(J888,Base!$P$5:$P$2004,0))</f>
        <v/>
      </c>
    </row>
    <row r="889" customFormat="false" ht="15" hidden="false" customHeight="false" outlineLevel="0" collapsed="false">
      <c r="A889" s="67" t="str">
        <f aca="false">IF($K889="","",ROW()-5)</f>
        <v/>
      </c>
      <c r="B889" s="68" t="str">
        <f aca="false">IF($K889="","",INDEX(Base!$E$5:$E$2004,$K889))</f>
        <v/>
      </c>
      <c r="C889" s="69" t="str">
        <f aca="false">IF($K889="","",B889)</f>
        <v/>
      </c>
      <c r="D889" s="70" t="str">
        <f aca="false">IF($K889="","",INDEX(Base!$F$5:$F$2004,$K889))</f>
        <v/>
      </c>
      <c r="E889" s="70" t="str">
        <f aca="false">IF($K889="","",INDEX(Base!$G$5:$G$2004,$K889))</f>
        <v/>
      </c>
      <c r="F889" s="71" t="str">
        <f aca="false">IF($K889="","",INDEX(Base!$H$5:$H$2004,$K889))</f>
        <v/>
      </c>
      <c r="G889" s="71" t="str">
        <f aca="false">IF($K889="","",INDEX(Base!$I$5:$I$2004,$K889))</f>
        <v/>
      </c>
      <c r="H889" s="70" t="str">
        <f aca="false">IF($K889="","",INDEX(Base!$J$5:$J$2004,$K889))</f>
        <v/>
      </c>
      <c r="I889" s="71" t="str">
        <f aca="false">IF($K889="","",INDEX(Base!$L$5:$L$2004,$K889))</f>
        <v/>
      </c>
      <c r="J889" s="72" t="str">
        <f aca="false">IFERROR(SMALL(Base!$P$5:$P$2004,ROW()-5),"")</f>
        <v/>
      </c>
      <c r="K889" s="72" t="str">
        <f aca="false">IF(J889="","",MATCH(J889,Base!$P$5:$P$2004,0))</f>
        <v/>
      </c>
    </row>
    <row r="890" customFormat="false" ht="15" hidden="false" customHeight="false" outlineLevel="0" collapsed="false">
      <c r="A890" s="67" t="str">
        <f aca="false">IF($K890="","",ROW()-5)</f>
        <v/>
      </c>
      <c r="B890" s="68" t="str">
        <f aca="false">IF($K890="","",INDEX(Base!$E$5:$E$2004,$K890))</f>
        <v/>
      </c>
      <c r="C890" s="69" t="str">
        <f aca="false">IF($K890="","",B890)</f>
        <v/>
      </c>
      <c r="D890" s="70" t="str">
        <f aca="false">IF($K890="","",INDEX(Base!$F$5:$F$2004,$K890))</f>
        <v/>
      </c>
      <c r="E890" s="70" t="str">
        <f aca="false">IF($K890="","",INDEX(Base!$G$5:$G$2004,$K890))</f>
        <v/>
      </c>
      <c r="F890" s="71" t="str">
        <f aca="false">IF($K890="","",INDEX(Base!$H$5:$H$2004,$K890))</f>
        <v/>
      </c>
      <c r="G890" s="71" t="str">
        <f aca="false">IF($K890="","",INDEX(Base!$I$5:$I$2004,$K890))</f>
        <v/>
      </c>
      <c r="H890" s="70" t="str">
        <f aca="false">IF($K890="","",INDEX(Base!$J$5:$J$2004,$K890))</f>
        <v/>
      </c>
      <c r="I890" s="71" t="str">
        <f aca="false">IF($K890="","",INDEX(Base!$L$5:$L$2004,$K890))</f>
        <v/>
      </c>
      <c r="J890" s="72" t="str">
        <f aca="false">IFERROR(SMALL(Base!$P$5:$P$2004,ROW()-5),"")</f>
        <v/>
      </c>
      <c r="K890" s="72" t="str">
        <f aca="false">IF(J890="","",MATCH(J890,Base!$P$5:$P$2004,0))</f>
        <v/>
      </c>
    </row>
    <row r="891" customFormat="false" ht="15" hidden="false" customHeight="false" outlineLevel="0" collapsed="false">
      <c r="A891" s="67" t="str">
        <f aca="false">IF($K891="","",ROW()-5)</f>
        <v/>
      </c>
      <c r="B891" s="68" t="str">
        <f aca="false">IF($K891="","",INDEX(Base!$E$5:$E$2004,$K891))</f>
        <v/>
      </c>
      <c r="C891" s="69" t="str">
        <f aca="false">IF($K891="","",B891)</f>
        <v/>
      </c>
      <c r="D891" s="70" t="str">
        <f aca="false">IF($K891="","",INDEX(Base!$F$5:$F$2004,$K891))</f>
        <v/>
      </c>
      <c r="E891" s="70" t="str">
        <f aca="false">IF($K891="","",INDEX(Base!$G$5:$G$2004,$K891))</f>
        <v/>
      </c>
      <c r="F891" s="71" t="str">
        <f aca="false">IF($K891="","",INDEX(Base!$H$5:$H$2004,$K891))</f>
        <v/>
      </c>
      <c r="G891" s="71" t="str">
        <f aca="false">IF($K891="","",INDEX(Base!$I$5:$I$2004,$K891))</f>
        <v/>
      </c>
      <c r="H891" s="70" t="str">
        <f aca="false">IF($K891="","",INDEX(Base!$J$5:$J$2004,$K891))</f>
        <v/>
      </c>
      <c r="I891" s="71" t="str">
        <f aca="false">IF($K891="","",INDEX(Base!$L$5:$L$2004,$K891))</f>
        <v/>
      </c>
      <c r="J891" s="72" t="str">
        <f aca="false">IFERROR(SMALL(Base!$P$5:$P$2004,ROW()-5),"")</f>
        <v/>
      </c>
      <c r="K891" s="72" t="str">
        <f aca="false">IF(J891="","",MATCH(J891,Base!$P$5:$P$2004,0))</f>
        <v/>
      </c>
    </row>
    <row r="892" customFormat="false" ht="15" hidden="false" customHeight="false" outlineLevel="0" collapsed="false">
      <c r="A892" s="67" t="str">
        <f aca="false">IF($K892="","",ROW()-5)</f>
        <v/>
      </c>
      <c r="B892" s="68" t="str">
        <f aca="false">IF($K892="","",INDEX(Base!$E$5:$E$2004,$K892))</f>
        <v/>
      </c>
      <c r="C892" s="69" t="str">
        <f aca="false">IF($K892="","",B892)</f>
        <v/>
      </c>
      <c r="D892" s="70" t="str">
        <f aca="false">IF($K892="","",INDEX(Base!$F$5:$F$2004,$K892))</f>
        <v/>
      </c>
      <c r="E892" s="70" t="str">
        <f aca="false">IF($K892="","",INDEX(Base!$G$5:$G$2004,$K892))</f>
        <v/>
      </c>
      <c r="F892" s="71" t="str">
        <f aca="false">IF($K892="","",INDEX(Base!$H$5:$H$2004,$K892))</f>
        <v/>
      </c>
      <c r="G892" s="71" t="str">
        <f aca="false">IF($K892="","",INDEX(Base!$I$5:$I$2004,$K892))</f>
        <v/>
      </c>
      <c r="H892" s="70" t="str">
        <f aca="false">IF($K892="","",INDEX(Base!$J$5:$J$2004,$K892))</f>
        <v/>
      </c>
      <c r="I892" s="71" t="str">
        <f aca="false">IF($K892="","",INDEX(Base!$L$5:$L$2004,$K892))</f>
        <v/>
      </c>
      <c r="J892" s="72" t="str">
        <f aca="false">IFERROR(SMALL(Base!$P$5:$P$2004,ROW()-5),"")</f>
        <v/>
      </c>
      <c r="K892" s="72" t="str">
        <f aca="false">IF(J892="","",MATCH(J892,Base!$P$5:$P$2004,0))</f>
        <v/>
      </c>
    </row>
    <row r="893" customFormat="false" ht="15" hidden="false" customHeight="false" outlineLevel="0" collapsed="false">
      <c r="A893" s="67" t="str">
        <f aca="false">IF($K893="","",ROW()-5)</f>
        <v/>
      </c>
      <c r="B893" s="68" t="str">
        <f aca="false">IF($K893="","",INDEX(Base!$E$5:$E$2004,$K893))</f>
        <v/>
      </c>
      <c r="C893" s="69" t="str">
        <f aca="false">IF($K893="","",B893)</f>
        <v/>
      </c>
      <c r="D893" s="70" t="str">
        <f aca="false">IF($K893="","",INDEX(Base!$F$5:$F$2004,$K893))</f>
        <v/>
      </c>
      <c r="E893" s="70" t="str">
        <f aca="false">IF($K893="","",INDEX(Base!$G$5:$G$2004,$K893))</f>
        <v/>
      </c>
      <c r="F893" s="71" t="str">
        <f aca="false">IF($K893="","",INDEX(Base!$H$5:$H$2004,$K893))</f>
        <v/>
      </c>
      <c r="G893" s="71" t="str">
        <f aca="false">IF($K893="","",INDEX(Base!$I$5:$I$2004,$K893))</f>
        <v/>
      </c>
      <c r="H893" s="70" t="str">
        <f aca="false">IF($K893="","",INDEX(Base!$J$5:$J$2004,$K893))</f>
        <v/>
      </c>
      <c r="I893" s="71" t="str">
        <f aca="false">IF($K893="","",INDEX(Base!$L$5:$L$2004,$K893))</f>
        <v/>
      </c>
      <c r="J893" s="72" t="str">
        <f aca="false">IFERROR(SMALL(Base!$P$5:$P$2004,ROW()-5),"")</f>
        <v/>
      </c>
      <c r="K893" s="72" t="str">
        <f aca="false">IF(J893="","",MATCH(J893,Base!$P$5:$P$2004,0))</f>
        <v/>
      </c>
    </row>
    <row r="894" customFormat="false" ht="15" hidden="false" customHeight="false" outlineLevel="0" collapsed="false">
      <c r="A894" s="67" t="str">
        <f aca="false">IF($K894="","",ROW()-5)</f>
        <v/>
      </c>
      <c r="B894" s="68" t="str">
        <f aca="false">IF($K894="","",INDEX(Base!$E$5:$E$2004,$K894))</f>
        <v/>
      </c>
      <c r="C894" s="69" t="str">
        <f aca="false">IF($K894="","",B894)</f>
        <v/>
      </c>
      <c r="D894" s="70" t="str">
        <f aca="false">IF($K894="","",INDEX(Base!$F$5:$F$2004,$K894))</f>
        <v/>
      </c>
      <c r="E894" s="70" t="str">
        <f aca="false">IF($K894="","",INDEX(Base!$G$5:$G$2004,$K894))</f>
        <v/>
      </c>
      <c r="F894" s="71" t="str">
        <f aca="false">IF($K894="","",INDEX(Base!$H$5:$H$2004,$K894))</f>
        <v/>
      </c>
      <c r="G894" s="71" t="str">
        <f aca="false">IF($K894="","",INDEX(Base!$I$5:$I$2004,$K894))</f>
        <v/>
      </c>
      <c r="H894" s="70" t="str">
        <f aca="false">IF($K894="","",INDEX(Base!$J$5:$J$2004,$K894))</f>
        <v/>
      </c>
      <c r="I894" s="71" t="str">
        <f aca="false">IF($K894="","",INDEX(Base!$L$5:$L$2004,$K894))</f>
        <v/>
      </c>
      <c r="J894" s="72" t="str">
        <f aca="false">IFERROR(SMALL(Base!$P$5:$P$2004,ROW()-5),"")</f>
        <v/>
      </c>
      <c r="K894" s="72" t="str">
        <f aca="false">IF(J894="","",MATCH(J894,Base!$P$5:$P$2004,0))</f>
        <v/>
      </c>
    </row>
    <row r="895" customFormat="false" ht="15" hidden="false" customHeight="false" outlineLevel="0" collapsed="false">
      <c r="A895" s="67" t="str">
        <f aca="false">IF($K895="","",ROW()-5)</f>
        <v/>
      </c>
      <c r="B895" s="68" t="str">
        <f aca="false">IF($K895="","",INDEX(Base!$E$5:$E$2004,$K895))</f>
        <v/>
      </c>
      <c r="C895" s="69" t="str">
        <f aca="false">IF($K895="","",B895)</f>
        <v/>
      </c>
      <c r="D895" s="70" t="str">
        <f aca="false">IF($K895="","",INDEX(Base!$F$5:$F$2004,$K895))</f>
        <v/>
      </c>
      <c r="E895" s="70" t="str">
        <f aca="false">IF($K895="","",INDEX(Base!$G$5:$G$2004,$K895))</f>
        <v/>
      </c>
      <c r="F895" s="71" t="str">
        <f aca="false">IF($K895="","",INDEX(Base!$H$5:$H$2004,$K895))</f>
        <v/>
      </c>
      <c r="G895" s="71" t="str">
        <f aca="false">IF($K895="","",INDEX(Base!$I$5:$I$2004,$K895))</f>
        <v/>
      </c>
      <c r="H895" s="70" t="str">
        <f aca="false">IF($K895="","",INDEX(Base!$J$5:$J$2004,$K895))</f>
        <v/>
      </c>
      <c r="I895" s="71" t="str">
        <f aca="false">IF($K895="","",INDEX(Base!$L$5:$L$2004,$K895))</f>
        <v/>
      </c>
      <c r="J895" s="72" t="str">
        <f aca="false">IFERROR(SMALL(Base!$P$5:$P$2004,ROW()-5),"")</f>
        <v/>
      </c>
      <c r="K895" s="72" t="str">
        <f aca="false">IF(J895="","",MATCH(J895,Base!$P$5:$P$2004,0))</f>
        <v/>
      </c>
    </row>
    <row r="896" customFormat="false" ht="15" hidden="false" customHeight="false" outlineLevel="0" collapsed="false">
      <c r="A896" s="67" t="str">
        <f aca="false">IF($K896="","",ROW()-5)</f>
        <v/>
      </c>
      <c r="B896" s="68" t="str">
        <f aca="false">IF($K896="","",INDEX(Base!$E$5:$E$2004,$K896))</f>
        <v/>
      </c>
      <c r="C896" s="69" t="str">
        <f aca="false">IF($K896="","",B896)</f>
        <v/>
      </c>
      <c r="D896" s="70" t="str">
        <f aca="false">IF($K896="","",INDEX(Base!$F$5:$F$2004,$K896))</f>
        <v/>
      </c>
      <c r="E896" s="70" t="str">
        <f aca="false">IF($K896="","",INDEX(Base!$G$5:$G$2004,$K896))</f>
        <v/>
      </c>
      <c r="F896" s="71" t="str">
        <f aca="false">IF($K896="","",INDEX(Base!$H$5:$H$2004,$K896))</f>
        <v/>
      </c>
      <c r="G896" s="71" t="str">
        <f aca="false">IF($K896="","",INDEX(Base!$I$5:$I$2004,$K896))</f>
        <v/>
      </c>
      <c r="H896" s="70" t="str">
        <f aca="false">IF($K896="","",INDEX(Base!$J$5:$J$2004,$K896))</f>
        <v/>
      </c>
      <c r="I896" s="71" t="str">
        <f aca="false">IF($K896="","",INDEX(Base!$L$5:$L$2004,$K896))</f>
        <v/>
      </c>
      <c r="J896" s="72" t="str">
        <f aca="false">IFERROR(SMALL(Base!$P$5:$P$2004,ROW()-5),"")</f>
        <v/>
      </c>
      <c r="K896" s="72" t="str">
        <f aca="false">IF(J896="","",MATCH(J896,Base!$P$5:$P$2004,0))</f>
        <v/>
      </c>
    </row>
    <row r="897" customFormat="false" ht="15" hidden="false" customHeight="false" outlineLevel="0" collapsed="false">
      <c r="A897" s="67" t="str">
        <f aca="false">IF($K897="","",ROW()-5)</f>
        <v/>
      </c>
      <c r="B897" s="68" t="str">
        <f aca="false">IF($K897="","",INDEX(Base!$E$5:$E$2004,$K897))</f>
        <v/>
      </c>
      <c r="C897" s="69" t="str">
        <f aca="false">IF($K897="","",B897)</f>
        <v/>
      </c>
      <c r="D897" s="70" t="str">
        <f aca="false">IF($K897="","",INDEX(Base!$F$5:$F$2004,$K897))</f>
        <v/>
      </c>
      <c r="E897" s="70" t="str">
        <f aca="false">IF($K897="","",INDEX(Base!$G$5:$G$2004,$K897))</f>
        <v/>
      </c>
      <c r="F897" s="71" t="str">
        <f aca="false">IF($K897="","",INDEX(Base!$H$5:$H$2004,$K897))</f>
        <v/>
      </c>
      <c r="G897" s="71" t="str">
        <f aca="false">IF($K897="","",INDEX(Base!$I$5:$I$2004,$K897))</f>
        <v/>
      </c>
      <c r="H897" s="70" t="str">
        <f aca="false">IF($K897="","",INDEX(Base!$J$5:$J$2004,$K897))</f>
        <v/>
      </c>
      <c r="I897" s="71" t="str">
        <f aca="false">IF($K897="","",INDEX(Base!$L$5:$L$2004,$K897))</f>
        <v/>
      </c>
      <c r="J897" s="72" t="str">
        <f aca="false">IFERROR(SMALL(Base!$P$5:$P$2004,ROW()-5),"")</f>
        <v/>
      </c>
      <c r="K897" s="72" t="str">
        <f aca="false">IF(J897="","",MATCH(J897,Base!$P$5:$P$2004,0))</f>
        <v/>
      </c>
    </row>
    <row r="898" customFormat="false" ht="15" hidden="false" customHeight="false" outlineLevel="0" collapsed="false">
      <c r="A898" s="67" t="str">
        <f aca="false">IF($K898="","",ROW()-5)</f>
        <v/>
      </c>
      <c r="B898" s="68" t="str">
        <f aca="false">IF($K898="","",INDEX(Base!$E$5:$E$2004,$K898))</f>
        <v/>
      </c>
      <c r="C898" s="69" t="str">
        <f aca="false">IF($K898="","",B898)</f>
        <v/>
      </c>
      <c r="D898" s="70" t="str">
        <f aca="false">IF($K898="","",INDEX(Base!$F$5:$F$2004,$K898))</f>
        <v/>
      </c>
      <c r="E898" s="70" t="str">
        <f aca="false">IF($K898="","",INDEX(Base!$G$5:$G$2004,$K898))</f>
        <v/>
      </c>
      <c r="F898" s="71" t="str">
        <f aca="false">IF($K898="","",INDEX(Base!$H$5:$H$2004,$K898))</f>
        <v/>
      </c>
      <c r="G898" s="71" t="str">
        <f aca="false">IF($K898="","",INDEX(Base!$I$5:$I$2004,$K898))</f>
        <v/>
      </c>
      <c r="H898" s="70" t="str">
        <f aca="false">IF($K898="","",INDEX(Base!$J$5:$J$2004,$K898))</f>
        <v/>
      </c>
      <c r="I898" s="71" t="str">
        <f aca="false">IF($K898="","",INDEX(Base!$L$5:$L$2004,$K898))</f>
        <v/>
      </c>
      <c r="J898" s="72" t="str">
        <f aca="false">IFERROR(SMALL(Base!$P$5:$P$2004,ROW()-5),"")</f>
        <v/>
      </c>
      <c r="K898" s="72" t="str">
        <f aca="false">IF(J898="","",MATCH(J898,Base!$P$5:$P$2004,0))</f>
        <v/>
      </c>
    </row>
    <row r="899" customFormat="false" ht="15" hidden="false" customHeight="false" outlineLevel="0" collapsed="false">
      <c r="A899" s="67" t="str">
        <f aca="false">IF($K899="","",ROW()-5)</f>
        <v/>
      </c>
      <c r="B899" s="68" t="str">
        <f aca="false">IF($K899="","",INDEX(Base!$E$5:$E$2004,$K899))</f>
        <v/>
      </c>
      <c r="C899" s="69" t="str">
        <f aca="false">IF($K899="","",B899)</f>
        <v/>
      </c>
      <c r="D899" s="70" t="str">
        <f aca="false">IF($K899="","",INDEX(Base!$F$5:$F$2004,$K899))</f>
        <v/>
      </c>
      <c r="E899" s="70" t="str">
        <f aca="false">IF($K899="","",INDEX(Base!$G$5:$G$2004,$K899))</f>
        <v/>
      </c>
      <c r="F899" s="71" t="str">
        <f aca="false">IF($K899="","",INDEX(Base!$H$5:$H$2004,$K899))</f>
        <v/>
      </c>
      <c r="G899" s="71" t="str">
        <f aca="false">IF($K899="","",INDEX(Base!$I$5:$I$2004,$K899))</f>
        <v/>
      </c>
      <c r="H899" s="70" t="str">
        <f aca="false">IF($K899="","",INDEX(Base!$J$5:$J$2004,$K899))</f>
        <v/>
      </c>
      <c r="I899" s="71" t="str">
        <f aca="false">IF($K899="","",INDEX(Base!$L$5:$L$2004,$K899))</f>
        <v/>
      </c>
      <c r="J899" s="72" t="str">
        <f aca="false">IFERROR(SMALL(Base!$P$5:$P$2004,ROW()-5),"")</f>
        <v/>
      </c>
      <c r="K899" s="72" t="str">
        <f aca="false">IF(J899="","",MATCH(J899,Base!$P$5:$P$2004,0))</f>
        <v/>
      </c>
    </row>
    <row r="900" customFormat="false" ht="15" hidden="false" customHeight="false" outlineLevel="0" collapsed="false">
      <c r="A900" s="67" t="str">
        <f aca="false">IF($K900="","",ROW()-5)</f>
        <v/>
      </c>
      <c r="B900" s="68" t="str">
        <f aca="false">IF($K900="","",INDEX(Base!$E$5:$E$2004,$K900))</f>
        <v/>
      </c>
      <c r="C900" s="69" t="str">
        <f aca="false">IF($K900="","",B900)</f>
        <v/>
      </c>
      <c r="D900" s="70" t="str">
        <f aca="false">IF($K900="","",INDEX(Base!$F$5:$F$2004,$K900))</f>
        <v/>
      </c>
      <c r="E900" s="70" t="str">
        <f aca="false">IF($K900="","",INDEX(Base!$G$5:$G$2004,$K900))</f>
        <v/>
      </c>
      <c r="F900" s="71" t="str">
        <f aca="false">IF($K900="","",INDEX(Base!$H$5:$H$2004,$K900))</f>
        <v/>
      </c>
      <c r="G900" s="71" t="str">
        <f aca="false">IF($K900="","",INDEX(Base!$I$5:$I$2004,$K900))</f>
        <v/>
      </c>
      <c r="H900" s="70" t="str">
        <f aca="false">IF($K900="","",INDEX(Base!$J$5:$J$2004,$K900))</f>
        <v/>
      </c>
      <c r="I900" s="71" t="str">
        <f aca="false">IF($K900="","",INDEX(Base!$L$5:$L$2004,$K900))</f>
        <v/>
      </c>
      <c r="J900" s="72" t="str">
        <f aca="false">IFERROR(SMALL(Base!$P$5:$P$2004,ROW()-5),"")</f>
        <v/>
      </c>
      <c r="K900" s="72" t="str">
        <f aca="false">IF(J900="","",MATCH(J900,Base!$P$5:$P$2004,0))</f>
        <v/>
      </c>
    </row>
    <row r="901" customFormat="false" ht="15" hidden="false" customHeight="false" outlineLevel="0" collapsed="false">
      <c r="A901" s="67" t="str">
        <f aca="false">IF($K901="","",ROW()-5)</f>
        <v/>
      </c>
      <c r="B901" s="68" t="str">
        <f aca="false">IF($K901="","",INDEX(Base!$E$5:$E$2004,$K901))</f>
        <v/>
      </c>
      <c r="C901" s="69" t="str">
        <f aca="false">IF($K901="","",B901)</f>
        <v/>
      </c>
      <c r="D901" s="70" t="str">
        <f aca="false">IF($K901="","",INDEX(Base!$F$5:$F$2004,$K901))</f>
        <v/>
      </c>
      <c r="E901" s="70" t="str">
        <f aca="false">IF($K901="","",INDEX(Base!$G$5:$G$2004,$K901))</f>
        <v/>
      </c>
      <c r="F901" s="71" t="str">
        <f aca="false">IF($K901="","",INDEX(Base!$H$5:$H$2004,$K901))</f>
        <v/>
      </c>
      <c r="G901" s="71" t="str">
        <f aca="false">IF($K901="","",INDEX(Base!$I$5:$I$2004,$K901))</f>
        <v/>
      </c>
      <c r="H901" s="70" t="str">
        <f aca="false">IF($K901="","",INDEX(Base!$J$5:$J$2004,$K901))</f>
        <v/>
      </c>
      <c r="I901" s="71" t="str">
        <f aca="false">IF($K901="","",INDEX(Base!$L$5:$L$2004,$K901))</f>
        <v/>
      </c>
      <c r="J901" s="72" t="str">
        <f aca="false">IFERROR(SMALL(Base!$P$5:$P$2004,ROW()-5),"")</f>
        <v/>
      </c>
      <c r="K901" s="72" t="str">
        <f aca="false">IF(J901="","",MATCH(J901,Base!$P$5:$P$2004,0))</f>
        <v/>
      </c>
    </row>
    <row r="902" customFormat="false" ht="15" hidden="false" customHeight="false" outlineLevel="0" collapsed="false">
      <c r="A902" s="67" t="str">
        <f aca="false">IF($K902="","",ROW()-5)</f>
        <v/>
      </c>
      <c r="B902" s="68" t="str">
        <f aca="false">IF($K902="","",INDEX(Base!$E$5:$E$2004,$K902))</f>
        <v/>
      </c>
      <c r="C902" s="69" t="str">
        <f aca="false">IF($K902="","",B902)</f>
        <v/>
      </c>
      <c r="D902" s="70" t="str">
        <f aca="false">IF($K902="","",INDEX(Base!$F$5:$F$2004,$K902))</f>
        <v/>
      </c>
      <c r="E902" s="70" t="str">
        <f aca="false">IF($K902="","",INDEX(Base!$G$5:$G$2004,$K902))</f>
        <v/>
      </c>
      <c r="F902" s="71" t="str">
        <f aca="false">IF($K902="","",INDEX(Base!$H$5:$H$2004,$K902))</f>
        <v/>
      </c>
      <c r="G902" s="71" t="str">
        <f aca="false">IF($K902="","",INDEX(Base!$I$5:$I$2004,$K902))</f>
        <v/>
      </c>
      <c r="H902" s="70" t="str">
        <f aca="false">IF($K902="","",INDEX(Base!$J$5:$J$2004,$K902))</f>
        <v/>
      </c>
      <c r="I902" s="71" t="str">
        <f aca="false">IF($K902="","",INDEX(Base!$L$5:$L$2004,$K902))</f>
        <v/>
      </c>
      <c r="J902" s="72" t="str">
        <f aca="false">IFERROR(SMALL(Base!$P$5:$P$2004,ROW()-5),"")</f>
        <v/>
      </c>
      <c r="K902" s="72" t="str">
        <f aca="false">IF(J902="","",MATCH(J902,Base!$P$5:$P$2004,0))</f>
        <v/>
      </c>
    </row>
    <row r="903" customFormat="false" ht="15" hidden="false" customHeight="false" outlineLevel="0" collapsed="false">
      <c r="A903" s="67" t="str">
        <f aca="false">IF($K903="","",ROW()-5)</f>
        <v/>
      </c>
      <c r="B903" s="68" t="str">
        <f aca="false">IF($K903="","",INDEX(Base!$E$5:$E$2004,$K903))</f>
        <v/>
      </c>
      <c r="C903" s="69" t="str">
        <f aca="false">IF($K903="","",B903)</f>
        <v/>
      </c>
      <c r="D903" s="70" t="str">
        <f aca="false">IF($K903="","",INDEX(Base!$F$5:$F$2004,$K903))</f>
        <v/>
      </c>
      <c r="E903" s="70" t="str">
        <f aca="false">IF($K903="","",INDEX(Base!$G$5:$G$2004,$K903))</f>
        <v/>
      </c>
      <c r="F903" s="71" t="str">
        <f aca="false">IF($K903="","",INDEX(Base!$H$5:$H$2004,$K903))</f>
        <v/>
      </c>
      <c r="G903" s="71" t="str">
        <f aca="false">IF($K903="","",INDEX(Base!$I$5:$I$2004,$K903))</f>
        <v/>
      </c>
      <c r="H903" s="70" t="str">
        <f aca="false">IF($K903="","",INDEX(Base!$J$5:$J$2004,$K903))</f>
        <v/>
      </c>
      <c r="I903" s="71" t="str">
        <f aca="false">IF($K903="","",INDEX(Base!$L$5:$L$2004,$K903))</f>
        <v/>
      </c>
      <c r="J903" s="72" t="str">
        <f aca="false">IFERROR(SMALL(Base!$P$5:$P$2004,ROW()-5),"")</f>
        <v/>
      </c>
      <c r="K903" s="72" t="str">
        <f aca="false">IF(J903="","",MATCH(J903,Base!$P$5:$P$2004,0))</f>
        <v/>
      </c>
    </row>
    <row r="904" customFormat="false" ht="15" hidden="false" customHeight="false" outlineLevel="0" collapsed="false">
      <c r="A904" s="67" t="str">
        <f aca="false">IF($K904="","",ROW()-5)</f>
        <v/>
      </c>
      <c r="B904" s="68" t="str">
        <f aca="false">IF($K904="","",INDEX(Base!$E$5:$E$2004,$K904))</f>
        <v/>
      </c>
      <c r="C904" s="69" t="str">
        <f aca="false">IF($K904="","",B904)</f>
        <v/>
      </c>
      <c r="D904" s="70" t="str">
        <f aca="false">IF($K904="","",INDEX(Base!$F$5:$F$2004,$K904))</f>
        <v/>
      </c>
      <c r="E904" s="70" t="str">
        <f aca="false">IF($K904="","",INDEX(Base!$G$5:$G$2004,$K904))</f>
        <v/>
      </c>
      <c r="F904" s="71" t="str">
        <f aca="false">IF($K904="","",INDEX(Base!$H$5:$H$2004,$K904))</f>
        <v/>
      </c>
      <c r="G904" s="71" t="str">
        <f aca="false">IF($K904="","",INDEX(Base!$I$5:$I$2004,$K904))</f>
        <v/>
      </c>
      <c r="H904" s="70" t="str">
        <f aca="false">IF($K904="","",INDEX(Base!$J$5:$J$2004,$K904))</f>
        <v/>
      </c>
      <c r="I904" s="71" t="str">
        <f aca="false">IF($K904="","",INDEX(Base!$L$5:$L$2004,$K904))</f>
        <v/>
      </c>
      <c r="J904" s="72" t="str">
        <f aca="false">IFERROR(SMALL(Base!$P$5:$P$2004,ROW()-5),"")</f>
        <v/>
      </c>
      <c r="K904" s="72" t="str">
        <f aca="false">IF(J904="","",MATCH(J904,Base!$P$5:$P$2004,0))</f>
        <v/>
      </c>
    </row>
    <row r="905" customFormat="false" ht="15" hidden="false" customHeight="false" outlineLevel="0" collapsed="false">
      <c r="A905" s="67" t="str">
        <f aca="false">IF($K905="","",ROW()-5)</f>
        <v/>
      </c>
      <c r="B905" s="68" t="str">
        <f aca="false">IF($K905="","",INDEX(Base!$E$5:$E$2004,$K905))</f>
        <v/>
      </c>
      <c r="C905" s="69" t="str">
        <f aca="false">IF($K905="","",B905)</f>
        <v/>
      </c>
      <c r="D905" s="70" t="str">
        <f aca="false">IF($K905="","",INDEX(Base!$F$5:$F$2004,$K905))</f>
        <v/>
      </c>
      <c r="E905" s="70" t="str">
        <f aca="false">IF($K905="","",INDEX(Base!$G$5:$G$2004,$K905))</f>
        <v/>
      </c>
      <c r="F905" s="71" t="str">
        <f aca="false">IF($K905="","",INDEX(Base!$H$5:$H$2004,$K905))</f>
        <v/>
      </c>
      <c r="G905" s="71" t="str">
        <f aca="false">IF($K905="","",INDEX(Base!$I$5:$I$2004,$K905))</f>
        <v/>
      </c>
      <c r="H905" s="70" t="str">
        <f aca="false">IF($K905="","",INDEX(Base!$J$5:$J$2004,$K905))</f>
        <v/>
      </c>
      <c r="I905" s="71" t="str">
        <f aca="false">IF($K905="","",INDEX(Base!$L$5:$L$2004,$K905))</f>
        <v/>
      </c>
      <c r="J905" s="72" t="str">
        <f aca="false">IFERROR(SMALL(Base!$P$5:$P$2004,ROW()-5),"")</f>
        <v/>
      </c>
      <c r="K905" s="72" t="str">
        <f aca="false">IF(J905="","",MATCH(J905,Base!$P$5:$P$2004,0))</f>
        <v/>
      </c>
    </row>
    <row r="906" customFormat="false" ht="15" hidden="false" customHeight="false" outlineLevel="0" collapsed="false">
      <c r="A906" s="67" t="str">
        <f aca="false">IF($K906="","",ROW()-5)</f>
        <v/>
      </c>
      <c r="B906" s="68" t="str">
        <f aca="false">IF($K906="","",INDEX(Base!$E$5:$E$2004,$K906))</f>
        <v/>
      </c>
      <c r="C906" s="69" t="str">
        <f aca="false">IF($K906="","",B906)</f>
        <v/>
      </c>
      <c r="D906" s="70" t="str">
        <f aca="false">IF($K906="","",INDEX(Base!$F$5:$F$2004,$K906))</f>
        <v/>
      </c>
      <c r="E906" s="70" t="str">
        <f aca="false">IF($K906="","",INDEX(Base!$G$5:$G$2004,$K906))</f>
        <v/>
      </c>
      <c r="F906" s="71" t="str">
        <f aca="false">IF($K906="","",INDEX(Base!$H$5:$H$2004,$K906))</f>
        <v/>
      </c>
      <c r="G906" s="71" t="str">
        <f aca="false">IF($K906="","",INDEX(Base!$I$5:$I$2004,$K906))</f>
        <v/>
      </c>
      <c r="H906" s="70" t="str">
        <f aca="false">IF($K906="","",INDEX(Base!$J$5:$J$2004,$K906))</f>
        <v/>
      </c>
      <c r="I906" s="71" t="str">
        <f aca="false">IF($K906="","",INDEX(Base!$L$5:$L$2004,$K906))</f>
        <v/>
      </c>
      <c r="J906" s="72" t="str">
        <f aca="false">IFERROR(SMALL(Base!$P$5:$P$2004,ROW()-5),"")</f>
        <v/>
      </c>
      <c r="K906" s="72" t="str">
        <f aca="false">IF(J906="","",MATCH(J906,Base!$P$5:$P$2004,0))</f>
        <v/>
      </c>
    </row>
    <row r="907" customFormat="false" ht="15" hidden="false" customHeight="false" outlineLevel="0" collapsed="false">
      <c r="A907" s="67" t="str">
        <f aca="false">IF($K907="","",ROW()-5)</f>
        <v/>
      </c>
      <c r="B907" s="68" t="str">
        <f aca="false">IF($K907="","",INDEX(Base!$E$5:$E$2004,$K907))</f>
        <v/>
      </c>
      <c r="C907" s="69" t="str">
        <f aca="false">IF($K907="","",B907)</f>
        <v/>
      </c>
      <c r="D907" s="70" t="str">
        <f aca="false">IF($K907="","",INDEX(Base!$F$5:$F$2004,$K907))</f>
        <v/>
      </c>
      <c r="E907" s="70" t="str">
        <f aca="false">IF($K907="","",INDEX(Base!$G$5:$G$2004,$K907))</f>
        <v/>
      </c>
      <c r="F907" s="71" t="str">
        <f aca="false">IF($K907="","",INDEX(Base!$H$5:$H$2004,$K907))</f>
        <v/>
      </c>
      <c r="G907" s="71" t="str">
        <f aca="false">IF($K907="","",INDEX(Base!$I$5:$I$2004,$K907))</f>
        <v/>
      </c>
      <c r="H907" s="70" t="str">
        <f aca="false">IF($K907="","",INDEX(Base!$J$5:$J$2004,$K907))</f>
        <v/>
      </c>
      <c r="I907" s="71" t="str">
        <f aca="false">IF($K907="","",INDEX(Base!$L$5:$L$2004,$K907))</f>
        <v/>
      </c>
      <c r="J907" s="72" t="str">
        <f aca="false">IFERROR(SMALL(Base!$P$5:$P$2004,ROW()-5),"")</f>
        <v/>
      </c>
      <c r="K907" s="72" t="str">
        <f aca="false">IF(J907="","",MATCH(J907,Base!$P$5:$P$2004,0))</f>
        <v/>
      </c>
    </row>
    <row r="908" customFormat="false" ht="15" hidden="false" customHeight="false" outlineLevel="0" collapsed="false">
      <c r="A908" s="67" t="str">
        <f aca="false">IF($K908="","",ROW()-5)</f>
        <v/>
      </c>
      <c r="B908" s="68" t="str">
        <f aca="false">IF($K908="","",INDEX(Base!$E$5:$E$2004,$K908))</f>
        <v/>
      </c>
      <c r="C908" s="69" t="str">
        <f aca="false">IF($K908="","",B908)</f>
        <v/>
      </c>
      <c r="D908" s="70" t="str">
        <f aca="false">IF($K908="","",INDEX(Base!$F$5:$F$2004,$K908))</f>
        <v/>
      </c>
      <c r="E908" s="70" t="str">
        <f aca="false">IF($K908="","",INDEX(Base!$G$5:$G$2004,$K908))</f>
        <v/>
      </c>
      <c r="F908" s="71" t="str">
        <f aca="false">IF($K908="","",INDEX(Base!$H$5:$H$2004,$K908))</f>
        <v/>
      </c>
      <c r="G908" s="71" t="str">
        <f aca="false">IF($K908="","",INDEX(Base!$I$5:$I$2004,$K908))</f>
        <v/>
      </c>
      <c r="H908" s="70" t="str">
        <f aca="false">IF($K908="","",INDEX(Base!$J$5:$J$2004,$K908))</f>
        <v/>
      </c>
      <c r="I908" s="71" t="str">
        <f aca="false">IF($K908="","",INDEX(Base!$L$5:$L$2004,$K908))</f>
        <v/>
      </c>
      <c r="J908" s="72" t="str">
        <f aca="false">IFERROR(SMALL(Base!$P$5:$P$2004,ROW()-5),"")</f>
        <v/>
      </c>
      <c r="K908" s="72" t="str">
        <f aca="false">IF(J908="","",MATCH(J908,Base!$P$5:$P$2004,0))</f>
        <v/>
      </c>
    </row>
    <row r="909" customFormat="false" ht="15" hidden="false" customHeight="false" outlineLevel="0" collapsed="false">
      <c r="A909" s="67" t="str">
        <f aca="false">IF($K909="","",ROW()-5)</f>
        <v/>
      </c>
      <c r="B909" s="68" t="str">
        <f aca="false">IF($K909="","",INDEX(Base!$E$5:$E$2004,$K909))</f>
        <v/>
      </c>
      <c r="C909" s="69" t="str">
        <f aca="false">IF($K909="","",B909)</f>
        <v/>
      </c>
      <c r="D909" s="70" t="str">
        <f aca="false">IF($K909="","",INDEX(Base!$F$5:$F$2004,$K909))</f>
        <v/>
      </c>
      <c r="E909" s="70" t="str">
        <f aca="false">IF($K909="","",INDEX(Base!$G$5:$G$2004,$K909))</f>
        <v/>
      </c>
      <c r="F909" s="71" t="str">
        <f aca="false">IF($K909="","",INDEX(Base!$H$5:$H$2004,$K909))</f>
        <v/>
      </c>
      <c r="G909" s="71" t="str">
        <f aca="false">IF($K909="","",INDEX(Base!$I$5:$I$2004,$K909))</f>
        <v/>
      </c>
      <c r="H909" s="70" t="str">
        <f aca="false">IF($K909="","",INDEX(Base!$J$5:$J$2004,$K909))</f>
        <v/>
      </c>
      <c r="I909" s="71" t="str">
        <f aca="false">IF($K909="","",INDEX(Base!$L$5:$L$2004,$K909))</f>
        <v/>
      </c>
      <c r="J909" s="72" t="str">
        <f aca="false">IFERROR(SMALL(Base!$P$5:$P$2004,ROW()-5),"")</f>
        <v/>
      </c>
      <c r="K909" s="72" t="str">
        <f aca="false">IF(J909="","",MATCH(J909,Base!$P$5:$P$2004,0))</f>
        <v/>
      </c>
    </row>
    <row r="910" customFormat="false" ht="15" hidden="false" customHeight="false" outlineLevel="0" collapsed="false">
      <c r="A910" s="67" t="str">
        <f aca="false">IF($K910="","",ROW()-5)</f>
        <v/>
      </c>
      <c r="B910" s="68" t="str">
        <f aca="false">IF($K910="","",INDEX(Base!$E$5:$E$2004,$K910))</f>
        <v/>
      </c>
      <c r="C910" s="69" t="str">
        <f aca="false">IF($K910="","",B910)</f>
        <v/>
      </c>
      <c r="D910" s="70" t="str">
        <f aca="false">IF($K910="","",INDEX(Base!$F$5:$F$2004,$K910))</f>
        <v/>
      </c>
      <c r="E910" s="70" t="str">
        <f aca="false">IF($K910="","",INDEX(Base!$G$5:$G$2004,$K910))</f>
        <v/>
      </c>
      <c r="F910" s="71" t="str">
        <f aca="false">IF($K910="","",INDEX(Base!$H$5:$H$2004,$K910))</f>
        <v/>
      </c>
      <c r="G910" s="71" t="str">
        <f aca="false">IF($K910="","",INDEX(Base!$I$5:$I$2004,$K910))</f>
        <v/>
      </c>
      <c r="H910" s="70" t="str">
        <f aca="false">IF($K910="","",INDEX(Base!$J$5:$J$2004,$K910))</f>
        <v/>
      </c>
      <c r="I910" s="71" t="str">
        <f aca="false">IF($K910="","",INDEX(Base!$L$5:$L$2004,$K910))</f>
        <v/>
      </c>
      <c r="J910" s="72" t="str">
        <f aca="false">IFERROR(SMALL(Base!$P$5:$P$2004,ROW()-5),"")</f>
        <v/>
      </c>
      <c r="K910" s="72" t="str">
        <f aca="false">IF(J910="","",MATCH(J910,Base!$P$5:$P$2004,0))</f>
        <v/>
      </c>
    </row>
    <row r="911" customFormat="false" ht="15" hidden="false" customHeight="false" outlineLevel="0" collapsed="false">
      <c r="A911" s="67" t="str">
        <f aca="false">IF($K911="","",ROW()-5)</f>
        <v/>
      </c>
      <c r="B911" s="68" t="str">
        <f aca="false">IF($K911="","",INDEX(Base!$E$5:$E$2004,$K911))</f>
        <v/>
      </c>
      <c r="C911" s="69" t="str">
        <f aca="false">IF($K911="","",B911)</f>
        <v/>
      </c>
      <c r="D911" s="70" t="str">
        <f aca="false">IF($K911="","",INDEX(Base!$F$5:$F$2004,$K911))</f>
        <v/>
      </c>
      <c r="E911" s="70" t="str">
        <f aca="false">IF($K911="","",INDEX(Base!$G$5:$G$2004,$K911))</f>
        <v/>
      </c>
      <c r="F911" s="71" t="str">
        <f aca="false">IF($K911="","",INDEX(Base!$H$5:$H$2004,$K911))</f>
        <v/>
      </c>
      <c r="G911" s="71" t="str">
        <f aca="false">IF($K911="","",INDEX(Base!$I$5:$I$2004,$K911))</f>
        <v/>
      </c>
      <c r="H911" s="70" t="str">
        <f aca="false">IF($K911="","",INDEX(Base!$J$5:$J$2004,$K911))</f>
        <v/>
      </c>
      <c r="I911" s="71" t="str">
        <f aca="false">IF($K911="","",INDEX(Base!$L$5:$L$2004,$K911))</f>
        <v/>
      </c>
      <c r="J911" s="72" t="str">
        <f aca="false">IFERROR(SMALL(Base!$P$5:$P$2004,ROW()-5),"")</f>
        <v/>
      </c>
      <c r="K911" s="72" t="str">
        <f aca="false">IF(J911="","",MATCH(J911,Base!$P$5:$P$2004,0))</f>
        <v/>
      </c>
    </row>
    <row r="912" customFormat="false" ht="15" hidden="false" customHeight="false" outlineLevel="0" collapsed="false">
      <c r="A912" s="67" t="str">
        <f aca="false">IF($K912="","",ROW()-5)</f>
        <v/>
      </c>
      <c r="B912" s="68" t="str">
        <f aca="false">IF($K912="","",INDEX(Base!$E$5:$E$2004,$K912))</f>
        <v/>
      </c>
      <c r="C912" s="69" t="str">
        <f aca="false">IF($K912="","",B912)</f>
        <v/>
      </c>
      <c r="D912" s="70" t="str">
        <f aca="false">IF($K912="","",INDEX(Base!$F$5:$F$2004,$K912))</f>
        <v/>
      </c>
      <c r="E912" s="70" t="str">
        <f aca="false">IF($K912="","",INDEX(Base!$G$5:$G$2004,$K912))</f>
        <v/>
      </c>
      <c r="F912" s="71" t="str">
        <f aca="false">IF($K912="","",INDEX(Base!$H$5:$H$2004,$K912))</f>
        <v/>
      </c>
      <c r="G912" s="71" t="str">
        <f aca="false">IF($K912="","",INDEX(Base!$I$5:$I$2004,$K912))</f>
        <v/>
      </c>
      <c r="H912" s="70" t="str">
        <f aca="false">IF($K912="","",INDEX(Base!$J$5:$J$2004,$K912))</f>
        <v/>
      </c>
      <c r="I912" s="71" t="str">
        <f aca="false">IF($K912="","",INDEX(Base!$L$5:$L$2004,$K912))</f>
        <v/>
      </c>
      <c r="J912" s="72" t="str">
        <f aca="false">IFERROR(SMALL(Base!$P$5:$P$2004,ROW()-5),"")</f>
        <v/>
      </c>
      <c r="K912" s="72" t="str">
        <f aca="false">IF(J912="","",MATCH(J912,Base!$P$5:$P$2004,0))</f>
        <v/>
      </c>
    </row>
    <row r="913" customFormat="false" ht="15" hidden="false" customHeight="false" outlineLevel="0" collapsed="false">
      <c r="A913" s="67" t="str">
        <f aca="false">IF($K913="","",ROW()-5)</f>
        <v/>
      </c>
      <c r="B913" s="68" t="str">
        <f aca="false">IF($K913="","",INDEX(Base!$E$5:$E$2004,$K913))</f>
        <v/>
      </c>
      <c r="C913" s="69" t="str">
        <f aca="false">IF($K913="","",B913)</f>
        <v/>
      </c>
      <c r="D913" s="70" t="str">
        <f aca="false">IF($K913="","",INDEX(Base!$F$5:$F$2004,$K913))</f>
        <v/>
      </c>
      <c r="E913" s="70" t="str">
        <f aca="false">IF($K913="","",INDEX(Base!$G$5:$G$2004,$K913))</f>
        <v/>
      </c>
      <c r="F913" s="71" t="str">
        <f aca="false">IF($K913="","",INDEX(Base!$H$5:$H$2004,$K913))</f>
        <v/>
      </c>
      <c r="G913" s="71" t="str">
        <f aca="false">IF($K913="","",INDEX(Base!$I$5:$I$2004,$K913))</f>
        <v/>
      </c>
      <c r="H913" s="70" t="str">
        <f aca="false">IF($K913="","",INDEX(Base!$J$5:$J$2004,$K913))</f>
        <v/>
      </c>
      <c r="I913" s="71" t="str">
        <f aca="false">IF($K913="","",INDEX(Base!$L$5:$L$2004,$K913))</f>
        <v/>
      </c>
      <c r="J913" s="72" t="str">
        <f aca="false">IFERROR(SMALL(Base!$P$5:$P$2004,ROW()-5),"")</f>
        <v/>
      </c>
      <c r="K913" s="72" t="str">
        <f aca="false">IF(J913="","",MATCH(J913,Base!$P$5:$P$2004,0))</f>
        <v/>
      </c>
    </row>
    <row r="914" customFormat="false" ht="15" hidden="false" customHeight="false" outlineLevel="0" collapsed="false">
      <c r="A914" s="67" t="str">
        <f aca="false">IF($K914="","",ROW()-5)</f>
        <v/>
      </c>
      <c r="B914" s="68" t="str">
        <f aca="false">IF($K914="","",INDEX(Base!$E$5:$E$2004,$K914))</f>
        <v/>
      </c>
      <c r="C914" s="69" t="str">
        <f aca="false">IF($K914="","",B914)</f>
        <v/>
      </c>
      <c r="D914" s="70" t="str">
        <f aca="false">IF($K914="","",INDEX(Base!$F$5:$F$2004,$K914))</f>
        <v/>
      </c>
      <c r="E914" s="70" t="str">
        <f aca="false">IF($K914="","",INDEX(Base!$G$5:$G$2004,$K914))</f>
        <v/>
      </c>
      <c r="F914" s="71" t="str">
        <f aca="false">IF($K914="","",INDEX(Base!$H$5:$H$2004,$K914))</f>
        <v/>
      </c>
      <c r="G914" s="71" t="str">
        <f aca="false">IF($K914="","",INDEX(Base!$I$5:$I$2004,$K914))</f>
        <v/>
      </c>
      <c r="H914" s="70" t="str">
        <f aca="false">IF($K914="","",INDEX(Base!$J$5:$J$2004,$K914))</f>
        <v/>
      </c>
      <c r="I914" s="71" t="str">
        <f aca="false">IF($K914="","",INDEX(Base!$L$5:$L$2004,$K914))</f>
        <v/>
      </c>
      <c r="J914" s="72" t="str">
        <f aca="false">IFERROR(SMALL(Base!$P$5:$P$2004,ROW()-5),"")</f>
        <v/>
      </c>
      <c r="K914" s="72" t="str">
        <f aca="false">IF(J914="","",MATCH(J914,Base!$P$5:$P$2004,0))</f>
        <v/>
      </c>
    </row>
    <row r="915" customFormat="false" ht="15" hidden="false" customHeight="false" outlineLevel="0" collapsed="false">
      <c r="A915" s="67" t="str">
        <f aca="false">IF($K915="","",ROW()-5)</f>
        <v/>
      </c>
      <c r="B915" s="68" t="str">
        <f aca="false">IF($K915="","",INDEX(Base!$E$5:$E$2004,$K915))</f>
        <v/>
      </c>
      <c r="C915" s="69" t="str">
        <f aca="false">IF($K915="","",B915)</f>
        <v/>
      </c>
      <c r="D915" s="70" t="str">
        <f aca="false">IF($K915="","",INDEX(Base!$F$5:$F$2004,$K915))</f>
        <v/>
      </c>
      <c r="E915" s="70" t="str">
        <f aca="false">IF($K915="","",INDEX(Base!$G$5:$G$2004,$K915))</f>
        <v/>
      </c>
      <c r="F915" s="71" t="str">
        <f aca="false">IF($K915="","",INDEX(Base!$H$5:$H$2004,$K915))</f>
        <v/>
      </c>
      <c r="G915" s="71" t="str">
        <f aca="false">IF($K915="","",INDEX(Base!$I$5:$I$2004,$K915))</f>
        <v/>
      </c>
      <c r="H915" s="70" t="str">
        <f aca="false">IF($K915="","",INDEX(Base!$J$5:$J$2004,$K915))</f>
        <v/>
      </c>
      <c r="I915" s="71" t="str">
        <f aca="false">IF($K915="","",INDEX(Base!$L$5:$L$2004,$K915))</f>
        <v/>
      </c>
      <c r="J915" s="72" t="str">
        <f aca="false">IFERROR(SMALL(Base!$P$5:$P$2004,ROW()-5),"")</f>
        <v/>
      </c>
      <c r="K915" s="72" t="str">
        <f aca="false">IF(J915="","",MATCH(J915,Base!$P$5:$P$2004,0))</f>
        <v/>
      </c>
    </row>
    <row r="916" customFormat="false" ht="15" hidden="false" customHeight="false" outlineLevel="0" collapsed="false">
      <c r="A916" s="67" t="str">
        <f aca="false">IF($K916="","",ROW()-5)</f>
        <v/>
      </c>
      <c r="B916" s="68" t="str">
        <f aca="false">IF($K916="","",INDEX(Base!$E$5:$E$2004,$K916))</f>
        <v/>
      </c>
      <c r="C916" s="69" t="str">
        <f aca="false">IF($K916="","",B916)</f>
        <v/>
      </c>
      <c r="D916" s="70" t="str">
        <f aca="false">IF($K916="","",INDEX(Base!$F$5:$F$2004,$K916))</f>
        <v/>
      </c>
      <c r="E916" s="70" t="str">
        <f aca="false">IF($K916="","",INDEX(Base!$G$5:$G$2004,$K916))</f>
        <v/>
      </c>
      <c r="F916" s="71" t="str">
        <f aca="false">IF($K916="","",INDEX(Base!$H$5:$H$2004,$K916))</f>
        <v/>
      </c>
      <c r="G916" s="71" t="str">
        <f aca="false">IF($K916="","",INDEX(Base!$I$5:$I$2004,$K916))</f>
        <v/>
      </c>
      <c r="H916" s="70" t="str">
        <f aca="false">IF($K916="","",INDEX(Base!$J$5:$J$2004,$K916))</f>
        <v/>
      </c>
      <c r="I916" s="71" t="str">
        <f aca="false">IF($K916="","",INDEX(Base!$L$5:$L$2004,$K916))</f>
        <v/>
      </c>
      <c r="J916" s="72" t="str">
        <f aca="false">IFERROR(SMALL(Base!$P$5:$P$2004,ROW()-5),"")</f>
        <v/>
      </c>
      <c r="K916" s="72" t="str">
        <f aca="false">IF(J916="","",MATCH(J916,Base!$P$5:$P$2004,0))</f>
        <v/>
      </c>
    </row>
    <row r="917" customFormat="false" ht="15" hidden="false" customHeight="false" outlineLevel="0" collapsed="false">
      <c r="A917" s="67" t="str">
        <f aca="false">IF($K917="","",ROW()-5)</f>
        <v/>
      </c>
      <c r="B917" s="68" t="str">
        <f aca="false">IF($K917="","",INDEX(Base!$E$5:$E$2004,$K917))</f>
        <v/>
      </c>
      <c r="C917" s="69" t="str">
        <f aca="false">IF($K917="","",B917)</f>
        <v/>
      </c>
      <c r="D917" s="70" t="str">
        <f aca="false">IF($K917="","",INDEX(Base!$F$5:$F$2004,$K917))</f>
        <v/>
      </c>
      <c r="E917" s="70" t="str">
        <f aca="false">IF($K917="","",INDEX(Base!$G$5:$G$2004,$K917))</f>
        <v/>
      </c>
      <c r="F917" s="71" t="str">
        <f aca="false">IF($K917="","",INDEX(Base!$H$5:$H$2004,$K917))</f>
        <v/>
      </c>
      <c r="G917" s="71" t="str">
        <f aca="false">IF($K917="","",INDEX(Base!$I$5:$I$2004,$K917))</f>
        <v/>
      </c>
      <c r="H917" s="70" t="str">
        <f aca="false">IF($K917="","",INDEX(Base!$J$5:$J$2004,$K917))</f>
        <v/>
      </c>
      <c r="I917" s="71" t="str">
        <f aca="false">IF($K917="","",INDEX(Base!$L$5:$L$2004,$K917))</f>
        <v/>
      </c>
      <c r="J917" s="72" t="str">
        <f aca="false">IFERROR(SMALL(Base!$P$5:$P$2004,ROW()-5),"")</f>
        <v/>
      </c>
      <c r="K917" s="72" t="str">
        <f aca="false">IF(J917="","",MATCH(J917,Base!$P$5:$P$2004,0))</f>
        <v/>
      </c>
    </row>
    <row r="918" customFormat="false" ht="15" hidden="false" customHeight="false" outlineLevel="0" collapsed="false">
      <c r="A918" s="67" t="str">
        <f aca="false">IF($K918="","",ROW()-5)</f>
        <v/>
      </c>
      <c r="B918" s="68" t="str">
        <f aca="false">IF($K918="","",INDEX(Base!$E$5:$E$2004,$K918))</f>
        <v/>
      </c>
      <c r="C918" s="69" t="str">
        <f aca="false">IF($K918="","",B918)</f>
        <v/>
      </c>
      <c r="D918" s="70" t="str">
        <f aca="false">IF($K918="","",INDEX(Base!$F$5:$F$2004,$K918))</f>
        <v/>
      </c>
      <c r="E918" s="70" t="str">
        <f aca="false">IF($K918="","",INDEX(Base!$G$5:$G$2004,$K918))</f>
        <v/>
      </c>
      <c r="F918" s="71" t="str">
        <f aca="false">IF($K918="","",INDEX(Base!$H$5:$H$2004,$K918))</f>
        <v/>
      </c>
      <c r="G918" s="71" t="str">
        <f aca="false">IF($K918="","",INDEX(Base!$I$5:$I$2004,$K918))</f>
        <v/>
      </c>
      <c r="H918" s="70" t="str">
        <f aca="false">IF($K918="","",INDEX(Base!$J$5:$J$2004,$K918))</f>
        <v/>
      </c>
      <c r="I918" s="71" t="str">
        <f aca="false">IF($K918="","",INDEX(Base!$L$5:$L$2004,$K918))</f>
        <v/>
      </c>
      <c r="J918" s="72" t="str">
        <f aca="false">IFERROR(SMALL(Base!$P$5:$P$2004,ROW()-5),"")</f>
        <v/>
      </c>
      <c r="K918" s="72" t="str">
        <f aca="false">IF(J918="","",MATCH(J918,Base!$P$5:$P$2004,0))</f>
        <v/>
      </c>
    </row>
    <row r="919" customFormat="false" ht="15" hidden="false" customHeight="false" outlineLevel="0" collapsed="false">
      <c r="A919" s="67" t="str">
        <f aca="false">IF($K919="","",ROW()-5)</f>
        <v/>
      </c>
      <c r="B919" s="68" t="str">
        <f aca="false">IF($K919="","",INDEX(Base!$E$5:$E$2004,$K919))</f>
        <v/>
      </c>
      <c r="C919" s="69" t="str">
        <f aca="false">IF($K919="","",B919)</f>
        <v/>
      </c>
      <c r="D919" s="70" t="str">
        <f aca="false">IF($K919="","",INDEX(Base!$F$5:$F$2004,$K919))</f>
        <v/>
      </c>
      <c r="E919" s="70" t="str">
        <f aca="false">IF($K919="","",INDEX(Base!$G$5:$G$2004,$K919))</f>
        <v/>
      </c>
      <c r="F919" s="71" t="str">
        <f aca="false">IF($K919="","",INDEX(Base!$H$5:$H$2004,$K919))</f>
        <v/>
      </c>
      <c r="G919" s="71" t="str">
        <f aca="false">IF($K919="","",INDEX(Base!$I$5:$I$2004,$K919))</f>
        <v/>
      </c>
      <c r="H919" s="70" t="str">
        <f aca="false">IF($K919="","",INDEX(Base!$J$5:$J$2004,$K919))</f>
        <v/>
      </c>
      <c r="I919" s="71" t="str">
        <f aca="false">IF($K919="","",INDEX(Base!$L$5:$L$2004,$K919))</f>
        <v/>
      </c>
      <c r="J919" s="72" t="str">
        <f aca="false">IFERROR(SMALL(Base!$P$5:$P$2004,ROW()-5),"")</f>
        <v/>
      </c>
      <c r="K919" s="72" t="str">
        <f aca="false">IF(J919="","",MATCH(J919,Base!$P$5:$P$2004,0))</f>
        <v/>
      </c>
    </row>
    <row r="920" customFormat="false" ht="15" hidden="false" customHeight="false" outlineLevel="0" collapsed="false">
      <c r="A920" s="67" t="str">
        <f aca="false">IF($K920="","",ROW()-5)</f>
        <v/>
      </c>
      <c r="B920" s="68" t="str">
        <f aca="false">IF($K920="","",INDEX(Base!$E$5:$E$2004,$K920))</f>
        <v/>
      </c>
      <c r="C920" s="69" t="str">
        <f aca="false">IF($K920="","",B920)</f>
        <v/>
      </c>
      <c r="D920" s="70" t="str">
        <f aca="false">IF($K920="","",INDEX(Base!$F$5:$F$2004,$K920))</f>
        <v/>
      </c>
      <c r="E920" s="70" t="str">
        <f aca="false">IF($K920="","",INDEX(Base!$G$5:$G$2004,$K920))</f>
        <v/>
      </c>
      <c r="F920" s="71" t="str">
        <f aca="false">IF($K920="","",INDEX(Base!$H$5:$H$2004,$K920))</f>
        <v/>
      </c>
      <c r="G920" s="71" t="str">
        <f aca="false">IF($K920="","",INDEX(Base!$I$5:$I$2004,$K920))</f>
        <v/>
      </c>
      <c r="H920" s="70" t="str">
        <f aca="false">IF($K920="","",INDEX(Base!$J$5:$J$2004,$K920))</f>
        <v/>
      </c>
      <c r="I920" s="71" t="str">
        <f aca="false">IF($K920="","",INDEX(Base!$L$5:$L$2004,$K920))</f>
        <v/>
      </c>
      <c r="J920" s="72" t="str">
        <f aca="false">IFERROR(SMALL(Base!$P$5:$P$2004,ROW()-5),"")</f>
        <v/>
      </c>
      <c r="K920" s="72" t="str">
        <f aca="false">IF(J920="","",MATCH(J920,Base!$P$5:$P$2004,0))</f>
        <v/>
      </c>
    </row>
    <row r="921" customFormat="false" ht="15" hidden="false" customHeight="false" outlineLevel="0" collapsed="false">
      <c r="A921" s="67" t="str">
        <f aca="false">IF($K921="","",ROW()-5)</f>
        <v/>
      </c>
      <c r="B921" s="68" t="str">
        <f aca="false">IF($K921="","",INDEX(Base!$E$5:$E$2004,$K921))</f>
        <v/>
      </c>
      <c r="C921" s="69" t="str">
        <f aca="false">IF($K921="","",B921)</f>
        <v/>
      </c>
      <c r="D921" s="70" t="str">
        <f aca="false">IF($K921="","",INDEX(Base!$F$5:$F$2004,$K921))</f>
        <v/>
      </c>
      <c r="E921" s="70" t="str">
        <f aca="false">IF($K921="","",INDEX(Base!$G$5:$G$2004,$K921))</f>
        <v/>
      </c>
      <c r="F921" s="71" t="str">
        <f aca="false">IF($K921="","",INDEX(Base!$H$5:$H$2004,$K921))</f>
        <v/>
      </c>
      <c r="G921" s="71" t="str">
        <f aca="false">IF($K921="","",INDEX(Base!$I$5:$I$2004,$K921))</f>
        <v/>
      </c>
      <c r="H921" s="70" t="str">
        <f aca="false">IF($K921="","",INDEX(Base!$J$5:$J$2004,$K921))</f>
        <v/>
      </c>
      <c r="I921" s="71" t="str">
        <f aca="false">IF($K921="","",INDEX(Base!$L$5:$L$2004,$K921))</f>
        <v/>
      </c>
      <c r="J921" s="72" t="str">
        <f aca="false">IFERROR(SMALL(Base!$P$5:$P$2004,ROW()-5),"")</f>
        <v/>
      </c>
      <c r="K921" s="72" t="str">
        <f aca="false">IF(J921="","",MATCH(J921,Base!$P$5:$P$2004,0))</f>
        <v/>
      </c>
    </row>
    <row r="922" customFormat="false" ht="15" hidden="false" customHeight="false" outlineLevel="0" collapsed="false">
      <c r="A922" s="67" t="str">
        <f aca="false">IF($K922="","",ROW()-5)</f>
        <v/>
      </c>
      <c r="B922" s="68" t="str">
        <f aca="false">IF($K922="","",INDEX(Base!$E$5:$E$2004,$K922))</f>
        <v/>
      </c>
      <c r="C922" s="69" t="str">
        <f aca="false">IF($K922="","",B922)</f>
        <v/>
      </c>
      <c r="D922" s="70" t="str">
        <f aca="false">IF($K922="","",INDEX(Base!$F$5:$F$2004,$K922))</f>
        <v/>
      </c>
      <c r="E922" s="70" t="str">
        <f aca="false">IF($K922="","",INDEX(Base!$G$5:$G$2004,$K922))</f>
        <v/>
      </c>
      <c r="F922" s="71" t="str">
        <f aca="false">IF($K922="","",INDEX(Base!$H$5:$H$2004,$K922))</f>
        <v/>
      </c>
      <c r="G922" s="71" t="str">
        <f aca="false">IF($K922="","",INDEX(Base!$I$5:$I$2004,$K922))</f>
        <v/>
      </c>
      <c r="H922" s="70" t="str">
        <f aca="false">IF($K922="","",INDEX(Base!$J$5:$J$2004,$K922))</f>
        <v/>
      </c>
      <c r="I922" s="71" t="str">
        <f aca="false">IF($K922="","",INDEX(Base!$L$5:$L$2004,$K922))</f>
        <v/>
      </c>
      <c r="J922" s="72" t="str">
        <f aca="false">IFERROR(SMALL(Base!$P$5:$P$2004,ROW()-5),"")</f>
        <v/>
      </c>
      <c r="K922" s="72" t="str">
        <f aca="false">IF(J922="","",MATCH(J922,Base!$P$5:$P$2004,0))</f>
        <v/>
      </c>
    </row>
    <row r="923" customFormat="false" ht="15" hidden="false" customHeight="false" outlineLevel="0" collapsed="false">
      <c r="A923" s="67" t="str">
        <f aca="false">IF($K923="","",ROW()-5)</f>
        <v/>
      </c>
      <c r="B923" s="68" t="str">
        <f aca="false">IF($K923="","",INDEX(Base!$E$5:$E$2004,$K923))</f>
        <v/>
      </c>
      <c r="C923" s="69" t="str">
        <f aca="false">IF($K923="","",B923)</f>
        <v/>
      </c>
      <c r="D923" s="70" t="str">
        <f aca="false">IF($K923="","",INDEX(Base!$F$5:$F$2004,$K923))</f>
        <v/>
      </c>
      <c r="E923" s="70" t="str">
        <f aca="false">IF($K923="","",INDEX(Base!$G$5:$G$2004,$K923))</f>
        <v/>
      </c>
      <c r="F923" s="71" t="str">
        <f aca="false">IF($K923="","",INDEX(Base!$H$5:$H$2004,$K923))</f>
        <v/>
      </c>
      <c r="G923" s="71" t="str">
        <f aca="false">IF($K923="","",INDEX(Base!$I$5:$I$2004,$K923))</f>
        <v/>
      </c>
      <c r="H923" s="70" t="str">
        <f aca="false">IF($K923="","",INDEX(Base!$J$5:$J$2004,$K923))</f>
        <v/>
      </c>
      <c r="I923" s="71" t="str">
        <f aca="false">IF($K923="","",INDEX(Base!$L$5:$L$2004,$K923))</f>
        <v/>
      </c>
      <c r="J923" s="72" t="str">
        <f aca="false">IFERROR(SMALL(Base!$P$5:$P$2004,ROW()-5),"")</f>
        <v/>
      </c>
      <c r="K923" s="72" t="str">
        <f aca="false">IF(J923="","",MATCH(J923,Base!$P$5:$P$2004,0))</f>
        <v/>
      </c>
    </row>
    <row r="924" customFormat="false" ht="15" hidden="false" customHeight="false" outlineLevel="0" collapsed="false">
      <c r="A924" s="67" t="str">
        <f aca="false">IF($K924="","",ROW()-5)</f>
        <v/>
      </c>
      <c r="B924" s="68" t="str">
        <f aca="false">IF($K924="","",INDEX(Base!$E$5:$E$2004,$K924))</f>
        <v/>
      </c>
      <c r="C924" s="69" t="str">
        <f aca="false">IF($K924="","",B924)</f>
        <v/>
      </c>
      <c r="D924" s="70" t="str">
        <f aca="false">IF($K924="","",INDEX(Base!$F$5:$F$2004,$K924))</f>
        <v/>
      </c>
      <c r="E924" s="70" t="str">
        <f aca="false">IF($K924="","",INDEX(Base!$G$5:$G$2004,$K924))</f>
        <v/>
      </c>
      <c r="F924" s="71" t="str">
        <f aca="false">IF($K924="","",INDEX(Base!$H$5:$H$2004,$K924))</f>
        <v/>
      </c>
      <c r="G924" s="71" t="str">
        <f aca="false">IF($K924="","",INDEX(Base!$I$5:$I$2004,$K924))</f>
        <v/>
      </c>
      <c r="H924" s="70" t="str">
        <f aca="false">IF($K924="","",INDEX(Base!$J$5:$J$2004,$K924))</f>
        <v/>
      </c>
      <c r="I924" s="71" t="str">
        <f aca="false">IF($K924="","",INDEX(Base!$L$5:$L$2004,$K924))</f>
        <v/>
      </c>
      <c r="J924" s="72" t="str">
        <f aca="false">IFERROR(SMALL(Base!$P$5:$P$2004,ROW()-5),"")</f>
        <v/>
      </c>
      <c r="K924" s="72" t="str">
        <f aca="false">IF(J924="","",MATCH(J924,Base!$P$5:$P$2004,0))</f>
        <v/>
      </c>
    </row>
    <row r="925" customFormat="false" ht="15" hidden="false" customHeight="false" outlineLevel="0" collapsed="false">
      <c r="A925" s="67" t="str">
        <f aca="false">IF($K925="","",ROW()-5)</f>
        <v/>
      </c>
      <c r="B925" s="68" t="str">
        <f aca="false">IF($K925="","",INDEX(Base!$E$5:$E$2004,$K925))</f>
        <v/>
      </c>
      <c r="C925" s="69" t="str">
        <f aca="false">IF($K925="","",B925)</f>
        <v/>
      </c>
      <c r="D925" s="70" t="str">
        <f aca="false">IF($K925="","",INDEX(Base!$F$5:$F$2004,$K925))</f>
        <v/>
      </c>
      <c r="E925" s="70" t="str">
        <f aca="false">IF($K925="","",INDEX(Base!$G$5:$G$2004,$K925))</f>
        <v/>
      </c>
      <c r="F925" s="71" t="str">
        <f aca="false">IF($K925="","",INDEX(Base!$H$5:$H$2004,$K925))</f>
        <v/>
      </c>
      <c r="G925" s="71" t="str">
        <f aca="false">IF($K925="","",INDEX(Base!$I$5:$I$2004,$K925))</f>
        <v/>
      </c>
      <c r="H925" s="70" t="str">
        <f aca="false">IF($K925="","",INDEX(Base!$J$5:$J$2004,$K925))</f>
        <v/>
      </c>
      <c r="I925" s="71" t="str">
        <f aca="false">IF($K925="","",INDEX(Base!$L$5:$L$2004,$K925))</f>
        <v/>
      </c>
      <c r="J925" s="72" t="str">
        <f aca="false">IFERROR(SMALL(Base!$P$5:$P$2004,ROW()-5),"")</f>
        <v/>
      </c>
      <c r="K925" s="72" t="str">
        <f aca="false">IF(J925="","",MATCH(J925,Base!$P$5:$P$2004,0))</f>
        <v/>
      </c>
    </row>
    <row r="926" customFormat="false" ht="15" hidden="false" customHeight="false" outlineLevel="0" collapsed="false">
      <c r="A926" s="67" t="str">
        <f aca="false">IF($K926="","",ROW()-5)</f>
        <v/>
      </c>
      <c r="B926" s="68" t="str">
        <f aca="false">IF($K926="","",INDEX(Base!$E$5:$E$2004,$K926))</f>
        <v/>
      </c>
      <c r="C926" s="69" t="str">
        <f aca="false">IF($K926="","",B926)</f>
        <v/>
      </c>
      <c r="D926" s="70" t="str">
        <f aca="false">IF($K926="","",INDEX(Base!$F$5:$F$2004,$K926))</f>
        <v/>
      </c>
      <c r="E926" s="70" t="str">
        <f aca="false">IF($K926="","",INDEX(Base!$G$5:$G$2004,$K926))</f>
        <v/>
      </c>
      <c r="F926" s="71" t="str">
        <f aca="false">IF($K926="","",INDEX(Base!$H$5:$H$2004,$K926))</f>
        <v/>
      </c>
      <c r="G926" s="71" t="str">
        <f aca="false">IF($K926="","",INDEX(Base!$I$5:$I$2004,$K926))</f>
        <v/>
      </c>
      <c r="H926" s="70" t="str">
        <f aca="false">IF($K926="","",INDEX(Base!$J$5:$J$2004,$K926))</f>
        <v/>
      </c>
      <c r="I926" s="71" t="str">
        <f aca="false">IF($K926="","",INDEX(Base!$L$5:$L$2004,$K926))</f>
        <v/>
      </c>
      <c r="J926" s="72" t="str">
        <f aca="false">IFERROR(SMALL(Base!$P$5:$P$2004,ROW()-5),"")</f>
        <v/>
      </c>
      <c r="K926" s="72" t="str">
        <f aca="false">IF(J926="","",MATCH(J926,Base!$P$5:$P$2004,0))</f>
        <v/>
      </c>
    </row>
    <row r="927" customFormat="false" ht="15" hidden="false" customHeight="false" outlineLevel="0" collapsed="false">
      <c r="A927" s="67" t="str">
        <f aca="false">IF($K927="","",ROW()-5)</f>
        <v/>
      </c>
      <c r="B927" s="68" t="str">
        <f aca="false">IF($K927="","",INDEX(Base!$E$5:$E$2004,$K927))</f>
        <v/>
      </c>
      <c r="C927" s="69" t="str">
        <f aca="false">IF($K927="","",B927)</f>
        <v/>
      </c>
      <c r="D927" s="70" t="str">
        <f aca="false">IF($K927="","",INDEX(Base!$F$5:$F$2004,$K927))</f>
        <v/>
      </c>
      <c r="E927" s="70" t="str">
        <f aca="false">IF($K927="","",INDEX(Base!$G$5:$G$2004,$K927))</f>
        <v/>
      </c>
      <c r="F927" s="71" t="str">
        <f aca="false">IF($K927="","",INDEX(Base!$H$5:$H$2004,$K927))</f>
        <v/>
      </c>
      <c r="G927" s="71" t="str">
        <f aca="false">IF($K927="","",INDEX(Base!$I$5:$I$2004,$K927))</f>
        <v/>
      </c>
      <c r="H927" s="70" t="str">
        <f aca="false">IF($K927="","",INDEX(Base!$J$5:$J$2004,$K927))</f>
        <v/>
      </c>
      <c r="I927" s="71" t="str">
        <f aca="false">IF($K927="","",INDEX(Base!$L$5:$L$2004,$K927))</f>
        <v/>
      </c>
      <c r="J927" s="72" t="str">
        <f aca="false">IFERROR(SMALL(Base!$P$5:$P$2004,ROW()-5),"")</f>
        <v/>
      </c>
      <c r="K927" s="72" t="str">
        <f aca="false">IF(J927="","",MATCH(J927,Base!$P$5:$P$2004,0))</f>
        <v/>
      </c>
    </row>
    <row r="928" customFormat="false" ht="15" hidden="false" customHeight="false" outlineLevel="0" collapsed="false">
      <c r="A928" s="67" t="str">
        <f aca="false">IF($K928="","",ROW()-5)</f>
        <v/>
      </c>
      <c r="B928" s="68" t="str">
        <f aca="false">IF($K928="","",INDEX(Base!$E$5:$E$2004,$K928))</f>
        <v/>
      </c>
      <c r="C928" s="69" t="str">
        <f aca="false">IF($K928="","",B928)</f>
        <v/>
      </c>
      <c r="D928" s="70" t="str">
        <f aca="false">IF($K928="","",INDEX(Base!$F$5:$F$2004,$K928))</f>
        <v/>
      </c>
      <c r="E928" s="70" t="str">
        <f aca="false">IF($K928="","",INDEX(Base!$G$5:$G$2004,$K928))</f>
        <v/>
      </c>
      <c r="F928" s="71" t="str">
        <f aca="false">IF($K928="","",INDEX(Base!$H$5:$H$2004,$K928))</f>
        <v/>
      </c>
      <c r="G928" s="71" t="str">
        <f aca="false">IF($K928="","",INDEX(Base!$I$5:$I$2004,$K928))</f>
        <v/>
      </c>
      <c r="H928" s="70" t="str">
        <f aca="false">IF($K928="","",INDEX(Base!$J$5:$J$2004,$K928))</f>
        <v/>
      </c>
      <c r="I928" s="71" t="str">
        <f aca="false">IF($K928="","",INDEX(Base!$L$5:$L$2004,$K928))</f>
        <v/>
      </c>
      <c r="J928" s="72" t="str">
        <f aca="false">IFERROR(SMALL(Base!$P$5:$P$2004,ROW()-5),"")</f>
        <v/>
      </c>
      <c r="K928" s="72" t="str">
        <f aca="false">IF(J928="","",MATCH(J928,Base!$P$5:$P$2004,0))</f>
        <v/>
      </c>
    </row>
    <row r="929" customFormat="false" ht="15" hidden="false" customHeight="false" outlineLevel="0" collapsed="false">
      <c r="A929" s="67" t="str">
        <f aca="false">IF($K929="","",ROW()-5)</f>
        <v/>
      </c>
      <c r="B929" s="68" t="str">
        <f aca="false">IF($K929="","",INDEX(Base!$E$5:$E$2004,$K929))</f>
        <v/>
      </c>
      <c r="C929" s="69" t="str">
        <f aca="false">IF($K929="","",B929)</f>
        <v/>
      </c>
      <c r="D929" s="70" t="str">
        <f aca="false">IF($K929="","",INDEX(Base!$F$5:$F$2004,$K929))</f>
        <v/>
      </c>
      <c r="E929" s="70" t="str">
        <f aca="false">IF($K929="","",INDEX(Base!$G$5:$G$2004,$K929))</f>
        <v/>
      </c>
      <c r="F929" s="71" t="str">
        <f aca="false">IF($K929="","",INDEX(Base!$H$5:$H$2004,$K929))</f>
        <v/>
      </c>
      <c r="G929" s="71" t="str">
        <f aca="false">IF($K929="","",INDEX(Base!$I$5:$I$2004,$K929))</f>
        <v/>
      </c>
      <c r="H929" s="70" t="str">
        <f aca="false">IF($K929="","",INDEX(Base!$J$5:$J$2004,$K929))</f>
        <v/>
      </c>
      <c r="I929" s="71" t="str">
        <f aca="false">IF($K929="","",INDEX(Base!$L$5:$L$2004,$K929))</f>
        <v/>
      </c>
      <c r="J929" s="72" t="str">
        <f aca="false">IFERROR(SMALL(Base!$P$5:$P$2004,ROW()-5),"")</f>
        <v/>
      </c>
      <c r="K929" s="72" t="str">
        <f aca="false">IF(J929="","",MATCH(J929,Base!$P$5:$P$2004,0))</f>
        <v/>
      </c>
    </row>
    <row r="930" customFormat="false" ht="15" hidden="false" customHeight="false" outlineLevel="0" collapsed="false">
      <c r="A930" s="67" t="str">
        <f aca="false">IF($K930="","",ROW()-5)</f>
        <v/>
      </c>
      <c r="B930" s="68" t="str">
        <f aca="false">IF($K930="","",INDEX(Base!$E$5:$E$2004,$K930))</f>
        <v/>
      </c>
      <c r="C930" s="69" t="str">
        <f aca="false">IF($K930="","",B930)</f>
        <v/>
      </c>
      <c r="D930" s="70" t="str">
        <f aca="false">IF($K930="","",INDEX(Base!$F$5:$F$2004,$K930))</f>
        <v/>
      </c>
      <c r="E930" s="70" t="str">
        <f aca="false">IF($K930="","",INDEX(Base!$G$5:$G$2004,$K930))</f>
        <v/>
      </c>
      <c r="F930" s="71" t="str">
        <f aca="false">IF($K930="","",INDEX(Base!$H$5:$H$2004,$K930))</f>
        <v/>
      </c>
      <c r="G930" s="71" t="str">
        <f aca="false">IF($K930="","",INDEX(Base!$I$5:$I$2004,$K930))</f>
        <v/>
      </c>
      <c r="H930" s="70" t="str">
        <f aca="false">IF($K930="","",INDEX(Base!$J$5:$J$2004,$K930))</f>
        <v/>
      </c>
      <c r="I930" s="71" t="str">
        <f aca="false">IF($K930="","",INDEX(Base!$L$5:$L$2004,$K930))</f>
        <v/>
      </c>
      <c r="J930" s="72" t="str">
        <f aca="false">IFERROR(SMALL(Base!$P$5:$P$2004,ROW()-5),"")</f>
        <v/>
      </c>
      <c r="K930" s="72" t="str">
        <f aca="false">IF(J930="","",MATCH(J930,Base!$P$5:$P$2004,0))</f>
        <v/>
      </c>
    </row>
    <row r="931" customFormat="false" ht="15" hidden="false" customHeight="false" outlineLevel="0" collapsed="false">
      <c r="A931" s="67" t="str">
        <f aca="false">IF($K931="","",ROW()-5)</f>
        <v/>
      </c>
      <c r="B931" s="68" t="str">
        <f aca="false">IF($K931="","",INDEX(Base!$E$5:$E$2004,$K931))</f>
        <v/>
      </c>
      <c r="C931" s="69" t="str">
        <f aca="false">IF($K931="","",B931)</f>
        <v/>
      </c>
      <c r="D931" s="70" t="str">
        <f aca="false">IF($K931="","",INDEX(Base!$F$5:$F$2004,$K931))</f>
        <v/>
      </c>
      <c r="E931" s="70" t="str">
        <f aca="false">IF($K931="","",INDEX(Base!$G$5:$G$2004,$K931))</f>
        <v/>
      </c>
      <c r="F931" s="71" t="str">
        <f aca="false">IF($K931="","",INDEX(Base!$H$5:$H$2004,$K931))</f>
        <v/>
      </c>
      <c r="G931" s="71" t="str">
        <f aca="false">IF($K931="","",INDEX(Base!$I$5:$I$2004,$K931))</f>
        <v/>
      </c>
      <c r="H931" s="70" t="str">
        <f aca="false">IF($K931="","",INDEX(Base!$J$5:$J$2004,$K931))</f>
        <v/>
      </c>
      <c r="I931" s="71" t="str">
        <f aca="false">IF($K931="","",INDEX(Base!$L$5:$L$2004,$K931))</f>
        <v/>
      </c>
      <c r="J931" s="72" t="str">
        <f aca="false">IFERROR(SMALL(Base!$P$5:$P$2004,ROW()-5),"")</f>
        <v/>
      </c>
      <c r="K931" s="72" t="str">
        <f aca="false">IF(J931="","",MATCH(J931,Base!$P$5:$P$2004,0))</f>
        <v/>
      </c>
    </row>
    <row r="932" customFormat="false" ht="15" hidden="false" customHeight="false" outlineLevel="0" collapsed="false">
      <c r="A932" s="67" t="str">
        <f aca="false">IF($K932="","",ROW()-5)</f>
        <v/>
      </c>
      <c r="B932" s="68" t="str">
        <f aca="false">IF($K932="","",INDEX(Base!$E$5:$E$2004,$K932))</f>
        <v/>
      </c>
      <c r="C932" s="69" t="str">
        <f aca="false">IF($K932="","",B932)</f>
        <v/>
      </c>
      <c r="D932" s="70" t="str">
        <f aca="false">IF($K932="","",INDEX(Base!$F$5:$F$2004,$K932))</f>
        <v/>
      </c>
      <c r="E932" s="70" t="str">
        <f aca="false">IF($K932="","",INDEX(Base!$G$5:$G$2004,$K932))</f>
        <v/>
      </c>
      <c r="F932" s="71" t="str">
        <f aca="false">IF($K932="","",INDEX(Base!$H$5:$H$2004,$K932))</f>
        <v/>
      </c>
      <c r="G932" s="71" t="str">
        <f aca="false">IF($K932="","",INDEX(Base!$I$5:$I$2004,$K932))</f>
        <v/>
      </c>
      <c r="H932" s="70" t="str">
        <f aca="false">IF($K932="","",INDEX(Base!$J$5:$J$2004,$K932))</f>
        <v/>
      </c>
      <c r="I932" s="71" t="str">
        <f aca="false">IF($K932="","",INDEX(Base!$L$5:$L$2004,$K932))</f>
        <v/>
      </c>
      <c r="J932" s="72" t="str">
        <f aca="false">IFERROR(SMALL(Base!$P$5:$P$2004,ROW()-5),"")</f>
        <v/>
      </c>
      <c r="K932" s="72" t="str">
        <f aca="false">IF(J932="","",MATCH(J932,Base!$P$5:$P$2004,0))</f>
        <v/>
      </c>
    </row>
    <row r="933" customFormat="false" ht="15" hidden="false" customHeight="false" outlineLevel="0" collapsed="false">
      <c r="A933" s="67" t="str">
        <f aca="false">IF($K933="","",ROW()-5)</f>
        <v/>
      </c>
      <c r="B933" s="68" t="str">
        <f aca="false">IF($K933="","",INDEX(Base!$E$5:$E$2004,$K933))</f>
        <v/>
      </c>
      <c r="C933" s="69" t="str">
        <f aca="false">IF($K933="","",B933)</f>
        <v/>
      </c>
      <c r="D933" s="70" t="str">
        <f aca="false">IF($K933="","",INDEX(Base!$F$5:$F$2004,$K933))</f>
        <v/>
      </c>
      <c r="E933" s="70" t="str">
        <f aca="false">IF($K933="","",INDEX(Base!$G$5:$G$2004,$K933))</f>
        <v/>
      </c>
      <c r="F933" s="71" t="str">
        <f aca="false">IF($K933="","",INDEX(Base!$H$5:$H$2004,$K933))</f>
        <v/>
      </c>
      <c r="G933" s="71" t="str">
        <f aca="false">IF($K933="","",INDEX(Base!$I$5:$I$2004,$K933))</f>
        <v/>
      </c>
      <c r="H933" s="70" t="str">
        <f aca="false">IF($K933="","",INDEX(Base!$J$5:$J$2004,$K933))</f>
        <v/>
      </c>
      <c r="I933" s="71" t="str">
        <f aca="false">IF($K933="","",INDEX(Base!$L$5:$L$2004,$K933))</f>
        <v/>
      </c>
      <c r="J933" s="72" t="str">
        <f aca="false">IFERROR(SMALL(Base!$P$5:$P$2004,ROW()-5),"")</f>
        <v/>
      </c>
      <c r="K933" s="72" t="str">
        <f aca="false">IF(J933="","",MATCH(J933,Base!$P$5:$P$2004,0))</f>
        <v/>
      </c>
    </row>
    <row r="934" customFormat="false" ht="15" hidden="false" customHeight="false" outlineLevel="0" collapsed="false">
      <c r="A934" s="67" t="str">
        <f aca="false">IF($K934="","",ROW()-5)</f>
        <v/>
      </c>
      <c r="B934" s="68" t="str">
        <f aca="false">IF($K934="","",INDEX(Base!$E$5:$E$2004,$K934))</f>
        <v/>
      </c>
      <c r="C934" s="69" t="str">
        <f aca="false">IF($K934="","",B934)</f>
        <v/>
      </c>
      <c r="D934" s="70" t="str">
        <f aca="false">IF($K934="","",INDEX(Base!$F$5:$F$2004,$K934))</f>
        <v/>
      </c>
      <c r="E934" s="70" t="str">
        <f aca="false">IF($K934="","",INDEX(Base!$G$5:$G$2004,$K934))</f>
        <v/>
      </c>
      <c r="F934" s="71" t="str">
        <f aca="false">IF($K934="","",INDEX(Base!$H$5:$H$2004,$K934))</f>
        <v/>
      </c>
      <c r="G934" s="71" t="str">
        <f aca="false">IF($K934="","",INDEX(Base!$I$5:$I$2004,$K934))</f>
        <v/>
      </c>
      <c r="H934" s="70" t="str">
        <f aca="false">IF($K934="","",INDEX(Base!$J$5:$J$2004,$K934))</f>
        <v/>
      </c>
      <c r="I934" s="71" t="str">
        <f aca="false">IF($K934="","",INDEX(Base!$L$5:$L$2004,$K934))</f>
        <v/>
      </c>
      <c r="J934" s="72" t="str">
        <f aca="false">IFERROR(SMALL(Base!$P$5:$P$2004,ROW()-5),"")</f>
        <v/>
      </c>
      <c r="K934" s="72" t="str">
        <f aca="false">IF(J934="","",MATCH(J934,Base!$P$5:$P$2004,0))</f>
        <v/>
      </c>
    </row>
    <row r="935" customFormat="false" ht="15" hidden="false" customHeight="false" outlineLevel="0" collapsed="false">
      <c r="A935" s="67" t="str">
        <f aca="false">IF($K935="","",ROW()-5)</f>
        <v/>
      </c>
      <c r="B935" s="68" t="str">
        <f aca="false">IF($K935="","",INDEX(Base!$E$5:$E$2004,$K935))</f>
        <v/>
      </c>
      <c r="C935" s="69" t="str">
        <f aca="false">IF($K935="","",B935)</f>
        <v/>
      </c>
      <c r="D935" s="70" t="str">
        <f aca="false">IF($K935="","",INDEX(Base!$F$5:$F$2004,$K935))</f>
        <v/>
      </c>
      <c r="E935" s="70" t="str">
        <f aca="false">IF($K935="","",INDEX(Base!$G$5:$G$2004,$K935))</f>
        <v/>
      </c>
      <c r="F935" s="71" t="str">
        <f aca="false">IF($K935="","",INDEX(Base!$H$5:$H$2004,$K935))</f>
        <v/>
      </c>
      <c r="G935" s="71" t="str">
        <f aca="false">IF($K935="","",INDEX(Base!$I$5:$I$2004,$K935))</f>
        <v/>
      </c>
      <c r="H935" s="70" t="str">
        <f aca="false">IF($K935="","",INDEX(Base!$J$5:$J$2004,$K935))</f>
        <v/>
      </c>
      <c r="I935" s="71" t="str">
        <f aca="false">IF($K935="","",INDEX(Base!$L$5:$L$2004,$K935))</f>
        <v/>
      </c>
      <c r="J935" s="72" t="str">
        <f aca="false">IFERROR(SMALL(Base!$P$5:$P$2004,ROW()-5),"")</f>
        <v/>
      </c>
      <c r="K935" s="72" t="str">
        <f aca="false">IF(J935="","",MATCH(J935,Base!$P$5:$P$2004,0))</f>
        <v/>
      </c>
    </row>
    <row r="936" customFormat="false" ht="15" hidden="false" customHeight="false" outlineLevel="0" collapsed="false">
      <c r="A936" s="67" t="str">
        <f aca="false">IF($K936="","",ROW()-5)</f>
        <v/>
      </c>
      <c r="B936" s="68" t="str">
        <f aca="false">IF($K936="","",INDEX(Base!$E$5:$E$2004,$K936))</f>
        <v/>
      </c>
      <c r="C936" s="69" t="str">
        <f aca="false">IF($K936="","",B936)</f>
        <v/>
      </c>
      <c r="D936" s="70" t="str">
        <f aca="false">IF($K936="","",INDEX(Base!$F$5:$F$2004,$K936))</f>
        <v/>
      </c>
      <c r="E936" s="70" t="str">
        <f aca="false">IF($K936="","",INDEX(Base!$G$5:$G$2004,$K936))</f>
        <v/>
      </c>
      <c r="F936" s="71" t="str">
        <f aca="false">IF($K936="","",INDEX(Base!$H$5:$H$2004,$K936))</f>
        <v/>
      </c>
      <c r="G936" s="71" t="str">
        <f aca="false">IF($K936="","",INDEX(Base!$I$5:$I$2004,$K936))</f>
        <v/>
      </c>
      <c r="H936" s="70" t="str">
        <f aca="false">IF($K936="","",INDEX(Base!$J$5:$J$2004,$K936))</f>
        <v/>
      </c>
      <c r="I936" s="71" t="str">
        <f aca="false">IF($K936="","",INDEX(Base!$L$5:$L$2004,$K936))</f>
        <v/>
      </c>
      <c r="J936" s="72" t="str">
        <f aca="false">IFERROR(SMALL(Base!$P$5:$P$2004,ROW()-5),"")</f>
        <v/>
      </c>
      <c r="K936" s="72" t="str">
        <f aca="false">IF(J936="","",MATCH(J936,Base!$P$5:$P$2004,0))</f>
        <v/>
      </c>
    </row>
    <row r="937" customFormat="false" ht="15" hidden="false" customHeight="false" outlineLevel="0" collapsed="false">
      <c r="A937" s="67" t="str">
        <f aca="false">IF($K937="","",ROW()-5)</f>
        <v/>
      </c>
      <c r="B937" s="68" t="str">
        <f aca="false">IF($K937="","",INDEX(Base!$E$5:$E$2004,$K937))</f>
        <v/>
      </c>
      <c r="C937" s="69" t="str">
        <f aca="false">IF($K937="","",B937)</f>
        <v/>
      </c>
      <c r="D937" s="70" t="str">
        <f aca="false">IF($K937="","",INDEX(Base!$F$5:$F$2004,$K937))</f>
        <v/>
      </c>
      <c r="E937" s="70" t="str">
        <f aca="false">IF($K937="","",INDEX(Base!$G$5:$G$2004,$K937))</f>
        <v/>
      </c>
      <c r="F937" s="71" t="str">
        <f aca="false">IF($K937="","",INDEX(Base!$H$5:$H$2004,$K937))</f>
        <v/>
      </c>
      <c r="G937" s="71" t="str">
        <f aca="false">IF($K937="","",INDEX(Base!$I$5:$I$2004,$K937))</f>
        <v/>
      </c>
      <c r="H937" s="70" t="str">
        <f aca="false">IF($K937="","",INDEX(Base!$J$5:$J$2004,$K937))</f>
        <v/>
      </c>
      <c r="I937" s="71" t="str">
        <f aca="false">IF($K937="","",INDEX(Base!$L$5:$L$2004,$K937))</f>
        <v/>
      </c>
      <c r="J937" s="72" t="str">
        <f aca="false">IFERROR(SMALL(Base!$P$5:$P$2004,ROW()-5),"")</f>
        <v/>
      </c>
      <c r="K937" s="72" t="str">
        <f aca="false">IF(J937="","",MATCH(J937,Base!$P$5:$P$2004,0))</f>
        <v/>
      </c>
    </row>
    <row r="938" customFormat="false" ht="15" hidden="false" customHeight="false" outlineLevel="0" collapsed="false">
      <c r="A938" s="67" t="str">
        <f aca="false">IF($K938="","",ROW()-5)</f>
        <v/>
      </c>
      <c r="B938" s="68" t="str">
        <f aca="false">IF($K938="","",INDEX(Base!$E$5:$E$2004,$K938))</f>
        <v/>
      </c>
      <c r="C938" s="69" t="str">
        <f aca="false">IF($K938="","",B938)</f>
        <v/>
      </c>
      <c r="D938" s="70" t="str">
        <f aca="false">IF($K938="","",INDEX(Base!$F$5:$F$2004,$K938))</f>
        <v/>
      </c>
      <c r="E938" s="70" t="str">
        <f aca="false">IF($K938="","",INDEX(Base!$G$5:$G$2004,$K938))</f>
        <v/>
      </c>
      <c r="F938" s="71" t="str">
        <f aca="false">IF($K938="","",INDEX(Base!$H$5:$H$2004,$K938))</f>
        <v/>
      </c>
      <c r="G938" s="71" t="str">
        <f aca="false">IF($K938="","",INDEX(Base!$I$5:$I$2004,$K938))</f>
        <v/>
      </c>
      <c r="H938" s="70" t="str">
        <f aca="false">IF($K938="","",INDEX(Base!$J$5:$J$2004,$K938))</f>
        <v/>
      </c>
      <c r="I938" s="71" t="str">
        <f aca="false">IF($K938="","",INDEX(Base!$L$5:$L$2004,$K938))</f>
        <v/>
      </c>
      <c r="J938" s="72" t="str">
        <f aca="false">IFERROR(SMALL(Base!$P$5:$P$2004,ROW()-5),"")</f>
        <v/>
      </c>
      <c r="K938" s="72" t="str">
        <f aca="false">IF(J938="","",MATCH(J938,Base!$P$5:$P$2004,0))</f>
        <v/>
      </c>
    </row>
    <row r="939" customFormat="false" ht="15" hidden="false" customHeight="false" outlineLevel="0" collapsed="false">
      <c r="A939" s="67" t="str">
        <f aca="false">IF($K939="","",ROW()-5)</f>
        <v/>
      </c>
      <c r="B939" s="68" t="str">
        <f aca="false">IF($K939="","",INDEX(Base!$E$5:$E$2004,$K939))</f>
        <v/>
      </c>
      <c r="C939" s="69" t="str">
        <f aca="false">IF($K939="","",B939)</f>
        <v/>
      </c>
      <c r="D939" s="70" t="str">
        <f aca="false">IF($K939="","",INDEX(Base!$F$5:$F$2004,$K939))</f>
        <v/>
      </c>
      <c r="E939" s="70" t="str">
        <f aca="false">IF($K939="","",INDEX(Base!$G$5:$G$2004,$K939))</f>
        <v/>
      </c>
      <c r="F939" s="71" t="str">
        <f aca="false">IF($K939="","",INDEX(Base!$H$5:$H$2004,$K939))</f>
        <v/>
      </c>
      <c r="G939" s="71" t="str">
        <f aca="false">IF($K939="","",INDEX(Base!$I$5:$I$2004,$K939))</f>
        <v/>
      </c>
      <c r="H939" s="70" t="str">
        <f aca="false">IF($K939="","",INDEX(Base!$J$5:$J$2004,$K939))</f>
        <v/>
      </c>
      <c r="I939" s="71" t="str">
        <f aca="false">IF($K939="","",INDEX(Base!$L$5:$L$2004,$K939))</f>
        <v/>
      </c>
      <c r="J939" s="72" t="str">
        <f aca="false">IFERROR(SMALL(Base!$P$5:$P$2004,ROW()-5),"")</f>
        <v/>
      </c>
      <c r="K939" s="72" t="str">
        <f aca="false">IF(J939="","",MATCH(J939,Base!$P$5:$P$2004,0))</f>
        <v/>
      </c>
    </row>
    <row r="940" customFormat="false" ht="15" hidden="false" customHeight="false" outlineLevel="0" collapsed="false">
      <c r="A940" s="67" t="str">
        <f aca="false">IF($K940="","",ROW()-5)</f>
        <v/>
      </c>
      <c r="B940" s="68" t="str">
        <f aca="false">IF($K940="","",INDEX(Base!$E$5:$E$2004,$K940))</f>
        <v/>
      </c>
      <c r="C940" s="69" t="str">
        <f aca="false">IF($K940="","",B940)</f>
        <v/>
      </c>
      <c r="D940" s="70" t="str">
        <f aca="false">IF($K940="","",INDEX(Base!$F$5:$F$2004,$K940))</f>
        <v/>
      </c>
      <c r="E940" s="70" t="str">
        <f aca="false">IF($K940="","",INDEX(Base!$G$5:$G$2004,$K940))</f>
        <v/>
      </c>
      <c r="F940" s="71" t="str">
        <f aca="false">IF($K940="","",INDEX(Base!$H$5:$H$2004,$K940))</f>
        <v/>
      </c>
      <c r="G940" s="71" t="str">
        <f aca="false">IF($K940="","",INDEX(Base!$I$5:$I$2004,$K940))</f>
        <v/>
      </c>
      <c r="H940" s="70" t="str">
        <f aca="false">IF($K940="","",INDEX(Base!$J$5:$J$2004,$K940))</f>
        <v/>
      </c>
      <c r="I940" s="71" t="str">
        <f aca="false">IF($K940="","",INDEX(Base!$L$5:$L$2004,$K940))</f>
        <v/>
      </c>
      <c r="J940" s="72" t="str">
        <f aca="false">IFERROR(SMALL(Base!$P$5:$P$2004,ROW()-5),"")</f>
        <v/>
      </c>
      <c r="K940" s="72" t="str">
        <f aca="false">IF(J940="","",MATCH(J940,Base!$P$5:$P$2004,0))</f>
        <v/>
      </c>
    </row>
    <row r="941" customFormat="false" ht="15" hidden="false" customHeight="false" outlineLevel="0" collapsed="false">
      <c r="A941" s="67" t="str">
        <f aca="false">IF($K941="","",ROW()-5)</f>
        <v/>
      </c>
      <c r="B941" s="68" t="str">
        <f aca="false">IF($K941="","",INDEX(Base!$E$5:$E$2004,$K941))</f>
        <v/>
      </c>
      <c r="C941" s="69" t="str">
        <f aca="false">IF($K941="","",B941)</f>
        <v/>
      </c>
      <c r="D941" s="70" t="str">
        <f aca="false">IF($K941="","",INDEX(Base!$F$5:$F$2004,$K941))</f>
        <v/>
      </c>
      <c r="E941" s="70" t="str">
        <f aca="false">IF($K941="","",INDEX(Base!$G$5:$G$2004,$K941))</f>
        <v/>
      </c>
      <c r="F941" s="71" t="str">
        <f aca="false">IF($K941="","",INDEX(Base!$H$5:$H$2004,$K941))</f>
        <v/>
      </c>
      <c r="G941" s="71" t="str">
        <f aca="false">IF($K941="","",INDEX(Base!$I$5:$I$2004,$K941))</f>
        <v/>
      </c>
      <c r="H941" s="70" t="str">
        <f aca="false">IF($K941="","",INDEX(Base!$J$5:$J$2004,$K941))</f>
        <v/>
      </c>
      <c r="I941" s="71" t="str">
        <f aca="false">IF($K941="","",INDEX(Base!$L$5:$L$2004,$K941))</f>
        <v/>
      </c>
      <c r="J941" s="72" t="str">
        <f aca="false">IFERROR(SMALL(Base!$P$5:$P$2004,ROW()-5),"")</f>
        <v/>
      </c>
      <c r="K941" s="72" t="str">
        <f aca="false">IF(J941="","",MATCH(J941,Base!$P$5:$P$2004,0))</f>
        <v/>
      </c>
    </row>
    <row r="942" customFormat="false" ht="15" hidden="false" customHeight="false" outlineLevel="0" collapsed="false">
      <c r="A942" s="67" t="str">
        <f aca="false">IF($K942="","",ROW()-5)</f>
        <v/>
      </c>
      <c r="B942" s="68" t="str">
        <f aca="false">IF($K942="","",INDEX(Base!$E$5:$E$2004,$K942))</f>
        <v/>
      </c>
      <c r="C942" s="69" t="str">
        <f aca="false">IF($K942="","",B942)</f>
        <v/>
      </c>
      <c r="D942" s="70" t="str">
        <f aca="false">IF($K942="","",INDEX(Base!$F$5:$F$2004,$K942))</f>
        <v/>
      </c>
      <c r="E942" s="70" t="str">
        <f aca="false">IF($K942="","",INDEX(Base!$G$5:$G$2004,$K942))</f>
        <v/>
      </c>
      <c r="F942" s="71" t="str">
        <f aca="false">IF($K942="","",INDEX(Base!$H$5:$H$2004,$K942))</f>
        <v/>
      </c>
      <c r="G942" s="71" t="str">
        <f aca="false">IF($K942="","",INDEX(Base!$I$5:$I$2004,$K942))</f>
        <v/>
      </c>
      <c r="H942" s="70" t="str">
        <f aca="false">IF($K942="","",INDEX(Base!$J$5:$J$2004,$K942))</f>
        <v/>
      </c>
      <c r="I942" s="71" t="str">
        <f aca="false">IF($K942="","",INDEX(Base!$L$5:$L$2004,$K942))</f>
        <v/>
      </c>
      <c r="J942" s="72" t="str">
        <f aca="false">IFERROR(SMALL(Base!$P$5:$P$2004,ROW()-5),"")</f>
        <v/>
      </c>
      <c r="K942" s="72" t="str">
        <f aca="false">IF(J942="","",MATCH(J942,Base!$P$5:$P$2004,0))</f>
        <v/>
      </c>
    </row>
    <row r="943" customFormat="false" ht="15" hidden="false" customHeight="false" outlineLevel="0" collapsed="false">
      <c r="A943" s="67" t="str">
        <f aca="false">IF($K943="","",ROW()-5)</f>
        <v/>
      </c>
      <c r="B943" s="68" t="str">
        <f aca="false">IF($K943="","",INDEX(Base!$E$5:$E$2004,$K943))</f>
        <v/>
      </c>
      <c r="C943" s="69" t="str">
        <f aca="false">IF($K943="","",B943)</f>
        <v/>
      </c>
      <c r="D943" s="70" t="str">
        <f aca="false">IF($K943="","",INDEX(Base!$F$5:$F$2004,$K943))</f>
        <v/>
      </c>
      <c r="E943" s="70" t="str">
        <f aca="false">IF($K943="","",INDEX(Base!$G$5:$G$2004,$K943))</f>
        <v/>
      </c>
      <c r="F943" s="71" t="str">
        <f aca="false">IF($K943="","",INDEX(Base!$H$5:$H$2004,$K943))</f>
        <v/>
      </c>
      <c r="G943" s="71" t="str">
        <f aca="false">IF($K943="","",INDEX(Base!$I$5:$I$2004,$K943))</f>
        <v/>
      </c>
      <c r="H943" s="70" t="str">
        <f aca="false">IF($K943="","",INDEX(Base!$J$5:$J$2004,$K943))</f>
        <v/>
      </c>
      <c r="I943" s="71" t="str">
        <f aca="false">IF($K943="","",INDEX(Base!$L$5:$L$2004,$K943))</f>
        <v/>
      </c>
      <c r="J943" s="72" t="str">
        <f aca="false">IFERROR(SMALL(Base!$P$5:$P$2004,ROW()-5),"")</f>
        <v/>
      </c>
      <c r="K943" s="72" t="str">
        <f aca="false">IF(J943="","",MATCH(J943,Base!$P$5:$P$2004,0))</f>
        <v/>
      </c>
    </row>
    <row r="944" customFormat="false" ht="15" hidden="false" customHeight="false" outlineLevel="0" collapsed="false">
      <c r="A944" s="67" t="str">
        <f aca="false">IF($K944="","",ROW()-5)</f>
        <v/>
      </c>
      <c r="B944" s="68" t="str">
        <f aca="false">IF($K944="","",INDEX(Base!$E$5:$E$2004,$K944))</f>
        <v/>
      </c>
      <c r="C944" s="69" t="str">
        <f aca="false">IF($K944="","",B944)</f>
        <v/>
      </c>
      <c r="D944" s="70" t="str">
        <f aca="false">IF($K944="","",INDEX(Base!$F$5:$F$2004,$K944))</f>
        <v/>
      </c>
      <c r="E944" s="70" t="str">
        <f aca="false">IF($K944="","",INDEX(Base!$G$5:$G$2004,$K944))</f>
        <v/>
      </c>
      <c r="F944" s="71" t="str">
        <f aca="false">IF($K944="","",INDEX(Base!$H$5:$H$2004,$K944))</f>
        <v/>
      </c>
      <c r="G944" s="71" t="str">
        <f aca="false">IF($K944="","",INDEX(Base!$I$5:$I$2004,$K944))</f>
        <v/>
      </c>
      <c r="H944" s="70" t="str">
        <f aca="false">IF($K944="","",INDEX(Base!$J$5:$J$2004,$K944))</f>
        <v/>
      </c>
      <c r="I944" s="71" t="str">
        <f aca="false">IF($K944="","",INDEX(Base!$L$5:$L$2004,$K944))</f>
        <v/>
      </c>
      <c r="J944" s="72" t="str">
        <f aca="false">IFERROR(SMALL(Base!$P$5:$P$2004,ROW()-5),"")</f>
        <v/>
      </c>
      <c r="K944" s="72" t="str">
        <f aca="false">IF(J944="","",MATCH(J944,Base!$P$5:$P$2004,0))</f>
        <v/>
      </c>
    </row>
    <row r="945" customFormat="false" ht="15" hidden="false" customHeight="false" outlineLevel="0" collapsed="false">
      <c r="A945" s="67" t="str">
        <f aca="false">IF($K945="","",ROW()-5)</f>
        <v/>
      </c>
      <c r="B945" s="68" t="str">
        <f aca="false">IF($K945="","",INDEX(Base!$E$5:$E$2004,$K945))</f>
        <v/>
      </c>
      <c r="C945" s="69" t="str">
        <f aca="false">IF($K945="","",B945)</f>
        <v/>
      </c>
      <c r="D945" s="70" t="str">
        <f aca="false">IF($K945="","",INDEX(Base!$F$5:$F$2004,$K945))</f>
        <v/>
      </c>
      <c r="E945" s="70" t="str">
        <f aca="false">IF($K945="","",INDEX(Base!$G$5:$G$2004,$K945))</f>
        <v/>
      </c>
      <c r="F945" s="71" t="str">
        <f aca="false">IF($K945="","",INDEX(Base!$H$5:$H$2004,$K945))</f>
        <v/>
      </c>
      <c r="G945" s="71" t="str">
        <f aca="false">IF($K945="","",INDEX(Base!$I$5:$I$2004,$K945))</f>
        <v/>
      </c>
      <c r="H945" s="70" t="str">
        <f aca="false">IF($K945="","",INDEX(Base!$J$5:$J$2004,$K945))</f>
        <v/>
      </c>
      <c r="I945" s="71" t="str">
        <f aca="false">IF($K945="","",INDEX(Base!$L$5:$L$2004,$K945))</f>
        <v/>
      </c>
      <c r="J945" s="72" t="str">
        <f aca="false">IFERROR(SMALL(Base!$P$5:$P$2004,ROW()-5),"")</f>
        <v/>
      </c>
      <c r="K945" s="72" t="str">
        <f aca="false">IF(J945="","",MATCH(J945,Base!$P$5:$P$2004,0))</f>
        <v/>
      </c>
    </row>
    <row r="946" customFormat="false" ht="15" hidden="false" customHeight="false" outlineLevel="0" collapsed="false">
      <c r="A946" s="67" t="str">
        <f aca="false">IF($K946="","",ROW()-5)</f>
        <v/>
      </c>
      <c r="B946" s="68" t="str">
        <f aca="false">IF($K946="","",INDEX(Base!$E$5:$E$2004,$K946))</f>
        <v/>
      </c>
      <c r="C946" s="69" t="str">
        <f aca="false">IF($K946="","",B946)</f>
        <v/>
      </c>
      <c r="D946" s="70" t="str">
        <f aca="false">IF($K946="","",INDEX(Base!$F$5:$F$2004,$K946))</f>
        <v/>
      </c>
      <c r="E946" s="70" t="str">
        <f aca="false">IF($K946="","",INDEX(Base!$G$5:$G$2004,$K946))</f>
        <v/>
      </c>
      <c r="F946" s="71" t="str">
        <f aca="false">IF($K946="","",INDEX(Base!$H$5:$H$2004,$K946))</f>
        <v/>
      </c>
      <c r="G946" s="71" t="str">
        <f aca="false">IF($K946="","",INDEX(Base!$I$5:$I$2004,$K946))</f>
        <v/>
      </c>
      <c r="H946" s="70" t="str">
        <f aca="false">IF($K946="","",INDEX(Base!$J$5:$J$2004,$K946))</f>
        <v/>
      </c>
      <c r="I946" s="71" t="str">
        <f aca="false">IF($K946="","",INDEX(Base!$L$5:$L$2004,$K946))</f>
        <v/>
      </c>
      <c r="J946" s="72" t="str">
        <f aca="false">IFERROR(SMALL(Base!$P$5:$P$2004,ROW()-5),"")</f>
        <v/>
      </c>
      <c r="K946" s="72" t="str">
        <f aca="false">IF(J946="","",MATCH(J946,Base!$P$5:$P$2004,0))</f>
        <v/>
      </c>
    </row>
    <row r="947" customFormat="false" ht="15" hidden="false" customHeight="false" outlineLevel="0" collapsed="false">
      <c r="A947" s="67" t="str">
        <f aca="false">IF($K947="","",ROW()-5)</f>
        <v/>
      </c>
      <c r="B947" s="68" t="str">
        <f aca="false">IF($K947="","",INDEX(Base!$E$5:$E$2004,$K947))</f>
        <v/>
      </c>
      <c r="C947" s="69" t="str">
        <f aca="false">IF($K947="","",B947)</f>
        <v/>
      </c>
      <c r="D947" s="70" t="str">
        <f aca="false">IF($K947="","",INDEX(Base!$F$5:$F$2004,$K947))</f>
        <v/>
      </c>
      <c r="E947" s="70" t="str">
        <f aca="false">IF($K947="","",INDEX(Base!$G$5:$G$2004,$K947))</f>
        <v/>
      </c>
      <c r="F947" s="71" t="str">
        <f aca="false">IF($K947="","",INDEX(Base!$H$5:$H$2004,$K947))</f>
        <v/>
      </c>
      <c r="G947" s="71" t="str">
        <f aca="false">IF($K947="","",INDEX(Base!$I$5:$I$2004,$K947))</f>
        <v/>
      </c>
      <c r="H947" s="70" t="str">
        <f aca="false">IF($K947="","",INDEX(Base!$J$5:$J$2004,$K947))</f>
        <v/>
      </c>
      <c r="I947" s="71" t="str">
        <f aca="false">IF($K947="","",INDEX(Base!$L$5:$L$2004,$K947))</f>
        <v/>
      </c>
      <c r="J947" s="72" t="str">
        <f aca="false">IFERROR(SMALL(Base!$P$5:$P$2004,ROW()-5),"")</f>
        <v/>
      </c>
      <c r="K947" s="72" t="str">
        <f aca="false">IF(J947="","",MATCH(J947,Base!$P$5:$P$2004,0))</f>
        <v/>
      </c>
    </row>
    <row r="948" customFormat="false" ht="15" hidden="false" customHeight="false" outlineLevel="0" collapsed="false">
      <c r="A948" s="67" t="str">
        <f aca="false">IF($K948="","",ROW()-5)</f>
        <v/>
      </c>
      <c r="B948" s="68" t="str">
        <f aca="false">IF($K948="","",INDEX(Base!$E$5:$E$2004,$K948))</f>
        <v/>
      </c>
      <c r="C948" s="69" t="str">
        <f aca="false">IF($K948="","",B948)</f>
        <v/>
      </c>
      <c r="D948" s="70" t="str">
        <f aca="false">IF($K948="","",INDEX(Base!$F$5:$F$2004,$K948))</f>
        <v/>
      </c>
      <c r="E948" s="70" t="str">
        <f aca="false">IF($K948="","",INDEX(Base!$G$5:$G$2004,$K948))</f>
        <v/>
      </c>
      <c r="F948" s="71" t="str">
        <f aca="false">IF($K948="","",INDEX(Base!$H$5:$H$2004,$K948))</f>
        <v/>
      </c>
      <c r="G948" s="71" t="str">
        <f aca="false">IF($K948="","",INDEX(Base!$I$5:$I$2004,$K948))</f>
        <v/>
      </c>
      <c r="H948" s="70" t="str">
        <f aca="false">IF($K948="","",INDEX(Base!$J$5:$J$2004,$K948))</f>
        <v/>
      </c>
      <c r="I948" s="71" t="str">
        <f aca="false">IF($K948="","",INDEX(Base!$L$5:$L$2004,$K948))</f>
        <v/>
      </c>
      <c r="J948" s="72" t="str">
        <f aca="false">IFERROR(SMALL(Base!$P$5:$P$2004,ROW()-5),"")</f>
        <v/>
      </c>
      <c r="K948" s="72" t="str">
        <f aca="false">IF(J948="","",MATCH(J948,Base!$P$5:$P$2004,0))</f>
        <v/>
      </c>
    </row>
    <row r="949" customFormat="false" ht="15" hidden="false" customHeight="false" outlineLevel="0" collapsed="false">
      <c r="A949" s="67" t="str">
        <f aca="false">IF($K949="","",ROW()-5)</f>
        <v/>
      </c>
      <c r="B949" s="68" t="str">
        <f aca="false">IF($K949="","",INDEX(Base!$E$5:$E$2004,$K949))</f>
        <v/>
      </c>
      <c r="C949" s="69" t="str">
        <f aca="false">IF($K949="","",B949)</f>
        <v/>
      </c>
      <c r="D949" s="70" t="str">
        <f aca="false">IF($K949="","",INDEX(Base!$F$5:$F$2004,$K949))</f>
        <v/>
      </c>
      <c r="E949" s="70" t="str">
        <f aca="false">IF($K949="","",INDEX(Base!$G$5:$G$2004,$K949))</f>
        <v/>
      </c>
      <c r="F949" s="71" t="str">
        <f aca="false">IF($K949="","",INDEX(Base!$H$5:$H$2004,$K949))</f>
        <v/>
      </c>
      <c r="G949" s="71" t="str">
        <f aca="false">IF($K949="","",INDEX(Base!$I$5:$I$2004,$K949))</f>
        <v/>
      </c>
      <c r="H949" s="70" t="str">
        <f aca="false">IF($K949="","",INDEX(Base!$J$5:$J$2004,$K949))</f>
        <v/>
      </c>
      <c r="I949" s="71" t="str">
        <f aca="false">IF($K949="","",INDEX(Base!$L$5:$L$2004,$K949))</f>
        <v/>
      </c>
      <c r="J949" s="72" t="str">
        <f aca="false">IFERROR(SMALL(Base!$P$5:$P$2004,ROW()-5),"")</f>
        <v/>
      </c>
      <c r="K949" s="72" t="str">
        <f aca="false">IF(J949="","",MATCH(J949,Base!$P$5:$P$2004,0))</f>
        <v/>
      </c>
    </row>
    <row r="950" customFormat="false" ht="15" hidden="false" customHeight="false" outlineLevel="0" collapsed="false">
      <c r="A950" s="67" t="str">
        <f aca="false">IF($K950="","",ROW()-5)</f>
        <v/>
      </c>
      <c r="B950" s="68" t="str">
        <f aca="false">IF($K950="","",INDEX(Base!$E$5:$E$2004,$K950))</f>
        <v/>
      </c>
      <c r="C950" s="69" t="str">
        <f aca="false">IF($K950="","",B950)</f>
        <v/>
      </c>
      <c r="D950" s="70" t="str">
        <f aca="false">IF($K950="","",INDEX(Base!$F$5:$F$2004,$K950))</f>
        <v/>
      </c>
      <c r="E950" s="70" t="str">
        <f aca="false">IF($K950="","",INDEX(Base!$G$5:$G$2004,$K950))</f>
        <v/>
      </c>
      <c r="F950" s="71" t="str">
        <f aca="false">IF($K950="","",INDEX(Base!$H$5:$H$2004,$K950))</f>
        <v/>
      </c>
      <c r="G950" s="71" t="str">
        <f aca="false">IF($K950="","",INDEX(Base!$I$5:$I$2004,$K950))</f>
        <v/>
      </c>
      <c r="H950" s="70" t="str">
        <f aca="false">IF($K950="","",INDEX(Base!$J$5:$J$2004,$K950))</f>
        <v/>
      </c>
      <c r="I950" s="71" t="str">
        <f aca="false">IF($K950="","",INDEX(Base!$L$5:$L$2004,$K950))</f>
        <v/>
      </c>
      <c r="J950" s="72" t="str">
        <f aca="false">IFERROR(SMALL(Base!$P$5:$P$2004,ROW()-5),"")</f>
        <v/>
      </c>
      <c r="K950" s="72" t="str">
        <f aca="false">IF(J950="","",MATCH(J950,Base!$P$5:$P$2004,0))</f>
        <v/>
      </c>
    </row>
    <row r="951" customFormat="false" ht="15" hidden="false" customHeight="false" outlineLevel="0" collapsed="false">
      <c r="A951" s="67" t="str">
        <f aca="false">IF($K951="","",ROW()-5)</f>
        <v/>
      </c>
      <c r="B951" s="68" t="str">
        <f aca="false">IF($K951="","",INDEX(Base!$E$5:$E$2004,$K951))</f>
        <v/>
      </c>
      <c r="C951" s="69" t="str">
        <f aca="false">IF($K951="","",B951)</f>
        <v/>
      </c>
      <c r="D951" s="70" t="str">
        <f aca="false">IF($K951="","",INDEX(Base!$F$5:$F$2004,$K951))</f>
        <v/>
      </c>
      <c r="E951" s="70" t="str">
        <f aca="false">IF($K951="","",INDEX(Base!$G$5:$G$2004,$K951))</f>
        <v/>
      </c>
      <c r="F951" s="71" t="str">
        <f aca="false">IF($K951="","",INDEX(Base!$H$5:$H$2004,$K951))</f>
        <v/>
      </c>
      <c r="G951" s="71" t="str">
        <f aca="false">IF($K951="","",INDEX(Base!$I$5:$I$2004,$K951))</f>
        <v/>
      </c>
      <c r="H951" s="70" t="str">
        <f aca="false">IF($K951="","",INDEX(Base!$J$5:$J$2004,$K951))</f>
        <v/>
      </c>
      <c r="I951" s="71" t="str">
        <f aca="false">IF($K951="","",INDEX(Base!$L$5:$L$2004,$K951))</f>
        <v/>
      </c>
      <c r="J951" s="72" t="str">
        <f aca="false">IFERROR(SMALL(Base!$P$5:$P$2004,ROW()-5),"")</f>
        <v/>
      </c>
      <c r="K951" s="72" t="str">
        <f aca="false">IF(J951="","",MATCH(J951,Base!$P$5:$P$2004,0))</f>
        <v/>
      </c>
    </row>
    <row r="952" customFormat="false" ht="15" hidden="false" customHeight="false" outlineLevel="0" collapsed="false">
      <c r="A952" s="67" t="str">
        <f aca="false">IF($K952="","",ROW()-5)</f>
        <v/>
      </c>
      <c r="B952" s="68" t="str">
        <f aca="false">IF($K952="","",INDEX(Base!$E$5:$E$2004,$K952))</f>
        <v/>
      </c>
      <c r="C952" s="69" t="str">
        <f aca="false">IF($K952="","",B952)</f>
        <v/>
      </c>
      <c r="D952" s="70" t="str">
        <f aca="false">IF($K952="","",INDEX(Base!$F$5:$F$2004,$K952))</f>
        <v/>
      </c>
      <c r="E952" s="70" t="str">
        <f aca="false">IF($K952="","",INDEX(Base!$G$5:$G$2004,$K952))</f>
        <v/>
      </c>
      <c r="F952" s="71" t="str">
        <f aca="false">IF($K952="","",INDEX(Base!$H$5:$H$2004,$K952))</f>
        <v/>
      </c>
      <c r="G952" s="71" t="str">
        <f aca="false">IF($K952="","",INDEX(Base!$I$5:$I$2004,$K952))</f>
        <v/>
      </c>
      <c r="H952" s="70" t="str">
        <f aca="false">IF($K952="","",INDEX(Base!$J$5:$J$2004,$K952))</f>
        <v/>
      </c>
      <c r="I952" s="71" t="str">
        <f aca="false">IF($K952="","",INDEX(Base!$L$5:$L$2004,$K952))</f>
        <v/>
      </c>
      <c r="J952" s="72" t="str">
        <f aca="false">IFERROR(SMALL(Base!$P$5:$P$2004,ROW()-5),"")</f>
        <v/>
      </c>
      <c r="K952" s="72" t="str">
        <f aca="false">IF(J952="","",MATCH(J952,Base!$P$5:$P$2004,0))</f>
        <v/>
      </c>
    </row>
    <row r="953" customFormat="false" ht="15" hidden="false" customHeight="false" outlineLevel="0" collapsed="false">
      <c r="A953" s="67" t="str">
        <f aca="false">IF($K953="","",ROW()-5)</f>
        <v/>
      </c>
      <c r="B953" s="68" t="str">
        <f aca="false">IF($K953="","",INDEX(Base!$E$5:$E$2004,$K953))</f>
        <v/>
      </c>
      <c r="C953" s="69" t="str">
        <f aca="false">IF($K953="","",B953)</f>
        <v/>
      </c>
      <c r="D953" s="70" t="str">
        <f aca="false">IF($K953="","",INDEX(Base!$F$5:$F$2004,$K953))</f>
        <v/>
      </c>
      <c r="E953" s="70" t="str">
        <f aca="false">IF($K953="","",INDEX(Base!$G$5:$G$2004,$K953))</f>
        <v/>
      </c>
      <c r="F953" s="71" t="str">
        <f aca="false">IF($K953="","",INDEX(Base!$H$5:$H$2004,$K953))</f>
        <v/>
      </c>
      <c r="G953" s="71" t="str">
        <f aca="false">IF($K953="","",INDEX(Base!$I$5:$I$2004,$K953))</f>
        <v/>
      </c>
      <c r="H953" s="70" t="str">
        <f aca="false">IF($K953="","",INDEX(Base!$J$5:$J$2004,$K953))</f>
        <v/>
      </c>
      <c r="I953" s="71" t="str">
        <f aca="false">IF($K953="","",INDEX(Base!$L$5:$L$2004,$K953))</f>
        <v/>
      </c>
      <c r="J953" s="72" t="str">
        <f aca="false">IFERROR(SMALL(Base!$P$5:$P$2004,ROW()-5),"")</f>
        <v/>
      </c>
      <c r="K953" s="72" t="str">
        <f aca="false">IF(J953="","",MATCH(J953,Base!$P$5:$P$2004,0))</f>
        <v/>
      </c>
    </row>
    <row r="954" customFormat="false" ht="15" hidden="false" customHeight="false" outlineLevel="0" collapsed="false">
      <c r="A954" s="67" t="str">
        <f aca="false">IF($K954="","",ROW()-5)</f>
        <v/>
      </c>
      <c r="B954" s="68" t="str">
        <f aca="false">IF($K954="","",INDEX(Base!$E$5:$E$2004,$K954))</f>
        <v/>
      </c>
      <c r="C954" s="69" t="str">
        <f aca="false">IF($K954="","",B954)</f>
        <v/>
      </c>
      <c r="D954" s="70" t="str">
        <f aca="false">IF($K954="","",INDEX(Base!$F$5:$F$2004,$K954))</f>
        <v/>
      </c>
      <c r="E954" s="70" t="str">
        <f aca="false">IF($K954="","",INDEX(Base!$G$5:$G$2004,$K954))</f>
        <v/>
      </c>
      <c r="F954" s="71" t="str">
        <f aca="false">IF($K954="","",INDEX(Base!$H$5:$H$2004,$K954))</f>
        <v/>
      </c>
      <c r="G954" s="71" t="str">
        <f aca="false">IF($K954="","",INDEX(Base!$I$5:$I$2004,$K954))</f>
        <v/>
      </c>
      <c r="H954" s="70" t="str">
        <f aca="false">IF($K954="","",INDEX(Base!$J$5:$J$2004,$K954))</f>
        <v/>
      </c>
      <c r="I954" s="71" t="str">
        <f aca="false">IF($K954="","",INDEX(Base!$L$5:$L$2004,$K954))</f>
        <v/>
      </c>
      <c r="J954" s="72" t="str">
        <f aca="false">IFERROR(SMALL(Base!$P$5:$P$2004,ROW()-5),"")</f>
        <v/>
      </c>
      <c r="K954" s="72" t="str">
        <f aca="false">IF(J954="","",MATCH(J954,Base!$P$5:$P$2004,0))</f>
        <v/>
      </c>
    </row>
    <row r="955" customFormat="false" ht="15" hidden="false" customHeight="false" outlineLevel="0" collapsed="false">
      <c r="A955" s="67" t="str">
        <f aca="false">IF($K955="","",ROW()-5)</f>
        <v/>
      </c>
      <c r="B955" s="68" t="str">
        <f aca="false">IF($K955="","",INDEX(Base!$E$5:$E$2004,$K955))</f>
        <v/>
      </c>
      <c r="C955" s="69" t="str">
        <f aca="false">IF($K955="","",B955)</f>
        <v/>
      </c>
      <c r="D955" s="70" t="str">
        <f aca="false">IF($K955="","",INDEX(Base!$F$5:$F$2004,$K955))</f>
        <v/>
      </c>
      <c r="E955" s="70" t="str">
        <f aca="false">IF($K955="","",INDEX(Base!$G$5:$G$2004,$K955))</f>
        <v/>
      </c>
      <c r="F955" s="71" t="str">
        <f aca="false">IF($K955="","",INDEX(Base!$H$5:$H$2004,$K955))</f>
        <v/>
      </c>
      <c r="G955" s="71" t="str">
        <f aca="false">IF($K955="","",INDEX(Base!$I$5:$I$2004,$K955))</f>
        <v/>
      </c>
      <c r="H955" s="70" t="str">
        <f aca="false">IF($K955="","",INDEX(Base!$J$5:$J$2004,$K955))</f>
        <v/>
      </c>
      <c r="I955" s="71" t="str">
        <f aca="false">IF($K955="","",INDEX(Base!$L$5:$L$2004,$K955))</f>
        <v/>
      </c>
      <c r="J955" s="72" t="str">
        <f aca="false">IFERROR(SMALL(Base!$P$5:$P$2004,ROW()-5),"")</f>
        <v/>
      </c>
      <c r="K955" s="72" t="str">
        <f aca="false">IF(J955="","",MATCH(J955,Base!$P$5:$P$2004,0))</f>
        <v/>
      </c>
    </row>
    <row r="956" customFormat="false" ht="15" hidden="false" customHeight="false" outlineLevel="0" collapsed="false">
      <c r="A956" s="67" t="str">
        <f aca="false">IF($K956="","",ROW()-5)</f>
        <v/>
      </c>
      <c r="B956" s="68" t="str">
        <f aca="false">IF($K956="","",INDEX(Base!$E$5:$E$2004,$K956))</f>
        <v/>
      </c>
      <c r="C956" s="69" t="str">
        <f aca="false">IF($K956="","",B956)</f>
        <v/>
      </c>
      <c r="D956" s="70" t="str">
        <f aca="false">IF($K956="","",INDEX(Base!$F$5:$F$2004,$K956))</f>
        <v/>
      </c>
      <c r="E956" s="70" t="str">
        <f aca="false">IF($K956="","",INDEX(Base!$G$5:$G$2004,$K956))</f>
        <v/>
      </c>
      <c r="F956" s="71" t="str">
        <f aca="false">IF($K956="","",INDEX(Base!$H$5:$H$2004,$K956))</f>
        <v/>
      </c>
      <c r="G956" s="71" t="str">
        <f aca="false">IF($K956="","",INDEX(Base!$I$5:$I$2004,$K956))</f>
        <v/>
      </c>
      <c r="H956" s="70" t="str">
        <f aca="false">IF($K956="","",INDEX(Base!$J$5:$J$2004,$K956))</f>
        <v/>
      </c>
      <c r="I956" s="71" t="str">
        <f aca="false">IF($K956="","",INDEX(Base!$L$5:$L$2004,$K956))</f>
        <v/>
      </c>
      <c r="J956" s="72" t="str">
        <f aca="false">IFERROR(SMALL(Base!$P$5:$P$2004,ROW()-5),"")</f>
        <v/>
      </c>
      <c r="K956" s="72" t="str">
        <f aca="false">IF(J956="","",MATCH(J956,Base!$P$5:$P$2004,0))</f>
        <v/>
      </c>
    </row>
    <row r="957" customFormat="false" ht="15" hidden="false" customHeight="false" outlineLevel="0" collapsed="false">
      <c r="A957" s="67" t="str">
        <f aca="false">IF($K957="","",ROW()-5)</f>
        <v/>
      </c>
      <c r="B957" s="68" t="str">
        <f aca="false">IF($K957="","",INDEX(Base!$E$5:$E$2004,$K957))</f>
        <v/>
      </c>
      <c r="C957" s="69" t="str">
        <f aca="false">IF($K957="","",B957)</f>
        <v/>
      </c>
      <c r="D957" s="70" t="str">
        <f aca="false">IF($K957="","",INDEX(Base!$F$5:$F$2004,$K957))</f>
        <v/>
      </c>
      <c r="E957" s="70" t="str">
        <f aca="false">IF($K957="","",INDEX(Base!$G$5:$G$2004,$K957))</f>
        <v/>
      </c>
      <c r="F957" s="71" t="str">
        <f aca="false">IF($K957="","",INDEX(Base!$H$5:$H$2004,$K957))</f>
        <v/>
      </c>
      <c r="G957" s="71" t="str">
        <f aca="false">IF($K957="","",INDEX(Base!$I$5:$I$2004,$K957))</f>
        <v/>
      </c>
      <c r="H957" s="70" t="str">
        <f aca="false">IF($K957="","",INDEX(Base!$J$5:$J$2004,$K957))</f>
        <v/>
      </c>
      <c r="I957" s="71" t="str">
        <f aca="false">IF($K957="","",INDEX(Base!$L$5:$L$2004,$K957))</f>
        <v/>
      </c>
      <c r="J957" s="72" t="str">
        <f aca="false">IFERROR(SMALL(Base!$P$5:$P$2004,ROW()-5),"")</f>
        <v/>
      </c>
      <c r="K957" s="72" t="str">
        <f aca="false">IF(J957="","",MATCH(J957,Base!$P$5:$P$2004,0))</f>
        <v/>
      </c>
    </row>
    <row r="958" customFormat="false" ht="15" hidden="false" customHeight="false" outlineLevel="0" collapsed="false">
      <c r="A958" s="67" t="str">
        <f aca="false">IF($K958="","",ROW()-5)</f>
        <v/>
      </c>
      <c r="B958" s="68" t="str">
        <f aca="false">IF($K958="","",INDEX(Base!$E$5:$E$2004,$K958))</f>
        <v/>
      </c>
      <c r="C958" s="69" t="str">
        <f aca="false">IF($K958="","",B958)</f>
        <v/>
      </c>
      <c r="D958" s="70" t="str">
        <f aca="false">IF($K958="","",INDEX(Base!$F$5:$F$2004,$K958))</f>
        <v/>
      </c>
      <c r="E958" s="70" t="str">
        <f aca="false">IF($K958="","",INDEX(Base!$G$5:$G$2004,$K958))</f>
        <v/>
      </c>
      <c r="F958" s="71" t="str">
        <f aca="false">IF($K958="","",INDEX(Base!$H$5:$H$2004,$K958))</f>
        <v/>
      </c>
      <c r="G958" s="71" t="str">
        <f aca="false">IF($K958="","",INDEX(Base!$I$5:$I$2004,$K958))</f>
        <v/>
      </c>
      <c r="H958" s="70" t="str">
        <f aca="false">IF($K958="","",INDEX(Base!$J$5:$J$2004,$K958))</f>
        <v/>
      </c>
      <c r="I958" s="71" t="str">
        <f aca="false">IF($K958="","",INDEX(Base!$L$5:$L$2004,$K958))</f>
        <v/>
      </c>
      <c r="J958" s="72" t="str">
        <f aca="false">IFERROR(SMALL(Base!$P$5:$P$2004,ROW()-5),"")</f>
        <v/>
      </c>
      <c r="K958" s="72" t="str">
        <f aca="false">IF(J958="","",MATCH(J958,Base!$P$5:$P$2004,0))</f>
        <v/>
      </c>
    </row>
    <row r="959" customFormat="false" ht="15" hidden="false" customHeight="false" outlineLevel="0" collapsed="false">
      <c r="A959" s="67" t="str">
        <f aca="false">IF($K959="","",ROW()-5)</f>
        <v/>
      </c>
      <c r="B959" s="68" t="str">
        <f aca="false">IF($K959="","",INDEX(Base!$E$5:$E$2004,$K959))</f>
        <v/>
      </c>
      <c r="C959" s="69" t="str">
        <f aca="false">IF($K959="","",B959)</f>
        <v/>
      </c>
      <c r="D959" s="70" t="str">
        <f aca="false">IF($K959="","",INDEX(Base!$F$5:$F$2004,$K959))</f>
        <v/>
      </c>
      <c r="E959" s="70" t="str">
        <f aca="false">IF($K959="","",INDEX(Base!$G$5:$G$2004,$K959))</f>
        <v/>
      </c>
      <c r="F959" s="71" t="str">
        <f aca="false">IF($K959="","",INDEX(Base!$H$5:$H$2004,$K959))</f>
        <v/>
      </c>
      <c r="G959" s="71" t="str">
        <f aca="false">IF($K959="","",INDEX(Base!$I$5:$I$2004,$K959))</f>
        <v/>
      </c>
      <c r="H959" s="70" t="str">
        <f aca="false">IF($K959="","",INDEX(Base!$J$5:$J$2004,$K959))</f>
        <v/>
      </c>
      <c r="I959" s="71" t="str">
        <f aca="false">IF($K959="","",INDEX(Base!$L$5:$L$2004,$K959))</f>
        <v/>
      </c>
      <c r="J959" s="72" t="str">
        <f aca="false">IFERROR(SMALL(Base!$P$5:$P$2004,ROW()-5),"")</f>
        <v/>
      </c>
      <c r="K959" s="72" t="str">
        <f aca="false">IF(J959="","",MATCH(J959,Base!$P$5:$P$2004,0))</f>
        <v/>
      </c>
    </row>
    <row r="960" customFormat="false" ht="15" hidden="false" customHeight="false" outlineLevel="0" collapsed="false">
      <c r="A960" s="67" t="str">
        <f aca="false">IF($K960="","",ROW()-5)</f>
        <v/>
      </c>
      <c r="B960" s="68" t="str">
        <f aca="false">IF($K960="","",INDEX(Base!$E$5:$E$2004,$K960))</f>
        <v/>
      </c>
      <c r="C960" s="69" t="str">
        <f aca="false">IF($K960="","",B960)</f>
        <v/>
      </c>
      <c r="D960" s="70" t="str">
        <f aca="false">IF($K960="","",INDEX(Base!$F$5:$F$2004,$K960))</f>
        <v/>
      </c>
      <c r="E960" s="70" t="str">
        <f aca="false">IF($K960="","",INDEX(Base!$G$5:$G$2004,$K960))</f>
        <v/>
      </c>
      <c r="F960" s="71" t="str">
        <f aca="false">IF($K960="","",INDEX(Base!$H$5:$H$2004,$K960))</f>
        <v/>
      </c>
      <c r="G960" s="71" t="str">
        <f aca="false">IF($K960="","",INDEX(Base!$I$5:$I$2004,$K960))</f>
        <v/>
      </c>
      <c r="H960" s="70" t="str">
        <f aca="false">IF($K960="","",INDEX(Base!$J$5:$J$2004,$K960))</f>
        <v/>
      </c>
      <c r="I960" s="71" t="str">
        <f aca="false">IF($K960="","",INDEX(Base!$L$5:$L$2004,$K960))</f>
        <v/>
      </c>
      <c r="J960" s="72" t="str">
        <f aca="false">IFERROR(SMALL(Base!$P$5:$P$2004,ROW()-5),"")</f>
        <v/>
      </c>
      <c r="K960" s="72" t="str">
        <f aca="false">IF(J960="","",MATCH(J960,Base!$P$5:$P$2004,0))</f>
        <v/>
      </c>
    </row>
    <row r="961" customFormat="false" ht="15" hidden="false" customHeight="false" outlineLevel="0" collapsed="false">
      <c r="A961" s="67" t="str">
        <f aca="false">IF($K961="","",ROW()-5)</f>
        <v/>
      </c>
      <c r="B961" s="68" t="str">
        <f aca="false">IF($K961="","",INDEX(Base!$E$5:$E$2004,$K961))</f>
        <v/>
      </c>
      <c r="C961" s="69" t="str">
        <f aca="false">IF($K961="","",B961)</f>
        <v/>
      </c>
      <c r="D961" s="70" t="str">
        <f aca="false">IF($K961="","",INDEX(Base!$F$5:$F$2004,$K961))</f>
        <v/>
      </c>
      <c r="E961" s="70" t="str">
        <f aca="false">IF($K961="","",INDEX(Base!$G$5:$G$2004,$K961))</f>
        <v/>
      </c>
      <c r="F961" s="71" t="str">
        <f aca="false">IF($K961="","",INDEX(Base!$H$5:$H$2004,$K961))</f>
        <v/>
      </c>
      <c r="G961" s="71" t="str">
        <f aca="false">IF($K961="","",INDEX(Base!$I$5:$I$2004,$K961))</f>
        <v/>
      </c>
      <c r="H961" s="70" t="str">
        <f aca="false">IF($K961="","",INDEX(Base!$J$5:$J$2004,$K961))</f>
        <v/>
      </c>
      <c r="I961" s="71" t="str">
        <f aca="false">IF($K961="","",INDEX(Base!$L$5:$L$2004,$K961))</f>
        <v/>
      </c>
      <c r="J961" s="72" t="str">
        <f aca="false">IFERROR(SMALL(Base!$P$5:$P$2004,ROW()-5),"")</f>
        <v/>
      </c>
      <c r="K961" s="72" t="str">
        <f aca="false">IF(J961="","",MATCH(J961,Base!$P$5:$P$2004,0))</f>
        <v/>
      </c>
    </row>
    <row r="962" customFormat="false" ht="15" hidden="false" customHeight="false" outlineLevel="0" collapsed="false">
      <c r="A962" s="67" t="str">
        <f aca="false">IF($K962="","",ROW()-5)</f>
        <v/>
      </c>
      <c r="B962" s="68" t="str">
        <f aca="false">IF($K962="","",INDEX(Base!$E$5:$E$2004,$K962))</f>
        <v/>
      </c>
      <c r="C962" s="69" t="str">
        <f aca="false">IF($K962="","",B962)</f>
        <v/>
      </c>
      <c r="D962" s="70" t="str">
        <f aca="false">IF($K962="","",INDEX(Base!$F$5:$F$2004,$K962))</f>
        <v/>
      </c>
      <c r="E962" s="70" t="str">
        <f aca="false">IF($K962="","",INDEX(Base!$G$5:$G$2004,$K962))</f>
        <v/>
      </c>
      <c r="F962" s="71" t="str">
        <f aca="false">IF($K962="","",INDEX(Base!$H$5:$H$2004,$K962))</f>
        <v/>
      </c>
      <c r="G962" s="71" t="str">
        <f aca="false">IF($K962="","",INDEX(Base!$I$5:$I$2004,$K962))</f>
        <v/>
      </c>
      <c r="H962" s="70" t="str">
        <f aca="false">IF($K962="","",INDEX(Base!$J$5:$J$2004,$K962))</f>
        <v/>
      </c>
      <c r="I962" s="71" t="str">
        <f aca="false">IF($K962="","",INDEX(Base!$L$5:$L$2004,$K962))</f>
        <v/>
      </c>
      <c r="J962" s="72" t="str">
        <f aca="false">IFERROR(SMALL(Base!$P$5:$P$2004,ROW()-5),"")</f>
        <v/>
      </c>
      <c r="K962" s="72" t="str">
        <f aca="false">IF(J962="","",MATCH(J962,Base!$P$5:$P$2004,0))</f>
        <v/>
      </c>
    </row>
    <row r="963" customFormat="false" ht="15" hidden="false" customHeight="false" outlineLevel="0" collapsed="false">
      <c r="A963" s="67" t="str">
        <f aca="false">IF($K963="","",ROW()-5)</f>
        <v/>
      </c>
      <c r="B963" s="68" t="str">
        <f aca="false">IF($K963="","",INDEX(Base!$E$5:$E$2004,$K963))</f>
        <v/>
      </c>
      <c r="C963" s="69" t="str">
        <f aca="false">IF($K963="","",B963)</f>
        <v/>
      </c>
      <c r="D963" s="70" t="str">
        <f aca="false">IF($K963="","",INDEX(Base!$F$5:$F$2004,$K963))</f>
        <v/>
      </c>
      <c r="E963" s="70" t="str">
        <f aca="false">IF($K963="","",INDEX(Base!$G$5:$G$2004,$K963))</f>
        <v/>
      </c>
      <c r="F963" s="71" t="str">
        <f aca="false">IF($K963="","",INDEX(Base!$H$5:$H$2004,$K963))</f>
        <v/>
      </c>
      <c r="G963" s="71" t="str">
        <f aca="false">IF($K963="","",INDEX(Base!$I$5:$I$2004,$K963))</f>
        <v/>
      </c>
      <c r="H963" s="70" t="str">
        <f aca="false">IF($K963="","",INDEX(Base!$J$5:$J$2004,$K963))</f>
        <v/>
      </c>
      <c r="I963" s="71" t="str">
        <f aca="false">IF($K963="","",INDEX(Base!$L$5:$L$2004,$K963))</f>
        <v/>
      </c>
      <c r="J963" s="72" t="str">
        <f aca="false">IFERROR(SMALL(Base!$P$5:$P$2004,ROW()-5),"")</f>
        <v/>
      </c>
      <c r="K963" s="72" t="str">
        <f aca="false">IF(J963="","",MATCH(J963,Base!$P$5:$P$2004,0))</f>
        <v/>
      </c>
    </row>
    <row r="964" customFormat="false" ht="15" hidden="false" customHeight="false" outlineLevel="0" collapsed="false">
      <c r="A964" s="67" t="str">
        <f aca="false">IF($K964="","",ROW()-5)</f>
        <v/>
      </c>
      <c r="B964" s="68" t="str">
        <f aca="false">IF($K964="","",INDEX(Base!$E$5:$E$2004,$K964))</f>
        <v/>
      </c>
      <c r="C964" s="69" t="str">
        <f aca="false">IF($K964="","",B964)</f>
        <v/>
      </c>
      <c r="D964" s="70" t="str">
        <f aca="false">IF($K964="","",INDEX(Base!$F$5:$F$2004,$K964))</f>
        <v/>
      </c>
      <c r="E964" s="70" t="str">
        <f aca="false">IF($K964="","",INDEX(Base!$G$5:$G$2004,$K964))</f>
        <v/>
      </c>
      <c r="F964" s="71" t="str">
        <f aca="false">IF($K964="","",INDEX(Base!$H$5:$H$2004,$K964))</f>
        <v/>
      </c>
      <c r="G964" s="71" t="str">
        <f aca="false">IF($K964="","",INDEX(Base!$I$5:$I$2004,$K964))</f>
        <v/>
      </c>
      <c r="H964" s="70" t="str">
        <f aca="false">IF($K964="","",INDEX(Base!$J$5:$J$2004,$K964))</f>
        <v/>
      </c>
      <c r="I964" s="71" t="str">
        <f aca="false">IF($K964="","",INDEX(Base!$L$5:$L$2004,$K964))</f>
        <v/>
      </c>
      <c r="J964" s="72" t="str">
        <f aca="false">IFERROR(SMALL(Base!$P$5:$P$2004,ROW()-5),"")</f>
        <v/>
      </c>
      <c r="K964" s="72" t="str">
        <f aca="false">IF(J964="","",MATCH(J964,Base!$P$5:$P$2004,0))</f>
        <v/>
      </c>
    </row>
    <row r="965" customFormat="false" ht="15" hidden="false" customHeight="false" outlineLevel="0" collapsed="false">
      <c r="A965" s="67" t="str">
        <f aca="false">IF($K965="","",ROW()-5)</f>
        <v/>
      </c>
      <c r="B965" s="68" t="str">
        <f aca="false">IF($K965="","",INDEX(Base!$E$5:$E$2004,$K965))</f>
        <v/>
      </c>
      <c r="C965" s="69" t="str">
        <f aca="false">IF($K965="","",B965)</f>
        <v/>
      </c>
      <c r="D965" s="70" t="str">
        <f aca="false">IF($K965="","",INDEX(Base!$F$5:$F$2004,$K965))</f>
        <v/>
      </c>
      <c r="E965" s="70" t="str">
        <f aca="false">IF($K965="","",INDEX(Base!$G$5:$G$2004,$K965))</f>
        <v/>
      </c>
      <c r="F965" s="71" t="str">
        <f aca="false">IF($K965="","",INDEX(Base!$H$5:$H$2004,$K965))</f>
        <v/>
      </c>
      <c r="G965" s="71" t="str">
        <f aca="false">IF($K965="","",INDEX(Base!$I$5:$I$2004,$K965))</f>
        <v/>
      </c>
      <c r="H965" s="70" t="str">
        <f aca="false">IF($K965="","",INDEX(Base!$J$5:$J$2004,$K965))</f>
        <v/>
      </c>
      <c r="I965" s="71" t="str">
        <f aca="false">IF($K965="","",INDEX(Base!$L$5:$L$2004,$K965))</f>
        <v/>
      </c>
      <c r="J965" s="72" t="str">
        <f aca="false">IFERROR(SMALL(Base!$P$5:$P$2004,ROW()-5),"")</f>
        <v/>
      </c>
      <c r="K965" s="72" t="str">
        <f aca="false">IF(J965="","",MATCH(J965,Base!$P$5:$P$2004,0))</f>
        <v/>
      </c>
    </row>
    <row r="966" customFormat="false" ht="15" hidden="false" customHeight="false" outlineLevel="0" collapsed="false">
      <c r="A966" s="67" t="str">
        <f aca="false">IF($K966="","",ROW()-5)</f>
        <v/>
      </c>
      <c r="B966" s="68" t="str">
        <f aca="false">IF($K966="","",INDEX(Base!$E$5:$E$2004,$K966))</f>
        <v/>
      </c>
      <c r="C966" s="69" t="str">
        <f aca="false">IF($K966="","",B966)</f>
        <v/>
      </c>
      <c r="D966" s="70" t="str">
        <f aca="false">IF($K966="","",INDEX(Base!$F$5:$F$2004,$K966))</f>
        <v/>
      </c>
      <c r="E966" s="70" t="str">
        <f aca="false">IF($K966="","",INDEX(Base!$G$5:$G$2004,$K966))</f>
        <v/>
      </c>
      <c r="F966" s="71" t="str">
        <f aca="false">IF($K966="","",INDEX(Base!$H$5:$H$2004,$K966))</f>
        <v/>
      </c>
      <c r="G966" s="71" t="str">
        <f aca="false">IF($K966="","",INDEX(Base!$I$5:$I$2004,$K966))</f>
        <v/>
      </c>
      <c r="H966" s="70" t="str">
        <f aca="false">IF($K966="","",INDEX(Base!$J$5:$J$2004,$K966))</f>
        <v/>
      </c>
      <c r="I966" s="71" t="str">
        <f aca="false">IF($K966="","",INDEX(Base!$L$5:$L$2004,$K966))</f>
        <v/>
      </c>
      <c r="J966" s="72" t="str">
        <f aca="false">IFERROR(SMALL(Base!$P$5:$P$2004,ROW()-5),"")</f>
        <v/>
      </c>
      <c r="K966" s="72" t="str">
        <f aca="false">IF(J966="","",MATCH(J966,Base!$P$5:$P$2004,0))</f>
        <v/>
      </c>
    </row>
    <row r="967" customFormat="false" ht="15" hidden="false" customHeight="false" outlineLevel="0" collapsed="false">
      <c r="A967" s="67" t="str">
        <f aca="false">IF($K967="","",ROW()-5)</f>
        <v/>
      </c>
      <c r="B967" s="68" t="str">
        <f aca="false">IF($K967="","",INDEX(Base!$E$5:$E$2004,$K967))</f>
        <v/>
      </c>
      <c r="C967" s="69" t="str">
        <f aca="false">IF($K967="","",B967)</f>
        <v/>
      </c>
      <c r="D967" s="70" t="str">
        <f aca="false">IF($K967="","",INDEX(Base!$F$5:$F$2004,$K967))</f>
        <v/>
      </c>
      <c r="E967" s="70" t="str">
        <f aca="false">IF($K967="","",INDEX(Base!$G$5:$G$2004,$K967))</f>
        <v/>
      </c>
      <c r="F967" s="71" t="str">
        <f aca="false">IF($K967="","",INDEX(Base!$H$5:$H$2004,$K967))</f>
        <v/>
      </c>
      <c r="G967" s="71" t="str">
        <f aca="false">IF($K967="","",INDEX(Base!$I$5:$I$2004,$K967))</f>
        <v/>
      </c>
      <c r="H967" s="70" t="str">
        <f aca="false">IF($K967="","",INDEX(Base!$J$5:$J$2004,$K967))</f>
        <v/>
      </c>
      <c r="I967" s="71" t="str">
        <f aca="false">IF($K967="","",INDEX(Base!$L$5:$L$2004,$K967))</f>
        <v/>
      </c>
      <c r="J967" s="72" t="str">
        <f aca="false">IFERROR(SMALL(Base!$P$5:$P$2004,ROW()-5),"")</f>
        <v/>
      </c>
      <c r="K967" s="72" t="str">
        <f aca="false">IF(J967="","",MATCH(J967,Base!$P$5:$P$2004,0))</f>
        <v/>
      </c>
    </row>
    <row r="968" customFormat="false" ht="15" hidden="false" customHeight="false" outlineLevel="0" collapsed="false">
      <c r="A968" s="67" t="str">
        <f aca="false">IF($K968="","",ROW()-5)</f>
        <v/>
      </c>
      <c r="B968" s="68" t="str">
        <f aca="false">IF($K968="","",INDEX(Base!$E$5:$E$2004,$K968))</f>
        <v/>
      </c>
      <c r="C968" s="69" t="str">
        <f aca="false">IF($K968="","",B968)</f>
        <v/>
      </c>
      <c r="D968" s="70" t="str">
        <f aca="false">IF($K968="","",INDEX(Base!$F$5:$F$2004,$K968))</f>
        <v/>
      </c>
      <c r="E968" s="70" t="str">
        <f aca="false">IF($K968="","",INDEX(Base!$G$5:$G$2004,$K968))</f>
        <v/>
      </c>
      <c r="F968" s="71" t="str">
        <f aca="false">IF($K968="","",INDEX(Base!$H$5:$H$2004,$K968))</f>
        <v/>
      </c>
      <c r="G968" s="71" t="str">
        <f aca="false">IF($K968="","",INDEX(Base!$I$5:$I$2004,$K968))</f>
        <v/>
      </c>
      <c r="H968" s="70" t="str">
        <f aca="false">IF($K968="","",INDEX(Base!$J$5:$J$2004,$K968))</f>
        <v/>
      </c>
      <c r="I968" s="71" t="str">
        <f aca="false">IF($K968="","",INDEX(Base!$L$5:$L$2004,$K968))</f>
        <v/>
      </c>
      <c r="J968" s="72" t="str">
        <f aca="false">IFERROR(SMALL(Base!$P$5:$P$2004,ROW()-5),"")</f>
        <v/>
      </c>
      <c r="K968" s="72" t="str">
        <f aca="false">IF(J968="","",MATCH(J968,Base!$P$5:$P$2004,0))</f>
        <v/>
      </c>
    </row>
    <row r="969" customFormat="false" ht="15" hidden="false" customHeight="false" outlineLevel="0" collapsed="false">
      <c r="A969" s="67" t="str">
        <f aca="false">IF($K969="","",ROW()-5)</f>
        <v/>
      </c>
      <c r="B969" s="68" t="str">
        <f aca="false">IF($K969="","",INDEX(Base!$E$5:$E$2004,$K969))</f>
        <v/>
      </c>
      <c r="C969" s="69" t="str">
        <f aca="false">IF($K969="","",B969)</f>
        <v/>
      </c>
      <c r="D969" s="70" t="str">
        <f aca="false">IF($K969="","",INDEX(Base!$F$5:$F$2004,$K969))</f>
        <v/>
      </c>
      <c r="E969" s="70" t="str">
        <f aca="false">IF($K969="","",INDEX(Base!$G$5:$G$2004,$K969))</f>
        <v/>
      </c>
      <c r="F969" s="71" t="str">
        <f aca="false">IF($K969="","",INDEX(Base!$H$5:$H$2004,$K969))</f>
        <v/>
      </c>
      <c r="G969" s="71" t="str">
        <f aca="false">IF($K969="","",INDEX(Base!$I$5:$I$2004,$K969))</f>
        <v/>
      </c>
      <c r="H969" s="70" t="str">
        <f aca="false">IF($K969="","",INDEX(Base!$J$5:$J$2004,$K969))</f>
        <v/>
      </c>
      <c r="I969" s="71" t="str">
        <f aca="false">IF($K969="","",INDEX(Base!$L$5:$L$2004,$K969))</f>
        <v/>
      </c>
      <c r="J969" s="72" t="str">
        <f aca="false">IFERROR(SMALL(Base!$P$5:$P$2004,ROW()-5),"")</f>
        <v/>
      </c>
      <c r="K969" s="72" t="str">
        <f aca="false">IF(J969="","",MATCH(J969,Base!$P$5:$P$2004,0))</f>
        <v/>
      </c>
    </row>
    <row r="970" customFormat="false" ht="15" hidden="false" customHeight="false" outlineLevel="0" collapsed="false">
      <c r="A970" s="67" t="str">
        <f aca="false">IF($K970="","",ROW()-5)</f>
        <v/>
      </c>
      <c r="B970" s="68" t="str">
        <f aca="false">IF($K970="","",INDEX(Base!$E$5:$E$2004,$K970))</f>
        <v/>
      </c>
      <c r="C970" s="69" t="str">
        <f aca="false">IF($K970="","",B970)</f>
        <v/>
      </c>
      <c r="D970" s="70" t="str">
        <f aca="false">IF($K970="","",INDEX(Base!$F$5:$F$2004,$K970))</f>
        <v/>
      </c>
      <c r="E970" s="70" t="str">
        <f aca="false">IF($K970="","",INDEX(Base!$G$5:$G$2004,$K970))</f>
        <v/>
      </c>
      <c r="F970" s="71" t="str">
        <f aca="false">IF($K970="","",INDEX(Base!$H$5:$H$2004,$K970))</f>
        <v/>
      </c>
      <c r="G970" s="71" t="str">
        <f aca="false">IF($K970="","",INDEX(Base!$I$5:$I$2004,$K970))</f>
        <v/>
      </c>
      <c r="H970" s="70" t="str">
        <f aca="false">IF($K970="","",INDEX(Base!$J$5:$J$2004,$K970))</f>
        <v/>
      </c>
      <c r="I970" s="71" t="str">
        <f aca="false">IF($K970="","",INDEX(Base!$L$5:$L$2004,$K970))</f>
        <v/>
      </c>
      <c r="J970" s="72" t="str">
        <f aca="false">IFERROR(SMALL(Base!$P$5:$P$2004,ROW()-5),"")</f>
        <v/>
      </c>
      <c r="K970" s="72" t="str">
        <f aca="false">IF(J970="","",MATCH(J970,Base!$P$5:$P$2004,0))</f>
        <v/>
      </c>
    </row>
    <row r="971" customFormat="false" ht="15" hidden="false" customHeight="false" outlineLevel="0" collapsed="false">
      <c r="A971" s="67" t="str">
        <f aca="false">IF($K971="","",ROW()-5)</f>
        <v/>
      </c>
      <c r="B971" s="68" t="str">
        <f aca="false">IF($K971="","",INDEX(Base!$E$5:$E$2004,$K971))</f>
        <v/>
      </c>
      <c r="C971" s="69" t="str">
        <f aca="false">IF($K971="","",B971)</f>
        <v/>
      </c>
      <c r="D971" s="70" t="str">
        <f aca="false">IF($K971="","",INDEX(Base!$F$5:$F$2004,$K971))</f>
        <v/>
      </c>
      <c r="E971" s="70" t="str">
        <f aca="false">IF($K971="","",INDEX(Base!$G$5:$G$2004,$K971))</f>
        <v/>
      </c>
      <c r="F971" s="71" t="str">
        <f aca="false">IF($K971="","",INDEX(Base!$H$5:$H$2004,$K971))</f>
        <v/>
      </c>
      <c r="G971" s="71" t="str">
        <f aca="false">IF($K971="","",INDEX(Base!$I$5:$I$2004,$K971))</f>
        <v/>
      </c>
      <c r="H971" s="70" t="str">
        <f aca="false">IF($K971="","",INDEX(Base!$J$5:$J$2004,$K971))</f>
        <v/>
      </c>
      <c r="I971" s="71" t="str">
        <f aca="false">IF($K971="","",INDEX(Base!$L$5:$L$2004,$K971))</f>
        <v/>
      </c>
      <c r="J971" s="72" t="str">
        <f aca="false">IFERROR(SMALL(Base!$P$5:$P$2004,ROW()-5),"")</f>
        <v/>
      </c>
      <c r="K971" s="72" t="str">
        <f aca="false">IF(J971="","",MATCH(J971,Base!$P$5:$P$2004,0))</f>
        <v/>
      </c>
    </row>
    <row r="972" customFormat="false" ht="15" hidden="false" customHeight="false" outlineLevel="0" collapsed="false">
      <c r="A972" s="67" t="str">
        <f aca="false">IF($K972="","",ROW()-5)</f>
        <v/>
      </c>
      <c r="B972" s="68" t="str">
        <f aca="false">IF($K972="","",INDEX(Base!$E$5:$E$2004,$K972))</f>
        <v/>
      </c>
      <c r="C972" s="69" t="str">
        <f aca="false">IF($K972="","",B972)</f>
        <v/>
      </c>
      <c r="D972" s="70" t="str">
        <f aca="false">IF($K972="","",INDEX(Base!$F$5:$F$2004,$K972))</f>
        <v/>
      </c>
      <c r="E972" s="70" t="str">
        <f aca="false">IF($K972="","",INDEX(Base!$G$5:$G$2004,$K972))</f>
        <v/>
      </c>
      <c r="F972" s="71" t="str">
        <f aca="false">IF($K972="","",INDEX(Base!$H$5:$H$2004,$K972))</f>
        <v/>
      </c>
      <c r="G972" s="71" t="str">
        <f aca="false">IF($K972="","",INDEX(Base!$I$5:$I$2004,$K972))</f>
        <v/>
      </c>
      <c r="H972" s="70" t="str">
        <f aca="false">IF($K972="","",INDEX(Base!$J$5:$J$2004,$K972))</f>
        <v/>
      </c>
      <c r="I972" s="71" t="str">
        <f aca="false">IF($K972="","",INDEX(Base!$L$5:$L$2004,$K972))</f>
        <v/>
      </c>
      <c r="J972" s="72" t="str">
        <f aca="false">IFERROR(SMALL(Base!$P$5:$P$2004,ROW()-5),"")</f>
        <v/>
      </c>
      <c r="K972" s="72" t="str">
        <f aca="false">IF(J972="","",MATCH(J972,Base!$P$5:$P$2004,0))</f>
        <v/>
      </c>
    </row>
    <row r="973" customFormat="false" ht="15" hidden="false" customHeight="false" outlineLevel="0" collapsed="false">
      <c r="A973" s="67" t="str">
        <f aca="false">IF($K973="","",ROW()-5)</f>
        <v/>
      </c>
      <c r="B973" s="68" t="str">
        <f aca="false">IF($K973="","",INDEX(Base!$E$5:$E$2004,$K973))</f>
        <v/>
      </c>
      <c r="C973" s="69" t="str">
        <f aca="false">IF($K973="","",B973)</f>
        <v/>
      </c>
      <c r="D973" s="70" t="str">
        <f aca="false">IF($K973="","",INDEX(Base!$F$5:$F$2004,$K973))</f>
        <v/>
      </c>
      <c r="E973" s="70" t="str">
        <f aca="false">IF($K973="","",INDEX(Base!$G$5:$G$2004,$K973))</f>
        <v/>
      </c>
      <c r="F973" s="71" t="str">
        <f aca="false">IF($K973="","",INDEX(Base!$H$5:$H$2004,$K973))</f>
        <v/>
      </c>
      <c r="G973" s="71" t="str">
        <f aca="false">IF($K973="","",INDEX(Base!$I$5:$I$2004,$K973))</f>
        <v/>
      </c>
      <c r="H973" s="70" t="str">
        <f aca="false">IF($K973="","",INDEX(Base!$J$5:$J$2004,$K973))</f>
        <v/>
      </c>
      <c r="I973" s="71" t="str">
        <f aca="false">IF($K973="","",INDEX(Base!$L$5:$L$2004,$K973))</f>
        <v/>
      </c>
      <c r="J973" s="72" t="str">
        <f aca="false">IFERROR(SMALL(Base!$P$5:$P$2004,ROW()-5),"")</f>
        <v/>
      </c>
      <c r="K973" s="72" t="str">
        <f aca="false">IF(J973="","",MATCH(J973,Base!$P$5:$P$2004,0))</f>
        <v/>
      </c>
    </row>
    <row r="974" customFormat="false" ht="15" hidden="false" customHeight="false" outlineLevel="0" collapsed="false">
      <c r="A974" s="67" t="str">
        <f aca="false">IF($K974="","",ROW()-5)</f>
        <v/>
      </c>
      <c r="B974" s="68" t="str">
        <f aca="false">IF($K974="","",INDEX(Base!$E$5:$E$2004,$K974))</f>
        <v/>
      </c>
      <c r="C974" s="69" t="str">
        <f aca="false">IF($K974="","",B974)</f>
        <v/>
      </c>
      <c r="D974" s="70" t="str">
        <f aca="false">IF($K974="","",INDEX(Base!$F$5:$F$2004,$K974))</f>
        <v/>
      </c>
      <c r="E974" s="70" t="str">
        <f aca="false">IF($K974="","",INDEX(Base!$G$5:$G$2004,$K974))</f>
        <v/>
      </c>
      <c r="F974" s="71" t="str">
        <f aca="false">IF($K974="","",INDEX(Base!$H$5:$H$2004,$K974))</f>
        <v/>
      </c>
      <c r="G974" s="71" t="str">
        <f aca="false">IF($K974="","",INDEX(Base!$I$5:$I$2004,$K974))</f>
        <v/>
      </c>
      <c r="H974" s="70" t="str">
        <f aca="false">IF($K974="","",INDEX(Base!$J$5:$J$2004,$K974))</f>
        <v/>
      </c>
      <c r="I974" s="71" t="str">
        <f aca="false">IF($K974="","",INDEX(Base!$L$5:$L$2004,$K974))</f>
        <v/>
      </c>
      <c r="J974" s="72" t="str">
        <f aca="false">IFERROR(SMALL(Base!$P$5:$P$2004,ROW()-5),"")</f>
        <v/>
      </c>
      <c r="K974" s="72" t="str">
        <f aca="false">IF(J974="","",MATCH(J974,Base!$P$5:$P$2004,0))</f>
        <v/>
      </c>
    </row>
    <row r="975" customFormat="false" ht="15" hidden="false" customHeight="false" outlineLevel="0" collapsed="false">
      <c r="A975" s="67" t="str">
        <f aca="false">IF($K975="","",ROW()-5)</f>
        <v/>
      </c>
      <c r="B975" s="68" t="str">
        <f aca="false">IF($K975="","",INDEX(Base!$E$5:$E$2004,$K975))</f>
        <v/>
      </c>
      <c r="C975" s="69" t="str">
        <f aca="false">IF($K975="","",B975)</f>
        <v/>
      </c>
      <c r="D975" s="70" t="str">
        <f aca="false">IF($K975="","",INDEX(Base!$F$5:$F$2004,$K975))</f>
        <v/>
      </c>
      <c r="E975" s="70" t="str">
        <f aca="false">IF($K975="","",INDEX(Base!$G$5:$G$2004,$K975))</f>
        <v/>
      </c>
      <c r="F975" s="71" t="str">
        <f aca="false">IF($K975="","",INDEX(Base!$H$5:$H$2004,$K975))</f>
        <v/>
      </c>
      <c r="G975" s="71" t="str">
        <f aca="false">IF($K975="","",INDEX(Base!$I$5:$I$2004,$K975))</f>
        <v/>
      </c>
      <c r="H975" s="70" t="str">
        <f aca="false">IF($K975="","",INDEX(Base!$J$5:$J$2004,$K975))</f>
        <v/>
      </c>
      <c r="I975" s="71" t="str">
        <f aca="false">IF($K975="","",INDEX(Base!$L$5:$L$2004,$K975))</f>
        <v/>
      </c>
      <c r="J975" s="72" t="str">
        <f aca="false">IFERROR(SMALL(Base!$P$5:$P$2004,ROW()-5),"")</f>
        <v/>
      </c>
      <c r="K975" s="72" t="str">
        <f aca="false">IF(J975="","",MATCH(J975,Base!$P$5:$P$2004,0))</f>
        <v/>
      </c>
    </row>
    <row r="976" customFormat="false" ht="15" hidden="false" customHeight="false" outlineLevel="0" collapsed="false">
      <c r="A976" s="67" t="str">
        <f aca="false">IF($K976="","",ROW()-5)</f>
        <v/>
      </c>
      <c r="B976" s="68" t="str">
        <f aca="false">IF($K976="","",INDEX(Base!$E$5:$E$2004,$K976))</f>
        <v/>
      </c>
      <c r="C976" s="69" t="str">
        <f aca="false">IF($K976="","",B976)</f>
        <v/>
      </c>
      <c r="D976" s="70" t="str">
        <f aca="false">IF($K976="","",INDEX(Base!$F$5:$F$2004,$K976))</f>
        <v/>
      </c>
      <c r="E976" s="70" t="str">
        <f aca="false">IF($K976="","",INDEX(Base!$G$5:$G$2004,$K976))</f>
        <v/>
      </c>
      <c r="F976" s="71" t="str">
        <f aca="false">IF($K976="","",INDEX(Base!$H$5:$H$2004,$K976))</f>
        <v/>
      </c>
      <c r="G976" s="71" t="str">
        <f aca="false">IF($K976="","",INDEX(Base!$I$5:$I$2004,$K976))</f>
        <v/>
      </c>
      <c r="H976" s="70" t="str">
        <f aca="false">IF($K976="","",INDEX(Base!$J$5:$J$2004,$K976))</f>
        <v/>
      </c>
      <c r="I976" s="71" t="str">
        <f aca="false">IF($K976="","",INDEX(Base!$L$5:$L$2004,$K976))</f>
        <v/>
      </c>
      <c r="J976" s="72" t="str">
        <f aca="false">IFERROR(SMALL(Base!$P$5:$P$2004,ROW()-5),"")</f>
        <v/>
      </c>
      <c r="K976" s="72" t="str">
        <f aca="false">IF(J976="","",MATCH(J976,Base!$P$5:$P$2004,0))</f>
        <v/>
      </c>
    </row>
    <row r="977" customFormat="false" ht="15" hidden="false" customHeight="false" outlineLevel="0" collapsed="false">
      <c r="A977" s="67" t="str">
        <f aca="false">IF($K977="","",ROW()-5)</f>
        <v/>
      </c>
      <c r="B977" s="68" t="str">
        <f aca="false">IF($K977="","",INDEX(Base!$E$5:$E$2004,$K977))</f>
        <v/>
      </c>
      <c r="C977" s="69" t="str">
        <f aca="false">IF($K977="","",B977)</f>
        <v/>
      </c>
      <c r="D977" s="70" t="str">
        <f aca="false">IF($K977="","",INDEX(Base!$F$5:$F$2004,$K977))</f>
        <v/>
      </c>
      <c r="E977" s="70" t="str">
        <f aca="false">IF($K977="","",INDEX(Base!$G$5:$G$2004,$K977))</f>
        <v/>
      </c>
      <c r="F977" s="71" t="str">
        <f aca="false">IF($K977="","",INDEX(Base!$H$5:$H$2004,$K977))</f>
        <v/>
      </c>
      <c r="G977" s="71" t="str">
        <f aca="false">IF($K977="","",INDEX(Base!$I$5:$I$2004,$K977))</f>
        <v/>
      </c>
      <c r="H977" s="70" t="str">
        <f aca="false">IF($K977="","",INDEX(Base!$J$5:$J$2004,$K977))</f>
        <v/>
      </c>
      <c r="I977" s="71" t="str">
        <f aca="false">IF($K977="","",INDEX(Base!$L$5:$L$2004,$K977))</f>
        <v/>
      </c>
      <c r="J977" s="72" t="str">
        <f aca="false">IFERROR(SMALL(Base!$P$5:$P$2004,ROW()-5),"")</f>
        <v/>
      </c>
      <c r="K977" s="72" t="str">
        <f aca="false">IF(J977="","",MATCH(J977,Base!$P$5:$P$2004,0))</f>
        <v/>
      </c>
    </row>
    <row r="978" customFormat="false" ht="15" hidden="false" customHeight="false" outlineLevel="0" collapsed="false">
      <c r="A978" s="67" t="str">
        <f aca="false">IF($K978="","",ROW()-5)</f>
        <v/>
      </c>
      <c r="B978" s="68" t="str">
        <f aca="false">IF($K978="","",INDEX(Base!$E$5:$E$2004,$K978))</f>
        <v/>
      </c>
      <c r="C978" s="69" t="str">
        <f aca="false">IF($K978="","",B978)</f>
        <v/>
      </c>
      <c r="D978" s="70" t="str">
        <f aca="false">IF($K978="","",INDEX(Base!$F$5:$F$2004,$K978))</f>
        <v/>
      </c>
      <c r="E978" s="70" t="str">
        <f aca="false">IF($K978="","",INDEX(Base!$G$5:$G$2004,$K978))</f>
        <v/>
      </c>
      <c r="F978" s="71" t="str">
        <f aca="false">IF($K978="","",INDEX(Base!$H$5:$H$2004,$K978))</f>
        <v/>
      </c>
      <c r="G978" s="71" t="str">
        <f aca="false">IF($K978="","",INDEX(Base!$I$5:$I$2004,$K978))</f>
        <v/>
      </c>
      <c r="H978" s="70" t="str">
        <f aca="false">IF($K978="","",INDEX(Base!$J$5:$J$2004,$K978))</f>
        <v/>
      </c>
      <c r="I978" s="71" t="str">
        <f aca="false">IF($K978="","",INDEX(Base!$L$5:$L$2004,$K978))</f>
        <v/>
      </c>
      <c r="J978" s="72" t="str">
        <f aca="false">IFERROR(SMALL(Base!$P$5:$P$2004,ROW()-5),"")</f>
        <v/>
      </c>
      <c r="K978" s="72" t="str">
        <f aca="false">IF(J978="","",MATCH(J978,Base!$P$5:$P$2004,0))</f>
        <v/>
      </c>
    </row>
    <row r="979" customFormat="false" ht="15" hidden="false" customHeight="false" outlineLevel="0" collapsed="false">
      <c r="A979" s="67" t="str">
        <f aca="false">IF($K979="","",ROW()-5)</f>
        <v/>
      </c>
      <c r="B979" s="68" t="str">
        <f aca="false">IF($K979="","",INDEX(Base!$E$5:$E$2004,$K979))</f>
        <v/>
      </c>
      <c r="C979" s="69" t="str">
        <f aca="false">IF($K979="","",B979)</f>
        <v/>
      </c>
      <c r="D979" s="70" t="str">
        <f aca="false">IF($K979="","",INDEX(Base!$F$5:$F$2004,$K979))</f>
        <v/>
      </c>
      <c r="E979" s="70" t="str">
        <f aca="false">IF($K979="","",INDEX(Base!$G$5:$G$2004,$K979))</f>
        <v/>
      </c>
      <c r="F979" s="71" t="str">
        <f aca="false">IF($K979="","",INDEX(Base!$H$5:$H$2004,$K979))</f>
        <v/>
      </c>
      <c r="G979" s="71" t="str">
        <f aca="false">IF($K979="","",INDEX(Base!$I$5:$I$2004,$K979))</f>
        <v/>
      </c>
      <c r="H979" s="70" t="str">
        <f aca="false">IF($K979="","",INDEX(Base!$J$5:$J$2004,$K979))</f>
        <v/>
      </c>
      <c r="I979" s="71" t="str">
        <f aca="false">IF($K979="","",INDEX(Base!$L$5:$L$2004,$K979))</f>
        <v/>
      </c>
      <c r="J979" s="72" t="str">
        <f aca="false">IFERROR(SMALL(Base!$P$5:$P$2004,ROW()-5),"")</f>
        <v/>
      </c>
      <c r="K979" s="72" t="str">
        <f aca="false">IF(J979="","",MATCH(J979,Base!$P$5:$P$2004,0))</f>
        <v/>
      </c>
    </row>
    <row r="980" customFormat="false" ht="15" hidden="false" customHeight="false" outlineLevel="0" collapsed="false">
      <c r="A980" s="67" t="str">
        <f aca="false">IF($K980="","",ROW()-5)</f>
        <v/>
      </c>
      <c r="B980" s="68" t="str">
        <f aca="false">IF($K980="","",INDEX(Base!$E$5:$E$2004,$K980))</f>
        <v/>
      </c>
      <c r="C980" s="69" t="str">
        <f aca="false">IF($K980="","",B980)</f>
        <v/>
      </c>
      <c r="D980" s="70" t="str">
        <f aca="false">IF($K980="","",INDEX(Base!$F$5:$F$2004,$K980))</f>
        <v/>
      </c>
      <c r="E980" s="70" t="str">
        <f aca="false">IF($K980="","",INDEX(Base!$G$5:$G$2004,$K980))</f>
        <v/>
      </c>
      <c r="F980" s="71" t="str">
        <f aca="false">IF($K980="","",INDEX(Base!$H$5:$H$2004,$K980))</f>
        <v/>
      </c>
      <c r="G980" s="71" t="str">
        <f aca="false">IF($K980="","",INDEX(Base!$I$5:$I$2004,$K980))</f>
        <v/>
      </c>
      <c r="H980" s="70" t="str">
        <f aca="false">IF($K980="","",INDEX(Base!$J$5:$J$2004,$K980))</f>
        <v/>
      </c>
      <c r="I980" s="71" t="str">
        <f aca="false">IF($K980="","",INDEX(Base!$L$5:$L$2004,$K980))</f>
        <v/>
      </c>
      <c r="J980" s="72" t="str">
        <f aca="false">IFERROR(SMALL(Base!$P$5:$P$2004,ROW()-5),"")</f>
        <v/>
      </c>
      <c r="K980" s="72" t="str">
        <f aca="false">IF(J980="","",MATCH(J980,Base!$P$5:$P$2004,0))</f>
        <v/>
      </c>
    </row>
    <row r="981" customFormat="false" ht="15" hidden="false" customHeight="false" outlineLevel="0" collapsed="false">
      <c r="A981" s="67" t="str">
        <f aca="false">IF($K981="","",ROW()-5)</f>
        <v/>
      </c>
      <c r="B981" s="68" t="str">
        <f aca="false">IF($K981="","",INDEX(Base!$E$5:$E$2004,$K981))</f>
        <v/>
      </c>
      <c r="C981" s="69" t="str">
        <f aca="false">IF($K981="","",B981)</f>
        <v/>
      </c>
      <c r="D981" s="70" t="str">
        <f aca="false">IF($K981="","",INDEX(Base!$F$5:$F$2004,$K981))</f>
        <v/>
      </c>
      <c r="E981" s="70" t="str">
        <f aca="false">IF($K981="","",INDEX(Base!$G$5:$G$2004,$K981))</f>
        <v/>
      </c>
      <c r="F981" s="71" t="str">
        <f aca="false">IF($K981="","",INDEX(Base!$H$5:$H$2004,$K981))</f>
        <v/>
      </c>
      <c r="G981" s="71" t="str">
        <f aca="false">IF($K981="","",INDEX(Base!$I$5:$I$2004,$K981))</f>
        <v/>
      </c>
      <c r="H981" s="70" t="str">
        <f aca="false">IF($K981="","",INDEX(Base!$J$5:$J$2004,$K981))</f>
        <v/>
      </c>
      <c r="I981" s="71" t="str">
        <f aca="false">IF($K981="","",INDEX(Base!$L$5:$L$2004,$K981))</f>
        <v/>
      </c>
      <c r="J981" s="72" t="str">
        <f aca="false">IFERROR(SMALL(Base!$P$5:$P$2004,ROW()-5),"")</f>
        <v/>
      </c>
      <c r="K981" s="72" t="str">
        <f aca="false">IF(J981="","",MATCH(J981,Base!$P$5:$P$2004,0))</f>
        <v/>
      </c>
    </row>
    <row r="982" customFormat="false" ht="15" hidden="false" customHeight="false" outlineLevel="0" collapsed="false">
      <c r="A982" s="67" t="str">
        <f aca="false">IF($K982="","",ROW()-5)</f>
        <v/>
      </c>
      <c r="B982" s="68" t="str">
        <f aca="false">IF($K982="","",INDEX(Base!$E$5:$E$2004,$K982))</f>
        <v/>
      </c>
      <c r="C982" s="69" t="str">
        <f aca="false">IF($K982="","",B982)</f>
        <v/>
      </c>
      <c r="D982" s="70" t="str">
        <f aca="false">IF($K982="","",INDEX(Base!$F$5:$F$2004,$K982))</f>
        <v/>
      </c>
      <c r="E982" s="70" t="str">
        <f aca="false">IF($K982="","",INDEX(Base!$G$5:$G$2004,$K982))</f>
        <v/>
      </c>
      <c r="F982" s="71" t="str">
        <f aca="false">IF($K982="","",INDEX(Base!$H$5:$H$2004,$K982))</f>
        <v/>
      </c>
      <c r="G982" s="71" t="str">
        <f aca="false">IF($K982="","",INDEX(Base!$I$5:$I$2004,$K982))</f>
        <v/>
      </c>
      <c r="H982" s="70" t="str">
        <f aca="false">IF($K982="","",INDEX(Base!$J$5:$J$2004,$K982))</f>
        <v/>
      </c>
      <c r="I982" s="71" t="str">
        <f aca="false">IF($K982="","",INDEX(Base!$L$5:$L$2004,$K982))</f>
        <v/>
      </c>
      <c r="J982" s="72" t="str">
        <f aca="false">IFERROR(SMALL(Base!$P$5:$P$2004,ROW()-5),"")</f>
        <v/>
      </c>
      <c r="K982" s="72" t="str">
        <f aca="false">IF(J982="","",MATCH(J982,Base!$P$5:$P$2004,0))</f>
        <v/>
      </c>
    </row>
    <row r="983" customFormat="false" ht="15" hidden="false" customHeight="false" outlineLevel="0" collapsed="false">
      <c r="A983" s="67" t="str">
        <f aca="false">IF($K983="","",ROW()-5)</f>
        <v/>
      </c>
      <c r="B983" s="68" t="str">
        <f aca="false">IF($K983="","",INDEX(Base!$E$5:$E$2004,$K983))</f>
        <v/>
      </c>
      <c r="C983" s="69" t="str">
        <f aca="false">IF($K983="","",B983)</f>
        <v/>
      </c>
      <c r="D983" s="70" t="str">
        <f aca="false">IF($K983="","",INDEX(Base!$F$5:$F$2004,$K983))</f>
        <v/>
      </c>
      <c r="E983" s="70" t="str">
        <f aca="false">IF($K983="","",INDEX(Base!$G$5:$G$2004,$K983))</f>
        <v/>
      </c>
      <c r="F983" s="71" t="str">
        <f aca="false">IF($K983="","",INDEX(Base!$H$5:$H$2004,$K983))</f>
        <v/>
      </c>
      <c r="G983" s="71" t="str">
        <f aca="false">IF($K983="","",INDEX(Base!$I$5:$I$2004,$K983))</f>
        <v/>
      </c>
      <c r="H983" s="70" t="str">
        <f aca="false">IF($K983="","",INDEX(Base!$J$5:$J$2004,$K983))</f>
        <v/>
      </c>
      <c r="I983" s="71" t="str">
        <f aca="false">IF($K983="","",INDEX(Base!$L$5:$L$2004,$K983))</f>
        <v/>
      </c>
      <c r="J983" s="72" t="str">
        <f aca="false">IFERROR(SMALL(Base!$P$5:$P$2004,ROW()-5),"")</f>
        <v/>
      </c>
      <c r="K983" s="72" t="str">
        <f aca="false">IF(J983="","",MATCH(J983,Base!$P$5:$P$2004,0))</f>
        <v/>
      </c>
    </row>
    <row r="984" customFormat="false" ht="15" hidden="false" customHeight="false" outlineLevel="0" collapsed="false">
      <c r="A984" s="67" t="str">
        <f aca="false">IF($K984="","",ROW()-5)</f>
        <v/>
      </c>
      <c r="B984" s="68" t="str">
        <f aca="false">IF($K984="","",INDEX(Base!$E$5:$E$2004,$K984))</f>
        <v/>
      </c>
      <c r="C984" s="69" t="str">
        <f aca="false">IF($K984="","",B984)</f>
        <v/>
      </c>
      <c r="D984" s="70" t="str">
        <f aca="false">IF($K984="","",INDEX(Base!$F$5:$F$2004,$K984))</f>
        <v/>
      </c>
      <c r="E984" s="70" t="str">
        <f aca="false">IF($K984="","",INDEX(Base!$G$5:$G$2004,$K984))</f>
        <v/>
      </c>
      <c r="F984" s="71" t="str">
        <f aca="false">IF($K984="","",INDEX(Base!$H$5:$H$2004,$K984))</f>
        <v/>
      </c>
      <c r="G984" s="71" t="str">
        <f aca="false">IF($K984="","",INDEX(Base!$I$5:$I$2004,$K984))</f>
        <v/>
      </c>
      <c r="H984" s="70" t="str">
        <f aca="false">IF($K984="","",INDEX(Base!$J$5:$J$2004,$K984))</f>
        <v/>
      </c>
      <c r="I984" s="71" t="str">
        <f aca="false">IF($K984="","",INDEX(Base!$L$5:$L$2004,$K984))</f>
        <v/>
      </c>
      <c r="J984" s="72" t="str">
        <f aca="false">IFERROR(SMALL(Base!$P$5:$P$2004,ROW()-5),"")</f>
        <v/>
      </c>
      <c r="K984" s="72" t="str">
        <f aca="false">IF(J984="","",MATCH(J984,Base!$P$5:$P$2004,0))</f>
        <v/>
      </c>
    </row>
    <row r="985" customFormat="false" ht="15" hidden="false" customHeight="false" outlineLevel="0" collapsed="false">
      <c r="A985" s="67" t="str">
        <f aca="false">IF($K985="","",ROW()-5)</f>
        <v/>
      </c>
      <c r="B985" s="68" t="str">
        <f aca="false">IF($K985="","",INDEX(Base!$E$5:$E$2004,$K985))</f>
        <v/>
      </c>
      <c r="C985" s="69" t="str">
        <f aca="false">IF($K985="","",B985)</f>
        <v/>
      </c>
      <c r="D985" s="70" t="str">
        <f aca="false">IF($K985="","",INDEX(Base!$F$5:$F$2004,$K985))</f>
        <v/>
      </c>
      <c r="E985" s="70" t="str">
        <f aca="false">IF($K985="","",INDEX(Base!$G$5:$G$2004,$K985))</f>
        <v/>
      </c>
      <c r="F985" s="71" t="str">
        <f aca="false">IF($K985="","",INDEX(Base!$H$5:$H$2004,$K985))</f>
        <v/>
      </c>
      <c r="G985" s="71" t="str">
        <f aca="false">IF($K985="","",INDEX(Base!$I$5:$I$2004,$K985))</f>
        <v/>
      </c>
      <c r="H985" s="70" t="str">
        <f aca="false">IF($K985="","",INDEX(Base!$J$5:$J$2004,$K985))</f>
        <v/>
      </c>
      <c r="I985" s="71" t="str">
        <f aca="false">IF($K985="","",INDEX(Base!$L$5:$L$2004,$K985))</f>
        <v/>
      </c>
      <c r="J985" s="72" t="str">
        <f aca="false">IFERROR(SMALL(Base!$P$5:$P$2004,ROW()-5),"")</f>
        <v/>
      </c>
      <c r="K985" s="72" t="str">
        <f aca="false">IF(J985="","",MATCH(J985,Base!$P$5:$P$2004,0))</f>
        <v/>
      </c>
    </row>
    <row r="986" customFormat="false" ht="15" hidden="false" customHeight="false" outlineLevel="0" collapsed="false">
      <c r="A986" s="67" t="str">
        <f aca="false">IF($K986="","",ROW()-5)</f>
        <v/>
      </c>
      <c r="B986" s="68" t="str">
        <f aca="false">IF($K986="","",INDEX(Base!$E$5:$E$2004,$K986))</f>
        <v/>
      </c>
      <c r="C986" s="69" t="str">
        <f aca="false">IF($K986="","",B986)</f>
        <v/>
      </c>
      <c r="D986" s="70" t="str">
        <f aca="false">IF($K986="","",INDEX(Base!$F$5:$F$2004,$K986))</f>
        <v/>
      </c>
      <c r="E986" s="70" t="str">
        <f aca="false">IF($K986="","",INDEX(Base!$G$5:$G$2004,$K986))</f>
        <v/>
      </c>
      <c r="F986" s="71" t="str">
        <f aca="false">IF($K986="","",INDEX(Base!$H$5:$H$2004,$K986))</f>
        <v/>
      </c>
      <c r="G986" s="71" t="str">
        <f aca="false">IF($K986="","",INDEX(Base!$I$5:$I$2004,$K986))</f>
        <v/>
      </c>
      <c r="H986" s="70" t="str">
        <f aca="false">IF($K986="","",INDEX(Base!$J$5:$J$2004,$K986))</f>
        <v/>
      </c>
      <c r="I986" s="71" t="str">
        <f aca="false">IF($K986="","",INDEX(Base!$L$5:$L$2004,$K986))</f>
        <v/>
      </c>
      <c r="J986" s="72" t="str">
        <f aca="false">IFERROR(SMALL(Base!$P$5:$P$2004,ROW()-5),"")</f>
        <v/>
      </c>
      <c r="K986" s="72" t="str">
        <f aca="false">IF(J986="","",MATCH(J986,Base!$P$5:$P$2004,0))</f>
        <v/>
      </c>
    </row>
    <row r="987" customFormat="false" ht="15" hidden="false" customHeight="false" outlineLevel="0" collapsed="false">
      <c r="A987" s="67" t="str">
        <f aca="false">IF($K987="","",ROW()-5)</f>
        <v/>
      </c>
      <c r="B987" s="68" t="str">
        <f aca="false">IF($K987="","",INDEX(Base!$E$5:$E$2004,$K987))</f>
        <v/>
      </c>
      <c r="C987" s="69" t="str">
        <f aca="false">IF($K987="","",B987)</f>
        <v/>
      </c>
      <c r="D987" s="70" t="str">
        <f aca="false">IF($K987="","",INDEX(Base!$F$5:$F$2004,$K987))</f>
        <v/>
      </c>
      <c r="E987" s="70" t="str">
        <f aca="false">IF($K987="","",INDEX(Base!$G$5:$G$2004,$K987))</f>
        <v/>
      </c>
      <c r="F987" s="71" t="str">
        <f aca="false">IF($K987="","",INDEX(Base!$H$5:$H$2004,$K987))</f>
        <v/>
      </c>
      <c r="G987" s="71" t="str">
        <f aca="false">IF($K987="","",INDEX(Base!$I$5:$I$2004,$K987))</f>
        <v/>
      </c>
      <c r="H987" s="70" t="str">
        <f aca="false">IF($K987="","",INDEX(Base!$J$5:$J$2004,$K987))</f>
        <v/>
      </c>
      <c r="I987" s="71" t="str">
        <f aca="false">IF($K987="","",INDEX(Base!$L$5:$L$2004,$K987))</f>
        <v/>
      </c>
      <c r="J987" s="72" t="str">
        <f aca="false">IFERROR(SMALL(Base!$P$5:$P$2004,ROW()-5),"")</f>
        <v/>
      </c>
      <c r="K987" s="72" t="str">
        <f aca="false">IF(J987="","",MATCH(J987,Base!$P$5:$P$2004,0))</f>
        <v/>
      </c>
    </row>
    <row r="988" customFormat="false" ht="15" hidden="false" customHeight="false" outlineLevel="0" collapsed="false">
      <c r="A988" s="67" t="str">
        <f aca="false">IF($K988="","",ROW()-5)</f>
        <v/>
      </c>
      <c r="B988" s="68" t="str">
        <f aca="false">IF($K988="","",INDEX(Base!$E$5:$E$2004,$K988))</f>
        <v/>
      </c>
      <c r="C988" s="69" t="str">
        <f aca="false">IF($K988="","",B988)</f>
        <v/>
      </c>
      <c r="D988" s="70" t="str">
        <f aca="false">IF($K988="","",INDEX(Base!$F$5:$F$2004,$K988))</f>
        <v/>
      </c>
      <c r="E988" s="70" t="str">
        <f aca="false">IF($K988="","",INDEX(Base!$G$5:$G$2004,$K988))</f>
        <v/>
      </c>
      <c r="F988" s="71" t="str">
        <f aca="false">IF($K988="","",INDEX(Base!$H$5:$H$2004,$K988))</f>
        <v/>
      </c>
      <c r="G988" s="71" t="str">
        <f aca="false">IF($K988="","",INDEX(Base!$I$5:$I$2004,$K988))</f>
        <v/>
      </c>
      <c r="H988" s="70" t="str">
        <f aca="false">IF($K988="","",INDEX(Base!$J$5:$J$2004,$K988))</f>
        <v/>
      </c>
      <c r="I988" s="71" t="str">
        <f aca="false">IF($K988="","",INDEX(Base!$L$5:$L$2004,$K988))</f>
        <v/>
      </c>
      <c r="J988" s="72" t="str">
        <f aca="false">IFERROR(SMALL(Base!$P$5:$P$2004,ROW()-5),"")</f>
        <v/>
      </c>
      <c r="K988" s="72" t="str">
        <f aca="false">IF(J988="","",MATCH(J988,Base!$P$5:$P$2004,0))</f>
        <v/>
      </c>
    </row>
    <row r="989" customFormat="false" ht="15" hidden="false" customHeight="false" outlineLevel="0" collapsed="false">
      <c r="A989" s="67" t="str">
        <f aca="false">IF($K989="","",ROW()-5)</f>
        <v/>
      </c>
      <c r="B989" s="68" t="str">
        <f aca="false">IF($K989="","",INDEX(Base!$E$5:$E$2004,$K989))</f>
        <v/>
      </c>
      <c r="C989" s="69" t="str">
        <f aca="false">IF($K989="","",B989)</f>
        <v/>
      </c>
      <c r="D989" s="70" t="str">
        <f aca="false">IF($K989="","",INDEX(Base!$F$5:$F$2004,$K989))</f>
        <v/>
      </c>
      <c r="E989" s="70" t="str">
        <f aca="false">IF($K989="","",INDEX(Base!$G$5:$G$2004,$K989))</f>
        <v/>
      </c>
      <c r="F989" s="71" t="str">
        <f aca="false">IF($K989="","",INDEX(Base!$H$5:$H$2004,$K989))</f>
        <v/>
      </c>
      <c r="G989" s="71" t="str">
        <f aca="false">IF($K989="","",INDEX(Base!$I$5:$I$2004,$K989))</f>
        <v/>
      </c>
      <c r="H989" s="70" t="str">
        <f aca="false">IF($K989="","",INDEX(Base!$J$5:$J$2004,$K989))</f>
        <v/>
      </c>
      <c r="I989" s="71" t="str">
        <f aca="false">IF($K989="","",INDEX(Base!$L$5:$L$2004,$K989))</f>
        <v/>
      </c>
      <c r="J989" s="72" t="str">
        <f aca="false">IFERROR(SMALL(Base!$P$5:$P$2004,ROW()-5),"")</f>
        <v/>
      </c>
      <c r="K989" s="72" t="str">
        <f aca="false">IF(J989="","",MATCH(J989,Base!$P$5:$P$2004,0))</f>
        <v/>
      </c>
    </row>
    <row r="990" customFormat="false" ht="15" hidden="false" customHeight="false" outlineLevel="0" collapsed="false">
      <c r="A990" s="67" t="str">
        <f aca="false">IF($K990="","",ROW()-5)</f>
        <v/>
      </c>
      <c r="B990" s="68" t="str">
        <f aca="false">IF($K990="","",INDEX(Base!$E$5:$E$2004,$K990))</f>
        <v/>
      </c>
      <c r="C990" s="69" t="str">
        <f aca="false">IF($K990="","",B990)</f>
        <v/>
      </c>
      <c r="D990" s="70" t="str">
        <f aca="false">IF($K990="","",INDEX(Base!$F$5:$F$2004,$K990))</f>
        <v/>
      </c>
      <c r="E990" s="70" t="str">
        <f aca="false">IF($K990="","",INDEX(Base!$G$5:$G$2004,$K990))</f>
        <v/>
      </c>
      <c r="F990" s="71" t="str">
        <f aca="false">IF($K990="","",INDEX(Base!$H$5:$H$2004,$K990))</f>
        <v/>
      </c>
      <c r="G990" s="71" t="str">
        <f aca="false">IF($K990="","",INDEX(Base!$I$5:$I$2004,$K990))</f>
        <v/>
      </c>
      <c r="H990" s="70" t="str">
        <f aca="false">IF($K990="","",INDEX(Base!$J$5:$J$2004,$K990))</f>
        <v/>
      </c>
      <c r="I990" s="71" t="str">
        <f aca="false">IF($K990="","",INDEX(Base!$L$5:$L$2004,$K990))</f>
        <v/>
      </c>
      <c r="J990" s="72" t="str">
        <f aca="false">IFERROR(SMALL(Base!$P$5:$P$2004,ROW()-5),"")</f>
        <v/>
      </c>
      <c r="K990" s="72" t="str">
        <f aca="false">IF(J990="","",MATCH(J990,Base!$P$5:$P$2004,0))</f>
        <v/>
      </c>
    </row>
    <row r="991" customFormat="false" ht="15" hidden="false" customHeight="false" outlineLevel="0" collapsed="false">
      <c r="A991" s="67" t="str">
        <f aca="false">IF($K991="","",ROW()-5)</f>
        <v/>
      </c>
      <c r="B991" s="68" t="str">
        <f aca="false">IF($K991="","",INDEX(Base!$E$5:$E$2004,$K991))</f>
        <v/>
      </c>
      <c r="C991" s="69" t="str">
        <f aca="false">IF($K991="","",B991)</f>
        <v/>
      </c>
      <c r="D991" s="70" t="str">
        <f aca="false">IF($K991="","",INDEX(Base!$F$5:$F$2004,$K991))</f>
        <v/>
      </c>
      <c r="E991" s="70" t="str">
        <f aca="false">IF($K991="","",INDEX(Base!$G$5:$G$2004,$K991))</f>
        <v/>
      </c>
      <c r="F991" s="71" t="str">
        <f aca="false">IF($K991="","",INDEX(Base!$H$5:$H$2004,$K991))</f>
        <v/>
      </c>
      <c r="G991" s="71" t="str">
        <f aca="false">IF($K991="","",INDEX(Base!$I$5:$I$2004,$K991))</f>
        <v/>
      </c>
      <c r="H991" s="70" t="str">
        <f aca="false">IF($K991="","",INDEX(Base!$J$5:$J$2004,$K991))</f>
        <v/>
      </c>
      <c r="I991" s="71" t="str">
        <f aca="false">IF($K991="","",INDEX(Base!$L$5:$L$2004,$K991))</f>
        <v/>
      </c>
      <c r="J991" s="72" t="str">
        <f aca="false">IFERROR(SMALL(Base!$P$5:$P$2004,ROW()-5),"")</f>
        <v/>
      </c>
      <c r="K991" s="72" t="str">
        <f aca="false">IF(J991="","",MATCH(J991,Base!$P$5:$P$2004,0))</f>
        <v/>
      </c>
    </row>
    <row r="992" customFormat="false" ht="15" hidden="false" customHeight="false" outlineLevel="0" collapsed="false">
      <c r="A992" s="67" t="str">
        <f aca="false">IF($K992="","",ROW()-5)</f>
        <v/>
      </c>
      <c r="B992" s="68" t="str">
        <f aca="false">IF($K992="","",INDEX(Base!$E$5:$E$2004,$K992))</f>
        <v/>
      </c>
      <c r="C992" s="69" t="str">
        <f aca="false">IF($K992="","",B992)</f>
        <v/>
      </c>
      <c r="D992" s="70" t="str">
        <f aca="false">IF($K992="","",INDEX(Base!$F$5:$F$2004,$K992))</f>
        <v/>
      </c>
      <c r="E992" s="70" t="str">
        <f aca="false">IF($K992="","",INDEX(Base!$G$5:$G$2004,$K992))</f>
        <v/>
      </c>
      <c r="F992" s="71" t="str">
        <f aca="false">IF($K992="","",INDEX(Base!$H$5:$H$2004,$K992))</f>
        <v/>
      </c>
      <c r="G992" s="71" t="str">
        <f aca="false">IF($K992="","",INDEX(Base!$I$5:$I$2004,$K992))</f>
        <v/>
      </c>
      <c r="H992" s="70" t="str">
        <f aca="false">IF($K992="","",INDEX(Base!$J$5:$J$2004,$K992))</f>
        <v/>
      </c>
      <c r="I992" s="71" t="str">
        <f aca="false">IF($K992="","",INDEX(Base!$L$5:$L$2004,$K992))</f>
        <v/>
      </c>
      <c r="J992" s="72" t="str">
        <f aca="false">IFERROR(SMALL(Base!$P$5:$P$2004,ROW()-5),"")</f>
        <v/>
      </c>
      <c r="K992" s="72" t="str">
        <f aca="false">IF(J992="","",MATCH(J992,Base!$P$5:$P$2004,0))</f>
        <v/>
      </c>
    </row>
    <row r="993" customFormat="false" ht="15" hidden="false" customHeight="false" outlineLevel="0" collapsed="false">
      <c r="A993" s="67" t="str">
        <f aca="false">IF($K993="","",ROW()-5)</f>
        <v/>
      </c>
      <c r="B993" s="68" t="str">
        <f aca="false">IF($K993="","",INDEX(Base!$E$5:$E$2004,$K993))</f>
        <v/>
      </c>
      <c r="C993" s="69" t="str">
        <f aca="false">IF($K993="","",B993)</f>
        <v/>
      </c>
      <c r="D993" s="70" t="str">
        <f aca="false">IF($K993="","",INDEX(Base!$F$5:$F$2004,$K993))</f>
        <v/>
      </c>
      <c r="E993" s="70" t="str">
        <f aca="false">IF($K993="","",INDEX(Base!$G$5:$G$2004,$K993))</f>
        <v/>
      </c>
      <c r="F993" s="71" t="str">
        <f aca="false">IF($K993="","",INDEX(Base!$H$5:$H$2004,$K993))</f>
        <v/>
      </c>
      <c r="G993" s="71" t="str">
        <f aca="false">IF($K993="","",INDEX(Base!$I$5:$I$2004,$K993))</f>
        <v/>
      </c>
      <c r="H993" s="70" t="str">
        <f aca="false">IF($K993="","",INDEX(Base!$J$5:$J$2004,$K993))</f>
        <v/>
      </c>
      <c r="I993" s="71" t="str">
        <f aca="false">IF($K993="","",INDEX(Base!$L$5:$L$2004,$K993))</f>
        <v/>
      </c>
      <c r="J993" s="72" t="str">
        <f aca="false">IFERROR(SMALL(Base!$P$5:$P$2004,ROW()-5),"")</f>
        <v/>
      </c>
      <c r="K993" s="72" t="str">
        <f aca="false">IF(J993="","",MATCH(J993,Base!$P$5:$P$2004,0))</f>
        <v/>
      </c>
    </row>
    <row r="994" customFormat="false" ht="15" hidden="false" customHeight="false" outlineLevel="0" collapsed="false">
      <c r="A994" s="67" t="str">
        <f aca="false">IF($K994="","",ROW()-5)</f>
        <v/>
      </c>
      <c r="B994" s="68" t="str">
        <f aca="false">IF($K994="","",INDEX(Base!$E$5:$E$2004,$K994))</f>
        <v/>
      </c>
      <c r="C994" s="69" t="str">
        <f aca="false">IF($K994="","",B994)</f>
        <v/>
      </c>
      <c r="D994" s="70" t="str">
        <f aca="false">IF($K994="","",INDEX(Base!$F$5:$F$2004,$K994))</f>
        <v/>
      </c>
      <c r="E994" s="70" t="str">
        <f aca="false">IF($K994="","",INDEX(Base!$G$5:$G$2004,$K994))</f>
        <v/>
      </c>
      <c r="F994" s="71" t="str">
        <f aca="false">IF($K994="","",INDEX(Base!$H$5:$H$2004,$K994))</f>
        <v/>
      </c>
      <c r="G994" s="71" t="str">
        <f aca="false">IF($K994="","",INDEX(Base!$I$5:$I$2004,$K994))</f>
        <v/>
      </c>
      <c r="H994" s="70" t="str">
        <f aca="false">IF($K994="","",INDEX(Base!$J$5:$J$2004,$K994))</f>
        <v/>
      </c>
      <c r="I994" s="71" t="str">
        <f aca="false">IF($K994="","",INDEX(Base!$L$5:$L$2004,$K994))</f>
        <v/>
      </c>
      <c r="J994" s="72" t="str">
        <f aca="false">IFERROR(SMALL(Base!$P$5:$P$2004,ROW()-5),"")</f>
        <v/>
      </c>
      <c r="K994" s="72" t="str">
        <f aca="false">IF(J994="","",MATCH(J994,Base!$P$5:$P$2004,0))</f>
        <v/>
      </c>
    </row>
    <row r="995" customFormat="false" ht="15" hidden="false" customHeight="false" outlineLevel="0" collapsed="false">
      <c r="A995" s="67" t="str">
        <f aca="false">IF($K995="","",ROW()-5)</f>
        <v/>
      </c>
      <c r="B995" s="68" t="str">
        <f aca="false">IF($K995="","",INDEX(Base!$E$5:$E$2004,$K995))</f>
        <v/>
      </c>
      <c r="C995" s="69" t="str">
        <f aca="false">IF($K995="","",B995)</f>
        <v/>
      </c>
      <c r="D995" s="70" t="str">
        <f aca="false">IF($K995="","",INDEX(Base!$F$5:$F$2004,$K995))</f>
        <v/>
      </c>
      <c r="E995" s="70" t="str">
        <f aca="false">IF($K995="","",INDEX(Base!$G$5:$G$2004,$K995))</f>
        <v/>
      </c>
      <c r="F995" s="71" t="str">
        <f aca="false">IF($K995="","",INDEX(Base!$H$5:$H$2004,$K995))</f>
        <v/>
      </c>
      <c r="G995" s="71" t="str">
        <f aca="false">IF($K995="","",INDEX(Base!$I$5:$I$2004,$K995))</f>
        <v/>
      </c>
      <c r="H995" s="70" t="str">
        <f aca="false">IF($K995="","",INDEX(Base!$J$5:$J$2004,$K995))</f>
        <v/>
      </c>
      <c r="I995" s="71" t="str">
        <f aca="false">IF($K995="","",INDEX(Base!$L$5:$L$2004,$K995))</f>
        <v/>
      </c>
      <c r="J995" s="72" t="str">
        <f aca="false">IFERROR(SMALL(Base!$P$5:$P$2004,ROW()-5),"")</f>
        <v/>
      </c>
      <c r="K995" s="72" t="str">
        <f aca="false">IF(J995="","",MATCH(J995,Base!$P$5:$P$2004,0))</f>
        <v/>
      </c>
    </row>
    <row r="996" customFormat="false" ht="15" hidden="false" customHeight="false" outlineLevel="0" collapsed="false">
      <c r="A996" s="67" t="str">
        <f aca="false">IF($K996="","",ROW()-5)</f>
        <v/>
      </c>
      <c r="B996" s="68" t="str">
        <f aca="false">IF($K996="","",INDEX(Base!$E$5:$E$2004,$K996))</f>
        <v/>
      </c>
      <c r="C996" s="69" t="str">
        <f aca="false">IF($K996="","",B996)</f>
        <v/>
      </c>
      <c r="D996" s="70" t="str">
        <f aca="false">IF($K996="","",INDEX(Base!$F$5:$F$2004,$K996))</f>
        <v/>
      </c>
      <c r="E996" s="70" t="str">
        <f aca="false">IF($K996="","",INDEX(Base!$G$5:$G$2004,$K996))</f>
        <v/>
      </c>
      <c r="F996" s="71" t="str">
        <f aca="false">IF($K996="","",INDEX(Base!$H$5:$H$2004,$K996))</f>
        <v/>
      </c>
      <c r="G996" s="71" t="str">
        <f aca="false">IF($K996="","",INDEX(Base!$I$5:$I$2004,$K996))</f>
        <v/>
      </c>
      <c r="H996" s="70" t="str">
        <f aca="false">IF($K996="","",INDEX(Base!$J$5:$J$2004,$K996))</f>
        <v/>
      </c>
      <c r="I996" s="71" t="str">
        <f aca="false">IF($K996="","",INDEX(Base!$L$5:$L$2004,$K996))</f>
        <v/>
      </c>
      <c r="J996" s="72" t="str">
        <f aca="false">IFERROR(SMALL(Base!$P$5:$P$2004,ROW()-5),"")</f>
        <v/>
      </c>
      <c r="K996" s="72" t="str">
        <f aca="false">IF(J996="","",MATCH(J996,Base!$P$5:$P$2004,0))</f>
        <v/>
      </c>
    </row>
    <row r="997" customFormat="false" ht="15" hidden="false" customHeight="false" outlineLevel="0" collapsed="false">
      <c r="A997" s="67" t="str">
        <f aca="false">IF($K997="","",ROW()-5)</f>
        <v/>
      </c>
      <c r="B997" s="68" t="str">
        <f aca="false">IF($K997="","",INDEX(Base!$E$5:$E$2004,$K997))</f>
        <v/>
      </c>
      <c r="C997" s="69" t="str">
        <f aca="false">IF($K997="","",B997)</f>
        <v/>
      </c>
      <c r="D997" s="70" t="str">
        <f aca="false">IF($K997="","",INDEX(Base!$F$5:$F$2004,$K997))</f>
        <v/>
      </c>
      <c r="E997" s="70" t="str">
        <f aca="false">IF($K997="","",INDEX(Base!$G$5:$G$2004,$K997))</f>
        <v/>
      </c>
      <c r="F997" s="71" t="str">
        <f aca="false">IF($K997="","",INDEX(Base!$H$5:$H$2004,$K997))</f>
        <v/>
      </c>
      <c r="G997" s="71" t="str">
        <f aca="false">IF($K997="","",INDEX(Base!$I$5:$I$2004,$K997))</f>
        <v/>
      </c>
      <c r="H997" s="70" t="str">
        <f aca="false">IF($K997="","",INDEX(Base!$J$5:$J$2004,$K997))</f>
        <v/>
      </c>
      <c r="I997" s="71" t="str">
        <f aca="false">IF($K997="","",INDEX(Base!$L$5:$L$2004,$K997))</f>
        <v/>
      </c>
      <c r="J997" s="72" t="str">
        <f aca="false">IFERROR(SMALL(Base!$P$5:$P$2004,ROW()-5),"")</f>
        <v/>
      </c>
      <c r="K997" s="72" t="str">
        <f aca="false">IF(J997="","",MATCH(J997,Base!$P$5:$P$2004,0))</f>
        <v/>
      </c>
    </row>
    <row r="998" customFormat="false" ht="15" hidden="false" customHeight="false" outlineLevel="0" collapsed="false">
      <c r="A998" s="67" t="str">
        <f aca="false">IF($K998="","",ROW()-5)</f>
        <v/>
      </c>
      <c r="B998" s="68" t="str">
        <f aca="false">IF($K998="","",INDEX(Base!$E$5:$E$2004,$K998))</f>
        <v/>
      </c>
      <c r="C998" s="69" t="str">
        <f aca="false">IF($K998="","",B998)</f>
        <v/>
      </c>
      <c r="D998" s="70" t="str">
        <f aca="false">IF($K998="","",INDEX(Base!$F$5:$F$2004,$K998))</f>
        <v/>
      </c>
      <c r="E998" s="70" t="str">
        <f aca="false">IF($K998="","",INDEX(Base!$G$5:$G$2004,$K998))</f>
        <v/>
      </c>
      <c r="F998" s="71" t="str">
        <f aca="false">IF($K998="","",INDEX(Base!$H$5:$H$2004,$K998))</f>
        <v/>
      </c>
      <c r="G998" s="71" t="str">
        <f aca="false">IF($K998="","",INDEX(Base!$I$5:$I$2004,$K998))</f>
        <v/>
      </c>
      <c r="H998" s="70" t="str">
        <f aca="false">IF($K998="","",INDEX(Base!$J$5:$J$2004,$K998))</f>
        <v/>
      </c>
      <c r="I998" s="71" t="str">
        <f aca="false">IF($K998="","",INDEX(Base!$L$5:$L$2004,$K998))</f>
        <v/>
      </c>
      <c r="J998" s="72" t="str">
        <f aca="false">IFERROR(SMALL(Base!$P$5:$P$2004,ROW()-5),"")</f>
        <v/>
      </c>
      <c r="K998" s="72" t="str">
        <f aca="false">IF(J998="","",MATCH(J998,Base!$P$5:$P$2004,0))</f>
        <v/>
      </c>
    </row>
    <row r="999" customFormat="false" ht="15" hidden="false" customHeight="false" outlineLevel="0" collapsed="false">
      <c r="A999" s="67" t="str">
        <f aca="false">IF($K999="","",ROW()-5)</f>
        <v/>
      </c>
      <c r="B999" s="68" t="str">
        <f aca="false">IF($K999="","",INDEX(Base!$E$5:$E$2004,$K999))</f>
        <v/>
      </c>
      <c r="C999" s="69" t="str">
        <f aca="false">IF($K999="","",B999)</f>
        <v/>
      </c>
      <c r="D999" s="70" t="str">
        <f aca="false">IF($K999="","",INDEX(Base!$F$5:$F$2004,$K999))</f>
        <v/>
      </c>
      <c r="E999" s="70" t="str">
        <f aca="false">IF($K999="","",INDEX(Base!$G$5:$G$2004,$K999))</f>
        <v/>
      </c>
      <c r="F999" s="71" t="str">
        <f aca="false">IF($K999="","",INDEX(Base!$H$5:$H$2004,$K999))</f>
        <v/>
      </c>
      <c r="G999" s="71" t="str">
        <f aca="false">IF($K999="","",INDEX(Base!$I$5:$I$2004,$K999))</f>
        <v/>
      </c>
      <c r="H999" s="70" t="str">
        <f aca="false">IF($K999="","",INDEX(Base!$J$5:$J$2004,$K999))</f>
        <v/>
      </c>
      <c r="I999" s="71" t="str">
        <f aca="false">IF($K999="","",INDEX(Base!$L$5:$L$2004,$K999))</f>
        <v/>
      </c>
      <c r="J999" s="72" t="str">
        <f aca="false">IFERROR(SMALL(Base!$P$5:$P$2004,ROW()-5),"")</f>
        <v/>
      </c>
      <c r="K999" s="72" t="str">
        <f aca="false">IF(J999="","",MATCH(J999,Base!$P$5:$P$2004,0))</f>
        <v/>
      </c>
    </row>
    <row r="1000" customFormat="false" ht="15" hidden="false" customHeight="false" outlineLevel="0" collapsed="false">
      <c r="A1000" s="67" t="str">
        <f aca="false">IF($K1000="","",ROW()-5)</f>
        <v/>
      </c>
      <c r="B1000" s="68" t="str">
        <f aca="false">IF($K1000="","",INDEX(Base!$E$5:$E$2004,$K1000))</f>
        <v/>
      </c>
      <c r="C1000" s="69" t="str">
        <f aca="false">IF($K1000="","",B1000)</f>
        <v/>
      </c>
      <c r="D1000" s="70" t="str">
        <f aca="false">IF($K1000="","",INDEX(Base!$F$5:$F$2004,$K1000))</f>
        <v/>
      </c>
      <c r="E1000" s="70" t="str">
        <f aca="false">IF($K1000="","",INDEX(Base!$G$5:$G$2004,$K1000))</f>
        <v/>
      </c>
      <c r="F1000" s="71" t="str">
        <f aca="false">IF($K1000="","",INDEX(Base!$H$5:$H$2004,$K1000))</f>
        <v/>
      </c>
      <c r="G1000" s="71" t="str">
        <f aca="false">IF($K1000="","",INDEX(Base!$I$5:$I$2004,$K1000))</f>
        <v/>
      </c>
      <c r="H1000" s="70" t="str">
        <f aca="false">IF($K1000="","",INDEX(Base!$J$5:$J$2004,$K1000))</f>
        <v/>
      </c>
      <c r="I1000" s="71" t="str">
        <f aca="false">IF($K1000="","",INDEX(Base!$L$5:$L$2004,$K1000))</f>
        <v/>
      </c>
      <c r="J1000" s="72" t="str">
        <f aca="false">IFERROR(SMALL(Base!$P$5:$P$2004,ROW()-5),"")</f>
        <v/>
      </c>
      <c r="K1000" s="72" t="str">
        <f aca="false">IF(J1000="","",MATCH(J1000,Base!$P$5:$P$2004,0))</f>
        <v/>
      </c>
    </row>
    <row r="1001" customFormat="false" ht="15" hidden="false" customHeight="false" outlineLevel="0" collapsed="false">
      <c r="A1001" s="67" t="str">
        <f aca="false">IF($K1001="","",ROW()-5)</f>
        <v/>
      </c>
      <c r="B1001" s="68" t="str">
        <f aca="false">IF($K1001="","",INDEX(Base!$E$5:$E$2004,$K1001))</f>
        <v/>
      </c>
      <c r="C1001" s="69" t="str">
        <f aca="false">IF($K1001="","",B1001)</f>
        <v/>
      </c>
      <c r="D1001" s="70" t="str">
        <f aca="false">IF($K1001="","",INDEX(Base!$F$5:$F$2004,$K1001))</f>
        <v/>
      </c>
      <c r="E1001" s="70" t="str">
        <f aca="false">IF($K1001="","",INDEX(Base!$G$5:$G$2004,$K1001))</f>
        <v/>
      </c>
      <c r="F1001" s="71" t="str">
        <f aca="false">IF($K1001="","",INDEX(Base!$H$5:$H$2004,$K1001))</f>
        <v/>
      </c>
      <c r="G1001" s="71" t="str">
        <f aca="false">IF($K1001="","",INDEX(Base!$I$5:$I$2004,$K1001))</f>
        <v/>
      </c>
      <c r="H1001" s="70" t="str">
        <f aca="false">IF($K1001="","",INDEX(Base!$J$5:$J$2004,$K1001))</f>
        <v/>
      </c>
      <c r="I1001" s="71" t="str">
        <f aca="false">IF($K1001="","",INDEX(Base!$L$5:$L$2004,$K1001))</f>
        <v/>
      </c>
      <c r="J1001" s="72" t="str">
        <f aca="false">IFERROR(SMALL(Base!$P$5:$P$2004,ROW()-5),"")</f>
        <v/>
      </c>
      <c r="K1001" s="72" t="str">
        <f aca="false">IF(J1001="","",MATCH(J1001,Base!$P$5:$P$2004,0))</f>
        <v/>
      </c>
    </row>
    <row r="1002" customFormat="false" ht="15" hidden="false" customHeight="false" outlineLevel="0" collapsed="false">
      <c r="A1002" s="67" t="str">
        <f aca="false">IF($K1002="","",ROW()-5)</f>
        <v/>
      </c>
      <c r="B1002" s="68" t="str">
        <f aca="false">IF($K1002="","",INDEX(Base!$E$5:$E$2004,$K1002))</f>
        <v/>
      </c>
      <c r="C1002" s="69" t="str">
        <f aca="false">IF($K1002="","",B1002)</f>
        <v/>
      </c>
      <c r="D1002" s="70" t="str">
        <f aca="false">IF($K1002="","",INDEX(Base!$F$5:$F$2004,$K1002))</f>
        <v/>
      </c>
      <c r="E1002" s="70" t="str">
        <f aca="false">IF($K1002="","",INDEX(Base!$G$5:$G$2004,$K1002))</f>
        <v/>
      </c>
      <c r="F1002" s="71" t="str">
        <f aca="false">IF($K1002="","",INDEX(Base!$H$5:$H$2004,$K1002))</f>
        <v/>
      </c>
      <c r="G1002" s="71" t="str">
        <f aca="false">IF($K1002="","",INDEX(Base!$I$5:$I$2004,$K1002))</f>
        <v/>
      </c>
      <c r="H1002" s="70" t="str">
        <f aca="false">IF($K1002="","",INDEX(Base!$J$5:$J$2004,$K1002))</f>
        <v/>
      </c>
      <c r="I1002" s="71" t="str">
        <f aca="false">IF($K1002="","",INDEX(Base!$L$5:$L$2004,$K1002))</f>
        <v/>
      </c>
      <c r="J1002" s="72" t="str">
        <f aca="false">IFERROR(SMALL(Base!$P$5:$P$2004,ROW()-5),"")</f>
        <v/>
      </c>
      <c r="K1002" s="72" t="str">
        <f aca="false">IF(J1002="","",MATCH(J1002,Base!$P$5:$P$2004,0))</f>
        <v/>
      </c>
    </row>
    <row r="1003" customFormat="false" ht="15" hidden="false" customHeight="false" outlineLevel="0" collapsed="false">
      <c r="A1003" s="67" t="str">
        <f aca="false">IF($K1003="","",ROW()-5)</f>
        <v/>
      </c>
      <c r="B1003" s="68" t="str">
        <f aca="false">IF($K1003="","",INDEX(Base!$E$5:$E$2004,$K1003))</f>
        <v/>
      </c>
      <c r="C1003" s="69" t="str">
        <f aca="false">IF($K1003="","",B1003)</f>
        <v/>
      </c>
      <c r="D1003" s="70" t="str">
        <f aca="false">IF($K1003="","",INDEX(Base!$F$5:$F$2004,$K1003))</f>
        <v/>
      </c>
      <c r="E1003" s="70" t="str">
        <f aca="false">IF($K1003="","",INDEX(Base!$G$5:$G$2004,$K1003))</f>
        <v/>
      </c>
      <c r="F1003" s="71" t="str">
        <f aca="false">IF($K1003="","",INDEX(Base!$H$5:$H$2004,$K1003))</f>
        <v/>
      </c>
      <c r="G1003" s="71" t="str">
        <f aca="false">IF($K1003="","",INDEX(Base!$I$5:$I$2004,$K1003))</f>
        <v/>
      </c>
      <c r="H1003" s="70" t="str">
        <f aca="false">IF($K1003="","",INDEX(Base!$J$5:$J$2004,$K1003))</f>
        <v/>
      </c>
      <c r="I1003" s="71" t="str">
        <f aca="false">IF($K1003="","",INDEX(Base!$L$5:$L$2004,$K1003))</f>
        <v/>
      </c>
      <c r="J1003" s="72" t="str">
        <f aca="false">IFERROR(SMALL(Base!$P$5:$P$2004,ROW()-5),"")</f>
        <v/>
      </c>
      <c r="K1003" s="72" t="str">
        <f aca="false">IF(J1003="","",MATCH(J1003,Base!$P$5:$P$2004,0))</f>
        <v/>
      </c>
    </row>
    <row r="1004" customFormat="false" ht="15" hidden="false" customHeight="false" outlineLevel="0" collapsed="false">
      <c r="A1004" s="67" t="str">
        <f aca="false">IF($K1004="","",ROW()-5)</f>
        <v/>
      </c>
      <c r="B1004" s="68" t="str">
        <f aca="false">IF($K1004="","",INDEX(Base!$E$5:$E$2004,$K1004))</f>
        <v/>
      </c>
      <c r="C1004" s="69" t="str">
        <f aca="false">IF($K1004="","",B1004)</f>
        <v/>
      </c>
      <c r="D1004" s="70" t="str">
        <f aca="false">IF($K1004="","",INDEX(Base!$F$5:$F$2004,$K1004))</f>
        <v/>
      </c>
      <c r="E1004" s="70" t="str">
        <f aca="false">IF($K1004="","",INDEX(Base!$G$5:$G$2004,$K1004))</f>
        <v/>
      </c>
      <c r="F1004" s="71" t="str">
        <f aca="false">IF($K1004="","",INDEX(Base!$H$5:$H$2004,$K1004))</f>
        <v/>
      </c>
      <c r="G1004" s="71" t="str">
        <f aca="false">IF($K1004="","",INDEX(Base!$I$5:$I$2004,$K1004))</f>
        <v/>
      </c>
      <c r="H1004" s="70" t="str">
        <f aca="false">IF($K1004="","",INDEX(Base!$J$5:$J$2004,$K1004))</f>
        <v/>
      </c>
      <c r="I1004" s="71" t="str">
        <f aca="false">IF($K1004="","",INDEX(Base!$L$5:$L$2004,$K1004))</f>
        <v/>
      </c>
      <c r="J1004" s="72" t="str">
        <f aca="false">IFERROR(SMALL(Base!$P$5:$P$2004,ROW()-5),"")</f>
        <v/>
      </c>
      <c r="K1004" s="72" t="str">
        <f aca="false">IF(J1004="","",MATCH(J1004,Base!$P$5:$P$2004,0))</f>
        <v/>
      </c>
    </row>
    <row r="1005" customFormat="false" ht="15" hidden="false" customHeight="false" outlineLevel="0" collapsed="false">
      <c r="A1005" s="67" t="str">
        <f aca="false">IF($K1005="","",ROW()-5)</f>
        <v/>
      </c>
      <c r="B1005" s="68" t="str">
        <f aca="false">IF($K1005="","",INDEX(Base!$E$5:$E$2004,$K1005))</f>
        <v/>
      </c>
      <c r="C1005" s="69" t="str">
        <f aca="false">IF($K1005="","",B1005)</f>
        <v/>
      </c>
      <c r="D1005" s="70" t="str">
        <f aca="false">IF($K1005="","",INDEX(Base!$F$5:$F$2004,$K1005))</f>
        <v/>
      </c>
      <c r="E1005" s="70" t="str">
        <f aca="false">IF($K1005="","",INDEX(Base!$G$5:$G$2004,$K1005))</f>
        <v/>
      </c>
      <c r="F1005" s="71" t="str">
        <f aca="false">IF($K1005="","",INDEX(Base!$H$5:$H$2004,$K1005))</f>
        <v/>
      </c>
      <c r="G1005" s="71" t="str">
        <f aca="false">IF($K1005="","",INDEX(Base!$I$5:$I$2004,$K1005))</f>
        <v/>
      </c>
      <c r="H1005" s="70" t="str">
        <f aca="false">IF($K1005="","",INDEX(Base!$J$5:$J$2004,$K1005))</f>
        <v/>
      </c>
      <c r="I1005" s="71" t="str">
        <f aca="false">IF($K1005="","",INDEX(Base!$L$5:$L$2004,$K1005))</f>
        <v/>
      </c>
      <c r="J1005" s="72" t="str">
        <f aca="false">IFERROR(SMALL(Base!$P$5:$P$2004,ROW()-5),"")</f>
        <v/>
      </c>
      <c r="K1005" s="72" t="str">
        <f aca="false">IF(J1005="","",MATCH(J1005,Base!$P$5:$P$2004,0))</f>
        <v/>
      </c>
    </row>
    <row r="1006" customFormat="false" ht="15" hidden="false" customHeight="false" outlineLevel="0" collapsed="false">
      <c r="A1006" s="67" t="str">
        <f aca="false">IF($K1006="","",ROW()-5)</f>
        <v/>
      </c>
      <c r="B1006" s="68" t="str">
        <f aca="false">IF($K1006="","",INDEX(Base!$E$5:$E$2004,$K1006))</f>
        <v/>
      </c>
      <c r="C1006" s="69" t="str">
        <f aca="false">IF($K1006="","",B1006)</f>
        <v/>
      </c>
      <c r="D1006" s="70" t="str">
        <f aca="false">IF($K1006="","",INDEX(Base!$F$5:$F$2004,$K1006))</f>
        <v/>
      </c>
      <c r="E1006" s="70" t="str">
        <f aca="false">IF($K1006="","",INDEX(Base!$G$5:$G$2004,$K1006))</f>
        <v/>
      </c>
      <c r="F1006" s="71" t="str">
        <f aca="false">IF($K1006="","",INDEX(Base!$H$5:$H$2004,$K1006))</f>
        <v/>
      </c>
      <c r="G1006" s="71" t="str">
        <f aca="false">IF($K1006="","",INDEX(Base!$I$5:$I$2004,$K1006))</f>
        <v/>
      </c>
      <c r="H1006" s="70" t="str">
        <f aca="false">IF($K1006="","",INDEX(Base!$J$5:$J$2004,$K1006))</f>
        <v/>
      </c>
      <c r="I1006" s="71" t="str">
        <f aca="false">IF($K1006="","",INDEX(Base!$L$5:$L$2004,$K1006))</f>
        <v/>
      </c>
      <c r="J1006" s="72" t="str">
        <f aca="false">IFERROR(SMALL(Base!$P$5:$P$2004,ROW()-5),"")</f>
        <v/>
      </c>
      <c r="K1006" s="72" t="str">
        <f aca="false">IF(J1006="","",MATCH(J1006,Base!$P$5:$P$2004,0))</f>
        <v/>
      </c>
    </row>
    <row r="1007" customFormat="false" ht="15" hidden="false" customHeight="false" outlineLevel="0" collapsed="false">
      <c r="A1007" s="67" t="str">
        <f aca="false">IF($K1007="","",ROW()-5)</f>
        <v/>
      </c>
      <c r="B1007" s="68" t="str">
        <f aca="false">IF($K1007="","",INDEX(Base!$E$5:$E$2004,$K1007))</f>
        <v/>
      </c>
      <c r="C1007" s="69" t="str">
        <f aca="false">IF($K1007="","",B1007)</f>
        <v/>
      </c>
      <c r="D1007" s="70" t="str">
        <f aca="false">IF($K1007="","",INDEX(Base!$F$5:$F$2004,$K1007))</f>
        <v/>
      </c>
      <c r="E1007" s="70" t="str">
        <f aca="false">IF($K1007="","",INDEX(Base!$G$5:$G$2004,$K1007))</f>
        <v/>
      </c>
      <c r="F1007" s="71" t="str">
        <f aca="false">IF($K1007="","",INDEX(Base!$H$5:$H$2004,$K1007))</f>
        <v/>
      </c>
      <c r="G1007" s="71" t="str">
        <f aca="false">IF($K1007="","",INDEX(Base!$I$5:$I$2004,$K1007))</f>
        <v/>
      </c>
      <c r="H1007" s="70" t="str">
        <f aca="false">IF($K1007="","",INDEX(Base!$J$5:$J$2004,$K1007))</f>
        <v/>
      </c>
      <c r="I1007" s="71" t="str">
        <f aca="false">IF($K1007="","",INDEX(Base!$L$5:$L$2004,$K1007))</f>
        <v/>
      </c>
      <c r="J1007" s="72" t="str">
        <f aca="false">IFERROR(SMALL(Base!$P$5:$P$2004,ROW()-5),"")</f>
        <v/>
      </c>
      <c r="K1007" s="72" t="str">
        <f aca="false">IF(J1007="","",MATCH(J1007,Base!$P$5:$P$2004,0))</f>
        <v/>
      </c>
    </row>
    <row r="1008" customFormat="false" ht="15" hidden="false" customHeight="false" outlineLevel="0" collapsed="false">
      <c r="A1008" s="67" t="str">
        <f aca="false">IF($K1008="","",ROW()-5)</f>
        <v/>
      </c>
      <c r="B1008" s="68" t="str">
        <f aca="false">IF($K1008="","",INDEX(Base!$E$5:$E$2004,$K1008))</f>
        <v/>
      </c>
      <c r="C1008" s="69" t="str">
        <f aca="false">IF($K1008="","",B1008)</f>
        <v/>
      </c>
      <c r="D1008" s="70" t="str">
        <f aca="false">IF($K1008="","",INDEX(Base!$F$5:$F$2004,$K1008))</f>
        <v/>
      </c>
      <c r="E1008" s="70" t="str">
        <f aca="false">IF($K1008="","",INDEX(Base!$G$5:$G$2004,$K1008))</f>
        <v/>
      </c>
      <c r="F1008" s="71" t="str">
        <f aca="false">IF($K1008="","",INDEX(Base!$H$5:$H$2004,$K1008))</f>
        <v/>
      </c>
      <c r="G1008" s="71" t="str">
        <f aca="false">IF($K1008="","",INDEX(Base!$I$5:$I$2004,$K1008))</f>
        <v/>
      </c>
      <c r="H1008" s="70" t="str">
        <f aca="false">IF($K1008="","",INDEX(Base!$J$5:$J$2004,$K1008))</f>
        <v/>
      </c>
      <c r="I1008" s="71" t="str">
        <f aca="false">IF($K1008="","",INDEX(Base!$L$5:$L$2004,$K1008))</f>
        <v/>
      </c>
      <c r="J1008" s="72" t="str">
        <f aca="false">IFERROR(SMALL(Base!$P$5:$P$2004,ROW()-5),"")</f>
        <v/>
      </c>
      <c r="K1008" s="72" t="str">
        <f aca="false">IF(J1008="","",MATCH(J1008,Base!$P$5:$P$2004,0))</f>
        <v/>
      </c>
    </row>
    <row r="1009" customFormat="false" ht="15" hidden="false" customHeight="false" outlineLevel="0" collapsed="false">
      <c r="A1009" s="67" t="str">
        <f aca="false">IF($K1009="","",ROW()-5)</f>
        <v/>
      </c>
      <c r="B1009" s="68" t="str">
        <f aca="false">IF($K1009="","",INDEX(Base!$E$5:$E$2004,$K1009))</f>
        <v/>
      </c>
      <c r="C1009" s="69" t="str">
        <f aca="false">IF($K1009="","",B1009)</f>
        <v/>
      </c>
      <c r="D1009" s="70" t="str">
        <f aca="false">IF($K1009="","",INDEX(Base!$F$5:$F$2004,$K1009))</f>
        <v/>
      </c>
      <c r="E1009" s="70" t="str">
        <f aca="false">IF($K1009="","",INDEX(Base!$G$5:$G$2004,$K1009))</f>
        <v/>
      </c>
      <c r="F1009" s="71" t="str">
        <f aca="false">IF($K1009="","",INDEX(Base!$H$5:$H$2004,$K1009))</f>
        <v/>
      </c>
      <c r="G1009" s="71" t="str">
        <f aca="false">IF($K1009="","",INDEX(Base!$I$5:$I$2004,$K1009))</f>
        <v/>
      </c>
      <c r="H1009" s="70" t="str">
        <f aca="false">IF($K1009="","",INDEX(Base!$J$5:$J$2004,$K1009))</f>
        <v/>
      </c>
      <c r="I1009" s="71" t="str">
        <f aca="false">IF($K1009="","",INDEX(Base!$L$5:$L$2004,$K1009))</f>
        <v/>
      </c>
      <c r="J1009" s="72" t="str">
        <f aca="false">IFERROR(SMALL(Base!$P$5:$P$2004,ROW()-5),"")</f>
        <v/>
      </c>
      <c r="K1009" s="72" t="str">
        <f aca="false">IF(J1009="","",MATCH(J1009,Base!$P$5:$P$2004,0))</f>
        <v/>
      </c>
    </row>
    <row r="1010" customFormat="false" ht="15" hidden="false" customHeight="false" outlineLevel="0" collapsed="false">
      <c r="A1010" s="67" t="str">
        <f aca="false">IF($K1010="","",ROW()-5)</f>
        <v/>
      </c>
      <c r="B1010" s="68" t="str">
        <f aca="false">IF($K1010="","",INDEX(Base!$E$5:$E$2004,$K1010))</f>
        <v/>
      </c>
      <c r="C1010" s="69" t="str">
        <f aca="false">IF($K1010="","",B1010)</f>
        <v/>
      </c>
      <c r="D1010" s="70" t="str">
        <f aca="false">IF($K1010="","",INDEX(Base!$F$5:$F$2004,$K1010))</f>
        <v/>
      </c>
      <c r="E1010" s="70" t="str">
        <f aca="false">IF($K1010="","",INDEX(Base!$G$5:$G$2004,$K1010))</f>
        <v/>
      </c>
      <c r="F1010" s="71" t="str">
        <f aca="false">IF($K1010="","",INDEX(Base!$H$5:$H$2004,$K1010))</f>
        <v/>
      </c>
      <c r="G1010" s="71" t="str">
        <f aca="false">IF($K1010="","",INDEX(Base!$I$5:$I$2004,$K1010))</f>
        <v/>
      </c>
      <c r="H1010" s="70" t="str">
        <f aca="false">IF($K1010="","",INDEX(Base!$J$5:$J$2004,$K1010))</f>
        <v/>
      </c>
      <c r="I1010" s="71" t="str">
        <f aca="false">IF($K1010="","",INDEX(Base!$L$5:$L$2004,$K1010))</f>
        <v/>
      </c>
      <c r="J1010" s="72" t="str">
        <f aca="false">IFERROR(SMALL(Base!$P$5:$P$2004,ROW()-5),"")</f>
        <v/>
      </c>
      <c r="K1010" s="72" t="str">
        <f aca="false">IF(J1010="","",MATCH(J1010,Base!$P$5:$P$2004,0))</f>
        <v/>
      </c>
    </row>
    <row r="1011" customFormat="false" ht="15" hidden="false" customHeight="false" outlineLevel="0" collapsed="false">
      <c r="A1011" s="67" t="str">
        <f aca="false">IF($K1011="","",ROW()-5)</f>
        <v/>
      </c>
      <c r="B1011" s="68" t="str">
        <f aca="false">IF($K1011="","",INDEX(Base!$E$5:$E$2004,$K1011))</f>
        <v/>
      </c>
      <c r="C1011" s="69" t="str">
        <f aca="false">IF($K1011="","",B1011)</f>
        <v/>
      </c>
      <c r="D1011" s="70" t="str">
        <f aca="false">IF($K1011="","",INDEX(Base!$F$5:$F$2004,$K1011))</f>
        <v/>
      </c>
      <c r="E1011" s="70" t="str">
        <f aca="false">IF($K1011="","",INDEX(Base!$G$5:$G$2004,$K1011))</f>
        <v/>
      </c>
      <c r="F1011" s="71" t="str">
        <f aca="false">IF($K1011="","",INDEX(Base!$H$5:$H$2004,$K1011))</f>
        <v/>
      </c>
      <c r="G1011" s="71" t="str">
        <f aca="false">IF($K1011="","",INDEX(Base!$I$5:$I$2004,$K1011))</f>
        <v/>
      </c>
      <c r="H1011" s="70" t="str">
        <f aca="false">IF($K1011="","",INDEX(Base!$J$5:$J$2004,$K1011))</f>
        <v/>
      </c>
      <c r="I1011" s="71" t="str">
        <f aca="false">IF($K1011="","",INDEX(Base!$L$5:$L$2004,$K1011))</f>
        <v/>
      </c>
      <c r="J1011" s="72" t="str">
        <f aca="false">IFERROR(SMALL(Base!$P$5:$P$2004,ROW()-5),"")</f>
        <v/>
      </c>
      <c r="K1011" s="72" t="str">
        <f aca="false">IF(J1011="","",MATCH(J1011,Base!$P$5:$P$2004,0))</f>
        <v/>
      </c>
    </row>
    <row r="1012" customFormat="false" ht="15" hidden="false" customHeight="false" outlineLevel="0" collapsed="false">
      <c r="A1012" s="67" t="str">
        <f aca="false">IF($K1012="","",ROW()-5)</f>
        <v/>
      </c>
      <c r="B1012" s="68" t="str">
        <f aca="false">IF($K1012="","",INDEX(Base!$E$5:$E$2004,$K1012))</f>
        <v/>
      </c>
      <c r="C1012" s="69" t="str">
        <f aca="false">IF($K1012="","",B1012)</f>
        <v/>
      </c>
      <c r="D1012" s="70" t="str">
        <f aca="false">IF($K1012="","",INDEX(Base!$F$5:$F$2004,$K1012))</f>
        <v/>
      </c>
      <c r="E1012" s="70" t="str">
        <f aca="false">IF($K1012="","",INDEX(Base!$G$5:$G$2004,$K1012))</f>
        <v/>
      </c>
      <c r="F1012" s="71" t="str">
        <f aca="false">IF($K1012="","",INDEX(Base!$H$5:$H$2004,$K1012))</f>
        <v/>
      </c>
      <c r="G1012" s="71" t="str">
        <f aca="false">IF($K1012="","",INDEX(Base!$I$5:$I$2004,$K1012))</f>
        <v/>
      </c>
      <c r="H1012" s="70" t="str">
        <f aca="false">IF($K1012="","",INDEX(Base!$J$5:$J$2004,$K1012))</f>
        <v/>
      </c>
      <c r="I1012" s="71" t="str">
        <f aca="false">IF($K1012="","",INDEX(Base!$L$5:$L$2004,$K1012))</f>
        <v/>
      </c>
      <c r="J1012" s="72" t="str">
        <f aca="false">IFERROR(SMALL(Base!$P$5:$P$2004,ROW()-5),"")</f>
        <v/>
      </c>
      <c r="K1012" s="72" t="str">
        <f aca="false">IF(J1012="","",MATCH(J1012,Base!$P$5:$P$2004,0))</f>
        <v/>
      </c>
    </row>
    <row r="1013" customFormat="false" ht="15" hidden="false" customHeight="false" outlineLevel="0" collapsed="false">
      <c r="A1013" s="67" t="str">
        <f aca="false">IF($K1013="","",ROW()-5)</f>
        <v/>
      </c>
      <c r="B1013" s="68" t="str">
        <f aca="false">IF($K1013="","",INDEX(Base!$E$5:$E$2004,$K1013))</f>
        <v/>
      </c>
      <c r="C1013" s="69" t="str">
        <f aca="false">IF($K1013="","",B1013)</f>
        <v/>
      </c>
      <c r="D1013" s="70" t="str">
        <f aca="false">IF($K1013="","",INDEX(Base!$F$5:$F$2004,$K1013))</f>
        <v/>
      </c>
      <c r="E1013" s="70" t="str">
        <f aca="false">IF($K1013="","",INDEX(Base!$G$5:$G$2004,$K1013))</f>
        <v/>
      </c>
      <c r="F1013" s="71" t="str">
        <f aca="false">IF($K1013="","",INDEX(Base!$H$5:$H$2004,$K1013))</f>
        <v/>
      </c>
      <c r="G1013" s="71" t="str">
        <f aca="false">IF($K1013="","",INDEX(Base!$I$5:$I$2004,$K1013))</f>
        <v/>
      </c>
      <c r="H1013" s="70" t="str">
        <f aca="false">IF($K1013="","",INDEX(Base!$J$5:$J$2004,$K1013))</f>
        <v/>
      </c>
      <c r="I1013" s="71" t="str">
        <f aca="false">IF($K1013="","",INDEX(Base!$L$5:$L$2004,$K1013))</f>
        <v/>
      </c>
      <c r="J1013" s="72" t="str">
        <f aca="false">IFERROR(SMALL(Base!$P$5:$P$2004,ROW()-5),"")</f>
        <v/>
      </c>
      <c r="K1013" s="72" t="str">
        <f aca="false">IF(J1013="","",MATCH(J1013,Base!$P$5:$P$2004,0))</f>
        <v/>
      </c>
    </row>
    <row r="1014" customFormat="false" ht="15" hidden="false" customHeight="false" outlineLevel="0" collapsed="false">
      <c r="A1014" s="67" t="str">
        <f aca="false">IF($K1014="","",ROW()-5)</f>
        <v/>
      </c>
      <c r="B1014" s="68" t="str">
        <f aca="false">IF($K1014="","",INDEX(Base!$E$5:$E$2004,$K1014))</f>
        <v/>
      </c>
      <c r="C1014" s="69" t="str">
        <f aca="false">IF($K1014="","",B1014)</f>
        <v/>
      </c>
      <c r="D1014" s="70" t="str">
        <f aca="false">IF($K1014="","",INDEX(Base!$F$5:$F$2004,$K1014))</f>
        <v/>
      </c>
      <c r="E1014" s="70" t="str">
        <f aca="false">IF($K1014="","",INDEX(Base!$G$5:$G$2004,$K1014))</f>
        <v/>
      </c>
      <c r="F1014" s="71" t="str">
        <f aca="false">IF($K1014="","",INDEX(Base!$H$5:$H$2004,$K1014))</f>
        <v/>
      </c>
      <c r="G1014" s="71" t="str">
        <f aca="false">IF($K1014="","",INDEX(Base!$I$5:$I$2004,$K1014))</f>
        <v/>
      </c>
      <c r="H1014" s="70" t="str">
        <f aca="false">IF($K1014="","",INDEX(Base!$J$5:$J$2004,$K1014))</f>
        <v/>
      </c>
      <c r="I1014" s="71" t="str">
        <f aca="false">IF($K1014="","",INDEX(Base!$L$5:$L$2004,$K1014))</f>
        <v/>
      </c>
      <c r="J1014" s="72" t="str">
        <f aca="false">IFERROR(SMALL(Base!$P$5:$P$2004,ROW()-5),"")</f>
        <v/>
      </c>
      <c r="K1014" s="72" t="str">
        <f aca="false">IF(J1014="","",MATCH(J1014,Base!$P$5:$P$2004,0))</f>
        <v/>
      </c>
    </row>
    <row r="1015" customFormat="false" ht="15" hidden="false" customHeight="false" outlineLevel="0" collapsed="false">
      <c r="A1015" s="67" t="str">
        <f aca="false">IF($K1015="","",ROW()-5)</f>
        <v/>
      </c>
      <c r="B1015" s="68" t="str">
        <f aca="false">IF($K1015="","",INDEX(Base!$E$5:$E$2004,$K1015))</f>
        <v/>
      </c>
      <c r="C1015" s="69" t="str">
        <f aca="false">IF($K1015="","",B1015)</f>
        <v/>
      </c>
      <c r="D1015" s="70" t="str">
        <f aca="false">IF($K1015="","",INDEX(Base!$F$5:$F$2004,$K1015))</f>
        <v/>
      </c>
      <c r="E1015" s="70" t="str">
        <f aca="false">IF($K1015="","",INDEX(Base!$G$5:$G$2004,$K1015))</f>
        <v/>
      </c>
      <c r="F1015" s="71" t="str">
        <f aca="false">IF($K1015="","",INDEX(Base!$H$5:$H$2004,$K1015))</f>
        <v/>
      </c>
      <c r="G1015" s="71" t="str">
        <f aca="false">IF($K1015="","",INDEX(Base!$I$5:$I$2004,$K1015))</f>
        <v/>
      </c>
      <c r="H1015" s="70" t="str">
        <f aca="false">IF($K1015="","",INDEX(Base!$J$5:$J$2004,$K1015))</f>
        <v/>
      </c>
      <c r="I1015" s="71" t="str">
        <f aca="false">IF($K1015="","",INDEX(Base!$L$5:$L$2004,$K1015))</f>
        <v/>
      </c>
      <c r="J1015" s="72" t="str">
        <f aca="false">IFERROR(SMALL(Base!$P$5:$P$2004,ROW()-5),"")</f>
        <v/>
      </c>
      <c r="K1015" s="72" t="str">
        <f aca="false">IF(J1015="","",MATCH(J1015,Base!$P$5:$P$2004,0))</f>
        <v/>
      </c>
    </row>
    <row r="1016" customFormat="false" ht="15" hidden="false" customHeight="false" outlineLevel="0" collapsed="false">
      <c r="A1016" s="67" t="str">
        <f aca="false">IF($K1016="","",ROW()-5)</f>
        <v/>
      </c>
      <c r="B1016" s="68" t="str">
        <f aca="false">IF($K1016="","",INDEX(Base!$E$5:$E$2004,$K1016))</f>
        <v/>
      </c>
      <c r="C1016" s="69" t="str">
        <f aca="false">IF($K1016="","",B1016)</f>
        <v/>
      </c>
      <c r="D1016" s="70" t="str">
        <f aca="false">IF($K1016="","",INDEX(Base!$F$5:$F$2004,$K1016))</f>
        <v/>
      </c>
      <c r="E1016" s="70" t="str">
        <f aca="false">IF($K1016="","",INDEX(Base!$G$5:$G$2004,$K1016))</f>
        <v/>
      </c>
      <c r="F1016" s="71" t="str">
        <f aca="false">IF($K1016="","",INDEX(Base!$H$5:$H$2004,$K1016))</f>
        <v/>
      </c>
      <c r="G1016" s="71" t="str">
        <f aca="false">IF($K1016="","",INDEX(Base!$I$5:$I$2004,$K1016))</f>
        <v/>
      </c>
      <c r="H1016" s="70" t="str">
        <f aca="false">IF($K1016="","",INDEX(Base!$J$5:$J$2004,$K1016))</f>
        <v/>
      </c>
      <c r="I1016" s="71" t="str">
        <f aca="false">IF($K1016="","",INDEX(Base!$L$5:$L$2004,$K1016))</f>
        <v/>
      </c>
      <c r="J1016" s="72" t="str">
        <f aca="false">IFERROR(SMALL(Base!$P$5:$P$2004,ROW()-5),"")</f>
        <v/>
      </c>
      <c r="K1016" s="72" t="str">
        <f aca="false">IF(J1016="","",MATCH(J1016,Base!$P$5:$P$2004,0))</f>
        <v/>
      </c>
    </row>
    <row r="1017" customFormat="false" ht="15" hidden="false" customHeight="false" outlineLevel="0" collapsed="false">
      <c r="A1017" s="67" t="str">
        <f aca="false">IF($K1017="","",ROW()-5)</f>
        <v/>
      </c>
      <c r="B1017" s="68" t="str">
        <f aca="false">IF($K1017="","",INDEX(Base!$E$5:$E$2004,$K1017))</f>
        <v/>
      </c>
      <c r="C1017" s="69" t="str">
        <f aca="false">IF($K1017="","",B1017)</f>
        <v/>
      </c>
      <c r="D1017" s="70" t="str">
        <f aca="false">IF($K1017="","",INDEX(Base!$F$5:$F$2004,$K1017))</f>
        <v/>
      </c>
      <c r="E1017" s="70" t="str">
        <f aca="false">IF($K1017="","",INDEX(Base!$G$5:$G$2004,$K1017))</f>
        <v/>
      </c>
      <c r="F1017" s="71" t="str">
        <f aca="false">IF($K1017="","",INDEX(Base!$H$5:$H$2004,$K1017))</f>
        <v/>
      </c>
      <c r="G1017" s="71" t="str">
        <f aca="false">IF($K1017="","",INDEX(Base!$I$5:$I$2004,$K1017))</f>
        <v/>
      </c>
      <c r="H1017" s="70" t="str">
        <f aca="false">IF($K1017="","",INDEX(Base!$J$5:$J$2004,$K1017))</f>
        <v/>
      </c>
      <c r="I1017" s="71" t="str">
        <f aca="false">IF($K1017="","",INDEX(Base!$L$5:$L$2004,$K1017))</f>
        <v/>
      </c>
      <c r="J1017" s="72" t="str">
        <f aca="false">IFERROR(SMALL(Base!$P$5:$P$2004,ROW()-5),"")</f>
        <v/>
      </c>
      <c r="K1017" s="72" t="str">
        <f aca="false">IF(J1017="","",MATCH(J1017,Base!$P$5:$P$2004,0))</f>
        <v/>
      </c>
    </row>
    <row r="1018" customFormat="false" ht="15" hidden="false" customHeight="false" outlineLevel="0" collapsed="false">
      <c r="A1018" s="67" t="str">
        <f aca="false">IF($K1018="","",ROW()-5)</f>
        <v/>
      </c>
      <c r="B1018" s="68" t="str">
        <f aca="false">IF($K1018="","",INDEX(Base!$E$5:$E$2004,$K1018))</f>
        <v/>
      </c>
      <c r="C1018" s="69" t="str">
        <f aca="false">IF($K1018="","",B1018)</f>
        <v/>
      </c>
      <c r="D1018" s="70" t="str">
        <f aca="false">IF($K1018="","",INDEX(Base!$F$5:$F$2004,$K1018))</f>
        <v/>
      </c>
      <c r="E1018" s="70" t="str">
        <f aca="false">IF($K1018="","",INDEX(Base!$G$5:$G$2004,$K1018))</f>
        <v/>
      </c>
      <c r="F1018" s="71" t="str">
        <f aca="false">IF($K1018="","",INDEX(Base!$H$5:$H$2004,$K1018))</f>
        <v/>
      </c>
      <c r="G1018" s="71" t="str">
        <f aca="false">IF($K1018="","",INDEX(Base!$I$5:$I$2004,$K1018))</f>
        <v/>
      </c>
      <c r="H1018" s="70" t="str">
        <f aca="false">IF($K1018="","",INDEX(Base!$J$5:$J$2004,$K1018))</f>
        <v/>
      </c>
      <c r="I1018" s="71" t="str">
        <f aca="false">IF($K1018="","",INDEX(Base!$L$5:$L$2004,$K1018))</f>
        <v/>
      </c>
      <c r="J1018" s="72" t="str">
        <f aca="false">IFERROR(SMALL(Base!$P$5:$P$2004,ROW()-5),"")</f>
        <v/>
      </c>
      <c r="K1018" s="72" t="str">
        <f aca="false">IF(J1018="","",MATCH(J1018,Base!$P$5:$P$2004,0))</f>
        <v/>
      </c>
    </row>
    <row r="1019" customFormat="false" ht="15" hidden="false" customHeight="false" outlineLevel="0" collapsed="false">
      <c r="A1019" s="67" t="str">
        <f aca="false">IF($K1019="","",ROW()-5)</f>
        <v/>
      </c>
      <c r="B1019" s="68" t="str">
        <f aca="false">IF($K1019="","",INDEX(Base!$E$5:$E$2004,$K1019))</f>
        <v/>
      </c>
      <c r="C1019" s="69" t="str">
        <f aca="false">IF($K1019="","",B1019)</f>
        <v/>
      </c>
      <c r="D1019" s="70" t="str">
        <f aca="false">IF($K1019="","",INDEX(Base!$F$5:$F$2004,$K1019))</f>
        <v/>
      </c>
      <c r="E1019" s="70" t="str">
        <f aca="false">IF($K1019="","",INDEX(Base!$G$5:$G$2004,$K1019))</f>
        <v/>
      </c>
      <c r="F1019" s="71" t="str">
        <f aca="false">IF($K1019="","",INDEX(Base!$H$5:$H$2004,$K1019))</f>
        <v/>
      </c>
      <c r="G1019" s="71" t="str">
        <f aca="false">IF($K1019="","",INDEX(Base!$I$5:$I$2004,$K1019))</f>
        <v/>
      </c>
      <c r="H1019" s="70" t="str">
        <f aca="false">IF($K1019="","",INDEX(Base!$J$5:$J$2004,$K1019))</f>
        <v/>
      </c>
      <c r="I1019" s="71" t="str">
        <f aca="false">IF($K1019="","",INDEX(Base!$L$5:$L$2004,$K1019))</f>
        <v/>
      </c>
      <c r="J1019" s="72" t="str">
        <f aca="false">IFERROR(SMALL(Base!$P$5:$P$2004,ROW()-5),"")</f>
        <v/>
      </c>
      <c r="K1019" s="72" t="str">
        <f aca="false">IF(J1019="","",MATCH(J1019,Base!$P$5:$P$2004,0))</f>
        <v/>
      </c>
    </row>
    <row r="1020" customFormat="false" ht="15" hidden="false" customHeight="false" outlineLevel="0" collapsed="false">
      <c r="A1020" s="67" t="str">
        <f aca="false">IF($K1020="","",ROW()-5)</f>
        <v/>
      </c>
      <c r="B1020" s="68" t="str">
        <f aca="false">IF($K1020="","",INDEX(Base!$E$5:$E$2004,$K1020))</f>
        <v/>
      </c>
      <c r="C1020" s="69" t="str">
        <f aca="false">IF($K1020="","",B1020)</f>
        <v/>
      </c>
      <c r="D1020" s="70" t="str">
        <f aca="false">IF($K1020="","",INDEX(Base!$F$5:$F$2004,$K1020))</f>
        <v/>
      </c>
      <c r="E1020" s="70" t="str">
        <f aca="false">IF($K1020="","",INDEX(Base!$G$5:$G$2004,$K1020))</f>
        <v/>
      </c>
      <c r="F1020" s="71" t="str">
        <f aca="false">IF($K1020="","",INDEX(Base!$H$5:$H$2004,$K1020))</f>
        <v/>
      </c>
      <c r="G1020" s="71" t="str">
        <f aca="false">IF($K1020="","",INDEX(Base!$I$5:$I$2004,$K1020))</f>
        <v/>
      </c>
      <c r="H1020" s="70" t="str">
        <f aca="false">IF($K1020="","",INDEX(Base!$J$5:$J$2004,$K1020))</f>
        <v/>
      </c>
      <c r="I1020" s="71" t="str">
        <f aca="false">IF($K1020="","",INDEX(Base!$L$5:$L$2004,$K1020))</f>
        <v/>
      </c>
      <c r="J1020" s="72" t="str">
        <f aca="false">IFERROR(SMALL(Base!$P$5:$P$2004,ROW()-5),"")</f>
        <v/>
      </c>
      <c r="K1020" s="72" t="str">
        <f aca="false">IF(J1020="","",MATCH(J1020,Base!$P$5:$P$2004,0))</f>
        <v/>
      </c>
    </row>
    <row r="1021" customFormat="false" ht="15" hidden="false" customHeight="false" outlineLevel="0" collapsed="false">
      <c r="A1021" s="67" t="str">
        <f aca="false">IF($K1021="","",ROW()-5)</f>
        <v/>
      </c>
      <c r="B1021" s="68" t="str">
        <f aca="false">IF($K1021="","",INDEX(Base!$E$5:$E$2004,$K1021))</f>
        <v/>
      </c>
      <c r="C1021" s="69" t="str">
        <f aca="false">IF($K1021="","",B1021)</f>
        <v/>
      </c>
      <c r="D1021" s="70" t="str">
        <f aca="false">IF($K1021="","",INDEX(Base!$F$5:$F$2004,$K1021))</f>
        <v/>
      </c>
      <c r="E1021" s="70" t="str">
        <f aca="false">IF($K1021="","",INDEX(Base!$G$5:$G$2004,$K1021))</f>
        <v/>
      </c>
      <c r="F1021" s="71" t="str">
        <f aca="false">IF($K1021="","",INDEX(Base!$H$5:$H$2004,$K1021))</f>
        <v/>
      </c>
      <c r="G1021" s="71" t="str">
        <f aca="false">IF($K1021="","",INDEX(Base!$I$5:$I$2004,$K1021))</f>
        <v/>
      </c>
      <c r="H1021" s="70" t="str">
        <f aca="false">IF($K1021="","",INDEX(Base!$J$5:$J$2004,$K1021))</f>
        <v/>
      </c>
      <c r="I1021" s="71" t="str">
        <f aca="false">IF($K1021="","",INDEX(Base!$L$5:$L$2004,$K1021))</f>
        <v/>
      </c>
      <c r="J1021" s="72" t="str">
        <f aca="false">IFERROR(SMALL(Base!$P$5:$P$2004,ROW()-5),"")</f>
        <v/>
      </c>
      <c r="K1021" s="72" t="str">
        <f aca="false">IF(J1021="","",MATCH(J1021,Base!$P$5:$P$2004,0))</f>
        <v/>
      </c>
    </row>
    <row r="1022" customFormat="false" ht="15" hidden="false" customHeight="false" outlineLevel="0" collapsed="false">
      <c r="A1022" s="67" t="str">
        <f aca="false">IF($K1022="","",ROW()-5)</f>
        <v/>
      </c>
      <c r="B1022" s="68" t="str">
        <f aca="false">IF($K1022="","",INDEX(Base!$E$5:$E$2004,$K1022))</f>
        <v/>
      </c>
      <c r="C1022" s="69" t="str">
        <f aca="false">IF($K1022="","",B1022)</f>
        <v/>
      </c>
      <c r="D1022" s="70" t="str">
        <f aca="false">IF($K1022="","",INDEX(Base!$F$5:$F$2004,$K1022))</f>
        <v/>
      </c>
      <c r="E1022" s="70" t="str">
        <f aca="false">IF($K1022="","",INDEX(Base!$G$5:$G$2004,$K1022))</f>
        <v/>
      </c>
      <c r="F1022" s="71" t="str">
        <f aca="false">IF($K1022="","",INDEX(Base!$H$5:$H$2004,$K1022))</f>
        <v/>
      </c>
      <c r="G1022" s="71" t="str">
        <f aca="false">IF($K1022="","",INDEX(Base!$I$5:$I$2004,$K1022))</f>
        <v/>
      </c>
      <c r="H1022" s="70" t="str">
        <f aca="false">IF($K1022="","",INDEX(Base!$J$5:$J$2004,$K1022))</f>
        <v/>
      </c>
      <c r="I1022" s="71" t="str">
        <f aca="false">IF($K1022="","",INDEX(Base!$L$5:$L$2004,$K1022))</f>
        <v/>
      </c>
      <c r="J1022" s="72" t="str">
        <f aca="false">IFERROR(SMALL(Base!$P$5:$P$2004,ROW()-5),"")</f>
        <v/>
      </c>
      <c r="K1022" s="72" t="str">
        <f aca="false">IF(J1022="","",MATCH(J1022,Base!$P$5:$P$2004,0))</f>
        <v/>
      </c>
    </row>
    <row r="1023" customFormat="false" ht="15" hidden="false" customHeight="false" outlineLevel="0" collapsed="false">
      <c r="A1023" s="67" t="str">
        <f aca="false">IF($K1023="","",ROW()-5)</f>
        <v/>
      </c>
      <c r="B1023" s="68" t="str">
        <f aca="false">IF($K1023="","",INDEX(Base!$E$5:$E$2004,$K1023))</f>
        <v/>
      </c>
      <c r="C1023" s="69" t="str">
        <f aca="false">IF($K1023="","",B1023)</f>
        <v/>
      </c>
      <c r="D1023" s="70" t="str">
        <f aca="false">IF($K1023="","",INDEX(Base!$F$5:$F$2004,$K1023))</f>
        <v/>
      </c>
      <c r="E1023" s="70" t="str">
        <f aca="false">IF($K1023="","",INDEX(Base!$G$5:$G$2004,$K1023))</f>
        <v/>
      </c>
      <c r="F1023" s="71" t="str">
        <f aca="false">IF($K1023="","",INDEX(Base!$H$5:$H$2004,$K1023))</f>
        <v/>
      </c>
      <c r="G1023" s="71" t="str">
        <f aca="false">IF($K1023="","",INDEX(Base!$I$5:$I$2004,$K1023))</f>
        <v/>
      </c>
      <c r="H1023" s="70" t="str">
        <f aca="false">IF($K1023="","",INDEX(Base!$J$5:$J$2004,$K1023))</f>
        <v/>
      </c>
      <c r="I1023" s="71" t="str">
        <f aca="false">IF($K1023="","",INDEX(Base!$L$5:$L$2004,$K1023))</f>
        <v/>
      </c>
      <c r="J1023" s="72" t="str">
        <f aca="false">IFERROR(SMALL(Base!$P$5:$P$2004,ROW()-5),"")</f>
        <v/>
      </c>
      <c r="K1023" s="72" t="str">
        <f aca="false">IF(J1023="","",MATCH(J1023,Base!$P$5:$P$2004,0))</f>
        <v/>
      </c>
    </row>
    <row r="1024" customFormat="false" ht="15" hidden="false" customHeight="false" outlineLevel="0" collapsed="false">
      <c r="A1024" s="67" t="str">
        <f aca="false">IF($K1024="","",ROW()-5)</f>
        <v/>
      </c>
      <c r="B1024" s="68" t="str">
        <f aca="false">IF($K1024="","",INDEX(Base!$E$5:$E$2004,$K1024))</f>
        <v/>
      </c>
      <c r="C1024" s="69" t="str">
        <f aca="false">IF($K1024="","",B1024)</f>
        <v/>
      </c>
      <c r="D1024" s="70" t="str">
        <f aca="false">IF($K1024="","",INDEX(Base!$F$5:$F$2004,$K1024))</f>
        <v/>
      </c>
      <c r="E1024" s="70" t="str">
        <f aca="false">IF($K1024="","",INDEX(Base!$G$5:$G$2004,$K1024))</f>
        <v/>
      </c>
      <c r="F1024" s="71" t="str">
        <f aca="false">IF($K1024="","",INDEX(Base!$H$5:$H$2004,$K1024))</f>
        <v/>
      </c>
      <c r="G1024" s="71" t="str">
        <f aca="false">IF($K1024="","",INDEX(Base!$I$5:$I$2004,$K1024))</f>
        <v/>
      </c>
      <c r="H1024" s="70" t="str">
        <f aca="false">IF($K1024="","",INDEX(Base!$J$5:$J$2004,$K1024))</f>
        <v/>
      </c>
      <c r="I1024" s="71" t="str">
        <f aca="false">IF($K1024="","",INDEX(Base!$L$5:$L$2004,$K1024))</f>
        <v/>
      </c>
      <c r="J1024" s="72" t="str">
        <f aca="false">IFERROR(SMALL(Base!$P$5:$P$2004,ROW()-5),"")</f>
        <v/>
      </c>
      <c r="K1024" s="72" t="str">
        <f aca="false">IF(J1024="","",MATCH(J1024,Base!$P$5:$P$2004,0))</f>
        <v/>
      </c>
    </row>
    <row r="1025" customFormat="false" ht="15" hidden="false" customHeight="false" outlineLevel="0" collapsed="false">
      <c r="A1025" s="67" t="str">
        <f aca="false">IF($K1025="","",ROW()-5)</f>
        <v/>
      </c>
      <c r="B1025" s="68" t="str">
        <f aca="false">IF($K1025="","",INDEX(Base!$E$5:$E$2004,$K1025))</f>
        <v/>
      </c>
      <c r="C1025" s="69" t="str">
        <f aca="false">IF($K1025="","",B1025)</f>
        <v/>
      </c>
      <c r="D1025" s="70" t="str">
        <f aca="false">IF($K1025="","",INDEX(Base!$F$5:$F$2004,$K1025))</f>
        <v/>
      </c>
      <c r="E1025" s="70" t="str">
        <f aca="false">IF($K1025="","",INDEX(Base!$G$5:$G$2004,$K1025))</f>
        <v/>
      </c>
      <c r="F1025" s="71" t="str">
        <f aca="false">IF($K1025="","",INDEX(Base!$H$5:$H$2004,$K1025))</f>
        <v/>
      </c>
      <c r="G1025" s="71" t="str">
        <f aca="false">IF($K1025="","",INDEX(Base!$I$5:$I$2004,$K1025))</f>
        <v/>
      </c>
      <c r="H1025" s="70" t="str">
        <f aca="false">IF($K1025="","",INDEX(Base!$J$5:$J$2004,$K1025))</f>
        <v/>
      </c>
      <c r="I1025" s="71" t="str">
        <f aca="false">IF($K1025="","",INDEX(Base!$L$5:$L$2004,$K1025))</f>
        <v/>
      </c>
      <c r="J1025" s="72" t="str">
        <f aca="false">IFERROR(SMALL(Base!$P$5:$P$2004,ROW()-5),"")</f>
        <v/>
      </c>
      <c r="K1025" s="72" t="str">
        <f aca="false">IF(J1025="","",MATCH(J1025,Base!$P$5:$P$2004,0))</f>
        <v/>
      </c>
    </row>
    <row r="1026" customFormat="false" ht="15" hidden="false" customHeight="false" outlineLevel="0" collapsed="false">
      <c r="A1026" s="67" t="str">
        <f aca="false">IF($K1026="","",ROW()-5)</f>
        <v/>
      </c>
      <c r="B1026" s="68" t="str">
        <f aca="false">IF($K1026="","",INDEX(Base!$E$5:$E$2004,$K1026))</f>
        <v/>
      </c>
      <c r="C1026" s="69" t="str">
        <f aca="false">IF($K1026="","",B1026)</f>
        <v/>
      </c>
      <c r="D1026" s="70" t="str">
        <f aca="false">IF($K1026="","",INDEX(Base!$F$5:$F$2004,$K1026))</f>
        <v/>
      </c>
      <c r="E1026" s="70" t="str">
        <f aca="false">IF($K1026="","",INDEX(Base!$G$5:$G$2004,$K1026))</f>
        <v/>
      </c>
      <c r="F1026" s="71" t="str">
        <f aca="false">IF($K1026="","",INDEX(Base!$H$5:$H$2004,$K1026))</f>
        <v/>
      </c>
      <c r="G1026" s="71" t="str">
        <f aca="false">IF($K1026="","",INDEX(Base!$I$5:$I$2004,$K1026))</f>
        <v/>
      </c>
      <c r="H1026" s="70" t="str">
        <f aca="false">IF($K1026="","",INDEX(Base!$J$5:$J$2004,$K1026))</f>
        <v/>
      </c>
      <c r="I1026" s="71" t="str">
        <f aca="false">IF($K1026="","",INDEX(Base!$L$5:$L$2004,$K1026))</f>
        <v/>
      </c>
      <c r="J1026" s="72" t="str">
        <f aca="false">IFERROR(SMALL(Base!$P$5:$P$2004,ROW()-5),"")</f>
        <v/>
      </c>
      <c r="K1026" s="72" t="str">
        <f aca="false">IF(J1026="","",MATCH(J1026,Base!$P$5:$P$2004,0))</f>
        <v/>
      </c>
    </row>
    <row r="1027" customFormat="false" ht="15" hidden="false" customHeight="false" outlineLevel="0" collapsed="false">
      <c r="A1027" s="67" t="str">
        <f aca="false">IF($K1027="","",ROW()-5)</f>
        <v/>
      </c>
      <c r="B1027" s="68" t="str">
        <f aca="false">IF($K1027="","",INDEX(Base!$E$5:$E$2004,$K1027))</f>
        <v/>
      </c>
      <c r="C1027" s="69" t="str">
        <f aca="false">IF($K1027="","",B1027)</f>
        <v/>
      </c>
      <c r="D1027" s="70" t="str">
        <f aca="false">IF($K1027="","",INDEX(Base!$F$5:$F$2004,$K1027))</f>
        <v/>
      </c>
      <c r="E1027" s="70" t="str">
        <f aca="false">IF($K1027="","",INDEX(Base!$G$5:$G$2004,$K1027))</f>
        <v/>
      </c>
      <c r="F1027" s="71" t="str">
        <f aca="false">IF($K1027="","",INDEX(Base!$H$5:$H$2004,$K1027))</f>
        <v/>
      </c>
      <c r="G1027" s="71" t="str">
        <f aca="false">IF($K1027="","",INDEX(Base!$I$5:$I$2004,$K1027))</f>
        <v/>
      </c>
      <c r="H1027" s="70" t="str">
        <f aca="false">IF($K1027="","",INDEX(Base!$J$5:$J$2004,$K1027))</f>
        <v/>
      </c>
      <c r="I1027" s="71" t="str">
        <f aca="false">IF($K1027="","",INDEX(Base!$L$5:$L$2004,$K1027))</f>
        <v/>
      </c>
      <c r="J1027" s="72" t="str">
        <f aca="false">IFERROR(SMALL(Base!$P$5:$P$2004,ROW()-5),"")</f>
        <v/>
      </c>
      <c r="K1027" s="72" t="str">
        <f aca="false">IF(J1027="","",MATCH(J1027,Base!$P$5:$P$2004,0))</f>
        <v/>
      </c>
    </row>
    <row r="1028" customFormat="false" ht="15" hidden="false" customHeight="false" outlineLevel="0" collapsed="false">
      <c r="A1028" s="67" t="str">
        <f aca="false">IF($K1028="","",ROW()-5)</f>
        <v/>
      </c>
      <c r="B1028" s="68" t="str">
        <f aca="false">IF($K1028="","",INDEX(Base!$E$5:$E$2004,$K1028))</f>
        <v/>
      </c>
      <c r="C1028" s="69" t="str">
        <f aca="false">IF($K1028="","",B1028)</f>
        <v/>
      </c>
      <c r="D1028" s="70" t="str">
        <f aca="false">IF($K1028="","",INDEX(Base!$F$5:$F$2004,$K1028))</f>
        <v/>
      </c>
      <c r="E1028" s="70" t="str">
        <f aca="false">IF($K1028="","",INDEX(Base!$G$5:$G$2004,$K1028))</f>
        <v/>
      </c>
      <c r="F1028" s="71" t="str">
        <f aca="false">IF($K1028="","",INDEX(Base!$H$5:$H$2004,$K1028))</f>
        <v/>
      </c>
      <c r="G1028" s="71" t="str">
        <f aca="false">IF($K1028="","",INDEX(Base!$I$5:$I$2004,$K1028))</f>
        <v/>
      </c>
      <c r="H1028" s="70" t="str">
        <f aca="false">IF($K1028="","",INDEX(Base!$J$5:$J$2004,$K1028))</f>
        <v/>
      </c>
      <c r="I1028" s="71" t="str">
        <f aca="false">IF($K1028="","",INDEX(Base!$L$5:$L$2004,$K1028))</f>
        <v/>
      </c>
      <c r="J1028" s="72" t="str">
        <f aca="false">IFERROR(SMALL(Base!$P$5:$P$2004,ROW()-5),"")</f>
        <v/>
      </c>
      <c r="K1028" s="72" t="str">
        <f aca="false">IF(J1028="","",MATCH(J1028,Base!$P$5:$P$2004,0))</f>
        <v/>
      </c>
    </row>
    <row r="1029" customFormat="false" ht="15" hidden="false" customHeight="false" outlineLevel="0" collapsed="false">
      <c r="A1029" s="67" t="str">
        <f aca="false">IF($K1029="","",ROW()-5)</f>
        <v/>
      </c>
      <c r="B1029" s="68" t="str">
        <f aca="false">IF($K1029="","",INDEX(Base!$E$5:$E$2004,$K1029))</f>
        <v/>
      </c>
      <c r="C1029" s="69" t="str">
        <f aca="false">IF($K1029="","",B1029)</f>
        <v/>
      </c>
      <c r="D1029" s="70" t="str">
        <f aca="false">IF($K1029="","",INDEX(Base!$F$5:$F$2004,$K1029))</f>
        <v/>
      </c>
      <c r="E1029" s="70" t="str">
        <f aca="false">IF($K1029="","",INDEX(Base!$G$5:$G$2004,$K1029))</f>
        <v/>
      </c>
      <c r="F1029" s="71" t="str">
        <f aca="false">IF($K1029="","",INDEX(Base!$H$5:$H$2004,$K1029))</f>
        <v/>
      </c>
      <c r="G1029" s="71" t="str">
        <f aca="false">IF($K1029="","",INDEX(Base!$I$5:$I$2004,$K1029))</f>
        <v/>
      </c>
      <c r="H1029" s="70" t="str">
        <f aca="false">IF($K1029="","",INDEX(Base!$J$5:$J$2004,$K1029))</f>
        <v/>
      </c>
      <c r="I1029" s="71" t="str">
        <f aca="false">IF($K1029="","",INDEX(Base!$L$5:$L$2004,$K1029))</f>
        <v/>
      </c>
      <c r="J1029" s="72" t="str">
        <f aca="false">IFERROR(SMALL(Base!$P$5:$P$2004,ROW()-5),"")</f>
        <v/>
      </c>
      <c r="K1029" s="72" t="str">
        <f aca="false">IF(J1029="","",MATCH(J1029,Base!$P$5:$P$2004,0))</f>
        <v/>
      </c>
    </row>
    <row r="1030" customFormat="false" ht="15" hidden="false" customHeight="false" outlineLevel="0" collapsed="false">
      <c r="A1030" s="67" t="str">
        <f aca="false">IF($K1030="","",ROW()-5)</f>
        <v/>
      </c>
      <c r="B1030" s="68" t="str">
        <f aca="false">IF($K1030="","",INDEX(Base!$E$5:$E$2004,$K1030))</f>
        <v/>
      </c>
      <c r="C1030" s="69" t="str">
        <f aca="false">IF($K1030="","",B1030)</f>
        <v/>
      </c>
      <c r="D1030" s="70" t="str">
        <f aca="false">IF($K1030="","",INDEX(Base!$F$5:$F$2004,$K1030))</f>
        <v/>
      </c>
      <c r="E1030" s="70" t="str">
        <f aca="false">IF($K1030="","",INDEX(Base!$G$5:$G$2004,$K1030))</f>
        <v/>
      </c>
      <c r="F1030" s="71" t="str">
        <f aca="false">IF($K1030="","",INDEX(Base!$H$5:$H$2004,$K1030))</f>
        <v/>
      </c>
      <c r="G1030" s="71" t="str">
        <f aca="false">IF($K1030="","",INDEX(Base!$I$5:$I$2004,$K1030))</f>
        <v/>
      </c>
      <c r="H1030" s="70" t="str">
        <f aca="false">IF($K1030="","",INDEX(Base!$J$5:$J$2004,$K1030))</f>
        <v/>
      </c>
      <c r="I1030" s="71" t="str">
        <f aca="false">IF($K1030="","",INDEX(Base!$L$5:$L$2004,$K1030))</f>
        <v/>
      </c>
      <c r="J1030" s="72" t="str">
        <f aca="false">IFERROR(SMALL(Base!$P$5:$P$2004,ROW()-5),"")</f>
        <v/>
      </c>
      <c r="K1030" s="72" t="str">
        <f aca="false">IF(J1030="","",MATCH(J1030,Base!$P$5:$P$2004,0))</f>
        <v/>
      </c>
    </row>
    <row r="1031" customFormat="false" ht="15" hidden="false" customHeight="false" outlineLevel="0" collapsed="false">
      <c r="A1031" s="67" t="str">
        <f aca="false">IF($K1031="","",ROW()-5)</f>
        <v/>
      </c>
      <c r="B1031" s="68" t="str">
        <f aca="false">IF($K1031="","",INDEX(Base!$E$5:$E$2004,$K1031))</f>
        <v/>
      </c>
      <c r="C1031" s="69" t="str">
        <f aca="false">IF($K1031="","",B1031)</f>
        <v/>
      </c>
      <c r="D1031" s="70" t="str">
        <f aca="false">IF($K1031="","",INDEX(Base!$F$5:$F$2004,$K1031))</f>
        <v/>
      </c>
      <c r="E1031" s="70" t="str">
        <f aca="false">IF($K1031="","",INDEX(Base!$G$5:$G$2004,$K1031))</f>
        <v/>
      </c>
      <c r="F1031" s="71" t="str">
        <f aca="false">IF($K1031="","",INDEX(Base!$H$5:$H$2004,$K1031))</f>
        <v/>
      </c>
      <c r="G1031" s="71" t="str">
        <f aca="false">IF($K1031="","",INDEX(Base!$I$5:$I$2004,$K1031))</f>
        <v/>
      </c>
      <c r="H1031" s="70" t="str">
        <f aca="false">IF($K1031="","",INDEX(Base!$J$5:$J$2004,$K1031))</f>
        <v/>
      </c>
      <c r="I1031" s="71" t="str">
        <f aca="false">IF($K1031="","",INDEX(Base!$L$5:$L$2004,$K1031))</f>
        <v/>
      </c>
      <c r="J1031" s="72" t="str">
        <f aca="false">IFERROR(SMALL(Base!$P$5:$P$2004,ROW()-5),"")</f>
        <v/>
      </c>
      <c r="K1031" s="72" t="str">
        <f aca="false">IF(J1031="","",MATCH(J1031,Base!$P$5:$P$2004,0))</f>
        <v/>
      </c>
    </row>
    <row r="1032" customFormat="false" ht="15" hidden="false" customHeight="false" outlineLevel="0" collapsed="false">
      <c r="A1032" s="67" t="str">
        <f aca="false">IF($K1032="","",ROW()-5)</f>
        <v/>
      </c>
      <c r="B1032" s="68" t="str">
        <f aca="false">IF($K1032="","",INDEX(Base!$E$5:$E$2004,$K1032))</f>
        <v/>
      </c>
      <c r="C1032" s="69" t="str">
        <f aca="false">IF($K1032="","",B1032)</f>
        <v/>
      </c>
      <c r="D1032" s="70" t="str">
        <f aca="false">IF($K1032="","",INDEX(Base!$F$5:$F$2004,$K1032))</f>
        <v/>
      </c>
      <c r="E1032" s="70" t="str">
        <f aca="false">IF($K1032="","",INDEX(Base!$G$5:$G$2004,$K1032))</f>
        <v/>
      </c>
      <c r="F1032" s="71" t="str">
        <f aca="false">IF($K1032="","",INDEX(Base!$H$5:$H$2004,$K1032))</f>
        <v/>
      </c>
      <c r="G1032" s="71" t="str">
        <f aca="false">IF($K1032="","",INDEX(Base!$I$5:$I$2004,$K1032))</f>
        <v/>
      </c>
      <c r="H1032" s="70" t="str">
        <f aca="false">IF($K1032="","",INDEX(Base!$J$5:$J$2004,$K1032))</f>
        <v/>
      </c>
      <c r="I1032" s="71" t="str">
        <f aca="false">IF($K1032="","",INDEX(Base!$L$5:$L$2004,$K1032))</f>
        <v/>
      </c>
      <c r="J1032" s="72" t="str">
        <f aca="false">IFERROR(SMALL(Base!$P$5:$P$2004,ROW()-5),"")</f>
        <v/>
      </c>
      <c r="K1032" s="72" t="str">
        <f aca="false">IF(J1032="","",MATCH(J1032,Base!$P$5:$P$2004,0))</f>
        <v/>
      </c>
    </row>
    <row r="1033" customFormat="false" ht="15" hidden="false" customHeight="false" outlineLevel="0" collapsed="false">
      <c r="A1033" s="67" t="str">
        <f aca="false">IF($K1033="","",ROW()-5)</f>
        <v/>
      </c>
      <c r="B1033" s="68" t="str">
        <f aca="false">IF($K1033="","",INDEX(Base!$E$5:$E$2004,$K1033))</f>
        <v/>
      </c>
      <c r="C1033" s="69" t="str">
        <f aca="false">IF($K1033="","",B1033)</f>
        <v/>
      </c>
      <c r="D1033" s="70" t="str">
        <f aca="false">IF($K1033="","",INDEX(Base!$F$5:$F$2004,$K1033))</f>
        <v/>
      </c>
      <c r="E1033" s="70" t="str">
        <f aca="false">IF($K1033="","",INDEX(Base!$G$5:$G$2004,$K1033))</f>
        <v/>
      </c>
      <c r="F1033" s="71" t="str">
        <f aca="false">IF($K1033="","",INDEX(Base!$H$5:$H$2004,$K1033))</f>
        <v/>
      </c>
      <c r="G1033" s="71" t="str">
        <f aca="false">IF($K1033="","",INDEX(Base!$I$5:$I$2004,$K1033))</f>
        <v/>
      </c>
      <c r="H1033" s="70" t="str">
        <f aca="false">IF($K1033="","",INDEX(Base!$J$5:$J$2004,$K1033))</f>
        <v/>
      </c>
      <c r="I1033" s="71" t="str">
        <f aca="false">IF($K1033="","",INDEX(Base!$L$5:$L$2004,$K1033))</f>
        <v/>
      </c>
      <c r="J1033" s="72" t="str">
        <f aca="false">IFERROR(SMALL(Base!$P$5:$P$2004,ROW()-5),"")</f>
        <v/>
      </c>
      <c r="K1033" s="72" t="str">
        <f aca="false">IF(J1033="","",MATCH(J1033,Base!$P$5:$P$2004,0))</f>
        <v/>
      </c>
    </row>
    <row r="1034" customFormat="false" ht="15" hidden="false" customHeight="false" outlineLevel="0" collapsed="false">
      <c r="A1034" s="67" t="str">
        <f aca="false">IF($K1034="","",ROW()-5)</f>
        <v/>
      </c>
      <c r="B1034" s="68" t="str">
        <f aca="false">IF($K1034="","",INDEX(Base!$E$5:$E$2004,$K1034))</f>
        <v/>
      </c>
      <c r="C1034" s="69" t="str">
        <f aca="false">IF($K1034="","",B1034)</f>
        <v/>
      </c>
      <c r="D1034" s="70" t="str">
        <f aca="false">IF($K1034="","",INDEX(Base!$F$5:$F$2004,$K1034))</f>
        <v/>
      </c>
      <c r="E1034" s="70" t="str">
        <f aca="false">IF($K1034="","",INDEX(Base!$G$5:$G$2004,$K1034))</f>
        <v/>
      </c>
      <c r="F1034" s="71" t="str">
        <f aca="false">IF($K1034="","",INDEX(Base!$H$5:$H$2004,$K1034))</f>
        <v/>
      </c>
      <c r="G1034" s="71" t="str">
        <f aca="false">IF($K1034="","",INDEX(Base!$I$5:$I$2004,$K1034))</f>
        <v/>
      </c>
      <c r="H1034" s="70" t="str">
        <f aca="false">IF($K1034="","",INDEX(Base!$J$5:$J$2004,$K1034))</f>
        <v/>
      </c>
      <c r="I1034" s="71" t="str">
        <f aca="false">IF($K1034="","",INDEX(Base!$L$5:$L$2004,$K1034))</f>
        <v/>
      </c>
      <c r="J1034" s="72" t="str">
        <f aca="false">IFERROR(SMALL(Base!$P$5:$P$2004,ROW()-5),"")</f>
        <v/>
      </c>
      <c r="K1034" s="72" t="str">
        <f aca="false">IF(J1034="","",MATCH(J1034,Base!$P$5:$P$2004,0))</f>
        <v/>
      </c>
    </row>
    <row r="1035" customFormat="false" ht="15" hidden="false" customHeight="false" outlineLevel="0" collapsed="false">
      <c r="A1035" s="67" t="str">
        <f aca="false">IF($K1035="","",ROW()-5)</f>
        <v/>
      </c>
      <c r="B1035" s="68" t="str">
        <f aca="false">IF($K1035="","",INDEX(Base!$E$5:$E$2004,$K1035))</f>
        <v/>
      </c>
      <c r="C1035" s="69" t="str">
        <f aca="false">IF($K1035="","",B1035)</f>
        <v/>
      </c>
      <c r="D1035" s="70" t="str">
        <f aca="false">IF($K1035="","",INDEX(Base!$F$5:$F$2004,$K1035))</f>
        <v/>
      </c>
      <c r="E1035" s="70" t="str">
        <f aca="false">IF($K1035="","",INDEX(Base!$G$5:$G$2004,$K1035))</f>
        <v/>
      </c>
      <c r="F1035" s="71" t="str">
        <f aca="false">IF($K1035="","",INDEX(Base!$H$5:$H$2004,$K1035))</f>
        <v/>
      </c>
      <c r="G1035" s="71" t="str">
        <f aca="false">IF($K1035="","",INDEX(Base!$I$5:$I$2004,$K1035))</f>
        <v/>
      </c>
      <c r="H1035" s="70" t="str">
        <f aca="false">IF($K1035="","",INDEX(Base!$J$5:$J$2004,$K1035))</f>
        <v/>
      </c>
      <c r="I1035" s="71" t="str">
        <f aca="false">IF($K1035="","",INDEX(Base!$L$5:$L$2004,$K1035))</f>
        <v/>
      </c>
      <c r="J1035" s="72" t="str">
        <f aca="false">IFERROR(SMALL(Base!$P$5:$P$2004,ROW()-5),"")</f>
        <v/>
      </c>
      <c r="K1035" s="72" t="str">
        <f aca="false">IF(J1035="","",MATCH(J1035,Base!$P$5:$P$2004,0))</f>
        <v/>
      </c>
    </row>
    <row r="1036" customFormat="false" ht="15" hidden="false" customHeight="false" outlineLevel="0" collapsed="false">
      <c r="A1036" s="67" t="str">
        <f aca="false">IF($K1036="","",ROW()-5)</f>
        <v/>
      </c>
      <c r="B1036" s="68" t="str">
        <f aca="false">IF($K1036="","",INDEX(Base!$E$5:$E$2004,$K1036))</f>
        <v/>
      </c>
      <c r="C1036" s="69" t="str">
        <f aca="false">IF($K1036="","",B1036)</f>
        <v/>
      </c>
      <c r="D1036" s="70" t="str">
        <f aca="false">IF($K1036="","",INDEX(Base!$F$5:$F$2004,$K1036))</f>
        <v/>
      </c>
      <c r="E1036" s="70" t="str">
        <f aca="false">IF($K1036="","",INDEX(Base!$G$5:$G$2004,$K1036))</f>
        <v/>
      </c>
      <c r="F1036" s="71" t="str">
        <f aca="false">IF($K1036="","",INDEX(Base!$H$5:$H$2004,$K1036))</f>
        <v/>
      </c>
      <c r="G1036" s="71" t="str">
        <f aca="false">IF($K1036="","",INDEX(Base!$I$5:$I$2004,$K1036))</f>
        <v/>
      </c>
      <c r="H1036" s="70" t="str">
        <f aca="false">IF($K1036="","",INDEX(Base!$J$5:$J$2004,$K1036))</f>
        <v/>
      </c>
      <c r="I1036" s="71" t="str">
        <f aca="false">IF($K1036="","",INDEX(Base!$L$5:$L$2004,$K1036))</f>
        <v/>
      </c>
      <c r="J1036" s="72" t="str">
        <f aca="false">IFERROR(SMALL(Base!$P$5:$P$2004,ROW()-5),"")</f>
        <v/>
      </c>
      <c r="K1036" s="72" t="str">
        <f aca="false">IF(J1036="","",MATCH(J1036,Base!$P$5:$P$2004,0))</f>
        <v/>
      </c>
    </row>
    <row r="1037" customFormat="false" ht="15" hidden="false" customHeight="false" outlineLevel="0" collapsed="false">
      <c r="A1037" s="67" t="str">
        <f aca="false">IF($K1037="","",ROW()-5)</f>
        <v/>
      </c>
      <c r="B1037" s="68" t="str">
        <f aca="false">IF($K1037="","",INDEX(Base!$E$5:$E$2004,$K1037))</f>
        <v/>
      </c>
      <c r="C1037" s="69" t="str">
        <f aca="false">IF($K1037="","",B1037)</f>
        <v/>
      </c>
      <c r="D1037" s="70" t="str">
        <f aca="false">IF($K1037="","",INDEX(Base!$F$5:$F$2004,$K1037))</f>
        <v/>
      </c>
      <c r="E1037" s="70" t="str">
        <f aca="false">IF($K1037="","",INDEX(Base!$G$5:$G$2004,$K1037))</f>
        <v/>
      </c>
      <c r="F1037" s="71" t="str">
        <f aca="false">IF($K1037="","",INDEX(Base!$H$5:$H$2004,$K1037))</f>
        <v/>
      </c>
      <c r="G1037" s="71" t="str">
        <f aca="false">IF($K1037="","",INDEX(Base!$I$5:$I$2004,$K1037))</f>
        <v/>
      </c>
      <c r="H1037" s="70" t="str">
        <f aca="false">IF($K1037="","",INDEX(Base!$J$5:$J$2004,$K1037))</f>
        <v/>
      </c>
      <c r="I1037" s="71" t="str">
        <f aca="false">IF($K1037="","",INDEX(Base!$L$5:$L$2004,$K1037))</f>
        <v/>
      </c>
      <c r="J1037" s="72" t="str">
        <f aca="false">IFERROR(SMALL(Base!$P$5:$P$2004,ROW()-5),"")</f>
        <v/>
      </c>
      <c r="K1037" s="72" t="str">
        <f aca="false">IF(J1037="","",MATCH(J1037,Base!$P$5:$P$2004,0))</f>
        <v/>
      </c>
    </row>
    <row r="1038" customFormat="false" ht="15" hidden="false" customHeight="false" outlineLevel="0" collapsed="false">
      <c r="A1038" s="67" t="str">
        <f aca="false">IF($K1038="","",ROW()-5)</f>
        <v/>
      </c>
      <c r="B1038" s="68" t="str">
        <f aca="false">IF($K1038="","",INDEX(Base!$E$5:$E$2004,$K1038))</f>
        <v/>
      </c>
      <c r="C1038" s="69" t="str">
        <f aca="false">IF($K1038="","",B1038)</f>
        <v/>
      </c>
      <c r="D1038" s="70" t="str">
        <f aca="false">IF($K1038="","",INDEX(Base!$F$5:$F$2004,$K1038))</f>
        <v/>
      </c>
      <c r="E1038" s="70" t="str">
        <f aca="false">IF($K1038="","",INDEX(Base!$G$5:$G$2004,$K1038))</f>
        <v/>
      </c>
      <c r="F1038" s="71" t="str">
        <f aca="false">IF($K1038="","",INDEX(Base!$H$5:$H$2004,$K1038))</f>
        <v/>
      </c>
      <c r="G1038" s="71" t="str">
        <f aca="false">IF($K1038="","",INDEX(Base!$I$5:$I$2004,$K1038))</f>
        <v/>
      </c>
      <c r="H1038" s="70" t="str">
        <f aca="false">IF($K1038="","",INDEX(Base!$J$5:$J$2004,$K1038))</f>
        <v/>
      </c>
      <c r="I1038" s="71" t="str">
        <f aca="false">IF($K1038="","",INDEX(Base!$L$5:$L$2004,$K1038))</f>
        <v/>
      </c>
      <c r="J1038" s="72" t="str">
        <f aca="false">IFERROR(SMALL(Base!$P$5:$P$2004,ROW()-5),"")</f>
        <v/>
      </c>
      <c r="K1038" s="72" t="str">
        <f aca="false">IF(J1038="","",MATCH(J1038,Base!$P$5:$P$2004,0))</f>
        <v/>
      </c>
    </row>
    <row r="1039" customFormat="false" ht="15" hidden="false" customHeight="false" outlineLevel="0" collapsed="false">
      <c r="A1039" s="67" t="str">
        <f aca="false">IF($K1039="","",ROW()-5)</f>
        <v/>
      </c>
      <c r="B1039" s="68" t="str">
        <f aca="false">IF($K1039="","",INDEX(Base!$E$5:$E$2004,$K1039))</f>
        <v/>
      </c>
      <c r="C1039" s="69" t="str">
        <f aca="false">IF($K1039="","",B1039)</f>
        <v/>
      </c>
      <c r="D1039" s="70" t="str">
        <f aca="false">IF($K1039="","",INDEX(Base!$F$5:$F$2004,$K1039))</f>
        <v/>
      </c>
      <c r="E1039" s="70" t="str">
        <f aca="false">IF($K1039="","",INDEX(Base!$G$5:$G$2004,$K1039))</f>
        <v/>
      </c>
      <c r="F1039" s="71" t="str">
        <f aca="false">IF($K1039="","",INDEX(Base!$H$5:$H$2004,$K1039))</f>
        <v/>
      </c>
      <c r="G1039" s="71" t="str">
        <f aca="false">IF($K1039="","",INDEX(Base!$I$5:$I$2004,$K1039))</f>
        <v/>
      </c>
      <c r="H1039" s="70" t="str">
        <f aca="false">IF($K1039="","",INDEX(Base!$J$5:$J$2004,$K1039))</f>
        <v/>
      </c>
      <c r="I1039" s="71" t="str">
        <f aca="false">IF($K1039="","",INDEX(Base!$L$5:$L$2004,$K1039))</f>
        <v/>
      </c>
      <c r="J1039" s="72" t="str">
        <f aca="false">IFERROR(SMALL(Base!$P$5:$P$2004,ROW()-5),"")</f>
        <v/>
      </c>
      <c r="K1039" s="72" t="str">
        <f aca="false">IF(J1039="","",MATCH(J1039,Base!$P$5:$P$2004,0))</f>
        <v/>
      </c>
    </row>
    <row r="1040" customFormat="false" ht="15" hidden="false" customHeight="false" outlineLevel="0" collapsed="false">
      <c r="A1040" s="67" t="str">
        <f aca="false">IF($K1040="","",ROW()-5)</f>
        <v/>
      </c>
      <c r="B1040" s="68" t="str">
        <f aca="false">IF($K1040="","",INDEX(Base!$E$5:$E$2004,$K1040))</f>
        <v/>
      </c>
      <c r="C1040" s="69" t="str">
        <f aca="false">IF($K1040="","",B1040)</f>
        <v/>
      </c>
      <c r="D1040" s="70" t="str">
        <f aca="false">IF($K1040="","",INDEX(Base!$F$5:$F$2004,$K1040))</f>
        <v/>
      </c>
      <c r="E1040" s="70" t="str">
        <f aca="false">IF($K1040="","",INDEX(Base!$G$5:$G$2004,$K1040))</f>
        <v/>
      </c>
      <c r="F1040" s="71" t="str">
        <f aca="false">IF($K1040="","",INDEX(Base!$H$5:$H$2004,$K1040))</f>
        <v/>
      </c>
      <c r="G1040" s="71" t="str">
        <f aca="false">IF($K1040="","",INDEX(Base!$I$5:$I$2004,$K1040))</f>
        <v/>
      </c>
      <c r="H1040" s="70" t="str">
        <f aca="false">IF($K1040="","",INDEX(Base!$J$5:$J$2004,$K1040))</f>
        <v/>
      </c>
      <c r="I1040" s="71" t="str">
        <f aca="false">IF($K1040="","",INDEX(Base!$L$5:$L$2004,$K1040))</f>
        <v/>
      </c>
      <c r="J1040" s="72" t="str">
        <f aca="false">IFERROR(SMALL(Base!$P$5:$P$2004,ROW()-5),"")</f>
        <v/>
      </c>
      <c r="K1040" s="72" t="str">
        <f aca="false">IF(J1040="","",MATCH(J1040,Base!$P$5:$P$2004,0))</f>
        <v/>
      </c>
    </row>
    <row r="1041" customFormat="false" ht="15" hidden="false" customHeight="false" outlineLevel="0" collapsed="false">
      <c r="A1041" s="67" t="str">
        <f aca="false">IF($K1041="","",ROW()-5)</f>
        <v/>
      </c>
      <c r="B1041" s="68" t="str">
        <f aca="false">IF($K1041="","",INDEX(Base!$E$5:$E$2004,$K1041))</f>
        <v/>
      </c>
      <c r="C1041" s="69" t="str">
        <f aca="false">IF($K1041="","",B1041)</f>
        <v/>
      </c>
      <c r="D1041" s="70" t="str">
        <f aca="false">IF($K1041="","",INDEX(Base!$F$5:$F$2004,$K1041))</f>
        <v/>
      </c>
      <c r="E1041" s="70" t="str">
        <f aca="false">IF($K1041="","",INDEX(Base!$G$5:$G$2004,$K1041))</f>
        <v/>
      </c>
      <c r="F1041" s="71" t="str">
        <f aca="false">IF($K1041="","",INDEX(Base!$H$5:$H$2004,$K1041))</f>
        <v/>
      </c>
      <c r="G1041" s="71" t="str">
        <f aca="false">IF($K1041="","",INDEX(Base!$I$5:$I$2004,$K1041))</f>
        <v/>
      </c>
      <c r="H1041" s="70" t="str">
        <f aca="false">IF($K1041="","",INDEX(Base!$J$5:$J$2004,$K1041))</f>
        <v/>
      </c>
      <c r="I1041" s="71" t="str">
        <f aca="false">IF($K1041="","",INDEX(Base!$L$5:$L$2004,$K1041))</f>
        <v/>
      </c>
      <c r="J1041" s="72" t="str">
        <f aca="false">IFERROR(SMALL(Base!$P$5:$P$2004,ROW()-5),"")</f>
        <v/>
      </c>
      <c r="K1041" s="72" t="str">
        <f aca="false">IF(J1041="","",MATCH(J1041,Base!$P$5:$P$2004,0))</f>
        <v/>
      </c>
    </row>
    <row r="1042" customFormat="false" ht="15" hidden="false" customHeight="false" outlineLevel="0" collapsed="false">
      <c r="A1042" s="67" t="str">
        <f aca="false">IF($K1042="","",ROW()-5)</f>
        <v/>
      </c>
      <c r="B1042" s="68" t="str">
        <f aca="false">IF($K1042="","",INDEX(Base!$E$5:$E$2004,$K1042))</f>
        <v/>
      </c>
      <c r="C1042" s="69" t="str">
        <f aca="false">IF($K1042="","",B1042)</f>
        <v/>
      </c>
      <c r="D1042" s="70" t="str">
        <f aca="false">IF($K1042="","",INDEX(Base!$F$5:$F$2004,$K1042))</f>
        <v/>
      </c>
      <c r="E1042" s="70" t="str">
        <f aca="false">IF($K1042="","",INDEX(Base!$G$5:$G$2004,$K1042))</f>
        <v/>
      </c>
      <c r="F1042" s="71" t="str">
        <f aca="false">IF($K1042="","",INDEX(Base!$H$5:$H$2004,$K1042))</f>
        <v/>
      </c>
      <c r="G1042" s="71" t="str">
        <f aca="false">IF($K1042="","",INDEX(Base!$I$5:$I$2004,$K1042))</f>
        <v/>
      </c>
      <c r="H1042" s="70" t="str">
        <f aca="false">IF($K1042="","",INDEX(Base!$J$5:$J$2004,$K1042))</f>
        <v/>
      </c>
      <c r="I1042" s="71" t="str">
        <f aca="false">IF($K1042="","",INDEX(Base!$L$5:$L$2004,$K1042))</f>
        <v/>
      </c>
      <c r="J1042" s="72" t="str">
        <f aca="false">IFERROR(SMALL(Base!$P$5:$P$2004,ROW()-5),"")</f>
        <v/>
      </c>
      <c r="K1042" s="72" t="str">
        <f aca="false">IF(J1042="","",MATCH(J1042,Base!$P$5:$P$2004,0))</f>
        <v/>
      </c>
    </row>
    <row r="1043" customFormat="false" ht="15" hidden="false" customHeight="false" outlineLevel="0" collapsed="false">
      <c r="A1043" s="67" t="str">
        <f aca="false">IF($K1043="","",ROW()-5)</f>
        <v/>
      </c>
      <c r="B1043" s="68" t="str">
        <f aca="false">IF($K1043="","",INDEX(Base!$E$5:$E$2004,$K1043))</f>
        <v/>
      </c>
      <c r="C1043" s="69" t="str">
        <f aca="false">IF($K1043="","",B1043)</f>
        <v/>
      </c>
      <c r="D1043" s="70" t="str">
        <f aca="false">IF($K1043="","",INDEX(Base!$F$5:$F$2004,$K1043))</f>
        <v/>
      </c>
      <c r="E1043" s="70" t="str">
        <f aca="false">IF($K1043="","",INDEX(Base!$G$5:$G$2004,$K1043))</f>
        <v/>
      </c>
      <c r="F1043" s="71" t="str">
        <f aca="false">IF($K1043="","",INDEX(Base!$H$5:$H$2004,$K1043))</f>
        <v/>
      </c>
      <c r="G1043" s="71" t="str">
        <f aca="false">IF($K1043="","",INDEX(Base!$I$5:$I$2004,$K1043))</f>
        <v/>
      </c>
      <c r="H1043" s="70" t="str">
        <f aca="false">IF($K1043="","",INDEX(Base!$J$5:$J$2004,$K1043))</f>
        <v/>
      </c>
      <c r="I1043" s="71" t="str">
        <f aca="false">IF($K1043="","",INDEX(Base!$L$5:$L$2004,$K1043))</f>
        <v/>
      </c>
      <c r="J1043" s="72" t="str">
        <f aca="false">IFERROR(SMALL(Base!$P$5:$P$2004,ROW()-5),"")</f>
        <v/>
      </c>
      <c r="K1043" s="72" t="str">
        <f aca="false">IF(J1043="","",MATCH(J1043,Base!$P$5:$P$2004,0))</f>
        <v/>
      </c>
    </row>
    <row r="1044" customFormat="false" ht="15" hidden="false" customHeight="false" outlineLevel="0" collapsed="false">
      <c r="A1044" s="67" t="str">
        <f aca="false">IF($K1044="","",ROW()-5)</f>
        <v/>
      </c>
      <c r="B1044" s="68" t="str">
        <f aca="false">IF($K1044="","",INDEX(Base!$E$5:$E$2004,$K1044))</f>
        <v/>
      </c>
      <c r="C1044" s="69" t="str">
        <f aca="false">IF($K1044="","",B1044)</f>
        <v/>
      </c>
      <c r="D1044" s="70" t="str">
        <f aca="false">IF($K1044="","",INDEX(Base!$F$5:$F$2004,$K1044))</f>
        <v/>
      </c>
      <c r="E1044" s="70" t="str">
        <f aca="false">IF($K1044="","",INDEX(Base!$G$5:$G$2004,$K1044))</f>
        <v/>
      </c>
      <c r="F1044" s="71" t="str">
        <f aca="false">IF($K1044="","",INDEX(Base!$H$5:$H$2004,$K1044))</f>
        <v/>
      </c>
      <c r="G1044" s="71" t="str">
        <f aca="false">IF($K1044="","",INDEX(Base!$I$5:$I$2004,$K1044))</f>
        <v/>
      </c>
      <c r="H1044" s="70" t="str">
        <f aca="false">IF($K1044="","",INDEX(Base!$J$5:$J$2004,$K1044))</f>
        <v/>
      </c>
      <c r="I1044" s="71" t="str">
        <f aca="false">IF($K1044="","",INDEX(Base!$L$5:$L$2004,$K1044))</f>
        <v/>
      </c>
      <c r="J1044" s="72" t="str">
        <f aca="false">IFERROR(SMALL(Base!$P$5:$P$2004,ROW()-5),"")</f>
        <v/>
      </c>
      <c r="K1044" s="72" t="str">
        <f aca="false">IF(J1044="","",MATCH(J1044,Base!$P$5:$P$2004,0))</f>
        <v/>
      </c>
    </row>
    <row r="1045" customFormat="false" ht="15" hidden="false" customHeight="false" outlineLevel="0" collapsed="false">
      <c r="A1045" s="67" t="str">
        <f aca="false">IF($K1045="","",ROW()-5)</f>
        <v/>
      </c>
      <c r="B1045" s="68" t="str">
        <f aca="false">IF($K1045="","",INDEX(Base!$E$5:$E$2004,$K1045))</f>
        <v/>
      </c>
      <c r="C1045" s="69" t="str">
        <f aca="false">IF($K1045="","",B1045)</f>
        <v/>
      </c>
      <c r="D1045" s="70" t="str">
        <f aca="false">IF($K1045="","",INDEX(Base!$F$5:$F$2004,$K1045))</f>
        <v/>
      </c>
      <c r="E1045" s="70" t="str">
        <f aca="false">IF($K1045="","",INDEX(Base!$G$5:$G$2004,$K1045))</f>
        <v/>
      </c>
      <c r="F1045" s="71" t="str">
        <f aca="false">IF($K1045="","",INDEX(Base!$H$5:$H$2004,$K1045))</f>
        <v/>
      </c>
      <c r="G1045" s="71" t="str">
        <f aca="false">IF($K1045="","",INDEX(Base!$I$5:$I$2004,$K1045))</f>
        <v/>
      </c>
      <c r="H1045" s="70" t="str">
        <f aca="false">IF($K1045="","",INDEX(Base!$J$5:$J$2004,$K1045))</f>
        <v/>
      </c>
      <c r="I1045" s="71" t="str">
        <f aca="false">IF($K1045="","",INDEX(Base!$L$5:$L$2004,$K1045))</f>
        <v/>
      </c>
      <c r="J1045" s="72" t="str">
        <f aca="false">IFERROR(SMALL(Base!$P$5:$P$2004,ROW()-5),"")</f>
        <v/>
      </c>
      <c r="K1045" s="72" t="str">
        <f aca="false">IF(J1045="","",MATCH(J1045,Base!$P$5:$P$2004,0))</f>
        <v/>
      </c>
    </row>
    <row r="1046" customFormat="false" ht="15" hidden="false" customHeight="false" outlineLevel="0" collapsed="false">
      <c r="A1046" s="67" t="str">
        <f aca="false">IF($K1046="","",ROW()-5)</f>
        <v/>
      </c>
      <c r="B1046" s="68" t="str">
        <f aca="false">IF($K1046="","",INDEX(Base!$E$5:$E$2004,$K1046))</f>
        <v/>
      </c>
      <c r="C1046" s="69" t="str">
        <f aca="false">IF($K1046="","",B1046)</f>
        <v/>
      </c>
      <c r="D1046" s="70" t="str">
        <f aca="false">IF($K1046="","",INDEX(Base!$F$5:$F$2004,$K1046))</f>
        <v/>
      </c>
      <c r="E1046" s="70" t="str">
        <f aca="false">IF($K1046="","",INDEX(Base!$G$5:$G$2004,$K1046))</f>
        <v/>
      </c>
      <c r="F1046" s="71" t="str">
        <f aca="false">IF($K1046="","",INDEX(Base!$H$5:$H$2004,$K1046))</f>
        <v/>
      </c>
      <c r="G1046" s="71" t="str">
        <f aca="false">IF($K1046="","",INDEX(Base!$I$5:$I$2004,$K1046))</f>
        <v/>
      </c>
      <c r="H1046" s="70" t="str">
        <f aca="false">IF($K1046="","",INDEX(Base!$J$5:$J$2004,$K1046))</f>
        <v/>
      </c>
      <c r="I1046" s="71" t="str">
        <f aca="false">IF($K1046="","",INDEX(Base!$L$5:$L$2004,$K1046))</f>
        <v/>
      </c>
      <c r="J1046" s="72" t="str">
        <f aca="false">IFERROR(SMALL(Base!$P$5:$P$2004,ROW()-5),"")</f>
        <v/>
      </c>
      <c r="K1046" s="72" t="str">
        <f aca="false">IF(J1046="","",MATCH(J1046,Base!$P$5:$P$2004,0))</f>
        <v/>
      </c>
    </row>
    <row r="1047" customFormat="false" ht="15" hidden="false" customHeight="false" outlineLevel="0" collapsed="false">
      <c r="A1047" s="67" t="str">
        <f aca="false">IF($K1047="","",ROW()-5)</f>
        <v/>
      </c>
      <c r="B1047" s="68" t="str">
        <f aca="false">IF($K1047="","",INDEX(Base!$E$5:$E$2004,$K1047))</f>
        <v/>
      </c>
      <c r="C1047" s="69" t="str">
        <f aca="false">IF($K1047="","",B1047)</f>
        <v/>
      </c>
      <c r="D1047" s="70" t="str">
        <f aca="false">IF($K1047="","",INDEX(Base!$F$5:$F$2004,$K1047))</f>
        <v/>
      </c>
      <c r="E1047" s="70" t="str">
        <f aca="false">IF($K1047="","",INDEX(Base!$G$5:$G$2004,$K1047))</f>
        <v/>
      </c>
      <c r="F1047" s="71" t="str">
        <f aca="false">IF($K1047="","",INDEX(Base!$H$5:$H$2004,$K1047))</f>
        <v/>
      </c>
      <c r="G1047" s="71" t="str">
        <f aca="false">IF($K1047="","",INDEX(Base!$I$5:$I$2004,$K1047))</f>
        <v/>
      </c>
      <c r="H1047" s="70" t="str">
        <f aca="false">IF($K1047="","",INDEX(Base!$J$5:$J$2004,$K1047))</f>
        <v/>
      </c>
      <c r="I1047" s="71" t="str">
        <f aca="false">IF($K1047="","",INDEX(Base!$L$5:$L$2004,$K1047))</f>
        <v/>
      </c>
      <c r="J1047" s="72" t="str">
        <f aca="false">IFERROR(SMALL(Base!$P$5:$P$2004,ROW()-5),"")</f>
        <v/>
      </c>
      <c r="K1047" s="72" t="str">
        <f aca="false">IF(J1047="","",MATCH(J1047,Base!$P$5:$P$2004,0))</f>
        <v/>
      </c>
    </row>
    <row r="1048" customFormat="false" ht="15" hidden="false" customHeight="false" outlineLevel="0" collapsed="false">
      <c r="A1048" s="67" t="str">
        <f aca="false">IF($K1048="","",ROW()-5)</f>
        <v/>
      </c>
      <c r="B1048" s="68" t="str">
        <f aca="false">IF($K1048="","",INDEX(Base!$E$5:$E$2004,$K1048))</f>
        <v/>
      </c>
      <c r="C1048" s="69" t="str">
        <f aca="false">IF($K1048="","",B1048)</f>
        <v/>
      </c>
      <c r="D1048" s="70" t="str">
        <f aca="false">IF($K1048="","",INDEX(Base!$F$5:$F$2004,$K1048))</f>
        <v/>
      </c>
      <c r="E1048" s="70" t="str">
        <f aca="false">IF($K1048="","",INDEX(Base!$G$5:$G$2004,$K1048))</f>
        <v/>
      </c>
      <c r="F1048" s="71" t="str">
        <f aca="false">IF($K1048="","",INDEX(Base!$H$5:$H$2004,$K1048))</f>
        <v/>
      </c>
      <c r="G1048" s="71" t="str">
        <f aca="false">IF($K1048="","",INDEX(Base!$I$5:$I$2004,$K1048))</f>
        <v/>
      </c>
      <c r="H1048" s="70" t="str">
        <f aca="false">IF($K1048="","",INDEX(Base!$J$5:$J$2004,$K1048))</f>
        <v/>
      </c>
      <c r="I1048" s="71" t="str">
        <f aca="false">IF($K1048="","",INDEX(Base!$L$5:$L$2004,$K1048))</f>
        <v/>
      </c>
      <c r="J1048" s="72" t="str">
        <f aca="false">IFERROR(SMALL(Base!$P$5:$P$2004,ROW()-5),"")</f>
        <v/>
      </c>
      <c r="K1048" s="72" t="str">
        <f aca="false">IF(J1048="","",MATCH(J1048,Base!$P$5:$P$2004,0))</f>
        <v/>
      </c>
    </row>
    <row r="1049" customFormat="false" ht="15" hidden="false" customHeight="false" outlineLevel="0" collapsed="false">
      <c r="A1049" s="67" t="str">
        <f aca="false">IF($K1049="","",ROW()-5)</f>
        <v/>
      </c>
      <c r="B1049" s="68" t="str">
        <f aca="false">IF($K1049="","",INDEX(Base!$E$5:$E$2004,$K1049))</f>
        <v/>
      </c>
      <c r="C1049" s="69" t="str">
        <f aca="false">IF($K1049="","",B1049)</f>
        <v/>
      </c>
      <c r="D1049" s="70" t="str">
        <f aca="false">IF($K1049="","",INDEX(Base!$F$5:$F$2004,$K1049))</f>
        <v/>
      </c>
      <c r="E1049" s="70" t="str">
        <f aca="false">IF($K1049="","",INDEX(Base!$G$5:$G$2004,$K1049))</f>
        <v/>
      </c>
      <c r="F1049" s="71" t="str">
        <f aca="false">IF($K1049="","",INDEX(Base!$H$5:$H$2004,$K1049))</f>
        <v/>
      </c>
      <c r="G1049" s="71" t="str">
        <f aca="false">IF($K1049="","",INDEX(Base!$I$5:$I$2004,$K1049))</f>
        <v/>
      </c>
      <c r="H1049" s="70" t="str">
        <f aca="false">IF($K1049="","",INDEX(Base!$J$5:$J$2004,$K1049))</f>
        <v/>
      </c>
      <c r="I1049" s="71" t="str">
        <f aca="false">IF($K1049="","",INDEX(Base!$L$5:$L$2004,$K1049))</f>
        <v/>
      </c>
      <c r="J1049" s="72" t="str">
        <f aca="false">IFERROR(SMALL(Base!$P$5:$P$2004,ROW()-5),"")</f>
        <v/>
      </c>
      <c r="K1049" s="72" t="str">
        <f aca="false">IF(J1049="","",MATCH(J1049,Base!$P$5:$P$2004,0))</f>
        <v/>
      </c>
    </row>
    <row r="1050" customFormat="false" ht="15" hidden="false" customHeight="false" outlineLevel="0" collapsed="false">
      <c r="A1050" s="67" t="str">
        <f aca="false">IF($K1050="","",ROW()-5)</f>
        <v/>
      </c>
      <c r="B1050" s="68" t="str">
        <f aca="false">IF($K1050="","",INDEX(Base!$E$5:$E$2004,$K1050))</f>
        <v/>
      </c>
      <c r="C1050" s="69" t="str">
        <f aca="false">IF($K1050="","",B1050)</f>
        <v/>
      </c>
      <c r="D1050" s="70" t="str">
        <f aca="false">IF($K1050="","",INDEX(Base!$F$5:$F$2004,$K1050))</f>
        <v/>
      </c>
      <c r="E1050" s="70" t="str">
        <f aca="false">IF($K1050="","",INDEX(Base!$G$5:$G$2004,$K1050))</f>
        <v/>
      </c>
      <c r="F1050" s="71" t="str">
        <f aca="false">IF($K1050="","",INDEX(Base!$H$5:$H$2004,$K1050))</f>
        <v/>
      </c>
      <c r="G1050" s="71" t="str">
        <f aca="false">IF($K1050="","",INDEX(Base!$I$5:$I$2004,$K1050))</f>
        <v/>
      </c>
      <c r="H1050" s="70" t="str">
        <f aca="false">IF($K1050="","",INDEX(Base!$J$5:$J$2004,$K1050))</f>
        <v/>
      </c>
      <c r="I1050" s="71" t="str">
        <f aca="false">IF($K1050="","",INDEX(Base!$L$5:$L$2004,$K1050))</f>
        <v/>
      </c>
      <c r="J1050" s="72" t="str">
        <f aca="false">IFERROR(SMALL(Base!$P$5:$P$2004,ROW()-5),"")</f>
        <v/>
      </c>
      <c r="K1050" s="72" t="str">
        <f aca="false">IF(J1050="","",MATCH(J1050,Base!$P$5:$P$2004,0))</f>
        <v/>
      </c>
    </row>
    <row r="1051" customFormat="false" ht="15" hidden="false" customHeight="false" outlineLevel="0" collapsed="false">
      <c r="A1051" s="67" t="str">
        <f aca="false">IF($K1051="","",ROW()-5)</f>
        <v/>
      </c>
      <c r="B1051" s="68" t="str">
        <f aca="false">IF($K1051="","",INDEX(Base!$E$5:$E$2004,$K1051))</f>
        <v/>
      </c>
      <c r="C1051" s="69" t="str">
        <f aca="false">IF($K1051="","",B1051)</f>
        <v/>
      </c>
      <c r="D1051" s="70" t="str">
        <f aca="false">IF($K1051="","",INDEX(Base!$F$5:$F$2004,$K1051))</f>
        <v/>
      </c>
      <c r="E1051" s="70" t="str">
        <f aca="false">IF($K1051="","",INDEX(Base!$G$5:$G$2004,$K1051))</f>
        <v/>
      </c>
      <c r="F1051" s="71" t="str">
        <f aca="false">IF($K1051="","",INDEX(Base!$H$5:$H$2004,$K1051))</f>
        <v/>
      </c>
      <c r="G1051" s="71" t="str">
        <f aca="false">IF($K1051="","",INDEX(Base!$I$5:$I$2004,$K1051))</f>
        <v/>
      </c>
      <c r="H1051" s="70" t="str">
        <f aca="false">IF($K1051="","",INDEX(Base!$J$5:$J$2004,$K1051))</f>
        <v/>
      </c>
      <c r="I1051" s="71" t="str">
        <f aca="false">IF($K1051="","",INDEX(Base!$L$5:$L$2004,$K1051))</f>
        <v/>
      </c>
      <c r="J1051" s="72" t="str">
        <f aca="false">IFERROR(SMALL(Base!$P$5:$P$2004,ROW()-5),"")</f>
        <v/>
      </c>
      <c r="K1051" s="72" t="str">
        <f aca="false">IF(J1051="","",MATCH(J1051,Base!$P$5:$P$2004,0))</f>
        <v/>
      </c>
    </row>
    <row r="1052" customFormat="false" ht="15" hidden="false" customHeight="false" outlineLevel="0" collapsed="false">
      <c r="A1052" s="67" t="str">
        <f aca="false">IF($K1052="","",ROW()-5)</f>
        <v/>
      </c>
      <c r="B1052" s="68" t="str">
        <f aca="false">IF($K1052="","",INDEX(Base!$E$5:$E$2004,$K1052))</f>
        <v/>
      </c>
      <c r="C1052" s="69" t="str">
        <f aca="false">IF($K1052="","",B1052)</f>
        <v/>
      </c>
      <c r="D1052" s="70" t="str">
        <f aca="false">IF($K1052="","",INDEX(Base!$F$5:$F$2004,$K1052))</f>
        <v/>
      </c>
      <c r="E1052" s="70" t="str">
        <f aca="false">IF($K1052="","",INDEX(Base!$G$5:$G$2004,$K1052))</f>
        <v/>
      </c>
      <c r="F1052" s="71" t="str">
        <f aca="false">IF($K1052="","",INDEX(Base!$H$5:$H$2004,$K1052))</f>
        <v/>
      </c>
      <c r="G1052" s="71" t="str">
        <f aca="false">IF($K1052="","",INDEX(Base!$I$5:$I$2004,$K1052))</f>
        <v/>
      </c>
      <c r="H1052" s="70" t="str">
        <f aca="false">IF($K1052="","",INDEX(Base!$J$5:$J$2004,$K1052))</f>
        <v/>
      </c>
      <c r="I1052" s="71" t="str">
        <f aca="false">IF($K1052="","",INDEX(Base!$L$5:$L$2004,$K1052))</f>
        <v/>
      </c>
      <c r="J1052" s="72" t="str">
        <f aca="false">IFERROR(SMALL(Base!$P$5:$P$2004,ROW()-5),"")</f>
        <v/>
      </c>
      <c r="K1052" s="72" t="str">
        <f aca="false">IF(J1052="","",MATCH(J1052,Base!$P$5:$P$2004,0))</f>
        <v/>
      </c>
    </row>
    <row r="1053" customFormat="false" ht="15" hidden="false" customHeight="false" outlineLevel="0" collapsed="false">
      <c r="A1053" s="67" t="str">
        <f aca="false">IF($K1053="","",ROW()-5)</f>
        <v/>
      </c>
      <c r="B1053" s="68" t="str">
        <f aca="false">IF($K1053="","",INDEX(Base!$E$5:$E$2004,$K1053))</f>
        <v/>
      </c>
      <c r="C1053" s="69" t="str">
        <f aca="false">IF($K1053="","",B1053)</f>
        <v/>
      </c>
      <c r="D1053" s="70" t="str">
        <f aca="false">IF($K1053="","",INDEX(Base!$F$5:$F$2004,$K1053))</f>
        <v/>
      </c>
      <c r="E1053" s="70" t="str">
        <f aca="false">IF($K1053="","",INDEX(Base!$G$5:$G$2004,$K1053))</f>
        <v/>
      </c>
      <c r="F1053" s="71" t="str">
        <f aca="false">IF($K1053="","",INDEX(Base!$H$5:$H$2004,$K1053))</f>
        <v/>
      </c>
      <c r="G1053" s="71" t="str">
        <f aca="false">IF($K1053="","",INDEX(Base!$I$5:$I$2004,$K1053))</f>
        <v/>
      </c>
      <c r="H1053" s="70" t="str">
        <f aca="false">IF($K1053="","",INDEX(Base!$J$5:$J$2004,$K1053))</f>
        <v/>
      </c>
      <c r="I1053" s="71" t="str">
        <f aca="false">IF($K1053="","",INDEX(Base!$L$5:$L$2004,$K1053))</f>
        <v/>
      </c>
      <c r="J1053" s="72" t="str">
        <f aca="false">IFERROR(SMALL(Base!$P$5:$P$2004,ROW()-5),"")</f>
        <v/>
      </c>
      <c r="K1053" s="72" t="str">
        <f aca="false">IF(J1053="","",MATCH(J1053,Base!$P$5:$P$2004,0))</f>
        <v/>
      </c>
    </row>
    <row r="1054" customFormat="false" ht="15" hidden="false" customHeight="false" outlineLevel="0" collapsed="false">
      <c r="A1054" s="67" t="str">
        <f aca="false">IF($K1054="","",ROW()-5)</f>
        <v/>
      </c>
      <c r="B1054" s="68" t="str">
        <f aca="false">IF($K1054="","",INDEX(Base!$E$5:$E$2004,$K1054))</f>
        <v/>
      </c>
      <c r="C1054" s="69" t="str">
        <f aca="false">IF($K1054="","",B1054)</f>
        <v/>
      </c>
      <c r="D1054" s="70" t="str">
        <f aca="false">IF($K1054="","",INDEX(Base!$F$5:$F$2004,$K1054))</f>
        <v/>
      </c>
      <c r="E1054" s="70" t="str">
        <f aca="false">IF($K1054="","",INDEX(Base!$G$5:$G$2004,$K1054))</f>
        <v/>
      </c>
      <c r="F1054" s="71" t="str">
        <f aca="false">IF($K1054="","",INDEX(Base!$H$5:$H$2004,$K1054))</f>
        <v/>
      </c>
      <c r="G1054" s="71" t="str">
        <f aca="false">IF($K1054="","",INDEX(Base!$I$5:$I$2004,$K1054))</f>
        <v/>
      </c>
      <c r="H1054" s="70" t="str">
        <f aca="false">IF($K1054="","",INDEX(Base!$J$5:$J$2004,$K1054))</f>
        <v/>
      </c>
      <c r="I1054" s="71" t="str">
        <f aca="false">IF($K1054="","",INDEX(Base!$L$5:$L$2004,$K1054))</f>
        <v/>
      </c>
      <c r="J1054" s="72" t="str">
        <f aca="false">IFERROR(SMALL(Base!$P$5:$P$2004,ROW()-5),"")</f>
        <v/>
      </c>
      <c r="K1054" s="72" t="str">
        <f aca="false">IF(J1054="","",MATCH(J1054,Base!$P$5:$P$2004,0))</f>
        <v/>
      </c>
    </row>
    <row r="1055" customFormat="false" ht="15" hidden="false" customHeight="false" outlineLevel="0" collapsed="false">
      <c r="A1055" s="67" t="str">
        <f aca="false">IF($K1055="","",ROW()-5)</f>
        <v/>
      </c>
      <c r="B1055" s="68" t="str">
        <f aca="false">IF($K1055="","",INDEX(Base!$E$5:$E$2004,$K1055))</f>
        <v/>
      </c>
      <c r="C1055" s="69" t="str">
        <f aca="false">IF($K1055="","",B1055)</f>
        <v/>
      </c>
      <c r="D1055" s="70" t="str">
        <f aca="false">IF($K1055="","",INDEX(Base!$F$5:$F$2004,$K1055))</f>
        <v/>
      </c>
      <c r="E1055" s="70" t="str">
        <f aca="false">IF($K1055="","",INDEX(Base!$G$5:$G$2004,$K1055))</f>
        <v/>
      </c>
      <c r="F1055" s="71" t="str">
        <f aca="false">IF($K1055="","",INDEX(Base!$H$5:$H$2004,$K1055))</f>
        <v/>
      </c>
      <c r="G1055" s="71" t="str">
        <f aca="false">IF($K1055="","",INDEX(Base!$I$5:$I$2004,$K1055))</f>
        <v/>
      </c>
      <c r="H1055" s="70" t="str">
        <f aca="false">IF($K1055="","",INDEX(Base!$J$5:$J$2004,$K1055))</f>
        <v/>
      </c>
      <c r="I1055" s="71" t="str">
        <f aca="false">IF($K1055="","",INDEX(Base!$L$5:$L$2004,$K1055))</f>
        <v/>
      </c>
      <c r="J1055" s="72" t="str">
        <f aca="false">IFERROR(SMALL(Base!$P$5:$P$2004,ROW()-5),"")</f>
        <v/>
      </c>
      <c r="K1055" s="72" t="str">
        <f aca="false">IF(J1055="","",MATCH(J1055,Base!$P$5:$P$2004,0))</f>
        <v/>
      </c>
    </row>
    <row r="1056" customFormat="false" ht="15" hidden="false" customHeight="false" outlineLevel="0" collapsed="false">
      <c r="A1056" s="67" t="str">
        <f aca="false">IF($K1056="","",ROW()-5)</f>
        <v/>
      </c>
      <c r="B1056" s="68" t="str">
        <f aca="false">IF($K1056="","",INDEX(Base!$E$5:$E$2004,$K1056))</f>
        <v/>
      </c>
      <c r="C1056" s="69" t="str">
        <f aca="false">IF($K1056="","",B1056)</f>
        <v/>
      </c>
      <c r="D1056" s="70" t="str">
        <f aca="false">IF($K1056="","",INDEX(Base!$F$5:$F$2004,$K1056))</f>
        <v/>
      </c>
      <c r="E1056" s="70" t="str">
        <f aca="false">IF($K1056="","",INDEX(Base!$G$5:$G$2004,$K1056))</f>
        <v/>
      </c>
      <c r="F1056" s="71" t="str">
        <f aca="false">IF($K1056="","",INDEX(Base!$H$5:$H$2004,$K1056))</f>
        <v/>
      </c>
      <c r="G1056" s="71" t="str">
        <f aca="false">IF($K1056="","",INDEX(Base!$I$5:$I$2004,$K1056))</f>
        <v/>
      </c>
      <c r="H1056" s="70" t="str">
        <f aca="false">IF($K1056="","",INDEX(Base!$J$5:$J$2004,$K1056))</f>
        <v/>
      </c>
      <c r="I1056" s="71" t="str">
        <f aca="false">IF($K1056="","",INDEX(Base!$L$5:$L$2004,$K1056))</f>
        <v/>
      </c>
      <c r="J1056" s="72" t="str">
        <f aca="false">IFERROR(SMALL(Base!$P$5:$P$2004,ROW()-5),"")</f>
        <v/>
      </c>
      <c r="K1056" s="72" t="str">
        <f aca="false">IF(J1056="","",MATCH(J1056,Base!$P$5:$P$2004,0))</f>
        <v/>
      </c>
    </row>
    <row r="1057" customFormat="false" ht="15" hidden="false" customHeight="false" outlineLevel="0" collapsed="false">
      <c r="A1057" s="67" t="str">
        <f aca="false">IF($K1057="","",ROW()-5)</f>
        <v/>
      </c>
      <c r="B1057" s="68" t="str">
        <f aca="false">IF($K1057="","",INDEX(Base!$E$5:$E$2004,$K1057))</f>
        <v/>
      </c>
      <c r="C1057" s="69" t="str">
        <f aca="false">IF($K1057="","",B1057)</f>
        <v/>
      </c>
      <c r="D1057" s="70" t="str">
        <f aca="false">IF($K1057="","",INDEX(Base!$F$5:$F$2004,$K1057))</f>
        <v/>
      </c>
      <c r="E1057" s="70" t="str">
        <f aca="false">IF($K1057="","",INDEX(Base!$G$5:$G$2004,$K1057))</f>
        <v/>
      </c>
      <c r="F1057" s="71" t="str">
        <f aca="false">IF($K1057="","",INDEX(Base!$H$5:$H$2004,$K1057))</f>
        <v/>
      </c>
      <c r="G1057" s="71" t="str">
        <f aca="false">IF($K1057="","",INDEX(Base!$I$5:$I$2004,$K1057))</f>
        <v/>
      </c>
      <c r="H1057" s="70" t="str">
        <f aca="false">IF($K1057="","",INDEX(Base!$J$5:$J$2004,$K1057))</f>
        <v/>
      </c>
      <c r="I1057" s="71" t="str">
        <f aca="false">IF($K1057="","",INDEX(Base!$L$5:$L$2004,$K1057))</f>
        <v/>
      </c>
      <c r="J1057" s="72" t="str">
        <f aca="false">IFERROR(SMALL(Base!$P$5:$P$2004,ROW()-5),"")</f>
        <v/>
      </c>
      <c r="K1057" s="72" t="str">
        <f aca="false">IF(J1057="","",MATCH(J1057,Base!$P$5:$P$2004,0))</f>
        <v/>
      </c>
    </row>
    <row r="1058" customFormat="false" ht="15" hidden="false" customHeight="false" outlineLevel="0" collapsed="false">
      <c r="A1058" s="67" t="str">
        <f aca="false">IF($K1058="","",ROW()-5)</f>
        <v/>
      </c>
      <c r="B1058" s="68" t="str">
        <f aca="false">IF($K1058="","",INDEX(Base!$E$5:$E$2004,$K1058))</f>
        <v/>
      </c>
      <c r="C1058" s="69" t="str">
        <f aca="false">IF($K1058="","",B1058)</f>
        <v/>
      </c>
      <c r="D1058" s="70" t="str">
        <f aca="false">IF($K1058="","",INDEX(Base!$F$5:$F$2004,$K1058))</f>
        <v/>
      </c>
      <c r="E1058" s="70" t="str">
        <f aca="false">IF($K1058="","",INDEX(Base!$G$5:$G$2004,$K1058))</f>
        <v/>
      </c>
      <c r="F1058" s="71" t="str">
        <f aca="false">IF($K1058="","",INDEX(Base!$H$5:$H$2004,$K1058))</f>
        <v/>
      </c>
      <c r="G1058" s="71" t="str">
        <f aca="false">IF($K1058="","",INDEX(Base!$I$5:$I$2004,$K1058))</f>
        <v/>
      </c>
      <c r="H1058" s="70" t="str">
        <f aca="false">IF($K1058="","",INDEX(Base!$J$5:$J$2004,$K1058))</f>
        <v/>
      </c>
      <c r="I1058" s="71" t="str">
        <f aca="false">IF($K1058="","",INDEX(Base!$L$5:$L$2004,$K1058))</f>
        <v/>
      </c>
      <c r="J1058" s="72" t="str">
        <f aca="false">IFERROR(SMALL(Base!$P$5:$P$2004,ROW()-5),"")</f>
        <v/>
      </c>
      <c r="K1058" s="72" t="str">
        <f aca="false">IF(J1058="","",MATCH(J1058,Base!$P$5:$P$2004,0))</f>
        <v/>
      </c>
    </row>
    <row r="1059" customFormat="false" ht="15" hidden="false" customHeight="false" outlineLevel="0" collapsed="false">
      <c r="A1059" s="67" t="str">
        <f aca="false">IF($K1059="","",ROW()-5)</f>
        <v/>
      </c>
      <c r="B1059" s="68" t="str">
        <f aca="false">IF($K1059="","",INDEX(Base!$E$5:$E$2004,$K1059))</f>
        <v/>
      </c>
      <c r="C1059" s="69" t="str">
        <f aca="false">IF($K1059="","",B1059)</f>
        <v/>
      </c>
      <c r="D1059" s="70" t="str">
        <f aca="false">IF($K1059="","",INDEX(Base!$F$5:$F$2004,$K1059))</f>
        <v/>
      </c>
      <c r="E1059" s="70" t="str">
        <f aca="false">IF($K1059="","",INDEX(Base!$G$5:$G$2004,$K1059))</f>
        <v/>
      </c>
      <c r="F1059" s="71" t="str">
        <f aca="false">IF($K1059="","",INDEX(Base!$H$5:$H$2004,$K1059))</f>
        <v/>
      </c>
      <c r="G1059" s="71" t="str">
        <f aca="false">IF($K1059="","",INDEX(Base!$I$5:$I$2004,$K1059))</f>
        <v/>
      </c>
      <c r="H1059" s="70" t="str">
        <f aca="false">IF($K1059="","",INDEX(Base!$J$5:$J$2004,$K1059))</f>
        <v/>
      </c>
      <c r="I1059" s="71" t="str">
        <f aca="false">IF($K1059="","",INDEX(Base!$L$5:$L$2004,$K1059))</f>
        <v/>
      </c>
      <c r="J1059" s="72" t="str">
        <f aca="false">IFERROR(SMALL(Base!$P$5:$P$2004,ROW()-5),"")</f>
        <v/>
      </c>
      <c r="K1059" s="72" t="str">
        <f aca="false">IF(J1059="","",MATCH(J1059,Base!$P$5:$P$2004,0))</f>
        <v/>
      </c>
    </row>
    <row r="1060" customFormat="false" ht="15" hidden="false" customHeight="false" outlineLevel="0" collapsed="false">
      <c r="A1060" s="67" t="str">
        <f aca="false">IF($K1060="","",ROW()-5)</f>
        <v/>
      </c>
      <c r="B1060" s="68" t="str">
        <f aca="false">IF($K1060="","",INDEX(Base!$E$5:$E$2004,$K1060))</f>
        <v/>
      </c>
      <c r="C1060" s="69" t="str">
        <f aca="false">IF($K1060="","",B1060)</f>
        <v/>
      </c>
      <c r="D1060" s="70" t="str">
        <f aca="false">IF($K1060="","",INDEX(Base!$F$5:$F$2004,$K1060))</f>
        <v/>
      </c>
      <c r="E1060" s="70" t="str">
        <f aca="false">IF($K1060="","",INDEX(Base!$G$5:$G$2004,$K1060))</f>
        <v/>
      </c>
      <c r="F1060" s="71" t="str">
        <f aca="false">IF($K1060="","",INDEX(Base!$H$5:$H$2004,$K1060))</f>
        <v/>
      </c>
      <c r="G1060" s="71" t="str">
        <f aca="false">IF($K1060="","",INDEX(Base!$I$5:$I$2004,$K1060))</f>
        <v/>
      </c>
      <c r="H1060" s="70" t="str">
        <f aca="false">IF($K1060="","",INDEX(Base!$J$5:$J$2004,$K1060))</f>
        <v/>
      </c>
      <c r="I1060" s="71" t="str">
        <f aca="false">IF($K1060="","",INDEX(Base!$L$5:$L$2004,$K1060))</f>
        <v/>
      </c>
      <c r="J1060" s="72" t="str">
        <f aca="false">IFERROR(SMALL(Base!$P$5:$P$2004,ROW()-5),"")</f>
        <v/>
      </c>
      <c r="K1060" s="72" t="str">
        <f aca="false">IF(J1060="","",MATCH(J1060,Base!$P$5:$P$2004,0))</f>
        <v/>
      </c>
    </row>
    <row r="1061" customFormat="false" ht="15" hidden="false" customHeight="false" outlineLevel="0" collapsed="false">
      <c r="A1061" s="67" t="str">
        <f aca="false">IF($K1061="","",ROW()-5)</f>
        <v/>
      </c>
      <c r="B1061" s="68" t="str">
        <f aca="false">IF($K1061="","",INDEX(Base!$E$5:$E$2004,$K1061))</f>
        <v/>
      </c>
      <c r="C1061" s="69" t="str">
        <f aca="false">IF($K1061="","",B1061)</f>
        <v/>
      </c>
      <c r="D1061" s="70" t="str">
        <f aca="false">IF($K1061="","",INDEX(Base!$F$5:$F$2004,$K1061))</f>
        <v/>
      </c>
      <c r="E1061" s="70" t="str">
        <f aca="false">IF($K1061="","",INDEX(Base!$G$5:$G$2004,$K1061))</f>
        <v/>
      </c>
      <c r="F1061" s="71" t="str">
        <f aca="false">IF($K1061="","",INDEX(Base!$H$5:$H$2004,$K1061))</f>
        <v/>
      </c>
      <c r="G1061" s="71" t="str">
        <f aca="false">IF($K1061="","",INDEX(Base!$I$5:$I$2004,$K1061))</f>
        <v/>
      </c>
      <c r="H1061" s="70" t="str">
        <f aca="false">IF($K1061="","",INDEX(Base!$J$5:$J$2004,$K1061))</f>
        <v/>
      </c>
      <c r="I1061" s="71" t="str">
        <f aca="false">IF($K1061="","",INDEX(Base!$L$5:$L$2004,$K1061))</f>
        <v/>
      </c>
      <c r="J1061" s="72" t="str">
        <f aca="false">IFERROR(SMALL(Base!$P$5:$P$2004,ROW()-5),"")</f>
        <v/>
      </c>
      <c r="K1061" s="72" t="str">
        <f aca="false">IF(J1061="","",MATCH(J1061,Base!$P$5:$P$2004,0))</f>
        <v/>
      </c>
    </row>
    <row r="1062" customFormat="false" ht="15" hidden="false" customHeight="false" outlineLevel="0" collapsed="false">
      <c r="A1062" s="67" t="str">
        <f aca="false">IF($K1062="","",ROW()-5)</f>
        <v/>
      </c>
      <c r="B1062" s="68" t="str">
        <f aca="false">IF($K1062="","",INDEX(Base!$E$5:$E$2004,$K1062))</f>
        <v/>
      </c>
      <c r="C1062" s="69" t="str">
        <f aca="false">IF($K1062="","",B1062)</f>
        <v/>
      </c>
      <c r="D1062" s="70" t="str">
        <f aca="false">IF($K1062="","",INDEX(Base!$F$5:$F$2004,$K1062))</f>
        <v/>
      </c>
      <c r="E1062" s="70" t="str">
        <f aca="false">IF($K1062="","",INDEX(Base!$G$5:$G$2004,$K1062))</f>
        <v/>
      </c>
      <c r="F1062" s="71" t="str">
        <f aca="false">IF($K1062="","",INDEX(Base!$H$5:$H$2004,$K1062))</f>
        <v/>
      </c>
      <c r="G1062" s="71" t="str">
        <f aca="false">IF($K1062="","",INDEX(Base!$I$5:$I$2004,$K1062))</f>
        <v/>
      </c>
      <c r="H1062" s="70" t="str">
        <f aca="false">IF($K1062="","",INDEX(Base!$J$5:$J$2004,$K1062))</f>
        <v/>
      </c>
      <c r="I1062" s="71" t="str">
        <f aca="false">IF($K1062="","",INDEX(Base!$L$5:$L$2004,$K1062))</f>
        <v/>
      </c>
      <c r="J1062" s="72" t="str">
        <f aca="false">IFERROR(SMALL(Base!$P$5:$P$2004,ROW()-5),"")</f>
        <v/>
      </c>
      <c r="K1062" s="72" t="str">
        <f aca="false">IF(J1062="","",MATCH(J1062,Base!$P$5:$P$2004,0))</f>
        <v/>
      </c>
    </row>
    <row r="1063" customFormat="false" ht="15" hidden="false" customHeight="false" outlineLevel="0" collapsed="false">
      <c r="A1063" s="67" t="str">
        <f aca="false">IF($K1063="","",ROW()-5)</f>
        <v/>
      </c>
      <c r="B1063" s="68" t="str">
        <f aca="false">IF($K1063="","",INDEX(Base!$E$5:$E$2004,$K1063))</f>
        <v/>
      </c>
      <c r="C1063" s="69" t="str">
        <f aca="false">IF($K1063="","",B1063)</f>
        <v/>
      </c>
      <c r="D1063" s="70" t="str">
        <f aca="false">IF($K1063="","",INDEX(Base!$F$5:$F$2004,$K1063))</f>
        <v/>
      </c>
      <c r="E1063" s="70" t="str">
        <f aca="false">IF($K1063="","",INDEX(Base!$G$5:$G$2004,$K1063))</f>
        <v/>
      </c>
      <c r="F1063" s="71" t="str">
        <f aca="false">IF($K1063="","",INDEX(Base!$H$5:$H$2004,$K1063))</f>
        <v/>
      </c>
      <c r="G1063" s="71" t="str">
        <f aca="false">IF($K1063="","",INDEX(Base!$I$5:$I$2004,$K1063))</f>
        <v/>
      </c>
      <c r="H1063" s="70" t="str">
        <f aca="false">IF($K1063="","",INDEX(Base!$J$5:$J$2004,$K1063))</f>
        <v/>
      </c>
      <c r="I1063" s="71" t="str">
        <f aca="false">IF($K1063="","",INDEX(Base!$L$5:$L$2004,$K1063))</f>
        <v/>
      </c>
      <c r="J1063" s="72" t="str">
        <f aca="false">IFERROR(SMALL(Base!$P$5:$P$2004,ROW()-5),"")</f>
        <v/>
      </c>
      <c r="K1063" s="72" t="str">
        <f aca="false">IF(J1063="","",MATCH(J1063,Base!$P$5:$P$2004,0))</f>
        <v/>
      </c>
    </row>
    <row r="1064" customFormat="false" ht="15" hidden="false" customHeight="false" outlineLevel="0" collapsed="false">
      <c r="A1064" s="67" t="str">
        <f aca="false">IF($K1064="","",ROW()-5)</f>
        <v/>
      </c>
      <c r="B1064" s="68" t="str">
        <f aca="false">IF($K1064="","",INDEX(Base!$E$5:$E$2004,$K1064))</f>
        <v/>
      </c>
      <c r="C1064" s="69" t="str">
        <f aca="false">IF($K1064="","",B1064)</f>
        <v/>
      </c>
      <c r="D1064" s="70" t="str">
        <f aca="false">IF($K1064="","",INDEX(Base!$F$5:$F$2004,$K1064))</f>
        <v/>
      </c>
      <c r="E1064" s="70" t="str">
        <f aca="false">IF($K1064="","",INDEX(Base!$G$5:$G$2004,$K1064))</f>
        <v/>
      </c>
      <c r="F1064" s="71" t="str">
        <f aca="false">IF($K1064="","",INDEX(Base!$H$5:$H$2004,$K1064))</f>
        <v/>
      </c>
      <c r="G1064" s="71" t="str">
        <f aca="false">IF($K1064="","",INDEX(Base!$I$5:$I$2004,$K1064))</f>
        <v/>
      </c>
      <c r="H1064" s="70" t="str">
        <f aca="false">IF($K1064="","",INDEX(Base!$J$5:$J$2004,$K1064))</f>
        <v/>
      </c>
      <c r="I1064" s="71" t="str">
        <f aca="false">IF($K1064="","",INDEX(Base!$L$5:$L$2004,$K1064))</f>
        <v/>
      </c>
      <c r="J1064" s="72" t="str">
        <f aca="false">IFERROR(SMALL(Base!$P$5:$P$2004,ROW()-5),"")</f>
        <v/>
      </c>
      <c r="K1064" s="72" t="str">
        <f aca="false">IF(J1064="","",MATCH(J1064,Base!$P$5:$P$2004,0))</f>
        <v/>
      </c>
    </row>
    <row r="1065" customFormat="false" ht="15" hidden="false" customHeight="false" outlineLevel="0" collapsed="false">
      <c r="A1065" s="67" t="str">
        <f aca="false">IF($K1065="","",ROW()-5)</f>
        <v/>
      </c>
      <c r="B1065" s="68" t="str">
        <f aca="false">IF($K1065="","",INDEX(Base!$E$5:$E$2004,$K1065))</f>
        <v/>
      </c>
      <c r="C1065" s="69" t="str">
        <f aca="false">IF($K1065="","",B1065)</f>
        <v/>
      </c>
      <c r="D1065" s="70" t="str">
        <f aca="false">IF($K1065="","",INDEX(Base!$F$5:$F$2004,$K1065))</f>
        <v/>
      </c>
      <c r="E1065" s="70" t="str">
        <f aca="false">IF($K1065="","",INDEX(Base!$G$5:$G$2004,$K1065))</f>
        <v/>
      </c>
      <c r="F1065" s="71" t="str">
        <f aca="false">IF($K1065="","",INDEX(Base!$H$5:$H$2004,$K1065))</f>
        <v/>
      </c>
      <c r="G1065" s="71" t="str">
        <f aca="false">IF($K1065="","",INDEX(Base!$I$5:$I$2004,$K1065))</f>
        <v/>
      </c>
      <c r="H1065" s="70" t="str">
        <f aca="false">IF($K1065="","",INDEX(Base!$J$5:$J$2004,$K1065))</f>
        <v/>
      </c>
      <c r="I1065" s="71" t="str">
        <f aca="false">IF($K1065="","",INDEX(Base!$L$5:$L$2004,$K1065))</f>
        <v/>
      </c>
      <c r="J1065" s="72" t="str">
        <f aca="false">IFERROR(SMALL(Base!$P$5:$P$2004,ROW()-5),"")</f>
        <v/>
      </c>
      <c r="K1065" s="72" t="str">
        <f aca="false">IF(J1065="","",MATCH(J1065,Base!$P$5:$P$2004,0))</f>
        <v/>
      </c>
    </row>
    <row r="1066" customFormat="false" ht="15" hidden="false" customHeight="false" outlineLevel="0" collapsed="false">
      <c r="A1066" s="67" t="str">
        <f aca="false">IF($K1066="","",ROW()-5)</f>
        <v/>
      </c>
      <c r="B1066" s="68" t="str">
        <f aca="false">IF($K1066="","",INDEX(Base!$E$5:$E$2004,$K1066))</f>
        <v/>
      </c>
      <c r="C1066" s="69" t="str">
        <f aca="false">IF($K1066="","",B1066)</f>
        <v/>
      </c>
      <c r="D1066" s="70" t="str">
        <f aca="false">IF($K1066="","",INDEX(Base!$F$5:$F$2004,$K1066))</f>
        <v/>
      </c>
      <c r="E1066" s="70" t="str">
        <f aca="false">IF($K1066="","",INDEX(Base!$G$5:$G$2004,$K1066))</f>
        <v/>
      </c>
      <c r="F1066" s="71" t="str">
        <f aca="false">IF($K1066="","",INDEX(Base!$H$5:$H$2004,$K1066))</f>
        <v/>
      </c>
      <c r="G1066" s="71" t="str">
        <f aca="false">IF($K1066="","",INDEX(Base!$I$5:$I$2004,$K1066))</f>
        <v/>
      </c>
      <c r="H1066" s="70" t="str">
        <f aca="false">IF($K1066="","",INDEX(Base!$J$5:$J$2004,$K1066))</f>
        <v/>
      </c>
      <c r="I1066" s="71" t="str">
        <f aca="false">IF($K1066="","",INDEX(Base!$L$5:$L$2004,$K1066))</f>
        <v/>
      </c>
      <c r="J1066" s="72" t="str">
        <f aca="false">IFERROR(SMALL(Base!$P$5:$P$2004,ROW()-5),"")</f>
        <v/>
      </c>
      <c r="K1066" s="72" t="str">
        <f aca="false">IF(J1066="","",MATCH(J1066,Base!$P$5:$P$2004,0))</f>
        <v/>
      </c>
    </row>
    <row r="1067" customFormat="false" ht="15" hidden="false" customHeight="false" outlineLevel="0" collapsed="false">
      <c r="A1067" s="67" t="str">
        <f aca="false">IF($K1067="","",ROW()-5)</f>
        <v/>
      </c>
      <c r="B1067" s="68" t="str">
        <f aca="false">IF($K1067="","",INDEX(Base!$E$5:$E$2004,$K1067))</f>
        <v/>
      </c>
      <c r="C1067" s="69" t="str">
        <f aca="false">IF($K1067="","",B1067)</f>
        <v/>
      </c>
      <c r="D1067" s="70" t="str">
        <f aca="false">IF($K1067="","",INDEX(Base!$F$5:$F$2004,$K1067))</f>
        <v/>
      </c>
      <c r="E1067" s="70" t="str">
        <f aca="false">IF($K1067="","",INDEX(Base!$G$5:$G$2004,$K1067))</f>
        <v/>
      </c>
      <c r="F1067" s="71" t="str">
        <f aca="false">IF($K1067="","",INDEX(Base!$H$5:$H$2004,$K1067))</f>
        <v/>
      </c>
      <c r="G1067" s="71" t="str">
        <f aca="false">IF($K1067="","",INDEX(Base!$I$5:$I$2004,$K1067))</f>
        <v/>
      </c>
      <c r="H1067" s="70" t="str">
        <f aca="false">IF($K1067="","",INDEX(Base!$J$5:$J$2004,$K1067))</f>
        <v/>
      </c>
      <c r="I1067" s="71" t="str">
        <f aca="false">IF($K1067="","",INDEX(Base!$L$5:$L$2004,$K1067))</f>
        <v/>
      </c>
      <c r="J1067" s="72" t="str">
        <f aca="false">IFERROR(SMALL(Base!$P$5:$P$2004,ROW()-5),"")</f>
        <v/>
      </c>
      <c r="K1067" s="72" t="str">
        <f aca="false">IF(J1067="","",MATCH(J1067,Base!$P$5:$P$2004,0))</f>
        <v/>
      </c>
    </row>
    <row r="1068" customFormat="false" ht="15" hidden="false" customHeight="false" outlineLevel="0" collapsed="false">
      <c r="A1068" s="67" t="str">
        <f aca="false">IF($K1068="","",ROW()-5)</f>
        <v/>
      </c>
      <c r="B1068" s="68" t="str">
        <f aca="false">IF($K1068="","",INDEX(Base!$E$5:$E$2004,$K1068))</f>
        <v/>
      </c>
      <c r="C1068" s="69" t="str">
        <f aca="false">IF($K1068="","",B1068)</f>
        <v/>
      </c>
      <c r="D1068" s="70" t="str">
        <f aca="false">IF($K1068="","",INDEX(Base!$F$5:$F$2004,$K1068))</f>
        <v/>
      </c>
      <c r="E1068" s="70" t="str">
        <f aca="false">IF($K1068="","",INDEX(Base!$G$5:$G$2004,$K1068))</f>
        <v/>
      </c>
      <c r="F1068" s="71" t="str">
        <f aca="false">IF($K1068="","",INDEX(Base!$H$5:$H$2004,$K1068))</f>
        <v/>
      </c>
      <c r="G1068" s="71" t="str">
        <f aca="false">IF($K1068="","",INDEX(Base!$I$5:$I$2004,$K1068))</f>
        <v/>
      </c>
      <c r="H1068" s="70" t="str">
        <f aca="false">IF($K1068="","",INDEX(Base!$J$5:$J$2004,$K1068))</f>
        <v/>
      </c>
      <c r="I1068" s="71" t="str">
        <f aca="false">IF($K1068="","",INDEX(Base!$L$5:$L$2004,$K1068))</f>
        <v/>
      </c>
      <c r="J1068" s="72" t="str">
        <f aca="false">IFERROR(SMALL(Base!$P$5:$P$2004,ROW()-5),"")</f>
        <v/>
      </c>
      <c r="K1068" s="72" t="str">
        <f aca="false">IF(J1068="","",MATCH(J1068,Base!$P$5:$P$2004,0))</f>
        <v/>
      </c>
    </row>
    <row r="1069" customFormat="false" ht="15" hidden="false" customHeight="false" outlineLevel="0" collapsed="false">
      <c r="A1069" s="67" t="str">
        <f aca="false">IF($K1069="","",ROW()-5)</f>
        <v/>
      </c>
      <c r="B1069" s="68" t="str">
        <f aca="false">IF($K1069="","",INDEX(Base!$E$5:$E$2004,$K1069))</f>
        <v/>
      </c>
      <c r="C1069" s="69" t="str">
        <f aca="false">IF($K1069="","",B1069)</f>
        <v/>
      </c>
      <c r="D1069" s="70" t="str">
        <f aca="false">IF($K1069="","",INDEX(Base!$F$5:$F$2004,$K1069))</f>
        <v/>
      </c>
      <c r="E1069" s="70" t="str">
        <f aca="false">IF($K1069="","",INDEX(Base!$G$5:$G$2004,$K1069))</f>
        <v/>
      </c>
      <c r="F1069" s="71" t="str">
        <f aca="false">IF($K1069="","",INDEX(Base!$H$5:$H$2004,$K1069))</f>
        <v/>
      </c>
      <c r="G1069" s="71" t="str">
        <f aca="false">IF($K1069="","",INDEX(Base!$I$5:$I$2004,$K1069))</f>
        <v/>
      </c>
      <c r="H1069" s="70" t="str">
        <f aca="false">IF($K1069="","",INDEX(Base!$J$5:$J$2004,$K1069))</f>
        <v/>
      </c>
      <c r="I1069" s="71" t="str">
        <f aca="false">IF($K1069="","",INDEX(Base!$L$5:$L$2004,$K1069))</f>
        <v/>
      </c>
      <c r="J1069" s="72" t="str">
        <f aca="false">IFERROR(SMALL(Base!$P$5:$P$2004,ROW()-5),"")</f>
        <v/>
      </c>
      <c r="K1069" s="72" t="str">
        <f aca="false">IF(J1069="","",MATCH(J1069,Base!$P$5:$P$2004,0))</f>
        <v/>
      </c>
    </row>
    <row r="1070" customFormat="false" ht="15" hidden="false" customHeight="false" outlineLevel="0" collapsed="false">
      <c r="A1070" s="67" t="str">
        <f aca="false">IF($K1070="","",ROW()-5)</f>
        <v/>
      </c>
      <c r="B1070" s="68" t="str">
        <f aca="false">IF($K1070="","",INDEX(Base!$E$5:$E$2004,$K1070))</f>
        <v/>
      </c>
      <c r="C1070" s="69" t="str">
        <f aca="false">IF($K1070="","",B1070)</f>
        <v/>
      </c>
      <c r="D1070" s="70" t="str">
        <f aca="false">IF($K1070="","",INDEX(Base!$F$5:$F$2004,$K1070))</f>
        <v/>
      </c>
      <c r="E1070" s="70" t="str">
        <f aca="false">IF($K1070="","",INDEX(Base!$G$5:$G$2004,$K1070))</f>
        <v/>
      </c>
      <c r="F1070" s="71" t="str">
        <f aca="false">IF($K1070="","",INDEX(Base!$H$5:$H$2004,$K1070))</f>
        <v/>
      </c>
      <c r="G1070" s="71" t="str">
        <f aca="false">IF($K1070="","",INDEX(Base!$I$5:$I$2004,$K1070))</f>
        <v/>
      </c>
      <c r="H1070" s="70" t="str">
        <f aca="false">IF($K1070="","",INDEX(Base!$J$5:$J$2004,$K1070))</f>
        <v/>
      </c>
      <c r="I1070" s="71" t="str">
        <f aca="false">IF($K1070="","",INDEX(Base!$L$5:$L$2004,$K1070))</f>
        <v/>
      </c>
      <c r="J1070" s="72" t="str">
        <f aca="false">IFERROR(SMALL(Base!$P$5:$P$2004,ROW()-5),"")</f>
        <v/>
      </c>
      <c r="K1070" s="72" t="str">
        <f aca="false">IF(J1070="","",MATCH(J1070,Base!$P$5:$P$2004,0))</f>
        <v/>
      </c>
    </row>
    <row r="1071" customFormat="false" ht="15" hidden="false" customHeight="false" outlineLevel="0" collapsed="false">
      <c r="A1071" s="67" t="str">
        <f aca="false">IF($K1071="","",ROW()-5)</f>
        <v/>
      </c>
      <c r="B1071" s="68" t="str">
        <f aca="false">IF($K1071="","",INDEX(Base!$E$5:$E$2004,$K1071))</f>
        <v/>
      </c>
      <c r="C1071" s="69" t="str">
        <f aca="false">IF($K1071="","",B1071)</f>
        <v/>
      </c>
      <c r="D1071" s="70" t="str">
        <f aca="false">IF($K1071="","",INDEX(Base!$F$5:$F$2004,$K1071))</f>
        <v/>
      </c>
      <c r="E1071" s="70" t="str">
        <f aca="false">IF($K1071="","",INDEX(Base!$G$5:$G$2004,$K1071))</f>
        <v/>
      </c>
      <c r="F1071" s="71" t="str">
        <f aca="false">IF($K1071="","",INDEX(Base!$H$5:$H$2004,$K1071))</f>
        <v/>
      </c>
      <c r="G1071" s="71" t="str">
        <f aca="false">IF($K1071="","",INDEX(Base!$I$5:$I$2004,$K1071))</f>
        <v/>
      </c>
      <c r="H1071" s="70" t="str">
        <f aca="false">IF($K1071="","",INDEX(Base!$J$5:$J$2004,$K1071))</f>
        <v/>
      </c>
      <c r="I1071" s="71" t="str">
        <f aca="false">IF($K1071="","",INDEX(Base!$L$5:$L$2004,$K1071))</f>
        <v/>
      </c>
      <c r="J1071" s="72" t="str">
        <f aca="false">IFERROR(SMALL(Base!$P$5:$P$2004,ROW()-5),"")</f>
        <v/>
      </c>
      <c r="K1071" s="72" t="str">
        <f aca="false">IF(J1071="","",MATCH(J1071,Base!$P$5:$P$2004,0))</f>
        <v/>
      </c>
    </row>
    <row r="1072" customFormat="false" ht="15" hidden="false" customHeight="false" outlineLevel="0" collapsed="false">
      <c r="A1072" s="67" t="str">
        <f aca="false">IF($K1072="","",ROW()-5)</f>
        <v/>
      </c>
      <c r="B1072" s="68" t="str">
        <f aca="false">IF($K1072="","",INDEX(Base!$E$5:$E$2004,$K1072))</f>
        <v/>
      </c>
      <c r="C1072" s="69" t="str">
        <f aca="false">IF($K1072="","",B1072)</f>
        <v/>
      </c>
      <c r="D1072" s="70" t="str">
        <f aca="false">IF($K1072="","",INDEX(Base!$F$5:$F$2004,$K1072))</f>
        <v/>
      </c>
      <c r="E1072" s="70" t="str">
        <f aca="false">IF($K1072="","",INDEX(Base!$G$5:$G$2004,$K1072))</f>
        <v/>
      </c>
      <c r="F1072" s="71" t="str">
        <f aca="false">IF($K1072="","",INDEX(Base!$H$5:$H$2004,$K1072))</f>
        <v/>
      </c>
      <c r="G1072" s="71" t="str">
        <f aca="false">IF($K1072="","",INDEX(Base!$I$5:$I$2004,$K1072))</f>
        <v/>
      </c>
      <c r="H1072" s="70" t="str">
        <f aca="false">IF($K1072="","",INDEX(Base!$J$5:$J$2004,$K1072))</f>
        <v/>
      </c>
      <c r="I1072" s="71" t="str">
        <f aca="false">IF($K1072="","",INDEX(Base!$L$5:$L$2004,$K1072))</f>
        <v/>
      </c>
      <c r="J1072" s="72" t="str">
        <f aca="false">IFERROR(SMALL(Base!$P$5:$P$2004,ROW()-5),"")</f>
        <v/>
      </c>
      <c r="K1072" s="72" t="str">
        <f aca="false">IF(J1072="","",MATCH(J1072,Base!$P$5:$P$2004,0))</f>
        <v/>
      </c>
    </row>
    <row r="1073" customFormat="false" ht="15" hidden="false" customHeight="false" outlineLevel="0" collapsed="false">
      <c r="A1073" s="67" t="str">
        <f aca="false">IF($K1073="","",ROW()-5)</f>
        <v/>
      </c>
      <c r="B1073" s="68" t="str">
        <f aca="false">IF($K1073="","",INDEX(Base!$E$5:$E$2004,$K1073))</f>
        <v/>
      </c>
      <c r="C1073" s="69" t="str">
        <f aca="false">IF($K1073="","",B1073)</f>
        <v/>
      </c>
      <c r="D1073" s="70" t="str">
        <f aca="false">IF($K1073="","",INDEX(Base!$F$5:$F$2004,$K1073))</f>
        <v/>
      </c>
      <c r="E1073" s="70" t="str">
        <f aca="false">IF($K1073="","",INDEX(Base!$G$5:$G$2004,$K1073))</f>
        <v/>
      </c>
      <c r="F1073" s="71" t="str">
        <f aca="false">IF($K1073="","",INDEX(Base!$H$5:$H$2004,$K1073))</f>
        <v/>
      </c>
      <c r="G1073" s="71" t="str">
        <f aca="false">IF($K1073="","",INDEX(Base!$I$5:$I$2004,$K1073))</f>
        <v/>
      </c>
      <c r="H1073" s="70" t="str">
        <f aca="false">IF($K1073="","",INDEX(Base!$J$5:$J$2004,$K1073))</f>
        <v/>
      </c>
      <c r="I1073" s="71" t="str">
        <f aca="false">IF($K1073="","",INDEX(Base!$L$5:$L$2004,$K1073))</f>
        <v/>
      </c>
      <c r="J1073" s="72" t="str">
        <f aca="false">IFERROR(SMALL(Base!$P$5:$P$2004,ROW()-5),"")</f>
        <v/>
      </c>
      <c r="K1073" s="72" t="str">
        <f aca="false">IF(J1073="","",MATCH(J1073,Base!$P$5:$P$2004,0))</f>
        <v/>
      </c>
    </row>
    <row r="1074" customFormat="false" ht="15" hidden="false" customHeight="false" outlineLevel="0" collapsed="false">
      <c r="A1074" s="67" t="str">
        <f aca="false">IF($K1074="","",ROW()-5)</f>
        <v/>
      </c>
      <c r="B1074" s="68" t="str">
        <f aca="false">IF($K1074="","",INDEX(Base!$E$5:$E$2004,$K1074))</f>
        <v/>
      </c>
      <c r="C1074" s="69" t="str">
        <f aca="false">IF($K1074="","",B1074)</f>
        <v/>
      </c>
      <c r="D1074" s="70" t="str">
        <f aca="false">IF($K1074="","",INDEX(Base!$F$5:$F$2004,$K1074))</f>
        <v/>
      </c>
      <c r="E1074" s="70" t="str">
        <f aca="false">IF($K1074="","",INDEX(Base!$G$5:$G$2004,$K1074))</f>
        <v/>
      </c>
      <c r="F1074" s="71" t="str">
        <f aca="false">IF($K1074="","",INDEX(Base!$H$5:$H$2004,$K1074))</f>
        <v/>
      </c>
      <c r="G1074" s="71" t="str">
        <f aca="false">IF($K1074="","",INDEX(Base!$I$5:$I$2004,$K1074))</f>
        <v/>
      </c>
      <c r="H1074" s="70" t="str">
        <f aca="false">IF($K1074="","",INDEX(Base!$J$5:$J$2004,$K1074))</f>
        <v/>
      </c>
      <c r="I1074" s="71" t="str">
        <f aca="false">IF($K1074="","",INDEX(Base!$L$5:$L$2004,$K1074))</f>
        <v/>
      </c>
      <c r="J1074" s="72" t="str">
        <f aca="false">IFERROR(SMALL(Base!$P$5:$P$2004,ROW()-5),"")</f>
        <v/>
      </c>
      <c r="K1074" s="72" t="str">
        <f aca="false">IF(J1074="","",MATCH(J1074,Base!$P$5:$P$2004,0))</f>
        <v/>
      </c>
    </row>
    <row r="1075" customFormat="false" ht="15" hidden="false" customHeight="false" outlineLevel="0" collapsed="false">
      <c r="A1075" s="67" t="str">
        <f aca="false">IF($K1075="","",ROW()-5)</f>
        <v/>
      </c>
      <c r="B1075" s="68" t="str">
        <f aca="false">IF($K1075="","",INDEX(Base!$E$5:$E$2004,$K1075))</f>
        <v/>
      </c>
      <c r="C1075" s="69" t="str">
        <f aca="false">IF($K1075="","",B1075)</f>
        <v/>
      </c>
      <c r="D1075" s="70" t="str">
        <f aca="false">IF($K1075="","",INDEX(Base!$F$5:$F$2004,$K1075))</f>
        <v/>
      </c>
      <c r="E1075" s="70" t="str">
        <f aca="false">IF($K1075="","",INDEX(Base!$G$5:$G$2004,$K1075))</f>
        <v/>
      </c>
      <c r="F1075" s="71" t="str">
        <f aca="false">IF($K1075="","",INDEX(Base!$H$5:$H$2004,$K1075))</f>
        <v/>
      </c>
      <c r="G1075" s="71" t="str">
        <f aca="false">IF($K1075="","",INDEX(Base!$I$5:$I$2004,$K1075))</f>
        <v/>
      </c>
      <c r="H1075" s="70" t="str">
        <f aca="false">IF($K1075="","",INDEX(Base!$J$5:$J$2004,$K1075))</f>
        <v/>
      </c>
      <c r="I1075" s="71" t="str">
        <f aca="false">IF($K1075="","",INDEX(Base!$L$5:$L$2004,$K1075))</f>
        <v/>
      </c>
      <c r="J1075" s="72" t="str">
        <f aca="false">IFERROR(SMALL(Base!$P$5:$P$2004,ROW()-5),"")</f>
        <v/>
      </c>
      <c r="K1075" s="72" t="str">
        <f aca="false">IF(J1075="","",MATCH(J1075,Base!$P$5:$P$2004,0))</f>
        <v/>
      </c>
    </row>
    <row r="1076" customFormat="false" ht="15" hidden="false" customHeight="false" outlineLevel="0" collapsed="false">
      <c r="A1076" s="67" t="str">
        <f aca="false">IF($K1076="","",ROW()-5)</f>
        <v/>
      </c>
      <c r="B1076" s="68" t="str">
        <f aca="false">IF($K1076="","",INDEX(Base!$E$5:$E$2004,$K1076))</f>
        <v/>
      </c>
      <c r="C1076" s="69" t="str">
        <f aca="false">IF($K1076="","",B1076)</f>
        <v/>
      </c>
      <c r="D1076" s="70" t="str">
        <f aca="false">IF($K1076="","",INDEX(Base!$F$5:$F$2004,$K1076))</f>
        <v/>
      </c>
      <c r="E1076" s="70" t="str">
        <f aca="false">IF($K1076="","",INDEX(Base!$G$5:$G$2004,$K1076))</f>
        <v/>
      </c>
      <c r="F1076" s="71" t="str">
        <f aca="false">IF($K1076="","",INDEX(Base!$H$5:$H$2004,$K1076))</f>
        <v/>
      </c>
      <c r="G1076" s="71" t="str">
        <f aca="false">IF($K1076="","",INDEX(Base!$I$5:$I$2004,$K1076))</f>
        <v/>
      </c>
      <c r="H1076" s="70" t="str">
        <f aca="false">IF($K1076="","",INDEX(Base!$J$5:$J$2004,$K1076))</f>
        <v/>
      </c>
      <c r="I1076" s="71" t="str">
        <f aca="false">IF($K1076="","",INDEX(Base!$L$5:$L$2004,$K1076))</f>
        <v/>
      </c>
      <c r="J1076" s="72" t="str">
        <f aca="false">IFERROR(SMALL(Base!$P$5:$P$2004,ROW()-5),"")</f>
        <v/>
      </c>
      <c r="K1076" s="72" t="str">
        <f aca="false">IF(J1076="","",MATCH(J1076,Base!$P$5:$P$2004,0))</f>
        <v/>
      </c>
    </row>
    <row r="1077" customFormat="false" ht="15" hidden="false" customHeight="false" outlineLevel="0" collapsed="false">
      <c r="A1077" s="67" t="str">
        <f aca="false">IF($K1077="","",ROW()-5)</f>
        <v/>
      </c>
      <c r="B1077" s="68" t="str">
        <f aca="false">IF($K1077="","",INDEX(Base!$E$5:$E$2004,$K1077))</f>
        <v/>
      </c>
      <c r="C1077" s="69" t="str">
        <f aca="false">IF($K1077="","",B1077)</f>
        <v/>
      </c>
      <c r="D1077" s="70" t="str">
        <f aca="false">IF($K1077="","",INDEX(Base!$F$5:$F$2004,$K1077))</f>
        <v/>
      </c>
      <c r="E1077" s="70" t="str">
        <f aca="false">IF($K1077="","",INDEX(Base!$G$5:$G$2004,$K1077))</f>
        <v/>
      </c>
      <c r="F1077" s="71" t="str">
        <f aca="false">IF($K1077="","",INDEX(Base!$H$5:$H$2004,$K1077))</f>
        <v/>
      </c>
      <c r="G1077" s="71" t="str">
        <f aca="false">IF($K1077="","",INDEX(Base!$I$5:$I$2004,$K1077))</f>
        <v/>
      </c>
      <c r="H1077" s="70" t="str">
        <f aca="false">IF($K1077="","",INDEX(Base!$J$5:$J$2004,$K1077))</f>
        <v/>
      </c>
      <c r="I1077" s="71" t="str">
        <f aca="false">IF($K1077="","",INDEX(Base!$L$5:$L$2004,$K1077))</f>
        <v/>
      </c>
      <c r="J1077" s="72" t="str">
        <f aca="false">IFERROR(SMALL(Base!$P$5:$P$2004,ROW()-5),"")</f>
        <v/>
      </c>
      <c r="K1077" s="72" t="str">
        <f aca="false">IF(J1077="","",MATCH(J1077,Base!$P$5:$P$2004,0))</f>
        <v/>
      </c>
    </row>
    <row r="1078" customFormat="false" ht="15" hidden="false" customHeight="false" outlineLevel="0" collapsed="false">
      <c r="A1078" s="67" t="str">
        <f aca="false">IF($K1078="","",ROW()-5)</f>
        <v/>
      </c>
      <c r="B1078" s="68" t="str">
        <f aca="false">IF($K1078="","",INDEX(Base!$E$5:$E$2004,$K1078))</f>
        <v/>
      </c>
      <c r="C1078" s="69" t="str">
        <f aca="false">IF($K1078="","",B1078)</f>
        <v/>
      </c>
      <c r="D1078" s="70" t="str">
        <f aca="false">IF($K1078="","",INDEX(Base!$F$5:$F$2004,$K1078))</f>
        <v/>
      </c>
      <c r="E1078" s="70" t="str">
        <f aca="false">IF($K1078="","",INDEX(Base!$G$5:$G$2004,$K1078))</f>
        <v/>
      </c>
      <c r="F1078" s="71" t="str">
        <f aca="false">IF($K1078="","",INDEX(Base!$H$5:$H$2004,$K1078))</f>
        <v/>
      </c>
      <c r="G1078" s="71" t="str">
        <f aca="false">IF($K1078="","",INDEX(Base!$I$5:$I$2004,$K1078))</f>
        <v/>
      </c>
      <c r="H1078" s="70" t="str">
        <f aca="false">IF($K1078="","",INDEX(Base!$J$5:$J$2004,$K1078))</f>
        <v/>
      </c>
      <c r="I1078" s="71" t="str">
        <f aca="false">IF($K1078="","",INDEX(Base!$L$5:$L$2004,$K1078))</f>
        <v/>
      </c>
      <c r="J1078" s="72" t="str">
        <f aca="false">IFERROR(SMALL(Base!$P$5:$P$2004,ROW()-5),"")</f>
        <v/>
      </c>
      <c r="K1078" s="72" t="str">
        <f aca="false">IF(J1078="","",MATCH(J1078,Base!$P$5:$P$2004,0))</f>
        <v/>
      </c>
    </row>
    <row r="1079" customFormat="false" ht="15" hidden="false" customHeight="false" outlineLevel="0" collapsed="false">
      <c r="A1079" s="67" t="str">
        <f aca="false">IF($K1079="","",ROW()-5)</f>
        <v/>
      </c>
      <c r="B1079" s="68" t="str">
        <f aca="false">IF($K1079="","",INDEX(Base!$E$5:$E$2004,$K1079))</f>
        <v/>
      </c>
      <c r="C1079" s="69" t="str">
        <f aca="false">IF($K1079="","",B1079)</f>
        <v/>
      </c>
      <c r="D1079" s="70" t="str">
        <f aca="false">IF($K1079="","",INDEX(Base!$F$5:$F$2004,$K1079))</f>
        <v/>
      </c>
      <c r="E1079" s="70" t="str">
        <f aca="false">IF($K1079="","",INDEX(Base!$G$5:$G$2004,$K1079))</f>
        <v/>
      </c>
      <c r="F1079" s="71" t="str">
        <f aca="false">IF($K1079="","",INDEX(Base!$H$5:$H$2004,$K1079))</f>
        <v/>
      </c>
      <c r="G1079" s="71" t="str">
        <f aca="false">IF($K1079="","",INDEX(Base!$I$5:$I$2004,$K1079))</f>
        <v/>
      </c>
      <c r="H1079" s="70" t="str">
        <f aca="false">IF($K1079="","",INDEX(Base!$J$5:$J$2004,$K1079))</f>
        <v/>
      </c>
      <c r="I1079" s="71" t="str">
        <f aca="false">IF($K1079="","",INDEX(Base!$L$5:$L$2004,$K1079))</f>
        <v/>
      </c>
      <c r="J1079" s="72" t="str">
        <f aca="false">IFERROR(SMALL(Base!$P$5:$P$2004,ROW()-5),"")</f>
        <v/>
      </c>
      <c r="K1079" s="72" t="str">
        <f aca="false">IF(J1079="","",MATCH(J1079,Base!$P$5:$P$2004,0))</f>
        <v/>
      </c>
    </row>
    <row r="1080" customFormat="false" ht="15" hidden="false" customHeight="false" outlineLevel="0" collapsed="false">
      <c r="A1080" s="67" t="str">
        <f aca="false">IF($K1080="","",ROW()-5)</f>
        <v/>
      </c>
      <c r="B1080" s="68" t="str">
        <f aca="false">IF($K1080="","",INDEX(Base!$E$5:$E$2004,$K1080))</f>
        <v/>
      </c>
      <c r="C1080" s="69" t="str">
        <f aca="false">IF($K1080="","",B1080)</f>
        <v/>
      </c>
      <c r="D1080" s="70" t="str">
        <f aca="false">IF($K1080="","",INDEX(Base!$F$5:$F$2004,$K1080))</f>
        <v/>
      </c>
      <c r="E1080" s="70" t="str">
        <f aca="false">IF($K1080="","",INDEX(Base!$G$5:$G$2004,$K1080))</f>
        <v/>
      </c>
      <c r="F1080" s="71" t="str">
        <f aca="false">IF($K1080="","",INDEX(Base!$H$5:$H$2004,$K1080))</f>
        <v/>
      </c>
      <c r="G1080" s="71" t="str">
        <f aca="false">IF($K1080="","",INDEX(Base!$I$5:$I$2004,$K1080))</f>
        <v/>
      </c>
      <c r="H1080" s="70" t="str">
        <f aca="false">IF($K1080="","",INDEX(Base!$J$5:$J$2004,$K1080))</f>
        <v/>
      </c>
      <c r="I1080" s="71" t="str">
        <f aca="false">IF($K1080="","",INDEX(Base!$L$5:$L$2004,$K1080))</f>
        <v/>
      </c>
      <c r="J1080" s="72" t="str">
        <f aca="false">IFERROR(SMALL(Base!$P$5:$P$2004,ROW()-5),"")</f>
        <v/>
      </c>
      <c r="K1080" s="72" t="str">
        <f aca="false">IF(J1080="","",MATCH(J1080,Base!$P$5:$P$2004,0))</f>
        <v/>
      </c>
    </row>
    <row r="1081" customFormat="false" ht="15" hidden="false" customHeight="false" outlineLevel="0" collapsed="false">
      <c r="A1081" s="67" t="str">
        <f aca="false">IF($K1081="","",ROW()-5)</f>
        <v/>
      </c>
      <c r="B1081" s="68" t="str">
        <f aca="false">IF($K1081="","",INDEX(Base!$E$5:$E$2004,$K1081))</f>
        <v/>
      </c>
      <c r="C1081" s="69" t="str">
        <f aca="false">IF($K1081="","",B1081)</f>
        <v/>
      </c>
      <c r="D1081" s="70" t="str">
        <f aca="false">IF($K1081="","",INDEX(Base!$F$5:$F$2004,$K1081))</f>
        <v/>
      </c>
      <c r="E1081" s="70" t="str">
        <f aca="false">IF($K1081="","",INDEX(Base!$G$5:$G$2004,$K1081))</f>
        <v/>
      </c>
      <c r="F1081" s="71" t="str">
        <f aca="false">IF($K1081="","",INDEX(Base!$H$5:$H$2004,$K1081))</f>
        <v/>
      </c>
      <c r="G1081" s="71" t="str">
        <f aca="false">IF($K1081="","",INDEX(Base!$I$5:$I$2004,$K1081))</f>
        <v/>
      </c>
      <c r="H1081" s="70" t="str">
        <f aca="false">IF($K1081="","",INDEX(Base!$J$5:$J$2004,$K1081))</f>
        <v/>
      </c>
      <c r="I1081" s="71" t="str">
        <f aca="false">IF($K1081="","",INDEX(Base!$L$5:$L$2004,$K1081))</f>
        <v/>
      </c>
      <c r="J1081" s="72" t="str">
        <f aca="false">IFERROR(SMALL(Base!$P$5:$P$2004,ROW()-5),"")</f>
        <v/>
      </c>
      <c r="K1081" s="72" t="str">
        <f aca="false">IF(J1081="","",MATCH(J1081,Base!$P$5:$P$2004,0))</f>
        <v/>
      </c>
    </row>
    <row r="1082" customFormat="false" ht="15" hidden="false" customHeight="false" outlineLevel="0" collapsed="false">
      <c r="A1082" s="67" t="str">
        <f aca="false">IF($K1082="","",ROW()-5)</f>
        <v/>
      </c>
      <c r="B1082" s="68" t="str">
        <f aca="false">IF($K1082="","",INDEX(Base!$E$5:$E$2004,$K1082))</f>
        <v/>
      </c>
      <c r="C1082" s="69" t="str">
        <f aca="false">IF($K1082="","",B1082)</f>
        <v/>
      </c>
      <c r="D1082" s="70" t="str">
        <f aca="false">IF($K1082="","",INDEX(Base!$F$5:$F$2004,$K1082))</f>
        <v/>
      </c>
      <c r="E1082" s="70" t="str">
        <f aca="false">IF($K1082="","",INDEX(Base!$G$5:$G$2004,$K1082))</f>
        <v/>
      </c>
      <c r="F1082" s="71" t="str">
        <f aca="false">IF($K1082="","",INDEX(Base!$H$5:$H$2004,$K1082))</f>
        <v/>
      </c>
      <c r="G1082" s="71" t="str">
        <f aca="false">IF($K1082="","",INDEX(Base!$I$5:$I$2004,$K1082))</f>
        <v/>
      </c>
      <c r="H1082" s="70" t="str">
        <f aca="false">IF($K1082="","",INDEX(Base!$J$5:$J$2004,$K1082))</f>
        <v/>
      </c>
      <c r="I1082" s="71" t="str">
        <f aca="false">IF($K1082="","",INDEX(Base!$L$5:$L$2004,$K1082))</f>
        <v/>
      </c>
      <c r="J1082" s="72" t="str">
        <f aca="false">IFERROR(SMALL(Base!$P$5:$P$2004,ROW()-5),"")</f>
        <v/>
      </c>
      <c r="K1082" s="72" t="str">
        <f aca="false">IF(J1082="","",MATCH(J1082,Base!$P$5:$P$2004,0))</f>
        <v/>
      </c>
    </row>
    <row r="1083" customFormat="false" ht="15" hidden="false" customHeight="false" outlineLevel="0" collapsed="false">
      <c r="A1083" s="67" t="str">
        <f aca="false">IF($K1083="","",ROW()-5)</f>
        <v/>
      </c>
      <c r="B1083" s="68" t="str">
        <f aca="false">IF($K1083="","",INDEX(Base!$E$5:$E$2004,$K1083))</f>
        <v/>
      </c>
      <c r="C1083" s="69" t="str">
        <f aca="false">IF($K1083="","",B1083)</f>
        <v/>
      </c>
      <c r="D1083" s="70" t="str">
        <f aca="false">IF($K1083="","",INDEX(Base!$F$5:$F$2004,$K1083))</f>
        <v/>
      </c>
      <c r="E1083" s="70" t="str">
        <f aca="false">IF($K1083="","",INDEX(Base!$G$5:$G$2004,$K1083))</f>
        <v/>
      </c>
      <c r="F1083" s="71" t="str">
        <f aca="false">IF($K1083="","",INDEX(Base!$H$5:$H$2004,$K1083))</f>
        <v/>
      </c>
      <c r="G1083" s="71" t="str">
        <f aca="false">IF($K1083="","",INDEX(Base!$I$5:$I$2004,$K1083))</f>
        <v/>
      </c>
      <c r="H1083" s="70" t="str">
        <f aca="false">IF($K1083="","",INDEX(Base!$J$5:$J$2004,$K1083))</f>
        <v/>
      </c>
      <c r="I1083" s="71" t="str">
        <f aca="false">IF($K1083="","",INDEX(Base!$L$5:$L$2004,$K1083))</f>
        <v/>
      </c>
      <c r="J1083" s="72" t="str">
        <f aca="false">IFERROR(SMALL(Base!$P$5:$P$2004,ROW()-5),"")</f>
        <v/>
      </c>
      <c r="K1083" s="72" t="str">
        <f aca="false">IF(J1083="","",MATCH(J1083,Base!$P$5:$P$2004,0))</f>
        <v/>
      </c>
    </row>
    <row r="1084" customFormat="false" ht="15" hidden="false" customHeight="false" outlineLevel="0" collapsed="false">
      <c r="A1084" s="67" t="str">
        <f aca="false">IF($K1084="","",ROW()-5)</f>
        <v/>
      </c>
      <c r="B1084" s="68" t="str">
        <f aca="false">IF($K1084="","",INDEX(Base!$E$5:$E$2004,$K1084))</f>
        <v/>
      </c>
      <c r="C1084" s="69" t="str">
        <f aca="false">IF($K1084="","",B1084)</f>
        <v/>
      </c>
      <c r="D1084" s="70" t="str">
        <f aca="false">IF($K1084="","",INDEX(Base!$F$5:$F$2004,$K1084))</f>
        <v/>
      </c>
      <c r="E1084" s="70" t="str">
        <f aca="false">IF($K1084="","",INDEX(Base!$G$5:$G$2004,$K1084))</f>
        <v/>
      </c>
      <c r="F1084" s="71" t="str">
        <f aca="false">IF($K1084="","",INDEX(Base!$H$5:$H$2004,$K1084))</f>
        <v/>
      </c>
      <c r="G1084" s="71" t="str">
        <f aca="false">IF($K1084="","",INDEX(Base!$I$5:$I$2004,$K1084))</f>
        <v/>
      </c>
      <c r="H1084" s="70" t="str">
        <f aca="false">IF($K1084="","",INDEX(Base!$J$5:$J$2004,$K1084))</f>
        <v/>
      </c>
      <c r="I1084" s="71" t="str">
        <f aca="false">IF($K1084="","",INDEX(Base!$L$5:$L$2004,$K1084))</f>
        <v/>
      </c>
      <c r="J1084" s="72" t="str">
        <f aca="false">IFERROR(SMALL(Base!$P$5:$P$2004,ROW()-5),"")</f>
        <v/>
      </c>
      <c r="K1084" s="72" t="str">
        <f aca="false">IF(J1084="","",MATCH(J1084,Base!$P$5:$P$2004,0))</f>
        <v/>
      </c>
    </row>
    <row r="1085" customFormat="false" ht="15" hidden="false" customHeight="false" outlineLevel="0" collapsed="false">
      <c r="A1085" s="67" t="str">
        <f aca="false">IF($K1085="","",ROW()-5)</f>
        <v/>
      </c>
      <c r="B1085" s="68" t="str">
        <f aca="false">IF($K1085="","",INDEX(Base!$E$5:$E$2004,$K1085))</f>
        <v/>
      </c>
      <c r="C1085" s="69" t="str">
        <f aca="false">IF($K1085="","",B1085)</f>
        <v/>
      </c>
      <c r="D1085" s="70" t="str">
        <f aca="false">IF($K1085="","",INDEX(Base!$F$5:$F$2004,$K1085))</f>
        <v/>
      </c>
      <c r="E1085" s="70" t="str">
        <f aca="false">IF($K1085="","",INDEX(Base!$G$5:$G$2004,$K1085))</f>
        <v/>
      </c>
      <c r="F1085" s="71" t="str">
        <f aca="false">IF($K1085="","",INDEX(Base!$H$5:$H$2004,$K1085))</f>
        <v/>
      </c>
      <c r="G1085" s="71" t="str">
        <f aca="false">IF($K1085="","",INDEX(Base!$I$5:$I$2004,$K1085))</f>
        <v/>
      </c>
      <c r="H1085" s="70" t="str">
        <f aca="false">IF($K1085="","",INDEX(Base!$J$5:$J$2004,$K1085))</f>
        <v/>
      </c>
      <c r="I1085" s="71" t="str">
        <f aca="false">IF($K1085="","",INDEX(Base!$L$5:$L$2004,$K1085))</f>
        <v/>
      </c>
      <c r="J1085" s="72" t="str">
        <f aca="false">IFERROR(SMALL(Base!$P$5:$P$2004,ROW()-5),"")</f>
        <v/>
      </c>
      <c r="K1085" s="72" t="str">
        <f aca="false">IF(J1085="","",MATCH(J1085,Base!$P$5:$P$2004,0))</f>
        <v/>
      </c>
    </row>
    <row r="1086" customFormat="false" ht="15" hidden="false" customHeight="false" outlineLevel="0" collapsed="false">
      <c r="A1086" s="67" t="str">
        <f aca="false">IF($K1086="","",ROW()-5)</f>
        <v/>
      </c>
      <c r="B1086" s="68" t="str">
        <f aca="false">IF($K1086="","",INDEX(Base!$E$5:$E$2004,$K1086))</f>
        <v/>
      </c>
      <c r="C1086" s="69" t="str">
        <f aca="false">IF($K1086="","",B1086)</f>
        <v/>
      </c>
      <c r="D1086" s="70" t="str">
        <f aca="false">IF($K1086="","",INDEX(Base!$F$5:$F$2004,$K1086))</f>
        <v/>
      </c>
      <c r="E1086" s="70" t="str">
        <f aca="false">IF($K1086="","",INDEX(Base!$G$5:$G$2004,$K1086))</f>
        <v/>
      </c>
      <c r="F1086" s="71" t="str">
        <f aca="false">IF($K1086="","",INDEX(Base!$H$5:$H$2004,$K1086))</f>
        <v/>
      </c>
      <c r="G1086" s="71" t="str">
        <f aca="false">IF($K1086="","",INDEX(Base!$I$5:$I$2004,$K1086))</f>
        <v/>
      </c>
      <c r="H1086" s="70" t="str">
        <f aca="false">IF($K1086="","",INDEX(Base!$J$5:$J$2004,$K1086))</f>
        <v/>
      </c>
      <c r="I1086" s="71" t="str">
        <f aca="false">IF($K1086="","",INDEX(Base!$L$5:$L$2004,$K1086))</f>
        <v/>
      </c>
      <c r="J1086" s="72" t="str">
        <f aca="false">IFERROR(SMALL(Base!$P$5:$P$2004,ROW()-5),"")</f>
        <v/>
      </c>
      <c r="K1086" s="72" t="str">
        <f aca="false">IF(J1086="","",MATCH(J1086,Base!$P$5:$P$2004,0))</f>
        <v/>
      </c>
    </row>
    <row r="1087" customFormat="false" ht="15" hidden="false" customHeight="false" outlineLevel="0" collapsed="false">
      <c r="A1087" s="67" t="str">
        <f aca="false">IF($K1087="","",ROW()-5)</f>
        <v/>
      </c>
      <c r="B1087" s="68" t="str">
        <f aca="false">IF($K1087="","",INDEX(Base!$E$5:$E$2004,$K1087))</f>
        <v/>
      </c>
      <c r="C1087" s="69" t="str">
        <f aca="false">IF($K1087="","",B1087)</f>
        <v/>
      </c>
      <c r="D1087" s="70" t="str">
        <f aca="false">IF($K1087="","",INDEX(Base!$F$5:$F$2004,$K1087))</f>
        <v/>
      </c>
      <c r="E1087" s="70" t="str">
        <f aca="false">IF($K1087="","",INDEX(Base!$G$5:$G$2004,$K1087))</f>
        <v/>
      </c>
      <c r="F1087" s="71" t="str">
        <f aca="false">IF($K1087="","",INDEX(Base!$H$5:$H$2004,$K1087))</f>
        <v/>
      </c>
      <c r="G1087" s="71" t="str">
        <f aca="false">IF($K1087="","",INDEX(Base!$I$5:$I$2004,$K1087))</f>
        <v/>
      </c>
      <c r="H1087" s="70" t="str">
        <f aca="false">IF($K1087="","",INDEX(Base!$J$5:$J$2004,$K1087))</f>
        <v/>
      </c>
      <c r="I1087" s="71" t="str">
        <f aca="false">IF($K1087="","",INDEX(Base!$L$5:$L$2004,$K1087))</f>
        <v/>
      </c>
      <c r="J1087" s="72" t="str">
        <f aca="false">IFERROR(SMALL(Base!$P$5:$P$2004,ROW()-5),"")</f>
        <v/>
      </c>
      <c r="K1087" s="72" t="str">
        <f aca="false">IF(J1087="","",MATCH(J1087,Base!$P$5:$P$2004,0))</f>
        <v/>
      </c>
    </row>
    <row r="1088" customFormat="false" ht="15" hidden="false" customHeight="false" outlineLevel="0" collapsed="false">
      <c r="A1088" s="67" t="str">
        <f aca="false">IF($K1088="","",ROW()-5)</f>
        <v/>
      </c>
      <c r="B1088" s="68" t="str">
        <f aca="false">IF($K1088="","",INDEX(Base!$E$5:$E$2004,$K1088))</f>
        <v/>
      </c>
      <c r="C1088" s="69" t="str">
        <f aca="false">IF($K1088="","",B1088)</f>
        <v/>
      </c>
      <c r="D1088" s="70" t="str">
        <f aca="false">IF($K1088="","",INDEX(Base!$F$5:$F$2004,$K1088))</f>
        <v/>
      </c>
      <c r="E1088" s="70" t="str">
        <f aca="false">IF($K1088="","",INDEX(Base!$G$5:$G$2004,$K1088))</f>
        <v/>
      </c>
      <c r="F1088" s="71" t="str">
        <f aca="false">IF($K1088="","",INDEX(Base!$H$5:$H$2004,$K1088))</f>
        <v/>
      </c>
      <c r="G1088" s="71" t="str">
        <f aca="false">IF($K1088="","",INDEX(Base!$I$5:$I$2004,$K1088))</f>
        <v/>
      </c>
      <c r="H1088" s="70" t="str">
        <f aca="false">IF($K1088="","",INDEX(Base!$J$5:$J$2004,$K1088))</f>
        <v/>
      </c>
      <c r="I1088" s="71" t="str">
        <f aca="false">IF($K1088="","",INDEX(Base!$L$5:$L$2004,$K1088))</f>
        <v/>
      </c>
      <c r="J1088" s="72" t="str">
        <f aca="false">IFERROR(SMALL(Base!$P$5:$P$2004,ROW()-5),"")</f>
        <v/>
      </c>
      <c r="K1088" s="72" t="str">
        <f aca="false">IF(J1088="","",MATCH(J1088,Base!$P$5:$P$2004,0))</f>
        <v/>
      </c>
    </row>
    <row r="1089" customFormat="false" ht="15" hidden="false" customHeight="false" outlineLevel="0" collapsed="false">
      <c r="A1089" s="67" t="str">
        <f aca="false">IF($K1089="","",ROW()-5)</f>
        <v/>
      </c>
      <c r="B1089" s="68" t="str">
        <f aca="false">IF($K1089="","",INDEX(Base!$E$5:$E$2004,$K1089))</f>
        <v/>
      </c>
      <c r="C1089" s="69" t="str">
        <f aca="false">IF($K1089="","",B1089)</f>
        <v/>
      </c>
      <c r="D1089" s="70" t="str">
        <f aca="false">IF($K1089="","",INDEX(Base!$F$5:$F$2004,$K1089))</f>
        <v/>
      </c>
      <c r="E1089" s="70" t="str">
        <f aca="false">IF($K1089="","",INDEX(Base!$G$5:$G$2004,$K1089))</f>
        <v/>
      </c>
      <c r="F1089" s="71" t="str">
        <f aca="false">IF($K1089="","",INDEX(Base!$H$5:$H$2004,$K1089))</f>
        <v/>
      </c>
      <c r="G1089" s="71" t="str">
        <f aca="false">IF($K1089="","",INDEX(Base!$I$5:$I$2004,$K1089))</f>
        <v/>
      </c>
      <c r="H1089" s="70" t="str">
        <f aca="false">IF($K1089="","",INDEX(Base!$J$5:$J$2004,$K1089))</f>
        <v/>
      </c>
      <c r="I1089" s="71" t="str">
        <f aca="false">IF($K1089="","",INDEX(Base!$L$5:$L$2004,$K1089))</f>
        <v/>
      </c>
      <c r="J1089" s="72" t="str">
        <f aca="false">IFERROR(SMALL(Base!$P$5:$P$2004,ROW()-5),"")</f>
        <v/>
      </c>
      <c r="K1089" s="72" t="str">
        <f aca="false">IF(J1089="","",MATCH(J1089,Base!$P$5:$P$2004,0))</f>
        <v/>
      </c>
    </row>
    <row r="1090" customFormat="false" ht="15" hidden="false" customHeight="false" outlineLevel="0" collapsed="false">
      <c r="A1090" s="67" t="str">
        <f aca="false">IF($K1090="","",ROW()-5)</f>
        <v/>
      </c>
      <c r="B1090" s="68" t="str">
        <f aca="false">IF($K1090="","",INDEX(Base!$E$5:$E$2004,$K1090))</f>
        <v/>
      </c>
      <c r="C1090" s="69" t="str">
        <f aca="false">IF($K1090="","",B1090)</f>
        <v/>
      </c>
      <c r="D1090" s="70" t="str">
        <f aca="false">IF($K1090="","",INDEX(Base!$F$5:$F$2004,$K1090))</f>
        <v/>
      </c>
      <c r="E1090" s="70" t="str">
        <f aca="false">IF($K1090="","",INDEX(Base!$G$5:$G$2004,$K1090))</f>
        <v/>
      </c>
      <c r="F1090" s="71" t="str">
        <f aca="false">IF($K1090="","",INDEX(Base!$H$5:$H$2004,$K1090))</f>
        <v/>
      </c>
      <c r="G1090" s="71" t="str">
        <f aca="false">IF($K1090="","",INDEX(Base!$I$5:$I$2004,$K1090))</f>
        <v/>
      </c>
      <c r="H1090" s="70" t="str">
        <f aca="false">IF($K1090="","",INDEX(Base!$J$5:$J$2004,$K1090))</f>
        <v/>
      </c>
      <c r="I1090" s="71" t="str">
        <f aca="false">IF($K1090="","",INDEX(Base!$L$5:$L$2004,$K1090))</f>
        <v/>
      </c>
      <c r="J1090" s="72" t="str">
        <f aca="false">IFERROR(SMALL(Base!$P$5:$P$2004,ROW()-5),"")</f>
        <v/>
      </c>
      <c r="K1090" s="72" t="str">
        <f aca="false">IF(J1090="","",MATCH(J1090,Base!$P$5:$P$2004,0))</f>
        <v/>
      </c>
    </row>
    <row r="1091" customFormat="false" ht="15" hidden="false" customHeight="false" outlineLevel="0" collapsed="false">
      <c r="A1091" s="67" t="str">
        <f aca="false">IF($K1091="","",ROW()-5)</f>
        <v/>
      </c>
      <c r="B1091" s="68" t="str">
        <f aca="false">IF($K1091="","",INDEX(Base!$E$5:$E$2004,$K1091))</f>
        <v/>
      </c>
      <c r="C1091" s="69" t="str">
        <f aca="false">IF($K1091="","",B1091)</f>
        <v/>
      </c>
      <c r="D1091" s="70" t="str">
        <f aca="false">IF($K1091="","",INDEX(Base!$F$5:$F$2004,$K1091))</f>
        <v/>
      </c>
      <c r="E1091" s="70" t="str">
        <f aca="false">IF($K1091="","",INDEX(Base!$G$5:$G$2004,$K1091))</f>
        <v/>
      </c>
      <c r="F1091" s="71" t="str">
        <f aca="false">IF($K1091="","",INDEX(Base!$H$5:$H$2004,$K1091))</f>
        <v/>
      </c>
      <c r="G1091" s="71" t="str">
        <f aca="false">IF($K1091="","",INDEX(Base!$I$5:$I$2004,$K1091))</f>
        <v/>
      </c>
      <c r="H1091" s="70" t="str">
        <f aca="false">IF($K1091="","",INDEX(Base!$J$5:$J$2004,$K1091))</f>
        <v/>
      </c>
      <c r="I1091" s="71" t="str">
        <f aca="false">IF($K1091="","",INDEX(Base!$L$5:$L$2004,$K1091))</f>
        <v/>
      </c>
      <c r="J1091" s="72" t="str">
        <f aca="false">IFERROR(SMALL(Base!$P$5:$P$2004,ROW()-5),"")</f>
        <v/>
      </c>
      <c r="K1091" s="72" t="str">
        <f aca="false">IF(J1091="","",MATCH(J1091,Base!$P$5:$P$2004,0))</f>
        <v/>
      </c>
    </row>
    <row r="1092" customFormat="false" ht="15" hidden="false" customHeight="false" outlineLevel="0" collapsed="false">
      <c r="A1092" s="67" t="str">
        <f aca="false">IF($K1092="","",ROW()-5)</f>
        <v/>
      </c>
      <c r="B1092" s="68" t="str">
        <f aca="false">IF($K1092="","",INDEX(Base!$E$5:$E$2004,$K1092))</f>
        <v/>
      </c>
      <c r="C1092" s="69" t="str">
        <f aca="false">IF($K1092="","",B1092)</f>
        <v/>
      </c>
      <c r="D1092" s="70" t="str">
        <f aca="false">IF($K1092="","",INDEX(Base!$F$5:$F$2004,$K1092))</f>
        <v/>
      </c>
      <c r="E1092" s="70" t="str">
        <f aca="false">IF($K1092="","",INDEX(Base!$G$5:$G$2004,$K1092))</f>
        <v/>
      </c>
      <c r="F1092" s="71" t="str">
        <f aca="false">IF($K1092="","",INDEX(Base!$H$5:$H$2004,$K1092))</f>
        <v/>
      </c>
      <c r="G1092" s="71" t="str">
        <f aca="false">IF($K1092="","",INDEX(Base!$I$5:$I$2004,$K1092))</f>
        <v/>
      </c>
      <c r="H1092" s="70" t="str">
        <f aca="false">IF($K1092="","",INDEX(Base!$J$5:$J$2004,$K1092))</f>
        <v/>
      </c>
      <c r="I1092" s="71" t="str">
        <f aca="false">IF($K1092="","",INDEX(Base!$L$5:$L$2004,$K1092))</f>
        <v/>
      </c>
      <c r="J1092" s="72" t="str">
        <f aca="false">IFERROR(SMALL(Base!$P$5:$P$2004,ROW()-5),"")</f>
        <v/>
      </c>
      <c r="K1092" s="72" t="str">
        <f aca="false">IF(J1092="","",MATCH(J1092,Base!$P$5:$P$2004,0))</f>
        <v/>
      </c>
    </row>
    <row r="1093" customFormat="false" ht="15" hidden="false" customHeight="false" outlineLevel="0" collapsed="false">
      <c r="A1093" s="67" t="str">
        <f aca="false">IF($K1093="","",ROW()-5)</f>
        <v/>
      </c>
      <c r="B1093" s="68" t="str">
        <f aca="false">IF($K1093="","",INDEX(Base!$E$5:$E$2004,$K1093))</f>
        <v/>
      </c>
      <c r="C1093" s="69" t="str">
        <f aca="false">IF($K1093="","",B1093)</f>
        <v/>
      </c>
      <c r="D1093" s="70" t="str">
        <f aca="false">IF($K1093="","",INDEX(Base!$F$5:$F$2004,$K1093))</f>
        <v/>
      </c>
      <c r="E1093" s="70" t="str">
        <f aca="false">IF($K1093="","",INDEX(Base!$G$5:$G$2004,$K1093))</f>
        <v/>
      </c>
      <c r="F1093" s="71" t="str">
        <f aca="false">IF($K1093="","",INDEX(Base!$H$5:$H$2004,$K1093))</f>
        <v/>
      </c>
      <c r="G1093" s="71" t="str">
        <f aca="false">IF($K1093="","",INDEX(Base!$I$5:$I$2004,$K1093))</f>
        <v/>
      </c>
      <c r="H1093" s="70" t="str">
        <f aca="false">IF($K1093="","",INDEX(Base!$J$5:$J$2004,$K1093))</f>
        <v/>
      </c>
      <c r="I1093" s="71" t="str">
        <f aca="false">IF($K1093="","",INDEX(Base!$L$5:$L$2004,$K1093))</f>
        <v/>
      </c>
      <c r="J1093" s="72" t="str">
        <f aca="false">IFERROR(SMALL(Base!$P$5:$P$2004,ROW()-5),"")</f>
        <v/>
      </c>
      <c r="K1093" s="72" t="str">
        <f aca="false">IF(J1093="","",MATCH(J1093,Base!$P$5:$P$2004,0))</f>
        <v/>
      </c>
    </row>
    <row r="1094" customFormat="false" ht="15" hidden="false" customHeight="false" outlineLevel="0" collapsed="false">
      <c r="A1094" s="67" t="str">
        <f aca="false">IF($K1094="","",ROW()-5)</f>
        <v/>
      </c>
      <c r="B1094" s="68" t="str">
        <f aca="false">IF($K1094="","",INDEX(Base!$E$5:$E$2004,$K1094))</f>
        <v/>
      </c>
      <c r="C1094" s="69" t="str">
        <f aca="false">IF($K1094="","",B1094)</f>
        <v/>
      </c>
      <c r="D1094" s="70" t="str">
        <f aca="false">IF($K1094="","",INDEX(Base!$F$5:$F$2004,$K1094))</f>
        <v/>
      </c>
      <c r="E1094" s="70" t="str">
        <f aca="false">IF($K1094="","",INDEX(Base!$G$5:$G$2004,$K1094))</f>
        <v/>
      </c>
      <c r="F1094" s="71" t="str">
        <f aca="false">IF($K1094="","",INDEX(Base!$H$5:$H$2004,$K1094))</f>
        <v/>
      </c>
      <c r="G1094" s="71" t="str">
        <f aca="false">IF($K1094="","",INDEX(Base!$I$5:$I$2004,$K1094))</f>
        <v/>
      </c>
      <c r="H1094" s="70" t="str">
        <f aca="false">IF($K1094="","",INDEX(Base!$J$5:$J$2004,$K1094))</f>
        <v/>
      </c>
      <c r="I1094" s="71" t="str">
        <f aca="false">IF($K1094="","",INDEX(Base!$L$5:$L$2004,$K1094))</f>
        <v/>
      </c>
      <c r="J1094" s="72" t="str">
        <f aca="false">IFERROR(SMALL(Base!$P$5:$P$2004,ROW()-5),"")</f>
        <v/>
      </c>
      <c r="K1094" s="72" t="str">
        <f aca="false">IF(J1094="","",MATCH(J1094,Base!$P$5:$P$2004,0))</f>
        <v/>
      </c>
    </row>
    <row r="1095" customFormat="false" ht="15" hidden="false" customHeight="false" outlineLevel="0" collapsed="false">
      <c r="A1095" s="67" t="str">
        <f aca="false">IF($K1095="","",ROW()-5)</f>
        <v/>
      </c>
      <c r="B1095" s="68" t="str">
        <f aca="false">IF($K1095="","",INDEX(Base!$E$5:$E$2004,$K1095))</f>
        <v/>
      </c>
      <c r="C1095" s="69" t="str">
        <f aca="false">IF($K1095="","",B1095)</f>
        <v/>
      </c>
      <c r="D1095" s="70" t="str">
        <f aca="false">IF($K1095="","",INDEX(Base!$F$5:$F$2004,$K1095))</f>
        <v/>
      </c>
      <c r="E1095" s="70" t="str">
        <f aca="false">IF($K1095="","",INDEX(Base!$G$5:$G$2004,$K1095))</f>
        <v/>
      </c>
      <c r="F1095" s="71" t="str">
        <f aca="false">IF($K1095="","",INDEX(Base!$H$5:$H$2004,$K1095))</f>
        <v/>
      </c>
      <c r="G1095" s="71" t="str">
        <f aca="false">IF($K1095="","",INDEX(Base!$I$5:$I$2004,$K1095))</f>
        <v/>
      </c>
      <c r="H1095" s="70" t="str">
        <f aca="false">IF($K1095="","",INDEX(Base!$J$5:$J$2004,$K1095))</f>
        <v/>
      </c>
      <c r="I1095" s="71" t="str">
        <f aca="false">IF($K1095="","",INDEX(Base!$L$5:$L$2004,$K1095))</f>
        <v/>
      </c>
      <c r="J1095" s="72" t="str">
        <f aca="false">IFERROR(SMALL(Base!$P$5:$P$2004,ROW()-5),"")</f>
        <v/>
      </c>
      <c r="K1095" s="72" t="str">
        <f aca="false">IF(J1095="","",MATCH(J1095,Base!$P$5:$P$2004,0))</f>
        <v/>
      </c>
    </row>
    <row r="1096" customFormat="false" ht="15" hidden="false" customHeight="false" outlineLevel="0" collapsed="false">
      <c r="A1096" s="67" t="str">
        <f aca="false">IF($K1096="","",ROW()-5)</f>
        <v/>
      </c>
      <c r="B1096" s="68" t="str">
        <f aca="false">IF($K1096="","",INDEX(Base!$E$5:$E$2004,$K1096))</f>
        <v/>
      </c>
      <c r="C1096" s="69" t="str">
        <f aca="false">IF($K1096="","",B1096)</f>
        <v/>
      </c>
      <c r="D1096" s="70" t="str">
        <f aca="false">IF($K1096="","",INDEX(Base!$F$5:$F$2004,$K1096))</f>
        <v/>
      </c>
      <c r="E1096" s="70" t="str">
        <f aca="false">IF($K1096="","",INDEX(Base!$G$5:$G$2004,$K1096))</f>
        <v/>
      </c>
      <c r="F1096" s="71" t="str">
        <f aca="false">IF($K1096="","",INDEX(Base!$H$5:$H$2004,$K1096))</f>
        <v/>
      </c>
      <c r="G1096" s="71" t="str">
        <f aca="false">IF($K1096="","",INDEX(Base!$I$5:$I$2004,$K1096))</f>
        <v/>
      </c>
      <c r="H1096" s="70" t="str">
        <f aca="false">IF($K1096="","",INDEX(Base!$J$5:$J$2004,$K1096))</f>
        <v/>
      </c>
      <c r="I1096" s="71" t="str">
        <f aca="false">IF($K1096="","",INDEX(Base!$L$5:$L$2004,$K1096))</f>
        <v/>
      </c>
      <c r="J1096" s="72" t="str">
        <f aca="false">IFERROR(SMALL(Base!$P$5:$P$2004,ROW()-5),"")</f>
        <v/>
      </c>
      <c r="K1096" s="72" t="str">
        <f aca="false">IF(J1096="","",MATCH(J1096,Base!$P$5:$P$2004,0))</f>
        <v/>
      </c>
    </row>
    <row r="1097" customFormat="false" ht="15" hidden="false" customHeight="false" outlineLevel="0" collapsed="false">
      <c r="A1097" s="67" t="str">
        <f aca="false">IF($K1097="","",ROW()-5)</f>
        <v/>
      </c>
      <c r="B1097" s="68" t="str">
        <f aca="false">IF($K1097="","",INDEX(Base!$E$5:$E$2004,$K1097))</f>
        <v/>
      </c>
      <c r="C1097" s="69" t="str">
        <f aca="false">IF($K1097="","",B1097)</f>
        <v/>
      </c>
      <c r="D1097" s="70" t="str">
        <f aca="false">IF($K1097="","",INDEX(Base!$F$5:$F$2004,$K1097))</f>
        <v/>
      </c>
      <c r="E1097" s="70" t="str">
        <f aca="false">IF($K1097="","",INDEX(Base!$G$5:$G$2004,$K1097))</f>
        <v/>
      </c>
      <c r="F1097" s="71" t="str">
        <f aca="false">IF($K1097="","",INDEX(Base!$H$5:$H$2004,$K1097))</f>
        <v/>
      </c>
      <c r="G1097" s="71" t="str">
        <f aca="false">IF($K1097="","",INDEX(Base!$I$5:$I$2004,$K1097))</f>
        <v/>
      </c>
      <c r="H1097" s="70" t="str">
        <f aca="false">IF($K1097="","",INDEX(Base!$J$5:$J$2004,$K1097))</f>
        <v/>
      </c>
      <c r="I1097" s="71" t="str">
        <f aca="false">IF($K1097="","",INDEX(Base!$L$5:$L$2004,$K1097))</f>
        <v/>
      </c>
      <c r="J1097" s="72" t="str">
        <f aca="false">IFERROR(SMALL(Base!$P$5:$P$2004,ROW()-5),"")</f>
        <v/>
      </c>
      <c r="K1097" s="72" t="str">
        <f aca="false">IF(J1097="","",MATCH(J1097,Base!$P$5:$P$2004,0))</f>
        <v/>
      </c>
    </row>
    <row r="1098" customFormat="false" ht="15" hidden="false" customHeight="false" outlineLevel="0" collapsed="false">
      <c r="A1098" s="67" t="str">
        <f aca="false">IF($K1098="","",ROW()-5)</f>
        <v/>
      </c>
      <c r="B1098" s="68" t="str">
        <f aca="false">IF($K1098="","",INDEX(Base!$E$5:$E$2004,$K1098))</f>
        <v/>
      </c>
      <c r="C1098" s="69" t="str">
        <f aca="false">IF($K1098="","",B1098)</f>
        <v/>
      </c>
      <c r="D1098" s="70" t="str">
        <f aca="false">IF($K1098="","",INDEX(Base!$F$5:$F$2004,$K1098))</f>
        <v/>
      </c>
      <c r="E1098" s="70" t="str">
        <f aca="false">IF($K1098="","",INDEX(Base!$G$5:$G$2004,$K1098))</f>
        <v/>
      </c>
      <c r="F1098" s="71" t="str">
        <f aca="false">IF($K1098="","",INDEX(Base!$H$5:$H$2004,$K1098))</f>
        <v/>
      </c>
      <c r="G1098" s="71" t="str">
        <f aca="false">IF($K1098="","",INDEX(Base!$I$5:$I$2004,$K1098))</f>
        <v/>
      </c>
      <c r="H1098" s="70" t="str">
        <f aca="false">IF($K1098="","",INDEX(Base!$J$5:$J$2004,$K1098))</f>
        <v/>
      </c>
      <c r="I1098" s="71" t="str">
        <f aca="false">IF($K1098="","",INDEX(Base!$L$5:$L$2004,$K1098))</f>
        <v/>
      </c>
      <c r="J1098" s="72" t="str">
        <f aca="false">IFERROR(SMALL(Base!$P$5:$P$2004,ROW()-5),"")</f>
        <v/>
      </c>
      <c r="K1098" s="72" t="str">
        <f aca="false">IF(J1098="","",MATCH(J1098,Base!$P$5:$P$2004,0))</f>
        <v/>
      </c>
    </row>
    <row r="1099" customFormat="false" ht="15" hidden="false" customHeight="false" outlineLevel="0" collapsed="false">
      <c r="A1099" s="67" t="str">
        <f aca="false">IF($K1099="","",ROW()-5)</f>
        <v/>
      </c>
      <c r="B1099" s="68" t="str">
        <f aca="false">IF($K1099="","",INDEX(Base!$E$5:$E$2004,$K1099))</f>
        <v/>
      </c>
      <c r="C1099" s="69" t="str">
        <f aca="false">IF($K1099="","",B1099)</f>
        <v/>
      </c>
      <c r="D1099" s="70" t="str">
        <f aca="false">IF($K1099="","",INDEX(Base!$F$5:$F$2004,$K1099))</f>
        <v/>
      </c>
      <c r="E1099" s="70" t="str">
        <f aca="false">IF($K1099="","",INDEX(Base!$G$5:$G$2004,$K1099))</f>
        <v/>
      </c>
      <c r="F1099" s="71" t="str">
        <f aca="false">IF($K1099="","",INDEX(Base!$H$5:$H$2004,$K1099))</f>
        <v/>
      </c>
      <c r="G1099" s="71" t="str">
        <f aca="false">IF($K1099="","",INDEX(Base!$I$5:$I$2004,$K1099))</f>
        <v/>
      </c>
      <c r="H1099" s="70" t="str">
        <f aca="false">IF($K1099="","",INDEX(Base!$J$5:$J$2004,$K1099))</f>
        <v/>
      </c>
      <c r="I1099" s="71" t="str">
        <f aca="false">IF($K1099="","",INDEX(Base!$L$5:$L$2004,$K1099))</f>
        <v/>
      </c>
      <c r="J1099" s="72" t="str">
        <f aca="false">IFERROR(SMALL(Base!$P$5:$P$2004,ROW()-5),"")</f>
        <v/>
      </c>
      <c r="K1099" s="72" t="str">
        <f aca="false">IF(J1099="","",MATCH(J1099,Base!$P$5:$P$2004,0))</f>
        <v/>
      </c>
    </row>
    <row r="1100" customFormat="false" ht="15" hidden="false" customHeight="false" outlineLevel="0" collapsed="false">
      <c r="A1100" s="67" t="str">
        <f aca="false">IF($K1100="","",ROW()-5)</f>
        <v/>
      </c>
      <c r="B1100" s="68" t="str">
        <f aca="false">IF($K1100="","",INDEX(Base!$E$5:$E$2004,$K1100))</f>
        <v/>
      </c>
      <c r="C1100" s="69" t="str">
        <f aca="false">IF($K1100="","",B1100)</f>
        <v/>
      </c>
      <c r="D1100" s="70" t="str">
        <f aca="false">IF($K1100="","",INDEX(Base!$F$5:$F$2004,$K1100))</f>
        <v/>
      </c>
      <c r="E1100" s="70" t="str">
        <f aca="false">IF($K1100="","",INDEX(Base!$G$5:$G$2004,$K1100))</f>
        <v/>
      </c>
      <c r="F1100" s="71" t="str">
        <f aca="false">IF($K1100="","",INDEX(Base!$H$5:$H$2004,$K1100))</f>
        <v/>
      </c>
      <c r="G1100" s="71" t="str">
        <f aca="false">IF($K1100="","",INDEX(Base!$I$5:$I$2004,$K1100))</f>
        <v/>
      </c>
      <c r="H1100" s="70" t="str">
        <f aca="false">IF($K1100="","",INDEX(Base!$J$5:$J$2004,$K1100))</f>
        <v/>
      </c>
      <c r="I1100" s="71" t="str">
        <f aca="false">IF($K1100="","",INDEX(Base!$L$5:$L$2004,$K1100))</f>
        <v/>
      </c>
      <c r="J1100" s="72" t="str">
        <f aca="false">IFERROR(SMALL(Base!$P$5:$P$2004,ROW()-5),"")</f>
        <v/>
      </c>
      <c r="K1100" s="72" t="str">
        <f aca="false">IF(J1100="","",MATCH(J1100,Base!$P$5:$P$2004,0))</f>
        <v/>
      </c>
    </row>
    <row r="1101" customFormat="false" ht="15" hidden="false" customHeight="false" outlineLevel="0" collapsed="false">
      <c r="A1101" s="67" t="str">
        <f aca="false">IF($K1101="","",ROW()-5)</f>
        <v/>
      </c>
      <c r="B1101" s="68" t="str">
        <f aca="false">IF($K1101="","",INDEX(Base!$E$5:$E$2004,$K1101))</f>
        <v/>
      </c>
      <c r="C1101" s="69" t="str">
        <f aca="false">IF($K1101="","",B1101)</f>
        <v/>
      </c>
      <c r="D1101" s="70" t="str">
        <f aca="false">IF($K1101="","",INDEX(Base!$F$5:$F$2004,$K1101))</f>
        <v/>
      </c>
      <c r="E1101" s="70" t="str">
        <f aca="false">IF($K1101="","",INDEX(Base!$G$5:$G$2004,$K1101))</f>
        <v/>
      </c>
      <c r="F1101" s="71" t="str">
        <f aca="false">IF($K1101="","",INDEX(Base!$H$5:$H$2004,$K1101))</f>
        <v/>
      </c>
      <c r="G1101" s="71" t="str">
        <f aca="false">IF($K1101="","",INDEX(Base!$I$5:$I$2004,$K1101))</f>
        <v/>
      </c>
      <c r="H1101" s="70" t="str">
        <f aca="false">IF($K1101="","",INDEX(Base!$J$5:$J$2004,$K1101))</f>
        <v/>
      </c>
      <c r="I1101" s="71" t="str">
        <f aca="false">IF($K1101="","",INDEX(Base!$L$5:$L$2004,$K1101))</f>
        <v/>
      </c>
      <c r="J1101" s="72" t="str">
        <f aca="false">IFERROR(SMALL(Base!$P$5:$P$2004,ROW()-5),"")</f>
        <v/>
      </c>
      <c r="K1101" s="72" t="str">
        <f aca="false">IF(J1101="","",MATCH(J1101,Base!$P$5:$P$2004,0))</f>
        <v/>
      </c>
    </row>
    <row r="1102" customFormat="false" ht="15" hidden="false" customHeight="false" outlineLevel="0" collapsed="false">
      <c r="A1102" s="67" t="str">
        <f aca="false">IF($K1102="","",ROW()-5)</f>
        <v/>
      </c>
      <c r="B1102" s="68" t="str">
        <f aca="false">IF($K1102="","",INDEX(Base!$E$5:$E$2004,$K1102))</f>
        <v/>
      </c>
      <c r="C1102" s="69" t="str">
        <f aca="false">IF($K1102="","",B1102)</f>
        <v/>
      </c>
      <c r="D1102" s="70" t="str">
        <f aca="false">IF($K1102="","",INDEX(Base!$F$5:$F$2004,$K1102))</f>
        <v/>
      </c>
      <c r="E1102" s="70" t="str">
        <f aca="false">IF($K1102="","",INDEX(Base!$G$5:$G$2004,$K1102))</f>
        <v/>
      </c>
      <c r="F1102" s="71" t="str">
        <f aca="false">IF($K1102="","",INDEX(Base!$H$5:$H$2004,$K1102))</f>
        <v/>
      </c>
      <c r="G1102" s="71" t="str">
        <f aca="false">IF($K1102="","",INDEX(Base!$I$5:$I$2004,$K1102))</f>
        <v/>
      </c>
      <c r="H1102" s="70" t="str">
        <f aca="false">IF($K1102="","",INDEX(Base!$J$5:$J$2004,$K1102))</f>
        <v/>
      </c>
      <c r="I1102" s="71" t="str">
        <f aca="false">IF($K1102="","",INDEX(Base!$L$5:$L$2004,$K1102))</f>
        <v/>
      </c>
      <c r="J1102" s="72" t="str">
        <f aca="false">IFERROR(SMALL(Base!$P$5:$P$2004,ROW()-5),"")</f>
        <v/>
      </c>
      <c r="K1102" s="72" t="str">
        <f aca="false">IF(J1102="","",MATCH(J1102,Base!$P$5:$P$2004,0))</f>
        <v/>
      </c>
    </row>
    <row r="1103" customFormat="false" ht="15" hidden="false" customHeight="false" outlineLevel="0" collapsed="false">
      <c r="A1103" s="67" t="str">
        <f aca="false">IF($K1103="","",ROW()-5)</f>
        <v/>
      </c>
      <c r="B1103" s="68" t="str">
        <f aca="false">IF($K1103="","",INDEX(Base!$E$5:$E$2004,$K1103))</f>
        <v/>
      </c>
      <c r="C1103" s="69" t="str">
        <f aca="false">IF($K1103="","",B1103)</f>
        <v/>
      </c>
      <c r="D1103" s="70" t="str">
        <f aca="false">IF($K1103="","",INDEX(Base!$F$5:$F$2004,$K1103))</f>
        <v/>
      </c>
      <c r="E1103" s="70" t="str">
        <f aca="false">IF($K1103="","",INDEX(Base!$G$5:$G$2004,$K1103))</f>
        <v/>
      </c>
      <c r="F1103" s="71" t="str">
        <f aca="false">IF($K1103="","",INDEX(Base!$H$5:$H$2004,$K1103))</f>
        <v/>
      </c>
      <c r="G1103" s="71" t="str">
        <f aca="false">IF($K1103="","",INDEX(Base!$I$5:$I$2004,$K1103))</f>
        <v/>
      </c>
      <c r="H1103" s="70" t="str">
        <f aca="false">IF($K1103="","",INDEX(Base!$J$5:$J$2004,$K1103))</f>
        <v/>
      </c>
      <c r="I1103" s="71" t="str">
        <f aca="false">IF($K1103="","",INDEX(Base!$L$5:$L$2004,$K1103))</f>
        <v/>
      </c>
      <c r="J1103" s="72" t="str">
        <f aca="false">IFERROR(SMALL(Base!$P$5:$P$2004,ROW()-5),"")</f>
        <v/>
      </c>
      <c r="K1103" s="72" t="str">
        <f aca="false">IF(J1103="","",MATCH(J1103,Base!$P$5:$P$2004,0))</f>
        <v/>
      </c>
    </row>
    <row r="1104" customFormat="false" ht="15" hidden="false" customHeight="false" outlineLevel="0" collapsed="false">
      <c r="A1104" s="67" t="str">
        <f aca="false">IF($K1104="","",ROW()-5)</f>
        <v/>
      </c>
      <c r="B1104" s="68" t="str">
        <f aca="false">IF($K1104="","",INDEX(Base!$E$5:$E$2004,$K1104))</f>
        <v/>
      </c>
      <c r="C1104" s="69" t="str">
        <f aca="false">IF($K1104="","",B1104)</f>
        <v/>
      </c>
      <c r="D1104" s="70" t="str">
        <f aca="false">IF($K1104="","",INDEX(Base!$F$5:$F$2004,$K1104))</f>
        <v/>
      </c>
      <c r="E1104" s="70" t="str">
        <f aca="false">IF($K1104="","",INDEX(Base!$G$5:$G$2004,$K1104))</f>
        <v/>
      </c>
      <c r="F1104" s="71" t="str">
        <f aca="false">IF($K1104="","",INDEX(Base!$H$5:$H$2004,$K1104))</f>
        <v/>
      </c>
      <c r="G1104" s="71" t="str">
        <f aca="false">IF($K1104="","",INDEX(Base!$I$5:$I$2004,$K1104))</f>
        <v/>
      </c>
      <c r="H1104" s="70" t="str">
        <f aca="false">IF($K1104="","",INDEX(Base!$J$5:$J$2004,$K1104))</f>
        <v/>
      </c>
      <c r="I1104" s="71" t="str">
        <f aca="false">IF($K1104="","",INDEX(Base!$L$5:$L$2004,$K1104))</f>
        <v/>
      </c>
      <c r="J1104" s="72" t="str">
        <f aca="false">IFERROR(SMALL(Base!$P$5:$P$2004,ROW()-5),"")</f>
        <v/>
      </c>
      <c r="K1104" s="72" t="str">
        <f aca="false">IF(J1104="","",MATCH(J1104,Base!$P$5:$P$2004,0))</f>
        <v/>
      </c>
    </row>
    <row r="1105" customFormat="false" ht="15" hidden="false" customHeight="false" outlineLevel="0" collapsed="false">
      <c r="A1105" s="67" t="str">
        <f aca="false">IF($K1105="","",ROW()-5)</f>
        <v/>
      </c>
      <c r="B1105" s="68" t="str">
        <f aca="false">IF($K1105="","",INDEX(Base!$E$5:$E$2004,$K1105))</f>
        <v/>
      </c>
      <c r="C1105" s="69" t="str">
        <f aca="false">IF($K1105="","",B1105)</f>
        <v/>
      </c>
      <c r="D1105" s="70" t="str">
        <f aca="false">IF($K1105="","",INDEX(Base!$F$5:$F$2004,$K1105))</f>
        <v/>
      </c>
      <c r="E1105" s="70" t="str">
        <f aca="false">IF($K1105="","",INDEX(Base!$G$5:$G$2004,$K1105))</f>
        <v/>
      </c>
      <c r="F1105" s="71" t="str">
        <f aca="false">IF($K1105="","",INDEX(Base!$H$5:$H$2004,$K1105))</f>
        <v/>
      </c>
      <c r="G1105" s="71" t="str">
        <f aca="false">IF($K1105="","",INDEX(Base!$I$5:$I$2004,$K1105))</f>
        <v/>
      </c>
      <c r="H1105" s="70" t="str">
        <f aca="false">IF($K1105="","",INDEX(Base!$J$5:$J$2004,$K1105))</f>
        <v/>
      </c>
      <c r="I1105" s="71" t="str">
        <f aca="false">IF($K1105="","",INDEX(Base!$L$5:$L$2004,$K1105))</f>
        <v/>
      </c>
      <c r="J1105" s="72" t="str">
        <f aca="false">IFERROR(SMALL(Base!$P$5:$P$2004,ROW()-5),"")</f>
        <v/>
      </c>
      <c r="K1105" s="72" t="str">
        <f aca="false">IF(J1105="","",MATCH(J1105,Base!$P$5:$P$2004,0))</f>
        <v/>
      </c>
    </row>
    <row r="1106" customFormat="false" ht="15" hidden="false" customHeight="false" outlineLevel="0" collapsed="false">
      <c r="A1106" s="67" t="str">
        <f aca="false">IF($K1106="","",ROW()-5)</f>
        <v/>
      </c>
      <c r="B1106" s="68" t="str">
        <f aca="false">IF($K1106="","",INDEX(Base!$E$5:$E$2004,$K1106))</f>
        <v/>
      </c>
      <c r="C1106" s="69" t="str">
        <f aca="false">IF($K1106="","",B1106)</f>
        <v/>
      </c>
      <c r="D1106" s="70" t="str">
        <f aca="false">IF($K1106="","",INDEX(Base!$F$5:$F$2004,$K1106))</f>
        <v/>
      </c>
      <c r="E1106" s="70" t="str">
        <f aca="false">IF($K1106="","",INDEX(Base!$G$5:$G$2004,$K1106))</f>
        <v/>
      </c>
      <c r="F1106" s="71" t="str">
        <f aca="false">IF($K1106="","",INDEX(Base!$H$5:$H$2004,$K1106))</f>
        <v/>
      </c>
      <c r="G1106" s="71" t="str">
        <f aca="false">IF($K1106="","",INDEX(Base!$I$5:$I$2004,$K1106))</f>
        <v/>
      </c>
      <c r="H1106" s="70" t="str">
        <f aca="false">IF($K1106="","",INDEX(Base!$J$5:$J$2004,$K1106))</f>
        <v/>
      </c>
      <c r="I1106" s="71" t="str">
        <f aca="false">IF($K1106="","",INDEX(Base!$L$5:$L$2004,$K1106))</f>
        <v/>
      </c>
      <c r="J1106" s="72" t="str">
        <f aca="false">IFERROR(SMALL(Base!$P$5:$P$2004,ROW()-5),"")</f>
        <v/>
      </c>
      <c r="K1106" s="72" t="str">
        <f aca="false">IF(J1106="","",MATCH(J1106,Base!$P$5:$P$2004,0))</f>
        <v/>
      </c>
    </row>
    <row r="1107" customFormat="false" ht="15" hidden="false" customHeight="false" outlineLevel="0" collapsed="false">
      <c r="A1107" s="67" t="str">
        <f aca="false">IF($K1107="","",ROW()-5)</f>
        <v/>
      </c>
      <c r="B1107" s="68" t="str">
        <f aca="false">IF($K1107="","",INDEX(Base!$E$5:$E$2004,$K1107))</f>
        <v/>
      </c>
      <c r="C1107" s="69" t="str">
        <f aca="false">IF($K1107="","",B1107)</f>
        <v/>
      </c>
      <c r="D1107" s="70" t="str">
        <f aca="false">IF($K1107="","",INDEX(Base!$F$5:$F$2004,$K1107))</f>
        <v/>
      </c>
      <c r="E1107" s="70" t="str">
        <f aca="false">IF($K1107="","",INDEX(Base!$G$5:$G$2004,$K1107))</f>
        <v/>
      </c>
      <c r="F1107" s="71" t="str">
        <f aca="false">IF($K1107="","",INDEX(Base!$H$5:$H$2004,$K1107))</f>
        <v/>
      </c>
      <c r="G1107" s="71" t="str">
        <f aca="false">IF($K1107="","",INDEX(Base!$I$5:$I$2004,$K1107))</f>
        <v/>
      </c>
      <c r="H1107" s="70" t="str">
        <f aca="false">IF($K1107="","",INDEX(Base!$J$5:$J$2004,$K1107))</f>
        <v/>
      </c>
      <c r="I1107" s="71" t="str">
        <f aca="false">IF($K1107="","",INDEX(Base!$L$5:$L$2004,$K1107))</f>
        <v/>
      </c>
      <c r="J1107" s="72" t="str">
        <f aca="false">IFERROR(SMALL(Base!$P$5:$P$2004,ROW()-5),"")</f>
        <v/>
      </c>
      <c r="K1107" s="72" t="str">
        <f aca="false">IF(J1107="","",MATCH(J1107,Base!$P$5:$P$2004,0))</f>
        <v/>
      </c>
    </row>
    <row r="1108" customFormat="false" ht="15" hidden="false" customHeight="false" outlineLevel="0" collapsed="false">
      <c r="A1108" s="67" t="str">
        <f aca="false">IF($K1108="","",ROW()-5)</f>
        <v/>
      </c>
      <c r="B1108" s="68" t="str">
        <f aca="false">IF($K1108="","",INDEX(Base!$E$5:$E$2004,$K1108))</f>
        <v/>
      </c>
      <c r="C1108" s="69" t="str">
        <f aca="false">IF($K1108="","",B1108)</f>
        <v/>
      </c>
      <c r="D1108" s="70" t="str">
        <f aca="false">IF($K1108="","",INDEX(Base!$F$5:$F$2004,$K1108))</f>
        <v/>
      </c>
      <c r="E1108" s="70" t="str">
        <f aca="false">IF($K1108="","",INDEX(Base!$G$5:$G$2004,$K1108))</f>
        <v/>
      </c>
      <c r="F1108" s="71" t="str">
        <f aca="false">IF($K1108="","",INDEX(Base!$H$5:$H$2004,$K1108))</f>
        <v/>
      </c>
      <c r="G1108" s="71" t="str">
        <f aca="false">IF($K1108="","",INDEX(Base!$I$5:$I$2004,$K1108))</f>
        <v/>
      </c>
      <c r="H1108" s="70" t="str">
        <f aca="false">IF($K1108="","",INDEX(Base!$J$5:$J$2004,$K1108))</f>
        <v/>
      </c>
      <c r="I1108" s="71" t="str">
        <f aca="false">IF($K1108="","",INDEX(Base!$L$5:$L$2004,$K1108))</f>
        <v/>
      </c>
      <c r="J1108" s="72" t="str">
        <f aca="false">IFERROR(SMALL(Base!$P$5:$P$2004,ROW()-5),"")</f>
        <v/>
      </c>
      <c r="K1108" s="72" t="str">
        <f aca="false">IF(J1108="","",MATCH(J1108,Base!$P$5:$P$2004,0))</f>
        <v/>
      </c>
    </row>
    <row r="1109" customFormat="false" ht="15" hidden="false" customHeight="false" outlineLevel="0" collapsed="false">
      <c r="A1109" s="67" t="str">
        <f aca="false">IF($K1109="","",ROW()-5)</f>
        <v/>
      </c>
      <c r="B1109" s="68" t="str">
        <f aca="false">IF($K1109="","",INDEX(Base!$E$5:$E$2004,$K1109))</f>
        <v/>
      </c>
      <c r="C1109" s="69" t="str">
        <f aca="false">IF($K1109="","",B1109)</f>
        <v/>
      </c>
      <c r="D1109" s="70" t="str">
        <f aca="false">IF($K1109="","",INDEX(Base!$F$5:$F$2004,$K1109))</f>
        <v/>
      </c>
      <c r="E1109" s="70" t="str">
        <f aca="false">IF($K1109="","",INDEX(Base!$G$5:$G$2004,$K1109))</f>
        <v/>
      </c>
      <c r="F1109" s="71" t="str">
        <f aca="false">IF($K1109="","",INDEX(Base!$H$5:$H$2004,$K1109))</f>
        <v/>
      </c>
      <c r="G1109" s="71" t="str">
        <f aca="false">IF($K1109="","",INDEX(Base!$I$5:$I$2004,$K1109))</f>
        <v/>
      </c>
      <c r="H1109" s="70" t="str">
        <f aca="false">IF($K1109="","",INDEX(Base!$J$5:$J$2004,$K1109))</f>
        <v/>
      </c>
      <c r="I1109" s="71" t="str">
        <f aca="false">IF($K1109="","",INDEX(Base!$L$5:$L$2004,$K1109))</f>
        <v/>
      </c>
      <c r="J1109" s="72" t="str">
        <f aca="false">IFERROR(SMALL(Base!$P$5:$P$2004,ROW()-5),"")</f>
        <v/>
      </c>
      <c r="K1109" s="72" t="str">
        <f aca="false">IF(J1109="","",MATCH(J1109,Base!$P$5:$P$2004,0))</f>
        <v/>
      </c>
    </row>
    <row r="1110" customFormat="false" ht="15" hidden="false" customHeight="false" outlineLevel="0" collapsed="false">
      <c r="A1110" s="67" t="str">
        <f aca="false">IF($K1110="","",ROW()-5)</f>
        <v/>
      </c>
      <c r="B1110" s="68" t="str">
        <f aca="false">IF($K1110="","",INDEX(Base!$E$5:$E$2004,$K1110))</f>
        <v/>
      </c>
      <c r="C1110" s="69" t="str">
        <f aca="false">IF($K1110="","",B1110)</f>
        <v/>
      </c>
      <c r="D1110" s="70" t="str">
        <f aca="false">IF($K1110="","",INDEX(Base!$F$5:$F$2004,$K1110))</f>
        <v/>
      </c>
      <c r="E1110" s="70" t="str">
        <f aca="false">IF($K1110="","",INDEX(Base!$G$5:$G$2004,$K1110))</f>
        <v/>
      </c>
      <c r="F1110" s="71" t="str">
        <f aca="false">IF($K1110="","",INDEX(Base!$H$5:$H$2004,$K1110))</f>
        <v/>
      </c>
      <c r="G1110" s="71" t="str">
        <f aca="false">IF($K1110="","",INDEX(Base!$I$5:$I$2004,$K1110))</f>
        <v/>
      </c>
      <c r="H1110" s="70" t="str">
        <f aca="false">IF($K1110="","",INDEX(Base!$J$5:$J$2004,$K1110))</f>
        <v/>
      </c>
      <c r="I1110" s="71" t="str">
        <f aca="false">IF($K1110="","",INDEX(Base!$L$5:$L$2004,$K1110))</f>
        <v/>
      </c>
      <c r="J1110" s="72" t="str">
        <f aca="false">IFERROR(SMALL(Base!$P$5:$P$2004,ROW()-5),"")</f>
        <v/>
      </c>
      <c r="K1110" s="72" t="str">
        <f aca="false">IF(J1110="","",MATCH(J1110,Base!$P$5:$P$2004,0))</f>
        <v/>
      </c>
    </row>
    <row r="1111" customFormat="false" ht="15" hidden="false" customHeight="false" outlineLevel="0" collapsed="false">
      <c r="A1111" s="67" t="str">
        <f aca="false">IF($K1111="","",ROW()-5)</f>
        <v/>
      </c>
      <c r="B1111" s="68" t="str">
        <f aca="false">IF($K1111="","",INDEX(Base!$E$5:$E$2004,$K1111))</f>
        <v/>
      </c>
      <c r="C1111" s="69" t="str">
        <f aca="false">IF($K1111="","",B1111)</f>
        <v/>
      </c>
      <c r="D1111" s="70" t="str">
        <f aca="false">IF($K1111="","",INDEX(Base!$F$5:$F$2004,$K1111))</f>
        <v/>
      </c>
      <c r="E1111" s="70" t="str">
        <f aca="false">IF($K1111="","",INDEX(Base!$G$5:$G$2004,$K1111))</f>
        <v/>
      </c>
      <c r="F1111" s="71" t="str">
        <f aca="false">IF($K1111="","",INDEX(Base!$H$5:$H$2004,$K1111))</f>
        <v/>
      </c>
      <c r="G1111" s="71" t="str">
        <f aca="false">IF($K1111="","",INDEX(Base!$I$5:$I$2004,$K1111))</f>
        <v/>
      </c>
      <c r="H1111" s="70" t="str">
        <f aca="false">IF($K1111="","",INDEX(Base!$J$5:$J$2004,$K1111))</f>
        <v/>
      </c>
      <c r="I1111" s="71" t="str">
        <f aca="false">IF($K1111="","",INDEX(Base!$L$5:$L$2004,$K1111))</f>
        <v/>
      </c>
      <c r="J1111" s="72" t="str">
        <f aca="false">IFERROR(SMALL(Base!$P$5:$P$2004,ROW()-5),"")</f>
        <v/>
      </c>
      <c r="K1111" s="72" t="str">
        <f aca="false">IF(J1111="","",MATCH(J1111,Base!$P$5:$P$2004,0))</f>
        <v/>
      </c>
    </row>
    <row r="1112" customFormat="false" ht="15" hidden="false" customHeight="false" outlineLevel="0" collapsed="false">
      <c r="A1112" s="67" t="str">
        <f aca="false">IF($K1112="","",ROW()-5)</f>
        <v/>
      </c>
      <c r="B1112" s="68" t="str">
        <f aca="false">IF($K1112="","",INDEX(Base!$E$5:$E$2004,$K1112))</f>
        <v/>
      </c>
      <c r="C1112" s="69" t="str">
        <f aca="false">IF($K1112="","",B1112)</f>
        <v/>
      </c>
      <c r="D1112" s="70" t="str">
        <f aca="false">IF($K1112="","",INDEX(Base!$F$5:$F$2004,$K1112))</f>
        <v/>
      </c>
      <c r="E1112" s="70" t="str">
        <f aca="false">IF($K1112="","",INDEX(Base!$G$5:$G$2004,$K1112))</f>
        <v/>
      </c>
      <c r="F1112" s="71" t="str">
        <f aca="false">IF($K1112="","",INDEX(Base!$H$5:$H$2004,$K1112))</f>
        <v/>
      </c>
      <c r="G1112" s="71" t="str">
        <f aca="false">IF($K1112="","",INDEX(Base!$I$5:$I$2004,$K1112))</f>
        <v/>
      </c>
      <c r="H1112" s="70" t="str">
        <f aca="false">IF($K1112="","",INDEX(Base!$J$5:$J$2004,$K1112))</f>
        <v/>
      </c>
      <c r="I1112" s="71" t="str">
        <f aca="false">IF($K1112="","",INDEX(Base!$L$5:$L$2004,$K1112))</f>
        <v/>
      </c>
      <c r="J1112" s="72" t="str">
        <f aca="false">IFERROR(SMALL(Base!$P$5:$P$2004,ROW()-5),"")</f>
        <v/>
      </c>
      <c r="K1112" s="72" t="str">
        <f aca="false">IF(J1112="","",MATCH(J1112,Base!$P$5:$P$2004,0))</f>
        <v/>
      </c>
    </row>
    <row r="1113" customFormat="false" ht="15" hidden="false" customHeight="false" outlineLevel="0" collapsed="false">
      <c r="A1113" s="67" t="str">
        <f aca="false">IF($K1113="","",ROW()-5)</f>
        <v/>
      </c>
      <c r="B1113" s="68" t="str">
        <f aca="false">IF($K1113="","",INDEX(Base!$E$5:$E$2004,$K1113))</f>
        <v/>
      </c>
      <c r="C1113" s="69" t="str">
        <f aca="false">IF($K1113="","",B1113)</f>
        <v/>
      </c>
      <c r="D1113" s="70" t="str">
        <f aca="false">IF($K1113="","",INDEX(Base!$F$5:$F$2004,$K1113))</f>
        <v/>
      </c>
      <c r="E1113" s="70" t="str">
        <f aca="false">IF($K1113="","",INDEX(Base!$G$5:$G$2004,$K1113))</f>
        <v/>
      </c>
      <c r="F1113" s="71" t="str">
        <f aca="false">IF($K1113="","",INDEX(Base!$H$5:$H$2004,$K1113))</f>
        <v/>
      </c>
      <c r="G1113" s="71" t="str">
        <f aca="false">IF($K1113="","",INDEX(Base!$I$5:$I$2004,$K1113))</f>
        <v/>
      </c>
      <c r="H1113" s="70" t="str">
        <f aca="false">IF($K1113="","",INDEX(Base!$J$5:$J$2004,$K1113))</f>
        <v/>
      </c>
      <c r="I1113" s="71" t="str">
        <f aca="false">IF($K1113="","",INDEX(Base!$L$5:$L$2004,$K1113))</f>
        <v/>
      </c>
      <c r="J1113" s="72" t="str">
        <f aca="false">IFERROR(SMALL(Base!$P$5:$P$2004,ROW()-5),"")</f>
        <v/>
      </c>
      <c r="K1113" s="72" t="str">
        <f aca="false">IF(J1113="","",MATCH(J1113,Base!$P$5:$P$2004,0))</f>
        <v/>
      </c>
    </row>
    <row r="1114" customFormat="false" ht="15" hidden="false" customHeight="false" outlineLevel="0" collapsed="false">
      <c r="A1114" s="67" t="str">
        <f aca="false">IF($K1114="","",ROW()-5)</f>
        <v/>
      </c>
      <c r="B1114" s="68" t="str">
        <f aca="false">IF($K1114="","",INDEX(Base!$E$5:$E$2004,$K1114))</f>
        <v/>
      </c>
      <c r="C1114" s="69" t="str">
        <f aca="false">IF($K1114="","",B1114)</f>
        <v/>
      </c>
      <c r="D1114" s="70" t="str">
        <f aca="false">IF($K1114="","",INDEX(Base!$F$5:$F$2004,$K1114))</f>
        <v/>
      </c>
      <c r="E1114" s="70" t="str">
        <f aca="false">IF($K1114="","",INDEX(Base!$G$5:$G$2004,$K1114))</f>
        <v/>
      </c>
      <c r="F1114" s="71" t="str">
        <f aca="false">IF($K1114="","",INDEX(Base!$H$5:$H$2004,$K1114))</f>
        <v/>
      </c>
      <c r="G1114" s="71" t="str">
        <f aca="false">IF($K1114="","",INDEX(Base!$I$5:$I$2004,$K1114))</f>
        <v/>
      </c>
      <c r="H1114" s="70" t="str">
        <f aca="false">IF($K1114="","",INDEX(Base!$J$5:$J$2004,$K1114))</f>
        <v/>
      </c>
      <c r="I1114" s="71" t="str">
        <f aca="false">IF($K1114="","",INDEX(Base!$L$5:$L$2004,$K1114))</f>
        <v/>
      </c>
      <c r="J1114" s="72" t="str">
        <f aca="false">IFERROR(SMALL(Base!$P$5:$P$2004,ROW()-5),"")</f>
        <v/>
      </c>
      <c r="K1114" s="72" t="str">
        <f aca="false">IF(J1114="","",MATCH(J1114,Base!$P$5:$P$2004,0))</f>
        <v/>
      </c>
    </row>
    <row r="1115" customFormat="false" ht="15" hidden="false" customHeight="false" outlineLevel="0" collapsed="false">
      <c r="A1115" s="67" t="str">
        <f aca="false">IF($K1115="","",ROW()-5)</f>
        <v/>
      </c>
      <c r="B1115" s="68" t="str">
        <f aca="false">IF($K1115="","",INDEX(Base!$E$5:$E$2004,$K1115))</f>
        <v/>
      </c>
      <c r="C1115" s="69" t="str">
        <f aca="false">IF($K1115="","",B1115)</f>
        <v/>
      </c>
      <c r="D1115" s="70" t="str">
        <f aca="false">IF($K1115="","",INDEX(Base!$F$5:$F$2004,$K1115))</f>
        <v/>
      </c>
      <c r="E1115" s="70" t="str">
        <f aca="false">IF($K1115="","",INDEX(Base!$G$5:$G$2004,$K1115))</f>
        <v/>
      </c>
      <c r="F1115" s="71" t="str">
        <f aca="false">IF($K1115="","",INDEX(Base!$H$5:$H$2004,$K1115))</f>
        <v/>
      </c>
      <c r="G1115" s="71" t="str">
        <f aca="false">IF($K1115="","",INDEX(Base!$I$5:$I$2004,$K1115))</f>
        <v/>
      </c>
      <c r="H1115" s="70" t="str">
        <f aca="false">IF($K1115="","",INDEX(Base!$J$5:$J$2004,$K1115))</f>
        <v/>
      </c>
      <c r="I1115" s="71" t="str">
        <f aca="false">IF($K1115="","",INDEX(Base!$L$5:$L$2004,$K1115))</f>
        <v/>
      </c>
      <c r="J1115" s="72" t="str">
        <f aca="false">IFERROR(SMALL(Base!$P$5:$P$2004,ROW()-5),"")</f>
        <v/>
      </c>
      <c r="K1115" s="72" t="str">
        <f aca="false">IF(J1115="","",MATCH(J1115,Base!$P$5:$P$2004,0))</f>
        <v/>
      </c>
    </row>
    <row r="1116" customFormat="false" ht="15" hidden="false" customHeight="false" outlineLevel="0" collapsed="false">
      <c r="A1116" s="67" t="str">
        <f aca="false">IF($K1116="","",ROW()-5)</f>
        <v/>
      </c>
      <c r="B1116" s="68" t="str">
        <f aca="false">IF($K1116="","",INDEX(Base!$E$5:$E$2004,$K1116))</f>
        <v/>
      </c>
      <c r="C1116" s="69" t="str">
        <f aca="false">IF($K1116="","",B1116)</f>
        <v/>
      </c>
      <c r="D1116" s="70" t="str">
        <f aca="false">IF($K1116="","",INDEX(Base!$F$5:$F$2004,$K1116))</f>
        <v/>
      </c>
      <c r="E1116" s="70" t="str">
        <f aca="false">IF($K1116="","",INDEX(Base!$G$5:$G$2004,$K1116))</f>
        <v/>
      </c>
      <c r="F1116" s="71" t="str">
        <f aca="false">IF($K1116="","",INDEX(Base!$H$5:$H$2004,$K1116))</f>
        <v/>
      </c>
      <c r="G1116" s="71" t="str">
        <f aca="false">IF($K1116="","",INDEX(Base!$I$5:$I$2004,$K1116))</f>
        <v/>
      </c>
      <c r="H1116" s="70" t="str">
        <f aca="false">IF($K1116="","",INDEX(Base!$J$5:$J$2004,$K1116))</f>
        <v/>
      </c>
      <c r="I1116" s="71" t="str">
        <f aca="false">IF($K1116="","",INDEX(Base!$L$5:$L$2004,$K1116))</f>
        <v/>
      </c>
      <c r="J1116" s="72" t="str">
        <f aca="false">IFERROR(SMALL(Base!$P$5:$P$2004,ROW()-5),"")</f>
        <v/>
      </c>
      <c r="K1116" s="72" t="str">
        <f aca="false">IF(J1116="","",MATCH(J1116,Base!$P$5:$P$2004,0))</f>
        <v/>
      </c>
    </row>
    <row r="1117" customFormat="false" ht="15" hidden="false" customHeight="false" outlineLevel="0" collapsed="false">
      <c r="A1117" s="67" t="str">
        <f aca="false">IF($K1117="","",ROW()-5)</f>
        <v/>
      </c>
      <c r="B1117" s="68" t="str">
        <f aca="false">IF($K1117="","",INDEX(Base!$E$5:$E$2004,$K1117))</f>
        <v/>
      </c>
      <c r="C1117" s="69" t="str">
        <f aca="false">IF($K1117="","",B1117)</f>
        <v/>
      </c>
      <c r="D1117" s="70" t="str">
        <f aca="false">IF($K1117="","",INDEX(Base!$F$5:$F$2004,$K1117))</f>
        <v/>
      </c>
      <c r="E1117" s="70" t="str">
        <f aca="false">IF($K1117="","",INDEX(Base!$G$5:$G$2004,$K1117))</f>
        <v/>
      </c>
      <c r="F1117" s="71" t="str">
        <f aca="false">IF($K1117="","",INDEX(Base!$H$5:$H$2004,$K1117))</f>
        <v/>
      </c>
      <c r="G1117" s="71" t="str">
        <f aca="false">IF($K1117="","",INDEX(Base!$I$5:$I$2004,$K1117))</f>
        <v/>
      </c>
      <c r="H1117" s="70" t="str">
        <f aca="false">IF($K1117="","",INDEX(Base!$J$5:$J$2004,$K1117))</f>
        <v/>
      </c>
      <c r="I1117" s="71" t="str">
        <f aca="false">IF($K1117="","",INDEX(Base!$L$5:$L$2004,$K1117))</f>
        <v/>
      </c>
      <c r="J1117" s="72" t="str">
        <f aca="false">IFERROR(SMALL(Base!$P$5:$P$2004,ROW()-5),"")</f>
        <v/>
      </c>
      <c r="K1117" s="72" t="str">
        <f aca="false">IF(J1117="","",MATCH(J1117,Base!$P$5:$P$2004,0))</f>
        <v/>
      </c>
    </row>
    <row r="1118" customFormat="false" ht="15" hidden="false" customHeight="false" outlineLevel="0" collapsed="false">
      <c r="A1118" s="67" t="str">
        <f aca="false">IF($K1118="","",ROW()-5)</f>
        <v/>
      </c>
      <c r="B1118" s="68" t="str">
        <f aca="false">IF($K1118="","",INDEX(Base!$E$5:$E$2004,$K1118))</f>
        <v/>
      </c>
      <c r="C1118" s="69" t="str">
        <f aca="false">IF($K1118="","",B1118)</f>
        <v/>
      </c>
      <c r="D1118" s="70" t="str">
        <f aca="false">IF($K1118="","",INDEX(Base!$F$5:$F$2004,$K1118))</f>
        <v/>
      </c>
      <c r="E1118" s="70" t="str">
        <f aca="false">IF($K1118="","",INDEX(Base!$G$5:$G$2004,$K1118))</f>
        <v/>
      </c>
      <c r="F1118" s="71" t="str">
        <f aca="false">IF($K1118="","",INDEX(Base!$H$5:$H$2004,$K1118))</f>
        <v/>
      </c>
      <c r="G1118" s="71" t="str">
        <f aca="false">IF($K1118="","",INDEX(Base!$I$5:$I$2004,$K1118))</f>
        <v/>
      </c>
      <c r="H1118" s="70" t="str">
        <f aca="false">IF($K1118="","",INDEX(Base!$J$5:$J$2004,$K1118))</f>
        <v/>
      </c>
      <c r="I1118" s="71" t="str">
        <f aca="false">IF($K1118="","",INDEX(Base!$L$5:$L$2004,$K1118))</f>
        <v/>
      </c>
      <c r="J1118" s="72" t="str">
        <f aca="false">IFERROR(SMALL(Base!$P$5:$P$2004,ROW()-5),"")</f>
        <v/>
      </c>
      <c r="K1118" s="72" t="str">
        <f aca="false">IF(J1118="","",MATCH(J1118,Base!$P$5:$P$2004,0))</f>
        <v/>
      </c>
    </row>
    <row r="1119" customFormat="false" ht="15" hidden="false" customHeight="false" outlineLevel="0" collapsed="false">
      <c r="A1119" s="67" t="str">
        <f aca="false">IF($K1119="","",ROW()-5)</f>
        <v/>
      </c>
      <c r="B1119" s="68" t="str">
        <f aca="false">IF($K1119="","",INDEX(Base!$E$5:$E$2004,$K1119))</f>
        <v/>
      </c>
      <c r="C1119" s="69" t="str">
        <f aca="false">IF($K1119="","",B1119)</f>
        <v/>
      </c>
      <c r="D1119" s="70" t="str">
        <f aca="false">IF($K1119="","",INDEX(Base!$F$5:$F$2004,$K1119))</f>
        <v/>
      </c>
      <c r="E1119" s="70" t="str">
        <f aca="false">IF($K1119="","",INDEX(Base!$G$5:$G$2004,$K1119))</f>
        <v/>
      </c>
      <c r="F1119" s="71" t="str">
        <f aca="false">IF($K1119="","",INDEX(Base!$H$5:$H$2004,$K1119))</f>
        <v/>
      </c>
      <c r="G1119" s="71" t="str">
        <f aca="false">IF($K1119="","",INDEX(Base!$I$5:$I$2004,$K1119))</f>
        <v/>
      </c>
      <c r="H1119" s="70" t="str">
        <f aca="false">IF($K1119="","",INDEX(Base!$J$5:$J$2004,$K1119))</f>
        <v/>
      </c>
      <c r="I1119" s="71" t="str">
        <f aca="false">IF($K1119="","",INDEX(Base!$L$5:$L$2004,$K1119))</f>
        <v/>
      </c>
      <c r="J1119" s="72" t="str">
        <f aca="false">IFERROR(SMALL(Base!$P$5:$P$2004,ROW()-5),"")</f>
        <v/>
      </c>
      <c r="K1119" s="72" t="str">
        <f aca="false">IF(J1119="","",MATCH(J1119,Base!$P$5:$P$2004,0))</f>
        <v/>
      </c>
    </row>
    <row r="1120" customFormat="false" ht="15" hidden="false" customHeight="false" outlineLevel="0" collapsed="false">
      <c r="A1120" s="67" t="str">
        <f aca="false">IF($K1120="","",ROW()-5)</f>
        <v/>
      </c>
      <c r="B1120" s="68" t="str">
        <f aca="false">IF($K1120="","",INDEX(Base!$E$5:$E$2004,$K1120))</f>
        <v/>
      </c>
      <c r="C1120" s="69" t="str">
        <f aca="false">IF($K1120="","",B1120)</f>
        <v/>
      </c>
      <c r="D1120" s="70" t="str">
        <f aca="false">IF($K1120="","",INDEX(Base!$F$5:$F$2004,$K1120))</f>
        <v/>
      </c>
      <c r="E1120" s="70" t="str">
        <f aca="false">IF($K1120="","",INDEX(Base!$G$5:$G$2004,$K1120))</f>
        <v/>
      </c>
      <c r="F1120" s="71" t="str">
        <f aca="false">IF($K1120="","",INDEX(Base!$H$5:$H$2004,$K1120))</f>
        <v/>
      </c>
      <c r="G1120" s="71" t="str">
        <f aca="false">IF($K1120="","",INDEX(Base!$I$5:$I$2004,$K1120))</f>
        <v/>
      </c>
      <c r="H1120" s="70" t="str">
        <f aca="false">IF($K1120="","",INDEX(Base!$J$5:$J$2004,$K1120))</f>
        <v/>
      </c>
      <c r="I1120" s="71" t="str">
        <f aca="false">IF($K1120="","",INDEX(Base!$L$5:$L$2004,$K1120))</f>
        <v/>
      </c>
      <c r="J1120" s="72" t="str">
        <f aca="false">IFERROR(SMALL(Base!$P$5:$P$2004,ROW()-5),"")</f>
        <v/>
      </c>
      <c r="K1120" s="72" t="str">
        <f aca="false">IF(J1120="","",MATCH(J1120,Base!$P$5:$P$2004,0))</f>
        <v/>
      </c>
    </row>
    <row r="1121" customFormat="false" ht="15" hidden="false" customHeight="false" outlineLevel="0" collapsed="false">
      <c r="A1121" s="67" t="str">
        <f aca="false">IF($K1121="","",ROW()-5)</f>
        <v/>
      </c>
      <c r="B1121" s="68" t="str">
        <f aca="false">IF($K1121="","",INDEX(Base!$E$5:$E$2004,$K1121))</f>
        <v/>
      </c>
      <c r="C1121" s="69" t="str">
        <f aca="false">IF($K1121="","",B1121)</f>
        <v/>
      </c>
      <c r="D1121" s="70" t="str">
        <f aca="false">IF($K1121="","",INDEX(Base!$F$5:$F$2004,$K1121))</f>
        <v/>
      </c>
      <c r="E1121" s="70" t="str">
        <f aca="false">IF($K1121="","",INDEX(Base!$G$5:$G$2004,$K1121))</f>
        <v/>
      </c>
      <c r="F1121" s="71" t="str">
        <f aca="false">IF($K1121="","",INDEX(Base!$H$5:$H$2004,$K1121))</f>
        <v/>
      </c>
      <c r="G1121" s="71" t="str">
        <f aca="false">IF($K1121="","",INDEX(Base!$I$5:$I$2004,$K1121))</f>
        <v/>
      </c>
      <c r="H1121" s="70" t="str">
        <f aca="false">IF($K1121="","",INDEX(Base!$J$5:$J$2004,$K1121))</f>
        <v/>
      </c>
      <c r="I1121" s="71" t="str">
        <f aca="false">IF($K1121="","",INDEX(Base!$L$5:$L$2004,$K1121))</f>
        <v/>
      </c>
      <c r="J1121" s="72" t="str">
        <f aca="false">IFERROR(SMALL(Base!$P$5:$P$2004,ROW()-5),"")</f>
        <v/>
      </c>
      <c r="K1121" s="72" t="str">
        <f aca="false">IF(J1121="","",MATCH(J1121,Base!$P$5:$P$2004,0))</f>
        <v/>
      </c>
    </row>
    <row r="1122" customFormat="false" ht="15" hidden="false" customHeight="false" outlineLevel="0" collapsed="false">
      <c r="A1122" s="67" t="str">
        <f aca="false">IF($K1122="","",ROW()-5)</f>
        <v/>
      </c>
      <c r="B1122" s="68" t="str">
        <f aca="false">IF($K1122="","",INDEX(Base!$E$5:$E$2004,$K1122))</f>
        <v/>
      </c>
      <c r="C1122" s="69" t="str">
        <f aca="false">IF($K1122="","",B1122)</f>
        <v/>
      </c>
      <c r="D1122" s="70" t="str">
        <f aca="false">IF($K1122="","",INDEX(Base!$F$5:$F$2004,$K1122))</f>
        <v/>
      </c>
      <c r="E1122" s="70" t="str">
        <f aca="false">IF($K1122="","",INDEX(Base!$G$5:$G$2004,$K1122))</f>
        <v/>
      </c>
      <c r="F1122" s="71" t="str">
        <f aca="false">IF($K1122="","",INDEX(Base!$H$5:$H$2004,$K1122))</f>
        <v/>
      </c>
      <c r="G1122" s="71" t="str">
        <f aca="false">IF($K1122="","",INDEX(Base!$I$5:$I$2004,$K1122))</f>
        <v/>
      </c>
      <c r="H1122" s="70" t="str">
        <f aca="false">IF($K1122="","",INDEX(Base!$J$5:$J$2004,$K1122))</f>
        <v/>
      </c>
      <c r="I1122" s="71" t="str">
        <f aca="false">IF($K1122="","",INDEX(Base!$L$5:$L$2004,$K1122))</f>
        <v/>
      </c>
      <c r="J1122" s="72" t="str">
        <f aca="false">IFERROR(SMALL(Base!$P$5:$P$2004,ROW()-5),"")</f>
        <v/>
      </c>
      <c r="K1122" s="72" t="str">
        <f aca="false">IF(J1122="","",MATCH(J1122,Base!$P$5:$P$2004,0))</f>
        <v/>
      </c>
    </row>
    <row r="1123" customFormat="false" ht="15" hidden="false" customHeight="false" outlineLevel="0" collapsed="false">
      <c r="A1123" s="67" t="str">
        <f aca="false">IF($K1123="","",ROW()-5)</f>
        <v/>
      </c>
      <c r="B1123" s="68" t="str">
        <f aca="false">IF($K1123="","",INDEX(Base!$E$5:$E$2004,$K1123))</f>
        <v/>
      </c>
      <c r="C1123" s="69" t="str">
        <f aca="false">IF($K1123="","",B1123)</f>
        <v/>
      </c>
      <c r="D1123" s="70" t="str">
        <f aca="false">IF($K1123="","",INDEX(Base!$F$5:$F$2004,$K1123))</f>
        <v/>
      </c>
      <c r="E1123" s="70" t="str">
        <f aca="false">IF($K1123="","",INDEX(Base!$G$5:$G$2004,$K1123))</f>
        <v/>
      </c>
      <c r="F1123" s="71" t="str">
        <f aca="false">IF($K1123="","",INDEX(Base!$H$5:$H$2004,$K1123))</f>
        <v/>
      </c>
      <c r="G1123" s="71" t="str">
        <f aca="false">IF($K1123="","",INDEX(Base!$I$5:$I$2004,$K1123))</f>
        <v/>
      </c>
      <c r="H1123" s="70" t="str">
        <f aca="false">IF($K1123="","",INDEX(Base!$J$5:$J$2004,$K1123))</f>
        <v/>
      </c>
      <c r="I1123" s="71" t="str">
        <f aca="false">IF($K1123="","",INDEX(Base!$L$5:$L$2004,$K1123))</f>
        <v/>
      </c>
      <c r="J1123" s="72" t="str">
        <f aca="false">IFERROR(SMALL(Base!$P$5:$P$2004,ROW()-5),"")</f>
        <v/>
      </c>
      <c r="K1123" s="72" t="str">
        <f aca="false">IF(J1123="","",MATCH(J1123,Base!$P$5:$P$2004,0))</f>
        <v/>
      </c>
    </row>
    <row r="1124" customFormat="false" ht="15" hidden="false" customHeight="false" outlineLevel="0" collapsed="false">
      <c r="A1124" s="67" t="str">
        <f aca="false">IF($K1124="","",ROW()-5)</f>
        <v/>
      </c>
      <c r="B1124" s="68" t="str">
        <f aca="false">IF($K1124="","",INDEX(Base!$E$5:$E$2004,$K1124))</f>
        <v/>
      </c>
      <c r="C1124" s="69" t="str">
        <f aca="false">IF($K1124="","",B1124)</f>
        <v/>
      </c>
      <c r="D1124" s="70" t="str">
        <f aca="false">IF($K1124="","",INDEX(Base!$F$5:$F$2004,$K1124))</f>
        <v/>
      </c>
      <c r="E1124" s="70" t="str">
        <f aca="false">IF($K1124="","",INDEX(Base!$G$5:$G$2004,$K1124))</f>
        <v/>
      </c>
      <c r="F1124" s="71" t="str">
        <f aca="false">IF($K1124="","",INDEX(Base!$H$5:$H$2004,$K1124))</f>
        <v/>
      </c>
      <c r="G1124" s="71" t="str">
        <f aca="false">IF($K1124="","",INDEX(Base!$I$5:$I$2004,$K1124))</f>
        <v/>
      </c>
      <c r="H1124" s="70" t="str">
        <f aca="false">IF($K1124="","",INDEX(Base!$J$5:$J$2004,$K1124))</f>
        <v/>
      </c>
      <c r="I1124" s="71" t="str">
        <f aca="false">IF($K1124="","",INDEX(Base!$L$5:$L$2004,$K1124))</f>
        <v/>
      </c>
      <c r="J1124" s="72" t="str">
        <f aca="false">IFERROR(SMALL(Base!$P$5:$P$2004,ROW()-5),"")</f>
        <v/>
      </c>
      <c r="K1124" s="72" t="str">
        <f aca="false">IF(J1124="","",MATCH(J1124,Base!$P$5:$P$2004,0))</f>
        <v/>
      </c>
    </row>
    <row r="1125" customFormat="false" ht="15" hidden="false" customHeight="false" outlineLevel="0" collapsed="false">
      <c r="A1125" s="67" t="str">
        <f aca="false">IF($K1125="","",ROW()-5)</f>
        <v/>
      </c>
      <c r="B1125" s="68" t="str">
        <f aca="false">IF($K1125="","",INDEX(Base!$E$5:$E$2004,$K1125))</f>
        <v/>
      </c>
      <c r="C1125" s="69" t="str">
        <f aca="false">IF($K1125="","",B1125)</f>
        <v/>
      </c>
      <c r="D1125" s="70" t="str">
        <f aca="false">IF($K1125="","",INDEX(Base!$F$5:$F$2004,$K1125))</f>
        <v/>
      </c>
      <c r="E1125" s="70" t="str">
        <f aca="false">IF($K1125="","",INDEX(Base!$G$5:$G$2004,$K1125))</f>
        <v/>
      </c>
      <c r="F1125" s="71" t="str">
        <f aca="false">IF($K1125="","",INDEX(Base!$H$5:$H$2004,$K1125))</f>
        <v/>
      </c>
      <c r="G1125" s="71" t="str">
        <f aca="false">IF($K1125="","",INDEX(Base!$I$5:$I$2004,$K1125))</f>
        <v/>
      </c>
      <c r="H1125" s="70" t="str">
        <f aca="false">IF($K1125="","",INDEX(Base!$J$5:$J$2004,$K1125))</f>
        <v/>
      </c>
      <c r="I1125" s="71" t="str">
        <f aca="false">IF($K1125="","",INDEX(Base!$L$5:$L$2004,$K1125))</f>
        <v/>
      </c>
      <c r="J1125" s="72" t="str">
        <f aca="false">IFERROR(SMALL(Base!$P$5:$P$2004,ROW()-5),"")</f>
        <v/>
      </c>
      <c r="K1125" s="72" t="str">
        <f aca="false">IF(J1125="","",MATCH(J1125,Base!$P$5:$P$2004,0))</f>
        <v/>
      </c>
    </row>
    <row r="1126" customFormat="false" ht="15" hidden="false" customHeight="false" outlineLevel="0" collapsed="false">
      <c r="A1126" s="67" t="str">
        <f aca="false">IF($K1126="","",ROW()-5)</f>
        <v/>
      </c>
      <c r="B1126" s="68" t="str">
        <f aca="false">IF($K1126="","",INDEX(Base!$E$5:$E$2004,$K1126))</f>
        <v/>
      </c>
      <c r="C1126" s="69" t="str">
        <f aca="false">IF($K1126="","",B1126)</f>
        <v/>
      </c>
      <c r="D1126" s="70" t="str">
        <f aca="false">IF($K1126="","",INDEX(Base!$F$5:$F$2004,$K1126))</f>
        <v/>
      </c>
      <c r="E1126" s="70" t="str">
        <f aca="false">IF($K1126="","",INDEX(Base!$G$5:$G$2004,$K1126))</f>
        <v/>
      </c>
      <c r="F1126" s="71" t="str">
        <f aca="false">IF($K1126="","",INDEX(Base!$H$5:$H$2004,$K1126))</f>
        <v/>
      </c>
      <c r="G1126" s="71" t="str">
        <f aca="false">IF($K1126="","",INDEX(Base!$I$5:$I$2004,$K1126))</f>
        <v/>
      </c>
      <c r="H1126" s="70" t="str">
        <f aca="false">IF($K1126="","",INDEX(Base!$J$5:$J$2004,$K1126))</f>
        <v/>
      </c>
      <c r="I1126" s="71" t="str">
        <f aca="false">IF($K1126="","",INDEX(Base!$L$5:$L$2004,$K1126))</f>
        <v/>
      </c>
      <c r="J1126" s="72" t="str">
        <f aca="false">IFERROR(SMALL(Base!$P$5:$P$2004,ROW()-5),"")</f>
        <v/>
      </c>
      <c r="K1126" s="72" t="str">
        <f aca="false">IF(J1126="","",MATCH(J1126,Base!$P$5:$P$2004,0))</f>
        <v/>
      </c>
    </row>
    <row r="1127" customFormat="false" ht="15" hidden="false" customHeight="false" outlineLevel="0" collapsed="false">
      <c r="A1127" s="67" t="str">
        <f aca="false">IF($K1127="","",ROW()-5)</f>
        <v/>
      </c>
      <c r="B1127" s="68" t="str">
        <f aca="false">IF($K1127="","",INDEX(Base!$E$5:$E$2004,$K1127))</f>
        <v/>
      </c>
      <c r="C1127" s="69" t="str">
        <f aca="false">IF($K1127="","",B1127)</f>
        <v/>
      </c>
      <c r="D1127" s="70" t="str">
        <f aca="false">IF($K1127="","",INDEX(Base!$F$5:$F$2004,$K1127))</f>
        <v/>
      </c>
      <c r="E1127" s="70" t="str">
        <f aca="false">IF($K1127="","",INDEX(Base!$G$5:$G$2004,$K1127))</f>
        <v/>
      </c>
      <c r="F1127" s="71" t="str">
        <f aca="false">IF($K1127="","",INDEX(Base!$H$5:$H$2004,$K1127))</f>
        <v/>
      </c>
      <c r="G1127" s="71" t="str">
        <f aca="false">IF($K1127="","",INDEX(Base!$I$5:$I$2004,$K1127))</f>
        <v/>
      </c>
      <c r="H1127" s="70" t="str">
        <f aca="false">IF($K1127="","",INDEX(Base!$J$5:$J$2004,$K1127))</f>
        <v/>
      </c>
      <c r="I1127" s="71" t="str">
        <f aca="false">IF($K1127="","",INDEX(Base!$L$5:$L$2004,$K1127))</f>
        <v/>
      </c>
      <c r="J1127" s="72" t="str">
        <f aca="false">IFERROR(SMALL(Base!$P$5:$P$2004,ROW()-5),"")</f>
        <v/>
      </c>
      <c r="K1127" s="72" t="str">
        <f aca="false">IF(J1127="","",MATCH(J1127,Base!$P$5:$P$2004,0))</f>
        <v/>
      </c>
    </row>
    <row r="1128" customFormat="false" ht="15" hidden="false" customHeight="false" outlineLevel="0" collapsed="false">
      <c r="A1128" s="67" t="str">
        <f aca="false">IF($K1128="","",ROW()-5)</f>
        <v/>
      </c>
      <c r="B1128" s="68" t="str">
        <f aca="false">IF($K1128="","",INDEX(Base!$E$5:$E$2004,$K1128))</f>
        <v/>
      </c>
      <c r="C1128" s="69" t="str">
        <f aca="false">IF($K1128="","",B1128)</f>
        <v/>
      </c>
      <c r="D1128" s="70" t="str">
        <f aca="false">IF($K1128="","",INDEX(Base!$F$5:$F$2004,$K1128))</f>
        <v/>
      </c>
      <c r="E1128" s="70" t="str">
        <f aca="false">IF($K1128="","",INDEX(Base!$G$5:$G$2004,$K1128))</f>
        <v/>
      </c>
      <c r="F1128" s="71" t="str">
        <f aca="false">IF($K1128="","",INDEX(Base!$H$5:$H$2004,$K1128))</f>
        <v/>
      </c>
      <c r="G1128" s="71" t="str">
        <f aca="false">IF($K1128="","",INDEX(Base!$I$5:$I$2004,$K1128))</f>
        <v/>
      </c>
      <c r="H1128" s="70" t="str">
        <f aca="false">IF($K1128="","",INDEX(Base!$J$5:$J$2004,$K1128))</f>
        <v/>
      </c>
      <c r="I1128" s="71" t="str">
        <f aca="false">IF($K1128="","",INDEX(Base!$L$5:$L$2004,$K1128))</f>
        <v/>
      </c>
      <c r="J1128" s="72" t="str">
        <f aca="false">IFERROR(SMALL(Base!$P$5:$P$2004,ROW()-5),"")</f>
        <v/>
      </c>
      <c r="K1128" s="72" t="str">
        <f aca="false">IF(J1128="","",MATCH(J1128,Base!$P$5:$P$2004,0))</f>
        <v/>
      </c>
    </row>
    <row r="1129" customFormat="false" ht="15" hidden="false" customHeight="false" outlineLevel="0" collapsed="false">
      <c r="A1129" s="67" t="str">
        <f aca="false">IF($K1129="","",ROW()-5)</f>
        <v/>
      </c>
      <c r="B1129" s="68" t="str">
        <f aca="false">IF($K1129="","",INDEX(Base!$E$5:$E$2004,$K1129))</f>
        <v/>
      </c>
      <c r="C1129" s="69" t="str">
        <f aca="false">IF($K1129="","",B1129)</f>
        <v/>
      </c>
      <c r="D1129" s="70" t="str">
        <f aca="false">IF($K1129="","",INDEX(Base!$F$5:$F$2004,$K1129))</f>
        <v/>
      </c>
      <c r="E1129" s="70" t="str">
        <f aca="false">IF($K1129="","",INDEX(Base!$G$5:$G$2004,$K1129))</f>
        <v/>
      </c>
      <c r="F1129" s="71" t="str">
        <f aca="false">IF($K1129="","",INDEX(Base!$H$5:$H$2004,$K1129))</f>
        <v/>
      </c>
      <c r="G1129" s="71" t="str">
        <f aca="false">IF($K1129="","",INDEX(Base!$I$5:$I$2004,$K1129))</f>
        <v/>
      </c>
      <c r="H1129" s="70" t="str">
        <f aca="false">IF($K1129="","",INDEX(Base!$J$5:$J$2004,$K1129))</f>
        <v/>
      </c>
      <c r="I1129" s="71" t="str">
        <f aca="false">IF($K1129="","",INDEX(Base!$L$5:$L$2004,$K1129))</f>
        <v/>
      </c>
      <c r="J1129" s="72" t="str">
        <f aca="false">IFERROR(SMALL(Base!$P$5:$P$2004,ROW()-5),"")</f>
        <v/>
      </c>
      <c r="K1129" s="72" t="str">
        <f aca="false">IF(J1129="","",MATCH(J1129,Base!$P$5:$P$2004,0))</f>
        <v/>
      </c>
    </row>
    <row r="1130" customFormat="false" ht="15" hidden="false" customHeight="false" outlineLevel="0" collapsed="false">
      <c r="A1130" s="67" t="str">
        <f aca="false">IF($K1130="","",ROW()-5)</f>
        <v/>
      </c>
      <c r="B1130" s="68" t="str">
        <f aca="false">IF($K1130="","",INDEX(Base!$E$5:$E$2004,$K1130))</f>
        <v/>
      </c>
      <c r="C1130" s="69" t="str">
        <f aca="false">IF($K1130="","",B1130)</f>
        <v/>
      </c>
      <c r="D1130" s="70" t="str">
        <f aca="false">IF($K1130="","",INDEX(Base!$F$5:$F$2004,$K1130))</f>
        <v/>
      </c>
      <c r="E1130" s="70" t="str">
        <f aca="false">IF($K1130="","",INDEX(Base!$G$5:$G$2004,$K1130))</f>
        <v/>
      </c>
      <c r="F1130" s="71" t="str">
        <f aca="false">IF($K1130="","",INDEX(Base!$H$5:$H$2004,$K1130))</f>
        <v/>
      </c>
      <c r="G1130" s="71" t="str">
        <f aca="false">IF($K1130="","",INDEX(Base!$I$5:$I$2004,$K1130))</f>
        <v/>
      </c>
      <c r="H1130" s="70" t="str">
        <f aca="false">IF($K1130="","",INDEX(Base!$J$5:$J$2004,$K1130))</f>
        <v/>
      </c>
      <c r="I1130" s="71" t="str">
        <f aca="false">IF($K1130="","",INDEX(Base!$L$5:$L$2004,$K1130))</f>
        <v/>
      </c>
      <c r="J1130" s="72" t="str">
        <f aca="false">IFERROR(SMALL(Base!$P$5:$P$2004,ROW()-5),"")</f>
        <v/>
      </c>
      <c r="K1130" s="72" t="str">
        <f aca="false">IF(J1130="","",MATCH(J1130,Base!$P$5:$P$2004,0))</f>
        <v/>
      </c>
    </row>
    <row r="1131" customFormat="false" ht="15" hidden="false" customHeight="false" outlineLevel="0" collapsed="false">
      <c r="A1131" s="67" t="str">
        <f aca="false">IF($K1131="","",ROW()-5)</f>
        <v/>
      </c>
      <c r="B1131" s="68" t="str">
        <f aca="false">IF($K1131="","",INDEX(Base!$E$5:$E$2004,$K1131))</f>
        <v/>
      </c>
      <c r="C1131" s="69" t="str">
        <f aca="false">IF($K1131="","",B1131)</f>
        <v/>
      </c>
      <c r="D1131" s="70" t="str">
        <f aca="false">IF($K1131="","",INDEX(Base!$F$5:$F$2004,$K1131))</f>
        <v/>
      </c>
      <c r="E1131" s="70" t="str">
        <f aca="false">IF($K1131="","",INDEX(Base!$G$5:$G$2004,$K1131))</f>
        <v/>
      </c>
      <c r="F1131" s="71" t="str">
        <f aca="false">IF($K1131="","",INDEX(Base!$H$5:$H$2004,$K1131))</f>
        <v/>
      </c>
      <c r="G1131" s="71" t="str">
        <f aca="false">IF($K1131="","",INDEX(Base!$I$5:$I$2004,$K1131))</f>
        <v/>
      </c>
      <c r="H1131" s="70" t="str">
        <f aca="false">IF($K1131="","",INDEX(Base!$J$5:$J$2004,$K1131))</f>
        <v/>
      </c>
      <c r="I1131" s="71" t="str">
        <f aca="false">IF($K1131="","",INDEX(Base!$L$5:$L$2004,$K1131))</f>
        <v/>
      </c>
      <c r="J1131" s="72" t="str">
        <f aca="false">IFERROR(SMALL(Base!$P$5:$P$2004,ROW()-5),"")</f>
        <v/>
      </c>
      <c r="K1131" s="72" t="str">
        <f aca="false">IF(J1131="","",MATCH(J1131,Base!$P$5:$P$2004,0))</f>
        <v/>
      </c>
    </row>
    <row r="1132" customFormat="false" ht="15" hidden="false" customHeight="false" outlineLevel="0" collapsed="false">
      <c r="A1132" s="67" t="str">
        <f aca="false">IF($K1132="","",ROW()-5)</f>
        <v/>
      </c>
      <c r="B1132" s="68" t="str">
        <f aca="false">IF($K1132="","",INDEX(Base!$E$5:$E$2004,$K1132))</f>
        <v/>
      </c>
      <c r="C1132" s="69" t="str">
        <f aca="false">IF($K1132="","",B1132)</f>
        <v/>
      </c>
      <c r="D1132" s="70" t="str">
        <f aca="false">IF($K1132="","",INDEX(Base!$F$5:$F$2004,$K1132))</f>
        <v/>
      </c>
      <c r="E1132" s="70" t="str">
        <f aca="false">IF($K1132="","",INDEX(Base!$G$5:$G$2004,$K1132))</f>
        <v/>
      </c>
      <c r="F1132" s="71" t="str">
        <f aca="false">IF($K1132="","",INDEX(Base!$H$5:$H$2004,$K1132))</f>
        <v/>
      </c>
      <c r="G1132" s="71" t="str">
        <f aca="false">IF($K1132="","",INDEX(Base!$I$5:$I$2004,$K1132))</f>
        <v/>
      </c>
      <c r="H1132" s="70" t="str">
        <f aca="false">IF($K1132="","",INDEX(Base!$J$5:$J$2004,$K1132))</f>
        <v/>
      </c>
      <c r="I1132" s="71" t="str">
        <f aca="false">IF($K1132="","",INDEX(Base!$L$5:$L$2004,$K1132))</f>
        <v/>
      </c>
      <c r="J1132" s="72" t="str">
        <f aca="false">IFERROR(SMALL(Base!$P$5:$P$2004,ROW()-5),"")</f>
        <v/>
      </c>
      <c r="K1132" s="72" t="str">
        <f aca="false">IF(J1132="","",MATCH(J1132,Base!$P$5:$P$2004,0))</f>
        <v/>
      </c>
    </row>
    <row r="1133" customFormat="false" ht="15" hidden="false" customHeight="false" outlineLevel="0" collapsed="false">
      <c r="A1133" s="67" t="str">
        <f aca="false">IF($K1133="","",ROW()-5)</f>
        <v/>
      </c>
      <c r="B1133" s="68" t="str">
        <f aca="false">IF($K1133="","",INDEX(Base!$E$5:$E$2004,$K1133))</f>
        <v/>
      </c>
      <c r="C1133" s="69" t="str">
        <f aca="false">IF($K1133="","",B1133)</f>
        <v/>
      </c>
      <c r="D1133" s="70" t="str">
        <f aca="false">IF($K1133="","",INDEX(Base!$F$5:$F$2004,$K1133))</f>
        <v/>
      </c>
      <c r="E1133" s="70" t="str">
        <f aca="false">IF($K1133="","",INDEX(Base!$G$5:$G$2004,$K1133))</f>
        <v/>
      </c>
      <c r="F1133" s="71" t="str">
        <f aca="false">IF($K1133="","",INDEX(Base!$H$5:$H$2004,$K1133))</f>
        <v/>
      </c>
      <c r="G1133" s="71" t="str">
        <f aca="false">IF($K1133="","",INDEX(Base!$I$5:$I$2004,$K1133))</f>
        <v/>
      </c>
      <c r="H1133" s="70" t="str">
        <f aca="false">IF($K1133="","",INDEX(Base!$J$5:$J$2004,$K1133))</f>
        <v/>
      </c>
      <c r="I1133" s="71" t="str">
        <f aca="false">IF($K1133="","",INDEX(Base!$L$5:$L$2004,$K1133))</f>
        <v/>
      </c>
      <c r="J1133" s="72" t="str">
        <f aca="false">IFERROR(SMALL(Base!$P$5:$P$2004,ROW()-5),"")</f>
        <v/>
      </c>
      <c r="K1133" s="72" t="str">
        <f aca="false">IF(J1133="","",MATCH(J1133,Base!$P$5:$P$2004,0))</f>
        <v/>
      </c>
    </row>
    <row r="1134" customFormat="false" ht="15" hidden="false" customHeight="false" outlineLevel="0" collapsed="false">
      <c r="A1134" s="67" t="str">
        <f aca="false">IF($K1134="","",ROW()-5)</f>
        <v/>
      </c>
      <c r="B1134" s="68" t="str">
        <f aca="false">IF($K1134="","",INDEX(Base!$E$5:$E$2004,$K1134))</f>
        <v/>
      </c>
      <c r="C1134" s="69" t="str">
        <f aca="false">IF($K1134="","",B1134)</f>
        <v/>
      </c>
      <c r="D1134" s="70" t="str">
        <f aca="false">IF($K1134="","",INDEX(Base!$F$5:$F$2004,$K1134))</f>
        <v/>
      </c>
      <c r="E1134" s="70" t="str">
        <f aca="false">IF($K1134="","",INDEX(Base!$G$5:$G$2004,$K1134))</f>
        <v/>
      </c>
      <c r="F1134" s="71" t="str">
        <f aca="false">IF($K1134="","",INDEX(Base!$H$5:$H$2004,$K1134))</f>
        <v/>
      </c>
      <c r="G1134" s="71" t="str">
        <f aca="false">IF($K1134="","",INDEX(Base!$I$5:$I$2004,$K1134))</f>
        <v/>
      </c>
      <c r="H1134" s="70" t="str">
        <f aca="false">IF($K1134="","",INDEX(Base!$J$5:$J$2004,$K1134))</f>
        <v/>
      </c>
      <c r="I1134" s="71" t="str">
        <f aca="false">IF($K1134="","",INDEX(Base!$L$5:$L$2004,$K1134))</f>
        <v/>
      </c>
      <c r="J1134" s="72" t="str">
        <f aca="false">IFERROR(SMALL(Base!$P$5:$P$2004,ROW()-5),"")</f>
        <v/>
      </c>
      <c r="K1134" s="72" t="str">
        <f aca="false">IF(J1134="","",MATCH(J1134,Base!$P$5:$P$2004,0))</f>
        <v/>
      </c>
    </row>
    <row r="1135" customFormat="false" ht="15" hidden="false" customHeight="false" outlineLevel="0" collapsed="false">
      <c r="A1135" s="67" t="str">
        <f aca="false">IF($K1135="","",ROW()-5)</f>
        <v/>
      </c>
      <c r="B1135" s="68" t="str">
        <f aca="false">IF($K1135="","",INDEX(Base!$E$5:$E$2004,$K1135))</f>
        <v/>
      </c>
      <c r="C1135" s="69" t="str">
        <f aca="false">IF($K1135="","",B1135)</f>
        <v/>
      </c>
      <c r="D1135" s="70" t="str">
        <f aca="false">IF($K1135="","",INDEX(Base!$F$5:$F$2004,$K1135))</f>
        <v/>
      </c>
      <c r="E1135" s="70" t="str">
        <f aca="false">IF($K1135="","",INDEX(Base!$G$5:$G$2004,$K1135))</f>
        <v/>
      </c>
      <c r="F1135" s="71" t="str">
        <f aca="false">IF($K1135="","",INDEX(Base!$H$5:$H$2004,$K1135))</f>
        <v/>
      </c>
      <c r="G1135" s="71" t="str">
        <f aca="false">IF($K1135="","",INDEX(Base!$I$5:$I$2004,$K1135))</f>
        <v/>
      </c>
      <c r="H1135" s="70" t="str">
        <f aca="false">IF($K1135="","",INDEX(Base!$J$5:$J$2004,$K1135))</f>
        <v/>
      </c>
      <c r="I1135" s="71" t="str">
        <f aca="false">IF($K1135="","",INDEX(Base!$L$5:$L$2004,$K1135))</f>
        <v/>
      </c>
      <c r="J1135" s="72" t="str">
        <f aca="false">IFERROR(SMALL(Base!$P$5:$P$2004,ROW()-5),"")</f>
        <v/>
      </c>
      <c r="K1135" s="72" t="str">
        <f aca="false">IF(J1135="","",MATCH(J1135,Base!$P$5:$P$2004,0))</f>
        <v/>
      </c>
    </row>
    <row r="1136" customFormat="false" ht="15" hidden="false" customHeight="false" outlineLevel="0" collapsed="false">
      <c r="A1136" s="67" t="str">
        <f aca="false">IF($K1136="","",ROW()-5)</f>
        <v/>
      </c>
      <c r="B1136" s="68" t="str">
        <f aca="false">IF($K1136="","",INDEX(Base!$E$5:$E$2004,$K1136))</f>
        <v/>
      </c>
      <c r="C1136" s="69" t="str">
        <f aca="false">IF($K1136="","",B1136)</f>
        <v/>
      </c>
      <c r="D1136" s="70" t="str">
        <f aca="false">IF($K1136="","",INDEX(Base!$F$5:$F$2004,$K1136))</f>
        <v/>
      </c>
      <c r="E1136" s="70" t="str">
        <f aca="false">IF($K1136="","",INDEX(Base!$G$5:$G$2004,$K1136))</f>
        <v/>
      </c>
      <c r="F1136" s="71" t="str">
        <f aca="false">IF($K1136="","",INDEX(Base!$H$5:$H$2004,$K1136))</f>
        <v/>
      </c>
      <c r="G1136" s="71" t="str">
        <f aca="false">IF($K1136="","",INDEX(Base!$I$5:$I$2004,$K1136))</f>
        <v/>
      </c>
      <c r="H1136" s="70" t="str">
        <f aca="false">IF($K1136="","",INDEX(Base!$J$5:$J$2004,$K1136))</f>
        <v/>
      </c>
      <c r="I1136" s="71" t="str">
        <f aca="false">IF($K1136="","",INDEX(Base!$L$5:$L$2004,$K1136))</f>
        <v/>
      </c>
      <c r="J1136" s="72" t="str">
        <f aca="false">IFERROR(SMALL(Base!$P$5:$P$2004,ROW()-5),"")</f>
        <v/>
      </c>
      <c r="K1136" s="72" t="str">
        <f aca="false">IF(J1136="","",MATCH(J1136,Base!$P$5:$P$2004,0))</f>
        <v/>
      </c>
    </row>
    <row r="1137" customFormat="false" ht="15" hidden="false" customHeight="false" outlineLevel="0" collapsed="false">
      <c r="A1137" s="67" t="str">
        <f aca="false">IF($K1137="","",ROW()-5)</f>
        <v/>
      </c>
      <c r="B1137" s="68" t="str">
        <f aca="false">IF($K1137="","",INDEX(Base!$E$5:$E$2004,$K1137))</f>
        <v/>
      </c>
      <c r="C1137" s="69" t="str">
        <f aca="false">IF($K1137="","",B1137)</f>
        <v/>
      </c>
      <c r="D1137" s="70" t="str">
        <f aca="false">IF($K1137="","",INDEX(Base!$F$5:$F$2004,$K1137))</f>
        <v/>
      </c>
      <c r="E1137" s="70" t="str">
        <f aca="false">IF($K1137="","",INDEX(Base!$G$5:$G$2004,$K1137))</f>
        <v/>
      </c>
      <c r="F1137" s="71" t="str">
        <f aca="false">IF($K1137="","",INDEX(Base!$H$5:$H$2004,$K1137))</f>
        <v/>
      </c>
      <c r="G1137" s="71" t="str">
        <f aca="false">IF($K1137="","",INDEX(Base!$I$5:$I$2004,$K1137))</f>
        <v/>
      </c>
      <c r="H1137" s="70" t="str">
        <f aca="false">IF($K1137="","",INDEX(Base!$J$5:$J$2004,$K1137))</f>
        <v/>
      </c>
      <c r="I1137" s="71" t="str">
        <f aca="false">IF($K1137="","",INDEX(Base!$L$5:$L$2004,$K1137))</f>
        <v/>
      </c>
      <c r="J1137" s="72" t="str">
        <f aca="false">IFERROR(SMALL(Base!$P$5:$P$2004,ROW()-5),"")</f>
        <v/>
      </c>
      <c r="K1137" s="72" t="str">
        <f aca="false">IF(J1137="","",MATCH(J1137,Base!$P$5:$P$2004,0))</f>
        <v/>
      </c>
    </row>
    <row r="1138" customFormat="false" ht="15" hidden="false" customHeight="false" outlineLevel="0" collapsed="false">
      <c r="A1138" s="67" t="str">
        <f aca="false">IF($K1138="","",ROW()-5)</f>
        <v/>
      </c>
      <c r="B1138" s="68" t="str">
        <f aca="false">IF($K1138="","",INDEX(Base!$E$5:$E$2004,$K1138))</f>
        <v/>
      </c>
      <c r="C1138" s="69" t="str">
        <f aca="false">IF($K1138="","",B1138)</f>
        <v/>
      </c>
      <c r="D1138" s="70" t="str">
        <f aca="false">IF($K1138="","",INDEX(Base!$F$5:$F$2004,$K1138))</f>
        <v/>
      </c>
      <c r="E1138" s="70" t="str">
        <f aca="false">IF($K1138="","",INDEX(Base!$G$5:$G$2004,$K1138))</f>
        <v/>
      </c>
      <c r="F1138" s="71" t="str">
        <f aca="false">IF($K1138="","",INDEX(Base!$H$5:$H$2004,$K1138))</f>
        <v/>
      </c>
      <c r="G1138" s="71" t="str">
        <f aca="false">IF($K1138="","",INDEX(Base!$I$5:$I$2004,$K1138))</f>
        <v/>
      </c>
      <c r="H1138" s="70" t="str">
        <f aca="false">IF($K1138="","",INDEX(Base!$J$5:$J$2004,$K1138))</f>
        <v/>
      </c>
      <c r="I1138" s="71" t="str">
        <f aca="false">IF($K1138="","",INDEX(Base!$L$5:$L$2004,$K1138))</f>
        <v/>
      </c>
      <c r="J1138" s="72" t="str">
        <f aca="false">IFERROR(SMALL(Base!$P$5:$P$2004,ROW()-5),"")</f>
        <v/>
      </c>
      <c r="K1138" s="72" t="str">
        <f aca="false">IF(J1138="","",MATCH(J1138,Base!$P$5:$P$2004,0))</f>
        <v/>
      </c>
    </row>
    <row r="1139" customFormat="false" ht="15" hidden="false" customHeight="false" outlineLevel="0" collapsed="false">
      <c r="A1139" s="67" t="str">
        <f aca="false">IF($K1139="","",ROW()-5)</f>
        <v/>
      </c>
      <c r="B1139" s="68" t="str">
        <f aca="false">IF($K1139="","",INDEX(Base!$E$5:$E$2004,$K1139))</f>
        <v/>
      </c>
      <c r="C1139" s="69" t="str">
        <f aca="false">IF($K1139="","",B1139)</f>
        <v/>
      </c>
      <c r="D1139" s="70" t="str">
        <f aca="false">IF($K1139="","",INDEX(Base!$F$5:$F$2004,$K1139))</f>
        <v/>
      </c>
      <c r="E1139" s="70" t="str">
        <f aca="false">IF($K1139="","",INDEX(Base!$G$5:$G$2004,$K1139))</f>
        <v/>
      </c>
      <c r="F1139" s="71" t="str">
        <f aca="false">IF($K1139="","",INDEX(Base!$H$5:$H$2004,$K1139))</f>
        <v/>
      </c>
      <c r="G1139" s="71" t="str">
        <f aca="false">IF($K1139="","",INDEX(Base!$I$5:$I$2004,$K1139))</f>
        <v/>
      </c>
      <c r="H1139" s="70" t="str">
        <f aca="false">IF($K1139="","",INDEX(Base!$J$5:$J$2004,$K1139))</f>
        <v/>
      </c>
      <c r="I1139" s="71" t="str">
        <f aca="false">IF($K1139="","",INDEX(Base!$L$5:$L$2004,$K1139))</f>
        <v/>
      </c>
      <c r="J1139" s="72" t="str">
        <f aca="false">IFERROR(SMALL(Base!$P$5:$P$2004,ROW()-5),"")</f>
        <v/>
      </c>
      <c r="K1139" s="72" t="str">
        <f aca="false">IF(J1139="","",MATCH(J1139,Base!$P$5:$P$2004,0))</f>
        <v/>
      </c>
    </row>
    <row r="1140" customFormat="false" ht="15" hidden="false" customHeight="false" outlineLevel="0" collapsed="false">
      <c r="A1140" s="67" t="str">
        <f aca="false">IF($K1140="","",ROW()-5)</f>
        <v/>
      </c>
      <c r="B1140" s="68" t="str">
        <f aca="false">IF($K1140="","",INDEX(Base!$E$5:$E$2004,$K1140))</f>
        <v/>
      </c>
      <c r="C1140" s="69" t="str">
        <f aca="false">IF($K1140="","",B1140)</f>
        <v/>
      </c>
      <c r="D1140" s="70" t="str">
        <f aca="false">IF($K1140="","",INDEX(Base!$F$5:$F$2004,$K1140))</f>
        <v/>
      </c>
      <c r="E1140" s="70" t="str">
        <f aca="false">IF($K1140="","",INDEX(Base!$G$5:$G$2004,$K1140))</f>
        <v/>
      </c>
      <c r="F1140" s="71" t="str">
        <f aca="false">IF($K1140="","",INDEX(Base!$H$5:$H$2004,$K1140))</f>
        <v/>
      </c>
      <c r="G1140" s="71" t="str">
        <f aca="false">IF($K1140="","",INDEX(Base!$I$5:$I$2004,$K1140))</f>
        <v/>
      </c>
      <c r="H1140" s="70" t="str">
        <f aca="false">IF($K1140="","",INDEX(Base!$J$5:$J$2004,$K1140))</f>
        <v/>
      </c>
      <c r="I1140" s="71" t="str">
        <f aca="false">IF($K1140="","",INDEX(Base!$L$5:$L$2004,$K1140))</f>
        <v/>
      </c>
      <c r="J1140" s="72" t="str">
        <f aca="false">IFERROR(SMALL(Base!$P$5:$P$2004,ROW()-5),"")</f>
        <v/>
      </c>
      <c r="K1140" s="72" t="str">
        <f aca="false">IF(J1140="","",MATCH(J1140,Base!$P$5:$P$2004,0))</f>
        <v/>
      </c>
    </row>
    <row r="1141" customFormat="false" ht="15" hidden="false" customHeight="false" outlineLevel="0" collapsed="false">
      <c r="A1141" s="67" t="str">
        <f aca="false">IF($K1141="","",ROW()-5)</f>
        <v/>
      </c>
      <c r="B1141" s="68" t="str">
        <f aca="false">IF($K1141="","",INDEX(Base!$E$5:$E$2004,$K1141))</f>
        <v/>
      </c>
      <c r="C1141" s="69" t="str">
        <f aca="false">IF($K1141="","",B1141)</f>
        <v/>
      </c>
      <c r="D1141" s="70" t="str">
        <f aca="false">IF($K1141="","",INDEX(Base!$F$5:$F$2004,$K1141))</f>
        <v/>
      </c>
      <c r="E1141" s="70" t="str">
        <f aca="false">IF($K1141="","",INDEX(Base!$G$5:$G$2004,$K1141))</f>
        <v/>
      </c>
      <c r="F1141" s="71" t="str">
        <f aca="false">IF($K1141="","",INDEX(Base!$H$5:$H$2004,$K1141))</f>
        <v/>
      </c>
      <c r="G1141" s="71" t="str">
        <f aca="false">IF($K1141="","",INDEX(Base!$I$5:$I$2004,$K1141))</f>
        <v/>
      </c>
      <c r="H1141" s="70" t="str">
        <f aca="false">IF($K1141="","",INDEX(Base!$J$5:$J$2004,$K1141))</f>
        <v/>
      </c>
      <c r="I1141" s="71" t="str">
        <f aca="false">IF($K1141="","",INDEX(Base!$L$5:$L$2004,$K1141))</f>
        <v/>
      </c>
      <c r="J1141" s="72" t="str">
        <f aca="false">IFERROR(SMALL(Base!$P$5:$P$2004,ROW()-5),"")</f>
        <v/>
      </c>
      <c r="K1141" s="72" t="str">
        <f aca="false">IF(J1141="","",MATCH(J1141,Base!$P$5:$P$2004,0))</f>
        <v/>
      </c>
    </row>
    <row r="1142" customFormat="false" ht="15" hidden="false" customHeight="false" outlineLevel="0" collapsed="false">
      <c r="A1142" s="67" t="str">
        <f aca="false">IF($K1142="","",ROW()-5)</f>
        <v/>
      </c>
      <c r="B1142" s="68" t="str">
        <f aca="false">IF($K1142="","",INDEX(Base!$E$5:$E$2004,$K1142))</f>
        <v/>
      </c>
      <c r="C1142" s="69" t="str">
        <f aca="false">IF($K1142="","",B1142)</f>
        <v/>
      </c>
      <c r="D1142" s="70" t="str">
        <f aca="false">IF($K1142="","",INDEX(Base!$F$5:$F$2004,$K1142))</f>
        <v/>
      </c>
      <c r="E1142" s="70" t="str">
        <f aca="false">IF($K1142="","",INDEX(Base!$G$5:$G$2004,$K1142))</f>
        <v/>
      </c>
      <c r="F1142" s="71" t="str">
        <f aca="false">IF($K1142="","",INDEX(Base!$H$5:$H$2004,$K1142))</f>
        <v/>
      </c>
      <c r="G1142" s="71" t="str">
        <f aca="false">IF($K1142="","",INDEX(Base!$I$5:$I$2004,$K1142))</f>
        <v/>
      </c>
      <c r="H1142" s="70" t="str">
        <f aca="false">IF($K1142="","",INDEX(Base!$J$5:$J$2004,$K1142))</f>
        <v/>
      </c>
      <c r="I1142" s="71" t="str">
        <f aca="false">IF($K1142="","",INDEX(Base!$L$5:$L$2004,$K1142))</f>
        <v/>
      </c>
      <c r="J1142" s="72" t="str">
        <f aca="false">IFERROR(SMALL(Base!$P$5:$P$2004,ROW()-5),"")</f>
        <v/>
      </c>
      <c r="K1142" s="72" t="str">
        <f aca="false">IF(J1142="","",MATCH(J1142,Base!$P$5:$P$2004,0))</f>
        <v/>
      </c>
    </row>
    <row r="1143" customFormat="false" ht="15" hidden="false" customHeight="false" outlineLevel="0" collapsed="false">
      <c r="A1143" s="67" t="str">
        <f aca="false">IF($K1143="","",ROW()-5)</f>
        <v/>
      </c>
      <c r="B1143" s="68" t="str">
        <f aca="false">IF($K1143="","",INDEX(Base!$E$5:$E$2004,$K1143))</f>
        <v/>
      </c>
      <c r="C1143" s="69" t="str">
        <f aca="false">IF($K1143="","",B1143)</f>
        <v/>
      </c>
      <c r="D1143" s="70" t="str">
        <f aca="false">IF($K1143="","",INDEX(Base!$F$5:$F$2004,$K1143))</f>
        <v/>
      </c>
      <c r="E1143" s="70" t="str">
        <f aca="false">IF($K1143="","",INDEX(Base!$G$5:$G$2004,$K1143))</f>
        <v/>
      </c>
      <c r="F1143" s="71" t="str">
        <f aca="false">IF($K1143="","",INDEX(Base!$H$5:$H$2004,$K1143))</f>
        <v/>
      </c>
      <c r="G1143" s="71" t="str">
        <f aca="false">IF($K1143="","",INDEX(Base!$I$5:$I$2004,$K1143))</f>
        <v/>
      </c>
      <c r="H1143" s="70" t="str">
        <f aca="false">IF($K1143="","",INDEX(Base!$J$5:$J$2004,$K1143))</f>
        <v/>
      </c>
      <c r="I1143" s="71" t="str">
        <f aca="false">IF($K1143="","",INDEX(Base!$L$5:$L$2004,$K1143))</f>
        <v/>
      </c>
      <c r="J1143" s="72" t="str">
        <f aca="false">IFERROR(SMALL(Base!$P$5:$P$2004,ROW()-5),"")</f>
        <v/>
      </c>
      <c r="K1143" s="72" t="str">
        <f aca="false">IF(J1143="","",MATCH(J1143,Base!$P$5:$P$2004,0))</f>
        <v/>
      </c>
    </row>
    <row r="1144" customFormat="false" ht="15" hidden="false" customHeight="false" outlineLevel="0" collapsed="false">
      <c r="A1144" s="67" t="str">
        <f aca="false">IF($K1144="","",ROW()-5)</f>
        <v/>
      </c>
      <c r="B1144" s="68" t="str">
        <f aca="false">IF($K1144="","",INDEX(Base!$E$5:$E$2004,$K1144))</f>
        <v/>
      </c>
      <c r="C1144" s="69" t="str">
        <f aca="false">IF($K1144="","",B1144)</f>
        <v/>
      </c>
      <c r="D1144" s="70" t="str">
        <f aca="false">IF($K1144="","",INDEX(Base!$F$5:$F$2004,$K1144))</f>
        <v/>
      </c>
      <c r="E1144" s="70" t="str">
        <f aca="false">IF($K1144="","",INDEX(Base!$G$5:$G$2004,$K1144))</f>
        <v/>
      </c>
      <c r="F1144" s="71" t="str">
        <f aca="false">IF($K1144="","",INDEX(Base!$H$5:$H$2004,$K1144))</f>
        <v/>
      </c>
      <c r="G1144" s="71" t="str">
        <f aca="false">IF($K1144="","",INDEX(Base!$I$5:$I$2004,$K1144))</f>
        <v/>
      </c>
      <c r="H1144" s="70" t="str">
        <f aca="false">IF($K1144="","",INDEX(Base!$J$5:$J$2004,$K1144))</f>
        <v/>
      </c>
      <c r="I1144" s="71" t="str">
        <f aca="false">IF($K1144="","",INDEX(Base!$L$5:$L$2004,$K1144))</f>
        <v/>
      </c>
      <c r="J1144" s="72" t="str">
        <f aca="false">IFERROR(SMALL(Base!$P$5:$P$2004,ROW()-5),"")</f>
        <v/>
      </c>
      <c r="K1144" s="72" t="str">
        <f aca="false">IF(J1144="","",MATCH(J1144,Base!$P$5:$P$2004,0))</f>
        <v/>
      </c>
    </row>
    <row r="1145" customFormat="false" ht="15" hidden="false" customHeight="false" outlineLevel="0" collapsed="false">
      <c r="A1145" s="67" t="str">
        <f aca="false">IF($K1145="","",ROW()-5)</f>
        <v/>
      </c>
      <c r="B1145" s="68" t="str">
        <f aca="false">IF($K1145="","",INDEX(Base!$E$5:$E$2004,$K1145))</f>
        <v/>
      </c>
      <c r="C1145" s="69" t="str">
        <f aca="false">IF($K1145="","",B1145)</f>
        <v/>
      </c>
      <c r="D1145" s="70" t="str">
        <f aca="false">IF($K1145="","",INDEX(Base!$F$5:$F$2004,$K1145))</f>
        <v/>
      </c>
      <c r="E1145" s="70" t="str">
        <f aca="false">IF($K1145="","",INDEX(Base!$G$5:$G$2004,$K1145))</f>
        <v/>
      </c>
      <c r="F1145" s="71" t="str">
        <f aca="false">IF($K1145="","",INDEX(Base!$H$5:$H$2004,$K1145))</f>
        <v/>
      </c>
      <c r="G1145" s="71" t="str">
        <f aca="false">IF($K1145="","",INDEX(Base!$I$5:$I$2004,$K1145))</f>
        <v/>
      </c>
      <c r="H1145" s="70" t="str">
        <f aca="false">IF($K1145="","",INDEX(Base!$J$5:$J$2004,$K1145))</f>
        <v/>
      </c>
      <c r="I1145" s="71" t="str">
        <f aca="false">IF($K1145="","",INDEX(Base!$L$5:$L$2004,$K1145))</f>
        <v/>
      </c>
      <c r="J1145" s="72" t="str">
        <f aca="false">IFERROR(SMALL(Base!$P$5:$P$2004,ROW()-5),"")</f>
        <v/>
      </c>
      <c r="K1145" s="72" t="str">
        <f aca="false">IF(J1145="","",MATCH(J1145,Base!$P$5:$P$2004,0))</f>
        <v/>
      </c>
    </row>
    <row r="1146" customFormat="false" ht="15" hidden="false" customHeight="false" outlineLevel="0" collapsed="false">
      <c r="A1146" s="67" t="str">
        <f aca="false">IF($K1146="","",ROW()-5)</f>
        <v/>
      </c>
      <c r="B1146" s="68" t="str">
        <f aca="false">IF($K1146="","",INDEX(Base!$E$5:$E$2004,$K1146))</f>
        <v/>
      </c>
      <c r="C1146" s="69" t="str">
        <f aca="false">IF($K1146="","",B1146)</f>
        <v/>
      </c>
      <c r="D1146" s="70" t="str">
        <f aca="false">IF($K1146="","",INDEX(Base!$F$5:$F$2004,$K1146))</f>
        <v/>
      </c>
      <c r="E1146" s="70" t="str">
        <f aca="false">IF($K1146="","",INDEX(Base!$G$5:$G$2004,$K1146))</f>
        <v/>
      </c>
      <c r="F1146" s="71" t="str">
        <f aca="false">IF($K1146="","",INDEX(Base!$H$5:$H$2004,$K1146))</f>
        <v/>
      </c>
      <c r="G1146" s="71" t="str">
        <f aca="false">IF($K1146="","",INDEX(Base!$I$5:$I$2004,$K1146))</f>
        <v/>
      </c>
      <c r="H1146" s="70" t="str">
        <f aca="false">IF($K1146="","",INDEX(Base!$J$5:$J$2004,$K1146))</f>
        <v/>
      </c>
      <c r="I1146" s="71" t="str">
        <f aca="false">IF($K1146="","",INDEX(Base!$L$5:$L$2004,$K1146))</f>
        <v/>
      </c>
      <c r="J1146" s="72" t="str">
        <f aca="false">IFERROR(SMALL(Base!$P$5:$P$2004,ROW()-5),"")</f>
        <v/>
      </c>
      <c r="K1146" s="72" t="str">
        <f aca="false">IF(J1146="","",MATCH(J1146,Base!$P$5:$P$2004,0))</f>
        <v/>
      </c>
    </row>
    <row r="1147" customFormat="false" ht="15" hidden="false" customHeight="false" outlineLevel="0" collapsed="false">
      <c r="A1147" s="67" t="str">
        <f aca="false">IF($K1147="","",ROW()-5)</f>
        <v/>
      </c>
      <c r="B1147" s="68" t="str">
        <f aca="false">IF($K1147="","",INDEX(Base!$E$5:$E$2004,$K1147))</f>
        <v/>
      </c>
      <c r="C1147" s="69" t="str">
        <f aca="false">IF($K1147="","",B1147)</f>
        <v/>
      </c>
      <c r="D1147" s="70" t="str">
        <f aca="false">IF($K1147="","",INDEX(Base!$F$5:$F$2004,$K1147))</f>
        <v/>
      </c>
      <c r="E1147" s="70" t="str">
        <f aca="false">IF($K1147="","",INDEX(Base!$G$5:$G$2004,$K1147))</f>
        <v/>
      </c>
      <c r="F1147" s="71" t="str">
        <f aca="false">IF($K1147="","",INDEX(Base!$H$5:$H$2004,$K1147))</f>
        <v/>
      </c>
      <c r="G1147" s="71" t="str">
        <f aca="false">IF($K1147="","",INDEX(Base!$I$5:$I$2004,$K1147))</f>
        <v/>
      </c>
      <c r="H1147" s="70" t="str">
        <f aca="false">IF($K1147="","",INDEX(Base!$J$5:$J$2004,$K1147))</f>
        <v/>
      </c>
      <c r="I1147" s="71" t="str">
        <f aca="false">IF($K1147="","",INDEX(Base!$L$5:$L$2004,$K1147))</f>
        <v/>
      </c>
      <c r="J1147" s="72" t="str">
        <f aca="false">IFERROR(SMALL(Base!$P$5:$P$2004,ROW()-5),"")</f>
        <v/>
      </c>
      <c r="K1147" s="72" t="str">
        <f aca="false">IF(J1147="","",MATCH(J1147,Base!$P$5:$P$2004,0))</f>
        <v/>
      </c>
    </row>
    <row r="1148" customFormat="false" ht="15" hidden="false" customHeight="false" outlineLevel="0" collapsed="false">
      <c r="A1148" s="67" t="str">
        <f aca="false">IF($K1148="","",ROW()-5)</f>
        <v/>
      </c>
      <c r="B1148" s="68" t="str">
        <f aca="false">IF($K1148="","",INDEX(Base!$E$5:$E$2004,$K1148))</f>
        <v/>
      </c>
      <c r="C1148" s="69" t="str">
        <f aca="false">IF($K1148="","",B1148)</f>
        <v/>
      </c>
      <c r="D1148" s="70" t="str">
        <f aca="false">IF($K1148="","",INDEX(Base!$F$5:$F$2004,$K1148))</f>
        <v/>
      </c>
      <c r="E1148" s="70" t="str">
        <f aca="false">IF($K1148="","",INDEX(Base!$G$5:$G$2004,$K1148))</f>
        <v/>
      </c>
      <c r="F1148" s="71" t="str">
        <f aca="false">IF($K1148="","",INDEX(Base!$H$5:$H$2004,$K1148))</f>
        <v/>
      </c>
      <c r="G1148" s="71" t="str">
        <f aca="false">IF($K1148="","",INDEX(Base!$I$5:$I$2004,$K1148))</f>
        <v/>
      </c>
      <c r="H1148" s="70" t="str">
        <f aca="false">IF($K1148="","",INDEX(Base!$J$5:$J$2004,$K1148))</f>
        <v/>
      </c>
      <c r="I1148" s="71" t="str">
        <f aca="false">IF($K1148="","",INDEX(Base!$L$5:$L$2004,$K1148))</f>
        <v/>
      </c>
      <c r="J1148" s="72" t="str">
        <f aca="false">IFERROR(SMALL(Base!$P$5:$P$2004,ROW()-5),"")</f>
        <v/>
      </c>
      <c r="K1148" s="72" t="str">
        <f aca="false">IF(J1148="","",MATCH(J1148,Base!$P$5:$P$2004,0))</f>
        <v/>
      </c>
    </row>
    <row r="1149" customFormat="false" ht="15" hidden="false" customHeight="false" outlineLevel="0" collapsed="false">
      <c r="A1149" s="67" t="str">
        <f aca="false">IF($K1149="","",ROW()-5)</f>
        <v/>
      </c>
      <c r="B1149" s="68" t="str">
        <f aca="false">IF($K1149="","",INDEX(Base!$E$5:$E$2004,$K1149))</f>
        <v/>
      </c>
      <c r="C1149" s="69" t="str">
        <f aca="false">IF($K1149="","",B1149)</f>
        <v/>
      </c>
      <c r="D1149" s="70" t="str">
        <f aca="false">IF($K1149="","",INDEX(Base!$F$5:$F$2004,$K1149))</f>
        <v/>
      </c>
      <c r="E1149" s="70" t="str">
        <f aca="false">IF($K1149="","",INDEX(Base!$G$5:$G$2004,$K1149))</f>
        <v/>
      </c>
      <c r="F1149" s="71" t="str">
        <f aca="false">IF($K1149="","",INDEX(Base!$H$5:$H$2004,$K1149))</f>
        <v/>
      </c>
      <c r="G1149" s="71" t="str">
        <f aca="false">IF($K1149="","",INDEX(Base!$I$5:$I$2004,$K1149))</f>
        <v/>
      </c>
      <c r="H1149" s="70" t="str">
        <f aca="false">IF($K1149="","",INDEX(Base!$J$5:$J$2004,$K1149))</f>
        <v/>
      </c>
      <c r="I1149" s="71" t="str">
        <f aca="false">IF($K1149="","",INDEX(Base!$L$5:$L$2004,$K1149))</f>
        <v/>
      </c>
      <c r="J1149" s="72" t="str">
        <f aca="false">IFERROR(SMALL(Base!$P$5:$P$2004,ROW()-5),"")</f>
        <v/>
      </c>
      <c r="K1149" s="72" t="str">
        <f aca="false">IF(J1149="","",MATCH(J1149,Base!$P$5:$P$2004,0))</f>
        <v/>
      </c>
    </row>
    <row r="1150" customFormat="false" ht="15" hidden="false" customHeight="false" outlineLevel="0" collapsed="false">
      <c r="A1150" s="67" t="str">
        <f aca="false">IF($K1150="","",ROW()-5)</f>
        <v/>
      </c>
      <c r="B1150" s="68" t="str">
        <f aca="false">IF($K1150="","",INDEX(Base!$E$5:$E$2004,$K1150))</f>
        <v/>
      </c>
      <c r="C1150" s="69" t="str">
        <f aca="false">IF($K1150="","",B1150)</f>
        <v/>
      </c>
      <c r="D1150" s="70" t="str">
        <f aca="false">IF($K1150="","",INDEX(Base!$F$5:$F$2004,$K1150))</f>
        <v/>
      </c>
      <c r="E1150" s="70" t="str">
        <f aca="false">IF($K1150="","",INDEX(Base!$G$5:$G$2004,$K1150))</f>
        <v/>
      </c>
      <c r="F1150" s="71" t="str">
        <f aca="false">IF($K1150="","",INDEX(Base!$H$5:$H$2004,$K1150))</f>
        <v/>
      </c>
      <c r="G1150" s="71" t="str">
        <f aca="false">IF($K1150="","",INDEX(Base!$I$5:$I$2004,$K1150))</f>
        <v/>
      </c>
      <c r="H1150" s="70" t="str">
        <f aca="false">IF($K1150="","",INDEX(Base!$J$5:$J$2004,$K1150))</f>
        <v/>
      </c>
      <c r="I1150" s="71" t="str">
        <f aca="false">IF($K1150="","",INDEX(Base!$L$5:$L$2004,$K1150))</f>
        <v/>
      </c>
      <c r="J1150" s="72" t="str">
        <f aca="false">IFERROR(SMALL(Base!$P$5:$P$2004,ROW()-5),"")</f>
        <v/>
      </c>
      <c r="K1150" s="72" t="str">
        <f aca="false">IF(J1150="","",MATCH(J1150,Base!$P$5:$P$2004,0))</f>
        <v/>
      </c>
    </row>
    <row r="1151" customFormat="false" ht="15" hidden="false" customHeight="false" outlineLevel="0" collapsed="false">
      <c r="A1151" s="67" t="str">
        <f aca="false">IF($K1151="","",ROW()-5)</f>
        <v/>
      </c>
      <c r="B1151" s="68" t="str">
        <f aca="false">IF($K1151="","",INDEX(Base!$E$5:$E$2004,$K1151))</f>
        <v/>
      </c>
      <c r="C1151" s="69" t="str">
        <f aca="false">IF($K1151="","",B1151)</f>
        <v/>
      </c>
      <c r="D1151" s="70" t="str">
        <f aca="false">IF($K1151="","",INDEX(Base!$F$5:$F$2004,$K1151))</f>
        <v/>
      </c>
      <c r="E1151" s="70" t="str">
        <f aca="false">IF($K1151="","",INDEX(Base!$G$5:$G$2004,$K1151))</f>
        <v/>
      </c>
      <c r="F1151" s="71" t="str">
        <f aca="false">IF($K1151="","",INDEX(Base!$H$5:$H$2004,$K1151))</f>
        <v/>
      </c>
      <c r="G1151" s="71" t="str">
        <f aca="false">IF($K1151="","",INDEX(Base!$I$5:$I$2004,$K1151))</f>
        <v/>
      </c>
      <c r="H1151" s="70" t="str">
        <f aca="false">IF($K1151="","",INDEX(Base!$J$5:$J$2004,$K1151))</f>
        <v/>
      </c>
      <c r="I1151" s="71" t="str">
        <f aca="false">IF($K1151="","",INDEX(Base!$L$5:$L$2004,$K1151))</f>
        <v/>
      </c>
      <c r="J1151" s="72" t="str">
        <f aca="false">IFERROR(SMALL(Base!$P$5:$P$2004,ROW()-5),"")</f>
        <v/>
      </c>
      <c r="K1151" s="72" t="str">
        <f aca="false">IF(J1151="","",MATCH(J1151,Base!$P$5:$P$2004,0))</f>
        <v/>
      </c>
    </row>
    <row r="1152" customFormat="false" ht="15" hidden="false" customHeight="false" outlineLevel="0" collapsed="false">
      <c r="A1152" s="67" t="str">
        <f aca="false">IF($K1152="","",ROW()-5)</f>
        <v/>
      </c>
      <c r="B1152" s="68" t="str">
        <f aca="false">IF($K1152="","",INDEX(Base!$E$5:$E$2004,$K1152))</f>
        <v/>
      </c>
      <c r="C1152" s="69" t="str">
        <f aca="false">IF($K1152="","",B1152)</f>
        <v/>
      </c>
      <c r="D1152" s="70" t="str">
        <f aca="false">IF($K1152="","",INDEX(Base!$F$5:$F$2004,$K1152))</f>
        <v/>
      </c>
      <c r="E1152" s="70" t="str">
        <f aca="false">IF($K1152="","",INDEX(Base!$G$5:$G$2004,$K1152))</f>
        <v/>
      </c>
      <c r="F1152" s="71" t="str">
        <f aca="false">IF($K1152="","",INDEX(Base!$H$5:$H$2004,$K1152))</f>
        <v/>
      </c>
      <c r="G1152" s="71" t="str">
        <f aca="false">IF($K1152="","",INDEX(Base!$I$5:$I$2004,$K1152))</f>
        <v/>
      </c>
      <c r="H1152" s="70" t="str">
        <f aca="false">IF($K1152="","",INDEX(Base!$J$5:$J$2004,$K1152))</f>
        <v/>
      </c>
      <c r="I1152" s="71" t="str">
        <f aca="false">IF($K1152="","",INDEX(Base!$L$5:$L$2004,$K1152))</f>
        <v/>
      </c>
      <c r="J1152" s="72" t="str">
        <f aca="false">IFERROR(SMALL(Base!$P$5:$P$2004,ROW()-5),"")</f>
        <v/>
      </c>
      <c r="K1152" s="72" t="str">
        <f aca="false">IF(J1152="","",MATCH(J1152,Base!$P$5:$P$2004,0))</f>
        <v/>
      </c>
    </row>
    <row r="1153" customFormat="false" ht="15" hidden="false" customHeight="false" outlineLevel="0" collapsed="false">
      <c r="A1153" s="67" t="str">
        <f aca="false">IF($K1153="","",ROW()-5)</f>
        <v/>
      </c>
      <c r="B1153" s="68" t="str">
        <f aca="false">IF($K1153="","",INDEX(Base!$E$5:$E$2004,$K1153))</f>
        <v/>
      </c>
      <c r="C1153" s="69" t="str">
        <f aca="false">IF($K1153="","",B1153)</f>
        <v/>
      </c>
      <c r="D1153" s="70" t="str">
        <f aca="false">IF($K1153="","",INDEX(Base!$F$5:$F$2004,$K1153))</f>
        <v/>
      </c>
      <c r="E1153" s="70" t="str">
        <f aca="false">IF($K1153="","",INDEX(Base!$G$5:$G$2004,$K1153))</f>
        <v/>
      </c>
      <c r="F1153" s="71" t="str">
        <f aca="false">IF($K1153="","",INDEX(Base!$H$5:$H$2004,$K1153))</f>
        <v/>
      </c>
      <c r="G1153" s="71" t="str">
        <f aca="false">IF($K1153="","",INDEX(Base!$I$5:$I$2004,$K1153))</f>
        <v/>
      </c>
      <c r="H1153" s="70" t="str">
        <f aca="false">IF($K1153="","",INDEX(Base!$J$5:$J$2004,$K1153))</f>
        <v/>
      </c>
      <c r="I1153" s="71" t="str">
        <f aca="false">IF($K1153="","",INDEX(Base!$L$5:$L$2004,$K1153))</f>
        <v/>
      </c>
      <c r="J1153" s="72" t="str">
        <f aca="false">IFERROR(SMALL(Base!$P$5:$P$2004,ROW()-5),"")</f>
        <v/>
      </c>
      <c r="K1153" s="72" t="str">
        <f aca="false">IF(J1153="","",MATCH(J1153,Base!$P$5:$P$2004,0))</f>
        <v/>
      </c>
    </row>
    <row r="1154" customFormat="false" ht="15" hidden="false" customHeight="false" outlineLevel="0" collapsed="false">
      <c r="A1154" s="67" t="str">
        <f aca="false">IF($K1154="","",ROW()-5)</f>
        <v/>
      </c>
      <c r="B1154" s="68" t="str">
        <f aca="false">IF($K1154="","",INDEX(Base!$E$5:$E$2004,$K1154))</f>
        <v/>
      </c>
      <c r="C1154" s="69" t="str">
        <f aca="false">IF($K1154="","",B1154)</f>
        <v/>
      </c>
      <c r="D1154" s="70" t="str">
        <f aca="false">IF($K1154="","",INDEX(Base!$F$5:$F$2004,$K1154))</f>
        <v/>
      </c>
      <c r="E1154" s="70" t="str">
        <f aca="false">IF($K1154="","",INDEX(Base!$G$5:$G$2004,$K1154))</f>
        <v/>
      </c>
      <c r="F1154" s="71" t="str">
        <f aca="false">IF($K1154="","",INDEX(Base!$H$5:$H$2004,$K1154))</f>
        <v/>
      </c>
      <c r="G1154" s="71" t="str">
        <f aca="false">IF($K1154="","",INDEX(Base!$I$5:$I$2004,$K1154))</f>
        <v/>
      </c>
      <c r="H1154" s="70" t="str">
        <f aca="false">IF($K1154="","",INDEX(Base!$J$5:$J$2004,$K1154))</f>
        <v/>
      </c>
      <c r="I1154" s="71" t="str">
        <f aca="false">IF($K1154="","",INDEX(Base!$L$5:$L$2004,$K1154))</f>
        <v/>
      </c>
      <c r="J1154" s="72" t="str">
        <f aca="false">IFERROR(SMALL(Base!$P$5:$P$2004,ROW()-5),"")</f>
        <v/>
      </c>
      <c r="K1154" s="72" t="str">
        <f aca="false">IF(J1154="","",MATCH(J1154,Base!$P$5:$P$2004,0))</f>
        <v/>
      </c>
    </row>
    <row r="1155" customFormat="false" ht="15" hidden="false" customHeight="false" outlineLevel="0" collapsed="false">
      <c r="A1155" s="67" t="str">
        <f aca="false">IF($K1155="","",ROW()-5)</f>
        <v/>
      </c>
      <c r="B1155" s="68" t="str">
        <f aca="false">IF($K1155="","",INDEX(Base!$E$5:$E$2004,$K1155))</f>
        <v/>
      </c>
      <c r="C1155" s="69" t="str">
        <f aca="false">IF($K1155="","",B1155)</f>
        <v/>
      </c>
      <c r="D1155" s="70" t="str">
        <f aca="false">IF($K1155="","",INDEX(Base!$F$5:$F$2004,$K1155))</f>
        <v/>
      </c>
      <c r="E1155" s="70" t="str">
        <f aca="false">IF($K1155="","",INDEX(Base!$G$5:$G$2004,$K1155))</f>
        <v/>
      </c>
      <c r="F1155" s="71" t="str">
        <f aca="false">IF($K1155="","",INDEX(Base!$H$5:$H$2004,$K1155))</f>
        <v/>
      </c>
      <c r="G1155" s="71" t="str">
        <f aca="false">IF($K1155="","",INDEX(Base!$I$5:$I$2004,$K1155))</f>
        <v/>
      </c>
      <c r="H1155" s="70" t="str">
        <f aca="false">IF($K1155="","",INDEX(Base!$J$5:$J$2004,$K1155))</f>
        <v/>
      </c>
      <c r="I1155" s="71" t="str">
        <f aca="false">IF($K1155="","",INDEX(Base!$L$5:$L$2004,$K1155))</f>
        <v/>
      </c>
      <c r="J1155" s="72" t="str">
        <f aca="false">IFERROR(SMALL(Base!$P$5:$P$2004,ROW()-5),"")</f>
        <v/>
      </c>
      <c r="K1155" s="72" t="str">
        <f aca="false">IF(J1155="","",MATCH(J1155,Base!$P$5:$P$2004,0))</f>
        <v/>
      </c>
    </row>
    <row r="1156" customFormat="false" ht="15" hidden="false" customHeight="false" outlineLevel="0" collapsed="false">
      <c r="A1156" s="67" t="str">
        <f aca="false">IF($K1156="","",ROW()-5)</f>
        <v/>
      </c>
      <c r="B1156" s="68" t="str">
        <f aca="false">IF($K1156="","",INDEX(Base!$E$5:$E$2004,$K1156))</f>
        <v/>
      </c>
      <c r="C1156" s="69" t="str">
        <f aca="false">IF($K1156="","",B1156)</f>
        <v/>
      </c>
      <c r="D1156" s="70" t="str">
        <f aca="false">IF($K1156="","",INDEX(Base!$F$5:$F$2004,$K1156))</f>
        <v/>
      </c>
      <c r="E1156" s="70" t="str">
        <f aca="false">IF($K1156="","",INDEX(Base!$G$5:$G$2004,$K1156))</f>
        <v/>
      </c>
      <c r="F1156" s="71" t="str">
        <f aca="false">IF($K1156="","",INDEX(Base!$H$5:$H$2004,$K1156))</f>
        <v/>
      </c>
      <c r="G1156" s="71" t="str">
        <f aca="false">IF($K1156="","",INDEX(Base!$I$5:$I$2004,$K1156))</f>
        <v/>
      </c>
      <c r="H1156" s="70" t="str">
        <f aca="false">IF($K1156="","",INDEX(Base!$J$5:$J$2004,$K1156))</f>
        <v/>
      </c>
      <c r="I1156" s="71" t="str">
        <f aca="false">IF($K1156="","",INDEX(Base!$L$5:$L$2004,$K1156))</f>
        <v/>
      </c>
      <c r="J1156" s="72" t="str">
        <f aca="false">IFERROR(SMALL(Base!$P$5:$P$2004,ROW()-5),"")</f>
        <v/>
      </c>
      <c r="K1156" s="72" t="str">
        <f aca="false">IF(J1156="","",MATCH(J1156,Base!$P$5:$P$2004,0))</f>
        <v/>
      </c>
    </row>
    <row r="1157" customFormat="false" ht="15" hidden="false" customHeight="false" outlineLevel="0" collapsed="false">
      <c r="A1157" s="67" t="str">
        <f aca="false">IF($K1157="","",ROW()-5)</f>
        <v/>
      </c>
      <c r="B1157" s="68" t="str">
        <f aca="false">IF($K1157="","",INDEX(Base!$E$5:$E$2004,$K1157))</f>
        <v/>
      </c>
      <c r="C1157" s="69" t="str">
        <f aca="false">IF($K1157="","",B1157)</f>
        <v/>
      </c>
      <c r="D1157" s="70" t="str">
        <f aca="false">IF($K1157="","",INDEX(Base!$F$5:$F$2004,$K1157))</f>
        <v/>
      </c>
      <c r="E1157" s="70" t="str">
        <f aca="false">IF($K1157="","",INDEX(Base!$G$5:$G$2004,$K1157))</f>
        <v/>
      </c>
      <c r="F1157" s="71" t="str">
        <f aca="false">IF($K1157="","",INDEX(Base!$H$5:$H$2004,$K1157))</f>
        <v/>
      </c>
      <c r="G1157" s="71" t="str">
        <f aca="false">IF($K1157="","",INDEX(Base!$I$5:$I$2004,$K1157))</f>
        <v/>
      </c>
      <c r="H1157" s="70" t="str">
        <f aca="false">IF($K1157="","",INDEX(Base!$J$5:$J$2004,$K1157))</f>
        <v/>
      </c>
      <c r="I1157" s="71" t="str">
        <f aca="false">IF($K1157="","",INDEX(Base!$L$5:$L$2004,$K1157))</f>
        <v/>
      </c>
      <c r="J1157" s="72" t="str">
        <f aca="false">IFERROR(SMALL(Base!$P$5:$P$2004,ROW()-5),"")</f>
        <v/>
      </c>
      <c r="K1157" s="72" t="str">
        <f aca="false">IF(J1157="","",MATCH(J1157,Base!$P$5:$P$2004,0))</f>
        <v/>
      </c>
    </row>
    <row r="1158" customFormat="false" ht="15" hidden="false" customHeight="false" outlineLevel="0" collapsed="false">
      <c r="A1158" s="67" t="str">
        <f aca="false">IF($K1158="","",ROW()-5)</f>
        <v/>
      </c>
      <c r="B1158" s="68" t="str">
        <f aca="false">IF($K1158="","",INDEX(Base!$E$5:$E$2004,$K1158))</f>
        <v/>
      </c>
      <c r="C1158" s="69" t="str">
        <f aca="false">IF($K1158="","",B1158)</f>
        <v/>
      </c>
      <c r="D1158" s="70" t="str">
        <f aca="false">IF($K1158="","",INDEX(Base!$F$5:$F$2004,$K1158))</f>
        <v/>
      </c>
      <c r="E1158" s="70" t="str">
        <f aca="false">IF($K1158="","",INDEX(Base!$G$5:$G$2004,$K1158))</f>
        <v/>
      </c>
      <c r="F1158" s="71" t="str">
        <f aca="false">IF($K1158="","",INDEX(Base!$H$5:$H$2004,$K1158))</f>
        <v/>
      </c>
      <c r="G1158" s="71" t="str">
        <f aca="false">IF($K1158="","",INDEX(Base!$I$5:$I$2004,$K1158))</f>
        <v/>
      </c>
      <c r="H1158" s="70" t="str">
        <f aca="false">IF($K1158="","",INDEX(Base!$J$5:$J$2004,$K1158))</f>
        <v/>
      </c>
      <c r="I1158" s="71" t="str">
        <f aca="false">IF($K1158="","",INDEX(Base!$L$5:$L$2004,$K1158))</f>
        <v/>
      </c>
      <c r="J1158" s="72" t="str">
        <f aca="false">IFERROR(SMALL(Base!$P$5:$P$2004,ROW()-5),"")</f>
        <v/>
      </c>
      <c r="K1158" s="72" t="str">
        <f aca="false">IF(J1158="","",MATCH(J1158,Base!$P$5:$P$2004,0))</f>
        <v/>
      </c>
    </row>
    <row r="1159" customFormat="false" ht="15" hidden="false" customHeight="false" outlineLevel="0" collapsed="false">
      <c r="A1159" s="67" t="str">
        <f aca="false">IF($K1159="","",ROW()-5)</f>
        <v/>
      </c>
      <c r="B1159" s="68" t="str">
        <f aca="false">IF($K1159="","",INDEX(Base!$E$5:$E$2004,$K1159))</f>
        <v/>
      </c>
      <c r="C1159" s="69" t="str">
        <f aca="false">IF($K1159="","",B1159)</f>
        <v/>
      </c>
      <c r="D1159" s="70" t="str">
        <f aca="false">IF($K1159="","",INDEX(Base!$F$5:$F$2004,$K1159))</f>
        <v/>
      </c>
      <c r="E1159" s="70" t="str">
        <f aca="false">IF($K1159="","",INDEX(Base!$G$5:$G$2004,$K1159))</f>
        <v/>
      </c>
      <c r="F1159" s="71" t="str">
        <f aca="false">IF($K1159="","",INDEX(Base!$H$5:$H$2004,$K1159))</f>
        <v/>
      </c>
      <c r="G1159" s="71" t="str">
        <f aca="false">IF($K1159="","",INDEX(Base!$I$5:$I$2004,$K1159))</f>
        <v/>
      </c>
      <c r="H1159" s="70" t="str">
        <f aca="false">IF($K1159="","",INDEX(Base!$J$5:$J$2004,$K1159))</f>
        <v/>
      </c>
      <c r="I1159" s="71" t="str">
        <f aca="false">IF($K1159="","",INDEX(Base!$L$5:$L$2004,$K1159))</f>
        <v/>
      </c>
      <c r="J1159" s="72" t="str">
        <f aca="false">IFERROR(SMALL(Base!$P$5:$P$2004,ROW()-5),"")</f>
        <v/>
      </c>
      <c r="K1159" s="72" t="str">
        <f aca="false">IF(J1159="","",MATCH(J1159,Base!$P$5:$P$2004,0))</f>
        <v/>
      </c>
    </row>
    <row r="1160" customFormat="false" ht="15" hidden="false" customHeight="false" outlineLevel="0" collapsed="false">
      <c r="A1160" s="67" t="str">
        <f aca="false">IF($K1160="","",ROW()-5)</f>
        <v/>
      </c>
      <c r="B1160" s="68" t="str">
        <f aca="false">IF($K1160="","",INDEX(Base!$E$5:$E$2004,$K1160))</f>
        <v/>
      </c>
      <c r="C1160" s="69" t="str">
        <f aca="false">IF($K1160="","",B1160)</f>
        <v/>
      </c>
      <c r="D1160" s="70" t="str">
        <f aca="false">IF($K1160="","",INDEX(Base!$F$5:$F$2004,$K1160))</f>
        <v/>
      </c>
      <c r="E1160" s="70" t="str">
        <f aca="false">IF($K1160="","",INDEX(Base!$G$5:$G$2004,$K1160))</f>
        <v/>
      </c>
      <c r="F1160" s="71" t="str">
        <f aca="false">IF($K1160="","",INDEX(Base!$H$5:$H$2004,$K1160))</f>
        <v/>
      </c>
      <c r="G1160" s="71" t="str">
        <f aca="false">IF($K1160="","",INDEX(Base!$I$5:$I$2004,$K1160))</f>
        <v/>
      </c>
      <c r="H1160" s="70" t="str">
        <f aca="false">IF($K1160="","",INDEX(Base!$J$5:$J$2004,$K1160))</f>
        <v/>
      </c>
      <c r="I1160" s="71" t="str">
        <f aca="false">IF($K1160="","",INDEX(Base!$L$5:$L$2004,$K1160))</f>
        <v/>
      </c>
      <c r="J1160" s="72" t="str">
        <f aca="false">IFERROR(SMALL(Base!$P$5:$P$2004,ROW()-5),"")</f>
        <v/>
      </c>
      <c r="K1160" s="72" t="str">
        <f aca="false">IF(J1160="","",MATCH(J1160,Base!$P$5:$P$2004,0))</f>
        <v/>
      </c>
    </row>
    <row r="1161" customFormat="false" ht="15" hidden="false" customHeight="false" outlineLevel="0" collapsed="false">
      <c r="A1161" s="67" t="str">
        <f aca="false">IF($K1161="","",ROW()-5)</f>
        <v/>
      </c>
      <c r="B1161" s="68" t="str">
        <f aca="false">IF($K1161="","",INDEX(Base!$E$5:$E$2004,$K1161))</f>
        <v/>
      </c>
      <c r="C1161" s="69" t="str">
        <f aca="false">IF($K1161="","",B1161)</f>
        <v/>
      </c>
      <c r="D1161" s="70" t="str">
        <f aca="false">IF($K1161="","",INDEX(Base!$F$5:$F$2004,$K1161))</f>
        <v/>
      </c>
      <c r="E1161" s="70" t="str">
        <f aca="false">IF($K1161="","",INDEX(Base!$G$5:$G$2004,$K1161))</f>
        <v/>
      </c>
      <c r="F1161" s="71" t="str">
        <f aca="false">IF($K1161="","",INDEX(Base!$H$5:$H$2004,$K1161))</f>
        <v/>
      </c>
      <c r="G1161" s="71" t="str">
        <f aca="false">IF($K1161="","",INDEX(Base!$I$5:$I$2004,$K1161))</f>
        <v/>
      </c>
      <c r="H1161" s="70" t="str">
        <f aca="false">IF($K1161="","",INDEX(Base!$J$5:$J$2004,$K1161))</f>
        <v/>
      </c>
      <c r="I1161" s="71" t="str">
        <f aca="false">IF($K1161="","",INDEX(Base!$L$5:$L$2004,$K1161))</f>
        <v/>
      </c>
      <c r="J1161" s="72" t="str">
        <f aca="false">IFERROR(SMALL(Base!$P$5:$P$2004,ROW()-5),"")</f>
        <v/>
      </c>
      <c r="K1161" s="72" t="str">
        <f aca="false">IF(J1161="","",MATCH(J1161,Base!$P$5:$P$2004,0))</f>
        <v/>
      </c>
    </row>
    <row r="1162" customFormat="false" ht="15" hidden="false" customHeight="false" outlineLevel="0" collapsed="false">
      <c r="A1162" s="67" t="str">
        <f aca="false">IF($K1162="","",ROW()-5)</f>
        <v/>
      </c>
      <c r="B1162" s="68" t="str">
        <f aca="false">IF($K1162="","",INDEX(Base!$E$5:$E$2004,$K1162))</f>
        <v/>
      </c>
      <c r="C1162" s="69" t="str">
        <f aca="false">IF($K1162="","",B1162)</f>
        <v/>
      </c>
      <c r="D1162" s="70" t="str">
        <f aca="false">IF($K1162="","",INDEX(Base!$F$5:$F$2004,$K1162))</f>
        <v/>
      </c>
      <c r="E1162" s="70" t="str">
        <f aca="false">IF($K1162="","",INDEX(Base!$G$5:$G$2004,$K1162))</f>
        <v/>
      </c>
      <c r="F1162" s="71" t="str">
        <f aca="false">IF($K1162="","",INDEX(Base!$H$5:$H$2004,$K1162))</f>
        <v/>
      </c>
      <c r="G1162" s="71" t="str">
        <f aca="false">IF($K1162="","",INDEX(Base!$I$5:$I$2004,$K1162))</f>
        <v/>
      </c>
      <c r="H1162" s="70" t="str">
        <f aca="false">IF($K1162="","",INDEX(Base!$J$5:$J$2004,$K1162))</f>
        <v/>
      </c>
      <c r="I1162" s="71" t="str">
        <f aca="false">IF($K1162="","",INDEX(Base!$L$5:$L$2004,$K1162))</f>
        <v/>
      </c>
      <c r="J1162" s="72" t="str">
        <f aca="false">IFERROR(SMALL(Base!$P$5:$P$2004,ROW()-5),"")</f>
        <v/>
      </c>
      <c r="K1162" s="72" t="str">
        <f aca="false">IF(J1162="","",MATCH(J1162,Base!$P$5:$P$2004,0))</f>
        <v/>
      </c>
    </row>
    <row r="1163" customFormat="false" ht="15" hidden="false" customHeight="false" outlineLevel="0" collapsed="false">
      <c r="A1163" s="67" t="str">
        <f aca="false">IF($K1163="","",ROW()-5)</f>
        <v/>
      </c>
      <c r="B1163" s="68" t="str">
        <f aca="false">IF($K1163="","",INDEX(Base!$E$5:$E$2004,$K1163))</f>
        <v/>
      </c>
      <c r="C1163" s="69" t="str">
        <f aca="false">IF($K1163="","",B1163)</f>
        <v/>
      </c>
      <c r="D1163" s="70" t="str">
        <f aca="false">IF($K1163="","",INDEX(Base!$F$5:$F$2004,$K1163))</f>
        <v/>
      </c>
      <c r="E1163" s="70" t="str">
        <f aca="false">IF($K1163="","",INDEX(Base!$G$5:$G$2004,$K1163))</f>
        <v/>
      </c>
      <c r="F1163" s="71" t="str">
        <f aca="false">IF($K1163="","",INDEX(Base!$H$5:$H$2004,$K1163))</f>
        <v/>
      </c>
      <c r="G1163" s="71" t="str">
        <f aca="false">IF($K1163="","",INDEX(Base!$I$5:$I$2004,$K1163))</f>
        <v/>
      </c>
      <c r="H1163" s="70" t="str">
        <f aca="false">IF($K1163="","",INDEX(Base!$J$5:$J$2004,$K1163))</f>
        <v/>
      </c>
      <c r="I1163" s="71" t="str">
        <f aca="false">IF($K1163="","",INDEX(Base!$L$5:$L$2004,$K1163))</f>
        <v/>
      </c>
      <c r="J1163" s="72" t="str">
        <f aca="false">IFERROR(SMALL(Base!$P$5:$P$2004,ROW()-5),"")</f>
        <v/>
      </c>
      <c r="K1163" s="72" t="str">
        <f aca="false">IF(J1163="","",MATCH(J1163,Base!$P$5:$P$2004,0))</f>
        <v/>
      </c>
    </row>
    <row r="1164" customFormat="false" ht="15" hidden="false" customHeight="false" outlineLevel="0" collapsed="false">
      <c r="A1164" s="67" t="str">
        <f aca="false">IF($K1164="","",ROW()-5)</f>
        <v/>
      </c>
      <c r="B1164" s="68" t="str">
        <f aca="false">IF($K1164="","",INDEX(Base!$E$5:$E$2004,$K1164))</f>
        <v/>
      </c>
      <c r="C1164" s="69" t="str">
        <f aca="false">IF($K1164="","",B1164)</f>
        <v/>
      </c>
      <c r="D1164" s="70" t="str">
        <f aca="false">IF($K1164="","",INDEX(Base!$F$5:$F$2004,$K1164))</f>
        <v/>
      </c>
      <c r="E1164" s="70" t="str">
        <f aca="false">IF($K1164="","",INDEX(Base!$G$5:$G$2004,$K1164))</f>
        <v/>
      </c>
      <c r="F1164" s="71" t="str">
        <f aca="false">IF($K1164="","",INDEX(Base!$H$5:$H$2004,$K1164))</f>
        <v/>
      </c>
      <c r="G1164" s="71" t="str">
        <f aca="false">IF($K1164="","",INDEX(Base!$I$5:$I$2004,$K1164))</f>
        <v/>
      </c>
      <c r="H1164" s="70" t="str">
        <f aca="false">IF($K1164="","",INDEX(Base!$J$5:$J$2004,$K1164))</f>
        <v/>
      </c>
      <c r="I1164" s="71" t="str">
        <f aca="false">IF($K1164="","",INDEX(Base!$L$5:$L$2004,$K1164))</f>
        <v/>
      </c>
      <c r="J1164" s="72" t="str">
        <f aca="false">IFERROR(SMALL(Base!$P$5:$P$2004,ROW()-5),"")</f>
        <v/>
      </c>
      <c r="K1164" s="72" t="str">
        <f aca="false">IF(J1164="","",MATCH(J1164,Base!$P$5:$P$2004,0))</f>
        <v/>
      </c>
    </row>
    <row r="1165" customFormat="false" ht="15" hidden="false" customHeight="false" outlineLevel="0" collapsed="false">
      <c r="A1165" s="67" t="str">
        <f aca="false">IF($K1165="","",ROW()-5)</f>
        <v/>
      </c>
      <c r="B1165" s="68" t="str">
        <f aca="false">IF($K1165="","",INDEX(Base!$E$5:$E$2004,$K1165))</f>
        <v/>
      </c>
      <c r="C1165" s="69" t="str">
        <f aca="false">IF($K1165="","",B1165)</f>
        <v/>
      </c>
      <c r="D1165" s="70" t="str">
        <f aca="false">IF($K1165="","",INDEX(Base!$F$5:$F$2004,$K1165))</f>
        <v/>
      </c>
      <c r="E1165" s="70" t="str">
        <f aca="false">IF($K1165="","",INDEX(Base!$G$5:$G$2004,$K1165))</f>
        <v/>
      </c>
      <c r="F1165" s="71" t="str">
        <f aca="false">IF($K1165="","",INDEX(Base!$H$5:$H$2004,$K1165))</f>
        <v/>
      </c>
      <c r="G1165" s="71" t="str">
        <f aca="false">IF($K1165="","",INDEX(Base!$I$5:$I$2004,$K1165))</f>
        <v/>
      </c>
      <c r="H1165" s="70" t="str">
        <f aca="false">IF($K1165="","",INDEX(Base!$J$5:$J$2004,$K1165))</f>
        <v/>
      </c>
      <c r="I1165" s="71" t="str">
        <f aca="false">IF($K1165="","",INDEX(Base!$L$5:$L$2004,$K1165))</f>
        <v/>
      </c>
      <c r="J1165" s="72" t="str">
        <f aca="false">IFERROR(SMALL(Base!$P$5:$P$2004,ROW()-5),"")</f>
        <v/>
      </c>
      <c r="K1165" s="72" t="str">
        <f aca="false">IF(J1165="","",MATCH(J1165,Base!$P$5:$P$2004,0))</f>
        <v/>
      </c>
    </row>
    <row r="1166" customFormat="false" ht="15" hidden="false" customHeight="false" outlineLevel="0" collapsed="false">
      <c r="A1166" s="67" t="str">
        <f aca="false">IF($K1166="","",ROW()-5)</f>
        <v/>
      </c>
      <c r="B1166" s="68" t="str">
        <f aca="false">IF($K1166="","",INDEX(Base!$E$5:$E$2004,$K1166))</f>
        <v/>
      </c>
      <c r="C1166" s="69" t="str">
        <f aca="false">IF($K1166="","",B1166)</f>
        <v/>
      </c>
      <c r="D1166" s="70" t="str">
        <f aca="false">IF($K1166="","",INDEX(Base!$F$5:$F$2004,$K1166))</f>
        <v/>
      </c>
      <c r="E1166" s="70" t="str">
        <f aca="false">IF($K1166="","",INDEX(Base!$G$5:$G$2004,$K1166))</f>
        <v/>
      </c>
      <c r="F1166" s="71" t="str">
        <f aca="false">IF($K1166="","",INDEX(Base!$H$5:$H$2004,$K1166))</f>
        <v/>
      </c>
      <c r="G1166" s="71" t="str">
        <f aca="false">IF($K1166="","",INDEX(Base!$I$5:$I$2004,$K1166))</f>
        <v/>
      </c>
      <c r="H1166" s="70" t="str">
        <f aca="false">IF($K1166="","",INDEX(Base!$J$5:$J$2004,$K1166))</f>
        <v/>
      </c>
      <c r="I1166" s="71" t="str">
        <f aca="false">IF($K1166="","",INDEX(Base!$L$5:$L$2004,$K1166))</f>
        <v/>
      </c>
      <c r="J1166" s="72" t="str">
        <f aca="false">IFERROR(SMALL(Base!$P$5:$P$2004,ROW()-5),"")</f>
        <v/>
      </c>
      <c r="K1166" s="72" t="str">
        <f aca="false">IF(J1166="","",MATCH(J1166,Base!$P$5:$P$2004,0))</f>
        <v/>
      </c>
    </row>
    <row r="1167" customFormat="false" ht="15" hidden="false" customHeight="false" outlineLevel="0" collapsed="false">
      <c r="A1167" s="67" t="str">
        <f aca="false">IF($K1167="","",ROW()-5)</f>
        <v/>
      </c>
      <c r="B1167" s="68" t="str">
        <f aca="false">IF($K1167="","",INDEX(Base!$E$5:$E$2004,$K1167))</f>
        <v/>
      </c>
      <c r="C1167" s="69" t="str">
        <f aca="false">IF($K1167="","",B1167)</f>
        <v/>
      </c>
      <c r="D1167" s="70" t="str">
        <f aca="false">IF($K1167="","",INDEX(Base!$F$5:$F$2004,$K1167))</f>
        <v/>
      </c>
      <c r="E1167" s="70" t="str">
        <f aca="false">IF($K1167="","",INDEX(Base!$G$5:$G$2004,$K1167))</f>
        <v/>
      </c>
      <c r="F1167" s="71" t="str">
        <f aca="false">IF($K1167="","",INDEX(Base!$H$5:$H$2004,$K1167))</f>
        <v/>
      </c>
      <c r="G1167" s="71" t="str">
        <f aca="false">IF($K1167="","",INDEX(Base!$I$5:$I$2004,$K1167))</f>
        <v/>
      </c>
      <c r="H1167" s="70" t="str">
        <f aca="false">IF($K1167="","",INDEX(Base!$J$5:$J$2004,$K1167))</f>
        <v/>
      </c>
      <c r="I1167" s="71" t="str">
        <f aca="false">IF($K1167="","",INDEX(Base!$L$5:$L$2004,$K1167))</f>
        <v/>
      </c>
      <c r="J1167" s="72" t="str">
        <f aca="false">IFERROR(SMALL(Base!$P$5:$P$2004,ROW()-5),"")</f>
        <v/>
      </c>
      <c r="K1167" s="72" t="str">
        <f aca="false">IF(J1167="","",MATCH(J1167,Base!$P$5:$P$2004,0))</f>
        <v/>
      </c>
    </row>
    <row r="1168" customFormat="false" ht="15" hidden="false" customHeight="false" outlineLevel="0" collapsed="false">
      <c r="A1168" s="67" t="str">
        <f aca="false">IF($K1168="","",ROW()-5)</f>
        <v/>
      </c>
      <c r="B1168" s="68" t="str">
        <f aca="false">IF($K1168="","",INDEX(Base!$E$5:$E$2004,$K1168))</f>
        <v/>
      </c>
      <c r="C1168" s="69" t="str">
        <f aca="false">IF($K1168="","",B1168)</f>
        <v/>
      </c>
      <c r="D1168" s="70" t="str">
        <f aca="false">IF($K1168="","",INDEX(Base!$F$5:$F$2004,$K1168))</f>
        <v/>
      </c>
      <c r="E1168" s="70" t="str">
        <f aca="false">IF($K1168="","",INDEX(Base!$G$5:$G$2004,$K1168))</f>
        <v/>
      </c>
      <c r="F1168" s="71" t="str">
        <f aca="false">IF($K1168="","",INDEX(Base!$H$5:$H$2004,$K1168))</f>
        <v/>
      </c>
      <c r="G1168" s="71" t="str">
        <f aca="false">IF($K1168="","",INDEX(Base!$I$5:$I$2004,$K1168))</f>
        <v/>
      </c>
      <c r="H1168" s="70" t="str">
        <f aca="false">IF($K1168="","",INDEX(Base!$J$5:$J$2004,$K1168))</f>
        <v/>
      </c>
      <c r="I1168" s="71" t="str">
        <f aca="false">IF($K1168="","",INDEX(Base!$L$5:$L$2004,$K1168))</f>
        <v/>
      </c>
      <c r="J1168" s="72" t="str">
        <f aca="false">IFERROR(SMALL(Base!$P$5:$P$2004,ROW()-5),"")</f>
        <v/>
      </c>
      <c r="K1168" s="72" t="str">
        <f aca="false">IF(J1168="","",MATCH(J1168,Base!$P$5:$P$2004,0))</f>
        <v/>
      </c>
    </row>
    <row r="1169" customFormat="false" ht="15" hidden="false" customHeight="false" outlineLevel="0" collapsed="false">
      <c r="A1169" s="67" t="str">
        <f aca="false">IF($K1169="","",ROW()-5)</f>
        <v/>
      </c>
      <c r="B1169" s="68" t="str">
        <f aca="false">IF($K1169="","",INDEX(Base!$E$5:$E$2004,$K1169))</f>
        <v/>
      </c>
      <c r="C1169" s="69" t="str">
        <f aca="false">IF($K1169="","",B1169)</f>
        <v/>
      </c>
      <c r="D1169" s="70" t="str">
        <f aca="false">IF($K1169="","",INDEX(Base!$F$5:$F$2004,$K1169))</f>
        <v/>
      </c>
      <c r="E1169" s="70" t="str">
        <f aca="false">IF($K1169="","",INDEX(Base!$G$5:$G$2004,$K1169))</f>
        <v/>
      </c>
      <c r="F1169" s="71" t="str">
        <f aca="false">IF($K1169="","",INDEX(Base!$H$5:$H$2004,$K1169))</f>
        <v/>
      </c>
      <c r="G1169" s="71" t="str">
        <f aca="false">IF($K1169="","",INDEX(Base!$I$5:$I$2004,$K1169))</f>
        <v/>
      </c>
      <c r="H1169" s="70" t="str">
        <f aca="false">IF($K1169="","",INDEX(Base!$J$5:$J$2004,$K1169))</f>
        <v/>
      </c>
      <c r="I1169" s="71" t="str">
        <f aca="false">IF($K1169="","",INDEX(Base!$L$5:$L$2004,$K1169))</f>
        <v/>
      </c>
      <c r="J1169" s="72" t="str">
        <f aca="false">IFERROR(SMALL(Base!$P$5:$P$2004,ROW()-5),"")</f>
        <v/>
      </c>
      <c r="K1169" s="72" t="str">
        <f aca="false">IF(J1169="","",MATCH(J1169,Base!$P$5:$P$2004,0))</f>
        <v/>
      </c>
    </row>
    <row r="1170" customFormat="false" ht="15" hidden="false" customHeight="false" outlineLevel="0" collapsed="false">
      <c r="A1170" s="67" t="str">
        <f aca="false">IF($K1170="","",ROW()-5)</f>
        <v/>
      </c>
      <c r="B1170" s="68" t="str">
        <f aca="false">IF($K1170="","",INDEX(Base!$E$5:$E$2004,$K1170))</f>
        <v/>
      </c>
      <c r="C1170" s="69" t="str">
        <f aca="false">IF($K1170="","",B1170)</f>
        <v/>
      </c>
      <c r="D1170" s="70" t="str">
        <f aca="false">IF($K1170="","",INDEX(Base!$F$5:$F$2004,$K1170))</f>
        <v/>
      </c>
      <c r="E1170" s="70" t="str">
        <f aca="false">IF($K1170="","",INDEX(Base!$G$5:$G$2004,$K1170))</f>
        <v/>
      </c>
      <c r="F1170" s="71" t="str">
        <f aca="false">IF($K1170="","",INDEX(Base!$H$5:$H$2004,$K1170))</f>
        <v/>
      </c>
      <c r="G1170" s="71" t="str">
        <f aca="false">IF($K1170="","",INDEX(Base!$I$5:$I$2004,$K1170))</f>
        <v/>
      </c>
      <c r="H1170" s="70" t="str">
        <f aca="false">IF($K1170="","",INDEX(Base!$J$5:$J$2004,$K1170))</f>
        <v/>
      </c>
      <c r="I1170" s="71" t="str">
        <f aca="false">IF($K1170="","",INDEX(Base!$L$5:$L$2004,$K1170))</f>
        <v/>
      </c>
      <c r="J1170" s="72" t="str">
        <f aca="false">IFERROR(SMALL(Base!$P$5:$P$2004,ROW()-5),"")</f>
        <v/>
      </c>
      <c r="K1170" s="72" t="str">
        <f aca="false">IF(J1170="","",MATCH(J1170,Base!$P$5:$P$2004,0))</f>
        <v/>
      </c>
    </row>
    <row r="1171" customFormat="false" ht="15" hidden="false" customHeight="false" outlineLevel="0" collapsed="false">
      <c r="A1171" s="67" t="str">
        <f aca="false">IF($K1171="","",ROW()-5)</f>
        <v/>
      </c>
      <c r="B1171" s="68" t="str">
        <f aca="false">IF($K1171="","",INDEX(Base!$E$5:$E$2004,$K1171))</f>
        <v/>
      </c>
      <c r="C1171" s="69" t="str">
        <f aca="false">IF($K1171="","",B1171)</f>
        <v/>
      </c>
      <c r="D1171" s="70" t="str">
        <f aca="false">IF($K1171="","",INDEX(Base!$F$5:$F$2004,$K1171))</f>
        <v/>
      </c>
      <c r="E1171" s="70" t="str">
        <f aca="false">IF($K1171="","",INDEX(Base!$G$5:$G$2004,$K1171))</f>
        <v/>
      </c>
      <c r="F1171" s="71" t="str">
        <f aca="false">IF($K1171="","",INDEX(Base!$H$5:$H$2004,$K1171))</f>
        <v/>
      </c>
      <c r="G1171" s="71" t="str">
        <f aca="false">IF($K1171="","",INDEX(Base!$I$5:$I$2004,$K1171))</f>
        <v/>
      </c>
      <c r="H1171" s="70" t="str">
        <f aca="false">IF($K1171="","",INDEX(Base!$J$5:$J$2004,$K1171))</f>
        <v/>
      </c>
      <c r="I1171" s="71" t="str">
        <f aca="false">IF($K1171="","",INDEX(Base!$L$5:$L$2004,$K1171))</f>
        <v/>
      </c>
      <c r="J1171" s="72" t="str">
        <f aca="false">IFERROR(SMALL(Base!$P$5:$P$2004,ROW()-5),"")</f>
        <v/>
      </c>
      <c r="K1171" s="72" t="str">
        <f aca="false">IF(J1171="","",MATCH(J1171,Base!$P$5:$P$2004,0))</f>
        <v/>
      </c>
    </row>
    <row r="1172" customFormat="false" ht="15" hidden="false" customHeight="false" outlineLevel="0" collapsed="false">
      <c r="A1172" s="67" t="str">
        <f aca="false">IF($K1172="","",ROW()-5)</f>
        <v/>
      </c>
      <c r="B1172" s="68" t="str">
        <f aca="false">IF($K1172="","",INDEX(Base!$E$5:$E$2004,$K1172))</f>
        <v/>
      </c>
      <c r="C1172" s="69" t="str">
        <f aca="false">IF($K1172="","",B1172)</f>
        <v/>
      </c>
      <c r="D1172" s="70" t="str">
        <f aca="false">IF($K1172="","",INDEX(Base!$F$5:$F$2004,$K1172))</f>
        <v/>
      </c>
      <c r="E1172" s="70" t="str">
        <f aca="false">IF($K1172="","",INDEX(Base!$G$5:$G$2004,$K1172))</f>
        <v/>
      </c>
      <c r="F1172" s="71" t="str">
        <f aca="false">IF($K1172="","",INDEX(Base!$H$5:$H$2004,$K1172))</f>
        <v/>
      </c>
      <c r="G1172" s="71" t="str">
        <f aca="false">IF($K1172="","",INDEX(Base!$I$5:$I$2004,$K1172))</f>
        <v/>
      </c>
      <c r="H1172" s="70" t="str">
        <f aca="false">IF($K1172="","",INDEX(Base!$J$5:$J$2004,$K1172))</f>
        <v/>
      </c>
      <c r="I1172" s="71" t="str">
        <f aca="false">IF($K1172="","",INDEX(Base!$L$5:$L$2004,$K1172))</f>
        <v/>
      </c>
      <c r="J1172" s="72" t="str">
        <f aca="false">IFERROR(SMALL(Base!$P$5:$P$2004,ROW()-5),"")</f>
        <v/>
      </c>
      <c r="K1172" s="72" t="str">
        <f aca="false">IF(J1172="","",MATCH(J1172,Base!$P$5:$P$2004,0))</f>
        <v/>
      </c>
    </row>
    <row r="1173" customFormat="false" ht="15" hidden="false" customHeight="false" outlineLevel="0" collapsed="false">
      <c r="A1173" s="67" t="str">
        <f aca="false">IF($K1173="","",ROW()-5)</f>
        <v/>
      </c>
      <c r="B1173" s="68" t="str">
        <f aca="false">IF($K1173="","",INDEX(Base!$E$5:$E$2004,$K1173))</f>
        <v/>
      </c>
      <c r="C1173" s="69" t="str">
        <f aca="false">IF($K1173="","",B1173)</f>
        <v/>
      </c>
      <c r="D1173" s="70" t="str">
        <f aca="false">IF($K1173="","",INDEX(Base!$F$5:$F$2004,$K1173))</f>
        <v/>
      </c>
      <c r="E1173" s="70" t="str">
        <f aca="false">IF($K1173="","",INDEX(Base!$G$5:$G$2004,$K1173))</f>
        <v/>
      </c>
      <c r="F1173" s="71" t="str">
        <f aca="false">IF($K1173="","",INDEX(Base!$H$5:$H$2004,$K1173))</f>
        <v/>
      </c>
      <c r="G1173" s="71" t="str">
        <f aca="false">IF($K1173="","",INDEX(Base!$I$5:$I$2004,$K1173))</f>
        <v/>
      </c>
      <c r="H1173" s="70" t="str">
        <f aca="false">IF($K1173="","",INDEX(Base!$J$5:$J$2004,$K1173))</f>
        <v/>
      </c>
      <c r="I1173" s="71" t="str">
        <f aca="false">IF($K1173="","",INDEX(Base!$L$5:$L$2004,$K1173))</f>
        <v/>
      </c>
      <c r="J1173" s="72" t="str">
        <f aca="false">IFERROR(SMALL(Base!$P$5:$P$2004,ROW()-5),"")</f>
        <v/>
      </c>
      <c r="K1173" s="72" t="str">
        <f aca="false">IF(J1173="","",MATCH(J1173,Base!$P$5:$P$2004,0))</f>
        <v/>
      </c>
    </row>
    <row r="1174" customFormat="false" ht="15" hidden="false" customHeight="false" outlineLevel="0" collapsed="false">
      <c r="A1174" s="67" t="str">
        <f aca="false">IF($K1174="","",ROW()-5)</f>
        <v/>
      </c>
      <c r="B1174" s="68" t="str">
        <f aca="false">IF($K1174="","",INDEX(Base!$E$5:$E$2004,$K1174))</f>
        <v/>
      </c>
      <c r="C1174" s="69" t="str">
        <f aca="false">IF($K1174="","",B1174)</f>
        <v/>
      </c>
      <c r="D1174" s="70" t="str">
        <f aca="false">IF($K1174="","",INDEX(Base!$F$5:$F$2004,$K1174))</f>
        <v/>
      </c>
      <c r="E1174" s="70" t="str">
        <f aca="false">IF($K1174="","",INDEX(Base!$G$5:$G$2004,$K1174))</f>
        <v/>
      </c>
      <c r="F1174" s="71" t="str">
        <f aca="false">IF($K1174="","",INDEX(Base!$H$5:$H$2004,$K1174))</f>
        <v/>
      </c>
      <c r="G1174" s="71" t="str">
        <f aca="false">IF($K1174="","",INDEX(Base!$I$5:$I$2004,$K1174))</f>
        <v/>
      </c>
      <c r="H1174" s="70" t="str">
        <f aca="false">IF($K1174="","",INDEX(Base!$J$5:$J$2004,$K1174))</f>
        <v/>
      </c>
      <c r="I1174" s="71" t="str">
        <f aca="false">IF($K1174="","",INDEX(Base!$L$5:$L$2004,$K1174))</f>
        <v/>
      </c>
      <c r="J1174" s="72" t="str">
        <f aca="false">IFERROR(SMALL(Base!$P$5:$P$2004,ROW()-5),"")</f>
        <v/>
      </c>
      <c r="K1174" s="72" t="str">
        <f aca="false">IF(J1174="","",MATCH(J1174,Base!$P$5:$P$2004,0))</f>
        <v/>
      </c>
    </row>
    <row r="1175" customFormat="false" ht="15" hidden="false" customHeight="false" outlineLevel="0" collapsed="false">
      <c r="A1175" s="67" t="str">
        <f aca="false">IF($K1175="","",ROW()-5)</f>
        <v/>
      </c>
      <c r="B1175" s="68" t="str">
        <f aca="false">IF($K1175="","",INDEX(Base!$E$5:$E$2004,$K1175))</f>
        <v/>
      </c>
      <c r="C1175" s="69" t="str">
        <f aca="false">IF($K1175="","",B1175)</f>
        <v/>
      </c>
      <c r="D1175" s="70" t="str">
        <f aca="false">IF($K1175="","",INDEX(Base!$F$5:$F$2004,$K1175))</f>
        <v/>
      </c>
      <c r="E1175" s="70" t="str">
        <f aca="false">IF($K1175="","",INDEX(Base!$G$5:$G$2004,$K1175))</f>
        <v/>
      </c>
      <c r="F1175" s="71" t="str">
        <f aca="false">IF($K1175="","",INDEX(Base!$H$5:$H$2004,$K1175))</f>
        <v/>
      </c>
      <c r="G1175" s="71" t="str">
        <f aca="false">IF($K1175="","",INDEX(Base!$I$5:$I$2004,$K1175))</f>
        <v/>
      </c>
      <c r="H1175" s="70" t="str">
        <f aca="false">IF($K1175="","",INDEX(Base!$J$5:$J$2004,$K1175))</f>
        <v/>
      </c>
      <c r="I1175" s="71" t="str">
        <f aca="false">IF($K1175="","",INDEX(Base!$L$5:$L$2004,$K1175))</f>
        <v/>
      </c>
      <c r="J1175" s="72" t="str">
        <f aca="false">IFERROR(SMALL(Base!$P$5:$P$2004,ROW()-5),"")</f>
        <v/>
      </c>
      <c r="K1175" s="72" t="str">
        <f aca="false">IF(J1175="","",MATCH(J1175,Base!$P$5:$P$2004,0))</f>
        <v/>
      </c>
    </row>
    <row r="1176" customFormat="false" ht="15" hidden="false" customHeight="false" outlineLevel="0" collapsed="false">
      <c r="A1176" s="67" t="str">
        <f aca="false">IF($K1176="","",ROW()-5)</f>
        <v/>
      </c>
      <c r="B1176" s="68" t="str">
        <f aca="false">IF($K1176="","",INDEX(Base!$E$5:$E$2004,$K1176))</f>
        <v/>
      </c>
      <c r="C1176" s="69" t="str">
        <f aca="false">IF($K1176="","",B1176)</f>
        <v/>
      </c>
      <c r="D1176" s="70" t="str">
        <f aca="false">IF($K1176="","",INDEX(Base!$F$5:$F$2004,$K1176))</f>
        <v/>
      </c>
      <c r="E1176" s="70" t="str">
        <f aca="false">IF($K1176="","",INDEX(Base!$G$5:$G$2004,$K1176))</f>
        <v/>
      </c>
      <c r="F1176" s="71" t="str">
        <f aca="false">IF($K1176="","",INDEX(Base!$H$5:$H$2004,$K1176))</f>
        <v/>
      </c>
      <c r="G1176" s="71" t="str">
        <f aca="false">IF($K1176="","",INDEX(Base!$I$5:$I$2004,$K1176))</f>
        <v/>
      </c>
      <c r="H1176" s="70" t="str">
        <f aca="false">IF($K1176="","",INDEX(Base!$J$5:$J$2004,$K1176))</f>
        <v/>
      </c>
      <c r="I1176" s="71" t="str">
        <f aca="false">IF($K1176="","",INDEX(Base!$L$5:$L$2004,$K1176))</f>
        <v/>
      </c>
      <c r="J1176" s="72" t="str">
        <f aca="false">IFERROR(SMALL(Base!$P$5:$P$2004,ROW()-5),"")</f>
        <v/>
      </c>
      <c r="K1176" s="72" t="str">
        <f aca="false">IF(J1176="","",MATCH(J1176,Base!$P$5:$P$2004,0))</f>
        <v/>
      </c>
    </row>
    <row r="1177" customFormat="false" ht="15" hidden="false" customHeight="false" outlineLevel="0" collapsed="false">
      <c r="A1177" s="67" t="str">
        <f aca="false">IF($K1177="","",ROW()-5)</f>
        <v/>
      </c>
      <c r="B1177" s="68" t="str">
        <f aca="false">IF($K1177="","",INDEX(Base!$E$5:$E$2004,$K1177))</f>
        <v/>
      </c>
      <c r="C1177" s="69" t="str">
        <f aca="false">IF($K1177="","",B1177)</f>
        <v/>
      </c>
      <c r="D1177" s="70" t="str">
        <f aca="false">IF($K1177="","",INDEX(Base!$F$5:$F$2004,$K1177))</f>
        <v/>
      </c>
      <c r="E1177" s="70" t="str">
        <f aca="false">IF($K1177="","",INDEX(Base!$G$5:$G$2004,$K1177))</f>
        <v/>
      </c>
      <c r="F1177" s="71" t="str">
        <f aca="false">IF($K1177="","",INDEX(Base!$H$5:$H$2004,$K1177))</f>
        <v/>
      </c>
      <c r="G1177" s="71" t="str">
        <f aca="false">IF($K1177="","",INDEX(Base!$I$5:$I$2004,$K1177))</f>
        <v/>
      </c>
      <c r="H1177" s="70" t="str">
        <f aca="false">IF($K1177="","",INDEX(Base!$J$5:$J$2004,$K1177))</f>
        <v/>
      </c>
      <c r="I1177" s="71" t="str">
        <f aca="false">IF($K1177="","",INDEX(Base!$L$5:$L$2004,$K1177))</f>
        <v/>
      </c>
      <c r="J1177" s="72" t="str">
        <f aca="false">IFERROR(SMALL(Base!$P$5:$P$2004,ROW()-5),"")</f>
        <v/>
      </c>
      <c r="K1177" s="72" t="str">
        <f aca="false">IF(J1177="","",MATCH(J1177,Base!$P$5:$P$2004,0))</f>
        <v/>
      </c>
    </row>
    <row r="1178" customFormat="false" ht="15" hidden="false" customHeight="false" outlineLevel="0" collapsed="false">
      <c r="A1178" s="67" t="str">
        <f aca="false">IF($K1178="","",ROW()-5)</f>
        <v/>
      </c>
      <c r="B1178" s="68" t="str">
        <f aca="false">IF($K1178="","",INDEX(Base!$E$5:$E$2004,$K1178))</f>
        <v/>
      </c>
      <c r="C1178" s="69" t="str">
        <f aca="false">IF($K1178="","",B1178)</f>
        <v/>
      </c>
      <c r="D1178" s="70" t="str">
        <f aca="false">IF($K1178="","",INDEX(Base!$F$5:$F$2004,$K1178))</f>
        <v/>
      </c>
      <c r="E1178" s="70" t="str">
        <f aca="false">IF($K1178="","",INDEX(Base!$G$5:$G$2004,$K1178))</f>
        <v/>
      </c>
      <c r="F1178" s="71" t="str">
        <f aca="false">IF($K1178="","",INDEX(Base!$H$5:$H$2004,$K1178))</f>
        <v/>
      </c>
      <c r="G1178" s="71" t="str">
        <f aca="false">IF($K1178="","",INDEX(Base!$I$5:$I$2004,$K1178))</f>
        <v/>
      </c>
      <c r="H1178" s="70" t="str">
        <f aca="false">IF($K1178="","",INDEX(Base!$J$5:$J$2004,$K1178))</f>
        <v/>
      </c>
      <c r="I1178" s="71" t="str">
        <f aca="false">IF($K1178="","",INDEX(Base!$L$5:$L$2004,$K1178))</f>
        <v/>
      </c>
      <c r="J1178" s="72" t="str">
        <f aca="false">IFERROR(SMALL(Base!$P$5:$P$2004,ROW()-5),"")</f>
        <v/>
      </c>
      <c r="K1178" s="72" t="str">
        <f aca="false">IF(J1178="","",MATCH(J1178,Base!$P$5:$P$2004,0))</f>
        <v/>
      </c>
    </row>
    <row r="1179" customFormat="false" ht="15" hidden="false" customHeight="false" outlineLevel="0" collapsed="false">
      <c r="A1179" s="67" t="str">
        <f aca="false">IF($K1179="","",ROW()-5)</f>
        <v/>
      </c>
      <c r="B1179" s="68" t="str">
        <f aca="false">IF($K1179="","",INDEX(Base!$E$5:$E$2004,$K1179))</f>
        <v/>
      </c>
      <c r="C1179" s="69" t="str">
        <f aca="false">IF($K1179="","",B1179)</f>
        <v/>
      </c>
      <c r="D1179" s="70" t="str">
        <f aca="false">IF($K1179="","",INDEX(Base!$F$5:$F$2004,$K1179))</f>
        <v/>
      </c>
      <c r="E1179" s="70" t="str">
        <f aca="false">IF($K1179="","",INDEX(Base!$G$5:$G$2004,$K1179))</f>
        <v/>
      </c>
      <c r="F1179" s="71" t="str">
        <f aca="false">IF($K1179="","",INDEX(Base!$H$5:$H$2004,$K1179))</f>
        <v/>
      </c>
      <c r="G1179" s="71" t="str">
        <f aca="false">IF($K1179="","",INDEX(Base!$I$5:$I$2004,$K1179))</f>
        <v/>
      </c>
      <c r="H1179" s="70" t="str">
        <f aca="false">IF($K1179="","",INDEX(Base!$J$5:$J$2004,$K1179))</f>
        <v/>
      </c>
      <c r="I1179" s="71" t="str">
        <f aca="false">IF($K1179="","",INDEX(Base!$L$5:$L$2004,$K1179))</f>
        <v/>
      </c>
      <c r="J1179" s="72" t="str">
        <f aca="false">IFERROR(SMALL(Base!$P$5:$P$2004,ROW()-5),"")</f>
        <v/>
      </c>
      <c r="K1179" s="72" t="str">
        <f aca="false">IF(J1179="","",MATCH(J1179,Base!$P$5:$P$2004,0))</f>
        <v/>
      </c>
    </row>
    <row r="1180" customFormat="false" ht="15" hidden="false" customHeight="false" outlineLevel="0" collapsed="false">
      <c r="A1180" s="67" t="str">
        <f aca="false">IF($K1180="","",ROW()-5)</f>
        <v/>
      </c>
      <c r="B1180" s="68" t="str">
        <f aca="false">IF($K1180="","",INDEX(Base!$E$5:$E$2004,$K1180))</f>
        <v/>
      </c>
      <c r="C1180" s="69" t="str">
        <f aca="false">IF($K1180="","",B1180)</f>
        <v/>
      </c>
      <c r="D1180" s="70" t="str">
        <f aca="false">IF($K1180="","",INDEX(Base!$F$5:$F$2004,$K1180))</f>
        <v/>
      </c>
      <c r="E1180" s="70" t="str">
        <f aca="false">IF($K1180="","",INDEX(Base!$G$5:$G$2004,$K1180))</f>
        <v/>
      </c>
      <c r="F1180" s="71" t="str">
        <f aca="false">IF($K1180="","",INDEX(Base!$H$5:$H$2004,$K1180))</f>
        <v/>
      </c>
      <c r="G1180" s="71" t="str">
        <f aca="false">IF($K1180="","",INDEX(Base!$I$5:$I$2004,$K1180))</f>
        <v/>
      </c>
      <c r="H1180" s="70" t="str">
        <f aca="false">IF($K1180="","",INDEX(Base!$J$5:$J$2004,$K1180))</f>
        <v/>
      </c>
      <c r="I1180" s="71" t="str">
        <f aca="false">IF($K1180="","",INDEX(Base!$L$5:$L$2004,$K1180))</f>
        <v/>
      </c>
      <c r="J1180" s="72" t="str">
        <f aca="false">IFERROR(SMALL(Base!$P$5:$P$2004,ROW()-5),"")</f>
        <v/>
      </c>
      <c r="K1180" s="72" t="str">
        <f aca="false">IF(J1180="","",MATCH(J1180,Base!$P$5:$P$2004,0))</f>
        <v/>
      </c>
    </row>
    <row r="1181" customFormat="false" ht="15" hidden="false" customHeight="false" outlineLevel="0" collapsed="false">
      <c r="A1181" s="67" t="str">
        <f aca="false">IF($K1181="","",ROW()-5)</f>
        <v/>
      </c>
      <c r="B1181" s="68" t="str">
        <f aca="false">IF($K1181="","",INDEX(Base!$E$5:$E$2004,$K1181))</f>
        <v/>
      </c>
      <c r="C1181" s="69" t="str">
        <f aca="false">IF($K1181="","",B1181)</f>
        <v/>
      </c>
      <c r="D1181" s="70" t="str">
        <f aca="false">IF($K1181="","",INDEX(Base!$F$5:$F$2004,$K1181))</f>
        <v/>
      </c>
      <c r="E1181" s="70" t="str">
        <f aca="false">IF($K1181="","",INDEX(Base!$G$5:$G$2004,$K1181))</f>
        <v/>
      </c>
      <c r="F1181" s="71" t="str">
        <f aca="false">IF($K1181="","",INDEX(Base!$H$5:$H$2004,$K1181))</f>
        <v/>
      </c>
      <c r="G1181" s="71" t="str">
        <f aca="false">IF($K1181="","",INDEX(Base!$I$5:$I$2004,$K1181))</f>
        <v/>
      </c>
      <c r="H1181" s="70" t="str">
        <f aca="false">IF($K1181="","",INDEX(Base!$J$5:$J$2004,$K1181))</f>
        <v/>
      </c>
      <c r="I1181" s="71" t="str">
        <f aca="false">IF($K1181="","",INDEX(Base!$L$5:$L$2004,$K1181))</f>
        <v/>
      </c>
      <c r="J1181" s="72" t="str">
        <f aca="false">IFERROR(SMALL(Base!$P$5:$P$2004,ROW()-5),"")</f>
        <v/>
      </c>
      <c r="K1181" s="72" t="str">
        <f aca="false">IF(J1181="","",MATCH(J1181,Base!$P$5:$P$2004,0))</f>
        <v/>
      </c>
    </row>
    <row r="1182" customFormat="false" ht="15" hidden="false" customHeight="false" outlineLevel="0" collapsed="false">
      <c r="A1182" s="67" t="str">
        <f aca="false">IF($K1182="","",ROW()-5)</f>
        <v/>
      </c>
      <c r="B1182" s="68" t="str">
        <f aca="false">IF($K1182="","",INDEX(Base!$E$5:$E$2004,$K1182))</f>
        <v/>
      </c>
      <c r="C1182" s="69" t="str">
        <f aca="false">IF($K1182="","",B1182)</f>
        <v/>
      </c>
      <c r="D1182" s="70" t="str">
        <f aca="false">IF($K1182="","",INDEX(Base!$F$5:$F$2004,$K1182))</f>
        <v/>
      </c>
      <c r="E1182" s="70" t="str">
        <f aca="false">IF($K1182="","",INDEX(Base!$G$5:$G$2004,$K1182))</f>
        <v/>
      </c>
      <c r="F1182" s="71" t="str">
        <f aca="false">IF($K1182="","",INDEX(Base!$H$5:$H$2004,$K1182))</f>
        <v/>
      </c>
      <c r="G1182" s="71" t="str">
        <f aca="false">IF($K1182="","",INDEX(Base!$I$5:$I$2004,$K1182))</f>
        <v/>
      </c>
      <c r="H1182" s="70" t="str">
        <f aca="false">IF($K1182="","",INDEX(Base!$J$5:$J$2004,$K1182))</f>
        <v/>
      </c>
      <c r="I1182" s="71" t="str">
        <f aca="false">IF($K1182="","",INDEX(Base!$L$5:$L$2004,$K1182))</f>
        <v/>
      </c>
      <c r="J1182" s="72" t="str">
        <f aca="false">IFERROR(SMALL(Base!$P$5:$P$2004,ROW()-5),"")</f>
        <v/>
      </c>
      <c r="K1182" s="72" t="str">
        <f aca="false">IF(J1182="","",MATCH(J1182,Base!$P$5:$P$2004,0))</f>
        <v/>
      </c>
    </row>
    <row r="1183" customFormat="false" ht="15" hidden="false" customHeight="false" outlineLevel="0" collapsed="false">
      <c r="A1183" s="67" t="str">
        <f aca="false">IF($K1183="","",ROW()-5)</f>
        <v/>
      </c>
      <c r="B1183" s="68" t="str">
        <f aca="false">IF($K1183="","",INDEX(Base!$E$5:$E$2004,$K1183))</f>
        <v/>
      </c>
      <c r="C1183" s="69" t="str">
        <f aca="false">IF($K1183="","",B1183)</f>
        <v/>
      </c>
      <c r="D1183" s="70" t="str">
        <f aca="false">IF($K1183="","",INDEX(Base!$F$5:$F$2004,$K1183))</f>
        <v/>
      </c>
      <c r="E1183" s="70" t="str">
        <f aca="false">IF($K1183="","",INDEX(Base!$G$5:$G$2004,$K1183))</f>
        <v/>
      </c>
      <c r="F1183" s="71" t="str">
        <f aca="false">IF($K1183="","",INDEX(Base!$H$5:$H$2004,$K1183))</f>
        <v/>
      </c>
      <c r="G1183" s="71" t="str">
        <f aca="false">IF($K1183="","",INDEX(Base!$I$5:$I$2004,$K1183))</f>
        <v/>
      </c>
      <c r="H1183" s="70" t="str">
        <f aca="false">IF($K1183="","",INDEX(Base!$J$5:$J$2004,$K1183))</f>
        <v/>
      </c>
      <c r="I1183" s="71" t="str">
        <f aca="false">IF($K1183="","",INDEX(Base!$L$5:$L$2004,$K1183))</f>
        <v/>
      </c>
      <c r="J1183" s="72" t="str">
        <f aca="false">IFERROR(SMALL(Base!$P$5:$P$2004,ROW()-5),"")</f>
        <v/>
      </c>
      <c r="K1183" s="72" t="str">
        <f aca="false">IF(J1183="","",MATCH(J1183,Base!$P$5:$P$2004,0))</f>
        <v/>
      </c>
    </row>
    <row r="1184" customFormat="false" ht="15" hidden="false" customHeight="false" outlineLevel="0" collapsed="false">
      <c r="A1184" s="67" t="str">
        <f aca="false">IF($K1184="","",ROW()-5)</f>
        <v/>
      </c>
      <c r="B1184" s="68" t="str">
        <f aca="false">IF($K1184="","",INDEX(Base!$E$5:$E$2004,$K1184))</f>
        <v/>
      </c>
      <c r="C1184" s="69" t="str">
        <f aca="false">IF($K1184="","",B1184)</f>
        <v/>
      </c>
      <c r="D1184" s="70" t="str">
        <f aca="false">IF($K1184="","",INDEX(Base!$F$5:$F$2004,$K1184))</f>
        <v/>
      </c>
      <c r="E1184" s="70" t="str">
        <f aca="false">IF($K1184="","",INDEX(Base!$G$5:$G$2004,$K1184))</f>
        <v/>
      </c>
      <c r="F1184" s="71" t="str">
        <f aca="false">IF($K1184="","",INDEX(Base!$H$5:$H$2004,$K1184))</f>
        <v/>
      </c>
      <c r="G1184" s="71" t="str">
        <f aca="false">IF($K1184="","",INDEX(Base!$I$5:$I$2004,$K1184))</f>
        <v/>
      </c>
      <c r="H1184" s="70" t="str">
        <f aca="false">IF($K1184="","",INDEX(Base!$J$5:$J$2004,$K1184))</f>
        <v/>
      </c>
      <c r="I1184" s="71" t="str">
        <f aca="false">IF($K1184="","",INDEX(Base!$L$5:$L$2004,$K1184))</f>
        <v/>
      </c>
      <c r="J1184" s="72" t="str">
        <f aca="false">IFERROR(SMALL(Base!$P$5:$P$2004,ROW()-5),"")</f>
        <v/>
      </c>
      <c r="K1184" s="72" t="str">
        <f aca="false">IF(J1184="","",MATCH(J1184,Base!$P$5:$P$2004,0))</f>
        <v/>
      </c>
    </row>
    <row r="1185" customFormat="false" ht="15" hidden="false" customHeight="false" outlineLevel="0" collapsed="false">
      <c r="A1185" s="67" t="str">
        <f aca="false">IF($K1185="","",ROW()-5)</f>
        <v/>
      </c>
      <c r="B1185" s="68" t="str">
        <f aca="false">IF($K1185="","",INDEX(Base!$E$5:$E$2004,$K1185))</f>
        <v/>
      </c>
      <c r="C1185" s="69" t="str">
        <f aca="false">IF($K1185="","",B1185)</f>
        <v/>
      </c>
      <c r="D1185" s="70" t="str">
        <f aca="false">IF($K1185="","",INDEX(Base!$F$5:$F$2004,$K1185))</f>
        <v/>
      </c>
      <c r="E1185" s="70" t="str">
        <f aca="false">IF($K1185="","",INDEX(Base!$G$5:$G$2004,$K1185))</f>
        <v/>
      </c>
      <c r="F1185" s="71" t="str">
        <f aca="false">IF($K1185="","",INDEX(Base!$H$5:$H$2004,$K1185))</f>
        <v/>
      </c>
      <c r="G1185" s="71" t="str">
        <f aca="false">IF($K1185="","",INDEX(Base!$I$5:$I$2004,$K1185))</f>
        <v/>
      </c>
      <c r="H1185" s="70" t="str">
        <f aca="false">IF($K1185="","",INDEX(Base!$J$5:$J$2004,$K1185))</f>
        <v/>
      </c>
      <c r="I1185" s="71" t="str">
        <f aca="false">IF($K1185="","",INDEX(Base!$L$5:$L$2004,$K1185))</f>
        <v/>
      </c>
      <c r="J1185" s="72" t="str">
        <f aca="false">IFERROR(SMALL(Base!$P$5:$P$2004,ROW()-5),"")</f>
        <v/>
      </c>
      <c r="K1185" s="72" t="str">
        <f aca="false">IF(J1185="","",MATCH(J1185,Base!$P$5:$P$2004,0))</f>
        <v/>
      </c>
    </row>
    <row r="1186" customFormat="false" ht="15" hidden="false" customHeight="false" outlineLevel="0" collapsed="false">
      <c r="A1186" s="67" t="str">
        <f aca="false">IF($K1186="","",ROW()-5)</f>
        <v/>
      </c>
      <c r="B1186" s="68" t="str">
        <f aca="false">IF($K1186="","",INDEX(Base!$E$5:$E$2004,$K1186))</f>
        <v/>
      </c>
      <c r="C1186" s="69" t="str">
        <f aca="false">IF($K1186="","",B1186)</f>
        <v/>
      </c>
      <c r="D1186" s="70" t="str">
        <f aca="false">IF($K1186="","",INDEX(Base!$F$5:$F$2004,$K1186))</f>
        <v/>
      </c>
      <c r="E1186" s="70" t="str">
        <f aca="false">IF($K1186="","",INDEX(Base!$G$5:$G$2004,$K1186))</f>
        <v/>
      </c>
      <c r="F1186" s="71" t="str">
        <f aca="false">IF($K1186="","",INDEX(Base!$H$5:$H$2004,$K1186))</f>
        <v/>
      </c>
      <c r="G1186" s="71" t="str">
        <f aca="false">IF($K1186="","",INDEX(Base!$I$5:$I$2004,$K1186))</f>
        <v/>
      </c>
      <c r="H1186" s="70" t="str">
        <f aca="false">IF($K1186="","",INDEX(Base!$J$5:$J$2004,$K1186))</f>
        <v/>
      </c>
      <c r="I1186" s="71" t="str">
        <f aca="false">IF($K1186="","",INDEX(Base!$L$5:$L$2004,$K1186))</f>
        <v/>
      </c>
      <c r="J1186" s="72" t="str">
        <f aca="false">IFERROR(SMALL(Base!$P$5:$P$2004,ROW()-5),"")</f>
        <v/>
      </c>
      <c r="K1186" s="72" t="str">
        <f aca="false">IF(J1186="","",MATCH(J1186,Base!$P$5:$P$2004,0))</f>
        <v/>
      </c>
    </row>
    <row r="1187" customFormat="false" ht="15" hidden="false" customHeight="false" outlineLevel="0" collapsed="false">
      <c r="A1187" s="67" t="str">
        <f aca="false">IF($K1187="","",ROW()-5)</f>
        <v/>
      </c>
      <c r="B1187" s="68" t="str">
        <f aca="false">IF($K1187="","",INDEX(Base!$E$5:$E$2004,$K1187))</f>
        <v/>
      </c>
      <c r="C1187" s="69" t="str">
        <f aca="false">IF($K1187="","",B1187)</f>
        <v/>
      </c>
      <c r="D1187" s="70" t="str">
        <f aca="false">IF($K1187="","",INDEX(Base!$F$5:$F$2004,$K1187))</f>
        <v/>
      </c>
      <c r="E1187" s="70" t="str">
        <f aca="false">IF($K1187="","",INDEX(Base!$G$5:$G$2004,$K1187))</f>
        <v/>
      </c>
      <c r="F1187" s="71" t="str">
        <f aca="false">IF($K1187="","",INDEX(Base!$H$5:$H$2004,$K1187))</f>
        <v/>
      </c>
      <c r="G1187" s="71" t="str">
        <f aca="false">IF($K1187="","",INDEX(Base!$I$5:$I$2004,$K1187))</f>
        <v/>
      </c>
      <c r="H1187" s="70" t="str">
        <f aca="false">IF($K1187="","",INDEX(Base!$J$5:$J$2004,$K1187))</f>
        <v/>
      </c>
      <c r="I1187" s="71" t="str">
        <f aca="false">IF($K1187="","",INDEX(Base!$L$5:$L$2004,$K1187))</f>
        <v/>
      </c>
      <c r="J1187" s="72" t="str">
        <f aca="false">IFERROR(SMALL(Base!$P$5:$P$2004,ROW()-5),"")</f>
        <v/>
      </c>
      <c r="K1187" s="72" t="str">
        <f aca="false">IF(J1187="","",MATCH(J1187,Base!$P$5:$P$2004,0))</f>
        <v/>
      </c>
    </row>
    <row r="1188" customFormat="false" ht="15" hidden="false" customHeight="false" outlineLevel="0" collapsed="false">
      <c r="A1188" s="67" t="str">
        <f aca="false">IF($K1188="","",ROW()-5)</f>
        <v/>
      </c>
      <c r="B1188" s="68" t="str">
        <f aca="false">IF($K1188="","",INDEX(Base!$E$5:$E$2004,$K1188))</f>
        <v/>
      </c>
      <c r="C1188" s="69" t="str">
        <f aca="false">IF($K1188="","",B1188)</f>
        <v/>
      </c>
      <c r="D1188" s="70" t="str">
        <f aca="false">IF($K1188="","",INDEX(Base!$F$5:$F$2004,$K1188))</f>
        <v/>
      </c>
      <c r="E1188" s="70" t="str">
        <f aca="false">IF($K1188="","",INDEX(Base!$G$5:$G$2004,$K1188))</f>
        <v/>
      </c>
      <c r="F1188" s="71" t="str">
        <f aca="false">IF($K1188="","",INDEX(Base!$H$5:$H$2004,$K1188))</f>
        <v/>
      </c>
      <c r="G1188" s="71" t="str">
        <f aca="false">IF($K1188="","",INDEX(Base!$I$5:$I$2004,$K1188))</f>
        <v/>
      </c>
      <c r="H1188" s="70" t="str">
        <f aca="false">IF($K1188="","",INDEX(Base!$J$5:$J$2004,$K1188))</f>
        <v/>
      </c>
      <c r="I1188" s="71" t="str">
        <f aca="false">IF($K1188="","",INDEX(Base!$L$5:$L$2004,$K1188))</f>
        <v/>
      </c>
      <c r="J1188" s="72" t="str">
        <f aca="false">IFERROR(SMALL(Base!$P$5:$P$2004,ROW()-5),"")</f>
        <v/>
      </c>
      <c r="K1188" s="72" t="str">
        <f aca="false">IF(J1188="","",MATCH(J1188,Base!$P$5:$P$2004,0))</f>
        <v/>
      </c>
    </row>
    <row r="1189" customFormat="false" ht="15" hidden="false" customHeight="false" outlineLevel="0" collapsed="false">
      <c r="A1189" s="67" t="str">
        <f aca="false">IF($K1189="","",ROW()-5)</f>
        <v/>
      </c>
      <c r="B1189" s="68" t="str">
        <f aca="false">IF($K1189="","",INDEX(Base!$E$5:$E$2004,$K1189))</f>
        <v/>
      </c>
      <c r="C1189" s="69" t="str">
        <f aca="false">IF($K1189="","",B1189)</f>
        <v/>
      </c>
      <c r="D1189" s="70" t="str">
        <f aca="false">IF($K1189="","",INDEX(Base!$F$5:$F$2004,$K1189))</f>
        <v/>
      </c>
      <c r="E1189" s="70" t="str">
        <f aca="false">IF($K1189="","",INDEX(Base!$G$5:$G$2004,$K1189))</f>
        <v/>
      </c>
      <c r="F1189" s="71" t="str">
        <f aca="false">IF($K1189="","",INDEX(Base!$H$5:$H$2004,$K1189))</f>
        <v/>
      </c>
      <c r="G1189" s="71" t="str">
        <f aca="false">IF($K1189="","",INDEX(Base!$I$5:$I$2004,$K1189))</f>
        <v/>
      </c>
      <c r="H1189" s="70" t="str">
        <f aca="false">IF($K1189="","",INDEX(Base!$J$5:$J$2004,$K1189))</f>
        <v/>
      </c>
      <c r="I1189" s="71" t="str">
        <f aca="false">IF($K1189="","",INDEX(Base!$L$5:$L$2004,$K1189))</f>
        <v/>
      </c>
      <c r="J1189" s="72" t="str">
        <f aca="false">IFERROR(SMALL(Base!$P$5:$P$2004,ROW()-5),"")</f>
        <v/>
      </c>
      <c r="K1189" s="72" t="str">
        <f aca="false">IF(J1189="","",MATCH(J1189,Base!$P$5:$P$2004,0))</f>
        <v/>
      </c>
    </row>
    <row r="1190" customFormat="false" ht="15" hidden="false" customHeight="false" outlineLevel="0" collapsed="false">
      <c r="A1190" s="67" t="str">
        <f aca="false">IF($K1190="","",ROW()-5)</f>
        <v/>
      </c>
      <c r="B1190" s="68" t="str">
        <f aca="false">IF($K1190="","",INDEX(Base!$E$5:$E$2004,$K1190))</f>
        <v/>
      </c>
      <c r="C1190" s="69" t="str">
        <f aca="false">IF($K1190="","",B1190)</f>
        <v/>
      </c>
      <c r="D1190" s="70" t="str">
        <f aca="false">IF($K1190="","",INDEX(Base!$F$5:$F$2004,$K1190))</f>
        <v/>
      </c>
      <c r="E1190" s="70" t="str">
        <f aca="false">IF($K1190="","",INDEX(Base!$G$5:$G$2004,$K1190))</f>
        <v/>
      </c>
      <c r="F1190" s="71" t="str">
        <f aca="false">IF($K1190="","",INDEX(Base!$H$5:$H$2004,$K1190))</f>
        <v/>
      </c>
      <c r="G1190" s="71" t="str">
        <f aca="false">IF($K1190="","",INDEX(Base!$I$5:$I$2004,$K1190))</f>
        <v/>
      </c>
      <c r="H1190" s="70" t="str">
        <f aca="false">IF($K1190="","",INDEX(Base!$J$5:$J$2004,$K1190))</f>
        <v/>
      </c>
      <c r="I1190" s="71" t="str">
        <f aca="false">IF($K1190="","",INDEX(Base!$L$5:$L$2004,$K1190))</f>
        <v/>
      </c>
      <c r="J1190" s="72" t="str">
        <f aca="false">IFERROR(SMALL(Base!$P$5:$P$2004,ROW()-5),"")</f>
        <v/>
      </c>
      <c r="K1190" s="72" t="str">
        <f aca="false">IF(J1190="","",MATCH(J1190,Base!$P$5:$P$2004,0))</f>
        <v/>
      </c>
    </row>
    <row r="1191" customFormat="false" ht="15" hidden="false" customHeight="false" outlineLevel="0" collapsed="false">
      <c r="A1191" s="67" t="str">
        <f aca="false">IF($K1191="","",ROW()-5)</f>
        <v/>
      </c>
      <c r="B1191" s="68" t="str">
        <f aca="false">IF($K1191="","",INDEX(Base!$E$5:$E$2004,$K1191))</f>
        <v/>
      </c>
      <c r="C1191" s="69" t="str">
        <f aca="false">IF($K1191="","",B1191)</f>
        <v/>
      </c>
      <c r="D1191" s="70" t="str">
        <f aca="false">IF($K1191="","",INDEX(Base!$F$5:$F$2004,$K1191))</f>
        <v/>
      </c>
      <c r="E1191" s="70" t="str">
        <f aca="false">IF($K1191="","",INDEX(Base!$G$5:$G$2004,$K1191))</f>
        <v/>
      </c>
      <c r="F1191" s="71" t="str">
        <f aca="false">IF($K1191="","",INDEX(Base!$H$5:$H$2004,$K1191))</f>
        <v/>
      </c>
      <c r="G1191" s="71" t="str">
        <f aca="false">IF($K1191="","",INDEX(Base!$I$5:$I$2004,$K1191))</f>
        <v/>
      </c>
      <c r="H1191" s="70" t="str">
        <f aca="false">IF($K1191="","",INDEX(Base!$J$5:$J$2004,$K1191))</f>
        <v/>
      </c>
      <c r="I1191" s="71" t="str">
        <f aca="false">IF($K1191="","",INDEX(Base!$L$5:$L$2004,$K1191))</f>
        <v/>
      </c>
      <c r="J1191" s="72" t="str">
        <f aca="false">IFERROR(SMALL(Base!$P$5:$P$2004,ROW()-5),"")</f>
        <v/>
      </c>
      <c r="K1191" s="72" t="str">
        <f aca="false">IF(J1191="","",MATCH(J1191,Base!$P$5:$P$2004,0))</f>
        <v/>
      </c>
    </row>
    <row r="1192" customFormat="false" ht="15" hidden="false" customHeight="false" outlineLevel="0" collapsed="false">
      <c r="A1192" s="67" t="str">
        <f aca="false">IF($K1192="","",ROW()-5)</f>
        <v/>
      </c>
      <c r="B1192" s="68" t="str">
        <f aca="false">IF($K1192="","",INDEX(Base!$E$5:$E$2004,$K1192))</f>
        <v/>
      </c>
      <c r="C1192" s="69" t="str">
        <f aca="false">IF($K1192="","",B1192)</f>
        <v/>
      </c>
      <c r="D1192" s="70" t="str">
        <f aca="false">IF($K1192="","",INDEX(Base!$F$5:$F$2004,$K1192))</f>
        <v/>
      </c>
      <c r="E1192" s="70" t="str">
        <f aca="false">IF($K1192="","",INDEX(Base!$G$5:$G$2004,$K1192))</f>
        <v/>
      </c>
      <c r="F1192" s="71" t="str">
        <f aca="false">IF($K1192="","",INDEX(Base!$H$5:$H$2004,$K1192))</f>
        <v/>
      </c>
      <c r="G1192" s="71" t="str">
        <f aca="false">IF($K1192="","",INDEX(Base!$I$5:$I$2004,$K1192))</f>
        <v/>
      </c>
      <c r="H1192" s="70" t="str">
        <f aca="false">IF($K1192="","",INDEX(Base!$J$5:$J$2004,$K1192))</f>
        <v/>
      </c>
      <c r="I1192" s="71" t="str">
        <f aca="false">IF($K1192="","",INDEX(Base!$L$5:$L$2004,$K1192))</f>
        <v/>
      </c>
      <c r="J1192" s="72" t="str">
        <f aca="false">IFERROR(SMALL(Base!$P$5:$P$2004,ROW()-5),"")</f>
        <v/>
      </c>
      <c r="K1192" s="72" t="str">
        <f aca="false">IF(J1192="","",MATCH(J1192,Base!$P$5:$P$2004,0))</f>
        <v/>
      </c>
    </row>
    <row r="1193" customFormat="false" ht="15" hidden="false" customHeight="false" outlineLevel="0" collapsed="false">
      <c r="A1193" s="67" t="str">
        <f aca="false">IF($K1193="","",ROW()-5)</f>
        <v/>
      </c>
      <c r="B1193" s="68" t="str">
        <f aca="false">IF($K1193="","",INDEX(Base!$E$5:$E$2004,$K1193))</f>
        <v/>
      </c>
      <c r="C1193" s="69" t="str">
        <f aca="false">IF($K1193="","",B1193)</f>
        <v/>
      </c>
      <c r="D1193" s="70" t="str">
        <f aca="false">IF($K1193="","",INDEX(Base!$F$5:$F$2004,$K1193))</f>
        <v/>
      </c>
      <c r="E1193" s="70" t="str">
        <f aca="false">IF($K1193="","",INDEX(Base!$G$5:$G$2004,$K1193))</f>
        <v/>
      </c>
      <c r="F1193" s="71" t="str">
        <f aca="false">IF($K1193="","",INDEX(Base!$H$5:$H$2004,$K1193))</f>
        <v/>
      </c>
      <c r="G1193" s="71" t="str">
        <f aca="false">IF($K1193="","",INDEX(Base!$I$5:$I$2004,$K1193))</f>
        <v/>
      </c>
      <c r="H1193" s="70" t="str">
        <f aca="false">IF($K1193="","",INDEX(Base!$J$5:$J$2004,$K1193))</f>
        <v/>
      </c>
      <c r="I1193" s="71" t="str">
        <f aca="false">IF($K1193="","",INDEX(Base!$L$5:$L$2004,$K1193))</f>
        <v/>
      </c>
      <c r="J1193" s="72" t="str">
        <f aca="false">IFERROR(SMALL(Base!$P$5:$P$2004,ROW()-5),"")</f>
        <v/>
      </c>
      <c r="K1193" s="72" t="str">
        <f aca="false">IF(J1193="","",MATCH(J1193,Base!$P$5:$P$2004,0))</f>
        <v/>
      </c>
    </row>
    <row r="1194" customFormat="false" ht="15" hidden="false" customHeight="false" outlineLevel="0" collapsed="false">
      <c r="A1194" s="67" t="str">
        <f aca="false">IF($K1194="","",ROW()-5)</f>
        <v/>
      </c>
      <c r="B1194" s="68" t="str">
        <f aca="false">IF($K1194="","",INDEX(Base!$E$5:$E$2004,$K1194))</f>
        <v/>
      </c>
      <c r="C1194" s="69" t="str">
        <f aca="false">IF($K1194="","",B1194)</f>
        <v/>
      </c>
      <c r="D1194" s="70" t="str">
        <f aca="false">IF($K1194="","",INDEX(Base!$F$5:$F$2004,$K1194))</f>
        <v/>
      </c>
      <c r="E1194" s="70" t="str">
        <f aca="false">IF($K1194="","",INDEX(Base!$G$5:$G$2004,$K1194))</f>
        <v/>
      </c>
      <c r="F1194" s="71" t="str">
        <f aca="false">IF($K1194="","",INDEX(Base!$H$5:$H$2004,$K1194))</f>
        <v/>
      </c>
      <c r="G1194" s="71" t="str">
        <f aca="false">IF($K1194="","",INDEX(Base!$I$5:$I$2004,$K1194))</f>
        <v/>
      </c>
      <c r="H1194" s="70" t="str">
        <f aca="false">IF($K1194="","",INDEX(Base!$J$5:$J$2004,$K1194))</f>
        <v/>
      </c>
      <c r="I1194" s="71" t="str">
        <f aca="false">IF($K1194="","",INDEX(Base!$L$5:$L$2004,$K1194))</f>
        <v/>
      </c>
      <c r="J1194" s="72" t="str">
        <f aca="false">IFERROR(SMALL(Base!$P$5:$P$2004,ROW()-5),"")</f>
        <v/>
      </c>
      <c r="K1194" s="72" t="str">
        <f aca="false">IF(J1194="","",MATCH(J1194,Base!$P$5:$P$2004,0))</f>
        <v/>
      </c>
    </row>
    <row r="1195" customFormat="false" ht="15" hidden="false" customHeight="false" outlineLevel="0" collapsed="false">
      <c r="A1195" s="67" t="str">
        <f aca="false">IF($K1195="","",ROW()-5)</f>
        <v/>
      </c>
      <c r="B1195" s="68" t="str">
        <f aca="false">IF($K1195="","",INDEX(Base!$E$5:$E$2004,$K1195))</f>
        <v/>
      </c>
      <c r="C1195" s="69" t="str">
        <f aca="false">IF($K1195="","",B1195)</f>
        <v/>
      </c>
      <c r="D1195" s="70" t="str">
        <f aca="false">IF($K1195="","",INDEX(Base!$F$5:$F$2004,$K1195))</f>
        <v/>
      </c>
      <c r="E1195" s="70" t="str">
        <f aca="false">IF($K1195="","",INDEX(Base!$G$5:$G$2004,$K1195))</f>
        <v/>
      </c>
      <c r="F1195" s="71" t="str">
        <f aca="false">IF($K1195="","",INDEX(Base!$H$5:$H$2004,$K1195))</f>
        <v/>
      </c>
      <c r="G1195" s="71" t="str">
        <f aca="false">IF($K1195="","",INDEX(Base!$I$5:$I$2004,$K1195))</f>
        <v/>
      </c>
      <c r="H1195" s="70" t="str">
        <f aca="false">IF($K1195="","",INDEX(Base!$J$5:$J$2004,$K1195))</f>
        <v/>
      </c>
      <c r="I1195" s="71" t="str">
        <f aca="false">IF($K1195="","",INDEX(Base!$L$5:$L$2004,$K1195))</f>
        <v/>
      </c>
      <c r="J1195" s="72" t="str">
        <f aca="false">IFERROR(SMALL(Base!$P$5:$P$2004,ROW()-5),"")</f>
        <v/>
      </c>
      <c r="K1195" s="72" t="str">
        <f aca="false">IF(J1195="","",MATCH(J1195,Base!$P$5:$P$2004,0))</f>
        <v/>
      </c>
    </row>
    <row r="1196" customFormat="false" ht="15" hidden="false" customHeight="false" outlineLevel="0" collapsed="false">
      <c r="A1196" s="67" t="str">
        <f aca="false">IF($K1196="","",ROW()-5)</f>
        <v/>
      </c>
      <c r="B1196" s="68" t="str">
        <f aca="false">IF($K1196="","",INDEX(Base!$E$5:$E$2004,$K1196))</f>
        <v/>
      </c>
      <c r="C1196" s="69" t="str">
        <f aca="false">IF($K1196="","",B1196)</f>
        <v/>
      </c>
      <c r="D1196" s="70" t="str">
        <f aca="false">IF($K1196="","",INDEX(Base!$F$5:$F$2004,$K1196))</f>
        <v/>
      </c>
      <c r="E1196" s="70" t="str">
        <f aca="false">IF($K1196="","",INDEX(Base!$G$5:$G$2004,$K1196))</f>
        <v/>
      </c>
      <c r="F1196" s="71" t="str">
        <f aca="false">IF($K1196="","",INDEX(Base!$H$5:$H$2004,$K1196))</f>
        <v/>
      </c>
      <c r="G1196" s="71" t="str">
        <f aca="false">IF($K1196="","",INDEX(Base!$I$5:$I$2004,$K1196))</f>
        <v/>
      </c>
      <c r="H1196" s="70" t="str">
        <f aca="false">IF($K1196="","",INDEX(Base!$J$5:$J$2004,$K1196))</f>
        <v/>
      </c>
      <c r="I1196" s="71" t="str">
        <f aca="false">IF($K1196="","",INDEX(Base!$L$5:$L$2004,$K1196))</f>
        <v/>
      </c>
      <c r="J1196" s="72" t="str">
        <f aca="false">IFERROR(SMALL(Base!$P$5:$P$2004,ROW()-5),"")</f>
        <v/>
      </c>
      <c r="K1196" s="72" t="str">
        <f aca="false">IF(J1196="","",MATCH(J1196,Base!$P$5:$P$2004,0))</f>
        <v/>
      </c>
    </row>
    <row r="1197" customFormat="false" ht="15" hidden="false" customHeight="false" outlineLevel="0" collapsed="false">
      <c r="A1197" s="67" t="str">
        <f aca="false">IF($K1197="","",ROW()-5)</f>
        <v/>
      </c>
      <c r="B1197" s="68" t="str">
        <f aca="false">IF($K1197="","",INDEX(Base!$E$5:$E$2004,$K1197))</f>
        <v/>
      </c>
      <c r="C1197" s="69" t="str">
        <f aca="false">IF($K1197="","",B1197)</f>
        <v/>
      </c>
      <c r="D1197" s="70" t="str">
        <f aca="false">IF($K1197="","",INDEX(Base!$F$5:$F$2004,$K1197))</f>
        <v/>
      </c>
      <c r="E1197" s="70" t="str">
        <f aca="false">IF($K1197="","",INDEX(Base!$G$5:$G$2004,$K1197))</f>
        <v/>
      </c>
      <c r="F1197" s="71" t="str">
        <f aca="false">IF($K1197="","",INDEX(Base!$H$5:$H$2004,$K1197))</f>
        <v/>
      </c>
      <c r="G1197" s="71" t="str">
        <f aca="false">IF($K1197="","",INDEX(Base!$I$5:$I$2004,$K1197))</f>
        <v/>
      </c>
      <c r="H1197" s="70" t="str">
        <f aca="false">IF($K1197="","",INDEX(Base!$J$5:$J$2004,$K1197))</f>
        <v/>
      </c>
      <c r="I1197" s="71" t="str">
        <f aca="false">IF($K1197="","",INDEX(Base!$L$5:$L$2004,$K1197))</f>
        <v/>
      </c>
      <c r="J1197" s="72" t="str">
        <f aca="false">IFERROR(SMALL(Base!$P$5:$P$2004,ROW()-5),"")</f>
        <v/>
      </c>
      <c r="K1197" s="72" t="str">
        <f aca="false">IF(J1197="","",MATCH(J1197,Base!$P$5:$P$2004,0))</f>
        <v/>
      </c>
    </row>
    <row r="1198" customFormat="false" ht="15" hidden="false" customHeight="false" outlineLevel="0" collapsed="false">
      <c r="A1198" s="67" t="str">
        <f aca="false">IF($K1198="","",ROW()-5)</f>
        <v/>
      </c>
      <c r="B1198" s="68" t="str">
        <f aca="false">IF($K1198="","",INDEX(Base!$E$5:$E$2004,$K1198))</f>
        <v/>
      </c>
      <c r="C1198" s="69" t="str">
        <f aca="false">IF($K1198="","",B1198)</f>
        <v/>
      </c>
      <c r="D1198" s="70" t="str">
        <f aca="false">IF($K1198="","",INDEX(Base!$F$5:$F$2004,$K1198))</f>
        <v/>
      </c>
      <c r="E1198" s="70" t="str">
        <f aca="false">IF($K1198="","",INDEX(Base!$G$5:$G$2004,$K1198))</f>
        <v/>
      </c>
      <c r="F1198" s="71" t="str">
        <f aca="false">IF($K1198="","",INDEX(Base!$H$5:$H$2004,$K1198))</f>
        <v/>
      </c>
      <c r="G1198" s="71" t="str">
        <f aca="false">IF($K1198="","",INDEX(Base!$I$5:$I$2004,$K1198))</f>
        <v/>
      </c>
      <c r="H1198" s="70" t="str">
        <f aca="false">IF($K1198="","",INDEX(Base!$J$5:$J$2004,$K1198))</f>
        <v/>
      </c>
      <c r="I1198" s="71" t="str">
        <f aca="false">IF($K1198="","",INDEX(Base!$L$5:$L$2004,$K1198))</f>
        <v/>
      </c>
      <c r="J1198" s="72" t="str">
        <f aca="false">IFERROR(SMALL(Base!$P$5:$P$2004,ROW()-5),"")</f>
        <v/>
      </c>
      <c r="K1198" s="72" t="str">
        <f aca="false">IF(J1198="","",MATCH(J1198,Base!$P$5:$P$2004,0))</f>
        <v/>
      </c>
    </row>
    <row r="1199" customFormat="false" ht="15" hidden="false" customHeight="false" outlineLevel="0" collapsed="false">
      <c r="A1199" s="67" t="str">
        <f aca="false">IF($K1199="","",ROW()-5)</f>
        <v/>
      </c>
      <c r="B1199" s="68" t="str">
        <f aca="false">IF($K1199="","",INDEX(Base!$E$5:$E$2004,$K1199))</f>
        <v/>
      </c>
      <c r="C1199" s="69" t="str">
        <f aca="false">IF($K1199="","",B1199)</f>
        <v/>
      </c>
      <c r="D1199" s="70" t="str">
        <f aca="false">IF($K1199="","",INDEX(Base!$F$5:$F$2004,$K1199))</f>
        <v/>
      </c>
      <c r="E1199" s="70" t="str">
        <f aca="false">IF($K1199="","",INDEX(Base!$G$5:$G$2004,$K1199))</f>
        <v/>
      </c>
      <c r="F1199" s="71" t="str">
        <f aca="false">IF($K1199="","",INDEX(Base!$H$5:$H$2004,$K1199))</f>
        <v/>
      </c>
      <c r="G1199" s="71" t="str">
        <f aca="false">IF($K1199="","",INDEX(Base!$I$5:$I$2004,$K1199))</f>
        <v/>
      </c>
      <c r="H1199" s="70" t="str">
        <f aca="false">IF($K1199="","",INDEX(Base!$J$5:$J$2004,$K1199))</f>
        <v/>
      </c>
      <c r="I1199" s="71" t="str">
        <f aca="false">IF($K1199="","",INDEX(Base!$L$5:$L$2004,$K1199))</f>
        <v/>
      </c>
      <c r="J1199" s="72" t="str">
        <f aca="false">IFERROR(SMALL(Base!$P$5:$P$2004,ROW()-5),"")</f>
        <v/>
      </c>
      <c r="K1199" s="72" t="str">
        <f aca="false">IF(J1199="","",MATCH(J1199,Base!$P$5:$P$2004,0))</f>
        <v/>
      </c>
    </row>
    <row r="1200" customFormat="false" ht="15" hidden="false" customHeight="false" outlineLevel="0" collapsed="false">
      <c r="A1200" s="67" t="str">
        <f aca="false">IF($K1200="","",ROW()-5)</f>
        <v/>
      </c>
      <c r="B1200" s="68" t="str">
        <f aca="false">IF($K1200="","",INDEX(Base!$E$5:$E$2004,$K1200))</f>
        <v/>
      </c>
      <c r="C1200" s="69" t="str">
        <f aca="false">IF($K1200="","",B1200)</f>
        <v/>
      </c>
      <c r="D1200" s="70" t="str">
        <f aca="false">IF($K1200="","",INDEX(Base!$F$5:$F$2004,$K1200))</f>
        <v/>
      </c>
      <c r="E1200" s="70" t="str">
        <f aca="false">IF($K1200="","",INDEX(Base!$G$5:$G$2004,$K1200))</f>
        <v/>
      </c>
      <c r="F1200" s="71" t="str">
        <f aca="false">IF($K1200="","",INDEX(Base!$H$5:$H$2004,$K1200))</f>
        <v/>
      </c>
      <c r="G1200" s="71" t="str">
        <f aca="false">IF($K1200="","",INDEX(Base!$I$5:$I$2004,$K1200))</f>
        <v/>
      </c>
      <c r="H1200" s="70" t="str">
        <f aca="false">IF($K1200="","",INDEX(Base!$J$5:$J$2004,$K1200))</f>
        <v/>
      </c>
      <c r="I1200" s="71" t="str">
        <f aca="false">IF($K1200="","",INDEX(Base!$L$5:$L$2004,$K1200))</f>
        <v/>
      </c>
      <c r="J1200" s="72" t="str">
        <f aca="false">IFERROR(SMALL(Base!$P$5:$P$2004,ROW()-5),"")</f>
        <v/>
      </c>
      <c r="K1200" s="72" t="str">
        <f aca="false">IF(J1200="","",MATCH(J1200,Base!$P$5:$P$2004,0))</f>
        <v/>
      </c>
    </row>
    <row r="1201" customFormat="false" ht="15" hidden="false" customHeight="false" outlineLevel="0" collapsed="false">
      <c r="A1201" s="67" t="str">
        <f aca="false">IF($K1201="","",ROW()-5)</f>
        <v/>
      </c>
      <c r="B1201" s="68" t="str">
        <f aca="false">IF($K1201="","",INDEX(Base!$E$5:$E$2004,$K1201))</f>
        <v/>
      </c>
      <c r="C1201" s="69" t="str">
        <f aca="false">IF($K1201="","",B1201)</f>
        <v/>
      </c>
      <c r="D1201" s="70" t="str">
        <f aca="false">IF($K1201="","",INDEX(Base!$F$5:$F$2004,$K1201))</f>
        <v/>
      </c>
      <c r="E1201" s="70" t="str">
        <f aca="false">IF($K1201="","",INDEX(Base!$G$5:$G$2004,$K1201))</f>
        <v/>
      </c>
      <c r="F1201" s="71" t="str">
        <f aca="false">IF($K1201="","",INDEX(Base!$H$5:$H$2004,$K1201))</f>
        <v/>
      </c>
      <c r="G1201" s="71" t="str">
        <f aca="false">IF($K1201="","",INDEX(Base!$I$5:$I$2004,$K1201))</f>
        <v/>
      </c>
      <c r="H1201" s="70" t="str">
        <f aca="false">IF($K1201="","",INDEX(Base!$J$5:$J$2004,$K1201))</f>
        <v/>
      </c>
      <c r="I1201" s="71" t="str">
        <f aca="false">IF($K1201="","",INDEX(Base!$L$5:$L$2004,$K1201))</f>
        <v/>
      </c>
      <c r="J1201" s="72" t="str">
        <f aca="false">IFERROR(SMALL(Base!$P$5:$P$2004,ROW()-5),"")</f>
        <v/>
      </c>
      <c r="K1201" s="72" t="str">
        <f aca="false">IF(J1201="","",MATCH(J1201,Base!$P$5:$P$2004,0))</f>
        <v/>
      </c>
    </row>
    <row r="1202" customFormat="false" ht="15" hidden="false" customHeight="false" outlineLevel="0" collapsed="false">
      <c r="A1202" s="67" t="str">
        <f aca="false">IF($K1202="","",ROW()-5)</f>
        <v/>
      </c>
      <c r="B1202" s="68" t="str">
        <f aca="false">IF($K1202="","",INDEX(Base!$E$5:$E$2004,$K1202))</f>
        <v/>
      </c>
      <c r="C1202" s="69" t="str">
        <f aca="false">IF($K1202="","",B1202)</f>
        <v/>
      </c>
      <c r="D1202" s="70" t="str">
        <f aca="false">IF($K1202="","",INDEX(Base!$F$5:$F$2004,$K1202))</f>
        <v/>
      </c>
      <c r="E1202" s="70" t="str">
        <f aca="false">IF($K1202="","",INDEX(Base!$G$5:$G$2004,$K1202))</f>
        <v/>
      </c>
      <c r="F1202" s="71" t="str">
        <f aca="false">IF($K1202="","",INDEX(Base!$H$5:$H$2004,$K1202))</f>
        <v/>
      </c>
      <c r="G1202" s="71" t="str">
        <f aca="false">IF($K1202="","",INDEX(Base!$I$5:$I$2004,$K1202))</f>
        <v/>
      </c>
      <c r="H1202" s="70" t="str">
        <f aca="false">IF($K1202="","",INDEX(Base!$J$5:$J$2004,$K1202))</f>
        <v/>
      </c>
      <c r="I1202" s="71" t="str">
        <f aca="false">IF($K1202="","",INDEX(Base!$L$5:$L$2004,$K1202))</f>
        <v/>
      </c>
      <c r="J1202" s="72" t="str">
        <f aca="false">IFERROR(SMALL(Base!$P$5:$P$2004,ROW()-5),"")</f>
        <v/>
      </c>
      <c r="K1202" s="72" t="str">
        <f aca="false">IF(J1202="","",MATCH(J1202,Base!$P$5:$P$2004,0))</f>
        <v/>
      </c>
    </row>
    <row r="1203" customFormat="false" ht="15" hidden="false" customHeight="false" outlineLevel="0" collapsed="false">
      <c r="A1203" s="67" t="str">
        <f aca="false">IF($K1203="","",ROW()-5)</f>
        <v/>
      </c>
      <c r="B1203" s="68" t="str">
        <f aca="false">IF($K1203="","",INDEX(Base!$E$5:$E$2004,$K1203))</f>
        <v/>
      </c>
      <c r="C1203" s="69" t="str">
        <f aca="false">IF($K1203="","",B1203)</f>
        <v/>
      </c>
      <c r="D1203" s="70" t="str">
        <f aca="false">IF($K1203="","",INDEX(Base!$F$5:$F$2004,$K1203))</f>
        <v/>
      </c>
      <c r="E1203" s="70" t="str">
        <f aca="false">IF($K1203="","",INDEX(Base!$G$5:$G$2004,$K1203))</f>
        <v/>
      </c>
      <c r="F1203" s="71" t="str">
        <f aca="false">IF($K1203="","",INDEX(Base!$H$5:$H$2004,$K1203))</f>
        <v/>
      </c>
      <c r="G1203" s="71" t="str">
        <f aca="false">IF($K1203="","",INDEX(Base!$I$5:$I$2004,$K1203))</f>
        <v/>
      </c>
      <c r="H1203" s="70" t="str">
        <f aca="false">IF($K1203="","",INDEX(Base!$J$5:$J$2004,$K1203))</f>
        <v/>
      </c>
      <c r="I1203" s="71" t="str">
        <f aca="false">IF($K1203="","",INDEX(Base!$L$5:$L$2004,$K1203))</f>
        <v/>
      </c>
      <c r="J1203" s="72" t="str">
        <f aca="false">IFERROR(SMALL(Base!$P$5:$P$2004,ROW()-5),"")</f>
        <v/>
      </c>
      <c r="K1203" s="72" t="str">
        <f aca="false">IF(J1203="","",MATCH(J1203,Base!$P$5:$P$2004,0))</f>
        <v/>
      </c>
    </row>
    <row r="1204" customFormat="false" ht="15" hidden="false" customHeight="false" outlineLevel="0" collapsed="false">
      <c r="A1204" s="67" t="str">
        <f aca="false">IF($K1204="","",ROW()-5)</f>
        <v/>
      </c>
      <c r="B1204" s="68" t="str">
        <f aca="false">IF($K1204="","",INDEX(Base!$E$5:$E$2004,$K1204))</f>
        <v/>
      </c>
      <c r="C1204" s="69" t="str">
        <f aca="false">IF($K1204="","",B1204)</f>
        <v/>
      </c>
      <c r="D1204" s="70" t="str">
        <f aca="false">IF($K1204="","",INDEX(Base!$F$5:$F$2004,$K1204))</f>
        <v/>
      </c>
      <c r="E1204" s="70" t="str">
        <f aca="false">IF($K1204="","",INDEX(Base!$G$5:$G$2004,$K1204))</f>
        <v/>
      </c>
      <c r="F1204" s="71" t="str">
        <f aca="false">IF($K1204="","",INDEX(Base!$H$5:$H$2004,$K1204))</f>
        <v/>
      </c>
      <c r="G1204" s="71" t="str">
        <f aca="false">IF($K1204="","",INDEX(Base!$I$5:$I$2004,$K1204))</f>
        <v/>
      </c>
      <c r="H1204" s="70" t="str">
        <f aca="false">IF($K1204="","",INDEX(Base!$J$5:$J$2004,$K1204))</f>
        <v/>
      </c>
      <c r="I1204" s="71" t="str">
        <f aca="false">IF($K1204="","",INDEX(Base!$L$5:$L$2004,$K1204))</f>
        <v/>
      </c>
      <c r="J1204" s="72" t="str">
        <f aca="false">IFERROR(SMALL(Base!$P$5:$P$2004,ROW()-5),"")</f>
        <v/>
      </c>
      <c r="K1204" s="72" t="str">
        <f aca="false">IF(J1204="","",MATCH(J1204,Base!$P$5:$P$2004,0))</f>
        <v/>
      </c>
    </row>
    <row r="1205" customFormat="false" ht="15" hidden="false" customHeight="false" outlineLevel="0" collapsed="false">
      <c r="A1205" s="67" t="str">
        <f aca="false">IF($K1205="","",ROW()-5)</f>
        <v/>
      </c>
      <c r="B1205" s="68" t="str">
        <f aca="false">IF($K1205="","",INDEX(Base!$E$5:$E$2004,$K1205))</f>
        <v/>
      </c>
      <c r="C1205" s="69" t="str">
        <f aca="false">IF($K1205="","",B1205)</f>
        <v/>
      </c>
      <c r="D1205" s="70" t="str">
        <f aca="false">IF($K1205="","",INDEX(Base!$F$5:$F$2004,$K1205))</f>
        <v/>
      </c>
      <c r="E1205" s="70" t="str">
        <f aca="false">IF($K1205="","",INDEX(Base!$G$5:$G$2004,$K1205))</f>
        <v/>
      </c>
      <c r="F1205" s="71" t="str">
        <f aca="false">IF($K1205="","",INDEX(Base!$H$5:$H$2004,$K1205))</f>
        <v/>
      </c>
      <c r="G1205" s="71" t="str">
        <f aca="false">IF($K1205="","",INDEX(Base!$I$5:$I$2004,$K1205))</f>
        <v/>
      </c>
      <c r="H1205" s="70" t="str">
        <f aca="false">IF($K1205="","",INDEX(Base!$J$5:$J$2004,$K1205))</f>
        <v/>
      </c>
      <c r="I1205" s="71" t="str">
        <f aca="false">IF($K1205="","",INDEX(Base!$L$5:$L$2004,$K1205))</f>
        <v/>
      </c>
      <c r="J1205" s="72" t="str">
        <f aca="false">IFERROR(SMALL(Base!$P$5:$P$2004,ROW()-5),"")</f>
        <v/>
      </c>
      <c r="K1205" s="72" t="str">
        <f aca="false">IF(J1205="","",MATCH(J1205,Base!$P$5:$P$2004,0))</f>
        <v/>
      </c>
    </row>
    <row r="1206" customFormat="false" ht="15" hidden="false" customHeight="false" outlineLevel="0" collapsed="false">
      <c r="A1206" s="67" t="str">
        <f aca="false">IF($K1206="","",ROW()-5)</f>
        <v/>
      </c>
      <c r="B1206" s="68" t="str">
        <f aca="false">IF($K1206="","",INDEX(Base!$E$5:$E$2004,$K1206))</f>
        <v/>
      </c>
      <c r="C1206" s="69" t="str">
        <f aca="false">IF($K1206="","",B1206)</f>
        <v/>
      </c>
      <c r="D1206" s="70" t="str">
        <f aca="false">IF($K1206="","",INDEX(Base!$F$5:$F$2004,$K1206))</f>
        <v/>
      </c>
      <c r="E1206" s="70" t="str">
        <f aca="false">IF($K1206="","",INDEX(Base!$G$5:$G$2004,$K1206))</f>
        <v/>
      </c>
      <c r="F1206" s="71" t="str">
        <f aca="false">IF($K1206="","",INDEX(Base!$H$5:$H$2004,$K1206))</f>
        <v/>
      </c>
      <c r="G1206" s="71" t="str">
        <f aca="false">IF($K1206="","",INDEX(Base!$I$5:$I$2004,$K1206))</f>
        <v/>
      </c>
      <c r="H1206" s="70" t="str">
        <f aca="false">IF($K1206="","",INDEX(Base!$J$5:$J$2004,$K1206))</f>
        <v/>
      </c>
      <c r="I1206" s="71" t="str">
        <f aca="false">IF($K1206="","",INDEX(Base!$L$5:$L$2004,$K1206))</f>
        <v/>
      </c>
      <c r="J1206" s="72" t="str">
        <f aca="false">IFERROR(SMALL(Base!$P$5:$P$2004,ROW()-5),"")</f>
        <v/>
      </c>
      <c r="K1206" s="72" t="str">
        <f aca="false">IF(J1206="","",MATCH(J1206,Base!$P$5:$P$2004,0))</f>
        <v/>
      </c>
    </row>
    <row r="1207" customFormat="false" ht="15" hidden="false" customHeight="false" outlineLevel="0" collapsed="false">
      <c r="A1207" s="67" t="str">
        <f aca="false">IF($K1207="","",ROW()-5)</f>
        <v/>
      </c>
      <c r="B1207" s="68" t="str">
        <f aca="false">IF($K1207="","",INDEX(Base!$E$5:$E$2004,$K1207))</f>
        <v/>
      </c>
      <c r="C1207" s="69" t="str">
        <f aca="false">IF($K1207="","",B1207)</f>
        <v/>
      </c>
      <c r="D1207" s="70" t="str">
        <f aca="false">IF($K1207="","",INDEX(Base!$F$5:$F$2004,$K1207))</f>
        <v/>
      </c>
      <c r="E1207" s="70" t="str">
        <f aca="false">IF($K1207="","",INDEX(Base!$G$5:$G$2004,$K1207))</f>
        <v/>
      </c>
      <c r="F1207" s="71" t="str">
        <f aca="false">IF($K1207="","",INDEX(Base!$H$5:$H$2004,$K1207))</f>
        <v/>
      </c>
      <c r="G1207" s="71" t="str">
        <f aca="false">IF($K1207="","",INDEX(Base!$I$5:$I$2004,$K1207))</f>
        <v/>
      </c>
      <c r="H1207" s="70" t="str">
        <f aca="false">IF($K1207="","",INDEX(Base!$J$5:$J$2004,$K1207))</f>
        <v/>
      </c>
      <c r="I1207" s="71" t="str">
        <f aca="false">IF($K1207="","",INDEX(Base!$L$5:$L$2004,$K1207))</f>
        <v/>
      </c>
      <c r="J1207" s="72" t="str">
        <f aca="false">IFERROR(SMALL(Base!$P$5:$P$2004,ROW()-5),"")</f>
        <v/>
      </c>
      <c r="K1207" s="72" t="str">
        <f aca="false">IF(J1207="","",MATCH(J1207,Base!$P$5:$P$2004,0))</f>
        <v/>
      </c>
    </row>
    <row r="1208" customFormat="false" ht="15" hidden="false" customHeight="false" outlineLevel="0" collapsed="false">
      <c r="A1208" s="67" t="str">
        <f aca="false">IF($K1208="","",ROW()-5)</f>
        <v/>
      </c>
      <c r="B1208" s="68" t="str">
        <f aca="false">IF($K1208="","",INDEX(Base!$E$5:$E$2004,$K1208))</f>
        <v/>
      </c>
      <c r="C1208" s="69" t="str">
        <f aca="false">IF($K1208="","",B1208)</f>
        <v/>
      </c>
      <c r="D1208" s="70" t="str">
        <f aca="false">IF($K1208="","",INDEX(Base!$F$5:$F$2004,$K1208))</f>
        <v/>
      </c>
      <c r="E1208" s="70" t="str">
        <f aca="false">IF($K1208="","",INDEX(Base!$G$5:$G$2004,$K1208))</f>
        <v/>
      </c>
      <c r="F1208" s="71" t="str">
        <f aca="false">IF($K1208="","",INDEX(Base!$H$5:$H$2004,$K1208))</f>
        <v/>
      </c>
      <c r="G1208" s="71" t="str">
        <f aca="false">IF($K1208="","",INDEX(Base!$I$5:$I$2004,$K1208))</f>
        <v/>
      </c>
      <c r="H1208" s="70" t="str">
        <f aca="false">IF($K1208="","",INDEX(Base!$J$5:$J$2004,$K1208))</f>
        <v/>
      </c>
      <c r="I1208" s="71" t="str">
        <f aca="false">IF($K1208="","",INDEX(Base!$L$5:$L$2004,$K1208))</f>
        <v/>
      </c>
      <c r="J1208" s="72" t="str">
        <f aca="false">IFERROR(SMALL(Base!$P$5:$P$2004,ROW()-5),"")</f>
        <v/>
      </c>
      <c r="K1208" s="72" t="str">
        <f aca="false">IF(J1208="","",MATCH(J1208,Base!$P$5:$P$2004,0))</f>
        <v/>
      </c>
    </row>
    <row r="1209" customFormat="false" ht="15" hidden="false" customHeight="false" outlineLevel="0" collapsed="false">
      <c r="A1209" s="67" t="str">
        <f aca="false">IF($K1209="","",ROW()-5)</f>
        <v/>
      </c>
      <c r="B1209" s="68" t="str">
        <f aca="false">IF($K1209="","",INDEX(Base!$E$5:$E$2004,$K1209))</f>
        <v/>
      </c>
      <c r="C1209" s="69" t="str">
        <f aca="false">IF($K1209="","",B1209)</f>
        <v/>
      </c>
      <c r="D1209" s="70" t="str">
        <f aca="false">IF($K1209="","",INDEX(Base!$F$5:$F$2004,$K1209))</f>
        <v/>
      </c>
      <c r="E1209" s="70" t="str">
        <f aca="false">IF($K1209="","",INDEX(Base!$G$5:$G$2004,$K1209))</f>
        <v/>
      </c>
      <c r="F1209" s="71" t="str">
        <f aca="false">IF($K1209="","",INDEX(Base!$H$5:$H$2004,$K1209))</f>
        <v/>
      </c>
      <c r="G1209" s="71" t="str">
        <f aca="false">IF($K1209="","",INDEX(Base!$I$5:$I$2004,$K1209))</f>
        <v/>
      </c>
      <c r="H1209" s="70" t="str">
        <f aca="false">IF($K1209="","",INDEX(Base!$J$5:$J$2004,$K1209))</f>
        <v/>
      </c>
      <c r="I1209" s="71" t="str">
        <f aca="false">IF($K1209="","",INDEX(Base!$L$5:$L$2004,$K1209))</f>
        <v/>
      </c>
      <c r="J1209" s="72" t="str">
        <f aca="false">IFERROR(SMALL(Base!$P$5:$P$2004,ROW()-5),"")</f>
        <v/>
      </c>
      <c r="K1209" s="72" t="str">
        <f aca="false">IF(J1209="","",MATCH(J1209,Base!$P$5:$P$2004,0))</f>
        <v/>
      </c>
    </row>
    <row r="1210" customFormat="false" ht="15" hidden="false" customHeight="false" outlineLevel="0" collapsed="false">
      <c r="A1210" s="67" t="str">
        <f aca="false">IF($K1210="","",ROW()-5)</f>
        <v/>
      </c>
      <c r="B1210" s="68" t="str">
        <f aca="false">IF($K1210="","",INDEX(Base!$E$5:$E$2004,$K1210))</f>
        <v/>
      </c>
      <c r="C1210" s="69" t="str">
        <f aca="false">IF($K1210="","",B1210)</f>
        <v/>
      </c>
      <c r="D1210" s="70" t="str">
        <f aca="false">IF($K1210="","",INDEX(Base!$F$5:$F$2004,$K1210))</f>
        <v/>
      </c>
      <c r="E1210" s="70" t="str">
        <f aca="false">IF($K1210="","",INDEX(Base!$G$5:$G$2004,$K1210))</f>
        <v/>
      </c>
      <c r="F1210" s="71" t="str">
        <f aca="false">IF($K1210="","",INDEX(Base!$H$5:$H$2004,$K1210))</f>
        <v/>
      </c>
      <c r="G1210" s="71" t="str">
        <f aca="false">IF($K1210="","",INDEX(Base!$I$5:$I$2004,$K1210))</f>
        <v/>
      </c>
      <c r="H1210" s="70" t="str">
        <f aca="false">IF($K1210="","",INDEX(Base!$J$5:$J$2004,$K1210))</f>
        <v/>
      </c>
      <c r="I1210" s="71" t="str">
        <f aca="false">IF($K1210="","",INDEX(Base!$L$5:$L$2004,$K1210))</f>
        <v/>
      </c>
      <c r="J1210" s="72" t="str">
        <f aca="false">IFERROR(SMALL(Base!$P$5:$P$2004,ROW()-5),"")</f>
        <v/>
      </c>
      <c r="K1210" s="72" t="str">
        <f aca="false">IF(J1210="","",MATCH(J1210,Base!$P$5:$P$2004,0))</f>
        <v/>
      </c>
    </row>
    <row r="1211" customFormat="false" ht="15" hidden="false" customHeight="false" outlineLevel="0" collapsed="false">
      <c r="A1211" s="67" t="str">
        <f aca="false">IF($K1211="","",ROW()-5)</f>
        <v/>
      </c>
      <c r="B1211" s="68" t="str">
        <f aca="false">IF($K1211="","",INDEX(Base!$E$5:$E$2004,$K1211))</f>
        <v/>
      </c>
      <c r="C1211" s="69" t="str">
        <f aca="false">IF($K1211="","",B1211)</f>
        <v/>
      </c>
      <c r="D1211" s="70" t="str">
        <f aca="false">IF($K1211="","",INDEX(Base!$F$5:$F$2004,$K1211))</f>
        <v/>
      </c>
      <c r="E1211" s="70" t="str">
        <f aca="false">IF($K1211="","",INDEX(Base!$G$5:$G$2004,$K1211))</f>
        <v/>
      </c>
      <c r="F1211" s="71" t="str">
        <f aca="false">IF($K1211="","",INDEX(Base!$H$5:$H$2004,$K1211))</f>
        <v/>
      </c>
      <c r="G1211" s="71" t="str">
        <f aca="false">IF($K1211="","",INDEX(Base!$I$5:$I$2004,$K1211))</f>
        <v/>
      </c>
      <c r="H1211" s="70" t="str">
        <f aca="false">IF($K1211="","",INDEX(Base!$J$5:$J$2004,$K1211))</f>
        <v/>
      </c>
      <c r="I1211" s="71" t="str">
        <f aca="false">IF($K1211="","",INDEX(Base!$L$5:$L$2004,$K1211))</f>
        <v/>
      </c>
      <c r="J1211" s="72" t="str">
        <f aca="false">IFERROR(SMALL(Base!$P$5:$P$2004,ROW()-5),"")</f>
        <v/>
      </c>
      <c r="K1211" s="72" t="str">
        <f aca="false">IF(J1211="","",MATCH(J1211,Base!$P$5:$P$2004,0))</f>
        <v/>
      </c>
    </row>
    <row r="1212" customFormat="false" ht="15" hidden="false" customHeight="false" outlineLevel="0" collapsed="false">
      <c r="A1212" s="67" t="str">
        <f aca="false">IF($K1212="","",ROW()-5)</f>
        <v/>
      </c>
      <c r="B1212" s="68" t="str">
        <f aca="false">IF($K1212="","",INDEX(Base!$E$5:$E$2004,$K1212))</f>
        <v/>
      </c>
      <c r="C1212" s="69" t="str">
        <f aca="false">IF($K1212="","",B1212)</f>
        <v/>
      </c>
      <c r="D1212" s="70" t="str">
        <f aca="false">IF($K1212="","",INDEX(Base!$F$5:$F$2004,$K1212))</f>
        <v/>
      </c>
      <c r="E1212" s="70" t="str">
        <f aca="false">IF($K1212="","",INDEX(Base!$G$5:$G$2004,$K1212))</f>
        <v/>
      </c>
      <c r="F1212" s="71" t="str">
        <f aca="false">IF($K1212="","",INDEX(Base!$H$5:$H$2004,$K1212))</f>
        <v/>
      </c>
      <c r="G1212" s="71" t="str">
        <f aca="false">IF($K1212="","",INDEX(Base!$I$5:$I$2004,$K1212))</f>
        <v/>
      </c>
      <c r="H1212" s="70" t="str">
        <f aca="false">IF($K1212="","",INDEX(Base!$J$5:$J$2004,$K1212))</f>
        <v/>
      </c>
      <c r="I1212" s="71" t="str">
        <f aca="false">IF($K1212="","",INDEX(Base!$L$5:$L$2004,$K1212))</f>
        <v/>
      </c>
      <c r="J1212" s="72" t="str">
        <f aca="false">IFERROR(SMALL(Base!$P$5:$P$2004,ROW()-5),"")</f>
        <v/>
      </c>
      <c r="K1212" s="72" t="str">
        <f aca="false">IF(J1212="","",MATCH(J1212,Base!$P$5:$P$2004,0))</f>
        <v/>
      </c>
    </row>
    <row r="1213" customFormat="false" ht="15" hidden="false" customHeight="false" outlineLevel="0" collapsed="false">
      <c r="A1213" s="67" t="str">
        <f aca="false">IF($K1213="","",ROW()-5)</f>
        <v/>
      </c>
      <c r="B1213" s="68" t="str">
        <f aca="false">IF($K1213="","",INDEX(Base!$E$5:$E$2004,$K1213))</f>
        <v/>
      </c>
      <c r="C1213" s="69" t="str">
        <f aca="false">IF($K1213="","",B1213)</f>
        <v/>
      </c>
      <c r="D1213" s="70" t="str">
        <f aca="false">IF($K1213="","",INDEX(Base!$F$5:$F$2004,$K1213))</f>
        <v/>
      </c>
      <c r="E1213" s="70" t="str">
        <f aca="false">IF($K1213="","",INDEX(Base!$G$5:$G$2004,$K1213))</f>
        <v/>
      </c>
      <c r="F1213" s="71" t="str">
        <f aca="false">IF($K1213="","",INDEX(Base!$H$5:$H$2004,$K1213))</f>
        <v/>
      </c>
      <c r="G1213" s="71" t="str">
        <f aca="false">IF($K1213="","",INDEX(Base!$I$5:$I$2004,$K1213))</f>
        <v/>
      </c>
      <c r="H1213" s="70" t="str">
        <f aca="false">IF($K1213="","",INDEX(Base!$J$5:$J$2004,$K1213))</f>
        <v/>
      </c>
      <c r="I1213" s="71" t="str">
        <f aca="false">IF($K1213="","",INDEX(Base!$L$5:$L$2004,$K1213))</f>
        <v/>
      </c>
      <c r="J1213" s="72" t="str">
        <f aca="false">IFERROR(SMALL(Base!$P$5:$P$2004,ROW()-5),"")</f>
        <v/>
      </c>
      <c r="K1213" s="72" t="str">
        <f aca="false">IF(J1213="","",MATCH(J1213,Base!$P$5:$P$2004,0))</f>
        <v/>
      </c>
    </row>
    <row r="1214" customFormat="false" ht="15" hidden="false" customHeight="false" outlineLevel="0" collapsed="false">
      <c r="A1214" s="67" t="str">
        <f aca="false">IF($K1214="","",ROW()-5)</f>
        <v/>
      </c>
      <c r="B1214" s="68" t="str">
        <f aca="false">IF($K1214="","",INDEX(Base!$E$5:$E$2004,$K1214))</f>
        <v/>
      </c>
      <c r="C1214" s="69" t="str">
        <f aca="false">IF($K1214="","",B1214)</f>
        <v/>
      </c>
      <c r="D1214" s="70" t="str">
        <f aca="false">IF($K1214="","",INDEX(Base!$F$5:$F$2004,$K1214))</f>
        <v/>
      </c>
      <c r="E1214" s="70" t="str">
        <f aca="false">IF($K1214="","",INDEX(Base!$G$5:$G$2004,$K1214))</f>
        <v/>
      </c>
      <c r="F1214" s="71" t="str">
        <f aca="false">IF($K1214="","",INDEX(Base!$H$5:$H$2004,$K1214))</f>
        <v/>
      </c>
      <c r="G1214" s="71" t="str">
        <f aca="false">IF($K1214="","",INDEX(Base!$I$5:$I$2004,$K1214))</f>
        <v/>
      </c>
      <c r="H1214" s="70" t="str">
        <f aca="false">IF($K1214="","",INDEX(Base!$J$5:$J$2004,$K1214))</f>
        <v/>
      </c>
      <c r="I1214" s="71" t="str">
        <f aca="false">IF($K1214="","",INDEX(Base!$L$5:$L$2004,$K1214))</f>
        <v/>
      </c>
      <c r="J1214" s="72" t="str">
        <f aca="false">IFERROR(SMALL(Base!$P$5:$P$2004,ROW()-5),"")</f>
        <v/>
      </c>
      <c r="K1214" s="72" t="str">
        <f aca="false">IF(J1214="","",MATCH(J1214,Base!$P$5:$P$2004,0))</f>
        <v/>
      </c>
    </row>
    <row r="1215" customFormat="false" ht="15" hidden="false" customHeight="false" outlineLevel="0" collapsed="false">
      <c r="A1215" s="67" t="str">
        <f aca="false">IF($K1215="","",ROW()-5)</f>
        <v/>
      </c>
      <c r="B1215" s="68" t="str">
        <f aca="false">IF($K1215="","",INDEX(Base!$E$5:$E$2004,$K1215))</f>
        <v/>
      </c>
      <c r="C1215" s="69" t="str">
        <f aca="false">IF($K1215="","",B1215)</f>
        <v/>
      </c>
      <c r="D1215" s="70" t="str">
        <f aca="false">IF($K1215="","",INDEX(Base!$F$5:$F$2004,$K1215))</f>
        <v/>
      </c>
      <c r="E1215" s="70" t="str">
        <f aca="false">IF($K1215="","",INDEX(Base!$G$5:$G$2004,$K1215))</f>
        <v/>
      </c>
      <c r="F1215" s="71" t="str">
        <f aca="false">IF($K1215="","",INDEX(Base!$H$5:$H$2004,$K1215))</f>
        <v/>
      </c>
      <c r="G1215" s="71" t="str">
        <f aca="false">IF($K1215="","",INDEX(Base!$I$5:$I$2004,$K1215))</f>
        <v/>
      </c>
      <c r="H1215" s="70" t="str">
        <f aca="false">IF($K1215="","",INDEX(Base!$J$5:$J$2004,$K1215))</f>
        <v/>
      </c>
      <c r="I1215" s="71" t="str">
        <f aca="false">IF($K1215="","",INDEX(Base!$L$5:$L$2004,$K1215))</f>
        <v/>
      </c>
      <c r="J1215" s="72" t="str">
        <f aca="false">IFERROR(SMALL(Base!$P$5:$P$2004,ROW()-5),"")</f>
        <v/>
      </c>
      <c r="K1215" s="72" t="str">
        <f aca="false">IF(J1215="","",MATCH(J1215,Base!$P$5:$P$2004,0))</f>
        <v/>
      </c>
    </row>
    <row r="1216" customFormat="false" ht="15" hidden="false" customHeight="false" outlineLevel="0" collapsed="false">
      <c r="A1216" s="67" t="str">
        <f aca="false">IF($K1216="","",ROW()-5)</f>
        <v/>
      </c>
      <c r="B1216" s="68" t="str">
        <f aca="false">IF($K1216="","",INDEX(Base!$E$5:$E$2004,$K1216))</f>
        <v/>
      </c>
      <c r="C1216" s="69" t="str">
        <f aca="false">IF($K1216="","",B1216)</f>
        <v/>
      </c>
      <c r="D1216" s="70" t="str">
        <f aca="false">IF($K1216="","",INDEX(Base!$F$5:$F$2004,$K1216))</f>
        <v/>
      </c>
      <c r="E1216" s="70" t="str">
        <f aca="false">IF($K1216="","",INDEX(Base!$G$5:$G$2004,$K1216))</f>
        <v/>
      </c>
      <c r="F1216" s="71" t="str">
        <f aca="false">IF($K1216="","",INDEX(Base!$H$5:$H$2004,$K1216))</f>
        <v/>
      </c>
      <c r="G1216" s="71" t="str">
        <f aca="false">IF($K1216="","",INDEX(Base!$I$5:$I$2004,$K1216))</f>
        <v/>
      </c>
      <c r="H1216" s="70" t="str">
        <f aca="false">IF($K1216="","",INDEX(Base!$J$5:$J$2004,$K1216))</f>
        <v/>
      </c>
      <c r="I1216" s="71" t="str">
        <f aca="false">IF($K1216="","",INDEX(Base!$L$5:$L$2004,$K1216))</f>
        <v/>
      </c>
      <c r="J1216" s="72" t="str">
        <f aca="false">IFERROR(SMALL(Base!$P$5:$P$2004,ROW()-5),"")</f>
        <v/>
      </c>
      <c r="K1216" s="72" t="str">
        <f aca="false">IF(J1216="","",MATCH(J1216,Base!$P$5:$P$2004,0))</f>
        <v/>
      </c>
    </row>
    <row r="1217" customFormat="false" ht="15" hidden="false" customHeight="false" outlineLevel="0" collapsed="false">
      <c r="A1217" s="67" t="str">
        <f aca="false">IF($K1217="","",ROW()-5)</f>
        <v/>
      </c>
      <c r="B1217" s="68" t="str">
        <f aca="false">IF($K1217="","",INDEX(Base!$E$5:$E$2004,$K1217))</f>
        <v/>
      </c>
      <c r="C1217" s="69" t="str">
        <f aca="false">IF($K1217="","",B1217)</f>
        <v/>
      </c>
      <c r="D1217" s="70" t="str">
        <f aca="false">IF($K1217="","",INDEX(Base!$F$5:$F$2004,$K1217))</f>
        <v/>
      </c>
      <c r="E1217" s="70" t="str">
        <f aca="false">IF($K1217="","",INDEX(Base!$G$5:$G$2004,$K1217))</f>
        <v/>
      </c>
      <c r="F1217" s="71" t="str">
        <f aca="false">IF($K1217="","",INDEX(Base!$H$5:$H$2004,$K1217))</f>
        <v/>
      </c>
      <c r="G1217" s="71" t="str">
        <f aca="false">IF($K1217="","",INDEX(Base!$I$5:$I$2004,$K1217))</f>
        <v/>
      </c>
      <c r="H1217" s="70" t="str">
        <f aca="false">IF($K1217="","",INDEX(Base!$J$5:$J$2004,$K1217))</f>
        <v/>
      </c>
      <c r="I1217" s="71" t="str">
        <f aca="false">IF($K1217="","",INDEX(Base!$L$5:$L$2004,$K1217))</f>
        <v/>
      </c>
      <c r="J1217" s="72" t="str">
        <f aca="false">IFERROR(SMALL(Base!$P$5:$P$2004,ROW()-5),"")</f>
        <v/>
      </c>
      <c r="K1217" s="72" t="str">
        <f aca="false">IF(J1217="","",MATCH(J1217,Base!$P$5:$P$2004,0))</f>
        <v/>
      </c>
    </row>
    <row r="1218" customFormat="false" ht="15" hidden="false" customHeight="false" outlineLevel="0" collapsed="false">
      <c r="A1218" s="67" t="str">
        <f aca="false">IF($K1218="","",ROW()-5)</f>
        <v/>
      </c>
      <c r="B1218" s="68" t="str">
        <f aca="false">IF($K1218="","",INDEX(Base!$E$5:$E$2004,$K1218))</f>
        <v/>
      </c>
      <c r="C1218" s="69" t="str">
        <f aca="false">IF($K1218="","",B1218)</f>
        <v/>
      </c>
      <c r="D1218" s="70" t="str">
        <f aca="false">IF($K1218="","",INDEX(Base!$F$5:$F$2004,$K1218))</f>
        <v/>
      </c>
      <c r="E1218" s="70" t="str">
        <f aca="false">IF($K1218="","",INDEX(Base!$G$5:$G$2004,$K1218))</f>
        <v/>
      </c>
      <c r="F1218" s="71" t="str">
        <f aca="false">IF($K1218="","",INDEX(Base!$H$5:$H$2004,$K1218))</f>
        <v/>
      </c>
      <c r="G1218" s="71" t="str">
        <f aca="false">IF($K1218="","",INDEX(Base!$I$5:$I$2004,$K1218))</f>
        <v/>
      </c>
      <c r="H1218" s="70" t="str">
        <f aca="false">IF($K1218="","",INDEX(Base!$J$5:$J$2004,$K1218))</f>
        <v/>
      </c>
      <c r="I1218" s="71" t="str">
        <f aca="false">IF($K1218="","",INDEX(Base!$L$5:$L$2004,$K1218))</f>
        <v/>
      </c>
      <c r="J1218" s="72" t="str">
        <f aca="false">IFERROR(SMALL(Base!$P$5:$P$2004,ROW()-5),"")</f>
        <v/>
      </c>
      <c r="K1218" s="72" t="str">
        <f aca="false">IF(J1218="","",MATCH(J1218,Base!$P$5:$P$2004,0))</f>
        <v/>
      </c>
    </row>
    <row r="1219" customFormat="false" ht="15" hidden="false" customHeight="false" outlineLevel="0" collapsed="false">
      <c r="A1219" s="67" t="str">
        <f aca="false">IF($K1219="","",ROW()-5)</f>
        <v/>
      </c>
      <c r="B1219" s="68" t="str">
        <f aca="false">IF($K1219="","",INDEX(Base!$E$5:$E$2004,$K1219))</f>
        <v/>
      </c>
      <c r="C1219" s="69" t="str">
        <f aca="false">IF($K1219="","",B1219)</f>
        <v/>
      </c>
      <c r="D1219" s="70" t="str">
        <f aca="false">IF($K1219="","",INDEX(Base!$F$5:$F$2004,$K1219))</f>
        <v/>
      </c>
      <c r="E1219" s="70" t="str">
        <f aca="false">IF($K1219="","",INDEX(Base!$G$5:$G$2004,$K1219))</f>
        <v/>
      </c>
      <c r="F1219" s="71" t="str">
        <f aca="false">IF($K1219="","",INDEX(Base!$H$5:$H$2004,$K1219))</f>
        <v/>
      </c>
      <c r="G1219" s="71" t="str">
        <f aca="false">IF($K1219="","",INDEX(Base!$I$5:$I$2004,$K1219))</f>
        <v/>
      </c>
      <c r="H1219" s="70" t="str">
        <f aca="false">IF($K1219="","",INDEX(Base!$J$5:$J$2004,$K1219))</f>
        <v/>
      </c>
      <c r="I1219" s="71" t="str">
        <f aca="false">IF($K1219="","",INDEX(Base!$L$5:$L$2004,$K1219))</f>
        <v/>
      </c>
      <c r="J1219" s="72" t="str">
        <f aca="false">IFERROR(SMALL(Base!$P$5:$P$2004,ROW()-5),"")</f>
        <v/>
      </c>
      <c r="K1219" s="72" t="str">
        <f aca="false">IF(J1219="","",MATCH(J1219,Base!$P$5:$P$2004,0))</f>
        <v/>
      </c>
    </row>
    <row r="1220" customFormat="false" ht="15" hidden="false" customHeight="false" outlineLevel="0" collapsed="false">
      <c r="A1220" s="67" t="str">
        <f aca="false">IF($K1220="","",ROW()-5)</f>
        <v/>
      </c>
      <c r="B1220" s="68" t="str">
        <f aca="false">IF($K1220="","",INDEX(Base!$E$5:$E$2004,$K1220))</f>
        <v/>
      </c>
      <c r="C1220" s="69" t="str">
        <f aca="false">IF($K1220="","",B1220)</f>
        <v/>
      </c>
      <c r="D1220" s="70" t="str">
        <f aca="false">IF($K1220="","",INDEX(Base!$F$5:$F$2004,$K1220))</f>
        <v/>
      </c>
      <c r="E1220" s="70" t="str">
        <f aca="false">IF($K1220="","",INDEX(Base!$G$5:$G$2004,$K1220))</f>
        <v/>
      </c>
      <c r="F1220" s="71" t="str">
        <f aca="false">IF($K1220="","",INDEX(Base!$H$5:$H$2004,$K1220))</f>
        <v/>
      </c>
      <c r="G1220" s="71" t="str">
        <f aca="false">IF($K1220="","",INDEX(Base!$I$5:$I$2004,$K1220))</f>
        <v/>
      </c>
      <c r="H1220" s="70" t="str">
        <f aca="false">IF($K1220="","",INDEX(Base!$J$5:$J$2004,$K1220))</f>
        <v/>
      </c>
      <c r="I1220" s="71" t="str">
        <f aca="false">IF($K1220="","",INDEX(Base!$L$5:$L$2004,$K1220))</f>
        <v/>
      </c>
      <c r="J1220" s="72" t="str">
        <f aca="false">IFERROR(SMALL(Base!$P$5:$P$2004,ROW()-5),"")</f>
        <v/>
      </c>
      <c r="K1220" s="72" t="str">
        <f aca="false">IF(J1220="","",MATCH(J1220,Base!$P$5:$P$2004,0))</f>
        <v/>
      </c>
    </row>
    <row r="1221" customFormat="false" ht="15" hidden="false" customHeight="false" outlineLevel="0" collapsed="false">
      <c r="A1221" s="67" t="str">
        <f aca="false">IF($K1221="","",ROW()-5)</f>
        <v/>
      </c>
      <c r="B1221" s="68" t="str">
        <f aca="false">IF($K1221="","",INDEX(Base!$E$5:$E$2004,$K1221))</f>
        <v/>
      </c>
      <c r="C1221" s="69" t="str">
        <f aca="false">IF($K1221="","",B1221)</f>
        <v/>
      </c>
      <c r="D1221" s="70" t="str">
        <f aca="false">IF($K1221="","",INDEX(Base!$F$5:$F$2004,$K1221))</f>
        <v/>
      </c>
      <c r="E1221" s="70" t="str">
        <f aca="false">IF($K1221="","",INDEX(Base!$G$5:$G$2004,$K1221))</f>
        <v/>
      </c>
      <c r="F1221" s="71" t="str">
        <f aca="false">IF($K1221="","",INDEX(Base!$H$5:$H$2004,$K1221))</f>
        <v/>
      </c>
      <c r="G1221" s="71" t="str">
        <f aca="false">IF($K1221="","",INDEX(Base!$I$5:$I$2004,$K1221))</f>
        <v/>
      </c>
      <c r="H1221" s="70" t="str">
        <f aca="false">IF($K1221="","",INDEX(Base!$J$5:$J$2004,$K1221))</f>
        <v/>
      </c>
      <c r="I1221" s="71" t="str">
        <f aca="false">IF($K1221="","",INDEX(Base!$L$5:$L$2004,$K1221))</f>
        <v/>
      </c>
      <c r="J1221" s="72" t="str">
        <f aca="false">IFERROR(SMALL(Base!$P$5:$P$2004,ROW()-5),"")</f>
        <v/>
      </c>
      <c r="K1221" s="72" t="str">
        <f aca="false">IF(J1221="","",MATCH(J1221,Base!$P$5:$P$2004,0))</f>
        <v/>
      </c>
    </row>
    <row r="1222" customFormat="false" ht="15" hidden="false" customHeight="false" outlineLevel="0" collapsed="false">
      <c r="A1222" s="67" t="str">
        <f aca="false">IF($K1222="","",ROW()-5)</f>
        <v/>
      </c>
      <c r="B1222" s="68" t="str">
        <f aca="false">IF($K1222="","",INDEX(Base!$E$5:$E$2004,$K1222))</f>
        <v/>
      </c>
      <c r="C1222" s="69" t="str">
        <f aca="false">IF($K1222="","",B1222)</f>
        <v/>
      </c>
      <c r="D1222" s="70" t="str">
        <f aca="false">IF($K1222="","",INDEX(Base!$F$5:$F$2004,$K1222))</f>
        <v/>
      </c>
      <c r="E1222" s="70" t="str">
        <f aca="false">IF($K1222="","",INDEX(Base!$G$5:$G$2004,$K1222))</f>
        <v/>
      </c>
      <c r="F1222" s="71" t="str">
        <f aca="false">IF($K1222="","",INDEX(Base!$H$5:$H$2004,$K1222))</f>
        <v/>
      </c>
      <c r="G1222" s="71" t="str">
        <f aca="false">IF($K1222="","",INDEX(Base!$I$5:$I$2004,$K1222))</f>
        <v/>
      </c>
      <c r="H1222" s="70" t="str">
        <f aca="false">IF($K1222="","",INDEX(Base!$J$5:$J$2004,$K1222))</f>
        <v/>
      </c>
      <c r="I1222" s="71" t="str">
        <f aca="false">IF($K1222="","",INDEX(Base!$L$5:$L$2004,$K1222))</f>
        <v/>
      </c>
      <c r="J1222" s="72" t="str">
        <f aca="false">IFERROR(SMALL(Base!$P$5:$P$2004,ROW()-5),"")</f>
        <v/>
      </c>
      <c r="K1222" s="72" t="str">
        <f aca="false">IF(J1222="","",MATCH(J1222,Base!$P$5:$P$2004,0))</f>
        <v/>
      </c>
    </row>
    <row r="1223" customFormat="false" ht="15" hidden="false" customHeight="false" outlineLevel="0" collapsed="false">
      <c r="A1223" s="67" t="str">
        <f aca="false">IF($K1223="","",ROW()-5)</f>
        <v/>
      </c>
      <c r="B1223" s="68" t="str">
        <f aca="false">IF($K1223="","",INDEX(Base!$E$5:$E$2004,$K1223))</f>
        <v/>
      </c>
      <c r="C1223" s="69" t="str">
        <f aca="false">IF($K1223="","",B1223)</f>
        <v/>
      </c>
      <c r="D1223" s="70" t="str">
        <f aca="false">IF($K1223="","",INDEX(Base!$F$5:$F$2004,$K1223))</f>
        <v/>
      </c>
      <c r="E1223" s="70" t="str">
        <f aca="false">IF($K1223="","",INDEX(Base!$G$5:$G$2004,$K1223))</f>
        <v/>
      </c>
      <c r="F1223" s="71" t="str">
        <f aca="false">IF($K1223="","",INDEX(Base!$H$5:$H$2004,$K1223))</f>
        <v/>
      </c>
      <c r="G1223" s="71" t="str">
        <f aca="false">IF($K1223="","",INDEX(Base!$I$5:$I$2004,$K1223))</f>
        <v/>
      </c>
      <c r="H1223" s="70" t="str">
        <f aca="false">IF($K1223="","",INDEX(Base!$J$5:$J$2004,$K1223))</f>
        <v/>
      </c>
      <c r="I1223" s="71" t="str">
        <f aca="false">IF($K1223="","",INDEX(Base!$L$5:$L$2004,$K1223))</f>
        <v/>
      </c>
      <c r="J1223" s="72" t="str">
        <f aca="false">IFERROR(SMALL(Base!$P$5:$P$2004,ROW()-5),"")</f>
        <v/>
      </c>
      <c r="K1223" s="72" t="str">
        <f aca="false">IF(J1223="","",MATCH(J1223,Base!$P$5:$P$2004,0))</f>
        <v/>
      </c>
    </row>
    <row r="1224" customFormat="false" ht="15" hidden="false" customHeight="false" outlineLevel="0" collapsed="false">
      <c r="A1224" s="67" t="str">
        <f aca="false">IF($K1224="","",ROW()-5)</f>
        <v/>
      </c>
      <c r="B1224" s="68" t="str">
        <f aca="false">IF($K1224="","",INDEX(Base!$E$5:$E$2004,$K1224))</f>
        <v/>
      </c>
      <c r="C1224" s="69" t="str">
        <f aca="false">IF($K1224="","",B1224)</f>
        <v/>
      </c>
      <c r="D1224" s="70" t="str">
        <f aca="false">IF($K1224="","",INDEX(Base!$F$5:$F$2004,$K1224))</f>
        <v/>
      </c>
      <c r="E1224" s="70" t="str">
        <f aca="false">IF($K1224="","",INDEX(Base!$G$5:$G$2004,$K1224))</f>
        <v/>
      </c>
      <c r="F1224" s="71" t="str">
        <f aca="false">IF($K1224="","",INDEX(Base!$H$5:$H$2004,$K1224))</f>
        <v/>
      </c>
      <c r="G1224" s="71" t="str">
        <f aca="false">IF($K1224="","",INDEX(Base!$I$5:$I$2004,$K1224))</f>
        <v/>
      </c>
      <c r="H1224" s="70" t="str">
        <f aca="false">IF($K1224="","",INDEX(Base!$J$5:$J$2004,$K1224))</f>
        <v/>
      </c>
      <c r="I1224" s="71" t="str">
        <f aca="false">IF($K1224="","",INDEX(Base!$L$5:$L$2004,$K1224))</f>
        <v/>
      </c>
      <c r="J1224" s="72" t="str">
        <f aca="false">IFERROR(SMALL(Base!$P$5:$P$2004,ROW()-5),"")</f>
        <v/>
      </c>
      <c r="K1224" s="72" t="str">
        <f aca="false">IF(J1224="","",MATCH(J1224,Base!$P$5:$P$2004,0))</f>
        <v/>
      </c>
    </row>
    <row r="1225" customFormat="false" ht="15" hidden="false" customHeight="false" outlineLevel="0" collapsed="false">
      <c r="A1225" s="67" t="str">
        <f aca="false">IF($K1225="","",ROW()-5)</f>
        <v/>
      </c>
      <c r="B1225" s="68" t="str">
        <f aca="false">IF($K1225="","",INDEX(Base!$E$5:$E$2004,$K1225))</f>
        <v/>
      </c>
      <c r="C1225" s="69" t="str">
        <f aca="false">IF($K1225="","",B1225)</f>
        <v/>
      </c>
      <c r="D1225" s="70" t="str">
        <f aca="false">IF($K1225="","",INDEX(Base!$F$5:$F$2004,$K1225))</f>
        <v/>
      </c>
      <c r="E1225" s="70" t="str">
        <f aca="false">IF($K1225="","",INDEX(Base!$G$5:$G$2004,$K1225))</f>
        <v/>
      </c>
      <c r="F1225" s="71" t="str">
        <f aca="false">IF($K1225="","",INDEX(Base!$H$5:$H$2004,$K1225))</f>
        <v/>
      </c>
      <c r="G1225" s="71" t="str">
        <f aca="false">IF($K1225="","",INDEX(Base!$I$5:$I$2004,$K1225))</f>
        <v/>
      </c>
      <c r="H1225" s="70" t="str">
        <f aca="false">IF($K1225="","",INDEX(Base!$J$5:$J$2004,$K1225))</f>
        <v/>
      </c>
      <c r="I1225" s="71" t="str">
        <f aca="false">IF($K1225="","",INDEX(Base!$L$5:$L$2004,$K1225))</f>
        <v/>
      </c>
      <c r="J1225" s="72" t="str">
        <f aca="false">IFERROR(SMALL(Base!$P$5:$P$2004,ROW()-5),"")</f>
        <v/>
      </c>
      <c r="K1225" s="72" t="str">
        <f aca="false">IF(J1225="","",MATCH(J1225,Base!$P$5:$P$2004,0))</f>
        <v/>
      </c>
    </row>
    <row r="1226" customFormat="false" ht="15" hidden="false" customHeight="false" outlineLevel="0" collapsed="false">
      <c r="A1226" s="67" t="str">
        <f aca="false">IF($K1226="","",ROW()-5)</f>
        <v/>
      </c>
      <c r="B1226" s="68" t="str">
        <f aca="false">IF($K1226="","",INDEX(Base!$E$5:$E$2004,$K1226))</f>
        <v/>
      </c>
      <c r="C1226" s="69" t="str">
        <f aca="false">IF($K1226="","",B1226)</f>
        <v/>
      </c>
      <c r="D1226" s="70" t="str">
        <f aca="false">IF($K1226="","",INDEX(Base!$F$5:$F$2004,$K1226))</f>
        <v/>
      </c>
      <c r="E1226" s="70" t="str">
        <f aca="false">IF($K1226="","",INDEX(Base!$G$5:$G$2004,$K1226))</f>
        <v/>
      </c>
      <c r="F1226" s="71" t="str">
        <f aca="false">IF($K1226="","",INDEX(Base!$H$5:$H$2004,$K1226))</f>
        <v/>
      </c>
      <c r="G1226" s="71" t="str">
        <f aca="false">IF($K1226="","",INDEX(Base!$I$5:$I$2004,$K1226))</f>
        <v/>
      </c>
      <c r="H1226" s="70" t="str">
        <f aca="false">IF($K1226="","",INDEX(Base!$J$5:$J$2004,$K1226))</f>
        <v/>
      </c>
      <c r="I1226" s="71" t="str">
        <f aca="false">IF($K1226="","",INDEX(Base!$L$5:$L$2004,$K1226))</f>
        <v/>
      </c>
      <c r="J1226" s="72" t="str">
        <f aca="false">IFERROR(SMALL(Base!$P$5:$P$2004,ROW()-5),"")</f>
        <v/>
      </c>
      <c r="K1226" s="72" t="str">
        <f aca="false">IF(J1226="","",MATCH(J1226,Base!$P$5:$P$2004,0))</f>
        <v/>
      </c>
    </row>
    <row r="1227" customFormat="false" ht="15" hidden="false" customHeight="false" outlineLevel="0" collapsed="false">
      <c r="A1227" s="67" t="str">
        <f aca="false">IF($K1227="","",ROW()-5)</f>
        <v/>
      </c>
      <c r="B1227" s="68" t="str">
        <f aca="false">IF($K1227="","",INDEX(Base!$E$5:$E$2004,$K1227))</f>
        <v/>
      </c>
      <c r="C1227" s="69" t="str">
        <f aca="false">IF($K1227="","",B1227)</f>
        <v/>
      </c>
      <c r="D1227" s="70" t="str">
        <f aca="false">IF($K1227="","",INDEX(Base!$F$5:$F$2004,$K1227))</f>
        <v/>
      </c>
      <c r="E1227" s="70" t="str">
        <f aca="false">IF($K1227="","",INDEX(Base!$G$5:$G$2004,$K1227))</f>
        <v/>
      </c>
      <c r="F1227" s="71" t="str">
        <f aca="false">IF($K1227="","",INDEX(Base!$H$5:$H$2004,$K1227))</f>
        <v/>
      </c>
      <c r="G1227" s="71" t="str">
        <f aca="false">IF($K1227="","",INDEX(Base!$I$5:$I$2004,$K1227))</f>
        <v/>
      </c>
      <c r="H1227" s="70" t="str">
        <f aca="false">IF($K1227="","",INDEX(Base!$J$5:$J$2004,$K1227))</f>
        <v/>
      </c>
      <c r="I1227" s="71" t="str">
        <f aca="false">IF($K1227="","",INDEX(Base!$L$5:$L$2004,$K1227))</f>
        <v/>
      </c>
      <c r="J1227" s="72" t="str">
        <f aca="false">IFERROR(SMALL(Base!$P$5:$P$2004,ROW()-5),"")</f>
        <v/>
      </c>
      <c r="K1227" s="72" t="str">
        <f aca="false">IF(J1227="","",MATCH(J1227,Base!$P$5:$P$2004,0))</f>
        <v/>
      </c>
    </row>
    <row r="1228" customFormat="false" ht="15" hidden="false" customHeight="false" outlineLevel="0" collapsed="false">
      <c r="A1228" s="67" t="str">
        <f aca="false">IF($K1228="","",ROW()-5)</f>
        <v/>
      </c>
      <c r="B1228" s="68" t="str">
        <f aca="false">IF($K1228="","",INDEX(Base!$E$5:$E$2004,$K1228))</f>
        <v/>
      </c>
      <c r="C1228" s="69" t="str">
        <f aca="false">IF($K1228="","",B1228)</f>
        <v/>
      </c>
      <c r="D1228" s="70" t="str">
        <f aca="false">IF($K1228="","",INDEX(Base!$F$5:$F$2004,$K1228))</f>
        <v/>
      </c>
      <c r="E1228" s="70" t="str">
        <f aca="false">IF($K1228="","",INDEX(Base!$G$5:$G$2004,$K1228))</f>
        <v/>
      </c>
      <c r="F1228" s="71" t="str">
        <f aca="false">IF($K1228="","",INDEX(Base!$H$5:$H$2004,$K1228))</f>
        <v/>
      </c>
      <c r="G1228" s="71" t="str">
        <f aca="false">IF($K1228="","",INDEX(Base!$I$5:$I$2004,$K1228))</f>
        <v/>
      </c>
      <c r="H1228" s="70" t="str">
        <f aca="false">IF($K1228="","",INDEX(Base!$J$5:$J$2004,$K1228))</f>
        <v/>
      </c>
      <c r="I1228" s="71" t="str">
        <f aca="false">IF($K1228="","",INDEX(Base!$L$5:$L$2004,$K1228))</f>
        <v/>
      </c>
      <c r="J1228" s="72" t="str">
        <f aca="false">IFERROR(SMALL(Base!$P$5:$P$2004,ROW()-5),"")</f>
        <v/>
      </c>
      <c r="K1228" s="72" t="str">
        <f aca="false">IF(J1228="","",MATCH(J1228,Base!$P$5:$P$2004,0))</f>
        <v/>
      </c>
    </row>
    <row r="1229" customFormat="false" ht="15" hidden="false" customHeight="false" outlineLevel="0" collapsed="false">
      <c r="A1229" s="67" t="str">
        <f aca="false">IF($K1229="","",ROW()-5)</f>
        <v/>
      </c>
      <c r="B1229" s="68" t="str">
        <f aca="false">IF($K1229="","",INDEX(Base!$E$5:$E$2004,$K1229))</f>
        <v/>
      </c>
      <c r="C1229" s="69" t="str">
        <f aca="false">IF($K1229="","",B1229)</f>
        <v/>
      </c>
      <c r="D1229" s="70" t="str">
        <f aca="false">IF($K1229="","",INDEX(Base!$F$5:$F$2004,$K1229))</f>
        <v/>
      </c>
      <c r="E1229" s="70" t="str">
        <f aca="false">IF($K1229="","",INDEX(Base!$G$5:$G$2004,$K1229))</f>
        <v/>
      </c>
      <c r="F1229" s="71" t="str">
        <f aca="false">IF($K1229="","",INDEX(Base!$H$5:$H$2004,$K1229))</f>
        <v/>
      </c>
      <c r="G1229" s="71" t="str">
        <f aca="false">IF($K1229="","",INDEX(Base!$I$5:$I$2004,$K1229))</f>
        <v/>
      </c>
      <c r="H1229" s="70" t="str">
        <f aca="false">IF($K1229="","",INDEX(Base!$J$5:$J$2004,$K1229))</f>
        <v/>
      </c>
      <c r="I1229" s="71" t="str">
        <f aca="false">IF($K1229="","",INDEX(Base!$L$5:$L$2004,$K1229))</f>
        <v/>
      </c>
      <c r="J1229" s="72" t="str">
        <f aca="false">IFERROR(SMALL(Base!$P$5:$P$2004,ROW()-5),"")</f>
        <v/>
      </c>
      <c r="K1229" s="72" t="str">
        <f aca="false">IF(J1229="","",MATCH(J1229,Base!$P$5:$P$2004,0))</f>
        <v/>
      </c>
    </row>
    <row r="1230" customFormat="false" ht="15" hidden="false" customHeight="false" outlineLevel="0" collapsed="false">
      <c r="A1230" s="67" t="str">
        <f aca="false">IF($K1230="","",ROW()-5)</f>
        <v/>
      </c>
      <c r="B1230" s="68" t="str">
        <f aca="false">IF($K1230="","",INDEX(Base!$E$5:$E$2004,$K1230))</f>
        <v/>
      </c>
      <c r="C1230" s="69" t="str">
        <f aca="false">IF($K1230="","",B1230)</f>
        <v/>
      </c>
      <c r="D1230" s="70" t="str">
        <f aca="false">IF($K1230="","",INDEX(Base!$F$5:$F$2004,$K1230))</f>
        <v/>
      </c>
      <c r="E1230" s="70" t="str">
        <f aca="false">IF($K1230="","",INDEX(Base!$G$5:$G$2004,$K1230))</f>
        <v/>
      </c>
      <c r="F1230" s="71" t="str">
        <f aca="false">IF($K1230="","",INDEX(Base!$H$5:$H$2004,$K1230))</f>
        <v/>
      </c>
      <c r="G1230" s="71" t="str">
        <f aca="false">IF($K1230="","",INDEX(Base!$I$5:$I$2004,$K1230))</f>
        <v/>
      </c>
      <c r="H1230" s="70" t="str">
        <f aca="false">IF($K1230="","",INDEX(Base!$J$5:$J$2004,$K1230))</f>
        <v/>
      </c>
      <c r="I1230" s="71" t="str">
        <f aca="false">IF($K1230="","",INDEX(Base!$L$5:$L$2004,$K1230))</f>
        <v/>
      </c>
      <c r="J1230" s="72" t="str">
        <f aca="false">IFERROR(SMALL(Base!$P$5:$P$2004,ROW()-5),"")</f>
        <v/>
      </c>
      <c r="K1230" s="72" t="str">
        <f aca="false">IF(J1230="","",MATCH(J1230,Base!$P$5:$P$2004,0))</f>
        <v/>
      </c>
    </row>
    <row r="1231" customFormat="false" ht="15" hidden="false" customHeight="false" outlineLevel="0" collapsed="false">
      <c r="A1231" s="67" t="str">
        <f aca="false">IF($K1231="","",ROW()-5)</f>
        <v/>
      </c>
      <c r="B1231" s="68" t="str">
        <f aca="false">IF($K1231="","",INDEX(Base!$E$5:$E$2004,$K1231))</f>
        <v/>
      </c>
      <c r="C1231" s="69" t="str">
        <f aca="false">IF($K1231="","",B1231)</f>
        <v/>
      </c>
      <c r="D1231" s="70" t="str">
        <f aca="false">IF($K1231="","",INDEX(Base!$F$5:$F$2004,$K1231))</f>
        <v/>
      </c>
      <c r="E1231" s="70" t="str">
        <f aca="false">IF($K1231="","",INDEX(Base!$G$5:$G$2004,$K1231))</f>
        <v/>
      </c>
      <c r="F1231" s="71" t="str">
        <f aca="false">IF($K1231="","",INDEX(Base!$H$5:$H$2004,$K1231))</f>
        <v/>
      </c>
      <c r="G1231" s="71" t="str">
        <f aca="false">IF($K1231="","",INDEX(Base!$I$5:$I$2004,$K1231))</f>
        <v/>
      </c>
      <c r="H1231" s="70" t="str">
        <f aca="false">IF($K1231="","",INDEX(Base!$J$5:$J$2004,$K1231))</f>
        <v/>
      </c>
      <c r="I1231" s="71" t="str">
        <f aca="false">IF($K1231="","",INDEX(Base!$L$5:$L$2004,$K1231))</f>
        <v/>
      </c>
      <c r="J1231" s="72" t="str">
        <f aca="false">IFERROR(SMALL(Base!$P$5:$P$2004,ROW()-5),"")</f>
        <v/>
      </c>
      <c r="K1231" s="72" t="str">
        <f aca="false">IF(J1231="","",MATCH(J1231,Base!$P$5:$P$2004,0))</f>
        <v/>
      </c>
    </row>
    <row r="1232" customFormat="false" ht="15" hidden="false" customHeight="false" outlineLevel="0" collapsed="false">
      <c r="A1232" s="67" t="str">
        <f aca="false">IF($K1232="","",ROW()-5)</f>
        <v/>
      </c>
      <c r="B1232" s="68" t="str">
        <f aca="false">IF($K1232="","",INDEX(Base!$E$5:$E$2004,$K1232))</f>
        <v/>
      </c>
      <c r="C1232" s="69" t="str">
        <f aca="false">IF($K1232="","",B1232)</f>
        <v/>
      </c>
      <c r="D1232" s="70" t="str">
        <f aca="false">IF($K1232="","",INDEX(Base!$F$5:$F$2004,$K1232))</f>
        <v/>
      </c>
      <c r="E1232" s="70" t="str">
        <f aca="false">IF($K1232="","",INDEX(Base!$G$5:$G$2004,$K1232))</f>
        <v/>
      </c>
      <c r="F1232" s="71" t="str">
        <f aca="false">IF($K1232="","",INDEX(Base!$H$5:$H$2004,$K1232))</f>
        <v/>
      </c>
      <c r="G1232" s="71" t="str">
        <f aca="false">IF($K1232="","",INDEX(Base!$I$5:$I$2004,$K1232))</f>
        <v/>
      </c>
      <c r="H1232" s="70" t="str">
        <f aca="false">IF($K1232="","",INDEX(Base!$J$5:$J$2004,$K1232))</f>
        <v/>
      </c>
      <c r="I1232" s="71" t="str">
        <f aca="false">IF($K1232="","",INDEX(Base!$L$5:$L$2004,$K1232))</f>
        <v/>
      </c>
      <c r="J1232" s="72" t="str">
        <f aca="false">IFERROR(SMALL(Base!$P$5:$P$2004,ROW()-5),"")</f>
        <v/>
      </c>
      <c r="K1232" s="72" t="str">
        <f aca="false">IF(J1232="","",MATCH(J1232,Base!$P$5:$P$2004,0))</f>
        <v/>
      </c>
    </row>
    <row r="1233" customFormat="false" ht="15" hidden="false" customHeight="false" outlineLevel="0" collapsed="false">
      <c r="A1233" s="67" t="str">
        <f aca="false">IF($K1233="","",ROW()-5)</f>
        <v/>
      </c>
      <c r="B1233" s="68" t="str">
        <f aca="false">IF($K1233="","",INDEX(Base!$E$5:$E$2004,$K1233))</f>
        <v/>
      </c>
      <c r="C1233" s="69" t="str">
        <f aca="false">IF($K1233="","",B1233)</f>
        <v/>
      </c>
      <c r="D1233" s="70" t="str">
        <f aca="false">IF($K1233="","",INDEX(Base!$F$5:$F$2004,$K1233))</f>
        <v/>
      </c>
      <c r="E1233" s="70" t="str">
        <f aca="false">IF($K1233="","",INDEX(Base!$G$5:$G$2004,$K1233))</f>
        <v/>
      </c>
      <c r="F1233" s="71" t="str">
        <f aca="false">IF($K1233="","",INDEX(Base!$H$5:$H$2004,$K1233))</f>
        <v/>
      </c>
      <c r="G1233" s="71" t="str">
        <f aca="false">IF($K1233="","",INDEX(Base!$I$5:$I$2004,$K1233))</f>
        <v/>
      </c>
      <c r="H1233" s="70" t="str">
        <f aca="false">IF($K1233="","",INDEX(Base!$J$5:$J$2004,$K1233))</f>
        <v/>
      </c>
      <c r="I1233" s="71" t="str">
        <f aca="false">IF($K1233="","",INDEX(Base!$L$5:$L$2004,$K1233))</f>
        <v/>
      </c>
      <c r="J1233" s="72" t="str">
        <f aca="false">IFERROR(SMALL(Base!$P$5:$P$2004,ROW()-5),"")</f>
        <v/>
      </c>
      <c r="K1233" s="72" t="str">
        <f aca="false">IF(J1233="","",MATCH(J1233,Base!$P$5:$P$2004,0))</f>
        <v/>
      </c>
    </row>
    <row r="1234" customFormat="false" ht="15" hidden="false" customHeight="false" outlineLevel="0" collapsed="false">
      <c r="A1234" s="67" t="str">
        <f aca="false">IF($K1234="","",ROW()-5)</f>
        <v/>
      </c>
      <c r="B1234" s="68" t="str">
        <f aca="false">IF($K1234="","",INDEX(Base!$E$5:$E$2004,$K1234))</f>
        <v/>
      </c>
      <c r="C1234" s="69" t="str">
        <f aca="false">IF($K1234="","",B1234)</f>
        <v/>
      </c>
      <c r="D1234" s="70" t="str">
        <f aca="false">IF($K1234="","",INDEX(Base!$F$5:$F$2004,$K1234))</f>
        <v/>
      </c>
      <c r="E1234" s="70" t="str">
        <f aca="false">IF($K1234="","",INDEX(Base!$G$5:$G$2004,$K1234))</f>
        <v/>
      </c>
      <c r="F1234" s="71" t="str">
        <f aca="false">IF($K1234="","",INDEX(Base!$H$5:$H$2004,$K1234))</f>
        <v/>
      </c>
      <c r="G1234" s="71" t="str">
        <f aca="false">IF($K1234="","",INDEX(Base!$I$5:$I$2004,$K1234))</f>
        <v/>
      </c>
      <c r="H1234" s="70" t="str">
        <f aca="false">IF($K1234="","",INDEX(Base!$J$5:$J$2004,$K1234))</f>
        <v/>
      </c>
      <c r="I1234" s="71" t="str">
        <f aca="false">IF($K1234="","",INDEX(Base!$L$5:$L$2004,$K1234))</f>
        <v/>
      </c>
      <c r="J1234" s="72" t="str">
        <f aca="false">IFERROR(SMALL(Base!$P$5:$P$2004,ROW()-5),"")</f>
        <v/>
      </c>
      <c r="K1234" s="72" t="str">
        <f aca="false">IF(J1234="","",MATCH(J1234,Base!$P$5:$P$2004,0))</f>
        <v/>
      </c>
    </row>
    <row r="1235" customFormat="false" ht="15" hidden="false" customHeight="false" outlineLevel="0" collapsed="false">
      <c r="A1235" s="67" t="str">
        <f aca="false">IF($K1235="","",ROW()-5)</f>
        <v/>
      </c>
      <c r="B1235" s="68" t="str">
        <f aca="false">IF($K1235="","",INDEX(Base!$E$5:$E$2004,$K1235))</f>
        <v/>
      </c>
      <c r="C1235" s="69" t="str">
        <f aca="false">IF($K1235="","",B1235)</f>
        <v/>
      </c>
      <c r="D1235" s="70" t="str">
        <f aca="false">IF($K1235="","",INDEX(Base!$F$5:$F$2004,$K1235))</f>
        <v/>
      </c>
      <c r="E1235" s="70" t="str">
        <f aca="false">IF($K1235="","",INDEX(Base!$G$5:$G$2004,$K1235))</f>
        <v/>
      </c>
      <c r="F1235" s="71" t="str">
        <f aca="false">IF($K1235="","",INDEX(Base!$H$5:$H$2004,$K1235))</f>
        <v/>
      </c>
      <c r="G1235" s="71" t="str">
        <f aca="false">IF($K1235="","",INDEX(Base!$I$5:$I$2004,$K1235))</f>
        <v/>
      </c>
      <c r="H1235" s="70" t="str">
        <f aca="false">IF($K1235="","",INDEX(Base!$J$5:$J$2004,$K1235))</f>
        <v/>
      </c>
      <c r="I1235" s="71" t="str">
        <f aca="false">IF($K1235="","",INDEX(Base!$L$5:$L$2004,$K1235))</f>
        <v/>
      </c>
      <c r="J1235" s="72" t="str">
        <f aca="false">IFERROR(SMALL(Base!$P$5:$P$2004,ROW()-5),"")</f>
        <v/>
      </c>
      <c r="K1235" s="72" t="str">
        <f aca="false">IF(J1235="","",MATCH(J1235,Base!$P$5:$P$2004,0))</f>
        <v/>
      </c>
    </row>
    <row r="1236" customFormat="false" ht="15" hidden="false" customHeight="false" outlineLevel="0" collapsed="false">
      <c r="A1236" s="67" t="str">
        <f aca="false">IF($K1236="","",ROW()-5)</f>
        <v/>
      </c>
      <c r="B1236" s="68" t="str">
        <f aca="false">IF($K1236="","",INDEX(Base!$E$5:$E$2004,$K1236))</f>
        <v/>
      </c>
      <c r="C1236" s="69" t="str">
        <f aca="false">IF($K1236="","",B1236)</f>
        <v/>
      </c>
      <c r="D1236" s="70" t="str">
        <f aca="false">IF($K1236="","",INDEX(Base!$F$5:$F$2004,$K1236))</f>
        <v/>
      </c>
      <c r="E1236" s="70" t="str">
        <f aca="false">IF($K1236="","",INDEX(Base!$G$5:$G$2004,$K1236))</f>
        <v/>
      </c>
      <c r="F1236" s="71" t="str">
        <f aca="false">IF($K1236="","",INDEX(Base!$H$5:$H$2004,$K1236))</f>
        <v/>
      </c>
      <c r="G1236" s="71" t="str">
        <f aca="false">IF($K1236="","",INDEX(Base!$I$5:$I$2004,$K1236))</f>
        <v/>
      </c>
      <c r="H1236" s="70" t="str">
        <f aca="false">IF($K1236="","",INDEX(Base!$J$5:$J$2004,$K1236))</f>
        <v/>
      </c>
      <c r="I1236" s="71" t="str">
        <f aca="false">IF($K1236="","",INDEX(Base!$L$5:$L$2004,$K1236))</f>
        <v/>
      </c>
      <c r="J1236" s="72" t="str">
        <f aca="false">IFERROR(SMALL(Base!$P$5:$P$2004,ROW()-5),"")</f>
        <v/>
      </c>
      <c r="K1236" s="72" t="str">
        <f aca="false">IF(J1236="","",MATCH(J1236,Base!$P$5:$P$2004,0))</f>
        <v/>
      </c>
    </row>
    <row r="1237" customFormat="false" ht="15" hidden="false" customHeight="false" outlineLevel="0" collapsed="false">
      <c r="A1237" s="67" t="str">
        <f aca="false">IF($K1237="","",ROW()-5)</f>
        <v/>
      </c>
      <c r="B1237" s="68" t="str">
        <f aca="false">IF($K1237="","",INDEX(Base!$E$5:$E$2004,$K1237))</f>
        <v/>
      </c>
      <c r="C1237" s="69" t="str">
        <f aca="false">IF($K1237="","",B1237)</f>
        <v/>
      </c>
      <c r="D1237" s="70" t="str">
        <f aca="false">IF($K1237="","",INDEX(Base!$F$5:$F$2004,$K1237))</f>
        <v/>
      </c>
      <c r="E1237" s="70" t="str">
        <f aca="false">IF($K1237="","",INDEX(Base!$G$5:$G$2004,$K1237))</f>
        <v/>
      </c>
      <c r="F1237" s="71" t="str">
        <f aca="false">IF($K1237="","",INDEX(Base!$H$5:$H$2004,$K1237))</f>
        <v/>
      </c>
      <c r="G1237" s="71" t="str">
        <f aca="false">IF($K1237="","",INDEX(Base!$I$5:$I$2004,$K1237))</f>
        <v/>
      </c>
      <c r="H1237" s="70" t="str">
        <f aca="false">IF($K1237="","",INDEX(Base!$J$5:$J$2004,$K1237))</f>
        <v/>
      </c>
      <c r="I1237" s="71" t="str">
        <f aca="false">IF($K1237="","",INDEX(Base!$L$5:$L$2004,$K1237))</f>
        <v/>
      </c>
      <c r="J1237" s="72" t="str">
        <f aca="false">IFERROR(SMALL(Base!$P$5:$P$2004,ROW()-5),"")</f>
        <v/>
      </c>
      <c r="K1237" s="72" t="str">
        <f aca="false">IF(J1237="","",MATCH(J1237,Base!$P$5:$P$2004,0))</f>
        <v/>
      </c>
    </row>
    <row r="1238" customFormat="false" ht="15" hidden="false" customHeight="false" outlineLevel="0" collapsed="false">
      <c r="A1238" s="67" t="str">
        <f aca="false">IF($K1238="","",ROW()-5)</f>
        <v/>
      </c>
      <c r="B1238" s="68" t="str">
        <f aca="false">IF($K1238="","",INDEX(Base!$E$5:$E$2004,$K1238))</f>
        <v/>
      </c>
      <c r="C1238" s="69" t="str">
        <f aca="false">IF($K1238="","",B1238)</f>
        <v/>
      </c>
      <c r="D1238" s="70" t="str">
        <f aca="false">IF($K1238="","",INDEX(Base!$F$5:$F$2004,$K1238))</f>
        <v/>
      </c>
      <c r="E1238" s="70" t="str">
        <f aca="false">IF($K1238="","",INDEX(Base!$G$5:$G$2004,$K1238))</f>
        <v/>
      </c>
      <c r="F1238" s="71" t="str">
        <f aca="false">IF($K1238="","",INDEX(Base!$H$5:$H$2004,$K1238))</f>
        <v/>
      </c>
      <c r="G1238" s="71" t="str">
        <f aca="false">IF($K1238="","",INDEX(Base!$I$5:$I$2004,$K1238))</f>
        <v/>
      </c>
      <c r="H1238" s="70" t="str">
        <f aca="false">IF($K1238="","",INDEX(Base!$J$5:$J$2004,$K1238))</f>
        <v/>
      </c>
      <c r="I1238" s="71" t="str">
        <f aca="false">IF($K1238="","",INDEX(Base!$L$5:$L$2004,$K1238))</f>
        <v/>
      </c>
      <c r="J1238" s="72" t="str">
        <f aca="false">IFERROR(SMALL(Base!$P$5:$P$2004,ROW()-5),"")</f>
        <v/>
      </c>
      <c r="K1238" s="72" t="str">
        <f aca="false">IF(J1238="","",MATCH(J1238,Base!$P$5:$P$2004,0))</f>
        <v/>
      </c>
    </row>
    <row r="1239" customFormat="false" ht="15" hidden="false" customHeight="false" outlineLevel="0" collapsed="false">
      <c r="A1239" s="67" t="str">
        <f aca="false">IF($K1239="","",ROW()-5)</f>
        <v/>
      </c>
      <c r="B1239" s="68" t="str">
        <f aca="false">IF($K1239="","",INDEX(Base!$E$5:$E$2004,$K1239))</f>
        <v/>
      </c>
      <c r="C1239" s="69" t="str">
        <f aca="false">IF($K1239="","",B1239)</f>
        <v/>
      </c>
      <c r="D1239" s="70" t="str">
        <f aca="false">IF($K1239="","",INDEX(Base!$F$5:$F$2004,$K1239))</f>
        <v/>
      </c>
      <c r="E1239" s="70" t="str">
        <f aca="false">IF($K1239="","",INDEX(Base!$G$5:$G$2004,$K1239))</f>
        <v/>
      </c>
      <c r="F1239" s="71" t="str">
        <f aca="false">IF($K1239="","",INDEX(Base!$H$5:$H$2004,$K1239))</f>
        <v/>
      </c>
      <c r="G1239" s="71" t="str">
        <f aca="false">IF($K1239="","",INDEX(Base!$I$5:$I$2004,$K1239))</f>
        <v/>
      </c>
      <c r="H1239" s="70" t="str">
        <f aca="false">IF($K1239="","",INDEX(Base!$J$5:$J$2004,$K1239))</f>
        <v/>
      </c>
      <c r="I1239" s="71" t="str">
        <f aca="false">IF($K1239="","",INDEX(Base!$L$5:$L$2004,$K1239))</f>
        <v/>
      </c>
      <c r="J1239" s="72" t="str">
        <f aca="false">IFERROR(SMALL(Base!$P$5:$P$2004,ROW()-5),"")</f>
        <v/>
      </c>
      <c r="K1239" s="72" t="str">
        <f aca="false">IF(J1239="","",MATCH(J1239,Base!$P$5:$P$2004,0))</f>
        <v/>
      </c>
    </row>
    <row r="1240" customFormat="false" ht="15" hidden="false" customHeight="false" outlineLevel="0" collapsed="false">
      <c r="A1240" s="67" t="str">
        <f aca="false">IF($K1240="","",ROW()-5)</f>
        <v/>
      </c>
      <c r="B1240" s="68" t="str">
        <f aca="false">IF($K1240="","",INDEX(Base!$E$5:$E$2004,$K1240))</f>
        <v/>
      </c>
      <c r="C1240" s="69" t="str">
        <f aca="false">IF($K1240="","",B1240)</f>
        <v/>
      </c>
      <c r="D1240" s="70" t="str">
        <f aca="false">IF($K1240="","",INDEX(Base!$F$5:$F$2004,$K1240))</f>
        <v/>
      </c>
      <c r="E1240" s="70" t="str">
        <f aca="false">IF($K1240="","",INDEX(Base!$G$5:$G$2004,$K1240))</f>
        <v/>
      </c>
      <c r="F1240" s="71" t="str">
        <f aca="false">IF($K1240="","",INDEX(Base!$H$5:$H$2004,$K1240))</f>
        <v/>
      </c>
      <c r="G1240" s="71" t="str">
        <f aca="false">IF($K1240="","",INDEX(Base!$I$5:$I$2004,$K1240))</f>
        <v/>
      </c>
      <c r="H1240" s="70" t="str">
        <f aca="false">IF($K1240="","",INDEX(Base!$J$5:$J$2004,$K1240))</f>
        <v/>
      </c>
      <c r="I1240" s="71" t="str">
        <f aca="false">IF($K1240="","",INDEX(Base!$L$5:$L$2004,$K1240))</f>
        <v/>
      </c>
      <c r="J1240" s="72" t="str">
        <f aca="false">IFERROR(SMALL(Base!$P$5:$P$2004,ROW()-5),"")</f>
        <v/>
      </c>
      <c r="K1240" s="72" t="str">
        <f aca="false">IF(J1240="","",MATCH(J1240,Base!$P$5:$P$2004,0))</f>
        <v/>
      </c>
    </row>
    <row r="1241" customFormat="false" ht="15" hidden="false" customHeight="false" outlineLevel="0" collapsed="false">
      <c r="A1241" s="67" t="str">
        <f aca="false">IF($K1241="","",ROW()-5)</f>
        <v/>
      </c>
      <c r="B1241" s="68" t="str">
        <f aca="false">IF($K1241="","",INDEX(Base!$E$5:$E$2004,$K1241))</f>
        <v/>
      </c>
      <c r="C1241" s="69" t="str">
        <f aca="false">IF($K1241="","",B1241)</f>
        <v/>
      </c>
      <c r="D1241" s="70" t="str">
        <f aca="false">IF($K1241="","",INDEX(Base!$F$5:$F$2004,$K1241))</f>
        <v/>
      </c>
      <c r="E1241" s="70" t="str">
        <f aca="false">IF($K1241="","",INDEX(Base!$G$5:$G$2004,$K1241))</f>
        <v/>
      </c>
      <c r="F1241" s="71" t="str">
        <f aca="false">IF($K1241="","",INDEX(Base!$H$5:$H$2004,$K1241))</f>
        <v/>
      </c>
      <c r="G1241" s="71" t="str">
        <f aca="false">IF($K1241="","",INDEX(Base!$I$5:$I$2004,$K1241))</f>
        <v/>
      </c>
      <c r="H1241" s="70" t="str">
        <f aca="false">IF($K1241="","",INDEX(Base!$J$5:$J$2004,$K1241))</f>
        <v/>
      </c>
      <c r="I1241" s="71" t="str">
        <f aca="false">IF($K1241="","",INDEX(Base!$L$5:$L$2004,$K1241))</f>
        <v/>
      </c>
      <c r="J1241" s="72" t="str">
        <f aca="false">IFERROR(SMALL(Base!$P$5:$P$2004,ROW()-5),"")</f>
        <v/>
      </c>
      <c r="K1241" s="72" t="str">
        <f aca="false">IF(J1241="","",MATCH(J1241,Base!$P$5:$P$2004,0))</f>
        <v/>
      </c>
    </row>
    <row r="1242" customFormat="false" ht="15" hidden="false" customHeight="false" outlineLevel="0" collapsed="false">
      <c r="A1242" s="67" t="str">
        <f aca="false">IF($K1242="","",ROW()-5)</f>
        <v/>
      </c>
      <c r="B1242" s="68" t="str">
        <f aca="false">IF($K1242="","",INDEX(Base!$E$5:$E$2004,$K1242))</f>
        <v/>
      </c>
      <c r="C1242" s="69" t="str">
        <f aca="false">IF($K1242="","",B1242)</f>
        <v/>
      </c>
      <c r="D1242" s="70" t="str">
        <f aca="false">IF($K1242="","",INDEX(Base!$F$5:$F$2004,$K1242))</f>
        <v/>
      </c>
      <c r="E1242" s="70" t="str">
        <f aca="false">IF($K1242="","",INDEX(Base!$G$5:$G$2004,$K1242))</f>
        <v/>
      </c>
      <c r="F1242" s="71" t="str">
        <f aca="false">IF($K1242="","",INDEX(Base!$H$5:$H$2004,$K1242))</f>
        <v/>
      </c>
      <c r="G1242" s="71" t="str">
        <f aca="false">IF($K1242="","",INDEX(Base!$I$5:$I$2004,$K1242))</f>
        <v/>
      </c>
      <c r="H1242" s="70" t="str">
        <f aca="false">IF($K1242="","",INDEX(Base!$J$5:$J$2004,$K1242))</f>
        <v/>
      </c>
      <c r="I1242" s="71" t="str">
        <f aca="false">IF($K1242="","",INDEX(Base!$L$5:$L$2004,$K1242))</f>
        <v/>
      </c>
      <c r="J1242" s="72" t="str">
        <f aca="false">IFERROR(SMALL(Base!$P$5:$P$2004,ROW()-5),"")</f>
        <v/>
      </c>
      <c r="K1242" s="72" t="str">
        <f aca="false">IF(J1242="","",MATCH(J1242,Base!$P$5:$P$2004,0))</f>
        <v/>
      </c>
    </row>
    <row r="1243" customFormat="false" ht="15" hidden="false" customHeight="false" outlineLevel="0" collapsed="false">
      <c r="A1243" s="67" t="str">
        <f aca="false">IF($K1243="","",ROW()-5)</f>
        <v/>
      </c>
      <c r="B1243" s="68" t="str">
        <f aca="false">IF($K1243="","",INDEX(Base!$E$5:$E$2004,$K1243))</f>
        <v/>
      </c>
      <c r="C1243" s="69" t="str">
        <f aca="false">IF($K1243="","",B1243)</f>
        <v/>
      </c>
      <c r="D1243" s="70" t="str">
        <f aca="false">IF($K1243="","",INDEX(Base!$F$5:$F$2004,$K1243))</f>
        <v/>
      </c>
      <c r="E1243" s="70" t="str">
        <f aca="false">IF($K1243="","",INDEX(Base!$G$5:$G$2004,$K1243))</f>
        <v/>
      </c>
      <c r="F1243" s="71" t="str">
        <f aca="false">IF($K1243="","",INDEX(Base!$H$5:$H$2004,$K1243))</f>
        <v/>
      </c>
      <c r="G1243" s="71" t="str">
        <f aca="false">IF($K1243="","",INDEX(Base!$I$5:$I$2004,$K1243))</f>
        <v/>
      </c>
      <c r="H1243" s="70" t="str">
        <f aca="false">IF($K1243="","",INDEX(Base!$J$5:$J$2004,$K1243))</f>
        <v/>
      </c>
      <c r="I1243" s="71" t="str">
        <f aca="false">IF($K1243="","",INDEX(Base!$L$5:$L$2004,$K1243))</f>
        <v/>
      </c>
      <c r="J1243" s="72" t="str">
        <f aca="false">IFERROR(SMALL(Base!$P$5:$P$2004,ROW()-5),"")</f>
        <v/>
      </c>
      <c r="K1243" s="72" t="str">
        <f aca="false">IF(J1243="","",MATCH(J1243,Base!$P$5:$P$2004,0))</f>
        <v/>
      </c>
    </row>
    <row r="1244" customFormat="false" ht="15" hidden="false" customHeight="false" outlineLevel="0" collapsed="false">
      <c r="A1244" s="67" t="str">
        <f aca="false">IF($K1244="","",ROW()-5)</f>
        <v/>
      </c>
      <c r="B1244" s="68" t="str">
        <f aca="false">IF($K1244="","",INDEX(Base!$E$5:$E$2004,$K1244))</f>
        <v/>
      </c>
      <c r="C1244" s="69" t="str">
        <f aca="false">IF($K1244="","",B1244)</f>
        <v/>
      </c>
      <c r="D1244" s="70" t="str">
        <f aca="false">IF($K1244="","",INDEX(Base!$F$5:$F$2004,$K1244))</f>
        <v/>
      </c>
      <c r="E1244" s="70" t="str">
        <f aca="false">IF($K1244="","",INDEX(Base!$G$5:$G$2004,$K1244))</f>
        <v/>
      </c>
      <c r="F1244" s="71" t="str">
        <f aca="false">IF($K1244="","",INDEX(Base!$H$5:$H$2004,$K1244))</f>
        <v/>
      </c>
      <c r="G1244" s="71" t="str">
        <f aca="false">IF($K1244="","",INDEX(Base!$I$5:$I$2004,$K1244))</f>
        <v/>
      </c>
      <c r="H1244" s="70" t="str">
        <f aca="false">IF($K1244="","",INDEX(Base!$J$5:$J$2004,$K1244))</f>
        <v/>
      </c>
      <c r="I1244" s="71" t="str">
        <f aca="false">IF($K1244="","",INDEX(Base!$L$5:$L$2004,$K1244))</f>
        <v/>
      </c>
      <c r="J1244" s="72" t="str">
        <f aca="false">IFERROR(SMALL(Base!$P$5:$P$2004,ROW()-5),"")</f>
        <v/>
      </c>
      <c r="K1244" s="72" t="str">
        <f aca="false">IF(J1244="","",MATCH(J1244,Base!$P$5:$P$2004,0))</f>
        <v/>
      </c>
    </row>
    <row r="1245" customFormat="false" ht="15" hidden="false" customHeight="false" outlineLevel="0" collapsed="false">
      <c r="A1245" s="67" t="str">
        <f aca="false">IF($K1245="","",ROW()-5)</f>
        <v/>
      </c>
      <c r="B1245" s="68" t="str">
        <f aca="false">IF($K1245="","",INDEX(Base!$E$5:$E$2004,$K1245))</f>
        <v/>
      </c>
      <c r="C1245" s="69" t="str">
        <f aca="false">IF($K1245="","",B1245)</f>
        <v/>
      </c>
      <c r="D1245" s="70" t="str">
        <f aca="false">IF($K1245="","",INDEX(Base!$F$5:$F$2004,$K1245))</f>
        <v/>
      </c>
      <c r="E1245" s="70" t="str">
        <f aca="false">IF($K1245="","",INDEX(Base!$G$5:$G$2004,$K1245))</f>
        <v/>
      </c>
      <c r="F1245" s="71" t="str">
        <f aca="false">IF($K1245="","",INDEX(Base!$H$5:$H$2004,$K1245))</f>
        <v/>
      </c>
      <c r="G1245" s="71" t="str">
        <f aca="false">IF($K1245="","",INDEX(Base!$I$5:$I$2004,$K1245))</f>
        <v/>
      </c>
      <c r="H1245" s="70" t="str">
        <f aca="false">IF($K1245="","",INDEX(Base!$J$5:$J$2004,$K1245))</f>
        <v/>
      </c>
      <c r="I1245" s="71" t="str">
        <f aca="false">IF($K1245="","",INDEX(Base!$L$5:$L$2004,$K1245))</f>
        <v/>
      </c>
      <c r="J1245" s="72" t="str">
        <f aca="false">IFERROR(SMALL(Base!$P$5:$P$2004,ROW()-5),"")</f>
        <v/>
      </c>
      <c r="K1245" s="72" t="str">
        <f aca="false">IF(J1245="","",MATCH(J1245,Base!$P$5:$P$2004,0))</f>
        <v/>
      </c>
    </row>
    <row r="1246" customFormat="false" ht="15" hidden="false" customHeight="false" outlineLevel="0" collapsed="false">
      <c r="A1246" s="67" t="str">
        <f aca="false">IF($K1246="","",ROW()-5)</f>
        <v/>
      </c>
      <c r="B1246" s="68" t="str">
        <f aca="false">IF($K1246="","",INDEX(Base!$E$5:$E$2004,$K1246))</f>
        <v/>
      </c>
      <c r="C1246" s="69" t="str">
        <f aca="false">IF($K1246="","",B1246)</f>
        <v/>
      </c>
      <c r="D1246" s="70" t="str">
        <f aca="false">IF($K1246="","",INDEX(Base!$F$5:$F$2004,$K1246))</f>
        <v/>
      </c>
      <c r="E1246" s="70" t="str">
        <f aca="false">IF($K1246="","",INDEX(Base!$G$5:$G$2004,$K1246))</f>
        <v/>
      </c>
      <c r="F1246" s="71" t="str">
        <f aca="false">IF($K1246="","",INDEX(Base!$H$5:$H$2004,$K1246))</f>
        <v/>
      </c>
      <c r="G1246" s="71" t="str">
        <f aca="false">IF($K1246="","",INDEX(Base!$I$5:$I$2004,$K1246))</f>
        <v/>
      </c>
      <c r="H1246" s="70" t="str">
        <f aca="false">IF($K1246="","",INDEX(Base!$J$5:$J$2004,$K1246))</f>
        <v/>
      </c>
      <c r="I1246" s="71" t="str">
        <f aca="false">IF($K1246="","",INDEX(Base!$L$5:$L$2004,$K1246))</f>
        <v/>
      </c>
      <c r="J1246" s="72" t="str">
        <f aca="false">IFERROR(SMALL(Base!$P$5:$P$2004,ROW()-5),"")</f>
        <v/>
      </c>
      <c r="K1246" s="72" t="str">
        <f aca="false">IF(J1246="","",MATCH(J1246,Base!$P$5:$P$2004,0))</f>
        <v/>
      </c>
    </row>
    <row r="1247" customFormat="false" ht="15" hidden="false" customHeight="false" outlineLevel="0" collapsed="false">
      <c r="A1247" s="67" t="str">
        <f aca="false">IF($K1247="","",ROW()-5)</f>
        <v/>
      </c>
      <c r="B1247" s="68" t="str">
        <f aca="false">IF($K1247="","",INDEX(Base!$E$5:$E$2004,$K1247))</f>
        <v/>
      </c>
      <c r="C1247" s="69" t="str">
        <f aca="false">IF($K1247="","",B1247)</f>
        <v/>
      </c>
      <c r="D1247" s="70" t="str">
        <f aca="false">IF($K1247="","",INDEX(Base!$F$5:$F$2004,$K1247))</f>
        <v/>
      </c>
      <c r="E1247" s="70" t="str">
        <f aca="false">IF($K1247="","",INDEX(Base!$G$5:$G$2004,$K1247))</f>
        <v/>
      </c>
      <c r="F1247" s="71" t="str">
        <f aca="false">IF($K1247="","",INDEX(Base!$H$5:$H$2004,$K1247))</f>
        <v/>
      </c>
      <c r="G1247" s="71" t="str">
        <f aca="false">IF($K1247="","",INDEX(Base!$I$5:$I$2004,$K1247))</f>
        <v/>
      </c>
      <c r="H1247" s="70" t="str">
        <f aca="false">IF($K1247="","",INDEX(Base!$J$5:$J$2004,$K1247))</f>
        <v/>
      </c>
      <c r="I1247" s="71" t="str">
        <f aca="false">IF($K1247="","",INDEX(Base!$L$5:$L$2004,$K1247))</f>
        <v/>
      </c>
      <c r="J1247" s="72" t="str">
        <f aca="false">IFERROR(SMALL(Base!$P$5:$P$2004,ROW()-5),"")</f>
        <v/>
      </c>
      <c r="K1247" s="72" t="str">
        <f aca="false">IF(J1247="","",MATCH(J1247,Base!$P$5:$P$2004,0))</f>
        <v/>
      </c>
    </row>
    <row r="1248" customFormat="false" ht="15" hidden="false" customHeight="false" outlineLevel="0" collapsed="false">
      <c r="A1248" s="67" t="str">
        <f aca="false">IF($K1248="","",ROW()-5)</f>
        <v/>
      </c>
      <c r="B1248" s="68" t="str">
        <f aca="false">IF($K1248="","",INDEX(Base!$E$5:$E$2004,$K1248))</f>
        <v/>
      </c>
      <c r="C1248" s="69" t="str">
        <f aca="false">IF($K1248="","",B1248)</f>
        <v/>
      </c>
      <c r="D1248" s="70" t="str">
        <f aca="false">IF($K1248="","",INDEX(Base!$F$5:$F$2004,$K1248))</f>
        <v/>
      </c>
      <c r="E1248" s="70" t="str">
        <f aca="false">IF($K1248="","",INDEX(Base!$G$5:$G$2004,$K1248))</f>
        <v/>
      </c>
      <c r="F1248" s="71" t="str">
        <f aca="false">IF($K1248="","",INDEX(Base!$H$5:$H$2004,$K1248))</f>
        <v/>
      </c>
      <c r="G1248" s="71" t="str">
        <f aca="false">IF($K1248="","",INDEX(Base!$I$5:$I$2004,$K1248))</f>
        <v/>
      </c>
      <c r="H1248" s="70" t="str">
        <f aca="false">IF($K1248="","",INDEX(Base!$J$5:$J$2004,$K1248))</f>
        <v/>
      </c>
      <c r="I1248" s="71" t="str">
        <f aca="false">IF($K1248="","",INDEX(Base!$L$5:$L$2004,$K1248))</f>
        <v/>
      </c>
      <c r="J1248" s="72" t="str">
        <f aca="false">IFERROR(SMALL(Base!$P$5:$P$2004,ROW()-5),"")</f>
        <v/>
      </c>
      <c r="K1248" s="72" t="str">
        <f aca="false">IF(J1248="","",MATCH(J1248,Base!$P$5:$P$2004,0))</f>
        <v/>
      </c>
    </row>
    <row r="1249" customFormat="false" ht="15" hidden="false" customHeight="false" outlineLevel="0" collapsed="false">
      <c r="A1249" s="67" t="str">
        <f aca="false">IF($K1249="","",ROW()-5)</f>
        <v/>
      </c>
      <c r="B1249" s="68" t="str">
        <f aca="false">IF($K1249="","",INDEX(Base!$E$5:$E$2004,$K1249))</f>
        <v/>
      </c>
      <c r="C1249" s="69" t="str">
        <f aca="false">IF($K1249="","",B1249)</f>
        <v/>
      </c>
      <c r="D1249" s="70" t="str">
        <f aca="false">IF($K1249="","",INDEX(Base!$F$5:$F$2004,$K1249))</f>
        <v/>
      </c>
      <c r="E1249" s="70" t="str">
        <f aca="false">IF($K1249="","",INDEX(Base!$G$5:$G$2004,$K1249))</f>
        <v/>
      </c>
      <c r="F1249" s="71" t="str">
        <f aca="false">IF($K1249="","",INDEX(Base!$H$5:$H$2004,$K1249))</f>
        <v/>
      </c>
      <c r="G1249" s="71" t="str">
        <f aca="false">IF($K1249="","",INDEX(Base!$I$5:$I$2004,$K1249))</f>
        <v/>
      </c>
      <c r="H1249" s="70" t="str">
        <f aca="false">IF($K1249="","",INDEX(Base!$J$5:$J$2004,$K1249))</f>
        <v/>
      </c>
      <c r="I1249" s="71" t="str">
        <f aca="false">IF($K1249="","",INDEX(Base!$L$5:$L$2004,$K1249))</f>
        <v/>
      </c>
      <c r="J1249" s="72" t="str">
        <f aca="false">IFERROR(SMALL(Base!$P$5:$P$2004,ROW()-5),"")</f>
        <v/>
      </c>
      <c r="K1249" s="72" t="str">
        <f aca="false">IF(J1249="","",MATCH(J1249,Base!$P$5:$P$2004,0))</f>
        <v/>
      </c>
    </row>
    <row r="1250" customFormat="false" ht="15" hidden="false" customHeight="false" outlineLevel="0" collapsed="false">
      <c r="A1250" s="67" t="str">
        <f aca="false">IF($K1250="","",ROW()-5)</f>
        <v/>
      </c>
      <c r="B1250" s="68" t="str">
        <f aca="false">IF($K1250="","",INDEX(Base!$E$5:$E$2004,$K1250))</f>
        <v/>
      </c>
      <c r="C1250" s="69" t="str">
        <f aca="false">IF($K1250="","",B1250)</f>
        <v/>
      </c>
      <c r="D1250" s="70" t="str">
        <f aca="false">IF($K1250="","",INDEX(Base!$F$5:$F$2004,$K1250))</f>
        <v/>
      </c>
      <c r="E1250" s="70" t="str">
        <f aca="false">IF($K1250="","",INDEX(Base!$G$5:$G$2004,$K1250))</f>
        <v/>
      </c>
      <c r="F1250" s="71" t="str">
        <f aca="false">IF($K1250="","",INDEX(Base!$H$5:$H$2004,$K1250))</f>
        <v/>
      </c>
      <c r="G1250" s="71" t="str">
        <f aca="false">IF($K1250="","",INDEX(Base!$I$5:$I$2004,$K1250))</f>
        <v/>
      </c>
      <c r="H1250" s="70" t="str">
        <f aca="false">IF($K1250="","",INDEX(Base!$J$5:$J$2004,$K1250))</f>
        <v/>
      </c>
      <c r="I1250" s="71" t="str">
        <f aca="false">IF($K1250="","",INDEX(Base!$L$5:$L$2004,$K1250))</f>
        <v/>
      </c>
      <c r="J1250" s="72" t="str">
        <f aca="false">IFERROR(SMALL(Base!$P$5:$P$2004,ROW()-5),"")</f>
        <v/>
      </c>
      <c r="K1250" s="72" t="str">
        <f aca="false">IF(J1250="","",MATCH(J1250,Base!$P$5:$P$2004,0))</f>
        <v/>
      </c>
    </row>
    <row r="1251" customFormat="false" ht="15" hidden="false" customHeight="false" outlineLevel="0" collapsed="false">
      <c r="A1251" s="67" t="str">
        <f aca="false">IF($K1251="","",ROW()-5)</f>
        <v/>
      </c>
      <c r="B1251" s="68" t="str">
        <f aca="false">IF($K1251="","",INDEX(Base!$E$5:$E$2004,$K1251))</f>
        <v/>
      </c>
      <c r="C1251" s="69" t="str">
        <f aca="false">IF($K1251="","",B1251)</f>
        <v/>
      </c>
      <c r="D1251" s="70" t="str">
        <f aca="false">IF($K1251="","",INDEX(Base!$F$5:$F$2004,$K1251))</f>
        <v/>
      </c>
      <c r="E1251" s="70" t="str">
        <f aca="false">IF($K1251="","",INDEX(Base!$G$5:$G$2004,$K1251))</f>
        <v/>
      </c>
      <c r="F1251" s="71" t="str">
        <f aca="false">IF($K1251="","",INDEX(Base!$H$5:$H$2004,$K1251))</f>
        <v/>
      </c>
      <c r="G1251" s="71" t="str">
        <f aca="false">IF($K1251="","",INDEX(Base!$I$5:$I$2004,$K1251))</f>
        <v/>
      </c>
      <c r="H1251" s="70" t="str">
        <f aca="false">IF($K1251="","",INDEX(Base!$J$5:$J$2004,$K1251))</f>
        <v/>
      </c>
      <c r="I1251" s="71" t="str">
        <f aca="false">IF($K1251="","",INDEX(Base!$L$5:$L$2004,$K1251))</f>
        <v/>
      </c>
      <c r="J1251" s="72" t="str">
        <f aca="false">IFERROR(SMALL(Base!$P$5:$P$2004,ROW()-5),"")</f>
        <v/>
      </c>
      <c r="K1251" s="72" t="str">
        <f aca="false">IF(J1251="","",MATCH(J1251,Base!$P$5:$P$2004,0))</f>
        <v/>
      </c>
    </row>
    <row r="1252" customFormat="false" ht="15" hidden="false" customHeight="false" outlineLevel="0" collapsed="false">
      <c r="A1252" s="67" t="str">
        <f aca="false">IF($K1252="","",ROW()-5)</f>
        <v/>
      </c>
      <c r="B1252" s="68" t="str">
        <f aca="false">IF($K1252="","",INDEX(Base!$E$5:$E$2004,$K1252))</f>
        <v/>
      </c>
      <c r="C1252" s="69" t="str">
        <f aca="false">IF($K1252="","",B1252)</f>
        <v/>
      </c>
      <c r="D1252" s="70" t="str">
        <f aca="false">IF($K1252="","",INDEX(Base!$F$5:$F$2004,$K1252))</f>
        <v/>
      </c>
      <c r="E1252" s="70" t="str">
        <f aca="false">IF($K1252="","",INDEX(Base!$G$5:$G$2004,$K1252))</f>
        <v/>
      </c>
      <c r="F1252" s="71" t="str">
        <f aca="false">IF($K1252="","",INDEX(Base!$H$5:$H$2004,$K1252))</f>
        <v/>
      </c>
      <c r="G1252" s="71" t="str">
        <f aca="false">IF($K1252="","",INDEX(Base!$I$5:$I$2004,$K1252))</f>
        <v/>
      </c>
      <c r="H1252" s="70" t="str">
        <f aca="false">IF($K1252="","",INDEX(Base!$J$5:$J$2004,$K1252))</f>
        <v/>
      </c>
      <c r="I1252" s="71" t="str">
        <f aca="false">IF($K1252="","",INDEX(Base!$L$5:$L$2004,$K1252))</f>
        <v/>
      </c>
      <c r="J1252" s="72" t="str">
        <f aca="false">IFERROR(SMALL(Base!$P$5:$P$2004,ROW()-5),"")</f>
        <v/>
      </c>
      <c r="K1252" s="72" t="str">
        <f aca="false">IF(J1252="","",MATCH(J1252,Base!$P$5:$P$2004,0))</f>
        <v/>
      </c>
    </row>
    <row r="1253" customFormat="false" ht="15" hidden="false" customHeight="false" outlineLevel="0" collapsed="false">
      <c r="A1253" s="67" t="str">
        <f aca="false">IF($K1253="","",ROW()-5)</f>
        <v/>
      </c>
      <c r="B1253" s="68" t="str">
        <f aca="false">IF($K1253="","",INDEX(Base!$E$5:$E$2004,$K1253))</f>
        <v/>
      </c>
      <c r="C1253" s="69" t="str">
        <f aca="false">IF($K1253="","",B1253)</f>
        <v/>
      </c>
      <c r="D1253" s="70" t="str">
        <f aca="false">IF($K1253="","",INDEX(Base!$F$5:$F$2004,$K1253))</f>
        <v/>
      </c>
      <c r="E1253" s="70" t="str">
        <f aca="false">IF($K1253="","",INDEX(Base!$G$5:$G$2004,$K1253))</f>
        <v/>
      </c>
      <c r="F1253" s="71" t="str">
        <f aca="false">IF($K1253="","",INDEX(Base!$H$5:$H$2004,$K1253))</f>
        <v/>
      </c>
      <c r="G1253" s="71" t="str">
        <f aca="false">IF($K1253="","",INDEX(Base!$I$5:$I$2004,$K1253))</f>
        <v/>
      </c>
      <c r="H1253" s="70" t="str">
        <f aca="false">IF($K1253="","",INDEX(Base!$J$5:$J$2004,$K1253))</f>
        <v/>
      </c>
      <c r="I1253" s="71" t="str">
        <f aca="false">IF($K1253="","",INDEX(Base!$L$5:$L$2004,$K1253))</f>
        <v/>
      </c>
      <c r="J1253" s="72" t="str">
        <f aca="false">IFERROR(SMALL(Base!$P$5:$P$2004,ROW()-5),"")</f>
        <v/>
      </c>
      <c r="K1253" s="72" t="str">
        <f aca="false">IF(J1253="","",MATCH(J1253,Base!$P$5:$P$2004,0))</f>
        <v/>
      </c>
    </row>
    <row r="1254" customFormat="false" ht="15" hidden="false" customHeight="false" outlineLevel="0" collapsed="false">
      <c r="A1254" s="67" t="str">
        <f aca="false">IF($K1254="","",ROW()-5)</f>
        <v/>
      </c>
      <c r="B1254" s="68" t="str">
        <f aca="false">IF($K1254="","",INDEX(Base!$E$5:$E$2004,$K1254))</f>
        <v/>
      </c>
      <c r="C1254" s="69" t="str">
        <f aca="false">IF($K1254="","",B1254)</f>
        <v/>
      </c>
      <c r="D1254" s="70" t="str">
        <f aca="false">IF($K1254="","",INDEX(Base!$F$5:$F$2004,$K1254))</f>
        <v/>
      </c>
      <c r="E1254" s="70" t="str">
        <f aca="false">IF($K1254="","",INDEX(Base!$G$5:$G$2004,$K1254))</f>
        <v/>
      </c>
      <c r="F1254" s="71" t="str">
        <f aca="false">IF($K1254="","",INDEX(Base!$H$5:$H$2004,$K1254))</f>
        <v/>
      </c>
      <c r="G1254" s="71" t="str">
        <f aca="false">IF($K1254="","",INDEX(Base!$I$5:$I$2004,$K1254))</f>
        <v/>
      </c>
      <c r="H1254" s="70" t="str">
        <f aca="false">IF($K1254="","",INDEX(Base!$J$5:$J$2004,$K1254))</f>
        <v/>
      </c>
      <c r="I1254" s="71" t="str">
        <f aca="false">IF($K1254="","",INDEX(Base!$L$5:$L$2004,$K1254))</f>
        <v/>
      </c>
      <c r="J1254" s="72" t="str">
        <f aca="false">IFERROR(SMALL(Base!$P$5:$P$2004,ROW()-5),"")</f>
        <v/>
      </c>
      <c r="K1254" s="72" t="str">
        <f aca="false">IF(J1254="","",MATCH(J1254,Base!$P$5:$P$2004,0))</f>
        <v/>
      </c>
    </row>
    <row r="1255" customFormat="false" ht="15" hidden="false" customHeight="false" outlineLevel="0" collapsed="false">
      <c r="A1255" s="67" t="str">
        <f aca="false">IF($K1255="","",ROW()-5)</f>
        <v/>
      </c>
      <c r="B1255" s="68" t="str">
        <f aca="false">IF($K1255="","",INDEX(Base!$E$5:$E$2004,$K1255))</f>
        <v/>
      </c>
      <c r="C1255" s="69" t="str">
        <f aca="false">IF($K1255="","",B1255)</f>
        <v/>
      </c>
      <c r="D1255" s="70" t="str">
        <f aca="false">IF($K1255="","",INDEX(Base!$F$5:$F$2004,$K1255))</f>
        <v/>
      </c>
      <c r="E1255" s="70" t="str">
        <f aca="false">IF($K1255="","",INDEX(Base!$G$5:$G$2004,$K1255))</f>
        <v/>
      </c>
      <c r="F1255" s="71" t="str">
        <f aca="false">IF($K1255="","",INDEX(Base!$H$5:$H$2004,$K1255))</f>
        <v/>
      </c>
      <c r="G1255" s="71" t="str">
        <f aca="false">IF($K1255="","",INDEX(Base!$I$5:$I$2004,$K1255))</f>
        <v/>
      </c>
      <c r="H1255" s="70" t="str">
        <f aca="false">IF($K1255="","",INDEX(Base!$J$5:$J$2004,$K1255))</f>
        <v/>
      </c>
      <c r="I1255" s="71" t="str">
        <f aca="false">IF($K1255="","",INDEX(Base!$L$5:$L$2004,$K1255))</f>
        <v/>
      </c>
      <c r="J1255" s="72" t="str">
        <f aca="false">IFERROR(SMALL(Base!$P$5:$P$2004,ROW()-5),"")</f>
        <v/>
      </c>
      <c r="K1255" s="72" t="str">
        <f aca="false">IF(J1255="","",MATCH(J1255,Base!$P$5:$P$2004,0))</f>
        <v/>
      </c>
    </row>
    <row r="1256" customFormat="false" ht="15" hidden="false" customHeight="false" outlineLevel="0" collapsed="false">
      <c r="A1256" s="67" t="str">
        <f aca="false">IF($K1256="","",ROW()-5)</f>
        <v/>
      </c>
      <c r="B1256" s="68" t="str">
        <f aca="false">IF($K1256="","",INDEX(Base!$E$5:$E$2004,$K1256))</f>
        <v/>
      </c>
      <c r="C1256" s="69" t="str">
        <f aca="false">IF($K1256="","",B1256)</f>
        <v/>
      </c>
      <c r="D1256" s="70" t="str">
        <f aca="false">IF($K1256="","",INDEX(Base!$F$5:$F$2004,$K1256))</f>
        <v/>
      </c>
      <c r="E1256" s="70" t="str">
        <f aca="false">IF($K1256="","",INDEX(Base!$G$5:$G$2004,$K1256))</f>
        <v/>
      </c>
      <c r="F1256" s="71" t="str">
        <f aca="false">IF($K1256="","",INDEX(Base!$H$5:$H$2004,$K1256))</f>
        <v/>
      </c>
      <c r="G1256" s="71" t="str">
        <f aca="false">IF($K1256="","",INDEX(Base!$I$5:$I$2004,$K1256))</f>
        <v/>
      </c>
      <c r="H1256" s="70" t="str">
        <f aca="false">IF($K1256="","",INDEX(Base!$J$5:$J$2004,$K1256))</f>
        <v/>
      </c>
      <c r="I1256" s="71" t="str">
        <f aca="false">IF($K1256="","",INDEX(Base!$L$5:$L$2004,$K1256))</f>
        <v/>
      </c>
      <c r="J1256" s="72" t="str">
        <f aca="false">IFERROR(SMALL(Base!$P$5:$P$2004,ROW()-5),"")</f>
        <v/>
      </c>
      <c r="K1256" s="72" t="str">
        <f aca="false">IF(J1256="","",MATCH(J1256,Base!$P$5:$P$2004,0))</f>
        <v/>
      </c>
    </row>
    <row r="1257" customFormat="false" ht="15" hidden="false" customHeight="false" outlineLevel="0" collapsed="false">
      <c r="A1257" s="67" t="str">
        <f aca="false">IF($K1257="","",ROW()-5)</f>
        <v/>
      </c>
      <c r="B1257" s="68" t="str">
        <f aca="false">IF($K1257="","",INDEX(Base!$E$5:$E$2004,$K1257))</f>
        <v/>
      </c>
      <c r="C1257" s="69" t="str">
        <f aca="false">IF($K1257="","",B1257)</f>
        <v/>
      </c>
      <c r="D1257" s="70" t="str">
        <f aca="false">IF($K1257="","",INDEX(Base!$F$5:$F$2004,$K1257))</f>
        <v/>
      </c>
      <c r="E1257" s="70" t="str">
        <f aca="false">IF($K1257="","",INDEX(Base!$G$5:$G$2004,$K1257))</f>
        <v/>
      </c>
      <c r="F1257" s="71" t="str">
        <f aca="false">IF($K1257="","",INDEX(Base!$H$5:$H$2004,$K1257))</f>
        <v/>
      </c>
      <c r="G1257" s="71" t="str">
        <f aca="false">IF($K1257="","",INDEX(Base!$I$5:$I$2004,$K1257))</f>
        <v/>
      </c>
      <c r="H1257" s="70" t="str">
        <f aca="false">IF($K1257="","",INDEX(Base!$J$5:$J$2004,$K1257))</f>
        <v/>
      </c>
      <c r="I1257" s="71" t="str">
        <f aca="false">IF($K1257="","",INDEX(Base!$L$5:$L$2004,$K1257))</f>
        <v/>
      </c>
      <c r="J1257" s="72" t="str">
        <f aca="false">IFERROR(SMALL(Base!$P$5:$P$2004,ROW()-5),"")</f>
        <v/>
      </c>
      <c r="K1257" s="72" t="str">
        <f aca="false">IF(J1257="","",MATCH(J1257,Base!$P$5:$P$2004,0))</f>
        <v/>
      </c>
    </row>
    <row r="1258" customFormat="false" ht="15" hidden="false" customHeight="false" outlineLevel="0" collapsed="false">
      <c r="A1258" s="67" t="str">
        <f aca="false">IF($K1258="","",ROW()-5)</f>
        <v/>
      </c>
      <c r="B1258" s="68" t="str">
        <f aca="false">IF($K1258="","",INDEX(Base!$E$5:$E$2004,$K1258))</f>
        <v/>
      </c>
      <c r="C1258" s="69" t="str">
        <f aca="false">IF($K1258="","",B1258)</f>
        <v/>
      </c>
      <c r="D1258" s="70" t="str">
        <f aca="false">IF($K1258="","",INDEX(Base!$F$5:$F$2004,$K1258))</f>
        <v/>
      </c>
      <c r="E1258" s="70" t="str">
        <f aca="false">IF($K1258="","",INDEX(Base!$G$5:$G$2004,$K1258))</f>
        <v/>
      </c>
      <c r="F1258" s="71" t="str">
        <f aca="false">IF($K1258="","",INDEX(Base!$H$5:$H$2004,$K1258))</f>
        <v/>
      </c>
      <c r="G1258" s="71" t="str">
        <f aca="false">IF($K1258="","",INDEX(Base!$I$5:$I$2004,$K1258))</f>
        <v/>
      </c>
      <c r="H1258" s="70" t="str">
        <f aca="false">IF($K1258="","",INDEX(Base!$J$5:$J$2004,$K1258))</f>
        <v/>
      </c>
      <c r="I1258" s="71" t="str">
        <f aca="false">IF($K1258="","",INDEX(Base!$L$5:$L$2004,$K1258))</f>
        <v/>
      </c>
      <c r="J1258" s="72" t="str">
        <f aca="false">IFERROR(SMALL(Base!$P$5:$P$2004,ROW()-5),"")</f>
        <v/>
      </c>
      <c r="K1258" s="72" t="str">
        <f aca="false">IF(J1258="","",MATCH(J1258,Base!$P$5:$P$2004,0))</f>
        <v/>
      </c>
    </row>
    <row r="1259" customFormat="false" ht="15" hidden="false" customHeight="false" outlineLevel="0" collapsed="false">
      <c r="A1259" s="67" t="str">
        <f aca="false">IF($K1259="","",ROW()-5)</f>
        <v/>
      </c>
      <c r="B1259" s="68" t="str">
        <f aca="false">IF($K1259="","",INDEX(Base!$E$5:$E$2004,$K1259))</f>
        <v/>
      </c>
      <c r="C1259" s="69" t="str">
        <f aca="false">IF($K1259="","",B1259)</f>
        <v/>
      </c>
      <c r="D1259" s="70" t="str">
        <f aca="false">IF($K1259="","",INDEX(Base!$F$5:$F$2004,$K1259))</f>
        <v/>
      </c>
      <c r="E1259" s="70" t="str">
        <f aca="false">IF($K1259="","",INDEX(Base!$G$5:$G$2004,$K1259))</f>
        <v/>
      </c>
      <c r="F1259" s="71" t="str">
        <f aca="false">IF($K1259="","",INDEX(Base!$H$5:$H$2004,$K1259))</f>
        <v/>
      </c>
      <c r="G1259" s="71" t="str">
        <f aca="false">IF($K1259="","",INDEX(Base!$I$5:$I$2004,$K1259))</f>
        <v/>
      </c>
      <c r="H1259" s="70" t="str">
        <f aca="false">IF($K1259="","",INDEX(Base!$J$5:$J$2004,$K1259))</f>
        <v/>
      </c>
      <c r="I1259" s="71" t="str">
        <f aca="false">IF($K1259="","",INDEX(Base!$L$5:$L$2004,$K1259))</f>
        <v/>
      </c>
      <c r="J1259" s="72" t="str">
        <f aca="false">IFERROR(SMALL(Base!$P$5:$P$2004,ROW()-5),"")</f>
        <v/>
      </c>
      <c r="K1259" s="72" t="str">
        <f aca="false">IF(J1259="","",MATCH(J1259,Base!$P$5:$P$2004,0))</f>
        <v/>
      </c>
    </row>
    <row r="1260" customFormat="false" ht="15" hidden="false" customHeight="false" outlineLevel="0" collapsed="false">
      <c r="A1260" s="67" t="str">
        <f aca="false">IF($K1260="","",ROW()-5)</f>
        <v/>
      </c>
      <c r="B1260" s="68" t="str">
        <f aca="false">IF($K1260="","",INDEX(Base!$E$5:$E$2004,$K1260))</f>
        <v/>
      </c>
      <c r="C1260" s="69" t="str">
        <f aca="false">IF($K1260="","",B1260)</f>
        <v/>
      </c>
      <c r="D1260" s="70" t="str">
        <f aca="false">IF($K1260="","",INDEX(Base!$F$5:$F$2004,$K1260))</f>
        <v/>
      </c>
      <c r="E1260" s="70" t="str">
        <f aca="false">IF($K1260="","",INDEX(Base!$G$5:$G$2004,$K1260))</f>
        <v/>
      </c>
      <c r="F1260" s="71" t="str">
        <f aca="false">IF($K1260="","",INDEX(Base!$H$5:$H$2004,$K1260))</f>
        <v/>
      </c>
      <c r="G1260" s="71" t="str">
        <f aca="false">IF($K1260="","",INDEX(Base!$I$5:$I$2004,$K1260))</f>
        <v/>
      </c>
      <c r="H1260" s="70" t="str">
        <f aca="false">IF($K1260="","",INDEX(Base!$J$5:$J$2004,$K1260))</f>
        <v/>
      </c>
      <c r="I1260" s="71" t="str">
        <f aca="false">IF($K1260="","",INDEX(Base!$L$5:$L$2004,$K1260))</f>
        <v/>
      </c>
      <c r="J1260" s="72" t="str">
        <f aca="false">IFERROR(SMALL(Base!$P$5:$P$2004,ROW()-5),"")</f>
        <v/>
      </c>
      <c r="K1260" s="72" t="str">
        <f aca="false">IF(J1260="","",MATCH(J1260,Base!$P$5:$P$2004,0))</f>
        <v/>
      </c>
    </row>
    <row r="1261" customFormat="false" ht="15" hidden="false" customHeight="false" outlineLevel="0" collapsed="false">
      <c r="A1261" s="67" t="str">
        <f aca="false">IF($K1261="","",ROW()-5)</f>
        <v/>
      </c>
      <c r="B1261" s="68" t="str">
        <f aca="false">IF($K1261="","",INDEX(Base!$E$5:$E$2004,$K1261))</f>
        <v/>
      </c>
      <c r="C1261" s="69" t="str">
        <f aca="false">IF($K1261="","",B1261)</f>
        <v/>
      </c>
      <c r="D1261" s="70" t="str">
        <f aca="false">IF($K1261="","",INDEX(Base!$F$5:$F$2004,$K1261))</f>
        <v/>
      </c>
      <c r="E1261" s="70" t="str">
        <f aca="false">IF($K1261="","",INDEX(Base!$G$5:$G$2004,$K1261))</f>
        <v/>
      </c>
      <c r="F1261" s="71" t="str">
        <f aca="false">IF($K1261="","",INDEX(Base!$H$5:$H$2004,$K1261))</f>
        <v/>
      </c>
      <c r="G1261" s="71" t="str">
        <f aca="false">IF($K1261="","",INDEX(Base!$I$5:$I$2004,$K1261))</f>
        <v/>
      </c>
      <c r="H1261" s="70" t="str">
        <f aca="false">IF($K1261="","",INDEX(Base!$J$5:$J$2004,$K1261))</f>
        <v/>
      </c>
      <c r="I1261" s="71" t="str">
        <f aca="false">IF($K1261="","",INDEX(Base!$L$5:$L$2004,$K1261))</f>
        <v/>
      </c>
      <c r="J1261" s="72" t="str">
        <f aca="false">IFERROR(SMALL(Base!$P$5:$P$2004,ROW()-5),"")</f>
        <v/>
      </c>
      <c r="K1261" s="72" t="str">
        <f aca="false">IF(J1261="","",MATCH(J1261,Base!$P$5:$P$2004,0))</f>
        <v/>
      </c>
    </row>
    <row r="1262" customFormat="false" ht="15" hidden="false" customHeight="false" outlineLevel="0" collapsed="false">
      <c r="A1262" s="67" t="str">
        <f aca="false">IF($K1262="","",ROW()-5)</f>
        <v/>
      </c>
      <c r="B1262" s="68" t="str">
        <f aca="false">IF($K1262="","",INDEX(Base!$E$5:$E$2004,$K1262))</f>
        <v/>
      </c>
      <c r="C1262" s="69" t="str">
        <f aca="false">IF($K1262="","",B1262)</f>
        <v/>
      </c>
      <c r="D1262" s="70" t="str">
        <f aca="false">IF($K1262="","",INDEX(Base!$F$5:$F$2004,$K1262))</f>
        <v/>
      </c>
      <c r="E1262" s="70" t="str">
        <f aca="false">IF($K1262="","",INDEX(Base!$G$5:$G$2004,$K1262))</f>
        <v/>
      </c>
      <c r="F1262" s="71" t="str">
        <f aca="false">IF($K1262="","",INDEX(Base!$H$5:$H$2004,$K1262))</f>
        <v/>
      </c>
      <c r="G1262" s="71" t="str">
        <f aca="false">IF($K1262="","",INDEX(Base!$I$5:$I$2004,$K1262))</f>
        <v/>
      </c>
      <c r="H1262" s="70" t="str">
        <f aca="false">IF($K1262="","",INDEX(Base!$J$5:$J$2004,$K1262))</f>
        <v/>
      </c>
      <c r="I1262" s="71" t="str">
        <f aca="false">IF($K1262="","",INDEX(Base!$L$5:$L$2004,$K1262))</f>
        <v/>
      </c>
      <c r="J1262" s="72" t="str">
        <f aca="false">IFERROR(SMALL(Base!$P$5:$P$2004,ROW()-5),"")</f>
        <v/>
      </c>
      <c r="K1262" s="72" t="str">
        <f aca="false">IF(J1262="","",MATCH(J1262,Base!$P$5:$P$2004,0))</f>
        <v/>
      </c>
    </row>
    <row r="1263" customFormat="false" ht="15" hidden="false" customHeight="false" outlineLevel="0" collapsed="false">
      <c r="A1263" s="67" t="str">
        <f aca="false">IF($K1263="","",ROW()-5)</f>
        <v/>
      </c>
      <c r="B1263" s="68" t="str">
        <f aca="false">IF($K1263="","",INDEX(Base!$E$5:$E$2004,$K1263))</f>
        <v/>
      </c>
      <c r="C1263" s="69" t="str">
        <f aca="false">IF($K1263="","",B1263)</f>
        <v/>
      </c>
      <c r="D1263" s="70" t="str">
        <f aca="false">IF($K1263="","",INDEX(Base!$F$5:$F$2004,$K1263))</f>
        <v/>
      </c>
      <c r="E1263" s="70" t="str">
        <f aca="false">IF($K1263="","",INDEX(Base!$G$5:$G$2004,$K1263))</f>
        <v/>
      </c>
      <c r="F1263" s="71" t="str">
        <f aca="false">IF($K1263="","",INDEX(Base!$H$5:$H$2004,$K1263))</f>
        <v/>
      </c>
      <c r="G1263" s="71" t="str">
        <f aca="false">IF($K1263="","",INDEX(Base!$I$5:$I$2004,$K1263))</f>
        <v/>
      </c>
      <c r="H1263" s="70" t="str">
        <f aca="false">IF($K1263="","",INDEX(Base!$J$5:$J$2004,$K1263))</f>
        <v/>
      </c>
      <c r="I1263" s="71" t="str">
        <f aca="false">IF($K1263="","",INDEX(Base!$L$5:$L$2004,$K1263))</f>
        <v/>
      </c>
      <c r="J1263" s="72" t="str">
        <f aca="false">IFERROR(SMALL(Base!$P$5:$P$2004,ROW()-5),"")</f>
        <v/>
      </c>
      <c r="K1263" s="72" t="str">
        <f aca="false">IF(J1263="","",MATCH(J1263,Base!$P$5:$P$2004,0))</f>
        <v/>
      </c>
    </row>
    <row r="1264" customFormat="false" ht="15" hidden="false" customHeight="false" outlineLevel="0" collapsed="false">
      <c r="A1264" s="67" t="str">
        <f aca="false">IF($K1264="","",ROW()-5)</f>
        <v/>
      </c>
      <c r="B1264" s="68" t="str">
        <f aca="false">IF($K1264="","",INDEX(Base!$E$5:$E$2004,$K1264))</f>
        <v/>
      </c>
      <c r="C1264" s="69" t="str">
        <f aca="false">IF($K1264="","",B1264)</f>
        <v/>
      </c>
      <c r="D1264" s="70" t="str">
        <f aca="false">IF($K1264="","",INDEX(Base!$F$5:$F$2004,$K1264))</f>
        <v/>
      </c>
      <c r="E1264" s="70" t="str">
        <f aca="false">IF($K1264="","",INDEX(Base!$G$5:$G$2004,$K1264))</f>
        <v/>
      </c>
      <c r="F1264" s="71" t="str">
        <f aca="false">IF($K1264="","",INDEX(Base!$H$5:$H$2004,$K1264))</f>
        <v/>
      </c>
      <c r="G1264" s="71" t="str">
        <f aca="false">IF($K1264="","",INDEX(Base!$I$5:$I$2004,$K1264))</f>
        <v/>
      </c>
      <c r="H1264" s="70" t="str">
        <f aca="false">IF($K1264="","",INDEX(Base!$J$5:$J$2004,$K1264))</f>
        <v/>
      </c>
      <c r="I1264" s="71" t="str">
        <f aca="false">IF($K1264="","",INDEX(Base!$L$5:$L$2004,$K1264))</f>
        <v/>
      </c>
      <c r="J1264" s="72" t="str">
        <f aca="false">IFERROR(SMALL(Base!$P$5:$P$2004,ROW()-5),"")</f>
        <v/>
      </c>
      <c r="K1264" s="72" t="str">
        <f aca="false">IF(J1264="","",MATCH(J1264,Base!$P$5:$P$2004,0))</f>
        <v/>
      </c>
    </row>
    <row r="1265" customFormat="false" ht="15" hidden="false" customHeight="false" outlineLevel="0" collapsed="false">
      <c r="A1265" s="67" t="str">
        <f aca="false">IF($K1265="","",ROW()-5)</f>
        <v/>
      </c>
      <c r="B1265" s="68" t="str">
        <f aca="false">IF($K1265="","",INDEX(Base!$E$5:$E$2004,$K1265))</f>
        <v/>
      </c>
      <c r="C1265" s="69" t="str">
        <f aca="false">IF($K1265="","",B1265)</f>
        <v/>
      </c>
      <c r="D1265" s="70" t="str">
        <f aca="false">IF($K1265="","",INDEX(Base!$F$5:$F$2004,$K1265))</f>
        <v/>
      </c>
      <c r="E1265" s="70" t="str">
        <f aca="false">IF($K1265="","",INDEX(Base!$G$5:$G$2004,$K1265))</f>
        <v/>
      </c>
      <c r="F1265" s="71" t="str">
        <f aca="false">IF($K1265="","",INDEX(Base!$H$5:$H$2004,$K1265))</f>
        <v/>
      </c>
      <c r="G1265" s="71" t="str">
        <f aca="false">IF($K1265="","",INDEX(Base!$I$5:$I$2004,$K1265))</f>
        <v/>
      </c>
      <c r="H1265" s="70" t="str">
        <f aca="false">IF($K1265="","",INDEX(Base!$J$5:$J$2004,$K1265))</f>
        <v/>
      </c>
      <c r="I1265" s="71" t="str">
        <f aca="false">IF($K1265="","",INDEX(Base!$L$5:$L$2004,$K1265))</f>
        <v/>
      </c>
      <c r="J1265" s="72" t="str">
        <f aca="false">IFERROR(SMALL(Base!$P$5:$P$2004,ROW()-5),"")</f>
        <v/>
      </c>
      <c r="K1265" s="72" t="str">
        <f aca="false">IF(J1265="","",MATCH(J1265,Base!$P$5:$P$2004,0))</f>
        <v/>
      </c>
    </row>
    <row r="1266" customFormat="false" ht="15" hidden="false" customHeight="false" outlineLevel="0" collapsed="false">
      <c r="A1266" s="67" t="str">
        <f aca="false">IF($K1266="","",ROW()-5)</f>
        <v/>
      </c>
      <c r="B1266" s="68" t="str">
        <f aca="false">IF($K1266="","",INDEX(Base!$E$5:$E$2004,$K1266))</f>
        <v/>
      </c>
      <c r="C1266" s="69" t="str">
        <f aca="false">IF($K1266="","",B1266)</f>
        <v/>
      </c>
      <c r="D1266" s="70" t="str">
        <f aca="false">IF($K1266="","",INDEX(Base!$F$5:$F$2004,$K1266))</f>
        <v/>
      </c>
      <c r="E1266" s="70" t="str">
        <f aca="false">IF($K1266="","",INDEX(Base!$G$5:$G$2004,$K1266))</f>
        <v/>
      </c>
      <c r="F1266" s="71" t="str">
        <f aca="false">IF($K1266="","",INDEX(Base!$H$5:$H$2004,$K1266))</f>
        <v/>
      </c>
      <c r="G1266" s="71" t="str">
        <f aca="false">IF($K1266="","",INDEX(Base!$I$5:$I$2004,$K1266))</f>
        <v/>
      </c>
      <c r="H1266" s="70" t="str">
        <f aca="false">IF($K1266="","",INDEX(Base!$J$5:$J$2004,$K1266))</f>
        <v/>
      </c>
      <c r="I1266" s="71" t="str">
        <f aca="false">IF($K1266="","",INDEX(Base!$L$5:$L$2004,$K1266))</f>
        <v/>
      </c>
      <c r="J1266" s="72" t="str">
        <f aca="false">IFERROR(SMALL(Base!$P$5:$P$2004,ROW()-5),"")</f>
        <v/>
      </c>
      <c r="K1266" s="72" t="str">
        <f aca="false">IF(J1266="","",MATCH(J1266,Base!$P$5:$P$2004,0))</f>
        <v/>
      </c>
    </row>
    <row r="1267" customFormat="false" ht="15" hidden="false" customHeight="false" outlineLevel="0" collapsed="false">
      <c r="A1267" s="67" t="str">
        <f aca="false">IF($K1267="","",ROW()-5)</f>
        <v/>
      </c>
      <c r="B1267" s="68" t="str">
        <f aca="false">IF($K1267="","",INDEX(Base!$E$5:$E$2004,$K1267))</f>
        <v/>
      </c>
      <c r="C1267" s="69" t="str">
        <f aca="false">IF($K1267="","",B1267)</f>
        <v/>
      </c>
      <c r="D1267" s="70" t="str">
        <f aca="false">IF($K1267="","",INDEX(Base!$F$5:$F$2004,$K1267))</f>
        <v/>
      </c>
      <c r="E1267" s="70" t="str">
        <f aca="false">IF($K1267="","",INDEX(Base!$G$5:$G$2004,$K1267))</f>
        <v/>
      </c>
      <c r="F1267" s="71" t="str">
        <f aca="false">IF($K1267="","",INDEX(Base!$H$5:$H$2004,$K1267))</f>
        <v/>
      </c>
      <c r="G1267" s="71" t="str">
        <f aca="false">IF($K1267="","",INDEX(Base!$I$5:$I$2004,$K1267))</f>
        <v/>
      </c>
      <c r="H1267" s="70" t="str">
        <f aca="false">IF($K1267="","",INDEX(Base!$J$5:$J$2004,$K1267))</f>
        <v/>
      </c>
      <c r="I1267" s="71" t="str">
        <f aca="false">IF($K1267="","",INDEX(Base!$L$5:$L$2004,$K1267))</f>
        <v/>
      </c>
      <c r="J1267" s="72" t="str">
        <f aca="false">IFERROR(SMALL(Base!$P$5:$P$2004,ROW()-5),"")</f>
        <v/>
      </c>
      <c r="K1267" s="72" t="str">
        <f aca="false">IF(J1267="","",MATCH(J1267,Base!$P$5:$P$2004,0))</f>
        <v/>
      </c>
    </row>
    <row r="1268" customFormat="false" ht="15" hidden="false" customHeight="false" outlineLevel="0" collapsed="false">
      <c r="A1268" s="67" t="str">
        <f aca="false">IF($K1268="","",ROW()-5)</f>
        <v/>
      </c>
      <c r="B1268" s="68" t="str">
        <f aca="false">IF($K1268="","",INDEX(Base!$E$5:$E$2004,$K1268))</f>
        <v/>
      </c>
      <c r="C1268" s="69" t="str">
        <f aca="false">IF($K1268="","",B1268)</f>
        <v/>
      </c>
      <c r="D1268" s="70" t="str">
        <f aca="false">IF($K1268="","",INDEX(Base!$F$5:$F$2004,$K1268))</f>
        <v/>
      </c>
      <c r="E1268" s="70" t="str">
        <f aca="false">IF($K1268="","",INDEX(Base!$G$5:$G$2004,$K1268))</f>
        <v/>
      </c>
      <c r="F1268" s="71" t="str">
        <f aca="false">IF($K1268="","",INDEX(Base!$H$5:$H$2004,$K1268))</f>
        <v/>
      </c>
      <c r="G1268" s="71" t="str">
        <f aca="false">IF($K1268="","",INDEX(Base!$I$5:$I$2004,$K1268))</f>
        <v/>
      </c>
      <c r="H1268" s="70" t="str">
        <f aca="false">IF($K1268="","",INDEX(Base!$J$5:$J$2004,$K1268))</f>
        <v/>
      </c>
      <c r="I1268" s="71" t="str">
        <f aca="false">IF($K1268="","",INDEX(Base!$L$5:$L$2004,$K1268))</f>
        <v/>
      </c>
      <c r="J1268" s="72" t="str">
        <f aca="false">IFERROR(SMALL(Base!$P$5:$P$2004,ROW()-5),"")</f>
        <v/>
      </c>
      <c r="K1268" s="72" t="str">
        <f aca="false">IF(J1268="","",MATCH(J1268,Base!$P$5:$P$2004,0))</f>
        <v/>
      </c>
    </row>
    <row r="1269" customFormat="false" ht="15" hidden="false" customHeight="false" outlineLevel="0" collapsed="false">
      <c r="A1269" s="67" t="str">
        <f aca="false">IF($K1269="","",ROW()-5)</f>
        <v/>
      </c>
      <c r="B1269" s="68" t="str">
        <f aca="false">IF($K1269="","",INDEX(Base!$E$5:$E$2004,$K1269))</f>
        <v/>
      </c>
      <c r="C1269" s="69" t="str">
        <f aca="false">IF($K1269="","",B1269)</f>
        <v/>
      </c>
      <c r="D1269" s="70" t="str">
        <f aca="false">IF($K1269="","",INDEX(Base!$F$5:$F$2004,$K1269))</f>
        <v/>
      </c>
      <c r="E1269" s="70" t="str">
        <f aca="false">IF($K1269="","",INDEX(Base!$G$5:$G$2004,$K1269))</f>
        <v/>
      </c>
      <c r="F1269" s="71" t="str">
        <f aca="false">IF($K1269="","",INDEX(Base!$H$5:$H$2004,$K1269))</f>
        <v/>
      </c>
      <c r="G1269" s="71" t="str">
        <f aca="false">IF($K1269="","",INDEX(Base!$I$5:$I$2004,$K1269))</f>
        <v/>
      </c>
      <c r="H1269" s="70" t="str">
        <f aca="false">IF($K1269="","",INDEX(Base!$J$5:$J$2004,$K1269))</f>
        <v/>
      </c>
      <c r="I1269" s="71" t="str">
        <f aca="false">IF($K1269="","",INDEX(Base!$L$5:$L$2004,$K1269))</f>
        <v/>
      </c>
      <c r="J1269" s="72" t="str">
        <f aca="false">IFERROR(SMALL(Base!$P$5:$P$2004,ROW()-5),"")</f>
        <v/>
      </c>
      <c r="K1269" s="72" t="str">
        <f aca="false">IF(J1269="","",MATCH(J1269,Base!$P$5:$P$2004,0))</f>
        <v/>
      </c>
    </row>
    <row r="1270" customFormat="false" ht="15" hidden="false" customHeight="false" outlineLevel="0" collapsed="false">
      <c r="A1270" s="67" t="str">
        <f aca="false">IF($K1270="","",ROW()-5)</f>
        <v/>
      </c>
      <c r="B1270" s="68" t="str">
        <f aca="false">IF($K1270="","",INDEX(Base!$E$5:$E$2004,$K1270))</f>
        <v/>
      </c>
      <c r="C1270" s="69" t="str">
        <f aca="false">IF($K1270="","",B1270)</f>
        <v/>
      </c>
      <c r="D1270" s="70" t="str">
        <f aca="false">IF($K1270="","",INDEX(Base!$F$5:$F$2004,$K1270))</f>
        <v/>
      </c>
      <c r="E1270" s="70" t="str">
        <f aca="false">IF($K1270="","",INDEX(Base!$G$5:$G$2004,$K1270))</f>
        <v/>
      </c>
      <c r="F1270" s="71" t="str">
        <f aca="false">IF($K1270="","",INDEX(Base!$H$5:$H$2004,$K1270))</f>
        <v/>
      </c>
      <c r="G1270" s="71" t="str">
        <f aca="false">IF($K1270="","",INDEX(Base!$I$5:$I$2004,$K1270))</f>
        <v/>
      </c>
      <c r="H1270" s="70" t="str">
        <f aca="false">IF($K1270="","",INDEX(Base!$J$5:$J$2004,$K1270))</f>
        <v/>
      </c>
      <c r="I1270" s="71" t="str">
        <f aca="false">IF($K1270="","",INDEX(Base!$L$5:$L$2004,$K1270))</f>
        <v/>
      </c>
      <c r="J1270" s="72" t="str">
        <f aca="false">IFERROR(SMALL(Base!$P$5:$P$2004,ROW()-5),"")</f>
        <v/>
      </c>
      <c r="K1270" s="72" t="str">
        <f aca="false">IF(J1270="","",MATCH(J1270,Base!$P$5:$P$2004,0))</f>
        <v/>
      </c>
    </row>
    <row r="1271" customFormat="false" ht="15" hidden="false" customHeight="false" outlineLevel="0" collapsed="false">
      <c r="A1271" s="67" t="str">
        <f aca="false">IF($K1271="","",ROW()-5)</f>
        <v/>
      </c>
      <c r="B1271" s="68" t="str">
        <f aca="false">IF($K1271="","",INDEX(Base!$E$5:$E$2004,$K1271))</f>
        <v/>
      </c>
      <c r="C1271" s="69" t="str">
        <f aca="false">IF($K1271="","",B1271)</f>
        <v/>
      </c>
      <c r="D1271" s="70" t="str">
        <f aca="false">IF($K1271="","",INDEX(Base!$F$5:$F$2004,$K1271))</f>
        <v/>
      </c>
      <c r="E1271" s="70" t="str">
        <f aca="false">IF($K1271="","",INDEX(Base!$G$5:$G$2004,$K1271))</f>
        <v/>
      </c>
      <c r="F1271" s="71" t="str">
        <f aca="false">IF($K1271="","",INDEX(Base!$H$5:$H$2004,$K1271))</f>
        <v/>
      </c>
      <c r="G1271" s="71" t="str">
        <f aca="false">IF($K1271="","",INDEX(Base!$I$5:$I$2004,$K1271))</f>
        <v/>
      </c>
      <c r="H1271" s="70" t="str">
        <f aca="false">IF($K1271="","",INDEX(Base!$J$5:$J$2004,$K1271))</f>
        <v/>
      </c>
      <c r="I1271" s="71" t="str">
        <f aca="false">IF($K1271="","",INDEX(Base!$L$5:$L$2004,$K1271))</f>
        <v/>
      </c>
      <c r="J1271" s="72" t="str">
        <f aca="false">IFERROR(SMALL(Base!$P$5:$P$2004,ROW()-5),"")</f>
        <v/>
      </c>
      <c r="K1271" s="72" t="str">
        <f aca="false">IF(J1271="","",MATCH(J1271,Base!$P$5:$P$2004,0))</f>
        <v/>
      </c>
    </row>
    <row r="1272" customFormat="false" ht="15" hidden="false" customHeight="false" outlineLevel="0" collapsed="false">
      <c r="A1272" s="67" t="str">
        <f aca="false">IF($K1272="","",ROW()-5)</f>
        <v/>
      </c>
      <c r="B1272" s="68" t="str">
        <f aca="false">IF($K1272="","",INDEX(Base!$E$5:$E$2004,$K1272))</f>
        <v/>
      </c>
      <c r="C1272" s="69" t="str">
        <f aca="false">IF($K1272="","",B1272)</f>
        <v/>
      </c>
      <c r="D1272" s="70" t="str">
        <f aca="false">IF($K1272="","",INDEX(Base!$F$5:$F$2004,$K1272))</f>
        <v/>
      </c>
      <c r="E1272" s="70" t="str">
        <f aca="false">IF($K1272="","",INDEX(Base!$G$5:$G$2004,$K1272))</f>
        <v/>
      </c>
      <c r="F1272" s="71" t="str">
        <f aca="false">IF($K1272="","",INDEX(Base!$H$5:$H$2004,$K1272))</f>
        <v/>
      </c>
      <c r="G1272" s="71" t="str">
        <f aca="false">IF($K1272="","",INDEX(Base!$I$5:$I$2004,$K1272))</f>
        <v/>
      </c>
      <c r="H1272" s="70" t="str">
        <f aca="false">IF($K1272="","",INDEX(Base!$J$5:$J$2004,$K1272))</f>
        <v/>
      </c>
      <c r="I1272" s="71" t="str">
        <f aca="false">IF($K1272="","",INDEX(Base!$L$5:$L$2004,$K1272))</f>
        <v/>
      </c>
      <c r="J1272" s="72" t="str">
        <f aca="false">IFERROR(SMALL(Base!$P$5:$P$2004,ROW()-5),"")</f>
        <v/>
      </c>
      <c r="K1272" s="72" t="str">
        <f aca="false">IF(J1272="","",MATCH(J1272,Base!$P$5:$P$2004,0))</f>
        <v/>
      </c>
    </row>
    <row r="1273" customFormat="false" ht="15" hidden="false" customHeight="false" outlineLevel="0" collapsed="false">
      <c r="A1273" s="67" t="str">
        <f aca="false">IF($K1273="","",ROW()-5)</f>
        <v/>
      </c>
      <c r="B1273" s="68" t="str">
        <f aca="false">IF($K1273="","",INDEX(Base!$E$5:$E$2004,$K1273))</f>
        <v/>
      </c>
      <c r="C1273" s="69" t="str">
        <f aca="false">IF($K1273="","",B1273)</f>
        <v/>
      </c>
      <c r="D1273" s="70" t="str">
        <f aca="false">IF($K1273="","",INDEX(Base!$F$5:$F$2004,$K1273))</f>
        <v/>
      </c>
      <c r="E1273" s="70" t="str">
        <f aca="false">IF($K1273="","",INDEX(Base!$G$5:$G$2004,$K1273))</f>
        <v/>
      </c>
      <c r="F1273" s="71" t="str">
        <f aca="false">IF($K1273="","",INDEX(Base!$H$5:$H$2004,$K1273))</f>
        <v/>
      </c>
      <c r="G1273" s="71" t="str">
        <f aca="false">IF($K1273="","",INDEX(Base!$I$5:$I$2004,$K1273))</f>
        <v/>
      </c>
      <c r="H1273" s="70" t="str">
        <f aca="false">IF($K1273="","",INDEX(Base!$J$5:$J$2004,$K1273))</f>
        <v/>
      </c>
      <c r="I1273" s="71" t="str">
        <f aca="false">IF($K1273="","",INDEX(Base!$L$5:$L$2004,$K1273))</f>
        <v/>
      </c>
      <c r="J1273" s="72" t="str">
        <f aca="false">IFERROR(SMALL(Base!$P$5:$P$2004,ROW()-5),"")</f>
        <v/>
      </c>
      <c r="K1273" s="72" t="str">
        <f aca="false">IF(J1273="","",MATCH(J1273,Base!$P$5:$P$2004,0))</f>
        <v/>
      </c>
    </row>
    <row r="1274" customFormat="false" ht="15" hidden="false" customHeight="false" outlineLevel="0" collapsed="false">
      <c r="A1274" s="67" t="str">
        <f aca="false">IF($K1274="","",ROW()-5)</f>
        <v/>
      </c>
      <c r="B1274" s="68" t="str">
        <f aca="false">IF($K1274="","",INDEX(Base!$E$5:$E$2004,$K1274))</f>
        <v/>
      </c>
      <c r="C1274" s="69" t="str">
        <f aca="false">IF($K1274="","",B1274)</f>
        <v/>
      </c>
      <c r="D1274" s="70" t="str">
        <f aca="false">IF($K1274="","",INDEX(Base!$F$5:$F$2004,$K1274))</f>
        <v/>
      </c>
      <c r="E1274" s="70" t="str">
        <f aca="false">IF($K1274="","",INDEX(Base!$G$5:$G$2004,$K1274))</f>
        <v/>
      </c>
      <c r="F1274" s="71" t="str">
        <f aca="false">IF($K1274="","",INDEX(Base!$H$5:$H$2004,$K1274))</f>
        <v/>
      </c>
      <c r="G1274" s="71" t="str">
        <f aca="false">IF($K1274="","",INDEX(Base!$I$5:$I$2004,$K1274))</f>
        <v/>
      </c>
      <c r="H1274" s="70" t="str">
        <f aca="false">IF($K1274="","",INDEX(Base!$J$5:$J$2004,$K1274))</f>
        <v/>
      </c>
      <c r="I1274" s="71" t="str">
        <f aca="false">IF($K1274="","",INDEX(Base!$L$5:$L$2004,$K1274))</f>
        <v/>
      </c>
      <c r="J1274" s="72" t="str">
        <f aca="false">IFERROR(SMALL(Base!$P$5:$P$2004,ROW()-5),"")</f>
        <v/>
      </c>
      <c r="K1274" s="72" t="str">
        <f aca="false">IF(J1274="","",MATCH(J1274,Base!$P$5:$P$2004,0))</f>
        <v/>
      </c>
    </row>
    <row r="1275" customFormat="false" ht="15" hidden="false" customHeight="false" outlineLevel="0" collapsed="false">
      <c r="A1275" s="67" t="str">
        <f aca="false">IF($K1275="","",ROW()-5)</f>
        <v/>
      </c>
      <c r="B1275" s="68" t="str">
        <f aca="false">IF($K1275="","",INDEX(Base!$E$5:$E$2004,$K1275))</f>
        <v/>
      </c>
      <c r="C1275" s="69" t="str">
        <f aca="false">IF($K1275="","",B1275)</f>
        <v/>
      </c>
      <c r="D1275" s="70" t="str">
        <f aca="false">IF($K1275="","",INDEX(Base!$F$5:$F$2004,$K1275))</f>
        <v/>
      </c>
      <c r="E1275" s="70" t="str">
        <f aca="false">IF($K1275="","",INDEX(Base!$G$5:$G$2004,$K1275))</f>
        <v/>
      </c>
      <c r="F1275" s="71" t="str">
        <f aca="false">IF($K1275="","",INDEX(Base!$H$5:$H$2004,$K1275))</f>
        <v/>
      </c>
      <c r="G1275" s="71" t="str">
        <f aca="false">IF($K1275="","",INDEX(Base!$I$5:$I$2004,$K1275))</f>
        <v/>
      </c>
      <c r="H1275" s="70" t="str">
        <f aca="false">IF($K1275="","",INDEX(Base!$J$5:$J$2004,$K1275))</f>
        <v/>
      </c>
      <c r="I1275" s="71" t="str">
        <f aca="false">IF($K1275="","",INDEX(Base!$L$5:$L$2004,$K1275))</f>
        <v/>
      </c>
      <c r="J1275" s="72" t="str">
        <f aca="false">IFERROR(SMALL(Base!$P$5:$P$2004,ROW()-5),"")</f>
        <v/>
      </c>
      <c r="K1275" s="72" t="str">
        <f aca="false">IF(J1275="","",MATCH(J1275,Base!$P$5:$P$2004,0))</f>
        <v/>
      </c>
    </row>
    <row r="1276" customFormat="false" ht="15" hidden="false" customHeight="false" outlineLevel="0" collapsed="false">
      <c r="A1276" s="67" t="str">
        <f aca="false">IF($K1276="","",ROW()-5)</f>
        <v/>
      </c>
      <c r="B1276" s="68" t="str">
        <f aca="false">IF($K1276="","",INDEX(Base!$E$5:$E$2004,$K1276))</f>
        <v/>
      </c>
      <c r="C1276" s="69" t="str">
        <f aca="false">IF($K1276="","",B1276)</f>
        <v/>
      </c>
      <c r="D1276" s="70" t="str">
        <f aca="false">IF($K1276="","",INDEX(Base!$F$5:$F$2004,$K1276))</f>
        <v/>
      </c>
      <c r="E1276" s="70" t="str">
        <f aca="false">IF($K1276="","",INDEX(Base!$G$5:$G$2004,$K1276))</f>
        <v/>
      </c>
      <c r="F1276" s="71" t="str">
        <f aca="false">IF($K1276="","",INDEX(Base!$H$5:$H$2004,$K1276))</f>
        <v/>
      </c>
      <c r="G1276" s="71" t="str">
        <f aca="false">IF($K1276="","",INDEX(Base!$I$5:$I$2004,$K1276))</f>
        <v/>
      </c>
      <c r="H1276" s="70" t="str">
        <f aca="false">IF($K1276="","",INDEX(Base!$J$5:$J$2004,$K1276))</f>
        <v/>
      </c>
      <c r="I1276" s="71" t="str">
        <f aca="false">IF($K1276="","",INDEX(Base!$L$5:$L$2004,$K1276))</f>
        <v/>
      </c>
      <c r="J1276" s="72" t="str">
        <f aca="false">IFERROR(SMALL(Base!$P$5:$P$2004,ROW()-5),"")</f>
        <v/>
      </c>
      <c r="K1276" s="72" t="str">
        <f aca="false">IF(J1276="","",MATCH(J1276,Base!$P$5:$P$2004,0))</f>
        <v/>
      </c>
    </row>
    <row r="1277" customFormat="false" ht="15" hidden="false" customHeight="false" outlineLevel="0" collapsed="false">
      <c r="A1277" s="67" t="str">
        <f aca="false">IF($K1277="","",ROW()-5)</f>
        <v/>
      </c>
      <c r="B1277" s="68" t="str">
        <f aca="false">IF($K1277="","",INDEX(Base!$E$5:$E$2004,$K1277))</f>
        <v/>
      </c>
      <c r="C1277" s="69" t="str">
        <f aca="false">IF($K1277="","",B1277)</f>
        <v/>
      </c>
      <c r="D1277" s="70" t="str">
        <f aca="false">IF($K1277="","",INDEX(Base!$F$5:$F$2004,$K1277))</f>
        <v/>
      </c>
      <c r="E1277" s="70" t="str">
        <f aca="false">IF($K1277="","",INDEX(Base!$G$5:$G$2004,$K1277))</f>
        <v/>
      </c>
      <c r="F1277" s="71" t="str">
        <f aca="false">IF($K1277="","",INDEX(Base!$H$5:$H$2004,$K1277))</f>
        <v/>
      </c>
      <c r="G1277" s="71" t="str">
        <f aca="false">IF($K1277="","",INDEX(Base!$I$5:$I$2004,$K1277))</f>
        <v/>
      </c>
      <c r="H1277" s="70" t="str">
        <f aca="false">IF($K1277="","",INDEX(Base!$J$5:$J$2004,$K1277))</f>
        <v/>
      </c>
      <c r="I1277" s="71" t="str">
        <f aca="false">IF($K1277="","",INDEX(Base!$L$5:$L$2004,$K1277))</f>
        <v/>
      </c>
      <c r="J1277" s="72" t="str">
        <f aca="false">IFERROR(SMALL(Base!$P$5:$P$2004,ROW()-5),"")</f>
        <v/>
      </c>
      <c r="K1277" s="72" t="str">
        <f aca="false">IF(J1277="","",MATCH(J1277,Base!$P$5:$P$2004,0))</f>
        <v/>
      </c>
    </row>
    <row r="1278" customFormat="false" ht="15" hidden="false" customHeight="false" outlineLevel="0" collapsed="false">
      <c r="A1278" s="67" t="str">
        <f aca="false">IF($K1278="","",ROW()-5)</f>
        <v/>
      </c>
      <c r="B1278" s="68" t="str">
        <f aca="false">IF($K1278="","",INDEX(Base!$E$5:$E$2004,$K1278))</f>
        <v/>
      </c>
      <c r="C1278" s="69" t="str">
        <f aca="false">IF($K1278="","",B1278)</f>
        <v/>
      </c>
      <c r="D1278" s="70" t="str">
        <f aca="false">IF($K1278="","",INDEX(Base!$F$5:$F$2004,$K1278))</f>
        <v/>
      </c>
      <c r="E1278" s="70" t="str">
        <f aca="false">IF($K1278="","",INDEX(Base!$G$5:$G$2004,$K1278))</f>
        <v/>
      </c>
      <c r="F1278" s="71" t="str">
        <f aca="false">IF($K1278="","",INDEX(Base!$H$5:$H$2004,$K1278))</f>
        <v/>
      </c>
      <c r="G1278" s="71" t="str">
        <f aca="false">IF($K1278="","",INDEX(Base!$I$5:$I$2004,$K1278))</f>
        <v/>
      </c>
      <c r="H1278" s="70" t="str">
        <f aca="false">IF($K1278="","",INDEX(Base!$J$5:$J$2004,$K1278))</f>
        <v/>
      </c>
      <c r="I1278" s="71" t="str">
        <f aca="false">IF($K1278="","",INDEX(Base!$L$5:$L$2004,$K1278))</f>
        <v/>
      </c>
      <c r="J1278" s="72" t="str">
        <f aca="false">IFERROR(SMALL(Base!$P$5:$P$2004,ROW()-5),"")</f>
        <v/>
      </c>
      <c r="K1278" s="72" t="str">
        <f aca="false">IF(J1278="","",MATCH(J1278,Base!$P$5:$P$2004,0))</f>
        <v/>
      </c>
    </row>
    <row r="1279" customFormat="false" ht="15" hidden="false" customHeight="false" outlineLevel="0" collapsed="false">
      <c r="A1279" s="67" t="str">
        <f aca="false">IF($K1279="","",ROW()-5)</f>
        <v/>
      </c>
      <c r="B1279" s="68" t="str">
        <f aca="false">IF($K1279="","",INDEX(Base!$E$5:$E$2004,$K1279))</f>
        <v/>
      </c>
      <c r="C1279" s="69" t="str">
        <f aca="false">IF($K1279="","",B1279)</f>
        <v/>
      </c>
      <c r="D1279" s="70" t="str">
        <f aca="false">IF($K1279="","",INDEX(Base!$F$5:$F$2004,$K1279))</f>
        <v/>
      </c>
      <c r="E1279" s="70" t="str">
        <f aca="false">IF($K1279="","",INDEX(Base!$G$5:$G$2004,$K1279))</f>
        <v/>
      </c>
      <c r="F1279" s="71" t="str">
        <f aca="false">IF($K1279="","",INDEX(Base!$H$5:$H$2004,$K1279))</f>
        <v/>
      </c>
      <c r="G1279" s="71" t="str">
        <f aca="false">IF($K1279="","",INDEX(Base!$I$5:$I$2004,$K1279))</f>
        <v/>
      </c>
      <c r="H1279" s="70" t="str">
        <f aca="false">IF($K1279="","",INDEX(Base!$J$5:$J$2004,$K1279))</f>
        <v/>
      </c>
      <c r="I1279" s="71" t="str">
        <f aca="false">IF($K1279="","",INDEX(Base!$L$5:$L$2004,$K1279))</f>
        <v/>
      </c>
      <c r="J1279" s="72" t="str">
        <f aca="false">IFERROR(SMALL(Base!$P$5:$P$2004,ROW()-5),"")</f>
        <v/>
      </c>
      <c r="K1279" s="72" t="str">
        <f aca="false">IF(J1279="","",MATCH(J1279,Base!$P$5:$P$2004,0))</f>
        <v/>
      </c>
    </row>
    <row r="1280" customFormat="false" ht="15" hidden="false" customHeight="false" outlineLevel="0" collapsed="false">
      <c r="A1280" s="67" t="str">
        <f aca="false">IF($K1280="","",ROW()-5)</f>
        <v/>
      </c>
      <c r="B1280" s="68" t="str">
        <f aca="false">IF($K1280="","",INDEX(Base!$E$5:$E$2004,$K1280))</f>
        <v/>
      </c>
      <c r="C1280" s="69" t="str">
        <f aca="false">IF($K1280="","",B1280)</f>
        <v/>
      </c>
      <c r="D1280" s="70" t="str">
        <f aca="false">IF($K1280="","",INDEX(Base!$F$5:$F$2004,$K1280))</f>
        <v/>
      </c>
      <c r="E1280" s="70" t="str">
        <f aca="false">IF($K1280="","",INDEX(Base!$G$5:$G$2004,$K1280))</f>
        <v/>
      </c>
      <c r="F1280" s="71" t="str">
        <f aca="false">IF($K1280="","",INDEX(Base!$H$5:$H$2004,$K1280))</f>
        <v/>
      </c>
      <c r="G1280" s="71" t="str">
        <f aca="false">IF($K1280="","",INDEX(Base!$I$5:$I$2004,$K1280))</f>
        <v/>
      </c>
      <c r="H1280" s="70" t="str">
        <f aca="false">IF($K1280="","",INDEX(Base!$J$5:$J$2004,$K1280))</f>
        <v/>
      </c>
      <c r="I1280" s="71" t="str">
        <f aca="false">IF($K1280="","",INDEX(Base!$L$5:$L$2004,$K1280))</f>
        <v/>
      </c>
      <c r="J1280" s="72" t="str">
        <f aca="false">IFERROR(SMALL(Base!$P$5:$P$2004,ROW()-5),"")</f>
        <v/>
      </c>
      <c r="K1280" s="72" t="str">
        <f aca="false">IF(J1280="","",MATCH(J1280,Base!$P$5:$P$2004,0))</f>
        <v/>
      </c>
    </row>
    <row r="1281" customFormat="false" ht="15" hidden="false" customHeight="false" outlineLevel="0" collapsed="false">
      <c r="A1281" s="67" t="str">
        <f aca="false">IF($K1281="","",ROW()-5)</f>
        <v/>
      </c>
      <c r="B1281" s="68" t="str">
        <f aca="false">IF($K1281="","",INDEX(Base!$E$5:$E$2004,$K1281))</f>
        <v/>
      </c>
      <c r="C1281" s="69" t="str">
        <f aca="false">IF($K1281="","",B1281)</f>
        <v/>
      </c>
      <c r="D1281" s="70" t="str">
        <f aca="false">IF($K1281="","",INDEX(Base!$F$5:$F$2004,$K1281))</f>
        <v/>
      </c>
      <c r="E1281" s="70" t="str">
        <f aca="false">IF($K1281="","",INDEX(Base!$G$5:$G$2004,$K1281))</f>
        <v/>
      </c>
      <c r="F1281" s="71" t="str">
        <f aca="false">IF($K1281="","",INDEX(Base!$H$5:$H$2004,$K1281))</f>
        <v/>
      </c>
      <c r="G1281" s="71" t="str">
        <f aca="false">IF($K1281="","",INDEX(Base!$I$5:$I$2004,$K1281))</f>
        <v/>
      </c>
      <c r="H1281" s="70" t="str">
        <f aca="false">IF($K1281="","",INDEX(Base!$J$5:$J$2004,$K1281))</f>
        <v/>
      </c>
      <c r="I1281" s="71" t="str">
        <f aca="false">IF($K1281="","",INDEX(Base!$L$5:$L$2004,$K1281))</f>
        <v/>
      </c>
      <c r="J1281" s="72" t="str">
        <f aca="false">IFERROR(SMALL(Base!$P$5:$P$2004,ROW()-5),"")</f>
        <v/>
      </c>
      <c r="K1281" s="72" t="str">
        <f aca="false">IF(J1281="","",MATCH(J1281,Base!$P$5:$P$2004,0))</f>
        <v/>
      </c>
    </row>
    <row r="1282" customFormat="false" ht="15" hidden="false" customHeight="false" outlineLevel="0" collapsed="false">
      <c r="A1282" s="67" t="str">
        <f aca="false">IF($K1282="","",ROW()-5)</f>
        <v/>
      </c>
      <c r="B1282" s="68" t="str">
        <f aca="false">IF($K1282="","",INDEX(Base!$E$5:$E$2004,$K1282))</f>
        <v/>
      </c>
      <c r="C1282" s="69" t="str">
        <f aca="false">IF($K1282="","",B1282)</f>
        <v/>
      </c>
      <c r="D1282" s="70" t="str">
        <f aca="false">IF($K1282="","",INDEX(Base!$F$5:$F$2004,$K1282))</f>
        <v/>
      </c>
      <c r="E1282" s="70" t="str">
        <f aca="false">IF($K1282="","",INDEX(Base!$G$5:$G$2004,$K1282))</f>
        <v/>
      </c>
      <c r="F1282" s="71" t="str">
        <f aca="false">IF($K1282="","",INDEX(Base!$H$5:$H$2004,$K1282))</f>
        <v/>
      </c>
      <c r="G1282" s="71" t="str">
        <f aca="false">IF($K1282="","",INDEX(Base!$I$5:$I$2004,$K1282))</f>
        <v/>
      </c>
      <c r="H1282" s="70" t="str">
        <f aca="false">IF($K1282="","",INDEX(Base!$J$5:$J$2004,$K1282))</f>
        <v/>
      </c>
      <c r="I1282" s="71" t="str">
        <f aca="false">IF($K1282="","",INDEX(Base!$L$5:$L$2004,$K1282))</f>
        <v/>
      </c>
      <c r="J1282" s="72" t="str">
        <f aca="false">IFERROR(SMALL(Base!$P$5:$P$2004,ROW()-5),"")</f>
        <v/>
      </c>
      <c r="K1282" s="72" t="str">
        <f aca="false">IF(J1282="","",MATCH(J1282,Base!$P$5:$P$2004,0))</f>
        <v/>
      </c>
    </row>
    <row r="1283" customFormat="false" ht="15" hidden="false" customHeight="false" outlineLevel="0" collapsed="false">
      <c r="A1283" s="67" t="str">
        <f aca="false">IF($K1283="","",ROW()-5)</f>
        <v/>
      </c>
      <c r="B1283" s="68" t="str">
        <f aca="false">IF($K1283="","",INDEX(Base!$E$5:$E$2004,$K1283))</f>
        <v/>
      </c>
      <c r="C1283" s="69" t="str">
        <f aca="false">IF($K1283="","",B1283)</f>
        <v/>
      </c>
      <c r="D1283" s="70" t="str">
        <f aca="false">IF($K1283="","",INDEX(Base!$F$5:$F$2004,$K1283))</f>
        <v/>
      </c>
      <c r="E1283" s="70" t="str">
        <f aca="false">IF($K1283="","",INDEX(Base!$G$5:$G$2004,$K1283))</f>
        <v/>
      </c>
      <c r="F1283" s="71" t="str">
        <f aca="false">IF($K1283="","",INDEX(Base!$H$5:$H$2004,$K1283))</f>
        <v/>
      </c>
      <c r="G1283" s="71" t="str">
        <f aca="false">IF($K1283="","",INDEX(Base!$I$5:$I$2004,$K1283))</f>
        <v/>
      </c>
      <c r="H1283" s="70" t="str">
        <f aca="false">IF($K1283="","",INDEX(Base!$J$5:$J$2004,$K1283))</f>
        <v/>
      </c>
      <c r="I1283" s="71" t="str">
        <f aca="false">IF($K1283="","",INDEX(Base!$L$5:$L$2004,$K1283))</f>
        <v/>
      </c>
      <c r="J1283" s="72" t="str">
        <f aca="false">IFERROR(SMALL(Base!$P$5:$P$2004,ROW()-5),"")</f>
        <v/>
      </c>
      <c r="K1283" s="72" t="str">
        <f aca="false">IF(J1283="","",MATCH(J1283,Base!$P$5:$P$2004,0))</f>
        <v/>
      </c>
    </row>
    <row r="1284" customFormat="false" ht="15" hidden="false" customHeight="false" outlineLevel="0" collapsed="false">
      <c r="A1284" s="67" t="str">
        <f aca="false">IF($K1284="","",ROW()-5)</f>
        <v/>
      </c>
      <c r="B1284" s="68" t="str">
        <f aca="false">IF($K1284="","",INDEX(Base!$E$5:$E$2004,$K1284))</f>
        <v/>
      </c>
      <c r="C1284" s="69" t="str">
        <f aca="false">IF($K1284="","",B1284)</f>
        <v/>
      </c>
      <c r="D1284" s="70" t="str">
        <f aca="false">IF($K1284="","",INDEX(Base!$F$5:$F$2004,$K1284))</f>
        <v/>
      </c>
      <c r="E1284" s="70" t="str">
        <f aca="false">IF($K1284="","",INDEX(Base!$G$5:$G$2004,$K1284))</f>
        <v/>
      </c>
      <c r="F1284" s="71" t="str">
        <f aca="false">IF($K1284="","",INDEX(Base!$H$5:$H$2004,$K1284))</f>
        <v/>
      </c>
      <c r="G1284" s="71" t="str">
        <f aca="false">IF($K1284="","",INDEX(Base!$I$5:$I$2004,$K1284))</f>
        <v/>
      </c>
      <c r="H1284" s="70" t="str">
        <f aca="false">IF($K1284="","",INDEX(Base!$J$5:$J$2004,$K1284))</f>
        <v/>
      </c>
      <c r="I1284" s="71" t="str">
        <f aca="false">IF($K1284="","",INDEX(Base!$L$5:$L$2004,$K1284))</f>
        <v/>
      </c>
      <c r="J1284" s="72" t="str">
        <f aca="false">IFERROR(SMALL(Base!$P$5:$P$2004,ROW()-5),"")</f>
        <v/>
      </c>
      <c r="K1284" s="72" t="str">
        <f aca="false">IF(J1284="","",MATCH(J1284,Base!$P$5:$P$2004,0))</f>
        <v/>
      </c>
    </row>
    <row r="1285" customFormat="false" ht="15" hidden="false" customHeight="false" outlineLevel="0" collapsed="false">
      <c r="A1285" s="67" t="str">
        <f aca="false">IF($K1285="","",ROW()-5)</f>
        <v/>
      </c>
      <c r="B1285" s="68" t="str">
        <f aca="false">IF($K1285="","",INDEX(Base!$E$5:$E$2004,$K1285))</f>
        <v/>
      </c>
      <c r="C1285" s="69" t="str">
        <f aca="false">IF($K1285="","",B1285)</f>
        <v/>
      </c>
      <c r="D1285" s="70" t="str">
        <f aca="false">IF($K1285="","",INDEX(Base!$F$5:$F$2004,$K1285))</f>
        <v/>
      </c>
      <c r="E1285" s="70" t="str">
        <f aca="false">IF($K1285="","",INDEX(Base!$G$5:$G$2004,$K1285))</f>
        <v/>
      </c>
      <c r="F1285" s="71" t="str">
        <f aca="false">IF($K1285="","",INDEX(Base!$H$5:$H$2004,$K1285))</f>
        <v/>
      </c>
      <c r="G1285" s="71" t="str">
        <f aca="false">IF($K1285="","",INDEX(Base!$I$5:$I$2004,$K1285))</f>
        <v/>
      </c>
      <c r="H1285" s="70" t="str">
        <f aca="false">IF($K1285="","",INDEX(Base!$J$5:$J$2004,$K1285))</f>
        <v/>
      </c>
      <c r="I1285" s="71" t="str">
        <f aca="false">IF($K1285="","",INDEX(Base!$L$5:$L$2004,$K1285))</f>
        <v/>
      </c>
      <c r="J1285" s="72" t="str">
        <f aca="false">IFERROR(SMALL(Base!$P$5:$P$2004,ROW()-5),"")</f>
        <v/>
      </c>
      <c r="K1285" s="72" t="str">
        <f aca="false">IF(J1285="","",MATCH(J1285,Base!$P$5:$P$2004,0))</f>
        <v/>
      </c>
    </row>
    <row r="1286" customFormat="false" ht="15" hidden="false" customHeight="false" outlineLevel="0" collapsed="false">
      <c r="A1286" s="67" t="str">
        <f aca="false">IF($K1286="","",ROW()-5)</f>
        <v/>
      </c>
      <c r="B1286" s="68" t="str">
        <f aca="false">IF($K1286="","",INDEX(Base!$E$5:$E$2004,$K1286))</f>
        <v/>
      </c>
      <c r="C1286" s="69" t="str">
        <f aca="false">IF($K1286="","",B1286)</f>
        <v/>
      </c>
      <c r="D1286" s="70" t="str">
        <f aca="false">IF($K1286="","",INDEX(Base!$F$5:$F$2004,$K1286))</f>
        <v/>
      </c>
      <c r="E1286" s="70" t="str">
        <f aca="false">IF($K1286="","",INDEX(Base!$G$5:$G$2004,$K1286))</f>
        <v/>
      </c>
      <c r="F1286" s="71" t="str">
        <f aca="false">IF($K1286="","",INDEX(Base!$H$5:$H$2004,$K1286))</f>
        <v/>
      </c>
      <c r="G1286" s="71" t="str">
        <f aca="false">IF($K1286="","",INDEX(Base!$I$5:$I$2004,$K1286))</f>
        <v/>
      </c>
      <c r="H1286" s="70" t="str">
        <f aca="false">IF($K1286="","",INDEX(Base!$J$5:$J$2004,$K1286))</f>
        <v/>
      </c>
      <c r="I1286" s="71" t="str">
        <f aca="false">IF($K1286="","",INDEX(Base!$L$5:$L$2004,$K1286))</f>
        <v/>
      </c>
      <c r="J1286" s="72" t="str">
        <f aca="false">IFERROR(SMALL(Base!$P$5:$P$2004,ROW()-5),"")</f>
        <v/>
      </c>
      <c r="K1286" s="72" t="str">
        <f aca="false">IF(J1286="","",MATCH(J1286,Base!$P$5:$P$2004,0))</f>
        <v/>
      </c>
    </row>
    <row r="1287" customFormat="false" ht="15" hidden="false" customHeight="false" outlineLevel="0" collapsed="false">
      <c r="A1287" s="67" t="str">
        <f aca="false">IF($K1287="","",ROW()-5)</f>
        <v/>
      </c>
      <c r="B1287" s="68" t="str">
        <f aca="false">IF($K1287="","",INDEX(Base!$E$5:$E$2004,$K1287))</f>
        <v/>
      </c>
      <c r="C1287" s="69" t="str">
        <f aca="false">IF($K1287="","",B1287)</f>
        <v/>
      </c>
      <c r="D1287" s="70" t="str">
        <f aca="false">IF($K1287="","",INDEX(Base!$F$5:$F$2004,$K1287))</f>
        <v/>
      </c>
      <c r="E1287" s="70" t="str">
        <f aca="false">IF($K1287="","",INDEX(Base!$G$5:$G$2004,$K1287))</f>
        <v/>
      </c>
      <c r="F1287" s="71" t="str">
        <f aca="false">IF($K1287="","",INDEX(Base!$H$5:$H$2004,$K1287))</f>
        <v/>
      </c>
      <c r="G1287" s="71" t="str">
        <f aca="false">IF($K1287="","",INDEX(Base!$I$5:$I$2004,$K1287))</f>
        <v/>
      </c>
      <c r="H1287" s="70" t="str">
        <f aca="false">IF($K1287="","",INDEX(Base!$J$5:$J$2004,$K1287))</f>
        <v/>
      </c>
      <c r="I1287" s="71" t="str">
        <f aca="false">IF($K1287="","",INDEX(Base!$L$5:$L$2004,$K1287))</f>
        <v/>
      </c>
      <c r="J1287" s="72" t="str">
        <f aca="false">IFERROR(SMALL(Base!$P$5:$P$2004,ROW()-5),"")</f>
        <v/>
      </c>
      <c r="K1287" s="72" t="str">
        <f aca="false">IF(J1287="","",MATCH(J1287,Base!$P$5:$P$2004,0))</f>
        <v/>
      </c>
    </row>
    <row r="1288" customFormat="false" ht="15" hidden="false" customHeight="false" outlineLevel="0" collapsed="false">
      <c r="A1288" s="67" t="str">
        <f aca="false">IF($K1288="","",ROW()-5)</f>
        <v/>
      </c>
      <c r="B1288" s="68" t="str">
        <f aca="false">IF($K1288="","",INDEX(Base!$E$5:$E$2004,$K1288))</f>
        <v/>
      </c>
      <c r="C1288" s="69" t="str">
        <f aca="false">IF($K1288="","",B1288)</f>
        <v/>
      </c>
      <c r="D1288" s="70" t="str">
        <f aca="false">IF($K1288="","",INDEX(Base!$F$5:$F$2004,$K1288))</f>
        <v/>
      </c>
      <c r="E1288" s="70" t="str">
        <f aca="false">IF($K1288="","",INDEX(Base!$G$5:$G$2004,$K1288))</f>
        <v/>
      </c>
      <c r="F1288" s="71" t="str">
        <f aca="false">IF($K1288="","",INDEX(Base!$H$5:$H$2004,$K1288))</f>
        <v/>
      </c>
      <c r="G1288" s="71" t="str">
        <f aca="false">IF($K1288="","",INDEX(Base!$I$5:$I$2004,$K1288))</f>
        <v/>
      </c>
      <c r="H1288" s="70" t="str">
        <f aca="false">IF($K1288="","",INDEX(Base!$J$5:$J$2004,$K1288))</f>
        <v/>
      </c>
      <c r="I1288" s="71" t="str">
        <f aca="false">IF($K1288="","",INDEX(Base!$L$5:$L$2004,$K1288))</f>
        <v/>
      </c>
      <c r="J1288" s="72" t="str">
        <f aca="false">IFERROR(SMALL(Base!$P$5:$P$2004,ROW()-5),"")</f>
        <v/>
      </c>
      <c r="K1288" s="72" t="str">
        <f aca="false">IF(J1288="","",MATCH(J1288,Base!$P$5:$P$2004,0))</f>
        <v/>
      </c>
    </row>
    <row r="1289" customFormat="false" ht="15" hidden="false" customHeight="false" outlineLevel="0" collapsed="false">
      <c r="A1289" s="67" t="str">
        <f aca="false">IF($K1289="","",ROW()-5)</f>
        <v/>
      </c>
      <c r="B1289" s="68" t="str">
        <f aca="false">IF($K1289="","",INDEX(Base!$E$5:$E$2004,$K1289))</f>
        <v/>
      </c>
      <c r="C1289" s="69" t="str">
        <f aca="false">IF($K1289="","",B1289)</f>
        <v/>
      </c>
      <c r="D1289" s="70" t="str">
        <f aca="false">IF($K1289="","",INDEX(Base!$F$5:$F$2004,$K1289))</f>
        <v/>
      </c>
      <c r="E1289" s="70" t="str">
        <f aca="false">IF($K1289="","",INDEX(Base!$G$5:$G$2004,$K1289))</f>
        <v/>
      </c>
      <c r="F1289" s="71" t="str">
        <f aca="false">IF($K1289="","",INDEX(Base!$H$5:$H$2004,$K1289))</f>
        <v/>
      </c>
      <c r="G1289" s="71" t="str">
        <f aca="false">IF($K1289="","",INDEX(Base!$I$5:$I$2004,$K1289))</f>
        <v/>
      </c>
      <c r="H1289" s="70" t="str">
        <f aca="false">IF($K1289="","",INDEX(Base!$J$5:$J$2004,$K1289))</f>
        <v/>
      </c>
      <c r="I1289" s="71" t="str">
        <f aca="false">IF($K1289="","",INDEX(Base!$L$5:$L$2004,$K1289))</f>
        <v/>
      </c>
      <c r="J1289" s="72" t="str">
        <f aca="false">IFERROR(SMALL(Base!$P$5:$P$2004,ROW()-5),"")</f>
        <v/>
      </c>
      <c r="K1289" s="72" t="str">
        <f aca="false">IF(J1289="","",MATCH(J1289,Base!$P$5:$P$2004,0))</f>
        <v/>
      </c>
    </row>
    <row r="1290" customFormat="false" ht="15" hidden="false" customHeight="false" outlineLevel="0" collapsed="false">
      <c r="A1290" s="67" t="str">
        <f aca="false">IF($K1290="","",ROW()-5)</f>
        <v/>
      </c>
      <c r="B1290" s="68" t="str">
        <f aca="false">IF($K1290="","",INDEX(Base!$E$5:$E$2004,$K1290))</f>
        <v/>
      </c>
      <c r="C1290" s="69" t="str">
        <f aca="false">IF($K1290="","",B1290)</f>
        <v/>
      </c>
      <c r="D1290" s="70" t="str">
        <f aca="false">IF($K1290="","",INDEX(Base!$F$5:$F$2004,$K1290))</f>
        <v/>
      </c>
      <c r="E1290" s="70" t="str">
        <f aca="false">IF($K1290="","",INDEX(Base!$G$5:$G$2004,$K1290))</f>
        <v/>
      </c>
      <c r="F1290" s="71" t="str">
        <f aca="false">IF($K1290="","",INDEX(Base!$H$5:$H$2004,$K1290))</f>
        <v/>
      </c>
      <c r="G1290" s="71" t="str">
        <f aca="false">IF($K1290="","",INDEX(Base!$I$5:$I$2004,$K1290))</f>
        <v/>
      </c>
      <c r="H1290" s="70" t="str">
        <f aca="false">IF($K1290="","",INDEX(Base!$J$5:$J$2004,$K1290))</f>
        <v/>
      </c>
      <c r="I1290" s="71" t="str">
        <f aca="false">IF($K1290="","",INDEX(Base!$L$5:$L$2004,$K1290))</f>
        <v/>
      </c>
      <c r="J1290" s="72" t="str">
        <f aca="false">IFERROR(SMALL(Base!$P$5:$P$2004,ROW()-5),"")</f>
        <v/>
      </c>
      <c r="K1290" s="72" t="str">
        <f aca="false">IF(J1290="","",MATCH(J1290,Base!$P$5:$P$2004,0))</f>
        <v/>
      </c>
    </row>
    <row r="1291" customFormat="false" ht="15" hidden="false" customHeight="false" outlineLevel="0" collapsed="false">
      <c r="A1291" s="67" t="str">
        <f aca="false">IF($K1291="","",ROW()-5)</f>
        <v/>
      </c>
      <c r="B1291" s="68" t="str">
        <f aca="false">IF($K1291="","",INDEX(Base!$E$5:$E$2004,$K1291))</f>
        <v/>
      </c>
      <c r="C1291" s="69" t="str">
        <f aca="false">IF($K1291="","",B1291)</f>
        <v/>
      </c>
      <c r="D1291" s="70" t="str">
        <f aca="false">IF($K1291="","",INDEX(Base!$F$5:$F$2004,$K1291))</f>
        <v/>
      </c>
      <c r="E1291" s="70" t="str">
        <f aca="false">IF($K1291="","",INDEX(Base!$G$5:$G$2004,$K1291))</f>
        <v/>
      </c>
      <c r="F1291" s="71" t="str">
        <f aca="false">IF($K1291="","",INDEX(Base!$H$5:$H$2004,$K1291))</f>
        <v/>
      </c>
      <c r="G1291" s="71" t="str">
        <f aca="false">IF($K1291="","",INDEX(Base!$I$5:$I$2004,$K1291))</f>
        <v/>
      </c>
      <c r="H1291" s="70" t="str">
        <f aca="false">IF($K1291="","",INDEX(Base!$J$5:$J$2004,$K1291))</f>
        <v/>
      </c>
      <c r="I1291" s="71" t="str">
        <f aca="false">IF($K1291="","",INDEX(Base!$L$5:$L$2004,$K1291))</f>
        <v/>
      </c>
      <c r="J1291" s="72" t="str">
        <f aca="false">IFERROR(SMALL(Base!$P$5:$P$2004,ROW()-5),"")</f>
        <v/>
      </c>
      <c r="K1291" s="72" t="str">
        <f aca="false">IF(J1291="","",MATCH(J1291,Base!$P$5:$P$2004,0))</f>
        <v/>
      </c>
    </row>
    <row r="1292" customFormat="false" ht="15" hidden="false" customHeight="false" outlineLevel="0" collapsed="false">
      <c r="A1292" s="67" t="str">
        <f aca="false">IF($K1292="","",ROW()-5)</f>
        <v/>
      </c>
      <c r="B1292" s="68" t="str">
        <f aca="false">IF($K1292="","",INDEX(Base!$E$5:$E$2004,$K1292))</f>
        <v/>
      </c>
      <c r="C1292" s="69" t="str">
        <f aca="false">IF($K1292="","",B1292)</f>
        <v/>
      </c>
      <c r="D1292" s="70" t="str">
        <f aca="false">IF($K1292="","",INDEX(Base!$F$5:$F$2004,$K1292))</f>
        <v/>
      </c>
      <c r="E1292" s="70" t="str">
        <f aca="false">IF($K1292="","",INDEX(Base!$G$5:$G$2004,$K1292))</f>
        <v/>
      </c>
      <c r="F1292" s="71" t="str">
        <f aca="false">IF($K1292="","",INDEX(Base!$H$5:$H$2004,$K1292))</f>
        <v/>
      </c>
      <c r="G1292" s="71" t="str">
        <f aca="false">IF($K1292="","",INDEX(Base!$I$5:$I$2004,$K1292))</f>
        <v/>
      </c>
      <c r="H1292" s="70" t="str">
        <f aca="false">IF($K1292="","",INDEX(Base!$J$5:$J$2004,$K1292))</f>
        <v/>
      </c>
      <c r="I1292" s="71" t="str">
        <f aca="false">IF($K1292="","",INDEX(Base!$L$5:$L$2004,$K1292))</f>
        <v/>
      </c>
      <c r="J1292" s="72" t="str">
        <f aca="false">IFERROR(SMALL(Base!$P$5:$P$2004,ROW()-5),"")</f>
        <v/>
      </c>
      <c r="K1292" s="72" t="str">
        <f aca="false">IF(J1292="","",MATCH(J1292,Base!$P$5:$P$2004,0))</f>
        <v/>
      </c>
    </row>
    <row r="1293" customFormat="false" ht="15" hidden="false" customHeight="false" outlineLevel="0" collapsed="false">
      <c r="A1293" s="67" t="str">
        <f aca="false">IF($K1293="","",ROW()-5)</f>
        <v/>
      </c>
      <c r="B1293" s="68" t="str">
        <f aca="false">IF($K1293="","",INDEX(Base!$E$5:$E$2004,$K1293))</f>
        <v/>
      </c>
      <c r="C1293" s="69" t="str">
        <f aca="false">IF($K1293="","",B1293)</f>
        <v/>
      </c>
      <c r="D1293" s="70" t="str">
        <f aca="false">IF($K1293="","",INDEX(Base!$F$5:$F$2004,$K1293))</f>
        <v/>
      </c>
      <c r="E1293" s="70" t="str">
        <f aca="false">IF($K1293="","",INDEX(Base!$G$5:$G$2004,$K1293))</f>
        <v/>
      </c>
      <c r="F1293" s="71" t="str">
        <f aca="false">IF($K1293="","",INDEX(Base!$H$5:$H$2004,$K1293))</f>
        <v/>
      </c>
      <c r="G1293" s="71" t="str">
        <f aca="false">IF($K1293="","",INDEX(Base!$I$5:$I$2004,$K1293))</f>
        <v/>
      </c>
      <c r="H1293" s="70" t="str">
        <f aca="false">IF($K1293="","",INDEX(Base!$J$5:$J$2004,$K1293))</f>
        <v/>
      </c>
      <c r="I1293" s="71" t="str">
        <f aca="false">IF($K1293="","",INDEX(Base!$L$5:$L$2004,$K1293))</f>
        <v/>
      </c>
      <c r="J1293" s="72" t="str">
        <f aca="false">IFERROR(SMALL(Base!$P$5:$P$2004,ROW()-5),"")</f>
        <v/>
      </c>
      <c r="K1293" s="72" t="str">
        <f aca="false">IF(J1293="","",MATCH(J1293,Base!$P$5:$P$2004,0))</f>
        <v/>
      </c>
    </row>
    <row r="1294" customFormat="false" ht="15" hidden="false" customHeight="false" outlineLevel="0" collapsed="false">
      <c r="A1294" s="67" t="str">
        <f aca="false">IF($K1294="","",ROW()-5)</f>
        <v/>
      </c>
      <c r="B1294" s="68" t="str">
        <f aca="false">IF($K1294="","",INDEX(Base!$E$5:$E$2004,$K1294))</f>
        <v/>
      </c>
      <c r="C1294" s="69" t="str">
        <f aca="false">IF($K1294="","",B1294)</f>
        <v/>
      </c>
      <c r="D1294" s="70" t="str">
        <f aca="false">IF($K1294="","",INDEX(Base!$F$5:$F$2004,$K1294))</f>
        <v/>
      </c>
      <c r="E1294" s="70" t="str">
        <f aca="false">IF($K1294="","",INDEX(Base!$G$5:$G$2004,$K1294))</f>
        <v/>
      </c>
      <c r="F1294" s="71" t="str">
        <f aca="false">IF($K1294="","",INDEX(Base!$H$5:$H$2004,$K1294))</f>
        <v/>
      </c>
      <c r="G1294" s="71" t="str">
        <f aca="false">IF($K1294="","",INDEX(Base!$I$5:$I$2004,$K1294))</f>
        <v/>
      </c>
      <c r="H1294" s="70" t="str">
        <f aca="false">IF($K1294="","",INDEX(Base!$J$5:$J$2004,$K1294))</f>
        <v/>
      </c>
      <c r="I1294" s="71" t="str">
        <f aca="false">IF($K1294="","",INDEX(Base!$L$5:$L$2004,$K1294))</f>
        <v/>
      </c>
      <c r="J1294" s="72" t="str">
        <f aca="false">IFERROR(SMALL(Base!$P$5:$P$2004,ROW()-5),"")</f>
        <v/>
      </c>
      <c r="K1294" s="72" t="str">
        <f aca="false">IF(J1294="","",MATCH(J1294,Base!$P$5:$P$2004,0))</f>
        <v/>
      </c>
    </row>
    <row r="1295" customFormat="false" ht="15" hidden="false" customHeight="false" outlineLevel="0" collapsed="false">
      <c r="A1295" s="67" t="str">
        <f aca="false">IF($K1295="","",ROW()-5)</f>
        <v/>
      </c>
      <c r="B1295" s="68" t="str">
        <f aca="false">IF($K1295="","",INDEX(Base!$E$5:$E$2004,$K1295))</f>
        <v/>
      </c>
      <c r="C1295" s="69" t="str">
        <f aca="false">IF($K1295="","",B1295)</f>
        <v/>
      </c>
      <c r="D1295" s="70" t="str">
        <f aca="false">IF($K1295="","",INDEX(Base!$F$5:$F$2004,$K1295))</f>
        <v/>
      </c>
      <c r="E1295" s="70" t="str">
        <f aca="false">IF($K1295="","",INDEX(Base!$G$5:$G$2004,$K1295))</f>
        <v/>
      </c>
      <c r="F1295" s="71" t="str">
        <f aca="false">IF($K1295="","",INDEX(Base!$H$5:$H$2004,$K1295))</f>
        <v/>
      </c>
      <c r="G1295" s="71" t="str">
        <f aca="false">IF($K1295="","",INDEX(Base!$I$5:$I$2004,$K1295))</f>
        <v/>
      </c>
      <c r="H1295" s="70" t="str">
        <f aca="false">IF($K1295="","",INDEX(Base!$J$5:$J$2004,$K1295))</f>
        <v/>
      </c>
      <c r="I1295" s="71" t="str">
        <f aca="false">IF($K1295="","",INDEX(Base!$L$5:$L$2004,$K1295))</f>
        <v/>
      </c>
      <c r="J1295" s="72" t="str">
        <f aca="false">IFERROR(SMALL(Base!$P$5:$P$2004,ROW()-5),"")</f>
        <v/>
      </c>
      <c r="K1295" s="72" t="str">
        <f aca="false">IF(J1295="","",MATCH(J1295,Base!$P$5:$P$2004,0))</f>
        <v/>
      </c>
    </row>
    <row r="1296" customFormat="false" ht="15" hidden="false" customHeight="false" outlineLevel="0" collapsed="false">
      <c r="A1296" s="67" t="str">
        <f aca="false">IF($K1296="","",ROW()-5)</f>
        <v/>
      </c>
      <c r="B1296" s="68" t="str">
        <f aca="false">IF($K1296="","",INDEX(Base!$E$5:$E$2004,$K1296))</f>
        <v/>
      </c>
      <c r="C1296" s="69" t="str">
        <f aca="false">IF($K1296="","",B1296)</f>
        <v/>
      </c>
      <c r="D1296" s="70" t="str">
        <f aca="false">IF($K1296="","",INDEX(Base!$F$5:$F$2004,$K1296))</f>
        <v/>
      </c>
      <c r="E1296" s="70" t="str">
        <f aca="false">IF($K1296="","",INDEX(Base!$G$5:$G$2004,$K1296))</f>
        <v/>
      </c>
      <c r="F1296" s="71" t="str">
        <f aca="false">IF($K1296="","",INDEX(Base!$H$5:$H$2004,$K1296))</f>
        <v/>
      </c>
      <c r="G1296" s="71" t="str">
        <f aca="false">IF($K1296="","",INDEX(Base!$I$5:$I$2004,$K1296))</f>
        <v/>
      </c>
      <c r="H1296" s="70" t="str">
        <f aca="false">IF($K1296="","",INDEX(Base!$J$5:$J$2004,$K1296))</f>
        <v/>
      </c>
      <c r="I1296" s="71" t="str">
        <f aca="false">IF($K1296="","",INDEX(Base!$L$5:$L$2004,$K1296))</f>
        <v/>
      </c>
      <c r="J1296" s="72" t="str">
        <f aca="false">IFERROR(SMALL(Base!$P$5:$P$2004,ROW()-5),"")</f>
        <v/>
      </c>
      <c r="K1296" s="72" t="str">
        <f aca="false">IF(J1296="","",MATCH(J1296,Base!$P$5:$P$2004,0))</f>
        <v/>
      </c>
    </row>
    <row r="1297" customFormat="false" ht="15" hidden="false" customHeight="false" outlineLevel="0" collapsed="false">
      <c r="A1297" s="67" t="str">
        <f aca="false">IF($K1297="","",ROW()-5)</f>
        <v/>
      </c>
      <c r="B1297" s="68" t="str">
        <f aca="false">IF($K1297="","",INDEX(Base!$E$5:$E$2004,$K1297))</f>
        <v/>
      </c>
      <c r="C1297" s="69" t="str">
        <f aca="false">IF($K1297="","",B1297)</f>
        <v/>
      </c>
      <c r="D1297" s="70" t="str">
        <f aca="false">IF($K1297="","",INDEX(Base!$F$5:$F$2004,$K1297))</f>
        <v/>
      </c>
      <c r="E1297" s="70" t="str">
        <f aca="false">IF($K1297="","",INDEX(Base!$G$5:$G$2004,$K1297))</f>
        <v/>
      </c>
      <c r="F1297" s="71" t="str">
        <f aca="false">IF($K1297="","",INDEX(Base!$H$5:$H$2004,$K1297))</f>
        <v/>
      </c>
      <c r="G1297" s="71" t="str">
        <f aca="false">IF($K1297="","",INDEX(Base!$I$5:$I$2004,$K1297))</f>
        <v/>
      </c>
      <c r="H1297" s="70" t="str">
        <f aca="false">IF($K1297="","",INDEX(Base!$J$5:$J$2004,$K1297))</f>
        <v/>
      </c>
      <c r="I1297" s="71" t="str">
        <f aca="false">IF($K1297="","",INDEX(Base!$L$5:$L$2004,$K1297))</f>
        <v/>
      </c>
      <c r="J1297" s="72" t="str">
        <f aca="false">IFERROR(SMALL(Base!$P$5:$P$2004,ROW()-5),"")</f>
        <v/>
      </c>
      <c r="K1297" s="72" t="str">
        <f aca="false">IF(J1297="","",MATCH(J1297,Base!$P$5:$P$2004,0))</f>
        <v/>
      </c>
    </row>
    <row r="1298" customFormat="false" ht="15" hidden="false" customHeight="false" outlineLevel="0" collapsed="false">
      <c r="A1298" s="67" t="str">
        <f aca="false">IF($K1298="","",ROW()-5)</f>
        <v/>
      </c>
      <c r="B1298" s="68" t="str">
        <f aca="false">IF($K1298="","",INDEX(Base!$E$5:$E$2004,$K1298))</f>
        <v/>
      </c>
      <c r="C1298" s="69" t="str">
        <f aca="false">IF($K1298="","",B1298)</f>
        <v/>
      </c>
      <c r="D1298" s="70" t="str">
        <f aca="false">IF($K1298="","",INDEX(Base!$F$5:$F$2004,$K1298))</f>
        <v/>
      </c>
      <c r="E1298" s="70" t="str">
        <f aca="false">IF($K1298="","",INDEX(Base!$G$5:$G$2004,$K1298))</f>
        <v/>
      </c>
      <c r="F1298" s="71" t="str">
        <f aca="false">IF($K1298="","",INDEX(Base!$H$5:$H$2004,$K1298))</f>
        <v/>
      </c>
      <c r="G1298" s="71" t="str">
        <f aca="false">IF($K1298="","",INDEX(Base!$I$5:$I$2004,$K1298))</f>
        <v/>
      </c>
      <c r="H1298" s="70" t="str">
        <f aca="false">IF($K1298="","",INDEX(Base!$J$5:$J$2004,$K1298))</f>
        <v/>
      </c>
      <c r="I1298" s="71" t="str">
        <f aca="false">IF($K1298="","",INDEX(Base!$L$5:$L$2004,$K1298))</f>
        <v/>
      </c>
      <c r="J1298" s="72" t="str">
        <f aca="false">IFERROR(SMALL(Base!$P$5:$P$2004,ROW()-5),"")</f>
        <v/>
      </c>
      <c r="K1298" s="72" t="str">
        <f aca="false">IF(J1298="","",MATCH(J1298,Base!$P$5:$P$2004,0))</f>
        <v/>
      </c>
    </row>
    <row r="1299" customFormat="false" ht="15" hidden="false" customHeight="false" outlineLevel="0" collapsed="false">
      <c r="A1299" s="67" t="str">
        <f aca="false">IF($K1299="","",ROW()-5)</f>
        <v/>
      </c>
      <c r="B1299" s="68" t="str">
        <f aca="false">IF($K1299="","",INDEX(Base!$E$5:$E$2004,$K1299))</f>
        <v/>
      </c>
      <c r="C1299" s="69" t="str">
        <f aca="false">IF($K1299="","",B1299)</f>
        <v/>
      </c>
      <c r="D1299" s="70" t="str">
        <f aca="false">IF($K1299="","",INDEX(Base!$F$5:$F$2004,$K1299))</f>
        <v/>
      </c>
      <c r="E1299" s="70" t="str">
        <f aca="false">IF($K1299="","",INDEX(Base!$G$5:$G$2004,$K1299))</f>
        <v/>
      </c>
      <c r="F1299" s="71" t="str">
        <f aca="false">IF($K1299="","",INDEX(Base!$H$5:$H$2004,$K1299))</f>
        <v/>
      </c>
      <c r="G1299" s="71" t="str">
        <f aca="false">IF($K1299="","",INDEX(Base!$I$5:$I$2004,$K1299))</f>
        <v/>
      </c>
      <c r="H1299" s="70" t="str">
        <f aca="false">IF($K1299="","",INDEX(Base!$J$5:$J$2004,$K1299))</f>
        <v/>
      </c>
      <c r="I1299" s="71" t="str">
        <f aca="false">IF($K1299="","",INDEX(Base!$L$5:$L$2004,$K1299))</f>
        <v/>
      </c>
      <c r="J1299" s="72" t="str">
        <f aca="false">IFERROR(SMALL(Base!$P$5:$P$2004,ROW()-5),"")</f>
        <v/>
      </c>
      <c r="K1299" s="72" t="str">
        <f aca="false">IF(J1299="","",MATCH(J1299,Base!$P$5:$P$2004,0))</f>
        <v/>
      </c>
    </row>
    <row r="1300" customFormat="false" ht="15" hidden="false" customHeight="false" outlineLevel="0" collapsed="false">
      <c r="A1300" s="67" t="str">
        <f aca="false">IF($K1300="","",ROW()-5)</f>
        <v/>
      </c>
      <c r="B1300" s="68" t="str">
        <f aca="false">IF($K1300="","",INDEX(Base!$E$5:$E$2004,$K1300))</f>
        <v/>
      </c>
      <c r="C1300" s="69" t="str">
        <f aca="false">IF($K1300="","",B1300)</f>
        <v/>
      </c>
      <c r="D1300" s="70" t="str">
        <f aca="false">IF($K1300="","",INDEX(Base!$F$5:$F$2004,$K1300))</f>
        <v/>
      </c>
      <c r="E1300" s="70" t="str">
        <f aca="false">IF($K1300="","",INDEX(Base!$G$5:$G$2004,$K1300))</f>
        <v/>
      </c>
      <c r="F1300" s="71" t="str">
        <f aca="false">IF($K1300="","",INDEX(Base!$H$5:$H$2004,$K1300))</f>
        <v/>
      </c>
      <c r="G1300" s="71" t="str">
        <f aca="false">IF($K1300="","",INDEX(Base!$I$5:$I$2004,$K1300))</f>
        <v/>
      </c>
      <c r="H1300" s="70" t="str">
        <f aca="false">IF($K1300="","",INDEX(Base!$J$5:$J$2004,$K1300))</f>
        <v/>
      </c>
      <c r="I1300" s="71" t="str">
        <f aca="false">IF($K1300="","",INDEX(Base!$L$5:$L$2004,$K1300))</f>
        <v/>
      </c>
      <c r="J1300" s="72" t="str">
        <f aca="false">IFERROR(SMALL(Base!$P$5:$P$2004,ROW()-5),"")</f>
        <v/>
      </c>
      <c r="K1300" s="72" t="str">
        <f aca="false">IF(J1300="","",MATCH(J1300,Base!$P$5:$P$2004,0))</f>
        <v/>
      </c>
    </row>
    <row r="1301" customFormat="false" ht="15" hidden="false" customHeight="false" outlineLevel="0" collapsed="false">
      <c r="A1301" s="67" t="str">
        <f aca="false">IF($K1301="","",ROW()-5)</f>
        <v/>
      </c>
      <c r="B1301" s="68" t="str">
        <f aca="false">IF($K1301="","",INDEX(Base!$E$5:$E$2004,$K1301))</f>
        <v/>
      </c>
      <c r="C1301" s="69" t="str">
        <f aca="false">IF($K1301="","",B1301)</f>
        <v/>
      </c>
      <c r="D1301" s="70" t="str">
        <f aca="false">IF($K1301="","",INDEX(Base!$F$5:$F$2004,$K1301))</f>
        <v/>
      </c>
      <c r="E1301" s="70" t="str">
        <f aca="false">IF($K1301="","",INDEX(Base!$G$5:$G$2004,$K1301))</f>
        <v/>
      </c>
      <c r="F1301" s="71" t="str">
        <f aca="false">IF($K1301="","",INDEX(Base!$H$5:$H$2004,$K1301))</f>
        <v/>
      </c>
      <c r="G1301" s="71" t="str">
        <f aca="false">IF($K1301="","",INDEX(Base!$I$5:$I$2004,$K1301))</f>
        <v/>
      </c>
      <c r="H1301" s="70" t="str">
        <f aca="false">IF($K1301="","",INDEX(Base!$J$5:$J$2004,$K1301))</f>
        <v/>
      </c>
      <c r="I1301" s="71" t="str">
        <f aca="false">IF($K1301="","",INDEX(Base!$L$5:$L$2004,$K1301))</f>
        <v/>
      </c>
      <c r="J1301" s="72" t="str">
        <f aca="false">IFERROR(SMALL(Base!$P$5:$P$2004,ROW()-5),"")</f>
        <v/>
      </c>
      <c r="K1301" s="72" t="str">
        <f aca="false">IF(J1301="","",MATCH(J1301,Base!$P$5:$P$2004,0))</f>
        <v/>
      </c>
    </row>
    <row r="1302" customFormat="false" ht="15" hidden="false" customHeight="false" outlineLevel="0" collapsed="false">
      <c r="A1302" s="67" t="str">
        <f aca="false">IF($K1302="","",ROW()-5)</f>
        <v/>
      </c>
      <c r="B1302" s="68" t="str">
        <f aca="false">IF($K1302="","",INDEX(Base!$E$5:$E$2004,$K1302))</f>
        <v/>
      </c>
      <c r="C1302" s="69" t="str">
        <f aca="false">IF($K1302="","",B1302)</f>
        <v/>
      </c>
      <c r="D1302" s="70" t="str">
        <f aca="false">IF($K1302="","",INDEX(Base!$F$5:$F$2004,$K1302))</f>
        <v/>
      </c>
      <c r="E1302" s="70" t="str">
        <f aca="false">IF($K1302="","",INDEX(Base!$G$5:$G$2004,$K1302))</f>
        <v/>
      </c>
      <c r="F1302" s="71" t="str">
        <f aca="false">IF($K1302="","",INDEX(Base!$H$5:$H$2004,$K1302))</f>
        <v/>
      </c>
      <c r="G1302" s="71" t="str">
        <f aca="false">IF($K1302="","",INDEX(Base!$I$5:$I$2004,$K1302))</f>
        <v/>
      </c>
      <c r="H1302" s="70" t="str">
        <f aca="false">IF($K1302="","",INDEX(Base!$J$5:$J$2004,$K1302))</f>
        <v/>
      </c>
      <c r="I1302" s="71" t="str">
        <f aca="false">IF($K1302="","",INDEX(Base!$L$5:$L$2004,$K1302))</f>
        <v/>
      </c>
      <c r="J1302" s="72" t="str">
        <f aca="false">IFERROR(SMALL(Base!$P$5:$P$2004,ROW()-5),"")</f>
        <v/>
      </c>
      <c r="K1302" s="72" t="str">
        <f aca="false">IF(J1302="","",MATCH(J1302,Base!$P$5:$P$2004,0))</f>
        <v/>
      </c>
    </row>
    <row r="1303" customFormat="false" ht="15" hidden="false" customHeight="false" outlineLevel="0" collapsed="false">
      <c r="A1303" s="67" t="str">
        <f aca="false">IF($K1303="","",ROW()-5)</f>
        <v/>
      </c>
      <c r="B1303" s="68" t="str">
        <f aca="false">IF($K1303="","",INDEX(Base!$E$5:$E$2004,$K1303))</f>
        <v/>
      </c>
      <c r="C1303" s="69" t="str">
        <f aca="false">IF($K1303="","",B1303)</f>
        <v/>
      </c>
      <c r="D1303" s="70" t="str">
        <f aca="false">IF($K1303="","",INDEX(Base!$F$5:$F$2004,$K1303))</f>
        <v/>
      </c>
      <c r="E1303" s="70" t="str">
        <f aca="false">IF($K1303="","",INDEX(Base!$G$5:$G$2004,$K1303))</f>
        <v/>
      </c>
      <c r="F1303" s="71" t="str">
        <f aca="false">IF($K1303="","",INDEX(Base!$H$5:$H$2004,$K1303))</f>
        <v/>
      </c>
      <c r="G1303" s="71" t="str">
        <f aca="false">IF($K1303="","",INDEX(Base!$I$5:$I$2004,$K1303))</f>
        <v/>
      </c>
      <c r="H1303" s="70" t="str">
        <f aca="false">IF($K1303="","",INDEX(Base!$J$5:$J$2004,$K1303))</f>
        <v/>
      </c>
      <c r="I1303" s="71" t="str">
        <f aca="false">IF($K1303="","",INDEX(Base!$L$5:$L$2004,$K1303))</f>
        <v/>
      </c>
      <c r="J1303" s="72" t="str">
        <f aca="false">IFERROR(SMALL(Base!$P$5:$P$2004,ROW()-5),"")</f>
        <v/>
      </c>
      <c r="K1303" s="72" t="str">
        <f aca="false">IF(J1303="","",MATCH(J1303,Base!$P$5:$P$2004,0))</f>
        <v/>
      </c>
    </row>
    <row r="1304" customFormat="false" ht="15" hidden="false" customHeight="false" outlineLevel="0" collapsed="false">
      <c r="A1304" s="67" t="str">
        <f aca="false">IF($K1304="","",ROW()-5)</f>
        <v/>
      </c>
      <c r="B1304" s="68" t="str">
        <f aca="false">IF($K1304="","",INDEX(Base!$E$5:$E$2004,$K1304))</f>
        <v/>
      </c>
      <c r="C1304" s="69" t="str">
        <f aca="false">IF($K1304="","",B1304)</f>
        <v/>
      </c>
      <c r="D1304" s="70" t="str">
        <f aca="false">IF($K1304="","",INDEX(Base!$F$5:$F$2004,$K1304))</f>
        <v/>
      </c>
      <c r="E1304" s="70" t="str">
        <f aca="false">IF($K1304="","",INDEX(Base!$G$5:$G$2004,$K1304))</f>
        <v/>
      </c>
      <c r="F1304" s="71" t="str">
        <f aca="false">IF($K1304="","",INDEX(Base!$H$5:$H$2004,$K1304))</f>
        <v/>
      </c>
      <c r="G1304" s="71" t="str">
        <f aca="false">IF($K1304="","",INDEX(Base!$I$5:$I$2004,$K1304))</f>
        <v/>
      </c>
      <c r="H1304" s="70" t="str">
        <f aca="false">IF($K1304="","",INDEX(Base!$J$5:$J$2004,$K1304))</f>
        <v/>
      </c>
      <c r="I1304" s="71" t="str">
        <f aca="false">IF($K1304="","",INDEX(Base!$L$5:$L$2004,$K1304))</f>
        <v/>
      </c>
      <c r="J1304" s="72" t="str">
        <f aca="false">IFERROR(SMALL(Base!$P$5:$P$2004,ROW()-5),"")</f>
        <v/>
      </c>
      <c r="K1304" s="72" t="str">
        <f aca="false">IF(J1304="","",MATCH(J1304,Base!$P$5:$P$2004,0))</f>
        <v/>
      </c>
    </row>
    <row r="1305" customFormat="false" ht="15" hidden="false" customHeight="false" outlineLevel="0" collapsed="false">
      <c r="A1305" s="67" t="str">
        <f aca="false">IF($K1305="","",ROW()-5)</f>
        <v/>
      </c>
      <c r="B1305" s="68" t="str">
        <f aca="false">IF($K1305="","",INDEX(Base!$E$5:$E$2004,$K1305))</f>
        <v/>
      </c>
      <c r="C1305" s="69" t="str">
        <f aca="false">IF($K1305="","",B1305)</f>
        <v/>
      </c>
      <c r="D1305" s="70" t="str">
        <f aca="false">IF($K1305="","",INDEX(Base!$F$5:$F$2004,$K1305))</f>
        <v/>
      </c>
      <c r="E1305" s="70" t="str">
        <f aca="false">IF($K1305="","",INDEX(Base!$G$5:$G$2004,$K1305))</f>
        <v/>
      </c>
      <c r="F1305" s="71" t="str">
        <f aca="false">IF($K1305="","",INDEX(Base!$H$5:$H$2004,$K1305))</f>
        <v/>
      </c>
      <c r="G1305" s="71" t="str">
        <f aca="false">IF($K1305="","",INDEX(Base!$I$5:$I$2004,$K1305))</f>
        <v/>
      </c>
      <c r="H1305" s="70" t="str">
        <f aca="false">IF($K1305="","",INDEX(Base!$J$5:$J$2004,$K1305))</f>
        <v/>
      </c>
      <c r="I1305" s="71" t="str">
        <f aca="false">IF($K1305="","",INDEX(Base!$L$5:$L$2004,$K1305))</f>
        <v/>
      </c>
      <c r="J1305" s="72" t="str">
        <f aca="false">IFERROR(SMALL(Base!$P$5:$P$2004,ROW()-5),"")</f>
        <v/>
      </c>
      <c r="K1305" s="72" t="str">
        <f aca="false">IF(J1305="","",MATCH(J1305,Base!$P$5:$P$2004,0))</f>
        <v/>
      </c>
    </row>
    <row r="1306" customFormat="false" ht="15" hidden="false" customHeight="false" outlineLevel="0" collapsed="false">
      <c r="A1306" s="67" t="str">
        <f aca="false">IF($K1306="","",ROW()-5)</f>
        <v/>
      </c>
      <c r="B1306" s="68" t="str">
        <f aca="false">IF($K1306="","",INDEX(Base!$E$5:$E$2004,$K1306))</f>
        <v/>
      </c>
      <c r="C1306" s="69" t="str">
        <f aca="false">IF($K1306="","",B1306)</f>
        <v/>
      </c>
      <c r="D1306" s="70" t="str">
        <f aca="false">IF($K1306="","",INDEX(Base!$F$5:$F$2004,$K1306))</f>
        <v/>
      </c>
      <c r="E1306" s="70" t="str">
        <f aca="false">IF($K1306="","",INDEX(Base!$G$5:$G$2004,$K1306))</f>
        <v/>
      </c>
      <c r="F1306" s="71" t="str">
        <f aca="false">IF($K1306="","",INDEX(Base!$H$5:$H$2004,$K1306))</f>
        <v/>
      </c>
      <c r="G1306" s="71" t="str">
        <f aca="false">IF($K1306="","",INDEX(Base!$I$5:$I$2004,$K1306))</f>
        <v/>
      </c>
      <c r="H1306" s="70" t="str">
        <f aca="false">IF($K1306="","",INDEX(Base!$J$5:$J$2004,$K1306))</f>
        <v/>
      </c>
      <c r="I1306" s="71" t="str">
        <f aca="false">IF($K1306="","",INDEX(Base!$L$5:$L$2004,$K1306))</f>
        <v/>
      </c>
      <c r="J1306" s="72" t="str">
        <f aca="false">IFERROR(SMALL(Base!$P$5:$P$2004,ROW()-5),"")</f>
        <v/>
      </c>
      <c r="K1306" s="72" t="str">
        <f aca="false">IF(J1306="","",MATCH(J1306,Base!$P$5:$P$2004,0))</f>
        <v/>
      </c>
    </row>
    <row r="1307" customFormat="false" ht="15" hidden="false" customHeight="false" outlineLevel="0" collapsed="false">
      <c r="A1307" s="67" t="str">
        <f aca="false">IF($K1307="","",ROW()-5)</f>
        <v/>
      </c>
      <c r="B1307" s="68" t="str">
        <f aca="false">IF($K1307="","",INDEX(Base!$E$5:$E$2004,$K1307))</f>
        <v/>
      </c>
      <c r="C1307" s="69" t="str">
        <f aca="false">IF($K1307="","",B1307)</f>
        <v/>
      </c>
      <c r="D1307" s="70" t="str">
        <f aca="false">IF($K1307="","",INDEX(Base!$F$5:$F$2004,$K1307))</f>
        <v/>
      </c>
      <c r="E1307" s="70" t="str">
        <f aca="false">IF($K1307="","",INDEX(Base!$G$5:$G$2004,$K1307))</f>
        <v/>
      </c>
      <c r="F1307" s="71" t="str">
        <f aca="false">IF($K1307="","",INDEX(Base!$H$5:$H$2004,$K1307))</f>
        <v/>
      </c>
      <c r="G1307" s="71" t="str">
        <f aca="false">IF($K1307="","",INDEX(Base!$I$5:$I$2004,$K1307))</f>
        <v/>
      </c>
      <c r="H1307" s="70" t="str">
        <f aca="false">IF($K1307="","",INDEX(Base!$J$5:$J$2004,$K1307))</f>
        <v/>
      </c>
      <c r="I1307" s="71" t="str">
        <f aca="false">IF($K1307="","",INDEX(Base!$L$5:$L$2004,$K1307))</f>
        <v/>
      </c>
      <c r="J1307" s="72" t="str">
        <f aca="false">IFERROR(SMALL(Base!$P$5:$P$2004,ROW()-5),"")</f>
        <v/>
      </c>
      <c r="K1307" s="72" t="str">
        <f aca="false">IF(J1307="","",MATCH(J1307,Base!$P$5:$P$2004,0))</f>
        <v/>
      </c>
    </row>
    <row r="1308" customFormat="false" ht="15" hidden="false" customHeight="false" outlineLevel="0" collapsed="false">
      <c r="A1308" s="67" t="str">
        <f aca="false">IF($K1308="","",ROW()-5)</f>
        <v/>
      </c>
      <c r="B1308" s="68" t="str">
        <f aca="false">IF($K1308="","",INDEX(Base!$E$5:$E$2004,$K1308))</f>
        <v/>
      </c>
      <c r="C1308" s="69" t="str">
        <f aca="false">IF($K1308="","",B1308)</f>
        <v/>
      </c>
      <c r="D1308" s="70" t="str">
        <f aca="false">IF($K1308="","",INDEX(Base!$F$5:$F$2004,$K1308))</f>
        <v/>
      </c>
      <c r="E1308" s="70" t="str">
        <f aca="false">IF($K1308="","",INDEX(Base!$G$5:$G$2004,$K1308))</f>
        <v/>
      </c>
      <c r="F1308" s="71" t="str">
        <f aca="false">IF($K1308="","",INDEX(Base!$H$5:$H$2004,$K1308))</f>
        <v/>
      </c>
      <c r="G1308" s="71" t="str">
        <f aca="false">IF($K1308="","",INDEX(Base!$I$5:$I$2004,$K1308))</f>
        <v/>
      </c>
      <c r="H1308" s="70" t="str">
        <f aca="false">IF($K1308="","",INDEX(Base!$J$5:$J$2004,$K1308))</f>
        <v/>
      </c>
      <c r="I1308" s="71" t="str">
        <f aca="false">IF($K1308="","",INDEX(Base!$L$5:$L$2004,$K1308))</f>
        <v/>
      </c>
      <c r="J1308" s="72" t="str">
        <f aca="false">IFERROR(SMALL(Base!$P$5:$P$2004,ROW()-5),"")</f>
        <v/>
      </c>
      <c r="K1308" s="72" t="str">
        <f aca="false">IF(J1308="","",MATCH(J1308,Base!$P$5:$P$2004,0))</f>
        <v/>
      </c>
    </row>
    <row r="1309" customFormat="false" ht="15" hidden="false" customHeight="false" outlineLevel="0" collapsed="false">
      <c r="A1309" s="67" t="str">
        <f aca="false">IF($K1309="","",ROW()-5)</f>
        <v/>
      </c>
      <c r="B1309" s="68" t="str">
        <f aca="false">IF($K1309="","",INDEX(Base!$E$5:$E$2004,$K1309))</f>
        <v/>
      </c>
      <c r="C1309" s="69" t="str">
        <f aca="false">IF($K1309="","",B1309)</f>
        <v/>
      </c>
      <c r="D1309" s="70" t="str">
        <f aca="false">IF($K1309="","",INDEX(Base!$F$5:$F$2004,$K1309))</f>
        <v/>
      </c>
      <c r="E1309" s="70" t="str">
        <f aca="false">IF($K1309="","",INDEX(Base!$G$5:$G$2004,$K1309))</f>
        <v/>
      </c>
      <c r="F1309" s="71" t="str">
        <f aca="false">IF($K1309="","",INDEX(Base!$H$5:$H$2004,$K1309))</f>
        <v/>
      </c>
      <c r="G1309" s="71" t="str">
        <f aca="false">IF($K1309="","",INDEX(Base!$I$5:$I$2004,$K1309))</f>
        <v/>
      </c>
      <c r="H1309" s="70" t="str">
        <f aca="false">IF($K1309="","",INDEX(Base!$J$5:$J$2004,$K1309))</f>
        <v/>
      </c>
      <c r="I1309" s="71" t="str">
        <f aca="false">IF($K1309="","",INDEX(Base!$L$5:$L$2004,$K1309))</f>
        <v/>
      </c>
      <c r="J1309" s="72" t="str">
        <f aca="false">IFERROR(SMALL(Base!$P$5:$P$2004,ROW()-5),"")</f>
        <v/>
      </c>
      <c r="K1309" s="72" t="str">
        <f aca="false">IF(J1309="","",MATCH(J1309,Base!$P$5:$P$2004,0))</f>
        <v/>
      </c>
    </row>
    <row r="1310" customFormat="false" ht="15" hidden="false" customHeight="false" outlineLevel="0" collapsed="false">
      <c r="A1310" s="67" t="str">
        <f aca="false">IF($K1310="","",ROW()-5)</f>
        <v/>
      </c>
      <c r="B1310" s="68" t="str">
        <f aca="false">IF($K1310="","",INDEX(Base!$E$5:$E$2004,$K1310))</f>
        <v/>
      </c>
      <c r="C1310" s="69" t="str">
        <f aca="false">IF($K1310="","",B1310)</f>
        <v/>
      </c>
      <c r="D1310" s="70" t="str">
        <f aca="false">IF($K1310="","",INDEX(Base!$F$5:$F$2004,$K1310))</f>
        <v/>
      </c>
      <c r="E1310" s="70" t="str">
        <f aca="false">IF($K1310="","",INDEX(Base!$G$5:$G$2004,$K1310))</f>
        <v/>
      </c>
      <c r="F1310" s="71" t="str">
        <f aca="false">IF($K1310="","",INDEX(Base!$H$5:$H$2004,$K1310))</f>
        <v/>
      </c>
      <c r="G1310" s="71" t="str">
        <f aca="false">IF($K1310="","",INDEX(Base!$I$5:$I$2004,$K1310))</f>
        <v/>
      </c>
      <c r="H1310" s="70" t="str">
        <f aca="false">IF($K1310="","",INDEX(Base!$J$5:$J$2004,$K1310))</f>
        <v/>
      </c>
      <c r="I1310" s="71" t="str">
        <f aca="false">IF($K1310="","",INDEX(Base!$L$5:$L$2004,$K1310))</f>
        <v/>
      </c>
      <c r="J1310" s="72" t="str">
        <f aca="false">IFERROR(SMALL(Base!$P$5:$P$2004,ROW()-5),"")</f>
        <v/>
      </c>
      <c r="K1310" s="72" t="str">
        <f aca="false">IF(J1310="","",MATCH(J1310,Base!$P$5:$P$2004,0))</f>
        <v/>
      </c>
    </row>
    <row r="1311" customFormat="false" ht="15" hidden="false" customHeight="false" outlineLevel="0" collapsed="false">
      <c r="A1311" s="67" t="str">
        <f aca="false">IF($K1311="","",ROW()-5)</f>
        <v/>
      </c>
      <c r="B1311" s="68" t="str">
        <f aca="false">IF($K1311="","",INDEX(Base!$E$5:$E$2004,$K1311))</f>
        <v/>
      </c>
      <c r="C1311" s="69" t="str">
        <f aca="false">IF($K1311="","",B1311)</f>
        <v/>
      </c>
      <c r="D1311" s="70" t="str">
        <f aca="false">IF($K1311="","",INDEX(Base!$F$5:$F$2004,$K1311))</f>
        <v/>
      </c>
      <c r="E1311" s="70" t="str">
        <f aca="false">IF($K1311="","",INDEX(Base!$G$5:$G$2004,$K1311))</f>
        <v/>
      </c>
      <c r="F1311" s="71" t="str">
        <f aca="false">IF($K1311="","",INDEX(Base!$H$5:$H$2004,$K1311))</f>
        <v/>
      </c>
      <c r="G1311" s="71" t="str">
        <f aca="false">IF($K1311="","",INDEX(Base!$I$5:$I$2004,$K1311))</f>
        <v/>
      </c>
      <c r="H1311" s="70" t="str">
        <f aca="false">IF($K1311="","",INDEX(Base!$J$5:$J$2004,$K1311))</f>
        <v/>
      </c>
      <c r="I1311" s="71" t="str">
        <f aca="false">IF($K1311="","",INDEX(Base!$L$5:$L$2004,$K1311))</f>
        <v/>
      </c>
      <c r="J1311" s="72" t="str">
        <f aca="false">IFERROR(SMALL(Base!$P$5:$P$2004,ROW()-5),"")</f>
        <v/>
      </c>
      <c r="K1311" s="72" t="str">
        <f aca="false">IF(J1311="","",MATCH(J1311,Base!$P$5:$P$2004,0))</f>
        <v/>
      </c>
    </row>
    <row r="1312" customFormat="false" ht="15" hidden="false" customHeight="false" outlineLevel="0" collapsed="false">
      <c r="A1312" s="67" t="str">
        <f aca="false">IF($K1312="","",ROW()-5)</f>
        <v/>
      </c>
      <c r="B1312" s="68" t="str">
        <f aca="false">IF($K1312="","",INDEX(Base!$E$5:$E$2004,$K1312))</f>
        <v/>
      </c>
      <c r="C1312" s="69" t="str">
        <f aca="false">IF($K1312="","",B1312)</f>
        <v/>
      </c>
      <c r="D1312" s="70" t="str">
        <f aca="false">IF($K1312="","",INDEX(Base!$F$5:$F$2004,$K1312))</f>
        <v/>
      </c>
      <c r="E1312" s="70" t="str">
        <f aca="false">IF($K1312="","",INDEX(Base!$G$5:$G$2004,$K1312))</f>
        <v/>
      </c>
      <c r="F1312" s="71" t="str">
        <f aca="false">IF($K1312="","",INDEX(Base!$H$5:$H$2004,$K1312))</f>
        <v/>
      </c>
      <c r="G1312" s="71" t="str">
        <f aca="false">IF($K1312="","",INDEX(Base!$I$5:$I$2004,$K1312))</f>
        <v/>
      </c>
      <c r="H1312" s="70" t="str">
        <f aca="false">IF($K1312="","",INDEX(Base!$J$5:$J$2004,$K1312))</f>
        <v/>
      </c>
      <c r="I1312" s="71" t="str">
        <f aca="false">IF($K1312="","",INDEX(Base!$L$5:$L$2004,$K1312))</f>
        <v/>
      </c>
      <c r="J1312" s="72" t="str">
        <f aca="false">IFERROR(SMALL(Base!$P$5:$P$2004,ROW()-5),"")</f>
        <v/>
      </c>
      <c r="K1312" s="72" t="str">
        <f aca="false">IF(J1312="","",MATCH(J1312,Base!$P$5:$P$2004,0))</f>
        <v/>
      </c>
    </row>
    <row r="1313" customFormat="false" ht="15" hidden="false" customHeight="false" outlineLevel="0" collapsed="false">
      <c r="A1313" s="67" t="str">
        <f aca="false">IF($K1313="","",ROW()-5)</f>
        <v/>
      </c>
      <c r="B1313" s="68" t="str">
        <f aca="false">IF($K1313="","",INDEX(Base!$E$5:$E$2004,$K1313))</f>
        <v/>
      </c>
      <c r="C1313" s="69" t="str">
        <f aca="false">IF($K1313="","",B1313)</f>
        <v/>
      </c>
      <c r="D1313" s="70" t="str">
        <f aca="false">IF($K1313="","",INDEX(Base!$F$5:$F$2004,$K1313))</f>
        <v/>
      </c>
      <c r="E1313" s="70" t="str">
        <f aca="false">IF($K1313="","",INDEX(Base!$G$5:$G$2004,$K1313))</f>
        <v/>
      </c>
      <c r="F1313" s="71" t="str">
        <f aca="false">IF($K1313="","",INDEX(Base!$H$5:$H$2004,$K1313))</f>
        <v/>
      </c>
      <c r="G1313" s="71" t="str">
        <f aca="false">IF($K1313="","",INDEX(Base!$I$5:$I$2004,$K1313))</f>
        <v/>
      </c>
      <c r="H1313" s="70" t="str">
        <f aca="false">IF($K1313="","",INDEX(Base!$J$5:$J$2004,$K1313))</f>
        <v/>
      </c>
      <c r="I1313" s="71" t="str">
        <f aca="false">IF($K1313="","",INDEX(Base!$L$5:$L$2004,$K1313))</f>
        <v/>
      </c>
      <c r="J1313" s="72" t="str">
        <f aca="false">IFERROR(SMALL(Base!$P$5:$P$2004,ROW()-5),"")</f>
        <v/>
      </c>
      <c r="K1313" s="72" t="str">
        <f aca="false">IF(J1313="","",MATCH(J1313,Base!$P$5:$P$2004,0))</f>
        <v/>
      </c>
    </row>
    <row r="1314" customFormat="false" ht="15" hidden="false" customHeight="false" outlineLevel="0" collapsed="false">
      <c r="A1314" s="67" t="str">
        <f aca="false">IF($K1314="","",ROW()-5)</f>
        <v/>
      </c>
      <c r="B1314" s="68" t="str">
        <f aca="false">IF($K1314="","",INDEX(Base!$E$5:$E$2004,$K1314))</f>
        <v/>
      </c>
      <c r="C1314" s="69" t="str">
        <f aca="false">IF($K1314="","",B1314)</f>
        <v/>
      </c>
      <c r="D1314" s="70" t="str">
        <f aca="false">IF($K1314="","",INDEX(Base!$F$5:$F$2004,$K1314))</f>
        <v/>
      </c>
      <c r="E1314" s="70" t="str">
        <f aca="false">IF($K1314="","",INDEX(Base!$G$5:$G$2004,$K1314))</f>
        <v/>
      </c>
      <c r="F1314" s="71" t="str">
        <f aca="false">IF($K1314="","",INDEX(Base!$H$5:$H$2004,$K1314))</f>
        <v/>
      </c>
      <c r="G1314" s="71" t="str">
        <f aca="false">IF($K1314="","",INDEX(Base!$I$5:$I$2004,$K1314))</f>
        <v/>
      </c>
      <c r="H1314" s="70" t="str">
        <f aca="false">IF($K1314="","",INDEX(Base!$J$5:$J$2004,$K1314))</f>
        <v/>
      </c>
      <c r="I1314" s="71" t="str">
        <f aca="false">IF($K1314="","",INDEX(Base!$L$5:$L$2004,$K1314))</f>
        <v/>
      </c>
      <c r="J1314" s="72" t="str">
        <f aca="false">IFERROR(SMALL(Base!$P$5:$P$2004,ROW()-5),"")</f>
        <v/>
      </c>
      <c r="K1314" s="72" t="str">
        <f aca="false">IF(J1314="","",MATCH(J1314,Base!$P$5:$P$2004,0))</f>
        <v/>
      </c>
    </row>
    <row r="1315" customFormat="false" ht="15" hidden="false" customHeight="false" outlineLevel="0" collapsed="false">
      <c r="A1315" s="67" t="str">
        <f aca="false">IF($K1315="","",ROW()-5)</f>
        <v/>
      </c>
      <c r="B1315" s="68" t="str">
        <f aca="false">IF($K1315="","",INDEX(Base!$E$5:$E$2004,$K1315))</f>
        <v/>
      </c>
      <c r="C1315" s="69" t="str">
        <f aca="false">IF($K1315="","",B1315)</f>
        <v/>
      </c>
      <c r="D1315" s="70" t="str">
        <f aca="false">IF($K1315="","",INDEX(Base!$F$5:$F$2004,$K1315))</f>
        <v/>
      </c>
      <c r="E1315" s="70" t="str">
        <f aca="false">IF($K1315="","",INDEX(Base!$G$5:$G$2004,$K1315))</f>
        <v/>
      </c>
      <c r="F1315" s="71" t="str">
        <f aca="false">IF($K1315="","",INDEX(Base!$H$5:$H$2004,$K1315))</f>
        <v/>
      </c>
      <c r="G1315" s="71" t="str">
        <f aca="false">IF($K1315="","",INDEX(Base!$I$5:$I$2004,$K1315))</f>
        <v/>
      </c>
      <c r="H1315" s="70" t="str">
        <f aca="false">IF($K1315="","",INDEX(Base!$J$5:$J$2004,$K1315))</f>
        <v/>
      </c>
      <c r="I1315" s="71" t="str">
        <f aca="false">IF($K1315="","",INDEX(Base!$L$5:$L$2004,$K1315))</f>
        <v/>
      </c>
      <c r="J1315" s="72" t="str">
        <f aca="false">IFERROR(SMALL(Base!$P$5:$P$2004,ROW()-5),"")</f>
        <v/>
      </c>
      <c r="K1315" s="72" t="str">
        <f aca="false">IF(J1315="","",MATCH(J1315,Base!$P$5:$P$2004,0))</f>
        <v/>
      </c>
    </row>
    <row r="1316" customFormat="false" ht="15" hidden="false" customHeight="false" outlineLevel="0" collapsed="false">
      <c r="A1316" s="67" t="str">
        <f aca="false">IF($K1316="","",ROW()-5)</f>
        <v/>
      </c>
      <c r="B1316" s="68" t="str">
        <f aca="false">IF($K1316="","",INDEX(Base!$E$5:$E$2004,$K1316))</f>
        <v/>
      </c>
      <c r="C1316" s="69" t="str">
        <f aca="false">IF($K1316="","",B1316)</f>
        <v/>
      </c>
      <c r="D1316" s="70" t="str">
        <f aca="false">IF($K1316="","",INDEX(Base!$F$5:$F$2004,$K1316))</f>
        <v/>
      </c>
      <c r="E1316" s="70" t="str">
        <f aca="false">IF($K1316="","",INDEX(Base!$G$5:$G$2004,$K1316))</f>
        <v/>
      </c>
      <c r="F1316" s="71" t="str">
        <f aca="false">IF($K1316="","",INDEX(Base!$H$5:$H$2004,$K1316))</f>
        <v/>
      </c>
      <c r="G1316" s="71" t="str">
        <f aca="false">IF($K1316="","",INDEX(Base!$I$5:$I$2004,$K1316))</f>
        <v/>
      </c>
      <c r="H1316" s="70" t="str">
        <f aca="false">IF($K1316="","",INDEX(Base!$J$5:$J$2004,$K1316))</f>
        <v/>
      </c>
      <c r="I1316" s="71" t="str">
        <f aca="false">IF($K1316="","",INDEX(Base!$L$5:$L$2004,$K1316))</f>
        <v/>
      </c>
      <c r="J1316" s="72" t="str">
        <f aca="false">IFERROR(SMALL(Base!$P$5:$P$2004,ROW()-5),"")</f>
        <v/>
      </c>
      <c r="K1316" s="72" t="str">
        <f aca="false">IF(J1316="","",MATCH(J1316,Base!$P$5:$P$2004,0))</f>
        <v/>
      </c>
    </row>
    <row r="1317" customFormat="false" ht="15" hidden="false" customHeight="false" outlineLevel="0" collapsed="false">
      <c r="A1317" s="67" t="str">
        <f aca="false">IF($K1317="","",ROW()-5)</f>
        <v/>
      </c>
      <c r="B1317" s="68" t="str">
        <f aca="false">IF($K1317="","",INDEX(Base!$E$5:$E$2004,$K1317))</f>
        <v/>
      </c>
      <c r="C1317" s="69" t="str">
        <f aca="false">IF($K1317="","",B1317)</f>
        <v/>
      </c>
      <c r="D1317" s="70" t="str">
        <f aca="false">IF($K1317="","",INDEX(Base!$F$5:$F$2004,$K1317))</f>
        <v/>
      </c>
      <c r="E1317" s="70" t="str">
        <f aca="false">IF($K1317="","",INDEX(Base!$G$5:$G$2004,$K1317))</f>
        <v/>
      </c>
      <c r="F1317" s="71" t="str">
        <f aca="false">IF($K1317="","",INDEX(Base!$H$5:$H$2004,$K1317))</f>
        <v/>
      </c>
      <c r="G1317" s="71" t="str">
        <f aca="false">IF($K1317="","",INDEX(Base!$I$5:$I$2004,$K1317))</f>
        <v/>
      </c>
      <c r="H1317" s="70" t="str">
        <f aca="false">IF($K1317="","",INDEX(Base!$J$5:$J$2004,$K1317))</f>
        <v/>
      </c>
      <c r="I1317" s="71" t="str">
        <f aca="false">IF($K1317="","",INDEX(Base!$L$5:$L$2004,$K1317))</f>
        <v/>
      </c>
      <c r="J1317" s="72" t="str">
        <f aca="false">IFERROR(SMALL(Base!$P$5:$P$2004,ROW()-5),"")</f>
        <v/>
      </c>
      <c r="K1317" s="72" t="str">
        <f aca="false">IF(J1317="","",MATCH(J1317,Base!$P$5:$P$2004,0))</f>
        <v/>
      </c>
    </row>
    <row r="1318" customFormat="false" ht="15" hidden="false" customHeight="false" outlineLevel="0" collapsed="false">
      <c r="A1318" s="67" t="str">
        <f aca="false">IF($K1318="","",ROW()-5)</f>
        <v/>
      </c>
      <c r="B1318" s="68" t="str">
        <f aca="false">IF($K1318="","",INDEX(Base!$E$5:$E$2004,$K1318))</f>
        <v/>
      </c>
      <c r="C1318" s="69" t="str">
        <f aca="false">IF($K1318="","",B1318)</f>
        <v/>
      </c>
      <c r="D1318" s="70" t="str">
        <f aca="false">IF($K1318="","",INDEX(Base!$F$5:$F$2004,$K1318))</f>
        <v/>
      </c>
      <c r="E1318" s="70" t="str">
        <f aca="false">IF($K1318="","",INDEX(Base!$G$5:$G$2004,$K1318))</f>
        <v/>
      </c>
      <c r="F1318" s="71" t="str">
        <f aca="false">IF($K1318="","",INDEX(Base!$H$5:$H$2004,$K1318))</f>
        <v/>
      </c>
      <c r="G1318" s="71" t="str">
        <f aca="false">IF($K1318="","",INDEX(Base!$I$5:$I$2004,$K1318))</f>
        <v/>
      </c>
      <c r="H1318" s="70" t="str">
        <f aca="false">IF($K1318="","",INDEX(Base!$J$5:$J$2004,$K1318))</f>
        <v/>
      </c>
      <c r="I1318" s="71" t="str">
        <f aca="false">IF($K1318="","",INDEX(Base!$L$5:$L$2004,$K1318))</f>
        <v/>
      </c>
      <c r="J1318" s="72" t="str">
        <f aca="false">IFERROR(SMALL(Base!$P$5:$P$2004,ROW()-5),"")</f>
        <v/>
      </c>
      <c r="K1318" s="72" t="str">
        <f aca="false">IF(J1318="","",MATCH(J1318,Base!$P$5:$P$2004,0))</f>
        <v/>
      </c>
    </row>
    <row r="1319" customFormat="false" ht="15" hidden="false" customHeight="false" outlineLevel="0" collapsed="false">
      <c r="A1319" s="67" t="str">
        <f aca="false">IF($K1319="","",ROW()-5)</f>
        <v/>
      </c>
      <c r="B1319" s="68" t="str">
        <f aca="false">IF($K1319="","",INDEX(Base!$E$5:$E$2004,$K1319))</f>
        <v/>
      </c>
      <c r="C1319" s="69" t="str">
        <f aca="false">IF($K1319="","",B1319)</f>
        <v/>
      </c>
      <c r="D1319" s="70" t="str">
        <f aca="false">IF($K1319="","",INDEX(Base!$F$5:$F$2004,$K1319))</f>
        <v/>
      </c>
      <c r="E1319" s="70" t="str">
        <f aca="false">IF($K1319="","",INDEX(Base!$G$5:$G$2004,$K1319))</f>
        <v/>
      </c>
      <c r="F1319" s="71" t="str">
        <f aca="false">IF($K1319="","",INDEX(Base!$H$5:$H$2004,$K1319))</f>
        <v/>
      </c>
      <c r="G1319" s="71" t="str">
        <f aca="false">IF($K1319="","",INDEX(Base!$I$5:$I$2004,$K1319))</f>
        <v/>
      </c>
      <c r="H1319" s="70" t="str">
        <f aca="false">IF($K1319="","",INDEX(Base!$J$5:$J$2004,$K1319))</f>
        <v/>
      </c>
      <c r="I1319" s="71" t="str">
        <f aca="false">IF($K1319="","",INDEX(Base!$L$5:$L$2004,$K1319))</f>
        <v/>
      </c>
      <c r="J1319" s="72" t="str">
        <f aca="false">IFERROR(SMALL(Base!$P$5:$P$2004,ROW()-5),"")</f>
        <v/>
      </c>
      <c r="K1319" s="72" t="str">
        <f aca="false">IF(J1319="","",MATCH(J1319,Base!$P$5:$P$2004,0))</f>
        <v/>
      </c>
    </row>
    <row r="1320" customFormat="false" ht="15" hidden="false" customHeight="false" outlineLevel="0" collapsed="false">
      <c r="A1320" s="67" t="str">
        <f aca="false">IF($K1320="","",ROW()-5)</f>
        <v/>
      </c>
      <c r="B1320" s="68" t="str">
        <f aca="false">IF($K1320="","",INDEX(Base!$E$5:$E$2004,$K1320))</f>
        <v/>
      </c>
      <c r="C1320" s="69" t="str">
        <f aca="false">IF($K1320="","",B1320)</f>
        <v/>
      </c>
      <c r="D1320" s="70" t="str">
        <f aca="false">IF($K1320="","",INDEX(Base!$F$5:$F$2004,$K1320))</f>
        <v/>
      </c>
      <c r="E1320" s="70" t="str">
        <f aca="false">IF($K1320="","",INDEX(Base!$G$5:$G$2004,$K1320))</f>
        <v/>
      </c>
      <c r="F1320" s="71" t="str">
        <f aca="false">IF($K1320="","",INDEX(Base!$H$5:$H$2004,$K1320))</f>
        <v/>
      </c>
      <c r="G1320" s="71" t="str">
        <f aca="false">IF($K1320="","",INDEX(Base!$I$5:$I$2004,$K1320))</f>
        <v/>
      </c>
      <c r="H1320" s="70" t="str">
        <f aca="false">IF($K1320="","",INDEX(Base!$J$5:$J$2004,$K1320))</f>
        <v/>
      </c>
      <c r="I1320" s="71" t="str">
        <f aca="false">IF($K1320="","",INDEX(Base!$L$5:$L$2004,$K1320))</f>
        <v/>
      </c>
      <c r="J1320" s="72" t="str">
        <f aca="false">IFERROR(SMALL(Base!$P$5:$P$2004,ROW()-5),"")</f>
        <v/>
      </c>
      <c r="K1320" s="72" t="str">
        <f aca="false">IF(J1320="","",MATCH(J1320,Base!$P$5:$P$2004,0))</f>
        <v/>
      </c>
    </row>
    <row r="1321" customFormat="false" ht="15" hidden="false" customHeight="false" outlineLevel="0" collapsed="false">
      <c r="A1321" s="67" t="str">
        <f aca="false">IF($K1321="","",ROW()-5)</f>
        <v/>
      </c>
      <c r="B1321" s="68" t="str">
        <f aca="false">IF($K1321="","",INDEX(Base!$E$5:$E$2004,$K1321))</f>
        <v/>
      </c>
      <c r="C1321" s="69" t="str">
        <f aca="false">IF($K1321="","",B1321)</f>
        <v/>
      </c>
      <c r="D1321" s="70" t="str">
        <f aca="false">IF($K1321="","",INDEX(Base!$F$5:$F$2004,$K1321))</f>
        <v/>
      </c>
      <c r="E1321" s="70" t="str">
        <f aca="false">IF($K1321="","",INDEX(Base!$G$5:$G$2004,$K1321))</f>
        <v/>
      </c>
      <c r="F1321" s="71" t="str">
        <f aca="false">IF($K1321="","",INDEX(Base!$H$5:$H$2004,$K1321))</f>
        <v/>
      </c>
      <c r="G1321" s="71" t="str">
        <f aca="false">IF($K1321="","",INDEX(Base!$I$5:$I$2004,$K1321))</f>
        <v/>
      </c>
      <c r="H1321" s="70" t="str">
        <f aca="false">IF($K1321="","",INDEX(Base!$J$5:$J$2004,$K1321))</f>
        <v/>
      </c>
      <c r="I1321" s="71" t="str">
        <f aca="false">IF($K1321="","",INDEX(Base!$L$5:$L$2004,$K1321))</f>
        <v/>
      </c>
      <c r="J1321" s="72" t="str">
        <f aca="false">IFERROR(SMALL(Base!$P$5:$P$2004,ROW()-5),"")</f>
        <v/>
      </c>
      <c r="K1321" s="72" t="str">
        <f aca="false">IF(J1321="","",MATCH(J1321,Base!$P$5:$P$2004,0))</f>
        <v/>
      </c>
    </row>
    <row r="1322" customFormat="false" ht="15" hidden="false" customHeight="false" outlineLevel="0" collapsed="false">
      <c r="A1322" s="67" t="str">
        <f aca="false">IF($K1322="","",ROW()-5)</f>
        <v/>
      </c>
      <c r="B1322" s="68" t="str">
        <f aca="false">IF($K1322="","",INDEX(Base!$E$5:$E$2004,$K1322))</f>
        <v/>
      </c>
      <c r="C1322" s="69" t="str">
        <f aca="false">IF($K1322="","",B1322)</f>
        <v/>
      </c>
      <c r="D1322" s="70" t="str">
        <f aca="false">IF($K1322="","",INDEX(Base!$F$5:$F$2004,$K1322))</f>
        <v/>
      </c>
      <c r="E1322" s="70" t="str">
        <f aca="false">IF($K1322="","",INDEX(Base!$G$5:$G$2004,$K1322))</f>
        <v/>
      </c>
      <c r="F1322" s="71" t="str">
        <f aca="false">IF($K1322="","",INDEX(Base!$H$5:$H$2004,$K1322))</f>
        <v/>
      </c>
      <c r="G1322" s="71" t="str">
        <f aca="false">IF($K1322="","",INDEX(Base!$I$5:$I$2004,$K1322))</f>
        <v/>
      </c>
      <c r="H1322" s="70" t="str">
        <f aca="false">IF($K1322="","",INDEX(Base!$J$5:$J$2004,$K1322))</f>
        <v/>
      </c>
      <c r="I1322" s="71" t="str">
        <f aca="false">IF($K1322="","",INDEX(Base!$L$5:$L$2004,$K1322))</f>
        <v/>
      </c>
      <c r="J1322" s="72" t="str">
        <f aca="false">IFERROR(SMALL(Base!$P$5:$P$2004,ROW()-5),"")</f>
        <v/>
      </c>
      <c r="K1322" s="72" t="str">
        <f aca="false">IF(J1322="","",MATCH(J1322,Base!$P$5:$P$2004,0))</f>
        <v/>
      </c>
    </row>
    <row r="1323" customFormat="false" ht="15" hidden="false" customHeight="false" outlineLevel="0" collapsed="false">
      <c r="A1323" s="67" t="str">
        <f aca="false">IF($K1323="","",ROW()-5)</f>
        <v/>
      </c>
      <c r="B1323" s="68" t="str">
        <f aca="false">IF($K1323="","",INDEX(Base!$E$5:$E$2004,$K1323))</f>
        <v/>
      </c>
      <c r="C1323" s="69" t="str">
        <f aca="false">IF($K1323="","",B1323)</f>
        <v/>
      </c>
      <c r="D1323" s="70" t="str">
        <f aca="false">IF($K1323="","",INDEX(Base!$F$5:$F$2004,$K1323))</f>
        <v/>
      </c>
      <c r="E1323" s="70" t="str">
        <f aca="false">IF($K1323="","",INDEX(Base!$G$5:$G$2004,$K1323))</f>
        <v/>
      </c>
      <c r="F1323" s="71" t="str">
        <f aca="false">IF($K1323="","",INDEX(Base!$H$5:$H$2004,$K1323))</f>
        <v/>
      </c>
      <c r="G1323" s="71" t="str">
        <f aca="false">IF($K1323="","",INDEX(Base!$I$5:$I$2004,$K1323))</f>
        <v/>
      </c>
      <c r="H1323" s="70" t="str">
        <f aca="false">IF($K1323="","",INDEX(Base!$J$5:$J$2004,$K1323))</f>
        <v/>
      </c>
      <c r="I1323" s="71" t="str">
        <f aca="false">IF($K1323="","",INDEX(Base!$L$5:$L$2004,$K1323))</f>
        <v/>
      </c>
      <c r="J1323" s="72" t="str">
        <f aca="false">IFERROR(SMALL(Base!$P$5:$P$2004,ROW()-5),"")</f>
        <v/>
      </c>
      <c r="K1323" s="72" t="str">
        <f aca="false">IF(J1323="","",MATCH(J1323,Base!$P$5:$P$2004,0))</f>
        <v/>
      </c>
    </row>
    <row r="1324" customFormat="false" ht="15" hidden="false" customHeight="false" outlineLevel="0" collapsed="false">
      <c r="A1324" s="67" t="str">
        <f aca="false">IF($K1324="","",ROW()-5)</f>
        <v/>
      </c>
      <c r="B1324" s="68" t="str">
        <f aca="false">IF($K1324="","",INDEX(Base!$E$5:$E$2004,$K1324))</f>
        <v/>
      </c>
      <c r="C1324" s="69" t="str">
        <f aca="false">IF($K1324="","",B1324)</f>
        <v/>
      </c>
      <c r="D1324" s="70" t="str">
        <f aca="false">IF($K1324="","",INDEX(Base!$F$5:$F$2004,$K1324))</f>
        <v/>
      </c>
      <c r="E1324" s="70" t="str">
        <f aca="false">IF($K1324="","",INDEX(Base!$G$5:$G$2004,$K1324))</f>
        <v/>
      </c>
      <c r="F1324" s="71" t="str">
        <f aca="false">IF($K1324="","",INDEX(Base!$H$5:$H$2004,$K1324))</f>
        <v/>
      </c>
      <c r="G1324" s="71" t="str">
        <f aca="false">IF($K1324="","",INDEX(Base!$I$5:$I$2004,$K1324))</f>
        <v/>
      </c>
      <c r="H1324" s="70" t="str">
        <f aca="false">IF($K1324="","",INDEX(Base!$J$5:$J$2004,$K1324))</f>
        <v/>
      </c>
      <c r="I1324" s="71" t="str">
        <f aca="false">IF($K1324="","",INDEX(Base!$L$5:$L$2004,$K1324))</f>
        <v/>
      </c>
      <c r="J1324" s="72" t="str">
        <f aca="false">IFERROR(SMALL(Base!$P$5:$P$2004,ROW()-5),"")</f>
        <v/>
      </c>
      <c r="K1324" s="72" t="str">
        <f aca="false">IF(J1324="","",MATCH(J1324,Base!$P$5:$P$2004,0))</f>
        <v/>
      </c>
    </row>
    <row r="1325" customFormat="false" ht="15" hidden="false" customHeight="false" outlineLevel="0" collapsed="false">
      <c r="A1325" s="67" t="str">
        <f aca="false">IF($K1325="","",ROW()-5)</f>
        <v/>
      </c>
      <c r="B1325" s="68" t="str">
        <f aca="false">IF($K1325="","",INDEX(Base!$E$5:$E$2004,$K1325))</f>
        <v/>
      </c>
      <c r="C1325" s="69" t="str">
        <f aca="false">IF($K1325="","",B1325)</f>
        <v/>
      </c>
      <c r="D1325" s="70" t="str">
        <f aca="false">IF($K1325="","",INDEX(Base!$F$5:$F$2004,$K1325))</f>
        <v/>
      </c>
      <c r="E1325" s="70" t="str">
        <f aca="false">IF($K1325="","",INDEX(Base!$G$5:$G$2004,$K1325))</f>
        <v/>
      </c>
      <c r="F1325" s="71" t="str">
        <f aca="false">IF($K1325="","",INDEX(Base!$H$5:$H$2004,$K1325))</f>
        <v/>
      </c>
      <c r="G1325" s="71" t="str">
        <f aca="false">IF($K1325="","",INDEX(Base!$I$5:$I$2004,$K1325))</f>
        <v/>
      </c>
      <c r="H1325" s="70" t="str">
        <f aca="false">IF($K1325="","",INDEX(Base!$J$5:$J$2004,$K1325))</f>
        <v/>
      </c>
      <c r="I1325" s="71" t="str">
        <f aca="false">IF($K1325="","",INDEX(Base!$L$5:$L$2004,$K1325))</f>
        <v/>
      </c>
      <c r="J1325" s="72" t="str">
        <f aca="false">IFERROR(SMALL(Base!$P$5:$P$2004,ROW()-5),"")</f>
        <v/>
      </c>
      <c r="K1325" s="72" t="str">
        <f aca="false">IF(J1325="","",MATCH(J1325,Base!$P$5:$P$2004,0))</f>
        <v/>
      </c>
    </row>
    <row r="1326" customFormat="false" ht="15" hidden="false" customHeight="false" outlineLevel="0" collapsed="false">
      <c r="A1326" s="67" t="str">
        <f aca="false">IF($K1326="","",ROW()-5)</f>
        <v/>
      </c>
      <c r="B1326" s="68" t="str">
        <f aca="false">IF($K1326="","",INDEX(Base!$E$5:$E$2004,$K1326))</f>
        <v/>
      </c>
      <c r="C1326" s="69" t="str">
        <f aca="false">IF($K1326="","",B1326)</f>
        <v/>
      </c>
      <c r="D1326" s="70" t="str">
        <f aca="false">IF($K1326="","",INDEX(Base!$F$5:$F$2004,$K1326))</f>
        <v/>
      </c>
      <c r="E1326" s="70" t="str">
        <f aca="false">IF($K1326="","",INDEX(Base!$G$5:$G$2004,$K1326))</f>
        <v/>
      </c>
      <c r="F1326" s="71" t="str">
        <f aca="false">IF($K1326="","",INDEX(Base!$H$5:$H$2004,$K1326))</f>
        <v/>
      </c>
      <c r="G1326" s="71" t="str">
        <f aca="false">IF($K1326="","",INDEX(Base!$I$5:$I$2004,$K1326))</f>
        <v/>
      </c>
      <c r="H1326" s="70" t="str">
        <f aca="false">IF($K1326="","",INDEX(Base!$J$5:$J$2004,$K1326))</f>
        <v/>
      </c>
      <c r="I1326" s="71" t="str">
        <f aca="false">IF($K1326="","",INDEX(Base!$L$5:$L$2004,$K1326))</f>
        <v/>
      </c>
      <c r="J1326" s="72" t="str">
        <f aca="false">IFERROR(SMALL(Base!$P$5:$P$2004,ROW()-5),"")</f>
        <v/>
      </c>
      <c r="K1326" s="72" t="str">
        <f aca="false">IF(J1326="","",MATCH(J1326,Base!$P$5:$P$2004,0))</f>
        <v/>
      </c>
    </row>
    <row r="1327" customFormat="false" ht="15" hidden="false" customHeight="false" outlineLevel="0" collapsed="false">
      <c r="A1327" s="67" t="str">
        <f aca="false">IF($K1327="","",ROW()-5)</f>
        <v/>
      </c>
      <c r="B1327" s="68" t="str">
        <f aca="false">IF($K1327="","",INDEX(Base!$E$5:$E$2004,$K1327))</f>
        <v/>
      </c>
      <c r="C1327" s="69" t="str">
        <f aca="false">IF($K1327="","",B1327)</f>
        <v/>
      </c>
      <c r="D1327" s="70" t="str">
        <f aca="false">IF($K1327="","",INDEX(Base!$F$5:$F$2004,$K1327))</f>
        <v/>
      </c>
      <c r="E1327" s="70" t="str">
        <f aca="false">IF($K1327="","",INDEX(Base!$G$5:$G$2004,$K1327))</f>
        <v/>
      </c>
      <c r="F1327" s="71" t="str">
        <f aca="false">IF($K1327="","",INDEX(Base!$H$5:$H$2004,$K1327))</f>
        <v/>
      </c>
      <c r="G1327" s="71" t="str">
        <f aca="false">IF($K1327="","",INDEX(Base!$I$5:$I$2004,$K1327))</f>
        <v/>
      </c>
      <c r="H1327" s="70" t="str">
        <f aca="false">IF($K1327="","",INDEX(Base!$J$5:$J$2004,$K1327))</f>
        <v/>
      </c>
      <c r="I1327" s="71" t="str">
        <f aca="false">IF($K1327="","",INDEX(Base!$L$5:$L$2004,$K1327))</f>
        <v/>
      </c>
      <c r="J1327" s="72" t="str">
        <f aca="false">IFERROR(SMALL(Base!$P$5:$P$2004,ROW()-5),"")</f>
        <v/>
      </c>
      <c r="K1327" s="72" t="str">
        <f aca="false">IF(J1327="","",MATCH(J1327,Base!$P$5:$P$2004,0))</f>
        <v/>
      </c>
    </row>
    <row r="1328" customFormat="false" ht="15" hidden="false" customHeight="false" outlineLevel="0" collapsed="false">
      <c r="A1328" s="67" t="str">
        <f aca="false">IF($K1328="","",ROW()-5)</f>
        <v/>
      </c>
      <c r="B1328" s="68" t="str">
        <f aca="false">IF($K1328="","",INDEX(Base!$E$5:$E$2004,$K1328))</f>
        <v/>
      </c>
      <c r="C1328" s="69" t="str">
        <f aca="false">IF($K1328="","",B1328)</f>
        <v/>
      </c>
      <c r="D1328" s="70" t="str">
        <f aca="false">IF($K1328="","",INDEX(Base!$F$5:$F$2004,$K1328))</f>
        <v/>
      </c>
      <c r="E1328" s="70" t="str">
        <f aca="false">IF($K1328="","",INDEX(Base!$G$5:$G$2004,$K1328))</f>
        <v/>
      </c>
      <c r="F1328" s="71" t="str">
        <f aca="false">IF($K1328="","",INDEX(Base!$H$5:$H$2004,$K1328))</f>
        <v/>
      </c>
      <c r="G1328" s="71" t="str">
        <f aca="false">IF($K1328="","",INDEX(Base!$I$5:$I$2004,$K1328))</f>
        <v/>
      </c>
      <c r="H1328" s="70" t="str">
        <f aca="false">IF($K1328="","",INDEX(Base!$J$5:$J$2004,$K1328))</f>
        <v/>
      </c>
      <c r="I1328" s="71" t="str">
        <f aca="false">IF($K1328="","",INDEX(Base!$L$5:$L$2004,$K1328))</f>
        <v/>
      </c>
      <c r="J1328" s="72" t="str">
        <f aca="false">IFERROR(SMALL(Base!$P$5:$P$2004,ROW()-5),"")</f>
        <v/>
      </c>
      <c r="K1328" s="72" t="str">
        <f aca="false">IF(J1328="","",MATCH(J1328,Base!$P$5:$P$2004,0))</f>
        <v/>
      </c>
    </row>
    <row r="1329" customFormat="false" ht="15" hidden="false" customHeight="false" outlineLevel="0" collapsed="false">
      <c r="A1329" s="67" t="str">
        <f aca="false">IF($K1329="","",ROW()-5)</f>
        <v/>
      </c>
      <c r="B1329" s="68" t="str">
        <f aca="false">IF($K1329="","",INDEX(Base!$E$5:$E$2004,$K1329))</f>
        <v/>
      </c>
      <c r="C1329" s="69" t="str">
        <f aca="false">IF($K1329="","",B1329)</f>
        <v/>
      </c>
      <c r="D1329" s="70" t="str">
        <f aca="false">IF($K1329="","",INDEX(Base!$F$5:$F$2004,$K1329))</f>
        <v/>
      </c>
      <c r="E1329" s="70" t="str">
        <f aca="false">IF($K1329="","",INDEX(Base!$G$5:$G$2004,$K1329))</f>
        <v/>
      </c>
      <c r="F1329" s="71" t="str">
        <f aca="false">IF($K1329="","",INDEX(Base!$H$5:$H$2004,$K1329))</f>
        <v/>
      </c>
      <c r="G1329" s="71" t="str">
        <f aca="false">IF($K1329="","",INDEX(Base!$I$5:$I$2004,$K1329))</f>
        <v/>
      </c>
      <c r="H1329" s="70" t="str">
        <f aca="false">IF($K1329="","",INDEX(Base!$J$5:$J$2004,$K1329))</f>
        <v/>
      </c>
      <c r="I1329" s="71" t="str">
        <f aca="false">IF($K1329="","",INDEX(Base!$L$5:$L$2004,$K1329))</f>
        <v/>
      </c>
      <c r="J1329" s="72" t="str">
        <f aca="false">IFERROR(SMALL(Base!$P$5:$P$2004,ROW()-5),"")</f>
        <v/>
      </c>
      <c r="K1329" s="72" t="str">
        <f aca="false">IF(J1329="","",MATCH(J1329,Base!$P$5:$P$2004,0))</f>
        <v/>
      </c>
    </row>
    <row r="1330" customFormat="false" ht="15" hidden="false" customHeight="false" outlineLevel="0" collapsed="false">
      <c r="A1330" s="67" t="str">
        <f aca="false">IF($K1330="","",ROW()-5)</f>
        <v/>
      </c>
      <c r="B1330" s="68" t="str">
        <f aca="false">IF($K1330="","",INDEX(Base!$E$5:$E$2004,$K1330))</f>
        <v/>
      </c>
      <c r="C1330" s="69" t="str">
        <f aca="false">IF($K1330="","",B1330)</f>
        <v/>
      </c>
      <c r="D1330" s="70" t="str">
        <f aca="false">IF($K1330="","",INDEX(Base!$F$5:$F$2004,$K1330))</f>
        <v/>
      </c>
      <c r="E1330" s="70" t="str">
        <f aca="false">IF($K1330="","",INDEX(Base!$G$5:$G$2004,$K1330))</f>
        <v/>
      </c>
      <c r="F1330" s="71" t="str">
        <f aca="false">IF($K1330="","",INDEX(Base!$H$5:$H$2004,$K1330))</f>
        <v/>
      </c>
      <c r="G1330" s="71" t="str">
        <f aca="false">IF($K1330="","",INDEX(Base!$I$5:$I$2004,$K1330))</f>
        <v/>
      </c>
      <c r="H1330" s="70" t="str">
        <f aca="false">IF($K1330="","",INDEX(Base!$J$5:$J$2004,$K1330))</f>
        <v/>
      </c>
      <c r="I1330" s="71" t="str">
        <f aca="false">IF($K1330="","",INDEX(Base!$L$5:$L$2004,$K1330))</f>
        <v/>
      </c>
      <c r="J1330" s="72" t="str">
        <f aca="false">IFERROR(SMALL(Base!$P$5:$P$2004,ROW()-5),"")</f>
        <v/>
      </c>
      <c r="K1330" s="72" t="str">
        <f aca="false">IF(J1330="","",MATCH(J1330,Base!$P$5:$P$2004,0))</f>
        <v/>
      </c>
    </row>
    <row r="1331" customFormat="false" ht="15" hidden="false" customHeight="false" outlineLevel="0" collapsed="false">
      <c r="A1331" s="67" t="str">
        <f aca="false">IF($K1331="","",ROW()-5)</f>
        <v/>
      </c>
      <c r="B1331" s="68" t="str">
        <f aca="false">IF($K1331="","",INDEX(Base!$E$5:$E$2004,$K1331))</f>
        <v/>
      </c>
      <c r="C1331" s="69" t="str">
        <f aca="false">IF($K1331="","",B1331)</f>
        <v/>
      </c>
      <c r="D1331" s="70" t="str">
        <f aca="false">IF($K1331="","",INDEX(Base!$F$5:$F$2004,$K1331))</f>
        <v/>
      </c>
      <c r="E1331" s="70" t="str">
        <f aca="false">IF($K1331="","",INDEX(Base!$G$5:$G$2004,$K1331))</f>
        <v/>
      </c>
      <c r="F1331" s="71" t="str">
        <f aca="false">IF($K1331="","",INDEX(Base!$H$5:$H$2004,$K1331))</f>
        <v/>
      </c>
      <c r="G1331" s="71" t="str">
        <f aca="false">IF($K1331="","",INDEX(Base!$I$5:$I$2004,$K1331))</f>
        <v/>
      </c>
      <c r="H1331" s="70" t="str">
        <f aca="false">IF($K1331="","",INDEX(Base!$J$5:$J$2004,$K1331))</f>
        <v/>
      </c>
      <c r="I1331" s="71" t="str">
        <f aca="false">IF($K1331="","",INDEX(Base!$L$5:$L$2004,$K1331))</f>
        <v/>
      </c>
      <c r="J1331" s="72" t="str">
        <f aca="false">IFERROR(SMALL(Base!$P$5:$P$2004,ROW()-5),"")</f>
        <v/>
      </c>
      <c r="K1331" s="72" t="str">
        <f aca="false">IF(J1331="","",MATCH(J1331,Base!$P$5:$P$2004,0))</f>
        <v/>
      </c>
    </row>
    <row r="1332" customFormat="false" ht="15" hidden="false" customHeight="false" outlineLevel="0" collapsed="false">
      <c r="A1332" s="67" t="str">
        <f aca="false">IF($K1332="","",ROW()-5)</f>
        <v/>
      </c>
      <c r="B1332" s="68" t="str">
        <f aca="false">IF($K1332="","",INDEX(Base!$E$5:$E$2004,$K1332))</f>
        <v/>
      </c>
      <c r="C1332" s="69" t="str">
        <f aca="false">IF($K1332="","",B1332)</f>
        <v/>
      </c>
      <c r="D1332" s="70" t="str">
        <f aca="false">IF($K1332="","",INDEX(Base!$F$5:$F$2004,$K1332))</f>
        <v/>
      </c>
      <c r="E1332" s="70" t="str">
        <f aca="false">IF($K1332="","",INDEX(Base!$G$5:$G$2004,$K1332))</f>
        <v/>
      </c>
      <c r="F1332" s="71" t="str">
        <f aca="false">IF($K1332="","",INDEX(Base!$H$5:$H$2004,$K1332))</f>
        <v/>
      </c>
      <c r="G1332" s="71" t="str">
        <f aca="false">IF($K1332="","",INDEX(Base!$I$5:$I$2004,$K1332))</f>
        <v/>
      </c>
      <c r="H1332" s="70" t="str">
        <f aca="false">IF($K1332="","",INDEX(Base!$J$5:$J$2004,$K1332))</f>
        <v/>
      </c>
      <c r="I1332" s="71" t="str">
        <f aca="false">IF($K1332="","",INDEX(Base!$L$5:$L$2004,$K1332))</f>
        <v/>
      </c>
      <c r="J1332" s="72" t="str">
        <f aca="false">IFERROR(SMALL(Base!$P$5:$P$2004,ROW()-5),"")</f>
        <v/>
      </c>
      <c r="K1332" s="72" t="str">
        <f aca="false">IF(J1332="","",MATCH(J1332,Base!$P$5:$P$2004,0))</f>
        <v/>
      </c>
    </row>
    <row r="1333" customFormat="false" ht="15" hidden="false" customHeight="false" outlineLevel="0" collapsed="false">
      <c r="A1333" s="67" t="str">
        <f aca="false">IF($K1333="","",ROW()-5)</f>
        <v/>
      </c>
      <c r="B1333" s="68" t="str">
        <f aca="false">IF($K1333="","",INDEX(Base!$E$5:$E$2004,$K1333))</f>
        <v/>
      </c>
      <c r="C1333" s="69" t="str">
        <f aca="false">IF($K1333="","",B1333)</f>
        <v/>
      </c>
      <c r="D1333" s="70" t="str">
        <f aca="false">IF($K1333="","",INDEX(Base!$F$5:$F$2004,$K1333))</f>
        <v/>
      </c>
      <c r="E1333" s="70" t="str">
        <f aca="false">IF($K1333="","",INDEX(Base!$G$5:$G$2004,$K1333))</f>
        <v/>
      </c>
      <c r="F1333" s="71" t="str">
        <f aca="false">IF($K1333="","",INDEX(Base!$H$5:$H$2004,$K1333))</f>
        <v/>
      </c>
      <c r="G1333" s="71" t="str">
        <f aca="false">IF($K1333="","",INDEX(Base!$I$5:$I$2004,$K1333))</f>
        <v/>
      </c>
      <c r="H1333" s="70" t="str">
        <f aca="false">IF($K1333="","",INDEX(Base!$J$5:$J$2004,$K1333))</f>
        <v/>
      </c>
      <c r="I1333" s="71" t="str">
        <f aca="false">IF($K1333="","",INDEX(Base!$L$5:$L$2004,$K1333))</f>
        <v/>
      </c>
      <c r="J1333" s="72" t="str">
        <f aca="false">IFERROR(SMALL(Base!$P$5:$P$2004,ROW()-5),"")</f>
        <v/>
      </c>
      <c r="K1333" s="72" t="str">
        <f aca="false">IF(J1333="","",MATCH(J1333,Base!$P$5:$P$2004,0))</f>
        <v/>
      </c>
    </row>
    <row r="1334" customFormat="false" ht="15" hidden="false" customHeight="false" outlineLevel="0" collapsed="false">
      <c r="A1334" s="67" t="str">
        <f aca="false">IF($K1334="","",ROW()-5)</f>
        <v/>
      </c>
      <c r="B1334" s="68" t="str">
        <f aca="false">IF($K1334="","",INDEX(Base!$E$5:$E$2004,$K1334))</f>
        <v/>
      </c>
      <c r="C1334" s="69" t="str">
        <f aca="false">IF($K1334="","",B1334)</f>
        <v/>
      </c>
      <c r="D1334" s="70" t="str">
        <f aca="false">IF($K1334="","",INDEX(Base!$F$5:$F$2004,$K1334))</f>
        <v/>
      </c>
      <c r="E1334" s="70" t="str">
        <f aca="false">IF($K1334="","",INDEX(Base!$G$5:$G$2004,$K1334))</f>
        <v/>
      </c>
      <c r="F1334" s="71" t="str">
        <f aca="false">IF($K1334="","",INDEX(Base!$H$5:$H$2004,$K1334))</f>
        <v/>
      </c>
      <c r="G1334" s="71" t="str">
        <f aca="false">IF($K1334="","",INDEX(Base!$I$5:$I$2004,$K1334))</f>
        <v/>
      </c>
      <c r="H1334" s="70" t="str">
        <f aca="false">IF($K1334="","",INDEX(Base!$J$5:$J$2004,$K1334))</f>
        <v/>
      </c>
      <c r="I1334" s="71" t="str">
        <f aca="false">IF($K1334="","",INDEX(Base!$L$5:$L$2004,$K1334))</f>
        <v/>
      </c>
      <c r="J1334" s="72" t="str">
        <f aca="false">IFERROR(SMALL(Base!$P$5:$P$2004,ROW()-5),"")</f>
        <v/>
      </c>
      <c r="K1334" s="72" t="str">
        <f aca="false">IF(J1334="","",MATCH(J1334,Base!$P$5:$P$2004,0))</f>
        <v/>
      </c>
    </row>
    <row r="1335" customFormat="false" ht="15" hidden="false" customHeight="false" outlineLevel="0" collapsed="false">
      <c r="A1335" s="67" t="str">
        <f aca="false">IF($K1335="","",ROW()-5)</f>
        <v/>
      </c>
      <c r="B1335" s="68" t="str">
        <f aca="false">IF($K1335="","",INDEX(Base!$E$5:$E$2004,$K1335))</f>
        <v/>
      </c>
      <c r="C1335" s="69" t="str">
        <f aca="false">IF($K1335="","",B1335)</f>
        <v/>
      </c>
      <c r="D1335" s="70" t="str">
        <f aca="false">IF($K1335="","",INDEX(Base!$F$5:$F$2004,$K1335))</f>
        <v/>
      </c>
      <c r="E1335" s="70" t="str">
        <f aca="false">IF($K1335="","",INDEX(Base!$G$5:$G$2004,$K1335))</f>
        <v/>
      </c>
      <c r="F1335" s="71" t="str">
        <f aca="false">IF($K1335="","",INDEX(Base!$H$5:$H$2004,$K1335))</f>
        <v/>
      </c>
      <c r="G1335" s="71" t="str">
        <f aca="false">IF($K1335="","",INDEX(Base!$I$5:$I$2004,$K1335))</f>
        <v/>
      </c>
      <c r="H1335" s="70" t="str">
        <f aca="false">IF($K1335="","",INDEX(Base!$J$5:$J$2004,$K1335))</f>
        <v/>
      </c>
      <c r="I1335" s="71" t="str">
        <f aca="false">IF($K1335="","",INDEX(Base!$L$5:$L$2004,$K1335))</f>
        <v/>
      </c>
      <c r="J1335" s="72" t="str">
        <f aca="false">IFERROR(SMALL(Base!$P$5:$P$2004,ROW()-5),"")</f>
        <v/>
      </c>
      <c r="K1335" s="72" t="str">
        <f aca="false">IF(J1335="","",MATCH(J1335,Base!$P$5:$P$2004,0))</f>
        <v/>
      </c>
    </row>
    <row r="1336" customFormat="false" ht="15" hidden="false" customHeight="false" outlineLevel="0" collapsed="false">
      <c r="A1336" s="67" t="str">
        <f aca="false">IF($K1336="","",ROW()-5)</f>
        <v/>
      </c>
      <c r="B1336" s="68" t="str">
        <f aca="false">IF($K1336="","",INDEX(Base!$E$5:$E$2004,$K1336))</f>
        <v/>
      </c>
      <c r="C1336" s="69" t="str">
        <f aca="false">IF($K1336="","",B1336)</f>
        <v/>
      </c>
      <c r="D1336" s="70" t="str">
        <f aca="false">IF($K1336="","",INDEX(Base!$F$5:$F$2004,$K1336))</f>
        <v/>
      </c>
      <c r="E1336" s="70" t="str">
        <f aca="false">IF($K1336="","",INDEX(Base!$G$5:$G$2004,$K1336))</f>
        <v/>
      </c>
      <c r="F1336" s="71" t="str">
        <f aca="false">IF($K1336="","",INDEX(Base!$H$5:$H$2004,$K1336))</f>
        <v/>
      </c>
      <c r="G1336" s="71" t="str">
        <f aca="false">IF($K1336="","",INDEX(Base!$I$5:$I$2004,$K1336))</f>
        <v/>
      </c>
      <c r="H1336" s="70" t="str">
        <f aca="false">IF($K1336="","",INDEX(Base!$J$5:$J$2004,$K1336))</f>
        <v/>
      </c>
      <c r="I1336" s="71" t="str">
        <f aca="false">IF($K1336="","",INDEX(Base!$L$5:$L$2004,$K1336))</f>
        <v/>
      </c>
      <c r="J1336" s="72" t="str">
        <f aca="false">IFERROR(SMALL(Base!$P$5:$P$2004,ROW()-5),"")</f>
        <v/>
      </c>
      <c r="K1336" s="72" t="str">
        <f aca="false">IF(J1336="","",MATCH(J1336,Base!$P$5:$P$2004,0))</f>
        <v/>
      </c>
    </row>
    <row r="1337" customFormat="false" ht="15" hidden="false" customHeight="false" outlineLevel="0" collapsed="false">
      <c r="A1337" s="67" t="str">
        <f aca="false">IF($K1337="","",ROW()-5)</f>
        <v/>
      </c>
      <c r="B1337" s="68" t="str">
        <f aca="false">IF($K1337="","",INDEX(Base!$E$5:$E$2004,$K1337))</f>
        <v/>
      </c>
      <c r="C1337" s="69" t="str">
        <f aca="false">IF($K1337="","",B1337)</f>
        <v/>
      </c>
      <c r="D1337" s="70" t="str">
        <f aca="false">IF($K1337="","",INDEX(Base!$F$5:$F$2004,$K1337))</f>
        <v/>
      </c>
      <c r="E1337" s="70" t="str">
        <f aca="false">IF($K1337="","",INDEX(Base!$G$5:$G$2004,$K1337))</f>
        <v/>
      </c>
      <c r="F1337" s="71" t="str">
        <f aca="false">IF($K1337="","",INDEX(Base!$H$5:$H$2004,$K1337))</f>
        <v/>
      </c>
      <c r="G1337" s="71" t="str">
        <f aca="false">IF($K1337="","",INDEX(Base!$I$5:$I$2004,$K1337))</f>
        <v/>
      </c>
      <c r="H1337" s="70" t="str">
        <f aca="false">IF($K1337="","",INDEX(Base!$J$5:$J$2004,$K1337))</f>
        <v/>
      </c>
      <c r="I1337" s="71" t="str">
        <f aca="false">IF($K1337="","",INDEX(Base!$L$5:$L$2004,$K1337))</f>
        <v/>
      </c>
      <c r="J1337" s="72" t="str">
        <f aca="false">IFERROR(SMALL(Base!$P$5:$P$2004,ROW()-5),"")</f>
        <v/>
      </c>
      <c r="K1337" s="72" t="str">
        <f aca="false">IF(J1337="","",MATCH(J1337,Base!$P$5:$P$2004,0))</f>
        <v/>
      </c>
    </row>
    <row r="1338" customFormat="false" ht="15" hidden="false" customHeight="false" outlineLevel="0" collapsed="false">
      <c r="A1338" s="67" t="str">
        <f aca="false">IF($K1338="","",ROW()-5)</f>
        <v/>
      </c>
      <c r="B1338" s="68" t="str">
        <f aca="false">IF($K1338="","",INDEX(Base!$E$5:$E$2004,$K1338))</f>
        <v/>
      </c>
      <c r="C1338" s="69" t="str">
        <f aca="false">IF($K1338="","",B1338)</f>
        <v/>
      </c>
      <c r="D1338" s="70" t="str">
        <f aca="false">IF($K1338="","",INDEX(Base!$F$5:$F$2004,$K1338))</f>
        <v/>
      </c>
      <c r="E1338" s="70" t="str">
        <f aca="false">IF($K1338="","",INDEX(Base!$G$5:$G$2004,$K1338))</f>
        <v/>
      </c>
      <c r="F1338" s="71" t="str">
        <f aca="false">IF($K1338="","",INDEX(Base!$H$5:$H$2004,$K1338))</f>
        <v/>
      </c>
      <c r="G1338" s="71" t="str">
        <f aca="false">IF($K1338="","",INDEX(Base!$I$5:$I$2004,$K1338))</f>
        <v/>
      </c>
      <c r="H1338" s="70" t="str">
        <f aca="false">IF($K1338="","",INDEX(Base!$J$5:$J$2004,$K1338))</f>
        <v/>
      </c>
      <c r="I1338" s="71" t="str">
        <f aca="false">IF($K1338="","",INDEX(Base!$L$5:$L$2004,$K1338))</f>
        <v/>
      </c>
      <c r="J1338" s="72" t="str">
        <f aca="false">IFERROR(SMALL(Base!$P$5:$P$2004,ROW()-5),"")</f>
        <v/>
      </c>
      <c r="K1338" s="72" t="str">
        <f aca="false">IF(J1338="","",MATCH(J1338,Base!$P$5:$P$2004,0))</f>
        <v/>
      </c>
    </row>
    <row r="1339" customFormat="false" ht="15" hidden="false" customHeight="false" outlineLevel="0" collapsed="false">
      <c r="A1339" s="67" t="str">
        <f aca="false">IF($K1339="","",ROW()-5)</f>
        <v/>
      </c>
      <c r="B1339" s="68" t="str">
        <f aca="false">IF($K1339="","",INDEX(Base!$E$5:$E$2004,$K1339))</f>
        <v/>
      </c>
      <c r="C1339" s="69" t="str">
        <f aca="false">IF($K1339="","",B1339)</f>
        <v/>
      </c>
      <c r="D1339" s="70" t="str">
        <f aca="false">IF($K1339="","",INDEX(Base!$F$5:$F$2004,$K1339))</f>
        <v/>
      </c>
      <c r="E1339" s="70" t="str">
        <f aca="false">IF($K1339="","",INDEX(Base!$G$5:$G$2004,$K1339))</f>
        <v/>
      </c>
      <c r="F1339" s="71" t="str">
        <f aca="false">IF($K1339="","",INDEX(Base!$H$5:$H$2004,$K1339))</f>
        <v/>
      </c>
      <c r="G1339" s="71" t="str">
        <f aca="false">IF($K1339="","",INDEX(Base!$I$5:$I$2004,$K1339))</f>
        <v/>
      </c>
      <c r="H1339" s="70" t="str">
        <f aca="false">IF($K1339="","",INDEX(Base!$J$5:$J$2004,$K1339))</f>
        <v/>
      </c>
      <c r="I1339" s="71" t="str">
        <f aca="false">IF($K1339="","",INDEX(Base!$L$5:$L$2004,$K1339))</f>
        <v/>
      </c>
      <c r="J1339" s="72" t="str">
        <f aca="false">IFERROR(SMALL(Base!$P$5:$P$2004,ROW()-5),"")</f>
        <v/>
      </c>
      <c r="K1339" s="72" t="str">
        <f aca="false">IF(J1339="","",MATCH(J1339,Base!$P$5:$P$2004,0))</f>
        <v/>
      </c>
    </row>
    <row r="1340" customFormat="false" ht="15" hidden="false" customHeight="false" outlineLevel="0" collapsed="false">
      <c r="A1340" s="67" t="str">
        <f aca="false">IF($K1340="","",ROW()-5)</f>
        <v/>
      </c>
      <c r="B1340" s="68" t="str">
        <f aca="false">IF($K1340="","",INDEX(Base!$E$5:$E$2004,$K1340))</f>
        <v/>
      </c>
      <c r="C1340" s="69" t="str">
        <f aca="false">IF($K1340="","",B1340)</f>
        <v/>
      </c>
      <c r="D1340" s="70" t="str">
        <f aca="false">IF($K1340="","",INDEX(Base!$F$5:$F$2004,$K1340))</f>
        <v/>
      </c>
      <c r="E1340" s="70" t="str">
        <f aca="false">IF($K1340="","",INDEX(Base!$G$5:$G$2004,$K1340))</f>
        <v/>
      </c>
      <c r="F1340" s="71" t="str">
        <f aca="false">IF($K1340="","",INDEX(Base!$H$5:$H$2004,$K1340))</f>
        <v/>
      </c>
      <c r="G1340" s="71" t="str">
        <f aca="false">IF($K1340="","",INDEX(Base!$I$5:$I$2004,$K1340))</f>
        <v/>
      </c>
      <c r="H1340" s="70" t="str">
        <f aca="false">IF($K1340="","",INDEX(Base!$J$5:$J$2004,$K1340))</f>
        <v/>
      </c>
      <c r="I1340" s="71" t="str">
        <f aca="false">IF($K1340="","",INDEX(Base!$L$5:$L$2004,$K1340))</f>
        <v/>
      </c>
      <c r="J1340" s="72" t="str">
        <f aca="false">IFERROR(SMALL(Base!$P$5:$P$2004,ROW()-5),"")</f>
        <v/>
      </c>
      <c r="K1340" s="72" t="str">
        <f aca="false">IF(J1340="","",MATCH(J1340,Base!$P$5:$P$2004,0))</f>
        <v/>
      </c>
    </row>
    <row r="1341" customFormat="false" ht="15" hidden="false" customHeight="false" outlineLevel="0" collapsed="false">
      <c r="A1341" s="67" t="str">
        <f aca="false">IF($K1341="","",ROW()-5)</f>
        <v/>
      </c>
      <c r="B1341" s="68" t="str">
        <f aca="false">IF($K1341="","",INDEX(Base!$E$5:$E$2004,$K1341))</f>
        <v/>
      </c>
      <c r="C1341" s="69" t="str">
        <f aca="false">IF($K1341="","",B1341)</f>
        <v/>
      </c>
      <c r="D1341" s="70" t="str">
        <f aca="false">IF($K1341="","",INDEX(Base!$F$5:$F$2004,$K1341))</f>
        <v/>
      </c>
      <c r="E1341" s="70" t="str">
        <f aca="false">IF($K1341="","",INDEX(Base!$G$5:$G$2004,$K1341))</f>
        <v/>
      </c>
      <c r="F1341" s="71" t="str">
        <f aca="false">IF($K1341="","",INDEX(Base!$H$5:$H$2004,$K1341))</f>
        <v/>
      </c>
      <c r="G1341" s="71" t="str">
        <f aca="false">IF($K1341="","",INDEX(Base!$I$5:$I$2004,$K1341))</f>
        <v/>
      </c>
      <c r="H1341" s="70" t="str">
        <f aca="false">IF($K1341="","",INDEX(Base!$J$5:$J$2004,$K1341))</f>
        <v/>
      </c>
      <c r="I1341" s="71" t="str">
        <f aca="false">IF($K1341="","",INDEX(Base!$L$5:$L$2004,$K1341))</f>
        <v/>
      </c>
      <c r="J1341" s="72" t="str">
        <f aca="false">IFERROR(SMALL(Base!$P$5:$P$2004,ROW()-5),"")</f>
        <v/>
      </c>
      <c r="K1341" s="72" t="str">
        <f aca="false">IF(J1341="","",MATCH(J1341,Base!$P$5:$P$2004,0))</f>
        <v/>
      </c>
    </row>
    <row r="1342" customFormat="false" ht="15" hidden="false" customHeight="false" outlineLevel="0" collapsed="false">
      <c r="A1342" s="67" t="str">
        <f aca="false">IF($K1342="","",ROW()-5)</f>
        <v/>
      </c>
      <c r="B1342" s="68" t="str">
        <f aca="false">IF($K1342="","",INDEX(Base!$E$5:$E$2004,$K1342))</f>
        <v/>
      </c>
      <c r="C1342" s="69" t="str">
        <f aca="false">IF($K1342="","",B1342)</f>
        <v/>
      </c>
      <c r="D1342" s="70" t="str">
        <f aca="false">IF($K1342="","",INDEX(Base!$F$5:$F$2004,$K1342))</f>
        <v/>
      </c>
      <c r="E1342" s="70" t="str">
        <f aca="false">IF($K1342="","",INDEX(Base!$G$5:$G$2004,$K1342))</f>
        <v/>
      </c>
      <c r="F1342" s="71" t="str">
        <f aca="false">IF($K1342="","",INDEX(Base!$H$5:$H$2004,$K1342))</f>
        <v/>
      </c>
      <c r="G1342" s="71" t="str">
        <f aca="false">IF($K1342="","",INDEX(Base!$I$5:$I$2004,$K1342))</f>
        <v/>
      </c>
      <c r="H1342" s="70" t="str">
        <f aca="false">IF($K1342="","",INDEX(Base!$J$5:$J$2004,$K1342))</f>
        <v/>
      </c>
      <c r="I1342" s="71" t="str">
        <f aca="false">IF($K1342="","",INDEX(Base!$L$5:$L$2004,$K1342))</f>
        <v/>
      </c>
      <c r="J1342" s="72" t="str">
        <f aca="false">IFERROR(SMALL(Base!$P$5:$P$2004,ROW()-5),"")</f>
        <v/>
      </c>
      <c r="K1342" s="72" t="str">
        <f aca="false">IF(J1342="","",MATCH(J1342,Base!$P$5:$P$2004,0))</f>
        <v/>
      </c>
    </row>
    <row r="1343" customFormat="false" ht="15" hidden="false" customHeight="false" outlineLevel="0" collapsed="false">
      <c r="A1343" s="67" t="str">
        <f aca="false">IF($K1343="","",ROW()-5)</f>
        <v/>
      </c>
      <c r="B1343" s="68" t="str">
        <f aca="false">IF($K1343="","",INDEX(Base!$E$5:$E$2004,$K1343))</f>
        <v/>
      </c>
      <c r="C1343" s="69" t="str">
        <f aca="false">IF($K1343="","",B1343)</f>
        <v/>
      </c>
      <c r="D1343" s="70" t="str">
        <f aca="false">IF($K1343="","",INDEX(Base!$F$5:$F$2004,$K1343))</f>
        <v/>
      </c>
      <c r="E1343" s="70" t="str">
        <f aca="false">IF($K1343="","",INDEX(Base!$G$5:$G$2004,$K1343))</f>
        <v/>
      </c>
      <c r="F1343" s="71" t="str">
        <f aca="false">IF($K1343="","",INDEX(Base!$H$5:$H$2004,$K1343))</f>
        <v/>
      </c>
      <c r="G1343" s="71" t="str">
        <f aca="false">IF($K1343="","",INDEX(Base!$I$5:$I$2004,$K1343))</f>
        <v/>
      </c>
      <c r="H1343" s="70" t="str">
        <f aca="false">IF($K1343="","",INDEX(Base!$J$5:$J$2004,$K1343))</f>
        <v/>
      </c>
      <c r="I1343" s="71" t="str">
        <f aca="false">IF($K1343="","",INDEX(Base!$L$5:$L$2004,$K1343))</f>
        <v/>
      </c>
      <c r="J1343" s="72" t="str">
        <f aca="false">IFERROR(SMALL(Base!$P$5:$P$2004,ROW()-5),"")</f>
        <v/>
      </c>
      <c r="K1343" s="72" t="str">
        <f aca="false">IF(J1343="","",MATCH(J1343,Base!$P$5:$P$2004,0))</f>
        <v/>
      </c>
    </row>
    <row r="1344" customFormat="false" ht="15" hidden="false" customHeight="false" outlineLevel="0" collapsed="false">
      <c r="A1344" s="67" t="str">
        <f aca="false">IF($K1344="","",ROW()-5)</f>
        <v/>
      </c>
      <c r="B1344" s="68" t="str">
        <f aca="false">IF($K1344="","",INDEX(Base!$E$5:$E$2004,$K1344))</f>
        <v/>
      </c>
      <c r="C1344" s="69" t="str">
        <f aca="false">IF($K1344="","",B1344)</f>
        <v/>
      </c>
      <c r="D1344" s="70" t="str">
        <f aca="false">IF($K1344="","",INDEX(Base!$F$5:$F$2004,$K1344))</f>
        <v/>
      </c>
      <c r="E1344" s="70" t="str">
        <f aca="false">IF($K1344="","",INDEX(Base!$G$5:$G$2004,$K1344))</f>
        <v/>
      </c>
      <c r="F1344" s="71" t="str">
        <f aca="false">IF($K1344="","",INDEX(Base!$H$5:$H$2004,$K1344))</f>
        <v/>
      </c>
      <c r="G1344" s="71" t="str">
        <f aca="false">IF($K1344="","",INDEX(Base!$I$5:$I$2004,$K1344))</f>
        <v/>
      </c>
      <c r="H1344" s="70" t="str">
        <f aca="false">IF($K1344="","",INDEX(Base!$J$5:$J$2004,$K1344))</f>
        <v/>
      </c>
      <c r="I1344" s="71" t="str">
        <f aca="false">IF($K1344="","",INDEX(Base!$L$5:$L$2004,$K1344))</f>
        <v/>
      </c>
      <c r="J1344" s="72" t="str">
        <f aca="false">IFERROR(SMALL(Base!$P$5:$P$2004,ROW()-5),"")</f>
        <v/>
      </c>
      <c r="K1344" s="72" t="str">
        <f aca="false">IF(J1344="","",MATCH(J1344,Base!$P$5:$P$2004,0))</f>
        <v/>
      </c>
    </row>
    <row r="1345" customFormat="false" ht="15" hidden="false" customHeight="false" outlineLevel="0" collapsed="false">
      <c r="A1345" s="67" t="str">
        <f aca="false">IF($K1345="","",ROW()-5)</f>
        <v/>
      </c>
      <c r="B1345" s="68" t="str">
        <f aca="false">IF($K1345="","",INDEX(Base!$E$5:$E$2004,$K1345))</f>
        <v/>
      </c>
      <c r="C1345" s="69" t="str">
        <f aca="false">IF($K1345="","",B1345)</f>
        <v/>
      </c>
      <c r="D1345" s="70" t="str">
        <f aca="false">IF($K1345="","",INDEX(Base!$F$5:$F$2004,$K1345))</f>
        <v/>
      </c>
      <c r="E1345" s="70" t="str">
        <f aca="false">IF($K1345="","",INDEX(Base!$G$5:$G$2004,$K1345))</f>
        <v/>
      </c>
      <c r="F1345" s="71" t="str">
        <f aca="false">IF($K1345="","",INDEX(Base!$H$5:$H$2004,$K1345))</f>
        <v/>
      </c>
      <c r="G1345" s="71" t="str">
        <f aca="false">IF($K1345="","",INDEX(Base!$I$5:$I$2004,$K1345))</f>
        <v/>
      </c>
      <c r="H1345" s="70" t="str">
        <f aca="false">IF($K1345="","",INDEX(Base!$J$5:$J$2004,$K1345))</f>
        <v/>
      </c>
      <c r="I1345" s="71" t="str">
        <f aca="false">IF($K1345="","",INDEX(Base!$L$5:$L$2004,$K1345))</f>
        <v/>
      </c>
      <c r="J1345" s="72" t="str">
        <f aca="false">IFERROR(SMALL(Base!$P$5:$P$2004,ROW()-5),"")</f>
        <v/>
      </c>
      <c r="K1345" s="72" t="str">
        <f aca="false">IF(J1345="","",MATCH(J1345,Base!$P$5:$P$2004,0))</f>
        <v/>
      </c>
    </row>
    <row r="1346" customFormat="false" ht="15" hidden="false" customHeight="false" outlineLevel="0" collapsed="false">
      <c r="A1346" s="67" t="str">
        <f aca="false">IF($K1346="","",ROW()-5)</f>
        <v/>
      </c>
      <c r="B1346" s="68" t="str">
        <f aca="false">IF($K1346="","",INDEX(Base!$E$5:$E$2004,$K1346))</f>
        <v/>
      </c>
      <c r="C1346" s="69" t="str">
        <f aca="false">IF($K1346="","",B1346)</f>
        <v/>
      </c>
      <c r="D1346" s="70" t="str">
        <f aca="false">IF($K1346="","",INDEX(Base!$F$5:$F$2004,$K1346))</f>
        <v/>
      </c>
      <c r="E1346" s="70" t="str">
        <f aca="false">IF($K1346="","",INDEX(Base!$G$5:$G$2004,$K1346))</f>
        <v/>
      </c>
      <c r="F1346" s="71" t="str">
        <f aca="false">IF($K1346="","",INDEX(Base!$H$5:$H$2004,$K1346))</f>
        <v/>
      </c>
      <c r="G1346" s="71" t="str">
        <f aca="false">IF($K1346="","",INDEX(Base!$I$5:$I$2004,$K1346))</f>
        <v/>
      </c>
      <c r="H1346" s="70" t="str">
        <f aca="false">IF($K1346="","",INDEX(Base!$J$5:$J$2004,$K1346))</f>
        <v/>
      </c>
      <c r="I1346" s="71" t="str">
        <f aca="false">IF($K1346="","",INDEX(Base!$L$5:$L$2004,$K1346))</f>
        <v/>
      </c>
      <c r="J1346" s="72" t="str">
        <f aca="false">IFERROR(SMALL(Base!$P$5:$P$2004,ROW()-5),"")</f>
        <v/>
      </c>
      <c r="K1346" s="72" t="str">
        <f aca="false">IF(J1346="","",MATCH(J1346,Base!$P$5:$P$2004,0))</f>
        <v/>
      </c>
    </row>
    <row r="1347" customFormat="false" ht="15" hidden="false" customHeight="false" outlineLevel="0" collapsed="false">
      <c r="A1347" s="67" t="str">
        <f aca="false">IF($K1347="","",ROW()-5)</f>
        <v/>
      </c>
      <c r="B1347" s="68" t="str">
        <f aca="false">IF($K1347="","",INDEX(Base!$E$5:$E$2004,$K1347))</f>
        <v/>
      </c>
      <c r="C1347" s="69" t="str">
        <f aca="false">IF($K1347="","",B1347)</f>
        <v/>
      </c>
      <c r="D1347" s="70" t="str">
        <f aca="false">IF($K1347="","",INDEX(Base!$F$5:$F$2004,$K1347))</f>
        <v/>
      </c>
      <c r="E1347" s="70" t="str">
        <f aca="false">IF($K1347="","",INDEX(Base!$G$5:$G$2004,$K1347))</f>
        <v/>
      </c>
      <c r="F1347" s="71" t="str">
        <f aca="false">IF($K1347="","",INDEX(Base!$H$5:$H$2004,$K1347))</f>
        <v/>
      </c>
      <c r="G1347" s="71" t="str">
        <f aca="false">IF($K1347="","",INDEX(Base!$I$5:$I$2004,$K1347))</f>
        <v/>
      </c>
      <c r="H1347" s="70" t="str">
        <f aca="false">IF($K1347="","",INDEX(Base!$J$5:$J$2004,$K1347))</f>
        <v/>
      </c>
      <c r="I1347" s="71" t="str">
        <f aca="false">IF($K1347="","",INDEX(Base!$L$5:$L$2004,$K1347))</f>
        <v/>
      </c>
      <c r="J1347" s="72" t="str">
        <f aca="false">IFERROR(SMALL(Base!$P$5:$P$2004,ROW()-5),"")</f>
        <v/>
      </c>
      <c r="K1347" s="72" t="str">
        <f aca="false">IF(J1347="","",MATCH(J1347,Base!$P$5:$P$2004,0))</f>
        <v/>
      </c>
    </row>
    <row r="1348" customFormat="false" ht="15" hidden="false" customHeight="false" outlineLevel="0" collapsed="false">
      <c r="A1348" s="67" t="str">
        <f aca="false">IF($K1348="","",ROW()-5)</f>
        <v/>
      </c>
      <c r="B1348" s="68" t="str">
        <f aca="false">IF($K1348="","",INDEX(Base!$E$5:$E$2004,$K1348))</f>
        <v/>
      </c>
      <c r="C1348" s="69" t="str">
        <f aca="false">IF($K1348="","",B1348)</f>
        <v/>
      </c>
      <c r="D1348" s="70" t="str">
        <f aca="false">IF($K1348="","",INDEX(Base!$F$5:$F$2004,$K1348))</f>
        <v/>
      </c>
      <c r="E1348" s="70" t="str">
        <f aca="false">IF($K1348="","",INDEX(Base!$G$5:$G$2004,$K1348))</f>
        <v/>
      </c>
      <c r="F1348" s="71" t="str">
        <f aca="false">IF($K1348="","",INDEX(Base!$H$5:$H$2004,$K1348))</f>
        <v/>
      </c>
      <c r="G1348" s="71" t="str">
        <f aca="false">IF($K1348="","",INDEX(Base!$I$5:$I$2004,$K1348))</f>
        <v/>
      </c>
      <c r="H1348" s="70" t="str">
        <f aca="false">IF($K1348="","",INDEX(Base!$J$5:$J$2004,$K1348))</f>
        <v/>
      </c>
      <c r="I1348" s="71" t="str">
        <f aca="false">IF($K1348="","",INDEX(Base!$L$5:$L$2004,$K1348))</f>
        <v/>
      </c>
      <c r="J1348" s="72" t="str">
        <f aca="false">IFERROR(SMALL(Base!$P$5:$P$2004,ROW()-5),"")</f>
        <v/>
      </c>
      <c r="K1348" s="72" t="str">
        <f aca="false">IF(J1348="","",MATCH(J1348,Base!$P$5:$P$2004,0))</f>
        <v/>
      </c>
    </row>
    <row r="1349" customFormat="false" ht="15" hidden="false" customHeight="false" outlineLevel="0" collapsed="false">
      <c r="A1349" s="67" t="str">
        <f aca="false">IF($K1349="","",ROW()-5)</f>
        <v/>
      </c>
      <c r="B1349" s="68" t="str">
        <f aca="false">IF($K1349="","",INDEX(Base!$E$5:$E$2004,$K1349))</f>
        <v/>
      </c>
      <c r="C1349" s="69" t="str">
        <f aca="false">IF($K1349="","",B1349)</f>
        <v/>
      </c>
      <c r="D1349" s="70" t="str">
        <f aca="false">IF($K1349="","",INDEX(Base!$F$5:$F$2004,$K1349))</f>
        <v/>
      </c>
      <c r="E1349" s="70" t="str">
        <f aca="false">IF($K1349="","",INDEX(Base!$G$5:$G$2004,$K1349))</f>
        <v/>
      </c>
      <c r="F1349" s="71" t="str">
        <f aca="false">IF($K1349="","",INDEX(Base!$H$5:$H$2004,$K1349))</f>
        <v/>
      </c>
      <c r="G1349" s="71" t="str">
        <f aca="false">IF($K1349="","",INDEX(Base!$I$5:$I$2004,$K1349))</f>
        <v/>
      </c>
      <c r="H1349" s="70" t="str">
        <f aca="false">IF($K1349="","",INDEX(Base!$J$5:$J$2004,$K1349))</f>
        <v/>
      </c>
      <c r="I1349" s="71" t="str">
        <f aca="false">IF($K1349="","",INDEX(Base!$L$5:$L$2004,$K1349))</f>
        <v/>
      </c>
      <c r="J1349" s="72" t="str">
        <f aca="false">IFERROR(SMALL(Base!$P$5:$P$2004,ROW()-5),"")</f>
        <v/>
      </c>
      <c r="K1349" s="72" t="str">
        <f aca="false">IF(J1349="","",MATCH(J1349,Base!$P$5:$P$2004,0))</f>
        <v/>
      </c>
    </row>
    <row r="1350" customFormat="false" ht="15" hidden="false" customHeight="false" outlineLevel="0" collapsed="false">
      <c r="A1350" s="67" t="str">
        <f aca="false">IF($K1350="","",ROW()-5)</f>
        <v/>
      </c>
      <c r="B1350" s="68" t="str">
        <f aca="false">IF($K1350="","",INDEX(Base!$E$5:$E$2004,$K1350))</f>
        <v/>
      </c>
      <c r="C1350" s="69" t="str">
        <f aca="false">IF($K1350="","",B1350)</f>
        <v/>
      </c>
      <c r="D1350" s="70" t="str">
        <f aca="false">IF($K1350="","",INDEX(Base!$F$5:$F$2004,$K1350))</f>
        <v/>
      </c>
      <c r="E1350" s="70" t="str">
        <f aca="false">IF($K1350="","",INDEX(Base!$G$5:$G$2004,$K1350))</f>
        <v/>
      </c>
      <c r="F1350" s="71" t="str">
        <f aca="false">IF($K1350="","",INDEX(Base!$H$5:$H$2004,$K1350))</f>
        <v/>
      </c>
      <c r="G1350" s="71" t="str">
        <f aca="false">IF($K1350="","",INDEX(Base!$I$5:$I$2004,$K1350))</f>
        <v/>
      </c>
      <c r="H1350" s="70" t="str">
        <f aca="false">IF($K1350="","",INDEX(Base!$J$5:$J$2004,$K1350))</f>
        <v/>
      </c>
      <c r="I1350" s="71" t="str">
        <f aca="false">IF($K1350="","",INDEX(Base!$L$5:$L$2004,$K1350))</f>
        <v/>
      </c>
      <c r="J1350" s="72" t="str">
        <f aca="false">IFERROR(SMALL(Base!$P$5:$P$2004,ROW()-5),"")</f>
        <v/>
      </c>
      <c r="K1350" s="72" t="str">
        <f aca="false">IF(J1350="","",MATCH(J1350,Base!$P$5:$P$2004,0))</f>
        <v/>
      </c>
    </row>
    <row r="1351" customFormat="false" ht="15" hidden="false" customHeight="false" outlineLevel="0" collapsed="false">
      <c r="A1351" s="67" t="str">
        <f aca="false">IF($K1351="","",ROW()-5)</f>
        <v/>
      </c>
      <c r="B1351" s="68" t="str">
        <f aca="false">IF($K1351="","",INDEX(Base!$E$5:$E$2004,$K1351))</f>
        <v/>
      </c>
      <c r="C1351" s="69" t="str">
        <f aca="false">IF($K1351="","",B1351)</f>
        <v/>
      </c>
      <c r="D1351" s="70" t="str">
        <f aca="false">IF($K1351="","",INDEX(Base!$F$5:$F$2004,$K1351))</f>
        <v/>
      </c>
      <c r="E1351" s="70" t="str">
        <f aca="false">IF($K1351="","",INDEX(Base!$G$5:$G$2004,$K1351))</f>
        <v/>
      </c>
      <c r="F1351" s="71" t="str">
        <f aca="false">IF($K1351="","",INDEX(Base!$H$5:$H$2004,$K1351))</f>
        <v/>
      </c>
      <c r="G1351" s="71" t="str">
        <f aca="false">IF($K1351="","",INDEX(Base!$I$5:$I$2004,$K1351))</f>
        <v/>
      </c>
      <c r="H1351" s="70" t="str">
        <f aca="false">IF($K1351="","",INDEX(Base!$J$5:$J$2004,$K1351))</f>
        <v/>
      </c>
      <c r="I1351" s="71" t="str">
        <f aca="false">IF($K1351="","",INDEX(Base!$L$5:$L$2004,$K1351))</f>
        <v/>
      </c>
      <c r="J1351" s="72" t="str">
        <f aca="false">IFERROR(SMALL(Base!$P$5:$P$2004,ROW()-5),"")</f>
        <v/>
      </c>
      <c r="K1351" s="72" t="str">
        <f aca="false">IF(J1351="","",MATCH(J1351,Base!$P$5:$P$2004,0))</f>
        <v/>
      </c>
    </row>
    <row r="1352" customFormat="false" ht="15" hidden="false" customHeight="false" outlineLevel="0" collapsed="false">
      <c r="A1352" s="67" t="str">
        <f aca="false">IF($K1352="","",ROW()-5)</f>
        <v/>
      </c>
      <c r="B1352" s="68" t="str">
        <f aca="false">IF($K1352="","",INDEX(Base!$E$5:$E$2004,$K1352))</f>
        <v/>
      </c>
      <c r="C1352" s="69" t="str">
        <f aca="false">IF($K1352="","",B1352)</f>
        <v/>
      </c>
      <c r="D1352" s="70" t="str">
        <f aca="false">IF($K1352="","",INDEX(Base!$F$5:$F$2004,$K1352))</f>
        <v/>
      </c>
      <c r="E1352" s="70" t="str">
        <f aca="false">IF($K1352="","",INDEX(Base!$G$5:$G$2004,$K1352))</f>
        <v/>
      </c>
      <c r="F1352" s="71" t="str">
        <f aca="false">IF($K1352="","",INDEX(Base!$H$5:$H$2004,$K1352))</f>
        <v/>
      </c>
      <c r="G1352" s="71" t="str">
        <f aca="false">IF($K1352="","",INDEX(Base!$I$5:$I$2004,$K1352))</f>
        <v/>
      </c>
      <c r="H1352" s="70" t="str">
        <f aca="false">IF($K1352="","",INDEX(Base!$J$5:$J$2004,$K1352))</f>
        <v/>
      </c>
      <c r="I1352" s="71" t="str">
        <f aca="false">IF($K1352="","",INDEX(Base!$L$5:$L$2004,$K1352))</f>
        <v/>
      </c>
      <c r="J1352" s="72" t="str">
        <f aca="false">IFERROR(SMALL(Base!$P$5:$P$2004,ROW()-5),"")</f>
        <v/>
      </c>
      <c r="K1352" s="72" t="str">
        <f aca="false">IF(J1352="","",MATCH(J1352,Base!$P$5:$P$2004,0))</f>
        <v/>
      </c>
    </row>
    <row r="1353" customFormat="false" ht="15" hidden="false" customHeight="false" outlineLevel="0" collapsed="false">
      <c r="A1353" s="67" t="str">
        <f aca="false">IF($K1353="","",ROW()-5)</f>
        <v/>
      </c>
      <c r="B1353" s="68" t="str">
        <f aca="false">IF($K1353="","",INDEX(Base!$E$5:$E$2004,$K1353))</f>
        <v/>
      </c>
      <c r="C1353" s="69" t="str">
        <f aca="false">IF($K1353="","",B1353)</f>
        <v/>
      </c>
      <c r="D1353" s="70" t="str">
        <f aca="false">IF($K1353="","",INDEX(Base!$F$5:$F$2004,$K1353))</f>
        <v/>
      </c>
      <c r="E1353" s="70" t="str">
        <f aca="false">IF($K1353="","",INDEX(Base!$G$5:$G$2004,$K1353))</f>
        <v/>
      </c>
      <c r="F1353" s="71" t="str">
        <f aca="false">IF($K1353="","",INDEX(Base!$H$5:$H$2004,$K1353))</f>
        <v/>
      </c>
      <c r="G1353" s="71" t="str">
        <f aca="false">IF($K1353="","",INDEX(Base!$I$5:$I$2004,$K1353))</f>
        <v/>
      </c>
      <c r="H1353" s="70" t="str">
        <f aca="false">IF($K1353="","",INDEX(Base!$J$5:$J$2004,$K1353))</f>
        <v/>
      </c>
      <c r="I1353" s="71" t="str">
        <f aca="false">IF($K1353="","",INDEX(Base!$L$5:$L$2004,$K1353))</f>
        <v/>
      </c>
      <c r="J1353" s="72" t="str">
        <f aca="false">IFERROR(SMALL(Base!$P$5:$P$2004,ROW()-5),"")</f>
        <v/>
      </c>
      <c r="K1353" s="72" t="str">
        <f aca="false">IF(J1353="","",MATCH(J1353,Base!$P$5:$P$2004,0))</f>
        <v/>
      </c>
    </row>
    <row r="1354" customFormat="false" ht="15" hidden="false" customHeight="false" outlineLevel="0" collapsed="false">
      <c r="A1354" s="67" t="str">
        <f aca="false">IF($K1354="","",ROW()-5)</f>
        <v/>
      </c>
      <c r="B1354" s="68" t="str">
        <f aca="false">IF($K1354="","",INDEX(Base!$E$5:$E$2004,$K1354))</f>
        <v/>
      </c>
      <c r="C1354" s="69" t="str">
        <f aca="false">IF($K1354="","",B1354)</f>
        <v/>
      </c>
      <c r="D1354" s="70" t="str">
        <f aca="false">IF($K1354="","",INDEX(Base!$F$5:$F$2004,$K1354))</f>
        <v/>
      </c>
      <c r="E1354" s="70" t="str">
        <f aca="false">IF($K1354="","",INDEX(Base!$G$5:$G$2004,$K1354))</f>
        <v/>
      </c>
      <c r="F1354" s="71" t="str">
        <f aca="false">IF($K1354="","",INDEX(Base!$H$5:$H$2004,$K1354))</f>
        <v/>
      </c>
      <c r="G1354" s="71" t="str">
        <f aca="false">IF($K1354="","",INDEX(Base!$I$5:$I$2004,$K1354))</f>
        <v/>
      </c>
      <c r="H1354" s="70" t="str">
        <f aca="false">IF($K1354="","",INDEX(Base!$J$5:$J$2004,$K1354))</f>
        <v/>
      </c>
      <c r="I1354" s="71" t="str">
        <f aca="false">IF($K1354="","",INDEX(Base!$L$5:$L$2004,$K1354))</f>
        <v/>
      </c>
      <c r="J1354" s="72" t="str">
        <f aca="false">IFERROR(SMALL(Base!$P$5:$P$2004,ROW()-5),"")</f>
        <v/>
      </c>
      <c r="K1354" s="72" t="str">
        <f aca="false">IF(J1354="","",MATCH(J1354,Base!$P$5:$P$2004,0))</f>
        <v/>
      </c>
    </row>
    <row r="1355" customFormat="false" ht="15" hidden="false" customHeight="false" outlineLevel="0" collapsed="false">
      <c r="A1355" s="67" t="str">
        <f aca="false">IF($K1355="","",ROW()-5)</f>
        <v/>
      </c>
      <c r="B1355" s="68" t="str">
        <f aca="false">IF($K1355="","",INDEX(Base!$E$5:$E$2004,$K1355))</f>
        <v/>
      </c>
      <c r="C1355" s="69" t="str">
        <f aca="false">IF($K1355="","",B1355)</f>
        <v/>
      </c>
      <c r="D1355" s="70" t="str">
        <f aca="false">IF($K1355="","",INDEX(Base!$F$5:$F$2004,$K1355))</f>
        <v/>
      </c>
      <c r="E1355" s="70" t="str">
        <f aca="false">IF($K1355="","",INDEX(Base!$G$5:$G$2004,$K1355))</f>
        <v/>
      </c>
      <c r="F1355" s="71" t="str">
        <f aca="false">IF($K1355="","",INDEX(Base!$H$5:$H$2004,$K1355))</f>
        <v/>
      </c>
      <c r="G1355" s="71" t="str">
        <f aca="false">IF($K1355="","",INDEX(Base!$I$5:$I$2004,$K1355))</f>
        <v/>
      </c>
      <c r="H1355" s="70" t="str">
        <f aca="false">IF($K1355="","",INDEX(Base!$J$5:$J$2004,$K1355))</f>
        <v/>
      </c>
      <c r="I1355" s="71" t="str">
        <f aca="false">IF($K1355="","",INDEX(Base!$L$5:$L$2004,$K1355))</f>
        <v/>
      </c>
      <c r="J1355" s="72" t="str">
        <f aca="false">IFERROR(SMALL(Base!$P$5:$P$2004,ROW()-5),"")</f>
        <v/>
      </c>
      <c r="K1355" s="72" t="str">
        <f aca="false">IF(J1355="","",MATCH(J1355,Base!$P$5:$P$2004,0))</f>
        <v/>
      </c>
    </row>
    <row r="1356" customFormat="false" ht="15" hidden="false" customHeight="false" outlineLevel="0" collapsed="false">
      <c r="A1356" s="67" t="str">
        <f aca="false">IF($K1356="","",ROW()-5)</f>
        <v/>
      </c>
      <c r="B1356" s="68" t="str">
        <f aca="false">IF($K1356="","",INDEX(Base!$E$5:$E$2004,$K1356))</f>
        <v/>
      </c>
      <c r="C1356" s="69" t="str">
        <f aca="false">IF($K1356="","",B1356)</f>
        <v/>
      </c>
      <c r="D1356" s="70" t="str">
        <f aca="false">IF($K1356="","",INDEX(Base!$F$5:$F$2004,$K1356))</f>
        <v/>
      </c>
      <c r="E1356" s="70" t="str">
        <f aca="false">IF($K1356="","",INDEX(Base!$G$5:$G$2004,$K1356))</f>
        <v/>
      </c>
      <c r="F1356" s="71" t="str">
        <f aca="false">IF($K1356="","",INDEX(Base!$H$5:$H$2004,$K1356))</f>
        <v/>
      </c>
      <c r="G1356" s="71" t="str">
        <f aca="false">IF($K1356="","",INDEX(Base!$I$5:$I$2004,$K1356))</f>
        <v/>
      </c>
      <c r="H1356" s="70" t="str">
        <f aca="false">IF($K1356="","",INDEX(Base!$J$5:$J$2004,$K1356))</f>
        <v/>
      </c>
      <c r="I1356" s="71" t="str">
        <f aca="false">IF($K1356="","",INDEX(Base!$L$5:$L$2004,$K1356))</f>
        <v/>
      </c>
      <c r="J1356" s="72" t="str">
        <f aca="false">IFERROR(SMALL(Base!$P$5:$P$2004,ROW()-5),"")</f>
        <v/>
      </c>
      <c r="K1356" s="72" t="str">
        <f aca="false">IF(J1356="","",MATCH(J1356,Base!$P$5:$P$2004,0))</f>
        <v/>
      </c>
    </row>
    <row r="1357" customFormat="false" ht="15" hidden="false" customHeight="false" outlineLevel="0" collapsed="false">
      <c r="A1357" s="67" t="str">
        <f aca="false">IF($K1357="","",ROW()-5)</f>
        <v/>
      </c>
      <c r="B1357" s="68" t="str">
        <f aca="false">IF($K1357="","",INDEX(Base!$E$5:$E$2004,$K1357))</f>
        <v/>
      </c>
      <c r="C1357" s="69" t="str">
        <f aca="false">IF($K1357="","",B1357)</f>
        <v/>
      </c>
      <c r="D1357" s="70" t="str">
        <f aca="false">IF($K1357="","",INDEX(Base!$F$5:$F$2004,$K1357))</f>
        <v/>
      </c>
      <c r="E1357" s="70" t="str">
        <f aca="false">IF($K1357="","",INDEX(Base!$G$5:$G$2004,$K1357))</f>
        <v/>
      </c>
      <c r="F1357" s="71" t="str">
        <f aca="false">IF($K1357="","",INDEX(Base!$H$5:$H$2004,$K1357))</f>
        <v/>
      </c>
      <c r="G1357" s="71" t="str">
        <f aca="false">IF($K1357="","",INDEX(Base!$I$5:$I$2004,$K1357))</f>
        <v/>
      </c>
      <c r="H1357" s="70" t="str">
        <f aca="false">IF($K1357="","",INDEX(Base!$J$5:$J$2004,$K1357))</f>
        <v/>
      </c>
      <c r="I1357" s="71" t="str">
        <f aca="false">IF($K1357="","",INDEX(Base!$L$5:$L$2004,$K1357))</f>
        <v/>
      </c>
      <c r="J1357" s="72" t="str">
        <f aca="false">IFERROR(SMALL(Base!$P$5:$P$2004,ROW()-5),"")</f>
        <v/>
      </c>
      <c r="K1357" s="72" t="str">
        <f aca="false">IF(J1357="","",MATCH(J1357,Base!$P$5:$P$2004,0))</f>
        <v/>
      </c>
    </row>
    <row r="1358" customFormat="false" ht="15" hidden="false" customHeight="false" outlineLevel="0" collapsed="false">
      <c r="A1358" s="67" t="str">
        <f aca="false">IF($K1358="","",ROW()-5)</f>
        <v/>
      </c>
      <c r="B1358" s="68" t="str">
        <f aca="false">IF($K1358="","",INDEX(Base!$E$5:$E$2004,$K1358))</f>
        <v/>
      </c>
      <c r="C1358" s="69" t="str">
        <f aca="false">IF($K1358="","",B1358)</f>
        <v/>
      </c>
      <c r="D1358" s="70" t="str">
        <f aca="false">IF($K1358="","",INDEX(Base!$F$5:$F$2004,$K1358))</f>
        <v/>
      </c>
      <c r="E1358" s="70" t="str">
        <f aca="false">IF($K1358="","",INDEX(Base!$G$5:$G$2004,$K1358))</f>
        <v/>
      </c>
      <c r="F1358" s="71" t="str">
        <f aca="false">IF($K1358="","",INDEX(Base!$H$5:$H$2004,$K1358))</f>
        <v/>
      </c>
      <c r="G1358" s="71" t="str">
        <f aca="false">IF($K1358="","",INDEX(Base!$I$5:$I$2004,$K1358))</f>
        <v/>
      </c>
      <c r="H1358" s="70" t="str">
        <f aca="false">IF($K1358="","",INDEX(Base!$J$5:$J$2004,$K1358))</f>
        <v/>
      </c>
      <c r="I1358" s="71" t="str">
        <f aca="false">IF($K1358="","",INDEX(Base!$L$5:$L$2004,$K1358))</f>
        <v/>
      </c>
      <c r="J1358" s="72" t="str">
        <f aca="false">IFERROR(SMALL(Base!$P$5:$P$2004,ROW()-5),"")</f>
        <v/>
      </c>
      <c r="K1358" s="72" t="str">
        <f aca="false">IF(J1358="","",MATCH(J1358,Base!$P$5:$P$2004,0))</f>
        <v/>
      </c>
    </row>
    <row r="1359" customFormat="false" ht="15" hidden="false" customHeight="false" outlineLevel="0" collapsed="false">
      <c r="A1359" s="67" t="str">
        <f aca="false">IF($K1359="","",ROW()-5)</f>
        <v/>
      </c>
      <c r="B1359" s="68" t="str">
        <f aca="false">IF($K1359="","",INDEX(Base!$E$5:$E$2004,$K1359))</f>
        <v/>
      </c>
      <c r="C1359" s="69" t="str">
        <f aca="false">IF($K1359="","",B1359)</f>
        <v/>
      </c>
      <c r="D1359" s="70" t="str">
        <f aca="false">IF($K1359="","",INDEX(Base!$F$5:$F$2004,$K1359))</f>
        <v/>
      </c>
      <c r="E1359" s="70" t="str">
        <f aca="false">IF($K1359="","",INDEX(Base!$G$5:$G$2004,$K1359))</f>
        <v/>
      </c>
      <c r="F1359" s="71" t="str">
        <f aca="false">IF($K1359="","",INDEX(Base!$H$5:$H$2004,$K1359))</f>
        <v/>
      </c>
      <c r="G1359" s="71" t="str">
        <f aca="false">IF($K1359="","",INDEX(Base!$I$5:$I$2004,$K1359))</f>
        <v/>
      </c>
      <c r="H1359" s="70" t="str">
        <f aca="false">IF($K1359="","",INDEX(Base!$J$5:$J$2004,$K1359))</f>
        <v/>
      </c>
      <c r="I1359" s="71" t="str">
        <f aca="false">IF($K1359="","",INDEX(Base!$L$5:$L$2004,$K1359))</f>
        <v/>
      </c>
      <c r="J1359" s="72" t="str">
        <f aca="false">IFERROR(SMALL(Base!$P$5:$P$2004,ROW()-5),"")</f>
        <v/>
      </c>
      <c r="K1359" s="72" t="str">
        <f aca="false">IF(J1359="","",MATCH(J1359,Base!$P$5:$P$2004,0))</f>
        <v/>
      </c>
    </row>
    <row r="1360" customFormat="false" ht="15" hidden="false" customHeight="false" outlineLevel="0" collapsed="false">
      <c r="A1360" s="67" t="str">
        <f aca="false">IF($K1360="","",ROW()-5)</f>
        <v/>
      </c>
      <c r="B1360" s="68" t="str">
        <f aca="false">IF($K1360="","",INDEX(Base!$E$5:$E$2004,$K1360))</f>
        <v/>
      </c>
      <c r="C1360" s="69" t="str">
        <f aca="false">IF($K1360="","",B1360)</f>
        <v/>
      </c>
      <c r="D1360" s="70" t="str">
        <f aca="false">IF($K1360="","",INDEX(Base!$F$5:$F$2004,$K1360))</f>
        <v/>
      </c>
      <c r="E1360" s="70" t="str">
        <f aca="false">IF($K1360="","",INDEX(Base!$G$5:$G$2004,$K1360))</f>
        <v/>
      </c>
      <c r="F1360" s="71" t="str">
        <f aca="false">IF($K1360="","",INDEX(Base!$H$5:$H$2004,$K1360))</f>
        <v/>
      </c>
      <c r="G1360" s="71" t="str">
        <f aca="false">IF($K1360="","",INDEX(Base!$I$5:$I$2004,$K1360))</f>
        <v/>
      </c>
      <c r="H1360" s="70" t="str">
        <f aca="false">IF($K1360="","",INDEX(Base!$J$5:$J$2004,$K1360))</f>
        <v/>
      </c>
      <c r="I1360" s="71" t="str">
        <f aca="false">IF($K1360="","",INDEX(Base!$L$5:$L$2004,$K1360))</f>
        <v/>
      </c>
      <c r="J1360" s="72" t="str">
        <f aca="false">IFERROR(SMALL(Base!$P$5:$P$2004,ROW()-5),"")</f>
        <v/>
      </c>
      <c r="K1360" s="72" t="str">
        <f aca="false">IF(J1360="","",MATCH(J1360,Base!$P$5:$P$2004,0))</f>
        <v/>
      </c>
    </row>
    <row r="1361" customFormat="false" ht="15" hidden="false" customHeight="false" outlineLevel="0" collapsed="false">
      <c r="A1361" s="67" t="str">
        <f aca="false">IF($K1361="","",ROW()-5)</f>
        <v/>
      </c>
      <c r="B1361" s="68" t="str">
        <f aca="false">IF($K1361="","",INDEX(Base!$E$5:$E$2004,$K1361))</f>
        <v/>
      </c>
      <c r="C1361" s="69" t="str">
        <f aca="false">IF($K1361="","",B1361)</f>
        <v/>
      </c>
      <c r="D1361" s="70" t="str">
        <f aca="false">IF($K1361="","",INDEX(Base!$F$5:$F$2004,$K1361))</f>
        <v/>
      </c>
      <c r="E1361" s="70" t="str">
        <f aca="false">IF($K1361="","",INDEX(Base!$G$5:$G$2004,$K1361))</f>
        <v/>
      </c>
      <c r="F1361" s="71" t="str">
        <f aca="false">IF($K1361="","",INDEX(Base!$H$5:$H$2004,$K1361))</f>
        <v/>
      </c>
      <c r="G1361" s="71" t="str">
        <f aca="false">IF($K1361="","",INDEX(Base!$I$5:$I$2004,$K1361))</f>
        <v/>
      </c>
      <c r="H1361" s="70" t="str">
        <f aca="false">IF($K1361="","",INDEX(Base!$J$5:$J$2004,$K1361))</f>
        <v/>
      </c>
      <c r="I1361" s="71" t="str">
        <f aca="false">IF($K1361="","",INDEX(Base!$L$5:$L$2004,$K1361))</f>
        <v/>
      </c>
      <c r="J1361" s="72" t="str">
        <f aca="false">IFERROR(SMALL(Base!$P$5:$P$2004,ROW()-5),"")</f>
        <v/>
      </c>
      <c r="K1361" s="72" t="str">
        <f aca="false">IF(J1361="","",MATCH(J1361,Base!$P$5:$P$2004,0))</f>
        <v/>
      </c>
    </row>
    <row r="1362" customFormat="false" ht="15" hidden="false" customHeight="false" outlineLevel="0" collapsed="false">
      <c r="A1362" s="67" t="str">
        <f aca="false">IF($K1362="","",ROW()-5)</f>
        <v/>
      </c>
      <c r="B1362" s="68" t="str">
        <f aca="false">IF($K1362="","",INDEX(Base!$E$5:$E$2004,$K1362))</f>
        <v/>
      </c>
      <c r="C1362" s="69" t="str">
        <f aca="false">IF($K1362="","",B1362)</f>
        <v/>
      </c>
      <c r="D1362" s="70" t="str">
        <f aca="false">IF($K1362="","",INDEX(Base!$F$5:$F$2004,$K1362))</f>
        <v/>
      </c>
      <c r="E1362" s="70" t="str">
        <f aca="false">IF($K1362="","",INDEX(Base!$G$5:$G$2004,$K1362))</f>
        <v/>
      </c>
      <c r="F1362" s="71" t="str">
        <f aca="false">IF($K1362="","",INDEX(Base!$H$5:$H$2004,$K1362))</f>
        <v/>
      </c>
      <c r="G1362" s="71" t="str">
        <f aca="false">IF($K1362="","",INDEX(Base!$I$5:$I$2004,$K1362))</f>
        <v/>
      </c>
      <c r="H1362" s="70" t="str">
        <f aca="false">IF($K1362="","",INDEX(Base!$J$5:$J$2004,$K1362))</f>
        <v/>
      </c>
      <c r="I1362" s="71" t="str">
        <f aca="false">IF($K1362="","",INDEX(Base!$L$5:$L$2004,$K1362))</f>
        <v/>
      </c>
      <c r="J1362" s="72" t="str">
        <f aca="false">IFERROR(SMALL(Base!$P$5:$P$2004,ROW()-5),"")</f>
        <v/>
      </c>
      <c r="K1362" s="72" t="str">
        <f aca="false">IF(J1362="","",MATCH(J1362,Base!$P$5:$P$2004,0))</f>
        <v/>
      </c>
    </row>
    <row r="1363" customFormat="false" ht="15" hidden="false" customHeight="false" outlineLevel="0" collapsed="false">
      <c r="A1363" s="67" t="str">
        <f aca="false">IF($K1363="","",ROW()-5)</f>
        <v/>
      </c>
      <c r="B1363" s="68" t="str">
        <f aca="false">IF($K1363="","",INDEX(Base!$E$5:$E$2004,$K1363))</f>
        <v/>
      </c>
      <c r="C1363" s="69" t="str">
        <f aca="false">IF($K1363="","",B1363)</f>
        <v/>
      </c>
      <c r="D1363" s="70" t="str">
        <f aca="false">IF($K1363="","",INDEX(Base!$F$5:$F$2004,$K1363))</f>
        <v/>
      </c>
      <c r="E1363" s="70" t="str">
        <f aca="false">IF($K1363="","",INDEX(Base!$G$5:$G$2004,$K1363))</f>
        <v/>
      </c>
      <c r="F1363" s="71" t="str">
        <f aca="false">IF($K1363="","",INDEX(Base!$H$5:$H$2004,$K1363))</f>
        <v/>
      </c>
      <c r="G1363" s="71" t="str">
        <f aca="false">IF($K1363="","",INDEX(Base!$I$5:$I$2004,$K1363))</f>
        <v/>
      </c>
      <c r="H1363" s="70" t="str">
        <f aca="false">IF($K1363="","",INDEX(Base!$J$5:$J$2004,$K1363))</f>
        <v/>
      </c>
      <c r="I1363" s="71" t="str">
        <f aca="false">IF($K1363="","",INDEX(Base!$L$5:$L$2004,$K1363))</f>
        <v/>
      </c>
      <c r="J1363" s="72" t="str">
        <f aca="false">IFERROR(SMALL(Base!$P$5:$P$2004,ROW()-5),"")</f>
        <v/>
      </c>
      <c r="K1363" s="72" t="str">
        <f aca="false">IF(J1363="","",MATCH(J1363,Base!$P$5:$P$2004,0))</f>
        <v/>
      </c>
    </row>
    <row r="1364" customFormat="false" ht="15" hidden="false" customHeight="false" outlineLevel="0" collapsed="false">
      <c r="A1364" s="67" t="str">
        <f aca="false">IF($K1364="","",ROW()-5)</f>
        <v/>
      </c>
      <c r="B1364" s="68" t="str">
        <f aca="false">IF($K1364="","",INDEX(Base!$E$5:$E$2004,$K1364))</f>
        <v/>
      </c>
      <c r="C1364" s="69" t="str">
        <f aca="false">IF($K1364="","",B1364)</f>
        <v/>
      </c>
      <c r="D1364" s="70" t="str">
        <f aca="false">IF($K1364="","",INDEX(Base!$F$5:$F$2004,$K1364))</f>
        <v/>
      </c>
      <c r="E1364" s="70" t="str">
        <f aca="false">IF($K1364="","",INDEX(Base!$G$5:$G$2004,$K1364))</f>
        <v/>
      </c>
      <c r="F1364" s="71" t="str">
        <f aca="false">IF($K1364="","",INDEX(Base!$H$5:$H$2004,$K1364))</f>
        <v/>
      </c>
      <c r="G1364" s="71" t="str">
        <f aca="false">IF($K1364="","",INDEX(Base!$I$5:$I$2004,$K1364))</f>
        <v/>
      </c>
      <c r="H1364" s="70" t="str">
        <f aca="false">IF($K1364="","",INDEX(Base!$J$5:$J$2004,$K1364))</f>
        <v/>
      </c>
      <c r="I1364" s="71" t="str">
        <f aca="false">IF($K1364="","",INDEX(Base!$L$5:$L$2004,$K1364))</f>
        <v/>
      </c>
      <c r="J1364" s="72" t="str">
        <f aca="false">IFERROR(SMALL(Base!$P$5:$P$2004,ROW()-5),"")</f>
        <v/>
      </c>
      <c r="K1364" s="72" t="str">
        <f aca="false">IF(J1364="","",MATCH(J1364,Base!$P$5:$P$2004,0))</f>
        <v/>
      </c>
    </row>
    <row r="1365" customFormat="false" ht="15" hidden="false" customHeight="false" outlineLevel="0" collapsed="false">
      <c r="A1365" s="67" t="str">
        <f aca="false">IF($K1365="","",ROW()-5)</f>
        <v/>
      </c>
      <c r="B1365" s="68" t="str">
        <f aca="false">IF($K1365="","",INDEX(Base!$E$5:$E$2004,$K1365))</f>
        <v/>
      </c>
      <c r="C1365" s="69" t="str">
        <f aca="false">IF($K1365="","",B1365)</f>
        <v/>
      </c>
      <c r="D1365" s="70" t="str">
        <f aca="false">IF($K1365="","",INDEX(Base!$F$5:$F$2004,$K1365))</f>
        <v/>
      </c>
      <c r="E1365" s="70" t="str">
        <f aca="false">IF($K1365="","",INDEX(Base!$G$5:$G$2004,$K1365))</f>
        <v/>
      </c>
      <c r="F1365" s="71" t="str">
        <f aca="false">IF($K1365="","",INDEX(Base!$H$5:$H$2004,$K1365))</f>
        <v/>
      </c>
      <c r="G1365" s="71" t="str">
        <f aca="false">IF($K1365="","",INDEX(Base!$I$5:$I$2004,$K1365))</f>
        <v/>
      </c>
      <c r="H1365" s="70" t="str">
        <f aca="false">IF($K1365="","",INDEX(Base!$J$5:$J$2004,$K1365))</f>
        <v/>
      </c>
      <c r="I1365" s="71" t="str">
        <f aca="false">IF($K1365="","",INDEX(Base!$L$5:$L$2004,$K1365))</f>
        <v/>
      </c>
      <c r="J1365" s="72" t="str">
        <f aca="false">IFERROR(SMALL(Base!$P$5:$P$2004,ROW()-5),"")</f>
        <v/>
      </c>
      <c r="K1365" s="72" t="str">
        <f aca="false">IF(J1365="","",MATCH(J1365,Base!$P$5:$P$2004,0))</f>
        <v/>
      </c>
    </row>
    <row r="1366" customFormat="false" ht="15" hidden="false" customHeight="false" outlineLevel="0" collapsed="false">
      <c r="A1366" s="67" t="str">
        <f aca="false">IF($K1366="","",ROW()-5)</f>
        <v/>
      </c>
      <c r="B1366" s="68" t="str">
        <f aca="false">IF($K1366="","",INDEX(Base!$E$5:$E$2004,$K1366))</f>
        <v/>
      </c>
      <c r="C1366" s="69" t="str">
        <f aca="false">IF($K1366="","",B1366)</f>
        <v/>
      </c>
      <c r="D1366" s="70" t="str">
        <f aca="false">IF($K1366="","",INDEX(Base!$F$5:$F$2004,$K1366))</f>
        <v/>
      </c>
      <c r="E1366" s="70" t="str">
        <f aca="false">IF($K1366="","",INDEX(Base!$G$5:$G$2004,$K1366))</f>
        <v/>
      </c>
      <c r="F1366" s="71" t="str">
        <f aca="false">IF($K1366="","",INDEX(Base!$H$5:$H$2004,$K1366))</f>
        <v/>
      </c>
      <c r="G1366" s="71" t="str">
        <f aca="false">IF($K1366="","",INDEX(Base!$I$5:$I$2004,$K1366))</f>
        <v/>
      </c>
      <c r="H1366" s="70" t="str">
        <f aca="false">IF($K1366="","",INDEX(Base!$J$5:$J$2004,$K1366))</f>
        <v/>
      </c>
      <c r="I1366" s="71" t="str">
        <f aca="false">IF($K1366="","",INDEX(Base!$L$5:$L$2004,$K1366))</f>
        <v/>
      </c>
      <c r="J1366" s="72" t="str">
        <f aca="false">IFERROR(SMALL(Base!$P$5:$P$2004,ROW()-5),"")</f>
        <v/>
      </c>
      <c r="K1366" s="72" t="str">
        <f aca="false">IF(J1366="","",MATCH(J1366,Base!$P$5:$P$2004,0))</f>
        <v/>
      </c>
    </row>
    <row r="1367" customFormat="false" ht="15" hidden="false" customHeight="false" outlineLevel="0" collapsed="false">
      <c r="A1367" s="67" t="str">
        <f aca="false">IF($K1367="","",ROW()-5)</f>
        <v/>
      </c>
      <c r="B1367" s="68" t="str">
        <f aca="false">IF($K1367="","",INDEX(Base!$E$5:$E$2004,$K1367))</f>
        <v/>
      </c>
      <c r="C1367" s="69" t="str">
        <f aca="false">IF($K1367="","",B1367)</f>
        <v/>
      </c>
      <c r="D1367" s="70" t="str">
        <f aca="false">IF($K1367="","",INDEX(Base!$F$5:$F$2004,$K1367))</f>
        <v/>
      </c>
      <c r="E1367" s="70" t="str">
        <f aca="false">IF($K1367="","",INDEX(Base!$G$5:$G$2004,$K1367))</f>
        <v/>
      </c>
      <c r="F1367" s="71" t="str">
        <f aca="false">IF($K1367="","",INDEX(Base!$H$5:$H$2004,$K1367))</f>
        <v/>
      </c>
      <c r="G1367" s="71" t="str">
        <f aca="false">IF($K1367="","",INDEX(Base!$I$5:$I$2004,$K1367))</f>
        <v/>
      </c>
      <c r="H1367" s="70" t="str">
        <f aca="false">IF($K1367="","",INDEX(Base!$J$5:$J$2004,$K1367))</f>
        <v/>
      </c>
      <c r="I1367" s="71" t="str">
        <f aca="false">IF($K1367="","",INDEX(Base!$L$5:$L$2004,$K1367))</f>
        <v/>
      </c>
      <c r="J1367" s="72" t="str">
        <f aca="false">IFERROR(SMALL(Base!$P$5:$P$2004,ROW()-5),"")</f>
        <v/>
      </c>
      <c r="K1367" s="72" t="str">
        <f aca="false">IF(J1367="","",MATCH(J1367,Base!$P$5:$P$2004,0))</f>
        <v/>
      </c>
    </row>
    <row r="1368" customFormat="false" ht="15" hidden="false" customHeight="false" outlineLevel="0" collapsed="false">
      <c r="A1368" s="67" t="str">
        <f aca="false">IF($K1368="","",ROW()-5)</f>
        <v/>
      </c>
      <c r="B1368" s="68" t="str">
        <f aca="false">IF($K1368="","",INDEX(Base!$E$5:$E$2004,$K1368))</f>
        <v/>
      </c>
      <c r="C1368" s="69" t="str">
        <f aca="false">IF($K1368="","",B1368)</f>
        <v/>
      </c>
      <c r="D1368" s="70" t="str">
        <f aca="false">IF($K1368="","",INDEX(Base!$F$5:$F$2004,$K1368))</f>
        <v/>
      </c>
      <c r="E1368" s="70" t="str">
        <f aca="false">IF($K1368="","",INDEX(Base!$G$5:$G$2004,$K1368))</f>
        <v/>
      </c>
      <c r="F1368" s="71" t="str">
        <f aca="false">IF($K1368="","",INDEX(Base!$H$5:$H$2004,$K1368))</f>
        <v/>
      </c>
      <c r="G1368" s="71" t="str">
        <f aca="false">IF($K1368="","",INDEX(Base!$I$5:$I$2004,$K1368))</f>
        <v/>
      </c>
      <c r="H1368" s="70" t="str">
        <f aca="false">IF($K1368="","",INDEX(Base!$J$5:$J$2004,$K1368))</f>
        <v/>
      </c>
      <c r="I1368" s="71" t="str">
        <f aca="false">IF($K1368="","",INDEX(Base!$L$5:$L$2004,$K1368))</f>
        <v/>
      </c>
      <c r="J1368" s="72" t="str">
        <f aca="false">IFERROR(SMALL(Base!$P$5:$P$2004,ROW()-5),"")</f>
        <v/>
      </c>
      <c r="K1368" s="72" t="str">
        <f aca="false">IF(J1368="","",MATCH(J1368,Base!$P$5:$P$2004,0))</f>
        <v/>
      </c>
    </row>
    <row r="1369" customFormat="false" ht="15" hidden="false" customHeight="false" outlineLevel="0" collapsed="false">
      <c r="A1369" s="67" t="str">
        <f aca="false">IF($K1369="","",ROW()-5)</f>
        <v/>
      </c>
      <c r="B1369" s="68" t="str">
        <f aca="false">IF($K1369="","",INDEX(Base!$E$5:$E$2004,$K1369))</f>
        <v/>
      </c>
      <c r="C1369" s="69" t="str">
        <f aca="false">IF($K1369="","",B1369)</f>
        <v/>
      </c>
      <c r="D1369" s="70" t="str">
        <f aca="false">IF($K1369="","",INDEX(Base!$F$5:$F$2004,$K1369))</f>
        <v/>
      </c>
      <c r="E1369" s="70" t="str">
        <f aca="false">IF($K1369="","",INDEX(Base!$G$5:$G$2004,$K1369))</f>
        <v/>
      </c>
      <c r="F1369" s="71" t="str">
        <f aca="false">IF($K1369="","",INDEX(Base!$H$5:$H$2004,$K1369))</f>
        <v/>
      </c>
      <c r="G1369" s="71" t="str">
        <f aca="false">IF($K1369="","",INDEX(Base!$I$5:$I$2004,$K1369))</f>
        <v/>
      </c>
      <c r="H1369" s="70" t="str">
        <f aca="false">IF($K1369="","",INDEX(Base!$J$5:$J$2004,$K1369))</f>
        <v/>
      </c>
      <c r="I1369" s="71" t="str">
        <f aca="false">IF($K1369="","",INDEX(Base!$L$5:$L$2004,$K1369))</f>
        <v/>
      </c>
      <c r="J1369" s="72" t="str">
        <f aca="false">IFERROR(SMALL(Base!$P$5:$P$2004,ROW()-5),"")</f>
        <v/>
      </c>
      <c r="K1369" s="72" t="str">
        <f aca="false">IF(J1369="","",MATCH(J1369,Base!$P$5:$P$2004,0))</f>
        <v/>
      </c>
    </row>
    <row r="1370" customFormat="false" ht="15" hidden="false" customHeight="false" outlineLevel="0" collapsed="false">
      <c r="A1370" s="67" t="str">
        <f aca="false">IF($K1370="","",ROW()-5)</f>
        <v/>
      </c>
      <c r="B1370" s="68" t="str">
        <f aca="false">IF($K1370="","",INDEX(Base!$E$5:$E$2004,$K1370))</f>
        <v/>
      </c>
      <c r="C1370" s="69" t="str">
        <f aca="false">IF($K1370="","",B1370)</f>
        <v/>
      </c>
      <c r="D1370" s="70" t="str">
        <f aca="false">IF($K1370="","",INDEX(Base!$F$5:$F$2004,$K1370))</f>
        <v/>
      </c>
      <c r="E1370" s="70" t="str">
        <f aca="false">IF($K1370="","",INDEX(Base!$G$5:$G$2004,$K1370))</f>
        <v/>
      </c>
      <c r="F1370" s="71" t="str">
        <f aca="false">IF($K1370="","",INDEX(Base!$H$5:$H$2004,$K1370))</f>
        <v/>
      </c>
      <c r="G1370" s="71" t="str">
        <f aca="false">IF($K1370="","",INDEX(Base!$I$5:$I$2004,$K1370))</f>
        <v/>
      </c>
      <c r="H1370" s="70" t="str">
        <f aca="false">IF($K1370="","",INDEX(Base!$J$5:$J$2004,$K1370))</f>
        <v/>
      </c>
      <c r="I1370" s="71" t="str">
        <f aca="false">IF($K1370="","",INDEX(Base!$L$5:$L$2004,$K1370))</f>
        <v/>
      </c>
      <c r="J1370" s="72" t="str">
        <f aca="false">IFERROR(SMALL(Base!$P$5:$P$2004,ROW()-5),"")</f>
        <v/>
      </c>
      <c r="K1370" s="72" t="str">
        <f aca="false">IF(J1370="","",MATCH(J1370,Base!$P$5:$P$2004,0))</f>
        <v/>
      </c>
    </row>
    <row r="1371" customFormat="false" ht="15" hidden="false" customHeight="false" outlineLevel="0" collapsed="false">
      <c r="A1371" s="67" t="str">
        <f aca="false">IF($K1371="","",ROW()-5)</f>
        <v/>
      </c>
      <c r="B1371" s="68" t="str">
        <f aca="false">IF($K1371="","",INDEX(Base!$E$5:$E$2004,$K1371))</f>
        <v/>
      </c>
      <c r="C1371" s="69" t="str">
        <f aca="false">IF($K1371="","",B1371)</f>
        <v/>
      </c>
      <c r="D1371" s="70" t="str">
        <f aca="false">IF($K1371="","",INDEX(Base!$F$5:$F$2004,$K1371))</f>
        <v/>
      </c>
      <c r="E1371" s="70" t="str">
        <f aca="false">IF($K1371="","",INDEX(Base!$G$5:$G$2004,$K1371))</f>
        <v/>
      </c>
      <c r="F1371" s="71" t="str">
        <f aca="false">IF($K1371="","",INDEX(Base!$H$5:$H$2004,$K1371))</f>
        <v/>
      </c>
      <c r="G1371" s="71" t="str">
        <f aca="false">IF($K1371="","",INDEX(Base!$I$5:$I$2004,$K1371))</f>
        <v/>
      </c>
      <c r="H1371" s="70" t="str">
        <f aca="false">IF($K1371="","",INDEX(Base!$J$5:$J$2004,$K1371))</f>
        <v/>
      </c>
      <c r="I1371" s="71" t="str">
        <f aca="false">IF($K1371="","",INDEX(Base!$L$5:$L$2004,$K1371))</f>
        <v/>
      </c>
      <c r="J1371" s="72" t="str">
        <f aca="false">IFERROR(SMALL(Base!$P$5:$P$2004,ROW()-5),"")</f>
        <v/>
      </c>
      <c r="K1371" s="72" t="str">
        <f aca="false">IF(J1371="","",MATCH(J1371,Base!$P$5:$P$2004,0))</f>
        <v/>
      </c>
    </row>
    <row r="1372" customFormat="false" ht="15" hidden="false" customHeight="false" outlineLevel="0" collapsed="false">
      <c r="A1372" s="67" t="str">
        <f aca="false">IF($K1372="","",ROW()-5)</f>
        <v/>
      </c>
      <c r="B1372" s="68" t="str">
        <f aca="false">IF($K1372="","",INDEX(Base!$E$5:$E$2004,$K1372))</f>
        <v/>
      </c>
      <c r="C1372" s="69" t="str">
        <f aca="false">IF($K1372="","",B1372)</f>
        <v/>
      </c>
      <c r="D1372" s="70" t="str">
        <f aca="false">IF($K1372="","",INDEX(Base!$F$5:$F$2004,$K1372))</f>
        <v/>
      </c>
      <c r="E1372" s="70" t="str">
        <f aca="false">IF($K1372="","",INDEX(Base!$G$5:$G$2004,$K1372))</f>
        <v/>
      </c>
      <c r="F1372" s="71" t="str">
        <f aca="false">IF($K1372="","",INDEX(Base!$H$5:$H$2004,$K1372))</f>
        <v/>
      </c>
      <c r="G1372" s="71" t="str">
        <f aca="false">IF($K1372="","",INDEX(Base!$I$5:$I$2004,$K1372))</f>
        <v/>
      </c>
      <c r="H1372" s="70" t="str">
        <f aca="false">IF($K1372="","",INDEX(Base!$J$5:$J$2004,$K1372))</f>
        <v/>
      </c>
      <c r="I1372" s="71" t="str">
        <f aca="false">IF($K1372="","",INDEX(Base!$L$5:$L$2004,$K1372))</f>
        <v/>
      </c>
      <c r="J1372" s="72" t="str">
        <f aca="false">IFERROR(SMALL(Base!$P$5:$P$2004,ROW()-5),"")</f>
        <v/>
      </c>
      <c r="K1372" s="72" t="str">
        <f aca="false">IF(J1372="","",MATCH(J1372,Base!$P$5:$P$2004,0))</f>
        <v/>
      </c>
    </row>
    <row r="1373" customFormat="false" ht="15" hidden="false" customHeight="false" outlineLevel="0" collapsed="false">
      <c r="A1373" s="67" t="str">
        <f aca="false">IF($K1373="","",ROW()-5)</f>
        <v/>
      </c>
      <c r="B1373" s="68" t="str">
        <f aca="false">IF($K1373="","",INDEX(Base!$E$5:$E$2004,$K1373))</f>
        <v/>
      </c>
      <c r="C1373" s="69" t="str">
        <f aca="false">IF($K1373="","",B1373)</f>
        <v/>
      </c>
      <c r="D1373" s="70" t="str">
        <f aca="false">IF($K1373="","",INDEX(Base!$F$5:$F$2004,$K1373))</f>
        <v/>
      </c>
      <c r="E1373" s="70" t="str">
        <f aca="false">IF($K1373="","",INDEX(Base!$G$5:$G$2004,$K1373))</f>
        <v/>
      </c>
      <c r="F1373" s="71" t="str">
        <f aca="false">IF($K1373="","",INDEX(Base!$H$5:$H$2004,$K1373))</f>
        <v/>
      </c>
      <c r="G1373" s="71" t="str">
        <f aca="false">IF($K1373="","",INDEX(Base!$I$5:$I$2004,$K1373))</f>
        <v/>
      </c>
      <c r="H1373" s="70" t="str">
        <f aca="false">IF($K1373="","",INDEX(Base!$J$5:$J$2004,$K1373))</f>
        <v/>
      </c>
      <c r="I1373" s="71" t="str">
        <f aca="false">IF($K1373="","",INDEX(Base!$L$5:$L$2004,$K1373))</f>
        <v/>
      </c>
      <c r="J1373" s="72" t="str">
        <f aca="false">IFERROR(SMALL(Base!$P$5:$P$2004,ROW()-5),"")</f>
        <v/>
      </c>
      <c r="K1373" s="72" t="str">
        <f aca="false">IF(J1373="","",MATCH(J1373,Base!$P$5:$P$2004,0))</f>
        <v/>
      </c>
    </row>
    <row r="1374" customFormat="false" ht="15" hidden="false" customHeight="false" outlineLevel="0" collapsed="false">
      <c r="A1374" s="67" t="str">
        <f aca="false">IF($K1374="","",ROW()-5)</f>
        <v/>
      </c>
      <c r="B1374" s="68" t="str">
        <f aca="false">IF($K1374="","",INDEX(Base!$E$5:$E$2004,$K1374))</f>
        <v/>
      </c>
      <c r="C1374" s="69" t="str">
        <f aca="false">IF($K1374="","",B1374)</f>
        <v/>
      </c>
      <c r="D1374" s="70" t="str">
        <f aca="false">IF($K1374="","",INDEX(Base!$F$5:$F$2004,$K1374))</f>
        <v/>
      </c>
      <c r="E1374" s="70" t="str">
        <f aca="false">IF($K1374="","",INDEX(Base!$G$5:$G$2004,$K1374))</f>
        <v/>
      </c>
      <c r="F1374" s="71" t="str">
        <f aca="false">IF($K1374="","",INDEX(Base!$H$5:$H$2004,$K1374))</f>
        <v/>
      </c>
      <c r="G1374" s="71" t="str">
        <f aca="false">IF($K1374="","",INDEX(Base!$I$5:$I$2004,$K1374))</f>
        <v/>
      </c>
      <c r="H1374" s="70" t="str">
        <f aca="false">IF($K1374="","",INDEX(Base!$J$5:$J$2004,$K1374))</f>
        <v/>
      </c>
      <c r="I1374" s="71" t="str">
        <f aca="false">IF($K1374="","",INDEX(Base!$L$5:$L$2004,$K1374))</f>
        <v/>
      </c>
      <c r="J1374" s="72" t="str">
        <f aca="false">IFERROR(SMALL(Base!$P$5:$P$2004,ROW()-5),"")</f>
        <v/>
      </c>
      <c r="K1374" s="72" t="str">
        <f aca="false">IF(J1374="","",MATCH(J1374,Base!$P$5:$P$2004,0))</f>
        <v/>
      </c>
    </row>
    <row r="1375" customFormat="false" ht="15" hidden="false" customHeight="false" outlineLevel="0" collapsed="false">
      <c r="A1375" s="67" t="str">
        <f aca="false">IF($K1375="","",ROW()-5)</f>
        <v/>
      </c>
      <c r="B1375" s="68" t="str">
        <f aca="false">IF($K1375="","",INDEX(Base!$E$5:$E$2004,$K1375))</f>
        <v/>
      </c>
      <c r="C1375" s="69" t="str">
        <f aca="false">IF($K1375="","",B1375)</f>
        <v/>
      </c>
      <c r="D1375" s="70" t="str">
        <f aca="false">IF($K1375="","",INDEX(Base!$F$5:$F$2004,$K1375))</f>
        <v/>
      </c>
      <c r="E1375" s="70" t="str">
        <f aca="false">IF($K1375="","",INDEX(Base!$G$5:$G$2004,$K1375))</f>
        <v/>
      </c>
      <c r="F1375" s="71" t="str">
        <f aca="false">IF($K1375="","",INDEX(Base!$H$5:$H$2004,$K1375))</f>
        <v/>
      </c>
      <c r="G1375" s="71" t="str">
        <f aca="false">IF($K1375="","",INDEX(Base!$I$5:$I$2004,$K1375))</f>
        <v/>
      </c>
      <c r="H1375" s="70" t="str">
        <f aca="false">IF($K1375="","",INDEX(Base!$J$5:$J$2004,$K1375))</f>
        <v/>
      </c>
      <c r="I1375" s="71" t="str">
        <f aca="false">IF($K1375="","",INDEX(Base!$L$5:$L$2004,$K1375))</f>
        <v/>
      </c>
      <c r="J1375" s="72" t="str">
        <f aca="false">IFERROR(SMALL(Base!$P$5:$P$2004,ROW()-5),"")</f>
        <v/>
      </c>
      <c r="K1375" s="72" t="str">
        <f aca="false">IF(J1375="","",MATCH(J1375,Base!$P$5:$P$2004,0))</f>
        <v/>
      </c>
    </row>
    <row r="1376" customFormat="false" ht="15" hidden="false" customHeight="false" outlineLevel="0" collapsed="false">
      <c r="A1376" s="67" t="str">
        <f aca="false">IF($K1376="","",ROW()-5)</f>
        <v/>
      </c>
      <c r="B1376" s="68" t="str">
        <f aca="false">IF($K1376="","",INDEX(Base!$E$5:$E$2004,$K1376))</f>
        <v/>
      </c>
      <c r="C1376" s="69" t="str">
        <f aca="false">IF($K1376="","",B1376)</f>
        <v/>
      </c>
      <c r="D1376" s="70" t="str">
        <f aca="false">IF($K1376="","",INDEX(Base!$F$5:$F$2004,$K1376))</f>
        <v/>
      </c>
      <c r="E1376" s="70" t="str">
        <f aca="false">IF($K1376="","",INDEX(Base!$G$5:$G$2004,$K1376))</f>
        <v/>
      </c>
      <c r="F1376" s="71" t="str">
        <f aca="false">IF($K1376="","",INDEX(Base!$H$5:$H$2004,$K1376))</f>
        <v/>
      </c>
      <c r="G1376" s="71" t="str">
        <f aca="false">IF($K1376="","",INDEX(Base!$I$5:$I$2004,$K1376))</f>
        <v/>
      </c>
      <c r="H1376" s="70" t="str">
        <f aca="false">IF($K1376="","",INDEX(Base!$J$5:$J$2004,$K1376))</f>
        <v/>
      </c>
      <c r="I1376" s="71" t="str">
        <f aca="false">IF($K1376="","",INDEX(Base!$L$5:$L$2004,$K1376))</f>
        <v/>
      </c>
      <c r="J1376" s="72" t="str">
        <f aca="false">IFERROR(SMALL(Base!$P$5:$P$2004,ROW()-5),"")</f>
        <v/>
      </c>
      <c r="K1376" s="72" t="str">
        <f aca="false">IF(J1376="","",MATCH(J1376,Base!$P$5:$P$2004,0))</f>
        <v/>
      </c>
    </row>
    <row r="1377" customFormat="false" ht="15" hidden="false" customHeight="false" outlineLevel="0" collapsed="false">
      <c r="A1377" s="67" t="str">
        <f aca="false">IF($K1377="","",ROW()-5)</f>
        <v/>
      </c>
      <c r="B1377" s="68" t="str">
        <f aca="false">IF($K1377="","",INDEX(Base!$E$5:$E$2004,$K1377))</f>
        <v/>
      </c>
      <c r="C1377" s="69" t="str">
        <f aca="false">IF($K1377="","",B1377)</f>
        <v/>
      </c>
      <c r="D1377" s="70" t="str">
        <f aca="false">IF($K1377="","",INDEX(Base!$F$5:$F$2004,$K1377))</f>
        <v/>
      </c>
      <c r="E1377" s="70" t="str">
        <f aca="false">IF($K1377="","",INDEX(Base!$G$5:$G$2004,$K1377))</f>
        <v/>
      </c>
      <c r="F1377" s="71" t="str">
        <f aca="false">IF($K1377="","",INDEX(Base!$H$5:$H$2004,$K1377))</f>
        <v/>
      </c>
      <c r="G1377" s="71" t="str">
        <f aca="false">IF($K1377="","",INDEX(Base!$I$5:$I$2004,$K1377))</f>
        <v/>
      </c>
      <c r="H1377" s="70" t="str">
        <f aca="false">IF($K1377="","",INDEX(Base!$J$5:$J$2004,$K1377))</f>
        <v/>
      </c>
      <c r="I1377" s="71" t="str">
        <f aca="false">IF($K1377="","",INDEX(Base!$L$5:$L$2004,$K1377))</f>
        <v/>
      </c>
      <c r="J1377" s="72" t="str">
        <f aca="false">IFERROR(SMALL(Base!$P$5:$P$2004,ROW()-5),"")</f>
        <v/>
      </c>
      <c r="K1377" s="72" t="str">
        <f aca="false">IF(J1377="","",MATCH(J1377,Base!$P$5:$P$2004,0))</f>
        <v/>
      </c>
    </row>
    <row r="1378" customFormat="false" ht="15" hidden="false" customHeight="false" outlineLevel="0" collapsed="false">
      <c r="A1378" s="67" t="str">
        <f aca="false">IF($K1378="","",ROW()-5)</f>
        <v/>
      </c>
      <c r="B1378" s="68" t="str">
        <f aca="false">IF($K1378="","",INDEX(Base!$E$5:$E$2004,$K1378))</f>
        <v/>
      </c>
      <c r="C1378" s="69" t="str">
        <f aca="false">IF($K1378="","",B1378)</f>
        <v/>
      </c>
      <c r="D1378" s="70" t="str">
        <f aca="false">IF($K1378="","",INDEX(Base!$F$5:$F$2004,$K1378))</f>
        <v/>
      </c>
      <c r="E1378" s="70" t="str">
        <f aca="false">IF($K1378="","",INDEX(Base!$G$5:$G$2004,$K1378))</f>
        <v/>
      </c>
      <c r="F1378" s="71" t="str">
        <f aca="false">IF($K1378="","",INDEX(Base!$H$5:$H$2004,$K1378))</f>
        <v/>
      </c>
      <c r="G1378" s="71" t="str">
        <f aca="false">IF($K1378="","",INDEX(Base!$I$5:$I$2004,$K1378))</f>
        <v/>
      </c>
      <c r="H1378" s="70" t="str">
        <f aca="false">IF($K1378="","",INDEX(Base!$J$5:$J$2004,$K1378))</f>
        <v/>
      </c>
      <c r="I1378" s="71" t="str">
        <f aca="false">IF($K1378="","",INDEX(Base!$L$5:$L$2004,$K1378))</f>
        <v/>
      </c>
      <c r="J1378" s="72" t="str">
        <f aca="false">IFERROR(SMALL(Base!$P$5:$P$2004,ROW()-5),"")</f>
        <v/>
      </c>
      <c r="K1378" s="72" t="str">
        <f aca="false">IF(J1378="","",MATCH(J1378,Base!$P$5:$P$2004,0))</f>
        <v/>
      </c>
    </row>
    <row r="1379" customFormat="false" ht="15" hidden="false" customHeight="false" outlineLevel="0" collapsed="false">
      <c r="A1379" s="67" t="str">
        <f aca="false">IF($K1379="","",ROW()-5)</f>
        <v/>
      </c>
      <c r="B1379" s="68" t="str">
        <f aca="false">IF($K1379="","",INDEX(Base!$E$5:$E$2004,$K1379))</f>
        <v/>
      </c>
      <c r="C1379" s="69" t="str">
        <f aca="false">IF($K1379="","",B1379)</f>
        <v/>
      </c>
      <c r="D1379" s="70" t="str">
        <f aca="false">IF($K1379="","",INDEX(Base!$F$5:$F$2004,$K1379))</f>
        <v/>
      </c>
      <c r="E1379" s="70" t="str">
        <f aca="false">IF($K1379="","",INDEX(Base!$G$5:$G$2004,$K1379))</f>
        <v/>
      </c>
      <c r="F1379" s="71" t="str">
        <f aca="false">IF($K1379="","",INDEX(Base!$H$5:$H$2004,$K1379))</f>
        <v/>
      </c>
      <c r="G1379" s="71" t="str">
        <f aca="false">IF($K1379="","",INDEX(Base!$I$5:$I$2004,$K1379))</f>
        <v/>
      </c>
      <c r="H1379" s="70" t="str">
        <f aca="false">IF($K1379="","",INDEX(Base!$J$5:$J$2004,$K1379))</f>
        <v/>
      </c>
      <c r="I1379" s="71" t="str">
        <f aca="false">IF($K1379="","",INDEX(Base!$L$5:$L$2004,$K1379))</f>
        <v/>
      </c>
      <c r="J1379" s="72" t="str">
        <f aca="false">IFERROR(SMALL(Base!$P$5:$P$2004,ROW()-5),"")</f>
        <v/>
      </c>
      <c r="K1379" s="72" t="str">
        <f aca="false">IF(J1379="","",MATCH(J1379,Base!$P$5:$P$2004,0))</f>
        <v/>
      </c>
    </row>
    <row r="1380" customFormat="false" ht="15" hidden="false" customHeight="false" outlineLevel="0" collapsed="false">
      <c r="A1380" s="67" t="str">
        <f aca="false">IF($K1380="","",ROW()-5)</f>
        <v/>
      </c>
      <c r="B1380" s="68" t="str">
        <f aca="false">IF($K1380="","",INDEX(Base!$E$5:$E$2004,$K1380))</f>
        <v/>
      </c>
      <c r="C1380" s="69" t="str">
        <f aca="false">IF($K1380="","",B1380)</f>
        <v/>
      </c>
      <c r="D1380" s="70" t="str">
        <f aca="false">IF($K1380="","",INDEX(Base!$F$5:$F$2004,$K1380))</f>
        <v/>
      </c>
      <c r="E1380" s="70" t="str">
        <f aca="false">IF($K1380="","",INDEX(Base!$G$5:$G$2004,$K1380))</f>
        <v/>
      </c>
      <c r="F1380" s="71" t="str">
        <f aca="false">IF($K1380="","",INDEX(Base!$H$5:$H$2004,$K1380))</f>
        <v/>
      </c>
      <c r="G1380" s="71" t="str">
        <f aca="false">IF($K1380="","",INDEX(Base!$I$5:$I$2004,$K1380))</f>
        <v/>
      </c>
      <c r="H1380" s="70" t="str">
        <f aca="false">IF($K1380="","",INDEX(Base!$J$5:$J$2004,$K1380))</f>
        <v/>
      </c>
      <c r="I1380" s="71" t="str">
        <f aca="false">IF($K1380="","",INDEX(Base!$L$5:$L$2004,$K1380))</f>
        <v/>
      </c>
      <c r="J1380" s="72" t="str">
        <f aca="false">IFERROR(SMALL(Base!$P$5:$P$2004,ROW()-5),"")</f>
        <v/>
      </c>
      <c r="K1380" s="72" t="str">
        <f aca="false">IF(J1380="","",MATCH(J1380,Base!$P$5:$P$2004,0))</f>
        <v/>
      </c>
    </row>
    <row r="1381" customFormat="false" ht="15" hidden="false" customHeight="false" outlineLevel="0" collapsed="false">
      <c r="A1381" s="67" t="str">
        <f aca="false">IF($K1381="","",ROW()-5)</f>
        <v/>
      </c>
      <c r="B1381" s="68" t="str">
        <f aca="false">IF($K1381="","",INDEX(Base!$E$5:$E$2004,$K1381))</f>
        <v/>
      </c>
      <c r="C1381" s="69" t="str">
        <f aca="false">IF($K1381="","",B1381)</f>
        <v/>
      </c>
      <c r="D1381" s="70" t="str">
        <f aca="false">IF($K1381="","",INDEX(Base!$F$5:$F$2004,$K1381))</f>
        <v/>
      </c>
      <c r="E1381" s="70" t="str">
        <f aca="false">IF($K1381="","",INDEX(Base!$G$5:$G$2004,$K1381))</f>
        <v/>
      </c>
      <c r="F1381" s="71" t="str">
        <f aca="false">IF($K1381="","",INDEX(Base!$H$5:$H$2004,$K1381))</f>
        <v/>
      </c>
      <c r="G1381" s="71" t="str">
        <f aca="false">IF($K1381="","",INDEX(Base!$I$5:$I$2004,$K1381))</f>
        <v/>
      </c>
      <c r="H1381" s="70" t="str">
        <f aca="false">IF($K1381="","",INDEX(Base!$J$5:$J$2004,$K1381))</f>
        <v/>
      </c>
      <c r="I1381" s="71" t="str">
        <f aca="false">IF($K1381="","",INDEX(Base!$L$5:$L$2004,$K1381))</f>
        <v/>
      </c>
      <c r="J1381" s="72" t="str">
        <f aca="false">IFERROR(SMALL(Base!$P$5:$P$2004,ROW()-5),"")</f>
        <v/>
      </c>
      <c r="K1381" s="72" t="str">
        <f aca="false">IF(J1381="","",MATCH(J1381,Base!$P$5:$P$2004,0))</f>
        <v/>
      </c>
    </row>
    <row r="1382" customFormat="false" ht="15" hidden="false" customHeight="false" outlineLevel="0" collapsed="false">
      <c r="A1382" s="67" t="str">
        <f aca="false">IF($K1382="","",ROW()-5)</f>
        <v/>
      </c>
      <c r="B1382" s="68" t="str">
        <f aca="false">IF($K1382="","",INDEX(Base!$E$5:$E$2004,$K1382))</f>
        <v/>
      </c>
      <c r="C1382" s="69" t="str">
        <f aca="false">IF($K1382="","",B1382)</f>
        <v/>
      </c>
      <c r="D1382" s="70" t="str">
        <f aca="false">IF($K1382="","",INDEX(Base!$F$5:$F$2004,$K1382))</f>
        <v/>
      </c>
      <c r="E1382" s="70" t="str">
        <f aca="false">IF($K1382="","",INDEX(Base!$G$5:$G$2004,$K1382))</f>
        <v/>
      </c>
      <c r="F1382" s="71" t="str">
        <f aca="false">IF($K1382="","",INDEX(Base!$H$5:$H$2004,$K1382))</f>
        <v/>
      </c>
      <c r="G1382" s="71" t="str">
        <f aca="false">IF($K1382="","",INDEX(Base!$I$5:$I$2004,$K1382))</f>
        <v/>
      </c>
      <c r="H1382" s="70" t="str">
        <f aca="false">IF($K1382="","",INDEX(Base!$J$5:$J$2004,$K1382))</f>
        <v/>
      </c>
      <c r="I1382" s="71" t="str">
        <f aca="false">IF($K1382="","",INDEX(Base!$L$5:$L$2004,$K1382))</f>
        <v/>
      </c>
      <c r="J1382" s="72" t="str">
        <f aca="false">IFERROR(SMALL(Base!$P$5:$P$2004,ROW()-5),"")</f>
        <v/>
      </c>
      <c r="K1382" s="72" t="str">
        <f aca="false">IF(J1382="","",MATCH(J1382,Base!$P$5:$P$2004,0))</f>
        <v/>
      </c>
    </row>
    <row r="1383" customFormat="false" ht="15" hidden="false" customHeight="false" outlineLevel="0" collapsed="false">
      <c r="A1383" s="67" t="str">
        <f aca="false">IF($K1383="","",ROW()-5)</f>
        <v/>
      </c>
      <c r="B1383" s="68" t="str">
        <f aca="false">IF($K1383="","",INDEX(Base!$E$5:$E$2004,$K1383))</f>
        <v/>
      </c>
      <c r="C1383" s="69" t="str">
        <f aca="false">IF($K1383="","",B1383)</f>
        <v/>
      </c>
      <c r="D1383" s="70" t="str">
        <f aca="false">IF($K1383="","",INDEX(Base!$F$5:$F$2004,$K1383))</f>
        <v/>
      </c>
      <c r="E1383" s="70" t="str">
        <f aca="false">IF($K1383="","",INDEX(Base!$G$5:$G$2004,$K1383))</f>
        <v/>
      </c>
      <c r="F1383" s="71" t="str">
        <f aca="false">IF($K1383="","",INDEX(Base!$H$5:$H$2004,$K1383))</f>
        <v/>
      </c>
      <c r="G1383" s="71" t="str">
        <f aca="false">IF($K1383="","",INDEX(Base!$I$5:$I$2004,$K1383))</f>
        <v/>
      </c>
      <c r="H1383" s="70" t="str">
        <f aca="false">IF($K1383="","",INDEX(Base!$J$5:$J$2004,$K1383))</f>
        <v/>
      </c>
      <c r="I1383" s="71" t="str">
        <f aca="false">IF($K1383="","",INDEX(Base!$L$5:$L$2004,$K1383))</f>
        <v/>
      </c>
      <c r="J1383" s="72" t="str">
        <f aca="false">IFERROR(SMALL(Base!$P$5:$P$2004,ROW()-5),"")</f>
        <v/>
      </c>
      <c r="K1383" s="72" t="str">
        <f aca="false">IF(J1383="","",MATCH(J1383,Base!$P$5:$P$2004,0))</f>
        <v/>
      </c>
    </row>
    <row r="1384" customFormat="false" ht="15" hidden="false" customHeight="false" outlineLevel="0" collapsed="false">
      <c r="A1384" s="67" t="str">
        <f aca="false">IF($K1384="","",ROW()-5)</f>
        <v/>
      </c>
      <c r="B1384" s="68" t="str">
        <f aca="false">IF($K1384="","",INDEX(Base!$E$5:$E$2004,$K1384))</f>
        <v/>
      </c>
      <c r="C1384" s="69" t="str">
        <f aca="false">IF($K1384="","",B1384)</f>
        <v/>
      </c>
      <c r="D1384" s="70" t="str">
        <f aca="false">IF($K1384="","",INDEX(Base!$F$5:$F$2004,$K1384))</f>
        <v/>
      </c>
      <c r="E1384" s="70" t="str">
        <f aca="false">IF($K1384="","",INDEX(Base!$G$5:$G$2004,$K1384))</f>
        <v/>
      </c>
      <c r="F1384" s="71" t="str">
        <f aca="false">IF($K1384="","",INDEX(Base!$H$5:$H$2004,$K1384))</f>
        <v/>
      </c>
      <c r="G1384" s="71" t="str">
        <f aca="false">IF($K1384="","",INDEX(Base!$I$5:$I$2004,$K1384))</f>
        <v/>
      </c>
      <c r="H1384" s="70" t="str">
        <f aca="false">IF($K1384="","",INDEX(Base!$J$5:$J$2004,$K1384))</f>
        <v/>
      </c>
      <c r="I1384" s="71" t="str">
        <f aca="false">IF($K1384="","",INDEX(Base!$L$5:$L$2004,$K1384))</f>
        <v/>
      </c>
      <c r="J1384" s="72" t="str">
        <f aca="false">IFERROR(SMALL(Base!$P$5:$P$2004,ROW()-5),"")</f>
        <v/>
      </c>
      <c r="K1384" s="72" t="str">
        <f aca="false">IF(J1384="","",MATCH(J1384,Base!$P$5:$P$2004,0))</f>
        <v/>
      </c>
    </row>
    <row r="1385" customFormat="false" ht="15" hidden="false" customHeight="false" outlineLevel="0" collapsed="false">
      <c r="A1385" s="67" t="str">
        <f aca="false">IF($K1385="","",ROW()-5)</f>
        <v/>
      </c>
      <c r="B1385" s="68" t="str">
        <f aca="false">IF($K1385="","",INDEX(Base!$E$5:$E$2004,$K1385))</f>
        <v/>
      </c>
      <c r="C1385" s="69" t="str">
        <f aca="false">IF($K1385="","",B1385)</f>
        <v/>
      </c>
      <c r="D1385" s="70" t="str">
        <f aca="false">IF($K1385="","",INDEX(Base!$F$5:$F$2004,$K1385))</f>
        <v/>
      </c>
      <c r="E1385" s="70" t="str">
        <f aca="false">IF($K1385="","",INDEX(Base!$G$5:$G$2004,$K1385))</f>
        <v/>
      </c>
      <c r="F1385" s="71" t="str">
        <f aca="false">IF($K1385="","",INDEX(Base!$H$5:$H$2004,$K1385))</f>
        <v/>
      </c>
      <c r="G1385" s="71" t="str">
        <f aca="false">IF($K1385="","",INDEX(Base!$I$5:$I$2004,$K1385))</f>
        <v/>
      </c>
      <c r="H1385" s="70" t="str">
        <f aca="false">IF($K1385="","",INDEX(Base!$J$5:$J$2004,$K1385))</f>
        <v/>
      </c>
      <c r="I1385" s="71" t="str">
        <f aca="false">IF($K1385="","",INDEX(Base!$L$5:$L$2004,$K1385))</f>
        <v/>
      </c>
      <c r="J1385" s="72" t="str">
        <f aca="false">IFERROR(SMALL(Base!$P$5:$P$2004,ROW()-5),"")</f>
        <v/>
      </c>
      <c r="K1385" s="72" t="str">
        <f aca="false">IF(J1385="","",MATCH(J1385,Base!$P$5:$P$2004,0))</f>
        <v/>
      </c>
    </row>
    <row r="1386" customFormat="false" ht="15" hidden="false" customHeight="false" outlineLevel="0" collapsed="false">
      <c r="A1386" s="67" t="str">
        <f aca="false">IF($K1386="","",ROW()-5)</f>
        <v/>
      </c>
      <c r="B1386" s="68" t="str">
        <f aca="false">IF($K1386="","",INDEX(Base!$E$5:$E$2004,$K1386))</f>
        <v/>
      </c>
      <c r="C1386" s="69" t="str">
        <f aca="false">IF($K1386="","",B1386)</f>
        <v/>
      </c>
      <c r="D1386" s="70" t="str">
        <f aca="false">IF($K1386="","",INDEX(Base!$F$5:$F$2004,$K1386))</f>
        <v/>
      </c>
      <c r="E1386" s="70" t="str">
        <f aca="false">IF($K1386="","",INDEX(Base!$G$5:$G$2004,$K1386))</f>
        <v/>
      </c>
      <c r="F1386" s="71" t="str">
        <f aca="false">IF($K1386="","",INDEX(Base!$H$5:$H$2004,$K1386))</f>
        <v/>
      </c>
      <c r="G1386" s="71" t="str">
        <f aca="false">IF($K1386="","",INDEX(Base!$I$5:$I$2004,$K1386))</f>
        <v/>
      </c>
      <c r="H1386" s="70" t="str">
        <f aca="false">IF($K1386="","",INDEX(Base!$J$5:$J$2004,$K1386))</f>
        <v/>
      </c>
      <c r="I1386" s="71" t="str">
        <f aca="false">IF($K1386="","",INDEX(Base!$L$5:$L$2004,$K1386))</f>
        <v/>
      </c>
      <c r="J1386" s="72" t="str">
        <f aca="false">IFERROR(SMALL(Base!$P$5:$P$2004,ROW()-5),"")</f>
        <v/>
      </c>
      <c r="K1386" s="72" t="str">
        <f aca="false">IF(J1386="","",MATCH(J1386,Base!$P$5:$P$2004,0))</f>
        <v/>
      </c>
    </row>
    <row r="1387" customFormat="false" ht="15" hidden="false" customHeight="false" outlineLevel="0" collapsed="false">
      <c r="A1387" s="67" t="str">
        <f aca="false">IF($K1387="","",ROW()-5)</f>
        <v/>
      </c>
      <c r="B1387" s="68" t="str">
        <f aca="false">IF($K1387="","",INDEX(Base!$E$5:$E$2004,$K1387))</f>
        <v/>
      </c>
      <c r="C1387" s="69" t="str">
        <f aca="false">IF($K1387="","",B1387)</f>
        <v/>
      </c>
      <c r="D1387" s="70" t="str">
        <f aca="false">IF($K1387="","",INDEX(Base!$F$5:$F$2004,$K1387))</f>
        <v/>
      </c>
      <c r="E1387" s="70" t="str">
        <f aca="false">IF($K1387="","",INDEX(Base!$G$5:$G$2004,$K1387))</f>
        <v/>
      </c>
      <c r="F1387" s="71" t="str">
        <f aca="false">IF($K1387="","",INDEX(Base!$H$5:$H$2004,$K1387))</f>
        <v/>
      </c>
      <c r="G1387" s="71" t="str">
        <f aca="false">IF($K1387="","",INDEX(Base!$I$5:$I$2004,$K1387))</f>
        <v/>
      </c>
      <c r="H1387" s="70" t="str">
        <f aca="false">IF($K1387="","",INDEX(Base!$J$5:$J$2004,$K1387))</f>
        <v/>
      </c>
      <c r="I1387" s="71" t="str">
        <f aca="false">IF($K1387="","",INDEX(Base!$L$5:$L$2004,$K1387))</f>
        <v/>
      </c>
      <c r="J1387" s="72" t="str">
        <f aca="false">IFERROR(SMALL(Base!$P$5:$P$2004,ROW()-5),"")</f>
        <v/>
      </c>
      <c r="K1387" s="72" t="str">
        <f aca="false">IF(J1387="","",MATCH(J1387,Base!$P$5:$P$2004,0))</f>
        <v/>
      </c>
    </row>
    <row r="1388" customFormat="false" ht="15" hidden="false" customHeight="false" outlineLevel="0" collapsed="false">
      <c r="A1388" s="67" t="str">
        <f aca="false">IF($K1388="","",ROW()-5)</f>
        <v/>
      </c>
      <c r="B1388" s="68" t="str">
        <f aca="false">IF($K1388="","",INDEX(Base!$E$5:$E$2004,$K1388))</f>
        <v/>
      </c>
      <c r="C1388" s="69" t="str">
        <f aca="false">IF($K1388="","",B1388)</f>
        <v/>
      </c>
      <c r="D1388" s="70" t="str">
        <f aca="false">IF($K1388="","",INDEX(Base!$F$5:$F$2004,$K1388))</f>
        <v/>
      </c>
      <c r="E1388" s="70" t="str">
        <f aca="false">IF($K1388="","",INDEX(Base!$G$5:$G$2004,$K1388))</f>
        <v/>
      </c>
      <c r="F1388" s="71" t="str">
        <f aca="false">IF($K1388="","",INDEX(Base!$H$5:$H$2004,$K1388))</f>
        <v/>
      </c>
      <c r="G1388" s="71" t="str">
        <f aca="false">IF($K1388="","",INDEX(Base!$I$5:$I$2004,$K1388))</f>
        <v/>
      </c>
      <c r="H1388" s="70" t="str">
        <f aca="false">IF($K1388="","",INDEX(Base!$J$5:$J$2004,$K1388))</f>
        <v/>
      </c>
      <c r="I1388" s="71" t="str">
        <f aca="false">IF($K1388="","",INDEX(Base!$L$5:$L$2004,$K1388))</f>
        <v/>
      </c>
      <c r="J1388" s="72" t="str">
        <f aca="false">IFERROR(SMALL(Base!$P$5:$P$2004,ROW()-5),"")</f>
        <v/>
      </c>
      <c r="K1388" s="72" t="str">
        <f aca="false">IF(J1388="","",MATCH(J1388,Base!$P$5:$P$2004,0))</f>
        <v/>
      </c>
    </row>
    <row r="1389" customFormat="false" ht="15" hidden="false" customHeight="false" outlineLevel="0" collapsed="false">
      <c r="A1389" s="67" t="str">
        <f aca="false">IF($K1389="","",ROW()-5)</f>
        <v/>
      </c>
      <c r="B1389" s="68" t="str">
        <f aca="false">IF($K1389="","",INDEX(Base!$E$5:$E$2004,$K1389))</f>
        <v/>
      </c>
      <c r="C1389" s="69" t="str">
        <f aca="false">IF($K1389="","",B1389)</f>
        <v/>
      </c>
      <c r="D1389" s="70" t="str">
        <f aca="false">IF($K1389="","",INDEX(Base!$F$5:$F$2004,$K1389))</f>
        <v/>
      </c>
      <c r="E1389" s="70" t="str">
        <f aca="false">IF($K1389="","",INDEX(Base!$G$5:$G$2004,$K1389))</f>
        <v/>
      </c>
      <c r="F1389" s="71" t="str">
        <f aca="false">IF($K1389="","",INDEX(Base!$H$5:$H$2004,$K1389))</f>
        <v/>
      </c>
      <c r="G1389" s="71" t="str">
        <f aca="false">IF($K1389="","",INDEX(Base!$I$5:$I$2004,$K1389))</f>
        <v/>
      </c>
      <c r="H1389" s="70" t="str">
        <f aca="false">IF($K1389="","",INDEX(Base!$J$5:$J$2004,$K1389))</f>
        <v/>
      </c>
      <c r="I1389" s="71" t="str">
        <f aca="false">IF($K1389="","",INDEX(Base!$L$5:$L$2004,$K1389))</f>
        <v/>
      </c>
      <c r="J1389" s="72" t="str">
        <f aca="false">IFERROR(SMALL(Base!$P$5:$P$2004,ROW()-5),"")</f>
        <v/>
      </c>
      <c r="K1389" s="72" t="str">
        <f aca="false">IF(J1389="","",MATCH(J1389,Base!$P$5:$P$2004,0))</f>
        <v/>
      </c>
    </row>
    <row r="1390" customFormat="false" ht="15" hidden="false" customHeight="false" outlineLevel="0" collapsed="false">
      <c r="A1390" s="67" t="str">
        <f aca="false">IF($K1390="","",ROW()-5)</f>
        <v/>
      </c>
      <c r="B1390" s="68" t="str">
        <f aca="false">IF($K1390="","",INDEX(Base!$E$5:$E$2004,$K1390))</f>
        <v/>
      </c>
      <c r="C1390" s="69" t="str">
        <f aca="false">IF($K1390="","",B1390)</f>
        <v/>
      </c>
      <c r="D1390" s="70" t="str">
        <f aca="false">IF($K1390="","",INDEX(Base!$F$5:$F$2004,$K1390))</f>
        <v/>
      </c>
      <c r="E1390" s="70" t="str">
        <f aca="false">IF($K1390="","",INDEX(Base!$G$5:$G$2004,$K1390))</f>
        <v/>
      </c>
      <c r="F1390" s="71" t="str">
        <f aca="false">IF($K1390="","",INDEX(Base!$H$5:$H$2004,$K1390))</f>
        <v/>
      </c>
      <c r="G1390" s="71" t="str">
        <f aca="false">IF($K1390="","",INDEX(Base!$I$5:$I$2004,$K1390))</f>
        <v/>
      </c>
      <c r="H1390" s="70" t="str">
        <f aca="false">IF($K1390="","",INDEX(Base!$J$5:$J$2004,$K1390))</f>
        <v/>
      </c>
      <c r="I1390" s="71" t="str">
        <f aca="false">IF($K1390="","",INDEX(Base!$L$5:$L$2004,$K1390))</f>
        <v/>
      </c>
      <c r="J1390" s="72" t="str">
        <f aca="false">IFERROR(SMALL(Base!$P$5:$P$2004,ROW()-5),"")</f>
        <v/>
      </c>
      <c r="K1390" s="72" t="str">
        <f aca="false">IF(J1390="","",MATCH(J1390,Base!$P$5:$P$2004,0))</f>
        <v/>
      </c>
    </row>
    <row r="1391" customFormat="false" ht="15" hidden="false" customHeight="false" outlineLevel="0" collapsed="false">
      <c r="A1391" s="67" t="str">
        <f aca="false">IF($K1391="","",ROW()-5)</f>
        <v/>
      </c>
      <c r="B1391" s="68" t="str">
        <f aca="false">IF($K1391="","",INDEX(Base!$E$5:$E$2004,$K1391))</f>
        <v/>
      </c>
      <c r="C1391" s="69" t="str">
        <f aca="false">IF($K1391="","",B1391)</f>
        <v/>
      </c>
      <c r="D1391" s="70" t="str">
        <f aca="false">IF($K1391="","",INDEX(Base!$F$5:$F$2004,$K1391))</f>
        <v/>
      </c>
      <c r="E1391" s="70" t="str">
        <f aca="false">IF($K1391="","",INDEX(Base!$G$5:$G$2004,$K1391))</f>
        <v/>
      </c>
      <c r="F1391" s="71" t="str">
        <f aca="false">IF($K1391="","",INDEX(Base!$H$5:$H$2004,$K1391))</f>
        <v/>
      </c>
      <c r="G1391" s="71" t="str">
        <f aca="false">IF($K1391="","",INDEX(Base!$I$5:$I$2004,$K1391))</f>
        <v/>
      </c>
      <c r="H1391" s="70" t="str">
        <f aca="false">IF($K1391="","",INDEX(Base!$J$5:$J$2004,$K1391))</f>
        <v/>
      </c>
      <c r="I1391" s="71" t="str">
        <f aca="false">IF($K1391="","",INDEX(Base!$L$5:$L$2004,$K1391))</f>
        <v/>
      </c>
      <c r="J1391" s="72" t="str">
        <f aca="false">IFERROR(SMALL(Base!$P$5:$P$2004,ROW()-5),"")</f>
        <v/>
      </c>
      <c r="K1391" s="72" t="str">
        <f aca="false">IF(J1391="","",MATCH(J1391,Base!$P$5:$P$2004,0))</f>
        <v/>
      </c>
    </row>
    <row r="1392" customFormat="false" ht="15" hidden="false" customHeight="false" outlineLevel="0" collapsed="false">
      <c r="A1392" s="67" t="str">
        <f aca="false">IF($K1392="","",ROW()-5)</f>
        <v/>
      </c>
      <c r="B1392" s="68" t="str">
        <f aca="false">IF($K1392="","",INDEX(Base!$E$5:$E$2004,$K1392))</f>
        <v/>
      </c>
      <c r="C1392" s="69" t="str">
        <f aca="false">IF($K1392="","",B1392)</f>
        <v/>
      </c>
      <c r="D1392" s="70" t="str">
        <f aca="false">IF($K1392="","",INDEX(Base!$F$5:$F$2004,$K1392))</f>
        <v/>
      </c>
      <c r="E1392" s="70" t="str">
        <f aca="false">IF($K1392="","",INDEX(Base!$G$5:$G$2004,$K1392))</f>
        <v/>
      </c>
      <c r="F1392" s="71" t="str">
        <f aca="false">IF($K1392="","",INDEX(Base!$H$5:$H$2004,$K1392))</f>
        <v/>
      </c>
      <c r="G1392" s="71" t="str">
        <f aca="false">IF($K1392="","",INDEX(Base!$I$5:$I$2004,$K1392))</f>
        <v/>
      </c>
      <c r="H1392" s="70" t="str">
        <f aca="false">IF($K1392="","",INDEX(Base!$J$5:$J$2004,$K1392))</f>
        <v/>
      </c>
      <c r="I1392" s="71" t="str">
        <f aca="false">IF($K1392="","",INDEX(Base!$L$5:$L$2004,$K1392))</f>
        <v/>
      </c>
      <c r="J1392" s="72" t="str">
        <f aca="false">IFERROR(SMALL(Base!$P$5:$P$2004,ROW()-5),"")</f>
        <v/>
      </c>
      <c r="K1392" s="72" t="str">
        <f aca="false">IF(J1392="","",MATCH(J1392,Base!$P$5:$P$2004,0))</f>
        <v/>
      </c>
    </row>
    <row r="1393" customFormat="false" ht="15" hidden="false" customHeight="false" outlineLevel="0" collapsed="false">
      <c r="A1393" s="67" t="str">
        <f aca="false">IF($K1393="","",ROW()-5)</f>
        <v/>
      </c>
      <c r="B1393" s="68" t="str">
        <f aca="false">IF($K1393="","",INDEX(Base!$E$5:$E$2004,$K1393))</f>
        <v/>
      </c>
      <c r="C1393" s="69" t="str">
        <f aca="false">IF($K1393="","",B1393)</f>
        <v/>
      </c>
      <c r="D1393" s="70" t="str">
        <f aca="false">IF($K1393="","",INDEX(Base!$F$5:$F$2004,$K1393))</f>
        <v/>
      </c>
      <c r="E1393" s="70" t="str">
        <f aca="false">IF($K1393="","",INDEX(Base!$G$5:$G$2004,$K1393))</f>
        <v/>
      </c>
      <c r="F1393" s="71" t="str">
        <f aca="false">IF($K1393="","",INDEX(Base!$H$5:$H$2004,$K1393))</f>
        <v/>
      </c>
      <c r="G1393" s="71" t="str">
        <f aca="false">IF($K1393="","",INDEX(Base!$I$5:$I$2004,$K1393))</f>
        <v/>
      </c>
      <c r="H1393" s="70" t="str">
        <f aca="false">IF($K1393="","",INDEX(Base!$J$5:$J$2004,$K1393))</f>
        <v/>
      </c>
      <c r="I1393" s="71" t="str">
        <f aca="false">IF($K1393="","",INDEX(Base!$L$5:$L$2004,$K1393))</f>
        <v/>
      </c>
      <c r="J1393" s="72" t="str">
        <f aca="false">IFERROR(SMALL(Base!$P$5:$P$2004,ROW()-5),"")</f>
        <v/>
      </c>
      <c r="K1393" s="72" t="str">
        <f aca="false">IF(J1393="","",MATCH(J1393,Base!$P$5:$P$2004,0))</f>
        <v/>
      </c>
    </row>
    <row r="1394" customFormat="false" ht="15" hidden="false" customHeight="false" outlineLevel="0" collapsed="false">
      <c r="A1394" s="67" t="str">
        <f aca="false">IF($K1394="","",ROW()-5)</f>
        <v/>
      </c>
      <c r="B1394" s="68" t="str">
        <f aca="false">IF($K1394="","",INDEX(Base!$E$5:$E$2004,$K1394))</f>
        <v/>
      </c>
      <c r="C1394" s="69" t="str">
        <f aca="false">IF($K1394="","",B1394)</f>
        <v/>
      </c>
      <c r="D1394" s="70" t="str">
        <f aca="false">IF($K1394="","",INDEX(Base!$F$5:$F$2004,$K1394))</f>
        <v/>
      </c>
      <c r="E1394" s="70" t="str">
        <f aca="false">IF($K1394="","",INDEX(Base!$G$5:$G$2004,$K1394))</f>
        <v/>
      </c>
      <c r="F1394" s="71" t="str">
        <f aca="false">IF($K1394="","",INDEX(Base!$H$5:$H$2004,$K1394))</f>
        <v/>
      </c>
      <c r="G1394" s="71" t="str">
        <f aca="false">IF($K1394="","",INDEX(Base!$I$5:$I$2004,$K1394))</f>
        <v/>
      </c>
      <c r="H1394" s="70" t="str">
        <f aca="false">IF($K1394="","",INDEX(Base!$J$5:$J$2004,$K1394))</f>
        <v/>
      </c>
      <c r="I1394" s="71" t="str">
        <f aca="false">IF($K1394="","",INDEX(Base!$L$5:$L$2004,$K1394))</f>
        <v/>
      </c>
      <c r="J1394" s="72" t="str">
        <f aca="false">IFERROR(SMALL(Base!$P$5:$P$2004,ROW()-5),"")</f>
        <v/>
      </c>
      <c r="K1394" s="72" t="str">
        <f aca="false">IF(J1394="","",MATCH(J1394,Base!$P$5:$P$2004,0))</f>
        <v/>
      </c>
    </row>
    <row r="1395" customFormat="false" ht="15" hidden="false" customHeight="false" outlineLevel="0" collapsed="false">
      <c r="A1395" s="67" t="str">
        <f aca="false">IF($K1395="","",ROW()-5)</f>
        <v/>
      </c>
      <c r="B1395" s="68" t="str">
        <f aca="false">IF($K1395="","",INDEX(Base!$E$5:$E$2004,$K1395))</f>
        <v/>
      </c>
      <c r="C1395" s="69" t="str">
        <f aca="false">IF($K1395="","",B1395)</f>
        <v/>
      </c>
      <c r="D1395" s="70" t="str">
        <f aca="false">IF($K1395="","",INDEX(Base!$F$5:$F$2004,$K1395))</f>
        <v/>
      </c>
      <c r="E1395" s="70" t="str">
        <f aca="false">IF($K1395="","",INDEX(Base!$G$5:$G$2004,$K1395))</f>
        <v/>
      </c>
      <c r="F1395" s="71" t="str">
        <f aca="false">IF($K1395="","",INDEX(Base!$H$5:$H$2004,$K1395))</f>
        <v/>
      </c>
      <c r="G1395" s="71" t="str">
        <f aca="false">IF($K1395="","",INDEX(Base!$I$5:$I$2004,$K1395))</f>
        <v/>
      </c>
      <c r="H1395" s="70" t="str">
        <f aca="false">IF($K1395="","",INDEX(Base!$J$5:$J$2004,$K1395))</f>
        <v/>
      </c>
      <c r="I1395" s="71" t="str">
        <f aca="false">IF($K1395="","",INDEX(Base!$L$5:$L$2004,$K1395))</f>
        <v/>
      </c>
      <c r="J1395" s="72" t="str">
        <f aca="false">IFERROR(SMALL(Base!$P$5:$P$2004,ROW()-5),"")</f>
        <v/>
      </c>
      <c r="K1395" s="72" t="str">
        <f aca="false">IF(J1395="","",MATCH(J1395,Base!$P$5:$P$2004,0))</f>
        <v/>
      </c>
    </row>
    <row r="1396" customFormat="false" ht="15" hidden="false" customHeight="false" outlineLevel="0" collapsed="false">
      <c r="A1396" s="67" t="str">
        <f aca="false">IF($K1396="","",ROW()-5)</f>
        <v/>
      </c>
      <c r="B1396" s="68" t="str">
        <f aca="false">IF($K1396="","",INDEX(Base!$E$5:$E$2004,$K1396))</f>
        <v/>
      </c>
      <c r="C1396" s="69" t="str">
        <f aca="false">IF($K1396="","",B1396)</f>
        <v/>
      </c>
      <c r="D1396" s="70" t="str">
        <f aca="false">IF($K1396="","",INDEX(Base!$F$5:$F$2004,$K1396))</f>
        <v/>
      </c>
      <c r="E1396" s="70" t="str">
        <f aca="false">IF($K1396="","",INDEX(Base!$G$5:$G$2004,$K1396))</f>
        <v/>
      </c>
      <c r="F1396" s="71" t="str">
        <f aca="false">IF($K1396="","",INDEX(Base!$H$5:$H$2004,$K1396))</f>
        <v/>
      </c>
      <c r="G1396" s="71" t="str">
        <f aca="false">IF($K1396="","",INDEX(Base!$I$5:$I$2004,$K1396))</f>
        <v/>
      </c>
      <c r="H1396" s="70" t="str">
        <f aca="false">IF($K1396="","",INDEX(Base!$J$5:$J$2004,$K1396))</f>
        <v/>
      </c>
      <c r="I1396" s="71" t="str">
        <f aca="false">IF($K1396="","",INDEX(Base!$L$5:$L$2004,$K1396))</f>
        <v/>
      </c>
      <c r="J1396" s="72" t="str">
        <f aca="false">IFERROR(SMALL(Base!$P$5:$P$2004,ROW()-5),"")</f>
        <v/>
      </c>
      <c r="K1396" s="72" t="str">
        <f aca="false">IF(J1396="","",MATCH(J1396,Base!$P$5:$P$2004,0))</f>
        <v/>
      </c>
    </row>
    <row r="1397" customFormat="false" ht="15" hidden="false" customHeight="false" outlineLevel="0" collapsed="false">
      <c r="A1397" s="67" t="str">
        <f aca="false">IF($K1397="","",ROW()-5)</f>
        <v/>
      </c>
      <c r="B1397" s="68" t="str">
        <f aca="false">IF($K1397="","",INDEX(Base!$E$5:$E$2004,$K1397))</f>
        <v/>
      </c>
      <c r="C1397" s="69" t="str">
        <f aca="false">IF($K1397="","",B1397)</f>
        <v/>
      </c>
      <c r="D1397" s="70" t="str">
        <f aca="false">IF($K1397="","",INDEX(Base!$F$5:$F$2004,$K1397))</f>
        <v/>
      </c>
      <c r="E1397" s="70" t="str">
        <f aca="false">IF($K1397="","",INDEX(Base!$G$5:$G$2004,$K1397))</f>
        <v/>
      </c>
      <c r="F1397" s="71" t="str">
        <f aca="false">IF($K1397="","",INDEX(Base!$H$5:$H$2004,$K1397))</f>
        <v/>
      </c>
      <c r="G1397" s="71" t="str">
        <f aca="false">IF($K1397="","",INDEX(Base!$I$5:$I$2004,$K1397))</f>
        <v/>
      </c>
      <c r="H1397" s="70" t="str">
        <f aca="false">IF($K1397="","",INDEX(Base!$J$5:$J$2004,$K1397))</f>
        <v/>
      </c>
      <c r="I1397" s="71" t="str">
        <f aca="false">IF($K1397="","",INDEX(Base!$L$5:$L$2004,$K1397))</f>
        <v/>
      </c>
      <c r="J1397" s="72" t="str">
        <f aca="false">IFERROR(SMALL(Base!$P$5:$P$2004,ROW()-5),"")</f>
        <v/>
      </c>
      <c r="K1397" s="72" t="str">
        <f aca="false">IF(J1397="","",MATCH(J1397,Base!$P$5:$P$2004,0))</f>
        <v/>
      </c>
    </row>
    <row r="1398" customFormat="false" ht="15" hidden="false" customHeight="false" outlineLevel="0" collapsed="false">
      <c r="A1398" s="67" t="str">
        <f aca="false">IF($K1398="","",ROW()-5)</f>
        <v/>
      </c>
      <c r="B1398" s="68" t="str">
        <f aca="false">IF($K1398="","",INDEX(Base!$E$5:$E$2004,$K1398))</f>
        <v/>
      </c>
      <c r="C1398" s="69" t="str">
        <f aca="false">IF($K1398="","",B1398)</f>
        <v/>
      </c>
      <c r="D1398" s="70" t="str">
        <f aca="false">IF($K1398="","",INDEX(Base!$F$5:$F$2004,$K1398))</f>
        <v/>
      </c>
      <c r="E1398" s="70" t="str">
        <f aca="false">IF($K1398="","",INDEX(Base!$G$5:$G$2004,$K1398))</f>
        <v/>
      </c>
      <c r="F1398" s="71" t="str">
        <f aca="false">IF($K1398="","",INDEX(Base!$H$5:$H$2004,$K1398))</f>
        <v/>
      </c>
      <c r="G1398" s="71" t="str">
        <f aca="false">IF($K1398="","",INDEX(Base!$I$5:$I$2004,$K1398))</f>
        <v/>
      </c>
      <c r="H1398" s="70" t="str">
        <f aca="false">IF($K1398="","",INDEX(Base!$J$5:$J$2004,$K1398))</f>
        <v/>
      </c>
      <c r="I1398" s="71" t="str">
        <f aca="false">IF($K1398="","",INDEX(Base!$L$5:$L$2004,$K1398))</f>
        <v/>
      </c>
      <c r="J1398" s="72" t="str">
        <f aca="false">IFERROR(SMALL(Base!$P$5:$P$2004,ROW()-5),"")</f>
        <v/>
      </c>
      <c r="K1398" s="72" t="str">
        <f aca="false">IF(J1398="","",MATCH(J1398,Base!$P$5:$P$2004,0))</f>
        <v/>
      </c>
    </row>
    <row r="1399" customFormat="false" ht="15" hidden="false" customHeight="false" outlineLevel="0" collapsed="false">
      <c r="A1399" s="67" t="str">
        <f aca="false">IF($K1399="","",ROW()-5)</f>
        <v/>
      </c>
      <c r="B1399" s="68" t="str">
        <f aca="false">IF($K1399="","",INDEX(Base!$E$5:$E$2004,$K1399))</f>
        <v/>
      </c>
      <c r="C1399" s="69" t="str">
        <f aca="false">IF($K1399="","",B1399)</f>
        <v/>
      </c>
      <c r="D1399" s="70" t="str">
        <f aca="false">IF($K1399="","",INDEX(Base!$F$5:$F$2004,$K1399))</f>
        <v/>
      </c>
      <c r="E1399" s="70" t="str">
        <f aca="false">IF($K1399="","",INDEX(Base!$G$5:$G$2004,$K1399))</f>
        <v/>
      </c>
      <c r="F1399" s="71" t="str">
        <f aca="false">IF($K1399="","",INDEX(Base!$H$5:$H$2004,$K1399))</f>
        <v/>
      </c>
      <c r="G1399" s="71" t="str">
        <f aca="false">IF($K1399="","",INDEX(Base!$I$5:$I$2004,$K1399))</f>
        <v/>
      </c>
      <c r="H1399" s="70" t="str">
        <f aca="false">IF($K1399="","",INDEX(Base!$J$5:$J$2004,$K1399))</f>
        <v/>
      </c>
      <c r="I1399" s="71" t="str">
        <f aca="false">IF($K1399="","",INDEX(Base!$L$5:$L$2004,$K1399))</f>
        <v/>
      </c>
      <c r="J1399" s="72" t="str">
        <f aca="false">IFERROR(SMALL(Base!$P$5:$P$2004,ROW()-5),"")</f>
        <v/>
      </c>
      <c r="K1399" s="72" t="str">
        <f aca="false">IF(J1399="","",MATCH(J1399,Base!$P$5:$P$2004,0))</f>
        <v/>
      </c>
    </row>
    <row r="1400" customFormat="false" ht="15" hidden="false" customHeight="false" outlineLevel="0" collapsed="false">
      <c r="A1400" s="67" t="str">
        <f aca="false">IF($K1400="","",ROW()-5)</f>
        <v/>
      </c>
      <c r="B1400" s="68" t="str">
        <f aca="false">IF($K1400="","",INDEX(Base!$E$5:$E$2004,$K1400))</f>
        <v/>
      </c>
      <c r="C1400" s="69" t="str">
        <f aca="false">IF($K1400="","",B1400)</f>
        <v/>
      </c>
      <c r="D1400" s="70" t="str">
        <f aca="false">IF($K1400="","",INDEX(Base!$F$5:$F$2004,$K1400))</f>
        <v/>
      </c>
      <c r="E1400" s="70" t="str">
        <f aca="false">IF($K1400="","",INDEX(Base!$G$5:$G$2004,$K1400))</f>
        <v/>
      </c>
      <c r="F1400" s="71" t="str">
        <f aca="false">IF($K1400="","",INDEX(Base!$H$5:$H$2004,$K1400))</f>
        <v/>
      </c>
      <c r="G1400" s="71" t="str">
        <f aca="false">IF($K1400="","",INDEX(Base!$I$5:$I$2004,$K1400))</f>
        <v/>
      </c>
      <c r="H1400" s="70" t="str">
        <f aca="false">IF($K1400="","",INDEX(Base!$J$5:$J$2004,$K1400))</f>
        <v/>
      </c>
      <c r="I1400" s="71" t="str">
        <f aca="false">IF($K1400="","",INDEX(Base!$L$5:$L$2004,$K1400))</f>
        <v/>
      </c>
      <c r="J1400" s="72" t="str">
        <f aca="false">IFERROR(SMALL(Base!$P$5:$P$2004,ROW()-5),"")</f>
        <v/>
      </c>
      <c r="K1400" s="72" t="str">
        <f aca="false">IF(J1400="","",MATCH(J1400,Base!$P$5:$P$2004,0))</f>
        <v/>
      </c>
    </row>
    <row r="1401" customFormat="false" ht="15" hidden="false" customHeight="false" outlineLevel="0" collapsed="false">
      <c r="A1401" s="67" t="str">
        <f aca="false">IF($K1401="","",ROW()-5)</f>
        <v/>
      </c>
      <c r="B1401" s="68" t="str">
        <f aca="false">IF($K1401="","",INDEX(Base!$E$5:$E$2004,$K1401))</f>
        <v/>
      </c>
      <c r="C1401" s="69" t="str">
        <f aca="false">IF($K1401="","",B1401)</f>
        <v/>
      </c>
      <c r="D1401" s="70" t="str">
        <f aca="false">IF($K1401="","",INDEX(Base!$F$5:$F$2004,$K1401))</f>
        <v/>
      </c>
      <c r="E1401" s="70" t="str">
        <f aca="false">IF($K1401="","",INDEX(Base!$G$5:$G$2004,$K1401))</f>
        <v/>
      </c>
      <c r="F1401" s="71" t="str">
        <f aca="false">IF($K1401="","",INDEX(Base!$H$5:$H$2004,$K1401))</f>
        <v/>
      </c>
      <c r="G1401" s="71" t="str">
        <f aca="false">IF($K1401="","",INDEX(Base!$I$5:$I$2004,$K1401))</f>
        <v/>
      </c>
      <c r="H1401" s="70" t="str">
        <f aca="false">IF($K1401="","",INDEX(Base!$J$5:$J$2004,$K1401))</f>
        <v/>
      </c>
      <c r="I1401" s="71" t="str">
        <f aca="false">IF($K1401="","",INDEX(Base!$L$5:$L$2004,$K1401))</f>
        <v/>
      </c>
      <c r="J1401" s="72" t="str">
        <f aca="false">IFERROR(SMALL(Base!$P$5:$P$2004,ROW()-5),"")</f>
        <v/>
      </c>
      <c r="K1401" s="72" t="str">
        <f aca="false">IF(J1401="","",MATCH(J1401,Base!$P$5:$P$2004,0))</f>
        <v/>
      </c>
    </row>
    <row r="1402" customFormat="false" ht="15" hidden="false" customHeight="false" outlineLevel="0" collapsed="false">
      <c r="A1402" s="67" t="str">
        <f aca="false">IF($K1402="","",ROW()-5)</f>
        <v/>
      </c>
      <c r="B1402" s="68" t="str">
        <f aca="false">IF($K1402="","",INDEX(Base!$E$5:$E$2004,$K1402))</f>
        <v/>
      </c>
      <c r="C1402" s="69" t="str">
        <f aca="false">IF($K1402="","",B1402)</f>
        <v/>
      </c>
      <c r="D1402" s="70" t="str">
        <f aca="false">IF($K1402="","",INDEX(Base!$F$5:$F$2004,$K1402))</f>
        <v/>
      </c>
      <c r="E1402" s="70" t="str">
        <f aca="false">IF($K1402="","",INDEX(Base!$G$5:$G$2004,$K1402))</f>
        <v/>
      </c>
      <c r="F1402" s="71" t="str">
        <f aca="false">IF($K1402="","",INDEX(Base!$H$5:$H$2004,$K1402))</f>
        <v/>
      </c>
      <c r="G1402" s="71" t="str">
        <f aca="false">IF($K1402="","",INDEX(Base!$I$5:$I$2004,$K1402))</f>
        <v/>
      </c>
      <c r="H1402" s="70" t="str">
        <f aca="false">IF($K1402="","",INDEX(Base!$J$5:$J$2004,$K1402))</f>
        <v/>
      </c>
      <c r="I1402" s="71" t="str">
        <f aca="false">IF($K1402="","",INDEX(Base!$L$5:$L$2004,$K1402))</f>
        <v/>
      </c>
      <c r="J1402" s="72" t="str">
        <f aca="false">IFERROR(SMALL(Base!$P$5:$P$2004,ROW()-5),"")</f>
        <v/>
      </c>
      <c r="K1402" s="72" t="str">
        <f aca="false">IF(J1402="","",MATCH(J1402,Base!$P$5:$P$2004,0))</f>
        <v/>
      </c>
    </row>
    <row r="1403" customFormat="false" ht="15" hidden="false" customHeight="false" outlineLevel="0" collapsed="false">
      <c r="A1403" s="67" t="str">
        <f aca="false">IF($K1403="","",ROW()-5)</f>
        <v/>
      </c>
      <c r="B1403" s="68" t="str">
        <f aca="false">IF($K1403="","",INDEX(Base!$E$5:$E$2004,$K1403))</f>
        <v/>
      </c>
      <c r="C1403" s="69" t="str">
        <f aca="false">IF($K1403="","",B1403)</f>
        <v/>
      </c>
      <c r="D1403" s="70" t="str">
        <f aca="false">IF($K1403="","",INDEX(Base!$F$5:$F$2004,$K1403))</f>
        <v/>
      </c>
      <c r="E1403" s="70" t="str">
        <f aca="false">IF($K1403="","",INDEX(Base!$G$5:$G$2004,$K1403))</f>
        <v/>
      </c>
      <c r="F1403" s="71" t="str">
        <f aca="false">IF($K1403="","",INDEX(Base!$H$5:$H$2004,$K1403))</f>
        <v/>
      </c>
      <c r="G1403" s="71" t="str">
        <f aca="false">IF($K1403="","",INDEX(Base!$I$5:$I$2004,$K1403))</f>
        <v/>
      </c>
      <c r="H1403" s="70" t="str">
        <f aca="false">IF($K1403="","",INDEX(Base!$J$5:$J$2004,$K1403))</f>
        <v/>
      </c>
      <c r="I1403" s="71" t="str">
        <f aca="false">IF($K1403="","",INDEX(Base!$L$5:$L$2004,$K1403))</f>
        <v/>
      </c>
      <c r="J1403" s="72" t="str">
        <f aca="false">IFERROR(SMALL(Base!$P$5:$P$2004,ROW()-5),"")</f>
        <v/>
      </c>
      <c r="K1403" s="72" t="str">
        <f aca="false">IF(J1403="","",MATCH(J1403,Base!$P$5:$P$2004,0))</f>
        <v/>
      </c>
    </row>
    <row r="1404" customFormat="false" ht="15" hidden="false" customHeight="false" outlineLevel="0" collapsed="false">
      <c r="A1404" s="67" t="str">
        <f aca="false">IF($K1404="","",ROW()-5)</f>
        <v/>
      </c>
      <c r="B1404" s="68" t="str">
        <f aca="false">IF($K1404="","",INDEX(Base!$E$5:$E$2004,$K1404))</f>
        <v/>
      </c>
      <c r="C1404" s="69" t="str">
        <f aca="false">IF($K1404="","",B1404)</f>
        <v/>
      </c>
      <c r="D1404" s="70" t="str">
        <f aca="false">IF($K1404="","",INDEX(Base!$F$5:$F$2004,$K1404))</f>
        <v/>
      </c>
      <c r="E1404" s="70" t="str">
        <f aca="false">IF($K1404="","",INDEX(Base!$G$5:$G$2004,$K1404))</f>
        <v/>
      </c>
      <c r="F1404" s="71" t="str">
        <f aca="false">IF($K1404="","",INDEX(Base!$H$5:$H$2004,$K1404))</f>
        <v/>
      </c>
      <c r="G1404" s="71" t="str">
        <f aca="false">IF($K1404="","",INDEX(Base!$I$5:$I$2004,$K1404))</f>
        <v/>
      </c>
      <c r="H1404" s="70" t="str">
        <f aca="false">IF($K1404="","",INDEX(Base!$J$5:$J$2004,$K1404))</f>
        <v/>
      </c>
      <c r="I1404" s="71" t="str">
        <f aca="false">IF($K1404="","",INDEX(Base!$L$5:$L$2004,$K1404))</f>
        <v/>
      </c>
      <c r="J1404" s="72" t="str">
        <f aca="false">IFERROR(SMALL(Base!$P$5:$P$2004,ROW()-5),"")</f>
        <v/>
      </c>
      <c r="K1404" s="72" t="str">
        <f aca="false">IF(J1404="","",MATCH(J1404,Base!$P$5:$P$2004,0))</f>
        <v/>
      </c>
    </row>
    <row r="1405" customFormat="false" ht="15" hidden="false" customHeight="false" outlineLevel="0" collapsed="false">
      <c r="A1405" s="67" t="str">
        <f aca="false">IF($K1405="","",ROW()-5)</f>
        <v/>
      </c>
      <c r="B1405" s="68" t="str">
        <f aca="false">IF($K1405="","",INDEX(Base!$E$5:$E$2004,$K1405))</f>
        <v/>
      </c>
      <c r="C1405" s="69" t="str">
        <f aca="false">IF($K1405="","",B1405)</f>
        <v/>
      </c>
      <c r="D1405" s="70" t="str">
        <f aca="false">IF($K1405="","",INDEX(Base!$F$5:$F$2004,$K1405))</f>
        <v/>
      </c>
      <c r="E1405" s="70" t="str">
        <f aca="false">IF($K1405="","",INDEX(Base!$G$5:$G$2004,$K1405))</f>
        <v/>
      </c>
      <c r="F1405" s="71" t="str">
        <f aca="false">IF($K1405="","",INDEX(Base!$H$5:$H$2004,$K1405))</f>
        <v/>
      </c>
      <c r="G1405" s="71" t="str">
        <f aca="false">IF($K1405="","",INDEX(Base!$I$5:$I$2004,$K1405))</f>
        <v/>
      </c>
      <c r="H1405" s="70" t="str">
        <f aca="false">IF($K1405="","",INDEX(Base!$J$5:$J$2004,$K1405))</f>
        <v/>
      </c>
      <c r="I1405" s="71" t="str">
        <f aca="false">IF($K1405="","",INDEX(Base!$L$5:$L$2004,$K1405))</f>
        <v/>
      </c>
      <c r="J1405" s="72" t="str">
        <f aca="false">IFERROR(SMALL(Base!$P$5:$P$2004,ROW()-5),"")</f>
        <v/>
      </c>
      <c r="K1405" s="72" t="str">
        <f aca="false">IF(J1405="","",MATCH(J1405,Base!$P$5:$P$2004,0))</f>
        <v/>
      </c>
    </row>
    <row r="1406" customFormat="false" ht="15" hidden="false" customHeight="false" outlineLevel="0" collapsed="false">
      <c r="A1406" s="67" t="str">
        <f aca="false">IF($K1406="","",ROW()-5)</f>
        <v/>
      </c>
      <c r="B1406" s="68" t="str">
        <f aca="false">IF($K1406="","",INDEX(Base!$E$5:$E$2004,$K1406))</f>
        <v/>
      </c>
      <c r="C1406" s="69" t="str">
        <f aca="false">IF($K1406="","",B1406)</f>
        <v/>
      </c>
      <c r="D1406" s="70" t="str">
        <f aca="false">IF($K1406="","",INDEX(Base!$F$5:$F$2004,$K1406))</f>
        <v/>
      </c>
      <c r="E1406" s="70" t="str">
        <f aca="false">IF($K1406="","",INDEX(Base!$G$5:$G$2004,$K1406))</f>
        <v/>
      </c>
      <c r="F1406" s="71" t="str">
        <f aca="false">IF($K1406="","",INDEX(Base!$H$5:$H$2004,$K1406))</f>
        <v/>
      </c>
      <c r="G1406" s="71" t="str">
        <f aca="false">IF($K1406="","",INDEX(Base!$I$5:$I$2004,$K1406))</f>
        <v/>
      </c>
      <c r="H1406" s="70" t="str">
        <f aca="false">IF($K1406="","",INDEX(Base!$J$5:$J$2004,$K1406))</f>
        <v/>
      </c>
      <c r="I1406" s="71" t="str">
        <f aca="false">IF($K1406="","",INDEX(Base!$L$5:$L$2004,$K1406))</f>
        <v/>
      </c>
      <c r="J1406" s="72" t="str">
        <f aca="false">IFERROR(SMALL(Base!$P$5:$P$2004,ROW()-5),"")</f>
        <v/>
      </c>
      <c r="K1406" s="72" t="str">
        <f aca="false">IF(J1406="","",MATCH(J1406,Base!$P$5:$P$2004,0))</f>
        <v/>
      </c>
    </row>
    <row r="1407" customFormat="false" ht="15" hidden="false" customHeight="false" outlineLevel="0" collapsed="false">
      <c r="A1407" s="67" t="str">
        <f aca="false">IF($K1407="","",ROW()-5)</f>
        <v/>
      </c>
      <c r="B1407" s="68" t="str">
        <f aca="false">IF($K1407="","",INDEX(Base!$E$5:$E$2004,$K1407))</f>
        <v/>
      </c>
      <c r="C1407" s="69" t="str">
        <f aca="false">IF($K1407="","",B1407)</f>
        <v/>
      </c>
      <c r="D1407" s="70" t="str">
        <f aca="false">IF($K1407="","",INDEX(Base!$F$5:$F$2004,$K1407))</f>
        <v/>
      </c>
      <c r="E1407" s="70" t="str">
        <f aca="false">IF($K1407="","",INDEX(Base!$G$5:$G$2004,$K1407))</f>
        <v/>
      </c>
      <c r="F1407" s="71" t="str">
        <f aca="false">IF($K1407="","",INDEX(Base!$H$5:$H$2004,$K1407))</f>
        <v/>
      </c>
      <c r="G1407" s="71" t="str">
        <f aca="false">IF($K1407="","",INDEX(Base!$I$5:$I$2004,$K1407))</f>
        <v/>
      </c>
      <c r="H1407" s="70" t="str">
        <f aca="false">IF($K1407="","",INDEX(Base!$J$5:$J$2004,$K1407))</f>
        <v/>
      </c>
      <c r="I1407" s="71" t="str">
        <f aca="false">IF($K1407="","",INDEX(Base!$L$5:$L$2004,$K1407))</f>
        <v/>
      </c>
      <c r="J1407" s="72" t="str">
        <f aca="false">IFERROR(SMALL(Base!$P$5:$P$2004,ROW()-5),"")</f>
        <v/>
      </c>
      <c r="K1407" s="72" t="str">
        <f aca="false">IF(J1407="","",MATCH(J1407,Base!$P$5:$P$2004,0))</f>
        <v/>
      </c>
    </row>
    <row r="1408" customFormat="false" ht="15" hidden="false" customHeight="false" outlineLevel="0" collapsed="false">
      <c r="A1408" s="67" t="str">
        <f aca="false">IF($K1408="","",ROW()-5)</f>
        <v/>
      </c>
      <c r="B1408" s="68" t="str">
        <f aca="false">IF($K1408="","",INDEX(Base!$E$5:$E$2004,$K1408))</f>
        <v/>
      </c>
      <c r="C1408" s="69" t="str">
        <f aca="false">IF($K1408="","",B1408)</f>
        <v/>
      </c>
      <c r="D1408" s="70" t="str">
        <f aca="false">IF($K1408="","",INDEX(Base!$F$5:$F$2004,$K1408))</f>
        <v/>
      </c>
      <c r="E1408" s="70" t="str">
        <f aca="false">IF($K1408="","",INDEX(Base!$G$5:$G$2004,$K1408))</f>
        <v/>
      </c>
      <c r="F1408" s="71" t="str">
        <f aca="false">IF($K1408="","",INDEX(Base!$H$5:$H$2004,$K1408))</f>
        <v/>
      </c>
      <c r="G1408" s="71" t="str">
        <f aca="false">IF($K1408="","",INDEX(Base!$I$5:$I$2004,$K1408))</f>
        <v/>
      </c>
      <c r="H1408" s="70" t="str">
        <f aca="false">IF($K1408="","",INDEX(Base!$J$5:$J$2004,$K1408))</f>
        <v/>
      </c>
      <c r="I1408" s="71" t="str">
        <f aca="false">IF($K1408="","",INDEX(Base!$L$5:$L$2004,$K1408))</f>
        <v/>
      </c>
      <c r="J1408" s="72" t="str">
        <f aca="false">IFERROR(SMALL(Base!$P$5:$P$2004,ROW()-5),"")</f>
        <v/>
      </c>
      <c r="K1408" s="72" t="str">
        <f aca="false">IF(J1408="","",MATCH(J1408,Base!$P$5:$P$2004,0))</f>
        <v/>
      </c>
    </row>
    <row r="1409" customFormat="false" ht="15" hidden="false" customHeight="false" outlineLevel="0" collapsed="false">
      <c r="A1409" s="67" t="str">
        <f aca="false">IF($K1409="","",ROW()-5)</f>
        <v/>
      </c>
      <c r="B1409" s="68" t="str">
        <f aca="false">IF($K1409="","",INDEX(Base!$E$5:$E$2004,$K1409))</f>
        <v/>
      </c>
      <c r="C1409" s="69" t="str">
        <f aca="false">IF($K1409="","",B1409)</f>
        <v/>
      </c>
      <c r="D1409" s="70" t="str">
        <f aca="false">IF($K1409="","",INDEX(Base!$F$5:$F$2004,$K1409))</f>
        <v/>
      </c>
      <c r="E1409" s="70" t="str">
        <f aca="false">IF($K1409="","",INDEX(Base!$G$5:$G$2004,$K1409))</f>
        <v/>
      </c>
      <c r="F1409" s="71" t="str">
        <f aca="false">IF($K1409="","",INDEX(Base!$H$5:$H$2004,$K1409))</f>
        <v/>
      </c>
      <c r="G1409" s="71" t="str">
        <f aca="false">IF($K1409="","",INDEX(Base!$I$5:$I$2004,$K1409))</f>
        <v/>
      </c>
      <c r="H1409" s="70" t="str">
        <f aca="false">IF($K1409="","",INDEX(Base!$J$5:$J$2004,$K1409))</f>
        <v/>
      </c>
      <c r="I1409" s="71" t="str">
        <f aca="false">IF($K1409="","",INDEX(Base!$L$5:$L$2004,$K1409))</f>
        <v/>
      </c>
      <c r="J1409" s="72" t="str">
        <f aca="false">IFERROR(SMALL(Base!$P$5:$P$2004,ROW()-5),"")</f>
        <v/>
      </c>
      <c r="K1409" s="72" t="str">
        <f aca="false">IF(J1409="","",MATCH(J1409,Base!$P$5:$P$2004,0))</f>
        <v/>
      </c>
    </row>
    <row r="1410" customFormat="false" ht="15" hidden="false" customHeight="false" outlineLevel="0" collapsed="false">
      <c r="A1410" s="67" t="str">
        <f aca="false">IF($K1410="","",ROW()-5)</f>
        <v/>
      </c>
      <c r="B1410" s="68" t="str">
        <f aca="false">IF($K1410="","",INDEX(Base!$E$5:$E$2004,$K1410))</f>
        <v/>
      </c>
      <c r="C1410" s="69" t="str">
        <f aca="false">IF($K1410="","",B1410)</f>
        <v/>
      </c>
      <c r="D1410" s="70" t="str">
        <f aca="false">IF($K1410="","",INDEX(Base!$F$5:$F$2004,$K1410))</f>
        <v/>
      </c>
      <c r="E1410" s="70" t="str">
        <f aca="false">IF($K1410="","",INDEX(Base!$G$5:$G$2004,$K1410))</f>
        <v/>
      </c>
      <c r="F1410" s="71" t="str">
        <f aca="false">IF($K1410="","",INDEX(Base!$H$5:$H$2004,$K1410))</f>
        <v/>
      </c>
      <c r="G1410" s="71" t="str">
        <f aca="false">IF($K1410="","",INDEX(Base!$I$5:$I$2004,$K1410))</f>
        <v/>
      </c>
      <c r="H1410" s="70" t="str">
        <f aca="false">IF($K1410="","",INDEX(Base!$J$5:$J$2004,$K1410))</f>
        <v/>
      </c>
      <c r="I1410" s="71" t="str">
        <f aca="false">IF($K1410="","",INDEX(Base!$L$5:$L$2004,$K1410))</f>
        <v/>
      </c>
      <c r="J1410" s="72" t="str">
        <f aca="false">IFERROR(SMALL(Base!$P$5:$P$2004,ROW()-5),"")</f>
        <v/>
      </c>
      <c r="K1410" s="72" t="str">
        <f aca="false">IF(J1410="","",MATCH(J1410,Base!$P$5:$P$2004,0))</f>
        <v/>
      </c>
    </row>
    <row r="1411" customFormat="false" ht="15" hidden="false" customHeight="false" outlineLevel="0" collapsed="false">
      <c r="A1411" s="67" t="str">
        <f aca="false">IF($K1411="","",ROW()-5)</f>
        <v/>
      </c>
      <c r="B1411" s="68" t="str">
        <f aca="false">IF($K1411="","",INDEX(Base!$E$5:$E$2004,$K1411))</f>
        <v/>
      </c>
      <c r="C1411" s="69" t="str">
        <f aca="false">IF($K1411="","",B1411)</f>
        <v/>
      </c>
      <c r="D1411" s="70" t="str">
        <f aca="false">IF($K1411="","",INDEX(Base!$F$5:$F$2004,$K1411))</f>
        <v/>
      </c>
      <c r="E1411" s="70" t="str">
        <f aca="false">IF($K1411="","",INDEX(Base!$G$5:$G$2004,$K1411))</f>
        <v/>
      </c>
      <c r="F1411" s="71" t="str">
        <f aca="false">IF($K1411="","",INDEX(Base!$H$5:$H$2004,$K1411))</f>
        <v/>
      </c>
      <c r="G1411" s="71" t="str">
        <f aca="false">IF($K1411="","",INDEX(Base!$I$5:$I$2004,$K1411))</f>
        <v/>
      </c>
      <c r="H1411" s="70" t="str">
        <f aca="false">IF($K1411="","",INDEX(Base!$J$5:$J$2004,$K1411))</f>
        <v/>
      </c>
      <c r="I1411" s="71" t="str">
        <f aca="false">IF($K1411="","",INDEX(Base!$L$5:$L$2004,$K1411))</f>
        <v/>
      </c>
      <c r="J1411" s="72" t="str">
        <f aca="false">IFERROR(SMALL(Base!$P$5:$P$2004,ROW()-5),"")</f>
        <v/>
      </c>
      <c r="K1411" s="72" t="str">
        <f aca="false">IF(J1411="","",MATCH(J1411,Base!$P$5:$P$2004,0))</f>
        <v/>
      </c>
    </row>
    <row r="1412" customFormat="false" ht="15" hidden="false" customHeight="false" outlineLevel="0" collapsed="false">
      <c r="A1412" s="67" t="str">
        <f aca="false">IF($K1412="","",ROW()-5)</f>
        <v/>
      </c>
      <c r="B1412" s="68" t="str">
        <f aca="false">IF($K1412="","",INDEX(Base!$E$5:$E$2004,$K1412))</f>
        <v/>
      </c>
      <c r="C1412" s="69" t="str">
        <f aca="false">IF($K1412="","",B1412)</f>
        <v/>
      </c>
      <c r="D1412" s="70" t="str">
        <f aca="false">IF($K1412="","",INDEX(Base!$F$5:$F$2004,$K1412))</f>
        <v/>
      </c>
      <c r="E1412" s="70" t="str">
        <f aca="false">IF($K1412="","",INDEX(Base!$G$5:$G$2004,$K1412))</f>
        <v/>
      </c>
      <c r="F1412" s="71" t="str">
        <f aca="false">IF($K1412="","",INDEX(Base!$H$5:$H$2004,$K1412))</f>
        <v/>
      </c>
      <c r="G1412" s="71" t="str">
        <f aca="false">IF($K1412="","",INDEX(Base!$I$5:$I$2004,$K1412))</f>
        <v/>
      </c>
      <c r="H1412" s="70" t="str">
        <f aca="false">IF($K1412="","",INDEX(Base!$J$5:$J$2004,$K1412))</f>
        <v/>
      </c>
      <c r="I1412" s="71" t="str">
        <f aca="false">IF($K1412="","",INDEX(Base!$L$5:$L$2004,$K1412))</f>
        <v/>
      </c>
      <c r="J1412" s="72" t="str">
        <f aca="false">IFERROR(SMALL(Base!$P$5:$P$2004,ROW()-5),"")</f>
        <v/>
      </c>
      <c r="K1412" s="72" t="str">
        <f aca="false">IF(J1412="","",MATCH(J1412,Base!$P$5:$P$2004,0))</f>
        <v/>
      </c>
    </row>
    <row r="1413" customFormat="false" ht="15" hidden="false" customHeight="false" outlineLevel="0" collapsed="false">
      <c r="A1413" s="67" t="str">
        <f aca="false">IF($K1413="","",ROW()-5)</f>
        <v/>
      </c>
      <c r="B1413" s="68" t="str">
        <f aca="false">IF($K1413="","",INDEX(Base!$E$5:$E$2004,$K1413))</f>
        <v/>
      </c>
      <c r="C1413" s="69" t="str">
        <f aca="false">IF($K1413="","",B1413)</f>
        <v/>
      </c>
      <c r="D1413" s="70" t="str">
        <f aca="false">IF($K1413="","",INDEX(Base!$F$5:$F$2004,$K1413))</f>
        <v/>
      </c>
      <c r="E1413" s="70" t="str">
        <f aca="false">IF($K1413="","",INDEX(Base!$G$5:$G$2004,$K1413))</f>
        <v/>
      </c>
      <c r="F1413" s="71" t="str">
        <f aca="false">IF($K1413="","",INDEX(Base!$H$5:$H$2004,$K1413))</f>
        <v/>
      </c>
      <c r="G1413" s="71" t="str">
        <f aca="false">IF($K1413="","",INDEX(Base!$I$5:$I$2004,$K1413))</f>
        <v/>
      </c>
      <c r="H1413" s="70" t="str">
        <f aca="false">IF($K1413="","",INDEX(Base!$J$5:$J$2004,$K1413))</f>
        <v/>
      </c>
      <c r="I1413" s="71" t="str">
        <f aca="false">IF($K1413="","",INDEX(Base!$L$5:$L$2004,$K1413))</f>
        <v/>
      </c>
      <c r="J1413" s="72" t="str">
        <f aca="false">IFERROR(SMALL(Base!$P$5:$P$2004,ROW()-5),"")</f>
        <v/>
      </c>
      <c r="K1413" s="72" t="str">
        <f aca="false">IF(J1413="","",MATCH(J1413,Base!$P$5:$P$2004,0))</f>
        <v/>
      </c>
    </row>
    <row r="1414" customFormat="false" ht="15" hidden="false" customHeight="false" outlineLevel="0" collapsed="false">
      <c r="A1414" s="67" t="str">
        <f aca="false">IF($K1414="","",ROW()-5)</f>
        <v/>
      </c>
      <c r="B1414" s="68" t="str">
        <f aca="false">IF($K1414="","",INDEX(Base!$E$5:$E$2004,$K1414))</f>
        <v/>
      </c>
      <c r="C1414" s="69" t="str">
        <f aca="false">IF($K1414="","",B1414)</f>
        <v/>
      </c>
      <c r="D1414" s="70" t="str">
        <f aca="false">IF($K1414="","",INDEX(Base!$F$5:$F$2004,$K1414))</f>
        <v/>
      </c>
      <c r="E1414" s="70" t="str">
        <f aca="false">IF($K1414="","",INDEX(Base!$G$5:$G$2004,$K1414))</f>
        <v/>
      </c>
      <c r="F1414" s="71" t="str">
        <f aca="false">IF($K1414="","",INDEX(Base!$H$5:$H$2004,$K1414))</f>
        <v/>
      </c>
      <c r="G1414" s="71" t="str">
        <f aca="false">IF($K1414="","",INDEX(Base!$I$5:$I$2004,$K1414))</f>
        <v/>
      </c>
      <c r="H1414" s="70" t="str">
        <f aca="false">IF($K1414="","",INDEX(Base!$J$5:$J$2004,$K1414))</f>
        <v/>
      </c>
      <c r="I1414" s="71" t="str">
        <f aca="false">IF($K1414="","",INDEX(Base!$L$5:$L$2004,$K1414))</f>
        <v/>
      </c>
      <c r="J1414" s="72" t="str">
        <f aca="false">IFERROR(SMALL(Base!$P$5:$P$2004,ROW()-5),"")</f>
        <v/>
      </c>
      <c r="K1414" s="72" t="str">
        <f aca="false">IF(J1414="","",MATCH(J1414,Base!$P$5:$P$2004,0))</f>
        <v/>
      </c>
    </row>
    <row r="1415" customFormat="false" ht="15" hidden="false" customHeight="false" outlineLevel="0" collapsed="false">
      <c r="A1415" s="67" t="str">
        <f aca="false">IF($K1415="","",ROW()-5)</f>
        <v/>
      </c>
      <c r="B1415" s="68" t="str">
        <f aca="false">IF($K1415="","",INDEX(Base!$E$5:$E$2004,$K1415))</f>
        <v/>
      </c>
      <c r="C1415" s="69" t="str">
        <f aca="false">IF($K1415="","",B1415)</f>
        <v/>
      </c>
      <c r="D1415" s="70" t="str">
        <f aca="false">IF($K1415="","",INDEX(Base!$F$5:$F$2004,$K1415))</f>
        <v/>
      </c>
      <c r="E1415" s="70" t="str">
        <f aca="false">IF($K1415="","",INDEX(Base!$G$5:$G$2004,$K1415))</f>
        <v/>
      </c>
      <c r="F1415" s="71" t="str">
        <f aca="false">IF($K1415="","",INDEX(Base!$H$5:$H$2004,$K1415))</f>
        <v/>
      </c>
      <c r="G1415" s="71" t="str">
        <f aca="false">IF($K1415="","",INDEX(Base!$I$5:$I$2004,$K1415))</f>
        <v/>
      </c>
      <c r="H1415" s="70" t="str">
        <f aca="false">IF($K1415="","",INDEX(Base!$J$5:$J$2004,$K1415))</f>
        <v/>
      </c>
      <c r="I1415" s="71" t="str">
        <f aca="false">IF($K1415="","",INDEX(Base!$L$5:$L$2004,$K1415))</f>
        <v/>
      </c>
      <c r="J1415" s="72" t="str">
        <f aca="false">IFERROR(SMALL(Base!$P$5:$P$2004,ROW()-5),"")</f>
        <v/>
      </c>
      <c r="K1415" s="72" t="str">
        <f aca="false">IF(J1415="","",MATCH(J1415,Base!$P$5:$P$2004,0))</f>
        <v/>
      </c>
    </row>
    <row r="1416" customFormat="false" ht="15" hidden="false" customHeight="false" outlineLevel="0" collapsed="false">
      <c r="A1416" s="67" t="str">
        <f aca="false">IF($K1416="","",ROW()-5)</f>
        <v/>
      </c>
      <c r="B1416" s="68" t="str">
        <f aca="false">IF($K1416="","",INDEX(Base!$E$5:$E$2004,$K1416))</f>
        <v/>
      </c>
      <c r="C1416" s="69" t="str">
        <f aca="false">IF($K1416="","",B1416)</f>
        <v/>
      </c>
      <c r="D1416" s="70" t="str">
        <f aca="false">IF($K1416="","",INDEX(Base!$F$5:$F$2004,$K1416))</f>
        <v/>
      </c>
      <c r="E1416" s="70" t="str">
        <f aca="false">IF($K1416="","",INDEX(Base!$G$5:$G$2004,$K1416))</f>
        <v/>
      </c>
      <c r="F1416" s="71" t="str">
        <f aca="false">IF($K1416="","",INDEX(Base!$H$5:$H$2004,$K1416))</f>
        <v/>
      </c>
      <c r="G1416" s="71" t="str">
        <f aca="false">IF($K1416="","",INDEX(Base!$I$5:$I$2004,$K1416))</f>
        <v/>
      </c>
      <c r="H1416" s="70" t="str">
        <f aca="false">IF($K1416="","",INDEX(Base!$J$5:$J$2004,$K1416))</f>
        <v/>
      </c>
      <c r="I1416" s="71" t="str">
        <f aca="false">IF($K1416="","",INDEX(Base!$L$5:$L$2004,$K1416))</f>
        <v/>
      </c>
      <c r="J1416" s="72" t="str">
        <f aca="false">IFERROR(SMALL(Base!$P$5:$P$2004,ROW()-5),"")</f>
        <v/>
      </c>
      <c r="K1416" s="72" t="str">
        <f aca="false">IF(J1416="","",MATCH(J1416,Base!$P$5:$P$2004,0))</f>
        <v/>
      </c>
    </row>
    <row r="1417" customFormat="false" ht="15" hidden="false" customHeight="false" outlineLevel="0" collapsed="false">
      <c r="A1417" s="67" t="str">
        <f aca="false">IF($K1417="","",ROW()-5)</f>
        <v/>
      </c>
      <c r="B1417" s="68" t="str">
        <f aca="false">IF($K1417="","",INDEX(Base!$E$5:$E$2004,$K1417))</f>
        <v/>
      </c>
      <c r="C1417" s="69" t="str">
        <f aca="false">IF($K1417="","",B1417)</f>
        <v/>
      </c>
      <c r="D1417" s="70" t="str">
        <f aca="false">IF($K1417="","",INDEX(Base!$F$5:$F$2004,$K1417))</f>
        <v/>
      </c>
      <c r="E1417" s="70" t="str">
        <f aca="false">IF($K1417="","",INDEX(Base!$G$5:$G$2004,$K1417))</f>
        <v/>
      </c>
      <c r="F1417" s="71" t="str">
        <f aca="false">IF($K1417="","",INDEX(Base!$H$5:$H$2004,$K1417))</f>
        <v/>
      </c>
      <c r="G1417" s="71" t="str">
        <f aca="false">IF($K1417="","",INDEX(Base!$I$5:$I$2004,$K1417))</f>
        <v/>
      </c>
      <c r="H1417" s="70" t="str">
        <f aca="false">IF($K1417="","",INDEX(Base!$J$5:$J$2004,$K1417))</f>
        <v/>
      </c>
      <c r="I1417" s="71" t="str">
        <f aca="false">IF($K1417="","",INDEX(Base!$L$5:$L$2004,$K1417))</f>
        <v/>
      </c>
      <c r="J1417" s="72" t="str">
        <f aca="false">IFERROR(SMALL(Base!$P$5:$P$2004,ROW()-5),"")</f>
        <v/>
      </c>
      <c r="K1417" s="72" t="str">
        <f aca="false">IF(J1417="","",MATCH(J1417,Base!$P$5:$P$2004,0))</f>
        <v/>
      </c>
    </row>
    <row r="1418" customFormat="false" ht="15" hidden="false" customHeight="false" outlineLevel="0" collapsed="false">
      <c r="A1418" s="67" t="str">
        <f aca="false">IF($K1418="","",ROW()-5)</f>
        <v/>
      </c>
      <c r="B1418" s="68" t="str">
        <f aca="false">IF($K1418="","",INDEX(Base!$E$5:$E$2004,$K1418))</f>
        <v/>
      </c>
      <c r="C1418" s="69" t="str">
        <f aca="false">IF($K1418="","",B1418)</f>
        <v/>
      </c>
      <c r="D1418" s="70" t="str">
        <f aca="false">IF($K1418="","",INDEX(Base!$F$5:$F$2004,$K1418))</f>
        <v/>
      </c>
      <c r="E1418" s="70" t="str">
        <f aca="false">IF($K1418="","",INDEX(Base!$G$5:$G$2004,$K1418))</f>
        <v/>
      </c>
      <c r="F1418" s="71" t="str">
        <f aca="false">IF($K1418="","",INDEX(Base!$H$5:$H$2004,$K1418))</f>
        <v/>
      </c>
      <c r="G1418" s="71" t="str">
        <f aca="false">IF($K1418="","",INDEX(Base!$I$5:$I$2004,$K1418))</f>
        <v/>
      </c>
      <c r="H1418" s="70" t="str">
        <f aca="false">IF($K1418="","",INDEX(Base!$J$5:$J$2004,$K1418))</f>
        <v/>
      </c>
      <c r="I1418" s="71" t="str">
        <f aca="false">IF($K1418="","",INDEX(Base!$L$5:$L$2004,$K1418))</f>
        <v/>
      </c>
      <c r="J1418" s="72" t="str">
        <f aca="false">IFERROR(SMALL(Base!$P$5:$P$2004,ROW()-5),"")</f>
        <v/>
      </c>
      <c r="K1418" s="72" t="str">
        <f aca="false">IF(J1418="","",MATCH(J1418,Base!$P$5:$P$2004,0))</f>
        <v/>
      </c>
    </row>
    <row r="1419" customFormat="false" ht="15" hidden="false" customHeight="false" outlineLevel="0" collapsed="false">
      <c r="A1419" s="67" t="str">
        <f aca="false">IF($K1419="","",ROW()-5)</f>
        <v/>
      </c>
      <c r="B1419" s="68" t="str">
        <f aca="false">IF($K1419="","",INDEX(Base!$E$5:$E$2004,$K1419))</f>
        <v/>
      </c>
      <c r="C1419" s="69" t="str">
        <f aca="false">IF($K1419="","",B1419)</f>
        <v/>
      </c>
      <c r="D1419" s="70" t="str">
        <f aca="false">IF($K1419="","",INDEX(Base!$F$5:$F$2004,$K1419))</f>
        <v/>
      </c>
      <c r="E1419" s="70" t="str">
        <f aca="false">IF($K1419="","",INDEX(Base!$G$5:$G$2004,$K1419))</f>
        <v/>
      </c>
      <c r="F1419" s="71" t="str">
        <f aca="false">IF($K1419="","",INDEX(Base!$H$5:$H$2004,$K1419))</f>
        <v/>
      </c>
      <c r="G1419" s="71" t="str">
        <f aca="false">IF($K1419="","",INDEX(Base!$I$5:$I$2004,$K1419))</f>
        <v/>
      </c>
      <c r="H1419" s="70" t="str">
        <f aca="false">IF($K1419="","",INDEX(Base!$J$5:$J$2004,$K1419))</f>
        <v/>
      </c>
      <c r="I1419" s="71" t="str">
        <f aca="false">IF($K1419="","",INDEX(Base!$L$5:$L$2004,$K1419))</f>
        <v/>
      </c>
      <c r="J1419" s="72" t="str">
        <f aca="false">IFERROR(SMALL(Base!$P$5:$P$2004,ROW()-5),"")</f>
        <v/>
      </c>
      <c r="K1419" s="72" t="str">
        <f aca="false">IF(J1419="","",MATCH(J1419,Base!$P$5:$P$2004,0))</f>
        <v/>
      </c>
    </row>
    <row r="1420" customFormat="false" ht="15" hidden="false" customHeight="false" outlineLevel="0" collapsed="false">
      <c r="A1420" s="67" t="str">
        <f aca="false">IF($K1420="","",ROW()-5)</f>
        <v/>
      </c>
      <c r="B1420" s="68" t="str">
        <f aca="false">IF($K1420="","",INDEX(Base!$E$5:$E$2004,$K1420))</f>
        <v/>
      </c>
      <c r="C1420" s="69" t="str">
        <f aca="false">IF($K1420="","",B1420)</f>
        <v/>
      </c>
      <c r="D1420" s="70" t="str">
        <f aca="false">IF($K1420="","",INDEX(Base!$F$5:$F$2004,$K1420))</f>
        <v/>
      </c>
      <c r="E1420" s="70" t="str">
        <f aca="false">IF($K1420="","",INDEX(Base!$G$5:$G$2004,$K1420))</f>
        <v/>
      </c>
      <c r="F1420" s="71" t="str">
        <f aca="false">IF($K1420="","",INDEX(Base!$H$5:$H$2004,$K1420))</f>
        <v/>
      </c>
      <c r="G1420" s="71" t="str">
        <f aca="false">IF($K1420="","",INDEX(Base!$I$5:$I$2004,$K1420))</f>
        <v/>
      </c>
      <c r="H1420" s="70" t="str">
        <f aca="false">IF($K1420="","",INDEX(Base!$J$5:$J$2004,$K1420))</f>
        <v/>
      </c>
      <c r="I1420" s="71" t="str">
        <f aca="false">IF($K1420="","",INDEX(Base!$L$5:$L$2004,$K1420))</f>
        <v/>
      </c>
      <c r="J1420" s="72" t="str">
        <f aca="false">IFERROR(SMALL(Base!$P$5:$P$2004,ROW()-5),"")</f>
        <v/>
      </c>
      <c r="K1420" s="72" t="str">
        <f aca="false">IF(J1420="","",MATCH(J1420,Base!$P$5:$P$2004,0))</f>
        <v/>
      </c>
    </row>
    <row r="1421" customFormat="false" ht="15" hidden="false" customHeight="false" outlineLevel="0" collapsed="false">
      <c r="A1421" s="67" t="str">
        <f aca="false">IF($K1421="","",ROW()-5)</f>
        <v/>
      </c>
      <c r="B1421" s="68" t="str">
        <f aca="false">IF($K1421="","",INDEX(Base!$E$5:$E$2004,$K1421))</f>
        <v/>
      </c>
      <c r="C1421" s="69" t="str">
        <f aca="false">IF($K1421="","",B1421)</f>
        <v/>
      </c>
      <c r="D1421" s="70" t="str">
        <f aca="false">IF($K1421="","",INDEX(Base!$F$5:$F$2004,$K1421))</f>
        <v/>
      </c>
      <c r="E1421" s="70" t="str">
        <f aca="false">IF($K1421="","",INDEX(Base!$G$5:$G$2004,$K1421))</f>
        <v/>
      </c>
      <c r="F1421" s="71" t="str">
        <f aca="false">IF($K1421="","",INDEX(Base!$H$5:$H$2004,$K1421))</f>
        <v/>
      </c>
      <c r="G1421" s="71" t="str">
        <f aca="false">IF($K1421="","",INDEX(Base!$I$5:$I$2004,$K1421))</f>
        <v/>
      </c>
      <c r="H1421" s="70" t="str">
        <f aca="false">IF($K1421="","",INDEX(Base!$J$5:$J$2004,$K1421))</f>
        <v/>
      </c>
      <c r="I1421" s="71" t="str">
        <f aca="false">IF($K1421="","",INDEX(Base!$L$5:$L$2004,$K1421))</f>
        <v/>
      </c>
      <c r="J1421" s="72" t="str">
        <f aca="false">IFERROR(SMALL(Base!$P$5:$P$2004,ROW()-5),"")</f>
        <v/>
      </c>
      <c r="K1421" s="72" t="str">
        <f aca="false">IF(J1421="","",MATCH(J1421,Base!$P$5:$P$2004,0))</f>
        <v/>
      </c>
    </row>
    <row r="1422" customFormat="false" ht="15" hidden="false" customHeight="false" outlineLevel="0" collapsed="false">
      <c r="A1422" s="67" t="str">
        <f aca="false">IF($K1422="","",ROW()-5)</f>
        <v/>
      </c>
      <c r="B1422" s="68" t="str">
        <f aca="false">IF($K1422="","",INDEX(Base!$E$5:$E$2004,$K1422))</f>
        <v/>
      </c>
      <c r="C1422" s="69" t="str">
        <f aca="false">IF($K1422="","",B1422)</f>
        <v/>
      </c>
      <c r="D1422" s="70" t="str">
        <f aca="false">IF($K1422="","",INDEX(Base!$F$5:$F$2004,$K1422))</f>
        <v/>
      </c>
      <c r="E1422" s="70" t="str">
        <f aca="false">IF($K1422="","",INDEX(Base!$G$5:$G$2004,$K1422))</f>
        <v/>
      </c>
      <c r="F1422" s="71" t="str">
        <f aca="false">IF($K1422="","",INDEX(Base!$H$5:$H$2004,$K1422))</f>
        <v/>
      </c>
      <c r="G1422" s="71" t="str">
        <f aca="false">IF($K1422="","",INDEX(Base!$I$5:$I$2004,$K1422))</f>
        <v/>
      </c>
      <c r="H1422" s="70" t="str">
        <f aca="false">IF($K1422="","",INDEX(Base!$J$5:$J$2004,$K1422))</f>
        <v/>
      </c>
      <c r="I1422" s="71" t="str">
        <f aca="false">IF($K1422="","",INDEX(Base!$L$5:$L$2004,$K1422))</f>
        <v/>
      </c>
      <c r="J1422" s="72" t="str">
        <f aca="false">IFERROR(SMALL(Base!$P$5:$P$2004,ROW()-5),"")</f>
        <v/>
      </c>
      <c r="K1422" s="72" t="str">
        <f aca="false">IF(J1422="","",MATCH(J1422,Base!$P$5:$P$2004,0))</f>
        <v/>
      </c>
    </row>
    <row r="1423" customFormat="false" ht="15" hidden="false" customHeight="false" outlineLevel="0" collapsed="false">
      <c r="A1423" s="67" t="str">
        <f aca="false">IF($K1423="","",ROW()-5)</f>
        <v/>
      </c>
      <c r="B1423" s="68" t="str">
        <f aca="false">IF($K1423="","",INDEX(Base!$E$5:$E$2004,$K1423))</f>
        <v/>
      </c>
      <c r="C1423" s="69" t="str">
        <f aca="false">IF($K1423="","",B1423)</f>
        <v/>
      </c>
      <c r="D1423" s="70" t="str">
        <f aca="false">IF($K1423="","",INDEX(Base!$F$5:$F$2004,$K1423))</f>
        <v/>
      </c>
      <c r="E1423" s="70" t="str">
        <f aca="false">IF($K1423="","",INDEX(Base!$G$5:$G$2004,$K1423))</f>
        <v/>
      </c>
      <c r="F1423" s="71" t="str">
        <f aca="false">IF($K1423="","",INDEX(Base!$H$5:$H$2004,$K1423))</f>
        <v/>
      </c>
      <c r="G1423" s="71" t="str">
        <f aca="false">IF($K1423="","",INDEX(Base!$I$5:$I$2004,$K1423))</f>
        <v/>
      </c>
      <c r="H1423" s="70" t="str">
        <f aca="false">IF($K1423="","",INDEX(Base!$J$5:$J$2004,$K1423))</f>
        <v/>
      </c>
      <c r="I1423" s="71" t="str">
        <f aca="false">IF($K1423="","",INDEX(Base!$L$5:$L$2004,$K1423))</f>
        <v/>
      </c>
      <c r="J1423" s="72" t="str">
        <f aca="false">IFERROR(SMALL(Base!$P$5:$P$2004,ROW()-5),"")</f>
        <v/>
      </c>
      <c r="K1423" s="72" t="str">
        <f aca="false">IF(J1423="","",MATCH(J1423,Base!$P$5:$P$2004,0))</f>
        <v/>
      </c>
    </row>
    <row r="1424" customFormat="false" ht="15" hidden="false" customHeight="false" outlineLevel="0" collapsed="false">
      <c r="A1424" s="67" t="str">
        <f aca="false">IF($K1424="","",ROW()-5)</f>
        <v/>
      </c>
      <c r="B1424" s="68" t="str">
        <f aca="false">IF($K1424="","",INDEX(Base!$E$5:$E$2004,$K1424))</f>
        <v/>
      </c>
      <c r="C1424" s="69" t="str">
        <f aca="false">IF($K1424="","",B1424)</f>
        <v/>
      </c>
      <c r="D1424" s="70" t="str">
        <f aca="false">IF($K1424="","",INDEX(Base!$F$5:$F$2004,$K1424))</f>
        <v/>
      </c>
      <c r="E1424" s="70" t="str">
        <f aca="false">IF($K1424="","",INDEX(Base!$G$5:$G$2004,$K1424))</f>
        <v/>
      </c>
      <c r="F1424" s="71" t="str">
        <f aca="false">IF($K1424="","",INDEX(Base!$H$5:$H$2004,$K1424))</f>
        <v/>
      </c>
      <c r="G1424" s="71" t="str">
        <f aca="false">IF($K1424="","",INDEX(Base!$I$5:$I$2004,$K1424))</f>
        <v/>
      </c>
      <c r="H1424" s="70" t="str">
        <f aca="false">IF($K1424="","",INDEX(Base!$J$5:$J$2004,$K1424))</f>
        <v/>
      </c>
      <c r="I1424" s="71" t="str">
        <f aca="false">IF($K1424="","",INDEX(Base!$L$5:$L$2004,$K1424))</f>
        <v/>
      </c>
      <c r="J1424" s="72" t="str">
        <f aca="false">IFERROR(SMALL(Base!$P$5:$P$2004,ROW()-5),"")</f>
        <v/>
      </c>
      <c r="K1424" s="72" t="str">
        <f aca="false">IF(J1424="","",MATCH(J1424,Base!$P$5:$P$2004,0))</f>
        <v/>
      </c>
    </row>
    <row r="1425" customFormat="false" ht="15" hidden="false" customHeight="false" outlineLevel="0" collapsed="false">
      <c r="A1425" s="67" t="str">
        <f aca="false">IF($K1425="","",ROW()-5)</f>
        <v/>
      </c>
      <c r="B1425" s="68" t="str">
        <f aca="false">IF($K1425="","",INDEX(Base!$E$5:$E$2004,$K1425))</f>
        <v/>
      </c>
      <c r="C1425" s="69" t="str">
        <f aca="false">IF($K1425="","",B1425)</f>
        <v/>
      </c>
      <c r="D1425" s="70" t="str">
        <f aca="false">IF($K1425="","",INDEX(Base!$F$5:$F$2004,$K1425))</f>
        <v/>
      </c>
      <c r="E1425" s="70" t="str">
        <f aca="false">IF($K1425="","",INDEX(Base!$G$5:$G$2004,$K1425))</f>
        <v/>
      </c>
      <c r="F1425" s="71" t="str">
        <f aca="false">IF($K1425="","",INDEX(Base!$H$5:$H$2004,$K1425))</f>
        <v/>
      </c>
      <c r="G1425" s="71" t="str">
        <f aca="false">IF($K1425="","",INDEX(Base!$I$5:$I$2004,$K1425))</f>
        <v/>
      </c>
      <c r="H1425" s="70" t="str">
        <f aca="false">IF($K1425="","",INDEX(Base!$J$5:$J$2004,$K1425))</f>
        <v/>
      </c>
      <c r="I1425" s="71" t="str">
        <f aca="false">IF($K1425="","",INDEX(Base!$L$5:$L$2004,$K1425))</f>
        <v/>
      </c>
      <c r="J1425" s="72" t="str">
        <f aca="false">IFERROR(SMALL(Base!$P$5:$P$2004,ROW()-5),"")</f>
        <v/>
      </c>
      <c r="K1425" s="72" t="str">
        <f aca="false">IF(J1425="","",MATCH(J1425,Base!$P$5:$P$2004,0))</f>
        <v/>
      </c>
    </row>
    <row r="1426" customFormat="false" ht="15" hidden="false" customHeight="false" outlineLevel="0" collapsed="false">
      <c r="A1426" s="67" t="str">
        <f aca="false">IF($K1426="","",ROW()-5)</f>
        <v/>
      </c>
      <c r="B1426" s="68" t="str">
        <f aca="false">IF($K1426="","",INDEX(Base!$E$5:$E$2004,$K1426))</f>
        <v/>
      </c>
      <c r="C1426" s="69" t="str">
        <f aca="false">IF($K1426="","",B1426)</f>
        <v/>
      </c>
      <c r="D1426" s="70" t="str">
        <f aca="false">IF($K1426="","",INDEX(Base!$F$5:$F$2004,$K1426))</f>
        <v/>
      </c>
      <c r="E1426" s="70" t="str">
        <f aca="false">IF($K1426="","",INDEX(Base!$G$5:$G$2004,$K1426))</f>
        <v/>
      </c>
      <c r="F1426" s="71" t="str">
        <f aca="false">IF($K1426="","",INDEX(Base!$H$5:$H$2004,$K1426))</f>
        <v/>
      </c>
      <c r="G1426" s="71" t="str">
        <f aca="false">IF($K1426="","",INDEX(Base!$I$5:$I$2004,$K1426))</f>
        <v/>
      </c>
      <c r="H1426" s="70" t="str">
        <f aca="false">IF($K1426="","",INDEX(Base!$J$5:$J$2004,$K1426))</f>
        <v/>
      </c>
      <c r="I1426" s="71" t="str">
        <f aca="false">IF($K1426="","",INDEX(Base!$L$5:$L$2004,$K1426))</f>
        <v/>
      </c>
      <c r="J1426" s="72" t="str">
        <f aca="false">IFERROR(SMALL(Base!$P$5:$P$2004,ROW()-5),"")</f>
        <v/>
      </c>
      <c r="K1426" s="72" t="str">
        <f aca="false">IF(J1426="","",MATCH(J1426,Base!$P$5:$P$2004,0))</f>
        <v/>
      </c>
    </row>
    <row r="1427" customFormat="false" ht="15" hidden="false" customHeight="false" outlineLevel="0" collapsed="false">
      <c r="A1427" s="67" t="str">
        <f aca="false">IF($K1427="","",ROW()-5)</f>
        <v/>
      </c>
      <c r="B1427" s="68" t="str">
        <f aca="false">IF($K1427="","",INDEX(Base!$E$5:$E$2004,$K1427))</f>
        <v/>
      </c>
      <c r="C1427" s="69" t="str">
        <f aca="false">IF($K1427="","",B1427)</f>
        <v/>
      </c>
      <c r="D1427" s="70" t="str">
        <f aca="false">IF($K1427="","",INDEX(Base!$F$5:$F$2004,$K1427))</f>
        <v/>
      </c>
      <c r="E1427" s="70" t="str">
        <f aca="false">IF($K1427="","",INDEX(Base!$G$5:$G$2004,$K1427))</f>
        <v/>
      </c>
      <c r="F1427" s="71" t="str">
        <f aca="false">IF($K1427="","",INDEX(Base!$H$5:$H$2004,$K1427))</f>
        <v/>
      </c>
      <c r="G1427" s="71" t="str">
        <f aca="false">IF($K1427="","",INDEX(Base!$I$5:$I$2004,$K1427))</f>
        <v/>
      </c>
      <c r="H1427" s="70" t="str">
        <f aca="false">IF($K1427="","",INDEX(Base!$J$5:$J$2004,$K1427))</f>
        <v/>
      </c>
      <c r="I1427" s="71" t="str">
        <f aca="false">IF($K1427="","",INDEX(Base!$L$5:$L$2004,$K1427))</f>
        <v/>
      </c>
      <c r="J1427" s="72" t="str">
        <f aca="false">IFERROR(SMALL(Base!$P$5:$P$2004,ROW()-5),"")</f>
        <v/>
      </c>
      <c r="K1427" s="72" t="str">
        <f aca="false">IF(J1427="","",MATCH(J1427,Base!$P$5:$P$2004,0))</f>
        <v/>
      </c>
    </row>
    <row r="1428" customFormat="false" ht="15" hidden="false" customHeight="false" outlineLevel="0" collapsed="false">
      <c r="A1428" s="67" t="str">
        <f aca="false">IF($K1428="","",ROW()-5)</f>
        <v/>
      </c>
      <c r="B1428" s="68" t="str">
        <f aca="false">IF($K1428="","",INDEX(Base!$E$5:$E$2004,$K1428))</f>
        <v/>
      </c>
      <c r="C1428" s="69" t="str">
        <f aca="false">IF($K1428="","",B1428)</f>
        <v/>
      </c>
      <c r="D1428" s="70" t="str">
        <f aca="false">IF($K1428="","",INDEX(Base!$F$5:$F$2004,$K1428))</f>
        <v/>
      </c>
      <c r="E1428" s="70" t="str">
        <f aca="false">IF($K1428="","",INDEX(Base!$G$5:$G$2004,$K1428))</f>
        <v/>
      </c>
      <c r="F1428" s="71" t="str">
        <f aca="false">IF($K1428="","",INDEX(Base!$H$5:$H$2004,$K1428))</f>
        <v/>
      </c>
      <c r="G1428" s="71" t="str">
        <f aca="false">IF($K1428="","",INDEX(Base!$I$5:$I$2004,$K1428))</f>
        <v/>
      </c>
      <c r="H1428" s="70" t="str">
        <f aca="false">IF($K1428="","",INDEX(Base!$J$5:$J$2004,$K1428))</f>
        <v/>
      </c>
      <c r="I1428" s="71" t="str">
        <f aca="false">IF($K1428="","",INDEX(Base!$L$5:$L$2004,$K1428))</f>
        <v/>
      </c>
      <c r="J1428" s="72" t="str">
        <f aca="false">IFERROR(SMALL(Base!$P$5:$P$2004,ROW()-5),"")</f>
        <v/>
      </c>
      <c r="K1428" s="72" t="str">
        <f aca="false">IF(J1428="","",MATCH(J1428,Base!$P$5:$P$2004,0))</f>
        <v/>
      </c>
    </row>
    <row r="1429" customFormat="false" ht="15" hidden="false" customHeight="false" outlineLevel="0" collapsed="false">
      <c r="A1429" s="67" t="str">
        <f aca="false">IF($K1429="","",ROW()-5)</f>
        <v/>
      </c>
      <c r="B1429" s="68" t="str">
        <f aca="false">IF($K1429="","",INDEX(Base!$E$5:$E$2004,$K1429))</f>
        <v/>
      </c>
      <c r="C1429" s="69" t="str">
        <f aca="false">IF($K1429="","",B1429)</f>
        <v/>
      </c>
      <c r="D1429" s="70" t="str">
        <f aca="false">IF($K1429="","",INDEX(Base!$F$5:$F$2004,$K1429))</f>
        <v/>
      </c>
      <c r="E1429" s="70" t="str">
        <f aca="false">IF($K1429="","",INDEX(Base!$G$5:$G$2004,$K1429))</f>
        <v/>
      </c>
      <c r="F1429" s="71" t="str">
        <f aca="false">IF($K1429="","",INDEX(Base!$H$5:$H$2004,$K1429))</f>
        <v/>
      </c>
      <c r="G1429" s="71" t="str">
        <f aca="false">IF($K1429="","",INDEX(Base!$I$5:$I$2004,$K1429))</f>
        <v/>
      </c>
      <c r="H1429" s="70" t="str">
        <f aca="false">IF($K1429="","",INDEX(Base!$J$5:$J$2004,$K1429))</f>
        <v/>
      </c>
      <c r="I1429" s="71" t="str">
        <f aca="false">IF($K1429="","",INDEX(Base!$L$5:$L$2004,$K1429))</f>
        <v/>
      </c>
      <c r="J1429" s="72" t="str">
        <f aca="false">IFERROR(SMALL(Base!$P$5:$P$2004,ROW()-5),"")</f>
        <v/>
      </c>
      <c r="K1429" s="72" t="str">
        <f aca="false">IF(J1429="","",MATCH(J1429,Base!$P$5:$P$2004,0))</f>
        <v/>
      </c>
    </row>
    <row r="1430" customFormat="false" ht="15" hidden="false" customHeight="false" outlineLevel="0" collapsed="false">
      <c r="A1430" s="67" t="str">
        <f aca="false">IF($K1430="","",ROW()-5)</f>
        <v/>
      </c>
      <c r="B1430" s="68" t="str">
        <f aca="false">IF($K1430="","",INDEX(Base!$E$5:$E$2004,$K1430))</f>
        <v/>
      </c>
      <c r="C1430" s="69" t="str">
        <f aca="false">IF($K1430="","",B1430)</f>
        <v/>
      </c>
      <c r="D1430" s="70" t="str">
        <f aca="false">IF($K1430="","",INDEX(Base!$F$5:$F$2004,$K1430))</f>
        <v/>
      </c>
      <c r="E1430" s="70" t="str">
        <f aca="false">IF($K1430="","",INDEX(Base!$G$5:$G$2004,$K1430))</f>
        <v/>
      </c>
      <c r="F1430" s="71" t="str">
        <f aca="false">IF($K1430="","",INDEX(Base!$H$5:$H$2004,$K1430))</f>
        <v/>
      </c>
      <c r="G1430" s="71" t="str">
        <f aca="false">IF($K1430="","",INDEX(Base!$I$5:$I$2004,$K1430))</f>
        <v/>
      </c>
      <c r="H1430" s="70" t="str">
        <f aca="false">IF($K1430="","",INDEX(Base!$J$5:$J$2004,$K1430))</f>
        <v/>
      </c>
      <c r="I1430" s="71" t="str">
        <f aca="false">IF($K1430="","",INDEX(Base!$L$5:$L$2004,$K1430))</f>
        <v/>
      </c>
      <c r="J1430" s="72" t="str">
        <f aca="false">IFERROR(SMALL(Base!$P$5:$P$2004,ROW()-5),"")</f>
        <v/>
      </c>
      <c r="K1430" s="72" t="str">
        <f aca="false">IF(J1430="","",MATCH(J1430,Base!$P$5:$P$2004,0))</f>
        <v/>
      </c>
    </row>
    <row r="1431" customFormat="false" ht="15" hidden="false" customHeight="false" outlineLevel="0" collapsed="false">
      <c r="A1431" s="67" t="str">
        <f aca="false">IF($K1431="","",ROW()-5)</f>
        <v/>
      </c>
      <c r="B1431" s="68" t="str">
        <f aca="false">IF($K1431="","",INDEX(Base!$E$5:$E$2004,$K1431))</f>
        <v/>
      </c>
      <c r="C1431" s="69" t="str">
        <f aca="false">IF($K1431="","",B1431)</f>
        <v/>
      </c>
      <c r="D1431" s="70" t="str">
        <f aca="false">IF($K1431="","",INDEX(Base!$F$5:$F$2004,$K1431))</f>
        <v/>
      </c>
      <c r="E1431" s="70" t="str">
        <f aca="false">IF($K1431="","",INDEX(Base!$G$5:$G$2004,$K1431))</f>
        <v/>
      </c>
      <c r="F1431" s="71" t="str">
        <f aca="false">IF($K1431="","",INDEX(Base!$H$5:$H$2004,$K1431))</f>
        <v/>
      </c>
      <c r="G1431" s="71" t="str">
        <f aca="false">IF($K1431="","",INDEX(Base!$I$5:$I$2004,$K1431))</f>
        <v/>
      </c>
      <c r="H1431" s="70" t="str">
        <f aca="false">IF($K1431="","",INDEX(Base!$J$5:$J$2004,$K1431))</f>
        <v/>
      </c>
      <c r="I1431" s="71" t="str">
        <f aca="false">IF($K1431="","",INDEX(Base!$L$5:$L$2004,$K1431))</f>
        <v/>
      </c>
      <c r="J1431" s="72" t="str">
        <f aca="false">IFERROR(SMALL(Base!$P$5:$P$2004,ROW()-5),"")</f>
        <v/>
      </c>
      <c r="K1431" s="72" t="str">
        <f aca="false">IF(J1431="","",MATCH(J1431,Base!$P$5:$P$2004,0))</f>
        <v/>
      </c>
    </row>
    <row r="1432" customFormat="false" ht="15" hidden="false" customHeight="false" outlineLevel="0" collapsed="false">
      <c r="A1432" s="67" t="str">
        <f aca="false">IF($K1432="","",ROW()-5)</f>
        <v/>
      </c>
      <c r="B1432" s="68" t="str">
        <f aca="false">IF($K1432="","",INDEX(Base!$E$5:$E$2004,$K1432))</f>
        <v/>
      </c>
      <c r="C1432" s="69" t="str">
        <f aca="false">IF($K1432="","",B1432)</f>
        <v/>
      </c>
      <c r="D1432" s="70" t="str">
        <f aca="false">IF($K1432="","",INDEX(Base!$F$5:$F$2004,$K1432))</f>
        <v/>
      </c>
      <c r="E1432" s="70" t="str">
        <f aca="false">IF($K1432="","",INDEX(Base!$G$5:$G$2004,$K1432))</f>
        <v/>
      </c>
      <c r="F1432" s="71" t="str">
        <f aca="false">IF($K1432="","",INDEX(Base!$H$5:$H$2004,$K1432))</f>
        <v/>
      </c>
      <c r="G1432" s="71" t="str">
        <f aca="false">IF($K1432="","",INDEX(Base!$I$5:$I$2004,$K1432))</f>
        <v/>
      </c>
      <c r="H1432" s="70" t="str">
        <f aca="false">IF($K1432="","",INDEX(Base!$J$5:$J$2004,$K1432))</f>
        <v/>
      </c>
      <c r="I1432" s="71" t="str">
        <f aca="false">IF($K1432="","",INDEX(Base!$L$5:$L$2004,$K1432))</f>
        <v/>
      </c>
      <c r="J1432" s="72" t="str">
        <f aca="false">IFERROR(SMALL(Base!$P$5:$P$2004,ROW()-5),"")</f>
        <v/>
      </c>
      <c r="K1432" s="72" t="str">
        <f aca="false">IF(J1432="","",MATCH(J1432,Base!$P$5:$P$2004,0))</f>
        <v/>
      </c>
    </row>
    <row r="1433" customFormat="false" ht="15" hidden="false" customHeight="false" outlineLevel="0" collapsed="false">
      <c r="A1433" s="67" t="str">
        <f aca="false">IF($K1433="","",ROW()-5)</f>
        <v/>
      </c>
      <c r="B1433" s="68" t="str">
        <f aca="false">IF($K1433="","",INDEX(Base!$E$5:$E$2004,$K1433))</f>
        <v/>
      </c>
      <c r="C1433" s="69" t="str">
        <f aca="false">IF($K1433="","",B1433)</f>
        <v/>
      </c>
      <c r="D1433" s="70" t="str">
        <f aca="false">IF($K1433="","",INDEX(Base!$F$5:$F$2004,$K1433))</f>
        <v/>
      </c>
      <c r="E1433" s="70" t="str">
        <f aca="false">IF($K1433="","",INDEX(Base!$G$5:$G$2004,$K1433))</f>
        <v/>
      </c>
      <c r="F1433" s="71" t="str">
        <f aca="false">IF($K1433="","",INDEX(Base!$H$5:$H$2004,$K1433))</f>
        <v/>
      </c>
      <c r="G1433" s="71" t="str">
        <f aca="false">IF($K1433="","",INDEX(Base!$I$5:$I$2004,$K1433))</f>
        <v/>
      </c>
      <c r="H1433" s="70" t="str">
        <f aca="false">IF($K1433="","",INDEX(Base!$J$5:$J$2004,$K1433))</f>
        <v/>
      </c>
      <c r="I1433" s="71" t="str">
        <f aca="false">IF($K1433="","",INDEX(Base!$L$5:$L$2004,$K1433))</f>
        <v/>
      </c>
      <c r="J1433" s="72" t="str">
        <f aca="false">IFERROR(SMALL(Base!$P$5:$P$2004,ROW()-5),"")</f>
        <v/>
      </c>
      <c r="K1433" s="72" t="str">
        <f aca="false">IF(J1433="","",MATCH(J1433,Base!$P$5:$P$2004,0))</f>
        <v/>
      </c>
    </row>
    <row r="1434" customFormat="false" ht="15" hidden="false" customHeight="false" outlineLevel="0" collapsed="false">
      <c r="A1434" s="67" t="str">
        <f aca="false">IF($K1434="","",ROW()-5)</f>
        <v/>
      </c>
      <c r="B1434" s="68" t="str">
        <f aca="false">IF($K1434="","",INDEX(Base!$E$5:$E$2004,$K1434))</f>
        <v/>
      </c>
      <c r="C1434" s="69" t="str">
        <f aca="false">IF($K1434="","",B1434)</f>
        <v/>
      </c>
      <c r="D1434" s="70" t="str">
        <f aca="false">IF($K1434="","",INDEX(Base!$F$5:$F$2004,$K1434))</f>
        <v/>
      </c>
      <c r="E1434" s="70" t="str">
        <f aca="false">IF($K1434="","",INDEX(Base!$G$5:$G$2004,$K1434))</f>
        <v/>
      </c>
      <c r="F1434" s="71" t="str">
        <f aca="false">IF($K1434="","",INDEX(Base!$H$5:$H$2004,$K1434))</f>
        <v/>
      </c>
      <c r="G1434" s="71" t="str">
        <f aca="false">IF($K1434="","",INDEX(Base!$I$5:$I$2004,$K1434))</f>
        <v/>
      </c>
      <c r="H1434" s="70" t="str">
        <f aca="false">IF($K1434="","",INDEX(Base!$J$5:$J$2004,$K1434))</f>
        <v/>
      </c>
      <c r="I1434" s="71" t="str">
        <f aca="false">IF($K1434="","",INDEX(Base!$L$5:$L$2004,$K1434))</f>
        <v/>
      </c>
      <c r="J1434" s="72" t="str">
        <f aca="false">IFERROR(SMALL(Base!$P$5:$P$2004,ROW()-5),"")</f>
        <v/>
      </c>
      <c r="K1434" s="72" t="str">
        <f aca="false">IF(J1434="","",MATCH(J1434,Base!$P$5:$P$2004,0))</f>
        <v/>
      </c>
    </row>
    <row r="1435" customFormat="false" ht="15" hidden="false" customHeight="false" outlineLevel="0" collapsed="false">
      <c r="A1435" s="67" t="str">
        <f aca="false">IF($K1435="","",ROW()-5)</f>
        <v/>
      </c>
      <c r="B1435" s="68" t="str">
        <f aca="false">IF($K1435="","",INDEX(Base!$E$5:$E$2004,$K1435))</f>
        <v/>
      </c>
      <c r="C1435" s="69" t="str">
        <f aca="false">IF($K1435="","",B1435)</f>
        <v/>
      </c>
      <c r="D1435" s="70" t="str">
        <f aca="false">IF($K1435="","",INDEX(Base!$F$5:$F$2004,$K1435))</f>
        <v/>
      </c>
      <c r="E1435" s="70" t="str">
        <f aca="false">IF($K1435="","",INDEX(Base!$G$5:$G$2004,$K1435))</f>
        <v/>
      </c>
      <c r="F1435" s="71" t="str">
        <f aca="false">IF($K1435="","",INDEX(Base!$H$5:$H$2004,$K1435))</f>
        <v/>
      </c>
      <c r="G1435" s="71" t="str">
        <f aca="false">IF($K1435="","",INDEX(Base!$I$5:$I$2004,$K1435))</f>
        <v/>
      </c>
      <c r="H1435" s="70" t="str">
        <f aca="false">IF($K1435="","",INDEX(Base!$J$5:$J$2004,$K1435))</f>
        <v/>
      </c>
      <c r="I1435" s="71" t="str">
        <f aca="false">IF($K1435="","",INDEX(Base!$L$5:$L$2004,$K1435))</f>
        <v/>
      </c>
      <c r="J1435" s="72" t="str">
        <f aca="false">IFERROR(SMALL(Base!$P$5:$P$2004,ROW()-5),"")</f>
        <v/>
      </c>
      <c r="K1435" s="72" t="str">
        <f aca="false">IF(J1435="","",MATCH(J1435,Base!$P$5:$P$2004,0))</f>
        <v/>
      </c>
    </row>
    <row r="1436" customFormat="false" ht="15" hidden="false" customHeight="false" outlineLevel="0" collapsed="false">
      <c r="A1436" s="67" t="str">
        <f aca="false">IF($K1436="","",ROW()-5)</f>
        <v/>
      </c>
      <c r="B1436" s="68" t="str">
        <f aca="false">IF($K1436="","",INDEX(Base!$E$5:$E$2004,$K1436))</f>
        <v/>
      </c>
      <c r="C1436" s="69" t="str">
        <f aca="false">IF($K1436="","",B1436)</f>
        <v/>
      </c>
      <c r="D1436" s="70" t="str">
        <f aca="false">IF($K1436="","",INDEX(Base!$F$5:$F$2004,$K1436))</f>
        <v/>
      </c>
      <c r="E1436" s="70" t="str">
        <f aca="false">IF($K1436="","",INDEX(Base!$G$5:$G$2004,$K1436))</f>
        <v/>
      </c>
      <c r="F1436" s="71" t="str">
        <f aca="false">IF($K1436="","",INDEX(Base!$H$5:$H$2004,$K1436))</f>
        <v/>
      </c>
      <c r="G1436" s="71" t="str">
        <f aca="false">IF($K1436="","",INDEX(Base!$I$5:$I$2004,$K1436))</f>
        <v/>
      </c>
      <c r="H1436" s="70" t="str">
        <f aca="false">IF($K1436="","",INDEX(Base!$J$5:$J$2004,$K1436))</f>
        <v/>
      </c>
      <c r="I1436" s="71" t="str">
        <f aca="false">IF($K1436="","",INDEX(Base!$L$5:$L$2004,$K1436))</f>
        <v/>
      </c>
      <c r="J1436" s="72" t="str">
        <f aca="false">IFERROR(SMALL(Base!$P$5:$P$2004,ROW()-5),"")</f>
        <v/>
      </c>
      <c r="K1436" s="72" t="str">
        <f aca="false">IF(J1436="","",MATCH(J1436,Base!$P$5:$P$2004,0))</f>
        <v/>
      </c>
    </row>
    <row r="1437" customFormat="false" ht="15" hidden="false" customHeight="false" outlineLevel="0" collapsed="false">
      <c r="A1437" s="67" t="str">
        <f aca="false">IF($K1437="","",ROW()-5)</f>
        <v/>
      </c>
      <c r="B1437" s="68" t="str">
        <f aca="false">IF($K1437="","",INDEX(Base!$E$5:$E$2004,$K1437))</f>
        <v/>
      </c>
      <c r="C1437" s="69" t="str">
        <f aca="false">IF($K1437="","",B1437)</f>
        <v/>
      </c>
      <c r="D1437" s="70" t="str">
        <f aca="false">IF($K1437="","",INDEX(Base!$F$5:$F$2004,$K1437))</f>
        <v/>
      </c>
      <c r="E1437" s="70" t="str">
        <f aca="false">IF($K1437="","",INDEX(Base!$G$5:$G$2004,$K1437))</f>
        <v/>
      </c>
      <c r="F1437" s="71" t="str">
        <f aca="false">IF($K1437="","",INDEX(Base!$H$5:$H$2004,$K1437))</f>
        <v/>
      </c>
      <c r="G1437" s="71" t="str">
        <f aca="false">IF($K1437="","",INDEX(Base!$I$5:$I$2004,$K1437))</f>
        <v/>
      </c>
      <c r="H1437" s="70" t="str">
        <f aca="false">IF($K1437="","",INDEX(Base!$J$5:$J$2004,$K1437))</f>
        <v/>
      </c>
      <c r="I1437" s="71" t="str">
        <f aca="false">IF($K1437="","",INDEX(Base!$L$5:$L$2004,$K1437))</f>
        <v/>
      </c>
      <c r="J1437" s="72" t="str">
        <f aca="false">IFERROR(SMALL(Base!$P$5:$P$2004,ROW()-5),"")</f>
        <v/>
      </c>
      <c r="K1437" s="72" t="str">
        <f aca="false">IF(J1437="","",MATCH(J1437,Base!$P$5:$P$2004,0))</f>
        <v/>
      </c>
    </row>
    <row r="1438" customFormat="false" ht="15" hidden="false" customHeight="false" outlineLevel="0" collapsed="false">
      <c r="A1438" s="67" t="str">
        <f aca="false">IF($K1438="","",ROW()-5)</f>
        <v/>
      </c>
      <c r="B1438" s="68" t="str">
        <f aca="false">IF($K1438="","",INDEX(Base!$E$5:$E$2004,$K1438))</f>
        <v/>
      </c>
      <c r="C1438" s="69" t="str">
        <f aca="false">IF($K1438="","",B1438)</f>
        <v/>
      </c>
      <c r="D1438" s="70" t="str">
        <f aca="false">IF($K1438="","",INDEX(Base!$F$5:$F$2004,$K1438))</f>
        <v/>
      </c>
      <c r="E1438" s="70" t="str">
        <f aca="false">IF($K1438="","",INDEX(Base!$G$5:$G$2004,$K1438))</f>
        <v/>
      </c>
      <c r="F1438" s="71" t="str">
        <f aca="false">IF($K1438="","",INDEX(Base!$H$5:$H$2004,$K1438))</f>
        <v/>
      </c>
      <c r="G1438" s="71" t="str">
        <f aca="false">IF($K1438="","",INDEX(Base!$I$5:$I$2004,$K1438))</f>
        <v/>
      </c>
      <c r="H1438" s="70" t="str">
        <f aca="false">IF($K1438="","",INDEX(Base!$J$5:$J$2004,$K1438))</f>
        <v/>
      </c>
      <c r="I1438" s="71" t="str">
        <f aca="false">IF($K1438="","",INDEX(Base!$L$5:$L$2004,$K1438))</f>
        <v/>
      </c>
      <c r="J1438" s="72" t="str">
        <f aca="false">IFERROR(SMALL(Base!$P$5:$P$2004,ROW()-5),"")</f>
        <v/>
      </c>
      <c r="K1438" s="72" t="str">
        <f aca="false">IF(J1438="","",MATCH(J1438,Base!$P$5:$P$2004,0))</f>
        <v/>
      </c>
    </row>
    <row r="1439" customFormat="false" ht="15" hidden="false" customHeight="false" outlineLevel="0" collapsed="false">
      <c r="A1439" s="67" t="str">
        <f aca="false">IF($K1439="","",ROW()-5)</f>
        <v/>
      </c>
      <c r="B1439" s="68" t="str">
        <f aca="false">IF($K1439="","",INDEX(Base!$E$5:$E$2004,$K1439))</f>
        <v/>
      </c>
      <c r="C1439" s="69" t="str">
        <f aca="false">IF($K1439="","",B1439)</f>
        <v/>
      </c>
      <c r="D1439" s="70" t="str">
        <f aca="false">IF($K1439="","",INDEX(Base!$F$5:$F$2004,$K1439))</f>
        <v/>
      </c>
      <c r="E1439" s="70" t="str">
        <f aca="false">IF($K1439="","",INDEX(Base!$G$5:$G$2004,$K1439))</f>
        <v/>
      </c>
      <c r="F1439" s="71" t="str">
        <f aca="false">IF($K1439="","",INDEX(Base!$H$5:$H$2004,$K1439))</f>
        <v/>
      </c>
      <c r="G1439" s="71" t="str">
        <f aca="false">IF($K1439="","",INDEX(Base!$I$5:$I$2004,$K1439))</f>
        <v/>
      </c>
      <c r="H1439" s="70" t="str">
        <f aca="false">IF($K1439="","",INDEX(Base!$J$5:$J$2004,$K1439))</f>
        <v/>
      </c>
      <c r="I1439" s="71" t="str">
        <f aca="false">IF($K1439="","",INDEX(Base!$L$5:$L$2004,$K1439))</f>
        <v/>
      </c>
      <c r="J1439" s="72" t="str">
        <f aca="false">IFERROR(SMALL(Base!$P$5:$P$2004,ROW()-5),"")</f>
        <v/>
      </c>
      <c r="K1439" s="72" t="str">
        <f aca="false">IF(J1439="","",MATCH(J1439,Base!$P$5:$P$2004,0))</f>
        <v/>
      </c>
    </row>
    <row r="1440" customFormat="false" ht="15" hidden="false" customHeight="false" outlineLevel="0" collapsed="false">
      <c r="A1440" s="67" t="str">
        <f aca="false">IF($K1440="","",ROW()-5)</f>
        <v/>
      </c>
      <c r="B1440" s="68" t="str">
        <f aca="false">IF($K1440="","",INDEX(Base!$E$5:$E$2004,$K1440))</f>
        <v/>
      </c>
      <c r="C1440" s="69" t="str">
        <f aca="false">IF($K1440="","",B1440)</f>
        <v/>
      </c>
      <c r="D1440" s="70" t="str">
        <f aca="false">IF($K1440="","",INDEX(Base!$F$5:$F$2004,$K1440))</f>
        <v/>
      </c>
      <c r="E1440" s="70" t="str">
        <f aca="false">IF($K1440="","",INDEX(Base!$G$5:$G$2004,$K1440))</f>
        <v/>
      </c>
      <c r="F1440" s="71" t="str">
        <f aca="false">IF($K1440="","",INDEX(Base!$H$5:$H$2004,$K1440))</f>
        <v/>
      </c>
      <c r="G1440" s="71" t="str">
        <f aca="false">IF($K1440="","",INDEX(Base!$I$5:$I$2004,$K1440))</f>
        <v/>
      </c>
      <c r="H1440" s="70" t="str">
        <f aca="false">IF($K1440="","",INDEX(Base!$J$5:$J$2004,$K1440))</f>
        <v/>
      </c>
      <c r="I1440" s="71" t="str">
        <f aca="false">IF($K1440="","",INDEX(Base!$L$5:$L$2004,$K1440))</f>
        <v/>
      </c>
      <c r="J1440" s="72" t="str">
        <f aca="false">IFERROR(SMALL(Base!$P$5:$P$2004,ROW()-5),"")</f>
        <v/>
      </c>
      <c r="K1440" s="72" t="str">
        <f aca="false">IF(J1440="","",MATCH(J1440,Base!$P$5:$P$2004,0))</f>
        <v/>
      </c>
    </row>
    <row r="1441" customFormat="false" ht="15" hidden="false" customHeight="false" outlineLevel="0" collapsed="false">
      <c r="A1441" s="67" t="str">
        <f aca="false">IF($K1441="","",ROW()-5)</f>
        <v/>
      </c>
      <c r="B1441" s="68" t="str">
        <f aca="false">IF($K1441="","",INDEX(Base!$E$5:$E$2004,$K1441))</f>
        <v/>
      </c>
      <c r="C1441" s="69" t="str">
        <f aca="false">IF($K1441="","",B1441)</f>
        <v/>
      </c>
      <c r="D1441" s="70" t="str">
        <f aca="false">IF($K1441="","",INDEX(Base!$F$5:$F$2004,$K1441))</f>
        <v/>
      </c>
      <c r="E1441" s="70" t="str">
        <f aca="false">IF($K1441="","",INDEX(Base!$G$5:$G$2004,$K1441))</f>
        <v/>
      </c>
      <c r="F1441" s="71" t="str">
        <f aca="false">IF($K1441="","",INDEX(Base!$H$5:$H$2004,$K1441))</f>
        <v/>
      </c>
      <c r="G1441" s="71" t="str">
        <f aca="false">IF($K1441="","",INDEX(Base!$I$5:$I$2004,$K1441))</f>
        <v/>
      </c>
      <c r="H1441" s="70" t="str">
        <f aca="false">IF($K1441="","",INDEX(Base!$J$5:$J$2004,$K1441))</f>
        <v/>
      </c>
      <c r="I1441" s="71" t="str">
        <f aca="false">IF($K1441="","",INDEX(Base!$L$5:$L$2004,$K1441))</f>
        <v/>
      </c>
      <c r="J1441" s="72" t="str">
        <f aca="false">IFERROR(SMALL(Base!$P$5:$P$2004,ROW()-5),"")</f>
        <v/>
      </c>
      <c r="K1441" s="72" t="str">
        <f aca="false">IF(J1441="","",MATCH(J1441,Base!$P$5:$P$2004,0))</f>
        <v/>
      </c>
    </row>
    <row r="1442" customFormat="false" ht="15" hidden="false" customHeight="false" outlineLevel="0" collapsed="false">
      <c r="A1442" s="67" t="str">
        <f aca="false">IF($K1442="","",ROW()-5)</f>
        <v/>
      </c>
      <c r="B1442" s="68" t="str">
        <f aca="false">IF($K1442="","",INDEX(Base!$E$5:$E$2004,$K1442))</f>
        <v/>
      </c>
      <c r="C1442" s="69" t="str">
        <f aca="false">IF($K1442="","",B1442)</f>
        <v/>
      </c>
      <c r="D1442" s="70" t="str">
        <f aca="false">IF($K1442="","",INDEX(Base!$F$5:$F$2004,$K1442))</f>
        <v/>
      </c>
      <c r="E1442" s="70" t="str">
        <f aca="false">IF($K1442="","",INDEX(Base!$G$5:$G$2004,$K1442))</f>
        <v/>
      </c>
      <c r="F1442" s="71" t="str">
        <f aca="false">IF($K1442="","",INDEX(Base!$H$5:$H$2004,$K1442))</f>
        <v/>
      </c>
      <c r="G1442" s="71" t="str">
        <f aca="false">IF($K1442="","",INDEX(Base!$I$5:$I$2004,$K1442))</f>
        <v/>
      </c>
      <c r="H1442" s="70" t="str">
        <f aca="false">IF($K1442="","",INDEX(Base!$J$5:$J$2004,$K1442))</f>
        <v/>
      </c>
      <c r="I1442" s="71" t="str">
        <f aca="false">IF($K1442="","",INDEX(Base!$L$5:$L$2004,$K1442))</f>
        <v/>
      </c>
      <c r="J1442" s="72" t="str">
        <f aca="false">IFERROR(SMALL(Base!$P$5:$P$2004,ROW()-5),"")</f>
        <v/>
      </c>
      <c r="K1442" s="72" t="str">
        <f aca="false">IF(J1442="","",MATCH(J1442,Base!$P$5:$P$2004,0))</f>
        <v/>
      </c>
    </row>
    <row r="1443" customFormat="false" ht="15" hidden="false" customHeight="false" outlineLevel="0" collapsed="false">
      <c r="A1443" s="67" t="str">
        <f aca="false">IF($K1443="","",ROW()-5)</f>
        <v/>
      </c>
      <c r="B1443" s="68" t="str">
        <f aca="false">IF($K1443="","",INDEX(Base!$E$5:$E$2004,$K1443))</f>
        <v/>
      </c>
      <c r="C1443" s="69" t="str">
        <f aca="false">IF($K1443="","",B1443)</f>
        <v/>
      </c>
      <c r="D1443" s="70" t="str">
        <f aca="false">IF($K1443="","",INDEX(Base!$F$5:$F$2004,$K1443))</f>
        <v/>
      </c>
      <c r="E1443" s="70" t="str">
        <f aca="false">IF($K1443="","",INDEX(Base!$G$5:$G$2004,$K1443))</f>
        <v/>
      </c>
      <c r="F1443" s="71" t="str">
        <f aca="false">IF($K1443="","",INDEX(Base!$H$5:$H$2004,$K1443))</f>
        <v/>
      </c>
      <c r="G1443" s="71" t="str">
        <f aca="false">IF($K1443="","",INDEX(Base!$I$5:$I$2004,$K1443))</f>
        <v/>
      </c>
      <c r="H1443" s="70" t="str">
        <f aca="false">IF($K1443="","",INDEX(Base!$J$5:$J$2004,$K1443))</f>
        <v/>
      </c>
      <c r="I1443" s="71" t="str">
        <f aca="false">IF($K1443="","",INDEX(Base!$L$5:$L$2004,$K1443))</f>
        <v/>
      </c>
      <c r="J1443" s="72" t="str">
        <f aca="false">IFERROR(SMALL(Base!$P$5:$P$2004,ROW()-5),"")</f>
        <v/>
      </c>
      <c r="K1443" s="72" t="str">
        <f aca="false">IF(J1443="","",MATCH(J1443,Base!$P$5:$P$2004,0))</f>
        <v/>
      </c>
    </row>
    <row r="1444" customFormat="false" ht="15" hidden="false" customHeight="false" outlineLevel="0" collapsed="false">
      <c r="A1444" s="67" t="str">
        <f aca="false">IF($K1444="","",ROW()-5)</f>
        <v/>
      </c>
      <c r="B1444" s="68" t="str">
        <f aca="false">IF($K1444="","",INDEX(Base!$E$5:$E$2004,$K1444))</f>
        <v/>
      </c>
      <c r="C1444" s="69" t="str">
        <f aca="false">IF($K1444="","",B1444)</f>
        <v/>
      </c>
      <c r="D1444" s="70" t="str">
        <f aca="false">IF($K1444="","",INDEX(Base!$F$5:$F$2004,$K1444))</f>
        <v/>
      </c>
      <c r="E1444" s="70" t="str">
        <f aca="false">IF($K1444="","",INDEX(Base!$G$5:$G$2004,$K1444))</f>
        <v/>
      </c>
      <c r="F1444" s="71" t="str">
        <f aca="false">IF($K1444="","",INDEX(Base!$H$5:$H$2004,$K1444))</f>
        <v/>
      </c>
      <c r="G1444" s="71" t="str">
        <f aca="false">IF($K1444="","",INDEX(Base!$I$5:$I$2004,$K1444))</f>
        <v/>
      </c>
      <c r="H1444" s="70" t="str">
        <f aca="false">IF($K1444="","",INDEX(Base!$J$5:$J$2004,$K1444))</f>
        <v/>
      </c>
      <c r="I1444" s="71" t="str">
        <f aca="false">IF($K1444="","",INDEX(Base!$L$5:$L$2004,$K1444))</f>
        <v/>
      </c>
      <c r="J1444" s="72" t="str">
        <f aca="false">IFERROR(SMALL(Base!$P$5:$P$2004,ROW()-5),"")</f>
        <v/>
      </c>
      <c r="K1444" s="72" t="str">
        <f aca="false">IF(J1444="","",MATCH(J1444,Base!$P$5:$P$2004,0))</f>
        <v/>
      </c>
    </row>
    <row r="1445" customFormat="false" ht="15" hidden="false" customHeight="false" outlineLevel="0" collapsed="false">
      <c r="A1445" s="67" t="str">
        <f aca="false">IF($K1445="","",ROW()-5)</f>
        <v/>
      </c>
      <c r="B1445" s="68" t="str">
        <f aca="false">IF($K1445="","",INDEX(Base!$E$5:$E$2004,$K1445))</f>
        <v/>
      </c>
      <c r="C1445" s="69" t="str">
        <f aca="false">IF($K1445="","",B1445)</f>
        <v/>
      </c>
      <c r="D1445" s="70" t="str">
        <f aca="false">IF($K1445="","",INDEX(Base!$F$5:$F$2004,$K1445))</f>
        <v/>
      </c>
      <c r="E1445" s="70" t="str">
        <f aca="false">IF($K1445="","",INDEX(Base!$G$5:$G$2004,$K1445))</f>
        <v/>
      </c>
      <c r="F1445" s="71" t="str">
        <f aca="false">IF($K1445="","",INDEX(Base!$H$5:$H$2004,$K1445))</f>
        <v/>
      </c>
      <c r="G1445" s="71" t="str">
        <f aca="false">IF($K1445="","",INDEX(Base!$I$5:$I$2004,$K1445))</f>
        <v/>
      </c>
      <c r="H1445" s="70" t="str">
        <f aca="false">IF($K1445="","",INDEX(Base!$J$5:$J$2004,$K1445))</f>
        <v/>
      </c>
      <c r="I1445" s="71" t="str">
        <f aca="false">IF($K1445="","",INDEX(Base!$L$5:$L$2004,$K1445))</f>
        <v/>
      </c>
      <c r="J1445" s="72" t="str">
        <f aca="false">IFERROR(SMALL(Base!$P$5:$P$2004,ROW()-5),"")</f>
        <v/>
      </c>
      <c r="K1445" s="72" t="str">
        <f aca="false">IF(J1445="","",MATCH(J1445,Base!$P$5:$P$2004,0))</f>
        <v/>
      </c>
    </row>
    <row r="1446" customFormat="false" ht="15" hidden="false" customHeight="false" outlineLevel="0" collapsed="false">
      <c r="A1446" s="67" t="str">
        <f aca="false">IF($K1446="","",ROW()-5)</f>
        <v/>
      </c>
      <c r="B1446" s="68" t="str">
        <f aca="false">IF($K1446="","",INDEX(Base!$E$5:$E$2004,$K1446))</f>
        <v/>
      </c>
      <c r="C1446" s="69" t="str">
        <f aca="false">IF($K1446="","",B1446)</f>
        <v/>
      </c>
      <c r="D1446" s="70" t="str">
        <f aca="false">IF($K1446="","",INDEX(Base!$F$5:$F$2004,$K1446))</f>
        <v/>
      </c>
      <c r="E1446" s="70" t="str">
        <f aca="false">IF($K1446="","",INDEX(Base!$G$5:$G$2004,$K1446))</f>
        <v/>
      </c>
      <c r="F1446" s="71" t="str">
        <f aca="false">IF($K1446="","",INDEX(Base!$H$5:$H$2004,$K1446))</f>
        <v/>
      </c>
      <c r="G1446" s="71" t="str">
        <f aca="false">IF($K1446="","",INDEX(Base!$I$5:$I$2004,$K1446))</f>
        <v/>
      </c>
      <c r="H1446" s="70" t="str">
        <f aca="false">IF($K1446="","",INDEX(Base!$J$5:$J$2004,$K1446))</f>
        <v/>
      </c>
      <c r="I1446" s="71" t="str">
        <f aca="false">IF($K1446="","",INDEX(Base!$L$5:$L$2004,$K1446))</f>
        <v/>
      </c>
      <c r="J1446" s="72" t="str">
        <f aca="false">IFERROR(SMALL(Base!$P$5:$P$2004,ROW()-5),"")</f>
        <v/>
      </c>
      <c r="K1446" s="72" t="str">
        <f aca="false">IF(J1446="","",MATCH(J1446,Base!$P$5:$P$2004,0))</f>
        <v/>
      </c>
    </row>
    <row r="1447" customFormat="false" ht="15" hidden="false" customHeight="false" outlineLevel="0" collapsed="false">
      <c r="A1447" s="67" t="str">
        <f aca="false">IF($K1447="","",ROW()-5)</f>
        <v/>
      </c>
      <c r="B1447" s="68" t="str">
        <f aca="false">IF($K1447="","",INDEX(Base!$E$5:$E$2004,$K1447))</f>
        <v/>
      </c>
      <c r="C1447" s="69" t="str">
        <f aca="false">IF($K1447="","",B1447)</f>
        <v/>
      </c>
      <c r="D1447" s="70" t="str">
        <f aca="false">IF($K1447="","",INDEX(Base!$F$5:$F$2004,$K1447))</f>
        <v/>
      </c>
      <c r="E1447" s="70" t="str">
        <f aca="false">IF($K1447="","",INDEX(Base!$G$5:$G$2004,$K1447))</f>
        <v/>
      </c>
      <c r="F1447" s="71" t="str">
        <f aca="false">IF($K1447="","",INDEX(Base!$H$5:$H$2004,$K1447))</f>
        <v/>
      </c>
      <c r="G1447" s="71" t="str">
        <f aca="false">IF($K1447="","",INDEX(Base!$I$5:$I$2004,$K1447))</f>
        <v/>
      </c>
      <c r="H1447" s="70" t="str">
        <f aca="false">IF($K1447="","",INDEX(Base!$J$5:$J$2004,$K1447))</f>
        <v/>
      </c>
      <c r="I1447" s="71" t="str">
        <f aca="false">IF($K1447="","",INDEX(Base!$L$5:$L$2004,$K1447))</f>
        <v/>
      </c>
      <c r="J1447" s="72" t="str">
        <f aca="false">IFERROR(SMALL(Base!$P$5:$P$2004,ROW()-5),"")</f>
        <v/>
      </c>
      <c r="K1447" s="72" t="str">
        <f aca="false">IF(J1447="","",MATCH(J1447,Base!$P$5:$P$2004,0))</f>
        <v/>
      </c>
    </row>
    <row r="1448" customFormat="false" ht="15" hidden="false" customHeight="false" outlineLevel="0" collapsed="false">
      <c r="A1448" s="67" t="str">
        <f aca="false">IF($K1448="","",ROW()-5)</f>
        <v/>
      </c>
      <c r="B1448" s="68" t="str">
        <f aca="false">IF($K1448="","",INDEX(Base!$E$5:$E$2004,$K1448))</f>
        <v/>
      </c>
      <c r="C1448" s="69" t="str">
        <f aca="false">IF($K1448="","",B1448)</f>
        <v/>
      </c>
      <c r="D1448" s="70" t="str">
        <f aca="false">IF($K1448="","",INDEX(Base!$F$5:$F$2004,$K1448))</f>
        <v/>
      </c>
      <c r="E1448" s="70" t="str">
        <f aca="false">IF($K1448="","",INDEX(Base!$G$5:$G$2004,$K1448))</f>
        <v/>
      </c>
      <c r="F1448" s="71" t="str">
        <f aca="false">IF($K1448="","",INDEX(Base!$H$5:$H$2004,$K1448))</f>
        <v/>
      </c>
      <c r="G1448" s="71" t="str">
        <f aca="false">IF($K1448="","",INDEX(Base!$I$5:$I$2004,$K1448))</f>
        <v/>
      </c>
      <c r="H1448" s="70" t="str">
        <f aca="false">IF($K1448="","",INDEX(Base!$J$5:$J$2004,$K1448))</f>
        <v/>
      </c>
      <c r="I1448" s="71" t="str">
        <f aca="false">IF($K1448="","",INDEX(Base!$L$5:$L$2004,$K1448))</f>
        <v/>
      </c>
      <c r="J1448" s="72" t="str">
        <f aca="false">IFERROR(SMALL(Base!$P$5:$P$2004,ROW()-5),"")</f>
        <v/>
      </c>
      <c r="K1448" s="72" t="str">
        <f aca="false">IF(J1448="","",MATCH(J1448,Base!$P$5:$P$2004,0))</f>
        <v/>
      </c>
    </row>
    <row r="1449" customFormat="false" ht="15" hidden="false" customHeight="false" outlineLevel="0" collapsed="false">
      <c r="A1449" s="67" t="str">
        <f aca="false">IF($K1449="","",ROW()-5)</f>
        <v/>
      </c>
      <c r="B1449" s="68" t="str">
        <f aca="false">IF($K1449="","",INDEX(Base!$E$5:$E$2004,$K1449))</f>
        <v/>
      </c>
      <c r="C1449" s="69" t="str">
        <f aca="false">IF($K1449="","",B1449)</f>
        <v/>
      </c>
      <c r="D1449" s="70" t="str">
        <f aca="false">IF($K1449="","",INDEX(Base!$F$5:$F$2004,$K1449))</f>
        <v/>
      </c>
      <c r="E1449" s="70" t="str">
        <f aca="false">IF($K1449="","",INDEX(Base!$G$5:$G$2004,$K1449))</f>
        <v/>
      </c>
      <c r="F1449" s="71" t="str">
        <f aca="false">IF($K1449="","",INDEX(Base!$H$5:$H$2004,$K1449))</f>
        <v/>
      </c>
      <c r="G1449" s="71" t="str">
        <f aca="false">IF($K1449="","",INDEX(Base!$I$5:$I$2004,$K1449))</f>
        <v/>
      </c>
      <c r="H1449" s="70" t="str">
        <f aca="false">IF($K1449="","",INDEX(Base!$J$5:$J$2004,$K1449))</f>
        <v/>
      </c>
      <c r="I1449" s="71" t="str">
        <f aca="false">IF($K1449="","",INDEX(Base!$L$5:$L$2004,$K1449))</f>
        <v/>
      </c>
      <c r="J1449" s="72" t="str">
        <f aca="false">IFERROR(SMALL(Base!$P$5:$P$2004,ROW()-5),"")</f>
        <v/>
      </c>
      <c r="K1449" s="72" t="str">
        <f aca="false">IF(J1449="","",MATCH(J1449,Base!$P$5:$P$2004,0))</f>
        <v/>
      </c>
    </row>
    <row r="1450" customFormat="false" ht="15" hidden="false" customHeight="false" outlineLevel="0" collapsed="false">
      <c r="A1450" s="67" t="str">
        <f aca="false">IF($K1450="","",ROW()-5)</f>
        <v/>
      </c>
      <c r="B1450" s="68" t="str">
        <f aca="false">IF($K1450="","",INDEX(Base!$E$5:$E$2004,$K1450))</f>
        <v/>
      </c>
      <c r="C1450" s="69" t="str">
        <f aca="false">IF($K1450="","",B1450)</f>
        <v/>
      </c>
      <c r="D1450" s="70" t="str">
        <f aca="false">IF($K1450="","",INDEX(Base!$F$5:$F$2004,$K1450))</f>
        <v/>
      </c>
      <c r="E1450" s="70" t="str">
        <f aca="false">IF($K1450="","",INDEX(Base!$G$5:$G$2004,$K1450))</f>
        <v/>
      </c>
      <c r="F1450" s="71" t="str">
        <f aca="false">IF($K1450="","",INDEX(Base!$H$5:$H$2004,$K1450))</f>
        <v/>
      </c>
      <c r="G1450" s="71" t="str">
        <f aca="false">IF($K1450="","",INDEX(Base!$I$5:$I$2004,$K1450))</f>
        <v/>
      </c>
      <c r="H1450" s="70" t="str">
        <f aca="false">IF($K1450="","",INDEX(Base!$J$5:$J$2004,$K1450))</f>
        <v/>
      </c>
      <c r="I1450" s="71" t="str">
        <f aca="false">IF($K1450="","",INDEX(Base!$L$5:$L$2004,$K1450))</f>
        <v/>
      </c>
      <c r="J1450" s="72" t="str">
        <f aca="false">IFERROR(SMALL(Base!$P$5:$P$2004,ROW()-5),"")</f>
        <v/>
      </c>
      <c r="K1450" s="72" t="str">
        <f aca="false">IF(J1450="","",MATCH(J1450,Base!$P$5:$P$2004,0))</f>
        <v/>
      </c>
    </row>
    <row r="1451" customFormat="false" ht="15" hidden="false" customHeight="false" outlineLevel="0" collapsed="false">
      <c r="A1451" s="67" t="str">
        <f aca="false">IF($K1451="","",ROW()-5)</f>
        <v/>
      </c>
      <c r="B1451" s="68" t="str">
        <f aca="false">IF($K1451="","",INDEX(Base!$E$5:$E$2004,$K1451))</f>
        <v/>
      </c>
      <c r="C1451" s="69" t="str">
        <f aca="false">IF($K1451="","",B1451)</f>
        <v/>
      </c>
      <c r="D1451" s="70" t="str">
        <f aca="false">IF($K1451="","",INDEX(Base!$F$5:$F$2004,$K1451))</f>
        <v/>
      </c>
      <c r="E1451" s="70" t="str">
        <f aca="false">IF($K1451="","",INDEX(Base!$G$5:$G$2004,$K1451))</f>
        <v/>
      </c>
      <c r="F1451" s="71" t="str">
        <f aca="false">IF($K1451="","",INDEX(Base!$H$5:$H$2004,$K1451))</f>
        <v/>
      </c>
      <c r="G1451" s="71" t="str">
        <f aca="false">IF($K1451="","",INDEX(Base!$I$5:$I$2004,$K1451))</f>
        <v/>
      </c>
      <c r="H1451" s="70" t="str">
        <f aca="false">IF($K1451="","",INDEX(Base!$J$5:$J$2004,$K1451))</f>
        <v/>
      </c>
      <c r="I1451" s="71" t="str">
        <f aca="false">IF($K1451="","",INDEX(Base!$L$5:$L$2004,$K1451))</f>
        <v/>
      </c>
      <c r="J1451" s="72" t="str">
        <f aca="false">IFERROR(SMALL(Base!$P$5:$P$2004,ROW()-5),"")</f>
        <v/>
      </c>
      <c r="K1451" s="72" t="str">
        <f aca="false">IF(J1451="","",MATCH(J1451,Base!$P$5:$P$2004,0))</f>
        <v/>
      </c>
    </row>
    <row r="1452" customFormat="false" ht="15" hidden="false" customHeight="false" outlineLevel="0" collapsed="false">
      <c r="A1452" s="67" t="str">
        <f aca="false">IF($K1452="","",ROW()-5)</f>
        <v/>
      </c>
      <c r="B1452" s="68" t="str">
        <f aca="false">IF($K1452="","",INDEX(Base!$E$5:$E$2004,$K1452))</f>
        <v/>
      </c>
      <c r="C1452" s="69" t="str">
        <f aca="false">IF($K1452="","",B1452)</f>
        <v/>
      </c>
      <c r="D1452" s="70" t="str">
        <f aca="false">IF($K1452="","",INDEX(Base!$F$5:$F$2004,$K1452))</f>
        <v/>
      </c>
      <c r="E1452" s="70" t="str">
        <f aca="false">IF($K1452="","",INDEX(Base!$G$5:$G$2004,$K1452))</f>
        <v/>
      </c>
      <c r="F1452" s="71" t="str">
        <f aca="false">IF($K1452="","",INDEX(Base!$H$5:$H$2004,$K1452))</f>
        <v/>
      </c>
      <c r="G1452" s="71" t="str">
        <f aca="false">IF($K1452="","",INDEX(Base!$I$5:$I$2004,$K1452))</f>
        <v/>
      </c>
      <c r="H1452" s="70" t="str">
        <f aca="false">IF($K1452="","",INDEX(Base!$J$5:$J$2004,$K1452))</f>
        <v/>
      </c>
      <c r="I1452" s="71" t="str">
        <f aca="false">IF($K1452="","",INDEX(Base!$L$5:$L$2004,$K1452))</f>
        <v/>
      </c>
      <c r="J1452" s="72" t="str">
        <f aca="false">IFERROR(SMALL(Base!$P$5:$P$2004,ROW()-5),"")</f>
        <v/>
      </c>
      <c r="K1452" s="72" t="str">
        <f aca="false">IF(J1452="","",MATCH(J1452,Base!$P$5:$P$2004,0))</f>
        <v/>
      </c>
    </row>
    <row r="1453" customFormat="false" ht="15" hidden="false" customHeight="false" outlineLevel="0" collapsed="false">
      <c r="A1453" s="67" t="str">
        <f aca="false">IF($K1453="","",ROW()-5)</f>
        <v/>
      </c>
      <c r="B1453" s="68" t="str">
        <f aca="false">IF($K1453="","",INDEX(Base!$E$5:$E$2004,$K1453))</f>
        <v/>
      </c>
      <c r="C1453" s="69" t="str">
        <f aca="false">IF($K1453="","",B1453)</f>
        <v/>
      </c>
      <c r="D1453" s="70" t="str">
        <f aca="false">IF($K1453="","",INDEX(Base!$F$5:$F$2004,$K1453))</f>
        <v/>
      </c>
      <c r="E1453" s="70" t="str">
        <f aca="false">IF($K1453="","",INDEX(Base!$G$5:$G$2004,$K1453))</f>
        <v/>
      </c>
      <c r="F1453" s="71" t="str">
        <f aca="false">IF($K1453="","",INDEX(Base!$H$5:$H$2004,$K1453))</f>
        <v/>
      </c>
      <c r="G1453" s="71" t="str">
        <f aca="false">IF($K1453="","",INDEX(Base!$I$5:$I$2004,$K1453))</f>
        <v/>
      </c>
      <c r="H1453" s="70" t="str">
        <f aca="false">IF($K1453="","",INDEX(Base!$J$5:$J$2004,$K1453))</f>
        <v/>
      </c>
      <c r="I1453" s="71" t="str">
        <f aca="false">IF($K1453="","",INDEX(Base!$L$5:$L$2004,$K1453))</f>
        <v/>
      </c>
      <c r="J1453" s="72" t="str">
        <f aca="false">IFERROR(SMALL(Base!$P$5:$P$2004,ROW()-5),"")</f>
        <v/>
      </c>
      <c r="K1453" s="72" t="str">
        <f aca="false">IF(J1453="","",MATCH(J1453,Base!$P$5:$P$2004,0))</f>
        <v/>
      </c>
    </row>
    <row r="1454" customFormat="false" ht="15" hidden="false" customHeight="false" outlineLevel="0" collapsed="false">
      <c r="A1454" s="67" t="str">
        <f aca="false">IF($K1454="","",ROW()-5)</f>
        <v/>
      </c>
      <c r="B1454" s="68" t="str">
        <f aca="false">IF($K1454="","",INDEX(Base!$E$5:$E$2004,$K1454))</f>
        <v/>
      </c>
      <c r="C1454" s="69" t="str">
        <f aca="false">IF($K1454="","",B1454)</f>
        <v/>
      </c>
      <c r="D1454" s="70" t="str">
        <f aca="false">IF($K1454="","",INDEX(Base!$F$5:$F$2004,$K1454))</f>
        <v/>
      </c>
      <c r="E1454" s="70" t="str">
        <f aca="false">IF($K1454="","",INDEX(Base!$G$5:$G$2004,$K1454))</f>
        <v/>
      </c>
      <c r="F1454" s="71" t="str">
        <f aca="false">IF($K1454="","",INDEX(Base!$H$5:$H$2004,$K1454))</f>
        <v/>
      </c>
      <c r="G1454" s="71" t="str">
        <f aca="false">IF($K1454="","",INDEX(Base!$I$5:$I$2004,$K1454))</f>
        <v/>
      </c>
      <c r="H1454" s="70" t="str">
        <f aca="false">IF($K1454="","",INDEX(Base!$J$5:$J$2004,$K1454))</f>
        <v/>
      </c>
      <c r="I1454" s="71" t="str">
        <f aca="false">IF($K1454="","",INDEX(Base!$L$5:$L$2004,$K1454))</f>
        <v/>
      </c>
      <c r="J1454" s="72" t="str">
        <f aca="false">IFERROR(SMALL(Base!$P$5:$P$2004,ROW()-5),"")</f>
        <v/>
      </c>
      <c r="K1454" s="72" t="str">
        <f aca="false">IF(J1454="","",MATCH(J1454,Base!$P$5:$P$2004,0))</f>
        <v/>
      </c>
    </row>
    <row r="1455" customFormat="false" ht="15" hidden="false" customHeight="false" outlineLevel="0" collapsed="false">
      <c r="A1455" s="67" t="str">
        <f aca="false">IF($K1455="","",ROW()-5)</f>
        <v/>
      </c>
      <c r="B1455" s="68" t="str">
        <f aca="false">IF($K1455="","",INDEX(Base!$E$5:$E$2004,$K1455))</f>
        <v/>
      </c>
      <c r="C1455" s="69" t="str">
        <f aca="false">IF($K1455="","",B1455)</f>
        <v/>
      </c>
      <c r="D1455" s="70" t="str">
        <f aca="false">IF($K1455="","",INDEX(Base!$F$5:$F$2004,$K1455))</f>
        <v/>
      </c>
      <c r="E1455" s="70" t="str">
        <f aca="false">IF($K1455="","",INDEX(Base!$G$5:$G$2004,$K1455))</f>
        <v/>
      </c>
      <c r="F1455" s="71" t="str">
        <f aca="false">IF($K1455="","",INDEX(Base!$H$5:$H$2004,$K1455))</f>
        <v/>
      </c>
      <c r="G1455" s="71" t="str">
        <f aca="false">IF($K1455="","",INDEX(Base!$I$5:$I$2004,$K1455))</f>
        <v/>
      </c>
      <c r="H1455" s="70" t="str">
        <f aca="false">IF($K1455="","",INDEX(Base!$J$5:$J$2004,$K1455))</f>
        <v/>
      </c>
      <c r="I1455" s="71" t="str">
        <f aca="false">IF($K1455="","",INDEX(Base!$L$5:$L$2004,$K1455))</f>
        <v/>
      </c>
      <c r="J1455" s="72" t="str">
        <f aca="false">IFERROR(SMALL(Base!$P$5:$P$2004,ROW()-5),"")</f>
        <v/>
      </c>
      <c r="K1455" s="72" t="str">
        <f aca="false">IF(J1455="","",MATCH(J1455,Base!$P$5:$P$2004,0))</f>
        <v/>
      </c>
    </row>
    <row r="1456" customFormat="false" ht="15" hidden="false" customHeight="false" outlineLevel="0" collapsed="false">
      <c r="A1456" s="67" t="str">
        <f aca="false">IF($K1456="","",ROW()-5)</f>
        <v/>
      </c>
      <c r="B1456" s="68" t="str">
        <f aca="false">IF($K1456="","",INDEX(Base!$E$5:$E$2004,$K1456))</f>
        <v/>
      </c>
      <c r="C1456" s="69" t="str">
        <f aca="false">IF($K1456="","",B1456)</f>
        <v/>
      </c>
      <c r="D1456" s="70" t="str">
        <f aca="false">IF($K1456="","",INDEX(Base!$F$5:$F$2004,$K1456))</f>
        <v/>
      </c>
      <c r="E1456" s="70" t="str">
        <f aca="false">IF($K1456="","",INDEX(Base!$G$5:$G$2004,$K1456))</f>
        <v/>
      </c>
      <c r="F1456" s="71" t="str">
        <f aca="false">IF($K1456="","",INDEX(Base!$H$5:$H$2004,$K1456))</f>
        <v/>
      </c>
      <c r="G1456" s="71" t="str">
        <f aca="false">IF($K1456="","",INDEX(Base!$I$5:$I$2004,$K1456))</f>
        <v/>
      </c>
      <c r="H1456" s="70" t="str">
        <f aca="false">IF($K1456="","",INDEX(Base!$J$5:$J$2004,$K1456))</f>
        <v/>
      </c>
      <c r="I1456" s="71" t="str">
        <f aca="false">IF($K1456="","",INDEX(Base!$L$5:$L$2004,$K1456))</f>
        <v/>
      </c>
      <c r="J1456" s="72" t="str">
        <f aca="false">IFERROR(SMALL(Base!$P$5:$P$2004,ROW()-5),"")</f>
        <v/>
      </c>
      <c r="K1456" s="72" t="str">
        <f aca="false">IF(J1456="","",MATCH(J1456,Base!$P$5:$P$2004,0))</f>
        <v/>
      </c>
    </row>
    <row r="1457" customFormat="false" ht="15" hidden="false" customHeight="false" outlineLevel="0" collapsed="false">
      <c r="A1457" s="67" t="str">
        <f aca="false">IF($K1457="","",ROW()-5)</f>
        <v/>
      </c>
      <c r="B1457" s="68" t="str">
        <f aca="false">IF($K1457="","",INDEX(Base!$E$5:$E$2004,$K1457))</f>
        <v/>
      </c>
      <c r="C1457" s="69" t="str">
        <f aca="false">IF($K1457="","",B1457)</f>
        <v/>
      </c>
      <c r="D1457" s="70" t="str">
        <f aca="false">IF($K1457="","",INDEX(Base!$F$5:$F$2004,$K1457))</f>
        <v/>
      </c>
      <c r="E1457" s="70" t="str">
        <f aca="false">IF($K1457="","",INDEX(Base!$G$5:$G$2004,$K1457))</f>
        <v/>
      </c>
      <c r="F1457" s="71" t="str">
        <f aca="false">IF($K1457="","",INDEX(Base!$H$5:$H$2004,$K1457))</f>
        <v/>
      </c>
      <c r="G1457" s="71" t="str">
        <f aca="false">IF($K1457="","",INDEX(Base!$I$5:$I$2004,$K1457))</f>
        <v/>
      </c>
      <c r="H1457" s="70" t="str">
        <f aca="false">IF($K1457="","",INDEX(Base!$J$5:$J$2004,$K1457))</f>
        <v/>
      </c>
      <c r="I1457" s="71" t="str">
        <f aca="false">IF($K1457="","",INDEX(Base!$L$5:$L$2004,$K1457))</f>
        <v/>
      </c>
      <c r="J1457" s="72" t="str">
        <f aca="false">IFERROR(SMALL(Base!$P$5:$P$2004,ROW()-5),"")</f>
        <v/>
      </c>
      <c r="K1457" s="72" t="str">
        <f aca="false">IF(J1457="","",MATCH(J1457,Base!$P$5:$P$2004,0))</f>
        <v/>
      </c>
    </row>
    <row r="1458" customFormat="false" ht="15" hidden="false" customHeight="false" outlineLevel="0" collapsed="false">
      <c r="A1458" s="67" t="str">
        <f aca="false">IF($K1458="","",ROW()-5)</f>
        <v/>
      </c>
      <c r="B1458" s="68" t="str">
        <f aca="false">IF($K1458="","",INDEX(Base!$E$5:$E$2004,$K1458))</f>
        <v/>
      </c>
      <c r="C1458" s="69" t="str">
        <f aca="false">IF($K1458="","",B1458)</f>
        <v/>
      </c>
      <c r="D1458" s="70" t="str">
        <f aca="false">IF($K1458="","",INDEX(Base!$F$5:$F$2004,$K1458))</f>
        <v/>
      </c>
      <c r="E1458" s="70" t="str">
        <f aca="false">IF($K1458="","",INDEX(Base!$G$5:$G$2004,$K1458))</f>
        <v/>
      </c>
      <c r="F1458" s="71" t="str">
        <f aca="false">IF($K1458="","",INDEX(Base!$H$5:$H$2004,$K1458))</f>
        <v/>
      </c>
      <c r="G1458" s="71" t="str">
        <f aca="false">IF($K1458="","",INDEX(Base!$I$5:$I$2004,$K1458))</f>
        <v/>
      </c>
      <c r="H1458" s="70" t="str">
        <f aca="false">IF($K1458="","",INDEX(Base!$J$5:$J$2004,$K1458))</f>
        <v/>
      </c>
      <c r="I1458" s="71" t="str">
        <f aca="false">IF($K1458="","",INDEX(Base!$L$5:$L$2004,$K1458))</f>
        <v/>
      </c>
      <c r="J1458" s="72" t="str">
        <f aca="false">IFERROR(SMALL(Base!$P$5:$P$2004,ROW()-5),"")</f>
        <v/>
      </c>
      <c r="K1458" s="72" t="str">
        <f aca="false">IF(J1458="","",MATCH(J1458,Base!$P$5:$P$2004,0))</f>
        <v/>
      </c>
    </row>
    <row r="1459" customFormat="false" ht="15" hidden="false" customHeight="false" outlineLevel="0" collapsed="false">
      <c r="A1459" s="67" t="str">
        <f aca="false">IF($K1459="","",ROW()-5)</f>
        <v/>
      </c>
      <c r="B1459" s="68" t="str">
        <f aca="false">IF($K1459="","",INDEX(Base!$E$5:$E$2004,$K1459))</f>
        <v/>
      </c>
      <c r="C1459" s="69" t="str">
        <f aca="false">IF($K1459="","",B1459)</f>
        <v/>
      </c>
      <c r="D1459" s="70" t="str">
        <f aca="false">IF($K1459="","",INDEX(Base!$F$5:$F$2004,$K1459))</f>
        <v/>
      </c>
      <c r="E1459" s="70" t="str">
        <f aca="false">IF($K1459="","",INDEX(Base!$G$5:$G$2004,$K1459))</f>
        <v/>
      </c>
      <c r="F1459" s="71" t="str">
        <f aca="false">IF($K1459="","",INDEX(Base!$H$5:$H$2004,$K1459))</f>
        <v/>
      </c>
      <c r="G1459" s="71" t="str">
        <f aca="false">IF($K1459="","",INDEX(Base!$I$5:$I$2004,$K1459))</f>
        <v/>
      </c>
      <c r="H1459" s="70" t="str">
        <f aca="false">IF($K1459="","",INDEX(Base!$J$5:$J$2004,$K1459))</f>
        <v/>
      </c>
      <c r="I1459" s="71" t="str">
        <f aca="false">IF($K1459="","",INDEX(Base!$L$5:$L$2004,$K1459))</f>
        <v/>
      </c>
      <c r="J1459" s="72" t="str">
        <f aca="false">IFERROR(SMALL(Base!$P$5:$P$2004,ROW()-5),"")</f>
        <v/>
      </c>
      <c r="K1459" s="72" t="str">
        <f aca="false">IF(J1459="","",MATCH(J1459,Base!$P$5:$P$2004,0))</f>
        <v/>
      </c>
    </row>
    <row r="1460" customFormat="false" ht="15" hidden="false" customHeight="false" outlineLevel="0" collapsed="false">
      <c r="A1460" s="67" t="str">
        <f aca="false">IF($K1460="","",ROW()-5)</f>
        <v/>
      </c>
      <c r="B1460" s="68" t="str">
        <f aca="false">IF($K1460="","",INDEX(Base!$E$5:$E$2004,$K1460))</f>
        <v/>
      </c>
      <c r="C1460" s="69" t="str">
        <f aca="false">IF($K1460="","",B1460)</f>
        <v/>
      </c>
      <c r="D1460" s="70" t="str">
        <f aca="false">IF($K1460="","",INDEX(Base!$F$5:$F$2004,$K1460))</f>
        <v/>
      </c>
      <c r="E1460" s="70" t="str">
        <f aca="false">IF($K1460="","",INDEX(Base!$G$5:$G$2004,$K1460))</f>
        <v/>
      </c>
      <c r="F1460" s="71" t="str">
        <f aca="false">IF($K1460="","",INDEX(Base!$H$5:$H$2004,$K1460))</f>
        <v/>
      </c>
      <c r="G1460" s="71" t="str">
        <f aca="false">IF($K1460="","",INDEX(Base!$I$5:$I$2004,$K1460))</f>
        <v/>
      </c>
      <c r="H1460" s="70" t="str">
        <f aca="false">IF($K1460="","",INDEX(Base!$J$5:$J$2004,$K1460))</f>
        <v/>
      </c>
      <c r="I1460" s="71" t="str">
        <f aca="false">IF($K1460="","",INDEX(Base!$L$5:$L$2004,$K1460))</f>
        <v/>
      </c>
      <c r="J1460" s="72" t="str">
        <f aca="false">IFERROR(SMALL(Base!$P$5:$P$2004,ROW()-5),"")</f>
        <v/>
      </c>
      <c r="K1460" s="72" t="str">
        <f aca="false">IF(J1460="","",MATCH(J1460,Base!$P$5:$P$2004,0))</f>
        <v/>
      </c>
    </row>
    <row r="1461" customFormat="false" ht="15" hidden="false" customHeight="false" outlineLevel="0" collapsed="false">
      <c r="A1461" s="67" t="str">
        <f aca="false">IF($K1461="","",ROW()-5)</f>
        <v/>
      </c>
      <c r="B1461" s="68" t="str">
        <f aca="false">IF($K1461="","",INDEX(Base!$E$5:$E$2004,$K1461))</f>
        <v/>
      </c>
      <c r="C1461" s="69" t="str">
        <f aca="false">IF($K1461="","",B1461)</f>
        <v/>
      </c>
      <c r="D1461" s="70" t="str">
        <f aca="false">IF($K1461="","",INDEX(Base!$F$5:$F$2004,$K1461))</f>
        <v/>
      </c>
      <c r="E1461" s="70" t="str">
        <f aca="false">IF($K1461="","",INDEX(Base!$G$5:$G$2004,$K1461))</f>
        <v/>
      </c>
      <c r="F1461" s="71" t="str">
        <f aca="false">IF($K1461="","",INDEX(Base!$H$5:$H$2004,$K1461))</f>
        <v/>
      </c>
      <c r="G1461" s="71" t="str">
        <f aca="false">IF($K1461="","",INDEX(Base!$I$5:$I$2004,$K1461))</f>
        <v/>
      </c>
      <c r="H1461" s="70" t="str">
        <f aca="false">IF($K1461="","",INDEX(Base!$J$5:$J$2004,$K1461))</f>
        <v/>
      </c>
      <c r="I1461" s="71" t="str">
        <f aca="false">IF($K1461="","",INDEX(Base!$L$5:$L$2004,$K1461))</f>
        <v/>
      </c>
      <c r="J1461" s="72" t="str">
        <f aca="false">IFERROR(SMALL(Base!$P$5:$P$2004,ROW()-5),"")</f>
        <v/>
      </c>
      <c r="K1461" s="72" t="str">
        <f aca="false">IF(J1461="","",MATCH(J1461,Base!$P$5:$P$2004,0))</f>
        <v/>
      </c>
    </row>
    <row r="1462" customFormat="false" ht="15" hidden="false" customHeight="false" outlineLevel="0" collapsed="false">
      <c r="A1462" s="67" t="str">
        <f aca="false">IF($K1462="","",ROW()-5)</f>
        <v/>
      </c>
      <c r="B1462" s="68" t="str">
        <f aca="false">IF($K1462="","",INDEX(Base!$E$5:$E$2004,$K1462))</f>
        <v/>
      </c>
      <c r="C1462" s="69" t="str">
        <f aca="false">IF($K1462="","",B1462)</f>
        <v/>
      </c>
      <c r="D1462" s="70" t="str">
        <f aca="false">IF($K1462="","",INDEX(Base!$F$5:$F$2004,$K1462))</f>
        <v/>
      </c>
      <c r="E1462" s="70" t="str">
        <f aca="false">IF($K1462="","",INDEX(Base!$G$5:$G$2004,$K1462))</f>
        <v/>
      </c>
      <c r="F1462" s="71" t="str">
        <f aca="false">IF($K1462="","",INDEX(Base!$H$5:$H$2004,$K1462))</f>
        <v/>
      </c>
      <c r="G1462" s="71" t="str">
        <f aca="false">IF($K1462="","",INDEX(Base!$I$5:$I$2004,$K1462))</f>
        <v/>
      </c>
      <c r="H1462" s="70" t="str">
        <f aca="false">IF($K1462="","",INDEX(Base!$J$5:$J$2004,$K1462))</f>
        <v/>
      </c>
      <c r="I1462" s="71" t="str">
        <f aca="false">IF($K1462="","",INDEX(Base!$L$5:$L$2004,$K1462))</f>
        <v/>
      </c>
      <c r="J1462" s="72" t="str">
        <f aca="false">IFERROR(SMALL(Base!$P$5:$P$2004,ROW()-5),"")</f>
        <v/>
      </c>
      <c r="K1462" s="72" t="str">
        <f aca="false">IF(J1462="","",MATCH(J1462,Base!$P$5:$P$2004,0))</f>
        <v/>
      </c>
    </row>
    <row r="1463" customFormat="false" ht="15" hidden="false" customHeight="false" outlineLevel="0" collapsed="false">
      <c r="A1463" s="67" t="str">
        <f aca="false">IF($K1463="","",ROW()-5)</f>
        <v/>
      </c>
      <c r="B1463" s="68" t="str">
        <f aca="false">IF($K1463="","",INDEX(Base!$E$5:$E$2004,$K1463))</f>
        <v/>
      </c>
      <c r="C1463" s="69" t="str">
        <f aca="false">IF($K1463="","",B1463)</f>
        <v/>
      </c>
      <c r="D1463" s="70" t="str">
        <f aca="false">IF($K1463="","",INDEX(Base!$F$5:$F$2004,$K1463))</f>
        <v/>
      </c>
      <c r="E1463" s="70" t="str">
        <f aca="false">IF($K1463="","",INDEX(Base!$G$5:$G$2004,$K1463))</f>
        <v/>
      </c>
      <c r="F1463" s="71" t="str">
        <f aca="false">IF($K1463="","",INDEX(Base!$H$5:$H$2004,$K1463))</f>
        <v/>
      </c>
      <c r="G1463" s="71" t="str">
        <f aca="false">IF($K1463="","",INDEX(Base!$I$5:$I$2004,$K1463))</f>
        <v/>
      </c>
      <c r="H1463" s="70" t="str">
        <f aca="false">IF($K1463="","",INDEX(Base!$J$5:$J$2004,$K1463))</f>
        <v/>
      </c>
      <c r="I1463" s="71" t="str">
        <f aca="false">IF($K1463="","",INDEX(Base!$L$5:$L$2004,$K1463))</f>
        <v/>
      </c>
      <c r="J1463" s="72" t="str">
        <f aca="false">IFERROR(SMALL(Base!$P$5:$P$2004,ROW()-5),"")</f>
        <v/>
      </c>
      <c r="K1463" s="72" t="str">
        <f aca="false">IF(J1463="","",MATCH(J1463,Base!$P$5:$P$2004,0))</f>
        <v/>
      </c>
    </row>
    <row r="1464" customFormat="false" ht="15" hidden="false" customHeight="false" outlineLevel="0" collapsed="false">
      <c r="A1464" s="67" t="str">
        <f aca="false">IF($K1464="","",ROW()-5)</f>
        <v/>
      </c>
      <c r="B1464" s="68" t="str">
        <f aca="false">IF($K1464="","",INDEX(Base!$E$5:$E$2004,$K1464))</f>
        <v/>
      </c>
      <c r="C1464" s="69" t="str">
        <f aca="false">IF($K1464="","",B1464)</f>
        <v/>
      </c>
      <c r="D1464" s="70" t="str">
        <f aca="false">IF($K1464="","",INDEX(Base!$F$5:$F$2004,$K1464))</f>
        <v/>
      </c>
      <c r="E1464" s="70" t="str">
        <f aca="false">IF($K1464="","",INDEX(Base!$G$5:$G$2004,$K1464))</f>
        <v/>
      </c>
      <c r="F1464" s="71" t="str">
        <f aca="false">IF($K1464="","",INDEX(Base!$H$5:$H$2004,$K1464))</f>
        <v/>
      </c>
      <c r="G1464" s="71" t="str">
        <f aca="false">IF($K1464="","",INDEX(Base!$I$5:$I$2004,$K1464))</f>
        <v/>
      </c>
      <c r="H1464" s="70" t="str">
        <f aca="false">IF($K1464="","",INDEX(Base!$J$5:$J$2004,$K1464))</f>
        <v/>
      </c>
      <c r="I1464" s="71" t="str">
        <f aca="false">IF($K1464="","",INDEX(Base!$L$5:$L$2004,$K1464))</f>
        <v/>
      </c>
      <c r="J1464" s="72" t="str">
        <f aca="false">IFERROR(SMALL(Base!$P$5:$P$2004,ROW()-5),"")</f>
        <v/>
      </c>
      <c r="K1464" s="72" t="str">
        <f aca="false">IF(J1464="","",MATCH(J1464,Base!$P$5:$P$2004,0))</f>
        <v/>
      </c>
    </row>
    <row r="1465" customFormat="false" ht="15" hidden="false" customHeight="false" outlineLevel="0" collapsed="false">
      <c r="A1465" s="67" t="str">
        <f aca="false">IF($K1465="","",ROW()-5)</f>
        <v/>
      </c>
      <c r="B1465" s="68" t="str">
        <f aca="false">IF($K1465="","",INDEX(Base!$E$5:$E$2004,$K1465))</f>
        <v/>
      </c>
      <c r="C1465" s="69" t="str">
        <f aca="false">IF($K1465="","",B1465)</f>
        <v/>
      </c>
      <c r="D1465" s="70" t="str">
        <f aca="false">IF($K1465="","",INDEX(Base!$F$5:$F$2004,$K1465))</f>
        <v/>
      </c>
      <c r="E1465" s="70" t="str">
        <f aca="false">IF($K1465="","",INDEX(Base!$G$5:$G$2004,$K1465))</f>
        <v/>
      </c>
      <c r="F1465" s="71" t="str">
        <f aca="false">IF($K1465="","",INDEX(Base!$H$5:$H$2004,$K1465))</f>
        <v/>
      </c>
      <c r="G1465" s="71" t="str">
        <f aca="false">IF($K1465="","",INDEX(Base!$I$5:$I$2004,$K1465))</f>
        <v/>
      </c>
      <c r="H1465" s="70" t="str">
        <f aca="false">IF($K1465="","",INDEX(Base!$J$5:$J$2004,$K1465))</f>
        <v/>
      </c>
      <c r="I1465" s="71" t="str">
        <f aca="false">IF($K1465="","",INDEX(Base!$L$5:$L$2004,$K1465))</f>
        <v/>
      </c>
      <c r="J1465" s="72" t="str">
        <f aca="false">IFERROR(SMALL(Base!$P$5:$P$2004,ROW()-5),"")</f>
        <v/>
      </c>
      <c r="K1465" s="72" t="str">
        <f aca="false">IF(J1465="","",MATCH(J1465,Base!$P$5:$P$2004,0))</f>
        <v/>
      </c>
    </row>
    <row r="1466" customFormat="false" ht="15" hidden="false" customHeight="false" outlineLevel="0" collapsed="false">
      <c r="A1466" s="67" t="str">
        <f aca="false">IF($K1466="","",ROW()-5)</f>
        <v/>
      </c>
      <c r="B1466" s="68" t="str">
        <f aca="false">IF($K1466="","",INDEX(Base!$E$5:$E$2004,$K1466))</f>
        <v/>
      </c>
      <c r="C1466" s="69" t="str">
        <f aca="false">IF($K1466="","",B1466)</f>
        <v/>
      </c>
      <c r="D1466" s="70" t="str">
        <f aca="false">IF($K1466="","",INDEX(Base!$F$5:$F$2004,$K1466))</f>
        <v/>
      </c>
      <c r="E1466" s="70" t="str">
        <f aca="false">IF($K1466="","",INDEX(Base!$G$5:$G$2004,$K1466))</f>
        <v/>
      </c>
      <c r="F1466" s="71" t="str">
        <f aca="false">IF($K1466="","",INDEX(Base!$H$5:$H$2004,$K1466))</f>
        <v/>
      </c>
      <c r="G1466" s="71" t="str">
        <f aca="false">IF($K1466="","",INDEX(Base!$I$5:$I$2004,$K1466))</f>
        <v/>
      </c>
      <c r="H1466" s="70" t="str">
        <f aca="false">IF($K1466="","",INDEX(Base!$J$5:$J$2004,$K1466))</f>
        <v/>
      </c>
      <c r="I1466" s="71" t="str">
        <f aca="false">IF($K1466="","",INDEX(Base!$L$5:$L$2004,$K1466))</f>
        <v/>
      </c>
      <c r="J1466" s="72" t="str">
        <f aca="false">IFERROR(SMALL(Base!$P$5:$P$2004,ROW()-5),"")</f>
        <v/>
      </c>
      <c r="K1466" s="72" t="str">
        <f aca="false">IF(J1466="","",MATCH(J1466,Base!$P$5:$P$2004,0))</f>
        <v/>
      </c>
    </row>
    <row r="1467" customFormat="false" ht="15" hidden="false" customHeight="false" outlineLevel="0" collapsed="false">
      <c r="A1467" s="67" t="str">
        <f aca="false">IF($K1467="","",ROW()-5)</f>
        <v/>
      </c>
      <c r="B1467" s="68" t="str">
        <f aca="false">IF($K1467="","",INDEX(Base!$E$5:$E$2004,$K1467))</f>
        <v/>
      </c>
      <c r="C1467" s="69" t="str">
        <f aca="false">IF($K1467="","",B1467)</f>
        <v/>
      </c>
      <c r="D1467" s="70" t="str">
        <f aca="false">IF($K1467="","",INDEX(Base!$F$5:$F$2004,$K1467))</f>
        <v/>
      </c>
      <c r="E1467" s="70" t="str">
        <f aca="false">IF($K1467="","",INDEX(Base!$G$5:$G$2004,$K1467))</f>
        <v/>
      </c>
      <c r="F1467" s="71" t="str">
        <f aca="false">IF($K1467="","",INDEX(Base!$H$5:$H$2004,$K1467))</f>
        <v/>
      </c>
      <c r="G1467" s="71" t="str">
        <f aca="false">IF($K1467="","",INDEX(Base!$I$5:$I$2004,$K1467))</f>
        <v/>
      </c>
      <c r="H1467" s="70" t="str">
        <f aca="false">IF($K1467="","",INDEX(Base!$J$5:$J$2004,$K1467))</f>
        <v/>
      </c>
      <c r="I1467" s="71" t="str">
        <f aca="false">IF($K1467="","",INDEX(Base!$L$5:$L$2004,$K1467))</f>
        <v/>
      </c>
      <c r="J1467" s="72" t="str">
        <f aca="false">IFERROR(SMALL(Base!$P$5:$P$2004,ROW()-5),"")</f>
        <v/>
      </c>
      <c r="K1467" s="72" t="str">
        <f aca="false">IF(J1467="","",MATCH(J1467,Base!$P$5:$P$2004,0))</f>
        <v/>
      </c>
    </row>
    <row r="1468" customFormat="false" ht="15" hidden="false" customHeight="false" outlineLevel="0" collapsed="false">
      <c r="A1468" s="67" t="str">
        <f aca="false">IF($K1468="","",ROW()-5)</f>
        <v/>
      </c>
      <c r="B1468" s="68" t="str">
        <f aca="false">IF($K1468="","",INDEX(Base!$E$5:$E$2004,$K1468))</f>
        <v/>
      </c>
      <c r="C1468" s="69" t="str">
        <f aca="false">IF($K1468="","",B1468)</f>
        <v/>
      </c>
      <c r="D1468" s="70" t="str">
        <f aca="false">IF($K1468="","",INDEX(Base!$F$5:$F$2004,$K1468))</f>
        <v/>
      </c>
      <c r="E1468" s="70" t="str">
        <f aca="false">IF($K1468="","",INDEX(Base!$G$5:$G$2004,$K1468))</f>
        <v/>
      </c>
      <c r="F1468" s="71" t="str">
        <f aca="false">IF($K1468="","",INDEX(Base!$H$5:$H$2004,$K1468))</f>
        <v/>
      </c>
      <c r="G1468" s="71" t="str">
        <f aca="false">IF($K1468="","",INDEX(Base!$I$5:$I$2004,$K1468))</f>
        <v/>
      </c>
      <c r="H1468" s="70" t="str">
        <f aca="false">IF($K1468="","",INDEX(Base!$J$5:$J$2004,$K1468))</f>
        <v/>
      </c>
      <c r="I1468" s="71" t="str">
        <f aca="false">IF($K1468="","",INDEX(Base!$L$5:$L$2004,$K1468))</f>
        <v/>
      </c>
      <c r="J1468" s="72" t="str">
        <f aca="false">IFERROR(SMALL(Base!$P$5:$P$2004,ROW()-5),"")</f>
        <v/>
      </c>
      <c r="K1468" s="72" t="str">
        <f aca="false">IF(J1468="","",MATCH(J1468,Base!$P$5:$P$2004,0))</f>
        <v/>
      </c>
    </row>
    <row r="1469" customFormat="false" ht="15" hidden="false" customHeight="false" outlineLevel="0" collapsed="false">
      <c r="A1469" s="67" t="str">
        <f aca="false">IF($K1469="","",ROW()-5)</f>
        <v/>
      </c>
      <c r="B1469" s="68" t="str">
        <f aca="false">IF($K1469="","",INDEX(Base!$E$5:$E$2004,$K1469))</f>
        <v/>
      </c>
      <c r="C1469" s="69" t="str">
        <f aca="false">IF($K1469="","",B1469)</f>
        <v/>
      </c>
      <c r="D1469" s="70" t="str">
        <f aca="false">IF($K1469="","",INDEX(Base!$F$5:$F$2004,$K1469))</f>
        <v/>
      </c>
      <c r="E1469" s="70" t="str">
        <f aca="false">IF($K1469="","",INDEX(Base!$G$5:$G$2004,$K1469))</f>
        <v/>
      </c>
      <c r="F1469" s="71" t="str">
        <f aca="false">IF($K1469="","",INDEX(Base!$H$5:$H$2004,$K1469))</f>
        <v/>
      </c>
      <c r="G1469" s="71" t="str">
        <f aca="false">IF($K1469="","",INDEX(Base!$I$5:$I$2004,$K1469))</f>
        <v/>
      </c>
      <c r="H1469" s="70" t="str">
        <f aca="false">IF($K1469="","",INDEX(Base!$J$5:$J$2004,$K1469))</f>
        <v/>
      </c>
      <c r="I1469" s="71" t="str">
        <f aca="false">IF($K1469="","",INDEX(Base!$L$5:$L$2004,$K1469))</f>
        <v/>
      </c>
      <c r="J1469" s="72" t="str">
        <f aca="false">IFERROR(SMALL(Base!$P$5:$P$2004,ROW()-5),"")</f>
        <v/>
      </c>
      <c r="K1469" s="72" t="str">
        <f aca="false">IF(J1469="","",MATCH(J1469,Base!$P$5:$P$2004,0))</f>
        <v/>
      </c>
    </row>
    <row r="1470" customFormat="false" ht="15" hidden="false" customHeight="false" outlineLevel="0" collapsed="false">
      <c r="A1470" s="67" t="str">
        <f aca="false">IF($K1470="","",ROW()-5)</f>
        <v/>
      </c>
      <c r="B1470" s="68" t="str">
        <f aca="false">IF($K1470="","",INDEX(Base!$E$5:$E$2004,$K1470))</f>
        <v/>
      </c>
      <c r="C1470" s="69" t="str">
        <f aca="false">IF($K1470="","",B1470)</f>
        <v/>
      </c>
      <c r="D1470" s="70" t="str">
        <f aca="false">IF($K1470="","",INDEX(Base!$F$5:$F$2004,$K1470))</f>
        <v/>
      </c>
      <c r="E1470" s="70" t="str">
        <f aca="false">IF($K1470="","",INDEX(Base!$G$5:$G$2004,$K1470))</f>
        <v/>
      </c>
      <c r="F1470" s="71" t="str">
        <f aca="false">IF($K1470="","",INDEX(Base!$H$5:$H$2004,$K1470))</f>
        <v/>
      </c>
      <c r="G1470" s="71" t="str">
        <f aca="false">IF($K1470="","",INDEX(Base!$I$5:$I$2004,$K1470))</f>
        <v/>
      </c>
      <c r="H1470" s="70" t="str">
        <f aca="false">IF($K1470="","",INDEX(Base!$J$5:$J$2004,$K1470))</f>
        <v/>
      </c>
      <c r="I1470" s="71" t="str">
        <f aca="false">IF($K1470="","",INDEX(Base!$L$5:$L$2004,$K1470))</f>
        <v/>
      </c>
      <c r="J1470" s="72" t="str">
        <f aca="false">IFERROR(SMALL(Base!$P$5:$P$2004,ROW()-5),"")</f>
        <v/>
      </c>
      <c r="K1470" s="72" t="str">
        <f aca="false">IF(J1470="","",MATCH(J1470,Base!$P$5:$P$2004,0))</f>
        <v/>
      </c>
    </row>
    <row r="1471" customFormat="false" ht="15" hidden="false" customHeight="false" outlineLevel="0" collapsed="false">
      <c r="A1471" s="67" t="str">
        <f aca="false">IF($K1471="","",ROW()-5)</f>
        <v/>
      </c>
      <c r="B1471" s="68" t="str">
        <f aca="false">IF($K1471="","",INDEX(Base!$E$5:$E$2004,$K1471))</f>
        <v/>
      </c>
      <c r="C1471" s="69" t="str">
        <f aca="false">IF($K1471="","",B1471)</f>
        <v/>
      </c>
      <c r="D1471" s="70" t="str">
        <f aca="false">IF($K1471="","",INDEX(Base!$F$5:$F$2004,$K1471))</f>
        <v/>
      </c>
      <c r="E1471" s="70" t="str">
        <f aca="false">IF($K1471="","",INDEX(Base!$G$5:$G$2004,$K1471))</f>
        <v/>
      </c>
      <c r="F1471" s="71" t="str">
        <f aca="false">IF($K1471="","",INDEX(Base!$H$5:$H$2004,$K1471))</f>
        <v/>
      </c>
      <c r="G1471" s="71" t="str">
        <f aca="false">IF($K1471="","",INDEX(Base!$I$5:$I$2004,$K1471))</f>
        <v/>
      </c>
      <c r="H1471" s="70" t="str">
        <f aca="false">IF($K1471="","",INDEX(Base!$J$5:$J$2004,$K1471))</f>
        <v/>
      </c>
      <c r="I1471" s="71" t="str">
        <f aca="false">IF($K1471="","",INDEX(Base!$L$5:$L$2004,$K1471))</f>
        <v/>
      </c>
      <c r="J1471" s="72" t="str">
        <f aca="false">IFERROR(SMALL(Base!$P$5:$P$2004,ROW()-5),"")</f>
        <v/>
      </c>
      <c r="K1471" s="72" t="str">
        <f aca="false">IF(J1471="","",MATCH(J1471,Base!$P$5:$P$2004,0))</f>
        <v/>
      </c>
    </row>
    <row r="1472" customFormat="false" ht="15" hidden="false" customHeight="false" outlineLevel="0" collapsed="false">
      <c r="A1472" s="67" t="str">
        <f aca="false">IF($K1472="","",ROW()-5)</f>
        <v/>
      </c>
      <c r="B1472" s="68" t="str">
        <f aca="false">IF($K1472="","",INDEX(Base!$E$5:$E$2004,$K1472))</f>
        <v/>
      </c>
      <c r="C1472" s="69" t="str">
        <f aca="false">IF($K1472="","",B1472)</f>
        <v/>
      </c>
      <c r="D1472" s="70" t="str">
        <f aca="false">IF($K1472="","",INDEX(Base!$F$5:$F$2004,$K1472))</f>
        <v/>
      </c>
      <c r="E1472" s="70" t="str">
        <f aca="false">IF($K1472="","",INDEX(Base!$G$5:$G$2004,$K1472))</f>
        <v/>
      </c>
      <c r="F1472" s="71" t="str">
        <f aca="false">IF($K1472="","",INDEX(Base!$H$5:$H$2004,$K1472))</f>
        <v/>
      </c>
      <c r="G1472" s="71" t="str">
        <f aca="false">IF($K1472="","",INDEX(Base!$I$5:$I$2004,$K1472))</f>
        <v/>
      </c>
      <c r="H1472" s="70" t="str">
        <f aca="false">IF($K1472="","",INDEX(Base!$J$5:$J$2004,$K1472))</f>
        <v/>
      </c>
      <c r="I1472" s="71" t="str">
        <f aca="false">IF($K1472="","",INDEX(Base!$L$5:$L$2004,$K1472))</f>
        <v/>
      </c>
      <c r="J1472" s="72" t="str">
        <f aca="false">IFERROR(SMALL(Base!$P$5:$P$2004,ROW()-5),"")</f>
        <v/>
      </c>
      <c r="K1472" s="72" t="str">
        <f aca="false">IF(J1472="","",MATCH(J1472,Base!$P$5:$P$2004,0))</f>
        <v/>
      </c>
    </row>
    <row r="1473" customFormat="false" ht="15" hidden="false" customHeight="false" outlineLevel="0" collapsed="false">
      <c r="A1473" s="67" t="str">
        <f aca="false">IF($K1473="","",ROW()-5)</f>
        <v/>
      </c>
      <c r="B1473" s="68" t="str">
        <f aca="false">IF($K1473="","",INDEX(Base!$E$5:$E$2004,$K1473))</f>
        <v/>
      </c>
      <c r="C1473" s="69" t="str">
        <f aca="false">IF($K1473="","",B1473)</f>
        <v/>
      </c>
      <c r="D1473" s="70" t="str">
        <f aca="false">IF($K1473="","",INDEX(Base!$F$5:$F$2004,$K1473))</f>
        <v/>
      </c>
      <c r="E1473" s="70" t="str">
        <f aca="false">IF($K1473="","",INDEX(Base!$G$5:$G$2004,$K1473))</f>
        <v/>
      </c>
      <c r="F1473" s="71" t="str">
        <f aca="false">IF($K1473="","",INDEX(Base!$H$5:$H$2004,$K1473))</f>
        <v/>
      </c>
      <c r="G1473" s="71" t="str">
        <f aca="false">IF($K1473="","",INDEX(Base!$I$5:$I$2004,$K1473))</f>
        <v/>
      </c>
      <c r="H1473" s="70" t="str">
        <f aca="false">IF($K1473="","",INDEX(Base!$J$5:$J$2004,$K1473))</f>
        <v/>
      </c>
      <c r="I1473" s="71" t="str">
        <f aca="false">IF($K1473="","",INDEX(Base!$L$5:$L$2004,$K1473))</f>
        <v/>
      </c>
      <c r="J1473" s="72" t="str">
        <f aca="false">IFERROR(SMALL(Base!$P$5:$P$2004,ROW()-5),"")</f>
        <v/>
      </c>
      <c r="K1473" s="72" t="str">
        <f aca="false">IF(J1473="","",MATCH(J1473,Base!$P$5:$P$2004,0))</f>
        <v/>
      </c>
    </row>
    <row r="1474" customFormat="false" ht="15" hidden="false" customHeight="false" outlineLevel="0" collapsed="false">
      <c r="A1474" s="67" t="str">
        <f aca="false">IF($K1474="","",ROW()-5)</f>
        <v/>
      </c>
      <c r="B1474" s="68" t="str">
        <f aca="false">IF($K1474="","",INDEX(Base!$E$5:$E$2004,$K1474))</f>
        <v/>
      </c>
      <c r="C1474" s="69" t="str">
        <f aca="false">IF($K1474="","",B1474)</f>
        <v/>
      </c>
      <c r="D1474" s="70" t="str">
        <f aca="false">IF($K1474="","",INDEX(Base!$F$5:$F$2004,$K1474))</f>
        <v/>
      </c>
      <c r="E1474" s="70" t="str">
        <f aca="false">IF($K1474="","",INDEX(Base!$G$5:$G$2004,$K1474))</f>
        <v/>
      </c>
      <c r="F1474" s="71" t="str">
        <f aca="false">IF($K1474="","",INDEX(Base!$H$5:$H$2004,$K1474))</f>
        <v/>
      </c>
      <c r="G1474" s="71" t="str">
        <f aca="false">IF($K1474="","",INDEX(Base!$I$5:$I$2004,$K1474))</f>
        <v/>
      </c>
      <c r="H1474" s="70" t="str">
        <f aca="false">IF($K1474="","",INDEX(Base!$J$5:$J$2004,$K1474))</f>
        <v/>
      </c>
      <c r="I1474" s="71" t="str">
        <f aca="false">IF($K1474="","",INDEX(Base!$L$5:$L$2004,$K1474))</f>
        <v/>
      </c>
      <c r="J1474" s="72" t="str">
        <f aca="false">IFERROR(SMALL(Base!$P$5:$P$2004,ROW()-5),"")</f>
        <v/>
      </c>
      <c r="K1474" s="72" t="str">
        <f aca="false">IF(J1474="","",MATCH(J1474,Base!$P$5:$P$2004,0))</f>
        <v/>
      </c>
    </row>
    <row r="1475" customFormat="false" ht="15" hidden="false" customHeight="false" outlineLevel="0" collapsed="false">
      <c r="A1475" s="67" t="str">
        <f aca="false">IF($K1475="","",ROW()-5)</f>
        <v/>
      </c>
      <c r="B1475" s="68" t="str">
        <f aca="false">IF($K1475="","",INDEX(Base!$E$5:$E$2004,$K1475))</f>
        <v/>
      </c>
      <c r="C1475" s="69" t="str">
        <f aca="false">IF($K1475="","",B1475)</f>
        <v/>
      </c>
      <c r="D1475" s="70" t="str">
        <f aca="false">IF($K1475="","",INDEX(Base!$F$5:$F$2004,$K1475))</f>
        <v/>
      </c>
      <c r="E1475" s="70" t="str">
        <f aca="false">IF($K1475="","",INDEX(Base!$G$5:$G$2004,$K1475))</f>
        <v/>
      </c>
      <c r="F1475" s="71" t="str">
        <f aca="false">IF($K1475="","",INDEX(Base!$H$5:$H$2004,$K1475))</f>
        <v/>
      </c>
      <c r="G1475" s="71" t="str">
        <f aca="false">IF($K1475="","",INDEX(Base!$I$5:$I$2004,$K1475))</f>
        <v/>
      </c>
      <c r="H1475" s="70" t="str">
        <f aca="false">IF($K1475="","",INDEX(Base!$J$5:$J$2004,$K1475))</f>
        <v/>
      </c>
      <c r="I1475" s="71" t="str">
        <f aca="false">IF($K1475="","",INDEX(Base!$L$5:$L$2004,$K1475))</f>
        <v/>
      </c>
      <c r="J1475" s="72" t="str">
        <f aca="false">IFERROR(SMALL(Base!$P$5:$P$2004,ROW()-5),"")</f>
        <v/>
      </c>
      <c r="K1475" s="72" t="str">
        <f aca="false">IF(J1475="","",MATCH(J1475,Base!$P$5:$P$2004,0))</f>
        <v/>
      </c>
    </row>
    <row r="1476" customFormat="false" ht="15" hidden="false" customHeight="false" outlineLevel="0" collapsed="false">
      <c r="A1476" s="67" t="str">
        <f aca="false">IF($K1476="","",ROW()-5)</f>
        <v/>
      </c>
      <c r="B1476" s="68" t="str">
        <f aca="false">IF($K1476="","",INDEX(Base!$E$5:$E$2004,$K1476))</f>
        <v/>
      </c>
      <c r="C1476" s="69" t="str">
        <f aca="false">IF($K1476="","",B1476)</f>
        <v/>
      </c>
      <c r="D1476" s="70" t="str">
        <f aca="false">IF($K1476="","",INDEX(Base!$F$5:$F$2004,$K1476))</f>
        <v/>
      </c>
      <c r="E1476" s="70" t="str">
        <f aca="false">IF($K1476="","",INDEX(Base!$G$5:$G$2004,$K1476))</f>
        <v/>
      </c>
      <c r="F1476" s="71" t="str">
        <f aca="false">IF($K1476="","",INDEX(Base!$H$5:$H$2004,$K1476))</f>
        <v/>
      </c>
      <c r="G1476" s="71" t="str">
        <f aca="false">IF($K1476="","",INDEX(Base!$I$5:$I$2004,$K1476))</f>
        <v/>
      </c>
      <c r="H1476" s="70" t="str">
        <f aca="false">IF($K1476="","",INDEX(Base!$J$5:$J$2004,$K1476))</f>
        <v/>
      </c>
      <c r="I1476" s="71" t="str">
        <f aca="false">IF($K1476="","",INDEX(Base!$L$5:$L$2004,$K1476))</f>
        <v/>
      </c>
      <c r="J1476" s="72" t="str">
        <f aca="false">IFERROR(SMALL(Base!$P$5:$P$2004,ROW()-5),"")</f>
        <v/>
      </c>
      <c r="K1476" s="72" t="str">
        <f aca="false">IF(J1476="","",MATCH(J1476,Base!$P$5:$P$2004,0))</f>
        <v/>
      </c>
    </row>
    <row r="1477" customFormat="false" ht="15" hidden="false" customHeight="false" outlineLevel="0" collapsed="false">
      <c r="A1477" s="67" t="str">
        <f aca="false">IF($K1477="","",ROW()-5)</f>
        <v/>
      </c>
      <c r="B1477" s="68" t="str">
        <f aca="false">IF($K1477="","",INDEX(Base!$E$5:$E$2004,$K1477))</f>
        <v/>
      </c>
      <c r="C1477" s="69" t="str">
        <f aca="false">IF($K1477="","",B1477)</f>
        <v/>
      </c>
      <c r="D1477" s="70" t="str">
        <f aca="false">IF($K1477="","",INDEX(Base!$F$5:$F$2004,$K1477))</f>
        <v/>
      </c>
      <c r="E1477" s="70" t="str">
        <f aca="false">IF($K1477="","",INDEX(Base!$G$5:$G$2004,$K1477))</f>
        <v/>
      </c>
      <c r="F1477" s="71" t="str">
        <f aca="false">IF($K1477="","",INDEX(Base!$H$5:$H$2004,$K1477))</f>
        <v/>
      </c>
      <c r="G1477" s="71" t="str">
        <f aca="false">IF($K1477="","",INDEX(Base!$I$5:$I$2004,$K1477))</f>
        <v/>
      </c>
      <c r="H1477" s="70" t="str">
        <f aca="false">IF($K1477="","",INDEX(Base!$J$5:$J$2004,$K1477))</f>
        <v/>
      </c>
      <c r="I1477" s="71" t="str">
        <f aca="false">IF($K1477="","",INDEX(Base!$L$5:$L$2004,$K1477))</f>
        <v/>
      </c>
      <c r="J1477" s="72" t="str">
        <f aca="false">IFERROR(SMALL(Base!$P$5:$P$2004,ROW()-5),"")</f>
        <v/>
      </c>
      <c r="K1477" s="72" t="str">
        <f aca="false">IF(J1477="","",MATCH(J1477,Base!$P$5:$P$2004,0))</f>
        <v/>
      </c>
    </row>
    <row r="1478" customFormat="false" ht="15" hidden="false" customHeight="false" outlineLevel="0" collapsed="false">
      <c r="A1478" s="67" t="str">
        <f aca="false">IF($K1478="","",ROW()-5)</f>
        <v/>
      </c>
      <c r="B1478" s="68" t="str">
        <f aca="false">IF($K1478="","",INDEX(Base!$E$5:$E$2004,$K1478))</f>
        <v/>
      </c>
      <c r="C1478" s="69" t="str">
        <f aca="false">IF($K1478="","",B1478)</f>
        <v/>
      </c>
      <c r="D1478" s="70" t="str">
        <f aca="false">IF($K1478="","",INDEX(Base!$F$5:$F$2004,$K1478))</f>
        <v/>
      </c>
      <c r="E1478" s="70" t="str">
        <f aca="false">IF($K1478="","",INDEX(Base!$G$5:$G$2004,$K1478))</f>
        <v/>
      </c>
      <c r="F1478" s="71" t="str">
        <f aca="false">IF($K1478="","",INDEX(Base!$H$5:$H$2004,$K1478))</f>
        <v/>
      </c>
      <c r="G1478" s="71" t="str">
        <f aca="false">IF($K1478="","",INDEX(Base!$I$5:$I$2004,$K1478))</f>
        <v/>
      </c>
      <c r="H1478" s="70" t="str">
        <f aca="false">IF($K1478="","",INDEX(Base!$J$5:$J$2004,$K1478))</f>
        <v/>
      </c>
      <c r="I1478" s="71" t="str">
        <f aca="false">IF($K1478="","",INDEX(Base!$L$5:$L$2004,$K1478))</f>
        <v/>
      </c>
      <c r="J1478" s="72" t="str">
        <f aca="false">IFERROR(SMALL(Base!$P$5:$P$2004,ROW()-5),"")</f>
        <v/>
      </c>
      <c r="K1478" s="72" t="str">
        <f aca="false">IF(J1478="","",MATCH(J1478,Base!$P$5:$P$2004,0))</f>
        <v/>
      </c>
    </row>
    <row r="1479" customFormat="false" ht="15" hidden="false" customHeight="false" outlineLevel="0" collapsed="false">
      <c r="A1479" s="67" t="str">
        <f aca="false">IF($K1479="","",ROW()-5)</f>
        <v/>
      </c>
      <c r="B1479" s="68" t="str">
        <f aca="false">IF($K1479="","",INDEX(Base!$E$5:$E$2004,$K1479))</f>
        <v/>
      </c>
      <c r="C1479" s="69" t="str">
        <f aca="false">IF($K1479="","",B1479)</f>
        <v/>
      </c>
      <c r="D1479" s="70" t="str">
        <f aca="false">IF($K1479="","",INDEX(Base!$F$5:$F$2004,$K1479))</f>
        <v/>
      </c>
      <c r="E1479" s="70" t="str">
        <f aca="false">IF($K1479="","",INDEX(Base!$G$5:$G$2004,$K1479))</f>
        <v/>
      </c>
      <c r="F1479" s="71" t="str">
        <f aca="false">IF($K1479="","",INDEX(Base!$H$5:$H$2004,$K1479))</f>
        <v/>
      </c>
      <c r="G1479" s="71" t="str">
        <f aca="false">IF($K1479="","",INDEX(Base!$I$5:$I$2004,$K1479))</f>
        <v/>
      </c>
      <c r="H1479" s="70" t="str">
        <f aca="false">IF($K1479="","",INDEX(Base!$J$5:$J$2004,$K1479))</f>
        <v/>
      </c>
      <c r="I1479" s="71" t="str">
        <f aca="false">IF($K1479="","",INDEX(Base!$L$5:$L$2004,$K1479))</f>
        <v/>
      </c>
      <c r="J1479" s="72" t="str">
        <f aca="false">IFERROR(SMALL(Base!$P$5:$P$2004,ROW()-5),"")</f>
        <v/>
      </c>
      <c r="K1479" s="72" t="str">
        <f aca="false">IF(J1479="","",MATCH(J1479,Base!$P$5:$P$2004,0))</f>
        <v/>
      </c>
    </row>
    <row r="1480" customFormat="false" ht="15" hidden="false" customHeight="false" outlineLevel="0" collapsed="false">
      <c r="A1480" s="67" t="str">
        <f aca="false">IF($K1480="","",ROW()-5)</f>
        <v/>
      </c>
      <c r="B1480" s="68" t="str">
        <f aca="false">IF($K1480="","",INDEX(Base!$E$5:$E$2004,$K1480))</f>
        <v/>
      </c>
      <c r="C1480" s="69" t="str">
        <f aca="false">IF($K1480="","",B1480)</f>
        <v/>
      </c>
      <c r="D1480" s="70" t="str">
        <f aca="false">IF($K1480="","",INDEX(Base!$F$5:$F$2004,$K1480))</f>
        <v/>
      </c>
      <c r="E1480" s="70" t="str">
        <f aca="false">IF($K1480="","",INDEX(Base!$G$5:$G$2004,$K1480))</f>
        <v/>
      </c>
      <c r="F1480" s="71" t="str">
        <f aca="false">IF($K1480="","",INDEX(Base!$H$5:$H$2004,$K1480))</f>
        <v/>
      </c>
      <c r="G1480" s="71" t="str">
        <f aca="false">IF($K1480="","",INDEX(Base!$I$5:$I$2004,$K1480))</f>
        <v/>
      </c>
      <c r="H1480" s="70" t="str">
        <f aca="false">IF($K1480="","",INDEX(Base!$J$5:$J$2004,$K1480))</f>
        <v/>
      </c>
      <c r="I1480" s="71" t="str">
        <f aca="false">IF($K1480="","",INDEX(Base!$L$5:$L$2004,$K1480))</f>
        <v/>
      </c>
      <c r="J1480" s="72" t="str">
        <f aca="false">IFERROR(SMALL(Base!$P$5:$P$2004,ROW()-5),"")</f>
        <v/>
      </c>
      <c r="K1480" s="72" t="str">
        <f aca="false">IF(J1480="","",MATCH(J1480,Base!$P$5:$P$2004,0))</f>
        <v/>
      </c>
    </row>
    <row r="1481" customFormat="false" ht="15" hidden="false" customHeight="false" outlineLevel="0" collapsed="false">
      <c r="A1481" s="67" t="str">
        <f aca="false">IF($K1481="","",ROW()-5)</f>
        <v/>
      </c>
      <c r="B1481" s="68" t="str">
        <f aca="false">IF($K1481="","",INDEX(Base!$E$5:$E$2004,$K1481))</f>
        <v/>
      </c>
      <c r="C1481" s="69" t="str">
        <f aca="false">IF($K1481="","",B1481)</f>
        <v/>
      </c>
      <c r="D1481" s="70" t="str">
        <f aca="false">IF($K1481="","",INDEX(Base!$F$5:$F$2004,$K1481))</f>
        <v/>
      </c>
      <c r="E1481" s="70" t="str">
        <f aca="false">IF($K1481="","",INDEX(Base!$G$5:$G$2004,$K1481))</f>
        <v/>
      </c>
      <c r="F1481" s="71" t="str">
        <f aca="false">IF($K1481="","",INDEX(Base!$H$5:$H$2004,$K1481))</f>
        <v/>
      </c>
      <c r="G1481" s="71" t="str">
        <f aca="false">IF($K1481="","",INDEX(Base!$I$5:$I$2004,$K1481))</f>
        <v/>
      </c>
      <c r="H1481" s="70" t="str">
        <f aca="false">IF($K1481="","",INDEX(Base!$J$5:$J$2004,$K1481))</f>
        <v/>
      </c>
      <c r="I1481" s="71" t="str">
        <f aca="false">IF($K1481="","",INDEX(Base!$L$5:$L$2004,$K1481))</f>
        <v/>
      </c>
      <c r="J1481" s="72" t="str">
        <f aca="false">IFERROR(SMALL(Base!$P$5:$P$2004,ROW()-5),"")</f>
        <v/>
      </c>
      <c r="K1481" s="72" t="str">
        <f aca="false">IF(J1481="","",MATCH(J1481,Base!$P$5:$P$2004,0))</f>
        <v/>
      </c>
    </row>
    <row r="1482" customFormat="false" ht="15" hidden="false" customHeight="false" outlineLevel="0" collapsed="false">
      <c r="A1482" s="67" t="str">
        <f aca="false">IF($K1482="","",ROW()-5)</f>
        <v/>
      </c>
      <c r="B1482" s="68" t="str">
        <f aca="false">IF($K1482="","",INDEX(Base!$E$5:$E$2004,$K1482))</f>
        <v/>
      </c>
      <c r="C1482" s="69" t="str">
        <f aca="false">IF($K1482="","",B1482)</f>
        <v/>
      </c>
      <c r="D1482" s="70" t="str">
        <f aca="false">IF($K1482="","",INDEX(Base!$F$5:$F$2004,$K1482))</f>
        <v/>
      </c>
      <c r="E1482" s="70" t="str">
        <f aca="false">IF($K1482="","",INDEX(Base!$G$5:$G$2004,$K1482))</f>
        <v/>
      </c>
      <c r="F1482" s="71" t="str">
        <f aca="false">IF($K1482="","",INDEX(Base!$H$5:$H$2004,$K1482))</f>
        <v/>
      </c>
      <c r="G1482" s="71" t="str">
        <f aca="false">IF($K1482="","",INDEX(Base!$I$5:$I$2004,$K1482))</f>
        <v/>
      </c>
      <c r="H1482" s="70" t="str">
        <f aca="false">IF($K1482="","",INDEX(Base!$J$5:$J$2004,$K1482))</f>
        <v/>
      </c>
      <c r="I1482" s="71" t="str">
        <f aca="false">IF($K1482="","",INDEX(Base!$L$5:$L$2004,$K1482))</f>
        <v/>
      </c>
      <c r="J1482" s="72" t="str">
        <f aca="false">IFERROR(SMALL(Base!$P$5:$P$2004,ROW()-5),"")</f>
        <v/>
      </c>
      <c r="K1482" s="72" t="str">
        <f aca="false">IF(J1482="","",MATCH(J1482,Base!$P$5:$P$2004,0))</f>
        <v/>
      </c>
    </row>
    <row r="1483" customFormat="false" ht="15" hidden="false" customHeight="false" outlineLevel="0" collapsed="false">
      <c r="A1483" s="67" t="str">
        <f aca="false">IF($K1483="","",ROW()-5)</f>
        <v/>
      </c>
      <c r="B1483" s="68" t="str">
        <f aca="false">IF($K1483="","",INDEX(Base!$E$5:$E$2004,$K1483))</f>
        <v/>
      </c>
      <c r="C1483" s="69" t="str">
        <f aca="false">IF($K1483="","",B1483)</f>
        <v/>
      </c>
      <c r="D1483" s="70" t="str">
        <f aca="false">IF($K1483="","",INDEX(Base!$F$5:$F$2004,$K1483))</f>
        <v/>
      </c>
      <c r="E1483" s="70" t="str">
        <f aca="false">IF($K1483="","",INDEX(Base!$G$5:$G$2004,$K1483))</f>
        <v/>
      </c>
      <c r="F1483" s="71" t="str">
        <f aca="false">IF($K1483="","",INDEX(Base!$H$5:$H$2004,$K1483))</f>
        <v/>
      </c>
      <c r="G1483" s="71" t="str">
        <f aca="false">IF($K1483="","",INDEX(Base!$I$5:$I$2004,$K1483))</f>
        <v/>
      </c>
      <c r="H1483" s="70" t="str">
        <f aca="false">IF($K1483="","",INDEX(Base!$J$5:$J$2004,$K1483))</f>
        <v/>
      </c>
      <c r="I1483" s="71" t="str">
        <f aca="false">IF($K1483="","",INDEX(Base!$L$5:$L$2004,$K1483))</f>
        <v/>
      </c>
      <c r="J1483" s="72" t="str">
        <f aca="false">IFERROR(SMALL(Base!$P$5:$P$2004,ROW()-5),"")</f>
        <v/>
      </c>
      <c r="K1483" s="72" t="str">
        <f aca="false">IF(J1483="","",MATCH(J1483,Base!$P$5:$P$2004,0))</f>
        <v/>
      </c>
    </row>
    <row r="1484" customFormat="false" ht="15" hidden="false" customHeight="false" outlineLevel="0" collapsed="false">
      <c r="A1484" s="67" t="str">
        <f aca="false">IF($K1484="","",ROW()-5)</f>
        <v/>
      </c>
      <c r="B1484" s="68" t="str">
        <f aca="false">IF($K1484="","",INDEX(Base!$E$5:$E$2004,$K1484))</f>
        <v/>
      </c>
      <c r="C1484" s="69" t="str">
        <f aca="false">IF($K1484="","",B1484)</f>
        <v/>
      </c>
      <c r="D1484" s="70" t="str">
        <f aca="false">IF($K1484="","",INDEX(Base!$F$5:$F$2004,$K1484))</f>
        <v/>
      </c>
      <c r="E1484" s="70" t="str">
        <f aca="false">IF($K1484="","",INDEX(Base!$G$5:$G$2004,$K1484))</f>
        <v/>
      </c>
      <c r="F1484" s="71" t="str">
        <f aca="false">IF($K1484="","",INDEX(Base!$H$5:$H$2004,$K1484))</f>
        <v/>
      </c>
      <c r="G1484" s="71" t="str">
        <f aca="false">IF($K1484="","",INDEX(Base!$I$5:$I$2004,$K1484))</f>
        <v/>
      </c>
      <c r="H1484" s="70" t="str">
        <f aca="false">IF($K1484="","",INDEX(Base!$J$5:$J$2004,$K1484))</f>
        <v/>
      </c>
      <c r="I1484" s="71" t="str">
        <f aca="false">IF($K1484="","",INDEX(Base!$L$5:$L$2004,$K1484))</f>
        <v/>
      </c>
      <c r="J1484" s="72" t="str">
        <f aca="false">IFERROR(SMALL(Base!$P$5:$P$2004,ROW()-5),"")</f>
        <v/>
      </c>
      <c r="K1484" s="72" t="str">
        <f aca="false">IF(J1484="","",MATCH(J1484,Base!$P$5:$P$2004,0))</f>
        <v/>
      </c>
    </row>
    <row r="1485" customFormat="false" ht="15" hidden="false" customHeight="false" outlineLevel="0" collapsed="false">
      <c r="A1485" s="67" t="str">
        <f aca="false">IF($K1485="","",ROW()-5)</f>
        <v/>
      </c>
      <c r="B1485" s="68" t="str">
        <f aca="false">IF($K1485="","",INDEX(Base!$E$5:$E$2004,$K1485))</f>
        <v/>
      </c>
      <c r="C1485" s="69" t="str">
        <f aca="false">IF($K1485="","",B1485)</f>
        <v/>
      </c>
      <c r="D1485" s="70" t="str">
        <f aca="false">IF($K1485="","",INDEX(Base!$F$5:$F$2004,$K1485))</f>
        <v/>
      </c>
      <c r="E1485" s="70" t="str">
        <f aca="false">IF($K1485="","",INDEX(Base!$G$5:$G$2004,$K1485))</f>
        <v/>
      </c>
      <c r="F1485" s="71" t="str">
        <f aca="false">IF($K1485="","",INDEX(Base!$H$5:$H$2004,$K1485))</f>
        <v/>
      </c>
      <c r="G1485" s="71" t="str">
        <f aca="false">IF($K1485="","",INDEX(Base!$I$5:$I$2004,$K1485))</f>
        <v/>
      </c>
      <c r="H1485" s="70" t="str">
        <f aca="false">IF($K1485="","",INDEX(Base!$J$5:$J$2004,$K1485))</f>
        <v/>
      </c>
      <c r="I1485" s="71" t="str">
        <f aca="false">IF($K1485="","",INDEX(Base!$L$5:$L$2004,$K1485))</f>
        <v/>
      </c>
      <c r="J1485" s="72" t="str">
        <f aca="false">IFERROR(SMALL(Base!$P$5:$P$2004,ROW()-5),"")</f>
        <v/>
      </c>
      <c r="K1485" s="72" t="str">
        <f aca="false">IF(J1485="","",MATCH(J1485,Base!$P$5:$P$2004,0))</f>
        <v/>
      </c>
    </row>
    <row r="1486" customFormat="false" ht="15" hidden="false" customHeight="false" outlineLevel="0" collapsed="false">
      <c r="A1486" s="67" t="str">
        <f aca="false">IF($K1486="","",ROW()-5)</f>
        <v/>
      </c>
      <c r="B1486" s="68" t="str">
        <f aca="false">IF($K1486="","",INDEX(Base!$E$5:$E$2004,$K1486))</f>
        <v/>
      </c>
      <c r="C1486" s="69" t="str">
        <f aca="false">IF($K1486="","",B1486)</f>
        <v/>
      </c>
      <c r="D1486" s="70" t="str">
        <f aca="false">IF($K1486="","",INDEX(Base!$F$5:$F$2004,$K1486))</f>
        <v/>
      </c>
      <c r="E1486" s="70" t="str">
        <f aca="false">IF($K1486="","",INDEX(Base!$G$5:$G$2004,$K1486))</f>
        <v/>
      </c>
      <c r="F1486" s="71" t="str">
        <f aca="false">IF($K1486="","",INDEX(Base!$H$5:$H$2004,$K1486))</f>
        <v/>
      </c>
      <c r="G1486" s="71" t="str">
        <f aca="false">IF($K1486="","",INDEX(Base!$I$5:$I$2004,$K1486))</f>
        <v/>
      </c>
      <c r="H1486" s="70" t="str">
        <f aca="false">IF($K1486="","",INDEX(Base!$J$5:$J$2004,$K1486))</f>
        <v/>
      </c>
      <c r="I1486" s="71" t="str">
        <f aca="false">IF($K1486="","",INDEX(Base!$L$5:$L$2004,$K1486))</f>
        <v/>
      </c>
      <c r="J1486" s="72" t="str">
        <f aca="false">IFERROR(SMALL(Base!$P$5:$P$2004,ROW()-5),"")</f>
        <v/>
      </c>
      <c r="K1486" s="72" t="str">
        <f aca="false">IF(J1486="","",MATCH(J1486,Base!$P$5:$P$2004,0))</f>
        <v/>
      </c>
    </row>
    <row r="1487" customFormat="false" ht="15" hidden="false" customHeight="false" outlineLevel="0" collapsed="false">
      <c r="A1487" s="67" t="str">
        <f aca="false">IF($K1487="","",ROW()-5)</f>
        <v/>
      </c>
      <c r="B1487" s="68" t="str">
        <f aca="false">IF($K1487="","",INDEX(Base!$E$5:$E$2004,$K1487))</f>
        <v/>
      </c>
      <c r="C1487" s="69" t="str">
        <f aca="false">IF($K1487="","",B1487)</f>
        <v/>
      </c>
      <c r="D1487" s="70" t="str">
        <f aca="false">IF($K1487="","",INDEX(Base!$F$5:$F$2004,$K1487))</f>
        <v/>
      </c>
      <c r="E1487" s="70" t="str">
        <f aca="false">IF($K1487="","",INDEX(Base!$G$5:$G$2004,$K1487))</f>
        <v/>
      </c>
      <c r="F1487" s="71" t="str">
        <f aca="false">IF($K1487="","",INDEX(Base!$H$5:$H$2004,$K1487))</f>
        <v/>
      </c>
      <c r="G1487" s="71" t="str">
        <f aca="false">IF($K1487="","",INDEX(Base!$I$5:$I$2004,$K1487))</f>
        <v/>
      </c>
      <c r="H1487" s="70" t="str">
        <f aca="false">IF($K1487="","",INDEX(Base!$J$5:$J$2004,$K1487))</f>
        <v/>
      </c>
      <c r="I1487" s="71" t="str">
        <f aca="false">IF($K1487="","",INDEX(Base!$L$5:$L$2004,$K1487))</f>
        <v/>
      </c>
      <c r="J1487" s="72" t="str">
        <f aca="false">IFERROR(SMALL(Base!$P$5:$P$2004,ROW()-5),"")</f>
        <v/>
      </c>
      <c r="K1487" s="72" t="str">
        <f aca="false">IF(J1487="","",MATCH(J1487,Base!$P$5:$P$2004,0))</f>
        <v/>
      </c>
    </row>
    <row r="1488" customFormat="false" ht="15" hidden="false" customHeight="false" outlineLevel="0" collapsed="false">
      <c r="A1488" s="67" t="str">
        <f aca="false">IF($K1488="","",ROW()-5)</f>
        <v/>
      </c>
      <c r="B1488" s="68" t="str">
        <f aca="false">IF($K1488="","",INDEX(Base!$E$5:$E$2004,$K1488))</f>
        <v/>
      </c>
      <c r="C1488" s="69" t="str">
        <f aca="false">IF($K1488="","",B1488)</f>
        <v/>
      </c>
      <c r="D1488" s="70" t="str">
        <f aca="false">IF($K1488="","",INDEX(Base!$F$5:$F$2004,$K1488))</f>
        <v/>
      </c>
      <c r="E1488" s="70" t="str">
        <f aca="false">IF($K1488="","",INDEX(Base!$G$5:$G$2004,$K1488))</f>
        <v/>
      </c>
      <c r="F1488" s="71" t="str">
        <f aca="false">IF($K1488="","",INDEX(Base!$H$5:$H$2004,$K1488))</f>
        <v/>
      </c>
      <c r="G1488" s="71" t="str">
        <f aca="false">IF($K1488="","",INDEX(Base!$I$5:$I$2004,$K1488))</f>
        <v/>
      </c>
      <c r="H1488" s="70" t="str">
        <f aca="false">IF($K1488="","",INDEX(Base!$J$5:$J$2004,$K1488))</f>
        <v/>
      </c>
      <c r="I1488" s="71" t="str">
        <f aca="false">IF($K1488="","",INDEX(Base!$L$5:$L$2004,$K1488))</f>
        <v/>
      </c>
      <c r="J1488" s="72" t="str">
        <f aca="false">IFERROR(SMALL(Base!$P$5:$P$2004,ROW()-5),"")</f>
        <v/>
      </c>
      <c r="K1488" s="72" t="str">
        <f aca="false">IF(J1488="","",MATCH(J1488,Base!$P$5:$P$2004,0))</f>
        <v/>
      </c>
    </row>
    <row r="1489" customFormat="false" ht="15" hidden="false" customHeight="false" outlineLevel="0" collapsed="false">
      <c r="A1489" s="67" t="str">
        <f aca="false">IF($K1489="","",ROW()-5)</f>
        <v/>
      </c>
      <c r="B1489" s="68" t="str">
        <f aca="false">IF($K1489="","",INDEX(Base!$E$5:$E$2004,$K1489))</f>
        <v/>
      </c>
      <c r="C1489" s="69" t="str">
        <f aca="false">IF($K1489="","",B1489)</f>
        <v/>
      </c>
      <c r="D1489" s="70" t="str">
        <f aca="false">IF($K1489="","",INDEX(Base!$F$5:$F$2004,$K1489))</f>
        <v/>
      </c>
      <c r="E1489" s="70" t="str">
        <f aca="false">IF($K1489="","",INDEX(Base!$G$5:$G$2004,$K1489))</f>
        <v/>
      </c>
      <c r="F1489" s="71" t="str">
        <f aca="false">IF($K1489="","",INDEX(Base!$H$5:$H$2004,$K1489))</f>
        <v/>
      </c>
      <c r="G1489" s="71" t="str">
        <f aca="false">IF($K1489="","",INDEX(Base!$I$5:$I$2004,$K1489))</f>
        <v/>
      </c>
      <c r="H1489" s="70" t="str">
        <f aca="false">IF($K1489="","",INDEX(Base!$J$5:$J$2004,$K1489))</f>
        <v/>
      </c>
      <c r="I1489" s="71" t="str">
        <f aca="false">IF($K1489="","",INDEX(Base!$L$5:$L$2004,$K1489))</f>
        <v/>
      </c>
      <c r="J1489" s="72" t="str">
        <f aca="false">IFERROR(SMALL(Base!$P$5:$P$2004,ROW()-5),"")</f>
        <v/>
      </c>
      <c r="K1489" s="72" t="str">
        <f aca="false">IF(J1489="","",MATCH(J1489,Base!$P$5:$P$2004,0))</f>
        <v/>
      </c>
    </row>
    <row r="1490" customFormat="false" ht="15" hidden="false" customHeight="false" outlineLevel="0" collapsed="false">
      <c r="A1490" s="67" t="str">
        <f aca="false">IF($K1490="","",ROW()-5)</f>
        <v/>
      </c>
      <c r="B1490" s="68" t="str">
        <f aca="false">IF($K1490="","",INDEX(Base!$E$5:$E$2004,$K1490))</f>
        <v/>
      </c>
      <c r="C1490" s="69" t="str">
        <f aca="false">IF($K1490="","",B1490)</f>
        <v/>
      </c>
      <c r="D1490" s="70" t="str">
        <f aca="false">IF($K1490="","",INDEX(Base!$F$5:$F$2004,$K1490))</f>
        <v/>
      </c>
      <c r="E1490" s="70" t="str">
        <f aca="false">IF($K1490="","",INDEX(Base!$G$5:$G$2004,$K1490))</f>
        <v/>
      </c>
      <c r="F1490" s="71" t="str">
        <f aca="false">IF($K1490="","",INDEX(Base!$H$5:$H$2004,$K1490))</f>
        <v/>
      </c>
      <c r="G1490" s="71" t="str">
        <f aca="false">IF($K1490="","",INDEX(Base!$I$5:$I$2004,$K1490))</f>
        <v/>
      </c>
      <c r="H1490" s="70" t="str">
        <f aca="false">IF($K1490="","",INDEX(Base!$J$5:$J$2004,$K1490))</f>
        <v/>
      </c>
      <c r="I1490" s="71" t="str">
        <f aca="false">IF($K1490="","",INDEX(Base!$L$5:$L$2004,$K1490))</f>
        <v/>
      </c>
      <c r="J1490" s="72" t="str">
        <f aca="false">IFERROR(SMALL(Base!$P$5:$P$2004,ROW()-5),"")</f>
        <v/>
      </c>
      <c r="K1490" s="72" t="str">
        <f aca="false">IF(J1490="","",MATCH(J1490,Base!$P$5:$P$2004,0))</f>
        <v/>
      </c>
    </row>
    <row r="1491" customFormat="false" ht="15" hidden="false" customHeight="false" outlineLevel="0" collapsed="false">
      <c r="A1491" s="67" t="str">
        <f aca="false">IF($K1491="","",ROW()-5)</f>
        <v/>
      </c>
      <c r="B1491" s="68" t="str">
        <f aca="false">IF($K1491="","",INDEX(Base!$E$5:$E$2004,$K1491))</f>
        <v/>
      </c>
      <c r="C1491" s="69" t="str">
        <f aca="false">IF($K1491="","",B1491)</f>
        <v/>
      </c>
      <c r="D1491" s="70" t="str">
        <f aca="false">IF($K1491="","",INDEX(Base!$F$5:$F$2004,$K1491))</f>
        <v/>
      </c>
      <c r="E1491" s="70" t="str">
        <f aca="false">IF($K1491="","",INDEX(Base!$G$5:$G$2004,$K1491))</f>
        <v/>
      </c>
      <c r="F1491" s="71" t="str">
        <f aca="false">IF($K1491="","",INDEX(Base!$H$5:$H$2004,$K1491))</f>
        <v/>
      </c>
      <c r="G1491" s="71" t="str">
        <f aca="false">IF($K1491="","",INDEX(Base!$I$5:$I$2004,$K1491))</f>
        <v/>
      </c>
      <c r="H1491" s="70" t="str">
        <f aca="false">IF($K1491="","",INDEX(Base!$J$5:$J$2004,$K1491))</f>
        <v/>
      </c>
      <c r="I1491" s="71" t="str">
        <f aca="false">IF($K1491="","",INDEX(Base!$L$5:$L$2004,$K1491))</f>
        <v/>
      </c>
      <c r="J1491" s="72" t="str">
        <f aca="false">IFERROR(SMALL(Base!$P$5:$P$2004,ROW()-5),"")</f>
        <v/>
      </c>
      <c r="K1491" s="72" t="str">
        <f aca="false">IF(J1491="","",MATCH(J1491,Base!$P$5:$P$2004,0))</f>
        <v/>
      </c>
    </row>
    <row r="1492" customFormat="false" ht="15" hidden="false" customHeight="false" outlineLevel="0" collapsed="false">
      <c r="A1492" s="67" t="str">
        <f aca="false">IF($K1492="","",ROW()-5)</f>
        <v/>
      </c>
      <c r="B1492" s="68" t="str">
        <f aca="false">IF($K1492="","",INDEX(Base!$E$5:$E$2004,$K1492))</f>
        <v/>
      </c>
      <c r="C1492" s="69" t="str">
        <f aca="false">IF($K1492="","",B1492)</f>
        <v/>
      </c>
      <c r="D1492" s="70" t="str">
        <f aca="false">IF($K1492="","",INDEX(Base!$F$5:$F$2004,$K1492))</f>
        <v/>
      </c>
      <c r="E1492" s="70" t="str">
        <f aca="false">IF($K1492="","",INDEX(Base!$G$5:$G$2004,$K1492))</f>
        <v/>
      </c>
      <c r="F1492" s="71" t="str">
        <f aca="false">IF($K1492="","",INDEX(Base!$H$5:$H$2004,$K1492))</f>
        <v/>
      </c>
      <c r="G1492" s="71" t="str">
        <f aca="false">IF($K1492="","",INDEX(Base!$I$5:$I$2004,$K1492))</f>
        <v/>
      </c>
      <c r="H1492" s="70" t="str">
        <f aca="false">IF($K1492="","",INDEX(Base!$J$5:$J$2004,$K1492))</f>
        <v/>
      </c>
      <c r="I1492" s="71" t="str">
        <f aca="false">IF($K1492="","",INDEX(Base!$L$5:$L$2004,$K1492))</f>
        <v/>
      </c>
      <c r="J1492" s="72" t="str">
        <f aca="false">IFERROR(SMALL(Base!$P$5:$P$2004,ROW()-5),"")</f>
        <v/>
      </c>
      <c r="K1492" s="72" t="str">
        <f aca="false">IF(J1492="","",MATCH(J1492,Base!$P$5:$P$2004,0))</f>
        <v/>
      </c>
    </row>
    <row r="1493" customFormat="false" ht="15" hidden="false" customHeight="false" outlineLevel="0" collapsed="false">
      <c r="A1493" s="67" t="str">
        <f aca="false">IF($K1493="","",ROW()-5)</f>
        <v/>
      </c>
      <c r="B1493" s="68" t="str">
        <f aca="false">IF($K1493="","",INDEX(Base!$E$5:$E$2004,$K1493))</f>
        <v/>
      </c>
      <c r="C1493" s="69" t="str">
        <f aca="false">IF($K1493="","",B1493)</f>
        <v/>
      </c>
      <c r="D1493" s="70" t="str">
        <f aca="false">IF($K1493="","",INDEX(Base!$F$5:$F$2004,$K1493))</f>
        <v/>
      </c>
      <c r="E1493" s="70" t="str">
        <f aca="false">IF($K1493="","",INDEX(Base!$G$5:$G$2004,$K1493))</f>
        <v/>
      </c>
      <c r="F1493" s="71" t="str">
        <f aca="false">IF($K1493="","",INDEX(Base!$H$5:$H$2004,$K1493))</f>
        <v/>
      </c>
      <c r="G1493" s="71" t="str">
        <f aca="false">IF($K1493="","",INDEX(Base!$I$5:$I$2004,$K1493))</f>
        <v/>
      </c>
      <c r="H1493" s="70" t="str">
        <f aca="false">IF($K1493="","",INDEX(Base!$J$5:$J$2004,$K1493))</f>
        <v/>
      </c>
      <c r="I1493" s="71" t="str">
        <f aca="false">IF($K1493="","",INDEX(Base!$L$5:$L$2004,$K1493))</f>
        <v/>
      </c>
      <c r="J1493" s="72" t="str">
        <f aca="false">IFERROR(SMALL(Base!$P$5:$P$2004,ROW()-5),"")</f>
        <v/>
      </c>
      <c r="K1493" s="72" t="str">
        <f aca="false">IF(J1493="","",MATCH(J1493,Base!$P$5:$P$2004,0))</f>
        <v/>
      </c>
    </row>
    <row r="1494" customFormat="false" ht="15" hidden="false" customHeight="false" outlineLevel="0" collapsed="false">
      <c r="A1494" s="67" t="str">
        <f aca="false">IF($K1494="","",ROW()-5)</f>
        <v/>
      </c>
      <c r="B1494" s="68" t="str">
        <f aca="false">IF($K1494="","",INDEX(Base!$E$5:$E$2004,$K1494))</f>
        <v/>
      </c>
      <c r="C1494" s="69" t="str">
        <f aca="false">IF($K1494="","",B1494)</f>
        <v/>
      </c>
      <c r="D1494" s="70" t="str">
        <f aca="false">IF($K1494="","",INDEX(Base!$F$5:$F$2004,$K1494))</f>
        <v/>
      </c>
      <c r="E1494" s="70" t="str">
        <f aca="false">IF($K1494="","",INDEX(Base!$G$5:$G$2004,$K1494))</f>
        <v/>
      </c>
      <c r="F1494" s="71" t="str">
        <f aca="false">IF($K1494="","",INDEX(Base!$H$5:$H$2004,$K1494))</f>
        <v/>
      </c>
      <c r="G1494" s="71" t="str">
        <f aca="false">IF($K1494="","",INDEX(Base!$I$5:$I$2004,$K1494))</f>
        <v/>
      </c>
      <c r="H1494" s="70" t="str">
        <f aca="false">IF($K1494="","",INDEX(Base!$J$5:$J$2004,$K1494))</f>
        <v/>
      </c>
      <c r="I1494" s="71" t="str">
        <f aca="false">IF($K1494="","",INDEX(Base!$L$5:$L$2004,$K1494))</f>
        <v/>
      </c>
      <c r="J1494" s="72" t="str">
        <f aca="false">IFERROR(SMALL(Base!$P$5:$P$2004,ROW()-5),"")</f>
        <v/>
      </c>
      <c r="K1494" s="72" t="str">
        <f aca="false">IF(J1494="","",MATCH(J1494,Base!$P$5:$P$2004,0))</f>
        <v/>
      </c>
    </row>
    <row r="1495" customFormat="false" ht="15" hidden="false" customHeight="false" outlineLevel="0" collapsed="false">
      <c r="A1495" s="67" t="str">
        <f aca="false">IF($K1495="","",ROW()-5)</f>
        <v/>
      </c>
      <c r="B1495" s="68" t="str">
        <f aca="false">IF($K1495="","",INDEX(Base!$E$5:$E$2004,$K1495))</f>
        <v/>
      </c>
      <c r="C1495" s="69" t="str">
        <f aca="false">IF($K1495="","",B1495)</f>
        <v/>
      </c>
      <c r="D1495" s="70" t="str">
        <f aca="false">IF($K1495="","",INDEX(Base!$F$5:$F$2004,$K1495))</f>
        <v/>
      </c>
      <c r="E1495" s="70" t="str">
        <f aca="false">IF($K1495="","",INDEX(Base!$G$5:$G$2004,$K1495))</f>
        <v/>
      </c>
      <c r="F1495" s="71" t="str">
        <f aca="false">IF($K1495="","",INDEX(Base!$H$5:$H$2004,$K1495))</f>
        <v/>
      </c>
      <c r="G1495" s="71" t="str">
        <f aca="false">IF($K1495="","",INDEX(Base!$I$5:$I$2004,$K1495))</f>
        <v/>
      </c>
      <c r="H1495" s="70" t="str">
        <f aca="false">IF($K1495="","",INDEX(Base!$J$5:$J$2004,$K1495))</f>
        <v/>
      </c>
      <c r="I1495" s="71" t="str">
        <f aca="false">IF($K1495="","",INDEX(Base!$L$5:$L$2004,$K1495))</f>
        <v/>
      </c>
      <c r="J1495" s="72" t="str">
        <f aca="false">IFERROR(SMALL(Base!$P$5:$P$2004,ROW()-5),"")</f>
        <v/>
      </c>
      <c r="K1495" s="72" t="str">
        <f aca="false">IF(J1495="","",MATCH(J1495,Base!$P$5:$P$2004,0))</f>
        <v/>
      </c>
    </row>
    <row r="1496" customFormat="false" ht="15" hidden="false" customHeight="false" outlineLevel="0" collapsed="false">
      <c r="A1496" s="67" t="str">
        <f aca="false">IF($K1496="","",ROW()-5)</f>
        <v/>
      </c>
      <c r="B1496" s="68" t="str">
        <f aca="false">IF($K1496="","",INDEX(Base!$E$5:$E$2004,$K1496))</f>
        <v/>
      </c>
      <c r="C1496" s="69" t="str">
        <f aca="false">IF($K1496="","",B1496)</f>
        <v/>
      </c>
      <c r="D1496" s="70" t="str">
        <f aca="false">IF($K1496="","",INDEX(Base!$F$5:$F$2004,$K1496))</f>
        <v/>
      </c>
      <c r="E1496" s="70" t="str">
        <f aca="false">IF($K1496="","",INDEX(Base!$G$5:$G$2004,$K1496))</f>
        <v/>
      </c>
      <c r="F1496" s="71" t="str">
        <f aca="false">IF($K1496="","",INDEX(Base!$H$5:$H$2004,$K1496))</f>
        <v/>
      </c>
      <c r="G1496" s="71" t="str">
        <f aca="false">IF($K1496="","",INDEX(Base!$I$5:$I$2004,$K1496))</f>
        <v/>
      </c>
      <c r="H1496" s="70" t="str">
        <f aca="false">IF($K1496="","",INDEX(Base!$J$5:$J$2004,$K1496))</f>
        <v/>
      </c>
      <c r="I1496" s="71" t="str">
        <f aca="false">IF($K1496="","",INDEX(Base!$L$5:$L$2004,$K1496))</f>
        <v/>
      </c>
      <c r="J1496" s="72" t="str">
        <f aca="false">IFERROR(SMALL(Base!$P$5:$P$2004,ROW()-5),"")</f>
        <v/>
      </c>
      <c r="K1496" s="72" t="str">
        <f aca="false">IF(J1496="","",MATCH(J1496,Base!$P$5:$P$2004,0))</f>
        <v/>
      </c>
    </row>
    <row r="1497" customFormat="false" ht="15" hidden="false" customHeight="false" outlineLevel="0" collapsed="false">
      <c r="A1497" s="67" t="str">
        <f aca="false">IF($K1497="","",ROW()-5)</f>
        <v/>
      </c>
      <c r="B1497" s="68" t="str">
        <f aca="false">IF($K1497="","",INDEX(Base!$E$5:$E$2004,$K1497))</f>
        <v/>
      </c>
      <c r="C1497" s="69" t="str">
        <f aca="false">IF($K1497="","",B1497)</f>
        <v/>
      </c>
      <c r="D1497" s="70" t="str">
        <f aca="false">IF($K1497="","",INDEX(Base!$F$5:$F$2004,$K1497))</f>
        <v/>
      </c>
      <c r="E1497" s="70" t="str">
        <f aca="false">IF($K1497="","",INDEX(Base!$G$5:$G$2004,$K1497))</f>
        <v/>
      </c>
      <c r="F1497" s="71" t="str">
        <f aca="false">IF($K1497="","",INDEX(Base!$H$5:$H$2004,$K1497))</f>
        <v/>
      </c>
      <c r="G1497" s="71" t="str">
        <f aca="false">IF($K1497="","",INDEX(Base!$I$5:$I$2004,$K1497))</f>
        <v/>
      </c>
      <c r="H1497" s="70" t="str">
        <f aca="false">IF($K1497="","",INDEX(Base!$J$5:$J$2004,$K1497))</f>
        <v/>
      </c>
      <c r="I1497" s="71" t="str">
        <f aca="false">IF($K1497="","",INDEX(Base!$L$5:$L$2004,$K1497))</f>
        <v/>
      </c>
      <c r="J1497" s="72" t="str">
        <f aca="false">IFERROR(SMALL(Base!$P$5:$P$2004,ROW()-5),"")</f>
        <v/>
      </c>
      <c r="K1497" s="72" t="str">
        <f aca="false">IF(J1497="","",MATCH(J1497,Base!$P$5:$P$2004,0))</f>
        <v/>
      </c>
    </row>
    <row r="1498" customFormat="false" ht="15" hidden="false" customHeight="false" outlineLevel="0" collapsed="false">
      <c r="A1498" s="67" t="str">
        <f aca="false">IF($K1498="","",ROW()-5)</f>
        <v/>
      </c>
      <c r="B1498" s="68" t="str">
        <f aca="false">IF($K1498="","",INDEX(Base!$E$5:$E$2004,$K1498))</f>
        <v/>
      </c>
      <c r="C1498" s="69" t="str">
        <f aca="false">IF($K1498="","",B1498)</f>
        <v/>
      </c>
      <c r="D1498" s="70" t="str">
        <f aca="false">IF($K1498="","",INDEX(Base!$F$5:$F$2004,$K1498))</f>
        <v/>
      </c>
      <c r="E1498" s="70" t="str">
        <f aca="false">IF($K1498="","",INDEX(Base!$G$5:$G$2004,$K1498))</f>
        <v/>
      </c>
      <c r="F1498" s="71" t="str">
        <f aca="false">IF($K1498="","",INDEX(Base!$H$5:$H$2004,$K1498))</f>
        <v/>
      </c>
      <c r="G1498" s="71" t="str">
        <f aca="false">IF($K1498="","",INDEX(Base!$I$5:$I$2004,$K1498))</f>
        <v/>
      </c>
      <c r="H1498" s="70" t="str">
        <f aca="false">IF($K1498="","",INDEX(Base!$J$5:$J$2004,$K1498))</f>
        <v/>
      </c>
      <c r="I1498" s="71" t="str">
        <f aca="false">IF($K1498="","",INDEX(Base!$L$5:$L$2004,$K1498))</f>
        <v/>
      </c>
      <c r="J1498" s="72" t="str">
        <f aca="false">IFERROR(SMALL(Base!$P$5:$P$2004,ROW()-5),"")</f>
        <v/>
      </c>
      <c r="K1498" s="72" t="str">
        <f aca="false">IF(J1498="","",MATCH(J1498,Base!$P$5:$P$2004,0))</f>
        <v/>
      </c>
    </row>
    <row r="1499" customFormat="false" ht="15" hidden="false" customHeight="false" outlineLevel="0" collapsed="false">
      <c r="A1499" s="67" t="str">
        <f aca="false">IF($K1499="","",ROW()-5)</f>
        <v/>
      </c>
      <c r="B1499" s="68" t="str">
        <f aca="false">IF($K1499="","",INDEX(Base!$E$5:$E$2004,$K1499))</f>
        <v/>
      </c>
      <c r="C1499" s="69" t="str">
        <f aca="false">IF($K1499="","",B1499)</f>
        <v/>
      </c>
      <c r="D1499" s="70" t="str">
        <f aca="false">IF($K1499="","",INDEX(Base!$F$5:$F$2004,$K1499))</f>
        <v/>
      </c>
      <c r="E1499" s="70" t="str">
        <f aca="false">IF($K1499="","",INDEX(Base!$G$5:$G$2004,$K1499))</f>
        <v/>
      </c>
      <c r="F1499" s="71" t="str">
        <f aca="false">IF($K1499="","",INDEX(Base!$H$5:$H$2004,$K1499))</f>
        <v/>
      </c>
      <c r="G1499" s="71" t="str">
        <f aca="false">IF($K1499="","",INDEX(Base!$I$5:$I$2004,$K1499))</f>
        <v/>
      </c>
      <c r="H1499" s="70" t="str">
        <f aca="false">IF($K1499="","",INDEX(Base!$J$5:$J$2004,$K1499))</f>
        <v/>
      </c>
      <c r="I1499" s="71" t="str">
        <f aca="false">IF($K1499="","",INDEX(Base!$L$5:$L$2004,$K1499))</f>
        <v/>
      </c>
      <c r="J1499" s="72" t="str">
        <f aca="false">IFERROR(SMALL(Base!$P$5:$P$2004,ROW()-5),"")</f>
        <v/>
      </c>
      <c r="K1499" s="72" t="str">
        <f aca="false">IF(J1499="","",MATCH(J1499,Base!$P$5:$P$2004,0))</f>
        <v/>
      </c>
    </row>
    <row r="1500" customFormat="false" ht="15" hidden="false" customHeight="false" outlineLevel="0" collapsed="false">
      <c r="A1500" s="67" t="str">
        <f aca="false">IF($K1500="","",ROW()-5)</f>
        <v/>
      </c>
      <c r="B1500" s="68" t="str">
        <f aca="false">IF($K1500="","",INDEX(Base!$E$5:$E$2004,$K1500))</f>
        <v/>
      </c>
      <c r="C1500" s="69" t="str">
        <f aca="false">IF($K1500="","",B1500)</f>
        <v/>
      </c>
      <c r="D1500" s="70" t="str">
        <f aca="false">IF($K1500="","",INDEX(Base!$F$5:$F$2004,$K1500))</f>
        <v/>
      </c>
      <c r="E1500" s="70" t="str">
        <f aca="false">IF($K1500="","",INDEX(Base!$G$5:$G$2004,$K1500))</f>
        <v/>
      </c>
      <c r="F1500" s="71" t="str">
        <f aca="false">IF($K1500="","",INDEX(Base!$H$5:$H$2004,$K1500))</f>
        <v/>
      </c>
      <c r="G1500" s="71" t="str">
        <f aca="false">IF($K1500="","",INDEX(Base!$I$5:$I$2004,$K1500))</f>
        <v/>
      </c>
      <c r="H1500" s="70" t="str">
        <f aca="false">IF($K1500="","",INDEX(Base!$J$5:$J$2004,$K1500))</f>
        <v/>
      </c>
      <c r="I1500" s="71" t="str">
        <f aca="false">IF($K1500="","",INDEX(Base!$L$5:$L$2004,$K1500))</f>
        <v/>
      </c>
      <c r="J1500" s="72" t="str">
        <f aca="false">IFERROR(SMALL(Base!$P$5:$P$2004,ROW()-5),"")</f>
        <v/>
      </c>
      <c r="K1500" s="72" t="str">
        <f aca="false">IF(J1500="","",MATCH(J1500,Base!$P$5:$P$2004,0))</f>
        <v/>
      </c>
    </row>
    <row r="1501" customFormat="false" ht="15" hidden="false" customHeight="false" outlineLevel="0" collapsed="false">
      <c r="A1501" s="67" t="str">
        <f aca="false">IF($K1501="","",ROW()-5)</f>
        <v/>
      </c>
      <c r="B1501" s="68" t="str">
        <f aca="false">IF($K1501="","",INDEX(Base!$E$5:$E$2004,$K1501))</f>
        <v/>
      </c>
      <c r="C1501" s="69" t="str">
        <f aca="false">IF($K1501="","",B1501)</f>
        <v/>
      </c>
      <c r="D1501" s="70" t="str">
        <f aca="false">IF($K1501="","",INDEX(Base!$F$5:$F$2004,$K1501))</f>
        <v/>
      </c>
      <c r="E1501" s="70" t="str">
        <f aca="false">IF($K1501="","",INDEX(Base!$G$5:$G$2004,$K1501))</f>
        <v/>
      </c>
      <c r="F1501" s="71" t="str">
        <f aca="false">IF($K1501="","",INDEX(Base!$H$5:$H$2004,$K1501))</f>
        <v/>
      </c>
      <c r="G1501" s="71" t="str">
        <f aca="false">IF($K1501="","",INDEX(Base!$I$5:$I$2004,$K1501))</f>
        <v/>
      </c>
      <c r="H1501" s="70" t="str">
        <f aca="false">IF($K1501="","",INDEX(Base!$J$5:$J$2004,$K1501))</f>
        <v/>
      </c>
      <c r="I1501" s="71" t="str">
        <f aca="false">IF($K1501="","",INDEX(Base!$L$5:$L$2004,$K1501))</f>
        <v/>
      </c>
      <c r="J1501" s="72" t="str">
        <f aca="false">IFERROR(SMALL(Base!$P$5:$P$2004,ROW()-5),"")</f>
        <v/>
      </c>
      <c r="K1501" s="72" t="str">
        <f aca="false">IF(J1501="","",MATCH(J1501,Base!$P$5:$P$2004,0))</f>
        <v/>
      </c>
    </row>
    <row r="1502" customFormat="false" ht="15" hidden="false" customHeight="false" outlineLevel="0" collapsed="false">
      <c r="A1502" s="67" t="str">
        <f aca="false">IF($K1502="","",ROW()-5)</f>
        <v/>
      </c>
      <c r="B1502" s="68" t="str">
        <f aca="false">IF($K1502="","",INDEX(Base!$E$5:$E$2004,$K1502))</f>
        <v/>
      </c>
      <c r="C1502" s="69" t="str">
        <f aca="false">IF($K1502="","",B1502)</f>
        <v/>
      </c>
      <c r="D1502" s="70" t="str">
        <f aca="false">IF($K1502="","",INDEX(Base!$F$5:$F$2004,$K1502))</f>
        <v/>
      </c>
      <c r="E1502" s="70" t="str">
        <f aca="false">IF($K1502="","",INDEX(Base!$G$5:$G$2004,$K1502))</f>
        <v/>
      </c>
      <c r="F1502" s="71" t="str">
        <f aca="false">IF($K1502="","",INDEX(Base!$H$5:$H$2004,$K1502))</f>
        <v/>
      </c>
      <c r="G1502" s="71" t="str">
        <f aca="false">IF($K1502="","",INDEX(Base!$I$5:$I$2004,$K1502))</f>
        <v/>
      </c>
      <c r="H1502" s="70" t="str">
        <f aca="false">IF($K1502="","",INDEX(Base!$J$5:$J$2004,$K1502))</f>
        <v/>
      </c>
      <c r="I1502" s="71" t="str">
        <f aca="false">IF($K1502="","",INDEX(Base!$L$5:$L$2004,$K1502))</f>
        <v/>
      </c>
      <c r="J1502" s="72" t="str">
        <f aca="false">IFERROR(SMALL(Base!$P$5:$P$2004,ROW()-5),"")</f>
        <v/>
      </c>
      <c r="K1502" s="72" t="str">
        <f aca="false">IF(J1502="","",MATCH(J1502,Base!$P$5:$P$2004,0))</f>
        <v/>
      </c>
    </row>
    <row r="1503" customFormat="false" ht="15" hidden="false" customHeight="false" outlineLevel="0" collapsed="false">
      <c r="A1503" s="67" t="str">
        <f aca="false">IF($K1503="","",ROW()-5)</f>
        <v/>
      </c>
      <c r="B1503" s="68" t="str">
        <f aca="false">IF($K1503="","",INDEX(Base!$E$5:$E$2004,$K1503))</f>
        <v/>
      </c>
      <c r="C1503" s="69" t="str">
        <f aca="false">IF($K1503="","",B1503)</f>
        <v/>
      </c>
      <c r="D1503" s="70" t="str">
        <f aca="false">IF($K1503="","",INDEX(Base!$F$5:$F$2004,$K1503))</f>
        <v/>
      </c>
      <c r="E1503" s="70" t="str">
        <f aca="false">IF($K1503="","",INDEX(Base!$G$5:$G$2004,$K1503))</f>
        <v/>
      </c>
      <c r="F1503" s="71" t="str">
        <f aca="false">IF($K1503="","",INDEX(Base!$H$5:$H$2004,$K1503))</f>
        <v/>
      </c>
      <c r="G1503" s="71" t="str">
        <f aca="false">IF($K1503="","",INDEX(Base!$I$5:$I$2004,$K1503))</f>
        <v/>
      </c>
      <c r="H1503" s="70" t="str">
        <f aca="false">IF($K1503="","",INDEX(Base!$J$5:$J$2004,$K1503))</f>
        <v/>
      </c>
      <c r="I1503" s="71" t="str">
        <f aca="false">IF($K1503="","",INDEX(Base!$L$5:$L$2004,$K1503))</f>
        <v/>
      </c>
      <c r="J1503" s="72" t="str">
        <f aca="false">IFERROR(SMALL(Base!$P$5:$P$2004,ROW()-5),"")</f>
        <v/>
      </c>
      <c r="K1503" s="72" t="str">
        <f aca="false">IF(J1503="","",MATCH(J1503,Base!$P$5:$P$2004,0))</f>
        <v/>
      </c>
    </row>
    <row r="1504" customFormat="false" ht="15" hidden="false" customHeight="false" outlineLevel="0" collapsed="false">
      <c r="A1504" s="67" t="str">
        <f aca="false">IF($K1504="","",ROW()-5)</f>
        <v/>
      </c>
      <c r="B1504" s="68" t="str">
        <f aca="false">IF($K1504="","",INDEX(Base!$E$5:$E$2004,$K1504))</f>
        <v/>
      </c>
      <c r="C1504" s="69" t="str">
        <f aca="false">IF($K1504="","",B1504)</f>
        <v/>
      </c>
      <c r="D1504" s="70" t="str">
        <f aca="false">IF($K1504="","",INDEX(Base!$F$5:$F$2004,$K1504))</f>
        <v/>
      </c>
      <c r="E1504" s="70" t="str">
        <f aca="false">IF($K1504="","",INDEX(Base!$G$5:$G$2004,$K1504))</f>
        <v/>
      </c>
      <c r="F1504" s="71" t="str">
        <f aca="false">IF($K1504="","",INDEX(Base!$H$5:$H$2004,$K1504))</f>
        <v/>
      </c>
      <c r="G1504" s="71" t="str">
        <f aca="false">IF($K1504="","",INDEX(Base!$I$5:$I$2004,$K1504))</f>
        <v/>
      </c>
      <c r="H1504" s="70" t="str">
        <f aca="false">IF($K1504="","",INDEX(Base!$J$5:$J$2004,$K1504))</f>
        <v/>
      </c>
      <c r="I1504" s="71" t="str">
        <f aca="false">IF($K1504="","",INDEX(Base!$L$5:$L$2004,$K1504))</f>
        <v/>
      </c>
      <c r="J1504" s="72" t="str">
        <f aca="false">IFERROR(SMALL(Base!$P$5:$P$2004,ROW()-5),"")</f>
        <v/>
      </c>
      <c r="K1504" s="72" t="str">
        <f aca="false">IF(J1504="","",MATCH(J1504,Base!$P$5:$P$2004,0))</f>
        <v/>
      </c>
    </row>
    <row r="1505" customFormat="false" ht="15" hidden="false" customHeight="false" outlineLevel="0" collapsed="false">
      <c r="A1505" s="67" t="str">
        <f aca="false">IF($K1505="","",ROW()-5)</f>
        <v/>
      </c>
      <c r="B1505" s="68" t="str">
        <f aca="false">IF($K1505="","",INDEX(Base!$E$5:$E$2004,$K1505))</f>
        <v/>
      </c>
      <c r="C1505" s="69" t="str">
        <f aca="false">IF($K1505="","",B1505)</f>
        <v/>
      </c>
      <c r="D1505" s="70" t="str">
        <f aca="false">IF($K1505="","",INDEX(Base!$F$5:$F$2004,$K1505))</f>
        <v/>
      </c>
      <c r="E1505" s="70" t="str">
        <f aca="false">IF($K1505="","",INDEX(Base!$G$5:$G$2004,$K1505))</f>
        <v/>
      </c>
      <c r="F1505" s="71" t="str">
        <f aca="false">IF($K1505="","",INDEX(Base!$H$5:$H$2004,$K1505))</f>
        <v/>
      </c>
      <c r="G1505" s="71" t="str">
        <f aca="false">IF($K1505="","",INDEX(Base!$I$5:$I$2004,$K1505))</f>
        <v/>
      </c>
      <c r="H1505" s="70" t="str">
        <f aca="false">IF($K1505="","",INDEX(Base!$J$5:$J$2004,$K1505))</f>
        <v/>
      </c>
      <c r="I1505" s="71" t="str">
        <f aca="false">IF($K1505="","",INDEX(Base!$L$5:$L$2004,$K1505))</f>
        <v/>
      </c>
      <c r="J1505" s="72" t="str">
        <f aca="false">IFERROR(SMALL(Base!$P$5:$P$2004,ROW()-5),"")</f>
        <v/>
      </c>
      <c r="K1505" s="72" t="str">
        <f aca="false">IF(J1505="","",MATCH(J1505,Base!$P$5:$P$2004,0))</f>
        <v/>
      </c>
    </row>
    <row r="1506" customFormat="false" ht="15" hidden="false" customHeight="false" outlineLevel="0" collapsed="false">
      <c r="A1506" s="67" t="str">
        <f aca="false">IF($K1506="","",ROW()-5)</f>
        <v/>
      </c>
      <c r="B1506" s="68" t="str">
        <f aca="false">IF($K1506="","",INDEX(Base!$E$5:$E$2004,$K1506))</f>
        <v/>
      </c>
      <c r="C1506" s="69" t="str">
        <f aca="false">IF($K1506="","",B1506)</f>
        <v/>
      </c>
      <c r="D1506" s="70" t="str">
        <f aca="false">IF($K1506="","",INDEX(Base!$F$5:$F$2004,$K1506))</f>
        <v/>
      </c>
      <c r="E1506" s="70" t="str">
        <f aca="false">IF($K1506="","",INDEX(Base!$G$5:$G$2004,$K1506))</f>
        <v/>
      </c>
      <c r="F1506" s="71" t="str">
        <f aca="false">IF($K1506="","",INDEX(Base!$H$5:$H$2004,$K1506))</f>
        <v/>
      </c>
      <c r="G1506" s="71" t="str">
        <f aca="false">IF($K1506="","",INDEX(Base!$I$5:$I$2004,$K1506))</f>
        <v/>
      </c>
      <c r="H1506" s="70" t="str">
        <f aca="false">IF($K1506="","",INDEX(Base!$J$5:$J$2004,$K1506))</f>
        <v/>
      </c>
      <c r="I1506" s="71" t="str">
        <f aca="false">IF($K1506="","",INDEX(Base!$L$5:$L$2004,$K1506))</f>
        <v/>
      </c>
      <c r="J1506" s="72" t="str">
        <f aca="false">IFERROR(SMALL(Base!$P$5:$P$2004,ROW()-5),"")</f>
        <v/>
      </c>
      <c r="K1506" s="72" t="str">
        <f aca="false">IF(J1506="","",MATCH(J1506,Base!$P$5:$P$2004,0))</f>
        <v/>
      </c>
    </row>
    <row r="1507" customFormat="false" ht="15" hidden="false" customHeight="false" outlineLevel="0" collapsed="false">
      <c r="A1507" s="67" t="str">
        <f aca="false">IF($K1507="","",ROW()-5)</f>
        <v/>
      </c>
      <c r="B1507" s="68" t="str">
        <f aca="false">IF($K1507="","",INDEX(Base!$E$5:$E$2004,$K1507))</f>
        <v/>
      </c>
      <c r="C1507" s="69" t="str">
        <f aca="false">IF($K1507="","",B1507)</f>
        <v/>
      </c>
      <c r="D1507" s="70" t="str">
        <f aca="false">IF($K1507="","",INDEX(Base!$F$5:$F$2004,$K1507))</f>
        <v/>
      </c>
      <c r="E1507" s="70" t="str">
        <f aca="false">IF($K1507="","",INDEX(Base!$G$5:$G$2004,$K1507))</f>
        <v/>
      </c>
      <c r="F1507" s="71" t="str">
        <f aca="false">IF($K1507="","",INDEX(Base!$H$5:$H$2004,$K1507))</f>
        <v/>
      </c>
      <c r="G1507" s="71" t="str">
        <f aca="false">IF($K1507="","",INDEX(Base!$I$5:$I$2004,$K1507))</f>
        <v/>
      </c>
      <c r="H1507" s="70" t="str">
        <f aca="false">IF($K1507="","",INDEX(Base!$J$5:$J$2004,$K1507))</f>
        <v/>
      </c>
      <c r="I1507" s="71" t="str">
        <f aca="false">IF($K1507="","",INDEX(Base!$L$5:$L$2004,$K1507))</f>
        <v/>
      </c>
      <c r="J1507" s="72" t="str">
        <f aca="false">IFERROR(SMALL(Base!$P$5:$P$2004,ROW()-5),"")</f>
        <v/>
      </c>
      <c r="K1507" s="72" t="str">
        <f aca="false">IF(J1507="","",MATCH(J1507,Base!$P$5:$P$2004,0))</f>
        <v/>
      </c>
    </row>
    <row r="1508" customFormat="false" ht="15" hidden="false" customHeight="false" outlineLevel="0" collapsed="false">
      <c r="A1508" s="67" t="str">
        <f aca="false">IF($K1508="","",ROW()-5)</f>
        <v/>
      </c>
      <c r="B1508" s="68" t="str">
        <f aca="false">IF($K1508="","",INDEX(Base!$E$5:$E$2004,$K1508))</f>
        <v/>
      </c>
      <c r="C1508" s="69" t="str">
        <f aca="false">IF($K1508="","",B1508)</f>
        <v/>
      </c>
      <c r="D1508" s="70" t="str">
        <f aca="false">IF($K1508="","",INDEX(Base!$F$5:$F$2004,$K1508))</f>
        <v/>
      </c>
      <c r="E1508" s="70" t="str">
        <f aca="false">IF($K1508="","",INDEX(Base!$G$5:$G$2004,$K1508))</f>
        <v/>
      </c>
      <c r="F1508" s="71" t="str">
        <f aca="false">IF($K1508="","",INDEX(Base!$H$5:$H$2004,$K1508))</f>
        <v/>
      </c>
      <c r="G1508" s="71" t="str">
        <f aca="false">IF($K1508="","",INDEX(Base!$I$5:$I$2004,$K1508))</f>
        <v/>
      </c>
      <c r="H1508" s="70" t="str">
        <f aca="false">IF($K1508="","",INDEX(Base!$J$5:$J$2004,$K1508))</f>
        <v/>
      </c>
      <c r="I1508" s="71" t="str">
        <f aca="false">IF($K1508="","",INDEX(Base!$L$5:$L$2004,$K1508))</f>
        <v/>
      </c>
      <c r="J1508" s="72" t="str">
        <f aca="false">IFERROR(SMALL(Base!$P$5:$P$2004,ROW()-5),"")</f>
        <v/>
      </c>
      <c r="K1508" s="72" t="str">
        <f aca="false">IF(J1508="","",MATCH(J1508,Base!$P$5:$P$2004,0))</f>
        <v/>
      </c>
    </row>
    <row r="1509" customFormat="false" ht="15" hidden="false" customHeight="false" outlineLevel="0" collapsed="false">
      <c r="A1509" s="67" t="str">
        <f aca="false">IF($K1509="","",ROW()-5)</f>
        <v/>
      </c>
      <c r="B1509" s="68" t="str">
        <f aca="false">IF($K1509="","",INDEX(Base!$E$5:$E$2004,$K1509))</f>
        <v/>
      </c>
      <c r="C1509" s="69" t="str">
        <f aca="false">IF($K1509="","",B1509)</f>
        <v/>
      </c>
      <c r="D1509" s="70" t="str">
        <f aca="false">IF($K1509="","",INDEX(Base!$F$5:$F$2004,$K1509))</f>
        <v/>
      </c>
      <c r="E1509" s="70" t="str">
        <f aca="false">IF($K1509="","",INDEX(Base!$G$5:$G$2004,$K1509))</f>
        <v/>
      </c>
      <c r="F1509" s="71" t="str">
        <f aca="false">IF($K1509="","",INDEX(Base!$H$5:$H$2004,$K1509))</f>
        <v/>
      </c>
      <c r="G1509" s="71" t="str">
        <f aca="false">IF($K1509="","",INDEX(Base!$I$5:$I$2004,$K1509))</f>
        <v/>
      </c>
      <c r="H1509" s="70" t="str">
        <f aca="false">IF($K1509="","",INDEX(Base!$J$5:$J$2004,$K1509))</f>
        <v/>
      </c>
      <c r="I1509" s="71" t="str">
        <f aca="false">IF($K1509="","",INDEX(Base!$L$5:$L$2004,$K1509))</f>
        <v/>
      </c>
      <c r="J1509" s="72" t="str">
        <f aca="false">IFERROR(SMALL(Base!$P$5:$P$2004,ROW()-5),"")</f>
        <v/>
      </c>
      <c r="K1509" s="72" t="str">
        <f aca="false">IF(J1509="","",MATCH(J1509,Base!$P$5:$P$2004,0))</f>
        <v/>
      </c>
    </row>
    <row r="1510" customFormat="false" ht="15" hidden="false" customHeight="false" outlineLevel="0" collapsed="false">
      <c r="A1510" s="67" t="str">
        <f aca="false">IF($K1510="","",ROW()-5)</f>
        <v/>
      </c>
      <c r="B1510" s="68" t="str">
        <f aca="false">IF($K1510="","",INDEX(Base!$E$5:$E$2004,$K1510))</f>
        <v/>
      </c>
      <c r="C1510" s="69" t="str">
        <f aca="false">IF($K1510="","",B1510)</f>
        <v/>
      </c>
      <c r="D1510" s="70" t="str">
        <f aca="false">IF($K1510="","",INDEX(Base!$F$5:$F$2004,$K1510))</f>
        <v/>
      </c>
      <c r="E1510" s="70" t="str">
        <f aca="false">IF($K1510="","",INDEX(Base!$G$5:$G$2004,$K1510))</f>
        <v/>
      </c>
      <c r="F1510" s="71" t="str">
        <f aca="false">IF($K1510="","",INDEX(Base!$H$5:$H$2004,$K1510))</f>
        <v/>
      </c>
      <c r="G1510" s="71" t="str">
        <f aca="false">IF($K1510="","",INDEX(Base!$I$5:$I$2004,$K1510))</f>
        <v/>
      </c>
      <c r="H1510" s="70" t="str">
        <f aca="false">IF($K1510="","",INDEX(Base!$J$5:$J$2004,$K1510))</f>
        <v/>
      </c>
      <c r="I1510" s="71" t="str">
        <f aca="false">IF($K1510="","",INDEX(Base!$L$5:$L$2004,$K1510))</f>
        <v/>
      </c>
      <c r="J1510" s="72" t="str">
        <f aca="false">IFERROR(SMALL(Base!$P$5:$P$2004,ROW()-5),"")</f>
        <v/>
      </c>
      <c r="K1510" s="72" t="str">
        <f aca="false">IF(J1510="","",MATCH(J1510,Base!$P$5:$P$2004,0))</f>
        <v/>
      </c>
    </row>
    <row r="1511" customFormat="false" ht="15" hidden="false" customHeight="false" outlineLevel="0" collapsed="false">
      <c r="A1511" s="67" t="str">
        <f aca="false">IF($K1511="","",ROW()-5)</f>
        <v/>
      </c>
      <c r="B1511" s="68" t="str">
        <f aca="false">IF($K1511="","",INDEX(Base!$E$5:$E$2004,$K1511))</f>
        <v/>
      </c>
      <c r="C1511" s="69" t="str">
        <f aca="false">IF($K1511="","",B1511)</f>
        <v/>
      </c>
      <c r="D1511" s="70" t="str">
        <f aca="false">IF($K1511="","",INDEX(Base!$F$5:$F$2004,$K1511))</f>
        <v/>
      </c>
      <c r="E1511" s="70" t="str">
        <f aca="false">IF($K1511="","",INDEX(Base!$G$5:$G$2004,$K1511))</f>
        <v/>
      </c>
      <c r="F1511" s="71" t="str">
        <f aca="false">IF($K1511="","",INDEX(Base!$H$5:$H$2004,$K1511))</f>
        <v/>
      </c>
      <c r="G1511" s="71" t="str">
        <f aca="false">IF($K1511="","",INDEX(Base!$I$5:$I$2004,$K1511))</f>
        <v/>
      </c>
      <c r="H1511" s="70" t="str">
        <f aca="false">IF($K1511="","",INDEX(Base!$J$5:$J$2004,$K1511))</f>
        <v/>
      </c>
      <c r="I1511" s="71" t="str">
        <f aca="false">IF($K1511="","",INDEX(Base!$L$5:$L$2004,$K1511))</f>
        <v/>
      </c>
      <c r="J1511" s="72" t="str">
        <f aca="false">IFERROR(SMALL(Base!$P$5:$P$2004,ROW()-5),"")</f>
        <v/>
      </c>
      <c r="K1511" s="72" t="str">
        <f aca="false">IF(J1511="","",MATCH(J1511,Base!$P$5:$P$2004,0))</f>
        <v/>
      </c>
    </row>
    <row r="1512" customFormat="false" ht="15" hidden="false" customHeight="false" outlineLevel="0" collapsed="false">
      <c r="A1512" s="67" t="str">
        <f aca="false">IF($K1512="","",ROW()-5)</f>
        <v/>
      </c>
      <c r="B1512" s="68" t="str">
        <f aca="false">IF($K1512="","",INDEX(Base!$E$5:$E$2004,$K1512))</f>
        <v/>
      </c>
      <c r="C1512" s="69" t="str">
        <f aca="false">IF($K1512="","",B1512)</f>
        <v/>
      </c>
      <c r="D1512" s="70" t="str">
        <f aca="false">IF($K1512="","",INDEX(Base!$F$5:$F$2004,$K1512))</f>
        <v/>
      </c>
      <c r="E1512" s="70" t="str">
        <f aca="false">IF($K1512="","",INDEX(Base!$G$5:$G$2004,$K1512))</f>
        <v/>
      </c>
      <c r="F1512" s="71" t="str">
        <f aca="false">IF($K1512="","",INDEX(Base!$H$5:$H$2004,$K1512))</f>
        <v/>
      </c>
      <c r="G1512" s="71" t="str">
        <f aca="false">IF($K1512="","",INDEX(Base!$I$5:$I$2004,$K1512))</f>
        <v/>
      </c>
      <c r="H1512" s="70" t="str">
        <f aca="false">IF($K1512="","",INDEX(Base!$J$5:$J$2004,$K1512))</f>
        <v/>
      </c>
      <c r="I1512" s="71" t="str">
        <f aca="false">IF($K1512="","",INDEX(Base!$L$5:$L$2004,$K1512))</f>
        <v/>
      </c>
      <c r="J1512" s="72" t="str">
        <f aca="false">IFERROR(SMALL(Base!$P$5:$P$2004,ROW()-5),"")</f>
        <v/>
      </c>
      <c r="K1512" s="72" t="str">
        <f aca="false">IF(J1512="","",MATCH(J1512,Base!$P$5:$P$2004,0))</f>
        <v/>
      </c>
    </row>
    <row r="1513" customFormat="false" ht="15" hidden="false" customHeight="false" outlineLevel="0" collapsed="false">
      <c r="A1513" s="67" t="str">
        <f aca="false">IF($K1513="","",ROW()-5)</f>
        <v/>
      </c>
      <c r="B1513" s="68" t="str">
        <f aca="false">IF($K1513="","",INDEX(Base!$E$5:$E$2004,$K1513))</f>
        <v/>
      </c>
      <c r="C1513" s="69" t="str">
        <f aca="false">IF($K1513="","",B1513)</f>
        <v/>
      </c>
      <c r="D1513" s="70" t="str">
        <f aca="false">IF($K1513="","",INDEX(Base!$F$5:$F$2004,$K1513))</f>
        <v/>
      </c>
      <c r="E1513" s="70" t="str">
        <f aca="false">IF($K1513="","",INDEX(Base!$G$5:$G$2004,$K1513))</f>
        <v/>
      </c>
      <c r="F1513" s="71" t="str">
        <f aca="false">IF($K1513="","",INDEX(Base!$H$5:$H$2004,$K1513))</f>
        <v/>
      </c>
      <c r="G1513" s="71" t="str">
        <f aca="false">IF($K1513="","",INDEX(Base!$I$5:$I$2004,$K1513))</f>
        <v/>
      </c>
      <c r="H1513" s="70" t="str">
        <f aca="false">IF($K1513="","",INDEX(Base!$J$5:$J$2004,$K1513))</f>
        <v/>
      </c>
      <c r="I1513" s="71" t="str">
        <f aca="false">IF($K1513="","",INDEX(Base!$L$5:$L$2004,$K1513))</f>
        <v/>
      </c>
      <c r="J1513" s="72" t="str">
        <f aca="false">IFERROR(SMALL(Base!$P$5:$P$2004,ROW()-5),"")</f>
        <v/>
      </c>
      <c r="K1513" s="72" t="str">
        <f aca="false">IF(J1513="","",MATCH(J1513,Base!$P$5:$P$2004,0))</f>
        <v/>
      </c>
    </row>
    <row r="1514" customFormat="false" ht="15" hidden="false" customHeight="false" outlineLevel="0" collapsed="false">
      <c r="A1514" s="67" t="str">
        <f aca="false">IF($K1514="","",ROW()-5)</f>
        <v/>
      </c>
      <c r="B1514" s="68" t="str">
        <f aca="false">IF($K1514="","",INDEX(Base!$E$5:$E$2004,$K1514))</f>
        <v/>
      </c>
      <c r="C1514" s="69" t="str">
        <f aca="false">IF($K1514="","",B1514)</f>
        <v/>
      </c>
      <c r="D1514" s="70" t="str">
        <f aca="false">IF($K1514="","",INDEX(Base!$F$5:$F$2004,$K1514))</f>
        <v/>
      </c>
      <c r="E1514" s="70" t="str">
        <f aca="false">IF($K1514="","",INDEX(Base!$G$5:$G$2004,$K1514))</f>
        <v/>
      </c>
      <c r="F1514" s="71" t="str">
        <f aca="false">IF($K1514="","",INDEX(Base!$H$5:$H$2004,$K1514))</f>
        <v/>
      </c>
      <c r="G1514" s="71" t="str">
        <f aca="false">IF($K1514="","",INDEX(Base!$I$5:$I$2004,$K1514))</f>
        <v/>
      </c>
      <c r="H1514" s="70" t="str">
        <f aca="false">IF($K1514="","",INDEX(Base!$J$5:$J$2004,$K1514))</f>
        <v/>
      </c>
      <c r="I1514" s="71" t="str">
        <f aca="false">IF($K1514="","",INDEX(Base!$L$5:$L$2004,$K1514))</f>
        <v/>
      </c>
      <c r="J1514" s="72" t="str">
        <f aca="false">IFERROR(SMALL(Base!$P$5:$P$2004,ROW()-5),"")</f>
        <v/>
      </c>
      <c r="K1514" s="72" t="str">
        <f aca="false">IF(J1514="","",MATCH(J1514,Base!$P$5:$P$2004,0))</f>
        <v/>
      </c>
    </row>
    <row r="1515" customFormat="false" ht="15" hidden="false" customHeight="false" outlineLevel="0" collapsed="false">
      <c r="A1515" s="67" t="str">
        <f aca="false">IF($K1515="","",ROW()-5)</f>
        <v/>
      </c>
      <c r="B1515" s="68" t="str">
        <f aca="false">IF($K1515="","",INDEX(Base!$E$5:$E$2004,$K1515))</f>
        <v/>
      </c>
      <c r="C1515" s="69" t="str">
        <f aca="false">IF($K1515="","",B1515)</f>
        <v/>
      </c>
      <c r="D1515" s="70" t="str">
        <f aca="false">IF($K1515="","",INDEX(Base!$F$5:$F$2004,$K1515))</f>
        <v/>
      </c>
      <c r="E1515" s="70" t="str">
        <f aca="false">IF($K1515="","",INDEX(Base!$G$5:$G$2004,$K1515))</f>
        <v/>
      </c>
      <c r="F1515" s="71" t="str">
        <f aca="false">IF($K1515="","",INDEX(Base!$H$5:$H$2004,$K1515))</f>
        <v/>
      </c>
      <c r="G1515" s="71" t="str">
        <f aca="false">IF($K1515="","",INDEX(Base!$I$5:$I$2004,$K1515))</f>
        <v/>
      </c>
      <c r="H1515" s="70" t="str">
        <f aca="false">IF($K1515="","",INDEX(Base!$J$5:$J$2004,$K1515))</f>
        <v/>
      </c>
      <c r="I1515" s="71" t="str">
        <f aca="false">IF($K1515="","",INDEX(Base!$L$5:$L$2004,$K1515))</f>
        <v/>
      </c>
      <c r="J1515" s="72" t="str">
        <f aca="false">IFERROR(SMALL(Base!$P$5:$P$2004,ROW()-5),"")</f>
        <v/>
      </c>
      <c r="K1515" s="72" t="str">
        <f aca="false">IF(J1515="","",MATCH(J1515,Base!$P$5:$P$2004,0))</f>
        <v/>
      </c>
    </row>
    <row r="1516" customFormat="false" ht="15" hidden="false" customHeight="false" outlineLevel="0" collapsed="false">
      <c r="A1516" s="67" t="str">
        <f aca="false">IF($K1516="","",ROW()-5)</f>
        <v/>
      </c>
      <c r="B1516" s="68" t="str">
        <f aca="false">IF($K1516="","",INDEX(Base!$E$5:$E$2004,$K1516))</f>
        <v/>
      </c>
      <c r="C1516" s="69" t="str">
        <f aca="false">IF($K1516="","",B1516)</f>
        <v/>
      </c>
      <c r="D1516" s="70" t="str">
        <f aca="false">IF($K1516="","",INDEX(Base!$F$5:$F$2004,$K1516))</f>
        <v/>
      </c>
      <c r="E1516" s="70" t="str">
        <f aca="false">IF($K1516="","",INDEX(Base!$G$5:$G$2004,$K1516))</f>
        <v/>
      </c>
      <c r="F1516" s="71" t="str">
        <f aca="false">IF($K1516="","",INDEX(Base!$H$5:$H$2004,$K1516))</f>
        <v/>
      </c>
      <c r="G1516" s="71" t="str">
        <f aca="false">IF($K1516="","",INDEX(Base!$I$5:$I$2004,$K1516))</f>
        <v/>
      </c>
      <c r="H1516" s="70" t="str">
        <f aca="false">IF($K1516="","",INDEX(Base!$J$5:$J$2004,$K1516))</f>
        <v/>
      </c>
      <c r="I1516" s="71" t="str">
        <f aca="false">IF($K1516="","",INDEX(Base!$L$5:$L$2004,$K1516))</f>
        <v/>
      </c>
      <c r="J1516" s="72" t="str">
        <f aca="false">IFERROR(SMALL(Base!$P$5:$P$2004,ROW()-5),"")</f>
        <v/>
      </c>
      <c r="K1516" s="72" t="str">
        <f aca="false">IF(J1516="","",MATCH(J1516,Base!$P$5:$P$2004,0))</f>
        <v/>
      </c>
    </row>
    <row r="1517" customFormat="false" ht="15" hidden="false" customHeight="false" outlineLevel="0" collapsed="false">
      <c r="A1517" s="67" t="str">
        <f aca="false">IF($K1517="","",ROW()-5)</f>
        <v/>
      </c>
      <c r="B1517" s="68" t="str">
        <f aca="false">IF($K1517="","",INDEX(Base!$E$5:$E$2004,$K1517))</f>
        <v/>
      </c>
      <c r="C1517" s="69" t="str">
        <f aca="false">IF($K1517="","",B1517)</f>
        <v/>
      </c>
      <c r="D1517" s="70" t="str">
        <f aca="false">IF($K1517="","",INDEX(Base!$F$5:$F$2004,$K1517))</f>
        <v/>
      </c>
      <c r="E1517" s="70" t="str">
        <f aca="false">IF($K1517="","",INDEX(Base!$G$5:$G$2004,$K1517))</f>
        <v/>
      </c>
      <c r="F1517" s="71" t="str">
        <f aca="false">IF($K1517="","",INDEX(Base!$H$5:$H$2004,$K1517))</f>
        <v/>
      </c>
      <c r="G1517" s="71" t="str">
        <f aca="false">IF($K1517="","",INDEX(Base!$I$5:$I$2004,$K1517))</f>
        <v/>
      </c>
      <c r="H1517" s="70" t="str">
        <f aca="false">IF($K1517="","",INDEX(Base!$J$5:$J$2004,$K1517))</f>
        <v/>
      </c>
      <c r="I1517" s="71" t="str">
        <f aca="false">IF($K1517="","",INDEX(Base!$L$5:$L$2004,$K1517))</f>
        <v/>
      </c>
      <c r="J1517" s="72" t="str">
        <f aca="false">IFERROR(SMALL(Base!$P$5:$P$2004,ROW()-5),"")</f>
        <v/>
      </c>
      <c r="K1517" s="72" t="str">
        <f aca="false">IF(J1517="","",MATCH(J1517,Base!$P$5:$P$2004,0))</f>
        <v/>
      </c>
    </row>
    <row r="1518" customFormat="false" ht="15" hidden="false" customHeight="false" outlineLevel="0" collapsed="false">
      <c r="A1518" s="67" t="str">
        <f aca="false">IF($K1518="","",ROW()-5)</f>
        <v/>
      </c>
      <c r="B1518" s="68" t="str">
        <f aca="false">IF($K1518="","",INDEX(Base!$E$5:$E$2004,$K1518))</f>
        <v/>
      </c>
      <c r="C1518" s="69" t="str">
        <f aca="false">IF($K1518="","",B1518)</f>
        <v/>
      </c>
      <c r="D1518" s="70" t="str">
        <f aca="false">IF($K1518="","",INDEX(Base!$F$5:$F$2004,$K1518))</f>
        <v/>
      </c>
      <c r="E1518" s="70" t="str">
        <f aca="false">IF($K1518="","",INDEX(Base!$G$5:$G$2004,$K1518))</f>
        <v/>
      </c>
      <c r="F1518" s="71" t="str">
        <f aca="false">IF($K1518="","",INDEX(Base!$H$5:$H$2004,$K1518))</f>
        <v/>
      </c>
      <c r="G1518" s="71" t="str">
        <f aca="false">IF($K1518="","",INDEX(Base!$I$5:$I$2004,$K1518))</f>
        <v/>
      </c>
      <c r="H1518" s="70" t="str">
        <f aca="false">IF($K1518="","",INDEX(Base!$J$5:$J$2004,$K1518))</f>
        <v/>
      </c>
      <c r="I1518" s="71" t="str">
        <f aca="false">IF($K1518="","",INDEX(Base!$L$5:$L$2004,$K1518))</f>
        <v/>
      </c>
      <c r="J1518" s="72" t="str">
        <f aca="false">IFERROR(SMALL(Base!$P$5:$P$2004,ROW()-5),"")</f>
        <v/>
      </c>
      <c r="K1518" s="72" t="str">
        <f aca="false">IF(J1518="","",MATCH(J1518,Base!$P$5:$P$2004,0))</f>
        <v/>
      </c>
    </row>
    <row r="1519" customFormat="false" ht="15" hidden="false" customHeight="false" outlineLevel="0" collapsed="false">
      <c r="A1519" s="67" t="str">
        <f aca="false">IF($K1519="","",ROW()-5)</f>
        <v/>
      </c>
      <c r="B1519" s="68" t="str">
        <f aca="false">IF($K1519="","",INDEX(Base!$E$5:$E$2004,$K1519))</f>
        <v/>
      </c>
      <c r="C1519" s="69" t="str">
        <f aca="false">IF($K1519="","",B1519)</f>
        <v/>
      </c>
      <c r="D1519" s="70" t="str">
        <f aca="false">IF($K1519="","",INDEX(Base!$F$5:$F$2004,$K1519))</f>
        <v/>
      </c>
      <c r="E1519" s="70" t="str">
        <f aca="false">IF($K1519="","",INDEX(Base!$G$5:$G$2004,$K1519))</f>
        <v/>
      </c>
      <c r="F1519" s="71" t="str">
        <f aca="false">IF($K1519="","",INDEX(Base!$H$5:$H$2004,$K1519))</f>
        <v/>
      </c>
      <c r="G1519" s="71" t="str">
        <f aca="false">IF($K1519="","",INDEX(Base!$I$5:$I$2004,$K1519))</f>
        <v/>
      </c>
      <c r="H1519" s="70" t="str">
        <f aca="false">IF($K1519="","",INDEX(Base!$J$5:$J$2004,$K1519))</f>
        <v/>
      </c>
      <c r="I1519" s="71" t="str">
        <f aca="false">IF($K1519="","",INDEX(Base!$L$5:$L$2004,$K1519))</f>
        <v/>
      </c>
      <c r="J1519" s="72" t="str">
        <f aca="false">IFERROR(SMALL(Base!$P$5:$P$2004,ROW()-5),"")</f>
        <v/>
      </c>
      <c r="K1519" s="72" t="str">
        <f aca="false">IF(J1519="","",MATCH(J1519,Base!$P$5:$P$2004,0))</f>
        <v/>
      </c>
    </row>
    <row r="1520" customFormat="false" ht="15" hidden="false" customHeight="false" outlineLevel="0" collapsed="false">
      <c r="A1520" s="67" t="str">
        <f aca="false">IF($K1520="","",ROW()-5)</f>
        <v/>
      </c>
      <c r="B1520" s="68" t="str">
        <f aca="false">IF($K1520="","",INDEX(Base!$E$5:$E$2004,$K1520))</f>
        <v/>
      </c>
      <c r="C1520" s="69" t="str">
        <f aca="false">IF($K1520="","",B1520)</f>
        <v/>
      </c>
      <c r="D1520" s="70" t="str">
        <f aca="false">IF($K1520="","",INDEX(Base!$F$5:$F$2004,$K1520))</f>
        <v/>
      </c>
      <c r="E1520" s="70" t="str">
        <f aca="false">IF($K1520="","",INDEX(Base!$G$5:$G$2004,$K1520))</f>
        <v/>
      </c>
      <c r="F1520" s="71" t="str">
        <f aca="false">IF($K1520="","",INDEX(Base!$H$5:$H$2004,$K1520))</f>
        <v/>
      </c>
      <c r="G1520" s="71" t="str">
        <f aca="false">IF($K1520="","",INDEX(Base!$I$5:$I$2004,$K1520))</f>
        <v/>
      </c>
      <c r="H1520" s="70" t="str">
        <f aca="false">IF($K1520="","",INDEX(Base!$J$5:$J$2004,$K1520))</f>
        <v/>
      </c>
      <c r="I1520" s="71" t="str">
        <f aca="false">IF($K1520="","",INDEX(Base!$L$5:$L$2004,$K1520))</f>
        <v/>
      </c>
      <c r="J1520" s="72" t="str">
        <f aca="false">IFERROR(SMALL(Base!$P$5:$P$2004,ROW()-5),"")</f>
        <v/>
      </c>
      <c r="K1520" s="72" t="str">
        <f aca="false">IF(J1520="","",MATCH(J1520,Base!$P$5:$P$2004,0))</f>
        <v/>
      </c>
    </row>
    <row r="1521" customFormat="false" ht="15" hidden="false" customHeight="false" outlineLevel="0" collapsed="false">
      <c r="A1521" s="67" t="str">
        <f aca="false">IF($K1521="","",ROW()-5)</f>
        <v/>
      </c>
      <c r="B1521" s="68" t="str">
        <f aca="false">IF($K1521="","",INDEX(Base!$E$5:$E$2004,$K1521))</f>
        <v/>
      </c>
      <c r="C1521" s="69" t="str">
        <f aca="false">IF($K1521="","",B1521)</f>
        <v/>
      </c>
      <c r="D1521" s="70" t="str">
        <f aca="false">IF($K1521="","",INDEX(Base!$F$5:$F$2004,$K1521))</f>
        <v/>
      </c>
      <c r="E1521" s="70" t="str">
        <f aca="false">IF($K1521="","",INDEX(Base!$G$5:$G$2004,$K1521))</f>
        <v/>
      </c>
      <c r="F1521" s="71" t="str">
        <f aca="false">IF($K1521="","",INDEX(Base!$H$5:$H$2004,$K1521))</f>
        <v/>
      </c>
      <c r="G1521" s="71" t="str">
        <f aca="false">IF($K1521="","",INDEX(Base!$I$5:$I$2004,$K1521))</f>
        <v/>
      </c>
      <c r="H1521" s="70" t="str">
        <f aca="false">IF($K1521="","",INDEX(Base!$J$5:$J$2004,$K1521))</f>
        <v/>
      </c>
      <c r="I1521" s="71" t="str">
        <f aca="false">IF($K1521="","",INDEX(Base!$L$5:$L$2004,$K1521))</f>
        <v/>
      </c>
      <c r="J1521" s="72" t="str">
        <f aca="false">IFERROR(SMALL(Base!$P$5:$P$2004,ROW()-5),"")</f>
        <v/>
      </c>
      <c r="K1521" s="72" t="str">
        <f aca="false">IF(J1521="","",MATCH(J1521,Base!$P$5:$P$2004,0))</f>
        <v/>
      </c>
    </row>
    <row r="1522" customFormat="false" ht="15" hidden="false" customHeight="false" outlineLevel="0" collapsed="false">
      <c r="A1522" s="67" t="str">
        <f aca="false">IF($K1522="","",ROW()-5)</f>
        <v/>
      </c>
      <c r="B1522" s="68" t="str">
        <f aca="false">IF($K1522="","",INDEX(Base!$E$5:$E$2004,$K1522))</f>
        <v/>
      </c>
      <c r="C1522" s="69" t="str">
        <f aca="false">IF($K1522="","",B1522)</f>
        <v/>
      </c>
      <c r="D1522" s="70" t="str">
        <f aca="false">IF($K1522="","",INDEX(Base!$F$5:$F$2004,$K1522))</f>
        <v/>
      </c>
      <c r="E1522" s="70" t="str">
        <f aca="false">IF($K1522="","",INDEX(Base!$G$5:$G$2004,$K1522))</f>
        <v/>
      </c>
      <c r="F1522" s="71" t="str">
        <f aca="false">IF($K1522="","",INDEX(Base!$H$5:$H$2004,$K1522))</f>
        <v/>
      </c>
      <c r="G1522" s="71" t="str">
        <f aca="false">IF($K1522="","",INDEX(Base!$I$5:$I$2004,$K1522))</f>
        <v/>
      </c>
      <c r="H1522" s="70" t="str">
        <f aca="false">IF($K1522="","",INDEX(Base!$J$5:$J$2004,$K1522))</f>
        <v/>
      </c>
      <c r="I1522" s="71" t="str">
        <f aca="false">IF($K1522="","",INDEX(Base!$L$5:$L$2004,$K1522))</f>
        <v/>
      </c>
      <c r="J1522" s="72" t="str">
        <f aca="false">IFERROR(SMALL(Base!$P$5:$P$2004,ROW()-5),"")</f>
        <v/>
      </c>
      <c r="K1522" s="72" t="str">
        <f aca="false">IF(J1522="","",MATCH(J1522,Base!$P$5:$P$2004,0))</f>
        <v/>
      </c>
    </row>
    <row r="1523" customFormat="false" ht="15" hidden="false" customHeight="false" outlineLevel="0" collapsed="false">
      <c r="A1523" s="67" t="str">
        <f aca="false">IF($K1523="","",ROW()-5)</f>
        <v/>
      </c>
      <c r="B1523" s="68" t="str">
        <f aca="false">IF($K1523="","",INDEX(Base!$E$5:$E$2004,$K1523))</f>
        <v/>
      </c>
      <c r="C1523" s="69" t="str">
        <f aca="false">IF($K1523="","",B1523)</f>
        <v/>
      </c>
      <c r="D1523" s="70" t="str">
        <f aca="false">IF($K1523="","",INDEX(Base!$F$5:$F$2004,$K1523))</f>
        <v/>
      </c>
      <c r="E1523" s="70" t="str">
        <f aca="false">IF($K1523="","",INDEX(Base!$G$5:$G$2004,$K1523))</f>
        <v/>
      </c>
      <c r="F1523" s="71" t="str">
        <f aca="false">IF($K1523="","",INDEX(Base!$H$5:$H$2004,$K1523))</f>
        <v/>
      </c>
      <c r="G1523" s="71" t="str">
        <f aca="false">IF($K1523="","",INDEX(Base!$I$5:$I$2004,$K1523))</f>
        <v/>
      </c>
      <c r="H1523" s="70" t="str">
        <f aca="false">IF($K1523="","",INDEX(Base!$J$5:$J$2004,$K1523))</f>
        <v/>
      </c>
      <c r="I1523" s="71" t="str">
        <f aca="false">IF($K1523="","",INDEX(Base!$L$5:$L$2004,$K1523))</f>
        <v/>
      </c>
      <c r="J1523" s="72" t="str">
        <f aca="false">IFERROR(SMALL(Base!$P$5:$P$2004,ROW()-5),"")</f>
        <v/>
      </c>
      <c r="K1523" s="72" t="str">
        <f aca="false">IF(J1523="","",MATCH(J1523,Base!$P$5:$P$2004,0))</f>
        <v/>
      </c>
    </row>
    <row r="1524" customFormat="false" ht="15" hidden="false" customHeight="false" outlineLevel="0" collapsed="false">
      <c r="A1524" s="67" t="str">
        <f aca="false">IF($K1524="","",ROW()-5)</f>
        <v/>
      </c>
      <c r="B1524" s="68" t="str">
        <f aca="false">IF($K1524="","",INDEX(Base!$E$5:$E$2004,$K1524))</f>
        <v/>
      </c>
      <c r="C1524" s="69" t="str">
        <f aca="false">IF($K1524="","",B1524)</f>
        <v/>
      </c>
      <c r="D1524" s="70" t="str">
        <f aca="false">IF($K1524="","",INDEX(Base!$F$5:$F$2004,$K1524))</f>
        <v/>
      </c>
      <c r="E1524" s="70" t="str">
        <f aca="false">IF($K1524="","",INDEX(Base!$G$5:$G$2004,$K1524))</f>
        <v/>
      </c>
      <c r="F1524" s="71" t="str">
        <f aca="false">IF($K1524="","",INDEX(Base!$H$5:$H$2004,$K1524))</f>
        <v/>
      </c>
      <c r="G1524" s="71" t="str">
        <f aca="false">IF($K1524="","",INDEX(Base!$I$5:$I$2004,$K1524))</f>
        <v/>
      </c>
      <c r="H1524" s="70" t="str">
        <f aca="false">IF($K1524="","",INDEX(Base!$J$5:$J$2004,$K1524))</f>
        <v/>
      </c>
      <c r="I1524" s="71" t="str">
        <f aca="false">IF($K1524="","",INDEX(Base!$L$5:$L$2004,$K1524))</f>
        <v/>
      </c>
      <c r="J1524" s="72" t="str">
        <f aca="false">IFERROR(SMALL(Base!$P$5:$P$2004,ROW()-5),"")</f>
        <v/>
      </c>
      <c r="K1524" s="72" t="str">
        <f aca="false">IF(J1524="","",MATCH(J1524,Base!$P$5:$P$2004,0))</f>
        <v/>
      </c>
    </row>
    <row r="1525" customFormat="false" ht="15" hidden="false" customHeight="false" outlineLevel="0" collapsed="false">
      <c r="A1525" s="67" t="str">
        <f aca="false">IF($K1525="","",ROW()-5)</f>
        <v/>
      </c>
      <c r="B1525" s="68" t="str">
        <f aca="false">IF($K1525="","",INDEX(Base!$E$5:$E$2004,$K1525))</f>
        <v/>
      </c>
      <c r="C1525" s="69" t="str">
        <f aca="false">IF($K1525="","",B1525)</f>
        <v/>
      </c>
      <c r="D1525" s="70" t="str">
        <f aca="false">IF($K1525="","",INDEX(Base!$F$5:$F$2004,$K1525))</f>
        <v/>
      </c>
      <c r="E1525" s="70" t="str">
        <f aca="false">IF($K1525="","",INDEX(Base!$G$5:$G$2004,$K1525))</f>
        <v/>
      </c>
      <c r="F1525" s="71" t="str">
        <f aca="false">IF($K1525="","",INDEX(Base!$H$5:$H$2004,$K1525))</f>
        <v/>
      </c>
      <c r="G1525" s="71" t="str">
        <f aca="false">IF($K1525="","",INDEX(Base!$I$5:$I$2004,$K1525))</f>
        <v/>
      </c>
      <c r="H1525" s="70" t="str">
        <f aca="false">IF($K1525="","",INDEX(Base!$J$5:$J$2004,$K1525))</f>
        <v/>
      </c>
      <c r="I1525" s="71" t="str">
        <f aca="false">IF($K1525="","",INDEX(Base!$L$5:$L$2004,$K1525))</f>
        <v/>
      </c>
      <c r="J1525" s="72" t="str">
        <f aca="false">IFERROR(SMALL(Base!$P$5:$P$2004,ROW()-5),"")</f>
        <v/>
      </c>
      <c r="K1525" s="72" t="str">
        <f aca="false">IF(J1525="","",MATCH(J1525,Base!$P$5:$P$2004,0))</f>
        <v/>
      </c>
    </row>
    <row r="1526" customFormat="false" ht="15" hidden="false" customHeight="false" outlineLevel="0" collapsed="false">
      <c r="A1526" s="67" t="str">
        <f aca="false">IF($K1526="","",ROW()-5)</f>
        <v/>
      </c>
      <c r="B1526" s="68" t="str">
        <f aca="false">IF($K1526="","",INDEX(Base!$E$5:$E$2004,$K1526))</f>
        <v/>
      </c>
      <c r="C1526" s="69" t="str">
        <f aca="false">IF($K1526="","",B1526)</f>
        <v/>
      </c>
      <c r="D1526" s="70" t="str">
        <f aca="false">IF($K1526="","",INDEX(Base!$F$5:$F$2004,$K1526))</f>
        <v/>
      </c>
      <c r="E1526" s="70" t="str">
        <f aca="false">IF($K1526="","",INDEX(Base!$G$5:$G$2004,$K1526))</f>
        <v/>
      </c>
      <c r="F1526" s="71" t="str">
        <f aca="false">IF($K1526="","",INDEX(Base!$H$5:$H$2004,$K1526))</f>
        <v/>
      </c>
      <c r="G1526" s="71" t="str">
        <f aca="false">IF($K1526="","",INDEX(Base!$I$5:$I$2004,$K1526))</f>
        <v/>
      </c>
      <c r="H1526" s="70" t="str">
        <f aca="false">IF($K1526="","",INDEX(Base!$J$5:$J$2004,$K1526))</f>
        <v/>
      </c>
      <c r="I1526" s="71" t="str">
        <f aca="false">IF($K1526="","",INDEX(Base!$L$5:$L$2004,$K1526))</f>
        <v/>
      </c>
      <c r="J1526" s="72" t="str">
        <f aca="false">IFERROR(SMALL(Base!$P$5:$P$2004,ROW()-5),"")</f>
        <v/>
      </c>
      <c r="K1526" s="72" t="str">
        <f aca="false">IF(J1526="","",MATCH(J1526,Base!$P$5:$P$2004,0))</f>
        <v/>
      </c>
    </row>
    <row r="1527" customFormat="false" ht="15" hidden="false" customHeight="false" outlineLevel="0" collapsed="false">
      <c r="A1527" s="67" t="str">
        <f aca="false">IF($K1527="","",ROW()-5)</f>
        <v/>
      </c>
      <c r="B1527" s="68" t="str">
        <f aca="false">IF($K1527="","",INDEX(Base!$E$5:$E$2004,$K1527))</f>
        <v/>
      </c>
      <c r="C1527" s="69" t="str">
        <f aca="false">IF($K1527="","",B1527)</f>
        <v/>
      </c>
      <c r="D1527" s="70" t="str">
        <f aca="false">IF($K1527="","",INDEX(Base!$F$5:$F$2004,$K1527))</f>
        <v/>
      </c>
      <c r="E1527" s="70" t="str">
        <f aca="false">IF($K1527="","",INDEX(Base!$G$5:$G$2004,$K1527))</f>
        <v/>
      </c>
      <c r="F1527" s="71" t="str">
        <f aca="false">IF($K1527="","",INDEX(Base!$H$5:$H$2004,$K1527))</f>
        <v/>
      </c>
      <c r="G1527" s="71" t="str">
        <f aca="false">IF($K1527="","",INDEX(Base!$I$5:$I$2004,$K1527))</f>
        <v/>
      </c>
      <c r="H1527" s="70" t="str">
        <f aca="false">IF($K1527="","",INDEX(Base!$J$5:$J$2004,$K1527))</f>
        <v/>
      </c>
      <c r="I1527" s="71" t="str">
        <f aca="false">IF($K1527="","",INDEX(Base!$L$5:$L$2004,$K1527))</f>
        <v/>
      </c>
      <c r="J1527" s="72" t="str">
        <f aca="false">IFERROR(SMALL(Base!$P$5:$P$2004,ROW()-5),"")</f>
        <v/>
      </c>
      <c r="K1527" s="72" t="str">
        <f aca="false">IF(J1527="","",MATCH(J1527,Base!$P$5:$P$2004,0))</f>
        <v/>
      </c>
    </row>
    <row r="1528" customFormat="false" ht="15" hidden="false" customHeight="false" outlineLevel="0" collapsed="false">
      <c r="A1528" s="67" t="str">
        <f aca="false">IF($K1528="","",ROW()-5)</f>
        <v/>
      </c>
      <c r="B1528" s="68" t="str">
        <f aca="false">IF($K1528="","",INDEX(Base!$E$5:$E$2004,$K1528))</f>
        <v/>
      </c>
      <c r="C1528" s="69" t="str">
        <f aca="false">IF($K1528="","",B1528)</f>
        <v/>
      </c>
      <c r="D1528" s="70" t="str">
        <f aca="false">IF($K1528="","",INDEX(Base!$F$5:$F$2004,$K1528))</f>
        <v/>
      </c>
      <c r="E1528" s="70" t="str">
        <f aca="false">IF($K1528="","",INDEX(Base!$G$5:$G$2004,$K1528))</f>
        <v/>
      </c>
      <c r="F1528" s="71" t="str">
        <f aca="false">IF($K1528="","",INDEX(Base!$H$5:$H$2004,$K1528))</f>
        <v/>
      </c>
      <c r="G1528" s="71" t="str">
        <f aca="false">IF($K1528="","",INDEX(Base!$I$5:$I$2004,$K1528))</f>
        <v/>
      </c>
      <c r="H1528" s="70" t="str">
        <f aca="false">IF($K1528="","",INDEX(Base!$J$5:$J$2004,$K1528))</f>
        <v/>
      </c>
      <c r="I1528" s="71" t="str">
        <f aca="false">IF($K1528="","",INDEX(Base!$L$5:$L$2004,$K1528))</f>
        <v/>
      </c>
      <c r="J1528" s="72" t="str">
        <f aca="false">IFERROR(SMALL(Base!$P$5:$P$2004,ROW()-5),"")</f>
        <v/>
      </c>
      <c r="K1528" s="72" t="str">
        <f aca="false">IF(J1528="","",MATCH(J1528,Base!$P$5:$P$2004,0))</f>
        <v/>
      </c>
    </row>
    <row r="1529" customFormat="false" ht="15" hidden="false" customHeight="false" outlineLevel="0" collapsed="false">
      <c r="A1529" s="67" t="str">
        <f aca="false">IF($K1529="","",ROW()-5)</f>
        <v/>
      </c>
      <c r="B1529" s="68" t="str">
        <f aca="false">IF($K1529="","",INDEX(Base!$E$5:$E$2004,$K1529))</f>
        <v/>
      </c>
      <c r="C1529" s="69" t="str">
        <f aca="false">IF($K1529="","",B1529)</f>
        <v/>
      </c>
      <c r="D1529" s="70" t="str">
        <f aca="false">IF($K1529="","",INDEX(Base!$F$5:$F$2004,$K1529))</f>
        <v/>
      </c>
      <c r="E1529" s="70" t="str">
        <f aca="false">IF($K1529="","",INDEX(Base!$G$5:$G$2004,$K1529))</f>
        <v/>
      </c>
      <c r="F1529" s="71" t="str">
        <f aca="false">IF($K1529="","",INDEX(Base!$H$5:$H$2004,$K1529))</f>
        <v/>
      </c>
      <c r="G1529" s="71" t="str">
        <f aca="false">IF($K1529="","",INDEX(Base!$I$5:$I$2004,$K1529))</f>
        <v/>
      </c>
      <c r="H1529" s="70" t="str">
        <f aca="false">IF($K1529="","",INDEX(Base!$J$5:$J$2004,$K1529))</f>
        <v/>
      </c>
      <c r="I1529" s="71" t="str">
        <f aca="false">IF($K1529="","",INDEX(Base!$L$5:$L$2004,$K1529))</f>
        <v/>
      </c>
      <c r="J1529" s="72" t="str">
        <f aca="false">IFERROR(SMALL(Base!$P$5:$P$2004,ROW()-5),"")</f>
        <v/>
      </c>
      <c r="K1529" s="72" t="str">
        <f aca="false">IF(J1529="","",MATCH(J1529,Base!$P$5:$P$2004,0))</f>
        <v/>
      </c>
    </row>
    <row r="1530" customFormat="false" ht="15" hidden="false" customHeight="false" outlineLevel="0" collapsed="false">
      <c r="A1530" s="67" t="str">
        <f aca="false">IF($K1530="","",ROW()-5)</f>
        <v/>
      </c>
      <c r="B1530" s="68" t="str">
        <f aca="false">IF($K1530="","",INDEX(Base!$E$5:$E$2004,$K1530))</f>
        <v/>
      </c>
      <c r="C1530" s="69" t="str">
        <f aca="false">IF($K1530="","",B1530)</f>
        <v/>
      </c>
      <c r="D1530" s="70" t="str">
        <f aca="false">IF($K1530="","",INDEX(Base!$F$5:$F$2004,$K1530))</f>
        <v/>
      </c>
      <c r="E1530" s="70" t="str">
        <f aca="false">IF($K1530="","",INDEX(Base!$G$5:$G$2004,$K1530))</f>
        <v/>
      </c>
      <c r="F1530" s="71" t="str">
        <f aca="false">IF($K1530="","",INDEX(Base!$H$5:$H$2004,$K1530))</f>
        <v/>
      </c>
      <c r="G1530" s="71" t="str">
        <f aca="false">IF($K1530="","",INDEX(Base!$I$5:$I$2004,$K1530))</f>
        <v/>
      </c>
      <c r="H1530" s="70" t="str">
        <f aca="false">IF($K1530="","",INDEX(Base!$J$5:$J$2004,$K1530))</f>
        <v/>
      </c>
      <c r="I1530" s="71" t="str">
        <f aca="false">IF($K1530="","",INDEX(Base!$L$5:$L$2004,$K1530))</f>
        <v/>
      </c>
      <c r="J1530" s="72" t="str">
        <f aca="false">IFERROR(SMALL(Base!$P$5:$P$2004,ROW()-5),"")</f>
        <v/>
      </c>
      <c r="K1530" s="72" t="str">
        <f aca="false">IF(J1530="","",MATCH(J1530,Base!$P$5:$P$2004,0))</f>
        <v/>
      </c>
    </row>
    <row r="1531" customFormat="false" ht="15" hidden="false" customHeight="false" outlineLevel="0" collapsed="false">
      <c r="A1531" s="67" t="str">
        <f aca="false">IF($K1531="","",ROW()-5)</f>
        <v/>
      </c>
      <c r="B1531" s="68" t="str">
        <f aca="false">IF($K1531="","",INDEX(Base!$E$5:$E$2004,$K1531))</f>
        <v/>
      </c>
      <c r="C1531" s="69" t="str">
        <f aca="false">IF($K1531="","",B1531)</f>
        <v/>
      </c>
      <c r="D1531" s="70" t="str">
        <f aca="false">IF($K1531="","",INDEX(Base!$F$5:$F$2004,$K1531))</f>
        <v/>
      </c>
      <c r="E1531" s="70" t="str">
        <f aca="false">IF($K1531="","",INDEX(Base!$G$5:$G$2004,$K1531))</f>
        <v/>
      </c>
      <c r="F1531" s="71" t="str">
        <f aca="false">IF($K1531="","",INDEX(Base!$H$5:$H$2004,$K1531))</f>
        <v/>
      </c>
      <c r="G1531" s="71" t="str">
        <f aca="false">IF($K1531="","",INDEX(Base!$I$5:$I$2004,$K1531))</f>
        <v/>
      </c>
      <c r="H1531" s="70" t="str">
        <f aca="false">IF($K1531="","",INDEX(Base!$J$5:$J$2004,$K1531))</f>
        <v/>
      </c>
      <c r="I1531" s="71" t="str">
        <f aca="false">IF($K1531="","",INDEX(Base!$L$5:$L$2004,$K1531))</f>
        <v/>
      </c>
      <c r="J1531" s="72" t="str">
        <f aca="false">IFERROR(SMALL(Base!$P$5:$P$2004,ROW()-5),"")</f>
        <v/>
      </c>
      <c r="K1531" s="72" t="str">
        <f aca="false">IF(J1531="","",MATCH(J1531,Base!$P$5:$P$2004,0))</f>
        <v/>
      </c>
    </row>
    <row r="1532" customFormat="false" ht="15" hidden="false" customHeight="false" outlineLevel="0" collapsed="false">
      <c r="A1532" s="67" t="str">
        <f aca="false">IF($K1532="","",ROW()-5)</f>
        <v/>
      </c>
      <c r="B1532" s="68" t="str">
        <f aca="false">IF($K1532="","",INDEX(Base!$E$5:$E$2004,$K1532))</f>
        <v/>
      </c>
      <c r="C1532" s="69" t="str">
        <f aca="false">IF($K1532="","",B1532)</f>
        <v/>
      </c>
      <c r="D1532" s="70" t="str">
        <f aca="false">IF($K1532="","",INDEX(Base!$F$5:$F$2004,$K1532))</f>
        <v/>
      </c>
      <c r="E1532" s="70" t="str">
        <f aca="false">IF($K1532="","",INDEX(Base!$G$5:$G$2004,$K1532))</f>
        <v/>
      </c>
      <c r="F1532" s="71" t="str">
        <f aca="false">IF($K1532="","",INDEX(Base!$H$5:$H$2004,$K1532))</f>
        <v/>
      </c>
      <c r="G1532" s="71" t="str">
        <f aca="false">IF($K1532="","",INDEX(Base!$I$5:$I$2004,$K1532))</f>
        <v/>
      </c>
      <c r="H1532" s="70" t="str">
        <f aca="false">IF($K1532="","",INDEX(Base!$J$5:$J$2004,$K1532))</f>
        <v/>
      </c>
      <c r="I1532" s="71" t="str">
        <f aca="false">IF($K1532="","",INDEX(Base!$L$5:$L$2004,$K1532))</f>
        <v/>
      </c>
      <c r="J1532" s="72" t="str">
        <f aca="false">IFERROR(SMALL(Base!$P$5:$P$2004,ROW()-5),"")</f>
        <v/>
      </c>
      <c r="K1532" s="72" t="str">
        <f aca="false">IF(J1532="","",MATCH(J1532,Base!$P$5:$P$2004,0))</f>
        <v/>
      </c>
    </row>
    <row r="1533" customFormat="false" ht="15" hidden="false" customHeight="false" outlineLevel="0" collapsed="false">
      <c r="A1533" s="67" t="str">
        <f aca="false">IF($K1533="","",ROW()-5)</f>
        <v/>
      </c>
      <c r="B1533" s="68" t="str">
        <f aca="false">IF($K1533="","",INDEX(Base!$E$5:$E$2004,$K1533))</f>
        <v/>
      </c>
      <c r="C1533" s="69" t="str">
        <f aca="false">IF($K1533="","",B1533)</f>
        <v/>
      </c>
      <c r="D1533" s="70" t="str">
        <f aca="false">IF($K1533="","",INDEX(Base!$F$5:$F$2004,$K1533))</f>
        <v/>
      </c>
      <c r="E1533" s="70" t="str">
        <f aca="false">IF($K1533="","",INDEX(Base!$G$5:$G$2004,$K1533))</f>
        <v/>
      </c>
      <c r="F1533" s="71" t="str">
        <f aca="false">IF($K1533="","",INDEX(Base!$H$5:$H$2004,$K1533))</f>
        <v/>
      </c>
      <c r="G1533" s="71" t="str">
        <f aca="false">IF($K1533="","",INDEX(Base!$I$5:$I$2004,$K1533))</f>
        <v/>
      </c>
      <c r="H1533" s="70" t="str">
        <f aca="false">IF($K1533="","",INDEX(Base!$J$5:$J$2004,$K1533))</f>
        <v/>
      </c>
      <c r="I1533" s="71" t="str">
        <f aca="false">IF($K1533="","",INDEX(Base!$L$5:$L$2004,$K1533))</f>
        <v/>
      </c>
      <c r="J1533" s="72" t="str">
        <f aca="false">IFERROR(SMALL(Base!$P$5:$P$2004,ROW()-5),"")</f>
        <v/>
      </c>
      <c r="K1533" s="72" t="str">
        <f aca="false">IF(J1533="","",MATCH(J1533,Base!$P$5:$P$2004,0))</f>
        <v/>
      </c>
    </row>
    <row r="1534" customFormat="false" ht="15" hidden="false" customHeight="false" outlineLevel="0" collapsed="false">
      <c r="A1534" s="67" t="str">
        <f aca="false">IF($K1534="","",ROW()-5)</f>
        <v/>
      </c>
      <c r="B1534" s="68" t="str">
        <f aca="false">IF($K1534="","",INDEX(Base!$E$5:$E$2004,$K1534))</f>
        <v/>
      </c>
      <c r="C1534" s="69" t="str">
        <f aca="false">IF($K1534="","",B1534)</f>
        <v/>
      </c>
      <c r="D1534" s="70" t="str">
        <f aca="false">IF($K1534="","",INDEX(Base!$F$5:$F$2004,$K1534))</f>
        <v/>
      </c>
      <c r="E1534" s="70" t="str">
        <f aca="false">IF($K1534="","",INDEX(Base!$G$5:$G$2004,$K1534))</f>
        <v/>
      </c>
      <c r="F1534" s="71" t="str">
        <f aca="false">IF($K1534="","",INDEX(Base!$H$5:$H$2004,$K1534))</f>
        <v/>
      </c>
      <c r="G1534" s="71" t="str">
        <f aca="false">IF($K1534="","",INDEX(Base!$I$5:$I$2004,$K1534))</f>
        <v/>
      </c>
      <c r="H1534" s="70" t="str">
        <f aca="false">IF($K1534="","",INDEX(Base!$J$5:$J$2004,$K1534))</f>
        <v/>
      </c>
      <c r="I1534" s="71" t="str">
        <f aca="false">IF($K1534="","",INDEX(Base!$L$5:$L$2004,$K1534))</f>
        <v/>
      </c>
      <c r="J1534" s="72" t="str">
        <f aca="false">IFERROR(SMALL(Base!$P$5:$P$2004,ROW()-5),"")</f>
        <v/>
      </c>
      <c r="K1534" s="72" t="str">
        <f aca="false">IF(J1534="","",MATCH(J1534,Base!$P$5:$P$2004,0))</f>
        <v/>
      </c>
    </row>
    <row r="1535" customFormat="false" ht="15" hidden="false" customHeight="false" outlineLevel="0" collapsed="false">
      <c r="A1535" s="67" t="str">
        <f aca="false">IF($K1535="","",ROW()-5)</f>
        <v/>
      </c>
      <c r="B1535" s="68" t="str">
        <f aca="false">IF($K1535="","",INDEX(Base!$E$5:$E$2004,$K1535))</f>
        <v/>
      </c>
      <c r="C1535" s="69" t="str">
        <f aca="false">IF($K1535="","",B1535)</f>
        <v/>
      </c>
      <c r="D1535" s="70" t="str">
        <f aca="false">IF($K1535="","",INDEX(Base!$F$5:$F$2004,$K1535))</f>
        <v/>
      </c>
      <c r="E1535" s="70" t="str">
        <f aca="false">IF($K1535="","",INDEX(Base!$G$5:$G$2004,$K1535))</f>
        <v/>
      </c>
      <c r="F1535" s="71" t="str">
        <f aca="false">IF($K1535="","",INDEX(Base!$H$5:$H$2004,$K1535))</f>
        <v/>
      </c>
      <c r="G1535" s="71" t="str">
        <f aca="false">IF($K1535="","",INDEX(Base!$I$5:$I$2004,$K1535))</f>
        <v/>
      </c>
      <c r="H1535" s="70" t="str">
        <f aca="false">IF($K1535="","",INDEX(Base!$J$5:$J$2004,$K1535))</f>
        <v/>
      </c>
      <c r="I1535" s="71" t="str">
        <f aca="false">IF($K1535="","",INDEX(Base!$L$5:$L$2004,$K1535))</f>
        <v/>
      </c>
      <c r="J1535" s="72" t="str">
        <f aca="false">IFERROR(SMALL(Base!$P$5:$P$2004,ROW()-5),"")</f>
        <v/>
      </c>
      <c r="K1535" s="72" t="str">
        <f aca="false">IF(J1535="","",MATCH(J1535,Base!$P$5:$P$2004,0))</f>
        <v/>
      </c>
    </row>
    <row r="1536" customFormat="false" ht="15" hidden="false" customHeight="false" outlineLevel="0" collapsed="false">
      <c r="A1536" s="67" t="str">
        <f aca="false">IF($K1536="","",ROW()-5)</f>
        <v/>
      </c>
      <c r="B1536" s="68" t="str">
        <f aca="false">IF($K1536="","",INDEX(Base!$E$5:$E$2004,$K1536))</f>
        <v/>
      </c>
      <c r="C1536" s="69" t="str">
        <f aca="false">IF($K1536="","",B1536)</f>
        <v/>
      </c>
      <c r="D1536" s="70" t="str">
        <f aca="false">IF($K1536="","",INDEX(Base!$F$5:$F$2004,$K1536))</f>
        <v/>
      </c>
      <c r="E1536" s="70" t="str">
        <f aca="false">IF($K1536="","",INDEX(Base!$G$5:$G$2004,$K1536))</f>
        <v/>
      </c>
      <c r="F1536" s="71" t="str">
        <f aca="false">IF($K1536="","",INDEX(Base!$H$5:$H$2004,$K1536))</f>
        <v/>
      </c>
      <c r="G1536" s="71" t="str">
        <f aca="false">IF($K1536="","",INDEX(Base!$I$5:$I$2004,$K1536))</f>
        <v/>
      </c>
      <c r="H1536" s="70" t="str">
        <f aca="false">IF($K1536="","",INDEX(Base!$J$5:$J$2004,$K1536))</f>
        <v/>
      </c>
      <c r="I1536" s="71" t="str">
        <f aca="false">IF($K1536="","",INDEX(Base!$L$5:$L$2004,$K1536))</f>
        <v/>
      </c>
      <c r="J1536" s="72" t="str">
        <f aca="false">IFERROR(SMALL(Base!$P$5:$P$2004,ROW()-5),"")</f>
        <v/>
      </c>
      <c r="K1536" s="72" t="str">
        <f aca="false">IF(J1536="","",MATCH(J1536,Base!$P$5:$P$2004,0))</f>
        <v/>
      </c>
    </row>
    <row r="1537" customFormat="false" ht="15" hidden="false" customHeight="false" outlineLevel="0" collapsed="false">
      <c r="A1537" s="67" t="str">
        <f aca="false">IF($K1537="","",ROW()-5)</f>
        <v/>
      </c>
      <c r="B1537" s="68" t="str">
        <f aca="false">IF($K1537="","",INDEX(Base!$E$5:$E$2004,$K1537))</f>
        <v/>
      </c>
      <c r="C1537" s="69" t="str">
        <f aca="false">IF($K1537="","",B1537)</f>
        <v/>
      </c>
      <c r="D1537" s="70" t="str">
        <f aca="false">IF($K1537="","",INDEX(Base!$F$5:$F$2004,$K1537))</f>
        <v/>
      </c>
      <c r="E1537" s="70" t="str">
        <f aca="false">IF($K1537="","",INDEX(Base!$G$5:$G$2004,$K1537))</f>
        <v/>
      </c>
      <c r="F1537" s="71" t="str">
        <f aca="false">IF($K1537="","",INDEX(Base!$H$5:$H$2004,$K1537))</f>
        <v/>
      </c>
      <c r="G1537" s="71" t="str">
        <f aca="false">IF($K1537="","",INDEX(Base!$I$5:$I$2004,$K1537))</f>
        <v/>
      </c>
      <c r="H1537" s="70" t="str">
        <f aca="false">IF($K1537="","",INDEX(Base!$J$5:$J$2004,$K1537))</f>
        <v/>
      </c>
      <c r="I1537" s="71" t="str">
        <f aca="false">IF($K1537="","",INDEX(Base!$L$5:$L$2004,$K1537))</f>
        <v/>
      </c>
      <c r="J1537" s="72" t="str">
        <f aca="false">IFERROR(SMALL(Base!$P$5:$P$2004,ROW()-5),"")</f>
        <v/>
      </c>
      <c r="K1537" s="72" t="str">
        <f aca="false">IF(J1537="","",MATCH(J1537,Base!$P$5:$P$2004,0))</f>
        <v/>
      </c>
    </row>
    <row r="1538" customFormat="false" ht="15" hidden="false" customHeight="false" outlineLevel="0" collapsed="false">
      <c r="A1538" s="67" t="str">
        <f aca="false">IF($K1538="","",ROW()-5)</f>
        <v/>
      </c>
      <c r="B1538" s="68" t="str">
        <f aca="false">IF($K1538="","",INDEX(Base!$E$5:$E$2004,$K1538))</f>
        <v/>
      </c>
      <c r="C1538" s="69" t="str">
        <f aca="false">IF($K1538="","",B1538)</f>
        <v/>
      </c>
      <c r="D1538" s="70" t="str">
        <f aca="false">IF($K1538="","",INDEX(Base!$F$5:$F$2004,$K1538))</f>
        <v/>
      </c>
      <c r="E1538" s="70" t="str">
        <f aca="false">IF($K1538="","",INDEX(Base!$G$5:$G$2004,$K1538))</f>
        <v/>
      </c>
      <c r="F1538" s="71" t="str">
        <f aca="false">IF($K1538="","",INDEX(Base!$H$5:$H$2004,$K1538))</f>
        <v/>
      </c>
      <c r="G1538" s="71" t="str">
        <f aca="false">IF($K1538="","",INDEX(Base!$I$5:$I$2004,$K1538))</f>
        <v/>
      </c>
      <c r="H1538" s="70" t="str">
        <f aca="false">IF($K1538="","",INDEX(Base!$J$5:$J$2004,$K1538))</f>
        <v/>
      </c>
      <c r="I1538" s="71" t="str">
        <f aca="false">IF($K1538="","",INDEX(Base!$L$5:$L$2004,$K1538))</f>
        <v/>
      </c>
      <c r="J1538" s="72" t="str">
        <f aca="false">IFERROR(SMALL(Base!$P$5:$P$2004,ROW()-5),"")</f>
        <v/>
      </c>
      <c r="K1538" s="72" t="str">
        <f aca="false">IF(J1538="","",MATCH(J1538,Base!$P$5:$P$2004,0))</f>
        <v/>
      </c>
    </row>
    <row r="1539" customFormat="false" ht="15" hidden="false" customHeight="false" outlineLevel="0" collapsed="false">
      <c r="A1539" s="67" t="str">
        <f aca="false">IF($K1539="","",ROW()-5)</f>
        <v/>
      </c>
      <c r="B1539" s="68" t="str">
        <f aca="false">IF($K1539="","",INDEX(Base!$E$5:$E$2004,$K1539))</f>
        <v/>
      </c>
      <c r="C1539" s="69" t="str">
        <f aca="false">IF($K1539="","",B1539)</f>
        <v/>
      </c>
      <c r="D1539" s="70" t="str">
        <f aca="false">IF($K1539="","",INDEX(Base!$F$5:$F$2004,$K1539))</f>
        <v/>
      </c>
      <c r="E1539" s="70" t="str">
        <f aca="false">IF($K1539="","",INDEX(Base!$G$5:$G$2004,$K1539))</f>
        <v/>
      </c>
      <c r="F1539" s="71" t="str">
        <f aca="false">IF($K1539="","",INDEX(Base!$H$5:$H$2004,$K1539))</f>
        <v/>
      </c>
      <c r="G1539" s="71" t="str">
        <f aca="false">IF($K1539="","",INDEX(Base!$I$5:$I$2004,$K1539))</f>
        <v/>
      </c>
      <c r="H1539" s="70" t="str">
        <f aca="false">IF($K1539="","",INDEX(Base!$J$5:$J$2004,$K1539))</f>
        <v/>
      </c>
      <c r="I1539" s="71" t="str">
        <f aca="false">IF($K1539="","",INDEX(Base!$L$5:$L$2004,$K1539))</f>
        <v/>
      </c>
      <c r="J1539" s="72" t="str">
        <f aca="false">IFERROR(SMALL(Base!$P$5:$P$2004,ROW()-5),"")</f>
        <v/>
      </c>
      <c r="K1539" s="72" t="str">
        <f aca="false">IF(J1539="","",MATCH(J1539,Base!$P$5:$P$2004,0))</f>
        <v/>
      </c>
    </row>
    <row r="1540" customFormat="false" ht="15" hidden="false" customHeight="false" outlineLevel="0" collapsed="false">
      <c r="A1540" s="67" t="str">
        <f aca="false">IF($K1540="","",ROW()-5)</f>
        <v/>
      </c>
      <c r="B1540" s="68" t="str">
        <f aca="false">IF($K1540="","",INDEX(Base!$E$5:$E$2004,$K1540))</f>
        <v/>
      </c>
      <c r="C1540" s="69" t="str">
        <f aca="false">IF($K1540="","",B1540)</f>
        <v/>
      </c>
      <c r="D1540" s="70" t="str">
        <f aca="false">IF($K1540="","",INDEX(Base!$F$5:$F$2004,$K1540))</f>
        <v/>
      </c>
      <c r="E1540" s="70" t="str">
        <f aca="false">IF($K1540="","",INDEX(Base!$G$5:$G$2004,$K1540))</f>
        <v/>
      </c>
      <c r="F1540" s="71" t="str">
        <f aca="false">IF($K1540="","",INDEX(Base!$H$5:$H$2004,$K1540))</f>
        <v/>
      </c>
      <c r="G1540" s="71" t="str">
        <f aca="false">IF($K1540="","",INDEX(Base!$I$5:$I$2004,$K1540))</f>
        <v/>
      </c>
      <c r="H1540" s="70" t="str">
        <f aca="false">IF($K1540="","",INDEX(Base!$J$5:$J$2004,$K1540))</f>
        <v/>
      </c>
      <c r="I1540" s="71" t="str">
        <f aca="false">IF($K1540="","",INDEX(Base!$L$5:$L$2004,$K1540))</f>
        <v/>
      </c>
      <c r="J1540" s="72" t="str">
        <f aca="false">IFERROR(SMALL(Base!$P$5:$P$2004,ROW()-5),"")</f>
        <v/>
      </c>
      <c r="K1540" s="72" t="str">
        <f aca="false">IF(J1540="","",MATCH(J1540,Base!$P$5:$P$2004,0))</f>
        <v/>
      </c>
    </row>
    <row r="1541" customFormat="false" ht="15" hidden="false" customHeight="false" outlineLevel="0" collapsed="false">
      <c r="A1541" s="67" t="str">
        <f aca="false">IF($K1541="","",ROW()-5)</f>
        <v/>
      </c>
      <c r="B1541" s="68" t="str">
        <f aca="false">IF($K1541="","",INDEX(Base!$E$5:$E$2004,$K1541))</f>
        <v/>
      </c>
      <c r="C1541" s="69" t="str">
        <f aca="false">IF($K1541="","",B1541)</f>
        <v/>
      </c>
      <c r="D1541" s="70" t="str">
        <f aca="false">IF($K1541="","",INDEX(Base!$F$5:$F$2004,$K1541))</f>
        <v/>
      </c>
      <c r="E1541" s="70" t="str">
        <f aca="false">IF($K1541="","",INDEX(Base!$G$5:$G$2004,$K1541))</f>
        <v/>
      </c>
      <c r="F1541" s="71" t="str">
        <f aca="false">IF($K1541="","",INDEX(Base!$H$5:$H$2004,$K1541))</f>
        <v/>
      </c>
      <c r="G1541" s="71" t="str">
        <f aca="false">IF($K1541="","",INDEX(Base!$I$5:$I$2004,$K1541))</f>
        <v/>
      </c>
      <c r="H1541" s="70" t="str">
        <f aca="false">IF($K1541="","",INDEX(Base!$J$5:$J$2004,$K1541))</f>
        <v/>
      </c>
      <c r="I1541" s="71" t="str">
        <f aca="false">IF($K1541="","",INDEX(Base!$L$5:$L$2004,$K1541))</f>
        <v/>
      </c>
      <c r="J1541" s="72" t="str">
        <f aca="false">IFERROR(SMALL(Base!$P$5:$P$2004,ROW()-5),"")</f>
        <v/>
      </c>
      <c r="K1541" s="72" t="str">
        <f aca="false">IF(J1541="","",MATCH(J1541,Base!$P$5:$P$2004,0))</f>
        <v/>
      </c>
    </row>
    <row r="1542" customFormat="false" ht="15" hidden="false" customHeight="false" outlineLevel="0" collapsed="false">
      <c r="A1542" s="67" t="str">
        <f aca="false">IF($K1542="","",ROW()-5)</f>
        <v/>
      </c>
      <c r="B1542" s="68" t="str">
        <f aca="false">IF($K1542="","",INDEX(Base!$E$5:$E$2004,$K1542))</f>
        <v/>
      </c>
      <c r="C1542" s="69" t="str">
        <f aca="false">IF($K1542="","",B1542)</f>
        <v/>
      </c>
      <c r="D1542" s="70" t="str">
        <f aca="false">IF($K1542="","",INDEX(Base!$F$5:$F$2004,$K1542))</f>
        <v/>
      </c>
      <c r="E1542" s="70" t="str">
        <f aca="false">IF($K1542="","",INDEX(Base!$G$5:$G$2004,$K1542))</f>
        <v/>
      </c>
      <c r="F1542" s="71" t="str">
        <f aca="false">IF($K1542="","",INDEX(Base!$H$5:$H$2004,$K1542))</f>
        <v/>
      </c>
      <c r="G1542" s="71" t="str">
        <f aca="false">IF($K1542="","",INDEX(Base!$I$5:$I$2004,$K1542))</f>
        <v/>
      </c>
      <c r="H1542" s="70" t="str">
        <f aca="false">IF($K1542="","",INDEX(Base!$J$5:$J$2004,$K1542))</f>
        <v/>
      </c>
      <c r="I1542" s="71" t="str">
        <f aca="false">IF($K1542="","",INDEX(Base!$L$5:$L$2004,$K1542))</f>
        <v/>
      </c>
      <c r="J1542" s="72" t="str">
        <f aca="false">IFERROR(SMALL(Base!$P$5:$P$2004,ROW()-5),"")</f>
        <v/>
      </c>
      <c r="K1542" s="72" t="str">
        <f aca="false">IF(J1542="","",MATCH(J1542,Base!$P$5:$P$2004,0))</f>
        <v/>
      </c>
    </row>
    <row r="1543" customFormat="false" ht="15" hidden="false" customHeight="false" outlineLevel="0" collapsed="false">
      <c r="A1543" s="67" t="str">
        <f aca="false">IF($K1543="","",ROW()-5)</f>
        <v/>
      </c>
      <c r="B1543" s="68" t="str">
        <f aca="false">IF($K1543="","",INDEX(Base!$E$5:$E$2004,$K1543))</f>
        <v/>
      </c>
      <c r="C1543" s="69" t="str">
        <f aca="false">IF($K1543="","",B1543)</f>
        <v/>
      </c>
      <c r="D1543" s="70" t="str">
        <f aca="false">IF($K1543="","",INDEX(Base!$F$5:$F$2004,$K1543))</f>
        <v/>
      </c>
      <c r="E1543" s="70" t="str">
        <f aca="false">IF($K1543="","",INDEX(Base!$G$5:$G$2004,$K1543))</f>
        <v/>
      </c>
      <c r="F1543" s="71" t="str">
        <f aca="false">IF($K1543="","",INDEX(Base!$H$5:$H$2004,$K1543))</f>
        <v/>
      </c>
      <c r="G1543" s="71" t="str">
        <f aca="false">IF($K1543="","",INDEX(Base!$I$5:$I$2004,$K1543))</f>
        <v/>
      </c>
      <c r="H1543" s="70" t="str">
        <f aca="false">IF($K1543="","",INDEX(Base!$J$5:$J$2004,$K1543))</f>
        <v/>
      </c>
      <c r="I1543" s="71" t="str">
        <f aca="false">IF($K1543="","",INDEX(Base!$L$5:$L$2004,$K1543))</f>
        <v/>
      </c>
      <c r="J1543" s="72" t="str">
        <f aca="false">IFERROR(SMALL(Base!$P$5:$P$2004,ROW()-5),"")</f>
        <v/>
      </c>
      <c r="K1543" s="72" t="str">
        <f aca="false">IF(J1543="","",MATCH(J1543,Base!$P$5:$P$2004,0))</f>
        <v/>
      </c>
    </row>
    <row r="1544" customFormat="false" ht="15" hidden="false" customHeight="false" outlineLevel="0" collapsed="false">
      <c r="A1544" s="67" t="str">
        <f aca="false">IF($K1544="","",ROW()-5)</f>
        <v/>
      </c>
      <c r="B1544" s="68" t="str">
        <f aca="false">IF($K1544="","",INDEX(Base!$E$5:$E$2004,$K1544))</f>
        <v/>
      </c>
      <c r="C1544" s="69" t="str">
        <f aca="false">IF($K1544="","",B1544)</f>
        <v/>
      </c>
      <c r="D1544" s="70" t="str">
        <f aca="false">IF($K1544="","",INDEX(Base!$F$5:$F$2004,$K1544))</f>
        <v/>
      </c>
      <c r="E1544" s="70" t="str">
        <f aca="false">IF($K1544="","",INDEX(Base!$G$5:$G$2004,$K1544))</f>
        <v/>
      </c>
      <c r="F1544" s="71" t="str">
        <f aca="false">IF($K1544="","",INDEX(Base!$H$5:$H$2004,$K1544))</f>
        <v/>
      </c>
      <c r="G1544" s="71" t="str">
        <f aca="false">IF($K1544="","",INDEX(Base!$I$5:$I$2004,$K1544))</f>
        <v/>
      </c>
      <c r="H1544" s="70" t="str">
        <f aca="false">IF($K1544="","",INDEX(Base!$J$5:$J$2004,$K1544))</f>
        <v/>
      </c>
      <c r="I1544" s="71" t="str">
        <f aca="false">IF($K1544="","",INDEX(Base!$L$5:$L$2004,$K1544))</f>
        <v/>
      </c>
      <c r="J1544" s="72" t="str">
        <f aca="false">IFERROR(SMALL(Base!$P$5:$P$2004,ROW()-5),"")</f>
        <v/>
      </c>
      <c r="K1544" s="72" t="str">
        <f aca="false">IF(J1544="","",MATCH(J1544,Base!$P$5:$P$2004,0))</f>
        <v/>
      </c>
    </row>
    <row r="1545" customFormat="false" ht="15" hidden="false" customHeight="false" outlineLevel="0" collapsed="false">
      <c r="A1545" s="67" t="str">
        <f aca="false">IF($K1545="","",ROW()-5)</f>
        <v/>
      </c>
      <c r="B1545" s="68" t="str">
        <f aca="false">IF($K1545="","",INDEX(Base!$E$5:$E$2004,$K1545))</f>
        <v/>
      </c>
      <c r="C1545" s="69" t="str">
        <f aca="false">IF($K1545="","",B1545)</f>
        <v/>
      </c>
      <c r="D1545" s="70" t="str">
        <f aca="false">IF($K1545="","",INDEX(Base!$F$5:$F$2004,$K1545))</f>
        <v/>
      </c>
      <c r="E1545" s="70" t="str">
        <f aca="false">IF($K1545="","",INDEX(Base!$G$5:$G$2004,$K1545))</f>
        <v/>
      </c>
      <c r="F1545" s="71" t="str">
        <f aca="false">IF($K1545="","",INDEX(Base!$H$5:$H$2004,$K1545))</f>
        <v/>
      </c>
      <c r="G1545" s="71" t="str">
        <f aca="false">IF($K1545="","",INDEX(Base!$I$5:$I$2004,$K1545))</f>
        <v/>
      </c>
      <c r="H1545" s="70" t="str">
        <f aca="false">IF($K1545="","",INDEX(Base!$J$5:$J$2004,$K1545))</f>
        <v/>
      </c>
      <c r="I1545" s="71" t="str">
        <f aca="false">IF($K1545="","",INDEX(Base!$L$5:$L$2004,$K1545))</f>
        <v/>
      </c>
      <c r="J1545" s="72" t="str">
        <f aca="false">IFERROR(SMALL(Base!$P$5:$P$2004,ROW()-5),"")</f>
        <v/>
      </c>
      <c r="K1545" s="72" t="str">
        <f aca="false">IF(J1545="","",MATCH(J1545,Base!$P$5:$P$2004,0))</f>
        <v/>
      </c>
    </row>
    <row r="1546" customFormat="false" ht="15" hidden="false" customHeight="false" outlineLevel="0" collapsed="false">
      <c r="A1546" s="67" t="str">
        <f aca="false">IF($K1546="","",ROW()-5)</f>
        <v/>
      </c>
      <c r="B1546" s="68" t="str">
        <f aca="false">IF($K1546="","",INDEX(Base!$E$5:$E$2004,$K1546))</f>
        <v/>
      </c>
      <c r="C1546" s="69" t="str">
        <f aca="false">IF($K1546="","",B1546)</f>
        <v/>
      </c>
      <c r="D1546" s="70" t="str">
        <f aca="false">IF($K1546="","",INDEX(Base!$F$5:$F$2004,$K1546))</f>
        <v/>
      </c>
      <c r="E1546" s="70" t="str">
        <f aca="false">IF($K1546="","",INDEX(Base!$G$5:$G$2004,$K1546))</f>
        <v/>
      </c>
      <c r="F1546" s="71" t="str">
        <f aca="false">IF($K1546="","",INDEX(Base!$H$5:$H$2004,$K1546))</f>
        <v/>
      </c>
      <c r="G1546" s="71" t="str">
        <f aca="false">IF($K1546="","",INDEX(Base!$I$5:$I$2004,$K1546))</f>
        <v/>
      </c>
      <c r="H1546" s="70" t="str">
        <f aca="false">IF($K1546="","",INDEX(Base!$J$5:$J$2004,$K1546))</f>
        <v/>
      </c>
      <c r="I1546" s="71" t="str">
        <f aca="false">IF($K1546="","",INDEX(Base!$L$5:$L$2004,$K1546))</f>
        <v/>
      </c>
      <c r="J1546" s="72" t="str">
        <f aca="false">IFERROR(SMALL(Base!$P$5:$P$2004,ROW()-5),"")</f>
        <v/>
      </c>
      <c r="K1546" s="72" t="str">
        <f aca="false">IF(J1546="","",MATCH(J1546,Base!$P$5:$P$2004,0))</f>
        <v/>
      </c>
    </row>
    <row r="1547" customFormat="false" ht="15" hidden="false" customHeight="false" outlineLevel="0" collapsed="false">
      <c r="A1547" s="67" t="str">
        <f aca="false">IF($K1547="","",ROW()-5)</f>
        <v/>
      </c>
      <c r="B1547" s="68" t="str">
        <f aca="false">IF($K1547="","",INDEX(Base!$E$5:$E$2004,$K1547))</f>
        <v/>
      </c>
      <c r="C1547" s="69" t="str">
        <f aca="false">IF($K1547="","",B1547)</f>
        <v/>
      </c>
      <c r="D1547" s="70" t="str">
        <f aca="false">IF($K1547="","",INDEX(Base!$F$5:$F$2004,$K1547))</f>
        <v/>
      </c>
      <c r="E1547" s="70" t="str">
        <f aca="false">IF($K1547="","",INDEX(Base!$G$5:$G$2004,$K1547))</f>
        <v/>
      </c>
      <c r="F1547" s="71" t="str">
        <f aca="false">IF($K1547="","",INDEX(Base!$H$5:$H$2004,$K1547))</f>
        <v/>
      </c>
      <c r="G1547" s="71" t="str">
        <f aca="false">IF($K1547="","",INDEX(Base!$I$5:$I$2004,$K1547))</f>
        <v/>
      </c>
      <c r="H1547" s="70" t="str">
        <f aca="false">IF($K1547="","",INDEX(Base!$J$5:$J$2004,$K1547))</f>
        <v/>
      </c>
      <c r="I1547" s="71" t="str">
        <f aca="false">IF($K1547="","",INDEX(Base!$L$5:$L$2004,$K1547))</f>
        <v/>
      </c>
      <c r="J1547" s="72" t="str">
        <f aca="false">IFERROR(SMALL(Base!$P$5:$P$2004,ROW()-5),"")</f>
        <v/>
      </c>
      <c r="K1547" s="72" t="str">
        <f aca="false">IF(J1547="","",MATCH(J1547,Base!$P$5:$P$2004,0))</f>
        <v/>
      </c>
    </row>
    <row r="1548" customFormat="false" ht="15" hidden="false" customHeight="false" outlineLevel="0" collapsed="false">
      <c r="A1548" s="67" t="str">
        <f aca="false">IF($K1548="","",ROW()-5)</f>
        <v/>
      </c>
      <c r="B1548" s="68" t="str">
        <f aca="false">IF($K1548="","",INDEX(Base!$E$5:$E$2004,$K1548))</f>
        <v/>
      </c>
      <c r="C1548" s="69" t="str">
        <f aca="false">IF($K1548="","",B1548)</f>
        <v/>
      </c>
      <c r="D1548" s="70" t="str">
        <f aca="false">IF($K1548="","",INDEX(Base!$F$5:$F$2004,$K1548))</f>
        <v/>
      </c>
      <c r="E1548" s="70" t="str">
        <f aca="false">IF($K1548="","",INDEX(Base!$G$5:$G$2004,$K1548))</f>
        <v/>
      </c>
      <c r="F1548" s="71" t="str">
        <f aca="false">IF($K1548="","",INDEX(Base!$H$5:$H$2004,$K1548))</f>
        <v/>
      </c>
      <c r="G1548" s="71" t="str">
        <f aca="false">IF($K1548="","",INDEX(Base!$I$5:$I$2004,$K1548))</f>
        <v/>
      </c>
      <c r="H1548" s="70" t="str">
        <f aca="false">IF($K1548="","",INDEX(Base!$J$5:$J$2004,$K1548))</f>
        <v/>
      </c>
      <c r="I1548" s="71" t="str">
        <f aca="false">IF($K1548="","",INDEX(Base!$L$5:$L$2004,$K1548))</f>
        <v/>
      </c>
      <c r="J1548" s="72" t="str">
        <f aca="false">IFERROR(SMALL(Base!$P$5:$P$2004,ROW()-5),"")</f>
        <v/>
      </c>
      <c r="K1548" s="72" t="str">
        <f aca="false">IF(J1548="","",MATCH(J1548,Base!$P$5:$P$2004,0))</f>
        <v/>
      </c>
    </row>
    <row r="1549" customFormat="false" ht="15" hidden="false" customHeight="false" outlineLevel="0" collapsed="false">
      <c r="A1549" s="67" t="str">
        <f aca="false">IF($K1549="","",ROW()-5)</f>
        <v/>
      </c>
      <c r="B1549" s="68" t="str">
        <f aca="false">IF($K1549="","",INDEX(Base!$E$5:$E$2004,$K1549))</f>
        <v/>
      </c>
      <c r="C1549" s="69" t="str">
        <f aca="false">IF($K1549="","",B1549)</f>
        <v/>
      </c>
      <c r="D1549" s="70" t="str">
        <f aca="false">IF($K1549="","",INDEX(Base!$F$5:$F$2004,$K1549))</f>
        <v/>
      </c>
      <c r="E1549" s="70" t="str">
        <f aca="false">IF($K1549="","",INDEX(Base!$G$5:$G$2004,$K1549))</f>
        <v/>
      </c>
      <c r="F1549" s="71" t="str">
        <f aca="false">IF($K1549="","",INDEX(Base!$H$5:$H$2004,$K1549))</f>
        <v/>
      </c>
      <c r="G1549" s="71" t="str">
        <f aca="false">IF($K1549="","",INDEX(Base!$I$5:$I$2004,$K1549))</f>
        <v/>
      </c>
      <c r="H1549" s="70" t="str">
        <f aca="false">IF($K1549="","",INDEX(Base!$J$5:$J$2004,$K1549))</f>
        <v/>
      </c>
      <c r="I1549" s="71" t="str">
        <f aca="false">IF($K1549="","",INDEX(Base!$L$5:$L$2004,$K1549))</f>
        <v/>
      </c>
      <c r="J1549" s="72" t="str">
        <f aca="false">IFERROR(SMALL(Base!$P$5:$P$2004,ROW()-5),"")</f>
        <v/>
      </c>
      <c r="K1549" s="72" t="str">
        <f aca="false">IF(J1549="","",MATCH(J1549,Base!$P$5:$P$2004,0))</f>
        <v/>
      </c>
    </row>
    <row r="1550" customFormat="false" ht="15" hidden="false" customHeight="false" outlineLevel="0" collapsed="false">
      <c r="A1550" s="67" t="str">
        <f aca="false">IF($K1550="","",ROW()-5)</f>
        <v/>
      </c>
      <c r="B1550" s="68" t="str">
        <f aca="false">IF($K1550="","",INDEX(Base!$E$5:$E$2004,$K1550))</f>
        <v/>
      </c>
      <c r="C1550" s="69" t="str">
        <f aca="false">IF($K1550="","",B1550)</f>
        <v/>
      </c>
      <c r="D1550" s="70" t="str">
        <f aca="false">IF($K1550="","",INDEX(Base!$F$5:$F$2004,$K1550))</f>
        <v/>
      </c>
      <c r="E1550" s="70" t="str">
        <f aca="false">IF($K1550="","",INDEX(Base!$G$5:$G$2004,$K1550))</f>
        <v/>
      </c>
      <c r="F1550" s="71" t="str">
        <f aca="false">IF($K1550="","",INDEX(Base!$H$5:$H$2004,$K1550))</f>
        <v/>
      </c>
      <c r="G1550" s="71" t="str">
        <f aca="false">IF($K1550="","",INDEX(Base!$I$5:$I$2004,$K1550))</f>
        <v/>
      </c>
      <c r="H1550" s="70" t="str">
        <f aca="false">IF($K1550="","",INDEX(Base!$J$5:$J$2004,$K1550))</f>
        <v/>
      </c>
      <c r="I1550" s="71" t="str">
        <f aca="false">IF($K1550="","",INDEX(Base!$L$5:$L$2004,$K1550))</f>
        <v/>
      </c>
      <c r="J1550" s="72" t="str">
        <f aca="false">IFERROR(SMALL(Base!$P$5:$P$2004,ROW()-5),"")</f>
        <v/>
      </c>
      <c r="K1550" s="72" t="str">
        <f aca="false">IF(J1550="","",MATCH(J1550,Base!$P$5:$P$2004,0))</f>
        <v/>
      </c>
    </row>
    <row r="1551" customFormat="false" ht="15" hidden="false" customHeight="false" outlineLevel="0" collapsed="false">
      <c r="A1551" s="67" t="str">
        <f aca="false">IF($K1551="","",ROW()-5)</f>
        <v/>
      </c>
      <c r="B1551" s="68" t="str">
        <f aca="false">IF($K1551="","",INDEX(Base!$E$5:$E$2004,$K1551))</f>
        <v/>
      </c>
      <c r="C1551" s="69" t="str">
        <f aca="false">IF($K1551="","",B1551)</f>
        <v/>
      </c>
      <c r="D1551" s="70" t="str">
        <f aca="false">IF($K1551="","",INDEX(Base!$F$5:$F$2004,$K1551))</f>
        <v/>
      </c>
      <c r="E1551" s="70" t="str">
        <f aca="false">IF($K1551="","",INDEX(Base!$G$5:$G$2004,$K1551))</f>
        <v/>
      </c>
      <c r="F1551" s="71" t="str">
        <f aca="false">IF($K1551="","",INDEX(Base!$H$5:$H$2004,$K1551))</f>
        <v/>
      </c>
      <c r="G1551" s="71" t="str">
        <f aca="false">IF($K1551="","",INDEX(Base!$I$5:$I$2004,$K1551))</f>
        <v/>
      </c>
      <c r="H1551" s="70" t="str">
        <f aca="false">IF($K1551="","",INDEX(Base!$J$5:$J$2004,$K1551))</f>
        <v/>
      </c>
      <c r="I1551" s="71" t="str">
        <f aca="false">IF($K1551="","",INDEX(Base!$L$5:$L$2004,$K1551))</f>
        <v/>
      </c>
      <c r="J1551" s="72" t="str">
        <f aca="false">IFERROR(SMALL(Base!$P$5:$P$2004,ROW()-5),"")</f>
        <v/>
      </c>
      <c r="K1551" s="72" t="str">
        <f aca="false">IF(J1551="","",MATCH(J1551,Base!$P$5:$P$2004,0))</f>
        <v/>
      </c>
    </row>
    <row r="1552" customFormat="false" ht="15" hidden="false" customHeight="false" outlineLevel="0" collapsed="false">
      <c r="A1552" s="67" t="str">
        <f aca="false">IF($K1552="","",ROW()-5)</f>
        <v/>
      </c>
      <c r="B1552" s="68" t="str">
        <f aca="false">IF($K1552="","",INDEX(Base!$E$5:$E$2004,$K1552))</f>
        <v/>
      </c>
      <c r="C1552" s="69" t="str">
        <f aca="false">IF($K1552="","",B1552)</f>
        <v/>
      </c>
      <c r="D1552" s="70" t="str">
        <f aca="false">IF($K1552="","",INDEX(Base!$F$5:$F$2004,$K1552))</f>
        <v/>
      </c>
      <c r="E1552" s="70" t="str">
        <f aca="false">IF($K1552="","",INDEX(Base!$G$5:$G$2004,$K1552))</f>
        <v/>
      </c>
      <c r="F1552" s="71" t="str">
        <f aca="false">IF($K1552="","",INDEX(Base!$H$5:$H$2004,$K1552))</f>
        <v/>
      </c>
      <c r="G1552" s="71" t="str">
        <f aca="false">IF($K1552="","",INDEX(Base!$I$5:$I$2004,$K1552))</f>
        <v/>
      </c>
      <c r="H1552" s="70" t="str">
        <f aca="false">IF($K1552="","",INDEX(Base!$J$5:$J$2004,$K1552))</f>
        <v/>
      </c>
      <c r="I1552" s="71" t="str">
        <f aca="false">IF($K1552="","",INDEX(Base!$L$5:$L$2004,$K1552))</f>
        <v/>
      </c>
      <c r="J1552" s="72" t="str">
        <f aca="false">IFERROR(SMALL(Base!$P$5:$P$2004,ROW()-5),"")</f>
        <v/>
      </c>
      <c r="K1552" s="72" t="str">
        <f aca="false">IF(J1552="","",MATCH(J1552,Base!$P$5:$P$2004,0))</f>
        <v/>
      </c>
    </row>
    <row r="1553" customFormat="false" ht="15" hidden="false" customHeight="false" outlineLevel="0" collapsed="false">
      <c r="A1553" s="67" t="str">
        <f aca="false">IF($K1553="","",ROW()-5)</f>
        <v/>
      </c>
      <c r="B1553" s="68" t="str">
        <f aca="false">IF($K1553="","",INDEX(Base!$E$5:$E$2004,$K1553))</f>
        <v/>
      </c>
      <c r="C1553" s="69" t="str">
        <f aca="false">IF($K1553="","",B1553)</f>
        <v/>
      </c>
      <c r="D1553" s="70" t="str">
        <f aca="false">IF($K1553="","",INDEX(Base!$F$5:$F$2004,$K1553))</f>
        <v/>
      </c>
      <c r="E1553" s="70" t="str">
        <f aca="false">IF($K1553="","",INDEX(Base!$G$5:$G$2004,$K1553))</f>
        <v/>
      </c>
      <c r="F1553" s="71" t="str">
        <f aca="false">IF($K1553="","",INDEX(Base!$H$5:$H$2004,$K1553))</f>
        <v/>
      </c>
      <c r="G1553" s="71" t="str">
        <f aca="false">IF($K1553="","",INDEX(Base!$I$5:$I$2004,$K1553))</f>
        <v/>
      </c>
      <c r="H1553" s="70" t="str">
        <f aca="false">IF($K1553="","",INDEX(Base!$J$5:$J$2004,$K1553))</f>
        <v/>
      </c>
      <c r="I1553" s="71" t="str">
        <f aca="false">IF($K1553="","",INDEX(Base!$L$5:$L$2004,$K1553))</f>
        <v/>
      </c>
      <c r="J1553" s="72" t="str">
        <f aca="false">IFERROR(SMALL(Base!$P$5:$P$2004,ROW()-5),"")</f>
        <v/>
      </c>
      <c r="K1553" s="72" t="str">
        <f aca="false">IF(J1553="","",MATCH(J1553,Base!$P$5:$P$2004,0))</f>
        <v/>
      </c>
    </row>
    <row r="1554" customFormat="false" ht="15" hidden="false" customHeight="false" outlineLevel="0" collapsed="false">
      <c r="A1554" s="67" t="str">
        <f aca="false">IF($K1554="","",ROW()-5)</f>
        <v/>
      </c>
      <c r="B1554" s="68" t="str">
        <f aca="false">IF($K1554="","",INDEX(Base!$E$5:$E$2004,$K1554))</f>
        <v/>
      </c>
      <c r="C1554" s="69" t="str">
        <f aca="false">IF($K1554="","",B1554)</f>
        <v/>
      </c>
      <c r="D1554" s="70" t="str">
        <f aca="false">IF($K1554="","",INDEX(Base!$F$5:$F$2004,$K1554))</f>
        <v/>
      </c>
      <c r="E1554" s="70" t="str">
        <f aca="false">IF($K1554="","",INDEX(Base!$G$5:$G$2004,$K1554))</f>
        <v/>
      </c>
      <c r="F1554" s="71" t="str">
        <f aca="false">IF($K1554="","",INDEX(Base!$H$5:$H$2004,$K1554))</f>
        <v/>
      </c>
      <c r="G1554" s="71" t="str">
        <f aca="false">IF($K1554="","",INDEX(Base!$I$5:$I$2004,$K1554))</f>
        <v/>
      </c>
      <c r="H1554" s="70" t="str">
        <f aca="false">IF($K1554="","",INDEX(Base!$J$5:$J$2004,$K1554))</f>
        <v/>
      </c>
      <c r="I1554" s="71" t="str">
        <f aca="false">IF($K1554="","",INDEX(Base!$L$5:$L$2004,$K1554))</f>
        <v/>
      </c>
      <c r="J1554" s="72" t="str">
        <f aca="false">IFERROR(SMALL(Base!$P$5:$P$2004,ROW()-5),"")</f>
        <v/>
      </c>
      <c r="K1554" s="72" t="str">
        <f aca="false">IF(J1554="","",MATCH(J1554,Base!$P$5:$P$2004,0))</f>
        <v/>
      </c>
    </row>
    <row r="1555" customFormat="false" ht="15" hidden="false" customHeight="false" outlineLevel="0" collapsed="false">
      <c r="A1555" s="67" t="str">
        <f aca="false">IF($K1555="","",ROW()-5)</f>
        <v/>
      </c>
      <c r="B1555" s="68" t="str">
        <f aca="false">IF($K1555="","",INDEX(Base!$E$5:$E$2004,$K1555))</f>
        <v/>
      </c>
      <c r="C1555" s="69" t="str">
        <f aca="false">IF($K1555="","",B1555)</f>
        <v/>
      </c>
      <c r="D1555" s="70" t="str">
        <f aca="false">IF($K1555="","",INDEX(Base!$F$5:$F$2004,$K1555))</f>
        <v/>
      </c>
      <c r="E1555" s="70" t="str">
        <f aca="false">IF($K1555="","",INDEX(Base!$G$5:$G$2004,$K1555))</f>
        <v/>
      </c>
      <c r="F1555" s="71" t="str">
        <f aca="false">IF($K1555="","",INDEX(Base!$H$5:$H$2004,$K1555))</f>
        <v/>
      </c>
      <c r="G1555" s="71" t="str">
        <f aca="false">IF($K1555="","",INDEX(Base!$I$5:$I$2004,$K1555))</f>
        <v/>
      </c>
      <c r="H1555" s="70" t="str">
        <f aca="false">IF($K1555="","",INDEX(Base!$J$5:$J$2004,$K1555))</f>
        <v/>
      </c>
      <c r="I1555" s="71" t="str">
        <f aca="false">IF($K1555="","",INDEX(Base!$L$5:$L$2004,$K1555))</f>
        <v/>
      </c>
      <c r="J1555" s="72" t="str">
        <f aca="false">IFERROR(SMALL(Base!$P$5:$P$2004,ROW()-5),"")</f>
        <v/>
      </c>
      <c r="K1555" s="72" t="str">
        <f aca="false">IF(J1555="","",MATCH(J1555,Base!$P$5:$P$2004,0))</f>
        <v/>
      </c>
    </row>
    <row r="1556" customFormat="false" ht="15" hidden="false" customHeight="false" outlineLevel="0" collapsed="false">
      <c r="A1556" s="67" t="str">
        <f aca="false">IF($K1556="","",ROW()-5)</f>
        <v/>
      </c>
      <c r="B1556" s="68" t="str">
        <f aca="false">IF($K1556="","",INDEX(Base!$E$5:$E$2004,$K1556))</f>
        <v/>
      </c>
      <c r="C1556" s="69" t="str">
        <f aca="false">IF($K1556="","",B1556)</f>
        <v/>
      </c>
      <c r="D1556" s="70" t="str">
        <f aca="false">IF($K1556="","",INDEX(Base!$F$5:$F$2004,$K1556))</f>
        <v/>
      </c>
      <c r="E1556" s="70" t="str">
        <f aca="false">IF($K1556="","",INDEX(Base!$G$5:$G$2004,$K1556))</f>
        <v/>
      </c>
      <c r="F1556" s="71" t="str">
        <f aca="false">IF($K1556="","",INDEX(Base!$H$5:$H$2004,$K1556))</f>
        <v/>
      </c>
      <c r="G1556" s="71" t="str">
        <f aca="false">IF($K1556="","",INDEX(Base!$I$5:$I$2004,$K1556))</f>
        <v/>
      </c>
      <c r="H1556" s="70" t="str">
        <f aca="false">IF($K1556="","",INDEX(Base!$J$5:$J$2004,$K1556))</f>
        <v/>
      </c>
      <c r="I1556" s="71" t="str">
        <f aca="false">IF($K1556="","",INDEX(Base!$L$5:$L$2004,$K1556))</f>
        <v/>
      </c>
      <c r="J1556" s="72" t="str">
        <f aca="false">IFERROR(SMALL(Base!$P$5:$P$2004,ROW()-5),"")</f>
        <v/>
      </c>
      <c r="K1556" s="72" t="str">
        <f aca="false">IF(J1556="","",MATCH(J1556,Base!$P$5:$P$2004,0))</f>
        <v/>
      </c>
    </row>
    <row r="1557" customFormat="false" ht="15" hidden="false" customHeight="false" outlineLevel="0" collapsed="false">
      <c r="A1557" s="67" t="str">
        <f aca="false">IF($K1557="","",ROW()-5)</f>
        <v/>
      </c>
      <c r="B1557" s="68" t="str">
        <f aca="false">IF($K1557="","",INDEX(Base!$E$5:$E$2004,$K1557))</f>
        <v/>
      </c>
      <c r="C1557" s="69" t="str">
        <f aca="false">IF($K1557="","",B1557)</f>
        <v/>
      </c>
      <c r="D1557" s="70" t="str">
        <f aca="false">IF($K1557="","",INDEX(Base!$F$5:$F$2004,$K1557))</f>
        <v/>
      </c>
      <c r="E1557" s="70" t="str">
        <f aca="false">IF($K1557="","",INDEX(Base!$G$5:$G$2004,$K1557))</f>
        <v/>
      </c>
      <c r="F1557" s="71" t="str">
        <f aca="false">IF($K1557="","",INDEX(Base!$H$5:$H$2004,$K1557))</f>
        <v/>
      </c>
      <c r="G1557" s="71" t="str">
        <f aca="false">IF($K1557="","",INDEX(Base!$I$5:$I$2004,$K1557))</f>
        <v/>
      </c>
      <c r="H1557" s="70" t="str">
        <f aca="false">IF($K1557="","",INDEX(Base!$J$5:$J$2004,$K1557))</f>
        <v/>
      </c>
      <c r="I1557" s="71" t="str">
        <f aca="false">IF($K1557="","",INDEX(Base!$L$5:$L$2004,$K1557))</f>
        <v/>
      </c>
      <c r="J1557" s="72" t="str">
        <f aca="false">IFERROR(SMALL(Base!$P$5:$P$2004,ROW()-5),"")</f>
        <v/>
      </c>
      <c r="K1557" s="72" t="str">
        <f aca="false">IF(J1557="","",MATCH(J1557,Base!$P$5:$P$2004,0))</f>
        <v/>
      </c>
    </row>
    <row r="1558" customFormat="false" ht="15" hidden="false" customHeight="false" outlineLevel="0" collapsed="false">
      <c r="A1558" s="67" t="str">
        <f aca="false">IF($K1558="","",ROW()-5)</f>
        <v/>
      </c>
      <c r="B1558" s="68" t="str">
        <f aca="false">IF($K1558="","",INDEX(Base!$E$5:$E$2004,$K1558))</f>
        <v/>
      </c>
      <c r="C1558" s="69" t="str">
        <f aca="false">IF($K1558="","",B1558)</f>
        <v/>
      </c>
      <c r="D1558" s="70" t="str">
        <f aca="false">IF($K1558="","",INDEX(Base!$F$5:$F$2004,$K1558))</f>
        <v/>
      </c>
      <c r="E1558" s="70" t="str">
        <f aca="false">IF($K1558="","",INDEX(Base!$G$5:$G$2004,$K1558))</f>
        <v/>
      </c>
      <c r="F1558" s="71" t="str">
        <f aca="false">IF($K1558="","",INDEX(Base!$H$5:$H$2004,$K1558))</f>
        <v/>
      </c>
      <c r="G1558" s="71" t="str">
        <f aca="false">IF($K1558="","",INDEX(Base!$I$5:$I$2004,$K1558))</f>
        <v/>
      </c>
      <c r="H1558" s="70" t="str">
        <f aca="false">IF($K1558="","",INDEX(Base!$J$5:$J$2004,$K1558))</f>
        <v/>
      </c>
      <c r="I1558" s="71" t="str">
        <f aca="false">IF($K1558="","",INDEX(Base!$L$5:$L$2004,$K1558))</f>
        <v/>
      </c>
      <c r="J1558" s="72" t="str">
        <f aca="false">IFERROR(SMALL(Base!$P$5:$P$2004,ROW()-5),"")</f>
        <v/>
      </c>
      <c r="K1558" s="72" t="str">
        <f aca="false">IF(J1558="","",MATCH(J1558,Base!$P$5:$P$2004,0))</f>
        <v/>
      </c>
    </row>
    <row r="1559" customFormat="false" ht="15" hidden="false" customHeight="false" outlineLevel="0" collapsed="false">
      <c r="A1559" s="67" t="str">
        <f aca="false">IF($K1559="","",ROW()-5)</f>
        <v/>
      </c>
      <c r="B1559" s="68" t="str">
        <f aca="false">IF($K1559="","",INDEX(Base!$E$5:$E$2004,$K1559))</f>
        <v/>
      </c>
      <c r="C1559" s="69" t="str">
        <f aca="false">IF($K1559="","",B1559)</f>
        <v/>
      </c>
      <c r="D1559" s="70" t="str">
        <f aca="false">IF($K1559="","",INDEX(Base!$F$5:$F$2004,$K1559))</f>
        <v/>
      </c>
      <c r="E1559" s="70" t="str">
        <f aca="false">IF($K1559="","",INDEX(Base!$G$5:$G$2004,$K1559))</f>
        <v/>
      </c>
      <c r="F1559" s="71" t="str">
        <f aca="false">IF($K1559="","",INDEX(Base!$H$5:$H$2004,$K1559))</f>
        <v/>
      </c>
      <c r="G1559" s="71" t="str">
        <f aca="false">IF($K1559="","",INDEX(Base!$I$5:$I$2004,$K1559))</f>
        <v/>
      </c>
      <c r="H1559" s="70" t="str">
        <f aca="false">IF($K1559="","",INDEX(Base!$J$5:$J$2004,$K1559))</f>
        <v/>
      </c>
      <c r="I1559" s="71" t="str">
        <f aca="false">IF($K1559="","",INDEX(Base!$L$5:$L$2004,$K1559))</f>
        <v/>
      </c>
      <c r="J1559" s="72" t="str">
        <f aca="false">IFERROR(SMALL(Base!$P$5:$P$2004,ROW()-5),"")</f>
        <v/>
      </c>
      <c r="K1559" s="72" t="str">
        <f aca="false">IF(J1559="","",MATCH(J1559,Base!$P$5:$P$2004,0))</f>
        <v/>
      </c>
    </row>
    <row r="1560" customFormat="false" ht="15" hidden="false" customHeight="false" outlineLevel="0" collapsed="false">
      <c r="A1560" s="67" t="str">
        <f aca="false">IF($K1560="","",ROW()-5)</f>
        <v/>
      </c>
      <c r="B1560" s="68" t="str">
        <f aca="false">IF($K1560="","",INDEX(Base!$E$5:$E$2004,$K1560))</f>
        <v/>
      </c>
      <c r="C1560" s="69" t="str">
        <f aca="false">IF($K1560="","",B1560)</f>
        <v/>
      </c>
      <c r="D1560" s="70" t="str">
        <f aca="false">IF($K1560="","",INDEX(Base!$F$5:$F$2004,$K1560))</f>
        <v/>
      </c>
      <c r="E1560" s="70" t="str">
        <f aca="false">IF($K1560="","",INDEX(Base!$G$5:$G$2004,$K1560))</f>
        <v/>
      </c>
      <c r="F1560" s="71" t="str">
        <f aca="false">IF($K1560="","",INDEX(Base!$H$5:$H$2004,$K1560))</f>
        <v/>
      </c>
      <c r="G1560" s="71" t="str">
        <f aca="false">IF($K1560="","",INDEX(Base!$I$5:$I$2004,$K1560))</f>
        <v/>
      </c>
      <c r="H1560" s="70" t="str">
        <f aca="false">IF($K1560="","",INDEX(Base!$J$5:$J$2004,$K1560))</f>
        <v/>
      </c>
      <c r="I1560" s="71" t="str">
        <f aca="false">IF($K1560="","",INDEX(Base!$L$5:$L$2004,$K1560))</f>
        <v/>
      </c>
      <c r="J1560" s="72" t="str">
        <f aca="false">IFERROR(SMALL(Base!$P$5:$P$2004,ROW()-5),"")</f>
        <v/>
      </c>
      <c r="K1560" s="72" t="str">
        <f aca="false">IF(J1560="","",MATCH(J1560,Base!$P$5:$P$2004,0))</f>
        <v/>
      </c>
    </row>
    <row r="1561" customFormat="false" ht="15" hidden="false" customHeight="false" outlineLevel="0" collapsed="false">
      <c r="A1561" s="67" t="str">
        <f aca="false">IF($K1561="","",ROW()-5)</f>
        <v/>
      </c>
      <c r="B1561" s="68" t="str">
        <f aca="false">IF($K1561="","",INDEX(Base!$E$5:$E$2004,$K1561))</f>
        <v/>
      </c>
      <c r="C1561" s="69" t="str">
        <f aca="false">IF($K1561="","",B1561)</f>
        <v/>
      </c>
      <c r="D1561" s="70" t="str">
        <f aca="false">IF($K1561="","",INDEX(Base!$F$5:$F$2004,$K1561))</f>
        <v/>
      </c>
      <c r="E1561" s="70" t="str">
        <f aca="false">IF($K1561="","",INDEX(Base!$G$5:$G$2004,$K1561))</f>
        <v/>
      </c>
      <c r="F1561" s="71" t="str">
        <f aca="false">IF($K1561="","",INDEX(Base!$H$5:$H$2004,$K1561))</f>
        <v/>
      </c>
      <c r="G1561" s="71" t="str">
        <f aca="false">IF($K1561="","",INDEX(Base!$I$5:$I$2004,$K1561))</f>
        <v/>
      </c>
      <c r="H1561" s="70" t="str">
        <f aca="false">IF($K1561="","",INDEX(Base!$J$5:$J$2004,$K1561))</f>
        <v/>
      </c>
      <c r="I1561" s="71" t="str">
        <f aca="false">IF($K1561="","",INDEX(Base!$L$5:$L$2004,$K1561))</f>
        <v/>
      </c>
      <c r="J1561" s="72" t="str">
        <f aca="false">IFERROR(SMALL(Base!$P$5:$P$2004,ROW()-5),"")</f>
        <v/>
      </c>
      <c r="K1561" s="72" t="str">
        <f aca="false">IF(J1561="","",MATCH(J1561,Base!$P$5:$P$2004,0))</f>
        <v/>
      </c>
    </row>
    <row r="1562" customFormat="false" ht="15" hidden="false" customHeight="false" outlineLevel="0" collapsed="false">
      <c r="A1562" s="67" t="str">
        <f aca="false">IF($K1562="","",ROW()-5)</f>
        <v/>
      </c>
      <c r="B1562" s="68" t="str">
        <f aca="false">IF($K1562="","",INDEX(Base!$E$5:$E$2004,$K1562))</f>
        <v/>
      </c>
      <c r="C1562" s="69" t="str">
        <f aca="false">IF($K1562="","",B1562)</f>
        <v/>
      </c>
      <c r="D1562" s="70" t="str">
        <f aca="false">IF($K1562="","",INDEX(Base!$F$5:$F$2004,$K1562))</f>
        <v/>
      </c>
      <c r="E1562" s="70" t="str">
        <f aca="false">IF($K1562="","",INDEX(Base!$G$5:$G$2004,$K1562))</f>
        <v/>
      </c>
      <c r="F1562" s="71" t="str">
        <f aca="false">IF($K1562="","",INDEX(Base!$H$5:$H$2004,$K1562))</f>
        <v/>
      </c>
      <c r="G1562" s="71" t="str">
        <f aca="false">IF($K1562="","",INDEX(Base!$I$5:$I$2004,$K1562))</f>
        <v/>
      </c>
      <c r="H1562" s="70" t="str">
        <f aca="false">IF($K1562="","",INDEX(Base!$J$5:$J$2004,$K1562))</f>
        <v/>
      </c>
      <c r="I1562" s="71" t="str">
        <f aca="false">IF($K1562="","",INDEX(Base!$L$5:$L$2004,$K1562))</f>
        <v/>
      </c>
      <c r="J1562" s="72" t="str">
        <f aca="false">IFERROR(SMALL(Base!$P$5:$P$2004,ROW()-5),"")</f>
        <v/>
      </c>
      <c r="K1562" s="72" t="str">
        <f aca="false">IF(J1562="","",MATCH(J1562,Base!$P$5:$P$2004,0))</f>
        <v/>
      </c>
    </row>
    <row r="1563" customFormat="false" ht="15" hidden="false" customHeight="false" outlineLevel="0" collapsed="false">
      <c r="A1563" s="67" t="str">
        <f aca="false">IF($K1563="","",ROW()-5)</f>
        <v/>
      </c>
      <c r="B1563" s="68" t="str">
        <f aca="false">IF($K1563="","",INDEX(Base!$E$5:$E$2004,$K1563))</f>
        <v/>
      </c>
      <c r="C1563" s="69" t="str">
        <f aca="false">IF($K1563="","",B1563)</f>
        <v/>
      </c>
      <c r="D1563" s="70" t="str">
        <f aca="false">IF($K1563="","",INDEX(Base!$F$5:$F$2004,$K1563))</f>
        <v/>
      </c>
      <c r="E1563" s="70" t="str">
        <f aca="false">IF($K1563="","",INDEX(Base!$G$5:$G$2004,$K1563))</f>
        <v/>
      </c>
      <c r="F1563" s="71" t="str">
        <f aca="false">IF($K1563="","",INDEX(Base!$H$5:$H$2004,$K1563))</f>
        <v/>
      </c>
      <c r="G1563" s="71" t="str">
        <f aca="false">IF($K1563="","",INDEX(Base!$I$5:$I$2004,$K1563))</f>
        <v/>
      </c>
      <c r="H1563" s="70" t="str">
        <f aca="false">IF($K1563="","",INDEX(Base!$J$5:$J$2004,$K1563))</f>
        <v/>
      </c>
      <c r="I1563" s="71" t="str">
        <f aca="false">IF($K1563="","",INDEX(Base!$L$5:$L$2004,$K1563))</f>
        <v/>
      </c>
      <c r="J1563" s="72" t="str">
        <f aca="false">IFERROR(SMALL(Base!$P$5:$P$2004,ROW()-5),"")</f>
        <v/>
      </c>
      <c r="K1563" s="72" t="str">
        <f aca="false">IF(J1563="","",MATCH(J1563,Base!$P$5:$P$2004,0))</f>
        <v/>
      </c>
    </row>
    <row r="1564" customFormat="false" ht="15" hidden="false" customHeight="false" outlineLevel="0" collapsed="false">
      <c r="A1564" s="67" t="str">
        <f aca="false">IF($K1564="","",ROW()-5)</f>
        <v/>
      </c>
      <c r="B1564" s="68" t="str">
        <f aca="false">IF($K1564="","",INDEX(Base!$E$5:$E$2004,$K1564))</f>
        <v/>
      </c>
      <c r="C1564" s="69" t="str">
        <f aca="false">IF($K1564="","",B1564)</f>
        <v/>
      </c>
      <c r="D1564" s="70" t="str">
        <f aca="false">IF($K1564="","",INDEX(Base!$F$5:$F$2004,$K1564))</f>
        <v/>
      </c>
      <c r="E1564" s="70" t="str">
        <f aca="false">IF($K1564="","",INDEX(Base!$G$5:$G$2004,$K1564))</f>
        <v/>
      </c>
      <c r="F1564" s="71" t="str">
        <f aca="false">IF($K1564="","",INDEX(Base!$H$5:$H$2004,$K1564))</f>
        <v/>
      </c>
      <c r="G1564" s="71" t="str">
        <f aca="false">IF($K1564="","",INDEX(Base!$I$5:$I$2004,$K1564))</f>
        <v/>
      </c>
      <c r="H1564" s="70" t="str">
        <f aca="false">IF($K1564="","",INDEX(Base!$J$5:$J$2004,$K1564))</f>
        <v/>
      </c>
      <c r="I1564" s="71" t="str">
        <f aca="false">IF($K1564="","",INDEX(Base!$L$5:$L$2004,$K1564))</f>
        <v/>
      </c>
      <c r="J1564" s="72" t="str">
        <f aca="false">IFERROR(SMALL(Base!$P$5:$P$2004,ROW()-5),"")</f>
        <v/>
      </c>
      <c r="K1564" s="72" t="str">
        <f aca="false">IF(J1564="","",MATCH(J1564,Base!$P$5:$P$2004,0))</f>
        <v/>
      </c>
    </row>
    <row r="1565" customFormat="false" ht="15" hidden="false" customHeight="false" outlineLevel="0" collapsed="false">
      <c r="A1565" s="67" t="str">
        <f aca="false">IF($K1565="","",ROW()-5)</f>
        <v/>
      </c>
      <c r="B1565" s="68" t="str">
        <f aca="false">IF($K1565="","",INDEX(Base!$E$5:$E$2004,$K1565))</f>
        <v/>
      </c>
      <c r="C1565" s="69" t="str">
        <f aca="false">IF($K1565="","",B1565)</f>
        <v/>
      </c>
      <c r="D1565" s="70" t="str">
        <f aca="false">IF($K1565="","",INDEX(Base!$F$5:$F$2004,$K1565))</f>
        <v/>
      </c>
      <c r="E1565" s="70" t="str">
        <f aca="false">IF($K1565="","",INDEX(Base!$G$5:$G$2004,$K1565))</f>
        <v/>
      </c>
      <c r="F1565" s="71" t="str">
        <f aca="false">IF($K1565="","",INDEX(Base!$H$5:$H$2004,$K1565))</f>
        <v/>
      </c>
      <c r="G1565" s="71" t="str">
        <f aca="false">IF($K1565="","",INDEX(Base!$I$5:$I$2004,$K1565))</f>
        <v/>
      </c>
      <c r="H1565" s="70" t="str">
        <f aca="false">IF($K1565="","",INDEX(Base!$J$5:$J$2004,$K1565))</f>
        <v/>
      </c>
      <c r="I1565" s="71" t="str">
        <f aca="false">IF($K1565="","",INDEX(Base!$L$5:$L$2004,$K1565))</f>
        <v/>
      </c>
      <c r="J1565" s="72" t="str">
        <f aca="false">IFERROR(SMALL(Base!$P$5:$P$2004,ROW()-5),"")</f>
        <v/>
      </c>
      <c r="K1565" s="72" t="str">
        <f aca="false">IF(J1565="","",MATCH(J1565,Base!$P$5:$P$2004,0))</f>
        <v/>
      </c>
    </row>
    <row r="1566" customFormat="false" ht="15" hidden="false" customHeight="false" outlineLevel="0" collapsed="false">
      <c r="A1566" s="67" t="str">
        <f aca="false">IF($K1566="","",ROW()-5)</f>
        <v/>
      </c>
      <c r="B1566" s="68" t="str">
        <f aca="false">IF($K1566="","",INDEX(Base!$E$5:$E$2004,$K1566))</f>
        <v/>
      </c>
      <c r="C1566" s="69" t="str">
        <f aca="false">IF($K1566="","",B1566)</f>
        <v/>
      </c>
      <c r="D1566" s="70" t="str">
        <f aca="false">IF($K1566="","",INDEX(Base!$F$5:$F$2004,$K1566))</f>
        <v/>
      </c>
      <c r="E1566" s="70" t="str">
        <f aca="false">IF($K1566="","",INDEX(Base!$G$5:$G$2004,$K1566))</f>
        <v/>
      </c>
      <c r="F1566" s="71" t="str">
        <f aca="false">IF($K1566="","",INDEX(Base!$H$5:$H$2004,$K1566))</f>
        <v/>
      </c>
      <c r="G1566" s="71" t="str">
        <f aca="false">IF($K1566="","",INDEX(Base!$I$5:$I$2004,$K1566))</f>
        <v/>
      </c>
      <c r="H1566" s="70" t="str">
        <f aca="false">IF($K1566="","",INDEX(Base!$J$5:$J$2004,$K1566))</f>
        <v/>
      </c>
      <c r="I1566" s="71" t="str">
        <f aca="false">IF($K1566="","",INDEX(Base!$L$5:$L$2004,$K1566))</f>
        <v/>
      </c>
      <c r="J1566" s="72" t="str">
        <f aca="false">IFERROR(SMALL(Base!$P$5:$P$2004,ROW()-5),"")</f>
        <v/>
      </c>
      <c r="K1566" s="72" t="str">
        <f aca="false">IF(J1566="","",MATCH(J1566,Base!$P$5:$P$2004,0))</f>
        <v/>
      </c>
    </row>
    <row r="1567" customFormat="false" ht="15" hidden="false" customHeight="false" outlineLevel="0" collapsed="false">
      <c r="A1567" s="67" t="str">
        <f aca="false">IF($K1567="","",ROW()-5)</f>
        <v/>
      </c>
      <c r="B1567" s="68" t="str">
        <f aca="false">IF($K1567="","",INDEX(Base!$E$5:$E$2004,$K1567))</f>
        <v/>
      </c>
      <c r="C1567" s="69" t="str">
        <f aca="false">IF($K1567="","",B1567)</f>
        <v/>
      </c>
      <c r="D1567" s="70" t="str">
        <f aca="false">IF($K1567="","",INDEX(Base!$F$5:$F$2004,$K1567))</f>
        <v/>
      </c>
      <c r="E1567" s="70" t="str">
        <f aca="false">IF($K1567="","",INDEX(Base!$G$5:$G$2004,$K1567))</f>
        <v/>
      </c>
      <c r="F1567" s="71" t="str">
        <f aca="false">IF($K1567="","",INDEX(Base!$H$5:$H$2004,$K1567))</f>
        <v/>
      </c>
      <c r="G1567" s="71" t="str">
        <f aca="false">IF($K1567="","",INDEX(Base!$I$5:$I$2004,$K1567))</f>
        <v/>
      </c>
      <c r="H1567" s="70" t="str">
        <f aca="false">IF($K1567="","",INDEX(Base!$J$5:$J$2004,$K1567))</f>
        <v/>
      </c>
      <c r="I1567" s="71" t="str">
        <f aca="false">IF($K1567="","",INDEX(Base!$L$5:$L$2004,$K1567))</f>
        <v/>
      </c>
      <c r="J1567" s="72" t="str">
        <f aca="false">IFERROR(SMALL(Base!$P$5:$P$2004,ROW()-5),"")</f>
        <v/>
      </c>
      <c r="K1567" s="72" t="str">
        <f aca="false">IF(J1567="","",MATCH(J1567,Base!$P$5:$P$2004,0))</f>
        <v/>
      </c>
    </row>
    <row r="1568" customFormat="false" ht="15" hidden="false" customHeight="false" outlineLevel="0" collapsed="false">
      <c r="A1568" s="67" t="str">
        <f aca="false">IF($K1568="","",ROW()-5)</f>
        <v/>
      </c>
      <c r="B1568" s="68" t="str">
        <f aca="false">IF($K1568="","",INDEX(Base!$E$5:$E$2004,$K1568))</f>
        <v/>
      </c>
      <c r="C1568" s="69" t="str">
        <f aca="false">IF($K1568="","",B1568)</f>
        <v/>
      </c>
      <c r="D1568" s="70" t="str">
        <f aca="false">IF($K1568="","",INDEX(Base!$F$5:$F$2004,$K1568))</f>
        <v/>
      </c>
      <c r="E1568" s="70" t="str">
        <f aca="false">IF($K1568="","",INDEX(Base!$G$5:$G$2004,$K1568))</f>
        <v/>
      </c>
      <c r="F1568" s="71" t="str">
        <f aca="false">IF($K1568="","",INDEX(Base!$H$5:$H$2004,$K1568))</f>
        <v/>
      </c>
      <c r="G1568" s="71" t="str">
        <f aca="false">IF($K1568="","",INDEX(Base!$I$5:$I$2004,$K1568))</f>
        <v/>
      </c>
      <c r="H1568" s="70" t="str">
        <f aca="false">IF($K1568="","",INDEX(Base!$J$5:$J$2004,$K1568))</f>
        <v/>
      </c>
      <c r="I1568" s="71" t="str">
        <f aca="false">IF($K1568="","",INDEX(Base!$L$5:$L$2004,$K1568))</f>
        <v/>
      </c>
      <c r="J1568" s="72" t="str">
        <f aca="false">IFERROR(SMALL(Base!$P$5:$P$2004,ROW()-5),"")</f>
        <v/>
      </c>
      <c r="K1568" s="72" t="str">
        <f aca="false">IF(J1568="","",MATCH(J1568,Base!$P$5:$P$2004,0))</f>
        <v/>
      </c>
    </row>
    <row r="1569" customFormat="false" ht="15" hidden="false" customHeight="false" outlineLevel="0" collapsed="false">
      <c r="A1569" s="67" t="str">
        <f aca="false">IF($K1569="","",ROW()-5)</f>
        <v/>
      </c>
      <c r="B1569" s="68" t="str">
        <f aca="false">IF($K1569="","",INDEX(Base!$E$5:$E$2004,$K1569))</f>
        <v/>
      </c>
      <c r="C1569" s="69" t="str">
        <f aca="false">IF($K1569="","",B1569)</f>
        <v/>
      </c>
      <c r="D1569" s="70" t="str">
        <f aca="false">IF($K1569="","",INDEX(Base!$F$5:$F$2004,$K1569))</f>
        <v/>
      </c>
      <c r="E1569" s="70" t="str">
        <f aca="false">IF($K1569="","",INDEX(Base!$G$5:$G$2004,$K1569))</f>
        <v/>
      </c>
      <c r="F1569" s="71" t="str">
        <f aca="false">IF($K1569="","",INDEX(Base!$H$5:$H$2004,$K1569))</f>
        <v/>
      </c>
      <c r="G1569" s="71" t="str">
        <f aca="false">IF($K1569="","",INDEX(Base!$I$5:$I$2004,$K1569))</f>
        <v/>
      </c>
      <c r="H1569" s="70" t="str">
        <f aca="false">IF($K1569="","",INDEX(Base!$J$5:$J$2004,$K1569))</f>
        <v/>
      </c>
      <c r="I1569" s="71" t="str">
        <f aca="false">IF($K1569="","",INDEX(Base!$L$5:$L$2004,$K1569))</f>
        <v/>
      </c>
      <c r="J1569" s="72" t="str">
        <f aca="false">IFERROR(SMALL(Base!$P$5:$P$2004,ROW()-5),"")</f>
        <v/>
      </c>
      <c r="K1569" s="72" t="str">
        <f aca="false">IF(J1569="","",MATCH(J1569,Base!$P$5:$P$2004,0))</f>
        <v/>
      </c>
    </row>
    <row r="1570" customFormat="false" ht="15" hidden="false" customHeight="false" outlineLevel="0" collapsed="false">
      <c r="A1570" s="67" t="str">
        <f aca="false">IF($K1570="","",ROW()-5)</f>
        <v/>
      </c>
      <c r="B1570" s="68" t="str">
        <f aca="false">IF($K1570="","",INDEX(Base!$E$5:$E$2004,$K1570))</f>
        <v/>
      </c>
      <c r="C1570" s="69" t="str">
        <f aca="false">IF($K1570="","",B1570)</f>
        <v/>
      </c>
      <c r="D1570" s="70" t="str">
        <f aca="false">IF($K1570="","",INDEX(Base!$F$5:$F$2004,$K1570))</f>
        <v/>
      </c>
      <c r="E1570" s="70" t="str">
        <f aca="false">IF($K1570="","",INDEX(Base!$G$5:$G$2004,$K1570))</f>
        <v/>
      </c>
      <c r="F1570" s="71" t="str">
        <f aca="false">IF($K1570="","",INDEX(Base!$H$5:$H$2004,$K1570))</f>
        <v/>
      </c>
      <c r="G1570" s="71" t="str">
        <f aca="false">IF($K1570="","",INDEX(Base!$I$5:$I$2004,$K1570))</f>
        <v/>
      </c>
      <c r="H1570" s="70" t="str">
        <f aca="false">IF($K1570="","",INDEX(Base!$J$5:$J$2004,$K1570))</f>
        <v/>
      </c>
      <c r="I1570" s="71" t="str">
        <f aca="false">IF($K1570="","",INDEX(Base!$L$5:$L$2004,$K1570))</f>
        <v/>
      </c>
      <c r="J1570" s="72" t="str">
        <f aca="false">IFERROR(SMALL(Base!$P$5:$P$2004,ROW()-5),"")</f>
        <v/>
      </c>
      <c r="K1570" s="72" t="str">
        <f aca="false">IF(J1570="","",MATCH(J1570,Base!$P$5:$P$2004,0))</f>
        <v/>
      </c>
    </row>
    <row r="1571" customFormat="false" ht="15" hidden="false" customHeight="false" outlineLevel="0" collapsed="false">
      <c r="A1571" s="67" t="str">
        <f aca="false">IF($K1571="","",ROW()-5)</f>
        <v/>
      </c>
      <c r="B1571" s="68" t="str">
        <f aca="false">IF($K1571="","",INDEX(Base!$E$5:$E$2004,$K1571))</f>
        <v/>
      </c>
      <c r="C1571" s="69" t="str">
        <f aca="false">IF($K1571="","",B1571)</f>
        <v/>
      </c>
      <c r="D1571" s="70" t="str">
        <f aca="false">IF($K1571="","",INDEX(Base!$F$5:$F$2004,$K1571))</f>
        <v/>
      </c>
      <c r="E1571" s="70" t="str">
        <f aca="false">IF($K1571="","",INDEX(Base!$G$5:$G$2004,$K1571))</f>
        <v/>
      </c>
      <c r="F1571" s="71" t="str">
        <f aca="false">IF($K1571="","",INDEX(Base!$H$5:$H$2004,$K1571))</f>
        <v/>
      </c>
      <c r="G1571" s="71" t="str">
        <f aca="false">IF($K1571="","",INDEX(Base!$I$5:$I$2004,$K1571))</f>
        <v/>
      </c>
      <c r="H1571" s="70" t="str">
        <f aca="false">IF($K1571="","",INDEX(Base!$J$5:$J$2004,$K1571))</f>
        <v/>
      </c>
      <c r="I1571" s="71" t="str">
        <f aca="false">IF($K1571="","",INDEX(Base!$L$5:$L$2004,$K1571))</f>
        <v/>
      </c>
      <c r="J1571" s="72" t="str">
        <f aca="false">IFERROR(SMALL(Base!$P$5:$P$2004,ROW()-5),"")</f>
        <v/>
      </c>
      <c r="K1571" s="72" t="str">
        <f aca="false">IF(J1571="","",MATCH(J1571,Base!$P$5:$P$2004,0))</f>
        <v/>
      </c>
    </row>
    <row r="1572" customFormat="false" ht="15" hidden="false" customHeight="false" outlineLevel="0" collapsed="false">
      <c r="A1572" s="67" t="str">
        <f aca="false">IF($K1572="","",ROW()-5)</f>
        <v/>
      </c>
      <c r="B1572" s="68" t="str">
        <f aca="false">IF($K1572="","",INDEX(Base!$E$5:$E$2004,$K1572))</f>
        <v/>
      </c>
      <c r="C1572" s="69" t="str">
        <f aca="false">IF($K1572="","",B1572)</f>
        <v/>
      </c>
      <c r="D1572" s="70" t="str">
        <f aca="false">IF($K1572="","",INDEX(Base!$F$5:$F$2004,$K1572))</f>
        <v/>
      </c>
      <c r="E1572" s="70" t="str">
        <f aca="false">IF($K1572="","",INDEX(Base!$G$5:$G$2004,$K1572))</f>
        <v/>
      </c>
      <c r="F1572" s="71" t="str">
        <f aca="false">IF($K1572="","",INDEX(Base!$H$5:$H$2004,$K1572))</f>
        <v/>
      </c>
      <c r="G1572" s="71" t="str">
        <f aca="false">IF($K1572="","",INDEX(Base!$I$5:$I$2004,$K1572))</f>
        <v/>
      </c>
      <c r="H1572" s="70" t="str">
        <f aca="false">IF($K1572="","",INDEX(Base!$J$5:$J$2004,$K1572))</f>
        <v/>
      </c>
      <c r="I1572" s="71" t="str">
        <f aca="false">IF($K1572="","",INDEX(Base!$L$5:$L$2004,$K1572))</f>
        <v/>
      </c>
      <c r="J1572" s="72" t="str">
        <f aca="false">IFERROR(SMALL(Base!$P$5:$P$2004,ROW()-5),"")</f>
        <v/>
      </c>
      <c r="K1572" s="72" t="str">
        <f aca="false">IF(J1572="","",MATCH(J1572,Base!$P$5:$P$2004,0))</f>
        <v/>
      </c>
    </row>
    <row r="1573" customFormat="false" ht="15" hidden="false" customHeight="false" outlineLevel="0" collapsed="false">
      <c r="A1573" s="67" t="str">
        <f aca="false">IF($K1573="","",ROW()-5)</f>
        <v/>
      </c>
      <c r="B1573" s="68" t="str">
        <f aca="false">IF($K1573="","",INDEX(Base!$E$5:$E$2004,$K1573))</f>
        <v/>
      </c>
      <c r="C1573" s="69" t="str">
        <f aca="false">IF($K1573="","",B1573)</f>
        <v/>
      </c>
      <c r="D1573" s="70" t="str">
        <f aca="false">IF($K1573="","",INDEX(Base!$F$5:$F$2004,$K1573))</f>
        <v/>
      </c>
      <c r="E1573" s="70" t="str">
        <f aca="false">IF($K1573="","",INDEX(Base!$G$5:$G$2004,$K1573))</f>
        <v/>
      </c>
      <c r="F1573" s="71" t="str">
        <f aca="false">IF($K1573="","",INDEX(Base!$H$5:$H$2004,$K1573))</f>
        <v/>
      </c>
      <c r="G1573" s="71" t="str">
        <f aca="false">IF($K1573="","",INDEX(Base!$I$5:$I$2004,$K1573))</f>
        <v/>
      </c>
      <c r="H1573" s="70" t="str">
        <f aca="false">IF($K1573="","",INDEX(Base!$J$5:$J$2004,$K1573))</f>
        <v/>
      </c>
      <c r="I1573" s="71" t="str">
        <f aca="false">IF($K1573="","",INDEX(Base!$L$5:$L$2004,$K1573))</f>
        <v/>
      </c>
      <c r="J1573" s="72" t="str">
        <f aca="false">IFERROR(SMALL(Base!$P$5:$P$2004,ROW()-5),"")</f>
        <v/>
      </c>
      <c r="K1573" s="72" t="str">
        <f aca="false">IF(J1573="","",MATCH(J1573,Base!$P$5:$P$2004,0))</f>
        <v/>
      </c>
    </row>
    <row r="1574" customFormat="false" ht="15" hidden="false" customHeight="false" outlineLevel="0" collapsed="false">
      <c r="A1574" s="67" t="str">
        <f aca="false">IF($K1574="","",ROW()-5)</f>
        <v/>
      </c>
      <c r="B1574" s="68" t="str">
        <f aca="false">IF($K1574="","",INDEX(Base!$E$5:$E$2004,$K1574))</f>
        <v/>
      </c>
      <c r="C1574" s="69" t="str">
        <f aca="false">IF($K1574="","",B1574)</f>
        <v/>
      </c>
      <c r="D1574" s="70" t="str">
        <f aca="false">IF($K1574="","",INDEX(Base!$F$5:$F$2004,$K1574))</f>
        <v/>
      </c>
      <c r="E1574" s="70" t="str">
        <f aca="false">IF($K1574="","",INDEX(Base!$G$5:$G$2004,$K1574))</f>
        <v/>
      </c>
      <c r="F1574" s="71" t="str">
        <f aca="false">IF($K1574="","",INDEX(Base!$H$5:$H$2004,$K1574))</f>
        <v/>
      </c>
      <c r="G1574" s="71" t="str">
        <f aca="false">IF($K1574="","",INDEX(Base!$I$5:$I$2004,$K1574))</f>
        <v/>
      </c>
      <c r="H1574" s="70" t="str">
        <f aca="false">IF($K1574="","",INDEX(Base!$J$5:$J$2004,$K1574))</f>
        <v/>
      </c>
      <c r="I1574" s="71" t="str">
        <f aca="false">IF($K1574="","",INDEX(Base!$L$5:$L$2004,$K1574))</f>
        <v/>
      </c>
      <c r="J1574" s="72" t="str">
        <f aca="false">IFERROR(SMALL(Base!$P$5:$P$2004,ROW()-5),"")</f>
        <v/>
      </c>
      <c r="K1574" s="72" t="str">
        <f aca="false">IF(J1574="","",MATCH(J1574,Base!$P$5:$P$2004,0))</f>
        <v/>
      </c>
    </row>
    <row r="1575" customFormat="false" ht="15" hidden="false" customHeight="false" outlineLevel="0" collapsed="false">
      <c r="A1575" s="67" t="str">
        <f aca="false">IF($K1575="","",ROW()-5)</f>
        <v/>
      </c>
      <c r="B1575" s="68" t="str">
        <f aca="false">IF($K1575="","",INDEX(Base!$E$5:$E$2004,$K1575))</f>
        <v/>
      </c>
      <c r="C1575" s="69" t="str">
        <f aca="false">IF($K1575="","",B1575)</f>
        <v/>
      </c>
      <c r="D1575" s="70" t="str">
        <f aca="false">IF($K1575="","",INDEX(Base!$F$5:$F$2004,$K1575))</f>
        <v/>
      </c>
      <c r="E1575" s="70" t="str">
        <f aca="false">IF($K1575="","",INDEX(Base!$G$5:$G$2004,$K1575))</f>
        <v/>
      </c>
      <c r="F1575" s="71" t="str">
        <f aca="false">IF($K1575="","",INDEX(Base!$H$5:$H$2004,$K1575))</f>
        <v/>
      </c>
      <c r="G1575" s="71" t="str">
        <f aca="false">IF($K1575="","",INDEX(Base!$I$5:$I$2004,$K1575))</f>
        <v/>
      </c>
      <c r="H1575" s="70" t="str">
        <f aca="false">IF($K1575="","",INDEX(Base!$J$5:$J$2004,$K1575))</f>
        <v/>
      </c>
      <c r="I1575" s="71" t="str">
        <f aca="false">IF($K1575="","",INDEX(Base!$L$5:$L$2004,$K1575))</f>
        <v/>
      </c>
      <c r="J1575" s="72" t="str">
        <f aca="false">IFERROR(SMALL(Base!$P$5:$P$2004,ROW()-5),"")</f>
        <v/>
      </c>
      <c r="K1575" s="72" t="str">
        <f aca="false">IF(J1575="","",MATCH(J1575,Base!$P$5:$P$2004,0))</f>
        <v/>
      </c>
    </row>
    <row r="1576" customFormat="false" ht="15" hidden="false" customHeight="false" outlineLevel="0" collapsed="false">
      <c r="A1576" s="67" t="str">
        <f aca="false">IF($K1576="","",ROW()-5)</f>
        <v/>
      </c>
      <c r="B1576" s="68" t="str">
        <f aca="false">IF($K1576="","",INDEX(Base!$E$5:$E$2004,$K1576))</f>
        <v/>
      </c>
      <c r="C1576" s="69" t="str">
        <f aca="false">IF($K1576="","",B1576)</f>
        <v/>
      </c>
      <c r="D1576" s="70" t="str">
        <f aca="false">IF($K1576="","",INDEX(Base!$F$5:$F$2004,$K1576))</f>
        <v/>
      </c>
      <c r="E1576" s="70" t="str">
        <f aca="false">IF($K1576="","",INDEX(Base!$G$5:$G$2004,$K1576))</f>
        <v/>
      </c>
      <c r="F1576" s="71" t="str">
        <f aca="false">IF($K1576="","",INDEX(Base!$H$5:$H$2004,$K1576))</f>
        <v/>
      </c>
      <c r="G1576" s="71" t="str">
        <f aca="false">IF($K1576="","",INDEX(Base!$I$5:$I$2004,$K1576))</f>
        <v/>
      </c>
      <c r="H1576" s="70" t="str">
        <f aca="false">IF($K1576="","",INDEX(Base!$J$5:$J$2004,$K1576))</f>
        <v/>
      </c>
      <c r="I1576" s="71" t="str">
        <f aca="false">IF($K1576="","",INDEX(Base!$L$5:$L$2004,$K1576))</f>
        <v/>
      </c>
      <c r="J1576" s="72" t="str">
        <f aca="false">IFERROR(SMALL(Base!$P$5:$P$2004,ROW()-5),"")</f>
        <v/>
      </c>
      <c r="K1576" s="72" t="str">
        <f aca="false">IF(J1576="","",MATCH(J1576,Base!$P$5:$P$2004,0))</f>
        <v/>
      </c>
    </row>
    <row r="1577" customFormat="false" ht="15" hidden="false" customHeight="false" outlineLevel="0" collapsed="false">
      <c r="A1577" s="67" t="str">
        <f aca="false">IF($K1577="","",ROW()-5)</f>
        <v/>
      </c>
      <c r="B1577" s="68" t="str">
        <f aca="false">IF($K1577="","",INDEX(Base!$E$5:$E$2004,$K1577))</f>
        <v/>
      </c>
      <c r="C1577" s="69" t="str">
        <f aca="false">IF($K1577="","",B1577)</f>
        <v/>
      </c>
      <c r="D1577" s="70" t="str">
        <f aca="false">IF($K1577="","",INDEX(Base!$F$5:$F$2004,$K1577))</f>
        <v/>
      </c>
      <c r="E1577" s="70" t="str">
        <f aca="false">IF($K1577="","",INDEX(Base!$G$5:$G$2004,$K1577))</f>
        <v/>
      </c>
      <c r="F1577" s="71" t="str">
        <f aca="false">IF($K1577="","",INDEX(Base!$H$5:$H$2004,$K1577))</f>
        <v/>
      </c>
      <c r="G1577" s="71" t="str">
        <f aca="false">IF($K1577="","",INDEX(Base!$I$5:$I$2004,$K1577))</f>
        <v/>
      </c>
      <c r="H1577" s="70" t="str">
        <f aca="false">IF($K1577="","",INDEX(Base!$J$5:$J$2004,$K1577))</f>
        <v/>
      </c>
      <c r="I1577" s="71" t="str">
        <f aca="false">IF($K1577="","",INDEX(Base!$L$5:$L$2004,$K1577))</f>
        <v/>
      </c>
      <c r="J1577" s="72" t="str">
        <f aca="false">IFERROR(SMALL(Base!$P$5:$P$2004,ROW()-5),"")</f>
        <v/>
      </c>
      <c r="K1577" s="72" t="str">
        <f aca="false">IF(J1577="","",MATCH(J1577,Base!$P$5:$P$2004,0))</f>
        <v/>
      </c>
    </row>
    <row r="1578" customFormat="false" ht="15" hidden="false" customHeight="false" outlineLevel="0" collapsed="false">
      <c r="A1578" s="67" t="str">
        <f aca="false">IF($K1578="","",ROW()-5)</f>
        <v/>
      </c>
      <c r="B1578" s="68" t="str">
        <f aca="false">IF($K1578="","",INDEX(Base!$E$5:$E$2004,$K1578))</f>
        <v/>
      </c>
      <c r="C1578" s="69" t="str">
        <f aca="false">IF($K1578="","",B1578)</f>
        <v/>
      </c>
      <c r="D1578" s="70" t="str">
        <f aca="false">IF($K1578="","",INDEX(Base!$F$5:$F$2004,$K1578))</f>
        <v/>
      </c>
      <c r="E1578" s="70" t="str">
        <f aca="false">IF($K1578="","",INDEX(Base!$G$5:$G$2004,$K1578))</f>
        <v/>
      </c>
      <c r="F1578" s="71" t="str">
        <f aca="false">IF($K1578="","",INDEX(Base!$H$5:$H$2004,$K1578))</f>
        <v/>
      </c>
      <c r="G1578" s="71" t="str">
        <f aca="false">IF($K1578="","",INDEX(Base!$I$5:$I$2004,$K1578))</f>
        <v/>
      </c>
      <c r="H1578" s="70" t="str">
        <f aca="false">IF($K1578="","",INDEX(Base!$J$5:$J$2004,$K1578))</f>
        <v/>
      </c>
      <c r="I1578" s="71" t="str">
        <f aca="false">IF($K1578="","",INDEX(Base!$L$5:$L$2004,$K1578))</f>
        <v/>
      </c>
      <c r="J1578" s="72" t="str">
        <f aca="false">IFERROR(SMALL(Base!$P$5:$P$2004,ROW()-5),"")</f>
        <v/>
      </c>
      <c r="K1578" s="72" t="str">
        <f aca="false">IF(J1578="","",MATCH(J1578,Base!$P$5:$P$2004,0))</f>
        <v/>
      </c>
    </row>
    <row r="1579" customFormat="false" ht="15" hidden="false" customHeight="false" outlineLevel="0" collapsed="false">
      <c r="A1579" s="67" t="str">
        <f aca="false">IF($K1579="","",ROW()-5)</f>
        <v/>
      </c>
      <c r="B1579" s="68" t="str">
        <f aca="false">IF($K1579="","",INDEX(Base!$E$5:$E$2004,$K1579))</f>
        <v/>
      </c>
      <c r="C1579" s="69" t="str">
        <f aca="false">IF($K1579="","",B1579)</f>
        <v/>
      </c>
      <c r="D1579" s="70" t="str">
        <f aca="false">IF($K1579="","",INDEX(Base!$F$5:$F$2004,$K1579))</f>
        <v/>
      </c>
      <c r="E1579" s="70" t="str">
        <f aca="false">IF($K1579="","",INDEX(Base!$G$5:$G$2004,$K1579))</f>
        <v/>
      </c>
      <c r="F1579" s="71" t="str">
        <f aca="false">IF($K1579="","",INDEX(Base!$H$5:$H$2004,$K1579))</f>
        <v/>
      </c>
      <c r="G1579" s="71" t="str">
        <f aca="false">IF($K1579="","",INDEX(Base!$I$5:$I$2004,$K1579))</f>
        <v/>
      </c>
      <c r="H1579" s="70" t="str">
        <f aca="false">IF($K1579="","",INDEX(Base!$J$5:$J$2004,$K1579))</f>
        <v/>
      </c>
      <c r="I1579" s="71" t="str">
        <f aca="false">IF($K1579="","",INDEX(Base!$L$5:$L$2004,$K1579))</f>
        <v/>
      </c>
      <c r="J1579" s="72" t="str">
        <f aca="false">IFERROR(SMALL(Base!$P$5:$P$2004,ROW()-5),"")</f>
        <v/>
      </c>
      <c r="K1579" s="72" t="str">
        <f aca="false">IF(J1579="","",MATCH(J1579,Base!$P$5:$P$2004,0))</f>
        <v/>
      </c>
    </row>
    <row r="1580" customFormat="false" ht="15" hidden="false" customHeight="false" outlineLevel="0" collapsed="false">
      <c r="A1580" s="67" t="str">
        <f aca="false">IF($K1580="","",ROW()-5)</f>
        <v/>
      </c>
      <c r="B1580" s="68" t="str">
        <f aca="false">IF($K1580="","",INDEX(Base!$E$5:$E$2004,$K1580))</f>
        <v/>
      </c>
      <c r="C1580" s="69" t="str">
        <f aca="false">IF($K1580="","",B1580)</f>
        <v/>
      </c>
      <c r="D1580" s="70" t="str">
        <f aca="false">IF($K1580="","",INDEX(Base!$F$5:$F$2004,$K1580))</f>
        <v/>
      </c>
      <c r="E1580" s="70" t="str">
        <f aca="false">IF($K1580="","",INDEX(Base!$G$5:$G$2004,$K1580))</f>
        <v/>
      </c>
      <c r="F1580" s="71" t="str">
        <f aca="false">IF($K1580="","",INDEX(Base!$H$5:$H$2004,$K1580))</f>
        <v/>
      </c>
      <c r="G1580" s="71" t="str">
        <f aca="false">IF($K1580="","",INDEX(Base!$I$5:$I$2004,$K1580))</f>
        <v/>
      </c>
      <c r="H1580" s="70" t="str">
        <f aca="false">IF($K1580="","",INDEX(Base!$J$5:$J$2004,$K1580))</f>
        <v/>
      </c>
      <c r="I1580" s="71" t="str">
        <f aca="false">IF($K1580="","",INDEX(Base!$L$5:$L$2004,$K1580))</f>
        <v/>
      </c>
      <c r="J1580" s="72" t="str">
        <f aca="false">IFERROR(SMALL(Base!$P$5:$P$2004,ROW()-5),"")</f>
        <v/>
      </c>
      <c r="K1580" s="72" t="str">
        <f aca="false">IF(J1580="","",MATCH(J1580,Base!$P$5:$P$2004,0))</f>
        <v/>
      </c>
    </row>
    <row r="1581" customFormat="false" ht="15" hidden="false" customHeight="false" outlineLevel="0" collapsed="false">
      <c r="A1581" s="67" t="str">
        <f aca="false">IF($K1581="","",ROW()-5)</f>
        <v/>
      </c>
      <c r="B1581" s="68" t="str">
        <f aca="false">IF($K1581="","",INDEX(Base!$E$5:$E$2004,$K1581))</f>
        <v/>
      </c>
      <c r="C1581" s="69" t="str">
        <f aca="false">IF($K1581="","",B1581)</f>
        <v/>
      </c>
      <c r="D1581" s="70" t="str">
        <f aca="false">IF($K1581="","",INDEX(Base!$F$5:$F$2004,$K1581))</f>
        <v/>
      </c>
      <c r="E1581" s="70" t="str">
        <f aca="false">IF($K1581="","",INDEX(Base!$G$5:$G$2004,$K1581))</f>
        <v/>
      </c>
      <c r="F1581" s="71" t="str">
        <f aca="false">IF($K1581="","",INDEX(Base!$H$5:$H$2004,$K1581))</f>
        <v/>
      </c>
      <c r="G1581" s="71" t="str">
        <f aca="false">IF($K1581="","",INDEX(Base!$I$5:$I$2004,$K1581))</f>
        <v/>
      </c>
      <c r="H1581" s="70" t="str">
        <f aca="false">IF($K1581="","",INDEX(Base!$J$5:$J$2004,$K1581))</f>
        <v/>
      </c>
      <c r="I1581" s="71" t="str">
        <f aca="false">IF($K1581="","",INDEX(Base!$L$5:$L$2004,$K1581))</f>
        <v/>
      </c>
      <c r="J1581" s="72" t="str">
        <f aca="false">IFERROR(SMALL(Base!$P$5:$P$2004,ROW()-5),"")</f>
        <v/>
      </c>
      <c r="K1581" s="72" t="str">
        <f aca="false">IF(J1581="","",MATCH(J1581,Base!$P$5:$P$2004,0))</f>
        <v/>
      </c>
    </row>
    <row r="1582" customFormat="false" ht="15" hidden="false" customHeight="false" outlineLevel="0" collapsed="false">
      <c r="A1582" s="67" t="str">
        <f aca="false">IF($K1582="","",ROW()-5)</f>
        <v/>
      </c>
      <c r="B1582" s="68" t="str">
        <f aca="false">IF($K1582="","",INDEX(Base!$E$5:$E$2004,$K1582))</f>
        <v/>
      </c>
      <c r="C1582" s="69" t="str">
        <f aca="false">IF($K1582="","",B1582)</f>
        <v/>
      </c>
      <c r="D1582" s="70" t="str">
        <f aca="false">IF($K1582="","",INDEX(Base!$F$5:$F$2004,$K1582))</f>
        <v/>
      </c>
      <c r="E1582" s="70" t="str">
        <f aca="false">IF($K1582="","",INDEX(Base!$G$5:$G$2004,$K1582))</f>
        <v/>
      </c>
      <c r="F1582" s="71" t="str">
        <f aca="false">IF($K1582="","",INDEX(Base!$H$5:$H$2004,$K1582))</f>
        <v/>
      </c>
      <c r="G1582" s="71" t="str">
        <f aca="false">IF($K1582="","",INDEX(Base!$I$5:$I$2004,$K1582))</f>
        <v/>
      </c>
      <c r="H1582" s="70" t="str">
        <f aca="false">IF($K1582="","",INDEX(Base!$J$5:$J$2004,$K1582))</f>
        <v/>
      </c>
      <c r="I1582" s="71" t="str">
        <f aca="false">IF($K1582="","",INDEX(Base!$L$5:$L$2004,$K1582))</f>
        <v/>
      </c>
      <c r="J1582" s="72" t="str">
        <f aca="false">IFERROR(SMALL(Base!$P$5:$P$2004,ROW()-5),"")</f>
        <v/>
      </c>
      <c r="K1582" s="72" t="str">
        <f aca="false">IF(J1582="","",MATCH(J1582,Base!$P$5:$P$2004,0))</f>
        <v/>
      </c>
    </row>
    <row r="1583" customFormat="false" ht="15" hidden="false" customHeight="false" outlineLevel="0" collapsed="false">
      <c r="A1583" s="67" t="str">
        <f aca="false">IF($K1583="","",ROW()-5)</f>
        <v/>
      </c>
      <c r="B1583" s="68" t="str">
        <f aca="false">IF($K1583="","",INDEX(Base!$E$5:$E$2004,$K1583))</f>
        <v/>
      </c>
      <c r="C1583" s="69" t="str">
        <f aca="false">IF($K1583="","",B1583)</f>
        <v/>
      </c>
      <c r="D1583" s="70" t="str">
        <f aca="false">IF($K1583="","",INDEX(Base!$F$5:$F$2004,$K1583))</f>
        <v/>
      </c>
      <c r="E1583" s="70" t="str">
        <f aca="false">IF($K1583="","",INDEX(Base!$G$5:$G$2004,$K1583))</f>
        <v/>
      </c>
      <c r="F1583" s="71" t="str">
        <f aca="false">IF($K1583="","",INDEX(Base!$H$5:$H$2004,$K1583))</f>
        <v/>
      </c>
      <c r="G1583" s="71" t="str">
        <f aca="false">IF($K1583="","",INDEX(Base!$I$5:$I$2004,$K1583))</f>
        <v/>
      </c>
      <c r="H1583" s="70" t="str">
        <f aca="false">IF($K1583="","",INDEX(Base!$J$5:$J$2004,$K1583))</f>
        <v/>
      </c>
      <c r="I1583" s="71" t="str">
        <f aca="false">IF($K1583="","",INDEX(Base!$L$5:$L$2004,$K1583))</f>
        <v/>
      </c>
      <c r="J1583" s="72" t="str">
        <f aca="false">IFERROR(SMALL(Base!$P$5:$P$2004,ROW()-5),"")</f>
        <v/>
      </c>
      <c r="K1583" s="72" t="str">
        <f aca="false">IF(J1583="","",MATCH(J1583,Base!$P$5:$P$2004,0))</f>
        <v/>
      </c>
    </row>
    <row r="1584" customFormat="false" ht="15" hidden="false" customHeight="false" outlineLevel="0" collapsed="false">
      <c r="A1584" s="67" t="str">
        <f aca="false">IF($K1584="","",ROW()-5)</f>
        <v/>
      </c>
      <c r="B1584" s="68" t="str">
        <f aca="false">IF($K1584="","",INDEX(Base!$E$5:$E$2004,$K1584))</f>
        <v/>
      </c>
      <c r="C1584" s="69" t="str">
        <f aca="false">IF($K1584="","",B1584)</f>
        <v/>
      </c>
      <c r="D1584" s="70" t="str">
        <f aca="false">IF($K1584="","",INDEX(Base!$F$5:$F$2004,$K1584))</f>
        <v/>
      </c>
      <c r="E1584" s="70" t="str">
        <f aca="false">IF($K1584="","",INDEX(Base!$G$5:$G$2004,$K1584))</f>
        <v/>
      </c>
      <c r="F1584" s="71" t="str">
        <f aca="false">IF($K1584="","",INDEX(Base!$H$5:$H$2004,$K1584))</f>
        <v/>
      </c>
      <c r="G1584" s="71" t="str">
        <f aca="false">IF($K1584="","",INDEX(Base!$I$5:$I$2004,$K1584))</f>
        <v/>
      </c>
      <c r="H1584" s="70" t="str">
        <f aca="false">IF($K1584="","",INDEX(Base!$J$5:$J$2004,$K1584))</f>
        <v/>
      </c>
      <c r="I1584" s="71" t="str">
        <f aca="false">IF($K1584="","",INDEX(Base!$L$5:$L$2004,$K1584))</f>
        <v/>
      </c>
      <c r="J1584" s="72" t="str">
        <f aca="false">IFERROR(SMALL(Base!$P$5:$P$2004,ROW()-5),"")</f>
        <v/>
      </c>
      <c r="K1584" s="72" t="str">
        <f aca="false">IF(J1584="","",MATCH(J1584,Base!$P$5:$P$2004,0))</f>
        <v/>
      </c>
    </row>
    <row r="1585" customFormat="false" ht="15" hidden="false" customHeight="false" outlineLevel="0" collapsed="false">
      <c r="A1585" s="67" t="str">
        <f aca="false">IF($K1585="","",ROW()-5)</f>
        <v/>
      </c>
      <c r="B1585" s="68" t="str">
        <f aca="false">IF($K1585="","",INDEX(Base!$E$5:$E$2004,$K1585))</f>
        <v/>
      </c>
      <c r="C1585" s="69" t="str">
        <f aca="false">IF($K1585="","",B1585)</f>
        <v/>
      </c>
      <c r="D1585" s="70" t="str">
        <f aca="false">IF($K1585="","",INDEX(Base!$F$5:$F$2004,$K1585))</f>
        <v/>
      </c>
      <c r="E1585" s="70" t="str">
        <f aca="false">IF($K1585="","",INDEX(Base!$G$5:$G$2004,$K1585))</f>
        <v/>
      </c>
      <c r="F1585" s="71" t="str">
        <f aca="false">IF($K1585="","",INDEX(Base!$H$5:$H$2004,$K1585))</f>
        <v/>
      </c>
      <c r="G1585" s="71" t="str">
        <f aca="false">IF($K1585="","",INDEX(Base!$I$5:$I$2004,$K1585))</f>
        <v/>
      </c>
      <c r="H1585" s="70" t="str">
        <f aca="false">IF($K1585="","",INDEX(Base!$J$5:$J$2004,$K1585))</f>
        <v/>
      </c>
      <c r="I1585" s="71" t="str">
        <f aca="false">IF($K1585="","",INDEX(Base!$L$5:$L$2004,$K1585))</f>
        <v/>
      </c>
      <c r="J1585" s="72" t="str">
        <f aca="false">IFERROR(SMALL(Base!$P$5:$P$2004,ROW()-5),"")</f>
        <v/>
      </c>
      <c r="K1585" s="72" t="str">
        <f aca="false">IF(J1585="","",MATCH(J1585,Base!$P$5:$P$2004,0))</f>
        <v/>
      </c>
    </row>
    <row r="1586" customFormat="false" ht="15" hidden="false" customHeight="false" outlineLevel="0" collapsed="false">
      <c r="A1586" s="67" t="str">
        <f aca="false">IF($K1586="","",ROW()-5)</f>
        <v/>
      </c>
      <c r="B1586" s="68" t="str">
        <f aca="false">IF($K1586="","",INDEX(Base!$E$5:$E$2004,$K1586))</f>
        <v/>
      </c>
      <c r="C1586" s="69" t="str">
        <f aca="false">IF($K1586="","",B1586)</f>
        <v/>
      </c>
      <c r="D1586" s="70" t="str">
        <f aca="false">IF($K1586="","",INDEX(Base!$F$5:$F$2004,$K1586))</f>
        <v/>
      </c>
      <c r="E1586" s="70" t="str">
        <f aca="false">IF($K1586="","",INDEX(Base!$G$5:$G$2004,$K1586))</f>
        <v/>
      </c>
      <c r="F1586" s="71" t="str">
        <f aca="false">IF($K1586="","",INDEX(Base!$H$5:$H$2004,$K1586))</f>
        <v/>
      </c>
      <c r="G1586" s="71" t="str">
        <f aca="false">IF($K1586="","",INDEX(Base!$I$5:$I$2004,$K1586))</f>
        <v/>
      </c>
      <c r="H1586" s="70" t="str">
        <f aca="false">IF($K1586="","",INDEX(Base!$J$5:$J$2004,$K1586))</f>
        <v/>
      </c>
      <c r="I1586" s="71" t="str">
        <f aca="false">IF($K1586="","",INDEX(Base!$L$5:$L$2004,$K1586))</f>
        <v/>
      </c>
      <c r="J1586" s="72" t="str">
        <f aca="false">IFERROR(SMALL(Base!$P$5:$P$2004,ROW()-5),"")</f>
        <v/>
      </c>
      <c r="K1586" s="72" t="str">
        <f aca="false">IF(J1586="","",MATCH(J1586,Base!$P$5:$P$2004,0))</f>
        <v/>
      </c>
    </row>
    <row r="1587" customFormat="false" ht="15" hidden="false" customHeight="false" outlineLevel="0" collapsed="false">
      <c r="A1587" s="67" t="str">
        <f aca="false">IF($K1587="","",ROW()-5)</f>
        <v/>
      </c>
      <c r="B1587" s="68" t="str">
        <f aca="false">IF($K1587="","",INDEX(Base!$E$5:$E$2004,$K1587))</f>
        <v/>
      </c>
      <c r="C1587" s="69" t="str">
        <f aca="false">IF($K1587="","",B1587)</f>
        <v/>
      </c>
      <c r="D1587" s="70" t="str">
        <f aca="false">IF($K1587="","",INDEX(Base!$F$5:$F$2004,$K1587))</f>
        <v/>
      </c>
      <c r="E1587" s="70" t="str">
        <f aca="false">IF($K1587="","",INDEX(Base!$G$5:$G$2004,$K1587))</f>
        <v/>
      </c>
      <c r="F1587" s="71" t="str">
        <f aca="false">IF($K1587="","",INDEX(Base!$H$5:$H$2004,$K1587))</f>
        <v/>
      </c>
      <c r="G1587" s="71" t="str">
        <f aca="false">IF($K1587="","",INDEX(Base!$I$5:$I$2004,$K1587))</f>
        <v/>
      </c>
      <c r="H1587" s="70" t="str">
        <f aca="false">IF($K1587="","",INDEX(Base!$J$5:$J$2004,$K1587))</f>
        <v/>
      </c>
      <c r="I1587" s="71" t="str">
        <f aca="false">IF($K1587="","",INDEX(Base!$L$5:$L$2004,$K1587))</f>
        <v/>
      </c>
      <c r="J1587" s="72" t="str">
        <f aca="false">IFERROR(SMALL(Base!$P$5:$P$2004,ROW()-5),"")</f>
        <v/>
      </c>
      <c r="K1587" s="72" t="str">
        <f aca="false">IF(J1587="","",MATCH(J1587,Base!$P$5:$P$2004,0))</f>
        <v/>
      </c>
    </row>
    <row r="1588" customFormat="false" ht="15" hidden="false" customHeight="false" outlineLevel="0" collapsed="false">
      <c r="A1588" s="67" t="str">
        <f aca="false">IF($K1588="","",ROW()-5)</f>
        <v/>
      </c>
      <c r="B1588" s="68" t="str">
        <f aca="false">IF($K1588="","",INDEX(Base!$E$5:$E$2004,$K1588))</f>
        <v/>
      </c>
      <c r="C1588" s="69" t="str">
        <f aca="false">IF($K1588="","",B1588)</f>
        <v/>
      </c>
      <c r="D1588" s="70" t="str">
        <f aca="false">IF($K1588="","",INDEX(Base!$F$5:$F$2004,$K1588))</f>
        <v/>
      </c>
      <c r="E1588" s="70" t="str">
        <f aca="false">IF($K1588="","",INDEX(Base!$G$5:$G$2004,$K1588))</f>
        <v/>
      </c>
      <c r="F1588" s="71" t="str">
        <f aca="false">IF($K1588="","",INDEX(Base!$H$5:$H$2004,$K1588))</f>
        <v/>
      </c>
      <c r="G1588" s="71" t="str">
        <f aca="false">IF($K1588="","",INDEX(Base!$I$5:$I$2004,$K1588))</f>
        <v/>
      </c>
      <c r="H1588" s="70" t="str">
        <f aca="false">IF($K1588="","",INDEX(Base!$J$5:$J$2004,$K1588))</f>
        <v/>
      </c>
      <c r="I1588" s="71" t="str">
        <f aca="false">IF($K1588="","",INDEX(Base!$L$5:$L$2004,$K1588))</f>
        <v/>
      </c>
      <c r="J1588" s="72" t="str">
        <f aca="false">IFERROR(SMALL(Base!$P$5:$P$2004,ROW()-5),"")</f>
        <v/>
      </c>
      <c r="K1588" s="72" t="str">
        <f aca="false">IF(J1588="","",MATCH(J1588,Base!$P$5:$P$2004,0))</f>
        <v/>
      </c>
    </row>
    <row r="1589" customFormat="false" ht="15" hidden="false" customHeight="false" outlineLevel="0" collapsed="false">
      <c r="A1589" s="67" t="str">
        <f aca="false">IF($K1589="","",ROW()-5)</f>
        <v/>
      </c>
      <c r="B1589" s="68" t="str">
        <f aca="false">IF($K1589="","",INDEX(Base!$E$5:$E$2004,$K1589))</f>
        <v/>
      </c>
      <c r="C1589" s="69" t="str">
        <f aca="false">IF($K1589="","",B1589)</f>
        <v/>
      </c>
      <c r="D1589" s="70" t="str">
        <f aca="false">IF($K1589="","",INDEX(Base!$F$5:$F$2004,$K1589))</f>
        <v/>
      </c>
      <c r="E1589" s="70" t="str">
        <f aca="false">IF($K1589="","",INDEX(Base!$G$5:$G$2004,$K1589))</f>
        <v/>
      </c>
      <c r="F1589" s="71" t="str">
        <f aca="false">IF($K1589="","",INDEX(Base!$H$5:$H$2004,$K1589))</f>
        <v/>
      </c>
      <c r="G1589" s="71" t="str">
        <f aca="false">IF($K1589="","",INDEX(Base!$I$5:$I$2004,$K1589))</f>
        <v/>
      </c>
      <c r="H1589" s="70" t="str">
        <f aca="false">IF($K1589="","",INDEX(Base!$J$5:$J$2004,$K1589))</f>
        <v/>
      </c>
      <c r="I1589" s="71" t="str">
        <f aca="false">IF($K1589="","",INDEX(Base!$L$5:$L$2004,$K1589))</f>
        <v/>
      </c>
      <c r="J1589" s="72" t="str">
        <f aca="false">IFERROR(SMALL(Base!$P$5:$P$2004,ROW()-5),"")</f>
        <v/>
      </c>
      <c r="K1589" s="72" t="str">
        <f aca="false">IF(J1589="","",MATCH(J1589,Base!$P$5:$P$2004,0))</f>
        <v/>
      </c>
    </row>
    <row r="1590" customFormat="false" ht="15" hidden="false" customHeight="false" outlineLevel="0" collapsed="false">
      <c r="A1590" s="67" t="str">
        <f aca="false">IF($K1590="","",ROW()-5)</f>
        <v/>
      </c>
      <c r="B1590" s="68" t="str">
        <f aca="false">IF($K1590="","",INDEX(Base!$E$5:$E$2004,$K1590))</f>
        <v/>
      </c>
      <c r="C1590" s="69" t="str">
        <f aca="false">IF($K1590="","",B1590)</f>
        <v/>
      </c>
      <c r="D1590" s="70" t="str">
        <f aca="false">IF($K1590="","",INDEX(Base!$F$5:$F$2004,$K1590))</f>
        <v/>
      </c>
      <c r="E1590" s="70" t="str">
        <f aca="false">IF($K1590="","",INDEX(Base!$G$5:$G$2004,$K1590))</f>
        <v/>
      </c>
      <c r="F1590" s="71" t="str">
        <f aca="false">IF($K1590="","",INDEX(Base!$H$5:$H$2004,$K1590))</f>
        <v/>
      </c>
      <c r="G1590" s="71" t="str">
        <f aca="false">IF($K1590="","",INDEX(Base!$I$5:$I$2004,$K1590))</f>
        <v/>
      </c>
      <c r="H1590" s="70" t="str">
        <f aca="false">IF($K1590="","",INDEX(Base!$J$5:$J$2004,$K1590))</f>
        <v/>
      </c>
      <c r="I1590" s="71" t="str">
        <f aca="false">IF($K1590="","",INDEX(Base!$L$5:$L$2004,$K1590))</f>
        <v/>
      </c>
      <c r="J1590" s="72" t="str">
        <f aca="false">IFERROR(SMALL(Base!$P$5:$P$2004,ROW()-5),"")</f>
        <v/>
      </c>
      <c r="K1590" s="72" t="str">
        <f aca="false">IF(J1590="","",MATCH(J1590,Base!$P$5:$P$2004,0))</f>
        <v/>
      </c>
    </row>
    <row r="1591" customFormat="false" ht="15" hidden="false" customHeight="false" outlineLevel="0" collapsed="false">
      <c r="A1591" s="67" t="str">
        <f aca="false">IF($K1591="","",ROW()-5)</f>
        <v/>
      </c>
      <c r="B1591" s="68" t="str">
        <f aca="false">IF($K1591="","",INDEX(Base!$E$5:$E$2004,$K1591))</f>
        <v/>
      </c>
      <c r="C1591" s="69" t="str">
        <f aca="false">IF($K1591="","",B1591)</f>
        <v/>
      </c>
      <c r="D1591" s="70" t="str">
        <f aca="false">IF($K1591="","",INDEX(Base!$F$5:$F$2004,$K1591))</f>
        <v/>
      </c>
      <c r="E1591" s="70" t="str">
        <f aca="false">IF($K1591="","",INDEX(Base!$G$5:$G$2004,$K1591))</f>
        <v/>
      </c>
      <c r="F1591" s="71" t="str">
        <f aca="false">IF($K1591="","",INDEX(Base!$H$5:$H$2004,$K1591))</f>
        <v/>
      </c>
      <c r="G1591" s="71" t="str">
        <f aca="false">IF($K1591="","",INDEX(Base!$I$5:$I$2004,$K1591))</f>
        <v/>
      </c>
      <c r="H1591" s="70" t="str">
        <f aca="false">IF($K1591="","",INDEX(Base!$J$5:$J$2004,$K1591))</f>
        <v/>
      </c>
      <c r="I1591" s="71" t="str">
        <f aca="false">IF($K1591="","",INDEX(Base!$L$5:$L$2004,$K1591))</f>
        <v/>
      </c>
      <c r="J1591" s="72" t="str">
        <f aca="false">IFERROR(SMALL(Base!$P$5:$P$2004,ROW()-5),"")</f>
        <v/>
      </c>
      <c r="K1591" s="72" t="str">
        <f aca="false">IF(J1591="","",MATCH(J1591,Base!$P$5:$P$2004,0))</f>
        <v/>
      </c>
    </row>
    <row r="1592" customFormat="false" ht="15" hidden="false" customHeight="false" outlineLevel="0" collapsed="false">
      <c r="A1592" s="67" t="str">
        <f aca="false">IF($K1592="","",ROW()-5)</f>
        <v/>
      </c>
      <c r="B1592" s="68" t="str">
        <f aca="false">IF($K1592="","",INDEX(Base!$E$5:$E$2004,$K1592))</f>
        <v/>
      </c>
      <c r="C1592" s="69" t="str">
        <f aca="false">IF($K1592="","",B1592)</f>
        <v/>
      </c>
      <c r="D1592" s="70" t="str">
        <f aca="false">IF($K1592="","",INDEX(Base!$F$5:$F$2004,$K1592))</f>
        <v/>
      </c>
      <c r="E1592" s="70" t="str">
        <f aca="false">IF($K1592="","",INDEX(Base!$G$5:$G$2004,$K1592))</f>
        <v/>
      </c>
      <c r="F1592" s="71" t="str">
        <f aca="false">IF($K1592="","",INDEX(Base!$H$5:$H$2004,$K1592))</f>
        <v/>
      </c>
      <c r="G1592" s="71" t="str">
        <f aca="false">IF($K1592="","",INDEX(Base!$I$5:$I$2004,$K1592))</f>
        <v/>
      </c>
      <c r="H1592" s="70" t="str">
        <f aca="false">IF($K1592="","",INDEX(Base!$J$5:$J$2004,$K1592))</f>
        <v/>
      </c>
      <c r="I1592" s="71" t="str">
        <f aca="false">IF($K1592="","",INDEX(Base!$L$5:$L$2004,$K1592))</f>
        <v/>
      </c>
      <c r="J1592" s="72" t="str">
        <f aca="false">IFERROR(SMALL(Base!$P$5:$P$2004,ROW()-5),"")</f>
        <v/>
      </c>
      <c r="K1592" s="72" t="str">
        <f aca="false">IF(J1592="","",MATCH(J1592,Base!$P$5:$P$2004,0))</f>
        <v/>
      </c>
    </row>
    <row r="1593" customFormat="false" ht="15" hidden="false" customHeight="false" outlineLevel="0" collapsed="false">
      <c r="A1593" s="67" t="str">
        <f aca="false">IF($K1593="","",ROW()-5)</f>
        <v/>
      </c>
      <c r="B1593" s="68" t="str">
        <f aca="false">IF($K1593="","",INDEX(Base!$E$5:$E$2004,$K1593))</f>
        <v/>
      </c>
      <c r="C1593" s="69" t="str">
        <f aca="false">IF($K1593="","",B1593)</f>
        <v/>
      </c>
      <c r="D1593" s="70" t="str">
        <f aca="false">IF($K1593="","",INDEX(Base!$F$5:$F$2004,$K1593))</f>
        <v/>
      </c>
      <c r="E1593" s="70" t="str">
        <f aca="false">IF($K1593="","",INDEX(Base!$G$5:$G$2004,$K1593))</f>
        <v/>
      </c>
      <c r="F1593" s="71" t="str">
        <f aca="false">IF($K1593="","",INDEX(Base!$H$5:$H$2004,$K1593))</f>
        <v/>
      </c>
      <c r="G1593" s="71" t="str">
        <f aca="false">IF($K1593="","",INDEX(Base!$I$5:$I$2004,$K1593))</f>
        <v/>
      </c>
      <c r="H1593" s="70" t="str">
        <f aca="false">IF($K1593="","",INDEX(Base!$J$5:$J$2004,$K1593))</f>
        <v/>
      </c>
      <c r="I1593" s="71" t="str">
        <f aca="false">IF($K1593="","",INDEX(Base!$L$5:$L$2004,$K1593))</f>
        <v/>
      </c>
      <c r="J1593" s="72" t="str">
        <f aca="false">IFERROR(SMALL(Base!$P$5:$P$2004,ROW()-5),"")</f>
        <v/>
      </c>
      <c r="K1593" s="72" t="str">
        <f aca="false">IF(J1593="","",MATCH(J1593,Base!$P$5:$P$2004,0))</f>
        <v/>
      </c>
    </row>
    <row r="1594" customFormat="false" ht="15" hidden="false" customHeight="false" outlineLevel="0" collapsed="false">
      <c r="A1594" s="67" t="str">
        <f aca="false">IF($K1594="","",ROW()-5)</f>
        <v/>
      </c>
      <c r="B1594" s="68" t="str">
        <f aca="false">IF($K1594="","",INDEX(Base!$E$5:$E$2004,$K1594))</f>
        <v/>
      </c>
      <c r="C1594" s="69" t="str">
        <f aca="false">IF($K1594="","",B1594)</f>
        <v/>
      </c>
      <c r="D1594" s="70" t="str">
        <f aca="false">IF($K1594="","",INDEX(Base!$F$5:$F$2004,$K1594))</f>
        <v/>
      </c>
      <c r="E1594" s="70" t="str">
        <f aca="false">IF($K1594="","",INDEX(Base!$G$5:$G$2004,$K1594))</f>
        <v/>
      </c>
      <c r="F1594" s="71" t="str">
        <f aca="false">IF($K1594="","",INDEX(Base!$H$5:$H$2004,$K1594))</f>
        <v/>
      </c>
      <c r="G1594" s="71" t="str">
        <f aca="false">IF($K1594="","",INDEX(Base!$I$5:$I$2004,$K1594))</f>
        <v/>
      </c>
      <c r="H1594" s="70" t="str">
        <f aca="false">IF($K1594="","",INDEX(Base!$J$5:$J$2004,$K1594))</f>
        <v/>
      </c>
      <c r="I1594" s="71" t="str">
        <f aca="false">IF($K1594="","",INDEX(Base!$L$5:$L$2004,$K1594))</f>
        <v/>
      </c>
      <c r="J1594" s="72" t="str">
        <f aca="false">IFERROR(SMALL(Base!$P$5:$P$2004,ROW()-5),"")</f>
        <v/>
      </c>
      <c r="K1594" s="72" t="str">
        <f aca="false">IF(J1594="","",MATCH(J1594,Base!$P$5:$P$2004,0))</f>
        <v/>
      </c>
    </row>
    <row r="1595" customFormat="false" ht="15" hidden="false" customHeight="false" outlineLevel="0" collapsed="false">
      <c r="A1595" s="67" t="str">
        <f aca="false">IF($K1595="","",ROW()-5)</f>
        <v/>
      </c>
      <c r="B1595" s="68" t="str">
        <f aca="false">IF($K1595="","",INDEX(Base!$E$5:$E$2004,$K1595))</f>
        <v/>
      </c>
      <c r="C1595" s="69" t="str">
        <f aca="false">IF($K1595="","",B1595)</f>
        <v/>
      </c>
      <c r="D1595" s="70" t="str">
        <f aca="false">IF($K1595="","",INDEX(Base!$F$5:$F$2004,$K1595))</f>
        <v/>
      </c>
      <c r="E1595" s="70" t="str">
        <f aca="false">IF($K1595="","",INDEX(Base!$G$5:$G$2004,$K1595))</f>
        <v/>
      </c>
      <c r="F1595" s="71" t="str">
        <f aca="false">IF($K1595="","",INDEX(Base!$H$5:$H$2004,$K1595))</f>
        <v/>
      </c>
      <c r="G1595" s="71" t="str">
        <f aca="false">IF($K1595="","",INDEX(Base!$I$5:$I$2004,$K1595))</f>
        <v/>
      </c>
      <c r="H1595" s="70" t="str">
        <f aca="false">IF($K1595="","",INDEX(Base!$J$5:$J$2004,$K1595))</f>
        <v/>
      </c>
      <c r="I1595" s="71" t="str">
        <f aca="false">IF($K1595="","",INDEX(Base!$L$5:$L$2004,$K1595))</f>
        <v/>
      </c>
      <c r="J1595" s="72" t="str">
        <f aca="false">IFERROR(SMALL(Base!$P$5:$P$2004,ROW()-5),"")</f>
        <v/>
      </c>
      <c r="K1595" s="72" t="str">
        <f aca="false">IF(J1595="","",MATCH(J1595,Base!$P$5:$P$2004,0))</f>
        <v/>
      </c>
    </row>
    <row r="1596" customFormat="false" ht="15" hidden="false" customHeight="false" outlineLevel="0" collapsed="false">
      <c r="A1596" s="67" t="str">
        <f aca="false">IF($K1596="","",ROW()-5)</f>
        <v/>
      </c>
      <c r="B1596" s="68" t="str">
        <f aca="false">IF($K1596="","",INDEX(Base!$E$5:$E$2004,$K1596))</f>
        <v/>
      </c>
      <c r="C1596" s="69" t="str">
        <f aca="false">IF($K1596="","",B1596)</f>
        <v/>
      </c>
      <c r="D1596" s="70" t="str">
        <f aca="false">IF($K1596="","",INDEX(Base!$F$5:$F$2004,$K1596))</f>
        <v/>
      </c>
      <c r="E1596" s="70" t="str">
        <f aca="false">IF($K1596="","",INDEX(Base!$G$5:$G$2004,$K1596))</f>
        <v/>
      </c>
      <c r="F1596" s="71" t="str">
        <f aca="false">IF($K1596="","",INDEX(Base!$H$5:$H$2004,$K1596))</f>
        <v/>
      </c>
      <c r="G1596" s="71" t="str">
        <f aca="false">IF($K1596="","",INDEX(Base!$I$5:$I$2004,$K1596))</f>
        <v/>
      </c>
      <c r="H1596" s="70" t="str">
        <f aca="false">IF($K1596="","",INDEX(Base!$J$5:$J$2004,$K1596))</f>
        <v/>
      </c>
      <c r="I1596" s="71" t="str">
        <f aca="false">IF($K1596="","",INDEX(Base!$L$5:$L$2004,$K1596))</f>
        <v/>
      </c>
      <c r="J1596" s="72" t="str">
        <f aca="false">IFERROR(SMALL(Base!$P$5:$P$2004,ROW()-5),"")</f>
        <v/>
      </c>
      <c r="K1596" s="72" t="str">
        <f aca="false">IF(J1596="","",MATCH(J1596,Base!$P$5:$P$2004,0))</f>
        <v/>
      </c>
    </row>
    <row r="1597" customFormat="false" ht="15" hidden="false" customHeight="false" outlineLevel="0" collapsed="false">
      <c r="A1597" s="67" t="str">
        <f aca="false">IF($K1597="","",ROW()-5)</f>
        <v/>
      </c>
      <c r="B1597" s="68" t="str">
        <f aca="false">IF($K1597="","",INDEX(Base!$E$5:$E$2004,$K1597))</f>
        <v/>
      </c>
      <c r="C1597" s="69" t="str">
        <f aca="false">IF($K1597="","",B1597)</f>
        <v/>
      </c>
      <c r="D1597" s="70" t="str">
        <f aca="false">IF($K1597="","",INDEX(Base!$F$5:$F$2004,$K1597))</f>
        <v/>
      </c>
      <c r="E1597" s="70" t="str">
        <f aca="false">IF($K1597="","",INDEX(Base!$G$5:$G$2004,$K1597))</f>
        <v/>
      </c>
      <c r="F1597" s="71" t="str">
        <f aca="false">IF($K1597="","",INDEX(Base!$H$5:$H$2004,$K1597))</f>
        <v/>
      </c>
      <c r="G1597" s="71" t="str">
        <f aca="false">IF($K1597="","",INDEX(Base!$I$5:$I$2004,$K1597))</f>
        <v/>
      </c>
      <c r="H1597" s="70" t="str">
        <f aca="false">IF($K1597="","",INDEX(Base!$J$5:$J$2004,$K1597))</f>
        <v/>
      </c>
      <c r="I1597" s="71" t="str">
        <f aca="false">IF($K1597="","",INDEX(Base!$L$5:$L$2004,$K1597))</f>
        <v/>
      </c>
      <c r="J1597" s="72" t="str">
        <f aca="false">IFERROR(SMALL(Base!$P$5:$P$2004,ROW()-5),"")</f>
        <v/>
      </c>
      <c r="K1597" s="72" t="str">
        <f aca="false">IF(J1597="","",MATCH(J1597,Base!$P$5:$P$2004,0))</f>
        <v/>
      </c>
    </row>
    <row r="1598" customFormat="false" ht="15" hidden="false" customHeight="false" outlineLevel="0" collapsed="false">
      <c r="A1598" s="67" t="str">
        <f aca="false">IF($K1598="","",ROW()-5)</f>
        <v/>
      </c>
      <c r="B1598" s="68" t="str">
        <f aca="false">IF($K1598="","",INDEX(Base!$E$5:$E$2004,$K1598))</f>
        <v/>
      </c>
      <c r="C1598" s="69" t="str">
        <f aca="false">IF($K1598="","",B1598)</f>
        <v/>
      </c>
      <c r="D1598" s="70" t="str">
        <f aca="false">IF($K1598="","",INDEX(Base!$F$5:$F$2004,$K1598))</f>
        <v/>
      </c>
      <c r="E1598" s="70" t="str">
        <f aca="false">IF($K1598="","",INDEX(Base!$G$5:$G$2004,$K1598))</f>
        <v/>
      </c>
      <c r="F1598" s="71" t="str">
        <f aca="false">IF($K1598="","",INDEX(Base!$H$5:$H$2004,$K1598))</f>
        <v/>
      </c>
      <c r="G1598" s="71" t="str">
        <f aca="false">IF($K1598="","",INDEX(Base!$I$5:$I$2004,$K1598))</f>
        <v/>
      </c>
      <c r="H1598" s="70" t="str">
        <f aca="false">IF($K1598="","",INDEX(Base!$J$5:$J$2004,$K1598))</f>
        <v/>
      </c>
      <c r="I1598" s="71" t="str">
        <f aca="false">IF($K1598="","",INDEX(Base!$L$5:$L$2004,$K1598))</f>
        <v/>
      </c>
      <c r="J1598" s="72" t="str">
        <f aca="false">IFERROR(SMALL(Base!$P$5:$P$2004,ROW()-5),"")</f>
        <v/>
      </c>
      <c r="K1598" s="72" t="str">
        <f aca="false">IF(J1598="","",MATCH(J1598,Base!$P$5:$P$2004,0))</f>
        <v/>
      </c>
    </row>
    <row r="1599" customFormat="false" ht="15" hidden="false" customHeight="false" outlineLevel="0" collapsed="false">
      <c r="A1599" s="67" t="str">
        <f aca="false">IF($K1599="","",ROW()-5)</f>
        <v/>
      </c>
      <c r="B1599" s="68" t="str">
        <f aca="false">IF($K1599="","",INDEX(Base!$E$5:$E$2004,$K1599))</f>
        <v/>
      </c>
      <c r="C1599" s="69" t="str">
        <f aca="false">IF($K1599="","",B1599)</f>
        <v/>
      </c>
      <c r="D1599" s="70" t="str">
        <f aca="false">IF($K1599="","",INDEX(Base!$F$5:$F$2004,$K1599))</f>
        <v/>
      </c>
      <c r="E1599" s="70" t="str">
        <f aca="false">IF($K1599="","",INDEX(Base!$G$5:$G$2004,$K1599))</f>
        <v/>
      </c>
      <c r="F1599" s="71" t="str">
        <f aca="false">IF($K1599="","",INDEX(Base!$H$5:$H$2004,$K1599))</f>
        <v/>
      </c>
      <c r="G1599" s="71" t="str">
        <f aca="false">IF($K1599="","",INDEX(Base!$I$5:$I$2004,$K1599))</f>
        <v/>
      </c>
      <c r="H1599" s="70" t="str">
        <f aca="false">IF($K1599="","",INDEX(Base!$J$5:$J$2004,$K1599))</f>
        <v/>
      </c>
      <c r="I1599" s="71" t="str">
        <f aca="false">IF($K1599="","",INDEX(Base!$L$5:$L$2004,$K1599))</f>
        <v/>
      </c>
      <c r="J1599" s="72" t="str">
        <f aca="false">IFERROR(SMALL(Base!$P$5:$P$2004,ROW()-5),"")</f>
        <v/>
      </c>
      <c r="K1599" s="72" t="str">
        <f aca="false">IF(J1599="","",MATCH(J1599,Base!$P$5:$P$2004,0))</f>
        <v/>
      </c>
    </row>
    <row r="1600" customFormat="false" ht="15" hidden="false" customHeight="false" outlineLevel="0" collapsed="false">
      <c r="A1600" s="67" t="str">
        <f aca="false">IF($K1600="","",ROW()-5)</f>
        <v/>
      </c>
      <c r="B1600" s="68" t="str">
        <f aca="false">IF($K1600="","",INDEX(Base!$E$5:$E$2004,$K1600))</f>
        <v/>
      </c>
      <c r="C1600" s="69" t="str">
        <f aca="false">IF($K1600="","",B1600)</f>
        <v/>
      </c>
      <c r="D1600" s="70" t="str">
        <f aca="false">IF($K1600="","",INDEX(Base!$F$5:$F$2004,$K1600))</f>
        <v/>
      </c>
      <c r="E1600" s="70" t="str">
        <f aca="false">IF($K1600="","",INDEX(Base!$G$5:$G$2004,$K1600))</f>
        <v/>
      </c>
      <c r="F1600" s="71" t="str">
        <f aca="false">IF($K1600="","",INDEX(Base!$H$5:$H$2004,$K1600))</f>
        <v/>
      </c>
      <c r="G1600" s="71" t="str">
        <f aca="false">IF($K1600="","",INDEX(Base!$I$5:$I$2004,$K1600))</f>
        <v/>
      </c>
      <c r="H1600" s="70" t="str">
        <f aca="false">IF($K1600="","",INDEX(Base!$J$5:$J$2004,$K1600))</f>
        <v/>
      </c>
      <c r="I1600" s="71" t="str">
        <f aca="false">IF($K1600="","",INDEX(Base!$L$5:$L$2004,$K1600))</f>
        <v/>
      </c>
      <c r="J1600" s="72" t="str">
        <f aca="false">IFERROR(SMALL(Base!$P$5:$P$2004,ROW()-5),"")</f>
        <v/>
      </c>
      <c r="K1600" s="72" t="str">
        <f aca="false">IF(J1600="","",MATCH(J1600,Base!$P$5:$P$2004,0))</f>
        <v/>
      </c>
    </row>
    <row r="1601" customFormat="false" ht="15" hidden="false" customHeight="false" outlineLevel="0" collapsed="false">
      <c r="A1601" s="67" t="str">
        <f aca="false">IF($K1601="","",ROW()-5)</f>
        <v/>
      </c>
      <c r="B1601" s="68" t="str">
        <f aca="false">IF($K1601="","",INDEX(Base!$E$5:$E$2004,$K1601))</f>
        <v/>
      </c>
      <c r="C1601" s="69" t="str">
        <f aca="false">IF($K1601="","",B1601)</f>
        <v/>
      </c>
      <c r="D1601" s="70" t="str">
        <f aca="false">IF($K1601="","",INDEX(Base!$F$5:$F$2004,$K1601))</f>
        <v/>
      </c>
      <c r="E1601" s="70" t="str">
        <f aca="false">IF($K1601="","",INDEX(Base!$G$5:$G$2004,$K1601))</f>
        <v/>
      </c>
      <c r="F1601" s="71" t="str">
        <f aca="false">IF($K1601="","",INDEX(Base!$H$5:$H$2004,$K1601))</f>
        <v/>
      </c>
      <c r="G1601" s="71" t="str">
        <f aca="false">IF($K1601="","",INDEX(Base!$I$5:$I$2004,$K1601))</f>
        <v/>
      </c>
      <c r="H1601" s="70" t="str">
        <f aca="false">IF($K1601="","",INDEX(Base!$J$5:$J$2004,$K1601))</f>
        <v/>
      </c>
      <c r="I1601" s="71" t="str">
        <f aca="false">IF($K1601="","",INDEX(Base!$L$5:$L$2004,$K1601))</f>
        <v/>
      </c>
      <c r="J1601" s="72" t="str">
        <f aca="false">IFERROR(SMALL(Base!$P$5:$P$2004,ROW()-5),"")</f>
        <v/>
      </c>
      <c r="K1601" s="72" t="str">
        <f aca="false">IF(J1601="","",MATCH(J1601,Base!$P$5:$P$2004,0))</f>
        <v/>
      </c>
    </row>
    <row r="1602" customFormat="false" ht="15" hidden="false" customHeight="false" outlineLevel="0" collapsed="false">
      <c r="A1602" s="67" t="str">
        <f aca="false">IF($K1602="","",ROW()-5)</f>
        <v/>
      </c>
      <c r="B1602" s="68" t="str">
        <f aca="false">IF($K1602="","",INDEX(Base!$E$5:$E$2004,$K1602))</f>
        <v/>
      </c>
      <c r="C1602" s="69" t="str">
        <f aca="false">IF($K1602="","",B1602)</f>
        <v/>
      </c>
      <c r="D1602" s="70" t="str">
        <f aca="false">IF($K1602="","",INDEX(Base!$F$5:$F$2004,$K1602))</f>
        <v/>
      </c>
      <c r="E1602" s="70" t="str">
        <f aca="false">IF($K1602="","",INDEX(Base!$G$5:$G$2004,$K1602))</f>
        <v/>
      </c>
      <c r="F1602" s="71" t="str">
        <f aca="false">IF($K1602="","",INDEX(Base!$H$5:$H$2004,$K1602))</f>
        <v/>
      </c>
      <c r="G1602" s="71" t="str">
        <f aca="false">IF($K1602="","",INDEX(Base!$I$5:$I$2004,$K1602))</f>
        <v/>
      </c>
      <c r="H1602" s="70" t="str">
        <f aca="false">IF($K1602="","",INDEX(Base!$J$5:$J$2004,$K1602))</f>
        <v/>
      </c>
      <c r="I1602" s="71" t="str">
        <f aca="false">IF($K1602="","",INDEX(Base!$L$5:$L$2004,$K1602))</f>
        <v/>
      </c>
      <c r="J1602" s="72" t="str">
        <f aca="false">IFERROR(SMALL(Base!$P$5:$P$2004,ROW()-5),"")</f>
        <v/>
      </c>
      <c r="K1602" s="72" t="str">
        <f aca="false">IF(J1602="","",MATCH(J1602,Base!$P$5:$P$2004,0))</f>
        <v/>
      </c>
    </row>
    <row r="1603" customFormat="false" ht="15" hidden="false" customHeight="false" outlineLevel="0" collapsed="false">
      <c r="A1603" s="67" t="str">
        <f aca="false">IF($K1603="","",ROW()-5)</f>
        <v/>
      </c>
      <c r="B1603" s="68" t="str">
        <f aca="false">IF($K1603="","",INDEX(Base!$E$5:$E$2004,$K1603))</f>
        <v/>
      </c>
      <c r="C1603" s="69" t="str">
        <f aca="false">IF($K1603="","",B1603)</f>
        <v/>
      </c>
      <c r="D1603" s="70" t="str">
        <f aca="false">IF($K1603="","",INDEX(Base!$F$5:$F$2004,$K1603))</f>
        <v/>
      </c>
      <c r="E1603" s="70" t="str">
        <f aca="false">IF($K1603="","",INDEX(Base!$G$5:$G$2004,$K1603))</f>
        <v/>
      </c>
      <c r="F1603" s="71" t="str">
        <f aca="false">IF($K1603="","",INDEX(Base!$H$5:$H$2004,$K1603))</f>
        <v/>
      </c>
      <c r="G1603" s="71" t="str">
        <f aca="false">IF($K1603="","",INDEX(Base!$I$5:$I$2004,$K1603))</f>
        <v/>
      </c>
      <c r="H1603" s="70" t="str">
        <f aca="false">IF($K1603="","",INDEX(Base!$J$5:$J$2004,$K1603))</f>
        <v/>
      </c>
      <c r="I1603" s="71" t="str">
        <f aca="false">IF($K1603="","",INDEX(Base!$L$5:$L$2004,$K1603))</f>
        <v/>
      </c>
      <c r="J1603" s="72" t="str">
        <f aca="false">IFERROR(SMALL(Base!$P$5:$P$2004,ROW()-5),"")</f>
        <v/>
      </c>
      <c r="K1603" s="72" t="str">
        <f aca="false">IF(J1603="","",MATCH(J1603,Base!$P$5:$P$2004,0))</f>
        <v/>
      </c>
    </row>
    <row r="1604" customFormat="false" ht="15" hidden="false" customHeight="false" outlineLevel="0" collapsed="false">
      <c r="A1604" s="67" t="str">
        <f aca="false">IF($K1604="","",ROW()-5)</f>
        <v/>
      </c>
      <c r="B1604" s="68" t="str">
        <f aca="false">IF($K1604="","",INDEX(Base!$E$5:$E$2004,$K1604))</f>
        <v/>
      </c>
      <c r="C1604" s="69" t="str">
        <f aca="false">IF($K1604="","",B1604)</f>
        <v/>
      </c>
      <c r="D1604" s="70" t="str">
        <f aca="false">IF($K1604="","",INDEX(Base!$F$5:$F$2004,$K1604))</f>
        <v/>
      </c>
      <c r="E1604" s="70" t="str">
        <f aca="false">IF($K1604="","",INDEX(Base!$G$5:$G$2004,$K1604))</f>
        <v/>
      </c>
      <c r="F1604" s="71" t="str">
        <f aca="false">IF($K1604="","",INDEX(Base!$H$5:$H$2004,$K1604))</f>
        <v/>
      </c>
      <c r="G1604" s="71" t="str">
        <f aca="false">IF($K1604="","",INDEX(Base!$I$5:$I$2004,$K1604))</f>
        <v/>
      </c>
      <c r="H1604" s="70" t="str">
        <f aca="false">IF($K1604="","",INDEX(Base!$J$5:$J$2004,$K1604))</f>
        <v/>
      </c>
      <c r="I1604" s="71" t="str">
        <f aca="false">IF($K1604="","",INDEX(Base!$L$5:$L$2004,$K1604))</f>
        <v/>
      </c>
      <c r="J1604" s="72" t="str">
        <f aca="false">IFERROR(SMALL(Base!$P$5:$P$2004,ROW()-5),"")</f>
        <v/>
      </c>
      <c r="K1604" s="72" t="str">
        <f aca="false">IF(J1604="","",MATCH(J1604,Base!$P$5:$P$2004,0))</f>
        <v/>
      </c>
    </row>
    <row r="1605" customFormat="false" ht="15" hidden="false" customHeight="false" outlineLevel="0" collapsed="false">
      <c r="A1605" s="67" t="str">
        <f aca="false">IF($K1605="","",ROW()-5)</f>
        <v/>
      </c>
      <c r="B1605" s="68" t="str">
        <f aca="false">IF($K1605="","",INDEX(Base!$E$5:$E$2004,$K1605))</f>
        <v/>
      </c>
      <c r="C1605" s="69" t="str">
        <f aca="false">IF($K1605="","",B1605)</f>
        <v/>
      </c>
      <c r="D1605" s="70" t="str">
        <f aca="false">IF($K1605="","",INDEX(Base!$F$5:$F$2004,$K1605))</f>
        <v/>
      </c>
      <c r="E1605" s="70" t="str">
        <f aca="false">IF($K1605="","",INDEX(Base!$G$5:$G$2004,$K1605))</f>
        <v/>
      </c>
      <c r="F1605" s="71" t="str">
        <f aca="false">IF($K1605="","",INDEX(Base!$H$5:$H$2004,$K1605))</f>
        <v/>
      </c>
      <c r="G1605" s="71" t="str">
        <f aca="false">IF($K1605="","",INDEX(Base!$I$5:$I$2004,$K1605))</f>
        <v/>
      </c>
      <c r="H1605" s="70" t="str">
        <f aca="false">IF($K1605="","",INDEX(Base!$J$5:$J$2004,$K1605))</f>
        <v/>
      </c>
      <c r="I1605" s="71" t="str">
        <f aca="false">IF($K1605="","",INDEX(Base!$L$5:$L$2004,$K1605))</f>
        <v/>
      </c>
      <c r="J1605" s="72" t="str">
        <f aca="false">IFERROR(SMALL(Base!$P$5:$P$2004,ROW()-5),"")</f>
        <v/>
      </c>
      <c r="K1605" s="72" t="str">
        <f aca="false">IF(J1605="","",MATCH(J1605,Base!$P$5:$P$2004,0))</f>
        <v/>
      </c>
    </row>
    <row r="1606" customFormat="false" ht="15" hidden="false" customHeight="false" outlineLevel="0" collapsed="false">
      <c r="A1606" s="67" t="str">
        <f aca="false">IF($K1606="","",ROW()-5)</f>
        <v/>
      </c>
      <c r="B1606" s="68" t="str">
        <f aca="false">IF($K1606="","",INDEX(Base!$E$5:$E$2004,$K1606))</f>
        <v/>
      </c>
      <c r="C1606" s="69" t="str">
        <f aca="false">IF($K1606="","",B1606)</f>
        <v/>
      </c>
      <c r="D1606" s="70" t="str">
        <f aca="false">IF($K1606="","",INDEX(Base!$F$5:$F$2004,$K1606))</f>
        <v/>
      </c>
      <c r="E1606" s="70" t="str">
        <f aca="false">IF($K1606="","",INDEX(Base!$G$5:$G$2004,$K1606))</f>
        <v/>
      </c>
      <c r="F1606" s="71" t="str">
        <f aca="false">IF($K1606="","",INDEX(Base!$H$5:$H$2004,$K1606))</f>
        <v/>
      </c>
      <c r="G1606" s="71" t="str">
        <f aca="false">IF($K1606="","",INDEX(Base!$I$5:$I$2004,$K1606))</f>
        <v/>
      </c>
      <c r="H1606" s="70" t="str">
        <f aca="false">IF($K1606="","",INDEX(Base!$J$5:$J$2004,$K1606))</f>
        <v/>
      </c>
      <c r="I1606" s="71" t="str">
        <f aca="false">IF($K1606="","",INDEX(Base!$L$5:$L$2004,$K1606))</f>
        <v/>
      </c>
      <c r="J1606" s="72" t="str">
        <f aca="false">IFERROR(SMALL(Base!$P$5:$P$2004,ROW()-5),"")</f>
        <v/>
      </c>
      <c r="K1606" s="72" t="str">
        <f aca="false">IF(J1606="","",MATCH(J1606,Base!$P$5:$P$2004,0))</f>
        <v/>
      </c>
    </row>
    <row r="1607" customFormat="false" ht="15" hidden="false" customHeight="false" outlineLevel="0" collapsed="false">
      <c r="A1607" s="67" t="str">
        <f aca="false">IF($K1607="","",ROW()-5)</f>
        <v/>
      </c>
      <c r="B1607" s="68" t="str">
        <f aca="false">IF($K1607="","",INDEX(Base!$E$5:$E$2004,$K1607))</f>
        <v/>
      </c>
      <c r="C1607" s="69" t="str">
        <f aca="false">IF($K1607="","",B1607)</f>
        <v/>
      </c>
      <c r="D1607" s="70" t="str">
        <f aca="false">IF($K1607="","",INDEX(Base!$F$5:$F$2004,$K1607))</f>
        <v/>
      </c>
      <c r="E1607" s="70" t="str">
        <f aca="false">IF($K1607="","",INDEX(Base!$G$5:$G$2004,$K1607))</f>
        <v/>
      </c>
      <c r="F1607" s="71" t="str">
        <f aca="false">IF($K1607="","",INDEX(Base!$H$5:$H$2004,$K1607))</f>
        <v/>
      </c>
      <c r="G1607" s="71" t="str">
        <f aca="false">IF($K1607="","",INDEX(Base!$I$5:$I$2004,$K1607))</f>
        <v/>
      </c>
      <c r="H1607" s="70" t="str">
        <f aca="false">IF($K1607="","",INDEX(Base!$J$5:$J$2004,$K1607))</f>
        <v/>
      </c>
      <c r="I1607" s="71" t="str">
        <f aca="false">IF($K1607="","",INDEX(Base!$L$5:$L$2004,$K1607))</f>
        <v/>
      </c>
      <c r="J1607" s="72" t="str">
        <f aca="false">IFERROR(SMALL(Base!$P$5:$P$2004,ROW()-5),"")</f>
        <v/>
      </c>
      <c r="K1607" s="72" t="str">
        <f aca="false">IF(J1607="","",MATCH(J1607,Base!$P$5:$P$2004,0))</f>
        <v/>
      </c>
    </row>
    <row r="1608" customFormat="false" ht="15" hidden="false" customHeight="false" outlineLevel="0" collapsed="false">
      <c r="A1608" s="67" t="str">
        <f aca="false">IF($K1608="","",ROW()-5)</f>
        <v/>
      </c>
      <c r="B1608" s="68" t="str">
        <f aca="false">IF($K1608="","",INDEX(Base!$E$5:$E$2004,$K1608))</f>
        <v/>
      </c>
      <c r="C1608" s="69" t="str">
        <f aca="false">IF($K1608="","",B1608)</f>
        <v/>
      </c>
      <c r="D1608" s="70" t="str">
        <f aca="false">IF($K1608="","",INDEX(Base!$F$5:$F$2004,$K1608))</f>
        <v/>
      </c>
      <c r="E1608" s="70" t="str">
        <f aca="false">IF($K1608="","",INDEX(Base!$G$5:$G$2004,$K1608))</f>
        <v/>
      </c>
      <c r="F1608" s="71" t="str">
        <f aca="false">IF($K1608="","",INDEX(Base!$H$5:$H$2004,$K1608))</f>
        <v/>
      </c>
      <c r="G1608" s="71" t="str">
        <f aca="false">IF($K1608="","",INDEX(Base!$I$5:$I$2004,$K1608))</f>
        <v/>
      </c>
      <c r="H1608" s="70" t="str">
        <f aca="false">IF($K1608="","",INDEX(Base!$J$5:$J$2004,$K1608))</f>
        <v/>
      </c>
      <c r="I1608" s="71" t="str">
        <f aca="false">IF($K1608="","",INDEX(Base!$L$5:$L$2004,$K1608))</f>
        <v/>
      </c>
      <c r="J1608" s="72" t="str">
        <f aca="false">IFERROR(SMALL(Base!$P$5:$P$2004,ROW()-5),"")</f>
        <v/>
      </c>
      <c r="K1608" s="72" t="str">
        <f aca="false">IF(J1608="","",MATCH(J1608,Base!$P$5:$P$2004,0))</f>
        <v/>
      </c>
    </row>
    <row r="1609" customFormat="false" ht="15" hidden="false" customHeight="false" outlineLevel="0" collapsed="false">
      <c r="A1609" s="67" t="str">
        <f aca="false">IF($K1609="","",ROW()-5)</f>
        <v/>
      </c>
      <c r="B1609" s="68" t="str">
        <f aca="false">IF($K1609="","",INDEX(Base!$E$5:$E$2004,$K1609))</f>
        <v/>
      </c>
      <c r="C1609" s="69" t="str">
        <f aca="false">IF($K1609="","",B1609)</f>
        <v/>
      </c>
      <c r="D1609" s="70" t="str">
        <f aca="false">IF($K1609="","",INDEX(Base!$F$5:$F$2004,$K1609))</f>
        <v/>
      </c>
      <c r="E1609" s="70" t="str">
        <f aca="false">IF($K1609="","",INDEX(Base!$G$5:$G$2004,$K1609))</f>
        <v/>
      </c>
      <c r="F1609" s="71" t="str">
        <f aca="false">IF($K1609="","",INDEX(Base!$H$5:$H$2004,$K1609))</f>
        <v/>
      </c>
      <c r="G1609" s="71" t="str">
        <f aca="false">IF($K1609="","",INDEX(Base!$I$5:$I$2004,$K1609))</f>
        <v/>
      </c>
      <c r="H1609" s="70" t="str">
        <f aca="false">IF($K1609="","",INDEX(Base!$J$5:$J$2004,$K1609))</f>
        <v/>
      </c>
      <c r="I1609" s="71" t="str">
        <f aca="false">IF($K1609="","",INDEX(Base!$L$5:$L$2004,$K1609))</f>
        <v/>
      </c>
      <c r="J1609" s="72" t="str">
        <f aca="false">IFERROR(SMALL(Base!$P$5:$P$2004,ROW()-5),"")</f>
        <v/>
      </c>
      <c r="K1609" s="72" t="str">
        <f aca="false">IF(J1609="","",MATCH(J1609,Base!$P$5:$P$2004,0))</f>
        <v/>
      </c>
    </row>
    <row r="1610" customFormat="false" ht="15" hidden="false" customHeight="false" outlineLevel="0" collapsed="false">
      <c r="A1610" s="67" t="str">
        <f aca="false">IF($K1610="","",ROW()-5)</f>
        <v/>
      </c>
      <c r="B1610" s="68" t="str">
        <f aca="false">IF($K1610="","",INDEX(Base!$E$5:$E$2004,$K1610))</f>
        <v/>
      </c>
      <c r="C1610" s="69" t="str">
        <f aca="false">IF($K1610="","",B1610)</f>
        <v/>
      </c>
      <c r="D1610" s="70" t="str">
        <f aca="false">IF($K1610="","",INDEX(Base!$F$5:$F$2004,$K1610))</f>
        <v/>
      </c>
      <c r="E1610" s="70" t="str">
        <f aca="false">IF($K1610="","",INDEX(Base!$G$5:$G$2004,$K1610))</f>
        <v/>
      </c>
      <c r="F1610" s="71" t="str">
        <f aca="false">IF($K1610="","",INDEX(Base!$H$5:$H$2004,$K1610))</f>
        <v/>
      </c>
      <c r="G1610" s="71" t="str">
        <f aca="false">IF($K1610="","",INDEX(Base!$I$5:$I$2004,$K1610))</f>
        <v/>
      </c>
      <c r="H1610" s="70" t="str">
        <f aca="false">IF($K1610="","",INDEX(Base!$J$5:$J$2004,$K1610))</f>
        <v/>
      </c>
      <c r="I1610" s="71" t="str">
        <f aca="false">IF($K1610="","",INDEX(Base!$L$5:$L$2004,$K1610))</f>
        <v/>
      </c>
      <c r="J1610" s="72" t="str">
        <f aca="false">IFERROR(SMALL(Base!$P$5:$P$2004,ROW()-5),"")</f>
        <v/>
      </c>
      <c r="K1610" s="72" t="str">
        <f aca="false">IF(J1610="","",MATCH(J1610,Base!$P$5:$P$2004,0))</f>
        <v/>
      </c>
    </row>
    <row r="1611" customFormat="false" ht="15" hidden="false" customHeight="false" outlineLevel="0" collapsed="false">
      <c r="A1611" s="67" t="str">
        <f aca="false">IF($K1611="","",ROW()-5)</f>
        <v/>
      </c>
      <c r="B1611" s="68" t="str">
        <f aca="false">IF($K1611="","",INDEX(Base!$E$5:$E$2004,$K1611))</f>
        <v/>
      </c>
      <c r="C1611" s="69" t="str">
        <f aca="false">IF($K1611="","",B1611)</f>
        <v/>
      </c>
      <c r="D1611" s="70" t="str">
        <f aca="false">IF($K1611="","",INDEX(Base!$F$5:$F$2004,$K1611))</f>
        <v/>
      </c>
      <c r="E1611" s="70" t="str">
        <f aca="false">IF($K1611="","",INDEX(Base!$G$5:$G$2004,$K1611))</f>
        <v/>
      </c>
      <c r="F1611" s="71" t="str">
        <f aca="false">IF($K1611="","",INDEX(Base!$H$5:$H$2004,$K1611))</f>
        <v/>
      </c>
      <c r="G1611" s="71" t="str">
        <f aca="false">IF($K1611="","",INDEX(Base!$I$5:$I$2004,$K1611))</f>
        <v/>
      </c>
      <c r="H1611" s="70" t="str">
        <f aca="false">IF($K1611="","",INDEX(Base!$J$5:$J$2004,$K1611))</f>
        <v/>
      </c>
      <c r="I1611" s="71" t="str">
        <f aca="false">IF($K1611="","",INDEX(Base!$L$5:$L$2004,$K1611))</f>
        <v/>
      </c>
      <c r="J1611" s="72" t="str">
        <f aca="false">IFERROR(SMALL(Base!$P$5:$P$2004,ROW()-5),"")</f>
        <v/>
      </c>
      <c r="K1611" s="72" t="str">
        <f aca="false">IF(J1611="","",MATCH(J1611,Base!$P$5:$P$2004,0))</f>
        <v/>
      </c>
    </row>
    <row r="1612" customFormat="false" ht="15" hidden="false" customHeight="false" outlineLevel="0" collapsed="false">
      <c r="A1612" s="67" t="str">
        <f aca="false">IF($K1612="","",ROW()-5)</f>
        <v/>
      </c>
      <c r="B1612" s="68" t="str">
        <f aca="false">IF($K1612="","",INDEX(Base!$E$5:$E$2004,$K1612))</f>
        <v/>
      </c>
      <c r="C1612" s="69" t="str">
        <f aca="false">IF($K1612="","",B1612)</f>
        <v/>
      </c>
      <c r="D1612" s="70" t="str">
        <f aca="false">IF($K1612="","",INDEX(Base!$F$5:$F$2004,$K1612))</f>
        <v/>
      </c>
      <c r="E1612" s="70" t="str">
        <f aca="false">IF($K1612="","",INDEX(Base!$G$5:$G$2004,$K1612))</f>
        <v/>
      </c>
      <c r="F1612" s="71" t="str">
        <f aca="false">IF($K1612="","",INDEX(Base!$H$5:$H$2004,$K1612))</f>
        <v/>
      </c>
      <c r="G1612" s="71" t="str">
        <f aca="false">IF($K1612="","",INDEX(Base!$I$5:$I$2004,$K1612))</f>
        <v/>
      </c>
      <c r="H1612" s="70" t="str">
        <f aca="false">IF($K1612="","",INDEX(Base!$J$5:$J$2004,$K1612))</f>
        <v/>
      </c>
      <c r="I1612" s="71" t="str">
        <f aca="false">IF($K1612="","",INDEX(Base!$L$5:$L$2004,$K1612))</f>
        <v/>
      </c>
      <c r="J1612" s="72" t="str">
        <f aca="false">IFERROR(SMALL(Base!$P$5:$P$2004,ROW()-5),"")</f>
        <v/>
      </c>
      <c r="K1612" s="72" t="str">
        <f aca="false">IF(J1612="","",MATCH(J1612,Base!$P$5:$P$2004,0))</f>
        <v/>
      </c>
    </row>
    <row r="1613" customFormat="false" ht="15" hidden="false" customHeight="false" outlineLevel="0" collapsed="false">
      <c r="A1613" s="67" t="str">
        <f aca="false">IF($K1613="","",ROW()-5)</f>
        <v/>
      </c>
      <c r="B1613" s="68" t="str">
        <f aca="false">IF($K1613="","",INDEX(Base!$E$5:$E$2004,$K1613))</f>
        <v/>
      </c>
      <c r="C1613" s="69" t="str">
        <f aca="false">IF($K1613="","",B1613)</f>
        <v/>
      </c>
      <c r="D1613" s="70" t="str">
        <f aca="false">IF($K1613="","",INDEX(Base!$F$5:$F$2004,$K1613))</f>
        <v/>
      </c>
      <c r="E1613" s="70" t="str">
        <f aca="false">IF($K1613="","",INDEX(Base!$G$5:$G$2004,$K1613))</f>
        <v/>
      </c>
      <c r="F1613" s="71" t="str">
        <f aca="false">IF($K1613="","",INDEX(Base!$H$5:$H$2004,$K1613))</f>
        <v/>
      </c>
      <c r="G1613" s="71" t="str">
        <f aca="false">IF($K1613="","",INDEX(Base!$I$5:$I$2004,$K1613))</f>
        <v/>
      </c>
      <c r="H1613" s="70" t="str">
        <f aca="false">IF($K1613="","",INDEX(Base!$J$5:$J$2004,$K1613))</f>
        <v/>
      </c>
      <c r="I1613" s="71" t="str">
        <f aca="false">IF($K1613="","",INDEX(Base!$L$5:$L$2004,$K1613))</f>
        <v/>
      </c>
      <c r="J1613" s="72" t="str">
        <f aca="false">IFERROR(SMALL(Base!$P$5:$P$2004,ROW()-5),"")</f>
        <v/>
      </c>
      <c r="K1613" s="72" t="str">
        <f aca="false">IF(J1613="","",MATCH(J1613,Base!$P$5:$P$2004,0))</f>
        <v/>
      </c>
    </row>
    <row r="1614" customFormat="false" ht="15" hidden="false" customHeight="false" outlineLevel="0" collapsed="false">
      <c r="A1614" s="67" t="str">
        <f aca="false">IF($K1614="","",ROW()-5)</f>
        <v/>
      </c>
      <c r="B1614" s="68" t="str">
        <f aca="false">IF($K1614="","",INDEX(Base!$E$5:$E$2004,$K1614))</f>
        <v/>
      </c>
      <c r="C1614" s="69" t="str">
        <f aca="false">IF($K1614="","",B1614)</f>
        <v/>
      </c>
      <c r="D1614" s="70" t="str">
        <f aca="false">IF($K1614="","",INDEX(Base!$F$5:$F$2004,$K1614))</f>
        <v/>
      </c>
      <c r="E1614" s="70" t="str">
        <f aca="false">IF($K1614="","",INDEX(Base!$G$5:$G$2004,$K1614))</f>
        <v/>
      </c>
      <c r="F1614" s="71" t="str">
        <f aca="false">IF($K1614="","",INDEX(Base!$H$5:$H$2004,$K1614))</f>
        <v/>
      </c>
      <c r="G1614" s="71" t="str">
        <f aca="false">IF($K1614="","",INDEX(Base!$I$5:$I$2004,$K1614))</f>
        <v/>
      </c>
      <c r="H1614" s="70" t="str">
        <f aca="false">IF($K1614="","",INDEX(Base!$J$5:$J$2004,$K1614))</f>
        <v/>
      </c>
      <c r="I1614" s="71" t="str">
        <f aca="false">IF($K1614="","",INDEX(Base!$L$5:$L$2004,$K1614))</f>
        <v/>
      </c>
      <c r="J1614" s="72" t="str">
        <f aca="false">IFERROR(SMALL(Base!$P$5:$P$2004,ROW()-5),"")</f>
        <v/>
      </c>
      <c r="K1614" s="72" t="str">
        <f aca="false">IF(J1614="","",MATCH(J1614,Base!$P$5:$P$2004,0))</f>
        <v/>
      </c>
    </row>
    <row r="1615" customFormat="false" ht="15" hidden="false" customHeight="false" outlineLevel="0" collapsed="false">
      <c r="A1615" s="67" t="str">
        <f aca="false">IF($K1615="","",ROW()-5)</f>
        <v/>
      </c>
      <c r="B1615" s="68" t="str">
        <f aca="false">IF($K1615="","",INDEX(Base!$E$5:$E$2004,$K1615))</f>
        <v/>
      </c>
      <c r="C1615" s="69" t="str">
        <f aca="false">IF($K1615="","",B1615)</f>
        <v/>
      </c>
      <c r="D1615" s="70" t="str">
        <f aca="false">IF($K1615="","",INDEX(Base!$F$5:$F$2004,$K1615))</f>
        <v/>
      </c>
      <c r="E1615" s="70" t="str">
        <f aca="false">IF($K1615="","",INDEX(Base!$G$5:$G$2004,$K1615))</f>
        <v/>
      </c>
      <c r="F1615" s="71" t="str">
        <f aca="false">IF($K1615="","",INDEX(Base!$H$5:$H$2004,$K1615))</f>
        <v/>
      </c>
      <c r="G1615" s="71" t="str">
        <f aca="false">IF($K1615="","",INDEX(Base!$I$5:$I$2004,$K1615))</f>
        <v/>
      </c>
      <c r="H1615" s="70" t="str">
        <f aca="false">IF($K1615="","",INDEX(Base!$J$5:$J$2004,$K1615))</f>
        <v/>
      </c>
      <c r="I1615" s="71" t="str">
        <f aca="false">IF($K1615="","",INDEX(Base!$L$5:$L$2004,$K1615))</f>
        <v/>
      </c>
      <c r="J1615" s="72" t="str">
        <f aca="false">IFERROR(SMALL(Base!$P$5:$P$2004,ROW()-5),"")</f>
        <v/>
      </c>
      <c r="K1615" s="72" t="str">
        <f aca="false">IF(J1615="","",MATCH(J1615,Base!$P$5:$P$2004,0))</f>
        <v/>
      </c>
    </row>
    <row r="1616" customFormat="false" ht="15" hidden="false" customHeight="false" outlineLevel="0" collapsed="false">
      <c r="A1616" s="67" t="str">
        <f aca="false">IF($K1616="","",ROW()-5)</f>
        <v/>
      </c>
      <c r="B1616" s="68" t="str">
        <f aca="false">IF($K1616="","",INDEX(Base!$E$5:$E$2004,$K1616))</f>
        <v/>
      </c>
      <c r="C1616" s="69" t="str">
        <f aca="false">IF($K1616="","",B1616)</f>
        <v/>
      </c>
      <c r="D1616" s="70" t="str">
        <f aca="false">IF($K1616="","",INDEX(Base!$F$5:$F$2004,$K1616))</f>
        <v/>
      </c>
      <c r="E1616" s="70" t="str">
        <f aca="false">IF($K1616="","",INDEX(Base!$G$5:$G$2004,$K1616))</f>
        <v/>
      </c>
      <c r="F1616" s="71" t="str">
        <f aca="false">IF($K1616="","",INDEX(Base!$H$5:$H$2004,$K1616))</f>
        <v/>
      </c>
      <c r="G1616" s="71" t="str">
        <f aca="false">IF($K1616="","",INDEX(Base!$I$5:$I$2004,$K1616))</f>
        <v/>
      </c>
      <c r="H1616" s="70" t="str">
        <f aca="false">IF($K1616="","",INDEX(Base!$J$5:$J$2004,$K1616))</f>
        <v/>
      </c>
      <c r="I1616" s="71" t="str">
        <f aca="false">IF($K1616="","",INDEX(Base!$L$5:$L$2004,$K1616))</f>
        <v/>
      </c>
      <c r="J1616" s="72" t="str">
        <f aca="false">IFERROR(SMALL(Base!$P$5:$P$2004,ROW()-5),"")</f>
        <v/>
      </c>
      <c r="K1616" s="72" t="str">
        <f aca="false">IF(J1616="","",MATCH(J1616,Base!$P$5:$P$2004,0))</f>
        <v/>
      </c>
    </row>
    <row r="1617" customFormat="false" ht="15" hidden="false" customHeight="false" outlineLevel="0" collapsed="false">
      <c r="A1617" s="67" t="str">
        <f aca="false">IF($K1617="","",ROW()-5)</f>
        <v/>
      </c>
      <c r="B1617" s="68" t="str">
        <f aca="false">IF($K1617="","",INDEX(Base!$E$5:$E$2004,$K1617))</f>
        <v/>
      </c>
      <c r="C1617" s="69" t="str">
        <f aca="false">IF($K1617="","",B1617)</f>
        <v/>
      </c>
      <c r="D1617" s="70" t="str">
        <f aca="false">IF($K1617="","",INDEX(Base!$F$5:$F$2004,$K1617))</f>
        <v/>
      </c>
      <c r="E1617" s="70" t="str">
        <f aca="false">IF($K1617="","",INDEX(Base!$G$5:$G$2004,$K1617))</f>
        <v/>
      </c>
      <c r="F1617" s="71" t="str">
        <f aca="false">IF($K1617="","",INDEX(Base!$H$5:$H$2004,$K1617))</f>
        <v/>
      </c>
      <c r="G1617" s="71" t="str">
        <f aca="false">IF($K1617="","",INDEX(Base!$I$5:$I$2004,$K1617))</f>
        <v/>
      </c>
      <c r="H1617" s="70" t="str">
        <f aca="false">IF($K1617="","",INDEX(Base!$J$5:$J$2004,$K1617))</f>
        <v/>
      </c>
      <c r="I1617" s="71" t="str">
        <f aca="false">IF($K1617="","",INDEX(Base!$L$5:$L$2004,$K1617))</f>
        <v/>
      </c>
      <c r="J1617" s="72" t="str">
        <f aca="false">IFERROR(SMALL(Base!$P$5:$P$2004,ROW()-5),"")</f>
        <v/>
      </c>
      <c r="K1617" s="72" t="str">
        <f aca="false">IF(J1617="","",MATCH(J1617,Base!$P$5:$P$2004,0))</f>
        <v/>
      </c>
    </row>
    <row r="1618" customFormat="false" ht="15" hidden="false" customHeight="false" outlineLevel="0" collapsed="false">
      <c r="A1618" s="67" t="str">
        <f aca="false">IF($K1618="","",ROW()-5)</f>
        <v/>
      </c>
      <c r="B1618" s="68" t="str">
        <f aca="false">IF($K1618="","",INDEX(Base!$E$5:$E$2004,$K1618))</f>
        <v/>
      </c>
      <c r="C1618" s="69" t="str">
        <f aca="false">IF($K1618="","",B1618)</f>
        <v/>
      </c>
      <c r="D1618" s="70" t="str">
        <f aca="false">IF($K1618="","",INDEX(Base!$F$5:$F$2004,$K1618))</f>
        <v/>
      </c>
      <c r="E1618" s="70" t="str">
        <f aca="false">IF($K1618="","",INDEX(Base!$G$5:$G$2004,$K1618))</f>
        <v/>
      </c>
      <c r="F1618" s="71" t="str">
        <f aca="false">IF($K1618="","",INDEX(Base!$H$5:$H$2004,$K1618))</f>
        <v/>
      </c>
      <c r="G1618" s="71" t="str">
        <f aca="false">IF($K1618="","",INDEX(Base!$I$5:$I$2004,$K1618))</f>
        <v/>
      </c>
      <c r="H1618" s="70" t="str">
        <f aca="false">IF($K1618="","",INDEX(Base!$J$5:$J$2004,$K1618))</f>
        <v/>
      </c>
      <c r="I1618" s="71" t="str">
        <f aca="false">IF($K1618="","",INDEX(Base!$L$5:$L$2004,$K1618))</f>
        <v/>
      </c>
      <c r="J1618" s="72" t="str">
        <f aca="false">IFERROR(SMALL(Base!$P$5:$P$2004,ROW()-5),"")</f>
        <v/>
      </c>
      <c r="K1618" s="72" t="str">
        <f aca="false">IF(J1618="","",MATCH(J1618,Base!$P$5:$P$2004,0))</f>
        <v/>
      </c>
    </row>
    <row r="1619" customFormat="false" ht="15" hidden="false" customHeight="false" outlineLevel="0" collapsed="false">
      <c r="A1619" s="67" t="str">
        <f aca="false">IF($K1619="","",ROW()-5)</f>
        <v/>
      </c>
      <c r="B1619" s="68" t="str">
        <f aca="false">IF($K1619="","",INDEX(Base!$E$5:$E$2004,$K1619))</f>
        <v/>
      </c>
      <c r="C1619" s="69" t="str">
        <f aca="false">IF($K1619="","",B1619)</f>
        <v/>
      </c>
      <c r="D1619" s="70" t="str">
        <f aca="false">IF($K1619="","",INDEX(Base!$F$5:$F$2004,$K1619))</f>
        <v/>
      </c>
      <c r="E1619" s="70" t="str">
        <f aca="false">IF($K1619="","",INDEX(Base!$G$5:$G$2004,$K1619))</f>
        <v/>
      </c>
      <c r="F1619" s="71" t="str">
        <f aca="false">IF($K1619="","",INDEX(Base!$H$5:$H$2004,$K1619))</f>
        <v/>
      </c>
      <c r="G1619" s="71" t="str">
        <f aca="false">IF($K1619="","",INDEX(Base!$I$5:$I$2004,$K1619))</f>
        <v/>
      </c>
      <c r="H1619" s="70" t="str">
        <f aca="false">IF($K1619="","",INDEX(Base!$J$5:$J$2004,$K1619))</f>
        <v/>
      </c>
      <c r="I1619" s="71" t="str">
        <f aca="false">IF($K1619="","",INDEX(Base!$L$5:$L$2004,$K1619))</f>
        <v/>
      </c>
      <c r="J1619" s="72" t="str">
        <f aca="false">IFERROR(SMALL(Base!$P$5:$P$2004,ROW()-5),"")</f>
        <v/>
      </c>
      <c r="K1619" s="72" t="str">
        <f aca="false">IF(J1619="","",MATCH(J1619,Base!$P$5:$P$2004,0))</f>
        <v/>
      </c>
    </row>
    <row r="1620" customFormat="false" ht="15" hidden="false" customHeight="false" outlineLevel="0" collapsed="false">
      <c r="A1620" s="67" t="str">
        <f aca="false">IF($K1620="","",ROW()-5)</f>
        <v/>
      </c>
      <c r="B1620" s="68" t="str">
        <f aca="false">IF($K1620="","",INDEX(Base!$E$5:$E$2004,$K1620))</f>
        <v/>
      </c>
      <c r="C1620" s="69" t="str">
        <f aca="false">IF($K1620="","",B1620)</f>
        <v/>
      </c>
      <c r="D1620" s="70" t="str">
        <f aca="false">IF($K1620="","",INDEX(Base!$F$5:$F$2004,$K1620))</f>
        <v/>
      </c>
      <c r="E1620" s="70" t="str">
        <f aca="false">IF($K1620="","",INDEX(Base!$G$5:$G$2004,$K1620))</f>
        <v/>
      </c>
      <c r="F1620" s="71" t="str">
        <f aca="false">IF($K1620="","",INDEX(Base!$H$5:$H$2004,$K1620))</f>
        <v/>
      </c>
      <c r="G1620" s="71" t="str">
        <f aca="false">IF($K1620="","",INDEX(Base!$I$5:$I$2004,$K1620))</f>
        <v/>
      </c>
      <c r="H1620" s="70" t="str">
        <f aca="false">IF($K1620="","",INDEX(Base!$J$5:$J$2004,$K1620))</f>
        <v/>
      </c>
      <c r="I1620" s="71" t="str">
        <f aca="false">IF($K1620="","",INDEX(Base!$L$5:$L$2004,$K1620))</f>
        <v/>
      </c>
      <c r="J1620" s="72" t="str">
        <f aca="false">IFERROR(SMALL(Base!$P$5:$P$2004,ROW()-5),"")</f>
        <v/>
      </c>
      <c r="K1620" s="72" t="str">
        <f aca="false">IF(J1620="","",MATCH(J1620,Base!$P$5:$P$2004,0))</f>
        <v/>
      </c>
    </row>
    <row r="1621" customFormat="false" ht="15" hidden="false" customHeight="false" outlineLevel="0" collapsed="false">
      <c r="A1621" s="67" t="str">
        <f aca="false">IF($K1621="","",ROW()-5)</f>
        <v/>
      </c>
      <c r="B1621" s="68" t="str">
        <f aca="false">IF($K1621="","",INDEX(Base!$E$5:$E$2004,$K1621))</f>
        <v/>
      </c>
      <c r="C1621" s="69" t="str">
        <f aca="false">IF($K1621="","",B1621)</f>
        <v/>
      </c>
      <c r="D1621" s="70" t="str">
        <f aca="false">IF($K1621="","",INDEX(Base!$F$5:$F$2004,$K1621))</f>
        <v/>
      </c>
      <c r="E1621" s="70" t="str">
        <f aca="false">IF($K1621="","",INDEX(Base!$G$5:$G$2004,$K1621))</f>
        <v/>
      </c>
      <c r="F1621" s="71" t="str">
        <f aca="false">IF($K1621="","",INDEX(Base!$H$5:$H$2004,$K1621))</f>
        <v/>
      </c>
      <c r="G1621" s="71" t="str">
        <f aca="false">IF($K1621="","",INDEX(Base!$I$5:$I$2004,$K1621))</f>
        <v/>
      </c>
      <c r="H1621" s="70" t="str">
        <f aca="false">IF($K1621="","",INDEX(Base!$J$5:$J$2004,$K1621))</f>
        <v/>
      </c>
      <c r="I1621" s="71" t="str">
        <f aca="false">IF($K1621="","",INDEX(Base!$L$5:$L$2004,$K1621))</f>
        <v/>
      </c>
      <c r="J1621" s="72" t="str">
        <f aca="false">IFERROR(SMALL(Base!$P$5:$P$2004,ROW()-5),"")</f>
        <v/>
      </c>
      <c r="K1621" s="72" t="str">
        <f aca="false">IF(J1621="","",MATCH(J1621,Base!$P$5:$P$2004,0))</f>
        <v/>
      </c>
    </row>
    <row r="1622" customFormat="false" ht="15" hidden="false" customHeight="false" outlineLevel="0" collapsed="false">
      <c r="A1622" s="67" t="str">
        <f aca="false">IF($K1622="","",ROW()-5)</f>
        <v/>
      </c>
      <c r="B1622" s="68" t="str">
        <f aca="false">IF($K1622="","",INDEX(Base!$E$5:$E$2004,$K1622))</f>
        <v/>
      </c>
      <c r="C1622" s="69" t="str">
        <f aca="false">IF($K1622="","",B1622)</f>
        <v/>
      </c>
      <c r="D1622" s="70" t="str">
        <f aca="false">IF($K1622="","",INDEX(Base!$F$5:$F$2004,$K1622))</f>
        <v/>
      </c>
      <c r="E1622" s="70" t="str">
        <f aca="false">IF($K1622="","",INDEX(Base!$G$5:$G$2004,$K1622))</f>
        <v/>
      </c>
      <c r="F1622" s="71" t="str">
        <f aca="false">IF($K1622="","",INDEX(Base!$H$5:$H$2004,$K1622))</f>
        <v/>
      </c>
      <c r="G1622" s="71" t="str">
        <f aca="false">IF($K1622="","",INDEX(Base!$I$5:$I$2004,$K1622))</f>
        <v/>
      </c>
      <c r="H1622" s="70" t="str">
        <f aca="false">IF($K1622="","",INDEX(Base!$J$5:$J$2004,$K1622))</f>
        <v/>
      </c>
      <c r="I1622" s="71" t="str">
        <f aca="false">IF($K1622="","",INDEX(Base!$L$5:$L$2004,$K1622))</f>
        <v/>
      </c>
      <c r="J1622" s="72" t="str">
        <f aca="false">IFERROR(SMALL(Base!$P$5:$P$2004,ROW()-5),"")</f>
        <v/>
      </c>
      <c r="K1622" s="72" t="str">
        <f aca="false">IF(J1622="","",MATCH(J1622,Base!$P$5:$P$2004,0))</f>
        <v/>
      </c>
    </row>
    <row r="1623" customFormat="false" ht="15" hidden="false" customHeight="false" outlineLevel="0" collapsed="false">
      <c r="A1623" s="67" t="str">
        <f aca="false">IF($K1623="","",ROW()-5)</f>
        <v/>
      </c>
      <c r="B1623" s="68" t="str">
        <f aca="false">IF($K1623="","",INDEX(Base!$E$5:$E$2004,$K1623))</f>
        <v/>
      </c>
      <c r="C1623" s="69" t="str">
        <f aca="false">IF($K1623="","",B1623)</f>
        <v/>
      </c>
      <c r="D1623" s="70" t="str">
        <f aca="false">IF($K1623="","",INDEX(Base!$F$5:$F$2004,$K1623))</f>
        <v/>
      </c>
      <c r="E1623" s="70" t="str">
        <f aca="false">IF($K1623="","",INDEX(Base!$G$5:$G$2004,$K1623))</f>
        <v/>
      </c>
      <c r="F1623" s="71" t="str">
        <f aca="false">IF($K1623="","",INDEX(Base!$H$5:$H$2004,$K1623))</f>
        <v/>
      </c>
      <c r="G1623" s="71" t="str">
        <f aca="false">IF($K1623="","",INDEX(Base!$I$5:$I$2004,$K1623))</f>
        <v/>
      </c>
      <c r="H1623" s="70" t="str">
        <f aca="false">IF($K1623="","",INDEX(Base!$J$5:$J$2004,$K1623))</f>
        <v/>
      </c>
      <c r="I1623" s="71" t="str">
        <f aca="false">IF($K1623="","",INDEX(Base!$L$5:$L$2004,$K1623))</f>
        <v/>
      </c>
      <c r="J1623" s="72" t="str">
        <f aca="false">IFERROR(SMALL(Base!$P$5:$P$2004,ROW()-5),"")</f>
        <v/>
      </c>
      <c r="K1623" s="72" t="str">
        <f aca="false">IF(J1623="","",MATCH(J1623,Base!$P$5:$P$2004,0))</f>
        <v/>
      </c>
    </row>
    <row r="1624" customFormat="false" ht="15" hidden="false" customHeight="false" outlineLevel="0" collapsed="false">
      <c r="A1624" s="67" t="str">
        <f aca="false">IF($K1624="","",ROW()-5)</f>
        <v/>
      </c>
      <c r="B1624" s="68" t="str">
        <f aca="false">IF($K1624="","",INDEX(Base!$E$5:$E$2004,$K1624))</f>
        <v/>
      </c>
      <c r="C1624" s="69" t="str">
        <f aca="false">IF($K1624="","",B1624)</f>
        <v/>
      </c>
      <c r="D1624" s="70" t="str">
        <f aca="false">IF($K1624="","",INDEX(Base!$F$5:$F$2004,$K1624))</f>
        <v/>
      </c>
      <c r="E1624" s="70" t="str">
        <f aca="false">IF($K1624="","",INDEX(Base!$G$5:$G$2004,$K1624))</f>
        <v/>
      </c>
      <c r="F1624" s="71" t="str">
        <f aca="false">IF($K1624="","",INDEX(Base!$H$5:$H$2004,$K1624))</f>
        <v/>
      </c>
      <c r="G1624" s="71" t="str">
        <f aca="false">IF($K1624="","",INDEX(Base!$I$5:$I$2004,$K1624))</f>
        <v/>
      </c>
      <c r="H1624" s="70" t="str">
        <f aca="false">IF($K1624="","",INDEX(Base!$J$5:$J$2004,$K1624))</f>
        <v/>
      </c>
      <c r="I1624" s="71" t="str">
        <f aca="false">IF($K1624="","",INDEX(Base!$L$5:$L$2004,$K1624))</f>
        <v/>
      </c>
      <c r="J1624" s="72" t="str">
        <f aca="false">IFERROR(SMALL(Base!$P$5:$P$2004,ROW()-5),"")</f>
        <v/>
      </c>
      <c r="K1624" s="72" t="str">
        <f aca="false">IF(J1624="","",MATCH(J1624,Base!$P$5:$P$2004,0))</f>
        <v/>
      </c>
    </row>
    <row r="1625" customFormat="false" ht="15" hidden="false" customHeight="false" outlineLevel="0" collapsed="false">
      <c r="A1625" s="67" t="str">
        <f aca="false">IF($K1625="","",ROW()-5)</f>
        <v/>
      </c>
      <c r="B1625" s="68" t="str">
        <f aca="false">IF($K1625="","",INDEX(Base!$E$5:$E$2004,$K1625))</f>
        <v/>
      </c>
      <c r="C1625" s="69" t="str">
        <f aca="false">IF($K1625="","",B1625)</f>
        <v/>
      </c>
      <c r="D1625" s="70" t="str">
        <f aca="false">IF($K1625="","",INDEX(Base!$F$5:$F$2004,$K1625))</f>
        <v/>
      </c>
      <c r="E1625" s="70" t="str">
        <f aca="false">IF($K1625="","",INDEX(Base!$G$5:$G$2004,$K1625))</f>
        <v/>
      </c>
      <c r="F1625" s="71" t="str">
        <f aca="false">IF($K1625="","",INDEX(Base!$H$5:$H$2004,$K1625))</f>
        <v/>
      </c>
      <c r="G1625" s="71" t="str">
        <f aca="false">IF($K1625="","",INDEX(Base!$I$5:$I$2004,$K1625))</f>
        <v/>
      </c>
      <c r="H1625" s="70" t="str">
        <f aca="false">IF($K1625="","",INDEX(Base!$J$5:$J$2004,$K1625))</f>
        <v/>
      </c>
      <c r="I1625" s="71" t="str">
        <f aca="false">IF($K1625="","",INDEX(Base!$L$5:$L$2004,$K1625))</f>
        <v/>
      </c>
      <c r="J1625" s="72" t="str">
        <f aca="false">IFERROR(SMALL(Base!$P$5:$P$2004,ROW()-5),"")</f>
        <v/>
      </c>
      <c r="K1625" s="72" t="str">
        <f aca="false">IF(J1625="","",MATCH(J1625,Base!$P$5:$P$2004,0))</f>
        <v/>
      </c>
    </row>
    <row r="1626" customFormat="false" ht="15" hidden="false" customHeight="false" outlineLevel="0" collapsed="false">
      <c r="A1626" s="67" t="str">
        <f aca="false">IF($K1626="","",ROW()-5)</f>
        <v/>
      </c>
      <c r="B1626" s="68" t="str">
        <f aca="false">IF($K1626="","",INDEX(Base!$E$5:$E$2004,$K1626))</f>
        <v/>
      </c>
      <c r="C1626" s="69" t="str">
        <f aca="false">IF($K1626="","",B1626)</f>
        <v/>
      </c>
      <c r="D1626" s="70" t="str">
        <f aca="false">IF($K1626="","",INDEX(Base!$F$5:$F$2004,$K1626))</f>
        <v/>
      </c>
      <c r="E1626" s="70" t="str">
        <f aca="false">IF($K1626="","",INDEX(Base!$G$5:$G$2004,$K1626))</f>
        <v/>
      </c>
      <c r="F1626" s="71" t="str">
        <f aca="false">IF($K1626="","",INDEX(Base!$H$5:$H$2004,$K1626))</f>
        <v/>
      </c>
      <c r="G1626" s="71" t="str">
        <f aca="false">IF($K1626="","",INDEX(Base!$I$5:$I$2004,$K1626))</f>
        <v/>
      </c>
      <c r="H1626" s="70" t="str">
        <f aca="false">IF($K1626="","",INDEX(Base!$J$5:$J$2004,$K1626))</f>
        <v/>
      </c>
      <c r="I1626" s="71" t="str">
        <f aca="false">IF($K1626="","",INDEX(Base!$L$5:$L$2004,$K1626))</f>
        <v/>
      </c>
      <c r="J1626" s="72" t="str">
        <f aca="false">IFERROR(SMALL(Base!$P$5:$P$2004,ROW()-5),"")</f>
        <v/>
      </c>
      <c r="K1626" s="72" t="str">
        <f aca="false">IF(J1626="","",MATCH(J1626,Base!$P$5:$P$2004,0))</f>
        <v/>
      </c>
    </row>
    <row r="1627" customFormat="false" ht="15" hidden="false" customHeight="false" outlineLevel="0" collapsed="false">
      <c r="A1627" s="67" t="str">
        <f aca="false">IF($K1627="","",ROW()-5)</f>
        <v/>
      </c>
      <c r="B1627" s="68" t="str">
        <f aca="false">IF($K1627="","",INDEX(Base!$E$5:$E$2004,$K1627))</f>
        <v/>
      </c>
      <c r="C1627" s="69" t="str">
        <f aca="false">IF($K1627="","",B1627)</f>
        <v/>
      </c>
      <c r="D1627" s="70" t="str">
        <f aca="false">IF($K1627="","",INDEX(Base!$F$5:$F$2004,$K1627))</f>
        <v/>
      </c>
      <c r="E1627" s="70" t="str">
        <f aca="false">IF($K1627="","",INDEX(Base!$G$5:$G$2004,$K1627))</f>
        <v/>
      </c>
      <c r="F1627" s="71" t="str">
        <f aca="false">IF($K1627="","",INDEX(Base!$H$5:$H$2004,$K1627))</f>
        <v/>
      </c>
      <c r="G1627" s="71" t="str">
        <f aca="false">IF($K1627="","",INDEX(Base!$I$5:$I$2004,$K1627))</f>
        <v/>
      </c>
      <c r="H1627" s="70" t="str">
        <f aca="false">IF($K1627="","",INDEX(Base!$J$5:$J$2004,$K1627))</f>
        <v/>
      </c>
      <c r="I1627" s="71" t="str">
        <f aca="false">IF($K1627="","",INDEX(Base!$L$5:$L$2004,$K1627))</f>
        <v/>
      </c>
      <c r="J1627" s="72" t="str">
        <f aca="false">IFERROR(SMALL(Base!$P$5:$P$2004,ROW()-5),"")</f>
        <v/>
      </c>
      <c r="K1627" s="72" t="str">
        <f aca="false">IF(J1627="","",MATCH(J1627,Base!$P$5:$P$2004,0))</f>
        <v/>
      </c>
    </row>
    <row r="1628" customFormat="false" ht="15" hidden="false" customHeight="false" outlineLevel="0" collapsed="false">
      <c r="A1628" s="67" t="str">
        <f aca="false">IF($K1628="","",ROW()-5)</f>
        <v/>
      </c>
      <c r="B1628" s="68" t="str">
        <f aca="false">IF($K1628="","",INDEX(Base!$E$5:$E$2004,$K1628))</f>
        <v/>
      </c>
      <c r="C1628" s="69" t="str">
        <f aca="false">IF($K1628="","",B1628)</f>
        <v/>
      </c>
      <c r="D1628" s="70" t="str">
        <f aca="false">IF($K1628="","",INDEX(Base!$F$5:$F$2004,$K1628))</f>
        <v/>
      </c>
      <c r="E1628" s="70" t="str">
        <f aca="false">IF($K1628="","",INDEX(Base!$G$5:$G$2004,$K1628))</f>
        <v/>
      </c>
      <c r="F1628" s="71" t="str">
        <f aca="false">IF($K1628="","",INDEX(Base!$H$5:$H$2004,$K1628))</f>
        <v/>
      </c>
      <c r="G1628" s="71" t="str">
        <f aca="false">IF($K1628="","",INDEX(Base!$I$5:$I$2004,$K1628))</f>
        <v/>
      </c>
      <c r="H1628" s="70" t="str">
        <f aca="false">IF($K1628="","",INDEX(Base!$J$5:$J$2004,$K1628))</f>
        <v/>
      </c>
      <c r="I1628" s="71" t="str">
        <f aca="false">IF($K1628="","",INDEX(Base!$L$5:$L$2004,$K1628))</f>
        <v/>
      </c>
      <c r="J1628" s="72" t="str">
        <f aca="false">IFERROR(SMALL(Base!$P$5:$P$2004,ROW()-5),"")</f>
        <v/>
      </c>
      <c r="K1628" s="72" t="str">
        <f aca="false">IF(J1628="","",MATCH(J1628,Base!$P$5:$P$2004,0))</f>
        <v/>
      </c>
    </row>
    <row r="1629" customFormat="false" ht="15" hidden="false" customHeight="false" outlineLevel="0" collapsed="false">
      <c r="A1629" s="67" t="str">
        <f aca="false">IF($K1629="","",ROW()-5)</f>
        <v/>
      </c>
      <c r="B1629" s="68" t="str">
        <f aca="false">IF($K1629="","",INDEX(Base!$E$5:$E$2004,$K1629))</f>
        <v/>
      </c>
      <c r="C1629" s="69" t="str">
        <f aca="false">IF($K1629="","",B1629)</f>
        <v/>
      </c>
      <c r="D1629" s="70" t="str">
        <f aca="false">IF($K1629="","",INDEX(Base!$F$5:$F$2004,$K1629))</f>
        <v/>
      </c>
      <c r="E1629" s="70" t="str">
        <f aca="false">IF($K1629="","",INDEX(Base!$G$5:$G$2004,$K1629))</f>
        <v/>
      </c>
      <c r="F1629" s="71" t="str">
        <f aca="false">IF($K1629="","",INDEX(Base!$H$5:$H$2004,$K1629))</f>
        <v/>
      </c>
      <c r="G1629" s="71" t="str">
        <f aca="false">IF($K1629="","",INDEX(Base!$I$5:$I$2004,$K1629))</f>
        <v/>
      </c>
      <c r="H1629" s="70" t="str">
        <f aca="false">IF($K1629="","",INDEX(Base!$J$5:$J$2004,$K1629))</f>
        <v/>
      </c>
      <c r="I1629" s="71" t="str">
        <f aca="false">IF($K1629="","",INDEX(Base!$L$5:$L$2004,$K1629))</f>
        <v/>
      </c>
      <c r="J1629" s="72" t="str">
        <f aca="false">IFERROR(SMALL(Base!$P$5:$P$2004,ROW()-5),"")</f>
        <v/>
      </c>
      <c r="K1629" s="72" t="str">
        <f aca="false">IF(J1629="","",MATCH(J1629,Base!$P$5:$P$2004,0))</f>
        <v/>
      </c>
    </row>
    <row r="1630" customFormat="false" ht="15" hidden="false" customHeight="false" outlineLevel="0" collapsed="false">
      <c r="A1630" s="67" t="str">
        <f aca="false">IF($K1630="","",ROW()-5)</f>
        <v/>
      </c>
      <c r="B1630" s="68" t="str">
        <f aca="false">IF($K1630="","",INDEX(Base!$E$5:$E$2004,$K1630))</f>
        <v/>
      </c>
      <c r="C1630" s="69" t="str">
        <f aca="false">IF($K1630="","",B1630)</f>
        <v/>
      </c>
      <c r="D1630" s="70" t="str">
        <f aca="false">IF($K1630="","",INDEX(Base!$F$5:$F$2004,$K1630))</f>
        <v/>
      </c>
      <c r="E1630" s="70" t="str">
        <f aca="false">IF($K1630="","",INDEX(Base!$G$5:$G$2004,$K1630))</f>
        <v/>
      </c>
      <c r="F1630" s="71" t="str">
        <f aca="false">IF($K1630="","",INDEX(Base!$H$5:$H$2004,$K1630))</f>
        <v/>
      </c>
      <c r="G1630" s="71" t="str">
        <f aca="false">IF($K1630="","",INDEX(Base!$I$5:$I$2004,$K1630))</f>
        <v/>
      </c>
      <c r="H1630" s="70" t="str">
        <f aca="false">IF($K1630="","",INDEX(Base!$J$5:$J$2004,$K1630))</f>
        <v/>
      </c>
      <c r="I1630" s="71" t="str">
        <f aca="false">IF($K1630="","",INDEX(Base!$L$5:$L$2004,$K1630))</f>
        <v/>
      </c>
      <c r="J1630" s="72" t="str">
        <f aca="false">IFERROR(SMALL(Base!$P$5:$P$2004,ROW()-5),"")</f>
        <v/>
      </c>
      <c r="K1630" s="72" t="str">
        <f aca="false">IF(J1630="","",MATCH(J1630,Base!$P$5:$P$2004,0))</f>
        <v/>
      </c>
    </row>
    <row r="1631" customFormat="false" ht="15" hidden="false" customHeight="false" outlineLevel="0" collapsed="false">
      <c r="A1631" s="67" t="str">
        <f aca="false">IF($K1631="","",ROW()-5)</f>
        <v/>
      </c>
      <c r="B1631" s="68" t="str">
        <f aca="false">IF($K1631="","",INDEX(Base!$E$5:$E$2004,$K1631))</f>
        <v/>
      </c>
      <c r="C1631" s="69" t="str">
        <f aca="false">IF($K1631="","",B1631)</f>
        <v/>
      </c>
      <c r="D1631" s="70" t="str">
        <f aca="false">IF($K1631="","",INDEX(Base!$F$5:$F$2004,$K1631))</f>
        <v/>
      </c>
      <c r="E1631" s="70" t="str">
        <f aca="false">IF($K1631="","",INDEX(Base!$G$5:$G$2004,$K1631))</f>
        <v/>
      </c>
      <c r="F1631" s="71" t="str">
        <f aca="false">IF($K1631="","",INDEX(Base!$H$5:$H$2004,$K1631))</f>
        <v/>
      </c>
      <c r="G1631" s="71" t="str">
        <f aca="false">IF($K1631="","",INDEX(Base!$I$5:$I$2004,$K1631))</f>
        <v/>
      </c>
      <c r="H1631" s="70" t="str">
        <f aca="false">IF($K1631="","",INDEX(Base!$J$5:$J$2004,$K1631))</f>
        <v/>
      </c>
      <c r="I1631" s="71" t="str">
        <f aca="false">IF($K1631="","",INDEX(Base!$L$5:$L$2004,$K1631))</f>
        <v/>
      </c>
      <c r="J1631" s="72" t="str">
        <f aca="false">IFERROR(SMALL(Base!$P$5:$P$2004,ROW()-5),"")</f>
        <v/>
      </c>
      <c r="K1631" s="72" t="str">
        <f aca="false">IF(J1631="","",MATCH(J1631,Base!$P$5:$P$2004,0))</f>
        <v/>
      </c>
    </row>
    <row r="1632" customFormat="false" ht="15" hidden="false" customHeight="false" outlineLevel="0" collapsed="false">
      <c r="A1632" s="67" t="str">
        <f aca="false">IF($K1632="","",ROW()-5)</f>
        <v/>
      </c>
      <c r="B1632" s="68" t="str">
        <f aca="false">IF($K1632="","",INDEX(Base!$E$5:$E$2004,$K1632))</f>
        <v/>
      </c>
      <c r="C1632" s="69" t="str">
        <f aca="false">IF($K1632="","",B1632)</f>
        <v/>
      </c>
      <c r="D1632" s="70" t="str">
        <f aca="false">IF($K1632="","",INDEX(Base!$F$5:$F$2004,$K1632))</f>
        <v/>
      </c>
      <c r="E1632" s="70" t="str">
        <f aca="false">IF($K1632="","",INDEX(Base!$G$5:$G$2004,$K1632))</f>
        <v/>
      </c>
      <c r="F1632" s="71" t="str">
        <f aca="false">IF($K1632="","",INDEX(Base!$H$5:$H$2004,$K1632))</f>
        <v/>
      </c>
      <c r="G1632" s="71" t="str">
        <f aca="false">IF($K1632="","",INDEX(Base!$I$5:$I$2004,$K1632))</f>
        <v/>
      </c>
      <c r="H1632" s="70" t="str">
        <f aca="false">IF($K1632="","",INDEX(Base!$J$5:$J$2004,$K1632))</f>
        <v/>
      </c>
      <c r="I1632" s="71" t="str">
        <f aca="false">IF($K1632="","",INDEX(Base!$L$5:$L$2004,$K1632))</f>
        <v/>
      </c>
      <c r="J1632" s="72" t="str">
        <f aca="false">IFERROR(SMALL(Base!$P$5:$P$2004,ROW()-5),"")</f>
        <v/>
      </c>
      <c r="K1632" s="72" t="str">
        <f aca="false">IF(J1632="","",MATCH(J1632,Base!$P$5:$P$2004,0))</f>
        <v/>
      </c>
    </row>
    <row r="1633" customFormat="false" ht="15" hidden="false" customHeight="false" outlineLevel="0" collapsed="false">
      <c r="A1633" s="67" t="str">
        <f aca="false">IF($K1633="","",ROW()-5)</f>
        <v/>
      </c>
      <c r="B1633" s="68" t="str">
        <f aca="false">IF($K1633="","",INDEX(Base!$E$5:$E$2004,$K1633))</f>
        <v/>
      </c>
      <c r="C1633" s="69" t="str">
        <f aca="false">IF($K1633="","",B1633)</f>
        <v/>
      </c>
      <c r="D1633" s="70" t="str">
        <f aca="false">IF($K1633="","",INDEX(Base!$F$5:$F$2004,$K1633))</f>
        <v/>
      </c>
      <c r="E1633" s="70" t="str">
        <f aca="false">IF($K1633="","",INDEX(Base!$G$5:$G$2004,$K1633))</f>
        <v/>
      </c>
      <c r="F1633" s="71" t="str">
        <f aca="false">IF($K1633="","",INDEX(Base!$H$5:$H$2004,$K1633))</f>
        <v/>
      </c>
      <c r="G1633" s="71" t="str">
        <f aca="false">IF($K1633="","",INDEX(Base!$I$5:$I$2004,$K1633))</f>
        <v/>
      </c>
      <c r="H1633" s="70" t="str">
        <f aca="false">IF($K1633="","",INDEX(Base!$J$5:$J$2004,$K1633))</f>
        <v/>
      </c>
      <c r="I1633" s="71" t="str">
        <f aca="false">IF($K1633="","",INDEX(Base!$L$5:$L$2004,$K1633))</f>
        <v/>
      </c>
      <c r="J1633" s="72" t="str">
        <f aca="false">IFERROR(SMALL(Base!$P$5:$P$2004,ROW()-5),"")</f>
        <v/>
      </c>
      <c r="K1633" s="72" t="str">
        <f aca="false">IF(J1633="","",MATCH(J1633,Base!$P$5:$P$2004,0))</f>
        <v/>
      </c>
    </row>
    <row r="1634" customFormat="false" ht="15" hidden="false" customHeight="false" outlineLevel="0" collapsed="false">
      <c r="A1634" s="67" t="str">
        <f aca="false">IF($K1634="","",ROW()-5)</f>
        <v/>
      </c>
      <c r="B1634" s="68" t="str">
        <f aca="false">IF($K1634="","",INDEX(Base!$E$5:$E$2004,$K1634))</f>
        <v/>
      </c>
      <c r="C1634" s="69" t="str">
        <f aca="false">IF($K1634="","",B1634)</f>
        <v/>
      </c>
      <c r="D1634" s="70" t="str">
        <f aca="false">IF($K1634="","",INDEX(Base!$F$5:$F$2004,$K1634))</f>
        <v/>
      </c>
      <c r="E1634" s="70" t="str">
        <f aca="false">IF($K1634="","",INDEX(Base!$G$5:$G$2004,$K1634))</f>
        <v/>
      </c>
      <c r="F1634" s="71" t="str">
        <f aca="false">IF($K1634="","",INDEX(Base!$H$5:$H$2004,$K1634))</f>
        <v/>
      </c>
      <c r="G1634" s="71" t="str">
        <f aca="false">IF($K1634="","",INDEX(Base!$I$5:$I$2004,$K1634))</f>
        <v/>
      </c>
      <c r="H1634" s="70" t="str">
        <f aca="false">IF($K1634="","",INDEX(Base!$J$5:$J$2004,$K1634))</f>
        <v/>
      </c>
      <c r="I1634" s="71" t="str">
        <f aca="false">IF($K1634="","",INDEX(Base!$L$5:$L$2004,$K1634))</f>
        <v/>
      </c>
      <c r="J1634" s="72" t="str">
        <f aca="false">IFERROR(SMALL(Base!$P$5:$P$2004,ROW()-5),"")</f>
        <v/>
      </c>
      <c r="K1634" s="72" t="str">
        <f aca="false">IF(J1634="","",MATCH(J1634,Base!$P$5:$P$2004,0))</f>
        <v/>
      </c>
    </row>
    <row r="1635" customFormat="false" ht="15" hidden="false" customHeight="false" outlineLevel="0" collapsed="false">
      <c r="A1635" s="67" t="str">
        <f aca="false">IF($K1635="","",ROW()-5)</f>
        <v/>
      </c>
      <c r="B1635" s="68" t="str">
        <f aca="false">IF($K1635="","",INDEX(Base!$E$5:$E$2004,$K1635))</f>
        <v/>
      </c>
      <c r="C1635" s="69" t="str">
        <f aca="false">IF($K1635="","",B1635)</f>
        <v/>
      </c>
      <c r="D1635" s="70" t="str">
        <f aca="false">IF($K1635="","",INDEX(Base!$F$5:$F$2004,$K1635))</f>
        <v/>
      </c>
      <c r="E1635" s="70" t="str">
        <f aca="false">IF($K1635="","",INDEX(Base!$G$5:$G$2004,$K1635))</f>
        <v/>
      </c>
      <c r="F1635" s="71" t="str">
        <f aca="false">IF($K1635="","",INDEX(Base!$H$5:$H$2004,$K1635))</f>
        <v/>
      </c>
      <c r="G1635" s="71" t="str">
        <f aca="false">IF($K1635="","",INDEX(Base!$I$5:$I$2004,$K1635))</f>
        <v/>
      </c>
      <c r="H1635" s="70" t="str">
        <f aca="false">IF($K1635="","",INDEX(Base!$J$5:$J$2004,$K1635))</f>
        <v/>
      </c>
      <c r="I1635" s="71" t="str">
        <f aca="false">IF($K1635="","",INDEX(Base!$L$5:$L$2004,$K1635))</f>
        <v/>
      </c>
      <c r="J1635" s="72" t="str">
        <f aca="false">IFERROR(SMALL(Base!$P$5:$P$2004,ROW()-5),"")</f>
        <v/>
      </c>
      <c r="K1635" s="72" t="str">
        <f aca="false">IF(J1635="","",MATCH(J1635,Base!$P$5:$P$2004,0))</f>
        <v/>
      </c>
    </row>
    <row r="1636" customFormat="false" ht="15" hidden="false" customHeight="false" outlineLevel="0" collapsed="false">
      <c r="A1636" s="67" t="str">
        <f aca="false">IF($K1636="","",ROW()-5)</f>
        <v/>
      </c>
      <c r="B1636" s="68" t="str">
        <f aca="false">IF($K1636="","",INDEX(Base!$E$5:$E$2004,$K1636))</f>
        <v/>
      </c>
      <c r="C1636" s="69" t="str">
        <f aca="false">IF($K1636="","",B1636)</f>
        <v/>
      </c>
      <c r="D1636" s="70" t="str">
        <f aca="false">IF($K1636="","",INDEX(Base!$F$5:$F$2004,$K1636))</f>
        <v/>
      </c>
      <c r="E1636" s="70" t="str">
        <f aca="false">IF($K1636="","",INDEX(Base!$G$5:$G$2004,$K1636))</f>
        <v/>
      </c>
      <c r="F1636" s="71" t="str">
        <f aca="false">IF($K1636="","",INDEX(Base!$H$5:$H$2004,$K1636))</f>
        <v/>
      </c>
      <c r="G1636" s="71" t="str">
        <f aca="false">IF($K1636="","",INDEX(Base!$I$5:$I$2004,$K1636))</f>
        <v/>
      </c>
      <c r="H1636" s="70" t="str">
        <f aca="false">IF($K1636="","",INDEX(Base!$J$5:$J$2004,$K1636))</f>
        <v/>
      </c>
      <c r="I1636" s="71" t="str">
        <f aca="false">IF($K1636="","",INDEX(Base!$L$5:$L$2004,$K1636))</f>
        <v/>
      </c>
      <c r="J1636" s="72" t="str">
        <f aca="false">IFERROR(SMALL(Base!$P$5:$P$2004,ROW()-5),"")</f>
        <v/>
      </c>
      <c r="K1636" s="72" t="str">
        <f aca="false">IF(J1636="","",MATCH(J1636,Base!$P$5:$P$2004,0))</f>
        <v/>
      </c>
    </row>
    <row r="1637" customFormat="false" ht="15" hidden="false" customHeight="false" outlineLevel="0" collapsed="false">
      <c r="A1637" s="67" t="str">
        <f aca="false">IF($K1637="","",ROW()-5)</f>
        <v/>
      </c>
      <c r="B1637" s="68" t="str">
        <f aca="false">IF($K1637="","",INDEX(Base!$E$5:$E$2004,$K1637))</f>
        <v/>
      </c>
      <c r="C1637" s="69" t="str">
        <f aca="false">IF($K1637="","",B1637)</f>
        <v/>
      </c>
      <c r="D1637" s="70" t="str">
        <f aca="false">IF($K1637="","",INDEX(Base!$F$5:$F$2004,$K1637))</f>
        <v/>
      </c>
      <c r="E1637" s="70" t="str">
        <f aca="false">IF($K1637="","",INDEX(Base!$G$5:$G$2004,$K1637))</f>
        <v/>
      </c>
      <c r="F1637" s="71" t="str">
        <f aca="false">IF($K1637="","",INDEX(Base!$H$5:$H$2004,$K1637))</f>
        <v/>
      </c>
      <c r="G1637" s="71" t="str">
        <f aca="false">IF($K1637="","",INDEX(Base!$I$5:$I$2004,$K1637))</f>
        <v/>
      </c>
      <c r="H1637" s="70" t="str">
        <f aca="false">IF($K1637="","",INDEX(Base!$J$5:$J$2004,$K1637))</f>
        <v/>
      </c>
      <c r="I1637" s="71" t="str">
        <f aca="false">IF($K1637="","",INDEX(Base!$L$5:$L$2004,$K1637))</f>
        <v/>
      </c>
      <c r="J1637" s="72" t="str">
        <f aca="false">IFERROR(SMALL(Base!$P$5:$P$2004,ROW()-5),"")</f>
        <v/>
      </c>
      <c r="K1637" s="72" t="str">
        <f aca="false">IF(J1637="","",MATCH(J1637,Base!$P$5:$P$2004,0))</f>
        <v/>
      </c>
    </row>
    <row r="1638" customFormat="false" ht="15" hidden="false" customHeight="false" outlineLevel="0" collapsed="false">
      <c r="A1638" s="67" t="str">
        <f aca="false">IF($K1638="","",ROW()-5)</f>
        <v/>
      </c>
      <c r="B1638" s="68" t="str">
        <f aca="false">IF($K1638="","",INDEX(Base!$E$5:$E$2004,$K1638))</f>
        <v/>
      </c>
      <c r="C1638" s="69" t="str">
        <f aca="false">IF($K1638="","",B1638)</f>
        <v/>
      </c>
      <c r="D1638" s="70" t="str">
        <f aca="false">IF($K1638="","",INDEX(Base!$F$5:$F$2004,$K1638))</f>
        <v/>
      </c>
      <c r="E1638" s="70" t="str">
        <f aca="false">IF($K1638="","",INDEX(Base!$G$5:$G$2004,$K1638))</f>
        <v/>
      </c>
      <c r="F1638" s="71" t="str">
        <f aca="false">IF($K1638="","",INDEX(Base!$H$5:$H$2004,$K1638))</f>
        <v/>
      </c>
      <c r="G1638" s="71" t="str">
        <f aca="false">IF($K1638="","",INDEX(Base!$I$5:$I$2004,$K1638))</f>
        <v/>
      </c>
      <c r="H1638" s="70" t="str">
        <f aca="false">IF($K1638="","",INDEX(Base!$J$5:$J$2004,$K1638))</f>
        <v/>
      </c>
      <c r="I1638" s="71" t="str">
        <f aca="false">IF($K1638="","",INDEX(Base!$L$5:$L$2004,$K1638))</f>
        <v/>
      </c>
      <c r="J1638" s="72" t="str">
        <f aca="false">IFERROR(SMALL(Base!$P$5:$P$2004,ROW()-5),"")</f>
        <v/>
      </c>
      <c r="K1638" s="72" t="str">
        <f aca="false">IF(J1638="","",MATCH(J1638,Base!$P$5:$P$2004,0))</f>
        <v/>
      </c>
    </row>
    <row r="1639" customFormat="false" ht="15" hidden="false" customHeight="false" outlineLevel="0" collapsed="false">
      <c r="A1639" s="67" t="str">
        <f aca="false">IF($K1639="","",ROW()-5)</f>
        <v/>
      </c>
      <c r="B1639" s="68" t="str">
        <f aca="false">IF($K1639="","",INDEX(Base!$E$5:$E$2004,$K1639))</f>
        <v/>
      </c>
      <c r="C1639" s="69" t="str">
        <f aca="false">IF($K1639="","",B1639)</f>
        <v/>
      </c>
      <c r="D1639" s="70" t="str">
        <f aca="false">IF($K1639="","",INDEX(Base!$F$5:$F$2004,$K1639))</f>
        <v/>
      </c>
      <c r="E1639" s="70" t="str">
        <f aca="false">IF($K1639="","",INDEX(Base!$G$5:$G$2004,$K1639))</f>
        <v/>
      </c>
      <c r="F1639" s="71" t="str">
        <f aca="false">IF($K1639="","",INDEX(Base!$H$5:$H$2004,$K1639))</f>
        <v/>
      </c>
      <c r="G1639" s="71" t="str">
        <f aca="false">IF($K1639="","",INDEX(Base!$I$5:$I$2004,$K1639))</f>
        <v/>
      </c>
      <c r="H1639" s="70" t="str">
        <f aca="false">IF($K1639="","",INDEX(Base!$J$5:$J$2004,$K1639))</f>
        <v/>
      </c>
      <c r="I1639" s="71" t="str">
        <f aca="false">IF($K1639="","",INDEX(Base!$L$5:$L$2004,$K1639))</f>
        <v/>
      </c>
      <c r="J1639" s="72" t="str">
        <f aca="false">IFERROR(SMALL(Base!$P$5:$P$2004,ROW()-5),"")</f>
        <v/>
      </c>
      <c r="K1639" s="72" t="str">
        <f aca="false">IF(J1639="","",MATCH(J1639,Base!$P$5:$P$2004,0))</f>
        <v/>
      </c>
    </row>
    <row r="1640" customFormat="false" ht="15" hidden="false" customHeight="false" outlineLevel="0" collapsed="false">
      <c r="A1640" s="67" t="str">
        <f aca="false">IF($K1640="","",ROW()-5)</f>
        <v/>
      </c>
      <c r="B1640" s="68" t="str">
        <f aca="false">IF($K1640="","",INDEX(Base!$E$5:$E$2004,$K1640))</f>
        <v/>
      </c>
      <c r="C1640" s="69" t="str">
        <f aca="false">IF($K1640="","",B1640)</f>
        <v/>
      </c>
      <c r="D1640" s="70" t="str">
        <f aca="false">IF($K1640="","",INDEX(Base!$F$5:$F$2004,$K1640))</f>
        <v/>
      </c>
      <c r="E1640" s="70" t="str">
        <f aca="false">IF($K1640="","",INDEX(Base!$G$5:$G$2004,$K1640))</f>
        <v/>
      </c>
      <c r="F1640" s="71" t="str">
        <f aca="false">IF($K1640="","",INDEX(Base!$H$5:$H$2004,$K1640))</f>
        <v/>
      </c>
      <c r="G1640" s="71" t="str">
        <f aca="false">IF($K1640="","",INDEX(Base!$I$5:$I$2004,$K1640))</f>
        <v/>
      </c>
      <c r="H1640" s="70" t="str">
        <f aca="false">IF($K1640="","",INDEX(Base!$J$5:$J$2004,$K1640))</f>
        <v/>
      </c>
      <c r="I1640" s="71" t="str">
        <f aca="false">IF($K1640="","",INDEX(Base!$L$5:$L$2004,$K1640))</f>
        <v/>
      </c>
      <c r="J1640" s="72" t="str">
        <f aca="false">IFERROR(SMALL(Base!$P$5:$P$2004,ROW()-5),"")</f>
        <v/>
      </c>
      <c r="K1640" s="72" t="str">
        <f aca="false">IF(J1640="","",MATCH(J1640,Base!$P$5:$P$2004,0))</f>
        <v/>
      </c>
    </row>
    <row r="1641" customFormat="false" ht="15" hidden="false" customHeight="false" outlineLevel="0" collapsed="false">
      <c r="A1641" s="67" t="str">
        <f aca="false">IF($K1641="","",ROW()-5)</f>
        <v/>
      </c>
      <c r="B1641" s="68" t="str">
        <f aca="false">IF($K1641="","",INDEX(Base!$E$5:$E$2004,$K1641))</f>
        <v/>
      </c>
      <c r="C1641" s="69" t="str">
        <f aca="false">IF($K1641="","",B1641)</f>
        <v/>
      </c>
      <c r="D1641" s="70" t="str">
        <f aca="false">IF($K1641="","",INDEX(Base!$F$5:$F$2004,$K1641))</f>
        <v/>
      </c>
      <c r="E1641" s="70" t="str">
        <f aca="false">IF($K1641="","",INDEX(Base!$G$5:$G$2004,$K1641))</f>
        <v/>
      </c>
      <c r="F1641" s="71" t="str">
        <f aca="false">IF($K1641="","",INDEX(Base!$H$5:$H$2004,$K1641))</f>
        <v/>
      </c>
      <c r="G1641" s="71" t="str">
        <f aca="false">IF($K1641="","",INDEX(Base!$I$5:$I$2004,$K1641))</f>
        <v/>
      </c>
      <c r="H1641" s="70" t="str">
        <f aca="false">IF($K1641="","",INDEX(Base!$J$5:$J$2004,$K1641))</f>
        <v/>
      </c>
      <c r="I1641" s="71" t="str">
        <f aca="false">IF($K1641="","",INDEX(Base!$L$5:$L$2004,$K1641))</f>
        <v/>
      </c>
      <c r="J1641" s="72" t="str">
        <f aca="false">IFERROR(SMALL(Base!$P$5:$P$2004,ROW()-5),"")</f>
        <v/>
      </c>
      <c r="K1641" s="72" t="str">
        <f aca="false">IF(J1641="","",MATCH(J1641,Base!$P$5:$P$2004,0))</f>
        <v/>
      </c>
    </row>
    <row r="1642" customFormat="false" ht="15" hidden="false" customHeight="false" outlineLevel="0" collapsed="false">
      <c r="A1642" s="67" t="str">
        <f aca="false">IF($K1642="","",ROW()-5)</f>
        <v/>
      </c>
      <c r="B1642" s="68" t="str">
        <f aca="false">IF($K1642="","",INDEX(Base!$E$5:$E$2004,$K1642))</f>
        <v/>
      </c>
      <c r="C1642" s="69" t="str">
        <f aca="false">IF($K1642="","",B1642)</f>
        <v/>
      </c>
      <c r="D1642" s="70" t="str">
        <f aca="false">IF($K1642="","",INDEX(Base!$F$5:$F$2004,$K1642))</f>
        <v/>
      </c>
      <c r="E1642" s="70" t="str">
        <f aca="false">IF($K1642="","",INDEX(Base!$G$5:$G$2004,$K1642))</f>
        <v/>
      </c>
      <c r="F1642" s="71" t="str">
        <f aca="false">IF($K1642="","",INDEX(Base!$H$5:$H$2004,$K1642))</f>
        <v/>
      </c>
      <c r="G1642" s="71" t="str">
        <f aca="false">IF($K1642="","",INDEX(Base!$I$5:$I$2004,$K1642))</f>
        <v/>
      </c>
      <c r="H1642" s="70" t="str">
        <f aca="false">IF($K1642="","",INDEX(Base!$J$5:$J$2004,$K1642))</f>
        <v/>
      </c>
      <c r="I1642" s="71" t="str">
        <f aca="false">IF($K1642="","",INDEX(Base!$L$5:$L$2004,$K1642))</f>
        <v/>
      </c>
      <c r="J1642" s="72" t="str">
        <f aca="false">IFERROR(SMALL(Base!$P$5:$P$2004,ROW()-5),"")</f>
        <v/>
      </c>
      <c r="K1642" s="72" t="str">
        <f aca="false">IF(J1642="","",MATCH(J1642,Base!$P$5:$P$2004,0))</f>
        <v/>
      </c>
    </row>
    <row r="1643" customFormat="false" ht="15" hidden="false" customHeight="false" outlineLevel="0" collapsed="false">
      <c r="A1643" s="67" t="str">
        <f aca="false">IF($K1643="","",ROW()-5)</f>
        <v/>
      </c>
      <c r="B1643" s="68" t="str">
        <f aca="false">IF($K1643="","",INDEX(Base!$E$5:$E$2004,$K1643))</f>
        <v/>
      </c>
      <c r="C1643" s="69" t="str">
        <f aca="false">IF($K1643="","",B1643)</f>
        <v/>
      </c>
      <c r="D1643" s="70" t="str">
        <f aca="false">IF($K1643="","",INDEX(Base!$F$5:$F$2004,$K1643))</f>
        <v/>
      </c>
      <c r="E1643" s="70" t="str">
        <f aca="false">IF($K1643="","",INDEX(Base!$G$5:$G$2004,$K1643))</f>
        <v/>
      </c>
      <c r="F1643" s="71" t="str">
        <f aca="false">IF($K1643="","",INDEX(Base!$H$5:$H$2004,$K1643))</f>
        <v/>
      </c>
      <c r="G1643" s="71" t="str">
        <f aca="false">IF($K1643="","",INDEX(Base!$I$5:$I$2004,$K1643))</f>
        <v/>
      </c>
      <c r="H1643" s="70" t="str">
        <f aca="false">IF($K1643="","",INDEX(Base!$J$5:$J$2004,$K1643))</f>
        <v/>
      </c>
      <c r="I1643" s="71" t="str">
        <f aca="false">IF($K1643="","",INDEX(Base!$L$5:$L$2004,$K1643))</f>
        <v/>
      </c>
      <c r="J1643" s="72" t="str">
        <f aca="false">IFERROR(SMALL(Base!$P$5:$P$2004,ROW()-5),"")</f>
        <v/>
      </c>
      <c r="K1643" s="72" t="str">
        <f aca="false">IF(J1643="","",MATCH(J1643,Base!$P$5:$P$2004,0))</f>
        <v/>
      </c>
    </row>
    <row r="1644" customFormat="false" ht="15" hidden="false" customHeight="false" outlineLevel="0" collapsed="false">
      <c r="A1644" s="67" t="str">
        <f aca="false">IF($K1644="","",ROW()-5)</f>
        <v/>
      </c>
      <c r="B1644" s="68" t="str">
        <f aca="false">IF($K1644="","",INDEX(Base!$E$5:$E$2004,$K1644))</f>
        <v/>
      </c>
      <c r="C1644" s="69" t="str">
        <f aca="false">IF($K1644="","",B1644)</f>
        <v/>
      </c>
      <c r="D1644" s="70" t="str">
        <f aca="false">IF($K1644="","",INDEX(Base!$F$5:$F$2004,$K1644))</f>
        <v/>
      </c>
      <c r="E1644" s="70" t="str">
        <f aca="false">IF($K1644="","",INDEX(Base!$G$5:$G$2004,$K1644))</f>
        <v/>
      </c>
      <c r="F1644" s="71" t="str">
        <f aca="false">IF($K1644="","",INDEX(Base!$H$5:$H$2004,$K1644))</f>
        <v/>
      </c>
      <c r="G1644" s="71" t="str">
        <f aca="false">IF($K1644="","",INDEX(Base!$I$5:$I$2004,$K1644))</f>
        <v/>
      </c>
      <c r="H1644" s="70" t="str">
        <f aca="false">IF($K1644="","",INDEX(Base!$J$5:$J$2004,$K1644))</f>
        <v/>
      </c>
      <c r="I1644" s="71" t="str">
        <f aca="false">IF($K1644="","",INDEX(Base!$L$5:$L$2004,$K1644))</f>
        <v/>
      </c>
      <c r="J1644" s="72" t="str">
        <f aca="false">IFERROR(SMALL(Base!$P$5:$P$2004,ROW()-5),"")</f>
        <v/>
      </c>
      <c r="K1644" s="72" t="str">
        <f aca="false">IF(J1644="","",MATCH(J1644,Base!$P$5:$P$2004,0))</f>
        <v/>
      </c>
    </row>
    <row r="1645" customFormat="false" ht="15" hidden="false" customHeight="false" outlineLevel="0" collapsed="false">
      <c r="A1645" s="67" t="str">
        <f aca="false">IF($K1645="","",ROW()-5)</f>
        <v/>
      </c>
      <c r="B1645" s="68" t="str">
        <f aca="false">IF($K1645="","",INDEX(Base!$E$5:$E$2004,$K1645))</f>
        <v/>
      </c>
      <c r="C1645" s="69" t="str">
        <f aca="false">IF($K1645="","",B1645)</f>
        <v/>
      </c>
      <c r="D1645" s="70" t="str">
        <f aca="false">IF($K1645="","",INDEX(Base!$F$5:$F$2004,$K1645))</f>
        <v/>
      </c>
      <c r="E1645" s="70" t="str">
        <f aca="false">IF($K1645="","",INDEX(Base!$G$5:$G$2004,$K1645))</f>
        <v/>
      </c>
      <c r="F1645" s="71" t="str">
        <f aca="false">IF($K1645="","",INDEX(Base!$H$5:$H$2004,$K1645))</f>
        <v/>
      </c>
      <c r="G1645" s="71" t="str">
        <f aca="false">IF($K1645="","",INDEX(Base!$I$5:$I$2004,$K1645))</f>
        <v/>
      </c>
      <c r="H1645" s="70" t="str">
        <f aca="false">IF($K1645="","",INDEX(Base!$J$5:$J$2004,$K1645))</f>
        <v/>
      </c>
      <c r="I1645" s="71" t="str">
        <f aca="false">IF($K1645="","",INDEX(Base!$L$5:$L$2004,$K1645))</f>
        <v/>
      </c>
      <c r="J1645" s="72" t="str">
        <f aca="false">IFERROR(SMALL(Base!$P$5:$P$2004,ROW()-5),"")</f>
        <v/>
      </c>
      <c r="K1645" s="72" t="str">
        <f aca="false">IF(J1645="","",MATCH(J1645,Base!$P$5:$P$2004,0))</f>
        <v/>
      </c>
    </row>
    <row r="1646" customFormat="false" ht="15" hidden="false" customHeight="false" outlineLevel="0" collapsed="false">
      <c r="A1646" s="67" t="str">
        <f aca="false">IF($K1646="","",ROW()-5)</f>
        <v/>
      </c>
      <c r="B1646" s="68" t="str">
        <f aca="false">IF($K1646="","",INDEX(Base!$E$5:$E$2004,$K1646))</f>
        <v/>
      </c>
      <c r="C1646" s="69" t="str">
        <f aca="false">IF($K1646="","",B1646)</f>
        <v/>
      </c>
      <c r="D1646" s="70" t="str">
        <f aca="false">IF($K1646="","",INDEX(Base!$F$5:$F$2004,$K1646))</f>
        <v/>
      </c>
      <c r="E1646" s="70" t="str">
        <f aca="false">IF($K1646="","",INDEX(Base!$G$5:$G$2004,$K1646))</f>
        <v/>
      </c>
      <c r="F1646" s="71" t="str">
        <f aca="false">IF($K1646="","",INDEX(Base!$H$5:$H$2004,$K1646))</f>
        <v/>
      </c>
      <c r="G1646" s="71" t="str">
        <f aca="false">IF($K1646="","",INDEX(Base!$I$5:$I$2004,$K1646))</f>
        <v/>
      </c>
      <c r="H1646" s="70" t="str">
        <f aca="false">IF($K1646="","",INDEX(Base!$J$5:$J$2004,$K1646))</f>
        <v/>
      </c>
      <c r="I1646" s="71" t="str">
        <f aca="false">IF($K1646="","",INDEX(Base!$L$5:$L$2004,$K1646))</f>
        <v/>
      </c>
      <c r="J1646" s="72" t="str">
        <f aca="false">IFERROR(SMALL(Base!$P$5:$P$2004,ROW()-5),"")</f>
        <v/>
      </c>
      <c r="K1646" s="72" t="str">
        <f aca="false">IF(J1646="","",MATCH(J1646,Base!$P$5:$P$2004,0))</f>
        <v/>
      </c>
    </row>
    <row r="1647" customFormat="false" ht="15" hidden="false" customHeight="false" outlineLevel="0" collapsed="false">
      <c r="A1647" s="67" t="str">
        <f aca="false">IF($K1647="","",ROW()-5)</f>
        <v/>
      </c>
      <c r="B1647" s="68" t="str">
        <f aca="false">IF($K1647="","",INDEX(Base!$E$5:$E$2004,$K1647))</f>
        <v/>
      </c>
      <c r="C1647" s="69" t="str">
        <f aca="false">IF($K1647="","",B1647)</f>
        <v/>
      </c>
      <c r="D1647" s="70" t="str">
        <f aca="false">IF($K1647="","",INDEX(Base!$F$5:$F$2004,$K1647))</f>
        <v/>
      </c>
      <c r="E1647" s="70" t="str">
        <f aca="false">IF($K1647="","",INDEX(Base!$G$5:$G$2004,$K1647))</f>
        <v/>
      </c>
      <c r="F1647" s="71" t="str">
        <f aca="false">IF($K1647="","",INDEX(Base!$H$5:$H$2004,$K1647))</f>
        <v/>
      </c>
      <c r="G1647" s="71" t="str">
        <f aca="false">IF($K1647="","",INDEX(Base!$I$5:$I$2004,$K1647))</f>
        <v/>
      </c>
      <c r="H1647" s="70" t="str">
        <f aca="false">IF($K1647="","",INDEX(Base!$J$5:$J$2004,$K1647))</f>
        <v/>
      </c>
      <c r="I1647" s="71" t="str">
        <f aca="false">IF($K1647="","",INDEX(Base!$L$5:$L$2004,$K1647))</f>
        <v/>
      </c>
      <c r="J1647" s="72" t="str">
        <f aca="false">IFERROR(SMALL(Base!$P$5:$P$2004,ROW()-5),"")</f>
        <v/>
      </c>
      <c r="K1647" s="72" t="str">
        <f aca="false">IF(J1647="","",MATCH(J1647,Base!$P$5:$P$2004,0))</f>
        <v/>
      </c>
    </row>
    <row r="1648" customFormat="false" ht="15" hidden="false" customHeight="false" outlineLevel="0" collapsed="false">
      <c r="A1648" s="67" t="str">
        <f aca="false">IF($K1648="","",ROW()-5)</f>
        <v/>
      </c>
      <c r="B1648" s="68" t="str">
        <f aca="false">IF($K1648="","",INDEX(Base!$E$5:$E$2004,$K1648))</f>
        <v/>
      </c>
      <c r="C1648" s="69" t="str">
        <f aca="false">IF($K1648="","",B1648)</f>
        <v/>
      </c>
      <c r="D1648" s="70" t="str">
        <f aca="false">IF($K1648="","",INDEX(Base!$F$5:$F$2004,$K1648))</f>
        <v/>
      </c>
      <c r="E1648" s="70" t="str">
        <f aca="false">IF($K1648="","",INDEX(Base!$G$5:$G$2004,$K1648))</f>
        <v/>
      </c>
      <c r="F1648" s="71" t="str">
        <f aca="false">IF($K1648="","",INDEX(Base!$H$5:$H$2004,$K1648))</f>
        <v/>
      </c>
      <c r="G1648" s="71" t="str">
        <f aca="false">IF($K1648="","",INDEX(Base!$I$5:$I$2004,$K1648))</f>
        <v/>
      </c>
      <c r="H1648" s="70" t="str">
        <f aca="false">IF($K1648="","",INDEX(Base!$J$5:$J$2004,$K1648))</f>
        <v/>
      </c>
      <c r="I1648" s="71" t="str">
        <f aca="false">IF($K1648="","",INDEX(Base!$L$5:$L$2004,$K1648))</f>
        <v/>
      </c>
      <c r="J1648" s="72" t="str">
        <f aca="false">IFERROR(SMALL(Base!$P$5:$P$2004,ROW()-5),"")</f>
        <v/>
      </c>
      <c r="K1648" s="72" t="str">
        <f aca="false">IF(J1648="","",MATCH(J1648,Base!$P$5:$P$2004,0))</f>
        <v/>
      </c>
    </row>
    <row r="1649" customFormat="false" ht="15" hidden="false" customHeight="false" outlineLevel="0" collapsed="false">
      <c r="A1649" s="67" t="str">
        <f aca="false">IF($K1649="","",ROW()-5)</f>
        <v/>
      </c>
      <c r="B1649" s="68" t="str">
        <f aca="false">IF($K1649="","",INDEX(Base!$E$5:$E$2004,$K1649))</f>
        <v/>
      </c>
      <c r="C1649" s="69" t="str">
        <f aca="false">IF($K1649="","",B1649)</f>
        <v/>
      </c>
      <c r="D1649" s="70" t="str">
        <f aca="false">IF($K1649="","",INDEX(Base!$F$5:$F$2004,$K1649))</f>
        <v/>
      </c>
      <c r="E1649" s="70" t="str">
        <f aca="false">IF($K1649="","",INDEX(Base!$G$5:$G$2004,$K1649))</f>
        <v/>
      </c>
      <c r="F1649" s="71" t="str">
        <f aca="false">IF($K1649="","",INDEX(Base!$H$5:$H$2004,$K1649))</f>
        <v/>
      </c>
      <c r="G1649" s="71" t="str">
        <f aca="false">IF($K1649="","",INDEX(Base!$I$5:$I$2004,$K1649))</f>
        <v/>
      </c>
      <c r="H1649" s="70" t="str">
        <f aca="false">IF($K1649="","",INDEX(Base!$J$5:$J$2004,$K1649))</f>
        <v/>
      </c>
      <c r="I1649" s="71" t="str">
        <f aca="false">IF($K1649="","",INDEX(Base!$L$5:$L$2004,$K1649))</f>
        <v/>
      </c>
      <c r="J1649" s="72" t="str">
        <f aca="false">IFERROR(SMALL(Base!$P$5:$P$2004,ROW()-5),"")</f>
        <v/>
      </c>
      <c r="K1649" s="72" t="str">
        <f aca="false">IF(J1649="","",MATCH(J1649,Base!$P$5:$P$2004,0))</f>
        <v/>
      </c>
    </row>
    <row r="1650" customFormat="false" ht="15" hidden="false" customHeight="false" outlineLevel="0" collapsed="false">
      <c r="A1650" s="67" t="str">
        <f aca="false">IF($K1650="","",ROW()-5)</f>
        <v/>
      </c>
      <c r="B1650" s="68" t="str">
        <f aca="false">IF($K1650="","",INDEX(Base!$E$5:$E$2004,$K1650))</f>
        <v/>
      </c>
      <c r="C1650" s="69" t="str">
        <f aca="false">IF($K1650="","",B1650)</f>
        <v/>
      </c>
      <c r="D1650" s="70" t="str">
        <f aca="false">IF($K1650="","",INDEX(Base!$F$5:$F$2004,$K1650))</f>
        <v/>
      </c>
      <c r="E1650" s="70" t="str">
        <f aca="false">IF($K1650="","",INDEX(Base!$G$5:$G$2004,$K1650))</f>
        <v/>
      </c>
      <c r="F1650" s="71" t="str">
        <f aca="false">IF($K1650="","",INDEX(Base!$H$5:$H$2004,$K1650))</f>
        <v/>
      </c>
      <c r="G1650" s="71" t="str">
        <f aca="false">IF($K1650="","",INDEX(Base!$I$5:$I$2004,$K1650))</f>
        <v/>
      </c>
      <c r="H1650" s="70" t="str">
        <f aca="false">IF($K1650="","",INDEX(Base!$J$5:$J$2004,$K1650))</f>
        <v/>
      </c>
      <c r="I1650" s="71" t="str">
        <f aca="false">IF($K1650="","",INDEX(Base!$L$5:$L$2004,$K1650))</f>
        <v/>
      </c>
      <c r="J1650" s="72" t="str">
        <f aca="false">IFERROR(SMALL(Base!$P$5:$P$2004,ROW()-5),"")</f>
        <v/>
      </c>
      <c r="K1650" s="72" t="str">
        <f aca="false">IF(J1650="","",MATCH(J1650,Base!$P$5:$P$2004,0))</f>
        <v/>
      </c>
    </row>
    <row r="1651" customFormat="false" ht="15" hidden="false" customHeight="false" outlineLevel="0" collapsed="false">
      <c r="A1651" s="67" t="str">
        <f aca="false">IF($K1651="","",ROW()-5)</f>
        <v/>
      </c>
      <c r="B1651" s="68" t="str">
        <f aca="false">IF($K1651="","",INDEX(Base!$E$5:$E$2004,$K1651))</f>
        <v/>
      </c>
      <c r="C1651" s="69" t="str">
        <f aca="false">IF($K1651="","",B1651)</f>
        <v/>
      </c>
      <c r="D1651" s="70" t="str">
        <f aca="false">IF($K1651="","",INDEX(Base!$F$5:$F$2004,$K1651))</f>
        <v/>
      </c>
      <c r="E1651" s="70" t="str">
        <f aca="false">IF($K1651="","",INDEX(Base!$G$5:$G$2004,$K1651))</f>
        <v/>
      </c>
      <c r="F1651" s="71" t="str">
        <f aca="false">IF($K1651="","",INDEX(Base!$H$5:$H$2004,$K1651))</f>
        <v/>
      </c>
      <c r="G1651" s="71" t="str">
        <f aca="false">IF($K1651="","",INDEX(Base!$I$5:$I$2004,$K1651))</f>
        <v/>
      </c>
      <c r="H1651" s="70" t="str">
        <f aca="false">IF($K1651="","",INDEX(Base!$J$5:$J$2004,$K1651))</f>
        <v/>
      </c>
      <c r="I1651" s="71" t="str">
        <f aca="false">IF($K1651="","",INDEX(Base!$L$5:$L$2004,$K1651))</f>
        <v/>
      </c>
      <c r="J1651" s="72" t="str">
        <f aca="false">IFERROR(SMALL(Base!$P$5:$P$2004,ROW()-5),"")</f>
        <v/>
      </c>
      <c r="K1651" s="72" t="str">
        <f aca="false">IF(J1651="","",MATCH(J1651,Base!$P$5:$P$2004,0))</f>
        <v/>
      </c>
    </row>
    <row r="1652" customFormat="false" ht="15" hidden="false" customHeight="false" outlineLevel="0" collapsed="false">
      <c r="A1652" s="67" t="str">
        <f aca="false">IF($K1652="","",ROW()-5)</f>
        <v/>
      </c>
      <c r="B1652" s="68" t="str">
        <f aca="false">IF($K1652="","",INDEX(Base!$E$5:$E$2004,$K1652))</f>
        <v/>
      </c>
      <c r="C1652" s="69" t="str">
        <f aca="false">IF($K1652="","",B1652)</f>
        <v/>
      </c>
      <c r="D1652" s="70" t="str">
        <f aca="false">IF($K1652="","",INDEX(Base!$F$5:$F$2004,$K1652))</f>
        <v/>
      </c>
      <c r="E1652" s="70" t="str">
        <f aca="false">IF($K1652="","",INDEX(Base!$G$5:$G$2004,$K1652))</f>
        <v/>
      </c>
      <c r="F1652" s="71" t="str">
        <f aca="false">IF($K1652="","",INDEX(Base!$H$5:$H$2004,$K1652))</f>
        <v/>
      </c>
      <c r="G1652" s="71" t="str">
        <f aca="false">IF($K1652="","",INDEX(Base!$I$5:$I$2004,$K1652))</f>
        <v/>
      </c>
      <c r="H1652" s="70" t="str">
        <f aca="false">IF($K1652="","",INDEX(Base!$J$5:$J$2004,$K1652))</f>
        <v/>
      </c>
      <c r="I1652" s="71" t="str">
        <f aca="false">IF($K1652="","",INDEX(Base!$L$5:$L$2004,$K1652))</f>
        <v/>
      </c>
      <c r="J1652" s="72" t="str">
        <f aca="false">IFERROR(SMALL(Base!$P$5:$P$2004,ROW()-5),"")</f>
        <v/>
      </c>
      <c r="K1652" s="72" t="str">
        <f aca="false">IF(J1652="","",MATCH(J1652,Base!$P$5:$P$2004,0))</f>
        <v/>
      </c>
    </row>
    <row r="1653" customFormat="false" ht="15" hidden="false" customHeight="false" outlineLevel="0" collapsed="false">
      <c r="A1653" s="67" t="str">
        <f aca="false">IF($K1653="","",ROW()-5)</f>
        <v/>
      </c>
      <c r="B1653" s="68" t="str">
        <f aca="false">IF($K1653="","",INDEX(Base!$E$5:$E$2004,$K1653))</f>
        <v/>
      </c>
      <c r="C1653" s="69" t="str">
        <f aca="false">IF($K1653="","",B1653)</f>
        <v/>
      </c>
      <c r="D1653" s="70" t="str">
        <f aca="false">IF($K1653="","",INDEX(Base!$F$5:$F$2004,$K1653))</f>
        <v/>
      </c>
      <c r="E1653" s="70" t="str">
        <f aca="false">IF($K1653="","",INDEX(Base!$G$5:$G$2004,$K1653))</f>
        <v/>
      </c>
      <c r="F1653" s="71" t="str">
        <f aca="false">IF($K1653="","",INDEX(Base!$H$5:$H$2004,$K1653))</f>
        <v/>
      </c>
      <c r="G1653" s="71" t="str">
        <f aca="false">IF($K1653="","",INDEX(Base!$I$5:$I$2004,$K1653))</f>
        <v/>
      </c>
      <c r="H1653" s="70" t="str">
        <f aca="false">IF($K1653="","",INDEX(Base!$J$5:$J$2004,$K1653))</f>
        <v/>
      </c>
      <c r="I1653" s="71" t="str">
        <f aca="false">IF($K1653="","",INDEX(Base!$L$5:$L$2004,$K1653))</f>
        <v/>
      </c>
      <c r="J1653" s="72" t="str">
        <f aca="false">IFERROR(SMALL(Base!$P$5:$P$2004,ROW()-5),"")</f>
        <v/>
      </c>
      <c r="K1653" s="72" t="str">
        <f aca="false">IF(J1653="","",MATCH(J1653,Base!$P$5:$P$2004,0))</f>
        <v/>
      </c>
    </row>
    <row r="1654" customFormat="false" ht="15" hidden="false" customHeight="false" outlineLevel="0" collapsed="false">
      <c r="A1654" s="67" t="str">
        <f aca="false">IF($K1654="","",ROW()-5)</f>
        <v/>
      </c>
      <c r="B1654" s="68" t="str">
        <f aca="false">IF($K1654="","",INDEX(Base!$E$5:$E$2004,$K1654))</f>
        <v/>
      </c>
      <c r="C1654" s="69" t="str">
        <f aca="false">IF($K1654="","",B1654)</f>
        <v/>
      </c>
      <c r="D1654" s="70" t="str">
        <f aca="false">IF($K1654="","",INDEX(Base!$F$5:$F$2004,$K1654))</f>
        <v/>
      </c>
      <c r="E1654" s="70" t="str">
        <f aca="false">IF($K1654="","",INDEX(Base!$G$5:$G$2004,$K1654))</f>
        <v/>
      </c>
      <c r="F1654" s="71" t="str">
        <f aca="false">IF($K1654="","",INDEX(Base!$H$5:$H$2004,$K1654))</f>
        <v/>
      </c>
      <c r="G1654" s="71" t="str">
        <f aca="false">IF($K1654="","",INDEX(Base!$I$5:$I$2004,$K1654))</f>
        <v/>
      </c>
      <c r="H1654" s="70" t="str">
        <f aca="false">IF($K1654="","",INDEX(Base!$J$5:$J$2004,$K1654))</f>
        <v/>
      </c>
      <c r="I1654" s="71" t="str">
        <f aca="false">IF($K1654="","",INDEX(Base!$L$5:$L$2004,$K1654))</f>
        <v/>
      </c>
      <c r="J1654" s="72" t="str">
        <f aca="false">IFERROR(SMALL(Base!$P$5:$P$2004,ROW()-5),"")</f>
        <v/>
      </c>
      <c r="K1654" s="72" t="str">
        <f aca="false">IF(J1654="","",MATCH(J1654,Base!$P$5:$P$2004,0))</f>
        <v/>
      </c>
    </row>
    <row r="1655" customFormat="false" ht="15" hidden="false" customHeight="false" outlineLevel="0" collapsed="false">
      <c r="A1655" s="67" t="str">
        <f aca="false">IF($K1655="","",ROW()-5)</f>
        <v/>
      </c>
      <c r="B1655" s="68" t="str">
        <f aca="false">IF($K1655="","",INDEX(Base!$E$5:$E$2004,$K1655))</f>
        <v/>
      </c>
      <c r="C1655" s="69" t="str">
        <f aca="false">IF($K1655="","",B1655)</f>
        <v/>
      </c>
      <c r="D1655" s="70" t="str">
        <f aca="false">IF($K1655="","",INDEX(Base!$F$5:$F$2004,$K1655))</f>
        <v/>
      </c>
      <c r="E1655" s="70" t="str">
        <f aca="false">IF($K1655="","",INDEX(Base!$G$5:$G$2004,$K1655))</f>
        <v/>
      </c>
      <c r="F1655" s="71" t="str">
        <f aca="false">IF($K1655="","",INDEX(Base!$H$5:$H$2004,$K1655))</f>
        <v/>
      </c>
      <c r="G1655" s="71" t="str">
        <f aca="false">IF($K1655="","",INDEX(Base!$I$5:$I$2004,$K1655))</f>
        <v/>
      </c>
      <c r="H1655" s="70" t="str">
        <f aca="false">IF($K1655="","",INDEX(Base!$J$5:$J$2004,$K1655))</f>
        <v/>
      </c>
      <c r="I1655" s="71" t="str">
        <f aca="false">IF($K1655="","",INDEX(Base!$L$5:$L$2004,$K1655))</f>
        <v/>
      </c>
      <c r="J1655" s="72" t="str">
        <f aca="false">IFERROR(SMALL(Base!$P$5:$P$2004,ROW()-5),"")</f>
        <v/>
      </c>
      <c r="K1655" s="72" t="str">
        <f aca="false">IF(J1655="","",MATCH(J1655,Base!$P$5:$P$2004,0))</f>
        <v/>
      </c>
    </row>
    <row r="1656" customFormat="false" ht="15" hidden="false" customHeight="false" outlineLevel="0" collapsed="false">
      <c r="A1656" s="67" t="str">
        <f aca="false">IF($K1656="","",ROW()-5)</f>
        <v/>
      </c>
      <c r="B1656" s="68" t="str">
        <f aca="false">IF($K1656="","",INDEX(Base!$E$5:$E$2004,$K1656))</f>
        <v/>
      </c>
      <c r="C1656" s="69" t="str">
        <f aca="false">IF($K1656="","",B1656)</f>
        <v/>
      </c>
      <c r="D1656" s="70" t="str">
        <f aca="false">IF($K1656="","",INDEX(Base!$F$5:$F$2004,$K1656))</f>
        <v/>
      </c>
      <c r="E1656" s="70" t="str">
        <f aca="false">IF($K1656="","",INDEX(Base!$G$5:$G$2004,$K1656))</f>
        <v/>
      </c>
      <c r="F1656" s="71" t="str">
        <f aca="false">IF($K1656="","",INDEX(Base!$H$5:$H$2004,$K1656))</f>
        <v/>
      </c>
      <c r="G1656" s="71" t="str">
        <f aca="false">IF($K1656="","",INDEX(Base!$I$5:$I$2004,$K1656))</f>
        <v/>
      </c>
      <c r="H1656" s="70" t="str">
        <f aca="false">IF($K1656="","",INDEX(Base!$J$5:$J$2004,$K1656))</f>
        <v/>
      </c>
      <c r="I1656" s="71" t="str">
        <f aca="false">IF($K1656="","",INDEX(Base!$L$5:$L$2004,$K1656))</f>
        <v/>
      </c>
      <c r="J1656" s="72" t="str">
        <f aca="false">IFERROR(SMALL(Base!$P$5:$P$2004,ROW()-5),"")</f>
        <v/>
      </c>
      <c r="K1656" s="72" t="str">
        <f aca="false">IF(J1656="","",MATCH(J1656,Base!$P$5:$P$2004,0))</f>
        <v/>
      </c>
    </row>
    <row r="1657" customFormat="false" ht="15" hidden="false" customHeight="false" outlineLevel="0" collapsed="false">
      <c r="A1657" s="67" t="str">
        <f aca="false">IF($K1657="","",ROW()-5)</f>
        <v/>
      </c>
      <c r="B1657" s="68" t="str">
        <f aca="false">IF($K1657="","",INDEX(Base!$E$5:$E$2004,$K1657))</f>
        <v/>
      </c>
      <c r="C1657" s="69" t="str">
        <f aca="false">IF($K1657="","",B1657)</f>
        <v/>
      </c>
      <c r="D1657" s="70" t="str">
        <f aca="false">IF($K1657="","",INDEX(Base!$F$5:$F$2004,$K1657))</f>
        <v/>
      </c>
      <c r="E1657" s="70" t="str">
        <f aca="false">IF($K1657="","",INDEX(Base!$G$5:$G$2004,$K1657))</f>
        <v/>
      </c>
      <c r="F1657" s="71" t="str">
        <f aca="false">IF($K1657="","",INDEX(Base!$H$5:$H$2004,$K1657))</f>
        <v/>
      </c>
      <c r="G1657" s="71" t="str">
        <f aca="false">IF($K1657="","",INDEX(Base!$I$5:$I$2004,$K1657))</f>
        <v/>
      </c>
      <c r="H1657" s="70" t="str">
        <f aca="false">IF($K1657="","",INDEX(Base!$J$5:$J$2004,$K1657))</f>
        <v/>
      </c>
      <c r="I1657" s="71" t="str">
        <f aca="false">IF($K1657="","",INDEX(Base!$L$5:$L$2004,$K1657))</f>
        <v/>
      </c>
      <c r="J1657" s="72" t="str">
        <f aca="false">IFERROR(SMALL(Base!$P$5:$P$2004,ROW()-5),"")</f>
        <v/>
      </c>
      <c r="K1657" s="72" t="str">
        <f aca="false">IF(J1657="","",MATCH(J1657,Base!$P$5:$P$2004,0))</f>
        <v/>
      </c>
    </row>
    <row r="1658" customFormat="false" ht="15" hidden="false" customHeight="false" outlineLevel="0" collapsed="false">
      <c r="A1658" s="67" t="str">
        <f aca="false">IF($K1658="","",ROW()-5)</f>
        <v/>
      </c>
      <c r="B1658" s="68" t="str">
        <f aca="false">IF($K1658="","",INDEX(Base!$E$5:$E$2004,$K1658))</f>
        <v/>
      </c>
      <c r="C1658" s="69" t="str">
        <f aca="false">IF($K1658="","",B1658)</f>
        <v/>
      </c>
      <c r="D1658" s="70" t="str">
        <f aca="false">IF($K1658="","",INDEX(Base!$F$5:$F$2004,$K1658))</f>
        <v/>
      </c>
      <c r="E1658" s="70" t="str">
        <f aca="false">IF($K1658="","",INDEX(Base!$G$5:$G$2004,$K1658))</f>
        <v/>
      </c>
      <c r="F1658" s="71" t="str">
        <f aca="false">IF($K1658="","",INDEX(Base!$H$5:$H$2004,$K1658))</f>
        <v/>
      </c>
      <c r="G1658" s="71" t="str">
        <f aca="false">IF($K1658="","",INDEX(Base!$I$5:$I$2004,$K1658))</f>
        <v/>
      </c>
      <c r="H1658" s="70" t="str">
        <f aca="false">IF($K1658="","",INDEX(Base!$J$5:$J$2004,$K1658))</f>
        <v/>
      </c>
      <c r="I1658" s="71" t="str">
        <f aca="false">IF($K1658="","",INDEX(Base!$L$5:$L$2004,$K1658))</f>
        <v/>
      </c>
      <c r="J1658" s="72" t="str">
        <f aca="false">IFERROR(SMALL(Base!$P$5:$P$2004,ROW()-5),"")</f>
        <v/>
      </c>
      <c r="K1658" s="72" t="str">
        <f aca="false">IF(J1658="","",MATCH(J1658,Base!$P$5:$P$2004,0))</f>
        <v/>
      </c>
    </row>
    <row r="1659" customFormat="false" ht="15" hidden="false" customHeight="false" outlineLevel="0" collapsed="false">
      <c r="A1659" s="67" t="str">
        <f aca="false">IF($K1659="","",ROW()-5)</f>
        <v/>
      </c>
      <c r="B1659" s="68" t="str">
        <f aca="false">IF($K1659="","",INDEX(Base!$E$5:$E$2004,$K1659))</f>
        <v/>
      </c>
      <c r="C1659" s="69" t="str">
        <f aca="false">IF($K1659="","",B1659)</f>
        <v/>
      </c>
      <c r="D1659" s="70" t="str">
        <f aca="false">IF($K1659="","",INDEX(Base!$F$5:$F$2004,$K1659))</f>
        <v/>
      </c>
      <c r="E1659" s="70" t="str">
        <f aca="false">IF($K1659="","",INDEX(Base!$G$5:$G$2004,$K1659))</f>
        <v/>
      </c>
      <c r="F1659" s="71" t="str">
        <f aca="false">IF($K1659="","",INDEX(Base!$H$5:$H$2004,$K1659))</f>
        <v/>
      </c>
      <c r="G1659" s="71" t="str">
        <f aca="false">IF($K1659="","",INDEX(Base!$I$5:$I$2004,$K1659))</f>
        <v/>
      </c>
      <c r="H1659" s="70" t="str">
        <f aca="false">IF($K1659="","",INDEX(Base!$J$5:$J$2004,$K1659))</f>
        <v/>
      </c>
      <c r="I1659" s="71" t="str">
        <f aca="false">IF($K1659="","",INDEX(Base!$L$5:$L$2004,$K1659))</f>
        <v/>
      </c>
      <c r="J1659" s="72" t="str">
        <f aca="false">IFERROR(SMALL(Base!$P$5:$P$2004,ROW()-5),"")</f>
        <v/>
      </c>
      <c r="K1659" s="72" t="str">
        <f aca="false">IF(J1659="","",MATCH(J1659,Base!$P$5:$P$2004,0))</f>
        <v/>
      </c>
    </row>
    <row r="1660" customFormat="false" ht="15" hidden="false" customHeight="false" outlineLevel="0" collapsed="false">
      <c r="A1660" s="67" t="str">
        <f aca="false">IF($K1660="","",ROW()-5)</f>
        <v/>
      </c>
      <c r="B1660" s="68" t="str">
        <f aca="false">IF($K1660="","",INDEX(Base!$E$5:$E$2004,$K1660))</f>
        <v/>
      </c>
      <c r="C1660" s="69" t="str">
        <f aca="false">IF($K1660="","",B1660)</f>
        <v/>
      </c>
      <c r="D1660" s="70" t="str">
        <f aca="false">IF($K1660="","",INDEX(Base!$F$5:$F$2004,$K1660))</f>
        <v/>
      </c>
      <c r="E1660" s="70" t="str">
        <f aca="false">IF($K1660="","",INDEX(Base!$G$5:$G$2004,$K1660))</f>
        <v/>
      </c>
      <c r="F1660" s="71" t="str">
        <f aca="false">IF($K1660="","",INDEX(Base!$H$5:$H$2004,$K1660))</f>
        <v/>
      </c>
      <c r="G1660" s="71" t="str">
        <f aca="false">IF($K1660="","",INDEX(Base!$I$5:$I$2004,$K1660))</f>
        <v/>
      </c>
      <c r="H1660" s="70" t="str">
        <f aca="false">IF($K1660="","",INDEX(Base!$J$5:$J$2004,$K1660))</f>
        <v/>
      </c>
      <c r="I1660" s="71" t="str">
        <f aca="false">IF($K1660="","",INDEX(Base!$L$5:$L$2004,$K1660))</f>
        <v/>
      </c>
      <c r="J1660" s="72" t="str">
        <f aca="false">IFERROR(SMALL(Base!$P$5:$P$2004,ROW()-5),"")</f>
        <v/>
      </c>
      <c r="K1660" s="72" t="str">
        <f aca="false">IF(J1660="","",MATCH(J1660,Base!$P$5:$P$2004,0))</f>
        <v/>
      </c>
    </row>
    <row r="1661" customFormat="false" ht="15" hidden="false" customHeight="false" outlineLevel="0" collapsed="false">
      <c r="A1661" s="67" t="str">
        <f aca="false">IF($K1661="","",ROW()-5)</f>
        <v/>
      </c>
      <c r="B1661" s="68" t="str">
        <f aca="false">IF($K1661="","",INDEX(Base!$E$5:$E$2004,$K1661))</f>
        <v/>
      </c>
      <c r="C1661" s="69" t="str">
        <f aca="false">IF($K1661="","",B1661)</f>
        <v/>
      </c>
      <c r="D1661" s="70" t="str">
        <f aca="false">IF($K1661="","",INDEX(Base!$F$5:$F$2004,$K1661))</f>
        <v/>
      </c>
      <c r="E1661" s="70" t="str">
        <f aca="false">IF($K1661="","",INDEX(Base!$G$5:$G$2004,$K1661))</f>
        <v/>
      </c>
      <c r="F1661" s="71" t="str">
        <f aca="false">IF($K1661="","",INDEX(Base!$H$5:$H$2004,$K1661))</f>
        <v/>
      </c>
      <c r="G1661" s="71" t="str">
        <f aca="false">IF($K1661="","",INDEX(Base!$I$5:$I$2004,$K1661))</f>
        <v/>
      </c>
      <c r="H1661" s="70" t="str">
        <f aca="false">IF($K1661="","",INDEX(Base!$J$5:$J$2004,$K1661))</f>
        <v/>
      </c>
      <c r="I1661" s="71" t="str">
        <f aca="false">IF($K1661="","",INDEX(Base!$L$5:$L$2004,$K1661))</f>
        <v/>
      </c>
      <c r="J1661" s="72" t="str">
        <f aca="false">IFERROR(SMALL(Base!$P$5:$P$2004,ROW()-5),"")</f>
        <v/>
      </c>
      <c r="K1661" s="72" t="str">
        <f aca="false">IF(J1661="","",MATCH(J1661,Base!$P$5:$P$2004,0))</f>
        <v/>
      </c>
    </row>
    <row r="1662" customFormat="false" ht="15" hidden="false" customHeight="false" outlineLevel="0" collapsed="false">
      <c r="A1662" s="67" t="str">
        <f aca="false">IF($K1662="","",ROW()-5)</f>
        <v/>
      </c>
      <c r="B1662" s="68" t="str">
        <f aca="false">IF($K1662="","",INDEX(Base!$E$5:$E$2004,$K1662))</f>
        <v/>
      </c>
      <c r="C1662" s="69" t="str">
        <f aca="false">IF($K1662="","",B1662)</f>
        <v/>
      </c>
      <c r="D1662" s="70" t="str">
        <f aca="false">IF($K1662="","",INDEX(Base!$F$5:$F$2004,$K1662))</f>
        <v/>
      </c>
      <c r="E1662" s="70" t="str">
        <f aca="false">IF($K1662="","",INDEX(Base!$G$5:$G$2004,$K1662))</f>
        <v/>
      </c>
      <c r="F1662" s="71" t="str">
        <f aca="false">IF($K1662="","",INDEX(Base!$H$5:$H$2004,$K1662))</f>
        <v/>
      </c>
      <c r="G1662" s="71" t="str">
        <f aca="false">IF($K1662="","",INDEX(Base!$I$5:$I$2004,$K1662))</f>
        <v/>
      </c>
      <c r="H1662" s="70" t="str">
        <f aca="false">IF($K1662="","",INDEX(Base!$J$5:$J$2004,$K1662))</f>
        <v/>
      </c>
      <c r="I1662" s="71" t="str">
        <f aca="false">IF($K1662="","",INDEX(Base!$L$5:$L$2004,$K1662))</f>
        <v/>
      </c>
      <c r="J1662" s="72" t="str">
        <f aca="false">IFERROR(SMALL(Base!$P$5:$P$2004,ROW()-5),"")</f>
        <v/>
      </c>
      <c r="K1662" s="72" t="str">
        <f aca="false">IF(J1662="","",MATCH(J1662,Base!$P$5:$P$2004,0))</f>
        <v/>
      </c>
    </row>
    <row r="1663" customFormat="false" ht="15" hidden="false" customHeight="false" outlineLevel="0" collapsed="false">
      <c r="A1663" s="67" t="str">
        <f aca="false">IF($K1663="","",ROW()-5)</f>
        <v/>
      </c>
      <c r="B1663" s="68" t="str">
        <f aca="false">IF($K1663="","",INDEX(Base!$E$5:$E$2004,$K1663))</f>
        <v/>
      </c>
      <c r="C1663" s="69" t="str">
        <f aca="false">IF($K1663="","",B1663)</f>
        <v/>
      </c>
      <c r="D1663" s="70" t="str">
        <f aca="false">IF($K1663="","",INDEX(Base!$F$5:$F$2004,$K1663))</f>
        <v/>
      </c>
      <c r="E1663" s="70" t="str">
        <f aca="false">IF($K1663="","",INDEX(Base!$G$5:$G$2004,$K1663))</f>
        <v/>
      </c>
      <c r="F1663" s="71" t="str">
        <f aca="false">IF($K1663="","",INDEX(Base!$H$5:$H$2004,$K1663))</f>
        <v/>
      </c>
      <c r="G1663" s="71" t="str">
        <f aca="false">IF($K1663="","",INDEX(Base!$I$5:$I$2004,$K1663))</f>
        <v/>
      </c>
      <c r="H1663" s="70" t="str">
        <f aca="false">IF($K1663="","",INDEX(Base!$J$5:$J$2004,$K1663))</f>
        <v/>
      </c>
      <c r="I1663" s="71" t="str">
        <f aca="false">IF($K1663="","",INDEX(Base!$L$5:$L$2004,$K1663))</f>
        <v/>
      </c>
      <c r="J1663" s="72" t="str">
        <f aca="false">IFERROR(SMALL(Base!$P$5:$P$2004,ROW()-5),"")</f>
        <v/>
      </c>
      <c r="K1663" s="72" t="str">
        <f aca="false">IF(J1663="","",MATCH(J1663,Base!$P$5:$P$2004,0))</f>
        <v/>
      </c>
    </row>
    <row r="1664" customFormat="false" ht="15" hidden="false" customHeight="false" outlineLevel="0" collapsed="false">
      <c r="A1664" s="67" t="str">
        <f aca="false">IF($K1664="","",ROW()-5)</f>
        <v/>
      </c>
      <c r="B1664" s="68" t="str">
        <f aca="false">IF($K1664="","",INDEX(Base!$E$5:$E$2004,$K1664))</f>
        <v/>
      </c>
      <c r="C1664" s="69" t="str">
        <f aca="false">IF($K1664="","",B1664)</f>
        <v/>
      </c>
      <c r="D1664" s="70" t="str">
        <f aca="false">IF($K1664="","",INDEX(Base!$F$5:$F$2004,$K1664))</f>
        <v/>
      </c>
      <c r="E1664" s="70" t="str">
        <f aca="false">IF($K1664="","",INDEX(Base!$G$5:$G$2004,$K1664))</f>
        <v/>
      </c>
      <c r="F1664" s="71" t="str">
        <f aca="false">IF($K1664="","",INDEX(Base!$H$5:$H$2004,$K1664))</f>
        <v/>
      </c>
      <c r="G1664" s="71" t="str">
        <f aca="false">IF($K1664="","",INDEX(Base!$I$5:$I$2004,$K1664))</f>
        <v/>
      </c>
      <c r="H1664" s="70" t="str">
        <f aca="false">IF($K1664="","",INDEX(Base!$J$5:$J$2004,$K1664))</f>
        <v/>
      </c>
      <c r="I1664" s="71" t="str">
        <f aca="false">IF($K1664="","",INDEX(Base!$L$5:$L$2004,$K1664))</f>
        <v/>
      </c>
      <c r="J1664" s="72" t="str">
        <f aca="false">IFERROR(SMALL(Base!$P$5:$P$2004,ROW()-5),"")</f>
        <v/>
      </c>
      <c r="K1664" s="72" t="str">
        <f aca="false">IF(J1664="","",MATCH(J1664,Base!$P$5:$P$2004,0))</f>
        <v/>
      </c>
    </row>
    <row r="1665" customFormat="false" ht="15" hidden="false" customHeight="false" outlineLevel="0" collapsed="false">
      <c r="A1665" s="67" t="str">
        <f aca="false">IF($K1665="","",ROW()-5)</f>
        <v/>
      </c>
      <c r="B1665" s="68" t="str">
        <f aca="false">IF($K1665="","",INDEX(Base!$E$5:$E$2004,$K1665))</f>
        <v/>
      </c>
      <c r="C1665" s="69" t="str">
        <f aca="false">IF($K1665="","",B1665)</f>
        <v/>
      </c>
      <c r="D1665" s="70" t="str">
        <f aca="false">IF($K1665="","",INDEX(Base!$F$5:$F$2004,$K1665))</f>
        <v/>
      </c>
      <c r="E1665" s="70" t="str">
        <f aca="false">IF($K1665="","",INDEX(Base!$G$5:$G$2004,$K1665))</f>
        <v/>
      </c>
      <c r="F1665" s="71" t="str">
        <f aca="false">IF($K1665="","",INDEX(Base!$H$5:$H$2004,$K1665))</f>
        <v/>
      </c>
      <c r="G1665" s="71" t="str">
        <f aca="false">IF($K1665="","",INDEX(Base!$I$5:$I$2004,$K1665))</f>
        <v/>
      </c>
      <c r="H1665" s="70" t="str">
        <f aca="false">IF($K1665="","",INDEX(Base!$J$5:$J$2004,$K1665))</f>
        <v/>
      </c>
      <c r="I1665" s="71" t="str">
        <f aca="false">IF($K1665="","",INDEX(Base!$L$5:$L$2004,$K1665))</f>
        <v/>
      </c>
      <c r="J1665" s="72" t="str">
        <f aca="false">IFERROR(SMALL(Base!$P$5:$P$2004,ROW()-5),"")</f>
        <v/>
      </c>
      <c r="K1665" s="72" t="str">
        <f aca="false">IF(J1665="","",MATCH(J1665,Base!$P$5:$P$2004,0))</f>
        <v/>
      </c>
    </row>
    <row r="1666" customFormat="false" ht="15" hidden="false" customHeight="false" outlineLevel="0" collapsed="false">
      <c r="A1666" s="67" t="str">
        <f aca="false">IF($K1666="","",ROW()-5)</f>
        <v/>
      </c>
      <c r="B1666" s="68" t="str">
        <f aca="false">IF($K1666="","",INDEX(Base!$E$5:$E$2004,$K1666))</f>
        <v/>
      </c>
      <c r="C1666" s="69" t="str">
        <f aca="false">IF($K1666="","",B1666)</f>
        <v/>
      </c>
      <c r="D1666" s="70" t="str">
        <f aca="false">IF($K1666="","",INDEX(Base!$F$5:$F$2004,$K1666))</f>
        <v/>
      </c>
      <c r="E1666" s="70" t="str">
        <f aca="false">IF($K1666="","",INDEX(Base!$G$5:$G$2004,$K1666))</f>
        <v/>
      </c>
      <c r="F1666" s="71" t="str">
        <f aca="false">IF($K1666="","",INDEX(Base!$H$5:$H$2004,$K1666))</f>
        <v/>
      </c>
      <c r="G1666" s="71" t="str">
        <f aca="false">IF($K1666="","",INDEX(Base!$I$5:$I$2004,$K1666))</f>
        <v/>
      </c>
      <c r="H1666" s="70" t="str">
        <f aca="false">IF($K1666="","",INDEX(Base!$J$5:$J$2004,$K1666))</f>
        <v/>
      </c>
      <c r="I1666" s="71" t="str">
        <f aca="false">IF($K1666="","",INDEX(Base!$L$5:$L$2004,$K1666))</f>
        <v/>
      </c>
      <c r="J1666" s="72" t="str">
        <f aca="false">IFERROR(SMALL(Base!$P$5:$P$2004,ROW()-5),"")</f>
        <v/>
      </c>
      <c r="K1666" s="72" t="str">
        <f aca="false">IF(J1666="","",MATCH(J1666,Base!$P$5:$P$2004,0))</f>
        <v/>
      </c>
    </row>
    <row r="1667" customFormat="false" ht="15" hidden="false" customHeight="false" outlineLevel="0" collapsed="false">
      <c r="A1667" s="67" t="str">
        <f aca="false">IF($K1667="","",ROW()-5)</f>
        <v/>
      </c>
      <c r="B1667" s="68" t="str">
        <f aca="false">IF($K1667="","",INDEX(Base!$E$5:$E$2004,$K1667))</f>
        <v/>
      </c>
      <c r="C1667" s="69" t="str">
        <f aca="false">IF($K1667="","",B1667)</f>
        <v/>
      </c>
      <c r="D1667" s="70" t="str">
        <f aca="false">IF($K1667="","",INDEX(Base!$F$5:$F$2004,$K1667))</f>
        <v/>
      </c>
      <c r="E1667" s="70" t="str">
        <f aca="false">IF($K1667="","",INDEX(Base!$G$5:$G$2004,$K1667))</f>
        <v/>
      </c>
      <c r="F1667" s="71" t="str">
        <f aca="false">IF($K1667="","",INDEX(Base!$H$5:$H$2004,$K1667))</f>
        <v/>
      </c>
      <c r="G1667" s="71" t="str">
        <f aca="false">IF($K1667="","",INDEX(Base!$I$5:$I$2004,$K1667))</f>
        <v/>
      </c>
      <c r="H1667" s="70" t="str">
        <f aca="false">IF($K1667="","",INDEX(Base!$J$5:$J$2004,$K1667))</f>
        <v/>
      </c>
      <c r="I1667" s="71" t="str">
        <f aca="false">IF($K1667="","",INDEX(Base!$L$5:$L$2004,$K1667))</f>
        <v/>
      </c>
      <c r="J1667" s="72" t="str">
        <f aca="false">IFERROR(SMALL(Base!$P$5:$P$2004,ROW()-5),"")</f>
        <v/>
      </c>
      <c r="K1667" s="72" t="str">
        <f aca="false">IF(J1667="","",MATCH(J1667,Base!$P$5:$P$2004,0))</f>
        <v/>
      </c>
    </row>
    <row r="1668" customFormat="false" ht="15" hidden="false" customHeight="false" outlineLevel="0" collapsed="false">
      <c r="A1668" s="67" t="str">
        <f aca="false">IF($K1668="","",ROW()-5)</f>
        <v/>
      </c>
      <c r="B1668" s="68" t="str">
        <f aca="false">IF($K1668="","",INDEX(Base!$E$5:$E$2004,$K1668))</f>
        <v/>
      </c>
      <c r="C1668" s="69" t="str">
        <f aca="false">IF($K1668="","",B1668)</f>
        <v/>
      </c>
      <c r="D1668" s="70" t="str">
        <f aca="false">IF($K1668="","",INDEX(Base!$F$5:$F$2004,$K1668))</f>
        <v/>
      </c>
      <c r="E1668" s="70" t="str">
        <f aca="false">IF($K1668="","",INDEX(Base!$G$5:$G$2004,$K1668))</f>
        <v/>
      </c>
      <c r="F1668" s="71" t="str">
        <f aca="false">IF($K1668="","",INDEX(Base!$H$5:$H$2004,$K1668))</f>
        <v/>
      </c>
      <c r="G1668" s="71" t="str">
        <f aca="false">IF($K1668="","",INDEX(Base!$I$5:$I$2004,$K1668))</f>
        <v/>
      </c>
      <c r="H1668" s="70" t="str">
        <f aca="false">IF($K1668="","",INDEX(Base!$J$5:$J$2004,$K1668))</f>
        <v/>
      </c>
      <c r="I1668" s="71" t="str">
        <f aca="false">IF($K1668="","",INDEX(Base!$L$5:$L$2004,$K1668))</f>
        <v/>
      </c>
      <c r="J1668" s="72" t="str">
        <f aca="false">IFERROR(SMALL(Base!$P$5:$P$2004,ROW()-5),"")</f>
        <v/>
      </c>
      <c r="K1668" s="72" t="str">
        <f aca="false">IF(J1668="","",MATCH(J1668,Base!$P$5:$P$2004,0))</f>
        <v/>
      </c>
    </row>
    <row r="1669" customFormat="false" ht="15" hidden="false" customHeight="false" outlineLevel="0" collapsed="false">
      <c r="A1669" s="67" t="str">
        <f aca="false">IF($K1669="","",ROW()-5)</f>
        <v/>
      </c>
      <c r="B1669" s="68" t="str">
        <f aca="false">IF($K1669="","",INDEX(Base!$E$5:$E$2004,$K1669))</f>
        <v/>
      </c>
      <c r="C1669" s="69" t="str">
        <f aca="false">IF($K1669="","",B1669)</f>
        <v/>
      </c>
      <c r="D1669" s="70" t="str">
        <f aca="false">IF($K1669="","",INDEX(Base!$F$5:$F$2004,$K1669))</f>
        <v/>
      </c>
      <c r="E1669" s="70" t="str">
        <f aca="false">IF($K1669="","",INDEX(Base!$G$5:$G$2004,$K1669))</f>
        <v/>
      </c>
      <c r="F1669" s="71" t="str">
        <f aca="false">IF($K1669="","",INDEX(Base!$H$5:$H$2004,$K1669))</f>
        <v/>
      </c>
      <c r="G1669" s="71" t="str">
        <f aca="false">IF($K1669="","",INDEX(Base!$I$5:$I$2004,$K1669))</f>
        <v/>
      </c>
      <c r="H1669" s="70" t="str">
        <f aca="false">IF($K1669="","",INDEX(Base!$J$5:$J$2004,$K1669))</f>
        <v/>
      </c>
      <c r="I1669" s="71" t="str">
        <f aca="false">IF($K1669="","",INDEX(Base!$L$5:$L$2004,$K1669))</f>
        <v/>
      </c>
      <c r="J1669" s="72" t="str">
        <f aca="false">IFERROR(SMALL(Base!$P$5:$P$2004,ROW()-5),"")</f>
        <v/>
      </c>
      <c r="K1669" s="72" t="str">
        <f aca="false">IF(J1669="","",MATCH(J1669,Base!$P$5:$P$2004,0))</f>
        <v/>
      </c>
    </row>
    <row r="1670" customFormat="false" ht="15" hidden="false" customHeight="false" outlineLevel="0" collapsed="false">
      <c r="A1670" s="67" t="str">
        <f aca="false">IF($K1670="","",ROW()-5)</f>
        <v/>
      </c>
      <c r="B1670" s="68" t="str">
        <f aca="false">IF($K1670="","",INDEX(Base!$E$5:$E$2004,$K1670))</f>
        <v/>
      </c>
      <c r="C1670" s="69" t="str">
        <f aca="false">IF($K1670="","",B1670)</f>
        <v/>
      </c>
      <c r="D1670" s="70" t="str">
        <f aca="false">IF($K1670="","",INDEX(Base!$F$5:$F$2004,$K1670))</f>
        <v/>
      </c>
      <c r="E1670" s="70" t="str">
        <f aca="false">IF($K1670="","",INDEX(Base!$G$5:$G$2004,$K1670))</f>
        <v/>
      </c>
      <c r="F1670" s="71" t="str">
        <f aca="false">IF($K1670="","",INDEX(Base!$H$5:$H$2004,$K1670))</f>
        <v/>
      </c>
      <c r="G1670" s="71" t="str">
        <f aca="false">IF($K1670="","",INDEX(Base!$I$5:$I$2004,$K1670))</f>
        <v/>
      </c>
      <c r="H1670" s="70" t="str">
        <f aca="false">IF($K1670="","",INDEX(Base!$J$5:$J$2004,$K1670))</f>
        <v/>
      </c>
      <c r="I1670" s="71" t="str">
        <f aca="false">IF($K1670="","",INDEX(Base!$L$5:$L$2004,$K1670))</f>
        <v/>
      </c>
      <c r="J1670" s="72" t="str">
        <f aca="false">IFERROR(SMALL(Base!$P$5:$P$2004,ROW()-5),"")</f>
        <v/>
      </c>
      <c r="K1670" s="72" t="str">
        <f aca="false">IF(J1670="","",MATCH(J1670,Base!$P$5:$P$2004,0))</f>
        <v/>
      </c>
    </row>
    <row r="1671" customFormat="false" ht="15" hidden="false" customHeight="false" outlineLevel="0" collapsed="false">
      <c r="A1671" s="67" t="str">
        <f aca="false">IF($K1671="","",ROW()-5)</f>
        <v/>
      </c>
      <c r="B1671" s="68" t="str">
        <f aca="false">IF($K1671="","",INDEX(Base!$E$5:$E$2004,$K1671))</f>
        <v/>
      </c>
      <c r="C1671" s="69" t="str">
        <f aca="false">IF($K1671="","",B1671)</f>
        <v/>
      </c>
      <c r="D1671" s="70" t="str">
        <f aca="false">IF($K1671="","",INDEX(Base!$F$5:$F$2004,$K1671))</f>
        <v/>
      </c>
      <c r="E1671" s="70" t="str">
        <f aca="false">IF($K1671="","",INDEX(Base!$G$5:$G$2004,$K1671))</f>
        <v/>
      </c>
      <c r="F1671" s="71" t="str">
        <f aca="false">IF($K1671="","",INDEX(Base!$H$5:$H$2004,$K1671))</f>
        <v/>
      </c>
      <c r="G1671" s="71" t="str">
        <f aca="false">IF($K1671="","",INDEX(Base!$I$5:$I$2004,$K1671))</f>
        <v/>
      </c>
      <c r="H1671" s="70" t="str">
        <f aca="false">IF($K1671="","",INDEX(Base!$J$5:$J$2004,$K1671))</f>
        <v/>
      </c>
      <c r="I1671" s="71" t="str">
        <f aca="false">IF($K1671="","",INDEX(Base!$L$5:$L$2004,$K1671))</f>
        <v/>
      </c>
      <c r="J1671" s="72" t="str">
        <f aca="false">IFERROR(SMALL(Base!$P$5:$P$2004,ROW()-5),"")</f>
        <v/>
      </c>
      <c r="K1671" s="72" t="str">
        <f aca="false">IF(J1671="","",MATCH(J1671,Base!$P$5:$P$2004,0))</f>
        <v/>
      </c>
    </row>
    <row r="1672" customFormat="false" ht="15" hidden="false" customHeight="false" outlineLevel="0" collapsed="false">
      <c r="A1672" s="67" t="str">
        <f aca="false">IF($K1672="","",ROW()-5)</f>
        <v/>
      </c>
      <c r="B1672" s="68" t="str">
        <f aca="false">IF($K1672="","",INDEX(Base!$E$5:$E$2004,$K1672))</f>
        <v/>
      </c>
      <c r="C1672" s="69" t="str">
        <f aca="false">IF($K1672="","",B1672)</f>
        <v/>
      </c>
      <c r="D1672" s="70" t="str">
        <f aca="false">IF($K1672="","",INDEX(Base!$F$5:$F$2004,$K1672))</f>
        <v/>
      </c>
      <c r="E1672" s="70" t="str">
        <f aca="false">IF($K1672="","",INDEX(Base!$G$5:$G$2004,$K1672))</f>
        <v/>
      </c>
      <c r="F1672" s="71" t="str">
        <f aca="false">IF($K1672="","",INDEX(Base!$H$5:$H$2004,$K1672))</f>
        <v/>
      </c>
      <c r="G1672" s="71" t="str">
        <f aca="false">IF($K1672="","",INDEX(Base!$I$5:$I$2004,$K1672))</f>
        <v/>
      </c>
      <c r="H1672" s="70" t="str">
        <f aca="false">IF($K1672="","",INDEX(Base!$J$5:$J$2004,$K1672))</f>
        <v/>
      </c>
      <c r="I1672" s="71" t="str">
        <f aca="false">IF($K1672="","",INDEX(Base!$L$5:$L$2004,$K1672))</f>
        <v/>
      </c>
      <c r="J1672" s="72" t="str">
        <f aca="false">IFERROR(SMALL(Base!$P$5:$P$2004,ROW()-5),"")</f>
        <v/>
      </c>
      <c r="K1672" s="72" t="str">
        <f aca="false">IF(J1672="","",MATCH(J1672,Base!$P$5:$P$2004,0))</f>
        <v/>
      </c>
    </row>
    <row r="1673" customFormat="false" ht="15" hidden="false" customHeight="false" outlineLevel="0" collapsed="false">
      <c r="A1673" s="67" t="str">
        <f aca="false">IF($K1673="","",ROW()-5)</f>
        <v/>
      </c>
      <c r="B1673" s="68" t="str">
        <f aca="false">IF($K1673="","",INDEX(Base!$E$5:$E$2004,$K1673))</f>
        <v/>
      </c>
      <c r="C1673" s="69" t="str">
        <f aca="false">IF($K1673="","",B1673)</f>
        <v/>
      </c>
      <c r="D1673" s="70" t="str">
        <f aca="false">IF($K1673="","",INDEX(Base!$F$5:$F$2004,$K1673))</f>
        <v/>
      </c>
      <c r="E1673" s="70" t="str">
        <f aca="false">IF($K1673="","",INDEX(Base!$G$5:$G$2004,$K1673))</f>
        <v/>
      </c>
      <c r="F1673" s="71" t="str">
        <f aca="false">IF($K1673="","",INDEX(Base!$H$5:$H$2004,$K1673))</f>
        <v/>
      </c>
      <c r="G1673" s="71" t="str">
        <f aca="false">IF($K1673="","",INDEX(Base!$I$5:$I$2004,$K1673))</f>
        <v/>
      </c>
      <c r="H1673" s="70" t="str">
        <f aca="false">IF($K1673="","",INDEX(Base!$J$5:$J$2004,$K1673))</f>
        <v/>
      </c>
      <c r="I1673" s="71" t="str">
        <f aca="false">IF($K1673="","",INDEX(Base!$L$5:$L$2004,$K1673))</f>
        <v/>
      </c>
      <c r="J1673" s="72" t="str">
        <f aca="false">IFERROR(SMALL(Base!$P$5:$P$2004,ROW()-5),"")</f>
        <v/>
      </c>
      <c r="K1673" s="72" t="str">
        <f aca="false">IF(J1673="","",MATCH(J1673,Base!$P$5:$P$2004,0))</f>
        <v/>
      </c>
    </row>
    <row r="1674" customFormat="false" ht="15" hidden="false" customHeight="false" outlineLevel="0" collapsed="false">
      <c r="A1674" s="67" t="str">
        <f aca="false">IF($K1674="","",ROW()-5)</f>
        <v/>
      </c>
      <c r="B1674" s="68" t="str">
        <f aca="false">IF($K1674="","",INDEX(Base!$E$5:$E$2004,$K1674))</f>
        <v/>
      </c>
      <c r="C1674" s="69" t="str">
        <f aca="false">IF($K1674="","",B1674)</f>
        <v/>
      </c>
      <c r="D1674" s="70" t="str">
        <f aca="false">IF($K1674="","",INDEX(Base!$F$5:$F$2004,$K1674))</f>
        <v/>
      </c>
      <c r="E1674" s="70" t="str">
        <f aca="false">IF($K1674="","",INDEX(Base!$G$5:$G$2004,$K1674))</f>
        <v/>
      </c>
      <c r="F1674" s="71" t="str">
        <f aca="false">IF($K1674="","",INDEX(Base!$H$5:$H$2004,$K1674))</f>
        <v/>
      </c>
      <c r="G1674" s="71" t="str">
        <f aca="false">IF($K1674="","",INDEX(Base!$I$5:$I$2004,$K1674))</f>
        <v/>
      </c>
      <c r="H1674" s="70" t="str">
        <f aca="false">IF($K1674="","",INDEX(Base!$J$5:$J$2004,$K1674))</f>
        <v/>
      </c>
      <c r="I1674" s="71" t="str">
        <f aca="false">IF($K1674="","",INDEX(Base!$L$5:$L$2004,$K1674))</f>
        <v/>
      </c>
      <c r="J1674" s="72" t="str">
        <f aca="false">IFERROR(SMALL(Base!$P$5:$P$2004,ROW()-5),"")</f>
        <v/>
      </c>
      <c r="K1674" s="72" t="str">
        <f aca="false">IF(J1674="","",MATCH(J1674,Base!$P$5:$P$2004,0))</f>
        <v/>
      </c>
    </row>
    <row r="1675" customFormat="false" ht="15" hidden="false" customHeight="false" outlineLevel="0" collapsed="false">
      <c r="A1675" s="67" t="str">
        <f aca="false">IF($K1675="","",ROW()-5)</f>
        <v/>
      </c>
      <c r="B1675" s="68" t="str">
        <f aca="false">IF($K1675="","",INDEX(Base!$E$5:$E$2004,$K1675))</f>
        <v/>
      </c>
      <c r="C1675" s="69" t="str">
        <f aca="false">IF($K1675="","",B1675)</f>
        <v/>
      </c>
      <c r="D1675" s="70" t="str">
        <f aca="false">IF($K1675="","",INDEX(Base!$F$5:$F$2004,$K1675))</f>
        <v/>
      </c>
      <c r="E1675" s="70" t="str">
        <f aca="false">IF($K1675="","",INDEX(Base!$G$5:$G$2004,$K1675))</f>
        <v/>
      </c>
      <c r="F1675" s="71" t="str">
        <f aca="false">IF($K1675="","",INDEX(Base!$H$5:$H$2004,$K1675))</f>
        <v/>
      </c>
      <c r="G1675" s="71" t="str">
        <f aca="false">IF($K1675="","",INDEX(Base!$I$5:$I$2004,$K1675))</f>
        <v/>
      </c>
      <c r="H1675" s="70" t="str">
        <f aca="false">IF($K1675="","",INDEX(Base!$J$5:$J$2004,$K1675))</f>
        <v/>
      </c>
      <c r="I1675" s="71" t="str">
        <f aca="false">IF($K1675="","",INDEX(Base!$L$5:$L$2004,$K1675))</f>
        <v/>
      </c>
      <c r="J1675" s="72" t="str">
        <f aca="false">IFERROR(SMALL(Base!$P$5:$P$2004,ROW()-5),"")</f>
        <v/>
      </c>
      <c r="K1675" s="72" t="str">
        <f aca="false">IF(J1675="","",MATCH(J1675,Base!$P$5:$P$2004,0))</f>
        <v/>
      </c>
    </row>
    <row r="1676" customFormat="false" ht="15" hidden="false" customHeight="false" outlineLevel="0" collapsed="false">
      <c r="A1676" s="67" t="str">
        <f aca="false">IF($K1676="","",ROW()-5)</f>
        <v/>
      </c>
      <c r="B1676" s="68" t="str">
        <f aca="false">IF($K1676="","",INDEX(Base!$E$5:$E$2004,$K1676))</f>
        <v/>
      </c>
      <c r="C1676" s="69" t="str">
        <f aca="false">IF($K1676="","",B1676)</f>
        <v/>
      </c>
      <c r="D1676" s="70" t="str">
        <f aca="false">IF($K1676="","",INDEX(Base!$F$5:$F$2004,$K1676))</f>
        <v/>
      </c>
      <c r="E1676" s="70" t="str">
        <f aca="false">IF($K1676="","",INDEX(Base!$G$5:$G$2004,$K1676))</f>
        <v/>
      </c>
      <c r="F1676" s="71" t="str">
        <f aca="false">IF($K1676="","",INDEX(Base!$H$5:$H$2004,$K1676))</f>
        <v/>
      </c>
      <c r="G1676" s="71" t="str">
        <f aca="false">IF($K1676="","",INDEX(Base!$I$5:$I$2004,$K1676))</f>
        <v/>
      </c>
      <c r="H1676" s="70" t="str">
        <f aca="false">IF($K1676="","",INDEX(Base!$J$5:$J$2004,$K1676))</f>
        <v/>
      </c>
      <c r="I1676" s="71" t="str">
        <f aca="false">IF($K1676="","",INDEX(Base!$L$5:$L$2004,$K1676))</f>
        <v/>
      </c>
      <c r="J1676" s="72" t="str">
        <f aca="false">IFERROR(SMALL(Base!$P$5:$P$2004,ROW()-5),"")</f>
        <v/>
      </c>
      <c r="K1676" s="72" t="str">
        <f aca="false">IF(J1676="","",MATCH(J1676,Base!$P$5:$P$2004,0))</f>
        <v/>
      </c>
    </row>
    <row r="1677" customFormat="false" ht="15" hidden="false" customHeight="false" outlineLevel="0" collapsed="false">
      <c r="A1677" s="67" t="str">
        <f aca="false">IF($K1677="","",ROW()-5)</f>
        <v/>
      </c>
      <c r="B1677" s="68" t="str">
        <f aca="false">IF($K1677="","",INDEX(Base!$E$5:$E$2004,$K1677))</f>
        <v/>
      </c>
      <c r="C1677" s="69" t="str">
        <f aca="false">IF($K1677="","",B1677)</f>
        <v/>
      </c>
      <c r="D1677" s="70" t="str">
        <f aca="false">IF($K1677="","",INDEX(Base!$F$5:$F$2004,$K1677))</f>
        <v/>
      </c>
      <c r="E1677" s="70" t="str">
        <f aca="false">IF($K1677="","",INDEX(Base!$G$5:$G$2004,$K1677))</f>
        <v/>
      </c>
      <c r="F1677" s="71" t="str">
        <f aca="false">IF($K1677="","",INDEX(Base!$H$5:$H$2004,$K1677))</f>
        <v/>
      </c>
      <c r="G1677" s="71" t="str">
        <f aca="false">IF($K1677="","",INDEX(Base!$I$5:$I$2004,$K1677))</f>
        <v/>
      </c>
      <c r="H1677" s="70" t="str">
        <f aca="false">IF($K1677="","",INDEX(Base!$J$5:$J$2004,$K1677))</f>
        <v/>
      </c>
      <c r="I1677" s="71" t="str">
        <f aca="false">IF($K1677="","",INDEX(Base!$L$5:$L$2004,$K1677))</f>
        <v/>
      </c>
      <c r="J1677" s="72" t="str">
        <f aca="false">IFERROR(SMALL(Base!$P$5:$P$2004,ROW()-5),"")</f>
        <v/>
      </c>
      <c r="K1677" s="72" t="str">
        <f aca="false">IF(J1677="","",MATCH(J1677,Base!$P$5:$P$2004,0))</f>
        <v/>
      </c>
    </row>
    <row r="1678" customFormat="false" ht="15" hidden="false" customHeight="false" outlineLevel="0" collapsed="false">
      <c r="A1678" s="67" t="str">
        <f aca="false">IF($K1678="","",ROW()-5)</f>
        <v/>
      </c>
      <c r="B1678" s="68" t="str">
        <f aca="false">IF($K1678="","",INDEX(Base!$E$5:$E$2004,$K1678))</f>
        <v/>
      </c>
      <c r="C1678" s="69" t="str">
        <f aca="false">IF($K1678="","",B1678)</f>
        <v/>
      </c>
      <c r="D1678" s="70" t="str">
        <f aca="false">IF($K1678="","",INDEX(Base!$F$5:$F$2004,$K1678))</f>
        <v/>
      </c>
      <c r="E1678" s="70" t="str">
        <f aca="false">IF($K1678="","",INDEX(Base!$G$5:$G$2004,$K1678))</f>
        <v/>
      </c>
      <c r="F1678" s="71" t="str">
        <f aca="false">IF($K1678="","",INDEX(Base!$H$5:$H$2004,$K1678))</f>
        <v/>
      </c>
      <c r="G1678" s="71" t="str">
        <f aca="false">IF($K1678="","",INDEX(Base!$I$5:$I$2004,$K1678))</f>
        <v/>
      </c>
      <c r="H1678" s="70" t="str">
        <f aca="false">IF($K1678="","",INDEX(Base!$J$5:$J$2004,$K1678))</f>
        <v/>
      </c>
      <c r="I1678" s="71" t="str">
        <f aca="false">IF($K1678="","",INDEX(Base!$L$5:$L$2004,$K1678))</f>
        <v/>
      </c>
      <c r="J1678" s="72" t="str">
        <f aca="false">IFERROR(SMALL(Base!$P$5:$P$2004,ROW()-5),"")</f>
        <v/>
      </c>
      <c r="K1678" s="72" t="str">
        <f aca="false">IF(J1678="","",MATCH(J1678,Base!$P$5:$P$2004,0))</f>
        <v/>
      </c>
    </row>
    <row r="1679" customFormat="false" ht="15" hidden="false" customHeight="false" outlineLevel="0" collapsed="false">
      <c r="A1679" s="67" t="str">
        <f aca="false">IF($K1679="","",ROW()-5)</f>
        <v/>
      </c>
      <c r="B1679" s="68" t="str">
        <f aca="false">IF($K1679="","",INDEX(Base!$E$5:$E$2004,$K1679))</f>
        <v/>
      </c>
      <c r="C1679" s="69" t="str">
        <f aca="false">IF($K1679="","",B1679)</f>
        <v/>
      </c>
      <c r="D1679" s="70" t="str">
        <f aca="false">IF($K1679="","",INDEX(Base!$F$5:$F$2004,$K1679))</f>
        <v/>
      </c>
      <c r="E1679" s="70" t="str">
        <f aca="false">IF($K1679="","",INDEX(Base!$G$5:$G$2004,$K1679))</f>
        <v/>
      </c>
      <c r="F1679" s="71" t="str">
        <f aca="false">IF($K1679="","",INDEX(Base!$H$5:$H$2004,$K1679))</f>
        <v/>
      </c>
      <c r="G1679" s="71" t="str">
        <f aca="false">IF($K1679="","",INDEX(Base!$I$5:$I$2004,$K1679))</f>
        <v/>
      </c>
      <c r="H1679" s="70" t="str">
        <f aca="false">IF($K1679="","",INDEX(Base!$J$5:$J$2004,$K1679))</f>
        <v/>
      </c>
      <c r="I1679" s="71" t="str">
        <f aca="false">IF($K1679="","",INDEX(Base!$L$5:$L$2004,$K1679))</f>
        <v/>
      </c>
      <c r="J1679" s="72" t="str">
        <f aca="false">IFERROR(SMALL(Base!$P$5:$P$2004,ROW()-5),"")</f>
        <v/>
      </c>
      <c r="K1679" s="72" t="str">
        <f aca="false">IF(J1679="","",MATCH(J1679,Base!$P$5:$P$2004,0))</f>
        <v/>
      </c>
    </row>
    <row r="1680" customFormat="false" ht="15" hidden="false" customHeight="false" outlineLevel="0" collapsed="false">
      <c r="A1680" s="67" t="str">
        <f aca="false">IF($K1680="","",ROW()-5)</f>
        <v/>
      </c>
      <c r="B1680" s="68" t="str">
        <f aca="false">IF($K1680="","",INDEX(Base!$E$5:$E$2004,$K1680))</f>
        <v/>
      </c>
      <c r="C1680" s="69" t="str">
        <f aca="false">IF($K1680="","",B1680)</f>
        <v/>
      </c>
      <c r="D1680" s="70" t="str">
        <f aca="false">IF($K1680="","",INDEX(Base!$F$5:$F$2004,$K1680))</f>
        <v/>
      </c>
      <c r="E1680" s="70" t="str">
        <f aca="false">IF($K1680="","",INDEX(Base!$G$5:$G$2004,$K1680))</f>
        <v/>
      </c>
      <c r="F1680" s="71" t="str">
        <f aca="false">IF($K1680="","",INDEX(Base!$H$5:$H$2004,$K1680))</f>
        <v/>
      </c>
      <c r="G1680" s="71" t="str">
        <f aca="false">IF($K1680="","",INDEX(Base!$I$5:$I$2004,$K1680))</f>
        <v/>
      </c>
      <c r="H1680" s="70" t="str">
        <f aca="false">IF($K1680="","",INDEX(Base!$J$5:$J$2004,$K1680))</f>
        <v/>
      </c>
      <c r="I1680" s="71" t="str">
        <f aca="false">IF($K1680="","",INDEX(Base!$L$5:$L$2004,$K1680))</f>
        <v/>
      </c>
      <c r="J1680" s="72" t="str">
        <f aca="false">IFERROR(SMALL(Base!$P$5:$P$2004,ROW()-5),"")</f>
        <v/>
      </c>
      <c r="K1680" s="72" t="str">
        <f aca="false">IF(J1680="","",MATCH(J1680,Base!$P$5:$P$2004,0))</f>
        <v/>
      </c>
    </row>
    <row r="1681" customFormat="false" ht="15" hidden="false" customHeight="false" outlineLevel="0" collapsed="false">
      <c r="A1681" s="67" t="str">
        <f aca="false">IF($K1681="","",ROW()-5)</f>
        <v/>
      </c>
      <c r="B1681" s="68" t="str">
        <f aca="false">IF($K1681="","",INDEX(Base!$E$5:$E$2004,$K1681))</f>
        <v/>
      </c>
      <c r="C1681" s="69" t="str">
        <f aca="false">IF($K1681="","",B1681)</f>
        <v/>
      </c>
      <c r="D1681" s="70" t="str">
        <f aca="false">IF($K1681="","",INDEX(Base!$F$5:$F$2004,$K1681))</f>
        <v/>
      </c>
      <c r="E1681" s="70" t="str">
        <f aca="false">IF($K1681="","",INDEX(Base!$G$5:$G$2004,$K1681))</f>
        <v/>
      </c>
      <c r="F1681" s="71" t="str">
        <f aca="false">IF($K1681="","",INDEX(Base!$H$5:$H$2004,$K1681))</f>
        <v/>
      </c>
      <c r="G1681" s="71" t="str">
        <f aca="false">IF($K1681="","",INDEX(Base!$I$5:$I$2004,$K1681))</f>
        <v/>
      </c>
      <c r="H1681" s="70" t="str">
        <f aca="false">IF($K1681="","",INDEX(Base!$J$5:$J$2004,$K1681))</f>
        <v/>
      </c>
      <c r="I1681" s="71" t="str">
        <f aca="false">IF($K1681="","",INDEX(Base!$L$5:$L$2004,$K1681))</f>
        <v/>
      </c>
      <c r="J1681" s="72" t="str">
        <f aca="false">IFERROR(SMALL(Base!$P$5:$P$2004,ROW()-5),"")</f>
        <v/>
      </c>
      <c r="K1681" s="72" t="str">
        <f aca="false">IF(J1681="","",MATCH(J1681,Base!$P$5:$P$2004,0))</f>
        <v/>
      </c>
    </row>
    <row r="1682" customFormat="false" ht="15" hidden="false" customHeight="false" outlineLevel="0" collapsed="false">
      <c r="A1682" s="67" t="str">
        <f aca="false">IF($K1682="","",ROW()-5)</f>
        <v/>
      </c>
      <c r="B1682" s="68" t="str">
        <f aca="false">IF($K1682="","",INDEX(Base!$E$5:$E$2004,$K1682))</f>
        <v/>
      </c>
      <c r="C1682" s="69" t="str">
        <f aca="false">IF($K1682="","",B1682)</f>
        <v/>
      </c>
      <c r="D1682" s="70" t="str">
        <f aca="false">IF($K1682="","",INDEX(Base!$F$5:$F$2004,$K1682))</f>
        <v/>
      </c>
      <c r="E1682" s="70" t="str">
        <f aca="false">IF($K1682="","",INDEX(Base!$G$5:$G$2004,$K1682))</f>
        <v/>
      </c>
      <c r="F1682" s="71" t="str">
        <f aca="false">IF($K1682="","",INDEX(Base!$H$5:$H$2004,$K1682))</f>
        <v/>
      </c>
      <c r="G1682" s="71" t="str">
        <f aca="false">IF($K1682="","",INDEX(Base!$I$5:$I$2004,$K1682))</f>
        <v/>
      </c>
      <c r="H1682" s="70" t="str">
        <f aca="false">IF($K1682="","",INDEX(Base!$J$5:$J$2004,$K1682))</f>
        <v/>
      </c>
      <c r="I1682" s="71" t="str">
        <f aca="false">IF($K1682="","",INDEX(Base!$L$5:$L$2004,$K1682))</f>
        <v/>
      </c>
      <c r="J1682" s="72" t="str">
        <f aca="false">IFERROR(SMALL(Base!$P$5:$P$2004,ROW()-5),"")</f>
        <v/>
      </c>
      <c r="K1682" s="72" t="str">
        <f aca="false">IF(J1682="","",MATCH(J1682,Base!$P$5:$P$2004,0))</f>
        <v/>
      </c>
    </row>
    <row r="1683" customFormat="false" ht="15" hidden="false" customHeight="false" outlineLevel="0" collapsed="false">
      <c r="A1683" s="67" t="str">
        <f aca="false">IF($K1683="","",ROW()-5)</f>
        <v/>
      </c>
      <c r="B1683" s="68" t="str">
        <f aca="false">IF($K1683="","",INDEX(Base!$E$5:$E$2004,$K1683))</f>
        <v/>
      </c>
      <c r="C1683" s="69" t="str">
        <f aca="false">IF($K1683="","",B1683)</f>
        <v/>
      </c>
      <c r="D1683" s="70" t="str">
        <f aca="false">IF($K1683="","",INDEX(Base!$F$5:$F$2004,$K1683))</f>
        <v/>
      </c>
      <c r="E1683" s="70" t="str">
        <f aca="false">IF($K1683="","",INDEX(Base!$G$5:$G$2004,$K1683))</f>
        <v/>
      </c>
      <c r="F1683" s="71" t="str">
        <f aca="false">IF($K1683="","",INDEX(Base!$H$5:$H$2004,$K1683))</f>
        <v/>
      </c>
      <c r="G1683" s="71" t="str">
        <f aca="false">IF($K1683="","",INDEX(Base!$I$5:$I$2004,$K1683))</f>
        <v/>
      </c>
      <c r="H1683" s="70" t="str">
        <f aca="false">IF($K1683="","",INDEX(Base!$J$5:$J$2004,$K1683))</f>
        <v/>
      </c>
      <c r="I1683" s="71" t="str">
        <f aca="false">IF($K1683="","",INDEX(Base!$L$5:$L$2004,$K1683))</f>
        <v/>
      </c>
      <c r="J1683" s="72" t="str">
        <f aca="false">IFERROR(SMALL(Base!$P$5:$P$2004,ROW()-5),"")</f>
        <v/>
      </c>
      <c r="K1683" s="72" t="str">
        <f aca="false">IF(J1683="","",MATCH(J1683,Base!$P$5:$P$2004,0))</f>
        <v/>
      </c>
    </row>
    <row r="1684" customFormat="false" ht="15" hidden="false" customHeight="false" outlineLevel="0" collapsed="false">
      <c r="A1684" s="67" t="str">
        <f aca="false">IF($K1684="","",ROW()-5)</f>
        <v/>
      </c>
      <c r="B1684" s="68" t="str">
        <f aca="false">IF($K1684="","",INDEX(Base!$E$5:$E$2004,$K1684))</f>
        <v/>
      </c>
      <c r="C1684" s="69" t="str">
        <f aca="false">IF($K1684="","",B1684)</f>
        <v/>
      </c>
      <c r="D1684" s="70" t="str">
        <f aca="false">IF($K1684="","",INDEX(Base!$F$5:$F$2004,$K1684))</f>
        <v/>
      </c>
      <c r="E1684" s="70" t="str">
        <f aca="false">IF($K1684="","",INDEX(Base!$G$5:$G$2004,$K1684))</f>
        <v/>
      </c>
      <c r="F1684" s="71" t="str">
        <f aca="false">IF($K1684="","",INDEX(Base!$H$5:$H$2004,$K1684))</f>
        <v/>
      </c>
      <c r="G1684" s="71" t="str">
        <f aca="false">IF($K1684="","",INDEX(Base!$I$5:$I$2004,$K1684))</f>
        <v/>
      </c>
      <c r="H1684" s="70" t="str">
        <f aca="false">IF($K1684="","",INDEX(Base!$J$5:$J$2004,$K1684))</f>
        <v/>
      </c>
      <c r="I1684" s="71" t="str">
        <f aca="false">IF($K1684="","",INDEX(Base!$L$5:$L$2004,$K1684))</f>
        <v/>
      </c>
      <c r="J1684" s="72" t="str">
        <f aca="false">IFERROR(SMALL(Base!$P$5:$P$2004,ROW()-5),"")</f>
        <v/>
      </c>
      <c r="K1684" s="72" t="str">
        <f aca="false">IF(J1684="","",MATCH(J1684,Base!$P$5:$P$2004,0))</f>
        <v/>
      </c>
    </row>
    <row r="1685" customFormat="false" ht="15" hidden="false" customHeight="false" outlineLevel="0" collapsed="false">
      <c r="A1685" s="67" t="str">
        <f aca="false">IF($K1685="","",ROW()-5)</f>
        <v/>
      </c>
      <c r="B1685" s="68" t="str">
        <f aca="false">IF($K1685="","",INDEX(Base!$E$5:$E$2004,$K1685))</f>
        <v/>
      </c>
      <c r="C1685" s="69" t="str">
        <f aca="false">IF($K1685="","",B1685)</f>
        <v/>
      </c>
      <c r="D1685" s="70" t="str">
        <f aca="false">IF($K1685="","",INDEX(Base!$F$5:$F$2004,$K1685))</f>
        <v/>
      </c>
      <c r="E1685" s="70" t="str">
        <f aca="false">IF($K1685="","",INDEX(Base!$G$5:$G$2004,$K1685))</f>
        <v/>
      </c>
      <c r="F1685" s="71" t="str">
        <f aca="false">IF($K1685="","",INDEX(Base!$H$5:$H$2004,$K1685))</f>
        <v/>
      </c>
      <c r="G1685" s="71" t="str">
        <f aca="false">IF($K1685="","",INDEX(Base!$I$5:$I$2004,$K1685))</f>
        <v/>
      </c>
      <c r="H1685" s="70" t="str">
        <f aca="false">IF($K1685="","",INDEX(Base!$J$5:$J$2004,$K1685))</f>
        <v/>
      </c>
      <c r="I1685" s="71" t="str">
        <f aca="false">IF($K1685="","",INDEX(Base!$L$5:$L$2004,$K1685))</f>
        <v/>
      </c>
      <c r="J1685" s="72" t="str">
        <f aca="false">IFERROR(SMALL(Base!$P$5:$P$2004,ROW()-5),"")</f>
        <v/>
      </c>
      <c r="K1685" s="72" t="str">
        <f aca="false">IF(J1685="","",MATCH(J1685,Base!$P$5:$P$2004,0))</f>
        <v/>
      </c>
    </row>
    <row r="1686" customFormat="false" ht="15" hidden="false" customHeight="false" outlineLevel="0" collapsed="false">
      <c r="A1686" s="67" t="str">
        <f aca="false">IF($K1686="","",ROW()-5)</f>
        <v/>
      </c>
      <c r="B1686" s="68" t="str">
        <f aca="false">IF($K1686="","",INDEX(Base!$E$5:$E$2004,$K1686))</f>
        <v/>
      </c>
      <c r="C1686" s="69" t="str">
        <f aca="false">IF($K1686="","",B1686)</f>
        <v/>
      </c>
      <c r="D1686" s="70" t="str">
        <f aca="false">IF($K1686="","",INDEX(Base!$F$5:$F$2004,$K1686))</f>
        <v/>
      </c>
      <c r="E1686" s="70" t="str">
        <f aca="false">IF($K1686="","",INDEX(Base!$G$5:$G$2004,$K1686))</f>
        <v/>
      </c>
      <c r="F1686" s="71" t="str">
        <f aca="false">IF($K1686="","",INDEX(Base!$H$5:$H$2004,$K1686))</f>
        <v/>
      </c>
      <c r="G1686" s="71" t="str">
        <f aca="false">IF($K1686="","",INDEX(Base!$I$5:$I$2004,$K1686))</f>
        <v/>
      </c>
      <c r="H1686" s="70" t="str">
        <f aca="false">IF($K1686="","",INDEX(Base!$J$5:$J$2004,$K1686))</f>
        <v/>
      </c>
      <c r="I1686" s="71" t="str">
        <f aca="false">IF($K1686="","",INDEX(Base!$L$5:$L$2004,$K1686))</f>
        <v/>
      </c>
      <c r="J1686" s="72" t="str">
        <f aca="false">IFERROR(SMALL(Base!$P$5:$P$2004,ROW()-5),"")</f>
        <v/>
      </c>
      <c r="K1686" s="72" t="str">
        <f aca="false">IF(J1686="","",MATCH(J1686,Base!$P$5:$P$2004,0))</f>
        <v/>
      </c>
    </row>
    <row r="1687" customFormat="false" ht="15" hidden="false" customHeight="false" outlineLevel="0" collapsed="false">
      <c r="A1687" s="67" t="str">
        <f aca="false">IF($K1687="","",ROW()-5)</f>
        <v/>
      </c>
      <c r="B1687" s="68" t="str">
        <f aca="false">IF($K1687="","",INDEX(Base!$E$5:$E$2004,$K1687))</f>
        <v/>
      </c>
      <c r="C1687" s="69" t="str">
        <f aca="false">IF($K1687="","",B1687)</f>
        <v/>
      </c>
      <c r="D1687" s="70" t="str">
        <f aca="false">IF($K1687="","",INDEX(Base!$F$5:$F$2004,$K1687))</f>
        <v/>
      </c>
      <c r="E1687" s="70" t="str">
        <f aca="false">IF($K1687="","",INDEX(Base!$G$5:$G$2004,$K1687))</f>
        <v/>
      </c>
      <c r="F1687" s="71" t="str">
        <f aca="false">IF($K1687="","",INDEX(Base!$H$5:$H$2004,$K1687))</f>
        <v/>
      </c>
      <c r="G1687" s="71" t="str">
        <f aca="false">IF($K1687="","",INDEX(Base!$I$5:$I$2004,$K1687))</f>
        <v/>
      </c>
      <c r="H1687" s="70" t="str">
        <f aca="false">IF($K1687="","",INDEX(Base!$J$5:$J$2004,$K1687))</f>
        <v/>
      </c>
      <c r="I1687" s="71" t="str">
        <f aca="false">IF($K1687="","",INDEX(Base!$L$5:$L$2004,$K1687))</f>
        <v/>
      </c>
      <c r="J1687" s="72" t="str">
        <f aca="false">IFERROR(SMALL(Base!$P$5:$P$2004,ROW()-5),"")</f>
        <v/>
      </c>
      <c r="K1687" s="72" t="str">
        <f aca="false">IF(J1687="","",MATCH(J1687,Base!$P$5:$P$2004,0))</f>
        <v/>
      </c>
    </row>
    <row r="1688" customFormat="false" ht="15" hidden="false" customHeight="false" outlineLevel="0" collapsed="false">
      <c r="A1688" s="67" t="str">
        <f aca="false">IF($K1688="","",ROW()-5)</f>
        <v/>
      </c>
      <c r="B1688" s="68" t="str">
        <f aca="false">IF($K1688="","",INDEX(Base!$E$5:$E$2004,$K1688))</f>
        <v/>
      </c>
      <c r="C1688" s="69" t="str">
        <f aca="false">IF($K1688="","",B1688)</f>
        <v/>
      </c>
      <c r="D1688" s="70" t="str">
        <f aca="false">IF($K1688="","",INDEX(Base!$F$5:$F$2004,$K1688))</f>
        <v/>
      </c>
      <c r="E1688" s="70" t="str">
        <f aca="false">IF($K1688="","",INDEX(Base!$G$5:$G$2004,$K1688))</f>
        <v/>
      </c>
      <c r="F1688" s="71" t="str">
        <f aca="false">IF($K1688="","",INDEX(Base!$H$5:$H$2004,$K1688))</f>
        <v/>
      </c>
      <c r="G1688" s="71" t="str">
        <f aca="false">IF($K1688="","",INDEX(Base!$I$5:$I$2004,$K1688))</f>
        <v/>
      </c>
      <c r="H1688" s="70" t="str">
        <f aca="false">IF($K1688="","",INDEX(Base!$J$5:$J$2004,$K1688))</f>
        <v/>
      </c>
      <c r="I1688" s="71" t="str">
        <f aca="false">IF($K1688="","",INDEX(Base!$L$5:$L$2004,$K1688))</f>
        <v/>
      </c>
      <c r="J1688" s="72" t="str">
        <f aca="false">IFERROR(SMALL(Base!$P$5:$P$2004,ROW()-5),"")</f>
        <v/>
      </c>
      <c r="K1688" s="72" t="str">
        <f aca="false">IF(J1688="","",MATCH(J1688,Base!$P$5:$P$2004,0))</f>
        <v/>
      </c>
    </row>
    <row r="1689" customFormat="false" ht="15" hidden="false" customHeight="false" outlineLevel="0" collapsed="false">
      <c r="A1689" s="67" t="str">
        <f aca="false">IF($K1689="","",ROW()-5)</f>
        <v/>
      </c>
      <c r="B1689" s="68" t="str">
        <f aca="false">IF($K1689="","",INDEX(Base!$E$5:$E$2004,$K1689))</f>
        <v/>
      </c>
      <c r="C1689" s="69" t="str">
        <f aca="false">IF($K1689="","",B1689)</f>
        <v/>
      </c>
      <c r="D1689" s="70" t="str">
        <f aca="false">IF($K1689="","",INDEX(Base!$F$5:$F$2004,$K1689))</f>
        <v/>
      </c>
      <c r="E1689" s="70" t="str">
        <f aca="false">IF($K1689="","",INDEX(Base!$G$5:$G$2004,$K1689))</f>
        <v/>
      </c>
      <c r="F1689" s="71" t="str">
        <f aca="false">IF($K1689="","",INDEX(Base!$H$5:$H$2004,$K1689))</f>
        <v/>
      </c>
      <c r="G1689" s="71" t="str">
        <f aca="false">IF($K1689="","",INDEX(Base!$I$5:$I$2004,$K1689))</f>
        <v/>
      </c>
      <c r="H1689" s="70" t="str">
        <f aca="false">IF($K1689="","",INDEX(Base!$J$5:$J$2004,$K1689))</f>
        <v/>
      </c>
      <c r="I1689" s="71" t="str">
        <f aca="false">IF($K1689="","",INDEX(Base!$L$5:$L$2004,$K1689))</f>
        <v/>
      </c>
      <c r="J1689" s="72" t="str">
        <f aca="false">IFERROR(SMALL(Base!$P$5:$P$2004,ROW()-5),"")</f>
        <v/>
      </c>
      <c r="K1689" s="72" t="str">
        <f aca="false">IF(J1689="","",MATCH(J1689,Base!$P$5:$P$2004,0))</f>
        <v/>
      </c>
    </row>
    <row r="1690" customFormat="false" ht="15" hidden="false" customHeight="false" outlineLevel="0" collapsed="false">
      <c r="A1690" s="67" t="str">
        <f aca="false">IF($K1690="","",ROW()-5)</f>
        <v/>
      </c>
      <c r="B1690" s="68" t="str">
        <f aca="false">IF($K1690="","",INDEX(Base!$E$5:$E$2004,$K1690))</f>
        <v/>
      </c>
      <c r="C1690" s="69" t="str">
        <f aca="false">IF($K1690="","",B1690)</f>
        <v/>
      </c>
      <c r="D1690" s="70" t="str">
        <f aca="false">IF($K1690="","",INDEX(Base!$F$5:$F$2004,$K1690))</f>
        <v/>
      </c>
      <c r="E1690" s="70" t="str">
        <f aca="false">IF($K1690="","",INDEX(Base!$G$5:$G$2004,$K1690))</f>
        <v/>
      </c>
      <c r="F1690" s="71" t="str">
        <f aca="false">IF($K1690="","",INDEX(Base!$H$5:$H$2004,$K1690))</f>
        <v/>
      </c>
      <c r="G1690" s="71" t="str">
        <f aca="false">IF($K1690="","",INDEX(Base!$I$5:$I$2004,$K1690))</f>
        <v/>
      </c>
      <c r="H1690" s="70" t="str">
        <f aca="false">IF($K1690="","",INDEX(Base!$J$5:$J$2004,$K1690))</f>
        <v/>
      </c>
      <c r="I1690" s="71" t="str">
        <f aca="false">IF($K1690="","",INDEX(Base!$L$5:$L$2004,$K1690))</f>
        <v/>
      </c>
      <c r="J1690" s="72" t="str">
        <f aca="false">IFERROR(SMALL(Base!$P$5:$P$2004,ROW()-5),"")</f>
        <v/>
      </c>
      <c r="K1690" s="72" t="str">
        <f aca="false">IF(J1690="","",MATCH(J1690,Base!$P$5:$P$2004,0))</f>
        <v/>
      </c>
    </row>
    <row r="1691" customFormat="false" ht="15" hidden="false" customHeight="false" outlineLevel="0" collapsed="false">
      <c r="A1691" s="67" t="str">
        <f aca="false">IF($K1691="","",ROW()-5)</f>
        <v/>
      </c>
      <c r="B1691" s="68" t="str">
        <f aca="false">IF($K1691="","",INDEX(Base!$E$5:$E$2004,$K1691))</f>
        <v/>
      </c>
      <c r="C1691" s="69" t="str">
        <f aca="false">IF($K1691="","",B1691)</f>
        <v/>
      </c>
      <c r="D1691" s="70" t="str">
        <f aca="false">IF($K1691="","",INDEX(Base!$F$5:$F$2004,$K1691))</f>
        <v/>
      </c>
      <c r="E1691" s="70" t="str">
        <f aca="false">IF($K1691="","",INDEX(Base!$G$5:$G$2004,$K1691))</f>
        <v/>
      </c>
      <c r="F1691" s="71" t="str">
        <f aca="false">IF($K1691="","",INDEX(Base!$H$5:$H$2004,$K1691))</f>
        <v/>
      </c>
      <c r="G1691" s="71" t="str">
        <f aca="false">IF($K1691="","",INDEX(Base!$I$5:$I$2004,$K1691))</f>
        <v/>
      </c>
      <c r="H1691" s="70" t="str">
        <f aca="false">IF($K1691="","",INDEX(Base!$J$5:$J$2004,$K1691))</f>
        <v/>
      </c>
      <c r="I1691" s="71" t="str">
        <f aca="false">IF($K1691="","",INDEX(Base!$L$5:$L$2004,$K1691))</f>
        <v/>
      </c>
      <c r="J1691" s="72" t="str">
        <f aca="false">IFERROR(SMALL(Base!$P$5:$P$2004,ROW()-5),"")</f>
        <v/>
      </c>
      <c r="K1691" s="72" t="str">
        <f aca="false">IF(J1691="","",MATCH(J1691,Base!$P$5:$P$2004,0))</f>
        <v/>
      </c>
    </row>
    <row r="1692" customFormat="false" ht="15" hidden="false" customHeight="false" outlineLevel="0" collapsed="false">
      <c r="A1692" s="67" t="str">
        <f aca="false">IF($K1692="","",ROW()-5)</f>
        <v/>
      </c>
      <c r="B1692" s="68" t="str">
        <f aca="false">IF($K1692="","",INDEX(Base!$E$5:$E$2004,$K1692))</f>
        <v/>
      </c>
      <c r="C1692" s="69" t="str">
        <f aca="false">IF($K1692="","",B1692)</f>
        <v/>
      </c>
      <c r="D1692" s="70" t="str">
        <f aca="false">IF($K1692="","",INDEX(Base!$F$5:$F$2004,$K1692))</f>
        <v/>
      </c>
      <c r="E1692" s="70" t="str">
        <f aca="false">IF($K1692="","",INDEX(Base!$G$5:$G$2004,$K1692))</f>
        <v/>
      </c>
      <c r="F1692" s="71" t="str">
        <f aca="false">IF($K1692="","",INDEX(Base!$H$5:$H$2004,$K1692))</f>
        <v/>
      </c>
      <c r="G1692" s="71" t="str">
        <f aca="false">IF($K1692="","",INDEX(Base!$I$5:$I$2004,$K1692))</f>
        <v/>
      </c>
      <c r="H1692" s="70" t="str">
        <f aca="false">IF($K1692="","",INDEX(Base!$J$5:$J$2004,$K1692))</f>
        <v/>
      </c>
      <c r="I1692" s="71" t="str">
        <f aca="false">IF($K1692="","",INDEX(Base!$L$5:$L$2004,$K1692))</f>
        <v/>
      </c>
      <c r="J1692" s="72" t="str">
        <f aca="false">IFERROR(SMALL(Base!$P$5:$P$2004,ROW()-5),"")</f>
        <v/>
      </c>
      <c r="K1692" s="72" t="str">
        <f aca="false">IF(J1692="","",MATCH(J1692,Base!$P$5:$P$2004,0))</f>
        <v/>
      </c>
    </row>
    <row r="1693" customFormat="false" ht="15" hidden="false" customHeight="false" outlineLevel="0" collapsed="false">
      <c r="A1693" s="67" t="str">
        <f aca="false">IF($K1693="","",ROW()-5)</f>
        <v/>
      </c>
      <c r="B1693" s="68" t="str">
        <f aca="false">IF($K1693="","",INDEX(Base!$E$5:$E$2004,$K1693))</f>
        <v/>
      </c>
      <c r="C1693" s="69" t="str">
        <f aca="false">IF($K1693="","",B1693)</f>
        <v/>
      </c>
      <c r="D1693" s="70" t="str">
        <f aca="false">IF($K1693="","",INDEX(Base!$F$5:$F$2004,$K1693))</f>
        <v/>
      </c>
      <c r="E1693" s="70" t="str">
        <f aca="false">IF($K1693="","",INDEX(Base!$G$5:$G$2004,$K1693))</f>
        <v/>
      </c>
      <c r="F1693" s="71" t="str">
        <f aca="false">IF($K1693="","",INDEX(Base!$H$5:$H$2004,$K1693))</f>
        <v/>
      </c>
      <c r="G1693" s="71" t="str">
        <f aca="false">IF($K1693="","",INDEX(Base!$I$5:$I$2004,$K1693))</f>
        <v/>
      </c>
      <c r="H1693" s="70" t="str">
        <f aca="false">IF($K1693="","",INDEX(Base!$J$5:$J$2004,$K1693))</f>
        <v/>
      </c>
      <c r="I1693" s="71" t="str">
        <f aca="false">IF($K1693="","",INDEX(Base!$L$5:$L$2004,$K1693))</f>
        <v/>
      </c>
      <c r="J1693" s="72" t="str">
        <f aca="false">IFERROR(SMALL(Base!$P$5:$P$2004,ROW()-5),"")</f>
        <v/>
      </c>
      <c r="K1693" s="72" t="str">
        <f aca="false">IF(J1693="","",MATCH(J1693,Base!$P$5:$P$2004,0))</f>
        <v/>
      </c>
    </row>
    <row r="1694" customFormat="false" ht="15" hidden="false" customHeight="false" outlineLevel="0" collapsed="false">
      <c r="A1694" s="67" t="str">
        <f aca="false">IF($K1694="","",ROW()-5)</f>
        <v/>
      </c>
      <c r="B1694" s="68" t="str">
        <f aca="false">IF($K1694="","",INDEX(Base!$E$5:$E$2004,$K1694))</f>
        <v/>
      </c>
      <c r="C1694" s="69" t="str">
        <f aca="false">IF($K1694="","",B1694)</f>
        <v/>
      </c>
      <c r="D1694" s="70" t="str">
        <f aca="false">IF($K1694="","",INDEX(Base!$F$5:$F$2004,$K1694))</f>
        <v/>
      </c>
      <c r="E1694" s="70" t="str">
        <f aca="false">IF($K1694="","",INDEX(Base!$G$5:$G$2004,$K1694))</f>
        <v/>
      </c>
      <c r="F1694" s="71" t="str">
        <f aca="false">IF($K1694="","",INDEX(Base!$H$5:$H$2004,$K1694))</f>
        <v/>
      </c>
      <c r="G1694" s="71" t="str">
        <f aca="false">IF($K1694="","",INDEX(Base!$I$5:$I$2004,$K1694))</f>
        <v/>
      </c>
      <c r="H1694" s="70" t="str">
        <f aca="false">IF($K1694="","",INDEX(Base!$J$5:$J$2004,$K1694))</f>
        <v/>
      </c>
      <c r="I1694" s="71" t="str">
        <f aca="false">IF($K1694="","",INDEX(Base!$L$5:$L$2004,$K1694))</f>
        <v/>
      </c>
      <c r="J1694" s="72" t="str">
        <f aca="false">IFERROR(SMALL(Base!$P$5:$P$2004,ROW()-5),"")</f>
        <v/>
      </c>
      <c r="K1694" s="72" t="str">
        <f aca="false">IF(J1694="","",MATCH(J1694,Base!$P$5:$P$2004,0))</f>
        <v/>
      </c>
    </row>
    <row r="1695" customFormat="false" ht="15" hidden="false" customHeight="false" outlineLevel="0" collapsed="false">
      <c r="A1695" s="67" t="str">
        <f aca="false">IF($K1695="","",ROW()-5)</f>
        <v/>
      </c>
      <c r="B1695" s="68" t="str">
        <f aca="false">IF($K1695="","",INDEX(Base!$E$5:$E$2004,$K1695))</f>
        <v/>
      </c>
      <c r="C1695" s="69" t="str">
        <f aca="false">IF($K1695="","",B1695)</f>
        <v/>
      </c>
      <c r="D1695" s="70" t="str">
        <f aca="false">IF($K1695="","",INDEX(Base!$F$5:$F$2004,$K1695))</f>
        <v/>
      </c>
      <c r="E1695" s="70" t="str">
        <f aca="false">IF($K1695="","",INDEX(Base!$G$5:$G$2004,$K1695))</f>
        <v/>
      </c>
      <c r="F1695" s="71" t="str">
        <f aca="false">IF($K1695="","",INDEX(Base!$H$5:$H$2004,$K1695))</f>
        <v/>
      </c>
      <c r="G1695" s="71" t="str">
        <f aca="false">IF($K1695="","",INDEX(Base!$I$5:$I$2004,$K1695))</f>
        <v/>
      </c>
      <c r="H1695" s="70" t="str">
        <f aca="false">IF($K1695="","",INDEX(Base!$J$5:$J$2004,$K1695))</f>
        <v/>
      </c>
      <c r="I1695" s="71" t="str">
        <f aca="false">IF($K1695="","",INDEX(Base!$L$5:$L$2004,$K1695))</f>
        <v/>
      </c>
      <c r="J1695" s="72" t="str">
        <f aca="false">IFERROR(SMALL(Base!$P$5:$P$2004,ROW()-5),"")</f>
        <v/>
      </c>
      <c r="K1695" s="72" t="str">
        <f aca="false">IF(J1695="","",MATCH(J1695,Base!$P$5:$P$2004,0))</f>
        <v/>
      </c>
    </row>
    <row r="1696" customFormat="false" ht="15" hidden="false" customHeight="false" outlineLevel="0" collapsed="false">
      <c r="A1696" s="67" t="str">
        <f aca="false">IF($K1696="","",ROW()-5)</f>
        <v/>
      </c>
      <c r="B1696" s="68" t="str">
        <f aca="false">IF($K1696="","",INDEX(Base!$E$5:$E$2004,$K1696))</f>
        <v/>
      </c>
      <c r="C1696" s="69" t="str">
        <f aca="false">IF($K1696="","",B1696)</f>
        <v/>
      </c>
      <c r="D1696" s="70" t="str">
        <f aca="false">IF($K1696="","",INDEX(Base!$F$5:$F$2004,$K1696))</f>
        <v/>
      </c>
      <c r="E1696" s="70" t="str">
        <f aca="false">IF($K1696="","",INDEX(Base!$G$5:$G$2004,$K1696))</f>
        <v/>
      </c>
      <c r="F1696" s="71" t="str">
        <f aca="false">IF($K1696="","",INDEX(Base!$H$5:$H$2004,$K1696))</f>
        <v/>
      </c>
      <c r="G1696" s="71" t="str">
        <f aca="false">IF($K1696="","",INDEX(Base!$I$5:$I$2004,$K1696))</f>
        <v/>
      </c>
      <c r="H1696" s="70" t="str">
        <f aca="false">IF($K1696="","",INDEX(Base!$J$5:$J$2004,$K1696))</f>
        <v/>
      </c>
      <c r="I1696" s="71" t="str">
        <f aca="false">IF($K1696="","",INDEX(Base!$L$5:$L$2004,$K1696))</f>
        <v/>
      </c>
      <c r="J1696" s="72" t="str">
        <f aca="false">IFERROR(SMALL(Base!$P$5:$P$2004,ROW()-5),"")</f>
        <v/>
      </c>
      <c r="K1696" s="72" t="str">
        <f aca="false">IF(J1696="","",MATCH(J1696,Base!$P$5:$P$2004,0))</f>
        <v/>
      </c>
    </row>
    <row r="1697" customFormat="false" ht="15" hidden="false" customHeight="false" outlineLevel="0" collapsed="false">
      <c r="A1697" s="67" t="str">
        <f aca="false">IF($K1697="","",ROW()-5)</f>
        <v/>
      </c>
      <c r="B1697" s="68" t="str">
        <f aca="false">IF($K1697="","",INDEX(Base!$E$5:$E$2004,$K1697))</f>
        <v/>
      </c>
      <c r="C1697" s="69" t="str">
        <f aca="false">IF($K1697="","",B1697)</f>
        <v/>
      </c>
      <c r="D1697" s="70" t="str">
        <f aca="false">IF($K1697="","",INDEX(Base!$F$5:$F$2004,$K1697))</f>
        <v/>
      </c>
      <c r="E1697" s="70" t="str">
        <f aca="false">IF($K1697="","",INDEX(Base!$G$5:$G$2004,$K1697))</f>
        <v/>
      </c>
      <c r="F1697" s="71" t="str">
        <f aca="false">IF($K1697="","",INDEX(Base!$H$5:$H$2004,$K1697))</f>
        <v/>
      </c>
      <c r="G1697" s="71" t="str">
        <f aca="false">IF($K1697="","",INDEX(Base!$I$5:$I$2004,$K1697))</f>
        <v/>
      </c>
      <c r="H1697" s="70" t="str">
        <f aca="false">IF($K1697="","",INDEX(Base!$J$5:$J$2004,$K1697))</f>
        <v/>
      </c>
      <c r="I1697" s="71" t="str">
        <f aca="false">IF($K1697="","",INDEX(Base!$L$5:$L$2004,$K1697))</f>
        <v/>
      </c>
      <c r="J1697" s="72" t="str">
        <f aca="false">IFERROR(SMALL(Base!$P$5:$P$2004,ROW()-5),"")</f>
        <v/>
      </c>
      <c r="K1697" s="72" t="str">
        <f aca="false">IF(J1697="","",MATCH(J1697,Base!$P$5:$P$2004,0))</f>
        <v/>
      </c>
    </row>
    <row r="1698" customFormat="false" ht="15" hidden="false" customHeight="false" outlineLevel="0" collapsed="false">
      <c r="A1698" s="67" t="str">
        <f aca="false">IF($K1698="","",ROW()-5)</f>
        <v/>
      </c>
      <c r="B1698" s="68" t="str">
        <f aca="false">IF($K1698="","",INDEX(Base!$E$5:$E$2004,$K1698))</f>
        <v/>
      </c>
      <c r="C1698" s="69" t="str">
        <f aca="false">IF($K1698="","",B1698)</f>
        <v/>
      </c>
      <c r="D1698" s="70" t="str">
        <f aca="false">IF($K1698="","",INDEX(Base!$F$5:$F$2004,$K1698))</f>
        <v/>
      </c>
      <c r="E1698" s="70" t="str">
        <f aca="false">IF($K1698="","",INDEX(Base!$G$5:$G$2004,$K1698))</f>
        <v/>
      </c>
      <c r="F1698" s="71" t="str">
        <f aca="false">IF($K1698="","",INDEX(Base!$H$5:$H$2004,$K1698))</f>
        <v/>
      </c>
      <c r="G1698" s="71" t="str">
        <f aca="false">IF($K1698="","",INDEX(Base!$I$5:$I$2004,$K1698))</f>
        <v/>
      </c>
      <c r="H1698" s="70" t="str">
        <f aca="false">IF($K1698="","",INDEX(Base!$J$5:$J$2004,$K1698))</f>
        <v/>
      </c>
      <c r="I1698" s="71" t="str">
        <f aca="false">IF($K1698="","",INDEX(Base!$L$5:$L$2004,$K1698))</f>
        <v/>
      </c>
      <c r="J1698" s="72" t="str">
        <f aca="false">IFERROR(SMALL(Base!$P$5:$P$2004,ROW()-5),"")</f>
        <v/>
      </c>
      <c r="K1698" s="72" t="str">
        <f aca="false">IF(J1698="","",MATCH(J1698,Base!$P$5:$P$2004,0))</f>
        <v/>
      </c>
    </row>
    <row r="1699" customFormat="false" ht="15" hidden="false" customHeight="false" outlineLevel="0" collapsed="false">
      <c r="A1699" s="67" t="str">
        <f aca="false">IF($K1699="","",ROW()-5)</f>
        <v/>
      </c>
      <c r="B1699" s="68" t="str">
        <f aca="false">IF($K1699="","",INDEX(Base!$E$5:$E$2004,$K1699))</f>
        <v/>
      </c>
      <c r="C1699" s="69" t="str">
        <f aca="false">IF($K1699="","",B1699)</f>
        <v/>
      </c>
      <c r="D1699" s="70" t="str">
        <f aca="false">IF($K1699="","",INDEX(Base!$F$5:$F$2004,$K1699))</f>
        <v/>
      </c>
      <c r="E1699" s="70" t="str">
        <f aca="false">IF($K1699="","",INDEX(Base!$G$5:$G$2004,$K1699))</f>
        <v/>
      </c>
      <c r="F1699" s="71" t="str">
        <f aca="false">IF($K1699="","",INDEX(Base!$H$5:$H$2004,$K1699))</f>
        <v/>
      </c>
      <c r="G1699" s="71" t="str">
        <f aca="false">IF($K1699="","",INDEX(Base!$I$5:$I$2004,$K1699))</f>
        <v/>
      </c>
      <c r="H1699" s="70" t="str">
        <f aca="false">IF($K1699="","",INDEX(Base!$J$5:$J$2004,$K1699))</f>
        <v/>
      </c>
      <c r="I1699" s="71" t="str">
        <f aca="false">IF($K1699="","",INDEX(Base!$L$5:$L$2004,$K1699))</f>
        <v/>
      </c>
      <c r="J1699" s="72" t="str">
        <f aca="false">IFERROR(SMALL(Base!$P$5:$P$2004,ROW()-5),"")</f>
        <v/>
      </c>
      <c r="K1699" s="72" t="str">
        <f aca="false">IF(J1699="","",MATCH(J1699,Base!$P$5:$P$2004,0))</f>
        <v/>
      </c>
    </row>
    <row r="1700" customFormat="false" ht="15" hidden="false" customHeight="false" outlineLevel="0" collapsed="false">
      <c r="A1700" s="67" t="str">
        <f aca="false">IF($K1700="","",ROW()-5)</f>
        <v/>
      </c>
      <c r="B1700" s="68" t="str">
        <f aca="false">IF($K1700="","",INDEX(Base!$E$5:$E$2004,$K1700))</f>
        <v/>
      </c>
      <c r="C1700" s="69" t="str">
        <f aca="false">IF($K1700="","",B1700)</f>
        <v/>
      </c>
      <c r="D1700" s="70" t="str">
        <f aca="false">IF($K1700="","",INDEX(Base!$F$5:$F$2004,$K1700))</f>
        <v/>
      </c>
      <c r="E1700" s="70" t="str">
        <f aca="false">IF($K1700="","",INDEX(Base!$G$5:$G$2004,$K1700))</f>
        <v/>
      </c>
      <c r="F1700" s="71" t="str">
        <f aca="false">IF($K1700="","",INDEX(Base!$H$5:$H$2004,$K1700))</f>
        <v/>
      </c>
      <c r="G1700" s="71" t="str">
        <f aca="false">IF($K1700="","",INDEX(Base!$I$5:$I$2004,$K1700))</f>
        <v/>
      </c>
      <c r="H1700" s="70" t="str">
        <f aca="false">IF($K1700="","",INDEX(Base!$J$5:$J$2004,$K1700))</f>
        <v/>
      </c>
      <c r="I1700" s="71" t="str">
        <f aca="false">IF($K1700="","",INDEX(Base!$L$5:$L$2004,$K1700))</f>
        <v/>
      </c>
      <c r="J1700" s="72" t="str">
        <f aca="false">IFERROR(SMALL(Base!$P$5:$P$2004,ROW()-5),"")</f>
        <v/>
      </c>
      <c r="K1700" s="72" t="str">
        <f aca="false">IF(J1700="","",MATCH(J1700,Base!$P$5:$P$2004,0))</f>
        <v/>
      </c>
    </row>
    <row r="1701" customFormat="false" ht="15" hidden="false" customHeight="false" outlineLevel="0" collapsed="false">
      <c r="A1701" s="67" t="str">
        <f aca="false">IF($K1701="","",ROW()-5)</f>
        <v/>
      </c>
      <c r="B1701" s="68" t="str">
        <f aca="false">IF($K1701="","",INDEX(Base!$E$5:$E$2004,$K1701))</f>
        <v/>
      </c>
      <c r="C1701" s="69" t="str">
        <f aca="false">IF($K1701="","",B1701)</f>
        <v/>
      </c>
      <c r="D1701" s="70" t="str">
        <f aca="false">IF($K1701="","",INDEX(Base!$F$5:$F$2004,$K1701))</f>
        <v/>
      </c>
      <c r="E1701" s="70" t="str">
        <f aca="false">IF($K1701="","",INDEX(Base!$G$5:$G$2004,$K1701))</f>
        <v/>
      </c>
      <c r="F1701" s="71" t="str">
        <f aca="false">IF($K1701="","",INDEX(Base!$H$5:$H$2004,$K1701))</f>
        <v/>
      </c>
      <c r="G1701" s="71" t="str">
        <f aca="false">IF($K1701="","",INDEX(Base!$I$5:$I$2004,$K1701))</f>
        <v/>
      </c>
      <c r="H1701" s="70" t="str">
        <f aca="false">IF($K1701="","",INDEX(Base!$J$5:$J$2004,$K1701))</f>
        <v/>
      </c>
      <c r="I1701" s="71" t="str">
        <f aca="false">IF($K1701="","",INDEX(Base!$L$5:$L$2004,$K1701))</f>
        <v/>
      </c>
      <c r="J1701" s="72" t="str">
        <f aca="false">IFERROR(SMALL(Base!$P$5:$P$2004,ROW()-5),"")</f>
        <v/>
      </c>
      <c r="K1701" s="72" t="str">
        <f aca="false">IF(J1701="","",MATCH(J1701,Base!$P$5:$P$2004,0))</f>
        <v/>
      </c>
    </row>
    <row r="1702" customFormat="false" ht="15" hidden="false" customHeight="false" outlineLevel="0" collapsed="false">
      <c r="A1702" s="67" t="str">
        <f aca="false">IF($K1702="","",ROW()-5)</f>
        <v/>
      </c>
      <c r="B1702" s="68" t="str">
        <f aca="false">IF($K1702="","",INDEX(Base!$E$5:$E$2004,$K1702))</f>
        <v/>
      </c>
      <c r="C1702" s="69" t="str">
        <f aca="false">IF($K1702="","",B1702)</f>
        <v/>
      </c>
      <c r="D1702" s="70" t="str">
        <f aca="false">IF($K1702="","",INDEX(Base!$F$5:$F$2004,$K1702))</f>
        <v/>
      </c>
      <c r="E1702" s="70" t="str">
        <f aca="false">IF($K1702="","",INDEX(Base!$G$5:$G$2004,$K1702))</f>
        <v/>
      </c>
      <c r="F1702" s="71" t="str">
        <f aca="false">IF($K1702="","",INDEX(Base!$H$5:$H$2004,$K1702))</f>
        <v/>
      </c>
      <c r="G1702" s="71" t="str">
        <f aca="false">IF($K1702="","",INDEX(Base!$I$5:$I$2004,$K1702))</f>
        <v/>
      </c>
      <c r="H1702" s="70" t="str">
        <f aca="false">IF($K1702="","",INDEX(Base!$J$5:$J$2004,$K1702))</f>
        <v/>
      </c>
      <c r="I1702" s="71" t="str">
        <f aca="false">IF($K1702="","",INDEX(Base!$L$5:$L$2004,$K1702))</f>
        <v/>
      </c>
      <c r="J1702" s="72" t="str">
        <f aca="false">IFERROR(SMALL(Base!$P$5:$P$2004,ROW()-5),"")</f>
        <v/>
      </c>
      <c r="K1702" s="72" t="str">
        <f aca="false">IF(J1702="","",MATCH(J1702,Base!$P$5:$P$2004,0))</f>
        <v/>
      </c>
    </row>
    <row r="1703" customFormat="false" ht="15" hidden="false" customHeight="false" outlineLevel="0" collapsed="false">
      <c r="A1703" s="67" t="str">
        <f aca="false">IF($K1703="","",ROW()-5)</f>
        <v/>
      </c>
      <c r="B1703" s="68" t="str">
        <f aca="false">IF($K1703="","",INDEX(Base!$E$5:$E$2004,$K1703))</f>
        <v/>
      </c>
      <c r="C1703" s="69" t="str">
        <f aca="false">IF($K1703="","",B1703)</f>
        <v/>
      </c>
      <c r="D1703" s="70" t="str">
        <f aca="false">IF($K1703="","",INDEX(Base!$F$5:$F$2004,$K1703))</f>
        <v/>
      </c>
      <c r="E1703" s="70" t="str">
        <f aca="false">IF($K1703="","",INDEX(Base!$G$5:$G$2004,$K1703))</f>
        <v/>
      </c>
      <c r="F1703" s="71" t="str">
        <f aca="false">IF($K1703="","",INDEX(Base!$H$5:$H$2004,$K1703))</f>
        <v/>
      </c>
      <c r="G1703" s="71" t="str">
        <f aca="false">IF($K1703="","",INDEX(Base!$I$5:$I$2004,$K1703))</f>
        <v/>
      </c>
      <c r="H1703" s="70" t="str">
        <f aca="false">IF($K1703="","",INDEX(Base!$J$5:$J$2004,$K1703))</f>
        <v/>
      </c>
      <c r="I1703" s="71" t="str">
        <f aca="false">IF($K1703="","",INDEX(Base!$L$5:$L$2004,$K1703))</f>
        <v/>
      </c>
      <c r="J1703" s="72" t="str">
        <f aca="false">IFERROR(SMALL(Base!$P$5:$P$2004,ROW()-5),"")</f>
        <v/>
      </c>
      <c r="K1703" s="72" t="str">
        <f aca="false">IF(J1703="","",MATCH(J1703,Base!$P$5:$P$2004,0))</f>
        <v/>
      </c>
    </row>
    <row r="1704" customFormat="false" ht="15" hidden="false" customHeight="false" outlineLevel="0" collapsed="false">
      <c r="A1704" s="67" t="str">
        <f aca="false">IF($K1704="","",ROW()-5)</f>
        <v/>
      </c>
      <c r="B1704" s="68" t="str">
        <f aca="false">IF($K1704="","",INDEX(Base!$E$5:$E$2004,$K1704))</f>
        <v/>
      </c>
      <c r="C1704" s="69" t="str">
        <f aca="false">IF($K1704="","",B1704)</f>
        <v/>
      </c>
      <c r="D1704" s="70" t="str">
        <f aca="false">IF($K1704="","",INDEX(Base!$F$5:$F$2004,$K1704))</f>
        <v/>
      </c>
      <c r="E1704" s="70" t="str">
        <f aca="false">IF($K1704="","",INDEX(Base!$G$5:$G$2004,$K1704))</f>
        <v/>
      </c>
      <c r="F1704" s="71" t="str">
        <f aca="false">IF($K1704="","",INDEX(Base!$H$5:$H$2004,$K1704))</f>
        <v/>
      </c>
      <c r="G1704" s="71" t="str">
        <f aca="false">IF($K1704="","",INDEX(Base!$I$5:$I$2004,$K1704))</f>
        <v/>
      </c>
      <c r="H1704" s="70" t="str">
        <f aca="false">IF($K1704="","",INDEX(Base!$J$5:$J$2004,$K1704))</f>
        <v/>
      </c>
      <c r="I1704" s="71" t="str">
        <f aca="false">IF($K1704="","",INDEX(Base!$L$5:$L$2004,$K1704))</f>
        <v/>
      </c>
      <c r="J1704" s="72" t="str">
        <f aca="false">IFERROR(SMALL(Base!$P$5:$P$2004,ROW()-5),"")</f>
        <v/>
      </c>
      <c r="K1704" s="72" t="str">
        <f aca="false">IF(J1704="","",MATCH(J1704,Base!$P$5:$P$2004,0))</f>
        <v/>
      </c>
    </row>
    <row r="1705" customFormat="false" ht="15" hidden="false" customHeight="false" outlineLevel="0" collapsed="false">
      <c r="A1705" s="67" t="str">
        <f aca="false">IF($K1705="","",ROW()-5)</f>
        <v/>
      </c>
      <c r="B1705" s="68" t="str">
        <f aca="false">IF($K1705="","",INDEX(Base!$E$5:$E$2004,$K1705))</f>
        <v/>
      </c>
      <c r="C1705" s="69" t="str">
        <f aca="false">IF($K1705="","",B1705)</f>
        <v/>
      </c>
      <c r="D1705" s="70" t="str">
        <f aca="false">IF($K1705="","",INDEX(Base!$F$5:$F$2004,$K1705))</f>
        <v/>
      </c>
      <c r="E1705" s="70" t="str">
        <f aca="false">IF($K1705="","",INDEX(Base!$G$5:$G$2004,$K1705))</f>
        <v/>
      </c>
      <c r="F1705" s="71" t="str">
        <f aca="false">IF($K1705="","",INDEX(Base!$H$5:$H$2004,$K1705))</f>
        <v/>
      </c>
      <c r="G1705" s="71" t="str">
        <f aca="false">IF($K1705="","",INDEX(Base!$I$5:$I$2004,$K1705))</f>
        <v/>
      </c>
      <c r="H1705" s="70" t="str">
        <f aca="false">IF($K1705="","",INDEX(Base!$J$5:$J$2004,$K1705))</f>
        <v/>
      </c>
      <c r="I1705" s="71" t="str">
        <f aca="false">IF($K1705="","",INDEX(Base!$L$5:$L$2004,$K1705))</f>
        <v/>
      </c>
      <c r="J1705" s="72" t="str">
        <f aca="false">IFERROR(SMALL(Base!$P$5:$P$2004,ROW()-5),"")</f>
        <v/>
      </c>
      <c r="K1705" s="72" t="str">
        <f aca="false">IF(J1705="","",MATCH(J1705,Base!$P$5:$P$2004,0))</f>
        <v/>
      </c>
    </row>
    <row r="1706" customFormat="false" ht="15" hidden="false" customHeight="false" outlineLevel="0" collapsed="false">
      <c r="A1706" s="67" t="str">
        <f aca="false">IF($K1706="","",ROW()-5)</f>
        <v/>
      </c>
      <c r="B1706" s="68" t="str">
        <f aca="false">IF($K1706="","",INDEX(Base!$E$5:$E$2004,$K1706))</f>
        <v/>
      </c>
      <c r="C1706" s="69" t="str">
        <f aca="false">IF($K1706="","",B1706)</f>
        <v/>
      </c>
      <c r="D1706" s="70" t="str">
        <f aca="false">IF($K1706="","",INDEX(Base!$F$5:$F$2004,$K1706))</f>
        <v/>
      </c>
      <c r="E1706" s="70" t="str">
        <f aca="false">IF($K1706="","",INDEX(Base!$G$5:$G$2004,$K1706))</f>
        <v/>
      </c>
      <c r="F1706" s="71" t="str">
        <f aca="false">IF($K1706="","",INDEX(Base!$H$5:$H$2004,$K1706))</f>
        <v/>
      </c>
      <c r="G1706" s="71" t="str">
        <f aca="false">IF($K1706="","",INDEX(Base!$I$5:$I$2004,$K1706))</f>
        <v/>
      </c>
      <c r="H1706" s="70" t="str">
        <f aca="false">IF($K1706="","",INDEX(Base!$J$5:$J$2004,$K1706))</f>
        <v/>
      </c>
      <c r="I1706" s="71" t="str">
        <f aca="false">IF($K1706="","",INDEX(Base!$L$5:$L$2004,$K1706))</f>
        <v/>
      </c>
      <c r="J1706" s="72" t="str">
        <f aca="false">IFERROR(SMALL(Base!$P$5:$P$2004,ROW()-5),"")</f>
        <v/>
      </c>
      <c r="K1706" s="72" t="str">
        <f aca="false">IF(J1706="","",MATCH(J1706,Base!$P$5:$P$2004,0))</f>
        <v/>
      </c>
    </row>
    <row r="1707" customFormat="false" ht="15" hidden="false" customHeight="false" outlineLevel="0" collapsed="false">
      <c r="A1707" s="67" t="str">
        <f aca="false">IF($K1707="","",ROW()-5)</f>
        <v/>
      </c>
      <c r="B1707" s="68" t="str">
        <f aca="false">IF($K1707="","",INDEX(Base!$E$5:$E$2004,$K1707))</f>
        <v/>
      </c>
      <c r="C1707" s="69" t="str">
        <f aca="false">IF($K1707="","",B1707)</f>
        <v/>
      </c>
      <c r="D1707" s="70" t="str">
        <f aca="false">IF($K1707="","",INDEX(Base!$F$5:$F$2004,$K1707))</f>
        <v/>
      </c>
      <c r="E1707" s="70" t="str">
        <f aca="false">IF($K1707="","",INDEX(Base!$G$5:$G$2004,$K1707))</f>
        <v/>
      </c>
      <c r="F1707" s="71" t="str">
        <f aca="false">IF($K1707="","",INDEX(Base!$H$5:$H$2004,$K1707))</f>
        <v/>
      </c>
      <c r="G1707" s="71" t="str">
        <f aca="false">IF($K1707="","",INDEX(Base!$I$5:$I$2004,$K1707))</f>
        <v/>
      </c>
      <c r="H1707" s="70" t="str">
        <f aca="false">IF($K1707="","",INDEX(Base!$J$5:$J$2004,$K1707))</f>
        <v/>
      </c>
      <c r="I1707" s="71" t="str">
        <f aca="false">IF($K1707="","",INDEX(Base!$L$5:$L$2004,$K1707))</f>
        <v/>
      </c>
      <c r="J1707" s="72" t="str">
        <f aca="false">IFERROR(SMALL(Base!$P$5:$P$2004,ROW()-5),"")</f>
        <v/>
      </c>
      <c r="K1707" s="72" t="str">
        <f aca="false">IF(J1707="","",MATCH(J1707,Base!$P$5:$P$2004,0))</f>
        <v/>
      </c>
    </row>
    <row r="1708" customFormat="false" ht="15" hidden="false" customHeight="false" outlineLevel="0" collapsed="false">
      <c r="A1708" s="67" t="str">
        <f aca="false">IF($K1708="","",ROW()-5)</f>
        <v/>
      </c>
      <c r="B1708" s="68" t="str">
        <f aca="false">IF($K1708="","",INDEX(Base!$E$5:$E$2004,$K1708))</f>
        <v/>
      </c>
      <c r="C1708" s="69" t="str">
        <f aca="false">IF($K1708="","",B1708)</f>
        <v/>
      </c>
      <c r="D1708" s="70" t="str">
        <f aca="false">IF($K1708="","",INDEX(Base!$F$5:$F$2004,$K1708))</f>
        <v/>
      </c>
      <c r="E1708" s="70" t="str">
        <f aca="false">IF($K1708="","",INDEX(Base!$G$5:$G$2004,$K1708))</f>
        <v/>
      </c>
      <c r="F1708" s="71" t="str">
        <f aca="false">IF($K1708="","",INDEX(Base!$H$5:$H$2004,$K1708))</f>
        <v/>
      </c>
      <c r="G1708" s="71" t="str">
        <f aca="false">IF($K1708="","",INDEX(Base!$I$5:$I$2004,$K1708))</f>
        <v/>
      </c>
      <c r="H1708" s="70" t="str">
        <f aca="false">IF($K1708="","",INDEX(Base!$J$5:$J$2004,$K1708))</f>
        <v/>
      </c>
      <c r="I1708" s="71" t="str">
        <f aca="false">IF($K1708="","",INDEX(Base!$L$5:$L$2004,$K1708))</f>
        <v/>
      </c>
      <c r="J1708" s="72" t="str">
        <f aca="false">IFERROR(SMALL(Base!$P$5:$P$2004,ROW()-5),"")</f>
        <v/>
      </c>
      <c r="K1708" s="72" t="str">
        <f aca="false">IF(J1708="","",MATCH(J1708,Base!$P$5:$P$2004,0))</f>
        <v/>
      </c>
    </row>
    <row r="1709" customFormat="false" ht="15" hidden="false" customHeight="false" outlineLevel="0" collapsed="false">
      <c r="A1709" s="67" t="str">
        <f aca="false">IF($K1709="","",ROW()-5)</f>
        <v/>
      </c>
      <c r="B1709" s="68" t="str">
        <f aca="false">IF($K1709="","",INDEX(Base!$E$5:$E$2004,$K1709))</f>
        <v/>
      </c>
      <c r="C1709" s="69" t="str">
        <f aca="false">IF($K1709="","",B1709)</f>
        <v/>
      </c>
      <c r="D1709" s="70" t="str">
        <f aca="false">IF($K1709="","",INDEX(Base!$F$5:$F$2004,$K1709))</f>
        <v/>
      </c>
      <c r="E1709" s="70" t="str">
        <f aca="false">IF($K1709="","",INDEX(Base!$G$5:$G$2004,$K1709))</f>
        <v/>
      </c>
      <c r="F1709" s="71" t="str">
        <f aca="false">IF($K1709="","",INDEX(Base!$H$5:$H$2004,$K1709))</f>
        <v/>
      </c>
      <c r="G1709" s="71" t="str">
        <f aca="false">IF($K1709="","",INDEX(Base!$I$5:$I$2004,$K1709))</f>
        <v/>
      </c>
      <c r="H1709" s="70" t="str">
        <f aca="false">IF($K1709="","",INDEX(Base!$J$5:$J$2004,$K1709))</f>
        <v/>
      </c>
      <c r="I1709" s="71" t="str">
        <f aca="false">IF($K1709="","",INDEX(Base!$L$5:$L$2004,$K1709))</f>
        <v/>
      </c>
      <c r="J1709" s="72" t="str">
        <f aca="false">IFERROR(SMALL(Base!$P$5:$P$2004,ROW()-5),"")</f>
        <v/>
      </c>
      <c r="K1709" s="72" t="str">
        <f aca="false">IF(J1709="","",MATCH(J1709,Base!$P$5:$P$2004,0))</f>
        <v/>
      </c>
    </row>
    <row r="1710" customFormat="false" ht="15" hidden="false" customHeight="false" outlineLevel="0" collapsed="false">
      <c r="A1710" s="67" t="str">
        <f aca="false">IF($K1710="","",ROW()-5)</f>
        <v/>
      </c>
      <c r="B1710" s="68" t="str">
        <f aca="false">IF($K1710="","",INDEX(Base!$E$5:$E$2004,$K1710))</f>
        <v/>
      </c>
      <c r="C1710" s="69" t="str">
        <f aca="false">IF($K1710="","",B1710)</f>
        <v/>
      </c>
      <c r="D1710" s="70" t="str">
        <f aca="false">IF($K1710="","",INDEX(Base!$F$5:$F$2004,$K1710))</f>
        <v/>
      </c>
      <c r="E1710" s="70" t="str">
        <f aca="false">IF($K1710="","",INDEX(Base!$G$5:$G$2004,$K1710))</f>
        <v/>
      </c>
      <c r="F1710" s="71" t="str">
        <f aca="false">IF($K1710="","",INDEX(Base!$H$5:$H$2004,$K1710))</f>
        <v/>
      </c>
      <c r="G1710" s="71" t="str">
        <f aca="false">IF($K1710="","",INDEX(Base!$I$5:$I$2004,$K1710))</f>
        <v/>
      </c>
      <c r="H1710" s="70" t="str">
        <f aca="false">IF($K1710="","",INDEX(Base!$J$5:$J$2004,$K1710))</f>
        <v/>
      </c>
      <c r="I1710" s="71" t="str">
        <f aca="false">IF($K1710="","",INDEX(Base!$L$5:$L$2004,$K1710))</f>
        <v/>
      </c>
      <c r="J1710" s="72" t="str">
        <f aca="false">IFERROR(SMALL(Base!$P$5:$P$2004,ROW()-5),"")</f>
        <v/>
      </c>
      <c r="K1710" s="72" t="str">
        <f aca="false">IF(J1710="","",MATCH(J1710,Base!$P$5:$P$2004,0))</f>
        <v/>
      </c>
    </row>
    <row r="1711" customFormat="false" ht="15" hidden="false" customHeight="false" outlineLevel="0" collapsed="false">
      <c r="A1711" s="67" t="str">
        <f aca="false">IF($K1711="","",ROW()-5)</f>
        <v/>
      </c>
      <c r="B1711" s="68" t="str">
        <f aca="false">IF($K1711="","",INDEX(Base!$E$5:$E$2004,$K1711))</f>
        <v/>
      </c>
      <c r="C1711" s="69" t="str">
        <f aca="false">IF($K1711="","",B1711)</f>
        <v/>
      </c>
      <c r="D1711" s="70" t="str">
        <f aca="false">IF($K1711="","",INDEX(Base!$F$5:$F$2004,$K1711))</f>
        <v/>
      </c>
      <c r="E1711" s="70" t="str">
        <f aca="false">IF($K1711="","",INDEX(Base!$G$5:$G$2004,$K1711))</f>
        <v/>
      </c>
      <c r="F1711" s="71" t="str">
        <f aca="false">IF($K1711="","",INDEX(Base!$H$5:$H$2004,$K1711))</f>
        <v/>
      </c>
      <c r="G1711" s="71" t="str">
        <f aca="false">IF($K1711="","",INDEX(Base!$I$5:$I$2004,$K1711))</f>
        <v/>
      </c>
      <c r="H1711" s="70" t="str">
        <f aca="false">IF($K1711="","",INDEX(Base!$J$5:$J$2004,$K1711))</f>
        <v/>
      </c>
      <c r="I1711" s="71" t="str">
        <f aca="false">IF($K1711="","",INDEX(Base!$L$5:$L$2004,$K1711))</f>
        <v/>
      </c>
      <c r="J1711" s="72" t="str">
        <f aca="false">IFERROR(SMALL(Base!$P$5:$P$2004,ROW()-5),"")</f>
        <v/>
      </c>
      <c r="K1711" s="72" t="str">
        <f aca="false">IF(J1711="","",MATCH(J1711,Base!$P$5:$P$2004,0))</f>
        <v/>
      </c>
    </row>
    <row r="1712" customFormat="false" ht="15" hidden="false" customHeight="false" outlineLevel="0" collapsed="false">
      <c r="A1712" s="67" t="str">
        <f aca="false">IF($K1712="","",ROW()-5)</f>
        <v/>
      </c>
      <c r="B1712" s="68" t="str">
        <f aca="false">IF($K1712="","",INDEX(Base!$E$5:$E$2004,$K1712))</f>
        <v/>
      </c>
      <c r="C1712" s="69" t="str">
        <f aca="false">IF($K1712="","",B1712)</f>
        <v/>
      </c>
      <c r="D1712" s="70" t="str">
        <f aca="false">IF($K1712="","",INDEX(Base!$F$5:$F$2004,$K1712))</f>
        <v/>
      </c>
      <c r="E1712" s="70" t="str">
        <f aca="false">IF($K1712="","",INDEX(Base!$G$5:$G$2004,$K1712))</f>
        <v/>
      </c>
      <c r="F1712" s="71" t="str">
        <f aca="false">IF($K1712="","",INDEX(Base!$H$5:$H$2004,$K1712))</f>
        <v/>
      </c>
      <c r="G1712" s="71" t="str">
        <f aca="false">IF($K1712="","",INDEX(Base!$I$5:$I$2004,$K1712))</f>
        <v/>
      </c>
      <c r="H1712" s="70" t="str">
        <f aca="false">IF($K1712="","",INDEX(Base!$J$5:$J$2004,$K1712))</f>
        <v/>
      </c>
      <c r="I1712" s="71" t="str">
        <f aca="false">IF($K1712="","",INDEX(Base!$L$5:$L$2004,$K1712))</f>
        <v/>
      </c>
      <c r="J1712" s="72" t="str">
        <f aca="false">IFERROR(SMALL(Base!$P$5:$P$2004,ROW()-5),"")</f>
        <v/>
      </c>
      <c r="K1712" s="72" t="str">
        <f aca="false">IF(J1712="","",MATCH(J1712,Base!$P$5:$P$2004,0))</f>
        <v/>
      </c>
    </row>
    <row r="1713" customFormat="false" ht="15" hidden="false" customHeight="false" outlineLevel="0" collapsed="false">
      <c r="A1713" s="67" t="str">
        <f aca="false">IF($K1713="","",ROW()-5)</f>
        <v/>
      </c>
      <c r="B1713" s="68" t="str">
        <f aca="false">IF($K1713="","",INDEX(Base!$E$5:$E$2004,$K1713))</f>
        <v/>
      </c>
      <c r="C1713" s="69" t="str">
        <f aca="false">IF($K1713="","",B1713)</f>
        <v/>
      </c>
      <c r="D1713" s="70" t="str">
        <f aca="false">IF($K1713="","",INDEX(Base!$F$5:$F$2004,$K1713))</f>
        <v/>
      </c>
      <c r="E1713" s="70" t="str">
        <f aca="false">IF($K1713="","",INDEX(Base!$G$5:$G$2004,$K1713))</f>
        <v/>
      </c>
      <c r="F1713" s="71" t="str">
        <f aca="false">IF($K1713="","",INDEX(Base!$H$5:$H$2004,$K1713))</f>
        <v/>
      </c>
      <c r="G1713" s="71" t="str">
        <f aca="false">IF($K1713="","",INDEX(Base!$I$5:$I$2004,$K1713))</f>
        <v/>
      </c>
      <c r="H1713" s="70" t="str">
        <f aca="false">IF($K1713="","",INDEX(Base!$J$5:$J$2004,$K1713))</f>
        <v/>
      </c>
      <c r="I1713" s="71" t="str">
        <f aca="false">IF($K1713="","",INDEX(Base!$L$5:$L$2004,$K1713))</f>
        <v/>
      </c>
      <c r="J1713" s="72" t="str">
        <f aca="false">IFERROR(SMALL(Base!$P$5:$P$2004,ROW()-5),"")</f>
        <v/>
      </c>
      <c r="K1713" s="72" t="str">
        <f aca="false">IF(J1713="","",MATCH(J1713,Base!$P$5:$P$2004,0))</f>
        <v/>
      </c>
    </row>
    <row r="1714" customFormat="false" ht="15" hidden="false" customHeight="false" outlineLevel="0" collapsed="false">
      <c r="A1714" s="67" t="str">
        <f aca="false">IF($K1714="","",ROW()-5)</f>
        <v/>
      </c>
      <c r="B1714" s="68" t="str">
        <f aca="false">IF($K1714="","",INDEX(Base!$E$5:$E$2004,$K1714))</f>
        <v/>
      </c>
      <c r="C1714" s="69" t="str">
        <f aca="false">IF($K1714="","",B1714)</f>
        <v/>
      </c>
      <c r="D1714" s="70" t="str">
        <f aca="false">IF($K1714="","",INDEX(Base!$F$5:$F$2004,$K1714))</f>
        <v/>
      </c>
      <c r="E1714" s="70" t="str">
        <f aca="false">IF($K1714="","",INDEX(Base!$G$5:$G$2004,$K1714))</f>
        <v/>
      </c>
      <c r="F1714" s="71" t="str">
        <f aca="false">IF($K1714="","",INDEX(Base!$H$5:$H$2004,$K1714))</f>
        <v/>
      </c>
      <c r="G1714" s="71" t="str">
        <f aca="false">IF($K1714="","",INDEX(Base!$I$5:$I$2004,$K1714))</f>
        <v/>
      </c>
      <c r="H1714" s="70" t="str">
        <f aca="false">IF($K1714="","",INDEX(Base!$J$5:$J$2004,$K1714))</f>
        <v/>
      </c>
      <c r="I1714" s="71" t="str">
        <f aca="false">IF($K1714="","",INDEX(Base!$L$5:$L$2004,$K1714))</f>
        <v/>
      </c>
      <c r="J1714" s="72" t="str">
        <f aca="false">IFERROR(SMALL(Base!$P$5:$P$2004,ROW()-5),"")</f>
        <v/>
      </c>
      <c r="K1714" s="72" t="str">
        <f aca="false">IF(J1714="","",MATCH(J1714,Base!$P$5:$P$2004,0))</f>
        <v/>
      </c>
    </row>
    <row r="1715" customFormat="false" ht="15" hidden="false" customHeight="false" outlineLevel="0" collapsed="false">
      <c r="A1715" s="67" t="str">
        <f aca="false">IF($K1715="","",ROW()-5)</f>
        <v/>
      </c>
      <c r="B1715" s="68" t="str">
        <f aca="false">IF($K1715="","",INDEX(Base!$E$5:$E$2004,$K1715))</f>
        <v/>
      </c>
      <c r="C1715" s="69" t="str">
        <f aca="false">IF($K1715="","",B1715)</f>
        <v/>
      </c>
      <c r="D1715" s="70" t="str">
        <f aca="false">IF($K1715="","",INDEX(Base!$F$5:$F$2004,$K1715))</f>
        <v/>
      </c>
      <c r="E1715" s="70" t="str">
        <f aca="false">IF($K1715="","",INDEX(Base!$G$5:$G$2004,$K1715))</f>
        <v/>
      </c>
      <c r="F1715" s="71" t="str">
        <f aca="false">IF($K1715="","",INDEX(Base!$H$5:$H$2004,$K1715))</f>
        <v/>
      </c>
      <c r="G1715" s="71" t="str">
        <f aca="false">IF($K1715="","",INDEX(Base!$I$5:$I$2004,$K1715))</f>
        <v/>
      </c>
      <c r="H1715" s="70" t="str">
        <f aca="false">IF($K1715="","",INDEX(Base!$J$5:$J$2004,$K1715))</f>
        <v/>
      </c>
      <c r="I1715" s="71" t="str">
        <f aca="false">IF($K1715="","",INDEX(Base!$L$5:$L$2004,$K1715))</f>
        <v/>
      </c>
      <c r="J1715" s="72" t="str">
        <f aca="false">IFERROR(SMALL(Base!$P$5:$P$2004,ROW()-5),"")</f>
        <v/>
      </c>
      <c r="K1715" s="72" t="str">
        <f aca="false">IF(J1715="","",MATCH(J1715,Base!$P$5:$P$2004,0))</f>
        <v/>
      </c>
    </row>
    <row r="1716" customFormat="false" ht="15" hidden="false" customHeight="false" outlineLevel="0" collapsed="false">
      <c r="A1716" s="67" t="str">
        <f aca="false">IF($K1716="","",ROW()-5)</f>
        <v/>
      </c>
      <c r="B1716" s="68" t="str">
        <f aca="false">IF($K1716="","",INDEX(Base!$E$5:$E$2004,$K1716))</f>
        <v/>
      </c>
      <c r="C1716" s="69" t="str">
        <f aca="false">IF($K1716="","",B1716)</f>
        <v/>
      </c>
      <c r="D1716" s="70" t="str">
        <f aca="false">IF($K1716="","",INDEX(Base!$F$5:$F$2004,$K1716))</f>
        <v/>
      </c>
      <c r="E1716" s="70" t="str">
        <f aca="false">IF($K1716="","",INDEX(Base!$G$5:$G$2004,$K1716))</f>
        <v/>
      </c>
      <c r="F1716" s="71" t="str">
        <f aca="false">IF($K1716="","",INDEX(Base!$H$5:$H$2004,$K1716))</f>
        <v/>
      </c>
      <c r="G1716" s="71" t="str">
        <f aca="false">IF($K1716="","",INDEX(Base!$I$5:$I$2004,$K1716))</f>
        <v/>
      </c>
      <c r="H1716" s="70" t="str">
        <f aca="false">IF($K1716="","",INDEX(Base!$J$5:$J$2004,$K1716))</f>
        <v/>
      </c>
      <c r="I1716" s="71" t="str">
        <f aca="false">IF($K1716="","",INDEX(Base!$L$5:$L$2004,$K1716))</f>
        <v/>
      </c>
      <c r="J1716" s="72" t="str">
        <f aca="false">IFERROR(SMALL(Base!$P$5:$P$2004,ROW()-5),"")</f>
        <v/>
      </c>
      <c r="K1716" s="72" t="str">
        <f aca="false">IF(J1716="","",MATCH(J1716,Base!$P$5:$P$2004,0))</f>
        <v/>
      </c>
    </row>
    <row r="1717" customFormat="false" ht="15" hidden="false" customHeight="false" outlineLevel="0" collapsed="false">
      <c r="A1717" s="67" t="str">
        <f aca="false">IF($K1717="","",ROW()-5)</f>
        <v/>
      </c>
      <c r="B1717" s="68" t="str">
        <f aca="false">IF($K1717="","",INDEX(Base!$E$5:$E$2004,$K1717))</f>
        <v/>
      </c>
      <c r="C1717" s="69" t="str">
        <f aca="false">IF($K1717="","",B1717)</f>
        <v/>
      </c>
      <c r="D1717" s="70" t="str">
        <f aca="false">IF($K1717="","",INDEX(Base!$F$5:$F$2004,$K1717))</f>
        <v/>
      </c>
      <c r="E1717" s="70" t="str">
        <f aca="false">IF($K1717="","",INDEX(Base!$G$5:$G$2004,$K1717))</f>
        <v/>
      </c>
      <c r="F1717" s="71" t="str">
        <f aca="false">IF($K1717="","",INDEX(Base!$H$5:$H$2004,$K1717))</f>
        <v/>
      </c>
      <c r="G1717" s="71" t="str">
        <f aca="false">IF($K1717="","",INDEX(Base!$I$5:$I$2004,$K1717))</f>
        <v/>
      </c>
      <c r="H1717" s="70" t="str">
        <f aca="false">IF($K1717="","",INDEX(Base!$J$5:$J$2004,$K1717))</f>
        <v/>
      </c>
      <c r="I1717" s="71" t="str">
        <f aca="false">IF($K1717="","",INDEX(Base!$L$5:$L$2004,$K1717))</f>
        <v/>
      </c>
      <c r="J1717" s="72" t="str">
        <f aca="false">IFERROR(SMALL(Base!$P$5:$P$2004,ROW()-5),"")</f>
        <v/>
      </c>
      <c r="K1717" s="72" t="str">
        <f aca="false">IF(J1717="","",MATCH(J1717,Base!$P$5:$P$2004,0))</f>
        <v/>
      </c>
    </row>
    <row r="1718" customFormat="false" ht="15" hidden="false" customHeight="false" outlineLevel="0" collapsed="false">
      <c r="A1718" s="67" t="str">
        <f aca="false">IF($K1718="","",ROW()-5)</f>
        <v/>
      </c>
      <c r="B1718" s="68" t="str">
        <f aca="false">IF($K1718="","",INDEX(Base!$E$5:$E$2004,$K1718))</f>
        <v/>
      </c>
      <c r="C1718" s="69" t="str">
        <f aca="false">IF($K1718="","",B1718)</f>
        <v/>
      </c>
      <c r="D1718" s="70" t="str">
        <f aca="false">IF($K1718="","",INDEX(Base!$F$5:$F$2004,$K1718))</f>
        <v/>
      </c>
      <c r="E1718" s="70" t="str">
        <f aca="false">IF($K1718="","",INDEX(Base!$G$5:$G$2004,$K1718))</f>
        <v/>
      </c>
      <c r="F1718" s="71" t="str">
        <f aca="false">IF($K1718="","",INDEX(Base!$H$5:$H$2004,$K1718))</f>
        <v/>
      </c>
      <c r="G1718" s="71" t="str">
        <f aca="false">IF($K1718="","",INDEX(Base!$I$5:$I$2004,$K1718))</f>
        <v/>
      </c>
      <c r="H1718" s="70" t="str">
        <f aca="false">IF($K1718="","",INDEX(Base!$J$5:$J$2004,$K1718))</f>
        <v/>
      </c>
      <c r="I1718" s="71" t="str">
        <f aca="false">IF($K1718="","",INDEX(Base!$L$5:$L$2004,$K1718))</f>
        <v/>
      </c>
      <c r="J1718" s="72" t="str">
        <f aca="false">IFERROR(SMALL(Base!$P$5:$P$2004,ROW()-5),"")</f>
        <v/>
      </c>
      <c r="K1718" s="72" t="str">
        <f aca="false">IF(J1718="","",MATCH(J1718,Base!$P$5:$P$2004,0))</f>
        <v/>
      </c>
    </row>
    <row r="1719" customFormat="false" ht="15" hidden="false" customHeight="false" outlineLevel="0" collapsed="false">
      <c r="A1719" s="67" t="str">
        <f aca="false">IF($K1719="","",ROW()-5)</f>
        <v/>
      </c>
      <c r="B1719" s="68" t="str">
        <f aca="false">IF($K1719="","",INDEX(Base!$E$5:$E$2004,$K1719))</f>
        <v/>
      </c>
      <c r="C1719" s="69" t="str">
        <f aca="false">IF($K1719="","",B1719)</f>
        <v/>
      </c>
      <c r="D1719" s="70" t="str">
        <f aca="false">IF($K1719="","",INDEX(Base!$F$5:$F$2004,$K1719))</f>
        <v/>
      </c>
      <c r="E1719" s="70" t="str">
        <f aca="false">IF($K1719="","",INDEX(Base!$G$5:$G$2004,$K1719))</f>
        <v/>
      </c>
      <c r="F1719" s="71" t="str">
        <f aca="false">IF($K1719="","",INDEX(Base!$H$5:$H$2004,$K1719))</f>
        <v/>
      </c>
      <c r="G1719" s="71" t="str">
        <f aca="false">IF($K1719="","",INDEX(Base!$I$5:$I$2004,$K1719))</f>
        <v/>
      </c>
      <c r="H1719" s="70" t="str">
        <f aca="false">IF($K1719="","",INDEX(Base!$J$5:$J$2004,$K1719))</f>
        <v/>
      </c>
      <c r="I1719" s="71" t="str">
        <f aca="false">IF($K1719="","",INDEX(Base!$L$5:$L$2004,$K1719))</f>
        <v/>
      </c>
      <c r="J1719" s="72" t="str">
        <f aca="false">IFERROR(SMALL(Base!$P$5:$P$2004,ROW()-5),"")</f>
        <v/>
      </c>
      <c r="K1719" s="72" t="str">
        <f aca="false">IF(J1719="","",MATCH(J1719,Base!$P$5:$P$2004,0))</f>
        <v/>
      </c>
    </row>
    <row r="1720" customFormat="false" ht="15" hidden="false" customHeight="false" outlineLevel="0" collapsed="false">
      <c r="A1720" s="67" t="str">
        <f aca="false">IF($K1720="","",ROW()-5)</f>
        <v/>
      </c>
      <c r="B1720" s="68" t="str">
        <f aca="false">IF($K1720="","",INDEX(Base!$E$5:$E$2004,$K1720))</f>
        <v/>
      </c>
      <c r="C1720" s="69" t="str">
        <f aca="false">IF($K1720="","",B1720)</f>
        <v/>
      </c>
      <c r="D1720" s="70" t="str">
        <f aca="false">IF($K1720="","",INDEX(Base!$F$5:$F$2004,$K1720))</f>
        <v/>
      </c>
      <c r="E1720" s="70" t="str">
        <f aca="false">IF($K1720="","",INDEX(Base!$G$5:$G$2004,$K1720))</f>
        <v/>
      </c>
      <c r="F1720" s="71" t="str">
        <f aca="false">IF($K1720="","",INDEX(Base!$H$5:$H$2004,$K1720))</f>
        <v/>
      </c>
      <c r="G1720" s="71" t="str">
        <f aca="false">IF($K1720="","",INDEX(Base!$I$5:$I$2004,$K1720))</f>
        <v/>
      </c>
      <c r="H1720" s="70" t="str">
        <f aca="false">IF($K1720="","",INDEX(Base!$J$5:$J$2004,$K1720))</f>
        <v/>
      </c>
      <c r="I1720" s="71" t="str">
        <f aca="false">IF($K1720="","",INDEX(Base!$L$5:$L$2004,$K1720))</f>
        <v/>
      </c>
      <c r="J1720" s="72" t="str">
        <f aca="false">IFERROR(SMALL(Base!$P$5:$P$2004,ROW()-5),"")</f>
        <v/>
      </c>
      <c r="K1720" s="72" t="str">
        <f aca="false">IF(J1720="","",MATCH(J1720,Base!$P$5:$P$2004,0))</f>
        <v/>
      </c>
    </row>
    <row r="1721" customFormat="false" ht="15" hidden="false" customHeight="false" outlineLevel="0" collapsed="false">
      <c r="A1721" s="67" t="str">
        <f aca="false">IF($K1721="","",ROW()-5)</f>
        <v/>
      </c>
      <c r="B1721" s="68" t="str">
        <f aca="false">IF($K1721="","",INDEX(Base!$E$5:$E$2004,$K1721))</f>
        <v/>
      </c>
      <c r="C1721" s="69" t="str">
        <f aca="false">IF($K1721="","",B1721)</f>
        <v/>
      </c>
      <c r="D1721" s="70" t="str">
        <f aca="false">IF($K1721="","",INDEX(Base!$F$5:$F$2004,$K1721))</f>
        <v/>
      </c>
      <c r="E1721" s="70" t="str">
        <f aca="false">IF($K1721="","",INDEX(Base!$G$5:$G$2004,$K1721))</f>
        <v/>
      </c>
      <c r="F1721" s="71" t="str">
        <f aca="false">IF($K1721="","",INDEX(Base!$H$5:$H$2004,$K1721))</f>
        <v/>
      </c>
      <c r="G1721" s="71" t="str">
        <f aca="false">IF($K1721="","",INDEX(Base!$I$5:$I$2004,$K1721))</f>
        <v/>
      </c>
      <c r="H1721" s="70" t="str">
        <f aca="false">IF($K1721="","",INDEX(Base!$J$5:$J$2004,$K1721))</f>
        <v/>
      </c>
      <c r="I1721" s="71" t="str">
        <f aca="false">IF($K1721="","",INDEX(Base!$L$5:$L$2004,$K1721))</f>
        <v/>
      </c>
      <c r="J1721" s="72" t="str">
        <f aca="false">IFERROR(SMALL(Base!$P$5:$P$2004,ROW()-5),"")</f>
        <v/>
      </c>
      <c r="K1721" s="72" t="str">
        <f aca="false">IF(J1721="","",MATCH(J1721,Base!$P$5:$P$2004,0))</f>
        <v/>
      </c>
    </row>
    <row r="1722" customFormat="false" ht="15" hidden="false" customHeight="false" outlineLevel="0" collapsed="false">
      <c r="A1722" s="67" t="str">
        <f aca="false">IF($K1722="","",ROW()-5)</f>
        <v/>
      </c>
      <c r="B1722" s="68" t="str">
        <f aca="false">IF($K1722="","",INDEX(Base!$E$5:$E$2004,$K1722))</f>
        <v/>
      </c>
      <c r="C1722" s="69" t="str">
        <f aca="false">IF($K1722="","",B1722)</f>
        <v/>
      </c>
      <c r="D1722" s="70" t="str">
        <f aca="false">IF($K1722="","",INDEX(Base!$F$5:$F$2004,$K1722))</f>
        <v/>
      </c>
      <c r="E1722" s="70" t="str">
        <f aca="false">IF($K1722="","",INDEX(Base!$G$5:$G$2004,$K1722))</f>
        <v/>
      </c>
      <c r="F1722" s="71" t="str">
        <f aca="false">IF($K1722="","",INDEX(Base!$H$5:$H$2004,$K1722))</f>
        <v/>
      </c>
      <c r="G1722" s="71" t="str">
        <f aca="false">IF($K1722="","",INDEX(Base!$I$5:$I$2004,$K1722))</f>
        <v/>
      </c>
      <c r="H1722" s="70" t="str">
        <f aca="false">IF($K1722="","",INDEX(Base!$J$5:$J$2004,$K1722))</f>
        <v/>
      </c>
      <c r="I1722" s="71" t="str">
        <f aca="false">IF($K1722="","",INDEX(Base!$L$5:$L$2004,$K1722))</f>
        <v/>
      </c>
      <c r="J1722" s="72" t="str">
        <f aca="false">IFERROR(SMALL(Base!$P$5:$P$2004,ROW()-5),"")</f>
        <v/>
      </c>
      <c r="K1722" s="72" t="str">
        <f aca="false">IF(J1722="","",MATCH(J1722,Base!$P$5:$P$2004,0))</f>
        <v/>
      </c>
    </row>
    <row r="1723" customFormat="false" ht="15" hidden="false" customHeight="false" outlineLevel="0" collapsed="false">
      <c r="A1723" s="67" t="str">
        <f aca="false">IF($K1723="","",ROW()-5)</f>
        <v/>
      </c>
      <c r="B1723" s="68" t="str">
        <f aca="false">IF($K1723="","",INDEX(Base!$E$5:$E$2004,$K1723))</f>
        <v/>
      </c>
      <c r="C1723" s="69" t="str">
        <f aca="false">IF($K1723="","",B1723)</f>
        <v/>
      </c>
      <c r="D1723" s="70" t="str">
        <f aca="false">IF($K1723="","",INDEX(Base!$F$5:$F$2004,$K1723))</f>
        <v/>
      </c>
      <c r="E1723" s="70" t="str">
        <f aca="false">IF($K1723="","",INDEX(Base!$G$5:$G$2004,$K1723))</f>
        <v/>
      </c>
      <c r="F1723" s="71" t="str">
        <f aca="false">IF($K1723="","",INDEX(Base!$H$5:$H$2004,$K1723))</f>
        <v/>
      </c>
      <c r="G1723" s="71" t="str">
        <f aca="false">IF($K1723="","",INDEX(Base!$I$5:$I$2004,$K1723))</f>
        <v/>
      </c>
      <c r="H1723" s="70" t="str">
        <f aca="false">IF($K1723="","",INDEX(Base!$J$5:$J$2004,$K1723))</f>
        <v/>
      </c>
      <c r="I1723" s="71" t="str">
        <f aca="false">IF($K1723="","",INDEX(Base!$L$5:$L$2004,$K1723))</f>
        <v/>
      </c>
      <c r="J1723" s="72" t="str">
        <f aca="false">IFERROR(SMALL(Base!$P$5:$P$2004,ROW()-5),"")</f>
        <v/>
      </c>
      <c r="K1723" s="72" t="str">
        <f aca="false">IF(J1723="","",MATCH(J1723,Base!$P$5:$P$2004,0))</f>
        <v/>
      </c>
    </row>
    <row r="1724" customFormat="false" ht="15" hidden="false" customHeight="false" outlineLevel="0" collapsed="false">
      <c r="A1724" s="67" t="str">
        <f aca="false">IF($K1724="","",ROW()-5)</f>
        <v/>
      </c>
      <c r="B1724" s="68" t="str">
        <f aca="false">IF($K1724="","",INDEX(Base!$E$5:$E$2004,$K1724))</f>
        <v/>
      </c>
      <c r="C1724" s="69" t="str">
        <f aca="false">IF($K1724="","",B1724)</f>
        <v/>
      </c>
      <c r="D1724" s="70" t="str">
        <f aca="false">IF($K1724="","",INDEX(Base!$F$5:$F$2004,$K1724))</f>
        <v/>
      </c>
      <c r="E1724" s="70" t="str">
        <f aca="false">IF($K1724="","",INDEX(Base!$G$5:$G$2004,$K1724))</f>
        <v/>
      </c>
      <c r="F1724" s="71" t="str">
        <f aca="false">IF($K1724="","",INDEX(Base!$H$5:$H$2004,$K1724))</f>
        <v/>
      </c>
      <c r="G1724" s="71" t="str">
        <f aca="false">IF($K1724="","",INDEX(Base!$I$5:$I$2004,$K1724))</f>
        <v/>
      </c>
      <c r="H1724" s="70" t="str">
        <f aca="false">IF($K1724="","",INDEX(Base!$J$5:$J$2004,$K1724))</f>
        <v/>
      </c>
      <c r="I1724" s="71" t="str">
        <f aca="false">IF($K1724="","",INDEX(Base!$L$5:$L$2004,$K1724))</f>
        <v/>
      </c>
      <c r="J1724" s="72" t="str">
        <f aca="false">IFERROR(SMALL(Base!$P$5:$P$2004,ROW()-5),"")</f>
        <v/>
      </c>
      <c r="K1724" s="72" t="str">
        <f aca="false">IF(J1724="","",MATCH(J1724,Base!$P$5:$P$2004,0))</f>
        <v/>
      </c>
    </row>
    <row r="1725" customFormat="false" ht="15" hidden="false" customHeight="false" outlineLevel="0" collapsed="false">
      <c r="A1725" s="67" t="str">
        <f aca="false">IF($K1725="","",ROW()-5)</f>
        <v/>
      </c>
      <c r="B1725" s="68" t="str">
        <f aca="false">IF($K1725="","",INDEX(Base!$E$5:$E$2004,$K1725))</f>
        <v/>
      </c>
      <c r="C1725" s="69" t="str">
        <f aca="false">IF($K1725="","",B1725)</f>
        <v/>
      </c>
      <c r="D1725" s="70" t="str">
        <f aca="false">IF($K1725="","",INDEX(Base!$F$5:$F$2004,$K1725))</f>
        <v/>
      </c>
      <c r="E1725" s="70" t="str">
        <f aca="false">IF($K1725="","",INDEX(Base!$G$5:$G$2004,$K1725))</f>
        <v/>
      </c>
      <c r="F1725" s="71" t="str">
        <f aca="false">IF($K1725="","",INDEX(Base!$H$5:$H$2004,$K1725))</f>
        <v/>
      </c>
      <c r="G1725" s="71" t="str">
        <f aca="false">IF($K1725="","",INDEX(Base!$I$5:$I$2004,$K1725))</f>
        <v/>
      </c>
      <c r="H1725" s="70" t="str">
        <f aca="false">IF($K1725="","",INDEX(Base!$J$5:$J$2004,$K1725))</f>
        <v/>
      </c>
      <c r="I1725" s="71" t="str">
        <f aca="false">IF($K1725="","",INDEX(Base!$L$5:$L$2004,$K1725))</f>
        <v/>
      </c>
      <c r="J1725" s="72" t="str">
        <f aca="false">IFERROR(SMALL(Base!$P$5:$P$2004,ROW()-5),"")</f>
        <v/>
      </c>
      <c r="K1725" s="72" t="str">
        <f aca="false">IF(J1725="","",MATCH(J1725,Base!$P$5:$P$2004,0))</f>
        <v/>
      </c>
    </row>
    <row r="1726" customFormat="false" ht="15" hidden="false" customHeight="false" outlineLevel="0" collapsed="false">
      <c r="A1726" s="67" t="str">
        <f aca="false">IF($K1726="","",ROW()-5)</f>
        <v/>
      </c>
      <c r="B1726" s="68" t="str">
        <f aca="false">IF($K1726="","",INDEX(Base!$E$5:$E$2004,$K1726))</f>
        <v/>
      </c>
      <c r="C1726" s="69" t="str">
        <f aca="false">IF($K1726="","",B1726)</f>
        <v/>
      </c>
      <c r="D1726" s="70" t="str">
        <f aca="false">IF($K1726="","",INDEX(Base!$F$5:$F$2004,$K1726))</f>
        <v/>
      </c>
      <c r="E1726" s="70" t="str">
        <f aca="false">IF($K1726="","",INDEX(Base!$G$5:$G$2004,$K1726))</f>
        <v/>
      </c>
      <c r="F1726" s="71" t="str">
        <f aca="false">IF($K1726="","",INDEX(Base!$H$5:$H$2004,$K1726))</f>
        <v/>
      </c>
      <c r="G1726" s="71" t="str">
        <f aca="false">IF($K1726="","",INDEX(Base!$I$5:$I$2004,$K1726))</f>
        <v/>
      </c>
      <c r="H1726" s="70" t="str">
        <f aca="false">IF($K1726="","",INDEX(Base!$J$5:$J$2004,$K1726))</f>
        <v/>
      </c>
      <c r="I1726" s="71" t="str">
        <f aca="false">IF($K1726="","",INDEX(Base!$L$5:$L$2004,$K1726))</f>
        <v/>
      </c>
      <c r="J1726" s="72" t="str">
        <f aca="false">IFERROR(SMALL(Base!$P$5:$P$2004,ROW()-5),"")</f>
        <v/>
      </c>
      <c r="K1726" s="72" t="str">
        <f aca="false">IF(J1726="","",MATCH(J1726,Base!$P$5:$P$2004,0))</f>
        <v/>
      </c>
    </row>
    <row r="1727" customFormat="false" ht="15" hidden="false" customHeight="false" outlineLevel="0" collapsed="false">
      <c r="A1727" s="67" t="str">
        <f aca="false">IF($K1727="","",ROW()-5)</f>
        <v/>
      </c>
      <c r="B1727" s="68" t="str">
        <f aca="false">IF($K1727="","",INDEX(Base!$E$5:$E$2004,$K1727))</f>
        <v/>
      </c>
      <c r="C1727" s="69" t="str">
        <f aca="false">IF($K1727="","",B1727)</f>
        <v/>
      </c>
      <c r="D1727" s="70" t="str">
        <f aca="false">IF($K1727="","",INDEX(Base!$F$5:$F$2004,$K1727))</f>
        <v/>
      </c>
      <c r="E1727" s="70" t="str">
        <f aca="false">IF($K1727="","",INDEX(Base!$G$5:$G$2004,$K1727))</f>
        <v/>
      </c>
      <c r="F1727" s="71" t="str">
        <f aca="false">IF($K1727="","",INDEX(Base!$H$5:$H$2004,$K1727))</f>
        <v/>
      </c>
      <c r="G1727" s="71" t="str">
        <f aca="false">IF($K1727="","",INDEX(Base!$I$5:$I$2004,$K1727))</f>
        <v/>
      </c>
      <c r="H1727" s="70" t="str">
        <f aca="false">IF($K1727="","",INDEX(Base!$J$5:$J$2004,$K1727))</f>
        <v/>
      </c>
      <c r="I1727" s="71" t="str">
        <f aca="false">IF($K1727="","",INDEX(Base!$L$5:$L$2004,$K1727))</f>
        <v/>
      </c>
      <c r="J1727" s="72" t="str">
        <f aca="false">IFERROR(SMALL(Base!$P$5:$P$2004,ROW()-5),"")</f>
        <v/>
      </c>
      <c r="K1727" s="72" t="str">
        <f aca="false">IF(J1727="","",MATCH(J1727,Base!$P$5:$P$2004,0))</f>
        <v/>
      </c>
    </row>
    <row r="1728" customFormat="false" ht="15" hidden="false" customHeight="false" outlineLevel="0" collapsed="false">
      <c r="A1728" s="67" t="str">
        <f aca="false">IF($K1728="","",ROW()-5)</f>
        <v/>
      </c>
      <c r="B1728" s="68" t="str">
        <f aca="false">IF($K1728="","",INDEX(Base!$E$5:$E$2004,$K1728))</f>
        <v/>
      </c>
      <c r="C1728" s="69" t="str">
        <f aca="false">IF($K1728="","",B1728)</f>
        <v/>
      </c>
      <c r="D1728" s="70" t="str">
        <f aca="false">IF($K1728="","",INDEX(Base!$F$5:$F$2004,$K1728))</f>
        <v/>
      </c>
      <c r="E1728" s="70" t="str">
        <f aca="false">IF($K1728="","",INDEX(Base!$G$5:$G$2004,$K1728))</f>
        <v/>
      </c>
      <c r="F1728" s="71" t="str">
        <f aca="false">IF($K1728="","",INDEX(Base!$H$5:$H$2004,$K1728))</f>
        <v/>
      </c>
      <c r="G1728" s="71" t="str">
        <f aca="false">IF($K1728="","",INDEX(Base!$I$5:$I$2004,$K1728))</f>
        <v/>
      </c>
      <c r="H1728" s="70" t="str">
        <f aca="false">IF($K1728="","",INDEX(Base!$J$5:$J$2004,$K1728))</f>
        <v/>
      </c>
      <c r="I1728" s="71" t="str">
        <f aca="false">IF($K1728="","",INDEX(Base!$L$5:$L$2004,$K1728))</f>
        <v/>
      </c>
      <c r="J1728" s="72" t="str">
        <f aca="false">IFERROR(SMALL(Base!$P$5:$P$2004,ROW()-5),"")</f>
        <v/>
      </c>
      <c r="K1728" s="72" t="str">
        <f aca="false">IF(J1728="","",MATCH(J1728,Base!$P$5:$P$2004,0))</f>
        <v/>
      </c>
    </row>
    <row r="1729" customFormat="false" ht="15" hidden="false" customHeight="false" outlineLevel="0" collapsed="false">
      <c r="A1729" s="67" t="str">
        <f aca="false">IF($K1729="","",ROW()-5)</f>
        <v/>
      </c>
      <c r="B1729" s="68" t="str">
        <f aca="false">IF($K1729="","",INDEX(Base!$E$5:$E$2004,$K1729))</f>
        <v/>
      </c>
      <c r="C1729" s="69" t="str">
        <f aca="false">IF($K1729="","",B1729)</f>
        <v/>
      </c>
      <c r="D1729" s="70" t="str">
        <f aca="false">IF($K1729="","",INDEX(Base!$F$5:$F$2004,$K1729))</f>
        <v/>
      </c>
      <c r="E1729" s="70" t="str">
        <f aca="false">IF($K1729="","",INDEX(Base!$G$5:$G$2004,$K1729))</f>
        <v/>
      </c>
      <c r="F1729" s="71" t="str">
        <f aca="false">IF($K1729="","",INDEX(Base!$H$5:$H$2004,$K1729))</f>
        <v/>
      </c>
      <c r="G1729" s="71" t="str">
        <f aca="false">IF($K1729="","",INDEX(Base!$I$5:$I$2004,$K1729))</f>
        <v/>
      </c>
      <c r="H1729" s="70" t="str">
        <f aca="false">IF($K1729="","",INDEX(Base!$J$5:$J$2004,$K1729))</f>
        <v/>
      </c>
      <c r="I1729" s="71" t="str">
        <f aca="false">IF($K1729="","",INDEX(Base!$L$5:$L$2004,$K1729))</f>
        <v/>
      </c>
      <c r="J1729" s="72" t="str">
        <f aca="false">IFERROR(SMALL(Base!$P$5:$P$2004,ROW()-5),"")</f>
        <v/>
      </c>
      <c r="K1729" s="72" t="str">
        <f aca="false">IF(J1729="","",MATCH(J1729,Base!$P$5:$P$2004,0))</f>
        <v/>
      </c>
    </row>
    <row r="1730" customFormat="false" ht="15" hidden="false" customHeight="false" outlineLevel="0" collapsed="false">
      <c r="A1730" s="67" t="str">
        <f aca="false">IF($K1730="","",ROW()-5)</f>
        <v/>
      </c>
      <c r="B1730" s="68" t="str">
        <f aca="false">IF($K1730="","",INDEX(Base!$E$5:$E$2004,$K1730))</f>
        <v/>
      </c>
      <c r="C1730" s="69" t="str">
        <f aca="false">IF($K1730="","",B1730)</f>
        <v/>
      </c>
      <c r="D1730" s="70" t="str">
        <f aca="false">IF($K1730="","",INDEX(Base!$F$5:$F$2004,$K1730))</f>
        <v/>
      </c>
      <c r="E1730" s="70" t="str">
        <f aca="false">IF($K1730="","",INDEX(Base!$G$5:$G$2004,$K1730))</f>
        <v/>
      </c>
      <c r="F1730" s="71" t="str">
        <f aca="false">IF($K1730="","",INDEX(Base!$H$5:$H$2004,$K1730))</f>
        <v/>
      </c>
      <c r="G1730" s="71" t="str">
        <f aca="false">IF($K1730="","",INDEX(Base!$I$5:$I$2004,$K1730))</f>
        <v/>
      </c>
      <c r="H1730" s="70" t="str">
        <f aca="false">IF($K1730="","",INDEX(Base!$J$5:$J$2004,$K1730))</f>
        <v/>
      </c>
      <c r="I1730" s="71" t="str">
        <f aca="false">IF($K1730="","",INDEX(Base!$L$5:$L$2004,$K1730))</f>
        <v/>
      </c>
      <c r="J1730" s="72" t="str">
        <f aca="false">IFERROR(SMALL(Base!$P$5:$P$2004,ROW()-5),"")</f>
        <v/>
      </c>
      <c r="K1730" s="72" t="str">
        <f aca="false">IF(J1730="","",MATCH(J1730,Base!$P$5:$P$2004,0))</f>
        <v/>
      </c>
    </row>
    <row r="1731" customFormat="false" ht="15" hidden="false" customHeight="false" outlineLevel="0" collapsed="false">
      <c r="A1731" s="67" t="str">
        <f aca="false">IF($K1731="","",ROW()-5)</f>
        <v/>
      </c>
      <c r="B1731" s="68" t="str">
        <f aca="false">IF($K1731="","",INDEX(Base!$E$5:$E$2004,$K1731))</f>
        <v/>
      </c>
      <c r="C1731" s="69" t="str">
        <f aca="false">IF($K1731="","",B1731)</f>
        <v/>
      </c>
      <c r="D1731" s="70" t="str">
        <f aca="false">IF($K1731="","",INDEX(Base!$F$5:$F$2004,$K1731))</f>
        <v/>
      </c>
      <c r="E1731" s="70" t="str">
        <f aca="false">IF($K1731="","",INDEX(Base!$G$5:$G$2004,$K1731))</f>
        <v/>
      </c>
      <c r="F1731" s="71" t="str">
        <f aca="false">IF($K1731="","",INDEX(Base!$H$5:$H$2004,$K1731))</f>
        <v/>
      </c>
      <c r="G1731" s="71" t="str">
        <f aca="false">IF($K1731="","",INDEX(Base!$I$5:$I$2004,$K1731))</f>
        <v/>
      </c>
      <c r="H1731" s="70" t="str">
        <f aca="false">IF($K1731="","",INDEX(Base!$J$5:$J$2004,$K1731))</f>
        <v/>
      </c>
      <c r="I1731" s="71" t="str">
        <f aca="false">IF($K1731="","",INDEX(Base!$L$5:$L$2004,$K1731))</f>
        <v/>
      </c>
      <c r="J1731" s="72" t="str">
        <f aca="false">IFERROR(SMALL(Base!$P$5:$P$2004,ROW()-5),"")</f>
        <v/>
      </c>
      <c r="K1731" s="72" t="str">
        <f aca="false">IF(J1731="","",MATCH(J1731,Base!$P$5:$P$2004,0))</f>
        <v/>
      </c>
    </row>
    <row r="1732" customFormat="false" ht="15" hidden="false" customHeight="false" outlineLevel="0" collapsed="false">
      <c r="A1732" s="67" t="str">
        <f aca="false">IF($K1732="","",ROW()-5)</f>
        <v/>
      </c>
      <c r="B1732" s="68" t="str">
        <f aca="false">IF($K1732="","",INDEX(Base!$E$5:$E$2004,$K1732))</f>
        <v/>
      </c>
      <c r="C1732" s="69" t="str">
        <f aca="false">IF($K1732="","",B1732)</f>
        <v/>
      </c>
      <c r="D1732" s="70" t="str">
        <f aca="false">IF($K1732="","",INDEX(Base!$F$5:$F$2004,$K1732))</f>
        <v/>
      </c>
      <c r="E1732" s="70" t="str">
        <f aca="false">IF($K1732="","",INDEX(Base!$G$5:$G$2004,$K1732))</f>
        <v/>
      </c>
      <c r="F1732" s="71" t="str">
        <f aca="false">IF($K1732="","",INDEX(Base!$H$5:$H$2004,$K1732))</f>
        <v/>
      </c>
      <c r="G1732" s="71" t="str">
        <f aca="false">IF($K1732="","",INDEX(Base!$I$5:$I$2004,$K1732))</f>
        <v/>
      </c>
      <c r="H1732" s="70" t="str">
        <f aca="false">IF($K1732="","",INDEX(Base!$J$5:$J$2004,$K1732))</f>
        <v/>
      </c>
      <c r="I1732" s="71" t="str">
        <f aca="false">IF($K1732="","",INDEX(Base!$L$5:$L$2004,$K1732))</f>
        <v/>
      </c>
      <c r="J1732" s="72" t="str">
        <f aca="false">IFERROR(SMALL(Base!$P$5:$P$2004,ROW()-5),"")</f>
        <v/>
      </c>
      <c r="K1732" s="72" t="str">
        <f aca="false">IF(J1732="","",MATCH(J1732,Base!$P$5:$P$2004,0))</f>
        <v/>
      </c>
    </row>
    <row r="1733" customFormat="false" ht="15" hidden="false" customHeight="false" outlineLevel="0" collapsed="false">
      <c r="A1733" s="67" t="str">
        <f aca="false">IF($K1733="","",ROW()-5)</f>
        <v/>
      </c>
      <c r="B1733" s="68" t="str">
        <f aca="false">IF($K1733="","",INDEX(Base!$E$5:$E$2004,$K1733))</f>
        <v/>
      </c>
      <c r="C1733" s="69" t="str">
        <f aca="false">IF($K1733="","",B1733)</f>
        <v/>
      </c>
      <c r="D1733" s="70" t="str">
        <f aca="false">IF($K1733="","",INDEX(Base!$F$5:$F$2004,$K1733))</f>
        <v/>
      </c>
      <c r="E1733" s="70" t="str">
        <f aca="false">IF($K1733="","",INDEX(Base!$G$5:$G$2004,$K1733))</f>
        <v/>
      </c>
      <c r="F1733" s="71" t="str">
        <f aca="false">IF($K1733="","",INDEX(Base!$H$5:$H$2004,$K1733))</f>
        <v/>
      </c>
      <c r="G1733" s="71" t="str">
        <f aca="false">IF($K1733="","",INDEX(Base!$I$5:$I$2004,$K1733))</f>
        <v/>
      </c>
      <c r="H1733" s="70" t="str">
        <f aca="false">IF($K1733="","",INDEX(Base!$J$5:$J$2004,$K1733))</f>
        <v/>
      </c>
      <c r="I1733" s="71" t="str">
        <f aca="false">IF($K1733="","",INDEX(Base!$L$5:$L$2004,$K1733))</f>
        <v/>
      </c>
      <c r="J1733" s="72" t="str">
        <f aca="false">IFERROR(SMALL(Base!$P$5:$P$2004,ROW()-5),"")</f>
        <v/>
      </c>
      <c r="K1733" s="72" t="str">
        <f aca="false">IF(J1733="","",MATCH(J1733,Base!$P$5:$P$2004,0))</f>
        <v/>
      </c>
    </row>
    <row r="1734" customFormat="false" ht="15" hidden="false" customHeight="false" outlineLevel="0" collapsed="false">
      <c r="A1734" s="67" t="str">
        <f aca="false">IF($K1734="","",ROW()-5)</f>
        <v/>
      </c>
      <c r="B1734" s="68" t="str">
        <f aca="false">IF($K1734="","",INDEX(Base!$E$5:$E$2004,$K1734))</f>
        <v/>
      </c>
      <c r="C1734" s="69" t="str">
        <f aca="false">IF($K1734="","",B1734)</f>
        <v/>
      </c>
      <c r="D1734" s="70" t="str">
        <f aca="false">IF($K1734="","",INDEX(Base!$F$5:$F$2004,$K1734))</f>
        <v/>
      </c>
      <c r="E1734" s="70" t="str">
        <f aca="false">IF($K1734="","",INDEX(Base!$G$5:$G$2004,$K1734))</f>
        <v/>
      </c>
      <c r="F1734" s="71" t="str">
        <f aca="false">IF($K1734="","",INDEX(Base!$H$5:$H$2004,$K1734))</f>
        <v/>
      </c>
      <c r="G1734" s="71" t="str">
        <f aca="false">IF($K1734="","",INDEX(Base!$I$5:$I$2004,$K1734))</f>
        <v/>
      </c>
      <c r="H1734" s="70" t="str">
        <f aca="false">IF($K1734="","",INDEX(Base!$J$5:$J$2004,$K1734))</f>
        <v/>
      </c>
      <c r="I1734" s="71" t="str">
        <f aca="false">IF($K1734="","",INDEX(Base!$L$5:$L$2004,$K1734))</f>
        <v/>
      </c>
      <c r="J1734" s="72" t="str">
        <f aca="false">IFERROR(SMALL(Base!$P$5:$P$2004,ROW()-5),"")</f>
        <v/>
      </c>
      <c r="K1734" s="72" t="str">
        <f aca="false">IF(J1734="","",MATCH(J1734,Base!$P$5:$P$2004,0))</f>
        <v/>
      </c>
    </row>
    <row r="1735" customFormat="false" ht="15" hidden="false" customHeight="false" outlineLevel="0" collapsed="false">
      <c r="A1735" s="67" t="str">
        <f aca="false">IF($K1735="","",ROW()-5)</f>
        <v/>
      </c>
      <c r="B1735" s="68" t="str">
        <f aca="false">IF($K1735="","",INDEX(Base!$E$5:$E$2004,$K1735))</f>
        <v/>
      </c>
      <c r="C1735" s="69" t="str">
        <f aca="false">IF($K1735="","",B1735)</f>
        <v/>
      </c>
      <c r="D1735" s="70" t="str">
        <f aca="false">IF($K1735="","",INDEX(Base!$F$5:$F$2004,$K1735))</f>
        <v/>
      </c>
      <c r="E1735" s="70" t="str">
        <f aca="false">IF($K1735="","",INDEX(Base!$G$5:$G$2004,$K1735))</f>
        <v/>
      </c>
      <c r="F1735" s="71" t="str">
        <f aca="false">IF($K1735="","",INDEX(Base!$H$5:$H$2004,$K1735))</f>
        <v/>
      </c>
      <c r="G1735" s="71" t="str">
        <f aca="false">IF($K1735="","",INDEX(Base!$I$5:$I$2004,$K1735))</f>
        <v/>
      </c>
      <c r="H1735" s="70" t="str">
        <f aca="false">IF($K1735="","",INDEX(Base!$J$5:$J$2004,$K1735))</f>
        <v/>
      </c>
      <c r="I1735" s="71" t="str">
        <f aca="false">IF($K1735="","",INDEX(Base!$L$5:$L$2004,$K1735))</f>
        <v/>
      </c>
      <c r="J1735" s="72" t="str">
        <f aca="false">IFERROR(SMALL(Base!$P$5:$P$2004,ROW()-5),"")</f>
        <v/>
      </c>
      <c r="K1735" s="72" t="str">
        <f aca="false">IF(J1735="","",MATCH(J1735,Base!$P$5:$P$2004,0))</f>
        <v/>
      </c>
    </row>
    <row r="1736" customFormat="false" ht="15" hidden="false" customHeight="false" outlineLevel="0" collapsed="false">
      <c r="A1736" s="67" t="str">
        <f aca="false">IF($K1736="","",ROW()-5)</f>
        <v/>
      </c>
      <c r="B1736" s="68" t="str">
        <f aca="false">IF($K1736="","",INDEX(Base!$E$5:$E$2004,$K1736))</f>
        <v/>
      </c>
      <c r="C1736" s="69" t="str">
        <f aca="false">IF($K1736="","",B1736)</f>
        <v/>
      </c>
      <c r="D1736" s="70" t="str">
        <f aca="false">IF($K1736="","",INDEX(Base!$F$5:$F$2004,$K1736))</f>
        <v/>
      </c>
      <c r="E1736" s="70" t="str">
        <f aca="false">IF($K1736="","",INDEX(Base!$G$5:$G$2004,$K1736))</f>
        <v/>
      </c>
      <c r="F1736" s="71" t="str">
        <f aca="false">IF($K1736="","",INDEX(Base!$H$5:$H$2004,$K1736))</f>
        <v/>
      </c>
      <c r="G1736" s="71" t="str">
        <f aca="false">IF($K1736="","",INDEX(Base!$I$5:$I$2004,$K1736))</f>
        <v/>
      </c>
      <c r="H1736" s="70" t="str">
        <f aca="false">IF($K1736="","",INDEX(Base!$J$5:$J$2004,$K1736))</f>
        <v/>
      </c>
      <c r="I1736" s="71" t="str">
        <f aca="false">IF($K1736="","",INDEX(Base!$L$5:$L$2004,$K1736))</f>
        <v/>
      </c>
      <c r="J1736" s="72" t="str">
        <f aca="false">IFERROR(SMALL(Base!$P$5:$P$2004,ROW()-5),"")</f>
        <v/>
      </c>
      <c r="K1736" s="72" t="str">
        <f aca="false">IF(J1736="","",MATCH(J1736,Base!$P$5:$P$2004,0))</f>
        <v/>
      </c>
    </row>
    <row r="1737" customFormat="false" ht="15" hidden="false" customHeight="false" outlineLevel="0" collapsed="false">
      <c r="A1737" s="67" t="str">
        <f aca="false">IF($K1737="","",ROW()-5)</f>
        <v/>
      </c>
      <c r="B1737" s="68" t="str">
        <f aca="false">IF($K1737="","",INDEX(Base!$E$5:$E$2004,$K1737))</f>
        <v/>
      </c>
      <c r="C1737" s="69" t="str">
        <f aca="false">IF($K1737="","",B1737)</f>
        <v/>
      </c>
      <c r="D1737" s="70" t="str">
        <f aca="false">IF($K1737="","",INDEX(Base!$F$5:$F$2004,$K1737))</f>
        <v/>
      </c>
      <c r="E1737" s="70" t="str">
        <f aca="false">IF($K1737="","",INDEX(Base!$G$5:$G$2004,$K1737))</f>
        <v/>
      </c>
      <c r="F1737" s="71" t="str">
        <f aca="false">IF($K1737="","",INDEX(Base!$H$5:$H$2004,$K1737))</f>
        <v/>
      </c>
      <c r="G1737" s="71" t="str">
        <f aca="false">IF($K1737="","",INDEX(Base!$I$5:$I$2004,$K1737))</f>
        <v/>
      </c>
      <c r="H1737" s="70" t="str">
        <f aca="false">IF($K1737="","",INDEX(Base!$J$5:$J$2004,$K1737))</f>
        <v/>
      </c>
      <c r="I1737" s="71" t="str">
        <f aca="false">IF($K1737="","",INDEX(Base!$L$5:$L$2004,$K1737))</f>
        <v/>
      </c>
      <c r="J1737" s="72" t="str">
        <f aca="false">IFERROR(SMALL(Base!$P$5:$P$2004,ROW()-5),"")</f>
        <v/>
      </c>
      <c r="K1737" s="72" t="str">
        <f aca="false">IF(J1737="","",MATCH(J1737,Base!$P$5:$P$2004,0))</f>
        <v/>
      </c>
    </row>
    <row r="1738" customFormat="false" ht="15" hidden="false" customHeight="false" outlineLevel="0" collapsed="false">
      <c r="A1738" s="67" t="str">
        <f aca="false">IF($K1738="","",ROW()-5)</f>
        <v/>
      </c>
      <c r="B1738" s="68" t="str">
        <f aca="false">IF($K1738="","",INDEX(Base!$E$5:$E$2004,$K1738))</f>
        <v/>
      </c>
      <c r="C1738" s="69" t="str">
        <f aca="false">IF($K1738="","",B1738)</f>
        <v/>
      </c>
      <c r="D1738" s="70" t="str">
        <f aca="false">IF($K1738="","",INDEX(Base!$F$5:$F$2004,$K1738))</f>
        <v/>
      </c>
      <c r="E1738" s="70" t="str">
        <f aca="false">IF($K1738="","",INDEX(Base!$G$5:$G$2004,$K1738))</f>
        <v/>
      </c>
      <c r="F1738" s="71" t="str">
        <f aca="false">IF($K1738="","",INDEX(Base!$H$5:$H$2004,$K1738))</f>
        <v/>
      </c>
      <c r="G1738" s="71" t="str">
        <f aca="false">IF($K1738="","",INDEX(Base!$I$5:$I$2004,$K1738))</f>
        <v/>
      </c>
      <c r="H1738" s="70" t="str">
        <f aca="false">IF($K1738="","",INDEX(Base!$J$5:$J$2004,$K1738))</f>
        <v/>
      </c>
      <c r="I1738" s="71" t="str">
        <f aca="false">IF($K1738="","",INDEX(Base!$L$5:$L$2004,$K1738))</f>
        <v/>
      </c>
      <c r="J1738" s="72" t="str">
        <f aca="false">IFERROR(SMALL(Base!$P$5:$P$2004,ROW()-5),"")</f>
        <v/>
      </c>
      <c r="K1738" s="72" t="str">
        <f aca="false">IF(J1738="","",MATCH(J1738,Base!$P$5:$P$2004,0))</f>
        <v/>
      </c>
    </row>
    <row r="1739" customFormat="false" ht="15" hidden="false" customHeight="false" outlineLevel="0" collapsed="false">
      <c r="A1739" s="67" t="str">
        <f aca="false">IF($K1739="","",ROW()-5)</f>
        <v/>
      </c>
      <c r="B1739" s="68" t="str">
        <f aca="false">IF($K1739="","",INDEX(Base!$E$5:$E$2004,$K1739))</f>
        <v/>
      </c>
      <c r="C1739" s="69" t="str">
        <f aca="false">IF($K1739="","",B1739)</f>
        <v/>
      </c>
      <c r="D1739" s="70" t="str">
        <f aca="false">IF($K1739="","",INDEX(Base!$F$5:$F$2004,$K1739))</f>
        <v/>
      </c>
      <c r="E1739" s="70" t="str">
        <f aca="false">IF($K1739="","",INDEX(Base!$G$5:$G$2004,$K1739))</f>
        <v/>
      </c>
      <c r="F1739" s="71" t="str">
        <f aca="false">IF($K1739="","",INDEX(Base!$H$5:$H$2004,$K1739))</f>
        <v/>
      </c>
      <c r="G1739" s="71" t="str">
        <f aca="false">IF($K1739="","",INDEX(Base!$I$5:$I$2004,$K1739))</f>
        <v/>
      </c>
      <c r="H1739" s="70" t="str">
        <f aca="false">IF($K1739="","",INDEX(Base!$J$5:$J$2004,$K1739))</f>
        <v/>
      </c>
      <c r="I1739" s="71" t="str">
        <f aca="false">IF($K1739="","",INDEX(Base!$L$5:$L$2004,$K1739))</f>
        <v/>
      </c>
      <c r="J1739" s="72" t="str">
        <f aca="false">IFERROR(SMALL(Base!$P$5:$P$2004,ROW()-5),"")</f>
        <v/>
      </c>
      <c r="K1739" s="72" t="str">
        <f aca="false">IF(J1739="","",MATCH(J1739,Base!$P$5:$P$2004,0))</f>
        <v/>
      </c>
    </row>
    <row r="1740" customFormat="false" ht="15" hidden="false" customHeight="false" outlineLevel="0" collapsed="false">
      <c r="A1740" s="67" t="str">
        <f aca="false">IF($K1740="","",ROW()-5)</f>
        <v/>
      </c>
      <c r="B1740" s="68" t="str">
        <f aca="false">IF($K1740="","",INDEX(Base!$E$5:$E$2004,$K1740))</f>
        <v/>
      </c>
      <c r="C1740" s="69" t="str">
        <f aca="false">IF($K1740="","",B1740)</f>
        <v/>
      </c>
      <c r="D1740" s="70" t="str">
        <f aca="false">IF($K1740="","",INDEX(Base!$F$5:$F$2004,$K1740))</f>
        <v/>
      </c>
      <c r="E1740" s="70" t="str">
        <f aca="false">IF($K1740="","",INDEX(Base!$G$5:$G$2004,$K1740))</f>
        <v/>
      </c>
      <c r="F1740" s="71" t="str">
        <f aca="false">IF($K1740="","",INDEX(Base!$H$5:$H$2004,$K1740))</f>
        <v/>
      </c>
      <c r="G1740" s="71" t="str">
        <f aca="false">IF($K1740="","",INDEX(Base!$I$5:$I$2004,$K1740))</f>
        <v/>
      </c>
      <c r="H1740" s="70" t="str">
        <f aca="false">IF($K1740="","",INDEX(Base!$J$5:$J$2004,$K1740))</f>
        <v/>
      </c>
      <c r="I1740" s="71" t="str">
        <f aca="false">IF($K1740="","",INDEX(Base!$L$5:$L$2004,$K1740))</f>
        <v/>
      </c>
      <c r="J1740" s="72" t="str">
        <f aca="false">IFERROR(SMALL(Base!$P$5:$P$2004,ROW()-5),"")</f>
        <v/>
      </c>
      <c r="K1740" s="72" t="str">
        <f aca="false">IF(J1740="","",MATCH(J1740,Base!$P$5:$P$2004,0))</f>
        <v/>
      </c>
    </row>
    <row r="1741" customFormat="false" ht="15" hidden="false" customHeight="false" outlineLevel="0" collapsed="false">
      <c r="A1741" s="67" t="str">
        <f aca="false">IF($K1741="","",ROW()-5)</f>
        <v/>
      </c>
      <c r="B1741" s="68" t="str">
        <f aca="false">IF($K1741="","",INDEX(Base!$E$5:$E$2004,$K1741))</f>
        <v/>
      </c>
      <c r="C1741" s="69" t="str">
        <f aca="false">IF($K1741="","",B1741)</f>
        <v/>
      </c>
      <c r="D1741" s="70" t="str">
        <f aca="false">IF($K1741="","",INDEX(Base!$F$5:$F$2004,$K1741))</f>
        <v/>
      </c>
      <c r="E1741" s="70" t="str">
        <f aca="false">IF($K1741="","",INDEX(Base!$G$5:$G$2004,$K1741))</f>
        <v/>
      </c>
      <c r="F1741" s="71" t="str">
        <f aca="false">IF($K1741="","",INDEX(Base!$H$5:$H$2004,$K1741))</f>
        <v/>
      </c>
      <c r="G1741" s="71" t="str">
        <f aca="false">IF($K1741="","",INDEX(Base!$I$5:$I$2004,$K1741))</f>
        <v/>
      </c>
      <c r="H1741" s="70" t="str">
        <f aca="false">IF($K1741="","",INDEX(Base!$J$5:$J$2004,$K1741))</f>
        <v/>
      </c>
      <c r="I1741" s="71" t="str">
        <f aca="false">IF($K1741="","",INDEX(Base!$L$5:$L$2004,$K1741))</f>
        <v/>
      </c>
      <c r="J1741" s="72" t="str">
        <f aca="false">IFERROR(SMALL(Base!$P$5:$P$2004,ROW()-5),"")</f>
        <v/>
      </c>
      <c r="K1741" s="72" t="str">
        <f aca="false">IF(J1741="","",MATCH(J1741,Base!$P$5:$P$2004,0))</f>
        <v/>
      </c>
    </row>
    <row r="1742" customFormat="false" ht="15" hidden="false" customHeight="false" outlineLevel="0" collapsed="false">
      <c r="A1742" s="67" t="str">
        <f aca="false">IF($K1742="","",ROW()-5)</f>
        <v/>
      </c>
      <c r="B1742" s="68" t="str">
        <f aca="false">IF($K1742="","",INDEX(Base!$E$5:$E$2004,$K1742))</f>
        <v/>
      </c>
      <c r="C1742" s="69" t="str">
        <f aca="false">IF($K1742="","",B1742)</f>
        <v/>
      </c>
      <c r="D1742" s="70" t="str">
        <f aca="false">IF($K1742="","",INDEX(Base!$F$5:$F$2004,$K1742))</f>
        <v/>
      </c>
      <c r="E1742" s="70" t="str">
        <f aca="false">IF($K1742="","",INDEX(Base!$G$5:$G$2004,$K1742))</f>
        <v/>
      </c>
      <c r="F1742" s="71" t="str">
        <f aca="false">IF($K1742="","",INDEX(Base!$H$5:$H$2004,$K1742))</f>
        <v/>
      </c>
      <c r="G1742" s="71" t="str">
        <f aca="false">IF($K1742="","",INDEX(Base!$I$5:$I$2004,$K1742))</f>
        <v/>
      </c>
      <c r="H1742" s="70" t="str">
        <f aca="false">IF($K1742="","",INDEX(Base!$J$5:$J$2004,$K1742))</f>
        <v/>
      </c>
      <c r="I1742" s="71" t="str">
        <f aca="false">IF($K1742="","",INDEX(Base!$L$5:$L$2004,$K1742))</f>
        <v/>
      </c>
      <c r="J1742" s="72" t="str">
        <f aca="false">IFERROR(SMALL(Base!$P$5:$P$2004,ROW()-5),"")</f>
        <v/>
      </c>
      <c r="K1742" s="72" t="str">
        <f aca="false">IF(J1742="","",MATCH(J1742,Base!$P$5:$P$2004,0))</f>
        <v/>
      </c>
    </row>
    <row r="1743" customFormat="false" ht="15" hidden="false" customHeight="false" outlineLevel="0" collapsed="false">
      <c r="A1743" s="67" t="str">
        <f aca="false">IF($K1743="","",ROW()-5)</f>
        <v/>
      </c>
      <c r="B1743" s="68" t="str">
        <f aca="false">IF($K1743="","",INDEX(Base!$E$5:$E$2004,$K1743))</f>
        <v/>
      </c>
      <c r="C1743" s="69" t="str">
        <f aca="false">IF($K1743="","",B1743)</f>
        <v/>
      </c>
      <c r="D1743" s="70" t="str">
        <f aca="false">IF($K1743="","",INDEX(Base!$F$5:$F$2004,$K1743))</f>
        <v/>
      </c>
      <c r="E1743" s="70" t="str">
        <f aca="false">IF($K1743="","",INDEX(Base!$G$5:$G$2004,$K1743))</f>
        <v/>
      </c>
      <c r="F1743" s="71" t="str">
        <f aca="false">IF($K1743="","",INDEX(Base!$H$5:$H$2004,$K1743))</f>
        <v/>
      </c>
      <c r="G1743" s="71" t="str">
        <f aca="false">IF($K1743="","",INDEX(Base!$I$5:$I$2004,$K1743))</f>
        <v/>
      </c>
      <c r="H1743" s="70" t="str">
        <f aca="false">IF($K1743="","",INDEX(Base!$J$5:$J$2004,$K1743))</f>
        <v/>
      </c>
      <c r="I1743" s="71" t="str">
        <f aca="false">IF($K1743="","",INDEX(Base!$L$5:$L$2004,$K1743))</f>
        <v/>
      </c>
      <c r="J1743" s="72" t="str">
        <f aca="false">IFERROR(SMALL(Base!$P$5:$P$2004,ROW()-5),"")</f>
        <v/>
      </c>
      <c r="K1743" s="72" t="str">
        <f aca="false">IF(J1743="","",MATCH(J1743,Base!$P$5:$P$2004,0))</f>
        <v/>
      </c>
    </row>
    <row r="1744" customFormat="false" ht="15" hidden="false" customHeight="false" outlineLevel="0" collapsed="false">
      <c r="A1744" s="67" t="str">
        <f aca="false">IF($K1744="","",ROW()-5)</f>
        <v/>
      </c>
      <c r="B1744" s="68" t="str">
        <f aca="false">IF($K1744="","",INDEX(Base!$E$5:$E$2004,$K1744))</f>
        <v/>
      </c>
      <c r="C1744" s="69" t="str">
        <f aca="false">IF($K1744="","",B1744)</f>
        <v/>
      </c>
      <c r="D1744" s="70" t="str">
        <f aca="false">IF($K1744="","",INDEX(Base!$F$5:$F$2004,$K1744))</f>
        <v/>
      </c>
      <c r="E1744" s="70" t="str">
        <f aca="false">IF($K1744="","",INDEX(Base!$G$5:$G$2004,$K1744))</f>
        <v/>
      </c>
      <c r="F1744" s="71" t="str">
        <f aca="false">IF($K1744="","",INDEX(Base!$H$5:$H$2004,$K1744))</f>
        <v/>
      </c>
      <c r="G1744" s="71" t="str">
        <f aca="false">IF($K1744="","",INDEX(Base!$I$5:$I$2004,$K1744))</f>
        <v/>
      </c>
      <c r="H1744" s="70" t="str">
        <f aca="false">IF($K1744="","",INDEX(Base!$J$5:$J$2004,$K1744))</f>
        <v/>
      </c>
      <c r="I1744" s="71" t="str">
        <f aca="false">IF($K1744="","",INDEX(Base!$L$5:$L$2004,$K1744))</f>
        <v/>
      </c>
      <c r="J1744" s="72" t="str">
        <f aca="false">IFERROR(SMALL(Base!$P$5:$P$2004,ROW()-5),"")</f>
        <v/>
      </c>
      <c r="K1744" s="72" t="str">
        <f aca="false">IF(J1744="","",MATCH(J1744,Base!$P$5:$P$2004,0))</f>
        <v/>
      </c>
    </row>
    <row r="1745" customFormat="false" ht="15" hidden="false" customHeight="false" outlineLevel="0" collapsed="false">
      <c r="A1745" s="67" t="str">
        <f aca="false">IF($K1745="","",ROW()-5)</f>
        <v/>
      </c>
      <c r="B1745" s="68" t="str">
        <f aca="false">IF($K1745="","",INDEX(Base!$E$5:$E$2004,$K1745))</f>
        <v/>
      </c>
      <c r="C1745" s="69" t="str">
        <f aca="false">IF($K1745="","",B1745)</f>
        <v/>
      </c>
      <c r="D1745" s="70" t="str">
        <f aca="false">IF($K1745="","",INDEX(Base!$F$5:$F$2004,$K1745))</f>
        <v/>
      </c>
      <c r="E1745" s="70" t="str">
        <f aca="false">IF($K1745="","",INDEX(Base!$G$5:$G$2004,$K1745))</f>
        <v/>
      </c>
      <c r="F1745" s="71" t="str">
        <f aca="false">IF($K1745="","",INDEX(Base!$H$5:$H$2004,$K1745))</f>
        <v/>
      </c>
      <c r="G1745" s="71" t="str">
        <f aca="false">IF($K1745="","",INDEX(Base!$I$5:$I$2004,$K1745))</f>
        <v/>
      </c>
      <c r="H1745" s="70" t="str">
        <f aca="false">IF($K1745="","",INDEX(Base!$J$5:$J$2004,$K1745))</f>
        <v/>
      </c>
      <c r="I1745" s="71" t="str">
        <f aca="false">IF($K1745="","",INDEX(Base!$L$5:$L$2004,$K1745))</f>
        <v/>
      </c>
      <c r="J1745" s="72" t="str">
        <f aca="false">IFERROR(SMALL(Base!$P$5:$P$2004,ROW()-5),"")</f>
        <v/>
      </c>
      <c r="K1745" s="72" t="str">
        <f aca="false">IF(J1745="","",MATCH(J1745,Base!$P$5:$P$2004,0))</f>
        <v/>
      </c>
    </row>
    <row r="1746" customFormat="false" ht="15" hidden="false" customHeight="false" outlineLevel="0" collapsed="false">
      <c r="A1746" s="67" t="str">
        <f aca="false">IF($K1746="","",ROW()-5)</f>
        <v/>
      </c>
      <c r="B1746" s="68" t="str">
        <f aca="false">IF($K1746="","",INDEX(Base!$E$5:$E$2004,$K1746))</f>
        <v/>
      </c>
      <c r="C1746" s="69" t="str">
        <f aca="false">IF($K1746="","",B1746)</f>
        <v/>
      </c>
      <c r="D1746" s="70" t="str">
        <f aca="false">IF($K1746="","",INDEX(Base!$F$5:$F$2004,$K1746))</f>
        <v/>
      </c>
      <c r="E1746" s="70" t="str">
        <f aca="false">IF($K1746="","",INDEX(Base!$G$5:$G$2004,$K1746))</f>
        <v/>
      </c>
      <c r="F1746" s="71" t="str">
        <f aca="false">IF($K1746="","",INDEX(Base!$H$5:$H$2004,$K1746))</f>
        <v/>
      </c>
      <c r="G1746" s="71" t="str">
        <f aca="false">IF($K1746="","",INDEX(Base!$I$5:$I$2004,$K1746))</f>
        <v/>
      </c>
      <c r="H1746" s="70" t="str">
        <f aca="false">IF($K1746="","",INDEX(Base!$J$5:$J$2004,$K1746))</f>
        <v/>
      </c>
      <c r="I1746" s="71" t="str">
        <f aca="false">IF($K1746="","",INDEX(Base!$L$5:$L$2004,$K1746))</f>
        <v/>
      </c>
      <c r="J1746" s="72" t="str">
        <f aca="false">IFERROR(SMALL(Base!$P$5:$P$2004,ROW()-5),"")</f>
        <v/>
      </c>
      <c r="K1746" s="72" t="str">
        <f aca="false">IF(J1746="","",MATCH(J1746,Base!$P$5:$P$2004,0))</f>
        <v/>
      </c>
    </row>
    <row r="1747" customFormat="false" ht="15" hidden="false" customHeight="false" outlineLevel="0" collapsed="false">
      <c r="A1747" s="67" t="str">
        <f aca="false">IF($K1747="","",ROW()-5)</f>
        <v/>
      </c>
      <c r="B1747" s="68" t="str">
        <f aca="false">IF($K1747="","",INDEX(Base!$E$5:$E$2004,$K1747))</f>
        <v/>
      </c>
      <c r="C1747" s="69" t="str">
        <f aca="false">IF($K1747="","",B1747)</f>
        <v/>
      </c>
      <c r="D1747" s="70" t="str">
        <f aca="false">IF($K1747="","",INDEX(Base!$F$5:$F$2004,$K1747))</f>
        <v/>
      </c>
      <c r="E1747" s="70" t="str">
        <f aca="false">IF($K1747="","",INDEX(Base!$G$5:$G$2004,$K1747))</f>
        <v/>
      </c>
      <c r="F1747" s="71" t="str">
        <f aca="false">IF($K1747="","",INDEX(Base!$H$5:$H$2004,$K1747))</f>
        <v/>
      </c>
      <c r="G1747" s="71" t="str">
        <f aca="false">IF($K1747="","",INDEX(Base!$I$5:$I$2004,$K1747))</f>
        <v/>
      </c>
      <c r="H1747" s="70" t="str">
        <f aca="false">IF($K1747="","",INDEX(Base!$J$5:$J$2004,$K1747))</f>
        <v/>
      </c>
      <c r="I1747" s="71" t="str">
        <f aca="false">IF($K1747="","",INDEX(Base!$L$5:$L$2004,$K1747))</f>
        <v/>
      </c>
      <c r="J1747" s="72" t="str">
        <f aca="false">IFERROR(SMALL(Base!$P$5:$P$2004,ROW()-5),"")</f>
        <v/>
      </c>
      <c r="K1747" s="72" t="str">
        <f aca="false">IF(J1747="","",MATCH(J1747,Base!$P$5:$P$2004,0))</f>
        <v/>
      </c>
    </row>
    <row r="1748" customFormat="false" ht="15" hidden="false" customHeight="false" outlineLevel="0" collapsed="false">
      <c r="A1748" s="67" t="str">
        <f aca="false">IF($K1748="","",ROW()-5)</f>
        <v/>
      </c>
      <c r="B1748" s="68" t="str">
        <f aca="false">IF($K1748="","",INDEX(Base!$E$5:$E$2004,$K1748))</f>
        <v/>
      </c>
      <c r="C1748" s="69" t="str">
        <f aca="false">IF($K1748="","",B1748)</f>
        <v/>
      </c>
      <c r="D1748" s="70" t="str">
        <f aca="false">IF($K1748="","",INDEX(Base!$F$5:$F$2004,$K1748))</f>
        <v/>
      </c>
      <c r="E1748" s="70" t="str">
        <f aca="false">IF($K1748="","",INDEX(Base!$G$5:$G$2004,$K1748))</f>
        <v/>
      </c>
      <c r="F1748" s="71" t="str">
        <f aca="false">IF($K1748="","",INDEX(Base!$H$5:$H$2004,$K1748))</f>
        <v/>
      </c>
      <c r="G1748" s="71" t="str">
        <f aca="false">IF($K1748="","",INDEX(Base!$I$5:$I$2004,$K1748))</f>
        <v/>
      </c>
      <c r="H1748" s="70" t="str">
        <f aca="false">IF($K1748="","",INDEX(Base!$J$5:$J$2004,$K1748))</f>
        <v/>
      </c>
      <c r="I1748" s="71" t="str">
        <f aca="false">IF($K1748="","",INDEX(Base!$L$5:$L$2004,$K1748))</f>
        <v/>
      </c>
      <c r="J1748" s="72" t="str">
        <f aca="false">IFERROR(SMALL(Base!$P$5:$P$2004,ROW()-5),"")</f>
        <v/>
      </c>
      <c r="K1748" s="72" t="str">
        <f aca="false">IF(J1748="","",MATCH(J1748,Base!$P$5:$P$2004,0))</f>
        <v/>
      </c>
    </row>
    <row r="1749" customFormat="false" ht="15" hidden="false" customHeight="false" outlineLevel="0" collapsed="false">
      <c r="A1749" s="67" t="str">
        <f aca="false">IF($K1749="","",ROW()-5)</f>
        <v/>
      </c>
      <c r="B1749" s="68" t="str">
        <f aca="false">IF($K1749="","",INDEX(Base!$E$5:$E$2004,$K1749))</f>
        <v/>
      </c>
      <c r="C1749" s="69" t="str">
        <f aca="false">IF($K1749="","",B1749)</f>
        <v/>
      </c>
      <c r="D1749" s="70" t="str">
        <f aca="false">IF($K1749="","",INDEX(Base!$F$5:$F$2004,$K1749))</f>
        <v/>
      </c>
      <c r="E1749" s="70" t="str">
        <f aca="false">IF($K1749="","",INDEX(Base!$G$5:$G$2004,$K1749))</f>
        <v/>
      </c>
      <c r="F1749" s="71" t="str">
        <f aca="false">IF($K1749="","",INDEX(Base!$H$5:$H$2004,$K1749))</f>
        <v/>
      </c>
      <c r="G1749" s="71" t="str">
        <f aca="false">IF($K1749="","",INDEX(Base!$I$5:$I$2004,$K1749))</f>
        <v/>
      </c>
      <c r="H1749" s="70" t="str">
        <f aca="false">IF($K1749="","",INDEX(Base!$J$5:$J$2004,$K1749))</f>
        <v/>
      </c>
      <c r="I1749" s="71" t="str">
        <f aca="false">IF($K1749="","",INDEX(Base!$L$5:$L$2004,$K1749))</f>
        <v/>
      </c>
      <c r="J1749" s="72" t="str">
        <f aca="false">IFERROR(SMALL(Base!$P$5:$P$2004,ROW()-5),"")</f>
        <v/>
      </c>
      <c r="K1749" s="72" t="str">
        <f aca="false">IF(J1749="","",MATCH(J1749,Base!$P$5:$P$2004,0))</f>
        <v/>
      </c>
    </row>
    <row r="1750" customFormat="false" ht="15" hidden="false" customHeight="false" outlineLevel="0" collapsed="false">
      <c r="A1750" s="67" t="str">
        <f aca="false">IF($K1750="","",ROW()-5)</f>
        <v/>
      </c>
      <c r="B1750" s="68" t="str">
        <f aca="false">IF($K1750="","",INDEX(Base!$E$5:$E$2004,$K1750))</f>
        <v/>
      </c>
      <c r="C1750" s="69" t="str">
        <f aca="false">IF($K1750="","",B1750)</f>
        <v/>
      </c>
      <c r="D1750" s="70" t="str">
        <f aca="false">IF($K1750="","",INDEX(Base!$F$5:$F$2004,$K1750))</f>
        <v/>
      </c>
      <c r="E1750" s="70" t="str">
        <f aca="false">IF($K1750="","",INDEX(Base!$G$5:$G$2004,$K1750))</f>
        <v/>
      </c>
      <c r="F1750" s="71" t="str">
        <f aca="false">IF($K1750="","",INDEX(Base!$H$5:$H$2004,$K1750))</f>
        <v/>
      </c>
      <c r="G1750" s="71" t="str">
        <f aca="false">IF($K1750="","",INDEX(Base!$I$5:$I$2004,$K1750))</f>
        <v/>
      </c>
      <c r="H1750" s="70" t="str">
        <f aca="false">IF($K1750="","",INDEX(Base!$J$5:$J$2004,$K1750))</f>
        <v/>
      </c>
      <c r="I1750" s="71" t="str">
        <f aca="false">IF($K1750="","",INDEX(Base!$L$5:$L$2004,$K1750))</f>
        <v/>
      </c>
      <c r="J1750" s="72" t="str">
        <f aca="false">IFERROR(SMALL(Base!$P$5:$P$2004,ROW()-5),"")</f>
        <v/>
      </c>
      <c r="K1750" s="72" t="str">
        <f aca="false">IF(J1750="","",MATCH(J1750,Base!$P$5:$P$2004,0))</f>
        <v/>
      </c>
    </row>
    <row r="1751" customFormat="false" ht="15" hidden="false" customHeight="false" outlineLevel="0" collapsed="false">
      <c r="A1751" s="67" t="str">
        <f aca="false">IF($K1751="","",ROW()-5)</f>
        <v/>
      </c>
      <c r="B1751" s="68" t="str">
        <f aca="false">IF($K1751="","",INDEX(Base!$E$5:$E$2004,$K1751))</f>
        <v/>
      </c>
      <c r="C1751" s="69" t="str">
        <f aca="false">IF($K1751="","",B1751)</f>
        <v/>
      </c>
      <c r="D1751" s="70" t="str">
        <f aca="false">IF($K1751="","",INDEX(Base!$F$5:$F$2004,$K1751))</f>
        <v/>
      </c>
      <c r="E1751" s="70" t="str">
        <f aca="false">IF($K1751="","",INDEX(Base!$G$5:$G$2004,$K1751))</f>
        <v/>
      </c>
      <c r="F1751" s="71" t="str">
        <f aca="false">IF($K1751="","",INDEX(Base!$H$5:$H$2004,$K1751))</f>
        <v/>
      </c>
      <c r="G1751" s="71" t="str">
        <f aca="false">IF($K1751="","",INDEX(Base!$I$5:$I$2004,$K1751))</f>
        <v/>
      </c>
      <c r="H1751" s="70" t="str">
        <f aca="false">IF($K1751="","",INDEX(Base!$J$5:$J$2004,$K1751))</f>
        <v/>
      </c>
      <c r="I1751" s="71" t="str">
        <f aca="false">IF($K1751="","",INDEX(Base!$L$5:$L$2004,$K1751))</f>
        <v/>
      </c>
      <c r="J1751" s="72" t="str">
        <f aca="false">IFERROR(SMALL(Base!$P$5:$P$2004,ROW()-5),"")</f>
        <v/>
      </c>
      <c r="K1751" s="72" t="str">
        <f aca="false">IF(J1751="","",MATCH(J1751,Base!$P$5:$P$2004,0))</f>
        <v/>
      </c>
    </row>
    <row r="1752" customFormat="false" ht="15" hidden="false" customHeight="false" outlineLevel="0" collapsed="false">
      <c r="A1752" s="67" t="str">
        <f aca="false">IF($K1752="","",ROW()-5)</f>
        <v/>
      </c>
      <c r="B1752" s="68" t="str">
        <f aca="false">IF($K1752="","",INDEX(Base!$E$5:$E$2004,$K1752))</f>
        <v/>
      </c>
      <c r="C1752" s="69" t="str">
        <f aca="false">IF($K1752="","",B1752)</f>
        <v/>
      </c>
      <c r="D1752" s="70" t="str">
        <f aca="false">IF($K1752="","",INDEX(Base!$F$5:$F$2004,$K1752))</f>
        <v/>
      </c>
      <c r="E1752" s="70" t="str">
        <f aca="false">IF($K1752="","",INDEX(Base!$G$5:$G$2004,$K1752))</f>
        <v/>
      </c>
      <c r="F1752" s="71" t="str">
        <f aca="false">IF($K1752="","",INDEX(Base!$H$5:$H$2004,$K1752))</f>
        <v/>
      </c>
      <c r="G1752" s="71" t="str">
        <f aca="false">IF($K1752="","",INDEX(Base!$I$5:$I$2004,$K1752))</f>
        <v/>
      </c>
      <c r="H1752" s="70" t="str">
        <f aca="false">IF($K1752="","",INDEX(Base!$J$5:$J$2004,$K1752))</f>
        <v/>
      </c>
      <c r="I1752" s="71" t="str">
        <f aca="false">IF($K1752="","",INDEX(Base!$L$5:$L$2004,$K1752))</f>
        <v/>
      </c>
      <c r="J1752" s="72" t="str">
        <f aca="false">IFERROR(SMALL(Base!$P$5:$P$2004,ROW()-5),"")</f>
        <v/>
      </c>
      <c r="K1752" s="72" t="str">
        <f aca="false">IF(J1752="","",MATCH(J1752,Base!$P$5:$P$2004,0))</f>
        <v/>
      </c>
    </row>
    <row r="1753" customFormat="false" ht="15" hidden="false" customHeight="false" outlineLevel="0" collapsed="false">
      <c r="A1753" s="67" t="str">
        <f aca="false">IF($K1753="","",ROW()-5)</f>
        <v/>
      </c>
      <c r="B1753" s="68" t="str">
        <f aca="false">IF($K1753="","",INDEX(Base!$E$5:$E$2004,$K1753))</f>
        <v/>
      </c>
      <c r="C1753" s="69" t="str">
        <f aca="false">IF($K1753="","",B1753)</f>
        <v/>
      </c>
      <c r="D1753" s="70" t="str">
        <f aca="false">IF($K1753="","",INDEX(Base!$F$5:$F$2004,$K1753))</f>
        <v/>
      </c>
      <c r="E1753" s="70" t="str">
        <f aca="false">IF($K1753="","",INDEX(Base!$G$5:$G$2004,$K1753))</f>
        <v/>
      </c>
      <c r="F1753" s="71" t="str">
        <f aca="false">IF($K1753="","",INDEX(Base!$H$5:$H$2004,$K1753))</f>
        <v/>
      </c>
      <c r="G1753" s="71" t="str">
        <f aca="false">IF($K1753="","",INDEX(Base!$I$5:$I$2004,$K1753))</f>
        <v/>
      </c>
      <c r="H1753" s="70" t="str">
        <f aca="false">IF($K1753="","",INDEX(Base!$J$5:$J$2004,$K1753))</f>
        <v/>
      </c>
      <c r="I1753" s="71" t="str">
        <f aca="false">IF($K1753="","",INDEX(Base!$L$5:$L$2004,$K1753))</f>
        <v/>
      </c>
      <c r="J1753" s="72" t="str">
        <f aca="false">IFERROR(SMALL(Base!$P$5:$P$2004,ROW()-5),"")</f>
        <v/>
      </c>
      <c r="K1753" s="72" t="str">
        <f aca="false">IF(J1753="","",MATCH(J1753,Base!$P$5:$P$2004,0))</f>
        <v/>
      </c>
    </row>
    <row r="1754" customFormat="false" ht="15" hidden="false" customHeight="false" outlineLevel="0" collapsed="false">
      <c r="A1754" s="67" t="str">
        <f aca="false">IF($K1754="","",ROW()-5)</f>
        <v/>
      </c>
      <c r="B1754" s="68" t="str">
        <f aca="false">IF($K1754="","",INDEX(Base!$E$5:$E$2004,$K1754))</f>
        <v/>
      </c>
      <c r="C1754" s="69" t="str">
        <f aca="false">IF($K1754="","",B1754)</f>
        <v/>
      </c>
      <c r="D1754" s="70" t="str">
        <f aca="false">IF($K1754="","",INDEX(Base!$F$5:$F$2004,$K1754))</f>
        <v/>
      </c>
      <c r="E1754" s="70" t="str">
        <f aca="false">IF($K1754="","",INDEX(Base!$G$5:$G$2004,$K1754))</f>
        <v/>
      </c>
      <c r="F1754" s="71" t="str">
        <f aca="false">IF($K1754="","",INDEX(Base!$H$5:$H$2004,$K1754))</f>
        <v/>
      </c>
      <c r="G1754" s="71" t="str">
        <f aca="false">IF($K1754="","",INDEX(Base!$I$5:$I$2004,$K1754))</f>
        <v/>
      </c>
      <c r="H1754" s="70" t="str">
        <f aca="false">IF($K1754="","",INDEX(Base!$J$5:$J$2004,$K1754))</f>
        <v/>
      </c>
      <c r="I1754" s="71" t="str">
        <f aca="false">IF($K1754="","",INDEX(Base!$L$5:$L$2004,$K1754))</f>
        <v/>
      </c>
      <c r="J1754" s="72" t="str">
        <f aca="false">IFERROR(SMALL(Base!$P$5:$P$2004,ROW()-5),"")</f>
        <v/>
      </c>
      <c r="K1754" s="72" t="str">
        <f aca="false">IF(J1754="","",MATCH(J1754,Base!$P$5:$P$2004,0))</f>
        <v/>
      </c>
    </row>
    <row r="1755" customFormat="false" ht="15" hidden="false" customHeight="false" outlineLevel="0" collapsed="false">
      <c r="A1755" s="67" t="str">
        <f aca="false">IF($K1755="","",ROW()-5)</f>
        <v/>
      </c>
      <c r="B1755" s="68" t="str">
        <f aca="false">IF($K1755="","",INDEX(Base!$E$5:$E$2004,$K1755))</f>
        <v/>
      </c>
      <c r="C1755" s="69" t="str">
        <f aca="false">IF($K1755="","",B1755)</f>
        <v/>
      </c>
      <c r="D1755" s="70" t="str">
        <f aca="false">IF($K1755="","",INDEX(Base!$F$5:$F$2004,$K1755))</f>
        <v/>
      </c>
      <c r="E1755" s="70" t="str">
        <f aca="false">IF($K1755="","",INDEX(Base!$G$5:$G$2004,$K1755))</f>
        <v/>
      </c>
      <c r="F1755" s="71" t="str">
        <f aca="false">IF($K1755="","",INDEX(Base!$H$5:$H$2004,$K1755))</f>
        <v/>
      </c>
      <c r="G1755" s="71" t="str">
        <f aca="false">IF($K1755="","",INDEX(Base!$I$5:$I$2004,$K1755))</f>
        <v/>
      </c>
      <c r="H1755" s="70" t="str">
        <f aca="false">IF($K1755="","",INDEX(Base!$J$5:$J$2004,$K1755))</f>
        <v/>
      </c>
      <c r="I1755" s="71" t="str">
        <f aca="false">IF($K1755="","",INDEX(Base!$L$5:$L$2004,$K1755))</f>
        <v/>
      </c>
      <c r="J1755" s="72" t="str">
        <f aca="false">IFERROR(SMALL(Base!$P$5:$P$2004,ROW()-5),"")</f>
        <v/>
      </c>
      <c r="K1755" s="72" t="str">
        <f aca="false">IF(J1755="","",MATCH(J1755,Base!$P$5:$P$2004,0))</f>
        <v/>
      </c>
    </row>
    <row r="1756" customFormat="false" ht="15" hidden="false" customHeight="false" outlineLevel="0" collapsed="false">
      <c r="A1756" s="67" t="str">
        <f aca="false">IF($K1756="","",ROW()-5)</f>
        <v/>
      </c>
      <c r="B1756" s="68" t="str">
        <f aca="false">IF($K1756="","",INDEX(Base!$E$5:$E$2004,$K1756))</f>
        <v/>
      </c>
      <c r="C1756" s="69" t="str">
        <f aca="false">IF($K1756="","",B1756)</f>
        <v/>
      </c>
      <c r="D1756" s="70" t="str">
        <f aca="false">IF($K1756="","",INDEX(Base!$F$5:$F$2004,$K1756))</f>
        <v/>
      </c>
      <c r="E1756" s="70" t="str">
        <f aca="false">IF($K1756="","",INDEX(Base!$G$5:$G$2004,$K1756))</f>
        <v/>
      </c>
      <c r="F1756" s="71" t="str">
        <f aca="false">IF($K1756="","",INDEX(Base!$H$5:$H$2004,$K1756))</f>
        <v/>
      </c>
      <c r="G1756" s="71" t="str">
        <f aca="false">IF($K1756="","",INDEX(Base!$I$5:$I$2004,$K1756))</f>
        <v/>
      </c>
      <c r="H1756" s="70" t="str">
        <f aca="false">IF($K1756="","",INDEX(Base!$J$5:$J$2004,$K1756))</f>
        <v/>
      </c>
      <c r="I1756" s="71" t="str">
        <f aca="false">IF($K1756="","",INDEX(Base!$L$5:$L$2004,$K1756))</f>
        <v/>
      </c>
      <c r="J1756" s="72" t="str">
        <f aca="false">IFERROR(SMALL(Base!$P$5:$P$2004,ROW()-5),"")</f>
        <v/>
      </c>
      <c r="K1756" s="72" t="str">
        <f aca="false">IF(J1756="","",MATCH(J1756,Base!$P$5:$P$2004,0))</f>
        <v/>
      </c>
    </row>
    <row r="1757" customFormat="false" ht="15" hidden="false" customHeight="false" outlineLevel="0" collapsed="false">
      <c r="A1757" s="67" t="str">
        <f aca="false">IF($K1757="","",ROW()-5)</f>
        <v/>
      </c>
      <c r="B1757" s="68" t="str">
        <f aca="false">IF($K1757="","",INDEX(Base!$E$5:$E$2004,$K1757))</f>
        <v/>
      </c>
      <c r="C1757" s="69" t="str">
        <f aca="false">IF($K1757="","",B1757)</f>
        <v/>
      </c>
      <c r="D1757" s="70" t="str">
        <f aca="false">IF($K1757="","",INDEX(Base!$F$5:$F$2004,$K1757))</f>
        <v/>
      </c>
      <c r="E1757" s="70" t="str">
        <f aca="false">IF($K1757="","",INDEX(Base!$G$5:$G$2004,$K1757))</f>
        <v/>
      </c>
      <c r="F1757" s="71" t="str">
        <f aca="false">IF($K1757="","",INDEX(Base!$H$5:$H$2004,$K1757))</f>
        <v/>
      </c>
      <c r="G1757" s="71" t="str">
        <f aca="false">IF($K1757="","",INDEX(Base!$I$5:$I$2004,$K1757))</f>
        <v/>
      </c>
      <c r="H1757" s="70" t="str">
        <f aca="false">IF($K1757="","",INDEX(Base!$J$5:$J$2004,$K1757))</f>
        <v/>
      </c>
      <c r="I1757" s="71" t="str">
        <f aca="false">IF($K1757="","",INDEX(Base!$L$5:$L$2004,$K1757))</f>
        <v/>
      </c>
      <c r="J1757" s="72" t="str">
        <f aca="false">IFERROR(SMALL(Base!$P$5:$P$2004,ROW()-5),"")</f>
        <v/>
      </c>
      <c r="K1757" s="72" t="str">
        <f aca="false">IF(J1757="","",MATCH(J1757,Base!$P$5:$P$2004,0))</f>
        <v/>
      </c>
    </row>
    <row r="1758" customFormat="false" ht="15" hidden="false" customHeight="false" outlineLevel="0" collapsed="false">
      <c r="A1758" s="67" t="str">
        <f aca="false">IF($K1758="","",ROW()-5)</f>
        <v/>
      </c>
      <c r="B1758" s="68" t="str">
        <f aca="false">IF($K1758="","",INDEX(Base!$E$5:$E$2004,$K1758))</f>
        <v/>
      </c>
      <c r="C1758" s="69" t="str">
        <f aca="false">IF($K1758="","",B1758)</f>
        <v/>
      </c>
      <c r="D1758" s="70" t="str">
        <f aca="false">IF($K1758="","",INDEX(Base!$F$5:$F$2004,$K1758))</f>
        <v/>
      </c>
      <c r="E1758" s="70" t="str">
        <f aca="false">IF($K1758="","",INDEX(Base!$G$5:$G$2004,$K1758))</f>
        <v/>
      </c>
      <c r="F1758" s="71" t="str">
        <f aca="false">IF($K1758="","",INDEX(Base!$H$5:$H$2004,$K1758))</f>
        <v/>
      </c>
      <c r="G1758" s="71" t="str">
        <f aca="false">IF($K1758="","",INDEX(Base!$I$5:$I$2004,$K1758))</f>
        <v/>
      </c>
      <c r="H1758" s="70" t="str">
        <f aca="false">IF($K1758="","",INDEX(Base!$J$5:$J$2004,$K1758))</f>
        <v/>
      </c>
      <c r="I1758" s="71" t="str">
        <f aca="false">IF($K1758="","",INDEX(Base!$L$5:$L$2004,$K1758))</f>
        <v/>
      </c>
      <c r="J1758" s="72" t="str">
        <f aca="false">IFERROR(SMALL(Base!$P$5:$P$2004,ROW()-5),"")</f>
        <v/>
      </c>
      <c r="K1758" s="72" t="str">
        <f aca="false">IF(J1758="","",MATCH(J1758,Base!$P$5:$P$2004,0))</f>
        <v/>
      </c>
    </row>
    <row r="1759" customFormat="false" ht="15" hidden="false" customHeight="false" outlineLevel="0" collapsed="false">
      <c r="A1759" s="67" t="str">
        <f aca="false">IF($K1759="","",ROW()-5)</f>
        <v/>
      </c>
      <c r="B1759" s="68" t="str">
        <f aca="false">IF($K1759="","",INDEX(Base!$E$5:$E$2004,$K1759))</f>
        <v/>
      </c>
      <c r="C1759" s="69" t="str">
        <f aca="false">IF($K1759="","",B1759)</f>
        <v/>
      </c>
      <c r="D1759" s="70" t="str">
        <f aca="false">IF($K1759="","",INDEX(Base!$F$5:$F$2004,$K1759))</f>
        <v/>
      </c>
      <c r="E1759" s="70" t="str">
        <f aca="false">IF($K1759="","",INDEX(Base!$G$5:$G$2004,$K1759))</f>
        <v/>
      </c>
      <c r="F1759" s="71" t="str">
        <f aca="false">IF($K1759="","",INDEX(Base!$H$5:$H$2004,$K1759))</f>
        <v/>
      </c>
      <c r="G1759" s="71" t="str">
        <f aca="false">IF($K1759="","",INDEX(Base!$I$5:$I$2004,$K1759))</f>
        <v/>
      </c>
      <c r="H1759" s="70" t="str">
        <f aca="false">IF($K1759="","",INDEX(Base!$J$5:$J$2004,$K1759))</f>
        <v/>
      </c>
      <c r="I1759" s="71" t="str">
        <f aca="false">IF($K1759="","",INDEX(Base!$L$5:$L$2004,$K1759))</f>
        <v/>
      </c>
      <c r="J1759" s="72" t="str">
        <f aca="false">IFERROR(SMALL(Base!$P$5:$P$2004,ROW()-5),"")</f>
        <v/>
      </c>
      <c r="K1759" s="72" t="str">
        <f aca="false">IF(J1759="","",MATCH(J1759,Base!$P$5:$P$2004,0))</f>
        <v/>
      </c>
    </row>
    <row r="1760" customFormat="false" ht="15" hidden="false" customHeight="false" outlineLevel="0" collapsed="false">
      <c r="A1760" s="67" t="str">
        <f aca="false">IF($K1760="","",ROW()-5)</f>
        <v/>
      </c>
      <c r="B1760" s="68" t="str">
        <f aca="false">IF($K1760="","",INDEX(Base!$E$5:$E$2004,$K1760))</f>
        <v/>
      </c>
      <c r="C1760" s="69" t="str">
        <f aca="false">IF($K1760="","",B1760)</f>
        <v/>
      </c>
      <c r="D1760" s="70" t="str">
        <f aca="false">IF($K1760="","",INDEX(Base!$F$5:$F$2004,$K1760))</f>
        <v/>
      </c>
      <c r="E1760" s="70" t="str">
        <f aca="false">IF($K1760="","",INDEX(Base!$G$5:$G$2004,$K1760))</f>
        <v/>
      </c>
      <c r="F1760" s="71" t="str">
        <f aca="false">IF($K1760="","",INDEX(Base!$H$5:$H$2004,$K1760))</f>
        <v/>
      </c>
      <c r="G1760" s="71" t="str">
        <f aca="false">IF($K1760="","",INDEX(Base!$I$5:$I$2004,$K1760))</f>
        <v/>
      </c>
      <c r="H1760" s="70" t="str">
        <f aca="false">IF($K1760="","",INDEX(Base!$J$5:$J$2004,$K1760))</f>
        <v/>
      </c>
      <c r="I1760" s="71" t="str">
        <f aca="false">IF($K1760="","",INDEX(Base!$L$5:$L$2004,$K1760))</f>
        <v/>
      </c>
      <c r="J1760" s="72" t="str">
        <f aca="false">IFERROR(SMALL(Base!$P$5:$P$2004,ROW()-5),"")</f>
        <v/>
      </c>
      <c r="K1760" s="72" t="str">
        <f aca="false">IF(J1760="","",MATCH(J1760,Base!$P$5:$P$2004,0))</f>
        <v/>
      </c>
    </row>
    <row r="1761" customFormat="false" ht="15" hidden="false" customHeight="false" outlineLevel="0" collapsed="false">
      <c r="A1761" s="67" t="str">
        <f aca="false">IF($K1761="","",ROW()-5)</f>
        <v/>
      </c>
      <c r="B1761" s="68" t="str">
        <f aca="false">IF($K1761="","",INDEX(Base!$E$5:$E$2004,$K1761))</f>
        <v/>
      </c>
      <c r="C1761" s="69" t="str">
        <f aca="false">IF($K1761="","",B1761)</f>
        <v/>
      </c>
      <c r="D1761" s="70" t="str">
        <f aca="false">IF($K1761="","",INDEX(Base!$F$5:$F$2004,$K1761))</f>
        <v/>
      </c>
      <c r="E1761" s="70" t="str">
        <f aca="false">IF($K1761="","",INDEX(Base!$G$5:$G$2004,$K1761))</f>
        <v/>
      </c>
      <c r="F1761" s="71" t="str">
        <f aca="false">IF($K1761="","",INDEX(Base!$H$5:$H$2004,$K1761))</f>
        <v/>
      </c>
      <c r="G1761" s="71" t="str">
        <f aca="false">IF($K1761="","",INDEX(Base!$I$5:$I$2004,$K1761))</f>
        <v/>
      </c>
      <c r="H1761" s="70" t="str">
        <f aca="false">IF($K1761="","",INDEX(Base!$J$5:$J$2004,$K1761))</f>
        <v/>
      </c>
      <c r="I1761" s="71" t="str">
        <f aca="false">IF($K1761="","",INDEX(Base!$L$5:$L$2004,$K1761))</f>
        <v/>
      </c>
      <c r="J1761" s="72" t="str">
        <f aca="false">IFERROR(SMALL(Base!$P$5:$P$2004,ROW()-5),"")</f>
        <v/>
      </c>
      <c r="K1761" s="72" t="str">
        <f aca="false">IF(J1761="","",MATCH(J1761,Base!$P$5:$P$2004,0))</f>
        <v/>
      </c>
    </row>
    <row r="1762" customFormat="false" ht="15" hidden="false" customHeight="false" outlineLevel="0" collapsed="false">
      <c r="A1762" s="67" t="str">
        <f aca="false">IF($K1762="","",ROW()-5)</f>
        <v/>
      </c>
      <c r="B1762" s="68" t="str">
        <f aca="false">IF($K1762="","",INDEX(Base!$E$5:$E$2004,$K1762))</f>
        <v/>
      </c>
      <c r="C1762" s="69" t="str">
        <f aca="false">IF($K1762="","",B1762)</f>
        <v/>
      </c>
      <c r="D1762" s="70" t="str">
        <f aca="false">IF($K1762="","",INDEX(Base!$F$5:$F$2004,$K1762))</f>
        <v/>
      </c>
      <c r="E1762" s="70" t="str">
        <f aca="false">IF($K1762="","",INDEX(Base!$G$5:$G$2004,$K1762))</f>
        <v/>
      </c>
      <c r="F1762" s="71" t="str">
        <f aca="false">IF($K1762="","",INDEX(Base!$H$5:$H$2004,$K1762))</f>
        <v/>
      </c>
      <c r="G1762" s="71" t="str">
        <f aca="false">IF($K1762="","",INDEX(Base!$I$5:$I$2004,$K1762))</f>
        <v/>
      </c>
      <c r="H1762" s="70" t="str">
        <f aca="false">IF($K1762="","",INDEX(Base!$J$5:$J$2004,$K1762))</f>
        <v/>
      </c>
      <c r="I1762" s="71" t="str">
        <f aca="false">IF($K1762="","",INDEX(Base!$L$5:$L$2004,$K1762))</f>
        <v/>
      </c>
      <c r="J1762" s="72" t="str">
        <f aca="false">IFERROR(SMALL(Base!$P$5:$P$2004,ROW()-5),"")</f>
        <v/>
      </c>
      <c r="K1762" s="72" t="str">
        <f aca="false">IF(J1762="","",MATCH(J1762,Base!$P$5:$P$2004,0))</f>
        <v/>
      </c>
    </row>
    <row r="1763" customFormat="false" ht="15" hidden="false" customHeight="false" outlineLevel="0" collapsed="false">
      <c r="A1763" s="67" t="str">
        <f aca="false">IF($K1763="","",ROW()-5)</f>
        <v/>
      </c>
      <c r="B1763" s="68" t="str">
        <f aca="false">IF($K1763="","",INDEX(Base!$E$5:$E$2004,$K1763))</f>
        <v/>
      </c>
      <c r="C1763" s="69" t="str">
        <f aca="false">IF($K1763="","",B1763)</f>
        <v/>
      </c>
      <c r="D1763" s="70" t="str">
        <f aca="false">IF($K1763="","",INDEX(Base!$F$5:$F$2004,$K1763))</f>
        <v/>
      </c>
      <c r="E1763" s="70" t="str">
        <f aca="false">IF($K1763="","",INDEX(Base!$G$5:$G$2004,$K1763))</f>
        <v/>
      </c>
      <c r="F1763" s="71" t="str">
        <f aca="false">IF($K1763="","",INDEX(Base!$H$5:$H$2004,$K1763))</f>
        <v/>
      </c>
      <c r="G1763" s="71" t="str">
        <f aca="false">IF($K1763="","",INDEX(Base!$I$5:$I$2004,$K1763))</f>
        <v/>
      </c>
      <c r="H1763" s="70" t="str">
        <f aca="false">IF($K1763="","",INDEX(Base!$J$5:$J$2004,$K1763))</f>
        <v/>
      </c>
      <c r="I1763" s="71" t="str">
        <f aca="false">IF($K1763="","",INDEX(Base!$L$5:$L$2004,$K1763))</f>
        <v/>
      </c>
      <c r="J1763" s="72" t="str">
        <f aca="false">IFERROR(SMALL(Base!$P$5:$P$2004,ROW()-5),"")</f>
        <v/>
      </c>
      <c r="K1763" s="72" t="str">
        <f aca="false">IF(J1763="","",MATCH(J1763,Base!$P$5:$P$2004,0))</f>
        <v/>
      </c>
    </row>
    <row r="1764" customFormat="false" ht="15" hidden="false" customHeight="false" outlineLevel="0" collapsed="false">
      <c r="A1764" s="67" t="str">
        <f aca="false">IF($K1764="","",ROW()-5)</f>
        <v/>
      </c>
      <c r="B1764" s="68" t="str">
        <f aca="false">IF($K1764="","",INDEX(Base!$E$5:$E$2004,$K1764))</f>
        <v/>
      </c>
      <c r="C1764" s="69" t="str">
        <f aca="false">IF($K1764="","",B1764)</f>
        <v/>
      </c>
      <c r="D1764" s="70" t="str">
        <f aca="false">IF($K1764="","",INDEX(Base!$F$5:$F$2004,$K1764))</f>
        <v/>
      </c>
      <c r="E1764" s="70" t="str">
        <f aca="false">IF($K1764="","",INDEX(Base!$G$5:$G$2004,$K1764))</f>
        <v/>
      </c>
      <c r="F1764" s="71" t="str">
        <f aca="false">IF($K1764="","",INDEX(Base!$H$5:$H$2004,$K1764))</f>
        <v/>
      </c>
      <c r="G1764" s="71" t="str">
        <f aca="false">IF($K1764="","",INDEX(Base!$I$5:$I$2004,$K1764))</f>
        <v/>
      </c>
      <c r="H1764" s="70" t="str">
        <f aca="false">IF($K1764="","",INDEX(Base!$J$5:$J$2004,$K1764))</f>
        <v/>
      </c>
      <c r="I1764" s="71" t="str">
        <f aca="false">IF($K1764="","",INDEX(Base!$L$5:$L$2004,$K1764))</f>
        <v/>
      </c>
      <c r="J1764" s="72" t="str">
        <f aca="false">IFERROR(SMALL(Base!$P$5:$P$2004,ROW()-5),"")</f>
        <v/>
      </c>
      <c r="K1764" s="72" t="str">
        <f aca="false">IF(J1764="","",MATCH(J1764,Base!$P$5:$P$2004,0))</f>
        <v/>
      </c>
    </row>
    <row r="1765" customFormat="false" ht="15" hidden="false" customHeight="false" outlineLevel="0" collapsed="false">
      <c r="A1765" s="67" t="str">
        <f aca="false">IF($K1765="","",ROW()-5)</f>
        <v/>
      </c>
      <c r="B1765" s="68" t="str">
        <f aca="false">IF($K1765="","",INDEX(Base!$E$5:$E$2004,$K1765))</f>
        <v/>
      </c>
      <c r="C1765" s="69" t="str">
        <f aca="false">IF($K1765="","",B1765)</f>
        <v/>
      </c>
      <c r="D1765" s="70" t="str">
        <f aca="false">IF($K1765="","",INDEX(Base!$F$5:$F$2004,$K1765))</f>
        <v/>
      </c>
      <c r="E1765" s="70" t="str">
        <f aca="false">IF($K1765="","",INDEX(Base!$G$5:$G$2004,$K1765))</f>
        <v/>
      </c>
      <c r="F1765" s="71" t="str">
        <f aca="false">IF($K1765="","",INDEX(Base!$H$5:$H$2004,$K1765))</f>
        <v/>
      </c>
      <c r="G1765" s="71" t="str">
        <f aca="false">IF($K1765="","",INDEX(Base!$I$5:$I$2004,$K1765))</f>
        <v/>
      </c>
      <c r="H1765" s="70" t="str">
        <f aca="false">IF($K1765="","",INDEX(Base!$J$5:$J$2004,$K1765))</f>
        <v/>
      </c>
      <c r="I1765" s="71" t="str">
        <f aca="false">IF($K1765="","",INDEX(Base!$L$5:$L$2004,$K1765))</f>
        <v/>
      </c>
      <c r="J1765" s="72" t="str">
        <f aca="false">IFERROR(SMALL(Base!$P$5:$P$2004,ROW()-5),"")</f>
        <v/>
      </c>
      <c r="K1765" s="72" t="str">
        <f aca="false">IF(J1765="","",MATCH(J1765,Base!$P$5:$P$2004,0))</f>
        <v/>
      </c>
    </row>
    <row r="1766" customFormat="false" ht="15" hidden="false" customHeight="false" outlineLevel="0" collapsed="false">
      <c r="A1766" s="67" t="str">
        <f aca="false">IF($K1766="","",ROW()-5)</f>
        <v/>
      </c>
      <c r="B1766" s="68" t="str">
        <f aca="false">IF($K1766="","",INDEX(Base!$E$5:$E$2004,$K1766))</f>
        <v/>
      </c>
      <c r="C1766" s="69" t="str">
        <f aca="false">IF($K1766="","",B1766)</f>
        <v/>
      </c>
      <c r="D1766" s="70" t="str">
        <f aca="false">IF($K1766="","",INDEX(Base!$F$5:$F$2004,$K1766))</f>
        <v/>
      </c>
      <c r="E1766" s="70" t="str">
        <f aca="false">IF($K1766="","",INDEX(Base!$G$5:$G$2004,$K1766))</f>
        <v/>
      </c>
      <c r="F1766" s="71" t="str">
        <f aca="false">IF($K1766="","",INDEX(Base!$H$5:$H$2004,$K1766))</f>
        <v/>
      </c>
      <c r="G1766" s="71" t="str">
        <f aca="false">IF($K1766="","",INDEX(Base!$I$5:$I$2004,$K1766))</f>
        <v/>
      </c>
      <c r="H1766" s="70" t="str">
        <f aca="false">IF($K1766="","",INDEX(Base!$J$5:$J$2004,$K1766))</f>
        <v/>
      </c>
      <c r="I1766" s="71" t="str">
        <f aca="false">IF($K1766="","",INDEX(Base!$L$5:$L$2004,$K1766))</f>
        <v/>
      </c>
      <c r="J1766" s="72" t="str">
        <f aca="false">IFERROR(SMALL(Base!$P$5:$P$2004,ROW()-5),"")</f>
        <v/>
      </c>
      <c r="K1766" s="72" t="str">
        <f aca="false">IF(J1766="","",MATCH(J1766,Base!$P$5:$P$2004,0))</f>
        <v/>
      </c>
    </row>
    <row r="1767" customFormat="false" ht="15" hidden="false" customHeight="false" outlineLevel="0" collapsed="false">
      <c r="A1767" s="67" t="str">
        <f aca="false">IF($K1767="","",ROW()-5)</f>
        <v/>
      </c>
      <c r="B1767" s="68" t="str">
        <f aca="false">IF($K1767="","",INDEX(Base!$E$5:$E$2004,$K1767))</f>
        <v/>
      </c>
      <c r="C1767" s="69" t="str">
        <f aca="false">IF($K1767="","",B1767)</f>
        <v/>
      </c>
      <c r="D1767" s="70" t="str">
        <f aca="false">IF($K1767="","",INDEX(Base!$F$5:$F$2004,$K1767))</f>
        <v/>
      </c>
      <c r="E1767" s="70" t="str">
        <f aca="false">IF($K1767="","",INDEX(Base!$G$5:$G$2004,$K1767))</f>
        <v/>
      </c>
      <c r="F1767" s="71" t="str">
        <f aca="false">IF($K1767="","",INDEX(Base!$H$5:$H$2004,$K1767))</f>
        <v/>
      </c>
      <c r="G1767" s="71" t="str">
        <f aca="false">IF($K1767="","",INDEX(Base!$I$5:$I$2004,$K1767))</f>
        <v/>
      </c>
      <c r="H1767" s="70" t="str">
        <f aca="false">IF($K1767="","",INDEX(Base!$J$5:$J$2004,$K1767))</f>
        <v/>
      </c>
      <c r="I1767" s="71" t="str">
        <f aca="false">IF($K1767="","",INDEX(Base!$L$5:$L$2004,$K1767))</f>
        <v/>
      </c>
      <c r="J1767" s="72" t="str">
        <f aca="false">IFERROR(SMALL(Base!$P$5:$P$2004,ROW()-5),"")</f>
        <v/>
      </c>
      <c r="K1767" s="72" t="str">
        <f aca="false">IF(J1767="","",MATCH(J1767,Base!$P$5:$P$2004,0))</f>
        <v/>
      </c>
    </row>
    <row r="1768" customFormat="false" ht="15" hidden="false" customHeight="false" outlineLevel="0" collapsed="false">
      <c r="A1768" s="67" t="str">
        <f aca="false">IF($K1768="","",ROW()-5)</f>
        <v/>
      </c>
      <c r="B1768" s="68" t="str">
        <f aca="false">IF($K1768="","",INDEX(Base!$E$5:$E$2004,$K1768))</f>
        <v/>
      </c>
      <c r="C1768" s="69" t="str">
        <f aca="false">IF($K1768="","",B1768)</f>
        <v/>
      </c>
      <c r="D1768" s="70" t="str">
        <f aca="false">IF($K1768="","",INDEX(Base!$F$5:$F$2004,$K1768))</f>
        <v/>
      </c>
      <c r="E1768" s="70" t="str">
        <f aca="false">IF($K1768="","",INDEX(Base!$G$5:$G$2004,$K1768))</f>
        <v/>
      </c>
      <c r="F1768" s="71" t="str">
        <f aca="false">IF($K1768="","",INDEX(Base!$H$5:$H$2004,$K1768))</f>
        <v/>
      </c>
      <c r="G1768" s="71" t="str">
        <f aca="false">IF($K1768="","",INDEX(Base!$I$5:$I$2004,$K1768))</f>
        <v/>
      </c>
      <c r="H1768" s="70" t="str">
        <f aca="false">IF($K1768="","",INDEX(Base!$J$5:$J$2004,$K1768))</f>
        <v/>
      </c>
      <c r="I1768" s="71" t="str">
        <f aca="false">IF($K1768="","",INDEX(Base!$L$5:$L$2004,$K1768))</f>
        <v/>
      </c>
      <c r="J1768" s="72" t="str">
        <f aca="false">IFERROR(SMALL(Base!$P$5:$P$2004,ROW()-5),"")</f>
        <v/>
      </c>
      <c r="K1768" s="72" t="str">
        <f aca="false">IF(J1768="","",MATCH(J1768,Base!$P$5:$P$2004,0))</f>
        <v/>
      </c>
    </row>
    <row r="1769" customFormat="false" ht="15" hidden="false" customHeight="false" outlineLevel="0" collapsed="false">
      <c r="A1769" s="67" t="str">
        <f aca="false">IF($K1769="","",ROW()-5)</f>
        <v/>
      </c>
      <c r="B1769" s="68" t="str">
        <f aca="false">IF($K1769="","",INDEX(Base!$E$5:$E$2004,$K1769))</f>
        <v/>
      </c>
      <c r="C1769" s="69" t="str">
        <f aca="false">IF($K1769="","",B1769)</f>
        <v/>
      </c>
      <c r="D1769" s="70" t="str">
        <f aca="false">IF($K1769="","",INDEX(Base!$F$5:$F$2004,$K1769))</f>
        <v/>
      </c>
      <c r="E1769" s="70" t="str">
        <f aca="false">IF($K1769="","",INDEX(Base!$G$5:$G$2004,$K1769))</f>
        <v/>
      </c>
      <c r="F1769" s="71" t="str">
        <f aca="false">IF($K1769="","",INDEX(Base!$H$5:$H$2004,$K1769))</f>
        <v/>
      </c>
      <c r="G1769" s="71" t="str">
        <f aca="false">IF($K1769="","",INDEX(Base!$I$5:$I$2004,$K1769))</f>
        <v/>
      </c>
      <c r="H1769" s="70" t="str">
        <f aca="false">IF($K1769="","",INDEX(Base!$J$5:$J$2004,$K1769))</f>
        <v/>
      </c>
      <c r="I1769" s="71" t="str">
        <f aca="false">IF($K1769="","",INDEX(Base!$L$5:$L$2004,$K1769))</f>
        <v/>
      </c>
      <c r="J1769" s="72" t="str">
        <f aca="false">IFERROR(SMALL(Base!$P$5:$P$2004,ROW()-5),"")</f>
        <v/>
      </c>
      <c r="K1769" s="72" t="str">
        <f aca="false">IF(J1769="","",MATCH(J1769,Base!$P$5:$P$2004,0))</f>
        <v/>
      </c>
    </row>
    <row r="1770" customFormat="false" ht="15" hidden="false" customHeight="false" outlineLevel="0" collapsed="false">
      <c r="A1770" s="67" t="str">
        <f aca="false">IF($K1770="","",ROW()-5)</f>
        <v/>
      </c>
      <c r="B1770" s="68" t="str">
        <f aca="false">IF($K1770="","",INDEX(Base!$E$5:$E$2004,$K1770))</f>
        <v/>
      </c>
      <c r="C1770" s="69" t="str">
        <f aca="false">IF($K1770="","",B1770)</f>
        <v/>
      </c>
      <c r="D1770" s="70" t="str">
        <f aca="false">IF($K1770="","",INDEX(Base!$F$5:$F$2004,$K1770))</f>
        <v/>
      </c>
      <c r="E1770" s="70" t="str">
        <f aca="false">IF($K1770="","",INDEX(Base!$G$5:$G$2004,$K1770))</f>
        <v/>
      </c>
      <c r="F1770" s="71" t="str">
        <f aca="false">IF($K1770="","",INDEX(Base!$H$5:$H$2004,$K1770))</f>
        <v/>
      </c>
      <c r="G1770" s="71" t="str">
        <f aca="false">IF($K1770="","",INDEX(Base!$I$5:$I$2004,$K1770))</f>
        <v/>
      </c>
      <c r="H1770" s="70" t="str">
        <f aca="false">IF($K1770="","",INDEX(Base!$J$5:$J$2004,$K1770))</f>
        <v/>
      </c>
      <c r="I1770" s="71" t="str">
        <f aca="false">IF($K1770="","",INDEX(Base!$L$5:$L$2004,$K1770))</f>
        <v/>
      </c>
      <c r="J1770" s="72" t="str">
        <f aca="false">IFERROR(SMALL(Base!$P$5:$P$2004,ROW()-5),"")</f>
        <v/>
      </c>
      <c r="K1770" s="72" t="str">
        <f aca="false">IF(J1770="","",MATCH(J1770,Base!$P$5:$P$2004,0))</f>
        <v/>
      </c>
    </row>
    <row r="1771" customFormat="false" ht="15" hidden="false" customHeight="false" outlineLevel="0" collapsed="false">
      <c r="A1771" s="67" t="str">
        <f aca="false">IF($K1771="","",ROW()-5)</f>
        <v/>
      </c>
      <c r="B1771" s="68" t="str">
        <f aca="false">IF($K1771="","",INDEX(Base!$E$5:$E$2004,$K1771))</f>
        <v/>
      </c>
      <c r="C1771" s="69" t="str">
        <f aca="false">IF($K1771="","",B1771)</f>
        <v/>
      </c>
      <c r="D1771" s="70" t="str">
        <f aca="false">IF($K1771="","",INDEX(Base!$F$5:$F$2004,$K1771))</f>
        <v/>
      </c>
      <c r="E1771" s="70" t="str">
        <f aca="false">IF($K1771="","",INDEX(Base!$G$5:$G$2004,$K1771))</f>
        <v/>
      </c>
      <c r="F1771" s="71" t="str">
        <f aca="false">IF($K1771="","",INDEX(Base!$H$5:$H$2004,$K1771))</f>
        <v/>
      </c>
      <c r="G1771" s="71" t="str">
        <f aca="false">IF($K1771="","",INDEX(Base!$I$5:$I$2004,$K1771))</f>
        <v/>
      </c>
      <c r="H1771" s="70" t="str">
        <f aca="false">IF($K1771="","",INDEX(Base!$J$5:$J$2004,$K1771))</f>
        <v/>
      </c>
      <c r="I1771" s="71" t="str">
        <f aca="false">IF($K1771="","",INDEX(Base!$L$5:$L$2004,$K1771))</f>
        <v/>
      </c>
      <c r="J1771" s="72" t="str">
        <f aca="false">IFERROR(SMALL(Base!$P$5:$P$2004,ROW()-5),"")</f>
        <v/>
      </c>
      <c r="K1771" s="72" t="str">
        <f aca="false">IF(J1771="","",MATCH(J1771,Base!$P$5:$P$2004,0))</f>
        <v/>
      </c>
    </row>
    <row r="1772" customFormat="false" ht="15" hidden="false" customHeight="false" outlineLevel="0" collapsed="false">
      <c r="A1772" s="67" t="str">
        <f aca="false">IF($K1772="","",ROW()-5)</f>
        <v/>
      </c>
      <c r="B1772" s="68" t="str">
        <f aca="false">IF($K1772="","",INDEX(Base!$E$5:$E$2004,$K1772))</f>
        <v/>
      </c>
      <c r="C1772" s="69" t="str">
        <f aca="false">IF($K1772="","",B1772)</f>
        <v/>
      </c>
      <c r="D1772" s="70" t="str">
        <f aca="false">IF($K1772="","",INDEX(Base!$F$5:$F$2004,$K1772))</f>
        <v/>
      </c>
      <c r="E1772" s="70" t="str">
        <f aca="false">IF($K1772="","",INDEX(Base!$G$5:$G$2004,$K1772))</f>
        <v/>
      </c>
      <c r="F1772" s="71" t="str">
        <f aca="false">IF($K1772="","",INDEX(Base!$H$5:$H$2004,$K1772))</f>
        <v/>
      </c>
      <c r="G1772" s="71" t="str">
        <f aca="false">IF($K1772="","",INDEX(Base!$I$5:$I$2004,$K1772))</f>
        <v/>
      </c>
      <c r="H1772" s="70" t="str">
        <f aca="false">IF($K1772="","",INDEX(Base!$J$5:$J$2004,$K1772))</f>
        <v/>
      </c>
      <c r="I1772" s="71" t="str">
        <f aca="false">IF($K1772="","",INDEX(Base!$L$5:$L$2004,$K1772))</f>
        <v/>
      </c>
      <c r="J1772" s="72" t="str">
        <f aca="false">IFERROR(SMALL(Base!$P$5:$P$2004,ROW()-5),"")</f>
        <v/>
      </c>
      <c r="K1772" s="72" t="str">
        <f aca="false">IF(J1772="","",MATCH(J1772,Base!$P$5:$P$2004,0))</f>
        <v/>
      </c>
    </row>
    <row r="1773" customFormat="false" ht="15" hidden="false" customHeight="false" outlineLevel="0" collapsed="false">
      <c r="A1773" s="67" t="str">
        <f aca="false">IF($K1773="","",ROW()-5)</f>
        <v/>
      </c>
      <c r="B1773" s="68" t="str">
        <f aca="false">IF($K1773="","",INDEX(Base!$E$5:$E$2004,$K1773))</f>
        <v/>
      </c>
      <c r="C1773" s="69" t="str">
        <f aca="false">IF($K1773="","",B1773)</f>
        <v/>
      </c>
      <c r="D1773" s="70" t="str">
        <f aca="false">IF($K1773="","",INDEX(Base!$F$5:$F$2004,$K1773))</f>
        <v/>
      </c>
      <c r="E1773" s="70" t="str">
        <f aca="false">IF($K1773="","",INDEX(Base!$G$5:$G$2004,$K1773))</f>
        <v/>
      </c>
      <c r="F1773" s="71" t="str">
        <f aca="false">IF($K1773="","",INDEX(Base!$H$5:$H$2004,$K1773))</f>
        <v/>
      </c>
      <c r="G1773" s="71" t="str">
        <f aca="false">IF($K1773="","",INDEX(Base!$I$5:$I$2004,$K1773))</f>
        <v/>
      </c>
      <c r="H1773" s="70" t="str">
        <f aca="false">IF($K1773="","",INDEX(Base!$J$5:$J$2004,$K1773))</f>
        <v/>
      </c>
      <c r="I1773" s="71" t="str">
        <f aca="false">IF($K1773="","",INDEX(Base!$L$5:$L$2004,$K1773))</f>
        <v/>
      </c>
      <c r="J1773" s="72" t="str">
        <f aca="false">IFERROR(SMALL(Base!$P$5:$P$2004,ROW()-5),"")</f>
        <v/>
      </c>
      <c r="K1773" s="72" t="str">
        <f aca="false">IF(J1773="","",MATCH(J1773,Base!$P$5:$P$2004,0))</f>
        <v/>
      </c>
    </row>
    <row r="1774" customFormat="false" ht="15" hidden="false" customHeight="false" outlineLevel="0" collapsed="false">
      <c r="A1774" s="67" t="str">
        <f aca="false">IF($K1774="","",ROW()-5)</f>
        <v/>
      </c>
      <c r="B1774" s="68" t="str">
        <f aca="false">IF($K1774="","",INDEX(Base!$E$5:$E$2004,$K1774))</f>
        <v/>
      </c>
      <c r="C1774" s="69" t="str">
        <f aca="false">IF($K1774="","",B1774)</f>
        <v/>
      </c>
      <c r="D1774" s="70" t="str">
        <f aca="false">IF($K1774="","",INDEX(Base!$F$5:$F$2004,$K1774))</f>
        <v/>
      </c>
      <c r="E1774" s="70" t="str">
        <f aca="false">IF($K1774="","",INDEX(Base!$G$5:$G$2004,$K1774))</f>
        <v/>
      </c>
      <c r="F1774" s="71" t="str">
        <f aca="false">IF($K1774="","",INDEX(Base!$H$5:$H$2004,$K1774))</f>
        <v/>
      </c>
      <c r="G1774" s="71" t="str">
        <f aca="false">IF($K1774="","",INDEX(Base!$I$5:$I$2004,$K1774))</f>
        <v/>
      </c>
      <c r="H1774" s="70" t="str">
        <f aca="false">IF($K1774="","",INDEX(Base!$J$5:$J$2004,$K1774))</f>
        <v/>
      </c>
      <c r="I1774" s="71" t="str">
        <f aca="false">IF($K1774="","",INDEX(Base!$L$5:$L$2004,$K1774))</f>
        <v/>
      </c>
      <c r="J1774" s="72" t="str">
        <f aca="false">IFERROR(SMALL(Base!$P$5:$P$2004,ROW()-5),"")</f>
        <v/>
      </c>
      <c r="K1774" s="72" t="str">
        <f aca="false">IF(J1774="","",MATCH(J1774,Base!$P$5:$P$2004,0))</f>
        <v/>
      </c>
    </row>
    <row r="1775" customFormat="false" ht="15" hidden="false" customHeight="false" outlineLevel="0" collapsed="false">
      <c r="A1775" s="67" t="str">
        <f aca="false">IF($K1775="","",ROW()-5)</f>
        <v/>
      </c>
      <c r="B1775" s="68" t="str">
        <f aca="false">IF($K1775="","",INDEX(Base!$E$5:$E$2004,$K1775))</f>
        <v/>
      </c>
      <c r="C1775" s="69" t="str">
        <f aca="false">IF($K1775="","",B1775)</f>
        <v/>
      </c>
      <c r="D1775" s="70" t="str">
        <f aca="false">IF($K1775="","",INDEX(Base!$F$5:$F$2004,$K1775))</f>
        <v/>
      </c>
      <c r="E1775" s="70" t="str">
        <f aca="false">IF($K1775="","",INDEX(Base!$G$5:$G$2004,$K1775))</f>
        <v/>
      </c>
      <c r="F1775" s="71" t="str">
        <f aca="false">IF($K1775="","",INDEX(Base!$H$5:$H$2004,$K1775))</f>
        <v/>
      </c>
      <c r="G1775" s="71" t="str">
        <f aca="false">IF($K1775="","",INDEX(Base!$I$5:$I$2004,$K1775))</f>
        <v/>
      </c>
      <c r="H1775" s="70" t="str">
        <f aca="false">IF($K1775="","",INDEX(Base!$J$5:$J$2004,$K1775))</f>
        <v/>
      </c>
      <c r="I1775" s="71" t="str">
        <f aca="false">IF($K1775="","",INDEX(Base!$L$5:$L$2004,$K1775))</f>
        <v/>
      </c>
      <c r="J1775" s="72" t="str">
        <f aca="false">IFERROR(SMALL(Base!$P$5:$P$2004,ROW()-5),"")</f>
        <v/>
      </c>
      <c r="K1775" s="72" t="str">
        <f aca="false">IF(J1775="","",MATCH(J1775,Base!$P$5:$P$2004,0))</f>
        <v/>
      </c>
    </row>
    <row r="1776" customFormat="false" ht="15" hidden="false" customHeight="false" outlineLevel="0" collapsed="false">
      <c r="A1776" s="67" t="str">
        <f aca="false">IF($K1776="","",ROW()-5)</f>
        <v/>
      </c>
      <c r="B1776" s="68" t="str">
        <f aca="false">IF($K1776="","",INDEX(Base!$E$5:$E$2004,$K1776))</f>
        <v/>
      </c>
      <c r="C1776" s="69" t="str">
        <f aca="false">IF($K1776="","",B1776)</f>
        <v/>
      </c>
      <c r="D1776" s="70" t="str">
        <f aca="false">IF($K1776="","",INDEX(Base!$F$5:$F$2004,$K1776))</f>
        <v/>
      </c>
      <c r="E1776" s="70" t="str">
        <f aca="false">IF($K1776="","",INDEX(Base!$G$5:$G$2004,$K1776))</f>
        <v/>
      </c>
      <c r="F1776" s="71" t="str">
        <f aca="false">IF($K1776="","",INDEX(Base!$H$5:$H$2004,$K1776))</f>
        <v/>
      </c>
      <c r="G1776" s="71" t="str">
        <f aca="false">IF($K1776="","",INDEX(Base!$I$5:$I$2004,$K1776))</f>
        <v/>
      </c>
      <c r="H1776" s="70" t="str">
        <f aca="false">IF($K1776="","",INDEX(Base!$J$5:$J$2004,$K1776))</f>
        <v/>
      </c>
      <c r="I1776" s="71" t="str">
        <f aca="false">IF($K1776="","",INDEX(Base!$L$5:$L$2004,$K1776))</f>
        <v/>
      </c>
      <c r="J1776" s="72" t="str">
        <f aca="false">IFERROR(SMALL(Base!$P$5:$P$2004,ROW()-5),"")</f>
        <v/>
      </c>
      <c r="K1776" s="72" t="str">
        <f aca="false">IF(J1776="","",MATCH(J1776,Base!$P$5:$P$2004,0))</f>
        <v/>
      </c>
    </row>
    <row r="1777" customFormat="false" ht="15" hidden="false" customHeight="false" outlineLevel="0" collapsed="false">
      <c r="A1777" s="67" t="str">
        <f aca="false">IF($K1777="","",ROW()-5)</f>
        <v/>
      </c>
      <c r="B1777" s="68" t="str">
        <f aca="false">IF($K1777="","",INDEX(Base!$E$5:$E$2004,$K1777))</f>
        <v/>
      </c>
      <c r="C1777" s="69" t="str">
        <f aca="false">IF($K1777="","",B1777)</f>
        <v/>
      </c>
      <c r="D1777" s="70" t="str">
        <f aca="false">IF($K1777="","",INDEX(Base!$F$5:$F$2004,$K1777))</f>
        <v/>
      </c>
      <c r="E1777" s="70" t="str">
        <f aca="false">IF($K1777="","",INDEX(Base!$G$5:$G$2004,$K1777))</f>
        <v/>
      </c>
      <c r="F1777" s="71" t="str">
        <f aca="false">IF($K1777="","",INDEX(Base!$H$5:$H$2004,$K1777))</f>
        <v/>
      </c>
      <c r="G1777" s="71" t="str">
        <f aca="false">IF($K1777="","",INDEX(Base!$I$5:$I$2004,$K1777))</f>
        <v/>
      </c>
      <c r="H1777" s="70" t="str">
        <f aca="false">IF($K1777="","",INDEX(Base!$J$5:$J$2004,$K1777))</f>
        <v/>
      </c>
      <c r="I1777" s="71" t="str">
        <f aca="false">IF($K1777="","",INDEX(Base!$L$5:$L$2004,$K1777))</f>
        <v/>
      </c>
      <c r="J1777" s="72" t="str">
        <f aca="false">IFERROR(SMALL(Base!$P$5:$P$2004,ROW()-5),"")</f>
        <v/>
      </c>
      <c r="K1777" s="72" t="str">
        <f aca="false">IF(J1777="","",MATCH(J1777,Base!$P$5:$P$2004,0))</f>
        <v/>
      </c>
    </row>
    <row r="1778" customFormat="false" ht="15" hidden="false" customHeight="false" outlineLevel="0" collapsed="false">
      <c r="A1778" s="67" t="str">
        <f aca="false">IF($K1778="","",ROW()-5)</f>
        <v/>
      </c>
      <c r="B1778" s="68" t="str">
        <f aca="false">IF($K1778="","",INDEX(Base!$E$5:$E$2004,$K1778))</f>
        <v/>
      </c>
      <c r="C1778" s="69" t="str">
        <f aca="false">IF($K1778="","",B1778)</f>
        <v/>
      </c>
      <c r="D1778" s="70" t="str">
        <f aca="false">IF($K1778="","",INDEX(Base!$F$5:$F$2004,$K1778))</f>
        <v/>
      </c>
      <c r="E1778" s="70" t="str">
        <f aca="false">IF($K1778="","",INDEX(Base!$G$5:$G$2004,$K1778))</f>
        <v/>
      </c>
      <c r="F1778" s="71" t="str">
        <f aca="false">IF($K1778="","",INDEX(Base!$H$5:$H$2004,$K1778))</f>
        <v/>
      </c>
      <c r="G1778" s="71" t="str">
        <f aca="false">IF($K1778="","",INDEX(Base!$I$5:$I$2004,$K1778))</f>
        <v/>
      </c>
      <c r="H1778" s="70" t="str">
        <f aca="false">IF($K1778="","",INDEX(Base!$J$5:$J$2004,$K1778))</f>
        <v/>
      </c>
      <c r="I1778" s="71" t="str">
        <f aca="false">IF($K1778="","",INDEX(Base!$L$5:$L$2004,$K1778))</f>
        <v/>
      </c>
      <c r="J1778" s="72" t="str">
        <f aca="false">IFERROR(SMALL(Base!$P$5:$P$2004,ROW()-5),"")</f>
        <v/>
      </c>
      <c r="K1778" s="72" t="str">
        <f aca="false">IF(J1778="","",MATCH(J1778,Base!$P$5:$P$2004,0))</f>
        <v/>
      </c>
    </row>
    <row r="1779" customFormat="false" ht="15" hidden="false" customHeight="false" outlineLevel="0" collapsed="false">
      <c r="A1779" s="67" t="str">
        <f aca="false">IF($K1779="","",ROW()-5)</f>
        <v/>
      </c>
      <c r="B1779" s="68" t="str">
        <f aca="false">IF($K1779="","",INDEX(Base!$E$5:$E$2004,$K1779))</f>
        <v/>
      </c>
      <c r="C1779" s="69" t="str">
        <f aca="false">IF($K1779="","",B1779)</f>
        <v/>
      </c>
      <c r="D1779" s="70" t="str">
        <f aca="false">IF($K1779="","",INDEX(Base!$F$5:$F$2004,$K1779))</f>
        <v/>
      </c>
      <c r="E1779" s="70" t="str">
        <f aca="false">IF($K1779="","",INDEX(Base!$G$5:$G$2004,$K1779))</f>
        <v/>
      </c>
      <c r="F1779" s="71" t="str">
        <f aca="false">IF($K1779="","",INDEX(Base!$H$5:$H$2004,$K1779))</f>
        <v/>
      </c>
      <c r="G1779" s="71" t="str">
        <f aca="false">IF($K1779="","",INDEX(Base!$I$5:$I$2004,$K1779))</f>
        <v/>
      </c>
      <c r="H1779" s="70" t="str">
        <f aca="false">IF($K1779="","",INDEX(Base!$J$5:$J$2004,$K1779))</f>
        <v/>
      </c>
      <c r="I1779" s="71" t="str">
        <f aca="false">IF($K1779="","",INDEX(Base!$L$5:$L$2004,$K1779))</f>
        <v/>
      </c>
      <c r="J1779" s="72" t="str">
        <f aca="false">IFERROR(SMALL(Base!$P$5:$P$2004,ROW()-5),"")</f>
        <v/>
      </c>
      <c r="K1779" s="72" t="str">
        <f aca="false">IF(J1779="","",MATCH(J1779,Base!$P$5:$P$2004,0))</f>
        <v/>
      </c>
    </row>
    <row r="1780" customFormat="false" ht="15" hidden="false" customHeight="false" outlineLevel="0" collapsed="false">
      <c r="A1780" s="67" t="str">
        <f aca="false">IF($K1780="","",ROW()-5)</f>
        <v/>
      </c>
      <c r="B1780" s="68" t="str">
        <f aca="false">IF($K1780="","",INDEX(Base!$E$5:$E$2004,$K1780))</f>
        <v/>
      </c>
      <c r="C1780" s="69" t="str">
        <f aca="false">IF($K1780="","",B1780)</f>
        <v/>
      </c>
      <c r="D1780" s="70" t="str">
        <f aca="false">IF($K1780="","",INDEX(Base!$F$5:$F$2004,$K1780))</f>
        <v/>
      </c>
      <c r="E1780" s="70" t="str">
        <f aca="false">IF($K1780="","",INDEX(Base!$G$5:$G$2004,$K1780))</f>
        <v/>
      </c>
      <c r="F1780" s="71" t="str">
        <f aca="false">IF($K1780="","",INDEX(Base!$H$5:$H$2004,$K1780))</f>
        <v/>
      </c>
      <c r="G1780" s="71" t="str">
        <f aca="false">IF($K1780="","",INDEX(Base!$I$5:$I$2004,$K1780))</f>
        <v/>
      </c>
      <c r="H1780" s="70" t="str">
        <f aca="false">IF($K1780="","",INDEX(Base!$J$5:$J$2004,$K1780))</f>
        <v/>
      </c>
      <c r="I1780" s="71" t="str">
        <f aca="false">IF($K1780="","",INDEX(Base!$L$5:$L$2004,$K1780))</f>
        <v/>
      </c>
      <c r="J1780" s="72" t="str">
        <f aca="false">IFERROR(SMALL(Base!$P$5:$P$2004,ROW()-5),"")</f>
        <v/>
      </c>
      <c r="K1780" s="72" t="str">
        <f aca="false">IF(J1780="","",MATCH(J1780,Base!$P$5:$P$2004,0))</f>
        <v/>
      </c>
    </row>
    <row r="1781" customFormat="false" ht="15" hidden="false" customHeight="false" outlineLevel="0" collapsed="false">
      <c r="A1781" s="67" t="str">
        <f aca="false">IF($K1781="","",ROW()-5)</f>
        <v/>
      </c>
      <c r="B1781" s="68" t="str">
        <f aca="false">IF($K1781="","",INDEX(Base!$E$5:$E$2004,$K1781))</f>
        <v/>
      </c>
      <c r="C1781" s="69" t="str">
        <f aca="false">IF($K1781="","",B1781)</f>
        <v/>
      </c>
      <c r="D1781" s="70" t="str">
        <f aca="false">IF($K1781="","",INDEX(Base!$F$5:$F$2004,$K1781))</f>
        <v/>
      </c>
      <c r="E1781" s="70" t="str">
        <f aca="false">IF($K1781="","",INDEX(Base!$G$5:$G$2004,$K1781))</f>
        <v/>
      </c>
      <c r="F1781" s="71" t="str">
        <f aca="false">IF($K1781="","",INDEX(Base!$H$5:$H$2004,$K1781))</f>
        <v/>
      </c>
      <c r="G1781" s="71" t="str">
        <f aca="false">IF($K1781="","",INDEX(Base!$I$5:$I$2004,$K1781))</f>
        <v/>
      </c>
      <c r="H1781" s="70" t="str">
        <f aca="false">IF($K1781="","",INDEX(Base!$J$5:$J$2004,$K1781))</f>
        <v/>
      </c>
      <c r="I1781" s="71" t="str">
        <f aca="false">IF($K1781="","",INDEX(Base!$L$5:$L$2004,$K1781))</f>
        <v/>
      </c>
      <c r="J1781" s="72" t="str">
        <f aca="false">IFERROR(SMALL(Base!$P$5:$P$2004,ROW()-5),"")</f>
        <v/>
      </c>
      <c r="K1781" s="72" t="str">
        <f aca="false">IF(J1781="","",MATCH(J1781,Base!$P$5:$P$2004,0))</f>
        <v/>
      </c>
    </row>
    <row r="1782" customFormat="false" ht="15" hidden="false" customHeight="false" outlineLevel="0" collapsed="false">
      <c r="A1782" s="67" t="str">
        <f aca="false">IF($K1782="","",ROW()-5)</f>
        <v/>
      </c>
      <c r="B1782" s="68" t="str">
        <f aca="false">IF($K1782="","",INDEX(Base!$E$5:$E$2004,$K1782))</f>
        <v/>
      </c>
      <c r="C1782" s="69" t="str">
        <f aca="false">IF($K1782="","",B1782)</f>
        <v/>
      </c>
      <c r="D1782" s="70" t="str">
        <f aca="false">IF($K1782="","",INDEX(Base!$F$5:$F$2004,$K1782))</f>
        <v/>
      </c>
      <c r="E1782" s="70" t="str">
        <f aca="false">IF($K1782="","",INDEX(Base!$G$5:$G$2004,$K1782))</f>
        <v/>
      </c>
      <c r="F1782" s="71" t="str">
        <f aca="false">IF($K1782="","",INDEX(Base!$H$5:$H$2004,$K1782))</f>
        <v/>
      </c>
      <c r="G1782" s="71" t="str">
        <f aca="false">IF($K1782="","",INDEX(Base!$I$5:$I$2004,$K1782))</f>
        <v/>
      </c>
      <c r="H1782" s="70" t="str">
        <f aca="false">IF($K1782="","",INDEX(Base!$J$5:$J$2004,$K1782))</f>
        <v/>
      </c>
      <c r="I1782" s="71" t="str">
        <f aca="false">IF($K1782="","",INDEX(Base!$L$5:$L$2004,$K1782))</f>
        <v/>
      </c>
      <c r="J1782" s="72" t="str">
        <f aca="false">IFERROR(SMALL(Base!$P$5:$P$2004,ROW()-5),"")</f>
        <v/>
      </c>
      <c r="K1782" s="72" t="str">
        <f aca="false">IF(J1782="","",MATCH(J1782,Base!$P$5:$P$2004,0))</f>
        <v/>
      </c>
    </row>
    <row r="1783" customFormat="false" ht="15" hidden="false" customHeight="false" outlineLevel="0" collapsed="false">
      <c r="A1783" s="67" t="str">
        <f aca="false">IF($K1783="","",ROW()-5)</f>
        <v/>
      </c>
      <c r="B1783" s="68" t="str">
        <f aca="false">IF($K1783="","",INDEX(Base!$E$5:$E$2004,$K1783))</f>
        <v/>
      </c>
      <c r="C1783" s="69" t="str">
        <f aca="false">IF($K1783="","",B1783)</f>
        <v/>
      </c>
      <c r="D1783" s="70" t="str">
        <f aca="false">IF($K1783="","",INDEX(Base!$F$5:$F$2004,$K1783))</f>
        <v/>
      </c>
      <c r="E1783" s="70" t="str">
        <f aca="false">IF($K1783="","",INDEX(Base!$G$5:$G$2004,$K1783))</f>
        <v/>
      </c>
      <c r="F1783" s="71" t="str">
        <f aca="false">IF($K1783="","",INDEX(Base!$H$5:$H$2004,$K1783))</f>
        <v/>
      </c>
      <c r="G1783" s="71" t="str">
        <f aca="false">IF($K1783="","",INDEX(Base!$I$5:$I$2004,$K1783))</f>
        <v/>
      </c>
      <c r="H1783" s="70" t="str">
        <f aca="false">IF($K1783="","",INDEX(Base!$J$5:$J$2004,$K1783))</f>
        <v/>
      </c>
      <c r="I1783" s="71" t="str">
        <f aca="false">IF($K1783="","",INDEX(Base!$L$5:$L$2004,$K1783))</f>
        <v/>
      </c>
      <c r="J1783" s="72" t="str">
        <f aca="false">IFERROR(SMALL(Base!$P$5:$P$2004,ROW()-5),"")</f>
        <v/>
      </c>
      <c r="K1783" s="72" t="str">
        <f aca="false">IF(J1783="","",MATCH(J1783,Base!$P$5:$P$2004,0))</f>
        <v/>
      </c>
    </row>
    <row r="1784" customFormat="false" ht="15" hidden="false" customHeight="false" outlineLevel="0" collapsed="false">
      <c r="A1784" s="67" t="str">
        <f aca="false">IF($K1784="","",ROW()-5)</f>
        <v/>
      </c>
      <c r="B1784" s="68" t="str">
        <f aca="false">IF($K1784="","",INDEX(Base!$E$5:$E$2004,$K1784))</f>
        <v/>
      </c>
      <c r="C1784" s="69" t="str">
        <f aca="false">IF($K1784="","",B1784)</f>
        <v/>
      </c>
      <c r="D1784" s="70" t="str">
        <f aca="false">IF($K1784="","",INDEX(Base!$F$5:$F$2004,$K1784))</f>
        <v/>
      </c>
      <c r="E1784" s="70" t="str">
        <f aca="false">IF($K1784="","",INDEX(Base!$G$5:$G$2004,$K1784))</f>
        <v/>
      </c>
      <c r="F1784" s="71" t="str">
        <f aca="false">IF($K1784="","",INDEX(Base!$H$5:$H$2004,$K1784))</f>
        <v/>
      </c>
      <c r="G1784" s="71" t="str">
        <f aca="false">IF($K1784="","",INDEX(Base!$I$5:$I$2004,$K1784))</f>
        <v/>
      </c>
      <c r="H1784" s="70" t="str">
        <f aca="false">IF($K1784="","",INDEX(Base!$J$5:$J$2004,$K1784))</f>
        <v/>
      </c>
      <c r="I1784" s="71" t="str">
        <f aca="false">IF($K1784="","",INDEX(Base!$L$5:$L$2004,$K1784))</f>
        <v/>
      </c>
      <c r="J1784" s="72" t="str">
        <f aca="false">IFERROR(SMALL(Base!$P$5:$P$2004,ROW()-5),"")</f>
        <v/>
      </c>
      <c r="K1784" s="72" t="str">
        <f aca="false">IF(J1784="","",MATCH(J1784,Base!$P$5:$P$2004,0))</f>
        <v/>
      </c>
    </row>
    <row r="1785" customFormat="false" ht="15" hidden="false" customHeight="false" outlineLevel="0" collapsed="false">
      <c r="A1785" s="67" t="str">
        <f aca="false">IF($K1785="","",ROW()-5)</f>
        <v/>
      </c>
      <c r="B1785" s="68" t="str">
        <f aca="false">IF($K1785="","",INDEX(Base!$E$5:$E$2004,$K1785))</f>
        <v/>
      </c>
      <c r="C1785" s="69" t="str">
        <f aca="false">IF($K1785="","",B1785)</f>
        <v/>
      </c>
      <c r="D1785" s="70" t="str">
        <f aca="false">IF($K1785="","",INDEX(Base!$F$5:$F$2004,$K1785))</f>
        <v/>
      </c>
      <c r="E1785" s="70" t="str">
        <f aca="false">IF($K1785="","",INDEX(Base!$G$5:$G$2004,$K1785))</f>
        <v/>
      </c>
      <c r="F1785" s="71" t="str">
        <f aca="false">IF($K1785="","",INDEX(Base!$H$5:$H$2004,$K1785))</f>
        <v/>
      </c>
      <c r="G1785" s="71" t="str">
        <f aca="false">IF($K1785="","",INDEX(Base!$I$5:$I$2004,$K1785))</f>
        <v/>
      </c>
      <c r="H1785" s="70" t="str">
        <f aca="false">IF($K1785="","",INDEX(Base!$J$5:$J$2004,$K1785))</f>
        <v/>
      </c>
      <c r="I1785" s="71" t="str">
        <f aca="false">IF($K1785="","",INDEX(Base!$L$5:$L$2004,$K1785))</f>
        <v/>
      </c>
      <c r="J1785" s="72" t="str">
        <f aca="false">IFERROR(SMALL(Base!$P$5:$P$2004,ROW()-5),"")</f>
        <v/>
      </c>
      <c r="K1785" s="72" t="str">
        <f aca="false">IF(J1785="","",MATCH(J1785,Base!$P$5:$P$2004,0))</f>
        <v/>
      </c>
    </row>
    <row r="1786" customFormat="false" ht="15" hidden="false" customHeight="false" outlineLevel="0" collapsed="false">
      <c r="A1786" s="67" t="str">
        <f aca="false">IF($K1786="","",ROW()-5)</f>
        <v/>
      </c>
      <c r="B1786" s="68" t="str">
        <f aca="false">IF($K1786="","",INDEX(Base!$E$5:$E$2004,$K1786))</f>
        <v/>
      </c>
      <c r="C1786" s="69" t="str">
        <f aca="false">IF($K1786="","",B1786)</f>
        <v/>
      </c>
      <c r="D1786" s="70" t="str">
        <f aca="false">IF($K1786="","",INDEX(Base!$F$5:$F$2004,$K1786))</f>
        <v/>
      </c>
      <c r="E1786" s="70" t="str">
        <f aca="false">IF($K1786="","",INDEX(Base!$G$5:$G$2004,$K1786))</f>
        <v/>
      </c>
      <c r="F1786" s="71" t="str">
        <f aca="false">IF($K1786="","",INDEX(Base!$H$5:$H$2004,$K1786))</f>
        <v/>
      </c>
      <c r="G1786" s="71" t="str">
        <f aca="false">IF($K1786="","",INDEX(Base!$I$5:$I$2004,$K1786))</f>
        <v/>
      </c>
      <c r="H1786" s="70" t="str">
        <f aca="false">IF($K1786="","",INDEX(Base!$J$5:$J$2004,$K1786))</f>
        <v/>
      </c>
      <c r="I1786" s="71" t="str">
        <f aca="false">IF($K1786="","",INDEX(Base!$L$5:$L$2004,$K1786))</f>
        <v/>
      </c>
      <c r="J1786" s="72" t="str">
        <f aca="false">IFERROR(SMALL(Base!$P$5:$P$2004,ROW()-5),"")</f>
        <v/>
      </c>
      <c r="K1786" s="72" t="str">
        <f aca="false">IF(J1786="","",MATCH(J1786,Base!$P$5:$P$2004,0))</f>
        <v/>
      </c>
    </row>
    <row r="1787" customFormat="false" ht="15" hidden="false" customHeight="false" outlineLevel="0" collapsed="false">
      <c r="A1787" s="67" t="str">
        <f aca="false">IF($K1787="","",ROW()-5)</f>
        <v/>
      </c>
      <c r="B1787" s="68" t="str">
        <f aca="false">IF($K1787="","",INDEX(Base!$E$5:$E$2004,$K1787))</f>
        <v/>
      </c>
      <c r="C1787" s="69" t="str">
        <f aca="false">IF($K1787="","",B1787)</f>
        <v/>
      </c>
      <c r="D1787" s="70" t="str">
        <f aca="false">IF($K1787="","",INDEX(Base!$F$5:$F$2004,$K1787))</f>
        <v/>
      </c>
      <c r="E1787" s="70" t="str">
        <f aca="false">IF($K1787="","",INDEX(Base!$G$5:$G$2004,$K1787))</f>
        <v/>
      </c>
      <c r="F1787" s="71" t="str">
        <f aca="false">IF($K1787="","",INDEX(Base!$H$5:$H$2004,$K1787))</f>
        <v/>
      </c>
      <c r="G1787" s="71" t="str">
        <f aca="false">IF($K1787="","",INDEX(Base!$I$5:$I$2004,$K1787))</f>
        <v/>
      </c>
      <c r="H1787" s="70" t="str">
        <f aca="false">IF($K1787="","",INDEX(Base!$J$5:$J$2004,$K1787))</f>
        <v/>
      </c>
      <c r="I1787" s="71" t="str">
        <f aca="false">IF($K1787="","",INDEX(Base!$L$5:$L$2004,$K1787))</f>
        <v/>
      </c>
      <c r="J1787" s="72" t="str">
        <f aca="false">IFERROR(SMALL(Base!$P$5:$P$2004,ROW()-5),"")</f>
        <v/>
      </c>
      <c r="K1787" s="72" t="str">
        <f aca="false">IF(J1787="","",MATCH(J1787,Base!$P$5:$P$2004,0))</f>
        <v/>
      </c>
    </row>
    <row r="1788" customFormat="false" ht="15" hidden="false" customHeight="false" outlineLevel="0" collapsed="false">
      <c r="A1788" s="67" t="str">
        <f aca="false">IF($K1788="","",ROW()-5)</f>
        <v/>
      </c>
      <c r="B1788" s="68" t="str">
        <f aca="false">IF($K1788="","",INDEX(Base!$E$5:$E$2004,$K1788))</f>
        <v/>
      </c>
      <c r="C1788" s="69" t="str">
        <f aca="false">IF($K1788="","",B1788)</f>
        <v/>
      </c>
      <c r="D1788" s="70" t="str">
        <f aca="false">IF($K1788="","",INDEX(Base!$F$5:$F$2004,$K1788))</f>
        <v/>
      </c>
      <c r="E1788" s="70" t="str">
        <f aca="false">IF($K1788="","",INDEX(Base!$G$5:$G$2004,$K1788))</f>
        <v/>
      </c>
      <c r="F1788" s="71" t="str">
        <f aca="false">IF($K1788="","",INDEX(Base!$H$5:$H$2004,$K1788))</f>
        <v/>
      </c>
      <c r="G1788" s="71" t="str">
        <f aca="false">IF($K1788="","",INDEX(Base!$I$5:$I$2004,$K1788))</f>
        <v/>
      </c>
      <c r="H1788" s="70" t="str">
        <f aca="false">IF($K1788="","",INDEX(Base!$J$5:$J$2004,$K1788))</f>
        <v/>
      </c>
      <c r="I1788" s="71" t="str">
        <f aca="false">IF($K1788="","",INDEX(Base!$L$5:$L$2004,$K1788))</f>
        <v/>
      </c>
      <c r="J1788" s="72" t="str">
        <f aca="false">IFERROR(SMALL(Base!$P$5:$P$2004,ROW()-5),"")</f>
        <v/>
      </c>
      <c r="K1788" s="72" t="str">
        <f aca="false">IF(J1788="","",MATCH(J1788,Base!$P$5:$P$2004,0))</f>
        <v/>
      </c>
    </row>
    <row r="1789" customFormat="false" ht="15" hidden="false" customHeight="false" outlineLevel="0" collapsed="false">
      <c r="A1789" s="67" t="str">
        <f aca="false">IF($K1789="","",ROW()-5)</f>
        <v/>
      </c>
      <c r="B1789" s="68" t="str">
        <f aca="false">IF($K1789="","",INDEX(Base!$E$5:$E$2004,$K1789))</f>
        <v/>
      </c>
      <c r="C1789" s="69" t="str">
        <f aca="false">IF($K1789="","",B1789)</f>
        <v/>
      </c>
      <c r="D1789" s="70" t="str">
        <f aca="false">IF($K1789="","",INDEX(Base!$F$5:$F$2004,$K1789))</f>
        <v/>
      </c>
      <c r="E1789" s="70" t="str">
        <f aca="false">IF($K1789="","",INDEX(Base!$G$5:$G$2004,$K1789))</f>
        <v/>
      </c>
      <c r="F1789" s="71" t="str">
        <f aca="false">IF($K1789="","",INDEX(Base!$H$5:$H$2004,$K1789))</f>
        <v/>
      </c>
      <c r="G1789" s="71" t="str">
        <f aca="false">IF($K1789="","",INDEX(Base!$I$5:$I$2004,$K1789))</f>
        <v/>
      </c>
      <c r="H1789" s="70" t="str">
        <f aca="false">IF($K1789="","",INDEX(Base!$J$5:$J$2004,$K1789))</f>
        <v/>
      </c>
      <c r="I1789" s="71" t="str">
        <f aca="false">IF($K1789="","",INDEX(Base!$L$5:$L$2004,$K1789))</f>
        <v/>
      </c>
      <c r="J1789" s="72" t="str">
        <f aca="false">IFERROR(SMALL(Base!$P$5:$P$2004,ROW()-5),"")</f>
        <v/>
      </c>
      <c r="K1789" s="72" t="str">
        <f aca="false">IF(J1789="","",MATCH(J1789,Base!$P$5:$P$2004,0))</f>
        <v/>
      </c>
    </row>
    <row r="1790" customFormat="false" ht="15" hidden="false" customHeight="false" outlineLevel="0" collapsed="false">
      <c r="A1790" s="67" t="str">
        <f aca="false">IF($K1790="","",ROW()-5)</f>
        <v/>
      </c>
      <c r="B1790" s="68" t="str">
        <f aca="false">IF($K1790="","",INDEX(Base!$E$5:$E$2004,$K1790))</f>
        <v/>
      </c>
      <c r="C1790" s="69" t="str">
        <f aca="false">IF($K1790="","",B1790)</f>
        <v/>
      </c>
      <c r="D1790" s="70" t="str">
        <f aca="false">IF($K1790="","",INDEX(Base!$F$5:$F$2004,$K1790))</f>
        <v/>
      </c>
      <c r="E1790" s="70" t="str">
        <f aca="false">IF($K1790="","",INDEX(Base!$G$5:$G$2004,$K1790))</f>
        <v/>
      </c>
      <c r="F1790" s="71" t="str">
        <f aca="false">IF($K1790="","",INDEX(Base!$H$5:$H$2004,$K1790))</f>
        <v/>
      </c>
      <c r="G1790" s="71" t="str">
        <f aca="false">IF($K1790="","",INDEX(Base!$I$5:$I$2004,$K1790))</f>
        <v/>
      </c>
      <c r="H1790" s="70" t="str">
        <f aca="false">IF($K1790="","",INDEX(Base!$J$5:$J$2004,$K1790))</f>
        <v/>
      </c>
      <c r="I1790" s="71" t="str">
        <f aca="false">IF($K1790="","",INDEX(Base!$L$5:$L$2004,$K1790))</f>
        <v/>
      </c>
      <c r="J1790" s="72" t="str">
        <f aca="false">IFERROR(SMALL(Base!$P$5:$P$2004,ROW()-5),"")</f>
        <v/>
      </c>
      <c r="K1790" s="72" t="str">
        <f aca="false">IF(J1790="","",MATCH(J1790,Base!$P$5:$P$2004,0))</f>
        <v/>
      </c>
    </row>
    <row r="1791" customFormat="false" ht="15" hidden="false" customHeight="false" outlineLevel="0" collapsed="false">
      <c r="A1791" s="67" t="str">
        <f aca="false">IF($K1791="","",ROW()-5)</f>
        <v/>
      </c>
      <c r="B1791" s="68" t="str">
        <f aca="false">IF($K1791="","",INDEX(Base!$E$5:$E$2004,$K1791))</f>
        <v/>
      </c>
      <c r="C1791" s="69" t="str">
        <f aca="false">IF($K1791="","",B1791)</f>
        <v/>
      </c>
      <c r="D1791" s="70" t="str">
        <f aca="false">IF($K1791="","",INDEX(Base!$F$5:$F$2004,$K1791))</f>
        <v/>
      </c>
      <c r="E1791" s="70" t="str">
        <f aca="false">IF($K1791="","",INDEX(Base!$G$5:$G$2004,$K1791))</f>
        <v/>
      </c>
      <c r="F1791" s="71" t="str">
        <f aca="false">IF($K1791="","",INDEX(Base!$H$5:$H$2004,$K1791))</f>
        <v/>
      </c>
      <c r="G1791" s="71" t="str">
        <f aca="false">IF($K1791="","",INDEX(Base!$I$5:$I$2004,$K1791))</f>
        <v/>
      </c>
      <c r="H1791" s="70" t="str">
        <f aca="false">IF($K1791="","",INDEX(Base!$J$5:$J$2004,$K1791))</f>
        <v/>
      </c>
      <c r="I1791" s="71" t="str">
        <f aca="false">IF($K1791="","",INDEX(Base!$L$5:$L$2004,$K1791))</f>
        <v/>
      </c>
      <c r="J1791" s="72" t="str">
        <f aca="false">IFERROR(SMALL(Base!$P$5:$P$2004,ROW()-5),"")</f>
        <v/>
      </c>
      <c r="K1791" s="72" t="str">
        <f aca="false">IF(J1791="","",MATCH(J1791,Base!$P$5:$P$2004,0))</f>
        <v/>
      </c>
    </row>
    <row r="1792" customFormat="false" ht="15" hidden="false" customHeight="false" outlineLevel="0" collapsed="false">
      <c r="A1792" s="67" t="str">
        <f aca="false">IF($K1792="","",ROW()-5)</f>
        <v/>
      </c>
      <c r="B1792" s="68" t="str">
        <f aca="false">IF($K1792="","",INDEX(Base!$E$5:$E$2004,$K1792))</f>
        <v/>
      </c>
      <c r="C1792" s="69" t="str">
        <f aca="false">IF($K1792="","",B1792)</f>
        <v/>
      </c>
      <c r="D1792" s="70" t="str">
        <f aca="false">IF($K1792="","",INDEX(Base!$F$5:$F$2004,$K1792))</f>
        <v/>
      </c>
      <c r="E1792" s="70" t="str">
        <f aca="false">IF($K1792="","",INDEX(Base!$G$5:$G$2004,$K1792))</f>
        <v/>
      </c>
      <c r="F1792" s="71" t="str">
        <f aca="false">IF($K1792="","",INDEX(Base!$H$5:$H$2004,$K1792))</f>
        <v/>
      </c>
      <c r="G1792" s="71" t="str">
        <f aca="false">IF($K1792="","",INDEX(Base!$I$5:$I$2004,$K1792))</f>
        <v/>
      </c>
      <c r="H1792" s="70" t="str">
        <f aca="false">IF($K1792="","",INDEX(Base!$J$5:$J$2004,$K1792))</f>
        <v/>
      </c>
      <c r="I1792" s="71" t="str">
        <f aca="false">IF($K1792="","",INDEX(Base!$L$5:$L$2004,$K1792))</f>
        <v/>
      </c>
      <c r="J1792" s="72" t="str">
        <f aca="false">IFERROR(SMALL(Base!$P$5:$P$2004,ROW()-5),"")</f>
        <v/>
      </c>
      <c r="K1792" s="72" t="str">
        <f aca="false">IF(J1792="","",MATCH(J1792,Base!$P$5:$P$2004,0))</f>
        <v/>
      </c>
    </row>
    <row r="1793" customFormat="false" ht="15" hidden="false" customHeight="false" outlineLevel="0" collapsed="false">
      <c r="A1793" s="67" t="str">
        <f aca="false">IF($K1793="","",ROW()-5)</f>
        <v/>
      </c>
      <c r="B1793" s="68" t="str">
        <f aca="false">IF($K1793="","",INDEX(Base!$E$5:$E$2004,$K1793))</f>
        <v/>
      </c>
      <c r="C1793" s="69" t="str">
        <f aca="false">IF($K1793="","",B1793)</f>
        <v/>
      </c>
      <c r="D1793" s="70" t="str">
        <f aca="false">IF($K1793="","",INDEX(Base!$F$5:$F$2004,$K1793))</f>
        <v/>
      </c>
      <c r="E1793" s="70" t="str">
        <f aca="false">IF($K1793="","",INDEX(Base!$G$5:$G$2004,$K1793))</f>
        <v/>
      </c>
      <c r="F1793" s="71" t="str">
        <f aca="false">IF($K1793="","",INDEX(Base!$H$5:$H$2004,$K1793))</f>
        <v/>
      </c>
      <c r="G1793" s="71" t="str">
        <f aca="false">IF($K1793="","",INDEX(Base!$I$5:$I$2004,$K1793))</f>
        <v/>
      </c>
      <c r="H1793" s="70" t="str">
        <f aca="false">IF($K1793="","",INDEX(Base!$J$5:$J$2004,$K1793))</f>
        <v/>
      </c>
      <c r="I1793" s="71" t="str">
        <f aca="false">IF($K1793="","",INDEX(Base!$L$5:$L$2004,$K1793))</f>
        <v/>
      </c>
      <c r="J1793" s="72" t="str">
        <f aca="false">IFERROR(SMALL(Base!$P$5:$P$2004,ROW()-5),"")</f>
        <v/>
      </c>
      <c r="K1793" s="72" t="str">
        <f aca="false">IF(J1793="","",MATCH(J1793,Base!$P$5:$P$2004,0))</f>
        <v/>
      </c>
    </row>
    <row r="1794" customFormat="false" ht="15" hidden="false" customHeight="false" outlineLevel="0" collapsed="false">
      <c r="A1794" s="67" t="str">
        <f aca="false">IF($K1794="","",ROW()-5)</f>
        <v/>
      </c>
      <c r="B1794" s="68" t="str">
        <f aca="false">IF($K1794="","",INDEX(Base!$E$5:$E$2004,$K1794))</f>
        <v/>
      </c>
      <c r="C1794" s="69" t="str">
        <f aca="false">IF($K1794="","",B1794)</f>
        <v/>
      </c>
      <c r="D1794" s="70" t="str">
        <f aca="false">IF($K1794="","",INDEX(Base!$F$5:$F$2004,$K1794))</f>
        <v/>
      </c>
      <c r="E1794" s="70" t="str">
        <f aca="false">IF($K1794="","",INDEX(Base!$G$5:$G$2004,$K1794))</f>
        <v/>
      </c>
      <c r="F1794" s="71" t="str">
        <f aca="false">IF($K1794="","",INDEX(Base!$H$5:$H$2004,$K1794))</f>
        <v/>
      </c>
      <c r="G1794" s="71" t="str">
        <f aca="false">IF($K1794="","",INDEX(Base!$I$5:$I$2004,$K1794))</f>
        <v/>
      </c>
      <c r="H1794" s="70" t="str">
        <f aca="false">IF($K1794="","",INDEX(Base!$J$5:$J$2004,$K1794))</f>
        <v/>
      </c>
      <c r="I1794" s="71" t="str">
        <f aca="false">IF($K1794="","",INDEX(Base!$L$5:$L$2004,$K1794))</f>
        <v/>
      </c>
      <c r="J1794" s="72" t="str">
        <f aca="false">IFERROR(SMALL(Base!$P$5:$P$2004,ROW()-5),"")</f>
        <v/>
      </c>
      <c r="K1794" s="72" t="str">
        <f aca="false">IF(J1794="","",MATCH(J1794,Base!$P$5:$P$2004,0))</f>
        <v/>
      </c>
    </row>
    <row r="1795" customFormat="false" ht="15" hidden="false" customHeight="false" outlineLevel="0" collapsed="false">
      <c r="A1795" s="67" t="str">
        <f aca="false">IF($K1795="","",ROW()-5)</f>
        <v/>
      </c>
      <c r="B1795" s="68" t="str">
        <f aca="false">IF($K1795="","",INDEX(Base!$E$5:$E$2004,$K1795))</f>
        <v/>
      </c>
      <c r="C1795" s="69" t="str">
        <f aca="false">IF($K1795="","",B1795)</f>
        <v/>
      </c>
      <c r="D1795" s="70" t="str">
        <f aca="false">IF($K1795="","",INDEX(Base!$F$5:$F$2004,$K1795))</f>
        <v/>
      </c>
      <c r="E1795" s="70" t="str">
        <f aca="false">IF($K1795="","",INDEX(Base!$G$5:$G$2004,$K1795))</f>
        <v/>
      </c>
      <c r="F1795" s="71" t="str">
        <f aca="false">IF($K1795="","",INDEX(Base!$H$5:$H$2004,$K1795))</f>
        <v/>
      </c>
      <c r="G1795" s="71" t="str">
        <f aca="false">IF($K1795="","",INDEX(Base!$I$5:$I$2004,$K1795))</f>
        <v/>
      </c>
      <c r="H1795" s="70" t="str">
        <f aca="false">IF($K1795="","",INDEX(Base!$J$5:$J$2004,$K1795))</f>
        <v/>
      </c>
      <c r="I1795" s="71" t="str">
        <f aca="false">IF($K1795="","",INDEX(Base!$L$5:$L$2004,$K1795))</f>
        <v/>
      </c>
      <c r="J1795" s="72" t="str">
        <f aca="false">IFERROR(SMALL(Base!$P$5:$P$2004,ROW()-5),"")</f>
        <v/>
      </c>
      <c r="K1795" s="72" t="str">
        <f aca="false">IF(J1795="","",MATCH(J1795,Base!$P$5:$P$2004,0))</f>
        <v/>
      </c>
    </row>
    <row r="1796" customFormat="false" ht="15" hidden="false" customHeight="false" outlineLevel="0" collapsed="false">
      <c r="A1796" s="67" t="str">
        <f aca="false">IF($K1796="","",ROW()-5)</f>
        <v/>
      </c>
      <c r="B1796" s="68" t="str">
        <f aca="false">IF($K1796="","",INDEX(Base!$E$5:$E$2004,$K1796))</f>
        <v/>
      </c>
      <c r="C1796" s="69" t="str">
        <f aca="false">IF($K1796="","",B1796)</f>
        <v/>
      </c>
      <c r="D1796" s="70" t="str">
        <f aca="false">IF($K1796="","",INDEX(Base!$F$5:$F$2004,$K1796))</f>
        <v/>
      </c>
      <c r="E1796" s="70" t="str">
        <f aca="false">IF($K1796="","",INDEX(Base!$G$5:$G$2004,$K1796))</f>
        <v/>
      </c>
      <c r="F1796" s="71" t="str">
        <f aca="false">IF($K1796="","",INDEX(Base!$H$5:$H$2004,$K1796))</f>
        <v/>
      </c>
      <c r="G1796" s="71" t="str">
        <f aca="false">IF($K1796="","",INDEX(Base!$I$5:$I$2004,$K1796))</f>
        <v/>
      </c>
      <c r="H1796" s="70" t="str">
        <f aca="false">IF($K1796="","",INDEX(Base!$J$5:$J$2004,$K1796))</f>
        <v/>
      </c>
      <c r="I1796" s="71" t="str">
        <f aca="false">IF($K1796="","",INDEX(Base!$L$5:$L$2004,$K1796))</f>
        <v/>
      </c>
      <c r="J1796" s="72" t="str">
        <f aca="false">IFERROR(SMALL(Base!$P$5:$P$2004,ROW()-5),"")</f>
        <v/>
      </c>
      <c r="K1796" s="72" t="str">
        <f aca="false">IF(J1796="","",MATCH(J1796,Base!$P$5:$P$2004,0))</f>
        <v/>
      </c>
    </row>
    <row r="1797" customFormat="false" ht="15" hidden="false" customHeight="false" outlineLevel="0" collapsed="false">
      <c r="A1797" s="67" t="str">
        <f aca="false">IF($K1797="","",ROW()-5)</f>
        <v/>
      </c>
      <c r="B1797" s="68" t="str">
        <f aca="false">IF($K1797="","",INDEX(Base!$E$5:$E$2004,$K1797))</f>
        <v/>
      </c>
      <c r="C1797" s="69" t="str">
        <f aca="false">IF($K1797="","",B1797)</f>
        <v/>
      </c>
      <c r="D1797" s="70" t="str">
        <f aca="false">IF($K1797="","",INDEX(Base!$F$5:$F$2004,$K1797))</f>
        <v/>
      </c>
      <c r="E1797" s="70" t="str">
        <f aca="false">IF($K1797="","",INDEX(Base!$G$5:$G$2004,$K1797))</f>
        <v/>
      </c>
      <c r="F1797" s="71" t="str">
        <f aca="false">IF($K1797="","",INDEX(Base!$H$5:$H$2004,$K1797))</f>
        <v/>
      </c>
      <c r="G1797" s="71" t="str">
        <f aca="false">IF($K1797="","",INDEX(Base!$I$5:$I$2004,$K1797))</f>
        <v/>
      </c>
      <c r="H1797" s="70" t="str">
        <f aca="false">IF($K1797="","",INDEX(Base!$J$5:$J$2004,$K1797))</f>
        <v/>
      </c>
      <c r="I1797" s="71" t="str">
        <f aca="false">IF($K1797="","",INDEX(Base!$L$5:$L$2004,$K1797))</f>
        <v/>
      </c>
      <c r="J1797" s="72" t="str">
        <f aca="false">IFERROR(SMALL(Base!$P$5:$P$2004,ROW()-5),"")</f>
        <v/>
      </c>
      <c r="K1797" s="72" t="str">
        <f aca="false">IF(J1797="","",MATCH(J1797,Base!$P$5:$P$2004,0))</f>
        <v/>
      </c>
    </row>
    <row r="1798" customFormat="false" ht="15" hidden="false" customHeight="false" outlineLevel="0" collapsed="false">
      <c r="A1798" s="67" t="str">
        <f aca="false">IF($K1798="","",ROW()-5)</f>
        <v/>
      </c>
      <c r="B1798" s="68" t="str">
        <f aca="false">IF($K1798="","",INDEX(Base!$E$5:$E$2004,$K1798))</f>
        <v/>
      </c>
      <c r="C1798" s="69" t="str">
        <f aca="false">IF($K1798="","",B1798)</f>
        <v/>
      </c>
      <c r="D1798" s="70" t="str">
        <f aca="false">IF($K1798="","",INDEX(Base!$F$5:$F$2004,$K1798))</f>
        <v/>
      </c>
      <c r="E1798" s="70" t="str">
        <f aca="false">IF($K1798="","",INDEX(Base!$G$5:$G$2004,$K1798))</f>
        <v/>
      </c>
      <c r="F1798" s="71" t="str">
        <f aca="false">IF($K1798="","",INDEX(Base!$H$5:$H$2004,$K1798))</f>
        <v/>
      </c>
      <c r="G1798" s="71" t="str">
        <f aca="false">IF($K1798="","",INDEX(Base!$I$5:$I$2004,$K1798))</f>
        <v/>
      </c>
      <c r="H1798" s="70" t="str">
        <f aca="false">IF($K1798="","",INDEX(Base!$J$5:$J$2004,$K1798))</f>
        <v/>
      </c>
      <c r="I1798" s="71" t="str">
        <f aca="false">IF($K1798="","",INDEX(Base!$L$5:$L$2004,$K1798))</f>
        <v/>
      </c>
      <c r="J1798" s="72" t="str">
        <f aca="false">IFERROR(SMALL(Base!$P$5:$P$2004,ROW()-5),"")</f>
        <v/>
      </c>
      <c r="K1798" s="72" t="str">
        <f aca="false">IF(J1798="","",MATCH(J1798,Base!$P$5:$P$2004,0))</f>
        <v/>
      </c>
    </row>
    <row r="1799" customFormat="false" ht="15" hidden="false" customHeight="false" outlineLevel="0" collapsed="false">
      <c r="A1799" s="67" t="str">
        <f aca="false">IF($K1799="","",ROW()-5)</f>
        <v/>
      </c>
      <c r="B1799" s="68" t="str">
        <f aca="false">IF($K1799="","",INDEX(Base!$E$5:$E$2004,$K1799))</f>
        <v/>
      </c>
      <c r="C1799" s="69" t="str">
        <f aca="false">IF($K1799="","",B1799)</f>
        <v/>
      </c>
      <c r="D1799" s="70" t="str">
        <f aca="false">IF($K1799="","",INDEX(Base!$F$5:$F$2004,$K1799))</f>
        <v/>
      </c>
      <c r="E1799" s="70" t="str">
        <f aca="false">IF($K1799="","",INDEX(Base!$G$5:$G$2004,$K1799))</f>
        <v/>
      </c>
      <c r="F1799" s="71" t="str">
        <f aca="false">IF($K1799="","",INDEX(Base!$H$5:$H$2004,$K1799))</f>
        <v/>
      </c>
      <c r="G1799" s="71" t="str">
        <f aca="false">IF($K1799="","",INDEX(Base!$I$5:$I$2004,$K1799))</f>
        <v/>
      </c>
      <c r="H1799" s="70" t="str">
        <f aca="false">IF($K1799="","",INDEX(Base!$J$5:$J$2004,$K1799))</f>
        <v/>
      </c>
      <c r="I1799" s="71" t="str">
        <f aca="false">IF($K1799="","",INDEX(Base!$L$5:$L$2004,$K1799))</f>
        <v/>
      </c>
      <c r="J1799" s="72" t="str">
        <f aca="false">IFERROR(SMALL(Base!$P$5:$P$2004,ROW()-5),"")</f>
        <v/>
      </c>
      <c r="K1799" s="72" t="str">
        <f aca="false">IF(J1799="","",MATCH(J1799,Base!$P$5:$P$2004,0))</f>
        <v/>
      </c>
    </row>
    <row r="1800" customFormat="false" ht="15" hidden="false" customHeight="false" outlineLevel="0" collapsed="false">
      <c r="A1800" s="67" t="str">
        <f aca="false">IF($K1800="","",ROW()-5)</f>
        <v/>
      </c>
      <c r="B1800" s="68" t="str">
        <f aca="false">IF($K1800="","",INDEX(Base!$E$5:$E$2004,$K1800))</f>
        <v/>
      </c>
      <c r="C1800" s="69" t="str">
        <f aca="false">IF($K1800="","",B1800)</f>
        <v/>
      </c>
      <c r="D1800" s="70" t="str">
        <f aca="false">IF($K1800="","",INDEX(Base!$F$5:$F$2004,$K1800))</f>
        <v/>
      </c>
      <c r="E1800" s="70" t="str">
        <f aca="false">IF($K1800="","",INDEX(Base!$G$5:$G$2004,$K1800))</f>
        <v/>
      </c>
      <c r="F1800" s="71" t="str">
        <f aca="false">IF($K1800="","",INDEX(Base!$H$5:$H$2004,$K1800))</f>
        <v/>
      </c>
      <c r="G1800" s="71" t="str">
        <f aca="false">IF($K1800="","",INDEX(Base!$I$5:$I$2004,$K1800))</f>
        <v/>
      </c>
      <c r="H1800" s="70" t="str">
        <f aca="false">IF($K1800="","",INDEX(Base!$J$5:$J$2004,$K1800))</f>
        <v/>
      </c>
      <c r="I1800" s="71" t="str">
        <f aca="false">IF($K1800="","",INDEX(Base!$L$5:$L$2004,$K1800))</f>
        <v/>
      </c>
      <c r="J1800" s="72" t="str">
        <f aca="false">IFERROR(SMALL(Base!$P$5:$P$2004,ROW()-5),"")</f>
        <v/>
      </c>
      <c r="K1800" s="72" t="str">
        <f aca="false">IF(J1800="","",MATCH(J1800,Base!$P$5:$P$2004,0))</f>
        <v/>
      </c>
    </row>
    <row r="1801" customFormat="false" ht="15" hidden="false" customHeight="false" outlineLevel="0" collapsed="false">
      <c r="A1801" s="67" t="str">
        <f aca="false">IF($K1801="","",ROW()-5)</f>
        <v/>
      </c>
      <c r="B1801" s="68" t="str">
        <f aca="false">IF($K1801="","",INDEX(Base!$E$5:$E$2004,$K1801))</f>
        <v/>
      </c>
      <c r="C1801" s="69" t="str">
        <f aca="false">IF($K1801="","",B1801)</f>
        <v/>
      </c>
      <c r="D1801" s="70" t="str">
        <f aca="false">IF($K1801="","",INDEX(Base!$F$5:$F$2004,$K1801))</f>
        <v/>
      </c>
      <c r="E1801" s="70" t="str">
        <f aca="false">IF($K1801="","",INDEX(Base!$G$5:$G$2004,$K1801))</f>
        <v/>
      </c>
      <c r="F1801" s="71" t="str">
        <f aca="false">IF($K1801="","",INDEX(Base!$H$5:$H$2004,$K1801))</f>
        <v/>
      </c>
      <c r="G1801" s="71" t="str">
        <f aca="false">IF($K1801="","",INDEX(Base!$I$5:$I$2004,$K1801))</f>
        <v/>
      </c>
      <c r="H1801" s="70" t="str">
        <f aca="false">IF($K1801="","",INDEX(Base!$J$5:$J$2004,$K1801))</f>
        <v/>
      </c>
      <c r="I1801" s="71" t="str">
        <f aca="false">IF($K1801="","",INDEX(Base!$L$5:$L$2004,$K1801))</f>
        <v/>
      </c>
      <c r="J1801" s="72" t="str">
        <f aca="false">IFERROR(SMALL(Base!$P$5:$P$2004,ROW()-5),"")</f>
        <v/>
      </c>
      <c r="K1801" s="72" t="str">
        <f aca="false">IF(J1801="","",MATCH(J1801,Base!$P$5:$P$2004,0))</f>
        <v/>
      </c>
    </row>
    <row r="1802" customFormat="false" ht="15" hidden="false" customHeight="false" outlineLevel="0" collapsed="false">
      <c r="A1802" s="67" t="str">
        <f aca="false">IF($K1802="","",ROW()-5)</f>
        <v/>
      </c>
      <c r="B1802" s="68" t="str">
        <f aca="false">IF($K1802="","",INDEX(Base!$E$5:$E$2004,$K1802))</f>
        <v/>
      </c>
      <c r="C1802" s="69" t="str">
        <f aca="false">IF($K1802="","",B1802)</f>
        <v/>
      </c>
      <c r="D1802" s="70" t="str">
        <f aca="false">IF($K1802="","",INDEX(Base!$F$5:$F$2004,$K1802))</f>
        <v/>
      </c>
      <c r="E1802" s="70" t="str">
        <f aca="false">IF($K1802="","",INDEX(Base!$G$5:$G$2004,$K1802))</f>
        <v/>
      </c>
      <c r="F1802" s="71" t="str">
        <f aca="false">IF($K1802="","",INDEX(Base!$H$5:$H$2004,$K1802))</f>
        <v/>
      </c>
      <c r="G1802" s="71" t="str">
        <f aca="false">IF($K1802="","",INDEX(Base!$I$5:$I$2004,$K1802))</f>
        <v/>
      </c>
      <c r="H1802" s="70" t="str">
        <f aca="false">IF($K1802="","",INDEX(Base!$J$5:$J$2004,$K1802))</f>
        <v/>
      </c>
      <c r="I1802" s="71" t="str">
        <f aca="false">IF($K1802="","",INDEX(Base!$L$5:$L$2004,$K1802))</f>
        <v/>
      </c>
      <c r="J1802" s="72" t="str">
        <f aca="false">IFERROR(SMALL(Base!$P$5:$P$2004,ROW()-5),"")</f>
        <v/>
      </c>
      <c r="K1802" s="72" t="str">
        <f aca="false">IF(J1802="","",MATCH(J1802,Base!$P$5:$P$2004,0))</f>
        <v/>
      </c>
    </row>
    <row r="1803" customFormat="false" ht="15" hidden="false" customHeight="false" outlineLevel="0" collapsed="false">
      <c r="A1803" s="67" t="str">
        <f aca="false">IF($K1803="","",ROW()-5)</f>
        <v/>
      </c>
      <c r="B1803" s="68" t="str">
        <f aca="false">IF($K1803="","",INDEX(Base!$E$5:$E$2004,$K1803))</f>
        <v/>
      </c>
      <c r="C1803" s="69" t="str">
        <f aca="false">IF($K1803="","",B1803)</f>
        <v/>
      </c>
      <c r="D1803" s="70" t="str">
        <f aca="false">IF($K1803="","",INDEX(Base!$F$5:$F$2004,$K1803))</f>
        <v/>
      </c>
      <c r="E1803" s="70" t="str">
        <f aca="false">IF($K1803="","",INDEX(Base!$G$5:$G$2004,$K1803))</f>
        <v/>
      </c>
      <c r="F1803" s="71" t="str">
        <f aca="false">IF($K1803="","",INDEX(Base!$H$5:$H$2004,$K1803))</f>
        <v/>
      </c>
      <c r="G1803" s="71" t="str">
        <f aca="false">IF($K1803="","",INDEX(Base!$I$5:$I$2004,$K1803))</f>
        <v/>
      </c>
      <c r="H1803" s="70" t="str">
        <f aca="false">IF($K1803="","",INDEX(Base!$J$5:$J$2004,$K1803))</f>
        <v/>
      </c>
      <c r="I1803" s="71" t="str">
        <f aca="false">IF($K1803="","",INDEX(Base!$L$5:$L$2004,$K1803))</f>
        <v/>
      </c>
      <c r="J1803" s="72" t="str">
        <f aca="false">IFERROR(SMALL(Base!$P$5:$P$2004,ROW()-5),"")</f>
        <v/>
      </c>
      <c r="K1803" s="72" t="str">
        <f aca="false">IF(J1803="","",MATCH(J1803,Base!$P$5:$P$2004,0))</f>
        <v/>
      </c>
    </row>
    <row r="1804" customFormat="false" ht="15" hidden="false" customHeight="false" outlineLevel="0" collapsed="false">
      <c r="A1804" s="67" t="str">
        <f aca="false">IF($K1804="","",ROW()-5)</f>
        <v/>
      </c>
      <c r="B1804" s="68" t="str">
        <f aca="false">IF($K1804="","",INDEX(Base!$E$5:$E$2004,$K1804))</f>
        <v/>
      </c>
      <c r="C1804" s="69" t="str">
        <f aca="false">IF($K1804="","",B1804)</f>
        <v/>
      </c>
      <c r="D1804" s="70" t="str">
        <f aca="false">IF($K1804="","",INDEX(Base!$F$5:$F$2004,$K1804))</f>
        <v/>
      </c>
      <c r="E1804" s="70" t="str">
        <f aca="false">IF($K1804="","",INDEX(Base!$G$5:$G$2004,$K1804))</f>
        <v/>
      </c>
      <c r="F1804" s="71" t="str">
        <f aca="false">IF($K1804="","",INDEX(Base!$H$5:$H$2004,$K1804))</f>
        <v/>
      </c>
      <c r="G1804" s="71" t="str">
        <f aca="false">IF($K1804="","",INDEX(Base!$I$5:$I$2004,$K1804))</f>
        <v/>
      </c>
      <c r="H1804" s="70" t="str">
        <f aca="false">IF($K1804="","",INDEX(Base!$J$5:$J$2004,$K1804))</f>
        <v/>
      </c>
      <c r="I1804" s="71" t="str">
        <f aca="false">IF($K1804="","",INDEX(Base!$L$5:$L$2004,$K1804))</f>
        <v/>
      </c>
      <c r="J1804" s="72" t="str">
        <f aca="false">IFERROR(SMALL(Base!$P$5:$P$2004,ROW()-5),"")</f>
        <v/>
      </c>
      <c r="K1804" s="72" t="str">
        <f aca="false">IF(J1804="","",MATCH(J1804,Base!$P$5:$P$2004,0))</f>
        <v/>
      </c>
    </row>
    <row r="1805" customFormat="false" ht="15" hidden="false" customHeight="false" outlineLevel="0" collapsed="false">
      <c r="A1805" s="67" t="str">
        <f aca="false">IF($K1805="","",ROW()-5)</f>
        <v/>
      </c>
      <c r="B1805" s="68" t="str">
        <f aca="false">IF($K1805="","",INDEX(Base!$E$5:$E$2004,$K1805))</f>
        <v/>
      </c>
      <c r="C1805" s="69" t="str">
        <f aca="false">IF($K1805="","",B1805)</f>
        <v/>
      </c>
      <c r="D1805" s="70" t="str">
        <f aca="false">IF($K1805="","",INDEX(Base!$F$5:$F$2004,$K1805))</f>
        <v/>
      </c>
      <c r="E1805" s="70" t="str">
        <f aca="false">IF($K1805="","",INDEX(Base!$G$5:$G$2004,$K1805))</f>
        <v/>
      </c>
      <c r="F1805" s="71" t="str">
        <f aca="false">IF($K1805="","",INDEX(Base!$H$5:$H$2004,$K1805))</f>
        <v/>
      </c>
      <c r="G1805" s="71" t="str">
        <f aca="false">IF($K1805="","",INDEX(Base!$I$5:$I$2004,$K1805))</f>
        <v/>
      </c>
      <c r="H1805" s="70" t="str">
        <f aca="false">IF($K1805="","",INDEX(Base!$J$5:$J$2004,$K1805))</f>
        <v/>
      </c>
      <c r="I1805" s="71" t="str">
        <f aca="false">IF($K1805="","",INDEX(Base!$L$5:$L$2004,$K1805))</f>
        <v/>
      </c>
      <c r="J1805" s="72" t="str">
        <f aca="false">IFERROR(SMALL(Base!$P$5:$P$2004,ROW()-5),"")</f>
        <v/>
      </c>
      <c r="K1805" s="72" t="str">
        <f aca="false">IF(J1805="","",MATCH(J1805,Base!$P$5:$P$2004,0))</f>
        <v/>
      </c>
    </row>
    <row r="1806" customFormat="false" ht="15" hidden="false" customHeight="false" outlineLevel="0" collapsed="false">
      <c r="A1806" s="67" t="str">
        <f aca="false">IF($K1806="","",ROW()-5)</f>
        <v/>
      </c>
      <c r="B1806" s="68" t="str">
        <f aca="false">IF($K1806="","",INDEX(Base!$E$5:$E$2004,$K1806))</f>
        <v/>
      </c>
      <c r="C1806" s="69" t="str">
        <f aca="false">IF($K1806="","",B1806)</f>
        <v/>
      </c>
      <c r="D1806" s="70" t="str">
        <f aca="false">IF($K1806="","",INDEX(Base!$F$5:$F$2004,$K1806))</f>
        <v/>
      </c>
      <c r="E1806" s="70" t="str">
        <f aca="false">IF($K1806="","",INDEX(Base!$G$5:$G$2004,$K1806))</f>
        <v/>
      </c>
      <c r="F1806" s="71" t="str">
        <f aca="false">IF($K1806="","",INDEX(Base!$H$5:$H$2004,$K1806))</f>
        <v/>
      </c>
      <c r="G1806" s="71" t="str">
        <f aca="false">IF($K1806="","",INDEX(Base!$I$5:$I$2004,$K1806))</f>
        <v/>
      </c>
      <c r="H1806" s="70" t="str">
        <f aca="false">IF($K1806="","",INDEX(Base!$J$5:$J$2004,$K1806))</f>
        <v/>
      </c>
      <c r="I1806" s="71" t="str">
        <f aca="false">IF($K1806="","",INDEX(Base!$L$5:$L$2004,$K1806))</f>
        <v/>
      </c>
      <c r="J1806" s="72" t="str">
        <f aca="false">IFERROR(SMALL(Base!$P$5:$P$2004,ROW()-5),"")</f>
        <v/>
      </c>
      <c r="K1806" s="72" t="str">
        <f aca="false">IF(J1806="","",MATCH(J1806,Base!$P$5:$P$2004,0))</f>
        <v/>
      </c>
    </row>
    <row r="1807" customFormat="false" ht="15" hidden="false" customHeight="false" outlineLevel="0" collapsed="false">
      <c r="A1807" s="67" t="str">
        <f aca="false">IF($K1807="","",ROW()-5)</f>
        <v/>
      </c>
      <c r="B1807" s="68" t="str">
        <f aca="false">IF($K1807="","",INDEX(Base!$E$5:$E$2004,$K1807))</f>
        <v/>
      </c>
      <c r="C1807" s="69" t="str">
        <f aca="false">IF($K1807="","",B1807)</f>
        <v/>
      </c>
      <c r="D1807" s="70" t="str">
        <f aca="false">IF($K1807="","",INDEX(Base!$F$5:$F$2004,$K1807))</f>
        <v/>
      </c>
      <c r="E1807" s="70" t="str">
        <f aca="false">IF($K1807="","",INDEX(Base!$G$5:$G$2004,$K1807))</f>
        <v/>
      </c>
      <c r="F1807" s="71" t="str">
        <f aca="false">IF($K1807="","",INDEX(Base!$H$5:$H$2004,$K1807))</f>
        <v/>
      </c>
      <c r="G1807" s="71" t="str">
        <f aca="false">IF($K1807="","",INDEX(Base!$I$5:$I$2004,$K1807))</f>
        <v/>
      </c>
      <c r="H1807" s="70" t="str">
        <f aca="false">IF($K1807="","",INDEX(Base!$J$5:$J$2004,$K1807))</f>
        <v/>
      </c>
      <c r="I1807" s="71" t="str">
        <f aca="false">IF($K1807="","",INDEX(Base!$L$5:$L$2004,$K1807))</f>
        <v/>
      </c>
      <c r="J1807" s="72" t="str">
        <f aca="false">IFERROR(SMALL(Base!$P$5:$P$2004,ROW()-5),"")</f>
        <v/>
      </c>
      <c r="K1807" s="72" t="str">
        <f aca="false">IF(J1807="","",MATCH(J1807,Base!$P$5:$P$2004,0))</f>
        <v/>
      </c>
    </row>
    <row r="1808" customFormat="false" ht="15" hidden="false" customHeight="false" outlineLevel="0" collapsed="false">
      <c r="A1808" s="67" t="str">
        <f aca="false">IF($K1808="","",ROW()-5)</f>
        <v/>
      </c>
      <c r="B1808" s="68" t="str">
        <f aca="false">IF($K1808="","",INDEX(Base!$E$5:$E$2004,$K1808))</f>
        <v/>
      </c>
      <c r="C1808" s="69" t="str">
        <f aca="false">IF($K1808="","",B1808)</f>
        <v/>
      </c>
      <c r="D1808" s="70" t="str">
        <f aca="false">IF($K1808="","",INDEX(Base!$F$5:$F$2004,$K1808))</f>
        <v/>
      </c>
      <c r="E1808" s="70" t="str">
        <f aca="false">IF($K1808="","",INDEX(Base!$G$5:$G$2004,$K1808))</f>
        <v/>
      </c>
      <c r="F1808" s="71" t="str">
        <f aca="false">IF($K1808="","",INDEX(Base!$H$5:$H$2004,$K1808))</f>
        <v/>
      </c>
      <c r="G1808" s="71" t="str">
        <f aca="false">IF($K1808="","",INDEX(Base!$I$5:$I$2004,$K1808))</f>
        <v/>
      </c>
      <c r="H1808" s="70" t="str">
        <f aca="false">IF($K1808="","",INDEX(Base!$J$5:$J$2004,$K1808))</f>
        <v/>
      </c>
      <c r="I1808" s="71" t="str">
        <f aca="false">IF($K1808="","",INDEX(Base!$L$5:$L$2004,$K1808))</f>
        <v/>
      </c>
      <c r="J1808" s="72" t="str">
        <f aca="false">IFERROR(SMALL(Base!$P$5:$P$2004,ROW()-5),"")</f>
        <v/>
      </c>
      <c r="K1808" s="72" t="str">
        <f aca="false">IF(J1808="","",MATCH(J1808,Base!$P$5:$P$2004,0))</f>
        <v/>
      </c>
    </row>
    <row r="1809" customFormat="false" ht="15" hidden="false" customHeight="false" outlineLevel="0" collapsed="false">
      <c r="A1809" s="67" t="str">
        <f aca="false">IF($K1809="","",ROW()-5)</f>
        <v/>
      </c>
      <c r="B1809" s="68" t="str">
        <f aca="false">IF($K1809="","",INDEX(Base!$E$5:$E$2004,$K1809))</f>
        <v/>
      </c>
      <c r="C1809" s="69" t="str">
        <f aca="false">IF($K1809="","",B1809)</f>
        <v/>
      </c>
      <c r="D1809" s="70" t="str">
        <f aca="false">IF($K1809="","",INDEX(Base!$F$5:$F$2004,$K1809))</f>
        <v/>
      </c>
      <c r="E1809" s="70" t="str">
        <f aca="false">IF($K1809="","",INDEX(Base!$G$5:$G$2004,$K1809))</f>
        <v/>
      </c>
      <c r="F1809" s="71" t="str">
        <f aca="false">IF($K1809="","",INDEX(Base!$H$5:$H$2004,$K1809))</f>
        <v/>
      </c>
      <c r="G1809" s="71" t="str">
        <f aca="false">IF($K1809="","",INDEX(Base!$I$5:$I$2004,$K1809))</f>
        <v/>
      </c>
      <c r="H1809" s="70" t="str">
        <f aca="false">IF($K1809="","",INDEX(Base!$J$5:$J$2004,$K1809))</f>
        <v/>
      </c>
      <c r="I1809" s="71" t="str">
        <f aca="false">IF($K1809="","",INDEX(Base!$L$5:$L$2004,$K1809))</f>
        <v/>
      </c>
      <c r="J1809" s="72" t="str">
        <f aca="false">IFERROR(SMALL(Base!$P$5:$P$2004,ROW()-5),"")</f>
        <v/>
      </c>
      <c r="K1809" s="72" t="str">
        <f aca="false">IF(J1809="","",MATCH(J1809,Base!$P$5:$P$2004,0))</f>
        <v/>
      </c>
    </row>
    <row r="1810" customFormat="false" ht="15" hidden="false" customHeight="false" outlineLevel="0" collapsed="false">
      <c r="A1810" s="67" t="str">
        <f aca="false">IF($K1810="","",ROW()-5)</f>
        <v/>
      </c>
      <c r="B1810" s="68" t="str">
        <f aca="false">IF($K1810="","",INDEX(Base!$E$5:$E$2004,$K1810))</f>
        <v/>
      </c>
      <c r="C1810" s="69" t="str">
        <f aca="false">IF($K1810="","",B1810)</f>
        <v/>
      </c>
      <c r="D1810" s="70" t="str">
        <f aca="false">IF($K1810="","",INDEX(Base!$F$5:$F$2004,$K1810))</f>
        <v/>
      </c>
      <c r="E1810" s="70" t="str">
        <f aca="false">IF($K1810="","",INDEX(Base!$G$5:$G$2004,$K1810))</f>
        <v/>
      </c>
      <c r="F1810" s="71" t="str">
        <f aca="false">IF($K1810="","",INDEX(Base!$H$5:$H$2004,$K1810))</f>
        <v/>
      </c>
      <c r="G1810" s="71" t="str">
        <f aca="false">IF($K1810="","",INDEX(Base!$I$5:$I$2004,$K1810))</f>
        <v/>
      </c>
      <c r="H1810" s="70" t="str">
        <f aca="false">IF($K1810="","",INDEX(Base!$J$5:$J$2004,$K1810))</f>
        <v/>
      </c>
      <c r="I1810" s="71" t="str">
        <f aca="false">IF($K1810="","",INDEX(Base!$L$5:$L$2004,$K1810))</f>
        <v/>
      </c>
      <c r="J1810" s="72" t="str">
        <f aca="false">IFERROR(SMALL(Base!$P$5:$P$2004,ROW()-5),"")</f>
        <v/>
      </c>
      <c r="K1810" s="72" t="str">
        <f aca="false">IF(J1810="","",MATCH(J1810,Base!$P$5:$P$2004,0))</f>
        <v/>
      </c>
    </row>
    <row r="1811" customFormat="false" ht="15" hidden="false" customHeight="false" outlineLevel="0" collapsed="false">
      <c r="A1811" s="67" t="str">
        <f aca="false">IF($K1811="","",ROW()-5)</f>
        <v/>
      </c>
      <c r="B1811" s="68" t="str">
        <f aca="false">IF($K1811="","",INDEX(Base!$E$5:$E$2004,$K1811))</f>
        <v/>
      </c>
      <c r="C1811" s="69" t="str">
        <f aca="false">IF($K1811="","",B1811)</f>
        <v/>
      </c>
      <c r="D1811" s="70" t="str">
        <f aca="false">IF($K1811="","",INDEX(Base!$F$5:$F$2004,$K1811))</f>
        <v/>
      </c>
      <c r="E1811" s="70" t="str">
        <f aca="false">IF($K1811="","",INDEX(Base!$G$5:$G$2004,$K1811))</f>
        <v/>
      </c>
      <c r="F1811" s="71" t="str">
        <f aca="false">IF($K1811="","",INDEX(Base!$H$5:$H$2004,$K1811))</f>
        <v/>
      </c>
      <c r="G1811" s="71" t="str">
        <f aca="false">IF($K1811="","",INDEX(Base!$I$5:$I$2004,$K1811))</f>
        <v/>
      </c>
      <c r="H1811" s="70" t="str">
        <f aca="false">IF($K1811="","",INDEX(Base!$J$5:$J$2004,$K1811))</f>
        <v/>
      </c>
      <c r="I1811" s="71" t="str">
        <f aca="false">IF($K1811="","",INDEX(Base!$L$5:$L$2004,$K1811))</f>
        <v/>
      </c>
      <c r="J1811" s="72" t="str">
        <f aca="false">IFERROR(SMALL(Base!$P$5:$P$2004,ROW()-5),"")</f>
        <v/>
      </c>
      <c r="K1811" s="72" t="str">
        <f aca="false">IF(J1811="","",MATCH(J1811,Base!$P$5:$P$2004,0))</f>
        <v/>
      </c>
    </row>
    <row r="1812" customFormat="false" ht="15" hidden="false" customHeight="false" outlineLevel="0" collapsed="false">
      <c r="A1812" s="67" t="str">
        <f aca="false">IF($K1812="","",ROW()-5)</f>
        <v/>
      </c>
      <c r="B1812" s="68" t="str">
        <f aca="false">IF($K1812="","",INDEX(Base!$E$5:$E$2004,$K1812))</f>
        <v/>
      </c>
      <c r="C1812" s="69" t="str">
        <f aca="false">IF($K1812="","",B1812)</f>
        <v/>
      </c>
      <c r="D1812" s="70" t="str">
        <f aca="false">IF($K1812="","",INDEX(Base!$F$5:$F$2004,$K1812))</f>
        <v/>
      </c>
      <c r="E1812" s="70" t="str">
        <f aca="false">IF($K1812="","",INDEX(Base!$G$5:$G$2004,$K1812))</f>
        <v/>
      </c>
      <c r="F1812" s="71" t="str">
        <f aca="false">IF($K1812="","",INDEX(Base!$H$5:$H$2004,$K1812))</f>
        <v/>
      </c>
      <c r="G1812" s="71" t="str">
        <f aca="false">IF($K1812="","",INDEX(Base!$I$5:$I$2004,$K1812))</f>
        <v/>
      </c>
      <c r="H1812" s="70" t="str">
        <f aca="false">IF($K1812="","",INDEX(Base!$J$5:$J$2004,$K1812))</f>
        <v/>
      </c>
      <c r="I1812" s="71" t="str">
        <f aca="false">IF($K1812="","",INDEX(Base!$L$5:$L$2004,$K1812))</f>
        <v/>
      </c>
      <c r="J1812" s="72" t="str">
        <f aca="false">IFERROR(SMALL(Base!$P$5:$P$2004,ROW()-5),"")</f>
        <v/>
      </c>
      <c r="K1812" s="72" t="str">
        <f aca="false">IF(J1812="","",MATCH(J1812,Base!$P$5:$P$2004,0))</f>
        <v/>
      </c>
    </row>
    <row r="1813" customFormat="false" ht="15" hidden="false" customHeight="false" outlineLevel="0" collapsed="false">
      <c r="A1813" s="67" t="str">
        <f aca="false">IF($K1813="","",ROW()-5)</f>
        <v/>
      </c>
      <c r="B1813" s="68" t="str">
        <f aca="false">IF($K1813="","",INDEX(Base!$E$5:$E$2004,$K1813))</f>
        <v/>
      </c>
      <c r="C1813" s="69" t="str">
        <f aca="false">IF($K1813="","",B1813)</f>
        <v/>
      </c>
      <c r="D1813" s="70" t="str">
        <f aca="false">IF($K1813="","",INDEX(Base!$F$5:$F$2004,$K1813))</f>
        <v/>
      </c>
      <c r="E1813" s="70" t="str">
        <f aca="false">IF($K1813="","",INDEX(Base!$G$5:$G$2004,$K1813))</f>
        <v/>
      </c>
      <c r="F1813" s="71" t="str">
        <f aca="false">IF($K1813="","",INDEX(Base!$H$5:$H$2004,$K1813))</f>
        <v/>
      </c>
      <c r="G1813" s="71" t="str">
        <f aca="false">IF($K1813="","",INDEX(Base!$I$5:$I$2004,$K1813))</f>
        <v/>
      </c>
      <c r="H1813" s="70" t="str">
        <f aca="false">IF($K1813="","",INDEX(Base!$J$5:$J$2004,$K1813))</f>
        <v/>
      </c>
      <c r="I1813" s="71" t="str">
        <f aca="false">IF($K1813="","",INDEX(Base!$L$5:$L$2004,$K1813))</f>
        <v/>
      </c>
      <c r="J1813" s="72" t="str">
        <f aca="false">IFERROR(SMALL(Base!$P$5:$P$2004,ROW()-5),"")</f>
        <v/>
      </c>
      <c r="K1813" s="72" t="str">
        <f aca="false">IF(J1813="","",MATCH(J1813,Base!$P$5:$P$2004,0))</f>
        <v/>
      </c>
    </row>
    <row r="1814" customFormat="false" ht="15" hidden="false" customHeight="false" outlineLevel="0" collapsed="false">
      <c r="A1814" s="67" t="str">
        <f aca="false">IF($K1814="","",ROW()-5)</f>
        <v/>
      </c>
      <c r="B1814" s="68" t="str">
        <f aca="false">IF($K1814="","",INDEX(Base!$E$5:$E$2004,$K1814))</f>
        <v/>
      </c>
      <c r="C1814" s="69" t="str">
        <f aca="false">IF($K1814="","",B1814)</f>
        <v/>
      </c>
      <c r="D1814" s="70" t="str">
        <f aca="false">IF($K1814="","",INDEX(Base!$F$5:$F$2004,$K1814))</f>
        <v/>
      </c>
      <c r="E1814" s="70" t="str">
        <f aca="false">IF($K1814="","",INDEX(Base!$G$5:$G$2004,$K1814))</f>
        <v/>
      </c>
      <c r="F1814" s="71" t="str">
        <f aca="false">IF($K1814="","",INDEX(Base!$H$5:$H$2004,$K1814))</f>
        <v/>
      </c>
      <c r="G1814" s="71" t="str">
        <f aca="false">IF($K1814="","",INDEX(Base!$I$5:$I$2004,$K1814))</f>
        <v/>
      </c>
      <c r="H1814" s="70" t="str">
        <f aca="false">IF($K1814="","",INDEX(Base!$J$5:$J$2004,$K1814))</f>
        <v/>
      </c>
      <c r="I1814" s="71" t="str">
        <f aca="false">IF($K1814="","",INDEX(Base!$L$5:$L$2004,$K1814))</f>
        <v/>
      </c>
      <c r="J1814" s="72" t="str">
        <f aca="false">IFERROR(SMALL(Base!$P$5:$P$2004,ROW()-5),"")</f>
        <v/>
      </c>
      <c r="K1814" s="72" t="str">
        <f aca="false">IF(J1814="","",MATCH(J1814,Base!$P$5:$P$2004,0))</f>
        <v/>
      </c>
    </row>
    <row r="1815" customFormat="false" ht="15" hidden="false" customHeight="false" outlineLevel="0" collapsed="false">
      <c r="A1815" s="67" t="str">
        <f aca="false">IF($K1815="","",ROW()-5)</f>
        <v/>
      </c>
      <c r="B1815" s="68" t="str">
        <f aca="false">IF($K1815="","",INDEX(Base!$E$5:$E$2004,$K1815))</f>
        <v/>
      </c>
      <c r="C1815" s="69" t="str">
        <f aca="false">IF($K1815="","",B1815)</f>
        <v/>
      </c>
      <c r="D1815" s="70" t="str">
        <f aca="false">IF($K1815="","",INDEX(Base!$F$5:$F$2004,$K1815))</f>
        <v/>
      </c>
      <c r="E1815" s="70" t="str">
        <f aca="false">IF($K1815="","",INDEX(Base!$G$5:$G$2004,$K1815))</f>
        <v/>
      </c>
      <c r="F1815" s="71" t="str">
        <f aca="false">IF($K1815="","",INDEX(Base!$H$5:$H$2004,$K1815))</f>
        <v/>
      </c>
      <c r="G1815" s="71" t="str">
        <f aca="false">IF($K1815="","",INDEX(Base!$I$5:$I$2004,$K1815))</f>
        <v/>
      </c>
      <c r="H1815" s="70" t="str">
        <f aca="false">IF($K1815="","",INDEX(Base!$J$5:$J$2004,$K1815))</f>
        <v/>
      </c>
      <c r="I1815" s="71" t="str">
        <f aca="false">IF($K1815="","",INDEX(Base!$L$5:$L$2004,$K1815))</f>
        <v/>
      </c>
      <c r="J1815" s="72" t="str">
        <f aca="false">IFERROR(SMALL(Base!$P$5:$P$2004,ROW()-5),"")</f>
        <v/>
      </c>
      <c r="K1815" s="72" t="str">
        <f aca="false">IF(J1815="","",MATCH(J1815,Base!$P$5:$P$2004,0))</f>
        <v/>
      </c>
    </row>
    <row r="1816" customFormat="false" ht="15" hidden="false" customHeight="false" outlineLevel="0" collapsed="false">
      <c r="A1816" s="67" t="str">
        <f aca="false">IF($K1816="","",ROW()-5)</f>
        <v/>
      </c>
      <c r="B1816" s="68" t="str">
        <f aca="false">IF($K1816="","",INDEX(Base!$E$5:$E$2004,$K1816))</f>
        <v/>
      </c>
      <c r="C1816" s="69" t="str">
        <f aca="false">IF($K1816="","",B1816)</f>
        <v/>
      </c>
      <c r="D1816" s="70" t="str">
        <f aca="false">IF($K1816="","",INDEX(Base!$F$5:$F$2004,$K1816))</f>
        <v/>
      </c>
      <c r="E1816" s="70" t="str">
        <f aca="false">IF($K1816="","",INDEX(Base!$G$5:$G$2004,$K1816))</f>
        <v/>
      </c>
      <c r="F1816" s="71" t="str">
        <f aca="false">IF($K1816="","",INDEX(Base!$H$5:$H$2004,$K1816))</f>
        <v/>
      </c>
      <c r="G1816" s="71" t="str">
        <f aca="false">IF($K1816="","",INDEX(Base!$I$5:$I$2004,$K1816))</f>
        <v/>
      </c>
      <c r="H1816" s="70" t="str">
        <f aca="false">IF($K1816="","",INDEX(Base!$J$5:$J$2004,$K1816))</f>
        <v/>
      </c>
      <c r="I1816" s="71" t="str">
        <f aca="false">IF($K1816="","",INDEX(Base!$L$5:$L$2004,$K1816))</f>
        <v/>
      </c>
      <c r="J1816" s="72" t="str">
        <f aca="false">IFERROR(SMALL(Base!$P$5:$P$2004,ROW()-5),"")</f>
        <v/>
      </c>
      <c r="K1816" s="72" t="str">
        <f aca="false">IF(J1816="","",MATCH(J1816,Base!$P$5:$P$2004,0))</f>
        <v/>
      </c>
    </row>
    <row r="1817" customFormat="false" ht="15" hidden="false" customHeight="false" outlineLevel="0" collapsed="false">
      <c r="A1817" s="67" t="str">
        <f aca="false">IF($K1817="","",ROW()-5)</f>
        <v/>
      </c>
      <c r="B1817" s="68" t="str">
        <f aca="false">IF($K1817="","",INDEX(Base!$E$5:$E$2004,$K1817))</f>
        <v/>
      </c>
      <c r="C1817" s="69" t="str">
        <f aca="false">IF($K1817="","",B1817)</f>
        <v/>
      </c>
      <c r="D1817" s="70" t="str">
        <f aca="false">IF($K1817="","",INDEX(Base!$F$5:$F$2004,$K1817))</f>
        <v/>
      </c>
      <c r="E1817" s="70" t="str">
        <f aca="false">IF($K1817="","",INDEX(Base!$G$5:$G$2004,$K1817))</f>
        <v/>
      </c>
      <c r="F1817" s="71" t="str">
        <f aca="false">IF($K1817="","",INDEX(Base!$H$5:$H$2004,$K1817))</f>
        <v/>
      </c>
      <c r="G1817" s="71" t="str">
        <f aca="false">IF($K1817="","",INDEX(Base!$I$5:$I$2004,$K1817))</f>
        <v/>
      </c>
      <c r="H1817" s="70" t="str">
        <f aca="false">IF($K1817="","",INDEX(Base!$J$5:$J$2004,$K1817))</f>
        <v/>
      </c>
      <c r="I1817" s="71" t="str">
        <f aca="false">IF($K1817="","",INDEX(Base!$L$5:$L$2004,$K1817))</f>
        <v/>
      </c>
      <c r="J1817" s="72" t="str">
        <f aca="false">IFERROR(SMALL(Base!$P$5:$P$2004,ROW()-5),"")</f>
        <v/>
      </c>
      <c r="K1817" s="72" t="str">
        <f aca="false">IF(J1817="","",MATCH(J1817,Base!$P$5:$P$2004,0))</f>
        <v/>
      </c>
    </row>
    <row r="1818" customFormat="false" ht="15" hidden="false" customHeight="false" outlineLevel="0" collapsed="false">
      <c r="A1818" s="67" t="str">
        <f aca="false">IF($K1818="","",ROW()-5)</f>
        <v/>
      </c>
      <c r="B1818" s="68" t="str">
        <f aca="false">IF($K1818="","",INDEX(Base!$E$5:$E$2004,$K1818))</f>
        <v/>
      </c>
      <c r="C1818" s="69" t="str">
        <f aca="false">IF($K1818="","",B1818)</f>
        <v/>
      </c>
      <c r="D1818" s="70" t="str">
        <f aca="false">IF($K1818="","",INDEX(Base!$F$5:$F$2004,$K1818))</f>
        <v/>
      </c>
      <c r="E1818" s="70" t="str">
        <f aca="false">IF($K1818="","",INDEX(Base!$G$5:$G$2004,$K1818))</f>
        <v/>
      </c>
      <c r="F1818" s="71" t="str">
        <f aca="false">IF($K1818="","",INDEX(Base!$H$5:$H$2004,$K1818))</f>
        <v/>
      </c>
      <c r="G1818" s="71" t="str">
        <f aca="false">IF($K1818="","",INDEX(Base!$I$5:$I$2004,$K1818))</f>
        <v/>
      </c>
      <c r="H1818" s="70" t="str">
        <f aca="false">IF($K1818="","",INDEX(Base!$J$5:$J$2004,$K1818))</f>
        <v/>
      </c>
      <c r="I1818" s="71" t="str">
        <f aca="false">IF($K1818="","",INDEX(Base!$L$5:$L$2004,$K1818))</f>
        <v/>
      </c>
      <c r="J1818" s="72" t="str">
        <f aca="false">IFERROR(SMALL(Base!$P$5:$P$2004,ROW()-5),"")</f>
        <v/>
      </c>
      <c r="K1818" s="72" t="str">
        <f aca="false">IF(J1818="","",MATCH(J1818,Base!$P$5:$P$2004,0))</f>
        <v/>
      </c>
    </row>
    <row r="1819" customFormat="false" ht="15" hidden="false" customHeight="false" outlineLevel="0" collapsed="false">
      <c r="A1819" s="67" t="str">
        <f aca="false">IF($K1819="","",ROW()-5)</f>
        <v/>
      </c>
      <c r="B1819" s="68" t="str">
        <f aca="false">IF($K1819="","",INDEX(Base!$E$5:$E$2004,$K1819))</f>
        <v/>
      </c>
      <c r="C1819" s="69" t="str">
        <f aca="false">IF($K1819="","",B1819)</f>
        <v/>
      </c>
      <c r="D1819" s="70" t="str">
        <f aca="false">IF($K1819="","",INDEX(Base!$F$5:$F$2004,$K1819))</f>
        <v/>
      </c>
      <c r="E1819" s="70" t="str">
        <f aca="false">IF($K1819="","",INDEX(Base!$G$5:$G$2004,$K1819))</f>
        <v/>
      </c>
      <c r="F1819" s="71" t="str">
        <f aca="false">IF($K1819="","",INDEX(Base!$H$5:$H$2004,$K1819))</f>
        <v/>
      </c>
      <c r="G1819" s="71" t="str">
        <f aca="false">IF($K1819="","",INDEX(Base!$I$5:$I$2004,$K1819))</f>
        <v/>
      </c>
      <c r="H1819" s="70" t="str">
        <f aca="false">IF($K1819="","",INDEX(Base!$J$5:$J$2004,$K1819))</f>
        <v/>
      </c>
      <c r="I1819" s="71" t="str">
        <f aca="false">IF($K1819="","",INDEX(Base!$L$5:$L$2004,$K1819))</f>
        <v/>
      </c>
      <c r="J1819" s="72" t="str">
        <f aca="false">IFERROR(SMALL(Base!$P$5:$P$2004,ROW()-5),"")</f>
        <v/>
      </c>
      <c r="K1819" s="72" t="str">
        <f aca="false">IF(J1819="","",MATCH(J1819,Base!$P$5:$P$2004,0))</f>
        <v/>
      </c>
    </row>
    <row r="1820" customFormat="false" ht="15" hidden="false" customHeight="false" outlineLevel="0" collapsed="false">
      <c r="A1820" s="67" t="str">
        <f aca="false">IF($K1820="","",ROW()-5)</f>
        <v/>
      </c>
      <c r="B1820" s="68" t="str">
        <f aca="false">IF($K1820="","",INDEX(Base!$E$5:$E$2004,$K1820))</f>
        <v/>
      </c>
      <c r="C1820" s="69" t="str">
        <f aca="false">IF($K1820="","",B1820)</f>
        <v/>
      </c>
      <c r="D1820" s="70" t="str">
        <f aca="false">IF($K1820="","",INDEX(Base!$F$5:$F$2004,$K1820))</f>
        <v/>
      </c>
      <c r="E1820" s="70" t="str">
        <f aca="false">IF($K1820="","",INDEX(Base!$G$5:$G$2004,$K1820))</f>
        <v/>
      </c>
      <c r="F1820" s="71" t="str">
        <f aca="false">IF($K1820="","",INDEX(Base!$H$5:$H$2004,$K1820))</f>
        <v/>
      </c>
      <c r="G1820" s="71" t="str">
        <f aca="false">IF($K1820="","",INDEX(Base!$I$5:$I$2004,$K1820))</f>
        <v/>
      </c>
      <c r="H1820" s="70" t="str">
        <f aca="false">IF($K1820="","",INDEX(Base!$J$5:$J$2004,$K1820))</f>
        <v/>
      </c>
      <c r="I1820" s="71" t="str">
        <f aca="false">IF($K1820="","",INDEX(Base!$L$5:$L$2004,$K1820))</f>
        <v/>
      </c>
      <c r="J1820" s="72" t="str">
        <f aca="false">IFERROR(SMALL(Base!$P$5:$P$2004,ROW()-5),"")</f>
        <v/>
      </c>
      <c r="K1820" s="72" t="str">
        <f aca="false">IF(J1820="","",MATCH(J1820,Base!$P$5:$P$2004,0))</f>
        <v/>
      </c>
    </row>
    <row r="1821" customFormat="false" ht="15" hidden="false" customHeight="false" outlineLevel="0" collapsed="false">
      <c r="A1821" s="67" t="str">
        <f aca="false">IF($K1821="","",ROW()-5)</f>
        <v/>
      </c>
      <c r="B1821" s="68" t="str">
        <f aca="false">IF($K1821="","",INDEX(Base!$E$5:$E$2004,$K1821))</f>
        <v/>
      </c>
      <c r="C1821" s="69" t="str">
        <f aca="false">IF($K1821="","",B1821)</f>
        <v/>
      </c>
      <c r="D1821" s="70" t="str">
        <f aca="false">IF($K1821="","",INDEX(Base!$F$5:$F$2004,$K1821))</f>
        <v/>
      </c>
      <c r="E1821" s="70" t="str">
        <f aca="false">IF($K1821="","",INDEX(Base!$G$5:$G$2004,$K1821))</f>
        <v/>
      </c>
      <c r="F1821" s="71" t="str">
        <f aca="false">IF($K1821="","",INDEX(Base!$H$5:$H$2004,$K1821))</f>
        <v/>
      </c>
      <c r="G1821" s="71" t="str">
        <f aca="false">IF($K1821="","",INDEX(Base!$I$5:$I$2004,$K1821))</f>
        <v/>
      </c>
      <c r="H1821" s="70" t="str">
        <f aca="false">IF($K1821="","",INDEX(Base!$J$5:$J$2004,$K1821))</f>
        <v/>
      </c>
      <c r="I1821" s="71" t="str">
        <f aca="false">IF($K1821="","",INDEX(Base!$L$5:$L$2004,$K1821))</f>
        <v/>
      </c>
      <c r="J1821" s="72" t="str">
        <f aca="false">IFERROR(SMALL(Base!$P$5:$P$2004,ROW()-5),"")</f>
        <v/>
      </c>
      <c r="K1821" s="72" t="str">
        <f aca="false">IF(J1821="","",MATCH(J1821,Base!$P$5:$P$2004,0))</f>
        <v/>
      </c>
    </row>
    <row r="1822" customFormat="false" ht="15" hidden="false" customHeight="false" outlineLevel="0" collapsed="false">
      <c r="A1822" s="67" t="str">
        <f aca="false">IF($K1822="","",ROW()-5)</f>
        <v/>
      </c>
      <c r="B1822" s="68" t="str">
        <f aca="false">IF($K1822="","",INDEX(Base!$E$5:$E$2004,$K1822))</f>
        <v/>
      </c>
      <c r="C1822" s="69" t="str">
        <f aca="false">IF($K1822="","",B1822)</f>
        <v/>
      </c>
      <c r="D1822" s="70" t="str">
        <f aca="false">IF($K1822="","",INDEX(Base!$F$5:$F$2004,$K1822))</f>
        <v/>
      </c>
      <c r="E1822" s="70" t="str">
        <f aca="false">IF($K1822="","",INDEX(Base!$G$5:$G$2004,$K1822))</f>
        <v/>
      </c>
      <c r="F1822" s="71" t="str">
        <f aca="false">IF($K1822="","",INDEX(Base!$H$5:$H$2004,$K1822))</f>
        <v/>
      </c>
      <c r="G1822" s="71" t="str">
        <f aca="false">IF($K1822="","",INDEX(Base!$I$5:$I$2004,$K1822))</f>
        <v/>
      </c>
      <c r="H1822" s="70" t="str">
        <f aca="false">IF($K1822="","",INDEX(Base!$J$5:$J$2004,$K1822))</f>
        <v/>
      </c>
      <c r="I1822" s="71" t="str">
        <f aca="false">IF($K1822="","",INDEX(Base!$L$5:$L$2004,$K1822))</f>
        <v/>
      </c>
      <c r="J1822" s="72" t="str">
        <f aca="false">IFERROR(SMALL(Base!$P$5:$P$2004,ROW()-5),"")</f>
        <v/>
      </c>
      <c r="K1822" s="72" t="str">
        <f aca="false">IF(J1822="","",MATCH(J1822,Base!$P$5:$P$2004,0))</f>
        <v/>
      </c>
    </row>
    <row r="1823" customFormat="false" ht="15" hidden="false" customHeight="false" outlineLevel="0" collapsed="false">
      <c r="A1823" s="67" t="str">
        <f aca="false">IF($K1823="","",ROW()-5)</f>
        <v/>
      </c>
      <c r="B1823" s="68" t="str">
        <f aca="false">IF($K1823="","",INDEX(Base!$E$5:$E$2004,$K1823))</f>
        <v/>
      </c>
      <c r="C1823" s="69" t="str">
        <f aca="false">IF($K1823="","",B1823)</f>
        <v/>
      </c>
      <c r="D1823" s="70" t="str">
        <f aca="false">IF($K1823="","",INDEX(Base!$F$5:$F$2004,$K1823))</f>
        <v/>
      </c>
      <c r="E1823" s="70" t="str">
        <f aca="false">IF($K1823="","",INDEX(Base!$G$5:$G$2004,$K1823))</f>
        <v/>
      </c>
      <c r="F1823" s="71" t="str">
        <f aca="false">IF($K1823="","",INDEX(Base!$H$5:$H$2004,$K1823))</f>
        <v/>
      </c>
      <c r="G1823" s="71" t="str">
        <f aca="false">IF($K1823="","",INDEX(Base!$I$5:$I$2004,$K1823))</f>
        <v/>
      </c>
      <c r="H1823" s="70" t="str">
        <f aca="false">IF($K1823="","",INDEX(Base!$J$5:$J$2004,$K1823))</f>
        <v/>
      </c>
      <c r="I1823" s="71" t="str">
        <f aca="false">IF($K1823="","",INDEX(Base!$L$5:$L$2004,$K1823))</f>
        <v/>
      </c>
      <c r="J1823" s="72" t="str">
        <f aca="false">IFERROR(SMALL(Base!$P$5:$P$2004,ROW()-5),"")</f>
        <v/>
      </c>
      <c r="K1823" s="72" t="str">
        <f aca="false">IF(J1823="","",MATCH(J1823,Base!$P$5:$P$2004,0))</f>
        <v/>
      </c>
    </row>
    <row r="1824" customFormat="false" ht="15" hidden="false" customHeight="false" outlineLevel="0" collapsed="false">
      <c r="A1824" s="67" t="str">
        <f aca="false">IF($K1824="","",ROW()-5)</f>
        <v/>
      </c>
      <c r="B1824" s="68" t="str">
        <f aca="false">IF($K1824="","",INDEX(Base!$E$5:$E$2004,$K1824))</f>
        <v/>
      </c>
      <c r="C1824" s="69" t="str">
        <f aca="false">IF($K1824="","",B1824)</f>
        <v/>
      </c>
      <c r="D1824" s="70" t="str">
        <f aca="false">IF($K1824="","",INDEX(Base!$F$5:$F$2004,$K1824))</f>
        <v/>
      </c>
      <c r="E1824" s="70" t="str">
        <f aca="false">IF($K1824="","",INDEX(Base!$G$5:$G$2004,$K1824))</f>
        <v/>
      </c>
      <c r="F1824" s="71" t="str">
        <f aca="false">IF($K1824="","",INDEX(Base!$H$5:$H$2004,$K1824))</f>
        <v/>
      </c>
      <c r="G1824" s="71" t="str">
        <f aca="false">IF($K1824="","",INDEX(Base!$I$5:$I$2004,$K1824))</f>
        <v/>
      </c>
      <c r="H1824" s="70" t="str">
        <f aca="false">IF($K1824="","",INDEX(Base!$J$5:$J$2004,$K1824))</f>
        <v/>
      </c>
      <c r="I1824" s="71" t="str">
        <f aca="false">IF($K1824="","",INDEX(Base!$L$5:$L$2004,$K1824))</f>
        <v/>
      </c>
      <c r="J1824" s="72" t="str">
        <f aca="false">IFERROR(SMALL(Base!$P$5:$P$2004,ROW()-5),"")</f>
        <v/>
      </c>
      <c r="K1824" s="72" t="str">
        <f aca="false">IF(J1824="","",MATCH(J1824,Base!$P$5:$P$2004,0))</f>
        <v/>
      </c>
    </row>
    <row r="1825" customFormat="false" ht="15" hidden="false" customHeight="false" outlineLevel="0" collapsed="false">
      <c r="A1825" s="67" t="str">
        <f aca="false">IF($K1825="","",ROW()-5)</f>
        <v/>
      </c>
      <c r="B1825" s="68" t="str">
        <f aca="false">IF($K1825="","",INDEX(Base!$E$5:$E$2004,$K1825))</f>
        <v/>
      </c>
      <c r="C1825" s="69" t="str">
        <f aca="false">IF($K1825="","",B1825)</f>
        <v/>
      </c>
      <c r="D1825" s="70" t="str">
        <f aca="false">IF($K1825="","",INDEX(Base!$F$5:$F$2004,$K1825))</f>
        <v/>
      </c>
      <c r="E1825" s="70" t="str">
        <f aca="false">IF($K1825="","",INDEX(Base!$G$5:$G$2004,$K1825))</f>
        <v/>
      </c>
      <c r="F1825" s="71" t="str">
        <f aca="false">IF($K1825="","",INDEX(Base!$H$5:$H$2004,$K1825))</f>
        <v/>
      </c>
      <c r="G1825" s="71" t="str">
        <f aca="false">IF($K1825="","",INDEX(Base!$I$5:$I$2004,$K1825))</f>
        <v/>
      </c>
      <c r="H1825" s="70" t="str">
        <f aca="false">IF($K1825="","",INDEX(Base!$J$5:$J$2004,$K1825))</f>
        <v/>
      </c>
      <c r="I1825" s="71" t="str">
        <f aca="false">IF($K1825="","",INDEX(Base!$L$5:$L$2004,$K1825))</f>
        <v/>
      </c>
      <c r="J1825" s="72" t="str">
        <f aca="false">IFERROR(SMALL(Base!$P$5:$P$2004,ROW()-5),"")</f>
        <v/>
      </c>
      <c r="K1825" s="72" t="str">
        <f aca="false">IF(J1825="","",MATCH(J1825,Base!$P$5:$P$2004,0))</f>
        <v/>
      </c>
    </row>
    <row r="1826" customFormat="false" ht="15" hidden="false" customHeight="false" outlineLevel="0" collapsed="false">
      <c r="A1826" s="67" t="str">
        <f aca="false">IF($K1826="","",ROW()-5)</f>
        <v/>
      </c>
      <c r="B1826" s="68" t="str">
        <f aca="false">IF($K1826="","",INDEX(Base!$E$5:$E$2004,$K1826))</f>
        <v/>
      </c>
      <c r="C1826" s="69" t="str">
        <f aca="false">IF($K1826="","",B1826)</f>
        <v/>
      </c>
      <c r="D1826" s="70" t="str">
        <f aca="false">IF($K1826="","",INDEX(Base!$F$5:$F$2004,$K1826))</f>
        <v/>
      </c>
      <c r="E1826" s="70" t="str">
        <f aca="false">IF($K1826="","",INDEX(Base!$G$5:$G$2004,$K1826))</f>
        <v/>
      </c>
      <c r="F1826" s="71" t="str">
        <f aca="false">IF($K1826="","",INDEX(Base!$H$5:$H$2004,$K1826))</f>
        <v/>
      </c>
      <c r="G1826" s="71" t="str">
        <f aca="false">IF($K1826="","",INDEX(Base!$I$5:$I$2004,$K1826))</f>
        <v/>
      </c>
      <c r="H1826" s="70" t="str">
        <f aca="false">IF($K1826="","",INDEX(Base!$J$5:$J$2004,$K1826))</f>
        <v/>
      </c>
      <c r="I1826" s="71" t="str">
        <f aca="false">IF($K1826="","",INDEX(Base!$L$5:$L$2004,$K1826))</f>
        <v/>
      </c>
      <c r="J1826" s="72" t="str">
        <f aca="false">IFERROR(SMALL(Base!$P$5:$P$2004,ROW()-5),"")</f>
        <v/>
      </c>
      <c r="K1826" s="72" t="str">
        <f aca="false">IF(J1826="","",MATCH(J1826,Base!$P$5:$P$2004,0))</f>
        <v/>
      </c>
    </row>
    <row r="1827" customFormat="false" ht="15" hidden="false" customHeight="false" outlineLevel="0" collapsed="false">
      <c r="A1827" s="67" t="str">
        <f aca="false">IF($K1827="","",ROW()-5)</f>
        <v/>
      </c>
      <c r="B1827" s="68" t="str">
        <f aca="false">IF($K1827="","",INDEX(Base!$E$5:$E$2004,$K1827))</f>
        <v/>
      </c>
      <c r="C1827" s="69" t="str">
        <f aca="false">IF($K1827="","",B1827)</f>
        <v/>
      </c>
      <c r="D1827" s="70" t="str">
        <f aca="false">IF($K1827="","",INDEX(Base!$F$5:$F$2004,$K1827))</f>
        <v/>
      </c>
      <c r="E1827" s="70" t="str">
        <f aca="false">IF($K1827="","",INDEX(Base!$G$5:$G$2004,$K1827))</f>
        <v/>
      </c>
      <c r="F1827" s="71" t="str">
        <f aca="false">IF($K1827="","",INDEX(Base!$H$5:$H$2004,$K1827))</f>
        <v/>
      </c>
      <c r="G1827" s="71" t="str">
        <f aca="false">IF($K1827="","",INDEX(Base!$I$5:$I$2004,$K1827))</f>
        <v/>
      </c>
      <c r="H1827" s="70" t="str">
        <f aca="false">IF($K1827="","",INDEX(Base!$J$5:$J$2004,$K1827))</f>
        <v/>
      </c>
      <c r="I1827" s="71" t="str">
        <f aca="false">IF($K1827="","",INDEX(Base!$L$5:$L$2004,$K1827))</f>
        <v/>
      </c>
      <c r="J1827" s="72" t="str">
        <f aca="false">IFERROR(SMALL(Base!$P$5:$P$2004,ROW()-5),"")</f>
        <v/>
      </c>
      <c r="K1827" s="72" t="str">
        <f aca="false">IF(J1827="","",MATCH(J1827,Base!$P$5:$P$2004,0))</f>
        <v/>
      </c>
    </row>
    <row r="1828" customFormat="false" ht="15" hidden="false" customHeight="false" outlineLevel="0" collapsed="false">
      <c r="A1828" s="67" t="str">
        <f aca="false">IF($K1828="","",ROW()-5)</f>
        <v/>
      </c>
      <c r="B1828" s="68" t="str">
        <f aca="false">IF($K1828="","",INDEX(Base!$E$5:$E$2004,$K1828))</f>
        <v/>
      </c>
      <c r="C1828" s="69" t="str">
        <f aca="false">IF($K1828="","",B1828)</f>
        <v/>
      </c>
      <c r="D1828" s="70" t="str">
        <f aca="false">IF($K1828="","",INDEX(Base!$F$5:$F$2004,$K1828))</f>
        <v/>
      </c>
      <c r="E1828" s="70" t="str">
        <f aca="false">IF($K1828="","",INDEX(Base!$G$5:$G$2004,$K1828))</f>
        <v/>
      </c>
      <c r="F1828" s="71" t="str">
        <f aca="false">IF($K1828="","",INDEX(Base!$H$5:$H$2004,$K1828))</f>
        <v/>
      </c>
      <c r="G1828" s="71" t="str">
        <f aca="false">IF($K1828="","",INDEX(Base!$I$5:$I$2004,$K1828))</f>
        <v/>
      </c>
      <c r="H1828" s="70" t="str">
        <f aca="false">IF($K1828="","",INDEX(Base!$J$5:$J$2004,$K1828))</f>
        <v/>
      </c>
      <c r="I1828" s="71" t="str">
        <f aca="false">IF($K1828="","",INDEX(Base!$L$5:$L$2004,$K1828))</f>
        <v/>
      </c>
      <c r="J1828" s="72" t="str">
        <f aca="false">IFERROR(SMALL(Base!$P$5:$P$2004,ROW()-5),"")</f>
        <v/>
      </c>
      <c r="K1828" s="72" t="str">
        <f aca="false">IF(J1828="","",MATCH(J1828,Base!$P$5:$P$2004,0))</f>
        <v/>
      </c>
    </row>
    <row r="1829" customFormat="false" ht="15" hidden="false" customHeight="false" outlineLevel="0" collapsed="false">
      <c r="A1829" s="67" t="str">
        <f aca="false">IF($K1829="","",ROW()-5)</f>
        <v/>
      </c>
      <c r="B1829" s="68" t="str">
        <f aca="false">IF($K1829="","",INDEX(Base!$E$5:$E$2004,$K1829))</f>
        <v/>
      </c>
      <c r="C1829" s="69" t="str">
        <f aca="false">IF($K1829="","",B1829)</f>
        <v/>
      </c>
      <c r="D1829" s="70" t="str">
        <f aca="false">IF($K1829="","",INDEX(Base!$F$5:$F$2004,$K1829))</f>
        <v/>
      </c>
      <c r="E1829" s="70" t="str">
        <f aca="false">IF($K1829="","",INDEX(Base!$G$5:$G$2004,$K1829))</f>
        <v/>
      </c>
      <c r="F1829" s="71" t="str">
        <f aca="false">IF($K1829="","",INDEX(Base!$H$5:$H$2004,$K1829))</f>
        <v/>
      </c>
      <c r="G1829" s="71" t="str">
        <f aca="false">IF($K1829="","",INDEX(Base!$I$5:$I$2004,$K1829))</f>
        <v/>
      </c>
      <c r="H1829" s="70" t="str">
        <f aca="false">IF($K1829="","",INDEX(Base!$J$5:$J$2004,$K1829))</f>
        <v/>
      </c>
      <c r="I1829" s="71" t="str">
        <f aca="false">IF($K1829="","",INDEX(Base!$L$5:$L$2004,$K1829))</f>
        <v/>
      </c>
      <c r="J1829" s="72" t="str">
        <f aca="false">IFERROR(SMALL(Base!$P$5:$P$2004,ROW()-5),"")</f>
        <v/>
      </c>
      <c r="K1829" s="72" t="str">
        <f aca="false">IF(J1829="","",MATCH(J1829,Base!$P$5:$P$2004,0))</f>
        <v/>
      </c>
    </row>
    <row r="1830" customFormat="false" ht="15" hidden="false" customHeight="false" outlineLevel="0" collapsed="false">
      <c r="A1830" s="67" t="str">
        <f aca="false">IF($K1830="","",ROW()-5)</f>
        <v/>
      </c>
      <c r="B1830" s="68" t="str">
        <f aca="false">IF($K1830="","",INDEX(Base!$E$5:$E$2004,$K1830))</f>
        <v/>
      </c>
      <c r="C1830" s="69" t="str">
        <f aca="false">IF($K1830="","",B1830)</f>
        <v/>
      </c>
      <c r="D1830" s="70" t="str">
        <f aca="false">IF($K1830="","",INDEX(Base!$F$5:$F$2004,$K1830))</f>
        <v/>
      </c>
      <c r="E1830" s="70" t="str">
        <f aca="false">IF($K1830="","",INDEX(Base!$G$5:$G$2004,$K1830))</f>
        <v/>
      </c>
      <c r="F1830" s="71" t="str">
        <f aca="false">IF($K1830="","",INDEX(Base!$H$5:$H$2004,$K1830))</f>
        <v/>
      </c>
      <c r="G1830" s="71" t="str">
        <f aca="false">IF($K1830="","",INDEX(Base!$I$5:$I$2004,$K1830))</f>
        <v/>
      </c>
      <c r="H1830" s="70" t="str">
        <f aca="false">IF($K1830="","",INDEX(Base!$J$5:$J$2004,$K1830))</f>
        <v/>
      </c>
      <c r="I1830" s="71" t="str">
        <f aca="false">IF($K1830="","",INDEX(Base!$L$5:$L$2004,$K1830))</f>
        <v/>
      </c>
      <c r="J1830" s="72" t="str">
        <f aca="false">IFERROR(SMALL(Base!$P$5:$P$2004,ROW()-5),"")</f>
        <v/>
      </c>
      <c r="K1830" s="72" t="str">
        <f aca="false">IF(J1830="","",MATCH(J1830,Base!$P$5:$P$2004,0))</f>
        <v/>
      </c>
    </row>
    <row r="1831" customFormat="false" ht="15" hidden="false" customHeight="false" outlineLevel="0" collapsed="false">
      <c r="A1831" s="67" t="str">
        <f aca="false">IF($K1831="","",ROW()-5)</f>
        <v/>
      </c>
      <c r="B1831" s="68" t="str">
        <f aca="false">IF($K1831="","",INDEX(Base!$E$5:$E$2004,$K1831))</f>
        <v/>
      </c>
      <c r="C1831" s="69" t="str">
        <f aca="false">IF($K1831="","",B1831)</f>
        <v/>
      </c>
      <c r="D1831" s="70" t="str">
        <f aca="false">IF($K1831="","",INDEX(Base!$F$5:$F$2004,$K1831))</f>
        <v/>
      </c>
      <c r="E1831" s="70" t="str">
        <f aca="false">IF($K1831="","",INDEX(Base!$G$5:$G$2004,$K1831))</f>
        <v/>
      </c>
      <c r="F1831" s="71" t="str">
        <f aca="false">IF($K1831="","",INDEX(Base!$H$5:$H$2004,$K1831))</f>
        <v/>
      </c>
      <c r="G1831" s="71" t="str">
        <f aca="false">IF($K1831="","",INDEX(Base!$I$5:$I$2004,$K1831))</f>
        <v/>
      </c>
      <c r="H1831" s="70" t="str">
        <f aca="false">IF($K1831="","",INDEX(Base!$J$5:$J$2004,$K1831))</f>
        <v/>
      </c>
      <c r="I1831" s="71" t="str">
        <f aca="false">IF($K1831="","",INDEX(Base!$L$5:$L$2004,$K1831))</f>
        <v/>
      </c>
      <c r="J1831" s="72" t="str">
        <f aca="false">IFERROR(SMALL(Base!$P$5:$P$2004,ROW()-5),"")</f>
        <v/>
      </c>
      <c r="K1831" s="72" t="str">
        <f aca="false">IF(J1831="","",MATCH(J1831,Base!$P$5:$P$2004,0))</f>
        <v/>
      </c>
    </row>
    <row r="1832" customFormat="false" ht="15" hidden="false" customHeight="false" outlineLevel="0" collapsed="false">
      <c r="A1832" s="67" t="str">
        <f aca="false">IF($K1832="","",ROW()-5)</f>
        <v/>
      </c>
      <c r="B1832" s="68" t="str">
        <f aca="false">IF($K1832="","",INDEX(Base!$E$5:$E$2004,$K1832))</f>
        <v/>
      </c>
      <c r="C1832" s="69" t="str">
        <f aca="false">IF($K1832="","",B1832)</f>
        <v/>
      </c>
      <c r="D1832" s="70" t="str">
        <f aca="false">IF($K1832="","",INDEX(Base!$F$5:$F$2004,$K1832))</f>
        <v/>
      </c>
      <c r="E1832" s="70" t="str">
        <f aca="false">IF($K1832="","",INDEX(Base!$G$5:$G$2004,$K1832))</f>
        <v/>
      </c>
      <c r="F1832" s="71" t="str">
        <f aca="false">IF($K1832="","",INDEX(Base!$H$5:$H$2004,$K1832))</f>
        <v/>
      </c>
      <c r="G1832" s="71" t="str">
        <f aca="false">IF($K1832="","",INDEX(Base!$I$5:$I$2004,$K1832))</f>
        <v/>
      </c>
      <c r="H1832" s="70" t="str">
        <f aca="false">IF($K1832="","",INDEX(Base!$J$5:$J$2004,$K1832))</f>
        <v/>
      </c>
      <c r="I1832" s="71" t="str">
        <f aca="false">IF($K1832="","",INDEX(Base!$L$5:$L$2004,$K1832))</f>
        <v/>
      </c>
      <c r="J1832" s="72" t="str">
        <f aca="false">IFERROR(SMALL(Base!$P$5:$P$2004,ROW()-5),"")</f>
        <v/>
      </c>
      <c r="K1832" s="72" t="str">
        <f aca="false">IF(J1832="","",MATCH(J1832,Base!$P$5:$P$2004,0))</f>
        <v/>
      </c>
    </row>
    <row r="1833" customFormat="false" ht="15" hidden="false" customHeight="false" outlineLevel="0" collapsed="false">
      <c r="A1833" s="67" t="str">
        <f aca="false">IF($K1833="","",ROW()-5)</f>
        <v/>
      </c>
      <c r="B1833" s="68" t="str">
        <f aca="false">IF($K1833="","",INDEX(Base!$E$5:$E$2004,$K1833))</f>
        <v/>
      </c>
      <c r="C1833" s="69" t="str">
        <f aca="false">IF($K1833="","",B1833)</f>
        <v/>
      </c>
      <c r="D1833" s="70" t="str">
        <f aca="false">IF($K1833="","",INDEX(Base!$F$5:$F$2004,$K1833))</f>
        <v/>
      </c>
      <c r="E1833" s="70" t="str">
        <f aca="false">IF($K1833="","",INDEX(Base!$G$5:$G$2004,$K1833))</f>
        <v/>
      </c>
      <c r="F1833" s="71" t="str">
        <f aca="false">IF($K1833="","",INDEX(Base!$H$5:$H$2004,$K1833))</f>
        <v/>
      </c>
      <c r="G1833" s="71" t="str">
        <f aca="false">IF($K1833="","",INDEX(Base!$I$5:$I$2004,$K1833))</f>
        <v/>
      </c>
      <c r="H1833" s="70" t="str">
        <f aca="false">IF($K1833="","",INDEX(Base!$J$5:$J$2004,$K1833))</f>
        <v/>
      </c>
      <c r="I1833" s="71" t="str">
        <f aca="false">IF($K1833="","",INDEX(Base!$L$5:$L$2004,$K1833))</f>
        <v/>
      </c>
      <c r="J1833" s="72" t="str">
        <f aca="false">IFERROR(SMALL(Base!$P$5:$P$2004,ROW()-5),"")</f>
        <v/>
      </c>
      <c r="K1833" s="72" t="str">
        <f aca="false">IF(J1833="","",MATCH(J1833,Base!$P$5:$P$2004,0))</f>
        <v/>
      </c>
    </row>
    <row r="1834" customFormat="false" ht="15" hidden="false" customHeight="false" outlineLevel="0" collapsed="false">
      <c r="A1834" s="67" t="str">
        <f aca="false">IF($K1834="","",ROW()-5)</f>
        <v/>
      </c>
      <c r="B1834" s="68" t="str">
        <f aca="false">IF($K1834="","",INDEX(Base!$E$5:$E$2004,$K1834))</f>
        <v/>
      </c>
      <c r="C1834" s="69" t="str">
        <f aca="false">IF($K1834="","",B1834)</f>
        <v/>
      </c>
      <c r="D1834" s="70" t="str">
        <f aca="false">IF($K1834="","",INDEX(Base!$F$5:$F$2004,$K1834))</f>
        <v/>
      </c>
      <c r="E1834" s="70" t="str">
        <f aca="false">IF($K1834="","",INDEX(Base!$G$5:$G$2004,$K1834))</f>
        <v/>
      </c>
      <c r="F1834" s="71" t="str">
        <f aca="false">IF($K1834="","",INDEX(Base!$H$5:$H$2004,$K1834))</f>
        <v/>
      </c>
      <c r="G1834" s="71" t="str">
        <f aca="false">IF($K1834="","",INDEX(Base!$I$5:$I$2004,$K1834))</f>
        <v/>
      </c>
      <c r="H1834" s="70" t="str">
        <f aca="false">IF($K1834="","",INDEX(Base!$J$5:$J$2004,$K1834))</f>
        <v/>
      </c>
      <c r="I1834" s="71" t="str">
        <f aca="false">IF($K1834="","",INDEX(Base!$L$5:$L$2004,$K1834))</f>
        <v/>
      </c>
      <c r="J1834" s="72" t="str">
        <f aca="false">IFERROR(SMALL(Base!$P$5:$P$2004,ROW()-5),"")</f>
        <v/>
      </c>
      <c r="K1834" s="72" t="str">
        <f aca="false">IF(J1834="","",MATCH(J1834,Base!$P$5:$P$2004,0))</f>
        <v/>
      </c>
    </row>
    <row r="1835" customFormat="false" ht="15" hidden="false" customHeight="false" outlineLevel="0" collapsed="false">
      <c r="A1835" s="67" t="str">
        <f aca="false">IF($K1835="","",ROW()-5)</f>
        <v/>
      </c>
      <c r="B1835" s="68" t="str">
        <f aca="false">IF($K1835="","",INDEX(Base!$E$5:$E$2004,$K1835))</f>
        <v/>
      </c>
      <c r="C1835" s="69" t="str">
        <f aca="false">IF($K1835="","",B1835)</f>
        <v/>
      </c>
      <c r="D1835" s="70" t="str">
        <f aca="false">IF($K1835="","",INDEX(Base!$F$5:$F$2004,$K1835))</f>
        <v/>
      </c>
      <c r="E1835" s="70" t="str">
        <f aca="false">IF($K1835="","",INDEX(Base!$G$5:$G$2004,$K1835))</f>
        <v/>
      </c>
      <c r="F1835" s="71" t="str">
        <f aca="false">IF($K1835="","",INDEX(Base!$H$5:$H$2004,$K1835))</f>
        <v/>
      </c>
      <c r="G1835" s="71" t="str">
        <f aca="false">IF($K1835="","",INDEX(Base!$I$5:$I$2004,$K1835))</f>
        <v/>
      </c>
      <c r="H1835" s="70" t="str">
        <f aca="false">IF($K1835="","",INDEX(Base!$J$5:$J$2004,$K1835))</f>
        <v/>
      </c>
      <c r="I1835" s="71" t="str">
        <f aca="false">IF($K1835="","",INDEX(Base!$L$5:$L$2004,$K1835))</f>
        <v/>
      </c>
      <c r="J1835" s="72" t="str">
        <f aca="false">IFERROR(SMALL(Base!$P$5:$P$2004,ROW()-5),"")</f>
        <v/>
      </c>
      <c r="K1835" s="72" t="str">
        <f aca="false">IF(J1835="","",MATCH(J1835,Base!$P$5:$P$2004,0))</f>
        <v/>
      </c>
    </row>
    <row r="1836" customFormat="false" ht="15" hidden="false" customHeight="false" outlineLevel="0" collapsed="false">
      <c r="A1836" s="67" t="str">
        <f aca="false">IF($K1836="","",ROW()-5)</f>
        <v/>
      </c>
      <c r="B1836" s="68" t="str">
        <f aca="false">IF($K1836="","",INDEX(Base!$E$5:$E$2004,$K1836))</f>
        <v/>
      </c>
      <c r="C1836" s="69" t="str">
        <f aca="false">IF($K1836="","",B1836)</f>
        <v/>
      </c>
      <c r="D1836" s="70" t="str">
        <f aca="false">IF($K1836="","",INDEX(Base!$F$5:$F$2004,$K1836))</f>
        <v/>
      </c>
      <c r="E1836" s="70" t="str">
        <f aca="false">IF($K1836="","",INDEX(Base!$G$5:$G$2004,$K1836))</f>
        <v/>
      </c>
      <c r="F1836" s="71" t="str">
        <f aca="false">IF($K1836="","",INDEX(Base!$H$5:$H$2004,$K1836))</f>
        <v/>
      </c>
      <c r="G1836" s="71" t="str">
        <f aca="false">IF($K1836="","",INDEX(Base!$I$5:$I$2004,$K1836))</f>
        <v/>
      </c>
      <c r="H1836" s="70" t="str">
        <f aca="false">IF($K1836="","",INDEX(Base!$J$5:$J$2004,$K1836))</f>
        <v/>
      </c>
      <c r="I1836" s="71" t="str">
        <f aca="false">IF($K1836="","",INDEX(Base!$L$5:$L$2004,$K1836))</f>
        <v/>
      </c>
      <c r="J1836" s="72" t="str">
        <f aca="false">IFERROR(SMALL(Base!$P$5:$P$2004,ROW()-5),"")</f>
        <v/>
      </c>
      <c r="K1836" s="72" t="str">
        <f aca="false">IF(J1836="","",MATCH(J1836,Base!$P$5:$P$2004,0))</f>
        <v/>
      </c>
    </row>
    <row r="1837" customFormat="false" ht="15" hidden="false" customHeight="false" outlineLevel="0" collapsed="false">
      <c r="A1837" s="67" t="str">
        <f aca="false">IF($K1837="","",ROW()-5)</f>
        <v/>
      </c>
      <c r="B1837" s="68" t="str">
        <f aca="false">IF($K1837="","",INDEX(Base!$E$5:$E$2004,$K1837))</f>
        <v/>
      </c>
      <c r="C1837" s="69" t="str">
        <f aca="false">IF($K1837="","",B1837)</f>
        <v/>
      </c>
      <c r="D1837" s="70" t="str">
        <f aca="false">IF($K1837="","",INDEX(Base!$F$5:$F$2004,$K1837))</f>
        <v/>
      </c>
      <c r="E1837" s="70" t="str">
        <f aca="false">IF($K1837="","",INDEX(Base!$G$5:$G$2004,$K1837))</f>
        <v/>
      </c>
      <c r="F1837" s="71" t="str">
        <f aca="false">IF($K1837="","",INDEX(Base!$H$5:$H$2004,$K1837))</f>
        <v/>
      </c>
      <c r="G1837" s="71" t="str">
        <f aca="false">IF($K1837="","",INDEX(Base!$I$5:$I$2004,$K1837))</f>
        <v/>
      </c>
      <c r="H1837" s="70" t="str">
        <f aca="false">IF($K1837="","",INDEX(Base!$J$5:$J$2004,$K1837))</f>
        <v/>
      </c>
      <c r="I1837" s="71" t="str">
        <f aca="false">IF($K1837="","",INDEX(Base!$L$5:$L$2004,$K1837))</f>
        <v/>
      </c>
      <c r="J1837" s="72" t="str">
        <f aca="false">IFERROR(SMALL(Base!$P$5:$P$2004,ROW()-5),"")</f>
        <v/>
      </c>
      <c r="K1837" s="72" t="str">
        <f aca="false">IF(J1837="","",MATCH(J1837,Base!$P$5:$P$2004,0))</f>
        <v/>
      </c>
    </row>
    <row r="1838" customFormat="false" ht="15" hidden="false" customHeight="false" outlineLevel="0" collapsed="false">
      <c r="A1838" s="67" t="str">
        <f aca="false">IF($K1838="","",ROW()-5)</f>
        <v/>
      </c>
      <c r="B1838" s="68" t="str">
        <f aca="false">IF($K1838="","",INDEX(Base!$E$5:$E$2004,$K1838))</f>
        <v/>
      </c>
      <c r="C1838" s="69" t="str">
        <f aca="false">IF($K1838="","",B1838)</f>
        <v/>
      </c>
      <c r="D1838" s="70" t="str">
        <f aca="false">IF($K1838="","",INDEX(Base!$F$5:$F$2004,$K1838))</f>
        <v/>
      </c>
      <c r="E1838" s="70" t="str">
        <f aca="false">IF($K1838="","",INDEX(Base!$G$5:$G$2004,$K1838))</f>
        <v/>
      </c>
      <c r="F1838" s="71" t="str">
        <f aca="false">IF($K1838="","",INDEX(Base!$H$5:$H$2004,$K1838))</f>
        <v/>
      </c>
      <c r="G1838" s="71" t="str">
        <f aca="false">IF($K1838="","",INDEX(Base!$I$5:$I$2004,$K1838))</f>
        <v/>
      </c>
      <c r="H1838" s="70" t="str">
        <f aca="false">IF($K1838="","",INDEX(Base!$J$5:$J$2004,$K1838))</f>
        <v/>
      </c>
      <c r="I1838" s="71" t="str">
        <f aca="false">IF($K1838="","",INDEX(Base!$L$5:$L$2004,$K1838))</f>
        <v/>
      </c>
      <c r="J1838" s="72" t="str">
        <f aca="false">IFERROR(SMALL(Base!$P$5:$P$2004,ROW()-5),"")</f>
        <v/>
      </c>
      <c r="K1838" s="72" t="str">
        <f aca="false">IF(J1838="","",MATCH(J1838,Base!$P$5:$P$2004,0))</f>
        <v/>
      </c>
    </row>
    <row r="1839" customFormat="false" ht="15" hidden="false" customHeight="false" outlineLevel="0" collapsed="false">
      <c r="A1839" s="67" t="str">
        <f aca="false">IF($K1839="","",ROW()-5)</f>
        <v/>
      </c>
      <c r="B1839" s="68" t="str">
        <f aca="false">IF($K1839="","",INDEX(Base!$E$5:$E$2004,$K1839))</f>
        <v/>
      </c>
      <c r="C1839" s="69" t="str">
        <f aca="false">IF($K1839="","",B1839)</f>
        <v/>
      </c>
      <c r="D1839" s="70" t="str">
        <f aca="false">IF($K1839="","",INDEX(Base!$F$5:$F$2004,$K1839))</f>
        <v/>
      </c>
      <c r="E1839" s="70" t="str">
        <f aca="false">IF($K1839="","",INDEX(Base!$G$5:$G$2004,$K1839))</f>
        <v/>
      </c>
      <c r="F1839" s="71" t="str">
        <f aca="false">IF($K1839="","",INDEX(Base!$H$5:$H$2004,$K1839))</f>
        <v/>
      </c>
      <c r="G1839" s="71" t="str">
        <f aca="false">IF($K1839="","",INDEX(Base!$I$5:$I$2004,$K1839))</f>
        <v/>
      </c>
      <c r="H1839" s="70" t="str">
        <f aca="false">IF($K1839="","",INDEX(Base!$J$5:$J$2004,$K1839))</f>
        <v/>
      </c>
      <c r="I1839" s="71" t="str">
        <f aca="false">IF($K1839="","",INDEX(Base!$L$5:$L$2004,$K1839))</f>
        <v/>
      </c>
      <c r="J1839" s="72" t="str">
        <f aca="false">IFERROR(SMALL(Base!$P$5:$P$2004,ROW()-5),"")</f>
        <v/>
      </c>
      <c r="K1839" s="72" t="str">
        <f aca="false">IF(J1839="","",MATCH(J1839,Base!$P$5:$P$2004,0))</f>
        <v/>
      </c>
    </row>
    <row r="1840" customFormat="false" ht="15" hidden="false" customHeight="false" outlineLevel="0" collapsed="false">
      <c r="A1840" s="67" t="str">
        <f aca="false">IF($K1840="","",ROW()-5)</f>
        <v/>
      </c>
      <c r="B1840" s="68" t="str">
        <f aca="false">IF($K1840="","",INDEX(Base!$E$5:$E$2004,$K1840))</f>
        <v/>
      </c>
      <c r="C1840" s="69" t="str">
        <f aca="false">IF($K1840="","",B1840)</f>
        <v/>
      </c>
      <c r="D1840" s="70" t="str">
        <f aca="false">IF($K1840="","",INDEX(Base!$F$5:$F$2004,$K1840))</f>
        <v/>
      </c>
      <c r="E1840" s="70" t="str">
        <f aca="false">IF($K1840="","",INDEX(Base!$G$5:$G$2004,$K1840))</f>
        <v/>
      </c>
      <c r="F1840" s="71" t="str">
        <f aca="false">IF($K1840="","",INDEX(Base!$H$5:$H$2004,$K1840))</f>
        <v/>
      </c>
      <c r="G1840" s="71" t="str">
        <f aca="false">IF($K1840="","",INDEX(Base!$I$5:$I$2004,$K1840))</f>
        <v/>
      </c>
      <c r="H1840" s="70" t="str">
        <f aca="false">IF($K1840="","",INDEX(Base!$J$5:$J$2004,$K1840))</f>
        <v/>
      </c>
      <c r="I1840" s="71" t="str">
        <f aca="false">IF($K1840="","",INDEX(Base!$L$5:$L$2004,$K1840))</f>
        <v/>
      </c>
      <c r="J1840" s="72" t="str">
        <f aca="false">IFERROR(SMALL(Base!$P$5:$P$2004,ROW()-5),"")</f>
        <v/>
      </c>
      <c r="K1840" s="72" t="str">
        <f aca="false">IF(J1840="","",MATCH(J1840,Base!$P$5:$P$2004,0))</f>
        <v/>
      </c>
    </row>
    <row r="1841" customFormat="false" ht="15" hidden="false" customHeight="false" outlineLevel="0" collapsed="false">
      <c r="A1841" s="67" t="str">
        <f aca="false">IF($K1841="","",ROW()-5)</f>
        <v/>
      </c>
      <c r="B1841" s="68" t="str">
        <f aca="false">IF($K1841="","",INDEX(Base!$E$5:$E$2004,$K1841))</f>
        <v/>
      </c>
      <c r="C1841" s="69" t="str">
        <f aca="false">IF($K1841="","",B1841)</f>
        <v/>
      </c>
      <c r="D1841" s="70" t="str">
        <f aca="false">IF($K1841="","",INDEX(Base!$F$5:$F$2004,$K1841))</f>
        <v/>
      </c>
      <c r="E1841" s="70" t="str">
        <f aca="false">IF($K1841="","",INDEX(Base!$G$5:$G$2004,$K1841))</f>
        <v/>
      </c>
      <c r="F1841" s="71" t="str">
        <f aca="false">IF($K1841="","",INDEX(Base!$H$5:$H$2004,$K1841))</f>
        <v/>
      </c>
      <c r="G1841" s="71" t="str">
        <f aca="false">IF($K1841="","",INDEX(Base!$I$5:$I$2004,$K1841))</f>
        <v/>
      </c>
      <c r="H1841" s="70" t="str">
        <f aca="false">IF($K1841="","",INDEX(Base!$J$5:$J$2004,$K1841))</f>
        <v/>
      </c>
      <c r="I1841" s="71" t="str">
        <f aca="false">IF($K1841="","",INDEX(Base!$L$5:$L$2004,$K1841))</f>
        <v/>
      </c>
      <c r="J1841" s="72" t="str">
        <f aca="false">IFERROR(SMALL(Base!$P$5:$P$2004,ROW()-5),"")</f>
        <v/>
      </c>
      <c r="K1841" s="72" t="str">
        <f aca="false">IF(J1841="","",MATCH(J1841,Base!$P$5:$P$2004,0))</f>
        <v/>
      </c>
    </row>
    <row r="1842" customFormat="false" ht="15" hidden="false" customHeight="false" outlineLevel="0" collapsed="false">
      <c r="A1842" s="67" t="str">
        <f aca="false">IF($K1842="","",ROW()-5)</f>
        <v/>
      </c>
      <c r="B1842" s="68" t="str">
        <f aca="false">IF($K1842="","",INDEX(Base!$E$5:$E$2004,$K1842))</f>
        <v/>
      </c>
      <c r="C1842" s="69" t="str">
        <f aca="false">IF($K1842="","",B1842)</f>
        <v/>
      </c>
      <c r="D1842" s="70" t="str">
        <f aca="false">IF($K1842="","",INDEX(Base!$F$5:$F$2004,$K1842))</f>
        <v/>
      </c>
      <c r="E1842" s="70" t="str">
        <f aca="false">IF($K1842="","",INDEX(Base!$G$5:$G$2004,$K1842))</f>
        <v/>
      </c>
      <c r="F1842" s="71" t="str">
        <f aca="false">IF($K1842="","",INDEX(Base!$H$5:$H$2004,$K1842))</f>
        <v/>
      </c>
      <c r="G1842" s="71" t="str">
        <f aca="false">IF($K1842="","",INDEX(Base!$I$5:$I$2004,$K1842))</f>
        <v/>
      </c>
      <c r="H1842" s="70" t="str">
        <f aca="false">IF($K1842="","",INDEX(Base!$J$5:$J$2004,$K1842))</f>
        <v/>
      </c>
      <c r="I1842" s="71" t="str">
        <f aca="false">IF($K1842="","",INDEX(Base!$L$5:$L$2004,$K1842))</f>
        <v/>
      </c>
      <c r="J1842" s="72" t="str">
        <f aca="false">IFERROR(SMALL(Base!$P$5:$P$2004,ROW()-5),"")</f>
        <v/>
      </c>
      <c r="K1842" s="72" t="str">
        <f aca="false">IF(J1842="","",MATCH(J1842,Base!$P$5:$P$2004,0))</f>
        <v/>
      </c>
    </row>
    <row r="1843" customFormat="false" ht="15" hidden="false" customHeight="false" outlineLevel="0" collapsed="false">
      <c r="A1843" s="67" t="str">
        <f aca="false">IF($K1843="","",ROW()-5)</f>
        <v/>
      </c>
      <c r="B1843" s="68" t="str">
        <f aca="false">IF($K1843="","",INDEX(Base!$E$5:$E$2004,$K1843))</f>
        <v/>
      </c>
      <c r="C1843" s="69" t="str">
        <f aca="false">IF($K1843="","",B1843)</f>
        <v/>
      </c>
      <c r="D1843" s="70" t="str">
        <f aca="false">IF($K1843="","",INDEX(Base!$F$5:$F$2004,$K1843))</f>
        <v/>
      </c>
      <c r="E1843" s="70" t="str">
        <f aca="false">IF($K1843="","",INDEX(Base!$G$5:$G$2004,$K1843))</f>
        <v/>
      </c>
      <c r="F1843" s="71" t="str">
        <f aca="false">IF($K1843="","",INDEX(Base!$H$5:$H$2004,$K1843))</f>
        <v/>
      </c>
      <c r="G1843" s="71" t="str">
        <f aca="false">IF($K1843="","",INDEX(Base!$I$5:$I$2004,$K1843))</f>
        <v/>
      </c>
      <c r="H1843" s="70" t="str">
        <f aca="false">IF($K1843="","",INDEX(Base!$J$5:$J$2004,$K1843))</f>
        <v/>
      </c>
      <c r="I1843" s="71" t="str">
        <f aca="false">IF($K1843="","",INDEX(Base!$L$5:$L$2004,$K1843))</f>
        <v/>
      </c>
      <c r="J1843" s="72" t="str">
        <f aca="false">IFERROR(SMALL(Base!$P$5:$P$2004,ROW()-5),"")</f>
        <v/>
      </c>
      <c r="K1843" s="72" t="str">
        <f aca="false">IF(J1843="","",MATCH(J1843,Base!$P$5:$P$2004,0))</f>
        <v/>
      </c>
    </row>
    <row r="1844" customFormat="false" ht="15" hidden="false" customHeight="false" outlineLevel="0" collapsed="false">
      <c r="A1844" s="67" t="str">
        <f aca="false">IF($K1844="","",ROW()-5)</f>
        <v/>
      </c>
      <c r="B1844" s="68" t="str">
        <f aca="false">IF($K1844="","",INDEX(Base!$E$5:$E$2004,$K1844))</f>
        <v/>
      </c>
      <c r="C1844" s="69" t="str">
        <f aca="false">IF($K1844="","",B1844)</f>
        <v/>
      </c>
      <c r="D1844" s="70" t="str">
        <f aca="false">IF($K1844="","",INDEX(Base!$F$5:$F$2004,$K1844))</f>
        <v/>
      </c>
      <c r="E1844" s="70" t="str">
        <f aca="false">IF($K1844="","",INDEX(Base!$G$5:$G$2004,$K1844))</f>
        <v/>
      </c>
      <c r="F1844" s="71" t="str">
        <f aca="false">IF($K1844="","",INDEX(Base!$H$5:$H$2004,$K1844))</f>
        <v/>
      </c>
      <c r="G1844" s="71" t="str">
        <f aca="false">IF($K1844="","",INDEX(Base!$I$5:$I$2004,$K1844))</f>
        <v/>
      </c>
      <c r="H1844" s="70" t="str">
        <f aca="false">IF($K1844="","",INDEX(Base!$J$5:$J$2004,$K1844))</f>
        <v/>
      </c>
      <c r="I1844" s="71" t="str">
        <f aca="false">IF($K1844="","",INDEX(Base!$L$5:$L$2004,$K1844))</f>
        <v/>
      </c>
      <c r="J1844" s="72" t="str">
        <f aca="false">IFERROR(SMALL(Base!$P$5:$P$2004,ROW()-5),"")</f>
        <v/>
      </c>
      <c r="K1844" s="72" t="str">
        <f aca="false">IF(J1844="","",MATCH(J1844,Base!$P$5:$P$2004,0))</f>
        <v/>
      </c>
    </row>
    <row r="1845" customFormat="false" ht="15" hidden="false" customHeight="false" outlineLevel="0" collapsed="false">
      <c r="A1845" s="67" t="str">
        <f aca="false">IF($K1845="","",ROW()-5)</f>
        <v/>
      </c>
      <c r="B1845" s="68" t="str">
        <f aca="false">IF($K1845="","",INDEX(Base!$E$5:$E$2004,$K1845))</f>
        <v/>
      </c>
      <c r="C1845" s="69" t="str">
        <f aca="false">IF($K1845="","",B1845)</f>
        <v/>
      </c>
      <c r="D1845" s="70" t="str">
        <f aca="false">IF($K1845="","",INDEX(Base!$F$5:$F$2004,$K1845))</f>
        <v/>
      </c>
      <c r="E1845" s="70" t="str">
        <f aca="false">IF($K1845="","",INDEX(Base!$G$5:$G$2004,$K1845))</f>
        <v/>
      </c>
      <c r="F1845" s="71" t="str">
        <f aca="false">IF($K1845="","",INDEX(Base!$H$5:$H$2004,$K1845))</f>
        <v/>
      </c>
      <c r="G1845" s="71" t="str">
        <f aca="false">IF($K1845="","",INDEX(Base!$I$5:$I$2004,$K1845))</f>
        <v/>
      </c>
      <c r="H1845" s="70" t="str">
        <f aca="false">IF($K1845="","",INDEX(Base!$J$5:$J$2004,$K1845))</f>
        <v/>
      </c>
      <c r="I1845" s="71" t="str">
        <f aca="false">IF($K1845="","",INDEX(Base!$L$5:$L$2004,$K1845))</f>
        <v/>
      </c>
      <c r="J1845" s="72" t="str">
        <f aca="false">IFERROR(SMALL(Base!$P$5:$P$2004,ROW()-5),"")</f>
        <v/>
      </c>
      <c r="K1845" s="72" t="str">
        <f aca="false">IF(J1845="","",MATCH(J1845,Base!$P$5:$P$2004,0))</f>
        <v/>
      </c>
    </row>
    <row r="1846" customFormat="false" ht="15" hidden="false" customHeight="false" outlineLevel="0" collapsed="false">
      <c r="A1846" s="67" t="str">
        <f aca="false">IF($K1846="","",ROW()-5)</f>
        <v/>
      </c>
      <c r="B1846" s="68" t="str">
        <f aca="false">IF($K1846="","",INDEX(Base!$E$5:$E$2004,$K1846))</f>
        <v/>
      </c>
      <c r="C1846" s="69" t="str">
        <f aca="false">IF($K1846="","",B1846)</f>
        <v/>
      </c>
      <c r="D1846" s="70" t="str">
        <f aca="false">IF($K1846="","",INDEX(Base!$F$5:$F$2004,$K1846))</f>
        <v/>
      </c>
      <c r="E1846" s="70" t="str">
        <f aca="false">IF($K1846="","",INDEX(Base!$G$5:$G$2004,$K1846))</f>
        <v/>
      </c>
      <c r="F1846" s="71" t="str">
        <f aca="false">IF($K1846="","",INDEX(Base!$H$5:$H$2004,$K1846))</f>
        <v/>
      </c>
      <c r="G1846" s="71" t="str">
        <f aca="false">IF($K1846="","",INDEX(Base!$I$5:$I$2004,$K1846))</f>
        <v/>
      </c>
      <c r="H1846" s="70" t="str">
        <f aca="false">IF($K1846="","",INDEX(Base!$J$5:$J$2004,$K1846))</f>
        <v/>
      </c>
      <c r="I1846" s="71" t="str">
        <f aca="false">IF($K1846="","",INDEX(Base!$L$5:$L$2004,$K1846))</f>
        <v/>
      </c>
      <c r="J1846" s="72" t="str">
        <f aca="false">IFERROR(SMALL(Base!$P$5:$P$2004,ROW()-5),"")</f>
        <v/>
      </c>
      <c r="K1846" s="72" t="str">
        <f aca="false">IF(J1846="","",MATCH(J1846,Base!$P$5:$P$2004,0))</f>
        <v/>
      </c>
    </row>
    <row r="1847" customFormat="false" ht="15" hidden="false" customHeight="false" outlineLevel="0" collapsed="false">
      <c r="A1847" s="67" t="str">
        <f aca="false">IF($K1847="","",ROW()-5)</f>
        <v/>
      </c>
      <c r="B1847" s="68" t="str">
        <f aca="false">IF($K1847="","",INDEX(Base!$E$5:$E$2004,$K1847))</f>
        <v/>
      </c>
      <c r="C1847" s="69" t="str">
        <f aca="false">IF($K1847="","",B1847)</f>
        <v/>
      </c>
      <c r="D1847" s="70" t="str">
        <f aca="false">IF($K1847="","",INDEX(Base!$F$5:$F$2004,$K1847))</f>
        <v/>
      </c>
      <c r="E1847" s="70" t="str">
        <f aca="false">IF($K1847="","",INDEX(Base!$G$5:$G$2004,$K1847))</f>
        <v/>
      </c>
      <c r="F1847" s="71" t="str">
        <f aca="false">IF($K1847="","",INDEX(Base!$H$5:$H$2004,$K1847))</f>
        <v/>
      </c>
      <c r="G1847" s="71" t="str">
        <f aca="false">IF($K1847="","",INDEX(Base!$I$5:$I$2004,$K1847))</f>
        <v/>
      </c>
      <c r="H1847" s="70" t="str">
        <f aca="false">IF($K1847="","",INDEX(Base!$J$5:$J$2004,$K1847))</f>
        <v/>
      </c>
      <c r="I1847" s="71" t="str">
        <f aca="false">IF($K1847="","",INDEX(Base!$L$5:$L$2004,$K1847))</f>
        <v/>
      </c>
      <c r="J1847" s="72" t="str">
        <f aca="false">IFERROR(SMALL(Base!$P$5:$P$2004,ROW()-5),"")</f>
        <v/>
      </c>
      <c r="K1847" s="72" t="str">
        <f aca="false">IF(J1847="","",MATCH(J1847,Base!$P$5:$P$2004,0))</f>
        <v/>
      </c>
    </row>
    <row r="1848" customFormat="false" ht="15" hidden="false" customHeight="false" outlineLevel="0" collapsed="false">
      <c r="A1848" s="67" t="str">
        <f aca="false">IF($K1848="","",ROW()-5)</f>
        <v/>
      </c>
      <c r="B1848" s="68" t="str">
        <f aca="false">IF($K1848="","",INDEX(Base!$E$5:$E$2004,$K1848))</f>
        <v/>
      </c>
      <c r="C1848" s="69" t="str">
        <f aca="false">IF($K1848="","",B1848)</f>
        <v/>
      </c>
      <c r="D1848" s="70" t="str">
        <f aca="false">IF($K1848="","",INDEX(Base!$F$5:$F$2004,$K1848))</f>
        <v/>
      </c>
      <c r="E1848" s="70" t="str">
        <f aca="false">IF($K1848="","",INDEX(Base!$G$5:$G$2004,$K1848))</f>
        <v/>
      </c>
      <c r="F1848" s="71" t="str">
        <f aca="false">IF($K1848="","",INDEX(Base!$H$5:$H$2004,$K1848))</f>
        <v/>
      </c>
      <c r="G1848" s="71" t="str">
        <f aca="false">IF($K1848="","",INDEX(Base!$I$5:$I$2004,$K1848))</f>
        <v/>
      </c>
      <c r="H1848" s="70" t="str">
        <f aca="false">IF($K1848="","",INDEX(Base!$J$5:$J$2004,$K1848))</f>
        <v/>
      </c>
      <c r="I1848" s="71" t="str">
        <f aca="false">IF($K1848="","",INDEX(Base!$L$5:$L$2004,$K1848))</f>
        <v/>
      </c>
      <c r="J1848" s="72" t="str">
        <f aca="false">IFERROR(SMALL(Base!$P$5:$P$2004,ROW()-5),"")</f>
        <v/>
      </c>
      <c r="K1848" s="72" t="str">
        <f aca="false">IF(J1848="","",MATCH(J1848,Base!$P$5:$P$2004,0))</f>
        <v/>
      </c>
    </row>
    <row r="1849" customFormat="false" ht="15" hidden="false" customHeight="false" outlineLevel="0" collapsed="false">
      <c r="A1849" s="67" t="str">
        <f aca="false">IF($K1849="","",ROW()-5)</f>
        <v/>
      </c>
      <c r="B1849" s="68" t="str">
        <f aca="false">IF($K1849="","",INDEX(Base!$E$5:$E$2004,$K1849))</f>
        <v/>
      </c>
      <c r="C1849" s="69" t="str">
        <f aca="false">IF($K1849="","",B1849)</f>
        <v/>
      </c>
      <c r="D1849" s="70" t="str">
        <f aca="false">IF($K1849="","",INDEX(Base!$F$5:$F$2004,$K1849))</f>
        <v/>
      </c>
      <c r="E1849" s="70" t="str">
        <f aca="false">IF($K1849="","",INDEX(Base!$G$5:$G$2004,$K1849))</f>
        <v/>
      </c>
      <c r="F1849" s="71" t="str">
        <f aca="false">IF($K1849="","",INDEX(Base!$H$5:$H$2004,$K1849))</f>
        <v/>
      </c>
      <c r="G1849" s="71" t="str">
        <f aca="false">IF($K1849="","",INDEX(Base!$I$5:$I$2004,$K1849))</f>
        <v/>
      </c>
      <c r="H1849" s="70" t="str">
        <f aca="false">IF($K1849="","",INDEX(Base!$J$5:$J$2004,$K1849))</f>
        <v/>
      </c>
      <c r="I1849" s="71" t="str">
        <f aca="false">IF($K1849="","",INDEX(Base!$L$5:$L$2004,$K1849))</f>
        <v/>
      </c>
      <c r="J1849" s="72" t="str">
        <f aca="false">IFERROR(SMALL(Base!$P$5:$P$2004,ROW()-5),"")</f>
        <v/>
      </c>
      <c r="K1849" s="72" t="str">
        <f aca="false">IF(J1849="","",MATCH(J1849,Base!$P$5:$P$2004,0))</f>
        <v/>
      </c>
    </row>
    <row r="1850" customFormat="false" ht="15" hidden="false" customHeight="false" outlineLevel="0" collapsed="false">
      <c r="A1850" s="67" t="str">
        <f aca="false">IF($K1850="","",ROW()-5)</f>
        <v/>
      </c>
      <c r="B1850" s="68" t="str">
        <f aca="false">IF($K1850="","",INDEX(Base!$E$5:$E$2004,$K1850))</f>
        <v/>
      </c>
      <c r="C1850" s="69" t="str">
        <f aca="false">IF($K1850="","",B1850)</f>
        <v/>
      </c>
      <c r="D1850" s="70" t="str">
        <f aca="false">IF($K1850="","",INDEX(Base!$F$5:$F$2004,$K1850))</f>
        <v/>
      </c>
      <c r="E1850" s="70" t="str">
        <f aca="false">IF($K1850="","",INDEX(Base!$G$5:$G$2004,$K1850))</f>
        <v/>
      </c>
      <c r="F1850" s="71" t="str">
        <f aca="false">IF($K1850="","",INDEX(Base!$H$5:$H$2004,$K1850))</f>
        <v/>
      </c>
      <c r="G1850" s="71" t="str">
        <f aca="false">IF($K1850="","",INDEX(Base!$I$5:$I$2004,$K1850))</f>
        <v/>
      </c>
      <c r="H1850" s="70" t="str">
        <f aca="false">IF($K1850="","",INDEX(Base!$J$5:$J$2004,$K1850))</f>
        <v/>
      </c>
      <c r="I1850" s="71" t="str">
        <f aca="false">IF($K1850="","",INDEX(Base!$L$5:$L$2004,$K1850))</f>
        <v/>
      </c>
      <c r="J1850" s="72" t="str">
        <f aca="false">IFERROR(SMALL(Base!$P$5:$P$2004,ROW()-5),"")</f>
        <v/>
      </c>
      <c r="K1850" s="72" t="str">
        <f aca="false">IF(J1850="","",MATCH(J1850,Base!$P$5:$P$2004,0))</f>
        <v/>
      </c>
    </row>
    <row r="1851" customFormat="false" ht="15" hidden="false" customHeight="false" outlineLevel="0" collapsed="false">
      <c r="A1851" s="67" t="str">
        <f aca="false">IF($K1851="","",ROW()-5)</f>
        <v/>
      </c>
      <c r="B1851" s="68" t="str">
        <f aca="false">IF($K1851="","",INDEX(Base!$E$5:$E$2004,$K1851))</f>
        <v/>
      </c>
      <c r="C1851" s="69" t="str">
        <f aca="false">IF($K1851="","",B1851)</f>
        <v/>
      </c>
      <c r="D1851" s="70" t="str">
        <f aca="false">IF($K1851="","",INDEX(Base!$F$5:$F$2004,$K1851))</f>
        <v/>
      </c>
      <c r="E1851" s="70" t="str">
        <f aca="false">IF($K1851="","",INDEX(Base!$G$5:$G$2004,$K1851))</f>
        <v/>
      </c>
      <c r="F1851" s="71" t="str">
        <f aca="false">IF($K1851="","",INDEX(Base!$H$5:$H$2004,$K1851))</f>
        <v/>
      </c>
      <c r="G1851" s="71" t="str">
        <f aca="false">IF($K1851="","",INDEX(Base!$I$5:$I$2004,$K1851))</f>
        <v/>
      </c>
      <c r="H1851" s="70" t="str">
        <f aca="false">IF($K1851="","",INDEX(Base!$J$5:$J$2004,$K1851))</f>
        <v/>
      </c>
      <c r="I1851" s="71" t="str">
        <f aca="false">IF($K1851="","",INDEX(Base!$L$5:$L$2004,$K1851))</f>
        <v/>
      </c>
      <c r="J1851" s="72" t="str">
        <f aca="false">IFERROR(SMALL(Base!$P$5:$P$2004,ROW()-5),"")</f>
        <v/>
      </c>
      <c r="K1851" s="72" t="str">
        <f aca="false">IF(J1851="","",MATCH(J1851,Base!$P$5:$P$2004,0))</f>
        <v/>
      </c>
    </row>
    <row r="1852" customFormat="false" ht="15" hidden="false" customHeight="false" outlineLevel="0" collapsed="false">
      <c r="A1852" s="67" t="str">
        <f aca="false">IF($K1852="","",ROW()-5)</f>
        <v/>
      </c>
      <c r="B1852" s="68" t="str">
        <f aca="false">IF($K1852="","",INDEX(Base!$E$5:$E$2004,$K1852))</f>
        <v/>
      </c>
      <c r="C1852" s="69" t="str">
        <f aca="false">IF($K1852="","",B1852)</f>
        <v/>
      </c>
      <c r="D1852" s="70" t="str">
        <f aca="false">IF($K1852="","",INDEX(Base!$F$5:$F$2004,$K1852))</f>
        <v/>
      </c>
      <c r="E1852" s="70" t="str">
        <f aca="false">IF($K1852="","",INDEX(Base!$G$5:$G$2004,$K1852))</f>
        <v/>
      </c>
      <c r="F1852" s="71" t="str">
        <f aca="false">IF($K1852="","",INDEX(Base!$H$5:$H$2004,$K1852))</f>
        <v/>
      </c>
      <c r="G1852" s="71" t="str">
        <f aca="false">IF($K1852="","",INDEX(Base!$I$5:$I$2004,$K1852))</f>
        <v/>
      </c>
      <c r="H1852" s="70" t="str">
        <f aca="false">IF($K1852="","",INDEX(Base!$J$5:$J$2004,$K1852))</f>
        <v/>
      </c>
      <c r="I1852" s="71" t="str">
        <f aca="false">IF($K1852="","",INDEX(Base!$L$5:$L$2004,$K1852))</f>
        <v/>
      </c>
      <c r="J1852" s="72" t="str">
        <f aca="false">IFERROR(SMALL(Base!$P$5:$P$2004,ROW()-5),"")</f>
        <v/>
      </c>
      <c r="K1852" s="72" t="str">
        <f aca="false">IF(J1852="","",MATCH(J1852,Base!$P$5:$P$2004,0))</f>
        <v/>
      </c>
    </row>
    <row r="1853" customFormat="false" ht="15" hidden="false" customHeight="false" outlineLevel="0" collapsed="false">
      <c r="A1853" s="67" t="str">
        <f aca="false">IF($K1853="","",ROW()-5)</f>
        <v/>
      </c>
      <c r="B1853" s="68" t="str">
        <f aca="false">IF($K1853="","",INDEX(Base!$E$5:$E$2004,$K1853))</f>
        <v/>
      </c>
      <c r="C1853" s="69" t="str">
        <f aca="false">IF($K1853="","",B1853)</f>
        <v/>
      </c>
      <c r="D1853" s="70" t="str">
        <f aca="false">IF($K1853="","",INDEX(Base!$F$5:$F$2004,$K1853))</f>
        <v/>
      </c>
      <c r="E1853" s="70" t="str">
        <f aca="false">IF($K1853="","",INDEX(Base!$G$5:$G$2004,$K1853))</f>
        <v/>
      </c>
      <c r="F1853" s="71" t="str">
        <f aca="false">IF($K1853="","",INDEX(Base!$H$5:$H$2004,$K1853))</f>
        <v/>
      </c>
      <c r="G1853" s="71" t="str">
        <f aca="false">IF($K1853="","",INDEX(Base!$I$5:$I$2004,$K1853))</f>
        <v/>
      </c>
      <c r="H1853" s="70" t="str">
        <f aca="false">IF($K1853="","",INDEX(Base!$J$5:$J$2004,$K1853))</f>
        <v/>
      </c>
      <c r="I1853" s="71" t="str">
        <f aca="false">IF($K1853="","",INDEX(Base!$L$5:$L$2004,$K1853))</f>
        <v/>
      </c>
      <c r="J1853" s="72" t="str">
        <f aca="false">IFERROR(SMALL(Base!$P$5:$P$2004,ROW()-5),"")</f>
        <v/>
      </c>
      <c r="K1853" s="72" t="str">
        <f aca="false">IF(J1853="","",MATCH(J1853,Base!$P$5:$P$2004,0))</f>
        <v/>
      </c>
    </row>
    <row r="1854" customFormat="false" ht="15" hidden="false" customHeight="false" outlineLevel="0" collapsed="false">
      <c r="A1854" s="67" t="str">
        <f aca="false">IF($K1854="","",ROW()-5)</f>
        <v/>
      </c>
      <c r="B1854" s="68" t="str">
        <f aca="false">IF($K1854="","",INDEX(Base!$E$5:$E$2004,$K1854))</f>
        <v/>
      </c>
      <c r="C1854" s="69" t="str">
        <f aca="false">IF($K1854="","",B1854)</f>
        <v/>
      </c>
      <c r="D1854" s="70" t="str">
        <f aca="false">IF($K1854="","",INDEX(Base!$F$5:$F$2004,$K1854))</f>
        <v/>
      </c>
      <c r="E1854" s="70" t="str">
        <f aca="false">IF($K1854="","",INDEX(Base!$G$5:$G$2004,$K1854))</f>
        <v/>
      </c>
      <c r="F1854" s="71" t="str">
        <f aca="false">IF($K1854="","",INDEX(Base!$H$5:$H$2004,$K1854))</f>
        <v/>
      </c>
      <c r="G1854" s="71" t="str">
        <f aca="false">IF($K1854="","",INDEX(Base!$I$5:$I$2004,$K1854))</f>
        <v/>
      </c>
      <c r="H1854" s="70" t="str">
        <f aca="false">IF($K1854="","",INDEX(Base!$J$5:$J$2004,$K1854))</f>
        <v/>
      </c>
      <c r="I1854" s="71" t="str">
        <f aca="false">IF($K1854="","",INDEX(Base!$L$5:$L$2004,$K1854))</f>
        <v/>
      </c>
      <c r="J1854" s="72" t="str">
        <f aca="false">IFERROR(SMALL(Base!$P$5:$P$2004,ROW()-5),"")</f>
        <v/>
      </c>
      <c r="K1854" s="72" t="str">
        <f aca="false">IF(J1854="","",MATCH(J1854,Base!$P$5:$P$2004,0))</f>
        <v/>
      </c>
    </row>
    <row r="1855" customFormat="false" ht="15" hidden="false" customHeight="false" outlineLevel="0" collapsed="false">
      <c r="A1855" s="67" t="str">
        <f aca="false">IF($K1855="","",ROW()-5)</f>
        <v/>
      </c>
      <c r="B1855" s="68" t="str">
        <f aca="false">IF($K1855="","",INDEX(Base!$E$5:$E$2004,$K1855))</f>
        <v/>
      </c>
      <c r="C1855" s="69" t="str">
        <f aca="false">IF($K1855="","",B1855)</f>
        <v/>
      </c>
      <c r="D1855" s="70" t="str">
        <f aca="false">IF($K1855="","",INDEX(Base!$F$5:$F$2004,$K1855))</f>
        <v/>
      </c>
      <c r="E1855" s="70" t="str">
        <f aca="false">IF($K1855="","",INDEX(Base!$G$5:$G$2004,$K1855))</f>
        <v/>
      </c>
      <c r="F1855" s="71" t="str">
        <f aca="false">IF($K1855="","",INDEX(Base!$H$5:$H$2004,$K1855))</f>
        <v/>
      </c>
      <c r="G1855" s="71" t="str">
        <f aca="false">IF($K1855="","",INDEX(Base!$I$5:$I$2004,$K1855))</f>
        <v/>
      </c>
      <c r="H1855" s="70" t="str">
        <f aca="false">IF($K1855="","",INDEX(Base!$J$5:$J$2004,$K1855))</f>
        <v/>
      </c>
      <c r="I1855" s="71" t="str">
        <f aca="false">IF($K1855="","",INDEX(Base!$L$5:$L$2004,$K1855))</f>
        <v/>
      </c>
      <c r="J1855" s="72" t="str">
        <f aca="false">IFERROR(SMALL(Base!$P$5:$P$2004,ROW()-5),"")</f>
        <v/>
      </c>
      <c r="K1855" s="72" t="str">
        <f aca="false">IF(J1855="","",MATCH(J1855,Base!$P$5:$P$2004,0))</f>
        <v/>
      </c>
    </row>
    <row r="1856" customFormat="false" ht="15" hidden="false" customHeight="false" outlineLevel="0" collapsed="false">
      <c r="A1856" s="67" t="str">
        <f aca="false">IF($K1856="","",ROW()-5)</f>
        <v/>
      </c>
      <c r="B1856" s="68" t="str">
        <f aca="false">IF($K1856="","",INDEX(Base!$E$5:$E$2004,$K1856))</f>
        <v/>
      </c>
      <c r="C1856" s="69" t="str">
        <f aca="false">IF($K1856="","",B1856)</f>
        <v/>
      </c>
      <c r="D1856" s="70" t="str">
        <f aca="false">IF($K1856="","",INDEX(Base!$F$5:$F$2004,$K1856))</f>
        <v/>
      </c>
      <c r="E1856" s="70" t="str">
        <f aca="false">IF($K1856="","",INDEX(Base!$G$5:$G$2004,$K1856))</f>
        <v/>
      </c>
      <c r="F1856" s="71" t="str">
        <f aca="false">IF($K1856="","",INDEX(Base!$H$5:$H$2004,$K1856))</f>
        <v/>
      </c>
      <c r="G1856" s="71" t="str">
        <f aca="false">IF($K1856="","",INDEX(Base!$I$5:$I$2004,$K1856))</f>
        <v/>
      </c>
      <c r="H1856" s="70" t="str">
        <f aca="false">IF($K1856="","",INDEX(Base!$J$5:$J$2004,$K1856))</f>
        <v/>
      </c>
      <c r="I1856" s="71" t="str">
        <f aca="false">IF($K1856="","",INDEX(Base!$L$5:$L$2004,$K1856))</f>
        <v/>
      </c>
      <c r="J1856" s="72" t="str">
        <f aca="false">IFERROR(SMALL(Base!$P$5:$P$2004,ROW()-5),"")</f>
        <v/>
      </c>
      <c r="K1856" s="72" t="str">
        <f aca="false">IF(J1856="","",MATCH(J1856,Base!$P$5:$P$2004,0))</f>
        <v/>
      </c>
    </row>
    <row r="1857" customFormat="false" ht="15" hidden="false" customHeight="false" outlineLevel="0" collapsed="false">
      <c r="A1857" s="67" t="str">
        <f aca="false">IF($K1857="","",ROW()-5)</f>
        <v/>
      </c>
      <c r="B1857" s="68" t="str">
        <f aca="false">IF($K1857="","",INDEX(Base!$E$5:$E$2004,$K1857))</f>
        <v/>
      </c>
      <c r="C1857" s="69" t="str">
        <f aca="false">IF($K1857="","",B1857)</f>
        <v/>
      </c>
      <c r="D1857" s="70" t="str">
        <f aca="false">IF($K1857="","",INDEX(Base!$F$5:$F$2004,$K1857))</f>
        <v/>
      </c>
      <c r="E1857" s="70" t="str">
        <f aca="false">IF($K1857="","",INDEX(Base!$G$5:$G$2004,$K1857))</f>
        <v/>
      </c>
      <c r="F1857" s="71" t="str">
        <f aca="false">IF($K1857="","",INDEX(Base!$H$5:$H$2004,$K1857))</f>
        <v/>
      </c>
      <c r="G1857" s="71" t="str">
        <f aca="false">IF($K1857="","",INDEX(Base!$I$5:$I$2004,$K1857))</f>
        <v/>
      </c>
      <c r="H1857" s="70" t="str">
        <f aca="false">IF($K1857="","",INDEX(Base!$J$5:$J$2004,$K1857))</f>
        <v/>
      </c>
      <c r="I1857" s="71" t="str">
        <f aca="false">IF($K1857="","",INDEX(Base!$L$5:$L$2004,$K1857))</f>
        <v/>
      </c>
      <c r="J1857" s="72" t="str">
        <f aca="false">IFERROR(SMALL(Base!$P$5:$P$2004,ROW()-5),"")</f>
        <v/>
      </c>
      <c r="K1857" s="72" t="str">
        <f aca="false">IF(J1857="","",MATCH(J1857,Base!$P$5:$P$2004,0))</f>
        <v/>
      </c>
    </row>
    <row r="1858" customFormat="false" ht="15" hidden="false" customHeight="false" outlineLevel="0" collapsed="false">
      <c r="A1858" s="67" t="str">
        <f aca="false">IF($K1858="","",ROW()-5)</f>
        <v/>
      </c>
      <c r="B1858" s="68" t="str">
        <f aca="false">IF($K1858="","",INDEX(Base!$E$5:$E$2004,$K1858))</f>
        <v/>
      </c>
      <c r="C1858" s="69" t="str">
        <f aca="false">IF($K1858="","",B1858)</f>
        <v/>
      </c>
      <c r="D1858" s="70" t="str">
        <f aca="false">IF($K1858="","",INDEX(Base!$F$5:$F$2004,$K1858))</f>
        <v/>
      </c>
      <c r="E1858" s="70" t="str">
        <f aca="false">IF($K1858="","",INDEX(Base!$G$5:$G$2004,$K1858))</f>
        <v/>
      </c>
      <c r="F1858" s="71" t="str">
        <f aca="false">IF($K1858="","",INDEX(Base!$H$5:$H$2004,$K1858))</f>
        <v/>
      </c>
      <c r="G1858" s="71" t="str">
        <f aca="false">IF($K1858="","",INDEX(Base!$I$5:$I$2004,$K1858))</f>
        <v/>
      </c>
      <c r="H1858" s="70" t="str">
        <f aca="false">IF($K1858="","",INDEX(Base!$J$5:$J$2004,$K1858))</f>
        <v/>
      </c>
      <c r="I1858" s="71" t="str">
        <f aca="false">IF($K1858="","",INDEX(Base!$L$5:$L$2004,$K1858))</f>
        <v/>
      </c>
      <c r="J1858" s="72" t="str">
        <f aca="false">IFERROR(SMALL(Base!$P$5:$P$2004,ROW()-5),"")</f>
        <v/>
      </c>
      <c r="K1858" s="72" t="str">
        <f aca="false">IF(J1858="","",MATCH(J1858,Base!$P$5:$P$2004,0))</f>
        <v/>
      </c>
    </row>
    <row r="1859" customFormat="false" ht="15" hidden="false" customHeight="false" outlineLevel="0" collapsed="false">
      <c r="A1859" s="67" t="str">
        <f aca="false">IF($K1859="","",ROW()-5)</f>
        <v/>
      </c>
      <c r="B1859" s="68" t="str">
        <f aca="false">IF($K1859="","",INDEX(Base!$E$5:$E$2004,$K1859))</f>
        <v/>
      </c>
      <c r="C1859" s="69" t="str">
        <f aca="false">IF($K1859="","",B1859)</f>
        <v/>
      </c>
      <c r="D1859" s="70" t="str">
        <f aca="false">IF($K1859="","",INDEX(Base!$F$5:$F$2004,$K1859))</f>
        <v/>
      </c>
      <c r="E1859" s="70" t="str">
        <f aca="false">IF($K1859="","",INDEX(Base!$G$5:$G$2004,$K1859))</f>
        <v/>
      </c>
      <c r="F1859" s="71" t="str">
        <f aca="false">IF($K1859="","",INDEX(Base!$H$5:$H$2004,$K1859))</f>
        <v/>
      </c>
      <c r="G1859" s="71" t="str">
        <f aca="false">IF($K1859="","",INDEX(Base!$I$5:$I$2004,$K1859))</f>
        <v/>
      </c>
      <c r="H1859" s="70" t="str">
        <f aca="false">IF($K1859="","",INDEX(Base!$J$5:$J$2004,$K1859))</f>
        <v/>
      </c>
      <c r="I1859" s="71" t="str">
        <f aca="false">IF($K1859="","",INDEX(Base!$L$5:$L$2004,$K1859))</f>
        <v/>
      </c>
      <c r="J1859" s="72" t="str">
        <f aca="false">IFERROR(SMALL(Base!$P$5:$P$2004,ROW()-5),"")</f>
        <v/>
      </c>
      <c r="K1859" s="72" t="str">
        <f aca="false">IF(J1859="","",MATCH(J1859,Base!$P$5:$P$2004,0))</f>
        <v/>
      </c>
    </row>
    <row r="1860" customFormat="false" ht="15" hidden="false" customHeight="false" outlineLevel="0" collapsed="false">
      <c r="A1860" s="67" t="str">
        <f aca="false">IF($K1860="","",ROW()-5)</f>
        <v/>
      </c>
      <c r="B1860" s="68" t="str">
        <f aca="false">IF($K1860="","",INDEX(Base!$E$5:$E$2004,$K1860))</f>
        <v/>
      </c>
      <c r="C1860" s="69" t="str">
        <f aca="false">IF($K1860="","",B1860)</f>
        <v/>
      </c>
      <c r="D1860" s="70" t="str">
        <f aca="false">IF($K1860="","",INDEX(Base!$F$5:$F$2004,$K1860))</f>
        <v/>
      </c>
      <c r="E1860" s="70" t="str">
        <f aca="false">IF($K1860="","",INDEX(Base!$G$5:$G$2004,$K1860))</f>
        <v/>
      </c>
      <c r="F1860" s="71" t="str">
        <f aca="false">IF($K1860="","",INDEX(Base!$H$5:$H$2004,$K1860))</f>
        <v/>
      </c>
      <c r="G1860" s="71" t="str">
        <f aca="false">IF($K1860="","",INDEX(Base!$I$5:$I$2004,$K1860))</f>
        <v/>
      </c>
      <c r="H1860" s="70" t="str">
        <f aca="false">IF($K1860="","",INDEX(Base!$J$5:$J$2004,$K1860))</f>
        <v/>
      </c>
      <c r="I1860" s="71" t="str">
        <f aca="false">IF($K1860="","",INDEX(Base!$L$5:$L$2004,$K1860))</f>
        <v/>
      </c>
      <c r="J1860" s="72" t="str">
        <f aca="false">IFERROR(SMALL(Base!$P$5:$P$2004,ROW()-5),"")</f>
        <v/>
      </c>
      <c r="K1860" s="72" t="str">
        <f aca="false">IF(J1860="","",MATCH(J1860,Base!$P$5:$P$2004,0))</f>
        <v/>
      </c>
    </row>
    <row r="1861" customFormat="false" ht="15" hidden="false" customHeight="false" outlineLevel="0" collapsed="false">
      <c r="A1861" s="67" t="str">
        <f aca="false">IF($K1861="","",ROW()-5)</f>
        <v/>
      </c>
      <c r="B1861" s="68" t="str">
        <f aca="false">IF($K1861="","",INDEX(Base!$E$5:$E$2004,$K1861))</f>
        <v/>
      </c>
      <c r="C1861" s="69" t="str">
        <f aca="false">IF($K1861="","",B1861)</f>
        <v/>
      </c>
      <c r="D1861" s="70" t="str">
        <f aca="false">IF($K1861="","",INDEX(Base!$F$5:$F$2004,$K1861))</f>
        <v/>
      </c>
      <c r="E1861" s="70" t="str">
        <f aca="false">IF($K1861="","",INDEX(Base!$G$5:$G$2004,$K1861))</f>
        <v/>
      </c>
      <c r="F1861" s="71" t="str">
        <f aca="false">IF($K1861="","",INDEX(Base!$H$5:$H$2004,$K1861))</f>
        <v/>
      </c>
      <c r="G1861" s="71" t="str">
        <f aca="false">IF($K1861="","",INDEX(Base!$I$5:$I$2004,$K1861))</f>
        <v/>
      </c>
      <c r="H1861" s="70" t="str">
        <f aca="false">IF($K1861="","",INDEX(Base!$J$5:$J$2004,$K1861))</f>
        <v/>
      </c>
      <c r="I1861" s="71" t="str">
        <f aca="false">IF($K1861="","",INDEX(Base!$L$5:$L$2004,$K1861))</f>
        <v/>
      </c>
      <c r="J1861" s="72" t="str">
        <f aca="false">IFERROR(SMALL(Base!$P$5:$P$2004,ROW()-5),"")</f>
        <v/>
      </c>
      <c r="K1861" s="72" t="str">
        <f aca="false">IF(J1861="","",MATCH(J1861,Base!$P$5:$P$2004,0))</f>
        <v/>
      </c>
    </row>
    <row r="1862" customFormat="false" ht="15" hidden="false" customHeight="false" outlineLevel="0" collapsed="false">
      <c r="A1862" s="67" t="str">
        <f aca="false">IF($K1862="","",ROW()-5)</f>
        <v/>
      </c>
      <c r="B1862" s="68" t="str">
        <f aca="false">IF($K1862="","",INDEX(Base!$E$5:$E$2004,$K1862))</f>
        <v/>
      </c>
      <c r="C1862" s="69" t="str">
        <f aca="false">IF($K1862="","",B1862)</f>
        <v/>
      </c>
      <c r="D1862" s="70" t="str">
        <f aca="false">IF($K1862="","",INDEX(Base!$F$5:$F$2004,$K1862))</f>
        <v/>
      </c>
      <c r="E1862" s="70" t="str">
        <f aca="false">IF($K1862="","",INDEX(Base!$G$5:$G$2004,$K1862))</f>
        <v/>
      </c>
      <c r="F1862" s="71" t="str">
        <f aca="false">IF($K1862="","",INDEX(Base!$H$5:$H$2004,$K1862))</f>
        <v/>
      </c>
      <c r="G1862" s="71" t="str">
        <f aca="false">IF($K1862="","",INDEX(Base!$I$5:$I$2004,$K1862))</f>
        <v/>
      </c>
      <c r="H1862" s="70" t="str">
        <f aca="false">IF($K1862="","",INDEX(Base!$J$5:$J$2004,$K1862))</f>
        <v/>
      </c>
      <c r="I1862" s="71" t="str">
        <f aca="false">IF($K1862="","",INDEX(Base!$L$5:$L$2004,$K1862))</f>
        <v/>
      </c>
      <c r="J1862" s="72" t="str">
        <f aca="false">IFERROR(SMALL(Base!$P$5:$P$2004,ROW()-5),"")</f>
        <v/>
      </c>
      <c r="K1862" s="72" t="str">
        <f aca="false">IF(J1862="","",MATCH(J1862,Base!$P$5:$P$2004,0))</f>
        <v/>
      </c>
    </row>
    <row r="1863" customFormat="false" ht="15" hidden="false" customHeight="false" outlineLevel="0" collapsed="false">
      <c r="A1863" s="67" t="str">
        <f aca="false">IF($K1863="","",ROW()-5)</f>
        <v/>
      </c>
      <c r="B1863" s="68" t="str">
        <f aca="false">IF($K1863="","",INDEX(Base!$E$5:$E$2004,$K1863))</f>
        <v/>
      </c>
      <c r="C1863" s="69" t="str">
        <f aca="false">IF($K1863="","",B1863)</f>
        <v/>
      </c>
      <c r="D1863" s="70" t="str">
        <f aca="false">IF($K1863="","",INDEX(Base!$F$5:$F$2004,$K1863))</f>
        <v/>
      </c>
      <c r="E1863" s="70" t="str">
        <f aca="false">IF($K1863="","",INDEX(Base!$G$5:$G$2004,$K1863))</f>
        <v/>
      </c>
      <c r="F1863" s="71" t="str">
        <f aca="false">IF($K1863="","",INDEX(Base!$H$5:$H$2004,$K1863))</f>
        <v/>
      </c>
      <c r="G1863" s="71" t="str">
        <f aca="false">IF($K1863="","",INDEX(Base!$I$5:$I$2004,$K1863))</f>
        <v/>
      </c>
      <c r="H1863" s="70" t="str">
        <f aca="false">IF($K1863="","",INDEX(Base!$J$5:$J$2004,$K1863))</f>
        <v/>
      </c>
      <c r="I1863" s="71" t="str">
        <f aca="false">IF($K1863="","",INDEX(Base!$L$5:$L$2004,$K1863))</f>
        <v/>
      </c>
      <c r="J1863" s="72" t="str">
        <f aca="false">IFERROR(SMALL(Base!$P$5:$P$2004,ROW()-5),"")</f>
        <v/>
      </c>
      <c r="K1863" s="72" t="str">
        <f aca="false">IF(J1863="","",MATCH(J1863,Base!$P$5:$P$2004,0))</f>
        <v/>
      </c>
    </row>
    <row r="1864" customFormat="false" ht="15" hidden="false" customHeight="false" outlineLevel="0" collapsed="false">
      <c r="A1864" s="67" t="str">
        <f aca="false">IF($K1864="","",ROW()-5)</f>
        <v/>
      </c>
      <c r="B1864" s="68" t="str">
        <f aca="false">IF($K1864="","",INDEX(Base!$E$5:$E$2004,$K1864))</f>
        <v/>
      </c>
      <c r="C1864" s="69" t="str">
        <f aca="false">IF($K1864="","",B1864)</f>
        <v/>
      </c>
      <c r="D1864" s="70" t="str">
        <f aca="false">IF($K1864="","",INDEX(Base!$F$5:$F$2004,$K1864))</f>
        <v/>
      </c>
      <c r="E1864" s="70" t="str">
        <f aca="false">IF($K1864="","",INDEX(Base!$G$5:$G$2004,$K1864))</f>
        <v/>
      </c>
      <c r="F1864" s="71" t="str">
        <f aca="false">IF($K1864="","",INDEX(Base!$H$5:$H$2004,$K1864))</f>
        <v/>
      </c>
      <c r="G1864" s="71" t="str">
        <f aca="false">IF($K1864="","",INDEX(Base!$I$5:$I$2004,$K1864))</f>
        <v/>
      </c>
      <c r="H1864" s="70" t="str">
        <f aca="false">IF($K1864="","",INDEX(Base!$J$5:$J$2004,$K1864))</f>
        <v/>
      </c>
      <c r="I1864" s="71" t="str">
        <f aca="false">IF($K1864="","",INDEX(Base!$L$5:$L$2004,$K1864))</f>
        <v/>
      </c>
      <c r="J1864" s="72" t="str">
        <f aca="false">IFERROR(SMALL(Base!$P$5:$P$2004,ROW()-5),"")</f>
        <v/>
      </c>
      <c r="K1864" s="72" t="str">
        <f aca="false">IF(J1864="","",MATCH(J1864,Base!$P$5:$P$2004,0))</f>
        <v/>
      </c>
    </row>
    <row r="1865" customFormat="false" ht="15" hidden="false" customHeight="false" outlineLevel="0" collapsed="false">
      <c r="A1865" s="67" t="str">
        <f aca="false">IF($K1865="","",ROW()-5)</f>
        <v/>
      </c>
      <c r="B1865" s="68" t="str">
        <f aca="false">IF($K1865="","",INDEX(Base!$E$5:$E$2004,$K1865))</f>
        <v/>
      </c>
      <c r="C1865" s="69" t="str">
        <f aca="false">IF($K1865="","",B1865)</f>
        <v/>
      </c>
      <c r="D1865" s="70" t="str">
        <f aca="false">IF($K1865="","",INDEX(Base!$F$5:$F$2004,$K1865))</f>
        <v/>
      </c>
      <c r="E1865" s="70" t="str">
        <f aca="false">IF($K1865="","",INDEX(Base!$G$5:$G$2004,$K1865))</f>
        <v/>
      </c>
      <c r="F1865" s="71" t="str">
        <f aca="false">IF($K1865="","",INDEX(Base!$H$5:$H$2004,$K1865))</f>
        <v/>
      </c>
      <c r="G1865" s="71" t="str">
        <f aca="false">IF($K1865="","",INDEX(Base!$I$5:$I$2004,$K1865))</f>
        <v/>
      </c>
      <c r="H1865" s="70" t="str">
        <f aca="false">IF($K1865="","",INDEX(Base!$J$5:$J$2004,$K1865))</f>
        <v/>
      </c>
      <c r="I1865" s="71" t="str">
        <f aca="false">IF($K1865="","",INDEX(Base!$L$5:$L$2004,$K1865))</f>
        <v/>
      </c>
      <c r="J1865" s="72" t="str">
        <f aca="false">IFERROR(SMALL(Base!$P$5:$P$2004,ROW()-5),"")</f>
        <v/>
      </c>
      <c r="K1865" s="72" t="str">
        <f aca="false">IF(J1865="","",MATCH(J1865,Base!$P$5:$P$2004,0))</f>
        <v/>
      </c>
    </row>
    <row r="1866" customFormat="false" ht="15" hidden="false" customHeight="false" outlineLevel="0" collapsed="false">
      <c r="A1866" s="67" t="str">
        <f aca="false">IF($K1866="","",ROW()-5)</f>
        <v/>
      </c>
      <c r="B1866" s="68" t="str">
        <f aca="false">IF($K1866="","",INDEX(Base!$E$5:$E$2004,$K1866))</f>
        <v/>
      </c>
      <c r="C1866" s="69" t="str">
        <f aca="false">IF($K1866="","",B1866)</f>
        <v/>
      </c>
      <c r="D1866" s="70" t="str">
        <f aca="false">IF($K1866="","",INDEX(Base!$F$5:$F$2004,$K1866))</f>
        <v/>
      </c>
      <c r="E1866" s="70" t="str">
        <f aca="false">IF($K1866="","",INDEX(Base!$G$5:$G$2004,$K1866))</f>
        <v/>
      </c>
      <c r="F1866" s="71" t="str">
        <f aca="false">IF($K1866="","",INDEX(Base!$H$5:$H$2004,$K1866))</f>
        <v/>
      </c>
      <c r="G1866" s="71" t="str">
        <f aca="false">IF($K1866="","",INDEX(Base!$I$5:$I$2004,$K1866))</f>
        <v/>
      </c>
      <c r="H1866" s="70" t="str">
        <f aca="false">IF($K1866="","",INDEX(Base!$J$5:$J$2004,$K1866))</f>
        <v/>
      </c>
      <c r="I1866" s="71" t="str">
        <f aca="false">IF($K1866="","",INDEX(Base!$L$5:$L$2004,$K1866))</f>
        <v/>
      </c>
      <c r="J1866" s="72" t="str">
        <f aca="false">IFERROR(SMALL(Base!$P$5:$P$2004,ROW()-5),"")</f>
        <v/>
      </c>
      <c r="K1866" s="72" t="str">
        <f aca="false">IF(J1866="","",MATCH(J1866,Base!$P$5:$P$2004,0))</f>
        <v/>
      </c>
    </row>
    <row r="1867" customFormat="false" ht="15" hidden="false" customHeight="false" outlineLevel="0" collapsed="false">
      <c r="A1867" s="67" t="str">
        <f aca="false">IF($K1867="","",ROW()-5)</f>
        <v/>
      </c>
      <c r="B1867" s="68" t="str">
        <f aca="false">IF($K1867="","",INDEX(Base!$E$5:$E$2004,$K1867))</f>
        <v/>
      </c>
      <c r="C1867" s="69" t="str">
        <f aca="false">IF($K1867="","",B1867)</f>
        <v/>
      </c>
      <c r="D1867" s="70" t="str">
        <f aca="false">IF($K1867="","",INDEX(Base!$F$5:$F$2004,$K1867))</f>
        <v/>
      </c>
      <c r="E1867" s="70" t="str">
        <f aca="false">IF($K1867="","",INDEX(Base!$G$5:$G$2004,$K1867))</f>
        <v/>
      </c>
      <c r="F1867" s="71" t="str">
        <f aca="false">IF($K1867="","",INDEX(Base!$H$5:$H$2004,$K1867))</f>
        <v/>
      </c>
      <c r="G1867" s="71" t="str">
        <f aca="false">IF($K1867="","",INDEX(Base!$I$5:$I$2004,$K1867))</f>
        <v/>
      </c>
      <c r="H1867" s="70" t="str">
        <f aca="false">IF($K1867="","",INDEX(Base!$J$5:$J$2004,$K1867))</f>
        <v/>
      </c>
      <c r="I1867" s="71" t="str">
        <f aca="false">IF($K1867="","",INDEX(Base!$L$5:$L$2004,$K1867))</f>
        <v/>
      </c>
      <c r="J1867" s="72" t="str">
        <f aca="false">IFERROR(SMALL(Base!$P$5:$P$2004,ROW()-5),"")</f>
        <v/>
      </c>
      <c r="K1867" s="72" t="str">
        <f aca="false">IF(J1867="","",MATCH(J1867,Base!$P$5:$P$2004,0))</f>
        <v/>
      </c>
    </row>
    <row r="1868" customFormat="false" ht="15" hidden="false" customHeight="false" outlineLevel="0" collapsed="false">
      <c r="A1868" s="67" t="str">
        <f aca="false">IF($K1868="","",ROW()-5)</f>
        <v/>
      </c>
      <c r="B1868" s="68" t="str">
        <f aca="false">IF($K1868="","",INDEX(Base!$E$5:$E$2004,$K1868))</f>
        <v/>
      </c>
      <c r="C1868" s="69" t="str">
        <f aca="false">IF($K1868="","",B1868)</f>
        <v/>
      </c>
      <c r="D1868" s="70" t="str">
        <f aca="false">IF($K1868="","",INDEX(Base!$F$5:$F$2004,$K1868))</f>
        <v/>
      </c>
      <c r="E1868" s="70" t="str">
        <f aca="false">IF($K1868="","",INDEX(Base!$G$5:$G$2004,$K1868))</f>
        <v/>
      </c>
      <c r="F1868" s="71" t="str">
        <f aca="false">IF($K1868="","",INDEX(Base!$H$5:$H$2004,$K1868))</f>
        <v/>
      </c>
      <c r="G1868" s="71" t="str">
        <f aca="false">IF($K1868="","",INDEX(Base!$I$5:$I$2004,$K1868))</f>
        <v/>
      </c>
      <c r="H1868" s="70" t="str">
        <f aca="false">IF($K1868="","",INDEX(Base!$J$5:$J$2004,$K1868))</f>
        <v/>
      </c>
      <c r="I1868" s="71" t="str">
        <f aca="false">IF($K1868="","",INDEX(Base!$L$5:$L$2004,$K1868))</f>
        <v/>
      </c>
      <c r="J1868" s="72" t="str">
        <f aca="false">IFERROR(SMALL(Base!$P$5:$P$2004,ROW()-5),"")</f>
        <v/>
      </c>
      <c r="K1868" s="72" t="str">
        <f aca="false">IF(J1868="","",MATCH(J1868,Base!$P$5:$P$2004,0))</f>
        <v/>
      </c>
    </row>
    <row r="1869" customFormat="false" ht="15" hidden="false" customHeight="false" outlineLevel="0" collapsed="false">
      <c r="A1869" s="67" t="str">
        <f aca="false">IF($K1869="","",ROW()-5)</f>
        <v/>
      </c>
      <c r="B1869" s="68" t="str">
        <f aca="false">IF($K1869="","",INDEX(Base!$E$5:$E$2004,$K1869))</f>
        <v/>
      </c>
      <c r="C1869" s="69" t="str">
        <f aca="false">IF($K1869="","",B1869)</f>
        <v/>
      </c>
      <c r="D1869" s="70" t="str">
        <f aca="false">IF($K1869="","",INDEX(Base!$F$5:$F$2004,$K1869))</f>
        <v/>
      </c>
      <c r="E1869" s="70" t="str">
        <f aca="false">IF($K1869="","",INDEX(Base!$G$5:$G$2004,$K1869))</f>
        <v/>
      </c>
      <c r="F1869" s="71" t="str">
        <f aca="false">IF($K1869="","",INDEX(Base!$H$5:$H$2004,$K1869))</f>
        <v/>
      </c>
      <c r="G1869" s="71" t="str">
        <f aca="false">IF($K1869="","",INDEX(Base!$I$5:$I$2004,$K1869))</f>
        <v/>
      </c>
      <c r="H1869" s="70" t="str">
        <f aca="false">IF($K1869="","",INDEX(Base!$J$5:$J$2004,$K1869))</f>
        <v/>
      </c>
      <c r="I1869" s="71" t="str">
        <f aca="false">IF($K1869="","",INDEX(Base!$L$5:$L$2004,$K1869))</f>
        <v/>
      </c>
      <c r="J1869" s="72" t="str">
        <f aca="false">IFERROR(SMALL(Base!$P$5:$P$2004,ROW()-5),"")</f>
        <v/>
      </c>
      <c r="K1869" s="72" t="str">
        <f aca="false">IF(J1869="","",MATCH(J1869,Base!$P$5:$P$2004,0))</f>
        <v/>
      </c>
    </row>
    <row r="1870" customFormat="false" ht="15" hidden="false" customHeight="false" outlineLevel="0" collapsed="false">
      <c r="A1870" s="67" t="str">
        <f aca="false">IF($K1870="","",ROW()-5)</f>
        <v/>
      </c>
      <c r="B1870" s="68" t="str">
        <f aca="false">IF($K1870="","",INDEX(Base!$E$5:$E$2004,$K1870))</f>
        <v/>
      </c>
      <c r="C1870" s="69" t="str">
        <f aca="false">IF($K1870="","",B1870)</f>
        <v/>
      </c>
      <c r="D1870" s="70" t="str">
        <f aca="false">IF($K1870="","",INDEX(Base!$F$5:$F$2004,$K1870))</f>
        <v/>
      </c>
      <c r="E1870" s="70" t="str">
        <f aca="false">IF($K1870="","",INDEX(Base!$G$5:$G$2004,$K1870))</f>
        <v/>
      </c>
      <c r="F1870" s="71" t="str">
        <f aca="false">IF($K1870="","",INDEX(Base!$H$5:$H$2004,$K1870))</f>
        <v/>
      </c>
      <c r="G1870" s="71" t="str">
        <f aca="false">IF($K1870="","",INDEX(Base!$I$5:$I$2004,$K1870))</f>
        <v/>
      </c>
      <c r="H1870" s="70" t="str">
        <f aca="false">IF($K1870="","",INDEX(Base!$J$5:$J$2004,$K1870))</f>
        <v/>
      </c>
      <c r="I1870" s="71" t="str">
        <f aca="false">IF($K1870="","",INDEX(Base!$L$5:$L$2004,$K1870))</f>
        <v/>
      </c>
      <c r="J1870" s="72" t="str">
        <f aca="false">IFERROR(SMALL(Base!$P$5:$P$2004,ROW()-5),"")</f>
        <v/>
      </c>
      <c r="K1870" s="72" t="str">
        <f aca="false">IF(J1870="","",MATCH(J1870,Base!$P$5:$P$2004,0))</f>
        <v/>
      </c>
    </row>
    <row r="1871" customFormat="false" ht="15" hidden="false" customHeight="false" outlineLevel="0" collapsed="false">
      <c r="A1871" s="67" t="str">
        <f aca="false">IF($K1871="","",ROW()-5)</f>
        <v/>
      </c>
      <c r="B1871" s="68" t="str">
        <f aca="false">IF($K1871="","",INDEX(Base!$E$5:$E$2004,$K1871))</f>
        <v/>
      </c>
      <c r="C1871" s="69" t="str">
        <f aca="false">IF($K1871="","",B1871)</f>
        <v/>
      </c>
      <c r="D1871" s="70" t="str">
        <f aca="false">IF($K1871="","",INDEX(Base!$F$5:$F$2004,$K1871))</f>
        <v/>
      </c>
      <c r="E1871" s="70" t="str">
        <f aca="false">IF($K1871="","",INDEX(Base!$G$5:$G$2004,$K1871))</f>
        <v/>
      </c>
      <c r="F1871" s="71" t="str">
        <f aca="false">IF($K1871="","",INDEX(Base!$H$5:$H$2004,$K1871))</f>
        <v/>
      </c>
      <c r="G1871" s="71" t="str">
        <f aca="false">IF($K1871="","",INDEX(Base!$I$5:$I$2004,$K1871))</f>
        <v/>
      </c>
      <c r="H1871" s="70" t="str">
        <f aca="false">IF($K1871="","",INDEX(Base!$J$5:$J$2004,$K1871))</f>
        <v/>
      </c>
      <c r="I1871" s="71" t="str">
        <f aca="false">IF($K1871="","",INDEX(Base!$L$5:$L$2004,$K1871))</f>
        <v/>
      </c>
      <c r="J1871" s="72" t="str">
        <f aca="false">IFERROR(SMALL(Base!$P$5:$P$2004,ROW()-5),"")</f>
        <v/>
      </c>
      <c r="K1871" s="72" t="str">
        <f aca="false">IF(J1871="","",MATCH(J1871,Base!$P$5:$P$2004,0))</f>
        <v/>
      </c>
    </row>
    <row r="1872" customFormat="false" ht="15" hidden="false" customHeight="false" outlineLevel="0" collapsed="false">
      <c r="A1872" s="67" t="str">
        <f aca="false">IF($K1872="","",ROW()-5)</f>
        <v/>
      </c>
      <c r="B1872" s="68" t="str">
        <f aca="false">IF($K1872="","",INDEX(Base!$E$5:$E$2004,$K1872))</f>
        <v/>
      </c>
      <c r="C1872" s="69" t="str">
        <f aca="false">IF($K1872="","",B1872)</f>
        <v/>
      </c>
      <c r="D1872" s="70" t="str">
        <f aca="false">IF($K1872="","",INDEX(Base!$F$5:$F$2004,$K1872))</f>
        <v/>
      </c>
      <c r="E1872" s="70" t="str">
        <f aca="false">IF($K1872="","",INDEX(Base!$G$5:$G$2004,$K1872))</f>
        <v/>
      </c>
      <c r="F1872" s="71" t="str">
        <f aca="false">IF($K1872="","",INDEX(Base!$H$5:$H$2004,$K1872))</f>
        <v/>
      </c>
      <c r="G1872" s="71" t="str">
        <f aca="false">IF($K1872="","",INDEX(Base!$I$5:$I$2004,$K1872))</f>
        <v/>
      </c>
      <c r="H1872" s="70" t="str">
        <f aca="false">IF($K1872="","",INDEX(Base!$J$5:$J$2004,$K1872))</f>
        <v/>
      </c>
      <c r="I1872" s="71" t="str">
        <f aca="false">IF($K1872="","",INDEX(Base!$L$5:$L$2004,$K1872))</f>
        <v/>
      </c>
      <c r="J1872" s="72" t="str">
        <f aca="false">IFERROR(SMALL(Base!$P$5:$P$2004,ROW()-5),"")</f>
        <v/>
      </c>
      <c r="K1872" s="72" t="str">
        <f aca="false">IF(J1872="","",MATCH(J1872,Base!$P$5:$P$2004,0))</f>
        <v/>
      </c>
    </row>
    <row r="1873" customFormat="false" ht="15" hidden="false" customHeight="false" outlineLevel="0" collapsed="false">
      <c r="A1873" s="67" t="str">
        <f aca="false">IF($K1873="","",ROW()-5)</f>
        <v/>
      </c>
      <c r="B1873" s="68" t="str">
        <f aca="false">IF($K1873="","",INDEX(Base!$E$5:$E$2004,$K1873))</f>
        <v/>
      </c>
      <c r="C1873" s="69" t="str">
        <f aca="false">IF($K1873="","",B1873)</f>
        <v/>
      </c>
      <c r="D1873" s="70" t="str">
        <f aca="false">IF($K1873="","",INDEX(Base!$F$5:$F$2004,$K1873))</f>
        <v/>
      </c>
      <c r="E1873" s="70" t="str">
        <f aca="false">IF($K1873="","",INDEX(Base!$G$5:$G$2004,$K1873))</f>
        <v/>
      </c>
      <c r="F1873" s="71" t="str">
        <f aca="false">IF($K1873="","",INDEX(Base!$H$5:$H$2004,$K1873))</f>
        <v/>
      </c>
      <c r="G1873" s="71" t="str">
        <f aca="false">IF($K1873="","",INDEX(Base!$I$5:$I$2004,$K1873))</f>
        <v/>
      </c>
      <c r="H1873" s="70" t="str">
        <f aca="false">IF($K1873="","",INDEX(Base!$J$5:$J$2004,$K1873))</f>
        <v/>
      </c>
      <c r="I1873" s="71" t="str">
        <f aca="false">IF($K1873="","",INDEX(Base!$L$5:$L$2004,$K1873))</f>
        <v/>
      </c>
      <c r="J1873" s="72" t="str">
        <f aca="false">IFERROR(SMALL(Base!$P$5:$P$2004,ROW()-5),"")</f>
        <v/>
      </c>
      <c r="K1873" s="72" t="str">
        <f aca="false">IF(J1873="","",MATCH(J1873,Base!$P$5:$P$2004,0))</f>
        <v/>
      </c>
    </row>
    <row r="1874" customFormat="false" ht="15" hidden="false" customHeight="false" outlineLevel="0" collapsed="false">
      <c r="A1874" s="67" t="str">
        <f aca="false">IF($K1874="","",ROW()-5)</f>
        <v/>
      </c>
      <c r="B1874" s="68" t="str">
        <f aca="false">IF($K1874="","",INDEX(Base!$E$5:$E$2004,$K1874))</f>
        <v/>
      </c>
      <c r="C1874" s="69" t="str">
        <f aca="false">IF($K1874="","",B1874)</f>
        <v/>
      </c>
      <c r="D1874" s="70" t="str">
        <f aca="false">IF($K1874="","",INDEX(Base!$F$5:$F$2004,$K1874))</f>
        <v/>
      </c>
      <c r="E1874" s="70" t="str">
        <f aca="false">IF($K1874="","",INDEX(Base!$G$5:$G$2004,$K1874))</f>
        <v/>
      </c>
      <c r="F1874" s="71" t="str">
        <f aca="false">IF($K1874="","",INDEX(Base!$H$5:$H$2004,$K1874))</f>
        <v/>
      </c>
      <c r="G1874" s="71" t="str">
        <f aca="false">IF($K1874="","",INDEX(Base!$I$5:$I$2004,$K1874))</f>
        <v/>
      </c>
      <c r="H1874" s="70" t="str">
        <f aca="false">IF($K1874="","",INDEX(Base!$J$5:$J$2004,$K1874))</f>
        <v/>
      </c>
      <c r="I1874" s="71" t="str">
        <f aca="false">IF($K1874="","",INDEX(Base!$L$5:$L$2004,$K1874))</f>
        <v/>
      </c>
      <c r="J1874" s="72" t="str">
        <f aca="false">IFERROR(SMALL(Base!$P$5:$P$2004,ROW()-5),"")</f>
        <v/>
      </c>
      <c r="K1874" s="72" t="str">
        <f aca="false">IF(J1874="","",MATCH(J1874,Base!$P$5:$P$2004,0))</f>
        <v/>
      </c>
    </row>
    <row r="1875" customFormat="false" ht="15" hidden="false" customHeight="false" outlineLevel="0" collapsed="false">
      <c r="A1875" s="67" t="str">
        <f aca="false">IF($K1875="","",ROW()-5)</f>
        <v/>
      </c>
      <c r="B1875" s="68" t="str">
        <f aca="false">IF($K1875="","",INDEX(Base!$E$5:$E$2004,$K1875))</f>
        <v/>
      </c>
      <c r="C1875" s="69" t="str">
        <f aca="false">IF($K1875="","",B1875)</f>
        <v/>
      </c>
      <c r="D1875" s="70" t="str">
        <f aca="false">IF($K1875="","",INDEX(Base!$F$5:$F$2004,$K1875))</f>
        <v/>
      </c>
      <c r="E1875" s="70" t="str">
        <f aca="false">IF($K1875="","",INDEX(Base!$G$5:$G$2004,$K1875))</f>
        <v/>
      </c>
      <c r="F1875" s="71" t="str">
        <f aca="false">IF($K1875="","",INDEX(Base!$H$5:$H$2004,$K1875))</f>
        <v/>
      </c>
      <c r="G1875" s="71" t="str">
        <f aca="false">IF($K1875="","",INDEX(Base!$I$5:$I$2004,$K1875))</f>
        <v/>
      </c>
      <c r="H1875" s="70" t="str">
        <f aca="false">IF($K1875="","",INDEX(Base!$J$5:$J$2004,$K1875))</f>
        <v/>
      </c>
      <c r="I1875" s="71" t="str">
        <f aca="false">IF($K1875="","",INDEX(Base!$L$5:$L$2004,$K1875))</f>
        <v/>
      </c>
      <c r="J1875" s="72" t="str">
        <f aca="false">IFERROR(SMALL(Base!$P$5:$P$2004,ROW()-5),"")</f>
        <v/>
      </c>
      <c r="K1875" s="72" t="str">
        <f aca="false">IF(J1875="","",MATCH(J1875,Base!$P$5:$P$2004,0))</f>
        <v/>
      </c>
    </row>
    <row r="1876" customFormat="false" ht="15" hidden="false" customHeight="false" outlineLevel="0" collapsed="false">
      <c r="A1876" s="67" t="str">
        <f aca="false">IF($K1876="","",ROW()-5)</f>
        <v/>
      </c>
      <c r="B1876" s="68" t="str">
        <f aca="false">IF($K1876="","",INDEX(Base!$E$5:$E$2004,$K1876))</f>
        <v/>
      </c>
      <c r="C1876" s="69" t="str">
        <f aca="false">IF($K1876="","",B1876)</f>
        <v/>
      </c>
      <c r="D1876" s="70" t="str">
        <f aca="false">IF($K1876="","",INDEX(Base!$F$5:$F$2004,$K1876))</f>
        <v/>
      </c>
      <c r="E1876" s="70" t="str">
        <f aca="false">IF($K1876="","",INDEX(Base!$G$5:$G$2004,$K1876))</f>
        <v/>
      </c>
      <c r="F1876" s="71" t="str">
        <f aca="false">IF($K1876="","",INDEX(Base!$H$5:$H$2004,$K1876))</f>
        <v/>
      </c>
      <c r="G1876" s="71" t="str">
        <f aca="false">IF($K1876="","",INDEX(Base!$I$5:$I$2004,$K1876))</f>
        <v/>
      </c>
      <c r="H1876" s="70" t="str">
        <f aca="false">IF($K1876="","",INDEX(Base!$J$5:$J$2004,$K1876))</f>
        <v/>
      </c>
      <c r="I1876" s="71" t="str">
        <f aca="false">IF($K1876="","",INDEX(Base!$L$5:$L$2004,$K1876))</f>
        <v/>
      </c>
      <c r="J1876" s="72" t="str">
        <f aca="false">IFERROR(SMALL(Base!$P$5:$P$2004,ROW()-5),"")</f>
        <v/>
      </c>
      <c r="K1876" s="72" t="str">
        <f aca="false">IF(J1876="","",MATCH(J1876,Base!$P$5:$P$2004,0))</f>
        <v/>
      </c>
    </row>
    <row r="1877" customFormat="false" ht="15" hidden="false" customHeight="false" outlineLevel="0" collapsed="false">
      <c r="A1877" s="67" t="str">
        <f aca="false">IF($K1877="","",ROW()-5)</f>
        <v/>
      </c>
      <c r="B1877" s="68" t="str">
        <f aca="false">IF($K1877="","",INDEX(Base!$E$5:$E$2004,$K1877))</f>
        <v/>
      </c>
      <c r="C1877" s="69" t="str">
        <f aca="false">IF($K1877="","",B1877)</f>
        <v/>
      </c>
      <c r="D1877" s="70" t="str">
        <f aca="false">IF($K1877="","",INDEX(Base!$F$5:$F$2004,$K1877))</f>
        <v/>
      </c>
      <c r="E1877" s="70" t="str">
        <f aca="false">IF($K1877="","",INDEX(Base!$G$5:$G$2004,$K1877))</f>
        <v/>
      </c>
      <c r="F1877" s="71" t="str">
        <f aca="false">IF($K1877="","",INDEX(Base!$H$5:$H$2004,$K1877))</f>
        <v/>
      </c>
      <c r="G1877" s="71" t="str">
        <f aca="false">IF($K1877="","",INDEX(Base!$I$5:$I$2004,$K1877))</f>
        <v/>
      </c>
      <c r="H1877" s="70" t="str">
        <f aca="false">IF($K1877="","",INDEX(Base!$J$5:$J$2004,$K1877))</f>
        <v/>
      </c>
      <c r="I1877" s="71" t="str">
        <f aca="false">IF($K1877="","",INDEX(Base!$L$5:$L$2004,$K1877))</f>
        <v/>
      </c>
      <c r="J1877" s="72" t="str">
        <f aca="false">IFERROR(SMALL(Base!$P$5:$P$2004,ROW()-5),"")</f>
        <v/>
      </c>
      <c r="K1877" s="72" t="str">
        <f aca="false">IF(J1877="","",MATCH(J1877,Base!$P$5:$P$2004,0))</f>
        <v/>
      </c>
    </row>
    <row r="1878" customFormat="false" ht="15" hidden="false" customHeight="false" outlineLevel="0" collapsed="false">
      <c r="A1878" s="67" t="str">
        <f aca="false">IF($K1878="","",ROW()-5)</f>
        <v/>
      </c>
      <c r="B1878" s="68" t="str">
        <f aca="false">IF($K1878="","",INDEX(Base!$E$5:$E$2004,$K1878))</f>
        <v/>
      </c>
      <c r="C1878" s="69" t="str">
        <f aca="false">IF($K1878="","",B1878)</f>
        <v/>
      </c>
      <c r="D1878" s="70" t="str">
        <f aca="false">IF($K1878="","",INDEX(Base!$F$5:$F$2004,$K1878))</f>
        <v/>
      </c>
      <c r="E1878" s="70" t="str">
        <f aca="false">IF($K1878="","",INDEX(Base!$G$5:$G$2004,$K1878))</f>
        <v/>
      </c>
      <c r="F1878" s="71" t="str">
        <f aca="false">IF($K1878="","",INDEX(Base!$H$5:$H$2004,$K1878))</f>
        <v/>
      </c>
      <c r="G1878" s="71" t="str">
        <f aca="false">IF($K1878="","",INDEX(Base!$I$5:$I$2004,$K1878))</f>
        <v/>
      </c>
      <c r="H1878" s="70" t="str">
        <f aca="false">IF($K1878="","",INDEX(Base!$J$5:$J$2004,$K1878))</f>
        <v/>
      </c>
      <c r="I1878" s="71" t="str">
        <f aca="false">IF($K1878="","",INDEX(Base!$L$5:$L$2004,$K1878))</f>
        <v/>
      </c>
      <c r="J1878" s="72" t="str">
        <f aca="false">IFERROR(SMALL(Base!$P$5:$P$2004,ROW()-5),"")</f>
        <v/>
      </c>
      <c r="K1878" s="72" t="str">
        <f aca="false">IF(J1878="","",MATCH(J1878,Base!$P$5:$P$2004,0))</f>
        <v/>
      </c>
    </row>
    <row r="1879" customFormat="false" ht="15" hidden="false" customHeight="false" outlineLevel="0" collapsed="false">
      <c r="A1879" s="67" t="str">
        <f aca="false">IF($K1879="","",ROW()-5)</f>
        <v/>
      </c>
      <c r="B1879" s="68" t="str">
        <f aca="false">IF($K1879="","",INDEX(Base!$E$5:$E$2004,$K1879))</f>
        <v/>
      </c>
      <c r="C1879" s="69" t="str">
        <f aca="false">IF($K1879="","",B1879)</f>
        <v/>
      </c>
      <c r="D1879" s="70" t="str">
        <f aca="false">IF($K1879="","",INDEX(Base!$F$5:$F$2004,$K1879))</f>
        <v/>
      </c>
      <c r="E1879" s="70" t="str">
        <f aca="false">IF($K1879="","",INDEX(Base!$G$5:$G$2004,$K1879))</f>
        <v/>
      </c>
      <c r="F1879" s="71" t="str">
        <f aca="false">IF($K1879="","",INDEX(Base!$H$5:$H$2004,$K1879))</f>
        <v/>
      </c>
      <c r="G1879" s="71" t="str">
        <f aca="false">IF($K1879="","",INDEX(Base!$I$5:$I$2004,$K1879))</f>
        <v/>
      </c>
      <c r="H1879" s="70" t="str">
        <f aca="false">IF($K1879="","",INDEX(Base!$J$5:$J$2004,$K1879))</f>
        <v/>
      </c>
      <c r="I1879" s="71" t="str">
        <f aca="false">IF($K1879="","",INDEX(Base!$L$5:$L$2004,$K1879))</f>
        <v/>
      </c>
      <c r="J1879" s="72" t="str">
        <f aca="false">IFERROR(SMALL(Base!$P$5:$P$2004,ROW()-5),"")</f>
        <v/>
      </c>
      <c r="K1879" s="72" t="str">
        <f aca="false">IF(J1879="","",MATCH(J1879,Base!$P$5:$P$2004,0))</f>
        <v/>
      </c>
    </row>
    <row r="1880" customFormat="false" ht="15" hidden="false" customHeight="false" outlineLevel="0" collapsed="false">
      <c r="A1880" s="67" t="str">
        <f aca="false">IF($K1880="","",ROW()-5)</f>
        <v/>
      </c>
      <c r="B1880" s="68" t="str">
        <f aca="false">IF($K1880="","",INDEX(Base!$E$5:$E$2004,$K1880))</f>
        <v/>
      </c>
      <c r="C1880" s="69" t="str">
        <f aca="false">IF($K1880="","",B1880)</f>
        <v/>
      </c>
      <c r="D1880" s="70" t="str">
        <f aca="false">IF($K1880="","",INDEX(Base!$F$5:$F$2004,$K1880))</f>
        <v/>
      </c>
      <c r="E1880" s="70" t="str">
        <f aca="false">IF($K1880="","",INDEX(Base!$G$5:$G$2004,$K1880))</f>
        <v/>
      </c>
      <c r="F1880" s="71" t="str">
        <f aca="false">IF($K1880="","",INDEX(Base!$H$5:$H$2004,$K1880))</f>
        <v/>
      </c>
      <c r="G1880" s="71" t="str">
        <f aca="false">IF($K1880="","",INDEX(Base!$I$5:$I$2004,$K1880))</f>
        <v/>
      </c>
      <c r="H1880" s="70" t="str">
        <f aca="false">IF($K1880="","",INDEX(Base!$J$5:$J$2004,$K1880))</f>
        <v/>
      </c>
      <c r="I1880" s="71" t="str">
        <f aca="false">IF($K1880="","",INDEX(Base!$L$5:$L$2004,$K1880))</f>
        <v/>
      </c>
      <c r="J1880" s="72" t="str">
        <f aca="false">IFERROR(SMALL(Base!$P$5:$P$2004,ROW()-5),"")</f>
        <v/>
      </c>
      <c r="K1880" s="72" t="str">
        <f aca="false">IF(J1880="","",MATCH(J1880,Base!$P$5:$P$2004,0))</f>
        <v/>
      </c>
    </row>
    <row r="1881" customFormat="false" ht="15" hidden="false" customHeight="false" outlineLevel="0" collapsed="false">
      <c r="A1881" s="67" t="str">
        <f aca="false">IF($K1881="","",ROW()-5)</f>
        <v/>
      </c>
      <c r="B1881" s="68" t="str">
        <f aca="false">IF($K1881="","",INDEX(Base!$E$5:$E$2004,$K1881))</f>
        <v/>
      </c>
      <c r="C1881" s="69" t="str">
        <f aca="false">IF($K1881="","",B1881)</f>
        <v/>
      </c>
      <c r="D1881" s="70" t="str">
        <f aca="false">IF($K1881="","",INDEX(Base!$F$5:$F$2004,$K1881))</f>
        <v/>
      </c>
      <c r="E1881" s="70" t="str">
        <f aca="false">IF($K1881="","",INDEX(Base!$G$5:$G$2004,$K1881))</f>
        <v/>
      </c>
      <c r="F1881" s="71" t="str">
        <f aca="false">IF($K1881="","",INDEX(Base!$H$5:$H$2004,$K1881))</f>
        <v/>
      </c>
      <c r="G1881" s="71" t="str">
        <f aca="false">IF($K1881="","",INDEX(Base!$I$5:$I$2004,$K1881))</f>
        <v/>
      </c>
      <c r="H1881" s="70" t="str">
        <f aca="false">IF($K1881="","",INDEX(Base!$J$5:$J$2004,$K1881))</f>
        <v/>
      </c>
      <c r="I1881" s="71" t="str">
        <f aca="false">IF($K1881="","",INDEX(Base!$L$5:$L$2004,$K1881))</f>
        <v/>
      </c>
      <c r="J1881" s="72" t="str">
        <f aca="false">IFERROR(SMALL(Base!$P$5:$P$2004,ROW()-5),"")</f>
        <v/>
      </c>
      <c r="K1881" s="72" t="str">
        <f aca="false">IF(J1881="","",MATCH(J1881,Base!$P$5:$P$2004,0))</f>
        <v/>
      </c>
    </row>
    <row r="1882" customFormat="false" ht="15" hidden="false" customHeight="false" outlineLevel="0" collapsed="false">
      <c r="A1882" s="67" t="str">
        <f aca="false">IF($K1882="","",ROW()-5)</f>
        <v/>
      </c>
      <c r="B1882" s="68" t="str">
        <f aca="false">IF($K1882="","",INDEX(Base!$E$5:$E$2004,$K1882))</f>
        <v/>
      </c>
      <c r="C1882" s="69" t="str">
        <f aca="false">IF($K1882="","",B1882)</f>
        <v/>
      </c>
      <c r="D1882" s="70" t="str">
        <f aca="false">IF($K1882="","",INDEX(Base!$F$5:$F$2004,$K1882))</f>
        <v/>
      </c>
      <c r="E1882" s="70" t="str">
        <f aca="false">IF($K1882="","",INDEX(Base!$G$5:$G$2004,$K1882))</f>
        <v/>
      </c>
      <c r="F1882" s="71" t="str">
        <f aca="false">IF($K1882="","",INDEX(Base!$H$5:$H$2004,$K1882))</f>
        <v/>
      </c>
      <c r="G1882" s="71" t="str">
        <f aca="false">IF($K1882="","",INDEX(Base!$I$5:$I$2004,$K1882))</f>
        <v/>
      </c>
      <c r="H1882" s="70" t="str">
        <f aca="false">IF($K1882="","",INDEX(Base!$J$5:$J$2004,$K1882))</f>
        <v/>
      </c>
      <c r="I1882" s="71" t="str">
        <f aca="false">IF($K1882="","",INDEX(Base!$L$5:$L$2004,$K1882))</f>
        <v/>
      </c>
      <c r="J1882" s="72" t="str">
        <f aca="false">IFERROR(SMALL(Base!$P$5:$P$2004,ROW()-5),"")</f>
        <v/>
      </c>
      <c r="K1882" s="72" t="str">
        <f aca="false">IF(J1882="","",MATCH(J1882,Base!$P$5:$P$2004,0))</f>
        <v/>
      </c>
    </row>
    <row r="1883" customFormat="false" ht="15" hidden="false" customHeight="false" outlineLevel="0" collapsed="false">
      <c r="A1883" s="67" t="str">
        <f aca="false">IF($K1883="","",ROW()-5)</f>
        <v/>
      </c>
      <c r="B1883" s="68" t="str">
        <f aca="false">IF($K1883="","",INDEX(Base!$E$5:$E$2004,$K1883))</f>
        <v/>
      </c>
      <c r="C1883" s="69" t="str">
        <f aca="false">IF($K1883="","",B1883)</f>
        <v/>
      </c>
      <c r="D1883" s="70" t="str">
        <f aca="false">IF($K1883="","",INDEX(Base!$F$5:$F$2004,$K1883))</f>
        <v/>
      </c>
      <c r="E1883" s="70" t="str">
        <f aca="false">IF($K1883="","",INDEX(Base!$G$5:$G$2004,$K1883))</f>
        <v/>
      </c>
      <c r="F1883" s="71" t="str">
        <f aca="false">IF($K1883="","",INDEX(Base!$H$5:$H$2004,$K1883))</f>
        <v/>
      </c>
      <c r="G1883" s="71" t="str">
        <f aca="false">IF($K1883="","",INDEX(Base!$I$5:$I$2004,$K1883))</f>
        <v/>
      </c>
      <c r="H1883" s="70" t="str">
        <f aca="false">IF($K1883="","",INDEX(Base!$J$5:$J$2004,$K1883))</f>
        <v/>
      </c>
      <c r="I1883" s="71" t="str">
        <f aca="false">IF($K1883="","",INDEX(Base!$L$5:$L$2004,$K1883))</f>
        <v/>
      </c>
      <c r="J1883" s="72" t="str">
        <f aca="false">IFERROR(SMALL(Base!$P$5:$P$2004,ROW()-5),"")</f>
        <v/>
      </c>
      <c r="K1883" s="72" t="str">
        <f aca="false">IF(J1883="","",MATCH(J1883,Base!$P$5:$P$2004,0))</f>
        <v/>
      </c>
    </row>
    <row r="1884" customFormat="false" ht="15" hidden="false" customHeight="false" outlineLevel="0" collapsed="false">
      <c r="A1884" s="67" t="str">
        <f aca="false">IF($K1884="","",ROW()-5)</f>
        <v/>
      </c>
      <c r="B1884" s="68" t="str">
        <f aca="false">IF($K1884="","",INDEX(Base!$E$5:$E$2004,$K1884))</f>
        <v/>
      </c>
      <c r="C1884" s="69" t="str">
        <f aca="false">IF($K1884="","",B1884)</f>
        <v/>
      </c>
      <c r="D1884" s="70" t="str">
        <f aca="false">IF($K1884="","",INDEX(Base!$F$5:$F$2004,$K1884))</f>
        <v/>
      </c>
      <c r="E1884" s="70" t="str">
        <f aca="false">IF($K1884="","",INDEX(Base!$G$5:$G$2004,$K1884))</f>
        <v/>
      </c>
      <c r="F1884" s="71" t="str">
        <f aca="false">IF($K1884="","",INDEX(Base!$H$5:$H$2004,$K1884))</f>
        <v/>
      </c>
      <c r="G1884" s="71" t="str">
        <f aca="false">IF($K1884="","",INDEX(Base!$I$5:$I$2004,$K1884))</f>
        <v/>
      </c>
      <c r="H1884" s="70" t="str">
        <f aca="false">IF($K1884="","",INDEX(Base!$J$5:$J$2004,$K1884))</f>
        <v/>
      </c>
      <c r="I1884" s="71" t="str">
        <f aca="false">IF($K1884="","",INDEX(Base!$L$5:$L$2004,$K1884))</f>
        <v/>
      </c>
      <c r="J1884" s="72" t="str">
        <f aca="false">IFERROR(SMALL(Base!$P$5:$P$2004,ROW()-5),"")</f>
        <v/>
      </c>
      <c r="K1884" s="72" t="str">
        <f aca="false">IF(J1884="","",MATCH(J1884,Base!$P$5:$P$2004,0))</f>
        <v/>
      </c>
    </row>
    <row r="1885" customFormat="false" ht="15" hidden="false" customHeight="false" outlineLevel="0" collapsed="false">
      <c r="A1885" s="67" t="str">
        <f aca="false">IF($K1885="","",ROW()-5)</f>
        <v/>
      </c>
      <c r="B1885" s="68" t="str">
        <f aca="false">IF($K1885="","",INDEX(Base!$E$5:$E$2004,$K1885))</f>
        <v/>
      </c>
      <c r="C1885" s="69" t="str">
        <f aca="false">IF($K1885="","",B1885)</f>
        <v/>
      </c>
      <c r="D1885" s="70" t="str">
        <f aca="false">IF($K1885="","",INDEX(Base!$F$5:$F$2004,$K1885))</f>
        <v/>
      </c>
      <c r="E1885" s="70" t="str">
        <f aca="false">IF($K1885="","",INDEX(Base!$G$5:$G$2004,$K1885))</f>
        <v/>
      </c>
      <c r="F1885" s="71" t="str">
        <f aca="false">IF($K1885="","",INDEX(Base!$H$5:$H$2004,$K1885))</f>
        <v/>
      </c>
      <c r="G1885" s="71" t="str">
        <f aca="false">IF($K1885="","",INDEX(Base!$I$5:$I$2004,$K1885))</f>
        <v/>
      </c>
      <c r="H1885" s="70" t="str">
        <f aca="false">IF($K1885="","",INDEX(Base!$J$5:$J$2004,$K1885))</f>
        <v/>
      </c>
      <c r="I1885" s="71" t="str">
        <f aca="false">IF($K1885="","",INDEX(Base!$L$5:$L$2004,$K1885))</f>
        <v/>
      </c>
      <c r="J1885" s="72" t="str">
        <f aca="false">IFERROR(SMALL(Base!$P$5:$P$2004,ROW()-5),"")</f>
        <v/>
      </c>
      <c r="K1885" s="72" t="str">
        <f aca="false">IF(J1885="","",MATCH(J1885,Base!$P$5:$P$2004,0))</f>
        <v/>
      </c>
    </row>
    <row r="1886" customFormat="false" ht="15" hidden="false" customHeight="false" outlineLevel="0" collapsed="false">
      <c r="A1886" s="67" t="str">
        <f aca="false">IF($K1886="","",ROW()-5)</f>
        <v/>
      </c>
      <c r="B1886" s="68" t="str">
        <f aca="false">IF($K1886="","",INDEX(Base!$E$5:$E$2004,$K1886))</f>
        <v/>
      </c>
      <c r="C1886" s="69" t="str">
        <f aca="false">IF($K1886="","",B1886)</f>
        <v/>
      </c>
      <c r="D1886" s="70" t="str">
        <f aca="false">IF($K1886="","",INDEX(Base!$F$5:$F$2004,$K1886))</f>
        <v/>
      </c>
      <c r="E1886" s="70" t="str">
        <f aca="false">IF($K1886="","",INDEX(Base!$G$5:$G$2004,$K1886))</f>
        <v/>
      </c>
      <c r="F1886" s="71" t="str">
        <f aca="false">IF($K1886="","",INDEX(Base!$H$5:$H$2004,$K1886))</f>
        <v/>
      </c>
      <c r="G1886" s="71" t="str">
        <f aca="false">IF($K1886="","",INDEX(Base!$I$5:$I$2004,$K1886))</f>
        <v/>
      </c>
      <c r="H1886" s="70" t="str">
        <f aca="false">IF($K1886="","",INDEX(Base!$J$5:$J$2004,$K1886))</f>
        <v/>
      </c>
      <c r="I1886" s="71" t="str">
        <f aca="false">IF($K1886="","",INDEX(Base!$L$5:$L$2004,$K1886))</f>
        <v/>
      </c>
      <c r="J1886" s="72" t="str">
        <f aca="false">IFERROR(SMALL(Base!$P$5:$P$2004,ROW()-5),"")</f>
        <v/>
      </c>
      <c r="K1886" s="72" t="str">
        <f aca="false">IF(J1886="","",MATCH(J1886,Base!$P$5:$P$2004,0))</f>
        <v/>
      </c>
    </row>
    <row r="1887" customFormat="false" ht="15" hidden="false" customHeight="false" outlineLevel="0" collapsed="false">
      <c r="A1887" s="67" t="str">
        <f aca="false">IF($K1887="","",ROW()-5)</f>
        <v/>
      </c>
      <c r="B1887" s="68" t="str">
        <f aca="false">IF($K1887="","",INDEX(Base!$E$5:$E$2004,$K1887))</f>
        <v/>
      </c>
      <c r="C1887" s="69" t="str">
        <f aca="false">IF($K1887="","",B1887)</f>
        <v/>
      </c>
      <c r="D1887" s="70" t="str">
        <f aca="false">IF($K1887="","",INDEX(Base!$F$5:$F$2004,$K1887))</f>
        <v/>
      </c>
      <c r="E1887" s="70" t="str">
        <f aca="false">IF($K1887="","",INDEX(Base!$G$5:$G$2004,$K1887))</f>
        <v/>
      </c>
      <c r="F1887" s="71" t="str">
        <f aca="false">IF($K1887="","",INDEX(Base!$H$5:$H$2004,$K1887))</f>
        <v/>
      </c>
      <c r="G1887" s="71" t="str">
        <f aca="false">IF($K1887="","",INDEX(Base!$I$5:$I$2004,$K1887))</f>
        <v/>
      </c>
      <c r="H1887" s="70" t="str">
        <f aca="false">IF($K1887="","",INDEX(Base!$J$5:$J$2004,$K1887))</f>
        <v/>
      </c>
      <c r="I1887" s="71" t="str">
        <f aca="false">IF($K1887="","",INDEX(Base!$L$5:$L$2004,$K1887))</f>
        <v/>
      </c>
      <c r="J1887" s="72" t="str">
        <f aca="false">IFERROR(SMALL(Base!$P$5:$P$2004,ROW()-5),"")</f>
        <v/>
      </c>
      <c r="K1887" s="72" t="str">
        <f aca="false">IF(J1887="","",MATCH(J1887,Base!$P$5:$P$2004,0))</f>
        <v/>
      </c>
    </row>
    <row r="1888" customFormat="false" ht="15" hidden="false" customHeight="false" outlineLevel="0" collapsed="false">
      <c r="A1888" s="67" t="str">
        <f aca="false">IF($K1888="","",ROW()-5)</f>
        <v/>
      </c>
      <c r="B1888" s="68" t="str">
        <f aca="false">IF($K1888="","",INDEX(Base!$E$5:$E$2004,$K1888))</f>
        <v/>
      </c>
      <c r="C1888" s="69" t="str">
        <f aca="false">IF($K1888="","",B1888)</f>
        <v/>
      </c>
      <c r="D1888" s="70" t="str">
        <f aca="false">IF($K1888="","",INDEX(Base!$F$5:$F$2004,$K1888))</f>
        <v/>
      </c>
      <c r="E1888" s="70" t="str">
        <f aca="false">IF($K1888="","",INDEX(Base!$G$5:$G$2004,$K1888))</f>
        <v/>
      </c>
      <c r="F1888" s="71" t="str">
        <f aca="false">IF($K1888="","",INDEX(Base!$H$5:$H$2004,$K1888))</f>
        <v/>
      </c>
      <c r="G1888" s="71" t="str">
        <f aca="false">IF($K1888="","",INDEX(Base!$I$5:$I$2004,$K1888))</f>
        <v/>
      </c>
      <c r="H1888" s="70" t="str">
        <f aca="false">IF($K1888="","",INDEX(Base!$J$5:$J$2004,$K1888))</f>
        <v/>
      </c>
      <c r="I1888" s="71" t="str">
        <f aca="false">IF($K1888="","",INDEX(Base!$L$5:$L$2004,$K1888))</f>
        <v/>
      </c>
      <c r="J1888" s="72" t="str">
        <f aca="false">IFERROR(SMALL(Base!$P$5:$P$2004,ROW()-5),"")</f>
        <v/>
      </c>
      <c r="K1888" s="72" t="str">
        <f aca="false">IF(J1888="","",MATCH(J1888,Base!$P$5:$P$2004,0))</f>
        <v/>
      </c>
    </row>
    <row r="1889" customFormat="false" ht="15" hidden="false" customHeight="false" outlineLevel="0" collapsed="false">
      <c r="A1889" s="67" t="str">
        <f aca="false">IF($K1889="","",ROW()-5)</f>
        <v/>
      </c>
      <c r="B1889" s="68" t="str">
        <f aca="false">IF($K1889="","",INDEX(Base!$E$5:$E$2004,$K1889))</f>
        <v/>
      </c>
      <c r="C1889" s="69" t="str">
        <f aca="false">IF($K1889="","",B1889)</f>
        <v/>
      </c>
      <c r="D1889" s="70" t="str">
        <f aca="false">IF($K1889="","",INDEX(Base!$F$5:$F$2004,$K1889))</f>
        <v/>
      </c>
      <c r="E1889" s="70" t="str">
        <f aca="false">IF($K1889="","",INDEX(Base!$G$5:$G$2004,$K1889))</f>
        <v/>
      </c>
      <c r="F1889" s="71" t="str">
        <f aca="false">IF($K1889="","",INDEX(Base!$H$5:$H$2004,$K1889))</f>
        <v/>
      </c>
      <c r="G1889" s="71" t="str">
        <f aca="false">IF($K1889="","",INDEX(Base!$I$5:$I$2004,$K1889))</f>
        <v/>
      </c>
      <c r="H1889" s="70" t="str">
        <f aca="false">IF($K1889="","",INDEX(Base!$J$5:$J$2004,$K1889))</f>
        <v/>
      </c>
      <c r="I1889" s="71" t="str">
        <f aca="false">IF($K1889="","",INDEX(Base!$L$5:$L$2004,$K1889))</f>
        <v/>
      </c>
      <c r="J1889" s="72" t="str">
        <f aca="false">IFERROR(SMALL(Base!$P$5:$P$2004,ROW()-5),"")</f>
        <v/>
      </c>
      <c r="K1889" s="72" t="str">
        <f aca="false">IF(J1889="","",MATCH(J1889,Base!$P$5:$P$2004,0))</f>
        <v/>
      </c>
    </row>
    <row r="1890" customFormat="false" ht="15" hidden="false" customHeight="false" outlineLevel="0" collapsed="false">
      <c r="A1890" s="67" t="str">
        <f aca="false">IF($K1890="","",ROW()-5)</f>
        <v/>
      </c>
      <c r="B1890" s="68" t="str">
        <f aca="false">IF($K1890="","",INDEX(Base!$E$5:$E$2004,$K1890))</f>
        <v/>
      </c>
      <c r="C1890" s="69" t="str">
        <f aca="false">IF($K1890="","",B1890)</f>
        <v/>
      </c>
      <c r="D1890" s="70" t="str">
        <f aca="false">IF($K1890="","",INDEX(Base!$F$5:$F$2004,$K1890))</f>
        <v/>
      </c>
      <c r="E1890" s="70" t="str">
        <f aca="false">IF($K1890="","",INDEX(Base!$G$5:$G$2004,$K1890))</f>
        <v/>
      </c>
      <c r="F1890" s="71" t="str">
        <f aca="false">IF($K1890="","",INDEX(Base!$H$5:$H$2004,$K1890))</f>
        <v/>
      </c>
      <c r="G1890" s="71" t="str">
        <f aca="false">IF($K1890="","",INDEX(Base!$I$5:$I$2004,$K1890))</f>
        <v/>
      </c>
      <c r="H1890" s="70" t="str">
        <f aca="false">IF($K1890="","",INDEX(Base!$J$5:$J$2004,$K1890))</f>
        <v/>
      </c>
      <c r="I1890" s="71" t="str">
        <f aca="false">IF($K1890="","",INDEX(Base!$L$5:$L$2004,$K1890))</f>
        <v/>
      </c>
      <c r="J1890" s="72" t="str">
        <f aca="false">IFERROR(SMALL(Base!$P$5:$P$2004,ROW()-5),"")</f>
        <v/>
      </c>
      <c r="K1890" s="72" t="str">
        <f aca="false">IF(J1890="","",MATCH(J1890,Base!$P$5:$P$2004,0))</f>
        <v/>
      </c>
    </row>
    <row r="1891" customFormat="false" ht="15" hidden="false" customHeight="false" outlineLevel="0" collapsed="false">
      <c r="A1891" s="67" t="str">
        <f aca="false">IF($K1891="","",ROW()-5)</f>
        <v/>
      </c>
      <c r="B1891" s="68" t="str">
        <f aca="false">IF($K1891="","",INDEX(Base!$E$5:$E$2004,$K1891))</f>
        <v/>
      </c>
      <c r="C1891" s="69" t="str">
        <f aca="false">IF($K1891="","",B1891)</f>
        <v/>
      </c>
      <c r="D1891" s="70" t="str">
        <f aca="false">IF($K1891="","",INDEX(Base!$F$5:$F$2004,$K1891))</f>
        <v/>
      </c>
      <c r="E1891" s="70" t="str">
        <f aca="false">IF($K1891="","",INDEX(Base!$G$5:$G$2004,$K1891))</f>
        <v/>
      </c>
      <c r="F1891" s="71" t="str">
        <f aca="false">IF($K1891="","",INDEX(Base!$H$5:$H$2004,$K1891))</f>
        <v/>
      </c>
      <c r="G1891" s="71" t="str">
        <f aca="false">IF($K1891="","",INDEX(Base!$I$5:$I$2004,$K1891))</f>
        <v/>
      </c>
      <c r="H1891" s="70" t="str">
        <f aca="false">IF($K1891="","",INDEX(Base!$J$5:$J$2004,$K1891))</f>
        <v/>
      </c>
      <c r="I1891" s="71" t="str">
        <f aca="false">IF($K1891="","",INDEX(Base!$L$5:$L$2004,$K1891))</f>
        <v/>
      </c>
      <c r="J1891" s="72" t="str">
        <f aca="false">IFERROR(SMALL(Base!$P$5:$P$2004,ROW()-5),"")</f>
        <v/>
      </c>
      <c r="K1891" s="72" t="str">
        <f aca="false">IF(J1891="","",MATCH(J1891,Base!$P$5:$P$2004,0))</f>
        <v/>
      </c>
    </row>
    <row r="1892" customFormat="false" ht="15" hidden="false" customHeight="false" outlineLevel="0" collapsed="false">
      <c r="A1892" s="67" t="str">
        <f aca="false">IF($K1892="","",ROW()-5)</f>
        <v/>
      </c>
      <c r="B1892" s="68" t="str">
        <f aca="false">IF($K1892="","",INDEX(Base!$E$5:$E$2004,$K1892))</f>
        <v/>
      </c>
      <c r="C1892" s="69" t="str">
        <f aca="false">IF($K1892="","",B1892)</f>
        <v/>
      </c>
      <c r="D1892" s="70" t="str">
        <f aca="false">IF($K1892="","",INDEX(Base!$F$5:$F$2004,$K1892))</f>
        <v/>
      </c>
      <c r="E1892" s="70" t="str">
        <f aca="false">IF($K1892="","",INDEX(Base!$G$5:$G$2004,$K1892))</f>
        <v/>
      </c>
      <c r="F1892" s="71" t="str">
        <f aca="false">IF($K1892="","",INDEX(Base!$H$5:$H$2004,$K1892))</f>
        <v/>
      </c>
      <c r="G1892" s="71" t="str">
        <f aca="false">IF($K1892="","",INDEX(Base!$I$5:$I$2004,$K1892))</f>
        <v/>
      </c>
      <c r="H1892" s="70" t="str">
        <f aca="false">IF($K1892="","",INDEX(Base!$J$5:$J$2004,$K1892))</f>
        <v/>
      </c>
      <c r="I1892" s="71" t="str">
        <f aca="false">IF($K1892="","",INDEX(Base!$L$5:$L$2004,$K1892))</f>
        <v/>
      </c>
      <c r="J1892" s="72" t="str">
        <f aca="false">IFERROR(SMALL(Base!$P$5:$P$2004,ROW()-5),"")</f>
        <v/>
      </c>
      <c r="K1892" s="72" t="str">
        <f aca="false">IF(J1892="","",MATCH(J1892,Base!$P$5:$P$2004,0))</f>
        <v/>
      </c>
    </row>
    <row r="1893" customFormat="false" ht="15" hidden="false" customHeight="false" outlineLevel="0" collapsed="false">
      <c r="A1893" s="67" t="str">
        <f aca="false">IF($K1893="","",ROW()-5)</f>
        <v/>
      </c>
      <c r="B1893" s="68" t="str">
        <f aca="false">IF($K1893="","",INDEX(Base!$E$5:$E$2004,$K1893))</f>
        <v/>
      </c>
      <c r="C1893" s="69" t="str">
        <f aca="false">IF($K1893="","",B1893)</f>
        <v/>
      </c>
      <c r="D1893" s="70" t="str">
        <f aca="false">IF($K1893="","",INDEX(Base!$F$5:$F$2004,$K1893))</f>
        <v/>
      </c>
      <c r="E1893" s="70" t="str">
        <f aca="false">IF($K1893="","",INDEX(Base!$G$5:$G$2004,$K1893))</f>
        <v/>
      </c>
      <c r="F1893" s="71" t="str">
        <f aca="false">IF($K1893="","",INDEX(Base!$H$5:$H$2004,$K1893))</f>
        <v/>
      </c>
      <c r="G1893" s="71" t="str">
        <f aca="false">IF($K1893="","",INDEX(Base!$I$5:$I$2004,$K1893))</f>
        <v/>
      </c>
      <c r="H1893" s="70" t="str">
        <f aca="false">IF($K1893="","",INDEX(Base!$J$5:$J$2004,$K1893))</f>
        <v/>
      </c>
      <c r="I1893" s="71" t="str">
        <f aca="false">IF($K1893="","",INDEX(Base!$L$5:$L$2004,$K1893))</f>
        <v/>
      </c>
      <c r="J1893" s="72" t="str">
        <f aca="false">IFERROR(SMALL(Base!$P$5:$P$2004,ROW()-5),"")</f>
        <v/>
      </c>
      <c r="K1893" s="72" t="str">
        <f aca="false">IF(J1893="","",MATCH(J1893,Base!$P$5:$P$2004,0))</f>
        <v/>
      </c>
    </row>
    <row r="1894" customFormat="false" ht="15" hidden="false" customHeight="false" outlineLevel="0" collapsed="false">
      <c r="A1894" s="67" t="str">
        <f aca="false">IF($K1894="","",ROW()-5)</f>
        <v/>
      </c>
      <c r="B1894" s="68" t="str">
        <f aca="false">IF($K1894="","",INDEX(Base!$E$5:$E$2004,$K1894))</f>
        <v/>
      </c>
      <c r="C1894" s="69" t="str">
        <f aca="false">IF($K1894="","",B1894)</f>
        <v/>
      </c>
      <c r="D1894" s="70" t="str">
        <f aca="false">IF($K1894="","",INDEX(Base!$F$5:$F$2004,$K1894))</f>
        <v/>
      </c>
      <c r="E1894" s="70" t="str">
        <f aca="false">IF($K1894="","",INDEX(Base!$G$5:$G$2004,$K1894))</f>
        <v/>
      </c>
      <c r="F1894" s="71" t="str">
        <f aca="false">IF($K1894="","",INDEX(Base!$H$5:$H$2004,$K1894))</f>
        <v/>
      </c>
      <c r="G1894" s="71" t="str">
        <f aca="false">IF($K1894="","",INDEX(Base!$I$5:$I$2004,$K1894))</f>
        <v/>
      </c>
      <c r="H1894" s="70" t="str">
        <f aca="false">IF($K1894="","",INDEX(Base!$J$5:$J$2004,$K1894))</f>
        <v/>
      </c>
      <c r="I1894" s="71" t="str">
        <f aca="false">IF($K1894="","",INDEX(Base!$L$5:$L$2004,$K1894))</f>
        <v/>
      </c>
      <c r="J1894" s="72" t="str">
        <f aca="false">IFERROR(SMALL(Base!$P$5:$P$2004,ROW()-5),"")</f>
        <v/>
      </c>
      <c r="K1894" s="72" t="str">
        <f aca="false">IF(J1894="","",MATCH(J1894,Base!$P$5:$P$2004,0))</f>
        <v/>
      </c>
    </row>
    <row r="1895" customFormat="false" ht="15" hidden="false" customHeight="false" outlineLevel="0" collapsed="false">
      <c r="A1895" s="67" t="str">
        <f aca="false">IF($K1895="","",ROW()-5)</f>
        <v/>
      </c>
      <c r="B1895" s="68" t="str">
        <f aca="false">IF($K1895="","",INDEX(Base!$E$5:$E$2004,$K1895))</f>
        <v/>
      </c>
      <c r="C1895" s="69" t="str">
        <f aca="false">IF($K1895="","",B1895)</f>
        <v/>
      </c>
      <c r="D1895" s="70" t="str">
        <f aca="false">IF($K1895="","",INDEX(Base!$F$5:$F$2004,$K1895))</f>
        <v/>
      </c>
      <c r="E1895" s="70" t="str">
        <f aca="false">IF($K1895="","",INDEX(Base!$G$5:$G$2004,$K1895))</f>
        <v/>
      </c>
      <c r="F1895" s="71" t="str">
        <f aca="false">IF($K1895="","",INDEX(Base!$H$5:$H$2004,$K1895))</f>
        <v/>
      </c>
      <c r="G1895" s="71" t="str">
        <f aca="false">IF($K1895="","",INDEX(Base!$I$5:$I$2004,$K1895))</f>
        <v/>
      </c>
      <c r="H1895" s="70" t="str">
        <f aca="false">IF($K1895="","",INDEX(Base!$J$5:$J$2004,$K1895))</f>
        <v/>
      </c>
      <c r="I1895" s="71" t="str">
        <f aca="false">IF($K1895="","",INDEX(Base!$L$5:$L$2004,$K1895))</f>
        <v/>
      </c>
      <c r="J1895" s="72" t="str">
        <f aca="false">IFERROR(SMALL(Base!$P$5:$P$2004,ROW()-5),"")</f>
        <v/>
      </c>
      <c r="K1895" s="72" t="str">
        <f aca="false">IF(J1895="","",MATCH(J1895,Base!$P$5:$P$2004,0))</f>
        <v/>
      </c>
    </row>
    <row r="1896" customFormat="false" ht="15" hidden="false" customHeight="false" outlineLevel="0" collapsed="false">
      <c r="A1896" s="67" t="str">
        <f aca="false">IF($K1896="","",ROW()-5)</f>
        <v/>
      </c>
      <c r="B1896" s="68" t="str">
        <f aca="false">IF($K1896="","",INDEX(Base!$E$5:$E$2004,$K1896))</f>
        <v/>
      </c>
      <c r="C1896" s="69" t="str">
        <f aca="false">IF($K1896="","",B1896)</f>
        <v/>
      </c>
      <c r="D1896" s="70" t="str">
        <f aca="false">IF($K1896="","",INDEX(Base!$F$5:$F$2004,$K1896))</f>
        <v/>
      </c>
      <c r="E1896" s="70" t="str">
        <f aca="false">IF($K1896="","",INDEX(Base!$G$5:$G$2004,$K1896))</f>
        <v/>
      </c>
      <c r="F1896" s="71" t="str">
        <f aca="false">IF($K1896="","",INDEX(Base!$H$5:$H$2004,$K1896))</f>
        <v/>
      </c>
      <c r="G1896" s="71" t="str">
        <f aca="false">IF($K1896="","",INDEX(Base!$I$5:$I$2004,$K1896))</f>
        <v/>
      </c>
      <c r="H1896" s="70" t="str">
        <f aca="false">IF($K1896="","",INDEX(Base!$J$5:$J$2004,$K1896))</f>
        <v/>
      </c>
      <c r="I1896" s="71" t="str">
        <f aca="false">IF($K1896="","",INDEX(Base!$L$5:$L$2004,$K1896))</f>
        <v/>
      </c>
      <c r="J1896" s="72" t="str">
        <f aca="false">IFERROR(SMALL(Base!$P$5:$P$2004,ROW()-5),"")</f>
        <v/>
      </c>
      <c r="K1896" s="72" t="str">
        <f aca="false">IF(J1896="","",MATCH(J1896,Base!$P$5:$P$2004,0))</f>
        <v/>
      </c>
    </row>
    <row r="1897" customFormat="false" ht="15" hidden="false" customHeight="false" outlineLevel="0" collapsed="false">
      <c r="A1897" s="67" t="str">
        <f aca="false">IF($K1897="","",ROW()-5)</f>
        <v/>
      </c>
      <c r="B1897" s="68" t="str">
        <f aca="false">IF($K1897="","",INDEX(Base!$E$5:$E$2004,$K1897))</f>
        <v/>
      </c>
      <c r="C1897" s="69" t="str">
        <f aca="false">IF($K1897="","",B1897)</f>
        <v/>
      </c>
      <c r="D1897" s="70" t="str">
        <f aca="false">IF($K1897="","",INDEX(Base!$F$5:$F$2004,$K1897))</f>
        <v/>
      </c>
      <c r="E1897" s="70" t="str">
        <f aca="false">IF($K1897="","",INDEX(Base!$G$5:$G$2004,$K1897))</f>
        <v/>
      </c>
      <c r="F1897" s="71" t="str">
        <f aca="false">IF($K1897="","",INDEX(Base!$H$5:$H$2004,$K1897))</f>
        <v/>
      </c>
      <c r="G1897" s="71" t="str">
        <f aca="false">IF($K1897="","",INDEX(Base!$I$5:$I$2004,$K1897))</f>
        <v/>
      </c>
      <c r="H1897" s="70" t="str">
        <f aca="false">IF($K1897="","",INDEX(Base!$J$5:$J$2004,$K1897))</f>
        <v/>
      </c>
      <c r="I1897" s="71" t="str">
        <f aca="false">IF($K1897="","",INDEX(Base!$L$5:$L$2004,$K1897))</f>
        <v/>
      </c>
      <c r="J1897" s="72" t="str">
        <f aca="false">IFERROR(SMALL(Base!$P$5:$P$2004,ROW()-5),"")</f>
        <v/>
      </c>
      <c r="K1897" s="72" t="str">
        <f aca="false">IF(J1897="","",MATCH(J1897,Base!$P$5:$P$2004,0))</f>
        <v/>
      </c>
    </row>
    <row r="1898" customFormat="false" ht="15" hidden="false" customHeight="false" outlineLevel="0" collapsed="false">
      <c r="A1898" s="67" t="str">
        <f aca="false">IF($K1898="","",ROW()-5)</f>
        <v/>
      </c>
      <c r="B1898" s="68" t="str">
        <f aca="false">IF($K1898="","",INDEX(Base!$E$5:$E$2004,$K1898))</f>
        <v/>
      </c>
      <c r="C1898" s="69" t="str">
        <f aca="false">IF($K1898="","",B1898)</f>
        <v/>
      </c>
      <c r="D1898" s="70" t="str">
        <f aca="false">IF($K1898="","",INDEX(Base!$F$5:$F$2004,$K1898))</f>
        <v/>
      </c>
      <c r="E1898" s="70" t="str">
        <f aca="false">IF($K1898="","",INDEX(Base!$G$5:$G$2004,$K1898))</f>
        <v/>
      </c>
      <c r="F1898" s="71" t="str">
        <f aca="false">IF($K1898="","",INDEX(Base!$H$5:$H$2004,$K1898))</f>
        <v/>
      </c>
      <c r="G1898" s="71" t="str">
        <f aca="false">IF($K1898="","",INDEX(Base!$I$5:$I$2004,$K1898))</f>
        <v/>
      </c>
      <c r="H1898" s="70" t="str">
        <f aca="false">IF($K1898="","",INDEX(Base!$J$5:$J$2004,$K1898))</f>
        <v/>
      </c>
      <c r="I1898" s="71" t="str">
        <f aca="false">IF($K1898="","",INDEX(Base!$L$5:$L$2004,$K1898))</f>
        <v/>
      </c>
      <c r="J1898" s="72" t="str">
        <f aca="false">IFERROR(SMALL(Base!$P$5:$P$2004,ROW()-5),"")</f>
        <v/>
      </c>
      <c r="K1898" s="72" t="str">
        <f aca="false">IF(J1898="","",MATCH(J1898,Base!$P$5:$P$2004,0))</f>
        <v/>
      </c>
    </row>
    <row r="1899" customFormat="false" ht="15" hidden="false" customHeight="false" outlineLevel="0" collapsed="false">
      <c r="A1899" s="67" t="str">
        <f aca="false">IF($K1899="","",ROW()-5)</f>
        <v/>
      </c>
      <c r="B1899" s="68" t="str">
        <f aca="false">IF($K1899="","",INDEX(Base!$E$5:$E$2004,$K1899))</f>
        <v/>
      </c>
      <c r="C1899" s="69" t="str">
        <f aca="false">IF($K1899="","",B1899)</f>
        <v/>
      </c>
      <c r="D1899" s="70" t="str">
        <f aca="false">IF($K1899="","",INDEX(Base!$F$5:$F$2004,$K1899))</f>
        <v/>
      </c>
      <c r="E1899" s="70" t="str">
        <f aca="false">IF($K1899="","",INDEX(Base!$G$5:$G$2004,$K1899))</f>
        <v/>
      </c>
      <c r="F1899" s="71" t="str">
        <f aca="false">IF($K1899="","",INDEX(Base!$H$5:$H$2004,$K1899))</f>
        <v/>
      </c>
      <c r="G1899" s="71" t="str">
        <f aca="false">IF($K1899="","",INDEX(Base!$I$5:$I$2004,$K1899))</f>
        <v/>
      </c>
      <c r="H1899" s="70" t="str">
        <f aca="false">IF($K1899="","",INDEX(Base!$J$5:$J$2004,$K1899))</f>
        <v/>
      </c>
      <c r="I1899" s="71" t="str">
        <f aca="false">IF($K1899="","",INDEX(Base!$L$5:$L$2004,$K1899))</f>
        <v/>
      </c>
      <c r="J1899" s="72" t="str">
        <f aca="false">IFERROR(SMALL(Base!$P$5:$P$2004,ROW()-5),"")</f>
        <v/>
      </c>
      <c r="K1899" s="72" t="str">
        <f aca="false">IF(J1899="","",MATCH(J1899,Base!$P$5:$P$2004,0))</f>
        <v/>
      </c>
    </row>
    <row r="1900" customFormat="false" ht="15" hidden="false" customHeight="false" outlineLevel="0" collapsed="false">
      <c r="A1900" s="67" t="str">
        <f aca="false">IF($K1900="","",ROW()-5)</f>
        <v/>
      </c>
      <c r="B1900" s="68" t="str">
        <f aca="false">IF($K1900="","",INDEX(Base!$E$5:$E$2004,$K1900))</f>
        <v/>
      </c>
      <c r="C1900" s="69" t="str">
        <f aca="false">IF($K1900="","",B1900)</f>
        <v/>
      </c>
      <c r="D1900" s="70" t="str">
        <f aca="false">IF($K1900="","",INDEX(Base!$F$5:$F$2004,$K1900))</f>
        <v/>
      </c>
      <c r="E1900" s="70" t="str">
        <f aca="false">IF($K1900="","",INDEX(Base!$G$5:$G$2004,$K1900))</f>
        <v/>
      </c>
      <c r="F1900" s="71" t="str">
        <f aca="false">IF($K1900="","",INDEX(Base!$H$5:$H$2004,$K1900))</f>
        <v/>
      </c>
      <c r="G1900" s="71" t="str">
        <f aca="false">IF($K1900="","",INDEX(Base!$I$5:$I$2004,$K1900))</f>
        <v/>
      </c>
      <c r="H1900" s="70" t="str">
        <f aca="false">IF($K1900="","",INDEX(Base!$J$5:$J$2004,$K1900))</f>
        <v/>
      </c>
      <c r="I1900" s="71" t="str">
        <f aca="false">IF($K1900="","",INDEX(Base!$L$5:$L$2004,$K1900))</f>
        <v/>
      </c>
      <c r="J1900" s="72" t="str">
        <f aca="false">IFERROR(SMALL(Base!$P$5:$P$2004,ROW()-5),"")</f>
        <v/>
      </c>
      <c r="K1900" s="72" t="str">
        <f aca="false">IF(J1900="","",MATCH(J1900,Base!$P$5:$P$2004,0))</f>
        <v/>
      </c>
    </row>
    <row r="1901" customFormat="false" ht="15" hidden="false" customHeight="false" outlineLevel="0" collapsed="false">
      <c r="A1901" s="67" t="str">
        <f aca="false">IF($K1901="","",ROW()-5)</f>
        <v/>
      </c>
      <c r="B1901" s="68" t="str">
        <f aca="false">IF($K1901="","",INDEX(Base!$E$5:$E$2004,$K1901))</f>
        <v/>
      </c>
      <c r="C1901" s="69" t="str">
        <f aca="false">IF($K1901="","",B1901)</f>
        <v/>
      </c>
      <c r="D1901" s="70" t="str">
        <f aca="false">IF($K1901="","",INDEX(Base!$F$5:$F$2004,$K1901))</f>
        <v/>
      </c>
      <c r="E1901" s="70" t="str">
        <f aca="false">IF($K1901="","",INDEX(Base!$G$5:$G$2004,$K1901))</f>
        <v/>
      </c>
      <c r="F1901" s="71" t="str">
        <f aca="false">IF($K1901="","",INDEX(Base!$H$5:$H$2004,$K1901))</f>
        <v/>
      </c>
      <c r="G1901" s="71" t="str">
        <f aca="false">IF($K1901="","",INDEX(Base!$I$5:$I$2004,$K1901))</f>
        <v/>
      </c>
      <c r="H1901" s="70" t="str">
        <f aca="false">IF($K1901="","",INDEX(Base!$J$5:$J$2004,$K1901))</f>
        <v/>
      </c>
      <c r="I1901" s="71" t="str">
        <f aca="false">IF($K1901="","",INDEX(Base!$L$5:$L$2004,$K1901))</f>
        <v/>
      </c>
      <c r="J1901" s="72" t="str">
        <f aca="false">IFERROR(SMALL(Base!$P$5:$P$2004,ROW()-5),"")</f>
        <v/>
      </c>
      <c r="K1901" s="72" t="str">
        <f aca="false">IF(J1901="","",MATCH(J1901,Base!$P$5:$P$2004,0))</f>
        <v/>
      </c>
    </row>
    <row r="1902" customFormat="false" ht="15" hidden="false" customHeight="false" outlineLevel="0" collapsed="false">
      <c r="A1902" s="67" t="str">
        <f aca="false">IF($K1902="","",ROW()-5)</f>
        <v/>
      </c>
      <c r="B1902" s="68" t="str">
        <f aca="false">IF($K1902="","",INDEX(Base!$E$5:$E$2004,$K1902))</f>
        <v/>
      </c>
      <c r="C1902" s="69" t="str">
        <f aca="false">IF($K1902="","",B1902)</f>
        <v/>
      </c>
      <c r="D1902" s="70" t="str">
        <f aca="false">IF($K1902="","",INDEX(Base!$F$5:$F$2004,$K1902))</f>
        <v/>
      </c>
      <c r="E1902" s="70" t="str">
        <f aca="false">IF($K1902="","",INDEX(Base!$G$5:$G$2004,$K1902))</f>
        <v/>
      </c>
      <c r="F1902" s="71" t="str">
        <f aca="false">IF($K1902="","",INDEX(Base!$H$5:$H$2004,$K1902))</f>
        <v/>
      </c>
      <c r="G1902" s="71" t="str">
        <f aca="false">IF($K1902="","",INDEX(Base!$I$5:$I$2004,$K1902))</f>
        <v/>
      </c>
      <c r="H1902" s="70" t="str">
        <f aca="false">IF($K1902="","",INDEX(Base!$J$5:$J$2004,$K1902))</f>
        <v/>
      </c>
      <c r="I1902" s="71" t="str">
        <f aca="false">IF($K1902="","",INDEX(Base!$L$5:$L$2004,$K1902))</f>
        <v/>
      </c>
      <c r="J1902" s="72" t="str">
        <f aca="false">IFERROR(SMALL(Base!$P$5:$P$2004,ROW()-5),"")</f>
        <v/>
      </c>
      <c r="K1902" s="72" t="str">
        <f aca="false">IF(J1902="","",MATCH(J1902,Base!$P$5:$P$2004,0))</f>
        <v/>
      </c>
    </row>
    <row r="1903" customFormat="false" ht="15" hidden="false" customHeight="false" outlineLevel="0" collapsed="false">
      <c r="A1903" s="67" t="str">
        <f aca="false">IF($K1903="","",ROW()-5)</f>
        <v/>
      </c>
      <c r="B1903" s="68" t="str">
        <f aca="false">IF($K1903="","",INDEX(Base!$E$5:$E$2004,$K1903))</f>
        <v/>
      </c>
      <c r="C1903" s="69" t="str">
        <f aca="false">IF($K1903="","",B1903)</f>
        <v/>
      </c>
      <c r="D1903" s="70" t="str">
        <f aca="false">IF($K1903="","",INDEX(Base!$F$5:$F$2004,$K1903))</f>
        <v/>
      </c>
      <c r="E1903" s="70" t="str">
        <f aca="false">IF($K1903="","",INDEX(Base!$G$5:$G$2004,$K1903))</f>
        <v/>
      </c>
      <c r="F1903" s="71" t="str">
        <f aca="false">IF($K1903="","",INDEX(Base!$H$5:$H$2004,$K1903))</f>
        <v/>
      </c>
      <c r="G1903" s="71" t="str">
        <f aca="false">IF($K1903="","",INDEX(Base!$I$5:$I$2004,$K1903))</f>
        <v/>
      </c>
      <c r="H1903" s="70" t="str">
        <f aca="false">IF($K1903="","",INDEX(Base!$J$5:$J$2004,$K1903))</f>
        <v/>
      </c>
      <c r="I1903" s="71" t="str">
        <f aca="false">IF($K1903="","",INDEX(Base!$L$5:$L$2004,$K1903))</f>
        <v/>
      </c>
      <c r="J1903" s="72" t="str">
        <f aca="false">IFERROR(SMALL(Base!$P$5:$P$2004,ROW()-5),"")</f>
        <v/>
      </c>
      <c r="K1903" s="72" t="str">
        <f aca="false">IF(J1903="","",MATCH(J1903,Base!$P$5:$P$2004,0))</f>
        <v/>
      </c>
    </row>
    <row r="1904" customFormat="false" ht="15" hidden="false" customHeight="false" outlineLevel="0" collapsed="false">
      <c r="A1904" s="67" t="str">
        <f aca="false">IF($K1904="","",ROW()-5)</f>
        <v/>
      </c>
      <c r="B1904" s="68" t="str">
        <f aca="false">IF($K1904="","",INDEX(Base!$E$5:$E$2004,$K1904))</f>
        <v/>
      </c>
      <c r="C1904" s="69" t="str">
        <f aca="false">IF($K1904="","",B1904)</f>
        <v/>
      </c>
      <c r="D1904" s="70" t="str">
        <f aca="false">IF($K1904="","",INDEX(Base!$F$5:$F$2004,$K1904))</f>
        <v/>
      </c>
      <c r="E1904" s="70" t="str">
        <f aca="false">IF($K1904="","",INDEX(Base!$G$5:$G$2004,$K1904))</f>
        <v/>
      </c>
      <c r="F1904" s="71" t="str">
        <f aca="false">IF($K1904="","",INDEX(Base!$H$5:$H$2004,$K1904))</f>
        <v/>
      </c>
      <c r="G1904" s="71" t="str">
        <f aca="false">IF($K1904="","",INDEX(Base!$I$5:$I$2004,$K1904))</f>
        <v/>
      </c>
      <c r="H1904" s="70" t="str">
        <f aca="false">IF($K1904="","",INDEX(Base!$J$5:$J$2004,$K1904))</f>
        <v/>
      </c>
      <c r="I1904" s="71" t="str">
        <f aca="false">IF($K1904="","",INDEX(Base!$L$5:$L$2004,$K1904))</f>
        <v/>
      </c>
      <c r="J1904" s="72" t="str">
        <f aca="false">IFERROR(SMALL(Base!$P$5:$P$2004,ROW()-5),"")</f>
        <v/>
      </c>
      <c r="K1904" s="72" t="str">
        <f aca="false">IF(J1904="","",MATCH(J1904,Base!$P$5:$P$2004,0))</f>
        <v/>
      </c>
    </row>
    <row r="1905" customFormat="false" ht="15" hidden="false" customHeight="false" outlineLevel="0" collapsed="false">
      <c r="A1905" s="67" t="str">
        <f aca="false">IF($K1905="","",ROW()-5)</f>
        <v/>
      </c>
      <c r="B1905" s="68" t="str">
        <f aca="false">IF($K1905="","",INDEX(Base!$E$5:$E$2004,$K1905))</f>
        <v/>
      </c>
      <c r="C1905" s="69" t="str">
        <f aca="false">IF($K1905="","",B1905)</f>
        <v/>
      </c>
      <c r="D1905" s="70" t="str">
        <f aca="false">IF($K1905="","",INDEX(Base!$F$5:$F$2004,$K1905))</f>
        <v/>
      </c>
      <c r="E1905" s="70" t="str">
        <f aca="false">IF($K1905="","",INDEX(Base!$G$5:$G$2004,$K1905))</f>
        <v/>
      </c>
      <c r="F1905" s="71" t="str">
        <f aca="false">IF($K1905="","",INDEX(Base!$H$5:$H$2004,$K1905))</f>
        <v/>
      </c>
      <c r="G1905" s="71" t="str">
        <f aca="false">IF($K1905="","",INDEX(Base!$I$5:$I$2004,$K1905))</f>
        <v/>
      </c>
      <c r="H1905" s="70" t="str">
        <f aca="false">IF($K1905="","",INDEX(Base!$J$5:$J$2004,$K1905))</f>
        <v/>
      </c>
      <c r="I1905" s="71" t="str">
        <f aca="false">IF($K1905="","",INDEX(Base!$L$5:$L$2004,$K1905))</f>
        <v/>
      </c>
      <c r="J1905" s="72" t="str">
        <f aca="false">IFERROR(SMALL(Base!$P$5:$P$2004,ROW()-5),"")</f>
        <v/>
      </c>
      <c r="K1905" s="72" t="str">
        <f aca="false">IF(J1905="","",MATCH(J1905,Base!$P$5:$P$2004,0))</f>
        <v/>
      </c>
    </row>
    <row r="1906" customFormat="false" ht="15" hidden="false" customHeight="false" outlineLevel="0" collapsed="false">
      <c r="A1906" s="67" t="str">
        <f aca="false">IF($K1906="","",ROW()-5)</f>
        <v/>
      </c>
      <c r="B1906" s="68" t="str">
        <f aca="false">IF($K1906="","",INDEX(Base!$E$5:$E$2004,$K1906))</f>
        <v/>
      </c>
      <c r="C1906" s="69" t="str">
        <f aca="false">IF($K1906="","",B1906)</f>
        <v/>
      </c>
      <c r="D1906" s="70" t="str">
        <f aca="false">IF($K1906="","",INDEX(Base!$F$5:$F$2004,$K1906))</f>
        <v/>
      </c>
      <c r="E1906" s="70" t="str">
        <f aca="false">IF($K1906="","",INDEX(Base!$G$5:$G$2004,$K1906))</f>
        <v/>
      </c>
      <c r="F1906" s="71" t="str">
        <f aca="false">IF($K1906="","",INDEX(Base!$H$5:$H$2004,$K1906))</f>
        <v/>
      </c>
      <c r="G1906" s="71" t="str">
        <f aca="false">IF($K1906="","",INDEX(Base!$I$5:$I$2004,$K1906))</f>
        <v/>
      </c>
      <c r="H1906" s="70" t="str">
        <f aca="false">IF($K1906="","",INDEX(Base!$J$5:$J$2004,$K1906))</f>
        <v/>
      </c>
      <c r="I1906" s="71" t="str">
        <f aca="false">IF($K1906="","",INDEX(Base!$L$5:$L$2004,$K1906))</f>
        <v/>
      </c>
      <c r="J1906" s="72" t="str">
        <f aca="false">IFERROR(SMALL(Base!$P$5:$P$2004,ROW()-5),"")</f>
        <v/>
      </c>
      <c r="K1906" s="72" t="str">
        <f aca="false">IF(J1906="","",MATCH(J1906,Base!$P$5:$P$2004,0))</f>
        <v/>
      </c>
    </row>
    <row r="1907" customFormat="false" ht="15" hidden="false" customHeight="false" outlineLevel="0" collapsed="false">
      <c r="A1907" s="67" t="str">
        <f aca="false">IF($K1907="","",ROW()-5)</f>
        <v/>
      </c>
      <c r="B1907" s="68" t="str">
        <f aca="false">IF($K1907="","",INDEX(Base!$E$5:$E$2004,$K1907))</f>
        <v/>
      </c>
      <c r="C1907" s="69" t="str">
        <f aca="false">IF($K1907="","",B1907)</f>
        <v/>
      </c>
      <c r="D1907" s="70" t="str">
        <f aca="false">IF($K1907="","",INDEX(Base!$F$5:$F$2004,$K1907))</f>
        <v/>
      </c>
      <c r="E1907" s="70" t="str">
        <f aca="false">IF($K1907="","",INDEX(Base!$G$5:$G$2004,$K1907))</f>
        <v/>
      </c>
      <c r="F1907" s="71" t="str">
        <f aca="false">IF($K1907="","",INDEX(Base!$H$5:$H$2004,$K1907))</f>
        <v/>
      </c>
      <c r="G1907" s="71" t="str">
        <f aca="false">IF($K1907="","",INDEX(Base!$I$5:$I$2004,$K1907))</f>
        <v/>
      </c>
      <c r="H1907" s="70" t="str">
        <f aca="false">IF($K1907="","",INDEX(Base!$J$5:$J$2004,$K1907))</f>
        <v/>
      </c>
      <c r="I1907" s="71" t="str">
        <f aca="false">IF($K1907="","",INDEX(Base!$L$5:$L$2004,$K1907))</f>
        <v/>
      </c>
      <c r="J1907" s="72" t="str">
        <f aca="false">IFERROR(SMALL(Base!$P$5:$P$2004,ROW()-5),"")</f>
        <v/>
      </c>
      <c r="K1907" s="72" t="str">
        <f aca="false">IF(J1907="","",MATCH(J1907,Base!$P$5:$P$2004,0))</f>
        <v/>
      </c>
    </row>
    <row r="1908" customFormat="false" ht="15" hidden="false" customHeight="false" outlineLevel="0" collapsed="false">
      <c r="A1908" s="67" t="str">
        <f aca="false">IF($K1908="","",ROW()-5)</f>
        <v/>
      </c>
      <c r="B1908" s="68" t="str">
        <f aca="false">IF($K1908="","",INDEX(Base!$E$5:$E$2004,$K1908))</f>
        <v/>
      </c>
      <c r="C1908" s="69" t="str">
        <f aca="false">IF($K1908="","",B1908)</f>
        <v/>
      </c>
      <c r="D1908" s="70" t="str">
        <f aca="false">IF($K1908="","",INDEX(Base!$F$5:$F$2004,$K1908))</f>
        <v/>
      </c>
      <c r="E1908" s="70" t="str">
        <f aca="false">IF($K1908="","",INDEX(Base!$G$5:$G$2004,$K1908))</f>
        <v/>
      </c>
      <c r="F1908" s="71" t="str">
        <f aca="false">IF($K1908="","",INDEX(Base!$H$5:$H$2004,$K1908))</f>
        <v/>
      </c>
      <c r="G1908" s="71" t="str">
        <f aca="false">IF($K1908="","",INDEX(Base!$I$5:$I$2004,$K1908))</f>
        <v/>
      </c>
      <c r="H1908" s="70" t="str">
        <f aca="false">IF($K1908="","",INDEX(Base!$J$5:$J$2004,$K1908))</f>
        <v/>
      </c>
      <c r="I1908" s="71" t="str">
        <f aca="false">IF($K1908="","",INDEX(Base!$L$5:$L$2004,$K1908))</f>
        <v/>
      </c>
      <c r="J1908" s="72" t="str">
        <f aca="false">IFERROR(SMALL(Base!$P$5:$P$2004,ROW()-5),"")</f>
        <v/>
      </c>
      <c r="K1908" s="72" t="str">
        <f aca="false">IF(J1908="","",MATCH(J1908,Base!$P$5:$P$2004,0))</f>
        <v/>
      </c>
    </row>
    <row r="1909" customFormat="false" ht="15" hidden="false" customHeight="false" outlineLevel="0" collapsed="false">
      <c r="A1909" s="67" t="str">
        <f aca="false">IF($K1909="","",ROW()-5)</f>
        <v/>
      </c>
      <c r="B1909" s="68" t="str">
        <f aca="false">IF($K1909="","",INDEX(Base!$E$5:$E$2004,$K1909))</f>
        <v/>
      </c>
      <c r="C1909" s="69" t="str">
        <f aca="false">IF($K1909="","",B1909)</f>
        <v/>
      </c>
      <c r="D1909" s="70" t="str">
        <f aca="false">IF($K1909="","",INDEX(Base!$F$5:$F$2004,$K1909))</f>
        <v/>
      </c>
      <c r="E1909" s="70" t="str">
        <f aca="false">IF($K1909="","",INDEX(Base!$G$5:$G$2004,$K1909))</f>
        <v/>
      </c>
      <c r="F1909" s="71" t="str">
        <f aca="false">IF($K1909="","",INDEX(Base!$H$5:$H$2004,$K1909))</f>
        <v/>
      </c>
      <c r="G1909" s="71" t="str">
        <f aca="false">IF($K1909="","",INDEX(Base!$I$5:$I$2004,$K1909))</f>
        <v/>
      </c>
      <c r="H1909" s="70" t="str">
        <f aca="false">IF($K1909="","",INDEX(Base!$J$5:$J$2004,$K1909))</f>
        <v/>
      </c>
      <c r="I1909" s="71" t="str">
        <f aca="false">IF($K1909="","",INDEX(Base!$L$5:$L$2004,$K1909))</f>
        <v/>
      </c>
      <c r="J1909" s="72" t="str">
        <f aca="false">IFERROR(SMALL(Base!$P$5:$P$2004,ROW()-5),"")</f>
        <v/>
      </c>
      <c r="K1909" s="72" t="str">
        <f aca="false">IF(J1909="","",MATCH(J1909,Base!$P$5:$P$2004,0))</f>
        <v/>
      </c>
    </row>
    <row r="1910" customFormat="false" ht="15" hidden="false" customHeight="false" outlineLevel="0" collapsed="false">
      <c r="A1910" s="67" t="str">
        <f aca="false">IF($K1910="","",ROW()-5)</f>
        <v/>
      </c>
      <c r="B1910" s="68" t="str">
        <f aca="false">IF($K1910="","",INDEX(Base!$E$5:$E$2004,$K1910))</f>
        <v/>
      </c>
      <c r="C1910" s="69" t="str">
        <f aca="false">IF($K1910="","",B1910)</f>
        <v/>
      </c>
      <c r="D1910" s="70" t="str">
        <f aca="false">IF($K1910="","",INDEX(Base!$F$5:$F$2004,$K1910))</f>
        <v/>
      </c>
      <c r="E1910" s="70" t="str">
        <f aca="false">IF($K1910="","",INDEX(Base!$G$5:$G$2004,$K1910))</f>
        <v/>
      </c>
      <c r="F1910" s="71" t="str">
        <f aca="false">IF($K1910="","",INDEX(Base!$H$5:$H$2004,$K1910))</f>
        <v/>
      </c>
      <c r="G1910" s="71" t="str">
        <f aca="false">IF($K1910="","",INDEX(Base!$I$5:$I$2004,$K1910))</f>
        <v/>
      </c>
      <c r="H1910" s="70" t="str">
        <f aca="false">IF($K1910="","",INDEX(Base!$J$5:$J$2004,$K1910))</f>
        <v/>
      </c>
      <c r="I1910" s="71" t="str">
        <f aca="false">IF($K1910="","",INDEX(Base!$L$5:$L$2004,$K1910))</f>
        <v/>
      </c>
      <c r="J1910" s="72" t="str">
        <f aca="false">IFERROR(SMALL(Base!$P$5:$P$2004,ROW()-5),"")</f>
        <v/>
      </c>
      <c r="K1910" s="72" t="str">
        <f aca="false">IF(J1910="","",MATCH(J1910,Base!$P$5:$P$2004,0))</f>
        <v/>
      </c>
    </row>
    <row r="1911" customFormat="false" ht="15" hidden="false" customHeight="false" outlineLevel="0" collapsed="false">
      <c r="A1911" s="67" t="str">
        <f aca="false">IF($K1911="","",ROW()-5)</f>
        <v/>
      </c>
      <c r="B1911" s="68" t="str">
        <f aca="false">IF($K1911="","",INDEX(Base!$E$5:$E$2004,$K1911))</f>
        <v/>
      </c>
      <c r="C1911" s="69" t="str">
        <f aca="false">IF($K1911="","",B1911)</f>
        <v/>
      </c>
      <c r="D1911" s="70" t="str">
        <f aca="false">IF($K1911="","",INDEX(Base!$F$5:$F$2004,$K1911))</f>
        <v/>
      </c>
      <c r="E1911" s="70" t="str">
        <f aca="false">IF($K1911="","",INDEX(Base!$G$5:$G$2004,$K1911))</f>
        <v/>
      </c>
      <c r="F1911" s="71" t="str">
        <f aca="false">IF($K1911="","",INDEX(Base!$H$5:$H$2004,$K1911))</f>
        <v/>
      </c>
      <c r="G1911" s="71" t="str">
        <f aca="false">IF($K1911="","",INDEX(Base!$I$5:$I$2004,$K1911))</f>
        <v/>
      </c>
      <c r="H1911" s="70" t="str">
        <f aca="false">IF($K1911="","",INDEX(Base!$J$5:$J$2004,$K1911))</f>
        <v/>
      </c>
      <c r="I1911" s="71" t="str">
        <f aca="false">IF($K1911="","",INDEX(Base!$L$5:$L$2004,$K1911))</f>
        <v/>
      </c>
      <c r="J1911" s="72" t="str">
        <f aca="false">IFERROR(SMALL(Base!$P$5:$P$2004,ROW()-5),"")</f>
        <v/>
      </c>
      <c r="K1911" s="72" t="str">
        <f aca="false">IF(J1911="","",MATCH(J1911,Base!$P$5:$P$2004,0))</f>
        <v/>
      </c>
    </row>
    <row r="1912" customFormat="false" ht="15" hidden="false" customHeight="false" outlineLevel="0" collapsed="false">
      <c r="A1912" s="67" t="str">
        <f aca="false">IF($K1912="","",ROW()-5)</f>
        <v/>
      </c>
      <c r="B1912" s="68" t="str">
        <f aca="false">IF($K1912="","",INDEX(Base!$E$5:$E$2004,$K1912))</f>
        <v/>
      </c>
      <c r="C1912" s="69" t="str">
        <f aca="false">IF($K1912="","",B1912)</f>
        <v/>
      </c>
      <c r="D1912" s="70" t="str">
        <f aca="false">IF($K1912="","",INDEX(Base!$F$5:$F$2004,$K1912))</f>
        <v/>
      </c>
      <c r="E1912" s="70" t="str">
        <f aca="false">IF($K1912="","",INDEX(Base!$G$5:$G$2004,$K1912))</f>
        <v/>
      </c>
      <c r="F1912" s="71" t="str">
        <f aca="false">IF($K1912="","",INDEX(Base!$H$5:$H$2004,$K1912))</f>
        <v/>
      </c>
      <c r="G1912" s="71" t="str">
        <f aca="false">IF($K1912="","",INDEX(Base!$I$5:$I$2004,$K1912))</f>
        <v/>
      </c>
      <c r="H1912" s="70" t="str">
        <f aca="false">IF($K1912="","",INDEX(Base!$J$5:$J$2004,$K1912))</f>
        <v/>
      </c>
      <c r="I1912" s="71" t="str">
        <f aca="false">IF($K1912="","",INDEX(Base!$L$5:$L$2004,$K1912))</f>
        <v/>
      </c>
      <c r="J1912" s="72" t="str">
        <f aca="false">IFERROR(SMALL(Base!$P$5:$P$2004,ROW()-5),"")</f>
        <v/>
      </c>
      <c r="K1912" s="72" t="str">
        <f aca="false">IF(J1912="","",MATCH(J1912,Base!$P$5:$P$2004,0))</f>
        <v/>
      </c>
    </row>
    <row r="1913" customFormat="false" ht="15" hidden="false" customHeight="false" outlineLevel="0" collapsed="false">
      <c r="A1913" s="67" t="str">
        <f aca="false">IF($K1913="","",ROW()-5)</f>
        <v/>
      </c>
      <c r="B1913" s="68" t="str">
        <f aca="false">IF($K1913="","",INDEX(Base!$E$5:$E$2004,$K1913))</f>
        <v/>
      </c>
      <c r="C1913" s="69" t="str">
        <f aca="false">IF($K1913="","",B1913)</f>
        <v/>
      </c>
      <c r="D1913" s="70" t="str">
        <f aca="false">IF($K1913="","",INDEX(Base!$F$5:$F$2004,$K1913))</f>
        <v/>
      </c>
      <c r="E1913" s="70" t="str">
        <f aca="false">IF($K1913="","",INDEX(Base!$G$5:$G$2004,$K1913))</f>
        <v/>
      </c>
      <c r="F1913" s="71" t="str">
        <f aca="false">IF($K1913="","",INDEX(Base!$H$5:$H$2004,$K1913))</f>
        <v/>
      </c>
      <c r="G1913" s="71" t="str">
        <f aca="false">IF($K1913="","",INDEX(Base!$I$5:$I$2004,$K1913))</f>
        <v/>
      </c>
      <c r="H1913" s="70" t="str">
        <f aca="false">IF($K1913="","",INDEX(Base!$J$5:$J$2004,$K1913))</f>
        <v/>
      </c>
      <c r="I1913" s="71" t="str">
        <f aca="false">IF($K1913="","",INDEX(Base!$L$5:$L$2004,$K1913))</f>
        <v/>
      </c>
      <c r="J1913" s="72" t="str">
        <f aca="false">IFERROR(SMALL(Base!$P$5:$P$2004,ROW()-5),"")</f>
        <v/>
      </c>
      <c r="K1913" s="72" t="str">
        <f aca="false">IF(J1913="","",MATCH(J1913,Base!$P$5:$P$2004,0))</f>
        <v/>
      </c>
    </row>
    <row r="1914" customFormat="false" ht="15" hidden="false" customHeight="false" outlineLevel="0" collapsed="false">
      <c r="A1914" s="67" t="str">
        <f aca="false">IF($K1914="","",ROW()-5)</f>
        <v/>
      </c>
      <c r="B1914" s="68" t="str">
        <f aca="false">IF($K1914="","",INDEX(Base!$E$5:$E$2004,$K1914))</f>
        <v/>
      </c>
      <c r="C1914" s="69" t="str">
        <f aca="false">IF($K1914="","",B1914)</f>
        <v/>
      </c>
      <c r="D1914" s="70" t="str">
        <f aca="false">IF($K1914="","",INDEX(Base!$F$5:$F$2004,$K1914))</f>
        <v/>
      </c>
      <c r="E1914" s="70" t="str">
        <f aca="false">IF($K1914="","",INDEX(Base!$G$5:$G$2004,$K1914))</f>
        <v/>
      </c>
      <c r="F1914" s="71" t="str">
        <f aca="false">IF($K1914="","",INDEX(Base!$H$5:$H$2004,$K1914))</f>
        <v/>
      </c>
      <c r="G1914" s="71" t="str">
        <f aca="false">IF($K1914="","",INDEX(Base!$I$5:$I$2004,$K1914))</f>
        <v/>
      </c>
      <c r="H1914" s="70" t="str">
        <f aca="false">IF($K1914="","",INDEX(Base!$J$5:$J$2004,$K1914))</f>
        <v/>
      </c>
      <c r="I1914" s="71" t="str">
        <f aca="false">IF($K1914="","",INDEX(Base!$L$5:$L$2004,$K1914))</f>
        <v/>
      </c>
      <c r="J1914" s="72" t="str">
        <f aca="false">IFERROR(SMALL(Base!$P$5:$P$2004,ROW()-5),"")</f>
        <v/>
      </c>
      <c r="K1914" s="72" t="str">
        <f aca="false">IF(J1914="","",MATCH(J1914,Base!$P$5:$P$2004,0))</f>
        <v/>
      </c>
    </row>
    <row r="1915" customFormat="false" ht="15" hidden="false" customHeight="false" outlineLevel="0" collapsed="false">
      <c r="A1915" s="67" t="str">
        <f aca="false">IF($K1915="","",ROW()-5)</f>
        <v/>
      </c>
      <c r="B1915" s="68" t="str">
        <f aca="false">IF($K1915="","",INDEX(Base!$E$5:$E$2004,$K1915))</f>
        <v/>
      </c>
      <c r="C1915" s="69" t="str">
        <f aca="false">IF($K1915="","",B1915)</f>
        <v/>
      </c>
      <c r="D1915" s="70" t="str">
        <f aca="false">IF($K1915="","",INDEX(Base!$F$5:$F$2004,$K1915))</f>
        <v/>
      </c>
      <c r="E1915" s="70" t="str">
        <f aca="false">IF($K1915="","",INDEX(Base!$G$5:$G$2004,$K1915))</f>
        <v/>
      </c>
      <c r="F1915" s="71" t="str">
        <f aca="false">IF($K1915="","",INDEX(Base!$H$5:$H$2004,$K1915))</f>
        <v/>
      </c>
      <c r="G1915" s="71" t="str">
        <f aca="false">IF($K1915="","",INDEX(Base!$I$5:$I$2004,$K1915))</f>
        <v/>
      </c>
      <c r="H1915" s="70" t="str">
        <f aca="false">IF($K1915="","",INDEX(Base!$J$5:$J$2004,$K1915))</f>
        <v/>
      </c>
      <c r="I1915" s="71" t="str">
        <f aca="false">IF($K1915="","",INDEX(Base!$L$5:$L$2004,$K1915))</f>
        <v/>
      </c>
      <c r="J1915" s="72" t="str">
        <f aca="false">IFERROR(SMALL(Base!$P$5:$P$2004,ROW()-5),"")</f>
        <v/>
      </c>
      <c r="K1915" s="72" t="str">
        <f aca="false">IF(J1915="","",MATCH(J1915,Base!$P$5:$P$2004,0))</f>
        <v/>
      </c>
    </row>
    <row r="1916" customFormat="false" ht="15" hidden="false" customHeight="false" outlineLevel="0" collapsed="false">
      <c r="A1916" s="67" t="str">
        <f aca="false">IF($K1916="","",ROW()-5)</f>
        <v/>
      </c>
      <c r="B1916" s="68" t="str">
        <f aca="false">IF($K1916="","",INDEX(Base!$E$5:$E$2004,$K1916))</f>
        <v/>
      </c>
      <c r="C1916" s="69" t="str">
        <f aca="false">IF($K1916="","",B1916)</f>
        <v/>
      </c>
      <c r="D1916" s="70" t="str">
        <f aca="false">IF($K1916="","",INDEX(Base!$F$5:$F$2004,$K1916))</f>
        <v/>
      </c>
      <c r="E1916" s="70" t="str">
        <f aca="false">IF($K1916="","",INDEX(Base!$G$5:$G$2004,$K1916))</f>
        <v/>
      </c>
      <c r="F1916" s="71" t="str">
        <f aca="false">IF($K1916="","",INDEX(Base!$H$5:$H$2004,$K1916))</f>
        <v/>
      </c>
      <c r="G1916" s="71" t="str">
        <f aca="false">IF($K1916="","",INDEX(Base!$I$5:$I$2004,$K1916))</f>
        <v/>
      </c>
      <c r="H1916" s="70" t="str">
        <f aca="false">IF($K1916="","",INDEX(Base!$J$5:$J$2004,$K1916))</f>
        <v/>
      </c>
      <c r="I1916" s="71" t="str">
        <f aca="false">IF($K1916="","",INDEX(Base!$L$5:$L$2004,$K1916))</f>
        <v/>
      </c>
      <c r="J1916" s="72" t="str">
        <f aca="false">IFERROR(SMALL(Base!$P$5:$P$2004,ROW()-5),"")</f>
        <v/>
      </c>
      <c r="K1916" s="72" t="str">
        <f aca="false">IF(J1916="","",MATCH(J1916,Base!$P$5:$P$2004,0))</f>
        <v/>
      </c>
    </row>
    <row r="1917" customFormat="false" ht="15" hidden="false" customHeight="false" outlineLevel="0" collapsed="false">
      <c r="A1917" s="67" t="str">
        <f aca="false">IF($K1917="","",ROW()-5)</f>
        <v/>
      </c>
      <c r="B1917" s="68" t="str">
        <f aca="false">IF($K1917="","",INDEX(Base!$E$5:$E$2004,$K1917))</f>
        <v/>
      </c>
      <c r="C1917" s="69" t="str">
        <f aca="false">IF($K1917="","",B1917)</f>
        <v/>
      </c>
      <c r="D1917" s="70" t="str">
        <f aca="false">IF($K1917="","",INDEX(Base!$F$5:$F$2004,$K1917))</f>
        <v/>
      </c>
      <c r="E1917" s="70" t="str">
        <f aca="false">IF($K1917="","",INDEX(Base!$G$5:$G$2004,$K1917))</f>
        <v/>
      </c>
      <c r="F1917" s="71" t="str">
        <f aca="false">IF($K1917="","",INDEX(Base!$H$5:$H$2004,$K1917))</f>
        <v/>
      </c>
      <c r="G1917" s="71" t="str">
        <f aca="false">IF($K1917="","",INDEX(Base!$I$5:$I$2004,$K1917))</f>
        <v/>
      </c>
      <c r="H1917" s="70" t="str">
        <f aca="false">IF($K1917="","",INDEX(Base!$J$5:$J$2004,$K1917))</f>
        <v/>
      </c>
      <c r="I1917" s="71" t="str">
        <f aca="false">IF($K1917="","",INDEX(Base!$L$5:$L$2004,$K1917))</f>
        <v/>
      </c>
      <c r="J1917" s="72" t="str">
        <f aca="false">IFERROR(SMALL(Base!$P$5:$P$2004,ROW()-5),"")</f>
        <v/>
      </c>
      <c r="K1917" s="72" t="str">
        <f aca="false">IF(J1917="","",MATCH(J1917,Base!$P$5:$P$2004,0))</f>
        <v/>
      </c>
    </row>
    <row r="1918" customFormat="false" ht="15" hidden="false" customHeight="false" outlineLevel="0" collapsed="false">
      <c r="A1918" s="67" t="str">
        <f aca="false">IF($K1918="","",ROW()-5)</f>
        <v/>
      </c>
      <c r="B1918" s="68" t="str">
        <f aca="false">IF($K1918="","",INDEX(Base!$E$5:$E$2004,$K1918))</f>
        <v/>
      </c>
      <c r="C1918" s="69" t="str">
        <f aca="false">IF($K1918="","",B1918)</f>
        <v/>
      </c>
      <c r="D1918" s="70" t="str">
        <f aca="false">IF($K1918="","",INDEX(Base!$F$5:$F$2004,$K1918))</f>
        <v/>
      </c>
      <c r="E1918" s="70" t="str">
        <f aca="false">IF($K1918="","",INDEX(Base!$G$5:$G$2004,$K1918))</f>
        <v/>
      </c>
      <c r="F1918" s="71" t="str">
        <f aca="false">IF($K1918="","",INDEX(Base!$H$5:$H$2004,$K1918))</f>
        <v/>
      </c>
      <c r="G1918" s="71" t="str">
        <f aca="false">IF($K1918="","",INDEX(Base!$I$5:$I$2004,$K1918))</f>
        <v/>
      </c>
      <c r="H1918" s="70" t="str">
        <f aca="false">IF($K1918="","",INDEX(Base!$J$5:$J$2004,$K1918))</f>
        <v/>
      </c>
      <c r="I1918" s="71" t="str">
        <f aca="false">IF($K1918="","",INDEX(Base!$L$5:$L$2004,$K1918))</f>
        <v/>
      </c>
      <c r="J1918" s="72" t="str">
        <f aca="false">IFERROR(SMALL(Base!$P$5:$P$2004,ROW()-5),"")</f>
        <v/>
      </c>
      <c r="K1918" s="72" t="str">
        <f aca="false">IF(J1918="","",MATCH(J1918,Base!$P$5:$P$2004,0))</f>
        <v/>
      </c>
    </row>
    <row r="1919" customFormat="false" ht="15" hidden="false" customHeight="false" outlineLevel="0" collapsed="false">
      <c r="A1919" s="67" t="str">
        <f aca="false">IF($K1919="","",ROW()-5)</f>
        <v/>
      </c>
      <c r="B1919" s="68" t="str">
        <f aca="false">IF($K1919="","",INDEX(Base!$E$5:$E$2004,$K1919))</f>
        <v/>
      </c>
      <c r="C1919" s="69" t="str">
        <f aca="false">IF($K1919="","",B1919)</f>
        <v/>
      </c>
      <c r="D1919" s="70" t="str">
        <f aca="false">IF($K1919="","",INDEX(Base!$F$5:$F$2004,$K1919))</f>
        <v/>
      </c>
      <c r="E1919" s="70" t="str">
        <f aca="false">IF($K1919="","",INDEX(Base!$G$5:$G$2004,$K1919))</f>
        <v/>
      </c>
      <c r="F1919" s="71" t="str">
        <f aca="false">IF($K1919="","",INDEX(Base!$H$5:$H$2004,$K1919))</f>
        <v/>
      </c>
      <c r="G1919" s="71" t="str">
        <f aca="false">IF($K1919="","",INDEX(Base!$I$5:$I$2004,$K1919))</f>
        <v/>
      </c>
      <c r="H1919" s="70" t="str">
        <f aca="false">IF($K1919="","",INDEX(Base!$J$5:$J$2004,$K1919))</f>
        <v/>
      </c>
      <c r="I1919" s="71" t="str">
        <f aca="false">IF($K1919="","",INDEX(Base!$L$5:$L$2004,$K1919))</f>
        <v/>
      </c>
      <c r="J1919" s="72" t="str">
        <f aca="false">IFERROR(SMALL(Base!$P$5:$P$2004,ROW()-5),"")</f>
        <v/>
      </c>
      <c r="K1919" s="72" t="str">
        <f aca="false">IF(J1919="","",MATCH(J1919,Base!$P$5:$P$2004,0))</f>
        <v/>
      </c>
    </row>
    <row r="1920" customFormat="false" ht="15" hidden="false" customHeight="false" outlineLevel="0" collapsed="false">
      <c r="A1920" s="67" t="str">
        <f aca="false">IF($K1920="","",ROW()-5)</f>
        <v/>
      </c>
      <c r="B1920" s="68" t="str">
        <f aca="false">IF($K1920="","",INDEX(Base!$E$5:$E$2004,$K1920))</f>
        <v/>
      </c>
      <c r="C1920" s="69" t="str">
        <f aca="false">IF($K1920="","",B1920)</f>
        <v/>
      </c>
      <c r="D1920" s="70" t="str">
        <f aca="false">IF($K1920="","",INDEX(Base!$F$5:$F$2004,$K1920))</f>
        <v/>
      </c>
      <c r="E1920" s="70" t="str">
        <f aca="false">IF($K1920="","",INDEX(Base!$G$5:$G$2004,$K1920))</f>
        <v/>
      </c>
      <c r="F1920" s="71" t="str">
        <f aca="false">IF($K1920="","",INDEX(Base!$H$5:$H$2004,$K1920))</f>
        <v/>
      </c>
      <c r="G1920" s="71" t="str">
        <f aca="false">IF($K1920="","",INDEX(Base!$I$5:$I$2004,$K1920))</f>
        <v/>
      </c>
      <c r="H1920" s="70" t="str">
        <f aca="false">IF($K1920="","",INDEX(Base!$J$5:$J$2004,$K1920))</f>
        <v/>
      </c>
      <c r="I1920" s="71" t="str">
        <f aca="false">IF($K1920="","",INDEX(Base!$L$5:$L$2004,$K1920))</f>
        <v/>
      </c>
      <c r="J1920" s="72" t="str">
        <f aca="false">IFERROR(SMALL(Base!$P$5:$P$2004,ROW()-5),"")</f>
        <v/>
      </c>
      <c r="K1920" s="72" t="str">
        <f aca="false">IF(J1920="","",MATCH(J1920,Base!$P$5:$P$2004,0))</f>
        <v/>
      </c>
    </row>
    <row r="1921" customFormat="false" ht="15" hidden="false" customHeight="false" outlineLevel="0" collapsed="false">
      <c r="A1921" s="67" t="str">
        <f aca="false">IF($K1921="","",ROW()-5)</f>
        <v/>
      </c>
      <c r="B1921" s="68" t="str">
        <f aca="false">IF($K1921="","",INDEX(Base!$E$5:$E$2004,$K1921))</f>
        <v/>
      </c>
      <c r="C1921" s="69" t="str">
        <f aca="false">IF($K1921="","",B1921)</f>
        <v/>
      </c>
      <c r="D1921" s="70" t="str">
        <f aca="false">IF($K1921="","",INDEX(Base!$F$5:$F$2004,$K1921))</f>
        <v/>
      </c>
      <c r="E1921" s="70" t="str">
        <f aca="false">IF($K1921="","",INDEX(Base!$G$5:$G$2004,$K1921))</f>
        <v/>
      </c>
      <c r="F1921" s="71" t="str">
        <f aca="false">IF($K1921="","",INDEX(Base!$H$5:$H$2004,$K1921))</f>
        <v/>
      </c>
      <c r="G1921" s="71" t="str">
        <f aca="false">IF($K1921="","",INDEX(Base!$I$5:$I$2004,$K1921))</f>
        <v/>
      </c>
      <c r="H1921" s="70" t="str">
        <f aca="false">IF($K1921="","",INDEX(Base!$J$5:$J$2004,$K1921))</f>
        <v/>
      </c>
      <c r="I1921" s="71" t="str">
        <f aca="false">IF($K1921="","",INDEX(Base!$L$5:$L$2004,$K1921))</f>
        <v/>
      </c>
      <c r="J1921" s="72" t="str">
        <f aca="false">IFERROR(SMALL(Base!$P$5:$P$2004,ROW()-5),"")</f>
        <v/>
      </c>
      <c r="K1921" s="72" t="str">
        <f aca="false">IF(J1921="","",MATCH(J1921,Base!$P$5:$P$2004,0))</f>
        <v/>
      </c>
    </row>
    <row r="1922" customFormat="false" ht="15" hidden="false" customHeight="false" outlineLevel="0" collapsed="false">
      <c r="A1922" s="67" t="str">
        <f aca="false">IF($K1922="","",ROW()-5)</f>
        <v/>
      </c>
      <c r="B1922" s="68" t="str">
        <f aca="false">IF($K1922="","",INDEX(Base!$E$5:$E$2004,$K1922))</f>
        <v/>
      </c>
      <c r="C1922" s="69" t="str">
        <f aca="false">IF($K1922="","",B1922)</f>
        <v/>
      </c>
      <c r="D1922" s="70" t="str">
        <f aca="false">IF($K1922="","",INDEX(Base!$F$5:$F$2004,$K1922))</f>
        <v/>
      </c>
      <c r="E1922" s="70" t="str">
        <f aca="false">IF($K1922="","",INDEX(Base!$G$5:$G$2004,$K1922))</f>
        <v/>
      </c>
      <c r="F1922" s="71" t="str">
        <f aca="false">IF($K1922="","",INDEX(Base!$H$5:$H$2004,$K1922))</f>
        <v/>
      </c>
      <c r="G1922" s="71" t="str">
        <f aca="false">IF($K1922="","",INDEX(Base!$I$5:$I$2004,$K1922))</f>
        <v/>
      </c>
      <c r="H1922" s="70" t="str">
        <f aca="false">IF($K1922="","",INDEX(Base!$J$5:$J$2004,$K1922))</f>
        <v/>
      </c>
      <c r="I1922" s="71" t="str">
        <f aca="false">IF($K1922="","",INDEX(Base!$L$5:$L$2004,$K1922))</f>
        <v/>
      </c>
      <c r="J1922" s="72" t="str">
        <f aca="false">IFERROR(SMALL(Base!$P$5:$P$2004,ROW()-5),"")</f>
        <v/>
      </c>
      <c r="K1922" s="72" t="str">
        <f aca="false">IF(J1922="","",MATCH(J1922,Base!$P$5:$P$2004,0))</f>
        <v/>
      </c>
    </row>
    <row r="1923" customFormat="false" ht="15" hidden="false" customHeight="false" outlineLevel="0" collapsed="false">
      <c r="A1923" s="67" t="str">
        <f aca="false">IF($K1923="","",ROW()-5)</f>
        <v/>
      </c>
      <c r="B1923" s="68" t="str">
        <f aca="false">IF($K1923="","",INDEX(Base!$E$5:$E$2004,$K1923))</f>
        <v/>
      </c>
      <c r="C1923" s="69" t="str">
        <f aca="false">IF($K1923="","",B1923)</f>
        <v/>
      </c>
      <c r="D1923" s="70" t="str">
        <f aca="false">IF($K1923="","",INDEX(Base!$F$5:$F$2004,$K1923))</f>
        <v/>
      </c>
      <c r="E1923" s="70" t="str">
        <f aca="false">IF($K1923="","",INDEX(Base!$G$5:$G$2004,$K1923))</f>
        <v/>
      </c>
      <c r="F1923" s="71" t="str">
        <f aca="false">IF($K1923="","",INDEX(Base!$H$5:$H$2004,$K1923))</f>
        <v/>
      </c>
      <c r="G1923" s="71" t="str">
        <f aca="false">IF($K1923="","",INDEX(Base!$I$5:$I$2004,$K1923))</f>
        <v/>
      </c>
      <c r="H1923" s="70" t="str">
        <f aca="false">IF($K1923="","",INDEX(Base!$J$5:$J$2004,$K1923))</f>
        <v/>
      </c>
      <c r="I1923" s="71" t="str">
        <f aca="false">IF($K1923="","",INDEX(Base!$L$5:$L$2004,$K1923))</f>
        <v/>
      </c>
      <c r="J1923" s="72" t="str">
        <f aca="false">IFERROR(SMALL(Base!$P$5:$P$2004,ROW()-5),"")</f>
        <v/>
      </c>
      <c r="K1923" s="72" t="str">
        <f aca="false">IF(J1923="","",MATCH(J1923,Base!$P$5:$P$2004,0))</f>
        <v/>
      </c>
    </row>
    <row r="1924" customFormat="false" ht="15" hidden="false" customHeight="false" outlineLevel="0" collapsed="false">
      <c r="A1924" s="67" t="str">
        <f aca="false">IF($K1924="","",ROW()-5)</f>
        <v/>
      </c>
      <c r="B1924" s="68" t="str">
        <f aca="false">IF($K1924="","",INDEX(Base!$E$5:$E$2004,$K1924))</f>
        <v/>
      </c>
      <c r="C1924" s="69" t="str">
        <f aca="false">IF($K1924="","",B1924)</f>
        <v/>
      </c>
      <c r="D1924" s="70" t="str">
        <f aca="false">IF($K1924="","",INDEX(Base!$F$5:$F$2004,$K1924))</f>
        <v/>
      </c>
      <c r="E1924" s="70" t="str">
        <f aca="false">IF($K1924="","",INDEX(Base!$G$5:$G$2004,$K1924))</f>
        <v/>
      </c>
      <c r="F1924" s="71" t="str">
        <f aca="false">IF($K1924="","",INDEX(Base!$H$5:$H$2004,$K1924))</f>
        <v/>
      </c>
      <c r="G1924" s="71" t="str">
        <f aca="false">IF($K1924="","",INDEX(Base!$I$5:$I$2004,$K1924))</f>
        <v/>
      </c>
      <c r="H1924" s="70" t="str">
        <f aca="false">IF($K1924="","",INDEX(Base!$J$5:$J$2004,$K1924))</f>
        <v/>
      </c>
      <c r="I1924" s="71" t="str">
        <f aca="false">IF($K1924="","",INDEX(Base!$L$5:$L$2004,$K1924))</f>
        <v/>
      </c>
      <c r="J1924" s="72" t="str">
        <f aca="false">IFERROR(SMALL(Base!$P$5:$P$2004,ROW()-5),"")</f>
        <v/>
      </c>
      <c r="K1924" s="72" t="str">
        <f aca="false">IF(J1924="","",MATCH(J1924,Base!$P$5:$P$2004,0))</f>
        <v/>
      </c>
    </row>
    <row r="1925" customFormat="false" ht="15" hidden="false" customHeight="false" outlineLevel="0" collapsed="false">
      <c r="A1925" s="67" t="str">
        <f aca="false">IF($K1925="","",ROW()-5)</f>
        <v/>
      </c>
      <c r="B1925" s="68" t="str">
        <f aca="false">IF($K1925="","",INDEX(Base!$E$5:$E$2004,$K1925))</f>
        <v/>
      </c>
      <c r="C1925" s="69" t="str">
        <f aca="false">IF($K1925="","",B1925)</f>
        <v/>
      </c>
      <c r="D1925" s="70" t="str">
        <f aca="false">IF($K1925="","",INDEX(Base!$F$5:$F$2004,$K1925))</f>
        <v/>
      </c>
      <c r="E1925" s="70" t="str">
        <f aca="false">IF($K1925="","",INDEX(Base!$G$5:$G$2004,$K1925))</f>
        <v/>
      </c>
      <c r="F1925" s="71" t="str">
        <f aca="false">IF($K1925="","",INDEX(Base!$H$5:$H$2004,$K1925))</f>
        <v/>
      </c>
      <c r="G1925" s="71" t="str">
        <f aca="false">IF($K1925="","",INDEX(Base!$I$5:$I$2004,$K1925))</f>
        <v/>
      </c>
      <c r="H1925" s="70" t="str">
        <f aca="false">IF($K1925="","",INDEX(Base!$J$5:$J$2004,$K1925))</f>
        <v/>
      </c>
      <c r="I1925" s="71" t="str">
        <f aca="false">IF($K1925="","",INDEX(Base!$L$5:$L$2004,$K1925))</f>
        <v/>
      </c>
      <c r="J1925" s="72" t="str">
        <f aca="false">IFERROR(SMALL(Base!$P$5:$P$2004,ROW()-5),"")</f>
        <v/>
      </c>
      <c r="K1925" s="72" t="str">
        <f aca="false">IF(J1925="","",MATCH(J1925,Base!$P$5:$P$2004,0))</f>
        <v/>
      </c>
    </row>
    <row r="1926" customFormat="false" ht="15" hidden="false" customHeight="false" outlineLevel="0" collapsed="false">
      <c r="A1926" s="67" t="str">
        <f aca="false">IF($K1926="","",ROW()-5)</f>
        <v/>
      </c>
      <c r="B1926" s="68" t="str">
        <f aca="false">IF($K1926="","",INDEX(Base!$E$5:$E$2004,$K1926))</f>
        <v/>
      </c>
      <c r="C1926" s="69" t="str">
        <f aca="false">IF($K1926="","",B1926)</f>
        <v/>
      </c>
      <c r="D1926" s="70" t="str">
        <f aca="false">IF($K1926="","",INDEX(Base!$F$5:$F$2004,$K1926))</f>
        <v/>
      </c>
      <c r="E1926" s="70" t="str">
        <f aca="false">IF($K1926="","",INDEX(Base!$G$5:$G$2004,$K1926))</f>
        <v/>
      </c>
      <c r="F1926" s="71" t="str">
        <f aca="false">IF($K1926="","",INDEX(Base!$H$5:$H$2004,$K1926))</f>
        <v/>
      </c>
      <c r="G1926" s="71" t="str">
        <f aca="false">IF($K1926="","",INDEX(Base!$I$5:$I$2004,$K1926))</f>
        <v/>
      </c>
      <c r="H1926" s="70" t="str">
        <f aca="false">IF($K1926="","",INDEX(Base!$J$5:$J$2004,$K1926))</f>
        <v/>
      </c>
      <c r="I1926" s="71" t="str">
        <f aca="false">IF($K1926="","",INDEX(Base!$L$5:$L$2004,$K1926))</f>
        <v/>
      </c>
      <c r="J1926" s="72" t="str">
        <f aca="false">IFERROR(SMALL(Base!$P$5:$P$2004,ROW()-5),"")</f>
        <v/>
      </c>
      <c r="K1926" s="72" t="str">
        <f aca="false">IF(J1926="","",MATCH(J1926,Base!$P$5:$P$2004,0))</f>
        <v/>
      </c>
    </row>
    <row r="1927" customFormat="false" ht="15" hidden="false" customHeight="false" outlineLevel="0" collapsed="false">
      <c r="A1927" s="67" t="str">
        <f aca="false">IF($K1927="","",ROW()-5)</f>
        <v/>
      </c>
      <c r="B1927" s="68" t="str">
        <f aca="false">IF($K1927="","",INDEX(Base!$E$5:$E$2004,$K1927))</f>
        <v/>
      </c>
      <c r="C1927" s="69" t="str">
        <f aca="false">IF($K1927="","",B1927)</f>
        <v/>
      </c>
      <c r="D1927" s="70" t="str">
        <f aca="false">IF($K1927="","",INDEX(Base!$F$5:$F$2004,$K1927))</f>
        <v/>
      </c>
      <c r="E1927" s="70" t="str">
        <f aca="false">IF($K1927="","",INDEX(Base!$G$5:$G$2004,$K1927))</f>
        <v/>
      </c>
      <c r="F1927" s="71" t="str">
        <f aca="false">IF($K1927="","",INDEX(Base!$H$5:$H$2004,$K1927))</f>
        <v/>
      </c>
      <c r="G1927" s="71" t="str">
        <f aca="false">IF($K1927="","",INDEX(Base!$I$5:$I$2004,$K1927))</f>
        <v/>
      </c>
      <c r="H1927" s="70" t="str">
        <f aca="false">IF($K1927="","",INDEX(Base!$J$5:$J$2004,$K1927))</f>
        <v/>
      </c>
      <c r="I1927" s="71" t="str">
        <f aca="false">IF($K1927="","",INDEX(Base!$L$5:$L$2004,$K1927))</f>
        <v/>
      </c>
      <c r="J1927" s="72" t="str">
        <f aca="false">IFERROR(SMALL(Base!$P$5:$P$2004,ROW()-5),"")</f>
        <v/>
      </c>
      <c r="K1927" s="72" t="str">
        <f aca="false">IF(J1927="","",MATCH(J1927,Base!$P$5:$P$2004,0))</f>
        <v/>
      </c>
    </row>
    <row r="1928" customFormat="false" ht="15" hidden="false" customHeight="false" outlineLevel="0" collapsed="false">
      <c r="A1928" s="67" t="str">
        <f aca="false">IF($K1928="","",ROW()-5)</f>
        <v/>
      </c>
      <c r="B1928" s="68" t="str">
        <f aca="false">IF($K1928="","",INDEX(Base!$E$5:$E$2004,$K1928))</f>
        <v/>
      </c>
      <c r="C1928" s="69" t="str">
        <f aca="false">IF($K1928="","",B1928)</f>
        <v/>
      </c>
      <c r="D1928" s="70" t="str">
        <f aca="false">IF($K1928="","",INDEX(Base!$F$5:$F$2004,$K1928))</f>
        <v/>
      </c>
      <c r="E1928" s="70" t="str">
        <f aca="false">IF($K1928="","",INDEX(Base!$G$5:$G$2004,$K1928))</f>
        <v/>
      </c>
      <c r="F1928" s="71" t="str">
        <f aca="false">IF($K1928="","",INDEX(Base!$H$5:$H$2004,$K1928))</f>
        <v/>
      </c>
      <c r="G1928" s="71" t="str">
        <f aca="false">IF($K1928="","",INDEX(Base!$I$5:$I$2004,$K1928))</f>
        <v/>
      </c>
      <c r="H1928" s="70" t="str">
        <f aca="false">IF($K1928="","",INDEX(Base!$J$5:$J$2004,$K1928))</f>
        <v/>
      </c>
      <c r="I1928" s="71" t="str">
        <f aca="false">IF($K1928="","",INDEX(Base!$L$5:$L$2004,$K1928))</f>
        <v/>
      </c>
      <c r="J1928" s="72" t="str">
        <f aca="false">IFERROR(SMALL(Base!$P$5:$P$2004,ROW()-5),"")</f>
        <v/>
      </c>
      <c r="K1928" s="72" t="str">
        <f aca="false">IF(J1928="","",MATCH(J1928,Base!$P$5:$P$2004,0))</f>
        <v/>
      </c>
    </row>
    <row r="1929" customFormat="false" ht="15" hidden="false" customHeight="false" outlineLevel="0" collapsed="false">
      <c r="A1929" s="67" t="str">
        <f aca="false">IF($K1929="","",ROW()-5)</f>
        <v/>
      </c>
      <c r="B1929" s="68" t="str">
        <f aca="false">IF($K1929="","",INDEX(Base!$E$5:$E$2004,$K1929))</f>
        <v/>
      </c>
      <c r="C1929" s="69" t="str">
        <f aca="false">IF($K1929="","",B1929)</f>
        <v/>
      </c>
      <c r="D1929" s="70" t="str">
        <f aca="false">IF($K1929="","",INDEX(Base!$F$5:$F$2004,$K1929))</f>
        <v/>
      </c>
      <c r="E1929" s="70" t="str">
        <f aca="false">IF($K1929="","",INDEX(Base!$G$5:$G$2004,$K1929))</f>
        <v/>
      </c>
      <c r="F1929" s="71" t="str">
        <f aca="false">IF($K1929="","",INDEX(Base!$H$5:$H$2004,$K1929))</f>
        <v/>
      </c>
      <c r="G1929" s="71" t="str">
        <f aca="false">IF($K1929="","",INDEX(Base!$I$5:$I$2004,$K1929))</f>
        <v/>
      </c>
      <c r="H1929" s="70" t="str">
        <f aca="false">IF($K1929="","",INDEX(Base!$J$5:$J$2004,$K1929))</f>
        <v/>
      </c>
      <c r="I1929" s="71" t="str">
        <f aca="false">IF($K1929="","",INDEX(Base!$L$5:$L$2004,$K1929))</f>
        <v/>
      </c>
      <c r="J1929" s="72" t="str">
        <f aca="false">IFERROR(SMALL(Base!$P$5:$P$2004,ROW()-5),"")</f>
        <v/>
      </c>
      <c r="K1929" s="72" t="str">
        <f aca="false">IF(J1929="","",MATCH(J1929,Base!$P$5:$P$2004,0))</f>
        <v/>
      </c>
    </row>
    <row r="1930" customFormat="false" ht="15" hidden="false" customHeight="false" outlineLevel="0" collapsed="false">
      <c r="A1930" s="67" t="str">
        <f aca="false">IF($K1930="","",ROW()-5)</f>
        <v/>
      </c>
      <c r="B1930" s="68" t="str">
        <f aca="false">IF($K1930="","",INDEX(Base!$E$5:$E$2004,$K1930))</f>
        <v/>
      </c>
      <c r="C1930" s="69" t="str">
        <f aca="false">IF($K1930="","",B1930)</f>
        <v/>
      </c>
      <c r="D1930" s="70" t="str">
        <f aca="false">IF($K1930="","",INDEX(Base!$F$5:$F$2004,$K1930))</f>
        <v/>
      </c>
      <c r="E1930" s="70" t="str">
        <f aca="false">IF($K1930="","",INDEX(Base!$G$5:$G$2004,$K1930))</f>
        <v/>
      </c>
      <c r="F1930" s="71" t="str">
        <f aca="false">IF($K1930="","",INDEX(Base!$H$5:$H$2004,$K1930))</f>
        <v/>
      </c>
      <c r="G1930" s="71" t="str">
        <f aca="false">IF($K1930="","",INDEX(Base!$I$5:$I$2004,$K1930))</f>
        <v/>
      </c>
      <c r="H1930" s="70" t="str">
        <f aca="false">IF($K1930="","",INDEX(Base!$J$5:$J$2004,$K1930))</f>
        <v/>
      </c>
      <c r="I1930" s="71" t="str">
        <f aca="false">IF($K1930="","",INDEX(Base!$L$5:$L$2004,$K1930))</f>
        <v/>
      </c>
      <c r="J1930" s="72" t="str">
        <f aca="false">IFERROR(SMALL(Base!$P$5:$P$2004,ROW()-5),"")</f>
        <v/>
      </c>
      <c r="K1930" s="72" t="str">
        <f aca="false">IF(J1930="","",MATCH(J1930,Base!$P$5:$P$2004,0))</f>
        <v/>
      </c>
    </row>
    <row r="1931" customFormat="false" ht="15" hidden="false" customHeight="false" outlineLevel="0" collapsed="false">
      <c r="A1931" s="67" t="str">
        <f aca="false">IF($K1931="","",ROW()-5)</f>
        <v/>
      </c>
      <c r="B1931" s="68" t="str">
        <f aca="false">IF($K1931="","",INDEX(Base!$E$5:$E$2004,$K1931))</f>
        <v/>
      </c>
      <c r="C1931" s="69" t="str">
        <f aca="false">IF($K1931="","",B1931)</f>
        <v/>
      </c>
      <c r="D1931" s="70" t="str">
        <f aca="false">IF($K1931="","",INDEX(Base!$F$5:$F$2004,$K1931))</f>
        <v/>
      </c>
      <c r="E1931" s="70" t="str">
        <f aca="false">IF($K1931="","",INDEX(Base!$G$5:$G$2004,$K1931))</f>
        <v/>
      </c>
      <c r="F1931" s="71" t="str">
        <f aca="false">IF($K1931="","",INDEX(Base!$H$5:$H$2004,$K1931))</f>
        <v/>
      </c>
      <c r="G1931" s="71" t="str">
        <f aca="false">IF($K1931="","",INDEX(Base!$I$5:$I$2004,$K1931))</f>
        <v/>
      </c>
      <c r="H1931" s="70" t="str">
        <f aca="false">IF($K1931="","",INDEX(Base!$J$5:$J$2004,$K1931))</f>
        <v/>
      </c>
      <c r="I1931" s="71" t="str">
        <f aca="false">IF($K1931="","",INDEX(Base!$L$5:$L$2004,$K1931))</f>
        <v/>
      </c>
      <c r="J1931" s="72" t="str">
        <f aca="false">IFERROR(SMALL(Base!$P$5:$P$2004,ROW()-5),"")</f>
        <v/>
      </c>
      <c r="K1931" s="72" t="str">
        <f aca="false">IF(J1931="","",MATCH(J1931,Base!$P$5:$P$2004,0))</f>
        <v/>
      </c>
    </row>
    <row r="1932" customFormat="false" ht="15" hidden="false" customHeight="false" outlineLevel="0" collapsed="false">
      <c r="A1932" s="67" t="str">
        <f aca="false">IF($K1932="","",ROW()-5)</f>
        <v/>
      </c>
      <c r="B1932" s="68" t="str">
        <f aca="false">IF($K1932="","",INDEX(Base!$E$5:$E$2004,$K1932))</f>
        <v/>
      </c>
      <c r="C1932" s="69" t="str">
        <f aca="false">IF($K1932="","",B1932)</f>
        <v/>
      </c>
      <c r="D1932" s="70" t="str">
        <f aca="false">IF($K1932="","",INDEX(Base!$F$5:$F$2004,$K1932))</f>
        <v/>
      </c>
      <c r="E1932" s="70" t="str">
        <f aca="false">IF($K1932="","",INDEX(Base!$G$5:$G$2004,$K1932))</f>
        <v/>
      </c>
      <c r="F1932" s="71" t="str">
        <f aca="false">IF($K1932="","",INDEX(Base!$H$5:$H$2004,$K1932))</f>
        <v/>
      </c>
      <c r="G1932" s="71" t="str">
        <f aca="false">IF($K1932="","",INDEX(Base!$I$5:$I$2004,$K1932))</f>
        <v/>
      </c>
      <c r="H1932" s="70" t="str">
        <f aca="false">IF($K1932="","",INDEX(Base!$J$5:$J$2004,$K1932))</f>
        <v/>
      </c>
      <c r="I1932" s="71" t="str">
        <f aca="false">IF($K1932="","",INDEX(Base!$L$5:$L$2004,$K1932))</f>
        <v/>
      </c>
      <c r="J1932" s="72" t="str">
        <f aca="false">IFERROR(SMALL(Base!$P$5:$P$2004,ROW()-5),"")</f>
        <v/>
      </c>
      <c r="K1932" s="72" t="str">
        <f aca="false">IF(J1932="","",MATCH(J1932,Base!$P$5:$P$2004,0))</f>
        <v/>
      </c>
    </row>
    <row r="1933" customFormat="false" ht="15" hidden="false" customHeight="false" outlineLevel="0" collapsed="false">
      <c r="A1933" s="67" t="str">
        <f aca="false">IF($K1933="","",ROW()-5)</f>
        <v/>
      </c>
      <c r="B1933" s="68" t="str">
        <f aca="false">IF($K1933="","",INDEX(Base!$E$5:$E$2004,$K1933))</f>
        <v/>
      </c>
      <c r="C1933" s="69" t="str">
        <f aca="false">IF($K1933="","",B1933)</f>
        <v/>
      </c>
      <c r="D1933" s="70" t="str">
        <f aca="false">IF($K1933="","",INDEX(Base!$F$5:$F$2004,$K1933))</f>
        <v/>
      </c>
      <c r="E1933" s="70" t="str">
        <f aca="false">IF($K1933="","",INDEX(Base!$G$5:$G$2004,$K1933))</f>
        <v/>
      </c>
      <c r="F1933" s="71" t="str">
        <f aca="false">IF($K1933="","",INDEX(Base!$H$5:$H$2004,$K1933))</f>
        <v/>
      </c>
      <c r="G1933" s="71" t="str">
        <f aca="false">IF($K1933="","",INDEX(Base!$I$5:$I$2004,$K1933))</f>
        <v/>
      </c>
      <c r="H1933" s="70" t="str">
        <f aca="false">IF($K1933="","",INDEX(Base!$J$5:$J$2004,$K1933))</f>
        <v/>
      </c>
      <c r="I1933" s="71" t="str">
        <f aca="false">IF($K1933="","",INDEX(Base!$L$5:$L$2004,$K1933))</f>
        <v/>
      </c>
      <c r="J1933" s="72" t="str">
        <f aca="false">IFERROR(SMALL(Base!$P$5:$P$2004,ROW()-5),"")</f>
        <v/>
      </c>
      <c r="K1933" s="72" t="str">
        <f aca="false">IF(J1933="","",MATCH(J1933,Base!$P$5:$P$2004,0))</f>
        <v/>
      </c>
    </row>
    <row r="1934" customFormat="false" ht="15" hidden="false" customHeight="false" outlineLevel="0" collapsed="false">
      <c r="A1934" s="67" t="str">
        <f aca="false">IF($K1934="","",ROW()-5)</f>
        <v/>
      </c>
      <c r="B1934" s="68" t="str">
        <f aca="false">IF($K1934="","",INDEX(Base!$E$5:$E$2004,$K1934))</f>
        <v/>
      </c>
      <c r="C1934" s="69" t="str">
        <f aca="false">IF($K1934="","",B1934)</f>
        <v/>
      </c>
      <c r="D1934" s="70" t="str">
        <f aca="false">IF($K1934="","",INDEX(Base!$F$5:$F$2004,$K1934))</f>
        <v/>
      </c>
      <c r="E1934" s="70" t="str">
        <f aca="false">IF($K1934="","",INDEX(Base!$G$5:$G$2004,$K1934))</f>
        <v/>
      </c>
      <c r="F1934" s="71" t="str">
        <f aca="false">IF($K1934="","",INDEX(Base!$H$5:$H$2004,$K1934))</f>
        <v/>
      </c>
      <c r="G1934" s="71" t="str">
        <f aca="false">IF($K1934="","",INDEX(Base!$I$5:$I$2004,$K1934))</f>
        <v/>
      </c>
      <c r="H1934" s="70" t="str">
        <f aca="false">IF($K1934="","",INDEX(Base!$J$5:$J$2004,$K1934))</f>
        <v/>
      </c>
      <c r="I1934" s="71" t="str">
        <f aca="false">IF($K1934="","",INDEX(Base!$L$5:$L$2004,$K1934))</f>
        <v/>
      </c>
      <c r="J1934" s="72" t="str">
        <f aca="false">IFERROR(SMALL(Base!$P$5:$P$2004,ROW()-5),"")</f>
        <v/>
      </c>
      <c r="K1934" s="72" t="str">
        <f aca="false">IF(J1934="","",MATCH(J1934,Base!$P$5:$P$2004,0))</f>
        <v/>
      </c>
    </row>
    <row r="1935" customFormat="false" ht="15" hidden="false" customHeight="false" outlineLevel="0" collapsed="false">
      <c r="A1935" s="67" t="str">
        <f aca="false">IF($K1935="","",ROW()-5)</f>
        <v/>
      </c>
      <c r="B1935" s="68" t="str">
        <f aca="false">IF($K1935="","",INDEX(Base!$E$5:$E$2004,$K1935))</f>
        <v/>
      </c>
      <c r="C1935" s="69" t="str">
        <f aca="false">IF($K1935="","",B1935)</f>
        <v/>
      </c>
      <c r="D1935" s="70" t="str">
        <f aca="false">IF($K1935="","",INDEX(Base!$F$5:$F$2004,$K1935))</f>
        <v/>
      </c>
      <c r="E1935" s="70" t="str">
        <f aca="false">IF($K1935="","",INDEX(Base!$G$5:$G$2004,$K1935))</f>
        <v/>
      </c>
      <c r="F1935" s="71" t="str">
        <f aca="false">IF($K1935="","",INDEX(Base!$H$5:$H$2004,$K1935))</f>
        <v/>
      </c>
      <c r="G1935" s="71" t="str">
        <f aca="false">IF($K1935="","",INDEX(Base!$I$5:$I$2004,$K1935))</f>
        <v/>
      </c>
      <c r="H1935" s="70" t="str">
        <f aca="false">IF($K1935="","",INDEX(Base!$J$5:$J$2004,$K1935))</f>
        <v/>
      </c>
      <c r="I1935" s="71" t="str">
        <f aca="false">IF($K1935="","",INDEX(Base!$L$5:$L$2004,$K1935))</f>
        <v/>
      </c>
      <c r="J1935" s="72" t="str">
        <f aca="false">IFERROR(SMALL(Base!$P$5:$P$2004,ROW()-5),"")</f>
        <v/>
      </c>
      <c r="K1935" s="72" t="str">
        <f aca="false">IF(J1935="","",MATCH(J1935,Base!$P$5:$P$2004,0))</f>
        <v/>
      </c>
    </row>
    <row r="1936" customFormat="false" ht="15" hidden="false" customHeight="false" outlineLevel="0" collapsed="false">
      <c r="A1936" s="67" t="str">
        <f aca="false">IF($K1936="","",ROW()-5)</f>
        <v/>
      </c>
      <c r="B1936" s="68" t="str">
        <f aca="false">IF($K1936="","",INDEX(Base!$E$5:$E$2004,$K1936))</f>
        <v/>
      </c>
      <c r="C1936" s="69" t="str">
        <f aca="false">IF($K1936="","",B1936)</f>
        <v/>
      </c>
      <c r="D1936" s="70" t="str">
        <f aca="false">IF($K1936="","",INDEX(Base!$F$5:$F$2004,$K1936))</f>
        <v/>
      </c>
      <c r="E1936" s="70" t="str">
        <f aca="false">IF($K1936="","",INDEX(Base!$G$5:$G$2004,$K1936))</f>
        <v/>
      </c>
      <c r="F1936" s="71" t="str">
        <f aca="false">IF($K1936="","",INDEX(Base!$H$5:$H$2004,$K1936))</f>
        <v/>
      </c>
      <c r="G1936" s="71" t="str">
        <f aca="false">IF($K1936="","",INDEX(Base!$I$5:$I$2004,$K1936))</f>
        <v/>
      </c>
      <c r="H1936" s="70" t="str">
        <f aca="false">IF($K1936="","",INDEX(Base!$J$5:$J$2004,$K1936))</f>
        <v/>
      </c>
      <c r="I1936" s="71" t="str">
        <f aca="false">IF($K1936="","",INDEX(Base!$L$5:$L$2004,$K1936))</f>
        <v/>
      </c>
      <c r="J1936" s="72" t="str">
        <f aca="false">IFERROR(SMALL(Base!$P$5:$P$2004,ROW()-5),"")</f>
        <v/>
      </c>
      <c r="K1936" s="72" t="str">
        <f aca="false">IF(J1936="","",MATCH(J1936,Base!$P$5:$P$2004,0))</f>
        <v/>
      </c>
    </row>
    <row r="1937" customFormat="false" ht="15" hidden="false" customHeight="false" outlineLevel="0" collapsed="false">
      <c r="A1937" s="67" t="str">
        <f aca="false">IF($K1937="","",ROW()-5)</f>
        <v/>
      </c>
      <c r="B1937" s="68" t="str">
        <f aca="false">IF($K1937="","",INDEX(Base!$E$5:$E$2004,$K1937))</f>
        <v/>
      </c>
      <c r="C1937" s="69" t="str">
        <f aca="false">IF($K1937="","",B1937)</f>
        <v/>
      </c>
      <c r="D1937" s="70" t="str">
        <f aca="false">IF($K1937="","",INDEX(Base!$F$5:$F$2004,$K1937))</f>
        <v/>
      </c>
      <c r="E1937" s="70" t="str">
        <f aca="false">IF($K1937="","",INDEX(Base!$G$5:$G$2004,$K1937))</f>
        <v/>
      </c>
      <c r="F1937" s="71" t="str">
        <f aca="false">IF($K1937="","",INDEX(Base!$H$5:$H$2004,$K1937))</f>
        <v/>
      </c>
      <c r="G1937" s="71" t="str">
        <f aca="false">IF($K1937="","",INDEX(Base!$I$5:$I$2004,$K1937))</f>
        <v/>
      </c>
      <c r="H1937" s="70" t="str">
        <f aca="false">IF($K1937="","",INDEX(Base!$J$5:$J$2004,$K1937))</f>
        <v/>
      </c>
      <c r="I1937" s="71" t="str">
        <f aca="false">IF($K1937="","",INDEX(Base!$L$5:$L$2004,$K1937))</f>
        <v/>
      </c>
      <c r="J1937" s="72" t="str">
        <f aca="false">IFERROR(SMALL(Base!$P$5:$P$2004,ROW()-5),"")</f>
        <v/>
      </c>
      <c r="K1937" s="72" t="str">
        <f aca="false">IF(J1937="","",MATCH(J1937,Base!$P$5:$P$2004,0))</f>
        <v/>
      </c>
    </row>
    <row r="1938" customFormat="false" ht="15" hidden="false" customHeight="false" outlineLevel="0" collapsed="false">
      <c r="A1938" s="67" t="str">
        <f aca="false">IF($K1938="","",ROW()-5)</f>
        <v/>
      </c>
      <c r="B1938" s="68" t="str">
        <f aca="false">IF($K1938="","",INDEX(Base!$E$5:$E$2004,$K1938))</f>
        <v/>
      </c>
      <c r="C1938" s="69" t="str">
        <f aca="false">IF($K1938="","",B1938)</f>
        <v/>
      </c>
      <c r="D1938" s="70" t="str">
        <f aca="false">IF($K1938="","",INDEX(Base!$F$5:$F$2004,$K1938))</f>
        <v/>
      </c>
      <c r="E1938" s="70" t="str">
        <f aca="false">IF($K1938="","",INDEX(Base!$G$5:$G$2004,$K1938))</f>
        <v/>
      </c>
      <c r="F1938" s="71" t="str">
        <f aca="false">IF($K1938="","",INDEX(Base!$H$5:$H$2004,$K1938))</f>
        <v/>
      </c>
      <c r="G1938" s="71" t="str">
        <f aca="false">IF($K1938="","",INDEX(Base!$I$5:$I$2004,$K1938))</f>
        <v/>
      </c>
      <c r="H1938" s="70" t="str">
        <f aca="false">IF($K1938="","",INDEX(Base!$J$5:$J$2004,$K1938))</f>
        <v/>
      </c>
      <c r="I1938" s="71" t="str">
        <f aca="false">IF($K1938="","",INDEX(Base!$L$5:$L$2004,$K1938))</f>
        <v/>
      </c>
      <c r="J1938" s="72" t="str">
        <f aca="false">IFERROR(SMALL(Base!$P$5:$P$2004,ROW()-5),"")</f>
        <v/>
      </c>
      <c r="K1938" s="72" t="str">
        <f aca="false">IF(J1938="","",MATCH(J1938,Base!$P$5:$P$2004,0))</f>
        <v/>
      </c>
    </row>
    <row r="1939" customFormat="false" ht="15" hidden="false" customHeight="false" outlineLevel="0" collapsed="false">
      <c r="A1939" s="67" t="str">
        <f aca="false">IF($K1939="","",ROW()-5)</f>
        <v/>
      </c>
      <c r="B1939" s="68" t="str">
        <f aca="false">IF($K1939="","",INDEX(Base!$E$5:$E$2004,$K1939))</f>
        <v/>
      </c>
      <c r="C1939" s="69" t="str">
        <f aca="false">IF($K1939="","",B1939)</f>
        <v/>
      </c>
      <c r="D1939" s="70" t="str">
        <f aca="false">IF($K1939="","",INDEX(Base!$F$5:$F$2004,$K1939))</f>
        <v/>
      </c>
      <c r="E1939" s="70" t="str">
        <f aca="false">IF($K1939="","",INDEX(Base!$G$5:$G$2004,$K1939))</f>
        <v/>
      </c>
      <c r="F1939" s="71" t="str">
        <f aca="false">IF($K1939="","",INDEX(Base!$H$5:$H$2004,$K1939))</f>
        <v/>
      </c>
      <c r="G1939" s="71" t="str">
        <f aca="false">IF($K1939="","",INDEX(Base!$I$5:$I$2004,$K1939))</f>
        <v/>
      </c>
      <c r="H1939" s="70" t="str">
        <f aca="false">IF($K1939="","",INDEX(Base!$J$5:$J$2004,$K1939))</f>
        <v/>
      </c>
      <c r="I1939" s="71" t="str">
        <f aca="false">IF($K1939="","",INDEX(Base!$L$5:$L$2004,$K1939))</f>
        <v/>
      </c>
      <c r="J1939" s="72" t="str">
        <f aca="false">IFERROR(SMALL(Base!$P$5:$P$2004,ROW()-5),"")</f>
        <v/>
      </c>
      <c r="K1939" s="72" t="str">
        <f aca="false">IF(J1939="","",MATCH(J1939,Base!$P$5:$P$2004,0))</f>
        <v/>
      </c>
    </row>
    <row r="1940" customFormat="false" ht="15" hidden="false" customHeight="false" outlineLevel="0" collapsed="false">
      <c r="A1940" s="67" t="str">
        <f aca="false">IF($K1940="","",ROW()-5)</f>
        <v/>
      </c>
      <c r="B1940" s="68" t="str">
        <f aca="false">IF($K1940="","",INDEX(Base!$E$5:$E$2004,$K1940))</f>
        <v/>
      </c>
      <c r="C1940" s="69" t="str">
        <f aca="false">IF($K1940="","",B1940)</f>
        <v/>
      </c>
      <c r="D1940" s="70" t="str">
        <f aca="false">IF($K1940="","",INDEX(Base!$F$5:$F$2004,$K1940))</f>
        <v/>
      </c>
      <c r="E1940" s="70" t="str">
        <f aca="false">IF($K1940="","",INDEX(Base!$G$5:$G$2004,$K1940))</f>
        <v/>
      </c>
      <c r="F1940" s="71" t="str">
        <f aca="false">IF($K1940="","",INDEX(Base!$H$5:$H$2004,$K1940))</f>
        <v/>
      </c>
      <c r="G1940" s="71" t="str">
        <f aca="false">IF($K1940="","",INDEX(Base!$I$5:$I$2004,$K1940))</f>
        <v/>
      </c>
      <c r="H1940" s="70" t="str">
        <f aca="false">IF($K1940="","",INDEX(Base!$J$5:$J$2004,$K1940))</f>
        <v/>
      </c>
      <c r="I1940" s="71" t="str">
        <f aca="false">IF($K1940="","",INDEX(Base!$L$5:$L$2004,$K1940))</f>
        <v/>
      </c>
      <c r="J1940" s="72" t="str">
        <f aca="false">IFERROR(SMALL(Base!$P$5:$P$2004,ROW()-5),"")</f>
        <v/>
      </c>
      <c r="K1940" s="72" t="str">
        <f aca="false">IF(J1940="","",MATCH(J1940,Base!$P$5:$P$2004,0))</f>
        <v/>
      </c>
    </row>
    <row r="1941" customFormat="false" ht="15" hidden="false" customHeight="false" outlineLevel="0" collapsed="false">
      <c r="A1941" s="67" t="str">
        <f aca="false">IF($K1941="","",ROW()-5)</f>
        <v/>
      </c>
      <c r="B1941" s="68" t="str">
        <f aca="false">IF($K1941="","",INDEX(Base!$E$5:$E$2004,$K1941))</f>
        <v/>
      </c>
      <c r="C1941" s="69" t="str">
        <f aca="false">IF($K1941="","",B1941)</f>
        <v/>
      </c>
      <c r="D1941" s="70" t="str">
        <f aca="false">IF($K1941="","",INDEX(Base!$F$5:$F$2004,$K1941))</f>
        <v/>
      </c>
      <c r="E1941" s="70" t="str">
        <f aca="false">IF($K1941="","",INDEX(Base!$G$5:$G$2004,$K1941))</f>
        <v/>
      </c>
      <c r="F1941" s="71" t="str">
        <f aca="false">IF($K1941="","",INDEX(Base!$H$5:$H$2004,$K1941))</f>
        <v/>
      </c>
      <c r="G1941" s="71" t="str">
        <f aca="false">IF($K1941="","",INDEX(Base!$I$5:$I$2004,$K1941))</f>
        <v/>
      </c>
      <c r="H1941" s="70" t="str">
        <f aca="false">IF($K1941="","",INDEX(Base!$J$5:$J$2004,$K1941))</f>
        <v/>
      </c>
      <c r="I1941" s="71" t="str">
        <f aca="false">IF($K1941="","",INDEX(Base!$L$5:$L$2004,$K1941))</f>
        <v/>
      </c>
      <c r="J1941" s="72" t="str">
        <f aca="false">IFERROR(SMALL(Base!$P$5:$P$2004,ROW()-5),"")</f>
        <v/>
      </c>
      <c r="K1941" s="72" t="str">
        <f aca="false">IF(J1941="","",MATCH(J1941,Base!$P$5:$P$2004,0))</f>
        <v/>
      </c>
    </row>
    <row r="1942" customFormat="false" ht="15" hidden="false" customHeight="false" outlineLevel="0" collapsed="false">
      <c r="A1942" s="67" t="str">
        <f aca="false">IF($K1942="","",ROW()-5)</f>
        <v/>
      </c>
      <c r="B1942" s="68" t="str">
        <f aca="false">IF($K1942="","",INDEX(Base!$E$5:$E$2004,$K1942))</f>
        <v/>
      </c>
      <c r="C1942" s="69" t="str">
        <f aca="false">IF($K1942="","",B1942)</f>
        <v/>
      </c>
      <c r="D1942" s="70" t="str">
        <f aca="false">IF($K1942="","",INDEX(Base!$F$5:$F$2004,$K1942))</f>
        <v/>
      </c>
      <c r="E1942" s="70" t="str">
        <f aca="false">IF($K1942="","",INDEX(Base!$G$5:$G$2004,$K1942))</f>
        <v/>
      </c>
      <c r="F1942" s="71" t="str">
        <f aca="false">IF($K1942="","",INDEX(Base!$H$5:$H$2004,$K1942))</f>
        <v/>
      </c>
      <c r="G1942" s="71" t="str">
        <f aca="false">IF($K1942="","",INDEX(Base!$I$5:$I$2004,$K1942))</f>
        <v/>
      </c>
      <c r="H1942" s="70" t="str">
        <f aca="false">IF($K1942="","",INDEX(Base!$J$5:$J$2004,$K1942))</f>
        <v/>
      </c>
      <c r="I1942" s="71" t="str">
        <f aca="false">IF($K1942="","",INDEX(Base!$L$5:$L$2004,$K1942))</f>
        <v/>
      </c>
      <c r="J1942" s="72" t="str">
        <f aca="false">IFERROR(SMALL(Base!$P$5:$P$2004,ROW()-5),"")</f>
        <v/>
      </c>
      <c r="K1942" s="72" t="str">
        <f aca="false">IF(J1942="","",MATCH(J1942,Base!$P$5:$P$2004,0))</f>
        <v/>
      </c>
    </row>
    <row r="1943" customFormat="false" ht="15" hidden="false" customHeight="false" outlineLevel="0" collapsed="false">
      <c r="A1943" s="67" t="str">
        <f aca="false">IF($K1943="","",ROW()-5)</f>
        <v/>
      </c>
      <c r="B1943" s="68" t="str">
        <f aca="false">IF($K1943="","",INDEX(Base!$E$5:$E$2004,$K1943))</f>
        <v/>
      </c>
      <c r="C1943" s="69" t="str">
        <f aca="false">IF($K1943="","",B1943)</f>
        <v/>
      </c>
      <c r="D1943" s="70" t="str">
        <f aca="false">IF($K1943="","",INDEX(Base!$F$5:$F$2004,$K1943))</f>
        <v/>
      </c>
      <c r="E1943" s="70" t="str">
        <f aca="false">IF($K1943="","",INDEX(Base!$G$5:$G$2004,$K1943))</f>
        <v/>
      </c>
      <c r="F1943" s="71" t="str">
        <f aca="false">IF($K1943="","",INDEX(Base!$H$5:$H$2004,$K1943))</f>
        <v/>
      </c>
      <c r="G1943" s="71" t="str">
        <f aca="false">IF($K1943="","",INDEX(Base!$I$5:$I$2004,$K1943))</f>
        <v/>
      </c>
      <c r="H1943" s="70" t="str">
        <f aca="false">IF($K1943="","",INDEX(Base!$J$5:$J$2004,$K1943))</f>
        <v/>
      </c>
      <c r="I1943" s="71" t="str">
        <f aca="false">IF($K1943="","",INDEX(Base!$L$5:$L$2004,$K1943))</f>
        <v/>
      </c>
      <c r="J1943" s="72" t="str">
        <f aca="false">IFERROR(SMALL(Base!$P$5:$P$2004,ROW()-5),"")</f>
        <v/>
      </c>
      <c r="K1943" s="72" t="str">
        <f aca="false">IF(J1943="","",MATCH(J1943,Base!$P$5:$P$2004,0))</f>
        <v/>
      </c>
    </row>
    <row r="1944" customFormat="false" ht="15" hidden="false" customHeight="false" outlineLevel="0" collapsed="false">
      <c r="A1944" s="67" t="str">
        <f aca="false">IF($K1944="","",ROW()-5)</f>
        <v/>
      </c>
      <c r="B1944" s="68" t="str">
        <f aca="false">IF($K1944="","",INDEX(Base!$E$5:$E$2004,$K1944))</f>
        <v/>
      </c>
      <c r="C1944" s="69" t="str">
        <f aca="false">IF($K1944="","",B1944)</f>
        <v/>
      </c>
      <c r="D1944" s="70" t="str">
        <f aca="false">IF($K1944="","",INDEX(Base!$F$5:$F$2004,$K1944))</f>
        <v/>
      </c>
      <c r="E1944" s="70" t="str">
        <f aca="false">IF($K1944="","",INDEX(Base!$G$5:$G$2004,$K1944))</f>
        <v/>
      </c>
      <c r="F1944" s="71" t="str">
        <f aca="false">IF($K1944="","",INDEX(Base!$H$5:$H$2004,$K1944))</f>
        <v/>
      </c>
      <c r="G1944" s="71" t="str">
        <f aca="false">IF($K1944="","",INDEX(Base!$I$5:$I$2004,$K1944))</f>
        <v/>
      </c>
      <c r="H1944" s="70" t="str">
        <f aca="false">IF($K1944="","",INDEX(Base!$J$5:$J$2004,$K1944))</f>
        <v/>
      </c>
      <c r="I1944" s="71" t="str">
        <f aca="false">IF($K1944="","",INDEX(Base!$L$5:$L$2004,$K1944))</f>
        <v/>
      </c>
      <c r="J1944" s="72" t="str">
        <f aca="false">IFERROR(SMALL(Base!$P$5:$P$2004,ROW()-5),"")</f>
        <v/>
      </c>
      <c r="K1944" s="72" t="str">
        <f aca="false">IF(J1944="","",MATCH(J1944,Base!$P$5:$P$2004,0))</f>
        <v/>
      </c>
    </row>
    <row r="1945" customFormat="false" ht="15" hidden="false" customHeight="false" outlineLevel="0" collapsed="false">
      <c r="A1945" s="67" t="str">
        <f aca="false">IF($K1945="","",ROW()-5)</f>
        <v/>
      </c>
      <c r="B1945" s="68" t="str">
        <f aca="false">IF($K1945="","",INDEX(Base!$E$5:$E$2004,$K1945))</f>
        <v/>
      </c>
      <c r="C1945" s="69" t="str">
        <f aca="false">IF($K1945="","",B1945)</f>
        <v/>
      </c>
      <c r="D1945" s="70" t="str">
        <f aca="false">IF($K1945="","",INDEX(Base!$F$5:$F$2004,$K1945))</f>
        <v/>
      </c>
      <c r="E1945" s="70" t="str">
        <f aca="false">IF($K1945="","",INDEX(Base!$G$5:$G$2004,$K1945))</f>
        <v/>
      </c>
      <c r="F1945" s="71" t="str">
        <f aca="false">IF($K1945="","",INDEX(Base!$H$5:$H$2004,$K1945))</f>
        <v/>
      </c>
      <c r="G1945" s="71" t="str">
        <f aca="false">IF($K1945="","",INDEX(Base!$I$5:$I$2004,$K1945))</f>
        <v/>
      </c>
      <c r="H1945" s="70" t="str">
        <f aca="false">IF($K1945="","",INDEX(Base!$J$5:$J$2004,$K1945))</f>
        <v/>
      </c>
      <c r="I1945" s="71" t="str">
        <f aca="false">IF($K1945="","",INDEX(Base!$L$5:$L$2004,$K1945))</f>
        <v/>
      </c>
      <c r="J1945" s="72" t="str">
        <f aca="false">IFERROR(SMALL(Base!$P$5:$P$2004,ROW()-5),"")</f>
        <v/>
      </c>
      <c r="K1945" s="72" t="str">
        <f aca="false">IF(J1945="","",MATCH(J1945,Base!$P$5:$P$2004,0))</f>
        <v/>
      </c>
    </row>
    <row r="1946" customFormat="false" ht="15" hidden="false" customHeight="false" outlineLevel="0" collapsed="false">
      <c r="A1946" s="67" t="str">
        <f aca="false">IF($K1946="","",ROW()-5)</f>
        <v/>
      </c>
      <c r="B1946" s="68" t="str">
        <f aca="false">IF($K1946="","",INDEX(Base!$E$5:$E$2004,$K1946))</f>
        <v/>
      </c>
      <c r="C1946" s="69" t="str">
        <f aca="false">IF($K1946="","",B1946)</f>
        <v/>
      </c>
      <c r="D1946" s="70" t="str">
        <f aca="false">IF($K1946="","",INDEX(Base!$F$5:$F$2004,$K1946))</f>
        <v/>
      </c>
      <c r="E1946" s="70" t="str">
        <f aca="false">IF($K1946="","",INDEX(Base!$G$5:$G$2004,$K1946))</f>
        <v/>
      </c>
      <c r="F1946" s="71" t="str">
        <f aca="false">IF($K1946="","",INDEX(Base!$H$5:$H$2004,$K1946))</f>
        <v/>
      </c>
      <c r="G1946" s="71" t="str">
        <f aca="false">IF($K1946="","",INDEX(Base!$I$5:$I$2004,$K1946))</f>
        <v/>
      </c>
      <c r="H1946" s="70" t="str">
        <f aca="false">IF($K1946="","",INDEX(Base!$J$5:$J$2004,$K1946))</f>
        <v/>
      </c>
      <c r="I1946" s="71" t="str">
        <f aca="false">IF($K1946="","",INDEX(Base!$L$5:$L$2004,$K1946))</f>
        <v/>
      </c>
      <c r="J1946" s="72" t="str">
        <f aca="false">IFERROR(SMALL(Base!$P$5:$P$2004,ROW()-5),"")</f>
        <v/>
      </c>
      <c r="K1946" s="72" t="str">
        <f aca="false">IF(J1946="","",MATCH(J1946,Base!$P$5:$P$2004,0))</f>
        <v/>
      </c>
    </row>
    <row r="1947" customFormat="false" ht="15" hidden="false" customHeight="false" outlineLevel="0" collapsed="false">
      <c r="A1947" s="67" t="str">
        <f aca="false">IF($K1947="","",ROW()-5)</f>
        <v/>
      </c>
      <c r="B1947" s="68" t="str">
        <f aca="false">IF($K1947="","",INDEX(Base!$E$5:$E$2004,$K1947))</f>
        <v/>
      </c>
      <c r="C1947" s="69" t="str">
        <f aca="false">IF($K1947="","",B1947)</f>
        <v/>
      </c>
      <c r="D1947" s="70" t="str">
        <f aca="false">IF($K1947="","",INDEX(Base!$F$5:$F$2004,$K1947))</f>
        <v/>
      </c>
      <c r="E1947" s="70" t="str">
        <f aca="false">IF($K1947="","",INDEX(Base!$G$5:$G$2004,$K1947))</f>
        <v/>
      </c>
      <c r="F1947" s="71" t="str">
        <f aca="false">IF($K1947="","",INDEX(Base!$H$5:$H$2004,$K1947))</f>
        <v/>
      </c>
      <c r="G1947" s="71" t="str">
        <f aca="false">IF($K1947="","",INDEX(Base!$I$5:$I$2004,$K1947))</f>
        <v/>
      </c>
      <c r="H1947" s="70" t="str">
        <f aca="false">IF($K1947="","",INDEX(Base!$J$5:$J$2004,$K1947))</f>
        <v/>
      </c>
      <c r="I1947" s="71" t="str">
        <f aca="false">IF($K1947="","",INDEX(Base!$L$5:$L$2004,$K1947))</f>
        <v/>
      </c>
      <c r="J1947" s="72" t="str">
        <f aca="false">IFERROR(SMALL(Base!$P$5:$P$2004,ROW()-5),"")</f>
        <v/>
      </c>
      <c r="K1947" s="72" t="str">
        <f aca="false">IF(J1947="","",MATCH(J1947,Base!$P$5:$P$2004,0))</f>
        <v/>
      </c>
    </row>
    <row r="1948" customFormat="false" ht="15" hidden="false" customHeight="false" outlineLevel="0" collapsed="false">
      <c r="A1948" s="67" t="str">
        <f aca="false">IF($K1948="","",ROW()-5)</f>
        <v/>
      </c>
      <c r="B1948" s="68" t="str">
        <f aca="false">IF($K1948="","",INDEX(Base!$E$5:$E$2004,$K1948))</f>
        <v/>
      </c>
      <c r="C1948" s="69" t="str">
        <f aca="false">IF($K1948="","",B1948)</f>
        <v/>
      </c>
      <c r="D1948" s="70" t="str">
        <f aca="false">IF($K1948="","",INDEX(Base!$F$5:$F$2004,$K1948))</f>
        <v/>
      </c>
      <c r="E1948" s="70" t="str">
        <f aca="false">IF($K1948="","",INDEX(Base!$G$5:$G$2004,$K1948))</f>
        <v/>
      </c>
      <c r="F1948" s="71" t="str">
        <f aca="false">IF($K1948="","",INDEX(Base!$H$5:$H$2004,$K1948))</f>
        <v/>
      </c>
      <c r="G1948" s="71" t="str">
        <f aca="false">IF($K1948="","",INDEX(Base!$I$5:$I$2004,$K1948))</f>
        <v/>
      </c>
      <c r="H1948" s="70" t="str">
        <f aca="false">IF($K1948="","",INDEX(Base!$J$5:$J$2004,$K1948))</f>
        <v/>
      </c>
      <c r="I1948" s="71" t="str">
        <f aca="false">IF($K1948="","",INDEX(Base!$L$5:$L$2004,$K1948))</f>
        <v/>
      </c>
      <c r="J1948" s="72" t="str">
        <f aca="false">IFERROR(SMALL(Base!$P$5:$P$2004,ROW()-5),"")</f>
        <v/>
      </c>
      <c r="K1948" s="72" t="str">
        <f aca="false">IF(J1948="","",MATCH(J1948,Base!$P$5:$P$2004,0))</f>
        <v/>
      </c>
    </row>
    <row r="1949" customFormat="false" ht="15" hidden="false" customHeight="false" outlineLevel="0" collapsed="false">
      <c r="A1949" s="67" t="str">
        <f aca="false">IF($K1949="","",ROW()-5)</f>
        <v/>
      </c>
      <c r="B1949" s="68" t="str">
        <f aca="false">IF($K1949="","",INDEX(Base!$E$5:$E$2004,$K1949))</f>
        <v/>
      </c>
      <c r="C1949" s="69" t="str">
        <f aca="false">IF($K1949="","",B1949)</f>
        <v/>
      </c>
      <c r="D1949" s="70" t="str">
        <f aca="false">IF($K1949="","",INDEX(Base!$F$5:$F$2004,$K1949))</f>
        <v/>
      </c>
      <c r="E1949" s="70" t="str">
        <f aca="false">IF($K1949="","",INDEX(Base!$G$5:$G$2004,$K1949))</f>
        <v/>
      </c>
      <c r="F1949" s="71" t="str">
        <f aca="false">IF($K1949="","",INDEX(Base!$H$5:$H$2004,$K1949))</f>
        <v/>
      </c>
      <c r="G1949" s="71" t="str">
        <f aca="false">IF($K1949="","",INDEX(Base!$I$5:$I$2004,$K1949))</f>
        <v/>
      </c>
      <c r="H1949" s="70" t="str">
        <f aca="false">IF($K1949="","",INDEX(Base!$J$5:$J$2004,$K1949))</f>
        <v/>
      </c>
      <c r="I1949" s="71" t="str">
        <f aca="false">IF($K1949="","",INDEX(Base!$L$5:$L$2004,$K1949))</f>
        <v/>
      </c>
      <c r="J1949" s="72" t="str">
        <f aca="false">IFERROR(SMALL(Base!$P$5:$P$2004,ROW()-5),"")</f>
        <v/>
      </c>
      <c r="K1949" s="72" t="str">
        <f aca="false">IF(J1949="","",MATCH(J1949,Base!$P$5:$P$2004,0))</f>
        <v/>
      </c>
    </row>
    <row r="1950" customFormat="false" ht="15" hidden="false" customHeight="false" outlineLevel="0" collapsed="false">
      <c r="A1950" s="67" t="str">
        <f aca="false">IF($K1950="","",ROW()-5)</f>
        <v/>
      </c>
      <c r="B1950" s="68" t="str">
        <f aca="false">IF($K1950="","",INDEX(Base!$E$5:$E$2004,$K1950))</f>
        <v/>
      </c>
      <c r="C1950" s="69" t="str">
        <f aca="false">IF($K1950="","",B1950)</f>
        <v/>
      </c>
      <c r="D1950" s="70" t="str">
        <f aca="false">IF($K1950="","",INDEX(Base!$F$5:$F$2004,$K1950))</f>
        <v/>
      </c>
      <c r="E1950" s="70" t="str">
        <f aca="false">IF($K1950="","",INDEX(Base!$G$5:$G$2004,$K1950))</f>
        <v/>
      </c>
      <c r="F1950" s="71" t="str">
        <f aca="false">IF($K1950="","",INDEX(Base!$H$5:$H$2004,$K1950))</f>
        <v/>
      </c>
      <c r="G1950" s="71" t="str">
        <f aca="false">IF($K1950="","",INDEX(Base!$I$5:$I$2004,$K1950))</f>
        <v/>
      </c>
      <c r="H1950" s="70" t="str">
        <f aca="false">IF($K1950="","",INDEX(Base!$J$5:$J$2004,$K1950))</f>
        <v/>
      </c>
      <c r="I1950" s="71" t="str">
        <f aca="false">IF($K1950="","",INDEX(Base!$L$5:$L$2004,$K1950))</f>
        <v/>
      </c>
      <c r="J1950" s="72" t="str">
        <f aca="false">IFERROR(SMALL(Base!$P$5:$P$2004,ROW()-5),"")</f>
        <v/>
      </c>
      <c r="K1950" s="72" t="str">
        <f aca="false">IF(J1950="","",MATCH(J1950,Base!$P$5:$P$2004,0))</f>
        <v/>
      </c>
    </row>
    <row r="1951" customFormat="false" ht="15" hidden="false" customHeight="false" outlineLevel="0" collapsed="false">
      <c r="A1951" s="67" t="str">
        <f aca="false">IF($K1951="","",ROW()-5)</f>
        <v/>
      </c>
      <c r="B1951" s="68" t="str">
        <f aca="false">IF($K1951="","",INDEX(Base!$E$5:$E$2004,$K1951))</f>
        <v/>
      </c>
      <c r="C1951" s="69" t="str">
        <f aca="false">IF($K1951="","",B1951)</f>
        <v/>
      </c>
      <c r="D1951" s="70" t="str">
        <f aca="false">IF($K1951="","",INDEX(Base!$F$5:$F$2004,$K1951))</f>
        <v/>
      </c>
      <c r="E1951" s="70" t="str">
        <f aca="false">IF($K1951="","",INDEX(Base!$G$5:$G$2004,$K1951))</f>
        <v/>
      </c>
      <c r="F1951" s="71" t="str">
        <f aca="false">IF($K1951="","",INDEX(Base!$H$5:$H$2004,$K1951))</f>
        <v/>
      </c>
      <c r="G1951" s="71" t="str">
        <f aca="false">IF($K1951="","",INDEX(Base!$I$5:$I$2004,$K1951))</f>
        <v/>
      </c>
      <c r="H1951" s="70" t="str">
        <f aca="false">IF($K1951="","",INDEX(Base!$J$5:$J$2004,$K1951))</f>
        <v/>
      </c>
      <c r="I1951" s="71" t="str">
        <f aca="false">IF($K1951="","",INDEX(Base!$L$5:$L$2004,$K1951))</f>
        <v/>
      </c>
      <c r="J1951" s="72" t="str">
        <f aca="false">IFERROR(SMALL(Base!$P$5:$P$2004,ROW()-5),"")</f>
        <v/>
      </c>
      <c r="K1951" s="72" t="str">
        <f aca="false">IF(J1951="","",MATCH(J1951,Base!$P$5:$P$2004,0))</f>
        <v/>
      </c>
    </row>
    <row r="1952" customFormat="false" ht="15" hidden="false" customHeight="false" outlineLevel="0" collapsed="false">
      <c r="A1952" s="67" t="str">
        <f aca="false">IF($K1952="","",ROW()-5)</f>
        <v/>
      </c>
      <c r="B1952" s="68" t="str">
        <f aca="false">IF($K1952="","",INDEX(Base!$E$5:$E$2004,$K1952))</f>
        <v/>
      </c>
      <c r="C1952" s="69" t="str">
        <f aca="false">IF($K1952="","",B1952)</f>
        <v/>
      </c>
      <c r="D1952" s="70" t="str">
        <f aca="false">IF($K1952="","",INDEX(Base!$F$5:$F$2004,$K1952))</f>
        <v/>
      </c>
      <c r="E1952" s="70" t="str">
        <f aca="false">IF($K1952="","",INDEX(Base!$G$5:$G$2004,$K1952))</f>
        <v/>
      </c>
      <c r="F1952" s="71" t="str">
        <f aca="false">IF($K1952="","",INDEX(Base!$H$5:$H$2004,$K1952))</f>
        <v/>
      </c>
      <c r="G1952" s="71" t="str">
        <f aca="false">IF($K1952="","",INDEX(Base!$I$5:$I$2004,$K1952))</f>
        <v/>
      </c>
      <c r="H1952" s="70" t="str">
        <f aca="false">IF($K1952="","",INDEX(Base!$J$5:$J$2004,$K1952))</f>
        <v/>
      </c>
      <c r="I1952" s="71" t="str">
        <f aca="false">IF($K1952="","",INDEX(Base!$L$5:$L$2004,$K1952))</f>
        <v/>
      </c>
      <c r="J1952" s="72" t="str">
        <f aca="false">IFERROR(SMALL(Base!$P$5:$P$2004,ROW()-5),"")</f>
        <v/>
      </c>
      <c r="K1952" s="72" t="str">
        <f aca="false">IF(J1952="","",MATCH(J1952,Base!$P$5:$P$2004,0))</f>
        <v/>
      </c>
    </row>
    <row r="1953" customFormat="false" ht="15" hidden="false" customHeight="false" outlineLevel="0" collapsed="false">
      <c r="A1953" s="67" t="str">
        <f aca="false">IF($K1953="","",ROW()-5)</f>
        <v/>
      </c>
      <c r="B1953" s="68" t="str">
        <f aca="false">IF($K1953="","",INDEX(Base!$E$5:$E$2004,$K1953))</f>
        <v/>
      </c>
      <c r="C1953" s="69" t="str">
        <f aca="false">IF($K1953="","",B1953)</f>
        <v/>
      </c>
      <c r="D1953" s="70" t="str">
        <f aca="false">IF($K1953="","",INDEX(Base!$F$5:$F$2004,$K1953))</f>
        <v/>
      </c>
      <c r="E1953" s="70" t="str">
        <f aca="false">IF($K1953="","",INDEX(Base!$G$5:$G$2004,$K1953))</f>
        <v/>
      </c>
      <c r="F1953" s="71" t="str">
        <f aca="false">IF($K1953="","",INDEX(Base!$H$5:$H$2004,$K1953))</f>
        <v/>
      </c>
      <c r="G1953" s="71" t="str">
        <f aca="false">IF($K1953="","",INDEX(Base!$I$5:$I$2004,$K1953))</f>
        <v/>
      </c>
      <c r="H1953" s="70" t="str">
        <f aca="false">IF($K1953="","",INDEX(Base!$J$5:$J$2004,$K1953))</f>
        <v/>
      </c>
      <c r="I1953" s="71" t="str">
        <f aca="false">IF($K1953="","",INDEX(Base!$L$5:$L$2004,$K1953))</f>
        <v/>
      </c>
      <c r="J1953" s="72" t="str">
        <f aca="false">IFERROR(SMALL(Base!$P$5:$P$2004,ROW()-5),"")</f>
        <v/>
      </c>
      <c r="K1953" s="72" t="str">
        <f aca="false">IF(J1953="","",MATCH(J1953,Base!$P$5:$P$2004,0))</f>
        <v/>
      </c>
    </row>
    <row r="1954" customFormat="false" ht="15" hidden="false" customHeight="false" outlineLevel="0" collapsed="false">
      <c r="A1954" s="67" t="str">
        <f aca="false">IF($K1954="","",ROW()-5)</f>
        <v/>
      </c>
      <c r="B1954" s="68" t="str">
        <f aca="false">IF($K1954="","",INDEX(Base!$E$5:$E$2004,$K1954))</f>
        <v/>
      </c>
      <c r="C1954" s="69" t="str">
        <f aca="false">IF($K1954="","",B1954)</f>
        <v/>
      </c>
      <c r="D1954" s="70" t="str">
        <f aca="false">IF($K1954="","",INDEX(Base!$F$5:$F$2004,$K1954))</f>
        <v/>
      </c>
      <c r="E1954" s="70" t="str">
        <f aca="false">IF($K1954="","",INDEX(Base!$G$5:$G$2004,$K1954))</f>
        <v/>
      </c>
      <c r="F1954" s="71" t="str">
        <f aca="false">IF($K1954="","",INDEX(Base!$H$5:$H$2004,$K1954))</f>
        <v/>
      </c>
      <c r="G1954" s="71" t="str">
        <f aca="false">IF($K1954="","",INDEX(Base!$I$5:$I$2004,$K1954))</f>
        <v/>
      </c>
      <c r="H1954" s="70" t="str">
        <f aca="false">IF($K1954="","",INDEX(Base!$J$5:$J$2004,$K1954))</f>
        <v/>
      </c>
      <c r="I1954" s="71" t="str">
        <f aca="false">IF($K1954="","",INDEX(Base!$L$5:$L$2004,$K1954))</f>
        <v/>
      </c>
      <c r="J1954" s="72" t="str">
        <f aca="false">IFERROR(SMALL(Base!$P$5:$P$2004,ROW()-5),"")</f>
        <v/>
      </c>
      <c r="K1954" s="72" t="str">
        <f aca="false">IF(J1954="","",MATCH(J1954,Base!$P$5:$P$2004,0))</f>
        <v/>
      </c>
    </row>
    <row r="1955" customFormat="false" ht="15" hidden="false" customHeight="false" outlineLevel="0" collapsed="false">
      <c r="A1955" s="67" t="str">
        <f aca="false">IF($K1955="","",ROW()-5)</f>
        <v/>
      </c>
      <c r="B1955" s="68" t="str">
        <f aca="false">IF($K1955="","",INDEX(Base!$E$5:$E$2004,$K1955))</f>
        <v/>
      </c>
      <c r="C1955" s="69" t="str">
        <f aca="false">IF($K1955="","",B1955)</f>
        <v/>
      </c>
      <c r="D1955" s="70" t="str">
        <f aca="false">IF($K1955="","",INDEX(Base!$F$5:$F$2004,$K1955))</f>
        <v/>
      </c>
      <c r="E1955" s="70" t="str">
        <f aca="false">IF($K1955="","",INDEX(Base!$G$5:$G$2004,$K1955))</f>
        <v/>
      </c>
      <c r="F1955" s="71" t="str">
        <f aca="false">IF($K1955="","",INDEX(Base!$H$5:$H$2004,$K1955))</f>
        <v/>
      </c>
      <c r="G1955" s="71" t="str">
        <f aca="false">IF($K1955="","",INDEX(Base!$I$5:$I$2004,$K1955))</f>
        <v/>
      </c>
      <c r="H1955" s="70" t="str">
        <f aca="false">IF($K1955="","",INDEX(Base!$J$5:$J$2004,$K1955))</f>
        <v/>
      </c>
      <c r="I1955" s="71" t="str">
        <f aca="false">IF($K1955="","",INDEX(Base!$L$5:$L$2004,$K1955))</f>
        <v/>
      </c>
      <c r="J1955" s="72" t="str">
        <f aca="false">IFERROR(SMALL(Base!$P$5:$P$2004,ROW()-5),"")</f>
        <v/>
      </c>
      <c r="K1955" s="72" t="str">
        <f aca="false">IF(J1955="","",MATCH(J1955,Base!$P$5:$P$2004,0))</f>
        <v/>
      </c>
    </row>
    <row r="1956" customFormat="false" ht="15" hidden="false" customHeight="false" outlineLevel="0" collapsed="false">
      <c r="A1956" s="67" t="str">
        <f aca="false">IF($K1956="","",ROW()-5)</f>
        <v/>
      </c>
      <c r="B1956" s="68" t="str">
        <f aca="false">IF($K1956="","",INDEX(Base!$E$5:$E$2004,$K1956))</f>
        <v/>
      </c>
      <c r="C1956" s="69" t="str">
        <f aca="false">IF($K1956="","",B1956)</f>
        <v/>
      </c>
      <c r="D1956" s="70" t="str">
        <f aca="false">IF($K1956="","",INDEX(Base!$F$5:$F$2004,$K1956))</f>
        <v/>
      </c>
      <c r="E1956" s="70" t="str">
        <f aca="false">IF($K1956="","",INDEX(Base!$G$5:$G$2004,$K1956))</f>
        <v/>
      </c>
      <c r="F1956" s="71" t="str">
        <f aca="false">IF($K1956="","",INDEX(Base!$H$5:$H$2004,$K1956))</f>
        <v/>
      </c>
      <c r="G1956" s="71" t="str">
        <f aca="false">IF($K1956="","",INDEX(Base!$I$5:$I$2004,$K1956))</f>
        <v/>
      </c>
      <c r="H1956" s="70" t="str">
        <f aca="false">IF($K1956="","",INDEX(Base!$J$5:$J$2004,$K1956))</f>
        <v/>
      </c>
      <c r="I1956" s="71" t="str">
        <f aca="false">IF($K1956="","",INDEX(Base!$L$5:$L$2004,$K1956))</f>
        <v/>
      </c>
      <c r="J1956" s="72" t="str">
        <f aca="false">IFERROR(SMALL(Base!$P$5:$P$2004,ROW()-5),"")</f>
        <v/>
      </c>
      <c r="K1956" s="72" t="str">
        <f aca="false">IF(J1956="","",MATCH(J1956,Base!$P$5:$P$2004,0))</f>
        <v/>
      </c>
    </row>
    <row r="1957" customFormat="false" ht="15" hidden="false" customHeight="false" outlineLevel="0" collapsed="false">
      <c r="A1957" s="67" t="str">
        <f aca="false">IF($K1957="","",ROW()-5)</f>
        <v/>
      </c>
      <c r="B1957" s="68" t="str">
        <f aca="false">IF($K1957="","",INDEX(Base!$E$5:$E$2004,$K1957))</f>
        <v/>
      </c>
      <c r="C1957" s="69" t="str">
        <f aca="false">IF($K1957="","",B1957)</f>
        <v/>
      </c>
      <c r="D1957" s="70" t="str">
        <f aca="false">IF($K1957="","",INDEX(Base!$F$5:$F$2004,$K1957))</f>
        <v/>
      </c>
      <c r="E1957" s="70" t="str">
        <f aca="false">IF($K1957="","",INDEX(Base!$G$5:$G$2004,$K1957))</f>
        <v/>
      </c>
      <c r="F1957" s="71" t="str">
        <f aca="false">IF($K1957="","",INDEX(Base!$H$5:$H$2004,$K1957))</f>
        <v/>
      </c>
      <c r="G1957" s="71" t="str">
        <f aca="false">IF($K1957="","",INDEX(Base!$I$5:$I$2004,$K1957))</f>
        <v/>
      </c>
      <c r="H1957" s="70" t="str">
        <f aca="false">IF($K1957="","",INDEX(Base!$J$5:$J$2004,$K1957))</f>
        <v/>
      </c>
      <c r="I1957" s="71" t="str">
        <f aca="false">IF($K1957="","",INDEX(Base!$L$5:$L$2004,$K1957))</f>
        <v/>
      </c>
      <c r="J1957" s="72" t="str">
        <f aca="false">IFERROR(SMALL(Base!$P$5:$P$2004,ROW()-5),"")</f>
        <v/>
      </c>
      <c r="K1957" s="72" t="str">
        <f aca="false">IF(J1957="","",MATCH(J1957,Base!$P$5:$P$2004,0))</f>
        <v/>
      </c>
    </row>
    <row r="1958" customFormat="false" ht="15" hidden="false" customHeight="false" outlineLevel="0" collapsed="false">
      <c r="A1958" s="67" t="str">
        <f aca="false">IF($K1958="","",ROW()-5)</f>
        <v/>
      </c>
      <c r="B1958" s="68" t="str">
        <f aca="false">IF($K1958="","",INDEX(Base!$E$5:$E$2004,$K1958))</f>
        <v/>
      </c>
      <c r="C1958" s="69" t="str">
        <f aca="false">IF($K1958="","",B1958)</f>
        <v/>
      </c>
      <c r="D1958" s="70" t="str">
        <f aca="false">IF($K1958="","",INDEX(Base!$F$5:$F$2004,$K1958))</f>
        <v/>
      </c>
      <c r="E1958" s="70" t="str">
        <f aca="false">IF($K1958="","",INDEX(Base!$G$5:$G$2004,$K1958))</f>
        <v/>
      </c>
      <c r="F1958" s="71" t="str">
        <f aca="false">IF($K1958="","",INDEX(Base!$H$5:$H$2004,$K1958))</f>
        <v/>
      </c>
      <c r="G1958" s="71" t="str">
        <f aca="false">IF($K1958="","",INDEX(Base!$I$5:$I$2004,$K1958))</f>
        <v/>
      </c>
      <c r="H1958" s="70" t="str">
        <f aca="false">IF($K1958="","",INDEX(Base!$J$5:$J$2004,$K1958))</f>
        <v/>
      </c>
      <c r="I1958" s="71" t="str">
        <f aca="false">IF($K1958="","",INDEX(Base!$L$5:$L$2004,$K1958))</f>
        <v/>
      </c>
      <c r="J1958" s="72" t="str">
        <f aca="false">IFERROR(SMALL(Base!$P$5:$P$2004,ROW()-5),"")</f>
        <v/>
      </c>
      <c r="K1958" s="72" t="str">
        <f aca="false">IF(J1958="","",MATCH(J1958,Base!$P$5:$P$2004,0))</f>
        <v/>
      </c>
    </row>
    <row r="1959" customFormat="false" ht="15" hidden="false" customHeight="false" outlineLevel="0" collapsed="false">
      <c r="A1959" s="67" t="str">
        <f aca="false">IF($K1959="","",ROW()-5)</f>
        <v/>
      </c>
      <c r="B1959" s="68" t="str">
        <f aca="false">IF($K1959="","",INDEX(Base!$E$5:$E$2004,$K1959))</f>
        <v/>
      </c>
      <c r="C1959" s="69" t="str">
        <f aca="false">IF($K1959="","",B1959)</f>
        <v/>
      </c>
      <c r="D1959" s="70" t="str">
        <f aca="false">IF($K1959="","",INDEX(Base!$F$5:$F$2004,$K1959))</f>
        <v/>
      </c>
      <c r="E1959" s="70" t="str">
        <f aca="false">IF($K1959="","",INDEX(Base!$G$5:$G$2004,$K1959))</f>
        <v/>
      </c>
      <c r="F1959" s="71" t="str">
        <f aca="false">IF($K1959="","",INDEX(Base!$H$5:$H$2004,$K1959))</f>
        <v/>
      </c>
      <c r="G1959" s="71" t="str">
        <f aca="false">IF($K1959="","",INDEX(Base!$I$5:$I$2004,$K1959))</f>
        <v/>
      </c>
      <c r="H1959" s="70" t="str">
        <f aca="false">IF($K1959="","",INDEX(Base!$J$5:$J$2004,$K1959))</f>
        <v/>
      </c>
      <c r="I1959" s="71" t="str">
        <f aca="false">IF($K1959="","",INDEX(Base!$L$5:$L$2004,$K1959))</f>
        <v/>
      </c>
      <c r="J1959" s="72" t="str">
        <f aca="false">IFERROR(SMALL(Base!$P$5:$P$2004,ROW()-5),"")</f>
        <v/>
      </c>
      <c r="K1959" s="72" t="str">
        <f aca="false">IF(J1959="","",MATCH(J1959,Base!$P$5:$P$2004,0))</f>
        <v/>
      </c>
    </row>
    <row r="1960" customFormat="false" ht="15" hidden="false" customHeight="false" outlineLevel="0" collapsed="false">
      <c r="A1960" s="67" t="str">
        <f aca="false">IF($K1960="","",ROW()-5)</f>
        <v/>
      </c>
      <c r="B1960" s="68" t="str">
        <f aca="false">IF($K1960="","",INDEX(Base!$E$5:$E$2004,$K1960))</f>
        <v/>
      </c>
      <c r="C1960" s="69" t="str">
        <f aca="false">IF($K1960="","",B1960)</f>
        <v/>
      </c>
      <c r="D1960" s="70" t="str">
        <f aca="false">IF($K1960="","",INDEX(Base!$F$5:$F$2004,$K1960))</f>
        <v/>
      </c>
      <c r="E1960" s="70" t="str">
        <f aca="false">IF($K1960="","",INDEX(Base!$G$5:$G$2004,$K1960))</f>
        <v/>
      </c>
      <c r="F1960" s="71" t="str">
        <f aca="false">IF($K1960="","",INDEX(Base!$H$5:$H$2004,$K1960))</f>
        <v/>
      </c>
      <c r="G1960" s="71" t="str">
        <f aca="false">IF($K1960="","",INDEX(Base!$I$5:$I$2004,$K1960))</f>
        <v/>
      </c>
      <c r="H1960" s="70" t="str">
        <f aca="false">IF($K1960="","",INDEX(Base!$J$5:$J$2004,$K1960))</f>
        <v/>
      </c>
      <c r="I1960" s="71" t="str">
        <f aca="false">IF($K1960="","",INDEX(Base!$L$5:$L$2004,$K1960))</f>
        <v/>
      </c>
      <c r="J1960" s="72" t="str">
        <f aca="false">IFERROR(SMALL(Base!$P$5:$P$2004,ROW()-5),"")</f>
        <v/>
      </c>
      <c r="K1960" s="72" t="str">
        <f aca="false">IF(J1960="","",MATCH(J1960,Base!$P$5:$P$2004,0))</f>
        <v/>
      </c>
    </row>
    <row r="1961" customFormat="false" ht="15" hidden="false" customHeight="false" outlineLevel="0" collapsed="false">
      <c r="A1961" s="67" t="str">
        <f aca="false">IF($K1961="","",ROW()-5)</f>
        <v/>
      </c>
      <c r="B1961" s="68" t="str">
        <f aca="false">IF($K1961="","",INDEX(Base!$E$5:$E$2004,$K1961))</f>
        <v/>
      </c>
      <c r="C1961" s="69" t="str">
        <f aca="false">IF($K1961="","",B1961)</f>
        <v/>
      </c>
      <c r="D1961" s="70" t="str">
        <f aca="false">IF($K1961="","",INDEX(Base!$F$5:$F$2004,$K1961))</f>
        <v/>
      </c>
      <c r="E1961" s="70" t="str">
        <f aca="false">IF($K1961="","",INDEX(Base!$G$5:$G$2004,$K1961))</f>
        <v/>
      </c>
      <c r="F1961" s="71" t="str">
        <f aca="false">IF($K1961="","",INDEX(Base!$H$5:$H$2004,$K1961))</f>
        <v/>
      </c>
      <c r="G1961" s="71" t="str">
        <f aca="false">IF($K1961="","",INDEX(Base!$I$5:$I$2004,$K1961))</f>
        <v/>
      </c>
      <c r="H1961" s="70" t="str">
        <f aca="false">IF($K1961="","",INDEX(Base!$J$5:$J$2004,$K1961))</f>
        <v/>
      </c>
      <c r="I1961" s="71" t="str">
        <f aca="false">IF($K1961="","",INDEX(Base!$L$5:$L$2004,$K1961))</f>
        <v/>
      </c>
      <c r="J1961" s="72" t="str">
        <f aca="false">IFERROR(SMALL(Base!$P$5:$P$2004,ROW()-5),"")</f>
        <v/>
      </c>
      <c r="K1961" s="72" t="str">
        <f aca="false">IF(J1961="","",MATCH(J1961,Base!$P$5:$P$2004,0))</f>
        <v/>
      </c>
    </row>
    <row r="1962" customFormat="false" ht="15" hidden="false" customHeight="false" outlineLevel="0" collapsed="false">
      <c r="A1962" s="67" t="str">
        <f aca="false">IF($K1962="","",ROW()-5)</f>
        <v/>
      </c>
      <c r="B1962" s="68" t="str">
        <f aca="false">IF($K1962="","",INDEX(Base!$E$5:$E$2004,$K1962))</f>
        <v/>
      </c>
      <c r="C1962" s="69" t="str">
        <f aca="false">IF($K1962="","",B1962)</f>
        <v/>
      </c>
      <c r="D1962" s="70" t="str">
        <f aca="false">IF($K1962="","",INDEX(Base!$F$5:$F$2004,$K1962))</f>
        <v/>
      </c>
      <c r="E1962" s="70" t="str">
        <f aca="false">IF($K1962="","",INDEX(Base!$G$5:$G$2004,$K1962))</f>
        <v/>
      </c>
      <c r="F1962" s="71" t="str">
        <f aca="false">IF($K1962="","",INDEX(Base!$H$5:$H$2004,$K1962))</f>
        <v/>
      </c>
      <c r="G1962" s="71" t="str">
        <f aca="false">IF($K1962="","",INDEX(Base!$I$5:$I$2004,$K1962))</f>
        <v/>
      </c>
      <c r="H1962" s="70" t="str">
        <f aca="false">IF($K1962="","",INDEX(Base!$J$5:$J$2004,$K1962))</f>
        <v/>
      </c>
      <c r="I1962" s="71" t="str">
        <f aca="false">IF($K1962="","",INDEX(Base!$L$5:$L$2004,$K1962))</f>
        <v/>
      </c>
      <c r="J1962" s="72" t="str">
        <f aca="false">IFERROR(SMALL(Base!$P$5:$P$2004,ROW()-5),"")</f>
        <v/>
      </c>
      <c r="K1962" s="72" t="str">
        <f aca="false">IF(J1962="","",MATCH(J1962,Base!$P$5:$P$2004,0))</f>
        <v/>
      </c>
    </row>
    <row r="1963" customFormat="false" ht="15" hidden="false" customHeight="false" outlineLevel="0" collapsed="false">
      <c r="A1963" s="67" t="str">
        <f aca="false">IF($K1963="","",ROW()-5)</f>
        <v/>
      </c>
      <c r="B1963" s="68" t="str">
        <f aca="false">IF($K1963="","",INDEX(Base!$E$5:$E$2004,$K1963))</f>
        <v/>
      </c>
      <c r="C1963" s="69" t="str">
        <f aca="false">IF($K1963="","",B1963)</f>
        <v/>
      </c>
      <c r="D1963" s="70" t="str">
        <f aca="false">IF($K1963="","",INDEX(Base!$F$5:$F$2004,$K1963))</f>
        <v/>
      </c>
      <c r="E1963" s="70" t="str">
        <f aca="false">IF($K1963="","",INDEX(Base!$G$5:$G$2004,$K1963))</f>
        <v/>
      </c>
      <c r="F1963" s="71" t="str">
        <f aca="false">IF($K1963="","",INDEX(Base!$H$5:$H$2004,$K1963))</f>
        <v/>
      </c>
      <c r="G1963" s="71" t="str">
        <f aca="false">IF($K1963="","",INDEX(Base!$I$5:$I$2004,$K1963))</f>
        <v/>
      </c>
      <c r="H1963" s="70" t="str">
        <f aca="false">IF($K1963="","",INDEX(Base!$J$5:$J$2004,$K1963))</f>
        <v/>
      </c>
      <c r="I1963" s="71" t="str">
        <f aca="false">IF($K1963="","",INDEX(Base!$L$5:$L$2004,$K1963))</f>
        <v/>
      </c>
      <c r="J1963" s="72" t="str">
        <f aca="false">IFERROR(SMALL(Base!$P$5:$P$2004,ROW()-5),"")</f>
        <v/>
      </c>
      <c r="K1963" s="72" t="str">
        <f aca="false">IF(J1963="","",MATCH(J1963,Base!$P$5:$P$2004,0))</f>
        <v/>
      </c>
    </row>
    <row r="1964" customFormat="false" ht="15" hidden="false" customHeight="false" outlineLevel="0" collapsed="false">
      <c r="A1964" s="67" t="str">
        <f aca="false">IF($K1964="","",ROW()-5)</f>
        <v/>
      </c>
      <c r="B1964" s="68" t="str">
        <f aca="false">IF($K1964="","",INDEX(Base!$E$5:$E$2004,$K1964))</f>
        <v/>
      </c>
      <c r="C1964" s="69" t="str">
        <f aca="false">IF($K1964="","",B1964)</f>
        <v/>
      </c>
      <c r="D1964" s="70" t="str">
        <f aca="false">IF($K1964="","",INDEX(Base!$F$5:$F$2004,$K1964))</f>
        <v/>
      </c>
      <c r="E1964" s="70" t="str">
        <f aca="false">IF($K1964="","",INDEX(Base!$G$5:$G$2004,$K1964))</f>
        <v/>
      </c>
      <c r="F1964" s="71" t="str">
        <f aca="false">IF($K1964="","",INDEX(Base!$H$5:$H$2004,$K1964))</f>
        <v/>
      </c>
      <c r="G1964" s="71" t="str">
        <f aca="false">IF($K1964="","",INDEX(Base!$I$5:$I$2004,$K1964))</f>
        <v/>
      </c>
      <c r="H1964" s="70" t="str">
        <f aca="false">IF($K1964="","",INDEX(Base!$J$5:$J$2004,$K1964))</f>
        <v/>
      </c>
      <c r="I1964" s="71" t="str">
        <f aca="false">IF($K1964="","",INDEX(Base!$L$5:$L$2004,$K1964))</f>
        <v/>
      </c>
      <c r="J1964" s="72" t="str">
        <f aca="false">IFERROR(SMALL(Base!$P$5:$P$2004,ROW()-5),"")</f>
        <v/>
      </c>
      <c r="K1964" s="72" t="str">
        <f aca="false">IF(J1964="","",MATCH(J1964,Base!$P$5:$P$2004,0))</f>
        <v/>
      </c>
    </row>
    <row r="1965" customFormat="false" ht="15" hidden="false" customHeight="false" outlineLevel="0" collapsed="false">
      <c r="A1965" s="67" t="str">
        <f aca="false">IF($K1965="","",ROW()-5)</f>
        <v/>
      </c>
      <c r="B1965" s="68" t="str">
        <f aca="false">IF($K1965="","",INDEX(Base!$E$5:$E$2004,$K1965))</f>
        <v/>
      </c>
      <c r="C1965" s="69" t="str">
        <f aca="false">IF($K1965="","",B1965)</f>
        <v/>
      </c>
      <c r="D1965" s="70" t="str">
        <f aca="false">IF($K1965="","",INDEX(Base!$F$5:$F$2004,$K1965))</f>
        <v/>
      </c>
      <c r="E1965" s="70" t="str">
        <f aca="false">IF($K1965="","",INDEX(Base!$G$5:$G$2004,$K1965))</f>
        <v/>
      </c>
      <c r="F1965" s="71" t="str">
        <f aca="false">IF($K1965="","",INDEX(Base!$H$5:$H$2004,$K1965))</f>
        <v/>
      </c>
      <c r="G1965" s="71" t="str">
        <f aca="false">IF($K1965="","",INDEX(Base!$I$5:$I$2004,$K1965))</f>
        <v/>
      </c>
      <c r="H1965" s="70" t="str">
        <f aca="false">IF($K1965="","",INDEX(Base!$J$5:$J$2004,$K1965))</f>
        <v/>
      </c>
      <c r="I1965" s="71" t="str">
        <f aca="false">IF($K1965="","",INDEX(Base!$L$5:$L$2004,$K1965))</f>
        <v/>
      </c>
      <c r="J1965" s="72" t="str">
        <f aca="false">IFERROR(SMALL(Base!$P$5:$P$2004,ROW()-5),"")</f>
        <v/>
      </c>
      <c r="K1965" s="72" t="str">
        <f aca="false">IF(J1965="","",MATCH(J1965,Base!$P$5:$P$2004,0))</f>
        <v/>
      </c>
    </row>
    <row r="1966" customFormat="false" ht="15" hidden="false" customHeight="false" outlineLevel="0" collapsed="false">
      <c r="A1966" s="67" t="str">
        <f aca="false">IF($K1966="","",ROW()-5)</f>
        <v/>
      </c>
      <c r="B1966" s="68" t="str">
        <f aca="false">IF($K1966="","",INDEX(Base!$E$5:$E$2004,$K1966))</f>
        <v/>
      </c>
      <c r="C1966" s="69" t="str">
        <f aca="false">IF($K1966="","",B1966)</f>
        <v/>
      </c>
      <c r="D1966" s="70" t="str">
        <f aca="false">IF($K1966="","",INDEX(Base!$F$5:$F$2004,$K1966))</f>
        <v/>
      </c>
      <c r="E1966" s="70" t="str">
        <f aca="false">IF($K1966="","",INDEX(Base!$G$5:$G$2004,$K1966))</f>
        <v/>
      </c>
      <c r="F1966" s="71" t="str">
        <f aca="false">IF($K1966="","",INDEX(Base!$H$5:$H$2004,$K1966))</f>
        <v/>
      </c>
      <c r="G1966" s="71" t="str">
        <f aca="false">IF($K1966="","",INDEX(Base!$I$5:$I$2004,$K1966))</f>
        <v/>
      </c>
      <c r="H1966" s="70" t="str">
        <f aca="false">IF($K1966="","",INDEX(Base!$J$5:$J$2004,$K1966))</f>
        <v/>
      </c>
      <c r="I1966" s="71" t="str">
        <f aca="false">IF($K1966="","",INDEX(Base!$L$5:$L$2004,$K1966))</f>
        <v/>
      </c>
      <c r="J1966" s="72" t="str">
        <f aca="false">IFERROR(SMALL(Base!$P$5:$P$2004,ROW()-5),"")</f>
        <v/>
      </c>
      <c r="K1966" s="72" t="str">
        <f aca="false">IF(J1966="","",MATCH(J1966,Base!$P$5:$P$2004,0))</f>
        <v/>
      </c>
    </row>
    <row r="1967" customFormat="false" ht="15" hidden="false" customHeight="false" outlineLevel="0" collapsed="false">
      <c r="A1967" s="67" t="str">
        <f aca="false">IF($K1967="","",ROW()-5)</f>
        <v/>
      </c>
      <c r="B1967" s="68" t="str">
        <f aca="false">IF($K1967="","",INDEX(Base!$E$5:$E$2004,$K1967))</f>
        <v/>
      </c>
      <c r="C1967" s="69" t="str">
        <f aca="false">IF($K1967="","",B1967)</f>
        <v/>
      </c>
      <c r="D1967" s="70" t="str">
        <f aca="false">IF($K1967="","",INDEX(Base!$F$5:$F$2004,$K1967))</f>
        <v/>
      </c>
      <c r="E1967" s="70" t="str">
        <f aca="false">IF($K1967="","",INDEX(Base!$G$5:$G$2004,$K1967))</f>
        <v/>
      </c>
      <c r="F1967" s="71" t="str">
        <f aca="false">IF($K1967="","",INDEX(Base!$H$5:$H$2004,$K1967))</f>
        <v/>
      </c>
      <c r="G1967" s="71" t="str">
        <f aca="false">IF($K1967="","",INDEX(Base!$I$5:$I$2004,$K1967))</f>
        <v/>
      </c>
      <c r="H1967" s="70" t="str">
        <f aca="false">IF($K1967="","",INDEX(Base!$J$5:$J$2004,$K1967))</f>
        <v/>
      </c>
      <c r="I1967" s="71" t="str">
        <f aca="false">IF($K1967="","",INDEX(Base!$L$5:$L$2004,$K1967))</f>
        <v/>
      </c>
      <c r="J1967" s="72" t="str">
        <f aca="false">IFERROR(SMALL(Base!$P$5:$P$2004,ROW()-5),"")</f>
        <v/>
      </c>
      <c r="K1967" s="72" t="str">
        <f aca="false">IF(J1967="","",MATCH(J1967,Base!$P$5:$P$2004,0))</f>
        <v/>
      </c>
    </row>
    <row r="1968" customFormat="false" ht="15" hidden="false" customHeight="false" outlineLevel="0" collapsed="false">
      <c r="A1968" s="67" t="str">
        <f aca="false">IF($K1968="","",ROW()-5)</f>
        <v/>
      </c>
      <c r="B1968" s="68" t="str">
        <f aca="false">IF($K1968="","",INDEX(Base!$E$5:$E$2004,$K1968))</f>
        <v/>
      </c>
      <c r="C1968" s="69" t="str">
        <f aca="false">IF($K1968="","",B1968)</f>
        <v/>
      </c>
      <c r="D1968" s="70" t="str">
        <f aca="false">IF($K1968="","",INDEX(Base!$F$5:$F$2004,$K1968))</f>
        <v/>
      </c>
      <c r="E1968" s="70" t="str">
        <f aca="false">IF($K1968="","",INDEX(Base!$G$5:$G$2004,$K1968))</f>
        <v/>
      </c>
      <c r="F1968" s="71" t="str">
        <f aca="false">IF($K1968="","",INDEX(Base!$H$5:$H$2004,$K1968))</f>
        <v/>
      </c>
      <c r="G1968" s="71" t="str">
        <f aca="false">IF($K1968="","",INDEX(Base!$I$5:$I$2004,$K1968))</f>
        <v/>
      </c>
      <c r="H1968" s="70" t="str">
        <f aca="false">IF($K1968="","",INDEX(Base!$J$5:$J$2004,$K1968))</f>
        <v/>
      </c>
      <c r="I1968" s="71" t="str">
        <f aca="false">IF($K1968="","",INDEX(Base!$L$5:$L$2004,$K1968))</f>
        <v/>
      </c>
      <c r="J1968" s="72" t="str">
        <f aca="false">IFERROR(SMALL(Base!$P$5:$P$2004,ROW()-5),"")</f>
        <v/>
      </c>
      <c r="K1968" s="72" t="str">
        <f aca="false">IF(J1968="","",MATCH(J1968,Base!$P$5:$P$2004,0))</f>
        <v/>
      </c>
    </row>
    <row r="1969" customFormat="false" ht="15" hidden="false" customHeight="false" outlineLevel="0" collapsed="false">
      <c r="A1969" s="67" t="str">
        <f aca="false">IF($K1969="","",ROW()-5)</f>
        <v/>
      </c>
      <c r="B1969" s="68" t="str">
        <f aca="false">IF($K1969="","",INDEX(Base!$E$5:$E$2004,$K1969))</f>
        <v/>
      </c>
      <c r="C1969" s="69" t="str">
        <f aca="false">IF($K1969="","",B1969)</f>
        <v/>
      </c>
      <c r="D1969" s="70" t="str">
        <f aca="false">IF($K1969="","",INDEX(Base!$F$5:$F$2004,$K1969))</f>
        <v/>
      </c>
      <c r="E1969" s="70" t="str">
        <f aca="false">IF($K1969="","",INDEX(Base!$G$5:$G$2004,$K1969))</f>
        <v/>
      </c>
      <c r="F1969" s="71" t="str">
        <f aca="false">IF($K1969="","",INDEX(Base!$H$5:$H$2004,$K1969))</f>
        <v/>
      </c>
      <c r="G1969" s="71" t="str">
        <f aca="false">IF($K1969="","",INDEX(Base!$I$5:$I$2004,$K1969))</f>
        <v/>
      </c>
      <c r="H1969" s="70" t="str">
        <f aca="false">IF($K1969="","",INDEX(Base!$J$5:$J$2004,$K1969))</f>
        <v/>
      </c>
      <c r="I1969" s="71" t="str">
        <f aca="false">IF($K1969="","",INDEX(Base!$L$5:$L$2004,$K1969))</f>
        <v/>
      </c>
      <c r="J1969" s="72" t="str">
        <f aca="false">IFERROR(SMALL(Base!$P$5:$P$2004,ROW()-5),"")</f>
        <v/>
      </c>
      <c r="K1969" s="72" t="str">
        <f aca="false">IF(J1969="","",MATCH(J1969,Base!$P$5:$P$2004,0))</f>
        <v/>
      </c>
    </row>
    <row r="1970" customFormat="false" ht="15" hidden="false" customHeight="false" outlineLevel="0" collapsed="false">
      <c r="A1970" s="67" t="str">
        <f aca="false">IF($K1970="","",ROW()-5)</f>
        <v/>
      </c>
      <c r="B1970" s="68" t="str">
        <f aca="false">IF($K1970="","",INDEX(Base!$E$5:$E$2004,$K1970))</f>
        <v/>
      </c>
      <c r="C1970" s="69" t="str">
        <f aca="false">IF($K1970="","",B1970)</f>
        <v/>
      </c>
      <c r="D1970" s="70" t="str">
        <f aca="false">IF($K1970="","",INDEX(Base!$F$5:$F$2004,$K1970))</f>
        <v/>
      </c>
      <c r="E1970" s="70" t="str">
        <f aca="false">IF($K1970="","",INDEX(Base!$G$5:$G$2004,$K1970))</f>
        <v/>
      </c>
      <c r="F1970" s="71" t="str">
        <f aca="false">IF($K1970="","",INDEX(Base!$H$5:$H$2004,$K1970))</f>
        <v/>
      </c>
      <c r="G1970" s="71" t="str">
        <f aca="false">IF($K1970="","",INDEX(Base!$I$5:$I$2004,$K1970))</f>
        <v/>
      </c>
      <c r="H1970" s="70" t="str">
        <f aca="false">IF($K1970="","",INDEX(Base!$J$5:$J$2004,$K1970))</f>
        <v/>
      </c>
      <c r="I1970" s="71" t="str">
        <f aca="false">IF($K1970="","",INDEX(Base!$L$5:$L$2004,$K1970))</f>
        <v/>
      </c>
      <c r="J1970" s="72" t="str">
        <f aca="false">IFERROR(SMALL(Base!$P$5:$P$2004,ROW()-5),"")</f>
        <v/>
      </c>
      <c r="K1970" s="72" t="str">
        <f aca="false">IF(J1970="","",MATCH(J1970,Base!$P$5:$P$2004,0))</f>
        <v/>
      </c>
    </row>
    <row r="1971" customFormat="false" ht="15" hidden="false" customHeight="false" outlineLevel="0" collapsed="false">
      <c r="A1971" s="67" t="str">
        <f aca="false">IF($K1971="","",ROW()-5)</f>
        <v/>
      </c>
      <c r="B1971" s="68" t="str">
        <f aca="false">IF($K1971="","",INDEX(Base!$E$5:$E$2004,$K1971))</f>
        <v/>
      </c>
      <c r="C1971" s="69" t="str">
        <f aca="false">IF($K1971="","",B1971)</f>
        <v/>
      </c>
      <c r="D1971" s="70" t="str">
        <f aca="false">IF($K1971="","",INDEX(Base!$F$5:$F$2004,$K1971))</f>
        <v/>
      </c>
      <c r="E1971" s="70" t="str">
        <f aca="false">IF($K1971="","",INDEX(Base!$G$5:$G$2004,$K1971))</f>
        <v/>
      </c>
      <c r="F1971" s="71" t="str">
        <f aca="false">IF($K1971="","",INDEX(Base!$H$5:$H$2004,$K1971))</f>
        <v/>
      </c>
      <c r="G1971" s="71" t="str">
        <f aca="false">IF($K1971="","",INDEX(Base!$I$5:$I$2004,$K1971))</f>
        <v/>
      </c>
      <c r="H1971" s="70" t="str">
        <f aca="false">IF($K1971="","",INDEX(Base!$J$5:$J$2004,$K1971))</f>
        <v/>
      </c>
      <c r="I1971" s="71" t="str">
        <f aca="false">IF($K1971="","",INDEX(Base!$L$5:$L$2004,$K1971))</f>
        <v/>
      </c>
      <c r="J1971" s="72" t="str">
        <f aca="false">IFERROR(SMALL(Base!$P$5:$P$2004,ROW()-5),"")</f>
        <v/>
      </c>
      <c r="K1971" s="72" t="str">
        <f aca="false">IF(J1971="","",MATCH(J1971,Base!$P$5:$P$2004,0))</f>
        <v/>
      </c>
    </row>
    <row r="1972" customFormat="false" ht="15" hidden="false" customHeight="false" outlineLevel="0" collapsed="false">
      <c r="A1972" s="67" t="str">
        <f aca="false">IF($K1972="","",ROW()-5)</f>
        <v/>
      </c>
      <c r="B1972" s="68" t="str">
        <f aca="false">IF($K1972="","",INDEX(Base!$E$5:$E$2004,$K1972))</f>
        <v/>
      </c>
      <c r="C1972" s="69" t="str">
        <f aca="false">IF($K1972="","",B1972)</f>
        <v/>
      </c>
      <c r="D1972" s="70" t="str">
        <f aca="false">IF($K1972="","",INDEX(Base!$F$5:$F$2004,$K1972))</f>
        <v/>
      </c>
      <c r="E1972" s="70" t="str">
        <f aca="false">IF($K1972="","",INDEX(Base!$G$5:$G$2004,$K1972))</f>
        <v/>
      </c>
      <c r="F1972" s="71" t="str">
        <f aca="false">IF($K1972="","",INDEX(Base!$H$5:$H$2004,$K1972))</f>
        <v/>
      </c>
      <c r="G1972" s="71" t="str">
        <f aca="false">IF($K1972="","",INDEX(Base!$I$5:$I$2004,$K1972))</f>
        <v/>
      </c>
      <c r="H1972" s="70" t="str">
        <f aca="false">IF($K1972="","",INDEX(Base!$J$5:$J$2004,$K1972))</f>
        <v/>
      </c>
      <c r="I1972" s="71" t="str">
        <f aca="false">IF($K1972="","",INDEX(Base!$L$5:$L$2004,$K1972))</f>
        <v/>
      </c>
      <c r="J1972" s="72" t="str">
        <f aca="false">IFERROR(SMALL(Base!$P$5:$P$2004,ROW()-5),"")</f>
        <v/>
      </c>
      <c r="K1972" s="72" t="str">
        <f aca="false">IF(J1972="","",MATCH(J1972,Base!$P$5:$P$2004,0))</f>
        <v/>
      </c>
    </row>
    <row r="1973" customFormat="false" ht="15" hidden="false" customHeight="false" outlineLevel="0" collapsed="false">
      <c r="A1973" s="67" t="str">
        <f aca="false">IF($K1973="","",ROW()-5)</f>
        <v/>
      </c>
      <c r="B1973" s="68" t="str">
        <f aca="false">IF($K1973="","",INDEX(Base!$E$5:$E$2004,$K1973))</f>
        <v/>
      </c>
      <c r="C1973" s="69" t="str">
        <f aca="false">IF($K1973="","",B1973)</f>
        <v/>
      </c>
      <c r="D1973" s="70" t="str">
        <f aca="false">IF($K1973="","",INDEX(Base!$F$5:$F$2004,$K1973))</f>
        <v/>
      </c>
      <c r="E1973" s="70" t="str">
        <f aca="false">IF($K1973="","",INDEX(Base!$G$5:$G$2004,$K1973))</f>
        <v/>
      </c>
      <c r="F1973" s="71" t="str">
        <f aca="false">IF($K1973="","",INDEX(Base!$H$5:$H$2004,$K1973))</f>
        <v/>
      </c>
      <c r="G1973" s="71" t="str">
        <f aca="false">IF($K1973="","",INDEX(Base!$I$5:$I$2004,$K1973))</f>
        <v/>
      </c>
      <c r="H1973" s="70" t="str">
        <f aca="false">IF($K1973="","",INDEX(Base!$J$5:$J$2004,$K1973))</f>
        <v/>
      </c>
      <c r="I1973" s="71" t="str">
        <f aca="false">IF($K1973="","",INDEX(Base!$L$5:$L$2004,$K1973))</f>
        <v/>
      </c>
      <c r="J1973" s="72" t="str">
        <f aca="false">IFERROR(SMALL(Base!$P$5:$P$2004,ROW()-5),"")</f>
        <v/>
      </c>
      <c r="K1973" s="72" t="str">
        <f aca="false">IF(J1973="","",MATCH(J1973,Base!$P$5:$P$2004,0))</f>
        <v/>
      </c>
    </row>
    <row r="1974" customFormat="false" ht="15" hidden="false" customHeight="false" outlineLevel="0" collapsed="false">
      <c r="A1974" s="67" t="str">
        <f aca="false">IF($K1974="","",ROW()-5)</f>
        <v/>
      </c>
      <c r="B1974" s="68" t="str">
        <f aca="false">IF($K1974="","",INDEX(Base!$E$5:$E$2004,$K1974))</f>
        <v/>
      </c>
      <c r="C1974" s="69" t="str">
        <f aca="false">IF($K1974="","",B1974)</f>
        <v/>
      </c>
      <c r="D1974" s="70" t="str">
        <f aca="false">IF($K1974="","",INDEX(Base!$F$5:$F$2004,$K1974))</f>
        <v/>
      </c>
      <c r="E1974" s="70" t="str">
        <f aca="false">IF($K1974="","",INDEX(Base!$G$5:$G$2004,$K1974))</f>
        <v/>
      </c>
      <c r="F1974" s="71" t="str">
        <f aca="false">IF($K1974="","",INDEX(Base!$H$5:$H$2004,$K1974))</f>
        <v/>
      </c>
      <c r="G1974" s="71" t="str">
        <f aca="false">IF($K1974="","",INDEX(Base!$I$5:$I$2004,$K1974))</f>
        <v/>
      </c>
      <c r="H1974" s="70" t="str">
        <f aca="false">IF($K1974="","",INDEX(Base!$J$5:$J$2004,$K1974))</f>
        <v/>
      </c>
      <c r="I1974" s="71" t="str">
        <f aca="false">IF($K1974="","",INDEX(Base!$L$5:$L$2004,$K1974))</f>
        <v/>
      </c>
      <c r="J1974" s="72" t="str">
        <f aca="false">IFERROR(SMALL(Base!$P$5:$P$2004,ROW()-5),"")</f>
        <v/>
      </c>
      <c r="K1974" s="72" t="str">
        <f aca="false">IF(J1974="","",MATCH(J1974,Base!$P$5:$P$2004,0))</f>
        <v/>
      </c>
    </row>
    <row r="1975" customFormat="false" ht="15" hidden="false" customHeight="false" outlineLevel="0" collapsed="false">
      <c r="A1975" s="67" t="str">
        <f aca="false">IF($K1975="","",ROW()-5)</f>
        <v/>
      </c>
      <c r="B1975" s="68" t="str">
        <f aca="false">IF($K1975="","",INDEX(Base!$E$5:$E$2004,$K1975))</f>
        <v/>
      </c>
      <c r="C1975" s="69" t="str">
        <f aca="false">IF($K1975="","",B1975)</f>
        <v/>
      </c>
      <c r="D1975" s="70" t="str">
        <f aca="false">IF($K1975="","",INDEX(Base!$F$5:$F$2004,$K1975))</f>
        <v/>
      </c>
      <c r="E1975" s="70" t="str">
        <f aca="false">IF($K1975="","",INDEX(Base!$G$5:$G$2004,$K1975))</f>
        <v/>
      </c>
      <c r="F1975" s="71" t="str">
        <f aca="false">IF($K1975="","",INDEX(Base!$H$5:$H$2004,$K1975))</f>
        <v/>
      </c>
      <c r="G1975" s="71" t="str">
        <f aca="false">IF($K1975="","",INDEX(Base!$I$5:$I$2004,$K1975))</f>
        <v/>
      </c>
      <c r="H1975" s="70" t="str">
        <f aca="false">IF($K1975="","",INDEX(Base!$J$5:$J$2004,$K1975))</f>
        <v/>
      </c>
      <c r="I1975" s="71" t="str">
        <f aca="false">IF($K1975="","",INDEX(Base!$L$5:$L$2004,$K1975))</f>
        <v/>
      </c>
      <c r="J1975" s="72" t="str">
        <f aca="false">IFERROR(SMALL(Base!$P$5:$P$2004,ROW()-5),"")</f>
        <v/>
      </c>
      <c r="K1975" s="72" t="str">
        <f aca="false">IF(J1975="","",MATCH(J1975,Base!$P$5:$P$2004,0))</f>
        <v/>
      </c>
    </row>
    <row r="1976" customFormat="false" ht="15" hidden="false" customHeight="false" outlineLevel="0" collapsed="false">
      <c r="A1976" s="67" t="str">
        <f aca="false">IF($K1976="","",ROW()-5)</f>
        <v/>
      </c>
      <c r="B1976" s="68" t="str">
        <f aca="false">IF($K1976="","",INDEX(Base!$E$5:$E$2004,$K1976))</f>
        <v/>
      </c>
      <c r="C1976" s="69" t="str">
        <f aca="false">IF($K1976="","",B1976)</f>
        <v/>
      </c>
      <c r="D1976" s="70" t="str">
        <f aca="false">IF($K1976="","",INDEX(Base!$F$5:$F$2004,$K1976))</f>
        <v/>
      </c>
      <c r="E1976" s="70" t="str">
        <f aca="false">IF($K1976="","",INDEX(Base!$G$5:$G$2004,$K1976))</f>
        <v/>
      </c>
      <c r="F1976" s="71" t="str">
        <f aca="false">IF($K1976="","",INDEX(Base!$H$5:$H$2004,$K1976))</f>
        <v/>
      </c>
      <c r="G1976" s="71" t="str">
        <f aca="false">IF($K1976="","",INDEX(Base!$I$5:$I$2004,$K1976))</f>
        <v/>
      </c>
      <c r="H1976" s="70" t="str">
        <f aca="false">IF($K1976="","",INDEX(Base!$J$5:$J$2004,$K1976))</f>
        <v/>
      </c>
      <c r="I1976" s="71" t="str">
        <f aca="false">IF($K1976="","",INDEX(Base!$L$5:$L$2004,$K1976))</f>
        <v/>
      </c>
      <c r="J1976" s="72" t="str">
        <f aca="false">IFERROR(SMALL(Base!$P$5:$P$2004,ROW()-5),"")</f>
        <v/>
      </c>
      <c r="K1976" s="72" t="str">
        <f aca="false">IF(J1976="","",MATCH(J1976,Base!$P$5:$P$2004,0))</f>
        <v/>
      </c>
    </row>
    <row r="1977" customFormat="false" ht="15" hidden="false" customHeight="false" outlineLevel="0" collapsed="false">
      <c r="A1977" s="67" t="str">
        <f aca="false">IF($K1977="","",ROW()-5)</f>
        <v/>
      </c>
      <c r="B1977" s="68" t="str">
        <f aca="false">IF($K1977="","",INDEX(Base!$E$5:$E$2004,$K1977))</f>
        <v/>
      </c>
      <c r="C1977" s="69" t="str">
        <f aca="false">IF($K1977="","",B1977)</f>
        <v/>
      </c>
      <c r="D1977" s="70" t="str">
        <f aca="false">IF($K1977="","",INDEX(Base!$F$5:$F$2004,$K1977))</f>
        <v/>
      </c>
      <c r="E1977" s="70" t="str">
        <f aca="false">IF($K1977="","",INDEX(Base!$G$5:$G$2004,$K1977))</f>
        <v/>
      </c>
      <c r="F1977" s="71" t="str">
        <f aca="false">IF($K1977="","",INDEX(Base!$H$5:$H$2004,$K1977))</f>
        <v/>
      </c>
      <c r="G1977" s="71" t="str">
        <f aca="false">IF($K1977="","",INDEX(Base!$I$5:$I$2004,$K1977))</f>
        <v/>
      </c>
      <c r="H1977" s="70" t="str">
        <f aca="false">IF($K1977="","",INDEX(Base!$J$5:$J$2004,$K1977))</f>
        <v/>
      </c>
      <c r="I1977" s="71" t="str">
        <f aca="false">IF($K1977="","",INDEX(Base!$L$5:$L$2004,$K1977))</f>
        <v/>
      </c>
      <c r="J1977" s="72" t="str">
        <f aca="false">IFERROR(SMALL(Base!$P$5:$P$2004,ROW()-5),"")</f>
        <v/>
      </c>
      <c r="K1977" s="72" t="str">
        <f aca="false">IF(J1977="","",MATCH(J1977,Base!$P$5:$P$2004,0))</f>
        <v/>
      </c>
    </row>
    <row r="1978" customFormat="false" ht="15" hidden="false" customHeight="false" outlineLevel="0" collapsed="false">
      <c r="A1978" s="67" t="str">
        <f aca="false">IF($K1978="","",ROW()-5)</f>
        <v/>
      </c>
      <c r="B1978" s="68" t="str">
        <f aca="false">IF($K1978="","",INDEX(Base!$E$5:$E$2004,$K1978))</f>
        <v/>
      </c>
      <c r="C1978" s="69" t="str">
        <f aca="false">IF($K1978="","",B1978)</f>
        <v/>
      </c>
      <c r="D1978" s="70" t="str">
        <f aca="false">IF($K1978="","",INDEX(Base!$F$5:$F$2004,$K1978))</f>
        <v/>
      </c>
      <c r="E1978" s="70" t="str">
        <f aca="false">IF($K1978="","",INDEX(Base!$G$5:$G$2004,$K1978))</f>
        <v/>
      </c>
      <c r="F1978" s="71" t="str">
        <f aca="false">IF($K1978="","",INDEX(Base!$H$5:$H$2004,$K1978))</f>
        <v/>
      </c>
      <c r="G1978" s="71" t="str">
        <f aca="false">IF($K1978="","",INDEX(Base!$I$5:$I$2004,$K1978))</f>
        <v/>
      </c>
      <c r="H1978" s="70" t="str">
        <f aca="false">IF($K1978="","",INDEX(Base!$J$5:$J$2004,$K1978))</f>
        <v/>
      </c>
      <c r="I1978" s="71" t="str">
        <f aca="false">IF($K1978="","",INDEX(Base!$L$5:$L$2004,$K1978))</f>
        <v/>
      </c>
      <c r="J1978" s="72" t="str">
        <f aca="false">IFERROR(SMALL(Base!$P$5:$P$2004,ROW()-5),"")</f>
        <v/>
      </c>
      <c r="K1978" s="72" t="str">
        <f aca="false">IF(J1978="","",MATCH(J1978,Base!$P$5:$P$2004,0))</f>
        <v/>
      </c>
    </row>
    <row r="1979" customFormat="false" ht="15" hidden="false" customHeight="false" outlineLevel="0" collapsed="false">
      <c r="A1979" s="67" t="str">
        <f aca="false">IF($K1979="","",ROW()-5)</f>
        <v/>
      </c>
      <c r="B1979" s="68" t="str">
        <f aca="false">IF($K1979="","",INDEX(Base!$E$5:$E$2004,$K1979))</f>
        <v/>
      </c>
      <c r="C1979" s="69" t="str">
        <f aca="false">IF($K1979="","",B1979)</f>
        <v/>
      </c>
      <c r="D1979" s="70" t="str">
        <f aca="false">IF($K1979="","",INDEX(Base!$F$5:$F$2004,$K1979))</f>
        <v/>
      </c>
      <c r="E1979" s="70" t="str">
        <f aca="false">IF($K1979="","",INDEX(Base!$G$5:$G$2004,$K1979))</f>
        <v/>
      </c>
      <c r="F1979" s="71" t="str">
        <f aca="false">IF($K1979="","",INDEX(Base!$H$5:$H$2004,$K1979))</f>
        <v/>
      </c>
      <c r="G1979" s="71" t="str">
        <f aca="false">IF($K1979="","",INDEX(Base!$I$5:$I$2004,$K1979))</f>
        <v/>
      </c>
      <c r="H1979" s="70" t="str">
        <f aca="false">IF($K1979="","",INDEX(Base!$J$5:$J$2004,$K1979))</f>
        <v/>
      </c>
      <c r="I1979" s="71" t="str">
        <f aca="false">IF($K1979="","",INDEX(Base!$L$5:$L$2004,$K1979))</f>
        <v/>
      </c>
      <c r="J1979" s="72" t="str">
        <f aca="false">IFERROR(SMALL(Base!$P$5:$P$2004,ROW()-5),"")</f>
        <v/>
      </c>
      <c r="K1979" s="72" t="str">
        <f aca="false">IF(J1979="","",MATCH(J1979,Base!$P$5:$P$2004,0))</f>
        <v/>
      </c>
    </row>
    <row r="1980" customFormat="false" ht="15" hidden="false" customHeight="false" outlineLevel="0" collapsed="false">
      <c r="A1980" s="67" t="str">
        <f aca="false">IF($K1980="","",ROW()-5)</f>
        <v/>
      </c>
      <c r="B1980" s="68" t="str">
        <f aca="false">IF($K1980="","",INDEX(Base!$E$5:$E$2004,$K1980))</f>
        <v/>
      </c>
      <c r="C1980" s="69" t="str">
        <f aca="false">IF($K1980="","",B1980)</f>
        <v/>
      </c>
      <c r="D1980" s="70" t="str">
        <f aca="false">IF($K1980="","",INDEX(Base!$F$5:$F$2004,$K1980))</f>
        <v/>
      </c>
      <c r="E1980" s="70" t="str">
        <f aca="false">IF($K1980="","",INDEX(Base!$G$5:$G$2004,$K1980))</f>
        <v/>
      </c>
      <c r="F1980" s="71" t="str">
        <f aca="false">IF($K1980="","",INDEX(Base!$H$5:$H$2004,$K1980))</f>
        <v/>
      </c>
      <c r="G1980" s="71" t="str">
        <f aca="false">IF($K1980="","",INDEX(Base!$I$5:$I$2004,$K1980))</f>
        <v/>
      </c>
      <c r="H1980" s="70" t="str">
        <f aca="false">IF($K1980="","",INDEX(Base!$J$5:$J$2004,$K1980))</f>
        <v/>
      </c>
      <c r="I1980" s="71" t="str">
        <f aca="false">IF($K1980="","",INDEX(Base!$L$5:$L$2004,$K1980))</f>
        <v/>
      </c>
      <c r="J1980" s="72" t="str">
        <f aca="false">IFERROR(SMALL(Base!$P$5:$P$2004,ROW()-5),"")</f>
        <v/>
      </c>
      <c r="K1980" s="72" t="str">
        <f aca="false">IF(J1980="","",MATCH(J1980,Base!$P$5:$P$2004,0))</f>
        <v/>
      </c>
    </row>
    <row r="1981" customFormat="false" ht="15" hidden="false" customHeight="false" outlineLevel="0" collapsed="false">
      <c r="A1981" s="67" t="str">
        <f aca="false">IF($K1981="","",ROW()-5)</f>
        <v/>
      </c>
      <c r="B1981" s="68" t="str">
        <f aca="false">IF($K1981="","",INDEX(Base!$E$5:$E$2004,$K1981))</f>
        <v/>
      </c>
      <c r="C1981" s="69" t="str">
        <f aca="false">IF($K1981="","",B1981)</f>
        <v/>
      </c>
      <c r="D1981" s="70" t="str">
        <f aca="false">IF($K1981="","",INDEX(Base!$F$5:$F$2004,$K1981))</f>
        <v/>
      </c>
      <c r="E1981" s="70" t="str">
        <f aca="false">IF($K1981="","",INDEX(Base!$G$5:$G$2004,$K1981))</f>
        <v/>
      </c>
      <c r="F1981" s="71" t="str">
        <f aca="false">IF($K1981="","",INDEX(Base!$H$5:$H$2004,$K1981))</f>
        <v/>
      </c>
      <c r="G1981" s="71" t="str">
        <f aca="false">IF($K1981="","",INDEX(Base!$I$5:$I$2004,$K1981))</f>
        <v/>
      </c>
      <c r="H1981" s="70" t="str">
        <f aca="false">IF($K1981="","",INDEX(Base!$J$5:$J$2004,$K1981))</f>
        <v/>
      </c>
      <c r="I1981" s="71" t="str">
        <f aca="false">IF($K1981="","",INDEX(Base!$L$5:$L$2004,$K1981))</f>
        <v/>
      </c>
      <c r="J1981" s="72" t="str">
        <f aca="false">IFERROR(SMALL(Base!$P$5:$P$2004,ROW()-5),"")</f>
        <v/>
      </c>
      <c r="K1981" s="72" t="str">
        <f aca="false">IF(J1981="","",MATCH(J1981,Base!$P$5:$P$2004,0))</f>
        <v/>
      </c>
    </row>
    <row r="1982" customFormat="false" ht="15" hidden="false" customHeight="false" outlineLevel="0" collapsed="false">
      <c r="A1982" s="67" t="str">
        <f aca="false">IF($K1982="","",ROW()-5)</f>
        <v/>
      </c>
      <c r="B1982" s="68" t="str">
        <f aca="false">IF($K1982="","",INDEX(Base!$E$5:$E$2004,$K1982))</f>
        <v/>
      </c>
      <c r="C1982" s="69" t="str">
        <f aca="false">IF($K1982="","",B1982)</f>
        <v/>
      </c>
      <c r="D1982" s="70" t="str">
        <f aca="false">IF($K1982="","",INDEX(Base!$F$5:$F$2004,$K1982))</f>
        <v/>
      </c>
      <c r="E1982" s="70" t="str">
        <f aca="false">IF($K1982="","",INDEX(Base!$G$5:$G$2004,$K1982))</f>
        <v/>
      </c>
      <c r="F1982" s="71" t="str">
        <f aca="false">IF($K1982="","",INDEX(Base!$H$5:$H$2004,$K1982))</f>
        <v/>
      </c>
      <c r="G1982" s="71" t="str">
        <f aca="false">IF($K1982="","",INDEX(Base!$I$5:$I$2004,$K1982))</f>
        <v/>
      </c>
      <c r="H1982" s="70" t="str">
        <f aca="false">IF($K1982="","",INDEX(Base!$J$5:$J$2004,$K1982))</f>
        <v/>
      </c>
      <c r="I1982" s="71" t="str">
        <f aca="false">IF($K1982="","",INDEX(Base!$L$5:$L$2004,$K1982))</f>
        <v/>
      </c>
      <c r="J1982" s="72" t="str">
        <f aca="false">IFERROR(SMALL(Base!$P$5:$P$2004,ROW()-5),"")</f>
        <v/>
      </c>
      <c r="K1982" s="72" t="str">
        <f aca="false">IF(J1982="","",MATCH(J1982,Base!$P$5:$P$2004,0))</f>
        <v/>
      </c>
    </row>
    <row r="1983" customFormat="false" ht="15" hidden="false" customHeight="false" outlineLevel="0" collapsed="false">
      <c r="A1983" s="67" t="str">
        <f aca="false">IF($K1983="","",ROW()-5)</f>
        <v/>
      </c>
      <c r="B1983" s="68" t="str">
        <f aca="false">IF($K1983="","",INDEX(Base!$E$5:$E$2004,$K1983))</f>
        <v/>
      </c>
      <c r="C1983" s="69" t="str">
        <f aca="false">IF($K1983="","",B1983)</f>
        <v/>
      </c>
      <c r="D1983" s="70" t="str">
        <f aca="false">IF($K1983="","",INDEX(Base!$F$5:$F$2004,$K1983))</f>
        <v/>
      </c>
      <c r="E1983" s="70" t="str">
        <f aca="false">IF($K1983="","",INDEX(Base!$G$5:$G$2004,$K1983))</f>
        <v/>
      </c>
      <c r="F1983" s="71" t="str">
        <f aca="false">IF($K1983="","",INDEX(Base!$H$5:$H$2004,$K1983))</f>
        <v/>
      </c>
      <c r="G1983" s="71" t="str">
        <f aca="false">IF($K1983="","",INDEX(Base!$I$5:$I$2004,$K1983))</f>
        <v/>
      </c>
      <c r="H1983" s="70" t="str">
        <f aca="false">IF($K1983="","",INDEX(Base!$J$5:$J$2004,$K1983))</f>
        <v/>
      </c>
      <c r="I1983" s="71" t="str">
        <f aca="false">IF($K1983="","",INDEX(Base!$L$5:$L$2004,$K1983))</f>
        <v/>
      </c>
      <c r="J1983" s="72" t="str">
        <f aca="false">IFERROR(SMALL(Base!$P$5:$P$2004,ROW()-5),"")</f>
        <v/>
      </c>
      <c r="K1983" s="72" t="str">
        <f aca="false">IF(J1983="","",MATCH(J1983,Base!$P$5:$P$2004,0))</f>
        <v/>
      </c>
    </row>
    <row r="1984" customFormat="false" ht="15" hidden="false" customHeight="false" outlineLevel="0" collapsed="false">
      <c r="A1984" s="67" t="str">
        <f aca="false">IF($K1984="","",ROW()-5)</f>
        <v/>
      </c>
      <c r="B1984" s="68" t="str">
        <f aca="false">IF($K1984="","",INDEX(Base!$E$5:$E$2004,$K1984))</f>
        <v/>
      </c>
      <c r="C1984" s="69" t="str">
        <f aca="false">IF($K1984="","",B1984)</f>
        <v/>
      </c>
      <c r="D1984" s="70" t="str">
        <f aca="false">IF($K1984="","",INDEX(Base!$F$5:$F$2004,$K1984))</f>
        <v/>
      </c>
      <c r="E1984" s="70" t="str">
        <f aca="false">IF($K1984="","",INDEX(Base!$G$5:$G$2004,$K1984))</f>
        <v/>
      </c>
      <c r="F1984" s="71" t="str">
        <f aca="false">IF($K1984="","",INDEX(Base!$H$5:$H$2004,$K1984))</f>
        <v/>
      </c>
      <c r="G1984" s="71" t="str">
        <f aca="false">IF($K1984="","",INDEX(Base!$I$5:$I$2004,$K1984))</f>
        <v/>
      </c>
      <c r="H1984" s="70" t="str">
        <f aca="false">IF($K1984="","",INDEX(Base!$J$5:$J$2004,$K1984))</f>
        <v/>
      </c>
      <c r="I1984" s="71" t="str">
        <f aca="false">IF($K1984="","",INDEX(Base!$L$5:$L$2004,$K1984))</f>
        <v/>
      </c>
      <c r="J1984" s="72" t="str">
        <f aca="false">IFERROR(SMALL(Base!$P$5:$P$2004,ROW()-5),"")</f>
        <v/>
      </c>
      <c r="K1984" s="72" t="str">
        <f aca="false">IF(J1984="","",MATCH(J1984,Base!$P$5:$P$2004,0))</f>
        <v/>
      </c>
    </row>
    <row r="1985" customFormat="false" ht="15" hidden="false" customHeight="false" outlineLevel="0" collapsed="false">
      <c r="A1985" s="67" t="str">
        <f aca="false">IF($K1985="","",ROW()-5)</f>
        <v/>
      </c>
      <c r="B1985" s="68" t="str">
        <f aca="false">IF($K1985="","",INDEX(Base!$E$5:$E$2004,$K1985))</f>
        <v/>
      </c>
      <c r="C1985" s="69" t="str">
        <f aca="false">IF($K1985="","",B1985)</f>
        <v/>
      </c>
      <c r="D1985" s="70" t="str">
        <f aca="false">IF($K1985="","",INDEX(Base!$F$5:$F$2004,$K1985))</f>
        <v/>
      </c>
      <c r="E1985" s="70" t="str">
        <f aca="false">IF($K1985="","",INDEX(Base!$G$5:$G$2004,$K1985))</f>
        <v/>
      </c>
      <c r="F1985" s="71" t="str">
        <f aca="false">IF($K1985="","",INDEX(Base!$H$5:$H$2004,$K1985))</f>
        <v/>
      </c>
      <c r="G1985" s="71" t="str">
        <f aca="false">IF($K1985="","",INDEX(Base!$I$5:$I$2004,$K1985))</f>
        <v/>
      </c>
      <c r="H1985" s="70" t="str">
        <f aca="false">IF($K1985="","",INDEX(Base!$J$5:$J$2004,$K1985))</f>
        <v/>
      </c>
      <c r="I1985" s="71" t="str">
        <f aca="false">IF($K1985="","",INDEX(Base!$L$5:$L$2004,$K1985))</f>
        <v/>
      </c>
      <c r="J1985" s="72" t="str">
        <f aca="false">IFERROR(SMALL(Base!$P$5:$P$2004,ROW()-5),"")</f>
        <v/>
      </c>
      <c r="K1985" s="72" t="str">
        <f aca="false">IF(J1985="","",MATCH(J1985,Base!$P$5:$P$2004,0))</f>
        <v/>
      </c>
    </row>
    <row r="1986" customFormat="false" ht="15" hidden="false" customHeight="false" outlineLevel="0" collapsed="false">
      <c r="A1986" s="67" t="str">
        <f aca="false">IF($K1986="","",ROW()-5)</f>
        <v/>
      </c>
      <c r="B1986" s="68" t="str">
        <f aca="false">IF($K1986="","",INDEX(Base!$E$5:$E$2004,$K1986))</f>
        <v/>
      </c>
      <c r="C1986" s="69" t="str">
        <f aca="false">IF($K1986="","",B1986)</f>
        <v/>
      </c>
      <c r="D1986" s="70" t="str">
        <f aca="false">IF($K1986="","",INDEX(Base!$F$5:$F$2004,$K1986))</f>
        <v/>
      </c>
      <c r="E1986" s="70" t="str">
        <f aca="false">IF($K1986="","",INDEX(Base!$G$5:$G$2004,$K1986))</f>
        <v/>
      </c>
      <c r="F1986" s="71" t="str">
        <f aca="false">IF($K1986="","",INDEX(Base!$H$5:$H$2004,$K1986))</f>
        <v/>
      </c>
      <c r="G1986" s="71" t="str">
        <f aca="false">IF($K1986="","",INDEX(Base!$I$5:$I$2004,$K1986))</f>
        <v/>
      </c>
      <c r="H1986" s="70" t="str">
        <f aca="false">IF($K1986="","",INDEX(Base!$J$5:$J$2004,$K1986))</f>
        <v/>
      </c>
      <c r="I1986" s="71" t="str">
        <f aca="false">IF($K1986="","",INDEX(Base!$L$5:$L$2004,$K1986))</f>
        <v/>
      </c>
      <c r="J1986" s="72" t="str">
        <f aca="false">IFERROR(SMALL(Base!$P$5:$P$2004,ROW()-5),"")</f>
        <v/>
      </c>
      <c r="K1986" s="72" t="str">
        <f aca="false">IF(J1986="","",MATCH(J1986,Base!$P$5:$P$2004,0))</f>
        <v/>
      </c>
    </row>
    <row r="1987" customFormat="false" ht="15" hidden="false" customHeight="false" outlineLevel="0" collapsed="false">
      <c r="A1987" s="67" t="str">
        <f aca="false">IF($K1987="","",ROW()-5)</f>
        <v/>
      </c>
      <c r="B1987" s="68" t="str">
        <f aca="false">IF($K1987="","",INDEX(Base!$E$5:$E$2004,$K1987))</f>
        <v/>
      </c>
      <c r="C1987" s="69" t="str">
        <f aca="false">IF($K1987="","",B1987)</f>
        <v/>
      </c>
      <c r="D1987" s="70" t="str">
        <f aca="false">IF($K1987="","",INDEX(Base!$F$5:$F$2004,$K1987))</f>
        <v/>
      </c>
      <c r="E1987" s="70" t="str">
        <f aca="false">IF($K1987="","",INDEX(Base!$G$5:$G$2004,$K1987))</f>
        <v/>
      </c>
      <c r="F1987" s="71" t="str">
        <f aca="false">IF($K1987="","",INDEX(Base!$H$5:$H$2004,$K1987))</f>
        <v/>
      </c>
      <c r="G1987" s="71" t="str">
        <f aca="false">IF($K1987="","",INDEX(Base!$I$5:$I$2004,$K1987))</f>
        <v/>
      </c>
      <c r="H1987" s="70" t="str">
        <f aca="false">IF($K1987="","",INDEX(Base!$J$5:$J$2004,$K1987))</f>
        <v/>
      </c>
      <c r="I1987" s="71" t="str">
        <f aca="false">IF($K1987="","",INDEX(Base!$L$5:$L$2004,$K1987))</f>
        <v/>
      </c>
      <c r="J1987" s="72" t="str">
        <f aca="false">IFERROR(SMALL(Base!$P$5:$P$2004,ROW()-5),"")</f>
        <v/>
      </c>
      <c r="K1987" s="72" t="str">
        <f aca="false">IF(J1987="","",MATCH(J1987,Base!$P$5:$P$2004,0))</f>
        <v/>
      </c>
    </row>
    <row r="1988" customFormat="false" ht="15" hidden="false" customHeight="false" outlineLevel="0" collapsed="false">
      <c r="A1988" s="67" t="str">
        <f aca="false">IF($K1988="","",ROW()-5)</f>
        <v/>
      </c>
      <c r="B1988" s="68" t="str">
        <f aca="false">IF($K1988="","",INDEX(Base!$E$5:$E$2004,$K1988))</f>
        <v/>
      </c>
      <c r="C1988" s="69" t="str">
        <f aca="false">IF($K1988="","",B1988)</f>
        <v/>
      </c>
      <c r="D1988" s="70" t="str">
        <f aca="false">IF($K1988="","",INDEX(Base!$F$5:$F$2004,$K1988))</f>
        <v/>
      </c>
      <c r="E1988" s="70" t="str">
        <f aca="false">IF($K1988="","",INDEX(Base!$G$5:$G$2004,$K1988))</f>
        <v/>
      </c>
      <c r="F1988" s="71" t="str">
        <f aca="false">IF($K1988="","",INDEX(Base!$H$5:$H$2004,$K1988))</f>
        <v/>
      </c>
      <c r="G1988" s="71" t="str">
        <f aca="false">IF($K1988="","",INDEX(Base!$I$5:$I$2004,$K1988))</f>
        <v/>
      </c>
      <c r="H1988" s="70" t="str">
        <f aca="false">IF($K1988="","",INDEX(Base!$J$5:$J$2004,$K1988))</f>
        <v/>
      </c>
      <c r="I1988" s="71" t="str">
        <f aca="false">IF($K1988="","",INDEX(Base!$L$5:$L$2004,$K1988))</f>
        <v/>
      </c>
      <c r="J1988" s="72" t="str">
        <f aca="false">IFERROR(SMALL(Base!$P$5:$P$2004,ROW()-5),"")</f>
        <v/>
      </c>
      <c r="K1988" s="72" t="str">
        <f aca="false">IF(J1988="","",MATCH(J1988,Base!$P$5:$P$2004,0))</f>
        <v/>
      </c>
    </row>
    <row r="1989" customFormat="false" ht="15" hidden="false" customHeight="false" outlineLevel="0" collapsed="false">
      <c r="A1989" s="67" t="str">
        <f aca="false">IF($K1989="","",ROW()-5)</f>
        <v/>
      </c>
      <c r="B1989" s="68" t="str">
        <f aca="false">IF($K1989="","",INDEX(Base!$E$5:$E$2004,$K1989))</f>
        <v/>
      </c>
      <c r="C1989" s="69" t="str">
        <f aca="false">IF($K1989="","",B1989)</f>
        <v/>
      </c>
      <c r="D1989" s="70" t="str">
        <f aca="false">IF($K1989="","",INDEX(Base!$F$5:$F$2004,$K1989))</f>
        <v/>
      </c>
      <c r="E1989" s="70" t="str">
        <f aca="false">IF($K1989="","",INDEX(Base!$G$5:$G$2004,$K1989))</f>
        <v/>
      </c>
      <c r="F1989" s="71" t="str">
        <f aca="false">IF($K1989="","",INDEX(Base!$H$5:$H$2004,$K1989))</f>
        <v/>
      </c>
      <c r="G1989" s="71" t="str">
        <f aca="false">IF($K1989="","",INDEX(Base!$I$5:$I$2004,$K1989))</f>
        <v/>
      </c>
      <c r="H1989" s="70" t="str">
        <f aca="false">IF($K1989="","",INDEX(Base!$J$5:$J$2004,$K1989))</f>
        <v/>
      </c>
      <c r="I1989" s="71" t="str">
        <f aca="false">IF($K1989="","",INDEX(Base!$L$5:$L$2004,$K1989))</f>
        <v/>
      </c>
      <c r="J1989" s="72" t="str">
        <f aca="false">IFERROR(SMALL(Base!$P$5:$P$2004,ROW()-5),"")</f>
        <v/>
      </c>
      <c r="K1989" s="72" t="str">
        <f aca="false">IF(J1989="","",MATCH(J1989,Base!$P$5:$P$2004,0))</f>
        <v/>
      </c>
    </row>
    <row r="1990" customFormat="false" ht="15" hidden="false" customHeight="false" outlineLevel="0" collapsed="false">
      <c r="A1990" s="67" t="str">
        <f aca="false">IF($K1990="","",ROW()-5)</f>
        <v/>
      </c>
      <c r="B1990" s="68" t="str">
        <f aca="false">IF($K1990="","",INDEX(Base!$E$5:$E$2004,$K1990))</f>
        <v/>
      </c>
      <c r="C1990" s="69" t="str">
        <f aca="false">IF($K1990="","",B1990)</f>
        <v/>
      </c>
      <c r="D1990" s="70" t="str">
        <f aca="false">IF($K1990="","",INDEX(Base!$F$5:$F$2004,$K1990))</f>
        <v/>
      </c>
      <c r="E1990" s="70" t="str">
        <f aca="false">IF($K1990="","",INDEX(Base!$G$5:$G$2004,$K1990))</f>
        <v/>
      </c>
      <c r="F1990" s="71" t="str">
        <f aca="false">IF($K1990="","",INDEX(Base!$H$5:$H$2004,$K1990))</f>
        <v/>
      </c>
      <c r="G1990" s="71" t="str">
        <f aca="false">IF($K1990="","",INDEX(Base!$I$5:$I$2004,$K1990))</f>
        <v/>
      </c>
      <c r="H1990" s="70" t="str">
        <f aca="false">IF($K1990="","",INDEX(Base!$J$5:$J$2004,$K1990))</f>
        <v/>
      </c>
      <c r="I1990" s="71" t="str">
        <f aca="false">IF($K1990="","",INDEX(Base!$L$5:$L$2004,$K1990))</f>
        <v/>
      </c>
      <c r="J1990" s="72" t="str">
        <f aca="false">IFERROR(SMALL(Base!$P$5:$P$2004,ROW()-5),"")</f>
        <v/>
      </c>
      <c r="K1990" s="72" t="str">
        <f aca="false">IF(J1990="","",MATCH(J1990,Base!$P$5:$P$2004,0))</f>
        <v/>
      </c>
    </row>
    <row r="1991" customFormat="false" ht="15" hidden="false" customHeight="false" outlineLevel="0" collapsed="false">
      <c r="A1991" s="67" t="str">
        <f aca="false">IF($K1991="","",ROW()-5)</f>
        <v/>
      </c>
      <c r="B1991" s="68" t="str">
        <f aca="false">IF($K1991="","",INDEX(Base!$E$5:$E$2004,$K1991))</f>
        <v/>
      </c>
      <c r="C1991" s="69" t="str">
        <f aca="false">IF($K1991="","",B1991)</f>
        <v/>
      </c>
      <c r="D1991" s="70" t="str">
        <f aca="false">IF($K1991="","",INDEX(Base!$F$5:$F$2004,$K1991))</f>
        <v/>
      </c>
      <c r="E1991" s="70" t="str">
        <f aca="false">IF($K1991="","",INDEX(Base!$G$5:$G$2004,$K1991))</f>
        <v/>
      </c>
      <c r="F1991" s="71" t="str">
        <f aca="false">IF($K1991="","",INDEX(Base!$H$5:$H$2004,$K1991))</f>
        <v/>
      </c>
      <c r="G1991" s="71" t="str">
        <f aca="false">IF($K1991="","",INDEX(Base!$I$5:$I$2004,$K1991))</f>
        <v/>
      </c>
      <c r="H1991" s="70" t="str">
        <f aca="false">IF($K1991="","",INDEX(Base!$J$5:$J$2004,$K1991))</f>
        <v/>
      </c>
      <c r="I1991" s="71" t="str">
        <f aca="false">IF($K1991="","",INDEX(Base!$L$5:$L$2004,$K1991))</f>
        <v/>
      </c>
      <c r="J1991" s="72" t="str">
        <f aca="false">IFERROR(SMALL(Base!$P$5:$P$2004,ROW()-5),"")</f>
        <v/>
      </c>
      <c r="K1991" s="72" t="str">
        <f aca="false">IF(J1991="","",MATCH(J1991,Base!$P$5:$P$2004,0))</f>
        <v/>
      </c>
    </row>
    <row r="1992" customFormat="false" ht="15" hidden="false" customHeight="false" outlineLevel="0" collapsed="false">
      <c r="A1992" s="67" t="str">
        <f aca="false">IF($K1992="","",ROW()-5)</f>
        <v/>
      </c>
      <c r="B1992" s="68" t="str">
        <f aca="false">IF($K1992="","",INDEX(Base!$E$5:$E$2004,$K1992))</f>
        <v/>
      </c>
      <c r="C1992" s="69" t="str">
        <f aca="false">IF($K1992="","",B1992)</f>
        <v/>
      </c>
      <c r="D1992" s="70" t="str">
        <f aca="false">IF($K1992="","",INDEX(Base!$F$5:$F$2004,$K1992))</f>
        <v/>
      </c>
      <c r="E1992" s="70" t="str">
        <f aca="false">IF($K1992="","",INDEX(Base!$G$5:$G$2004,$K1992))</f>
        <v/>
      </c>
      <c r="F1992" s="71" t="str">
        <f aca="false">IF($K1992="","",INDEX(Base!$H$5:$H$2004,$K1992))</f>
        <v/>
      </c>
      <c r="G1992" s="71" t="str">
        <f aca="false">IF($K1992="","",INDEX(Base!$I$5:$I$2004,$K1992))</f>
        <v/>
      </c>
      <c r="H1992" s="70" t="str">
        <f aca="false">IF($K1992="","",INDEX(Base!$J$5:$J$2004,$K1992))</f>
        <v/>
      </c>
      <c r="I1992" s="71" t="str">
        <f aca="false">IF($K1992="","",INDEX(Base!$L$5:$L$2004,$K1992))</f>
        <v/>
      </c>
      <c r="J1992" s="72" t="str">
        <f aca="false">IFERROR(SMALL(Base!$P$5:$P$2004,ROW()-5),"")</f>
        <v/>
      </c>
      <c r="K1992" s="72" t="str">
        <f aca="false">IF(J1992="","",MATCH(J1992,Base!$P$5:$P$2004,0))</f>
        <v/>
      </c>
    </row>
    <row r="1993" customFormat="false" ht="15" hidden="false" customHeight="false" outlineLevel="0" collapsed="false">
      <c r="A1993" s="67" t="str">
        <f aca="false">IF($K1993="","",ROW()-5)</f>
        <v/>
      </c>
      <c r="B1993" s="68" t="str">
        <f aca="false">IF($K1993="","",INDEX(Base!$E$5:$E$2004,$K1993))</f>
        <v/>
      </c>
      <c r="C1993" s="69" t="str">
        <f aca="false">IF($K1993="","",B1993)</f>
        <v/>
      </c>
      <c r="D1993" s="70" t="str">
        <f aca="false">IF($K1993="","",INDEX(Base!$F$5:$F$2004,$K1993))</f>
        <v/>
      </c>
      <c r="E1993" s="70" t="str">
        <f aca="false">IF($K1993="","",INDEX(Base!$G$5:$G$2004,$K1993))</f>
        <v/>
      </c>
      <c r="F1993" s="71" t="str">
        <f aca="false">IF($K1993="","",INDEX(Base!$H$5:$H$2004,$K1993))</f>
        <v/>
      </c>
      <c r="G1993" s="71" t="str">
        <f aca="false">IF($K1993="","",INDEX(Base!$I$5:$I$2004,$K1993))</f>
        <v/>
      </c>
      <c r="H1993" s="70" t="str">
        <f aca="false">IF($K1993="","",INDEX(Base!$J$5:$J$2004,$K1993))</f>
        <v/>
      </c>
      <c r="I1993" s="71" t="str">
        <f aca="false">IF($K1993="","",INDEX(Base!$L$5:$L$2004,$K1993))</f>
        <v/>
      </c>
      <c r="J1993" s="72" t="str">
        <f aca="false">IFERROR(SMALL(Base!$P$5:$P$2004,ROW()-5),"")</f>
        <v/>
      </c>
      <c r="K1993" s="72" t="str">
        <f aca="false">IF(J1993="","",MATCH(J1993,Base!$P$5:$P$2004,0))</f>
        <v/>
      </c>
    </row>
    <row r="1994" customFormat="false" ht="15" hidden="false" customHeight="false" outlineLevel="0" collapsed="false">
      <c r="A1994" s="67" t="str">
        <f aca="false">IF($K1994="","",ROW()-5)</f>
        <v/>
      </c>
      <c r="B1994" s="68" t="str">
        <f aca="false">IF($K1994="","",INDEX(Base!$E$5:$E$2004,$K1994))</f>
        <v/>
      </c>
      <c r="C1994" s="69" t="str">
        <f aca="false">IF($K1994="","",B1994)</f>
        <v/>
      </c>
      <c r="D1994" s="70" t="str">
        <f aca="false">IF($K1994="","",INDEX(Base!$F$5:$F$2004,$K1994))</f>
        <v/>
      </c>
      <c r="E1994" s="70" t="str">
        <f aca="false">IF($K1994="","",INDEX(Base!$G$5:$G$2004,$K1994))</f>
        <v/>
      </c>
      <c r="F1994" s="71" t="str">
        <f aca="false">IF($K1994="","",INDEX(Base!$H$5:$H$2004,$K1994))</f>
        <v/>
      </c>
      <c r="G1994" s="71" t="str">
        <f aca="false">IF($K1994="","",INDEX(Base!$I$5:$I$2004,$K1994))</f>
        <v/>
      </c>
      <c r="H1994" s="70" t="str">
        <f aca="false">IF($K1994="","",INDEX(Base!$J$5:$J$2004,$K1994))</f>
        <v/>
      </c>
      <c r="I1994" s="71" t="str">
        <f aca="false">IF($K1994="","",INDEX(Base!$L$5:$L$2004,$K1994))</f>
        <v/>
      </c>
      <c r="J1994" s="72" t="str">
        <f aca="false">IFERROR(SMALL(Base!$P$5:$P$2004,ROW()-5),"")</f>
        <v/>
      </c>
      <c r="K1994" s="72" t="str">
        <f aca="false">IF(J1994="","",MATCH(J1994,Base!$P$5:$P$2004,0))</f>
        <v/>
      </c>
    </row>
    <row r="1995" customFormat="false" ht="15" hidden="false" customHeight="false" outlineLevel="0" collapsed="false">
      <c r="A1995" s="67" t="str">
        <f aca="false">IF($K1995="","",ROW()-5)</f>
        <v/>
      </c>
      <c r="B1995" s="68" t="str">
        <f aca="false">IF($K1995="","",INDEX(Base!$E$5:$E$2004,$K1995))</f>
        <v/>
      </c>
      <c r="C1995" s="69" t="str">
        <f aca="false">IF($K1995="","",B1995)</f>
        <v/>
      </c>
      <c r="D1995" s="70" t="str">
        <f aca="false">IF($K1995="","",INDEX(Base!$F$5:$F$2004,$K1995))</f>
        <v/>
      </c>
      <c r="E1995" s="70" t="str">
        <f aca="false">IF($K1995="","",INDEX(Base!$G$5:$G$2004,$K1995))</f>
        <v/>
      </c>
      <c r="F1995" s="71" t="str">
        <f aca="false">IF($K1995="","",INDEX(Base!$H$5:$H$2004,$K1995))</f>
        <v/>
      </c>
      <c r="G1995" s="71" t="str">
        <f aca="false">IF($K1995="","",INDEX(Base!$I$5:$I$2004,$K1995))</f>
        <v/>
      </c>
      <c r="H1995" s="70" t="str">
        <f aca="false">IF($K1995="","",INDEX(Base!$J$5:$J$2004,$K1995))</f>
        <v/>
      </c>
      <c r="I1995" s="71" t="str">
        <f aca="false">IF($K1995="","",INDEX(Base!$L$5:$L$2004,$K1995))</f>
        <v/>
      </c>
      <c r="J1995" s="72" t="str">
        <f aca="false">IFERROR(SMALL(Base!$P$5:$P$2004,ROW()-5),"")</f>
        <v/>
      </c>
      <c r="K1995" s="72" t="str">
        <f aca="false">IF(J1995="","",MATCH(J1995,Base!$P$5:$P$2004,0))</f>
        <v/>
      </c>
    </row>
    <row r="1996" customFormat="false" ht="15" hidden="false" customHeight="false" outlineLevel="0" collapsed="false">
      <c r="A1996" s="67" t="str">
        <f aca="false">IF($K1996="","",ROW()-5)</f>
        <v/>
      </c>
      <c r="B1996" s="68" t="str">
        <f aca="false">IF($K1996="","",INDEX(Base!$E$5:$E$2004,$K1996))</f>
        <v/>
      </c>
      <c r="C1996" s="69" t="str">
        <f aca="false">IF($K1996="","",B1996)</f>
        <v/>
      </c>
      <c r="D1996" s="70" t="str">
        <f aca="false">IF($K1996="","",INDEX(Base!$F$5:$F$2004,$K1996))</f>
        <v/>
      </c>
      <c r="E1996" s="70" t="str">
        <f aca="false">IF($K1996="","",INDEX(Base!$G$5:$G$2004,$K1996))</f>
        <v/>
      </c>
      <c r="F1996" s="71" t="str">
        <f aca="false">IF($K1996="","",INDEX(Base!$H$5:$H$2004,$K1996))</f>
        <v/>
      </c>
      <c r="G1996" s="71" t="str">
        <f aca="false">IF($K1996="","",INDEX(Base!$I$5:$I$2004,$K1996))</f>
        <v/>
      </c>
      <c r="H1996" s="70" t="str">
        <f aca="false">IF($K1996="","",INDEX(Base!$J$5:$J$2004,$K1996))</f>
        <v/>
      </c>
      <c r="I1996" s="71" t="str">
        <f aca="false">IF($K1996="","",INDEX(Base!$L$5:$L$2004,$K1996))</f>
        <v/>
      </c>
      <c r="J1996" s="72" t="str">
        <f aca="false">IFERROR(SMALL(Base!$P$5:$P$2004,ROW()-5),"")</f>
        <v/>
      </c>
      <c r="K1996" s="72" t="str">
        <f aca="false">IF(J1996="","",MATCH(J1996,Base!$P$5:$P$2004,0))</f>
        <v/>
      </c>
    </row>
    <row r="1997" customFormat="false" ht="15" hidden="false" customHeight="false" outlineLevel="0" collapsed="false">
      <c r="A1997" s="67" t="str">
        <f aca="false">IF($K1997="","",ROW()-5)</f>
        <v/>
      </c>
      <c r="B1997" s="68" t="str">
        <f aca="false">IF($K1997="","",INDEX(Base!$E$5:$E$2004,$K1997))</f>
        <v/>
      </c>
      <c r="C1997" s="69" t="str">
        <f aca="false">IF($K1997="","",B1997)</f>
        <v/>
      </c>
      <c r="D1997" s="70" t="str">
        <f aca="false">IF($K1997="","",INDEX(Base!$F$5:$F$2004,$K1997))</f>
        <v/>
      </c>
      <c r="E1997" s="70" t="str">
        <f aca="false">IF($K1997="","",INDEX(Base!$G$5:$G$2004,$K1997))</f>
        <v/>
      </c>
      <c r="F1997" s="71" t="str">
        <f aca="false">IF($K1997="","",INDEX(Base!$H$5:$H$2004,$K1997))</f>
        <v/>
      </c>
      <c r="G1997" s="71" t="str">
        <f aca="false">IF($K1997="","",INDEX(Base!$I$5:$I$2004,$K1997))</f>
        <v/>
      </c>
      <c r="H1997" s="70" t="str">
        <f aca="false">IF($K1997="","",INDEX(Base!$J$5:$J$2004,$K1997))</f>
        <v/>
      </c>
      <c r="I1997" s="71" t="str">
        <f aca="false">IF($K1997="","",INDEX(Base!$L$5:$L$2004,$K1997))</f>
        <v/>
      </c>
      <c r="J1997" s="72" t="str">
        <f aca="false">IFERROR(SMALL(Base!$P$5:$P$2004,ROW()-5),"")</f>
        <v/>
      </c>
      <c r="K1997" s="72" t="str">
        <f aca="false">IF(J1997="","",MATCH(J1997,Base!$P$5:$P$2004,0))</f>
        <v/>
      </c>
    </row>
    <row r="1998" customFormat="false" ht="15" hidden="false" customHeight="false" outlineLevel="0" collapsed="false">
      <c r="A1998" s="67" t="str">
        <f aca="false">IF($K1998="","",ROW()-5)</f>
        <v/>
      </c>
      <c r="B1998" s="68" t="str">
        <f aca="false">IF($K1998="","",INDEX(Base!$E$5:$E$2004,$K1998))</f>
        <v/>
      </c>
      <c r="C1998" s="69" t="str">
        <f aca="false">IF($K1998="","",B1998)</f>
        <v/>
      </c>
      <c r="D1998" s="70" t="str">
        <f aca="false">IF($K1998="","",INDEX(Base!$F$5:$F$2004,$K1998))</f>
        <v/>
      </c>
      <c r="E1998" s="70" t="str">
        <f aca="false">IF($K1998="","",INDEX(Base!$G$5:$G$2004,$K1998))</f>
        <v/>
      </c>
      <c r="F1998" s="71" t="str">
        <f aca="false">IF($K1998="","",INDEX(Base!$H$5:$H$2004,$K1998))</f>
        <v/>
      </c>
      <c r="G1998" s="71" t="str">
        <f aca="false">IF($K1998="","",INDEX(Base!$I$5:$I$2004,$K1998))</f>
        <v/>
      </c>
      <c r="H1998" s="70" t="str">
        <f aca="false">IF($K1998="","",INDEX(Base!$J$5:$J$2004,$K1998))</f>
        <v/>
      </c>
      <c r="I1998" s="71" t="str">
        <f aca="false">IF($K1998="","",INDEX(Base!$L$5:$L$2004,$K1998))</f>
        <v/>
      </c>
      <c r="J1998" s="72" t="str">
        <f aca="false">IFERROR(SMALL(Base!$P$5:$P$2004,ROW()-5),"")</f>
        <v/>
      </c>
      <c r="K1998" s="72" t="str">
        <f aca="false">IF(J1998="","",MATCH(J1998,Base!$P$5:$P$2004,0))</f>
        <v/>
      </c>
    </row>
    <row r="1999" customFormat="false" ht="15" hidden="false" customHeight="false" outlineLevel="0" collapsed="false">
      <c r="A1999" s="67" t="str">
        <f aca="false">IF($K1999="","",ROW()-5)</f>
        <v/>
      </c>
      <c r="B1999" s="68" t="str">
        <f aca="false">IF($K1999="","",INDEX(Base!$E$5:$E$2004,$K1999))</f>
        <v/>
      </c>
      <c r="C1999" s="69" t="str">
        <f aca="false">IF($K1999="","",B1999)</f>
        <v/>
      </c>
      <c r="D1999" s="70" t="str">
        <f aca="false">IF($K1999="","",INDEX(Base!$F$5:$F$2004,$K1999))</f>
        <v/>
      </c>
      <c r="E1999" s="70" t="str">
        <f aca="false">IF($K1999="","",INDEX(Base!$G$5:$G$2004,$K1999))</f>
        <v/>
      </c>
      <c r="F1999" s="71" t="str">
        <f aca="false">IF($K1999="","",INDEX(Base!$H$5:$H$2004,$K1999))</f>
        <v/>
      </c>
      <c r="G1999" s="71" t="str">
        <f aca="false">IF($K1999="","",INDEX(Base!$I$5:$I$2004,$K1999))</f>
        <v/>
      </c>
      <c r="H1999" s="70" t="str">
        <f aca="false">IF($K1999="","",INDEX(Base!$J$5:$J$2004,$K1999))</f>
        <v/>
      </c>
      <c r="I1999" s="71" t="str">
        <f aca="false">IF($K1999="","",INDEX(Base!$L$5:$L$2004,$K1999))</f>
        <v/>
      </c>
      <c r="J1999" s="72" t="str">
        <f aca="false">IFERROR(SMALL(Base!$P$5:$P$2004,ROW()-5),"")</f>
        <v/>
      </c>
      <c r="K1999" s="72" t="str">
        <f aca="false">IF(J1999="","",MATCH(J1999,Base!$P$5:$P$2004,0))</f>
        <v/>
      </c>
    </row>
    <row r="2000" customFormat="false" ht="15" hidden="false" customHeight="false" outlineLevel="0" collapsed="false">
      <c r="A2000" s="67" t="str">
        <f aca="false">IF($K2000="","",ROW()-5)</f>
        <v/>
      </c>
      <c r="B2000" s="68" t="str">
        <f aca="false">IF($K2000="","",INDEX(Base!$E$5:$E$2004,$K2000))</f>
        <v/>
      </c>
      <c r="C2000" s="69" t="str">
        <f aca="false">IF($K2000="","",B2000)</f>
        <v/>
      </c>
      <c r="D2000" s="70" t="str">
        <f aca="false">IF($K2000="","",INDEX(Base!$F$5:$F$2004,$K2000))</f>
        <v/>
      </c>
      <c r="E2000" s="70" t="str">
        <f aca="false">IF($K2000="","",INDEX(Base!$G$5:$G$2004,$K2000))</f>
        <v/>
      </c>
      <c r="F2000" s="71" t="str">
        <f aca="false">IF($K2000="","",INDEX(Base!$H$5:$H$2004,$K2000))</f>
        <v/>
      </c>
      <c r="G2000" s="71" t="str">
        <f aca="false">IF($K2000="","",INDEX(Base!$I$5:$I$2004,$K2000))</f>
        <v/>
      </c>
      <c r="H2000" s="70" t="str">
        <f aca="false">IF($K2000="","",INDEX(Base!$J$5:$J$2004,$K2000))</f>
        <v/>
      </c>
      <c r="I2000" s="71" t="str">
        <f aca="false">IF($K2000="","",INDEX(Base!$L$5:$L$2004,$K2000))</f>
        <v/>
      </c>
      <c r="J2000" s="72" t="str">
        <f aca="false">IFERROR(SMALL(Base!$P$5:$P$2004,ROW()-5),"")</f>
        <v/>
      </c>
      <c r="K2000" s="72" t="str">
        <f aca="false">IF(J2000="","",MATCH(J2000,Base!$P$5:$P$2004,0))</f>
        <v/>
      </c>
    </row>
    <row r="2001" customFormat="false" ht="15" hidden="false" customHeight="false" outlineLevel="0" collapsed="false">
      <c r="A2001" s="67" t="str">
        <f aca="false">IF($K2001="","",ROW()-5)</f>
        <v/>
      </c>
      <c r="B2001" s="68" t="str">
        <f aca="false">IF($K2001="","",INDEX(Base!$E$5:$E$2004,$K2001))</f>
        <v/>
      </c>
      <c r="C2001" s="69" t="str">
        <f aca="false">IF($K2001="","",B2001)</f>
        <v/>
      </c>
      <c r="D2001" s="70" t="str">
        <f aca="false">IF($K2001="","",INDEX(Base!$F$5:$F$2004,$K2001))</f>
        <v/>
      </c>
      <c r="E2001" s="70" t="str">
        <f aca="false">IF($K2001="","",INDEX(Base!$G$5:$G$2004,$K2001))</f>
        <v/>
      </c>
      <c r="F2001" s="71" t="str">
        <f aca="false">IF($K2001="","",INDEX(Base!$H$5:$H$2004,$K2001))</f>
        <v/>
      </c>
      <c r="G2001" s="71" t="str">
        <f aca="false">IF($K2001="","",INDEX(Base!$I$5:$I$2004,$K2001))</f>
        <v/>
      </c>
      <c r="H2001" s="70" t="str">
        <f aca="false">IF($K2001="","",INDEX(Base!$J$5:$J$2004,$K2001))</f>
        <v/>
      </c>
      <c r="I2001" s="71" t="str">
        <f aca="false">IF($K2001="","",INDEX(Base!$L$5:$L$2004,$K2001))</f>
        <v/>
      </c>
      <c r="J2001" s="72" t="str">
        <f aca="false">IFERROR(SMALL(Base!$P$5:$P$2004,ROW()-5),"")</f>
        <v/>
      </c>
      <c r="K2001" s="72" t="str">
        <f aca="false">IF(J2001="","",MATCH(J2001,Base!$P$5:$P$2004,0))</f>
        <v/>
      </c>
    </row>
    <row r="2002" customFormat="false" ht="15" hidden="false" customHeight="false" outlineLevel="0" collapsed="false">
      <c r="A2002" s="67" t="str">
        <f aca="false">IF($K2002="","",ROW()-5)</f>
        <v/>
      </c>
      <c r="B2002" s="68" t="str">
        <f aca="false">IF($K2002="","",INDEX(Base!$E$5:$E$2004,$K2002))</f>
        <v/>
      </c>
      <c r="C2002" s="69" t="str">
        <f aca="false">IF($K2002="","",B2002)</f>
        <v/>
      </c>
      <c r="D2002" s="70" t="str">
        <f aca="false">IF($K2002="","",INDEX(Base!$F$5:$F$2004,$K2002))</f>
        <v/>
      </c>
      <c r="E2002" s="70" t="str">
        <f aca="false">IF($K2002="","",INDEX(Base!$G$5:$G$2004,$K2002))</f>
        <v/>
      </c>
      <c r="F2002" s="71" t="str">
        <f aca="false">IF($K2002="","",INDEX(Base!$H$5:$H$2004,$K2002))</f>
        <v/>
      </c>
      <c r="G2002" s="71" t="str">
        <f aca="false">IF($K2002="","",INDEX(Base!$I$5:$I$2004,$K2002))</f>
        <v/>
      </c>
      <c r="H2002" s="70" t="str">
        <f aca="false">IF($K2002="","",INDEX(Base!$J$5:$J$2004,$K2002))</f>
        <v/>
      </c>
      <c r="I2002" s="71" t="str">
        <f aca="false">IF($K2002="","",INDEX(Base!$L$5:$L$2004,$K2002))</f>
        <v/>
      </c>
      <c r="J2002" s="72" t="str">
        <f aca="false">IFERROR(SMALL(Base!$P$5:$P$2004,ROW()-5),"")</f>
        <v/>
      </c>
      <c r="K2002" s="72" t="str">
        <f aca="false">IF(J2002="","",MATCH(J2002,Base!$P$5:$P$2004,0))</f>
        <v/>
      </c>
    </row>
    <row r="2003" customFormat="false" ht="15" hidden="false" customHeight="false" outlineLevel="0" collapsed="false">
      <c r="A2003" s="67" t="str">
        <f aca="false">IF($K2003="","",ROW()-5)</f>
        <v/>
      </c>
      <c r="B2003" s="68" t="str">
        <f aca="false">IF($K2003="","",INDEX(Base!$E$5:$E$2004,$K2003))</f>
        <v/>
      </c>
      <c r="C2003" s="69" t="str">
        <f aca="false">IF($K2003="","",B2003)</f>
        <v/>
      </c>
      <c r="D2003" s="70" t="str">
        <f aca="false">IF($K2003="","",INDEX(Base!$F$5:$F$2004,$K2003))</f>
        <v/>
      </c>
      <c r="E2003" s="70" t="str">
        <f aca="false">IF($K2003="","",INDEX(Base!$G$5:$G$2004,$K2003))</f>
        <v/>
      </c>
      <c r="F2003" s="71" t="str">
        <f aca="false">IF($K2003="","",INDEX(Base!$H$5:$H$2004,$K2003))</f>
        <v/>
      </c>
      <c r="G2003" s="71" t="str">
        <f aca="false">IF($K2003="","",INDEX(Base!$I$5:$I$2004,$K2003))</f>
        <v/>
      </c>
      <c r="H2003" s="70" t="str">
        <f aca="false">IF($K2003="","",INDEX(Base!$J$5:$J$2004,$K2003))</f>
        <v/>
      </c>
      <c r="I2003" s="71" t="str">
        <f aca="false">IF($K2003="","",INDEX(Base!$L$5:$L$2004,$K2003))</f>
        <v/>
      </c>
      <c r="J2003" s="72" t="str">
        <f aca="false">IFERROR(SMALL(Base!$P$5:$P$2004,ROW()-5),"")</f>
        <v/>
      </c>
      <c r="K2003" s="72" t="str">
        <f aca="false">IF(J2003="","",MATCH(J2003,Base!$P$5:$P$2004,0))</f>
        <v/>
      </c>
    </row>
    <row r="2004" customFormat="false" ht="15" hidden="false" customHeight="false" outlineLevel="0" collapsed="false">
      <c r="A2004" s="67" t="str">
        <f aca="false">IF($K2004="","",ROW()-5)</f>
        <v/>
      </c>
      <c r="B2004" s="68" t="str">
        <f aca="false">IF($K2004="","",INDEX(Base!$E$5:$E$2004,$K2004))</f>
        <v/>
      </c>
      <c r="C2004" s="69" t="str">
        <f aca="false">IF($K2004="","",B2004)</f>
        <v/>
      </c>
      <c r="D2004" s="70" t="str">
        <f aca="false">IF($K2004="","",INDEX(Base!$F$5:$F$2004,$K2004))</f>
        <v/>
      </c>
      <c r="E2004" s="70" t="str">
        <f aca="false">IF($K2004="","",INDEX(Base!$G$5:$G$2004,$K2004))</f>
        <v/>
      </c>
      <c r="F2004" s="71" t="str">
        <f aca="false">IF($K2004="","",INDEX(Base!$H$5:$H$2004,$K2004))</f>
        <v/>
      </c>
      <c r="G2004" s="71" t="str">
        <f aca="false">IF($K2004="","",INDEX(Base!$I$5:$I$2004,$K2004))</f>
        <v/>
      </c>
      <c r="H2004" s="70" t="str">
        <f aca="false">IF($K2004="","",INDEX(Base!$J$5:$J$2004,$K2004))</f>
        <v/>
      </c>
      <c r="I2004" s="71" t="str">
        <f aca="false">IF($K2004="","",INDEX(Base!$L$5:$L$2004,$K2004))</f>
        <v/>
      </c>
      <c r="J2004" s="72" t="str">
        <f aca="false">IFERROR(SMALL(Base!$P$5:$P$2004,ROW()-5),"")</f>
        <v/>
      </c>
      <c r="K2004" s="72" t="str">
        <f aca="false">IF(J2004="","",MATCH(J2004,Base!$P$5:$P$2004,0))</f>
        <v/>
      </c>
    </row>
    <row r="2005" customFormat="false" ht="15" hidden="false" customHeight="false" outlineLevel="0" collapsed="false">
      <c r="A2005" s="67" t="str">
        <f aca="false">IF($K2005="","",ROW()-5)</f>
        <v/>
      </c>
      <c r="B2005" s="68" t="str">
        <f aca="false">IF($K2005="","",INDEX(Base!$E$5:$E$2004,$K2005))</f>
        <v/>
      </c>
      <c r="C2005" s="69" t="str">
        <f aca="false">IF($K2005="","",B2005)</f>
        <v/>
      </c>
      <c r="D2005" s="70" t="str">
        <f aca="false">IF($K2005="","",INDEX(Base!$F$5:$F$2004,$K2005))</f>
        <v/>
      </c>
      <c r="E2005" s="70" t="str">
        <f aca="false">IF($K2005="","",INDEX(Base!$G$5:$G$2004,$K2005))</f>
        <v/>
      </c>
      <c r="F2005" s="71" t="str">
        <f aca="false">IF($K2005="","",INDEX(Base!$H$5:$H$2004,$K2005))</f>
        <v/>
      </c>
      <c r="G2005" s="71" t="str">
        <f aca="false">IF($K2005="","",INDEX(Base!$I$5:$I$2004,$K2005))</f>
        <v/>
      </c>
      <c r="H2005" s="70" t="str">
        <f aca="false">IF($K2005="","",INDEX(Base!$J$5:$J$2004,$K2005))</f>
        <v/>
      </c>
      <c r="I2005" s="71" t="str">
        <f aca="false">IF($K2005="","",INDEX(Base!$L$5:$L$2004,$K2005))</f>
        <v/>
      </c>
      <c r="J2005" s="72" t="str">
        <f aca="false">IFERROR(SMALL(Base!$P$5:$P$2004,ROW()-5),"")</f>
        <v/>
      </c>
      <c r="K2005" s="72" t="str">
        <f aca="false">IF(J2005="","",MATCH(J2005,Base!$P$5:$P$2004,0))</f>
        <v/>
      </c>
    </row>
  </sheetData>
  <autoFilter ref="A5:I2005"/>
  <conditionalFormatting sqref="G6:G2005">
    <cfRule type="expression" priority="2" aboveAverage="0" equalAverage="0" bottom="0" percent="0" rank="0" text="" dxfId="42">
      <formula>$G6="Teórica"</formula>
    </cfRule>
    <cfRule type="expression" priority="3" aboveAverage="0" equalAverage="0" bottom="0" percent="0" rank="0" text="" dxfId="43">
      <formula>$G6="Revisão"</formula>
    </cfRule>
    <cfRule type="expression" priority="4" aboveAverage="0" equalAverage="0" bottom="0" percent="0" rank="0" text="" dxfId="44">
      <formula>$G6="Prática"</formula>
    </cfRule>
    <cfRule type="expression" priority="5" aboveAverage="0" equalAverage="0" bottom="0" percent="0" rank="0" text="" dxfId="45">
      <formula>$G6="Simulado"</formula>
    </cfRule>
    <cfRule type="expression" priority="6" aboveAverage="0" equalAverage="0" bottom="0" percent="0" rank="0" text="" dxfId="46">
      <formula>$G6="Outro"</formula>
    </cfRule>
  </conditionalFormatting>
  <conditionalFormatting sqref="I6:I2005">
    <cfRule type="expression" priority="7" aboveAverage="0" equalAverage="0" bottom="0" percent="0" rank="0" text="" dxfId="12">
      <formula>I6="Atrasado"</formula>
    </cfRule>
    <cfRule type="expression" priority="8" aboveAverage="0" equalAverage="0" bottom="0" percent="0" rank="0" text="" dxfId="13">
      <formula>I6="Hoje"</formula>
    </cfRule>
    <cfRule type="expression" priority="9" aboveAverage="0" equalAverage="0" bottom="0" percent="0" rank="0" text="" dxfId="11">
      <formula>I6="Concluído"</formula>
    </cfRule>
  </conditionalFormatting>
  <conditionalFormatting sqref="D6:D2005">
    <cfRule type="expression" priority="10" aboveAverage="0" equalAverage="0" bottom="0" percent="0" rank="0" text="" dxfId="47">
      <formula>$I6="Concluído"</formula>
    </cfRule>
  </conditionalFormatting>
  <conditionalFormatting sqref="A6:I2005">
    <cfRule type="expression" priority="11" aboveAverage="0" equalAverage="0" bottom="0" percent="0" rank="0" text="" dxfId="32">
      <formula>$B6=TODAY()</formula>
    </cfRule>
  </conditionalFormatting>
  <hyperlinks>
    <hyperlink ref="D1" location="'Calendário'!A1" display="Mês"/>
    <hyperlink ref="E1" location="'Semana'!A1" display="Semana"/>
    <hyperlink ref="G1" location="'Tabela'!A1" display="Tabela"/>
    <hyperlink ref="H1" location="'Painel'!A1" display="Painel"/>
    <hyperlink ref="I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B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8" min="5" style="0" width="13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20"/>
    <col collapsed="false" customWidth="true" hidden="false" outlineLevel="0" max="14" min="13" style="0" width="13"/>
  </cols>
  <sheetData>
    <row r="1" customFormat="false" ht="15" hidden="false" customHeight="false" outlineLevel="0" collapsed="false">
      <c r="J1" s="64" t="s">
        <v>124</v>
      </c>
      <c r="K1" s="64" t="s">
        <v>45</v>
      </c>
      <c r="L1" s="64" t="s">
        <v>47</v>
      </c>
      <c r="M1" s="65" t="s">
        <v>49</v>
      </c>
      <c r="N1" s="66" t="s">
        <v>125</v>
      </c>
    </row>
    <row r="2" customFormat="false" ht="30" hidden="false" customHeight="true" outlineLevel="0" collapsed="false">
      <c r="B2" s="73" t="s">
        <v>49</v>
      </c>
    </row>
    <row r="3" customFormat="false" ht="15" hidden="false" customHeight="false" outlineLevel="0" collapsed="false">
      <c r="B3" s="74" t="s">
        <v>164</v>
      </c>
      <c r="C3" s="75" t="n">
        <f aca="true">TODAY()</f>
        <v>46303</v>
      </c>
    </row>
    <row r="5" customFormat="false" ht="15" hidden="false" customHeight="false" outlineLevel="0" collapsed="false">
      <c r="B5" s="76" t="s">
        <v>165</v>
      </c>
      <c r="C5" s="76" t="s">
        <v>166</v>
      </c>
      <c r="D5" s="76" t="s">
        <v>167</v>
      </c>
      <c r="E5" s="76" t="s">
        <v>168</v>
      </c>
      <c r="F5" s="76" t="s">
        <v>169</v>
      </c>
      <c r="G5" s="76" t="s">
        <v>170</v>
      </c>
      <c r="H5" s="76" t="s">
        <v>171</v>
      </c>
    </row>
    <row r="6" customFormat="false" ht="36" hidden="false" customHeight="true" outlineLevel="0" collapsed="false">
      <c r="B6" s="77" t="n">
        <f aca="false">COUNTIF(Temas!$B$6:$B$305,"?*")</f>
        <v>26</v>
      </c>
      <c r="C6" s="77" t="n">
        <f aca="false">COUNT(Base!$E$5:$E$2004)</f>
        <v>157</v>
      </c>
      <c r="D6" s="77" t="n">
        <f aca="false">COUNTIF(Base!$K$5:$K$2004,"✓")</f>
        <v>11</v>
      </c>
      <c r="E6" s="78" t="n">
        <f aca="false">IF(C6=0,0,D6/C6)</f>
        <v>0.0700636942675159</v>
      </c>
      <c r="F6" s="79" t="n">
        <f aca="false">COUNTIF(Base!$L$5:$L$2004,"Atrasado")</f>
        <v>13</v>
      </c>
      <c r="G6" s="77" t="n">
        <f aca="true">COUNTIF(Base!$E$5:$E$2004,TODAY())</f>
        <v>1</v>
      </c>
      <c r="H6" s="77" t="n">
        <f aca="true">COUNTIFS(Base!$E$5:$E$2004,"&gt;"&amp;TODAY(),Base!$E$5:$E$2004,"&lt;="&amp;TODAY()+7)</f>
        <v>20</v>
      </c>
    </row>
    <row r="8" customFormat="false" ht="15" hidden="false" customHeight="false" outlineLevel="0" collapsed="false">
      <c r="C8" s="80" t="s">
        <v>172</v>
      </c>
      <c r="J8" s="80" t="s">
        <v>173</v>
      </c>
    </row>
    <row r="9" customFormat="false" ht="21.75" hidden="false" customHeight="true" outlineLevel="0" collapsed="false">
      <c r="C9" s="18" t="s">
        <v>117</v>
      </c>
      <c r="D9" s="18" t="s">
        <v>174</v>
      </c>
      <c r="E9" s="18" t="s">
        <v>167</v>
      </c>
      <c r="F9" s="18" t="s">
        <v>168</v>
      </c>
      <c r="G9" s="18" t="s">
        <v>169</v>
      </c>
      <c r="J9" s="18"/>
      <c r="K9" s="18" t="s">
        <v>74</v>
      </c>
      <c r="L9" s="18" t="s">
        <v>165</v>
      </c>
      <c r="M9" s="18" t="s">
        <v>175</v>
      </c>
      <c r="N9" s="18" t="s">
        <v>168</v>
      </c>
    </row>
    <row r="10" customFormat="false" ht="15" hidden="false" customHeight="false" outlineLevel="0" collapsed="false">
      <c r="C10" s="81" t="str">
        <f aca="false">Config!$C$15</f>
        <v>Teórica</v>
      </c>
      <c r="D10" s="82" t="n">
        <f aca="false">COUNTIF(Base!$I$5:$I$2004,C10)</f>
        <v>26</v>
      </c>
      <c r="E10" s="82" t="n">
        <f aca="false">COUNTIFS(Base!$I$5:$I$2004,C10,Base!$K$5:$K$2004,"✓")</f>
        <v>6</v>
      </c>
      <c r="F10" s="83" t="n">
        <f aca="false">IF(D10=0,"",E10/D10)</f>
        <v>0.230769230769231</v>
      </c>
      <c r="G10" s="84" t="n">
        <f aca="false">COUNTIFS(Base!$I$5:$I$2004,C10,Base!$L$5:$L$2004,"Atrasado")</f>
        <v>3</v>
      </c>
      <c r="K10" s="85" t="str">
        <f aca="false">IF(Config!$K$6="","",Config!$K$6)</f>
        <v>Clínica Médica</v>
      </c>
      <c r="L10" s="82" t="n">
        <f aca="false">IF(K10="","",COUNTIF(Temas!$C$6:$C$305,K10))</f>
        <v>16</v>
      </c>
      <c r="M10" s="82" t="n">
        <f aca="false">IF(K10="","",COUNTIF(Base!$J$5:$J$2004,K10))</f>
        <v>96</v>
      </c>
      <c r="N10" s="83" t="n">
        <f aca="false">IF(K10="","",IF(M10=0,"",COUNTIFS(Base!$J$5:$J$2004,K10,Base!$K$5:$K$2004,"✓")/M10))</f>
        <v>0.0625</v>
      </c>
    </row>
    <row r="11" customFormat="false" ht="15" hidden="false" customHeight="false" outlineLevel="0" collapsed="false">
      <c r="C11" s="86" t="str">
        <f aca="false">Config!$C$16</f>
        <v>Revisão</v>
      </c>
      <c r="D11" s="82" t="n">
        <f aca="false">COUNTIF(Base!$I$5:$I$2004,C11)</f>
        <v>52</v>
      </c>
      <c r="E11" s="82" t="n">
        <f aca="false">COUNTIFS(Base!$I$5:$I$2004,C11,Base!$K$5:$K$2004,"✓")</f>
        <v>4</v>
      </c>
      <c r="F11" s="83" t="n">
        <f aca="false">IF(D11=0,"",E11/D11)</f>
        <v>0.0769230769230769</v>
      </c>
      <c r="G11" s="84" t="n">
        <f aca="false">COUNTIFS(Base!$I$5:$I$2004,C11,Base!$L$5:$L$2004,"Atrasado")</f>
        <v>4</v>
      </c>
      <c r="K11" s="85" t="str">
        <f aca="false">IF(Config!$K$7="","",Config!$K$7)</f>
        <v>Cirurgia</v>
      </c>
      <c r="L11" s="82" t="n">
        <f aca="false">IF(K11="","",COUNTIF(Temas!$C$6:$C$305,K11))</f>
        <v>4</v>
      </c>
      <c r="M11" s="82" t="n">
        <f aca="false">IF(K11="","",COUNTIF(Base!$J$5:$J$2004,K11))</f>
        <v>24</v>
      </c>
      <c r="N11" s="83" t="n">
        <f aca="false">IF(K11="","",IF(M11=0,"",COUNTIFS(Base!$J$5:$J$2004,K11,Base!$K$5:$K$2004,"✓")/M11))</f>
        <v>0</v>
      </c>
    </row>
    <row r="12" customFormat="false" ht="15" hidden="false" customHeight="false" outlineLevel="0" collapsed="false">
      <c r="C12" s="87" t="str">
        <f aca="false">Config!$C$17</f>
        <v>Prática</v>
      </c>
      <c r="D12" s="82" t="n">
        <f aca="false">COUNTIF(Base!$I$5:$I$2004,C12)</f>
        <v>78</v>
      </c>
      <c r="E12" s="82" t="n">
        <f aca="false">COUNTIFS(Base!$I$5:$I$2004,C12,Base!$K$5:$K$2004,"✓")</f>
        <v>0</v>
      </c>
      <c r="F12" s="83" t="n">
        <f aca="false">IF(D12=0,"",E12/D12)</f>
        <v>0</v>
      </c>
      <c r="G12" s="84" t="n">
        <f aca="false">COUNTIFS(Base!$I$5:$I$2004,C12,Base!$L$5:$L$2004,"Atrasado")</f>
        <v>6</v>
      </c>
      <c r="K12" s="85" t="str">
        <f aca="false">IF(Config!$K$8="","",Config!$K$8)</f>
        <v>Pediatria</v>
      </c>
      <c r="L12" s="82" t="n">
        <f aca="false">IF(K12="","",COUNTIF(Temas!$C$6:$C$305,K12))</f>
        <v>3</v>
      </c>
      <c r="M12" s="82" t="n">
        <f aca="false">IF(K12="","",COUNTIF(Base!$J$5:$J$2004,K12))</f>
        <v>18</v>
      </c>
      <c r="N12" s="83" t="n">
        <f aca="false">IF(K12="","",IF(M12=0,"",COUNTIFS(Base!$J$5:$J$2004,K12,Base!$K$5:$K$2004,"✓")/M12))</f>
        <v>0.222222222222222</v>
      </c>
    </row>
    <row r="13" customFormat="false" ht="15" hidden="false" customHeight="false" outlineLevel="0" collapsed="false">
      <c r="C13" s="88" t="str">
        <f aca="false">Config!$C$18</f>
        <v>Simulado</v>
      </c>
      <c r="D13" s="82" t="n">
        <f aca="false">COUNTIF(Base!$I$5:$I$2004,C13)</f>
        <v>1</v>
      </c>
      <c r="E13" s="82" t="n">
        <f aca="false">COUNTIFS(Base!$I$5:$I$2004,C13,Base!$K$5:$K$2004,"✓")</f>
        <v>1</v>
      </c>
      <c r="F13" s="83" t="n">
        <f aca="false">IF(D13=0,"",E13/D13)</f>
        <v>1</v>
      </c>
      <c r="G13" s="84" t="n">
        <f aca="false">COUNTIFS(Base!$I$5:$I$2004,C13,Base!$L$5:$L$2004,"Atrasado")</f>
        <v>0</v>
      </c>
      <c r="K13" s="85" t="str">
        <f aca="false">IF(Config!$K$9="","",Config!$K$9)</f>
        <v>Ginecologia e Obstetrícia</v>
      </c>
      <c r="L13" s="82" t="n">
        <f aca="false">IF(K13="","",COUNTIF(Temas!$C$6:$C$305,K13))</f>
        <v>3</v>
      </c>
      <c r="M13" s="82" t="n">
        <f aca="false">IF(K13="","",COUNTIF(Base!$J$5:$J$2004,K13))</f>
        <v>18</v>
      </c>
      <c r="N13" s="83" t="n">
        <f aca="false">IF(K13="","",IF(M13=0,"",COUNTIFS(Base!$J$5:$J$2004,K13,Base!$K$5:$K$2004,"✓")/M13))</f>
        <v>0</v>
      </c>
    </row>
    <row r="14" customFormat="false" ht="15" hidden="false" customHeight="false" outlineLevel="0" collapsed="false">
      <c r="C14" s="89" t="str">
        <f aca="false">Config!$C$19</f>
        <v>Outro</v>
      </c>
      <c r="D14" s="82" t="n">
        <f aca="false">COUNTIF(Base!$I$5:$I$2004,C14)</f>
        <v>0</v>
      </c>
      <c r="E14" s="82" t="n">
        <f aca="false">COUNTIFS(Base!$I$5:$I$2004,C14,Base!$K$5:$K$2004,"✓")</f>
        <v>0</v>
      </c>
      <c r="F14" s="83" t="str">
        <f aca="false">IF(D14=0,"",E14/D14)</f>
        <v/>
      </c>
      <c r="G14" s="84" t="n">
        <f aca="false">COUNTIFS(Base!$I$5:$I$2004,C14,Base!$L$5:$L$2004,"Atrasado")</f>
        <v>0</v>
      </c>
      <c r="K14" s="85" t="str">
        <f aca="false">IF(Config!$K$10="","",Config!$K$10)</f>
        <v>Medicina Preventiva</v>
      </c>
      <c r="L14" s="82" t="n">
        <f aca="false">IF(K14="","",COUNTIF(Temas!$C$6:$C$305,K14))</f>
        <v>0</v>
      </c>
      <c r="M14" s="82" t="n">
        <f aca="false">IF(K14="","",COUNTIF(Base!$J$5:$J$2004,K14))</f>
        <v>0</v>
      </c>
      <c r="N14" s="83" t="str">
        <f aca="false">IF(K14="","",IF(M14=0,"",COUNTIFS(Base!$J$5:$J$2004,K14,Base!$K$5:$K$2004,"✓")/M14))</f>
        <v/>
      </c>
    </row>
    <row r="15" customFormat="false" ht="15" hidden="false" customHeight="false" outlineLevel="0" collapsed="false">
      <c r="C15" s="85" t="s">
        <v>176</v>
      </c>
      <c r="D15" s="90" t="n">
        <f aca="false">SUM(D10:D14)</f>
        <v>157</v>
      </c>
      <c r="E15" s="90" t="n">
        <f aca="false">SUM(E10:E14)</f>
        <v>11</v>
      </c>
      <c r="F15" s="91" t="n">
        <f aca="false">IF(D15=0,"",E15/D15)</f>
        <v>0.0700636942675159</v>
      </c>
      <c r="G15" s="90" t="n">
        <f aca="false">SUM(G10:G14)</f>
        <v>13</v>
      </c>
      <c r="K15" s="85" t="str">
        <f aca="false">IF(Config!$K$11="","",Config!$K$11)</f>
        <v>Outra</v>
      </c>
      <c r="L15" s="82" t="n">
        <f aca="false">IF(K15="","",COUNTIF(Temas!$C$6:$C$305,K15))</f>
        <v>0</v>
      </c>
      <c r="M15" s="82" t="n">
        <f aca="false">IF(K15="","",COUNTIF(Base!$J$5:$J$2004,K15))</f>
        <v>0</v>
      </c>
      <c r="N15" s="83" t="str">
        <f aca="false">IF(K15="","",IF(M15=0,"",COUNTIFS(Base!$J$5:$J$2004,K15,Base!$K$5:$K$2004,"✓")/M15))</f>
        <v/>
      </c>
    </row>
    <row r="16" customFormat="false" ht="15" hidden="false" customHeight="false" outlineLevel="0" collapsed="false">
      <c r="K16" s="85" t="str">
        <f aca="false">IF(Config!$K$12="","",Config!$K$12)</f>
        <v/>
      </c>
      <c r="L16" s="82" t="str">
        <f aca="false">IF(K16="","",COUNTIF(Temas!$C$6:$C$305,K16))</f>
        <v/>
      </c>
      <c r="M16" s="82" t="str">
        <f aca="false">IF(K16="","",COUNTIF(Base!$J$5:$J$2004,K16))</f>
        <v/>
      </c>
      <c r="N16" s="83" t="str">
        <f aca="false">IF(K16="","",IF(M16=0,"",COUNTIFS(Base!$J$5:$J$2004,K16,Base!$K$5:$K$2004,"✓")/M16))</f>
        <v/>
      </c>
    </row>
    <row r="17" customFormat="false" ht="15" hidden="false" customHeight="false" outlineLevel="0" collapsed="false">
      <c r="K17" s="85" t="str">
        <f aca="false">IF(Config!$K$13="","",Config!$K$13)</f>
        <v/>
      </c>
      <c r="L17" s="82" t="str">
        <f aca="false">IF(K17="","",COUNTIF(Temas!$C$6:$C$305,K17))</f>
        <v/>
      </c>
      <c r="M17" s="82" t="str">
        <f aca="false">IF(K17="","",COUNTIF(Base!$J$5:$J$2004,K17))</f>
        <v/>
      </c>
      <c r="N17" s="83" t="str">
        <f aca="false">IF(K17="","",IF(M17=0,"",COUNTIFS(Base!$J$5:$J$2004,K17,Base!$K$5:$K$2004,"✓")/M17))</f>
        <v/>
      </c>
    </row>
    <row r="20" customFormat="false" ht="15" hidden="false" customHeight="false" outlineLevel="0" collapsed="false">
      <c r="B20" s="80" t="s">
        <v>177</v>
      </c>
      <c r="J20" s="80" t="s">
        <v>178</v>
      </c>
    </row>
    <row r="21" customFormat="false" ht="21.75" hidden="false" customHeight="true" outlineLevel="0" collapsed="false">
      <c r="B21" s="18" t="s">
        <v>160</v>
      </c>
      <c r="C21" s="18" t="s">
        <v>158</v>
      </c>
      <c r="D21" s="18" t="s">
        <v>159</v>
      </c>
      <c r="E21" s="18" t="s">
        <v>117</v>
      </c>
      <c r="F21" s="18" t="s">
        <v>161</v>
      </c>
      <c r="J21" s="18" t="s">
        <v>76</v>
      </c>
      <c r="K21" s="18" t="s">
        <v>158</v>
      </c>
      <c r="L21" s="18" t="s">
        <v>159</v>
      </c>
      <c r="M21" s="18" t="s">
        <v>117</v>
      </c>
      <c r="N21" s="18" t="s">
        <v>179</v>
      </c>
    </row>
    <row r="22" customFormat="false" ht="15" hidden="false" customHeight="false" outlineLevel="0" collapsed="false">
      <c r="B22" s="71" t="str">
        <f aca="true">IFERROR(INDEX(Base!$H$5:$H$2004,MATCH(TODAY()*100+1,Base!$P$5:$P$2004,0)),"")</f>
        <v>T</v>
      </c>
      <c r="C22" s="92" t="str">
        <f aca="true">IFERROR(INDEX(Base!$F$5:$F$2004,MATCH(TODAY()*100+1,Base!$P$5:$P$2004,0)),"")</f>
        <v>Síndromes Febris — Dengue</v>
      </c>
      <c r="D22" s="92" t="str">
        <f aca="true">IFERROR(INDEX(Base!$G$5:$G$2004,MATCH(TODAY()*100+1,Base!$P$5:$P$2004,0)),"")</f>
        <v>Aula teórica</v>
      </c>
      <c r="E22" s="71" t="str">
        <f aca="true">IFERROR(INDEX(Base!$I$5:$I$2004,MATCH(TODAY()*100+1,Base!$P$5:$P$2004,0)),"")</f>
        <v>Teórica</v>
      </c>
      <c r="F22" s="71" t="str">
        <f aca="true">IFERROR(INDEX(Base!$L$5:$L$2004,MATCH(TODAY()*100+1,Base!$P$5:$P$2004,0)),"")</f>
        <v>Concluído</v>
      </c>
      <c r="J22" s="68" t="n">
        <f aca="false">IFERROR(INDEX(Base!$E$5:$E$2004,MATCH(SMALL(Base!$Q$5:$Q$2004,1),Base!$Q$5:$Q$2004,0)),"")</f>
        <v>46293</v>
      </c>
      <c r="K22" s="92" t="str">
        <f aca="false">IFERROR(INDEX(Base!$F$5:$F$2004,MATCH(SMALL(Base!$Q$5:$Q$2004,1),Base!$Q$5:$Q$2004,0)),"")</f>
        <v>Valvopatias</v>
      </c>
      <c r="L22" s="92" t="str">
        <f aca="false">IFERROR(INDEX(Base!$G$5:$G$2004,MATCH(SMALL(Base!$Q$5:$Q$2004,1),Base!$Q$5:$Q$2004,0)),"")</f>
        <v>Aula teórica</v>
      </c>
      <c r="M22" s="71" t="str">
        <f aca="false">IFERROR(INDEX(Base!$I$5:$I$2004,MATCH(SMALL(Base!$Q$5:$Q$2004,1),Base!$Q$5:$Q$2004,0)),"")</f>
        <v>Teórica</v>
      </c>
      <c r="N22" s="93" t="n">
        <f aca="true">IF(J22="","",TODAY()-J22)</f>
        <v>10</v>
      </c>
    </row>
    <row r="23" customFormat="false" ht="15" hidden="false" customHeight="false" outlineLevel="0" collapsed="false">
      <c r="B23" s="71" t="str">
        <f aca="true">IFERROR(INDEX(Base!$H$5:$H$2004,MATCH(TODAY()*100+2,Base!$P$5:$P$2004,0)),"")</f>
        <v/>
      </c>
      <c r="C23" s="92" t="str">
        <f aca="true">IFERROR(INDEX(Base!$F$5:$F$2004,MATCH(TODAY()*100+2,Base!$P$5:$P$2004,0)),"")</f>
        <v/>
      </c>
      <c r="D23" s="92" t="str">
        <f aca="true">IFERROR(INDEX(Base!$G$5:$G$2004,MATCH(TODAY()*100+2,Base!$P$5:$P$2004,0)),"")</f>
        <v/>
      </c>
      <c r="E23" s="71" t="str">
        <f aca="true">IFERROR(INDEX(Base!$I$5:$I$2004,MATCH(TODAY()*100+2,Base!$P$5:$P$2004,0)),"")</f>
        <v/>
      </c>
      <c r="F23" s="71" t="str">
        <f aca="true">IFERROR(INDEX(Base!$L$5:$L$2004,MATCH(TODAY()*100+2,Base!$P$5:$P$2004,0)),"")</f>
        <v/>
      </c>
      <c r="J23" s="68" t="n">
        <f aca="false">IFERROR(INDEX(Base!$E$5:$E$2004,MATCH(SMALL(Base!$Q$5:$Q$2004,2),Base!$Q$5:$Q$2004,0)),"")</f>
        <v>46293</v>
      </c>
      <c r="K23" s="92" t="str">
        <f aca="false">IFERROR(INDEX(Base!$F$5:$F$2004,MATCH(SMALL(Base!$Q$5:$Q$2004,2),Base!$Q$5:$Q$2004,0)),"")</f>
        <v>Demência e Parkinson</v>
      </c>
      <c r="L23" s="92" t="str">
        <f aca="false">IFERROR(INDEX(Base!$G$5:$G$2004,MATCH(SMALL(Base!$Q$5:$Q$2004,2),Base!$Q$5:$Q$2004,0)),"")</f>
        <v>Aula teórica</v>
      </c>
      <c r="M23" s="71" t="str">
        <f aca="false">IFERROR(INDEX(Base!$I$5:$I$2004,MATCH(SMALL(Base!$Q$5:$Q$2004,2),Base!$Q$5:$Q$2004,0)),"")</f>
        <v>Teórica</v>
      </c>
      <c r="N23" s="93" t="n">
        <f aca="true">IF(J23="","",TODAY()-J23)</f>
        <v>10</v>
      </c>
    </row>
    <row r="24" customFormat="false" ht="15" hidden="false" customHeight="false" outlineLevel="0" collapsed="false">
      <c r="B24" s="71" t="str">
        <f aca="true">IFERROR(INDEX(Base!$H$5:$H$2004,MATCH(TODAY()*100+3,Base!$P$5:$P$2004,0)),"")</f>
        <v/>
      </c>
      <c r="C24" s="92" t="str">
        <f aca="true">IFERROR(INDEX(Base!$F$5:$F$2004,MATCH(TODAY()*100+3,Base!$P$5:$P$2004,0)),"")</f>
        <v/>
      </c>
      <c r="D24" s="92" t="str">
        <f aca="true">IFERROR(INDEX(Base!$G$5:$G$2004,MATCH(TODAY()*100+3,Base!$P$5:$P$2004,0)),"")</f>
        <v/>
      </c>
      <c r="E24" s="71" t="str">
        <f aca="true">IFERROR(INDEX(Base!$I$5:$I$2004,MATCH(TODAY()*100+3,Base!$P$5:$P$2004,0)),"")</f>
        <v/>
      </c>
      <c r="F24" s="71" t="str">
        <f aca="true">IFERROR(INDEX(Base!$L$5:$L$2004,MATCH(TODAY()*100+3,Base!$P$5:$P$2004,0)),"")</f>
        <v/>
      </c>
      <c r="J24" s="68" t="n">
        <f aca="false">IFERROR(INDEX(Base!$E$5:$E$2004,MATCH(SMALL(Base!$Q$5:$Q$2004,3),Base!$Q$5:$Q$2004,0)),"")</f>
        <v>46294</v>
      </c>
      <c r="K24" s="92" t="str">
        <f aca="false">IFERROR(INDEX(Base!$F$5:$F$2004,MATCH(SMALL(Base!$Q$5:$Q$2004,3),Base!$Q$5:$Q$2004,0)),"")</f>
        <v>Valvopatias</v>
      </c>
      <c r="L24" s="92" t="str">
        <f aca="false">IFERROR(INDEX(Base!$G$5:$G$2004,MATCH(SMALL(Base!$Q$5:$Q$2004,3),Base!$Q$5:$Q$2004,0)),"")</f>
        <v>1ª Revisão</v>
      </c>
      <c r="M24" s="71" t="str">
        <f aca="false">IFERROR(INDEX(Base!$I$5:$I$2004,MATCH(SMALL(Base!$Q$5:$Q$2004,3),Base!$Q$5:$Q$2004,0)),"")</f>
        <v>Revisão</v>
      </c>
      <c r="N24" s="93" t="n">
        <f aca="true">IF(J24="","",TODAY()-J24)</f>
        <v>9</v>
      </c>
    </row>
    <row r="25" customFormat="false" ht="15" hidden="false" customHeight="false" outlineLevel="0" collapsed="false">
      <c r="B25" s="71" t="str">
        <f aca="true">IFERROR(INDEX(Base!$H$5:$H$2004,MATCH(TODAY()*100+4,Base!$P$5:$P$2004,0)),"")</f>
        <v/>
      </c>
      <c r="C25" s="92" t="str">
        <f aca="true">IFERROR(INDEX(Base!$F$5:$F$2004,MATCH(TODAY()*100+4,Base!$P$5:$P$2004,0)),"")</f>
        <v/>
      </c>
      <c r="D25" s="92" t="str">
        <f aca="true">IFERROR(INDEX(Base!$G$5:$G$2004,MATCH(TODAY()*100+4,Base!$P$5:$P$2004,0)),"")</f>
        <v/>
      </c>
      <c r="E25" s="71" t="str">
        <f aca="true">IFERROR(INDEX(Base!$I$5:$I$2004,MATCH(TODAY()*100+4,Base!$P$5:$P$2004,0)),"")</f>
        <v/>
      </c>
      <c r="F25" s="71" t="str">
        <f aca="true">IFERROR(INDEX(Base!$L$5:$L$2004,MATCH(TODAY()*100+4,Base!$P$5:$P$2004,0)),"")</f>
        <v/>
      </c>
      <c r="J25" s="68" t="n">
        <f aca="false">IFERROR(INDEX(Base!$E$5:$E$2004,MATCH(SMALL(Base!$Q$5:$Q$2004,4),Base!$Q$5:$Q$2004,0)),"")</f>
        <v>46294</v>
      </c>
      <c r="K25" s="92" t="str">
        <f aca="false">IFERROR(INDEX(Base!$F$5:$F$2004,MATCH(SMALL(Base!$Q$5:$Q$2004,4),Base!$Q$5:$Q$2004,0)),"")</f>
        <v>Demência e Parkinson</v>
      </c>
      <c r="L25" s="92" t="str">
        <f aca="false">IFERROR(INDEX(Base!$G$5:$G$2004,MATCH(SMALL(Base!$Q$5:$Q$2004,4),Base!$Q$5:$Q$2004,0)),"")</f>
        <v>1ª Revisão</v>
      </c>
      <c r="M25" s="71" t="str">
        <f aca="false">IFERROR(INDEX(Base!$I$5:$I$2004,MATCH(SMALL(Base!$Q$5:$Q$2004,4),Base!$Q$5:$Q$2004,0)),"")</f>
        <v>Revisão</v>
      </c>
      <c r="N25" s="93" t="n">
        <f aca="true">IF(J25="","",TODAY()-J25)</f>
        <v>9</v>
      </c>
    </row>
    <row r="26" customFormat="false" ht="15" hidden="false" customHeight="false" outlineLevel="0" collapsed="false">
      <c r="B26" s="71" t="str">
        <f aca="true">IFERROR(INDEX(Base!$H$5:$H$2004,MATCH(TODAY()*100+5,Base!$P$5:$P$2004,0)),"")</f>
        <v/>
      </c>
      <c r="C26" s="92" t="str">
        <f aca="true">IFERROR(INDEX(Base!$F$5:$F$2004,MATCH(TODAY()*100+5,Base!$P$5:$P$2004,0)),"")</f>
        <v/>
      </c>
      <c r="D26" s="92" t="str">
        <f aca="true">IFERROR(INDEX(Base!$G$5:$G$2004,MATCH(TODAY()*100+5,Base!$P$5:$P$2004,0)),"")</f>
        <v/>
      </c>
      <c r="E26" s="71" t="str">
        <f aca="true">IFERROR(INDEX(Base!$I$5:$I$2004,MATCH(TODAY()*100+5,Base!$P$5:$P$2004,0)),"")</f>
        <v/>
      </c>
      <c r="F26" s="71" t="str">
        <f aca="true">IFERROR(INDEX(Base!$L$5:$L$2004,MATCH(TODAY()*100+5,Base!$P$5:$P$2004,0)),"")</f>
        <v/>
      </c>
      <c r="J26" s="68" t="n">
        <f aca="false">IFERROR(INDEX(Base!$E$5:$E$2004,MATCH(SMALL(Base!$Q$5:$Q$2004,5),Base!$Q$5:$Q$2004,0)),"")</f>
        <v>46298</v>
      </c>
      <c r="K26" s="92" t="str">
        <f aca="false">IFERROR(INDEX(Base!$F$5:$F$2004,MATCH(SMALL(Base!$Q$5:$Q$2004,5),Base!$Q$5:$Q$2004,0)),"")</f>
        <v>ATB</v>
      </c>
      <c r="L26" s="92" t="str">
        <f aca="false">IFERROR(INDEX(Base!$G$5:$G$2004,MATCH(SMALL(Base!$Q$5:$Q$2004,5),Base!$Q$5:$Q$2004,0)),"")</f>
        <v>1ª Revisão</v>
      </c>
      <c r="M26" s="71" t="str">
        <f aca="false">IFERROR(INDEX(Base!$I$5:$I$2004,MATCH(SMALL(Base!$Q$5:$Q$2004,5),Base!$Q$5:$Q$2004,0)),"")</f>
        <v>Revisão</v>
      </c>
      <c r="N26" s="93" t="n">
        <f aca="true">IF(J26="","",TODAY()-J26)</f>
        <v>5</v>
      </c>
    </row>
    <row r="27" customFormat="false" ht="15" hidden="false" customHeight="false" outlineLevel="0" collapsed="false">
      <c r="B27" s="71" t="str">
        <f aca="true">IFERROR(INDEX(Base!$H$5:$H$2004,MATCH(TODAY()*100+6,Base!$P$5:$P$2004,0)),"")</f>
        <v/>
      </c>
      <c r="C27" s="92" t="str">
        <f aca="true">IFERROR(INDEX(Base!$F$5:$F$2004,MATCH(TODAY()*100+6,Base!$P$5:$P$2004,0)),"")</f>
        <v/>
      </c>
      <c r="D27" s="92" t="str">
        <f aca="true">IFERROR(INDEX(Base!$G$5:$G$2004,MATCH(TODAY()*100+6,Base!$P$5:$P$2004,0)),"")</f>
        <v/>
      </c>
      <c r="E27" s="71" t="str">
        <f aca="true">IFERROR(INDEX(Base!$I$5:$I$2004,MATCH(TODAY()*100+6,Base!$P$5:$P$2004,0)),"")</f>
        <v/>
      </c>
      <c r="F27" s="71" t="str">
        <f aca="true">IFERROR(INDEX(Base!$L$5:$L$2004,MATCH(TODAY()*100+6,Base!$P$5:$P$2004,0)),"")</f>
        <v/>
      </c>
      <c r="J27" s="68" t="n">
        <f aca="false">IFERROR(INDEX(Base!$E$5:$E$2004,MATCH(SMALL(Base!$Q$5:$Q$2004,6),Base!$Q$5:$Q$2004,0)),"")</f>
        <v>46299</v>
      </c>
      <c r="K27" s="92" t="str">
        <f aca="false">IFERROR(INDEX(Base!$F$5:$F$2004,MATCH(SMALL(Base!$Q$5:$Q$2004,6),Base!$Q$5:$Q$2004,0)),"")</f>
        <v>Cardiopediatria</v>
      </c>
      <c r="L27" s="92" t="str">
        <f aca="false">IFERROR(INDEX(Base!$G$5:$G$2004,MATCH(SMALL(Base!$Q$5:$Q$2004,6),Base!$Q$5:$Q$2004,0)),"")</f>
        <v>2ª Revisão</v>
      </c>
      <c r="M27" s="71" t="str">
        <f aca="false">IFERROR(INDEX(Base!$I$5:$I$2004,MATCH(SMALL(Base!$Q$5:$Q$2004,6),Base!$Q$5:$Q$2004,0)),"")</f>
        <v>Prática</v>
      </c>
      <c r="N27" s="93" t="n">
        <f aca="true">IF(J27="","",TODAY()-J27)</f>
        <v>4</v>
      </c>
    </row>
    <row r="28" customFormat="false" ht="15" hidden="false" customHeight="false" outlineLevel="0" collapsed="false">
      <c r="B28" s="71" t="str">
        <f aca="true">IFERROR(INDEX(Base!$H$5:$H$2004,MATCH(TODAY()*100+7,Base!$P$5:$P$2004,0)),"")</f>
        <v/>
      </c>
      <c r="C28" s="92" t="str">
        <f aca="true">IFERROR(INDEX(Base!$F$5:$F$2004,MATCH(TODAY()*100+7,Base!$P$5:$P$2004,0)),"")</f>
        <v/>
      </c>
      <c r="D28" s="92" t="str">
        <f aca="true">IFERROR(INDEX(Base!$G$5:$G$2004,MATCH(TODAY()*100+7,Base!$P$5:$P$2004,0)),"")</f>
        <v/>
      </c>
      <c r="E28" s="71" t="str">
        <f aca="true">IFERROR(INDEX(Base!$I$5:$I$2004,MATCH(TODAY()*100+7,Base!$P$5:$P$2004,0)),"")</f>
        <v/>
      </c>
      <c r="F28" s="71" t="str">
        <f aca="true">IFERROR(INDEX(Base!$L$5:$L$2004,MATCH(TODAY()*100+7,Base!$P$5:$P$2004,0)),"")</f>
        <v/>
      </c>
      <c r="J28" s="68" t="n">
        <f aca="false">IFERROR(INDEX(Base!$E$5:$E$2004,MATCH(SMALL(Base!$Q$5:$Q$2004,7),Base!$Q$5:$Q$2004,0)),"")</f>
        <v>46299</v>
      </c>
      <c r="K28" s="92" t="str">
        <f aca="false">IFERROR(INDEX(Base!$F$5:$F$2004,MATCH(SMALL(Base!$Q$5:$Q$2004,7),Base!$Q$5:$Q$2004,0)),"")</f>
        <v>Nefrologia Pediátrica / ITU</v>
      </c>
      <c r="L28" s="92" t="str">
        <f aca="false">IFERROR(INDEX(Base!$G$5:$G$2004,MATCH(SMALL(Base!$Q$5:$Q$2004,7),Base!$Q$5:$Q$2004,0)),"")</f>
        <v>2ª Revisão</v>
      </c>
      <c r="M28" s="71" t="str">
        <f aca="false">IFERROR(INDEX(Base!$I$5:$I$2004,MATCH(SMALL(Base!$Q$5:$Q$2004,7),Base!$Q$5:$Q$2004,0)),"")</f>
        <v>Prática</v>
      </c>
      <c r="N28" s="93" t="n">
        <f aca="true">IF(J28="","",TODAY()-J28)</f>
        <v>4</v>
      </c>
    </row>
    <row r="29" customFormat="false" ht="15" hidden="false" customHeight="false" outlineLevel="0" collapsed="false">
      <c r="B29" s="71" t="str">
        <f aca="true">IFERROR(INDEX(Base!$H$5:$H$2004,MATCH(TODAY()*100+8,Base!$P$5:$P$2004,0)),"")</f>
        <v/>
      </c>
      <c r="C29" s="92" t="str">
        <f aca="true">IFERROR(INDEX(Base!$F$5:$F$2004,MATCH(TODAY()*100+8,Base!$P$5:$P$2004,0)),"")</f>
        <v/>
      </c>
      <c r="D29" s="92" t="str">
        <f aca="true">IFERROR(INDEX(Base!$G$5:$G$2004,MATCH(TODAY()*100+8,Base!$P$5:$P$2004,0)),"")</f>
        <v/>
      </c>
      <c r="E29" s="71" t="str">
        <f aca="true">IFERROR(INDEX(Base!$I$5:$I$2004,MATCH(TODAY()*100+8,Base!$P$5:$P$2004,0)),"")</f>
        <v/>
      </c>
      <c r="F29" s="71" t="str">
        <f aca="true">IFERROR(INDEX(Base!$L$5:$L$2004,MATCH(TODAY()*100+8,Base!$P$5:$P$2004,0)),"")</f>
        <v/>
      </c>
      <c r="J29" s="68" t="n">
        <f aca="false">IFERROR(INDEX(Base!$E$5:$E$2004,MATCH(SMALL(Base!$Q$5:$Q$2004,8),Base!$Q$5:$Q$2004,0)),"")</f>
        <v>46299</v>
      </c>
      <c r="K29" s="92" t="str">
        <f aca="false">IFERROR(INDEX(Base!$F$5:$F$2004,MATCH(SMALL(Base!$Q$5:$Q$2004,8),Base!$Q$5:$Q$2004,0)),"")</f>
        <v>Asma e DPOC</v>
      </c>
      <c r="L29" s="92" t="str">
        <f aca="false">IFERROR(INDEX(Base!$G$5:$G$2004,MATCH(SMALL(Base!$Q$5:$Q$2004,8),Base!$Q$5:$Q$2004,0)),"")</f>
        <v>2ª Revisão</v>
      </c>
      <c r="M29" s="71" t="str">
        <f aca="false">IFERROR(INDEX(Base!$I$5:$I$2004,MATCH(SMALL(Base!$Q$5:$Q$2004,8),Base!$Q$5:$Q$2004,0)),"")</f>
        <v>Prática</v>
      </c>
      <c r="N29" s="93" t="n">
        <f aca="true">IF(J29="","",TODAY()-J29)</f>
        <v>4</v>
      </c>
    </row>
    <row r="30" customFormat="false" ht="15" hidden="false" customHeight="false" outlineLevel="0" collapsed="false">
      <c r="B30" s="71" t="str">
        <f aca="true">IFERROR(INDEX(Base!$H$5:$H$2004,MATCH(TODAY()*100+9,Base!$P$5:$P$2004,0)),"")</f>
        <v/>
      </c>
      <c r="C30" s="92" t="str">
        <f aca="true">IFERROR(INDEX(Base!$F$5:$F$2004,MATCH(TODAY()*100+9,Base!$P$5:$P$2004,0)),"")</f>
        <v/>
      </c>
      <c r="D30" s="92" t="str">
        <f aca="true">IFERROR(INDEX(Base!$G$5:$G$2004,MATCH(TODAY()*100+9,Base!$P$5:$P$2004,0)),"")</f>
        <v/>
      </c>
      <c r="E30" s="71" t="str">
        <f aca="true">IFERROR(INDEX(Base!$I$5:$I$2004,MATCH(TODAY()*100+9,Base!$P$5:$P$2004,0)),"")</f>
        <v/>
      </c>
      <c r="F30" s="71" t="str">
        <f aca="true">IFERROR(INDEX(Base!$L$5:$L$2004,MATCH(TODAY()*100+9,Base!$P$5:$P$2004,0)),"")</f>
        <v/>
      </c>
      <c r="J30" s="68" t="n">
        <f aca="false">IFERROR(INDEX(Base!$E$5:$E$2004,MATCH(SMALL(Base!$Q$5:$Q$2004,9),Base!$Q$5:$Q$2004,0)),"")</f>
        <v>46300</v>
      </c>
      <c r="K30" s="92" t="str">
        <f aca="false">IFERROR(INDEX(Base!$F$5:$F$2004,MATCH(SMALL(Base!$Q$5:$Q$2004,9),Base!$Q$5:$Q$2004,0)),"")</f>
        <v>Doenças da Tireoide</v>
      </c>
      <c r="L30" s="92" t="str">
        <f aca="false">IFERROR(INDEX(Base!$G$5:$G$2004,MATCH(SMALL(Base!$Q$5:$Q$2004,9),Base!$Q$5:$Q$2004,0)),"")</f>
        <v>2ª Revisão</v>
      </c>
      <c r="M30" s="71" t="str">
        <f aca="false">IFERROR(INDEX(Base!$I$5:$I$2004,MATCH(SMALL(Base!$Q$5:$Q$2004,9),Base!$Q$5:$Q$2004,0)),"")</f>
        <v>Prática</v>
      </c>
      <c r="N30" s="93" t="n">
        <f aca="true">IF(J30="","",TODAY()-J30)</f>
        <v>3</v>
      </c>
    </row>
    <row r="31" customFormat="false" ht="15" hidden="false" customHeight="false" outlineLevel="0" collapsed="false">
      <c r="B31" s="71" t="str">
        <f aca="true">IFERROR(INDEX(Base!$H$5:$H$2004,MATCH(TODAY()*100+10,Base!$P$5:$P$2004,0)),"")</f>
        <v/>
      </c>
      <c r="C31" s="92" t="str">
        <f aca="true">IFERROR(INDEX(Base!$F$5:$F$2004,MATCH(TODAY()*100+10,Base!$P$5:$P$2004,0)),"")</f>
        <v/>
      </c>
      <c r="D31" s="92" t="str">
        <f aca="true">IFERROR(INDEX(Base!$G$5:$G$2004,MATCH(TODAY()*100+10,Base!$P$5:$P$2004,0)),"")</f>
        <v/>
      </c>
      <c r="E31" s="71" t="str">
        <f aca="true">IFERROR(INDEX(Base!$I$5:$I$2004,MATCH(TODAY()*100+10,Base!$P$5:$P$2004,0)),"")</f>
        <v/>
      </c>
      <c r="F31" s="71" t="str">
        <f aca="true">IFERROR(INDEX(Base!$L$5:$L$2004,MATCH(TODAY()*100+10,Base!$P$5:$P$2004,0)),"")</f>
        <v/>
      </c>
      <c r="J31" s="68" t="n">
        <f aca="false">IFERROR(INDEX(Base!$E$5:$E$2004,MATCH(SMALL(Base!$Q$5:$Q$2004,10),Base!$Q$5:$Q$2004,0)),"")</f>
        <v>46300</v>
      </c>
      <c r="K31" s="92" t="str">
        <f aca="false">IFERROR(INDEX(Base!$F$5:$F$2004,MATCH(SMALL(Base!$Q$5:$Q$2004,10),Base!$Q$5:$Q$2004,0)),"")</f>
        <v>Valvopatias</v>
      </c>
      <c r="L31" s="92" t="str">
        <f aca="false">IFERROR(INDEX(Base!$G$5:$G$2004,MATCH(SMALL(Base!$Q$5:$Q$2004,10),Base!$Q$5:$Q$2004,0)),"")</f>
        <v>2ª Revisão</v>
      </c>
      <c r="M31" s="71" t="str">
        <f aca="false">IFERROR(INDEX(Base!$I$5:$I$2004,MATCH(SMALL(Base!$Q$5:$Q$2004,10),Base!$Q$5:$Q$2004,0)),"")</f>
        <v>Prática</v>
      </c>
      <c r="N31" s="93" t="n">
        <f aca="true">IF(J31="","",TODAY()-J31)</f>
        <v>3</v>
      </c>
    </row>
    <row r="32" customFormat="false" ht="15" hidden="false" customHeight="false" outlineLevel="0" collapsed="false">
      <c r="B32" s="71" t="str">
        <f aca="true">IFERROR(INDEX(Base!$H$5:$H$2004,MATCH(TODAY()*100+11,Base!$P$5:$P$2004,0)),"")</f>
        <v/>
      </c>
      <c r="C32" s="92" t="str">
        <f aca="true">IFERROR(INDEX(Base!$F$5:$F$2004,MATCH(TODAY()*100+11,Base!$P$5:$P$2004,0)),"")</f>
        <v/>
      </c>
      <c r="D32" s="92" t="str">
        <f aca="true">IFERROR(INDEX(Base!$G$5:$G$2004,MATCH(TODAY()*100+11,Base!$P$5:$P$2004,0)),"")</f>
        <v/>
      </c>
      <c r="E32" s="71" t="str">
        <f aca="true">IFERROR(INDEX(Base!$I$5:$I$2004,MATCH(TODAY()*100+11,Base!$P$5:$P$2004,0)),"")</f>
        <v/>
      </c>
      <c r="F32" s="71" t="str">
        <f aca="true">IFERROR(INDEX(Base!$L$5:$L$2004,MATCH(TODAY()*100+11,Base!$P$5:$P$2004,0)),"")</f>
        <v/>
      </c>
      <c r="J32" s="68" t="n">
        <f aca="false">IFERROR(INDEX(Base!$E$5:$E$2004,MATCH(SMALL(Base!$Q$5:$Q$2004,11),Base!$Q$5:$Q$2004,0)),"")</f>
        <v>46300</v>
      </c>
      <c r="K32" s="92" t="str">
        <f aca="false">IFERROR(INDEX(Base!$F$5:$F$2004,MATCH(SMALL(Base!$Q$5:$Q$2004,11),Base!$Q$5:$Q$2004,0)),"")</f>
        <v>Demência e Parkinson</v>
      </c>
      <c r="L32" s="92" t="str">
        <f aca="false">IFERROR(INDEX(Base!$G$5:$G$2004,MATCH(SMALL(Base!$Q$5:$Q$2004,11),Base!$Q$5:$Q$2004,0)),"")</f>
        <v>2ª Revisão</v>
      </c>
      <c r="M32" s="71" t="str">
        <f aca="false">IFERROR(INDEX(Base!$I$5:$I$2004,MATCH(SMALL(Base!$Q$5:$Q$2004,11),Base!$Q$5:$Q$2004,0)),"")</f>
        <v>Prática</v>
      </c>
      <c r="N32" s="93" t="n">
        <f aca="true">IF(J32="","",TODAY()-J32)</f>
        <v>3</v>
      </c>
    </row>
    <row r="33" customFormat="false" ht="15" hidden="false" customHeight="false" outlineLevel="0" collapsed="false">
      <c r="B33" s="71" t="str">
        <f aca="true">IFERROR(INDEX(Base!$H$5:$H$2004,MATCH(TODAY()*100+12,Base!$P$5:$P$2004,0)),"")</f>
        <v/>
      </c>
      <c r="C33" s="92" t="str">
        <f aca="true">IFERROR(INDEX(Base!$F$5:$F$2004,MATCH(TODAY()*100+12,Base!$P$5:$P$2004,0)),"")</f>
        <v/>
      </c>
      <c r="D33" s="92" t="str">
        <f aca="true">IFERROR(INDEX(Base!$G$5:$G$2004,MATCH(TODAY()*100+12,Base!$P$5:$P$2004,0)),"")</f>
        <v/>
      </c>
      <c r="E33" s="71" t="str">
        <f aca="true">IFERROR(INDEX(Base!$I$5:$I$2004,MATCH(TODAY()*100+12,Base!$P$5:$P$2004,0)),"")</f>
        <v/>
      </c>
      <c r="F33" s="71" t="str">
        <f aca="true">IFERROR(INDEX(Base!$L$5:$L$2004,MATCH(TODAY()*100+12,Base!$P$5:$P$2004,0)),"")</f>
        <v/>
      </c>
      <c r="J33" s="68" t="n">
        <f aca="false">IFERROR(INDEX(Base!$E$5:$E$2004,MATCH(SMALL(Base!$Q$5:$Q$2004,12),Base!$Q$5:$Q$2004,0)),"")</f>
        <v>46300</v>
      </c>
      <c r="K33" s="92" t="str">
        <f aca="false">IFERROR(INDEX(Base!$F$5:$F$2004,MATCH(SMALL(Base!$Q$5:$Q$2004,12),Base!$Q$5:$Q$2004,0)),"")</f>
        <v>Transtornos Psiquiátricos I</v>
      </c>
      <c r="L33" s="92" t="str">
        <f aca="false">IFERROR(INDEX(Base!$G$5:$G$2004,MATCH(SMALL(Base!$Q$5:$Q$2004,12),Base!$Q$5:$Q$2004,0)),"")</f>
        <v>Aula teórica</v>
      </c>
      <c r="M33" s="71" t="str">
        <f aca="false">IFERROR(INDEX(Base!$I$5:$I$2004,MATCH(SMALL(Base!$Q$5:$Q$2004,12),Base!$Q$5:$Q$2004,0)),"")</f>
        <v>Teórica</v>
      </c>
      <c r="N33" s="93" t="n">
        <f aca="true">IF(J33="","",TODAY()-J33)</f>
        <v>3</v>
      </c>
    </row>
    <row r="34" customFormat="false" ht="15" hidden="false" customHeight="false" outlineLevel="0" collapsed="false">
      <c r="B34" s="71" t="str">
        <f aca="true">IFERROR(INDEX(Base!$H$5:$H$2004,MATCH(TODAY()*100+13,Base!$P$5:$P$2004,0)),"")</f>
        <v/>
      </c>
      <c r="C34" s="92" t="str">
        <f aca="true">IFERROR(INDEX(Base!$F$5:$F$2004,MATCH(TODAY()*100+13,Base!$P$5:$P$2004,0)),"")</f>
        <v/>
      </c>
      <c r="D34" s="92" t="str">
        <f aca="true">IFERROR(INDEX(Base!$G$5:$G$2004,MATCH(TODAY()*100+13,Base!$P$5:$P$2004,0)),"")</f>
        <v/>
      </c>
      <c r="E34" s="71" t="str">
        <f aca="true">IFERROR(INDEX(Base!$I$5:$I$2004,MATCH(TODAY()*100+13,Base!$P$5:$P$2004,0)),"")</f>
        <v/>
      </c>
      <c r="F34" s="71" t="str">
        <f aca="true">IFERROR(INDEX(Base!$L$5:$L$2004,MATCH(TODAY()*100+13,Base!$P$5:$P$2004,0)),"")</f>
        <v/>
      </c>
      <c r="J34" s="68" t="n">
        <f aca="false">IFERROR(INDEX(Base!$E$5:$E$2004,MATCH(SMALL(Base!$Q$5:$Q$2004,13),Base!$Q$5:$Q$2004,0)),"")</f>
        <v>46301</v>
      </c>
      <c r="K34" s="92" t="str">
        <f aca="false">IFERROR(INDEX(Base!$F$5:$F$2004,MATCH(SMALL(Base!$Q$5:$Q$2004,13),Base!$Q$5:$Q$2004,0)),"")</f>
        <v>Transtornos Psiquiátricos I</v>
      </c>
      <c r="L34" s="92" t="str">
        <f aca="false">IFERROR(INDEX(Base!$G$5:$G$2004,MATCH(SMALL(Base!$Q$5:$Q$2004,13),Base!$Q$5:$Q$2004,0)),"")</f>
        <v>1ª Revisão</v>
      </c>
      <c r="M34" s="71" t="str">
        <f aca="false">IFERROR(INDEX(Base!$I$5:$I$2004,MATCH(SMALL(Base!$Q$5:$Q$2004,13),Base!$Q$5:$Q$2004,0)),"")</f>
        <v>Revisão</v>
      </c>
      <c r="N34" s="93" t="n">
        <f aca="true">IF(J34="","",TODAY()-J34)</f>
        <v>2</v>
      </c>
    </row>
    <row r="35" customFormat="false" ht="15" hidden="false" customHeight="false" outlineLevel="0" collapsed="false">
      <c r="B35" s="71" t="str">
        <f aca="true">IFERROR(INDEX(Base!$H$5:$H$2004,MATCH(TODAY()*100+14,Base!$P$5:$P$2004,0)),"")</f>
        <v/>
      </c>
      <c r="C35" s="92" t="str">
        <f aca="true">IFERROR(INDEX(Base!$F$5:$F$2004,MATCH(TODAY()*100+14,Base!$P$5:$P$2004,0)),"")</f>
        <v/>
      </c>
      <c r="D35" s="92" t="str">
        <f aca="true">IFERROR(INDEX(Base!$G$5:$G$2004,MATCH(TODAY()*100+14,Base!$P$5:$P$2004,0)),"")</f>
        <v/>
      </c>
      <c r="E35" s="71" t="str">
        <f aca="true">IFERROR(INDEX(Base!$I$5:$I$2004,MATCH(TODAY()*100+14,Base!$P$5:$P$2004,0)),"")</f>
        <v/>
      </c>
      <c r="F35" s="71" t="str">
        <f aca="true">IFERROR(INDEX(Base!$L$5:$L$2004,MATCH(TODAY()*100+14,Base!$P$5:$P$2004,0)),"")</f>
        <v/>
      </c>
      <c r="J35" s="68" t="str">
        <f aca="false">IFERROR(INDEX(Base!$E$5:$E$2004,MATCH(SMALL(Base!$Q$5:$Q$2004,14),Base!$Q$5:$Q$2004,0)),"")</f>
        <v/>
      </c>
      <c r="K35" s="92" t="str">
        <f aca="false">IFERROR(INDEX(Base!$F$5:$F$2004,MATCH(SMALL(Base!$Q$5:$Q$2004,14),Base!$Q$5:$Q$2004,0)),"")</f>
        <v/>
      </c>
      <c r="L35" s="92" t="str">
        <f aca="false">IFERROR(INDEX(Base!$G$5:$G$2004,MATCH(SMALL(Base!$Q$5:$Q$2004,14),Base!$Q$5:$Q$2004,0)),"")</f>
        <v/>
      </c>
      <c r="M35" s="71" t="str">
        <f aca="false">IFERROR(INDEX(Base!$I$5:$I$2004,MATCH(SMALL(Base!$Q$5:$Q$2004,14),Base!$Q$5:$Q$2004,0)),"")</f>
        <v/>
      </c>
      <c r="N35" s="93" t="str">
        <f aca="true">IF(J35="","",TODAY()-J35)</f>
        <v/>
      </c>
    </row>
    <row r="36" customFormat="false" ht="15" hidden="false" customHeight="false" outlineLevel="0" collapsed="false">
      <c r="B36" s="71" t="str">
        <f aca="true">IFERROR(INDEX(Base!$H$5:$H$2004,MATCH(TODAY()*100+15,Base!$P$5:$P$2004,0)),"")</f>
        <v/>
      </c>
      <c r="C36" s="92" t="str">
        <f aca="true">IFERROR(INDEX(Base!$F$5:$F$2004,MATCH(TODAY()*100+15,Base!$P$5:$P$2004,0)),"")</f>
        <v/>
      </c>
      <c r="D36" s="92" t="str">
        <f aca="true">IFERROR(INDEX(Base!$G$5:$G$2004,MATCH(TODAY()*100+15,Base!$P$5:$P$2004,0)),"")</f>
        <v/>
      </c>
      <c r="E36" s="71" t="str">
        <f aca="true">IFERROR(INDEX(Base!$I$5:$I$2004,MATCH(TODAY()*100+15,Base!$P$5:$P$2004,0)),"")</f>
        <v/>
      </c>
      <c r="F36" s="71" t="str">
        <f aca="true">IFERROR(INDEX(Base!$L$5:$L$2004,MATCH(TODAY()*100+15,Base!$P$5:$P$2004,0)),"")</f>
        <v/>
      </c>
      <c r="J36" s="68" t="str">
        <f aca="false">IFERROR(INDEX(Base!$E$5:$E$2004,MATCH(SMALL(Base!$Q$5:$Q$2004,15),Base!$Q$5:$Q$2004,0)),"")</f>
        <v/>
      </c>
      <c r="K36" s="92" t="str">
        <f aca="false">IFERROR(INDEX(Base!$F$5:$F$2004,MATCH(SMALL(Base!$Q$5:$Q$2004,15),Base!$Q$5:$Q$2004,0)),"")</f>
        <v/>
      </c>
      <c r="L36" s="92" t="str">
        <f aca="false">IFERROR(INDEX(Base!$G$5:$G$2004,MATCH(SMALL(Base!$Q$5:$Q$2004,15),Base!$Q$5:$Q$2004,0)),"")</f>
        <v/>
      </c>
      <c r="M36" s="71" t="str">
        <f aca="false">IFERROR(INDEX(Base!$I$5:$I$2004,MATCH(SMALL(Base!$Q$5:$Q$2004,15),Base!$Q$5:$Q$2004,0)),"")</f>
        <v/>
      </c>
      <c r="N36" s="93" t="str">
        <f aca="true">IF(J36="","",TODAY()-J36)</f>
        <v/>
      </c>
    </row>
    <row r="37" customFormat="false" ht="15" hidden="false" customHeight="false" outlineLevel="0" collapsed="false">
      <c r="B37" s="94" t="str">
        <f aca="false">IF($G$6&gt;15,"+"&amp;($G$6-15)&amp;" itens além desta lista (veja a aba Semana)","")</f>
        <v/>
      </c>
      <c r="J37" s="94" t="str">
        <f aca="false">IF($F$6&gt;15,"+"&amp;($F$6-15)&amp;" atrasadas além desta lista (filtre Status = Atrasado na aba Tabela)","")</f>
        <v/>
      </c>
    </row>
    <row r="39" customFormat="false" ht="15" hidden="false" customHeight="false" outlineLevel="0" collapsed="false">
      <c r="B39" s="80" t="s">
        <v>180</v>
      </c>
      <c r="J39" s="80" t="s">
        <v>181</v>
      </c>
    </row>
    <row r="40" customFormat="false" ht="21.75" hidden="false" customHeight="true" outlineLevel="0" collapsed="false">
      <c r="B40" s="18" t="s">
        <v>76</v>
      </c>
      <c r="C40" s="18" t="s">
        <v>182</v>
      </c>
      <c r="D40" s="19" t="str">
        <f aca="false">Config!$C$15</f>
        <v>Teórica</v>
      </c>
      <c r="E40" s="19" t="str">
        <f aca="false">Config!$C$16</f>
        <v>Revisão</v>
      </c>
      <c r="F40" s="19" t="str">
        <f aca="false">Config!$C$17</f>
        <v>Prática</v>
      </c>
      <c r="G40" s="19" t="str">
        <f aca="false">Config!$C$18</f>
        <v>Simulado</v>
      </c>
      <c r="H40" s="19" t="str">
        <f aca="false">Config!$C$19</f>
        <v>Outro</v>
      </c>
      <c r="J40" s="18" t="s">
        <v>160</v>
      </c>
      <c r="K40" s="18" t="s">
        <v>159</v>
      </c>
      <c r="L40" s="18" t="s">
        <v>183</v>
      </c>
      <c r="M40" s="18" t="s">
        <v>184</v>
      </c>
      <c r="N40" s="18" t="s">
        <v>168</v>
      </c>
    </row>
    <row r="41" customFormat="false" ht="15" hidden="false" customHeight="false" outlineLevel="0" collapsed="false">
      <c r="B41" s="95" t="n">
        <f aca="true">TODAY()+0</f>
        <v>46303</v>
      </c>
      <c r="C41" s="96" t="n">
        <f aca="false">SUM(D41:H41)</f>
        <v>1</v>
      </c>
      <c r="D41" s="97" t="n">
        <f aca="false">COUNTIFS(Base!$E$5:$E$2004,$B41,Base!$I$5:$I$2004,D$40)</f>
        <v>1</v>
      </c>
      <c r="E41" s="97" t="n">
        <f aca="false">COUNTIFS(Base!$E$5:$E$2004,$B41,Base!$I$5:$I$2004,E$40)</f>
        <v>0</v>
      </c>
      <c r="F41" s="97" t="n">
        <f aca="false">COUNTIFS(Base!$E$5:$E$2004,$B41,Base!$I$5:$I$2004,F$40)</f>
        <v>0</v>
      </c>
      <c r="G41" s="97" t="n">
        <f aca="false">COUNTIFS(Base!$E$5:$E$2004,$B41,Base!$I$5:$I$2004,G$40)</f>
        <v>0</v>
      </c>
      <c r="H41" s="97" t="n">
        <f aca="false">COUNTIFS(Base!$E$5:$E$2004,$B41,Base!$I$5:$I$2004,H$40)</f>
        <v>0</v>
      </c>
      <c r="J41" s="98" t="str">
        <f aca="false">Config!$D$6</f>
        <v>T</v>
      </c>
      <c r="K41" s="8" t="str">
        <f aca="false">Config!$C$6</f>
        <v>Aula teórica</v>
      </c>
      <c r="L41" s="82" t="n">
        <f aca="false">COUNTIFS(Base!$D$5:$D$2004,1,Base!$E$5:$E$2004,"&gt;0")</f>
        <v>26</v>
      </c>
      <c r="M41" s="82" t="n">
        <f aca="false">COUNTIFS(Base!$D$5:$D$2004,1,Base!$K$5:$K$2004,"✓")</f>
        <v>6</v>
      </c>
      <c r="N41" s="83" t="n">
        <f aca="false">IF(L41=0,"",M41/L41)</f>
        <v>0.230769230769231</v>
      </c>
    </row>
    <row r="42" customFormat="false" ht="15" hidden="false" customHeight="false" outlineLevel="0" collapsed="false">
      <c r="B42" s="99" t="n">
        <f aca="true">TODAY()+1</f>
        <v>46304</v>
      </c>
      <c r="C42" s="96" t="n">
        <f aca="false">SUM(D42:H42)</f>
        <v>2</v>
      </c>
      <c r="D42" s="97" t="n">
        <f aca="false">COUNTIFS(Base!$E$5:$E$2004,$B42,Base!$I$5:$I$2004,D$40)</f>
        <v>0</v>
      </c>
      <c r="E42" s="97" t="n">
        <f aca="false">COUNTIFS(Base!$E$5:$E$2004,$B42,Base!$I$5:$I$2004,E$40)</f>
        <v>1</v>
      </c>
      <c r="F42" s="97" t="n">
        <f aca="false">COUNTIFS(Base!$E$5:$E$2004,$B42,Base!$I$5:$I$2004,F$40)</f>
        <v>1</v>
      </c>
      <c r="G42" s="97" t="n">
        <f aca="false">COUNTIFS(Base!$E$5:$E$2004,$B42,Base!$I$5:$I$2004,G$40)</f>
        <v>0</v>
      </c>
      <c r="H42" s="97" t="n">
        <f aca="false">COUNTIFS(Base!$E$5:$E$2004,$B42,Base!$I$5:$I$2004,H$40)</f>
        <v>0</v>
      </c>
      <c r="J42" s="98" t="str">
        <f aca="false">Config!$D$7</f>
        <v>R1</v>
      </c>
      <c r="K42" s="8" t="str">
        <f aca="false">Config!$C$7</f>
        <v>1ª Revisão</v>
      </c>
      <c r="L42" s="82" t="n">
        <f aca="false">COUNTIFS(Base!$D$5:$D$2004,2,Base!$E$5:$E$2004,"&gt;0")</f>
        <v>26</v>
      </c>
      <c r="M42" s="82" t="n">
        <f aca="false">COUNTIFS(Base!$D$5:$D$2004,2,Base!$K$5:$K$2004,"✓")</f>
        <v>4</v>
      </c>
      <c r="N42" s="83" t="n">
        <f aca="false">IF(L42=0,"",M42/L42)</f>
        <v>0.153846153846154</v>
      </c>
    </row>
    <row r="43" customFormat="false" ht="15" hidden="false" customHeight="false" outlineLevel="0" collapsed="false">
      <c r="B43" s="99" t="n">
        <f aca="true">TODAY()+2</f>
        <v>46305</v>
      </c>
      <c r="C43" s="96" t="n">
        <f aca="false">SUM(D43:H43)</f>
        <v>0</v>
      </c>
      <c r="D43" s="97" t="n">
        <f aca="false">COUNTIFS(Base!$E$5:$E$2004,$B43,Base!$I$5:$I$2004,D$40)</f>
        <v>0</v>
      </c>
      <c r="E43" s="97" t="n">
        <f aca="false">COUNTIFS(Base!$E$5:$E$2004,$B43,Base!$I$5:$I$2004,E$40)</f>
        <v>0</v>
      </c>
      <c r="F43" s="97" t="n">
        <f aca="false">COUNTIFS(Base!$E$5:$E$2004,$B43,Base!$I$5:$I$2004,F$40)</f>
        <v>0</v>
      </c>
      <c r="G43" s="97" t="n">
        <f aca="false">COUNTIFS(Base!$E$5:$E$2004,$B43,Base!$I$5:$I$2004,G$40)</f>
        <v>0</v>
      </c>
      <c r="H43" s="97" t="n">
        <f aca="false">COUNTIFS(Base!$E$5:$E$2004,$B43,Base!$I$5:$I$2004,H$40)</f>
        <v>0</v>
      </c>
      <c r="J43" s="98" t="str">
        <f aca="false">Config!$D$8</f>
        <v>R2</v>
      </c>
      <c r="K43" s="8" t="str">
        <f aca="false">Config!$C$8</f>
        <v>2ª Revisão</v>
      </c>
      <c r="L43" s="82" t="n">
        <f aca="false">COUNTIFS(Base!$D$5:$D$2004,3,Base!$E$5:$E$2004,"&gt;0")</f>
        <v>26</v>
      </c>
      <c r="M43" s="82" t="n">
        <f aca="false">COUNTIFS(Base!$D$5:$D$2004,3,Base!$K$5:$K$2004,"✓")</f>
        <v>0</v>
      </c>
      <c r="N43" s="83" t="n">
        <f aca="false">IF(L43=0,"",M43/L43)</f>
        <v>0</v>
      </c>
    </row>
    <row r="44" customFormat="false" ht="15" hidden="false" customHeight="false" outlineLevel="0" collapsed="false">
      <c r="B44" s="99" t="n">
        <f aca="true">TODAY()+3</f>
        <v>46306</v>
      </c>
      <c r="C44" s="96" t="n">
        <f aca="false">SUM(D44:H44)</f>
        <v>1</v>
      </c>
      <c r="D44" s="97" t="n">
        <f aca="false">COUNTIFS(Base!$E$5:$E$2004,$B44,Base!$I$5:$I$2004,D$40)</f>
        <v>1</v>
      </c>
      <c r="E44" s="97" t="n">
        <f aca="false">COUNTIFS(Base!$E$5:$E$2004,$B44,Base!$I$5:$I$2004,E$40)</f>
        <v>0</v>
      </c>
      <c r="F44" s="97" t="n">
        <f aca="false">COUNTIFS(Base!$E$5:$E$2004,$B44,Base!$I$5:$I$2004,F$40)</f>
        <v>0</v>
      </c>
      <c r="G44" s="97" t="n">
        <f aca="false">COUNTIFS(Base!$E$5:$E$2004,$B44,Base!$I$5:$I$2004,G$40)</f>
        <v>0</v>
      </c>
      <c r="H44" s="97" t="n">
        <f aca="false">COUNTIFS(Base!$E$5:$E$2004,$B44,Base!$I$5:$I$2004,H$40)</f>
        <v>0</v>
      </c>
      <c r="J44" s="98" t="str">
        <f aca="false">Config!$D$9</f>
        <v>R3</v>
      </c>
      <c r="K44" s="8" t="str">
        <f aca="false">Config!$C$9</f>
        <v>3ª Revisão</v>
      </c>
      <c r="L44" s="82" t="n">
        <f aca="false">COUNTIFS(Base!$D$5:$D$2004,4,Base!$E$5:$E$2004,"&gt;0")</f>
        <v>26</v>
      </c>
      <c r="M44" s="82" t="n">
        <f aca="false">COUNTIFS(Base!$D$5:$D$2004,4,Base!$K$5:$K$2004,"✓")</f>
        <v>0</v>
      </c>
      <c r="N44" s="83" t="n">
        <f aca="false">IF(L44=0,"",M44/L44)</f>
        <v>0</v>
      </c>
    </row>
    <row r="45" customFormat="false" ht="15" hidden="false" customHeight="false" outlineLevel="0" collapsed="false">
      <c r="B45" s="99" t="n">
        <f aca="true">TODAY()+4</f>
        <v>46307</v>
      </c>
      <c r="C45" s="96" t="n">
        <f aca="false">SUM(D45:H45)</f>
        <v>7</v>
      </c>
      <c r="D45" s="97" t="n">
        <f aca="false">COUNTIFS(Base!$E$5:$E$2004,$B45,Base!$I$5:$I$2004,D$40)</f>
        <v>2</v>
      </c>
      <c r="E45" s="97" t="n">
        <f aca="false">COUNTIFS(Base!$E$5:$E$2004,$B45,Base!$I$5:$I$2004,E$40)</f>
        <v>1</v>
      </c>
      <c r="F45" s="97" t="n">
        <f aca="false">COUNTIFS(Base!$E$5:$E$2004,$B45,Base!$I$5:$I$2004,F$40)</f>
        <v>4</v>
      </c>
      <c r="G45" s="97" t="n">
        <f aca="false">COUNTIFS(Base!$E$5:$E$2004,$B45,Base!$I$5:$I$2004,G$40)</f>
        <v>0</v>
      </c>
      <c r="H45" s="97" t="n">
        <f aca="false">COUNTIFS(Base!$E$5:$E$2004,$B45,Base!$I$5:$I$2004,H$40)</f>
        <v>0</v>
      </c>
      <c r="J45" s="98" t="str">
        <f aca="false">Config!$D$10</f>
        <v>R4</v>
      </c>
      <c r="K45" s="8" t="str">
        <f aca="false">Config!$C$10</f>
        <v>4ª Revisão</v>
      </c>
      <c r="L45" s="82" t="n">
        <f aca="false">COUNTIFS(Base!$D$5:$D$2004,5,Base!$E$5:$E$2004,"&gt;0")</f>
        <v>26</v>
      </c>
      <c r="M45" s="82" t="n">
        <f aca="false">COUNTIFS(Base!$D$5:$D$2004,5,Base!$K$5:$K$2004,"✓")</f>
        <v>0</v>
      </c>
      <c r="N45" s="83" t="n">
        <f aca="false">IF(L45=0,"",M45/L45)</f>
        <v>0</v>
      </c>
    </row>
    <row r="46" customFormat="false" ht="15" hidden="false" customHeight="false" outlineLevel="0" collapsed="false">
      <c r="B46" s="99" t="n">
        <f aca="true">TODAY()+5</f>
        <v>46308</v>
      </c>
      <c r="C46" s="96" t="n">
        <f aca="false">SUM(D46:H46)</f>
        <v>5</v>
      </c>
      <c r="D46" s="97" t="n">
        <f aca="false">COUNTIFS(Base!$E$5:$E$2004,$B46,Base!$I$5:$I$2004,D$40)</f>
        <v>0</v>
      </c>
      <c r="E46" s="97" t="n">
        <f aca="false">COUNTIFS(Base!$E$5:$E$2004,$B46,Base!$I$5:$I$2004,E$40)</f>
        <v>2</v>
      </c>
      <c r="F46" s="97" t="n">
        <f aca="false">COUNTIFS(Base!$E$5:$E$2004,$B46,Base!$I$5:$I$2004,F$40)</f>
        <v>3</v>
      </c>
      <c r="G46" s="97" t="n">
        <f aca="false">COUNTIFS(Base!$E$5:$E$2004,$B46,Base!$I$5:$I$2004,G$40)</f>
        <v>0</v>
      </c>
      <c r="H46" s="97" t="n">
        <f aca="false">COUNTIFS(Base!$E$5:$E$2004,$B46,Base!$I$5:$I$2004,H$40)</f>
        <v>0</v>
      </c>
      <c r="J46" s="98" t="str">
        <f aca="false">Config!$D$11</f>
        <v>R5</v>
      </c>
      <c r="K46" s="8" t="str">
        <f aca="false">Config!$C$11</f>
        <v>5ª Revisão</v>
      </c>
      <c r="L46" s="82" t="n">
        <f aca="false">COUNTIFS(Base!$D$5:$D$2004,6,Base!$E$5:$E$2004,"&gt;0")</f>
        <v>26</v>
      </c>
      <c r="M46" s="82" t="n">
        <f aca="false">COUNTIFS(Base!$D$5:$D$2004,6,Base!$K$5:$K$2004,"✓")</f>
        <v>0</v>
      </c>
      <c r="N46" s="83" t="n">
        <f aca="false">IF(L46=0,"",M46/L46)</f>
        <v>0</v>
      </c>
    </row>
    <row r="47" customFormat="false" ht="15" hidden="false" customHeight="false" outlineLevel="0" collapsed="false">
      <c r="B47" s="99" t="n">
        <f aca="true">TODAY()+6</f>
        <v>46309</v>
      </c>
      <c r="C47" s="96" t="n">
        <f aca="false">SUM(D47:H47)</f>
        <v>2</v>
      </c>
      <c r="D47" s="97" t="n">
        <f aca="false">COUNTIFS(Base!$E$5:$E$2004,$B47,Base!$I$5:$I$2004,D$40)</f>
        <v>2</v>
      </c>
      <c r="E47" s="97" t="n">
        <f aca="false">COUNTIFS(Base!$E$5:$E$2004,$B47,Base!$I$5:$I$2004,E$40)</f>
        <v>0</v>
      </c>
      <c r="F47" s="97" t="n">
        <f aca="false">COUNTIFS(Base!$E$5:$E$2004,$B47,Base!$I$5:$I$2004,F$40)</f>
        <v>0</v>
      </c>
      <c r="G47" s="97" t="n">
        <f aca="false">COUNTIFS(Base!$E$5:$E$2004,$B47,Base!$I$5:$I$2004,G$40)</f>
        <v>0</v>
      </c>
      <c r="H47" s="97" t="n">
        <f aca="false">COUNTIFS(Base!$E$5:$E$2004,$B47,Base!$I$5:$I$2004,H$40)</f>
        <v>0</v>
      </c>
    </row>
    <row r="48" customFormat="false" ht="15" hidden="false" customHeight="false" outlineLevel="0" collapsed="false">
      <c r="B48" s="99" t="n">
        <f aca="true">TODAY()+7</f>
        <v>46310</v>
      </c>
      <c r="C48" s="96" t="n">
        <f aca="false">SUM(D48:H48)</f>
        <v>3</v>
      </c>
      <c r="D48" s="97" t="n">
        <f aca="false">COUNTIFS(Base!$E$5:$E$2004,$B48,Base!$I$5:$I$2004,D$40)</f>
        <v>0</v>
      </c>
      <c r="E48" s="97" t="n">
        <f aca="false">COUNTIFS(Base!$E$5:$E$2004,$B48,Base!$I$5:$I$2004,E$40)</f>
        <v>2</v>
      </c>
      <c r="F48" s="97" t="n">
        <f aca="false">COUNTIFS(Base!$E$5:$E$2004,$B48,Base!$I$5:$I$2004,F$40)</f>
        <v>1</v>
      </c>
      <c r="G48" s="97" t="n">
        <f aca="false">COUNTIFS(Base!$E$5:$E$2004,$B48,Base!$I$5:$I$2004,G$40)</f>
        <v>0</v>
      </c>
      <c r="H48" s="97" t="n">
        <f aca="false">COUNTIFS(Base!$E$5:$E$2004,$B48,Base!$I$5:$I$2004,H$40)</f>
        <v>0</v>
      </c>
    </row>
    <row r="49" customFormat="false" ht="15" hidden="false" customHeight="false" outlineLevel="0" collapsed="false">
      <c r="B49" s="99" t="n">
        <f aca="true">TODAY()+8</f>
        <v>46311</v>
      </c>
      <c r="C49" s="96" t="n">
        <f aca="false">SUM(D49:H49)</f>
        <v>4</v>
      </c>
      <c r="D49" s="97" t="n">
        <f aca="false">COUNTIFS(Base!$E$5:$E$2004,$B49,Base!$I$5:$I$2004,D$40)</f>
        <v>4</v>
      </c>
      <c r="E49" s="97" t="n">
        <f aca="false">COUNTIFS(Base!$E$5:$E$2004,$B49,Base!$I$5:$I$2004,E$40)</f>
        <v>0</v>
      </c>
      <c r="F49" s="97" t="n">
        <f aca="false">COUNTIFS(Base!$E$5:$E$2004,$B49,Base!$I$5:$I$2004,F$40)</f>
        <v>0</v>
      </c>
      <c r="G49" s="97" t="n">
        <f aca="false">COUNTIFS(Base!$E$5:$E$2004,$B49,Base!$I$5:$I$2004,G$40)</f>
        <v>0</v>
      </c>
      <c r="H49" s="97" t="n">
        <f aca="false">COUNTIFS(Base!$E$5:$E$2004,$B49,Base!$I$5:$I$2004,H$40)</f>
        <v>0</v>
      </c>
    </row>
    <row r="50" customFormat="false" ht="15" hidden="false" customHeight="false" outlineLevel="0" collapsed="false">
      <c r="B50" s="99" t="n">
        <f aca="true">TODAY()+9</f>
        <v>46312</v>
      </c>
      <c r="C50" s="96" t="n">
        <f aca="false">SUM(D50:H50)</f>
        <v>5</v>
      </c>
      <c r="D50" s="97" t="n">
        <f aca="false">COUNTIFS(Base!$E$5:$E$2004,$B50,Base!$I$5:$I$2004,D$40)</f>
        <v>0</v>
      </c>
      <c r="E50" s="97" t="n">
        <f aca="false">COUNTIFS(Base!$E$5:$E$2004,$B50,Base!$I$5:$I$2004,E$40)</f>
        <v>4</v>
      </c>
      <c r="F50" s="97" t="n">
        <f aca="false">COUNTIFS(Base!$E$5:$E$2004,$B50,Base!$I$5:$I$2004,F$40)</f>
        <v>1</v>
      </c>
      <c r="G50" s="97" t="n">
        <f aca="false">COUNTIFS(Base!$E$5:$E$2004,$B50,Base!$I$5:$I$2004,G$40)</f>
        <v>0</v>
      </c>
      <c r="H50" s="97" t="n">
        <f aca="false">COUNTIFS(Base!$E$5:$E$2004,$B50,Base!$I$5:$I$2004,H$40)</f>
        <v>0</v>
      </c>
    </row>
    <row r="51" customFormat="false" ht="15" hidden="false" customHeight="false" outlineLevel="0" collapsed="false">
      <c r="B51" s="99" t="n">
        <f aca="true">TODAY()+10</f>
        <v>46313</v>
      </c>
      <c r="C51" s="96" t="n">
        <f aca="false">SUM(D51:H51)</f>
        <v>1</v>
      </c>
      <c r="D51" s="97" t="n">
        <f aca="false">COUNTIFS(Base!$E$5:$E$2004,$B51,Base!$I$5:$I$2004,D$40)</f>
        <v>0</v>
      </c>
      <c r="E51" s="97" t="n">
        <f aca="false">COUNTIFS(Base!$E$5:$E$2004,$B51,Base!$I$5:$I$2004,E$40)</f>
        <v>0</v>
      </c>
      <c r="F51" s="97" t="n">
        <f aca="false">COUNTIFS(Base!$E$5:$E$2004,$B51,Base!$I$5:$I$2004,F$40)</f>
        <v>1</v>
      </c>
      <c r="G51" s="97" t="n">
        <f aca="false">COUNTIFS(Base!$E$5:$E$2004,$B51,Base!$I$5:$I$2004,G$40)</f>
        <v>0</v>
      </c>
      <c r="H51" s="97" t="n">
        <f aca="false">COUNTIFS(Base!$E$5:$E$2004,$B51,Base!$I$5:$I$2004,H$40)</f>
        <v>0</v>
      </c>
    </row>
    <row r="52" customFormat="false" ht="15" hidden="false" customHeight="false" outlineLevel="0" collapsed="false">
      <c r="B52" s="99" t="n">
        <f aca="true">TODAY()+11</f>
        <v>46314</v>
      </c>
      <c r="C52" s="96" t="n">
        <f aca="false">SUM(D52:H52)</f>
        <v>3</v>
      </c>
      <c r="D52" s="97" t="n">
        <f aca="false">COUNTIFS(Base!$E$5:$E$2004,$B52,Base!$I$5:$I$2004,D$40)</f>
        <v>1</v>
      </c>
      <c r="E52" s="97" t="n">
        <f aca="false">COUNTIFS(Base!$E$5:$E$2004,$B52,Base!$I$5:$I$2004,E$40)</f>
        <v>0</v>
      </c>
      <c r="F52" s="97" t="n">
        <f aca="false">COUNTIFS(Base!$E$5:$E$2004,$B52,Base!$I$5:$I$2004,F$40)</f>
        <v>2</v>
      </c>
      <c r="G52" s="97" t="n">
        <f aca="false">COUNTIFS(Base!$E$5:$E$2004,$B52,Base!$I$5:$I$2004,G$40)</f>
        <v>0</v>
      </c>
      <c r="H52" s="97" t="n">
        <f aca="false">COUNTIFS(Base!$E$5:$E$2004,$B52,Base!$I$5:$I$2004,H$40)</f>
        <v>0</v>
      </c>
    </row>
    <row r="53" customFormat="false" ht="15" hidden="false" customHeight="false" outlineLevel="0" collapsed="false">
      <c r="B53" s="99" t="n">
        <f aca="true">TODAY()+12</f>
        <v>46315</v>
      </c>
      <c r="C53" s="96" t="n">
        <f aca="false">SUM(D53:H53)</f>
        <v>4</v>
      </c>
      <c r="D53" s="97" t="n">
        <f aca="false">COUNTIFS(Base!$E$5:$E$2004,$B53,Base!$I$5:$I$2004,D$40)</f>
        <v>2</v>
      </c>
      <c r="E53" s="97" t="n">
        <f aca="false">COUNTIFS(Base!$E$5:$E$2004,$B53,Base!$I$5:$I$2004,E$40)</f>
        <v>1</v>
      </c>
      <c r="F53" s="97" t="n">
        <f aca="false">COUNTIFS(Base!$E$5:$E$2004,$B53,Base!$I$5:$I$2004,F$40)</f>
        <v>1</v>
      </c>
      <c r="G53" s="97" t="n">
        <f aca="false">COUNTIFS(Base!$E$5:$E$2004,$B53,Base!$I$5:$I$2004,G$40)</f>
        <v>0</v>
      </c>
      <c r="H53" s="97" t="n">
        <f aca="false">COUNTIFS(Base!$E$5:$E$2004,$B53,Base!$I$5:$I$2004,H$40)</f>
        <v>0</v>
      </c>
    </row>
    <row r="54" customFormat="false" ht="15" hidden="false" customHeight="false" outlineLevel="0" collapsed="false">
      <c r="B54" s="99" t="n">
        <f aca="true">TODAY()+13</f>
        <v>46316</v>
      </c>
      <c r="C54" s="96" t="n">
        <f aca="false">SUM(D54:H54)</f>
        <v>4</v>
      </c>
      <c r="D54" s="97" t="n">
        <f aca="false">COUNTIFS(Base!$E$5:$E$2004,$B54,Base!$I$5:$I$2004,D$40)</f>
        <v>0</v>
      </c>
      <c r="E54" s="97" t="n">
        <f aca="false">COUNTIFS(Base!$E$5:$E$2004,$B54,Base!$I$5:$I$2004,E$40)</f>
        <v>2</v>
      </c>
      <c r="F54" s="97" t="n">
        <f aca="false">COUNTIFS(Base!$E$5:$E$2004,$B54,Base!$I$5:$I$2004,F$40)</f>
        <v>2</v>
      </c>
      <c r="G54" s="97" t="n">
        <f aca="false">COUNTIFS(Base!$E$5:$E$2004,$B54,Base!$I$5:$I$2004,G$40)</f>
        <v>0</v>
      </c>
      <c r="H54" s="97" t="n">
        <f aca="false">COUNTIFS(Base!$E$5:$E$2004,$B54,Base!$I$5:$I$2004,H$40)</f>
        <v>0</v>
      </c>
    </row>
  </sheetData>
  <conditionalFormatting sqref="F10:F14">
    <cfRule type="dataBar" priority="2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{A03A258D-CA3F-4CF6-8B36-9DF23C73B461}</x14:id>
        </ext>
      </extLst>
    </cfRule>
  </conditionalFormatting>
  <conditionalFormatting sqref="N10:N17">
    <cfRule type="dataBar" priority="3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{B55B6BD4-D0E1-44A0-8E16-CD2F3B362523}</x14:id>
        </ext>
      </extLst>
    </cfRule>
  </conditionalFormatting>
  <conditionalFormatting sqref="C22:C36">
    <cfRule type="expression" priority="4" aboveAverage="0" equalAverage="0" bottom="0" percent="0" rank="0" text="" dxfId="47">
      <formula>$F22="Concluído"</formula>
    </cfRule>
  </conditionalFormatting>
  <conditionalFormatting sqref="E22:E36">
    <cfRule type="expression" priority="5" aboveAverage="0" equalAverage="0" bottom="0" percent="0" rank="0" text="" dxfId="42">
      <formula>$E22="Teórica"</formula>
    </cfRule>
    <cfRule type="expression" priority="6" aboveAverage="0" equalAverage="0" bottom="0" percent="0" rank="0" text="" dxfId="43">
      <formula>$E22="Revisão"</formula>
    </cfRule>
    <cfRule type="expression" priority="7" aboveAverage="0" equalAverage="0" bottom="0" percent="0" rank="0" text="" dxfId="44">
      <formula>$E22="Prática"</formula>
    </cfRule>
    <cfRule type="expression" priority="8" aboveAverage="0" equalAverage="0" bottom="0" percent="0" rank="0" text="" dxfId="45">
      <formula>$E22="Simulado"</formula>
    </cfRule>
    <cfRule type="expression" priority="9" aboveAverage="0" equalAverage="0" bottom="0" percent="0" rank="0" text="" dxfId="46">
      <formula>$E22="Outro"</formula>
    </cfRule>
  </conditionalFormatting>
  <conditionalFormatting sqref="M22:M36">
    <cfRule type="expression" priority="10" aboveAverage="0" equalAverage="0" bottom="0" percent="0" rank="0" text="" dxfId="42">
      <formula>$M22="Teórica"</formula>
    </cfRule>
    <cfRule type="expression" priority="11" aboveAverage="0" equalAverage="0" bottom="0" percent="0" rank="0" text="" dxfId="43">
      <formula>$M22="Revisão"</formula>
    </cfRule>
    <cfRule type="expression" priority="12" aboveAverage="0" equalAverage="0" bottom="0" percent="0" rank="0" text="" dxfId="44">
      <formula>$M22="Prática"</formula>
    </cfRule>
    <cfRule type="expression" priority="13" aboveAverage="0" equalAverage="0" bottom="0" percent="0" rank="0" text="" dxfId="45">
      <formula>$M22="Simulado"</formula>
    </cfRule>
    <cfRule type="expression" priority="14" aboveAverage="0" equalAverage="0" bottom="0" percent="0" rank="0" text="" dxfId="46">
      <formula>$M22="Outro"</formula>
    </cfRule>
  </conditionalFormatting>
  <conditionalFormatting sqref="C41:C54">
    <cfRule type="dataBar" priority="15">
      <dataBar showValue="1" minLength="10" maxLength="90">
        <cfvo type="num" val="0"/>
        <cfvo type="max" val="0"/>
        <color rgb="FF93C5FD"/>
      </dataBar>
      <extLst>
        <ext xmlns:x14="http://schemas.microsoft.com/office/spreadsheetml/2009/9/main" uri="{B025F937-C7B1-47D3-B67F-A62EFF666E3E}">
          <x14:id>{81324973-6F94-4A80-B3C4-40966577DBA0}</x14:id>
        </ext>
      </extLst>
    </cfRule>
  </conditionalFormatting>
  <conditionalFormatting sqref="N41:N46">
    <cfRule type="dataBar" priority="16">
      <dataBar showValue="1" minLength="10" maxLength="90">
        <cfvo type="num" val="0"/>
        <cfvo type="num" val="1"/>
        <color rgb="FF86EFAC"/>
      </dataBar>
      <extLst>
        <ext xmlns:x14="http://schemas.microsoft.com/office/spreadsheetml/2009/9/main" uri="{B025F937-C7B1-47D3-B67F-A62EFF666E3E}">
          <x14:id>{D518F9F9-6C6A-43A9-BACE-1AE1FFD1E17D}</x14:id>
        </ext>
      </extLst>
    </cfRule>
  </conditionalFormatting>
  <hyperlinks>
    <hyperlink ref="J1" location="'Calendário'!A1" display="Mês"/>
    <hyperlink ref="K1" location="'Semana'!A1" display="Semana"/>
    <hyperlink ref="L1" location="'Tabela'!A1" display="Tabela"/>
    <hyperlink ref="M1" location="'Painel'!A1" display="Painel"/>
    <hyperlink ref="N1" location="'Temas'!B6" display="+ Novo te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A258D-CA3F-4CF6-8B36-9DF23C73B46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F10:F14</xm:sqref>
        </x14:conditionalFormatting>
        <x14:conditionalFormatting xmlns:xm="http://schemas.microsoft.com/office/excel/2006/main">
          <x14:cfRule type="dataBar" id="{B55B6BD4-D0E1-44A0-8E16-CD2F3B36252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N10:N17</xm:sqref>
        </x14:conditionalFormatting>
        <x14:conditionalFormatting xmlns:xm="http://schemas.microsoft.com/office/excel/2006/main">
          <x14:cfRule type="dataBar" id="{81324973-6F94-4A80-B3C4-40966577DBA0}">
            <x14:dataBar minLength="10" maxLength="90" axisPosition="none" gradient="true">
              <x14:cfvo type="num">
                <xm:f>0</xm:f>
              </x14:cfvo>
              <x14:cfvo type="max"/>
              <x14:negativeFillColor rgb="FF93C5FD"/>
              <x14:axisColor rgb="FF000000"/>
            </x14:dataBar>
          </x14:cfRule>
          <xm:sqref>C41:C54</xm:sqref>
        </x14:conditionalFormatting>
        <x14:conditionalFormatting xmlns:xm="http://schemas.microsoft.com/office/excel/2006/main">
          <x14:cfRule type="dataBar" id="{D518F9F9-6C6A-43A9-BACE-1AE1FFD1E17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EFAC"/>
              <x14:axisColor rgb="FF000000"/>
            </x14:dataBar>
          </x14:cfRule>
          <xm:sqref>N41:N46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716C"/>
    <pageSetUpPr fitToPage="fals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10" min="9" style="0" width="14"/>
    <col collapsed="false" customWidth="true" hidden="false" outlineLevel="0" max="11" min="11" style="0" width="28"/>
  </cols>
  <sheetData>
    <row r="1" customFormat="false" ht="22.05" hidden="false" customHeight="false" outlineLevel="0" collapsed="false">
      <c r="B1" s="15" t="s">
        <v>185</v>
      </c>
    </row>
    <row r="2" customFormat="false" ht="15" hidden="false" customHeight="false" outlineLevel="0" collapsed="false">
      <c r="B2" s="16" t="s">
        <v>186</v>
      </c>
    </row>
    <row r="4" customFormat="false" ht="15" hidden="false" customHeight="false" outlineLevel="0" collapsed="false">
      <c r="B4" s="80" t="s">
        <v>187</v>
      </c>
    </row>
    <row r="5" customFormat="false" ht="21.75" hidden="false" customHeight="true" outlineLevel="0" collapsed="false">
      <c r="B5" s="18" t="s">
        <v>72</v>
      </c>
      <c r="C5" s="18" t="s">
        <v>159</v>
      </c>
      <c r="D5" s="18" t="s">
        <v>160</v>
      </c>
      <c r="E5" s="18" t="s">
        <v>188</v>
      </c>
      <c r="F5" s="18" t="s">
        <v>189</v>
      </c>
      <c r="G5" s="18" t="s">
        <v>16</v>
      </c>
      <c r="I5" s="18" t="s">
        <v>190</v>
      </c>
      <c r="J5" s="18" t="s">
        <v>18</v>
      </c>
      <c r="K5" s="18" t="s">
        <v>191</v>
      </c>
    </row>
    <row r="6" customFormat="false" ht="15" hidden="false" customHeight="false" outlineLevel="0" collapsed="false">
      <c r="B6" s="100" t="n">
        <v>1</v>
      </c>
      <c r="C6" s="21" t="s">
        <v>192</v>
      </c>
      <c r="D6" s="101" t="s">
        <v>193</v>
      </c>
      <c r="E6" s="21" t="s">
        <v>194</v>
      </c>
      <c r="F6" s="101" t="n">
        <v>0</v>
      </c>
      <c r="G6" s="101" t="s">
        <v>195</v>
      </c>
      <c r="I6" s="102" t="s">
        <v>196</v>
      </c>
      <c r="J6" s="102" t="s">
        <v>197</v>
      </c>
      <c r="K6" s="21" t="s">
        <v>87</v>
      </c>
    </row>
    <row r="7" customFormat="false" ht="15" hidden="false" customHeight="false" outlineLevel="0" collapsed="false">
      <c r="B7" s="100" t="n">
        <v>2</v>
      </c>
      <c r="C7" s="21" t="s">
        <v>198</v>
      </c>
      <c r="D7" s="101" t="s">
        <v>199</v>
      </c>
      <c r="E7" s="21" t="s">
        <v>200</v>
      </c>
      <c r="F7" s="101" t="n">
        <v>1</v>
      </c>
      <c r="G7" s="101" t="s">
        <v>195</v>
      </c>
      <c r="I7" s="102" t="s">
        <v>201</v>
      </c>
      <c r="J7" s="102" t="s">
        <v>202</v>
      </c>
      <c r="K7" s="21" t="s">
        <v>96</v>
      </c>
    </row>
    <row r="8" customFormat="false" ht="15" hidden="false" customHeight="false" outlineLevel="0" collapsed="false">
      <c r="B8" s="100" t="n">
        <v>3</v>
      </c>
      <c r="C8" s="21" t="s">
        <v>203</v>
      </c>
      <c r="D8" s="101" t="s">
        <v>204</v>
      </c>
      <c r="E8" s="21" t="s">
        <v>205</v>
      </c>
      <c r="F8" s="101" t="n">
        <v>7</v>
      </c>
      <c r="G8" s="101" t="s">
        <v>195</v>
      </c>
      <c r="I8" s="102" t="s">
        <v>206</v>
      </c>
      <c r="J8" s="102" t="s">
        <v>207</v>
      </c>
      <c r="K8" s="21" t="s">
        <v>83</v>
      </c>
    </row>
    <row r="9" customFormat="false" ht="15" hidden="false" customHeight="false" outlineLevel="0" collapsed="false">
      <c r="B9" s="100" t="n">
        <v>4</v>
      </c>
      <c r="C9" s="21" t="s">
        <v>208</v>
      </c>
      <c r="D9" s="101" t="s">
        <v>209</v>
      </c>
      <c r="E9" s="21" t="s">
        <v>205</v>
      </c>
      <c r="F9" s="101" t="n">
        <v>15</v>
      </c>
      <c r="G9" s="101" t="s">
        <v>195</v>
      </c>
      <c r="I9" s="102" t="s">
        <v>210</v>
      </c>
      <c r="J9" s="102" t="s">
        <v>211</v>
      </c>
      <c r="K9" s="21" t="s">
        <v>99</v>
      </c>
    </row>
    <row r="10" customFormat="false" ht="15" hidden="false" customHeight="false" outlineLevel="0" collapsed="false">
      <c r="B10" s="100" t="n">
        <v>5</v>
      </c>
      <c r="C10" s="21" t="s">
        <v>212</v>
      </c>
      <c r="D10" s="101" t="s">
        <v>213</v>
      </c>
      <c r="E10" s="21" t="s">
        <v>205</v>
      </c>
      <c r="F10" s="101" t="n">
        <v>30</v>
      </c>
      <c r="G10" s="101" t="s">
        <v>195</v>
      </c>
      <c r="I10" s="102" t="s">
        <v>214</v>
      </c>
      <c r="J10" s="102" t="s">
        <v>215</v>
      </c>
      <c r="K10" s="21" t="s">
        <v>216</v>
      </c>
    </row>
    <row r="11" customFormat="false" ht="15" hidden="false" customHeight="false" outlineLevel="0" collapsed="false">
      <c r="B11" s="100" t="n">
        <v>6</v>
      </c>
      <c r="C11" s="21" t="s">
        <v>217</v>
      </c>
      <c r="D11" s="101" t="s">
        <v>218</v>
      </c>
      <c r="E11" s="21" t="s">
        <v>200</v>
      </c>
      <c r="F11" s="101" t="n">
        <v>60</v>
      </c>
      <c r="G11" s="101" t="s">
        <v>195</v>
      </c>
      <c r="I11" s="102" t="s">
        <v>219</v>
      </c>
      <c r="J11" s="102" t="s">
        <v>220</v>
      </c>
      <c r="K11" s="21" t="s">
        <v>221</v>
      </c>
    </row>
    <row r="12" customFormat="false" ht="15" hidden="false" customHeight="false" outlineLevel="0" collapsed="false">
      <c r="I12" s="102" t="s">
        <v>222</v>
      </c>
      <c r="J12" s="102" t="s">
        <v>223</v>
      </c>
      <c r="K12" s="21"/>
    </row>
    <row r="13" customFormat="false" ht="15" hidden="false" customHeight="false" outlineLevel="0" collapsed="false">
      <c r="B13" s="80" t="s">
        <v>224</v>
      </c>
      <c r="I13" s="102" t="s">
        <v>225</v>
      </c>
      <c r="J13" s="102" t="s">
        <v>226</v>
      </c>
      <c r="K13" s="21"/>
    </row>
    <row r="14" customFormat="false" ht="21.75" hidden="false" customHeight="true" outlineLevel="0" collapsed="false">
      <c r="B14" s="18" t="s">
        <v>72</v>
      </c>
      <c r="C14" s="18" t="s">
        <v>117</v>
      </c>
      <c r="D14" s="18" t="s">
        <v>227</v>
      </c>
      <c r="E14" s="18" t="s">
        <v>228</v>
      </c>
      <c r="F14" s="18" t="s">
        <v>229</v>
      </c>
      <c r="G14" s="18"/>
      <c r="I14" s="102" t="s">
        <v>230</v>
      </c>
    </row>
    <row r="15" customFormat="false" ht="15" hidden="false" customHeight="false" outlineLevel="0" collapsed="false">
      <c r="B15" s="100" t="n">
        <v>1</v>
      </c>
      <c r="C15" s="21" t="s">
        <v>194</v>
      </c>
      <c r="D15" s="100" t="s">
        <v>231</v>
      </c>
      <c r="E15" s="101" t="s">
        <v>193</v>
      </c>
      <c r="F15" s="103" t="s">
        <v>29</v>
      </c>
      <c r="I15" s="102" t="s">
        <v>127</v>
      </c>
    </row>
    <row r="16" customFormat="false" ht="15" hidden="false" customHeight="false" outlineLevel="0" collapsed="false">
      <c r="B16" s="100" t="n">
        <v>2</v>
      </c>
      <c r="C16" s="21" t="s">
        <v>200</v>
      </c>
      <c r="D16" s="100" t="s">
        <v>232</v>
      </c>
      <c r="E16" s="101" t="s">
        <v>233</v>
      </c>
      <c r="F16" s="104" t="s">
        <v>31</v>
      </c>
      <c r="I16" s="102" t="s">
        <v>234</v>
      </c>
    </row>
    <row r="17" customFormat="false" ht="15" hidden="false" customHeight="false" outlineLevel="0" collapsed="false">
      <c r="B17" s="100" t="n">
        <v>3</v>
      </c>
      <c r="C17" s="21" t="s">
        <v>205</v>
      </c>
      <c r="D17" s="100" t="s">
        <v>235</v>
      </c>
      <c r="E17" s="101" t="s">
        <v>236</v>
      </c>
      <c r="F17" s="105" t="s">
        <v>33</v>
      </c>
      <c r="I17" s="102" t="s">
        <v>237</v>
      </c>
    </row>
    <row r="18" customFormat="false" ht="15" hidden="false" customHeight="false" outlineLevel="0" collapsed="false">
      <c r="B18" s="100" t="n">
        <v>4</v>
      </c>
      <c r="C18" s="21" t="s">
        <v>121</v>
      </c>
      <c r="D18" s="100" t="s">
        <v>238</v>
      </c>
      <c r="E18" s="101" t="s">
        <v>238</v>
      </c>
      <c r="F18" s="106" t="s">
        <v>35</v>
      </c>
    </row>
    <row r="19" customFormat="false" ht="15" hidden="false" customHeight="false" outlineLevel="0" collapsed="false">
      <c r="B19" s="100" t="n">
        <v>5</v>
      </c>
      <c r="C19" s="21" t="s">
        <v>239</v>
      </c>
      <c r="D19" s="100" t="s">
        <v>240</v>
      </c>
      <c r="E19" s="101" t="s">
        <v>241</v>
      </c>
      <c r="F19" s="107" t="s">
        <v>37</v>
      </c>
    </row>
    <row r="21" customFormat="false" ht="15" hidden="false" customHeight="false" outlineLevel="0" collapsed="false">
      <c r="B21" s="80" t="s">
        <v>242</v>
      </c>
    </row>
    <row r="22" customFormat="false" ht="15" hidden="false" customHeight="false" outlineLevel="0" collapsed="false">
      <c r="B22" s="108" t="s">
        <v>243</v>
      </c>
      <c r="C22" s="108"/>
      <c r="D22" s="108"/>
      <c r="E22" s="101" t="s">
        <v>195</v>
      </c>
    </row>
    <row r="23" customFormat="false" ht="15" hidden="false" customHeight="false" outlineLevel="0" collapsed="false">
      <c r="B23" s="108" t="s">
        <v>244</v>
      </c>
      <c r="C23" s="108"/>
      <c r="D23" s="108"/>
      <c r="E23" s="101" t="s">
        <v>197</v>
      </c>
    </row>
    <row r="24" customFormat="false" ht="15" hidden="false" customHeight="false" outlineLevel="0" collapsed="false">
      <c r="B24" s="109" t="s">
        <v>245</v>
      </c>
      <c r="C24" s="109"/>
      <c r="D24" s="109"/>
      <c r="E24" s="110" t="n">
        <f aca="false">IFERROR(MATCH($E$23,$J$6:$J$13,0)-1,0)</f>
        <v>0</v>
      </c>
    </row>
    <row r="26" customFormat="false" ht="15" hidden="false" customHeight="false" outlineLevel="0" collapsed="false">
      <c r="B26" s="111" t="s">
        <v>246</v>
      </c>
    </row>
    <row r="27" customFormat="false" ht="15" hidden="false" customHeight="false" outlineLevel="0" collapsed="false">
      <c r="B27" s="112" t="s">
        <v>247</v>
      </c>
      <c r="C27" s="112"/>
      <c r="D27" s="112"/>
      <c r="E27" s="100" t="n">
        <v>300</v>
      </c>
    </row>
    <row r="28" customFormat="false" ht="15" hidden="false" customHeight="false" outlineLevel="0" collapsed="false">
      <c r="B28" s="112" t="s">
        <v>248</v>
      </c>
      <c r="C28" s="112"/>
      <c r="D28" s="112"/>
      <c r="E28" s="100" t="n">
        <v>6</v>
      </c>
    </row>
    <row r="29" customFormat="false" ht="15" hidden="false" customHeight="false" outlineLevel="0" collapsed="false">
      <c r="B29" s="112" t="s">
        <v>249</v>
      </c>
      <c r="C29" s="112"/>
      <c r="D29" s="112"/>
      <c r="E29" s="100" t="n">
        <v>200</v>
      </c>
    </row>
  </sheetData>
  <mergeCells count="6">
    <mergeCell ref="B22:D22"/>
    <mergeCell ref="B23:D23"/>
    <mergeCell ref="B24:D24"/>
    <mergeCell ref="B27:D27"/>
    <mergeCell ref="B28:D28"/>
    <mergeCell ref="B29:D29"/>
  </mergeCells>
  <dataValidations count="4">
    <dataValidation allowBlank="false" errorStyle="stop" operator="between" showDropDown="false" showErrorMessage="false" showInputMessage="false" sqref="E6:E11" type="list">
      <formula1>$C$15:$C$19</formula1>
      <formula2>0</formula2>
    </dataValidation>
    <dataValidation allowBlank="false" errorStyle="stop" operator="between" showDropDown="false" showErrorMessage="false" showInputMessage="false" sqref="G6:G11 E22" type="list">
      <formula1>"Sim,Não"</formula1>
      <formula2>0</formula2>
    </dataValidation>
    <dataValidation allowBlank="false" error="Use um número inteiro de dias (0 a 3650)." errorStyle="stop" operator="between" showDropDown="false" showErrorMessage="true" showInputMessage="false" sqref="F6:F11" type="whole">
      <formula1>0</formula1>
      <formula2>3650</formula2>
    </dataValidation>
    <dataValidation allowBlank="false" errorStyle="stop" operator="between" showDropDown="false" showErrorMessage="false" showInputMessage="false" sqref="E23" type="list">
      <formula1>$J$6:$J$13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A29E"/>
    <pageSetUpPr fitToPage="false"/>
  </sheetPr>
  <dimension ref="A1:Q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7"/>
    <col collapsed="false" customWidth="true" hidden="false" outlineLevel="0" max="15" min="15" style="0" width="5"/>
    <col collapsed="false" customWidth="true" hidden="false" outlineLevel="0" max="16" min="16" style="0" width="11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113" t="s">
        <v>250</v>
      </c>
    </row>
    <row r="2" customFormat="false" ht="15" hidden="false" customHeight="false" outlineLevel="0" collapsed="false">
      <c r="A2" s="16" t="s">
        <v>251</v>
      </c>
    </row>
    <row r="4" customFormat="false" ht="21.75" hidden="false" customHeight="true" outlineLevel="0" collapsed="false">
      <c r="A4" s="18" t="s">
        <v>72</v>
      </c>
      <c r="B4" s="18" t="s">
        <v>252</v>
      </c>
      <c r="C4" s="18" t="s">
        <v>253</v>
      </c>
      <c r="D4" s="18" t="s">
        <v>159</v>
      </c>
      <c r="E4" s="18" t="s">
        <v>76</v>
      </c>
      <c r="F4" s="18" t="s">
        <v>158</v>
      </c>
      <c r="G4" s="18" t="s">
        <v>254</v>
      </c>
      <c r="H4" s="18" t="s">
        <v>160</v>
      </c>
      <c r="I4" s="18" t="s">
        <v>117</v>
      </c>
      <c r="J4" s="18" t="s">
        <v>74</v>
      </c>
      <c r="K4" s="18" t="s">
        <v>77</v>
      </c>
      <c r="L4" s="18" t="s">
        <v>161</v>
      </c>
      <c r="M4" s="18" t="s">
        <v>255</v>
      </c>
      <c r="N4" s="18" t="s">
        <v>229</v>
      </c>
      <c r="O4" s="18" t="s">
        <v>256</v>
      </c>
      <c r="P4" s="18" t="s">
        <v>257</v>
      </c>
      <c r="Q4" s="18" t="s">
        <v>258</v>
      </c>
    </row>
    <row r="5" customFormat="false" ht="15" hidden="false" customHeight="false" outlineLevel="0" collapsed="false">
      <c r="A5" s="114" t="n">
        <f aca="false">ROW()-4</f>
        <v>1</v>
      </c>
      <c r="B5" s="114" t="str">
        <f aca="false">IF(A5&lt;=Config!$E$27*Config!$E$28,"Tema","Avulso")</f>
        <v>Tema</v>
      </c>
      <c r="C5" s="114" t="n">
        <f aca="false">IF(B5="Tema",INT((A5-1)/Config!$E$28)+1,A5-Config!$E$27*Config!$E$28)</f>
        <v>1</v>
      </c>
      <c r="D5" s="114" t="n">
        <f aca="false">IF(B5="Tema",MOD(A5-1,Config!$E$28)+1,"")</f>
        <v>1</v>
      </c>
      <c r="E5" s="115" t="n">
        <f aca="false">IF($B5="Tema",IF(ISNUMBER(INDEX(Temas!$E$6:$P$305,$C5,2*$D5-1)),INDEX(Temas!$E$6:$P$305,$C5,2*$D5-1),""),IF(ISNUMBER(INDEX(Avulsos!$B$6:$B$205,$C5)),INDEX(Avulsos!$B$6:$B$205,$C5),""))</f>
        <v>46292</v>
      </c>
      <c r="F5" s="114" t="str">
        <f aca="false">IF($E5="","",IF($B5="Tema",INDEX(Temas!$B$6:$B$305,$C5)&amp;"",INDEX(Avulsos!$C$6:$C$205,$C5)&amp;""))</f>
        <v>Cardiopediatria</v>
      </c>
      <c r="G5" s="114" t="str">
        <f aca="false">IF($E5="","",IF($B5="Tema",INDEX(Config!$C$6:$C$11,$D5),"Evento avulso"))</f>
        <v>Aula teórica</v>
      </c>
      <c r="H5" s="114" t="str">
        <f aca="false">IF($E5="","",IF($B5="Tema",INDEX(Config!$D$6:$D$11,$D5),IFERROR(INDEX(Config!$E$15:$E$19,MATCH($I5,Config!$C$15:$C$19,0)),"•")))</f>
        <v>T</v>
      </c>
      <c r="I5" s="114" t="str">
        <f aca="false">IF($E5="","",IF($B5="Tema",INDEX(Config!$E$6:$E$11,$D5),IF(INDEX(Avulsos!$D$6:$D$205,$C5)&amp;""="","Outro",INDEX(Avulsos!$D$6:$D$205,$C5))))</f>
        <v>Teórica</v>
      </c>
      <c r="J5" s="114" t="str">
        <f aca="false">IF($E5="","",IF($B5="Tema",INDEX(Temas!$C$6:$C$305,$C5)&amp;"",INDEX(Avulsos!$E$6:$E$205,$C5)&amp;""))</f>
        <v>Pediatria</v>
      </c>
      <c r="K5" s="114" t="str">
        <f aca="false">IF($E5="","",IF(IF($B5="Tema",INDEX(Temas!$E$6:$P$305,$C5,2*$D5),INDEX(Avulsos!$F$6:$F$205,$C5))&amp;""="","","✓"))</f>
        <v>✓</v>
      </c>
      <c r="L5" s="114" t="str">
        <f aca="true">IF($E5="","",IF($K5="✓","Concluído",IF($E5&lt;TODAY(),"Atrasado",IF($E5=TODAY(),"Hoje","Pendente"))))</f>
        <v>Concluído</v>
      </c>
      <c r="M5" s="114" t="str">
        <f aca="false">IF($E5="","",IF($K5="✓","✓ ","")&amp;IF(Config!$E$22="Sim",$H5&amp;" · ","")&amp;$F5)</f>
        <v>✓ T · Cardiopediatria</v>
      </c>
      <c r="N5" s="114" t="str">
        <f aca="false">IF($E5="","",IFERROR(INDEX(Config!$D$15:$D$19,MATCH($I5,Config!$C$15:$C$19,0)),"OUT")&amp;IF($K5="✓","x",""))</f>
        <v>TEOx</v>
      </c>
      <c r="O5" s="114" t="n">
        <f aca="false">IF($E5="","",COUNTIF($E$5:$E5,$E5))</f>
        <v>1</v>
      </c>
      <c r="P5" s="114" t="n">
        <f aca="false">IF($E5="","",$E5*100+$O5)</f>
        <v>4629201</v>
      </c>
      <c r="Q5" s="114" t="str">
        <f aca="false">IF($L5="Atrasado",$E5*10000+$A5,"")</f>
        <v/>
      </c>
    </row>
    <row r="6" customFormat="false" ht="15" hidden="false" customHeight="false" outlineLevel="0" collapsed="false">
      <c r="A6" s="114" t="n">
        <f aca="false">ROW()-4</f>
        <v>2</v>
      </c>
      <c r="B6" s="114" t="str">
        <f aca="false">IF(A6&lt;=Config!$E$27*Config!$E$28,"Tema","Avulso")</f>
        <v>Tema</v>
      </c>
      <c r="C6" s="114" t="n">
        <f aca="false">IF(B6="Tema",INT((A6-1)/Config!$E$28)+1,A6-Config!$E$27*Config!$E$28)</f>
        <v>1</v>
      </c>
      <c r="D6" s="114" t="n">
        <f aca="false">IF(B6="Tema",MOD(A6-1,Config!$E$28)+1,"")</f>
        <v>2</v>
      </c>
      <c r="E6" s="115" t="n">
        <f aca="false">IF($B6="Tema",IF(ISNUMBER(INDEX(Temas!$E$6:$P$305,$C6,2*$D6-1)),INDEX(Temas!$E$6:$P$305,$C6,2*$D6-1),""),IF(ISNUMBER(INDEX(Avulsos!$B$6:$B$205,$C6)),INDEX(Avulsos!$B$6:$B$205,$C6),""))</f>
        <v>46293</v>
      </c>
      <c r="F6" s="114" t="str">
        <f aca="false">IF($E6="","",IF($B6="Tema",INDEX(Temas!$B$6:$B$305,$C6)&amp;"",INDEX(Avulsos!$C$6:$C$205,$C6)&amp;""))</f>
        <v>Cardiopediatria</v>
      </c>
      <c r="G6" s="114" t="str">
        <f aca="false">IF($E6="","",IF($B6="Tema",INDEX(Config!$C$6:$C$11,$D6),"Evento avulso"))</f>
        <v>1ª Revisão</v>
      </c>
      <c r="H6" s="114" t="str">
        <f aca="false">IF($E6="","",IF($B6="Tema",INDEX(Config!$D$6:$D$11,$D6),IFERROR(INDEX(Config!$E$15:$E$19,MATCH($I6,Config!$C$15:$C$19,0)),"•")))</f>
        <v>R1</v>
      </c>
      <c r="I6" s="114" t="str">
        <f aca="false">IF($E6="","",IF($B6="Tema",INDEX(Config!$E$6:$E$11,$D6),IF(INDEX(Avulsos!$D$6:$D$205,$C6)&amp;""="","Outro",INDEX(Avulsos!$D$6:$D$205,$C6))))</f>
        <v>Revisão</v>
      </c>
      <c r="J6" s="114" t="str">
        <f aca="false">IF($E6="","",IF($B6="Tema",INDEX(Temas!$C$6:$C$305,$C6)&amp;"",INDEX(Avulsos!$E$6:$E$205,$C6)&amp;""))</f>
        <v>Pediatria</v>
      </c>
      <c r="K6" s="114" t="str">
        <f aca="false">IF($E6="","",IF(IF($B6="Tema",INDEX(Temas!$E$6:$P$305,$C6,2*$D6),INDEX(Avulsos!$F$6:$F$205,$C6))&amp;""="","","✓"))</f>
        <v>✓</v>
      </c>
      <c r="L6" s="114" t="str">
        <f aca="true">IF($E6="","",IF($K6="✓","Concluído",IF($E6&lt;TODAY(),"Atrasado",IF($E6=TODAY(),"Hoje","Pendente"))))</f>
        <v>Concluído</v>
      </c>
      <c r="M6" s="114" t="str">
        <f aca="false">IF($E6="","",IF($K6="✓","✓ ","")&amp;IF(Config!$E$22="Sim",$H6&amp;" · ","")&amp;$F6)</f>
        <v>✓ R1 · Cardiopediatria</v>
      </c>
      <c r="N6" s="114" t="str">
        <f aca="false">IF($E6="","",IFERROR(INDEX(Config!$D$15:$D$19,MATCH($I6,Config!$C$15:$C$19,0)),"OUT")&amp;IF($K6="✓","x",""))</f>
        <v>REVx</v>
      </c>
      <c r="O6" s="114" t="n">
        <f aca="false">IF($E6="","",COUNTIF($E$5:$E6,$E6))</f>
        <v>1</v>
      </c>
      <c r="P6" s="114" t="n">
        <f aca="false">IF($E6="","",$E6*100+$O6)</f>
        <v>4629301</v>
      </c>
      <c r="Q6" s="114" t="str">
        <f aca="false">IF($L6="Atrasado",$E6*10000+$A6,"")</f>
        <v/>
      </c>
    </row>
    <row r="7" customFormat="false" ht="15" hidden="false" customHeight="false" outlineLevel="0" collapsed="false">
      <c r="A7" s="114" t="n">
        <f aca="false">ROW()-4</f>
        <v>3</v>
      </c>
      <c r="B7" s="114" t="str">
        <f aca="false">IF(A7&lt;=Config!$E$27*Config!$E$28,"Tema","Avulso")</f>
        <v>Tema</v>
      </c>
      <c r="C7" s="114" t="n">
        <f aca="false">IF(B7="Tema",INT((A7-1)/Config!$E$28)+1,A7-Config!$E$27*Config!$E$28)</f>
        <v>1</v>
      </c>
      <c r="D7" s="114" t="n">
        <f aca="false">IF(B7="Tema",MOD(A7-1,Config!$E$28)+1,"")</f>
        <v>3</v>
      </c>
      <c r="E7" s="115" t="n">
        <f aca="false">IF($B7="Tema",IF(ISNUMBER(INDEX(Temas!$E$6:$P$305,$C7,2*$D7-1)),INDEX(Temas!$E$6:$P$305,$C7,2*$D7-1),""),IF(ISNUMBER(INDEX(Avulsos!$B$6:$B$205,$C7)),INDEX(Avulsos!$B$6:$B$205,$C7),""))</f>
        <v>46299</v>
      </c>
      <c r="F7" s="114" t="str">
        <f aca="false">IF($E7="","",IF($B7="Tema",INDEX(Temas!$B$6:$B$305,$C7)&amp;"",INDEX(Avulsos!$C$6:$C$205,$C7)&amp;""))</f>
        <v>Cardiopediatria</v>
      </c>
      <c r="G7" s="114" t="str">
        <f aca="false">IF($E7="","",IF($B7="Tema",INDEX(Config!$C$6:$C$11,$D7),"Evento avulso"))</f>
        <v>2ª Revisão</v>
      </c>
      <c r="H7" s="114" t="str">
        <f aca="false">IF($E7="","",IF($B7="Tema",INDEX(Config!$D$6:$D$11,$D7),IFERROR(INDEX(Config!$E$15:$E$19,MATCH($I7,Config!$C$15:$C$19,0)),"•")))</f>
        <v>R2</v>
      </c>
      <c r="I7" s="114" t="str">
        <f aca="false">IF($E7="","",IF($B7="Tema",INDEX(Config!$E$6:$E$11,$D7),IF(INDEX(Avulsos!$D$6:$D$205,$C7)&amp;""="","Outro",INDEX(Avulsos!$D$6:$D$205,$C7))))</f>
        <v>Prática</v>
      </c>
      <c r="J7" s="114" t="str">
        <f aca="false">IF($E7="","",IF($B7="Tema",INDEX(Temas!$C$6:$C$305,$C7)&amp;"",INDEX(Avulsos!$E$6:$E$205,$C7)&amp;""))</f>
        <v>Pediatria</v>
      </c>
      <c r="K7" s="114" t="str">
        <f aca="false">IF($E7="","",IF(IF($B7="Tema",INDEX(Temas!$E$6:$P$305,$C7,2*$D7),INDEX(Avulsos!$F$6:$F$205,$C7))&amp;""="","","✓"))</f>
        <v/>
      </c>
      <c r="L7" s="114" t="str">
        <f aca="true">IF($E7="","",IF($K7="✓","Concluído",IF($E7&lt;TODAY(),"Atrasado",IF($E7=TODAY(),"Hoje","Pendente"))))</f>
        <v>Atrasado</v>
      </c>
      <c r="M7" s="114" t="str">
        <f aca="false">IF($E7="","",IF($K7="✓","✓ ","")&amp;IF(Config!$E$22="Sim",$H7&amp;" · ","")&amp;$F7)</f>
        <v>R2 · Cardiopediatria</v>
      </c>
      <c r="N7" s="114" t="str">
        <f aca="false">IF($E7="","",IFERROR(INDEX(Config!$D$15:$D$19,MATCH($I7,Config!$C$15:$C$19,0)),"OUT")&amp;IF($K7="✓","x",""))</f>
        <v>PRA</v>
      </c>
      <c r="O7" s="114" t="n">
        <f aca="false">IF($E7="","",COUNTIF($E$5:$E7,$E7))</f>
        <v>1</v>
      </c>
      <c r="P7" s="114" t="n">
        <f aca="false">IF($E7="","",$E7*100+$O7)</f>
        <v>4629901</v>
      </c>
      <c r="Q7" s="114" t="n">
        <f aca="false">IF($L7="Atrasado",$E7*10000+$A7,"")</f>
        <v>462990003</v>
      </c>
    </row>
    <row r="8" customFormat="false" ht="15" hidden="false" customHeight="false" outlineLevel="0" collapsed="false">
      <c r="A8" s="114" t="n">
        <f aca="false">ROW()-4</f>
        <v>4</v>
      </c>
      <c r="B8" s="114" t="str">
        <f aca="false">IF(A8&lt;=Config!$E$27*Config!$E$28,"Tema","Avulso")</f>
        <v>Tema</v>
      </c>
      <c r="C8" s="114" t="n">
        <f aca="false">IF(B8="Tema",INT((A8-1)/Config!$E$28)+1,A8-Config!$E$27*Config!$E$28)</f>
        <v>1</v>
      </c>
      <c r="D8" s="114" t="n">
        <f aca="false">IF(B8="Tema",MOD(A8-1,Config!$E$28)+1,"")</f>
        <v>4</v>
      </c>
      <c r="E8" s="115" t="n">
        <f aca="false">IF($B8="Tema",IF(ISNUMBER(INDEX(Temas!$E$6:$P$305,$C8,2*$D8-1)),INDEX(Temas!$E$6:$P$305,$C8,2*$D8-1),""),IF(ISNUMBER(INDEX(Avulsos!$B$6:$B$205,$C8)),INDEX(Avulsos!$B$6:$B$205,$C8),""))</f>
        <v>46307</v>
      </c>
      <c r="F8" s="114" t="str">
        <f aca="false">IF($E8="","",IF($B8="Tema",INDEX(Temas!$B$6:$B$305,$C8)&amp;"",INDEX(Avulsos!$C$6:$C$205,$C8)&amp;""))</f>
        <v>Cardiopediatria</v>
      </c>
      <c r="G8" s="114" t="str">
        <f aca="false">IF($E8="","",IF($B8="Tema",INDEX(Config!$C$6:$C$11,$D8),"Evento avulso"))</f>
        <v>3ª Revisão</v>
      </c>
      <c r="H8" s="114" t="str">
        <f aca="false">IF($E8="","",IF($B8="Tema",INDEX(Config!$D$6:$D$11,$D8),IFERROR(INDEX(Config!$E$15:$E$19,MATCH($I8,Config!$C$15:$C$19,0)),"•")))</f>
        <v>R3</v>
      </c>
      <c r="I8" s="114" t="str">
        <f aca="false">IF($E8="","",IF($B8="Tema",INDEX(Config!$E$6:$E$11,$D8),IF(INDEX(Avulsos!$D$6:$D$205,$C8)&amp;""="","Outro",INDEX(Avulsos!$D$6:$D$205,$C8))))</f>
        <v>Prática</v>
      </c>
      <c r="J8" s="114" t="str">
        <f aca="false">IF($E8="","",IF($B8="Tema",INDEX(Temas!$C$6:$C$305,$C8)&amp;"",INDEX(Avulsos!$E$6:$E$205,$C8)&amp;""))</f>
        <v>Pediatria</v>
      </c>
      <c r="K8" s="114" t="str">
        <f aca="false">IF($E8="","",IF(IF($B8="Tema",INDEX(Temas!$E$6:$P$305,$C8,2*$D8),INDEX(Avulsos!$F$6:$F$205,$C8))&amp;""="","","✓"))</f>
        <v/>
      </c>
      <c r="L8" s="114" t="str">
        <f aca="true">IF($E8="","",IF($K8="✓","Concluído",IF($E8&lt;TODAY(),"Atrasado",IF($E8=TODAY(),"Hoje","Pendente"))))</f>
        <v>Pendente</v>
      </c>
      <c r="M8" s="114" t="str">
        <f aca="false">IF($E8="","",IF($K8="✓","✓ ","")&amp;IF(Config!$E$22="Sim",$H8&amp;" · ","")&amp;$F8)</f>
        <v>R3 · Cardiopediatria</v>
      </c>
      <c r="N8" s="114" t="str">
        <f aca="false">IF($E8="","",IFERROR(INDEX(Config!$D$15:$D$19,MATCH($I8,Config!$C$15:$C$19,0)),"OUT")&amp;IF($K8="✓","x",""))</f>
        <v>PRA</v>
      </c>
      <c r="O8" s="114" t="n">
        <f aca="false">IF($E8="","",COUNTIF($E$5:$E8,$E8))</f>
        <v>1</v>
      </c>
      <c r="P8" s="114" t="n">
        <f aca="false">IF($E8="","",$E8*100+$O8)</f>
        <v>4630701</v>
      </c>
      <c r="Q8" s="114" t="str">
        <f aca="false">IF($L8="Atrasado",$E8*10000+$A8,"")</f>
        <v/>
      </c>
    </row>
    <row r="9" customFormat="false" ht="15" hidden="false" customHeight="false" outlineLevel="0" collapsed="false">
      <c r="A9" s="114" t="n">
        <f aca="false">ROW()-4</f>
        <v>5</v>
      </c>
      <c r="B9" s="114" t="str">
        <f aca="false">IF(A9&lt;=Config!$E$27*Config!$E$28,"Tema","Avulso")</f>
        <v>Tema</v>
      </c>
      <c r="C9" s="114" t="n">
        <f aca="false">IF(B9="Tema",INT((A9-1)/Config!$E$28)+1,A9-Config!$E$27*Config!$E$28)</f>
        <v>1</v>
      </c>
      <c r="D9" s="114" t="n">
        <f aca="false">IF(B9="Tema",MOD(A9-1,Config!$E$28)+1,"")</f>
        <v>5</v>
      </c>
      <c r="E9" s="115" t="n">
        <f aca="false">IF($B9="Tema",IF(ISNUMBER(INDEX(Temas!$E$6:$P$305,$C9,2*$D9-1)),INDEX(Temas!$E$6:$P$305,$C9,2*$D9-1),""),IF(ISNUMBER(INDEX(Avulsos!$B$6:$B$205,$C9)),INDEX(Avulsos!$B$6:$B$205,$C9),""))</f>
        <v>46322</v>
      </c>
      <c r="F9" s="114" t="str">
        <f aca="false">IF($E9="","",IF($B9="Tema",INDEX(Temas!$B$6:$B$305,$C9)&amp;"",INDEX(Avulsos!$C$6:$C$205,$C9)&amp;""))</f>
        <v>Cardiopediatria</v>
      </c>
      <c r="G9" s="114" t="str">
        <f aca="false">IF($E9="","",IF($B9="Tema",INDEX(Config!$C$6:$C$11,$D9),"Evento avulso"))</f>
        <v>4ª Revisão</v>
      </c>
      <c r="H9" s="114" t="str">
        <f aca="false">IF($E9="","",IF($B9="Tema",INDEX(Config!$D$6:$D$11,$D9),IFERROR(INDEX(Config!$E$15:$E$19,MATCH($I9,Config!$C$15:$C$19,0)),"•")))</f>
        <v>R4</v>
      </c>
      <c r="I9" s="114" t="str">
        <f aca="false">IF($E9="","",IF($B9="Tema",INDEX(Config!$E$6:$E$11,$D9),IF(INDEX(Avulsos!$D$6:$D$205,$C9)&amp;""="","Outro",INDEX(Avulsos!$D$6:$D$205,$C9))))</f>
        <v>Prática</v>
      </c>
      <c r="J9" s="114" t="str">
        <f aca="false">IF($E9="","",IF($B9="Tema",INDEX(Temas!$C$6:$C$305,$C9)&amp;"",INDEX(Avulsos!$E$6:$E$205,$C9)&amp;""))</f>
        <v>Pediatria</v>
      </c>
      <c r="K9" s="114" t="str">
        <f aca="false">IF($E9="","",IF(IF($B9="Tema",INDEX(Temas!$E$6:$P$305,$C9,2*$D9),INDEX(Avulsos!$F$6:$F$205,$C9))&amp;""="","","✓"))</f>
        <v/>
      </c>
      <c r="L9" s="114" t="str">
        <f aca="true">IF($E9="","",IF($K9="✓","Concluído",IF($E9&lt;TODAY(),"Atrasado",IF($E9=TODAY(),"Hoje","Pendente"))))</f>
        <v>Pendente</v>
      </c>
      <c r="M9" s="114" t="str">
        <f aca="false">IF($E9="","",IF($K9="✓","✓ ","")&amp;IF(Config!$E$22="Sim",$H9&amp;" · ","")&amp;$F9)</f>
        <v>R4 · Cardiopediatria</v>
      </c>
      <c r="N9" s="114" t="str">
        <f aca="false">IF($E9="","",IFERROR(INDEX(Config!$D$15:$D$19,MATCH($I9,Config!$C$15:$C$19,0)),"OUT")&amp;IF($K9="✓","x",""))</f>
        <v>PRA</v>
      </c>
      <c r="O9" s="114" t="n">
        <f aca="false">IF($E9="","",COUNTIF($E$5:$E9,$E9))</f>
        <v>1</v>
      </c>
      <c r="P9" s="114" t="n">
        <f aca="false">IF($E9="","",$E9*100+$O9)</f>
        <v>4632201</v>
      </c>
      <c r="Q9" s="114" t="str">
        <f aca="false">IF($L9="Atrasado",$E9*10000+$A9,"")</f>
        <v/>
      </c>
    </row>
    <row r="10" customFormat="false" ht="15" hidden="false" customHeight="false" outlineLevel="0" collapsed="false">
      <c r="A10" s="114" t="n">
        <f aca="false">ROW()-4</f>
        <v>6</v>
      </c>
      <c r="B10" s="114" t="str">
        <f aca="false">IF(A10&lt;=Config!$E$27*Config!$E$28,"Tema","Avulso")</f>
        <v>Tema</v>
      </c>
      <c r="C10" s="114" t="n">
        <f aca="false">IF(B10="Tema",INT((A10-1)/Config!$E$28)+1,A10-Config!$E$27*Config!$E$28)</f>
        <v>1</v>
      </c>
      <c r="D10" s="114" t="n">
        <f aca="false">IF(B10="Tema",MOD(A10-1,Config!$E$28)+1,"")</f>
        <v>6</v>
      </c>
      <c r="E10" s="115" t="n">
        <f aca="false">IF($B10="Tema",IF(ISNUMBER(INDEX(Temas!$E$6:$P$305,$C10,2*$D10-1)),INDEX(Temas!$E$6:$P$305,$C10,2*$D10-1),""),IF(ISNUMBER(INDEX(Avulsos!$B$6:$B$205,$C10)),INDEX(Avulsos!$B$6:$B$205,$C10),""))</f>
        <v>46352</v>
      </c>
      <c r="F10" s="114" t="str">
        <f aca="false">IF($E10="","",IF($B10="Tema",INDEX(Temas!$B$6:$B$305,$C10)&amp;"",INDEX(Avulsos!$C$6:$C$205,$C10)&amp;""))</f>
        <v>Cardiopediatria</v>
      </c>
      <c r="G10" s="114" t="str">
        <f aca="false">IF($E10="","",IF($B10="Tema",INDEX(Config!$C$6:$C$11,$D10),"Evento avulso"))</f>
        <v>5ª Revisão</v>
      </c>
      <c r="H10" s="114" t="str">
        <f aca="false">IF($E10="","",IF($B10="Tema",INDEX(Config!$D$6:$D$11,$D10),IFERROR(INDEX(Config!$E$15:$E$19,MATCH($I10,Config!$C$15:$C$19,0)),"•")))</f>
        <v>R5</v>
      </c>
      <c r="I10" s="114" t="str">
        <f aca="false">IF($E10="","",IF($B10="Tema",INDEX(Config!$E$6:$E$11,$D10),IF(INDEX(Avulsos!$D$6:$D$205,$C10)&amp;""="","Outro",INDEX(Avulsos!$D$6:$D$205,$C10))))</f>
        <v>Revisão</v>
      </c>
      <c r="J10" s="114" t="str">
        <f aca="false">IF($E10="","",IF($B10="Tema",INDEX(Temas!$C$6:$C$305,$C10)&amp;"",INDEX(Avulsos!$E$6:$E$205,$C10)&amp;""))</f>
        <v>Pediatria</v>
      </c>
      <c r="K10" s="114" t="str">
        <f aca="false">IF($E10="","",IF(IF($B10="Tema",INDEX(Temas!$E$6:$P$305,$C10,2*$D10),INDEX(Avulsos!$F$6:$F$205,$C10))&amp;""="","","✓"))</f>
        <v/>
      </c>
      <c r="L10" s="114" t="str">
        <f aca="true">IF($E10="","",IF($K10="✓","Concluído",IF($E10&lt;TODAY(),"Atrasado",IF($E10=TODAY(),"Hoje","Pendente"))))</f>
        <v>Pendente</v>
      </c>
      <c r="M10" s="114" t="str">
        <f aca="false">IF($E10="","",IF($K10="✓","✓ ","")&amp;IF(Config!$E$22="Sim",$H10&amp;" · ","")&amp;$F10)</f>
        <v>R5 · Cardiopediatria</v>
      </c>
      <c r="N10" s="114" t="str">
        <f aca="false">IF($E10="","",IFERROR(INDEX(Config!$D$15:$D$19,MATCH($I10,Config!$C$15:$C$19,0)),"OUT")&amp;IF($K10="✓","x",""))</f>
        <v>REV</v>
      </c>
      <c r="O10" s="114" t="n">
        <f aca="false">IF($E10="","",COUNTIF($E$5:$E10,$E10))</f>
        <v>1</v>
      </c>
      <c r="P10" s="114" t="n">
        <f aca="false">IF($E10="","",$E10*100+$O10)</f>
        <v>4635201</v>
      </c>
      <c r="Q10" s="114" t="str">
        <f aca="false">IF($L10="Atrasado",$E10*10000+$A10,"")</f>
        <v/>
      </c>
    </row>
    <row r="11" customFormat="false" ht="15" hidden="false" customHeight="false" outlineLevel="0" collapsed="false">
      <c r="A11" s="114" t="n">
        <f aca="false">ROW()-4</f>
        <v>7</v>
      </c>
      <c r="B11" s="114" t="str">
        <f aca="false">IF(A11&lt;=Config!$E$27*Config!$E$28,"Tema","Avulso")</f>
        <v>Tema</v>
      </c>
      <c r="C11" s="114" t="n">
        <f aca="false">IF(B11="Tema",INT((A11-1)/Config!$E$28)+1,A11-Config!$E$27*Config!$E$28)</f>
        <v>2</v>
      </c>
      <c r="D11" s="114" t="n">
        <f aca="false">IF(B11="Tema",MOD(A11-1,Config!$E$28)+1,"")</f>
        <v>1</v>
      </c>
      <c r="E11" s="115" t="n">
        <f aca="false">IF($B11="Tema",IF(ISNUMBER(INDEX(Temas!$E$6:$P$305,$C11,2*$D11-1)),INDEX(Temas!$E$6:$P$305,$C11,2*$D11-1),""),IF(ISNUMBER(INDEX(Avulsos!$B$6:$B$205,$C11)),INDEX(Avulsos!$B$6:$B$205,$C11),""))</f>
        <v>46292</v>
      </c>
      <c r="F11" s="114" t="str">
        <f aca="false">IF($E11="","",IF($B11="Tema",INDEX(Temas!$B$6:$B$305,$C11)&amp;"",INDEX(Avulsos!$C$6:$C$205,$C11)&amp;""))</f>
        <v>Nefrologia Pediátrica / ITU</v>
      </c>
      <c r="G11" s="114" t="str">
        <f aca="false">IF($E11="","",IF($B11="Tema",INDEX(Config!$C$6:$C$11,$D11),"Evento avulso"))</f>
        <v>Aula teórica</v>
      </c>
      <c r="H11" s="114" t="str">
        <f aca="false">IF($E11="","",IF($B11="Tema",INDEX(Config!$D$6:$D$11,$D11),IFERROR(INDEX(Config!$E$15:$E$19,MATCH($I11,Config!$C$15:$C$19,0)),"•")))</f>
        <v>T</v>
      </c>
      <c r="I11" s="114" t="str">
        <f aca="false">IF($E11="","",IF($B11="Tema",INDEX(Config!$E$6:$E$11,$D11),IF(INDEX(Avulsos!$D$6:$D$205,$C11)&amp;""="","Outro",INDEX(Avulsos!$D$6:$D$205,$C11))))</f>
        <v>Teórica</v>
      </c>
      <c r="J11" s="114" t="str">
        <f aca="false">IF($E11="","",IF($B11="Tema",INDEX(Temas!$C$6:$C$305,$C11)&amp;"",INDEX(Avulsos!$E$6:$E$205,$C11)&amp;""))</f>
        <v>Pediatria</v>
      </c>
      <c r="K11" s="114" t="str">
        <f aca="false">IF($E11="","",IF(IF($B11="Tema",INDEX(Temas!$E$6:$P$305,$C11,2*$D11),INDEX(Avulsos!$F$6:$F$205,$C11))&amp;""="","","✓"))</f>
        <v>✓</v>
      </c>
      <c r="L11" s="114" t="str">
        <f aca="true">IF($E11="","",IF($K11="✓","Concluído",IF($E11&lt;TODAY(),"Atrasado",IF($E11=TODAY(),"Hoje","Pendente"))))</f>
        <v>Concluído</v>
      </c>
      <c r="M11" s="114" t="str">
        <f aca="false">IF($E11="","",IF($K11="✓","✓ ","")&amp;IF(Config!$E$22="Sim",$H11&amp;" · ","")&amp;$F11)</f>
        <v>✓ T · Nefrologia Pediátrica / ITU</v>
      </c>
      <c r="N11" s="114" t="str">
        <f aca="false">IF($E11="","",IFERROR(INDEX(Config!$D$15:$D$19,MATCH($I11,Config!$C$15:$C$19,0)),"OUT")&amp;IF($K11="✓","x",""))</f>
        <v>TEOx</v>
      </c>
      <c r="O11" s="114" t="n">
        <f aca="false">IF($E11="","",COUNTIF($E$5:$E11,$E11))</f>
        <v>2</v>
      </c>
      <c r="P11" s="114" t="n">
        <f aca="false">IF($E11="","",$E11*100+$O11)</f>
        <v>4629202</v>
      </c>
      <c r="Q11" s="114" t="str">
        <f aca="false">IF($L11="Atrasado",$E11*10000+$A11,"")</f>
        <v/>
      </c>
    </row>
    <row r="12" customFormat="false" ht="15" hidden="false" customHeight="false" outlineLevel="0" collapsed="false">
      <c r="A12" s="114" t="n">
        <f aca="false">ROW()-4</f>
        <v>8</v>
      </c>
      <c r="B12" s="114" t="str">
        <f aca="false">IF(A12&lt;=Config!$E$27*Config!$E$28,"Tema","Avulso")</f>
        <v>Tema</v>
      </c>
      <c r="C12" s="114" t="n">
        <f aca="false">IF(B12="Tema",INT((A12-1)/Config!$E$28)+1,A12-Config!$E$27*Config!$E$28)</f>
        <v>2</v>
      </c>
      <c r="D12" s="114" t="n">
        <f aca="false">IF(B12="Tema",MOD(A12-1,Config!$E$28)+1,"")</f>
        <v>2</v>
      </c>
      <c r="E12" s="115" t="n">
        <f aca="false">IF($B12="Tema",IF(ISNUMBER(INDEX(Temas!$E$6:$P$305,$C12,2*$D12-1)),INDEX(Temas!$E$6:$P$305,$C12,2*$D12-1),""),IF(ISNUMBER(INDEX(Avulsos!$B$6:$B$205,$C12)),INDEX(Avulsos!$B$6:$B$205,$C12),""))</f>
        <v>46293</v>
      </c>
      <c r="F12" s="114" t="str">
        <f aca="false">IF($E12="","",IF($B12="Tema",INDEX(Temas!$B$6:$B$305,$C12)&amp;"",INDEX(Avulsos!$C$6:$C$205,$C12)&amp;""))</f>
        <v>Nefrologia Pediátrica / ITU</v>
      </c>
      <c r="G12" s="114" t="str">
        <f aca="false">IF($E12="","",IF($B12="Tema",INDEX(Config!$C$6:$C$11,$D12),"Evento avulso"))</f>
        <v>1ª Revisão</v>
      </c>
      <c r="H12" s="114" t="str">
        <f aca="false">IF($E12="","",IF($B12="Tema",INDEX(Config!$D$6:$D$11,$D12),IFERROR(INDEX(Config!$E$15:$E$19,MATCH($I12,Config!$C$15:$C$19,0)),"•")))</f>
        <v>R1</v>
      </c>
      <c r="I12" s="114" t="str">
        <f aca="false">IF($E12="","",IF($B12="Tema",INDEX(Config!$E$6:$E$11,$D12),IF(INDEX(Avulsos!$D$6:$D$205,$C12)&amp;""="","Outro",INDEX(Avulsos!$D$6:$D$205,$C12))))</f>
        <v>Revisão</v>
      </c>
      <c r="J12" s="114" t="str">
        <f aca="false">IF($E12="","",IF($B12="Tema",INDEX(Temas!$C$6:$C$305,$C12)&amp;"",INDEX(Avulsos!$E$6:$E$205,$C12)&amp;""))</f>
        <v>Pediatria</v>
      </c>
      <c r="K12" s="114" t="str">
        <f aca="false">IF($E12="","",IF(IF($B12="Tema",INDEX(Temas!$E$6:$P$305,$C12,2*$D12),INDEX(Avulsos!$F$6:$F$205,$C12))&amp;""="","","✓"))</f>
        <v>✓</v>
      </c>
      <c r="L12" s="114" t="str">
        <f aca="true">IF($E12="","",IF($K12="✓","Concluído",IF($E12&lt;TODAY(),"Atrasado",IF($E12=TODAY(),"Hoje","Pendente"))))</f>
        <v>Concluído</v>
      </c>
      <c r="M12" s="114" t="str">
        <f aca="false">IF($E12="","",IF($K12="✓","✓ ","")&amp;IF(Config!$E$22="Sim",$H12&amp;" · ","")&amp;$F12)</f>
        <v>✓ R1 · Nefrologia Pediátrica / ITU</v>
      </c>
      <c r="N12" s="114" t="str">
        <f aca="false">IF($E12="","",IFERROR(INDEX(Config!$D$15:$D$19,MATCH($I12,Config!$C$15:$C$19,0)),"OUT")&amp;IF($K12="✓","x",""))</f>
        <v>REVx</v>
      </c>
      <c r="O12" s="114" t="n">
        <f aca="false">IF($E12="","",COUNTIF($E$5:$E12,$E12))</f>
        <v>2</v>
      </c>
      <c r="P12" s="114" t="n">
        <f aca="false">IF($E12="","",$E12*100+$O12)</f>
        <v>4629302</v>
      </c>
      <c r="Q12" s="114" t="str">
        <f aca="false">IF($L12="Atrasado",$E12*10000+$A12,"")</f>
        <v/>
      </c>
    </row>
    <row r="13" customFormat="false" ht="15" hidden="false" customHeight="false" outlineLevel="0" collapsed="false">
      <c r="A13" s="114" t="n">
        <f aca="false">ROW()-4</f>
        <v>9</v>
      </c>
      <c r="B13" s="114" t="str">
        <f aca="false">IF(A13&lt;=Config!$E$27*Config!$E$28,"Tema","Avulso")</f>
        <v>Tema</v>
      </c>
      <c r="C13" s="114" t="n">
        <f aca="false">IF(B13="Tema",INT((A13-1)/Config!$E$28)+1,A13-Config!$E$27*Config!$E$28)</f>
        <v>2</v>
      </c>
      <c r="D13" s="114" t="n">
        <f aca="false">IF(B13="Tema",MOD(A13-1,Config!$E$28)+1,"")</f>
        <v>3</v>
      </c>
      <c r="E13" s="115" t="n">
        <f aca="false">IF($B13="Tema",IF(ISNUMBER(INDEX(Temas!$E$6:$P$305,$C13,2*$D13-1)),INDEX(Temas!$E$6:$P$305,$C13,2*$D13-1),""),IF(ISNUMBER(INDEX(Avulsos!$B$6:$B$205,$C13)),INDEX(Avulsos!$B$6:$B$205,$C13),""))</f>
        <v>46299</v>
      </c>
      <c r="F13" s="114" t="str">
        <f aca="false">IF($E13="","",IF($B13="Tema",INDEX(Temas!$B$6:$B$305,$C13)&amp;"",INDEX(Avulsos!$C$6:$C$205,$C13)&amp;""))</f>
        <v>Nefrologia Pediátrica / ITU</v>
      </c>
      <c r="G13" s="114" t="str">
        <f aca="false">IF($E13="","",IF($B13="Tema",INDEX(Config!$C$6:$C$11,$D13),"Evento avulso"))</f>
        <v>2ª Revisão</v>
      </c>
      <c r="H13" s="114" t="str">
        <f aca="false">IF($E13="","",IF($B13="Tema",INDEX(Config!$D$6:$D$11,$D13),IFERROR(INDEX(Config!$E$15:$E$19,MATCH($I13,Config!$C$15:$C$19,0)),"•")))</f>
        <v>R2</v>
      </c>
      <c r="I13" s="114" t="str">
        <f aca="false">IF($E13="","",IF($B13="Tema",INDEX(Config!$E$6:$E$11,$D13),IF(INDEX(Avulsos!$D$6:$D$205,$C13)&amp;""="","Outro",INDEX(Avulsos!$D$6:$D$205,$C13))))</f>
        <v>Prática</v>
      </c>
      <c r="J13" s="114" t="str">
        <f aca="false">IF($E13="","",IF($B13="Tema",INDEX(Temas!$C$6:$C$305,$C13)&amp;"",INDEX(Avulsos!$E$6:$E$205,$C13)&amp;""))</f>
        <v>Pediatria</v>
      </c>
      <c r="K13" s="114" t="str">
        <f aca="false">IF($E13="","",IF(IF($B13="Tema",INDEX(Temas!$E$6:$P$305,$C13,2*$D13),INDEX(Avulsos!$F$6:$F$205,$C13))&amp;""="","","✓"))</f>
        <v/>
      </c>
      <c r="L13" s="114" t="str">
        <f aca="true">IF($E13="","",IF($K13="✓","Concluído",IF($E13&lt;TODAY(),"Atrasado",IF($E13=TODAY(),"Hoje","Pendente"))))</f>
        <v>Atrasado</v>
      </c>
      <c r="M13" s="114" t="str">
        <f aca="false">IF($E13="","",IF($K13="✓","✓ ","")&amp;IF(Config!$E$22="Sim",$H13&amp;" · ","")&amp;$F13)</f>
        <v>R2 · Nefrologia Pediátrica / ITU</v>
      </c>
      <c r="N13" s="114" t="str">
        <f aca="false">IF($E13="","",IFERROR(INDEX(Config!$D$15:$D$19,MATCH($I13,Config!$C$15:$C$19,0)),"OUT")&amp;IF($K13="✓","x",""))</f>
        <v>PRA</v>
      </c>
      <c r="O13" s="114" t="n">
        <f aca="false">IF($E13="","",COUNTIF($E$5:$E13,$E13))</f>
        <v>2</v>
      </c>
      <c r="P13" s="114" t="n">
        <f aca="false">IF($E13="","",$E13*100+$O13)</f>
        <v>4629902</v>
      </c>
      <c r="Q13" s="114" t="n">
        <f aca="false">IF($L13="Atrasado",$E13*10000+$A13,"")</f>
        <v>462990009</v>
      </c>
    </row>
    <row r="14" customFormat="false" ht="15" hidden="false" customHeight="false" outlineLevel="0" collapsed="false">
      <c r="A14" s="114" t="n">
        <f aca="false">ROW()-4</f>
        <v>10</v>
      </c>
      <c r="B14" s="114" t="str">
        <f aca="false">IF(A14&lt;=Config!$E$27*Config!$E$28,"Tema","Avulso")</f>
        <v>Tema</v>
      </c>
      <c r="C14" s="114" t="n">
        <f aca="false">IF(B14="Tema",INT((A14-1)/Config!$E$28)+1,A14-Config!$E$27*Config!$E$28)</f>
        <v>2</v>
      </c>
      <c r="D14" s="114" t="n">
        <f aca="false">IF(B14="Tema",MOD(A14-1,Config!$E$28)+1,"")</f>
        <v>4</v>
      </c>
      <c r="E14" s="115" t="n">
        <f aca="false">IF($B14="Tema",IF(ISNUMBER(INDEX(Temas!$E$6:$P$305,$C14,2*$D14-1)),INDEX(Temas!$E$6:$P$305,$C14,2*$D14-1),""),IF(ISNUMBER(INDEX(Avulsos!$B$6:$B$205,$C14)),INDEX(Avulsos!$B$6:$B$205,$C14),""))</f>
        <v>46307</v>
      </c>
      <c r="F14" s="114" t="str">
        <f aca="false">IF($E14="","",IF($B14="Tema",INDEX(Temas!$B$6:$B$305,$C14)&amp;"",INDEX(Avulsos!$C$6:$C$205,$C14)&amp;""))</f>
        <v>Nefrologia Pediátrica / ITU</v>
      </c>
      <c r="G14" s="114" t="str">
        <f aca="false">IF($E14="","",IF($B14="Tema",INDEX(Config!$C$6:$C$11,$D14),"Evento avulso"))</f>
        <v>3ª Revisão</v>
      </c>
      <c r="H14" s="114" t="str">
        <f aca="false">IF($E14="","",IF($B14="Tema",INDEX(Config!$D$6:$D$11,$D14),IFERROR(INDEX(Config!$E$15:$E$19,MATCH($I14,Config!$C$15:$C$19,0)),"•")))</f>
        <v>R3</v>
      </c>
      <c r="I14" s="114" t="str">
        <f aca="false">IF($E14="","",IF($B14="Tema",INDEX(Config!$E$6:$E$11,$D14),IF(INDEX(Avulsos!$D$6:$D$205,$C14)&amp;""="","Outro",INDEX(Avulsos!$D$6:$D$205,$C14))))</f>
        <v>Prática</v>
      </c>
      <c r="J14" s="114" t="str">
        <f aca="false">IF($E14="","",IF($B14="Tema",INDEX(Temas!$C$6:$C$305,$C14)&amp;"",INDEX(Avulsos!$E$6:$E$205,$C14)&amp;""))</f>
        <v>Pediatria</v>
      </c>
      <c r="K14" s="114" t="str">
        <f aca="false">IF($E14="","",IF(IF($B14="Tema",INDEX(Temas!$E$6:$P$305,$C14,2*$D14),INDEX(Avulsos!$F$6:$F$205,$C14))&amp;""="","","✓"))</f>
        <v/>
      </c>
      <c r="L14" s="114" t="str">
        <f aca="true">IF($E14="","",IF($K14="✓","Concluído",IF($E14&lt;TODAY(),"Atrasado",IF($E14=TODAY(),"Hoje","Pendente"))))</f>
        <v>Pendente</v>
      </c>
      <c r="M14" s="114" t="str">
        <f aca="false">IF($E14="","",IF($K14="✓","✓ ","")&amp;IF(Config!$E$22="Sim",$H14&amp;" · ","")&amp;$F14)</f>
        <v>R3 · Nefrologia Pediátrica / ITU</v>
      </c>
      <c r="N14" s="114" t="str">
        <f aca="false">IF($E14="","",IFERROR(INDEX(Config!$D$15:$D$19,MATCH($I14,Config!$C$15:$C$19,0)),"OUT")&amp;IF($K14="✓","x",""))</f>
        <v>PRA</v>
      </c>
      <c r="O14" s="114" t="n">
        <f aca="false">IF($E14="","",COUNTIF($E$5:$E14,$E14))</f>
        <v>2</v>
      </c>
      <c r="P14" s="114" t="n">
        <f aca="false">IF($E14="","",$E14*100+$O14)</f>
        <v>4630702</v>
      </c>
      <c r="Q14" s="114" t="str">
        <f aca="false">IF($L14="Atrasado",$E14*10000+$A14,"")</f>
        <v/>
      </c>
    </row>
    <row r="15" customFormat="false" ht="15" hidden="false" customHeight="false" outlineLevel="0" collapsed="false">
      <c r="A15" s="114" t="n">
        <f aca="false">ROW()-4</f>
        <v>11</v>
      </c>
      <c r="B15" s="114" t="str">
        <f aca="false">IF(A15&lt;=Config!$E$27*Config!$E$28,"Tema","Avulso")</f>
        <v>Tema</v>
      </c>
      <c r="C15" s="114" t="n">
        <f aca="false">IF(B15="Tema",INT((A15-1)/Config!$E$28)+1,A15-Config!$E$27*Config!$E$28)</f>
        <v>2</v>
      </c>
      <c r="D15" s="114" t="n">
        <f aca="false">IF(B15="Tema",MOD(A15-1,Config!$E$28)+1,"")</f>
        <v>5</v>
      </c>
      <c r="E15" s="115" t="n">
        <f aca="false">IF($B15="Tema",IF(ISNUMBER(INDEX(Temas!$E$6:$P$305,$C15,2*$D15-1)),INDEX(Temas!$E$6:$P$305,$C15,2*$D15-1),""),IF(ISNUMBER(INDEX(Avulsos!$B$6:$B$205,$C15)),INDEX(Avulsos!$B$6:$B$205,$C15),""))</f>
        <v>46322</v>
      </c>
      <c r="F15" s="114" t="str">
        <f aca="false">IF($E15="","",IF($B15="Tema",INDEX(Temas!$B$6:$B$305,$C15)&amp;"",INDEX(Avulsos!$C$6:$C$205,$C15)&amp;""))</f>
        <v>Nefrologia Pediátrica / ITU</v>
      </c>
      <c r="G15" s="114" t="str">
        <f aca="false">IF($E15="","",IF($B15="Tema",INDEX(Config!$C$6:$C$11,$D15),"Evento avulso"))</f>
        <v>4ª Revisão</v>
      </c>
      <c r="H15" s="114" t="str">
        <f aca="false">IF($E15="","",IF($B15="Tema",INDEX(Config!$D$6:$D$11,$D15),IFERROR(INDEX(Config!$E$15:$E$19,MATCH($I15,Config!$C$15:$C$19,0)),"•")))</f>
        <v>R4</v>
      </c>
      <c r="I15" s="114" t="str">
        <f aca="false">IF($E15="","",IF($B15="Tema",INDEX(Config!$E$6:$E$11,$D15),IF(INDEX(Avulsos!$D$6:$D$205,$C15)&amp;""="","Outro",INDEX(Avulsos!$D$6:$D$205,$C15))))</f>
        <v>Prática</v>
      </c>
      <c r="J15" s="114" t="str">
        <f aca="false">IF($E15="","",IF($B15="Tema",INDEX(Temas!$C$6:$C$305,$C15)&amp;"",INDEX(Avulsos!$E$6:$E$205,$C15)&amp;""))</f>
        <v>Pediatria</v>
      </c>
      <c r="K15" s="114" t="str">
        <f aca="false">IF($E15="","",IF(IF($B15="Tema",INDEX(Temas!$E$6:$P$305,$C15,2*$D15),INDEX(Avulsos!$F$6:$F$205,$C15))&amp;""="","","✓"))</f>
        <v/>
      </c>
      <c r="L15" s="114" t="str">
        <f aca="true">IF($E15="","",IF($K15="✓","Concluído",IF($E15&lt;TODAY(),"Atrasado",IF($E15=TODAY(),"Hoje","Pendente"))))</f>
        <v>Pendente</v>
      </c>
      <c r="M15" s="114" t="str">
        <f aca="false">IF($E15="","",IF($K15="✓","✓ ","")&amp;IF(Config!$E$22="Sim",$H15&amp;" · ","")&amp;$F15)</f>
        <v>R4 · Nefrologia Pediátrica / ITU</v>
      </c>
      <c r="N15" s="114" t="str">
        <f aca="false">IF($E15="","",IFERROR(INDEX(Config!$D$15:$D$19,MATCH($I15,Config!$C$15:$C$19,0)),"OUT")&amp;IF($K15="✓","x",""))</f>
        <v>PRA</v>
      </c>
      <c r="O15" s="114" t="n">
        <f aca="false">IF($E15="","",COUNTIF($E$5:$E15,$E15))</f>
        <v>2</v>
      </c>
      <c r="P15" s="114" t="n">
        <f aca="false">IF($E15="","",$E15*100+$O15)</f>
        <v>4632202</v>
      </c>
      <c r="Q15" s="114" t="str">
        <f aca="false">IF($L15="Atrasado",$E15*10000+$A15,"")</f>
        <v/>
      </c>
    </row>
    <row r="16" customFormat="false" ht="15" hidden="false" customHeight="false" outlineLevel="0" collapsed="false">
      <c r="A16" s="114" t="n">
        <f aca="false">ROW()-4</f>
        <v>12</v>
      </c>
      <c r="B16" s="114" t="str">
        <f aca="false">IF(A16&lt;=Config!$E$27*Config!$E$28,"Tema","Avulso")</f>
        <v>Tema</v>
      </c>
      <c r="C16" s="114" t="n">
        <f aca="false">IF(B16="Tema",INT((A16-1)/Config!$E$28)+1,A16-Config!$E$27*Config!$E$28)</f>
        <v>2</v>
      </c>
      <c r="D16" s="114" t="n">
        <f aca="false">IF(B16="Tema",MOD(A16-1,Config!$E$28)+1,"")</f>
        <v>6</v>
      </c>
      <c r="E16" s="115" t="n">
        <f aca="false">IF($B16="Tema",IF(ISNUMBER(INDEX(Temas!$E$6:$P$305,$C16,2*$D16-1)),INDEX(Temas!$E$6:$P$305,$C16,2*$D16-1),""),IF(ISNUMBER(INDEX(Avulsos!$B$6:$B$205,$C16)),INDEX(Avulsos!$B$6:$B$205,$C16),""))</f>
        <v>46352</v>
      </c>
      <c r="F16" s="114" t="str">
        <f aca="false">IF($E16="","",IF($B16="Tema",INDEX(Temas!$B$6:$B$305,$C16)&amp;"",INDEX(Avulsos!$C$6:$C$205,$C16)&amp;""))</f>
        <v>Nefrologia Pediátrica / ITU</v>
      </c>
      <c r="G16" s="114" t="str">
        <f aca="false">IF($E16="","",IF($B16="Tema",INDEX(Config!$C$6:$C$11,$D16),"Evento avulso"))</f>
        <v>5ª Revisão</v>
      </c>
      <c r="H16" s="114" t="str">
        <f aca="false">IF($E16="","",IF($B16="Tema",INDEX(Config!$D$6:$D$11,$D16),IFERROR(INDEX(Config!$E$15:$E$19,MATCH($I16,Config!$C$15:$C$19,0)),"•")))</f>
        <v>R5</v>
      </c>
      <c r="I16" s="114" t="str">
        <f aca="false">IF($E16="","",IF($B16="Tema",INDEX(Config!$E$6:$E$11,$D16),IF(INDEX(Avulsos!$D$6:$D$205,$C16)&amp;""="","Outro",INDEX(Avulsos!$D$6:$D$205,$C16))))</f>
        <v>Revisão</v>
      </c>
      <c r="J16" s="114" t="str">
        <f aca="false">IF($E16="","",IF($B16="Tema",INDEX(Temas!$C$6:$C$305,$C16)&amp;"",INDEX(Avulsos!$E$6:$E$205,$C16)&amp;""))</f>
        <v>Pediatria</v>
      </c>
      <c r="K16" s="114" t="str">
        <f aca="false">IF($E16="","",IF(IF($B16="Tema",INDEX(Temas!$E$6:$P$305,$C16,2*$D16),INDEX(Avulsos!$F$6:$F$205,$C16))&amp;""="","","✓"))</f>
        <v/>
      </c>
      <c r="L16" s="114" t="str">
        <f aca="true">IF($E16="","",IF($K16="✓","Concluído",IF($E16&lt;TODAY(),"Atrasado",IF($E16=TODAY(),"Hoje","Pendente"))))</f>
        <v>Pendente</v>
      </c>
      <c r="M16" s="114" t="str">
        <f aca="false">IF($E16="","",IF($K16="✓","✓ ","")&amp;IF(Config!$E$22="Sim",$H16&amp;" · ","")&amp;$F16)</f>
        <v>R5 · Nefrologia Pediátrica / ITU</v>
      </c>
      <c r="N16" s="114" t="str">
        <f aca="false">IF($E16="","",IFERROR(INDEX(Config!$D$15:$D$19,MATCH($I16,Config!$C$15:$C$19,0)),"OUT")&amp;IF($K16="✓","x",""))</f>
        <v>REV</v>
      </c>
      <c r="O16" s="114" t="n">
        <f aca="false">IF($E16="","",COUNTIF($E$5:$E16,$E16))</f>
        <v>2</v>
      </c>
      <c r="P16" s="114" t="n">
        <f aca="false">IF($E16="","",$E16*100+$O16)</f>
        <v>4635202</v>
      </c>
      <c r="Q16" s="114" t="str">
        <f aca="false">IF($L16="Atrasado",$E16*10000+$A16,"")</f>
        <v/>
      </c>
    </row>
    <row r="17" customFormat="false" ht="15" hidden="false" customHeight="false" outlineLevel="0" collapsed="false">
      <c r="A17" s="114" t="n">
        <f aca="false">ROW()-4</f>
        <v>13</v>
      </c>
      <c r="B17" s="114" t="str">
        <f aca="false">IF(A17&lt;=Config!$E$27*Config!$E$28,"Tema","Avulso")</f>
        <v>Tema</v>
      </c>
      <c r="C17" s="114" t="n">
        <f aca="false">IF(B17="Tema",INT((A17-1)/Config!$E$28)+1,A17-Config!$E$27*Config!$E$28)</f>
        <v>3</v>
      </c>
      <c r="D17" s="114" t="n">
        <f aca="false">IF(B17="Tema",MOD(A17-1,Config!$E$28)+1,"")</f>
        <v>1</v>
      </c>
      <c r="E17" s="115" t="n">
        <f aca="false">IF($B17="Tema",IF(ISNUMBER(INDEX(Temas!$E$6:$P$305,$C17,2*$D17-1)),INDEX(Temas!$E$6:$P$305,$C17,2*$D17-1),""),IF(ISNUMBER(INDEX(Avulsos!$B$6:$B$205,$C17)),INDEX(Avulsos!$B$6:$B$205,$C17),""))</f>
        <v>46292</v>
      </c>
      <c r="F17" s="114" t="str">
        <f aca="false">IF($E17="","",IF($B17="Tema",INDEX(Temas!$B$6:$B$305,$C17)&amp;"",INDEX(Avulsos!$C$6:$C$205,$C17)&amp;""))</f>
        <v>Asma e DPOC</v>
      </c>
      <c r="G17" s="114" t="str">
        <f aca="false">IF($E17="","",IF($B17="Tema",INDEX(Config!$C$6:$C$11,$D17),"Evento avulso"))</f>
        <v>Aula teórica</v>
      </c>
      <c r="H17" s="114" t="str">
        <f aca="false">IF($E17="","",IF($B17="Tema",INDEX(Config!$D$6:$D$11,$D17),IFERROR(INDEX(Config!$E$15:$E$19,MATCH($I17,Config!$C$15:$C$19,0)),"•")))</f>
        <v>T</v>
      </c>
      <c r="I17" s="114" t="str">
        <f aca="false">IF($E17="","",IF($B17="Tema",INDEX(Config!$E$6:$E$11,$D17),IF(INDEX(Avulsos!$D$6:$D$205,$C17)&amp;""="","Outro",INDEX(Avulsos!$D$6:$D$205,$C17))))</f>
        <v>Teórica</v>
      </c>
      <c r="J17" s="114" t="str">
        <f aca="false">IF($E17="","",IF($B17="Tema",INDEX(Temas!$C$6:$C$305,$C17)&amp;"",INDEX(Avulsos!$E$6:$E$205,$C17)&amp;""))</f>
        <v>Clínica Médica</v>
      </c>
      <c r="K17" s="114" t="str">
        <f aca="false">IF($E17="","",IF(IF($B17="Tema",INDEX(Temas!$E$6:$P$305,$C17,2*$D17),INDEX(Avulsos!$F$6:$F$205,$C17))&amp;""="","","✓"))</f>
        <v>✓</v>
      </c>
      <c r="L17" s="114" t="str">
        <f aca="true">IF($E17="","",IF($K17="✓","Concluído",IF($E17&lt;TODAY(),"Atrasado",IF($E17=TODAY(),"Hoje","Pendente"))))</f>
        <v>Concluído</v>
      </c>
      <c r="M17" s="114" t="str">
        <f aca="false">IF($E17="","",IF($K17="✓","✓ ","")&amp;IF(Config!$E$22="Sim",$H17&amp;" · ","")&amp;$F17)</f>
        <v>✓ T · Asma e DPOC</v>
      </c>
      <c r="N17" s="114" t="str">
        <f aca="false">IF($E17="","",IFERROR(INDEX(Config!$D$15:$D$19,MATCH($I17,Config!$C$15:$C$19,0)),"OUT")&amp;IF($K17="✓","x",""))</f>
        <v>TEOx</v>
      </c>
      <c r="O17" s="114" t="n">
        <f aca="false">IF($E17="","",COUNTIF($E$5:$E17,$E17))</f>
        <v>3</v>
      </c>
      <c r="P17" s="114" t="n">
        <f aca="false">IF($E17="","",$E17*100+$O17)</f>
        <v>4629203</v>
      </c>
      <c r="Q17" s="114" t="str">
        <f aca="false">IF($L17="Atrasado",$E17*10000+$A17,"")</f>
        <v/>
      </c>
    </row>
    <row r="18" customFormat="false" ht="15" hidden="false" customHeight="false" outlineLevel="0" collapsed="false">
      <c r="A18" s="114" t="n">
        <f aca="false">ROW()-4</f>
        <v>14</v>
      </c>
      <c r="B18" s="114" t="str">
        <f aca="false">IF(A18&lt;=Config!$E$27*Config!$E$28,"Tema","Avulso")</f>
        <v>Tema</v>
      </c>
      <c r="C18" s="114" t="n">
        <f aca="false">IF(B18="Tema",INT((A18-1)/Config!$E$28)+1,A18-Config!$E$27*Config!$E$28)</f>
        <v>3</v>
      </c>
      <c r="D18" s="114" t="n">
        <f aca="false">IF(B18="Tema",MOD(A18-1,Config!$E$28)+1,"")</f>
        <v>2</v>
      </c>
      <c r="E18" s="115" t="n">
        <f aca="false">IF($B18="Tema",IF(ISNUMBER(INDEX(Temas!$E$6:$P$305,$C18,2*$D18-1)),INDEX(Temas!$E$6:$P$305,$C18,2*$D18-1),""),IF(ISNUMBER(INDEX(Avulsos!$B$6:$B$205,$C18)),INDEX(Avulsos!$B$6:$B$205,$C18),""))</f>
        <v>46293</v>
      </c>
      <c r="F18" s="114" t="str">
        <f aca="false">IF($E18="","",IF($B18="Tema",INDEX(Temas!$B$6:$B$305,$C18)&amp;"",INDEX(Avulsos!$C$6:$C$205,$C18)&amp;""))</f>
        <v>Asma e DPOC</v>
      </c>
      <c r="G18" s="114" t="str">
        <f aca="false">IF($E18="","",IF($B18="Tema",INDEX(Config!$C$6:$C$11,$D18),"Evento avulso"))</f>
        <v>1ª Revisão</v>
      </c>
      <c r="H18" s="114" t="str">
        <f aca="false">IF($E18="","",IF($B18="Tema",INDEX(Config!$D$6:$D$11,$D18),IFERROR(INDEX(Config!$E$15:$E$19,MATCH($I18,Config!$C$15:$C$19,0)),"•")))</f>
        <v>R1</v>
      </c>
      <c r="I18" s="114" t="str">
        <f aca="false">IF($E18="","",IF($B18="Tema",INDEX(Config!$E$6:$E$11,$D18),IF(INDEX(Avulsos!$D$6:$D$205,$C18)&amp;""="","Outro",INDEX(Avulsos!$D$6:$D$205,$C18))))</f>
        <v>Revisão</v>
      </c>
      <c r="J18" s="114" t="str">
        <f aca="false">IF($E18="","",IF($B18="Tema",INDEX(Temas!$C$6:$C$305,$C18)&amp;"",INDEX(Avulsos!$E$6:$E$205,$C18)&amp;""))</f>
        <v>Clínica Médica</v>
      </c>
      <c r="K18" s="114" t="str">
        <f aca="false">IF($E18="","",IF(IF($B18="Tema",INDEX(Temas!$E$6:$P$305,$C18,2*$D18),INDEX(Avulsos!$F$6:$F$205,$C18))&amp;""="","","✓"))</f>
        <v>✓</v>
      </c>
      <c r="L18" s="114" t="str">
        <f aca="true">IF($E18="","",IF($K18="✓","Concluído",IF($E18&lt;TODAY(),"Atrasado",IF($E18=TODAY(),"Hoje","Pendente"))))</f>
        <v>Concluído</v>
      </c>
      <c r="M18" s="114" t="str">
        <f aca="false">IF($E18="","",IF($K18="✓","✓ ","")&amp;IF(Config!$E$22="Sim",$H18&amp;" · ","")&amp;$F18)</f>
        <v>✓ R1 · Asma e DPOC</v>
      </c>
      <c r="N18" s="114" t="str">
        <f aca="false">IF($E18="","",IFERROR(INDEX(Config!$D$15:$D$19,MATCH($I18,Config!$C$15:$C$19,0)),"OUT")&amp;IF($K18="✓","x",""))</f>
        <v>REVx</v>
      </c>
      <c r="O18" s="114" t="n">
        <f aca="false">IF($E18="","",COUNTIF($E$5:$E18,$E18))</f>
        <v>3</v>
      </c>
      <c r="P18" s="114" t="n">
        <f aca="false">IF($E18="","",$E18*100+$O18)</f>
        <v>4629303</v>
      </c>
      <c r="Q18" s="114" t="str">
        <f aca="false">IF($L18="Atrasado",$E18*10000+$A18,"")</f>
        <v/>
      </c>
    </row>
    <row r="19" customFormat="false" ht="15" hidden="false" customHeight="false" outlineLevel="0" collapsed="false">
      <c r="A19" s="114" t="n">
        <f aca="false">ROW()-4</f>
        <v>15</v>
      </c>
      <c r="B19" s="114" t="str">
        <f aca="false">IF(A19&lt;=Config!$E$27*Config!$E$28,"Tema","Avulso")</f>
        <v>Tema</v>
      </c>
      <c r="C19" s="114" t="n">
        <f aca="false">IF(B19="Tema",INT((A19-1)/Config!$E$28)+1,A19-Config!$E$27*Config!$E$28)</f>
        <v>3</v>
      </c>
      <c r="D19" s="114" t="n">
        <f aca="false">IF(B19="Tema",MOD(A19-1,Config!$E$28)+1,"")</f>
        <v>3</v>
      </c>
      <c r="E19" s="115" t="n">
        <f aca="false">IF($B19="Tema",IF(ISNUMBER(INDEX(Temas!$E$6:$P$305,$C19,2*$D19-1)),INDEX(Temas!$E$6:$P$305,$C19,2*$D19-1),""),IF(ISNUMBER(INDEX(Avulsos!$B$6:$B$205,$C19)),INDEX(Avulsos!$B$6:$B$205,$C19),""))</f>
        <v>46299</v>
      </c>
      <c r="F19" s="114" t="str">
        <f aca="false">IF($E19="","",IF($B19="Tema",INDEX(Temas!$B$6:$B$305,$C19)&amp;"",INDEX(Avulsos!$C$6:$C$205,$C19)&amp;""))</f>
        <v>Asma e DPOC</v>
      </c>
      <c r="G19" s="114" t="str">
        <f aca="false">IF($E19="","",IF($B19="Tema",INDEX(Config!$C$6:$C$11,$D19),"Evento avulso"))</f>
        <v>2ª Revisão</v>
      </c>
      <c r="H19" s="114" t="str">
        <f aca="false">IF($E19="","",IF($B19="Tema",INDEX(Config!$D$6:$D$11,$D19),IFERROR(INDEX(Config!$E$15:$E$19,MATCH($I19,Config!$C$15:$C$19,0)),"•")))</f>
        <v>R2</v>
      </c>
      <c r="I19" s="114" t="str">
        <f aca="false">IF($E19="","",IF($B19="Tema",INDEX(Config!$E$6:$E$11,$D19),IF(INDEX(Avulsos!$D$6:$D$205,$C19)&amp;""="","Outro",INDEX(Avulsos!$D$6:$D$205,$C19))))</f>
        <v>Prática</v>
      </c>
      <c r="J19" s="114" t="str">
        <f aca="false">IF($E19="","",IF($B19="Tema",INDEX(Temas!$C$6:$C$305,$C19)&amp;"",INDEX(Avulsos!$E$6:$E$205,$C19)&amp;""))</f>
        <v>Clínica Médica</v>
      </c>
      <c r="K19" s="114" t="str">
        <f aca="false">IF($E19="","",IF(IF($B19="Tema",INDEX(Temas!$E$6:$P$305,$C19,2*$D19),INDEX(Avulsos!$F$6:$F$205,$C19))&amp;""="","","✓"))</f>
        <v/>
      </c>
      <c r="L19" s="114" t="str">
        <f aca="true">IF($E19="","",IF($K19="✓","Concluído",IF($E19&lt;TODAY(),"Atrasado",IF($E19=TODAY(),"Hoje","Pendente"))))</f>
        <v>Atrasado</v>
      </c>
      <c r="M19" s="114" t="str">
        <f aca="false">IF($E19="","",IF($K19="✓","✓ ","")&amp;IF(Config!$E$22="Sim",$H19&amp;" · ","")&amp;$F19)</f>
        <v>R2 · Asma e DPOC</v>
      </c>
      <c r="N19" s="114" t="str">
        <f aca="false">IF($E19="","",IFERROR(INDEX(Config!$D$15:$D$19,MATCH($I19,Config!$C$15:$C$19,0)),"OUT")&amp;IF($K19="✓","x",""))</f>
        <v>PRA</v>
      </c>
      <c r="O19" s="114" t="n">
        <f aca="false">IF($E19="","",COUNTIF($E$5:$E19,$E19))</f>
        <v>3</v>
      </c>
      <c r="P19" s="114" t="n">
        <f aca="false">IF($E19="","",$E19*100+$O19)</f>
        <v>4629903</v>
      </c>
      <c r="Q19" s="114" t="n">
        <f aca="false">IF($L19="Atrasado",$E19*10000+$A19,"")</f>
        <v>462990015</v>
      </c>
    </row>
    <row r="20" customFormat="false" ht="15" hidden="false" customHeight="false" outlineLevel="0" collapsed="false">
      <c r="A20" s="114" t="n">
        <f aca="false">ROW()-4</f>
        <v>16</v>
      </c>
      <c r="B20" s="114" t="str">
        <f aca="false">IF(A20&lt;=Config!$E$27*Config!$E$28,"Tema","Avulso")</f>
        <v>Tema</v>
      </c>
      <c r="C20" s="114" t="n">
        <f aca="false">IF(B20="Tema",INT((A20-1)/Config!$E$28)+1,A20-Config!$E$27*Config!$E$28)</f>
        <v>3</v>
      </c>
      <c r="D20" s="114" t="n">
        <f aca="false">IF(B20="Tema",MOD(A20-1,Config!$E$28)+1,"")</f>
        <v>4</v>
      </c>
      <c r="E20" s="115" t="n">
        <f aca="false">IF($B20="Tema",IF(ISNUMBER(INDEX(Temas!$E$6:$P$305,$C20,2*$D20-1)),INDEX(Temas!$E$6:$P$305,$C20,2*$D20-1),""),IF(ISNUMBER(INDEX(Avulsos!$B$6:$B$205,$C20)),INDEX(Avulsos!$B$6:$B$205,$C20),""))</f>
        <v>46307</v>
      </c>
      <c r="F20" s="114" t="str">
        <f aca="false">IF($E20="","",IF($B20="Tema",INDEX(Temas!$B$6:$B$305,$C20)&amp;"",INDEX(Avulsos!$C$6:$C$205,$C20)&amp;""))</f>
        <v>Asma e DPOC</v>
      </c>
      <c r="G20" s="114" t="str">
        <f aca="false">IF($E20="","",IF($B20="Tema",INDEX(Config!$C$6:$C$11,$D20),"Evento avulso"))</f>
        <v>3ª Revisão</v>
      </c>
      <c r="H20" s="114" t="str">
        <f aca="false">IF($E20="","",IF($B20="Tema",INDEX(Config!$D$6:$D$11,$D20),IFERROR(INDEX(Config!$E$15:$E$19,MATCH($I20,Config!$C$15:$C$19,0)),"•")))</f>
        <v>R3</v>
      </c>
      <c r="I20" s="114" t="str">
        <f aca="false">IF($E20="","",IF($B20="Tema",INDEX(Config!$E$6:$E$11,$D20),IF(INDEX(Avulsos!$D$6:$D$205,$C20)&amp;""="","Outro",INDEX(Avulsos!$D$6:$D$205,$C20))))</f>
        <v>Prática</v>
      </c>
      <c r="J20" s="114" t="str">
        <f aca="false">IF($E20="","",IF($B20="Tema",INDEX(Temas!$C$6:$C$305,$C20)&amp;"",INDEX(Avulsos!$E$6:$E$205,$C20)&amp;""))</f>
        <v>Clínica Médica</v>
      </c>
      <c r="K20" s="114" t="str">
        <f aca="false">IF($E20="","",IF(IF($B20="Tema",INDEX(Temas!$E$6:$P$305,$C20,2*$D20),INDEX(Avulsos!$F$6:$F$205,$C20))&amp;""="","","✓"))</f>
        <v/>
      </c>
      <c r="L20" s="114" t="str">
        <f aca="true">IF($E20="","",IF($K20="✓","Concluído",IF($E20&lt;TODAY(),"Atrasado",IF($E20=TODAY(),"Hoje","Pendente"))))</f>
        <v>Pendente</v>
      </c>
      <c r="M20" s="114" t="str">
        <f aca="false">IF($E20="","",IF($K20="✓","✓ ","")&amp;IF(Config!$E$22="Sim",$H20&amp;" · ","")&amp;$F20)</f>
        <v>R3 · Asma e DPOC</v>
      </c>
      <c r="N20" s="114" t="str">
        <f aca="false">IF($E20="","",IFERROR(INDEX(Config!$D$15:$D$19,MATCH($I20,Config!$C$15:$C$19,0)),"OUT")&amp;IF($K20="✓","x",""))</f>
        <v>PRA</v>
      </c>
      <c r="O20" s="114" t="n">
        <f aca="false">IF($E20="","",COUNTIF($E$5:$E20,$E20))</f>
        <v>3</v>
      </c>
      <c r="P20" s="114" t="n">
        <f aca="false">IF($E20="","",$E20*100+$O20)</f>
        <v>4630703</v>
      </c>
      <c r="Q20" s="114" t="str">
        <f aca="false">IF($L20="Atrasado",$E20*10000+$A20,"")</f>
        <v/>
      </c>
    </row>
    <row r="21" customFormat="false" ht="15" hidden="false" customHeight="false" outlineLevel="0" collapsed="false">
      <c r="A21" s="114" t="n">
        <f aca="false">ROW()-4</f>
        <v>17</v>
      </c>
      <c r="B21" s="114" t="str">
        <f aca="false">IF(A21&lt;=Config!$E$27*Config!$E$28,"Tema","Avulso")</f>
        <v>Tema</v>
      </c>
      <c r="C21" s="114" t="n">
        <f aca="false">IF(B21="Tema",INT((A21-1)/Config!$E$28)+1,A21-Config!$E$27*Config!$E$28)</f>
        <v>3</v>
      </c>
      <c r="D21" s="114" t="n">
        <f aca="false">IF(B21="Tema",MOD(A21-1,Config!$E$28)+1,"")</f>
        <v>5</v>
      </c>
      <c r="E21" s="115" t="n">
        <f aca="false">IF($B21="Tema",IF(ISNUMBER(INDEX(Temas!$E$6:$P$305,$C21,2*$D21-1)),INDEX(Temas!$E$6:$P$305,$C21,2*$D21-1),""),IF(ISNUMBER(INDEX(Avulsos!$B$6:$B$205,$C21)),INDEX(Avulsos!$B$6:$B$205,$C21),""))</f>
        <v>46322</v>
      </c>
      <c r="F21" s="114" t="str">
        <f aca="false">IF($E21="","",IF($B21="Tema",INDEX(Temas!$B$6:$B$305,$C21)&amp;"",INDEX(Avulsos!$C$6:$C$205,$C21)&amp;""))</f>
        <v>Asma e DPOC</v>
      </c>
      <c r="G21" s="114" t="str">
        <f aca="false">IF($E21="","",IF($B21="Tema",INDEX(Config!$C$6:$C$11,$D21),"Evento avulso"))</f>
        <v>4ª Revisão</v>
      </c>
      <c r="H21" s="114" t="str">
        <f aca="false">IF($E21="","",IF($B21="Tema",INDEX(Config!$D$6:$D$11,$D21),IFERROR(INDEX(Config!$E$15:$E$19,MATCH($I21,Config!$C$15:$C$19,0)),"•")))</f>
        <v>R4</v>
      </c>
      <c r="I21" s="114" t="str">
        <f aca="false">IF($E21="","",IF($B21="Tema",INDEX(Config!$E$6:$E$11,$D21),IF(INDEX(Avulsos!$D$6:$D$205,$C21)&amp;""="","Outro",INDEX(Avulsos!$D$6:$D$205,$C21))))</f>
        <v>Prática</v>
      </c>
      <c r="J21" s="114" t="str">
        <f aca="false">IF($E21="","",IF($B21="Tema",INDEX(Temas!$C$6:$C$305,$C21)&amp;"",INDEX(Avulsos!$E$6:$E$205,$C21)&amp;""))</f>
        <v>Clínica Médica</v>
      </c>
      <c r="K21" s="114" t="str">
        <f aca="false">IF($E21="","",IF(IF($B21="Tema",INDEX(Temas!$E$6:$P$305,$C21,2*$D21),INDEX(Avulsos!$F$6:$F$205,$C21))&amp;""="","","✓"))</f>
        <v/>
      </c>
      <c r="L21" s="114" t="str">
        <f aca="true">IF($E21="","",IF($K21="✓","Concluído",IF($E21&lt;TODAY(),"Atrasado",IF($E21=TODAY(),"Hoje","Pendente"))))</f>
        <v>Pendente</v>
      </c>
      <c r="M21" s="114" t="str">
        <f aca="false">IF($E21="","",IF($K21="✓","✓ ","")&amp;IF(Config!$E$22="Sim",$H21&amp;" · ","")&amp;$F21)</f>
        <v>R4 · Asma e DPOC</v>
      </c>
      <c r="N21" s="114" t="str">
        <f aca="false">IF($E21="","",IFERROR(INDEX(Config!$D$15:$D$19,MATCH($I21,Config!$C$15:$C$19,0)),"OUT")&amp;IF($K21="✓","x",""))</f>
        <v>PRA</v>
      </c>
      <c r="O21" s="114" t="n">
        <f aca="false">IF($E21="","",COUNTIF($E$5:$E21,$E21))</f>
        <v>3</v>
      </c>
      <c r="P21" s="114" t="n">
        <f aca="false">IF($E21="","",$E21*100+$O21)</f>
        <v>4632203</v>
      </c>
      <c r="Q21" s="114" t="str">
        <f aca="false">IF($L21="Atrasado",$E21*10000+$A21,"")</f>
        <v/>
      </c>
    </row>
    <row r="22" customFormat="false" ht="15" hidden="false" customHeight="false" outlineLevel="0" collapsed="false">
      <c r="A22" s="114" t="n">
        <f aca="false">ROW()-4</f>
        <v>18</v>
      </c>
      <c r="B22" s="114" t="str">
        <f aca="false">IF(A22&lt;=Config!$E$27*Config!$E$28,"Tema","Avulso")</f>
        <v>Tema</v>
      </c>
      <c r="C22" s="114" t="n">
        <f aca="false">IF(B22="Tema",INT((A22-1)/Config!$E$28)+1,A22-Config!$E$27*Config!$E$28)</f>
        <v>3</v>
      </c>
      <c r="D22" s="114" t="n">
        <f aca="false">IF(B22="Tema",MOD(A22-1,Config!$E$28)+1,"")</f>
        <v>6</v>
      </c>
      <c r="E22" s="115" t="n">
        <f aca="false">IF($B22="Tema",IF(ISNUMBER(INDEX(Temas!$E$6:$P$305,$C22,2*$D22-1)),INDEX(Temas!$E$6:$P$305,$C22,2*$D22-1),""),IF(ISNUMBER(INDEX(Avulsos!$B$6:$B$205,$C22)),INDEX(Avulsos!$B$6:$B$205,$C22),""))</f>
        <v>46352</v>
      </c>
      <c r="F22" s="114" t="str">
        <f aca="false">IF($E22="","",IF($B22="Tema",INDEX(Temas!$B$6:$B$305,$C22)&amp;"",INDEX(Avulsos!$C$6:$C$205,$C22)&amp;""))</f>
        <v>Asma e DPOC</v>
      </c>
      <c r="G22" s="114" t="str">
        <f aca="false">IF($E22="","",IF($B22="Tema",INDEX(Config!$C$6:$C$11,$D22),"Evento avulso"))</f>
        <v>5ª Revisão</v>
      </c>
      <c r="H22" s="114" t="str">
        <f aca="false">IF($E22="","",IF($B22="Tema",INDEX(Config!$D$6:$D$11,$D22),IFERROR(INDEX(Config!$E$15:$E$19,MATCH($I22,Config!$C$15:$C$19,0)),"•")))</f>
        <v>R5</v>
      </c>
      <c r="I22" s="114" t="str">
        <f aca="false">IF($E22="","",IF($B22="Tema",INDEX(Config!$E$6:$E$11,$D22),IF(INDEX(Avulsos!$D$6:$D$205,$C22)&amp;""="","Outro",INDEX(Avulsos!$D$6:$D$205,$C22))))</f>
        <v>Revisão</v>
      </c>
      <c r="J22" s="114" t="str">
        <f aca="false">IF($E22="","",IF($B22="Tema",INDEX(Temas!$C$6:$C$305,$C22)&amp;"",INDEX(Avulsos!$E$6:$E$205,$C22)&amp;""))</f>
        <v>Clínica Médica</v>
      </c>
      <c r="K22" s="114" t="str">
        <f aca="false">IF($E22="","",IF(IF($B22="Tema",INDEX(Temas!$E$6:$P$305,$C22,2*$D22),INDEX(Avulsos!$F$6:$F$205,$C22))&amp;""="","","✓"))</f>
        <v/>
      </c>
      <c r="L22" s="114" t="str">
        <f aca="true">IF($E22="","",IF($K22="✓","Concluído",IF($E22&lt;TODAY(),"Atrasado",IF($E22=TODAY(),"Hoje","Pendente"))))</f>
        <v>Pendente</v>
      </c>
      <c r="M22" s="114" t="str">
        <f aca="false">IF($E22="","",IF($K22="✓","✓ ","")&amp;IF(Config!$E$22="Sim",$H22&amp;" · ","")&amp;$F22)</f>
        <v>R5 · Asma e DPOC</v>
      </c>
      <c r="N22" s="114" t="str">
        <f aca="false">IF($E22="","",IFERROR(INDEX(Config!$D$15:$D$19,MATCH($I22,Config!$C$15:$C$19,0)),"OUT")&amp;IF($K22="✓","x",""))</f>
        <v>REV</v>
      </c>
      <c r="O22" s="114" t="n">
        <f aca="false">IF($E22="","",COUNTIF($E$5:$E22,$E22))</f>
        <v>3</v>
      </c>
      <c r="P22" s="114" t="n">
        <f aca="false">IF($E22="","",$E22*100+$O22)</f>
        <v>4635203</v>
      </c>
      <c r="Q22" s="114" t="str">
        <f aca="false">IF($L22="Atrasado",$E22*10000+$A22,"")</f>
        <v/>
      </c>
    </row>
    <row r="23" customFormat="false" ht="15" hidden="false" customHeight="false" outlineLevel="0" collapsed="false">
      <c r="A23" s="114" t="n">
        <f aca="false">ROW()-4</f>
        <v>19</v>
      </c>
      <c r="B23" s="114" t="str">
        <f aca="false">IF(A23&lt;=Config!$E$27*Config!$E$28,"Tema","Avulso")</f>
        <v>Tema</v>
      </c>
      <c r="C23" s="114" t="n">
        <f aca="false">IF(B23="Tema",INT((A23-1)/Config!$E$28)+1,A23-Config!$E$27*Config!$E$28)</f>
        <v>4</v>
      </c>
      <c r="D23" s="114" t="n">
        <f aca="false">IF(B23="Tema",MOD(A23-1,Config!$E$28)+1,"")</f>
        <v>1</v>
      </c>
      <c r="E23" s="115" t="n">
        <f aca="false">IF($B23="Tema",IF(ISNUMBER(INDEX(Temas!$E$6:$P$305,$C23,2*$D23-1)),INDEX(Temas!$E$6:$P$305,$C23,2*$D23-1),""),IF(ISNUMBER(INDEX(Avulsos!$B$6:$B$205,$C23)),INDEX(Avulsos!$B$6:$B$205,$C23),""))</f>
        <v>46293</v>
      </c>
      <c r="F23" s="114" t="str">
        <f aca="false">IF($E23="","",IF($B23="Tema",INDEX(Temas!$B$6:$B$305,$C23)&amp;"",INDEX(Avulsos!$C$6:$C$205,$C23)&amp;""))</f>
        <v>Doenças da Tireoide</v>
      </c>
      <c r="G23" s="114" t="str">
        <f aca="false">IF($E23="","",IF($B23="Tema",INDEX(Config!$C$6:$C$11,$D23),"Evento avulso"))</f>
        <v>Aula teórica</v>
      </c>
      <c r="H23" s="114" t="str">
        <f aca="false">IF($E23="","",IF($B23="Tema",INDEX(Config!$D$6:$D$11,$D23),IFERROR(INDEX(Config!$E$15:$E$19,MATCH($I23,Config!$C$15:$C$19,0)),"•")))</f>
        <v>T</v>
      </c>
      <c r="I23" s="114" t="str">
        <f aca="false">IF($E23="","",IF($B23="Tema",INDEX(Config!$E$6:$E$11,$D23),IF(INDEX(Avulsos!$D$6:$D$205,$C23)&amp;""="","Outro",INDEX(Avulsos!$D$6:$D$205,$C23))))</f>
        <v>Teórica</v>
      </c>
      <c r="J23" s="114" t="str">
        <f aca="false">IF($E23="","",IF($B23="Tema",INDEX(Temas!$C$6:$C$305,$C23)&amp;"",INDEX(Avulsos!$E$6:$E$205,$C23)&amp;""))</f>
        <v>Clínica Médica</v>
      </c>
      <c r="K23" s="114" t="str">
        <f aca="false">IF($E23="","",IF(IF($B23="Tema",INDEX(Temas!$E$6:$P$305,$C23,2*$D23),INDEX(Avulsos!$F$6:$F$205,$C23))&amp;""="","","✓"))</f>
        <v>✓</v>
      </c>
      <c r="L23" s="114" t="str">
        <f aca="true">IF($E23="","",IF($K23="✓","Concluído",IF($E23&lt;TODAY(),"Atrasado",IF($E23=TODAY(),"Hoje","Pendente"))))</f>
        <v>Concluído</v>
      </c>
      <c r="M23" s="114" t="str">
        <f aca="false">IF($E23="","",IF($K23="✓","✓ ","")&amp;IF(Config!$E$22="Sim",$H23&amp;" · ","")&amp;$F23)</f>
        <v>✓ T · Doenças da Tireoide</v>
      </c>
      <c r="N23" s="114" t="str">
        <f aca="false">IF($E23="","",IFERROR(INDEX(Config!$D$15:$D$19,MATCH($I23,Config!$C$15:$C$19,0)),"OUT")&amp;IF($K23="✓","x",""))</f>
        <v>TEOx</v>
      </c>
      <c r="O23" s="114" t="n">
        <f aca="false">IF($E23="","",COUNTIF($E$5:$E23,$E23))</f>
        <v>4</v>
      </c>
      <c r="P23" s="114" t="n">
        <f aca="false">IF($E23="","",$E23*100+$O23)</f>
        <v>4629304</v>
      </c>
      <c r="Q23" s="114" t="str">
        <f aca="false">IF($L23="Atrasado",$E23*10000+$A23,"")</f>
        <v/>
      </c>
    </row>
    <row r="24" customFormat="false" ht="15" hidden="false" customHeight="false" outlineLevel="0" collapsed="false">
      <c r="A24" s="114" t="n">
        <f aca="false">ROW()-4</f>
        <v>20</v>
      </c>
      <c r="B24" s="114" t="str">
        <f aca="false">IF(A24&lt;=Config!$E$27*Config!$E$28,"Tema","Avulso")</f>
        <v>Tema</v>
      </c>
      <c r="C24" s="114" t="n">
        <f aca="false">IF(B24="Tema",INT((A24-1)/Config!$E$28)+1,A24-Config!$E$27*Config!$E$28)</f>
        <v>4</v>
      </c>
      <c r="D24" s="114" t="n">
        <f aca="false">IF(B24="Tema",MOD(A24-1,Config!$E$28)+1,"")</f>
        <v>2</v>
      </c>
      <c r="E24" s="115" t="n">
        <f aca="false">IF($B24="Tema",IF(ISNUMBER(INDEX(Temas!$E$6:$P$305,$C24,2*$D24-1)),INDEX(Temas!$E$6:$P$305,$C24,2*$D24-1),""),IF(ISNUMBER(INDEX(Avulsos!$B$6:$B$205,$C24)),INDEX(Avulsos!$B$6:$B$205,$C24),""))</f>
        <v>46294</v>
      </c>
      <c r="F24" s="114" t="str">
        <f aca="false">IF($E24="","",IF($B24="Tema",INDEX(Temas!$B$6:$B$305,$C24)&amp;"",INDEX(Avulsos!$C$6:$C$205,$C24)&amp;""))</f>
        <v>Doenças da Tireoide</v>
      </c>
      <c r="G24" s="114" t="str">
        <f aca="false">IF($E24="","",IF($B24="Tema",INDEX(Config!$C$6:$C$11,$D24),"Evento avulso"))</f>
        <v>1ª Revisão</v>
      </c>
      <c r="H24" s="114" t="str">
        <f aca="false">IF($E24="","",IF($B24="Tema",INDEX(Config!$D$6:$D$11,$D24),IFERROR(INDEX(Config!$E$15:$E$19,MATCH($I24,Config!$C$15:$C$19,0)),"•")))</f>
        <v>R1</v>
      </c>
      <c r="I24" s="114" t="str">
        <f aca="false">IF($E24="","",IF($B24="Tema",INDEX(Config!$E$6:$E$11,$D24),IF(INDEX(Avulsos!$D$6:$D$205,$C24)&amp;""="","Outro",INDEX(Avulsos!$D$6:$D$205,$C24))))</f>
        <v>Revisão</v>
      </c>
      <c r="J24" s="114" t="str">
        <f aca="false">IF($E24="","",IF($B24="Tema",INDEX(Temas!$C$6:$C$305,$C24)&amp;"",INDEX(Avulsos!$E$6:$E$205,$C24)&amp;""))</f>
        <v>Clínica Médica</v>
      </c>
      <c r="K24" s="114" t="str">
        <f aca="false">IF($E24="","",IF(IF($B24="Tema",INDEX(Temas!$E$6:$P$305,$C24,2*$D24),INDEX(Avulsos!$F$6:$F$205,$C24))&amp;""="","","✓"))</f>
        <v>✓</v>
      </c>
      <c r="L24" s="114" t="str">
        <f aca="true">IF($E24="","",IF($K24="✓","Concluído",IF($E24&lt;TODAY(),"Atrasado",IF($E24=TODAY(),"Hoje","Pendente"))))</f>
        <v>Concluído</v>
      </c>
      <c r="M24" s="114" t="str">
        <f aca="false">IF($E24="","",IF($K24="✓","✓ ","")&amp;IF(Config!$E$22="Sim",$H24&amp;" · ","")&amp;$F24)</f>
        <v>✓ R1 · Doenças da Tireoide</v>
      </c>
      <c r="N24" s="114" t="str">
        <f aca="false">IF($E24="","",IFERROR(INDEX(Config!$D$15:$D$19,MATCH($I24,Config!$C$15:$C$19,0)),"OUT")&amp;IF($K24="✓","x",""))</f>
        <v>REVx</v>
      </c>
      <c r="O24" s="114" t="n">
        <f aca="false">IF($E24="","",COUNTIF($E$5:$E24,$E24))</f>
        <v>1</v>
      </c>
      <c r="P24" s="114" t="n">
        <f aca="false">IF($E24="","",$E24*100+$O24)</f>
        <v>4629401</v>
      </c>
      <c r="Q24" s="114" t="str">
        <f aca="false">IF($L24="Atrasado",$E24*10000+$A24,"")</f>
        <v/>
      </c>
    </row>
    <row r="25" customFormat="false" ht="15" hidden="false" customHeight="false" outlineLevel="0" collapsed="false">
      <c r="A25" s="114" t="n">
        <f aca="false">ROW()-4</f>
        <v>21</v>
      </c>
      <c r="B25" s="114" t="str">
        <f aca="false">IF(A25&lt;=Config!$E$27*Config!$E$28,"Tema","Avulso")</f>
        <v>Tema</v>
      </c>
      <c r="C25" s="114" t="n">
        <f aca="false">IF(B25="Tema",INT((A25-1)/Config!$E$28)+1,A25-Config!$E$27*Config!$E$28)</f>
        <v>4</v>
      </c>
      <c r="D25" s="114" t="n">
        <f aca="false">IF(B25="Tema",MOD(A25-1,Config!$E$28)+1,"")</f>
        <v>3</v>
      </c>
      <c r="E25" s="115" t="n">
        <f aca="false">IF($B25="Tema",IF(ISNUMBER(INDEX(Temas!$E$6:$P$305,$C25,2*$D25-1)),INDEX(Temas!$E$6:$P$305,$C25,2*$D25-1),""),IF(ISNUMBER(INDEX(Avulsos!$B$6:$B$205,$C25)),INDEX(Avulsos!$B$6:$B$205,$C25),""))</f>
        <v>46300</v>
      </c>
      <c r="F25" s="114" t="str">
        <f aca="false">IF($E25="","",IF($B25="Tema",INDEX(Temas!$B$6:$B$305,$C25)&amp;"",INDEX(Avulsos!$C$6:$C$205,$C25)&amp;""))</f>
        <v>Doenças da Tireoide</v>
      </c>
      <c r="G25" s="114" t="str">
        <f aca="false">IF($E25="","",IF($B25="Tema",INDEX(Config!$C$6:$C$11,$D25),"Evento avulso"))</f>
        <v>2ª Revisão</v>
      </c>
      <c r="H25" s="114" t="str">
        <f aca="false">IF($E25="","",IF($B25="Tema",INDEX(Config!$D$6:$D$11,$D25),IFERROR(INDEX(Config!$E$15:$E$19,MATCH($I25,Config!$C$15:$C$19,0)),"•")))</f>
        <v>R2</v>
      </c>
      <c r="I25" s="114" t="str">
        <f aca="false">IF($E25="","",IF($B25="Tema",INDEX(Config!$E$6:$E$11,$D25),IF(INDEX(Avulsos!$D$6:$D$205,$C25)&amp;""="","Outro",INDEX(Avulsos!$D$6:$D$205,$C25))))</f>
        <v>Prática</v>
      </c>
      <c r="J25" s="114" t="str">
        <f aca="false">IF($E25="","",IF($B25="Tema",INDEX(Temas!$C$6:$C$305,$C25)&amp;"",INDEX(Avulsos!$E$6:$E$205,$C25)&amp;""))</f>
        <v>Clínica Médica</v>
      </c>
      <c r="K25" s="114" t="str">
        <f aca="false">IF($E25="","",IF(IF($B25="Tema",INDEX(Temas!$E$6:$P$305,$C25,2*$D25),INDEX(Avulsos!$F$6:$F$205,$C25))&amp;""="","","✓"))</f>
        <v/>
      </c>
      <c r="L25" s="114" t="str">
        <f aca="true">IF($E25="","",IF($K25="✓","Concluído",IF($E25&lt;TODAY(),"Atrasado",IF($E25=TODAY(),"Hoje","Pendente"))))</f>
        <v>Atrasado</v>
      </c>
      <c r="M25" s="114" t="str">
        <f aca="false">IF($E25="","",IF($K25="✓","✓ ","")&amp;IF(Config!$E$22="Sim",$H25&amp;" · ","")&amp;$F25)</f>
        <v>R2 · Doenças da Tireoide</v>
      </c>
      <c r="N25" s="114" t="str">
        <f aca="false">IF($E25="","",IFERROR(INDEX(Config!$D$15:$D$19,MATCH($I25,Config!$C$15:$C$19,0)),"OUT")&amp;IF($K25="✓","x",""))</f>
        <v>PRA</v>
      </c>
      <c r="O25" s="114" t="n">
        <f aca="false">IF($E25="","",COUNTIF($E$5:$E25,$E25))</f>
        <v>1</v>
      </c>
      <c r="P25" s="114" t="n">
        <f aca="false">IF($E25="","",$E25*100+$O25)</f>
        <v>4630001</v>
      </c>
      <c r="Q25" s="114" t="n">
        <f aca="false">IF($L25="Atrasado",$E25*10000+$A25,"")</f>
        <v>463000021</v>
      </c>
    </row>
    <row r="26" customFormat="false" ht="15" hidden="false" customHeight="false" outlineLevel="0" collapsed="false">
      <c r="A26" s="114" t="n">
        <f aca="false">ROW()-4</f>
        <v>22</v>
      </c>
      <c r="B26" s="114" t="str">
        <f aca="false">IF(A26&lt;=Config!$E$27*Config!$E$28,"Tema","Avulso")</f>
        <v>Tema</v>
      </c>
      <c r="C26" s="114" t="n">
        <f aca="false">IF(B26="Tema",INT((A26-1)/Config!$E$28)+1,A26-Config!$E$27*Config!$E$28)</f>
        <v>4</v>
      </c>
      <c r="D26" s="114" t="n">
        <f aca="false">IF(B26="Tema",MOD(A26-1,Config!$E$28)+1,"")</f>
        <v>4</v>
      </c>
      <c r="E26" s="115" t="n">
        <f aca="false">IF($B26="Tema",IF(ISNUMBER(INDEX(Temas!$E$6:$P$305,$C26,2*$D26-1)),INDEX(Temas!$E$6:$P$305,$C26,2*$D26-1),""),IF(ISNUMBER(INDEX(Avulsos!$B$6:$B$205,$C26)),INDEX(Avulsos!$B$6:$B$205,$C26),""))</f>
        <v>46308</v>
      </c>
      <c r="F26" s="114" t="str">
        <f aca="false">IF($E26="","",IF($B26="Tema",INDEX(Temas!$B$6:$B$305,$C26)&amp;"",INDEX(Avulsos!$C$6:$C$205,$C26)&amp;""))</f>
        <v>Doenças da Tireoide</v>
      </c>
      <c r="G26" s="114" t="str">
        <f aca="false">IF($E26="","",IF($B26="Tema",INDEX(Config!$C$6:$C$11,$D26),"Evento avulso"))</f>
        <v>3ª Revisão</v>
      </c>
      <c r="H26" s="114" t="str">
        <f aca="false">IF($E26="","",IF($B26="Tema",INDEX(Config!$D$6:$D$11,$D26),IFERROR(INDEX(Config!$E$15:$E$19,MATCH($I26,Config!$C$15:$C$19,0)),"•")))</f>
        <v>R3</v>
      </c>
      <c r="I26" s="114" t="str">
        <f aca="false">IF($E26="","",IF($B26="Tema",INDEX(Config!$E$6:$E$11,$D26),IF(INDEX(Avulsos!$D$6:$D$205,$C26)&amp;""="","Outro",INDEX(Avulsos!$D$6:$D$205,$C26))))</f>
        <v>Prática</v>
      </c>
      <c r="J26" s="114" t="str">
        <f aca="false">IF($E26="","",IF($B26="Tema",INDEX(Temas!$C$6:$C$305,$C26)&amp;"",INDEX(Avulsos!$E$6:$E$205,$C26)&amp;""))</f>
        <v>Clínica Médica</v>
      </c>
      <c r="K26" s="114" t="str">
        <f aca="false">IF($E26="","",IF(IF($B26="Tema",INDEX(Temas!$E$6:$P$305,$C26,2*$D26),INDEX(Avulsos!$F$6:$F$205,$C26))&amp;""="","","✓"))</f>
        <v/>
      </c>
      <c r="L26" s="114" t="str">
        <f aca="true">IF($E26="","",IF($K26="✓","Concluído",IF($E26&lt;TODAY(),"Atrasado",IF($E26=TODAY(),"Hoje","Pendente"))))</f>
        <v>Pendente</v>
      </c>
      <c r="M26" s="114" t="str">
        <f aca="false">IF($E26="","",IF($K26="✓","✓ ","")&amp;IF(Config!$E$22="Sim",$H26&amp;" · ","")&amp;$F26)</f>
        <v>R3 · Doenças da Tireoide</v>
      </c>
      <c r="N26" s="114" t="str">
        <f aca="false">IF($E26="","",IFERROR(INDEX(Config!$D$15:$D$19,MATCH($I26,Config!$C$15:$C$19,0)),"OUT")&amp;IF($K26="✓","x",""))</f>
        <v>PRA</v>
      </c>
      <c r="O26" s="114" t="n">
        <f aca="false">IF($E26="","",COUNTIF($E$5:$E26,$E26))</f>
        <v>1</v>
      </c>
      <c r="P26" s="114" t="n">
        <f aca="false">IF($E26="","",$E26*100+$O26)</f>
        <v>4630801</v>
      </c>
      <c r="Q26" s="114" t="str">
        <f aca="false">IF($L26="Atrasado",$E26*10000+$A26,"")</f>
        <v/>
      </c>
    </row>
    <row r="27" customFormat="false" ht="15" hidden="false" customHeight="false" outlineLevel="0" collapsed="false">
      <c r="A27" s="114" t="n">
        <f aca="false">ROW()-4</f>
        <v>23</v>
      </c>
      <c r="B27" s="114" t="str">
        <f aca="false">IF(A27&lt;=Config!$E$27*Config!$E$28,"Tema","Avulso")</f>
        <v>Tema</v>
      </c>
      <c r="C27" s="114" t="n">
        <f aca="false">IF(B27="Tema",INT((A27-1)/Config!$E$28)+1,A27-Config!$E$27*Config!$E$28)</f>
        <v>4</v>
      </c>
      <c r="D27" s="114" t="n">
        <f aca="false">IF(B27="Tema",MOD(A27-1,Config!$E$28)+1,"")</f>
        <v>5</v>
      </c>
      <c r="E27" s="115" t="n">
        <f aca="false">IF($B27="Tema",IF(ISNUMBER(INDEX(Temas!$E$6:$P$305,$C27,2*$D27-1)),INDEX(Temas!$E$6:$P$305,$C27,2*$D27-1),""),IF(ISNUMBER(INDEX(Avulsos!$B$6:$B$205,$C27)),INDEX(Avulsos!$B$6:$B$205,$C27),""))</f>
        <v>46323</v>
      </c>
      <c r="F27" s="114" t="str">
        <f aca="false">IF($E27="","",IF($B27="Tema",INDEX(Temas!$B$6:$B$305,$C27)&amp;"",INDEX(Avulsos!$C$6:$C$205,$C27)&amp;""))</f>
        <v>Doenças da Tireoide</v>
      </c>
      <c r="G27" s="114" t="str">
        <f aca="false">IF($E27="","",IF($B27="Tema",INDEX(Config!$C$6:$C$11,$D27),"Evento avulso"))</f>
        <v>4ª Revisão</v>
      </c>
      <c r="H27" s="114" t="str">
        <f aca="false">IF($E27="","",IF($B27="Tema",INDEX(Config!$D$6:$D$11,$D27),IFERROR(INDEX(Config!$E$15:$E$19,MATCH($I27,Config!$C$15:$C$19,0)),"•")))</f>
        <v>R4</v>
      </c>
      <c r="I27" s="114" t="str">
        <f aca="false">IF($E27="","",IF($B27="Tema",INDEX(Config!$E$6:$E$11,$D27),IF(INDEX(Avulsos!$D$6:$D$205,$C27)&amp;""="","Outro",INDEX(Avulsos!$D$6:$D$205,$C27))))</f>
        <v>Prática</v>
      </c>
      <c r="J27" s="114" t="str">
        <f aca="false">IF($E27="","",IF($B27="Tema",INDEX(Temas!$C$6:$C$305,$C27)&amp;"",INDEX(Avulsos!$E$6:$E$205,$C27)&amp;""))</f>
        <v>Clínica Médica</v>
      </c>
      <c r="K27" s="114" t="str">
        <f aca="false">IF($E27="","",IF(IF($B27="Tema",INDEX(Temas!$E$6:$P$305,$C27,2*$D27),INDEX(Avulsos!$F$6:$F$205,$C27))&amp;""="","","✓"))</f>
        <v/>
      </c>
      <c r="L27" s="114" t="str">
        <f aca="true">IF($E27="","",IF($K27="✓","Concluído",IF($E27&lt;TODAY(),"Atrasado",IF($E27=TODAY(),"Hoje","Pendente"))))</f>
        <v>Pendente</v>
      </c>
      <c r="M27" s="114" t="str">
        <f aca="false">IF($E27="","",IF($K27="✓","✓ ","")&amp;IF(Config!$E$22="Sim",$H27&amp;" · ","")&amp;$F27)</f>
        <v>R4 · Doenças da Tireoide</v>
      </c>
      <c r="N27" s="114" t="str">
        <f aca="false">IF($E27="","",IFERROR(INDEX(Config!$D$15:$D$19,MATCH($I27,Config!$C$15:$C$19,0)),"OUT")&amp;IF($K27="✓","x",""))</f>
        <v>PRA</v>
      </c>
      <c r="O27" s="114" t="n">
        <f aca="false">IF($E27="","",COUNTIF($E$5:$E27,$E27))</f>
        <v>1</v>
      </c>
      <c r="P27" s="114" t="n">
        <f aca="false">IF($E27="","",$E27*100+$O27)</f>
        <v>4632301</v>
      </c>
      <c r="Q27" s="114" t="str">
        <f aca="false">IF($L27="Atrasado",$E27*10000+$A27,"")</f>
        <v/>
      </c>
    </row>
    <row r="28" customFormat="false" ht="15" hidden="false" customHeight="false" outlineLevel="0" collapsed="false">
      <c r="A28" s="114" t="n">
        <f aca="false">ROW()-4</f>
        <v>24</v>
      </c>
      <c r="B28" s="114" t="str">
        <f aca="false">IF(A28&lt;=Config!$E$27*Config!$E$28,"Tema","Avulso")</f>
        <v>Tema</v>
      </c>
      <c r="C28" s="114" t="n">
        <f aca="false">IF(B28="Tema",INT((A28-1)/Config!$E$28)+1,A28-Config!$E$27*Config!$E$28)</f>
        <v>4</v>
      </c>
      <c r="D28" s="114" t="n">
        <f aca="false">IF(B28="Tema",MOD(A28-1,Config!$E$28)+1,"")</f>
        <v>6</v>
      </c>
      <c r="E28" s="115" t="n">
        <f aca="false">IF($B28="Tema",IF(ISNUMBER(INDEX(Temas!$E$6:$P$305,$C28,2*$D28-1)),INDEX(Temas!$E$6:$P$305,$C28,2*$D28-1),""),IF(ISNUMBER(INDEX(Avulsos!$B$6:$B$205,$C28)),INDEX(Avulsos!$B$6:$B$205,$C28),""))</f>
        <v>46353</v>
      </c>
      <c r="F28" s="114" t="str">
        <f aca="false">IF($E28="","",IF($B28="Tema",INDEX(Temas!$B$6:$B$305,$C28)&amp;"",INDEX(Avulsos!$C$6:$C$205,$C28)&amp;""))</f>
        <v>Doenças da Tireoide</v>
      </c>
      <c r="G28" s="114" t="str">
        <f aca="false">IF($E28="","",IF($B28="Tema",INDEX(Config!$C$6:$C$11,$D28),"Evento avulso"))</f>
        <v>5ª Revisão</v>
      </c>
      <c r="H28" s="114" t="str">
        <f aca="false">IF($E28="","",IF($B28="Tema",INDEX(Config!$D$6:$D$11,$D28),IFERROR(INDEX(Config!$E$15:$E$19,MATCH($I28,Config!$C$15:$C$19,0)),"•")))</f>
        <v>R5</v>
      </c>
      <c r="I28" s="114" t="str">
        <f aca="false">IF($E28="","",IF($B28="Tema",INDEX(Config!$E$6:$E$11,$D28),IF(INDEX(Avulsos!$D$6:$D$205,$C28)&amp;""="","Outro",INDEX(Avulsos!$D$6:$D$205,$C28))))</f>
        <v>Revisão</v>
      </c>
      <c r="J28" s="114" t="str">
        <f aca="false">IF($E28="","",IF($B28="Tema",INDEX(Temas!$C$6:$C$305,$C28)&amp;"",INDEX(Avulsos!$E$6:$E$205,$C28)&amp;""))</f>
        <v>Clínica Médica</v>
      </c>
      <c r="K28" s="114" t="str">
        <f aca="false">IF($E28="","",IF(IF($B28="Tema",INDEX(Temas!$E$6:$P$305,$C28,2*$D28),INDEX(Avulsos!$F$6:$F$205,$C28))&amp;""="","","✓"))</f>
        <v/>
      </c>
      <c r="L28" s="114" t="str">
        <f aca="true">IF($E28="","",IF($K28="✓","Concluído",IF($E28&lt;TODAY(),"Atrasado",IF($E28=TODAY(),"Hoje","Pendente"))))</f>
        <v>Pendente</v>
      </c>
      <c r="M28" s="114" t="str">
        <f aca="false">IF($E28="","",IF($K28="✓","✓ ","")&amp;IF(Config!$E$22="Sim",$H28&amp;" · ","")&amp;$F28)</f>
        <v>R5 · Doenças da Tireoide</v>
      </c>
      <c r="N28" s="114" t="str">
        <f aca="false">IF($E28="","",IFERROR(INDEX(Config!$D$15:$D$19,MATCH($I28,Config!$C$15:$C$19,0)),"OUT")&amp;IF($K28="✓","x",""))</f>
        <v>REV</v>
      </c>
      <c r="O28" s="114" t="n">
        <f aca="false">IF($E28="","",COUNTIF($E$5:$E28,$E28))</f>
        <v>1</v>
      </c>
      <c r="P28" s="114" t="n">
        <f aca="false">IF($E28="","",$E28*100+$O28)</f>
        <v>4635301</v>
      </c>
      <c r="Q28" s="114" t="str">
        <f aca="false">IF($L28="Atrasado",$E28*10000+$A28,"")</f>
        <v/>
      </c>
    </row>
    <row r="29" customFormat="false" ht="15" hidden="false" customHeight="false" outlineLevel="0" collapsed="false">
      <c r="A29" s="114" t="n">
        <f aca="false">ROW()-4</f>
        <v>25</v>
      </c>
      <c r="B29" s="114" t="str">
        <f aca="false">IF(A29&lt;=Config!$E$27*Config!$E$28,"Tema","Avulso")</f>
        <v>Tema</v>
      </c>
      <c r="C29" s="114" t="n">
        <f aca="false">IF(B29="Tema",INT((A29-1)/Config!$E$28)+1,A29-Config!$E$27*Config!$E$28)</f>
        <v>5</v>
      </c>
      <c r="D29" s="114" t="n">
        <f aca="false">IF(B29="Tema",MOD(A29-1,Config!$E$28)+1,"")</f>
        <v>1</v>
      </c>
      <c r="E29" s="115" t="n">
        <f aca="false">IF($B29="Tema",IF(ISNUMBER(INDEX(Temas!$E$6:$P$305,$C29,2*$D29-1)),INDEX(Temas!$E$6:$P$305,$C29,2*$D29-1),""),IF(ISNUMBER(INDEX(Avulsos!$B$6:$B$205,$C29)),INDEX(Avulsos!$B$6:$B$205,$C29),""))</f>
        <v>46293</v>
      </c>
      <c r="F29" s="114" t="str">
        <f aca="false">IF($E29="","",IF($B29="Tema",INDEX(Temas!$B$6:$B$305,$C29)&amp;"",INDEX(Avulsos!$C$6:$C$205,$C29)&amp;""))</f>
        <v>Valvopatias</v>
      </c>
      <c r="G29" s="114" t="str">
        <f aca="false">IF($E29="","",IF($B29="Tema",INDEX(Config!$C$6:$C$11,$D29),"Evento avulso"))</f>
        <v>Aula teórica</v>
      </c>
      <c r="H29" s="114" t="str">
        <f aca="false">IF($E29="","",IF($B29="Tema",INDEX(Config!$D$6:$D$11,$D29),IFERROR(INDEX(Config!$E$15:$E$19,MATCH($I29,Config!$C$15:$C$19,0)),"•")))</f>
        <v>T</v>
      </c>
      <c r="I29" s="114" t="str">
        <f aca="false">IF($E29="","",IF($B29="Tema",INDEX(Config!$E$6:$E$11,$D29),IF(INDEX(Avulsos!$D$6:$D$205,$C29)&amp;""="","Outro",INDEX(Avulsos!$D$6:$D$205,$C29))))</f>
        <v>Teórica</v>
      </c>
      <c r="J29" s="114" t="str">
        <f aca="false">IF($E29="","",IF($B29="Tema",INDEX(Temas!$C$6:$C$305,$C29)&amp;"",INDEX(Avulsos!$E$6:$E$205,$C29)&amp;""))</f>
        <v>Clínica Médica</v>
      </c>
      <c r="K29" s="114" t="str">
        <f aca="false">IF($E29="","",IF(IF($B29="Tema",INDEX(Temas!$E$6:$P$305,$C29,2*$D29),INDEX(Avulsos!$F$6:$F$205,$C29))&amp;""="","","✓"))</f>
        <v/>
      </c>
      <c r="L29" s="114" t="str">
        <f aca="true">IF($E29="","",IF($K29="✓","Concluído",IF($E29&lt;TODAY(),"Atrasado",IF($E29=TODAY(),"Hoje","Pendente"))))</f>
        <v>Atrasado</v>
      </c>
      <c r="M29" s="114" t="str">
        <f aca="false">IF($E29="","",IF($K29="✓","✓ ","")&amp;IF(Config!$E$22="Sim",$H29&amp;" · ","")&amp;$F29)</f>
        <v>T · Valvopatias</v>
      </c>
      <c r="N29" s="114" t="str">
        <f aca="false">IF($E29="","",IFERROR(INDEX(Config!$D$15:$D$19,MATCH($I29,Config!$C$15:$C$19,0)),"OUT")&amp;IF($K29="✓","x",""))</f>
        <v>TEO</v>
      </c>
      <c r="O29" s="114" t="n">
        <f aca="false">IF($E29="","",COUNTIF($E$5:$E29,$E29))</f>
        <v>5</v>
      </c>
      <c r="P29" s="114" t="n">
        <f aca="false">IF($E29="","",$E29*100+$O29)</f>
        <v>4629305</v>
      </c>
      <c r="Q29" s="114" t="n">
        <f aca="false">IF($L29="Atrasado",$E29*10000+$A29,"")</f>
        <v>462930025</v>
      </c>
    </row>
    <row r="30" customFormat="false" ht="15" hidden="false" customHeight="false" outlineLevel="0" collapsed="false">
      <c r="A30" s="114" t="n">
        <f aca="false">ROW()-4</f>
        <v>26</v>
      </c>
      <c r="B30" s="114" t="str">
        <f aca="false">IF(A30&lt;=Config!$E$27*Config!$E$28,"Tema","Avulso")</f>
        <v>Tema</v>
      </c>
      <c r="C30" s="114" t="n">
        <f aca="false">IF(B30="Tema",INT((A30-1)/Config!$E$28)+1,A30-Config!$E$27*Config!$E$28)</f>
        <v>5</v>
      </c>
      <c r="D30" s="114" t="n">
        <f aca="false">IF(B30="Tema",MOD(A30-1,Config!$E$28)+1,"")</f>
        <v>2</v>
      </c>
      <c r="E30" s="115" t="n">
        <f aca="false">IF($B30="Tema",IF(ISNUMBER(INDEX(Temas!$E$6:$P$305,$C30,2*$D30-1)),INDEX(Temas!$E$6:$P$305,$C30,2*$D30-1),""),IF(ISNUMBER(INDEX(Avulsos!$B$6:$B$205,$C30)),INDEX(Avulsos!$B$6:$B$205,$C30),""))</f>
        <v>46294</v>
      </c>
      <c r="F30" s="114" t="str">
        <f aca="false">IF($E30="","",IF($B30="Tema",INDEX(Temas!$B$6:$B$305,$C30)&amp;"",INDEX(Avulsos!$C$6:$C$205,$C30)&amp;""))</f>
        <v>Valvopatias</v>
      </c>
      <c r="G30" s="114" t="str">
        <f aca="false">IF($E30="","",IF($B30="Tema",INDEX(Config!$C$6:$C$11,$D30),"Evento avulso"))</f>
        <v>1ª Revisão</v>
      </c>
      <c r="H30" s="114" t="str">
        <f aca="false">IF($E30="","",IF($B30="Tema",INDEX(Config!$D$6:$D$11,$D30),IFERROR(INDEX(Config!$E$15:$E$19,MATCH($I30,Config!$C$15:$C$19,0)),"•")))</f>
        <v>R1</v>
      </c>
      <c r="I30" s="114" t="str">
        <f aca="false">IF($E30="","",IF($B30="Tema",INDEX(Config!$E$6:$E$11,$D30),IF(INDEX(Avulsos!$D$6:$D$205,$C30)&amp;""="","Outro",INDEX(Avulsos!$D$6:$D$205,$C30))))</f>
        <v>Revisão</v>
      </c>
      <c r="J30" s="114" t="str">
        <f aca="false">IF($E30="","",IF($B30="Tema",INDEX(Temas!$C$6:$C$305,$C30)&amp;"",INDEX(Avulsos!$E$6:$E$205,$C30)&amp;""))</f>
        <v>Clínica Médica</v>
      </c>
      <c r="K30" s="114" t="str">
        <f aca="false">IF($E30="","",IF(IF($B30="Tema",INDEX(Temas!$E$6:$P$305,$C30,2*$D30),INDEX(Avulsos!$F$6:$F$205,$C30))&amp;""="","","✓"))</f>
        <v/>
      </c>
      <c r="L30" s="114" t="str">
        <f aca="true">IF($E30="","",IF($K30="✓","Concluído",IF($E30&lt;TODAY(),"Atrasado",IF($E30=TODAY(),"Hoje","Pendente"))))</f>
        <v>Atrasado</v>
      </c>
      <c r="M30" s="114" t="str">
        <f aca="false">IF($E30="","",IF($K30="✓","✓ ","")&amp;IF(Config!$E$22="Sim",$H30&amp;" · ","")&amp;$F30)</f>
        <v>R1 · Valvopatias</v>
      </c>
      <c r="N30" s="114" t="str">
        <f aca="false">IF($E30="","",IFERROR(INDEX(Config!$D$15:$D$19,MATCH($I30,Config!$C$15:$C$19,0)),"OUT")&amp;IF($K30="✓","x",""))</f>
        <v>REV</v>
      </c>
      <c r="O30" s="114" t="n">
        <f aca="false">IF($E30="","",COUNTIF($E$5:$E30,$E30))</f>
        <v>2</v>
      </c>
      <c r="P30" s="114" t="n">
        <f aca="false">IF($E30="","",$E30*100+$O30)</f>
        <v>4629402</v>
      </c>
      <c r="Q30" s="114" t="n">
        <f aca="false">IF($L30="Atrasado",$E30*10000+$A30,"")</f>
        <v>462940026</v>
      </c>
    </row>
    <row r="31" customFormat="false" ht="15" hidden="false" customHeight="false" outlineLevel="0" collapsed="false">
      <c r="A31" s="114" t="n">
        <f aca="false">ROW()-4</f>
        <v>27</v>
      </c>
      <c r="B31" s="114" t="str">
        <f aca="false">IF(A31&lt;=Config!$E$27*Config!$E$28,"Tema","Avulso")</f>
        <v>Tema</v>
      </c>
      <c r="C31" s="114" t="n">
        <f aca="false">IF(B31="Tema",INT((A31-1)/Config!$E$28)+1,A31-Config!$E$27*Config!$E$28)</f>
        <v>5</v>
      </c>
      <c r="D31" s="114" t="n">
        <f aca="false">IF(B31="Tema",MOD(A31-1,Config!$E$28)+1,"")</f>
        <v>3</v>
      </c>
      <c r="E31" s="115" t="n">
        <f aca="false">IF($B31="Tema",IF(ISNUMBER(INDEX(Temas!$E$6:$P$305,$C31,2*$D31-1)),INDEX(Temas!$E$6:$P$305,$C31,2*$D31-1),""),IF(ISNUMBER(INDEX(Avulsos!$B$6:$B$205,$C31)),INDEX(Avulsos!$B$6:$B$205,$C31),""))</f>
        <v>46300</v>
      </c>
      <c r="F31" s="114" t="str">
        <f aca="false">IF($E31="","",IF($B31="Tema",INDEX(Temas!$B$6:$B$305,$C31)&amp;"",INDEX(Avulsos!$C$6:$C$205,$C31)&amp;""))</f>
        <v>Valvopatias</v>
      </c>
      <c r="G31" s="114" t="str">
        <f aca="false">IF($E31="","",IF($B31="Tema",INDEX(Config!$C$6:$C$11,$D31),"Evento avulso"))</f>
        <v>2ª Revisão</v>
      </c>
      <c r="H31" s="114" t="str">
        <f aca="false">IF($E31="","",IF($B31="Tema",INDEX(Config!$D$6:$D$11,$D31),IFERROR(INDEX(Config!$E$15:$E$19,MATCH($I31,Config!$C$15:$C$19,0)),"•")))</f>
        <v>R2</v>
      </c>
      <c r="I31" s="114" t="str">
        <f aca="false">IF($E31="","",IF($B31="Tema",INDEX(Config!$E$6:$E$11,$D31),IF(INDEX(Avulsos!$D$6:$D$205,$C31)&amp;""="","Outro",INDEX(Avulsos!$D$6:$D$205,$C31))))</f>
        <v>Prática</v>
      </c>
      <c r="J31" s="114" t="str">
        <f aca="false">IF($E31="","",IF($B31="Tema",INDEX(Temas!$C$6:$C$305,$C31)&amp;"",INDEX(Avulsos!$E$6:$E$205,$C31)&amp;""))</f>
        <v>Clínica Médica</v>
      </c>
      <c r="K31" s="114" t="str">
        <f aca="false">IF($E31="","",IF(IF($B31="Tema",INDEX(Temas!$E$6:$P$305,$C31,2*$D31),INDEX(Avulsos!$F$6:$F$205,$C31))&amp;""="","","✓"))</f>
        <v/>
      </c>
      <c r="L31" s="114" t="str">
        <f aca="true">IF($E31="","",IF($K31="✓","Concluído",IF($E31&lt;TODAY(),"Atrasado",IF($E31=TODAY(),"Hoje","Pendente"))))</f>
        <v>Atrasado</v>
      </c>
      <c r="M31" s="114" t="str">
        <f aca="false">IF($E31="","",IF($K31="✓","✓ ","")&amp;IF(Config!$E$22="Sim",$H31&amp;" · ","")&amp;$F31)</f>
        <v>R2 · Valvopatias</v>
      </c>
      <c r="N31" s="114" t="str">
        <f aca="false">IF($E31="","",IFERROR(INDEX(Config!$D$15:$D$19,MATCH($I31,Config!$C$15:$C$19,0)),"OUT")&amp;IF($K31="✓","x",""))</f>
        <v>PRA</v>
      </c>
      <c r="O31" s="114" t="n">
        <f aca="false">IF($E31="","",COUNTIF($E$5:$E31,$E31))</f>
        <v>2</v>
      </c>
      <c r="P31" s="114" t="n">
        <f aca="false">IF($E31="","",$E31*100+$O31)</f>
        <v>4630002</v>
      </c>
      <c r="Q31" s="114" t="n">
        <f aca="false">IF($L31="Atrasado",$E31*10000+$A31,"")</f>
        <v>463000027</v>
      </c>
    </row>
    <row r="32" customFormat="false" ht="15" hidden="false" customHeight="false" outlineLevel="0" collapsed="false">
      <c r="A32" s="114" t="n">
        <f aca="false">ROW()-4</f>
        <v>28</v>
      </c>
      <c r="B32" s="114" t="str">
        <f aca="false">IF(A32&lt;=Config!$E$27*Config!$E$28,"Tema","Avulso")</f>
        <v>Tema</v>
      </c>
      <c r="C32" s="114" t="n">
        <f aca="false">IF(B32="Tema",INT((A32-1)/Config!$E$28)+1,A32-Config!$E$27*Config!$E$28)</f>
        <v>5</v>
      </c>
      <c r="D32" s="114" t="n">
        <f aca="false">IF(B32="Tema",MOD(A32-1,Config!$E$28)+1,"")</f>
        <v>4</v>
      </c>
      <c r="E32" s="115" t="n">
        <f aca="false">IF($B32="Tema",IF(ISNUMBER(INDEX(Temas!$E$6:$P$305,$C32,2*$D32-1)),INDEX(Temas!$E$6:$P$305,$C32,2*$D32-1),""),IF(ISNUMBER(INDEX(Avulsos!$B$6:$B$205,$C32)),INDEX(Avulsos!$B$6:$B$205,$C32),""))</f>
        <v>46308</v>
      </c>
      <c r="F32" s="114" t="str">
        <f aca="false">IF($E32="","",IF($B32="Tema",INDEX(Temas!$B$6:$B$305,$C32)&amp;"",INDEX(Avulsos!$C$6:$C$205,$C32)&amp;""))</f>
        <v>Valvopatias</v>
      </c>
      <c r="G32" s="114" t="str">
        <f aca="false">IF($E32="","",IF($B32="Tema",INDEX(Config!$C$6:$C$11,$D32),"Evento avulso"))</f>
        <v>3ª Revisão</v>
      </c>
      <c r="H32" s="114" t="str">
        <f aca="false">IF($E32="","",IF($B32="Tema",INDEX(Config!$D$6:$D$11,$D32),IFERROR(INDEX(Config!$E$15:$E$19,MATCH($I32,Config!$C$15:$C$19,0)),"•")))</f>
        <v>R3</v>
      </c>
      <c r="I32" s="114" t="str">
        <f aca="false">IF($E32="","",IF($B32="Tema",INDEX(Config!$E$6:$E$11,$D32),IF(INDEX(Avulsos!$D$6:$D$205,$C32)&amp;""="","Outro",INDEX(Avulsos!$D$6:$D$205,$C32))))</f>
        <v>Prática</v>
      </c>
      <c r="J32" s="114" t="str">
        <f aca="false">IF($E32="","",IF($B32="Tema",INDEX(Temas!$C$6:$C$305,$C32)&amp;"",INDEX(Avulsos!$E$6:$E$205,$C32)&amp;""))</f>
        <v>Clínica Médica</v>
      </c>
      <c r="K32" s="114" t="str">
        <f aca="false">IF($E32="","",IF(IF($B32="Tema",INDEX(Temas!$E$6:$P$305,$C32,2*$D32),INDEX(Avulsos!$F$6:$F$205,$C32))&amp;""="","","✓"))</f>
        <v/>
      </c>
      <c r="L32" s="114" t="str">
        <f aca="true">IF($E32="","",IF($K32="✓","Concluído",IF($E32&lt;TODAY(),"Atrasado",IF($E32=TODAY(),"Hoje","Pendente"))))</f>
        <v>Pendente</v>
      </c>
      <c r="M32" s="114" t="str">
        <f aca="false">IF($E32="","",IF($K32="✓","✓ ","")&amp;IF(Config!$E$22="Sim",$H32&amp;" · ","")&amp;$F32)</f>
        <v>R3 · Valvopatias</v>
      </c>
      <c r="N32" s="114" t="str">
        <f aca="false">IF($E32="","",IFERROR(INDEX(Config!$D$15:$D$19,MATCH($I32,Config!$C$15:$C$19,0)),"OUT")&amp;IF($K32="✓","x",""))</f>
        <v>PRA</v>
      </c>
      <c r="O32" s="114" t="n">
        <f aca="false">IF($E32="","",COUNTIF($E$5:$E32,$E32))</f>
        <v>2</v>
      </c>
      <c r="P32" s="114" t="n">
        <f aca="false">IF($E32="","",$E32*100+$O32)</f>
        <v>4630802</v>
      </c>
      <c r="Q32" s="114" t="str">
        <f aca="false">IF($L32="Atrasado",$E32*10000+$A32,"")</f>
        <v/>
      </c>
    </row>
    <row r="33" customFormat="false" ht="15" hidden="false" customHeight="false" outlineLevel="0" collapsed="false">
      <c r="A33" s="114" t="n">
        <f aca="false">ROW()-4</f>
        <v>29</v>
      </c>
      <c r="B33" s="114" t="str">
        <f aca="false">IF(A33&lt;=Config!$E$27*Config!$E$28,"Tema","Avulso")</f>
        <v>Tema</v>
      </c>
      <c r="C33" s="114" t="n">
        <f aca="false">IF(B33="Tema",INT((A33-1)/Config!$E$28)+1,A33-Config!$E$27*Config!$E$28)</f>
        <v>5</v>
      </c>
      <c r="D33" s="114" t="n">
        <f aca="false">IF(B33="Tema",MOD(A33-1,Config!$E$28)+1,"")</f>
        <v>5</v>
      </c>
      <c r="E33" s="115" t="n">
        <f aca="false">IF($B33="Tema",IF(ISNUMBER(INDEX(Temas!$E$6:$P$305,$C33,2*$D33-1)),INDEX(Temas!$E$6:$P$305,$C33,2*$D33-1),""),IF(ISNUMBER(INDEX(Avulsos!$B$6:$B$205,$C33)),INDEX(Avulsos!$B$6:$B$205,$C33),""))</f>
        <v>46323</v>
      </c>
      <c r="F33" s="114" t="str">
        <f aca="false">IF($E33="","",IF($B33="Tema",INDEX(Temas!$B$6:$B$305,$C33)&amp;"",INDEX(Avulsos!$C$6:$C$205,$C33)&amp;""))</f>
        <v>Valvopatias</v>
      </c>
      <c r="G33" s="114" t="str">
        <f aca="false">IF($E33="","",IF($B33="Tema",INDEX(Config!$C$6:$C$11,$D33),"Evento avulso"))</f>
        <v>4ª Revisão</v>
      </c>
      <c r="H33" s="114" t="str">
        <f aca="false">IF($E33="","",IF($B33="Tema",INDEX(Config!$D$6:$D$11,$D33),IFERROR(INDEX(Config!$E$15:$E$19,MATCH($I33,Config!$C$15:$C$19,0)),"•")))</f>
        <v>R4</v>
      </c>
      <c r="I33" s="114" t="str">
        <f aca="false">IF($E33="","",IF($B33="Tema",INDEX(Config!$E$6:$E$11,$D33),IF(INDEX(Avulsos!$D$6:$D$205,$C33)&amp;""="","Outro",INDEX(Avulsos!$D$6:$D$205,$C33))))</f>
        <v>Prática</v>
      </c>
      <c r="J33" s="114" t="str">
        <f aca="false">IF($E33="","",IF($B33="Tema",INDEX(Temas!$C$6:$C$305,$C33)&amp;"",INDEX(Avulsos!$E$6:$E$205,$C33)&amp;""))</f>
        <v>Clínica Médica</v>
      </c>
      <c r="K33" s="114" t="str">
        <f aca="false">IF($E33="","",IF(IF($B33="Tema",INDEX(Temas!$E$6:$P$305,$C33,2*$D33),INDEX(Avulsos!$F$6:$F$205,$C33))&amp;""="","","✓"))</f>
        <v/>
      </c>
      <c r="L33" s="114" t="str">
        <f aca="true">IF($E33="","",IF($K33="✓","Concluído",IF($E33&lt;TODAY(),"Atrasado",IF($E33=TODAY(),"Hoje","Pendente"))))</f>
        <v>Pendente</v>
      </c>
      <c r="M33" s="114" t="str">
        <f aca="false">IF($E33="","",IF($K33="✓","✓ ","")&amp;IF(Config!$E$22="Sim",$H33&amp;" · ","")&amp;$F33)</f>
        <v>R4 · Valvopatias</v>
      </c>
      <c r="N33" s="114" t="str">
        <f aca="false">IF($E33="","",IFERROR(INDEX(Config!$D$15:$D$19,MATCH($I33,Config!$C$15:$C$19,0)),"OUT")&amp;IF($K33="✓","x",""))</f>
        <v>PRA</v>
      </c>
      <c r="O33" s="114" t="n">
        <f aca="false">IF($E33="","",COUNTIF($E$5:$E33,$E33))</f>
        <v>2</v>
      </c>
      <c r="P33" s="114" t="n">
        <f aca="false">IF($E33="","",$E33*100+$O33)</f>
        <v>4632302</v>
      </c>
      <c r="Q33" s="114" t="str">
        <f aca="false">IF($L33="Atrasado",$E33*10000+$A33,"")</f>
        <v/>
      </c>
    </row>
    <row r="34" customFormat="false" ht="15" hidden="false" customHeight="false" outlineLevel="0" collapsed="false">
      <c r="A34" s="114" t="n">
        <f aca="false">ROW()-4</f>
        <v>30</v>
      </c>
      <c r="B34" s="114" t="str">
        <f aca="false">IF(A34&lt;=Config!$E$27*Config!$E$28,"Tema","Avulso")</f>
        <v>Tema</v>
      </c>
      <c r="C34" s="114" t="n">
        <f aca="false">IF(B34="Tema",INT((A34-1)/Config!$E$28)+1,A34-Config!$E$27*Config!$E$28)</f>
        <v>5</v>
      </c>
      <c r="D34" s="114" t="n">
        <f aca="false">IF(B34="Tema",MOD(A34-1,Config!$E$28)+1,"")</f>
        <v>6</v>
      </c>
      <c r="E34" s="115" t="n">
        <f aca="false">IF($B34="Tema",IF(ISNUMBER(INDEX(Temas!$E$6:$P$305,$C34,2*$D34-1)),INDEX(Temas!$E$6:$P$305,$C34,2*$D34-1),""),IF(ISNUMBER(INDEX(Avulsos!$B$6:$B$205,$C34)),INDEX(Avulsos!$B$6:$B$205,$C34),""))</f>
        <v>46353</v>
      </c>
      <c r="F34" s="114" t="str">
        <f aca="false">IF($E34="","",IF($B34="Tema",INDEX(Temas!$B$6:$B$305,$C34)&amp;"",INDEX(Avulsos!$C$6:$C$205,$C34)&amp;""))</f>
        <v>Valvopatias</v>
      </c>
      <c r="G34" s="114" t="str">
        <f aca="false">IF($E34="","",IF($B34="Tema",INDEX(Config!$C$6:$C$11,$D34),"Evento avulso"))</f>
        <v>5ª Revisão</v>
      </c>
      <c r="H34" s="114" t="str">
        <f aca="false">IF($E34="","",IF($B34="Tema",INDEX(Config!$D$6:$D$11,$D34),IFERROR(INDEX(Config!$E$15:$E$19,MATCH($I34,Config!$C$15:$C$19,0)),"•")))</f>
        <v>R5</v>
      </c>
      <c r="I34" s="114" t="str">
        <f aca="false">IF($E34="","",IF($B34="Tema",INDEX(Config!$E$6:$E$11,$D34),IF(INDEX(Avulsos!$D$6:$D$205,$C34)&amp;""="","Outro",INDEX(Avulsos!$D$6:$D$205,$C34))))</f>
        <v>Revisão</v>
      </c>
      <c r="J34" s="114" t="str">
        <f aca="false">IF($E34="","",IF($B34="Tema",INDEX(Temas!$C$6:$C$305,$C34)&amp;"",INDEX(Avulsos!$E$6:$E$205,$C34)&amp;""))</f>
        <v>Clínica Médica</v>
      </c>
      <c r="K34" s="114" t="str">
        <f aca="false">IF($E34="","",IF(IF($B34="Tema",INDEX(Temas!$E$6:$P$305,$C34,2*$D34),INDEX(Avulsos!$F$6:$F$205,$C34))&amp;""="","","✓"))</f>
        <v/>
      </c>
      <c r="L34" s="114" t="str">
        <f aca="true">IF($E34="","",IF($K34="✓","Concluído",IF($E34&lt;TODAY(),"Atrasado",IF($E34=TODAY(),"Hoje","Pendente"))))</f>
        <v>Pendente</v>
      </c>
      <c r="M34" s="114" t="str">
        <f aca="false">IF($E34="","",IF($K34="✓","✓ ","")&amp;IF(Config!$E$22="Sim",$H34&amp;" · ","")&amp;$F34)</f>
        <v>R5 · Valvopatias</v>
      </c>
      <c r="N34" s="114" t="str">
        <f aca="false">IF($E34="","",IFERROR(INDEX(Config!$D$15:$D$19,MATCH($I34,Config!$C$15:$C$19,0)),"OUT")&amp;IF($K34="✓","x",""))</f>
        <v>REV</v>
      </c>
      <c r="O34" s="114" t="n">
        <f aca="false">IF($E34="","",COUNTIF($E$5:$E34,$E34))</f>
        <v>2</v>
      </c>
      <c r="P34" s="114" t="n">
        <f aca="false">IF($E34="","",$E34*100+$O34)</f>
        <v>4635302</v>
      </c>
      <c r="Q34" s="114" t="str">
        <f aca="false">IF($L34="Atrasado",$E34*10000+$A34,"")</f>
        <v/>
      </c>
    </row>
    <row r="35" customFormat="false" ht="15" hidden="false" customHeight="false" outlineLevel="0" collapsed="false">
      <c r="A35" s="114" t="n">
        <f aca="false">ROW()-4</f>
        <v>31</v>
      </c>
      <c r="B35" s="114" t="str">
        <f aca="false">IF(A35&lt;=Config!$E$27*Config!$E$28,"Tema","Avulso")</f>
        <v>Tema</v>
      </c>
      <c r="C35" s="114" t="n">
        <f aca="false">IF(B35="Tema",INT((A35-1)/Config!$E$28)+1,A35-Config!$E$27*Config!$E$28)</f>
        <v>6</v>
      </c>
      <c r="D35" s="114" t="n">
        <f aca="false">IF(B35="Tema",MOD(A35-1,Config!$E$28)+1,"")</f>
        <v>1</v>
      </c>
      <c r="E35" s="115" t="n">
        <f aca="false">IF($B35="Tema",IF(ISNUMBER(INDEX(Temas!$E$6:$P$305,$C35,2*$D35-1)),INDEX(Temas!$E$6:$P$305,$C35,2*$D35-1),""),IF(ISNUMBER(INDEX(Avulsos!$B$6:$B$205,$C35)),INDEX(Avulsos!$B$6:$B$205,$C35),""))</f>
        <v>46293</v>
      </c>
      <c r="F35" s="114" t="str">
        <f aca="false">IF($E35="","",IF($B35="Tema",INDEX(Temas!$B$6:$B$305,$C35)&amp;"",INDEX(Avulsos!$C$6:$C$205,$C35)&amp;""))</f>
        <v>Demência e Parkinson</v>
      </c>
      <c r="G35" s="114" t="str">
        <f aca="false">IF($E35="","",IF($B35="Tema",INDEX(Config!$C$6:$C$11,$D35),"Evento avulso"))</f>
        <v>Aula teórica</v>
      </c>
      <c r="H35" s="114" t="str">
        <f aca="false">IF($E35="","",IF($B35="Tema",INDEX(Config!$D$6:$D$11,$D35),IFERROR(INDEX(Config!$E$15:$E$19,MATCH($I35,Config!$C$15:$C$19,0)),"•")))</f>
        <v>T</v>
      </c>
      <c r="I35" s="114" t="str">
        <f aca="false">IF($E35="","",IF($B35="Tema",INDEX(Config!$E$6:$E$11,$D35),IF(INDEX(Avulsos!$D$6:$D$205,$C35)&amp;""="","Outro",INDEX(Avulsos!$D$6:$D$205,$C35))))</f>
        <v>Teórica</v>
      </c>
      <c r="J35" s="114" t="str">
        <f aca="false">IF($E35="","",IF($B35="Tema",INDEX(Temas!$C$6:$C$305,$C35)&amp;"",INDEX(Avulsos!$E$6:$E$205,$C35)&amp;""))</f>
        <v>Clínica Médica</v>
      </c>
      <c r="K35" s="114" t="str">
        <f aca="false">IF($E35="","",IF(IF($B35="Tema",INDEX(Temas!$E$6:$P$305,$C35,2*$D35),INDEX(Avulsos!$F$6:$F$205,$C35))&amp;""="","","✓"))</f>
        <v/>
      </c>
      <c r="L35" s="114" t="str">
        <f aca="true">IF($E35="","",IF($K35="✓","Concluído",IF($E35&lt;TODAY(),"Atrasado",IF($E35=TODAY(),"Hoje","Pendente"))))</f>
        <v>Atrasado</v>
      </c>
      <c r="M35" s="114" t="str">
        <f aca="false">IF($E35="","",IF($K35="✓","✓ ","")&amp;IF(Config!$E$22="Sim",$H35&amp;" · ","")&amp;$F35)</f>
        <v>T · Demência e Parkinson</v>
      </c>
      <c r="N35" s="114" t="str">
        <f aca="false">IF($E35="","",IFERROR(INDEX(Config!$D$15:$D$19,MATCH($I35,Config!$C$15:$C$19,0)),"OUT")&amp;IF($K35="✓","x",""))</f>
        <v>TEO</v>
      </c>
      <c r="O35" s="114" t="n">
        <f aca="false">IF($E35="","",COUNTIF($E$5:$E35,$E35))</f>
        <v>6</v>
      </c>
      <c r="P35" s="114" t="n">
        <f aca="false">IF($E35="","",$E35*100+$O35)</f>
        <v>4629306</v>
      </c>
      <c r="Q35" s="114" t="n">
        <f aca="false">IF($L35="Atrasado",$E35*10000+$A35,"")</f>
        <v>462930031</v>
      </c>
    </row>
    <row r="36" customFormat="false" ht="15" hidden="false" customHeight="false" outlineLevel="0" collapsed="false">
      <c r="A36" s="114" t="n">
        <f aca="false">ROW()-4</f>
        <v>32</v>
      </c>
      <c r="B36" s="114" t="str">
        <f aca="false">IF(A36&lt;=Config!$E$27*Config!$E$28,"Tema","Avulso")</f>
        <v>Tema</v>
      </c>
      <c r="C36" s="114" t="n">
        <f aca="false">IF(B36="Tema",INT((A36-1)/Config!$E$28)+1,A36-Config!$E$27*Config!$E$28)</f>
        <v>6</v>
      </c>
      <c r="D36" s="114" t="n">
        <f aca="false">IF(B36="Tema",MOD(A36-1,Config!$E$28)+1,"")</f>
        <v>2</v>
      </c>
      <c r="E36" s="115" t="n">
        <f aca="false">IF($B36="Tema",IF(ISNUMBER(INDEX(Temas!$E$6:$P$305,$C36,2*$D36-1)),INDEX(Temas!$E$6:$P$305,$C36,2*$D36-1),""),IF(ISNUMBER(INDEX(Avulsos!$B$6:$B$205,$C36)),INDEX(Avulsos!$B$6:$B$205,$C36),""))</f>
        <v>46294</v>
      </c>
      <c r="F36" s="114" t="str">
        <f aca="false">IF($E36="","",IF($B36="Tema",INDEX(Temas!$B$6:$B$305,$C36)&amp;"",INDEX(Avulsos!$C$6:$C$205,$C36)&amp;""))</f>
        <v>Demência e Parkinson</v>
      </c>
      <c r="G36" s="114" t="str">
        <f aca="false">IF($E36="","",IF($B36="Tema",INDEX(Config!$C$6:$C$11,$D36),"Evento avulso"))</f>
        <v>1ª Revisão</v>
      </c>
      <c r="H36" s="114" t="str">
        <f aca="false">IF($E36="","",IF($B36="Tema",INDEX(Config!$D$6:$D$11,$D36),IFERROR(INDEX(Config!$E$15:$E$19,MATCH($I36,Config!$C$15:$C$19,0)),"•")))</f>
        <v>R1</v>
      </c>
      <c r="I36" s="114" t="str">
        <f aca="false">IF($E36="","",IF($B36="Tema",INDEX(Config!$E$6:$E$11,$D36),IF(INDEX(Avulsos!$D$6:$D$205,$C36)&amp;""="","Outro",INDEX(Avulsos!$D$6:$D$205,$C36))))</f>
        <v>Revisão</v>
      </c>
      <c r="J36" s="114" t="str">
        <f aca="false">IF($E36="","",IF($B36="Tema",INDEX(Temas!$C$6:$C$305,$C36)&amp;"",INDEX(Avulsos!$E$6:$E$205,$C36)&amp;""))</f>
        <v>Clínica Médica</v>
      </c>
      <c r="K36" s="114" t="str">
        <f aca="false">IF($E36="","",IF(IF($B36="Tema",INDEX(Temas!$E$6:$P$305,$C36,2*$D36),INDEX(Avulsos!$F$6:$F$205,$C36))&amp;""="","","✓"))</f>
        <v/>
      </c>
      <c r="L36" s="114" t="str">
        <f aca="true">IF($E36="","",IF($K36="✓","Concluído",IF($E36&lt;TODAY(),"Atrasado",IF($E36=TODAY(),"Hoje","Pendente"))))</f>
        <v>Atrasado</v>
      </c>
      <c r="M36" s="114" t="str">
        <f aca="false">IF($E36="","",IF($K36="✓","✓ ","")&amp;IF(Config!$E$22="Sim",$H36&amp;" · ","")&amp;$F36)</f>
        <v>R1 · Demência e Parkinson</v>
      </c>
      <c r="N36" s="114" t="str">
        <f aca="false">IF($E36="","",IFERROR(INDEX(Config!$D$15:$D$19,MATCH($I36,Config!$C$15:$C$19,0)),"OUT")&amp;IF($K36="✓","x",""))</f>
        <v>REV</v>
      </c>
      <c r="O36" s="114" t="n">
        <f aca="false">IF($E36="","",COUNTIF($E$5:$E36,$E36))</f>
        <v>3</v>
      </c>
      <c r="P36" s="114" t="n">
        <f aca="false">IF($E36="","",$E36*100+$O36)</f>
        <v>4629403</v>
      </c>
      <c r="Q36" s="114" t="n">
        <f aca="false">IF($L36="Atrasado",$E36*10000+$A36,"")</f>
        <v>462940032</v>
      </c>
    </row>
    <row r="37" customFormat="false" ht="15" hidden="false" customHeight="false" outlineLevel="0" collapsed="false">
      <c r="A37" s="114" t="n">
        <f aca="false">ROW()-4</f>
        <v>33</v>
      </c>
      <c r="B37" s="114" t="str">
        <f aca="false">IF(A37&lt;=Config!$E$27*Config!$E$28,"Tema","Avulso")</f>
        <v>Tema</v>
      </c>
      <c r="C37" s="114" t="n">
        <f aca="false">IF(B37="Tema",INT((A37-1)/Config!$E$28)+1,A37-Config!$E$27*Config!$E$28)</f>
        <v>6</v>
      </c>
      <c r="D37" s="114" t="n">
        <f aca="false">IF(B37="Tema",MOD(A37-1,Config!$E$28)+1,"")</f>
        <v>3</v>
      </c>
      <c r="E37" s="115" t="n">
        <f aca="false">IF($B37="Tema",IF(ISNUMBER(INDEX(Temas!$E$6:$P$305,$C37,2*$D37-1)),INDEX(Temas!$E$6:$P$305,$C37,2*$D37-1),""),IF(ISNUMBER(INDEX(Avulsos!$B$6:$B$205,$C37)),INDEX(Avulsos!$B$6:$B$205,$C37),""))</f>
        <v>46300</v>
      </c>
      <c r="F37" s="114" t="str">
        <f aca="false">IF($E37="","",IF($B37="Tema",INDEX(Temas!$B$6:$B$305,$C37)&amp;"",INDEX(Avulsos!$C$6:$C$205,$C37)&amp;""))</f>
        <v>Demência e Parkinson</v>
      </c>
      <c r="G37" s="114" t="str">
        <f aca="false">IF($E37="","",IF($B37="Tema",INDEX(Config!$C$6:$C$11,$D37),"Evento avulso"))</f>
        <v>2ª Revisão</v>
      </c>
      <c r="H37" s="114" t="str">
        <f aca="false">IF($E37="","",IF($B37="Tema",INDEX(Config!$D$6:$D$11,$D37),IFERROR(INDEX(Config!$E$15:$E$19,MATCH($I37,Config!$C$15:$C$19,0)),"•")))</f>
        <v>R2</v>
      </c>
      <c r="I37" s="114" t="str">
        <f aca="false">IF($E37="","",IF($B37="Tema",INDEX(Config!$E$6:$E$11,$D37),IF(INDEX(Avulsos!$D$6:$D$205,$C37)&amp;""="","Outro",INDEX(Avulsos!$D$6:$D$205,$C37))))</f>
        <v>Prática</v>
      </c>
      <c r="J37" s="114" t="str">
        <f aca="false">IF($E37="","",IF($B37="Tema",INDEX(Temas!$C$6:$C$305,$C37)&amp;"",INDEX(Avulsos!$E$6:$E$205,$C37)&amp;""))</f>
        <v>Clínica Médica</v>
      </c>
      <c r="K37" s="114" t="str">
        <f aca="false">IF($E37="","",IF(IF($B37="Tema",INDEX(Temas!$E$6:$P$305,$C37,2*$D37),INDEX(Avulsos!$F$6:$F$205,$C37))&amp;""="","","✓"))</f>
        <v/>
      </c>
      <c r="L37" s="114" t="str">
        <f aca="true">IF($E37="","",IF($K37="✓","Concluído",IF($E37&lt;TODAY(),"Atrasado",IF($E37=TODAY(),"Hoje","Pendente"))))</f>
        <v>Atrasado</v>
      </c>
      <c r="M37" s="114" t="str">
        <f aca="false">IF($E37="","",IF($K37="✓","✓ ","")&amp;IF(Config!$E$22="Sim",$H37&amp;" · ","")&amp;$F37)</f>
        <v>R2 · Demência e Parkinson</v>
      </c>
      <c r="N37" s="114" t="str">
        <f aca="false">IF($E37="","",IFERROR(INDEX(Config!$D$15:$D$19,MATCH($I37,Config!$C$15:$C$19,0)),"OUT")&amp;IF($K37="✓","x",""))</f>
        <v>PRA</v>
      </c>
      <c r="O37" s="114" t="n">
        <f aca="false">IF($E37="","",COUNTIF($E$5:$E37,$E37))</f>
        <v>3</v>
      </c>
      <c r="P37" s="114" t="n">
        <f aca="false">IF($E37="","",$E37*100+$O37)</f>
        <v>4630003</v>
      </c>
      <c r="Q37" s="114" t="n">
        <f aca="false">IF($L37="Atrasado",$E37*10000+$A37,"")</f>
        <v>463000033</v>
      </c>
    </row>
    <row r="38" customFormat="false" ht="15" hidden="false" customHeight="false" outlineLevel="0" collapsed="false">
      <c r="A38" s="114" t="n">
        <f aca="false">ROW()-4</f>
        <v>34</v>
      </c>
      <c r="B38" s="114" t="str">
        <f aca="false">IF(A38&lt;=Config!$E$27*Config!$E$28,"Tema","Avulso")</f>
        <v>Tema</v>
      </c>
      <c r="C38" s="114" t="n">
        <f aca="false">IF(B38="Tema",INT((A38-1)/Config!$E$28)+1,A38-Config!$E$27*Config!$E$28)</f>
        <v>6</v>
      </c>
      <c r="D38" s="114" t="n">
        <f aca="false">IF(B38="Tema",MOD(A38-1,Config!$E$28)+1,"")</f>
        <v>4</v>
      </c>
      <c r="E38" s="115" t="n">
        <f aca="false">IF($B38="Tema",IF(ISNUMBER(INDEX(Temas!$E$6:$P$305,$C38,2*$D38-1)),INDEX(Temas!$E$6:$P$305,$C38,2*$D38-1),""),IF(ISNUMBER(INDEX(Avulsos!$B$6:$B$205,$C38)),INDEX(Avulsos!$B$6:$B$205,$C38),""))</f>
        <v>46308</v>
      </c>
      <c r="F38" s="114" t="str">
        <f aca="false">IF($E38="","",IF($B38="Tema",INDEX(Temas!$B$6:$B$305,$C38)&amp;"",INDEX(Avulsos!$C$6:$C$205,$C38)&amp;""))</f>
        <v>Demência e Parkinson</v>
      </c>
      <c r="G38" s="114" t="str">
        <f aca="false">IF($E38="","",IF($B38="Tema",INDEX(Config!$C$6:$C$11,$D38),"Evento avulso"))</f>
        <v>3ª Revisão</v>
      </c>
      <c r="H38" s="114" t="str">
        <f aca="false">IF($E38="","",IF($B38="Tema",INDEX(Config!$D$6:$D$11,$D38),IFERROR(INDEX(Config!$E$15:$E$19,MATCH($I38,Config!$C$15:$C$19,0)),"•")))</f>
        <v>R3</v>
      </c>
      <c r="I38" s="114" t="str">
        <f aca="false">IF($E38="","",IF($B38="Tema",INDEX(Config!$E$6:$E$11,$D38),IF(INDEX(Avulsos!$D$6:$D$205,$C38)&amp;""="","Outro",INDEX(Avulsos!$D$6:$D$205,$C38))))</f>
        <v>Prática</v>
      </c>
      <c r="J38" s="114" t="str">
        <f aca="false">IF($E38="","",IF($B38="Tema",INDEX(Temas!$C$6:$C$305,$C38)&amp;"",INDEX(Avulsos!$E$6:$E$205,$C38)&amp;""))</f>
        <v>Clínica Médica</v>
      </c>
      <c r="K38" s="114" t="str">
        <f aca="false">IF($E38="","",IF(IF($B38="Tema",INDEX(Temas!$E$6:$P$305,$C38,2*$D38),INDEX(Avulsos!$F$6:$F$205,$C38))&amp;""="","","✓"))</f>
        <v/>
      </c>
      <c r="L38" s="114" t="str">
        <f aca="true">IF($E38="","",IF($K38="✓","Concluído",IF($E38&lt;TODAY(),"Atrasado",IF($E38=TODAY(),"Hoje","Pendente"))))</f>
        <v>Pendente</v>
      </c>
      <c r="M38" s="114" t="str">
        <f aca="false">IF($E38="","",IF($K38="✓","✓ ","")&amp;IF(Config!$E$22="Sim",$H38&amp;" · ","")&amp;$F38)</f>
        <v>R3 · Demência e Parkinson</v>
      </c>
      <c r="N38" s="114" t="str">
        <f aca="false">IF($E38="","",IFERROR(INDEX(Config!$D$15:$D$19,MATCH($I38,Config!$C$15:$C$19,0)),"OUT")&amp;IF($K38="✓","x",""))</f>
        <v>PRA</v>
      </c>
      <c r="O38" s="114" t="n">
        <f aca="false">IF($E38="","",COUNTIF($E$5:$E38,$E38))</f>
        <v>3</v>
      </c>
      <c r="P38" s="114" t="n">
        <f aca="false">IF($E38="","",$E38*100+$O38)</f>
        <v>4630803</v>
      </c>
      <c r="Q38" s="114" t="str">
        <f aca="false">IF($L38="Atrasado",$E38*10000+$A38,"")</f>
        <v/>
      </c>
    </row>
    <row r="39" customFormat="false" ht="15" hidden="false" customHeight="false" outlineLevel="0" collapsed="false">
      <c r="A39" s="114" t="n">
        <f aca="false">ROW()-4</f>
        <v>35</v>
      </c>
      <c r="B39" s="114" t="str">
        <f aca="false">IF(A39&lt;=Config!$E$27*Config!$E$28,"Tema","Avulso")</f>
        <v>Tema</v>
      </c>
      <c r="C39" s="114" t="n">
        <f aca="false">IF(B39="Tema",INT((A39-1)/Config!$E$28)+1,A39-Config!$E$27*Config!$E$28)</f>
        <v>6</v>
      </c>
      <c r="D39" s="114" t="n">
        <f aca="false">IF(B39="Tema",MOD(A39-1,Config!$E$28)+1,"")</f>
        <v>5</v>
      </c>
      <c r="E39" s="115" t="n">
        <f aca="false">IF($B39="Tema",IF(ISNUMBER(INDEX(Temas!$E$6:$P$305,$C39,2*$D39-1)),INDEX(Temas!$E$6:$P$305,$C39,2*$D39-1),""),IF(ISNUMBER(INDEX(Avulsos!$B$6:$B$205,$C39)),INDEX(Avulsos!$B$6:$B$205,$C39),""))</f>
        <v>46323</v>
      </c>
      <c r="F39" s="114" t="str">
        <f aca="false">IF($E39="","",IF($B39="Tema",INDEX(Temas!$B$6:$B$305,$C39)&amp;"",INDEX(Avulsos!$C$6:$C$205,$C39)&amp;""))</f>
        <v>Demência e Parkinson</v>
      </c>
      <c r="G39" s="114" t="str">
        <f aca="false">IF($E39="","",IF($B39="Tema",INDEX(Config!$C$6:$C$11,$D39),"Evento avulso"))</f>
        <v>4ª Revisão</v>
      </c>
      <c r="H39" s="114" t="str">
        <f aca="false">IF($E39="","",IF($B39="Tema",INDEX(Config!$D$6:$D$11,$D39),IFERROR(INDEX(Config!$E$15:$E$19,MATCH($I39,Config!$C$15:$C$19,0)),"•")))</f>
        <v>R4</v>
      </c>
      <c r="I39" s="114" t="str">
        <f aca="false">IF($E39="","",IF($B39="Tema",INDEX(Config!$E$6:$E$11,$D39),IF(INDEX(Avulsos!$D$6:$D$205,$C39)&amp;""="","Outro",INDEX(Avulsos!$D$6:$D$205,$C39))))</f>
        <v>Prática</v>
      </c>
      <c r="J39" s="114" t="str">
        <f aca="false">IF($E39="","",IF($B39="Tema",INDEX(Temas!$C$6:$C$305,$C39)&amp;"",INDEX(Avulsos!$E$6:$E$205,$C39)&amp;""))</f>
        <v>Clínica Médica</v>
      </c>
      <c r="K39" s="114" t="str">
        <f aca="false">IF($E39="","",IF(IF($B39="Tema",INDEX(Temas!$E$6:$P$305,$C39,2*$D39),INDEX(Avulsos!$F$6:$F$205,$C39))&amp;""="","","✓"))</f>
        <v/>
      </c>
      <c r="L39" s="114" t="str">
        <f aca="true">IF($E39="","",IF($K39="✓","Concluído",IF($E39&lt;TODAY(),"Atrasado",IF($E39=TODAY(),"Hoje","Pendente"))))</f>
        <v>Pendente</v>
      </c>
      <c r="M39" s="114" t="str">
        <f aca="false">IF($E39="","",IF($K39="✓","✓ ","")&amp;IF(Config!$E$22="Sim",$H39&amp;" · ","")&amp;$F39)</f>
        <v>R4 · Demência e Parkinson</v>
      </c>
      <c r="N39" s="114" t="str">
        <f aca="false">IF($E39="","",IFERROR(INDEX(Config!$D$15:$D$19,MATCH($I39,Config!$C$15:$C$19,0)),"OUT")&amp;IF($K39="✓","x",""))</f>
        <v>PRA</v>
      </c>
      <c r="O39" s="114" t="n">
        <f aca="false">IF($E39="","",COUNTIF($E$5:$E39,$E39))</f>
        <v>3</v>
      </c>
      <c r="P39" s="114" t="n">
        <f aca="false">IF($E39="","",$E39*100+$O39)</f>
        <v>4632303</v>
      </c>
      <c r="Q39" s="114" t="str">
        <f aca="false">IF($L39="Atrasado",$E39*10000+$A39,"")</f>
        <v/>
      </c>
    </row>
    <row r="40" customFormat="false" ht="15" hidden="false" customHeight="false" outlineLevel="0" collapsed="false">
      <c r="A40" s="114" t="n">
        <f aca="false">ROW()-4</f>
        <v>36</v>
      </c>
      <c r="B40" s="114" t="str">
        <f aca="false">IF(A40&lt;=Config!$E$27*Config!$E$28,"Tema","Avulso")</f>
        <v>Tema</v>
      </c>
      <c r="C40" s="114" t="n">
        <f aca="false">IF(B40="Tema",INT((A40-1)/Config!$E$28)+1,A40-Config!$E$27*Config!$E$28)</f>
        <v>6</v>
      </c>
      <c r="D40" s="114" t="n">
        <f aca="false">IF(B40="Tema",MOD(A40-1,Config!$E$28)+1,"")</f>
        <v>6</v>
      </c>
      <c r="E40" s="115" t="n">
        <f aca="false">IF($B40="Tema",IF(ISNUMBER(INDEX(Temas!$E$6:$P$305,$C40,2*$D40-1)),INDEX(Temas!$E$6:$P$305,$C40,2*$D40-1),""),IF(ISNUMBER(INDEX(Avulsos!$B$6:$B$205,$C40)),INDEX(Avulsos!$B$6:$B$205,$C40),""))</f>
        <v>46353</v>
      </c>
      <c r="F40" s="114" t="str">
        <f aca="false">IF($E40="","",IF($B40="Tema",INDEX(Temas!$B$6:$B$305,$C40)&amp;"",INDEX(Avulsos!$C$6:$C$205,$C40)&amp;""))</f>
        <v>Demência e Parkinson</v>
      </c>
      <c r="G40" s="114" t="str">
        <f aca="false">IF($E40="","",IF($B40="Tema",INDEX(Config!$C$6:$C$11,$D40),"Evento avulso"))</f>
        <v>5ª Revisão</v>
      </c>
      <c r="H40" s="114" t="str">
        <f aca="false">IF($E40="","",IF($B40="Tema",INDEX(Config!$D$6:$D$11,$D40),IFERROR(INDEX(Config!$E$15:$E$19,MATCH($I40,Config!$C$15:$C$19,0)),"•")))</f>
        <v>R5</v>
      </c>
      <c r="I40" s="114" t="str">
        <f aca="false">IF($E40="","",IF($B40="Tema",INDEX(Config!$E$6:$E$11,$D40),IF(INDEX(Avulsos!$D$6:$D$205,$C40)&amp;""="","Outro",INDEX(Avulsos!$D$6:$D$205,$C40))))</f>
        <v>Revisão</v>
      </c>
      <c r="J40" s="114" t="str">
        <f aca="false">IF($E40="","",IF($B40="Tema",INDEX(Temas!$C$6:$C$305,$C40)&amp;"",INDEX(Avulsos!$E$6:$E$205,$C40)&amp;""))</f>
        <v>Clínica Médica</v>
      </c>
      <c r="K40" s="114" t="str">
        <f aca="false">IF($E40="","",IF(IF($B40="Tema",INDEX(Temas!$E$6:$P$305,$C40,2*$D40),INDEX(Avulsos!$F$6:$F$205,$C40))&amp;""="","","✓"))</f>
        <v/>
      </c>
      <c r="L40" s="114" t="str">
        <f aca="true">IF($E40="","",IF($K40="✓","Concluído",IF($E40&lt;TODAY(),"Atrasado",IF($E40=TODAY(),"Hoje","Pendente"))))</f>
        <v>Pendente</v>
      </c>
      <c r="M40" s="114" t="str">
        <f aca="false">IF($E40="","",IF($K40="✓","✓ ","")&amp;IF(Config!$E$22="Sim",$H40&amp;" · ","")&amp;$F40)</f>
        <v>R5 · Demência e Parkinson</v>
      </c>
      <c r="N40" s="114" t="str">
        <f aca="false">IF($E40="","",IFERROR(INDEX(Config!$D$15:$D$19,MATCH($I40,Config!$C$15:$C$19,0)),"OUT")&amp;IF($K40="✓","x",""))</f>
        <v>REV</v>
      </c>
      <c r="O40" s="114" t="n">
        <f aca="false">IF($E40="","",COUNTIF($E$5:$E40,$E40))</f>
        <v>3</v>
      </c>
      <c r="P40" s="114" t="n">
        <f aca="false">IF($E40="","",$E40*100+$O40)</f>
        <v>4635303</v>
      </c>
      <c r="Q40" s="114" t="str">
        <f aca="false">IF($L40="Atrasado",$E40*10000+$A40,"")</f>
        <v/>
      </c>
    </row>
    <row r="41" customFormat="false" ht="15" hidden="false" customHeight="false" outlineLevel="0" collapsed="false">
      <c r="A41" s="114" t="n">
        <f aca="false">ROW()-4</f>
        <v>37</v>
      </c>
      <c r="B41" s="114" t="str">
        <f aca="false">IF(A41&lt;=Config!$E$27*Config!$E$28,"Tema","Avulso")</f>
        <v>Tema</v>
      </c>
      <c r="C41" s="114" t="n">
        <f aca="false">IF(B41="Tema",INT((A41-1)/Config!$E$28)+1,A41-Config!$E$27*Config!$E$28)</f>
        <v>7</v>
      </c>
      <c r="D41" s="114" t="n">
        <f aca="false">IF(B41="Tema",MOD(A41-1,Config!$E$28)+1,"")</f>
        <v>1</v>
      </c>
      <c r="E41" s="115" t="n">
        <f aca="false">IF($B41="Tema",IF(ISNUMBER(INDEX(Temas!$E$6:$P$305,$C41,2*$D41-1)),INDEX(Temas!$E$6:$P$305,$C41,2*$D41-1),""),IF(ISNUMBER(INDEX(Avulsos!$B$6:$B$205,$C41)),INDEX(Avulsos!$B$6:$B$205,$C41),""))</f>
        <v>46297</v>
      </c>
      <c r="F41" s="114" t="str">
        <f aca="false">IF($E41="","",IF($B41="Tema",INDEX(Temas!$B$6:$B$305,$C41)&amp;"",INDEX(Avulsos!$C$6:$C$205,$C41)&amp;""))</f>
        <v>ATB</v>
      </c>
      <c r="G41" s="114" t="str">
        <f aca="false">IF($E41="","",IF($B41="Tema",INDEX(Config!$C$6:$C$11,$D41),"Evento avulso"))</f>
        <v>Aula teórica</v>
      </c>
      <c r="H41" s="114" t="str">
        <f aca="false">IF($E41="","",IF($B41="Tema",INDEX(Config!$D$6:$D$11,$D41),IFERROR(INDEX(Config!$E$15:$E$19,MATCH($I41,Config!$C$15:$C$19,0)),"•")))</f>
        <v>T</v>
      </c>
      <c r="I41" s="114" t="str">
        <f aca="false">IF($E41="","",IF($B41="Tema",INDEX(Config!$E$6:$E$11,$D41),IF(INDEX(Avulsos!$D$6:$D$205,$C41)&amp;""="","Outro",INDEX(Avulsos!$D$6:$D$205,$C41))))</f>
        <v>Teórica</v>
      </c>
      <c r="J41" s="114" t="str">
        <f aca="false">IF($E41="","",IF($B41="Tema",INDEX(Temas!$C$6:$C$305,$C41)&amp;"",INDEX(Avulsos!$E$6:$E$205,$C41)&amp;""))</f>
        <v>Clínica Médica</v>
      </c>
      <c r="K41" s="114" t="str">
        <f aca="false">IF($E41="","",IF(IF($B41="Tema",INDEX(Temas!$E$6:$P$305,$C41,2*$D41),INDEX(Avulsos!$F$6:$F$205,$C41))&amp;""="","","✓"))</f>
        <v>✓</v>
      </c>
      <c r="L41" s="114" t="str">
        <f aca="true">IF($E41="","",IF($K41="✓","Concluído",IF($E41&lt;TODAY(),"Atrasado",IF($E41=TODAY(),"Hoje","Pendente"))))</f>
        <v>Concluído</v>
      </c>
      <c r="M41" s="114" t="str">
        <f aca="false">IF($E41="","",IF($K41="✓","✓ ","")&amp;IF(Config!$E$22="Sim",$H41&amp;" · ","")&amp;$F41)</f>
        <v>✓ T · ATB</v>
      </c>
      <c r="N41" s="114" t="str">
        <f aca="false">IF($E41="","",IFERROR(INDEX(Config!$D$15:$D$19,MATCH($I41,Config!$C$15:$C$19,0)),"OUT")&amp;IF($K41="✓","x",""))</f>
        <v>TEOx</v>
      </c>
      <c r="O41" s="114" t="n">
        <f aca="false">IF($E41="","",COUNTIF($E$5:$E41,$E41))</f>
        <v>1</v>
      </c>
      <c r="P41" s="114" t="n">
        <f aca="false">IF($E41="","",$E41*100+$O41)</f>
        <v>4629701</v>
      </c>
      <c r="Q41" s="114" t="str">
        <f aca="false">IF($L41="Atrasado",$E41*10000+$A41,"")</f>
        <v/>
      </c>
    </row>
    <row r="42" customFormat="false" ht="15" hidden="false" customHeight="false" outlineLevel="0" collapsed="false">
      <c r="A42" s="114" t="n">
        <f aca="false">ROW()-4</f>
        <v>38</v>
      </c>
      <c r="B42" s="114" t="str">
        <f aca="false">IF(A42&lt;=Config!$E$27*Config!$E$28,"Tema","Avulso")</f>
        <v>Tema</v>
      </c>
      <c r="C42" s="114" t="n">
        <f aca="false">IF(B42="Tema",INT((A42-1)/Config!$E$28)+1,A42-Config!$E$27*Config!$E$28)</f>
        <v>7</v>
      </c>
      <c r="D42" s="114" t="n">
        <f aca="false">IF(B42="Tema",MOD(A42-1,Config!$E$28)+1,"")</f>
        <v>2</v>
      </c>
      <c r="E42" s="115" t="n">
        <f aca="false">IF($B42="Tema",IF(ISNUMBER(INDEX(Temas!$E$6:$P$305,$C42,2*$D42-1)),INDEX(Temas!$E$6:$P$305,$C42,2*$D42-1),""),IF(ISNUMBER(INDEX(Avulsos!$B$6:$B$205,$C42)),INDEX(Avulsos!$B$6:$B$205,$C42),""))</f>
        <v>46298</v>
      </c>
      <c r="F42" s="114" t="str">
        <f aca="false">IF($E42="","",IF($B42="Tema",INDEX(Temas!$B$6:$B$305,$C42)&amp;"",INDEX(Avulsos!$C$6:$C$205,$C42)&amp;""))</f>
        <v>ATB</v>
      </c>
      <c r="G42" s="114" t="str">
        <f aca="false">IF($E42="","",IF($B42="Tema",INDEX(Config!$C$6:$C$11,$D42),"Evento avulso"))</f>
        <v>1ª Revisão</v>
      </c>
      <c r="H42" s="114" t="str">
        <f aca="false">IF($E42="","",IF($B42="Tema",INDEX(Config!$D$6:$D$11,$D42),IFERROR(INDEX(Config!$E$15:$E$19,MATCH($I42,Config!$C$15:$C$19,0)),"•")))</f>
        <v>R1</v>
      </c>
      <c r="I42" s="114" t="str">
        <f aca="false">IF($E42="","",IF($B42="Tema",INDEX(Config!$E$6:$E$11,$D42),IF(INDEX(Avulsos!$D$6:$D$205,$C42)&amp;""="","Outro",INDEX(Avulsos!$D$6:$D$205,$C42))))</f>
        <v>Revisão</v>
      </c>
      <c r="J42" s="114" t="str">
        <f aca="false">IF($E42="","",IF($B42="Tema",INDEX(Temas!$C$6:$C$305,$C42)&amp;"",INDEX(Avulsos!$E$6:$E$205,$C42)&amp;""))</f>
        <v>Clínica Médica</v>
      </c>
      <c r="K42" s="114" t="str">
        <f aca="false">IF($E42="","",IF(IF($B42="Tema",INDEX(Temas!$E$6:$P$305,$C42,2*$D42),INDEX(Avulsos!$F$6:$F$205,$C42))&amp;""="","","✓"))</f>
        <v/>
      </c>
      <c r="L42" s="114" t="str">
        <f aca="true">IF($E42="","",IF($K42="✓","Concluído",IF($E42&lt;TODAY(),"Atrasado",IF($E42=TODAY(),"Hoje","Pendente"))))</f>
        <v>Atrasado</v>
      </c>
      <c r="M42" s="114" t="str">
        <f aca="false">IF($E42="","",IF($K42="✓","✓ ","")&amp;IF(Config!$E$22="Sim",$H42&amp;" · ","")&amp;$F42)</f>
        <v>R1 · ATB</v>
      </c>
      <c r="N42" s="114" t="str">
        <f aca="false">IF($E42="","",IFERROR(INDEX(Config!$D$15:$D$19,MATCH($I42,Config!$C$15:$C$19,0)),"OUT")&amp;IF($K42="✓","x",""))</f>
        <v>REV</v>
      </c>
      <c r="O42" s="114" t="n">
        <f aca="false">IF($E42="","",COUNTIF($E$5:$E42,$E42))</f>
        <v>1</v>
      </c>
      <c r="P42" s="114" t="n">
        <f aca="false">IF($E42="","",$E42*100+$O42)</f>
        <v>4629801</v>
      </c>
      <c r="Q42" s="114" t="n">
        <f aca="false">IF($L42="Atrasado",$E42*10000+$A42,"")</f>
        <v>462980038</v>
      </c>
    </row>
    <row r="43" customFormat="false" ht="15" hidden="false" customHeight="false" outlineLevel="0" collapsed="false">
      <c r="A43" s="114" t="n">
        <f aca="false">ROW()-4</f>
        <v>39</v>
      </c>
      <c r="B43" s="114" t="str">
        <f aca="false">IF(A43&lt;=Config!$E$27*Config!$E$28,"Tema","Avulso")</f>
        <v>Tema</v>
      </c>
      <c r="C43" s="114" t="n">
        <f aca="false">IF(B43="Tema",INT((A43-1)/Config!$E$28)+1,A43-Config!$E$27*Config!$E$28)</f>
        <v>7</v>
      </c>
      <c r="D43" s="114" t="n">
        <f aca="false">IF(B43="Tema",MOD(A43-1,Config!$E$28)+1,"")</f>
        <v>3</v>
      </c>
      <c r="E43" s="115" t="n">
        <f aca="false">IF($B43="Tema",IF(ISNUMBER(INDEX(Temas!$E$6:$P$305,$C43,2*$D43-1)),INDEX(Temas!$E$6:$P$305,$C43,2*$D43-1),""),IF(ISNUMBER(INDEX(Avulsos!$B$6:$B$205,$C43)),INDEX(Avulsos!$B$6:$B$205,$C43),""))</f>
        <v>46304</v>
      </c>
      <c r="F43" s="114" t="str">
        <f aca="false">IF($E43="","",IF($B43="Tema",INDEX(Temas!$B$6:$B$305,$C43)&amp;"",INDEX(Avulsos!$C$6:$C$205,$C43)&amp;""))</f>
        <v>ATB</v>
      </c>
      <c r="G43" s="114" t="str">
        <f aca="false">IF($E43="","",IF($B43="Tema",INDEX(Config!$C$6:$C$11,$D43),"Evento avulso"))</f>
        <v>2ª Revisão</v>
      </c>
      <c r="H43" s="114" t="str">
        <f aca="false">IF($E43="","",IF($B43="Tema",INDEX(Config!$D$6:$D$11,$D43),IFERROR(INDEX(Config!$E$15:$E$19,MATCH($I43,Config!$C$15:$C$19,0)),"•")))</f>
        <v>R2</v>
      </c>
      <c r="I43" s="114" t="str">
        <f aca="false">IF($E43="","",IF($B43="Tema",INDEX(Config!$E$6:$E$11,$D43),IF(INDEX(Avulsos!$D$6:$D$205,$C43)&amp;""="","Outro",INDEX(Avulsos!$D$6:$D$205,$C43))))</f>
        <v>Prática</v>
      </c>
      <c r="J43" s="114" t="str">
        <f aca="false">IF($E43="","",IF($B43="Tema",INDEX(Temas!$C$6:$C$305,$C43)&amp;"",INDEX(Avulsos!$E$6:$E$205,$C43)&amp;""))</f>
        <v>Clínica Médica</v>
      </c>
      <c r="K43" s="114" t="str">
        <f aca="false">IF($E43="","",IF(IF($B43="Tema",INDEX(Temas!$E$6:$P$305,$C43,2*$D43),INDEX(Avulsos!$F$6:$F$205,$C43))&amp;""="","","✓"))</f>
        <v/>
      </c>
      <c r="L43" s="114" t="str">
        <f aca="true">IF($E43="","",IF($K43="✓","Concluído",IF($E43&lt;TODAY(),"Atrasado",IF($E43=TODAY(),"Hoje","Pendente"))))</f>
        <v>Pendente</v>
      </c>
      <c r="M43" s="114" t="str">
        <f aca="false">IF($E43="","",IF($K43="✓","✓ ","")&amp;IF(Config!$E$22="Sim",$H43&amp;" · ","")&amp;$F43)</f>
        <v>R2 · ATB</v>
      </c>
      <c r="N43" s="114" t="str">
        <f aca="false">IF($E43="","",IFERROR(INDEX(Config!$D$15:$D$19,MATCH($I43,Config!$C$15:$C$19,0)),"OUT")&amp;IF($K43="✓","x",""))</f>
        <v>PRA</v>
      </c>
      <c r="O43" s="114" t="n">
        <f aca="false">IF($E43="","",COUNTIF($E$5:$E43,$E43))</f>
        <v>1</v>
      </c>
      <c r="P43" s="114" t="n">
        <f aca="false">IF($E43="","",$E43*100+$O43)</f>
        <v>4630401</v>
      </c>
      <c r="Q43" s="114" t="str">
        <f aca="false">IF($L43="Atrasado",$E43*10000+$A43,"")</f>
        <v/>
      </c>
    </row>
    <row r="44" customFormat="false" ht="15" hidden="false" customHeight="false" outlineLevel="0" collapsed="false">
      <c r="A44" s="114" t="n">
        <f aca="false">ROW()-4</f>
        <v>40</v>
      </c>
      <c r="B44" s="114" t="str">
        <f aca="false">IF(A44&lt;=Config!$E$27*Config!$E$28,"Tema","Avulso")</f>
        <v>Tema</v>
      </c>
      <c r="C44" s="114" t="n">
        <f aca="false">IF(B44="Tema",INT((A44-1)/Config!$E$28)+1,A44-Config!$E$27*Config!$E$28)</f>
        <v>7</v>
      </c>
      <c r="D44" s="114" t="n">
        <f aca="false">IF(B44="Tema",MOD(A44-1,Config!$E$28)+1,"")</f>
        <v>4</v>
      </c>
      <c r="E44" s="115" t="n">
        <f aca="false">IF($B44="Tema",IF(ISNUMBER(INDEX(Temas!$E$6:$P$305,$C44,2*$D44-1)),INDEX(Temas!$E$6:$P$305,$C44,2*$D44-1),""),IF(ISNUMBER(INDEX(Avulsos!$B$6:$B$205,$C44)),INDEX(Avulsos!$B$6:$B$205,$C44),""))</f>
        <v>46312</v>
      </c>
      <c r="F44" s="114" t="str">
        <f aca="false">IF($E44="","",IF($B44="Tema",INDEX(Temas!$B$6:$B$305,$C44)&amp;"",INDEX(Avulsos!$C$6:$C$205,$C44)&amp;""))</f>
        <v>ATB</v>
      </c>
      <c r="G44" s="114" t="str">
        <f aca="false">IF($E44="","",IF($B44="Tema",INDEX(Config!$C$6:$C$11,$D44),"Evento avulso"))</f>
        <v>3ª Revisão</v>
      </c>
      <c r="H44" s="114" t="str">
        <f aca="false">IF($E44="","",IF($B44="Tema",INDEX(Config!$D$6:$D$11,$D44),IFERROR(INDEX(Config!$E$15:$E$19,MATCH($I44,Config!$C$15:$C$19,0)),"•")))</f>
        <v>R3</v>
      </c>
      <c r="I44" s="114" t="str">
        <f aca="false">IF($E44="","",IF($B44="Tema",INDEX(Config!$E$6:$E$11,$D44),IF(INDEX(Avulsos!$D$6:$D$205,$C44)&amp;""="","Outro",INDEX(Avulsos!$D$6:$D$205,$C44))))</f>
        <v>Prática</v>
      </c>
      <c r="J44" s="114" t="str">
        <f aca="false">IF($E44="","",IF($B44="Tema",INDEX(Temas!$C$6:$C$305,$C44)&amp;"",INDEX(Avulsos!$E$6:$E$205,$C44)&amp;""))</f>
        <v>Clínica Médica</v>
      </c>
      <c r="K44" s="114" t="str">
        <f aca="false">IF($E44="","",IF(IF($B44="Tema",INDEX(Temas!$E$6:$P$305,$C44,2*$D44),INDEX(Avulsos!$F$6:$F$205,$C44))&amp;""="","","✓"))</f>
        <v/>
      </c>
      <c r="L44" s="114" t="str">
        <f aca="true">IF($E44="","",IF($K44="✓","Concluído",IF($E44&lt;TODAY(),"Atrasado",IF($E44=TODAY(),"Hoje","Pendente"))))</f>
        <v>Pendente</v>
      </c>
      <c r="M44" s="114" t="str">
        <f aca="false">IF($E44="","",IF($K44="✓","✓ ","")&amp;IF(Config!$E$22="Sim",$H44&amp;" · ","")&amp;$F44)</f>
        <v>R3 · ATB</v>
      </c>
      <c r="N44" s="114" t="str">
        <f aca="false">IF($E44="","",IFERROR(INDEX(Config!$D$15:$D$19,MATCH($I44,Config!$C$15:$C$19,0)),"OUT")&amp;IF($K44="✓","x",""))</f>
        <v>PRA</v>
      </c>
      <c r="O44" s="114" t="n">
        <f aca="false">IF($E44="","",COUNTIF($E$5:$E44,$E44))</f>
        <v>1</v>
      </c>
      <c r="P44" s="114" t="n">
        <f aca="false">IF($E44="","",$E44*100+$O44)</f>
        <v>4631201</v>
      </c>
      <c r="Q44" s="114" t="str">
        <f aca="false">IF($L44="Atrasado",$E44*10000+$A44,"")</f>
        <v/>
      </c>
    </row>
    <row r="45" customFormat="false" ht="15" hidden="false" customHeight="false" outlineLevel="0" collapsed="false">
      <c r="A45" s="114" t="n">
        <f aca="false">ROW()-4</f>
        <v>41</v>
      </c>
      <c r="B45" s="114" t="str">
        <f aca="false">IF(A45&lt;=Config!$E$27*Config!$E$28,"Tema","Avulso")</f>
        <v>Tema</v>
      </c>
      <c r="C45" s="114" t="n">
        <f aca="false">IF(B45="Tema",INT((A45-1)/Config!$E$28)+1,A45-Config!$E$27*Config!$E$28)</f>
        <v>7</v>
      </c>
      <c r="D45" s="114" t="n">
        <f aca="false">IF(B45="Tema",MOD(A45-1,Config!$E$28)+1,"")</f>
        <v>5</v>
      </c>
      <c r="E45" s="115" t="n">
        <f aca="false">IF($B45="Tema",IF(ISNUMBER(INDEX(Temas!$E$6:$P$305,$C45,2*$D45-1)),INDEX(Temas!$E$6:$P$305,$C45,2*$D45-1),""),IF(ISNUMBER(INDEX(Avulsos!$B$6:$B$205,$C45)),INDEX(Avulsos!$B$6:$B$205,$C45),""))</f>
        <v>46327</v>
      </c>
      <c r="F45" s="114" t="str">
        <f aca="false">IF($E45="","",IF($B45="Tema",INDEX(Temas!$B$6:$B$305,$C45)&amp;"",INDEX(Avulsos!$C$6:$C$205,$C45)&amp;""))</f>
        <v>ATB</v>
      </c>
      <c r="G45" s="114" t="str">
        <f aca="false">IF($E45="","",IF($B45="Tema",INDEX(Config!$C$6:$C$11,$D45),"Evento avulso"))</f>
        <v>4ª Revisão</v>
      </c>
      <c r="H45" s="114" t="str">
        <f aca="false">IF($E45="","",IF($B45="Tema",INDEX(Config!$D$6:$D$11,$D45),IFERROR(INDEX(Config!$E$15:$E$19,MATCH($I45,Config!$C$15:$C$19,0)),"•")))</f>
        <v>R4</v>
      </c>
      <c r="I45" s="114" t="str">
        <f aca="false">IF($E45="","",IF($B45="Tema",INDEX(Config!$E$6:$E$11,$D45),IF(INDEX(Avulsos!$D$6:$D$205,$C45)&amp;""="","Outro",INDEX(Avulsos!$D$6:$D$205,$C45))))</f>
        <v>Prática</v>
      </c>
      <c r="J45" s="114" t="str">
        <f aca="false">IF($E45="","",IF($B45="Tema",INDEX(Temas!$C$6:$C$305,$C45)&amp;"",INDEX(Avulsos!$E$6:$E$205,$C45)&amp;""))</f>
        <v>Clínica Médica</v>
      </c>
      <c r="K45" s="114" t="str">
        <f aca="false">IF($E45="","",IF(IF($B45="Tema",INDEX(Temas!$E$6:$P$305,$C45,2*$D45),INDEX(Avulsos!$F$6:$F$205,$C45))&amp;""="","","✓"))</f>
        <v/>
      </c>
      <c r="L45" s="114" t="str">
        <f aca="true">IF($E45="","",IF($K45="✓","Concluído",IF($E45&lt;TODAY(),"Atrasado",IF($E45=TODAY(),"Hoje","Pendente"))))</f>
        <v>Pendente</v>
      </c>
      <c r="M45" s="114" t="str">
        <f aca="false">IF($E45="","",IF($K45="✓","✓ ","")&amp;IF(Config!$E$22="Sim",$H45&amp;" · ","")&amp;$F45)</f>
        <v>R4 · ATB</v>
      </c>
      <c r="N45" s="114" t="str">
        <f aca="false">IF($E45="","",IFERROR(INDEX(Config!$D$15:$D$19,MATCH($I45,Config!$C$15:$C$19,0)),"OUT")&amp;IF($K45="✓","x",""))</f>
        <v>PRA</v>
      </c>
      <c r="O45" s="114" t="n">
        <f aca="false">IF($E45="","",COUNTIF($E$5:$E45,$E45))</f>
        <v>1</v>
      </c>
      <c r="P45" s="114" t="n">
        <f aca="false">IF($E45="","",$E45*100+$O45)</f>
        <v>4632701</v>
      </c>
      <c r="Q45" s="114" t="str">
        <f aca="false">IF($L45="Atrasado",$E45*10000+$A45,"")</f>
        <v/>
      </c>
    </row>
    <row r="46" customFormat="false" ht="15" hidden="false" customHeight="false" outlineLevel="0" collapsed="false">
      <c r="A46" s="114" t="n">
        <f aca="false">ROW()-4</f>
        <v>42</v>
      </c>
      <c r="B46" s="114" t="str">
        <f aca="false">IF(A46&lt;=Config!$E$27*Config!$E$28,"Tema","Avulso")</f>
        <v>Tema</v>
      </c>
      <c r="C46" s="114" t="n">
        <f aca="false">IF(B46="Tema",INT((A46-1)/Config!$E$28)+1,A46-Config!$E$27*Config!$E$28)</f>
        <v>7</v>
      </c>
      <c r="D46" s="114" t="n">
        <f aca="false">IF(B46="Tema",MOD(A46-1,Config!$E$28)+1,"")</f>
        <v>6</v>
      </c>
      <c r="E46" s="115" t="n">
        <f aca="false">IF($B46="Tema",IF(ISNUMBER(INDEX(Temas!$E$6:$P$305,$C46,2*$D46-1)),INDEX(Temas!$E$6:$P$305,$C46,2*$D46-1),""),IF(ISNUMBER(INDEX(Avulsos!$B$6:$B$205,$C46)),INDEX(Avulsos!$B$6:$B$205,$C46),""))</f>
        <v>46357</v>
      </c>
      <c r="F46" s="114" t="str">
        <f aca="false">IF($E46="","",IF($B46="Tema",INDEX(Temas!$B$6:$B$305,$C46)&amp;"",INDEX(Avulsos!$C$6:$C$205,$C46)&amp;""))</f>
        <v>ATB</v>
      </c>
      <c r="G46" s="114" t="str">
        <f aca="false">IF($E46="","",IF($B46="Tema",INDEX(Config!$C$6:$C$11,$D46),"Evento avulso"))</f>
        <v>5ª Revisão</v>
      </c>
      <c r="H46" s="114" t="str">
        <f aca="false">IF($E46="","",IF($B46="Tema",INDEX(Config!$D$6:$D$11,$D46),IFERROR(INDEX(Config!$E$15:$E$19,MATCH($I46,Config!$C$15:$C$19,0)),"•")))</f>
        <v>R5</v>
      </c>
      <c r="I46" s="114" t="str">
        <f aca="false">IF($E46="","",IF($B46="Tema",INDEX(Config!$E$6:$E$11,$D46),IF(INDEX(Avulsos!$D$6:$D$205,$C46)&amp;""="","Outro",INDEX(Avulsos!$D$6:$D$205,$C46))))</f>
        <v>Revisão</v>
      </c>
      <c r="J46" s="114" t="str">
        <f aca="false">IF($E46="","",IF($B46="Tema",INDEX(Temas!$C$6:$C$305,$C46)&amp;"",INDEX(Avulsos!$E$6:$E$205,$C46)&amp;""))</f>
        <v>Clínica Médica</v>
      </c>
      <c r="K46" s="114" t="str">
        <f aca="false">IF($E46="","",IF(IF($B46="Tema",INDEX(Temas!$E$6:$P$305,$C46,2*$D46),INDEX(Avulsos!$F$6:$F$205,$C46))&amp;""="","","✓"))</f>
        <v/>
      </c>
      <c r="L46" s="114" t="str">
        <f aca="true">IF($E46="","",IF($K46="✓","Concluído",IF($E46&lt;TODAY(),"Atrasado",IF($E46=TODAY(),"Hoje","Pendente"))))</f>
        <v>Pendente</v>
      </c>
      <c r="M46" s="114" t="str">
        <f aca="false">IF($E46="","",IF($K46="✓","✓ ","")&amp;IF(Config!$E$22="Sim",$H46&amp;" · ","")&amp;$F46)</f>
        <v>R5 · ATB</v>
      </c>
      <c r="N46" s="114" t="str">
        <f aca="false">IF($E46="","",IFERROR(INDEX(Config!$D$15:$D$19,MATCH($I46,Config!$C$15:$C$19,0)),"OUT")&amp;IF($K46="✓","x",""))</f>
        <v>REV</v>
      </c>
      <c r="O46" s="114" t="n">
        <f aca="false">IF($E46="","",COUNTIF($E$5:$E46,$E46))</f>
        <v>1</v>
      </c>
      <c r="P46" s="114" t="n">
        <f aca="false">IF($E46="","",$E46*100+$O46)</f>
        <v>4635701</v>
      </c>
      <c r="Q46" s="114" t="str">
        <f aca="false">IF($L46="Atrasado",$E46*10000+$A46,"")</f>
        <v/>
      </c>
    </row>
    <row r="47" customFormat="false" ht="15" hidden="false" customHeight="false" outlineLevel="0" collapsed="false">
      <c r="A47" s="114" t="n">
        <f aca="false">ROW()-4</f>
        <v>43</v>
      </c>
      <c r="B47" s="114" t="str">
        <f aca="false">IF(A47&lt;=Config!$E$27*Config!$E$28,"Tema","Avulso")</f>
        <v>Tema</v>
      </c>
      <c r="C47" s="114" t="n">
        <f aca="false">IF(B47="Tema",INT((A47-1)/Config!$E$28)+1,A47-Config!$E$27*Config!$E$28)</f>
        <v>8</v>
      </c>
      <c r="D47" s="114" t="n">
        <f aca="false">IF(B47="Tema",MOD(A47-1,Config!$E$28)+1,"")</f>
        <v>1</v>
      </c>
      <c r="E47" s="115" t="n">
        <f aca="false">IF($B47="Tema",IF(ISNUMBER(INDEX(Temas!$E$6:$P$305,$C47,2*$D47-1)),INDEX(Temas!$E$6:$P$305,$C47,2*$D47-1),""),IF(ISNUMBER(INDEX(Avulsos!$B$6:$B$205,$C47)),INDEX(Avulsos!$B$6:$B$205,$C47),""))</f>
        <v>46300</v>
      </c>
      <c r="F47" s="114" t="str">
        <f aca="false">IF($E47="","",IF($B47="Tema",INDEX(Temas!$B$6:$B$305,$C47)&amp;"",INDEX(Avulsos!$C$6:$C$205,$C47)&amp;""))</f>
        <v>Transtornos Psiquiátricos I</v>
      </c>
      <c r="G47" s="114" t="str">
        <f aca="false">IF($E47="","",IF($B47="Tema",INDEX(Config!$C$6:$C$11,$D47),"Evento avulso"))</f>
        <v>Aula teórica</v>
      </c>
      <c r="H47" s="114" t="str">
        <f aca="false">IF($E47="","",IF($B47="Tema",INDEX(Config!$D$6:$D$11,$D47),IFERROR(INDEX(Config!$E$15:$E$19,MATCH($I47,Config!$C$15:$C$19,0)),"•")))</f>
        <v>T</v>
      </c>
      <c r="I47" s="114" t="str">
        <f aca="false">IF($E47="","",IF($B47="Tema",INDEX(Config!$E$6:$E$11,$D47),IF(INDEX(Avulsos!$D$6:$D$205,$C47)&amp;""="","Outro",INDEX(Avulsos!$D$6:$D$205,$C47))))</f>
        <v>Teórica</v>
      </c>
      <c r="J47" s="114" t="str">
        <f aca="false">IF($E47="","",IF($B47="Tema",INDEX(Temas!$C$6:$C$305,$C47)&amp;"",INDEX(Avulsos!$E$6:$E$205,$C47)&amp;""))</f>
        <v>Clínica Médica</v>
      </c>
      <c r="K47" s="114" t="str">
        <f aca="false">IF($E47="","",IF(IF($B47="Tema",INDEX(Temas!$E$6:$P$305,$C47,2*$D47),INDEX(Avulsos!$F$6:$F$205,$C47))&amp;""="","","✓"))</f>
        <v/>
      </c>
      <c r="L47" s="114" t="str">
        <f aca="true">IF($E47="","",IF($K47="✓","Concluído",IF($E47&lt;TODAY(),"Atrasado",IF($E47=TODAY(),"Hoje","Pendente"))))</f>
        <v>Atrasado</v>
      </c>
      <c r="M47" s="114" t="str">
        <f aca="false">IF($E47="","",IF($K47="✓","✓ ","")&amp;IF(Config!$E$22="Sim",$H47&amp;" · ","")&amp;$F47)</f>
        <v>T · Transtornos Psiquiátricos I</v>
      </c>
      <c r="N47" s="114" t="str">
        <f aca="false">IF($E47="","",IFERROR(INDEX(Config!$D$15:$D$19,MATCH($I47,Config!$C$15:$C$19,0)),"OUT")&amp;IF($K47="✓","x",""))</f>
        <v>TEO</v>
      </c>
      <c r="O47" s="114" t="n">
        <f aca="false">IF($E47="","",COUNTIF($E$5:$E47,$E47))</f>
        <v>4</v>
      </c>
      <c r="P47" s="114" t="n">
        <f aca="false">IF($E47="","",$E47*100+$O47)</f>
        <v>4630004</v>
      </c>
      <c r="Q47" s="114" t="n">
        <f aca="false">IF($L47="Atrasado",$E47*10000+$A47,"")</f>
        <v>463000043</v>
      </c>
    </row>
    <row r="48" customFormat="false" ht="15" hidden="false" customHeight="false" outlineLevel="0" collapsed="false">
      <c r="A48" s="114" t="n">
        <f aca="false">ROW()-4</f>
        <v>44</v>
      </c>
      <c r="B48" s="114" t="str">
        <f aca="false">IF(A48&lt;=Config!$E$27*Config!$E$28,"Tema","Avulso")</f>
        <v>Tema</v>
      </c>
      <c r="C48" s="114" t="n">
        <f aca="false">IF(B48="Tema",INT((A48-1)/Config!$E$28)+1,A48-Config!$E$27*Config!$E$28)</f>
        <v>8</v>
      </c>
      <c r="D48" s="114" t="n">
        <f aca="false">IF(B48="Tema",MOD(A48-1,Config!$E$28)+1,"")</f>
        <v>2</v>
      </c>
      <c r="E48" s="115" t="n">
        <f aca="false">IF($B48="Tema",IF(ISNUMBER(INDEX(Temas!$E$6:$P$305,$C48,2*$D48-1)),INDEX(Temas!$E$6:$P$305,$C48,2*$D48-1),""),IF(ISNUMBER(INDEX(Avulsos!$B$6:$B$205,$C48)),INDEX(Avulsos!$B$6:$B$205,$C48),""))</f>
        <v>46301</v>
      </c>
      <c r="F48" s="114" t="str">
        <f aca="false">IF($E48="","",IF($B48="Tema",INDEX(Temas!$B$6:$B$305,$C48)&amp;"",INDEX(Avulsos!$C$6:$C$205,$C48)&amp;""))</f>
        <v>Transtornos Psiquiátricos I</v>
      </c>
      <c r="G48" s="114" t="str">
        <f aca="false">IF($E48="","",IF($B48="Tema",INDEX(Config!$C$6:$C$11,$D48),"Evento avulso"))</f>
        <v>1ª Revisão</v>
      </c>
      <c r="H48" s="114" t="str">
        <f aca="false">IF($E48="","",IF($B48="Tema",INDEX(Config!$D$6:$D$11,$D48),IFERROR(INDEX(Config!$E$15:$E$19,MATCH($I48,Config!$C$15:$C$19,0)),"•")))</f>
        <v>R1</v>
      </c>
      <c r="I48" s="114" t="str">
        <f aca="false">IF($E48="","",IF($B48="Tema",INDEX(Config!$E$6:$E$11,$D48),IF(INDEX(Avulsos!$D$6:$D$205,$C48)&amp;""="","Outro",INDEX(Avulsos!$D$6:$D$205,$C48))))</f>
        <v>Revisão</v>
      </c>
      <c r="J48" s="114" t="str">
        <f aca="false">IF($E48="","",IF($B48="Tema",INDEX(Temas!$C$6:$C$305,$C48)&amp;"",INDEX(Avulsos!$E$6:$E$205,$C48)&amp;""))</f>
        <v>Clínica Médica</v>
      </c>
      <c r="K48" s="114" t="str">
        <f aca="false">IF($E48="","",IF(IF($B48="Tema",INDEX(Temas!$E$6:$P$305,$C48,2*$D48),INDEX(Avulsos!$F$6:$F$205,$C48))&amp;""="","","✓"))</f>
        <v/>
      </c>
      <c r="L48" s="114" t="str">
        <f aca="true">IF($E48="","",IF($K48="✓","Concluído",IF($E48&lt;TODAY(),"Atrasado",IF($E48=TODAY(),"Hoje","Pendente"))))</f>
        <v>Atrasado</v>
      </c>
      <c r="M48" s="114" t="str">
        <f aca="false">IF($E48="","",IF($K48="✓","✓ ","")&amp;IF(Config!$E$22="Sim",$H48&amp;" · ","")&amp;$F48)</f>
        <v>R1 · Transtornos Psiquiátricos I</v>
      </c>
      <c r="N48" s="114" t="str">
        <f aca="false">IF($E48="","",IFERROR(INDEX(Config!$D$15:$D$19,MATCH($I48,Config!$C$15:$C$19,0)),"OUT")&amp;IF($K48="✓","x",""))</f>
        <v>REV</v>
      </c>
      <c r="O48" s="114" t="n">
        <f aca="false">IF($E48="","",COUNTIF($E$5:$E48,$E48))</f>
        <v>1</v>
      </c>
      <c r="P48" s="114" t="n">
        <f aca="false">IF($E48="","",$E48*100+$O48)</f>
        <v>4630101</v>
      </c>
      <c r="Q48" s="114" t="n">
        <f aca="false">IF($L48="Atrasado",$E48*10000+$A48,"")</f>
        <v>463010044</v>
      </c>
    </row>
    <row r="49" customFormat="false" ht="15" hidden="false" customHeight="false" outlineLevel="0" collapsed="false">
      <c r="A49" s="114" t="n">
        <f aca="false">ROW()-4</f>
        <v>45</v>
      </c>
      <c r="B49" s="114" t="str">
        <f aca="false">IF(A49&lt;=Config!$E$27*Config!$E$28,"Tema","Avulso")</f>
        <v>Tema</v>
      </c>
      <c r="C49" s="114" t="n">
        <f aca="false">IF(B49="Tema",INT((A49-1)/Config!$E$28)+1,A49-Config!$E$27*Config!$E$28)</f>
        <v>8</v>
      </c>
      <c r="D49" s="114" t="n">
        <f aca="false">IF(B49="Tema",MOD(A49-1,Config!$E$28)+1,"")</f>
        <v>3</v>
      </c>
      <c r="E49" s="115" t="n">
        <f aca="false">IF($B49="Tema",IF(ISNUMBER(INDEX(Temas!$E$6:$P$305,$C49,2*$D49-1)),INDEX(Temas!$E$6:$P$305,$C49,2*$D49-1),""),IF(ISNUMBER(INDEX(Avulsos!$B$6:$B$205,$C49)),INDEX(Avulsos!$B$6:$B$205,$C49),""))</f>
        <v>46307</v>
      </c>
      <c r="F49" s="114" t="str">
        <f aca="false">IF($E49="","",IF($B49="Tema",INDEX(Temas!$B$6:$B$305,$C49)&amp;"",INDEX(Avulsos!$C$6:$C$205,$C49)&amp;""))</f>
        <v>Transtornos Psiquiátricos I</v>
      </c>
      <c r="G49" s="114" t="str">
        <f aca="false">IF($E49="","",IF($B49="Tema",INDEX(Config!$C$6:$C$11,$D49),"Evento avulso"))</f>
        <v>2ª Revisão</v>
      </c>
      <c r="H49" s="114" t="str">
        <f aca="false">IF($E49="","",IF($B49="Tema",INDEX(Config!$D$6:$D$11,$D49),IFERROR(INDEX(Config!$E$15:$E$19,MATCH($I49,Config!$C$15:$C$19,0)),"•")))</f>
        <v>R2</v>
      </c>
      <c r="I49" s="114" t="str">
        <f aca="false">IF($E49="","",IF($B49="Tema",INDEX(Config!$E$6:$E$11,$D49),IF(INDEX(Avulsos!$D$6:$D$205,$C49)&amp;""="","Outro",INDEX(Avulsos!$D$6:$D$205,$C49))))</f>
        <v>Prática</v>
      </c>
      <c r="J49" s="114" t="str">
        <f aca="false">IF($E49="","",IF($B49="Tema",INDEX(Temas!$C$6:$C$305,$C49)&amp;"",INDEX(Avulsos!$E$6:$E$205,$C49)&amp;""))</f>
        <v>Clínica Médica</v>
      </c>
      <c r="K49" s="114" t="str">
        <f aca="false">IF($E49="","",IF(IF($B49="Tema",INDEX(Temas!$E$6:$P$305,$C49,2*$D49),INDEX(Avulsos!$F$6:$F$205,$C49))&amp;""="","","✓"))</f>
        <v/>
      </c>
      <c r="L49" s="114" t="str">
        <f aca="true">IF($E49="","",IF($K49="✓","Concluído",IF($E49&lt;TODAY(),"Atrasado",IF($E49=TODAY(),"Hoje","Pendente"))))</f>
        <v>Pendente</v>
      </c>
      <c r="M49" s="114" t="str">
        <f aca="false">IF($E49="","",IF($K49="✓","✓ ","")&amp;IF(Config!$E$22="Sim",$H49&amp;" · ","")&amp;$F49)</f>
        <v>R2 · Transtornos Psiquiátricos I</v>
      </c>
      <c r="N49" s="114" t="str">
        <f aca="false">IF($E49="","",IFERROR(INDEX(Config!$D$15:$D$19,MATCH($I49,Config!$C$15:$C$19,0)),"OUT")&amp;IF($K49="✓","x",""))</f>
        <v>PRA</v>
      </c>
      <c r="O49" s="114" t="n">
        <f aca="false">IF($E49="","",COUNTIF($E$5:$E49,$E49))</f>
        <v>4</v>
      </c>
      <c r="P49" s="114" t="n">
        <f aca="false">IF($E49="","",$E49*100+$O49)</f>
        <v>4630704</v>
      </c>
      <c r="Q49" s="114" t="str">
        <f aca="false">IF($L49="Atrasado",$E49*10000+$A49,"")</f>
        <v/>
      </c>
    </row>
    <row r="50" customFormat="false" ht="15" hidden="false" customHeight="false" outlineLevel="0" collapsed="false">
      <c r="A50" s="114" t="n">
        <f aca="false">ROW()-4</f>
        <v>46</v>
      </c>
      <c r="B50" s="114" t="str">
        <f aca="false">IF(A50&lt;=Config!$E$27*Config!$E$28,"Tema","Avulso")</f>
        <v>Tema</v>
      </c>
      <c r="C50" s="114" t="n">
        <f aca="false">IF(B50="Tema",INT((A50-1)/Config!$E$28)+1,A50-Config!$E$27*Config!$E$28)</f>
        <v>8</v>
      </c>
      <c r="D50" s="114" t="n">
        <f aca="false">IF(B50="Tema",MOD(A50-1,Config!$E$28)+1,"")</f>
        <v>4</v>
      </c>
      <c r="E50" s="115" t="n">
        <f aca="false">IF($B50="Tema",IF(ISNUMBER(INDEX(Temas!$E$6:$P$305,$C50,2*$D50-1)),INDEX(Temas!$E$6:$P$305,$C50,2*$D50-1),""),IF(ISNUMBER(INDEX(Avulsos!$B$6:$B$205,$C50)),INDEX(Avulsos!$B$6:$B$205,$C50),""))</f>
        <v>46315</v>
      </c>
      <c r="F50" s="114" t="str">
        <f aca="false">IF($E50="","",IF($B50="Tema",INDEX(Temas!$B$6:$B$305,$C50)&amp;"",INDEX(Avulsos!$C$6:$C$205,$C50)&amp;""))</f>
        <v>Transtornos Psiquiátricos I</v>
      </c>
      <c r="G50" s="114" t="str">
        <f aca="false">IF($E50="","",IF($B50="Tema",INDEX(Config!$C$6:$C$11,$D50),"Evento avulso"))</f>
        <v>3ª Revisão</v>
      </c>
      <c r="H50" s="114" t="str">
        <f aca="false">IF($E50="","",IF($B50="Tema",INDEX(Config!$D$6:$D$11,$D50),IFERROR(INDEX(Config!$E$15:$E$19,MATCH($I50,Config!$C$15:$C$19,0)),"•")))</f>
        <v>R3</v>
      </c>
      <c r="I50" s="114" t="str">
        <f aca="false">IF($E50="","",IF($B50="Tema",INDEX(Config!$E$6:$E$11,$D50),IF(INDEX(Avulsos!$D$6:$D$205,$C50)&amp;""="","Outro",INDEX(Avulsos!$D$6:$D$205,$C50))))</f>
        <v>Prática</v>
      </c>
      <c r="J50" s="114" t="str">
        <f aca="false">IF($E50="","",IF($B50="Tema",INDEX(Temas!$C$6:$C$305,$C50)&amp;"",INDEX(Avulsos!$E$6:$E$205,$C50)&amp;""))</f>
        <v>Clínica Médica</v>
      </c>
      <c r="K50" s="114" t="str">
        <f aca="false">IF($E50="","",IF(IF($B50="Tema",INDEX(Temas!$E$6:$P$305,$C50,2*$D50),INDEX(Avulsos!$F$6:$F$205,$C50))&amp;""="","","✓"))</f>
        <v/>
      </c>
      <c r="L50" s="114" t="str">
        <f aca="true">IF($E50="","",IF($K50="✓","Concluído",IF($E50&lt;TODAY(),"Atrasado",IF($E50=TODAY(),"Hoje","Pendente"))))</f>
        <v>Pendente</v>
      </c>
      <c r="M50" s="114" t="str">
        <f aca="false">IF($E50="","",IF($K50="✓","✓ ","")&amp;IF(Config!$E$22="Sim",$H50&amp;" · ","")&amp;$F50)</f>
        <v>R3 · Transtornos Psiquiátricos I</v>
      </c>
      <c r="N50" s="114" t="str">
        <f aca="false">IF($E50="","",IFERROR(INDEX(Config!$D$15:$D$19,MATCH($I50,Config!$C$15:$C$19,0)),"OUT")&amp;IF($K50="✓","x",""))</f>
        <v>PRA</v>
      </c>
      <c r="O50" s="114" t="n">
        <f aca="false">IF($E50="","",COUNTIF($E$5:$E50,$E50))</f>
        <v>1</v>
      </c>
      <c r="P50" s="114" t="n">
        <f aca="false">IF($E50="","",$E50*100+$O50)</f>
        <v>4631501</v>
      </c>
      <c r="Q50" s="114" t="str">
        <f aca="false">IF($L50="Atrasado",$E50*10000+$A50,"")</f>
        <v/>
      </c>
    </row>
    <row r="51" customFormat="false" ht="15" hidden="false" customHeight="false" outlineLevel="0" collapsed="false">
      <c r="A51" s="114" t="n">
        <f aca="false">ROW()-4</f>
        <v>47</v>
      </c>
      <c r="B51" s="114" t="str">
        <f aca="false">IF(A51&lt;=Config!$E$27*Config!$E$28,"Tema","Avulso")</f>
        <v>Tema</v>
      </c>
      <c r="C51" s="114" t="n">
        <f aca="false">IF(B51="Tema",INT((A51-1)/Config!$E$28)+1,A51-Config!$E$27*Config!$E$28)</f>
        <v>8</v>
      </c>
      <c r="D51" s="114" t="n">
        <f aca="false">IF(B51="Tema",MOD(A51-1,Config!$E$28)+1,"")</f>
        <v>5</v>
      </c>
      <c r="E51" s="115" t="n">
        <f aca="false">IF($B51="Tema",IF(ISNUMBER(INDEX(Temas!$E$6:$P$305,$C51,2*$D51-1)),INDEX(Temas!$E$6:$P$305,$C51,2*$D51-1),""),IF(ISNUMBER(INDEX(Avulsos!$B$6:$B$205,$C51)),INDEX(Avulsos!$B$6:$B$205,$C51),""))</f>
        <v>46330</v>
      </c>
      <c r="F51" s="114" t="str">
        <f aca="false">IF($E51="","",IF($B51="Tema",INDEX(Temas!$B$6:$B$305,$C51)&amp;"",INDEX(Avulsos!$C$6:$C$205,$C51)&amp;""))</f>
        <v>Transtornos Psiquiátricos I</v>
      </c>
      <c r="G51" s="114" t="str">
        <f aca="false">IF($E51="","",IF($B51="Tema",INDEX(Config!$C$6:$C$11,$D51),"Evento avulso"))</f>
        <v>4ª Revisão</v>
      </c>
      <c r="H51" s="114" t="str">
        <f aca="false">IF($E51="","",IF($B51="Tema",INDEX(Config!$D$6:$D$11,$D51),IFERROR(INDEX(Config!$E$15:$E$19,MATCH($I51,Config!$C$15:$C$19,0)),"•")))</f>
        <v>R4</v>
      </c>
      <c r="I51" s="114" t="str">
        <f aca="false">IF($E51="","",IF($B51="Tema",INDEX(Config!$E$6:$E$11,$D51),IF(INDEX(Avulsos!$D$6:$D$205,$C51)&amp;""="","Outro",INDEX(Avulsos!$D$6:$D$205,$C51))))</f>
        <v>Prática</v>
      </c>
      <c r="J51" s="114" t="str">
        <f aca="false">IF($E51="","",IF($B51="Tema",INDEX(Temas!$C$6:$C$305,$C51)&amp;"",INDEX(Avulsos!$E$6:$E$205,$C51)&amp;""))</f>
        <v>Clínica Médica</v>
      </c>
      <c r="K51" s="114" t="str">
        <f aca="false">IF($E51="","",IF(IF($B51="Tema",INDEX(Temas!$E$6:$P$305,$C51,2*$D51),INDEX(Avulsos!$F$6:$F$205,$C51))&amp;""="","","✓"))</f>
        <v/>
      </c>
      <c r="L51" s="114" t="str">
        <f aca="true">IF($E51="","",IF($K51="✓","Concluído",IF($E51&lt;TODAY(),"Atrasado",IF($E51=TODAY(),"Hoje","Pendente"))))</f>
        <v>Pendente</v>
      </c>
      <c r="M51" s="114" t="str">
        <f aca="false">IF($E51="","",IF($K51="✓","✓ ","")&amp;IF(Config!$E$22="Sim",$H51&amp;" · ","")&amp;$F51)</f>
        <v>R4 · Transtornos Psiquiátricos I</v>
      </c>
      <c r="N51" s="114" t="str">
        <f aca="false">IF($E51="","",IFERROR(INDEX(Config!$D$15:$D$19,MATCH($I51,Config!$C$15:$C$19,0)),"OUT")&amp;IF($K51="✓","x",""))</f>
        <v>PRA</v>
      </c>
      <c r="O51" s="114" t="n">
        <f aca="false">IF($E51="","",COUNTIF($E$5:$E51,$E51))</f>
        <v>1</v>
      </c>
      <c r="P51" s="114" t="n">
        <f aca="false">IF($E51="","",$E51*100+$O51)</f>
        <v>4633001</v>
      </c>
      <c r="Q51" s="114" t="str">
        <f aca="false">IF($L51="Atrasado",$E51*10000+$A51,"")</f>
        <v/>
      </c>
    </row>
    <row r="52" customFormat="false" ht="15" hidden="false" customHeight="false" outlineLevel="0" collapsed="false">
      <c r="A52" s="114" t="n">
        <f aca="false">ROW()-4</f>
        <v>48</v>
      </c>
      <c r="B52" s="114" t="str">
        <f aca="false">IF(A52&lt;=Config!$E$27*Config!$E$28,"Tema","Avulso")</f>
        <v>Tema</v>
      </c>
      <c r="C52" s="114" t="n">
        <f aca="false">IF(B52="Tema",INT((A52-1)/Config!$E$28)+1,A52-Config!$E$27*Config!$E$28)</f>
        <v>8</v>
      </c>
      <c r="D52" s="114" t="n">
        <f aca="false">IF(B52="Tema",MOD(A52-1,Config!$E$28)+1,"")</f>
        <v>6</v>
      </c>
      <c r="E52" s="115" t="n">
        <f aca="false">IF($B52="Tema",IF(ISNUMBER(INDEX(Temas!$E$6:$P$305,$C52,2*$D52-1)),INDEX(Temas!$E$6:$P$305,$C52,2*$D52-1),""),IF(ISNUMBER(INDEX(Avulsos!$B$6:$B$205,$C52)),INDEX(Avulsos!$B$6:$B$205,$C52),""))</f>
        <v>46360</v>
      </c>
      <c r="F52" s="114" t="str">
        <f aca="false">IF($E52="","",IF($B52="Tema",INDEX(Temas!$B$6:$B$305,$C52)&amp;"",INDEX(Avulsos!$C$6:$C$205,$C52)&amp;""))</f>
        <v>Transtornos Psiquiátricos I</v>
      </c>
      <c r="G52" s="114" t="str">
        <f aca="false">IF($E52="","",IF($B52="Tema",INDEX(Config!$C$6:$C$11,$D52),"Evento avulso"))</f>
        <v>5ª Revisão</v>
      </c>
      <c r="H52" s="114" t="str">
        <f aca="false">IF($E52="","",IF($B52="Tema",INDEX(Config!$D$6:$D$11,$D52),IFERROR(INDEX(Config!$E$15:$E$19,MATCH($I52,Config!$C$15:$C$19,0)),"•")))</f>
        <v>R5</v>
      </c>
      <c r="I52" s="114" t="str">
        <f aca="false">IF($E52="","",IF($B52="Tema",INDEX(Config!$E$6:$E$11,$D52),IF(INDEX(Avulsos!$D$6:$D$205,$C52)&amp;""="","Outro",INDEX(Avulsos!$D$6:$D$205,$C52))))</f>
        <v>Revisão</v>
      </c>
      <c r="J52" s="114" t="str">
        <f aca="false">IF($E52="","",IF($B52="Tema",INDEX(Temas!$C$6:$C$305,$C52)&amp;"",INDEX(Avulsos!$E$6:$E$205,$C52)&amp;""))</f>
        <v>Clínica Médica</v>
      </c>
      <c r="K52" s="114" t="str">
        <f aca="false">IF($E52="","",IF(IF($B52="Tema",INDEX(Temas!$E$6:$P$305,$C52,2*$D52),INDEX(Avulsos!$F$6:$F$205,$C52))&amp;""="","","✓"))</f>
        <v/>
      </c>
      <c r="L52" s="114" t="str">
        <f aca="true">IF($E52="","",IF($K52="✓","Concluído",IF($E52&lt;TODAY(),"Atrasado",IF($E52=TODAY(),"Hoje","Pendente"))))</f>
        <v>Pendente</v>
      </c>
      <c r="M52" s="114" t="str">
        <f aca="false">IF($E52="","",IF($K52="✓","✓ ","")&amp;IF(Config!$E$22="Sim",$H52&amp;" · ","")&amp;$F52)</f>
        <v>R5 · Transtornos Psiquiátricos I</v>
      </c>
      <c r="N52" s="114" t="str">
        <f aca="false">IF($E52="","",IFERROR(INDEX(Config!$D$15:$D$19,MATCH($I52,Config!$C$15:$C$19,0)),"OUT")&amp;IF($K52="✓","x",""))</f>
        <v>REV</v>
      </c>
      <c r="O52" s="114" t="n">
        <f aca="false">IF($E52="","",COUNTIF($E$5:$E52,$E52))</f>
        <v>1</v>
      </c>
      <c r="P52" s="114" t="n">
        <f aca="false">IF($E52="","",$E52*100+$O52)</f>
        <v>4636001</v>
      </c>
      <c r="Q52" s="114" t="str">
        <f aca="false">IF($L52="Atrasado",$E52*10000+$A52,"")</f>
        <v/>
      </c>
    </row>
    <row r="53" customFormat="false" ht="15" hidden="false" customHeight="false" outlineLevel="0" collapsed="false">
      <c r="A53" s="114" t="n">
        <f aca="false">ROW()-4</f>
        <v>49</v>
      </c>
      <c r="B53" s="114" t="str">
        <f aca="false">IF(A53&lt;=Config!$E$27*Config!$E$28,"Tema","Avulso")</f>
        <v>Tema</v>
      </c>
      <c r="C53" s="114" t="n">
        <f aca="false">IF(B53="Tema",INT((A53-1)/Config!$E$28)+1,A53-Config!$E$27*Config!$E$28)</f>
        <v>9</v>
      </c>
      <c r="D53" s="114" t="n">
        <f aca="false">IF(B53="Tema",MOD(A53-1,Config!$E$28)+1,"")</f>
        <v>1</v>
      </c>
      <c r="E53" s="115" t="n">
        <f aca="false">IF($B53="Tema",IF(ISNUMBER(INDEX(Temas!$E$6:$P$305,$C53,2*$D53-1)),INDEX(Temas!$E$6:$P$305,$C53,2*$D53-1),""),IF(ISNUMBER(INDEX(Avulsos!$B$6:$B$205,$C53)),INDEX(Avulsos!$B$6:$B$205,$C53),""))</f>
        <v>46303</v>
      </c>
      <c r="F53" s="114" t="str">
        <f aca="false">IF($E53="","",IF($B53="Tema",INDEX(Temas!$B$6:$B$305,$C53)&amp;"",INDEX(Avulsos!$C$6:$C$205,$C53)&amp;""))</f>
        <v>Síndromes Febris — Dengue</v>
      </c>
      <c r="G53" s="114" t="str">
        <f aca="false">IF($E53="","",IF($B53="Tema",INDEX(Config!$C$6:$C$11,$D53),"Evento avulso"))</f>
        <v>Aula teórica</v>
      </c>
      <c r="H53" s="114" t="str">
        <f aca="false">IF($E53="","",IF($B53="Tema",INDEX(Config!$D$6:$D$11,$D53),IFERROR(INDEX(Config!$E$15:$E$19,MATCH($I53,Config!$C$15:$C$19,0)),"•")))</f>
        <v>T</v>
      </c>
      <c r="I53" s="114" t="str">
        <f aca="false">IF($E53="","",IF($B53="Tema",INDEX(Config!$E$6:$E$11,$D53),IF(INDEX(Avulsos!$D$6:$D$205,$C53)&amp;""="","Outro",INDEX(Avulsos!$D$6:$D$205,$C53))))</f>
        <v>Teórica</v>
      </c>
      <c r="J53" s="114" t="str">
        <f aca="false">IF($E53="","",IF($B53="Tema",INDEX(Temas!$C$6:$C$305,$C53)&amp;"",INDEX(Avulsos!$E$6:$E$205,$C53)&amp;""))</f>
        <v>Clínica Médica</v>
      </c>
      <c r="K53" s="114" t="str">
        <f aca="false">IF($E53="","",IF(IF($B53="Tema",INDEX(Temas!$E$6:$P$305,$C53,2*$D53),INDEX(Avulsos!$F$6:$F$205,$C53))&amp;""="","","✓"))</f>
        <v>✓</v>
      </c>
      <c r="L53" s="114" t="str">
        <f aca="true">IF($E53="","",IF($K53="✓","Concluído",IF($E53&lt;TODAY(),"Atrasado",IF($E53=TODAY(),"Hoje","Pendente"))))</f>
        <v>Concluído</v>
      </c>
      <c r="M53" s="114" t="str">
        <f aca="false">IF($E53="","",IF($K53="✓","✓ ","")&amp;IF(Config!$E$22="Sim",$H53&amp;" · ","")&amp;$F53)</f>
        <v>✓ T · Síndromes Febris — Dengue</v>
      </c>
      <c r="N53" s="114" t="str">
        <f aca="false">IF($E53="","",IFERROR(INDEX(Config!$D$15:$D$19,MATCH($I53,Config!$C$15:$C$19,0)),"OUT")&amp;IF($K53="✓","x",""))</f>
        <v>TEOx</v>
      </c>
      <c r="O53" s="114" t="n">
        <f aca="false">IF($E53="","",COUNTIF($E$5:$E53,$E53))</f>
        <v>1</v>
      </c>
      <c r="P53" s="114" t="n">
        <f aca="false">IF($E53="","",$E53*100+$O53)</f>
        <v>4630301</v>
      </c>
      <c r="Q53" s="114" t="str">
        <f aca="false">IF($L53="Atrasado",$E53*10000+$A53,"")</f>
        <v/>
      </c>
    </row>
    <row r="54" customFormat="false" ht="15" hidden="false" customHeight="false" outlineLevel="0" collapsed="false">
      <c r="A54" s="114" t="n">
        <f aca="false">ROW()-4</f>
        <v>50</v>
      </c>
      <c r="B54" s="114" t="str">
        <f aca="false">IF(A54&lt;=Config!$E$27*Config!$E$28,"Tema","Avulso")</f>
        <v>Tema</v>
      </c>
      <c r="C54" s="114" t="n">
        <f aca="false">IF(B54="Tema",INT((A54-1)/Config!$E$28)+1,A54-Config!$E$27*Config!$E$28)</f>
        <v>9</v>
      </c>
      <c r="D54" s="114" t="n">
        <f aca="false">IF(B54="Tema",MOD(A54-1,Config!$E$28)+1,"")</f>
        <v>2</v>
      </c>
      <c r="E54" s="115" t="n">
        <f aca="false">IF($B54="Tema",IF(ISNUMBER(INDEX(Temas!$E$6:$P$305,$C54,2*$D54-1)),INDEX(Temas!$E$6:$P$305,$C54,2*$D54-1),""),IF(ISNUMBER(INDEX(Avulsos!$B$6:$B$205,$C54)),INDEX(Avulsos!$B$6:$B$205,$C54),""))</f>
        <v>46304</v>
      </c>
      <c r="F54" s="114" t="str">
        <f aca="false">IF($E54="","",IF($B54="Tema",INDEX(Temas!$B$6:$B$305,$C54)&amp;"",INDEX(Avulsos!$C$6:$C$205,$C54)&amp;""))</f>
        <v>Síndromes Febris — Dengue</v>
      </c>
      <c r="G54" s="114" t="str">
        <f aca="false">IF($E54="","",IF($B54="Tema",INDEX(Config!$C$6:$C$11,$D54),"Evento avulso"))</f>
        <v>1ª Revisão</v>
      </c>
      <c r="H54" s="114" t="str">
        <f aca="false">IF($E54="","",IF($B54="Tema",INDEX(Config!$D$6:$D$11,$D54),IFERROR(INDEX(Config!$E$15:$E$19,MATCH($I54,Config!$C$15:$C$19,0)),"•")))</f>
        <v>R1</v>
      </c>
      <c r="I54" s="114" t="str">
        <f aca="false">IF($E54="","",IF($B54="Tema",INDEX(Config!$E$6:$E$11,$D54),IF(INDEX(Avulsos!$D$6:$D$205,$C54)&amp;""="","Outro",INDEX(Avulsos!$D$6:$D$205,$C54))))</f>
        <v>Revisão</v>
      </c>
      <c r="J54" s="114" t="str">
        <f aca="false">IF($E54="","",IF($B54="Tema",INDEX(Temas!$C$6:$C$305,$C54)&amp;"",INDEX(Avulsos!$E$6:$E$205,$C54)&amp;""))</f>
        <v>Clínica Médica</v>
      </c>
      <c r="K54" s="114" t="str">
        <f aca="false">IF($E54="","",IF(IF($B54="Tema",INDEX(Temas!$E$6:$P$305,$C54,2*$D54),INDEX(Avulsos!$F$6:$F$205,$C54))&amp;""="","","✓"))</f>
        <v/>
      </c>
      <c r="L54" s="114" t="str">
        <f aca="true">IF($E54="","",IF($K54="✓","Concluído",IF($E54&lt;TODAY(),"Atrasado",IF($E54=TODAY(),"Hoje","Pendente"))))</f>
        <v>Pendente</v>
      </c>
      <c r="M54" s="114" t="str">
        <f aca="false">IF($E54="","",IF($K54="✓","✓ ","")&amp;IF(Config!$E$22="Sim",$H54&amp;" · ","")&amp;$F54)</f>
        <v>R1 · Síndromes Febris — Dengue</v>
      </c>
      <c r="N54" s="114" t="str">
        <f aca="false">IF($E54="","",IFERROR(INDEX(Config!$D$15:$D$19,MATCH($I54,Config!$C$15:$C$19,0)),"OUT")&amp;IF($K54="✓","x",""))</f>
        <v>REV</v>
      </c>
      <c r="O54" s="114" t="n">
        <f aca="false">IF($E54="","",COUNTIF($E$5:$E54,$E54))</f>
        <v>2</v>
      </c>
      <c r="P54" s="114" t="n">
        <f aca="false">IF($E54="","",$E54*100+$O54)</f>
        <v>4630402</v>
      </c>
      <c r="Q54" s="114" t="str">
        <f aca="false">IF($L54="Atrasado",$E54*10000+$A54,"")</f>
        <v/>
      </c>
    </row>
    <row r="55" customFormat="false" ht="15" hidden="false" customHeight="false" outlineLevel="0" collapsed="false">
      <c r="A55" s="114" t="n">
        <f aca="false">ROW()-4</f>
        <v>51</v>
      </c>
      <c r="B55" s="114" t="str">
        <f aca="false">IF(A55&lt;=Config!$E$27*Config!$E$28,"Tema","Avulso")</f>
        <v>Tema</v>
      </c>
      <c r="C55" s="114" t="n">
        <f aca="false">IF(B55="Tema",INT((A55-1)/Config!$E$28)+1,A55-Config!$E$27*Config!$E$28)</f>
        <v>9</v>
      </c>
      <c r="D55" s="114" t="n">
        <f aca="false">IF(B55="Tema",MOD(A55-1,Config!$E$28)+1,"")</f>
        <v>3</v>
      </c>
      <c r="E55" s="115" t="n">
        <f aca="false">IF($B55="Tema",IF(ISNUMBER(INDEX(Temas!$E$6:$P$305,$C55,2*$D55-1)),INDEX(Temas!$E$6:$P$305,$C55,2*$D55-1),""),IF(ISNUMBER(INDEX(Avulsos!$B$6:$B$205,$C55)),INDEX(Avulsos!$B$6:$B$205,$C55),""))</f>
        <v>46310</v>
      </c>
      <c r="F55" s="114" t="str">
        <f aca="false">IF($E55="","",IF($B55="Tema",INDEX(Temas!$B$6:$B$305,$C55)&amp;"",INDEX(Avulsos!$C$6:$C$205,$C55)&amp;""))</f>
        <v>Síndromes Febris — Dengue</v>
      </c>
      <c r="G55" s="114" t="str">
        <f aca="false">IF($E55="","",IF($B55="Tema",INDEX(Config!$C$6:$C$11,$D55),"Evento avulso"))</f>
        <v>2ª Revisão</v>
      </c>
      <c r="H55" s="114" t="str">
        <f aca="false">IF($E55="","",IF($B55="Tema",INDEX(Config!$D$6:$D$11,$D55),IFERROR(INDEX(Config!$E$15:$E$19,MATCH($I55,Config!$C$15:$C$19,0)),"•")))</f>
        <v>R2</v>
      </c>
      <c r="I55" s="114" t="str">
        <f aca="false">IF($E55="","",IF($B55="Tema",INDEX(Config!$E$6:$E$11,$D55),IF(INDEX(Avulsos!$D$6:$D$205,$C55)&amp;""="","Outro",INDEX(Avulsos!$D$6:$D$205,$C55))))</f>
        <v>Prática</v>
      </c>
      <c r="J55" s="114" t="str">
        <f aca="false">IF($E55="","",IF($B55="Tema",INDEX(Temas!$C$6:$C$305,$C55)&amp;"",INDEX(Avulsos!$E$6:$E$205,$C55)&amp;""))</f>
        <v>Clínica Médica</v>
      </c>
      <c r="K55" s="114" t="str">
        <f aca="false">IF($E55="","",IF(IF($B55="Tema",INDEX(Temas!$E$6:$P$305,$C55,2*$D55),INDEX(Avulsos!$F$6:$F$205,$C55))&amp;""="","","✓"))</f>
        <v/>
      </c>
      <c r="L55" s="114" t="str">
        <f aca="true">IF($E55="","",IF($K55="✓","Concluído",IF($E55&lt;TODAY(),"Atrasado",IF($E55=TODAY(),"Hoje","Pendente"))))</f>
        <v>Pendente</v>
      </c>
      <c r="M55" s="114" t="str">
        <f aca="false">IF($E55="","",IF($K55="✓","✓ ","")&amp;IF(Config!$E$22="Sim",$H55&amp;" · ","")&amp;$F55)</f>
        <v>R2 · Síndromes Febris — Dengue</v>
      </c>
      <c r="N55" s="114" t="str">
        <f aca="false">IF($E55="","",IFERROR(INDEX(Config!$D$15:$D$19,MATCH($I55,Config!$C$15:$C$19,0)),"OUT")&amp;IF($K55="✓","x",""))</f>
        <v>PRA</v>
      </c>
      <c r="O55" s="114" t="n">
        <f aca="false">IF($E55="","",COUNTIF($E$5:$E55,$E55))</f>
        <v>1</v>
      </c>
      <c r="P55" s="114" t="n">
        <f aca="false">IF($E55="","",$E55*100+$O55)</f>
        <v>4631001</v>
      </c>
      <c r="Q55" s="114" t="str">
        <f aca="false">IF($L55="Atrasado",$E55*10000+$A55,"")</f>
        <v/>
      </c>
    </row>
    <row r="56" customFormat="false" ht="15" hidden="false" customHeight="false" outlineLevel="0" collapsed="false">
      <c r="A56" s="114" t="n">
        <f aca="false">ROW()-4</f>
        <v>52</v>
      </c>
      <c r="B56" s="114" t="str">
        <f aca="false">IF(A56&lt;=Config!$E$27*Config!$E$28,"Tema","Avulso")</f>
        <v>Tema</v>
      </c>
      <c r="C56" s="114" t="n">
        <f aca="false">IF(B56="Tema",INT((A56-1)/Config!$E$28)+1,A56-Config!$E$27*Config!$E$28)</f>
        <v>9</v>
      </c>
      <c r="D56" s="114" t="n">
        <f aca="false">IF(B56="Tema",MOD(A56-1,Config!$E$28)+1,"")</f>
        <v>4</v>
      </c>
      <c r="E56" s="115" t="n">
        <f aca="false">IF($B56="Tema",IF(ISNUMBER(INDEX(Temas!$E$6:$P$305,$C56,2*$D56-1)),INDEX(Temas!$E$6:$P$305,$C56,2*$D56-1),""),IF(ISNUMBER(INDEX(Avulsos!$B$6:$B$205,$C56)),INDEX(Avulsos!$B$6:$B$205,$C56),""))</f>
        <v>46318</v>
      </c>
      <c r="F56" s="114" t="str">
        <f aca="false">IF($E56="","",IF($B56="Tema",INDEX(Temas!$B$6:$B$305,$C56)&amp;"",INDEX(Avulsos!$C$6:$C$205,$C56)&amp;""))</f>
        <v>Síndromes Febris — Dengue</v>
      </c>
      <c r="G56" s="114" t="str">
        <f aca="false">IF($E56="","",IF($B56="Tema",INDEX(Config!$C$6:$C$11,$D56),"Evento avulso"))</f>
        <v>3ª Revisão</v>
      </c>
      <c r="H56" s="114" t="str">
        <f aca="false">IF($E56="","",IF($B56="Tema",INDEX(Config!$D$6:$D$11,$D56),IFERROR(INDEX(Config!$E$15:$E$19,MATCH($I56,Config!$C$15:$C$19,0)),"•")))</f>
        <v>R3</v>
      </c>
      <c r="I56" s="114" t="str">
        <f aca="false">IF($E56="","",IF($B56="Tema",INDEX(Config!$E$6:$E$11,$D56),IF(INDEX(Avulsos!$D$6:$D$205,$C56)&amp;""="","Outro",INDEX(Avulsos!$D$6:$D$205,$C56))))</f>
        <v>Prática</v>
      </c>
      <c r="J56" s="114" t="str">
        <f aca="false">IF($E56="","",IF($B56="Tema",INDEX(Temas!$C$6:$C$305,$C56)&amp;"",INDEX(Avulsos!$E$6:$E$205,$C56)&amp;""))</f>
        <v>Clínica Médica</v>
      </c>
      <c r="K56" s="114" t="str">
        <f aca="false">IF($E56="","",IF(IF($B56="Tema",INDEX(Temas!$E$6:$P$305,$C56,2*$D56),INDEX(Avulsos!$F$6:$F$205,$C56))&amp;""="","","✓"))</f>
        <v/>
      </c>
      <c r="L56" s="114" t="str">
        <f aca="true">IF($E56="","",IF($K56="✓","Concluído",IF($E56&lt;TODAY(),"Atrasado",IF($E56=TODAY(),"Hoje","Pendente"))))</f>
        <v>Pendente</v>
      </c>
      <c r="M56" s="114" t="str">
        <f aca="false">IF($E56="","",IF($K56="✓","✓ ","")&amp;IF(Config!$E$22="Sim",$H56&amp;" · ","")&amp;$F56)</f>
        <v>R3 · Síndromes Febris — Dengue</v>
      </c>
      <c r="N56" s="114" t="str">
        <f aca="false">IF($E56="","",IFERROR(INDEX(Config!$D$15:$D$19,MATCH($I56,Config!$C$15:$C$19,0)),"OUT")&amp;IF($K56="✓","x",""))</f>
        <v>PRA</v>
      </c>
      <c r="O56" s="114" t="n">
        <f aca="false">IF($E56="","",COUNTIF($E$5:$E56,$E56))</f>
        <v>1</v>
      </c>
      <c r="P56" s="114" t="n">
        <f aca="false">IF($E56="","",$E56*100+$O56)</f>
        <v>4631801</v>
      </c>
      <c r="Q56" s="114" t="str">
        <f aca="false">IF($L56="Atrasado",$E56*10000+$A56,"")</f>
        <v/>
      </c>
    </row>
    <row r="57" customFormat="false" ht="15" hidden="false" customHeight="false" outlineLevel="0" collapsed="false">
      <c r="A57" s="114" t="n">
        <f aca="false">ROW()-4</f>
        <v>53</v>
      </c>
      <c r="B57" s="114" t="str">
        <f aca="false">IF(A57&lt;=Config!$E$27*Config!$E$28,"Tema","Avulso")</f>
        <v>Tema</v>
      </c>
      <c r="C57" s="114" t="n">
        <f aca="false">IF(B57="Tema",INT((A57-1)/Config!$E$28)+1,A57-Config!$E$27*Config!$E$28)</f>
        <v>9</v>
      </c>
      <c r="D57" s="114" t="n">
        <f aca="false">IF(B57="Tema",MOD(A57-1,Config!$E$28)+1,"")</f>
        <v>5</v>
      </c>
      <c r="E57" s="115" t="n">
        <f aca="false">IF($B57="Tema",IF(ISNUMBER(INDEX(Temas!$E$6:$P$305,$C57,2*$D57-1)),INDEX(Temas!$E$6:$P$305,$C57,2*$D57-1),""),IF(ISNUMBER(INDEX(Avulsos!$B$6:$B$205,$C57)),INDEX(Avulsos!$B$6:$B$205,$C57),""))</f>
        <v>46333</v>
      </c>
      <c r="F57" s="114" t="str">
        <f aca="false">IF($E57="","",IF($B57="Tema",INDEX(Temas!$B$6:$B$305,$C57)&amp;"",INDEX(Avulsos!$C$6:$C$205,$C57)&amp;""))</f>
        <v>Síndromes Febris — Dengue</v>
      </c>
      <c r="G57" s="114" t="str">
        <f aca="false">IF($E57="","",IF($B57="Tema",INDEX(Config!$C$6:$C$11,$D57),"Evento avulso"))</f>
        <v>4ª Revisão</v>
      </c>
      <c r="H57" s="114" t="str">
        <f aca="false">IF($E57="","",IF($B57="Tema",INDEX(Config!$D$6:$D$11,$D57),IFERROR(INDEX(Config!$E$15:$E$19,MATCH($I57,Config!$C$15:$C$19,0)),"•")))</f>
        <v>R4</v>
      </c>
      <c r="I57" s="114" t="str">
        <f aca="false">IF($E57="","",IF($B57="Tema",INDEX(Config!$E$6:$E$11,$D57),IF(INDEX(Avulsos!$D$6:$D$205,$C57)&amp;""="","Outro",INDEX(Avulsos!$D$6:$D$205,$C57))))</f>
        <v>Prática</v>
      </c>
      <c r="J57" s="114" t="str">
        <f aca="false">IF($E57="","",IF($B57="Tema",INDEX(Temas!$C$6:$C$305,$C57)&amp;"",INDEX(Avulsos!$E$6:$E$205,$C57)&amp;""))</f>
        <v>Clínica Médica</v>
      </c>
      <c r="K57" s="114" t="str">
        <f aca="false">IF($E57="","",IF(IF($B57="Tema",INDEX(Temas!$E$6:$P$305,$C57,2*$D57),INDEX(Avulsos!$F$6:$F$205,$C57))&amp;""="","","✓"))</f>
        <v/>
      </c>
      <c r="L57" s="114" t="str">
        <f aca="true">IF($E57="","",IF($K57="✓","Concluído",IF($E57&lt;TODAY(),"Atrasado",IF($E57=TODAY(),"Hoje","Pendente"))))</f>
        <v>Pendente</v>
      </c>
      <c r="M57" s="114" t="str">
        <f aca="false">IF($E57="","",IF($K57="✓","✓ ","")&amp;IF(Config!$E$22="Sim",$H57&amp;" · ","")&amp;$F57)</f>
        <v>R4 · Síndromes Febris — Dengue</v>
      </c>
      <c r="N57" s="114" t="str">
        <f aca="false">IF($E57="","",IFERROR(INDEX(Config!$D$15:$D$19,MATCH($I57,Config!$C$15:$C$19,0)),"OUT")&amp;IF($K57="✓","x",""))</f>
        <v>PRA</v>
      </c>
      <c r="O57" s="114" t="n">
        <f aca="false">IF($E57="","",COUNTIF($E$5:$E57,$E57))</f>
        <v>1</v>
      </c>
      <c r="P57" s="114" t="n">
        <f aca="false">IF($E57="","",$E57*100+$O57)</f>
        <v>4633301</v>
      </c>
      <c r="Q57" s="114" t="str">
        <f aca="false">IF($L57="Atrasado",$E57*10000+$A57,"")</f>
        <v/>
      </c>
    </row>
    <row r="58" customFormat="false" ht="15" hidden="false" customHeight="false" outlineLevel="0" collapsed="false">
      <c r="A58" s="114" t="n">
        <f aca="false">ROW()-4</f>
        <v>54</v>
      </c>
      <c r="B58" s="114" t="str">
        <f aca="false">IF(A58&lt;=Config!$E$27*Config!$E$28,"Tema","Avulso")</f>
        <v>Tema</v>
      </c>
      <c r="C58" s="114" t="n">
        <f aca="false">IF(B58="Tema",INT((A58-1)/Config!$E$28)+1,A58-Config!$E$27*Config!$E$28)</f>
        <v>9</v>
      </c>
      <c r="D58" s="114" t="n">
        <f aca="false">IF(B58="Tema",MOD(A58-1,Config!$E$28)+1,"")</f>
        <v>6</v>
      </c>
      <c r="E58" s="115" t="n">
        <f aca="false">IF($B58="Tema",IF(ISNUMBER(INDEX(Temas!$E$6:$P$305,$C58,2*$D58-1)),INDEX(Temas!$E$6:$P$305,$C58,2*$D58-1),""),IF(ISNUMBER(INDEX(Avulsos!$B$6:$B$205,$C58)),INDEX(Avulsos!$B$6:$B$205,$C58),""))</f>
        <v>46363</v>
      </c>
      <c r="F58" s="114" t="str">
        <f aca="false">IF($E58="","",IF($B58="Tema",INDEX(Temas!$B$6:$B$305,$C58)&amp;"",INDEX(Avulsos!$C$6:$C$205,$C58)&amp;""))</f>
        <v>Síndromes Febris — Dengue</v>
      </c>
      <c r="G58" s="114" t="str">
        <f aca="false">IF($E58="","",IF($B58="Tema",INDEX(Config!$C$6:$C$11,$D58),"Evento avulso"))</f>
        <v>5ª Revisão</v>
      </c>
      <c r="H58" s="114" t="str">
        <f aca="false">IF($E58="","",IF($B58="Tema",INDEX(Config!$D$6:$D$11,$D58),IFERROR(INDEX(Config!$E$15:$E$19,MATCH($I58,Config!$C$15:$C$19,0)),"•")))</f>
        <v>R5</v>
      </c>
      <c r="I58" s="114" t="str">
        <f aca="false">IF($E58="","",IF($B58="Tema",INDEX(Config!$E$6:$E$11,$D58),IF(INDEX(Avulsos!$D$6:$D$205,$C58)&amp;""="","Outro",INDEX(Avulsos!$D$6:$D$205,$C58))))</f>
        <v>Revisão</v>
      </c>
      <c r="J58" s="114" t="str">
        <f aca="false">IF($E58="","",IF($B58="Tema",INDEX(Temas!$C$6:$C$305,$C58)&amp;"",INDEX(Avulsos!$E$6:$E$205,$C58)&amp;""))</f>
        <v>Clínica Médica</v>
      </c>
      <c r="K58" s="114" t="str">
        <f aca="false">IF($E58="","",IF(IF($B58="Tema",INDEX(Temas!$E$6:$P$305,$C58,2*$D58),INDEX(Avulsos!$F$6:$F$205,$C58))&amp;""="","","✓"))</f>
        <v/>
      </c>
      <c r="L58" s="114" t="str">
        <f aca="true">IF($E58="","",IF($K58="✓","Concluído",IF($E58&lt;TODAY(),"Atrasado",IF($E58=TODAY(),"Hoje","Pendente"))))</f>
        <v>Pendente</v>
      </c>
      <c r="M58" s="114" t="str">
        <f aca="false">IF($E58="","",IF($K58="✓","✓ ","")&amp;IF(Config!$E$22="Sim",$H58&amp;" · ","")&amp;$F58)</f>
        <v>R5 · Síndromes Febris — Dengue</v>
      </c>
      <c r="N58" s="114" t="str">
        <f aca="false">IF($E58="","",IFERROR(INDEX(Config!$D$15:$D$19,MATCH($I58,Config!$C$15:$C$19,0)),"OUT")&amp;IF($K58="✓","x",""))</f>
        <v>REV</v>
      </c>
      <c r="O58" s="114" t="n">
        <f aca="false">IF($E58="","",COUNTIF($E$5:$E58,$E58))</f>
        <v>1</v>
      </c>
      <c r="P58" s="114" t="n">
        <f aca="false">IF($E58="","",$E58*100+$O58)</f>
        <v>4636301</v>
      </c>
      <c r="Q58" s="114" t="str">
        <f aca="false">IF($L58="Atrasado",$E58*10000+$A58,"")</f>
        <v/>
      </c>
    </row>
    <row r="59" customFormat="false" ht="15" hidden="false" customHeight="false" outlineLevel="0" collapsed="false">
      <c r="A59" s="114" t="n">
        <f aca="false">ROW()-4</f>
        <v>55</v>
      </c>
      <c r="B59" s="114" t="str">
        <f aca="false">IF(A59&lt;=Config!$E$27*Config!$E$28,"Tema","Avulso")</f>
        <v>Tema</v>
      </c>
      <c r="C59" s="114" t="n">
        <f aca="false">IF(B59="Tema",INT((A59-1)/Config!$E$28)+1,A59-Config!$E$27*Config!$E$28)</f>
        <v>10</v>
      </c>
      <c r="D59" s="114" t="n">
        <f aca="false">IF(B59="Tema",MOD(A59-1,Config!$E$28)+1,"")</f>
        <v>1</v>
      </c>
      <c r="E59" s="115" t="n">
        <f aca="false">IF($B59="Tema",IF(ISNUMBER(INDEX(Temas!$E$6:$P$305,$C59,2*$D59-1)),INDEX(Temas!$E$6:$P$305,$C59,2*$D59-1),""),IF(ISNUMBER(INDEX(Avulsos!$B$6:$B$205,$C59)),INDEX(Avulsos!$B$6:$B$205,$C59),""))</f>
        <v>46306</v>
      </c>
      <c r="F59" s="114" t="str">
        <f aca="false">IF($E59="","",IF($B59="Tema",INDEX(Temas!$B$6:$B$305,$C59)&amp;"",INDEX(Avulsos!$C$6:$C$205,$C59)&amp;""))</f>
        <v>Endocardite Infecciosa / Meningites</v>
      </c>
      <c r="G59" s="114" t="str">
        <f aca="false">IF($E59="","",IF($B59="Tema",INDEX(Config!$C$6:$C$11,$D59),"Evento avulso"))</f>
        <v>Aula teórica</v>
      </c>
      <c r="H59" s="114" t="str">
        <f aca="false">IF($E59="","",IF($B59="Tema",INDEX(Config!$D$6:$D$11,$D59),IFERROR(INDEX(Config!$E$15:$E$19,MATCH($I59,Config!$C$15:$C$19,0)),"•")))</f>
        <v>T</v>
      </c>
      <c r="I59" s="114" t="str">
        <f aca="false">IF($E59="","",IF($B59="Tema",INDEX(Config!$E$6:$E$11,$D59),IF(INDEX(Avulsos!$D$6:$D$205,$C59)&amp;""="","Outro",INDEX(Avulsos!$D$6:$D$205,$C59))))</f>
        <v>Teórica</v>
      </c>
      <c r="J59" s="114" t="str">
        <f aca="false">IF($E59="","",IF($B59="Tema",INDEX(Temas!$C$6:$C$305,$C59)&amp;"",INDEX(Avulsos!$E$6:$E$205,$C59)&amp;""))</f>
        <v>Clínica Médica</v>
      </c>
      <c r="K59" s="114" t="str">
        <f aca="false">IF($E59="","",IF(IF($B59="Tema",INDEX(Temas!$E$6:$P$305,$C59,2*$D59),INDEX(Avulsos!$F$6:$F$205,$C59))&amp;""="","","✓"))</f>
        <v/>
      </c>
      <c r="L59" s="114" t="str">
        <f aca="true">IF($E59="","",IF($K59="✓","Concluído",IF($E59&lt;TODAY(),"Atrasado",IF($E59=TODAY(),"Hoje","Pendente"))))</f>
        <v>Pendente</v>
      </c>
      <c r="M59" s="114" t="str">
        <f aca="false">IF($E59="","",IF($K59="✓","✓ ","")&amp;IF(Config!$E$22="Sim",$H59&amp;" · ","")&amp;$F59)</f>
        <v>T · Endocardite Infecciosa / Meningites</v>
      </c>
      <c r="N59" s="114" t="str">
        <f aca="false">IF($E59="","",IFERROR(INDEX(Config!$D$15:$D$19,MATCH($I59,Config!$C$15:$C$19,0)),"OUT")&amp;IF($K59="✓","x",""))</f>
        <v>TEO</v>
      </c>
      <c r="O59" s="114" t="n">
        <f aca="false">IF($E59="","",COUNTIF($E$5:$E59,$E59))</f>
        <v>1</v>
      </c>
      <c r="P59" s="114" t="n">
        <f aca="false">IF($E59="","",$E59*100+$O59)</f>
        <v>4630601</v>
      </c>
      <c r="Q59" s="114" t="str">
        <f aca="false">IF($L59="Atrasado",$E59*10000+$A59,"")</f>
        <v/>
      </c>
    </row>
    <row r="60" customFormat="false" ht="15" hidden="false" customHeight="false" outlineLevel="0" collapsed="false">
      <c r="A60" s="114" t="n">
        <f aca="false">ROW()-4</f>
        <v>56</v>
      </c>
      <c r="B60" s="114" t="str">
        <f aca="false">IF(A60&lt;=Config!$E$27*Config!$E$28,"Tema","Avulso")</f>
        <v>Tema</v>
      </c>
      <c r="C60" s="114" t="n">
        <f aca="false">IF(B60="Tema",INT((A60-1)/Config!$E$28)+1,A60-Config!$E$27*Config!$E$28)</f>
        <v>10</v>
      </c>
      <c r="D60" s="114" t="n">
        <f aca="false">IF(B60="Tema",MOD(A60-1,Config!$E$28)+1,"")</f>
        <v>2</v>
      </c>
      <c r="E60" s="115" t="n">
        <f aca="false">IF($B60="Tema",IF(ISNUMBER(INDEX(Temas!$E$6:$P$305,$C60,2*$D60-1)),INDEX(Temas!$E$6:$P$305,$C60,2*$D60-1),""),IF(ISNUMBER(INDEX(Avulsos!$B$6:$B$205,$C60)),INDEX(Avulsos!$B$6:$B$205,$C60),""))</f>
        <v>46307</v>
      </c>
      <c r="F60" s="114" t="str">
        <f aca="false">IF($E60="","",IF($B60="Tema",INDEX(Temas!$B$6:$B$305,$C60)&amp;"",INDEX(Avulsos!$C$6:$C$205,$C60)&amp;""))</f>
        <v>Endocardite Infecciosa / Meningites</v>
      </c>
      <c r="G60" s="114" t="str">
        <f aca="false">IF($E60="","",IF($B60="Tema",INDEX(Config!$C$6:$C$11,$D60),"Evento avulso"))</f>
        <v>1ª Revisão</v>
      </c>
      <c r="H60" s="114" t="str">
        <f aca="false">IF($E60="","",IF($B60="Tema",INDEX(Config!$D$6:$D$11,$D60),IFERROR(INDEX(Config!$E$15:$E$19,MATCH($I60,Config!$C$15:$C$19,0)),"•")))</f>
        <v>R1</v>
      </c>
      <c r="I60" s="114" t="str">
        <f aca="false">IF($E60="","",IF($B60="Tema",INDEX(Config!$E$6:$E$11,$D60),IF(INDEX(Avulsos!$D$6:$D$205,$C60)&amp;""="","Outro",INDEX(Avulsos!$D$6:$D$205,$C60))))</f>
        <v>Revisão</v>
      </c>
      <c r="J60" s="114" t="str">
        <f aca="false">IF($E60="","",IF($B60="Tema",INDEX(Temas!$C$6:$C$305,$C60)&amp;"",INDEX(Avulsos!$E$6:$E$205,$C60)&amp;""))</f>
        <v>Clínica Médica</v>
      </c>
      <c r="K60" s="114" t="str">
        <f aca="false">IF($E60="","",IF(IF($B60="Tema",INDEX(Temas!$E$6:$P$305,$C60,2*$D60),INDEX(Avulsos!$F$6:$F$205,$C60))&amp;""="","","✓"))</f>
        <v/>
      </c>
      <c r="L60" s="114" t="str">
        <f aca="true">IF($E60="","",IF($K60="✓","Concluído",IF($E60&lt;TODAY(),"Atrasado",IF($E60=TODAY(),"Hoje","Pendente"))))</f>
        <v>Pendente</v>
      </c>
      <c r="M60" s="114" t="str">
        <f aca="false">IF($E60="","",IF($K60="✓","✓ ","")&amp;IF(Config!$E$22="Sim",$H60&amp;" · ","")&amp;$F60)</f>
        <v>R1 · Endocardite Infecciosa / Meningites</v>
      </c>
      <c r="N60" s="114" t="str">
        <f aca="false">IF($E60="","",IFERROR(INDEX(Config!$D$15:$D$19,MATCH($I60,Config!$C$15:$C$19,0)),"OUT")&amp;IF($K60="✓","x",""))</f>
        <v>REV</v>
      </c>
      <c r="O60" s="114" t="n">
        <f aca="false">IF($E60="","",COUNTIF($E$5:$E60,$E60))</f>
        <v>5</v>
      </c>
      <c r="P60" s="114" t="n">
        <f aca="false">IF($E60="","",$E60*100+$O60)</f>
        <v>4630705</v>
      </c>
      <c r="Q60" s="114" t="str">
        <f aca="false">IF($L60="Atrasado",$E60*10000+$A60,"")</f>
        <v/>
      </c>
    </row>
    <row r="61" customFormat="false" ht="15" hidden="false" customHeight="false" outlineLevel="0" collapsed="false">
      <c r="A61" s="114" t="n">
        <f aca="false">ROW()-4</f>
        <v>57</v>
      </c>
      <c r="B61" s="114" t="str">
        <f aca="false">IF(A61&lt;=Config!$E$27*Config!$E$28,"Tema","Avulso")</f>
        <v>Tema</v>
      </c>
      <c r="C61" s="114" t="n">
        <f aca="false">IF(B61="Tema",INT((A61-1)/Config!$E$28)+1,A61-Config!$E$27*Config!$E$28)</f>
        <v>10</v>
      </c>
      <c r="D61" s="114" t="n">
        <f aca="false">IF(B61="Tema",MOD(A61-1,Config!$E$28)+1,"")</f>
        <v>3</v>
      </c>
      <c r="E61" s="115" t="n">
        <f aca="false">IF($B61="Tema",IF(ISNUMBER(INDEX(Temas!$E$6:$P$305,$C61,2*$D61-1)),INDEX(Temas!$E$6:$P$305,$C61,2*$D61-1),""),IF(ISNUMBER(INDEX(Avulsos!$B$6:$B$205,$C61)),INDEX(Avulsos!$B$6:$B$205,$C61),""))</f>
        <v>46313</v>
      </c>
      <c r="F61" s="114" t="str">
        <f aca="false">IF($E61="","",IF($B61="Tema",INDEX(Temas!$B$6:$B$305,$C61)&amp;"",INDEX(Avulsos!$C$6:$C$205,$C61)&amp;""))</f>
        <v>Endocardite Infecciosa / Meningites</v>
      </c>
      <c r="G61" s="114" t="str">
        <f aca="false">IF($E61="","",IF($B61="Tema",INDEX(Config!$C$6:$C$11,$D61),"Evento avulso"))</f>
        <v>2ª Revisão</v>
      </c>
      <c r="H61" s="114" t="str">
        <f aca="false">IF($E61="","",IF($B61="Tema",INDEX(Config!$D$6:$D$11,$D61),IFERROR(INDEX(Config!$E$15:$E$19,MATCH($I61,Config!$C$15:$C$19,0)),"•")))</f>
        <v>R2</v>
      </c>
      <c r="I61" s="114" t="str">
        <f aca="false">IF($E61="","",IF($B61="Tema",INDEX(Config!$E$6:$E$11,$D61),IF(INDEX(Avulsos!$D$6:$D$205,$C61)&amp;""="","Outro",INDEX(Avulsos!$D$6:$D$205,$C61))))</f>
        <v>Prática</v>
      </c>
      <c r="J61" s="114" t="str">
        <f aca="false">IF($E61="","",IF($B61="Tema",INDEX(Temas!$C$6:$C$305,$C61)&amp;"",INDEX(Avulsos!$E$6:$E$205,$C61)&amp;""))</f>
        <v>Clínica Médica</v>
      </c>
      <c r="K61" s="114" t="str">
        <f aca="false">IF($E61="","",IF(IF($B61="Tema",INDEX(Temas!$E$6:$P$305,$C61,2*$D61),INDEX(Avulsos!$F$6:$F$205,$C61))&amp;""="","","✓"))</f>
        <v/>
      </c>
      <c r="L61" s="114" t="str">
        <f aca="true">IF($E61="","",IF($K61="✓","Concluído",IF($E61&lt;TODAY(),"Atrasado",IF($E61=TODAY(),"Hoje","Pendente"))))</f>
        <v>Pendente</v>
      </c>
      <c r="M61" s="114" t="str">
        <f aca="false">IF($E61="","",IF($K61="✓","✓ ","")&amp;IF(Config!$E$22="Sim",$H61&amp;" · ","")&amp;$F61)</f>
        <v>R2 · Endocardite Infecciosa / Meningites</v>
      </c>
      <c r="N61" s="114" t="str">
        <f aca="false">IF($E61="","",IFERROR(INDEX(Config!$D$15:$D$19,MATCH($I61,Config!$C$15:$C$19,0)),"OUT")&amp;IF($K61="✓","x",""))</f>
        <v>PRA</v>
      </c>
      <c r="O61" s="114" t="n">
        <f aca="false">IF($E61="","",COUNTIF($E$5:$E61,$E61))</f>
        <v>1</v>
      </c>
      <c r="P61" s="114" t="n">
        <f aca="false">IF($E61="","",$E61*100+$O61)</f>
        <v>4631301</v>
      </c>
      <c r="Q61" s="114" t="str">
        <f aca="false">IF($L61="Atrasado",$E61*10000+$A61,"")</f>
        <v/>
      </c>
    </row>
    <row r="62" customFormat="false" ht="15" hidden="false" customHeight="false" outlineLevel="0" collapsed="false">
      <c r="A62" s="114" t="n">
        <f aca="false">ROW()-4</f>
        <v>58</v>
      </c>
      <c r="B62" s="114" t="str">
        <f aca="false">IF(A62&lt;=Config!$E$27*Config!$E$28,"Tema","Avulso")</f>
        <v>Tema</v>
      </c>
      <c r="C62" s="114" t="n">
        <f aca="false">IF(B62="Tema",INT((A62-1)/Config!$E$28)+1,A62-Config!$E$27*Config!$E$28)</f>
        <v>10</v>
      </c>
      <c r="D62" s="114" t="n">
        <f aca="false">IF(B62="Tema",MOD(A62-1,Config!$E$28)+1,"")</f>
        <v>4</v>
      </c>
      <c r="E62" s="115" t="n">
        <f aca="false">IF($B62="Tema",IF(ISNUMBER(INDEX(Temas!$E$6:$P$305,$C62,2*$D62-1)),INDEX(Temas!$E$6:$P$305,$C62,2*$D62-1),""),IF(ISNUMBER(INDEX(Avulsos!$B$6:$B$205,$C62)),INDEX(Avulsos!$B$6:$B$205,$C62),""))</f>
        <v>46321</v>
      </c>
      <c r="F62" s="114" t="str">
        <f aca="false">IF($E62="","",IF($B62="Tema",INDEX(Temas!$B$6:$B$305,$C62)&amp;"",INDEX(Avulsos!$C$6:$C$205,$C62)&amp;""))</f>
        <v>Endocardite Infecciosa / Meningites</v>
      </c>
      <c r="G62" s="114" t="str">
        <f aca="false">IF($E62="","",IF($B62="Tema",INDEX(Config!$C$6:$C$11,$D62),"Evento avulso"))</f>
        <v>3ª Revisão</v>
      </c>
      <c r="H62" s="114" t="str">
        <f aca="false">IF($E62="","",IF($B62="Tema",INDEX(Config!$D$6:$D$11,$D62),IFERROR(INDEX(Config!$E$15:$E$19,MATCH($I62,Config!$C$15:$C$19,0)),"•")))</f>
        <v>R3</v>
      </c>
      <c r="I62" s="114" t="str">
        <f aca="false">IF($E62="","",IF($B62="Tema",INDEX(Config!$E$6:$E$11,$D62),IF(INDEX(Avulsos!$D$6:$D$205,$C62)&amp;""="","Outro",INDEX(Avulsos!$D$6:$D$205,$C62))))</f>
        <v>Prática</v>
      </c>
      <c r="J62" s="114" t="str">
        <f aca="false">IF($E62="","",IF($B62="Tema",INDEX(Temas!$C$6:$C$305,$C62)&amp;"",INDEX(Avulsos!$E$6:$E$205,$C62)&amp;""))</f>
        <v>Clínica Médica</v>
      </c>
      <c r="K62" s="114" t="str">
        <f aca="false">IF($E62="","",IF(IF($B62="Tema",INDEX(Temas!$E$6:$P$305,$C62,2*$D62),INDEX(Avulsos!$F$6:$F$205,$C62))&amp;""="","","✓"))</f>
        <v/>
      </c>
      <c r="L62" s="114" t="str">
        <f aca="true">IF($E62="","",IF($K62="✓","Concluído",IF($E62&lt;TODAY(),"Atrasado",IF($E62=TODAY(),"Hoje","Pendente"))))</f>
        <v>Pendente</v>
      </c>
      <c r="M62" s="114" t="str">
        <f aca="false">IF($E62="","",IF($K62="✓","✓ ","")&amp;IF(Config!$E$22="Sim",$H62&amp;" · ","")&amp;$F62)</f>
        <v>R3 · Endocardite Infecciosa / Meningites</v>
      </c>
      <c r="N62" s="114" t="str">
        <f aca="false">IF($E62="","",IFERROR(INDEX(Config!$D$15:$D$19,MATCH($I62,Config!$C$15:$C$19,0)),"OUT")&amp;IF($K62="✓","x",""))</f>
        <v>PRA</v>
      </c>
      <c r="O62" s="114" t="n">
        <f aca="false">IF($E62="","",COUNTIF($E$5:$E62,$E62))</f>
        <v>1</v>
      </c>
      <c r="P62" s="114" t="n">
        <f aca="false">IF($E62="","",$E62*100+$O62)</f>
        <v>4632101</v>
      </c>
      <c r="Q62" s="114" t="str">
        <f aca="false">IF($L62="Atrasado",$E62*10000+$A62,"")</f>
        <v/>
      </c>
    </row>
    <row r="63" customFormat="false" ht="15" hidden="false" customHeight="false" outlineLevel="0" collapsed="false">
      <c r="A63" s="114" t="n">
        <f aca="false">ROW()-4</f>
        <v>59</v>
      </c>
      <c r="B63" s="114" t="str">
        <f aca="false">IF(A63&lt;=Config!$E$27*Config!$E$28,"Tema","Avulso")</f>
        <v>Tema</v>
      </c>
      <c r="C63" s="114" t="n">
        <f aca="false">IF(B63="Tema",INT((A63-1)/Config!$E$28)+1,A63-Config!$E$27*Config!$E$28)</f>
        <v>10</v>
      </c>
      <c r="D63" s="114" t="n">
        <f aca="false">IF(B63="Tema",MOD(A63-1,Config!$E$28)+1,"")</f>
        <v>5</v>
      </c>
      <c r="E63" s="115" t="n">
        <f aca="false">IF($B63="Tema",IF(ISNUMBER(INDEX(Temas!$E$6:$P$305,$C63,2*$D63-1)),INDEX(Temas!$E$6:$P$305,$C63,2*$D63-1),""),IF(ISNUMBER(INDEX(Avulsos!$B$6:$B$205,$C63)),INDEX(Avulsos!$B$6:$B$205,$C63),""))</f>
        <v>46336</v>
      </c>
      <c r="F63" s="114" t="str">
        <f aca="false">IF($E63="","",IF($B63="Tema",INDEX(Temas!$B$6:$B$305,$C63)&amp;"",INDEX(Avulsos!$C$6:$C$205,$C63)&amp;""))</f>
        <v>Endocardite Infecciosa / Meningites</v>
      </c>
      <c r="G63" s="114" t="str">
        <f aca="false">IF($E63="","",IF($B63="Tema",INDEX(Config!$C$6:$C$11,$D63),"Evento avulso"))</f>
        <v>4ª Revisão</v>
      </c>
      <c r="H63" s="114" t="str">
        <f aca="false">IF($E63="","",IF($B63="Tema",INDEX(Config!$D$6:$D$11,$D63),IFERROR(INDEX(Config!$E$15:$E$19,MATCH($I63,Config!$C$15:$C$19,0)),"•")))</f>
        <v>R4</v>
      </c>
      <c r="I63" s="114" t="str">
        <f aca="false">IF($E63="","",IF($B63="Tema",INDEX(Config!$E$6:$E$11,$D63),IF(INDEX(Avulsos!$D$6:$D$205,$C63)&amp;""="","Outro",INDEX(Avulsos!$D$6:$D$205,$C63))))</f>
        <v>Prática</v>
      </c>
      <c r="J63" s="114" t="str">
        <f aca="false">IF($E63="","",IF($B63="Tema",INDEX(Temas!$C$6:$C$305,$C63)&amp;"",INDEX(Avulsos!$E$6:$E$205,$C63)&amp;""))</f>
        <v>Clínica Médica</v>
      </c>
      <c r="K63" s="114" t="str">
        <f aca="false">IF($E63="","",IF(IF($B63="Tema",INDEX(Temas!$E$6:$P$305,$C63,2*$D63),INDEX(Avulsos!$F$6:$F$205,$C63))&amp;""="","","✓"))</f>
        <v/>
      </c>
      <c r="L63" s="114" t="str">
        <f aca="true">IF($E63="","",IF($K63="✓","Concluído",IF($E63&lt;TODAY(),"Atrasado",IF($E63=TODAY(),"Hoje","Pendente"))))</f>
        <v>Pendente</v>
      </c>
      <c r="M63" s="114" t="str">
        <f aca="false">IF($E63="","",IF($K63="✓","✓ ","")&amp;IF(Config!$E$22="Sim",$H63&amp;" · ","")&amp;$F63)</f>
        <v>R4 · Endocardite Infecciosa / Meningites</v>
      </c>
      <c r="N63" s="114" t="str">
        <f aca="false">IF($E63="","",IFERROR(INDEX(Config!$D$15:$D$19,MATCH($I63,Config!$C$15:$C$19,0)),"OUT")&amp;IF($K63="✓","x",""))</f>
        <v>PRA</v>
      </c>
      <c r="O63" s="114" t="n">
        <f aca="false">IF($E63="","",COUNTIF($E$5:$E63,$E63))</f>
        <v>1</v>
      </c>
      <c r="P63" s="114" t="n">
        <f aca="false">IF($E63="","",$E63*100+$O63)</f>
        <v>4633601</v>
      </c>
      <c r="Q63" s="114" t="str">
        <f aca="false">IF($L63="Atrasado",$E63*10000+$A63,"")</f>
        <v/>
      </c>
    </row>
    <row r="64" customFormat="false" ht="15" hidden="false" customHeight="false" outlineLevel="0" collapsed="false">
      <c r="A64" s="114" t="n">
        <f aca="false">ROW()-4</f>
        <v>60</v>
      </c>
      <c r="B64" s="114" t="str">
        <f aca="false">IF(A64&lt;=Config!$E$27*Config!$E$28,"Tema","Avulso")</f>
        <v>Tema</v>
      </c>
      <c r="C64" s="114" t="n">
        <f aca="false">IF(B64="Tema",INT((A64-1)/Config!$E$28)+1,A64-Config!$E$27*Config!$E$28)</f>
        <v>10</v>
      </c>
      <c r="D64" s="114" t="n">
        <f aca="false">IF(B64="Tema",MOD(A64-1,Config!$E$28)+1,"")</f>
        <v>6</v>
      </c>
      <c r="E64" s="115" t="n">
        <f aca="false">IF($B64="Tema",IF(ISNUMBER(INDEX(Temas!$E$6:$P$305,$C64,2*$D64-1)),INDEX(Temas!$E$6:$P$305,$C64,2*$D64-1),""),IF(ISNUMBER(INDEX(Avulsos!$B$6:$B$205,$C64)),INDEX(Avulsos!$B$6:$B$205,$C64),""))</f>
        <v>46366</v>
      </c>
      <c r="F64" s="114" t="str">
        <f aca="false">IF($E64="","",IF($B64="Tema",INDEX(Temas!$B$6:$B$305,$C64)&amp;"",INDEX(Avulsos!$C$6:$C$205,$C64)&amp;""))</f>
        <v>Endocardite Infecciosa / Meningites</v>
      </c>
      <c r="G64" s="114" t="str">
        <f aca="false">IF($E64="","",IF($B64="Tema",INDEX(Config!$C$6:$C$11,$D64),"Evento avulso"))</f>
        <v>5ª Revisão</v>
      </c>
      <c r="H64" s="114" t="str">
        <f aca="false">IF($E64="","",IF($B64="Tema",INDEX(Config!$D$6:$D$11,$D64),IFERROR(INDEX(Config!$E$15:$E$19,MATCH($I64,Config!$C$15:$C$19,0)),"•")))</f>
        <v>R5</v>
      </c>
      <c r="I64" s="114" t="str">
        <f aca="false">IF($E64="","",IF($B64="Tema",INDEX(Config!$E$6:$E$11,$D64),IF(INDEX(Avulsos!$D$6:$D$205,$C64)&amp;""="","Outro",INDEX(Avulsos!$D$6:$D$205,$C64))))</f>
        <v>Revisão</v>
      </c>
      <c r="J64" s="114" t="str">
        <f aca="false">IF($E64="","",IF($B64="Tema",INDEX(Temas!$C$6:$C$305,$C64)&amp;"",INDEX(Avulsos!$E$6:$E$205,$C64)&amp;""))</f>
        <v>Clínica Médica</v>
      </c>
      <c r="K64" s="114" t="str">
        <f aca="false">IF($E64="","",IF(IF($B64="Tema",INDEX(Temas!$E$6:$P$305,$C64,2*$D64),INDEX(Avulsos!$F$6:$F$205,$C64))&amp;""="","","✓"))</f>
        <v/>
      </c>
      <c r="L64" s="114" t="str">
        <f aca="true">IF($E64="","",IF($K64="✓","Concluído",IF($E64&lt;TODAY(),"Atrasado",IF($E64=TODAY(),"Hoje","Pendente"))))</f>
        <v>Pendente</v>
      </c>
      <c r="M64" s="114" t="str">
        <f aca="false">IF($E64="","",IF($K64="✓","✓ ","")&amp;IF(Config!$E$22="Sim",$H64&amp;" · ","")&amp;$F64)</f>
        <v>R5 · Endocardite Infecciosa / Meningites</v>
      </c>
      <c r="N64" s="114" t="str">
        <f aca="false">IF($E64="","",IFERROR(INDEX(Config!$D$15:$D$19,MATCH($I64,Config!$C$15:$C$19,0)),"OUT")&amp;IF($K64="✓","x",""))</f>
        <v>REV</v>
      </c>
      <c r="O64" s="114" t="n">
        <f aca="false">IF($E64="","",COUNTIF($E$5:$E64,$E64))</f>
        <v>1</v>
      </c>
      <c r="P64" s="114" t="n">
        <f aca="false">IF($E64="","",$E64*100+$O64)</f>
        <v>4636601</v>
      </c>
      <c r="Q64" s="114" t="str">
        <f aca="false">IF($L64="Atrasado",$E64*10000+$A64,"")</f>
        <v/>
      </c>
    </row>
    <row r="65" customFormat="false" ht="15" hidden="false" customHeight="false" outlineLevel="0" collapsed="false">
      <c r="A65" s="114" t="n">
        <f aca="false">ROW()-4</f>
        <v>61</v>
      </c>
      <c r="B65" s="114" t="str">
        <f aca="false">IF(A65&lt;=Config!$E$27*Config!$E$28,"Tema","Avulso")</f>
        <v>Tema</v>
      </c>
      <c r="C65" s="114" t="n">
        <f aca="false">IF(B65="Tema",INT((A65-1)/Config!$E$28)+1,A65-Config!$E$27*Config!$E$28)</f>
        <v>11</v>
      </c>
      <c r="D65" s="114" t="n">
        <f aca="false">IF(B65="Tema",MOD(A65-1,Config!$E$28)+1,"")</f>
        <v>1</v>
      </c>
      <c r="E65" s="115" t="n">
        <f aca="false">IF($B65="Tema",IF(ISNUMBER(INDEX(Temas!$E$6:$P$305,$C65,2*$D65-1)),INDEX(Temas!$E$6:$P$305,$C65,2*$D65-1),""),IF(ISNUMBER(INDEX(Avulsos!$B$6:$B$205,$C65)),INDEX(Avulsos!$B$6:$B$205,$C65),""))</f>
        <v>46307</v>
      </c>
      <c r="F65" s="114" t="str">
        <f aca="false">IF($E65="","",IF($B65="Tema",INDEX(Temas!$B$6:$B$305,$C65)&amp;"",INDEX(Avulsos!$C$6:$C$205,$C65)&amp;""))</f>
        <v>Especialidade Cirúrgica I</v>
      </c>
      <c r="G65" s="114" t="str">
        <f aca="false">IF($E65="","",IF($B65="Tema",INDEX(Config!$C$6:$C$11,$D65),"Evento avulso"))</f>
        <v>Aula teórica</v>
      </c>
      <c r="H65" s="114" t="str">
        <f aca="false">IF($E65="","",IF($B65="Tema",INDEX(Config!$D$6:$D$11,$D65),IFERROR(INDEX(Config!$E$15:$E$19,MATCH($I65,Config!$C$15:$C$19,0)),"•")))</f>
        <v>T</v>
      </c>
      <c r="I65" s="114" t="str">
        <f aca="false">IF($E65="","",IF($B65="Tema",INDEX(Config!$E$6:$E$11,$D65),IF(INDEX(Avulsos!$D$6:$D$205,$C65)&amp;""="","Outro",INDEX(Avulsos!$D$6:$D$205,$C65))))</f>
        <v>Teórica</v>
      </c>
      <c r="J65" s="114" t="str">
        <f aca="false">IF($E65="","",IF($B65="Tema",INDEX(Temas!$C$6:$C$305,$C65)&amp;"",INDEX(Avulsos!$E$6:$E$205,$C65)&amp;""))</f>
        <v>Cirurgia</v>
      </c>
      <c r="K65" s="114" t="str">
        <f aca="false">IF($E65="","",IF(IF($B65="Tema",INDEX(Temas!$E$6:$P$305,$C65,2*$D65),INDEX(Avulsos!$F$6:$F$205,$C65))&amp;""="","","✓"))</f>
        <v/>
      </c>
      <c r="L65" s="114" t="str">
        <f aca="true">IF($E65="","",IF($K65="✓","Concluído",IF($E65&lt;TODAY(),"Atrasado",IF($E65=TODAY(),"Hoje","Pendente"))))</f>
        <v>Pendente</v>
      </c>
      <c r="M65" s="114" t="str">
        <f aca="false">IF($E65="","",IF($K65="✓","✓ ","")&amp;IF(Config!$E$22="Sim",$H65&amp;" · ","")&amp;$F65)</f>
        <v>T · Especialidade Cirúrgica I</v>
      </c>
      <c r="N65" s="114" t="str">
        <f aca="false">IF($E65="","",IFERROR(INDEX(Config!$D$15:$D$19,MATCH($I65,Config!$C$15:$C$19,0)),"OUT")&amp;IF($K65="✓","x",""))</f>
        <v>TEO</v>
      </c>
      <c r="O65" s="114" t="n">
        <f aca="false">IF($E65="","",COUNTIF($E$5:$E65,$E65))</f>
        <v>6</v>
      </c>
      <c r="P65" s="114" t="n">
        <f aca="false">IF($E65="","",$E65*100+$O65)</f>
        <v>4630706</v>
      </c>
      <c r="Q65" s="114" t="str">
        <f aca="false">IF($L65="Atrasado",$E65*10000+$A65,"")</f>
        <v/>
      </c>
    </row>
    <row r="66" customFormat="false" ht="15" hidden="false" customHeight="false" outlineLevel="0" collapsed="false">
      <c r="A66" s="114" t="n">
        <f aca="false">ROW()-4</f>
        <v>62</v>
      </c>
      <c r="B66" s="114" t="str">
        <f aca="false">IF(A66&lt;=Config!$E$27*Config!$E$28,"Tema","Avulso")</f>
        <v>Tema</v>
      </c>
      <c r="C66" s="114" t="n">
        <f aca="false">IF(B66="Tema",INT((A66-1)/Config!$E$28)+1,A66-Config!$E$27*Config!$E$28)</f>
        <v>11</v>
      </c>
      <c r="D66" s="114" t="n">
        <f aca="false">IF(B66="Tema",MOD(A66-1,Config!$E$28)+1,"")</f>
        <v>2</v>
      </c>
      <c r="E66" s="115" t="n">
        <f aca="false">IF($B66="Tema",IF(ISNUMBER(INDEX(Temas!$E$6:$P$305,$C66,2*$D66-1)),INDEX(Temas!$E$6:$P$305,$C66,2*$D66-1),""),IF(ISNUMBER(INDEX(Avulsos!$B$6:$B$205,$C66)),INDEX(Avulsos!$B$6:$B$205,$C66),""))</f>
        <v>46308</v>
      </c>
      <c r="F66" s="114" t="str">
        <f aca="false">IF($E66="","",IF($B66="Tema",INDEX(Temas!$B$6:$B$305,$C66)&amp;"",INDEX(Avulsos!$C$6:$C$205,$C66)&amp;""))</f>
        <v>Especialidade Cirúrgica I</v>
      </c>
      <c r="G66" s="114" t="str">
        <f aca="false">IF($E66="","",IF($B66="Tema",INDEX(Config!$C$6:$C$11,$D66),"Evento avulso"))</f>
        <v>1ª Revisão</v>
      </c>
      <c r="H66" s="114" t="str">
        <f aca="false">IF($E66="","",IF($B66="Tema",INDEX(Config!$D$6:$D$11,$D66),IFERROR(INDEX(Config!$E$15:$E$19,MATCH($I66,Config!$C$15:$C$19,0)),"•")))</f>
        <v>R1</v>
      </c>
      <c r="I66" s="114" t="str">
        <f aca="false">IF($E66="","",IF($B66="Tema",INDEX(Config!$E$6:$E$11,$D66),IF(INDEX(Avulsos!$D$6:$D$205,$C66)&amp;""="","Outro",INDEX(Avulsos!$D$6:$D$205,$C66))))</f>
        <v>Revisão</v>
      </c>
      <c r="J66" s="114" t="str">
        <f aca="false">IF($E66="","",IF($B66="Tema",INDEX(Temas!$C$6:$C$305,$C66)&amp;"",INDEX(Avulsos!$E$6:$E$205,$C66)&amp;""))</f>
        <v>Cirurgia</v>
      </c>
      <c r="K66" s="114" t="str">
        <f aca="false">IF($E66="","",IF(IF($B66="Tema",INDEX(Temas!$E$6:$P$305,$C66,2*$D66),INDEX(Avulsos!$F$6:$F$205,$C66))&amp;""="","","✓"))</f>
        <v/>
      </c>
      <c r="L66" s="114" t="str">
        <f aca="true">IF($E66="","",IF($K66="✓","Concluído",IF($E66&lt;TODAY(),"Atrasado",IF($E66=TODAY(),"Hoje","Pendente"))))</f>
        <v>Pendente</v>
      </c>
      <c r="M66" s="114" t="str">
        <f aca="false">IF($E66="","",IF($K66="✓","✓ ","")&amp;IF(Config!$E$22="Sim",$H66&amp;" · ","")&amp;$F66)</f>
        <v>R1 · Especialidade Cirúrgica I</v>
      </c>
      <c r="N66" s="114" t="str">
        <f aca="false">IF($E66="","",IFERROR(INDEX(Config!$D$15:$D$19,MATCH($I66,Config!$C$15:$C$19,0)),"OUT")&amp;IF($K66="✓","x",""))</f>
        <v>REV</v>
      </c>
      <c r="O66" s="114" t="n">
        <f aca="false">IF($E66="","",COUNTIF($E$5:$E66,$E66))</f>
        <v>4</v>
      </c>
      <c r="P66" s="114" t="n">
        <f aca="false">IF($E66="","",$E66*100+$O66)</f>
        <v>4630804</v>
      </c>
      <c r="Q66" s="114" t="str">
        <f aca="false">IF($L66="Atrasado",$E66*10000+$A66,"")</f>
        <v/>
      </c>
    </row>
    <row r="67" customFormat="false" ht="15" hidden="false" customHeight="false" outlineLevel="0" collapsed="false">
      <c r="A67" s="114" t="n">
        <f aca="false">ROW()-4</f>
        <v>63</v>
      </c>
      <c r="B67" s="114" t="str">
        <f aca="false">IF(A67&lt;=Config!$E$27*Config!$E$28,"Tema","Avulso")</f>
        <v>Tema</v>
      </c>
      <c r="C67" s="114" t="n">
        <f aca="false">IF(B67="Tema",INT((A67-1)/Config!$E$28)+1,A67-Config!$E$27*Config!$E$28)</f>
        <v>11</v>
      </c>
      <c r="D67" s="114" t="n">
        <f aca="false">IF(B67="Tema",MOD(A67-1,Config!$E$28)+1,"")</f>
        <v>3</v>
      </c>
      <c r="E67" s="115" t="n">
        <f aca="false">IF($B67="Tema",IF(ISNUMBER(INDEX(Temas!$E$6:$P$305,$C67,2*$D67-1)),INDEX(Temas!$E$6:$P$305,$C67,2*$D67-1),""),IF(ISNUMBER(INDEX(Avulsos!$B$6:$B$205,$C67)),INDEX(Avulsos!$B$6:$B$205,$C67),""))</f>
        <v>46314</v>
      </c>
      <c r="F67" s="114" t="str">
        <f aca="false">IF($E67="","",IF($B67="Tema",INDEX(Temas!$B$6:$B$305,$C67)&amp;"",INDEX(Avulsos!$C$6:$C$205,$C67)&amp;""))</f>
        <v>Especialidade Cirúrgica I</v>
      </c>
      <c r="G67" s="114" t="str">
        <f aca="false">IF($E67="","",IF($B67="Tema",INDEX(Config!$C$6:$C$11,$D67),"Evento avulso"))</f>
        <v>2ª Revisão</v>
      </c>
      <c r="H67" s="114" t="str">
        <f aca="false">IF($E67="","",IF($B67="Tema",INDEX(Config!$D$6:$D$11,$D67),IFERROR(INDEX(Config!$E$15:$E$19,MATCH($I67,Config!$C$15:$C$19,0)),"•")))</f>
        <v>R2</v>
      </c>
      <c r="I67" s="114" t="str">
        <f aca="false">IF($E67="","",IF($B67="Tema",INDEX(Config!$E$6:$E$11,$D67),IF(INDEX(Avulsos!$D$6:$D$205,$C67)&amp;""="","Outro",INDEX(Avulsos!$D$6:$D$205,$C67))))</f>
        <v>Prática</v>
      </c>
      <c r="J67" s="114" t="str">
        <f aca="false">IF($E67="","",IF($B67="Tema",INDEX(Temas!$C$6:$C$305,$C67)&amp;"",INDEX(Avulsos!$E$6:$E$205,$C67)&amp;""))</f>
        <v>Cirurgia</v>
      </c>
      <c r="K67" s="114" t="str">
        <f aca="false">IF($E67="","",IF(IF($B67="Tema",INDEX(Temas!$E$6:$P$305,$C67,2*$D67),INDEX(Avulsos!$F$6:$F$205,$C67))&amp;""="","","✓"))</f>
        <v/>
      </c>
      <c r="L67" s="114" t="str">
        <f aca="true">IF($E67="","",IF($K67="✓","Concluído",IF($E67&lt;TODAY(),"Atrasado",IF($E67=TODAY(),"Hoje","Pendente"))))</f>
        <v>Pendente</v>
      </c>
      <c r="M67" s="114" t="str">
        <f aca="false">IF($E67="","",IF($K67="✓","✓ ","")&amp;IF(Config!$E$22="Sim",$H67&amp;" · ","")&amp;$F67)</f>
        <v>R2 · Especialidade Cirúrgica I</v>
      </c>
      <c r="N67" s="114" t="str">
        <f aca="false">IF($E67="","",IFERROR(INDEX(Config!$D$15:$D$19,MATCH($I67,Config!$C$15:$C$19,0)),"OUT")&amp;IF($K67="✓","x",""))</f>
        <v>PRA</v>
      </c>
      <c r="O67" s="114" t="n">
        <f aca="false">IF($E67="","",COUNTIF($E$5:$E67,$E67))</f>
        <v>1</v>
      </c>
      <c r="P67" s="114" t="n">
        <f aca="false">IF($E67="","",$E67*100+$O67)</f>
        <v>4631401</v>
      </c>
      <c r="Q67" s="114" t="str">
        <f aca="false">IF($L67="Atrasado",$E67*10000+$A67,"")</f>
        <v/>
      </c>
    </row>
    <row r="68" customFormat="false" ht="15" hidden="false" customHeight="false" outlineLevel="0" collapsed="false">
      <c r="A68" s="114" t="n">
        <f aca="false">ROW()-4</f>
        <v>64</v>
      </c>
      <c r="B68" s="114" t="str">
        <f aca="false">IF(A68&lt;=Config!$E$27*Config!$E$28,"Tema","Avulso")</f>
        <v>Tema</v>
      </c>
      <c r="C68" s="114" t="n">
        <f aca="false">IF(B68="Tema",INT((A68-1)/Config!$E$28)+1,A68-Config!$E$27*Config!$E$28)</f>
        <v>11</v>
      </c>
      <c r="D68" s="114" t="n">
        <f aca="false">IF(B68="Tema",MOD(A68-1,Config!$E$28)+1,"")</f>
        <v>4</v>
      </c>
      <c r="E68" s="115" t="n">
        <f aca="false">IF($B68="Tema",IF(ISNUMBER(INDEX(Temas!$E$6:$P$305,$C68,2*$D68-1)),INDEX(Temas!$E$6:$P$305,$C68,2*$D68-1),""),IF(ISNUMBER(INDEX(Avulsos!$B$6:$B$205,$C68)),INDEX(Avulsos!$B$6:$B$205,$C68),""))</f>
        <v>46322</v>
      </c>
      <c r="F68" s="114" t="str">
        <f aca="false">IF($E68="","",IF($B68="Tema",INDEX(Temas!$B$6:$B$305,$C68)&amp;"",INDEX(Avulsos!$C$6:$C$205,$C68)&amp;""))</f>
        <v>Especialidade Cirúrgica I</v>
      </c>
      <c r="G68" s="114" t="str">
        <f aca="false">IF($E68="","",IF($B68="Tema",INDEX(Config!$C$6:$C$11,$D68),"Evento avulso"))</f>
        <v>3ª Revisão</v>
      </c>
      <c r="H68" s="114" t="str">
        <f aca="false">IF($E68="","",IF($B68="Tema",INDEX(Config!$D$6:$D$11,$D68),IFERROR(INDEX(Config!$E$15:$E$19,MATCH($I68,Config!$C$15:$C$19,0)),"•")))</f>
        <v>R3</v>
      </c>
      <c r="I68" s="114" t="str">
        <f aca="false">IF($E68="","",IF($B68="Tema",INDEX(Config!$E$6:$E$11,$D68),IF(INDEX(Avulsos!$D$6:$D$205,$C68)&amp;""="","Outro",INDEX(Avulsos!$D$6:$D$205,$C68))))</f>
        <v>Prática</v>
      </c>
      <c r="J68" s="114" t="str">
        <f aca="false">IF($E68="","",IF($B68="Tema",INDEX(Temas!$C$6:$C$305,$C68)&amp;"",INDEX(Avulsos!$E$6:$E$205,$C68)&amp;""))</f>
        <v>Cirurgia</v>
      </c>
      <c r="K68" s="114" t="str">
        <f aca="false">IF($E68="","",IF(IF($B68="Tema",INDEX(Temas!$E$6:$P$305,$C68,2*$D68),INDEX(Avulsos!$F$6:$F$205,$C68))&amp;""="","","✓"))</f>
        <v/>
      </c>
      <c r="L68" s="114" t="str">
        <f aca="true">IF($E68="","",IF($K68="✓","Concluído",IF($E68&lt;TODAY(),"Atrasado",IF($E68=TODAY(),"Hoje","Pendente"))))</f>
        <v>Pendente</v>
      </c>
      <c r="M68" s="114" t="str">
        <f aca="false">IF($E68="","",IF($K68="✓","✓ ","")&amp;IF(Config!$E$22="Sim",$H68&amp;" · ","")&amp;$F68)</f>
        <v>R3 · Especialidade Cirúrgica I</v>
      </c>
      <c r="N68" s="114" t="str">
        <f aca="false">IF($E68="","",IFERROR(INDEX(Config!$D$15:$D$19,MATCH($I68,Config!$C$15:$C$19,0)),"OUT")&amp;IF($K68="✓","x",""))</f>
        <v>PRA</v>
      </c>
      <c r="O68" s="114" t="n">
        <f aca="false">IF($E68="","",COUNTIF($E$5:$E68,$E68))</f>
        <v>4</v>
      </c>
      <c r="P68" s="114" t="n">
        <f aca="false">IF($E68="","",$E68*100+$O68)</f>
        <v>4632204</v>
      </c>
      <c r="Q68" s="114" t="str">
        <f aca="false">IF($L68="Atrasado",$E68*10000+$A68,"")</f>
        <v/>
      </c>
    </row>
    <row r="69" customFormat="false" ht="15" hidden="false" customHeight="false" outlineLevel="0" collapsed="false">
      <c r="A69" s="114" t="n">
        <f aca="false">ROW()-4</f>
        <v>65</v>
      </c>
      <c r="B69" s="114" t="str">
        <f aca="false">IF(A69&lt;=Config!$E$27*Config!$E$28,"Tema","Avulso")</f>
        <v>Tema</v>
      </c>
      <c r="C69" s="114" t="n">
        <f aca="false">IF(B69="Tema",INT((A69-1)/Config!$E$28)+1,A69-Config!$E$27*Config!$E$28)</f>
        <v>11</v>
      </c>
      <c r="D69" s="114" t="n">
        <f aca="false">IF(B69="Tema",MOD(A69-1,Config!$E$28)+1,"")</f>
        <v>5</v>
      </c>
      <c r="E69" s="115" t="n">
        <f aca="false">IF($B69="Tema",IF(ISNUMBER(INDEX(Temas!$E$6:$P$305,$C69,2*$D69-1)),INDEX(Temas!$E$6:$P$305,$C69,2*$D69-1),""),IF(ISNUMBER(INDEX(Avulsos!$B$6:$B$205,$C69)),INDEX(Avulsos!$B$6:$B$205,$C69),""))</f>
        <v>46337</v>
      </c>
      <c r="F69" s="114" t="str">
        <f aca="false">IF($E69="","",IF($B69="Tema",INDEX(Temas!$B$6:$B$305,$C69)&amp;"",INDEX(Avulsos!$C$6:$C$205,$C69)&amp;""))</f>
        <v>Especialidade Cirúrgica I</v>
      </c>
      <c r="G69" s="114" t="str">
        <f aca="false">IF($E69="","",IF($B69="Tema",INDEX(Config!$C$6:$C$11,$D69),"Evento avulso"))</f>
        <v>4ª Revisão</v>
      </c>
      <c r="H69" s="114" t="str">
        <f aca="false">IF($E69="","",IF($B69="Tema",INDEX(Config!$D$6:$D$11,$D69),IFERROR(INDEX(Config!$E$15:$E$19,MATCH($I69,Config!$C$15:$C$19,0)),"•")))</f>
        <v>R4</v>
      </c>
      <c r="I69" s="114" t="str">
        <f aca="false">IF($E69="","",IF($B69="Tema",INDEX(Config!$E$6:$E$11,$D69),IF(INDEX(Avulsos!$D$6:$D$205,$C69)&amp;""="","Outro",INDEX(Avulsos!$D$6:$D$205,$C69))))</f>
        <v>Prática</v>
      </c>
      <c r="J69" s="114" t="str">
        <f aca="false">IF($E69="","",IF($B69="Tema",INDEX(Temas!$C$6:$C$305,$C69)&amp;"",INDEX(Avulsos!$E$6:$E$205,$C69)&amp;""))</f>
        <v>Cirurgia</v>
      </c>
      <c r="K69" s="114" t="str">
        <f aca="false">IF($E69="","",IF(IF($B69="Tema",INDEX(Temas!$E$6:$P$305,$C69,2*$D69),INDEX(Avulsos!$F$6:$F$205,$C69))&amp;""="","","✓"))</f>
        <v/>
      </c>
      <c r="L69" s="114" t="str">
        <f aca="true">IF($E69="","",IF($K69="✓","Concluído",IF($E69&lt;TODAY(),"Atrasado",IF($E69=TODAY(),"Hoje","Pendente"))))</f>
        <v>Pendente</v>
      </c>
      <c r="M69" s="114" t="str">
        <f aca="false">IF($E69="","",IF($K69="✓","✓ ","")&amp;IF(Config!$E$22="Sim",$H69&amp;" · ","")&amp;$F69)</f>
        <v>R4 · Especialidade Cirúrgica I</v>
      </c>
      <c r="N69" s="114" t="str">
        <f aca="false">IF($E69="","",IFERROR(INDEX(Config!$D$15:$D$19,MATCH($I69,Config!$C$15:$C$19,0)),"OUT")&amp;IF($K69="✓","x",""))</f>
        <v>PRA</v>
      </c>
      <c r="O69" s="114" t="n">
        <f aca="false">IF($E69="","",COUNTIF($E$5:$E69,$E69))</f>
        <v>1</v>
      </c>
      <c r="P69" s="114" t="n">
        <f aca="false">IF($E69="","",$E69*100+$O69)</f>
        <v>4633701</v>
      </c>
      <c r="Q69" s="114" t="str">
        <f aca="false">IF($L69="Atrasado",$E69*10000+$A69,"")</f>
        <v/>
      </c>
    </row>
    <row r="70" customFormat="false" ht="15" hidden="false" customHeight="false" outlineLevel="0" collapsed="false">
      <c r="A70" s="114" t="n">
        <f aca="false">ROW()-4</f>
        <v>66</v>
      </c>
      <c r="B70" s="114" t="str">
        <f aca="false">IF(A70&lt;=Config!$E$27*Config!$E$28,"Tema","Avulso")</f>
        <v>Tema</v>
      </c>
      <c r="C70" s="114" t="n">
        <f aca="false">IF(B70="Tema",INT((A70-1)/Config!$E$28)+1,A70-Config!$E$27*Config!$E$28)</f>
        <v>11</v>
      </c>
      <c r="D70" s="114" t="n">
        <f aca="false">IF(B70="Tema",MOD(A70-1,Config!$E$28)+1,"")</f>
        <v>6</v>
      </c>
      <c r="E70" s="115" t="n">
        <f aca="false">IF($B70="Tema",IF(ISNUMBER(INDEX(Temas!$E$6:$P$305,$C70,2*$D70-1)),INDEX(Temas!$E$6:$P$305,$C70,2*$D70-1),""),IF(ISNUMBER(INDEX(Avulsos!$B$6:$B$205,$C70)),INDEX(Avulsos!$B$6:$B$205,$C70),""))</f>
        <v>46367</v>
      </c>
      <c r="F70" s="114" t="str">
        <f aca="false">IF($E70="","",IF($B70="Tema",INDEX(Temas!$B$6:$B$305,$C70)&amp;"",INDEX(Avulsos!$C$6:$C$205,$C70)&amp;""))</f>
        <v>Especialidade Cirúrgica I</v>
      </c>
      <c r="G70" s="114" t="str">
        <f aca="false">IF($E70="","",IF($B70="Tema",INDEX(Config!$C$6:$C$11,$D70),"Evento avulso"))</f>
        <v>5ª Revisão</v>
      </c>
      <c r="H70" s="114" t="str">
        <f aca="false">IF($E70="","",IF($B70="Tema",INDEX(Config!$D$6:$D$11,$D70),IFERROR(INDEX(Config!$E$15:$E$19,MATCH($I70,Config!$C$15:$C$19,0)),"•")))</f>
        <v>R5</v>
      </c>
      <c r="I70" s="114" t="str">
        <f aca="false">IF($E70="","",IF($B70="Tema",INDEX(Config!$E$6:$E$11,$D70),IF(INDEX(Avulsos!$D$6:$D$205,$C70)&amp;""="","Outro",INDEX(Avulsos!$D$6:$D$205,$C70))))</f>
        <v>Revisão</v>
      </c>
      <c r="J70" s="114" t="str">
        <f aca="false">IF($E70="","",IF($B70="Tema",INDEX(Temas!$C$6:$C$305,$C70)&amp;"",INDEX(Avulsos!$E$6:$E$205,$C70)&amp;""))</f>
        <v>Cirurgia</v>
      </c>
      <c r="K70" s="114" t="str">
        <f aca="false">IF($E70="","",IF(IF($B70="Tema",INDEX(Temas!$E$6:$P$305,$C70,2*$D70),INDEX(Avulsos!$F$6:$F$205,$C70))&amp;""="","","✓"))</f>
        <v/>
      </c>
      <c r="L70" s="114" t="str">
        <f aca="true">IF($E70="","",IF($K70="✓","Concluído",IF($E70&lt;TODAY(),"Atrasado",IF($E70=TODAY(),"Hoje","Pendente"))))</f>
        <v>Pendente</v>
      </c>
      <c r="M70" s="114" t="str">
        <f aca="false">IF($E70="","",IF($K70="✓","✓ ","")&amp;IF(Config!$E$22="Sim",$H70&amp;" · ","")&amp;$F70)</f>
        <v>R5 · Especialidade Cirúrgica I</v>
      </c>
      <c r="N70" s="114" t="str">
        <f aca="false">IF($E70="","",IFERROR(INDEX(Config!$D$15:$D$19,MATCH($I70,Config!$C$15:$C$19,0)),"OUT")&amp;IF($K70="✓","x",""))</f>
        <v>REV</v>
      </c>
      <c r="O70" s="114" t="n">
        <f aca="false">IF($E70="","",COUNTIF($E$5:$E70,$E70))</f>
        <v>1</v>
      </c>
      <c r="P70" s="114" t="n">
        <f aca="false">IF($E70="","",$E70*100+$O70)</f>
        <v>4636701</v>
      </c>
      <c r="Q70" s="114" t="str">
        <f aca="false">IF($L70="Atrasado",$E70*10000+$A70,"")</f>
        <v/>
      </c>
    </row>
    <row r="71" customFormat="false" ht="15" hidden="false" customHeight="false" outlineLevel="0" collapsed="false">
      <c r="A71" s="114" t="n">
        <f aca="false">ROW()-4</f>
        <v>67</v>
      </c>
      <c r="B71" s="114" t="str">
        <f aca="false">IF(A71&lt;=Config!$E$27*Config!$E$28,"Tema","Avulso")</f>
        <v>Tema</v>
      </c>
      <c r="C71" s="114" t="n">
        <f aca="false">IF(B71="Tema",INT((A71-1)/Config!$E$28)+1,A71-Config!$E$27*Config!$E$28)</f>
        <v>12</v>
      </c>
      <c r="D71" s="114" t="n">
        <f aca="false">IF(B71="Tema",MOD(A71-1,Config!$E$28)+1,"")</f>
        <v>1</v>
      </c>
      <c r="E71" s="115" t="n">
        <f aca="false">IF($B71="Tema",IF(ISNUMBER(INDEX(Temas!$E$6:$P$305,$C71,2*$D71-1)),INDEX(Temas!$E$6:$P$305,$C71,2*$D71-1),""),IF(ISNUMBER(INDEX(Avulsos!$B$6:$B$205,$C71)),INDEX(Avulsos!$B$6:$B$205,$C71),""))</f>
        <v>46307</v>
      </c>
      <c r="F71" s="114" t="str">
        <f aca="false">IF($E71="","",IF($B71="Tema",INDEX(Temas!$B$6:$B$305,$C71)&amp;"",INDEX(Avulsos!$C$6:$C$205,$C71)&amp;""))</f>
        <v>Especialidade Cirúrgica II</v>
      </c>
      <c r="G71" s="114" t="str">
        <f aca="false">IF($E71="","",IF($B71="Tema",INDEX(Config!$C$6:$C$11,$D71),"Evento avulso"))</f>
        <v>Aula teórica</v>
      </c>
      <c r="H71" s="114" t="str">
        <f aca="false">IF($E71="","",IF($B71="Tema",INDEX(Config!$D$6:$D$11,$D71),IFERROR(INDEX(Config!$E$15:$E$19,MATCH($I71,Config!$C$15:$C$19,0)),"•")))</f>
        <v>T</v>
      </c>
      <c r="I71" s="114" t="str">
        <f aca="false">IF($E71="","",IF($B71="Tema",INDEX(Config!$E$6:$E$11,$D71),IF(INDEX(Avulsos!$D$6:$D$205,$C71)&amp;""="","Outro",INDEX(Avulsos!$D$6:$D$205,$C71))))</f>
        <v>Teórica</v>
      </c>
      <c r="J71" s="114" t="str">
        <f aca="false">IF($E71="","",IF($B71="Tema",INDEX(Temas!$C$6:$C$305,$C71)&amp;"",INDEX(Avulsos!$E$6:$E$205,$C71)&amp;""))</f>
        <v>Cirurgia</v>
      </c>
      <c r="K71" s="114" t="str">
        <f aca="false">IF($E71="","",IF(IF($B71="Tema",INDEX(Temas!$E$6:$P$305,$C71,2*$D71),INDEX(Avulsos!$F$6:$F$205,$C71))&amp;""="","","✓"))</f>
        <v/>
      </c>
      <c r="L71" s="114" t="str">
        <f aca="true">IF($E71="","",IF($K71="✓","Concluído",IF($E71&lt;TODAY(),"Atrasado",IF($E71=TODAY(),"Hoje","Pendente"))))</f>
        <v>Pendente</v>
      </c>
      <c r="M71" s="114" t="str">
        <f aca="false">IF($E71="","",IF($K71="✓","✓ ","")&amp;IF(Config!$E$22="Sim",$H71&amp;" · ","")&amp;$F71)</f>
        <v>T · Especialidade Cirúrgica II</v>
      </c>
      <c r="N71" s="114" t="str">
        <f aca="false">IF($E71="","",IFERROR(INDEX(Config!$D$15:$D$19,MATCH($I71,Config!$C$15:$C$19,0)),"OUT")&amp;IF($K71="✓","x",""))</f>
        <v>TEO</v>
      </c>
      <c r="O71" s="114" t="n">
        <f aca="false">IF($E71="","",COUNTIF($E$5:$E71,$E71))</f>
        <v>7</v>
      </c>
      <c r="P71" s="114" t="n">
        <f aca="false">IF($E71="","",$E71*100+$O71)</f>
        <v>4630707</v>
      </c>
      <c r="Q71" s="114" t="str">
        <f aca="false">IF($L71="Atrasado",$E71*10000+$A71,"")</f>
        <v/>
      </c>
    </row>
    <row r="72" customFormat="false" ht="15" hidden="false" customHeight="false" outlineLevel="0" collapsed="false">
      <c r="A72" s="114" t="n">
        <f aca="false">ROW()-4</f>
        <v>68</v>
      </c>
      <c r="B72" s="114" t="str">
        <f aca="false">IF(A72&lt;=Config!$E$27*Config!$E$28,"Tema","Avulso")</f>
        <v>Tema</v>
      </c>
      <c r="C72" s="114" t="n">
        <f aca="false">IF(B72="Tema",INT((A72-1)/Config!$E$28)+1,A72-Config!$E$27*Config!$E$28)</f>
        <v>12</v>
      </c>
      <c r="D72" s="114" t="n">
        <f aca="false">IF(B72="Tema",MOD(A72-1,Config!$E$28)+1,"")</f>
        <v>2</v>
      </c>
      <c r="E72" s="115" t="n">
        <f aca="false">IF($B72="Tema",IF(ISNUMBER(INDEX(Temas!$E$6:$P$305,$C72,2*$D72-1)),INDEX(Temas!$E$6:$P$305,$C72,2*$D72-1),""),IF(ISNUMBER(INDEX(Avulsos!$B$6:$B$205,$C72)),INDEX(Avulsos!$B$6:$B$205,$C72),""))</f>
        <v>46308</v>
      </c>
      <c r="F72" s="114" t="str">
        <f aca="false">IF($E72="","",IF($B72="Tema",INDEX(Temas!$B$6:$B$305,$C72)&amp;"",INDEX(Avulsos!$C$6:$C$205,$C72)&amp;""))</f>
        <v>Especialidade Cirúrgica II</v>
      </c>
      <c r="G72" s="114" t="str">
        <f aca="false">IF($E72="","",IF($B72="Tema",INDEX(Config!$C$6:$C$11,$D72),"Evento avulso"))</f>
        <v>1ª Revisão</v>
      </c>
      <c r="H72" s="114" t="str">
        <f aca="false">IF($E72="","",IF($B72="Tema",INDEX(Config!$D$6:$D$11,$D72),IFERROR(INDEX(Config!$E$15:$E$19,MATCH($I72,Config!$C$15:$C$19,0)),"•")))</f>
        <v>R1</v>
      </c>
      <c r="I72" s="114" t="str">
        <f aca="false">IF($E72="","",IF($B72="Tema",INDEX(Config!$E$6:$E$11,$D72),IF(INDEX(Avulsos!$D$6:$D$205,$C72)&amp;""="","Outro",INDEX(Avulsos!$D$6:$D$205,$C72))))</f>
        <v>Revisão</v>
      </c>
      <c r="J72" s="114" t="str">
        <f aca="false">IF($E72="","",IF($B72="Tema",INDEX(Temas!$C$6:$C$305,$C72)&amp;"",INDEX(Avulsos!$E$6:$E$205,$C72)&amp;""))</f>
        <v>Cirurgia</v>
      </c>
      <c r="K72" s="114" t="str">
        <f aca="false">IF($E72="","",IF(IF($B72="Tema",INDEX(Temas!$E$6:$P$305,$C72,2*$D72),INDEX(Avulsos!$F$6:$F$205,$C72))&amp;""="","","✓"))</f>
        <v/>
      </c>
      <c r="L72" s="114" t="str">
        <f aca="true">IF($E72="","",IF($K72="✓","Concluído",IF($E72&lt;TODAY(),"Atrasado",IF($E72=TODAY(),"Hoje","Pendente"))))</f>
        <v>Pendente</v>
      </c>
      <c r="M72" s="114" t="str">
        <f aca="false">IF($E72="","",IF($K72="✓","✓ ","")&amp;IF(Config!$E$22="Sim",$H72&amp;" · ","")&amp;$F72)</f>
        <v>R1 · Especialidade Cirúrgica II</v>
      </c>
      <c r="N72" s="114" t="str">
        <f aca="false">IF($E72="","",IFERROR(INDEX(Config!$D$15:$D$19,MATCH($I72,Config!$C$15:$C$19,0)),"OUT")&amp;IF($K72="✓","x",""))</f>
        <v>REV</v>
      </c>
      <c r="O72" s="114" t="n">
        <f aca="false">IF($E72="","",COUNTIF($E$5:$E72,$E72))</f>
        <v>5</v>
      </c>
      <c r="P72" s="114" t="n">
        <f aca="false">IF($E72="","",$E72*100+$O72)</f>
        <v>4630805</v>
      </c>
      <c r="Q72" s="114" t="str">
        <f aca="false">IF($L72="Atrasado",$E72*10000+$A72,"")</f>
        <v/>
      </c>
    </row>
    <row r="73" customFormat="false" ht="15" hidden="false" customHeight="false" outlineLevel="0" collapsed="false">
      <c r="A73" s="114" t="n">
        <f aca="false">ROW()-4</f>
        <v>69</v>
      </c>
      <c r="B73" s="114" t="str">
        <f aca="false">IF(A73&lt;=Config!$E$27*Config!$E$28,"Tema","Avulso")</f>
        <v>Tema</v>
      </c>
      <c r="C73" s="114" t="n">
        <f aca="false">IF(B73="Tema",INT((A73-1)/Config!$E$28)+1,A73-Config!$E$27*Config!$E$28)</f>
        <v>12</v>
      </c>
      <c r="D73" s="114" t="n">
        <f aca="false">IF(B73="Tema",MOD(A73-1,Config!$E$28)+1,"")</f>
        <v>3</v>
      </c>
      <c r="E73" s="115" t="n">
        <f aca="false">IF($B73="Tema",IF(ISNUMBER(INDEX(Temas!$E$6:$P$305,$C73,2*$D73-1)),INDEX(Temas!$E$6:$P$305,$C73,2*$D73-1),""),IF(ISNUMBER(INDEX(Avulsos!$B$6:$B$205,$C73)),INDEX(Avulsos!$B$6:$B$205,$C73),""))</f>
        <v>46314</v>
      </c>
      <c r="F73" s="114" t="str">
        <f aca="false">IF($E73="","",IF($B73="Tema",INDEX(Temas!$B$6:$B$305,$C73)&amp;"",INDEX(Avulsos!$C$6:$C$205,$C73)&amp;""))</f>
        <v>Especialidade Cirúrgica II</v>
      </c>
      <c r="G73" s="114" t="str">
        <f aca="false">IF($E73="","",IF($B73="Tema",INDEX(Config!$C$6:$C$11,$D73),"Evento avulso"))</f>
        <v>2ª Revisão</v>
      </c>
      <c r="H73" s="114" t="str">
        <f aca="false">IF($E73="","",IF($B73="Tema",INDEX(Config!$D$6:$D$11,$D73),IFERROR(INDEX(Config!$E$15:$E$19,MATCH($I73,Config!$C$15:$C$19,0)),"•")))</f>
        <v>R2</v>
      </c>
      <c r="I73" s="114" t="str">
        <f aca="false">IF($E73="","",IF($B73="Tema",INDEX(Config!$E$6:$E$11,$D73),IF(INDEX(Avulsos!$D$6:$D$205,$C73)&amp;""="","Outro",INDEX(Avulsos!$D$6:$D$205,$C73))))</f>
        <v>Prática</v>
      </c>
      <c r="J73" s="114" t="str">
        <f aca="false">IF($E73="","",IF($B73="Tema",INDEX(Temas!$C$6:$C$305,$C73)&amp;"",INDEX(Avulsos!$E$6:$E$205,$C73)&amp;""))</f>
        <v>Cirurgia</v>
      </c>
      <c r="K73" s="114" t="str">
        <f aca="false">IF($E73="","",IF(IF($B73="Tema",INDEX(Temas!$E$6:$P$305,$C73,2*$D73),INDEX(Avulsos!$F$6:$F$205,$C73))&amp;""="","","✓"))</f>
        <v/>
      </c>
      <c r="L73" s="114" t="str">
        <f aca="true">IF($E73="","",IF($K73="✓","Concluído",IF($E73&lt;TODAY(),"Atrasado",IF($E73=TODAY(),"Hoje","Pendente"))))</f>
        <v>Pendente</v>
      </c>
      <c r="M73" s="114" t="str">
        <f aca="false">IF($E73="","",IF($K73="✓","✓ ","")&amp;IF(Config!$E$22="Sim",$H73&amp;" · ","")&amp;$F73)</f>
        <v>R2 · Especialidade Cirúrgica II</v>
      </c>
      <c r="N73" s="114" t="str">
        <f aca="false">IF($E73="","",IFERROR(INDEX(Config!$D$15:$D$19,MATCH($I73,Config!$C$15:$C$19,0)),"OUT")&amp;IF($K73="✓","x",""))</f>
        <v>PRA</v>
      </c>
      <c r="O73" s="114" t="n">
        <f aca="false">IF($E73="","",COUNTIF($E$5:$E73,$E73))</f>
        <v>2</v>
      </c>
      <c r="P73" s="114" t="n">
        <f aca="false">IF($E73="","",$E73*100+$O73)</f>
        <v>4631402</v>
      </c>
      <c r="Q73" s="114" t="str">
        <f aca="false">IF($L73="Atrasado",$E73*10000+$A73,"")</f>
        <v/>
      </c>
    </row>
    <row r="74" customFormat="false" ht="15" hidden="false" customHeight="false" outlineLevel="0" collapsed="false">
      <c r="A74" s="114" t="n">
        <f aca="false">ROW()-4</f>
        <v>70</v>
      </c>
      <c r="B74" s="114" t="str">
        <f aca="false">IF(A74&lt;=Config!$E$27*Config!$E$28,"Tema","Avulso")</f>
        <v>Tema</v>
      </c>
      <c r="C74" s="114" t="n">
        <f aca="false">IF(B74="Tema",INT((A74-1)/Config!$E$28)+1,A74-Config!$E$27*Config!$E$28)</f>
        <v>12</v>
      </c>
      <c r="D74" s="114" t="n">
        <f aca="false">IF(B74="Tema",MOD(A74-1,Config!$E$28)+1,"")</f>
        <v>4</v>
      </c>
      <c r="E74" s="115" t="n">
        <f aca="false">IF($B74="Tema",IF(ISNUMBER(INDEX(Temas!$E$6:$P$305,$C74,2*$D74-1)),INDEX(Temas!$E$6:$P$305,$C74,2*$D74-1),""),IF(ISNUMBER(INDEX(Avulsos!$B$6:$B$205,$C74)),INDEX(Avulsos!$B$6:$B$205,$C74),""))</f>
        <v>46322</v>
      </c>
      <c r="F74" s="114" t="str">
        <f aca="false">IF($E74="","",IF($B74="Tema",INDEX(Temas!$B$6:$B$305,$C74)&amp;"",INDEX(Avulsos!$C$6:$C$205,$C74)&amp;""))</f>
        <v>Especialidade Cirúrgica II</v>
      </c>
      <c r="G74" s="114" t="str">
        <f aca="false">IF($E74="","",IF($B74="Tema",INDEX(Config!$C$6:$C$11,$D74),"Evento avulso"))</f>
        <v>3ª Revisão</v>
      </c>
      <c r="H74" s="114" t="str">
        <f aca="false">IF($E74="","",IF($B74="Tema",INDEX(Config!$D$6:$D$11,$D74),IFERROR(INDEX(Config!$E$15:$E$19,MATCH($I74,Config!$C$15:$C$19,0)),"•")))</f>
        <v>R3</v>
      </c>
      <c r="I74" s="114" t="str">
        <f aca="false">IF($E74="","",IF($B74="Tema",INDEX(Config!$E$6:$E$11,$D74),IF(INDEX(Avulsos!$D$6:$D$205,$C74)&amp;""="","Outro",INDEX(Avulsos!$D$6:$D$205,$C74))))</f>
        <v>Prática</v>
      </c>
      <c r="J74" s="114" t="str">
        <f aca="false">IF($E74="","",IF($B74="Tema",INDEX(Temas!$C$6:$C$305,$C74)&amp;"",INDEX(Avulsos!$E$6:$E$205,$C74)&amp;""))</f>
        <v>Cirurgia</v>
      </c>
      <c r="K74" s="114" t="str">
        <f aca="false">IF($E74="","",IF(IF($B74="Tema",INDEX(Temas!$E$6:$P$305,$C74,2*$D74),INDEX(Avulsos!$F$6:$F$205,$C74))&amp;""="","","✓"))</f>
        <v/>
      </c>
      <c r="L74" s="114" t="str">
        <f aca="true">IF($E74="","",IF($K74="✓","Concluído",IF($E74&lt;TODAY(),"Atrasado",IF($E74=TODAY(),"Hoje","Pendente"))))</f>
        <v>Pendente</v>
      </c>
      <c r="M74" s="114" t="str">
        <f aca="false">IF($E74="","",IF($K74="✓","✓ ","")&amp;IF(Config!$E$22="Sim",$H74&amp;" · ","")&amp;$F74)</f>
        <v>R3 · Especialidade Cirúrgica II</v>
      </c>
      <c r="N74" s="114" t="str">
        <f aca="false">IF($E74="","",IFERROR(INDEX(Config!$D$15:$D$19,MATCH($I74,Config!$C$15:$C$19,0)),"OUT")&amp;IF($K74="✓","x",""))</f>
        <v>PRA</v>
      </c>
      <c r="O74" s="114" t="n">
        <f aca="false">IF($E74="","",COUNTIF($E$5:$E74,$E74))</f>
        <v>5</v>
      </c>
      <c r="P74" s="114" t="n">
        <f aca="false">IF($E74="","",$E74*100+$O74)</f>
        <v>4632205</v>
      </c>
      <c r="Q74" s="114" t="str">
        <f aca="false">IF($L74="Atrasado",$E74*10000+$A74,"")</f>
        <v/>
      </c>
    </row>
    <row r="75" customFormat="false" ht="15" hidden="false" customHeight="false" outlineLevel="0" collapsed="false">
      <c r="A75" s="114" t="n">
        <f aca="false">ROW()-4</f>
        <v>71</v>
      </c>
      <c r="B75" s="114" t="str">
        <f aca="false">IF(A75&lt;=Config!$E$27*Config!$E$28,"Tema","Avulso")</f>
        <v>Tema</v>
      </c>
      <c r="C75" s="114" t="n">
        <f aca="false">IF(B75="Tema",INT((A75-1)/Config!$E$28)+1,A75-Config!$E$27*Config!$E$28)</f>
        <v>12</v>
      </c>
      <c r="D75" s="114" t="n">
        <f aca="false">IF(B75="Tema",MOD(A75-1,Config!$E$28)+1,"")</f>
        <v>5</v>
      </c>
      <c r="E75" s="115" t="n">
        <f aca="false">IF($B75="Tema",IF(ISNUMBER(INDEX(Temas!$E$6:$P$305,$C75,2*$D75-1)),INDEX(Temas!$E$6:$P$305,$C75,2*$D75-1),""),IF(ISNUMBER(INDEX(Avulsos!$B$6:$B$205,$C75)),INDEX(Avulsos!$B$6:$B$205,$C75),""))</f>
        <v>46337</v>
      </c>
      <c r="F75" s="114" t="str">
        <f aca="false">IF($E75="","",IF($B75="Tema",INDEX(Temas!$B$6:$B$305,$C75)&amp;"",INDEX(Avulsos!$C$6:$C$205,$C75)&amp;""))</f>
        <v>Especialidade Cirúrgica II</v>
      </c>
      <c r="G75" s="114" t="str">
        <f aca="false">IF($E75="","",IF($B75="Tema",INDEX(Config!$C$6:$C$11,$D75),"Evento avulso"))</f>
        <v>4ª Revisão</v>
      </c>
      <c r="H75" s="114" t="str">
        <f aca="false">IF($E75="","",IF($B75="Tema",INDEX(Config!$D$6:$D$11,$D75),IFERROR(INDEX(Config!$E$15:$E$19,MATCH($I75,Config!$C$15:$C$19,0)),"•")))</f>
        <v>R4</v>
      </c>
      <c r="I75" s="114" t="str">
        <f aca="false">IF($E75="","",IF($B75="Tema",INDEX(Config!$E$6:$E$11,$D75),IF(INDEX(Avulsos!$D$6:$D$205,$C75)&amp;""="","Outro",INDEX(Avulsos!$D$6:$D$205,$C75))))</f>
        <v>Prática</v>
      </c>
      <c r="J75" s="114" t="str">
        <f aca="false">IF($E75="","",IF($B75="Tema",INDEX(Temas!$C$6:$C$305,$C75)&amp;"",INDEX(Avulsos!$E$6:$E$205,$C75)&amp;""))</f>
        <v>Cirurgia</v>
      </c>
      <c r="K75" s="114" t="str">
        <f aca="false">IF($E75="","",IF(IF($B75="Tema",INDEX(Temas!$E$6:$P$305,$C75,2*$D75),INDEX(Avulsos!$F$6:$F$205,$C75))&amp;""="","","✓"))</f>
        <v/>
      </c>
      <c r="L75" s="114" t="str">
        <f aca="true">IF($E75="","",IF($K75="✓","Concluído",IF($E75&lt;TODAY(),"Atrasado",IF($E75=TODAY(),"Hoje","Pendente"))))</f>
        <v>Pendente</v>
      </c>
      <c r="M75" s="114" t="str">
        <f aca="false">IF($E75="","",IF($K75="✓","✓ ","")&amp;IF(Config!$E$22="Sim",$H75&amp;" · ","")&amp;$F75)</f>
        <v>R4 · Especialidade Cirúrgica II</v>
      </c>
      <c r="N75" s="114" t="str">
        <f aca="false">IF($E75="","",IFERROR(INDEX(Config!$D$15:$D$19,MATCH($I75,Config!$C$15:$C$19,0)),"OUT")&amp;IF($K75="✓","x",""))</f>
        <v>PRA</v>
      </c>
      <c r="O75" s="114" t="n">
        <f aca="false">IF($E75="","",COUNTIF($E$5:$E75,$E75))</f>
        <v>2</v>
      </c>
      <c r="P75" s="114" t="n">
        <f aca="false">IF($E75="","",$E75*100+$O75)</f>
        <v>4633702</v>
      </c>
      <c r="Q75" s="114" t="str">
        <f aca="false">IF($L75="Atrasado",$E75*10000+$A75,"")</f>
        <v/>
      </c>
    </row>
    <row r="76" customFormat="false" ht="15" hidden="false" customHeight="false" outlineLevel="0" collapsed="false">
      <c r="A76" s="114" t="n">
        <f aca="false">ROW()-4</f>
        <v>72</v>
      </c>
      <c r="B76" s="114" t="str">
        <f aca="false">IF(A76&lt;=Config!$E$27*Config!$E$28,"Tema","Avulso")</f>
        <v>Tema</v>
      </c>
      <c r="C76" s="114" t="n">
        <f aca="false">IF(B76="Tema",INT((A76-1)/Config!$E$28)+1,A76-Config!$E$27*Config!$E$28)</f>
        <v>12</v>
      </c>
      <c r="D76" s="114" t="n">
        <f aca="false">IF(B76="Tema",MOD(A76-1,Config!$E$28)+1,"")</f>
        <v>6</v>
      </c>
      <c r="E76" s="115" t="n">
        <f aca="false">IF($B76="Tema",IF(ISNUMBER(INDEX(Temas!$E$6:$P$305,$C76,2*$D76-1)),INDEX(Temas!$E$6:$P$305,$C76,2*$D76-1),""),IF(ISNUMBER(INDEX(Avulsos!$B$6:$B$205,$C76)),INDEX(Avulsos!$B$6:$B$205,$C76),""))</f>
        <v>46367</v>
      </c>
      <c r="F76" s="114" t="str">
        <f aca="false">IF($E76="","",IF($B76="Tema",INDEX(Temas!$B$6:$B$305,$C76)&amp;"",INDEX(Avulsos!$C$6:$C$205,$C76)&amp;""))</f>
        <v>Especialidade Cirúrgica II</v>
      </c>
      <c r="G76" s="114" t="str">
        <f aca="false">IF($E76="","",IF($B76="Tema",INDEX(Config!$C$6:$C$11,$D76),"Evento avulso"))</f>
        <v>5ª Revisão</v>
      </c>
      <c r="H76" s="114" t="str">
        <f aca="false">IF($E76="","",IF($B76="Tema",INDEX(Config!$D$6:$D$11,$D76),IFERROR(INDEX(Config!$E$15:$E$19,MATCH($I76,Config!$C$15:$C$19,0)),"•")))</f>
        <v>R5</v>
      </c>
      <c r="I76" s="114" t="str">
        <f aca="false">IF($E76="","",IF($B76="Tema",INDEX(Config!$E$6:$E$11,$D76),IF(INDEX(Avulsos!$D$6:$D$205,$C76)&amp;""="","Outro",INDEX(Avulsos!$D$6:$D$205,$C76))))</f>
        <v>Revisão</v>
      </c>
      <c r="J76" s="114" t="str">
        <f aca="false">IF($E76="","",IF($B76="Tema",INDEX(Temas!$C$6:$C$305,$C76)&amp;"",INDEX(Avulsos!$E$6:$E$205,$C76)&amp;""))</f>
        <v>Cirurgia</v>
      </c>
      <c r="K76" s="114" t="str">
        <f aca="false">IF($E76="","",IF(IF($B76="Tema",INDEX(Temas!$E$6:$P$305,$C76,2*$D76),INDEX(Avulsos!$F$6:$F$205,$C76))&amp;""="","","✓"))</f>
        <v/>
      </c>
      <c r="L76" s="114" t="str">
        <f aca="true">IF($E76="","",IF($K76="✓","Concluído",IF($E76&lt;TODAY(),"Atrasado",IF($E76=TODAY(),"Hoje","Pendente"))))</f>
        <v>Pendente</v>
      </c>
      <c r="M76" s="114" t="str">
        <f aca="false">IF($E76="","",IF($K76="✓","✓ ","")&amp;IF(Config!$E$22="Sim",$H76&amp;" · ","")&amp;$F76)</f>
        <v>R5 · Especialidade Cirúrgica II</v>
      </c>
      <c r="N76" s="114" t="str">
        <f aca="false">IF($E76="","",IFERROR(INDEX(Config!$D$15:$D$19,MATCH($I76,Config!$C$15:$C$19,0)),"OUT")&amp;IF($K76="✓","x",""))</f>
        <v>REV</v>
      </c>
      <c r="O76" s="114" t="n">
        <f aca="false">IF($E76="","",COUNTIF($E$5:$E76,$E76))</f>
        <v>2</v>
      </c>
      <c r="P76" s="114" t="n">
        <f aca="false">IF($E76="","",$E76*100+$O76)</f>
        <v>4636702</v>
      </c>
      <c r="Q76" s="114" t="str">
        <f aca="false">IF($L76="Atrasado",$E76*10000+$A76,"")</f>
        <v/>
      </c>
    </row>
    <row r="77" customFormat="false" ht="15" hidden="false" customHeight="false" outlineLevel="0" collapsed="false">
      <c r="A77" s="114" t="n">
        <f aca="false">ROW()-4</f>
        <v>73</v>
      </c>
      <c r="B77" s="114" t="str">
        <f aca="false">IF(A77&lt;=Config!$E$27*Config!$E$28,"Tema","Avulso")</f>
        <v>Tema</v>
      </c>
      <c r="C77" s="114" t="n">
        <f aca="false">IF(B77="Tema",INT((A77-1)/Config!$E$28)+1,A77-Config!$E$27*Config!$E$28)</f>
        <v>13</v>
      </c>
      <c r="D77" s="114" t="n">
        <f aca="false">IF(B77="Tema",MOD(A77-1,Config!$E$28)+1,"")</f>
        <v>1</v>
      </c>
      <c r="E77" s="115" t="n">
        <f aca="false">IF($B77="Tema",IF(ISNUMBER(INDEX(Temas!$E$6:$P$305,$C77,2*$D77-1)),INDEX(Temas!$E$6:$P$305,$C77,2*$D77-1),""),IF(ISNUMBER(INDEX(Avulsos!$B$6:$B$205,$C77)),INDEX(Avulsos!$B$6:$B$205,$C77),""))</f>
        <v>46309</v>
      </c>
      <c r="F77" s="114" t="str">
        <f aca="false">IF($E77="","",IF($B77="Tema",INDEX(Temas!$B$6:$B$305,$C77)&amp;"",INDEX(Avulsos!$C$6:$C$205,$C77)&amp;""))</f>
        <v>Distúrbios Hipertensivos na Gestação</v>
      </c>
      <c r="G77" s="114" t="str">
        <f aca="false">IF($E77="","",IF($B77="Tema",INDEX(Config!$C$6:$C$11,$D77),"Evento avulso"))</f>
        <v>Aula teórica</v>
      </c>
      <c r="H77" s="114" t="str">
        <f aca="false">IF($E77="","",IF($B77="Tema",INDEX(Config!$D$6:$D$11,$D77),IFERROR(INDEX(Config!$E$15:$E$19,MATCH($I77,Config!$C$15:$C$19,0)),"•")))</f>
        <v>T</v>
      </c>
      <c r="I77" s="114" t="str">
        <f aca="false">IF($E77="","",IF($B77="Tema",INDEX(Config!$E$6:$E$11,$D77),IF(INDEX(Avulsos!$D$6:$D$205,$C77)&amp;""="","Outro",INDEX(Avulsos!$D$6:$D$205,$C77))))</f>
        <v>Teórica</v>
      </c>
      <c r="J77" s="114" t="str">
        <f aca="false">IF($E77="","",IF($B77="Tema",INDEX(Temas!$C$6:$C$305,$C77)&amp;"",INDEX(Avulsos!$E$6:$E$205,$C77)&amp;""))</f>
        <v>Ginecologia e Obstetrícia</v>
      </c>
      <c r="K77" s="114" t="str">
        <f aca="false">IF($E77="","",IF(IF($B77="Tema",INDEX(Temas!$E$6:$P$305,$C77,2*$D77),INDEX(Avulsos!$F$6:$F$205,$C77))&amp;""="","","✓"))</f>
        <v/>
      </c>
      <c r="L77" s="114" t="str">
        <f aca="true">IF($E77="","",IF($K77="✓","Concluído",IF($E77&lt;TODAY(),"Atrasado",IF($E77=TODAY(),"Hoje","Pendente"))))</f>
        <v>Pendente</v>
      </c>
      <c r="M77" s="114" t="str">
        <f aca="false">IF($E77="","",IF($K77="✓","✓ ","")&amp;IF(Config!$E$22="Sim",$H77&amp;" · ","")&amp;$F77)</f>
        <v>T · Distúrbios Hipertensivos na Gestação</v>
      </c>
      <c r="N77" s="114" t="str">
        <f aca="false">IF($E77="","",IFERROR(INDEX(Config!$D$15:$D$19,MATCH($I77,Config!$C$15:$C$19,0)),"OUT")&amp;IF($K77="✓","x",""))</f>
        <v>TEO</v>
      </c>
      <c r="O77" s="114" t="n">
        <f aca="false">IF($E77="","",COUNTIF($E$5:$E77,$E77))</f>
        <v>1</v>
      </c>
      <c r="P77" s="114" t="n">
        <f aca="false">IF($E77="","",$E77*100+$O77)</f>
        <v>4630901</v>
      </c>
      <c r="Q77" s="114" t="str">
        <f aca="false">IF($L77="Atrasado",$E77*10000+$A77,"")</f>
        <v/>
      </c>
    </row>
    <row r="78" customFormat="false" ht="15" hidden="false" customHeight="false" outlineLevel="0" collapsed="false">
      <c r="A78" s="114" t="n">
        <f aca="false">ROW()-4</f>
        <v>74</v>
      </c>
      <c r="B78" s="114" t="str">
        <f aca="false">IF(A78&lt;=Config!$E$27*Config!$E$28,"Tema","Avulso")</f>
        <v>Tema</v>
      </c>
      <c r="C78" s="114" t="n">
        <f aca="false">IF(B78="Tema",INT((A78-1)/Config!$E$28)+1,A78-Config!$E$27*Config!$E$28)</f>
        <v>13</v>
      </c>
      <c r="D78" s="114" t="n">
        <f aca="false">IF(B78="Tema",MOD(A78-1,Config!$E$28)+1,"")</f>
        <v>2</v>
      </c>
      <c r="E78" s="115" t="n">
        <f aca="false">IF($B78="Tema",IF(ISNUMBER(INDEX(Temas!$E$6:$P$305,$C78,2*$D78-1)),INDEX(Temas!$E$6:$P$305,$C78,2*$D78-1),""),IF(ISNUMBER(INDEX(Avulsos!$B$6:$B$205,$C78)),INDEX(Avulsos!$B$6:$B$205,$C78),""))</f>
        <v>46310</v>
      </c>
      <c r="F78" s="114" t="str">
        <f aca="false">IF($E78="","",IF($B78="Tema",INDEX(Temas!$B$6:$B$305,$C78)&amp;"",INDEX(Avulsos!$C$6:$C$205,$C78)&amp;""))</f>
        <v>Distúrbios Hipertensivos na Gestação</v>
      </c>
      <c r="G78" s="114" t="str">
        <f aca="false">IF($E78="","",IF($B78="Tema",INDEX(Config!$C$6:$C$11,$D78),"Evento avulso"))</f>
        <v>1ª Revisão</v>
      </c>
      <c r="H78" s="114" t="str">
        <f aca="false">IF($E78="","",IF($B78="Tema",INDEX(Config!$D$6:$D$11,$D78),IFERROR(INDEX(Config!$E$15:$E$19,MATCH($I78,Config!$C$15:$C$19,0)),"•")))</f>
        <v>R1</v>
      </c>
      <c r="I78" s="114" t="str">
        <f aca="false">IF($E78="","",IF($B78="Tema",INDEX(Config!$E$6:$E$11,$D78),IF(INDEX(Avulsos!$D$6:$D$205,$C78)&amp;""="","Outro",INDEX(Avulsos!$D$6:$D$205,$C78))))</f>
        <v>Revisão</v>
      </c>
      <c r="J78" s="114" t="str">
        <f aca="false">IF($E78="","",IF($B78="Tema",INDEX(Temas!$C$6:$C$305,$C78)&amp;"",INDEX(Avulsos!$E$6:$E$205,$C78)&amp;""))</f>
        <v>Ginecologia e Obstetrícia</v>
      </c>
      <c r="K78" s="114" t="str">
        <f aca="false">IF($E78="","",IF(IF($B78="Tema",INDEX(Temas!$E$6:$P$305,$C78,2*$D78),INDEX(Avulsos!$F$6:$F$205,$C78))&amp;""="","","✓"))</f>
        <v/>
      </c>
      <c r="L78" s="114" t="str">
        <f aca="true">IF($E78="","",IF($K78="✓","Concluído",IF($E78&lt;TODAY(),"Atrasado",IF($E78=TODAY(),"Hoje","Pendente"))))</f>
        <v>Pendente</v>
      </c>
      <c r="M78" s="114" t="str">
        <f aca="false">IF($E78="","",IF($K78="✓","✓ ","")&amp;IF(Config!$E$22="Sim",$H78&amp;" · ","")&amp;$F78)</f>
        <v>R1 · Distúrbios Hipertensivos na Gestação</v>
      </c>
      <c r="N78" s="114" t="str">
        <f aca="false">IF($E78="","",IFERROR(INDEX(Config!$D$15:$D$19,MATCH($I78,Config!$C$15:$C$19,0)),"OUT")&amp;IF($K78="✓","x",""))</f>
        <v>REV</v>
      </c>
      <c r="O78" s="114" t="n">
        <f aca="false">IF($E78="","",COUNTIF($E$5:$E78,$E78))</f>
        <v>2</v>
      </c>
      <c r="P78" s="114" t="n">
        <f aca="false">IF($E78="","",$E78*100+$O78)</f>
        <v>4631002</v>
      </c>
      <c r="Q78" s="114" t="str">
        <f aca="false">IF($L78="Atrasado",$E78*10000+$A78,"")</f>
        <v/>
      </c>
    </row>
    <row r="79" customFormat="false" ht="15" hidden="false" customHeight="false" outlineLevel="0" collapsed="false">
      <c r="A79" s="114" t="n">
        <f aca="false">ROW()-4</f>
        <v>75</v>
      </c>
      <c r="B79" s="114" t="str">
        <f aca="false">IF(A79&lt;=Config!$E$27*Config!$E$28,"Tema","Avulso")</f>
        <v>Tema</v>
      </c>
      <c r="C79" s="114" t="n">
        <f aca="false">IF(B79="Tema",INT((A79-1)/Config!$E$28)+1,A79-Config!$E$27*Config!$E$28)</f>
        <v>13</v>
      </c>
      <c r="D79" s="114" t="n">
        <f aca="false">IF(B79="Tema",MOD(A79-1,Config!$E$28)+1,"")</f>
        <v>3</v>
      </c>
      <c r="E79" s="115" t="n">
        <f aca="false">IF($B79="Tema",IF(ISNUMBER(INDEX(Temas!$E$6:$P$305,$C79,2*$D79-1)),INDEX(Temas!$E$6:$P$305,$C79,2*$D79-1),""),IF(ISNUMBER(INDEX(Avulsos!$B$6:$B$205,$C79)),INDEX(Avulsos!$B$6:$B$205,$C79),""))</f>
        <v>46316</v>
      </c>
      <c r="F79" s="114" t="str">
        <f aca="false">IF($E79="","",IF($B79="Tema",INDEX(Temas!$B$6:$B$305,$C79)&amp;"",INDEX(Avulsos!$C$6:$C$205,$C79)&amp;""))</f>
        <v>Distúrbios Hipertensivos na Gestação</v>
      </c>
      <c r="G79" s="114" t="str">
        <f aca="false">IF($E79="","",IF($B79="Tema",INDEX(Config!$C$6:$C$11,$D79),"Evento avulso"))</f>
        <v>2ª Revisão</v>
      </c>
      <c r="H79" s="114" t="str">
        <f aca="false">IF($E79="","",IF($B79="Tema",INDEX(Config!$D$6:$D$11,$D79),IFERROR(INDEX(Config!$E$15:$E$19,MATCH($I79,Config!$C$15:$C$19,0)),"•")))</f>
        <v>R2</v>
      </c>
      <c r="I79" s="114" t="str">
        <f aca="false">IF($E79="","",IF($B79="Tema",INDEX(Config!$E$6:$E$11,$D79),IF(INDEX(Avulsos!$D$6:$D$205,$C79)&amp;""="","Outro",INDEX(Avulsos!$D$6:$D$205,$C79))))</f>
        <v>Prática</v>
      </c>
      <c r="J79" s="114" t="str">
        <f aca="false">IF($E79="","",IF($B79="Tema",INDEX(Temas!$C$6:$C$305,$C79)&amp;"",INDEX(Avulsos!$E$6:$E$205,$C79)&amp;""))</f>
        <v>Ginecologia e Obstetrícia</v>
      </c>
      <c r="K79" s="114" t="str">
        <f aca="false">IF($E79="","",IF(IF($B79="Tema",INDEX(Temas!$E$6:$P$305,$C79,2*$D79),INDEX(Avulsos!$F$6:$F$205,$C79))&amp;""="","","✓"))</f>
        <v/>
      </c>
      <c r="L79" s="114" t="str">
        <f aca="true">IF($E79="","",IF($K79="✓","Concluído",IF($E79&lt;TODAY(),"Atrasado",IF($E79=TODAY(),"Hoje","Pendente"))))</f>
        <v>Pendente</v>
      </c>
      <c r="M79" s="114" t="str">
        <f aca="false">IF($E79="","",IF($K79="✓","✓ ","")&amp;IF(Config!$E$22="Sim",$H79&amp;" · ","")&amp;$F79)</f>
        <v>R2 · Distúrbios Hipertensivos na Gestação</v>
      </c>
      <c r="N79" s="114" t="str">
        <f aca="false">IF($E79="","",IFERROR(INDEX(Config!$D$15:$D$19,MATCH($I79,Config!$C$15:$C$19,0)),"OUT")&amp;IF($K79="✓","x",""))</f>
        <v>PRA</v>
      </c>
      <c r="O79" s="114" t="n">
        <f aca="false">IF($E79="","",COUNTIF($E$5:$E79,$E79))</f>
        <v>1</v>
      </c>
      <c r="P79" s="114" t="n">
        <f aca="false">IF($E79="","",$E79*100+$O79)</f>
        <v>4631601</v>
      </c>
      <c r="Q79" s="114" t="str">
        <f aca="false">IF($L79="Atrasado",$E79*10000+$A79,"")</f>
        <v/>
      </c>
    </row>
    <row r="80" customFormat="false" ht="15" hidden="false" customHeight="false" outlineLevel="0" collapsed="false">
      <c r="A80" s="114" t="n">
        <f aca="false">ROW()-4</f>
        <v>76</v>
      </c>
      <c r="B80" s="114" t="str">
        <f aca="false">IF(A80&lt;=Config!$E$27*Config!$E$28,"Tema","Avulso")</f>
        <v>Tema</v>
      </c>
      <c r="C80" s="114" t="n">
        <f aca="false">IF(B80="Tema",INT((A80-1)/Config!$E$28)+1,A80-Config!$E$27*Config!$E$28)</f>
        <v>13</v>
      </c>
      <c r="D80" s="114" t="n">
        <f aca="false">IF(B80="Tema",MOD(A80-1,Config!$E$28)+1,"")</f>
        <v>4</v>
      </c>
      <c r="E80" s="115" t="n">
        <f aca="false">IF($B80="Tema",IF(ISNUMBER(INDEX(Temas!$E$6:$P$305,$C80,2*$D80-1)),INDEX(Temas!$E$6:$P$305,$C80,2*$D80-1),""),IF(ISNUMBER(INDEX(Avulsos!$B$6:$B$205,$C80)),INDEX(Avulsos!$B$6:$B$205,$C80),""))</f>
        <v>46324</v>
      </c>
      <c r="F80" s="114" t="str">
        <f aca="false">IF($E80="","",IF($B80="Tema",INDEX(Temas!$B$6:$B$305,$C80)&amp;"",INDEX(Avulsos!$C$6:$C$205,$C80)&amp;""))</f>
        <v>Distúrbios Hipertensivos na Gestação</v>
      </c>
      <c r="G80" s="114" t="str">
        <f aca="false">IF($E80="","",IF($B80="Tema",INDEX(Config!$C$6:$C$11,$D80),"Evento avulso"))</f>
        <v>3ª Revisão</v>
      </c>
      <c r="H80" s="114" t="str">
        <f aca="false">IF($E80="","",IF($B80="Tema",INDEX(Config!$D$6:$D$11,$D80),IFERROR(INDEX(Config!$E$15:$E$19,MATCH($I80,Config!$C$15:$C$19,0)),"•")))</f>
        <v>R3</v>
      </c>
      <c r="I80" s="114" t="str">
        <f aca="false">IF($E80="","",IF($B80="Tema",INDEX(Config!$E$6:$E$11,$D80),IF(INDEX(Avulsos!$D$6:$D$205,$C80)&amp;""="","Outro",INDEX(Avulsos!$D$6:$D$205,$C80))))</f>
        <v>Prática</v>
      </c>
      <c r="J80" s="114" t="str">
        <f aca="false">IF($E80="","",IF($B80="Tema",INDEX(Temas!$C$6:$C$305,$C80)&amp;"",INDEX(Avulsos!$E$6:$E$205,$C80)&amp;""))</f>
        <v>Ginecologia e Obstetrícia</v>
      </c>
      <c r="K80" s="114" t="str">
        <f aca="false">IF($E80="","",IF(IF($B80="Tema",INDEX(Temas!$E$6:$P$305,$C80,2*$D80),INDEX(Avulsos!$F$6:$F$205,$C80))&amp;""="","","✓"))</f>
        <v/>
      </c>
      <c r="L80" s="114" t="str">
        <f aca="true">IF($E80="","",IF($K80="✓","Concluído",IF($E80&lt;TODAY(),"Atrasado",IF($E80=TODAY(),"Hoje","Pendente"))))</f>
        <v>Pendente</v>
      </c>
      <c r="M80" s="114" t="str">
        <f aca="false">IF($E80="","",IF($K80="✓","✓ ","")&amp;IF(Config!$E$22="Sim",$H80&amp;" · ","")&amp;$F80)</f>
        <v>R3 · Distúrbios Hipertensivos na Gestação</v>
      </c>
      <c r="N80" s="114" t="str">
        <f aca="false">IF($E80="","",IFERROR(INDEX(Config!$D$15:$D$19,MATCH($I80,Config!$C$15:$C$19,0)),"OUT")&amp;IF($K80="✓","x",""))</f>
        <v>PRA</v>
      </c>
      <c r="O80" s="114" t="n">
        <f aca="false">IF($E80="","",COUNTIF($E$5:$E80,$E80))</f>
        <v>1</v>
      </c>
      <c r="P80" s="114" t="n">
        <f aca="false">IF($E80="","",$E80*100+$O80)</f>
        <v>4632401</v>
      </c>
      <c r="Q80" s="114" t="str">
        <f aca="false">IF($L80="Atrasado",$E80*10000+$A80,"")</f>
        <v/>
      </c>
    </row>
    <row r="81" customFormat="false" ht="15" hidden="false" customHeight="false" outlineLevel="0" collapsed="false">
      <c r="A81" s="114" t="n">
        <f aca="false">ROW()-4</f>
        <v>77</v>
      </c>
      <c r="B81" s="114" t="str">
        <f aca="false">IF(A81&lt;=Config!$E$27*Config!$E$28,"Tema","Avulso")</f>
        <v>Tema</v>
      </c>
      <c r="C81" s="114" t="n">
        <f aca="false">IF(B81="Tema",INT((A81-1)/Config!$E$28)+1,A81-Config!$E$27*Config!$E$28)</f>
        <v>13</v>
      </c>
      <c r="D81" s="114" t="n">
        <f aca="false">IF(B81="Tema",MOD(A81-1,Config!$E$28)+1,"")</f>
        <v>5</v>
      </c>
      <c r="E81" s="115" t="n">
        <f aca="false">IF($B81="Tema",IF(ISNUMBER(INDEX(Temas!$E$6:$P$305,$C81,2*$D81-1)),INDEX(Temas!$E$6:$P$305,$C81,2*$D81-1),""),IF(ISNUMBER(INDEX(Avulsos!$B$6:$B$205,$C81)),INDEX(Avulsos!$B$6:$B$205,$C81),""))</f>
        <v>46339</v>
      </c>
      <c r="F81" s="114" t="str">
        <f aca="false">IF($E81="","",IF($B81="Tema",INDEX(Temas!$B$6:$B$305,$C81)&amp;"",INDEX(Avulsos!$C$6:$C$205,$C81)&amp;""))</f>
        <v>Distúrbios Hipertensivos na Gestação</v>
      </c>
      <c r="G81" s="114" t="str">
        <f aca="false">IF($E81="","",IF($B81="Tema",INDEX(Config!$C$6:$C$11,$D81),"Evento avulso"))</f>
        <v>4ª Revisão</v>
      </c>
      <c r="H81" s="114" t="str">
        <f aca="false">IF($E81="","",IF($B81="Tema",INDEX(Config!$D$6:$D$11,$D81),IFERROR(INDEX(Config!$E$15:$E$19,MATCH($I81,Config!$C$15:$C$19,0)),"•")))</f>
        <v>R4</v>
      </c>
      <c r="I81" s="114" t="str">
        <f aca="false">IF($E81="","",IF($B81="Tema",INDEX(Config!$E$6:$E$11,$D81),IF(INDEX(Avulsos!$D$6:$D$205,$C81)&amp;""="","Outro",INDEX(Avulsos!$D$6:$D$205,$C81))))</f>
        <v>Prática</v>
      </c>
      <c r="J81" s="114" t="str">
        <f aca="false">IF($E81="","",IF($B81="Tema",INDEX(Temas!$C$6:$C$305,$C81)&amp;"",INDEX(Avulsos!$E$6:$E$205,$C81)&amp;""))</f>
        <v>Ginecologia e Obstetrícia</v>
      </c>
      <c r="K81" s="114" t="str">
        <f aca="false">IF($E81="","",IF(IF($B81="Tema",INDEX(Temas!$E$6:$P$305,$C81,2*$D81),INDEX(Avulsos!$F$6:$F$205,$C81))&amp;""="","","✓"))</f>
        <v/>
      </c>
      <c r="L81" s="114" t="str">
        <f aca="true">IF($E81="","",IF($K81="✓","Concluído",IF($E81&lt;TODAY(),"Atrasado",IF($E81=TODAY(),"Hoje","Pendente"))))</f>
        <v>Pendente</v>
      </c>
      <c r="M81" s="114" t="str">
        <f aca="false">IF($E81="","",IF($K81="✓","✓ ","")&amp;IF(Config!$E$22="Sim",$H81&amp;" · ","")&amp;$F81)</f>
        <v>R4 · Distúrbios Hipertensivos na Gestação</v>
      </c>
      <c r="N81" s="114" t="str">
        <f aca="false">IF($E81="","",IFERROR(INDEX(Config!$D$15:$D$19,MATCH($I81,Config!$C$15:$C$19,0)),"OUT")&amp;IF($K81="✓","x",""))</f>
        <v>PRA</v>
      </c>
      <c r="O81" s="114" t="n">
        <f aca="false">IF($E81="","",COUNTIF($E$5:$E81,$E81))</f>
        <v>1</v>
      </c>
      <c r="P81" s="114" t="n">
        <f aca="false">IF($E81="","",$E81*100+$O81)</f>
        <v>4633901</v>
      </c>
      <c r="Q81" s="114" t="str">
        <f aca="false">IF($L81="Atrasado",$E81*10000+$A81,"")</f>
        <v/>
      </c>
    </row>
    <row r="82" customFormat="false" ht="15" hidden="false" customHeight="false" outlineLevel="0" collapsed="false">
      <c r="A82" s="114" t="n">
        <f aca="false">ROW()-4</f>
        <v>78</v>
      </c>
      <c r="B82" s="114" t="str">
        <f aca="false">IF(A82&lt;=Config!$E$27*Config!$E$28,"Tema","Avulso")</f>
        <v>Tema</v>
      </c>
      <c r="C82" s="114" t="n">
        <f aca="false">IF(B82="Tema",INT((A82-1)/Config!$E$28)+1,A82-Config!$E$27*Config!$E$28)</f>
        <v>13</v>
      </c>
      <c r="D82" s="114" t="n">
        <f aca="false">IF(B82="Tema",MOD(A82-1,Config!$E$28)+1,"")</f>
        <v>6</v>
      </c>
      <c r="E82" s="115" t="n">
        <f aca="false">IF($B82="Tema",IF(ISNUMBER(INDEX(Temas!$E$6:$P$305,$C82,2*$D82-1)),INDEX(Temas!$E$6:$P$305,$C82,2*$D82-1),""),IF(ISNUMBER(INDEX(Avulsos!$B$6:$B$205,$C82)),INDEX(Avulsos!$B$6:$B$205,$C82),""))</f>
        <v>46369</v>
      </c>
      <c r="F82" s="114" t="str">
        <f aca="false">IF($E82="","",IF($B82="Tema",INDEX(Temas!$B$6:$B$305,$C82)&amp;"",INDEX(Avulsos!$C$6:$C$205,$C82)&amp;""))</f>
        <v>Distúrbios Hipertensivos na Gestação</v>
      </c>
      <c r="G82" s="114" t="str">
        <f aca="false">IF($E82="","",IF($B82="Tema",INDEX(Config!$C$6:$C$11,$D82),"Evento avulso"))</f>
        <v>5ª Revisão</v>
      </c>
      <c r="H82" s="114" t="str">
        <f aca="false">IF($E82="","",IF($B82="Tema",INDEX(Config!$D$6:$D$11,$D82),IFERROR(INDEX(Config!$E$15:$E$19,MATCH($I82,Config!$C$15:$C$19,0)),"•")))</f>
        <v>R5</v>
      </c>
      <c r="I82" s="114" t="str">
        <f aca="false">IF($E82="","",IF($B82="Tema",INDEX(Config!$E$6:$E$11,$D82),IF(INDEX(Avulsos!$D$6:$D$205,$C82)&amp;""="","Outro",INDEX(Avulsos!$D$6:$D$205,$C82))))</f>
        <v>Revisão</v>
      </c>
      <c r="J82" s="114" t="str">
        <f aca="false">IF($E82="","",IF($B82="Tema",INDEX(Temas!$C$6:$C$305,$C82)&amp;"",INDEX(Avulsos!$E$6:$E$205,$C82)&amp;""))</f>
        <v>Ginecologia e Obstetrícia</v>
      </c>
      <c r="K82" s="114" t="str">
        <f aca="false">IF($E82="","",IF(IF($B82="Tema",INDEX(Temas!$E$6:$P$305,$C82,2*$D82),INDEX(Avulsos!$F$6:$F$205,$C82))&amp;""="","","✓"))</f>
        <v/>
      </c>
      <c r="L82" s="114" t="str">
        <f aca="true">IF($E82="","",IF($K82="✓","Concluído",IF($E82&lt;TODAY(),"Atrasado",IF($E82=TODAY(),"Hoje","Pendente"))))</f>
        <v>Pendente</v>
      </c>
      <c r="M82" s="114" t="str">
        <f aca="false">IF($E82="","",IF($K82="✓","✓ ","")&amp;IF(Config!$E$22="Sim",$H82&amp;" · ","")&amp;$F82)</f>
        <v>R5 · Distúrbios Hipertensivos na Gestação</v>
      </c>
      <c r="N82" s="114" t="str">
        <f aca="false">IF($E82="","",IFERROR(INDEX(Config!$D$15:$D$19,MATCH($I82,Config!$C$15:$C$19,0)),"OUT")&amp;IF($K82="✓","x",""))</f>
        <v>REV</v>
      </c>
      <c r="O82" s="114" t="n">
        <f aca="false">IF($E82="","",COUNTIF($E$5:$E82,$E82))</f>
        <v>1</v>
      </c>
      <c r="P82" s="114" t="n">
        <f aca="false">IF($E82="","",$E82*100+$O82)</f>
        <v>4636901</v>
      </c>
      <c r="Q82" s="114" t="str">
        <f aca="false">IF($L82="Atrasado",$E82*10000+$A82,"")</f>
        <v/>
      </c>
    </row>
    <row r="83" customFormat="false" ht="15" hidden="false" customHeight="false" outlineLevel="0" collapsed="false">
      <c r="A83" s="114" t="n">
        <f aca="false">ROW()-4</f>
        <v>79</v>
      </c>
      <c r="B83" s="114" t="str">
        <f aca="false">IF(A83&lt;=Config!$E$27*Config!$E$28,"Tema","Avulso")</f>
        <v>Tema</v>
      </c>
      <c r="C83" s="114" t="n">
        <f aca="false">IF(B83="Tema",INT((A83-1)/Config!$E$28)+1,A83-Config!$E$27*Config!$E$28)</f>
        <v>14</v>
      </c>
      <c r="D83" s="114" t="n">
        <f aca="false">IF(B83="Tema",MOD(A83-1,Config!$E$28)+1,"")</f>
        <v>1</v>
      </c>
      <c r="E83" s="115" t="n">
        <f aca="false">IF($B83="Tema",IF(ISNUMBER(INDEX(Temas!$E$6:$P$305,$C83,2*$D83-1)),INDEX(Temas!$E$6:$P$305,$C83,2*$D83-1),""),IF(ISNUMBER(INDEX(Avulsos!$B$6:$B$205,$C83)),INDEX(Avulsos!$B$6:$B$205,$C83),""))</f>
        <v>46309</v>
      </c>
      <c r="F83" s="114" t="str">
        <f aca="false">IF($E83="","",IF($B83="Tema",INDEX(Temas!$B$6:$B$305,$C83)&amp;"",INDEX(Avulsos!$C$6:$C$205,$C83)&amp;""))</f>
        <v>Sofrimento Fetal e Vitalidade Fetal</v>
      </c>
      <c r="G83" s="114" t="str">
        <f aca="false">IF($E83="","",IF($B83="Tema",INDEX(Config!$C$6:$C$11,$D83),"Evento avulso"))</f>
        <v>Aula teórica</v>
      </c>
      <c r="H83" s="114" t="str">
        <f aca="false">IF($E83="","",IF($B83="Tema",INDEX(Config!$D$6:$D$11,$D83),IFERROR(INDEX(Config!$E$15:$E$19,MATCH($I83,Config!$C$15:$C$19,0)),"•")))</f>
        <v>T</v>
      </c>
      <c r="I83" s="114" t="str">
        <f aca="false">IF($E83="","",IF($B83="Tema",INDEX(Config!$E$6:$E$11,$D83),IF(INDEX(Avulsos!$D$6:$D$205,$C83)&amp;""="","Outro",INDEX(Avulsos!$D$6:$D$205,$C83))))</f>
        <v>Teórica</v>
      </c>
      <c r="J83" s="114" t="str">
        <f aca="false">IF($E83="","",IF($B83="Tema",INDEX(Temas!$C$6:$C$305,$C83)&amp;"",INDEX(Avulsos!$E$6:$E$205,$C83)&amp;""))</f>
        <v>Ginecologia e Obstetrícia</v>
      </c>
      <c r="K83" s="114" t="str">
        <f aca="false">IF($E83="","",IF(IF($B83="Tema",INDEX(Temas!$E$6:$P$305,$C83,2*$D83),INDEX(Avulsos!$F$6:$F$205,$C83))&amp;""="","","✓"))</f>
        <v/>
      </c>
      <c r="L83" s="114" t="str">
        <f aca="true">IF($E83="","",IF($K83="✓","Concluído",IF($E83&lt;TODAY(),"Atrasado",IF($E83=TODAY(),"Hoje","Pendente"))))</f>
        <v>Pendente</v>
      </c>
      <c r="M83" s="114" t="str">
        <f aca="false">IF($E83="","",IF($K83="✓","✓ ","")&amp;IF(Config!$E$22="Sim",$H83&amp;" · ","")&amp;$F83)</f>
        <v>T · Sofrimento Fetal e Vitalidade Fetal</v>
      </c>
      <c r="N83" s="114" t="str">
        <f aca="false">IF($E83="","",IFERROR(INDEX(Config!$D$15:$D$19,MATCH($I83,Config!$C$15:$C$19,0)),"OUT")&amp;IF($K83="✓","x",""))</f>
        <v>TEO</v>
      </c>
      <c r="O83" s="114" t="n">
        <f aca="false">IF($E83="","",COUNTIF($E$5:$E83,$E83))</f>
        <v>2</v>
      </c>
      <c r="P83" s="114" t="n">
        <f aca="false">IF($E83="","",$E83*100+$O83)</f>
        <v>4630902</v>
      </c>
      <c r="Q83" s="114" t="str">
        <f aca="false">IF($L83="Atrasado",$E83*10000+$A83,"")</f>
        <v/>
      </c>
    </row>
    <row r="84" customFormat="false" ht="15" hidden="false" customHeight="false" outlineLevel="0" collapsed="false">
      <c r="A84" s="114" t="n">
        <f aca="false">ROW()-4</f>
        <v>80</v>
      </c>
      <c r="B84" s="114" t="str">
        <f aca="false">IF(A84&lt;=Config!$E$27*Config!$E$28,"Tema","Avulso")</f>
        <v>Tema</v>
      </c>
      <c r="C84" s="114" t="n">
        <f aca="false">IF(B84="Tema",INT((A84-1)/Config!$E$28)+1,A84-Config!$E$27*Config!$E$28)</f>
        <v>14</v>
      </c>
      <c r="D84" s="114" t="n">
        <f aca="false">IF(B84="Tema",MOD(A84-1,Config!$E$28)+1,"")</f>
        <v>2</v>
      </c>
      <c r="E84" s="115" t="n">
        <f aca="false">IF($B84="Tema",IF(ISNUMBER(INDEX(Temas!$E$6:$P$305,$C84,2*$D84-1)),INDEX(Temas!$E$6:$P$305,$C84,2*$D84-1),""),IF(ISNUMBER(INDEX(Avulsos!$B$6:$B$205,$C84)),INDEX(Avulsos!$B$6:$B$205,$C84),""))</f>
        <v>46310</v>
      </c>
      <c r="F84" s="114" t="str">
        <f aca="false">IF($E84="","",IF($B84="Tema",INDEX(Temas!$B$6:$B$305,$C84)&amp;"",INDEX(Avulsos!$C$6:$C$205,$C84)&amp;""))</f>
        <v>Sofrimento Fetal e Vitalidade Fetal</v>
      </c>
      <c r="G84" s="114" t="str">
        <f aca="false">IF($E84="","",IF($B84="Tema",INDEX(Config!$C$6:$C$11,$D84),"Evento avulso"))</f>
        <v>1ª Revisão</v>
      </c>
      <c r="H84" s="114" t="str">
        <f aca="false">IF($E84="","",IF($B84="Tema",INDEX(Config!$D$6:$D$11,$D84),IFERROR(INDEX(Config!$E$15:$E$19,MATCH($I84,Config!$C$15:$C$19,0)),"•")))</f>
        <v>R1</v>
      </c>
      <c r="I84" s="114" t="str">
        <f aca="false">IF($E84="","",IF($B84="Tema",INDEX(Config!$E$6:$E$11,$D84),IF(INDEX(Avulsos!$D$6:$D$205,$C84)&amp;""="","Outro",INDEX(Avulsos!$D$6:$D$205,$C84))))</f>
        <v>Revisão</v>
      </c>
      <c r="J84" s="114" t="str">
        <f aca="false">IF($E84="","",IF($B84="Tema",INDEX(Temas!$C$6:$C$305,$C84)&amp;"",INDEX(Avulsos!$E$6:$E$205,$C84)&amp;""))</f>
        <v>Ginecologia e Obstetrícia</v>
      </c>
      <c r="K84" s="114" t="str">
        <f aca="false">IF($E84="","",IF(IF($B84="Tema",INDEX(Temas!$E$6:$P$305,$C84,2*$D84),INDEX(Avulsos!$F$6:$F$205,$C84))&amp;""="","","✓"))</f>
        <v/>
      </c>
      <c r="L84" s="114" t="str">
        <f aca="true">IF($E84="","",IF($K84="✓","Concluído",IF($E84&lt;TODAY(),"Atrasado",IF($E84=TODAY(),"Hoje","Pendente"))))</f>
        <v>Pendente</v>
      </c>
      <c r="M84" s="114" t="str">
        <f aca="false">IF($E84="","",IF($K84="✓","✓ ","")&amp;IF(Config!$E$22="Sim",$H84&amp;" · ","")&amp;$F84)</f>
        <v>R1 · Sofrimento Fetal e Vitalidade Fetal</v>
      </c>
      <c r="N84" s="114" t="str">
        <f aca="false">IF($E84="","",IFERROR(INDEX(Config!$D$15:$D$19,MATCH($I84,Config!$C$15:$C$19,0)),"OUT")&amp;IF($K84="✓","x",""))</f>
        <v>REV</v>
      </c>
      <c r="O84" s="114" t="n">
        <f aca="false">IF($E84="","",COUNTIF($E$5:$E84,$E84))</f>
        <v>3</v>
      </c>
      <c r="P84" s="114" t="n">
        <f aca="false">IF($E84="","",$E84*100+$O84)</f>
        <v>4631003</v>
      </c>
      <c r="Q84" s="114" t="str">
        <f aca="false">IF($L84="Atrasado",$E84*10000+$A84,"")</f>
        <v/>
      </c>
    </row>
    <row r="85" customFormat="false" ht="15" hidden="false" customHeight="false" outlineLevel="0" collapsed="false">
      <c r="A85" s="114" t="n">
        <f aca="false">ROW()-4</f>
        <v>81</v>
      </c>
      <c r="B85" s="114" t="str">
        <f aca="false">IF(A85&lt;=Config!$E$27*Config!$E$28,"Tema","Avulso")</f>
        <v>Tema</v>
      </c>
      <c r="C85" s="114" t="n">
        <f aca="false">IF(B85="Tema",INT((A85-1)/Config!$E$28)+1,A85-Config!$E$27*Config!$E$28)</f>
        <v>14</v>
      </c>
      <c r="D85" s="114" t="n">
        <f aca="false">IF(B85="Tema",MOD(A85-1,Config!$E$28)+1,"")</f>
        <v>3</v>
      </c>
      <c r="E85" s="115" t="n">
        <f aca="false">IF($B85="Tema",IF(ISNUMBER(INDEX(Temas!$E$6:$P$305,$C85,2*$D85-1)),INDEX(Temas!$E$6:$P$305,$C85,2*$D85-1),""),IF(ISNUMBER(INDEX(Avulsos!$B$6:$B$205,$C85)),INDEX(Avulsos!$B$6:$B$205,$C85),""))</f>
        <v>46316</v>
      </c>
      <c r="F85" s="114" t="str">
        <f aca="false">IF($E85="","",IF($B85="Tema",INDEX(Temas!$B$6:$B$305,$C85)&amp;"",INDEX(Avulsos!$C$6:$C$205,$C85)&amp;""))</f>
        <v>Sofrimento Fetal e Vitalidade Fetal</v>
      </c>
      <c r="G85" s="114" t="str">
        <f aca="false">IF($E85="","",IF($B85="Tema",INDEX(Config!$C$6:$C$11,$D85),"Evento avulso"))</f>
        <v>2ª Revisão</v>
      </c>
      <c r="H85" s="114" t="str">
        <f aca="false">IF($E85="","",IF($B85="Tema",INDEX(Config!$D$6:$D$11,$D85),IFERROR(INDEX(Config!$E$15:$E$19,MATCH($I85,Config!$C$15:$C$19,0)),"•")))</f>
        <v>R2</v>
      </c>
      <c r="I85" s="114" t="str">
        <f aca="false">IF($E85="","",IF($B85="Tema",INDEX(Config!$E$6:$E$11,$D85),IF(INDEX(Avulsos!$D$6:$D$205,$C85)&amp;""="","Outro",INDEX(Avulsos!$D$6:$D$205,$C85))))</f>
        <v>Prática</v>
      </c>
      <c r="J85" s="114" t="str">
        <f aca="false">IF($E85="","",IF($B85="Tema",INDEX(Temas!$C$6:$C$305,$C85)&amp;"",INDEX(Avulsos!$E$6:$E$205,$C85)&amp;""))</f>
        <v>Ginecologia e Obstetrícia</v>
      </c>
      <c r="K85" s="114" t="str">
        <f aca="false">IF($E85="","",IF(IF($B85="Tema",INDEX(Temas!$E$6:$P$305,$C85,2*$D85),INDEX(Avulsos!$F$6:$F$205,$C85))&amp;""="","","✓"))</f>
        <v/>
      </c>
      <c r="L85" s="114" t="str">
        <f aca="true">IF($E85="","",IF($K85="✓","Concluído",IF($E85&lt;TODAY(),"Atrasado",IF($E85=TODAY(),"Hoje","Pendente"))))</f>
        <v>Pendente</v>
      </c>
      <c r="M85" s="114" t="str">
        <f aca="false">IF($E85="","",IF($K85="✓","✓ ","")&amp;IF(Config!$E$22="Sim",$H85&amp;" · ","")&amp;$F85)</f>
        <v>R2 · Sofrimento Fetal e Vitalidade Fetal</v>
      </c>
      <c r="N85" s="114" t="str">
        <f aca="false">IF($E85="","",IFERROR(INDEX(Config!$D$15:$D$19,MATCH($I85,Config!$C$15:$C$19,0)),"OUT")&amp;IF($K85="✓","x",""))</f>
        <v>PRA</v>
      </c>
      <c r="O85" s="114" t="n">
        <f aca="false">IF($E85="","",COUNTIF($E$5:$E85,$E85))</f>
        <v>2</v>
      </c>
      <c r="P85" s="114" t="n">
        <f aca="false">IF($E85="","",$E85*100+$O85)</f>
        <v>4631602</v>
      </c>
      <c r="Q85" s="114" t="str">
        <f aca="false">IF($L85="Atrasado",$E85*10000+$A85,"")</f>
        <v/>
      </c>
    </row>
    <row r="86" customFormat="false" ht="15" hidden="false" customHeight="false" outlineLevel="0" collapsed="false">
      <c r="A86" s="114" t="n">
        <f aca="false">ROW()-4</f>
        <v>82</v>
      </c>
      <c r="B86" s="114" t="str">
        <f aca="false">IF(A86&lt;=Config!$E$27*Config!$E$28,"Tema","Avulso")</f>
        <v>Tema</v>
      </c>
      <c r="C86" s="114" t="n">
        <f aca="false">IF(B86="Tema",INT((A86-1)/Config!$E$28)+1,A86-Config!$E$27*Config!$E$28)</f>
        <v>14</v>
      </c>
      <c r="D86" s="114" t="n">
        <f aca="false">IF(B86="Tema",MOD(A86-1,Config!$E$28)+1,"")</f>
        <v>4</v>
      </c>
      <c r="E86" s="115" t="n">
        <f aca="false">IF($B86="Tema",IF(ISNUMBER(INDEX(Temas!$E$6:$P$305,$C86,2*$D86-1)),INDEX(Temas!$E$6:$P$305,$C86,2*$D86-1),""),IF(ISNUMBER(INDEX(Avulsos!$B$6:$B$205,$C86)),INDEX(Avulsos!$B$6:$B$205,$C86),""))</f>
        <v>46324</v>
      </c>
      <c r="F86" s="114" t="str">
        <f aca="false">IF($E86="","",IF($B86="Tema",INDEX(Temas!$B$6:$B$305,$C86)&amp;"",INDEX(Avulsos!$C$6:$C$205,$C86)&amp;""))</f>
        <v>Sofrimento Fetal e Vitalidade Fetal</v>
      </c>
      <c r="G86" s="114" t="str">
        <f aca="false">IF($E86="","",IF($B86="Tema",INDEX(Config!$C$6:$C$11,$D86),"Evento avulso"))</f>
        <v>3ª Revisão</v>
      </c>
      <c r="H86" s="114" t="str">
        <f aca="false">IF($E86="","",IF($B86="Tema",INDEX(Config!$D$6:$D$11,$D86),IFERROR(INDEX(Config!$E$15:$E$19,MATCH($I86,Config!$C$15:$C$19,0)),"•")))</f>
        <v>R3</v>
      </c>
      <c r="I86" s="114" t="str">
        <f aca="false">IF($E86="","",IF($B86="Tema",INDEX(Config!$E$6:$E$11,$D86),IF(INDEX(Avulsos!$D$6:$D$205,$C86)&amp;""="","Outro",INDEX(Avulsos!$D$6:$D$205,$C86))))</f>
        <v>Prática</v>
      </c>
      <c r="J86" s="114" t="str">
        <f aca="false">IF($E86="","",IF($B86="Tema",INDEX(Temas!$C$6:$C$305,$C86)&amp;"",INDEX(Avulsos!$E$6:$E$205,$C86)&amp;""))</f>
        <v>Ginecologia e Obstetrícia</v>
      </c>
      <c r="K86" s="114" t="str">
        <f aca="false">IF($E86="","",IF(IF($B86="Tema",INDEX(Temas!$E$6:$P$305,$C86,2*$D86),INDEX(Avulsos!$F$6:$F$205,$C86))&amp;""="","","✓"))</f>
        <v/>
      </c>
      <c r="L86" s="114" t="str">
        <f aca="true">IF($E86="","",IF($K86="✓","Concluído",IF($E86&lt;TODAY(),"Atrasado",IF($E86=TODAY(),"Hoje","Pendente"))))</f>
        <v>Pendente</v>
      </c>
      <c r="M86" s="114" t="str">
        <f aca="false">IF($E86="","",IF($K86="✓","✓ ","")&amp;IF(Config!$E$22="Sim",$H86&amp;" · ","")&amp;$F86)</f>
        <v>R3 · Sofrimento Fetal e Vitalidade Fetal</v>
      </c>
      <c r="N86" s="114" t="str">
        <f aca="false">IF($E86="","",IFERROR(INDEX(Config!$D$15:$D$19,MATCH($I86,Config!$C$15:$C$19,0)),"OUT")&amp;IF($K86="✓","x",""))</f>
        <v>PRA</v>
      </c>
      <c r="O86" s="114" t="n">
        <f aca="false">IF($E86="","",COUNTIF($E$5:$E86,$E86))</f>
        <v>2</v>
      </c>
      <c r="P86" s="114" t="n">
        <f aca="false">IF($E86="","",$E86*100+$O86)</f>
        <v>4632402</v>
      </c>
      <c r="Q86" s="114" t="str">
        <f aca="false">IF($L86="Atrasado",$E86*10000+$A86,"")</f>
        <v/>
      </c>
    </row>
    <row r="87" customFormat="false" ht="15" hidden="false" customHeight="false" outlineLevel="0" collapsed="false">
      <c r="A87" s="114" t="n">
        <f aca="false">ROW()-4</f>
        <v>83</v>
      </c>
      <c r="B87" s="114" t="str">
        <f aca="false">IF(A87&lt;=Config!$E$27*Config!$E$28,"Tema","Avulso")</f>
        <v>Tema</v>
      </c>
      <c r="C87" s="114" t="n">
        <f aca="false">IF(B87="Tema",INT((A87-1)/Config!$E$28)+1,A87-Config!$E$27*Config!$E$28)</f>
        <v>14</v>
      </c>
      <c r="D87" s="114" t="n">
        <f aca="false">IF(B87="Tema",MOD(A87-1,Config!$E$28)+1,"")</f>
        <v>5</v>
      </c>
      <c r="E87" s="115" t="n">
        <f aca="false">IF($B87="Tema",IF(ISNUMBER(INDEX(Temas!$E$6:$P$305,$C87,2*$D87-1)),INDEX(Temas!$E$6:$P$305,$C87,2*$D87-1),""),IF(ISNUMBER(INDEX(Avulsos!$B$6:$B$205,$C87)),INDEX(Avulsos!$B$6:$B$205,$C87),""))</f>
        <v>46339</v>
      </c>
      <c r="F87" s="114" t="str">
        <f aca="false">IF($E87="","",IF($B87="Tema",INDEX(Temas!$B$6:$B$305,$C87)&amp;"",INDEX(Avulsos!$C$6:$C$205,$C87)&amp;""))</f>
        <v>Sofrimento Fetal e Vitalidade Fetal</v>
      </c>
      <c r="G87" s="114" t="str">
        <f aca="false">IF($E87="","",IF($B87="Tema",INDEX(Config!$C$6:$C$11,$D87),"Evento avulso"))</f>
        <v>4ª Revisão</v>
      </c>
      <c r="H87" s="114" t="str">
        <f aca="false">IF($E87="","",IF($B87="Tema",INDEX(Config!$D$6:$D$11,$D87),IFERROR(INDEX(Config!$E$15:$E$19,MATCH($I87,Config!$C$15:$C$19,0)),"•")))</f>
        <v>R4</v>
      </c>
      <c r="I87" s="114" t="str">
        <f aca="false">IF($E87="","",IF($B87="Tema",INDEX(Config!$E$6:$E$11,$D87),IF(INDEX(Avulsos!$D$6:$D$205,$C87)&amp;""="","Outro",INDEX(Avulsos!$D$6:$D$205,$C87))))</f>
        <v>Prática</v>
      </c>
      <c r="J87" s="114" t="str">
        <f aca="false">IF($E87="","",IF($B87="Tema",INDEX(Temas!$C$6:$C$305,$C87)&amp;"",INDEX(Avulsos!$E$6:$E$205,$C87)&amp;""))</f>
        <v>Ginecologia e Obstetrícia</v>
      </c>
      <c r="K87" s="114" t="str">
        <f aca="false">IF($E87="","",IF(IF($B87="Tema",INDEX(Temas!$E$6:$P$305,$C87,2*$D87),INDEX(Avulsos!$F$6:$F$205,$C87))&amp;""="","","✓"))</f>
        <v/>
      </c>
      <c r="L87" s="114" t="str">
        <f aca="true">IF($E87="","",IF($K87="✓","Concluído",IF($E87&lt;TODAY(),"Atrasado",IF($E87=TODAY(),"Hoje","Pendente"))))</f>
        <v>Pendente</v>
      </c>
      <c r="M87" s="114" t="str">
        <f aca="false">IF($E87="","",IF($K87="✓","✓ ","")&amp;IF(Config!$E$22="Sim",$H87&amp;" · ","")&amp;$F87)</f>
        <v>R4 · Sofrimento Fetal e Vitalidade Fetal</v>
      </c>
      <c r="N87" s="114" t="str">
        <f aca="false">IF($E87="","",IFERROR(INDEX(Config!$D$15:$D$19,MATCH($I87,Config!$C$15:$C$19,0)),"OUT")&amp;IF($K87="✓","x",""))</f>
        <v>PRA</v>
      </c>
      <c r="O87" s="114" t="n">
        <f aca="false">IF($E87="","",COUNTIF($E$5:$E87,$E87))</f>
        <v>2</v>
      </c>
      <c r="P87" s="114" t="n">
        <f aca="false">IF($E87="","",$E87*100+$O87)</f>
        <v>4633902</v>
      </c>
      <c r="Q87" s="114" t="str">
        <f aca="false">IF($L87="Atrasado",$E87*10000+$A87,"")</f>
        <v/>
      </c>
    </row>
    <row r="88" customFormat="false" ht="15" hidden="false" customHeight="false" outlineLevel="0" collapsed="false">
      <c r="A88" s="114" t="n">
        <f aca="false">ROW()-4</f>
        <v>84</v>
      </c>
      <c r="B88" s="114" t="str">
        <f aca="false">IF(A88&lt;=Config!$E$27*Config!$E$28,"Tema","Avulso")</f>
        <v>Tema</v>
      </c>
      <c r="C88" s="114" t="n">
        <f aca="false">IF(B88="Tema",INT((A88-1)/Config!$E$28)+1,A88-Config!$E$27*Config!$E$28)</f>
        <v>14</v>
      </c>
      <c r="D88" s="114" t="n">
        <f aca="false">IF(B88="Tema",MOD(A88-1,Config!$E$28)+1,"")</f>
        <v>6</v>
      </c>
      <c r="E88" s="115" t="n">
        <f aca="false">IF($B88="Tema",IF(ISNUMBER(INDEX(Temas!$E$6:$P$305,$C88,2*$D88-1)),INDEX(Temas!$E$6:$P$305,$C88,2*$D88-1),""),IF(ISNUMBER(INDEX(Avulsos!$B$6:$B$205,$C88)),INDEX(Avulsos!$B$6:$B$205,$C88),""))</f>
        <v>46369</v>
      </c>
      <c r="F88" s="114" t="str">
        <f aca="false">IF($E88="","",IF($B88="Tema",INDEX(Temas!$B$6:$B$305,$C88)&amp;"",INDEX(Avulsos!$C$6:$C$205,$C88)&amp;""))</f>
        <v>Sofrimento Fetal e Vitalidade Fetal</v>
      </c>
      <c r="G88" s="114" t="str">
        <f aca="false">IF($E88="","",IF($B88="Tema",INDEX(Config!$C$6:$C$11,$D88),"Evento avulso"))</f>
        <v>5ª Revisão</v>
      </c>
      <c r="H88" s="114" t="str">
        <f aca="false">IF($E88="","",IF($B88="Tema",INDEX(Config!$D$6:$D$11,$D88),IFERROR(INDEX(Config!$E$15:$E$19,MATCH($I88,Config!$C$15:$C$19,0)),"•")))</f>
        <v>R5</v>
      </c>
      <c r="I88" s="114" t="str">
        <f aca="false">IF($E88="","",IF($B88="Tema",INDEX(Config!$E$6:$E$11,$D88),IF(INDEX(Avulsos!$D$6:$D$205,$C88)&amp;""="","Outro",INDEX(Avulsos!$D$6:$D$205,$C88))))</f>
        <v>Revisão</v>
      </c>
      <c r="J88" s="114" t="str">
        <f aca="false">IF($E88="","",IF($B88="Tema",INDEX(Temas!$C$6:$C$305,$C88)&amp;"",INDEX(Avulsos!$E$6:$E$205,$C88)&amp;""))</f>
        <v>Ginecologia e Obstetrícia</v>
      </c>
      <c r="K88" s="114" t="str">
        <f aca="false">IF($E88="","",IF(IF($B88="Tema",INDEX(Temas!$E$6:$P$305,$C88,2*$D88),INDEX(Avulsos!$F$6:$F$205,$C88))&amp;""="","","✓"))</f>
        <v/>
      </c>
      <c r="L88" s="114" t="str">
        <f aca="true">IF($E88="","",IF($K88="✓","Concluído",IF($E88&lt;TODAY(),"Atrasado",IF($E88=TODAY(),"Hoje","Pendente"))))</f>
        <v>Pendente</v>
      </c>
      <c r="M88" s="114" t="str">
        <f aca="false">IF($E88="","",IF($K88="✓","✓ ","")&amp;IF(Config!$E$22="Sim",$H88&amp;" · ","")&amp;$F88)</f>
        <v>R5 · Sofrimento Fetal e Vitalidade Fetal</v>
      </c>
      <c r="N88" s="114" t="str">
        <f aca="false">IF($E88="","",IFERROR(INDEX(Config!$D$15:$D$19,MATCH($I88,Config!$C$15:$C$19,0)),"OUT")&amp;IF($K88="✓","x",""))</f>
        <v>REV</v>
      </c>
      <c r="O88" s="114" t="n">
        <f aca="false">IF($E88="","",COUNTIF($E$5:$E88,$E88))</f>
        <v>2</v>
      </c>
      <c r="P88" s="114" t="n">
        <f aca="false">IF($E88="","",$E88*100+$O88)</f>
        <v>4636902</v>
      </c>
      <c r="Q88" s="114" t="str">
        <f aca="false">IF($L88="Atrasado",$E88*10000+$A88,"")</f>
        <v/>
      </c>
    </row>
    <row r="89" customFormat="false" ht="15" hidden="false" customHeight="false" outlineLevel="0" collapsed="false">
      <c r="A89" s="114" t="n">
        <f aca="false">ROW()-4</f>
        <v>85</v>
      </c>
      <c r="B89" s="114" t="str">
        <f aca="false">IF(A89&lt;=Config!$E$27*Config!$E$28,"Tema","Avulso")</f>
        <v>Tema</v>
      </c>
      <c r="C89" s="114" t="n">
        <f aca="false">IF(B89="Tema",INT((A89-1)/Config!$E$28)+1,A89-Config!$E$27*Config!$E$28)</f>
        <v>15</v>
      </c>
      <c r="D89" s="114" t="n">
        <f aca="false">IF(B89="Tema",MOD(A89-1,Config!$E$28)+1,"")</f>
        <v>1</v>
      </c>
      <c r="E89" s="115" t="n">
        <f aca="false">IF($B89="Tema",IF(ISNUMBER(INDEX(Temas!$E$6:$P$305,$C89,2*$D89-1)),INDEX(Temas!$E$6:$P$305,$C89,2*$D89-1),""),IF(ISNUMBER(INDEX(Avulsos!$B$6:$B$205,$C89)),INDEX(Avulsos!$B$6:$B$205,$C89),""))</f>
        <v>46311</v>
      </c>
      <c r="F89" s="114" t="str">
        <f aca="false">IF($E89="","",IF($B89="Tema",INDEX(Temas!$B$6:$B$305,$C89)&amp;"",INDEX(Avulsos!$C$6:$C$205,$C89)&amp;""))</f>
        <v>Doenças da Suprarrenal</v>
      </c>
      <c r="G89" s="114" t="str">
        <f aca="false">IF($E89="","",IF($B89="Tema",INDEX(Config!$C$6:$C$11,$D89),"Evento avulso"))</f>
        <v>Aula teórica</v>
      </c>
      <c r="H89" s="114" t="str">
        <f aca="false">IF($E89="","",IF($B89="Tema",INDEX(Config!$D$6:$D$11,$D89),IFERROR(INDEX(Config!$E$15:$E$19,MATCH($I89,Config!$C$15:$C$19,0)),"•")))</f>
        <v>T</v>
      </c>
      <c r="I89" s="114" t="str">
        <f aca="false">IF($E89="","",IF($B89="Tema",INDEX(Config!$E$6:$E$11,$D89),IF(INDEX(Avulsos!$D$6:$D$205,$C89)&amp;""="","Outro",INDEX(Avulsos!$D$6:$D$205,$C89))))</f>
        <v>Teórica</v>
      </c>
      <c r="J89" s="114" t="str">
        <f aca="false">IF($E89="","",IF($B89="Tema",INDEX(Temas!$C$6:$C$305,$C89)&amp;"",INDEX(Avulsos!$E$6:$E$205,$C89)&amp;""))</f>
        <v>Clínica Médica</v>
      </c>
      <c r="K89" s="114" t="str">
        <f aca="false">IF($E89="","",IF(IF($B89="Tema",INDEX(Temas!$E$6:$P$305,$C89,2*$D89),INDEX(Avulsos!$F$6:$F$205,$C89))&amp;""="","","✓"))</f>
        <v/>
      </c>
      <c r="L89" s="114" t="str">
        <f aca="true">IF($E89="","",IF($K89="✓","Concluído",IF($E89&lt;TODAY(),"Atrasado",IF($E89=TODAY(),"Hoje","Pendente"))))</f>
        <v>Pendente</v>
      </c>
      <c r="M89" s="114" t="str">
        <f aca="false">IF($E89="","",IF($K89="✓","✓ ","")&amp;IF(Config!$E$22="Sim",$H89&amp;" · ","")&amp;$F89)</f>
        <v>T · Doenças da Suprarrenal</v>
      </c>
      <c r="N89" s="114" t="str">
        <f aca="false">IF($E89="","",IFERROR(INDEX(Config!$D$15:$D$19,MATCH($I89,Config!$C$15:$C$19,0)),"OUT")&amp;IF($K89="✓","x",""))</f>
        <v>TEO</v>
      </c>
      <c r="O89" s="114" t="n">
        <f aca="false">IF($E89="","",COUNTIF($E$5:$E89,$E89))</f>
        <v>1</v>
      </c>
      <c r="P89" s="114" t="n">
        <f aca="false">IF($E89="","",$E89*100+$O89)</f>
        <v>4631101</v>
      </c>
      <c r="Q89" s="114" t="str">
        <f aca="false">IF($L89="Atrasado",$E89*10000+$A89,"")</f>
        <v/>
      </c>
    </row>
    <row r="90" customFormat="false" ht="15" hidden="false" customHeight="false" outlineLevel="0" collapsed="false">
      <c r="A90" s="114" t="n">
        <f aca="false">ROW()-4</f>
        <v>86</v>
      </c>
      <c r="B90" s="114" t="str">
        <f aca="false">IF(A90&lt;=Config!$E$27*Config!$E$28,"Tema","Avulso")</f>
        <v>Tema</v>
      </c>
      <c r="C90" s="114" t="n">
        <f aca="false">IF(B90="Tema",INT((A90-1)/Config!$E$28)+1,A90-Config!$E$27*Config!$E$28)</f>
        <v>15</v>
      </c>
      <c r="D90" s="114" t="n">
        <f aca="false">IF(B90="Tema",MOD(A90-1,Config!$E$28)+1,"")</f>
        <v>2</v>
      </c>
      <c r="E90" s="115" t="n">
        <f aca="false">IF($B90="Tema",IF(ISNUMBER(INDEX(Temas!$E$6:$P$305,$C90,2*$D90-1)),INDEX(Temas!$E$6:$P$305,$C90,2*$D90-1),""),IF(ISNUMBER(INDEX(Avulsos!$B$6:$B$205,$C90)),INDEX(Avulsos!$B$6:$B$205,$C90),""))</f>
        <v>46312</v>
      </c>
      <c r="F90" s="114" t="str">
        <f aca="false">IF($E90="","",IF($B90="Tema",INDEX(Temas!$B$6:$B$305,$C90)&amp;"",INDEX(Avulsos!$C$6:$C$205,$C90)&amp;""))</f>
        <v>Doenças da Suprarrenal</v>
      </c>
      <c r="G90" s="114" t="str">
        <f aca="false">IF($E90="","",IF($B90="Tema",INDEX(Config!$C$6:$C$11,$D90),"Evento avulso"))</f>
        <v>1ª Revisão</v>
      </c>
      <c r="H90" s="114" t="str">
        <f aca="false">IF($E90="","",IF($B90="Tema",INDEX(Config!$D$6:$D$11,$D90),IFERROR(INDEX(Config!$E$15:$E$19,MATCH($I90,Config!$C$15:$C$19,0)),"•")))</f>
        <v>R1</v>
      </c>
      <c r="I90" s="114" t="str">
        <f aca="false">IF($E90="","",IF($B90="Tema",INDEX(Config!$E$6:$E$11,$D90),IF(INDEX(Avulsos!$D$6:$D$205,$C90)&amp;""="","Outro",INDEX(Avulsos!$D$6:$D$205,$C90))))</f>
        <v>Revisão</v>
      </c>
      <c r="J90" s="114" t="str">
        <f aca="false">IF($E90="","",IF($B90="Tema",INDEX(Temas!$C$6:$C$305,$C90)&amp;"",INDEX(Avulsos!$E$6:$E$205,$C90)&amp;""))</f>
        <v>Clínica Médica</v>
      </c>
      <c r="K90" s="114" t="str">
        <f aca="false">IF($E90="","",IF(IF($B90="Tema",INDEX(Temas!$E$6:$P$305,$C90,2*$D90),INDEX(Avulsos!$F$6:$F$205,$C90))&amp;""="","","✓"))</f>
        <v/>
      </c>
      <c r="L90" s="114" t="str">
        <f aca="true">IF($E90="","",IF($K90="✓","Concluído",IF($E90&lt;TODAY(),"Atrasado",IF($E90=TODAY(),"Hoje","Pendente"))))</f>
        <v>Pendente</v>
      </c>
      <c r="M90" s="114" t="str">
        <f aca="false">IF($E90="","",IF($K90="✓","✓ ","")&amp;IF(Config!$E$22="Sim",$H90&amp;" · ","")&amp;$F90)</f>
        <v>R1 · Doenças da Suprarrenal</v>
      </c>
      <c r="N90" s="114" t="str">
        <f aca="false">IF($E90="","",IFERROR(INDEX(Config!$D$15:$D$19,MATCH($I90,Config!$C$15:$C$19,0)),"OUT")&amp;IF($K90="✓","x",""))</f>
        <v>REV</v>
      </c>
      <c r="O90" s="114" t="n">
        <f aca="false">IF($E90="","",COUNTIF($E$5:$E90,$E90))</f>
        <v>2</v>
      </c>
      <c r="P90" s="114" t="n">
        <f aca="false">IF($E90="","",$E90*100+$O90)</f>
        <v>4631202</v>
      </c>
      <c r="Q90" s="114" t="str">
        <f aca="false">IF($L90="Atrasado",$E90*10000+$A90,"")</f>
        <v/>
      </c>
    </row>
    <row r="91" customFormat="false" ht="15" hidden="false" customHeight="false" outlineLevel="0" collapsed="false">
      <c r="A91" s="114" t="n">
        <f aca="false">ROW()-4</f>
        <v>87</v>
      </c>
      <c r="B91" s="114" t="str">
        <f aca="false">IF(A91&lt;=Config!$E$27*Config!$E$28,"Tema","Avulso")</f>
        <v>Tema</v>
      </c>
      <c r="C91" s="114" t="n">
        <f aca="false">IF(B91="Tema",INT((A91-1)/Config!$E$28)+1,A91-Config!$E$27*Config!$E$28)</f>
        <v>15</v>
      </c>
      <c r="D91" s="114" t="n">
        <f aca="false">IF(B91="Tema",MOD(A91-1,Config!$E$28)+1,"")</f>
        <v>3</v>
      </c>
      <c r="E91" s="115" t="n">
        <f aca="false">IF($B91="Tema",IF(ISNUMBER(INDEX(Temas!$E$6:$P$305,$C91,2*$D91-1)),INDEX(Temas!$E$6:$P$305,$C91,2*$D91-1),""),IF(ISNUMBER(INDEX(Avulsos!$B$6:$B$205,$C91)),INDEX(Avulsos!$B$6:$B$205,$C91),""))</f>
        <v>46318</v>
      </c>
      <c r="F91" s="114" t="str">
        <f aca="false">IF($E91="","",IF($B91="Tema",INDEX(Temas!$B$6:$B$305,$C91)&amp;"",INDEX(Avulsos!$C$6:$C$205,$C91)&amp;""))</f>
        <v>Doenças da Suprarrenal</v>
      </c>
      <c r="G91" s="114" t="str">
        <f aca="false">IF($E91="","",IF($B91="Tema",INDEX(Config!$C$6:$C$11,$D91),"Evento avulso"))</f>
        <v>2ª Revisão</v>
      </c>
      <c r="H91" s="114" t="str">
        <f aca="false">IF($E91="","",IF($B91="Tema",INDEX(Config!$D$6:$D$11,$D91),IFERROR(INDEX(Config!$E$15:$E$19,MATCH($I91,Config!$C$15:$C$19,0)),"•")))</f>
        <v>R2</v>
      </c>
      <c r="I91" s="114" t="str">
        <f aca="false">IF($E91="","",IF($B91="Tema",INDEX(Config!$E$6:$E$11,$D91),IF(INDEX(Avulsos!$D$6:$D$205,$C91)&amp;""="","Outro",INDEX(Avulsos!$D$6:$D$205,$C91))))</f>
        <v>Prática</v>
      </c>
      <c r="J91" s="114" t="str">
        <f aca="false">IF($E91="","",IF($B91="Tema",INDEX(Temas!$C$6:$C$305,$C91)&amp;"",INDEX(Avulsos!$E$6:$E$205,$C91)&amp;""))</f>
        <v>Clínica Médica</v>
      </c>
      <c r="K91" s="114" t="str">
        <f aca="false">IF($E91="","",IF(IF($B91="Tema",INDEX(Temas!$E$6:$P$305,$C91,2*$D91),INDEX(Avulsos!$F$6:$F$205,$C91))&amp;""="","","✓"))</f>
        <v/>
      </c>
      <c r="L91" s="114" t="str">
        <f aca="true">IF($E91="","",IF($K91="✓","Concluído",IF($E91&lt;TODAY(),"Atrasado",IF($E91=TODAY(),"Hoje","Pendente"))))</f>
        <v>Pendente</v>
      </c>
      <c r="M91" s="114" t="str">
        <f aca="false">IF($E91="","",IF($K91="✓","✓ ","")&amp;IF(Config!$E$22="Sim",$H91&amp;" · ","")&amp;$F91)</f>
        <v>R2 · Doenças da Suprarrenal</v>
      </c>
      <c r="N91" s="114" t="str">
        <f aca="false">IF($E91="","",IFERROR(INDEX(Config!$D$15:$D$19,MATCH($I91,Config!$C$15:$C$19,0)),"OUT")&amp;IF($K91="✓","x",""))</f>
        <v>PRA</v>
      </c>
      <c r="O91" s="114" t="n">
        <f aca="false">IF($E91="","",COUNTIF($E$5:$E91,$E91))</f>
        <v>2</v>
      </c>
      <c r="P91" s="114" t="n">
        <f aca="false">IF($E91="","",$E91*100+$O91)</f>
        <v>4631802</v>
      </c>
      <c r="Q91" s="114" t="str">
        <f aca="false">IF($L91="Atrasado",$E91*10000+$A91,"")</f>
        <v/>
      </c>
    </row>
    <row r="92" customFormat="false" ht="15" hidden="false" customHeight="false" outlineLevel="0" collapsed="false">
      <c r="A92" s="114" t="n">
        <f aca="false">ROW()-4</f>
        <v>88</v>
      </c>
      <c r="B92" s="114" t="str">
        <f aca="false">IF(A92&lt;=Config!$E$27*Config!$E$28,"Tema","Avulso")</f>
        <v>Tema</v>
      </c>
      <c r="C92" s="114" t="n">
        <f aca="false">IF(B92="Tema",INT((A92-1)/Config!$E$28)+1,A92-Config!$E$27*Config!$E$28)</f>
        <v>15</v>
      </c>
      <c r="D92" s="114" t="n">
        <f aca="false">IF(B92="Tema",MOD(A92-1,Config!$E$28)+1,"")</f>
        <v>4</v>
      </c>
      <c r="E92" s="115" t="n">
        <f aca="false">IF($B92="Tema",IF(ISNUMBER(INDEX(Temas!$E$6:$P$305,$C92,2*$D92-1)),INDEX(Temas!$E$6:$P$305,$C92,2*$D92-1),""),IF(ISNUMBER(INDEX(Avulsos!$B$6:$B$205,$C92)),INDEX(Avulsos!$B$6:$B$205,$C92),""))</f>
        <v>46326</v>
      </c>
      <c r="F92" s="114" t="str">
        <f aca="false">IF($E92="","",IF($B92="Tema",INDEX(Temas!$B$6:$B$305,$C92)&amp;"",INDEX(Avulsos!$C$6:$C$205,$C92)&amp;""))</f>
        <v>Doenças da Suprarrenal</v>
      </c>
      <c r="G92" s="114" t="str">
        <f aca="false">IF($E92="","",IF($B92="Tema",INDEX(Config!$C$6:$C$11,$D92),"Evento avulso"))</f>
        <v>3ª Revisão</v>
      </c>
      <c r="H92" s="114" t="str">
        <f aca="false">IF($E92="","",IF($B92="Tema",INDEX(Config!$D$6:$D$11,$D92),IFERROR(INDEX(Config!$E$15:$E$19,MATCH($I92,Config!$C$15:$C$19,0)),"•")))</f>
        <v>R3</v>
      </c>
      <c r="I92" s="114" t="str">
        <f aca="false">IF($E92="","",IF($B92="Tema",INDEX(Config!$E$6:$E$11,$D92),IF(INDEX(Avulsos!$D$6:$D$205,$C92)&amp;""="","Outro",INDEX(Avulsos!$D$6:$D$205,$C92))))</f>
        <v>Prática</v>
      </c>
      <c r="J92" s="114" t="str">
        <f aca="false">IF($E92="","",IF($B92="Tema",INDEX(Temas!$C$6:$C$305,$C92)&amp;"",INDEX(Avulsos!$E$6:$E$205,$C92)&amp;""))</f>
        <v>Clínica Médica</v>
      </c>
      <c r="K92" s="114" t="str">
        <f aca="false">IF($E92="","",IF(IF($B92="Tema",INDEX(Temas!$E$6:$P$305,$C92,2*$D92),INDEX(Avulsos!$F$6:$F$205,$C92))&amp;""="","","✓"))</f>
        <v/>
      </c>
      <c r="L92" s="114" t="str">
        <f aca="true">IF($E92="","",IF($K92="✓","Concluído",IF($E92&lt;TODAY(),"Atrasado",IF($E92=TODAY(),"Hoje","Pendente"))))</f>
        <v>Pendente</v>
      </c>
      <c r="M92" s="114" t="str">
        <f aca="false">IF($E92="","",IF($K92="✓","✓ ","")&amp;IF(Config!$E$22="Sim",$H92&amp;" · ","")&amp;$F92)</f>
        <v>R3 · Doenças da Suprarrenal</v>
      </c>
      <c r="N92" s="114" t="str">
        <f aca="false">IF($E92="","",IFERROR(INDEX(Config!$D$15:$D$19,MATCH($I92,Config!$C$15:$C$19,0)),"OUT")&amp;IF($K92="✓","x",""))</f>
        <v>PRA</v>
      </c>
      <c r="O92" s="114" t="n">
        <f aca="false">IF($E92="","",COUNTIF($E$5:$E92,$E92))</f>
        <v>1</v>
      </c>
      <c r="P92" s="114" t="n">
        <f aca="false">IF($E92="","",$E92*100+$O92)</f>
        <v>4632601</v>
      </c>
      <c r="Q92" s="114" t="str">
        <f aca="false">IF($L92="Atrasado",$E92*10000+$A92,"")</f>
        <v/>
      </c>
    </row>
    <row r="93" customFormat="false" ht="15" hidden="false" customHeight="false" outlineLevel="0" collapsed="false">
      <c r="A93" s="114" t="n">
        <f aca="false">ROW()-4</f>
        <v>89</v>
      </c>
      <c r="B93" s="114" t="str">
        <f aca="false">IF(A93&lt;=Config!$E$27*Config!$E$28,"Tema","Avulso")</f>
        <v>Tema</v>
      </c>
      <c r="C93" s="114" t="n">
        <f aca="false">IF(B93="Tema",INT((A93-1)/Config!$E$28)+1,A93-Config!$E$27*Config!$E$28)</f>
        <v>15</v>
      </c>
      <c r="D93" s="114" t="n">
        <f aca="false">IF(B93="Tema",MOD(A93-1,Config!$E$28)+1,"")</f>
        <v>5</v>
      </c>
      <c r="E93" s="115" t="n">
        <f aca="false">IF($B93="Tema",IF(ISNUMBER(INDEX(Temas!$E$6:$P$305,$C93,2*$D93-1)),INDEX(Temas!$E$6:$P$305,$C93,2*$D93-1),""),IF(ISNUMBER(INDEX(Avulsos!$B$6:$B$205,$C93)),INDEX(Avulsos!$B$6:$B$205,$C93),""))</f>
        <v>46341</v>
      </c>
      <c r="F93" s="114" t="str">
        <f aca="false">IF($E93="","",IF($B93="Tema",INDEX(Temas!$B$6:$B$305,$C93)&amp;"",INDEX(Avulsos!$C$6:$C$205,$C93)&amp;""))</f>
        <v>Doenças da Suprarrenal</v>
      </c>
      <c r="G93" s="114" t="str">
        <f aca="false">IF($E93="","",IF($B93="Tema",INDEX(Config!$C$6:$C$11,$D93),"Evento avulso"))</f>
        <v>4ª Revisão</v>
      </c>
      <c r="H93" s="114" t="str">
        <f aca="false">IF($E93="","",IF($B93="Tema",INDEX(Config!$D$6:$D$11,$D93),IFERROR(INDEX(Config!$E$15:$E$19,MATCH($I93,Config!$C$15:$C$19,0)),"•")))</f>
        <v>R4</v>
      </c>
      <c r="I93" s="114" t="str">
        <f aca="false">IF($E93="","",IF($B93="Tema",INDEX(Config!$E$6:$E$11,$D93),IF(INDEX(Avulsos!$D$6:$D$205,$C93)&amp;""="","Outro",INDEX(Avulsos!$D$6:$D$205,$C93))))</f>
        <v>Prática</v>
      </c>
      <c r="J93" s="114" t="str">
        <f aca="false">IF($E93="","",IF($B93="Tema",INDEX(Temas!$C$6:$C$305,$C93)&amp;"",INDEX(Avulsos!$E$6:$E$205,$C93)&amp;""))</f>
        <v>Clínica Médica</v>
      </c>
      <c r="K93" s="114" t="str">
        <f aca="false">IF($E93="","",IF(IF($B93="Tema",INDEX(Temas!$E$6:$P$305,$C93,2*$D93),INDEX(Avulsos!$F$6:$F$205,$C93))&amp;""="","","✓"))</f>
        <v/>
      </c>
      <c r="L93" s="114" t="str">
        <f aca="true">IF($E93="","",IF($K93="✓","Concluído",IF($E93&lt;TODAY(),"Atrasado",IF($E93=TODAY(),"Hoje","Pendente"))))</f>
        <v>Pendente</v>
      </c>
      <c r="M93" s="114" t="str">
        <f aca="false">IF($E93="","",IF($K93="✓","✓ ","")&amp;IF(Config!$E$22="Sim",$H93&amp;" · ","")&amp;$F93)</f>
        <v>R4 · Doenças da Suprarrenal</v>
      </c>
      <c r="N93" s="114" t="str">
        <f aca="false">IF($E93="","",IFERROR(INDEX(Config!$D$15:$D$19,MATCH($I93,Config!$C$15:$C$19,0)),"OUT")&amp;IF($K93="✓","x",""))</f>
        <v>PRA</v>
      </c>
      <c r="O93" s="114" t="n">
        <f aca="false">IF($E93="","",COUNTIF($E$5:$E93,$E93))</f>
        <v>1</v>
      </c>
      <c r="P93" s="114" t="n">
        <f aca="false">IF($E93="","",$E93*100+$O93)</f>
        <v>4634101</v>
      </c>
      <c r="Q93" s="114" t="str">
        <f aca="false">IF($L93="Atrasado",$E93*10000+$A93,"")</f>
        <v/>
      </c>
    </row>
    <row r="94" customFormat="false" ht="15" hidden="false" customHeight="false" outlineLevel="0" collapsed="false">
      <c r="A94" s="114" t="n">
        <f aca="false">ROW()-4</f>
        <v>90</v>
      </c>
      <c r="B94" s="114" t="str">
        <f aca="false">IF(A94&lt;=Config!$E$27*Config!$E$28,"Tema","Avulso")</f>
        <v>Tema</v>
      </c>
      <c r="C94" s="114" t="n">
        <f aca="false">IF(B94="Tema",INT((A94-1)/Config!$E$28)+1,A94-Config!$E$27*Config!$E$28)</f>
        <v>15</v>
      </c>
      <c r="D94" s="114" t="n">
        <f aca="false">IF(B94="Tema",MOD(A94-1,Config!$E$28)+1,"")</f>
        <v>6</v>
      </c>
      <c r="E94" s="115" t="n">
        <f aca="false">IF($B94="Tema",IF(ISNUMBER(INDEX(Temas!$E$6:$P$305,$C94,2*$D94-1)),INDEX(Temas!$E$6:$P$305,$C94,2*$D94-1),""),IF(ISNUMBER(INDEX(Avulsos!$B$6:$B$205,$C94)),INDEX(Avulsos!$B$6:$B$205,$C94),""))</f>
        <v>46371</v>
      </c>
      <c r="F94" s="114" t="str">
        <f aca="false">IF($E94="","",IF($B94="Tema",INDEX(Temas!$B$6:$B$305,$C94)&amp;"",INDEX(Avulsos!$C$6:$C$205,$C94)&amp;""))</f>
        <v>Doenças da Suprarrenal</v>
      </c>
      <c r="G94" s="114" t="str">
        <f aca="false">IF($E94="","",IF($B94="Tema",INDEX(Config!$C$6:$C$11,$D94),"Evento avulso"))</f>
        <v>5ª Revisão</v>
      </c>
      <c r="H94" s="114" t="str">
        <f aca="false">IF($E94="","",IF($B94="Tema",INDEX(Config!$D$6:$D$11,$D94),IFERROR(INDEX(Config!$E$15:$E$19,MATCH($I94,Config!$C$15:$C$19,0)),"•")))</f>
        <v>R5</v>
      </c>
      <c r="I94" s="114" t="str">
        <f aca="false">IF($E94="","",IF($B94="Tema",INDEX(Config!$E$6:$E$11,$D94),IF(INDEX(Avulsos!$D$6:$D$205,$C94)&amp;""="","Outro",INDEX(Avulsos!$D$6:$D$205,$C94))))</f>
        <v>Revisão</v>
      </c>
      <c r="J94" s="114" t="str">
        <f aca="false">IF($E94="","",IF($B94="Tema",INDEX(Temas!$C$6:$C$305,$C94)&amp;"",INDEX(Avulsos!$E$6:$E$205,$C94)&amp;""))</f>
        <v>Clínica Médica</v>
      </c>
      <c r="K94" s="114" t="str">
        <f aca="false">IF($E94="","",IF(IF($B94="Tema",INDEX(Temas!$E$6:$P$305,$C94,2*$D94),INDEX(Avulsos!$F$6:$F$205,$C94))&amp;""="","","✓"))</f>
        <v/>
      </c>
      <c r="L94" s="114" t="str">
        <f aca="true">IF($E94="","",IF($K94="✓","Concluído",IF($E94&lt;TODAY(),"Atrasado",IF($E94=TODAY(),"Hoje","Pendente"))))</f>
        <v>Pendente</v>
      </c>
      <c r="M94" s="114" t="str">
        <f aca="false">IF($E94="","",IF($K94="✓","✓ ","")&amp;IF(Config!$E$22="Sim",$H94&amp;" · ","")&amp;$F94)</f>
        <v>R5 · Doenças da Suprarrenal</v>
      </c>
      <c r="N94" s="114" t="str">
        <f aca="false">IF($E94="","",IFERROR(INDEX(Config!$D$15:$D$19,MATCH($I94,Config!$C$15:$C$19,0)),"OUT")&amp;IF($K94="✓","x",""))</f>
        <v>REV</v>
      </c>
      <c r="O94" s="114" t="n">
        <f aca="false">IF($E94="","",COUNTIF($E$5:$E94,$E94))</f>
        <v>1</v>
      </c>
      <c r="P94" s="114" t="n">
        <f aca="false">IF($E94="","",$E94*100+$O94)</f>
        <v>4637101</v>
      </c>
      <c r="Q94" s="114" t="str">
        <f aca="false">IF($L94="Atrasado",$E94*10000+$A94,"")</f>
        <v/>
      </c>
    </row>
    <row r="95" customFormat="false" ht="15" hidden="false" customHeight="false" outlineLevel="0" collapsed="false">
      <c r="A95" s="114" t="n">
        <f aca="false">ROW()-4</f>
        <v>91</v>
      </c>
      <c r="B95" s="114" t="str">
        <f aca="false">IF(A95&lt;=Config!$E$27*Config!$E$28,"Tema","Avulso")</f>
        <v>Tema</v>
      </c>
      <c r="C95" s="114" t="n">
        <f aca="false">IF(B95="Tema",INT((A95-1)/Config!$E$28)+1,A95-Config!$E$27*Config!$E$28)</f>
        <v>16</v>
      </c>
      <c r="D95" s="114" t="n">
        <f aca="false">IF(B95="Tema",MOD(A95-1,Config!$E$28)+1,"")</f>
        <v>1</v>
      </c>
      <c r="E95" s="115" t="n">
        <f aca="false">IF($B95="Tema",IF(ISNUMBER(INDEX(Temas!$E$6:$P$305,$C95,2*$D95-1)),INDEX(Temas!$E$6:$P$305,$C95,2*$D95-1),""),IF(ISNUMBER(INDEX(Avulsos!$B$6:$B$205,$C95)),INDEX(Avulsos!$B$6:$B$205,$C95),""))</f>
        <v>46311</v>
      </c>
      <c r="F95" s="114" t="str">
        <f aca="false">IF($E95="","",IF($B95="Tema",INDEX(Temas!$B$6:$B$305,$C95)&amp;"",INDEX(Avulsos!$C$6:$C$205,$C95)&amp;""))</f>
        <v>Infecções Sexualmente Transmissíveis</v>
      </c>
      <c r="G95" s="114" t="str">
        <f aca="false">IF($E95="","",IF($B95="Tema",INDEX(Config!$C$6:$C$11,$D95),"Evento avulso"))</f>
        <v>Aula teórica</v>
      </c>
      <c r="H95" s="114" t="str">
        <f aca="false">IF($E95="","",IF($B95="Tema",INDEX(Config!$D$6:$D$11,$D95),IFERROR(INDEX(Config!$E$15:$E$19,MATCH($I95,Config!$C$15:$C$19,0)),"•")))</f>
        <v>T</v>
      </c>
      <c r="I95" s="114" t="str">
        <f aca="false">IF($E95="","",IF($B95="Tema",INDEX(Config!$E$6:$E$11,$D95),IF(INDEX(Avulsos!$D$6:$D$205,$C95)&amp;""="","Outro",INDEX(Avulsos!$D$6:$D$205,$C95))))</f>
        <v>Teórica</v>
      </c>
      <c r="J95" s="114" t="str">
        <f aca="false">IF($E95="","",IF($B95="Tema",INDEX(Temas!$C$6:$C$305,$C95)&amp;"",INDEX(Avulsos!$E$6:$E$205,$C95)&amp;""))</f>
        <v>Ginecologia e Obstetrícia</v>
      </c>
      <c r="K95" s="114" t="str">
        <f aca="false">IF($E95="","",IF(IF($B95="Tema",INDEX(Temas!$E$6:$P$305,$C95,2*$D95),INDEX(Avulsos!$F$6:$F$205,$C95))&amp;""="","","✓"))</f>
        <v/>
      </c>
      <c r="L95" s="114" t="str">
        <f aca="true">IF($E95="","",IF($K95="✓","Concluído",IF($E95&lt;TODAY(),"Atrasado",IF($E95=TODAY(),"Hoje","Pendente"))))</f>
        <v>Pendente</v>
      </c>
      <c r="M95" s="114" t="str">
        <f aca="false">IF($E95="","",IF($K95="✓","✓ ","")&amp;IF(Config!$E$22="Sim",$H95&amp;" · ","")&amp;$F95)</f>
        <v>T · Infecções Sexualmente Transmissíveis</v>
      </c>
      <c r="N95" s="114" t="str">
        <f aca="false">IF($E95="","",IFERROR(INDEX(Config!$D$15:$D$19,MATCH($I95,Config!$C$15:$C$19,0)),"OUT")&amp;IF($K95="✓","x",""))</f>
        <v>TEO</v>
      </c>
      <c r="O95" s="114" t="n">
        <f aca="false">IF($E95="","",COUNTIF($E$5:$E95,$E95))</f>
        <v>2</v>
      </c>
      <c r="P95" s="114" t="n">
        <f aca="false">IF($E95="","",$E95*100+$O95)</f>
        <v>4631102</v>
      </c>
      <c r="Q95" s="114" t="str">
        <f aca="false">IF($L95="Atrasado",$E95*10000+$A95,"")</f>
        <v/>
      </c>
    </row>
    <row r="96" customFormat="false" ht="15" hidden="false" customHeight="false" outlineLevel="0" collapsed="false">
      <c r="A96" s="114" t="n">
        <f aca="false">ROW()-4</f>
        <v>92</v>
      </c>
      <c r="B96" s="114" t="str">
        <f aca="false">IF(A96&lt;=Config!$E$27*Config!$E$28,"Tema","Avulso")</f>
        <v>Tema</v>
      </c>
      <c r="C96" s="114" t="n">
        <f aca="false">IF(B96="Tema",INT((A96-1)/Config!$E$28)+1,A96-Config!$E$27*Config!$E$28)</f>
        <v>16</v>
      </c>
      <c r="D96" s="114" t="n">
        <f aca="false">IF(B96="Tema",MOD(A96-1,Config!$E$28)+1,"")</f>
        <v>2</v>
      </c>
      <c r="E96" s="115" t="n">
        <f aca="false">IF($B96="Tema",IF(ISNUMBER(INDEX(Temas!$E$6:$P$305,$C96,2*$D96-1)),INDEX(Temas!$E$6:$P$305,$C96,2*$D96-1),""),IF(ISNUMBER(INDEX(Avulsos!$B$6:$B$205,$C96)),INDEX(Avulsos!$B$6:$B$205,$C96),""))</f>
        <v>46312</v>
      </c>
      <c r="F96" s="114" t="str">
        <f aca="false">IF($E96="","",IF($B96="Tema",INDEX(Temas!$B$6:$B$305,$C96)&amp;"",INDEX(Avulsos!$C$6:$C$205,$C96)&amp;""))</f>
        <v>Infecções Sexualmente Transmissíveis</v>
      </c>
      <c r="G96" s="114" t="str">
        <f aca="false">IF($E96="","",IF($B96="Tema",INDEX(Config!$C$6:$C$11,$D96),"Evento avulso"))</f>
        <v>1ª Revisão</v>
      </c>
      <c r="H96" s="114" t="str">
        <f aca="false">IF($E96="","",IF($B96="Tema",INDEX(Config!$D$6:$D$11,$D96),IFERROR(INDEX(Config!$E$15:$E$19,MATCH($I96,Config!$C$15:$C$19,0)),"•")))</f>
        <v>R1</v>
      </c>
      <c r="I96" s="114" t="str">
        <f aca="false">IF($E96="","",IF($B96="Tema",INDEX(Config!$E$6:$E$11,$D96),IF(INDEX(Avulsos!$D$6:$D$205,$C96)&amp;""="","Outro",INDEX(Avulsos!$D$6:$D$205,$C96))))</f>
        <v>Revisão</v>
      </c>
      <c r="J96" s="114" t="str">
        <f aca="false">IF($E96="","",IF($B96="Tema",INDEX(Temas!$C$6:$C$305,$C96)&amp;"",INDEX(Avulsos!$E$6:$E$205,$C96)&amp;""))</f>
        <v>Ginecologia e Obstetrícia</v>
      </c>
      <c r="K96" s="114" t="str">
        <f aca="false">IF($E96="","",IF(IF($B96="Tema",INDEX(Temas!$E$6:$P$305,$C96,2*$D96),INDEX(Avulsos!$F$6:$F$205,$C96))&amp;""="","","✓"))</f>
        <v/>
      </c>
      <c r="L96" s="114" t="str">
        <f aca="true">IF($E96="","",IF($K96="✓","Concluído",IF($E96&lt;TODAY(),"Atrasado",IF($E96=TODAY(),"Hoje","Pendente"))))</f>
        <v>Pendente</v>
      </c>
      <c r="M96" s="114" t="str">
        <f aca="false">IF($E96="","",IF($K96="✓","✓ ","")&amp;IF(Config!$E$22="Sim",$H96&amp;" · ","")&amp;$F96)</f>
        <v>R1 · Infecções Sexualmente Transmissíveis</v>
      </c>
      <c r="N96" s="114" t="str">
        <f aca="false">IF($E96="","",IFERROR(INDEX(Config!$D$15:$D$19,MATCH($I96,Config!$C$15:$C$19,0)),"OUT")&amp;IF($K96="✓","x",""))</f>
        <v>REV</v>
      </c>
      <c r="O96" s="114" t="n">
        <f aca="false">IF($E96="","",COUNTIF($E$5:$E96,$E96))</f>
        <v>3</v>
      </c>
      <c r="P96" s="114" t="n">
        <f aca="false">IF($E96="","",$E96*100+$O96)</f>
        <v>4631203</v>
      </c>
      <c r="Q96" s="114" t="str">
        <f aca="false">IF($L96="Atrasado",$E96*10000+$A96,"")</f>
        <v/>
      </c>
    </row>
    <row r="97" customFormat="false" ht="15" hidden="false" customHeight="false" outlineLevel="0" collapsed="false">
      <c r="A97" s="114" t="n">
        <f aca="false">ROW()-4</f>
        <v>93</v>
      </c>
      <c r="B97" s="114" t="str">
        <f aca="false">IF(A97&lt;=Config!$E$27*Config!$E$28,"Tema","Avulso")</f>
        <v>Tema</v>
      </c>
      <c r="C97" s="114" t="n">
        <f aca="false">IF(B97="Tema",INT((A97-1)/Config!$E$28)+1,A97-Config!$E$27*Config!$E$28)</f>
        <v>16</v>
      </c>
      <c r="D97" s="114" t="n">
        <f aca="false">IF(B97="Tema",MOD(A97-1,Config!$E$28)+1,"")</f>
        <v>3</v>
      </c>
      <c r="E97" s="115" t="n">
        <f aca="false">IF($B97="Tema",IF(ISNUMBER(INDEX(Temas!$E$6:$P$305,$C97,2*$D97-1)),INDEX(Temas!$E$6:$P$305,$C97,2*$D97-1),""),IF(ISNUMBER(INDEX(Avulsos!$B$6:$B$205,$C97)),INDEX(Avulsos!$B$6:$B$205,$C97),""))</f>
        <v>46318</v>
      </c>
      <c r="F97" s="114" t="str">
        <f aca="false">IF($E97="","",IF($B97="Tema",INDEX(Temas!$B$6:$B$305,$C97)&amp;"",INDEX(Avulsos!$C$6:$C$205,$C97)&amp;""))</f>
        <v>Infecções Sexualmente Transmissíveis</v>
      </c>
      <c r="G97" s="114" t="str">
        <f aca="false">IF($E97="","",IF($B97="Tema",INDEX(Config!$C$6:$C$11,$D97),"Evento avulso"))</f>
        <v>2ª Revisão</v>
      </c>
      <c r="H97" s="114" t="str">
        <f aca="false">IF($E97="","",IF($B97="Tema",INDEX(Config!$D$6:$D$11,$D97),IFERROR(INDEX(Config!$E$15:$E$19,MATCH($I97,Config!$C$15:$C$19,0)),"•")))</f>
        <v>R2</v>
      </c>
      <c r="I97" s="114" t="str">
        <f aca="false">IF($E97="","",IF($B97="Tema",INDEX(Config!$E$6:$E$11,$D97),IF(INDEX(Avulsos!$D$6:$D$205,$C97)&amp;""="","Outro",INDEX(Avulsos!$D$6:$D$205,$C97))))</f>
        <v>Prática</v>
      </c>
      <c r="J97" s="114" t="str">
        <f aca="false">IF($E97="","",IF($B97="Tema",INDEX(Temas!$C$6:$C$305,$C97)&amp;"",INDEX(Avulsos!$E$6:$E$205,$C97)&amp;""))</f>
        <v>Ginecologia e Obstetrícia</v>
      </c>
      <c r="K97" s="114" t="str">
        <f aca="false">IF($E97="","",IF(IF($B97="Tema",INDEX(Temas!$E$6:$P$305,$C97,2*$D97),INDEX(Avulsos!$F$6:$F$205,$C97))&amp;""="","","✓"))</f>
        <v/>
      </c>
      <c r="L97" s="114" t="str">
        <f aca="true">IF($E97="","",IF($K97="✓","Concluído",IF($E97&lt;TODAY(),"Atrasado",IF($E97=TODAY(),"Hoje","Pendente"))))</f>
        <v>Pendente</v>
      </c>
      <c r="M97" s="114" t="str">
        <f aca="false">IF($E97="","",IF($K97="✓","✓ ","")&amp;IF(Config!$E$22="Sim",$H97&amp;" · ","")&amp;$F97)</f>
        <v>R2 · Infecções Sexualmente Transmissíveis</v>
      </c>
      <c r="N97" s="114" t="str">
        <f aca="false">IF($E97="","",IFERROR(INDEX(Config!$D$15:$D$19,MATCH($I97,Config!$C$15:$C$19,0)),"OUT")&amp;IF($K97="✓","x",""))</f>
        <v>PRA</v>
      </c>
      <c r="O97" s="114" t="n">
        <f aca="false">IF($E97="","",COUNTIF($E$5:$E97,$E97))</f>
        <v>3</v>
      </c>
      <c r="P97" s="114" t="n">
        <f aca="false">IF($E97="","",$E97*100+$O97)</f>
        <v>4631803</v>
      </c>
      <c r="Q97" s="114" t="str">
        <f aca="false">IF($L97="Atrasado",$E97*10000+$A97,"")</f>
        <v/>
      </c>
    </row>
    <row r="98" customFormat="false" ht="15" hidden="false" customHeight="false" outlineLevel="0" collapsed="false">
      <c r="A98" s="114" t="n">
        <f aca="false">ROW()-4</f>
        <v>94</v>
      </c>
      <c r="B98" s="114" t="str">
        <f aca="false">IF(A98&lt;=Config!$E$27*Config!$E$28,"Tema","Avulso")</f>
        <v>Tema</v>
      </c>
      <c r="C98" s="114" t="n">
        <f aca="false">IF(B98="Tema",INT((A98-1)/Config!$E$28)+1,A98-Config!$E$27*Config!$E$28)</f>
        <v>16</v>
      </c>
      <c r="D98" s="114" t="n">
        <f aca="false">IF(B98="Tema",MOD(A98-1,Config!$E$28)+1,"")</f>
        <v>4</v>
      </c>
      <c r="E98" s="115" t="n">
        <f aca="false">IF($B98="Tema",IF(ISNUMBER(INDEX(Temas!$E$6:$P$305,$C98,2*$D98-1)),INDEX(Temas!$E$6:$P$305,$C98,2*$D98-1),""),IF(ISNUMBER(INDEX(Avulsos!$B$6:$B$205,$C98)),INDEX(Avulsos!$B$6:$B$205,$C98),""))</f>
        <v>46326</v>
      </c>
      <c r="F98" s="114" t="str">
        <f aca="false">IF($E98="","",IF($B98="Tema",INDEX(Temas!$B$6:$B$305,$C98)&amp;"",INDEX(Avulsos!$C$6:$C$205,$C98)&amp;""))</f>
        <v>Infecções Sexualmente Transmissíveis</v>
      </c>
      <c r="G98" s="114" t="str">
        <f aca="false">IF($E98="","",IF($B98="Tema",INDEX(Config!$C$6:$C$11,$D98),"Evento avulso"))</f>
        <v>3ª Revisão</v>
      </c>
      <c r="H98" s="114" t="str">
        <f aca="false">IF($E98="","",IF($B98="Tema",INDEX(Config!$D$6:$D$11,$D98),IFERROR(INDEX(Config!$E$15:$E$19,MATCH($I98,Config!$C$15:$C$19,0)),"•")))</f>
        <v>R3</v>
      </c>
      <c r="I98" s="114" t="str">
        <f aca="false">IF($E98="","",IF($B98="Tema",INDEX(Config!$E$6:$E$11,$D98),IF(INDEX(Avulsos!$D$6:$D$205,$C98)&amp;""="","Outro",INDEX(Avulsos!$D$6:$D$205,$C98))))</f>
        <v>Prática</v>
      </c>
      <c r="J98" s="114" t="str">
        <f aca="false">IF($E98="","",IF($B98="Tema",INDEX(Temas!$C$6:$C$305,$C98)&amp;"",INDEX(Avulsos!$E$6:$E$205,$C98)&amp;""))</f>
        <v>Ginecologia e Obstetrícia</v>
      </c>
      <c r="K98" s="114" t="str">
        <f aca="false">IF($E98="","",IF(IF($B98="Tema",INDEX(Temas!$E$6:$P$305,$C98,2*$D98),INDEX(Avulsos!$F$6:$F$205,$C98))&amp;""="","","✓"))</f>
        <v/>
      </c>
      <c r="L98" s="114" t="str">
        <f aca="true">IF($E98="","",IF($K98="✓","Concluído",IF($E98&lt;TODAY(),"Atrasado",IF($E98=TODAY(),"Hoje","Pendente"))))</f>
        <v>Pendente</v>
      </c>
      <c r="M98" s="114" t="str">
        <f aca="false">IF($E98="","",IF($K98="✓","✓ ","")&amp;IF(Config!$E$22="Sim",$H98&amp;" · ","")&amp;$F98)</f>
        <v>R3 · Infecções Sexualmente Transmissíveis</v>
      </c>
      <c r="N98" s="114" t="str">
        <f aca="false">IF($E98="","",IFERROR(INDEX(Config!$D$15:$D$19,MATCH($I98,Config!$C$15:$C$19,0)),"OUT")&amp;IF($K98="✓","x",""))</f>
        <v>PRA</v>
      </c>
      <c r="O98" s="114" t="n">
        <f aca="false">IF($E98="","",COUNTIF($E$5:$E98,$E98))</f>
        <v>2</v>
      </c>
      <c r="P98" s="114" t="n">
        <f aca="false">IF($E98="","",$E98*100+$O98)</f>
        <v>4632602</v>
      </c>
      <c r="Q98" s="114" t="str">
        <f aca="false">IF($L98="Atrasado",$E98*10000+$A98,"")</f>
        <v/>
      </c>
    </row>
    <row r="99" customFormat="false" ht="15" hidden="false" customHeight="false" outlineLevel="0" collapsed="false">
      <c r="A99" s="114" t="n">
        <f aca="false">ROW()-4</f>
        <v>95</v>
      </c>
      <c r="B99" s="114" t="str">
        <f aca="false">IF(A99&lt;=Config!$E$27*Config!$E$28,"Tema","Avulso")</f>
        <v>Tema</v>
      </c>
      <c r="C99" s="114" t="n">
        <f aca="false">IF(B99="Tema",INT((A99-1)/Config!$E$28)+1,A99-Config!$E$27*Config!$E$28)</f>
        <v>16</v>
      </c>
      <c r="D99" s="114" t="n">
        <f aca="false">IF(B99="Tema",MOD(A99-1,Config!$E$28)+1,"")</f>
        <v>5</v>
      </c>
      <c r="E99" s="115" t="n">
        <f aca="false">IF($B99="Tema",IF(ISNUMBER(INDEX(Temas!$E$6:$P$305,$C99,2*$D99-1)),INDEX(Temas!$E$6:$P$305,$C99,2*$D99-1),""),IF(ISNUMBER(INDEX(Avulsos!$B$6:$B$205,$C99)),INDEX(Avulsos!$B$6:$B$205,$C99),""))</f>
        <v>46341</v>
      </c>
      <c r="F99" s="114" t="str">
        <f aca="false">IF($E99="","",IF($B99="Tema",INDEX(Temas!$B$6:$B$305,$C99)&amp;"",INDEX(Avulsos!$C$6:$C$205,$C99)&amp;""))</f>
        <v>Infecções Sexualmente Transmissíveis</v>
      </c>
      <c r="G99" s="114" t="str">
        <f aca="false">IF($E99="","",IF($B99="Tema",INDEX(Config!$C$6:$C$11,$D99),"Evento avulso"))</f>
        <v>4ª Revisão</v>
      </c>
      <c r="H99" s="114" t="str">
        <f aca="false">IF($E99="","",IF($B99="Tema",INDEX(Config!$D$6:$D$11,$D99),IFERROR(INDEX(Config!$E$15:$E$19,MATCH($I99,Config!$C$15:$C$19,0)),"•")))</f>
        <v>R4</v>
      </c>
      <c r="I99" s="114" t="str">
        <f aca="false">IF($E99="","",IF($B99="Tema",INDEX(Config!$E$6:$E$11,$D99),IF(INDEX(Avulsos!$D$6:$D$205,$C99)&amp;""="","Outro",INDEX(Avulsos!$D$6:$D$205,$C99))))</f>
        <v>Prática</v>
      </c>
      <c r="J99" s="114" t="str">
        <f aca="false">IF($E99="","",IF($B99="Tema",INDEX(Temas!$C$6:$C$305,$C99)&amp;"",INDEX(Avulsos!$E$6:$E$205,$C99)&amp;""))</f>
        <v>Ginecologia e Obstetrícia</v>
      </c>
      <c r="K99" s="114" t="str">
        <f aca="false">IF($E99="","",IF(IF($B99="Tema",INDEX(Temas!$E$6:$P$305,$C99,2*$D99),INDEX(Avulsos!$F$6:$F$205,$C99))&amp;""="","","✓"))</f>
        <v/>
      </c>
      <c r="L99" s="114" t="str">
        <f aca="true">IF($E99="","",IF($K99="✓","Concluído",IF($E99&lt;TODAY(),"Atrasado",IF($E99=TODAY(),"Hoje","Pendente"))))</f>
        <v>Pendente</v>
      </c>
      <c r="M99" s="114" t="str">
        <f aca="false">IF($E99="","",IF($K99="✓","✓ ","")&amp;IF(Config!$E$22="Sim",$H99&amp;" · ","")&amp;$F99)</f>
        <v>R4 · Infecções Sexualmente Transmissíveis</v>
      </c>
      <c r="N99" s="114" t="str">
        <f aca="false">IF($E99="","",IFERROR(INDEX(Config!$D$15:$D$19,MATCH($I99,Config!$C$15:$C$19,0)),"OUT")&amp;IF($K99="✓","x",""))</f>
        <v>PRA</v>
      </c>
      <c r="O99" s="114" t="n">
        <f aca="false">IF($E99="","",COUNTIF($E$5:$E99,$E99))</f>
        <v>2</v>
      </c>
      <c r="P99" s="114" t="n">
        <f aca="false">IF($E99="","",$E99*100+$O99)</f>
        <v>4634102</v>
      </c>
      <c r="Q99" s="114" t="str">
        <f aca="false">IF($L99="Atrasado",$E99*10000+$A99,"")</f>
        <v/>
      </c>
    </row>
    <row r="100" customFormat="false" ht="15" hidden="false" customHeight="false" outlineLevel="0" collapsed="false">
      <c r="A100" s="114" t="n">
        <f aca="false">ROW()-4</f>
        <v>96</v>
      </c>
      <c r="B100" s="114" t="str">
        <f aca="false">IF(A100&lt;=Config!$E$27*Config!$E$28,"Tema","Avulso")</f>
        <v>Tema</v>
      </c>
      <c r="C100" s="114" t="n">
        <f aca="false">IF(B100="Tema",INT((A100-1)/Config!$E$28)+1,A100-Config!$E$27*Config!$E$28)</f>
        <v>16</v>
      </c>
      <c r="D100" s="114" t="n">
        <f aca="false">IF(B100="Tema",MOD(A100-1,Config!$E$28)+1,"")</f>
        <v>6</v>
      </c>
      <c r="E100" s="115" t="n">
        <f aca="false">IF($B100="Tema",IF(ISNUMBER(INDEX(Temas!$E$6:$P$305,$C100,2*$D100-1)),INDEX(Temas!$E$6:$P$305,$C100,2*$D100-1),""),IF(ISNUMBER(INDEX(Avulsos!$B$6:$B$205,$C100)),INDEX(Avulsos!$B$6:$B$205,$C100),""))</f>
        <v>46371</v>
      </c>
      <c r="F100" s="114" t="str">
        <f aca="false">IF($E100="","",IF($B100="Tema",INDEX(Temas!$B$6:$B$305,$C100)&amp;"",INDEX(Avulsos!$C$6:$C$205,$C100)&amp;""))</f>
        <v>Infecções Sexualmente Transmissíveis</v>
      </c>
      <c r="G100" s="114" t="str">
        <f aca="false">IF($E100="","",IF($B100="Tema",INDEX(Config!$C$6:$C$11,$D100),"Evento avulso"))</f>
        <v>5ª Revisão</v>
      </c>
      <c r="H100" s="114" t="str">
        <f aca="false">IF($E100="","",IF($B100="Tema",INDEX(Config!$D$6:$D$11,$D100),IFERROR(INDEX(Config!$E$15:$E$19,MATCH($I100,Config!$C$15:$C$19,0)),"•")))</f>
        <v>R5</v>
      </c>
      <c r="I100" s="114" t="str">
        <f aca="false">IF($E100="","",IF($B100="Tema",INDEX(Config!$E$6:$E$11,$D100),IF(INDEX(Avulsos!$D$6:$D$205,$C100)&amp;""="","Outro",INDEX(Avulsos!$D$6:$D$205,$C100))))</f>
        <v>Revisão</v>
      </c>
      <c r="J100" s="114" t="str">
        <f aca="false">IF($E100="","",IF($B100="Tema",INDEX(Temas!$C$6:$C$305,$C100)&amp;"",INDEX(Avulsos!$E$6:$E$205,$C100)&amp;""))</f>
        <v>Ginecologia e Obstetrícia</v>
      </c>
      <c r="K100" s="114" t="str">
        <f aca="false">IF($E100="","",IF(IF($B100="Tema",INDEX(Temas!$E$6:$P$305,$C100,2*$D100),INDEX(Avulsos!$F$6:$F$205,$C100))&amp;""="","","✓"))</f>
        <v/>
      </c>
      <c r="L100" s="114" t="str">
        <f aca="true">IF($E100="","",IF($K100="✓","Concluído",IF($E100&lt;TODAY(),"Atrasado",IF($E100=TODAY(),"Hoje","Pendente"))))</f>
        <v>Pendente</v>
      </c>
      <c r="M100" s="114" t="str">
        <f aca="false">IF($E100="","",IF($K100="✓","✓ ","")&amp;IF(Config!$E$22="Sim",$H100&amp;" · ","")&amp;$F100)</f>
        <v>R5 · Infecções Sexualmente Transmissíveis</v>
      </c>
      <c r="N100" s="114" t="str">
        <f aca="false">IF($E100="","",IFERROR(INDEX(Config!$D$15:$D$19,MATCH($I100,Config!$C$15:$C$19,0)),"OUT")&amp;IF($K100="✓","x",""))</f>
        <v>REV</v>
      </c>
      <c r="O100" s="114" t="n">
        <f aca="false">IF($E100="","",COUNTIF($E$5:$E100,$E100))</f>
        <v>2</v>
      </c>
      <c r="P100" s="114" t="n">
        <f aca="false">IF($E100="","",$E100*100+$O100)</f>
        <v>4637102</v>
      </c>
      <c r="Q100" s="114" t="str">
        <f aca="false">IF($L100="Atrasado",$E100*10000+$A100,"")</f>
        <v/>
      </c>
    </row>
    <row r="101" customFormat="false" ht="15" hidden="false" customHeight="false" outlineLevel="0" collapsed="false">
      <c r="A101" s="114" t="n">
        <f aca="false">ROW()-4</f>
        <v>97</v>
      </c>
      <c r="B101" s="114" t="str">
        <f aca="false">IF(A101&lt;=Config!$E$27*Config!$E$28,"Tema","Avulso")</f>
        <v>Tema</v>
      </c>
      <c r="C101" s="114" t="n">
        <f aca="false">IF(B101="Tema",INT((A101-1)/Config!$E$28)+1,A101-Config!$E$27*Config!$E$28)</f>
        <v>17</v>
      </c>
      <c r="D101" s="114" t="n">
        <f aca="false">IF(B101="Tema",MOD(A101-1,Config!$E$28)+1,"")</f>
        <v>1</v>
      </c>
      <c r="E101" s="115" t="n">
        <f aca="false">IF($B101="Tema",IF(ISNUMBER(INDEX(Temas!$E$6:$P$305,$C101,2*$D101-1)),INDEX(Temas!$E$6:$P$305,$C101,2*$D101-1),""),IF(ISNUMBER(INDEX(Avulsos!$B$6:$B$205,$C101)),INDEX(Avulsos!$B$6:$B$205,$C101),""))</f>
        <v>46311</v>
      </c>
      <c r="F101" s="114" t="str">
        <f aca="false">IF($E101="","",IF($B101="Tema",INDEX(Temas!$B$6:$B$305,$C101)&amp;"",INDEX(Avulsos!$C$6:$C$205,$C101)&amp;""))</f>
        <v>Parasitoses Intestinais</v>
      </c>
      <c r="G101" s="114" t="str">
        <f aca="false">IF($E101="","",IF($B101="Tema",INDEX(Config!$C$6:$C$11,$D101),"Evento avulso"))</f>
        <v>Aula teórica</v>
      </c>
      <c r="H101" s="114" t="str">
        <f aca="false">IF($E101="","",IF($B101="Tema",INDEX(Config!$D$6:$D$11,$D101),IFERROR(INDEX(Config!$E$15:$E$19,MATCH($I101,Config!$C$15:$C$19,0)),"•")))</f>
        <v>T</v>
      </c>
      <c r="I101" s="114" t="str">
        <f aca="false">IF($E101="","",IF($B101="Tema",INDEX(Config!$E$6:$E$11,$D101),IF(INDEX(Avulsos!$D$6:$D$205,$C101)&amp;""="","Outro",INDEX(Avulsos!$D$6:$D$205,$C101))))</f>
        <v>Teórica</v>
      </c>
      <c r="J101" s="114" t="str">
        <f aca="false">IF($E101="","",IF($B101="Tema",INDEX(Temas!$C$6:$C$305,$C101)&amp;"",INDEX(Avulsos!$E$6:$E$205,$C101)&amp;""))</f>
        <v>Pediatria</v>
      </c>
      <c r="K101" s="114" t="str">
        <f aca="false">IF($E101="","",IF(IF($B101="Tema",INDEX(Temas!$E$6:$P$305,$C101,2*$D101),INDEX(Avulsos!$F$6:$F$205,$C101))&amp;""="","","✓"))</f>
        <v/>
      </c>
      <c r="L101" s="114" t="str">
        <f aca="true">IF($E101="","",IF($K101="✓","Concluído",IF($E101&lt;TODAY(),"Atrasado",IF($E101=TODAY(),"Hoje","Pendente"))))</f>
        <v>Pendente</v>
      </c>
      <c r="M101" s="114" t="str">
        <f aca="false">IF($E101="","",IF($K101="✓","✓ ","")&amp;IF(Config!$E$22="Sim",$H101&amp;" · ","")&amp;$F101)</f>
        <v>T · Parasitoses Intestinais</v>
      </c>
      <c r="N101" s="114" t="str">
        <f aca="false">IF($E101="","",IFERROR(INDEX(Config!$D$15:$D$19,MATCH($I101,Config!$C$15:$C$19,0)),"OUT")&amp;IF($K101="✓","x",""))</f>
        <v>TEO</v>
      </c>
      <c r="O101" s="114" t="n">
        <f aca="false">IF($E101="","",COUNTIF($E$5:$E101,$E101))</f>
        <v>3</v>
      </c>
      <c r="P101" s="114" t="n">
        <f aca="false">IF($E101="","",$E101*100+$O101)</f>
        <v>4631103</v>
      </c>
      <c r="Q101" s="114" t="str">
        <f aca="false">IF($L101="Atrasado",$E101*10000+$A101,"")</f>
        <v/>
      </c>
    </row>
    <row r="102" customFormat="false" ht="15" hidden="false" customHeight="false" outlineLevel="0" collapsed="false">
      <c r="A102" s="114" t="n">
        <f aca="false">ROW()-4</f>
        <v>98</v>
      </c>
      <c r="B102" s="114" t="str">
        <f aca="false">IF(A102&lt;=Config!$E$27*Config!$E$28,"Tema","Avulso")</f>
        <v>Tema</v>
      </c>
      <c r="C102" s="114" t="n">
        <f aca="false">IF(B102="Tema",INT((A102-1)/Config!$E$28)+1,A102-Config!$E$27*Config!$E$28)</f>
        <v>17</v>
      </c>
      <c r="D102" s="114" t="n">
        <f aca="false">IF(B102="Tema",MOD(A102-1,Config!$E$28)+1,"")</f>
        <v>2</v>
      </c>
      <c r="E102" s="115" t="n">
        <f aca="false">IF($B102="Tema",IF(ISNUMBER(INDEX(Temas!$E$6:$P$305,$C102,2*$D102-1)),INDEX(Temas!$E$6:$P$305,$C102,2*$D102-1),""),IF(ISNUMBER(INDEX(Avulsos!$B$6:$B$205,$C102)),INDEX(Avulsos!$B$6:$B$205,$C102),""))</f>
        <v>46312</v>
      </c>
      <c r="F102" s="114" t="str">
        <f aca="false">IF($E102="","",IF($B102="Tema",INDEX(Temas!$B$6:$B$305,$C102)&amp;"",INDEX(Avulsos!$C$6:$C$205,$C102)&amp;""))</f>
        <v>Parasitoses Intestinais</v>
      </c>
      <c r="G102" s="114" t="str">
        <f aca="false">IF($E102="","",IF($B102="Tema",INDEX(Config!$C$6:$C$11,$D102),"Evento avulso"))</f>
        <v>1ª Revisão</v>
      </c>
      <c r="H102" s="114" t="str">
        <f aca="false">IF($E102="","",IF($B102="Tema",INDEX(Config!$D$6:$D$11,$D102),IFERROR(INDEX(Config!$E$15:$E$19,MATCH($I102,Config!$C$15:$C$19,0)),"•")))</f>
        <v>R1</v>
      </c>
      <c r="I102" s="114" t="str">
        <f aca="false">IF($E102="","",IF($B102="Tema",INDEX(Config!$E$6:$E$11,$D102),IF(INDEX(Avulsos!$D$6:$D$205,$C102)&amp;""="","Outro",INDEX(Avulsos!$D$6:$D$205,$C102))))</f>
        <v>Revisão</v>
      </c>
      <c r="J102" s="114" t="str">
        <f aca="false">IF($E102="","",IF($B102="Tema",INDEX(Temas!$C$6:$C$305,$C102)&amp;"",INDEX(Avulsos!$E$6:$E$205,$C102)&amp;""))</f>
        <v>Pediatria</v>
      </c>
      <c r="K102" s="114" t="str">
        <f aca="false">IF($E102="","",IF(IF($B102="Tema",INDEX(Temas!$E$6:$P$305,$C102,2*$D102),INDEX(Avulsos!$F$6:$F$205,$C102))&amp;""="","","✓"))</f>
        <v/>
      </c>
      <c r="L102" s="114" t="str">
        <f aca="true">IF($E102="","",IF($K102="✓","Concluído",IF($E102&lt;TODAY(),"Atrasado",IF($E102=TODAY(),"Hoje","Pendente"))))</f>
        <v>Pendente</v>
      </c>
      <c r="M102" s="114" t="str">
        <f aca="false">IF($E102="","",IF($K102="✓","✓ ","")&amp;IF(Config!$E$22="Sim",$H102&amp;" · ","")&amp;$F102)</f>
        <v>R1 · Parasitoses Intestinais</v>
      </c>
      <c r="N102" s="114" t="str">
        <f aca="false">IF($E102="","",IFERROR(INDEX(Config!$D$15:$D$19,MATCH($I102,Config!$C$15:$C$19,0)),"OUT")&amp;IF($K102="✓","x",""))</f>
        <v>REV</v>
      </c>
      <c r="O102" s="114" t="n">
        <f aca="false">IF($E102="","",COUNTIF($E$5:$E102,$E102))</f>
        <v>4</v>
      </c>
      <c r="P102" s="114" t="n">
        <f aca="false">IF($E102="","",$E102*100+$O102)</f>
        <v>4631204</v>
      </c>
      <c r="Q102" s="114" t="str">
        <f aca="false">IF($L102="Atrasado",$E102*10000+$A102,"")</f>
        <v/>
      </c>
    </row>
    <row r="103" customFormat="false" ht="15" hidden="false" customHeight="false" outlineLevel="0" collapsed="false">
      <c r="A103" s="114" t="n">
        <f aca="false">ROW()-4</f>
        <v>99</v>
      </c>
      <c r="B103" s="114" t="str">
        <f aca="false">IF(A103&lt;=Config!$E$27*Config!$E$28,"Tema","Avulso")</f>
        <v>Tema</v>
      </c>
      <c r="C103" s="114" t="n">
        <f aca="false">IF(B103="Tema",INT((A103-1)/Config!$E$28)+1,A103-Config!$E$27*Config!$E$28)</f>
        <v>17</v>
      </c>
      <c r="D103" s="114" t="n">
        <f aca="false">IF(B103="Tema",MOD(A103-1,Config!$E$28)+1,"")</f>
        <v>3</v>
      </c>
      <c r="E103" s="115" t="n">
        <f aca="false">IF($B103="Tema",IF(ISNUMBER(INDEX(Temas!$E$6:$P$305,$C103,2*$D103-1)),INDEX(Temas!$E$6:$P$305,$C103,2*$D103-1),""),IF(ISNUMBER(INDEX(Avulsos!$B$6:$B$205,$C103)),INDEX(Avulsos!$B$6:$B$205,$C103),""))</f>
        <v>46318</v>
      </c>
      <c r="F103" s="114" t="str">
        <f aca="false">IF($E103="","",IF($B103="Tema",INDEX(Temas!$B$6:$B$305,$C103)&amp;"",INDEX(Avulsos!$C$6:$C$205,$C103)&amp;""))</f>
        <v>Parasitoses Intestinais</v>
      </c>
      <c r="G103" s="114" t="str">
        <f aca="false">IF($E103="","",IF($B103="Tema",INDEX(Config!$C$6:$C$11,$D103),"Evento avulso"))</f>
        <v>2ª Revisão</v>
      </c>
      <c r="H103" s="114" t="str">
        <f aca="false">IF($E103="","",IF($B103="Tema",INDEX(Config!$D$6:$D$11,$D103),IFERROR(INDEX(Config!$E$15:$E$19,MATCH($I103,Config!$C$15:$C$19,0)),"•")))</f>
        <v>R2</v>
      </c>
      <c r="I103" s="114" t="str">
        <f aca="false">IF($E103="","",IF($B103="Tema",INDEX(Config!$E$6:$E$11,$D103),IF(INDEX(Avulsos!$D$6:$D$205,$C103)&amp;""="","Outro",INDEX(Avulsos!$D$6:$D$205,$C103))))</f>
        <v>Prática</v>
      </c>
      <c r="J103" s="114" t="str">
        <f aca="false">IF($E103="","",IF($B103="Tema",INDEX(Temas!$C$6:$C$305,$C103)&amp;"",INDEX(Avulsos!$E$6:$E$205,$C103)&amp;""))</f>
        <v>Pediatria</v>
      </c>
      <c r="K103" s="114" t="str">
        <f aca="false">IF($E103="","",IF(IF($B103="Tema",INDEX(Temas!$E$6:$P$305,$C103,2*$D103),INDEX(Avulsos!$F$6:$F$205,$C103))&amp;""="","","✓"))</f>
        <v/>
      </c>
      <c r="L103" s="114" t="str">
        <f aca="true">IF($E103="","",IF($K103="✓","Concluído",IF($E103&lt;TODAY(),"Atrasado",IF($E103=TODAY(),"Hoje","Pendente"))))</f>
        <v>Pendente</v>
      </c>
      <c r="M103" s="114" t="str">
        <f aca="false">IF($E103="","",IF($K103="✓","✓ ","")&amp;IF(Config!$E$22="Sim",$H103&amp;" · ","")&amp;$F103)</f>
        <v>R2 · Parasitoses Intestinais</v>
      </c>
      <c r="N103" s="114" t="str">
        <f aca="false">IF($E103="","",IFERROR(INDEX(Config!$D$15:$D$19,MATCH($I103,Config!$C$15:$C$19,0)),"OUT")&amp;IF($K103="✓","x",""))</f>
        <v>PRA</v>
      </c>
      <c r="O103" s="114" t="n">
        <f aca="false">IF($E103="","",COUNTIF($E$5:$E103,$E103))</f>
        <v>4</v>
      </c>
      <c r="P103" s="114" t="n">
        <f aca="false">IF($E103="","",$E103*100+$O103)</f>
        <v>4631804</v>
      </c>
      <c r="Q103" s="114" t="str">
        <f aca="false">IF($L103="Atrasado",$E103*10000+$A103,"")</f>
        <v/>
      </c>
    </row>
    <row r="104" customFormat="false" ht="15" hidden="false" customHeight="false" outlineLevel="0" collapsed="false">
      <c r="A104" s="114" t="n">
        <f aca="false">ROW()-4</f>
        <v>100</v>
      </c>
      <c r="B104" s="114" t="str">
        <f aca="false">IF(A104&lt;=Config!$E$27*Config!$E$28,"Tema","Avulso")</f>
        <v>Tema</v>
      </c>
      <c r="C104" s="114" t="n">
        <f aca="false">IF(B104="Tema",INT((A104-1)/Config!$E$28)+1,A104-Config!$E$27*Config!$E$28)</f>
        <v>17</v>
      </c>
      <c r="D104" s="114" t="n">
        <f aca="false">IF(B104="Tema",MOD(A104-1,Config!$E$28)+1,"")</f>
        <v>4</v>
      </c>
      <c r="E104" s="115" t="n">
        <f aca="false">IF($B104="Tema",IF(ISNUMBER(INDEX(Temas!$E$6:$P$305,$C104,2*$D104-1)),INDEX(Temas!$E$6:$P$305,$C104,2*$D104-1),""),IF(ISNUMBER(INDEX(Avulsos!$B$6:$B$205,$C104)),INDEX(Avulsos!$B$6:$B$205,$C104),""))</f>
        <v>46326</v>
      </c>
      <c r="F104" s="114" t="str">
        <f aca="false">IF($E104="","",IF($B104="Tema",INDEX(Temas!$B$6:$B$305,$C104)&amp;"",INDEX(Avulsos!$C$6:$C$205,$C104)&amp;""))</f>
        <v>Parasitoses Intestinais</v>
      </c>
      <c r="G104" s="114" t="str">
        <f aca="false">IF($E104="","",IF($B104="Tema",INDEX(Config!$C$6:$C$11,$D104),"Evento avulso"))</f>
        <v>3ª Revisão</v>
      </c>
      <c r="H104" s="114" t="str">
        <f aca="false">IF($E104="","",IF($B104="Tema",INDEX(Config!$D$6:$D$11,$D104),IFERROR(INDEX(Config!$E$15:$E$19,MATCH($I104,Config!$C$15:$C$19,0)),"•")))</f>
        <v>R3</v>
      </c>
      <c r="I104" s="114" t="str">
        <f aca="false">IF($E104="","",IF($B104="Tema",INDEX(Config!$E$6:$E$11,$D104),IF(INDEX(Avulsos!$D$6:$D$205,$C104)&amp;""="","Outro",INDEX(Avulsos!$D$6:$D$205,$C104))))</f>
        <v>Prática</v>
      </c>
      <c r="J104" s="114" t="str">
        <f aca="false">IF($E104="","",IF($B104="Tema",INDEX(Temas!$C$6:$C$305,$C104)&amp;"",INDEX(Avulsos!$E$6:$E$205,$C104)&amp;""))</f>
        <v>Pediatria</v>
      </c>
      <c r="K104" s="114" t="str">
        <f aca="false">IF($E104="","",IF(IF($B104="Tema",INDEX(Temas!$E$6:$P$305,$C104,2*$D104),INDEX(Avulsos!$F$6:$F$205,$C104))&amp;""="","","✓"))</f>
        <v/>
      </c>
      <c r="L104" s="114" t="str">
        <f aca="true">IF($E104="","",IF($K104="✓","Concluído",IF($E104&lt;TODAY(),"Atrasado",IF($E104=TODAY(),"Hoje","Pendente"))))</f>
        <v>Pendente</v>
      </c>
      <c r="M104" s="114" t="str">
        <f aca="false">IF($E104="","",IF($K104="✓","✓ ","")&amp;IF(Config!$E$22="Sim",$H104&amp;" · ","")&amp;$F104)</f>
        <v>R3 · Parasitoses Intestinais</v>
      </c>
      <c r="N104" s="114" t="str">
        <f aca="false">IF($E104="","",IFERROR(INDEX(Config!$D$15:$D$19,MATCH($I104,Config!$C$15:$C$19,0)),"OUT")&amp;IF($K104="✓","x",""))</f>
        <v>PRA</v>
      </c>
      <c r="O104" s="114" t="n">
        <f aca="false">IF($E104="","",COUNTIF($E$5:$E104,$E104))</f>
        <v>3</v>
      </c>
      <c r="P104" s="114" t="n">
        <f aca="false">IF($E104="","",$E104*100+$O104)</f>
        <v>4632603</v>
      </c>
      <c r="Q104" s="114" t="str">
        <f aca="false">IF($L104="Atrasado",$E104*10000+$A104,"")</f>
        <v/>
      </c>
    </row>
    <row r="105" customFormat="false" ht="15" hidden="false" customHeight="false" outlineLevel="0" collapsed="false">
      <c r="A105" s="114" t="n">
        <f aca="false">ROW()-4</f>
        <v>101</v>
      </c>
      <c r="B105" s="114" t="str">
        <f aca="false">IF(A105&lt;=Config!$E$27*Config!$E$28,"Tema","Avulso")</f>
        <v>Tema</v>
      </c>
      <c r="C105" s="114" t="n">
        <f aca="false">IF(B105="Tema",INT((A105-1)/Config!$E$28)+1,A105-Config!$E$27*Config!$E$28)</f>
        <v>17</v>
      </c>
      <c r="D105" s="114" t="n">
        <f aca="false">IF(B105="Tema",MOD(A105-1,Config!$E$28)+1,"")</f>
        <v>5</v>
      </c>
      <c r="E105" s="115" t="n">
        <f aca="false">IF($B105="Tema",IF(ISNUMBER(INDEX(Temas!$E$6:$P$305,$C105,2*$D105-1)),INDEX(Temas!$E$6:$P$305,$C105,2*$D105-1),""),IF(ISNUMBER(INDEX(Avulsos!$B$6:$B$205,$C105)),INDEX(Avulsos!$B$6:$B$205,$C105),""))</f>
        <v>46341</v>
      </c>
      <c r="F105" s="114" t="str">
        <f aca="false">IF($E105="","",IF($B105="Tema",INDEX(Temas!$B$6:$B$305,$C105)&amp;"",INDEX(Avulsos!$C$6:$C$205,$C105)&amp;""))</f>
        <v>Parasitoses Intestinais</v>
      </c>
      <c r="G105" s="114" t="str">
        <f aca="false">IF($E105="","",IF($B105="Tema",INDEX(Config!$C$6:$C$11,$D105),"Evento avulso"))</f>
        <v>4ª Revisão</v>
      </c>
      <c r="H105" s="114" t="str">
        <f aca="false">IF($E105="","",IF($B105="Tema",INDEX(Config!$D$6:$D$11,$D105),IFERROR(INDEX(Config!$E$15:$E$19,MATCH($I105,Config!$C$15:$C$19,0)),"•")))</f>
        <v>R4</v>
      </c>
      <c r="I105" s="114" t="str">
        <f aca="false">IF($E105="","",IF($B105="Tema",INDEX(Config!$E$6:$E$11,$D105),IF(INDEX(Avulsos!$D$6:$D$205,$C105)&amp;""="","Outro",INDEX(Avulsos!$D$6:$D$205,$C105))))</f>
        <v>Prática</v>
      </c>
      <c r="J105" s="114" t="str">
        <f aca="false">IF($E105="","",IF($B105="Tema",INDEX(Temas!$C$6:$C$305,$C105)&amp;"",INDEX(Avulsos!$E$6:$E$205,$C105)&amp;""))</f>
        <v>Pediatria</v>
      </c>
      <c r="K105" s="114" t="str">
        <f aca="false">IF($E105="","",IF(IF($B105="Tema",INDEX(Temas!$E$6:$P$305,$C105,2*$D105),INDEX(Avulsos!$F$6:$F$205,$C105))&amp;""="","","✓"))</f>
        <v/>
      </c>
      <c r="L105" s="114" t="str">
        <f aca="true">IF($E105="","",IF($K105="✓","Concluído",IF($E105&lt;TODAY(),"Atrasado",IF($E105=TODAY(),"Hoje","Pendente"))))</f>
        <v>Pendente</v>
      </c>
      <c r="M105" s="114" t="str">
        <f aca="false">IF($E105="","",IF($K105="✓","✓ ","")&amp;IF(Config!$E$22="Sim",$H105&amp;" · ","")&amp;$F105)</f>
        <v>R4 · Parasitoses Intestinais</v>
      </c>
      <c r="N105" s="114" t="str">
        <f aca="false">IF($E105="","",IFERROR(INDEX(Config!$D$15:$D$19,MATCH($I105,Config!$C$15:$C$19,0)),"OUT")&amp;IF($K105="✓","x",""))</f>
        <v>PRA</v>
      </c>
      <c r="O105" s="114" t="n">
        <f aca="false">IF($E105="","",COUNTIF($E$5:$E105,$E105))</f>
        <v>3</v>
      </c>
      <c r="P105" s="114" t="n">
        <f aca="false">IF($E105="","",$E105*100+$O105)</f>
        <v>4634103</v>
      </c>
      <c r="Q105" s="114" t="str">
        <f aca="false">IF($L105="Atrasado",$E105*10000+$A105,"")</f>
        <v/>
      </c>
    </row>
    <row r="106" customFormat="false" ht="15" hidden="false" customHeight="false" outlineLevel="0" collapsed="false">
      <c r="A106" s="114" t="n">
        <f aca="false">ROW()-4</f>
        <v>102</v>
      </c>
      <c r="B106" s="114" t="str">
        <f aca="false">IF(A106&lt;=Config!$E$27*Config!$E$28,"Tema","Avulso")</f>
        <v>Tema</v>
      </c>
      <c r="C106" s="114" t="n">
        <f aca="false">IF(B106="Tema",INT((A106-1)/Config!$E$28)+1,A106-Config!$E$27*Config!$E$28)</f>
        <v>17</v>
      </c>
      <c r="D106" s="114" t="n">
        <f aca="false">IF(B106="Tema",MOD(A106-1,Config!$E$28)+1,"")</f>
        <v>6</v>
      </c>
      <c r="E106" s="115" t="n">
        <f aca="false">IF($B106="Tema",IF(ISNUMBER(INDEX(Temas!$E$6:$P$305,$C106,2*$D106-1)),INDEX(Temas!$E$6:$P$305,$C106,2*$D106-1),""),IF(ISNUMBER(INDEX(Avulsos!$B$6:$B$205,$C106)),INDEX(Avulsos!$B$6:$B$205,$C106),""))</f>
        <v>46371</v>
      </c>
      <c r="F106" s="114" t="str">
        <f aca="false">IF($E106="","",IF($B106="Tema",INDEX(Temas!$B$6:$B$305,$C106)&amp;"",INDEX(Avulsos!$C$6:$C$205,$C106)&amp;""))</f>
        <v>Parasitoses Intestinais</v>
      </c>
      <c r="G106" s="114" t="str">
        <f aca="false">IF($E106="","",IF($B106="Tema",INDEX(Config!$C$6:$C$11,$D106),"Evento avulso"))</f>
        <v>5ª Revisão</v>
      </c>
      <c r="H106" s="114" t="str">
        <f aca="false">IF($E106="","",IF($B106="Tema",INDEX(Config!$D$6:$D$11,$D106),IFERROR(INDEX(Config!$E$15:$E$19,MATCH($I106,Config!$C$15:$C$19,0)),"•")))</f>
        <v>R5</v>
      </c>
      <c r="I106" s="114" t="str">
        <f aca="false">IF($E106="","",IF($B106="Tema",INDEX(Config!$E$6:$E$11,$D106),IF(INDEX(Avulsos!$D$6:$D$205,$C106)&amp;""="","Outro",INDEX(Avulsos!$D$6:$D$205,$C106))))</f>
        <v>Revisão</v>
      </c>
      <c r="J106" s="114" t="str">
        <f aca="false">IF($E106="","",IF($B106="Tema",INDEX(Temas!$C$6:$C$305,$C106)&amp;"",INDEX(Avulsos!$E$6:$E$205,$C106)&amp;""))</f>
        <v>Pediatria</v>
      </c>
      <c r="K106" s="114" t="str">
        <f aca="false">IF($E106="","",IF(IF($B106="Tema",INDEX(Temas!$E$6:$P$305,$C106,2*$D106),INDEX(Avulsos!$F$6:$F$205,$C106))&amp;""="","","✓"))</f>
        <v/>
      </c>
      <c r="L106" s="114" t="str">
        <f aca="true">IF($E106="","",IF($K106="✓","Concluído",IF($E106&lt;TODAY(),"Atrasado",IF($E106=TODAY(),"Hoje","Pendente"))))</f>
        <v>Pendente</v>
      </c>
      <c r="M106" s="114" t="str">
        <f aca="false">IF($E106="","",IF($K106="✓","✓ ","")&amp;IF(Config!$E$22="Sim",$H106&amp;" · ","")&amp;$F106)</f>
        <v>R5 · Parasitoses Intestinais</v>
      </c>
      <c r="N106" s="114" t="str">
        <f aca="false">IF($E106="","",IFERROR(INDEX(Config!$D$15:$D$19,MATCH($I106,Config!$C$15:$C$19,0)),"OUT")&amp;IF($K106="✓","x",""))</f>
        <v>REV</v>
      </c>
      <c r="O106" s="114" t="n">
        <f aca="false">IF($E106="","",COUNTIF($E$5:$E106,$E106))</f>
        <v>3</v>
      </c>
      <c r="P106" s="114" t="n">
        <f aca="false">IF($E106="","",$E106*100+$O106)</f>
        <v>4637103</v>
      </c>
      <c r="Q106" s="114" t="str">
        <f aca="false">IF($L106="Atrasado",$E106*10000+$A106,"")</f>
        <v/>
      </c>
    </row>
    <row r="107" customFormat="false" ht="15" hidden="false" customHeight="false" outlineLevel="0" collapsed="false">
      <c r="A107" s="114" t="n">
        <f aca="false">ROW()-4</f>
        <v>103</v>
      </c>
      <c r="B107" s="114" t="str">
        <f aca="false">IF(A107&lt;=Config!$E$27*Config!$E$28,"Tema","Avulso")</f>
        <v>Tema</v>
      </c>
      <c r="C107" s="114" t="n">
        <f aca="false">IF(B107="Tema",INT((A107-1)/Config!$E$28)+1,A107-Config!$E$27*Config!$E$28)</f>
        <v>18</v>
      </c>
      <c r="D107" s="114" t="n">
        <f aca="false">IF(B107="Tema",MOD(A107-1,Config!$E$28)+1,"")</f>
        <v>1</v>
      </c>
      <c r="E107" s="115" t="n">
        <f aca="false">IF($B107="Tema",IF(ISNUMBER(INDEX(Temas!$E$6:$P$305,$C107,2*$D107-1)),INDEX(Temas!$E$6:$P$305,$C107,2*$D107-1),""),IF(ISNUMBER(INDEX(Avulsos!$B$6:$B$205,$C107)),INDEX(Avulsos!$B$6:$B$205,$C107),""))</f>
        <v>46311</v>
      </c>
      <c r="F107" s="114" t="str">
        <f aca="false">IF($E107="","",IF($B107="Tema",INDEX(Temas!$B$6:$B$305,$C107)&amp;"",INDEX(Avulsos!$C$6:$C$205,$C107)&amp;""))</f>
        <v>HIV/AIDS</v>
      </c>
      <c r="G107" s="114" t="str">
        <f aca="false">IF($E107="","",IF($B107="Tema",INDEX(Config!$C$6:$C$11,$D107),"Evento avulso"))</f>
        <v>Aula teórica</v>
      </c>
      <c r="H107" s="114" t="str">
        <f aca="false">IF($E107="","",IF($B107="Tema",INDEX(Config!$D$6:$D$11,$D107),IFERROR(INDEX(Config!$E$15:$E$19,MATCH($I107,Config!$C$15:$C$19,0)),"•")))</f>
        <v>T</v>
      </c>
      <c r="I107" s="114" t="str">
        <f aca="false">IF($E107="","",IF($B107="Tema",INDEX(Config!$E$6:$E$11,$D107),IF(INDEX(Avulsos!$D$6:$D$205,$C107)&amp;""="","Outro",INDEX(Avulsos!$D$6:$D$205,$C107))))</f>
        <v>Teórica</v>
      </c>
      <c r="J107" s="114" t="str">
        <f aca="false">IF($E107="","",IF($B107="Tema",INDEX(Temas!$C$6:$C$305,$C107)&amp;"",INDEX(Avulsos!$E$6:$E$205,$C107)&amp;""))</f>
        <v>Clínica Médica</v>
      </c>
      <c r="K107" s="114" t="str">
        <f aca="false">IF($E107="","",IF(IF($B107="Tema",INDEX(Temas!$E$6:$P$305,$C107,2*$D107),INDEX(Avulsos!$F$6:$F$205,$C107))&amp;""="","","✓"))</f>
        <v/>
      </c>
      <c r="L107" s="114" t="str">
        <f aca="true">IF($E107="","",IF($K107="✓","Concluído",IF($E107&lt;TODAY(),"Atrasado",IF($E107=TODAY(),"Hoje","Pendente"))))</f>
        <v>Pendente</v>
      </c>
      <c r="M107" s="114" t="str">
        <f aca="false">IF($E107="","",IF($K107="✓","✓ ","")&amp;IF(Config!$E$22="Sim",$H107&amp;" · ","")&amp;$F107)</f>
        <v>T · HIV/AIDS</v>
      </c>
      <c r="N107" s="114" t="str">
        <f aca="false">IF($E107="","",IFERROR(INDEX(Config!$D$15:$D$19,MATCH($I107,Config!$C$15:$C$19,0)),"OUT")&amp;IF($K107="✓","x",""))</f>
        <v>TEO</v>
      </c>
      <c r="O107" s="114" t="n">
        <f aca="false">IF($E107="","",COUNTIF($E$5:$E107,$E107))</f>
        <v>4</v>
      </c>
      <c r="P107" s="114" t="n">
        <f aca="false">IF($E107="","",$E107*100+$O107)</f>
        <v>4631104</v>
      </c>
      <c r="Q107" s="114" t="str">
        <f aca="false">IF($L107="Atrasado",$E107*10000+$A107,"")</f>
        <v/>
      </c>
    </row>
    <row r="108" customFormat="false" ht="15" hidden="false" customHeight="false" outlineLevel="0" collapsed="false">
      <c r="A108" s="114" t="n">
        <f aca="false">ROW()-4</f>
        <v>104</v>
      </c>
      <c r="B108" s="114" t="str">
        <f aca="false">IF(A108&lt;=Config!$E$27*Config!$E$28,"Tema","Avulso")</f>
        <v>Tema</v>
      </c>
      <c r="C108" s="114" t="n">
        <f aca="false">IF(B108="Tema",INT((A108-1)/Config!$E$28)+1,A108-Config!$E$27*Config!$E$28)</f>
        <v>18</v>
      </c>
      <c r="D108" s="114" t="n">
        <f aca="false">IF(B108="Tema",MOD(A108-1,Config!$E$28)+1,"")</f>
        <v>2</v>
      </c>
      <c r="E108" s="115" t="n">
        <f aca="false">IF($B108="Tema",IF(ISNUMBER(INDEX(Temas!$E$6:$P$305,$C108,2*$D108-1)),INDEX(Temas!$E$6:$P$305,$C108,2*$D108-1),""),IF(ISNUMBER(INDEX(Avulsos!$B$6:$B$205,$C108)),INDEX(Avulsos!$B$6:$B$205,$C108),""))</f>
        <v>46312</v>
      </c>
      <c r="F108" s="114" t="str">
        <f aca="false">IF($E108="","",IF($B108="Tema",INDEX(Temas!$B$6:$B$305,$C108)&amp;"",INDEX(Avulsos!$C$6:$C$205,$C108)&amp;""))</f>
        <v>HIV/AIDS</v>
      </c>
      <c r="G108" s="114" t="str">
        <f aca="false">IF($E108="","",IF($B108="Tema",INDEX(Config!$C$6:$C$11,$D108),"Evento avulso"))</f>
        <v>1ª Revisão</v>
      </c>
      <c r="H108" s="114" t="str">
        <f aca="false">IF($E108="","",IF($B108="Tema",INDEX(Config!$D$6:$D$11,$D108),IFERROR(INDEX(Config!$E$15:$E$19,MATCH($I108,Config!$C$15:$C$19,0)),"•")))</f>
        <v>R1</v>
      </c>
      <c r="I108" s="114" t="str">
        <f aca="false">IF($E108="","",IF($B108="Tema",INDEX(Config!$E$6:$E$11,$D108),IF(INDEX(Avulsos!$D$6:$D$205,$C108)&amp;""="","Outro",INDEX(Avulsos!$D$6:$D$205,$C108))))</f>
        <v>Revisão</v>
      </c>
      <c r="J108" s="114" t="str">
        <f aca="false">IF($E108="","",IF($B108="Tema",INDEX(Temas!$C$6:$C$305,$C108)&amp;"",INDEX(Avulsos!$E$6:$E$205,$C108)&amp;""))</f>
        <v>Clínica Médica</v>
      </c>
      <c r="K108" s="114" t="str">
        <f aca="false">IF($E108="","",IF(IF($B108="Tema",INDEX(Temas!$E$6:$P$305,$C108,2*$D108),INDEX(Avulsos!$F$6:$F$205,$C108))&amp;""="","","✓"))</f>
        <v/>
      </c>
      <c r="L108" s="114" t="str">
        <f aca="true">IF($E108="","",IF($K108="✓","Concluído",IF($E108&lt;TODAY(),"Atrasado",IF($E108=TODAY(),"Hoje","Pendente"))))</f>
        <v>Pendente</v>
      </c>
      <c r="M108" s="114" t="str">
        <f aca="false">IF($E108="","",IF($K108="✓","✓ ","")&amp;IF(Config!$E$22="Sim",$H108&amp;" · ","")&amp;$F108)</f>
        <v>R1 · HIV/AIDS</v>
      </c>
      <c r="N108" s="114" t="str">
        <f aca="false">IF($E108="","",IFERROR(INDEX(Config!$D$15:$D$19,MATCH($I108,Config!$C$15:$C$19,0)),"OUT")&amp;IF($K108="✓","x",""))</f>
        <v>REV</v>
      </c>
      <c r="O108" s="114" t="n">
        <f aca="false">IF($E108="","",COUNTIF($E$5:$E108,$E108))</f>
        <v>5</v>
      </c>
      <c r="P108" s="114" t="n">
        <f aca="false">IF($E108="","",$E108*100+$O108)</f>
        <v>4631205</v>
      </c>
      <c r="Q108" s="114" t="str">
        <f aca="false">IF($L108="Atrasado",$E108*10000+$A108,"")</f>
        <v/>
      </c>
    </row>
    <row r="109" customFormat="false" ht="15" hidden="false" customHeight="false" outlineLevel="0" collapsed="false">
      <c r="A109" s="114" t="n">
        <f aca="false">ROW()-4</f>
        <v>105</v>
      </c>
      <c r="B109" s="114" t="str">
        <f aca="false">IF(A109&lt;=Config!$E$27*Config!$E$28,"Tema","Avulso")</f>
        <v>Tema</v>
      </c>
      <c r="C109" s="114" t="n">
        <f aca="false">IF(B109="Tema",INT((A109-1)/Config!$E$28)+1,A109-Config!$E$27*Config!$E$28)</f>
        <v>18</v>
      </c>
      <c r="D109" s="114" t="n">
        <f aca="false">IF(B109="Tema",MOD(A109-1,Config!$E$28)+1,"")</f>
        <v>3</v>
      </c>
      <c r="E109" s="115" t="n">
        <f aca="false">IF($B109="Tema",IF(ISNUMBER(INDEX(Temas!$E$6:$P$305,$C109,2*$D109-1)),INDEX(Temas!$E$6:$P$305,$C109,2*$D109-1),""),IF(ISNUMBER(INDEX(Avulsos!$B$6:$B$205,$C109)),INDEX(Avulsos!$B$6:$B$205,$C109),""))</f>
        <v>46318</v>
      </c>
      <c r="F109" s="114" t="str">
        <f aca="false">IF($E109="","",IF($B109="Tema",INDEX(Temas!$B$6:$B$305,$C109)&amp;"",INDEX(Avulsos!$C$6:$C$205,$C109)&amp;""))</f>
        <v>HIV/AIDS</v>
      </c>
      <c r="G109" s="114" t="str">
        <f aca="false">IF($E109="","",IF($B109="Tema",INDEX(Config!$C$6:$C$11,$D109),"Evento avulso"))</f>
        <v>2ª Revisão</v>
      </c>
      <c r="H109" s="114" t="str">
        <f aca="false">IF($E109="","",IF($B109="Tema",INDEX(Config!$D$6:$D$11,$D109),IFERROR(INDEX(Config!$E$15:$E$19,MATCH($I109,Config!$C$15:$C$19,0)),"•")))</f>
        <v>R2</v>
      </c>
      <c r="I109" s="114" t="str">
        <f aca="false">IF($E109="","",IF($B109="Tema",INDEX(Config!$E$6:$E$11,$D109),IF(INDEX(Avulsos!$D$6:$D$205,$C109)&amp;""="","Outro",INDEX(Avulsos!$D$6:$D$205,$C109))))</f>
        <v>Prática</v>
      </c>
      <c r="J109" s="114" t="str">
        <f aca="false">IF($E109="","",IF($B109="Tema",INDEX(Temas!$C$6:$C$305,$C109)&amp;"",INDEX(Avulsos!$E$6:$E$205,$C109)&amp;""))</f>
        <v>Clínica Médica</v>
      </c>
      <c r="K109" s="114" t="str">
        <f aca="false">IF($E109="","",IF(IF($B109="Tema",INDEX(Temas!$E$6:$P$305,$C109,2*$D109),INDEX(Avulsos!$F$6:$F$205,$C109))&amp;""="","","✓"))</f>
        <v/>
      </c>
      <c r="L109" s="114" t="str">
        <f aca="true">IF($E109="","",IF($K109="✓","Concluído",IF($E109&lt;TODAY(),"Atrasado",IF($E109=TODAY(),"Hoje","Pendente"))))</f>
        <v>Pendente</v>
      </c>
      <c r="M109" s="114" t="str">
        <f aca="false">IF($E109="","",IF($K109="✓","✓ ","")&amp;IF(Config!$E$22="Sim",$H109&amp;" · ","")&amp;$F109)</f>
        <v>R2 · HIV/AIDS</v>
      </c>
      <c r="N109" s="114" t="str">
        <f aca="false">IF($E109="","",IFERROR(INDEX(Config!$D$15:$D$19,MATCH($I109,Config!$C$15:$C$19,0)),"OUT")&amp;IF($K109="✓","x",""))</f>
        <v>PRA</v>
      </c>
      <c r="O109" s="114" t="n">
        <f aca="false">IF($E109="","",COUNTIF($E$5:$E109,$E109))</f>
        <v>5</v>
      </c>
      <c r="P109" s="114" t="n">
        <f aca="false">IF($E109="","",$E109*100+$O109)</f>
        <v>4631805</v>
      </c>
      <c r="Q109" s="114" t="str">
        <f aca="false">IF($L109="Atrasado",$E109*10000+$A109,"")</f>
        <v/>
      </c>
    </row>
    <row r="110" customFormat="false" ht="15" hidden="false" customHeight="false" outlineLevel="0" collapsed="false">
      <c r="A110" s="114" t="n">
        <f aca="false">ROW()-4</f>
        <v>106</v>
      </c>
      <c r="B110" s="114" t="str">
        <f aca="false">IF(A110&lt;=Config!$E$27*Config!$E$28,"Tema","Avulso")</f>
        <v>Tema</v>
      </c>
      <c r="C110" s="114" t="n">
        <f aca="false">IF(B110="Tema",INT((A110-1)/Config!$E$28)+1,A110-Config!$E$27*Config!$E$28)</f>
        <v>18</v>
      </c>
      <c r="D110" s="114" t="n">
        <f aca="false">IF(B110="Tema",MOD(A110-1,Config!$E$28)+1,"")</f>
        <v>4</v>
      </c>
      <c r="E110" s="115" t="n">
        <f aca="false">IF($B110="Tema",IF(ISNUMBER(INDEX(Temas!$E$6:$P$305,$C110,2*$D110-1)),INDEX(Temas!$E$6:$P$305,$C110,2*$D110-1),""),IF(ISNUMBER(INDEX(Avulsos!$B$6:$B$205,$C110)),INDEX(Avulsos!$B$6:$B$205,$C110),""))</f>
        <v>46326</v>
      </c>
      <c r="F110" s="114" t="str">
        <f aca="false">IF($E110="","",IF($B110="Tema",INDEX(Temas!$B$6:$B$305,$C110)&amp;"",INDEX(Avulsos!$C$6:$C$205,$C110)&amp;""))</f>
        <v>HIV/AIDS</v>
      </c>
      <c r="G110" s="114" t="str">
        <f aca="false">IF($E110="","",IF($B110="Tema",INDEX(Config!$C$6:$C$11,$D110),"Evento avulso"))</f>
        <v>3ª Revisão</v>
      </c>
      <c r="H110" s="114" t="str">
        <f aca="false">IF($E110="","",IF($B110="Tema",INDEX(Config!$D$6:$D$11,$D110),IFERROR(INDEX(Config!$E$15:$E$19,MATCH($I110,Config!$C$15:$C$19,0)),"•")))</f>
        <v>R3</v>
      </c>
      <c r="I110" s="114" t="str">
        <f aca="false">IF($E110="","",IF($B110="Tema",INDEX(Config!$E$6:$E$11,$D110),IF(INDEX(Avulsos!$D$6:$D$205,$C110)&amp;""="","Outro",INDEX(Avulsos!$D$6:$D$205,$C110))))</f>
        <v>Prática</v>
      </c>
      <c r="J110" s="114" t="str">
        <f aca="false">IF($E110="","",IF($B110="Tema",INDEX(Temas!$C$6:$C$305,$C110)&amp;"",INDEX(Avulsos!$E$6:$E$205,$C110)&amp;""))</f>
        <v>Clínica Médica</v>
      </c>
      <c r="K110" s="114" t="str">
        <f aca="false">IF($E110="","",IF(IF($B110="Tema",INDEX(Temas!$E$6:$P$305,$C110,2*$D110),INDEX(Avulsos!$F$6:$F$205,$C110))&amp;""="","","✓"))</f>
        <v/>
      </c>
      <c r="L110" s="114" t="str">
        <f aca="true">IF($E110="","",IF($K110="✓","Concluído",IF($E110&lt;TODAY(),"Atrasado",IF($E110=TODAY(),"Hoje","Pendente"))))</f>
        <v>Pendente</v>
      </c>
      <c r="M110" s="114" t="str">
        <f aca="false">IF($E110="","",IF($K110="✓","✓ ","")&amp;IF(Config!$E$22="Sim",$H110&amp;" · ","")&amp;$F110)</f>
        <v>R3 · HIV/AIDS</v>
      </c>
      <c r="N110" s="114" t="str">
        <f aca="false">IF($E110="","",IFERROR(INDEX(Config!$D$15:$D$19,MATCH($I110,Config!$C$15:$C$19,0)),"OUT")&amp;IF($K110="✓","x",""))</f>
        <v>PRA</v>
      </c>
      <c r="O110" s="114" t="n">
        <f aca="false">IF($E110="","",COUNTIF($E$5:$E110,$E110))</f>
        <v>4</v>
      </c>
      <c r="P110" s="114" t="n">
        <f aca="false">IF($E110="","",$E110*100+$O110)</f>
        <v>4632604</v>
      </c>
      <c r="Q110" s="114" t="str">
        <f aca="false">IF($L110="Atrasado",$E110*10000+$A110,"")</f>
        <v/>
      </c>
    </row>
    <row r="111" customFormat="false" ht="15" hidden="false" customHeight="false" outlineLevel="0" collapsed="false">
      <c r="A111" s="114" t="n">
        <f aca="false">ROW()-4</f>
        <v>107</v>
      </c>
      <c r="B111" s="114" t="str">
        <f aca="false">IF(A111&lt;=Config!$E$27*Config!$E$28,"Tema","Avulso")</f>
        <v>Tema</v>
      </c>
      <c r="C111" s="114" t="n">
        <f aca="false">IF(B111="Tema",INT((A111-1)/Config!$E$28)+1,A111-Config!$E$27*Config!$E$28)</f>
        <v>18</v>
      </c>
      <c r="D111" s="114" t="n">
        <f aca="false">IF(B111="Tema",MOD(A111-1,Config!$E$28)+1,"")</f>
        <v>5</v>
      </c>
      <c r="E111" s="115" t="n">
        <f aca="false">IF($B111="Tema",IF(ISNUMBER(INDEX(Temas!$E$6:$P$305,$C111,2*$D111-1)),INDEX(Temas!$E$6:$P$305,$C111,2*$D111-1),""),IF(ISNUMBER(INDEX(Avulsos!$B$6:$B$205,$C111)),INDEX(Avulsos!$B$6:$B$205,$C111),""))</f>
        <v>46341</v>
      </c>
      <c r="F111" s="114" t="str">
        <f aca="false">IF($E111="","",IF($B111="Tema",INDEX(Temas!$B$6:$B$305,$C111)&amp;"",INDEX(Avulsos!$C$6:$C$205,$C111)&amp;""))</f>
        <v>HIV/AIDS</v>
      </c>
      <c r="G111" s="114" t="str">
        <f aca="false">IF($E111="","",IF($B111="Tema",INDEX(Config!$C$6:$C$11,$D111),"Evento avulso"))</f>
        <v>4ª Revisão</v>
      </c>
      <c r="H111" s="114" t="str">
        <f aca="false">IF($E111="","",IF($B111="Tema",INDEX(Config!$D$6:$D$11,$D111),IFERROR(INDEX(Config!$E$15:$E$19,MATCH($I111,Config!$C$15:$C$19,0)),"•")))</f>
        <v>R4</v>
      </c>
      <c r="I111" s="114" t="str">
        <f aca="false">IF($E111="","",IF($B111="Tema",INDEX(Config!$E$6:$E$11,$D111),IF(INDEX(Avulsos!$D$6:$D$205,$C111)&amp;""="","Outro",INDEX(Avulsos!$D$6:$D$205,$C111))))</f>
        <v>Prática</v>
      </c>
      <c r="J111" s="114" t="str">
        <f aca="false">IF($E111="","",IF($B111="Tema",INDEX(Temas!$C$6:$C$305,$C111)&amp;"",INDEX(Avulsos!$E$6:$E$205,$C111)&amp;""))</f>
        <v>Clínica Médica</v>
      </c>
      <c r="K111" s="114" t="str">
        <f aca="false">IF($E111="","",IF(IF($B111="Tema",INDEX(Temas!$E$6:$P$305,$C111,2*$D111),INDEX(Avulsos!$F$6:$F$205,$C111))&amp;""="","","✓"))</f>
        <v/>
      </c>
      <c r="L111" s="114" t="str">
        <f aca="true">IF($E111="","",IF($K111="✓","Concluído",IF($E111&lt;TODAY(),"Atrasado",IF($E111=TODAY(),"Hoje","Pendente"))))</f>
        <v>Pendente</v>
      </c>
      <c r="M111" s="114" t="str">
        <f aca="false">IF($E111="","",IF($K111="✓","✓ ","")&amp;IF(Config!$E$22="Sim",$H111&amp;" · ","")&amp;$F111)</f>
        <v>R4 · HIV/AIDS</v>
      </c>
      <c r="N111" s="114" t="str">
        <f aca="false">IF($E111="","",IFERROR(INDEX(Config!$D$15:$D$19,MATCH($I111,Config!$C$15:$C$19,0)),"OUT")&amp;IF($K111="✓","x",""))</f>
        <v>PRA</v>
      </c>
      <c r="O111" s="114" t="n">
        <f aca="false">IF($E111="","",COUNTIF($E$5:$E111,$E111))</f>
        <v>4</v>
      </c>
      <c r="P111" s="114" t="n">
        <f aca="false">IF($E111="","",$E111*100+$O111)</f>
        <v>4634104</v>
      </c>
      <c r="Q111" s="114" t="str">
        <f aca="false">IF($L111="Atrasado",$E111*10000+$A111,"")</f>
        <v/>
      </c>
    </row>
    <row r="112" customFormat="false" ht="15" hidden="false" customHeight="false" outlineLevel="0" collapsed="false">
      <c r="A112" s="114" t="n">
        <f aca="false">ROW()-4</f>
        <v>108</v>
      </c>
      <c r="B112" s="114" t="str">
        <f aca="false">IF(A112&lt;=Config!$E$27*Config!$E$28,"Tema","Avulso")</f>
        <v>Tema</v>
      </c>
      <c r="C112" s="114" t="n">
        <f aca="false">IF(B112="Tema",INT((A112-1)/Config!$E$28)+1,A112-Config!$E$27*Config!$E$28)</f>
        <v>18</v>
      </c>
      <c r="D112" s="114" t="n">
        <f aca="false">IF(B112="Tema",MOD(A112-1,Config!$E$28)+1,"")</f>
        <v>6</v>
      </c>
      <c r="E112" s="115" t="n">
        <f aca="false">IF($B112="Tema",IF(ISNUMBER(INDEX(Temas!$E$6:$P$305,$C112,2*$D112-1)),INDEX(Temas!$E$6:$P$305,$C112,2*$D112-1),""),IF(ISNUMBER(INDEX(Avulsos!$B$6:$B$205,$C112)),INDEX(Avulsos!$B$6:$B$205,$C112),""))</f>
        <v>46371</v>
      </c>
      <c r="F112" s="114" t="str">
        <f aca="false">IF($E112="","",IF($B112="Tema",INDEX(Temas!$B$6:$B$305,$C112)&amp;"",INDEX(Avulsos!$C$6:$C$205,$C112)&amp;""))</f>
        <v>HIV/AIDS</v>
      </c>
      <c r="G112" s="114" t="str">
        <f aca="false">IF($E112="","",IF($B112="Tema",INDEX(Config!$C$6:$C$11,$D112),"Evento avulso"))</f>
        <v>5ª Revisão</v>
      </c>
      <c r="H112" s="114" t="str">
        <f aca="false">IF($E112="","",IF($B112="Tema",INDEX(Config!$D$6:$D$11,$D112),IFERROR(INDEX(Config!$E$15:$E$19,MATCH($I112,Config!$C$15:$C$19,0)),"•")))</f>
        <v>R5</v>
      </c>
      <c r="I112" s="114" t="str">
        <f aca="false">IF($E112="","",IF($B112="Tema",INDEX(Config!$E$6:$E$11,$D112),IF(INDEX(Avulsos!$D$6:$D$205,$C112)&amp;""="","Outro",INDEX(Avulsos!$D$6:$D$205,$C112))))</f>
        <v>Revisão</v>
      </c>
      <c r="J112" s="114" t="str">
        <f aca="false">IF($E112="","",IF($B112="Tema",INDEX(Temas!$C$6:$C$305,$C112)&amp;"",INDEX(Avulsos!$E$6:$E$205,$C112)&amp;""))</f>
        <v>Clínica Médica</v>
      </c>
      <c r="K112" s="114" t="str">
        <f aca="false">IF($E112="","",IF(IF($B112="Tema",INDEX(Temas!$E$6:$P$305,$C112,2*$D112),INDEX(Avulsos!$F$6:$F$205,$C112))&amp;""="","","✓"))</f>
        <v/>
      </c>
      <c r="L112" s="114" t="str">
        <f aca="true">IF($E112="","",IF($K112="✓","Concluído",IF($E112&lt;TODAY(),"Atrasado",IF($E112=TODAY(),"Hoje","Pendente"))))</f>
        <v>Pendente</v>
      </c>
      <c r="M112" s="114" t="str">
        <f aca="false">IF($E112="","",IF($K112="✓","✓ ","")&amp;IF(Config!$E$22="Sim",$H112&amp;" · ","")&amp;$F112)</f>
        <v>R5 · HIV/AIDS</v>
      </c>
      <c r="N112" s="114" t="str">
        <f aca="false">IF($E112="","",IFERROR(INDEX(Config!$D$15:$D$19,MATCH($I112,Config!$C$15:$C$19,0)),"OUT")&amp;IF($K112="✓","x",""))</f>
        <v>REV</v>
      </c>
      <c r="O112" s="114" t="n">
        <f aca="false">IF($E112="","",COUNTIF($E$5:$E112,$E112))</f>
        <v>4</v>
      </c>
      <c r="P112" s="114" t="n">
        <f aca="false">IF($E112="","",$E112*100+$O112)</f>
        <v>4637104</v>
      </c>
      <c r="Q112" s="114" t="str">
        <f aca="false">IF($L112="Atrasado",$E112*10000+$A112,"")</f>
        <v/>
      </c>
    </row>
    <row r="113" customFormat="false" ht="15" hidden="false" customHeight="false" outlineLevel="0" collapsed="false">
      <c r="A113" s="114" t="n">
        <f aca="false">ROW()-4</f>
        <v>109</v>
      </c>
      <c r="B113" s="114" t="str">
        <f aca="false">IF(A113&lt;=Config!$E$27*Config!$E$28,"Tema","Avulso")</f>
        <v>Tema</v>
      </c>
      <c r="C113" s="114" t="n">
        <f aca="false">IF(B113="Tema",INT((A113-1)/Config!$E$28)+1,A113-Config!$E$27*Config!$E$28)</f>
        <v>19</v>
      </c>
      <c r="D113" s="114" t="n">
        <f aca="false">IF(B113="Tema",MOD(A113-1,Config!$E$28)+1,"")</f>
        <v>1</v>
      </c>
      <c r="E113" s="115" t="n">
        <f aca="false">IF($B113="Tema",IF(ISNUMBER(INDEX(Temas!$E$6:$P$305,$C113,2*$D113-1)),INDEX(Temas!$E$6:$P$305,$C113,2*$D113-1),""),IF(ISNUMBER(INDEX(Avulsos!$B$6:$B$205,$C113)),INDEX(Avulsos!$B$6:$B$205,$C113),""))</f>
        <v>46314</v>
      </c>
      <c r="F113" s="114" t="str">
        <f aca="false">IF($E113="","",IF($B113="Tema",INDEX(Temas!$B$6:$B$305,$C113)&amp;"",INDEX(Avulsos!$C$6:$C$205,$C113)&amp;""))</f>
        <v>Dermatologia I e II</v>
      </c>
      <c r="G113" s="114" t="str">
        <f aca="false">IF($E113="","",IF($B113="Tema",INDEX(Config!$C$6:$C$11,$D113),"Evento avulso"))</f>
        <v>Aula teórica</v>
      </c>
      <c r="H113" s="114" t="str">
        <f aca="false">IF($E113="","",IF($B113="Tema",INDEX(Config!$D$6:$D$11,$D113),IFERROR(INDEX(Config!$E$15:$E$19,MATCH($I113,Config!$C$15:$C$19,0)),"•")))</f>
        <v>T</v>
      </c>
      <c r="I113" s="114" t="str">
        <f aca="false">IF($E113="","",IF($B113="Tema",INDEX(Config!$E$6:$E$11,$D113),IF(INDEX(Avulsos!$D$6:$D$205,$C113)&amp;""="","Outro",INDEX(Avulsos!$D$6:$D$205,$C113))))</f>
        <v>Teórica</v>
      </c>
      <c r="J113" s="114" t="str">
        <f aca="false">IF($E113="","",IF($B113="Tema",INDEX(Temas!$C$6:$C$305,$C113)&amp;"",INDEX(Avulsos!$E$6:$E$205,$C113)&amp;""))</f>
        <v>Clínica Médica</v>
      </c>
      <c r="K113" s="114" t="str">
        <f aca="false">IF($E113="","",IF(IF($B113="Tema",INDEX(Temas!$E$6:$P$305,$C113,2*$D113),INDEX(Avulsos!$F$6:$F$205,$C113))&amp;""="","","✓"))</f>
        <v/>
      </c>
      <c r="L113" s="114" t="str">
        <f aca="true">IF($E113="","",IF($K113="✓","Concluído",IF($E113&lt;TODAY(),"Atrasado",IF($E113=TODAY(),"Hoje","Pendente"))))</f>
        <v>Pendente</v>
      </c>
      <c r="M113" s="114" t="str">
        <f aca="false">IF($E113="","",IF($K113="✓","✓ ","")&amp;IF(Config!$E$22="Sim",$H113&amp;" · ","")&amp;$F113)</f>
        <v>T · Dermatologia I e II</v>
      </c>
      <c r="N113" s="114" t="str">
        <f aca="false">IF($E113="","",IFERROR(INDEX(Config!$D$15:$D$19,MATCH($I113,Config!$C$15:$C$19,0)),"OUT")&amp;IF($K113="✓","x",""))</f>
        <v>TEO</v>
      </c>
      <c r="O113" s="114" t="n">
        <f aca="false">IF($E113="","",COUNTIF($E$5:$E113,$E113))</f>
        <v>3</v>
      </c>
      <c r="P113" s="114" t="n">
        <f aca="false">IF($E113="","",$E113*100+$O113)</f>
        <v>4631403</v>
      </c>
      <c r="Q113" s="114" t="str">
        <f aca="false">IF($L113="Atrasado",$E113*10000+$A113,"")</f>
        <v/>
      </c>
    </row>
    <row r="114" customFormat="false" ht="15" hidden="false" customHeight="false" outlineLevel="0" collapsed="false">
      <c r="A114" s="114" t="n">
        <f aca="false">ROW()-4</f>
        <v>110</v>
      </c>
      <c r="B114" s="114" t="str">
        <f aca="false">IF(A114&lt;=Config!$E$27*Config!$E$28,"Tema","Avulso")</f>
        <v>Tema</v>
      </c>
      <c r="C114" s="114" t="n">
        <f aca="false">IF(B114="Tema",INT((A114-1)/Config!$E$28)+1,A114-Config!$E$27*Config!$E$28)</f>
        <v>19</v>
      </c>
      <c r="D114" s="114" t="n">
        <f aca="false">IF(B114="Tema",MOD(A114-1,Config!$E$28)+1,"")</f>
        <v>2</v>
      </c>
      <c r="E114" s="115" t="n">
        <f aca="false">IF($B114="Tema",IF(ISNUMBER(INDEX(Temas!$E$6:$P$305,$C114,2*$D114-1)),INDEX(Temas!$E$6:$P$305,$C114,2*$D114-1),""),IF(ISNUMBER(INDEX(Avulsos!$B$6:$B$205,$C114)),INDEX(Avulsos!$B$6:$B$205,$C114),""))</f>
        <v>46315</v>
      </c>
      <c r="F114" s="114" t="str">
        <f aca="false">IF($E114="","",IF($B114="Tema",INDEX(Temas!$B$6:$B$305,$C114)&amp;"",INDEX(Avulsos!$C$6:$C$205,$C114)&amp;""))</f>
        <v>Dermatologia I e II</v>
      </c>
      <c r="G114" s="114" t="str">
        <f aca="false">IF($E114="","",IF($B114="Tema",INDEX(Config!$C$6:$C$11,$D114),"Evento avulso"))</f>
        <v>1ª Revisão</v>
      </c>
      <c r="H114" s="114" t="str">
        <f aca="false">IF($E114="","",IF($B114="Tema",INDEX(Config!$D$6:$D$11,$D114),IFERROR(INDEX(Config!$E$15:$E$19,MATCH($I114,Config!$C$15:$C$19,0)),"•")))</f>
        <v>R1</v>
      </c>
      <c r="I114" s="114" t="str">
        <f aca="false">IF($E114="","",IF($B114="Tema",INDEX(Config!$E$6:$E$11,$D114),IF(INDEX(Avulsos!$D$6:$D$205,$C114)&amp;""="","Outro",INDEX(Avulsos!$D$6:$D$205,$C114))))</f>
        <v>Revisão</v>
      </c>
      <c r="J114" s="114" t="str">
        <f aca="false">IF($E114="","",IF($B114="Tema",INDEX(Temas!$C$6:$C$305,$C114)&amp;"",INDEX(Avulsos!$E$6:$E$205,$C114)&amp;""))</f>
        <v>Clínica Médica</v>
      </c>
      <c r="K114" s="114" t="str">
        <f aca="false">IF($E114="","",IF(IF($B114="Tema",INDEX(Temas!$E$6:$P$305,$C114,2*$D114),INDEX(Avulsos!$F$6:$F$205,$C114))&amp;""="","","✓"))</f>
        <v/>
      </c>
      <c r="L114" s="114" t="str">
        <f aca="true">IF($E114="","",IF($K114="✓","Concluído",IF($E114&lt;TODAY(),"Atrasado",IF($E114=TODAY(),"Hoje","Pendente"))))</f>
        <v>Pendente</v>
      </c>
      <c r="M114" s="114" t="str">
        <f aca="false">IF($E114="","",IF($K114="✓","✓ ","")&amp;IF(Config!$E$22="Sim",$H114&amp;" · ","")&amp;$F114)</f>
        <v>R1 · Dermatologia I e II</v>
      </c>
      <c r="N114" s="114" t="str">
        <f aca="false">IF($E114="","",IFERROR(INDEX(Config!$D$15:$D$19,MATCH($I114,Config!$C$15:$C$19,0)),"OUT")&amp;IF($K114="✓","x",""))</f>
        <v>REV</v>
      </c>
      <c r="O114" s="114" t="n">
        <f aca="false">IF($E114="","",COUNTIF($E$5:$E114,$E114))</f>
        <v>2</v>
      </c>
      <c r="P114" s="114" t="n">
        <f aca="false">IF($E114="","",$E114*100+$O114)</f>
        <v>4631502</v>
      </c>
      <c r="Q114" s="114" t="str">
        <f aca="false">IF($L114="Atrasado",$E114*10000+$A114,"")</f>
        <v/>
      </c>
    </row>
    <row r="115" customFormat="false" ht="15" hidden="false" customHeight="false" outlineLevel="0" collapsed="false">
      <c r="A115" s="114" t="n">
        <f aca="false">ROW()-4</f>
        <v>111</v>
      </c>
      <c r="B115" s="114" t="str">
        <f aca="false">IF(A115&lt;=Config!$E$27*Config!$E$28,"Tema","Avulso")</f>
        <v>Tema</v>
      </c>
      <c r="C115" s="114" t="n">
        <f aca="false">IF(B115="Tema",INT((A115-1)/Config!$E$28)+1,A115-Config!$E$27*Config!$E$28)</f>
        <v>19</v>
      </c>
      <c r="D115" s="114" t="n">
        <f aca="false">IF(B115="Tema",MOD(A115-1,Config!$E$28)+1,"")</f>
        <v>3</v>
      </c>
      <c r="E115" s="115" t="n">
        <f aca="false">IF($B115="Tema",IF(ISNUMBER(INDEX(Temas!$E$6:$P$305,$C115,2*$D115-1)),INDEX(Temas!$E$6:$P$305,$C115,2*$D115-1),""),IF(ISNUMBER(INDEX(Avulsos!$B$6:$B$205,$C115)),INDEX(Avulsos!$B$6:$B$205,$C115),""))</f>
        <v>46321</v>
      </c>
      <c r="F115" s="114" t="str">
        <f aca="false">IF($E115="","",IF($B115="Tema",INDEX(Temas!$B$6:$B$305,$C115)&amp;"",INDEX(Avulsos!$C$6:$C$205,$C115)&amp;""))</f>
        <v>Dermatologia I e II</v>
      </c>
      <c r="G115" s="114" t="str">
        <f aca="false">IF($E115="","",IF($B115="Tema",INDEX(Config!$C$6:$C$11,$D115),"Evento avulso"))</f>
        <v>2ª Revisão</v>
      </c>
      <c r="H115" s="114" t="str">
        <f aca="false">IF($E115="","",IF($B115="Tema",INDEX(Config!$D$6:$D$11,$D115),IFERROR(INDEX(Config!$E$15:$E$19,MATCH($I115,Config!$C$15:$C$19,0)),"•")))</f>
        <v>R2</v>
      </c>
      <c r="I115" s="114" t="str">
        <f aca="false">IF($E115="","",IF($B115="Tema",INDEX(Config!$E$6:$E$11,$D115),IF(INDEX(Avulsos!$D$6:$D$205,$C115)&amp;""="","Outro",INDEX(Avulsos!$D$6:$D$205,$C115))))</f>
        <v>Prática</v>
      </c>
      <c r="J115" s="114" t="str">
        <f aca="false">IF($E115="","",IF($B115="Tema",INDEX(Temas!$C$6:$C$305,$C115)&amp;"",INDEX(Avulsos!$E$6:$E$205,$C115)&amp;""))</f>
        <v>Clínica Médica</v>
      </c>
      <c r="K115" s="114" t="str">
        <f aca="false">IF($E115="","",IF(IF($B115="Tema",INDEX(Temas!$E$6:$P$305,$C115,2*$D115),INDEX(Avulsos!$F$6:$F$205,$C115))&amp;""="","","✓"))</f>
        <v/>
      </c>
      <c r="L115" s="114" t="str">
        <f aca="true">IF($E115="","",IF($K115="✓","Concluído",IF($E115&lt;TODAY(),"Atrasado",IF($E115=TODAY(),"Hoje","Pendente"))))</f>
        <v>Pendente</v>
      </c>
      <c r="M115" s="114" t="str">
        <f aca="false">IF($E115="","",IF($K115="✓","✓ ","")&amp;IF(Config!$E$22="Sim",$H115&amp;" · ","")&amp;$F115)</f>
        <v>R2 · Dermatologia I e II</v>
      </c>
      <c r="N115" s="114" t="str">
        <f aca="false">IF($E115="","",IFERROR(INDEX(Config!$D$15:$D$19,MATCH($I115,Config!$C$15:$C$19,0)),"OUT")&amp;IF($K115="✓","x",""))</f>
        <v>PRA</v>
      </c>
      <c r="O115" s="114" t="n">
        <f aca="false">IF($E115="","",COUNTIF($E$5:$E115,$E115))</f>
        <v>2</v>
      </c>
      <c r="P115" s="114" t="n">
        <f aca="false">IF($E115="","",$E115*100+$O115)</f>
        <v>4632102</v>
      </c>
      <c r="Q115" s="114" t="str">
        <f aca="false">IF($L115="Atrasado",$E115*10000+$A115,"")</f>
        <v/>
      </c>
    </row>
    <row r="116" customFormat="false" ht="15" hidden="false" customHeight="false" outlineLevel="0" collapsed="false">
      <c r="A116" s="114" t="n">
        <f aca="false">ROW()-4</f>
        <v>112</v>
      </c>
      <c r="B116" s="114" t="str">
        <f aca="false">IF(A116&lt;=Config!$E$27*Config!$E$28,"Tema","Avulso")</f>
        <v>Tema</v>
      </c>
      <c r="C116" s="114" t="n">
        <f aca="false">IF(B116="Tema",INT((A116-1)/Config!$E$28)+1,A116-Config!$E$27*Config!$E$28)</f>
        <v>19</v>
      </c>
      <c r="D116" s="114" t="n">
        <f aca="false">IF(B116="Tema",MOD(A116-1,Config!$E$28)+1,"")</f>
        <v>4</v>
      </c>
      <c r="E116" s="115" t="n">
        <f aca="false">IF($B116="Tema",IF(ISNUMBER(INDEX(Temas!$E$6:$P$305,$C116,2*$D116-1)),INDEX(Temas!$E$6:$P$305,$C116,2*$D116-1),""),IF(ISNUMBER(INDEX(Avulsos!$B$6:$B$205,$C116)),INDEX(Avulsos!$B$6:$B$205,$C116),""))</f>
        <v>46329</v>
      </c>
      <c r="F116" s="114" t="str">
        <f aca="false">IF($E116="","",IF($B116="Tema",INDEX(Temas!$B$6:$B$305,$C116)&amp;"",INDEX(Avulsos!$C$6:$C$205,$C116)&amp;""))</f>
        <v>Dermatologia I e II</v>
      </c>
      <c r="G116" s="114" t="str">
        <f aca="false">IF($E116="","",IF($B116="Tema",INDEX(Config!$C$6:$C$11,$D116),"Evento avulso"))</f>
        <v>3ª Revisão</v>
      </c>
      <c r="H116" s="114" t="str">
        <f aca="false">IF($E116="","",IF($B116="Tema",INDEX(Config!$D$6:$D$11,$D116),IFERROR(INDEX(Config!$E$15:$E$19,MATCH($I116,Config!$C$15:$C$19,0)),"•")))</f>
        <v>R3</v>
      </c>
      <c r="I116" s="114" t="str">
        <f aca="false">IF($E116="","",IF($B116="Tema",INDEX(Config!$E$6:$E$11,$D116),IF(INDEX(Avulsos!$D$6:$D$205,$C116)&amp;""="","Outro",INDEX(Avulsos!$D$6:$D$205,$C116))))</f>
        <v>Prática</v>
      </c>
      <c r="J116" s="114" t="str">
        <f aca="false">IF($E116="","",IF($B116="Tema",INDEX(Temas!$C$6:$C$305,$C116)&amp;"",INDEX(Avulsos!$E$6:$E$205,$C116)&amp;""))</f>
        <v>Clínica Médica</v>
      </c>
      <c r="K116" s="114" t="str">
        <f aca="false">IF($E116="","",IF(IF($B116="Tema",INDEX(Temas!$E$6:$P$305,$C116,2*$D116),INDEX(Avulsos!$F$6:$F$205,$C116))&amp;""="","","✓"))</f>
        <v/>
      </c>
      <c r="L116" s="114" t="str">
        <f aca="true">IF($E116="","",IF($K116="✓","Concluído",IF($E116&lt;TODAY(),"Atrasado",IF($E116=TODAY(),"Hoje","Pendente"))))</f>
        <v>Pendente</v>
      </c>
      <c r="M116" s="114" t="str">
        <f aca="false">IF($E116="","",IF($K116="✓","✓ ","")&amp;IF(Config!$E$22="Sim",$H116&amp;" · ","")&amp;$F116)</f>
        <v>R3 · Dermatologia I e II</v>
      </c>
      <c r="N116" s="114" t="str">
        <f aca="false">IF($E116="","",IFERROR(INDEX(Config!$D$15:$D$19,MATCH($I116,Config!$C$15:$C$19,0)),"OUT")&amp;IF($K116="✓","x",""))</f>
        <v>PRA</v>
      </c>
      <c r="O116" s="114" t="n">
        <f aca="false">IF($E116="","",COUNTIF($E$5:$E116,$E116))</f>
        <v>1</v>
      </c>
      <c r="P116" s="114" t="n">
        <f aca="false">IF($E116="","",$E116*100+$O116)</f>
        <v>4632901</v>
      </c>
      <c r="Q116" s="114" t="str">
        <f aca="false">IF($L116="Atrasado",$E116*10000+$A116,"")</f>
        <v/>
      </c>
    </row>
    <row r="117" customFormat="false" ht="15" hidden="false" customHeight="false" outlineLevel="0" collapsed="false">
      <c r="A117" s="114" t="n">
        <f aca="false">ROW()-4</f>
        <v>113</v>
      </c>
      <c r="B117" s="114" t="str">
        <f aca="false">IF(A117&lt;=Config!$E$27*Config!$E$28,"Tema","Avulso")</f>
        <v>Tema</v>
      </c>
      <c r="C117" s="114" t="n">
        <f aca="false">IF(B117="Tema",INT((A117-1)/Config!$E$28)+1,A117-Config!$E$27*Config!$E$28)</f>
        <v>19</v>
      </c>
      <c r="D117" s="114" t="n">
        <f aca="false">IF(B117="Tema",MOD(A117-1,Config!$E$28)+1,"")</f>
        <v>5</v>
      </c>
      <c r="E117" s="115" t="n">
        <f aca="false">IF($B117="Tema",IF(ISNUMBER(INDEX(Temas!$E$6:$P$305,$C117,2*$D117-1)),INDEX(Temas!$E$6:$P$305,$C117,2*$D117-1),""),IF(ISNUMBER(INDEX(Avulsos!$B$6:$B$205,$C117)),INDEX(Avulsos!$B$6:$B$205,$C117),""))</f>
        <v>46344</v>
      </c>
      <c r="F117" s="114" t="str">
        <f aca="false">IF($E117="","",IF($B117="Tema",INDEX(Temas!$B$6:$B$305,$C117)&amp;"",INDEX(Avulsos!$C$6:$C$205,$C117)&amp;""))</f>
        <v>Dermatologia I e II</v>
      </c>
      <c r="G117" s="114" t="str">
        <f aca="false">IF($E117="","",IF($B117="Tema",INDEX(Config!$C$6:$C$11,$D117),"Evento avulso"))</f>
        <v>4ª Revisão</v>
      </c>
      <c r="H117" s="114" t="str">
        <f aca="false">IF($E117="","",IF($B117="Tema",INDEX(Config!$D$6:$D$11,$D117),IFERROR(INDEX(Config!$E$15:$E$19,MATCH($I117,Config!$C$15:$C$19,0)),"•")))</f>
        <v>R4</v>
      </c>
      <c r="I117" s="114" t="str">
        <f aca="false">IF($E117="","",IF($B117="Tema",INDEX(Config!$E$6:$E$11,$D117),IF(INDEX(Avulsos!$D$6:$D$205,$C117)&amp;""="","Outro",INDEX(Avulsos!$D$6:$D$205,$C117))))</f>
        <v>Prática</v>
      </c>
      <c r="J117" s="114" t="str">
        <f aca="false">IF($E117="","",IF($B117="Tema",INDEX(Temas!$C$6:$C$305,$C117)&amp;"",INDEX(Avulsos!$E$6:$E$205,$C117)&amp;""))</f>
        <v>Clínica Médica</v>
      </c>
      <c r="K117" s="114" t="str">
        <f aca="false">IF($E117="","",IF(IF($B117="Tema",INDEX(Temas!$E$6:$P$305,$C117,2*$D117),INDEX(Avulsos!$F$6:$F$205,$C117))&amp;""="","","✓"))</f>
        <v/>
      </c>
      <c r="L117" s="114" t="str">
        <f aca="true">IF($E117="","",IF($K117="✓","Concluído",IF($E117&lt;TODAY(),"Atrasado",IF($E117=TODAY(),"Hoje","Pendente"))))</f>
        <v>Pendente</v>
      </c>
      <c r="M117" s="114" t="str">
        <f aca="false">IF($E117="","",IF($K117="✓","✓ ","")&amp;IF(Config!$E$22="Sim",$H117&amp;" · ","")&amp;$F117)</f>
        <v>R4 · Dermatologia I e II</v>
      </c>
      <c r="N117" s="114" t="str">
        <f aca="false">IF($E117="","",IFERROR(INDEX(Config!$D$15:$D$19,MATCH($I117,Config!$C$15:$C$19,0)),"OUT")&amp;IF($K117="✓","x",""))</f>
        <v>PRA</v>
      </c>
      <c r="O117" s="114" t="n">
        <f aca="false">IF($E117="","",COUNTIF($E$5:$E117,$E117))</f>
        <v>1</v>
      </c>
      <c r="P117" s="114" t="n">
        <f aca="false">IF($E117="","",$E117*100+$O117)</f>
        <v>4634401</v>
      </c>
      <c r="Q117" s="114" t="str">
        <f aca="false">IF($L117="Atrasado",$E117*10000+$A117,"")</f>
        <v/>
      </c>
    </row>
    <row r="118" customFormat="false" ht="15" hidden="false" customHeight="false" outlineLevel="0" collapsed="false">
      <c r="A118" s="114" t="n">
        <f aca="false">ROW()-4</f>
        <v>114</v>
      </c>
      <c r="B118" s="114" t="str">
        <f aca="false">IF(A118&lt;=Config!$E$27*Config!$E$28,"Tema","Avulso")</f>
        <v>Tema</v>
      </c>
      <c r="C118" s="114" t="n">
        <f aca="false">IF(B118="Tema",INT((A118-1)/Config!$E$28)+1,A118-Config!$E$27*Config!$E$28)</f>
        <v>19</v>
      </c>
      <c r="D118" s="114" t="n">
        <f aca="false">IF(B118="Tema",MOD(A118-1,Config!$E$28)+1,"")</f>
        <v>6</v>
      </c>
      <c r="E118" s="115" t="n">
        <f aca="false">IF($B118="Tema",IF(ISNUMBER(INDEX(Temas!$E$6:$P$305,$C118,2*$D118-1)),INDEX(Temas!$E$6:$P$305,$C118,2*$D118-1),""),IF(ISNUMBER(INDEX(Avulsos!$B$6:$B$205,$C118)),INDEX(Avulsos!$B$6:$B$205,$C118),""))</f>
        <v>46374</v>
      </c>
      <c r="F118" s="114" t="str">
        <f aca="false">IF($E118="","",IF($B118="Tema",INDEX(Temas!$B$6:$B$305,$C118)&amp;"",INDEX(Avulsos!$C$6:$C$205,$C118)&amp;""))</f>
        <v>Dermatologia I e II</v>
      </c>
      <c r="G118" s="114" t="str">
        <f aca="false">IF($E118="","",IF($B118="Tema",INDEX(Config!$C$6:$C$11,$D118),"Evento avulso"))</f>
        <v>5ª Revisão</v>
      </c>
      <c r="H118" s="114" t="str">
        <f aca="false">IF($E118="","",IF($B118="Tema",INDEX(Config!$D$6:$D$11,$D118),IFERROR(INDEX(Config!$E$15:$E$19,MATCH($I118,Config!$C$15:$C$19,0)),"•")))</f>
        <v>R5</v>
      </c>
      <c r="I118" s="114" t="str">
        <f aca="false">IF($E118="","",IF($B118="Tema",INDEX(Config!$E$6:$E$11,$D118),IF(INDEX(Avulsos!$D$6:$D$205,$C118)&amp;""="","Outro",INDEX(Avulsos!$D$6:$D$205,$C118))))</f>
        <v>Revisão</v>
      </c>
      <c r="J118" s="114" t="str">
        <f aca="false">IF($E118="","",IF($B118="Tema",INDEX(Temas!$C$6:$C$305,$C118)&amp;"",INDEX(Avulsos!$E$6:$E$205,$C118)&amp;""))</f>
        <v>Clínica Médica</v>
      </c>
      <c r="K118" s="114" t="str">
        <f aca="false">IF($E118="","",IF(IF($B118="Tema",INDEX(Temas!$E$6:$P$305,$C118,2*$D118),INDEX(Avulsos!$F$6:$F$205,$C118))&amp;""="","","✓"))</f>
        <v/>
      </c>
      <c r="L118" s="114" t="str">
        <f aca="true">IF($E118="","",IF($K118="✓","Concluído",IF($E118&lt;TODAY(),"Atrasado",IF($E118=TODAY(),"Hoje","Pendente"))))</f>
        <v>Pendente</v>
      </c>
      <c r="M118" s="114" t="str">
        <f aca="false">IF($E118="","",IF($K118="✓","✓ ","")&amp;IF(Config!$E$22="Sim",$H118&amp;" · ","")&amp;$F118)</f>
        <v>R5 · Dermatologia I e II</v>
      </c>
      <c r="N118" s="114" t="str">
        <f aca="false">IF($E118="","",IFERROR(INDEX(Config!$D$15:$D$19,MATCH($I118,Config!$C$15:$C$19,0)),"OUT")&amp;IF($K118="✓","x",""))</f>
        <v>REV</v>
      </c>
      <c r="O118" s="114" t="n">
        <f aca="false">IF($E118="","",COUNTIF($E$5:$E118,$E118))</f>
        <v>1</v>
      </c>
      <c r="P118" s="114" t="n">
        <f aca="false">IF($E118="","",$E118*100+$O118)</f>
        <v>4637401</v>
      </c>
      <c r="Q118" s="114" t="str">
        <f aca="false">IF($L118="Atrasado",$E118*10000+$A118,"")</f>
        <v/>
      </c>
    </row>
    <row r="119" customFormat="false" ht="15" hidden="false" customHeight="false" outlineLevel="0" collapsed="false">
      <c r="A119" s="114" t="n">
        <f aca="false">ROW()-4</f>
        <v>115</v>
      </c>
      <c r="B119" s="114" t="str">
        <f aca="false">IF(A119&lt;=Config!$E$27*Config!$E$28,"Tema","Avulso")</f>
        <v>Tema</v>
      </c>
      <c r="C119" s="114" t="n">
        <f aca="false">IF(B119="Tema",INT((A119-1)/Config!$E$28)+1,A119-Config!$E$27*Config!$E$28)</f>
        <v>20</v>
      </c>
      <c r="D119" s="114" t="n">
        <f aca="false">IF(B119="Tema",MOD(A119-1,Config!$E$28)+1,"")</f>
        <v>1</v>
      </c>
      <c r="E119" s="115" t="n">
        <f aca="false">IF($B119="Tema",IF(ISNUMBER(INDEX(Temas!$E$6:$P$305,$C119,2*$D119-1)),INDEX(Temas!$E$6:$P$305,$C119,2*$D119-1),""),IF(ISNUMBER(INDEX(Avulsos!$B$6:$B$205,$C119)),INDEX(Avulsos!$B$6:$B$205,$C119),""))</f>
        <v>46315</v>
      </c>
      <c r="F119" s="114" t="str">
        <f aca="false">IF($E119="","",IF($B119="Tema",INDEX(Temas!$B$6:$B$305,$C119)&amp;"",INDEX(Avulsos!$C$6:$C$205,$C119)&amp;""))</f>
        <v>Bônus Oftalmo</v>
      </c>
      <c r="G119" s="114" t="str">
        <f aca="false">IF($E119="","",IF($B119="Tema",INDEX(Config!$C$6:$C$11,$D119),"Evento avulso"))</f>
        <v>Aula teórica</v>
      </c>
      <c r="H119" s="114" t="str">
        <f aca="false">IF($E119="","",IF($B119="Tema",INDEX(Config!$D$6:$D$11,$D119),IFERROR(INDEX(Config!$E$15:$E$19,MATCH($I119,Config!$C$15:$C$19,0)),"•")))</f>
        <v>T</v>
      </c>
      <c r="I119" s="114" t="str">
        <f aca="false">IF($E119="","",IF($B119="Tema",INDEX(Config!$E$6:$E$11,$D119),IF(INDEX(Avulsos!$D$6:$D$205,$C119)&amp;""="","Outro",INDEX(Avulsos!$D$6:$D$205,$C119))))</f>
        <v>Teórica</v>
      </c>
      <c r="J119" s="114" t="str">
        <f aca="false">IF($E119="","",IF($B119="Tema",INDEX(Temas!$C$6:$C$305,$C119)&amp;"",INDEX(Avulsos!$E$6:$E$205,$C119)&amp;""))</f>
        <v>Cirurgia</v>
      </c>
      <c r="K119" s="114" t="str">
        <f aca="false">IF($E119="","",IF(IF($B119="Tema",INDEX(Temas!$E$6:$P$305,$C119,2*$D119),INDEX(Avulsos!$F$6:$F$205,$C119))&amp;""="","","✓"))</f>
        <v/>
      </c>
      <c r="L119" s="114" t="str">
        <f aca="true">IF($E119="","",IF($K119="✓","Concluído",IF($E119&lt;TODAY(),"Atrasado",IF($E119=TODAY(),"Hoje","Pendente"))))</f>
        <v>Pendente</v>
      </c>
      <c r="M119" s="114" t="str">
        <f aca="false">IF($E119="","",IF($K119="✓","✓ ","")&amp;IF(Config!$E$22="Sim",$H119&amp;" · ","")&amp;$F119)</f>
        <v>T · Bônus Oftalmo</v>
      </c>
      <c r="N119" s="114" t="str">
        <f aca="false">IF($E119="","",IFERROR(INDEX(Config!$D$15:$D$19,MATCH($I119,Config!$C$15:$C$19,0)),"OUT")&amp;IF($K119="✓","x",""))</f>
        <v>TEO</v>
      </c>
      <c r="O119" s="114" t="n">
        <f aca="false">IF($E119="","",COUNTIF($E$5:$E119,$E119))</f>
        <v>3</v>
      </c>
      <c r="P119" s="114" t="n">
        <f aca="false">IF($E119="","",$E119*100+$O119)</f>
        <v>4631503</v>
      </c>
      <c r="Q119" s="114" t="str">
        <f aca="false">IF($L119="Atrasado",$E119*10000+$A119,"")</f>
        <v/>
      </c>
    </row>
    <row r="120" customFormat="false" ht="15" hidden="false" customHeight="false" outlineLevel="0" collapsed="false">
      <c r="A120" s="114" t="n">
        <f aca="false">ROW()-4</f>
        <v>116</v>
      </c>
      <c r="B120" s="114" t="str">
        <f aca="false">IF(A120&lt;=Config!$E$27*Config!$E$28,"Tema","Avulso")</f>
        <v>Tema</v>
      </c>
      <c r="C120" s="114" t="n">
        <f aca="false">IF(B120="Tema",INT((A120-1)/Config!$E$28)+1,A120-Config!$E$27*Config!$E$28)</f>
        <v>20</v>
      </c>
      <c r="D120" s="114" t="n">
        <f aca="false">IF(B120="Tema",MOD(A120-1,Config!$E$28)+1,"")</f>
        <v>2</v>
      </c>
      <c r="E120" s="115" t="n">
        <f aca="false">IF($B120="Tema",IF(ISNUMBER(INDEX(Temas!$E$6:$P$305,$C120,2*$D120-1)),INDEX(Temas!$E$6:$P$305,$C120,2*$D120-1),""),IF(ISNUMBER(INDEX(Avulsos!$B$6:$B$205,$C120)),INDEX(Avulsos!$B$6:$B$205,$C120),""))</f>
        <v>46316</v>
      </c>
      <c r="F120" s="114" t="str">
        <f aca="false">IF($E120="","",IF($B120="Tema",INDEX(Temas!$B$6:$B$305,$C120)&amp;"",INDEX(Avulsos!$C$6:$C$205,$C120)&amp;""))</f>
        <v>Bônus Oftalmo</v>
      </c>
      <c r="G120" s="114" t="str">
        <f aca="false">IF($E120="","",IF($B120="Tema",INDEX(Config!$C$6:$C$11,$D120),"Evento avulso"))</f>
        <v>1ª Revisão</v>
      </c>
      <c r="H120" s="114" t="str">
        <f aca="false">IF($E120="","",IF($B120="Tema",INDEX(Config!$D$6:$D$11,$D120),IFERROR(INDEX(Config!$E$15:$E$19,MATCH($I120,Config!$C$15:$C$19,0)),"•")))</f>
        <v>R1</v>
      </c>
      <c r="I120" s="114" t="str">
        <f aca="false">IF($E120="","",IF($B120="Tema",INDEX(Config!$E$6:$E$11,$D120),IF(INDEX(Avulsos!$D$6:$D$205,$C120)&amp;""="","Outro",INDEX(Avulsos!$D$6:$D$205,$C120))))</f>
        <v>Revisão</v>
      </c>
      <c r="J120" s="114" t="str">
        <f aca="false">IF($E120="","",IF($B120="Tema",INDEX(Temas!$C$6:$C$305,$C120)&amp;"",INDEX(Avulsos!$E$6:$E$205,$C120)&amp;""))</f>
        <v>Cirurgia</v>
      </c>
      <c r="K120" s="114" t="str">
        <f aca="false">IF($E120="","",IF(IF($B120="Tema",INDEX(Temas!$E$6:$P$305,$C120,2*$D120),INDEX(Avulsos!$F$6:$F$205,$C120))&amp;""="","","✓"))</f>
        <v/>
      </c>
      <c r="L120" s="114" t="str">
        <f aca="true">IF($E120="","",IF($K120="✓","Concluído",IF($E120&lt;TODAY(),"Atrasado",IF($E120=TODAY(),"Hoje","Pendente"))))</f>
        <v>Pendente</v>
      </c>
      <c r="M120" s="114" t="str">
        <f aca="false">IF($E120="","",IF($K120="✓","✓ ","")&amp;IF(Config!$E$22="Sim",$H120&amp;" · ","")&amp;$F120)</f>
        <v>R1 · Bônus Oftalmo</v>
      </c>
      <c r="N120" s="114" t="str">
        <f aca="false">IF($E120="","",IFERROR(INDEX(Config!$D$15:$D$19,MATCH($I120,Config!$C$15:$C$19,0)),"OUT")&amp;IF($K120="✓","x",""))</f>
        <v>REV</v>
      </c>
      <c r="O120" s="114" t="n">
        <f aca="false">IF($E120="","",COUNTIF($E$5:$E120,$E120))</f>
        <v>3</v>
      </c>
      <c r="P120" s="114" t="n">
        <f aca="false">IF($E120="","",$E120*100+$O120)</f>
        <v>4631603</v>
      </c>
      <c r="Q120" s="114" t="str">
        <f aca="false">IF($L120="Atrasado",$E120*10000+$A120,"")</f>
        <v/>
      </c>
    </row>
    <row r="121" customFormat="false" ht="15" hidden="false" customHeight="false" outlineLevel="0" collapsed="false">
      <c r="A121" s="114" t="n">
        <f aca="false">ROW()-4</f>
        <v>117</v>
      </c>
      <c r="B121" s="114" t="str">
        <f aca="false">IF(A121&lt;=Config!$E$27*Config!$E$28,"Tema","Avulso")</f>
        <v>Tema</v>
      </c>
      <c r="C121" s="114" t="n">
        <f aca="false">IF(B121="Tema",INT((A121-1)/Config!$E$28)+1,A121-Config!$E$27*Config!$E$28)</f>
        <v>20</v>
      </c>
      <c r="D121" s="114" t="n">
        <f aca="false">IF(B121="Tema",MOD(A121-1,Config!$E$28)+1,"")</f>
        <v>3</v>
      </c>
      <c r="E121" s="115" t="n">
        <f aca="false">IF($B121="Tema",IF(ISNUMBER(INDEX(Temas!$E$6:$P$305,$C121,2*$D121-1)),INDEX(Temas!$E$6:$P$305,$C121,2*$D121-1),""),IF(ISNUMBER(INDEX(Avulsos!$B$6:$B$205,$C121)),INDEX(Avulsos!$B$6:$B$205,$C121),""))</f>
        <v>46322</v>
      </c>
      <c r="F121" s="114" t="str">
        <f aca="false">IF($E121="","",IF($B121="Tema",INDEX(Temas!$B$6:$B$305,$C121)&amp;"",INDEX(Avulsos!$C$6:$C$205,$C121)&amp;""))</f>
        <v>Bônus Oftalmo</v>
      </c>
      <c r="G121" s="114" t="str">
        <f aca="false">IF($E121="","",IF($B121="Tema",INDEX(Config!$C$6:$C$11,$D121),"Evento avulso"))</f>
        <v>2ª Revisão</v>
      </c>
      <c r="H121" s="114" t="str">
        <f aca="false">IF($E121="","",IF($B121="Tema",INDEX(Config!$D$6:$D$11,$D121),IFERROR(INDEX(Config!$E$15:$E$19,MATCH($I121,Config!$C$15:$C$19,0)),"•")))</f>
        <v>R2</v>
      </c>
      <c r="I121" s="114" t="str">
        <f aca="false">IF($E121="","",IF($B121="Tema",INDEX(Config!$E$6:$E$11,$D121),IF(INDEX(Avulsos!$D$6:$D$205,$C121)&amp;""="","Outro",INDEX(Avulsos!$D$6:$D$205,$C121))))</f>
        <v>Prática</v>
      </c>
      <c r="J121" s="114" t="str">
        <f aca="false">IF($E121="","",IF($B121="Tema",INDEX(Temas!$C$6:$C$305,$C121)&amp;"",INDEX(Avulsos!$E$6:$E$205,$C121)&amp;""))</f>
        <v>Cirurgia</v>
      </c>
      <c r="K121" s="114" t="str">
        <f aca="false">IF($E121="","",IF(IF($B121="Tema",INDEX(Temas!$E$6:$P$305,$C121,2*$D121),INDEX(Avulsos!$F$6:$F$205,$C121))&amp;""="","","✓"))</f>
        <v/>
      </c>
      <c r="L121" s="114" t="str">
        <f aca="true">IF($E121="","",IF($K121="✓","Concluído",IF($E121&lt;TODAY(),"Atrasado",IF($E121=TODAY(),"Hoje","Pendente"))))</f>
        <v>Pendente</v>
      </c>
      <c r="M121" s="114" t="str">
        <f aca="false">IF($E121="","",IF($K121="✓","✓ ","")&amp;IF(Config!$E$22="Sim",$H121&amp;" · ","")&amp;$F121)</f>
        <v>R2 · Bônus Oftalmo</v>
      </c>
      <c r="N121" s="114" t="str">
        <f aca="false">IF($E121="","",IFERROR(INDEX(Config!$D$15:$D$19,MATCH($I121,Config!$C$15:$C$19,0)),"OUT")&amp;IF($K121="✓","x",""))</f>
        <v>PRA</v>
      </c>
      <c r="O121" s="114" t="n">
        <f aca="false">IF($E121="","",COUNTIF($E$5:$E121,$E121))</f>
        <v>6</v>
      </c>
      <c r="P121" s="114" t="n">
        <f aca="false">IF($E121="","",$E121*100+$O121)</f>
        <v>4632206</v>
      </c>
      <c r="Q121" s="114" t="str">
        <f aca="false">IF($L121="Atrasado",$E121*10000+$A121,"")</f>
        <v/>
      </c>
    </row>
    <row r="122" customFormat="false" ht="15" hidden="false" customHeight="false" outlineLevel="0" collapsed="false">
      <c r="A122" s="114" t="n">
        <f aca="false">ROW()-4</f>
        <v>118</v>
      </c>
      <c r="B122" s="114" t="str">
        <f aca="false">IF(A122&lt;=Config!$E$27*Config!$E$28,"Tema","Avulso")</f>
        <v>Tema</v>
      </c>
      <c r="C122" s="114" t="n">
        <f aca="false">IF(B122="Tema",INT((A122-1)/Config!$E$28)+1,A122-Config!$E$27*Config!$E$28)</f>
        <v>20</v>
      </c>
      <c r="D122" s="114" t="n">
        <f aca="false">IF(B122="Tema",MOD(A122-1,Config!$E$28)+1,"")</f>
        <v>4</v>
      </c>
      <c r="E122" s="115" t="n">
        <f aca="false">IF($B122="Tema",IF(ISNUMBER(INDEX(Temas!$E$6:$P$305,$C122,2*$D122-1)),INDEX(Temas!$E$6:$P$305,$C122,2*$D122-1),""),IF(ISNUMBER(INDEX(Avulsos!$B$6:$B$205,$C122)),INDEX(Avulsos!$B$6:$B$205,$C122),""))</f>
        <v>46330</v>
      </c>
      <c r="F122" s="114" t="str">
        <f aca="false">IF($E122="","",IF($B122="Tema",INDEX(Temas!$B$6:$B$305,$C122)&amp;"",INDEX(Avulsos!$C$6:$C$205,$C122)&amp;""))</f>
        <v>Bônus Oftalmo</v>
      </c>
      <c r="G122" s="114" t="str">
        <f aca="false">IF($E122="","",IF($B122="Tema",INDEX(Config!$C$6:$C$11,$D122),"Evento avulso"))</f>
        <v>3ª Revisão</v>
      </c>
      <c r="H122" s="114" t="str">
        <f aca="false">IF($E122="","",IF($B122="Tema",INDEX(Config!$D$6:$D$11,$D122),IFERROR(INDEX(Config!$E$15:$E$19,MATCH($I122,Config!$C$15:$C$19,0)),"•")))</f>
        <v>R3</v>
      </c>
      <c r="I122" s="114" t="str">
        <f aca="false">IF($E122="","",IF($B122="Tema",INDEX(Config!$E$6:$E$11,$D122),IF(INDEX(Avulsos!$D$6:$D$205,$C122)&amp;""="","Outro",INDEX(Avulsos!$D$6:$D$205,$C122))))</f>
        <v>Prática</v>
      </c>
      <c r="J122" s="114" t="str">
        <f aca="false">IF($E122="","",IF($B122="Tema",INDEX(Temas!$C$6:$C$305,$C122)&amp;"",INDEX(Avulsos!$E$6:$E$205,$C122)&amp;""))</f>
        <v>Cirurgia</v>
      </c>
      <c r="K122" s="114" t="str">
        <f aca="false">IF($E122="","",IF(IF($B122="Tema",INDEX(Temas!$E$6:$P$305,$C122,2*$D122),INDEX(Avulsos!$F$6:$F$205,$C122))&amp;""="","","✓"))</f>
        <v/>
      </c>
      <c r="L122" s="114" t="str">
        <f aca="true">IF($E122="","",IF($K122="✓","Concluído",IF($E122&lt;TODAY(),"Atrasado",IF($E122=TODAY(),"Hoje","Pendente"))))</f>
        <v>Pendente</v>
      </c>
      <c r="M122" s="114" t="str">
        <f aca="false">IF($E122="","",IF($K122="✓","✓ ","")&amp;IF(Config!$E$22="Sim",$H122&amp;" · ","")&amp;$F122)</f>
        <v>R3 · Bônus Oftalmo</v>
      </c>
      <c r="N122" s="114" t="str">
        <f aca="false">IF($E122="","",IFERROR(INDEX(Config!$D$15:$D$19,MATCH($I122,Config!$C$15:$C$19,0)),"OUT")&amp;IF($K122="✓","x",""))</f>
        <v>PRA</v>
      </c>
      <c r="O122" s="114" t="n">
        <f aca="false">IF($E122="","",COUNTIF($E$5:$E122,$E122))</f>
        <v>2</v>
      </c>
      <c r="P122" s="114" t="n">
        <f aca="false">IF($E122="","",$E122*100+$O122)</f>
        <v>4633002</v>
      </c>
      <c r="Q122" s="114" t="str">
        <f aca="false">IF($L122="Atrasado",$E122*10000+$A122,"")</f>
        <v/>
      </c>
    </row>
    <row r="123" customFormat="false" ht="15" hidden="false" customHeight="false" outlineLevel="0" collapsed="false">
      <c r="A123" s="114" t="n">
        <f aca="false">ROW()-4</f>
        <v>119</v>
      </c>
      <c r="B123" s="114" t="str">
        <f aca="false">IF(A123&lt;=Config!$E$27*Config!$E$28,"Tema","Avulso")</f>
        <v>Tema</v>
      </c>
      <c r="C123" s="114" t="n">
        <f aca="false">IF(B123="Tema",INT((A123-1)/Config!$E$28)+1,A123-Config!$E$27*Config!$E$28)</f>
        <v>20</v>
      </c>
      <c r="D123" s="114" t="n">
        <f aca="false">IF(B123="Tema",MOD(A123-1,Config!$E$28)+1,"")</f>
        <v>5</v>
      </c>
      <c r="E123" s="115" t="n">
        <f aca="false">IF($B123="Tema",IF(ISNUMBER(INDEX(Temas!$E$6:$P$305,$C123,2*$D123-1)),INDEX(Temas!$E$6:$P$305,$C123,2*$D123-1),""),IF(ISNUMBER(INDEX(Avulsos!$B$6:$B$205,$C123)),INDEX(Avulsos!$B$6:$B$205,$C123),""))</f>
        <v>46345</v>
      </c>
      <c r="F123" s="114" t="str">
        <f aca="false">IF($E123="","",IF($B123="Tema",INDEX(Temas!$B$6:$B$305,$C123)&amp;"",INDEX(Avulsos!$C$6:$C$205,$C123)&amp;""))</f>
        <v>Bônus Oftalmo</v>
      </c>
      <c r="G123" s="114" t="str">
        <f aca="false">IF($E123="","",IF($B123="Tema",INDEX(Config!$C$6:$C$11,$D123),"Evento avulso"))</f>
        <v>4ª Revisão</v>
      </c>
      <c r="H123" s="114" t="str">
        <f aca="false">IF($E123="","",IF($B123="Tema",INDEX(Config!$D$6:$D$11,$D123),IFERROR(INDEX(Config!$E$15:$E$19,MATCH($I123,Config!$C$15:$C$19,0)),"•")))</f>
        <v>R4</v>
      </c>
      <c r="I123" s="114" t="str">
        <f aca="false">IF($E123="","",IF($B123="Tema",INDEX(Config!$E$6:$E$11,$D123),IF(INDEX(Avulsos!$D$6:$D$205,$C123)&amp;""="","Outro",INDEX(Avulsos!$D$6:$D$205,$C123))))</f>
        <v>Prática</v>
      </c>
      <c r="J123" s="114" t="str">
        <f aca="false">IF($E123="","",IF($B123="Tema",INDEX(Temas!$C$6:$C$305,$C123)&amp;"",INDEX(Avulsos!$E$6:$E$205,$C123)&amp;""))</f>
        <v>Cirurgia</v>
      </c>
      <c r="K123" s="114" t="str">
        <f aca="false">IF($E123="","",IF(IF($B123="Tema",INDEX(Temas!$E$6:$P$305,$C123,2*$D123),INDEX(Avulsos!$F$6:$F$205,$C123))&amp;""="","","✓"))</f>
        <v/>
      </c>
      <c r="L123" s="114" t="str">
        <f aca="true">IF($E123="","",IF($K123="✓","Concluído",IF($E123&lt;TODAY(),"Atrasado",IF($E123=TODAY(),"Hoje","Pendente"))))</f>
        <v>Pendente</v>
      </c>
      <c r="M123" s="114" t="str">
        <f aca="false">IF($E123="","",IF($K123="✓","✓ ","")&amp;IF(Config!$E$22="Sim",$H123&amp;" · ","")&amp;$F123)</f>
        <v>R4 · Bônus Oftalmo</v>
      </c>
      <c r="N123" s="114" t="str">
        <f aca="false">IF($E123="","",IFERROR(INDEX(Config!$D$15:$D$19,MATCH($I123,Config!$C$15:$C$19,0)),"OUT")&amp;IF($K123="✓","x",""))</f>
        <v>PRA</v>
      </c>
      <c r="O123" s="114" t="n">
        <f aca="false">IF($E123="","",COUNTIF($E$5:$E123,$E123))</f>
        <v>1</v>
      </c>
      <c r="P123" s="114" t="n">
        <f aca="false">IF($E123="","",$E123*100+$O123)</f>
        <v>4634501</v>
      </c>
      <c r="Q123" s="114" t="str">
        <f aca="false">IF($L123="Atrasado",$E123*10000+$A123,"")</f>
        <v/>
      </c>
    </row>
    <row r="124" customFormat="false" ht="15" hidden="false" customHeight="false" outlineLevel="0" collapsed="false">
      <c r="A124" s="114" t="n">
        <f aca="false">ROW()-4</f>
        <v>120</v>
      </c>
      <c r="B124" s="114" t="str">
        <f aca="false">IF(A124&lt;=Config!$E$27*Config!$E$28,"Tema","Avulso")</f>
        <v>Tema</v>
      </c>
      <c r="C124" s="114" t="n">
        <f aca="false">IF(B124="Tema",INT((A124-1)/Config!$E$28)+1,A124-Config!$E$27*Config!$E$28)</f>
        <v>20</v>
      </c>
      <c r="D124" s="114" t="n">
        <f aca="false">IF(B124="Tema",MOD(A124-1,Config!$E$28)+1,"")</f>
        <v>6</v>
      </c>
      <c r="E124" s="115" t="n">
        <f aca="false">IF($B124="Tema",IF(ISNUMBER(INDEX(Temas!$E$6:$P$305,$C124,2*$D124-1)),INDEX(Temas!$E$6:$P$305,$C124,2*$D124-1),""),IF(ISNUMBER(INDEX(Avulsos!$B$6:$B$205,$C124)),INDEX(Avulsos!$B$6:$B$205,$C124),""))</f>
        <v>46375</v>
      </c>
      <c r="F124" s="114" t="str">
        <f aca="false">IF($E124="","",IF($B124="Tema",INDEX(Temas!$B$6:$B$305,$C124)&amp;"",INDEX(Avulsos!$C$6:$C$205,$C124)&amp;""))</f>
        <v>Bônus Oftalmo</v>
      </c>
      <c r="G124" s="114" t="str">
        <f aca="false">IF($E124="","",IF($B124="Tema",INDEX(Config!$C$6:$C$11,$D124),"Evento avulso"))</f>
        <v>5ª Revisão</v>
      </c>
      <c r="H124" s="114" t="str">
        <f aca="false">IF($E124="","",IF($B124="Tema",INDEX(Config!$D$6:$D$11,$D124),IFERROR(INDEX(Config!$E$15:$E$19,MATCH($I124,Config!$C$15:$C$19,0)),"•")))</f>
        <v>R5</v>
      </c>
      <c r="I124" s="114" t="str">
        <f aca="false">IF($E124="","",IF($B124="Tema",INDEX(Config!$E$6:$E$11,$D124),IF(INDEX(Avulsos!$D$6:$D$205,$C124)&amp;""="","Outro",INDEX(Avulsos!$D$6:$D$205,$C124))))</f>
        <v>Revisão</v>
      </c>
      <c r="J124" s="114" t="str">
        <f aca="false">IF($E124="","",IF($B124="Tema",INDEX(Temas!$C$6:$C$305,$C124)&amp;"",INDEX(Avulsos!$E$6:$E$205,$C124)&amp;""))</f>
        <v>Cirurgia</v>
      </c>
      <c r="K124" s="114" t="str">
        <f aca="false">IF($E124="","",IF(IF($B124="Tema",INDEX(Temas!$E$6:$P$305,$C124,2*$D124),INDEX(Avulsos!$F$6:$F$205,$C124))&amp;""="","","✓"))</f>
        <v/>
      </c>
      <c r="L124" s="114" t="str">
        <f aca="true">IF($E124="","",IF($K124="✓","Concluído",IF($E124&lt;TODAY(),"Atrasado",IF($E124=TODAY(),"Hoje","Pendente"))))</f>
        <v>Pendente</v>
      </c>
      <c r="M124" s="114" t="str">
        <f aca="false">IF($E124="","",IF($K124="✓","✓ ","")&amp;IF(Config!$E$22="Sim",$H124&amp;" · ","")&amp;$F124)</f>
        <v>R5 · Bônus Oftalmo</v>
      </c>
      <c r="N124" s="114" t="str">
        <f aca="false">IF($E124="","",IFERROR(INDEX(Config!$D$15:$D$19,MATCH($I124,Config!$C$15:$C$19,0)),"OUT")&amp;IF($K124="✓","x",""))</f>
        <v>REV</v>
      </c>
      <c r="O124" s="114" t="n">
        <f aca="false">IF($E124="","",COUNTIF($E$5:$E124,$E124))</f>
        <v>1</v>
      </c>
      <c r="P124" s="114" t="n">
        <f aca="false">IF($E124="","",$E124*100+$O124)</f>
        <v>4637501</v>
      </c>
      <c r="Q124" s="114" t="str">
        <f aca="false">IF($L124="Atrasado",$E124*10000+$A124,"")</f>
        <v/>
      </c>
    </row>
    <row r="125" customFormat="false" ht="15" hidden="false" customHeight="false" outlineLevel="0" collapsed="false">
      <c r="A125" s="114" t="n">
        <f aca="false">ROW()-4</f>
        <v>121</v>
      </c>
      <c r="B125" s="114" t="str">
        <f aca="false">IF(A125&lt;=Config!$E$27*Config!$E$28,"Tema","Avulso")</f>
        <v>Tema</v>
      </c>
      <c r="C125" s="114" t="n">
        <f aca="false">IF(B125="Tema",INT((A125-1)/Config!$E$28)+1,A125-Config!$E$27*Config!$E$28)</f>
        <v>21</v>
      </c>
      <c r="D125" s="114" t="n">
        <f aca="false">IF(B125="Tema",MOD(A125-1,Config!$E$28)+1,"")</f>
        <v>1</v>
      </c>
      <c r="E125" s="115" t="n">
        <f aca="false">IF($B125="Tema",IF(ISNUMBER(INDEX(Temas!$E$6:$P$305,$C125,2*$D125-1)),INDEX(Temas!$E$6:$P$305,$C125,2*$D125-1),""),IF(ISNUMBER(INDEX(Avulsos!$B$6:$B$205,$C125)),INDEX(Avulsos!$B$6:$B$205,$C125),""))</f>
        <v>46315</v>
      </c>
      <c r="F125" s="114" t="str">
        <f aca="false">IF($E125="","",IF($B125="Tema",INDEX(Temas!$B$6:$B$305,$C125)&amp;"",INDEX(Avulsos!$C$6:$C$205,$C125)&amp;""))</f>
        <v>Insuficiência Cardíaca</v>
      </c>
      <c r="G125" s="114" t="str">
        <f aca="false">IF($E125="","",IF($B125="Tema",INDEX(Config!$C$6:$C$11,$D125),"Evento avulso"))</f>
        <v>Aula teórica</v>
      </c>
      <c r="H125" s="114" t="str">
        <f aca="false">IF($E125="","",IF($B125="Tema",INDEX(Config!$D$6:$D$11,$D125),IFERROR(INDEX(Config!$E$15:$E$19,MATCH($I125,Config!$C$15:$C$19,0)),"•")))</f>
        <v>T</v>
      </c>
      <c r="I125" s="114" t="str">
        <f aca="false">IF($E125="","",IF($B125="Tema",INDEX(Config!$E$6:$E$11,$D125),IF(INDEX(Avulsos!$D$6:$D$205,$C125)&amp;""="","Outro",INDEX(Avulsos!$D$6:$D$205,$C125))))</f>
        <v>Teórica</v>
      </c>
      <c r="J125" s="114" t="str">
        <f aca="false">IF($E125="","",IF($B125="Tema",INDEX(Temas!$C$6:$C$305,$C125)&amp;"",INDEX(Avulsos!$E$6:$E$205,$C125)&amp;""))</f>
        <v>Clínica Médica</v>
      </c>
      <c r="K125" s="114" t="str">
        <f aca="false">IF($E125="","",IF(IF($B125="Tema",INDEX(Temas!$E$6:$P$305,$C125,2*$D125),INDEX(Avulsos!$F$6:$F$205,$C125))&amp;""="","","✓"))</f>
        <v/>
      </c>
      <c r="L125" s="114" t="str">
        <f aca="true">IF($E125="","",IF($K125="✓","Concluído",IF($E125&lt;TODAY(),"Atrasado",IF($E125=TODAY(),"Hoje","Pendente"))))</f>
        <v>Pendente</v>
      </c>
      <c r="M125" s="114" t="str">
        <f aca="false">IF($E125="","",IF($K125="✓","✓ ","")&amp;IF(Config!$E$22="Sim",$H125&amp;" · ","")&amp;$F125)</f>
        <v>T · Insuficiência Cardíaca</v>
      </c>
      <c r="N125" s="114" t="str">
        <f aca="false">IF($E125="","",IFERROR(INDEX(Config!$D$15:$D$19,MATCH($I125,Config!$C$15:$C$19,0)),"OUT")&amp;IF($K125="✓","x",""))</f>
        <v>TEO</v>
      </c>
      <c r="O125" s="114" t="n">
        <f aca="false">IF($E125="","",COUNTIF($E$5:$E125,$E125))</f>
        <v>4</v>
      </c>
      <c r="P125" s="114" t="n">
        <f aca="false">IF($E125="","",$E125*100+$O125)</f>
        <v>4631504</v>
      </c>
      <c r="Q125" s="114" t="str">
        <f aca="false">IF($L125="Atrasado",$E125*10000+$A125,"")</f>
        <v/>
      </c>
    </row>
    <row r="126" customFormat="false" ht="15" hidden="false" customHeight="false" outlineLevel="0" collapsed="false">
      <c r="A126" s="114" t="n">
        <f aca="false">ROW()-4</f>
        <v>122</v>
      </c>
      <c r="B126" s="114" t="str">
        <f aca="false">IF(A126&lt;=Config!$E$27*Config!$E$28,"Tema","Avulso")</f>
        <v>Tema</v>
      </c>
      <c r="C126" s="114" t="n">
        <f aca="false">IF(B126="Tema",INT((A126-1)/Config!$E$28)+1,A126-Config!$E$27*Config!$E$28)</f>
        <v>21</v>
      </c>
      <c r="D126" s="114" t="n">
        <f aca="false">IF(B126="Tema",MOD(A126-1,Config!$E$28)+1,"")</f>
        <v>2</v>
      </c>
      <c r="E126" s="115" t="n">
        <f aca="false">IF($B126="Tema",IF(ISNUMBER(INDEX(Temas!$E$6:$P$305,$C126,2*$D126-1)),INDEX(Temas!$E$6:$P$305,$C126,2*$D126-1),""),IF(ISNUMBER(INDEX(Avulsos!$B$6:$B$205,$C126)),INDEX(Avulsos!$B$6:$B$205,$C126),""))</f>
        <v>46316</v>
      </c>
      <c r="F126" s="114" t="str">
        <f aca="false">IF($E126="","",IF($B126="Tema",INDEX(Temas!$B$6:$B$305,$C126)&amp;"",INDEX(Avulsos!$C$6:$C$205,$C126)&amp;""))</f>
        <v>Insuficiência Cardíaca</v>
      </c>
      <c r="G126" s="114" t="str">
        <f aca="false">IF($E126="","",IF($B126="Tema",INDEX(Config!$C$6:$C$11,$D126),"Evento avulso"))</f>
        <v>1ª Revisão</v>
      </c>
      <c r="H126" s="114" t="str">
        <f aca="false">IF($E126="","",IF($B126="Tema",INDEX(Config!$D$6:$D$11,$D126),IFERROR(INDEX(Config!$E$15:$E$19,MATCH($I126,Config!$C$15:$C$19,0)),"•")))</f>
        <v>R1</v>
      </c>
      <c r="I126" s="114" t="str">
        <f aca="false">IF($E126="","",IF($B126="Tema",INDEX(Config!$E$6:$E$11,$D126),IF(INDEX(Avulsos!$D$6:$D$205,$C126)&amp;""="","Outro",INDEX(Avulsos!$D$6:$D$205,$C126))))</f>
        <v>Revisão</v>
      </c>
      <c r="J126" s="114" t="str">
        <f aca="false">IF($E126="","",IF($B126="Tema",INDEX(Temas!$C$6:$C$305,$C126)&amp;"",INDEX(Avulsos!$E$6:$E$205,$C126)&amp;""))</f>
        <v>Clínica Médica</v>
      </c>
      <c r="K126" s="114" t="str">
        <f aca="false">IF($E126="","",IF(IF($B126="Tema",INDEX(Temas!$E$6:$P$305,$C126,2*$D126),INDEX(Avulsos!$F$6:$F$205,$C126))&amp;""="","","✓"))</f>
        <v/>
      </c>
      <c r="L126" s="114" t="str">
        <f aca="true">IF($E126="","",IF($K126="✓","Concluído",IF($E126&lt;TODAY(),"Atrasado",IF($E126=TODAY(),"Hoje","Pendente"))))</f>
        <v>Pendente</v>
      </c>
      <c r="M126" s="114" t="str">
        <f aca="false">IF($E126="","",IF($K126="✓","✓ ","")&amp;IF(Config!$E$22="Sim",$H126&amp;" · ","")&amp;$F126)</f>
        <v>R1 · Insuficiência Cardíaca</v>
      </c>
      <c r="N126" s="114" t="str">
        <f aca="false">IF($E126="","",IFERROR(INDEX(Config!$D$15:$D$19,MATCH($I126,Config!$C$15:$C$19,0)),"OUT")&amp;IF($K126="✓","x",""))</f>
        <v>REV</v>
      </c>
      <c r="O126" s="114" t="n">
        <f aca="false">IF($E126="","",COUNTIF($E$5:$E126,$E126))</f>
        <v>4</v>
      </c>
      <c r="P126" s="114" t="n">
        <f aca="false">IF($E126="","",$E126*100+$O126)</f>
        <v>4631604</v>
      </c>
      <c r="Q126" s="114" t="str">
        <f aca="false">IF($L126="Atrasado",$E126*10000+$A126,"")</f>
        <v/>
      </c>
    </row>
    <row r="127" customFormat="false" ht="15" hidden="false" customHeight="false" outlineLevel="0" collapsed="false">
      <c r="A127" s="114" t="n">
        <f aca="false">ROW()-4</f>
        <v>123</v>
      </c>
      <c r="B127" s="114" t="str">
        <f aca="false">IF(A127&lt;=Config!$E$27*Config!$E$28,"Tema","Avulso")</f>
        <v>Tema</v>
      </c>
      <c r="C127" s="114" t="n">
        <f aca="false">IF(B127="Tema",INT((A127-1)/Config!$E$28)+1,A127-Config!$E$27*Config!$E$28)</f>
        <v>21</v>
      </c>
      <c r="D127" s="114" t="n">
        <f aca="false">IF(B127="Tema",MOD(A127-1,Config!$E$28)+1,"")</f>
        <v>3</v>
      </c>
      <c r="E127" s="115" t="n">
        <f aca="false">IF($B127="Tema",IF(ISNUMBER(INDEX(Temas!$E$6:$P$305,$C127,2*$D127-1)),INDEX(Temas!$E$6:$P$305,$C127,2*$D127-1),""),IF(ISNUMBER(INDEX(Avulsos!$B$6:$B$205,$C127)),INDEX(Avulsos!$B$6:$B$205,$C127),""))</f>
        <v>46322</v>
      </c>
      <c r="F127" s="114" t="str">
        <f aca="false">IF($E127="","",IF($B127="Tema",INDEX(Temas!$B$6:$B$305,$C127)&amp;"",INDEX(Avulsos!$C$6:$C$205,$C127)&amp;""))</f>
        <v>Insuficiência Cardíaca</v>
      </c>
      <c r="G127" s="114" t="str">
        <f aca="false">IF($E127="","",IF($B127="Tema",INDEX(Config!$C$6:$C$11,$D127),"Evento avulso"))</f>
        <v>2ª Revisão</v>
      </c>
      <c r="H127" s="114" t="str">
        <f aca="false">IF($E127="","",IF($B127="Tema",INDEX(Config!$D$6:$D$11,$D127),IFERROR(INDEX(Config!$E$15:$E$19,MATCH($I127,Config!$C$15:$C$19,0)),"•")))</f>
        <v>R2</v>
      </c>
      <c r="I127" s="114" t="str">
        <f aca="false">IF($E127="","",IF($B127="Tema",INDEX(Config!$E$6:$E$11,$D127),IF(INDEX(Avulsos!$D$6:$D$205,$C127)&amp;""="","Outro",INDEX(Avulsos!$D$6:$D$205,$C127))))</f>
        <v>Prática</v>
      </c>
      <c r="J127" s="114" t="str">
        <f aca="false">IF($E127="","",IF($B127="Tema",INDEX(Temas!$C$6:$C$305,$C127)&amp;"",INDEX(Avulsos!$E$6:$E$205,$C127)&amp;""))</f>
        <v>Clínica Médica</v>
      </c>
      <c r="K127" s="114" t="str">
        <f aca="false">IF($E127="","",IF(IF($B127="Tema",INDEX(Temas!$E$6:$P$305,$C127,2*$D127),INDEX(Avulsos!$F$6:$F$205,$C127))&amp;""="","","✓"))</f>
        <v/>
      </c>
      <c r="L127" s="114" t="str">
        <f aca="true">IF($E127="","",IF($K127="✓","Concluído",IF($E127&lt;TODAY(),"Atrasado",IF($E127=TODAY(),"Hoje","Pendente"))))</f>
        <v>Pendente</v>
      </c>
      <c r="M127" s="114" t="str">
        <f aca="false">IF($E127="","",IF($K127="✓","✓ ","")&amp;IF(Config!$E$22="Sim",$H127&amp;" · ","")&amp;$F127)</f>
        <v>R2 · Insuficiência Cardíaca</v>
      </c>
      <c r="N127" s="114" t="str">
        <f aca="false">IF($E127="","",IFERROR(INDEX(Config!$D$15:$D$19,MATCH($I127,Config!$C$15:$C$19,0)),"OUT")&amp;IF($K127="✓","x",""))</f>
        <v>PRA</v>
      </c>
      <c r="O127" s="114" t="n">
        <f aca="false">IF($E127="","",COUNTIF($E$5:$E127,$E127))</f>
        <v>7</v>
      </c>
      <c r="P127" s="114" t="n">
        <f aca="false">IF($E127="","",$E127*100+$O127)</f>
        <v>4632207</v>
      </c>
      <c r="Q127" s="114" t="str">
        <f aca="false">IF($L127="Atrasado",$E127*10000+$A127,"")</f>
        <v/>
      </c>
    </row>
    <row r="128" customFormat="false" ht="15" hidden="false" customHeight="false" outlineLevel="0" collapsed="false">
      <c r="A128" s="114" t="n">
        <f aca="false">ROW()-4</f>
        <v>124</v>
      </c>
      <c r="B128" s="114" t="str">
        <f aca="false">IF(A128&lt;=Config!$E$27*Config!$E$28,"Tema","Avulso")</f>
        <v>Tema</v>
      </c>
      <c r="C128" s="114" t="n">
        <f aca="false">IF(B128="Tema",INT((A128-1)/Config!$E$28)+1,A128-Config!$E$27*Config!$E$28)</f>
        <v>21</v>
      </c>
      <c r="D128" s="114" t="n">
        <f aca="false">IF(B128="Tema",MOD(A128-1,Config!$E$28)+1,"")</f>
        <v>4</v>
      </c>
      <c r="E128" s="115" t="n">
        <f aca="false">IF($B128="Tema",IF(ISNUMBER(INDEX(Temas!$E$6:$P$305,$C128,2*$D128-1)),INDEX(Temas!$E$6:$P$305,$C128,2*$D128-1),""),IF(ISNUMBER(INDEX(Avulsos!$B$6:$B$205,$C128)),INDEX(Avulsos!$B$6:$B$205,$C128),""))</f>
        <v>46330</v>
      </c>
      <c r="F128" s="114" t="str">
        <f aca="false">IF($E128="","",IF($B128="Tema",INDEX(Temas!$B$6:$B$305,$C128)&amp;"",INDEX(Avulsos!$C$6:$C$205,$C128)&amp;""))</f>
        <v>Insuficiência Cardíaca</v>
      </c>
      <c r="G128" s="114" t="str">
        <f aca="false">IF($E128="","",IF($B128="Tema",INDEX(Config!$C$6:$C$11,$D128),"Evento avulso"))</f>
        <v>3ª Revisão</v>
      </c>
      <c r="H128" s="114" t="str">
        <f aca="false">IF($E128="","",IF($B128="Tema",INDEX(Config!$D$6:$D$11,$D128),IFERROR(INDEX(Config!$E$15:$E$19,MATCH($I128,Config!$C$15:$C$19,0)),"•")))</f>
        <v>R3</v>
      </c>
      <c r="I128" s="114" t="str">
        <f aca="false">IF($E128="","",IF($B128="Tema",INDEX(Config!$E$6:$E$11,$D128),IF(INDEX(Avulsos!$D$6:$D$205,$C128)&amp;""="","Outro",INDEX(Avulsos!$D$6:$D$205,$C128))))</f>
        <v>Prática</v>
      </c>
      <c r="J128" s="114" t="str">
        <f aca="false">IF($E128="","",IF($B128="Tema",INDEX(Temas!$C$6:$C$305,$C128)&amp;"",INDEX(Avulsos!$E$6:$E$205,$C128)&amp;""))</f>
        <v>Clínica Médica</v>
      </c>
      <c r="K128" s="114" t="str">
        <f aca="false">IF($E128="","",IF(IF($B128="Tema",INDEX(Temas!$E$6:$P$305,$C128,2*$D128),INDEX(Avulsos!$F$6:$F$205,$C128))&amp;""="","","✓"))</f>
        <v/>
      </c>
      <c r="L128" s="114" t="str">
        <f aca="true">IF($E128="","",IF($K128="✓","Concluído",IF($E128&lt;TODAY(),"Atrasado",IF($E128=TODAY(),"Hoje","Pendente"))))</f>
        <v>Pendente</v>
      </c>
      <c r="M128" s="114" t="str">
        <f aca="false">IF($E128="","",IF($K128="✓","✓ ","")&amp;IF(Config!$E$22="Sim",$H128&amp;" · ","")&amp;$F128)</f>
        <v>R3 · Insuficiência Cardíaca</v>
      </c>
      <c r="N128" s="114" t="str">
        <f aca="false">IF($E128="","",IFERROR(INDEX(Config!$D$15:$D$19,MATCH($I128,Config!$C$15:$C$19,0)),"OUT")&amp;IF($K128="✓","x",""))</f>
        <v>PRA</v>
      </c>
      <c r="O128" s="114" t="n">
        <f aca="false">IF($E128="","",COUNTIF($E$5:$E128,$E128))</f>
        <v>3</v>
      </c>
      <c r="P128" s="114" t="n">
        <f aca="false">IF($E128="","",$E128*100+$O128)</f>
        <v>4633003</v>
      </c>
      <c r="Q128" s="114" t="str">
        <f aca="false">IF($L128="Atrasado",$E128*10000+$A128,"")</f>
        <v/>
      </c>
    </row>
    <row r="129" customFormat="false" ht="15" hidden="false" customHeight="false" outlineLevel="0" collapsed="false">
      <c r="A129" s="114" t="n">
        <f aca="false">ROW()-4</f>
        <v>125</v>
      </c>
      <c r="B129" s="114" t="str">
        <f aca="false">IF(A129&lt;=Config!$E$27*Config!$E$28,"Tema","Avulso")</f>
        <v>Tema</v>
      </c>
      <c r="C129" s="114" t="n">
        <f aca="false">IF(B129="Tema",INT((A129-1)/Config!$E$28)+1,A129-Config!$E$27*Config!$E$28)</f>
        <v>21</v>
      </c>
      <c r="D129" s="114" t="n">
        <f aca="false">IF(B129="Tema",MOD(A129-1,Config!$E$28)+1,"")</f>
        <v>5</v>
      </c>
      <c r="E129" s="115" t="n">
        <f aca="false">IF($B129="Tema",IF(ISNUMBER(INDEX(Temas!$E$6:$P$305,$C129,2*$D129-1)),INDEX(Temas!$E$6:$P$305,$C129,2*$D129-1),""),IF(ISNUMBER(INDEX(Avulsos!$B$6:$B$205,$C129)),INDEX(Avulsos!$B$6:$B$205,$C129),""))</f>
        <v>46345</v>
      </c>
      <c r="F129" s="114" t="str">
        <f aca="false">IF($E129="","",IF($B129="Tema",INDEX(Temas!$B$6:$B$305,$C129)&amp;"",INDEX(Avulsos!$C$6:$C$205,$C129)&amp;""))</f>
        <v>Insuficiência Cardíaca</v>
      </c>
      <c r="G129" s="114" t="str">
        <f aca="false">IF($E129="","",IF($B129="Tema",INDEX(Config!$C$6:$C$11,$D129),"Evento avulso"))</f>
        <v>4ª Revisão</v>
      </c>
      <c r="H129" s="114" t="str">
        <f aca="false">IF($E129="","",IF($B129="Tema",INDEX(Config!$D$6:$D$11,$D129),IFERROR(INDEX(Config!$E$15:$E$19,MATCH($I129,Config!$C$15:$C$19,0)),"•")))</f>
        <v>R4</v>
      </c>
      <c r="I129" s="114" t="str">
        <f aca="false">IF($E129="","",IF($B129="Tema",INDEX(Config!$E$6:$E$11,$D129),IF(INDEX(Avulsos!$D$6:$D$205,$C129)&amp;""="","Outro",INDEX(Avulsos!$D$6:$D$205,$C129))))</f>
        <v>Prática</v>
      </c>
      <c r="J129" s="114" t="str">
        <f aca="false">IF($E129="","",IF($B129="Tema",INDEX(Temas!$C$6:$C$305,$C129)&amp;"",INDEX(Avulsos!$E$6:$E$205,$C129)&amp;""))</f>
        <v>Clínica Médica</v>
      </c>
      <c r="K129" s="114" t="str">
        <f aca="false">IF($E129="","",IF(IF($B129="Tema",INDEX(Temas!$E$6:$P$305,$C129,2*$D129),INDEX(Avulsos!$F$6:$F$205,$C129))&amp;""="","","✓"))</f>
        <v/>
      </c>
      <c r="L129" s="114" t="str">
        <f aca="true">IF($E129="","",IF($K129="✓","Concluído",IF($E129&lt;TODAY(),"Atrasado",IF($E129=TODAY(),"Hoje","Pendente"))))</f>
        <v>Pendente</v>
      </c>
      <c r="M129" s="114" t="str">
        <f aca="false">IF($E129="","",IF($K129="✓","✓ ","")&amp;IF(Config!$E$22="Sim",$H129&amp;" · ","")&amp;$F129)</f>
        <v>R4 · Insuficiência Cardíaca</v>
      </c>
      <c r="N129" s="114" t="str">
        <f aca="false">IF($E129="","",IFERROR(INDEX(Config!$D$15:$D$19,MATCH($I129,Config!$C$15:$C$19,0)),"OUT")&amp;IF($K129="✓","x",""))</f>
        <v>PRA</v>
      </c>
      <c r="O129" s="114" t="n">
        <f aca="false">IF($E129="","",COUNTIF($E$5:$E129,$E129))</f>
        <v>2</v>
      </c>
      <c r="P129" s="114" t="n">
        <f aca="false">IF($E129="","",$E129*100+$O129)</f>
        <v>4634502</v>
      </c>
      <c r="Q129" s="114" t="str">
        <f aca="false">IF($L129="Atrasado",$E129*10000+$A129,"")</f>
        <v/>
      </c>
    </row>
    <row r="130" customFormat="false" ht="15" hidden="false" customHeight="false" outlineLevel="0" collapsed="false">
      <c r="A130" s="114" t="n">
        <f aca="false">ROW()-4</f>
        <v>126</v>
      </c>
      <c r="B130" s="114" t="str">
        <f aca="false">IF(A130&lt;=Config!$E$27*Config!$E$28,"Tema","Avulso")</f>
        <v>Tema</v>
      </c>
      <c r="C130" s="114" t="n">
        <f aca="false">IF(B130="Tema",INT((A130-1)/Config!$E$28)+1,A130-Config!$E$27*Config!$E$28)</f>
        <v>21</v>
      </c>
      <c r="D130" s="114" t="n">
        <f aca="false">IF(B130="Tema",MOD(A130-1,Config!$E$28)+1,"")</f>
        <v>6</v>
      </c>
      <c r="E130" s="115" t="n">
        <f aca="false">IF($B130="Tema",IF(ISNUMBER(INDEX(Temas!$E$6:$P$305,$C130,2*$D130-1)),INDEX(Temas!$E$6:$P$305,$C130,2*$D130-1),""),IF(ISNUMBER(INDEX(Avulsos!$B$6:$B$205,$C130)),INDEX(Avulsos!$B$6:$B$205,$C130),""))</f>
        <v>46375</v>
      </c>
      <c r="F130" s="114" t="str">
        <f aca="false">IF($E130="","",IF($B130="Tema",INDEX(Temas!$B$6:$B$305,$C130)&amp;"",INDEX(Avulsos!$C$6:$C$205,$C130)&amp;""))</f>
        <v>Insuficiência Cardíaca</v>
      </c>
      <c r="G130" s="114" t="str">
        <f aca="false">IF($E130="","",IF($B130="Tema",INDEX(Config!$C$6:$C$11,$D130),"Evento avulso"))</f>
        <v>5ª Revisão</v>
      </c>
      <c r="H130" s="114" t="str">
        <f aca="false">IF($E130="","",IF($B130="Tema",INDEX(Config!$D$6:$D$11,$D130),IFERROR(INDEX(Config!$E$15:$E$19,MATCH($I130,Config!$C$15:$C$19,0)),"•")))</f>
        <v>R5</v>
      </c>
      <c r="I130" s="114" t="str">
        <f aca="false">IF($E130="","",IF($B130="Tema",INDEX(Config!$E$6:$E$11,$D130),IF(INDEX(Avulsos!$D$6:$D$205,$C130)&amp;""="","Outro",INDEX(Avulsos!$D$6:$D$205,$C130))))</f>
        <v>Revisão</v>
      </c>
      <c r="J130" s="114" t="str">
        <f aca="false">IF($E130="","",IF($B130="Tema",INDEX(Temas!$C$6:$C$305,$C130)&amp;"",INDEX(Avulsos!$E$6:$E$205,$C130)&amp;""))</f>
        <v>Clínica Médica</v>
      </c>
      <c r="K130" s="114" t="str">
        <f aca="false">IF($E130="","",IF(IF($B130="Tema",INDEX(Temas!$E$6:$P$305,$C130,2*$D130),INDEX(Avulsos!$F$6:$F$205,$C130))&amp;""="","","✓"))</f>
        <v/>
      </c>
      <c r="L130" s="114" t="str">
        <f aca="true">IF($E130="","",IF($K130="✓","Concluído",IF($E130&lt;TODAY(),"Atrasado",IF($E130=TODAY(),"Hoje","Pendente"))))</f>
        <v>Pendente</v>
      </c>
      <c r="M130" s="114" t="str">
        <f aca="false">IF($E130="","",IF($K130="✓","✓ ","")&amp;IF(Config!$E$22="Sim",$H130&amp;" · ","")&amp;$F130)</f>
        <v>R5 · Insuficiência Cardíaca</v>
      </c>
      <c r="N130" s="114" t="str">
        <f aca="false">IF($E130="","",IFERROR(INDEX(Config!$D$15:$D$19,MATCH($I130,Config!$C$15:$C$19,0)),"OUT")&amp;IF($K130="✓","x",""))</f>
        <v>REV</v>
      </c>
      <c r="O130" s="114" t="n">
        <f aca="false">IF($E130="","",COUNTIF($E$5:$E130,$E130))</f>
        <v>2</v>
      </c>
      <c r="P130" s="114" t="n">
        <f aca="false">IF($E130="","",$E130*100+$O130)</f>
        <v>4637502</v>
      </c>
      <c r="Q130" s="114" t="str">
        <f aca="false">IF($L130="Atrasado",$E130*10000+$A130,"")</f>
        <v/>
      </c>
    </row>
    <row r="131" customFormat="false" ht="15" hidden="false" customHeight="false" outlineLevel="0" collapsed="false">
      <c r="A131" s="114" t="n">
        <f aca="false">ROW()-4</f>
        <v>127</v>
      </c>
      <c r="B131" s="114" t="str">
        <f aca="false">IF(A131&lt;=Config!$E$27*Config!$E$28,"Tema","Avulso")</f>
        <v>Tema</v>
      </c>
      <c r="C131" s="114" t="n">
        <f aca="false">IF(B131="Tema",INT((A131-1)/Config!$E$28)+1,A131-Config!$E$27*Config!$E$28)</f>
        <v>22</v>
      </c>
      <c r="D131" s="114" t="n">
        <f aca="false">IF(B131="Tema",MOD(A131-1,Config!$E$28)+1,"")</f>
        <v>1</v>
      </c>
      <c r="E131" s="115" t="n">
        <f aca="false">IF($B131="Tema",IF(ISNUMBER(INDEX(Temas!$E$6:$P$305,$C131,2*$D131-1)),INDEX(Temas!$E$6:$P$305,$C131,2*$D131-1),""),IF(ISNUMBER(INDEX(Avulsos!$B$6:$B$205,$C131)),INDEX(Avulsos!$B$6:$B$205,$C131),""))</f>
        <v>46318</v>
      </c>
      <c r="F131" s="114" t="str">
        <f aca="false">IF($E131="","",IF($B131="Tema",INDEX(Temas!$B$6:$B$305,$C131)&amp;"",INDEX(Avulsos!$C$6:$C$205,$C131)&amp;""))</f>
        <v>Pneumonias Comunitárias</v>
      </c>
      <c r="G131" s="114" t="str">
        <f aca="false">IF($E131="","",IF($B131="Tema",INDEX(Config!$C$6:$C$11,$D131),"Evento avulso"))</f>
        <v>Aula teórica</v>
      </c>
      <c r="H131" s="114" t="str">
        <f aca="false">IF($E131="","",IF($B131="Tema",INDEX(Config!$D$6:$D$11,$D131),IFERROR(INDEX(Config!$E$15:$E$19,MATCH($I131,Config!$C$15:$C$19,0)),"•")))</f>
        <v>T</v>
      </c>
      <c r="I131" s="114" t="str">
        <f aca="false">IF($E131="","",IF($B131="Tema",INDEX(Config!$E$6:$E$11,$D131),IF(INDEX(Avulsos!$D$6:$D$205,$C131)&amp;""="","Outro",INDEX(Avulsos!$D$6:$D$205,$C131))))</f>
        <v>Teórica</v>
      </c>
      <c r="J131" s="114" t="str">
        <f aca="false">IF($E131="","",IF($B131="Tema",INDEX(Temas!$C$6:$C$305,$C131)&amp;"",INDEX(Avulsos!$E$6:$E$205,$C131)&amp;""))</f>
        <v>Clínica Médica</v>
      </c>
      <c r="K131" s="114" t="str">
        <f aca="false">IF($E131="","",IF(IF($B131="Tema",INDEX(Temas!$E$6:$P$305,$C131,2*$D131),INDEX(Avulsos!$F$6:$F$205,$C131))&amp;""="","","✓"))</f>
        <v/>
      </c>
      <c r="L131" s="114" t="str">
        <f aca="true">IF($E131="","",IF($K131="✓","Concluído",IF($E131&lt;TODAY(),"Atrasado",IF($E131=TODAY(),"Hoje","Pendente"))))</f>
        <v>Pendente</v>
      </c>
      <c r="M131" s="114" t="str">
        <f aca="false">IF($E131="","",IF($K131="✓","✓ ","")&amp;IF(Config!$E$22="Sim",$H131&amp;" · ","")&amp;$F131)</f>
        <v>T · Pneumonias Comunitárias</v>
      </c>
      <c r="N131" s="114" t="str">
        <f aca="false">IF($E131="","",IFERROR(INDEX(Config!$D$15:$D$19,MATCH($I131,Config!$C$15:$C$19,0)),"OUT")&amp;IF($K131="✓","x",""))</f>
        <v>TEO</v>
      </c>
      <c r="O131" s="114" t="n">
        <f aca="false">IF($E131="","",COUNTIF($E$5:$E131,$E131))</f>
        <v>6</v>
      </c>
      <c r="P131" s="114" t="n">
        <f aca="false">IF($E131="","",$E131*100+$O131)</f>
        <v>4631806</v>
      </c>
      <c r="Q131" s="114" t="str">
        <f aca="false">IF($L131="Atrasado",$E131*10000+$A131,"")</f>
        <v/>
      </c>
    </row>
    <row r="132" customFormat="false" ht="15" hidden="false" customHeight="false" outlineLevel="0" collapsed="false">
      <c r="A132" s="114" t="n">
        <f aca="false">ROW()-4</f>
        <v>128</v>
      </c>
      <c r="B132" s="114" t="str">
        <f aca="false">IF(A132&lt;=Config!$E$27*Config!$E$28,"Tema","Avulso")</f>
        <v>Tema</v>
      </c>
      <c r="C132" s="114" t="n">
        <f aca="false">IF(B132="Tema",INT((A132-1)/Config!$E$28)+1,A132-Config!$E$27*Config!$E$28)</f>
        <v>22</v>
      </c>
      <c r="D132" s="114" t="n">
        <f aca="false">IF(B132="Tema",MOD(A132-1,Config!$E$28)+1,"")</f>
        <v>2</v>
      </c>
      <c r="E132" s="115" t="n">
        <f aca="false">IF($B132="Tema",IF(ISNUMBER(INDEX(Temas!$E$6:$P$305,$C132,2*$D132-1)),INDEX(Temas!$E$6:$P$305,$C132,2*$D132-1),""),IF(ISNUMBER(INDEX(Avulsos!$B$6:$B$205,$C132)),INDEX(Avulsos!$B$6:$B$205,$C132),""))</f>
        <v>46319</v>
      </c>
      <c r="F132" s="114" t="str">
        <f aca="false">IF($E132="","",IF($B132="Tema",INDEX(Temas!$B$6:$B$305,$C132)&amp;"",INDEX(Avulsos!$C$6:$C$205,$C132)&amp;""))</f>
        <v>Pneumonias Comunitárias</v>
      </c>
      <c r="G132" s="114" t="str">
        <f aca="false">IF($E132="","",IF($B132="Tema",INDEX(Config!$C$6:$C$11,$D132),"Evento avulso"))</f>
        <v>1ª Revisão</v>
      </c>
      <c r="H132" s="114" t="str">
        <f aca="false">IF($E132="","",IF($B132="Tema",INDEX(Config!$D$6:$D$11,$D132),IFERROR(INDEX(Config!$E$15:$E$19,MATCH($I132,Config!$C$15:$C$19,0)),"•")))</f>
        <v>R1</v>
      </c>
      <c r="I132" s="114" t="str">
        <f aca="false">IF($E132="","",IF($B132="Tema",INDEX(Config!$E$6:$E$11,$D132),IF(INDEX(Avulsos!$D$6:$D$205,$C132)&amp;""="","Outro",INDEX(Avulsos!$D$6:$D$205,$C132))))</f>
        <v>Revisão</v>
      </c>
      <c r="J132" s="114" t="str">
        <f aca="false">IF($E132="","",IF($B132="Tema",INDEX(Temas!$C$6:$C$305,$C132)&amp;"",INDEX(Avulsos!$E$6:$E$205,$C132)&amp;""))</f>
        <v>Clínica Médica</v>
      </c>
      <c r="K132" s="114" t="str">
        <f aca="false">IF($E132="","",IF(IF($B132="Tema",INDEX(Temas!$E$6:$P$305,$C132,2*$D132),INDEX(Avulsos!$F$6:$F$205,$C132))&amp;""="","","✓"))</f>
        <v/>
      </c>
      <c r="L132" s="114" t="str">
        <f aca="true">IF($E132="","",IF($K132="✓","Concluído",IF($E132&lt;TODAY(),"Atrasado",IF($E132=TODAY(),"Hoje","Pendente"))))</f>
        <v>Pendente</v>
      </c>
      <c r="M132" s="114" t="str">
        <f aca="false">IF($E132="","",IF($K132="✓","✓ ","")&amp;IF(Config!$E$22="Sim",$H132&amp;" · ","")&amp;$F132)</f>
        <v>R1 · Pneumonias Comunitárias</v>
      </c>
      <c r="N132" s="114" t="str">
        <f aca="false">IF($E132="","",IFERROR(INDEX(Config!$D$15:$D$19,MATCH($I132,Config!$C$15:$C$19,0)),"OUT")&amp;IF($K132="✓","x",""))</f>
        <v>REV</v>
      </c>
      <c r="O132" s="114" t="n">
        <f aca="false">IF($E132="","",COUNTIF($E$5:$E132,$E132))</f>
        <v>1</v>
      </c>
      <c r="P132" s="114" t="n">
        <f aca="false">IF($E132="","",$E132*100+$O132)</f>
        <v>4631901</v>
      </c>
      <c r="Q132" s="114" t="str">
        <f aca="false">IF($L132="Atrasado",$E132*10000+$A132,"")</f>
        <v/>
      </c>
    </row>
    <row r="133" customFormat="false" ht="15" hidden="false" customHeight="false" outlineLevel="0" collapsed="false">
      <c r="A133" s="114" t="n">
        <f aca="false">ROW()-4</f>
        <v>129</v>
      </c>
      <c r="B133" s="114" t="str">
        <f aca="false">IF(A133&lt;=Config!$E$27*Config!$E$28,"Tema","Avulso")</f>
        <v>Tema</v>
      </c>
      <c r="C133" s="114" t="n">
        <f aca="false">IF(B133="Tema",INT((A133-1)/Config!$E$28)+1,A133-Config!$E$27*Config!$E$28)</f>
        <v>22</v>
      </c>
      <c r="D133" s="114" t="n">
        <f aca="false">IF(B133="Tema",MOD(A133-1,Config!$E$28)+1,"")</f>
        <v>3</v>
      </c>
      <c r="E133" s="115" t="n">
        <f aca="false">IF($B133="Tema",IF(ISNUMBER(INDEX(Temas!$E$6:$P$305,$C133,2*$D133-1)),INDEX(Temas!$E$6:$P$305,$C133,2*$D133-1),""),IF(ISNUMBER(INDEX(Avulsos!$B$6:$B$205,$C133)),INDEX(Avulsos!$B$6:$B$205,$C133),""))</f>
        <v>46325</v>
      </c>
      <c r="F133" s="114" t="str">
        <f aca="false">IF($E133="","",IF($B133="Tema",INDEX(Temas!$B$6:$B$305,$C133)&amp;"",INDEX(Avulsos!$C$6:$C$205,$C133)&amp;""))</f>
        <v>Pneumonias Comunitárias</v>
      </c>
      <c r="G133" s="114" t="str">
        <f aca="false">IF($E133="","",IF($B133="Tema",INDEX(Config!$C$6:$C$11,$D133),"Evento avulso"))</f>
        <v>2ª Revisão</v>
      </c>
      <c r="H133" s="114" t="str">
        <f aca="false">IF($E133="","",IF($B133="Tema",INDEX(Config!$D$6:$D$11,$D133),IFERROR(INDEX(Config!$E$15:$E$19,MATCH($I133,Config!$C$15:$C$19,0)),"•")))</f>
        <v>R2</v>
      </c>
      <c r="I133" s="114" t="str">
        <f aca="false">IF($E133="","",IF($B133="Tema",INDEX(Config!$E$6:$E$11,$D133),IF(INDEX(Avulsos!$D$6:$D$205,$C133)&amp;""="","Outro",INDEX(Avulsos!$D$6:$D$205,$C133))))</f>
        <v>Prática</v>
      </c>
      <c r="J133" s="114" t="str">
        <f aca="false">IF($E133="","",IF($B133="Tema",INDEX(Temas!$C$6:$C$305,$C133)&amp;"",INDEX(Avulsos!$E$6:$E$205,$C133)&amp;""))</f>
        <v>Clínica Médica</v>
      </c>
      <c r="K133" s="114" t="str">
        <f aca="false">IF($E133="","",IF(IF($B133="Tema",INDEX(Temas!$E$6:$P$305,$C133,2*$D133),INDEX(Avulsos!$F$6:$F$205,$C133))&amp;""="","","✓"))</f>
        <v/>
      </c>
      <c r="L133" s="114" t="str">
        <f aca="true">IF($E133="","",IF($K133="✓","Concluído",IF($E133&lt;TODAY(),"Atrasado",IF($E133=TODAY(),"Hoje","Pendente"))))</f>
        <v>Pendente</v>
      </c>
      <c r="M133" s="114" t="str">
        <f aca="false">IF($E133="","",IF($K133="✓","✓ ","")&amp;IF(Config!$E$22="Sim",$H133&amp;" · ","")&amp;$F133)</f>
        <v>R2 · Pneumonias Comunitárias</v>
      </c>
      <c r="N133" s="114" t="str">
        <f aca="false">IF($E133="","",IFERROR(INDEX(Config!$D$15:$D$19,MATCH($I133,Config!$C$15:$C$19,0)),"OUT")&amp;IF($K133="✓","x",""))</f>
        <v>PRA</v>
      </c>
      <c r="O133" s="114" t="n">
        <f aca="false">IF($E133="","",COUNTIF($E$5:$E133,$E133))</f>
        <v>1</v>
      </c>
      <c r="P133" s="114" t="n">
        <f aca="false">IF($E133="","",$E133*100+$O133)</f>
        <v>4632501</v>
      </c>
      <c r="Q133" s="114" t="str">
        <f aca="false">IF($L133="Atrasado",$E133*10000+$A133,"")</f>
        <v/>
      </c>
    </row>
    <row r="134" customFormat="false" ht="15" hidden="false" customHeight="false" outlineLevel="0" collapsed="false">
      <c r="A134" s="114" t="n">
        <f aca="false">ROW()-4</f>
        <v>130</v>
      </c>
      <c r="B134" s="114" t="str">
        <f aca="false">IF(A134&lt;=Config!$E$27*Config!$E$28,"Tema","Avulso")</f>
        <v>Tema</v>
      </c>
      <c r="C134" s="114" t="n">
        <f aca="false">IF(B134="Tema",INT((A134-1)/Config!$E$28)+1,A134-Config!$E$27*Config!$E$28)</f>
        <v>22</v>
      </c>
      <c r="D134" s="114" t="n">
        <f aca="false">IF(B134="Tema",MOD(A134-1,Config!$E$28)+1,"")</f>
        <v>4</v>
      </c>
      <c r="E134" s="115" t="n">
        <f aca="false">IF($B134="Tema",IF(ISNUMBER(INDEX(Temas!$E$6:$P$305,$C134,2*$D134-1)),INDEX(Temas!$E$6:$P$305,$C134,2*$D134-1),""),IF(ISNUMBER(INDEX(Avulsos!$B$6:$B$205,$C134)),INDEX(Avulsos!$B$6:$B$205,$C134),""))</f>
        <v>46333</v>
      </c>
      <c r="F134" s="114" t="str">
        <f aca="false">IF($E134="","",IF($B134="Tema",INDEX(Temas!$B$6:$B$305,$C134)&amp;"",INDEX(Avulsos!$C$6:$C$205,$C134)&amp;""))</f>
        <v>Pneumonias Comunitárias</v>
      </c>
      <c r="G134" s="114" t="str">
        <f aca="false">IF($E134="","",IF($B134="Tema",INDEX(Config!$C$6:$C$11,$D134),"Evento avulso"))</f>
        <v>3ª Revisão</v>
      </c>
      <c r="H134" s="114" t="str">
        <f aca="false">IF($E134="","",IF($B134="Tema",INDEX(Config!$D$6:$D$11,$D134),IFERROR(INDEX(Config!$E$15:$E$19,MATCH($I134,Config!$C$15:$C$19,0)),"•")))</f>
        <v>R3</v>
      </c>
      <c r="I134" s="114" t="str">
        <f aca="false">IF($E134="","",IF($B134="Tema",INDEX(Config!$E$6:$E$11,$D134),IF(INDEX(Avulsos!$D$6:$D$205,$C134)&amp;""="","Outro",INDEX(Avulsos!$D$6:$D$205,$C134))))</f>
        <v>Prática</v>
      </c>
      <c r="J134" s="114" t="str">
        <f aca="false">IF($E134="","",IF($B134="Tema",INDEX(Temas!$C$6:$C$305,$C134)&amp;"",INDEX(Avulsos!$E$6:$E$205,$C134)&amp;""))</f>
        <v>Clínica Médica</v>
      </c>
      <c r="K134" s="114" t="str">
        <f aca="false">IF($E134="","",IF(IF($B134="Tema",INDEX(Temas!$E$6:$P$305,$C134,2*$D134),INDEX(Avulsos!$F$6:$F$205,$C134))&amp;""="","","✓"))</f>
        <v/>
      </c>
      <c r="L134" s="114" t="str">
        <f aca="true">IF($E134="","",IF($K134="✓","Concluído",IF($E134&lt;TODAY(),"Atrasado",IF($E134=TODAY(),"Hoje","Pendente"))))</f>
        <v>Pendente</v>
      </c>
      <c r="M134" s="114" t="str">
        <f aca="false">IF($E134="","",IF($K134="✓","✓ ","")&amp;IF(Config!$E$22="Sim",$H134&amp;" · ","")&amp;$F134)</f>
        <v>R3 · Pneumonias Comunitárias</v>
      </c>
      <c r="N134" s="114" t="str">
        <f aca="false">IF($E134="","",IFERROR(INDEX(Config!$D$15:$D$19,MATCH($I134,Config!$C$15:$C$19,0)),"OUT")&amp;IF($K134="✓","x",""))</f>
        <v>PRA</v>
      </c>
      <c r="O134" s="114" t="n">
        <f aca="false">IF($E134="","",COUNTIF($E$5:$E134,$E134))</f>
        <v>2</v>
      </c>
      <c r="P134" s="114" t="n">
        <f aca="false">IF($E134="","",$E134*100+$O134)</f>
        <v>4633302</v>
      </c>
      <c r="Q134" s="114" t="str">
        <f aca="false">IF($L134="Atrasado",$E134*10000+$A134,"")</f>
        <v/>
      </c>
    </row>
    <row r="135" customFormat="false" ht="15" hidden="false" customHeight="false" outlineLevel="0" collapsed="false">
      <c r="A135" s="114" t="n">
        <f aca="false">ROW()-4</f>
        <v>131</v>
      </c>
      <c r="B135" s="114" t="str">
        <f aca="false">IF(A135&lt;=Config!$E$27*Config!$E$28,"Tema","Avulso")</f>
        <v>Tema</v>
      </c>
      <c r="C135" s="114" t="n">
        <f aca="false">IF(B135="Tema",INT((A135-1)/Config!$E$28)+1,A135-Config!$E$27*Config!$E$28)</f>
        <v>22</v>
      </c>
      <c r="D135" s="114" t="n">
        <f aca="false">IF(B135="Tema",MOD(A135-1,Config!$E$28)+1,"")</f>
        <v>5</v>
      </c>
      <c r="E135" s="115" t="n">
        <f aca="false">IF($B135="Tema",IF(ISNUMBER(INDEX(Temas!$E$6:$P$305,$C135,2*$D135-1)),INDEX(Temas!$E$6:$P$305,$C135,2*$D135-1),""),IF(ISNUMBER(INDEX(Avulsos!$B$6:$B$205,$C135)),INDEX(Avulsos!$B$6:$B$205,$C135),""))</f>
        <v>46348</v>
      </c>
      <c r="F135" s="114" t="str">
        <f aca="false">IF($E135="","",IF($B135="Tema",INDEX(Temas!$B$6:$B$305,$C135)&amp;"",INDEX(Avulsos!$C$6:$C$205,$C135)&amp;""))</f>
        <v>Pneumonias Comunitárias</v>
      </c>
      <c r="G135" s="114" t="str">
        <f aca="false">IF($E135="","",IF($B135="Tema",INDEX(Config!$C$6:$C$11,$D135),"Evento avulso"))</f>
        <v>4ª Revisão</v>
      </c>
      <c r="H135" s="114" t="str">
        <f aca="false">IF($E135="","",IF($B135="Tema",INDEX(Config!$D$6:$D$11,$D135),IFERROR(INDEX(Config!$E$15:$E$19,MATCH($I135,Config!$C$15:$C$19,0)),"•")))</f>
        <v>R4</v>
      </c>
      <c r="I135" s="114" t="str">
        <f aca="false">IF($E135="","",IF($B135="Tema",INDEX(Config!$E$6:$E$11,$D135),IF(INDEX(Avulsos!$D$6:$D$205,$C135)&amp;""="","Outro",INDEX(Avulsos!$D$6:$D$205,$C135))))</f>
        <v>Prática</v>
      </c>
      <c r="J135" s="114" t="str">
        <f aca="false">IF($E135="","",IF($B135="Tema",INDEX(Temas!$C$6:$C$305,$C135)&amp;"",INDEX(Avulsos!$E$6:$E$205,$C135)&amp;""))</f>
        <v>Clínica Médica</v>
      </c>
      <c r="K135" s="114" t="str">
        <f aca="false">IF($E135="","",IF(IF($B135="Tema",INDEX(Temas!$E$6:$P$305,$C135,2*$D135),INDEX(Avulsos!$F$6:$F$205,$C135))&amp;""="","","✓"))</f>
        <v/>
      </c>
      <c r="L135" s="114" t="str">
        <f aca="true">IF($E135="","",IF($K135="✓","Concluído",IF($E135&lt;TODAY(),"Atrasado",IF($E135=TODAY(),"Hoje","Pendente"))))</f>
        <v>Pendente</v>
      </c>
      <c r="M135" s="114" t="str">
        <f aca="false">IF($E135="","",IF($K135="✓","✓ ","")&amp;IF(Config!$E$22="Sim",$H135&amp;" · ","")&amp;$F135)</f>
        <v>R4 · Pneumonias Comunitárias</v>
      </c>
      <c r="N135" s="114" t="str">
        <f aca="false">IF($E135="","",IFERROR(INDEX(Config!$D$15:$D$19,MATCH($I135,Config!$C$15:$C$19,0)),"OUT")&amp;IF($K135="✓","x",""))</f>
        <v>PRA</v>
      </c>
      <c r="O135" s="114" t="n">
        <f aca="false">IF($E135="","",COUNTIF($E$5:$E135,$E135))</f>
        <v>1</v>
      </c>
      <c r="P135" s="114" t="n">
        <f aca="false">IF($E135="","",$E135*100+$O135)</f>
        <v>4634801</v>
      </c>
      <c r="Q135" s="114" t="str">
        <f aca="false">IF($L135="Atrasado",$E135*10000+$A135,"")</f>
        <v/>
      </c>
    </row>
    <row r="136" customFormat="false" ht="15" hidden="false" customHeight="false" outlineLevel="0" collapsed="false">
      <c r="A136" s="114" t="n">
        <f aca="false">ROW()-4</f>
        <v>132</v>
      </c>
      <c r="B136" s="114" t="str">
        <f aca="false">IF(A136&lt;=Config!$E$27*Config!$E$28,"Tema","Avulso")</f>
        <v>Tema</v>
      </c>
      <c r="C136" s="114" t="n">
        <f aca="false">IF(B136="Tema",INT((A136-1)/Config!$E$28)+1,A136-Config!$E$27*Config!$E$28)</f>
        <v>22</v>
      </c>
      <c r="D136" s="114" t="n">
        <f aca="false">IF(B136="Tema",MOD(A136-1,Config!$E$28)+1,"")</f>
        <v>6</v>
      </c>
      <c r="E136" s="115" t="n">
        <f aca="false">IF($B136="Tema",IF(ISNUMBER(INDEX(Temas!$E$6:$P$305,$C136,2*$D136-1)),INDEX(Temas!$E$6:$P$305,$C136,2*$D136-1),""),IF(ISNUMBER(INDEX(Avulsos!$B$6:$B$205,$C136)),INDEX(Avulsos!$B$6:$B$205,$C136),""))</f>
        <v>46378</v>
      </c>
      <c r="F136" s="114" t="str">
        <f aca="false">IF($E136="","",IF($B136="Tema",INDEX(Temas!$B$6:$B$305,$C136)&amp;"",INDEX(Avulsos!$C$6:$C$205,$C136)&amp;""))</f>
        <v>Pneumonias Comunitárias</v>
      </c>
      <c r="G136" s="114" t="str">
        <f aca="false">IF($E136="","",IF($B136="Tema",INDEX(Config!$C$6:$C$11,$D136),"Evento avulso"))</f>
        <v>5ª Revisão</v>
      </c>
      <c r="H136" s="114" t="str">
        <f aca="false">IF($E136="","",IF($B136="Tema",INDEX(Config!$D$6:$D$11,$D136),IFERROR(INDEX(Config!$E$15:$E$19,MATCH($I136,Config!$C$15:$C$19,0)),"•")))</f>
        <v>R5</v>
      </c>
      <c r="I136" s="114" t="str">
        <f aca="false">IF($E136="","",IF($B136="Tema",INDEX(Config!$E$6:$E$11,$D136),IF(INDEX(Avulsos!$D$6:$D$205,$C136)&amp;""="","Outro",INDEX(Avulsos!$D$6:$D$205,$C136))))</f>
        <v>Revisão</v>
      </c>
      <c r="J136" s="114" t="str">
        <f aca="false">IF($E136="","",IF($B136="Tema",INDEX(Temas!$C$6:$C$305,$C136)&amp;"",INDEX(Avulsos!$E$6:$E$205,$C136)&amp;""))</f>
        <v>Clínica Médica</v>
      </c>
      <c r="K136" s="114" t="str">
        <f aca="false">IF($E136="","",IF(IF($B136="Tema",INDEX(Temas!$E$6:$P$305,$C136,2*$D136),INDEX(Avulsos!$F$6:$F$205,$C136))&amp;""="","","✓"))</f>
        <v/>
      </c>
      <c r="L136" s="114" t="str">
        <f aca="true">IF($E136="","",IF($K136="✓","Concluído",IF($E136&lt;TODAY(),"Atrasado",IF($E136=TODAY(),"Hoje","Pendente"))))</f>
        <v>Pendente</v>
      </c>
      <c r="M136" s="114" t="str">
        <f aca="false">IF($E136="","",IF($K136="✓","✓ ","")&amp;IF(Config!$E$22="Sim",$H136&amp;" · ","")&amp;$F136)</f>
        <v>R5 · Pneumonias Comunitárias</v>
      </c>
      <c r="N136" s="114" t="str">
        <f aca="false">IF($E136="","",IFERROR(INDEX(Config!$D$15:$D$19,MATCH($I136,Config!$C$15:$C$19,0)),"OUT")&amp;IF($K136="✓","x",""))</f>
        <v>REV</v>
      </c>
      <c r="O136" s="114" t="n">
        <f aca="false">IF($E136="","",COUNTIF($E$5:$E136,$E136))</f>
        <v>1</v>
      </c>
      <c r="P136" s="114" t="n">
        <f aca="false">IF($E136="","",$E136*100+$O136)</f>
        <v>4637801</v>
      </c>
      <c r="Q136" s="114" t="str">
        <f aca="false">IF($L136="Atrasado",$E136*10000+$A136,"")</f>
        <v/>
      </c>
    </row>
    <row r="137" customFormat="false" ht="15" hidden="false" customHeight="false" outlineLevel="0" collapsed="false">
      <c r="A137" s="114" t="n">
        <f aca="false">ROW()-4</f>
        <v>133</v>
      </c>
      <c r="B137" s="114" t="str">
        <f aca="false">IF(A137&lt;=Config!$E$27*Config!$E$28,"Tema","Avulso")</f>
        <v>Tema</v>
      </c>
      <c r="C137" s="114" t="n">
        <f aca="false">IF(B137="Tema",INT((A137-1)/Config!$E$28)+1,A137-Config!$E$27*Config!$E$28)</f>
        <v>23</v>
      </c>
      <c r="D137" s="114" t="n">
        <f aca="false">IF(B137="Tema",MOD(A137-1,Config!$E$28)+1,"")</f>
        <v>1</v>
      </c>
      <c r="E137" s="115" t="n">
        <f aca="false">IF($B137="Tema",IF(ISNUMBER(INDEX(Temas!$E$6:$P$305,$C137,2*$D137-1)),INDEX(Temas!$E$6:$P$305,$C137,2*$D137-1),""),IF(ISNUMBER(INDEX(Avulsos!$B$6:$B$205,$C137)),INDEX(Avulsos!$B$6:$B$205,$C137),""))</f>
        <v>46318</v>
      </c>
      <c r="F137" s="114" t="str">
        <f aca="false">IF($E137="","",IF($B137="Tema",INDEX(Temas!$B$6:$B$305,$C137)&amp;"",INDEX(Avulsos!$C$6:$C$205,$C137)&amp;""))</f>
        <v>Tuberculose</v>
      </c>
      <c r="G137" s="114" t="str">
        <f aca="false">IF($E137="","",IF($B137="Tema",INDEX(Config!$C$6:$C$11,$D137),"Evento avulso"))</f>
        <v>Aula teórica</v>
      </c>
      <c r="H137" s="114" t="str">
        <f aca="false">IF($E137="","",IF($B137="Tema",INDEX(Config!$D$6:$D$11,$D137),IFERROR(INDEX(Config!$E$15:$E$19,MATCH($I137,Config!$C$15:$C$19,0)),"•")))</f>
        <v>T</v>
      </c>
      <c r="I137" s="114" t="str">
        <f aca="false">IF($E137="","",IF($B137="Tema",INDEX(Config!$E$6:$E$11,$D137),IF(INDEX(Avulsos!$D$6:$D$205,$C137)&amp;""="","Outro",INDEX(Avulsos!$D$6:$D$205,$C137))))</f>
        <v>Teórica</v>
      </c>
      <c r="J137" s="114" t="str">
        <f aca="false">IF($E137="","",IF($B137="Tema",INDEX(Temas!$C$6:$C$305,$C137)&amp;"",INDEX(Avulsos!$E$6:$E$205,$C137)&amp;""))</f>
        <v>Clínica Médica</v>
      </c>
      <c r="K137" s="114" t="str">
        <f aca="false">IF($E137="","",IF(IF($B137="Tema",INDEX(Temas!$E$6:$P$305,$C137,2*$D137),INDEX(Avulsos!$F$6:$F$205,$C137))&amp;""="","","✓"))</f>
        <v/>
      </c>
      <c r="L137" s="114" t="str">
        <f aca="true">IF($E137="","",IF($K137="✓","Concluído",IF($E137&lt;TODAY(),"Atrasado",IF($E137=TODAY(),"Hoje","Pendente"))))</f>
        <v>Pendente</v>
      </c>
      <c r="M137" s="114" t="str">
        <f aca="false">IF($E137="","",IF($K137="✓","✓ ","")&amp;IF(Config!$E$22="Sim",$H137&amp;" · ","")&amp;$F137)</f>
        <v>T · Tuberculose</v>
      </c>
      <c r="N137" s="114" t="str">
        <f aca="false">IF($E137="","",IFERROR(INDEX(Config!$D$15:$D$19,MATCH($I137,Config!$C$15:$C$19,0)),"OUT")&amp;IF($K137="✓","x",""))</f>
        <v>TEO</v>
      </c>
      <c r="O137" s="114" t="n">
        <f aca="false">IF($E137="","",COUNTIF($E$5:$E137,$E137))</f>
        <v>7</v>
      </c>
      <c r="P137" s="114" t="n">
        <f aca="false">IF($E137="","",$E137*100+$O137)</f>
        <v>4631807</v>
      </c>
      <c r="Q137" s="114" t="str">
        <f aca="false">IF($L137="Atrasado",$E137*10000+$A137,"")</f>
        <v/>
      </c>
    </row>
    <row r="138" customFormat="false" ht="15" hidden="false" customHeight="false" outlineLevel="0" collapsed="false">
      <c r="A138" s="114" t="n">
        <f aca="false">ROW()-4</f>
        <v>134</v>
      </c>
      <c r="B138" s="114" t="str">
        <f aca="false">IF(A138&lt;=Config!$E$27*Config!$E$28,"Tema","Avulso")</f>
        <v>Tema</v>
      </c>
      <c r="C138" s="114" t="n">
        <f aca="false">IF(B138="Tema",INT((A138-1)/Config!$E$28)+1,A138-Config!$E$27*Config!$E$28)</f>
        <v>23</v>
      </c>
      <c r="D138" s="114" t="n">
        <f aca="false">IF(B138="Tema",MOD(A138-1,Config!$E$28)+1,"")</f>
        <v>2</v>
      </c>
      <c r="E138" s="115" t="n">
        <f aca="false">IF($B138="Tema",IF(ISNUMBER(INDEX(Temas!$E$6:$P$305,$C138,2*$D138-1)),INDEX(Temas!$E$6:$P$305,$C138,2*$D138-1),""),IF(ISNUMBER(INDEX(Avulsos!$B$6:$B$205,$C138)),INDEX(Avulsos!$B$6:$B$205,$C138),""))</f>
        <v>46319</v>
      </c>
      <c r="F138" s="114" t="str">
        <f aca="false">IF($E138="","",IF($B138="Tema",INDEX(Temas!$B$6:$B$305,$C138)&amp;"",INDEX(Avulsos!$C$6:$C$205,$C138)&amp;""))</f>
        <v>Tuberculose</v>
      </c>
      <c r="G138" s="114" t="str">
        <f aca="false">IF($E138="","",IF($B138="Tema",INDEX(Config!$C$6:$C$11,$D138),"Evento avulso"))</f>
        <v>1ª Revisão</v>
      </c>
      <c r="H138" s="114" t="str">
        <f aca="false">IF($E138="","",IF($B138="Tema",INDEX(Config!$D$6:$D$11,$D138),IFERROR(INDEX(Config!$E$15:$E$19,MATCH($I138,Config!$C$15:$C$19,0)),"•")))</f>
        <v>R1</v>
      </c>
      <c r="I138" s="114" t="str">
        <f aca="false">IF($E138="","",IF($B138="Tema",INDEX(Config!$E$6:$E$11,$D138),IF(INDEX(Avulsos!$D$6:$D$205,$C138)&amp;""="","Outro",INDEX(Avulsos!$D$6:$D$205,$C138))))</f>
        <v>Revisão</v>
      </c>
      <c r="J138" s="114" t="str">
        <f aca="false">IF($E138="","",IF($B138="Tema",INDEX(Temas!$C$6:$C$305,$C138)&amp;"",INDEX(Avulsos!$E$6:$E$205,$C138)&amp;""))</f>
        <v>Clínica Médica</v>
      </c>
      <c r="K138" s="114" t="str">
        <f aca="false">IF($E138="","",IF(IF($B138="Tema",INDEX(Temas!$E$6:$P$305,$C138,2*$D138),INDEX(Avulsos!$F$6:$F$205,$C138))&amp;""="","","✓"))</f>
        <v/>
      </c>
      <c r="L138" s="114" t="str">
        <f aca="true">IF($E138="","",IF($K138="✓","Concluído",IF($E138&lt;TODAY(),"Atrasado",IF($E138=TODAY(),"Hoje","Pendente"))))</f>
        <v>Pendente</v>
      </c>
      <c r="M138" s="114" t="str">
        <f aca="false">IF($E138="","",IF($K138="✓","✓ ","")&amp;IF(Config!$E$22="Sim",$H138&amp;" · ","")&amp;$F138)</f>
        <v>R1 · Tuberculose</v>
      </c>
      <c r="N138" s="114" t="str">
        <f aca="false">IF($E138="","",IFERROR(INDEX(Config!$D$15:$D$19,MATCH($I138,Config!$C$15:$C$19,0)),"OUT")&amp;IF($K138="✓","x",""))</f>
        <v>REV</v>
      </c>
      <c r="O138" s="114" t="n">
        <f aca="false">IF($E138="","",COUNTIF($E$5:$E138,$E138))</f>
        <v>2</v>
      </c>
      <c r="P138" s="114" t="n">
        <f aca="false">IF($E138="","",$E138*100+$O138)</f>
        <v>4631902</v>
      </c>
      <c r="Q138" s="114" t="str">
        <f aca="false">IF($L138="Atrasado",$E138*10000+$A138,"")</f>
        <v/>
      </c>
    </row>
    <row r="139" customFormat="false" ht="15" hidden="false" customHeight="false" outlineLevel="0" collapsed="false">
      <c r="A139" s="114" t="n">
        <f aca="false">ROW()-4</f>
        <v>135</v>
      </c>
      <c r="B139" s="114" t="str">
        <f aca="false">IF(A139&lt;=Config!$E$27*Config!$E$28,"Tema","Avulso")</f>
        <v>Tema</v>
      </c>
      <c r="C139" s="114" t="n">
        <f aca="false">IF(B139="Tema",INT((A139-1)/Config!$E$28)+1,A139-Config!$E$27*Config!$E$28)</f>
        <v>23</v>
      </c>
      <c r="D139" s="114" t="n">
        <f aca="false">IF(B139="Tema",MOD(A139-1,Config!$E$28)+1,"")</f>
        <v>3</v>
      </c>
      <c r="E139" s="115" t="n">
        <f aca="false">IF($B139="Tema",IF(ISNUMBER(INDEX(Temas!$E$6:$P$305,$C139,2*$D139-1)),INDEX(Temas!$E$6:$P$305,$C139,2*$D139-1),""),IF(ISNUMBER(INDEX(Avulsos!$B$6:$B$205,$C139)),INDEX(Avulsos!$B$6:$B$205,$C139),""))</f>
        <v>46325</v>
      </c>
      <c r="F139" s="114" t="str">
        <f aca="false">IF($E139="","",IF($B139="Tema",INDEX(Temas!$B$6:$B$305,$C139)&amp;"",INDEX(Avulsos!$C$6:$C$205,$C139)&amp;""))</f>
        <v>Tuberculose</v>
      </c>
      <c r="G139" s="114" t="str">
        <f aca="false">IF($E139="","",IF($B139="Tema",INDEX(Config!$C$6:$C$11,$D139),"Evento avulso"))</f>
        <v>2ª Revisão</v>
      </c>
      <c r="H139" s="114" t="str">
        <f aca="false">IF($E139="","",IF($B139="Tema",INDEX(Config!$D$6:$D$11,$D139),IFERROR(INDEX(Config!$E$15:$E$19,MATCH($I139,Config!$C$15:$C$19,0)),"•")))</f>
        <v>R2</v>
      </c>
      <c r="I139" s="114" t="str">
        <f aca="false">IF($E139="","",IF($B139="Tema",INDEX(Config!$E$6:$E$11,$D139),IF(INDEX(Avulsos!$D$6:$D$205,$C139)&amp;""="","Outro",INDEX(Avulsos!$D$6:$D$205,$C139))))</f>
        <v>Prática</v>
      </c>
      <c r="J139" s="114" t="str">
        <f aca="false">IF($E139="","",IF($B139="Tema",INDEX(Temas!$C$6:$C$305,$C139)&amp;"",INDEX(Avulsos!$E$6:$E$205,$C139)&amp;""))</f>
        <v>Clínica Médica</v>
      </c>
      <c r="K139" s="114" t="str">
        <f aca="false">IF($E139="","",IF(IF($B139="Tema",INDEX(Temas!$E$6:$P$305,$C139,2*$D139),INDEX(Avulsos!$F$6:$F$205,$C139))&amp;""="","","✓"))</f>
        <v/>
      </c>
      <c r="L139" s="114" t="str">
        <f aca="true">IF($E139="","",IF($K139="✓","Concluído",IF($E139&lt;TODAY(),"Atrasado",IF($E139=TODAY(),"Hoje","Pendente"))))</f>
        <v>Pendente</v>
      </c>
      <c r="M139" s="114" t="str">
        <f aca="false">IF($E139="","",IF($K139="✓","✓ ","")&amp;IF(Config!$E$22="Sim",$H139&amp;" · ","")&amp;$F139)</f>
        <v>R2 · Tuberculose</v>
      </c>
      <c r="N139" s="114" t="str">
        <f aca="false">IF($E139="","",IFERROR(INDEX(Config!$D$15:$D$19,MATCH($I139,Config!$C$15:$C$19,0)),"OUT")&amp;IF($K139="✓","x",""))</f>
        <v>PRA</v>
      </c>
      <c r="O139" s="114" t="n">
        <f aca="false">IF($E139="","",COUNTIF($E$5:$E139,$E139))</f>
        <v>2</v>
      </c>
      <c r="P139" s="114" t="n">
        <f aca="false">IF($E139="","",$E139*100+$O139)</f>
        <v>4632502</v>
      </c>
      <c r="Q139" s="114" t="str">
        <f aca="false">IF($L139="Atrasado",$E139*10000+$A139,"")</f>
        <v/>
      </c>
    </row>
    <row r="140" customFormat="false" ht="15" hidden="false" customHeight="false" outlineLevel="0" collapsed="false">
      <c r="A140" s="114" t="n">
        <f aca="false">ROW()-4</f>
        <v>136</v>
      </c>
      <c r="B140" s="114" t="str">
        <f aca="false">IF(A140&lt;=Config!$E$27*Config!$E$28,"Tema","Avulso")</f>
        <v>Tema</v>
      </c>
      <c r="C140" s="114" t="n">
        <f aca="false">IF(B140="Tema",INT((A140-1)/Config!$E$28)+1,A140-Config!$E$27*Config!$E$28)</f>
        <v>23</v>
      </c>
      <c r="D140" s="114" t="n">
        <f aca="false">IF(B140="Tema",MOD(A140-1,Config!$E$28)+1,"")</f>
        <v>4</v>
      </c>
      <c r="E140" s="115" t="n">
        <f aca="false">IF($B140="Tema",IF(ISNUMBER(INDEX(Temas!$E$6:$P$305,$C140,2*$D140-1)),INDEX(Temas!$E$6:$P$305,$C140,2*$D140-1),""),IF(ISNUMBER(INDEX(Avulsos!$B$6:$B$205,$C140)),INDEX(Avulsos!$B$6:$B$205,$C140),""))</f>
        <v>46333</v>
      </c>
      <c r="F140" s="114" t="str">
        <f aca="false">IF($E140="","",IF($B140="Tema",INDEX(Temas!$B$6:$B$305,$C140)&amp;"",INDEX(Avulsos!$C$6:$C$205,$C140)&amp;""))</f>
        <v>Tuberculose</v>
      </c>
      <c r="G140" s="114" t="str">
        <f aca="false">IF($E140="","",IF($B140="Tema",INDEX(Config!$C$6:$C$11,$D140),"Evento avulso"))</f>
        <v>3ª Revisão</v>
      </c>
      <c r="H140" s="114" t="str">
        <f aca="false">IF($E140="","",IF($B140="Tema",INDEX(Config!$D$6:$D$11,$D140),IFERROR(INDEX(Config!$E$15:$E$19,MATCH($I140,Config!$C$15:$C$19,0)),"•")))</f>
        <v>R3</v>
      </c>
      <c r="I140" s="114" t="str">
        <f aca="false">IF($E140="","",IF($B140="Tema",INDEX(Config!$E$6:$E$11,$D140),IF(INDEX(Avulsos!$D$6:$D$205,$C140)&amp;""="","Outro",INDEX(Avulsos!$D$6:$D$205,$C140))))</f>
        <v>Prática</v>
      </c>
      <c r="J140" s="114" t="str">
        <f aca="false">IF($E140="","",IF($B140="Tema",INDEX(Temas!$C$6:$C$305,$C140)&amp;"",INDEX(Avulsos!$E$6:$E$205,$C140)&amp;""))</f>
        <v>Clínica Médica</v>
      </c>
      <c r="K140" s="114" t="str">
        <f aca="false">IF($E140="","",IF(IF($B140="Tema",INDEX(Temas!$E$6:$P$305,$C140,2*$D140),INDEX(Avulsos!$F$6:$F$205,$C140))&amp;""="","","✓"))</f>
        <v/>
      </c>
      <c r="L140" s="114" t="str">
        <f aca="true">IF($E140="","",IF($K140="✓","Concluído",IF($E140&lt;TODAY(),"Atrasado",IF($E140=TODAY(),"Hoje","Pendente"))))</f>
        <v>Pendente</v>
      </c>
      <c r="M140" s="114" t="str">
        <f aca="false">IF($E140="","",IF($K140="✓","✓ ","")&amp;IF(Config!$E$22="Sim",$H140&amp;" · ","")&amp;$F140)</f>
        <v>R3 · Tuberculose</v>
      </c>
      <c r="N140" s="114" t="str">
        <f aca="false">IF($E140="","",IFERROR(INDEX(Config!$D$15:$D$19,MATCH($I140,Config!$C$15:$C$19,0)),"OUT")&amp;IF($K140="✓","x",""))</f>
        <v>PRA</v>
      </c>
      <c r="O140" s="114" t="n">
        <f aca="false">IF($E140="","",COUNTIF($E$5:$E140,$E140))</f>
        <v>3</v>
      </c>
      <c r="P140" s="114" t="n">
        <f aca="false">IF($E140="","",$E140*100+$O140)</f>
        <v>4633303</v>
      </c>
      <c r="Q140" s="114" t="str">
        <f aca="false">IF($L140="Atrasado",$E140*10000+$A140,"")</f>
        <v/>
      </c>
    </row>
    <row r="141" customFormat="false" ht="15" hidden="false" customHeight="false" outlineLevel="0" collapsed="false">
      <c r="A141" s="114" t="n">
        <f aca="false">ROW()-4</f>
        <v>137</v>
      </c>
      <c r="B141" s="114" t="str">
        <f aca="false">IF(A141&lt;=Config!$E$27*Config!$E$28,"Tema","Avulso")</f>
        <v>Tema</v>
      </c>
      <c r="C141" s="114" t="n">
        <f aca="false">IF(B141="Tema",INT((A141-1)/Config!$E$28)+1,A141-Config!$E$27*Config!$E$28)</f>
        <v>23</v>
      </c>
      <c r="D141" s="114" t="n">
        <f aca="false">IF(B141="Tema",MOD(A141-1,Config!$E$28)+1,"")</f>
        <v>5</v>
      </c>
      <c r="E141" s="115" t="n">
        <f aca="false">IF($B141="Tema",IF(ISNUMBER(INDEX(Temas!$E$6:$P$305,$C141,2*$D141-1)),INDEX(Temas!$E$6:$P$305,$C141,2*$D141-1),""),IF(ISNUMBER(INDEX(Avulsos!$B$6:$B$205,$C141)),INDEX(Avulsos!$B$6:$B$205,$C141),""))</f>
        <v>46348</v>
      </c>
      <c r="F141" s="114" t="str">
        <f aca="false">IF($E141="","",IF($B141="Tema",INDEX(Temas!$B$6:$B$305,$C141)&amp;"",INDEX(Avulsos!$C$6:$C$205,$C141)&amp;""))</f>
        <v>Tuberculose</v>
      </c>
      <c r="G141" s="114" t="str">
        <f aca="false">IF($E141="","",IF($B141="Tema",INDEX(Config!$C$6:$C$11,$D141),"Evento avulso"))</f>
        <v>4ª Revisão</v>
      </c>
      <c r="H141" s="114" t="str">
        <f aca="false">IF($E141="","",IF($B141="Tema",INDEX(Config!$D$6:$D$11,$D141),IFERROR(INDEX(Config!$E$15:$E$19,MATCH($I141,Config!$C$15:$C$19,0)),"•")))</f>
        <v>R4</v>
      </c>
      <c r="I141" s="114" t="str">
        <f aca="false">IF($E141="","",IF($B141="Tema",INDEX(Config!$E$6:$E$11,$D141),IF(INDEX(Avulsos!$D$6:$D$205,$C141)&amp;""="","Outro",INDEX(Avulsos!$D$6:$D$205,$C141))))</f>
        <v>Prática</v>
      </c>
      <c r="J141" s="114" t="str">
        <f aca="false">IF($E141="","",IF($B141="Tema",INDEX(Temas!$C$6:$C$305,$C141)&amp;"",INDEX(Avulsos!$E$6:$E$205,$C141)&amp;""))</f>
        <v>Clínica Médica</v>
      </c>
      <c r="K141" s="114" t="str">
        <f aca="false">IF($E141="","",IF(IF($B141="Tema",INDEX(Temas!$E$6:$P$305,$C141,2*$D141),INDEX(Avulsos!$F$6:$F$205,$C141))&amp;""="","","✓"))</f>
        <v/>
      </c>
      <c r="L141" s="114" t="str">
        <f aca="true">IF($E141="","",IF($K141="✓","Concluído",IF($E141&lt;TODAY(),"Atrasado",IF($E141=TODAY(),"Hoje","Pendente"))))</f>
        <v>Pendente</v>
      </c>
      <c r="M141" s="114" t="str">
        <f aca="false">IF($E141="","",IF($K141="✓","✓ ","")&amp;IF(Config!$E$22="Sim",$H141&amp;" · ","")&amp;$F141)</f>
        <v>R4 · Tuberculose</v>
      </c>
      <c r="N141" s="114" t="str">
        <f aca="false">IF($E141="","",IFERROR(INDEX(Config!$D$15:$D$19,MATCH($I141,Config!$C$15:$C$19,0)),"OUT")&amp;IF($K141="✓","x",""))</f>
        <v>PRA</v>
      </c>
      <c r="O141" s="114" t="n">
        <f aca="false">IF($E141="","",COUNTIF($E$5:$E141,$E141))</f>
        <v>2</v>
      </c>
      <c r="P141" s="114" t="n">
        <f aca="false">IF($E141="","",$E141*100+$O141)</f>
        <v>4634802</v>
      </c>
      <c r="Q141" s="114" t="str">
        <f aca="false">IF($L141="Atrasado",$E141*10000+$A141,"")</f>
        <v/>
      </c>
    </row>
    <row r="142" customFormat="false" ht="15" hidden="false" customHeight="false" outlineLevel="0" collapsed="false">
      <c r="A142" s="114" t="n">
        <f aca="false">ROW()-4</f>
        <v>138</v>
      </c>
      <c r="B142" s="114" t="str">
        <f aca="false">IF(A142&lt;=Config!$E$27*Config!$E$28,"Tema","Avulso")</f>
        <v>Tema</v>
      </c>
      <c r="C142" s="114" t="n">
        <f aca="false">IF(B142="Tema",INT((A142-1)/Config!$E$28)+1,A142-Config!$E$27*Config!$E$28)</f>
        <v>23</v>
      </c>
      <c r="D142" s="114" t="n">
        <f aca="false">IF(B142="Tema",MOD(A142-1,Config!$E$28)+1,"")</f>
        <v>6</v>
      </c>
      <c r="E142" s="115" t="n">
        <f aca="false">IF($B142="Tema",IF(ISNUMBER(INDEX(Temas!$E$6:$P$305,$C142,2*$D142-1)),INDEX(Temas!$E$6:$P$305,$C142,2*$D142-1),""),IF(ISNUMBER(INDEX(Avulsos!$B$6:$B$205,$C142)),INDEX(Avulsos!$B$6:$B$205,$C142),""))</f>
        <v>46378</v>
      </c>
      <c r="F142" s="114" t="str">
        <f aca="false">IF($E142="","",IF($B142="Tema",INDEX(Temas!$B$6:$B$305,$C142)&amp;"",INDEX(Avulsos!$C$6:$C$205,$C142)&amp;""))</f>
        <v>Tuberculose</v>
      </c>
      <c r="G142" s="114" t="str">
        <f aca="false">IF($E142="","",IF($B142="Tema",INDEX(Config!$C$6:$C$11,$D142),"Evento avulso"))</f>
        <v>5ª Revisão</v>
      </c>
      <c r="H142" s="114" t="str">
        <f aca="false">IF($E142="","",IF($B142="Tema",INDEX(Config!$D$6:$D$11,$D142),IFERROR(INDEX(Config!$E$15:$E$19,MATCH($I142,Config!$C$15:$C$19,0)),"•")))</f>
        <v>R5</v>
      </c>
      <c r="I142" s="114" t="str">
        <f aca="false">IF($E142="","",IF($B142="Tema",INDEX(Config!$E$6:$E$11,$D142),IF(INDEX(Avulsos!$D$6:$D$205,$C142)&amp;""="","Outro",INDEX(Avulsos!$D$6:$D$205,$C142))))</f>
        <v>Revisão</v>
      </c>
      <c r="J142" s="114" t="str">
        <f aca="false">IF($E142="","",IF($B142="Tema",INDEX(Temas!$C$6:$C$305,$C142)&amp;"",INDEX(Avulsos!$E$6:$E$205,$C142)&amp;""))</f>
        <v>Clínica Médica</v>
      </c>
      <c r="K142" s="114" t="str">
        <f aca="false">IF($E142="","",IF(IF($B142="Tema",INDEX(Temas!$E$6:$P$305,$C142,2*$D142),INDEX(Avulsos!$F$6:$F$205,$C142))&amp;""="","","✓"))</f>
        <v/>
      </c>
      <c r="L142" s="114" t="str">
        <f aca="true">IF($E142="","",IF($K142="✓","Concluído",IF($E142&lt;TODAY(),"Atrasado",IF($E142=TODAY(),"Hoje","Pendente"))))</f>
        <v>Pendente</v>
      </c>
      <c r="M142" s="114" t="str">
        <f aca="false">IF($E142="","",IF($K142="✓","✓ ","")&amp;IF(Config!$E$22="Sim",$H142&amp;" · ","")&amp;$F142)</f>
        <v>R5 · Tuberculose</v>
      </c>
      <c r="N142" s="114" t="str">
        <f aca="false">IF($E142="","",IFERROR(INDEX(Config!$D$15:$D$19,MATCH($I142,Config!$C$15:$C$19,0)),"OUT")&amp;IF($K142="✓","x",""))</f>
        <v>REV</v>
      </c>
      <c r="O142" s="114" t="n">
        <f aca="false">IF($E142="","",COUNTIF($E$5:$E142,$E142))</f>
        <v>2</v>
      </c>
      <c r="P142" s="114" t="n">
        <f aca="false">IF($E142="","",$E142*100+$O142)</f>
        <v>4637802</v>
      </c>
      <c r="Q142" s="114" t="str">
        <f aca="false">IF($L142="Atrasado",$E142*10000+$A142,"")</f>
        <v/>
      </c>
    </row>
    <row r="143" customFormat="false" ht="15" hidden="false" customHeight="false" outlineLevel="0" collapsed="false">
      <c r="A143" s="114" t="n">
        <f aca="false">ROW()-4</f>
        <v>139</v>
      </c>
      <c r="B143" s="114" t="str">
        <f aca="false">IF(A143&lt;=Config!$E$27*Config!$E$28,"Tema","Avulso")</f>
        <v>Tema</v>
      </c>
      <c r="C143" s="114" t="n">
        <f aca="false">IF(B143="Tema",INT((A143-1)/Config!$E$28)+1,A143-Config!$E$27*Config!$E$28)</f>
        <v>24</v>
      </c>
      <c r="D143" s="114" t="n">
        <f aca="false">IF(B143="Tema",MOD(A143-1,Config!$E$28)+1,"")</f>
        <v>1</v>
      </c>
      <c r="E143" s="115" t="n">
        <f aca="false">IF($B143="Tema",IF(ISNUMBER(INDEX(Temas!$E$6:$P$305,$C143,2*$D143-1)),INDEX(Temas!$E$6:$P$305,$C143,2*$D143-1),""),IF(ISNUMBER(INDEX(Avulsos!$B$6:$B$205,$C143)),INDEX(Avulsos!$B$6:$B$205,$C143),""))</f>
        <v>46318</v>
      </c>
      <c r="F143" s="114" t="str">
        <f aca="false">IF($E143="","",IF($B143="Tema",INDEX(Temas!$B$6:$B$305,$C143)&amp;"",INDEX(Avulsos!$C$6:$C$205,$C143)&amp;""))</f>
        <v>Câncer de Pulmão e TEP</v>
      </c>
      <c r="G143" s="114" t="str">
        <f aca="false">IF($E143="","",IF($B143="Tema",INDEX(Config!$C$6:$C$11,$D143),"Evento avulso"))</f>
        <v>Aula teórica</v>
      </c>
      <c r="H143" s="114" t="str">
        <f aca="false">IF($E143="","",IF($B143="Tema",INDEX(Config!$D$6:$D$11,$D143),IFERROR(INDEX(Config!$E$15:$E$19,MATCH($I143,Config!$C$15:$C$19,0)),"•")))</f>
        <v>T</v>
      </c>
      <c r="I143" s="114" t="str">
        <f aca="false">IF($E143="","",IF($B143="Tema",INDEX(Config!$E$6:$E$11,$D143),IF(INDEX(Avulsos!$D$6:$D$205,$C143)&amp;""="","Outro",INDEX(Avulsos!$D$6:$D$205,$C143))))</f>
        <v>Teórica</v>
      </c>
      <c r="J143" s="114" t="str">
        <f aca="false">IF($E143="","",IF($B143="Tema",INDEX(Temas!$C$6:$C$305,$C143)&amp;"",INDEX(Avulsos!$E$6:$E$205,$C143)&amp;""))</f>
        <v>Clínica Médica</v>
      </c>
      <c r="K143" s="114" t="str">
        <f aca="false">IF($E143="","",IF(IF($B143="Tema",INDEX(Temas!$E$6:$P$305,$C143,2*$D143),INDEX(Avulsos!$F$6:$F$205,$C143))&amp;""="","","✓"))</f>
        <v/>
      </c>
      <c r="L143" s="114" t="str">
        <f aca="true">IF($E143="","",IF($K143="✓","Concluído",IF($E143&lt;TODAY(),"Atrasado",IF($E143=TODAY(),"Hoje","Pendente"))))</f>
        <v>Pendente</v>
      </c>
      <c r="M143" s="114" t="str">
        <f aca="false">IF($E143="","",IF($K143="✓","✓ ","")&amp;IF(Config!$E$22="Sim",$H143&amp;" · ","")&amp;$F143)</f>
        <v>T · Câncer de Pulmão e TEP</v>
      </c>
      <c r="N143" s="114" t="str">
        <f aca="false">IF($E143="","",IFERROR(INDEX(Config!$D$15:$D$19,MATCH($I143,Config!$C$15:$C$19,0)),"OUT")&amp;IF($K143="✓","x",""))</f>
        <v>TEO</v>
      </c>
      <c r="O143" s="114" t="n">
        <f aca="false">IF($E143="","",COUNTIF($E$5:$E143,$E143))</f>
        <v>8</v>
      </c>
      <c r="P143" s="114" t="n">
        <f aca="false">IF($E143="","",$E143*100+$O143)</f>
        <v>4631808</v>
      </c>
      <c r="Q143" s="114" t="str">
        <f aca="false">IF($L143="Atrasado",$E143*10000+$A143,"")</f>
        <v/>
      </c>
    </row>
    <row r="144" customFormat="false" ht="15" hidden="false" customHeight="false" outlineLevel="0" collapsed="false">
      <c r="A144" s="114" t="n">
        <f aca="false">ROW()-4</f>
        <v>140</v>
      </c>
      <c r="B144" s="114" t="str">
        <f aca="false">IF(A144&lt;=Config!$E$27*Config!$E$28,"Tema","Avulso")</f>
        <v>Tema</v>
      </c>
      <c r="C144" s="114" t="n">
        <f aca="false">IF(B144="Tema",INT((A144-1)/Config!$E$28)+1,A144-Config!$E$27*Config!$E$28)</f>
        <v>24</v>
      </c>
      <c r="D144" s="114" t="n">
        <f aca="false">IF(B144="Tema",MOD(A144-1,Config!$E$28)+1,"")</f>
        <v>2</v>
      </c>
      <c r="E144" s="115" t="n">
        <f aca="false">IF($B144="Tema",IF(ISNUMBER(INDEX(Temas!$E$6:$P$305,$C144,2*$D144-1)),INDEX(Temas!$E$6:$P$305,$C144,2*$D144-1),""),IF(ISNUMBER(INDEX(Avulsos!$B$6:$B$205,$C144)),INDEX(Avulsos!$B$6:$B$205,$C144),""))</f>
        <v>46319</v>
      </c>
      <c r="F144" s="114" t="str">
        <f aca="false">IF($E144="","",IF($B144="Tema",INDEX(Temas!$B$6:$B$305,$C144)&amp;"",INDEX(Avulsos!$C$6:$C$205,$C144)&amp;""))</f>
        <v>Câncer de Pulmão e TEP</v>
      </c>
      <c r="G144" s="114" t="str">
        <f aca="false">IF($E144="","",IF($B144="Tema",INDEX(Config!$C$6:$C$11,$D144),"Evento avulso"))</f>
        <v>1ª Revisão</v>
      </c>
      <c r="H144" s="114" t="str">
        <f aca="false">IF($E144="","",IF($B144="Tema",INDEX(Config!$D$6:$D$11,$D144),IFERROR(INDEX(Config!$E$15:$E$19,MATCH($I144,Config!$C$15:$C$19,0)),"•")))</f>
        <v>R1</v>
      </c>
      <c r="I144" s="114" t="str">
        <f aca="false">IF($E144="","",IF($B144="Tema",INDEX(Config!$E$6:$E$11,$D144),IF(INDEX(Avulsos!$D$6:$D$205,$C144)&amp;""="","Outro",INDEX(Avulsos!$D$6:$D$205,$C144))))</f>
        <v>Revisão</v>
      </c>
      <c r="J144" s="114" t="str">
        <f aca="false">IF($E144="","",IF($B144="Tema",INDEX(Temas!$C$6:$C$305,$C144)&amp;"",INDEX(Avulsos!$E$6:$E$205,$C144)&amp;""))</f>
        <v>Clínica Médica</v>
      </c>
      <c r="K144" s="114" t="str">
        <f aca="false">IF($E144="","",IF(IF($B144="Tema",INDEX(Temas!$E$6:$P$305,$C144,2*$D144),INDEX(Avulsos!$F$6:$F$205,$C144))&amp;""="","","✓"))</f>
        <v/>
      </c>
      <c r="L144" s="114" t="str">
        <f aca="true">IF($E144="","",IF($K144="✓","Concluído",IF($E144&lt;TODAY(),"Atrasado",IF($E144=TODAY(),"Hoje","Pendente"))))</f>
        <v>Pendente</v>
      </c>
      <c r="M144" s="114" t="str">
        <f aca="false">IF($E144="","",IF($K144="✓","✓ ","")&amp;IF(Config!$E$22="Sim",$H144&amp;" · ","")&amp;$F144)</f>
        <v>R1 · Câncer de Pulmão e TEP</v>
      </c>
      <c r="N144" s="114" t="str">
        <f aca="false">IF($E144="","",IFERROR(INDEX(Config!$D$15:$D$19,MATCH($I144,Config!$C$15:$C$19,0)),"OUT")&amp;IF($K144="✓","x",""))</f>
        <v>REV</v>
      </c>
      <c r="O144" s="114" t="n">
        <f aca="false">IF($E144="","",COUNTIF($E$5:$E144,$E144))</f>
        <v>3</v>
      </c>
      <c r="P144" s="114" t="n">
        <f aca="false">IF($E144="","",$E144*100+$O144)</f>
        <v>4631903</v>
      </c>
      <c r="Q144" s="114" t="str">
        <f aca="false">IF($L144="Atrasado",$E144*10000+$A144,"")</f>
        <v/>
      </c>
    </row>
    <row r="145" customFormat="false" ht="15" hidden="false" customHeight="false" outlineLevel="0" collapsed="false">
      <c r="A145" s="114" t="n">
        <f aca="false">ROW()-4</f>
        <v>141</v>
      </c>
      <c r="B145" s="114" t="str">
        <f aca="false">IF(A145&lt;=Config!$E$27*Config!$E$28,"Tema","Avulso")</f>
        <v>Tema</v>
      </c>
      <c r="C145" s="114" t="n">
        <f aca="false">IF(B145="Tema",INT((A145-1)/Config!$E$28)+1,A145-Config!$E$27*Config!$E$28)</f>
        <v>24</v>
      </c>
      <c r="D145" s="114" t="n">
        <f aca="false">IF(B145="Tema",MOD(A145-1,Config!$E$28)+1,"")</f>
        <v>3</v>
      </c>
      <c r="E145" s="115" t="n">
        <f aca="false">IF($B145="Tema",IF(ISNUMBER(INDEX(Temas!$E$6:$P$305,$C145,2*$D145-1)),INDEX(Temas!$E$6:$P$305,$C145,2*$D145-1),""),IF(ISNUMBER(INDEX(Avulsos!$B$6:$B$205,$C145)),INDEX(Avulsos!$B$6:$B$205,$C145),""))</f>
        <v>46325</v>
      </c>
      <c r="F145" s="114" t="str">
        <f aca="false">IF($E145="","",IF($B145="Tema",INDEX(Temas!$B$6:$B$305,$C145)&amp;"",INDEX(Avulsos!$C$6:$C$205,$C145)&amp;""))</f>
        <v>Câncer de Pulmão e TEP</v>
      </c>
      <c r="G145" s="114" t="str">
        <f aca="false">IF($E145="","",IF($B145="Tema",INDEX(Config!$C$6:$C$11,$D145),"Evento avulso"))</f>
        <v>2ª Revisão</v>
      </c>
      <c r="H145" s="114" t="str">
        <f aca="false">IF($E145="","",IF($B145="Tema",INDEX(Config!$D$6:$D$11,$D145),IFERROR(INDEX(Config!$E$15:$E$19,MATCH($I145,Config!$C$15:$C$19,0)),"•")))</f>
        <v>R2</v>
      </c>
      <c r="I145" s="114" t="str">
        <f aca="false">IF($E145="","",IF($B145="Tema",INDEX(Config!$E$6:$E$11,$D145),IF(INDEX(Avulsos!$D$6:$D$205,$C145)&amp;""="","Outro",INDEX(Avulsos!$D$6:$D$205,$C145))))</f>
        <v>Prática</v>
      </c>
      <c r="J145" s="114" t="str">
        <f aca="false">IF($E145="","",IF($B145="Tema",INDEX(Temas!$C$6:$C$305,$C145)&amp;"",INDEX(Avulsos!$E$6:$E$205,$C145)&amp;""))</f>
        <v>Clínica Médica</v>
      </c>
      <c r="K145" s="114" t="str">
        <f aca="false">IF($E145="","",IF(IF($B145="Tema",INDEX(Temas!$E$6:$P$305,$C145,2*$D145),INDEX(Avulsos!$F$6:$F$205,$C145))&amp;""="","","✓"))</f>
        <v/>
      </c>
      <c r="L145" s="114" t="str">
        <f aca="true">IF($E145="","",IF($K145="✓","Concluído",IF($E145&lt;TODAY(),"Atrasado",IF($E145=TODAY(),"Hoje","Pendente"))))</f>
        <v>Pendente</v>
      </c>
      <c r="M145" s="114" t="str">
        <f aca="false">IF($E145="","",IF($K145="✓","✓ ","")&amp;IF(Config!$E$22="Sim",$H145&amp;" · ","")&amp;$F145)</f>
        <v>R2 · Câncer de Pulmão e TEP</v>
      </c>
      <c r="N145" s="114" t="str">
        <f aca="false">IF($E145="","",IFERROR(INDEX(Config!$D$15:$D$19,MATCH($I145,Config!$C$15:$C$19,0)),"OUT")&amp;IF($K145="✓","x",""))</f>
        <v>PRA</v>
      </c>
      <c r="O145" s="114" t="n">
        <f aca="false">IF($E145="","",COUNTIF($E$5:$E145,$E145))</f>
        <v>3</v>
      </c>
      <c r="P145" s="114" t="n">
        <f aca="false">IF($E145="","",$E145*100+$O145)</f>
        <v>4632503</v>
      </c>
      <c r="Q145" s="114" t="str">
        <f aca="false">IF($L145="Atrasado",$E145*10000+$A145,"")</f>
        <v/>
      </c>
    </row>
    <row r="146" customFormat="false" ht="15" hidden="false" customHeight="false" outlineLevel="0" collapsed="false">
      <c r="A146" s="114" t="n">
        <f aca="false">ROW()-4</f>
        <v>142</v>
      </c>
      <c r="B146" s="114" t="str">
        <f aca="false">IF(A146&lt;=Config!$E$27*Config!$E$28,"Tema","Avulso")</f>
        <v>Tema</v>
      </c>
      <c r="C146" s="114" t="n">
        <f aca="false">IF(B146="Tema",INT((A146-1)/Config!$E$28)+1,A146-Config!$E$27*Config!$E$28)</f>
        <v>24</v>
      </c>
      <c r="D146" s="114" t="n">
        <f aca="false">IF(B146="Tema",MOD(A146-1,Config!$E$28)+1,"")</f>
        <v>4</v>
      </c>
      <c r="E146" s="115" t="n">
        <f aca="false">IF($B146="Tema",IF(ISNUMBER(INDEX(Temas!$E$6:$P$305,$C146,2*$D146-1)),INDEX(Temas!$E$6:$P$305,$C146,2*$D146-1),""),IF(ISNUMBER(INDEX(Avulsos!$B$6:$B$205,$C146)),INDEX(Avulsos!$B$6:$B$205,$C146),""))</f>
        <v>46333</v>
      </c>
      <c r="F146" s="114" t="str">
        <f aca="false">IF($E146="","",IF($B146="Tema",INDEX(Temas!$B$6:$B$305,$C146)&amp;"",INDEX(Avulsos!$C$6:$C$205,$C146)&amp;""))</f>
        <v>Câncer de Pulmão e TEP</v>
      </c>
      <c r="G146" s="114" t="str">
        <f aca="false">IF($E146="","",IF($B146="Tema",INDEX(Config!$C$6:$C$11,$D146),"Evento avulso"))</f>
        <v>3ª Revisão</v>
      </c>
      <c r="H146" s="114" t="str">
        <f aca="false">IF($E146="","",IF($B146="Tema",INDEX(Config!$D$6:$D$11,$D146),IFERROR(INDEX(Config!$E$15:$E$19,MATCH($I146,Config!$C$15:$C$19,0)),"•")))</f>
        <v>R3</v>
      </c>
      <c r="I146" s="114" t="str">
        <f aca="false">IF($E146="","",IF($B146="Tema",INDEX(Config!$E$6:$E$11,$D146),IF(INDEX(Avulsos!$D$6:$D$205,$C146)&amp;""="","Outro",INDEX(Avulsos!$D$6:$D$205,$C146))))</f>
        <v>Prática</v>
      </c>
      <c r="J146" s="114" t="str">
        <f aca="false">IF($E146="","",IF($B146="Tema",INDEX(Temas!$C$6:$C$305,$C146)&amp;"",INDEX(Avulsos!$E$6:$E$205,$C146)&amp;""))</f>
        <v>Clínica Médica</v>
      </c>
      <c r="K146" s="114" t="str">
        <f aca="false">IF($E146="","",IF(IF($B146="Tema",INDEX(Temas!$E$6:$P$305,$C146,2*$D146),INDEX(Avulsos!$F$6:$F$205,$C146))&amp;""="","","✓"))</f>
        <v/>
      </c>
      <c r="L146" s="114" t="str">
        <f aca="true">IF($E146="","",IF($K146="✓","Concluído",IF($E146&lt;TODAY(),"Atrasado",IF($E146=TODAY(),"Hoje","Pendente"))))</f>
        <v>Pendente</v>
      </c>
      <c r="M146" s="114" t="str">
        <f aca="false">IF($E146="","",IF($K146="✓","✓ ","")&amp;IF(Config!$E$22="Sim",$H146&amp;" · ","")&amp;$F146)</f>
        <v>R3 · Câncer de Pulmão e TEP</v>
      </c>
      <c r="N146" s="114" t="str">
        <f aca="false">IF($E146="","",IFERROR(INDEX(Config!$D$15:$D$19,MATCH($I146,Config!$C$15:$C$19,0)),"OUT")&amp;IF($K146="✓","x",""))</f>
        <v>PRA</v>
      </c>
      <c r="O146" s="114" t="n">
        <f aca="false">IF($E146="","",COUNTIF($E$5:$E146,$E146))</f>
        <v>4</v>
      </c>
      <c r="P146" s="114" t="n">
        <f aca="false">IF($E146="","",$E146*100+$O146)</f>
        <v>4633304</v>
      </c>
      <c r="Q146" s="114" t="str">
        <f aca="false">IF($L146="Atrasado",$E146*10000+$A146,"")</f>
        <v/>
      </c>
    </row>
    <row r="147" customFormat="false" ht="15" hidden="false" customHeight="false" outlineLevel="0" collapsed="false">
      <c r="A147" s="114" t="n">
        <f aca="false">ROW()-4</f>
        <v>143</v>
      </c>
      <c r="B147" s="114" t="str">
        <f aca="false">IF(A147&lt;=Config!$E$27*Config!$E$28,"Tema","Avulso")</f>
        <v>Tema</v>
      </c>
      <c r="C147" s="114" t="n">
        <f aca="false">IF(B147="Tema",INT((A147-1)/Config!$E$28)+1,A147-Config!$E$27*Config!$E$28)</f>
        <v>24</v>
      </c>
      <c r="D147" s="114" t="n">
        <f aca="false">IF(B147="Tema",MOD(A147-1,Config!$E$28)+1,"")</f>
        <v>5</v>
      </c>
      <c r="E147" s="115" t="n">
        <f aca="false">IF($B147="Tema",IF(ISNUMBER(INDEX(Temas!$E$6:$P$305,$C147,2*$D147-1)),INDEX(Temas!$E$6:$P$305,$C147,2*$D147-1),""),IF(ISNUMBER(INDEX(Avulsos!$B$6:$B$205,$C147)),INDEX(Avulsos!$B$6:$B$205,$C147),""))</f>
        <v>46348</v>
      </c>
      <c r="F147" s="114" t="str">
        <f aca="false">IF($E147="","",IF($B147="Tema",INDEX(Temas!$B$6:$B$305,$C147)&amp;"",INDEX(Avulsos!$C$6:$C$205,$C147)&amp;""))</f>
        <v>Câncer de Pulmão e TEP</v>
      </c>
      <c r="G147" s="114" t="str">
        <f aca="false">IF($E147="","",IF($B147="Tema",INDEX(Config!$C$6:$C$11,$D147),"Evento avulso"))</f>
        <v>4ª Revisão</v>
      </c>
      <c r="H147" s="114" t="str">
        <f aca="false">IF($E147="","",IF($B147="Tema",INDEX(Config!$D$6:$D$11,$D147),IFERROR(INDEX(Config!$E$15:$E$19,MATCH($I147,Config!$C$15:$C$19,0)),"•")))</f>
        <v>R4</v>
      </c>
      <c r="I147" s="114" t="str">
        <f aca="false">IF($E147="","",IF($B147="Tema",INDEX(Config!$E$6:$E$11,$D147),IF(INDEX(Avulsos!$D$6:$D$205,$C147)&amp;""="","Outro",INDEX(Avulsos!$D$6:$D$205,$C147))))</f>
        <v>Prática</v>
      </c>
      <c r="J147" s="114" t="str">
        <f aca="false">IF($E147="","",IF($B147="Tema",INDEX(Temas!$C$6:$C$305,$C147)&amp;"",INDEX(Avulsos!$E$6:$E$205,$C147)&amp;""))</f>
        <v>Clínica Médica</v>
      </c>
      <c r="K147" s="114" t="str">
        <f aca="false">IF($E147="","",IF(IF($B147="Tema",INDEX(Temas!$E$6:$P$305,$C147,2*$D147),INDEX(Avulsos!$F$6:$F$205,$C147))&amp;""="","","✓"))</f>
        <v/>
      </c>
      <c r="L147" s="114" t="str">
        <f aca="true">IF($E147="","",IF($K147="✓","Concluído",IF($E147&lt;TODAY(),"Atrasado",IF($E147=TODAY(),"Hoje","Pendente"))))</f>
        <v>Pendente</v>
      </c>
      <c r="M147" s="114" t="str">
        <f aca="false">IF($E147="","",IF($K147="✓","✓ ","")&amp;IF(Config!$E$22="Sim",$H147&amp;" · ","")&amp;$F147)</f>
        <v>R4 · Câncer de Pulmão e TEP</v>
      </c>
      <c r="N147" s="114" t="str">
        <f aca="false">IF($E147="","",IFERROR(INDEX(Config!$D$15:$D$19,MATCH($I147,Config!$C$15:$C$19,0)),"OUT")&amp;IF($K147="✓","x",""))</f>
        <v>PRA</v>
      </c>
      <c r="O147" s="114" t="n">
        <f aca="false">IF($E147="","",COUNTIF($E$5:$E147,$E147))</f>
        <v>3</v>
      </c>
      <c r="P147" s="114" t="n">
        <f aca="false">IF($E147="","",$E147*100+$O147)</f>
        <v>4634803</v>
      </c>
      <c r="Q147" s="114" t="str">
        <f aca="false">IF($L147="Atrasado",$E147*10000+$A147,"")</f>
        <v/>
      </c>
    </row>
    <row r="148" customFormat="false" ht="15" hidden="false" customHeight="false" outlineLevel="0" collapsed="false">
      <c r="A148" s="114" t="n">
        <f aca="false">ROW()-4</f>
        <v>144</v>
      </c>
      <c r="B148" s="114" t="str">
        <f aca="false">IF(A148&lt;=Config!$E$27*Config!$E$28,"Tema","Avulso")</f>
        <v>Tema</v>
      </c>
      <c r="C148" s="114" t="n">
        <f aca="false">IF(B148="Tema",INT((A148-1)/Config!$E$28)+1,A148-Config!$E$27*Config!$E$28)</f>
        <v>24</v>
      </c>
      <c r="D148" s="114" t="n">
        <f aca="false">IF(B148="Tema",MOD(A148-1,Config!$E$28)+1,"")</f>
        <v>6</v>
      </c>
      <c r="E148" s="115" t="n">
        <f aca="false">IF($B148="Tema",IF(ISNUMBER(INDEX(Temas!$E$6:$P$305,$C148,2*$D148-1)),INDEX(Temas!$E$6:$P$305,$C148,2*$D148-1),""),IF(ISNUMBER(INDEX(Avulsos!$B$6:$B$205,$C148)),INDEX(Avulsos!$B$6:$B$205,$C148),""))</f>
        <v>46378</v>
      </c>
      <c r="F148" s="114" t="str">
        <f aca="false">IF($E148="","",IF($B148="Tema",INDEX(Temas!$B$6:$B$305,$C148)&amp;"",INDEX(Avulsos!$C$6:$C$205,$C148)&amp;""))</f>
        <v>Câncer de Pulmão e TEP</v>
      </c>
      <c r="G148" s="114" t="str">
        <f aca="false">IF($E148="","",IF($B148="Tema",INDEX(Config!$C$6:$C$11,$D148),"Evento avulso"))</f>
        <v>5ª Revisão</v>
      </c>
      <c r="H148" s="114" t="str">
        <f aca="false">IF($E148="","",IF($B148="Tema",INDEX(Config!$D$6:$D$11,$D148),IFERROR(INDEX(Config!$E$15:$E$19,MATCH($I148,Config!$C$15:$C$19,0)),"•")))</f>
        <v>R5</v>
      </c>
      <c r="I148" s="114" t="str">
        <f aca="false">IF($E148="","",IF($B148="Tema",INDEX(Config!$E$6:$E$11,$D148),IF(INDEX(Avulsos!$D$6:$D$205,$C148)&amp;""="","Outro",INDEX(Avulsos!$D$6:$D$205,$C148))))</f>
        <v>Revisão</v>
      </c>
      <c r="J148" s="114" t="str">
        <f aca="false">IF($E148="","",IF($B148="Tema",INDEX(Temas!$C$6:$C$305,$C148)&amp;"",INDEX(Avulsos!$E$6:$E$205,$C148)&amp;""))</f>
        <v>Clínica Médica</v>
      </c>
      <c r="K148" s="114" t="str">
        <f aca="false">IF($E148="","",IF(IF($B148="Tema",INDEX(Temas!$E$6:$P$305,$C148,2*$D148),INDEX(Avulsos!$F$6:$F$205,$C148))&amp;""="","","✓"))</f>
        <v/>
      </c>
      <c r="L148" s="114" t="str">
        <f aca="true">IF($E148="","",IF($K148="✓","Concluído",IF($E148&lt;TODAY(),"Atrasado",IF($E148=TODAY(),"Hoje","Pendente"))))</f>
        <v>Pendente</v>
      </c>
      <c r="M148" s="114" t="str">
        <f aca="false">IF($E148="","",IF($K148="✓","✓ ","")&amp;IF(Config!$E$22="Sim",$H148&amp;" · ","")&amp;$F148)</f>
        <v>R5 · Câncer de Pulmão e TEP</v>
      </c>
      <c r="N148" s="114" t="str">
        <f aca="false">IF($E148="","",IFERROR(INDEX(Config!$D$15:$D$19,MATCH($I148,Config!$C$15:$C$19,0)),"OUT")&amp;IF($K148="✓","x",""))</f>
        <v>REV</v>
      </c>
      <c r="O148" s="114" t="n">
        <f aca="false">IF($E148="","",COUNTIF($E$5:$E148,$E148))</f>
        <v>3</v>
      </c>
      <c r="P148" s="114" t="n">
        <f aca="false">IF($E148="","",$E148*100+$O148)</f>
        <v>4637803</v>
      </c>
      <c r="Q148" s="114" t="str">
        <f aca="false">IF($L148="Atrasado",$E148*10000+$A148,"")</f>
        <v/>
      </c>
    </row>
    <row r="149" customFormat="false" ht="15" hidden="false" customHeight="false" outlineLevel="0" collapsed="false">
      <c r="A149" s="114" t="n">
        <f aca="false">ROW()-4</f>
        <v>145</v>
      </c>
      <c r="B149" s="114" t="str">
        <f aca="false">IF(A149&lt;=Config!$E$27*Config!$E$28,"Tema","Avulso")</f>
        <v>Tema</v>
      </c>
      <c r="C149" s="114" t="n">
        <f aca="false">IF(B149="Tema",INT((A149-1)/Config!$E$28)+1,A149-Config!$E$27*Config!$E$28)</f>
        <v>25</v>
      </c>
      <c r="D149" s="114" t="n">
        <f aca="false">IF(B149="Tema",MOD(A149-1,Config!$E$28)+1,"")</f>
        <v>1</v>
      </c>
      <c r="E149" s="115" t="n">
        <f aca="false">IF($B149="Tema",IF(ISNUMBER(INDEX(Temas!$E$6:$P$305,$C149,2*$D149-1)),INDEX(Temas!$E$6:$P$305,$C149,2*$D149-1),""),IF(ISNUMBER(INDEX(Avulsos!$B$6:$B$205,$C149)),INDEX(Avulsos!$B$6:$B$205,$C149),""))</f>
        <v>46321</v>
      </c>
      <c r="F149" s="114" t="str">
        <f aca="false">IF($E149="","",IF($B149="Tema",INDEX(Temas!$B$6:$B$305,$C149)&amp;"",INDEX(Avulsos!$C$6:$C$205,$C149)&amp;""))</f>
        <v>Ortopedia I e II</v>
      </c>
      <c r="G149" s="114" t="str">
        <f aca="false">IF($E149="","",IF($B149="Tema",INDEX(Config!$C$6:$C$11,$D149),"Evento avulso"))</f>
        <v>Aula teórica</v>
      </c>
      <c r="H149" s="114" t="str">
        <f aca="false">IF($E149="","",IF($B149="Tema",INDEX(Config!$D$6:$D$11,$D149),IFERROR(INDEX(Config!$E$15:$E$19,MATCH($I149,Config!$C$15:$C$19,0)),"•")))</f>
        <v>T</v>
      </c>
      <c r="I149" s="114" t="str">
        <f aca="false">IF($E149="","",IF($B149="Tema",INDEX(Config!$E$6:$E$11,$D149),IF(INDEX(Avulsos!$D$6:$D$205,$C149)&amp;""="","Outro",INDEX(Avulsos!$D$6:$D$205,$C149))))</f>
        <v>Teórica</v>
      </c>
      <c r="J149" s="114" t="str">
        <f aca="false">IF($E149="","",IF($B149="Tema",INDEX(Temas!$C$6:$C$305,$C149)&amp;"",INDEX(Avulsos!$E$6:$E$205,$C149)&amp;""))</f>
        <v>Cirurgia</v>
      </c>
      <c r="K149" s="114" t="str">
        <f aca="false">IF($E149="","",IF(IF($B149="Tema",INDEX(Temas!$E$6:$P$305,$C149,2*$D149),INDEX(Avulsos!$F$6:$F$205,$C149))&amp;""="","","✓"))</f>
        <v/>
      </c>
      <c r="L149" s="114" t="str">
        <f aca="true">IF($E149="","",IF($K149="✓","Concluído",IF($E149&lt;TODAY(),"Atrasado",IF($E149=TODAY(),"Hoje","Pendente"))))</f>
        <v>Pendente</v>
      </c>
      <c r="M149" s="114" t="str">
        <f aca="false">IF($E149="","",IF($K149="✓","✓ ","")&amp;IF(Config!$E$22="Sim",$H149&amp;" · ","")&amp;$F149)</f>
        <v>T · Ortopedia I e II</v>
      </c>
      <c r="N149" s="114" t="str">
        <f aca="false">IF($E149="","",IFERROR(INDEX(Config!$D$15:$D$19,MATCH($I149,Config!$C$15:$C$19,0)),"OUT")&amp;IF($K149="✓","x",""))</f>
        <v>TEO</v>
      </c>
      <c r="O149" s="114" t="n">
        <f aca="false">IF($E149="","",COUNTIF($E$5:$E149,$E149))</f>
        <v>3</v>
      </c>
      <c r="P149" s="114" t="n">
        <f aca="false">IF($E149="","",$E149*100+$O149)</f>
        <v>4632103</v>
      </c>
      <c r="Q149" s="114" t="str">
        <f aca="false">IF($L149="Atrasado",$E149*10000+$A149,"")</f>
        <v/>
      </c>
    </row>
    <row r="150" customFormat="false" ht="15" hidden="false" customHeight="false" outlineLevel="0" collapsed="false">
      <c r="A150" s="114" t="n">
        <f aca="false">ROW()-4</f>
        <v>146</v>
      </c>
      <c r="B150" s="114" t="str">
        <f aca="false">IF(A150&lt;=Config!$E$27*Config!$E$28,"Tema","Avulso")</f>
        <v>Tema</v>
      </c>
      <c r="C150" s="114" t="n">
        <f aca="false">IF(B150="Tema",INT((A150-1)/Config!$E$28)+1,A150-Config!$E$27*Config!$E$28)</f>
        <v>25</v>
      </c>
      <c r="D150" s="114" t="n">
        <f aca="false">IF(B150="Tema",MOD(A150-1,Config!$E$28)+1,"")</f>
        <v>2</v>
      </c>
      <c r="E150" s="115" t="n">
        <f aca="false">IF($B150="Tema",IF(ISNUMBER(INDEX(Temas!$E$6:$P$305,$C150,2*$D150-1)),INDEX(Temas!$E$6:$P$305,$C150,2*$D150-1),""),IF(ISNUMBER(INDEX(Avulsos!$B$6:$B$205,$C150)),INDEX(Avulsos!$B$6:$B$205,$C150),""))</f>
        <v>46322</v>
      </c>
      <c r="F150" s="114" t="str">
        <f aca="false">IF($E150="","",IF($B150="Tema",INDEX(Temas!$B$6:$B$305,$C150)&amp;"",INDEX(Avulsos!$C$6:$C$205,$C150)&amp;""))</f>
        <v>Ortopedia I e II</v>
      </c>
      <c r="G150" s="114" t="str">
        <f aca="false">IF($E150="","",IF($B150="Tema",INDEX(Config!$C$6:$C$11,$D150),"Evento avulso"))</f>
        <v>1ª Revisão</v>
      </c>
      <c r="H150" s="114" t="str">
        <f aca="false">IF($E150="","",IF($B150="Tema",INDEX(Config!$D$6:$D$11,$D150),IFERROR(INDEX(Config!$E$15:$E$19,MATCH($I150,Config!$C$15:$C$19,0)),"•")))</f>
        <v>R1</v>
      </c>
      <c r="I150" s="114" t="str">
        <f aca="false">IF($E150="","",IF($B150="Tema",INDEX(Config!$E$6:$E$11,$D150),IF(INDEX(Avulsos!$D$6:$D$205,$C150)&amp;""="","Outro",INDEX(Avulsos!$D$6:$D$205,$C150))))</f>
        <v>Revisão</v>
      </c>
      <c r="J150" s="114" t="str">
        <f aca="false">IF($E150="","",IF($B150="Tema",INDEX(Temas!$C$6:$C$305,$C150)&amp;"",INDEX(Avulsos!$E$6:$E$205,$C150)&amp;""))</f>
        <v>Cirurgia</v>
      </c>
      <c r="K150" s="114" t="str">
        <f aca="false">IF($E150="","",IF(IF($B150="Tema",INDEX(Temas!$E$6:$P$305,$C150,2*$D150),INDEX(Avulsos!$F$6:$F$205,$C150))&amp;""="","","✓"))</f>
        <v/>
      </c>
      <c r="L150" s="114" t="str">
        <f aca="true">IF($E150="","",IF($K150="✓","Concluído",IF($E150&lt;TODAY(),"Atrasado",IF($E150=TODAY(),"Hoje","Pendente"))))</f>
        <v>Pendente</v>
      </c>
      <c r="M150" s="114" t="str">
        <f aca="false">IF($E150="","",IF($K150="✓","✓ ","")&amp;IF(Config!$E$22="Sim",$H150&amp;" · ","")&amp;$F150)</f>
        <v>R1 · Ortopedia I e II</v>
      </c>
      <c r="N150" s="114" t="str">
        <f aca="false">IF($E150="","",IFERROR(INDEX(Config!$D$15:$D$19,MATCH($I150,Config!$C$15:$C$19,0)),"OUT")&amp;IF($K150="✓","x",""))</f>
        <v>REV</v>
      </c>
      <c r="O150" s="114" t="n">
        <f aca="false">IF($E150="","",COUNTIF($E$5:$E150,$E150))</f>
        <v>8</v>
      </c>
      <c r="P150" s="114" t="n">
        <f aca="false">IF($E150="","",$E150*100+$O150)</f>
        <v>4632208</v>
      </c>
      <c r="Q150" s="114" t="str">
        <f aca="false">IF($L150="Atrasado",$E150*10000+$A150,"")</f>
        <v/>
      </c>
    </row>
    <row r="151" customFormat="false" ht="15" hidden="false" customHeight="false" outlineLevel="0" collapsed="false">
      <c r="A151" s="114" t="n">
        <f aca="false">ROW()-4</f>
        <v>147</v>
      </c>
      <c r="B151" s="114" t="str">
        <f aca="false">IF(A151&lt;=Config!$E$27*Config!$E$28,"Tema","Avulso")</f>
        <v>Tema</v>
      </c>
      <c r="C151" s="114" t="n">
        <f aca="false">IF(B151="Tema",INT((A151-1)/Config!$E$28)+1,A151-Config!$E$27*Config!$E$28)</f>
        <v>25</v>
      </c>
      <c r="D151" s="114" t="n">
        <f aca="false">IF(B151="Tema",MOD(A151-1,Config!$E$28)+1,"")</f>
        <v>3</v>
      </c>
      <c r="E151" s="115" t="n">
        <f aca="false">IF($B151="Tema",IF(ISNUMBER(INDEX(Temas!$E$6:$P$305,$C151,2*$D151-1)),INDEX(Temas!$E$6:$P$305,$C151,2*$D151-1),""),IF(ISNUMBER(INDEX(Avulsos!$B$6:$B$205,$C151)),INDEX(Avulsos!$B$6:$B$205,$C151),""))</f>
        <v>46328</v>
      </c>
      <c r="F151" s="114" t="str">
        <f aca="false">IF($E151="","",IF($B151="Tema",INDEX(Temas!$B$6:$B$305,$C151)&amp;"",INDEX(Avulsos!$C$6:$C$205,$C151)&amp;""))</f>
        <v>Ortopedia I e II</v>
      </c>
      <c r="G151" s="114" t="str">
        <f aca="false">IF($E151="","",IF($B151="Tema",INDEX(Config!$C$6:$C$11,$D151),"Evento avulso"))</f>
        <v>2ª Revisão</v>
      </c>
      <c r="H151" s="114" t="str">
        <f aca="false">IF($E151="","",IF($B151="Tema",INDEX(Config!$D$6:$D$11,$D151),IFERROR(INDEX(Config!$E$15:$E$19,MATCH($I151,Config!$C$15:$C$19,0)),"•")))</f>
        <v>R2</v>
      </c>
      <c r="I151" s="114" t="str">
        <f aca="false">IF($E151="","",IF($B151="Tema",INDEX(Config!$E$6:$E$11,$D151),IF(INDEX(Avulsos!$D$6:$D$205,$C151)&amp;""="","Outro",INDEX(Avulsos!$D$6:$D$205,$C151))))</f>
        <v>Prática</v>
      </c>
      <c r="J151" s="114" t="str">
        <f aca="false">IF($E151="","",IF($B151="Tema",INDEX(Temas!$C$6:$C$305,$C151)&amp;"",INDEX(Avulsos!$E$6:$E$205,$C151)&amp;""))</f>
        <v>Cirurgia</v>
      </c>
      <c r="K151" s="114" t="str">
        <f aca="false">IF($E151="","",IF(IF($B151="Tema",INDEX(Temas!$E$6:$P$305,$C151,2*$D151),INDEX(Avulsos!$F$6:$F$205,$C151))&amp;""="","","✓"))</f>
        <v/>
      </c>
      <c r="L151" s="114" t="str">
        <f aca="true">IF($E151="","",IF($K151="✓","Concluído",IF($E151&lt;TODAY(),"Atrasado",IF($E151=TODAY(),"Hoje","Pendente"))))</f>
        <v>Pendente</v>
      </c>
      <c r="M151" s="114" t="str">
        <f aca="false">IF($E151="","",IF($K151="✓","✓ ","")&amp;IF(Config!$E$22="Sim",$H151&amp;" · ","")&amp;$F151)</f>
        <v>R2 · Ortopedia I e II</v>
      </c>
      <c r="N151" s="114" t="str">
        <f aca="false">IF($E151="","",IFERROR(INDEX(Config!$D$15:$D$19,MATCH($I151,Config!$C$15:$C$19,0)),"OUT")&amp;IF($K151="✓","x",""))</f>
        <v>PRA</v>
      </c>
      <c r="O151" s="114" t="n">
        <f aca="false">IF($E151="","",COUNTIF($E$5:$E151,$E151))</f>
        <v>1</v>
      </c>
      <c r="P151" s="114" t="n">
        <f aca="false">IF($E151="","",$E151*100+$O151)</f>
        <v>4632801</v>
      </c>
      <c r="Q151" s="114" t="str">
        <f aca="false">IF($L151="Atrasado",$E151*10000+$A151,"")</f>
        <v/>
      </c>
    </row>
    <row r="152" customFormat="false" ht="15" hidden="false" customHeight="false" outlineLevel="0" collapsed="false">
      <c r="A152" s="114" t="n">
        <f aca="false">ROW()-4</f>
        <v>148</v>
      </c>
      <c r="B152" s="114" t="str">
        <f aca="false">IF(A152&lt;=Config!$E$27*Config!$E$28,"Tema","Avulso")</f>
        <v>Tema</v>
      </c>
      <c r="C152" s="114" t="n">
        <f aca="false">IF(B152="Tema",INT((A152-1)/Config!$E$28)+1,A152-Config!$E$27*Config!$E$28)</f>
        <v>25</v>
      </c>
      <c r="D152" s="114" t="n">
        <f aca="false">IF(B152="Tema",MOD(A152-1,Config!$E$28)+1,"")</f>
        <v>4</v>
      </c>
      <c r="E152" s="115" t="n">
        <f aca="false">IF($B152="Tema",IF(ISNUMBER(INDEX(Temas!$E$6:$P$305,$C152,2*$D152-1)),INDEX(Temas!$E$6:$P$305,$C152,2*$D152-1),""),IF(ISNUMBER(INDEX(Avulsos!$B$6:$B$205,$C152)),INDEX(Avulsos!$B$6:$B$205,$C152),""))</f>
        <v>46336</v>
      </c>
      <c r="F152" s="114" t="str">
        <f aca="false">IF($E152="","",IF($B152="Tema",INDEX(Temas!$B$6:$B$305,$C152)&amp;"",INDEX(Avulsos!$C$6:$C$205,$C152)&amp;""))</f>
        <v>Ortopedia I e II</v>
      </c>
      <c r="G152" s="114" t="str">
        <f aca="false">IF($E152="","",IF($B152="Tema",INDEX(Config!$C$6:$C$11,$D152),"Evento avulso"))</f>
        <v>3ª Revisão</v>
      </c>
      <c r="H152" s="114" t="str">
        <f aca="false">IF($E152="","",IF($B152="Tema",INDEX(Config!$D$6:$D$11,$D152),IFERROR(INDEX(Config!$E$15:$E$19,MATCH($I152,Config!$C$15:$C$19,0)),"•")))</f>
        <v>R3</v>
      </c>
      <c r="I152" s="114" t="str">
        <f aca="false">IF($E152="","",IF($B152="Tema",INDEX(Config!$E$6:$E$11,$D152),IF(INDEX(Avulsos!$D$6:$D$205,$C152)&amp;""="","Outro",INDEX(Avulsos!$D$6:$D$205,$C152))))</f>
        <v>Prática</v>
      </c>
      <c r="J152" s="114" t="str">
        <f aca="false">IF($E152="","",IF($B152="Tema",INDEX(Temas!$C$6:$C$305,$C152)&amp;"",INDEX(Avulsos!$E$6:$E$205,$C152)&amp;""))</f>
        <v>Cirurgia</v>
      </c>
      <c r="K152" s="114" t="str">
        <f aca="false">IF($E152="","",IF(IF($B152="Tema",INDEX(Temas!$E$6:$P$305,$C152,2*$D152),INDEX(Avulsos!$F$6:$F$205,$C152))&amp;""="","","✓"))</f>
        <v/>
      </c>
      <c r="L152" s="114" t="str">
        <f aca="true">IF($E152="","",IF($K152="✓","Concluído",IF($E152&lt;TODAY(),"Atrasado",IF($E152=TODAY(),"Hoje","Pendente"))))</f>
        <v>Pendente</v>
      </c>
      <c r="M152" s="114" t="str">
        <f aca="false">IF($E152="","",IF($K152="✓","✓ ","")&amp;IF(Config!$E$22="Sim",$H152&amp;" · ","")&amp;$F152)</f>
        <v>R3 · Ortopedia I e II</v>
      </c>
      <c r="N152" s="114" t="str">
        <f aca="false">IF($E152="","",IFERROR(INDEX(Config!$D$15:$D$19,MATCH($I152,Config!$C$15:$C$19,0)),"OUT")&amp;IF($K152="✓","x",""))</f>
        <v>PRA</v>
      </c>
      <c r="O152" s="114" t="n">
        <f aca="false">IF($E152="","",COUNTIF($E$5:$E152,$E152))</f>
        <v>2</v>
      </c>
      <c r="P152" s="114" t="n">
        <f aca="false">IF($E152="","",$E152*100+$O152)</f>
        <v>4633602</v>
      </c>
      <c r="Q152" s="114" t="str">
        <f aca="false">IF($L152="Atrasado",$E152*10000+$A152,"")</f>
        <v/>
      </c>
    </row>
    <row r="153" customFormat="false" ht="15" hidden="false" customHeight="false" outlineLevel="0" collapsed="false">
      <c r="A153" s="114" t="n">
        <f aca="false">ROW()-4</f>
        <v>149</v>
      </c>
      <c r="B153" s="114" t="str">
        <f aca="false">IF(A153&lt;=Config!$E$27*Config!$E$28,"Tema","Avulso")</f>
        <v>Tema</v>
      </c>
      <c r="C153" s="114" t="n">
        <f aca="false">IF(B153="Tema",INT((A153-1)/Config!$E$28)+1,A153-Config!$E$27*Config!$E$28)</f>
        <v>25</v>
      </c>
      <c r="D153" s="114" t="n">
        <f aca="false">IF(B153="Tema",MOD(A153-1,Config!$E$28)+1,"")</f>
        <v>5</v>
      </c>
      <c r="E153" s="115" t="n">
        <f aca="false">IF($B153="Tema",IF(ISNUMBER(INDEX(Temas!$E$6:$P$305,$C153,2*$D153-1)),INDEX(Temas!$E$6:$P$305,$C153,2*$D153-1),""),IF(ISNUMBER(INDEX(Avulsos!$B$6:$B$205,$C153)),INDEX(Avulsos!$B$6:$B$205,$C153),""))</f>
        <v>46351</v>
      </c>
      <c r="F153" s="114" t="str">
        <f aca="false">IF($E153="","",IF($B153="Tema",INDEX(Temas!$B$6:$B$305,$C153)&amp;"",INDEX(Avulsos!$C$6:$C$205,$C153)&amp;""))</f>
        <v>Ortopedia I e II</v>
      </c>
      <c r="G153" s="114" t="str">
        <f aca="false">IF($E153="","",IF($B153="Tema",INDEX(Config!$C$6:$C$11,$D153),"Evento avulso"))</f>
        <v>4ª Revisão</v>
      </c>
      <c r="H153" s="114" t="str">
        <f aca="false">IF($E153="","",IF($B153="Tema",INDEX(Config!$D$6:$D$11,$D153),IFERROR(INDEX(Config!$E$15:$E$19,MATCH($I153,Config!$C$15:$C$19,0)),"•")))</f>
        <v>R4</v>
      </c>
      <c r="I153" s="114" t="str">
        <f aca="false">IF($E153="","",IF($B153="Tema",INDEX(Config!$E$6:$E$11,$D153),IF(INDEX(Avulsos!$D$6:$D$205,$C153)&amp;""="","Outro",INDEX(Avulsos!$D$6:$D$205,$C153))))</f>
        <v>Prática</v>
      </c>
      <c r="J153" s="114" t="str">
        <f aca="false">IF($E153="","",IF($B153="Tema",INDEX(Temas!$C$6:$C$305,$C153)&amp;"",INDEX(Avulsos!$E$6:$E$205,$C153)&amp;""))</f>
        <v>Cirurgia</v>
      </c>
      <c r="K153" s="114" t="str">
        <f aca="false">IF($E153="","",IF(IF($B153="Tema",INDEX(Temas!$E$6:$P$305,$C153,2*$D153),INDEX(Avulsos!$F$6:$F$205,$C153))&amp;""="","","✓"))</f>
        <v/>
      </c>
      <c r="L153" s="114" t="str">
        <f aca="true">IF($E153="","",IF($K153="✓","Concluído",IF($E153&lt;TODAY(),"Atrasado",IF($E153=TODAY(),"Hoje","Pendente"))))</f>
        <v>Pendente</v>
      </c>
      <c r="M153" s="114" t="str">
        <f aca="false">IF($E153="","",IF($K153="✓","✓ ","")&amp;IF(Config!$E$22="Sim",$H153&amp;" · ","")&amp;$F153)</f>
        <v>R4 · Ortopedia I e II</v>
      </c>
      <c r="N153" s="114" t="str">
        <f aca="false">IF($E153="","",IFERROR(INDEX(Config!$D$15:$D$19,MATCH($I153,Config!$C$15:$C$19,0)),"OUT")&amp;IF($K153="✓","x",""))</f>
        <v>PRA</v>
      </c>
      <c r="O153" s="114" t="n">
        <f aca="false">IF($E153="","",COUNTIF($E$5:$E153,$E153))</f>
        <v>1</v>
      </c>
      <c r="P153" s="114" t="n">
        <f aca="false">IF($E153="","",$E153*100+$O153)</f>
        <v>4635101</v>
      </c>
      <c r="Q153" s="114" t="str">
        <f aca="false">IF($L153="Atrasado",$E153*10000+$A153,"")</f>
        <v/>
      </c>
    </row>
    <row r="154" customFormat="false" ht="15" hidden="false" customHeight="false" outlineLevel="0" collapsed="false">
      <c r="A154" s="114" t="n">
        <f aca="false">ROW()-4</f>
        <v>150</v>
      </c>
      <c r="B154" s="114" t="str">
        <f aca="false">IF(A154&lt;=Config!$E$27*Config!$E$28,"Tema","Avulso")</f>
        <v>Tema</v>
      </c>
      <c r="C154" s="114" t="n">
        <f aca="false">IF(B154="Tema",INT((A154-1)/Config!$E$28)+1,A154-Config!$E$27*Config!$E$28)</f>
        <v>25</v>
      </c>
      <c r="D154" s="114" t="n">
        <f aca="false">IF(B154="Tema",MOD(A154-1,Config!$E$28)+1,"")</f>
        <v>6</v>
      </c>
      <c r="E154" s="115" t="n">
        <f aca="false">IF($B154="Tema",IF(ISNUMBER(INDEX(Temas!$E$6:$P$305,$C154,2*$D154-1)),INDEX(Temas!$E$6:$P$305,$C154,2*$D154-1),""),IF(ISNUMBER(INDEX(Avulsos!$B$6:$B$205,$C154)),INDEX(Avulsos!$B$6:$B$205,$C154),""))</f>
        <v>46381</v>
      </c>
      <c r="F154" s="114" t="str">
        <f aca="false">IF($E154="","",IF($B154="Tema",INDEX(Temas!$B$6:$B$305,$C154)&amp;"",INDEX(Avulsos!$C$6:$C$205,$C154)&amp;""))</f>
        <v>Ortopedia I e II</v>
      </c>
      <c r="G154" s="114" t="str">
        <f aca="false">IF($E154="","",IF($B154="Tema",INDEX(Config!$C$6:$C$11,$D154),"Evento avulso"))</f>
        <v>5ª Revisão</v>
      </c>
      <c r="H154" s="114" t="str">
        <f aca="false">IF($E154="","",IF($B154="Tema",INDEX(Config!$D$6:$D$11,$D154),IFERROR(INDEX(Config!$E$15:$E$19,MATCH($I154,Config!$C$15:$C$19,0)),"•")))</f>
        <v>R5</v>
      </c>
      <c r="I154" s="114" t="str">
        <f aca="false">IF($E154="","",IF($B154="Tema",INDEX(Config!$E$6:$E$11,$D154),IF(INDEX(Avulsos!$D$6:$D$205,$C154)&amp;""="","Outro",INDEX(Avulsos!$D$6:$D$205,$C154))))</f>
        <v>Revisão</v>
      </c>
      <c r="J154" s="114" t="str">
        <f aca="false">IF($E154="","",IF($B154="Tema",INDEX(Temas!$C$6:$C$305,$C154)&amp;"",INDEX(Avulsos!$E$6:$E$205,$C154)&amp;""))</f>
        <v>Cirurgia</v>
      </c>
      <c r="K154" s="114" t="str">
        <f aca="false">IF($E154="","",IF(IF($B154="Tema",INDEX(Temas!$E$6:$P$305,$C154,2*$D154),INDEX(Avulsos!$F$6:$F$205,$C154))&amp;""="","","✓"))</f>
        <v/>
      </c>
      <c r="L154" s="114" t="str">
        <f aca="true">IF($E154="","",IF($K154="✓","Concluído",IF($E154&lt;TODAY(),"Atrasado",IF($E154=TODAY(),"Hoje","Pendente"))))</f>
        <v>Pendente</v>
      </c>
      <c r="M154" s="114" t="str">
        <f aca="false">IF($E154="","",IF($K154="✓","✓ ","")&amp;IF(Config!$E$22="Sim",$H154&amp;" · ","")&amp;$F154)</f>
        <v>R5 · Ortopedia I e II</v>
      </c>
      <c r="N154" s="114" t="str">
        <f aca="false">IF($E154="","",IFERROR(INDEX(Config!$D$15:$D$19,MATCH($I154,Config!$C$15:$C$19,0)),"OUT")&amp;IF($K154="✓","x",""))</f>
        <v>REV</v>
      </c>
      <c r="O154" s="114" t="n">
        <f aca="false">IF($E154="","",COUNTIF($E$5:$E154,$E154))</f>
        <v>1</v>
      </c>
      <c r="P154" s="114" t="n">
        <f aca="false">IF($E154="","",$E154*100+$O154)</f>
        <v>4638101</v>
      </c>
      <c r="Q154" s="114" t="str">
        <f aca="false">IF($L154="Atrasado",$E154*10000+$A154,"")</f>
        <v/>
      </c>
    </row>
    <row r="155" customFormat="false" ht="15" hidden="false" customHeight="false" outlineLevel="0" collapsed="false">
      <c r="A155" s="114" t="n">
        <f aca="false">ROW()-4</f>
        <v>151</v>
      </c>
      <c r="B155" s="114" t="str">
        <f aca="false">IF(A155&lt;=Config!$E$27*Config!$E$28,"Tema","Avulso")</f>
        <v>Tema</v>
      </c>
      <c r="C155" s="114" t="n">
        <f aca="false">IF(B155="Tema",INT((A155-1)/Config!$E$28)+1,A155-Config!$E$27*Config!$E$28)</f>
        <v>26</v>
      </c>
      <c r="D155" s="114" t="n">
        <f aca="false">IF(B155="Tema",MOD(A155-1,Config!$E$28)+1,"")</f>
        <v>1</v>
      </c>
      <c r="E155" s="115" t="n">
        <f aca="false">IF($B155="Tema",IF(ISNUMBER(INDEX(Temas!$E$6:$P$305,$C155,2*$D155-1)),INDEX(Temas!$E$6:$P$305,$C155,2*$D155-1),""),IF(ISNUMBER(INDEX(Avulsos!$B$6:$B$205,$C155)),INDEX(Avulsos!$B$6:$B$205,$C155),""))</f>
        <v>46322</v>
      </c>
      <c r="F155" s="114" t="str">
        <f aca="false">IF($E155="","",IF($B155="Tema",INDEX(Temas!$B$6:$B$305,$C155)&amp;"",INDEX(Avulsos!$C$6:$C$205,$C155)&amp;""))</f>
        <v>Fraqueza Muscular — Polineuropatias</v>
      </c>
      <c r="G155" s="114" t="str">
        <f aca="false">IF($E155="","",IF($B155="Tema",INDEX(Config!$C$6:$C$11,$D155),"Evento avulso"))</f>
        <v>Aula teórica</v>
      </c>
      <c r="H155" s="114" t="str">
        <f aca="false">IF($E155="","",IF($B155="Tema",INDEX(Config!$D$6:$D$11,$D155),IFERROR(INDEX(Config!$E$15:$E$19,MATCH($I155,Config!$C$15:$C$19,0)),"•")))</f>
        <v>T</v>
      </c>
      <c r="I155" s="114" t="str">
        <f aca="false">IF($E155="","",IF($B155="Tema",INDEX(Config!$E$6:$E$11,$D155),IF(INDEX(Avulsos!$D$6:$D$205,$C155)&amp;""="","Outro",INDEX(Avulsos!$D$6:$D$205,$C155))))</f>
        <v>Teórica</v>
      </c>
      <c r="J155" s="114" t="str">
        <f aca="false">IF($E155="","",IF($B155="Tema",INDEX(Temas!$C$6:$C$305,$C155)&amp;"",INDEX(Avulsos!$E$6:$E$205,$C155)&amp;""))</f>
        <v>Clínica Médica</v>
      </c>
      <c r="K155" s="114" t="str">
        <f aca="false">IF($E155="","",IF(IF($B155="Tema",INDEX(Temas!$E$6:$P$305,$C155,2*$D155),INDEX(Avulsos!$F$6:$F$205,$C155))&amp;""="","","✓"))</f>
        <v/>
      </c>
      <c r="L155" s="114" t="str">
        <f aca="true">IF($E155="","",IF($K155="✓","Concluído",IF($E155&lt;TODAY(),"Atrasado",IF($E155=TODAY(),"Hoje","Pendente"))))</f>
        <v>Pendente</v>
      </c>
      <c r="M155" s="114" t="str">
        <f aca="false">IF($E155="","",IF($K155="✓","✓ ","")&amp;IF(Config!$E$22="Sim",$H155&amp;" · ","")&amp;$F155)</f>
        <v>T · Fraqueza Muscular — Polineuropatias</v>
      </c>
      <c r="N155" s="114" t="str">
        <f aca="false">IF($E155="","",IFERROR(INDEX(Config!$D$15:$D$19,MATCH($I155,Config!$C$15:$C$19,0)),"OUT")&amp;IF($K155="✓","x",""))</f>
        <v>TEO</v>
      </c>
      <c r="O155" s="114" t="n">
        <f aca="false">IF($E155="","",COUNTIF($E$5:$E155,$E155))</f>
        <v>9</v>
      </c>
      <c r="P155" s="114" t="n">
        <f aca="false">IF($E155="","",$E155*100+$O155)</f>
        <v>4632209</v>
      </c>
      <c r="Q155" s="114" t="str">
        <f aca="false">IF($L155="Atrasado",$E155*10000+$A155,"")</f>
        <v/>
      </c>
    </row>
    <row r="156" customFormat="false" ht="15" hidden="false" customHeight="false" outlineLevel="0" collapsed="false">
      <c r="A156" s="114" t="n">
        <f aca="false">ROW()-4</f>
        <v>152</v>
      </c>
      <c r="B156" s="114" t="str">
        <f aca="false">IF(A156&lt;=Config!$E$27*Config!$E$28,"Tema","Avulso")</f>
        <v>Tema</v>
      </c>
      <c r="C156" s="114" t="n">
        <f aca="false">IF(B156="Tema",INT((A156-1)/Config!$E$28)+1,A156-Config!$E$27*Config!$E$28)</f>
        <v>26</v>
      </c>
      <c r="D156" s="114" t="n">
        <f aca="false">IF(B156="Tema",MOD(A156-1,Config!$E$28)+1,"")</f>
        <v>2</v>
      </c>
      <c r="E156" s="115" t="n">
        <f aca="false">IF($B156="Tema",IF(ISNUMBER(INDEX(Temas!$E$6:$P$305,$C156,2*$D156-1)),INDEX(Temas!$E$6:$P$305,$C156,2*$D156-1),""),IF(ISNUMBER(INDEX(Avulsos!$B$6:$B$205,$C156)),INDEX(Avulsos!$B$6:$B$205,$C156),""))</f>
        <v>46323</v>
      </c>
      <c r="F156" s="114" t="str">
        <f aca="false">IF($E156="","",IF($B156="Tema",INDEX(Temas!$B$6:$B$305,$C156)&amp;"",INDEX(Avulsos!$C$6:$C$205,$C156)&amp;""))</f>
        <v>Fraqueza Muscular — Polineuropatias</v>
      </c>
      <c r="G156" s="114" t="str">
        <f aca="false">IF($E156="","",IF($B156="Tema",INDEX(Config!$C$6:$C$11,$D156),"Evento avulso"))</f>
        <v>1ª Revisão</v>
      </c>
      <c r="H156" s="114" t="str">
        <f aca="false">IF($E156="","",IF($B156="Tema",INDEX(Config!$D$6:$D$11,$D156),IFERROR(INDEX(Config!$E$15:$E$19,MATCH($I156,Config!$C$15:$C$19,0)),"•")))</f>
        <v>R1</v>
      </c>
      <c r="I156" s="114" t="str">
        <f aca="false">IF($E156="","",IF($B156="Tema",INDEX(Config!$E$6:$E$11,$D156),IF(INDEX(Avulsos!$D$6:$D$205,$C156)&amp;""="","Outro",INDEX(Avulsos!$D$6:$D$205,$C156))))</f>
        <v>Revisão</v>
      </c>
      <c r="J156" s="114" t="str">
        <f aca="false">IF($E156="","",IF($B156="Tema",INDEX(Temas!$C$6:$C$305,$C156)&amp;"",INDEX(Avulsos!$E$6:$E$205,$C156)&amp;""))</f>
        <v>Clínica Médica</v>
      </c>
      <c r="K156" s="114" t="str">
        <f aca="false">IF($E156="","",IF(IF($B156="Tema",INDEX(Temas!$E$6:$P$305,$C156,2*$D156),INDEX(Avulsos!$F$6:$F$205,$C156))&amp;""="","","✓"))</f>
        <v/>
      </c>
      <c r="L156" s="114" t="str">
        <f aca="true">IF($E156="","",IF($K156="✓","Concluído",IF($E156&lt;TODAY(),"Atrasado",IF($E156=TODAY(),"Hoje","Pendente"))))</f>
        <v>Pendente</v>
      </c>
      <c r="M156" s="114" t="str">
        <f aca="false">IF($E156="","",IF($K156="✓","✓ ","")&amp;IF(Config!$E$22="Sim",$H156&amp;" · ","")&amp;$F156)</f>
        <v>R1 · Fraqueza Muscular — Polineuropatias</v>
      </c>
      <c r="N156" s="114" t="str">
        <f aca="false">IF($E156="","",IFERROR(INDEX(Config!$D$15:$D$19,MATCH($I156,Config!$C$15:$C$19,0)),"OUT")&amp;IF($K156="✓","x",""))</f>
        <v>REV</v>
      </c>
      <c r="O156" s="114" t="n">
        <f aca="false">IF($E156="","",COUNTIF($E$5:$E156,$E156))</f>
        <v>4</v>
      </c>
      <c r="P156" s="114" t="n">
        <f aca="false">IF($E156="","",$E156*100+$O156)</f>
        <v>4632304</v>
      </c>
      <c r="Q156" s="114" t="str">
        <f aca="false">IF($L156="Atrasado",$E156*10000+$A156,"")</f>
        <v/>
      </c>
    </row>
    <row r="157" customFormat="false" ht="15" hidden="false" customHeight="false" outlineLevel="0" collapsed="false">
      <c r="A157" s="114" t="n">
        <f aca="false">ROW()-4</f>
        <v>153</v>
      </c>
      <c r="B157" s="114" t="str">
        <f aca="false">IF(A157&lt;=Config!$E$27*Config!$E$28,"Tema","Avulso")</f>
        <v>Tema</v>
      </c>
      <c r="C157" s="114" t="n">
        <f aca="false">IF(B157="Tema",INT((A157-1)/Config!$E$28)+1,A157-Config!$E$27*Config!$E$28)</f>
        <v>26</v>
      </c>
      <c r="D157" s="114" t="n">
        <f aca="false">IF(B157="Tema",MOD(A157-1,Config!$E$28)+1,"")</f>
        <v>3</v>
      </c>
      <c r="E157" s="115" t="n">
        <f aca="false">IF($B157="Tema",IF(ISNUMBER(INDEX(Temas!$E$6:$P$305,$C157,2*$D157-1)),INDEX(Temas!$E$6:$P$305,$C157,2*$D157-1),""),IF(ISNUMBER(INDEX(Avulsos!$B$6:$B$205,$C157)),INDEX(Avulsos!$B$6:$B$205,$C157),""))</f>
        <v>46329</v>
      </c>
      <c r="F157" s="114" t="str">
        <f aca="false">IF($E157="","",IF($B157="Tema",INDEX(Temas!$B$6:$B$305,$C157)&amp;"",INDEX(Avulsos!$C$6:$C$205,$C157)&amp;""))</f>
        <v>Fraqueza Muscular — Polineuropatias</v>
      </c>
      <c r="G157" s="114" t="str">
        <f aca="false">IF($E157="","",IF($B157="Tema",INDEX(Config!$C$6:$C$11,$D157),"Evento avulso"))</f>
        <v>2ª Revisão</v>
      </c>
      <c r="H157" s="114" t="str">
        <f aca="false">IF($E157="","",IF($B157="Tema",INDEX(Config!$D$6:$D$11,$D157),IFERROR(INDEX(Config!$E$15:$E$19,MATCH($I157,Config!$C$15:$C$19,0)),"•")))</f>
        <v>R2</v>
      </c>
      <c r="I157" s="114" t="str">
        <f aca="false">IF($E157="","",IF($B157="Tema",INDEX(Config!$E$6:$E$11,$D157),IF(INDEX(Avulsos!$D$6:$D$205,$C157)&amp;""="","Outro",INDEX(Avulsos!$D$6:$D$205,$C157))))</f>
        <v>Prática</v>
      </c>
      <c r="J157" s="114" t="str">
        <f aca="false">IF($E157="","",IF($B157="Tema",INDEX(Temas!$C$6:$C$305,$C157)&amp;"",INDEX(Avulsos!$E$6:$E$205,$C157)&amp;""))</f>
        <v>Clínica Médica</v>
      </c>
      <c r="K157" s="114" t="str">
        <f aca="false">IF($E157="","",IF(IF($B157="Tema",INDEX(Temas!$E$6:$P$305,$C157,2*$D157),INDEX(Avulsos!$F$6:$F$205,$C157))&amp;""="","","✓"))</f>
        <v/>
      </c>
      <c r="L157" s="114" t="str">
        <f aca="true">IF($E157="","",IF($K157="✓","Concluído",IF($E157&lt;TODAY(),"Atrasado",IF($E157=TODAY(),"Hoje","Pendente"))))</f>
        <v>Pendente</v>
      </c>
      <c r="M157" s="114" t="str">
        <f aca="false">IF($E157="","",IF($K157="✓","✓ ","")&amp;IF(Config!$E$22="Sim",$H157&amp;" · ","")&amp;$F157)</f>
        <v>R2 · Fraqueza Muscular — Polineuropatias</v>
      </c>
      <c r="N157" s="114" t="str">
        <f aca="false">IF($E157="","",IFERROR(INDEX(Config!$D$15:$D$19,MATCH($I157,Config!$C$15:$C$19,0)),"OUT")&amp;IF($K157="✓","x",""))</f>
        <v>PRA</v>
      </c>
      <c r="O157" s="114" t="n">
        <f aca="false">IF($E157="","",COUNTIF($E$5:$E157,$E157))</f>
        <v>2</v>
      </c>
      <c r="P157" s="114" t="n">
        <f aca="false">IF($E157="","",$E157*100+$O157)</f>
        <v>4632902</v>
      </c>
      <c r="Q157" s="114" t="str">
        <f aca="false">IF($L157="Atrasado",$E157*10000+$A157,"")</f>
        <v/>
      </c>
    </row>
    <row r="158" customFormat="false" ht="15" hidden="false" customHeight="false" outlineLevel="0" collapsed="false">
      <c r="A158" s="114" t="n">
        <f aca="false">ROW()-4</f>
        <v>154</v>
      </c>
      <c r="B158" s="114" t="str">
        <f aca="false">IF(A158&lt;=Config!$E$27*Config!$E$28,"Tema","Avulso")</f>
        <v>Tema</v>
      </c>
      <c r="C158" s="114" t="n">
        <f aca="false">IF(B158="Tema",INT((A158-1)/Config!$E$28)+1,A158-Config!$E$27*Config!$E$28)</f>
        <v>26</v>
      </c>
      <c r="D158" s="114" t="n">
        <f aca="false">IF(B158="Tema",MOD(A158-1,Config!$E$28)+1,"")</f>
        <v>4</v>
      </c>
      <c r="E158" s="115" t="n">
        <f aca="false">IF($B158="Tema",IF(ISNUMBER(INDEX(Temas!$E$6:$P$305,$C158,2*$D158-1)),INDEX(Temas!$E$6:$P$305,$C158,2*$D158-1),""),IF(ISNUMBER(INDEX(Avulsos!$B$6:$B$205,$C158)),INDEX(Avulsos!$B$6:$B$205,$C158),""))</f>
        <v>46337</v>
      </c>
      <c r="F158" s="114" t="str">
        <f aca="false">IF($E158="","",IF($B158="Tema",INDEX(Temas!$B$6:$B$305,$C158)&amp;"",INDEX(Avulsos!$C$6:$C$205,$C158)&amp;""))</f>
        <v>Fraqueza Muscular — Polineuropatias</v>
      </c>
      <c r="G158" s="114" t="str">
        <f aca="false">IF($E158="","",IF($B158="Tema",INDEX(Config!$C$6:$C$11,$D158),"Evento avulso"))</f>
        <v>3ª Revisão</v>
      </c>
      <c r="H158" s="114" t="str">
        <f aca="false">IF($E158="","",IF($B158="Tema",INDEX(Config!$D$6:$D$11,$D158),IFERROR(INDEX(Config!$E$15:$E$19,MATCH($I158,Config!$C$15:$C$19,0)),"•")))</f>
        <v>R3</v>
      </c>
      <c r="I158" s="114" t="str">
        <f aca="false">IF($E158="","",IF($B158="Tema",INDEX(Config!$E$6:$E$11,$D158),IF(INDEX(Avulsos!$D$6:$D$205,$C158)&amp;""="","Outro",INDEX(Avulsos!$D$6:$D$205,$C158))))</f>
        <v>Prática</v>
      </c>
      <c r="J158" s="114" t="str">
        <f aca="false">IF($E158="","",IF($B158="Tema",INDEX(Temas!$C$6:$C$305,$C158)&amp;"",INDEX(Avulsos!$E$6:$E$205,$C158)&amp;""))</f>
        <v>Clínica Médica</v>
      </c>
      <c r="K158" s="114" t="str">
        <f aca="false">IF($E158="","",IF(IF($B158="Tema",INDEX(Temas!$E$6:$P$305,$C158,2*$D158),INDEX(Avulsos!$F$6:$F$205,$C158))&amp;""="","","✓"))</f>
        <v/>
      </c>
      <c r="L158" s="114" t="str">
        <f aca="true">IF($E158="","",IF($K158="✓","Concluído",IF($E158&lt;TODAY(),"Atrasado",IF($E158=TODAY(),"Hoje","Pendente"))))</f>
        <v>Pendente</v>
      </c>
      <c r="M158" s="114" t="str">
        <f aca="false">IF($E158="","",IF($K158="✓","✓ ","")&amp;IF(Config!$E$22="Sim",$H158&amp;" · ","")&amp;$F158)</f>
        <v>R3 · Fraqueza Muscular — Polineuropatias</v>
      </c>
      <c r="N158" s="114" t="str">
        <f aca="false">IF($E158="","",IFERROR(INDEX(Config!$D$15:$D$19,MATCH($I158,Config!$C$15:$C$19,0)),"OUT")&amp;IF($K158="✓","x",""))</f>
        <v>PRA</v>
      </c>
      <c r="O158" s="114" t="n">
        <f aca="false">IF($E158="","",COUNTIF($E$5:$E158,$E158))</f>
        <v>3</v>
      </c>
      <c r="P158" s="114" t="n">
        <f aca="false">IF($E158="","",$E158*100+$O158)</f>
        <v>4633703</v>
      </c>
      <c r="Q158" s="114" t="str">
        <f aca="false">IF($L158="Atrasado",$E158*10000+$A158,"")</f>
        <v/>
      </c>
    </row>
    <row r="159" customFormat="false" ht="15" hidden="false" customHeight="false" outlineLevel="0" collapsed="false">
      <c r="A159" s="114" t="n">
        <f aca="false">ROW()-4</f>
        <v>155</v>
      </c>
      <c r="B159" s="114" t="str">
        <f aca="false">IF(A159&lt;=Config!$E$27*Config!$E$28,"Tema","Avulso")</f>
        <v>Tema</v>
      </c>
      <c r="C159" s="114" t="n">
        <f aca="false">IF(B159="Tema",INT((A159-1)/Config!$E$28)+1,A159-Config!$E$27*Config!$E$28)</f>
        <v>26</v>
      </c>
      <c r="D159" s="114" t="n">
        <f aca="false">IF(B159="Tema",MOD(A159-1,Config!$E$28)+1,"")</f>
        <v>5</v>
      </c>
      <c r="E159" s="115" t="n">
        <f aca="false">IF($B159="Tema",IF(ISNUMBER(INDEX(Temas!$E$6:$P$305,$C159,2*$D159-1)),INDEX(Temas!$E$6:$P$305,$C159,2*$D159-1),""),IF(ISNUMBER(INDEX(Avulsos!$B$6:$B$205,$C159)),INDEX(Avulsos!$B$6:$B$205,$C159),""))</f>
        <v>46352</v>
      </c>
      <c r="F159" s="114" t="str">
        <f aca="false">IF($E159="","",IF($B159="Tema",INDEX(Temas!$B$6:$B$305,$C159)&amp;"",INDEX(Avulsos!$C$6:$C$205,$C159)&amp;""))</f>
        <v>Fraqueza Muscular — Polineuropatias</v>
      </c>
      <c r="G159" s="114" t="str">
        <f aca="false">IF($E159="","",IF($B159="Tema",INDEX(Config!$C$6:$C$11,$D159),"Evento avulso"))</f>
        <v>4ª Revisão</v>
      </c>
      <c r="H159" s="114" t="str">
        <f aca="false">IF($E159="","",IF($B159="Tema",INDEX(Config!$D$6:$D$11,$D159),IFERROR(INDEX(Config!$E$15:$E$19,MATCH($I159,Config!$C$15:$C$19,0)),"•")))</f>
        <v>R4</v>
      </c>
      <c r="I159" s="114" t="str">
        <f aca="false">IF($E159="","",IF($B159="Tema",INDEX(Config!$E$6:$E$11,$D159),IF(INDEX(Avulsos!$D$6:$D$205,$C159)&amp;""="","Outro",INDEX(Avulsos!$D$6:$D$205,$C159))))</f>
        <v>Prática</v>
      </c>
      <c r="J159" s="114" t="str">
        <f aca="false">IF($E159="","",IF($B159="Tema",INDEX(Temas!$C$6:$C$305,$C159)&amp;"",INDEX(Avulsos!$E$6:$E$205,$C159)&amp;""))</f>
        <v>Clínica Médica</v>
      </c>
      <c r="K159" s="114" t="str">
        <f aca="false">IF($E159="","",IF(IF($B159="Tema",INDEX(Temas!$E$6:$P$305,$C159,2*$D159),INDEX(Avulsos!$F$6:$F$205,$C159))&amp;""="","","✓"))</f>
        <v/>
      </c>
      <c r="L159" s="114" t="str">
        <f aca="true">IF($E159="","",IF($K159="✓","Concluído",IF($E159&lt;TODAY(),"Atrasado",IF($E159=TODAY(),"Hoje","Pendente"))))</f>
        <v>Pendente</v>
      </c>
      <c r="M159" s="114" t="str">
        <f aca="false">IF($E159="","",IF($K159="✓","✓ ","")&amp;IF(Config!$E$22="Sim",$H159&amp;" · ","")&amp;$F159)</f>
        <v>R4 · Fraqueza Muscular — Polineuropatias</v>
      </c>
      <c r="N159" s="114" t="str">
        <f aca="false">IF($E159="","",IFERROR(INDEX(Config!$D$15:$D$19,MATCH($I159,Config!$C$15:$C$19,0)),"OUT")&amp;IF($K159="✓","x",""))</f>
        <v>PRA</v>
      </c>
      <c r="O159" s="114" t="n">
        <f aca="false">IF($E159="","",COUNTIF($E$5:$E159,$E159))</f>
        <v>4</v>
      </c>
      <c r="P159" s="114" t="n">
        <f aca="false">IF($E159="","",$E159*100+$O159)</f>
        <v>4635204</v>
      </c>
      <c r="Q159" s="114" t="str">
        <f aca="false">IF($L159="Atrasado",$E159*10000+$A159,"")</f>
        <v/>
      </c>
    </row>
    <row r="160" customFormat="false" ht="15" hidden="false" customHeight="false" outlineLevel="0" collapsed="false">
      <c r="A160" s="114" t="n">
        <f aca="false">ROW()-4</f>
        <v>156</v>
      </c>
      <c r="B160" s="114" t="str">
        <f aca="false">IF(A160&lt;=Config!$E$27*Config!$E$28,"Tema","Avulso")</f>
        <v>Tema</v>
      </c>
      <c r="C160" s="114" t="n">
        <f aca="false">IF(B160="Tema",INT((A160-1)/Config!$E$28)+1,A160-Config!$E$27*Config!$E$28)</f>
        <v>26</v>
      </c>
      <c r="D160" s="114" t="n">
        <f aca="false">IF(B160="Tema",MOD(A160-1,Config!$E$28)+1,"")</f>
        <v>6</v>
      </c>
      <c r="E160" s="115" t="n">
        <f aca="false">IF($B160="Tema",IF(ISNUMBER(INDEX(Temas!$E$6:$P$305,$C160,2*$D160-1)),INDEX(Temas!$E$6:$P$305,$C160,2*$D160-1),""),IF(ISNUMBER(INDEX(Avulsos!$B$6:$B$205,$C160)),INDEX(Avulsos!$B$6:$B$205,$C160),""))</f>
        <v>46382</v>
      </c>
      <c r="F160" s="114" t="str">
        <f aca="false">IF($E160="","",IF($B160="Tema",INDEX(Temas!$B$6:$B$305,$C160)&amp;"",INDEX(Avulsos!$C$6:$C$205,$C160)&amp;""))</f>
        <v>Fraqueza Muscular — Polineuropatias</v>
      </c>
      <c r="G160" s="114" t="str">
        <f aca="false">IF($E160="","",IF($B160="Tema",INDEX(Config!$C$6:$C$11,$D160),"Evento avulso"))</f>
        <v>5ª Revisão</v>
      </c>
      <c r="H160" s="114" t="str">
        <f aca="false">IF($E160="","",IF($B160="Tema",INDEX(Config!$D$6:$D$11,$D160),IFERROR(INDEX(Config!$E$15:$E$19,MATCH($I160,Config!$C$15:$C$19,0)),"•")))</f>
        <v>R5</v>
      </c>
      <c r="I160" s="114" t="str">
        <f aca="false">IF($E160="","",IF($B160="Tema",INDEX(Config!$E$6:$E$11,$D160),IF(INDEX(Avulsos!$D$6:$D$205,$C160)&amp;""="","Outro",INDEX(Avulsos!$D$6:$D$205,$C160))))</f>
        <v>Revisão</v>
      </c>
      <c r="J160" s="114" t="str">
        <f aca="false">IF($E160="","",IF($B160="Tema",INDEX(Temas!$C$6:$C$305,$C160)&amp;"",INDEX(Avulsos!$E$6:$E$205,$C160)&amp;""))</f>
        <v>Clínica Médica</v>
      </c>
      <c r="K160" s="114" t="str">
        <f aca="false">IF($E160="","",IF(IF($B160="Tema",INDEX(Temas!$E$6:$P$305,$C160,2*$D160),INDEX(Avulsos!$F$6:$F$205,$C160))&amp;""="","","✓"))</f>
        <v/>
      </c>
      <c r="L160" s="114" t="str">
        <f aca="true">IF($E160="","",IF($K160="✓","Concluído",IF($E160&lt;TODAY(),"Atrasado",IF($E160=TODAY(),"Hoje","Pendente"))))</f>
        <v>Pendente</v>
      </c>
      <c r="M160" s="114" t="str">
        <f aca="false">IF($E160="","",IF($K160="✓","✓ ","")&amp;IF(Config!$E$22="Sim",$H160&amp;" · ","")&amp;$F160)</f>
        <v>R5 · Fraqueza Muscular — Polineuropatias</v>
      </c>
      <c r="N160" s="114" t="str">
        <f aca="false">IF($E160="","",IFERROR(INDEX(Config!$D$15:$D$19,MATCH($I160,Config!$C$15:$C$19,0)),"OUT")&amp;IF($K160="✓","x",""))</f>
        <v>REV</v>
      </c>
      <c r="O160" s="114" t="n">
        <f aca="false">IF($E160="","",COUNTIF($E$5:$E160,$E160))</f>
        <v>1</v>
      </c>
      <c r="P160" s="114" t="n">
        <f aca="false">IF($E160="","",$E160*100+$O160)</f>
        <v>4638201</v>
      </c>
      <c r="Q160" s="114" t="str">
        <f aca="false">IF($L160="Atrasado",$E160*10000+$A160,"")</f>
        <v/>
      </c>
    </row>
    <row r="161" customFormat="false" ht="15" hidden="false" customHeight="false" outlineLevel="0" collapsed="false">
      <c r="A161" s="114" t="n">
        <f aca="false">ROW()-4</f>
        <v>157</v>
      </c>
      <c r="B161" s="114" t="str">
        <f aca="false">IF(A161&lt;=Config!$E$27*Config!$E$28,"Tema","Avulso")</f>
        <v>Tema</v>
      </c>
      <c r="C161" s="114" t="n">
        <f aca="false">IF(B161="Tema",INT((A161-1)/Config!$E$28)+1,A161-Config!$E$27*Config!$E$28)</f>
        <v>27</v>
      </c>
      <c r="D161" s="114" t="n">
        <f aca="false">IF(B161="Tema",MOD(A161-1,Config!$E$28)+1,"")</f>
        <v>1</v>
      </c>
      <c r="E161" s="115" t="str">
        <f aca="false">IF($B161="Tema",IF(ISNUMBER(INDEX(Temas!$E$6:$P$305,$C161,2*$D161-1)),INDEX(Temas!$E$6:$P$305,$C161,2*$D161-1),""),IF(ISNUMBER(INDEX(Avulsos!$B$6:$B$205,$C161)),INDEX(Avulsos!$B$6:$B$205,$C161),""))</f>
        <v/>
      </c>
      <c r="F161" s="114" t="str">
        <f aca="false">IF($E161="","",IF($B161="Tema",INDEX(Temas!$B$6:$B$305,$C161)&amp;"",INDEX(Avulsos!$C$6:$C$205,$C161)&amp;""))</f>
        <v/>
      </c>
      <c r="G161" s="114" t="str">
        <f aca="false">IF($E161="","",IF($B161="Tema",INDEX(Config!$C$6:$C$11,$D161),"Evento avulso"))</f>
        <v/>
      </c>
      <c r="H161" s="114" t="str">
        <f aca="false">IF($E161="","",IF($B161="Tema",INDEX(Config!$D$6:$D$11,$D161),IFERROR(INDEX(Config!$E$15:$E$19,MATCH($I161,Config!$C$15:$C$19,0)),"•")))</f>
        <v/>
      </c>
      <c r="I161" s="114" t="str">
        <f aca="false">IF($E161="","",IF($B161="Tema",INDEX(Config!$E$6:$E$11,$D161),IF(INDEX(Avulsos!$D$6:$D$205,$C161)&amp;""="","Outro",INDEX(Avulsos!$D$6:$D$205,$C161))))</f>
        <v/>
      </c>
      <c r="J161" s="114" t="str">
        <f aca="false">IF($E161="","",IF($B161="Tema",INDEX(Temas!$C$6:$C$305,$C161)&amp;"",INDEX(Avulsos!$E$6:$E$205,$C161)&amp;""))</f>
        <v/>
      </c>
      <c r="K161" s="114" t="str">
        <f aca="false">IF($E161="","",IF(IF($B161="Tema",INDEX(Temas!$E$6:$P$305,$C161,2*$D161),INDEX(Avulsos!$F$6:$F$205,$C161))&amp;""="","","✓"))</f>
        <v/>
      </c>
      <c r="L161" s="114" t="str">
        <f aca="true">IF($E161="","",IF($K161="✓","Concluído",IF($E161&lt;TODAY(),"Atrasado",IF($E161=TODAY(),"Hoje","Pendente"))))</f>
        <v/>
      </c>
      <c r="M161" s="114" t="str">
        <f aca="false">IF($E161="","",IF($K161="✓","✓ ","")&amp;IF(Config!$E$22="Sim",$H161&amp;" · ","")&amp;$F161)</f>
        <v/>
      </c>
      <c r="N161" s="114" t="str">
        <f aca="false">IF($E161="","",IFERROR(INDEX(Config!$D$15:$D$19,MATCH($I161,Config!$C$15:$C$19,0)),"OUT")&amp;IF($K161="✓","x",""))</f>
        <v/>
      </c>
      <c r="O161" s="114" t="str">
        <f aca="false">IF($E161="","",COUNTIF($E$5:$E161,$E161))</f>
        <v/>
      </c>
      <c r="P161" s="114" t="str">
        <f aca="false">IF($E161="","",$E161*100+$O161)</f>
        <v/>
      </c>
      <c r="Q161" s="114" t="str">
        <f aca="false">IF($L161="Atrasado",$E161*10000+$A161,"")</f>
        <v/>
      </c>
    </row>
    <row r="162" customFormat="false" ht="15" hidden="false" customHeight="false" outlineLevel="0" collapsed="false">
      <c r="A162" s="114" t="n">
        <f aca="false">ROW()-4</f>
        <v>158</v>
      </c>
      <c r="B162" s="114" t="str">
        <f aca="false">IF(A162&lt;=Config!$E$27*Config!$E$28,"Tema","Avulso")</f>
        <v>Tema</v>
      </c>
      <c r="C162" s="114" t="n">
        <f aca="false">IF(B162="Tema",INT((A162-1)/Config!$E$28)+1,A162-Config!$E$27*Config!$E$28)</f>
        <v>27</v>
      </c>
      <c r="D162" s="114" t="n">
        <f aca="false">IF(B162="Tema",MOD(A162-1,Config!$E$28)+1,"")</f>
        <v>2</v>
      </c>
      <c r="E162" s="115" t="str">
        <f aca="false">IF($B162="Tema",IF(ISNUMBER(INDEX(Temas!$E$6:$P$305,$C162,2*$D162-1)),INDEX(Temas!$E$6:$P$305,$C162,2*$D162-1),""),IF(ISNUMBER(INDEX(Avulsos!$B$6:$B$205,$C162)),INDEX(Avulsos!$B$6:$B$205,$C162),""))</f>
        <v/>
      </c>
      <c r="F162" s="114" t="str">
        <f aca="false">IF($E162="","",IF($B162="Tema",INDEX(Temas!$B$6:$B$305,$C162)&amp;"",INDEX(Avulsos!$C$6:$C$205,$C162)&amp;""))</f>
        <v/>
      </c>
      <c r="G162" s="114" t="str">
        <f aca="false">IF($E162="","",IF($B162="Tema",INDEX(Config!$C$6:$C$11,$D162),"Evento avulso"))</f>
        <v/>
      </c>
      <c r="H162" s="114" t="str">
        <f aca="false">IF($E162="","",IF($B162="Tema",INDEX(Config!$D$6:$D$11,$D162),IFERROR(INDEX(Config!$E$15:$E$19,MATCH($I162,Config!$C$15:$C$19,0)),"•")))</f>
        <v/>
      </c>
      <c r="I162" s="114" t="str">
        <f aca="false">IF($E162="","",IF($B162="Tema",INDEX(Config!$E$6:$E$11,$D162),IF(INDEX(Avulsos!$D$6:$D$205,$C162)&amp;""="","Outro",INDEX(Avulsos!$D$6:$D$205,$C162))))</f>
        <v/>
      </c>
      <c r="J162" s="114" t="str">
        <f aca="false">IF($E162="","",IF($B162="Tema",INDEX(Temas!$C$6:$C$305,$C162)&amp;"",INDEX(Avulsos!$E$6:$E$205,$C162)&amp;""))</f>
        <v/>
      </c>
      <c r="K162" s="114" t="str">
        <f aca="false">IF($E162="","",IF(IF($B162="Tema",INDEX(Temas!$E$6:$P$305,$C162,2*$D162),INDEX(Avulsos!$F$6:$F$205,$C162))&amp;""="","","✓"))</f>
        <v/>
      </c>
      <c r="L162" s="114" t="str">
        <f aca="true">IF($E162="","",IF($K162="✓","Concluído",IF($E162&lt;TODAY(),"Atrasado",IF($E162=TODAY(),"Hoje","Pendente"))))</f>
        <v/>
      </c>
      <c r="M162" s="114" t="str">
        <f aca="false">IF($E162="","",IF($K162="✓","✓ ","")&amp;IF(Config!$E$22="Sim",$H162&amp;" · ","")&amp;$F162)</f>
        <v/>
      </c>
      <c r="N162" s="114" t="str">
        <f aca="false">IF($E162="","",IFERROR(INDEX(Config!$D$15:$D$19,MATCH($I162,Config!$C$15:$C$19,0)),"OUT")&amp;IF($K162="✓","x",""))</f>
        <v/>
      </c>
      <c r="O162" s="114" t="str">
        <f aca="false">IF($E162="","",COUNTIF($E$5:$E162,$E162))</f>
        <v/>
      </c>
      <c r="P162" s="114" t="str">
        <f aca="false">IF($E162="","",$E162*100+$O162)</f>
        <v/>
      </c>
      <c r="Q162" s="114" t="str">
        <f aca="false">IF($L162="Atrasado",$E162*10000+$A162,"")</f>
        <v/>
      </c>
    </row>
    <row r="163" customFormat="false" ht="15" hidden="false" customHeight="false" outlineLevel="0" collapsed="false">
      <c r="A163" s="114" t="n">
        <f aca="false">ROW()-4</f>
        <v>159</v>
      </c>
      <c r="B163" s="114" t="str">
        <f aca="false">IF(A163&lt;=Config!$E$27*Config!$E$28,"Tema","Avulso")</f>
        <v>Tema</v>
      </c>
      <c r="C163" s="114" t="n">
        <f aca="false">IF(B163="Tema",INT((A163-1)/Config!$E$28)+1,A163-Config!$E$27*Config!$E$28)</f>
        <v>27</v>
      </c>
      <c r="D163" s="114" t="n">
        <f aca="false">IF(B163="Tema",MOD(A163-1,Config!$E$28)+1,"")</f>
        <v>3</v>
      </c>
      <c r="E163" s="115" t="str">
        <f aca="false">IF($B163="Tema",IF(ISNUMBER(INDEX(Temas!$E$6:$P$305,$C163,2*$D163-1)),INDEX(Temas!$E$6:$P$305,$C163,2*$D163-1),""),IF(ISNUMBER(INDEX(Avulsos!$B$6:$B$205,$C163)),INDEX(Avulsos!$B$6:$B$205,$C163),""))</f>
        <v/>
      </c>
      <c r="F163" s="114" t="str">
        <f aca="false">IF($E163="","",IF($B163="Tema",INDEX(Temas!$B$6:$B$305,$C163)&amp;"",INDEX(Avulsos!$C$6:$C$205,$C163)&amp;""))</f>
        <v/>
      </c>
      <c r="G163" s="114" t="str">
        <f aca="false">IF($E163="","",IF($B163="Tema",INDEX(Config!$C$6:$C$11,$D163),"Evento avulso"))</f>
        <v/>
      </c>
      <c r="H163" s="114" t="str">
        <f aca="false">IF($E163="","",IF($B163="Tema",INDEX(Config!$D$6:$D$11,$D163),IFERROR(INDEX(Config!$E$15:$E$19,MATCH($I163,Config!$C$15:$C$19,0)),"•")))</f>
        <v/>
      </c>
      <c r="I163" s="114" t="str">
        <f aca="false">IF($E163="","",IF($B163="Tema",INDEX(Config!$E$6:$E$11,$D163),IF(INDEX(Avulsos!$D$6:$D$205,$C163)&amp;""="","Outro",INDEX(Avulsos!$D$6:$D$205,$C163))))</f>
        <v/>
      </c>
      <c r="J163" s="114" t="str">
        <f aca="false">IF($E163="","",IF($B163="Tema",INDEX(Temas!$C$6:$C$305,$C163)&amp;"",INDEX(Avulsos!$E$6:$E$205,$C163)&amp;""))</f>
        <v/>
      </c>
      <c r="K163" s="114" t="str">
        <f aca="false">IF($E163="","",IF(IF($B163="Tema",INDEX(Temas!$E$6:$P$305,$C163,2*$D163),INDEX(Avulsos!$F$6:$F$205,$C163))&amp;""="","","✓"))</f>
        <v/>
      </c>
      <c r="L163" s="114" t="str">
        <f aca="true">IF($E163="","",IF($K163="✓","Concluído",IF($E163&lt;TODAY(),"Atrasado",IF($E163=TODAY(),"Hoje","Pendente"))))</f>
        <v/>
      </c>
      <c r="M163" s="114" t="str">
        <f aca="false">IF($E163="","",IF($K163="✓","✓ ","")&amp;IF(Config!$E$22="Sim",$H163&amp;" · ","")&amp;$F163)</f>
        <v/>
      </c>
      <c r="N163" s="114" t="str">
        <f aca="false">IF($E163="","",IFERROR(INDEX(Config!$D$15:$D$19,MATCH($I163,Config!$C$15:$C$19,0)),"OUT")&amp;IF($K163="✓","x",""))</f>
        <v/>
      </c>
      <c r="O163" s="114" t="str">
        <f aca="false">IF($E163="","",COUNTIF($E$5:$E163,$E163))</f>
        <v/>
      </c>
      <c r="P163" s="114" t="str">
        <f aca="false">IF($E163="","",$E163*100+$O163)</f>
        <v/>
      </c>
      <c r="Q163" s="114" t="str">
        <f aca="false">IF($L163="Atrasado",$E163*10000+$A163,"")</f>
        <v/>
      </c>
    </row>
    <row r="164" customFormat="false" ht="15" hidden="false" customHeight="false" outlineLevel="0" collapsed="false">
      <c r="A164" s="114" t="n">
        <f aca="false">ROW()-4</f>
        <v>160</v>
      </c>
      <c r="B164" s="114" t="str">
        <f aca="false">IF(A164&lt;=Config!$E$27*Config!$E$28,"Tema","Avulso")</f>
        <v>Tema</v>
      </c>
      <c r="C164" s="114" t="n">
        <f aca="false">IF(B164="Tema",INT((A164-1)/Config!$E$28)+1,A164-Config!$E$27*Config!$E$28)</f>
        <v>27</v>
      </c>
      <c r="D164" s="114" t="n">
        <f aca="false">IF(B164="Tema",MOD(A164-1,Config!$E$28)+1,"")</f>
        <v>4</v>
      </c>
      <c r="E164" s="115" t="str">
        <f aca="false">IF($B164="Tema",IF(ISNUMBER(INDEX(Temas!$E$6:$P$305,$C164,2*$D164-1)),INDEX(Temas!$E$6:$P$305,$C164,2*$D164-1),""),IF(ISNUMBER(INDEX(Avulsos!$B$6:$B$205,$C164)),INDEX(Avulsos!$B$6:$B$205,$C164),""))</f>
        <v/>
      </c>
      <c r="F164" s="114" t="str">
        <f aca="false">IF($E164="","",IF($B164="Tema",INDEX(Temas!$B$6:$B$305,$C164)&amp;"",INDEX(Avulsos!$C$6:$C$205,$C164)&amp;""))</f>
        <v/>
      </c>
      <c r="G164" s="114" t="str">
        <f aca="false">IF($E164="","",IF($B164="Tema",INDEX(Config!$C$6:$C$11,$D164),"Evento avulso"))</f>
        <v/>
      </c>
      <c r="H164" s="114" t="str">
        <f aca="false">IF($E164="","",IF($B164="Tema",INDEX(Config!$D$6:$D$11,$D164),IFERROR(INDEX(Config!$E$15:$E$19,MATCH($I164,Config!$C$15:$C$19,0)),"•")))</f>
        <v/>
      </c>
      <c r="I164" s="114" t="str">
        <f aca="false">IF($E164="","",IF($B164="Tema",INDEX(Config!$E$6:$E$11,$D164),IF(INDEX(Avulsos!$D$6:$D$205,$C164)&amp;""="","Outro",INDEX(Avulsos!$D$6:$D$205,$C164))))</f>
        <v/>
      </c>
      <c r="J164" s="114" t="str">
        <f aca="false">IF($E164="","",IF($B164="Tema",INDEX(Temas!$C$6:$C$305,$C164)&amp;"",INDEX(Avulsos!$E$6:$E$205,$C164)&amp;""))</f>
        <v/>
      </c>
      <c r="K164" s="114" t="str">
        <f aca="false">IF($E164="","",IF(IF($B164="Tema",INDEX(Temas!$E$6:$P$305,$C164,2*$D164),INDEX(Avulsos!$F$6:$F$205,$C164))&amp;""="","","✓"))</f>
        <v/>
      </c>
      <c r="L164" s="114" t="str">
        <f aca="true">IF($E164="","",IF($K164="✓","Concluído",IF($E164&lt;TODAY(),"Atrasado",IF($E164=TODAY(),"Hoje","Pendente"))))</f>
        <v/>
      </c>
      <c r="M164" s="114" t="str">
        <f aca="false">IF($E164="","",IF($K164="✓","✓ ","")&amp;IF(Config!$E$22="Sim",$H164&amp;" · ","")&amp;$F164)</f>
        <v/>
      </c>
      <c r="N164" s="114" t="str">
        <f aca="false">IF($E164="","",IFERROR(INDEX(Config!$D$15:$D$19,MATCH($I164,Config!$C$15:$C$19,0)),"OUT")&amp;IF($K164="✓","x",""))</f>
        <v/>
      </c>
      <c r="O164" s="114" t="str">
        <f aca="false">IF($E164="","",COUNTIF($E$5:$E164,$E164))</f>
        <v/>
      </c>
      <c r="P164" s="114" t="str">
        <f aca="false">IF($E164="","",$E164*100+$O164)</f>
        <v/>
      </c>
      <c r="Q164" s="114" t="str">
        <f aca="false">IF($L164="Atrasado",$E164*10000+$A164,"")</f>
        <v/>
      </c>
    </row>
    <row r="165" customFormat="false" ht="15" hidden="false" customHeight="false" outlineLevel="0" collapsed="false">
      <c r="A165" s="114" t="n">
        <f aca="false">ROW()-4</f>
        <v>161</v>
      </c>
      <c r="B165" s="114" t="str">
        <f aca="false">IF(A165&lt;=Config!$E$27*Config!$E$28,"Tema","Avulso")</f>
        <v>Tema</v>
      </c>
      <c r="C165" s="114" t="n">
        <f aca="false">IF(B165="Tema",INT((A165-1)/Config!$E$28)+1,A165-Config!$E$27*Config!$E$28)</f>
        <v>27</v>
      </c>
      <c r="D165" s="114" t="n">
        <f aca="false">IF(B165="Tema",MOD(A165-1,Config!$E$28)+1,"")</f>
        <v>5</v>
      </c>
      <c r="E165" s="115" t="str">
        <f aca="false">IF($B165="Tema",IF(ISNUMBER(INDEX(Temas!$E$6:$P$305,$C165,2*$D165-1)),INDEX(Temas!$E$6:$P$305,$C165,2*$D165-1),""),IF(ISNUMBER(INDEX(Avulsos!$B$6:$B$205,$C165)),INDEX(Avulsos!$B$6:$B$205,$C165),""))</f>
        <v/>
      </c>
      <c r="F165" s="114" t="str">
        <f aca="false">IF($E165="","",IF($B165="Tema",INDEX(Temas!$B$6:$B$305,$C165)&amp;"",INDEX(Avulsos!$C$6:$C$205,$C165)&amp;""))</f>
        <v/>
      </c>
      <c r="G165" s="114" t="str">
        <f aca="false">IF($E165="","",IF($B165="Tema",INDEX(Config!$C$6:$C$11,$D165),"Evento avulso"))</f>
        <v/>
      </c>
      <c r="H165" s="114" t="str">
        <f aca="false">IF($E165="","",IF($B165="Tema",INDEX(Config!$D$6:$D$11,$D165),IFERROR(INDEX(Config!$E$15:$E$19,MATCH($I165,Config!$C$15:$C$19,0)),"•")))</f>
        <v/>
      </c>
      <c r="I165" s="114" t="str">
        <f aca="false">IF($E165="","",IF($B165="Tema",INDEX(Config!$E$6:$E$11,$D165),IF(INDEX(Avulsos!$D$6:$D$205,$C165)&amp;""="","Outro",INDEX(Avulsos!$D$6:$D$205,$C165))))</f>
        <v/>
      </c>
      <c r="J165" s="114" t="str">
        <f aca="false">IF($E165="","",IF($B165="Tema",INDEX(Temas!$C$6:$C$305,$C165)&amp;"",INDEX(Avulsos!$E$6:$E$205,$C165)&amp;""))</f>
        <v/>
      </c>
      <c r="K165" s="114" t="str">
        <f aca="false">IF($E165="","",IF(IF($B165="Tema",INDEX(Temas!$E$6:$P$305,$C165,2*$D165),INDEX(Avulsos!$F$6:$F$205,$C165))&amp;""="","","✓"))</f>
        <v/>
      </c>
      <c r="L165" s="114" t="str">
        <f aca="true">IF($E165="","",IF($K165="✓","Concluído",IF($E165&lt;TODAY(),"Atrasado",IF($E165=TODAY(),"Hoje","Pendente"))))</f>
        <v/>
      </c>
      <c r="M165" s="114" t="str">
        <f aca="false">IF($E165="","",IF($K165="✓","✓ ","")&amp;IF(Config!$E$22="Sim",$H165&amp;" · ","")&amp;$F165)</f>
        <v/>
      </c>
      <c r="N165" s="114" t="str">
        <f aca="false">IF($E165="","",IFERROR(INDEX(Config!$D$15:$D$19,MATCH($I165,Config!$C$15:$C$19,0)),"OUT")&amp;IF($K165="✓","x",""))</f>
        <v/>
      </c>
      <c r="O165" s="114" t="str">
        <f aca="false">IF($E165="","",COUNTIF($E$5:$E165,$E165))</f>
        <v/>
      </c>
      <c r="P165" s="114" t="str">
        <f aca="false">IF($E165="","",$E165*100+$O165)</f>
        <v/>
      </c>
      <c r="Q165" s="114" t="str">
        <f aca="false">IF($L165="Atrasado",$E165*10000+$A165,"")</f>
        <v/>
      </c>
    </row>
    <row r="166" customFormat="false" ht="15" hidden="false" customHeight="false" outlineLevel="0" collapsed="false">
      <c r="A166" s="114" t="n">
        <f aca="false">ROW()-4</f>
        <v>162</v>
      </c>
      <c r="B166" s="114" t="str">
        <f aca="false">IF(A166&lt;=Config!$E$27*Config!$E$28,"Tema","Avulso")</f>
        <v>Tema</v>
      </c>
      <c r="C166" s="114" t="n">
        <f aca="false">IF(B166="Tema",INT((A166-1)/Config!$E$28)+1,A166-Config!$E$27*Config!$E$28)</f>
        <v>27</v>
      </c>
      <c r="D166" s="114" t="n">
        <f aca="false">IF(B166="Tema",MOD(A166-1,Config!$E$28)+1,"")</f>
        <v>6</v>
      </c>
      <c r="E166" s="115" t="str">
        <f aca="false">IF($B166="Tema",IF(ISNUMBER(INDEX(Temas!$E$6:$P$305,$C166,2*$D166-1)),INDEX(Temas!$E$6:$P$305,$C166,2*$D166-1),""),IF(ISNUMBER(INDEX(Avulsos!$B$6:$B$205,$C166)),INDEX(Avulsos!$B$6:$B$205,$C166),""))</f>
        <v/>
      </c>
      <c r="F166" s="114" t="str">
        <f aca="false">IF($E166="","",IF($B166="Tema",INDEX(Temas!$B$6:$B$305,$C166)&amp;"",INDEX(Avulsos!$C$6:$C$205,$C166)&amp;""))</f>
        <v/>
      </c>
      <c r="G166" s="114" t="str">
        <f aca="false">IF($E166="","",IF($B166="Tema",INDEX(Config!$C$6:$C$11,$D166),"Evento avulso"))</f>
        <v/>
      </c>
      <c r="H166" s="114" t="str">
        <f aca="false">IF($E166="","",IF($B166="Tema",INDEX(Config!$D$6:$D$11,$D166),IFERROR(INDEX(Config!$E$15:$E$19,MATCH($I166,Config!$C$15:$C$19,0)),"•")))</f>
        <v/>
      </c>
      <c r="I166" s="114" t="str">
        <f aca="false">IF($E166="","",IF($B166="Tema",INDEX(Config!$E$6:$E$11,$D166),IF(INDEX(Avulsos!$D$6:$D$205,$C166)&amp;""="","Outro",INDEX(Avulsos!$D$6:$D$205,$C166))))</f>
        <v/>
      </c>
      <c r="J166" s="114" t="str">
        <f aca="false">IF($E166="","",IF($B166="Tema",INDEX(Temas!$C$6:$C$305,$C166)&amp;"",INDEX(Avulsos!$E$6:$E$205,$C166)&amp;""))</f>
        <v/>
      </c>
      <c r="K166" s="114" t="str">
        <f aca="false">IF($E166="","",IF(IF($B166="Tema",INDEX(Temas!$E$6:$P$305,$C166,2*$D166),INDEX(Avulsos!$F$6:$F$205,$C166))&amp;""="","","✓"))</f>
        <v/>
      </c>
      <c r="L166" s="114" t="str">
        <f aca="true">IF($E166="","",IF($K166="✓","Concluído",IF($E166&lt;TODAY(),"Atrasado",IF($E166=TODAY(),"Hoje","Pendente"))))</f>
        <v/>
      </c>
      <c r="M166" s="114" t="str">
        <f aca="false">IF($E166="","",IF($K166="✓","✓ ","")&amp;IF(Config!$E$22="Sim",$H166&amp;" · ","")&amp;$F166)</f>
        <v/>
      </c>
      <c r="N166" s="114" t="str">
        <f aca="false">IF($E166="","",IFERROR(INDEX(Config!$D$15:$D$19,MATCH($I166,Config!$C$15:$C$19,0)),"OUT")&amp;IF($K166="✓","x",""))</f>
        <v/>
      </c>
      <c r="O166" s="114" t="str">
        <f aca="false">IF($E166="","",COUNTIF($E$5:$E166,$E166))</f>
        <v/>
      </c>
      <c r="P166" s="114" t="str">
        <f aca="false">IF($E166="","",$E166*100+$O166)</f>
        <v/>
      </c>
      <c r="Q166" s="114" t="str">
        <f aca="false">IF($L166="Atrasado",$E166*10000+$A166,"")</f>
        <v/>
      </c>
    </row>
    <row r="167" customFormat="false" ht="15" hidden="false" customHeight="false" outlineLevel="0" collapsed="false">
      <c r="A167" s="114" t="n">
        <f aca="false">ROW()-4</f>
        <v>163</v>
      </c>
      <c r="B167" s="114" t="str">
        <f aca="false">IF(A167&lt;=Config!$E$27*Config!$E$28,"Tema","Avulso")</f>
        <v>Tema</v>
      </c>
      <c r="C167" s="114" t="n">
        <f aca="false">IF(B167="Tema",INT((A167-1)/Config!$E$28)+1,A167-Config!$E$27*Config!$E$28)</f>
        <v>28</v>
      </c>
      <c r="D167" s="114" t="n">
        <f aca="false">IF(B167="Tema",MOD(A167-1,Config!$E$28)+1,"")</f>
        <v>1</v>
      </c>
      <c r="E167" s="115" t="str">
        <f aca="false">IF($B167="Tema",IF(ISNUMBER(INDEX(Temas!$E$6:$P$305,$C167,2*$D167-1)),INDEX(Temas!$E$6:$P$305,$C167,2*$D167-1),""),IF(ISNUMBER(INDEX(Avulsos!$B$6:$B$205,$C167)),INDEX(Avulsos!$B$6:$B$205,$C167),""))</f>
        <v/>
      </c>
      <c r="F167" s="114" t="str">
        <f aca="false">IF($E167="","",IF($B167="Tema",INDEX(Temas!$B$6:$B$305,$C167)&amp;"",INDEX(Avulsos!$C$6:$C$205,$C167)&amp;""))</f>
        <v/>
      </c>
      <c r="G167" s="114" t="str">
        <f aca="false">IF($E167="","",IF($B167="Tema",INDEX(Config!$C$6:$C$11,$D167),"Evento avulso"))</f>
        <v/>
      </c>
      <c r="H167" s="114" t="str">
        <f aca="false">IF($E167="","",IF($B167="Tema",INDEX(Config!$D$6:$D$11,$D167),IFERROR(INDEX(Config!$E$15:$E$19,MATCH($I167,Config!$C$15:$C$19,0)),"•")))</f>
        <v/>
      </c>
      <c r="I167" s="114" t="str">
        <f aca="false">IF($E167="","",IF($B167="Tema",INDEX(Config!$E$6:$E$11,$D167),IF(INDEX(Avulsos!$D$6:$D$205,$C167)&amp;""="","Outro",INDEX(Avulsos!$D$6:$D$205,$C167))))</f>
        <v/>
      </c>
      <c r="J167" s="114" t="str">
        <f aca="false">IF($E167="","",IF($B167="Tema",INDEX(Temas!$C$6:$C$305,$C167)&amp;"",INDEX(Avulsos!$E$6:$E$205,$C167)&amp;""))</f>
        <v/>
      </c>
      <c r="K167" s="114" t="str">
        <f aca="false">IF($E167="","",IF(IF($B167="Tema",INDEX(Temas!$E$6:$P$305,$C167,2*$D167),INDEX(Avulsos!$F$6:$F$205,$C167))&amp;""="","","✓"))</f>
        <v/>
      </c>
      <c r="L167" s="114" t="str">
        <f aca="true">IF($E167="","",IF($K167="✓","Concluído",IF($E167&lt;TODAY(),"Atrasado",IF($E167=TODAY(),"Hoje","Pendente"))))</f>
        <v/>
      </c>
      <c r="M167" s="114" t="str">
        <f aca="false">IF($E167="","",IF($K167="✓","✓ ","")&amp;IF(Config!$E$22="Sim",$H167&amp;" · ","")&amp;$F167)</f>
        <v/>
      </c>
      <c r="N167" s="114" t="str">
        <f aca="false">IF($E167="","",IFERROR(INDEX(Config!$D$15:$D$19,MATCH($I167,Config!$C$15:$C$19,0)),"OUT")&amp;IF($K167="✓","x",""))</f>
        <v/>
      </c>
      <c r="O167" s="114" t="str">
        <f aca="false">IF($E167="","",COUNTIF($E$5:$E167,$E167))</f>
        <v/>
      </c>
      <c r="P167" s="114" t="str">
        <f aca="false">IF($E167="","",$E167*100+$O167)</f>
        <v/>
      </c>
      <c r="Q167" s="114" t="str">
        <f aca="false">IF($L167="Atrasado",$E167*10000+$A167,"")</f>
        <v/>
      </c>
    </row>
    <row r="168" customFormat="false" ht="15" hidden="false" customHeight="false" outlineLevel="0" collapsed="false">
      <c r="A168" s="114" t="n">
        <f aca="false">ROW()-4</f>
        <v>164</v>
      </c>
      <c r="B168" s="114" t="str">
        <f aca="false">IF(A168&lt;=Config!$E$27*Config!$E$28,"Tema","Avulso")</f>
        <v>Tema</v>
      </c>
      <c r="C168" s="114" t="n">
        <f aca="false">IF(B168="Tema",INT((A168-1)/Config!$E$28)+1,A168-Config!$E$27*Config!$E$28)</f>
        <v>28</v>
      </c>
      <c r="D168" s="114" t="n">
        <f aca="false">IF(B168="Tema",MOD(A168-1,Config!$E$28)+1,"")</f>
        <v>2</v>
      </c>
      <c r="E168" s="115" t="str">
        <f aca="false">IF($B168="Tema",IF(ISNUMBER(INDEX(Temas!$E$6:$P$305,$C168,2*$D168-1)),INDEX(Temas!$E$6:$P$305,$C168,2*$D168-1),""),IF(ISNUMBER(INDEX(Avulsos!$B$6:$B$205,$C168)),INDEX(Avulsos!$B$6:$B$205,$C168),""))</f>
        <v/>
      </c>
      <c r="F168" s="114" t="str">
        <f aca="false">IF($E168="","",IF($B168="Tema",INDEX(Temas!$B$6:$B$305,$C168)&amp;"",INDEX(Avulsos!$C$6:$C$205,$C168)&amp;""))</f>
        <v/>
      </c>
      <c r="G168" s="114" t="str">
        <f aca="false">IF($E168="","",IF($B168="Tema",INDEX(Config!$C$6:$C$11,$D168),"Evento avulso"))</f>
        <v/>
      </c>
      <c r="H168" s="114" t="str">
        <f aca="false">IF($E168="","",IF($B168="Tema",INDEX(Config!$D$6:$D$11,$D168),IFERROR(INDEX(Config!$E$15:$E$19,MATCH($I168,Config!$C$15:$C$19,0)),"•")))</f>
        <v/>
      </c>
      <c r="I168" s="114" t="str">
        <f aca="false">IF($E168="","",IF($B168="Tema",INDEX(Config!$E$6:$E$11,$D168),IF(INDEX(Avulsos!$D$6:$D$205,$C168)&amp;""="","Outro",INDEX(Avulsos!$D$6:$D$205,$C168))))</f>
        <v/>
      </c>
      <c r="J168" s="114" t="str">
        <f aca="false">IF($E168="","",IF($B168="Tema",INDEX(Temas!$C$6:$C$305,$C168)&amp;"",INDEX(Avulsos!$E$6:$E$205,$C168)&amp;""))</f>
        <v/>
      </c>
      <c r="K168" s="114" t="str">
        <f aca="false">IF($E168="","",IF(IF($B168="Tema",INDEX(Temas!$E$6:$P$305,$C168,2*$D168),INDEX(Avulsos!$F$6:$F$205,$C168))&amp;""="","","✓"))</f>
        <v/>
      </c>
      <c r="L168" s="114" t="str">
        <f aca="true">IF($E168="","",IF($K168="✓","Concluído",IF($E168&lt;TODAY(),"Atrasado",IF($E168=TODAY(),"Hoje","Pendente"))))</f>
        <v/>
      </c>
      <c r="M168" s="114" t="str">
        <f aca="false">IF($E168="","",IF($K168="✓","✓ ","")&amp;IF(Config!$E$22="Sim",$H168&amp;" · ","")&amp;$F168)</f>
        <v/>
      </c>
      <c r="N168" s="114" t="str">
        <f aca="false">IF($E168="","",IFERROR(INDEX(Config!$D$15:$D$19,MATCH($I168,Config!$C$15:$C$19,0)),"OUT")&amp;IF($K168="✓","x",""))</f>
        <v/>
      </c>
      <c r="O168" s="114" t="str">
        <f aca="false">IF($E168="","",COUNTIF($E$5:$E168,$E168))</f>
        <v/>
      </c>
      <c r="P168" s="114" t="str">
        <f aca="false">IF($E168="","",$E168*100+$O168)</f>
        <v/>
      </c>
      <c r="Q168" s="114" t="str">
        <f aca="false">IF($L168="Atrasado",$E168*10000+$A168,"")</f>
        <v/>
      </c>
    </row>
    <row r="169" customFormat="false" ht="15" hidden="false" customHeight="false" outlineLevel="0" collapsed="false">
      <c r="A169" s="114" t="n">
        <f aca="false">ROW()-4</f>
        <v>165</v>
      </c>
      <c r="B169" s="114" t="str">
        <f aca="false">IF(A169&lt;=Config!$E$27*Config!$E$28,"Tema","Avulso")</f>
        <v>Tema</v>
      </c>
      <c r="C169" s="114" t="n">
        <f aca="false">IF(B169="Tema",INT((A169-1)/Config!$E$28)+1,A169-Config!$E$27*Config!$E$28)</f>
        <v>28</v>
      </c>
      <c r="D169" s="114" t="n">
        <f aca="false">IF(B169="Tema",MOD(A169-1,Config!$E$28)+1,"")</f>
        <v>3</v>
      </c>
      <c r="E169" s="115" t="str">
        <f aca="false">IF($B169="Tema",IF(ISNUMBER(INDEX(Temas!$E$6:$P$305,$C169,2*$D169-1)),INDEX(Temas!$E$6:$P$305,$C169,2*$D169-1),""),IF(ISNUMBER(INDEX(Avulsos!$B$6:$B$205,$C169)),INDEX(Avulsos!$B$6:$B$205,$C169),""))</f>
        <v/>
      </c>
      <c r="F169" s="114" t="str">
        <f aca="false">IF($E169="","",IF($B169="Tema",INDEX(Temas!$B$6:$B$305,$C169)&amp;"",INDEX(Avulsos!$C$6:$C$205,$C169)&amp;""))</f>
        <v/>
      </c>
      <c r="G169" s="114" t="str">
        <f aca="false">IF($E169="","",IF($B169="Tema",INDEX(Config!$C$6:$C$11,$D169),"Evento avulso"))</f>
        <v/>
      </c>
      <c r="H169" s="114" t="str">
        <f aca="false">IF($E169="","",IF($B169="Tema",INDEX(Config!$D$6:$D$11,$D169),IFERROR(INDEX(Config!$E$15:$E$19,MATCH($I169,Config!$C$15:$C$19,0)),"•")))</f>
        <v/>
      </c>
      <c r="I169" s="114" t="str">
        <f aca="false">IF($E169="","",IF($B169="Tema",INDEX(Config!$E$6:$E$11,$D169),IF(INDEX(Avulsos!$D$6:$D$205,$C169)&amp;""="","Outro",INDEX(Avulsos!$D$6:$D$205,$C169))))</f>
        <v/>
      </c>
      <c r="J169" s="114" t="str">
        <f aca="false">IF($E169="","",IF($B169="Tema",INDEX(Temas!$C$6:$C$305,$C169)&amp;"",INDEX(Avulsos!$E$6:$E$205,$C169)&amp;""))</f>
        <v/>
      </c>
      <c r="K169" s="114" t="str">
        <f aca="false">IF($E169="","",IF(IF($B169="Tema",INDEX(Temas!$E$6:$P$305,$C169,2*$D169),INDEX(Avulsos!$F$6:$F$205,$C169))&amp;""="","","✓"))</f>
        <v/>
      </c>
      <c r="L169" s="114" t="str">
        <f aca="true">IF($E169="","",IF($K169="✓","Concluído",IF($E169&lt;TODAY(),"Atrasado",IF($E169=TODAY(),"Hoje","Pendente"))))</f>
        <v/>
      </c>
      <c r="M169" s="114" t="str">
        <f aca="false">IF($E169="","",IF($K169="✓","✓ ","")&amp;IF(Config!$E$22="Sim",$H169&amp;" · ","")&amp;$F169)</f>
        <v/>
      </c>
      <c r="N169" s="114" t="str">
        <f aca="false">IF($E169="","",IFERROR(INDEX(Config!$D$15:$D$19,MATCH($I169,Config!$C$15:$C$19,0)),"OUT")&amp;IF($K169="✓","x",""))</f>
        <v/>
      </c>
      <c r="O169" s="114" t="str">
        <f aca="false">IF($E169="","",COUNTIF($E$5:$E169,$E169))</f>
        <v/>
      </c>
      <c r="P169" s="114" t="str">
        <f aca="false">IF($E169="","",$E169*100+$O169)</f>
        <v/>
      </c>
      <c r="Q169" s="114" t="str">
        <f aca="false">IF($L169="Atrasado",$E169*10000+$A169,"")</f>
        <v/>
      </c>
    </row>
    <row r="170" customFormat="false" ht="15" hidden="false" customHeight="false" outlineLevel="0" collapsed="false">
      <c r="A170" s="114" t="n">
        <f aca="false">ROW()-4</f>
        <v>166</v>
      </c>
      <c r="B170" s="114" t="str">
        <f aca="false">IF(A170&lt;=Config!$E$27*Config!$E$28,"Tema","Avulso")</f>
        <v>Tema</v>
      </c>
      <c r="C170" s="114" t="n">
        <f aca="false">IF(B170="Tema",INT((A170-1)/Config!$E$28)+1,A170-Config!$E$27*Config!$E$28)</f>
        <v>28</v>
      </c>
      <c r="D170" s="114" t="n">
        <f aca="false">IF(B170="Tema",MOD(A170-1,Config!$E$28)+1,"")</f>
        <v>4</v>
      </c>
      <c r="E170" s="115" t="str">
        <f aca="false">IF($B170="Tema",IF(ISNUMBER(INDEX(Temas!$E$6:$P$305,$C170,2*$D170-1)),INDEX(Temas!$E$6:$P$305,$C170,2*$D170-1),""),IF(ISNUMBER(INDEX(Avulsos!$B$6:$B$205,$C170)),INDEX(Avulsos!$B$6:$B$205,$C170),""))</f>
        <v/>
      </c>
      <c r="F170" s="114" t="str">
        <f aca="false">IF($E170="","",IF($B170="Tema",INDEX(Temas!$B$6:$B$305,$C170)&amp;"",INDEX(Avulsos!$C$6:$C$205,$C170)&amp;""))</f>
        <v/>
      </c>
      <c r="G170" s="114" t="str">
        <f aca="false">IF($E170="","",IF($B170="Tema",INDEX(Config!$C$6:$C$11,$D170),"Evento avulso"))</f>
        <v/>
      </c>
      <c r="H170" s="114" t="str">
        <f aca="false">IF($E170="","",IF($B170="Tema",INDEX(Config!$D$6:$D$11,$D170),IFERROR(INDEX(Config!$E$15:$E$19,MATCH($I170,Config!$C$15:$C$19,0)),"•")))</f>
        <v/>
      </c>
      <c r="I170" s="114" t="str">
        <f aca="false">IF($E170="","",IF($B170="Tema",INDEX(Config!$E$6:$E$11,$D170),IF(INDEX(Avulsos!$D$6:$D$205,$C170)&amp;""="","Outro",INDEX(Avulsos!$D$6:$D$205,$C170))))</f>
        <v/>
      </c>
      <c r="J170" s="114" t="str">
        <f aca="false">IF($E170="","",IF($B170="Tema",INDEX(Temas!$C$6:$C$305,$C170)&amp;"",INDEX(Avulsos!$E$6:$E$205,$C170)&amp;""))</f>
        <v/>
      </c>
      <c r="K170" s="114" t="str">
        <f aca="false">IF($E170="","",IF(IF($B170="Tema",INDEX(Temas!$E$6:$P$305,$C170,2*$D170),INDEX(Avulsos!$F$6:$F$205,$C170))&amp;""="","","✓"))</f>
        <v/>
      </c>
      <c r="L170" s="114" t="str">
        <f aca="true">IF($E170="","",IF($K170="✓","Concluído",IF($E170&lt;TODAY(),"Atrasado",IF($E170=TODAY(),"Hoje","Pendente"))))</f>
        <v/>
      </c>
      <c r="M170" s="114" t="str">
        <f aca="false">IF($E170="","",IF($K170="✓","✓ ","")&amp;IF(Config!$E$22="Sim",$H170&amp;" · ","")&amp;$F170)</f>
        <v/>
      </c>
      <c r="N170" s="114" t="str">
        <f aca="false">IF($E170="","",IFERROR(INDEX(Config!$D$15:$D$19,MATCH($I170,Config!$C$15:$C$19,0)),"OUT")&amp;IF($K170="✓","x",""))</f>
        <v/>
      </c>
      <c r="O170" s="114" t="str">
        <f aca="false">IF($E170="","",COUNTIF($E$5:$E170,$E170))</f>
        <v/>
      </c>
      <c r="P170" s="114" t="str">
        <f aca="false">IF($E170="","",$E170*100+$O170)</f>
        <v/>
      </c>
      <c r="Q170" s="114" t="str">
        <f aca="false">IF($L170="Atrasado",$E170*10000+$A170,"")</f>
        <v/>
      </c>
    </row>
    <row r="171" customFormat="false" ht="15" hidden="false" customHeight="false" outlineLevel="0" collapsed="false">
      <c r="A171" s="114" t="n">
        <f aca="false">ROW()-4</f>
        <v>167</v>
      </c>
      <c r="B171" s="114" t="str">
        <f aca="false">IF(A171&lt;=Config!$E$27*Config!$E$28,"Tema","Avulso")</f>
        <v>Tema</v>
      </c>
      <c r="C171" s="114" t="n">
        <f aca="false">IF(B171="Tema",INT((A171-1)/Config!$E$28)+1,A171-Config!$E$27*Config!$E$28)</f>
        <v>28</v>
      </c>
      <c r="D171" s="114" t="n">
        <f aca="false">IF(B171="Tema",MOD(A171-1,Config!$E$28)+1,"")</f>
        <v>5</v>
      </c>
      <c r="E171" s="115" t="str">
        <f aca="false">IF($B171="Tema",IF(ISNUMBER(INDEX(Temas!$E$6:$P$305,$C171,2*$D171-1)),INDEX(Temas!$E$6:$P$305,$C171,2*$D171-1),""),IF(ISNUMBER(INDEX(Avulsos!$B$6:$B$205,$C171)),INDEX(Avulsos!$B$6:$B$205,$C171),""))</f>
        <v/>
      </c>
      <c r="F171" s="114" t="str">
        <f aca="false">IF($E171="","",IF($B171="Tema",INDEX(Temas!$B$6:$B$305,$C171)&amp;"",INDEX(Avulsos!$C$6:$C$205,$C171)&amp;""))</f>
        <v/>
      </c>
      <c r="G171" s="114" t="str">
        <f aca="false">IF($E171="","",IF($B171="Tema",INDEX(Config!$C$6:$C$11,$D171),"Evento avulso"))</f>
        <v/>
      </c>
      <c r="H171" s="114" t="str">
        <f aca="false">IF($E171="","",IF($B171="Tema",INDEX(Config!$D$6:$D$11,$D171),IFERROR(INDEX(Config!$E$15:$E$19,MATCH($I171,Config!$C$15:$C$19,0)),"•")))</f>
        <v/>
      </c>
      <c r="I171" s="114" t="str">
        <f aca="false">IF($E171="","",IF($B171="Tema",INDEX(Config!$E$6:$E$11,$D171),IF(INDEX(Avulsos!$D$6:$D$205,$C171)&amp;""="","Outro",INDEX(Avulsos!$D$6:$D$205,$C171))))</f>
        <v/>
      </c>
      <c r="J171" s="114" t="str">
        <f aca="false">IF($E171="","",IF($B171="Tema",INDEX(Temas!$C$6:$C$305,$C171)&amp;"",INDEX(Avulsos!$E$6:$E$205,$C171)&amp;""))</f>
        <v/>
      </c>
      <c r="K171" s="114" t="str">
        <f aca="false">IF($E171="","",IF(IF($B171="Tema",INDEX(Temas!$E$6:$P$305,$C171,2*$D171),INDEX(Avulsos!$F$6:$F$205,$C171))&amp;""="","","✓"))</f>
        <v/>
      </c>
      <c r="L171" s="114" t="str">
        <f aca="true">IF($E171="","",IF($K171="✓","Concluído",IF($E171&lt;TODAY(),"Atrasado",IF($E171=TODAY(),"Hoje","Pendente"))))</f>
        <v/>
      </c>
      <c r="M171" s="114" t="str">
        <f aca="false">IF($E171="","",IF($K171="✓","✓ ","")&amp;IF(Config!$E$22="Sim",$H171&amp;" · ","")&amp;$F171)</f>
        <v/>
      </c>
      <c r="N171" s="114" t="str">
        <f aca="false">IF($E171="","",IFERROR(INDEX(Config!$D$15:$D$19,MATCH($I171,Config!$C$15:$C$19,0)),"OUT")&amp;IF($K171="✓","x",""))</f>
        <v/>
      </c>
      <c r="O171" s="114" t="str">
        <f aca="false">IF($E171="","",COUNTIF($E$5:$E171,$E171))</f>
        <v/>
      </c>
      <c r="P171" s="114" t="str">
        <f aca="false">IF($E171="","",$E171*100+$O171)</f>
        <v/>
      </c>
      <c r="Q171" s="114" t="str">
        <f aca="false">IF($L171="Atrasado",$E171*10000+$A171,"")</f>
        <v/>
      </c>
    </row>
    <row r="172" customFormat="false" ht="15" hidden="false" customHeight="false" outlineLevel="0" collapsed="false">
      <c r="A172" s="114" t="n">
        <f aca="false">ROW()-4</f>
        <v>168</v>
      </c>
      <c r="B172" s="114" t="str">
        <f aca="false">IF(A172&lt;=Config!$E$27*Config!$E$28,"Tema","Avulso")</f>
        <v>Tema</v>
      </c>
      <c r="C172" s="114" t="n">
        <f aca="false">IF(B172="Tema",INT((A172-1)/Config!$E$28)+1,A172-Config!$E$27*Config!$E$28)</f>
        <v>28</v>
      </c>
      <c r="D172" s="114" t="n">
        <f aca="false">IF(B172="Tema",MOD(A172-1,Config!$E$28)+1,"")</f>
        <v>6</v>
      </c>
      <c r="E172" s="115" t="str">
        <f aca="false">IF($B172="Tema",IF(ISNUMBER(INDEX(Temas!$E$6:$P$305,$C172,2*$D172-1)),INDEX(Temas!$E$6:$P$305,$C172,2*$D172-1),""),IF(ISNUMBER(INDEX(Avulsos!$B$6:$B$205,$C172)),INDEX(Avulsos!$B$6:$B$205,$C172),""))</f>
        <v/>
      </c>
      <c r="F172" s="114" t="str">
        <f aca="false">IF($E172="","",IF($B172="Tema",INDEX(Temas!$B$6:$B$305,$C172)&amp;"",INDEX(Avulsos!$C$6:$C$205,$C172)&amp;""))</f>
        <v/>
      </c>
      <c r="G172" s="114" t="str">
        <f aca="false">IF($E172="","",IF($B172="Tema",INDEX(Config!$C$6:$C$11,$D172),"Evento avulso"))</f>
        <v/>
      </c>
      <c r="H172" s="114" t="str">
        <f aca="false">IF($E172="","",IF($B172="Tema",INDEX(Config!$D$6:$D$11,$D172),IFERROR(INDEX(Config!$E$15:$E$19,MATCH($I172,Config!$C$15:$C$19,0)),"•")))</f>
        <v/>
      </c>
      <c r="I172" s="114" t="str">
        <f aca="false">IF($E172="","",IF($B172="Tema",INDEX(Config!$E$6:$E$11,$D172),IF(INDEX(Avulsos!$D$6:$D$205,$C172)&amp;""="","Outro",INDEX(Avulsos!$D$6:$D$205,$C172))))</f>
        <v/>
      </c>
      <c r="J172" s="114" t="str">
        <f aca="false">IF($E172="","",IF($B172="Tema",INDEX(Temas!$C$6:$C$305,$C172)&amp;"",INDEX(Avulsos!$E$6:$E$205,$C172)&amp;""))</f>
        <v/>
      </c>
      <c r="K172" s="114" t="str">
        <f aca="false">IF($E172="","",IF(IF($B172="Tema",INDEX(Temas!$E$6:$P$305,$C172,2*$D172),INDEX(Avulsos!$F$6:$F$205,$C172))&amp;""="","","✓"))</f>
        <v/>
      </c>
      <c r="L172" s="114" t="str">
        <f aca="true">IF($E172="","",IF($K172="✓","Concluído",IF($E172&lt;TODAY(),"Atrasado",IF($E172=TODAY(),"Hoje","Pendente"))))</f>
        <v/>
      </c>
      <c r="M172" s="114" t="str">
        <f aca="false">IF($E172="","",IF($K172="✓","✓ ","")&amp;IF(Config!$E$22="Sim",$H172&amp;" · ","")&amp;$F172)</f>
        <v/>
      </c>
      <c r="N172" s="114" t="str">
        <f aca="false">IF($E172="","",IFERROR(INDEX(Config!$D$15:$D$19,MATCH($I172,Config!$C$15:$C$19,0)),"OUT")&amp;IF($K172="✓","x",""))</f>
        <v/>
      </c>
      <c r="O172" s="114" t="str">
        <f aca="false">IF($E172="","",COUNTIF($E$5:$E172,$E172))</f>
        <v/>
      </c>
      <c r="P172" s="114" t="str">
        <f aca="false">IF($E172="","",$E172*100+$O172)</f>
        <v/>
      </c>
      <c r="Q172" s="114" t="str">
        <f aca="false">IF($L172="Atrasado",$E172*10000+$A172,"")</f>
        <v/>
      </c>
    </row>
    <row r="173" customFormat="false" ht="15" hidden="false" customHeight="false" outlineLevel="0" collapsed="false">
      <c r="A173" s="114" t="n">
        <f aca="false">ROW()-4</f>
        <v>169</v>
      </c>
      <c r="B173" s="114" t="str">
        <f aca="false">IF(A173&lt;=Config!$E$27*Config!$E$28,"Tema","Avulso")</f>
        <v>Tema</v>
      </c>
      <c r="C173" s="114" t="n">
        <f aca="false">IF(B173="Tema",INT((A173-1)/Config!$E$28)+1,A173-Config!$E$27*Config!$E$28)</f>
        <v>29</v>
      </c>
      <c r="D173" s="114" t="n">
        <f aca="false">IF(B173="Tema",MOD(A173-1,Config!$E$28)+1,"")</f>
        <v>1</v>
      </c>
      <c r="E173" s="115" t="str">
        <f aca="false">IF($B173="Tema",IF(ISNUMBER(INDEX(Temas!$E$6:$P$305,$C173,2*$D173-1)),INDEX(Temas!$E$6:$P$305,$C173,2*$D173-1),""),IF(ISNUMBER(INDEX(Avulsos!$B$6:$B$205,$C173)),INDEX(Avulsos!$B$6:$B$205,$C173),""))</f>
        <v/>
      </c>
      <c r="F173" s="114" t="str">
        <f aca="false">IF($E173="","",IF($B173="Tema",INDEX(Temas!$B$6:$B$305,$C173)&amp;"",INDEX(Avulsos!$C$6:$C$205,$C173)&amp;""))</f>
        <v/>
      </c>
      <c r="G173" s="114" t="str">
        <f aca="false">IF($E173="","",IF($B173="Tema",INDEX(Config!$C$6:$C$11,$D173),"Evento avulso"))</f>
        <v/>
      </c>
      <c r="H173" s="114" t="str">
        <f aca="false">IF($E173="","",IF($B173="Tema",INDEX(Config!$D$6:$D$11,$D173),IFERROR(INDEX(Config!$E$15:$E$19,MATCH($I173,Config!$C$15:$C$19,0)),"•")))</f>
        <v/>
      </c>
      <c r="I173" s="114" t="str">
        <f aca="false">IF($E173="","",IF($B173="Tema",INDEX(Config!$E$6:$E$11,$D173),IF(INDEX(Avulsos!$D$6:$D$205,$C173)&amp;""="","Outro",INDEX(Avulsos!$D$6:$D$205,$C173))))</f>
        <v/>
      </c>
      <c r="J173" s="114" t="str">
        <f aca="false">IF($E173="","",IF($B173="Tema",INDEX(Temas!$C$6:$C$305,$C173)&amp;"",INDEX(Avulsos!$E$6:$E$205,$C173)&amp;""))</f>
        <v/>
      </c>
      <c r="K173" s="114" t="str">
        <f aca="false">IF($E173="","",IF(IF($B173="Tema",INDEX(Temas!$E$6:$P$305,$C173,2*$D173),INDEX(Avulsos!$F$6:$F$205,$C173))&amp;""="","","✓"))</f>
        <v/>
      </c>
      <c r="L173" s="114" t="str">
        <f aca="true">IF($E173="","",IF($K173="✓","Concluído",IF($E173&lt;TODAY(),"Atrasado",IF($E173=TODAY(),"Hoje","Pendente"))))</f>
        <v/>
      </c>
      <c r="M173" s="114" t="str">
        <f aca="false">IF($E173="","",IF($K173="✓","✓ ","")&amp;IF(Config!$E$22="Sim",$H173&amp;" · ","")&amp;$F173)</f>
        <v/>
      </c>
      <c r="N173" s="114" t="str">
        <f aca="false">IF($E173="","",IFERROR(INDEX(Config!$D$15:$D$19,MATCH($I173,Config!$C$15:$C$19,0)),"OUT")&amp;IF($K173="✓","x",""))</f>
        <v/>
      </c>
      <c r="O173" s="114" t="str">
        <f aca="false">IF($E173="","",COUNTIF($E$5:$E173,$E173))</f>
        <v/>
      </c>
      <c r="P173" s="114" t="str">
        <f aca="false">IF($E173="","",$E173*100+$O173)</f>
        <v/>
      </c>
      <c r="Q173" s="114" t="str">
        <f aca="false">IF($L173="Atrasado",$E173*10000+$A173,"")</f>
        <v/>
      </c>
    </row>
    <row r="174" customFormat="false" ht="15" hidden="false" customHeight="false" outlineLevel="0" collapsed="false">
      <c r="A174" s="114" t="n">
        <f aca="false">ROW()-4</f>
        <v>170</v>
      </c>
      <c r="B174" s="114" t="str">
        <f aca="false">IF(A174&lt;=Config!$E$27*Config!$E$28,"Tema","Avulso")</f>
        <v>Tema</v>
      </c>
      <c r="C174" s="114" t="n">
        <f aca="false">IF(B174="Tema",INT((A174-1)/Config!$E$28)+1,A174-Config!$E$27*Config!$E$28)</f>
        <v>29</v>
      </c>
      <c r="D174" s="114" t="n">
        <f aca="false">IF(B174="Tema",MOD(A174-1,Config!$E$28)+1,"")</f>
        <v>2</v>
      </c>
      <c r="E174" s="115" t="str">
        <f aca="false">IF($B174="Tema",IF(ISNUMBER(INDEX(Temas!$E$6:$P$305,$C174,2*$D174-1)),INDEX(Temas!$E$6:$P$305,$C174,2*$D174-1),""),IF(ISNUMBER(INDEX(Avulsos!$B$6:$B$205,$C174)),INDEX(Avulsos!$B$6:$B$205,$C174),""))</f>
        <v/>
      </c>
      <c r="F174" s="114" t="str">
        <f aca="false">IF($E174="","",IF($B174="Tema",INDEX(Temas!$B$6:$B$305,$C174)&amp;"",INDEX(Avulsos!$C$6:$C$205,$C174)&amp;""))</f>
        <v/>
      </c>
      <c r="G174" s="114" t="str">
        <f aca="false">IF($E174="","",IF($B174="Tema",INDEX(Config!$C$6:$C$11,$D174),"Evento avulso"))</f>
        <v/>
      </c>
      <c r="H174" s="114" t="str">
        <f aca="false">IF($E174="","",IF($B174="Tema",INDEX(Config!$D$6:$D$11,$D174),IFERROR(INDEX(Config!$E$15:$E$19,MATCH($I174,Config!$C$15:$C$19,0)),"•")))</f>
        <v/>
      </c>
      <c r="I174" s="114" t="str">
        <f aca="false">IF($E174="","",IF($B174="Tema",INDEX(Config!$E$6:$E$11,$D174),IF(INDEX(Avulsos!$D$6:$D$205,$C174)&amp;""="","Outro",INDEX(Avulsos!$D$6:$D$205,$C174))))</f>
        <v/>
      </c>
      <c r="J174" s="114" t="str">
        <f aca="false">IF($E174="","",IF($B174="Tema",INDEX(Temas!$C$6:$C$305,$C174)&amp;"",INDEX(Avulsos!$E$6:$E$205,$C174)&amp;""))</f>
        <v/>
      </c>
      <c r="K174" s="114" t="str">
        <f aca="false">IF($E174="","",IF(IF($B174="Tema",INDEX(Temas!$E$6:$P$305,$C174,2*$D174),INDEX(Avulsos!$F$6:$F$205,$C174))&amp;""="","","✓"))</f>
        <v/>
      </c>
      <c r="L174" s="114" t="str">
        <f aca="true">IF($E174="","",IF($K174="✓","Concluído",IF($E174&lt;TODAY(),"Atrasado",IF($E174=TODAY(),"Hoje","Pendente"))))</f>
        <v/>
      </c>
      <c r="M174" s="114" t="str">
        <f aca="false">IF($E174="","",IF($K174="✓","✓ ","")&amp;IF(Config!$E$22="Sim",$H174&amp;" · ","")&amp;$F174)</f>
        <v/>
      </c>
      <c r="N174" s="114" t="str">
        <f aca="false">IF($E174="","",IFERROR(INDEX(Config!$D$15:$D$19,MATCH($I174,Config!$C$15:$C$19,0)),"OUT")&amp;IF($K174="✓","x",""))</f>
        <v/>
      </c>
      <c r="O174" s="114" t="str">
        <f aca="false">IF($E174="","",COUNTIF($E$5:$E174,$E174))</f>
        <v/>
      </c>
      <c r="P174" s="114" t="str">
        <f aca="false">IF($E174="","",$E174*100+$O174)</f>
        <v/>
      </c>
      <c r="Q174" s="114" t="str">
        <f aca="false">IF($L174="Atrasado",$E174*10000+$A174,"")</f>
        <v/>
      </c>
    </row>
    <row r="175" customFormat="false" ht="15" hidden="false" customHeight="false" outlineLevel="0" collapsed="false">
      <c r="A175" s="114" t="n">
        <f aca="false">ROW()-4</f>
        <v>171</v>
      </c>
      <c r="B175" s="114" t="str">
        <f aca="false">IF(A175&lt;=Config!$E$27*Config!$E$28,"Tema","Avulso")</f>
        <v>Tema</v>
      </c>
      <c r="C175" s="114" t="n">
        <f aca="false">IF(B175="Tema",INT((A175-1)/Config!$E$28)+1,A175-Config!$E$27*Config!$E$28)</f>
        <v>29</v>
      </c>
      <c r="D175" s="114" t="n">
        <f aca="false">IF(B175="Tema",MOD(A175-1,Config!$E$28)+1,"")</f>
        <v>3</v>
      </c>
      <c r="E175" s="115" t="str">
        <f aca="false">IF($B175="Tema",IF(ISNUMBER(INDEX(Temas!$E$6:$P$305,$C175,2*$D175-1)),INDEX(Temas!$E$6:$P$305,$C175,2*$D175-1),""),IF(ISNUMBER(INDEX(Avulsos!$B$6:$B$205,$C175)),INDEX(Avulsos!$B$6:$B$205,$C175),""))</f>
        <v/>
      </c>
      <c r="F175" s="114" t="str">
        <f aca="false">IF($E175="","",IF($B175="Tema",INDEX(Temas!$B$6:$B$305,$C175)&amp;"",INDEX(Avulsos!$C$6:$C$205,$C175)&amp;""))</f>
        <v/>
      </c>
      <c r="G175" s="114" t="str">
        <f aca="false">IF($E175="","",IF($B175="Tema",INDEX(Config!$C$6:$C$11,$D175),"Evento avulso"))</f>
        <v/>
      </c>
      <c r="H175" s="114" t="str">
        <f aca="false">IF($E175="","",IF($B175="Tema",INDEX(Config!$D$6:$D$11,$D175),IFERROR(INDEX(Config!$E$15:$E$19,MATCH($I175,Config!$C$15:$C$19,0)),"•")))</f>
        <v/>
      </c>
      <c r="I175" s="114" t="str">
        <f aca="false">IF($E175="","",IF($B175="Tema",INDEX(Config!$E$6:$E$11,$D175),IF(INDEX(Avulsos!$D$6:$D$205,$C175)&amp;""="","Outro",INDEX(Avulsos!$D$6:$D$205,$C175))))</f>
        <v/>
      </c>
      <c r="J175" s="114" t="str">
        <f aca="false">IF($E175="","",IF($B175="Tema",INDEX(Temas!$C$6:$C$305,$C175)&amp;"",INDEX(Avulsos!$E$6:$E$205,$C175)&amp;""))</f>
        <v/>
      </c>
      <c r="K175" s="114" t="str">
        <f aca="false">IF($E175="","",IF(IF($B175="Tema",INDEX(Temas!$E$6:$P$305,$C175,2*$D175),INDEX(Avulsos!$F$6:$F$205,$C175))&amp;""="","","✓"))</f>
        <v/>
      </c>
      <c r="L175" s="114" t="str">
        <f aca="true">IF($E175="","",IF($K175="✓","Concluído",IF($E175&lt;TODAY(),"Atrasado",IF($E175=TODAY(),"Hoje","Pendente"))))</f>
        <v/>
      </c>
      <c r="M175" s="114" t="str">
        <f aca="false">IF($E175="","",IF($K175="✓","✓ ","")&amp;IF(Config!$E$22="Sim",$H175&amp;" · ","")&amp;$F175)</f>
        <v/>
      </c>
      <c r="N175" s="114" t="str">
        <f aca="false">IF($E175="","",IFERROR(INDEX(Config!$D$15:$D$19,MATCH($I175,Config!$C$15:$C$19,0)),"OUT")&amp;IF($K175="✓","x",""))</f>
        <v/>
      </c>
      <c r="O175" s="114" t="str">
        <f aca="false">IF($E175="","",COUNTIF($E$5:$E175,$E175))</f>
        <v/>
      </c>
      <c r="P175" s="114" t="str">
        <f aca="false">IF($E175="","",$E175*100+$O175)</f>
        <v/>
      </c>
      <c r="Q175" s="114" t="str">
        <f aca="false">IF($L175="Atrasado",$E175*10000+$A175,"")</f>
        <v/>
      </c>
    </row>
    <row r="176" customFormat="false" ht="15" hidden="false" customHeight="false" outlineLevel="0" collapsed="false">
      <c r="A176" s="114" t="n">
        <f aca="false">ROW()-4</f>
        <v>172</v>
      </c>
      <c r="B176" s="114" t="str">
        <f aca="false">IF(A176&lt;=Config!$E$27*Config!$E$28,"Tema","Avulso")</f>
        <v>Tema</v>
      </c>
      <c r="C176" s="114" t="n">
        <f aca="false">IF(B176="Tema",INT((A176-1)/Config!$E$28)+1,A176-Config!$E$27*Config!$E$28)</f>
        <v>29</v>
      </c>
      <c r="D176" s="114" t="n">
        <f aca="false">IF(B176="Tema",MOD(A176-1,Config!$E$28)+1,"")</f>
        <v>4</v>
      </c>
      <c r="E176" s="115" t="str">
        <f aca="false">IF($B176="Tema",IF(ISNUMBER(INDEX(Temas!$E$6:$P$305,$C176,2*$D176-1)),INDEX(Temas!$E$6:$P$305,$C176,2*$D176-1),""),IF(ISNUMBER(INDEX(Avulsos!$B$6:$B$205,$C176)),INDEX(Avulsos!$B$6:$B$205,$C176),""))</f>
        <v/>
      </c>
      <c r="F176" s="114" t="str">
        <f aca="false">IF($E176="","",IF($B176="Tema",INDEX(Temas!$B$6:$B$305,$C176)&amp;"",INDEX(Avulsos!$C$6:$C$205,$C176)&amp;""))</f>
        <v/>
      </c>
      <c r="G176" s="114" t="str">
        <f aca="false">IF($E176="","",IF($B176="Tema",INDEX(Config!$C$6:$C$11,$D176),"Evento avulso"))</f>
        <v/>
      </c>
      <c r="H176" s="114" t="str">
        <f aca="false">IF($E176="","",IF($B176="Tema",INDEX(Config!$D$6:$D$11,$D176),IFERROR(INDEX(Config!$E$15:$E$19,MATCH($I176,Config!$C$15:$C$19,0)),"•")))</f>
        <v/>
      </c>
      <c r="I176" s="114" t="str">
        <f aca="false">IF($E176="","",IF($B176="Tema",INDEX(Config!$E$6:$E$11,$D176),IF(INDEX(Avulsos!$D$6:$D$205,$C176)&amp;""="","Outro",INDEX(Avulsos!$D$6:$D$205,$C176))))</f>
        <v/>
      </c>
      <c r="J176" s="114" t="str">
        <f aca="false">IF($E176="","",IF($B176="Tema",INDEX(Temas!$C$6:$C$305,$C176)&amp;"",INDEX(Avulsos!$E$6:$E$205,$C176)&amp;""))</f>
        <v/>
      </c>
      <c r="K176" s="114" t="str">
        <f aca="false">IF($E176="","",IF(IF($B176="Tema",INDEX(Temas!$E$6:$P$305,$C176,2*$D176),INDEX(Avulsos!$F$6:$F$205,$C176))&amp;""="","","✓"))</f>
        <v/>
      </c>
      <c r="L176" s="114" t="str">
        <f aca="true">IF($E176="","",IF($K176="✓","Concluído",IF($E176&lt;TODAY(),"Atrasado",IF($E176=TODAY(),"Hoje","Pendente"))))</f>
        <v/>
      </c>
      <c r="M176" s="114" t="str">
        <f aca="false">IF($E176="","",IF($K176="✓","✓ ","")&amp;IF(Config!$E$22="Sim",$H176&amp;" · ","")&amp;$F176)</f>
        <v/>
      </c>
      <c r="N176" s="114" t="str">
        <f aca="false">IF($E176="","",IFERROR(INDEX(Config!$D$15:$D$19,MATCH($I176,Config!$C$15:$C$19,0)),"OUT")&amp;IF($K176="✓","x",""))</f>
        <v/>
      </c>
      <c r="O176" s="114" t="str">
        <f aca="false">IF($E176="","",COUNTIF($E$5:$E176,$E176))</f>
        <v/>
      </c>
      <c r="P176" s="114" t="str">
        <f aca="false">IF($E176="","",$E176*100+$O176)</f>
        <v/>
      </c>
      <c r="Q176" s="114" t="str">
        <f aca="false">IF($L176="Atrasado",$E176*10000+$A176,"")</f>
        <v/>
      </c>
    </row>
    <row r="177" customFormat="false" ht="15" hidden="false" customHeight="false" outlineLevel="0" collapsed="false">
      <c r="A177" s="114" t="n">
        <f aca="false">ROW()-4</f>
        <v>173</v>
      </c>
      <c r="B177" s="114" t="str">
        <f aca="false">IF(A177&lt;=Config!$E$27*Config!$E$28,"Tema","Avulso")</f>
        <v>Tema</v>
      </c>
      <c r="C177" s="114" t="n">
        <f aca="false">IF(B177="Tema",INT((A177-1)/Config!$E$28)+1,A177-Config!$E$27*Config!$E$28)</f>
        <v>29</v>
      </c>
      <c r="D177" s="114" t="n">
        <f aca="false">IF(B177="Tema",MOD(A177-1,Config!$E$28)+1,"")</f>
        <v>5</v>
      </c>
      <c r="E177" s="115" t="str">
        <f aca="false">IF($B177="Tema",IF(ISNUMBER(INDEX(Temas!$E$6:$P$305,$C177,2*$D177-1)),INDEX(Temas!$E$6:$P$305,$C177,2*$D177-1),""),IF(ISNUMBER(INDEX(Avulsos!$B$6:$B$205,$C177)),INDEX(Avulsos!$B$6:$B$205,$C177),""))</f>
        <v/>
      </c>
      <c r="F177" s="114" t="str">
        <f aca="false">IF($E177="","",IF($B177="Tema",INDEX(Temas!$B$6:$B$305,$C177)&amp;"",INDEX(Avulsos!$C$6:$C$205,$C177)&amp;""))</f>
        <v/>
      </c>
      <c r="G177" s="114" t="str">
        <f aca="false">IF($E177="","",IF($B177="Tema",INDEX(Config!$C$6:$C$11,$D177),"Evento avulso"))</f>
        <v/>
      </c>
      <c r="H177" s="114" t="str">
        <f aca="false">IF($E177="","",IF($B177="Tema",INDEX(Config!$D$6:$D$11,$D177),IFERROR(INDEX(Config!$E$15:$E$19,MATCH($I177,Config!$C$15:$C$19,0)),"•")))</f>
        <v/>
      </c>
      <c r="I177" s="114" t="str">
        <f aca="false">IF($E177="","",IF($B177="Tema",INDEX(Config!$E$6:$E$11,$D177),IF(INDEX(Avulsos!$D$6:$D$205,$C177)&amp;""="","Outro",INDEX(Avulsos!$D$6:$D$205,$C177))))</f>
        <v/>
      </c>
      <c r="J177" s="114" t="str">
        <f aca="false">IF($E177="","",IF($B177="Tema",INDEX(Temas!$C$6:$C$305,$C177)&amp;"",INDEX(Avulsos!$E$6:$E$205,$C177)&amp;""))</f>
        <v/>
      </c>
      <c r="K177" s="114" t="str">
        <f aca="false">IF($E177="","",IF(IF($B177="Tema",INDEX(Temas!$E$6:$P$305,$C177,2*$D177),INDEX(Avulsos!$F$6:$F$205,$C177))&amp;""="","","✓"))</f>
        <v/>
      </c>
      <c r="L177" s="114" t="str">
        <f aca="true">IF($E177="","",IF($K177="✓","Concluído",IF($E177&lt;TODAY(),"Atrasado",IF($E177=TODAY(),"Hoje","Pendente"))))</f>
        <v/>
      </c>
      <c r="M177" s="114" t="str">
        <f aca="false">IF($E177="","",IF($K177="✓","✓ ","")&amp;IF(Config!$E$22="Sim",$H177&amp;" · ","")&amp;$F177)</f>
        <v/>
      </c>
      <c r="N177" s="114" t="str">
        <f aca="false">IF($E177="","",IFERROR(INDEX(Config!$D$15:$D$19,MATCH($I177,Config!$C$15:$C$19,0)),"OUT")&amp;IF($K177="✓","x",""))</f>
        <v/>
      </c>
      <c r="O177" s="114" t="str">
        <f aca="false">IF($E177="","",COUNTIF($E$5:$E177,$E177))</f>
        <v/>
      </c>
      <c r="P177" s="114" t="str">
        <f aca="false">IF($E177="","",$E177*100+$O177)</f>
        <v/>
      </c>
      <c r="Q177" s="114" t="str">
        <f aca="false">IF($L177="Atrasado",$E177*10000+$A177,"")</f>
        <v/>
      </c>
    </row>
    <row r="178" customFormat="false" ht="15" hidden="false" customHeight="false" outlineLevel="0" collapsed="false">
      <c r="A178" s="114" t="n">
        <f aca="false">ROW()-4</f>
        <v>174</v>
      </c>
      <c r="B178" s="114" t="str">
        <f aca="false">IF(A178&lt;=Config!$E$27*Config!$E$28,"Tema","Avulso")</f>
        <v>Tema</v>
      </c>
      <c r="C178" s="114" t="n">
        <f aca="false">IF(B178="Tema",INT((A178-1)/Config!$E$28)+1,A178-Config!$E$27*Config!$E$28)</f>
        <v>29</v>
      </c>
      <c r="D178" s="114" t="n">
        <f aca="false">IF(B178="Tema",MOD(A178-1,Config!$E$28)+1,"")</f>
        <v>6</v>
      </c>
      <c r="E178" s="115" t="str">
        <f aca="false">IF($B178="Tema",IF(ISNUMBER(INDEX(Temas!$E$6:$P$305,$C178,2*$D178-1)),INDEX(Temas!$E$6:$P$305,$C178,2*$D178-1),""),IF(ISNUMBER(INDEX(Avulsos!$B$6:$B$205,$C178)),INDEX(Avulsos!$B$6:$B$205,$C178),""))</f>
        <v/>
      </c>
      <c r="F178" s="114" t="str">
        <f aca="false">IF($E178="","",IF($B178="Tema",INDEX(Temas!$B$6:$B$305,$C178)&amp;"",INDEX(Avulsos!$C$6:$C$205,$C178)&amp;""))</f>
        <v/>
      </c>
      <c r="G178" s="114" t="str">
        <f aca="false">IF($E178="","",IF($B178="Tema",INDEX(Config!$C$6:$C$11,$D178),"Evento avulso"))</f>
        <v/>
      </c>
      <c r="H178" s="114" t="str">
        <f aca="false">IF($E178="","",IF($B178="Tema",INDEX(Config!$D$6:$D$11,$D178),IFERROR(INDEX(Config!$E$15:$E$19,MATCH($I178,Config!$C$15:$C$19,0)),"•")))</f>
        <v/>
      </c>
      <c r="I178" s="114" t="str">
        <f aca="false">IF($E178="","",IF($B178="Tema",INDEX(Config!$E$6:$E$11,$D178),IF(INDEX(Avulsos!$D$6:$D$205,$C178)&amp;""="","Outro",INDEX(Avulsos!$D$6:$D$205,$C178))))</f>
        <v/>
      </c>
      <c r="J178" s="114" t="str">
        <f aca="false">IF($E178="","",IF($B178="Tema",INDEX(Temas!$C$6:$C$305,$C178)&amp;"",INDEX(Avulsos!$E$6:$E$205,$C178)&amp;""))</f>
        <v/>
      </c>
      <c r="K178" s="114" t="str">
        <f aca="false">IF($E178="","",IF(IF($B178="Tema",INDEX(Temas!$E$6:$P$305,$C178,2*$D178),INDEX(Avulsos!$F$6:$F$205,$C178))&amp;""="","","✓"))</f>
        <v/>
      </c>
      <c r="L178" s="114" t="str">
        <f aca="true">IF($E178="","",IF($K178="✓","Concluído",IF($E178&lt;TODAY(),"Atrasado",IF($E178=TODAY(),"Hoje","Pendente"))))</f>
        <v/>
      </c>
      <c r="M178" s="114" t="str">
        <f aca="false">IF($E178="","",IF($K178="✓","✓ ","")&amp;IF(Config!$E$22="Sim",$H178&amp;" · ","")&amp;$F178)</f>
        <v/>
      </c>
      <c r="N178" s="114" t="str">
        <f aca="false">IF($E178="","",IFERROR(INDEX(Config!$D$15:$D$19,MATCH($I178,Config!$C$15:$C$19,0)),"OUT")&amp;IF($K178="✓","x",""))</f>
        <v/>
      </c>
      <c r="O178" s="114" t="str">
        <f aca="false">IF($E178="","",COUNTIF($E$5:$E178,$E178))</f>
        <v/>
      </c>
      <c r="P178" s="114" t="str">
        <f aca="false">IF($E178="","",$E178*100+$O178)</f>
        <v/>
      </c>
      <c r="Q178" s="114" t="str">
        <f aca="false">IF($L178="Atrasado",$E178*10000+$A178,"")</f>
        <v/>
      </c>
    </row>
    <row r="179" customFormat="false" ht="15" hidden="false" customHeight="false" outlineLevel="0" collapsed="false">
      <c r="A179" s="114" t="n">
        <f aca="false">ROW()-4</f>
        <v>175</v>
      </c>
      <c r="B179" s="114" t="str">
        <f aca="false">IF(A179&lt;=Config!$E$27*Config!$E$28,"Tema","Avulso")</f>
        <v>Tema</v>
      </c>
      <c r="C179" s="114" t="n">
        <f aca="false">IF(B179="Tema",INT((A179-1)/Config!$E$28)+1,A179-Config!$E$27*Config!$E$28)</f>
        <v>30</v>
      </c>
      <c r="D179" s="114" t="n">
        <f aca="false">IF(B179="Tema",MOD(A179-1,Config!$E$28)+1,"")</f>
        <v>1</v>
      </c>
      <c r="E179" s="115" t="str">
        <f aca="false">IF($B179="Tema",IF(ISNUMBER(INDEX(Temas!$E$6:$P$305,$C179,2*$D179-1)),INDEX(Temas!$E$6:$P$305,$C179,2*$D179-1),""),IF(ISNUMBER(INDEX(Avulsos!$B$6:$B$205,$C179)),INDEX(Avulsos!$B$6:$B$205,$C179),""))</f>
        <v/>
      </c>
      <c r="F179" s="114" t="str">
        <f aca="false">IF($E179="","",IF($B179="Tema",INDEX(Temas!$B$6:$B$305,$C179)&amp;"",INDEX(Avulsos!$C$6:$C$205,$C179)&amp;""))</f>
        <v/>
      </c>
      <c r="G179" s="114" t="str">
        <f aca="false">IF($E179="","",IF($B179="Tema",INDEX(Config!$C$6:$C$11,$D179),"Evento avulso"))</f>
        <v/>
      </c>
      <c r="H179" s="114" t="str">
        <f aca="false">IF($E179="","",IF($B179="Tema",INDEX(Config!$D$6:$D$11,$D179),IFERROR(INDEX(Config!$E$15:$E$19,MATCH($I179,Config!$C$15:$C$19,0)),"•")))</f>
        <v/>
      </c>
      <c r="I179" s="114" t="str">
        <f aca="false">IF($E179="","",IF($B179="Tema",INDEX(Config!$E$6:$E$11,$D179),IF(INDEX(Avulsos!$D$6:$D$205,$C179)&amp;""="","Outro",INDEX(Avulsos!$D$6:$D$205,$C179))))</f>
        <v/>
      </c>
      <c r="J179" s="114" t="str">
        <f aca="false">IF($E179="","",IF($B179="Tema",INDEX(Temas!$C$6:$C$305,$C179)&amp;"",INDEX(Avulsos!$E$6:$E$205,$C179)&amp;""))</f>
        <v/>
      </c>
      <c r="K179" s="114" t="str">
        <f aca="false">IF($E179="","",IF(IF($B179="Tema",INDEX(Temas!$E$6:$P$305,$C179,2*$D179),INDEX(Avulsos!$F$6:$F$205,$C179))&amp;""="","","✓"))</f>
        <v/>
      </c>
      <c r="L179" s="114" t="str">
        <f aca="true">IF($E179="","",IF($K179="✓","Concluído",IF($E179&lt;TODAY(),"Atrasado",IF($E179=TODAY(),"Hoje","Pendente"))))</f>
        <v/>
      </c>
      <c r="M179" s="114" t="str">
        <f aca="false">IF($E179="","",IF($K179="✓","✓ ","")&amp;IF(Config!$E$22="Sim",$H179&amp;" · ","")&amp;$F179)</f>
        <v/>
      </c>
      <c r="N179" s="114" t="str">
        <f aca="false">IF($E179="","",IFERROR(INDEX(Config!$D$15:$D$19,MATCH($I179,Config!$C$15:$C$19,0)),"OUT")&amp;IF($K179="✓","x",""))</f>
        <v/>
      </c>
      <c r="O179" s="114" t="str">
        <f aca="false">IF($E179="","",COUNTIF($E$5:$E179,$E179))</f>
        <v/>
      </c>
      <c r="P179" s="114" t="str">
        <f aca="false">IF($E179="","",$E179*100+$O179)</f>
        <v/>
      </c>
      <c r="Q179" s="114" t="str">
        <f aca="false">IF($L179="Atrasado",$E179*10000+$A179,"")</f>
        <v/>
      </c>
    </row>
    <row r="180" customFormat="false" ht="15" hidden="false" customHeight="false" outlineLevel="0" collapsed="false">
      <c r="A180" s="114" t="n">
        <f aca="false">ROW()-4</f>
        <v>176</v>
      </c>
      <c r="B180" s="114" t="str">
        <f aca="false">IF(A180&lt;=Config!$E$27*Config!$E$28,"Tema","Avulso")</f>
        <v>Tema</v>
      </c>
      <c r="C180" s="114" t="n">
        <f aca="false">IF(B180="Tema",INT((A180-1)/Config!$E$28)+1,A180-Config!$E$27*Config!$E$28)</f>
        <v>30</v>
      </c>
      <c r="D180" s="114" t="n">
        <f aca="false">IF(B180="Tema",MOD(A180-1,Config!$E$28)+1,"")</f>
        <v>2</v>
      </c>
      <c r="E180" s="115" t="str">
        <f aca="false">IF($B180="Tema",IF(ISNUMBER(INDEX(Temas!$E$6:$P$305,$C180,2*$D180-1)),INDEX(Temas!$E$6:$P$305,$C180,2*$D180-1),""),IF(ISNUMBER(INDEX(Avulsos!$B$6:$B$205,$C180)),INDEX(Avulsos!$B$6:$B$205,$C180),""))</f>
        <v/>
      </c>
      <c r="F180" s="114" t="str">
        <f aca="false">IF($E180="","",IF($B180="Tema",INDEX(Temas!$B$6:$B$305,$C180)&amp;"",INDEX(Avulsos!$C$6:$C$205,$C180)&amp;""))</f>
        <v/>
      </c>
      <c r="G180" s="114" t="str">
        <f aca="false">IF($E180="","",IF($B180="Tema",INDEX(Config!$C$6:$C$11,$D180),"Evento avulso"))</f>
        <v/>
      </c>
      <c r="H180" s="114" t="str">
        <f aca="false">IF($E180="","",IF($B180="Tema",INDEX(Config!$D$6:$D$11,$D180),IFERROR(INDEX(Config!$E$15:$E$19,MATCH($I180,Config!$C$15:$C$19,0)),"•")))</f>
        <v/>
      </c>
      <c r="I180" s="114" t="str">
        <f aca="false">IF($E180="","",IF($B180="Tema",INDEX(Config!$E$6:$E$11,$D180),IF(INDEX(Avulsos!$D$6:$D$205,$C180)&amp;""="","Outro",INDEX(Avulsos!$D$6:$D$205,$C180))))</f>
        <v/>
      </c>
      <c r="J180" s="114" t="str">
        <f aca="false">IF($E180="","",IF($B180="Tema",INDEX(Temas!$C$6:$C$305,$C180)&amp;"",INDEX(Avulsos!$E$6:$E$205,$C180)&amp;""))</f>
        <v/>
      </c>
      <c r="K180" s="114" t="str">
        <f aca="false">IF($E180="","",IF(IF($B180="Tema",INDEX(Temas!$E$6:$P$305,$C180,2*$D180),INDEX(Avulsos!$F$6:$F$205,$C180))&amp;""="","","✓"))</f>
        <v/>
      </c>
      <c r="L180" s="114" t="str">
        <f aca="true">IF($E180="","",IF($K180="✓","Concluído",IF($E180&lt;TODAY(),"Atrasado",IF($E180=TODAY(),"Hoje","Pendente"))))</f>
        <v/>
      </c>
      <c r="M180" s="114" t="str">
        <f aca="false">IF($E180="","",IF($K180="✓","✓ ","")&amp;IF(Config!$E$22="Sim",$H180&amp;" · ","")&amp;$F180)</f>
        <v/>
      </c>
      <c r="N180" s="114" t="str">
        <f aca="false">IF($E180="","",IFERROR(INDEX(Config!$D$15:$D$19,MATCH($I180,Config!$C$15:$C$19,0)),"OUT")&amp;IF($K180="✓","x",""))</f>
        <v/>
      </c>
      <c r="O180" s="114" t="str">
        <f aca="false">IF($E180="","",COUNTIF($E$5:$E180,$E180))</f>
        <v/>
      </c>
      <c r="P180" s="114" t="str">
        <f aca="false">IF($E180="","",$E180*100+$O180)</f>
        <v/>
      </c>
      <c r="Q180" s="114" t="str">
        <f aca="false">IF($L180="Atrasado",$E180*10000+$A180,"")</f>
        <v/>
      </c>
    </row>
    <row r="181" customFormat="false" ht="15" hidden="false" customHeight="false" outlineLevel="0" collapsed="false">
      <c r="A181" s="114" t="n">
        <f aca="false">ROW()-4</f>
        <v>177</v>
      </c>
      <c r="B181" s="114" t="str">
        <f aca="false">IF(A181&lt;=Config!$E$27*Config!$E$28,"Tema","Avulso")</f>
        <v>Tema</v>
      </c>
      <c r="C181" s="114" t="n">
        <f aca="false">IF(B181="Tema",INT((A181-1)/Config!$E$28)+1,A181-Config!$E$27*Config!$E$28)</f>
        <v>30</v>
      </c>
      <c r="D181" s="114" t="n">
        <f aca="false">IF(B181="Tema",MOD(A181-1,Config!$E$28)+1,"")</f>
        <v>3</v>
      </c>
      <c r="E181" s="115" t="str">
        <f aca="false">IF($B181="Tema",IF(ISNUMBER(INDEX(Temas!$E$6:$P$305,$C181,2*$D181-1)),INDEX(Temas!$E$6:$P$305,$C181,2*$D181-1),""),IF(ISNUMBER(INDEX(Avulsos!$B$6:$B$205,$C181)),INDEX(Avulsos!$B$6:$B$205,$C181),""))</f>
        <v/>
      </c>
      <c r="F181" s="114" t="str">
        <f aca="false">IF($E181="","",IF($B181="Tema",INDEX(Temas!$B$6:$B$305,$C181)&amp;"",INDEX(Avulsos!$C$6:$C$205,$C181)&amp;""))</f>
        <v/>
      </c>
      <c r="G181" s="114" t="str">
        <f aca="false">IF($E181="","",IF($B181="Tema",INDEX(Config!$C$6:$C$11,$D181),"Evento avulso"))</f>
        <v/>
      </c>
      <c r="H181" s="114" t="str">
        <f aca="false">IF($E181="","",IF($B181="Tema",INDEX(Config!$D$6:$D$11,$D181),IFERROR(INDEX(Config!$E$15:$E$19,MATCH($I181,Config!$C$15:$C$19,0)),"•")))</f>
        <v/>
      </c>
      <c r="I181" s="114" t="str">
        <f aca="false">IF($E181="","",IF($B181="Tema",INDEX(Config!$E$6:$E$11,$D181),IF(INDEX(Avulsos!$D$6:$D$205,$C181)&amp;""="","Outro",INDEX(Avulsos!$D$6:$D$205,$C181))))</f>
        <v/>
      </c>
      <c r="J181" s="114" t="str">
        <f aca="false">IF($E181="","",IF($B181="Tema",INDEX(Temas!$C$6:$C$305,$C181)&amp;"",INDEX(Avulsos!$E$6:$E$205,$C181)&amp;""))</f>
        <v/>
      </c>
      <c r="K181" s="114" t="str">
        <f aca="false">IF($E181="","",IF(IF($B181="Tema",INDEX(Temas!$E$6:$P$305,$C181,2*$D181),INDEX(Avulsos!$F$6:$F$205,$C181))&amp;""="","","✓"))</f>
        <v/>
      </c>
      <c r="L181" s="114" t="str">
        <f aca="true">IF($E181="","",IF($K181="✓","Concluído",IF($E181&lt;TODAY(),"Atrasado",IF($E181=TODAY(),"Hoje","Pendente"))))</f>
        <v/>
      </c>
      <c r="M181" s="114" t="str">
        <f aca="false">IF($E181="","",IF($K181="✓","✓ ","")&amp;IF(Config!$E$22="Sim",$H181&amp;" · ","")&amp;$F181)</f>
        <v/>
      </c>
      <c r="N181" s="114" t="str">
        <f aca="false">IF($E181="","",IFERROR(INDEX(Config!$D$15:$D$19,MATCH($I181,Config!$C$15:$C$19,0)),"OUT")&amp;IF($K181="✓","x",""))</f>
        <v/>
      </c>
      <c r="O181" s="114" t="str">
        <f aca="false">IF($E181="","",COUNTIF($E$5:$E181,$E181))</f>
        <v/>
      </c>
      <c r="P181" s="114" t="str">
        <f aca="false">IF($E181="","",$E181*100+$O181)</f>
        <v/>
      </c>
      <c r="Q181" s="114" t="str">
        <f aca="false">IF($L181="Atrasado",$E181*10000+$A181,"")</f>
        <v/>
      </c>
    </row>
    <row r="182" customFormat="false" ht="15" hidden="false" customHeight="false" outlineLevel="0" collapsed="false">
      <c r="A182" s="114" t="n">
        <f aca="false">ROW()-4</f>
        <v>178</v>
      </c>
      <c r="B182" s="114" t="str">
        <f aca="false">IF(A182&lt;=Config!$E$27*Config!$E$28,"Tema","Avulso")</f>
        <v>Tema</v>
      </c>
      <c r="C182" s="114" t="n">
        <f aca="false">IF(B182="Tema",INT((A182-1)/Config!$E$28)+1,A182-Config!$E$27*Config!$E$28)</f>
        <v>30</v>
      </c>
      <c r="D182" s="114" t="n">
        <f aca="false">IF(B182="Tema",MOD(A182-1,Config!$E$28)+1,"")</f>
        <v>4</v>
      </c>
      <c r="E182" s="115" t="str">
        <f aca="false">IF($B182="Tema",IF(ISNUMBER(INDEX(Temas!$E$6:$P$305,$C182,2*$D182-1)),INDEX(Temas!$E$6:$P$305,$C182,2*$D182-1),""),IF(ISNUMBER(INDEX(Avulsos!$B$6:$B$205,$C182)),INDEX(Avulsos!$B$6:$B$205,$C182),""))</f>
        <v/>
      </c>
      <c r="F182" s="114" t="str">
        <f aca="false">IF($E182="","",IF($B182="Tema",INDEX(Temas!$B$6:$B$305,$C182)&amp;"",INDEX(Avulsos!$C$6:$C$205,$C182)&amp;""))</f>
        <v/>
      </c>
      <c r="G182" s="114" t="str">
        <f aca="false">IF($E182="","",IF($B182="Tema",INDEX(Config!$C$6:$C$11,$D182),"Evento avulso"))</f>
        <v/>
      </c>
      <c r="H182" s="114" t="str">
        <f aca="false">IF($E182="","",IF($B182="Tema",INDEX(Config!$D$6:$D$11,$D182),IFERROR(INDEX(Config!$E$15:$E$19,MATCH($I182,Config!$C$15:$C$19,0)),"•")))</f>
        <v/>
      </c>
      <c r="I182" s="114" t="str">
        <f aca="false">IF($E182="","",IF($B182="Tema",INDEX(Config!$E$6:$E$11,$D182),IF(INDEX(Avulsos!$D$6:$D$205,$C182)&amp;""="","Outro",INDEX(Avulsos!$D$6:$D$205,$C182))))</f>
        <v/>
      </c>
      <c r="J182" s="114" t="str">
        <f aca="false">IF($E182="","",IF($B182="Tema",INDEX(Temas!$C$6:$C$305,$C182)&amp;"",INDEX(Avulsos!$E$6:$E$205,$C182)&amp;""))</f>
        <v/>
      </c>
      <c r="K182" s="114" t="str">
        <f aca="false">IF($E182="","",IF(IF($B182="Tema",INDEX(Temas!$E$6:$P$305,$C182,2*$D182),INDEX(Avulsos!$F$6:$F$205,$C182))&amp;""="","","✓"))</f>
        <v/>
      </c>
      <c r="L182" s="114" t="str">
        <f aca="true">IF($E182="","",IF($K182="✓","Concluído",IF($E182&lt;TODAY(),"Atrasado",IF($E182=TODAY(),"Hoje","Pendente"))))</f>
        <v/>
      </c>
      <c r="M182" s="114" t="str">
        <f aca="false">IF($E182="","",IF($K182="✓","✓ ","")&amp;IF(Config!$E$22="Sim",$H182&amp;" · ","")&amp;$F182)</f>
        <v/>
      </c>
      <c r="N182" s="114" t="str">
        <f aca="false">IF($E182="","",IFERROR(INDEX(Config!$D$15:$D$19,MATCH($I182,Config!$C$15:$C$19,0)),"OUT")&amp;IF($K182="✓","x",""))</f>
        <v/>
      </c>
      <c r="O182" s="114" t="str">
        <f aca="false">IF($E182="","",COUNTIF($E$5:$E182,$E182))</f>
        <v/>
      </c>
      <c r="P182" s="114" t="str">
        <f aca="false">IF($E182="","",$E182*100+$O182)</f>
        <v/>
      </c>
      <c r="Q182" s="114" t="str">
        <f aca="false">IF($L182="Atrasado",$E182*10000+$A182,"")</f>
        <v/>
      </c>
    </row>
    <row r="183" customFormat="false" ht="15" hidden="false" customHeight="false" outlineLevel="0" collapsed="false">
      <c r="A183" s="114" t="n">
        <f aca="false">ROW()-4</f>
        <v>179</v>
      </c>
      <c r="B183" s="114" t="str">
        <f aca="false">IF(A183&lt;=Config!$E$27*Config!$E$28,"Tema","Avulso")</f>
        <v>Tema</v>
      </c>
      <c r="C183" s="114" t="n">
        <f aca="false">IF(B183="Tema",INT((A183-1)/Config!$E$28)+1,A183-Config!$E$27*Config!$E$28)</f>
        <v>30</v>
      </c>
      <c r="D183" s="114" t="n">
        <f aca="false">IF(B183="Tema",MOD(A183-1,Config!$E$28)+1,"")</f>
        <v>5</v>
      </c>
      <c r="E183" s="115" t="str">
        <f aca="false">IF($B183="Tema",IF(ISNUMBER(INDEX(Temas!$E$6:$P$305,$C183,2*$D183-1)),INDEX(Temas!$E$6:$P$305,$C183,2*$D183-1),""),IF(ISNUMBER(INDEX(Avulsos!$B$6:$B$205,$C183)),INDEX(Avulsos!$B$6:$B$205,$C183),""))</f>
        <v/>
      </c>
      <c r="F183" s="114" t="str">
        <f aca="false">IF($E183="","",IF($B183="Tema",INDEX(Temas!$B$6:$B$305,$C183)&amp;"",INDEX(Avulsos!$C$6:$C$205,$C183)&amp;""))</f>
        <v/>
      </c>
      <c r="G183" s="114" t="str">
        <f aca="false">IF($E183="","",IF($B183="Tema",INDEX(Config!$C$6:$C$11,$D183),"Evento avulso"))</f>
        <v/>
      </c>
      <c r="H183" s="114" t="str">
        <f aca="false">IF($E183="","",IF($B183="Tema",INDEX(Config!$D$6:$D$11,$D183),IFERROR(INDEX(Config!$E$15:$E$19,MATCH($I183,Config!$C$15:$C$19,0)),"•")))</f>
        <v/>
      </c>
      <c r="I183" s="114" t="str">
        <f aca="false">IF($E183="","",IF($B183="Tema",INDEX(Config!$E$6:$E$11,$D183),IF(INDEX(Avulsos!$D$6:$D$205,$C183)&amp;""="","Outro",INDEX(Avulsos!$D$6:$D$205,$C183))))</f>
        <v/>
      </c>
      <c r="J183" s="114" t="str">
        <f aca="false">IF($E183="","",IF($B183="Tema",INDEX(Temas!$C$6:$C$305,$C183)&amp;"",INDEX(Avulsos!$E$6:$E$205,$C183)&amp;""))</f>
        <v/>
      </c>
      <c r="K183" s="114" t="str">
        <f aca="false">IF($E183="","",IF(IF($B183="Tema",INDEX(Temas!$E$6:$P$305,$C183,2*$D183),INDEX(Avulsos!$F$6:$F$205,$C183))&amp;""="","","✓"))</f>
        <v/>
      </c>
      <c r="L183" s="114" t="str">
        <f aca="true">IF($E183="","",IF($K183="✓","Concluído",IF($E183&lt;TODAY(),"Atrasado",IF($E183=TODAY(),"Hoje","Pendente"))))</f>
        <v/>
      </c>
      <c r="M183" s="114" t="str">
        <f aca="false">IF($E183="","",IF($K183="✓","✓ ","")&amp;IF(Config!$E$22="Sim",$H183&amp;" · ","")&amp;$F183)</f>
        <v/>
      </c>
      <c r="N183" s="114" t="str">
        <f aca="false">IF($E183="","",IFERROR(INDEX(Config!$D$15:$D$19,MATCH($I183,Config!$C$15:$C$19,0)),"OUT")&amp;IF($K183="✓","x",""))</f>
        <v/>
      </c>
      <c r="O183" s="114" t="str">
        <f aca="false">IF($E183="","",COUNTIF($E$5:$E183,$E183))</f>
        <v/>
      </c>
      <c r="P183" s="114" t="str">
        <f aca="false">IF($E183="","",$E183*100+$O183)</f>
        <v/>
      </c>
      <c r="Q183" s="114" t="str">
        <f aca="false">IF($L183="Atrasado",$E183*10000+$A183,"")</f>
        <v/>
      </c>
    </row>
    <row r="184" customFormat="false" ht="15" hidden="false" customHeight="false" outlineLevel="0" collapsed="false">
      <c r="A184" s="114" t="n">
        <f aca="false">ROW()-4</f>
        <v>180</v>
      </c>
      <c r="B184" s="114" t="str">
        <f aca="false">IF(A184&lt;=Config!$E$27*Config!$E$28,"Tema","Avulso")</f>
        <v>Tema</v>
      </c>
      <c r="C184" s="114" t="n">
        <f aca="false">IF(B184="Tema",INT((A184-1)/Config!$E$28)+1,A184-Config!$E$27*Config!$E$28)</f>
        <v>30</v>
      </c>
      <c r="D184" s="114" t="n">
        <f aca="false">IF(B184="Tema",MOD(A184-1,Config!$E$28)+1,"")</f>
        <v>6</v>
      </c>
      <c r="E184" s="115" t="str">
        <f aca="false">IF($B184="Tema",IF(ISNUMBER(INDEX(Temas!$E$6:$P$305,$C184,2*$D184-1)),INDEX(Temas!$E$6:$P$305,$C184,2*$D184-1),""),IF(ISNUMBER(INDEX(Avulsos!$B$6:$B$205,$C184)),INDEX(Avulsos!$B$6:$B$205,$C184),""))</f>
        <v/>
      </c>
      <c r="F184" s="114" t="str">
        <f aca="false">IF($E184="","",IF($B184="Tema",INDEX(Temas!$B$6:$B$305,$C184)&amp;"",INDEX(Avulsos!$C$6:$C$205,$C184)&amp;""))</f>
        <v/>
      </c>
      <c r="G184" s="114" t="str">
        <f aca="false">IF($E184="","",IF($B184="Tema",INDEX(Config!$C$6:$C$11,$D184),"Evento avulso"))</f>
        <v/>
      </c>
      <c r="H184" s="114" t="str">
        <f aca="false">IF($E184="","",IF($B184="Tema",INDEX(Config!$D$6:$D$11,$D184),IFERROR(INDEX(Config!$E$15:$E$19,MATCH($I184,Config!$C$15:$C$19,0)),"•")))</f>
        <v/>
      </c>
      <c r="I184" s="114" t="str">
        <f aca="false">IF($E184="","",IF($B184="Tema",INDEX(Config!$E$6:$E$11,$D184),IF(INDEX(Avulsos!$D$6:$D$205,$C184)&amp;""="","Outro",INDEX(Avulsos!$D$6:$D$205,$C184))))</f>
        <v/>
      </c>
      <c r="J184" s="114" t="str">
        <f aca="false">IF($E184="","",IF($B184="Tema",INDEX(Temas!$C$6:$C$305,$C184)&amp;"",INDEX(Avulsos!$E$6:$E$205,$C184)&amp;""))</f>
        <v/>
      </c>
      <c r="K184" s="114" t="str">
        <f aca="false">IF($E184="","",IF(IF($B184="Tema",INDEX(Temas!$E$6:$P$305,$C184,2*$D184),INDEX(Avulsos!$F$6:$F$205,$C184))&amp;""="","","✓"))</f>
        <v/>
      </c>
      <c r="L184" s="114" t="str">
        <f aca="true">IF($E184="","",IF($K184="✓","Concluído",IF($E184&lt;TODAY(),"Atrasado",IF($E184=TODAY(),"Hoje","Pendente"))))</f>
        <v/>
      </c>
      <c r="M184" s="114" t="str">
        <f aca="false">IF($E184="","",IF($K184="✓","✓ ","")&amp;IF(Config!$E$22="Sim",$H184&amp;" · ","")&amp;$F184)</f>
        <v/>
      </c>
      <c r="N184" s="114" t="str">
        <f aca="false">IF($E184="","",IFERROR(INDEX(Config!$D$15:$D$19,MATCH($I184,Config!$C$15:$C$19,0)),"OUT")&amp;IF($K184="✓","x",""))</f>
        <v/>
      </c>
      <c r="O184" s="114" t="str">
        <f aca="false">IF($E184="","",COUNTIF($E$5:$E184,$E184))</f>
        <v/>
      </c>
      <c r="P184" s="114" t="str">
        <f aca="false">IF($E184="","",$E184*100+$O184)</f>
        <v/>
      </c>
      <c r="Q184" s="114" t="str">
        <f aca="false">IF($L184="Atrasado",$E184*10000+$A184,"")</f>
        <v/>
      </c>
    </row>
    <row r="185" customFormat="false" ht="15" hidden="false" customHeight="false" outlineLevel="0" collapsed="false">
      <c r="A185" s="114" t="n">
        <f aca="false">ROW()-4</f>
        <v>181</v>
      </c>
      <c r="B185" s="114" t="str">
        <f aca="false">IF(A185&lt;=Config!$E$27*Config!$E$28,"Tema","Avulso")</f>
        <v>Tema</v>
      </c>
      <c r="C185" s="114" t="n">
        <f aca="false">IF(B185="Tema",INT((A185-1)/Config!$E$28)+1,A185-Config!$E$27*Config!$E$28)</f>
        <v>31</v>
      </c>
      <c r="D185" s="114" t="n">
        <f aca="false">IF(B185="Tema",MOD(A185-1,Config!$E$28)+1,"")</f>
        <v>1</v>
      </c>
      <c r="E185" s="115" t="str">
        <f aca="false">IF($B185="Tema",IF(ISNUMBER(INDEX(Temas!$E$6:$P$305,$C185,2*$D185-1)),INDEX(Temas!$E$6:$P$305,$C185,2*$D185-1),""),IF(ISNUMBER(INDEX(Avulsos!$B$6:$B$205,$C185)),INDEX(Avulsos!$B$6:$B$205,$C185),""))</f>
        <v/>
      </c>
      <c r="F185" s="114" t="str">
        <f aca="false">IF($E185="","",IF($B185="Tema",INDEX(Temas!$B$6:$B$305,$C185)&amp;"",INDEX(Avulsos!$C$6:$C$205,$C185)&amp;""))</f>
        <v/>
      </c>
      <c r="G185" s="114" t="str">
        <f aca="false">IF($E185="","",IF($B185="Tema",INDEX(Config!$C$6:$C$11,$D185),"Evento avulso"))</f>
        <v/>
      </c>
      <c r="H185" s="114" t="str">
        <f aca="false">IF($E185="","",IF($B185="Tema",INDEX(Config!$D$6:$D$11,$D185),IFERROR(INDEX(Config!$E$15:$E$19,MATCH($I185,Config!$C$15:$C$19,0)),"•")))</f>
        <v/>
      </c>
      <c r="I185" s="114" t="str">
        <f aca="false">IF($E185="","",IF($B185="Tema",INDEX(Config!$E$6:$E$11,$D185),IF(INDEX(Avulsos!$D$6:$D$205,$C185)&amp;""="","Outro",INDEX(Avulsos!$D$6:$D$205,$C185))))</f>
        <v/>
      </c>
      <c r="J185" s="114" t="str">
        <f aca="false">IF($E185="","",IF($B185="Tema",INDEX(Temas!$C$6:$C$305,$C185)&amp;"",INDEX(Avulsos!$E$6:$E$205,$C185)&amp;""))</f>
        <v/>
      </c>
      <c r="K185" s="114" t="str">
        <f aca="false">IF($E185="","",IF(IF($B185="Tema",INDEX(Temas!$E$6:$P$305,$C185,2*$D185),INDEX(Avulsos!$F$6:$F$205,$C185))&amp;""="","","✓"))</f>
        <v/>
      </c>
      <c r="L185" s="114" t="str">
        <f aca="true">IF($E185="","",IF($K185="✓","Concluído",IF($E185&lt;TODAY(),"Atrasado",IF($E185=TODAY(),"Hoje","Pendente"))))</f>
        <v/>
      </c>
      <c r="M185" s="114" t="str">
        <f aca="false">IF($E185="","",IF($K185="✓","✓ ","")&amp;IF(Config!$E$22="Sim",$H185&amp;" · ","")&amp;$F185)</f>
        <v/>
      </c>
      <c r="N185" s="114" t="str">
        <f aca="false">IF($E185="","",IFERROR(INDEX(Config!$D$15:$D$19,MATCH($I185,Config!$C$15:$C$19,0)),"OUT")&amp;IF($K185="✓","x",""))</f>
        <v/>
      </c>
      <c r="O185" s="114" t="str">
        <f aca="false">IF($E185="","",COUNTIF($E$5:$E185,$E185))</f>
        <v/>
      </c>
      <c r="P185" s="114" t="str">
        <f aca="false">IF($E185="","",$E185*100+$O185)</f>
        <v/>
      </c>
      <c r="Q185" s="114" t="str">
        <f aca="false">IF($L185="Atrasado",$E185*10000+$A185,"")</f>
        <v/>
      </c>
    </row>
    <row r="186" customFormat="false" ht="15" hidden="false" customHeight="false" outlineLevel="0" collapsed="false">
      <c r="A186" s="114" t="n">
        <f aca="false">ROW()-4</f>
        <v>182</v>
      </c>
      <c r="B186" s="114" t="str">
        <f aca="false">IF(A186&lt;=Config!$E$27*Config!$E$28,"Tema","Avulso")</f>
        <v>Tema</v>
      </c>
      <c r="C186" s="114" t="n">
        <f aca="false">IF(B186="Tema",INT((A186-1)/Config!$E$28)+1,A186-Config!$E$27*Config!$E$28)</f>
        <v>31</v>
      </c>
      <c r="D186" s="114" t="n">
        <f aca="false">IF(B186="Tema",MOD(A186-1,Config!$E$28)+1,"")</f>
        <v>2</v>
      </c>
      <c r="E186" s="115" t="str">
        <f aca="false">IF($B186="Tema",IF(ISNUMBER(INDEX(Temas!$E$6:$P$305,$C186,2*$D186-1)),INDEX(Temas!$E$6:$P$305,$C186,2*$D186-1),""),IF(ISNUMBER(INDEX(Avulsos!$B$6:$B$205,$C186)),INDEX(Avulsos!$B$6:$B$205,$C186),""))</f>
        <v/>
      </c>
      <c r="F186" s="114" t="str">
        <f aca="false">IF($E186="","",IF($B186="Tema",INDEX(Temas!$B$6:$B$305,$C186)&amp;"",INDEX(Avulsos!$C$6:$C$205,$C186)&amp;""))</f>
        <v/>
      </c>
      <c r="G186" s="114" t="str">
        <f aca="false">IF($E186="","",IF($B186="Tema",INDEX(Config!$C$6:$C$11,$D186),"Evento avulso"))</f>
        <v/>
      </c>
      <c r="H186" s="114" t="str">
        <f aca="false">IF($E186="","",IF($B186="Tema",INDEX(Config!$D$6:$D$11,$D186),IFERROR(INDEX(Config!$E$15:$E$19,MATCH($I186,Config!$C$15:$C$19,0)),"•")))</f>
        <v/>
      </c>
      <c r="I186" s="114" t="str">
        <f aca="false">IF($E186="","",IF($B186="Tema",INDEX(Config!$E$6:$E$11,$D186),IF(INDEX(Avulsos!$D$6:$D$205,$C186)&amp;""="","Outro",INDEX(Avulsos!$D$6:$D$205,$C186))))</f>
        <v/>
      </c>
      <c r="J186" s="114" t="str">
        <f aca="false">IF($E186="","",IF($B186="Tema",INDEX(Temas!$C$6:$C$305,$C186)&amp;"",INDEX(Avulsos!$E$6:$E$205,$C186)&amp;""))</f>
        <v/>
      </c>
      <c r="K186" s="114" t="str">
        <f aca="false">IF($E186="","",IF(IF($B186="Tema",INDEX(Temas!$E$6:$P$305,$C186,2*$D186),INDEX(Avulsos!$F$6:$F$205,$C186))&amp;""="","","✓"))</f>
        <v/>
      </c>
      <c r="L186" s="114" t="str">
        <f aca="true">IF($E186="","",IF($K186="✓","Concluído",IF($E186&lt;TODAY(),"Atrasado",IF($E186=TODAY(),"Hoje","Pendente"))))</f>
        <v/>
      </c>
      <c r="M186" s="114" t="str">
        <f aca="false">IF($E186="","",IF($K186="✓","✓ ","")&amp;IF(Config!$E$22="Sim",$H186&amp;" · ","")&amp;$F186)</f>
        <v/>
      </c>
      <c r="N186" s="114" t="str">
        <f aca="false">IF($E186="","",IFERROR(INDEX(Config!$D$15:$D$19,MATCH($I186,Config!$C$15:$C$19,0)),"OUT")&amp;IF($K186="✓","x",""))</f>
        <v/>
      </c>
      <c r="O186" s="114" t="str">
        <f aca="false">IF($E186="","",COUNTIF($E$5:$E186,$E186))</f>
        <v/>
      </c>
      <c r="P186" s="114" t="str">
        <f aca="false">IF($E186="","",$E186*100+$O186)</f>
        <v/>
      </c>
      <c r="Q186" s="114" t="str">
        <f aca="false">IF($L186="Atrasado",$E186*10000+$A186,"")</f>
        <v/>
      </c>
    </row>
    <row r="187" customFormat="false" ht="15" hidden="false" customHeight="false" outlineLevel="0" collapsed="false">
      <c r="A187" s="114" t="n">
        <f aca="false">ROW()-4</f>
        <v>183</v>
      </c>
      <c r="B187" s="114" t="str">
        <f aca="false">IF(A187&lt;=Config!$E$27*Config!$E$28,"Tema","Avulso")</f>
        <v>Tema</v>
      </c>
      <c r="C187" s="114" t="n">
        <f aca="false">IF(B187="Tema",INT((A187-1)/Config!$E$28)+1,A187-Config!$E$27*Config!$E$28)</f>
        <v>31</v>
      </c>
      <c r="D187" s="114" t="n">
        <f aca="false">IF(B187="Tema",MOD(A187-1,Config!$E$28)+1,"")</f>
        <v>3</v>
      </c>
      <c r="E187" s="115" t="str">
        <f aca="false">IF($B187="Tema",IF(ISNUMBER(INDEX(Temas!$E$6:$P$305,$C187,2*$D187-1)),INDEX(Temas!$E$6:$P$305,$C187,2*$D187-1),""),IF(ISNUMBER(INDEX(Avulsos!$B$6:$B$205,$C187)),INDEX(Avulsos!$B$6:$B$205,$C187),""))</f>
        <v/>
      </c>
      <c r="F187" s="114" t="str">
        <f aca="false">IF($E187="","",IF($B187="Tema",INDEX(Temas!$B$6:$B$305,$C187)&amp;"",INDEX(Avulsos!$C$6:$C$205,$C187)&amp;""))</f>
        <v/>
      </c>
      <c r="G187" s="114" t="str">
        <f aca="false">IF($E187="","",IF($B187="Tema",INDEX(Config!$C$6:$C$11,$D187),"Evento avulso"))</f>
        <v/>
      </c>
      <c r="H187" s="114" t="str">
        <f aca="false">IF($E187="","",IF($B187="Tema",INDEX(Config!$D$6:$D$11,$D187),IFERROR(INDEX(Config!$E$15:$E$19,MATCH($I187,Config!$C$15:$C$19,0)),"•")))</f>
        <v/>
      </c>
      <c r="I187" s="114" t="str">
        <f aca="false">IF($E187="","",IF($B187="Tema",INDEX(Config!$E$6:$E$11,$D187),IF(INDEX(Avulsos!$D$6:$D$205,$C187)&amp;""="","Outro",INDEX(Avulsos!$D$6:$D$205,$C187))))</f>
        <v/>
      </c>
      <c r="J187" s="114" t="str">
        <f aca="false">IF($E187="","",IF($B187="Tema",INDEX(Temas!$C$6:$C$305,$C187)&amp;"",INDEX(Avulsos!$E$6:$E$205,$C187)&amp;""))</f>
        <v/>
      </c>
      <c r="K187" s="114" t="str">
        <f aca="false">IF($E187="","",IF(IF($B187="Tema",INDEX(Temas!$E$6:$P$305,$C187,2*$D187),INDEX(Avulsos!$F$6:$F$205,$C187))&amp;""="","","✓"))</f>
        <v/>
      </c>
      <c r="L187" s="114" t="str">
        <f aca="true">IF($E187="","",IF($K187="✓","Concluído",IF($E187&lt;TODAY(),"Atrasado",IF($E187=TODAY(),"Hoje","Pendente"))))</f>
        <v/>
      </c>
      <c r="M187" s="114" t="str">
        <f aca="false">IF($E187="","",IF($K187="✓","✓ ","")&amp;IF(Config!$E$22="Sim",$H187&amp;" · ","")&amp;$F187)</f>
        <v/>
      </c>
      <c r="N187" s="114" t="str">
        <f aca="false">IF($E187="","",IFERROR(INDEX(Config!$D$15:$D$19,MATCH($I187,Config!$C$15:$C$19,0)),"OUT")&amp;IF($K187="✓","x",""))</f>
        <v/>
      </c>
      <c r="O187" s="114" t="str">
        <f aca="false">IF($E187="","",COUNTIF($E$5:$E187,$E187))</f>
        <v/>
      </c>
      <c r="P187" s="114" t="str">
        <f aca="false">IF($E187="","",$E187*100+$O187)</f>
        <v/>
      </c>
      <c r="Q187" s="114" t="str">
        <f aca="false">IF($L187="Atrasado",$E187*10000+$A187,"")</f>
        <v/>
      </c>
    </row>
    <row r="188" customFormat="false" ht="15" hidden="false" customHeight="false" outlineLevel="0" collapsed="false">
      <c r="A188" s="114" t="n">
        <f aca="false">ROW()-4</f>
        <v>184</v>
      </c>
      <c r="B188" s="114" t="str">
        <f aca="false">IF(A188&lt;=Config!$E$27*Config!$E$28,"Tema","Avulso")</f>
        <v>Tema</v>
      </c>
      <c r="C188" s="114" t="n">
        <f aca="false">IF(B188="Tema",INT((A188-1)/Config!$E$28)+1,A188-Config!$E$27*Config!$E$28)</f>
        <v>31</v>
      </c>
      <c r="D188" s="114" t="n">
        <f aca="false">IF(B188="Tema",MOD(A188-1,Config!$E$28)+1,"")</f>
        <v>4</v>
      </c>
      <c r="E188" s="115" t="str">
        <f aca="false">IF($B188="Tema",IF(ISNUMBER(INDEX(Temas!$E$6:$P$305,$C188,2*$D188-1)),INDEX(Temas!$E$6:$P$305,$C188,2*$D188-1),""),IF(ISNUMBER(INDEX(Avulsos!$B$6:$B$205,$C188)),INDEX(Avulsos!$B$6:$B$205,$C188),""))</f>
        <v/>
      </c>
      <c r="F188" s="114" t="str">
        <f aca="false">IF($E188="","",IF($B188="Tema",INDEX(Temas!$B$6:$B$305,$C188)&amp;"",INDEX(Avulsos!$C$6:$C$205,$C188)&amp;""))</f>
        <v/>
      </c>
      <c r="G188" s="114" t="str">
        <f aca="false">IF($E188="","",IF($B188="Tema",INDEX(Config!$C$6:$C$11,$D188),"Evento avulso"))</f>
        <v/>
      </c>
      <c r="H188" s="114" t="str">
        <f aca="false">IF($E188="","",IF($B188="Tema",INDEX(Config!$D$6:$D$11,$D188),IFERROR(INDEX(Config!$E$15:$E$19,MATCH($I188,Config!$C$15:$C$19,0)),"•")))</f>
        <v/>
      </c>
      <c r="I188" s="114" t="str">
        <f aca="false">IF($E188="","",IF($B188="Tema",INDEX(Config!$E$6:$E$11,$D188),IF(INDEX(Avulsos!$D$6:$D$205,$C188)&amp;""="","Outro",INDEX(Avulsos!$D$6:$D$205,$C188))))</f>
        <v/>
      </c>
      <c r="J188" s="114" t="str">
        <f aca="false">IF($E188="","",IF($B188="Tema",INDEX(Temas!$C$6:$C$305,$C188)&amp;"",INDEX(Avulsos!$E$6:$E$205,$C188)&amp;""))</f>
        <v/>
      </c>
      <c r="K188" s="114" t="str">
        <f aca="false">IF($E188="","",IF(IF($B188="Tema",INDEX(Temas!$E$6:$P$305,$C188,2*$D188),INDEX(Avulsos!$F$6:$F$205,$C188))&amp;""="","","✓"))</f>
        <v/>
      </c>
      <c r="L188" s="114" t="str">
        <f aca="true">IF($E188="","",IF($K188="✓","Concluído",IF($E188&lt;TODAY(),"Atrasado",IF($E188=TODAY(),"Hoje","Pendente"))))</f>
        <v/>
      </c>
      <c r="M188" s="114" t="str">
        <f aca="false">IF($E188="","",IF($K188="✓","✓ ","")&amp;IF(Config!$E$22="Sim",$H188&amp;" · ","")&amp;$F188)</f>
        <v/>
      </c>
      <c r="N188" s="114" t="str">
        <f aca="false">IF($E188="","",IFERROR(INDEX(Config!$D$15:$D$19,MATCH($I188,Config!$C$15:$C$19,0)),"OUT")&amp;IF($K188="✓","x",""))</f>
        <v/>
      </c>
      <c r="O188" s="114" t="str">
        <f aca="false">IF($E188="","",COUNTIF($E$5:$E188,$E188))</f>
        <v/>
      </c>
      <c r="P188" s="114" t="str">
        <f aca="false">IF($E188="","",$E188*100+$O188)</f>
        <v/>
      </c>
      <c r="Q188" s="114" t="str">
        <f aca="false">IF($L188="Atrasado",$E188*10000+$A188,"")</f>
        <v/>
      </c>
    </row>
    <row r="189" customFormat="false" ht="15" hidden="false" customHeight="false" outlineLevel="0" collapsed="false">
      <c r="A189" s="114" t="n">
        <f aca="false">ROW()-4</f>
        <v>185</v>
      </c>
      <c r="B189" s="114" t="str">
        <f aca="false">IF(A189&lt;=Config!$E$27*Config!$E$28,"Tema","Avulso")</f>
        <v>Tema</v>
      </c>
      <c r="C189" s="114" t="n">
        <f aca="false">IF(B189="Tema",INT((A189-1)/Config!$E$28)+1,A189-Config!$E$27*Config!$E$28)</f>
        <v>31</v>
      </c>
      <c r="D189" s="114" t="n">
        <f aca="false">IF(B189="Tema",MOD(A189-1,Config!$E$28)+1,"")</f>
        <v>5</v>
      </c>
      <c r="E189" s="115" t="str">
        <f aca="false">IF($B189="Tema",IF(ISNUMBER(INDEX(Temas!$E$6:$P$305,$C189,2*$D189-1)),INDEX(Temas!$E$6:$P$305,$C189,2*$D189-1),""),IF(ISNUMBER(INDEX(Avulsos!$B$6:$B$205,$C189)),INDEX(Avulsos!$B$6:$B$205,$C189),""))</f>
        <v/>
      </c>
      <c r="F189" s="114" t="str">
        <f aca="false">IF($E189="","",IF($B189="Tema",INDEX(Temas!$B$6:$B$305,$C189)&amp;"",INDEX(Avulsos!$C$6:$C$205,$C189)&amp;""))</f>
        <v/>
      </c>
      <c r="G189" s="114" t="str">
        <f aca="false">IF($E189="","",IF($B189="Tema",INDEX(Config!$C$6:$C$11,$D189),"Evento avulso"))</f>
        <v/>
      </c>
      <c r="H189" s="114" t="str">
        <f aca="false">IF($E189="","",IF($B189="Tema",INDEX(Config!$D$6:$D$11,$D189),IFERROR(INDEX(Config!$E$15:$E$19,MATCH($I189,Config!$C$15:$C$19,0)),"•")))</f>
        <v/>
      </c>
      <c r="I189" s="114" t="str">
        <f aca="false">IF($E189="","",IF($B189="Tema",INDEX(Config!$E$6:$E$11,$D189),IF(INDEX(Avulsos!$D$6:$D$205,$C189)&amp;""="","Outro",INDEX(Avulsos!$D$6:$D$205,$C189))))</f>
        <v/>
      </c>
      <c r="J189" s="114" t="str">
        <f aca="false">IF($E189="","",IF($B189="Tema",INDEX(Temas!$C$6:$C$305,$C189)&amp;"",INDEX(Avulsos!$E$6:$E$205,$C189)&amp;""))</f>
        <v/>
      </c>
      <c r="K189" s="114" t="str">
        <f aca="false">IF($E189="","",IF(IF($B189="Tema",INDEX(Temas!$E$6:$P$305,$C189,2*$D189),INDEX(Avulsos!$F$6:$F$205,$C189))&amp;""="","","✓"))</f>
        <v/>
      </c>
      <c r="L189" s="114" t="str">
        <f aca="true">IF($E189="","",IF($K189="✓","Concluído",IF($E189&lt;TODAY(),"Atrasado",IF($E189=TODAY(),"Hoje","Pendente"))))</f>
        <v/>
      </c>
      <c r="M189" s="114" t="str">
        <f aca="false">IF($E189="","",IF($K189="✓","✓ ","")&amp;IF(Config!$E$22="Sim",$H189&amp;" · ","")&amp;$F189)</f>
        <v/>
      </c>
      <c r="N189" s="114" t="str">
        <f aca="false">IF($E189="","",IFERROR(INDEX(Config!$D$15:$D$19,MATCH($I189,Config!$C$15:$C$19,0)),"OUT")&amp;IF($K189="✓","x",""))</f>
        <v/>
      </c>
      <c r="O189" s="114" t="str">
        <f aca="false">IF($E189="","",COUNTIF($E$5:$E189,$E189))</f>
        <v/>
      </c>
      <c r="P189" s="114" t="str">
        <f aca="false">IF($E189="","",$E189*100+$O189)</f>
        <v/>
      </c>
      <c r="Q189" s="114" t="str">
        <f aca="false">IF($L189="Atrasado",$E189*10000+$A189,"")</f>
        <v/>
      </c>
    </row>
    <row r="190" customFormat="false" ht="15" hidden="false" customHeight="false" outlineLevel="0" collapsed="false">
      <c r="A190" s="114" t="n">
        <f aca="false">ROW()-4</f>
        <v>186</v>
      </c>
      <c r="B190" s="114" t="str">
        <f aca="false">IF(A190&lt;=Config!$E$27*Config!$E$28,"Tema","Avulso")</f>
        <v>Tema</v>
      </c>
      <c r="C190" s="114" t="n">
        <f aca="false">IF(B190="Tema",INT((A190-1)/Config!$E$28)+1,A190-Config!$E$27*Config!$E$28)</f>
        <v>31</v>
      </c>
      <c r="D190" s="114" t="n">
        <f aca="false">IF(B190="Tema",MOD(A190-1,Config!$E$28)+1,"")</f>
        <v>6</v>
      </c>
      <c r="E190" s="115" t="str">
        <f aca="false">IF($B190="Tema",IF(ISNUMBER(INDEX(Temas!$E$6:$P$305,$C190,2*$D190-1)),INDEX(Temas!$E$6:$P$305,$C190,2*$D190-1),""),IF(ISNUMBER(INDEX(Avulsos!$B$6:$B$205,$C190)),INDEX(Avulsos!$B$6:$B$205,$C190),""))</f>
        <v/>
      </c>
      <c r="F190" s="114" t="str">
        <f aca="false">IF($E190="","",IF($B190="Tema",INDEX(Temas!$B$6:$B$305,$C190)&amp;"",INDEX(Avulsos!$C$6:$C$205,$C190)&amp;""))</f>
        <v/>
      </c>
      <c r="G190" s="114" t="str">
        <f aca="false">IF($E190="","",IF($B190="Tema",INDEX(Config!$C$6:$C$11,$D190),"Evento avulso"))</f>
        <v/>
      </c>
      <c r="H190" s="114" t="str">
        <f aca="false">IF($E190="","",IF($B190="Tema",INDEX(Config!$D$6:$D$11,$D190),IFERROR(INDEX(Config!$E$15:$E$19,MATCH($I190,Config!$C$15:$C$19,0)),"•")))</f>
        <v/>
      </c>
      <c r="I190" s="114" t="str">
        <f aca="false">IF($E190="","",IF($B190="Tema",INDEX(Config!$E$6:$E$11,$D190),IF(INDEX(Avulsos!$D$6:$D$205,$C190)&amp;""="","Outro",INDEX(Avulsos!$D$6:$D$205,$C190))))</f>
        <v/>
      </c>
      <c r="J190" s="114" t="str">
        <f aca="false">IF($E190="","",IF($B190="Tema",INDEX(Temas!$C$6:$C$305,$C190)&amp;"",INDEX(Avulsos!$E$6:$E$205,$C190)&amp;""))</f>
        <v/>
      </c>
      <c r="K190" s="114" t="str">
        <f aca="false">IF($E190="","",IF(IF($B190="Tema",INDEX(Temas!$E$6:$P$305,$C190,2*$D190),INDEX(Avulsos!$F$6:$F$205,$C190))&amp;""="","","✓"))</f>
        <v/>
      </c>
      <c r="L190" s="114" t="str">
        <f aca="true">IF($E190="","",IF($K190="✓","Concluído",IF($E190&lt;TODAY(),"Atrasado",IF($E190=TODAY(),"Hoje","Pendente"))))</f>
        <v/>
      </c>
      <c r="M190" s="114" t="str">
        <f aca="false">IF($E190="","",IF($K190="✓","✓ ","")&amp;IF(Config!$E$22="Sim",$H190&amp;" · ","")&amp;$F190)</f>
        <v/>
      </c>
      <c r="N190" s="114" t="str">
        <f aca="false">IF($E190="","",IFERROR(INDEX(Config!$D$15:$D$19,MATCH($I190,Config!$C$15:$C$19,0)),"OUT")&amp;IF($K190="✓","x",""))</f>
        <v/>
      </c>
      <c r="O190" s="114" t="str">
        <f aca="false">IF($E190="","",COUNTIF($E$5:$E190,$E190))</f>
        <v/>
      </c>
      <c r="P190" s="114" t="str">
        <f aca="false">IF($E190="","",$E190*100+$O190)</f>
        <v/>
      </c>
      <c r="Q190" s="114" t="str">
        <f aca="false">IF($L190="Atrasado",$E190*10000+$A190,"")</f>
        <v/>
      </c>
    </row>
    <row r="191" customFormat="false" ht="15" hidden="false" customHeight="false" outlineLevel="0" collapsed="false">
      <c r="A191" s="114" t="n">
        <f aca="false">ROW()-4</f>
        <v>187</v>
      </c>
      <c r="B191" s="114" t="str">
        <f aca="false">IF(A191&lt;=Config!$E$27*Config!$E$28,"Tema","Avulso")</f>
        <v>Tema</v>
      </c>
      <c r="C191" s="114" t="n">
        <f aca="false">IF(B191="Tema",INT((A191-1)/Config!$E$28)+1,A191-Config!$E$27*Config!$E$28)</f>
        <v>32</v>
      </c>
      <c r="D191" s="114" t="n">
        <f aca="false">IF(B191="Tema",MOD(A191-1,Config!$E$28)+1,"")</f>
        <v>1</v>
      </c>
      <c r="E191" s="115" t="str">
        <f aca="false">IF($B191="Tema",IF(ISNUMBER(INDEX(Temas!$E$6:$P$305,$C191,2*$D191-1)),INDEX(Temas!$E$6:$P$305,$C191,2*$D191-1),""),IF(ISNUMBER(INDEX(Avulsos!$B$6:$B$205,$C191)),INDEX(Avulsos!$B$6:$B$205,$C191),""))</f>
        <v/>
      </c>
      <c r="F191" s="114" t="str">
        <f aca="false">IF($E191="","",IF($B191="Tema",INDEX(Temas!$B$6:$B$305,$C191)&amp;"",INDEX(Avulsos!$C$6:$C$205,$C191)&amp;""))</f>
        <v/>
      </c>
      <c r="G191" s="114" t="str">
        <f aca="false">IF($E191="","",IF($B191="Tema",INDEX(Config!$C$6:$C$11,$D191),"Evento avulso"))</f>
        <v/>
      </c>
      <c r="H191" s="114" t="str">
        <f aca="false">IF($E191="","",IF($B191="Tema",INDEX(Config!$D$6:$D$11,$D191),IFERROR(INDEX(Config!$E$15:$E$19,MATCH($I191,Config!$C$15:$C$19,0)),"•")))</f>
        <v/>
      </c>
      <c r="I191" s="114" t="str">
        <f aca="false">IF($E191="","",IF($B191="Tema",INDEX(Config!$E$6:$E$11,$D191),IF(INDEX(Avulsos!$D$6:$D$205,$C191)&amp;""="","Outro",INDEX(Avulsos!$D$6:$D$205,$C191))))</f>
        <v/>
      </c>
      <c r="J191" s="114" t="str">
        <f aca="false">IF($E191="","",IF($B191="Tema",INDEX(Temas!$C$6:$C$305,$C191)&amp;"",INDEX(Avulsos!$E$6:$E$205,$C191)&amp;""))</f>
        <v/>
      </c>
      <c r="K191" s="114" t="str">
        <f aca="false">IF($E191="","",IF(IF($B191="Tema",INDEX(Temas!$E$6:$P$305,$C191,2*$D191),INDEX(Avulsos!$F$6:$F$205,$C191))&amp;""="","","✓"))</f>
        <v/>
      </c>
      <c r="L191" s="114" t="str">
        <f aca="true">IF($E191="","",IF($K191="✓","Concluído",IF($E191&lt;TODAY(),"Atrasado",IF($E191=TODAY(),"Hoje","Pendente"))))</f>
        <v/>
      </c>
      <c r="M191" s="114" t="str">
        <f aca="false">IF($E191="","",IF($K191="✓","✓ ","")&amp;IF(Config!$E$22="Sim",$H191&amp;" · ","")&amp;$F191)</f>
        <v/>
      </c>
      <c r="N191" s="114" t="str">
        <f aca="false">IF($E191="","",IFERROR(INDEX(Config!$D$15:$D$19,MATCH($I191,Config!$C$15:$C$19,0)),"OUT")&amp;IF($K191="✓","x",""))</f>
        <v/>
      </c>
      <c r="O191" s="114" t="str">
        <f aca="false">IF($E191="","",COUNTIF($E$5:$E191,$E191))</f>
        <v/>
      </c>
      <c r="P191" s="114" t="str">
        <f aca="false">IF($E191="","",$E191*100+$O191)</f>
        <v/>
      </c>
      <c r="Q191" s="114" t="str">
        <f aca="false">IF($L191="Atrasado",$E191*10000+$A191,"")</f>
        <v/>
      </c>
    </row>
    <row r="192" customFormat="false" ht="15" hidden="false" customHeight="false" outlineLevel="0" collapsed="false">
      <c r="A192" s="114" t="n">
        <f aca="false">ROW()-4</f>
        <v>188</v>
      </c>
      <c r="B192" s="114" t="str">
        <f aca="false">IF(A192&lt;=Config!$E$27*Config!$E$28,"Tema","Avulso")</f>
        <v>Tema</v>
      </c>
      <c r="C192" s="114" t="n">
        <f aca="false">IF(B192="Tema",INT((A192-1)/Config!$E$28)+1,A192-Config!$E$27*Config!$E$28)</f>
        <v>32</v>
      </c>
      <c r="D192" s="114" t="n">
        <f aca="false">IF(B192="Tema",MOD(A192-1,Config!$E$28)+1,"")</f>
        <v>2</v>
      </c>
      <c r="E192" s="115" t="str">
        <f aca="false">IF($B192="Tema",IF(ISNUMBER(INDEX(Temas!$E$6:$P$305,$C192,2*$D192-1)),INDEX(Temas!$E$6:$P$305,$C192,2*$D192-1),""),IF(ISNUMBER(INDEX(Avulsos!$B$6:$B$205,$C192)),INDEX(Avulsos!$B$6:$B$205,$C192),""))</f>
        <v/>
      </c>
      <c r="F192" s="114" t="str">
        <f aca="false">IF($E192="","",IF($B192="Tema",INDEX(Temas!$B$6:$B$305,$C192)&amp;"",INDEX(Avulsos!$C$6:$C$205,$C192)&amp;""))</f>
        <v/>
      </c>
      <c r="G192" s="114" t="str">
        <f aca="false">IF($E192="","",IF($B192="Tema",INDEX(Config!$C$6:$C$11,$D192),"Evento avulso"))</f>
        <v/>
      </c>
      <c r="H192" s="114" t="str">
        <f aca="false">IF($E192="","",IF($B192="Tema",INDEX(Config!$D$6:$D$11,$D192),IFERROR(INDEX(Config!$E$15:$E$19,MATCH($I192,Config!$C$15:$C$19,0)),"•")))</f>
        <v/>
      </c>
      <c r="I192" s="114" t="str">
        <f aca="false">IF($E192="","",IF($B192="Tema",INDEX(Config!$E$6:$E$11,$D192),IF(INDEX(Avulsos!$D$6:$D$205,$C192)&amp;""="","Outro",INDEX(Avulsos!$D$6:$D$205,$C192))))</f>
        <v/>
      </c>
      <c r="J192" s="114" t="str">
        <f aca="false">IF($E192="","",IF($B192="Tema",INDEX(Temas!$C$6:$C$305,$C192)&amp;"",INDEX(Avulsos!$E$6:$E$205,$C192)&amp;""))</f>
        <v/>
      </c>
      <c r="K192" s="114" t="str">
        <f aca="false">IF($E192="","",IF(IF($B192="Tema",INDEX(Temas!$E$6:$P$305,$C192,2*$D192),INDEX(Avulsos!$F$6:$F$205,$C192))&amp;""="","","✓"))</f>
        <v/>
      </c>
      <c r="L192" s="114" t="str">
        <f aca="true">IF($E192="","",IF($K192="✓","Concluído",IF($E192&lt;TODAY(),"Atrasado",IF($E192=TODAY(),"Hoje","Pendente"))))</f>
        <v/>
      </c>
      <c r="M192" s="114" t="str">
        <f aca="false">IF($E192="","",IF($K192="✓","✓ ","")&amp;IF(Config!$E$22="Sim",$H192&amp;" · ","")&amp;$F192)</f>
        <v/>
      </c>
      <c r="N192" s="114" t="str">
        <f aca="false">IF($E192="","",IFERROR(INDEX(Config!$D$15:$D$19,MATCH($I192,Config!$C$15:$C$19,0)),"OUT")&amp;IF($K192="✓","x",""))</f>
        <v/>
      </c>
      <c r="O192" s="114" t="str">
        <f aca="false">IF($E192="","",COUNTIF($E$5:$E192,$E192))</f>
        <v/>
      </c>
      <c r="P192" s="114" t="str">
        <f aca="false">IF($E192="","",$E192*100+$O192)</f>
        <v/>
      </c>
      <c r="Q192" s="114" t="str">
        <f aca="false">IF($L192="Atrasado",$E192*10000+$A192,"")</f>
        <v/>
      </c>
    </row>
    <row r="193" customFormat="false" ht="15" hidden="false" customHeight="false" outlineLevel="0" collapsed="false">
      <c r="A193" s="114" t="n">
        <f aca="false">ROW()-4</f>
        <v>189</v>
      </c>
      <c r="B193" s="114" t="str">
        <f aca="false">IF(A193&lt;=Config!$E$27*Config!$E$28,"Tema","Avulso")</f>
        <v>Tema</v>
      </c>
      <c r="C193" s="114" t="n">
        <f aca="false">IF(B193="Tema",INT((A193-1)/Config!$E$28)+1,A193-Config!$E$27*Config!$E$28)</f>
        <v>32</v>
      </c>
      <c r="D193" s="114" t="n">
        <f aca="false">IF(B193="Tema",MOD(A193-1,Config!$E$28)+1,"")</f>
        <v>3</v>
      </c>
      <c r="E193" s="115" t="str">
        <f aca="false">IF($B193="Tema",IF(ISNUMBER(INDEX(Temas!$E$6:$P$305,$C193,2*$D193-1)),INDEX(Temas!$E$6:$P$305,$C193,2*$D193-1),""),IF(ISNUMBER(INDEX(Avulsos!$B$6:$B$205,$C193)),INDEX(Avulsos!$B$6:$B$205,$C193),""))</f>
        <v/>
      </c>
      <c r="F193" s="114" t="str">
        <f aca="false">IF($E193="","",IF($B193="Tema",INDEX(Temas!$B$6:$B$305,$C193)&amp;"",INDEX(Avulsos!$C$6:$C$205,$C193)&amp;""))</f>
        <v/>
      </c>
      <c r="G193" s="114" t="str">
        <f aca="false">IF($E193="","",IF($B193="Tema",INDEX(Config!$C$6:$C$11,$D193),"Evento avulso"))</f>
        <v/>
      </c>
      <c r="H193" s="114" t="str">
        <f aca="false">IF($E193="","",IF($B193="Tema",INDEX(Config!$D$6:$D$11,$D193),IFERROR(INDEX(Config!$E$15:$E$19,MATCH($I193,Config!$C$15:$C$19,0)),"•")))</f>
        <v/>
      </c>
      <c r="I193" s="114" t="str">
        <f aca="false">IF($E193="","",IF($B193="Tema",INDEX(Config!$E$6:$E$11,$D193),IF(INDEX(Avulsos!$D$6:$D$205,$C193)&amp;""="","Outro",INDEX(Avulsos!$D$6:$D$205,$C193))))</f>
        <v/>
      </c>
      <c r="J193" s="114" t="str">
        <f aca="false">IF($E193="","",IF($B193="Tema",INDEX(Temas!$C$6:$C$305,$C193)&amp;"",INDEX(Avulsos!$E$6:$E$205,$C193)&amp;""))</f>
        <v/>
      </c>
      <c r="K193" s="114" t="str">
        <f aca="false">IF($E193="","",IF(IF($B193="Tema",INDEX(Temas!$E$6:$P$305,$C193,2*$D193),INDEX(Avulsos!$F$6:$F$205,$C193))&amp;""="","","✓"))</f>
        <v/>
      </c>
      <c r="L193" s="114" t="str">
        <f aca="true">IF($E193="","",IF($K193="✓","Concluído",IF($E193&lt;TODAY(),"Atrasado",IF($E193=TODAY(),"Hoje","Pendente"))))</f>
        <v/>
      </c>
      <c r="M193" s="114" t="str">
        <f aca="false">IF($E193="","",IF($K193="✓","✓ ","")&amp;IF(Config!$E$22="Sim",$H193&amp;" · ","")&amp;$F193)</f>
        <v/>
      </c>
      <c r="N193" s="114" t="str">
        <f aca="false">IF($E193="","",IFERROR(INDEX(Config!$D$15:$D$19,MATCH($I193,Config!$C$15:$C$19,0)),"OUT")&amp;IF($K193="✓","x",""))</f>
        <v/>
      </c>
      <c r="O193" s="114" t="str">
        <f aca="false">IF($E193="","",COUNTIF($E$5:$E193,$E193))</f>
        <v/>
      </c>
      <c r="P193" s="114" t="str">
        <f aca="false">IF($E193="","",$E193*100+$O193)</f>
        <v/>
      </c>
      <c r="Q193" s="114" t="str">
        <f aca="false">IF($L193="Atrasado",$E193*10000+$A193,"")</f>
        <v/>
      </c>
    </row>
    <row r="194" customFormat="false" ht="15" hidden="false" customHeight="false" outlineLevel="0" collapsed="false">
      <c r="A194" s="114" t="n">
        <f aca="false">ROW()-4</f>
        <v>190</v>
      </c>
      <c r="B194" s="114" t="str">
        <f aca="false">IF(A194&lt;=Config!$E$27*Config!$E$28,"Tema","Avulso")</f>
        <v>Tema</v>
      </c>
      <c r="C194" s="114" t="n">
        <f aca="false">IF(B194="Tema",INT((A194-1)/Config!$E$28)+1,A194-Config!$E$27*Config!$E$28)</f>
        <v>32</v>
      </c>
      <c r="D194" s="114" t="n">
        <f aca="false">IF(B194="Tema",MOD(A194-1,Config!$E$28)+1,"")</f>
        <v>4</v>
      </c>
      <c r="E194" s="115" t="str">
        <f aca="false">IF($B194="Tema",IF(ISNUMBER(INDEX(Temas!$E$6:$P$305,$C194,2*$D194-1)),INDEX(Temas!$E$6:$P$305,$C194,2*$D194-1),""),IF(ISNUMBER(INDEX(Avulsos!$B$6:$B$205,$C194)),INDEX(Avulsos!$B$6:$B$205,$C194),""))</f>
        <v/>
      </c>
      <c r="F194" s="114" t="str">
        <f aca="false">IF($E194="","",IF($B194="Tema",INDEX(Temas!$B$6:$B$305,$C194)&amp;"",INDEX(Avulsos!$C$6:$C$205,$C194)&amp;""))</f>
        <v/>
      </c>
      <c r="G194" s="114" t="str">
        <f aca="false">IF($E194="","",IF($B194="Tema",INDEX(Config!$C$6:$C$11,$D194),"Evento avulso"))</f>
        <v/>
      </c>
      <c r="H194" s="114" t="str">
        <f aca="false">IF($E194="","",IF($B194="Tema",INDEX(Config!$D$6:$D$11,$D194),IFERROR(INDEX(Config!$E$15:$E$19,MATCH($I194,Config!$C$15:$C$19,0)),"•")))</f>
        <v/>
      </c>
      <c r="I194" s="114" t="str">
        <f aca="false">IF($E194="","",IF($B194="Tema",INDEX(Config!$E$6:$E$11,$D194),IF(INDEX(Avulsos!$D$6:$D$205,$C194)&amp;""="","Outro",INDEX(Avulsos!$D$6:$D$205,$C194))))</f>
        <v/>
      </c>
      <c r="J194" s="114" t="str">
        <f aca="false">IF($E194="","",IF($B194="Tema",INDEX(Temas!$C$6:$C$305,$C194)&amp;"",INDEX(Avulsos!$E$6:$E$205,$C194)&amp;""))</f>
        <v/>
      </c>
      <c r="K194" s="114" t="str">
        <f aca="false">IF($E194="","",IF(IF($B194="Tema",INDEX(Temas!$E$6:$P$305,$C194,2*$D194),INDEX(Avulsos!$F$6:$F$205,$C194))&amp;""="","","✓"))</f>
        <v/>
      </c>
      <c r="L194" s="114" t="str">
        <f aca="true">IF($E194="","",IF($K194="✓","Concluído",IF($E194&lt;TODAY(),"Atrasado",IF($E194=TODAY(),"Hoje","Pendente"))))</f>
        <v/>
      </c>
      <c r="M194" s="114" t="str">
        <f aca="false">IF($E194="","",IF($K194="✓","✓ ","")&amp;IF(Config!$E$22="Sim",$H194&amp;" · ","")&amp;$F194)</f>
        <v/>
      </c>
      <c r="N194" s="114" t="str">
        <f aca="false">IF($E194="","",IFERROR(INDEX(Config!$D$15:$D$19,MATCH($I194,Config!$C$15:$C$19,0)),"OUT")&amp;IF($K194="✓","x",""))</f>
        <v/>
      </c>
      <c r="O194" s="114" t="str">
        <f aca="false">IF($E194="","",COUNTIF($E$5:$E194,$E194))</f>
        <v/>
      </c>
      <c r="P194" s="114" t="str">
        <f aca="false">IF($E194="","",$E194*100+$O194)</f>
        <v/>
      </c>
      <c r="Q194" s="114" t="str">
        <f aca="false">IF($L194="Atrasado",$E194*10000+$A194,"")</f>
        <v/>
      </c>
    </row>
    <row r="195" customFormat="false" ht="15" hidden="false" customHeight="false" outlineLevel="0" collapsed="false">
      <c r="A195" s="114" t="n">
        <f aca="false">ROW()-4</f>
        <v>191</v>
      </c>
      <c r="B195" s="114" t="str">
        <f aca="false">IF(A195&lt;=Config!$E$27*Config!$E$28,"Tema","Avulso")</f>
        <v>Tema</v>
      </c>
      <c r="C195" s="114" t="n">
        <f aca="false">IF(B195="Tema",INT((A195-1)/Config!$E$28)+1,A195-Config!$E$27*Config!$E$28)</f>
        <v>32</v>
      </c>
      <c r="D195" s="114" t="n">
        <f aca="false">IF(B195="Tema",MOD(A195-1,Config!$E$28)+1,"")</f>
        <v>5</v>
      </c>
      <c r="E195" s="115" t="str">
        <f aca="false">IF($B195="Tema",IF(ISNUMBER(INDEX(Temas!$E$6:$P$305,$C195,2*$D195-1)),INDEX(Temas!$E$6:$P$305,$C195,2*$D195-1),""),IF(ISNUMBER(INDEX(Avulsos!$B$6:$B$205,$C195)),INDEX(Avulsos!$B$6:$B$205,$C195),""))</f>
        <v/>
      </c>
      <c r="F195" s="114" t="str">
        <f aca="false">IF($E195="","",IF($B195="Tema",INDEX(Temas!$B$6:$B$305,$C195)&amp;"",INDEX(Avulsos!$C$6:$C$205,$C195)&amp;""))</f>
        <v/>
      </c>
      <c r="G195" s="114" t="str">
        <f aca="false">IF($E195="","",IF($B195="Tema",INDEX(Config!$C$6:$C$11,$D195),"Evento avulso"))</f>
        <v/>
      </c>
      <c r="H195" s="114" t="str">
        <f aca="false">IF($E195="","",IF($B195="Tema",INDEX(Config!$D$6:$D$11,$D195),IFERROR(INDEX(Config!$E$15:$E$19,MATCH($I195,Config!$C$15:$C$19,0)),"•")))</f>
        <v/>
      </c>
      <c r="I195" s="114" t="str">
        <f aca="false">IF($E195="","",IF($B195="Tema",INDEX(Config!$E$6:$E$11,$D195),IF(INDEX(Avulsos!$D$6:$D$205,$C195)&amp;""="","Outro",INDEX(Avulsos!$D$6:$D$205,$C195))))</f>
        <v/>
      </c>
      <c r="J195" s="114" t="str">
        <f aca="false">IF($E195="","",IF($B195="Tema",INDEX(Temas!$C$6:$C$305,$C195)&amp;"",INDEX(Avulsos!$E$6:$E$205,$C195)&amp;""))</f>
        <v/>
      </c>
      <c r="K195" s="114" t="str">
        <f aca="false">IF($E195="","",IF(IF($B195="Tema",INDEX(Temas!$E$6:$P$305,$C195,2*$D195),INDEX(Avulsos!$F$6:$F$205,$C195))&amp;""="","","✓"))</f>
        <v/>
      </c>
      <c r="L195" s="114" t="str">
        <f aca="true">IF($E195="","",IF($K195="✓","Concluído",IF($E195&lt;TODAY(),"Atrasado",IF($E195=TODAY(),"Hoje","Pendente"))))</f>
        <v/>
      </c>
      <c r="M195" s="114" t="str">
        <f aca="false">IF($E195="","",IF($K195="✓","✓ ","")&amp;IF(Config!$E$22="Sim",$H195&amp;" · ","")&amp;$F195)</f>
        <v/>
      </c>
      <c r="N195" s="114" t="str">
        <f aca="false">IF($E195="","",IFERROR(INDEX(Config!$D$15:$D$19,MATCH($I195,Config!$C$15:$C$19,0)),"OUT")&amp;IF($K195="✓","x",""))</f>
        <v/>
      </c>
      <c r="O195" s="114" t="str">
        <f aca="false">IF($E195="","",COUNTIF($E$5:$E195,$E195))</f>
        <v/>
      </c>
      <c r="P195" s="114" t="str">
        <f aca="false">IF($E195="","",$E195*100+$O195)</f>
        <v/>
      </c>
      <c r="Q195" s="114" t="str">
        <f aca="false">IF($L195="Atrasado",$E195*10000+$A195,"")</f>
        <v/>
      </c>
    </row>
    <row r="196" customFormat="false" ht="15" hidden="false" customHeight="false" outlineLevel="0" collapsed="false">
      <c r="A196" s="114" t="n">
        <f aca="false">ROW()-4</f>
        <v>192</v>
      </c>
      <c r="B196" s="114" t="str">
        <f aca="false">IF(A196&lt;=Config!$E$27*Config!$E$28,"Tema","Avulso")</f>
        <v>Tema</v>
      </c>
      <c r="C196" s="114" t="n">
        <f aca="false">IF(B196="Tema",INT((A196-1)/Config!$E$28)+1,A196-Config!$E$27*Config!$E$28)</f>
        <v>32</v>
      </c>
      <c r="D196" s="114" t="n">
        <f aca="false">IF(B196="Tema",MOD(A196-1,Config!$E$28)+1,"")</f>
        <v>6</v>
      </c>
      <c r="E196" s="115" t="str">
        <f aca="false">IF($B196="Tema",IF(ISNUMBER(INDEX(Temas!$E$6:$P$305,$C196,2*$D196-1)),INDEX(Temas!$E$6:$P$305,$C196,2*$D196-1),""),IF(ISNUMBER(INDEX(Avulsos!$B$6:$B$205,$C196)),INDEX(Avulsos!$B$6:$B$205,$C196),""))</f>
        <v/>
      </c>
      <c r="F196" s="114" t="str">
        <f aca="false">IF($E196="","",IF($B196="Tema",INDEX(Temas!$B$6:$B$305,$C196)&amp;"",INDEX(Avulsos!$C$6:$C$205,$C196)&amp;""))</f>
        <v/>
      </c>
      <c r="G196" s="114" t="str">
        <f aca="false">IF($E196="","",IF($B196="Tema",INDEX(Config!$C$6:$C$11,$D196),"Evento avulso"))</f>
        <v/>
      </c>
      <c r="H196" s="114" t="str">
        <f aca="false">IF($E196="","",IF($B196="Tema",INDEX(Config!$D$6:$D$11,$D196),IFERROR(INDEX(Config!$E$15:$E$19,MATCH($I196,Config!$C$15:$C$19,0)),"•")))</f>
        <v/>
      </c>
      <c r="I196" s="114" t="str">
        <f aca="false">IF($E196="","",IF($B196="Tema",INDEX(Config!$E$6:$E$11,$D196),IF(INDEX(Avulsos!$D$6:$D$205,$C196)&amp;""="","Outro",INDEX(Avulsos!$D$6:$D$205,$C196))))</f>
        <v/>
      </c>
      <c r="J196" s="114" t="str">
        <f aca="false">IF($E196="","",IF($B196="Tema",INDEX(Temas!$C$6:$C$305,$C196)&amp;"",INDEX(Avulsos!$E$6:$E$205,$C196)&amp;""))</f>
        <v/>
      </c>
      <c r="K196" s="114" t="str">
        <f aca="false">IF($E196="","",IF(IF($B196="Tema",INDEX(Temas!$E$6:$P$305,$C196,2*$D196),INDEX(Avulsos!$F$6:$F$205,$C196))&amp;""="","","✓"))</f>
        <v/>
      </c>
      <c r="L196" s="114" t="str">
        <f aca="true">IF($E196="","",IF($K196="✓","Concluído",IF($E196&lt;TODAY(),"Atrasado",IF($E196=TODAY(),"Hoje","Pendente"))))</f>
        <v/>
      </c>
      <c r="M196" s="114" t="str">
        <f aca="false">IF($E196="","",IF($K196="✓","✓ ","")&amp;IF(Config!$E$22="Sim",$H196&amp;" · ","")&amp;$F196)</f>
        <v/>
      </c>
      <c r="N196" s="114" t="str">
        <f aca="false">IF($E196="","",IFERROR(INDEX(Config!$D$15:$D$19,MATCH($I196,Config!$C$15:$C$19,0)),"OUT")&amp;IF($K196="✓","x",""))</f>
        <v/>
      </c>
      <c r="O196" s="114" t="str">
        <f aca="false">IF($E196="","",COUNTIF($E$5:$E196,$E196))</f>
        <v/>
      </c>
      <c r="P196" s="114" t="str">
        <f aca="false">IF($E196="","",$E196*100+$O196)</f>
        <v/>
      </c>
      <c r="Q196" s="114" t="str">
        <f aca="false">IF($L196="Atrasado",$E196*10000+$A196,"")</f>
        <v/>
      </c>
    </row>
    <row r="197" customFormat="false" ht="15" hidden="false" customHeight="false" outlineLevel="0" collapsed="false">
      <c r="A197" s="114" t="n">
        <f aca="false">ROW()-4</f>
        <v>193</v>
      </c>
      <c r="B197" s="114" t="str">
        <f aca="false">IF(A197&lt;=Config!$E$27*Config!$E$28,"Tema","Avulso")</f>
        <v>Tema</v>
      </c>
      <c r="C197" s="114" t="n">
        <f aca="false">IF(B197="Tema",INT((A197-1)/Config!$E$28)+1,A197-Config!$E$27*Config!$E$28)</f>
        <v>33</v>
      </c>
      <c r="D197" s="114" t="n">
        <f aca="false">IF(B197="Tema",MOD(A197-1,Config!$E$28)+1,"")</f>
        <v>1</v>
      </c>
      <c r="E197" s="115" t="str">
        <f aca="false">IF($B197="Tema",IF(ISNUMBER(INDEX(Temas!$E$6:$P$305,$C197,2*$D197-1)),INDEX(Temas!$E$6:$P$305,$C197,2*$D197-1),""),IF(ISNUMBER(INDEX(Avulsos!$B$6:$B$205,$C197)),INDEX(Avulsos!$B$6:$B$205,$C197),""))</f>
        <v/>
      </c>
      <c r="F197" s="114" t="str">
        <f aca="false">IF($E197="","",IF($B197="Tema",INDEX(Temas!$B$6:$B$305,$C197)&amp;"",INDEX(Avulsos!$C$6:$C$205,$C197)&amp;""))</f>
        <v/>
      </c>
      <c r="G197" s="114" t="str">
        <f aca="false">IF($E197="","",IF($B197="Tema",INDEX(Config!$C$6:$C$11,$D197),"Evento avulso"))</f>
        <v/>
      </c>
      <c r="H197" s="114" t="str">
        <f aca="false">IF($E197="","",IF($B197="Tema",INDEX(Config!$D$6:$D$11,$D197),IFERROR(INDEX(Config!$E$15:$E$19,MATCH($I197,Config!$C$15:$C$19,0)),"•")))</f>
        <v/>
      </c>
      <c r="I197" s="114" t="str">
        <f aca="false">IF($E197="","",IF($B197="Tema",INDEX(Config!$E$6:$E$11,$D197),IF(INDEX(Avulsos!$D$6:$D$205,$C197)&amp;""="","Outro",INDEX(Avulsos!$D$6:$D$205,$C197))))</f>
        <v/>
      </c>
      <c r="J197" s="114" t="str">
        <f aca="false">IF($E197="","",IF($B197="Tema",INDEX(Temas!$C$6:$C$305,$C197)&amp;"",INDEX(Avulsos!$E$6:$E$205,$C197)&amp;""))</f>
        <v/>
      </c>
      <c r="K197" s="114" t="str">
        <f aca="false">IF($E197="","",IF(IF($B197="Tema",INDEX(Temas!$E$6:$P$305,$C197,2*$D197),INDEX(Avulsos!$F$6:$F$205,$C197))&amp;""="","","✓"))</f>
        <v/>
      </c>
      <c r="L197" s="114" t="str">
        <f aca="true">IF($E197="","",IF($K197="✓","Concluído",IF($E197&lt;TODAY(),"Atrasado",IF($E197=TODAY(),"Hoje","Pendente"))))</f>
        <v/>
      </c>
      <c r="M197" s="114" t="str">
        <f aca="false">IF($E197="","",IF($K197="✓","✓ ","")&amp;IF(Config!$E$22="Sim",$H197&amp;" · ","")&amp;$F197)</f>
        <v/>
      </c>
      <c r="N197" s="114" t="str">
        <f aca="false">IF($E197="","",IFERROR(INDEX(Config!$D$15:$D$19,MATCH($I197,Config!$C$15:$C$19,0)),"OUT")&amp;IF($K197="✓","x",""))</f>
        <v/>
      </c>
      <c r="O197" s="114" t="str">
        <f aca="false">IF($E197="","",COUNTIF($E$5:$E197,$E197))</f>
        <v/>
      </c>
      <c r="P197" s="114" t="str">
        <f aca="false">IF($E197="","",$E197*100+$O197)</f>
        <v/>
      </c>
      <c r="Q197" s="114" t="str">
        <f aca="false">IF($L197="Atrasado",$E197*10000+$A197,"")</f>
        <v/>
      </c>
    </row>
    <row r="198" customFormat="false" ht="15" hidden="false" customHeight="false" outlineLevel="0" collapsed="false">
      <c r="A198" s="114" t="n">
        <f aca="false">ROW()-4</f>
        <v>194</v>
      </c>
      <c r="B198" s="114" t="str">
        <f aca="false">IF(A198&lt;=Config!$E$27*Config!$E$28,"Tema","Avulso")</f>
        <v>Tema</v>
      </c>
      <c r="C198" s="114" t="n">
        <f aca="false">IF(B198="Tema",INT((A198-1)/Config!$E$28)+1,A198-Config!$E$27*Config!$E$28)</f>
        <v>33</v>
      </c>
      <c r="D198" s="114" t="n">
        <f aca="false">IF(B198="Tema",MOD(A198-1,Config!$E$28)+1,"")</f>
        <v>2</v>
      </c>
      <c r="E198" s="115" t="str">
        <f aca="false">IF($B198="Tema",IF(ISNUMBER(INDEX(Temas!$E$6:$P$305,$C198,2*$D198-1)),INDEX(Temas!$E$6:$P$305,$C198,2*$D198-1),""),IF(ISNUMBER(INDEX(Avulsos!$B$6:$B$205,$C198)),INDEX(Avulsos!$B$6:$B$205,$C198),""))</f>
        <v/>
      </c>
      <c r="F198" s="114" t="str">
        <f aca="false">IF($E198="","",IF($B198="Tema",INDEX(Temas!$B$6:$B$305,$C198)&amp;"",INDEX(Avulsos!$C$6:$C$205,$C198)&amp;""))</f>
        <v/>
      </c>
      <c r="G198" s="114" t="str">
        <f aca="false">IF($E198="","",IF($B198="Tema",INDEX(Config!$C$6:$C$11,$D198),"Evento avulso"))</f>
        <v/>
      </c>
      <c r="H198" s="114" t="str">
        <f aca="false">IF($E198="","",IF($B198="Tema",INDEX(Config!$D$6:$D$11,$D198),IFERROR(INDEX(Config!$E$15:$E$19,MATCH($I198,Config!$C$15:$C$19,0)),"•")))</f>
        <v/>
      </c>
      <c r="I198" s="114" t="str">
        <f aca="false">IF($E198="","",IF($B198="Tema",INDEX(Config!$E$6:$E$11,$D198),IF(INDEX(Avulsos!$D$6:$D$205,$C198)&amp;""="","Outro",INDEX(Avulsos!$D$6:$D$205,$C198))))</f>
        <v/>
      </c>
      <c r="J198" s="114" t="str">
        <f aca="false">IF($E198="","",IF($B198="Tema",INDEX(Temas!$C$6:$C$305,$C198)&amp;"",INDEX(Avulsos!$E$6:$E$205,$C198)&amp;""))</f>
        <v/>
      </c>
      <c r="K198" s="114" t="str">
        <f aca="false">IF($E198="","",IF(IF($B198="Tema",INDEX(Temas!$E$6:$P$305,$C198,2*$D198),INDEX(Avulsos!$F$6:$F$205,$C198))&amp;""="","","✓"))</f>
        <v/>
      </c>
      <c r="L198" s="114" t="str">
        <f aca="true">IF($E198="","",IF($K198="✓","Concluído",IF($E198&lt;TODAY(),"Atrasado",IF($E198=TODAY(),"Hoje","Pendente"))))</f>
        <v/>
      </c>
      <c r="M198" s="114" t="str">
        <f aca="false">IF($E198="","",IF($K198="✓","✓ ","")&amp;IF(Config!$E$22="Sim",$H198&amp;" · ","")&amp;$F198)</f>
        <v/>
      </c>
      <c r="N198" s="114" t="str">
        <f aca="false">IF($E198="","",IFERROR(INDEX(Config!$D$15:$D$19,MATCH($I198,Config!$C$15:$C$19,0)),"OUT")&amp;IF($K198="✓","x",""))</f>
        <v/>
      </c>
      <c r="O198" s="114" t="str">
        <f aca="false">IF($E198="","",COUNTIF($E$5:$E198,$E198))</f>
        <v/>
      </c>
      <c r="P198" s="114" t="str">
        <f aca="false">IF($E198="","",$E198*100+$O198)</f>
        <v/>
      </c>
      <c r="Q198" s="114" t="str">
        <f aca="false">IF($L198="Atrasado",$E198*10000+$A198,"")</f>
        <v/>
      </c>
    </row>
    <row r="199" customFormat="false" ht="15" hidden="false" customHeight="false" outlineLevel="0" collapsed="false">
      <c r="A199" s="114" t="n">
        <f aca="false">ROW()-4</f>
        <v>195</v>
      </c>
      <c r="B199" s="114" t="str">
        <f aca="false">IF(A199&lt;=Config!$E$27*Config!$E$28,"Tema","Avulso")</f>
        <v>Tema</v>
      </c>
      <c r="C199" s="114" t="n">
        <f aca="false">IF(B199="Tema",INT((A199-1)/Config!$E$28)+1,A199-Config!$E$27*Config!$E$28)</f>
        <v>33</v>
      </c>
      <c r="D199" s="114" t="n">
        <f aca="false">IF(B199="Tema",MOD(A199-1,Config!$E$28)+1,"")</f>
        <v>3</v>
      </c>
      <c r="E199" s="115" t="str">
        <f aca="false">IF($B199="Tema",IF(ISNUMBER(INDEX(Temas!$E$6:$P$305,$C199,2*$D199-1)),INDEX(Temas!$E$6:$P$305,$C199,2*$D199-1),""),IF(ISNUMBER(INDEX(Avulsos!$B$6:$B$205,$C199)),INDEX(Avulsos!$B$6:$B$205,$C199),""))</f>
        <v/>
      </c>
      <c r="F199" s="114" t="str">
        <f aca="false">IF($E199="","",IF($B199="Tema",INDEX(Temas!$B$6:$B$305,$C199)&amp;"",INDEX(Avulsos!$C$6:$C$205,$C199)&amp;""))</f>
        <v/>
      </c>
      <c r="G199" s="114" t="str">
        <f aca="false">IF($E199="","",IF($B199="Tema",INDEX(Config!$C$6:$C$11,$D199),"Evento avulso"))</f>
        <v/>
      </c>
      <c r="H199" s="114" t="str">
        <f aca="false">IF($E199="","",IF($B199="Tema",INDEX(Config!$D$6:$D$11,$D199),IFERROR(INDEX(Config!$E$15:$E$19,MATCH($I199,Config!$C$15:$C$19,0)),"•")))</f>
        <v/>
      </c>
      <c r="I199" s="114" t="str">
        <f aca="false">IF($E199="","",IF($B199="Tema",INDEX(Config!$E$6:$E$11,$D199),IF(INDEX(Avulsos!$D$6:$D$205,$C199)&amp;""="","Outro",INDEX(Avulsos!$D$6:$D$205,$C199))))</f>
        <v/>
      </c>
      <c r="J199" s="114" t="str">
        <f aca="false">IF($E199="","",IF($B199="Tema",INDEX(Temas!$C$6:$C$305,$C199)&amp;"",INDEX(Avulsos!$E$6:$E$205,$C199)&amp;""))</f>
        <v/>
      </c>
      <c r="K199" s="114" t="str">
        <f aca="false">IF($E199="","",IF(IF($B199="Tema",INDEX(Temas!$E$6:$P$305,$C199,2*$D199),INDEX(Avulsos!$F$6:$F$205,$C199))&amp;""="","","✓"))</f>
        <v/>
      </c>
      <c r="L199" s="114" t="str">
        <f aca="true">IF($E199="","",IF($K199="✓","Concluído",IF($E199&lt;TODAY(),"Atrasado",IF($E199=TODAY(),"Hoje","Pendente"))))</f>
        <v/>
      </c>
      <c r="M199" s="114" t="str">
        <f aca="false">IF($E199="","",IF($K199="✓","✓ ","")&amp;IF(Config!$E$22="Sim",$H199&amp;" · ","")&amp;$F199)</f>
        <v/>
      </c>
      <c r="N199" s="114" t="str">
        <f aca="false">IF($E199="","",IFERROR(INDEX(Config!$D$15:$D$19,MATCH($I199,Config!$C$15:$C$19,0)),"OUT")&amp;IF($K199="✓","x",""))</f>
        <v/>
      </c>
      <c r="O199" s="114" t="str">
        <f aca="false">IF($E199="","",COUNTIF($E$5:$E199,$E199))</f>
        <v/>
      </c>
      <c r="P199" s="114" t="str">
        <f aca="false">IF($E199="","",$E199*100+$O199)</f>
        <v/>
      </c>
      <c r="Q199" s="114" t="str">
        <f aca="false">IF($L199="Atrasado",$E199*10000+$A199,"")</f>
        <v/>
      </c>
    </row>
    <row r="200" customFormat="false" ht="15" hidden="false" customHeight="false" outlineLevel="0" collapsed="false">
      <c r="A200" s="114" t="n">
        <f aca="false">ROW()-4</f>
        <v>196</v>
      </c>
      <c r="B200" s="114" t="str">
        <f aca="false">IF(A200&lt;=Config!$E$27*Config!$E$28,"Tema","Avulso")</f>
        <v>Tema</v>
      </c>
      <c r="C200" s="114" t="n">
        <f aca="false">IF(B200="Tema",INT((A200-1)/Config!$E$28)+1,A200-Config!$E$27*Config!$E$28)</f>
        <v>33</v>
      </c>
      <c r="D200" s="114" t="n">
        <f aca="false">IF(B200="Tema",MOD(A200-1,Config!$E$28)+1,"")</f>
        <v>4</v>
      </c>
      <c r="E200" s="115" t="str">
        <f aca="false">IF($B200="Tema",IF(ISNUMBER(INDEX(Temas!$E$6:$P$305,$C200,2*$D200-1)),INDEX(Temas!$E$6:$P$305,$C200,2*$D200-1),""),IF(ISNUMBER(INDEX(Avulsos!$B$6:$B$205,$C200)),INDEX(Avulsos!$B$6:$B$205,$C200),""))</f>
        <v/>
      </c>
      <c r="F200" s="114" t="str">
        <f aca="false">IF($E200="","",IF($B200="Tema",INDEX(Temas!$B$6:$B$305,$C200)&amp;"",INDEX(Avulsos!$C$6:$C$205,$C200)&amp;""))</f>
        <v/>
      </c>
      <c r="G200" s="114" t="str">
        <f aca="false">IF($E200="","",IF($B200="Tema",INDEX(Config!$C$6:$C$11,$D200),"Evento avulso"))</f>
        <v/>
      </c>
      <c r="H200" s="114" t="str">
        <f aca="false">IF($E200="","",IF($B200="Tema",INDEX(Config!$D$6:$D$11,$D200),IFERROR(INDEX(Config!$E$15:$E$19,MATCH($I200,Config!$C$15:$C$19,0)),"•")))</f>
        <v/>
      </c>
      <c r="I200" s="114" t="str">
        <f aca="false">IF($E200="","",IF($B200="Tema",INDEX(Config!$E$6:$E$11,$D200),IF(INDEX(Avulsos!$D$6:$D$205,$C200)&amp;""="","Outro",INDEX(Avulsos!$D$6:$D$205,$C200))))</f>
        <v/>
      </c>
      <c r="J200" s="114" t="str">
        <f aca="false">IF($E200="","",IF($B200="Tema",INDEX(Temas!$C$6:$C$305,$C200)&amp;"",INDEX(Avulsos!$E$6:$E$205,$C200)&amp;""))</f>
        <v/>
      </c>
      <c r="K200" s="114" t="str">
        <f aca="false">IF($E200="","",IF(IF($B200="Tema",INDEX(Temas!$E$6:$P$305,$C200,2*$D200),INDEX(Avulsos!$F$6:$F$205,$C200))&amp;""="","","✓"))</f>
        <v/>
      </c>
      <c r="L200" s="114" t="str">
        <f aca="true">IF($E200="","",IF($K200="✓","Concluído",IF($E200&lt;TODAY(),"Atrasado",IF($E200=TODAY(),"Hoje","Pendente"))))</f>
        <v/>
      </c>
      <c r="M200" s="114" t="str">
        <f aca="false">IF($E200="","",IF($K200="✓","✓ ","")&amp;IF(Config!$E$22="Sim",$H200&amp;" · ","")&amp;$F200)</f>
        <v/>
      </c>
      <c r="N200" s="114" t="str">
        <f aca="false">IF($E200="","",IFERROR(INDEX(Config!$D$15:$D$19,MATCH($I200,Config!$C$15:$C$19,0)),"OUT")&amp;IF($K200="✓","x",""))</f>
        <v/>
      </c>
      <c r="O200" s="114" t="str">
        <f aca="false">IF($E200="","",COUNTIF($E$5:$E200,$E200))</f>
        <v/>
      </c>
      <c r="P200" s="114" t="str">
        <f aca="false">IF($E200="","",$E200*100+$O200)</f>
        <v/>
      </c>
      <c r="Q200" s="114" t="str">
        <f aca="false">IF($L200="Atrasado",$E200*10000+$A200,"")</f>
        <v/>
      </c>
    </row>
    <row r="201" customFormat="false" ht="15" hidden="false" customHeight="false" outlineLevel="0" collapsed="false">
      <c r="A201" s="114" t="n">
        <f aca="false">ROW()-4</f>
        <v>197</v>
      </c>
      <c r="B201" s="114" t="str">
        <f aca="false">IF(A201&lt;=Config!$E$27*Config!$E$28,"Tema","Avulso")</f>
        <v>Tema</v>
      </c>
      <c r="C201" s="114" t="n">
        <f aca="false">IF(B201="Tema",INT((A201-1)/Config!$E$28)+1,A201-Config!$E$27*Config!$E$28)</f>
        <v>33</v>
      </c>
      <c r="D201" s="114" t="n">
        <f aca="false">IF(B201="Tema",MOD(A201-1,Config!$E$28)+1,"")</f>
        <v>5</v>
      </c>
      <c r="E201" s="115" t="str">
        <f aca="false">IF($B201="Tema",IF(ISNUMBER(INDEX(Temas!$E$6:$P$305,$C201,2*$D201-1)),INDEX(Temas!$E$6:$P$305,$C201,2*$D201-1),""),IF(ISNUMBER(INDEX(Avulsos!$B$6:$B$205,$C201)),INDEX(Avulsos!$B$6:$B$205,$C201),""))</f>
        <v/>
      </c>
      <c r="F201" s="114" t="str">
        <f aca="false">IF($E201="","",IF($B201="Tema",INDEX(Temas!$B$6:$B$305,$C201)&amp;"",INDEX(Avulsos!$C$6:$C$205,$C201)&amp;""))</f>
        <v/>
      </c>
      <c r="G201" s="114" t="str">
        <f aca="false">IF($E201="","",IF($B201="Tema",INDEX(Config!$C$6:$C$11,$D201),"Evento avulso"))</f>
        <v/>
      </c>
      <c r="H201" s="114" t="str">
        <f aca="false">IF($E201="","",IF($B201="Tema",INDEX(Config!$D$6:$D$11,$D201),IFERROR(INDEX(Config!$E$15:$E$19,MATCH($I201,Config!$C$15:$C$19,0)),"•")))</f>
        <v/>
      </c>
      <c r="I201" s="114" t="str">
        <f aca="false">IF($E201="","",IF($B201="Tema",INDEX(Config!$E$6:$E$11,$D201),IF(INDEX(Avulsos!$D$6:$D$205,$C201)&amp;""="","Outro",INDEX(Avulsos!$D$6:$D$205,$C201))))</f>
        <v/>
      </c>
      <c r="J201" s="114" t="str">
        <f aca="false">IF($E201="","",IF($B201="Tema",INDEX(Temas!$C$6:$C$305,$C201)&amp;"",INDEX(Avulsos!$E$6:$E$205,$C201)&amp;""))</f>
        <v/>
      </c>
      <c r="K201" s="114" t="str">
        <f aca="false">IF($E201="","",IF(IF($B201="Tema",INDEX(Temas!$E$6:$P$305,$C201,2*$D201),INDEX(Avulsos!$F$6:$F$205,$C201))&amp;""="","","✓"))</f>
        <v/>
      </c>
      <c r="L201" s="114" t="str">
        <f aca="true">IF($E201="","",IF($K201="✓","Concluído",IF($E201&lt;TODAY(),"Atrasado",IF($E201=TODAY(),"Hoje","Pendente"))))</f>
        <v/>
      </c>
      <c r="M201" s="114" t="str">
        <f aca="false">IF($E201="","",IF($K201="✓","✓ ","")&amp;IF(Config!$E$22="Sim",$H201&amp;" · ","")&amp;$F201)</f>
        <v/>
      </c>
      <c r="N201" s="114" t="str">
        <f aca="false">IF($E201="","",IFERROR(INDEX(Config!$D$15:$D$19,MATCH($I201,Config!$C$15:$C$19,0)),"OUT")&amp;IF($K201="✓","x",""))</f>
        <v/>
      </c>
      <c r="O201" s="114" t="str">
        <f aca="false">IF($E201="","",COUNTIF($E$5:$E201,$E201))</f>
        <v/>
      </c>
      <c r="P201" s="114" t="str">
        <f aca="false">IF($E201="","",$E201*100+$O201)</f>
        <v/>
      </c>
      <c r="Q201" s="114" t="str">
        <f aca="false">IF($L201="Atrasado",$E201*10000+$A201,"")</f>
        <v/>
      </c>
    </row>
    <row r="202" customFormat="false" ht="15" hidden="false" customHeight="false" outlineLevel="0" collapsed="false">
      <c r="A202" s="114" t="n">
        <f aca="false">ROW()-4</f>
        <v>198</v>
      </c>
      <c r="B202" s="114" t="str">
        <f aca="false">IF(A202&lt;=Config!$E$27*Config!$E$28,"Tema","Avulso")</f>
        <v>Tema</v>
      </c>
      <c r="C202" s="114" t="n">
        <f aca="false">IF(B202="Tema",INT((A202-1)/Config!$E$28)+1,A202-Config!$E$27*Config!$E$28)</f>
        <v>33</v>
      </c>
      <c r="D202" s="114" t="n">
        <f aca="false">IF(B202="Tema",MOD(A202-1,Config!$E$28)+1,"")</f>
        <v>6</v>
      </c>
      <c r="E202" s="115" t="str">
        <f aca="false">IF($B202="Tema",IF(ISNUMBER(INDEX(Temas!$E$6:$P$305,$C202,2*$D202-1)),INDEX(Temas!$E$6:$P$305,$C202,2*$D202-1),""),IF(ISNUMBER(INDEX(Avulsos!$B$6:$B$205,$C202)),INDEX(Avulsos!$B$6:$B$205,$C202),""))</f>
        <v/>
      </c>
      <c r="F202" s="114" t="str">
        <f aca="false">IF($E202="","",IF($B202="Tema",INDEX(Temas!$B$6:$B$305,$C202)&amp;"",INDEX(Avulsos!$C$6:$C$205,$C202)&amp;""))</f>
        <v/>
      </c>
      <c r="G202" s="114" t="str">
        <f aca="false">IF($E202="","",IF($B202="Tema",INDEX(Config!$C$6:$C$11,$D202),"Evento avulso"))</f>
        <v/>
      </c>
      <c r="H202" s="114" t="str">
        <f aca="false">IF($E202="","",IF($B202="Tema",INDEX(Config!$D$6:$D$11,$D202),IFERROR(INDEX(Config!$E$15:$E$19,MATCH($I202,Config!$C$15:$C$19,0)),"•")))</f>
        <v/>
      </c>
      <c r="I202" s="114" t="str">
        <f aca="false">IF($E202="","",IF($B202="Tema",INDEX(Config!$E$6:$E$11,$D202),IF(INDEX(Avulsos!$D$6:$D$205,$C202)&amp;""="","Outro",INDEX(Avulsos!$D$6:$D$205,$C202))))</f>
        <v/>
      </c>
      <c r="J202" s="114" t="str">
        <f aca="false">IF($E202="","",IF($B202="Tema",INDEX(Temas!$C$6:$C$305,$C202)&amp;"",INDEX(Avulsos!$E$6:$E$205,$C202)&amp;""))</f>
        <v/>
      </c>
      <c r="K202" s="114" t="str">
        <f aca="false">IF($E202="","",IF(IF($B202="Tema",INDEX(Temas!$E$6:$P$305,$C202,2*$D202),INDEX(Avulsos!$F$6:$F$205,$C202))&amp;""="","","✓"))</f>
        <v/>
      </c>
      <c r="L202" s="114" t="str">
        <f aca="true">IF($E202="","",IF($K202="✓","Concluído",IF($E202&lt;TODAY(),"Atrasado",IF($E202=TODAY(),"Hoje","Pendente"))))</f>
        <v/>
      </c>
      <c r="M202" s="114" t="str">
        <f aca="false">IF($E202="","",IF($K202="✓","✓ ","")&amp;IF(Config!$E$22="Sim",$H202&amp;" · ","")&amp;$F202)</f>
        <v/>
      </c>
      <c r="N202" s="114" t="str">
        <f aca="false">IF($E202="","",IFERROR(INDEX(Config!$D$15:$D$19,MATCH($I202,Config!$C$15:$C$19,0)),"OUT")&amp;IF($K202="✓","x",""))</f>
        <v/>
      </c>
      <c r="O202" s="114" t="str">
        <f aca="false">IF($E202="","",COUNTIF($E$5:$E202,$E202))</f>
        <v/>
      </c>
      <c r="P202" s="114" t="str">
        <f aca="false">IF($E202="","",$E202*100+$O202)</f>
        <v/>
      </c>
      <c r="Q202" s="114" t="str">
        <f aca="false">IF($L202="Atrasado",$E202*10000+$A202,"")</f>
        <v/>
      </c>
    </row>
    <row r="203" customFormat="false" ht="15" hidden="false" customHeight="false" outlineLevel="0" collapsed="false">
      <c r="A203" s="114" t="n">
        <f aca="false">ROW()-4</f>
        <v>199</v>
      </c>
      <c r="B203" s="114" t="str">
        <f aca="false">IF(A203&lt;=Config!$E$27*Config!$E$28,"Tema","Avulso")</f>
        <v>Tema</v>
      </c>
      <c r="C203" s="114" t="n">
        <f aca="false">IF(B203="Tema",INT((A203-1)/Config!$E$28)+1,A203-Config!$E$27*Config!$E$28)</f>
        <v>34</v>
      </c>
      <c r="D203" s="114" t="n">
        <f aca="false">IF(B203="Tema",MOD(A203-1,Config!$E$28)+1,"")</f>
        <v>1</v>
      </c>
      <c r="E203" s="115" t="str">
        <f aca="false">IF($B203="Tema",IF(ISNUMBER(INDEX(Temas!$E$6:$P$305,$C203,2*$D203-1)),INDEX(Temas!$E$6:$P$305,$C203,2*$D203-1),""),IF(ISNUMBER(INDEX(Avulsos!$B$6:$B$205,$C203)),INDEX(Avulsos!$B$6:$B$205,$C203),""))</f>
        <v/>
      </c>
      <c r="F203" s="114" t="str">
        <f aca="false">IF($E203="","",IF($B203="Tema",INDEX(Temas!$B$6:$B$305,$C203)&amp;"",INDEX(Avulsos!$C$6:$C$205,$C203)&amp;""))</f>
        <v/>
      </c>
      <c r="G203" s="114" t="str">
        <f aca="false">IF($E203="","",IF($B203="Tema",INDEX(Config!$C$6:$C$11,$D203),"Evento avulso"))</f>
        <v/>
      </c>
      <c r="H203" s="114" t="str">
        <f aca="false">IF($E203="","",IF($B203="Tema",INDEX(Config!$D$6:$D$11,$D203),IFERROR(INDEX(Config!$E$15:$E$19,MATCH($I203,Config!$C$15:$C$19,0)),"•")))</f>
        <v/>
      </c>
      <c r="I203" s="114" t="str">
        <f aca="false">IF($E203="","",IF($B203="Tema",INDEX(Config!$E$6:$E$11,$D203),IF(INDEX(Avulsos!$D$6:$D$205,$C203)&amp;""="","Outro",INDEX(Avulsos!$D$6:$D$205,$C203))))</f>
        <v/>
      </c>
      <c r="J203" s="114" t="str">
        <f aca="false">IF($E203="","",IF($B203="Tema",INDEX(Temas!$C$6:$C$305,$C203)&amp;"",INDEX(Avulsos!$E$6:$E$205,$C203)&amp;""))</f>
        <v/>
      </c>
      <c r="K203" s="114" t="str">
        <f aca="false">IF($E203="","",IF(IF($B203="Tema",INDEX(Temas!$E$6:$P$305,$C203,2*$D203),INDEX(Avulsos!$F$6:$F$205,$C203))&amp;""="","","✓"))</f>
        <v/>
      </c>
      <c r="L203" s="114" t="str">
        <f aca="true">IF($E203="","",IF($K203="✓","Concluído",IF($E203&lt;TODAY(),"Atrasado",IF($E203=TODAY(),"Hoje","Pendente"))))</f>
        <v/>
      </c>
      <c r="M203" s="114" t="str">
        <f aca="false">IF($E203="","",IF($K203="✓","✓ ","")&amp;IF(Config!$E$22="Sim",$H203&amp;" · ","")&amp;$F203)</f>
        <v/>
      </c>
      <c r="N203" s="114" t="str">
        <f aca="false">IF($E203="","",IFERROR(INDEX(Config!$D$15:$D$19,MATCH($I203,Config!$C$15:$C$19,0)),"OUT")&amp;IF($K203="✓","x",""))</f>
        <v/>
      </c>
      <c r="O203" s="114" t="str">
        <f aca="false">IF($E203="","",COUNTIF($E$5:$E203,$E203))</f>
        <v/>
      </c>
      <c r="P203" s="114" t="str">
        <f aca="false">IF($E203="","",$E203*100+$O203)</f>
        <v/>
      </c>
      <c r="Q203" s="114" t="str">
        <f aca="false">IF($L203="Atrasado",$E203*10000+$A203,"")</f>
        <v/>
      </c>
    </row>
    <row r="204" customFormat="false" ht="15" hidden="false" customHeight="false" outlineLevel="0" collapsed="false">
      <c r="A204" s="114" t="n">
        <f aca="false">ROW()-4</f>
        <v>200</v>
      </c>
      <c r="B204" s="114" t="str">
        <f aca="false">IF(A204&lt;=Config!$E$27*Config!$E$28,"Tema","Avulso")</f>
        <v>Tema</v>
      </c>
      <c r="C204" s="114" t="n">
        <f aca="false">IF(B204="Tema",INT((A204-1)/Config!$E$28)+1,A204-Config!$E$27*Config!$E$28)</f>
        <v>34</v>
      </c>
      <c r="D204" s="114" t="n">
        <f aca="false">IF(B204="Tema",MOD(A204-1,Config!$E$28)+1,"")</f>
        <v>2</v>
      </c>
      <c r="E204" s="115" t="str">
        <f aca="false">IF($B204="Tema",IF(ISNUMBER(INDEX(Temas!$E$6:$P$305,$C204,2*$D204-1)),INDEX(Temas!$E$6:$P$305,$C204,2*$D204-1),""),IF(ISNUMBER(INDEX(Avulsos!$B$6:$B$205,$C204)),INDEX(Avulsos!$B$6:$B$205,$C204),""))</f>
        <v/>
      </c>
      <c r="F204" s="114" t="str">
        <f aca="false">IF($E204="","",IF($B204="Tema",INDEX(Temas!$B$6:$B$305,$C204)&amp;"",INDEX(Avulsos!$C$6:$C$205,$C204)&amp;""))</f>
        <v/>
      </c>
      <c r="G204" s="114" t="str">
        <f aca="false">IF($E204="","",IF($B204="Tema",INDEX(Config!$C$6:$C$11,$D204),"Evento avulso"))</f>
        <v/>
      </c>
      <c r="H204" s="114" t="str">
        <f aca="false">IF($E204="","",IF($B204="Tema",INDEX(Config!$D$6:$D$11,$D204),IFERROR(INDEX(Config!$E$15:$E$19,MATCH($I204,Config!$C$15:$C$19,0)),"•")))</f>
        <v/>
      </c>
      <c r="I204" s="114" t="str">
        <f aca="false">IF($E204="","",IF($B204="Tema",INDEX(Config!$E$6:$E$11,$D204),IF(INDEX(Avulsos!$D$6:$D$205,$C204)&amp;""="","Outro",INDEX(Avulsos!$D$6:$D$205,$C204))))</f>
        <v/>
      </c>
      <c r="J204" s="114" t="str">
        <f aca="false">IF($E204="","",IF($B204="Tema",INDEX(Temas!$C$6:$C$305,$C204)&amp;"",INDEX(Avulsos!$E$6:$E$205,$C204)&amp;""))</f>
        <v/>
      </c>
      <c r="K204" s="114" t="str">
        <f aca="false">IF($E204="","",IF(IF($B204="Tema",INDEX(Temas!$E$6:$P$305,$C204,2*$D204),INDEX(Avulsos!$F$6:$F$205,$C204))&amp;""="","","✓"))</f>
        <v/>
      </c>
      <c r="L204" s="114" t="str">
        <f aca="true">IF($E204="","",IF($K204="✓","Concluído",IF($E204&lt;TODAY(),"Atrasado",IF($E204=TODAY(),"Hoje","Pendente"))))</f>
        <v/>
      </c>
      <c r="M204" s="114" t="str">
        <f aca="false">IF($E204="","",IF($K204="✓","✓ ","")&amp;IF(Config!$E$22="Sim",$H204&amp;" · ","")&amp;$F204)</f>
        <v/>
      </c>
      <c r="N204" s="114" t="str">
        <f aca="false">IF($E204="","",IFERROR(INDEX(Config!$D$15:$D$19,MATCH($I204,Config!$C$15:$C$19,0)),"OUT")&amp;IF($K204="✓","x",""))</f>
        <v/>
      </c>
      <c r="O204" s="114" t="str">
        <f aca="false">IF($E204="","",COUNTIF($E$5:$E204,$E204))</f>
        <v/>
      </c>
      <c r="P204" s="114" t="str">
        <f aca="false">IF($E204="","",$E204*100+$O204)</f>
        <v/>
      </c>
      <c r="Q204" s="114" t="str">
        <f aca="false">IF($L204="Atrasado",$E204*10000+$A204,"")</f>
        <v/>
      </c>
    </row>
    <row r="205" customFormat="false" ht="15" hidden="false" customHeight="false" outlineLevel="0" collapsed="false">
      <c r="A205" s="114" t="n">
        <f aca="false">ROW()-4</f>
        <v>201</v>
      </c>
      <c r="B205" s="114" t="str">
        <f aca="false">IF(A205&lt;=Config!$E$27*Config!$E$28,"Tema","Avulso")</f>
        <v>Tema</v>
      </c>
      <c r="C205" s="114" t="n">
        <f aca="false">IF(B205="Tema",INT((A205-1)/Config!$E$28)+1,A205-Config!$E$27*Config!$E$28)</f>
        <v>34</v>
      </c>
      <c r="D205" s="114" t="n">
        <f aca="false">IF(B205="Tema",MOD(A205-1,Config!$E$28)+1,"")</f>
        <v>3</v>
      </c>
      <c r="E205" s="115" t="str">
        <f aca="false">IF($B205="Tema",IF(ISNUMBER(INDEX(Temas!$E$6:$P$305,$C205,2*$D205-1)),INDEX(Temas!$E$6:$P$305,$C205,2*$D205-1),""),IF(ISNUMBER(INDEX(Avulsos!$B$6:$B$205,$C205)),INDEX(Avulsos!$B$6:$B$205,$C205),""))</f>
        <v/>
      </c>
      <c r="F205" s="114" t="str">
        <f aca="false">IF($E205="","",IF($B205="Tema",INDEX(Temas!$B$6:$B$305,$C205)&amp;"",INDEX(Avulsos!$C$6:$C$205,$C205)&amp;""))</f>
        <v/>
      </c>
      <c r="G205" s="114" t="str">
        <f aca="false">IF($E205="","",IF($B205="Tema",INDEX(Config!$C$6:$C$11,$D205),"Evento avulso"))</f>
        <v/>
      </c>
      <c r="H205" s="114" t="str">
        <f aca="false">IF($E205="","",IF($B205="Tema",INDEX(Config!$D$6:$D$11,$D205),IFERROR(INDEX(Config!$E$15:$E$19,MATCH($I205,Config!$C$15:$C$19,0)),"•")))</f>
        <v/>
      </c>
      <c r="I205" s="114" t="str">
        <f aca="false">IF($E205="","",IF($B205="Tema",INDEX(Config!$E$6:$E$11,$D205),IF(INDEX(Avulsos!$D$6:$D$205,$C205)&amp;""="","Outro",INDEX(Avulsos!$D$6:$D$205,$C205))))</f>
        <v/>
      </c>
      <c r="J205" s="114" t="str">
        <f aca="false">IF($E205="","",IF($B205="Tema",INDEX(Temas!$C$6:$C$305,$C205)&amp;"",INDEX(Avulsos!$E$6:$E$205,$C205)&amp;""))</f>
        <v/>
      </c>
      <c r="K205" s="114" t="str">
        <f aca="false">IF($E205="","",IF(IF($B205="Tema",INDEX(Temas!$E$6:$P$305,$C205,2*$D205),INDEX(Avulsos!$F$6:$F$205,$C205))&amp;""="","","✓"))</f>
        <v/>
      </c>
      <c r="L205" s="114" t="str">
        <f aca="true">IF($E205="","",IF($K205="✓","Concluído",IF($E205&lt;TODAY(),"Atrasado",IF($E205=TODAY(),"Hoje","Pendente"))))</f>
        <v/>
      </c>
      <c r="M205" s="114" t="str">
        <f aca="false">IF($E205="","",IF($K205="✓","✓ ","")&amp;IF(Config!$E$22="Sim",$H205&amp;" · ","")&amp;$F205)</f>
        <v/>
      </c>
      <c r="N205" s="114" t="str">
        <f aca="false">IF($E205="","",IFERROR(INDEX(Config!$D$15:$D$19,MATCH($I205,Config!$C$15:$C$19,0)),"OUT")&amp;IF($K205="✓","x",""))</f>
        <v/>
      </c>
      <c r="O205" s="114" t="str">
        <f aca="false">IF($E205="","",COUNTIF($E$5:$E205,$E205))</f>
        <v/>
      </c>
      <c r="P205" s="114" t="str">
        <f aca="false">IF($E205="","",$E205*100+$O205)</f>
        <v/>
      </c>
      <c r="Q205" s="114" t="str">
        <f aca="false">IF($L205="Atrasado",$E205*10000+$A205,"")</f>
        <v/>
      </c>
    </row>
    <row r="206" customFormat="false" ht="15" hidden="false" customHeight="false" outlineLevel="0" collapsed="false">
      <c r="A206" s="114" t="n">
        <f aca="false">ROW()-4</f>
        <v>202</v>
      </c>
      <c r="B206" s="114" t="str">
        <f aca="false">IF(A206&lt;=Config!$E$27*Config!$E$28,"Tema","Avulso")</f>
        <v>Tema</v>
      </c>
      <c r="C206" s="114" t="n">
        <f aca="false">IF(B206="Tema",INT((A206-1)/Config!$E$28)+1,A206-Config!$E$27*Config!$E$28)</f>
        <v>34</v>
      </c>
      <c r="D206" s="114" t="n">
        <f aca="false">IF(B206="Tema",MOD(A206-1,Config!$E$28)+1,"")</f>
        <v>4</v>
      </c>
      <c r="E206" s="115" t="str">
        <f aca="false">IF($B206="Tema",IF(ISNUMBER(INDEX(Temas!$E$6:$P$305,$C206,2*$D206-1)),INDEX(Temas!$E$6:$P$305,$C206,2*$D206-1),""),IF(ISNUMBER(INDEX(Avulsos!$B$6:$B$205,$C206)),INDEX(Avulsos!$B$6:$B$205,$C206),""))</f>
        <v/>
      </c>
      <c r="F206" s="114" t="str">
        <f aca="false">IF($E206="","",IF($B206="Tema",INDEX(Temas!$B$6:$B$305,$C206)&amp;"",INDEX(Avulsos!$C$6:$C$205,$C206)&amp;""))</f>
        <v/>
      </c>
      <c r="G206" s="114" t="str">
        <f aca="false">IF($E206="","",IF($B206="Tema",INDEX(Config!$C$6:$C$11,$D206),"Evento avulso"))</f>
        <v/>
      </c>
      <c r="H206" s="114" t="str">
        <f aca="false">IF($E206="","",IF($B206="Tema",INDEX(Config!$D$6:$D$11,$D206),IFERROR(INDEX(Config!$E$15:$E$19,MATCH($I206,Config!$C$15:$C$19,0)),"•")))</f>
        <v/>
      </c>
      <c r="I206" s="114" t="str">
        <f aca="false">IF($E206="","",IF($B206="Tema",INDEX(Config!$E$6:$E$11,$D206),IF(INDEX(Avulsos!$D$6:$D$205,$C206)&amp;""="","Outro",INDEX(Avulsos!$D$6:$D$205,$C206))))</f>
        <v/>
      </c>
      <c r="J206" s="114" t="str">
        <f aca="false">IF($E206="","",IF($B206="Tema",INDEX(Temas!$C$6:$C$305,$C206)&amp;"",INDEX(Avulsos!$E$6:$E$205,$C206)&amp;""))</f>
        <v/>
      </c>
      <c r="K206" s="114" t="str">
        <f aca="false">IF($E206="","",IF(IF($B206="Tema",INDEX(Temas!$E$6:$P$305,$C206,2*$D206),INDEX(Avulsos!$F$6:$F$205,$C206))&amp;""="","","✓"))</f>
        <v/>
      </c>
      <c r="L206" s="114" t="str">
        <f aca="true">IF($E206="","",IF($K206="✓","Concluído",IF($E206&lt;TODAY(),"Atrasado",IF($E206=TODAY(),"Hoje","Pendente"))))</f>
        <v/>
      </c>
      <c r="M206" s="114" t="str">
        <f aca="false">IF($E206="","",IF($K206="✓","✓ ","")&amp;IF(Config!$E$22="Sim",$H206&amp;" · ","")&amp;$F206)</f>
        <v/>
      </c>
      <c r="N206" s="114" t="str">
        <f aca="false">IF($E206="","",IFERROR(INDEX(Config!$D$15:$D$19,MATCH($I206,Config!$C$15:$C$19,0)),"OUT")&amp;IF($K206="✓","x",""))</f>
        <v/>
      </c>
      <c r="O206" s="114" t="str">
        <f aca="false">IF($E206="","",COUNTIF($E$5:$E206,$E206))</f>
        <v/>
      </c>
      <c r="P206" s="114" t="str">
        <f aca="false">IF($E206="","",$E206*100+$O206)</f>
        <v/>
      </c>
      <c r="Q206" s="114" t="str">
        <f aca="false">IF($L206="Atrasado",$E206*10000+$A206,"")</f>
        <v/>
      </c>
    </row>
    <row r="207" customFormat="false" ht="15" hidden="false" customHeight="false" outlineLevel="0" collapsed="false">
      <c r="A207" s="114" t="n">
        <f aca="false">ROW()-4</f>
        <v>203</v>
      </c>
      <c r="B207" s="114" t="str">
        <f aca="false">IF(A207&lt;=Config!$E$27*Config!$E$28,"Tema","Avulso")</f>
        <v>Tema</v>
      </c>
      <c r="C207" s="114" t="n">
        <f aca="false">IF(B207="Tema",INT((A207-1)/Config!$E$28)+1,A207-Config!$E$27*Config!$E$28)</f>
        <v>34</v>
      </c>
      <c r="D207" s="114" t="n">
        <f aca="false">IF(B207="Tema",MOD(A207-1,Config!$E$28)+1,"")</f>
        <v>5</v>
      </c>
      <c r="E207" s="115" t="str">
        <f aca="false">IF($B207="Tema",IF(ISNUMBER(INDEX(Temas!$E$6:$P$305,$C207,2*$D207-1)),INDEX(Temas!$E$6:$P$305,$C207,2*$D207-1),""),IF(ISNUMBER(INDEX(Avulsos!$B$6:$B$205,$C207)),INDEX(Avulsos!$B$6:$B$205,$C207),""))</f>
        <v/>
      </c>
      <c r="F207" s="114" t="str">
        <f aca="false">IF($E207="","",IF($B207="Tema",INDEX(Temas!$B$6:$B$305,$C207)&amp;"",INDEX(Avulsos!$C$6:$C$205,$C207)&amp;""))</f>
        <v/>
      </c>
      <c r="G207" s="114" t="str">
        <f aca="false">IF($E207="","",IF($B207="Tema",INDEX(Config!$C$6:$C$11,$D207),"Evento avulso"))</f>
        <v/>
      </c>
      <c r="H207" s="114" t="str">
        <f aca="false">IF($E207="","",IF($B207="Tema",INDEX(Config!$D$6:$D$11,$D207),IFERROR(INDEX(Config!$E$15:$E$19,MATCH($I207,Config!$C$15:$C$19,0)),"•")))</f>
        <v/>
      </c>
      <c r="I207" s="114" t="str">
        <f aca="false">IF($E207="","",IF($B207="Tema",INDEX(Config!$E$6:$E$11,$D207),IF(INDEX(Avulsos!$D$6:$D$205,$C207)&amp;""="","Outro",INDEX(Avulsos!$D$6:$D$205,$C207))))</f>
        <v/>
      </c>
      <c r="J207" s="114" t="str">
        <f aca="false">IF($E207="","",IF($B207="Tema",INDEX(Temas!$C$6:$C$305,$C207)&amp;"",INDEX(Avulsos!$E$6:$E$205,$C207)&amp;""))</f>
        <v/>
      </c>
      <c r="K207" s="114" t="str">
        <f aca="false">IF($E207="","",IF(IF($B207="Tema",INDEX(Temas!$E$6:$P$305,$C207,2*$D207),INDEX(Avulsos!$F$6:$F$205,$C207))&amp;""="","","✓"))</f>
        <v/>
      </c>
      <c r="L207" s="114" t="str">
        <f aca="true">IF($E207="","",IF($K207="✓","Concluído",IF($E207&lt;TODAY(),"Atrasado",IF($E207=TODAY(),"Hoje","Pendente"))))</f>
        <v/>
      </c>
      <c r="M207" s="114" t="str">
        <f aca="false">IF($E207="","",IF($K207="✓","✓ ","")&amp;IF(Config!$E$22="Sim",$H207&amp;" · ","")&amp;$F207)</f>
        <v/>
      </c>
      <c r="N207" s="114" t="str">
        <f aca="false">IF($E207="","",IFERROR(INDEX(Config!$D$15:$D$19,MATCH($I207,Config!$C$15:$C$19,0)),"OUT")&amp;IF($K207="✓","x",""))</f>
        <v/>
      </c>
      <c r="O207" s="114" t="str">
        <f aca="false">IF($E207="","",COUNTIF($E$5:$E207,$E207))</f>
        <v/>
      </c>
      <c r="P207" s="114" t="str">
        <f aca="false">IF($E207="","",$E207*100+$O207)</f>
        <v/>
      </c>
      <c r="Q207" s="114" t="str">
        <f aca="false">IF($L207="Atrasado",$E207*10000+$A207,"")</f>
        <v/>
      </c>
    </row>
    <row r="208" customFormat="false" ht="15" hidden="false" customHeight="false" outlineLevel="0" collapsed="false">
      <c r="A208" s="114" t="n">
        <f aca="false">ROW()-4</f>
        <v>204</v>
      </c>
      <c r="B208" s="114" t="str">
        <f aca="false">IF(A208&lt;=Config!$E$27*Config!$E$28,"Tema","Avulso")</f>
        <v>Tema</v>
      </c>
      <c r="C208" s="114" t="n">
        <f aca="false">IF(B208="Tema",INT((A208-1)/Config!$E$28)+1,A208-Config!$E$27*Config!$E$28)</f>
        <v>34</v>
      </c>
      <c r="D208" s="114" t="n">
        <f aca="false">IF(B208="Tema",MOD(A208-1,Config!$E$28)+1,"")</f>
        <v>6</v>
      </c>
      <c r="E208" s="115" t="str">
        <f aca="false">IF($B208="Tema",IF(ISNUMBER(INDEX(Temas!$E$6:$P$305,$C208,2*$D208-1)),INDEX(Temas!$E$6:$P$305,$C208,2*$D208-1),""),IF(ISNUMBER(INDEX(Avulsos!$B$6:$B$205,$C208)),INDEX(Avulsos!$B$6:$B$205,$C208),""))</f>
        <v/>
      </c>
      <c r="F208" s="114" t="str">
        <f aca="false">IF($E208="","",IF($B208="Tema",INDEX(Temas!$B$6:$B$305,$C208)&amp;"",INDEX(Avulsos!$C$6:$C$205,$C208)&amp;""))</f>
        <v/>
      </c>
      <c r="G208" s="114" t="str">
        <f aca="false">IF($E208="","",IF($B208="Tema",INDEX(Config!$C$6:$C$11,$D208),"Evento avulso"))</f>
        <v/>
      </c>
      <c r="H208" s="114" t="str">
        <f aca="false">IF($E208="","",IF($B208="Tema",INDEX(Config!$D$6:$D$11,$D208),IFERROR(INDEX(Config!$E$15:$E$19,MATCH($I208,Config!$C$15:$C$19,0)),"•")))</f>
        <v/>
      </c>
      <c r="I208" s="114" t="str">
        <f aca="false">IF($E208="","",IF($B208="Tema",INDEX(Config!$E$6:$E$11,$D208),IF(INDEX(Avulsos!$D$6:$D$205,$C208)&amp;""="","Outro",INDEX(Avulsos!$D$6:$D$205,$C208))))</f>
        <v/>
      </c>
      <c r="J208" s="114" t="str">
        <f aca="false">IF($E208="","",IF($B208="Tema",INDEX(Temas!$C$6:$C$305,$C208)&amp;"",INDEX(Avulsos!$E$6:$E$205,$C208)&amp;""))</f>
        <v/>
      </c>
      <c r="K208" s="114" t="str">
        <f aca="false">IF($E208="","",IF(IF($B208="Tema",INDEX(Temas!$E$6:$P$305,$C208,2*$D208),INDEX(Avulsos!$F$6:$F$205,$C208))&amp;""="","","✓"))</f>
        <v/>
      </c>
      <c r="L208" s="114" t="str">
        <f aca="true">IF($E208="","",IF($K208="✓","Concluído",IF($E208&lt;TODAY(),"Atrasado",IF($E208=TODAY(),"Hoje","Pendente"))))</f>
        <v/>
      </c>
      <c r="M208" s="114" t="str">
        <f aca="false">IF($E208="","",IF($K208="✓","✓ ","")&amp;IF(Config!$E$22="Sim",$H208&amp;" · ","")&amp;$F208)</f>
        <v/>
      </c>
      <c r="N208" s="114" t="str">
        <f aca="false">IF($E208="","",IFERROR(INDEX(Config!$D$15:$D$19,MATCH($I208,Config!$C$15:$C$19,0)),"OUT")&amp;IF($K208="✓","x",""))</f>
        <v/>
      </c>
      <c r="O208" s="114" t="str">
        <f aca="false">IF($E208="","",COUNTIF($E$5:$E208,$E208))</f>
        <v/>
      </c>
      <c r="P208" s="114" t="str">
        <f aca="false">IF($E208="","",$E208*100+$O208)</f>
        <v/>
      </c>
      <c r="Q208" s="114" t="str">
        <f aca="false">IF($L208="Atrasado",$E208*10000+$A208,"")</f>
        <v/>
      </c>
    </row>
    <row r="209" customFormat="false" ht="15" hidden="false" customHeight="false" outlineLevel="0" collapsed="false">
      <c r="A209" s="114" t="n">
        <f aca="false">ROW()-4</f>
        <v>205</v>
      </c>
      <c r="B209" s="114" t="str">
        <f aca="false">IF(A209&lt;=Config!$E$27*Config!$E$28,"Tema","Avulso")</f>
        <v>Tema</v>
      </c>
      <c r="C209" s="114" t="n">
        <f aca="false">IF(B209="Tema",INT((A209-1)/Config!$E$28)+1,A209-Config!$E$27*Config!$E$28)</f>
        <v>35</v>
      </c>
      <c r="D209" s="114" t="n">
        <f aca="false">IF(B209="Tema",MOD(A209-1,Config!$E$28)+1,"")</f>
        <v>1</v>
      </c>
      <c r="E209" s="115" t="str">
        <f aca="false">IF($B209="Tema",IF(ISNUMBER(INDEX(Temas!$E$6:$P$305,$C209,2*$D209-1)),INDEX(Temas!$E$6:$P$305,$C209,2*$D209-1),""),IF(ISNUMBER(INDEX(Avulsos!$B$6:$B$205,$C209)),INDEX(Avulsos!$B$6:$B$205,$C209),""))</f>
        <v/>
      </c>
      <c r="F209" s="114" t="str">
        <f aca="false">IF($E209="","",IF($B209="Tema",INDEX(Temas!$B$6:$B$305,$C209)&amp;"",INDEX(Avulsos!$C$6:$C$205,$C209)&amp;""))</f>
        <v/>
      </c>
      <c r="G209" s="114" t="str">
        <f aca="false">IF($E209="","",IF($B209="Tema",INDEX(Config!$C$6:$C$11,$D209),"Evento avulso"))</f>
        <v/>
      </c>
      <c r="H209" s="114" t="str">
        <f aca="false">IF($E209="","",IF($B209="Tema",INDEX(Config!$D$6:$D$11,$D209),IFERROR(INDEX(Config!$E$15:$E$19,MATCH($I209,Config!$C$15:$C$19,0)),"•")))</f>
        <v/>
      </c>
      <c r="I209" s="114" t="str">
        <f aca="false">IF($E209="","",IF($B209="Tema",INDEX(Config!$E$6:$E$11,$D209),IF(INDEX(Avulsos!$D$6:$D$205,$C209)&amp;""="","Outro",INDEX(Avulsos!$D$6:$D$205,$C209))))</f>
        <v/>
      </c>
      <c r="J209" s="114" t="str">
        <f aca="false">IF($E209="","",IF($B209="Tema",INDEX(Temas!$C$6:$C$305,$C209)&amp;"",INDEX(Avulsos!$E$6:$E$205,$C209)&amp;""))</f>
        <v/>
      </c>
      <c r="K209" s="114" t="str">
        <f aca="false">IF($E209="","",IF(IF($B209="Tema",INDEX(Temas!$E$6:$P$305,$C209,2*$D209),INDEX(Avulsos!$F$6:$F$205,$C209))&amp;""="","","✓"))</f>
        <v/>
      </c>
      <c r="L209" s="114" t="str">
        <f aca="true">IF($E209="","",IF($K209="✓","Concluído",IF($E209&lt;TODAY(),"Atrasado",IF($E209=TODAY(),"Hoje","Pendente"))))</f>
        <v/>
      </c>
      <c r="M209" s="114" t="str">
        <f aca="false">IF($E209="","",IF($K209="✓","✓ ","")&amp;IF(Config!$E$22="Sim",$H209&amp;" · ","")&amp;$F209)</f>
        <v/>
      </c>
      <c r="N209" s="114" t="str">
        <f aca="false">IF($E209="","",IFERROR(INDEX(Config!$D$15:$D$19,MATCH($I209,Config!$C$15:$C$19,0)),"OUT")&amp;IF($K209="✓","x",""))</f>
        <v/>
      </c>
      <c r="O209" s="114" t="str">
        <f aca="false">IF($E209="","",COUNTIF($E$5:$E209,$E209))</f>
        <v/>
      </c>
      <c r="P209" s="114" t="str">
        <f aca="false">IF($E209="","",$E209*100+$O209)</f>
        <v/>
      </c>
      <c r="Q209" s="114" t="str">
        <f aca="false">IF($L209="Atrasado",$E209*10000+$A209,"")</f>
        <v/>
      </c>
    </row>
    <row r="210" customFormat="false" ht="15" hidden="false" customHeight="false" outlineLevel="0" collapsed="false">
      <c r="A210" s="114" t="n">
        <f aca="false">ROW()-4</f>
        <v>206</v>
      </c>
      <c r="B210" s="114" t="str">
        <f aca="false">IF(A210&lt;=Config!$E$27*Config!$E$28,"Tema","Avulso")</f>
        <v>Tema</v>
      </c>
      <c r="C210" s="114" t="n">
        <f aca="false">IF(B210="Tema",INT((A210-1)/Config!$E$28)+1,A210-Config!$E$27*Config!$E$28)</f>
        <v>35</v>
      </c>
      <c r="D210" s="114" t="n">
        <f aca="false">IF(B210="Tema",MOD(A210-1,Config!$E$28)+1,"")</f>
        <v>2</v>
      </c>
      <c r="E210" s="115" t="str">
        <f aca="false">IF($B210="Tema",IF(ISNUMBER(INDEX(Temas!$E$6:$P$305,$C210,2*$D210-1)),INDEX(Temas!$E$6:$P$305,$C210,2*$D210-1),""),IF(ISNUMBER(INDEX(Avulsos!$B$6:$B$205,$C210)),INDEX(Avulsos!$B$6:$B$205,$C210),""))</f>
        <v/>
      </c>
      <c r="F210" s="114" t="str">
        <f aca="false">IF($E210="","",IF($B210="Tema",INDEX(Temas!$B$6:$B$305,$C210)&amp;"",INDEX(Avulsos!$C$6:$C$205,$C210)&amp;""))</f>
        <v/>
      </c>
      <c r="G210" s="114" t="str">
        <f aca="false">IF($E210="","",IF($B210="Tema",INDEX(Config!$C$6:$C$11,$D210),"Evento avulso"))</f>
        <v/>
      </c>
      <c r="H210" s="114" t="str">
        <f aca="false">IF($E210="","",IF($B210="Tema",INDEX(Config!$D$6:$D$11,$D210),IFERROR(INDEX(Config!$E$15:$E$19,MATCH($I210,Config!$C$15:$C$19,0)),"•")))</f>
        <v/>
      </c>
      <c r="I210" s="114" t="str">
        <f aca="false">IF($E210="","",IF($B210="Tema",INDEX(Config!$E$6:$E$11,$D210),IF(INDEX(Avulsos!$D$6:$D$205,$C210)&amp;""="","Outro",INDEX(Avulsos!$D$6:$D$205,$C210))))</f>
        <v/>
      </c>
      <c r="J210" s="114" t="str">
        <f aca="false">IF($E210="","",IF($B210="Tema",INDEX(Temas!$C$6:$C$305,$C210)&amp;"",INDEX(Avulsos!$E$6:$E$205,$C210)&amp;""))</f>
        <v/>
      </c>
      <c r="K210" s="114" t="str">
        <f aca="false">IF($E210="","",IF(IF($B210="Tema",INDEX(Temas!$E$6:$P$305,$C210,2*$D210),INDEX(Avulsos!$F$6:$F$205,$C210))&amp;""="","","✓"))</f>
        <v/>
      </c>
      <c r="L210" s="114" t="str">
        <f aca="true">IF($E210="","",IF($K210="✓","Concluído",IF($E210&lt;TODAY(),"Atrasado",IF($E210=TODAY(),"Hoje","Pendente"))))</f>
        <v/>
      </c>
      <c r="M210" s="114" t="str">
        <f aca="false">IF($E210="","",IF($K210="✓","✓ ","")&amp;IF(Config!$E$22="Sim",$H210&amp;" · ","")&amp;$F210)</f>
        <v/>
      </c>
      <c r="N210" s="114" t="str">
        <f aca="false">IF($E210="","",IFERROR(INDEX(Config!$D$15:$D$19,MATCH($I210,Config!$C$15:$C$19,0)),"OUT")&amp;IF($K210="✓","x",""))</f>
        <v/>
      </c>
      <c r="O210" s="114" t="str">
        <f aca="false">IF($E210="","",COUNTIF($E$5:$E210,$E210))</f>
        <v/>
      </c>
      <c r="P210" s="114" t="str">
        <f aca="false">IF($E210="","",$E210*100+$O210)</f>
        <v/>
      </c>
      <c r="Q210" s="114" t="str">
        <f aca="false">IF($L210="Atrasado",$E210*10000+$A210,"")</f>
        <v/>
      </c>
    </row>
    <row r="211" customFormat="false" ht="15" hidden="false" customHeight="false" outlineLevel="0" collapsed="false">
      <c r="A211" s="114" t="n">
        <f aca="false">ROW()-4</f>
        <v>207</v>
      </c>
      <c r="B211" s="114" t="str">
        <f aca="false">IF(A211&lt;=Config!$E$27*Config!$E$28,"Tema","Avulso")</f>
        <v>Tema</v>
      </c>
      <c r="C211" s="114" t="n">
        <f aca="false">IF(B211="Tema",INT((A211-1)/Config!$E$28)+1,A211-Config!$E$27*Config!$E$28)</f>
        <v>35</v>
      </c>
      <c r="D211" s="114" t="n">
        <f aca="false">IF(B211="Tema",MOD(A211-1,Config!$E$28)+1,"")</f>
        <v>3</v>
      </c>
      <c r="E211" s="115" t="str">
        <f aca="false">IF($B211="Tema",IF(ISNUMBER(INDEX(Temas!$E$6:$P$305,$C211,2*$D211-1)),INDEX(Temas!$E$6:$P$305,$C211,2*$D211-1),""),IF(ISNUMBER(INDEX(Avulsos!$B$6:$B$205,$C211)),INDEX(Avulsos!$B$6:$B$205,$C211),""))</f>
        <v/>
      </c>
      <c r="F211" s="114" t="str">
        <f aca="false">IF($E211="","",IF($B211="Tema",INDEX(Temas!$B$6:$B$305,$C211)&amp;"",INDEX(Avulsos!$C$6:$C$205,$C211)&amp;""))</f>
        <v/>
      </c>
      <c r="G211" s="114" t="str">
        <f aca="false">IF($E211="","",IF($B211="Tema",INDEX(Config!$C$6:$C$11,$D211),"Evento avulso"))</f>
        <v/>
      </c>
      <c r="H211" s="114" t="str">
        <f aca="false">IF($E211="","",IF($B211="Tema",INDEX(Config!$D$6:$D$11,$D211),IFERROR(INDEX(Config!$E$15:$E$19,MATCH($I211,Config!$C$15:$C$19,0)),"•")))</f>
        <v/>
      </c>
      <c r="I211" s="114" t="str">
        <f aca="false">IF($E211="","",IF($B211="Tema",INDEX(Config!$E$6:$E$11,$D211),IF(INDEX(Avulsos!$D$6:$D$205,$C211)&amp;""="","Outro",INDEX(Avulsos!$D$6:$D$205,$C211))))</f>
        <v/>
      </c>
      <c r="J211" s="114" t="str">
        <f aca="false">IF($E211="","",IF($B211="Tema",INDEX(Temas!$C$6:$C$305,$C211)&amp;"",INDEX(Avulsos!$E$6:$E$205,$C211)&amp;""))</f>
        <v/>
      </c>
      <c r="K211" s="114" t="str">
        <f aca="false">IF($E211="","",IF(IF($B211="Tema",INDEX(Temas!$E$6:$P$305,$C211,2*$D211),INDEX(Avulsos!$F$6:$F$205,$C211))&amp;""="","","✓"))</f>
        <v/>
      </c>
      <c r="L211" s="114" t="str">
        <f aca="true">IF($E211="","",IF($K211="✓","Concluído",IF($E211&lt;TODAY(),"Atrasado",IF($E211=TODAY(),"Hoje","Pendente"))))</f>
        <v/>
      </c>
      <c r="M211" s="114" t="str">
        <f aca="false">IF($E211="","",IF($K211="✓","✓ ","")&amp;IF(Config!$E$22="Sim",$H211&amp;" · ","")&amp;$F211)</f>
        <v/>
      </c>
      <c r="N211" s="114" t="str">
        <f aca="false">IF($E211="","",IFERROR(INDEX(Config!$D$15:$D$19,MATCH($I211,Config!$C$15:$C$19,0)),"OUT")&amp;IF($K211="✓","x",""))</f>
        <v/>
      </c>
      <c r="O211" s="114" t="str">
        <f aca="false">IF($E211="","",COUNTIF($E$5:$E211,$E211))</f>
        <v/>
      </c>
      <c r="P211" s="114" t="str">
        <f aca="false">IF($E211="","",$E211*100+$O211)</f>
        <v/>
      </c>
      <c r="Q211" s="114" t="str">
        <f aca="false">IF($L211="Atrasado",$E211*10000+$A211,"")</f>
        <v/>
      </c>
    </row>
    <row r="212" customFormat="false" ht="15" hidden="false" customHeight="false" outlineLevel="0" collapsed="false">
      <c r="A212" s="114" t="n">
        <f aca="false">ROW()-4</f>
        <v>208</v>
      </c>
      <c r="B212" s="114" t="str">
        <f aca="false">IF(A212&lt;=Config!$E$27*Config!$E$28,"Tema","Avulso")</f>
        <v>Tema</v>
      </c>
      <c r="C212" s="114" t="n">
        <f aca="false">IF(B212="Tema",INT((A212-1)/Config!$E$28)+1,A212-Config!$E$27*Config!$E$28)</f>
        <v>35</v>
      </c>
      <c r="D212" s="114" t="n">
        <f aca="false">IF(B212="Tema",MOD(A212-1,Config!$E$28)+1,"")</f>
        <v>4</v>
      </c>
      <c r="E212" s="115" t="str">
        <f aca="false">IF($B212="Tema",IF(ISNUMBER(INDEX(Temas!$E$6:$P$305,$C212,2*$D212-1)),INDEX(Temas!$E$6:$P$305,$C212,2*$D212-1),""),IF(ISNUMBER(INDEX(Avulsos!$B$6:$B$205,$C212)),INDEX(Avulsos!$B$6:$B$205,$C212),""))</f>
        <v/>
      </c>
      <c r="F212" s="114" t="str">
        <f aca="false">IF($E212="","",IF($B212="Tema",INDEX(Temas!$B$6:$B$305,$C212)&amp;"",INDEX(Avulsos!$C$6:$C$205,$C212)&amp;""))</f>
        <v/>
      </c>
      <c r="G212" s="114" t="str">
        <f aca="false">IF($E212="","",IF($B212="Tema",INDEX(Config!$C$6:$C$11,$D212),"Evento avulso"))</f>
        <v/>
      </c>
      <c r="H212" s="114" t="str">
        <f aca="false">IF($E212="","",IF($B212="Tema",INDEX(Config!$D$6:$D$11,$D212),IFERROR(INDEX(Config!$E$15:$E$19,MATCH($I212,Config!$C$15:$C$19,0)),"•")))</f>
        <v/>
      </c>
      <c r="I212" s="114" t="str">
        <f aca="false">IF($E212="","",IF($B212="Tema",INDEX(Config!$E$6:$E$11,$D212),IF(INDEX(Avulsos!$D$6:$D$205,$C212)&amp;""="","Outro",INDEX(Avulsos!$D$6:$D$205,$C212))))</f>
        <v/>
      </c>
      <c r="J212" s="114" t="str">
        <f aca="false">IF($E212="","",IF($B212="Tema",INDEX(Temas!$C$6:$C$305,$C212)&amp;"",INDEX(Avulsos!$E$6:$E$205,$C212)&amp;""))</f>
        <v/>
      </c>
      <c r="K212" s="114" t="str">
        <f aca="false">IF($E212="","",IF(IF($B212="Tema",INDEX(Temas!$E$6:$P$305,$C212,2*$D212),INDEX(Avulsos!$F$6:$F$205,$C212))&amp;""="","","✓"))</f>
        <v/>
      </c>
      <c r="L212" s="114" t="str">
        <f aca="true">IF($E212="","",IF($K212="✓","Concluído",IF($E212&lt;TODAY(),"Atrasado",IF($E212=TODAY(),"Hoje","Pendente"))))</f>
        <v/>
      </c>
      <c r="M212" s="114" t="str">
        <f aca="false">IF($E212="","",IF($K212="✓","✓ ","")&amp;IF(Config!$E$22="Sim",$H212&amp;" · ","")&amp;$F212)</f>
        <v/>
      </c>
      <c r="N212" s="114" t="str">
        <f aca="false">IF($E212="","",IFERROR(INDEX(Config!$D$15:$D$19,MATCH($I212,Config!$C$15:$C$19,0)),"OUT")&amp;IF($K212="✓","x",""))</f>
        <v/>
      </c>
      <c r="O212" s="114" t="str">
        <f aca="false">IF($E212="","",COUNTIF($E$5:$E212,$E212))</f>
        <v/>
      </c>
      <c r="P212" s="114" t="str">
        <f aca="false">IF($E212="","",$E212*100+$O212)</f>
        <v/>
      </c>
      <c r="Q212" s="114" t="str">
        <f aca="false">IF($L212="Atrasado",$E212*10000+$A212,"")</f>
        <v/>
      </c>
    </row>
    <row r="213" customFormat="false" ht="15" hidden="false" customHeight="false" outlineLevel="0" collapsed="false">
      <c r="A213" s="114" t="n">
        <f aca="false">ROW()-4</f>
        <v>209</v>
      </c>
      <c r="B213" s="114" t="str">
        <f aca="false">IF(A213&lt;=Config!$E$27*Config!$E$28,"Tema","Avulso")</f>
        <v>Tema</v>
      </c>
      <c r="C213" s="114" t="n">
        <f aca="false">IF(B213="Tema",INT((A213-1)/Config!$E$28)+1,A213-Config!$E$27*Config!$E$28)</f>
        <v>35</v>
      </c>
      <c r="D213" s="114" t="n">
        <f aca="false">IF(B213="Tema",MOD(A213-1,Config!$E$28)+1,"")</f>
        <v>5</v>
      </c>
      <c r="E213" s="115" t="str">
        <f aca="false">IF($B213="Tema",IF(ISNUMBER(INDEX(Temas!$E$6:$P$305,$C213,2*$D213-1)),INDEX(Temas!$E$6:$P$305,$C213,2*$D213-1),""),IF(ISNUMBER(INDEX(Avulsos!$B$6:$B$205,$C213)),INDEX(Avulsos!$B$6:$B$205,$C213),""))</f>
        <v/>
      </c>
      <c r="F213" s="114" t="str">
        <f aca="false">IF($E213="","",IF($B213="Tema",INDEX(Temas!$B$6:$B$305,$C213)&amp;"",INDEX(Avulsos!$C$6:$C$205,$C213)&amp;""))</f>
        <v/>
      </c>
      <c r="G213" s="114" t="str">
        <f aca="false">IF($E213="","",IF($B213="Tema",INDEX(Config!$C$6:$C$11,$D213),"Evento avulso"))</f>
        <v/>
      </c>
      <c r="H213" s="114" t="str">
        <f aca="false">IF($E213="","",IF($B213="Tema",INDEX(Config!$D$6:$D$11,$D213),IFERROR(INDEX(Config!$E$15:$E$19,MATCH($I213,Config!$C$15:$C$19,0)),"•")))</f>
        <v/>
      </c>
      <c r="I213" s="114" t="str">
        <f aca="false">IF($E213="","",IF($B213="Tema",INDEX(Config!$E$6:$E$11,$D213),IF(INDEX(Avulsos!$D$6:$D$205,$C213)&amp;""="","Outro",INDEX(Avulsos!$D$6:$D$205,$C213))))</f>
        <v/>
      </c>
      <c r="J213" s="114" t="str">
        <f aca="false">IF($E213="","",IF($B213="Tema",INDEX(Temas!$C$6:$C$305,$C213)&amp;"",INDEX(Avulsos!$E$6:$E$205,$C213)&amp;""))</f>
        <v/>
      </c>
      <c r="K213" s="114" t="str">
        <f aca="false">IF($E213="","",IF(IF($B213="Tema",INDEX(Temas!$E$6:$P$305,$C213,2*$D213),INDEX(Avulsos!$F$6:$F$205,$C213))&amp;""="","","✓"))</f>
        <v/>
      </c>
      <c r="L213" s="114" t="str">
        <f aca="true">IF($E213="","",IF($K213="✓","Concluído",IF($E213&lt;TODAY(),"Atrasado",IF($E213=TODAY(),"Hoje","Pendente"))))</f>
        <v/>
      </c>
      <c r="M213" s="114" t="str">
        <f aca="false">IF($E213="","",IF($K213="✓","✓ ","")&amp;IF(Config!$E$22="Sim",$H213&amp;" · ","")&amp;$F213)</f>
        <v/>
      </c>
      <c r="N213" s="114" t="str">
        <f aca="false">IF($E213="","",IFERROR(INDEX(Config!$D$15:$D$19,MATCH($I213,Config!$C$15:$C$19,0)),"OUT")&amp;IF($K213="✓","x",""))</f>
        <v/>
      </c>
      <c r="O213" s="114" t="str">
        <f aca="false">IF($E213="","",COUNTIF($E$5:$E213,$E213))</f>
        <v/>
      </c>
      <c r="P213" s="114" t="str">
        <f aca="false">IF($E213="","",$E213*100+$O213)</f>
        <v/>
      </c>
      <c r="Q213" s="114" t="str">
        <f aca="false">IF($L213="Atrasado",$E213*10000+$A213,"")</f>
        <v/>
      </c>
    </row>
    <row r="214" customFormat="false" ht="15" hidden="false" customHeight="false" outlineLevel="0" collapsed="false">
      <c r="A214" s="114" t="n">
        <f aca="false">ROW()-4</f>
        <v>210</v>
      </c>
      <c r="B214" s="114" t="str">
        <f aca="false">IF(A214&lt;=Config!$E$27*Config!$E$28,"Tema","Avulso")</f>
        <v>Tema</v>
      </c>
      <c r="C214" s="114" t="n">
        <f aca="false">IF(B214="Tema",INT((A214-1)/Config!$E$28)+1,A214-Config!$E$27*Config!$E$28)</f>
        <v>35</v>
      </c>
      <c r="D214" s="114" t="n">
        <f aca="false">IF(B214="Tema",MOD(A214-1,Config!$E$28)+1,"")</f>
        <v>6</v>
      </c>
      <c r="E214" s="115" t="str">
        <f aca="false">IF($B214="Tema",IF(ISNUMBER(INDEX(Temas!$E$6:$P$305,$C214,2*$D214-1)),INDEX(Temas!$E$6:$P$305,$C214,2*$D214-1),""),IF(ISNUMBER(INDEX(Avulsos!$B$6:$B$205,$C214)),INDEX(Avulsos!$B$6:$B$205,$C214),""))</f>
        <v/>
      </c>
      <c r="F214" s="114" t="str">
        <f aca="false">IF($E214="","",IF($B214="Tema",INDEX(Temas!$B$6:$B$305,$C214)&amp;"",INDEX(Avulsos!$C$6:$C$205,$C214)&amp;""))</f>
        <v/>
      </c>
      <c r="G214" s="114" t="str">
        <f aca="false">IF($E214="","",IF($B214="Tema",INDEX(Config!$C$6:$C$11,$D214),"Evento avulso"))</f>
        <v/>
      </c>
      <c r="H214" s="114" t="str">
        <f aca="false">IF($E214="","",IF($B214="Tema",INDEX(Config!$D$6:$D$11,$D214),IFERROR(INDEX(Config!$E$15:$E$19,MATCH($I214,Config!$C$15:$C$19,0)),"•")))</f>
        <v/>
      </c>
      <c r="I214" s="114" t="str">
        <f aca="false">IF($E214="","",IF($B214="Tema",INDEX(Config!$E$6:$E$11,$D214),IF(INDEX(Avulsos!$D$6:$D$205,$C214)&amp;""="","Outro",INDEX(Avulsos!$D$6:$D$205,$C214))))</f>
        <v/>
      </c>
      <c r="J214" s="114" t="str">
        <f aca="false">IF($E214="","",IF($B214="Tema",INDEX(Temas!$C$6:$C$305,$C214)&amp;"",INDEX(Avulsos!$E$6:$E$205,$C214)&amp;""))</f>
        <v/>
      </c>
      <c r="K214" s="114" t="str">
        <f aca="false">IF($E214="","",IF(IF($B214="Tema",INDEX(Temas!$E$6:$P$305,$C214,2*$D214),INDEX(Avulsos!$F$6:$F$205,$C214))&amp;""="","","✓"))</f>
        <v/>
      </c>
      <c r="L214" s="114" t="str">
        <f aca="true">IF($E214="","",IF($K214="✓","Concluído",IF($E214&lt;TODAY(),"Atrasado",IF($E214=TODAY(),"Hoje","Pendente"))))</f>
        <v/>
      </c>
      <c r="M214" s="114" t="str">
        <f aca="false">IF($E214="","",IF($K214="✓","✓ ","")&amp;IF(Config!$E$22="Sim",$H214&amp;" · ","")&amp;$F214)</f>
        <v/>
      </c>
      <c r="N214" s="114" t="str">
        <f aca="false">IF($E214="","",IFERROR(INDEX(Config!$D$15:$D$19,MATCH($I214,Config!$C$15:$C$19,0)),"OUT")&amp;IF($K214="✓","x",""))</f>
        <v/>
      </c>
      <c r="O214" s="114" t="str">
        <f aca="false">IF($E214="","",COUNTIF($E$5:$E214,$E214))</f>
        <v/>
      </c>
      <c r="P214" s="114" t="str">
        <f aca="false">IF($E214="","",$E214*100+$O214)</f>
        <v/>
      </c>
      <c r="Q214" s="114" t="str">
        <f aca="false">IF($L214="Atrasado",$E214*10000+$A214,"")</f>
        <v/>
      </c>
    </row>
    <row r="215" customFormat="false" ht="15" hidden="false" customHeight="false" outlineLevel="0" collapsed="false">
      <c r="A215" s="114" t="n">
        <f aca="false">ROW()-4</f>
        <v>211</v>
      </c>
      <c r="B215" s="114" t="str">
        <f aca="false">IF(A215&lt;=Config!$E$27*Config!$E$28,"Tema","Avulso")</f>
        <v>Tema</v>
      </c>
      <c r="C215" s="114" t="n">
        <f aca="false">IF(B215="Tema",INT((A215-1)/Config!$E$28)+1,A215-Config!$E$27*Config!$E$28)</f>
        <v>36</v>
      </c>
      <c r="D215" s="114" t="n">
        <f aca="false">IF(B215="Tema",MOD(A215-1,Config!$E$28)+1,"")</f>
        <v>1</v>
      </c>
      <c r="E215" s="115" t="str">
        <f aca="false">IF($B215="Tema",IF(ISNUMBER(INDEX(Temas!$E$6:$P$305,$C215,2*$D215-1)),INDEX(Temas!$E$6:$P$305,$C215,2*$D215-1),""),IF(ISNUMBER(INDEX(Avulsos!$B$6:$B$205,$C215)),INDEX(Avulsos!$B$6:$B$205,$C215),""))</f>
        <v/>
      </c>
      <c r="F215" s="114" t="str">
        <f aca="false">IF($E215="","",IF($B215="Tema",INDEX(Temas!$B$6:$B$305,$C215)&amp;"",INDEX(Avulsos!$C$6:$C$205,$C215)&amp;""))</f>
        <v/>
      </c>
      <c r="G215" s="114" t="str">
        <f aca="false">IF($E215="","",IF($B215="Tema",INDEX(Config!$C$6:$C$11,$D215),"Evento avulso"))</f>
        <v/>
      </c>
      <c r="H215" s="114" t="str">
        <f aca="false">IF($E215="","",IF($B215="Tema",INDEX(Config!$D$6:$D$11,$D215),IFERROR(INDEX(Config!$E$15:$E$19,MATCH($I215,Config!$C$15:$C$19,0)),"•")))</f>
        <v/>
      </c>
      <c r="I215" s="114" t="str">
        <f aca="false">IF($E215="","",IF($B215="Tema",INDEX(Config!$E$6:$E$11,$D215),IF(INDEX(Avulsos!$D$6:$D$205,$C215)&amp;""="","Outro",INDEX(Avulsos!$D$6:$D$205,$C215))))</f>
        <v/>
      </c>
      <c r="J215" s="114" t="str">
        <f aca="false">IF($E215="","",IF($B215="Tema",INDEX(Temas!$C$6:$C$305,$C215)&amp;"",INDEX(Avulsos!$E$6:$E$205,$C215)&amp;""))</f>
        <v/>
      </c>
      <c r="K215" s="114" t="str">
        <f aca="false">IF($E215="","",IF(IF($B215="Tema",INDEX(Temas!$E$6:$P$305,$C215,2*$D215),INDEX(Avulsos!$F$6:$F$205,$C215))&amp;""="","","✓"))</f>
        <v/>
      </c>
      <c r="L215" s="114" t="str">
        <f aca="true">IF($E215="","",IF($K215="✓","Concluído",IF($E215&lt;TODAY(),"Atrasado",IF($E215=TODAY(),"Hoje","Pendente"))))</f>
        <v/>
      </c>
      <c r="M215" s="114" t="str">
        <f aca="false">IF($E215="","",IF($K215="✓","✓ ","")&amp;IF(Config!$E$22="Sim",$H215&amp;" · ","")&amp;$F215)</f>
        <v/>
      </c>
      <c r="N215" s="114" t="str">
        <f aca="false">IF($E215="","",IFERROR(INDEX(Config!$D$15:$D$19,MATCH($I215,Config!$C$15:$C$19,0)),"OUT")&amp;IF($K215="✓","x",""))</f>
        <v/>
      </c>
      <c r="O215" s="114" t="str">
        <f aca="false">IF($E215="","",COUNTIF($E$5:$E215,$E215))</f>
        <v/>
      </c>
      <c r="P215" s="114" t="str">
        <f aca="false">IF($E215="","",$E215*100+$O215)</f>
        <v/>
      </c>
      <c r="Q215" s="114" t="str">
        <f aca="false">IF($L215="Atrasado",$E215*10000+$A215,"")</f>
        <v/>
      </c>
    </row>
    <row r="216" customFormat="false" ht="15" hidden="false" customHeight="false" outlineLevel="0" collapsed="false">
      <c r="A216" s="114" t="n">
        <f aca="false">ROW()-4</f>
        <v>212</v>
      </c>
      <c r="B216" s="114" t="str">
        <f aca="false">IF(A216&lt;=Config!$E$27*Config!$E$28,"Tema","Avulso")</f>
        <v>Tema</v>
      </c>
      <c r="C216" s="114" t="n">
        <f aca="false">IF(B216="Tema",INT((A216-1)/Config!$E$28)+1,A216-Config!$E$27*Config!$E$28)</f>
        <v>36</v>
      </c>
      <c r="D216" s="114" t="n">
        <f aca="false">IF(B216="Tema",MOD(A216-1,Config!$E$28)+1,"")</f>
        <v>2</v>
      </c>
      <c r="E216" s="115" t="str">
        <f aca="false">IF($B216="Tema",IF(ISNUMBER(INDEX(Temas!$E$6:$P$305,$C216,2*$D216-1)),INDEX(Temas!$E$6:$P$305,$C216,2*$D216-1),""),IF(ISNUMBER(INDEX(Avulsos!$B$6:$B$205,$C216)),INDEX(Avulsos!$B$6:$B$205,$C216),""))</f>
        <v/>
      </c>
      <c r="F216" s="114" t="str">
        <f aca="false">IF($E216="","",IF($B216="Tema",INDEX(Temas!$B$6:$B$305,$C216)&amp;"",INDEX(Avulsos!$C$6:$C$205,$C216)&amp;""))</f>
        <v/>
      </c>
      <c r="G216" s="114" t="str">
        <f aca="false">IF($E216="","",IF($B216="Tema",INDEX(Config!$C$6:$C$11,$D216),"Evento avulso"))</f>
        <v/>
      </c>
      <c r="H216" s="114" t="str">
        <f aca="false">IF($E216="","",IF($B216="Tema",INDEX(Config!$D$6:$D$11,$D216),IFERROR(INDEX(Config!$E$15:$E$19,MATCH($I216,Config!$C$15:$C$19,0)),"•")))</f>
        <v/>
      </c>
      <c r="I216" s="114" t="str">
        <f aca="false">IF($E216="","",IF($B216="Tema",INDEX(Config!$E$6:$E$11,$D216),IF(INDEX(Avulsos!$D$6:$D$205,$C216)&amp;""="","Outro",INDEX(Avulsos!$D$6:$D$205,$C216))))</f>
        <v/>
      </c>
      <c r="J216" s="114" t="str">
        <f aca="false">IF($E216="","",IF($B216="Tema",INDEX(Temas!$C$6:$C$305,$C216)&amp;"",INDEX(Avulsos!$E$6:$E$205,$C216)&amp;""))</f>
        <v/>
      </c>
      <c r="K216" s="114" t="str">
        <f aca="false">IF($E216="","",IF(IF($B216="Tema",INDEX(Temas!$E$6:$P$305,$C216,2*$D216),INDEX(Avulsos!$F$6:$F$205,$C216))&amp;""="","","✓"))</f>
        <v/>
      </c>
      <c r="L216" s="114" t="str">
        <f aca="true">IF($E216="","",IF($K216="✓","Concluído",IF($E216&lt;TODAY(),"Atrasado",IF($E216=TODAY(),"Hoje","Pendente"))))</f>
        <v/>
      </c>
      <c r="M216" s="114" t="str">
        <f aca="false">IF($E216="","",IF($K216="✓","✓ ","")&amp;IF(Config!$E$22="Sim",$H216&amp;" · ","")&amp;$F216)</f>
        <v/>
      </c>
      <c r="N216" s="114" t="str">
        <f aca="false">IF($E216="","",IFERROR(INDEX(Config!$D$15:$D$19,MATCH($I216,Config!$C$15:$C$19,0)),"OUT")&amp;IF($K216="✓","x",""))</f>
        <v/>
      </c>
      <c r="O216" s="114" t="str">
        <f aca="false">IF($E216="","",COUNTIF($E$5:$E216,$E216))</f>
        <v/>
      </c>
      <c r="P216" s="114" t="str">
        <f aca="false">IF($E216="","",$E216*100+$O216)</f>
        <v/>
      </c>
      <c r="Q216" s="114" t="str">
        <f aca="false">IF($L216="Atrasado",$E216*10000+$A216,"")</f>
        <v/>
      </c>
    </row>
    <row r="217" customFormat="false" ht="15" hidden="false" customHeight="false" outlineLevel="0" collapsed="false">
      <c r="A217" s="114" t="n">
        <f aca="false">ROW()-4</f>
        <v>213</v>
      </c>
      <c r="B217" s="114" t="str">
        <f aca="false">IF(A217&lt;=Config!$E$27*Config!$E$28,"Tema","Avulso")</f>
        <v>Tema</v>
      </c>
      <c r="C217" s="114" t="n">
        <f aca="false">IF(B217="Tema",INT((A217-1)/Config!$E$28)+1,A217-Config!$E$27*Config!$E$28)</f>
        <v>36</v>
      </c>
      <c r="D217" s="114" t="n">
        <f aca="false">IF(B217="Tema",MOD(A217-1,Config!$E$28)+1,"")</f>
        <v>3</v>
      </c>
      <c r="E217" s="115" t="str">
        <f aca="false">IF($B217="Tema",IF(ISNUMBER(INDEX(Temas!$E$6:$P$305,$C217,2*$D217-1)),INDEX(Temas!$E$6:$P$305,$C217,2*$D217-1),""),IF(ISNUMBER(INDEX(Avulsos!$B$6:$B$205,$C217)),INDEX(Avulsos!$B$6:$B$205,$C217),""))</f>
        <v/>
      </c>
      <c r="F217" s="114" t="str">
        <f aca="false">IF($E217="","",IF($B217="Tema",INDEX(Temas!$B$6:$B$305,$C217)&amp;"",INDEX(Avulsos!$C$6:$C$205,$C217)&amp;""))</f>
        <v/>
      </c>
      <c r="G217" s="114" t="str">
        <f aca="false">IF($E217="","",IF($B217="Tema",INDEX(Config!$C$6:$C$11,$D217),"Evento avulso"))</f>
        <v/>
      </c>
      <c r="H217" s="114" t="str">
        <f aca="false">IF($E217="","",IF($B217="Tema",INDEX(Config!$D$6:$D$11,$D217),IFERROR(INDEX(Config!$E$15:$E$19,MATCH($I217,Config!$C$15:$C$19,0)),"•")))</f>
        <v/>
      </c>
      <c r="I217" s="114" t="str">
        <f aca="false">IF($E217="","",IF($B217="Tema",INDEX(Config!$E$6:$E$11,$D217),IF(INDEX(Avulsos!$D$6:$D$205,$C217)&amp;""="","Outro",INDEX(Avulsos!$D$6:$D$205,$C217))))</f>
        <v/>
      </c>
      <c r="J217" s="114" t="str">
        <f aca="false">IF($E217="","",IF($B217="Tema",INDEX(Temas!$C$6:$C$305,$C217)&amp;"",INDEX(Avulsos!$E$6:$E$205,$C217)&amp;""))</f>
        <v/>
      </c>
      <c r="K217" s="114" t="str">
        <f aca="false">IF($E217="","",IF(IF($B217="Tema",INDEX(Temas!$E$6:$P$305,$C217,2*$D217),INDEX(Avulsos!$F$6:$F$205,$C217))&amp;""="","","✓"))</f>
        <v/>
      </c>
      <c r="L217" s="114" t="str">
        <f aca="true">IF($E217="","",IF($K217="✓","Concluído",IF($E217&lt;TODAY(),"Atrasado",IF($E217=TODAY(),"Hoje","Pendente"))))</f>
        <v/>
      </c>
      <c r="M217" s="114" t="str">
        <f aca="false">IF($E217="","",IF($K217="✓","✓ ","")&amp;IF(Config!$E$22="Sim",$H217&amp;" · ","")&amp;$F217)</f>
        <v/>
      </c>
      <c r="N217" s="114" t="str">
        <f aca="false">IF($E217="","",IFERROR(INDEX(Config!$D$15:$D$19,MATCH($I217,Config!$C$15:$C$19,0)),"OUT")&amp;IF($K217="✓","x",""))</f>
        <v/>
      </c>
      <c r="O217" s="114" t="str">
        <f aca="false">IF($E217="","",COUNTIF($E$5:$E217,$E217))</f>
        <v/>
      </c>
      <c r="P217" s="114" t="str">
        <f aca="false">IF($E217="","",$E217*100+$O217)</f>
        <v/>
      </c>
      <c r="Q217" s="114" t="str">
        <f aca="false">IF($L217="Atrasado",$E217*10000+$A217,"")</f>
        <v/>
      </c>
    </row>
    <row r="218" customFormat="false" ht="15" hidden="false" customHeight="false" outlineLevel="0" collapsed="false">
      <c r="A218" s="114" t="n">
        <f aca="false">ROW()-4</f>
        <v>214</v>
      </c>
      <c r="B218" s="114" t="str">
        <f aca="false">IF(A218&lt;=Config!$E$27*Config!$E$28,"Tema","Avulso")</f>
        <v>Tema</v>
      </c>
      <c r="C218" s="114" t="n">
        <f aca="false">IF(B218="Tema",INT((A218-1)/Config!$E$28)+1,A218-Config!$E$27*Config!$E$28)</f>
        <v>36</v>
      </c>
      <c r="D218" s="114" t="n">
        <f aca="false">IF(B218="Tema",MOD(A218-1,Config!$E$28)+1,"")</f>
        <v>4</v>
      </c>
      <c r="E218" s="115" t="str">
        <f aca="false">IF($B218="Tema",IF(ISNUMBER(INDEX(Temas!$E$6:$P$305,$C218,2*$D218-1)),INDEX(Temas!$E$6:$P$305,$C218,2*$D218-1),""),IF(ISNUMBER(INDEX(Avulsos!$B$6:$B$205,$C218)),INDEX(Avulsos!$B$6:$B$205,$C218),""))</f>
        <v/>
      </c>
      <c r="F218" s="114" t="str">
        <f aca="false">IF($E218="","",IF($B218="Tema",INDEX(Temas!$B$6:$B$305,$C218)&amp;"",INDEX(Avulsos!$C$6:$C$205,$C218)&amp;""))</f>
        <v/>
      </c>
      <c r="G218" s="114" t="str">
        <f aca="false">IF($E218="","",IF($B218="Tema",INDEX(Config!$C$6:$C$11,$D218),"Evento avulso"))</f>
        <v/>
      </c>
      <c r="H218" s="114" t="str">
        <f aca="false">IF($E218="","",IF($B218="Tema",INDEX(Config!$D$6:$D$11,$D218),IFERROR(INDEX(Config!$E$15:$E$19,MATCH($I218,Config!$C$15:$C$19,0)),"•")))</f>
        <v/>
      </c>
      <c r="I218" s="114" t="str">
        <f aca="false">IF($E218="","",IF($B218="Tema",INDEX(Config!$E$6:$E$11,$D218),IF(INDEX(Avulsos!$D$6:$D$205,$C218)&amp;""="","Outro",INDEX(Avulsos!$D$6:$D$205,$C218))))</f>
        <v/>
      </c>
      <c r="J218" s="114" t="str">
        <f aca="false">IF($E218="","",IF($B218="Tema",INDEX(Temas!$C$6:$C$305,$C218)&amp;"",INDEX(Avulsos!$E$6:$E$205,$C218)&amp;""))</f>
        <v/>
      </c>
      <c r="K218" s="114" t="str">
        <f aca="false">IF($E218="","",IF(IF($B218="Tema",INDEX(Temas!$E$6:$P$305,$C218,2*$D218),INDEX(Avulsos!$F$6:$F$205,$C218))&amp;""="","","✓"))</f>
        <v/>
      </c>
      <c r="L218" s="114" t="str">
        <f aca="true">IF($E218="","",IF($K218="✓","Concluído",IF($E218&lt;TODAY(),"Atrasado",IF($E218=TODAY(),"Hoje","Pendente"))))</f>
        <v/>
      </c>
      <c r="M218" s="114" t="str">
        <f aca="false">IF($E218="","",IF($K218="✓","✓ ","")&amp;IF(Config!$E$22="Sim",$H218&amp;" · ","")&amp;$F218)</f>
        <v/>
      </c>
      <c r="N218" s="114" t="str">
        <f aca="false">IF($E218="","",IFERROR(INDEX(Config!$D$15:$D$19,MATCH($I218,Config!$C$15:$C$19,0)),"OUT")&amp;IF($K218="✓","x",""))</f>
        <v/>
      </c>
      <c r="O218" s="114" t="str">
        <f aca="false">IF($E218="","",COUNTIF($E$5:$E218,$E218))</f>
        <v/>
      </c>
      <c r="P218" s="114" t="str">
        <f aca="false">IF($E218="","",$E218*100+$O218)</f>
        <v/>
      </c>
      <c r="Q218" s="114" t="str">
        <f aca="false">IF($L218="Atrasado",$E218*10000+$A218,"")</f>
        <v/>
      </c>
    </row>
    <row r="219" customFormat="false" ht="15" hidden="false" customHeight="false" outlineLevel="0" collapsed="false">
      <c r="A219" s="114" t="n">
        <f aca="false">ROW()-4</f>
        <v>215</v>
      </c>
      <c r="B219" s="114" t="str">
        <f aca="false">IF(A219&lt;=Config!$E$27*Config!$E$28,"Tema","Avulso")</f>
        <v>Tema</v>
      </c>
      <c r="C219" s="114" t="n">
        <f aca="false">IF(B219="Tema",INT((A219-1)/Config!$E$28)+1,A219-Config!$E$27*Config!$E$28)</f>
        <v>36</v>
      </c>
      <c r="D219" s="114" t="n">
        <f aca="false">IF(B219="Tema",MOD(A219-1,Config!$E$28)+1,"")</f>
        <v>5</v>
      </c>
      <c r="E219" s="115" t="str">
        <f aca="false">IF($B219="Tema",IF(ISNUMBER(INDEX(Temas!$E$6:$P$305,$C219,2*$D219-1)),INDEX(Temas!$E$6:$P$305,$C219,2*$D219-1),""),IF(ISNUMBER(INDEX(Avulsos!$B$6:$B$205,$C219)),INDEX(Avulsos!$B$6:$B$205,$C219),""))</f>
        <v/>
      </c>
      <c r="F219" s="114" t="str">
        <f aca="false">IF($E219="","",IF($B219="Tema",INDEX(Temas!$B$6:$B$305,$C219)&amp;"",INDEX(Avulsos!$C$6:$C$205,$C219)&amp;""))</f>
        <v/>
      </c>
      <c r="G219" s="114" t="str">
        <f aca="false">IF($E219="","",IF($B219="Tema",INDEX(Config!$C$6:$C$11,$D219),"Evento avulso"))</f>
        <v/>
      </c>
      <c r="H219" s="114" t="str">
        <f aca="false">IF($E219="","",IF($B219="Tema",INDEX(Config!$D$6:$D$11,$D219),IFERROR(INDEX(Config!$E$15:$E$19,MATCH($I219,Config!$C$15:$C$19,0)),"•")))</f>
        <v/>
      </c>
      <c r="I219" s="114" t="str">
        <f aca="false">IF($E219="","",IF($B219="Tema",INDEX(Config!$E$6:$E$11,$D219),IF(INDEX(Avulsos!$D$6:$D$205,$C219)&amp;""="","Outro",INDEX(Avulsos!$D$6:$D$205,$C219))))</f>
        <v/>
      </c>
      <c r="J219" s="114" t="str">
        <f aca="false">IF($E219="","",IF($B219="Tema",INDEX(Temas!$C$6:$C$305,$C219)&amp;"",INDEX(Avulsos!$E$6:$E$205,$C219)&amp;""))</f>
        <v/>
      </c>
      <c r="K219" s="114" t="str">
        <f aca="false">IF($E219="","",IF(IF($B219="Tema",INDEX(Temas!$E$6:$P$305,$C219,2*$D219),INDEX(Avulsos!$F$6:$F$205,$C219))&amp;""="","","✓"))</f>
        <v/>
      </c>
      <c r="L219" s="114" t="str">
        <f aca="true">IF($E219="","",IF($K219="✓","Concluído",IF($E219&lt;TODAY(),"Atrasado",IF($E219=TODAY(),"Hoje","Pendente"))))</f>
        <v/>
      </c>
      <c r="M219" s="114" t="str">
        <f aca="false">IF($E219="","",IF($K219="✓","✓ ","")&amp;IF(Config!$E$22="Sim",$H219&amp;" · ","")&amp;$F219)</f>
        <v/>
      </c>
      <c r="N219" s="114" t="str">
        <f aca="false">IF($E219="","",IFERROR(INDEX(Config!$D$15:$D$19,MATCH($I219,Config!$C$15:$C$19,0)),"OUT")&amp;IF($K219="✓","x",""))</f>
        <v/>
      </c>
      <c r="O219" s="114" t="str">
        <f aca="false">IF($E219="","",COUNTIF($E$5:$E219,$E219))</f>
        <v/>
      </c>
      <c r="P219" s="114" t="str">
        <f aca="false">IF($E219="","",$E219*100+$O219)</f>
        <v/>
      </c>
      <c r="Q219" s="114" t="str">
        <f aca="false">IF($L219="Atrasado",$E219*10000+$A219,"")</f>
        <v/>
      </c>
    </row>
    <row r="220" customFormat="false" ht="15" hidden="false" customHeight="false" outlineLevel="0" collapsed="false">
      <c r="A220" s="114" t="n">
        <f aca="false">ROW()-4</f>
        <v>216</v>
      </c>
      <c r="B220" s="114" t="str">
        <f aca="false">IF(A220&lt;=Config!$E$27*Config!$E$28,"Tema","Avulso")</f>
        <v>Tema</v>
      </c>
      <c r="C220" s="114" t="n">
        <f aca="false">IF(B220="Tema",INT((A220-1)/Config!$E$28)+1,A220-Config!$E$27*Config!$E$28)</f>
        <v>36</v>
      </c>
      <c r="D220" s="114" t="n">
        <f aca="false">IF(B220="Tema",MOD(A220-1,Config!$E$28)+1,"")</f>
        <v>6</v>
      </c>
      <c r="E220" s="115" t="str">
        <f aca="false">IF($B220="Tema",IF(ISNUMBER(INDEX(Temas!$E$6:$P$305,$C220,2*$D220-1)),INDEX(Temas!$E$6:$P$305,$C220,2*$D220-1),""),IF(ISNUMBER(INDEX(Avulsos!$B$6:$B$205,$C220)),INDEX(Avulsos!$B$6:$B$205,$C220),""))</f>
        <v/>
      </c>
      <c r="F220" s="114" t="str">
        <f aca="false">IF($E220="","",IF($B220="Tema",INDEX(Temas!$B$6:$B$305,$C220)&amp;"",INDEX(Avulsos!$C$6:$C$205,$C220)&amp;""))</f>
        <v/>
      </c>
      <c r="G220" s="114" t="str">
        <f aca="false">IF($E220="","",IF($B220="Tema",INDEX(Config!$C$6:$C$11,$D220),"Evento avulso"))</f>
        <v/>
      </c>
      <c r="H220" s="114" t="str">
        <f aca="false">IF($E220="","",IF($B220="Tema",INDEX(Config!$D$6:$D$11,$D220),IFERROR(INDEX(Config!$E$15:$E$19,MATCH($I220,Config!$C$15:$C$19,0)),"•")))</f>
        <v/>
      </c>
      <c r="I220" s="114" t="str">
        <f aca="false">IF($E220="","",IF($B220="Tema",INDEX(Config!$E$6:$E$11,$D220),IF(INDEX(Avulsos!$D$6:$D$205,$C220)&amp;""="","Outro",INDEX(Avulsos!$D$6:$D$205,$C220))))</f>
        <v/>
      </c>
      <c r="J220" s="114" t="str">
        <f aca="false">IF($E220="","",IF($B220="Tema",INDEX(Temas!$C$6:$C$305,$C220)&amp;"",INDEX(Avulsos!$E$6:$E$205,$C220)&amp;""))</f>
        <v/>
      </c>
      <c r="K220" s="114" t="str">
        <f aca="false">IF($E220="","",IF(IF($B220="Tema",INDEX(Temas!$E$6:$P$305,$C220,2*$D220),INDEX(Avulsos!$F$6:$F$205,$C220))&amp;""="","","✓"))</f>
        <v/>
      </c>
      <c r="L220" s="114" t="str">
        <f aca="true">IF($E220="","",IF($K220="✓","Concluído",IF($E220&lt;TODAY(),"Atrasado",IF($E220=TODAY(),"Hoje","Pendente"))))</f>
        <v/>
      </c>
      <c r="M220" s="114" t="str">
        <f aca="false">IF($E220="","",IF($K220="✓","✓ ","")&amp;IF(Config!$E$22="Sim",$H220&amp;" · ","")&amp;$F220)</f>
        <v/>
      </c>
      <c r="N220" s="114" t="str">
        <f aca="false">IF($E220="","",IFERROR(INDEX(Config!$D$15:$D$19,MATCH($I220,Config!$C$15:$C$19,0)),"OUT")&amp;IF($K220="✓","x",""))</f>
        <v/>
      </c>
      <c r="O220" s="114" t="str">
        <f aca="false">IF($E220="","",COUNTIF($E$5:$E220,$E220))</f>
        <v/>
      </c>
      <c r="P220" s="114" t="str">
        <f aca="false">IF($E220="","",$E220*100+$O220)</f>
        <v/>
      </c>
      <c r="Q220" s="114" t="str">
        <f aca="false">IF($L220="Atrasado",$E220*10000+$A220,"")</f>
        <v/>
      </c>
    </row>
    <row r="221" customFormat="false" ht="15" hidden="false" customHeight="false" outlineLevel="0" collapsed="false">
      <c r="A221" s="114" t="n">
        <f aca="false">ROW()-4</f>
        <v>217</v>
      </c>
      <c r="B221" s="114" t="str">
        <f aca="false">IF(A221&lt;=Config!$E$27*Config!$E$28,"Tema","Avulso")</f>
        <v>Tema</v>
      </c>
      <c r="C221" s="114" t="n">
        <f aca="false">IF(B221="Tema",INT((A221-1)/Config!$E$28)+1,A221-Config!$E$27*Config!$E$28)</f>
        <v>37</v>
      </c>
      <c r="D221" s="114" t="n">
        <f aca="false">IF(B221="Tema",MOD(A221-1,Config!$E$28)+1,"")</f>
        <v>1</v>
      </c>
      <c r="E221" s="115" t="str">
        <f aca="false">IF($B221="Tema",IF(ISNUMBER(INDEX(Temas!$E$6:$P$305,$C221,2*$D221-1)),INDEX(Temas!$E$6:$P$305,$C221,2*$D221-1),""),IF(ISNUMBER(INDEX(Avulsos!$B$6:$B$205,$C221)),INDEX(Avulsos!$B$6:$B$205,$C221),""))</f>
        <v/>
      </c>
      <c r="F221" s="114" t="str">
        <f aca="false">IF($E221="","",IF($B221="Tema",INDEX(Temas!$B$6:$B$305,$C221)&amp;"",INDEX(Avulsos!$C$6:$C$205,$C221)&amp;""))</f>
        <v/>
      </c>
      <c r="G221" s="114" t="str">
        <f aca="false">IF($E221="","",IF($B221="Tema",INDEX(Config!$C$6:$C$11,$D221),"Evento avulso"))</f>
        <v/>
      </c>
      <c r="H221" s="114" t="str">
        <f aca="false">IF($E221="","",IF($B221="Tema",INDEX(Config!$D$6:$D$11,$D221),IFERROR(INDEX(Config!$E$15:$E$19,MATCH($I221,Config!$C$15:$C$19,0)),"•")))</f>
        <v/>
      </c>
      <c r="I221" s="114" t="str">
        <f aca="false">IF($E221="","",IF($B221="Tema",INDEX(Config!$E$6:$E$11,$D221),IF(INDEX(Avulsos!$D$6:$D$205,$C221)&amp;""="","Outro",INDEX(Avulsos!$D$6:$D$205,$C221))))</f>
        <v/>
      </c>
      <c r="J221" s="114" t="str">
        <f aca="false">IF($E221="","",IF($B221="Tema",INDEX(Temas!$C$6:$C$305,$C221)&amp;"",INDEX(Avulsos!$E$6:$E$205,$C221)&amp;""))</f>
        <v/>
      </c>
      <c r="K221" s="114" t="str">
        <f aca="false">IF($E221="","",IF(IF($B221="Tema",INDEX(Temas!$E$6:$P$305,$C221,2*$D221),INDEX(Avulsos!$F$6:$F$205,$C221))&amp;""="","","✓"))</f>
        <v/>
      </c>
      <c r="L221" s="114" t="str">
        <f aca="true">IF($E221="","",IF($K221="✓","Concluído",IF($E221&lt;TODAY(),"Atrasado",IF($E221=TODAY(),"Hoje","Pendente"))))</f>
        <v/>
      </c>
      <c r="M221" s="114" t="str">
        <f aca="false">IF($E221="","",IF($K221="✓","✓ ","")&amp;IF(Config!$E$22="Sim",$H221&amp;" · ","")&amp;$F221)</f>
        <v/>
      </c>
      <c r="N221" s="114" t="str">
        <f aca="false">IF($E221="","",IFERROR(INDEX(Config!$D$15:$D$19,MATCH($I221,Config!$C$15:$C$19,0)),"OUT")&amp;IF($K221="✓","x",""))</f>
        <v/>
      </c>
      <c r="O221" s="114" t="str">
        <f aca="false">IF($E221="","",COUNTIF($E$5:$E221,$E221))</f>
        <v/>
      </c>
      <c r="P221" s="114" t="str">
        <f aca="false">IF($E221="","",$E221*100+$O221)</f>
        <v/>
      </c>
      <c r="Q221" s="114" t="str">
        <f aca="false">IF($L221="Atrasado",$E221*10000+$A221,"")</f>
        <v/>
      </c>
    </row>
    <row r="222" customFormat="false" ht="15" hidden="false" customHeight="false" outlineLevel="0" collapsed="false">
      <c r="A222" s="114" t="n">
        <f aca="false">ROW()-4</f>
        <v>218</v>
      </c>
      <c r="B222" s="114" t="str">
        <f aca="false">IF(A222&lt;=Config!$E$27*Config!$E$28,"Tema","Avulso")</f>
        <v>Tema</v>
      </c>
      <c r="C222" s="114" t="n">
        <f aca="false">IF(B222="Tema",INT((A222-1)/Config!$E$28)+1,A222-Config!$E$27*Config!$E$28)</f>
        <v>37</v>
      </c>
      <c r="D222" s="114" t="n">
        <f aca="false">IF(B222="Tema",MOD(A222-1,Config!$E$28)+1,"")</f>
        <v>2</v>
      </c>
      <c r="E222" s="115" t="str">
        <f aca="false">IF($B222="Tema",IF(ISNUMBER(INDEX(Temas!$E$6:$P$305,$C222,2*$D222-1)),INDEX(Temas!$E$6:$P$305,$C222,2*$D222-1),""),IF(ISNUMBER(INDEX(Avulsos!$B$6:$B$205,$C222)),INDEX(Avulsos!$B$6:$B$205,$C222),""))</f>
        <v/>
      </c>
      <c r="F222" s="114" t="str">
        <f aca="false">IF($E222="","",IF($B222="Tema",INDEX(Temas!$B$6:$B$305,$C222)&amp;"",INDEX(Avulsos!$C$6:$C$205,$C222)&amp;""))</f>
        <v/>
      </c>
      <c r="G222" s="114" t="str">
        <f aca="false">IF($E222="","",IF($B222="Tema",INDEX(Config!$C$6:$C$11,$D222),"Evento avulso"))</f>
        <v/>
      </c>
      <c r="H222" s="114" t="str">
        <f aca="false">IF($E222="","",IF($B222="Tema",INDEX(Config!$D$6:$D$11,$D222),IFERROR(INDEX(Config!$E$15:$E$19,MATCH($I222,Config!$C$15:$C$19,0)),"•")))</f>
        <v/>
      </c>
      <c r="I222" s="114" t="str">
        <f aca="false">IF($E222="","",IF($B222="Tema",INDEX(Config!$E$6:$E$11,$D222),IF(INDEX(Avulsos!$D$6:$D$205,$C222)&amp;""="","Outro",INDEX(Avulsos!$D$6:$D$205,$C222))))</f>
        <v/>
      </c>
      <c r="J222" s="114" t="str">
        <f aca="false">IF($E222="","",IF($B222="Tema",INDEX(Temas!$C$6:$C$305,$C222)&amp;"",INDEX(Avulsos!$E$6:$E$205,$C222)&amp;""))</f>
        <v/>
      </c>
      <c r="K222" s="114" t="str">
        <f aca="false">IF($E222="","",IF(IF($B222="Tema",INDEX(Temas!$E$6:$P$305,$C222,2*$D222),INDEX(Avulsos!$F$6:$F$205,$C222))&amp;""="","","✓"))</f>
        <v/>
      </c>
      <c r="L222" s="114" t="str">
        <f aca="true">IF($E222="","",IF($K222="✓","Concluído",IF($E222&lt;TODAY(),"Atrasado",IF($E222=TODAY(),"Hoje","Pendente"))))</f>
        <v/>
      </c>
      <c r="M222" s="114" t="str">
        <f aca="false">IF($E222="","",IF($K222="✓","✓ ","")&amp;IF(Config!$E$22="Sim",$H222&amp;" · ","")&amp;$F222)</f>
        <v/>
      </c>
      <c r="N222" s="114" t="str">
        <f aca="false">IF($E222="","",IFERROR(INDEX(Config!$D$15:$D$19,MATCH($I222,Config!$C$15:$C$19,0)),"OUT")&amp;IF($K222="✓","x",""))</f>
        <v/>
      </c>
      <c r="O222" s="114" t="str">
        <f aca="false">IF($E222="","",COUNTIF($E$5:$E222,$E222))</f>
        <v/>
      </c>
      <c r="P222" s="114" t="str">
        <f aca="false">IF($E222="","",$E222*100+$O222)</f>
        <v/>
      </c>
      <c r="Q222" s="114" t="str">
        <f aca="false">IF($L222="Atrasado",$E222*10000+$A222,"")</f>
        <v/>
      </c>
    </row>
    <row r="223" customFormat="false" ht="15" hidden="false" customHeight="false" outlineLevel="0" collapsed="false">
      <c r="A223" s="114" t="n">
        <f aca="false">ROW()-4</f>
        <v>219</v>
      </c>
      <c r="B223" s="114" t="str">
        <f aca="false">IF(A223&lt;=Config!$E$27*Config!$E$28,"Tema","Avulso")</f>
        <v>Tema</v>
      </c>
      <c r="C223" s="114" t="n">
        <f aca="false">IF(B223="Tema",INT((A223-1)/Config!$E$28)+1,A223-Config!$E$27*Config!$E$28)</f>
        <v>37</v>
      </c>
      <c r="D223" s="114" t="n">
        <f aca="false">IF(B223="Tema",MOD(A223-1,Config!$E$28)+1,"")</f>
        <v>3</v>
      </c>
      <c r="E223" s="115" t="str">
        <f aca="false">IF($B223="Tema",IF(ISNUMBER(INDEX(Temas!$E$6:$P$305,$C223,2*$D223-1)),INDEX(Temas!$E$6:$P$305,$C223,2*$D223-1),""),IF(ISNUMBER(INDEX(Avulsos!$B$6:$B$205,$C223)),INDEX(Avulsos!$B$6:$B$205,$C223),""))</f>
        <v/>
      </c>
      <c r="F223" s="114" t="str">
        <f aca="false">IF($E223="","",IF($B223="Tema",INDEX(Temas!$B$6:$B$305,$C223)&amp;"",INDEX(Avulsos!$C$6:$C$205,$C223)&amp;""))</f>
        <v/>
      </c>
      <c r="G223" s="114" t="str">
        <f aca="false">IF($E223="","",IF($B223="Tema",INDEX(Config!$C$6:$C$11,$D223),"Evento avulso"))</f>
        <v/>
      </c>
      <c r="H223" s="114" t="str">
        <f aca="false">IF($E223="","",IF($B223="Tema",INDEX(Config!$D$6:$D$11,$D223),IFERROR(INDEX(Config!$E$15:$E$19,MATCH($I223,Config!$C$15:$C$19,0)),"•")))</f>
        <v/>
      </c>
      <c r="I223" s="114" t="str">
        <f aca="false">IF($E223="","",IF($B223="Tema",INDEX(Config!$E$6:$E$11,$D223),IF(INDEX(Avulsos!$D$6:$D$205,$C223)&amp;""="","Outro",INDEX(Avulsos!$D$6:$D$205,$C223))))</f>
        <v/>
      </c>
      <c r="J223" s="114" t="str">
        <f aca="false">IF($E223="","",IF($B223="Tema",INDEX(Temas!$C$6:$C$305,$C223)&amp;"",INDEX(Avulsos!$E$6:$E$205,$C223)&amp;""))</f>
        <v/>
      </c>
      <c r="K223" s="114" t="str">
        <f aca="false">IF($E223="","",IF(IF($B223="Tema",INDEX(Temas!$E$6:$P$305,$C223,2*$D223),INDEX(Avulsos!$F$6:$F$205,$C223))&amp;""="","","✓"))</f>
        <v/>
      </c>
      <c r="L223" s="114" t="str">
        <f aca="true">IF($E223="","",IF($K223="✓","Concluído",IF($E223&lt;TODAY(),"Atrasado",IF($E223=TODAY(),"Hoje","Pendente"))))</f>
        <v/>
      </c>
      <c r="M223" s="114" t="str">
        <f aca="false">IF($E223="","",IF($K223="✓","✓ ","")&amp;IF(Config!$E$22="Sim",$H223&amp;" · ","")&amp;$F223)</f>
        <v/>
      </c>
      <c r="N223" s="114" t="str">
        <f aca="false">IF($E223="","",IFERROR(INDEX(Config!$D$15:$D$19,MATCH($I223,Config!$C$15:$C$19,0)),"OUT")&amp;IF($K223="✓","x",""))</f>
        <v/>
      </c>
      <c r="O223" s="114" t="str">
        <f aca="false">IF($E223="","",COUNTIF($E$5:$E223,$E223))</f>
        <v/>
      </c>
      <c r="P223" s="114" t="str">
        <f aca="false">IF($E223="","",$E223*100+$O223)</f>
        <v/>
      </c>
      <c r="Q223" s="114" t="str">
        <f aca="false">IF($L223="Atrasado",$E223*10000+$A223,"")</f>
        <v/>
      </c>
    </row>
    <row r="224" customFormat="false" ht="15" hidden="false" customHeight="false" outlineLevel="0" collapsed="false">
      <c r="A224" s="114" t="n">
        <f aca="false">ROW()-4</f>
        <v>220</v>
      </c>
      <c r="B224" s="114" t="str">
        <f aca="false">IF(A224&lt;=Config!$E$27*Config!$E$28,"Tema","Avulso")</f>
        <v>Tema</v>
      </c>
      <c r="C224" s="114" t="n">
        <f aca="false">IF(B224="Tema",INT((A224-1)/Config!$E$28)+1,A224-Config!$E$27*Config!$E$28)</f>
        <v>37</v>
      </c>
      <c r="D224" s="114" t="n">
        <f aca="false">IF(B224="Tema",MOD(A224-1,Config!$E$28)+1,"")</f>
        <v>4</v>
      </c>
      <c r="E224" s="115" t="str">
        <f aca="false">IF($B224="Tema",IF(ISNUMBER(INDEX(Temas!$E$6:$P$305,$C224,2*$D224-1)),INDEX(Temas!$E$6:$P$305,$C224,2*$D224-1),""),IF(ISNUMBER(INDEX(Avulsos!$B$6:$B$205,$C224)),INDEX(Avulsos!$B$6:$B$205,$C224),""))</f>
        <v/>
      </c>
      <c r="F224" s="114" t="str">
        <f aca="false">IF($E224="","",IF($B224="Tema",INDEX(Temas!$B$6:$B$305,$C224)&amp;"",INDEX(Avulsos!$C$6:$C$205,$C224)&amp;""))</f>
        <v/>
      </c>
      <c r="G224" s="114" t="str">
        <f aca="false">IF($E224="","",IF($B224="Tema",INDEX(Config!$C$6:$C$11,$D224),"Evento avulso"))</f>
        <v/>
      </c>
      <c r="H224" s="114" t="str">
        <f aca="false">IF($E224="","",IF($B224="Tema",INDEX(Config!$D$6:$D$11,$D224),IFERROR(INDEX(Config!$E$15:$E$19,MATCH($I224,Config!$C$15:$C$19,0)),"•")))</f>
        <v/>
      </c>
      <c r="I224" s="114" t="str">
        <f aca="false">IF($E224="","",IF($B224="Tema",INDEX(Config!$E$6:$E$11,$D224),IF(INDEX(Avulsos!$D$6:$D$205,$C224)&amp;""="","Outro",INDEX(Avulsos!$D$6:$D$205,$C224))))</f>
        <v/>
      </c>
      <c r="J224" s="114" t="str">
        <f aca="false">IF($E224="","",IF($B224="Tema",INDEX(Temas!$C$6:$C$305,$C224)&amp;"",INDEX(Avulsos!$E$6:$E$205,$C224)&amp;""))</f>
        <v/>
      </c>
      <c r="K224" s="114" t="str">
        <f aca="false">IF($E224="","",IF(IF($B224="Tema",INDEX(Temas!$E$6:$P$305,$C224,2*$D224),INDEX(Avulsos!$F$6:$F$205,$C224))&amp;""="","","✓"))</f>
        <v/>
      </c>
      <c r="L224" s="114" t="str">
        <f aca="true">IF($E224="","",IF($K224="✓","Concluído",IF($E224&lt;TODAY(),"Atrasado",IF($E224=TODAY(),"Hoje","Pendente"))))</f>
        <v/>
      </c>
      <c r="M224" s="114" t="str">
        <f aca="false">IF($E224="","",IF($K224="✓","✓ ","")&amp;IF(Config!$E$22="Sim",$H224&amp;" · ","")&amp;$F224)</f>
        <v/>
      </c>
      <c r="N224" s="114" t="str">
        <f aca="false">IF($E224="","",IFERROR(INDEX(Config!$D$15:$D$19,MATCH($I224,Config!$C$15:$C$19,0)),"OUT")&amp;IF($K224="✓","x",""))</f>
        <v/>
      </c>
      <c r="O224" s="114" t="str">
        <f aca="false">IF($E224="","",COUNTIF($E$5:$E224,$E224))</f>
        <v/>
      </c>
      <c r="P224" s="114" t="str">
        <f aca="false">IF($E224="","",$E224*100+$O224)</f>
        <v/>
      </c>
      <c r="Q224" s="114" t="str">
        <f aca="false">IF($L224="Atrasado",$E224*10000+$A224,"")</f>
        <v/>
      </c>
    </row>
    <row r="225" customFormat="false" ht="15" hidden="false" customHeight="false" outlineLevel="0" collapsed="false">
      <c r="A225" s="114" t="n">
        <f aca="false">ROW()-4</f>
        <v>221</v>
      </c>
      <c r="B225" s="114" t="str">
        <f aca="false">IF(A225&lt;=Config!$E$27*Config!$E$28,"Tema","Avulso")</f>
        <v>Tema</v>
      </c>
      <c r="C225" s="114" t="n">
        <f aca="false">IF(B225="Tema",INT((A225-1)/Config!$E$28)+1,A225-Config!$E$27*Config!$E$28)</f>
        <v>37</v>
      </c>
      <c r="D225" s="114" t="n">
        <f aca="false">IF(B225="Tema",MOD(A225-1,Config!$E$28)+1,"")</f>
        <v>5</v>
      </c>
      <c r="E225" s="115" t="str">
        <f aca="false">IF($B225="Tema",IF(ISNUMBER(INDEX(Temas!$E$6:$P$305,$C225,2*$D225-1)),INDEX(Temas!$E$6:$P$305,$C225,2*$D225-1),""),IF(ISNUMBER(INDEX(Avulsos!$B$6:$B$205,$C225)),INDEX(Avulsos!$B$6:$B$205,$C225),""))</f>
        <v/>
      </c>
      <c r="F225" s="114" t="str">
        <f aca="false">IF($E225="","",IF($B225="Tema",INDEX(Temas!$B$6:$B$305,$C225)&amp;"",INDEX(Avulsos!$C$6:$C$205,$C225)&amp;""))</f>
        <v/>
      </c>
      <c r="G225" s="114" t="str">
        <f aca="false">IF($E225="","",IF($B225="Tema",INDEX(Config!$C$6:$C$11,$D225),"Evento avulso"))</f>
        <v/>
      </c>
      <c r="H225" s="114" t="str">
        <f aca="false">IF($E225="","",IF($B225="Tema",INDEX(Config!$D$6:$D$11,$D225),IFERROR(INDEX(Config!$E$15:$E$19,MATCH($I225,Config!$C$15:$C$19,0)),"•")))</f>
        <v/>
      </c>
      <c r="I225" s="114" t="str">
        <f aca="false">IF($E225="","",IF($B225="Tema",INDEX(Config!$E$6:$E$11,$D225),IF(INDEX(Avulsos!$D$6:$D$205,$C225)&amp;""="","Outro",INDEX(Avulsos!$D$6:$D$205,$C225))))</f>
        <v/>
      </c>
      <c r="J225" s="114" t="str">
        <f aca="false">IF($E225="","",IF($B225="Tema",INDEX(Temas!$C$6:$C$305,$C225)&amp;"",INDEX(Avulsos!$E$6:$E$205,$C225)&amp;""))</f>
        <v/>
      </c>
      <c r="K225" s="114" t="str">
        <f aca="false">IF($E225="","",IF(IF($B225="Tema",INDEX(Temas!$E$6:$P$305,$C225,2*$D225),INDEX(Avulsos!$F$6:$F$205,$C225))&amp;""="","","✓"))</f>
        <v/>
      </c>
      <c r="L225" s="114" t="str">
        <f aca="true">IF($E225="","",IF($K225="✓","Concluído",IF($E225&lt;TODAY(),"Atrasado",IF($E225=TODAY(),"Hoje","Pendente"))))</f>
        <v/>
      </c>
      <c r="M225" s="114" t="str">
        <f aca="false">IF($E225="","",IF($K225="✓","✓ ","")&amp;IF(Config!$E$22="Sim",$H225&amp;" · ","")&amp;$F225)</f>
        <v/>
      </c>
      <c r="N225" s="114" t="str">
        <f aca="false">IF($E225="","",IFERROR(INDEX(Config!$D$15:$D$19,MATCH($I225,Config!$C$15:$C$19,0)),"OUT")&amp;IF($K225="✓","x",""))</f>
        <v/>
      </c>
      <c r="O225" s="114" t="str">
        <f aca="false">IF($E225="","",COUNTIF($E$5:$E225,$E225))</f>
        <v/>
      </c>
      <c r="P225" s="114" t="str">
        <f aca="false">IF($E225="","",$E225*100+$O225)</f>
        <v/>
      </c>
      <c r="Q225" s="114" t="str">
        <f aca="false">IF($L225="Atrasado",$E225*10000+$A225,"")</f>
        <v/>
      </c>
    </row>
    <row r="226" customFormat="false" ht="15" hidden="false" customHeight="false" outlineLevel="0" collapsed="false">
      <c r="A226" s="114" t="n">
        <f aca="false">ROW()-4</f>
        <v>222</v>
      </c>
      <c r="B226" s="114" t="str">
        <f aca="false">IF(A226&lt;=Config!$E$27*Config!$E$28,"Tema","Avulso")</f>
        <v>Tema</v>
      </c>
      <c r="C226" s="114" t="n">
        <f aca="false">IF(B226="Tema",INT((A226-1)/Config!$E$28)+1,A226-Config!$E$27*Config!$E$28)</f>
        <v>37</v>
      </c>
      <c r="D226" s="114" t="n">
        <f aca="false">IF(B226="Tema",MOD(A226-1,Config!$E$28)+1,"")</f>
        <v>6</v>
      </c>
      <c r="E226" s="115" t="str">
        <f aca="false">IF($B226="Tema",IF(ISNUMBER(INDEX(Temas!$E$6:$P$305,$C226,2*$D226-1)),INDEX(Temas!$E$6:$P$305,$C226,2*$D226-1),""),IF(ISNUMBER(INDEX(Avulsos!$B$6:$B$205,$C226)),INDEX(Avulsos!$B$6:$B$205,$C226),""))</f>
        <v/>
      </c>
      <c r="F226" s="114" t="str">
        <f aca="false">IF($E226="","",IF($B226="Tema",INDEX(Temas!$B$6:$B$305,$C226)&amp;"",INDEX(Avulsos!$C$6:$C$205,$C226)&amp;""))</f>
        <v/>
      </c>
      <c r="G226" s="114" t="str">
        <f aca="false">IF($E226="","",IF($B226="Tema",INDEX(Config!$C$6:$C$11,$D226),"Evento avulso"))</f>
        <v/>
      </c>
      <c r="H226" s="114" t="str">
        <f aca="false">IF($E226="","",IF($B226="Tema",INDEX(Config!$D$6:$D$11,$D226),IFERROR(INDEX(Config!$E$15:$E$19,MATCH($I226,Config!$C$15:$C$19,0)),"•")))</f>
        <v/>
      </c>
      <c r="I226" s="114" t="str">
        <f aca="false">IF($E226="","",IF($B226="Tema",INDEX(Config!$E$6:$E$11,$D226),IF(INDEX(Avulsos!$D$6:$D$205,$C226)&amp;""="","Outro",INDEX(Avulsos!$D$6:$D$205,$C226))))</f>
        <v/>
      </c>
      <c r="J226" s="114" t="str">
        <f aca="false">IF($E226="","",IF($B226="Tema",INDEX(Temas!$C$6:$C$305,$C226)&amp;"",INDEX(Avulsos!$E$6:$E$205,$C226)&amp;""))</f>
        <v/>
      </c>
      <c r="K226" s="114" t="str">
        <f aca="false">IF($E226="","",IF(IF($B226="Tema",INDEX(Temas!$E$6:$P$305,$C226,2*$D226),INDEX(Avulsos!$F$6:$F$205,$C226))&amp;""="","","✓"))</f>
        <v/>
      </c>
      <c r="L226" s="114" t="str">
        <f aca="true">IF($E226="","",IF($K226="✓","Concluído",IF($E226&lt;TODAY(),"Atrasado",IF($E226=TODAY(),"Hoje","Pendente"))))</f>
        <v/>
      </c>
      <c r="M226" s="114" t="str">
        <f aca="false">IF($E226="","",IF($K226="✓","✓ ","")&amp;IF(Config!$E$22="Sim",$H226&amp;" · ","")&amp;$F226)</f>
        <v/>
      </c>
      <c r="N226" s="114" t="str">
        <f aca="false">IF($E226="","",IFERROR(INDEX(Config!$D$15:$D$19,MATCH($I226,Config!$C$15:$C$19,0)),"OUT")&amp;IF($K226="✓","x",""))</f>
        <v/>
      </c>
      <c r="O226" s="114" t="str">
        <f aca="false">IF($E226="","",COUNTIF($E$5:$E226,$E226))</f>
        <v/>
      </c>
      <c r="P226" s="114" t="str">
        <f aca="false">IF($E226="","",$E226*100+$O226)</f>
        <v/>
      </c>
      <c r="Q226" s="114" t="str">
        <f aca="false">IF($L226="Atrasado",$E226*10000+$A226,"")</f>
        <v/>
      </c>
    </row>
    <row r="227" customFormat="false" ht="15" hidden="false" customHeight="false" outlineLevel="0" collapsed="false">
      <c r="A227" s="114" t="n">
        <f aca="false">ROW()-4</f>
        <v>223</v>
      </c>
      <c r="B227" s="114" t="str">
        <f aca="false">IF(A227&lt;=Config!$E$27*Config!$E$28,"Tema","Avulso")</f>
        <v>Tema</v>
      </c>
      <c r="C227" s="114" t="n">
        <f aca="false">IF(B227="Tema",INT((A227-1)/Config!$E$28)+1,A227-Config!$E$27*Config!$E$28)</f>
        <v>38</v>
      </c>
      <c r="D227" s="114" t="n">
        <f aca="false">IF(B227="Tema",MOD(A227-1,Config!$E$28)+1,"")</f>
        <v>1</v>
      </c>
      <c r="E227" s="115" t="str">
        <f aca="false">IF($B227="Tema",IF(ISNUMBER(INDEX(Temas!$E$6:$P$305,$C227,2*$D227-1)),INDEX(Temas!$E$6:$P$305,$C227,2*$D227-1),""),IF(ISNUMBER(INDEX(Avulsos!$B$6:$B$205,$C227)),INDEX(Avulsos!$B$6:$B$205,$C227),""))</f>
        <v/>
      </c>
      <c r="F227" s="114" t="str">
        <f aca="false">IF($E227="","",IF($B227="Tema",INDEX(Temas!$B$6:$B$305,$C227)&amp;"",INDEX(Avulsos!$C$6:$C$205,$C227)&amp;""))</f>
        <v/>
      </c>
      <c r="G227" s="114" t="str">
        <f aca="false">IF($E227="","",IF($B227="Tema",INDEX(Config!$C$6:$C$11,$D227),"Evento avulso"))</f>
        <v/>
      </c>
      <c r="H227" s="114" t="str">
        <f aca="false">IF($E227="","",IF($B227="Tema",INDEX(Config!$D$6:$D$11,$D227),IFERROR(INDEX(Config!$E$15:$E$19,MATCH($I227,Config!$C$15:$C$19,0)),"•")))</f>
        <v/>
      </c>
      <c r="I227" s="114" t="str">
        <f aca="false">IF($E227="","",IF($B227="Tema",INDEX(Config!$E$6:$E$11,$D227),IF(INDEX(Avulsos!$D$6:$D$205,$C227)&amp;""="","Outro",INDEX(Avulsos!$D$6:$D$205,$C227))))</f>
        <v/>
      </c>
      <c r="J227" s="114" t="str">
        <f aca="false">IF($E227="","",IF($B227="Tema",INDEX(Temas!$C$6:$C$305,$C227)&amp;"",INDEX(Avulsos!$E$6:$E$205,$C227)&amp;""))</f>
        <v/>
      </c>
      <c r="K227" s="114" t="str">
        <f aca="false">IF($E227="","",IF(IF($B227="Tema",INDEX(Temas!$E$6:$P$305,$C227,2*$D227),INDEX(Avulsos!$F$6:$F$205,$C227))&amp;""="","","✓"))</f>
        <v/>
      </c>
      <c r="L227" s="114" t="str">
        <f aca="true">IF($E227="","",IF($K227="✓","Concluído",IF($E227&lt;TODAY(),"Atrasado",IF($E227=TODAY(),"Hoje","Pendente"))))</f>
        <v/>
      </c>
      <c r="M227" s="114" t="str">
        <f aca="false">IF($E227="","",IF($K227="✓","✓ ","")&amp;IF(Config!$E$22="Sim",$H227&amp;" · ","")&amp;$F227)</f>
        <v/>
      </c>
      <c r="N227" s="114" t="str">
        <f aca="false">IF($E227="","",IFERROR(INDEX(Config!$D$15:$D$19,MATCH($I227,Config!$C$15:$C$19,0)),"OUT")&amp;IF($K227="✓","x",""))</f>
        <v/>
      </c>
      <c r="O227" s="114" t="str">
        <f aca="false">IF($E227="","",COUNTIF($E$5:$E227,$E227))</f>
        <v/>
      </c>
      <c r="P227" s="114" t="str">
        <f aca="false">IF($E227="","",$E227*100+$O227)</f>
        <v/>
      </c>
      <c r="Q227" s="114" t="str">
        <f aca="false">IF($L227="Atrasado",$E227*10000+$A227,"")</f>
        <v/>
      </c>
    </row>
    <row r="228" customFormat="false" ht="15" hidden="false" customHeight="false" outlineLevel="0" collapsed="false">
      <c r="A228" s="114" t="n">
        <f aca="false">ROW()-4</f>
        <v>224</v>
      </c>
      <c r="B228" s="114" t="str">
        <f aca="false">IF(A228&lt;=Config!$E$27*Config!$E$28,"Tema","Avulso")</f>
        <v>Tema</v>
      </c>
      <c r="C228" s="114" t="n">
        <f aca="false">IF(B228="Tema",INT((A228-1)/Config!$E$28)+1,A228-Config!$E$27*Config!$E$28)</f>
        <v>38</v>
      </c>
      <c r="D228" s="114" t="n">
        <f aca="false">IF(B228="Tema",MOD(A228-1,Config!$E$28)+1,"")</f>
        <v>2</v>
      </c>
      <c r="E228" s="115" t="str">
        <f aca="false">IF($B228="Tema",IF(ISNUMBER(INDEX(Temas!$E$6:$P$305,$C228,2*$D228-1)),INDEX(Temas!$E$6:$P$305,$C228,2*$D228-1),""),IF(ISNUMBER(INDEX(Avulsos!$B$6:$B$205,$C228)),INDEX(Avulsos!$B$6:$B$205,$C228),""))</f>
        <v/>
      </c>
      <c r="F228" s="114" t="str">
        <f aca="false">IF($E228="","",IF($B228="Tema",INDEX(Temas!$B$6:$B$305,$C228)&amp;"",INDEX(Avulsos!$C$6:$C$205,$C228)&amp;""))</f>
        <v/>
      </c>
      <c r="G228" s="114" t="str">
        <f aca="false">IF($E228="","",IF($B228="Tema",INDEX(Config!$C$6:$C$11,$D228),"Evento avulso"))</f>
        <v/>
      </c>
      <c r="H228" s="114" t="str">
        <f aca="false">IF($E228="","",IF($B228="Tema",INDEX(Config!$D$6:$D$11,$D228),IFERROR(INDEX(Config!$E$15:$E$19,MATCH($I228,Config!$C$15:$C$19,0)),"•")))</f>
        <v/>
      </c>
      <c r="I228" s="114" t="str">
        <f aca="false">IF($E228="","",IF($B228="Tema",INDEX(Config!$E$6:$E$11,$D228),IF(INDEX(Avulsos!$D$6:$D$205,$C228)&amp;""="","Outro",INDEX(Avulsos!$D$6:$D$205,$C228))))</f>
        <v/>
      </c>
      <c r="J228" s="114" t="str">
        <f aca="false">IF($E228="","",IF($B228="Tema",INDEX(Temas!$C$6:$C$305,$C228)&amp;"",INDEX(Avulsos!$E$6:$E$205,$C228)&amp;""))</f>
        <v/>
      </c>
      <c r="K228" s="114" t="str">
        <f aca="false">IF($E228="","",IF(IF($B228="Tema",INDEX(Temas!$E$6:$P$305,$C228,2*$D228),INDEX(Avulsos!$F$6:$F$205,$C228))&amp;""="","","✓"))</f>
        <v/>
      </c>
      <c r="L228" s="114" t="str">
        <f aca="true">IF($E228="","",IF($K228="✓","Concluído",IF($E228&lt;TODAY(),"Atrasado",IF($E228=TODAY(),"Hoje","Pendente"))))</f>
        <v/>
      </c>
      <c r="M228" s="114" t="str">
        <f aca="false">IF($E228="","",IF($K228="✓","✓ ","")&amp;IF(Config!$E$22="Sim",$H228&amp;" · ","")&amp;$F228)</f>
        <v/>
      </c>
      <c r="N228" s="114" t="str">
        <f aca="false">IF($E228="","",IFERROR(INDEX(Config!$D$15:$D$19,MATCH($I228,Config!$C$15:$C$19,0)),"OUT")&amp;IF($K228="✓","x",""))</f>
        <v/>
      </c>
      <c r="O228" s="114" t="str">
        <f aca="false">IF($E228="","",COUNTIF($E$5:$E228,$E228))</f>
        <v/>
      </c>
      <c r="P228" s="114" t="str">
        <f aca="false">IF($E228="","",$E228*100+$O228)</f>
        <v/>
      </c>
      <c r="Q228" s="114" t="str">
        <f aca="false">IF($L228="Atrasado",$E228*10000+$A228,"")</f>
        <v/>
      </c>
    </row>
    <row r="229" customFormat="false" ht="15" hidden="false" customHeight="false" outlineLevel="0" collapsed="false">
      <c r="A229" s="114" t="n">
        <f aca="false">ROW()-4</f>
        <v>225</v>
      </c>
      <c r="B229" s="114" t="str">
        <f aca="false">IF(A229&lt;=Config!$E$27*Config!$E$28,"Tema","Avulso")</f>
        <v>Tema</v>
      </c>
      <c r="C229" s="114" t="n">
        <f aca="false">IF(B229="Tema",INT((A229-1)/Config!$E$28)+1,A229-Config!$E$27*Config!$E$28)</f>
        <v>38</v>
      </c>
      <c r="D229" s="114" t="n">
        <f aca="false">IF(B229="Tema",MOD(A229-1,Config!$E$28)+1,"")</f>
        <v>3</v>
      </c>
      <c r="E229" s="115" t="str">
        <f aca="false">IF($B229="Tema",IF(ISNUMBER(INDEX(Temas!$E$6:$P$305,$C229,2*$D229-1)),INDEX(Temas!$E$6:$P$305,$C229,2*$D229-1),""),IF(ISNUMBER(INDEX(Avulsos!$B$6:$B$205,$C229)),INDEX(Avulsos!$B$6:$B$205,$C229),""))</f>
        <v/>
      </c>
      <c r="F229" s="114" t="str">
        <f aca="false">IF($E229="","",IF($B229="Tema",INDEX(Temas!$B$6:$B$305,$C229)&amp;"",INDEX(Avulsos!$C$6:$C$205,$C229)&amp;""))</f>
        <v/>
      </c>
      <c r="G229" s="114" t="str">
        <f aca="false">IF($E229="","",IF($B229="Tema",INDEX(Config!$C$6:$C$11,$D229),"Evento avulso"))</f>
        <v/>
      </c>
      <c r="H229" s="114" t="str">
        <f aca="false">IF($E229="","",IF($B229="Tema",INDEX(Config!$D$6:$D$11,$D229),IFERROR(INDEX(Config!$E$15:$E$19,MATCH($I229,Config!$C$15:$C$19,0)),"•")))</f>
        <v/>
      </c>
      <c r="I229" s="114" t="str">
        <f aca="false">IF($E229="","",IF($B229="Tema",INDEX(Config!$E$6:$E$11,$D229),IF(INDEX(Avulsos!$D$6:$D$205,$C229)&amp;""="","Outro",INDEX(Avulsos!$D$6:$D$205,$C229))))</f>
        <v/>
      </c>
      <c r="J229" s="114" t="str">
        <f aca="false">IF($E229="","",IF($B229="Tema",INDEX(Temas!$C$6:$C$305,$C229)&amp;"",INDEX(Avulsos!$E$6:$E$205,$C229)&amp;""))</f>
        <v/>
      </c>
      <c r="K229" s="114" t="str">
        <f aca="false">IF($E229="","",IF(IF($B229="Tema",INDEX(Temas!$E$6:$P$305,$C229,2*$D229),INDEX(Avulsos!$F$6:$F$205,$C229))&amp;""="","","✓"))</f>
        <v/>
      </c>
      <c r="L229" s="114" t="str">
        <f aca="true">IF($E229="","",IF($K229="✓","Concluído",IF($E229&lt;TODAY(),"Atrasado",IF($E229=TODAY(),"Hoje","Pendente"))))</f>
        <v/>
      </c>
      <c r="M229" s="114" t="str">
        <f aca="false">IF($E229="","",IF($K229="✓","✓ ","")&amp;IF(Config!$E$22="Sim",$H229&amp;" · ","")&amp;$F229)</f>
        <v/>
      </c>
      <c r="N229" s="114" t="str">
        <f aca="false">IF($E229="","",IFERROR(INDEX(Config!$D$15:$D$19,MATCH($I229,Config!$C$15:$C$19,0)),"OUT")&amp;IF($K229="✓","x",""))</f>
        <v/>
      </c>
      <c r="O229" s="114" t="str">
        <f aca="false">IF($E229="","",COUNTIF($E$5:$E229,$E229))</f>
        <v/>
      </c>
      <c r="P229" s="114" t="str">
        <f aca="false">IF($E229="","",$E229*100+$O229)</f>
        <v/>
      </c>
      <c r="Q229" s="114" t="str">
        <f aca="false">IF($L229="Atrasado",$E229*10000+$A229,"")</f>
        <v/>
      </c>
    </row>
    <row r="230" customFormat="false" ht="15" hidden="false" customHeight="false" outlineLevel="0" collapsed="false">
      <c r="A230" s="114" t="n">
        <f aca="false">ROW()-4</f>
        <v>226</v>
      </c>
      <c r="B230" s="114" t="str">
        <f aca="false">IF(A230&lt;=Config!$E$27*Config!$E$28,"Tema","Avulso")</f>
        <v>Tema</v>
      </c>
      <c r="C230" s="114" t="n">
        <f aca="false">IF(B230="Tema",INT((A230-1)/Config!$E$28)+1,A230-Config!$E$27*Config!$E$28)</f>
        <v>38</v>
      </c>
      <c r="D230" s="114" t="n">
        <f aca="false">IF(B230="Tema",MOD(A230-1,Config!$E$28)+1,"")</f>
        <v>4</v>
      </c>
      <c r="E230" s="115" t="str">
        <f aca="false">IF($B230="Tema",IF(ISNUMBER(INDEX(Temas!$E$6:$P$305,$C230,2*$D230-1)),INDEX(Temas!$E$6:$P$305,$C230,2*$D230-1),""),IF(ISNUMBER(INDEX(Avulsos!$B$6:$B$205,$C230)),INDEX(Avulsos!$B$6:$B$205,$C230),""))</f>
        <v/>
      </c>
      <c r="F230" s="114" t="str">
        <f aca="false">IF($E230="","",IF($B230="Tema",INDEX(Temas!$B$6:$B$305,$C230)&amp;"",INDEX(Avulsos!$C$6:$C$205,$C230)&amp;""))</f>
        <v/>
      </c>
      <c r="G230" s="114" t="str">
        <f aca="false">IF($E230="","",IF($B230="Tema",INDEX(Config!$C$6:$C$11,$D230),"Evento avulso"))</f>
        <v/>
      </c>
      <c r="H230" s="114" t="str">
        <f aca="false">IF($E230="","",IF($B230="Tema",INDEX(Config!$D$6:$D$11,$D230),IFERROR(INDEX(Config!$E$15:$E$19,MATCH($I230,Config!$C$15:$C$19,0)),"•")))</f>
        <v/>
      </c>
      <c r="I230" s="114" t="str">
        <f aca="false">IF($E230="","",IF($B230="Tema",INDEX(Config!$E$6:$E$11,$D230),IF(INDEX(Avulsos!$D$6:$D$205,$C230)&amp;""="","Outro",INDEX(Avulsos!$D$6:$D$205,$C230))))</f>
        <v/>
      </c>
      <c r="J230" s="114" t="str">
        <f aca="false">IF($E230="","",IF($B230="Tema",INDEX(Temas!$C$6:$C$305,$C230)&amp;"",INDEX(Avulsos!$E$6:$E$205,$C230)&amp;""))</f>
        <v/>
      </c>
      <c r="K230" s="114" t="str">
        <f aca="false">IF($E230="","",IF(IF($B230="Tema",INDEX(Temas!$E$6:$P$305,$C230,2*$D230),INDEX(Avulsos!$F$6:$F$205,$C230))&amp;""="","","✓"))</f>
        <v/>
      </c>
      <c r="L230" s="114" t="str">
        <f aca="true">IF($E230="","",IF($K230="✓","Concluído",IF($E230&lt;TODAY(),"Atrasado",IF($E230=TODAY(),"Hoje","Pendente"))))</f>
        <v/>
      </c>
      <c r="M230" s="114" t="str">
        <f aca="false">IF($E230="","",IF($K230="✓","✓ ","")&amp;IF(Config!$E$22="Sim",$H230&amp;" · ","")&amp;$F230)</f>
        <v/>
      </c>
      <c r="N230" s="114" t="str">
        <f aca="false">IF($E230="","",IFERROR(INDEX(Config!$D$15:$D$19,MATCH($I230,Config!$C$15:$C$19,0)),"OUT")&amp;IF($K230="✓","x",""))</f>
        <v/>
      </c>
      <c r="O230" s="114" t="str">
        <f aca="false">IF($E230="","",COUNTIF($E$5:$E230,$E230))</f>
        <v/>
      </c>
      <c r="P230" s="114" t="str">
        <f aca="false">IF($E230="","",$E230*100+$O230)</f>
        <v/>
      </c>
      <c r="Q230" s="114" t="str">
        <f aca="false">IF($L230="Atrasado",$E230*10000+$A230,"")</f>
        <v/>
      </c>
    </row>
    <row r="231" customFormat="false" ht="15" hidden="false" customHeight="false" outlineLevel="0" collapsed="false">
      <c r="A231" s="114" t="n">
        <f aca="false">ROW()-4</f>
        <v>227</v>
      </c>
      <c r="B231" s="114" t="str">
        <f aca="false">IF(A231&lt;=Config!$E$27*Config!$E$28,"Tema","Avulso")</f>
        <v>Tema</v>
      </c>
      <c r="C231" s="114" t="n">
        <f aca="false">IF(B231="Tema",INT((A231-1)/Config!$E$28)+1,A231-Config!$E$27*Config!$E$28)</f>
        <v>38</v>
      </c>
      <c r="D231" s="114" t="n">
        <f aca="false">IF(B231="Tema",MOD(A231-1,Config!$E$28)+1,"")</f>
        <v>5</v>
      </c>
      <c r="E231" s="115" t="str">
        <f aca="false">IF($B231="Tema",IF(ISNUMBER(INDEX(Temas!$E$6:$P$305,$C231,2*$D231-1)),INDEX(Temas!$E$6:$P$305,$C231,2*$D231-1),""),IF(ISNUMBER(INDEX(Avulsos!$B$6:$B$205,$C231)),INDEX(Avulsos!$B$6:$B$205,$C231),""))</f>
        <v/>
      </c>
      <c r="F231" s="114" t="str">
        <f aca="false">IF($E231="","",IF($B231="Tema",INDEX(Temas!$B$6:$B$305,$C231)&amp;"",INDEX(Avulsos!$C$6:$C$205,$C231)&amp;""))</f>
        <v/>
      </c>
      <c r="G231" s="114" t="str">
        <f aca="false">IF($E231="","",IF($B231="Tema",INDEX(Config!$C$6:$C$11,$D231),"Evento avulso"))</f>
        <v/>
      </c>
      <c r="H231" s="114" t="str">
        <f aca="false">IF($E231="","",IF($B231="Tema",INDEX(Config!$D$6:$D$11,$D231),IFERROR(INDEX(Config!$E$15:$E$19,MATCH($I231,Config!$C$15:$C$19,0)),"•")))</f>
        <v/>
      </c>
      <c r="I231" s="114" t="str">
        <f aca="false">IF($E231="","",IF($B231="Tema",INDEX(Config!$E$6:$E$11,$D231),IF(INDEX(Avulsos!$D$6:$D$205,$C231)&amp;""="","Outro",INDEX(Avulsos!$D$6:$D$205,$C231))))</f>
        <v/>
      </c>
      <c r="J231" s="114" t="str">
        <f aca="false">IF($E231="","",IF($B231="Tema",INDEX(Temas!$C$6:$C$305,$C231)&amp;"",INDEX(Avulsos!$E$6:$E$205,$C231)&amp;""))</f>
        <v/>
      </c>
      <c r="K231" s="114" t="str">
        <f aca="false">IF($E231="","",IF(IF($B231="Tema",INDEX(Temas!$E$6:$P$305,$C231,2*$D231),INDEX(Avulsos!$F$6:$F$205,$C231))&amp;""="","","✓"))</f>
        <v/>
      </c>
      <c r="L231" s="114" t="str">
        <f aca="true">IF($E231="","",IF($K231="✓","Concluído",IF($E231&lt;TODAY(),"Atrasado",IF($E231=TODAY(),"Hoje","Pendente"))))</f>
        <v/>
      </c>
      <c r="M231" s="114" t="str">
        <f aca="false">IF($E231="","",IF($K231="✓","✓ ","")&amp;IF(Config!$E$22="Sim",$H231&amp;" · ","")&amp;$F231)</f>
        <v/>
      </c>
      <c r="N231" s="114" t="str">
        <f aca="false">IF($E231="","",IFERROR(INDEX(Config!$D$15:$D$19,MATCH($I231,Config!$C$15:$C$19,0)),"OUT")&amp;IF($K231="✓","x",""))</f>
        <v/>
      </c>
      <c r="O231" s="114" t="str">
        <f aca="false">IF($E231="","",COUNTIF($E$5:$E231,$E231))</f>
        <v/>
      </c>
      <c r="P231" s="114" t="str">
        <f aca="false">IF($E231="","",$E231*100+$O231)</f>
        <v/>
      </c>
      <c r="Q231" s="114" t="str">
        <f aca="false">IF($L231="Atrasado",$E231*10000+$A231,"")</f>
        <v/>
      </c>
    </row>
    <row r="232" customFormat="false" ht="15" hidden="false" customHeight="false" outlineLevel="0" collapsed="false">
      <c r="A232" s="114" t="n">
        <f aca="false">ROW()-4</f>
        <v>228</v>
      </c>
      <c r="B232" s="114" t="str">
        <f aca="false">IF(A232&lt;=Config!$E$27*Config!$E$28,"Tema","Avulso")</f>
        <v>Tema</v>
      </c>
      <c r="C232" s="114" t="n">
        <f aca="false">IF(B232="Tema",INT((A232-1)/Config!$E$28)+1,A232-Config!$E$27*Config!$E$28)</f>
        <v>38</v>
      </c>
      <c r="D232" s="114" t="n">
        <f aca="false">IF(B232="Tema",MOD(A232-1,Config!$E$28)+1,"")</f>
        <v>6</v>
      </c>
      <c r="E232" s="115" t="str">
        <f aca="false">IF($B232="Tema",IF(ISNUMBER(INDEX(Temas!$E$6:$P$305,$C232,2*$D232-1)),INDEX(Temas!$E$6:$P$305,$C232,2*$D232-1),""),IF(ISNUMBER(INDEX(Avulsos!$B$6:$B$205,$C232)),INDEX(Avulsos!$B$6:$B$205,$C232),""))</f>
        <v/>
      </c>
      <c r="F232" s="114" t="str">
        <f aca="false">IF($E232="","",IF($B232="Tema",INDEX(Temas!$B$6:$B$305,$C232)&amp;"",INDEX(Avulsos!$C$6:$C$205,$C232)&amp;""))</f>
        <v/>
      </c>
      <c r="G232" s="114" t="str">
        <f aca="false">IF($E232="","",IF($B232="Tema",INDEX(Config!$C$6:$C$11,$D232),"Evento avulso"))</f>
        <v/>
      </c>
      <c r="H232" s="114" t="str">
        <f aca="false">IF($E232="","",IF($B232="Tema",INDEX(Config!$D$6:$D$11,$D232),IFERROR(INDEX(Config!$E$15:$E$19,MATCH($I232,Config!$C$15:$C$19,0)),"•")))</f>
        <v/>
      </c>
      <c r="I232" s="114" t="str">
        <f aca="false">IF($E232="","",IF($B232="Tema",INDEX(Config!$E$6:$E$11,$D232),IF(INDEX(Avulsos!$D$6:$D$205,$C232)&amp;""="","Outro",INDEX(Avulsos!$D$6:$D$205,$C232))))</f>
        <v/>
      </c>
      <c r="J232" s="114" t="str">
        <f aca="false">IF($E232="","",IF($B232="Tema",INDEX(Temas!$C$6:$C$305,$C232)&amp;"",INDEX(Avulsos!$E$6:$E$205,$C232)&amp;""))</f>
        <v/>
      </c>
      <c r="K232" s="114" t="str">
        <f aca="false">IF($E232="","",IF(IF($B232="Tema",INDEX(Temas!$E$6:$P$305,$C232,2*$D232),INDEX(Avulsos!$F$6:$F$205,$C232))&amp;""="","","✓"))</f>
        <v/>
      </c>
      <c r="L232" s="114" t="str">
        <f aca="true">IF($E232="","",IF($K232="✓","Concluído",IF($E232&lt;TODAY(),"Atrasado",IF($E232=TODAY(),"Hoje","Pendente"))))</f>
        <v/>
      </c>
      <c r="M232" s="114" t="str">
        <f aca="false">IF($E232="","",IF($K232="✓","✓ ","")&amp;IF(Config!$E$22="Sim",$H232&amp;" · ","")&amp;$F232)</f>
        <v/>
      </c>
      <c r="N232" s="114" t="str">
        <f aca="false">IF($E232="","",IFERROR(INDEX(Config!$D$15:$D$19,MATCH($I232,Config!$C$15:$C$19,0)),"OUT")&amp;IF($K232="✓","x",""))</f>
        <v/>
      </c>
      <c r="O232" s="114" t="str">
        <f aca="false">IF($E232="","",COUNTIF($E$5:$E232,$E232))</f>
        <v/>
      </c>
      <c r="P232" s="114" t="str">
        <f aca="false">IF($E232="","",$E232*100+$O232)</f>
        <v/>
      </c>
      <c r="Q232" s="114" t="str">
        <f aca="false">IF($L232="Atrasado",$E232*10000+$A232,"")</f>
        <v/>
      </c>
    </row>
    <row r="233" customFormat="false" ht="15" hidden="false" customHeight="false" outlineLevel="0" collapsed="false">
      <c r="A233" s="114" t="n">
        <f aca="false">ROW()-4</f>
        <v>229</v>
      </c>
      <c r="B233" s="114" t="str">
        <f aca="false">IF(A233&lt;=Config!$E$27*Config!$E$28,"Tema","Avulso")</f>
        <v>Tema</v>
      </c>
      <c r="C233" s="114" t="n">
        <f aca="false">IF(B233="Tema",INT((A233-1)/Config!$E$28)+1,A233-Config!$E$27*Config!$E$28)</f>
        <v>39</v>
      </c>
      <c r="D233" s="114" t="n">
        <f aca="false">IF(B233="Tema",MOD(A233-1,Config!$E$28)+1,"")</f>
        <v>1</v>
      </c>
      <c r="E233" s="115" t="str">
        <f aca="false">IF($B233="Tema",IF(ISNUMBER(INDEX(Temas!$E$6:$P$305,$C233,2*$D233-1)),INDEX(Temas!$E$6:$P$305,$C233,2*$D233-1),""),IF(ISNUMBER(INDEX(Avulsos!$B$6:$B$205,$C233)),INDEX(Avulsos!$B$6:$B$205,$C233),""))</f>
        <v/>
      </c>
      <c r="F233" s="114" t="str">
        <f aca="false">IF($E233="","",IF($B233="Tema",INDEX(Temas!$B$6:$B$305,$C233)&amp;"",INDEX(Avulsos!$C$6:$C$205,$C233)&amp;""))</f>
        <v/>
      </c>
      <c r="G233" s="114" t="str">
        <f aca="false">IF($E233="","",IF($B233="Tema",INDEX(Config!$C$6:$C$11,$D233),"Evento avulso"))</f>
        <v/>
      </c>
      <c r="H233" s="114" t="str">
        <f aca="false">IF($E233="","",IF($B233="Tema",INDEX(Config!$D$6:$D$11,$D233),IFERROR(INDEX(Config!$E$15:$E$19,MATCH($I233,Config!$C$15:$C$19,0)),"•")))</f>
        <v/>
      </c>
      <c r="I233" s="114" t="str">
        <f aca="false">IF($E233="","",IF($B233="Tema",INDEX(Config!$E$6:$E$11,$D233),IF(INDEX(Avulsos!$D$6:$D$205,$C233)&amp;""="","Outro",INDEX(Avulsos!$D$6:$D$205,$C233))))</f>
        <v/>
      </c>
      <c r="J233" s="114" t="str">
        <f aca="false">IF($E233="","",IF($B233="Tema",INDEX(Temas!$C$6:$C$305,$C233)&amp;"",INDEX(Avulsos!$E$6:$E$205,$C233)&amp;""))</f>
        <v/>
      </c>
      <c r="K233" s="114" t="str">
        <f aca="false">IF($E233="","",IF(IF($B233="Tema",INDEX(Temas!$E$6:$P$305,$C233,2*$D233),INDEX(Avulsos!$F$6:$F$205,$C233))&amp;""="","","✓"))</f>
        <v/>
      </c>
      <c r="L233" s="114" t="str">
        <f aca="true">IF($E233="","",IF($K233="✓","Concluído",IF($E233&lt;TODAY(),"Atrasado",IF($E233=TODAY(),"Hoje","Pendente"))))</f>
        <v/>
      </c>
      <c r="M233" s="114" t="str">
        <f aca="false">IF($E233="","",IF($K233="✓","✓ ","")&amp;IF(Config!$E$22="Sim",$H233&amp;" · ","")&amp;$F233)</f>
        <v/>
      </c>
      <c r="N233" s="114" t="str">
        <f aca="false">IF($E233="","",IFERROR(INDEX(Config!$D$15:$D$19,MATCH($I233,Config!$C$15:$C$19,0)),"OUT")&amp;IF($K233="✓","x",""))</f>
        <v/>
      </c>
      <c r="O233" s="114" t="str">
        <f aca="false">IF($E233="","",COUNTIF($E$5:$E233,$E233))</f>
        <v/>
      </c>
      <c r="P233" s="114" t="str">
        <f aca="false">IF($E233="","",$E233*100+$O233)</f>
        <v/>
      </c>
      <c r="Q233" s="114" t="str">
        <f aca="false">IF($L233="Atrasado",$E233*10000+$A233,"")</f>
        <v/>
      </c>
    </row>
    <row r="234" customFormat="false" ht="15" hidden="false" customHeight="false" outlineLevel="0" collapsed="false">
      <c r="A234" s="114" t="n">
        <f aca="false">ROW()-4</f>
        <v>230</v>
      </c>
      <c r="B234" s="114" t="str">
        <f aca="false">IF(A234&lt;=Config!$E$27*Config!$E$28,"Tema","Avulso")</f>
        <v>Tema</v>
      </c>
      <c r="C234" s="114" t="n">
        <f aca="false">IF(B234="Tema",INT((A234-1)/Config!$E$28)+1,A234-Config!$E$27*Config!$E$28)</f>
        <v>39</v>
      </c>
      <c r="D234" s="114" t="n">
        <f aca="false">IF(B234="Tema",MOD(A234-1,Config!$E$28)+1,"")</f>
        <v>2</v>
      </c>
      <c r="E234" s="115" t="str">
        <f aca="false">IF($B234="Tema",IF(ISNUMBER(INDEX(Temas!$E$6:$P$305,$C234,2*$D234-1)),INDEX(Temas!$E$6:$P$305,$C234,2*$D234-1),""),IF(ISNUMBER(INDEX(Avulsos!$B$6:$B$205,$C234)),INDEX(Avulsos!$B$6:$B$205,$C234),""))</f>
        <v/>
      </c>
      <c r="F234" s="114" t="str">
        <f aca="false">IF($E234="","",IF($B234="Tema",INDEX(Temas!$B$6:$B$305,$C234)&amp;"",INDEX(Avulsos!$C$6:$C$205,$C234)&amp;""))</f>
        <v/>
      </c>
      <c r="G234" s="114" t="str">
        <f aca="false">IF($E234="","",IF($B234="Tema",INDEX(Config!$C$6:$C$11,$D234),"Evento avulso"))</f>
        <v/>
      </c>
      <c r="H234" s="114" t="str">
        <f aca="false">IF($E234="","",IF($B234="Tema",INDEX(Config!$D$6:$D$11,$D234),IFERROR(INDEX(Config!$E$15:$E$19,MATCH($I234,Config!$C$15:$C$19,0)),"•")))</f>
        <v/>
      </c>
      <c r="I234" s="114" t="str">
        <f aca="false">IF($E234="","",IF($B234="Tema",INDEX(Config!$E$6:$E$11,$D234),IF(INDEX(Avulsos!$D$6:$D$205,$C234)&amp;""="","Outro",INDEX(Avulsos!$D$6:$D$205,$C234))))</f>
        <v/>
      </c>
      <c r="J234" s="114" t="str">
        <f aca="false">IF($E234="","",IF($B234="Tema",INDEX(Temas!$C$6:$C$305,$C234)&amp;"",INDEX(Avulsos!$E$6:$E$205,$C234)&amp;""))</f>
        <v/>
      </c>
      <c r="K234" s="114" t="str">
        <f aca="false">IF($E234="","",IF(IF($B234="Tema",INDEX(Temas!$E$6:$P$305,$C234,2*$D234),INDEX(Avulsos!$F$6:$F$205,$C234))&amp;""="","","✓"))</f>
        <v/>
      </c>
      <c r="L234" s="114" t="str">
        <f aca="true">IF($E234="","",IF($K234="✓","Concluído",IF($E234&lt;TODAY(),"Atrasado",IF($E234=TODAY(),"Hoje","Pendente"))))</f>
        <v/>
      </c>
      <c r="M234" s="114" t="str">
        <f aca="false">IF($E234="","",IF($K234="✓","✓ ","")&amp;IF(Config!$E$22="Sim",$H234&amp;" · ","")&amp;$F234)</f>
        <v/>
      </c>
      <c r="N234" s="114" t="str">
        <f aca="false">IF($E234="","",IFERROR(INDEX(Config!$D$15:$D$19,MATCH($I234,Config!$C$15:$C$19,0)),"OUT")&amp;IF($K234="✓","x",""))</f>
        <v/>
      </c>
      <c r="O234" s="114" t="str">
        <f aca="false">IF($E234="","",COUNTIF($E$5:$E234,$E234))</f>
        <v/>
      </c>
      <c r="P234" s="114" t="str">
        <f aca="false">IF($E234="","",$E234*100+$O234)</f>
        <v/>
      </c>
      <c r="Q234" s="114" t="str">
        <f aca="false">IF($L234="Atrasado",$E234*10000+$A234,"")</f>
        <v/>
      </c>
    </row>
    <row r="235" customFormat="false" ht="15" hidden="false" customHeight="false" outlineLevel="0" collapsed="false">
      <c r="A235" s="114" t="n">
        <f aca="false">ROW()-4</f>
        <v>231</v>
      </c>
      <c r="B235" s="114" t="str">
        <f aca="false">IF(A235&lt;=Config!$E$27*Config!$E$28,"Tema","Avulso")</f>
        <v>Tema</v>
      </c>
      <c r="C235" s="114" t="n">
        <f aca="false">IF(B235="Tema",INT((A235-1)/Config!$E$28)+1,A235-Config!$E$27*Config!$E$28)</f>
        <v>39</v>
      </c>
      <c r="D235" s="114" t="n">
        <f aca="false">IF(B235="Tema",MOD(A235-1,Config!$E$28)+1,"")</f>
        <v>3</v>
      </c>
      <c r="E235" s="115" t="str">
        <f aca="false">IF($B235="Tema",IF(ISNUMBER(INDEX(Temas!$E$6:$P$305,$C235,2*$D235-1)),INDEX(Temas!$E$6:$P$305,$C235,2*$D235-1),""),IF(ISNUMBER(INDEX(Avulsos!$B$6:$B$205,$C235)),INDEX(Avulsos!$B$6:$B$205,$C235),""))</f>
        <v/>
      </c>
      <c r="F235" s="114" t="str">
        <f aca="false">IF($E235="","",IF($B235="Tema",INDEX(Temas!$B$6:$B$305,$C235)&amp;"",INDEX(Avulsos!$C$6:$C$205,$C235)&amp;""))</f>
        <v/>
      </c>
      <c r="G235" s="114" t="str">
        <f aca="false">IF($E235="","",IF($B235="Tema",INDEX(Config!$C$6:$C$11,$D235),"Evento avulso"))</f>
        <v/>
      </c>
      <c r="H235" s="114" t="str">
        <f aca="false">IF($E235="","",IF($B235="Tema",INDEX(Config!$D$6:$D$11,$D235),IFERROR(INDEX(Config!$E$15:$E$19,MATCH($I235,Config!$C$15:$C$19,0)),"•")))</f>
        <v/>
      </c>
      <c r="I235" s="114" t="str">
        <f aca="false">IF($E235="","",IF($B235="Tema",INDEX(Config!$E$6:$E$11,$D235),IF(INDEX(Avulsos!$D$6:$D$205,$C235)&amp;""="","Outro",INDEX(Avulsos!$D$6:$D$205,$C235))))</f>
        <v/>
      </c>
      <c r="J235" s="114" t="str">
        <f aca="false">IF($E235="","",IF($B235="Tema",INDEX(Temas!$C$6:$C$305,$C235)&amp;"",INDEX(Avulsos!$E$6:$E$205,$C235)&amp;""))</f>
        <v/>
      </c>
      <c r="K235" s="114" t="str">
        <f aca="false">IF($E235="","",IF(IF($B235="Tema",INDEX(Temas!$E$6:$P$305,$C235,2*$D235),INDEX(Avulsos!$F$6:$F$205,$C235))&amp;""="","","✓"))</f>
        <v/>
      </c>
      <c r="L235" s="114" t="str">
        <f aca="true">IF($E235="","",IF($K235="✓","Concluído",IF($E235&lt;TODAY(),"Atrasado",IF($E235=TODAY(),"Hoje","Pendente"))))</f>
        <v/>
      </c>
      <c r="M235" s="114" t="str">
        <f aca="false">IF($E235="","",IF($K235="✓","✓ ","")&amp;IF(Config!$E$22="Sim",$H235&amp;" · ","")&amp;$F235)</f>
        <v/>
      </c>
      <c r="N235" s="114" t="str">
        <f aca="false">IF($E235="","",IFERROR(INDEX(Config!$D$15:$D$19,MATCH($I235,Config!$C$15:$C$19,0)),"OUT")&amp;IF($K235="✓","x",""))</f>
        <v/>
      </c>
      <c r="O235" s="114" t="str">
        <f aca="false">IF($E235="","",COUNTIF($E$5:$E235,$E235))</f>
        <v/>
      </c>
      <c r="P235" s="114" t="str">
        <f aca="false">IF($E235="","",$E235*100+$O235)</f>
        <v/>
      </c>
      <c r="Q235" s="114" t="str">
        <f aca="false">IF($L235="Atrasado",$E235*10000+$A235,"")</f>
        <v/>
      </c>
    </row>
    <row r="236" customFormat="false" ht="15" hidden="false" customHeight="false" outlineLevel="0" collapsed="false">
      <c r="A236" s="114" t="n">
        <f aca="false">ROW()-4</f>
        <v>232</v>
      </c>
      <c r="B236" s="114" t="str">
        <f aca="false">IF(A236&lt;=Config!$E$27*Config!$E$28,"Tema","Avulso")</f>
        <v>Tema</v>
      </c>
      <c r="C236" s="114" t="n">
        <f aca="false">IF(B236="Tema",INT((A236-1)/Config!$E$28)+1,A236-Config!$E$27*Config!$E$28)</f>
        <v>39</v>
      </c>
      <c r="D236" s="114" t="n">
        <f aca="false">IF(B236="Tema",MOD(A236-1,Config!$E$28)+1,"")</f>
        <v>4</v>
      </c>
      <c r="E236" s="115" t="str">
        <f aca="false">IF($B236="Tema",IF(ISNUMBER(INDEX(Temas!$E$6:$P$305,$C236,2*$D236-1)),INDEX(Temas!$E$6:$P$305,$C236,2*$D236-1),""),IF(ISNUMBER(INDEX(Avulsos!$B$6:$B$205,$C236)),INDEX(Avulsos!$B$6:$B$205,$C236),""))</f>
        <v/>
      </c>
      <c r="F236" s="114" t="str">
        <f aca="false">IF($E236="","",IF($B236="Tema",INDEX(Temas!$B$6:$B$305,$C236)&amp;"",INDEX(Avulsos!$C$6:$C$205,$C236)&amp;""))</f>
        <v/>
      </c>
      <c r="G236" s="114" t="str">
        <f aca="false">IF($E236="","",IF($B236="Tema",INDEX(Config!$C$6:$C$11,$D236),"Evento avulso"))</f>
        <v/>
      </c>
      <c r="H236" s="114" t="str">
        <f aca="false">IF($E236="","",IF($B236="Tema",INDEX(Config!$D$6:$D$11,$D236),IFERROR(INDEX(Config!$E$15:$E$19,MATCH($I236,Config!$C$15:$C$19,0)),"•")))</f>
        <v/>
      </c>
      <c r="I236" s="114" t="str">
        <f aca="false">IF($E236="","",IF($B236="Tema",INDEX(Config!$E$6:$E$11,$D236),IF(INDEX(Avulsos!$D$6:$D$205,$C236)&amp;""="","Outro",INDEX(Avulsos!$D$6:$D$205,$C236))))</f>
        <v/>
      </c>
      <c r="J236" s="114" t="str">
        <f aca="false">IF($E236="","",IF($B236="Tema",INDEX(Temas!$C$6:$C$305,$C236)&amp;"",INDEX(Avulsos!$E$6:$E$205,$C236)&amp;""))</f>
        <v/>
      </c>
      <c r="K236" s="114" t="str">
        <f aca="false">IF($E236="","",IF(IF($B236="Tema",INDEX(Temas!$E$6:$P$305,$C236,2*$D236),INDEX(Avulsos!$F$6:$F$205,$C236))&amp;""="","","✓"))</f>
        <v/>
      </c>
      <c r="L236" s="114" t="str">
        <f aca="true">IF($E236="","",IF($K236="✓","Concluído",IF($E236&lt;TODAY(),"Atrasado",IF($E236=TODAY(),"Hoje","Pendente"))))</f>
        <v/>
      </c>
      <c r="M236" s="114" t="str">
        <f aca="false">IF($E236="","",IF($K236="✓","✓ ","")&amp;IF(Config!$E$22="Sim",$H236&amp;" · ","")&amp;$F236)</f>
        <v/>
      </c>
      <c r="N236" s="114" t="str">
        <f aca="false">IF($E236="","",IFERROR(INDEX(Config!$D$15:$D$19,MATCH($I236,Config!$C$15:$C$19,0)),"OUT")&amp;IF($K236="✓","x",""))</f>
        <v/>
      </c>
      <c r="O236" s="114" t="str">
        <f aca="false">IF($E236="","",COUNTIF($E$5:$E236,$E236))</f>
        <v/>
      </c>
      <c r="P236" s="114" t="str">
        <f aca="false">IF($E236="","",$E236*100+$O236)</f>
        <v/>
      </c>
      <c r="Q236" s="114" t="str">
        <f aca="false">IF($L236="Atrasado",$E236*10000+$A236,"")</f>
        <v/>
      </c>
    </row>
    <row r="237" customFormat="false" ht="15" hidden="false" customHeight="false" outlineLevel="0" collapsed="false">
      <c r="A237" s="114" t="n">
        <f aca="false">ROW()-4</f>
        <v>233</v>
      </c>
      <c r="B237" s="114" t="str">
        <f aca="false">IF(A237&lt;=Config!$E$27*Config!$E$28,"Tema","Avulso")</f>
        <v>Tema</v>
      </c>
      <c r="C237" s="114" t="n">
        <f aca="false">IF(B237="Tema",INT((A237-1)/Config!$E$28)+1,A237-Config!$E$27*Config!$E$28)</f>
        <v>39</v>
      </c>
      <c r="D237" s="114" t="n">
        <f aca="false">IF(B237="Tema",MOD(A237-1,Config!$E$28)+1,"")</f>
        <v>5</v>
      </c>
      <c r="E237" s="115" t="str">
        <f aca="false">IF($B237="Tema",IF(ISNUMBER(INDEX(Temas!$E$6:$P$305,$C237,2*$D237-1)),INDEX(Temas!$E$6:$P$305,$C237,2*$D237-1),""),IF(ISNUMBER(INDEX(Avulsos!$B$6:$B$205,$C237)),INDEX(Avulsos!$B$6:$B$205,$C237),""))</f>
        <v/>
      </c>
      <c r="F237" s="114" t="str">
        <f aca="false">IF($E237="","",IF($B237="Tema",INDEX(Temas!$B$6:$B$305,$C237)&amp;"",INDEX(Avulsos!$C$6:$C$205,$C237)&amp;""))</f>
        <v/>
      </c>
      <c r="G237" s="114" t="str">
        <f aca="false">IF($E237="","",IF($B237="Tema",INDEX(Config!$C$6:$C$11,$D237),"Evento avulso"))</f>
        <v/>
      </c>
      <c r="H237" s="114" t="str">
        <f aca="false">IF($E237="","",IF($B237="Tema",INDEX(Config!$D$6:$D$11,$D237),IFERROR(INDEX(Config!$E$15:$E$19,MATCH($I237,Config!$C$15:$C$19,0)),"•")))</f>
        <v/>
      </c>
      <c r="I237" s="114" t="str">
        <f aca="false">IF($E237="","",IF($B237="Tema",INDEX(Config!$E$6:$E$11,$D237),IF(INDEX(Avulsos!$D$6:$D$205,$C237)&amp;""="","Outro",INDEX(Avulsos!$D$6:$D$205,$C237))))</f>
        <v/>
      </c>
      <c r="J237" s="114" t="str">
        <f aca="false">IF($E237="","",IF($B237="Tema",INDEX(Temas!$C$6:$C$305,$C237)&amp;"",INDEX(Avulsos!$E$6:$E$205,$C237)&amp;""))</f>
        <v/>
      </c>
      <c r="K237" s="114" t="str">
        <f aca="false">IF($E237="","",IF(IF($B237="Tema",INDEX(Temas!$E$6:$P$305,$C237,2*$D237),INDEX(Avulsos!$F$6:$F$205,$C237))&amp;""="","","✓"))</f>
        <v/>
      </c>
      <c r="L237" s="114" t="str">
        <f aca="true">IF($E237="","",IF($K237="✓","Concluído",IF($E237&lt;TODAY(),"Atrasado",IF($E237=TODAY(),"Hoje","Pendente"))))</f>
        <v/>
      </c>
      <c r="M237" s="114" t="str">
        <f aca="false">IF($E237="","",IF($K237="✓","✓ ","")&amp;IF(Config!$E$22="Sim",$H237&amp;" · ","")&amp;$F237)</f>
        <v/>
      </c>
      <c r="N237" s="114" t="str">
        <f aca="false">IF($E237="","",IFERROR(INDEX(Config!$D$15:$D$19,MATCH($I237,Config!$C$15:$C$19,0)),"OUT")&amp;IF($K237="✓","x",""))</f>
        <v/>
      </c>
      <c r="O237" s="114" t="str">
        <f aca="false">IF($E237="","",COUNTIF($E$5:$E237,$E237))</f>
        <v/>
      </c>
      <c r="P237" s="114" t="str">
        <f aca="false">IF($E237="","",$E237*100+$O237)</f>
        <v/>
      </c>
      <c r="Q237" s="114" t="str">
        <f aca="false">IF($L237="Atrasado",$E237*10000+$A237,"")</f>
        <v/>
      </c>
    </row>
    <row r="238" customFormat="false" ht="15" hidden="false" customHeight="false" outlineLevel="0" collapsed="false">
      <c r="A238" s="114" t="n">
        <f aca="false">ROW()-4</f>
        <v>234</v>
      </c>
      <c r="B238" s="114" t="str">
        <f aca="false">IF(A238&lt;=Config!$E$27*Config!$E$28,"Tema","Avulso")</f>
        <v>Tema</v>
      </c>
      <c r="C238" s="114" t="n">
        <f aca="false">IF(B238="Tema",INT((A238-1)/Config!$E$28)+1,A238-Config!$E$27*Config!$E$28)</f>
        <v>39</v>
      </c>
      <c r="D238" s="114" t="n">
        <f aca="false">IF(B238="Tema",MOD(A238-1,Config!$E$28)+1,"")</f>
        <v>6</v>
      </c>
      <c r="E238" s="115" t="str">
        <f aca="false">IF($B238="Tema",IF(ISNUMBER(INDEX(Temas!$E$6:$P$305,$C238,2*$D238-1)),INDEX(Temas!$E$6:$P$305,$C238,2*$D238-1),""),IF(ISNUMBER(INDEX(Avulsos!$B$6:$B$205,$C238)),INDEX(Avulsos!$B$6:$B$205,$C238),""))</f>
        <v/>
      </c>
      <c r="F238" s="114" t="str">
        <f aca="false">IF($E238="","",IF($B238="Tema",INDEX(Temas!$B$6:$B$305,$C238)&amp;"",INDEX(Avulsos!$C$6:$C$205,$C238)&amp;""))</f>
        <v/>
      </c>
      <c r="G238" s="114" t="str">
        <f aca="false">IF($E238="","",IF($B238="Tema",INDEX(Config!$C$6:$C$11,$D238),"Evento avulso"))</f>
        <v/>
      </c>
      <c r="H238" s="114" t="str">
        <f aca="false">IF($E238="","",IF($B238="Tema",INDEX(Config!$D$6:$D$11,$D238),IFERROR(INDEX(Config!$E$15:$E$19,MATCH($I238,Config!$C$15:$C$19,0)),"•")))</f>
        <v/>
      </c>
      <c r="I238" s="114" t="str">
        <f aca="false">IF($E238="","",IF($B238="Tema",INDEX(Config!$E$6:$E$11,$D238),IF(INDEX(Avulsos!$D$6:$D$205,$C238)&amp;""="","Outro",INDEX(Avulsos!$D$6:$D$205,$C238))))</f>
        <v/>
      </c>
      <c r="J238" s="114" t="str">
        <f aca="false">IF($E238="","",IF($B238="Tema",INDEX(Temas!$C$6:$C$305,$C238)&amp;"",INDEX(Avulsos!$E$6:$E$205,$C238)&amp;""))</f>
        <v/>
      </c>
      <c r="K238" s="114" t="str">
        <f aca="false">IF($E238="","",IF(IF($B238="Tema",INDEX(Temas!$E$6:$P$305,$C238,2*$D238),INDEX(Avulsos!$F$6:$F$205,$C238))&amp;""="","","✓"))</f>
        <v/>
      </c>
      <c r="L238" s="114" t="str">
        <f aca="true">IF($E238="","",IF($K238="✓","Concluído",IF($E238&lt;TODAY(),"Atrasado",IF($E238=TODAY(),"Hoje","Pendente"))))</f>
        <v/>
      </c>
      <c r="M238" s="114" t="str">
        <f aca="false">IF($E238="","",IF($K238="✓","✓ ","")&amp;IF(Config!$E$22="Sim",$H238&amp;" · ","")&amp;$F238)</f>
        <v/>
      </c>
      <c r="N238" s="114" t="str">
        <f aca="false">IF($E238="","",IFERROR(INDEX(Config!$D$15:$D$19,MATCH($I238,Config!$C$15:$C$19,0)),"OUT")&amp;IF($K238="✓","x",""))</f>
        <v/>
      </c>
      <c r="O238" s="114" t="str">
        <f aca="false">IF($E238="","",COUNTIF($E$5:$E238,$E238))</f>
        <v/>
      </c>
      <c r="P238" s="114" t="str">
        <f aca="false">IF($E238="","",$E238*100+$O238)</f>
        <v/>
      </c>
      <c r="Q238" s="114" t="str">
        <f aca="false">IF($L238="Atrasado",$E238*10000+$A238,"")</f>
        <v/>
      </c>
    </row>
    <row r="239" customFormat="false" ht="15" hidden="false" customHeight="false" outlineLevel="0" collapsed="false">
      <c r="A239" s="114" t="n">
        <f aca="false">ROW()-4</f>
        <v>235</v>
      </c>
      <c r="B239" s="114" t="str">
        <f aca="false">IF(A239&lt;=Config!$E$27*Config!$E$28,"Tema","Avulso")</f>
        <v>Tema</v>
      </c>
      <c r="C239" s="114" t="n">
        <f aca="false">IF(B239="Tema",INT((A239-1)/Config!$E$28)+1,A239-Config!$E$27*Config!$E$28)</f>
        <v>40</v>
      </c>
      <c r="D239" s="114" t="n">
        <f aca="false">IF(B239="Tema",MOD(A239-1,Config!$E$28)+1,"")</f>
        <v>1</v>
      </c>
      <c r="E239" s="115" t="str">
        <f aca="false">IF($B239="Tema",IF(ISNUMBER(INDEX(Temas!$E$6:$P$305,$C239,2*$D239-1)),INDEX(Temas!$E$6:$P$305,$C239,2*$D239-1),""),IF(ISNUMBER(INDEX(Avulsos!$B$6:$B$205,$C239)),INDEX(Avulsos!$B$6:$B$205,$C239),""))</f>
        <v/>
      </c>
      <c r="F239" s="114" t="str">
        <f aca="false">IF($E239="","",IF($B239="Tema",INDEX(Temas!$B$6:$B$305,$C239)&amp;"",INDEX(Avulsos!$C$6:$C$205,$C239)&amp;""))</f>
        <v/>
      </c>
      <c r="G239" s="114" t="str">
        <f aca="false">IF($E239="","",IF($B239="Tema",INDEX(Config!$C$6:$C$11,$D239),"Evento avulso"))</f>
        <v/>
      </c>
      <c r="H239" s="114" t="str">
        <f aca="false">IF($E239="","",IF($B239="Tema",INDEX(Config!$D$6:$D$11,$D239),IFERROR(INDEX(Config!$E$15:$E$19,MATCH($I239,Config!$C$15:$C$19,0)),"•")))</f>
        <v/>
      </c>
      <c r="I239" s="114" t="str">
        <f aca="false">IF($E239="","",IF($B239="Tema",INDEX(Config!$E$6:$E$11,$D239),IF(INDEX(Avulsos!$D$6:$D$205,$C239)&amp;""="","Outro",INDEX(Avulsos!$D$6:$D$205,$C239))))</f>
        <v/>
      </c>
      <c r="J239" s="114" t="str">
        <f aca="false">IF($E239="","",IF($B239="Tema",INDEX(Temas!$C$6:$C$305,$C239)&amp;"",INDEX(Avulsos!$E$6:$E$205,$C239)&amp;""))</f>
        <v/>
      </c>
      <c r="K239" s="114" t="str">
        <f aca="false">IF($E239="","",IF(IF($B239="Tema",INDEX(Temas!$E$6:$P$305,$C239,2*$D239),INDEX(Avulsos!$F$6:$F$205,$C239))&amp;""="","","✓"))</f>
        <v/>
      </c>
      <c r="L239" s="114" t="str">
        <f aca="true">IF($E239="","",IF($K239="✓","Concluído",IF($E239&lt;TODAY(),"Atrasado",IF($E239=TODAY(),"Hoje","Pendente"))))</f>
        <v/>
      </c>
      <c r="M239" s="114" t="str">
        <f aca="false">IF($E239="","",IF($K239="✓","✓ ","")&amp;IF(Config!$E$22="Sim",$H239&amp;" · ","")&amp;$F239)</f>
        <v/>
      </c>
      <c r="N239" s="114" t="str">
        <f aca="false">IF($E239="","",IFERROR(INDEX(Config!$D$15:$D$19,MATCH($I239,Config!$C$15:$C$19,0)),"OUT")&amp;IF($K239="✓","x",""))</f>
        <v/>
      </c>
      <c r="O239" s="114" t="str">
        <f aca="false">IF($E239="","",COUNTIF($E$5:$E239,$E239))</f>
        <v/>
      </c>
      <c r="P239" s="114" t="str">
        <f aca="false">IF($E239="","",$E239*100+$O239)</f>
        <v/>
      </c>
      <c r="Q239" s="114" t="str">
        <f aca="false">IF($L239="Atrasado",$E239*10000+$A239,"")</f>
        <v/>
      </c>
    </row>
    <row r="240" customFormat="false" ht="15" hidden="false" customHeight="false" outlineLevel="0" collapsed="false">
      <c r="A240" s="114" t="n">
        <f aca="false">ROW()-4</f>
        <v>236</v>
      </c>
      <c r="B240" s="114" t="str">
        <f aca="false">IF(A240&lt;=Config!$E$27*Config!$E$28,"Tema","Avulso")</f>
        <v>Tema</v>
      </c>
      <c r="C240" s="114" t="n">
        <f aca="false">IF(B240="Tema",INT((A240-1)/Config!$E$28)+1,A240-Config!$E$27*Config!$E$28)</f>
        <v>40</v>
      </c>
      <c r="D240" s="114" t="n">
        <f aca="false">IF(B240="Tema",MOD(A240-1,Config!$E$28)+1,"")</f>
        <v>2</v>
      </c>
      <c r="E240" s="115" t="str">
        <f aca="false">IF($B240="Tema",IF(ISNUMBER(INDEX(Temas!$E$6:$P$305,$C240,2*$D240-1)),INDEX(Temas!$E$6:$P$305,$C240,2*$D240-1),""),IF(ISNUMBER(INDEX(Avulsos!$B$6:$B$205,$C240)),INDEX(Avulsos!$B$6:$B$205,$C240),""))</f>
        <v/>
      </c>
      <c r="F240" s="114" t="str">
        <f aca="false">IF($E240="","",IF($B240="Tema",INDEX(Temas!$B$6:$B$305,$C240)&amp;"",INDEX(Avulsos!$C$6:$C$205,$C240)&amp;""))</f>
        <v/>
      </c>
      <c r="G240" s="114" t="str">
        <f aca="false">IF($E240="","",IF($B240="Tema",INDEX(Config!$C$6:$C$11,$D240),"Evento avulso"))</f>
        <v/>
      </c>
      <c r="H240" s="114" t="str">
        <f aca="false">IF($E240="","",IF($B240="Tema",INDEX(Config!$D$6:$D$11,$D240),IFERROR(INDEX(Config!$E$15:$E$19,MATCH($I240,Config!$C$15:$C$19,0)),"•")))</f>
        <v/>
      </c>
      <c r="I240" s="114" t="str">
        <f aca="false">IF($E240="","",IF($B240="Tema",INDEX(Config!$E$6:$E$11,$D240),IF(INDEX(Avulsos!$D$6:$D$205,$C240)&amp;""="","Outro",INDEX(Avulsos!$D$6:$D$205,$C240))))</f>
        <v/>
      </c>
      <c r="J240" s="114" t="str">
        <f aca="false">IF($E240="","",IF($B240="Tema",INDEX(Temas!$C$6:$C$305,$C240)&amp;"",INDEX(Avulsos!$E$6:$E$205,$C240)&amp;""))</f>
        <v/>
      </c>
      <c r="K240" s="114" t="str">
        <f aca="false">IF($E240="","",IF(IF($B240="Tema",INDEX(Temas!$E$6:$P$305,$C240,2*$D240),INDEX(Avulsos!$F$6:$F$205,$C240))&amp;""="","","✓"))</f>
        <v/>
      </c>
      <c r="L240" s="114" t="str">
        <f aca="true">IF($E240="","",IF($K240="✓","Concluído",IF($E240&lt;TODAY(),"Atrasado",IF($E240=TODAY(),"Hoje","Pendente"))))</f>
        <v/>
      </c>
      <c r="M240" s="114" t="str">
        <f aca="false">IF($E240="","",IF($K240="✓","✓ ","")&amp;IF(Config!$E$22="Sim",$H240&amp;" · ","")&amp;$F240)</f>
        <v/>
      </c>
      <c r="N240" s="114" t="str">
        <f aca="false">IF($E240="","",IFERROR(INDEX(Config!$D$15:$D$19,MATCH($I240,Config!$C$15:$C$19,0)),"OUT")&amp;IF($K240="✓","x",""))</f>
        <v/>
      </c>
      <c r="O240" s="114" t="str">
        <f aca="false">IF($E240="","",COUNTIF($E$5:$E240,$E240))</f>
        <v/>
      </c>
      <c r="P240" s="114" t="str">
        <f aca="false">IF($E240="","",$E240*100+$O240)</f>
        <v/>
      </c>
      <c r="Q240" s="114" t="str">
        <f aca="false">IF($L240="Atrasado",$E240*10000+$A240,"")</f>
        <v/>
      </c>
    </row>
    <row r="241" customFormat="false" ht="15" hidden="false" customHeight="false" outlineLevel="0" collapsed="false">
      <c r="A241" s="114" t="n">
        <f aca="false">ROW()-4</f>
        <v>237</v>
      </c>
      <c r="B241" s="114" t="str">
        <f aca="false">IF(A241&lt;=Config!$E$27*Config!$E$28,"Tema","Avulso")</f>
        <v>Tema</v>
      </c>
      <c r="C241" s="114" t="n">
        <f aca="false">IF(B241="Tema",INT((A241-1)/Config!$E$28)+1,A241-Config!$E$27*Config!$E$28)</f>
        <v>40</v>
      </c>
      <c r="D241" s="114" t="n">
        <f aca="false">IF(B241="Tema",MOD(A241-1,Config!$E$28)+1,"")</f>
        <v>3</v>
      </c>
      <c r="E241" s="115" t="str">
        <f aca="false">IF($B241="Tema",IF(ISNUMBER(INDEX(Temas!$E$6:$P$305,$C241,2*$D241-1)),INDEX(Temas!$E$6:$P$305,$C241,2*$D241-1),""),IF(ISNUMBER(INDEX(Avulsos!$B$6:$B$205,$C241)),INDEX(Avulsos!$B$6:$B$205,$C241),""))</f>
        <v/>
      </c>
      <c r="F241" s="114" t="str">
        <f aca="false">IF($E241="","",IF($B241="Tema",INDEX(Temas!$B$6:$B$305,$C241)&amp;"",INDEX(Avulsos!$C$6:$C$205,$C241)&amp;""))</f>
        <v/>
      </c>
      <c r="G241" s="114" t="str">
        <f aca="false">IF($E241="","",IF($B241="Tema",INDEX(Config!$C$6:$C$11,$D241),"Evento avulso"))</f>
        <v/>
      </c>
      <c r="H241" s="114" t="str">
        <f aca="false">IF($E241="","",IF($B241="Tema",INDEX(Config!$D$6:$D$11,$D241),IFERROR(INDEX(Config!$E$15:$E$19,MATCH($I241,Config!$C$15:$C$19,0)),"•")))</f>
        <v/>
      </c>
      <c r="I241" s="114" t="str">
        <f aca="false">IF($E241="","",IF($B241="Tema",INDEX(Config!$E$6:$E$11,$D241),IF(INDEX(Avulsos!$D$6:$D$205,$C241)&amp;""="","Outro",INDEX(Avulsos!$D$6:$D$205,$C241))))</f>
        <v/>
      </c>
      <c r="J241" s="114" t="str">
        <f aca="false">IF($E241="","",IF($B241="Tema",INDEX(Temas!$C$6:$C$305,$C241)&amp;"",INDEX(Avulsos!$E$6:$E$205,$C241)&amp;""))</f>
        <v/>
      </c>
      <c r="K241" s="114" t="str">
        <f aca="false">IF($E241="","",IF(IF($B241="Tema",INDEX(Temas!$E$6:$P$305,$C241,2*$D241),INDEX(Avulsos!$F$6:$F$205,$C241))&amp;""="","","✓"))</f>
        <v/>
      </c>
      <c r="L241" s="114" t="str">
        <f aca="true">IF($E241="","",IF($K241="✓","Concluído",IF($E241&lt;TODAY(),"Atrasado",IF($E241=TODAY(),"Hoje","Pendente"))))</f>
        <v/>
      </c>
      <c r="M241" s="114" t="str">
        <f aca="false">IF($E241="","",IF($K241="✓","✓ ","")&amp;IF(Config!$E$22="Sim",$H241&amp;" · ","")&amp;$F241)</f>
        <v/>
      </c>
      <c r="N241" s="114" t="str">
        <f aca="false">IF($E241="","",IFERROR(INDEX(Config!$D$15:$D$19,MATCH($I241,Config!$C$15:$C$19,0)),"OUT")&amp;IF($K241="✓","x",""))</f>
        <v/>
      </c>
      <c r="O241" s="114" t="str">
        <f aca="false">IF($E241="","",COUNTIF($E$5:$E241,$E241))</f>
        <v/>
      </c>
      <c r="P241" s="114" t="str">
        <f aca="false">IF($E241="","",$E241*100+$O241)</f>
        <v/>
      </c>
      <c r="Q241" s="114" t="str">
        <f aca="false">IF($L241="Atrasado",$E241*10000+$A241,"")</f>
        <v/>
      </c>
    </row>
    <row r="242" customFormat="false" ht="15" hidden="false" customHeight="false" outlineLevel="0" collapsed="false">
      <c r="A242" s="114" t="n">
        <f aca="false">ROW()-4</f>
        <v>238</v>
      </c>
      <c r="B242" s="114" t="str">
        <f aca="false">IF(A242&lt;=Config!$E$27*Config!$E$28,"Tema","Avulso")</f>
        <v>Tema</v>
      </c>
      <c r="C242" s="114" t="n">
        <f aca="false">IF(B242="Tema",INT((A242-1)/Config!$E$28)+1,A242-Config!$E$27*Config!$E$28)</f>
        <v>40</v>
      </c>
      <c r="D242" s="114" t="n">
        <f aca="false">IF(B242="Tema",MOD(A242-1,Config!$E$28)+1,"")</f>
        <v>4</v>
      </c>
      <c r="E242" s="115" t="str">
        <f aca="false">IF($B242="Tema",IF(ISNUMBER(INDEX(Temas!$E$6:$P$305,$C242,2*$D242-1)),INDEX(Temas!$E$6:$P$305,$C242,2*$D242-1),""),IF(ISNUMBER(INDEX(Avulsos!$B$6:$B$205,$C242)),INDEX(Avulsos!$B$6:$B$205,$C242),""))</f>
        <v/>
      </c>
      <c r="F242" s="114" t="str">
        <f aca="false">IF($E242="","",IF($B242="Tema",INDEX(Temas!$B$6:$B$305,$C242)&amp;"",INDEX(Avulsos!$C$6:$C$205,$C242)&amp;""))</f>
        <v/>
      </c>
      <c r="G242" s="114" t="str">
        <f aca="false">IF($E242="","",IF($B242="Tema",INDEX(Config!$C$6:$C$11,$D242),"Evento avulso"))</f>
        <v/>
      </c>
      <c r="H242" s="114" t="str">
        <f aca="false">IF($E242="","",IF($B242="Tema",INDEX(Config!$D$6:$D$11,$D242),IFERROR(INDEX(Config!$E$15:$E$19,MATCH($I242,Config!$C$15:$C$19,0)),"•")))</f>
        <v/>
      </c>
      <c r="I242" s="114" t="str">
        <f aca="false">IF($E242="","",IF($B242="Tema",INDEX(Config!$E$6:$E$11,$D242),IF(INDEX(Avulsos!$D$6:$D$205,$C242)&amp;""="","Outro",INDEX(Avulsos!$D$6:$D$205,$C242))))</f>
        <v/>
      </c>
      <c r="J242" s="114" t="str">
        <f aca="false">IF($E242="","",IF($B242="Tema",INDEX(Temas!$C$6:$C$305,$C242)&amp;"",INDEX(Avulsos!$E$6:$E$205,$C242)&amp;""))</f>
        <v/>
      </c>
      <c r="K242" s="114" t="str">
        <f aca="false">IF($E242="","",IF(IF($B242="Tema",INDEX(Temas!$E$6:$P$305,$C242,2*$D242),INDEX(Avulsos!$F$6:$F$205,$C242))&amp;""="","","✓"))</f>
        <v/>
      </c>
      <c r="L242" s="114" t="str">
        <f aca="true">IF($E242="","",IF($K242="✓","Concluído",IF($E242&lt;TODAY(),"Atrasado",IF($E242=TODAY(),"Hoje","Pendente"))))</f>
        <v/>
      </c>
      <c r="M242" s="114" t="str">
        <f aca="false">IF($E242="","",IF($K242="✓","✓ ","")&amp;IF(Config!$E$22="Sim",$H242&amp;" · ","")&amp;$F242)</f>
        <v/>
      </c>
      <c r="N242" s="114" t="str">
        <f aca="false">IF($E242="","",IFERROR(INDEX(Config!$D$15:$D$19,MATCH($I242,Config!$C$15:$C$19,0)),"OUT")&amp;IF($K242="✓","x",""))</f>
        <v/>
      </c>
      <c r="O242" s="114" t="str">
        <f aca="false">IF($E242="","",COUNTIF($E$5:$E242,$E242))</f>
        <v/>
      </c>
      <c r="P242" s="114" t="str">
        <f aca="false">IF($E242="","",$E242*100+$O242)</f>
        <v/>
      </c>
      <c r="Q242" s="114" t="str">
        <f aca="false">IF($L242="Atrasado",$E242*10000+$A242,"")</f>
        <v/>
      </c>
    </row>
    <row r="243" customFormat="false" ht="15" hidden="false" customHeight="false" outlineLevel="0" collapsed="false">
      <c r="A243" s="114" t="n">
        <f aca="false">ROW()-4</f>
        <v>239</v>
      </c>
      <c r="B243" s="114" t="str">
        <f aca="false">IF(A243&lt;=Config!$E$27*Config!$E$28,"Tema","Avulso")</f>
        <v>Tema</v>
      </c>
      <c r="C243" s="114" t="n">
        <f aca="false">IF(B243="Tema",INT((A243-1)/Config!$E$28)+1,A243-Config!$E$27*Config!$E$28)</f>
        <v>40</v>
      </c>
      <c r="D243" s="114" t="n">
        <f aca="false">IF(B243="Tema",MOD(A243-1,Config!$E$28)+1,"")</f>
        <v>5</v>
      </c>
      <c r="E243" s="115" t="str">
        <f aca="false">IF($B243="Tema",IF(ISNUMBER(INDEX(Temas!$E$6:$P$305,$C243,2*$D243-1)),INDEX(Temas!$E$6:$P$305,$C243,2*$D243-1),""),IF(ISNUMBER(INDEX(Avulsos!$B$6:$B$205,$C243)),INDEX(Avulsos!$B$6:$B$205,$C243),""))</f>
        <v/>
      </c>
      <c r="F243" s="114" t="str">
        <f aca="false">IF($E243="","",IF($B243="Tema",INDEX(Temas!$B$6:$B$305,$C243)&amp;"",INDEX(Avulsos!$C$6:$C$205,$C243)&amp;""))</f>
        <v/>
      </c>
      <c r="G243" s="114" t="str">
        <f aca="false">IF($E243="","",IF($B243="Tema",INDEX(Config!$C$6:$C$11,$D243),"Evento avulso"))</f>
        <v/>
      </c>
      <c r="H243" s="114" t="str">
        <f aca="false">IF($E243="","",IF($B243="Tema",INDEX(Config!$D$6:$D$11,$D243),IFERROR(INDEX(Config!$E$15:$E$19,MATCH($I243,Config!$C$15:$C$19,0)),"•")))</f>
        <v/>
      </c>
      <c r="I243" s="114" t="str">
        <f aca="false">IF($E243="","",IF($B243="Tema",INDEX(Config!$E$6:$E$11,$D243),IF(INDEX(Avulsos!$D$6:$D$205,$C243)&amp;""="","Outro",INDEX(Avulsos!$D$6:$D$205,$C243))))</f>
        <v/>
      </c>
      <c r="J243" s="114" t="str">
        <f aca="false">IF($E243="","",IF($B243="Tema",INDEX(Temas!$C$6:$C$305,$C243)&amp;"",INDEX(Avulsos!$E$6:$E$205,$C243)&amp;""))</f>
        <v/>
      </c>
      <c r="K243" s="114" t="str">
        <f aca="false">IF($E243="","",IF(IF($B243="Tema",INDEX(Temas!$E$6:$P$305,$C243,2*$D243),INDEX(Avulsos!$F$6:$F$205,$C243))&amp;""="","","✓"))</f>
        <v/>
      </c>
      <c r="L243" s="114" t="str">
        <f aca="true">IF($E243="","",IF($K243="✓","Concluído",IF($E243&lt;TODAY(),"Atrasado",IF($E243=TODAY(),"Hoje","Pendente"))))</f>
        <v/>
      </c>
      <c r="M243" s="114" t="str">
        <f aca="false">IF($E243="","",IF($K243="✓","✓ ","")&amp;IF(Config!$E$22="Sim",$H243&amp;" · ","")&amp;$F243)</f>
        <v/>
      </c>
      <c r="N243" s="114" t="str">
        <f aca="false">IF($E243="","",IFERROR(INDEX(Config!$D$15:$D$19,MATCH($I243,Config!$C$15:$C$19,0)),"OUT")&amp;IF($K243="✓","x",""))</f>
        <v/>
      </c>
      <c r="O243" s="114" t="str">
        <f aca="false">IF($E243="","",COUNTIF($E$5:$E243,$E243))</f>
        <v/>
      </c>
      <c r="P243" s="114" t="str">
        <f aca="false">IF($E243="","",$E243*100+$O243)</f>
        <v/>
      </c>
      <c r="Q243" s="114" t="str">
        <f aca="false">IF($L243="Atrasado",$E243*10000+$A243,"")</f>
        <v/>
      </c>
    </row>
    <row r="244" customFormat="false" ht="15" hidden="false" customHeight="false" outlineLevel="0" collapsed="false">
      <c r="A244" s="114" t="n">
        <f aca="false">ROW()-4</f>
        <v>240</v>
      </c>
      <c r="B244" s="114" t="str">
        <f aca="false">IF(A244&lt;=Config!$E$27*Config!$E$28,"Tema","Avulso")</f>
        <v>Tema</v>
      </c>
      <c r="C244" s="114" t="n">
        <f aca="false">IF(B244="Tema",INT((A244-1)/Config!$E$28)+1,A244-Config!$E$27*Config!$E$28)</f>
        <v>40</v>
      </c>
      <c r="D244" s="114" t="n">
        <f aca="false">IF(B244="Tema",MOD(A244-1,Config!$E$28)+1,"")</f>
        <v>6</v>
      </c>
      <c r="E244" s="115" t="str">
        <f aca="false">IF($B244="Tema",IF(ISNUMBER(INDEX(Temas!$E$6:$P$305,$C244,2*$D244-1)),INDEX(Temas!$E$6:$P$305,$C244,2*$D244-1),""),IF(ISNUMBER(INDEX(Avulsos!$B$6:$B$205,$C244)),INDEX(Avulsos!$B$6:$B$205,$C244),""))</f>
        <v/>
      </c>
      <c r="F244" s="114" t="str">
        <f aca="false">IF($E244="","",IF($B244="Tema",INDEX(Temas!$B$6:$B$305,$C244)&amp;"",INDEX(Avulsos!$C$6:$C$205,$C244)&amp;""))</f>
        <v/>
      </c>
      <c r="G244" s="114" t="str">
        <f aca="false">IF($E244="","",IF($B244="Tema",INDEX(Config!$C$6:$C$11,$D244),"Evento avulso"))</f>
        <v/>
      </c>
      <c r="H244" s="114" t="str">
        <f aca="false">IF($E244="","",IF($B244="Tema",INDEX(Config!$D$6:$D$11,$D244),IFERROR(INDEX(Config!$E$15:$E$19,MATCH($I244,Config!$C$15:$C$19,0)),"•")))</f>
        <v/>
      </c>
      <c r="I244" s="114" t="str">
        <f aca="false">IF($E244="","",IF($B244="Tema",INDEX(Config!$E$6:$E$11,$D244),IF(INDEX(Avulsos!$D$6:$D$205,$C244)&amp;""="","Outro",INDEX(Avulsos!$D$6:$D$205,$C244))))</f>
        <v/>
      </c>
      <c r="J244" s="114" t="str">
        <f aca="false">IF($E244="","",IF($B244="Tema",INDEX(Temas!$C$6:$C$305,$C244)&amp;"",INDEX(Avulsos!$E$6:$E$205,$C244)&amp;""))</f>
        <v/>
      </c>
      <c r="K244" s="114" t="str">
        <f aca="false">IF($E244="","",IF(IF($B244="Tema",INDEX(Temas!$E$6:$P$305,$C244,2*$D244),INDEX(Avulsos!$F$6:$F$205,$C244))&amp;""="","","✓"))</f>
        <v/>
      </c>
      <c r="L244" s="114" t="str">
        <f aca="true">IF($E244="","",IF($K244="✓","Concluído",IF($E244&lt;TODAY(),"Atrasado",IF($E244=TODAY(),"Hoje","Pendente"))))</f>
        <v/>
      </c>
      <c r="M244" s="114" t="str">
        <f aca="false">IF($E244="","",IF($K244="✓","✓ ","")&amp;IF(Config!$E$22="Sim",$H244&amp;" · ","")&amp;$F244)</f>
        <v/>
      </c>
      <c r="N244" s="114" t="str">
        <f aca="false">IF($E244="","",IFERROR(INDEX(Config!$D$15:$D$19,MATCH($I244,Config!$C$15:$C$19,0)),"OUT")&amp;IF($K244="✓","x",""))</f>
        <v/>
      </c>
      <c r="O244" s="114" t="str">
        <f aca="false">IF($E244="","",COUNTIF($E$5:$E244,$E244))</f>
        <v/>
      </c>
      <c r="P244" s="114" t="str">
        <f aca="false">IF($E244="","",$E244*100+$O244)</f>
        <v/>
      </c>
      <c r="Q244" s="114" t="str">
        <f aca="false">IF($L244="Atrasado",$E244*10000+$A244,"")</f>
        <v/>
      </c>
    </row>
    <row r="245" customFormat="false" ht="15" hidden="false" customHeight="false" outlineLevel="0" collapsed="false">
      <c r="A245" s="114" t="n">
        <f aca="false">ROW()-4</f>
        <v>241</v>
      </c>
      <c r="B245" s="114" t="str">
        <f aca="false">IF(A245&lt;=Config!$E$27*Config!$E$28,"Tema","Avulso")</f>
        <v>Tema</v>
      </c>
      <c r="C245" s="114" t="n">
        <f aca="false">IF(B245="Tema",INT((A245-1)/Config!$E$28)+1,A245-Config!$E$27*Config!$E$28)</f>
        <v>41</v>
      </c>
      <c r="D245" s="114" t="n">
        <f aca="false">IF(B245="Tema",MOD(A245-1,Config!$E$28)+1,"")</f>
        <v>1</v>
      </c>
      <c r="E245" s="115" t="str">
        <f aca="false">IF($B245="Tema",IF(ISNUMBER(INDEX(Temas!$E$6:$P$305,$C245,2*$D245-1)),INDEX(Temas!$E$6:$P$305,$C245,2*$D245-1),""),IF(ISNUMBER(INDEX(Avulsos!$B$6:$B$205,$C245)),INDEX(Avulsos!$B$6:$B$205,$C245),""))</f>
        <v/>
      </c>
      <c r="F245" s="114" t="str">
        <f aca="false">IF($E245="","",IF($B245="Tema",INDEX(Temas!$B$6:$B$305,$C245)&amp;"",INDEX(Avulsos!$C$6:$C$205,$C245)&amp;""))</f>
        <v/>
      </c>
      <c r="G245" s="114" t="str">
        <f aca="false">IF($E245="","",IF($B245="Tema",INDEX(Config!$C$6:$C$11,$D245),"Evento avulso"))</f>
        <v/>
      </c>
      <c r="H245" s="114" t="str">
        <f aca="false">IF($E245="","",IF($B245="Tema",INDEX(Config!$D$6:$D$11,$D245),IFERROR(INDEX(Config!$E$15:$E$19,MATCH($I245,Config!$C$15:$C$19,0)),"•")))</f>
        <v/>
      </c>
      <c r="I245" s="114" t="str">
        <f aca="false">IF($E245="","",IF($B245="Tema",INDEX(Config!$E$6:$E$11,$D245),IF(INDEX(Avulsos!$D$6:$D$205,$C245)&amp;""="","Outro",INDEX(Avulsos!$D$6:$D$205,$C245))))</f>
        <v/>
      </c>
      <c r="J245" s="114" t="str">
        <f aca="false">IF($E245="","",IF($B245="Tema",INDEX(Temas!$C$6:$C$305,$C245)&amp;"",INDEX(Avulsos!$E$6:$E$205,$C245)&amp;""))</f>
        <v/>
      </c>
      <c r="K245" s="114" t="str">
        <f aca="false">IF($E245="","",IF(IF($B245="Tema",INDEX(Temas!$E$6:$P$305,$C245,2*$D245),INDEX(Avulsos!$F$6:$F$205,$C245))&amp;""="","","✓"))</f>
        <v/>
      </c>
      <c r="L245" s="114" t="str">
        <f aca="true">IF($E245="","",IF($K245="✓","Concluído",IF($E245&lt;TODAY(),"Atrasado",IF($E245=TODAY(),"Hoje","Pendente"))))</f>
        <v/>
      </c>
      <c r="M245" s="114" t="str">
        <f aca="false">IF($E245="","",IF($K245="✓","✓ ","")&amp;IF(Config!$E$22="Sim",$H245&amp;" · ","")&amp;$F245)</f>
        <v/>
      </c>
      <c r="N245" s="114" t="str">
        <f aca="false">IF($E245="","",IFERROR(INDEX(Config!$D$15:$D$19,MATCH($I245,Config!$C$15:$C$19,0)),"OUT")&amp;IF($K245="✓","x",""))</f>
        <v/>
      </c>
      <c r="O245" s="114" t="str">
        <f aca="false">IF($E245="","",COUNTIF($E$5:$E245,$E245))</f>
        <v/>
      </c>
      <c r="P245" s="114" t="str">
        <f aca="false">IF($E245="","",$E245*100+$O245)</f>
        <v/>
      </c>
      <c r="Q245" s="114" t="str">
        <f aca="false">IF($L245="Atrasado",$E245*10000+$A245,"")</f>
        <v/>
      </c>
    </row>
    <row r="246" customFormat="false" ht="15" hidden="false" customHeight="false" outlineLevel="0" collapsed="false">
      <c r="A246" s="114" t="n">
        <f aca="false">ROW()-4</f>
        <v>242</v>
      </c>
      <c r="B246" s="114" t="str">
        <f aca="false">IF(A246&lt;=Config!$E$27*Config!$E$28,"Tema","Avulso")</f>
        <v>Tema</v>
      </c>
      <c r="C246" s="114" t="n">
        <f aca="false">IF(B246="Tema",INT((A246-1)/Config!$E$28)+1,A246-Config!$E$27*Config!$E$28)</f>
        <v>41</v>
      </c>
      <c r="D246" s="114" t="n">
        <f aca="false">IF(B246="Tema",MOD(A246-1,Config!$E$28)+1,"")</f>
        <v>2</v>
      </c>
      <c r="E246" s="115" t="str">
        <f aca="false">IF($B246="Tema",IF(ISNUMBER(INDEX(Temas!$E$6:$P$305,$C246,2*$D246-1)),INDEX(Temas!$E$6:$P$305,$C246,2*$D246-1),""),IF(ISNUMBER(INDEX(Avulsos!$B$6:$B$205,$C246)),INDEX(Avulsos!$B$6:$B$205,$C246),""))</f>
        <v/>
      </c>
      <c r="F246" s="114" t="str">
        <f aca="false">IF($E246="","",IF($B246="Tema",INDEX(Temas!$B$6:$B$305,$C246)&amp;"",INDEX(Avulsos!$C$6:$C$205,$C246)&amp;""))</f>
        <v/>
      </c>
      <c r="G246" s="114" t="str">
        <f aca="false">IF($E246="","",IF($B246="Tema",INDEX(Config!$C$6:$C$11,$D246),"Evento avulso"))</f>
        <v/>
      </c>
      <c r="H246" s="114" t="str">
        <f aca="false">IF($E246="","",IF($B246="Tema",INDEX(Config!$D$6:$D$11,$D246),IFERROR(INDEX(Config!$E$15:$E$19,MATCH($I246,Config!$C$15:$C$19,0)),"•")))</f>
        <v/>
      </c>
      <c r="I246" s="114" t="str">
        <f aca="false">IF($E246="","",IF($B246="Tema",INDEX(Config!$E$6:$E$11,$D246),IF(INDEX(Avulsos!$D$6:$D$205,$C246)&amp;""="","Outro",INDEX(Avulsos!$D$6:$D$205,$C246))))</f>
        <v/>
      </c>
      <c r="J246" s="114" t="str">
        <f aca="false">IF($E246="","",IF($B246="Tema",INDEX(Temas!$C$6:$C$305,$C246)&amp;"",INDEX(Avulsos!$E$6:$E$205,$C246)&amp;""))</f>
        <v/>
      </c>
      <c r="K246" s="114" t="str">
        <f aca="false">IF($E246="","",IF(IF($B246="Tema",INDEX(Temas!$E$6:$P$305,$C246,2*$D246),INDEX(Avulsos!$F$6:$F$205,$C246))&amp;""="","","✓"))</f>
        <v/>
      </c>
      <c r="L246" s="114" t="str">
        <f aca="true">IF($E246="","",IF($K246="✓","Concluído",IF($E246&lt;TODAY(),"Atrasado",IF($E246=TODAY(),"Hoje","Pendente"))))</f>
        <v/>
      </c>
      <c r="M246" s="114" t="str">
        <f aca="false">IF($E246="","",IF($K246="✓","✓ ","")&amp;IF(Config!$E$22="Sim",$H246&amp;" · ","")&amp;$F246)</f>
        <v/>
      </c>
      <c r="N246" s="114" t="str">
        <f aca="false">IF($E246="","",IFERROR(INDEX(Config!$D$15:$D$19,MATCH($I246,Config!$C$15:$C$19,0)),"OUT")&amp;IF($K246="✓","x",""))</f>
        <v/>
      </c>
      <c r="O246" s="114" t="str">
        <f aca="false">IF($E246="","",COUNTIF($E$5:$E246,$E246))</f>
        <v/>
      </c>
      <c r="P246" s="114" t="str">
        <f aca="false">IF($E246="","",$E246*100+$O246)</f>
        <v/>
      </c>
      <c r="Q246" s="114" t="str">
        <f aca="false">IF($L246="Atrasado",$E246*10000+$A246,"")</f>
        <v/>
      </c>
    </row>
    <row r="247" customFormat="false" ht="15" hidden="false" customHeight="false" outlineLevel="0" collapsed="false">
      <c r="A247" s="114" t="n">
        <f aca="false">ROW()-4</f>
        <v>243</v>
      </c>
      <c r="B247" s="114" t="str">
        <f aca="false">IF(A247&lt;=Config!$E$27*Config!$E$28,"Tema","Avulso")</f>
        <v>Tema</v>
      </c>
      <c r="C247" s="114" t="n">
        <f aca="false">IF(B247="Tema",INT((A247-1)/Config!$E$28)+1,A247-Config!$E$27*Config!$E$28)</f>
        <v>41</v>
      </c>
      <c r="D247" s="114" t="n">
        <f aca="false">IF(B247="Tema",MOD(A247-1,Config!$E$28)+1,"")</f>
        <v>3</v>
      </c>
      <c r="E247" s="115" t="str">
        <f aca="false">IF($B247="Tema",IF(ISNUMBER(INDEX(Temas!$E$6:$P$305,$C247,2*$D247-1)),INDEX(Temas!$E$6:$P$305,$C247,2*$D247-1),""),IF(ISNUMBER(INDEX(Avulsos!$B$6:$B$205,$C247)),INDEX(Avulsos!$B$6:$B$205,$C247),""))</f>
        <v/>
      </c>
      <c r="F247" s="114" t="str">
        <f aca="false">IF($E247="","",IF($B247="Tema",INDEX(Temas!$B$6:$B$305,$C247)&amp;"",INDEX(Avulsos!$C$6:$C$205,$C247)&amp;""))</f>
        <v/>
      </c>
      <c r="G247" s="114" t="str">
        <f aca="false">IF($E247="","",IF($B247="Tema",INDEX(Config!$C$6:$C$11,$D247),"Evento avulso"))</f>
        <v/>
      </c>
      <c r="H247" s="114" t="str">
        <f aca="false">IF($E247="","",IF($B247="Tema",INDEX(Config!$D$6:$D$11,$D247),IFERROR(INDEX(Config!$E$15:$E$19,MATCH($I247,Config!$C$15:$C$19,0)),"•")))</f>
        <v/>
      </c>
      <c r="I247" s="114" t="str">
        <f aca="false">IF($E247="","",IF($B247="Tema",INDEX(Config!$E$6:$E$11,$D247),IF(INDEX(Avulsos!$D$6:$D$205,$C247)&amp;""="","Outro",INDEX(Avulsos!$D$6:$D$205,$C247))))</f>
        <v/>
      </c>
      <c r="J247" s="114" t="str">
        <f aca="false">IF($E247="","",IF($B247="Tema",INDEX(Temas!$C$6:$C$305,$C247)&amp;"",INDEX(Avulsos!$E$6:$E$205,$C247)&amp;""))</f>
        <v/>
      </c>
      <c r="K247" s="114" t="str">
        <f aca="false">IF($E247="","",IF(IF($B247="Tema",INDEX(Temas!$E$6:$P$305,$C247,2*$D247),INDEX(Avulsos!$F$6:$F$205,$C247))&amp;""="","","✓"))</f>
        <v/>
      </c>
      <c r="L247" s="114" t="str">
        <f aca="true">IF($E247="","",IF($K247="✓","Concluído",IF($E247&lt;TODAY(),"Atrasado",IF($E247=TODAY(),"Hoje","Pendente"))))</f>
        <v/>
      </c>
      <c r="M247" s="114" t="str">
        <f aca="false">IF($E247="","",IF($K247="✓","✓ ","")&amp;IF(Config!$E$22="Sim",$H247&amp;" · ","")&amp;$F247)</f>
        <v/>
      </c>
      <c r="N247" s="114" t="str">
        <f aca="false">IF($E247="","",IFERROR(INDEX(Config!$D$15:$D$19,MATCH($I247,Config!$C$15:$C$19,0)),"OUT")&amp;IF($K247="✓","x",""))</f>
        <v/>
      </c>
      <c r="O247" s="114" t="str">
        <f aca="false">IF($E247="","",COUNTIF($E$5:$E247,$E247))</f>
        <v/>
      </c>
      <c r="P247" s="114" t="str">
        <f aca="false">IF($E247="","",$E247*100+$O247)</f>
        <v/>
      </c>
      <c r="Q247" s="114" t="str">
        <f aca="false">IF($L247="Atrasado",$E247*10000+$A247,"")</f>
        <v/>
      </c>
    </row>
    <row r="248" customFormat="false" ht="15" hidden="false" customHeight="false" outlineLevel="0" collapsed="false">
      <c r="A248" s="114" t="n">
        <f aca="false">ROW()-4</f>
        <v>244</v>
      </c>
      <c r="B248" s="114" t="str">
        <f aca="false">IF(A248&lt;=Config!$E$27*Config!$E$28,"Tema","Avulso")</f>
        <v>Tema</v>
      </c>
      <c r="C248" s="114" t="n">
        <f aca="false">IF(B248="Tema",INT((A248-1)/Config!$E$28)+1,A248-Config!$E$27*Config!$E$28)</f>
        <v>41</v>
      </c>
      <c r="D248" s="114" t="n">
        <f aca="false">IF(B248="Tema",MOD(A248-1,Config!$E$28)+1,"")</f>
        <v>4</v>
      </c>
      <c r="E248" s="115" t="str">
        <f aca="false">IF($B248="Tema",IF(ISNUMBER(INDEX(Temas!$E$6:$P$305,$C248,2*$D248-1)),INDEX(Temas!$E$6:$P$305,$C248,2*$D248-1),""),IF(ISNUMBER(INDEX(Avulsos!$B$6:$B$205,$C248)),INDEX(Avulsos!$B$6:$B$205,$C248),""))</f>
        <v/>
      </c>
      <c r="F248" s="114" t="str">
        <f aca="false">IF($E248="","",IF($B248="Tema",INDEX(Temas!$B$6:$B$305,$C248)&amp;"",INDEX(Avulsos!$C$6:$C$205,$C248)&amp;""))</f>
        <v/>
      </c>
      <c r="G248" s="114" t="str">
        <f aca="false">IF($E248="","",IF($B248="Tema",INDEX(Config!$C$6:$C$11,$D248),"Evento avulso"))</f>
        <v/>
      </c>
      <c r="H248" s="114" t="str">
        <f aca="false">IF($E248="","",IF($B248="Tema",INDEX(Config!$D$6:$D$11,$D248),IFERROR(INDEX(Config!$E$15:$E$19,MATCH($I248,Config!$C$15:$C$19,0)),"•")))</f>
        <v/>
      </c>
      <c r="I248" s="114" t="str">
        <f aca="false">IF($E248="","",IF($B248="Tema",INDEX(Config!$E$6:$E$11,$D248),IF(INDEX(Avulsos!$D$6:$D$205,$C248)&amp;""="","Outro",INDEX(Avulsos!$D$6:$D$205,$C248))))</f>
        <v/>
      </c>
      <c r="J248" s="114" t="str">
        <f aca="false">IF($E248="","",IF($B248="Tema",INDEX(Temas!$C$6:$C$305,$C248)&amp;"",INDEX(Avulsos!$E$6:$E$205,$C248)&amp;""))</f>
        <v/>
      </c>
      <c r="K248" s="114" t="str">
        <f aca="false">IF($E248="","",IF(IF($B248="Tema",INDEX(Temas!$E$6:$P$305,$C248,2*$D248),INDEX(Avulsos!$F$6:$F$205,$C248))&amp;""="","","✓"))</f>
        <v/>
      </c>
      <c r="L248" s="114" t="str">
        <f aca="true">IF($E248="","",IF($K248="✓","Concluído",IF($E248&lt;TODAY(),"Atrasado",IF($E248=TODAY(),"Hoje","Pendente"))))</f>
        <v/>
      </c>
      <c r="M248" s="114" t="str">
        <f aca="false">IF($E248="","",IF($K248="✓","✓ ","")&amp;IF(Config!$E$22="Sim",$H248&amp;" · ","")&amp;$F248)</f>
        <v/>
      </c>
      <c r="N248" s="114" t="str">
        <f aca="false">IF($E248="","",IFERROR(INDEX(Config!$D$15:$D$19,MATCH($I248,Config!$C$15:$C$19,0)),"OUT")&amp;IF($K248="✓","x",""))</f>
        <v/>
      </c>
      <c r="O248" s="114" t="str">
        <f aca="false">IF($E248="","",COUNTIF($E$5:$E248,$E248))</f>
        <v/>
      </c>
      <c r="P248" s="114" t="str">
        <f aca="false">IF($E248="","",$E248*100+$O248)</f>
        <v/>
      </c>
      <c r="Q248" s="114" t="str">
        <f aca="false">IF($L248="Atrasado",$E248*10000+$A248,"")</f>
        <v/>
      </c>
    </row>
    <row r="249" customFormat="false" ht="15" hidden="false" customHeight="false" outlineLevel="0" collapsed="false">
      <c r="A249" s="114" t="n">
        <f aca="false">ROW()-4</f>
        <v>245</v>
      </c>
      <c r="B249" s="114" t="str">
        <f aca="false">IF(A249&lt;=Config!$E$27*Config!$E$28,"Tema","Avulso")</f>
        <v>Tema</v>
      </c>
      <c r="C249" s="114" t="n">
        <f aca="false">IF(B249="Tema",INT((A249-1)/Config!$E$28)+1,A249-Config!$E$27*Config!$E$28)</f>
        <v>41</v>
      </c>
      <c r="D249" s="114" t="n">
        <f aca="false">IF(B249="Tema",MOD(A249-1,Config!$E$28)+1,"")</f>
        <v>5</v>
      </c>
      <c r="E249" s="115" t="str">
        <f aca="false">IF($B249="Tema",IF(ISNUMBER(INDEX(Temas!$E$6:$P$305,$C249,2*$D249-1)),INDEX(Temas!$E$6:$P$305,$C249,2*$D249-1),""),IF(ISNUMBER(INDEX(Avulsos!$B$6:$B$205,$C249)),INDEX(Avulsos!$B$6:$B$205,$C249),""))</f>
        <v/>
      </c>
      <c r="F249" s="114" t="str">
        <f aca="false">IF($E249="","",IF($B249="Tema",INDEX(Temas!$B$6:$B$305,$C249)&amp;"",INDEX(Avulsos!$C$6:$C$205,$C249)&amp;""))</f>
        <v/>
      </c>
      <c r="G249" s="114" t="str">
        <f aca="false">IF($E249="","",IF($B249="Tema",INDEX(Config!$C$6:$C$11,$D249),"Evento avulso"))</f>
        <v/>
      </c>
      <c r="H249" s="114" t="str">
        <f aca="false">IF($E249="","",IF($B249="Tema",INDEX(Config!$D$6:$D$11,$D249),IFERROR(INDEX(Config!$E$15:$E$19,MATCH($I249,Config!$C$15:$C$19,0)),"•")))</f>
        <v/>
      </c>
      <c r="I249" s="114" t="str">
        <f aca="false">IF($E249="","",IF($B249="Tema",INDEX(Config!$E$6:$E$11,$D249),IF(INDEX(Avulsos!$D$6:$D$205,$C249)&amp;""="","Outro",INDEX(Avulsos!$D$6:$D$205,$C249))))</f>
        <v/>
      </c>
      <c r="J249" s="114" t="str">
        <f aca="false">IF($E249="","",IF($B249="Tema",INDEX(Temas!$C$6:$C$305,$C249)&amp;"",INDEX(Avulsos!$E$6:$E$205,$C249)&amp;""))</f>
        <v/>
      </c>
      <c r="K249" s="114" t="str">
        <f aca="false">IF($E249="","",IF(IF($B249="Tema",INDEX(Temas!$E$6:$P$305,$C249,2*$D249),INDEX(Avulsos!$F$6:$F$205,$C249))&amp;""="","","✓"))</f>
        <v/>
      </c>
      <c r="L249" s="114" t="str">
        <f aca="true">IF($E249="","",IF($K249="✓","Concluído",IF($E249&lt;TODAY(),"Atrasado",IF($E249=TODAY(),"Hoje","Pendente"))))</f>
        <v/>
      </c>
      <c r="M249" s="114" t="str">
        <f aca="false">IF($E249="","",IF($K249="✓","✓ ","")&amp;IF(Config!$E$22="Sim",$H249&amp;" · ","")&amp;$F249)</f>
        <v/>
      </c>
      <c r="N249" s="114" t="str">
        <f aca="false">IF($E249="","",IFERROR(INDEX(Config!$D$15:$D$19,MATCH($I249,Config!$C$15:$C$19,0)),"OUT")&amp;IF($K249="✓","x",""))</f>
        <v/>
      </c>
      <c r="O249" s="114" t="str">
        <f aca="false">IF($E249="","",COUNTIF($E$5:$E249,$E249))</f>
        <v/>
      </c>
      <c r="P249" s="114" t="str">
        <f aca="false">IF($E249="","",$E249*100+$O249)</f>
        <v/>
      </c>
      <c r="Q249" s="114" t="str">
        <f aca="false">IF($L249="Atrasado",$E249*10000+$A249,"")</f>
        <v/>
      </c>
    </row>
    <row r="250" customFormat="false" ht="15" hidden="false" customHeight="false" outlineLevel="0" collapsed="false">
      <c r="A250" s="114" t="n">
        <f aca="false">ROW()-4</f>
        <v>246</v>
      </c>
      <c r="B250" s="114" t="str">
        <f aca="false">IF(A250&lt;=Config!$E$27*Config!$E$28,"Tema","Avulso")</f>
        <v>Tema</v>
      </c>
      <c r="C250" s="114" t="n">
        <f aca="false">IF(B250="Tema",INT((A250-1)/Config!$E$28)+1,A250-Config!$E$27*Config!$E$28)</f>
        <v>41</v>
      </c>
      <c r="D250" s="114" t="n">
        <f aca="false">IF(B250="Tema",MOD(A250-1,Config!$E$28)+1,"")</f>
        <v>6</v>
      </c>
      <c r="E250" s="115" t="str">
        <f aca="false">IF($B250="Tema",IF(ISNUMBER(INDEX(Temas!$E$6:$P$305,$C250,2*$D250-1)),INDEX(Temas!$E$6:$P$305,$C250,2*$D250-1),""),IF(ISNUMBER(INDEX(Avulsos!$B$6:$B$205,$C250)),INDEX(Avulsos!$B$6:$B$205,$C250),""))</f>
        <v/>
      </c>
      <c r="F250" s="114" t="str">
        <f aca="false">IF($E250="","",IF($B250="Tema",INDEX(Temas!$B$6:$B$305,$C250)&amp;"",INDEX(Avulsos!$C$6:$C$205,$C250)&amp;""))</f>
        <v/>
      </c>
      <c r="G250" s="114" t="str">
        <f aca="false">IF($E250="","",IF($B250="Tema",INDEX(Config!$C$6:$C$11,$D250),"Evento avulso"))</f>
        <v/>
      </c>
      <c r="H250" s="114" t="str">
        <f aca="false">IF($E250="","",IF($B250="Tema",INDEX(Config!$D$6:$D$11,$D250),IFERROR(INDEX(Config!$E$15:$E$19,MATCH($I250,Config!$C$15:$C$19,0)),"•")))</f>
        <v/>
      </c>
      <c r="I250" s="114" t="str">
        <f aca="false">IF($E250="","",IF($B250="Tema",INDEX(Config!$E$6:$E$11,$D250),IF(INDEX(Avulsos!$D$6:$D$205,$C250)&amp;""="","Outro",INDEX(Avulsos!$D$6:$D$205,$C250))))</f>
        <v/>
      </c>
      <c r="J250" s="114" t="str">
        <f aca="false">IF($E250="","",IF($B250="Tema",INDEX(Temas!$C$6:$C$305,$C250)&amp;"",INDEX(Avulsos!$E$6:$E$205,$C250)&amp;""))</f>
        <v/>
      </c>
      <c r="K250" s="114" t="str">
        <f aca="false">IF($E250="","",IF(IF($B250="Tema",INDEX(Temas!$E$6:$P$305,$C250,2*$D250),INDEX(Avulsos!$F$6:$F$205,$C250))&amp;""="","","✓"))</f>
        <v/>
      </c>
      <c r="L250" s="114" t="str">
        <f aca="true">IF($E250="","",IF($K250="✓","Concluído",IF($E250&lt;TODAY(),"Atrasado",IF($E250=TODAY(),"Hoje","Pendente"))))</f>
        <v/>
      </c>
      <c r="M250" s="114" t="str">
        <f aca="false">IF($E250="","",IF($K250="✓","✓ ","")&amp;IF(Config!$E$22="Sim",$H250&amp;" · ","")&amp;$F250)</f>
        <v/>
      </c>
      <c r="N250" s="114" t="str">
        <f aca="false">IF($E250="","",IFERROR(INDEX(Config!$D$15:$D$19,MATCH($I250,Config!$C$15:$C$19,0)),"OUT")&amp;IF($K250="✓","x",""))</f>
        <v/>
      </c>
      <c r="O250" s="114" t="str">
        <f aca="false">IF($E250="","",COUNTIF($E$5:$E250,$E250))</f>
        <v/>
      </c>
      <c r="P250" s="114" t="str">
        <f aca="false">IF($E250="","",$E250*100+$O250)</f>
        <v/>
      </c>
      <c r="Q250" s="114" t="str">
        <f aca="false">IF($L250="Atrasado",$E250*10000+$A250,"")</f>
        <v/>
      </c>
    </row>
    <row r="251" customFormat="false" ht="15" hidden="false" customHeight="false" outlineLevel="0" collapsed="false">
      <c r="A251" s="114" t="n">
        <f aca="false">ROW()-4</f>
        <v>247</v>
      </c>
      <c r="B251" s="114" t="str">
        <f aca="false">IF(A251&lt;=Config!$E$27*Config!$E$28,"Tema","Avulso")</f>
        <v>Tema</v>
      </c>
      <c r="C251" s="114" t="n">
        <f aca="false">IF(B251="Tema",INT((A251-1)/Config!$E$28)+1,A251-Config!$E$27*Config!$E$28)</f>
        <v>42</v>
      </c>
      <c r="D251" s="114" t="n">
        <f aca="false">IF(B251="Tema",MOD(A251-1,Config!$E$28)+1,"")</f>
        <v>1</v>
      </c>
      <c r="E251" s="115" t="str">
        <f aca="false">IF($B251="Tema",IF(ISNUMBER(INDEX(Temas!$E$6:$P$305,$C251,2*$D251-1)),INDEX(Temas!$E$6:$P$305,$C251,2*$D251-1),""),IF(ISNUMBER(INDEX(Avulsos!$B$6:$B$205,$C251)),INDEX(Avulsos!$B$6:$B$205,$C251),""))</f>
        <v/>
      </c>
      <c r="F251" s="114" t="str">
        <f aca="false">IF($E251="","",IF($B251="Tema",INDEX(Temas!$B$6:$B$305,$C251)&amp;"",INDEX(Avulsos!$C$6:$C$205,$C251)&amp;""))</f>
        <v/>
      </c>
      <c r="G251" s="114" t="str">
        <f aca="false">IF($E251="","",IF($B251="Tema",INDEX(Config!$C$6:$C$11,$D251),"Evento avulso"))</f>
        <v/>
      </c>
      <c r="H251" s="114" t="str">
        <f aca="false">IF($E251="","",IF($B251="Tema",INDEX(Config!$D$6:$D$11,$D251),IFERROR(INDEX(Config!$E$15:$E$19,MATCH($I251,Config!$C$15:$C$19,0)),"•")))</f>
        <v/>
      </c>
      <c r="I251" s="114" t="str">
        <f aca="false">IF($E251="","",IF($B251="Tema",INDEX(Config!$E$6:$E$11,$D251),IF(INDEX(Avulsos!$D$6:$D$205,$C251)&amp;""="","Outro",INDEX(Avulsos!$D$6:$D$205,$C251))))</f>
        <v/>
      </c>
      <c r="J251" s="114" t="str">
        <f aca="false">IF($E251="","",IF($B251="Tema",INDEX(Temas!$C$6:$C$305,$C251)&amp;"",INDEX(Avulsos!$E$6:$E$205,$C251)&amp;""))</f>
        <v/>
      </c>
      <c r="K251" s="114" t="str">
        <f aca="false">IF($E251="","",IF(IF($B251="Tema",INDEX(Temas!$E$6:$P$305,$C251,2*$D251),INDEX(Avulsos!$F$6:$F$205,$C251))&amp;""="","","✓"))</f>
        <v/>
      </c>
      <c r="L251" s="114" t="str">
        <f aca="true">IF($E251="","",IF($K251="✓","Concluído",IF($E251&lt;TODAY(),"Atrasado",IF($E251=TODAY(),"Hoje","Pendente"))))</f>
        <v/>
      </c>
      <c r="M251" s="114" t="str">
        <f aca="false">IF($E251="","",IF($K251="✓","✓ ","")&amp;IF(Config!$E$22="Sim",$H251&amp;" · ","")&amp;$F251)</f>
        <v/>
      </c>
      <c r="N251" s="114" t="str">
        <f aca="false">IF($E251="","",IFERROR(INDEX(Config!$D$15:$D$19,MATCH($I251,Config!$C$15:$C$19,0)),"OUT")&amp;IF($K251="✓","x",""))</f>
        <v/>
      </c>
      <c r="O251" s="114" t="str">
        <f aca="false">IF($E251="","",COUNTIF($E$5:$E251,$E251))</f>
        <v/>
      </c>
      <c r="P251" s="114" t="str">
        <f aca="false">IF($E251="","",$E251*100+$O251)</f>
        <v/>
      </c>
      <c r="Q251" s="114" t="str">
        <f aca="false">IF($L251="Atrasado",$E251*10000+$A251,"")</f>
        <v/>
      </c>
    </row>
    <row r="252" customFormat="false" ht="15" hidden="false" customHeight="false" outlineLevel="0" collapsed="false">
      <c r="A252" s="114" t="n">
        <f aca="false">ROW()-4</f>
        <v>248</v>
      </c>
      <c r="B252" s="114" t="str">
        <f aca="false">IF(A252&lt;=Config!$E$27*Config!$E$28,"Tema","Avulso")</f>
        <v>Tema</v>
      </c>
      <c r="C252" s="114" t="n">
        <f aca="false">IF(B252="Tema",INT((A252-1)/Config!$E$28)+1,A252-Config!$E$27*Config!$E$28)</f>
        <v>42</v>
      </c>
      <c r="D252" s="114" t="n">
        <f aca="false">IF(B252="Tema",MOD(A252-1,Config!$E$28)+1,"")</f>
        <v>2</v>
      </c>
      <c r="E252" s="115" t="str">
        <f aca="false">IF($B252="Tema",IF(ISNUMBER(INDEX(Temas!$E$6:$P$305,$C252,2*$D252-1)),INDEX(Temas!$E$6:$P$305,$C252,2*$D252-1),""),IF(ISNUMBER(INDEX(Avulsos!$B$6:$B$205,$C252)),INDEX(Avulsos!$B$6:$B$205,$C252),""))</f>
        <v/>
      </c>
      <c r="F252" s="114" t="str">
        <f aca="false">IF($E252="","",IF($B252="Tema",INDEX(Temas!$B$6:$B$305,$C252)&amp;"",INDEX(Avulsos!$C$6:$C$205,$C252)&amp;""))</f>
        <v/>
      </c>
      <c r="G252" s="114" t="str">
        <f aca="false">IF($E252="","",IF($B252="Tema",INDEX(Config!$C$6:$C$11,$D252),"Evento avulso"))</f>
        <v/>
      </c>
      <c r="H252" s="114" t="str">
        <f aca="false">IF($E252="","",IF($B252="Tema",INDEX(Config!$D$6:$D$11,$D252),IFERROR(INDEX(Config!$E$15:$E$19,MATCH($I252,Config!$C$15:$C$19,0)),"•")))</f>
        <v/>
      </c>
      <c r="I252" s="114" t="str">
        <f aca="false">IF($E252="","",IF($B252="Tema",INDEX(Config!$E$6:$E$11,$D252),IF(INDEX(Avulsos!$D$6:$D$205,$C252)&amp;""="","Outro",INDEX(Avulsos!$D$6:$D$205,$C252))))</f>
        <v/>
      </c>
      <c r="J252" s="114" t="str">
        <f aca="false">IF($E252="","",IF($B252="Tema",INDEX(Temas!$C$6:$C$305,$C252)&amp;"",INDEX(Avulsos!$E$6:$E$205,$C252)&amp;""))</f>
        <v/>
      </c>
      <c r="K252" s="114" t="str">
        <f aca="false">IF($E252="","",IF(IF($B252="Tema",INDEX(Temas!$E$6:$P$305,$C252,2*$D252),INDEX(Avulsos!$F$6:$F$205,$C252))&amp;""="","","✓"))</f>
        <v/>
      </c>
      <c r="L252" s="114" t="str">
        <f aca="true">IF($E252="","",IF($K252="✓","Concluído",IF($E252&lt;TODAY(),"Atrasado",IF($E252=TODAY(),"Hoje","Pendente"))))</f>
        <v/>
      </c>
      <c r="M252" s="114" t="str">
        <f aca="false">IF($E252="","",IF($K252="✓","✓ ","")&amp;IF(Config!$E$22="Sim",$H252&amp;" · ","")&amp;$F252)</f>
        <v/>
      </c>
      <c r="N252" s="114" t="str">
        <f aca="false">IF($E252="","",IFERROR(INDEX(Config!$D$15:$D$19,MATCH($I252,Config!$C$15:$C$19,0)),"OUT")&amp;IF($K252="✓","x",""))</f>
        <v/>
      </c>
      <c r="O252" s="114" t="str">
        <f aca="false">IF($E252="","",COUNTIF($E$5:$E252,$E252))</f>
        <v/>
      </c>
      <c r="P252" s="114" t="str">
        <f aca="false">IF($E252="","",$E252*100+$O252)</f>
        <v/>
      </c>
      <c r="Q252" s="114" t="str">
        <f aca="false">IF($L252="Atrasado",$E252*10000+$A252,"")</f>
        <v/>
      </c>
    </row>
    <row r="253" customFormat="false" ht="15" hidden="false" customHeight="false" outlineLevel="0" collapsed="false">
      <c r="A253" s="114" t="n">
        <f aca="false">ROW()-4</f>
        <v>249</v>
      </c>
      <c r="B253" s="114" t="str">
        <f aca="false">IF(A253&lt;=Config!$E$27*Config!$E$28,"Tema","Avulso")</f>
        <v>Tema</v>
      </c>
      <c r="C253" s="114" t="n">
        <f aca="false">IF(B253="Tema",INT((A253-1)/Config!$E$28)+1,A253-Config!$E$27*Config!$E$28)</f>
        <v>42</v>
      </c>
      <c r="D253" s="114" t="n">
        <f aca="false">IF(B253="Tema",MOD(A253-1,Config!$E$28)+1,"")</f>
        <v>3</v>
      </c>
      <c r="E253" s="115" t="str">
        <f aca="false">IF($B253="Tema",IF(ISNUMBER(INDEX(Temas!$E$6:$P$305,$C253,2*$D253-1)),INDEX(Temas!$E$6:$P$305,$C253,2*$D253-1),""),IF(ISNUMBER(INDEX(Avulsos!$B$6:$B$205,$C253)),INDEX(Avulsos!$B$6:$B$205,$C253),""))</f>
        <v/>
      </c>
      <c r="F253" s="114" t="str">
        <f aca="false">IF($E253="","",IF($B253="Tema",INDEX(Temas!$B$6:$B$305,$C253)&amp;"",INDEX(Avulsos!$C$6:$C$205,$C253)&amp;""))</f>
        <v/>
      </c>
      <c r="G253" s="114" t="str">
        <f aca="false">IF($E253="","",IF($B253="Tema",INDEX(Config!$C$6:$C$11,$D253),"Evento avulso"))</f>
        <v/>
      </c>
      <c r="H253" s="114" t="str">
        <f aca="false">IF($E253="","",IF($B253="Tema",INDEX(Config!$D$6:$D$11,$D253),IFERROR(INDEX(Config!$E$15:$E$19,MATCH($I253,Config!$C$15:$C$19,0)),"•")))</f>
        <v/>
      </c>
      <c r="I253" s="114" t="str">
        <f aca="false">IF($E253="","",IF($B253="Tema",INDEX(Config!$E$6:$E$11,$D253),IF(INDEX(Avulsos!$D$6:$D$205,$C253)&amp;""="","Outro",INDEX(Avulsos!$D$6:$D$205,$C253))))</f>
        <v/>
      </c>
      <c r="J253" s="114" t="str">
        <f aca="false">IF($E253="","",IF($B253="Tema",INDEX(Temas!$C$6:$C$305,$C253)&amp;"",INDEX(Avulsos!$E$6:$E$205,$C253)&amp;""))</f>
        <v/>
      </c>
      <c r="K253" s="114" t="str">
        <f aca="false">IF($E253="","",IF(IF($B253="Tema",INDEX(Temas!$E$6:$P$305,$C253,2*$D253),INDEX(Avulsos!$F$6:$F$205,$C253))&amp;""="","","✓"))</f>
        <v/>
      </c>
      <c r="L253" s="114" t="str">
        <f aca="true">IF($E253="","",IF($K253="✓","Concluído",IF($E253&lt;TODAY(),"Atrasado",IF($E253=TODAY(),"Hoje","Pendente"))))</f>
        <v/>
      </c>
      <c r="M253" s="114" t="str">
        <f aca="false">IF($E253="","",IF($K253="✓","✓ ","")&amp;IF(Config!$E$22="Sim",$H253&amp;" · ","")&amp;$F253)</f>
        <v/>
      </c>
      <c r="N253" s="114" t="str">
        <f aca="false">IF($E253="","",IFERROR(INDEX(Config!$D$15:$D$19,MATCH($I253,Config!$C$15:$C$19,0)),"OUT")&amp;IF($K253="✓","x",""))</f>
        <v/>
      </c>
      <c r="O253" s="114" t="str">
        <f aca="false">IF($E253="","",COUNTIF($E$5:$E253,$E253))</f>
        <v/>
      </c>
      <c r="P253" s="114" t="str">
        <f aca="false">IF($E253="","",$E253*100+$O253)</f>
        <v/>
      </c>
      <c r="Q253" s="114" t="str">
        <f aca="false">IF($L253="Atrasado",$E253*10000+$A253,"")</f>
        <v/>
      </c>
    </row>
    <row r="254" customFormat="false" ht="15" hidden="false" customHeight="false" outlineLevel="0" collapsed="false">
      <c r="A254" s="114" t="n">
        <f aca="false">ROW()-4</f>
        <v>250</v>
      </c>
      <c r="B254" s="114" t="str">
        <f aca="false">IF(A254&lt;=Config!$E$27*Config!$E$28,"Tema","Avulso")</f>
        <v>Tema</v>
      </c>
      <c r="C254" s="114" t="n">
        <f aca="false">IF(B254="Tema",INT((A254-1)/Config!$E$28)+1,A254-Config!$E$27*Config!$E$28)</f>
        <v>42</v>
      </c>
      <c r="D254" s="114" t="n">
        <f aca="false">IF(B254="Tema",MOD(A254-1,Config!$E$28)+1,"")</f>
        <v>4</v>
      </c>
      <c r="E254" s="115" t="str">
        <f aca="false">IF($B254="Tema",IF(ISNUMBER(INDEX(Temas!$E$6:$P$305,$C254,2*$D254-1)),INDEX(Temas!$E$6:$P$305,$C254,2*$D254-1),""),IF(ISNUMBER(INDEX(Avulsos!$B$6:$B$205,$C254)),INDEX(Avulsos!$B$6:$B$205,$C254),""))</f>
        <v/>
      </c>
      <c r="F254" s="114" t="str">
        <f aca="false">IF($E254="","",IF($B254="Tema",INDEX(Temas!$B$6:$B$305,$C254)&amp;"",INDEX(Avulsos!$C$6:$C$205,$C254)&amp;""))</f>
        <v/>
      </c>
      <c r="G254" s="114" t="str">
        <f aca="false">IF($E254="","",IF($B254="Tema",INDEX(Config!$C$6:$C$11,$D254),"Evento avulso"))</f>
        <v/>
      </c>
      <c r="H254" s="114" t="str">
        <f aca="false">IF($E254="","",IF($B254="Tema",INDEX(Config!$D$6:$D$11,$D254),IFERROR(INDEX(Config!$E$15:$E$19,MATCH($I254,Config!$C$15:$C$19,0)),"•")))</f>
        <v/>
      </c>
      <c r="I254" s="114" t="str">
        <f aca="false">IF($E254="","",IF($B254="Tema",INDEX(Config!$E$6:$E$11,$D254),IF(INDEX(Avulsos!$D$6:$D$205,$C254)&amp;""="","Outro",INDEX(Avulsos!$D$6:$D$205,$C254))))</f>
        <v/>
      </c>
      <c r="J254" s="114" t="str">
        <f aca="false">IF($E254="","",IF($B254="Tema",INDEX(Temas!$C$6:$C$305,$C254)&amp;"",INDEX(Avulsos!$E$6:$E$205,$C254)&amp;""))</f>
        <v/>
      </c>
      <c r="K254" s="114" t="str">
        <f aca="false">IF($E254="","",IF(IF($B254="Tema",INDEX(Temas!$E$6:$P$305,$C254,2*$D254),INDEX(Avulsos!$F$6:$F$205,$C254))&amp;""="","","✓"))</f>
        <v/>
      </c>
      <c r="L254" s="114" t="str">
        <f aca="true">IF($E254="","",IF($K254="✓","Concluído",IF($E254&lt;TODAY(),"Atrasado",IF($E254=TODAY(),"Hoje","Pendente"))))</f>
        <v/>
      </c>
      <c r="M254" s="114" t="str">
        <f aca="false">IF($E254="","",IF($K254="✓","✓ ","")&amp;IF(Config!$E$22="Sim",$H254&amp;" · ","")&amp;$F254)</f>
        <v/>
      </c>
      <c r="N254" s="114" t="str">
        <f aca="false">IF($E254="","",IFERROR(INDEX(Config!$D$15:$D$19,MATCH($I254,Config!$C$15:$C$19,0)),"OUT")&amp;IF($K254="✓","x",""))</f>
        <v/>
      </c>
      <c r="O254" s="114" t="str">
        <f aca="false">IF($E254="","",COUNTIF($E$5:$E254,$E254))</f>
        <v/>
      </c>
      <c r="P254" s="114" t="str">
        <f aca="false">IF($E254="","",$E254*100+$O254)</f>
        <v/>
      </c>
      <c r="Q254" s="114" t="str">
        <f aca="false">IF($L254="Atrasado",$E254*10000+$A254,"")</f>
        <v/>
      </c>
    </row>
    <row r="255" customFormat="false" ht="15" hidden="false" customHeight="false" outlineLevel="0" collapsed="false">
      <c r="A255" s="114" t="n">
        <f aca="false">ROW()-4</f>
        <v>251</v>
      </c>
      <c r="B255" s="114" t="str">
        <f aca="false">IF(A255&lt;=Config!$E$27*Config!$E$28,"Tema","Avulso")</f>
        <v>Tema</v>
      </c>
      <c r="C255" s="114" t="n">
        <f aca="false">IF(B255="Tema",INT((A255-1)/Config!$E$28)+1,A255-Config!$E$27*Config!$E$28)</f>
        <v>42</v>
      </c>
      <c r="D255" s="114" t="n">
        <f aca="false">IF(B255="Tema",MOD(A255-1,Config!$E$28)+1,"")</f>
        <v>5</v>
      </c>
      <c r="E255" s="115" t="str">
        <f aca="false">IF($B255="Tema",IF(ISNUMBER(INDEX(Temas!$E$6:$P$305,$C255,2*$D255-1)),INDEX(Temas!$E$6:$P$305,$C255,2*$D255-1),""),IF(ISNUMBER(INDEX(Avulsos!$B$6:$B$205,$C255)),INDEX(Avulsos!$B$6:$B$205,$C255),""))</f>
        <v/>
      </c>
      <c r="F255" s="114" t="str">
        <f aca="false">IF($E255="","",IF($B255="Tema",INDEX(Temas!$B$6:$B$305,$C255)&amp;"",INDEX(Avulsos!$C$6:$C$205,$C255)&amp;""))</f>
        <v/>
      </c>
      <c r="G255" s="114" t="str">
        <f aca="false">IF($E255="","",IF($B255="Tema",INDEX(Config!$C$6:$C$11,$D255),"Evento avulso"))</f>
        <v/>
      </c>
      <c r="H255" s="114" t="str">
        <f aca="false">IF($E255="","",IF($B255="Tema",INDEX(Config!$D$6:$D$11,$D255),IFERROR(INDEX(Config!$E$15:$E$19,MATCH($I255,Config!$C$15:$C$19,0)),"•")))</f>
        <v/>
      </c>
      <c r="I255" s="114" t="str">
        <f aca="false">IF($E255="","",IF($B255="Tema",INDEX(Config!$E$6:$E$11,$D255),IF(INDEX(Avulsos!$D$6:$D$205,$C255)&amp;""="","Outro",INDEX(Avulsos!$D$6:$D$205,$C255))))</f>
        <v/>
      </c>
      <c r="J255" s="114" t="str">
        <f aca="false">IF($E255="","",IF($B255="Tema",INDEX(Temas!$C$6:$C$305,$C255)&amp;"",INDEX(Avulsos!$E$6:$E$205,$C255)&amp;""))</f>
        <v/>
      </c>
      <c r="K255" s="114" t="str">
        <f aca="false">IF($E255="","",IF(IF($B255="Tema",INDEX(Temas!$E$6:$P$305,$C255,2*$D255),INDEX(Avulsos!$F$6:$F$205,$C255))&amp;""="","","✓"))</f>
        <v/>
      </c>
      <c r="L255" s="114" t="str">
        <f aca="true">IF($E255="","",IF($K255="✓","Concluído",IF($E255&lt;TODAY(),"Atrasado",IF($E255=TODAY(),"Hoje","Pendente"))))</f>
        <v/>
      </c>
      <c r="M255" s="114" t="str">
        <f aca="false">IF($E255="","",IF($K255="✓","✓ ","")&amp;IF(Config!$E$22="Sim",$H255&amp;" · ","")&amp;$F255)</f>
        <v/>
      </c>
      <c r="N255" s="114" t="str">
        <f aca="false">IF($E255="","",IFERROR(INDEX(Config!$D$15:$D$19,MATCH($I255,Config!$C$15:$C$19,0)),"OUT")&amp;IF($K255="✓","x",""))</f>
        <v/>
      </c>
      <c r="O255" s="114" t="str">
        <f aca="false">IF($E255="","",COUNTIF($E$5:$E255,$E255))</f>
        <v/>
      </c>
      <c r="P255" s="114" t="str">
        <f aca="false">IF($E255="","",$E255*100+$O255)</f>
        <v/>
      </c>
      <c r="Q255" s="114" t="str">
        <f aca="false">IF($L255="Atrasado",$E255*10000+$A255,"")</f>
        <v/>
      </c>
    </row>
    <row r="256" customFormat="false" ht="15" hidden="false" customHeight="false" outlineLevel="0" collapsed="false">
      <c r="A256" s="114" t="n">
        <f aca="false">ROW()-4</f>
        <v>252</v>
      </c>
      <c r="B256" s="114" t="str">
        <f aca="false">IF(A256&lt;=Config!$E$27*Config!$E$28,"Tema","Avulso")</f>
        <v>Tema</v>
      </c>
      <c r="C256" s="114" t="n">
        <f aca="false">IF(B256="Tema",INT((A256-1)/Config!$E$28)+1,A256-Config!$E$27*Config!$E$28)</f>
        <v>42</v>
      </c>
      <c r="D256" s="114" t="n">
        <f aca="false">IF(B256="Tema",MOD(A256-1,Config!$E$28)+1,"")</f>
        <v>6</v>
      </c>
      <c r="E256" s="115" t="str">
        <f aca="false">IF($B256="Tema",IF(ISNUMBER(INDEX(Temas!$E$6:$P$305,$C256,2*$D256-1)),INDEX(Temas!$E$6:$P$305,$C256,2*$D256-1),""),IF(ISNUMBER(INDEX(Avulsos!$B$6:$B$205,$C256)),INDEX(Avulsos!$B$6:$B$205,$C256),""))</f>
        <v/>
      </c>
      <c r="F256" s="114" t="str">
        <f aca="false">IF($E256="","",IF($B256="Tema",INDEX(Temas!$B$6:$B$305,$C256)&amp;"",INDEX(Avulsos!$C$6:$C$205,$C256)&amp;""))</f>
        <v/>
      </c>
      <c r="G256" s="114" t="str">
        <f aca="false">IF($E256="","",IF($B256="Tema",INDEX(Config!$C$6:$C$11,$D256),"Evento avulso"))</f>
        <v/>
      </c>
      <c r="H256" s="114" t="str">
        <f aca="false">IF($E256="","",IF($B256="Tema",INDEX(Config!$D$6:$D$11,$D256),IFERROR(INDEX(Config!$E$15:$E$19,MATCH($I256,Config!$C$15:$C$19,0)),"•")))</f>
        <v/>
      </c>
      <c r="I256" s="114" t="str">
        <f aca="false">IF($E256="","",IF($B256="Tema",INDEX(Config!$E$6:$E$11,$D256),IF(INDEX(Avulsos!$D$6:$D$205,$C256)&amp;""="","Outro",INDEX(Avulsos!$D$6:$D$205,$C256))))</f>
        <v/>
      </c>
      <c r="J256" s="114" t="str">
        <f aca="false">IF($E256="","",IF($B256="Tema",INDEX(Temas!$C$6:$C$305,$C256)&amp;"",INDEX(Avulsos!$E$6:$E$205,$C256)&amp;""))</f>
        <v/>
      </c>
      <c r="K256" s="114" t="str">
        <f aca="false">IF($E256="","",IF(IF($B256="Tema",INDEX(Temas!$E$6:$P$305,$C256,2*$D256),INDEX(Avulsos!$F$6:$F$205,$C256))&amp;""="","","✓"))</f>
        <v/>
      </c>
      <c r="L256" s="114" t="str">
        <f aca="true">IF($E256="","",IF($K256="✓","Concluído",IF($E256&lt;TODAY(),"Atrasado",IF($E256=TODAY(),"Hoje","Pendente"))))</f>
        <v/>
      </c>
      <c r="M256" s="114" t="str">
        <f aca="false">IF($E256="","",IF($K256="✓","✓ ","")&amp;IF(Config!$E$22="Sim",$H256&amp;" · ","")&amp;$F256)</f>
        <v/>
      </c>
      <c r="N256" s="114" t="str">
        <f aca="false">IF($E256="","",IFERROR(INDEX(Config!$D$15:$D$19,MATCH($I256,Config!$C$15:$C$19,0)),"OUT")&amp;IF($K256="✓","x",""))</f>
        <v/>
      </c>
      <c r="O256" s="114" t="str">
        <f aca="false">IF($E256="","",COUNTIF($E$5:$E256,$E256))</f>
        <v/>
      </c>
      <c r="P256" s="114" t="str">
        <f aca="false">IF($E256="","",$E256*100+$O256)</f>
        <v/>
      </c>
      <c r="Q256" s="114" t="str">
        <f aca="false">IF($L256="Atrasado",$E256*10000+$A256,"")</f>
        <v/>
      </c>
    </row>
    <row r="257" customFormat="false" ht="15" hidden="false" customHeight="false" outlineLevel="0" collapsed="false">
      <c r="A257" s="114" t="n">
        <f aca="false">ROW()-4</f>
        <v>253</v>
      </c>
      <c r="B257" s="114" t="str">
        <f aca="false">IF(A257&lt;=Config!$E$27*Config!$E$28,"Tema","Avulso")</f>
        <v>Tema</v>
      </c>
      <c r="C257" s="114" t="n">
        <f aca="false">IF(B257="Tema",INT((A257-1)/Config!$E$28)+1,A257-Config!$E$27*Config!$E$28)</f>
        <v>43</v>
      </c>
      <c r="D257" s="114" t="n">
        <f aca="false">IF(B257="Tema",MOD(A257-1,Config!$E$28)+1,"")</f>
        <v>1</v>
      </c>
      <c r="E257" s="115" t="str">
        <f aca="false">IF($B257="Tema",IF(ISNUMBER(INDEX(Temas!$E$6:$P$305,$C257,2*$D257-1)),INDEX(Temas!$E$6:$P$305,$C257,2*$D257-1),""),IF(ISNUMBER(INDEX(Avulsos!$B$6:$B$205,$C257)),INDEX(Avulsos!$B$6:$B$205,$C257),""))</f>
        <v/>
      </c>
      <c r="F257" s="114" t="str">
        <f aca="false">IF($E257="","",IF($B257="Tema",INDEX(Temas!$B$6:$B$305,$C257)&amp;"",INDEX(Avulsos!$C$6:$C$205,$C257)&amp;""))</f>
        <v/>
      </c>
      <c r="G257" s="114" t="str">
        <f aca="false">IF($E257="","",IF($B257="Tema",INDEX(Config!$C$6:$C$11,$D257),"Evento avulso"))</f>
        <v/>
      </c>
      <c r="H257" s="114" t="str">
        <f aca="false">IF($E257="","",IF($B257="Tema",INDEX(Config!$D$6:$D$11,$D257),IFERROR(INDEX(Config!$E$15:$E$19,MATCH($I257,Config!$C$15:$C$19,0)),"•")))</f>
        <v/>
      </c>
      <c r="I257" s="114" t="str">
        <f aca="false">IF($E257="","",IF($B257="Tema",INDEX(Config!$E$6:$E$11,$D257),IF(INDEX(Avulsos!$D$6:$D$205,$C257)&amp;""="","Outro",INDEX(Avulsos!$D$6:$D$205,$C257))))</f>
        <v/>
      </c>
      <c r="J257" s="114" t="str">
        <f aca="false">IF($E257="","",IF($B257="Tema",INDEX(Temas!$C$6:$C$305,$C257)&amp;"",INDEX(Avulsos!$E$6:$E$205,$C257)&amp;""))</f>
        <v/>
      </c>
      <c r="K257" s="114" t="str">
        <f aca="false">IF($E257="","",IF(IF($B257="Tema",INDEX(Temas!$E$6:$P$305,$C257,2*$D257),INDEX(Avulsos!$F$6:$F$205,$C257))&amp;""="","","✓"))</f>
        <v/>
      </c>
      <c r="L257" s="114" t="str">
        <f aca="true">IF($E257="","",IF($K257="✓","Concluído",IF($E257&lt;TODAY(),"Atrasado",IF($E257=TODAY(),"Hoje","Pendente"))))</f>
        <v/>
      </c>
      <c r="M257" s="114" t="str">
        <f aca="false">IF($E257="","",IF($K257="✓","✓ ","")&amp;IF(Config!$E$22="Sim",$H257&amp;" · ","")&amp;$F257)</f>
        <v/>
      </c>
      <c r="N257" s="114" t="str">
        <f aca="false">IF($E257="","",IFERROR(INDEX(Config!$D$15:$D$19,MATCH($I257,Config!$C$15:$C$19,0)),"OUT")&amp;IF($K257="✓","x",""))</f>
        <v/>
      </c>
      <c r="O257" s="114" t="str">
        <f aca="false">IF($E257="","",COUNTIF($E$5:$E257,$E257))</f>
        <v/>
      </c>
      <c r="P257" s="114" t="str">
        <f aca="false">IF($E257="","",$E257*100+$O257)</f>
        <v/>
      </c>
      <c r="Q257" s="114" t="str">
        <f aca="false">IF($L257="Atrasado",$E257*10000+$A257,"")</f>
        <v/>
      </c>
    </row>
    <row r="258" customFormat="false" ht="15" hidden="false" customHeight="false" outlineLevel="0" collapsed="false">
      <c r="A258" s="114" t="n">
        <f aca="false">ROW()-4</f>
        <v>254</v>
      </c>
      <c r="B258" s="114" t="str">
        <f aca="false">IF(A258&lt;=Config!$E$27*Config!$E$28,"Tema","Avulso")</f>
        <v>Tema</v>
      </c>
      <c r="C258" s="114" t="n">
        <f aca="false">IF(B258="Tema",INT((A258-1)/Config!$E$28)+1,A258-Config!$E$27*Config!$E$28)</f>
        <v>43</v>
      </c>
      <c r="D258" s="114" t="n">
        <f aca="false">IF(B258="Tema",MOD(A258-1,Config!$E$28)+1,"")</f>
        <v>2</v>
      </c>
      <c r="E258" s="115" t="str">
        <f aca="false">IF($B258="Tema",IF(ISNUMBER(INDEX(Temas!$E$6:$P$305,$C258,2*$D258-1)),INDEX(Temas!$E$6:$P$305,$C258,2*$D258-1),""),IF(ISNUMBER(INDEX(Avulsos!$B$6:$B$205,$C258)),INDEX(Avulsos!$B$6:$B$205,$C258),""))</f>
        <v/>
      </c>
      <c r="F258" s="114" t="str">
        <f aca="false">IF($E258="","",IF($B258="Tema",INDEX(Temas!$B$6:$B$305,$C258)&amp;"",INDEX(Avulsos!$C$6:$C$205,$C258)&amp;""))</f>
        <v/>
      </c>
      <c r="G258" s="114" t="str">
        <f aca="false">IF($E258="","",IF($B258="Tema",INDEX(Config!$C$6:$C$11,$D258),"Evento avulso"))</f>
        <v/>
      </c>
      <c r="H258" s="114" t="str">
        <f aca="false">IF($E258="","",IF($B258="Tema",INDEX(Config!$D$6:$D$11,$D258),IFERROR(INDEX(Config!$E$15:$E$19,MATCH($I258,Config!$C$15:$C$19,0)),"•")))</f>
        <v/>
      </c>
      <c r="I258" s="114" t="str">
        <f aca="false">IF($E258="","",IF($B258="Tema",INDEX(Config!$E$6:$E$11,$D258),IF(INDEX(Avulsos!$D$6:$D$205,$C258)&amp;""="","Outro",INDEX(Avulsos!$D$6:$D$205,$C258))))</f>
        <v/>
      </c>
      <c r="J258" s="114" t="str">
        <f aca="false">IF($E258="","",IF($B258="Tema",INDEX(Temas!$C$6:$C$305,$C258)&amp;"",INDEX(Avulsos!$E$6:$E$205,$C258)&amp;""))</f>
        <v/>
      </c>
      <c r="K258" s="114" t="str">
        <f aca="false">IF($E258="","",IF(IF($B258="Tema",INDEX(Temas!$E$6:$P$305,$C258,2*$D258),INDEX(Avulsos!$F$6:$F$205,$C258))&amp;""="","","✓"))</f>
        <v/>
      </c>
      <c r="L258" s="114" t="str">
        <f aca="true">IF($E258="","",IF($K258="✓","Concluído",IF($E258&lt;TODAY(),"Atrasado",IF($E258=TODAY(),"Hoje","Pendente"))))</f>
        <v/>
      </c>
      <c r="M258" s="114" t="str">
        <f aca="false">IF($E258="","",IF($K258="✓","✓ ","")&amp;IF(Config!$E$22="Sim",$H258&amp;" · ","")&amp;$F258)</f>
        <v/>
      </c>
      <c r="N258" s="114" t="str">
        <f aca="false">IF($E258="","",IFERROR(INDEX(Config!$D$15:$D$19,MATCH($I258,Config!$C$15:$C$19,0)),"OUT")&amp;IF($K258="✓","x",""))</f>
        <v/>
      </c>
      <c r="O258" s="114" t="str">
        <f aca="false">IF($E258="","",COUNTIF($E$5:$E258,$E258))</f>
        <v/>
      </c>
      <c r="P258" s="114" t="str">
        <f aca="false">IF($E258="","",$E258*100+$O258)</f>
        <v/>
      </c>
      <c r="Q258" s="114" t="str">
        <f aca="false">IF($L258="Atrasado",$E258*10000+$A258,"")</f>
        <v/>
      </c>
    </row>
    <row r="259" customFormat="false" ht="15" hidden="false" customHeight="false" outlineLevel="0" collapsed="false">
      <c r="A259" s="114" t="n">
        <f aca="false">ROW()-4</f>
        <v>255</v>
      </c>
      <c r="B259" s="114" t="str">
        <f aca="false">IF(A259&lt;=Config!$E$27*Config!$E$28,"Tema","Avulso")</f>
        <v>Tema</v>
      </c>
      <c r="C259" s="114" t="n">
        <f aca="false">IF(B259="Tema",INT((A259-1)/Config!$E$28)+1,A259-Config!$E$27*Config!$E$28)</f>
        <v>43</v>
      </c>
      <c r="D259" s="114" t="n">
        <f aca="false">IF(B259="Tema",MOD(A259-1,Config!$E$28)+1,"")</f>
        <v>3</v>
      </c>
      <c r="E259" s="115" t="str">
        <f aca="false">IF($B259="Tema",IF(ISNUMBER(INDEX(Temas!$E$6:$P$305,$C259,2*$D259-1)),INDEX(Temas!$E$6:$P$305,$C259,2*$D259-1),""),IF(ISNUMBER(INDEX(Avulsos!$B$6:$B$205,$C259)),INDEX(Avulsos!$B$6:$B$205,$C259),""))</f>
        <v/>
      </c>
      <c r="F259" s="114" t="str">
        <f aca="false">IF($E259="","",IF($B259="Tema",INDEX(Temas!$B$6:$B$305,$C259)&amp;"",INDEX(Avulsos!$C$6:$C$205,$C259)&amp;""))</f>
        <v/>
      </c>
      <c r="G259" s="114" t="str">
        <f aca="false">IF($E259="","",IF($B259="Tema",INDEX(Config!$C$6:$C$11,$D259),"Evento avulso"))</f>
        <v/>
      </c>
      <c r="H259" s="114" t="str">
        <f aca="false">IF($E259="","",IF($B259="Tema",INDEX(Config!$D$6:$D$11,$D259),IFERROR(INDEX(Config!$E$15:$E$19,MATCH($I259,Config!$C$15:$C$19,0)),"•")))</f>
        <v/>
      </c>
      <c r="I259" s="114" t="str">
        <f aca="false">IF($E259="","",IF($B259="Tema",INDEX(Config!$E$6:$E$11,$D259),IF(INDEX(Avulsos!$D$6:$D$205,$C259)&amp;""="","Outro",INDEX(Avulsos!$D$6:$D$205,$C259))))</f>
        <v/>
      </c>
      <c r="J259" s="114" t="str">
        <f aca="false">IF($E259="","",IF($B259="Tema",INDEX(Temas!$C$6:$C$305,$C259)&amp;"",INDEX(Avulsos!$E$6:$E$205,$C259)&amp;""))</f>
        <v/>
      </c>
      <c r="K259" s="114" t="str">
        <f aca="false">IF($E259="","",IF(IF($B259="Tema",INDEX(Temas!$E$6:$P$305,$C259,2*$D259),INDEX(Avulsos!$F$6:$F$205,$C259))&amp;""="","","✓"))</f>
        <v/>
      </c>
      <c r="L259" s="114" t="str">
        <f aca="true">IF($E259="","",IF($K259="✓","Concluído",IF($E259&lt;TODAY(),"Atrasado",IF($E259=TODAY(),"Hoje","Pendente"))))</f>
        <v/>
      </c>
      <c r="M259" s="114" t="str">
        <f aca="false">IF($E259="","",IF($K259="✓","✓ ","")&amp;IF(Config!$E$22="Sim",$H259&amp;" · ","")&amp;$F259)</f>
        <v/>
      </c>
      <c r="N259" s="114" t="str">
        <f aca="false">IF($E259="","",IFERROR(INDEX(Config!$D$15:$D$19,MATCH($I259,Config!$C$15:$C$19,0)),"OUT")&amp;IF($K259="✓","x",""))</f>
        <v/>
      </c>
      <c r="O259" s="114" t="str">
        <f aca="false">IF($E259="","",COUNTIF($E$5:$E259,$E259))</f>
        <v/>
      </c>
      <c r="P259" s="114" t="str">
        <f aca="false">IF($E259="","",$E259*100+$O259)</f>
        <v/>
      </c>
      <c r="Q259" s="114" t="str">
        <f aca="false">IF($L259="Atrasado",$E259*10000+$A259,"")</f>
        <v/>
      </c>
    </row>
    <row r="260" customFormat="false" ht="15" hidden="false" customHeight="false" outlineLevel="0" collapsed="false">
      <c r="A260" s="114" t="n">
        <f aca="false">ROW()-4</f>
        <v>256</v>
      </c>
      <c r="B260" s="114" t="str">
        <f aca="false">IF(A260&lt;=Config!$E$27*Config!$E$28,"Tema","Avulso")</f>
        <v>Tema</v>
      </c>
      <c r="C260" s="114" t="n">
        <f aca="false">IF(B260="Tema",INT((A260-1)/Config!$E$28)+1,A260-Config!$E$27*Config!$E$28)</f>
        <v>43</v>
      </c>
      <c r="D260" s="114" t="n">
        <f aca="false">IF(B260="Tema",MOD(A260-1,Config!$E$28)+1,"")</f>
        <v>4</v>
      </c>
      <c r="E260" s="115" t="str">
        <f aca="false">IF($B260="Tema",IF(ISNUMBER(INDEX(Temas!$E$6:$P$305,$C260,2*$D260-1)),INDEX(Temas!$E$6:$P$305,$C260,2*$D260-1),""),IF(ISNUMBER(INDEX(Avulsos!$B$6:$B$205,$C260)),INDEX(Avulsos!$B$6:$B$205,$C260),""))</f>
        <v/>
      </c>
      <c r="F260" s="114" t="str">
        <f aca="false">IF($E260="","",IF($B260="Tema",INDEX(Temas!$B$6:$B$305,$C260)&amp;"",INDEX(Avulsos!$C$6:$C$205,$C260)&amp;""))</f>
        <v/>
      </c>
      <c r="G260" s="114" t="str">
        <f aca="false">IF($E260="","",IF($B260="Tema",INDEX(Config!$C$6:$C$11,$D260),"Evento avulso"))</f>
        <v/>
      </c>
      <c r="H260" s="114" t="str">
        <f aca="false">IF($E260="","",IF($B260="Tema",INDEX(Config!$D$6:$D$11,$D260),IFERROR(INDEX(Config!$E$15:$E$19,MATCH($I260,Config!$C$15:$C$19,0)),"•")))</f>
        <v/>
      </c>
      <c r="I260" s="114" t="str">
        <f aca="false">IF($E260="","",IF($B260="Tema",INDEX(Config!$E$6:$E$11,$D260),IF(INDEX(Avulsos!$D$6:$D$205,$C260)&amp;""="","Outro",INDEX(Avulsos!$D$6:$D$205,$C260))))</f>
        <v/>
      </c>
      <c r="J260" s="114" t="str">
        <f aca="false">IF($E260="","",IF($B260="Tema",INDEX(Temas!$C$6:$C$305,$C260)&amp;"",INDEX(Avulsos!$E$6:$E$205,$C260)&amp;""))</f>
        <v/>
      </c>
      <c r="K260" s="114" t="str">
        <f aca="false">IF($E260="","",IF(IF($B260="Tema",INDEX(Temas!$E$6:$P$305,$C260,2*$D260),INDEX(Avulsos!$F$6:$F$205,$C260))&amp;""="","","✓"))</f>
        <v/>
      </c>
      <c r="L260" s="114" t="str">
        <f aca="true">IF($E260="","",IF($K260="✓","Concluído",IF($E260&lt;TODAY(),"Atrasado",IF($E260=TODAY(),"Hoje","Pendente"))))</f>
        <v/>
      </c>
      <c r="M260" s="114" t="str">
        <f aca="false">IF($E260="","",IF($K260="✓","✓ ","")&amp;IF(Config!$E$22="Sim",$H260&amp;" · ","")&amp;$F260)</f>
        <v/>
      </c>
      <c r="N260" s="114" t="str">
        <f aca="false">IF($E260="","",IFERROR(INDEX(Config!$D$15:$D$19,MATCH($I260,Config!$C$15:$C$19,0)),"OUT")&amp;IF($K260="✓","x",""))</f>
        <v/>
      </c>
      <c r="O260" s="114" t="str">
        <f aca="false">IF($E260="","",COUNTIF($E$5:$E260,$E260))</f>
        <v/>
      </c>
      <c r="P260" s="114" t="str">
        <f aca="false">IF($E260="","",$E260*100+$O260)</f>
        <v/>
      </c>
      <c r="Q260" s="114" t="str">
        <f aca="false">IF($L260="Atrasado",$E260*10000+$A260,"")</f>
        <v/>
      </c>
    </row>
    <row r="261" customFormat="false" ht="15" hidden="false" customHeight="false" outlineLevel="0" collapsed="false">
      <c r="A261" s="114" t="n">
        <f aca="false">ROW()-4</f>
        <v>257</v>
      </c>
      <c r="B261" s="114" t="str">
        <f aca="false">IF(A261&lt;=Config!$E$27*Config!$E$28,"Tema","Avulso")</f>
        <v>Tema</v>
      </c>
      <c r="C261" s="114" t="n">
        <f aca="false">IF(B261="Tema",INT((A261-1)/Config!$E$28)+1,A261-Config!$E$27*Config!$E$28)</f>
        <v>43</v>
      </c>
      <c r="D261" s="114" t="n">
        <f aca="false">IF(B261="Tema",MOD(A261-1,Config!$E$28)+1,"")</f>
        <v>5</v>
      </c>
      <c r="E261" s="115" t="str">
        <f aca="false">IF($B261="Tema",IF(ISNUMBER(INDEX(Temas!$E$6:$P$305,$C261,2*$D261-1)),INDEX(Temas!$E$6:$P$305,$C261,2*$D261-1),""),IF(ISNUMBER(INDEX(Avulsos!$B$6:$B$205,$C261)),INDEX(Avulsos!$B$6:$B$205,$C261),""))</f>
        <v/>
      </c>
      <c r="F261" s="114" t="str">
        <f aca="false">IF($E261="","",IF($B261="Tema",INDEX(Temas!$B$6:$B$305,$C261)&amp;"",INDEX(Avulsos!$C$6:$C$205,$C261)&amp;""))</f>
        <v/>
      </c>
      <c r="G261" s="114" t="str">
        <f aca="false">IF($E261="","",IF($B261="Tema",INDEX(Config!$C$6:$C$11,$D261),"Evento avulso"))</f>
        <v/>
      </c>
      <c r="H261" s="114" t="str">
        <f aca="false">IF($E261="","",IF($B261="Tema",INDEX(Config!$D$6:$D$11,$D261),IFERROR(INDEX(Config!$E$15:$E$19,MATCH($I261,Config!$C$15:$C$19,0)),"•")))</f>
        <v/>
      </c>
      <c r="I261" s="114" t="str">
        <f aca="false">IF($E261="","",IF($B261="Tema",INDEX(Config!$E$6:$E$11,$D261),IF(INDEX(Avulsos!$D$6:$D$205,$C261)&amp;""="","Outro",INDEX(Avulsos!$D$6:$D$205,$C261))))</f>
        <v/>
      </c>
      <c r="J261" s="114" t="str">
        <f aca="false">IF($E261="","",IF($B261="Tema",INDEX(Temas!$C$6:$C$305,$C261)&amp;"",INDEX(Avulsos!$E$6:$E$205,$C261)&amp;""))</f>
        <v/>
      </c>
      <c r="K261" s="114" t="str">
        <f aca="false">IF($E261="","",IF(IF($B261="Tema",INDEX(Temas!$E$6:$P$305,$C261,2*$D261),INDEX(Avulsos!$F$6:$F$205,$C261))&amp;""="","","✓"))</f>
        <v/>
      </c>
      <c r="L261" s="114" t="str">
        <f aca="true">IF($E261="","",IF($K261="✓","Concluído",IF($E261&lt;TODAY(),"Atrasado",IF($E261=TODAY(),"Hoje","Pendente"))))</f>
        <v/>
      </c>
      <c r="M261" s="114" t="str">
        <f aca="false">IF($E261="","",IF($K261="✓","✓ ","")&amp;IF(Config!$E$22="Sim",$H261&amp;" · ","")&amp;$F261)</f>
        <v/>
      </c>
      <c r="N261" s="114" t="str">
        <f aca="false">IF($E261="","",IFERROR(INDEX(Config!$D$15:$D$19,MATCH($I261,Config!$C$15:$C$19,0)),"OUT")&amp;IF($K261="✓","x",""))</f>
        <v/>
      </c>
      <c r="O261" s="114" t="str">
        <f aca="false">IF($E261="","",COUNTIF($E$5:$E261,$E261))</f>
        <v/>
      </c>
      <c r="P261" s="114" t="str">
        <f aca="false">IF($E261="","",$E261*100+$O261)</f>
        <v/>
      </c>
      <c r="Q261" s="114" t="str">
        <f aca="false">IF($L261="Atrasado",$E261*10000+$A261,"")</f>
        <v/>
      </c>
    </row>
    <row r="262" customFormat="false" ht="15" hidden="false" customHeight="false" outlineLevel="0" collapsed="false">
      <c r="A262" s="114" t="n">
        <f aca="false">ROW()-4</f>
        <v>258</v>
      </c>
      <c r="B262" s="114" t="str">
        <f aca="false">IF(A262&lt;=Config!$E$27*Config!$E$28,"Tema","Avulso")</f>
        <v>Tema</v>
      </c>
      <c r="C262" s="114" t="n">
        <f aca="false">IF(B262="Tema",INT((A262-1)/Config!$E$28)+1,A262-Config!$E$27*Config!$E$28)</f>
        <v>43</v>
      </c>
      <c r="D262" s="114" t="n">
        <f aca="false">IF(B262="Tema",MOD(A262-1,Config!$E$28)+1,"")</f>
        <v>6</v>
      </c>
      <c r="E262" s="115" t="str">
        <f aca="false">IF($B262="Tema",IF(ISNUMBER(INDEX(Temas!$E$6:$P$305,$C262,2*$D262-1)),INDEX(Temas!$E$6:$P$305,$C262,2*$D262-1),""),IF(ISNUMBER(INDEX(Avulsos!$B$6:$B$205,$C262)),INDEX(Avulsos!$B$6:$B$205,$C262),""))</f>
        <v/>
      </c>
      <c r="F262" s="114" t="str">
        <f aca="false">IF($E262="","",IF($B262="Tema",INDEX(Temas!$B$6:$B$305,$C262)&amp;"",INDEX(Avulsos!$C$6:$C$205,$C262)&amp;""))</f>
        <v/>
      </c>
      <c r="G262" s="114" t="str">
        <f aca="false">IF($E262="","",IF($B262="Tema",INDEX(Config!$C$6:$C$11,$D262),"Evento avulso"))</f>
        <v/>
      </c>
      <c r="H262" s="114" t="str">
        <f aca="false">IF($E262="","",IF($B262="Tema",INDEX(Config!$D$6:$D$11,$D262),IFERROR(INDEX(Config!$E$15:$E$19,MATCH($I262,Config!$C$15:$C$19,0)),"•")))</f>
        <v/>
      </c>
      <c r="I262" s="114" t="str">
        <f aca="false">IF($E262="","",IF($B262="Tema",INDEX(Config!$E$6:$E$11,$D262),IF(INDEX(Avulsos!$D$6:$D$205,$C262)&amp;""="","Outro",INDEX(Avulsos!$D$6:$D$205,$C262))))</f>
        <v/>
      </c>
      <c r="J262" s="114" t="str">
        <f aca="false">IF($E262="","",IF($B262="Tema",INDEX(Temas!$C$6:$C$305,$C262)&amp;"",INDEX(Avulsos!$E$6:$E$205,$C262)&amp;""))</f>
        <v/>
      </c>
      <c r="K262" s="114" t="str">
        <f aca="false">IF($E262="","",IF(IF($B262="Tema",INDEX(Temas!$E$6:$P$305,$C262,2*$D262),INDEX(Avulsos!$F$6:$F$205,$C262))&amp;""="","","✓"))</f>
        <v/>
      </c>
      <c r="L262" s="114" t="str">
        <f aca="true">IF($E262="","",IF($K262="✓","Concluído",IF($E262&lt;TODAY(),"Atrasado",IF($E262=TODAY(),"Hoje","Pendente"))))</f>
        <v/>
      </c>
      <c r="M262" s="114" t="str">
        <f aca="false">IF($E262="","",IF($K262="✓","✓ ","")&amp;IF(Config!$E$22="Sim",$H262&amp;" · ","")&amp;$F262)</f>
        <v/>
      </c>
      <c r="N262" s="114" t="str">
        <f aca="false">IF($E262="","",IFERROR(INDEX(Config!$D$15:$D$19,MATCH($I262,Config!$C$15:$C$19,0)),"OUT")&amp;IF($K262="✓","x",""))</f>
        <v/>
      </c>
      <c r="O262" s="114" t="str">
        <f aca="false">IF($E262="","",COUNTIF($E$5:$E262,$E262))</f>
        <v/>
      </c>
      <c r="P262" s="114" t="str">
        <f aca="false">IF($E262="","",$E262*100+$O262)</f>
        <v/>
      </c>
      <c r="Q262" s="114" t="str">
        <f aca="false">IF($L262="Atrasado",$E262*10000+$A262,"")</f>
        <v/>
      </c>
    </row>
    <row r="263" customFormat="false" ht="15" hidden="false" customHeight="false" outlineLevel="0" collapsed="false">
      <c r="A263" s="114" t="n">
        <f aca="false">ROW()-4</f>
        <v>259</v>
      </c>
      <c r="B263" s="114" t="str">
        <f aca="false">IF(A263&lt;=Config!$E$27*Config!$E$28,"Tema","Avulso")</f>
        <v>Tema</v>
      </c>
      <c r="C263" s="114" t="n">
        <f aca="false">IF(B263="Tema",INT((A263-1)/Config!$E$28)+1,A263-Config!$E$27*Config!$E$28)</f>
        <v>44</v>
      </c>
      <c r="D263" s="114" t="n">
        <f aca="false">IF(B263="Tema",MOD(A263-1,Config!$E$28)+1,"")</f>
        <v>1</v>
      </c>
      <c r="E263" s="115" t="str">
        <f aca="false">IF($B263="Tema",IF(ISNUMBER(INDEX(Temas!$E$6:$P$305,$C263,2*$D263-1)),INDEX(Temas!$E$6:$P$305,$C263,2*$D263-1),""),IF(ISNUMBER(INDEX(Avulsos!$B$6:$B$205,$C263)),INDEX(Avulsos!$B$6:$B$205,$C263),""))</f>
        <v/>
      </c>
      <c r="F263" s="114" t="str">
        <f aca="false">IF($E263="","",IF($B263="Tema",INDEX(Temas!$B$6:$B$305,$C263)&amp;"",INDEX(Avulsos!$C$6:$C$205,$C263)&amp;""))</f>
        <v/>
      </c>
      <c r="G263" s="114" t="str">
        <f aca="false">IF($E263="","",IF($B263="Tema",INDEX(Config!$C$6:$C$11,$D263),"Evento avulso"))</f>
        <v/>
      </c>
      <c r="H263" s="114" t="str">
        <f aca="false">IF($E263="","",IF($B263="Tema",INDEX(Config!$D$6:$D$11,$D263),IFERROR(INDEX(Config!$E$15:$E$19,MATCH($I263,Config!$C$15:$C$19,0)),"•")))</f>
        <v/>
      </c>
      <c r="I263" s="114" t="str">
        <f aca="false">IF($E263="","",IF($B263="Tema",INDEX(Config!$E$6:$E$11,$D263),IF(INDEX(Avulsos!$D$6:$D$205,$C263)&amp;""="","Outro",INDEX(Avulsos!$D$6:$D$205,$C263))))</f>
        <v/>
      </c>
      <c r="J263" s="114" t="str">
        <f aca="false">IF($E263="","",IF($B263="Tema",INDEX(Temas!$C$6:$C$305,$C263)&amp;"",INDEX(Avulsos!$E$6:$E$205,$C263)&amp;""))</f>
        <v/>
      </c>
      <c r="K263" s="114" t="str">
        <f aca="false">IF($E263="","",IF(IF($B263="Tema",INDEX(Temas!$E$6:$P$305,$C263,2*$D263),INDEX(Avulsos!$F$6:$F$205,$C263))&amp;""="","","✓"))</f>
        <v/>
      </c>
      <c r="L263" s="114" t="str">
        <f aca="true">IF($E263="","",IF($K263="✓","Concluído",IF($E263&lt;TODAY(),"Atrasado",IF($E263=TODAY(),"Hoje","Pendente"))))</f>
        <v/>
      </c>
      <c r="M263" s="114" t="str">
        <f aca="false">IF($E263="","",IF($K263="✓","✓ ","")&amp;IF(Config!$E$22="Sim",$H263&amp;" · ","")&amp;$F263)</f>
        <v/>
      </c>
      <c r="N263" s="114" t="str">
        <f aca="false">IF($E263="","",IFERROR(INDEX(Config!$D$15:$D$19,MATCH($I263,Config!$C$15:$C$19,0)),"OUT")&amp;IF($K263="✓","x",""))</f>
        <v/>
      </c>
      <c r="O263" s="114" t="str">
        <f aca="false">IF($E263="","",COUNTIF($E$5:$E263,$E263))</f>
        <v/>
      </c>
      <c r="P263" s="114" t="str">
        <f aca="false">IF($E263="","",$E263*100+$O263)</f>
        <v/>
      </c>
      <c r="Q263" s="114" t="str">
        <f aca="false">IF($L263="Atrasado",$E263*10000+$A263,"")</f>
        <v/>
      </c>
    </row>
    <row r="264" customFormat="false" ht="15" hidden="false" customHeight="false" outlineLevel="0" collapsed="false">
      <c r="A264" s="114" t="n">
        <f aca="false">ROW()-4</f>
        <v>260</v>
      </c>
      <c r="B264" s="114" t="str">
        <f aca="false">IF(A264&lt;=Config!$E$27*Config!$E$28,"Tema","Avulso")</f>
        <v>Tema</v>
      </c>
      <c r="C264" s="114" t="n">
        <f aca="false">IF(B264="Tema",INT((A264-1)/Config!$E$28)+1,A264-Config!$E$27*Config!$E$28)</f>
        <v>44</v>
      </c>
      <c r="D264" s="114" t="n">
        <f aca="false">IF(B264="Tema",MOD(A264-1,Config!$E$28)+1,"")</f>
        <v>2</v>
      </c>
      <c r="E264" s="115" t="str">
        <f aca="false">IF($B264="Tema",IF(ISNUMBER(INDEX(Temas!$E$6:$P$305,$C264,2*$D264-1)),INDEX(Temas!$E$6:$P$305,$C264,2*$D264-1),""),IF(ISNUMBER(INDEX(Avulsos!$B$6:$B$205,$C264)),INDEX(Avulsos!$B$6:$B$205,$C264),""))</f>
        <v/>
      </c>
      <c r="F264" s="114" t="str">
        <f aca="false">IF($E264="","",IF($B264="Tema",INDEX(Temas!$B$6:$B$305,$C264)&amp;"",INDEX(Avulsos!$C$6:$C$205,$C264)&amp;""))</f>
        <v/>
      </c>
      <c r="G264" s="114" t="str">
        <f aca="false">IF($E264="","",IF($B264="Tema",INDEX(Config!$C$6:$C$11,$D264),"Evento avulso"))</f>
        <v/>
      </c>
      <c r="H264" s="114" t="str">
        <f aca="false">IF($E264="","",IF($B264="Tema",INDEX(Config!$D$6:$D$11,$D264),IFERROR(INDEX(Config!$E$15:$E$19,MATCH($I264,Config!$C$15:$C$19,0)),"•")))</f>
        <v/>
      </c>
      <c r="I264" s="114" t="str">
        <f aca="false">IF($E264="","",IF($B264="Tema",INDEX(Config!$E$6:$E$11,$D264),IF(INDEX(Avulsos!$D$6:$D$205,$C264)&amp;""="","Outro",INDEX(Avulsos!$D$6:$D$205,$C264))))</f>
        <v/>
      </c>
      <c r="J264" s="114" t="str">
        <f aca="false">IF($E264="","",IF($B264="Tema",INDEX(Temas!$C$6:$C$305,$C264)&amp;"",INDEX(Avulsos!$E$6:$E$205,$C264)&amp;""))</f>
        <v/>
      </c>
      <c r="K264" s="114" t="str">
        <f aca="false">IF($E264="","",IF(IF($B264="Tema",INDEX(Temas!$E$6:$P$305,$C264,2*$D264),INDEX(Avulsos!$F$6:$F$205,$C264))&amp;""="","","✓"))</f>
        <v/>
      </c>
      <c r="L264" s="114" t="str">
        <f aca="true">IF($E264="","",IF($K264="✓","Concluído",IF($E264&lt;TODAY(),"Atrasado",IF($E264=TODAY(),"Hoje","Pendente"))))</f>
        <v/>
      </c>
      <c r="M264" s="114" t="str">
        <f aca="false">IF($E264="","",IF($K264="✓","✓ ","")&amp;IF(Config!$E$22="Sim",$H264&amp;" · ","")&amp;$F264)</f>
        <v/>
      </c>
      <c r="N264" s="114" t="str">
        <f aca="false">IF($E264="","",IFERROR(INDEX(Config!$D$15:$D$19,MATCH($I264,Config!$C$15:$C$19,0)),"OUT")&amp;IF($K264="✓","x",""))</f>
        <v/>
      </c>
      <c r="O264" s="114" t="str">
        <f aca="false">IF($E264="","",COUNTIF($E$5:$E264,$E264))</f>
        <v/>
      </c>
      <c r="P264" s="114" t="str">
        <f aca="false">IF($E264="","",$E264*100+$O264)</f>
        <v/>
      </c>
      <c r="Q264" s="114" t="str">
        <f aca="false">IF($L264="Atrasado",$E264*10000+$A264,"")</f>
        <v/>
      </c>
    </row>
    <row r="265" customFormat="false" ht="15" hidden="false" customHeight="false" outlineLevel="0" collapsed="false">
      <c r="A265" s="114" t="n">
        <f aca="false">ROW()-4</f>
        <v>261</v>
      </c>
      <c r="B265" s="114" t="str">
        <f aca="false">IF(A265&lt;=Config!$E$27*Config!$E$28,"Tema","Avulso")</f>
        <v>Tema</v>
      </c>
      <c r="C265" s="114" t="n">
        <f aca="false">IF(B265="Tema",INT((A265-1)/Config!$E$28)+1,A265-Config!$E$27*Config!$E$28)</f>
        <v>44</v>
      </c>
      <c r="D265" s="114" t="n">
        <f aca="false">IF(B265="Tema",MOD(A265-1,Config!$E$28)+1,"")</f>
        <v>3</v>
      </c>
      <c r="E265" s="115" t="str">
        <f aca="false">IF($B265="Tema",IF(ISNUMBER(INDEX(Temas!$E$6:$P$305,$C265,2*$D265-1)),INDEX(Temas!$E$6:$P$305,$C265,2*$D265-1),""),IF(ISNUMBER(INDEX(Avulsos!$B$6:$B$205,$C265)),INDEX(Avulsos!$B$6:$B$205,$C265),""))</f>
        <v/>
      </c>
      <c r="F265" s="114" t="str">
        <f aca="false">IF($E265="","",IF($B265="Tema",INDEX(Temas!$B$6:$B$305,$C265)&amp;"",INDEX(Avulsos!$C$6:$C$205,$C265)&amp;""))</f>
        <v/>
      </c>
      <c r="G265" s="114" t="str">
        <f aca="false">IF($E265="","",IF($B265="Tema",INDEX(Config!$C$6:$C$11,$D265),"Evento avulso"))</f>
        <v/>
      </c>
      <c r="H265" s="114" t="str">
        <f aca="false">IF($E265="","",IF($B265="Tema",INDEX(Config!$D$6:$D$11,$D265),IFERROR(INDEX(Config!$E$15:$E$19,MATCH($I265,Config!$C$15:$C$19,0)),"•")))</f>
        <v/>
      </c>
      <c r="I265" s="114" t="str">
        <f aca="false">IF($E265="","",IF($B265="Tema",INDEX(Config!$E$6:$E$11,$D265),IF(INDEX(Avulsos!$D$6:$D$205,$C265)&amp;""="","Outro",INDEX(Avulsos!$D$6:$D$205,$C265))))</f>
        <v/>
      </c>
      <c r="J265" s="114" t="str">
        <f aca="false">IF($E265="","",IF($B265="Tema",INDEX(Temas!$C$6:$C$305,$C265)&amp;"",INDEX(Avulsos!$E$6:$E$205,$C265)&amp;""))</f>
        <v/>
      </c>
      <c r="K265" s="114" t="str">
        <f aca="false">IF($E265="","",IF(IF($B265="Tema",INDEX(Temas!$E$6:$P$305,$C265,2*$D265),INDEX(Avulsos!$F$6:$F$205,$C265))&amp;""="","","✓"))</f>
        <v/>
      </c>
      <c r="L265" s="114" t="str">
        <f aca="true">IF($E265="","",IF($K265="✓","Concluído",IF($E265&lt;TODAY(),"Atrasado",IF($E265=TODAY(),"Hoje","Pendente"))))</f>
        <v/>
      </c>
      <c r="M265" s="114" t="str">
        <f aca="false">IF($E265="","",IF($K265="✓","✓ ","")&amp;IF(Config!$E$22="Sim",$H265&amp;" · ","")&amp;$F265)</f>
        <v/>
      </c>
      <c r="N265" s="114" t="str">
        <f aca="false">IF($E265="","",IFERROR(INDEX(Config!$D$15:$D$19,MATCH($I265,Config!$C$15:$C$19,0)),"OUT")&amp;IF($K265="✓","x",""))</f>
        <v/>
      </c>
      <c r="O265" s="114" t="str">
        <f aca="false">IF($E265="","",COUNTIF($E$5:$E265,$E265))</f>
        <v/>
      </c>
      <c r="P265" s="114" t="str">
        <f aca="false">IF($E265="","",$E265*100+$O265)</f>
        <v/>
      </c>
      <c r="Q265" s="114" t="str">
        <f aca="false">IF($L265="Atrasado",$E265*10000+$A265,"")</f>
        <v/>
      </c>
    </row>
    <row r="266" customFormat="false" ht="15" hidden="false" customHeight="false" outlineLevel="0" collapsed="false">
      <c r="A266" s="114" t="n">
        <f aca="false">ROW()-4</f>
        <v>262</v>
      </c>
      <c r="B266" s="114" t="str">
        <f aca="false">IF(A266&lt;=Config!$E$27*Config!$E$28,"Tema","Avulso")</f>
        <v>Tema</v>
      </c>
      <c r="C266" s="114" t="n">
        <f aca="false">IF(B266="Tema",INT((A266-1)/Config!$E$28)+1,A266-Config!$E$27*Config!$E$28)</f>
        <v>44</v>
      </c>
      <c r="D266" s="114" t="n">
        <f aca="false">IF(B266="Tema",MOD(A266-1,Config!$E$28)+1,"")</f>
        <v>4</v>
      </c>
      <c r="E266" s="115" t="str">
        <f aca="false">IF($B266="Tema",IF(ISNUMBER(INDEX(Temas!$E$6:$P$305,$C266,2*$D266-1)),INDEX(Temas!$E$6:$P$305,$C266,2*$D266-1),""),IF(ISNUMBER(INDEX(Avulsos!$B$6:$B$205,$C266)),INDEX(Avulsos!$B$6:$B$205,$C266),""))</f>
        <v/>
      </c>
      <c r="F266" s="114" t="str">
        <f aca="false">IF($E266="","",IF($B266="Tema",INDEX(Temas!$B$6:$B$305,$C266)&amp;"",INDEX(Avulsos!$C$6:$C$205,$C266)&amp;""))</f>
        <v/>
      </c>
      <c r="G266" s="114" t="str">
        <f aca="false">IF($E266="","",IF($B266="Tema",INDEX(Config!$C$6:$C$11,$D266),"Evento avulso"))</f>
        <v/>
      </c>
      <c r="H266" s="114" t="str">
        <f aca="false">IF($E266="","",IF($B266="Tema",INDEX(Config!$D$6:$D$11,$D266),IFERROR(INDEX(Config!$E$15:$E$19,MATCH($I266,Config!$C$15:$C$19,0)),"•")))</f>
        <v/>
      </c>
      <c r="I266" s="114" t="str">
        <f aca="false">IF($E266="","",IF($B266="Tema",INDEX(Config!$E$6:$E$11,$D266),IF(INDEX(Avulsos!$D$6:$D$205,$C266)&amp;""="","Outro",INDEX(Avulsos!$D$6:$D$205,$C266))))</f>
        <v/>
      </c>
      <c r="J266" s="114" t="str">
        <f aca="false">IF($E266="","",IF($B266="Tema",INDEX(Temas!$C$6:$C$305,$C266)&amp;"",INDEX(Avulsos!$E$6:$E$205,$C266)&amp;""))</f>
        <v/>
      </c>
      <c r="K266" s="114" t="str">
        <f aca="false">IF($E266="","",IF(IF($B266="Tema",INDEX(Temas!$E$6:$P$305,$C266,2*$D266),INDEX(Avulsos!$F$6:$F$205,$C266))&amp;""="","","✓"))</f>
        <v/>
      </c>
      <c r="L266" s="114" t="str">
        <f aca="true">IF($E266="","",IF($K266="✓","Concluído",IF($E266&lt;TODAY(),"Atrasado",IF($E266=TODAY(),"Hoje","Pendente"))))</f>
        <v/>
      </c>
      <c r="M266" s="114" t="str">
        <f aca="false">IF($E266="","",IF($K266="✓","✓ ","")&amp;IF(Config!$E$22="Sim",$H266&amp;" · ","")&amp;$F266)</f>
        <v/>
      </c>
      <c r="N266" s="114" t="str">
        <f aca="false">IF($E266="","",IFERROR(INDEX(Config!$D$15:$D$19,MATCH($I266,Config!$C$15:$C$19,0)),"OUT")&amp;IF($K266="✓","x",""))</f>
        <v/>
      </c>
      <c r="O266" s="114" t="str">
        <f aca="false">IF($E266="","",COUNTIF($E$5:$E266,$E266))</f>
        <v/>
      </c>
      <c r="P266" s="114" t="str">
        <f aca="false">IF($E266="","",$E266*100+$O266)</f>
        <v/>
      </c>
      <c r="Q266" s="114" t="str">
        <f aca="false">IF($L266="Atrasado",$E266*10000+$A266,"")</f>
        <v/>
      </c>
    </row>
    <row r="267" customFormat="false" ht="15" hidden="false" customHeight="false" outlineLevel="0" collapsed="false">
      <c r="A267" s="114" t="n">
        <f aca="false">ROW()-4</f>
        <v>263</v>
      </c>
      <c r="B267" s="114" t="str">
        <f aca="false">IF(A267&lt;=Config!$E$27*Config!$E$28,"Tema","Avulso")</f>
        <v>Tema</v>
      </c>
      <c r="C267" s="114" t="n">
        <f aca="false">IF(B267="Tema",INT((A267-1)/Config!$E$28)+1,A267-Config!$E$27*Config!$E$28)</f>
        <v>44</v>
      </c>
      <c r="D267" s="114" t="n">
        <f aca="false">IF(B267="Tema",MOD(A267-1,Config!$E$28)+1,"")</f>
        <v>5</v>
      </c>
      <c r="E267" s="115" t="str">
        <f aca="false">IF($B267="Tema",IF(ISNUMBER(INDEX(Temas!$E$6:$P$305,$C267,2*$D267-1)),INDEX(Temas!$E$6:$P$305,$C267,2*$D267-1),""),IF(ISNUMBER(INDEX(Avulsos!$B$6:$B$205,$C267)),INDEX(Avulsos!$B$6:$B$205,$C267),""))</f>
        <v/>
      </c>
      <c r="F267" s="114" t="str">
        <f aca="false">IF($E267="","",IF($B267="Tema",INDEX(Temas!$B$6:$B$305,$C267)&amp;"",INDEX(Avulsos!$C$6:$C$205,$C267)&amp;""))</f>
        <v/>
      </c>
      <c r="G267" s="114" t="str">
        <f aca="false">IF($E267="","",IF($B267="Tema",INDEX(Config!$C$6:$C$11,$D267),"Evento avulso"))</f>
        <v/>
      </c>
      <c r="H267" s="114" t="str">
        <f aca="false">IF($E267="","",IF($B267="Tema",INDEX(Config!$D$6:$D$11,$D267),IFERROR(INDEX(Config!$E$15:$E$19,MATCH($I267,Config!$C$15:$C$19,0)),"•")))</f>
        <v/>
      </c>
      <c r="I267" s="114" t="str">
        <f aca="false">IF($E267="","",IF($B267="Tema",INDEX(Config!$E$6:$E$11,$D267),IF(INDEX(Avulsos!$D$6:$D$205,$C267)&amp;""="","Outro",INDEX(Avulsos!$D$6:$D$205,$C267))))</f>
        <v/>
      </c>
      <c r="J267" s="114" t="str">
        <f aca="false">IF($E267="","",IF($B267="Tema",INDEX(Temas!$C$6:$C$305,$C267)&amp;"",INDEX(Avulsos!$E$6:$E$205,$C267)&amp;""))</f>
        <v/>
      </c>
      <c r="K267" s="114" t="str">
        <f aca="false">IF($E267="","",IF(IF($B267="Tema",INDEX(Temas!$E$6:$P$305,$C267,2*$D267),INDEX(Avulsos!$F$6:$F$205,$C267))&amp;""="","","✓"))</f>
        <v/>
      </c>
      <c r="L267" s="114" t="str">
        <f aca="true">IF($E267="","",IF($K267="✓","Concluído",IF($E267&lt;TODAY(),"Atrasado",IF($E267=TODAY(),"Hoje","Pendente"))))</f>
        <v/>
      </c>
      <c r="M267" s="114" t="str">
        <f aca="false">IF($E267="","",IF($K267="✓","✓ ","")&amp;IF(Config!$E$22="Sim",$H267&amp;" · ","")&amp;$F267)</f>
        <v/>
      </c>
      <c r="N267" s="114" t="str">
        <f aca="false">IF($E267="","",IFERROR(INDEX(Config!$D$15:$D$19,MATCH($I267,Config!$C$15:$C$19,0)),"OUT")&amp;IF($K267="✓","x",""))</f>
        <v/>
      </c>
      <c r="O267" s="114" t="str">
        <f aca="false">IF($E267="","",COUNTIF($E$5:$E267,$E267))</f>
        <v/>
      </c>
      <c r="P267" s="114" t="str">
        <f aca="false">IF($E267="","",$E267*100+$O267)</f>
        <v/>
      </c>
      <c r="Q267" s="114" t="str">
        <f aca="false">IF($L267="Atrasado",$E267*10000+$A267,"")</f>
        <v/>
      </c>
    </row>
    <row r="268" customFormat="false" ht="15" hidden="false" customHeight="false" outlineLevel="0" collapsed="false">
      <c r="A268" s="114" t="n">
        <f aca="false">ROW()-4</f>
        <v>264</v>
      </c>
      <c r="B268" s="114" t="str">
        <f aca="false">IF(A268&lt;=Config!$E$27*Config!$E$28,"Tema","Avulso")</f>
        <v>Tema</v>
      </c>
      <c r="C268" s="114" t="n">
        <f aca="false">IF(B268="Tema",INT((A268-1)/Config!$E$28)+1,A268-Config!$E$27*Config!$E$28)</f>
        <v>44</v>
      </c>
      <c r="D268" s="114" t="n">
        <f aca="false">IF(B268="Tema",MOD(A268-1,Config!$E$28)+1,"")</f>
        <v>6</v>
      </c>
      <c r="E268" s="115" t="str">
        <f aca="false">IF($B268="Tema",IF(ISNUMBER(INDEX(Temas!$E$6:$P$305,$C268,2*$D268-1)),INDEX(Temas!$E$6:$P$305,$C268,2*$D268-1),""),IF(ISNUMBER(INDEX(Avulsos!$B$6:$B$205,$C268)),INDEX(Avulsos!$B$6:$B$205,$C268),""))</f>
        <v/>
      </c>
      <c r="F268" s="114" t="str">
        <f aca="false">IF($E268="","",IF($B268="Tema",INDEX(Temas!$B$6:$B$305,$C268)&amp;"",INDEX(Avulsos!$C$6:$C$205,$C268)&amp;""))</f>
        <v/>
      </c>
      <c r="G268" s="114" t="str">
        <f aca="false">IF($E268="","",IF($B268="Tema",INDEX(Config!$C$6:$C$11,$D268),"Evento avulso"))</f>
        <v/>
      </c>
      <c r="H268" s="114" t="str">
        <f aca="false">IF($E268="","",IF($B268="Tema",INDEX(Config!$D$6:$D$11,$D268),IFERROR(INDEX(Config!$E$15:$E$19,MATCH($I268,Config!$C$15:$C$19,0)),"•")))</f>
        <v/>
      </c>
      <c r="I268" s="114" t="str">
        <f aca="false">IF($E268="","",IF($B268="Tema",INDEX(Config!$E$6:$E$11,$D268),IF(INDEX(Avulsos!$D$6:$D$205,$C268)&amp;""="","Outro",INDEX(Avulsos!$D$6:$D$205,$C268))))</f>
        <v/>
      </c>
      <c r="J268" s="114" t="str">
        <f aca="false">IF($E268="","",IF($B268="Tema",INDEX(Temas!$C$6:$C$305,$C268)&amp;"",INDEX(Avulsos!$E$6:$E$205,$C268)&amp;""))</f>
        <v/>
      </c>
      <c r="K268" s="114" t="str">
        <f aca="false">IF($E268="","",IF(IF($B268="Tema",INDEX(Temas!$E$6:$P$305,$C268,2*$D268),INDEX(Avulsos!$F$6:$F$205,$C268))&amp;""="","","✓"))</f>
        <v/>
      </c>
      <c r="L268" s="114" t="str">
        <f aca="true">IF($E268="","",IF($K268="✓","Concluído",IF($E268&lt;TODAY(),"Atrasado",IF($E268=TODAY(),"Hoje","Pendente"))))</f>
        <v/>
      </c>
      <c r="M268" s="114" t="str">
        <f aca="false">IF($E268="","",IF($K268="✓","✓ ","")&amp;IF(Config!$E$22="Sim",$H268&amp;" · ","")&amp;$F268)</f>
        <v/>
      </c>
      <c r="N268" s="114" t="str">
        <f aca="false">IF($E268="","",IFERROR(INDEX(Config!$D$15:$D$19,MATCH($I268,Config!$C$15:$C$19,0)),"OUT")&amp;IF($K268="✓","x",""))</f>
        <v/>
      </c>
      <c r="O268" s="114" t="str">
        <f aca="false">IF($E268="","",COUNTIF($E$5:$E268,$E268))</f>
        <v/>
      </c>
      <c r="P268" s="114" t="str">
        <f aca="false">IF($E268="","",$E268*100+$O268)</f>
        <v/>
      </c>
      <c r="Q268" s="114" t="str">
        <f aca="false">IF($L268="Atrasado",$E268*10000+$A268,"")</f>
        <v/>
      </c>
    </row>
    <row r="269" customFormat="false" ht="15" hidden="false" customHeight="false" outlineLevel="0" collapsed="false">
      <c r="A269" s="114" t="n">
        <f aca="false">ROW()-4</f>
        <v>265</v>
      </c>
      <c r="B269" s="114" t="str">
        <f aca="false">IF(A269&lt;=Config!$E$27*Config!$E$28,"Tema","Avulso")</f>
        <v>Tema</v>
      </c>
      <c r="C269" s="114" t="n">
        <f aca="false">IF(B269="Tema",INT((A269-1)/Config!$E$28)+1,A269-Config!$E$27*Config!$E$28)</f>
        <v>45</v>
      </c>
      <c r="D269" s="114" t="n">
        <f aca="false">IF(B269="Tema",MOD(A269-1,Config!$E$28)+1,"")</f>
        <v>1</v>
      </c>
      <c r="E269" s="115" t="str">
        <f aca="false">IF($B269="Tema",IF(ISNUMBER(INDEX(Temas!$E$6:$P$305,$C269,2*$D269-1)),INDEX(Temas!$E$6:$P$305,$C269,2*$D269-1),""),IF(ISNUMBER(INDEX(Avulsos!$B$6:$B$205,$C269)),INDEX(Avulsos!$B$6:$B$205,$C269),""))</f>
        <v/>
      </c>
      <c r="F269" s="114" t="str">
        <f aca="false">IF($E269="","",IF($B269="Tema",INDEX(Temas!$B$6:$B$305,$C269)&amp;"",INDEX(Avulsos!$C$6:$C$205,$C269)&amp;""))</f>
        <v/>
      </c>
      <c r="G269" s="114" t="str">
        <f aca="false">IF($E269="","",IF($B269="Tema",INDEX(Config!$C$6:$C$11,$D269),"Evento avulso"))</f>
        <v/>
      </c>
      <c r="H269" s="114" t="str">
        <f aca="false">IF($E269="","",IF($B269="Tema",INDEX(Config!$D$6:$D$11,$D269),IFERROR(INDEX(Config!$E$15:$E$19,MATCH($I269,Config!$C$15:$C$19,0)),"•")))</f>
        <v/>
      </c>
      <c r="I269" s="114" t="str">
        <f aca="false">IF($E269="","",IF($B269="Tema",INDEX(Config!$E$6:$E$11,$D269),IF(INDEX(Avulsos!$D$6:$D$205,$C269)&amp;""="","Outro",INDEX(Avulsos!$D$6:$D$205,$C269))))</f>
        <v/>
      </c>
      <c r="J269" s="114" t="str">
        <f aca="false">IF($E269="","",IF($B269="Tema",INDEX(Temas!$C$6:$C$305,$C269)&amp;"",INDEX(Avulsos!$E$6:$E$205,$C269)&amp;""))</f>
        <v/>
      </c>
      <c r="K269" s="114" t="str">
        <f aca="false">IF($E269="","",IF(IF($B269="Tema",INDEX(Temas!$E$6:$P$305,$C269,2*$D269),INDEX(Avulsos!$F$6:$F$205,$C269))&amp;""="","","✓"))</f>
        <v/>
      </c>
      <c r="L269" s="114" t="str">
        <f aca="true">IF($E269="","",IF($K269="✓","Concluído",IF($E269&lt;TODAY(),"Atrasado",IF($E269=TODAY(),"Hoje","Pendente"))))</f>
        <v/>
      </c>
      <c r="M269" s="114" t="str">
        <f aca="false">IF($E269="","",IF($K269="✓","✓ ","")&amp;IF(Config!$E$22="Sim",$H269&amp;" · ","")&amp;$F269)</f>
        <v/>
      </c>
      <c r="N269" s="114" t="str">
        <f aca="false">IF($E269="","",IFERROR(INDEX(Config!$D$15:$D$19,MATCH($I269,Config!$C$15:$C$19,0)),"OUT")&amp;IF($K269="✓","x",""))</f>
        <v/>
      </c>
      <c r="O269" s="114" t="str">
        <f aca="false">IF($E269="","",COUNTIF($E$5:$E269,$E269))</f>
        <v/>
      </c>
      <c r="P269" s="114" t="str">
        <f aca="false">IF($E269="","",$E269*100+$O269)</f>
        <v/>
      </c>
      <c r="Q269" s="114" t="str">
        <f aca="false">IF($L269="Atrasado",$E269*10000+$A269,"")</f>
        <v/>
      </c>
    </row>
    <row r="270" customFormat="false" ht="15" hidden="false" customHeight="false" outlineLevel="0" collapsed="false">
      <c r="A270" s="114" t="n">
        <f aca="false">ROW()-4</f>
        <v>266</v>
      </c>
      <c r="B270" s="114" t="str">
        <f aca="false">IF(A270&lt;=Config!$E$27*Config!$E$28,"Tema","Avulso")</f>
        <v>Tema</v>
      </c>
      <c r="C270" s="114" t="n">
        <f aca="false">IF(B270="Tema",INT((A270-1)/Config!$E$28)+1,A270-Config!$E$27*Config!$E$28)</f>
        <v>45</v>
      </c>
      <c r="D270" s="114" t="n">
        <f aca="false">IF(B270="Tema",MOD(A270-1,Config!$E$28)+1,"")</f>
        <v>2</v>
      </c>
      <c r="E270" s="115" t="str">
        <f aca="false">IF($B270="Tema",IF(ISNUMBER(INDEX(Temas!$E$6:$P$305,$C270,2*$D270-1)),INDEX(Temas!$E$6:$P$305,$C270,2*$D270-1),""),IF(ISNUMBER(INDEX(Avulsos!$B$6:$B$205,$C270)),INDEX(Avulsos!$B$6:$B$205,$C270),""))</f>
        <v/>
      </c>
      <c r="F270" s="114" t="str">
        <f aca="false">IF($E270="","",IF($B270="Tema",INDEX(Temas!$B$6:$B$305,$C270)&amp;"",INDEX(Avulsos!$C$6:$C$205,$C270)&amp;""))</f>
        <v/>
      </c>
      <c r="G270" s="114" t="str">
        <f aca="false">IF($E270="","",IF($B270="Tema",INDEX(Config!$C$6:$C$11,$D270),"Evento avulso"))</f>
        <v/>
      </c>
      <c r="H270" s="114" t="str">
        <f aca="false">IF($E270="","",IF($B270="Tema",INDEX(Config!$D$6:$D$11,$D270),IFERROR(INDEX(Config!$E$15:$E$19,MATCH($I270,Config!$C$15:$C$19,0)),"•")))</f>
        <v/>
      </c>
      <c r="I270" s="114" t="str">
        <f aca="false">IF($E270="","",IF($B270="Tema",INDEX(Config!$E$6:$E$11,$D270),IF(INDEX(Avulsos!$D$6:$D$205,$C270)&amp;""="","Outro",INDEX(Avulsos!$D$6:$D$205,$C270))))</f>
        <v/>
      </c>
      <c r="J270" s="114" t="str">
        <f aca="false">IF($E270="","",IF($B270="Tema",INDEX(Temas!$C$6:$C$305,$C270)&amp;"",INDEX(Avulsos!$E$6:$E$205,$C270)&amp;""))</f>
        <v/>
      </c>
      <c r="K270" s="114" t="str">
        <f aca="false">IF($E270="","",IF(IF($B270="Tema",INDEX(Temas!$E$6:$P$305,$C270,2*$D270),INDEX(Avulsos!$F$6:$F$205,$C270))&amp;""="","","✓"))</f>
        <v/>
      </c>
      <c r="L270" s="114" t="str">
        <f aca="true">IF($E270="","",IF($K270="✓","Concluído",IF($E270&lt;TODAY(),"Atrasado",IF($E270=TODAY(),"Hoje","Pendente"))))</f>
        <v/>
      </c>
      <c r="M270" s="114" t="str">
        <f aca="false">IF($E270="","",IF($K270="✓","✓ ","")&amp;IF(Config!$E$22="Sim",$H270&amp;" · ","")&amp;$F270)</f>
        <v/>
      </c>
      <c r="N270" s="114" t="str">
        <f aca="false">IF($E270="","",IFERROR(INDEX(Config!$D$15:$D$19,MATCH($I270,Config!$C$15:$C$19,0)),"OUT")&amp;IF($K270="✓","x",""))</f>
        <v/>
      </c>
      <c r="O270" s="114" t="str">
        <f aca="false">IF($E270="","",COUNTIF($E$5:$E270,$E270))</f>
        <v/>
      </c>
      <c r="P270" s="114" t="str">
        <f aca="false">IF($E270="","",$E270*100+$O270)</f>
        <v/>
      </c>
      <c r="Q270" s="114" t="str">
        <f aca="false">IF($L270="Atrasado",$E270*10000+$A270,"")</f>
        <v/>
      </c>
    </row>
    <row r="271" customFormat="false" ht="15" hidden="false" customHeight="false" outlineLevel="0" collapsed="false">
      <c r="A271" s="114" t="n">
        <f aca="false">ROW()-4</f>
        <v>267</v>
      </c>
      <c r="B271" s="114" t="str">
        <f aca="false">IF(A271&lt;=Config!$E$27*Config!$E$28,"Tema","Avulso")</f>
        <v>Tema</v>
      </c>
      <c r="C271" s="114" t="n">
        <f aca="false">IF(B271="Tema",INT((A271-1)/Config!$E$28)+1,A271-Config!$E$27*Config!$E$28)</f>
        <v>45</v>
      </c>
      <c r="D271" s="114" t="n">
        <f aca="false">IF(B271="Tema",MOD(A271-1,Config!$E$28)+1,"")</f>
        <v>3</v>
      </c>
      <c r="E271" s="115" t="str">
        <f aca="false">IF($B271="Tema",IF(ISNUMBER(INDEX(Temas!$E$6:$P$305,$C271,2*$D271-1)),INDEX(Temas!$E$6:$P$305,$C271,2*$D271-1),""),IF(ISNUMBER(INDEX(Avulsos!$B$6:$B$205,$C271)),INDEX(Avulsos!$B$6:$B$205,$C271),""))</f>
        <v/>
      </c>
      <c r="F271" s="114" t="str">
        <f aca="false">IF($E271="","",IF($B271="Tema",INDEX(Temas!$B$6:$B$305,$C271)&amp;"",INDEX(Avulsos!$C$6:$C$205,$C271)&amp;""))</f>
        <v/>
      </c>
      <c r="G271" s="114" t="str">
        <f aca="false">IF($E271="","",IF($B271="Tema",INDEX(Config!$C$6:$C$11,$D271),"Evento avulso"))</f>
        <v/>
      </c>
      <c r="H271" s="114" t="str">
        <f aca="false">IF($E271="","",IF($B271="Tema",INDEX(Config!$D$6:$D$11,$D271),IFERROR(INDEX(Config!$E$15:$E$19,MATCH($I271,Config!$C$15:$C$19,0)),"•")))</f>
        <v/>
      </c>
      <c r="I271" s="114" t="str">
        <f aca="false">IF($E271="","",IF($B271="Tema",INDEX(Config!$E$6:$E$11,$D271),IF(INDEX(Avulsos!$D$6:$D$205,$C271)&amp;""="","Outro",INDEX(Avulsos!$D$6:$D$205,$C271))))</f>
        <v/>
      </c>
      <c r="J271" s="114" t="str">
        <f aca="false">IF($E271="","",IF($B271="Tema",INDEX(Temas!$C$6:$C$305,$C271)&amp;"",INDEX(Avulsos!$E$6:$E$205,$C271)&amp;""))</f>
        <v/>
      </c>
      <c r="K271" s="114" t="str">
        <f aca="false">IF($E271="","",IF(IF($B271="Tema",INDEX(Temas!$E$6:$P$305,$C271,2*$D271),INDEX(Avulsos!$F$6:$F$205,$C271))&amp;""="","","✓"))</f>
        <v/>
      </c>
      <c r="L271" s="114" t="str">
        <f aca="true">IF($E271="","",IF($K271="✓","Concluído",IF($E271&lt;TODAY(),"Atrasado",IF($E271=TODAY(),"Hoje","Pendente"))))</f>
        <v/>
      </c>
      <c r="M271" s="114" t="str">
        <f aca="false">IF($E271="","",IF($K271="✓","✓ ","")&amp;IF(Config!$E$22="Sim",$H271&amp;" · ","")&amp;$F271)</f>
        <v/>
      </c>
      <c r="N271" s="114" t="str">
        <f aca="false">IF($E271="","",IFERROR(INDEX(Config!$D$15:$D$19,MATCH($I271,Config!$C$15:$C$19,0)),"OUT")&amp;IF($K271="✓","x",""))</f>
        <v/>
      </c>
      <c r="O271" s="114" t="str">
        <f aca="false">IF($E271="","",COUNTIF($E$5:$E271,$E271))</f>
        <v/>
      </c>
      <c r="P271" s="114" t="str">
        <f aca="false">IF($E271="","",$E271*100+$O271)</f>
        <v/>
      </c>
      <c r="Q271" s="114" t="str">
        <f aca="false">IF($L271="Atrasado",$E271*10000+$A271,"")</f>
        <v/>
      </c>
    </row>
    <row r="272" customFormat="false" ht="15" hidden="false" customHeight="false" outlineLevel="0" collapsed="false">
      <c r="A272" s="114" t="n">
        <f aca="false">ROW()-4</f>
        <v>268</v>
      </c>
      <c r="B272" s="114" t="str">
        <f aca="false">IF(A272&lt;=Config!$E$27*Config!$E$28,"Tema","Avulso")</f>
        <v>Tema</v>
      </c>
      <c r="C272" s="114" t="n">
        <f aca="false">IF(B272="Tema",INT((A272-1)/Config!$E$28)+1,A272-Config!$E$27*Config!$E$28)</f>
        <v>45</v>
      </c>
      <c r="D272" s="114" t="n">
        <f aca="false">IF(B272="Tema",MOD(A272-1,Config!$E$28)+1,"")</f>
        <v>4</v>
      </c>
      <c r="E272" s="115" t="str">
        <f aca="false">IF($B272="Tema",IF(ISNUMBER(INDEX(Temas!$E$6:$P$305,$C272,2*$D272-1)),INDEX(Temas!$E$6:$P$305,$C272,2*$D272-1),""),IF(ISNUMBER(INDEX(Avulsos!$B$6:$B$205,$C272)),INDEX(Avulsos!$B$6:$B$205,$C272),""))</f>
        <v/>
      </c>
      <c r="F272" s="114" t="str">
        <f aca="false">IF($E272="","",IF($B272="Tema",INDEX(Temas!$B$6:$B$305,$C272)&amp;"",INDEX(Avulsos!$C$6:$C$205,$C272)&amp;""))</f>
        <v/>
      </c>
      <c r="G272" s="114" t="str">
        <f aca="false">IF($E272="","",IF($B272="Tema",INDEX(Config!$C$6:$C$11,$D272),"Evento avulso"))</f>
        <v/>
      </c>
      <c r="H272" s="114" t="str">
        <f aca="false">IF($E272="","",IF($B272="Tema",INDEX(Config!$D$6:$D$11,$D272),IFERROR(INDEX(Config!$E$15:$E$19,MATCH($I272,Config!$C$15:$C$19,0)),"•")))</f>
        <v/>
      </c>
      <c r="I272" s="114" t="str">
        <f aca="false">IF($E272="","",IF($B272="Tema",INDEX(Config!$E$6:$E$11,$D272),IF(INDEX(Avulsos!$D$6:$D$205,$C272)&amp;""="","Outro",INDEX(Avulsos!$D$6:$D$205,$C272))))</f>
        <v/>
      </c>
      <c r="J272" s="114" t="str">
        <f aca="false">IF($E272="","",IF($B272="Tema",INDEX(Temas!$C$6:$C$305,$C272)&amp;"",INDEX(Avulsos!$E$6:$E$205,$C272)&amp;""))</f>
        <v/>
      </c>
      <c r="K272" s="114" t="str">
        <f aca="false">IF($E272="","",IF(IF($B272="Tema",INDEX(Temas!$E$6:$P$305,$C272,2*$D272),INDEX(Avulsos!$F$6:$F$205,$C272))&amp;""="","","✓"))</f>
        <v/>
      </c>
      <c r="L272" s="114" t="str">
        <f aca="true">IF($E272="","",IF($K272="✓","Concluído",IF($E272&lt;TODAY(),"Atrasado",IF($E272=TODAY(),"Hoje","Pendente"))))</f>
        <v/>
      </c>
      <c r="M272" s="114" t="str">
        <f aca="false">IF($E272="","",IF($K272="✓","✓ ","")&amp;IF(Config!$E$22="Sim",$H272&amp;" · ","")&amp;$F272)</f>
        <v/>
      </c>
      <c r="N272" s="114" t="str">
        <f aca="false">IF($E272="","",IFERROR(INDEX(Config!$D$15:$D$19,MATCH($I272,Config!$C$15:$C$19,0)),"OUT")&amp;IF($K272="✓","x",""))</f>
        <v/>
      </c>
      <c r="O272" s="114" t="str">
        <f aca="false">IF($E272="","",COUNTIF($E$5:$E272,$E272))</f>
        <v/>
      </c>
      <c r="P272" s="114" t="str">
        <f aca="false">IF($E272="","",$E272*100+$O272)</f>
        <v/>
      </c>
      <c r="Q272" s="114" t="str">
        <f aca="false">IF($L272="Atrasado",$E272*10000+$A272,"")</f>
        <v/>
      </c>
    </row>
    <row r="273" customFormat="false" ht="15" hidden="false" customHeight="false" outlineLevel="0" collapsed="false">
      <c r="A273" s="114" t="n">
        <f aca="false">ROW()-4</f>
        <v>269</v>
      </c>
      <c r="B273" s="114" t="str">
        <f aca="false">IF(A273&lt;=Config!$E$27*Config!$E$28,"Tema","Avulso")</f>
        <v>Tema</v>
      </c>
      <c r="C273" s="114" t="n">
        <f aca="false">IF(B273="Tema",INT((A273-1)/Config!$E$28)+1,A273-Config!$E$27*Config!$E$28)</f>
        <v>45</v>
      </c>
      <c r="D273" s="114" t="n">
        <f aca="false">IF(B273="Tema",MOD(A273-1,Config!$E$28)+1,"")</f>
        <v>5</v>
      </c>
      <c r="E273" s="115" t="str">
        <f aca="false">IF($B273="Tema",IF(ISNUMBER(INDEX(Temas!$E$6:$P$305,$C273,2*$D273-1)),INDEX(Temas!$E$6:$P$305,$C273,2*$D273-1),""),IF(ISNUMBER(INDEX(Avulsos!$B$6:$B$205,$C273)),INDEX(Avulsos!$B$6:$B$205,$C273),""))</f>
        <v/>
      </c>
      <c r="F273" s="114" t="str">
        <f aca="false">IF($E273="","",IF($B273="Tema",INDEX(Temas!$B$6:$B$305,$C273)&amp;"",INDEX(Avulsos!$C$6:$C$205,$C273)&amp;""))</f>
        <v/>
      </c>
      <c r="G273" s="114" t="str">
        <f aca="false">IF($E273="","",IF($B273="Tema",INDEX(Config!$C$6:$C$11,$D273),"Evento avulso"))</f>
        <v/>
      </c>
      <c r="H273" s="114" t="str">
        <f aca="false">IF($E273="","",IF($B273="Tema",INDEX(Config!$D$6:$D$11,$D273),IFERROR(INDEX(Config!$E$15:$E$19,MATCH($I273,Config!$C$15:$C$19,0)),"•")))</f>
        <v/>
      </c>
      <c r="I273" s="114" t="str">
        <f aca="false">IF($E273="","",IF($B273="Tema",INDEX(Config!$E$6:$E$11,$D273),IF(INDEX(Avulsos!$D$6:$D$205,$C273)&amp;""="","Outro",INDEX(Avulsos!$D$6:$D$205,$C273))))</f>
        <v/>
      </c>
      <c r="J273" s="114" t="str">
        <f aca="false">IF($E273="","",IF($B273="Tema",INDEX(Temas!$C$6:$C$305,$C273)&amp;"",INDEX(Avulsos!$E$6:$E$205,$C273)&amp;""))</f>
        <v/>
      </c>
      <c r="K273" s="114" t="str">
        <f aca="false">IF($E273="","",IF(IF($B273="Tema",INDEX(Temas!$E$6:$P$305,$C273,2*$D273),INDEX(Avulsos!$F$6:$F$205,$C273))&amp;""="","","✓"))</f>
        <v/>
      </c>
      <c r="L273" s="114" t="str">
        <f aca="true">IF($E273="","",IF($K273="✓","Concluído",IF($E273&lt;TODAY(),"Atrasado",IF($E273=TODAY(),"Hoje","Pendente"))))</f>
        <v/>
      </c>
      <c r="M273" s="114" t="str">
        <f aca="false">IF($E273="","",IF($K273="✓","✓ ","")&amp;IF(Config!$E$22="Sim",$H273&amp;" · ","")&amp;$F273)</f>
        <v/>
      </c>
      <c r="N273" s="114" t="str">
        <f aca="false">IF($E273="","",IFERROR(INDEX(Config!$D$15:$D$19,MATCH($I273,Config!$C$15:$C$19,0)),"OUT")&amp;IF($K273="✓","x",""))</f>
        <v/>
      </c>
      <c r="O273" s="114" t="str">
        <f aca="false">IF($E273="","",COUNTIF($E$5:$E273,$E273))</f>
        <v/>
      </c>
      <c r="P273" s="114" t="str">
        <f aca="false">IF($E273="","",$E273*100+$O273)</f>
        <v/>
      </c>
      <c r="Q273" s="114" t="str">
        <f aca="false">IF($L273="Atrasado",$E273*10000+$A273,"")</f>
        <v/>
      </c>
    </row>
    <row r="274" customFormat="false" ht="15" hidden="false" customHeight="false" outlineLevel="0" collapsed="false">
      <c r="A274" s="114" t="n">
        <f aca="false">ROW()-4</f>
        <v>270</v>
      </c>
      <c r="B274" s="114" t="str">
        <f aca="false">IF(A274&lt;=Config!$E$27*Config!$E$28,"Tema","Avulso")</f>
        <v>Tema</v>
      </c>
      <c r="C274" s="114" t="n">
        <f aca="false">IF(B274="Tema",INT((A274-1)/Config!$E$28)+1,A274-Config!$E$27*Config!$E$28)</f>
        <v>45</v>
      </c>
      <c r="D274" s="114" t="n">
        <f aca="false">IF(B274="Tema",MOD(A274-1,Config!$E$28)+1,"")</f>
        <v>6</v>
      </c>
      <c r="E274" s="115" t="str">
        <f aca="false">IF($B274="Tema",IF(ISNUMBER(INDEX(Temas!$E$6:$P$305,$C274,2*$D274-1)),INDEX(Temas!$E$6:$P$305,$C274,2*$D274-1),""),IF(ISNUMBER(INDEX(Avulsos!$B$6:$B$205,$C274)),INDEX(Avulsos!$B$6:$B$205,$C274),""))</f>
        <v/>
      </c>
      <c r="F274" s="114" t="str">
        <f aca="false">IF($E274="","",IF($B274="Tema",INDEX(Temas!$B$6:$B$305,$C274)&amp;"",INDEX(Avulsos!$C$6:$C$205,$C274)&amp;""))</f>
        <v/>
      </c>
      <c r="G274" s="114" t="str">
        <f aca="false">IF($E274="","",IF($B274="Tema",INDEX(Config!$C$6:$C$11,$D274),"Evento avulso"))</f>
        <v/>
      </c>
      <c r="H274" s="114" t="str">
        <f aca="false">IF($E274="","",IF($B274="Tema",INDEX(Config!$D$6:$D$11,$D274),IFERROR(INDEX(Config!$E$15:$E$19,MATCH($I274,Config!$C$15:$C$19,0)),"•")))</f>
        <v/>
      </c>
      <c r="I274" s="114" t="str">
        <f aca="false">IF($E274="","",IF($B274="Tema",INDEX(Config!$E$6:$E$11,$D274),IF(INDEX(Avulsos!$D$6:$D$205,$C274)&amp;""="","Outro",INDEX(Avulsos!$D$6:$D$205,$C274))))</f>
        <v/>
      </c>
      <c r="J274" s="114" t="str">
        <f aca="false">IF($E274="","",IF($B274="Tema",INDEX(Temas!$C$6:$C$305,$C274)&amp;"",INDEX(Avulsos!$E$6:$E$205,$C274)&amp;""))</f>
        <v/>
      </c>
      <c r="K274" s="114" t="str">
        <f aca="false">IF($E274="","",IF(IF($B274="Tema",INDEX(Temas!$E$6:$P$305,$C274,2*$D274),INDEX(Avulsos!$F$6:$F$205,$C274))&amp;""="","","✓"))</f>
        <v/>
      </c>
      <c r="L274" s="114" t="str">
        <f aca="true">IF($E274="","",IF($K274="✓","Concluído",IF($E274&lt;TODAY(),"Atrasado",IF($E274=TODAY(),"Hoje","Pendente"))))</f>
        <v/>
      </c>
      <c r="M274" s="114" t="str">
        <f aca="false">IF($E274="","",IF($K274="✓","✓ ","")&amp;IF(Config!$E$22="Sim",$H274&amp;" · ","")&amp;$F274)</f>
        <v/>
      </c>
      <c r="N274" s="114" t="str">
        <f aca="false">IF($E274="","",IFERROR(INDEX(Config!$D$15:$D$19,MATCH($I274,Config!$C$15:$C$19,0)),"OUT")&amp;IF($K274="✓","x",""))</f>
        <v/>
      </c>
      <c r="O274" s="114" t="str">
        <f aca="false">IF($E274="","",COUNTIF($E$5:$E274,$E274))</f>
        <v/>
      </c>
      <c r="P274" s="114" t="str">
        <f aca="false">IF($E274="","",$E274*100+$O274)</f>
        <v/>
      </c>
      <c r="Q274" s="114" t="str">
        <f aca="false">IF($L274="Atrasado",$E274*10000+$A274,"")</f>
        <v/>
      </c>
    </row>
    <row r="275" customFormat="false" ht="15" hidden="false" customHeight="false" outlineLevel="0" collapsed="false">
      <c r="A275" s="114" t="n">
        <f aca="false">ROW()-4</f>
        <v>271</v>
      </c>
      <c r="B275" s="114" t="str">
        <f aca="false">IF(A275&lt;=Config!$E$27*Config!$E$28,"Tema","Avulso")</f>
        <v>Tema</v>
      </c>
      <c r="C275" s="114" t="n">
        <f aca="false">IF(B275="Tema",INT((A275-1)/Config!$E$28)+1,A275-Config!$E$27*Config!$E$28)</f>
        <v>46</v>
      </c>
      <c r="D275" s="114" t="n">
        <f aca="false">IF(B275="Tema",MOD(A275-1,Config!$E$28)+1,"")</f>
        <v>1</v>
      </c>
      <c r="E275" s="115" t="str">
        <f aca="false">IF($B275="Tema",IF(ISNUMBER(INDEX(Temas!$E$6:$P$305,$C275,2*$D275-1)),INDEX(Temas!$E$6:$P$305,$C275,2*$D275-1),""),IF(ISNUMBER(INDEX(Avulsos!$B$6:$B$205,$C275)),INDEX(Avulsos!$B$6:$B$205,$C275),""))</f>
        <v/>
      </c>
      <c r="F275" s="114" t="str">
        <f aca="false">IF($E275="","",IF($B275="Tema",INDEX(Temas!$B$6:$B$305,$C275)&amp;"",INDEX(Avulsos!$C$6:$C$205,$C275)&amp;""))</f>
        <v/>
      </c>
      <c r="G275" s="114" t="str">
        <f aca="false">IF($E275="","",IF($B275="Tema",INDEX(Config!$C$6:$C$11,$D275),"Evento avulso"))</f>
        <v/>
      </c>
      <c r="H275" s="114" t="str">
        <f aca="false">IF($E275="","",IF($B275="Tema",INDEX(Config!$D$6:$D$11,$D275),IFERROR(INDEX(Config!$E$15:$E$19,MATCH($I275,Config!$C$15:$C$19,0)),"•")))</f>
        <v/>
      </c>
      <c r="I275" s="114" t="str">
        <f aca="false">IF($E275="","",IF($B275="Tema",INDEX(Config!$E$6:$E$11,$D275),IF(INDEX(Avulsos!$D$6:$D$205,$C275)&amp;""="","Outro",INDEX(Avulsos!$D$6:$D$205,$C275))))</f>
        <v/>
      </c>
      <c r="J275" s="114" t="str">
        <f aca="false">IF($E275="","",IF($B275="Tema",INDEX(Temas!$C$6:$C$305,$C275)&amp;"",INDEX(Avulsos!$E$6:$E$205,$C275)&amp;""))</f>
        <v/>
      </c>
      <c r="K275" s="114" t="str">
        <f aca="false">IF($E275="","",IF(IF($B275="Tema",INDEX(Temas!$E$6:$P$305,$C275,2*$D275),INDEX(Avulsos!$F$6:$F$205,$C275))&amp;""="","","✓"))</f>
        <v/>
      </c>
      <c r="L275" s="114" t="str">
        <f aca="true">IF($E275="","",IF($K275="✓","Concluído",IF($E275&lt;TODAY(),"Atrasado",IF($E275=TODAY(),"Hoje","Pendente"))))</f>
        <v/>
      </c>
      <c r="M275" s="114" t="str">
        <f aca="false">IF($E275="","",IF($K275="✓","✓ ","")&amp;IF(Config!$E$22="Sim",$H275&amp;" · ","")&amp;$F275)</f>
        <v/>
      </c>
      <c r="N275" s="114" t="str">
        <f aca="false">IF($E275="","",IFERROR(INDEX(Config!$D$15:$D$19,MATCH($I275,Config!$C$15:$C$19,0)),"OUT")&amp;IF($K275="✓","x",""))</f>
        <v/>
      </c>
      <c r="O275" s="114" t="str">
        <f aca="false">IF($E275="","",COUNTIF($E$5:$E275,$E275))</f>
        <v/>
      </c>
      <c r="P275" s="114" t="str">
        <f aca="false">IF($E275="","",$E275*100+$O275)</f>
        <v/>
      </c>
      <c r="Q275" s="114" t="str">
        <f aca="false">IF($L275="Atrasado",$E275*10000+$A275,"")</f>
        <v/>
      </c>
    </row>
    <row r="276" customFormat="false" ht="15" hidden="false" customHeight="false" outlineLevel="0" collapsed="false">
      <c r="A276" s="114" t="n">
        <f aca="false">ROW()-4</f>
        <v>272</v>
      </c>
      <c r="B276" s="114" t="str">
        <f aca="false">IF(A276&lt;=Config!$E$27*Config!$E$28,"Tema","Avulso")</f>
        <v>Tema</v>
      </c>
      <c r="C276" s="114" t="n">
        <f aca="false">IF(B276="Tema",INT((A276-1)/Config!$E$28)+1,A276-Config!$E$27*Config!$E$28)</f>
        <v>46</v>
      </c>
      <c r="D276" s="114" t="n">
        <f aca="false">IF(B276="Tema",MOD(A276-1,Config!$E$28)+1,"")</f>
        <v>2</v>
      </c>
      <c r="E276" s="115" t="str">
        <f aca="false">IF($B276="Tema",IF(ISNUMBER(INDEX(Temas!$E$6:$P$305,$C276,2*$D276-1)),INDEX(Temas!$E$6:$P$305,$C276,2*$D276-1),""),IF(ISNUMBER(INDEX(Avulsos!$B$6:$B$205,$C276)),INDEX(Avulsos!$B$6:$B$205,$C276),""))</f>
        <v/>
      </c>
      <c r="F276" s="114" t="str">
        <f aca="false">IF($E276="","",IF($B276="Tema",INDEX(Temas!$B$6:$B$305,$C276)&amp;"",INDEX(Avulsos!$C$6:$C$205,$C276)&amp;""))</f>
        <v/>
      </c>
      <c r="G276" s="114" t="str">
        <f aca="false">IF($E276="","",IF($B276="Tema",INDEX(Config!$C$6:$C$11,$D276),"Evento avulso"))</f>
        <v/>
      </c>
      <c r="H276" s="114" t="str">
        <f aca="false">IF($E276="","",IF($B276="Tema",INDEX(Config!$D$6:$D$11,$D276),IFERROR(INDEX(Config!$E$15:$E$19,MATCH($I276,Config!$C$15:$C$19,0)),"•")))</f>
        <v/>
      </c>
      <c r="I276" s="114" t="str">
        <f aca="false">IF($E276="","",IF($B276="Tema",INDEX(Config!$E$6:$E$11,$D276),IF(INDEX(Avulsos!$D$6:$D$205,$C276)&amp;""="","Outro",INDEX(Avulsos!$D$6:$D$205,$C276))))</f>
        <v/>
      </c>
      <c r="J276" s="114" t="str">
        <f aca="false">IF($E276="","",IF($B276="Tema",INDEX(Temas!$C$6:$C$305,$C276)&amp;"",INDEX(Avulsos!$E$6:$E$205,$C276)&amp;""))</f>
        <v/>
      </c>
      <c r="K276" s="114" t="str">
        <f aca="false">IF($E276="","",IF(IF($B276="Tema",INDEX(Temas!$E$6:$P$305,$C276,2*$D276),INDEX(Avulsos!$F$6:$F$205,$C276))&amp;""="","","✓"))</f>
        <v/>
      </c>
      <c r="L276" s="114" t="str">
        <f aca="true">IF($E276="","",IF($K276="✓","Concluído",IF($E276&lt;TODAY(),"Atrasado",IF($E276=TODAY(),"Hoje","Pendente"))))</f>
        <v/>
      </c>
      <c r="M276" s="114" t="str">
        <f aca="false">IF($E276="","",IF($K276="✓","✓ ","")&amp;IF(Config!$E$22="Sim",$H276&amp;" · ","")&amp;$F276)</f>
        <v/>
      </c>
      <c r="N276" s="114" t="str">
        <f aca="false">IF($E276="","",IFERROR(INDEX(Config!$D$15:$D$19,MATCH($I276,Config!$C$15:$C$19,0)),"OUT")&amp;IF($K276="✓","x",""))</f>
        <v/>
      </c>
      <c r="O276" s="114" t="str">
        <f aca="false">IF($E276="","",COUNTIF($E$5:$E276,$E276))</f>
        <v/>
      </c>
      <c r="P276" s="114" t="str">
        <f aca="false">IF($E276="","",$E276*100+$O276)</f>
        <v/>
      </c>
      <c r="Q276" s="114" t="str">
        <f aca="false">IF($L276="Atrasado",$E276*10000+$A276,"")</f>
        <v/>
      </c>
    </row>
    <row r="277" customFormat="false" ht="15" hidden="false" customHeight="false" outlineLevel="0" collapsed="false">
      <c r="A277" s="114" t="n">
        <f aca="false">ROW()-4</f>
        <v>273</v>
      </c>
      <c r="B277" s="114" t="str">
        <f aca="false">IF(A277&lt;=Config!$E$27*Config!$E$28,"Tema","Avulso")</f>
        <v>Tema</v>
      </c>
      <c r="C277" s="114" t="n">
        <f aca="false">IF(B277="Tema",INT((A277-1)/Config!$E$28)+1,A277-Config!$E$27*Config!$E$28)</f>
        <v>46</v>
      </c>
      <c r="D277" s="114" t="n">
        <f aca="false">IF(B277="Tema",MOD(A277-1,Config!$E$28)+1,"")</f>
        <v>3</v>
      </c>
      <c r="E277" s="115" t="str">
        <f aca="false">IF($B277="Tema",IF(ISNUMBER(INDEX(Temas!$E$6:$P$305,$C277,2*$D277-1)),INDEX(Temas!$E$6:$P$305,$C277,2*$D277-1),""),IF(ISNUMBER(INDEX(Avulsos!$B$6:$B$205,$C277)),INDEX(Avulsos!$B$6:$B$205,$C277),""))</f>
        <v/>
      </c>
      <c r="F277" s="114" t="str">
        <f aca="false">IF($E277="","",IF($B277="Tema",INDEX(Temas!$B$6:$B$305,$C277)&amp;"",INDEX(Avulsos!$C$6:$C$205,$C277)&amp;""))</f>
        <v/>
      </c>
      <c r="G277" s="114" t="str">
        <f aca="false">IF($E277="","",IF($B277="Tema",INDEX(Config!$C$6:$C$11,$D277),"Evento avulso"))</f>
        <v/>
      </c>
      <c r="H277" s="114" t="str">
        <f aca="false">IF($E277="","",IF($B277="Tema",INDEX(Config!$D$6:$D$11,$D277),IFERROR(INDEX(Config!$E$15:$E$19,MATCH($I277,Config!$C$15:$C$19,0)),"•")))</f>
        <v/>
      </c>
      <c r="I277" s="114" t="str">
        <f aca="false">IF($E277="","",IF($B277="Tema",INDEX(Config!$E$6:$E$11,$D277),IF(INDEX(Avulsos!$D$6:$D$205,$C277)&amp;""="","Outro",INDEX(Avulsos!$D$6:$D$205,$C277))))</f>
        <v/>
      </c>
      <c r="J277" s="114" t="str">
        <f aca="false">IF($E277="","",IF($B277="Tema",INDEX(Temas!$C$6:$C$305,$C277)&amp;"",INDEX(Avulsos!$E$6:$E$205,$C277)&amp;""))</f>
        <v/>
      </c>
      <c r="K277" s="114" t="str">
        <f aca="false">IF($E277="","",IF(IF($B277="Tema",INDEX(Temas!$E$6:$P$305,$C277,2*$D277),INDEX(Avulsos!$F$6:$F$205,$C277))&amp;""="","","✓"))</f>
        <v/>
      </c>
      <c r="L277" s="114" t="str">
        <f aca="true">IF($E277="","",IF($K277="✓","Concluído",IF($E277&lt;TODAY(),"Atrasado",IF($E277=TODAY(),"Hoje","Pendente"))))</f>
        <v/>
      </c>
      <c r="M277" s="114" t="str">
        <f aca="false">IF($E277="","",IF($K277="✓","✓ ","")&amp;IF(Config!$E$22="Sim",$H277&amp;" · ","")&amp;$F277)</f>
        <v/>
      </c>
      <c r="N277" s="114" t="str">
        <f aca="false">IF($E277="","",IFERROR(INDEX(Config!$D$15:$D$19,MATCH($I277,Config!$C$15:$C$19,0)),"OUT")&amp;IF($K277="✓","x",""))</f>
        <v/>
      </c>
      <c r="O277" s="114" t="str">
        <f aca="false">IF($E277="","",COUNTIF($E$5:$E277,$E277))</f>
        <v/>
      </c>
      <c r="P277" s="114" t="str">
        <f aca="false">IF($E277="","",$E277*100+$O277)</f>
        <v/>
      </c>
      <c r="Q277" s="114" t="str">
        <f aca="false">IF($L277="Atrasado",$E277*10000+$A277,"")</f>
        <v/>
      </c>
    </row>
    <row r="278" customFormat="false" ht="15" hidden="false" customHeight="false" outlineLevel="0" collapsed="false">
      <c r="A278" s="114" t="n">
        <f aca="false">ROW()-4</f>
        <v>274</v>
      </c>
      <c r="B278" s="114" t="str">
        <f aca="false">IF(A278&lt;=Config!$E$27*Config!$E$28,"Tema","Avulso")</f>
        <v>Tema</v>
      </c>
      <c r="C278" s="114" t="n">
        <f aca="false">IF(B278="Tema",INT((A278-1)/Config!$E$28)+1,A278-Config!$E$27*Config!$E$28)</f>
        <v>46</v>
      </c>
      <c r="D278" s="114" t="n">
        <f aca="false">IF(B278="Tema",MOD(A278-1,Config!$E$28)+1,"")</f>
        <v>4</v>
      </c>
      <c r="E278" s="115" t="str">
        <f aca="false">IF($B278="Tema",IF(ISNUMBER(INDEX(Temas!$E$6:$P$305,$C278,2*$D278-1)),INDEX(Temas!$E$6:$P$305,$C278,2*$D278-1),""),IF(ISNUMBER(INDEX(Avulsos!$B$6:$B$205,$C278)),INDEX(Avulsos!$B$6:$B$205,$C278),""))</f>
        <v/>
      </c>
      <c r="F278" s="114" t="str">
        <f aca="false">IF($E278="","",IF($B278="Tema",INDEX(Temas!$B$6:$B$305,$C278)&amp;"",INDEX(Avulsos!$C$6:$C$205,$C278)&amp;""))</f>
        <v/>
      </c>
      <c r="G278" s="114" t="str">
        <f aca="false">IF($E278="","",IF($B278="Tema",INDEX(Config!$C$6:$C$11,$D278),"Evento avulso"))</f>
        <v/>
      </c>
      <c r="H278" s="114" t="str">
        <f aca="false">IF($E278="","",IF($B278="Tema",INDEX(Config!$D$6:$D$11,$D278),IFERROR(INDEX(Config!$E$15:$E$19,MATCH($I278,Config!$C$15:$C$19,0)),"•")))</f>
        <v/>
      </c>
      <c r="I278" s="114" t="str">
        <f aca="false">IF($E278="","",IF($B278="Tema",INDEX(Config!$E$6:$E$11,$D278),IF(INDEX(Avulsos!$D$6:$D$205,$C278)&amp;""="","Outro",INDEX(Avulsos!$D$6:$D$205,$C278))))</f>
        <v/>
      </c>
      <c r="J278" s="114" t="str">
        <f aca="false">IF($E278="","",IF($B278="Tema",INDEX(Temas!$C$6:$C$305,$C278)&amp;"",INDEX(Avulsos!$E$6:$E$205,$C278)&amp;""))</f>
        <v/>
      </c>
      <c r="K278" s="114" t="str">
        <f aca="false">IF($E278="","",IF(IF($B278="Tema",INDEX(Temas!$E$6:$P$305,$C278,2*$D278),INDEX(Avulsos!$F$6:$F$205,$C278))&amp;""="","","✓"))</f>
        <v/>
      </c>
      <c r="L278" s="114" t="str">
        <f aca="true">IF($E278="","",IF($K278="✓","Concluído",IF($E278&lt;TODAY(),"Atrasado",IF($E278=TODAY(),"Hoje","Pendente"))))</f>
        <v/>
      </c>
      <c r="M278" s="114" t="str">
        <f aca="false">IF($E278="","",IF($K278="✓","✓ ","")&amp;IF(Config!$E$22="Sim",$H278&amp;" · ","")&amp;$F278)</f>
        <v/>
      </c>
      <c r="N278" s="114" t="str">
        <f aca="false">IF($E278="","",IFERROR(INDEX(Config!$D$15:$D$19,MATCH($I278,Config!$C$15:$C$19,0)),"OUT")&amp;IF($K278="✓","x",""))</f>
        <v/>
      </c>
      <c r="O278" s="114" t="str">
        <f aca="false">IF($E278="","",COUNTIF($E$5:$E278,$E278))</f>
        <v/>
      </c>
      <c r="P278" s="114" t="str">
        <f aca="false">IF($E278="","",$E278*100+$O278)</f>
        <v/>
      </c>
      <c r="Q278" s="114" t="str">
        <f aca="false">IF($L278="Atrasado",$E278*10000+$A278,"")</f>
        <v/>
      </c>
    </row>
    <row r="279" customFormat="false" ht="15" hidden="false" customHeight="false" outlineLevel="0" collapsed="false">
      <c r="A279" s="114" t="n">
        <f aca="false">ROW()-4</f>
        <v>275</v>
      </c>
      <c r="B279" s="114" t="str">
        <f aca="false">IF(A279&lt;=Config!$E$27*Config!$E$28,"Tema","Avulso")</f>
        <v>Tema</v>
      </c>
      <c r="C279" s="114" t="n">
        <f aca="false">IF(B279="Tema",INT((A279-1)/Config!$E$28)+1,A279-Config!$E$27*Config!$E$28)</f>
        <v>46</v>
      </c>
      <c r="D279" s="114" t="n">
        <f aca="false">IF(B279="Tema",MOD(A279-1,Config!$E$28)+1,"")</f>
        <v>5</v>
      </c>
      <c r="E279" s="115" t="str">
        <f aca="false">IF($B279="Tema",IF(ISNUMBER(INDEX(Temas!$E$6:$P$305,$C279,2*$D279-1)),INDEX(Temas!$E$6:$P$305,$C279,2*$D279-1),""),IF(ISNUMBER(INDEX(Avulsos!$B$6:$B$205,$C279)),INDEX(Avulsos!$B$6:$B$205,$C279),""))</f>
        <v/>
      </c>
      <c r="F279" s="114" t="str">
        <f aca="false">IF($E279="","",IF($B279="Tema",INDEX(Temas!$B$6:$B$305,$C279)&amp;"",INDEX(Avulsos!$C$6:$C$205,$C279)&amp;""))</f>
        <v/>
      </c>
      <c r="G279" s="114" t="str">
        <f aca="false">IF($E279="","",IF($B279="Tema",INDEX(Config!$C$6:$C$11,$D279),"Evento avulso"))</f>
        <v/>
      </c>
      <c r="H279" s="114" t="str">
        <f aca="false">IF($E279="","",IF($B279="Tema",INDEX(Config!$D$6:$D$11,$D279),IFERROR(INDEX(Config!$E$15:$E$19,MATCH($I279,Config!$C$15:$C$19,0)),"•")))</f>
        <v/>
      </c>
      <c r="I279" s="114" t="str">
        <f aca="false">IF($E279="","",IF($B279="Tema",INDEX(Config!$E$6:$E$11,$D279),IF(INDEX(Avulsos!$D$6:$D$205,$C279)&amp;""="","Outro",INDEX(Avulsos!$D$6:$D$205,$C279))))</f>
        <v/>
      </c>
      <c r="J279" s="114" t="str">
        <f aca="false">IF($E279="","",IF($B279="Tema",INDEX(Temas!$C$6:$C$305,$C279)&amp;"",INDEX(Avulsos!$E$6:$E$205,$C279)&amp;""))</f>
        <v/>
      </c>
      <c r="K279" s="114" t="str">
        <f aca="false">IF($E279="","",IF(IF($B279="Tema",INDEX(Temas!$E$6:$P$305,$C279,2*$D279),INDEX(Avulsos!$F$6:$F$205,$C279))&amp;""="","","✓"))</f>
        <v/>
      </c>
      <c r="L279" s="114" t="str">
        <f aca="true">IF($E279="","",IF($K279="✓","Concluído",IF($E279&lt;TODAY(),"Atrasado",IF($E279=TODAY(),"Hoje","Pendente"))))</f>
        <v/>
      </c>
      <c r="M279" s="114" t="str">
        <f aca="false">IF($E279="","",IF($K279="✓","✓ ","")&amp;IF(Config!$E$22="Sim",$H279&amp;" · ","")&amp;$F279)</f>
        <v/>
      </c>
      <c r="N279" s="114" t="str">
        <f aca="false">IF($E279="","",IFERROR(INDEX(Config!$D$15:$D$19,MATCH($I279,Config!$C$15:$C$19,0)),"OUT")&amp;IF($K279="✓","x",""))</f>
        <v/>
      </c>
      <c r="O279" s="114" t="str">
        <f aca="false">IF($E279="","",COUNTIF($E$5:$E279,$E279))</f>
        <v/>
      </c>
      <c r="P279" s="114" t="str">
        <f aca="false">IF($E279="","",$E279*100+$O279)</f>
        <v/>
      </c>
      <c r="Q279" s="114" t="str">
        <f aca="false">IF($L279="Atrasado",$E279*10000+$A279,"")</f>
        <v/>
      </c>
    </row>
    <row r="280" customFormat="false" ht="15" hidden="false" customHeight="false" outlineLevel="0" collapsed="false">
      <c r="A280" s="114" t="n">
        <f aca="false">ROW()-4</f>
        <v>276</v>
      </c>
      <c r="B280" s="114" t="str">
        <f aca="false">IF(A280&lt;=Config!$E$27*Config!$E$28,"Tema","Avulso")</f>
        <v>Tema</v>
      </c>
      <c r="C280" s="114" t="n">
        <f aca="false">IF(B280="Tema",INT((A280-1)/Config!$E$28)+1,A280-Config!$E$27*Config!$E$28)</f>
        <v>46</v>
      </c>
      <c r="D280" s="114" t="n">
        <f aca="false">IF(B280="Tema",MOD(A280-1,Config!$E$28)+1,"")</f>
        <v>6</v>
      </c>
      <c r="E280" s="115" t="str">
        <f aca="false">IF($B280="Tema",IF(ISNUMBER(INDEX(Temas!$E$6:$P$305,$C280,2*$D280-1)),INDEX(Temas!$E$6:$P$305,$C280,2*$D280-1),""),IF(ISNUMBER(INDEX(Avulsos!$B$6:$B$205,$C280)),INDEX(Avulsos!$B$6:$B$205,$C280),""))</f>
        <v/>
      </c>
      <c r="F280" s="114" t="str">
        <f aca="false">IF($E280="","",IF($B280="Tema",INDEX(Temas!$B$6:$B$305,$C280)&amp;"",INDEX(Avulsos!$C$6:$C$205,$C280)&amp;""))</f>
        <v/>
      </c>
      <c r="G280" s="114" t="str">
        <f aca="false">IF($E280="","",IF($B280="Tema",INDEX(Config!$C$6:$C$11,$D280),"Evento avulso"))</f>
        <v/>
      </c>
      <c r="H280" s="114" t="str">
        <f aca="false">IF($E280="","",IF($B280="Tema",INDEX(Config!$D$6:$D$11,$D280),IFERROR(INDEX(Config!$E$15:$E$19,MATCH($I280,Config!$C$15:$C$19,0)),"•")))</f>
        <v/>
      </c>
      <c r="I280" s="114" t="str">
        <f aca="false">IF($E280="","",IF($B280="Tema",INDEX(Config!$E$6:$E$11,$D280),IF(INDEX(Avulsos!$D$6:$D$205,$C280)&amp;""="","Outro",INDEX(Avulsos!$D$6:$D$205,$C280))))</f>
        <v/>
      </c>
      <c r="J280" s="114" t="str">
        <f aca="false">IF($E280="","",IF($B280="Tema",INDEX(Temas!$C$6:$C$305,$C280)&amp;"",INDEX(Avulsos!$E$6:$E$205,$C280)&amp;""))</f>
        <v/>
      </c>
      <c r="K280" s="114" t="str">
        <f aca="false">IF($E280="","",IF(IF($B280="Tema",INDEX(Temas!$E$6:$P$305,$C280,2*$D280),INDEX(Avulsos!$F$6:$F$205,$C280))&amp;""="","","✓"))</f>
        <v/>
      </c>
      <c r="L280" s="114" t="str">
        <f aca="true">IF($E280="","",IF($K280="✓","Concluído",IF($E280&lt;TODAY(),"Atrasado",IF($E280=TODAY(),"Hoje","Pendente"))))</f>
        <v/>
      </c>
      <c r="M280" s="114" t="str">
        <f aca="false">IF($E280="","",IF($K280="✓","✓ ","")&amp;IF(Config!$E$22="Sim",$H280&amp;" · ","")&amp;$F280)</f>
        <v/>
      </c>
      <c r="N280" s="114" t="str">
        <f aca="false">IF($E280="","",IFERROR(INDEX(Config!$D$15:$D$19,MATCH($I280,Config!$C$15:$C$19,0)),"OUT")&amp;IF($K280="✓","x",""))</f>
        <v/>
      </c>
      <c r="O280" s="114" t="str">
        <f aca="false">IF($E280="","",COUNTIF($E$5:$E280,$E280))</f>
        <v/>
      </c>
      <c r="P280" s="114" t="str">
        <f aca="false">IF($E280="","",$E280*100+$O280)</f>
        <v/>
      </c>
      <c r="Q280" s="114" t="str">
        <f aca="false">IF($L280="Atrasado",$E280*10000+$A280,"")</f>
        <v/>
      </c>
    </row>
    <row r="281" customFormat="false" ht="15" hidden="false" customHeight="false" outlineLevel="0" collapsed="false">
      <c r="A281" s="114" t="n">
        <f aca="false">ROW()-4</f>
        <v>277</v>
      </c>
      <c r="B281" s="114" t="str">
        <f aca="false">IF(A281&lt;=Config!$E$27*Config!$E$28,"Tema","Avulso")</f>
        <v>Tema</v>
      </c>
      <c r="C281" s="114" t="n">
        <f aca="false">IF(B281="Tema",INT((A281-1)/Config!$E$28)+1,A281-Config!$E$27*Config!$E$28)</f>
        <v>47</v>
      </c>
      <c r="D281" s="114" t="n">
        <f aca="false">IF(B281="Tema",MOD(A281-1,Config!$E$28)+1,"")</f>
        <v>1</v>
      </c>
      <c r="E281" s="115" t="str">
        <f aca="false">IF($B281="Tema",IF(ISNUMBER(INDEX(Temas!$E$6:$P$305,$C281,2*$D281-1)),INDEX(Temas!$E$6:$P$305,$C281,2*$D281-1),""),IF(ISNUMBER(INDEX(Avulsos!$B$6:$B$205,$C281)),INDEX(Avulsos!$B$6:$B$205,$C281),""))</f>
        <v/>
      </c>
      <c r="F281" s="114" t="str">
        <f aca="false">IF($E281="","",IF($B281="Tema",INDEX(Temas!$B$6:$B$305,$C281)&amp;"",INDEX(Avulsos!$C$6:$C$205,$C281)&amp;""))</f>
        <v/>
      </c>
      <c r="G281" s="114" t="str">
        <f aca="false">IF($E281="","",IF($B281="Tema",INDEX(Config!$C$6:$C$11,$D281),"Evento avulso"))</f>
        <v/>
      </c>
      <c r="H281" s="114" t="str">
        <f aca="false">IF($E281="","",IF($B281="Tema",INDEX(Config!$D$6:$D$11,$D281),IFERROR(INDEX(Config!$E$15:$E$19,MATCH($I281,Config!$C$15:$C$19,0)),"•")))</f>
        <v/>
      </c>
      <c r="I281" s="114" t="str">
        <f aca="false">IF($E281="","",IF($B281="Tema",INDEX(Config!$E$6:$E$11,$D281),IF(INDEX(Avulsos!$D$6:$D$205,$C281)&amp;""="","Outro",INDEX(Avulsos!$D$6:$D$205,$C281))))</f>
        <v/>
      </c>
      <c r="J281" s="114" t="str">
        <f aca="false">IF($E281="","",IF($B281="Tema",INDEX(Temas!$C$6:$C$305,$C281)&amp;"",INDEX(Avulsos!$E$6:$E$205,$C281)&amp;""))</f>
        <v/>
      </c>
      <c r="K281" s="114" t="str">
        <f aca="false">IF($E281="","",IF(IF($B281="Tema",INDEX(Temas!$E$6:$P$305,$C281,2*$D281),INDEX(Avulsos!$F$6:$F$205,$C281))&amp;""="","","✓"))</f>
        <v/>
      </c>
      <c r="L281" s="114" t="str">
        <f aca="true">IF($E281="","",IF($K281="✓","Concluído",IF($E281&lt;TODAY(),"Atrasado",IF($E281=TODAY(),"Hoje","Pendente"))))</f>
        <v/>
      </c>
      <c r="M281" s="114" t="str">
        <f aca="false">IF($E281="","",IF($K281="✓","✓ ","")&amp;IF(Config!$E$22="Sim",$H281&amp;" · ","")&amp;$F281)</f>
        <v/>
      </c>
      <c r="N281" s="114" t="str">
        <f aca="false">IF($E281="","",IFERROR(INDEX(Config!$D$15:$D$19,MATCH($I281,Config!$C$15:$C$19,0)),"OUT")&amp;IF($K281="✓","x",""))</f>
        <v/>
      </c>
      <c r="O281" s="114" t="str">
        <f aca="false">IF($E281="","",COUNTIF($E$5:$E281,$E281))</f>
        <v/>
      </c>
      <c r="P281" s="114" t="str">
        <f aca="false">IF($E281="","",$E281*100+$O281)</f>
        <v/>
      </c>
      <c r="Q281" s="114" t="str">
        <f aca="false">IF($L281="Atrasado",$E281*10000+$A281,"")</f>
        <v/>
      </c>
    </row>
    <row r="282" customFormat="false" ht="15" hidden="false" customHeight="false" outlineLevel="0" collapsed="false">
      <c r="A282" s="114" t="n">
        <f aca="false">ROW()-4</f>
        <v>278</v>
      </c>
      <c r="B282" s="114" t="str">
        <f aca="false">IF(A282&lt;=Config!$E$27*Config!$E$28,"Tema","Avulso")</f>
        <v>Tema</v>
      </c>
      <c r="C282" s="114" t="n">
        <f aca="false">IF(B282="Tema",INT((A282-1)/Config!$E$28)+1,A282-Config!$E$27*Config!$E$28)</f>
        <v>47</v>
      </c>
      <c r="D282" s="114" t="n">
        <f aca="false">IF(B282="Tema",MOD(A282-1,Config!$E$28)+1,"")</f>
        <v>2</v>
      </c>
      <c r="E282" s="115" t="str">
        <f aca="false">IF($B282="Tema",IF(ISNUMBER(INDEX(Temas!$E$6:$P$305,$C282,2*$D282-1)),INDEX(Temas!$E$6:$P$305,$C282,2*$D282-1),""),IF(ISNUMBER(INDEX(Avulsos!$B$6:$B$205,$C282)),INDEX(Avulsos!$B$6:$B$205,$C282),""))</f>
        <v/>
      </c>
      <c r="F282" s="114" t="str">
        <f aca="false">IF($E282="","",IF($B282="Tema",INDEX(Temas!$B$6:$B$305,$C282)&amp;"",INDEX(Avulsos!$C$6:$C$205,$C282)&amp;""))</f>
        <v/>
      </c>
      <c r="G282" s="114" t="str">
        <f aca="false">IF($E282="","",IF($B282="Tema",INDEX(Config!$C$6:$C$11,$D282),"Evento avulso"))</f>
        <v/>
      </c>
      <c r="H282" s="114" t="str">
        <f aca="false">IF($E282="","",IF($B282="Tema",INDEX(Config!$D$6:$D$11,$D282),IFERROR(INDEX(Config!$E$15:$E$19,MATCH($I282,Config!$C$15:$C$19,0)),"•")))</f>
        <v/>
      </c>
      <c r="I282" s="114" t="str">
        <f aca="false">IF($E282="","",IF($B282="Tema",INDEX(Config!$E$6:$E$11,$D282),IF(INDEX(Avulsos!$D$6:$D$205,$C282)&amp;""="","Outro",INDEX(Avulsos!$D$6:$D$205,$C282))))</f>
        <v/>
      </c>
      <c r="J282" s="114" t="str">
        <f aca="false">IF($E282="","",IF($B282="Tema",INDEX(Temas!$C$6:$C$305,$C282)&amp;"",INDEX(Avulsos!$E$6:$E$205,$C282)&amp;""))</f>
        <v/>
      </c>
      <c r="K282" s="114" t="str">
        <f aca="false">IF($E282="","",IF(IF($B282="Tema",INDEX(Temas!$E$6:$P$305,$C282,2*$D282),INDEX(Avulsos!$F$6:$F$205,$C282))&amp;""="","","✓"))</f>
        <v/>
      </c>
      <c r="L282" s="114" t="str">
        <f aca="true">IF($E282="","",IF($K282="✓","Concluído",IF($E282&lt;TODAY(),"Atrasado",IF($E282=TODAY(),"Hoje","Pendente"))))</f>
        <v/>
      </c>
      <c r="M282" s="114" t="str">
        <f aca="false">IF($E282="","",IF($K282="✓","✓ ","")&amp;IF(Config!$E$22="Sim",$H282&amp;" · ","")&amp;$F282)</f>
        <v/>
      </c>
      <c r="N282" s="114" t="str">
        <f aca="false">IF($E282="","",IFERROR(INDEX(Config!$D$15:$D$19,MATCH($I282,Config!$C$15:$C$19,0)),"OUT")&amp;IF($K282="✓","x",""))</f>
        <v/>
      </c>
      <c r="O282" s="114" t="str">
        <f aca="false">IF($E282="","",COUNTIF($E$5:$E282,$E282))</f>
        <v/>
      </c>
      <c r="P282" s="114" t="str">
        <f aca="false">IF($E282="","",$E282*100+$O282)</f>
        <v/>
      </c>
      <c r="Q282" s="114" t="str">
        <f aca="false">IF($L282="Atrasado",$E282*10000+$A282,"")</f>
        <v/>
      </c>
    </row>
    <row r="283" customFormat="false" ht="15" hidden="false" customHeight="false" outlineLevel="0" collapsed="false">
      <c r="A283" s="114" t="n">
        <f aca="false">ROW()-4</f>
        <v>279</v>
      </c>
      <c r="B283" s="114" t="str">
        <f aca="false">IF(A283&lt;=Config!$E$27*Config!$E$28,"Tema","Avulso")</f>
        <v>Tema</v>
      </c>
      <c r="C283" s="114" t="n">
        <f aca="false">IF(B283="Tema",INT((A283-1)/Config!$E$28)+1,A283-Config!$E$27*Config!$E$28)</f>
        <v>47</v>
      </c>
      <c r="D283" s="114" t="n">
        <f aca="false">IF(B283="Tema",MOD(A283-1,Config!$E$28)+1,"")</f>
        <v>3</v>
      </c>
      <c r="E283" s="115" t="str">
        <f aca="false">IF($B283="Tema",IF(ISNUMBER(INDEX(Temas!$E$6:$P$305,$C283,2*$D283-1)),INDEX(Temas!$E$6:$P$305,$C283,2*$D283-1),""),IF(ISNUMBER(INDEX(Avulsos!$B$6:$B$205,$C283)),INDEX(Avulsos!$B$6:$B$205,$C283),""))</f>
        <v/>
      </c>
      <c r="F283" s="114" t="str">
        <f aca="false">IF($E283="","",IF($B283="Tema",INDEX(Temas!$B$6:$B$305,$C283)&amp;"",INDEX(Avulsos!$C$6:$C$205,$C283)&amp;""))</f>
        <v/>
      </c>
      <c r="G283" s="114" t="str">
        <f aca="false">IF($E283="","",IF($B283="Tema",INDEX(Config!$C$6:$C$11,$D283),"Evento avulso"))</f>
        <v/>
      </c>
      <c r="H283" s="114" t="str">
        <f aca="false">IF($E283="","",IF($B283="Tema",INDEX(Config!$D$6:$D$11,$D283),IFERROR(INDEX(Config!$E$15:$E$19,MATCH($I283,Config!$C$15:$C$19,0)),"•")))</f>
        <v/>
      </c>
      <c r="I283" s="114" t="str">
        <f aca="false">IF($E283="","",IF($B283="Tema",INDEX(Config!$E$6:$E$11,$D283),IF(INDEX(Avulsos!$D$6:$D$205,$C283)&amp;""="","Outro",INDEX(Avulsos!$D$6:$D$205,$C283))))</f>
        <v/>
      </c>
      <c r="J283" s="114" t="str">
        <f aca="false">IF($E283="","",IF($B283="Tema",INDEX(Temas!$C$6:$C$305,$C283)&amp;"",INDEX(Avulsos!$E$6:$E$205,$C283)&amp;""))</f>
        <v/>
      </c>
      <c r="K283" s="114" t="str">
        <f aca="false">IF($E283="","",IF(IF($B283="Tema",INDEX(Temas!$E$6:$P$305,$C283,2*$D283),INDEX(Avulsos!$F$6:$F$205,$C283))&amp;""="","","✓"))</f>
        <v/>
      </c>
      <c r="L283" s="114" t="str">
        <f aca="true">IF($E283="","",IF($K283="✓","Concluído",IF($E283&lt;TODAY(),"Atrasado",IF($E283=TODAY(),"Hoje","Pendente"))))</f>
        <v/>
      </c>
      <c r="M283" s="114" t="str">
        <f aca="false">IF($E283="","",IF($K283="✓","✓ ","")&amp;IF(Config!$E$22="Sim",$H283&amp;" · ","")&amp;$F283)</f>
        <v/>
      </c>
      <c r="N283" s="114" t="str">
        <f aca="false">IF($E283="","",IFERROR(INDEX(Config!$D$15:$D$19,MATCH($I283,Config!$C$15:$C$19,0)),"OUT")&amp;IF($K283="✓","x",""))</f>
        <v/>
      </c>
      <c r="O283" s="114" t="str">
        <f aca="false">IF($E283="","",COUNTIF($E$5:$E283,$E283))</f>
        <v/>
      </c>
      <c r="P283" s="114" t="str">
        <f aca="false">IF($E283="","",$E283*100+$O283)</f>
        <v/>
      </c>
      <c r="Q283" s="114" t="str">
        <f aca="false">IF($L283="Atrasado",$E283*10000+$A283,"")</f>
        <v/>
      </c>
    </row>
    <row r="284" customFormat="false" ht="15" hidden="false" customHeight="false" outlineLevel="0" collapsed="false">
      <c r="A284" s="114" t="n">
        <f aca="false">ROW()-4</f>
        <v>280</v>
      </c>
      <c r="B284" s="114" t="str">
        <f aca="false">IF(A284&lt;=Config!$E$27*Config!$E$28,"Tema","Avulso")</f>
        <v>Tema</v>
      </c>
      <c r="C284" s="114" t="n">
        <f aca="false">IF(B284="Tema",INT((A284-1)/Config!$E$28)+1,A284-Config!$E$27*Config!$E$28)</f>
        <v>47</v>
      </c>
      <c r="D284" s="114" t="n">
        <f aca="false">IF(B284="Tema",MOD(A284-1,Config!$E$28)+1,"")</f>
        <v>4</v>
      </c>
      <c r="E284" s="115" t="str">
        <f aca="false">IF($B284="Tema",IF(ISNUMBER(INDEX(Temas!$E$6:$P$305,$C284,2*$D284-1)),INDEX(Temas!$E$6:$P$305,$C284,2*$D284-1),""),IF(ISNUMBER(INDEX(Avulsos!$B$6:$B$205,$C284)),INDEX(Avulsos!$B$6:$B$205,$C284),""))</f>
        <v/>
      </c>
      <c r="F284" s="114" t="str">
        <f aca="false">IF($E284="","",IF($B284="Tema",INDEX(Temas!$B$6:$B$305,$C284)&amp;"",INDEX(Avulsos!$C$6:$C$205,$C284)&amp;""))</f>
        <v/>
      </c>
      <c r="G284" s="114" t="str">
        <f aca="false">IF($E284="","",IF($B284="Tema",INDEX(Config!$C$6:$C$11,$D284),"Evento avulso"))</f>
        <v/>
      </c>
      <c r="H284" s="114" t="str">
        <f aca="false">IF($E284="","",IF($B284="Tema",INDEX(Config!$D$6:$D$11,$D284),IFERROR(INDEX(Config!$E$15:$E$19,MATCH($I284,Config!$C$15:$C$19,0)),"•")))</f>
        <v/>
      </c>
      <c r="I284" s="114" t="str">
        <f aca="false">IF($E284="","",IF($B284="Tema",INDEX(Config!$E$6:$E$11,$D284),IF(INDEX(Avulsos!$D$6:$D$205,$C284)&amp;""="","Outro",INDEX(Avulsos!$D$6:$D$205,$C284))))</f>
        <v/>
      </c>
      <c r="J284" s="114" t="str">
        <f aca="false">IF($E284="","",IF($B284="Tema",INDEX(Temas!$C$6:$C$305,$C284)&amp;"",INDEX(Avulsos!$E$6:$E$205,$C284)&amp;""))</f>
        <v/>
      </c>
      <c r="K284" s="114" t="str">
        <f aca="false">IF($E284="","",IF(IF($B284="Tema",INDEX(Temas!$E$6:$P$305,$C284,2*$D284),INDEX(Avulsos!$F$6:$F$205,$C284))&amp;""="","","✓"))</f>
        <v/>
      </c>
      <c r="L284" s="114" t="str">
        <f aca="true">IF($E284="","",IF($K284="✓","Concluído",IF($E284&lt;TODAY(),"Atrasado",IF($E284=TODAY(),"Hoje","Pendente"))))</f>
        <v/>
      </c>
      <c r="M284" s="114" t="str">
        <f aca="false">IF($E284="","",IF($K284="✓","✓ ","")&amp;IF(Config!$E$22="Sim",$H284&amp;" · ","")&amp;$F284)</f>
        <v/>
      </c>
      <c r="N284" s="114" t="str">
        <f aca="false">IF($E284="","",IFERROR(INDEX(Config!$D$15:$D$19,MATCH($I284,Config!$C$15:$C$19,0)),"OUT")&amp;IF($K284="✓","x",""))</f>
        <v/>
      </c>
      <c r="O284" s="114" t="str">
        <f aca="false">IF($E284="","",COUNTIF($E$5:$E284,$E284))</f>
        <v/>
      </c>
      <c r="P284" s="114" t="str">
        <f aca="false">IF($E284="","",$E284*100+$O284)</f>
        <v/>
      </c>
      <c r="Q284" s="114" t="str">
        <f aca="false">IF($L284="Atrasado",$E284*10000+$A284,"")</f>
        <v/>
      </c>
    </row>
    <row r="285" customFormat="false" ht="15" hidden="false" customHeight="false" outlineLevel="0" collapsed="false">
      <c r="A285" s="114" t="n">
        <f aca="false">ROW()-4</f>
        <v>281</v>
      </c>
      <c r="B285" s="114" t="str">
        <f aca="false">IF(A285&lt;=Config!$E$27*Config!$E$28,"Tema","Avulso")</f>
        <v>Tema</v>
      </c>
      <c r="C285" s="114" t="n">
        <f aca="false">IF(B285="Tema",INT((A285-1)/Config!$E$28)+1,A285-Config!$E$27*Config!$E$28)</f>
        <v>47</v>
      </c>
      <c r="D285" s="114" t="n">
        <f aca="false">IF(B285="Tema",MOD(A285-1,Config!$E$28)+1,"")</f>
        <v>5</v>
      </c>
      <c r="E285" s="115" t="str">
        <f aca="false">IF($B285="Tema",IF(ISNUMBER(INDEX(Temas!$E$6:$P$305,$C285,2*$D285-1)),INDEX(Temas!$E$6:$P$305,$C285,2*$D285-1),""),IF(ISNUMBER(INDEX(Avulsos!$B$6:$B$205,$C285)),INDEX(Avulsos!$B$6:$B$205,$C285),""))</f>
        <v/>
      </c>
      <c r="F285" s="114" t="str">
        <f aca="false">IF($E285="","",IF($B285="Tema",INDEX(Temas!$B$6:$B$305,$C285)&amp;"",INDEX(Avulsos!$C$6:$C$205,$C285)&amp;""))</f>
        <v/>
      </c>
      <c r="G285" s="114" t="str">
        <f aca="false">IF($E285="","",IF($B285="Tema",INDEX(Config!$C$6:$C$11,$D285),"Evento avulso"))</f>
        <v/>
      </c>
      <c r="H285" s="114" t="str">
        <f aca="false">IF($E285="","",IF($B285="Tema",INDEX(Config!$D$6:$D$11,$D285),IFERROR(INDEX(Config!$E$15:$E$19,MATCH($I285,Config!$C$15:$C$19,0)),"•")))</f>
        <v/>
      </c>
      <c r="I285" s="114" t="str">
        <f aca="false">IF($E285="","",IF($B285="Tema",INDEX(Config!$E$6:$E$11,$D285),IF(INDEX(Avulsos!$D$6:$D$205,$C285)&amp;""="","Outro",INDEX(Avulsos!$D$6:$D$205,$C285))))</f>
        <v/>
      </c>
      <c r="J285" s="114" t="str">
        <f aca="false">IF($E285="","",IF($B285="Tema",INDEX(Temas!$C$6:$C$305,$C285)&amp;"",INDEX(Avulsos!$E$6:$E$205,$C285)&amp;""))</f>
        <v/>
      </c>
      <c r="K285" s="114" t="str">
        <f aca="false">IF($E285="","",IF(IF($B285="Tema",INDEX(Temas!$E$6:$P$305,$C285,2*$D285),INDEX(Avulsos!$F$6:$F$205,$C285))&amp;""="","","✓"))</f>
        <v/>
      </c>
      <c r="L285" s="114" t="str">
        <f aca="true">IF($E285="","",IF($K285="✓","Concluído",IF($E285&lt;TODAY(),"Atrasado",IF($E285=TODAY(),"Hoje","Pendente"))))</f>
        <v/>
      </c>
      <c r="M285" s="114" t="str">
        <f aca="false">IF($E285="","",IF($K285="✓","✓ ","")&amp;IF(Config!$E$22="Sim",$H285&amp;" · ","")&amp;$F285)</f>
        <v/>
      </c>
      <c r="N285" s="114" t="str">
        <f aca="false">IF($E285="","",IFERROR(INDEX(Config!$D$15:$D$19,MATCH($I285,Config!$C$15:$C$19,0)),"OUT")&amp;IF($K285="✓","x",""))</f>
        <v/>
      </c>
      <c r="O285" s="114" t="str">
        <f aca="false">IF($E285="","",COUNTIF($E$5:$E285,$E285))</f>
        <v/>
      </c>
      <c r="P285" s="114" t="str">
        <f aca="false">IF($E285="","",$E285*100+$O285)</f>
        <v/>
      </c>
      <c r="Q285" s="114" t="str">
        <f aca="false">IF($L285="Atrasado",$E285*10000+$A285,"")</f>
        <v/>
      </c>
    </row>
    <row r="286" customFormat="false" ht="15" hidden="false" customHeight="false" outlineLevel="0" collapsed="false">
      <c r="A286" s="114" t="n">
        <f aca="false">ROW()-4</f>
        <v>282</v>
      </c>
      <c r="B286" s="114" t="str">
        <f aca="false">IF(A286&lt;=Config!$E$27*Config!$E$28,"Tema","Avulso")</f>
        <v>Tema</v>
      </c>
      <c r="C286" s="114" t="n">
        <f aca="false">IF(B286="Tema",INT((A286-1)/Config!$E$28)+1,A286-Config!$E$27*Config!$E$28)</f>
        <v>47</v>
      </c>
      <c r="D286" s="114" t="n">
        <f aca="false">IF(B286="Tema",MOD(A286-1,Config!$E$28)+1,"")</f>
        <v>6</v>
      </c>
      <c r="E286" s="115" t="str">
        <f aca="false">IF($B286="Tema",IF(ISNUMBER(INDEX(Temas!$E$6:$P$305,$C286,2*$D286-1)),INDEX(Temas!$E$6:$P$305,$C286,2*$D286-1),""),IF(ISNUMBER(INDEX(Avulsos!$B$6:$B$205,$C286)),INDEX(Avulsos!$B$6:$B$205,$C286),""))</f>
        <v/>
      </c>
      <c r="F286" s="114" t="str">
        <f aca="false">IF($E286="","",IF($B286="Tema",INDEX(Temas!$B$6:$B$305,$C286)&amp;"",INDEX(Avulsos!$C$6:$C$205,$C286)&amp;""))</f>
        <v/>
      </c>
      <c r="G286" s="114" t="str">
        <f aca="false">IF($E286="","",IF($B286="Tema",INDEX(Config!$C$6:$C$11,$D286),"Evento avulso"))</f>
        <v/>
      </c>
      <c r="H286" s="114" t="str">
        <f aca="false">IF($E286="","",IF($B286="Tema",INDEX(Config!$D$6:$D$11,$D286),IFERROR(INDEX(Config!$E$15:$E$19,MATCH($I286,Config!$C$15:$C$19,0)),"•")))</f>
        <v/>
      </c>
      <c r="I286" s="114" t="str">
        <f aca="false">IF($E286="","",IF($B286="Tema",INDEX(Config!$E$6:$E$11,$D286),IF(INDEX(Avulsos!$D$6:$D$205,$C286)&amp;""="","Outro",INDEX(Avulsos!$D$6:$D$205,$C286))))</f>
        <v/>
      </c>
      <c r="J286" s="114" t="str">
        <f aca="false">IF($E286="","",IF($B286="Tema",INDEX(Temas!$C$6:$C$305,$C286)&amp;"",INDEX(Avulsos!$E$6:$E$205,$C286)&amp;""))</f>
        <v/>
      </c>
      <c r="K286" s="114" t="str">
        <f aca="false">IF($E286="","",IF(IF($B286="Tema",INDEX(Temas!$E$6:$P$305,$C286,2*$D286),INDEX(Avulsos!$F$6:$F$205,$C286))&amp;""="","","✓"))</f>
        <v/>
      </c>
      <c r="L286" s="114" t="str">
        <f aca="true">IF($E286="","",IF($K286="✓","Concluído",IF($E286&lt;TODAY(),"Atrasado",IF($E286=TODAY(),"Hoje","Pendente"))))</f>
        <v/>
      </c>
      <c r="M286" s="114" t="str">
        <f aca="false">IF($E286="","",IF($K286="✓","✓ ","")&amp;IF(Config!$E$22="Sim",$H286&amp;" · ","")&amp;$F286)</f>
        <v/>
      </c>
      <c r="N286" s="114" t="str">
        <f aca="false">IF($E286="","",IFERROR(INDEX(Config!$D$15:$D$19,MATCH($I286,Config!$C$15:$C$19,0)),"OUT")&amp;IF($K286="✓","x",""))</f>
        <v/>
      </c>
      <c r="O286" s="114" t="str">
        <f aca="false">IF($E286="","",COUNTIF($E$5:$E286,$E286))</f>
        <v/>
      </c>
      <c r="P286" s="114" t="str">
        <f aca="false">IF($E286="","",$E286*100+$O286)</f>
        <v/>
      </c>
      <c r="Q286" s="114" t="str">
        <f aca="false">IF($L286="Atrasado",$E286*10000+$A286,"")</f>
        <v/>
      </c>
    </row>
    <row r="287" customFormat="false" ht="15" hidden="false" customHeight="false" outlineLevel="0" collapsed="false">
      <c r="A287" s="114" t="n">
        <f aca="false">ROW()-4</f>
        <v>283</v>
      </c>
      <c r="B287" s="114" t="str">
        <f aca="false">IF(A287&lt;=Config!$E$27*Config!$E$28,"Tema","Avulso")</f>
        <v>Tema</v>
      </c>
      <c r="C287" s="114" t="n">
        <f aca="false">IF(B287="Tema",INT((A287-1)/Config!$E$28)+1,A287-Config!$E$27*Config!$E$28)</f>
        <v>48</v>
      </c>
      <c r="D287" s="114" t="n">
        <f aca="false">IF(B287="Tema",MOD(A287-1,Config!$E$28)+1,"")</f>
        <v>1</v>
      </c>
      <c r="E287" s="115" t="str">
        <f aca="false">IF($B287="Tema",IF(ISNUMBER(INDEX(Temas!$E$6:$P$305,$C287,2*$D287-1)),INDEX(Temas!$E$6:$P$305,$C287,2*$D287-1),""),IF(ISNUMBER(INDEX(Avulsos!$B$6:$B$205,$C287)),INDEX(Avulsos!$B$6:$B$205,$C287),""))</f>
        <v/>
      </c>
      <c r="F287" s="114" t="str">
        <f aca="false">IF($E287="","",IF($B287="Tema",INDEX(Temas!$B$6:$B$305,$C287)&amp;"",INDEX(Avulsos!$C$6:$C$205,$C287)&amp;""))</f>
        <v/>
      </c>
      <c r="G287" s="114" t="str">
        <f aca="false">IF($E287="","",IF($B287="Tema",INDEX(Config!$C$6:$C$11,$D287),"Evento avulso"))</f>
        <v/>
      </c>
      <c r="H287" s="114" t="str">
        <f aca="false">IF($E287="","",IF($B287="Tema",INDEX(Config!$D$6:$D$11,$D287),IFERROR(INDEX(Config!$E$15:$E$19,MATCH($I287,Config!$C$15:$C$19,0)),"•")))</f>
        <v/>
      </c>
      <c r="I287" s="114" t="str">
        <f aca="false">IF($E287="","",IF($B287="Tema",INDEX(Config!$E$6:$E$11,$D287),IF(INDEX(Avulsos!$D$6:$D$205,$C287)&amp;""="","Outro",INDEX(Avulsos!$D$6:$D$205,$C287))))</f>
        <v/>
      </c>
      <c r="J287" s="114" t="str">
        <f aca="false">IF($E287="","",IF($B287="Tema",INDEX(Temas!$C$6:$C$305,$C287)&amp;"",INDEX(Avulsos!$E$6:$E$205,$C287)&amp;""))</f>
        <v/>
      </c>
      <c r="K287" s="114" t="str">
        <f aca="false">IF($E287="","",IF(IF($B287="Tema",INDEX(Temas!$E$6:$P$305,$C287,2*$D287),INDEX(Avulsos!$F$6:$F$205,$C287))&amp;""="","","✓"))</f>
        <v/>
      </c>
      <c r="L287" s="114" t="str">
        <f aca="true">IF($E287="","",IF($K287="✓","Concluído",IF($E287&lt;TODAY(),"Atrasado",IF($E287=TODAY(),"Hoje","Pendente"))))</f>
        <v/>
      </c>
      <c r="M287" s="114" t="str">
        <f aca="false">IF($E287="","",IF($K287="✓","✓ ","")&amp;IF(Config!$E$22="Sim",$H287&amp;" · ","")&amp;$F287)</f>
        <v/>
      </c>
      <c r="N287" s="114" t="str">
        <f aca="false">IF($E287="","",IFERROR(INDEX(Config!$D$15:$D$19,MATCH($I287,Config!$C$15:$C$19,0)),"OUT")&amp;IF($K287="✓","x",""))</f>
        <v/>
      </c>
      <c r="O287" s="114" t="str">
        <f aca="false">IF($E287="","",COUNTIF($E$5:$E287,$E287))</f>
        <v/>
      </c>
      <c r="P287" s="114" t="str">
        <f aca="false">IF($E287="","",$E287*100+$O287)</f>
        <v/>
      </c>
      <c r="Q287" s="114" t="str">
        <f aca="false">IF($L287="Atrasado",$E287*10000+$A287,"")</f>
        <v/>
      </c>
    </row>
    <row r="288" customFormat="false" ht="15" hidden="false" customHeight="false" outlineLevel="0" collapsed="false">
      <c r="A288" s="114" t="n">
        <f aca="false">ROW()-4</f>
        <v>284</v>
      </c>
      <c r="B288" s="114" t="str">
        <f aca="false">IF(A288&lt;=Config!$E$27*Config!$E$28,"Tema","Avulso")</f>
        <v>Tema</v>
      </c>
      <c r="C288" s="114" t="n">
        <f aca="false">IF(B288="Tema",INT((A288-1)/Config!$E$28)+1,A288-Config!$E$27*Config!$E$28)</f>
        <v>48</v>
      </c>
      <c r="D288" s="114" t="n">
        <f aca="false">IF(B288="Tema",MOD(A288-1,Config!$E$28)+1,"")</f>
        <v>2</v>
      </c>
      <c r="E288" s="115" t="str">
        <f aca="false">IF($B288="Tema",IF(ISNUMBER(INDEX(Temas!$E$6:$P$305,$C288,2*$D288-1)),INDEX(Temas!$E$6:$P$305,$C288,2*$D288-1),""),IF(ISNUMBER(INDEX(Avulsos!$B$6:$B$205,$C288)),INDEX(Avulsos!$B$6:$B$205,$C288),""))</f>
        <v/>
      </c>
      <c r="F288" s="114" t="str">
        <f aca="false">IF($E288="","",IF($B288="Tema",INDEX(Temas!$B$6:$B$305,$C288)&amp;"",INDEX(Avulsos!$C$6:$C$205,$C288)&amp;""))</f>
        <v/>
      </c>
      <c r="G288" s="114" t="str">
        <f aca="false">IF($E288="","",IF($B288="Tema",INDEX(Config!$C$6:$C$11,$D288),"Evento avulso"))</f>
        <v/>
      </c>
      <c r="H288" s="114" t="str">
        <f aca="false">IF($E288="","",IF($B288="Tema",INDEX(Config!$D$6:$D$11,$D288),IFERROR(INDEX(Config!$E$15:$E$19,MATCH($I288,Config!$C$15:$C$19,0)),"•")))</f>
        <v/>
      </c>
      <c r="I288" s="114" t="str">
        <f aca="false">IF($E288="","",IF($B288="Tema",INDEX(Config!$E$6:$E$11,$D288),IF(INDEX(Avulsos!$D$6:$D$205,$C288)&amp;""="","Outro",INDEX(Avulsos!$D$6:$D$205,$C288))))</f>
        <v/>
      </c>
      <c r="J288" s="114" t="str">
        <f aca="false">IF($E288="","",IF($B288="Tema",INDEX(Temas!$C$6:$C$305,$C288)&amp;"",INDEX(Avulsos!$E$6:$E$205,$C288)&amp;""))</f>
        <v/>
      </c>
      <c r="K288" s="114" t="str">
        <f aca="false">IF($E288="","",IF(IF($B288="Tema",INDEX(Temas!$E$6:$P$305,$C288,2*$D288),INDEX(Avulsos!$F$6:$F$205,$C288))&amp;""="","","✓"))</f>
        <v/>
      </c>
      <c r="L288" s="114" t="str">
        <f aca="true">IF($E288="","",IF($K288="✓","Concluído",IF($E288&lt;TODAY(),"Atrasado",IF($E288=TODAY(),"Hoje","Pendente"))))</f>
        <v/>
      </c>
      <c r="M288" s="114" t="str">
        <f aca="false">IF($E288="","",IF($K288="✓","✓ ","")&amp;IF(Config!$E$22="Sim",$H288&amp;" · ","")&amp;$F288)</f>
        <v/>
      </c>
      <c r="N288" s="114" t="str">
        <f aca="false">IF($E288="","",IFERROR(INDEX(Config!$D$15:$D$19,MATCH($I288,Config!$C$15:$C$19,0)),"OUT")&amp;IF($K288="✓","x",""))</f>
        <v/>
      </c>
      <c r="O288" s="114" t="str">
        <f aca="false">IF($E288="","",COUNTIF($E$5:$E288,$E288))</f>
        <v/>
      </c>
      <c r="P288" s="114" t="str">
        <f aca="false">IF($E288="","",$E288*100+$O288)</f>
        <v/>
      </c>
      <c r="Q288" s="114" t="str">
        <f aca="false">IF($L288="Atrasado",$E288*10000+$A288,"")</f>
        <v/>
      </c>
    </row>
    <row r="289" customFormat="false" ht="15" hidden="false" customHeight="false" outlineLevel="0" collapsed="false">
      <c r="A289" s="114" t="n">
        <f aca="false">ROW()-4</f>
        <v>285</v>
      </c>
      <c r="B289" s="114" t="str">
        <f aca="false">IF(A289&lt;=Config!$E$27*Config!$E$28,"Tema","Avulso")</f>
        <v>Tema</v>
      </c>
      <c r="C289" s="114" t="n">
        <f aca="false">IF(B289="Tema",INT((A289-1)/Config!$E$28)+1,A289-Config!$E$27*Config!$E$28)</f>
        <v>48</v>
      </c>
      <c r="D289" s="114" t="n">
        <f aca="false">IF(B289="Tema",MOD(A289-1,Config!$E$28)+1,"")</f>
        <v>3</v>
      </c>
      <c r="E289" s="115" t="str">
        <f aca="false">IF($B289="Tema",IF(ISNUMBER(INDEX(Temas!$E$6:$P$305,$C289,2*$D289-1)),INDEX(Temas!$E$6:$P$305,$C289,2*$D289-1),""),IF(ISNUMBER(INDEX(Avulsos!$B$6:$B$205,$C289)),INDEX(Avulsos!$B$6:$B$205,$C289),""))</f>
        <v/>
      </c>
      <c r="F289" s="114" t="str">
        <f aca="false">IF($E289="","",IF($B289="Tema",INDEX(Temas!$B$6:$B$305,$C289)&amp;"",INDEX(Avulsos!$C$6:$C$205,$C289)&amp;""))</f>
        <v/>
      </c>
      <c r="G289" s="114" t="str">
        <f aca="false">IF($E289="","",IF($B289="Tema",INDEX(Config!$C$6:$C$11,$D289),"Evento avulso"))</f>
        <v/>
      </c>
      <c r="H289" s="114" t="str">
        <f aca="false">IF($E289="","",IF($B289="Tema",INDEX(Config!$D$6:$D$11,$D289),IFERROR(INDEX(Config!$E$15:$E$19,MATCH($I289,Config!$C$15:$C$19,0)),"•")))</f>
        <v/>
      </c>
      <c r="I289" s="114" t="str">
        <f aca="false">IF($E289="","",IF($B289="Tema",INDEX(Config!$E$6:$E$11,$D289),IF(INDEX(Avulsos!$D$6:$D$205,$C289)&amp;""="","Outro",INDEX(Avulsos!$D$6:$D$205,$C289))))</f>
        <v/>
      </c>
      <c r="J289" s="114" t="str">
        <f aca="false">IF($E289="","",IF($B289="Tema",INDEX(Temas!$C$6:$C$305,$C289)&amp;"",INDEX(Avulsos!$E$6:$E$205,$C289)&amp;""))</f>
        <v/>
      </c>
      <c r="K289" s="114" t="str">
        <f aca="false">IF($E289="","",IF(IF($B289="Tema",INDEX(Temas!$E$6:$P$305,$C289,2*$D289),INDEX(Avulsos!$F$6:$F$205,$C289))&amp;""="","","✓"))</f>
        <v/>
      </c>
      <c r="L289" s="114" t="str">
        <f aca="true">IF($E289="","",IF($K289="✓","Concluído",IF($E289&lt;TODAY(),"Atrasado",IF($E289=TODAY(),"Hoje","Pendente"))))</f>
        <v/>
      </c>
      <c r="M289" s="114" t="str">
        <f aca="false">IF($E289="","",IF($K289="✓","✓ ","")&amp;IF(Config!$E$22="Sim",$H289&amp;" · ","")&amp;$F289)</f>
        <v/>
      </c>
      <c r="N289" s="114" t="str">
        <f aca="false">IF($E289="","",IFERROR(INDEX(Config!$D$15:$D$19,MATCH($I289,Config!$C$15:$C$19,0)),"OUT")&amp;IF($K289="✓","x",""))</f>
        <v/>
      </c>
      <c r="O289" s="114" t="str">
        <f aca="false">IF($E289="","",COUNTIF($E$5:$E289,$E289))</f>
        <v/>
      </c>
      <c r="P289" s="114" t="str">
        <f aca="false">IF($E289="","",$E289*100+$O289)</f>
        <v/>
      </c>
      <c r="Q289" s="114" t="str">
        <f aca="false">IF($L289="Atrasado",$E289*10000+$A289,"")</f>
        <v/>
      </c>
    </row>
    <row r="290" customFormat="false" ht="15" hidden="false" customHeight="false" outlineLevel="0" collapsed="false">
      <c r="A290" s="114" t="n">
        <f aca="false">ROW()-4</f>
        <v>286</v>
      </c>
      <c r="B290" s="114" t="str">
        <f aca="false">IF(A290&lt;=Config!$E$27*Config!$E$28,"Tema","Avulso")</f>
        <v>Tema</v>
      </c>
      <c r="C290" s="114" t="n">
        <f aca="false">IF(B290="Tema",INT((A290-1)/Config!$E$28)+1,A290-Config!$E$27*Config!$E$28)</f>
        <v>48</v>
      </c>
      <c r="D290" s="114" t="n">
        <f aca="false">IF(B290="Tema",MOD(A290-1,Config!$E$28)+1,"")</f>
        <v>4</v>
      </c>
      <c r="E290" s="115" t="str">
        <f aca="false">IF($B290="Tema",IF(ISNUMBER(INDEX(Temas!$E$6:$P$305,$C290,2*$D290-1)),INDEX(Temas!$E$6:$P$305,$C290,2*$D290-1),""),IF(ISNUMBER(INDEX(Avulsos!$B$6:$B$205,$C290)),INDEX(Avulsos!$B$6:$B$205,$C290),""))</f>
        <v/>
      </c>
      <c r="F290" s="114" t="str">
        <f aca="false">IF($E290="","",IF($B290="Tema",INDEX(Temas!$B$6:$B$305,$C290)&amp;"",INDEX(Avulsos!$C$6:$C$205,$C290)&amp;""))</f>
        <v/>
      </c>
      <c r="G290" s="114" t="str">
        <f aca="false">IF($E290="","",IF($B290="Tema",INDEX(Config!$C$6:$C$11,$D290),"Evento avulso"))</f>
        <v/>
      </c>
      <c r="H290" s="114" t="str">
        <f aca="false">IF($E290="","",IF($B290="Tema",INDEX(Config!$D$6:$D$11,$D290),IFERROR(INDEX(Config!$E$15:$E$19,MATCH($I290,Config!$C$15:$C$19,0)),"•")))</f>
        <v/>
      </c>
      <c r="I290" s="114" t="str">
        <f aca="false">IF($E290="","",IF($B290="Tema",INDEX(Config!$E$6:$E$11,$D290),IF(INDEX(Avulsos!$D$6:$D$205,$C290)&amp;""="","Outro",INDEX(Avulsos!$D$6:$D$205,$C290))))</f>
        <v/>
      </c>
      <c r="J290" s="114" t="str">
        <f aca="false">IF($E290="","",IF($B290="Tema",INDEX(Temas!$C$6:$C$305,$C290)&amp;"",INDEX(Avulsos!$E$6:$E$205,$C290)&amp;""))</f>
        <v/>
      </c>
      <c r="K290" s="114" t="str">
        <f aca="false">IF($E290="","",IF(IF($B290="Tema",INDEX(Temas!$E$6:$P$305,$C290,2*$D290),INDEX(Avulsos!$F$6:$F$205,$C290))&amp;""="","","✓"))</f>
        <v/>
      </c>
      <c r="L290" s="114" t="str">
        <f aca="true">IF($E290="","",IF($K290="✓","Concluído",IF($E290&lt;TODAY(),"Atrasado",IF($E290=TODAY(),"Hoje","Pendente"))))</f>
        <v/>
      </c>
      <c r="M290" s="114" t="str">
        <f aca="false">IF($E290="","",IF($K290="✓","✓ ","")&amp;IF(Config!$E$22="Sim",$H290&amp;" · ","")&amp;$F290)</f>
        <v/>
      </c>
      <c r="N290" s="114" t="str">
        <f aca="false">IF($E290="","",IFERROR(INDEX(Config!$D$15:$D$19,MATCH($I290,Config!$C$15:$C$19,0)),"OUT")&amp;IF($K290="✓","x",""))</f>
        <v/>
      </c>
      <c r="O290" s="114" t="str">
        <f aca="false">IF($E290="","",COUNTIF($E$5:$E290,$E290))</f>
        <v/>
      </c>
      <c r="P290" s="114" t="str">
        <f aca="false">IF($E290="","",$E290*100+$O290)</f>
        <v/>
      </c>
      <c r="Q290" s="114" t="str">
        <f aca="false">IF($L290="Atrasado",$E290*10000+$A290,"")</f>
        <v/>
      </c>
    </row>
    <row r="291" customFormat="false" ht="15" hidden="false" customHeight="false" outlineLevel="0" collapsed="false">
      <c r="A291" s="114" t="n">
        <f aca="false">ROW()-4</f>
        <v>287</v>
      </c>
      <c r="B291" s="114" t="str">
        <f aca="false">IF(A291&lt;=Config!$E$27*Config!$E$28,"Tema","Avulso")</f>
        <v>Tema</v>
      </c>
      <c r="C291" s="114" t="n">
        <f aca="false">IF(B291="Tema",INT((A291-1)/Config!$E$28)+1,A291-Config!$E$27*Config!$E$28)</f>
        <v>48</v>
      </c>
      <c r="D291" s="114" t="n">
        <f aca="false">IF(B291="Tema",MOD(A291-1,Config!$E$28)+1,"")</f>
        <v>5</v>
      </c>
      <c r="E291" s="115" t="str">
        <f aca="false">IF($B291="Tema",IF(ISNUMBER(INDEX(Temas!$E$6:$P$305,$C291,2*$D291-1)),INDEX(Temas!$E$6:$P$305,$C291,2*$D291-1),""),IF(ISNUMBER(INDEX(Avulsos!$B$6:$B$205,$C291)),INDEX(Avulsos!$B$6:$B$205,$C291),""))</f>
        <v/>
      </c>
      <c r="F291" s="114" t="str">
        <f aca="false">IF($E291="","",IF($B291="Tema",INDEX(Temas!$B$6:$B$305,$C291)&amp;"",INDEX(Avulsos!$C$6:$C$205,$C291)&amp;""))</f>
        <v/>
      </c>
      <c r="G291" s="114" t="str">
        <f aca="false">IF($E291="","",IF($B291="Tema",INDEX(Config!$C$6:$C$11,$D291),"Evento avulso"))</f>
        <v/>
      </c>
      <c r="H291" s="114" t="str">
        <f aca="false">IF($E291="","",IF($B291="Tema",INDEX(Config!$D$6:$D$11,$D291),IFERROR(INDEX(Config!$E$15:$E$19,MATCH($I291,Config!$C$15:$C$19,0)),"•")))</f>
        <v/>
      </c>
      <c r="I291" s="114" t="str">
        <f aca="false">IF($E291="","",IF($B291="Tema",INDEX(Config!$E$6:$E$11,$D291),IF(INDEX(Avulsos!$D$6:$D$205,$C291)&amp;""="","Outro",INDEX(Avulsos!$D$6:$D$205,$C291))))</f>
        <v/>
      </c>
      <c r="J291" s="114" t="str">
        <f aca="false">IF($E291="","",IF($B291="Tema",INDEX(Temas!$C$6:$C$305,$C291)&amp;"",INDEX(Avulsos!$E$6:$E$205,$C291)&amp;""))</f>
        <v/>
      </c>
      <c r="K291" s="114" t="str">
        <f aca="false">IF($E291="","",IF(IF($B291="Tema",INDEX(Temas!$E$6:$P$305,$C291,2*$D291),INDEX(Avulsos!$F$6:$F$205,$C291))&amp;""="","","✓"))</f>
        <v/>
      </c>
      <c r="L291" s="114" t="str">
        <f aca="true">IF($E291="","",IF($K291="✓","Concluído",IF($E291&lt;TODAY(),"Atrasado",IF($E291=TODAY(),"Hoje","Pendente"))))</f>
        <v/>
      </c>
      <c r="M291" s="114" t="str">
        <f aca="false">IF($E291="","",IF($K291="✓","✓ ","")&amp;IF(Config!$E$22="Sim",$H291&amp;" · ","")&amp;$F291)</f>
        <v/>
      </c>
      <c r="N291" s="114" t="str">
        <f aca="false">IF($E291="","",IFERROR(INDEX(Config!$D$15:$D$19,MATCH($I291,Config!$C$15:$C$19,0)),"OUT")&amp;IF($K291="✓","x",""))</f>
        <v/>
      </c>
      <c r="O291" s="114" t="str">
        <f aca="false">IF($E291="","",COUNTIF($E$5:$E291,$E291))</f>
        <v/>
      </c>
      <c r="P291" s="114" t="str">
        <f aca="false">IF($E291="","",$E291*100+$O291)</f>
        <v/>
      </c>
      <c r="Q291" s="114" t="str">
        <f aca="false">IF($L291="Atrasado",$E291*10000+$A291,"")</f>
        <v/>
      </c>
    </row>
    <row r="292" customFormat="false" ht="15" hidden="false" customHeight="false" outlineLevel="0" collapsed="false">
      <c r="A292" s="114" t="n">
        <f aca="false">ROW()-4</f>
        <v>288</v>
      </c>
      <c r="B292" s="114" t="str">
        <f aca="false">IF(A292&lt;=Config!$E$27*Config!$E$28,"Tema","Avulso")</f>
        <v>Tema</v>
      </c>
      <c r="C292" s="114" t="n">
        <f aca="false">IF(B292="Tema",INT((A292-1)/Config!$E$28)+1,A292-Config!$E$27*Config!$E$28)</f>
        <v>48</v>
      </c>
      <c r="D292" s="114" t="n">
        <f aca="false">IF(B292="Tema",MOD(A292-1,Config!$E$28)+1,"")</f>
        <v>6</v>
      </c>
      <c r="E292" s="115" t="str">
        <f aca="false">IF($B292="Tema",IF(ISNUMBER(INDEX(Temas!$E$6:$P$305,$C292,2*$D292-1)),INDEX(Temas!$E$6:$P$305,$C292,2*$D292-1),""),IF(ISNUMBER(INDEX(Avulsos!$B$6:$B$205,$C292)),INDEX(Avulsos!$B$6:$B$205,$C292),""))</f>
        <v/>
      </c>
      <c r="F292" s="114" t="str">
        <f aca="false">IF($E292="","",IF($B292="Tema",INDEX(Temas!$B$6:$B$305,$C292)&amp;"",INDEX(Avulsos!$C$6:$C$205,$C292)&amp;""))</f>
        <v/>
      </c>
      <c r="G292" s="114" t="str">
        <f aca="false">IF($E292="","",IF($B292="Tema",INDEX(Config!$C$6:$C$11,$D292),"Evento avulso"))</f>
        <v/>
      </c>
      <c r="H292" s="114" t="str">
        <f aca="false">IF($E292="","",IF($B292="Tema",INDEX(Config!$D$6:$D$11,$D292),IFERROR(INDEX(Config!$E$15:$E$19,MATCH($I292,Config!$C$15:$C$19,0)),"•")))</f>
        <v/>
      </c>
      <c r="I292" s="114" t="str">
        <f aca="false">IF($E292="","",IF($B292="Tema",INDEX(Config!$E$6:$E$11,$D292),IF(INDEX(Avulsos!$D$6:$D$205,$C292)&amp;""="","Outro",INDEX(Avulsos!$D$6:$D$205,$C292))))</f>
        <v/>
      </c>
      <c r="J292" s="114" t="str">
        <f aca="false">IF($E292="","",IF($B292="Tema",INDEX(Temas!$C$6:$C$305,$C292)&amp;"",INDEX(Avulsos!$E$6:$E$205,$C292)&amp;""))</f>
        <v/>
      </c>
      <c r="K292" s="114" t="str">
        <f aca="false">IF($E292="","",IF(IF($B292="Tema",INDEX(Temas!$E$6:$P$305,$C292,2*$D292),INDEX(Avulsos!$F$6:$F$205,$C292))&amp;""="","","✓"))</f>
        <v/>
      </c>
      <c r="L292" s="114" t="str">
        <f aca="true">IF($E292="","",IF($K292="✓","Concluído",IF($E292&lt;TODAY(),"Atrasado",IF($E292=TODAY(),"Hoje","Pendente"))))</f>
        <v/>
      </c>
      <c r="M292" s="114" t="str">
        <f aca="false">IF($E292="","",IF($K292="✓","✓ ","")&amp;IF(Config!$E$22="Sim",$H292&amp;" · ","")&amp;$F292)</f>
        <v/>
      </c>
      <c r="N292" s="114" t="str">
        <f aca="false">IF($E292="","",IFERROR(INDEX(Config!$D$15:$D$19,MATCH($I292,Config!$C$15:$C$19,0)),"OUT")&amp;IF($K292="✓","x",""))</f>
        <v/>
      </c>
      <c r="O292" s="114" t="str">
        <f aca="false">IF($E292="","",COUNTIF($E$5:$E292,$E292))</f>
        <v/>
      </c>
      <c r="P292" s="114" t="str">
        <f aca="false">IF($E292="","",$E292*100+$O292)</f>
        <v/>
      </c>
      <c r="Q292" s="114" t="str">
        <f aca="false">IF($L292="Atrasado",$E292*10000+$A292,"")</f>
        <v/>
      </c>
    </row>
    <row r="293" customFormat="false" ht="15" hidden="false" customHeight="false" outlineLevel="0" collapsed="false">
      <c r="A293" s="114" t="n">
        <f aca="false">ROW()-4</f>
        <v>289</v>
      </c>
      <c r="B293" s="114" t="str">
        <f aca="false">IF(A293&lt;=Config!$E$27*Config!$E$28,"Tema","Avulso")</f>
        <v>Tema</v>
      </c>
      <c r="C293" s="114" t="n">
        <f aca="false">IF(B293="Tema",INT((A293-1)/Config!$E$28)+1,A293-Config!$E$27*Config!$E$28)</f>
        <v>49</v>
      </c>
      <c r="D293" s="114" t="n">
        <f aca="false">IF(B293="Tema",MOD(A293-1,Config!$E$28)+1,"")</f>
        <v>1</v>
      </c>
      <c r="E293" s="115" t="str">
        <f aca="false">IF($B293="Tema",IF(ISNUMBER(INDEX(Temas!$E$6:$P$305,$C293,2*$D293-1)),INDEX(Temas!$E$6:$P$305,$C293,2*$D293-1),""),IF(ISNUMBER(INDEX(Avulsos!$B$6:$B$205,$C293)),INDEX(Avulsos!$B$6:$B$205,$C293),""))</f>
        <v/>
      </c>
      <c r="F293" s="114" t="str">
        <f aca="false">IF($E293="","",IF($B293="Tema",INDEX(Temas!$B$6:$B$305,$C293)&amp;"",INDEX(Avulsos!$C$6:$C$205,$C293)&amp;""))</f>
        <v/>
      </c>
      <c r="G293" s="114" t="str">
        <f aca="false">IF($E293="","",IF($B293="Tema",INDEX(Config!$C$6:$C$11,$D293),"Evento avulso"))</f>
        <v/>
      </c>
      <c r="H293" s="114" t="str">
        <f aca="false">IF($E293="","",IF($B293="Tema",INDEX(Config!$D$6:$D$11,$D293),IFERROR(INDEX(Config!$E$15:$E$19,MATCH($I293,Config!$C$15:$C$19,0)),"•")))</f>
        <v/>
      </c>
      <c r="I293" s="114" t="str">
        <f aca="false">IF($E293="","",IF($B293="Tema",INDEX(Config!$E$6:$E$11,$D293),IF(INDEX(Avulsos!$D$6:$D$205,$C293)&amp;""="","Outro",INDEX(Avulsos!$D$6:$D$205,$C293))))</f>
        <v/>
      </c>
      <c r="J293" s="114" t="str">
        <f aca="false">IF($E293="","",IF($B293="Tema",INDEX(Temas!$C$6:$C$305,$C293)&amp;"",INDEX(Avulsos!$E$6:$E$205,$C293)&amp;""))</f>
        <v/>
      </c>
      <c r="K293" s="114" t="str">
        <f aca="false">IF($E293="","",IF(IF($B293="Tema",INDEX(Temas!$E$6:$P$305,$C293,2*$D293),INDEX(Avulsos!$F$6:$F$205,$C293))&amp;""="","","✓"))</f>
        <v/>
      </c>
      <c r="L293" s="114" t="str">
        <f aca="true">IF($E293="","",IF($K293="✓","Concluído",IF($E293&lt;TODAY(),"Atrasado",IF($E293=TODAY(),"Hoje","Pendente"))))</f>
        <v/>
      </c>
      <c r="M293" s="114" t="str">
        <f aca="false">IF($E293="","",IF($K293="✓","✓ ","")&amp;IF(Config!$E$22="Sim",$H293&amp;" · ","")&amp;$F293)</f>
        <v/>
      </c>
      <c r="N293" s="114" t="str">
        <f aca="false">IF($E293="","",IFERROR(INDEX(Config!$D$15:$D$19,MATCH($I293,Config!$C$15:$C$19,0)),"OUT")&amp;IF($K293="✓","x",""))</f>
        <v/>
      </c>
      <c r="O293" s="114" t="str">
        <f aca="false">IF($E293="","",COUNTIF($E$5:$E293,$E293))</f>
        <v/>
      </c>
      <c r="P293" s="114" t="str">
        <f aca="false">IF($E293="","",$E293*100+$O293)</f>
        <v/>
      </c>
      <c r="Q293" s="114" t="str">
        <f aca="false">IF($L293="Atrasado",$E293*10000+$A293,"")</f>
        <v/>
      </c>
    </row>
    <row r="294" customFormat="false" ht="15" hidden="false" customHeight="false" outlineLevel="0" collapsed="false">
      <c r="A294" s="114" t="n">
        <f aca="false">ROW()-4</f>
        <v>290</v>
      </c>
      <c r="B294" s="114" t="str">
        <f aca="false">IF(A294&lt;=Config!$E$27*Config!$E$28,"Tema","Avulso")</f>
        <v>Tema</v>
      </c>
      <c r="C294" s="114" t="n">
        <f aca="false">IF(B294="Tema",INT((A294-1)/Config!$E$28)+1,A294-Config!$E$27*Config!$E$28)</f>
        <v>49</v>
      </c>
      <c r="D294" s="114" t="n">
        <f aca="false">IF(B294="Tema",MOD(A294-1,Config!$E$28)+1,"")</f>
        <v>2</v>
      </c>
      <c r="E294" s="115" t="str">
        <f aca="false">IF($B294="Tema",IF(ISNUMBER(INDEX(Temas!$E$6:$P$305,$C294,2*$D294-1)),INDEX(Temas!$E$6:$P$305,$C294,2*$D294-1),""),IF(ISNUMBER(INDEX(Avulsos!$B$6:$B$205,$C294)),INDEX(Avulsos!$B$6:$B$205,$C294),""))</f>
        <v/>
      </c>
      <c r="F294" s="114" t="str">
        <f aca="false">IF($E294="","",IF($B294="Tema",INDEX(Temas!$B$6:$B$305,$C294)&amp;"",INDEX(Avulsos!$C$6:$C$205,$C294)&amp;""))</f>
        <v/>
      </c>
      <c r="G294" s="114" t="str">
        <f aca="false">IF($E294="","",IF($B294="Tema",INDEX(Config!$C$6:$C$11,$D294),"Evento avulso"))</f>
        <v/>
      </c>
      <c r="H294" s="114" t="str">
        <f aca="false">IF($E294="","",IF($B294="Tema",INDEX(Config!$D$6:$D$11,$D294),IFERROR(INDEX(Config!$E$15:$E$19,MATCH($I294,Config!$C$15:$C$19,0)),"•")))</f>
        <v/>
      </c>
      <c r="I294" s="114" t="str">
        <f aca="false">IF($E294="","",IF($B294="Tema",INDEX(Config!$E$6:$E$11,$D294),IF(INDEX(Avulsos!$D$6:$D$205,$C294)&amp;""="","Outro",INDEX(Avulsos!$D$6:$D$205,$C294))))</f>
        <v/>
      </c>
      <c r="J294" s="114" t="str">
        <f aca="false">IF($E294="","",IF($B294="Tema",INDEX(Temas!$C$6:$C$305,$C294)&amp;"",INDEX(Avulsos!$E$6:$E$205,$C294)&amp;""))</f>
        <v/>
      </c>
      <c r="K294" s="114" t="str">
        <f aca="false">IF($E294="","",IF(IF($B294="Tema",INDEX(Temas!$E$6:$P$305,$C294,2*$D294),INDEX(Avulsos!$F$6:$F$205,$C294))&amp;""="","","✓"))</f>
        <v/>
      </c>
      <c r="L294" s="114" t="str">
        <f aca="true">IF($E294="","",IF($K294="✓","Concluído",IF($E294&lt;TODAY(),"Atrasado",IF($E294=TODAY(),"Hoje","Pendente"))))</f>
        <v/>
      </c>
      <c r="M294" s="114" t="str">
        <f aca="false">IF($E294="","",IF($K294="✓","✓ ","")&amp;IF(Config!$E$22="Sim",$H294&amp;" · ","")&amp;$F294)</f>
        <v/>
      </c>
      <c r="N294" s="114" t="str">
        <f aca="false">IF($E294="","",IFERROR(INDEX(Config!$D$15:$D$19,MATCH($I294,Config!$C$15:$C$19,0)),"OUT")&amp;IF($K294="✓","x",""))</f>
        <v/>
      </c>
      <c r="O294" s="114" t="str">
        <f aca="false">IF($E294="","",COUNTIF($E$5:$E294,$E294))</f>
        <v/>
      </c>
      <c r="P294" s="114" t="str">
        <f aca="false">IF($E294="","",$E294*100+$O294)</f>
        <v/>
      </c>
      <c r="Q294" s="114" t="str">
        <f aca="false">IF($L294="Atrasado",$E294*10000+$A294,"")</f>
        <v/>
      </c>
    </row>
    <row r="295" customFormat="false" ht="15" hidden="false" customHeight="false" outlineLevel="0" collapsed="false">
      <c r="A295" s="114" t="n">
        <f aca="false">ROW()-4</f>
        <v>291</v>
      </c>
      <c r="B295" s="114" t="str">
        <f aca="false">IF(A295&lt;=Config!$E$27*Config!$E$28,"Tema","Avulso")</f>
        <v>Tema</v>
      </c>
      <c r="C295" s="114" t="n">
        <f aca="false">IF(B295="Tema",INT((A295-1)/Config!$E$28)+1,A295-Config!$E$27*Config!$E$28)</f>
        <v>49</v>
      </c>
      <c r="D295" s="114" t="n">
        <f aca="false">IF(B295="Tema",MOD(A295-1,Config!$E$28)+1,"")</f>
        <v>3</v>
      </c>
      <c r="E295" s="115" t="str">
        <f aca="false">IF($B295="Tema",IF(ISNUMBER(INDEX(Temas!$E$6:$P$305,$C295,2*$D295-1)),INDEX(Temas!$E$6:$P$305,$C295,2*$D295-1),""),IF(ISNUMBER(INDEX(Avulsos!$B$6:$B$205,$C295)),INDEX(Avulsos!$B$6:$B$205,$C295),""))</f>
        <v/>
      </c>
      <c r="F295" s="114" t="str">
        <f aca="false">IF($E295="","",IF($B295="Tema",INDEX(Temas!$B$6:$B$305,$C295)&amp;"",INDEX(Avulsos!$C$6:$C$205,$C295)&amp;""))</f>
        <v/>
      </c>
      <c r="G295" s="114" t="str">
        <f aca="false">IF($E295="","",IF($B295="Tema",INDEX(Config!$C$6:$C$11,$D295),"Evento avulso"))</f>
        <v/>
      </c>
      <c r="H295" s="114" t="str">
        <f aca="false">IF($E295="","",IF($B295="Tema",INDEX(Config!$D$6:$D$11,$D295),IFERROR(INDEX(Config!$E$15:$E$19,MATCH($I295,Config!$C$15:$C$19,0)),"•")))</f>
        <v/>
      </c>
      <c r="I295" s="114" t="str">
        <f aca="false">IF($E295="","",IF($B295="Tema",INDEX(Config!$E$6:$E$11,$D295),IF(INDEX(Avulsos!$D$6:$D$205,$C295)&amp;""="","Outro",INDEX(Avulsos!$D$6:$D$205,$C295))))</f>
        <v/>
      </c>
      <c r="J295" s="114" t="str">
        <f aca="false">IF($E295="","",IF($B295="Tema",INDEX(Temas!$C$6:$C$305,$C295)&amp;"",INDEX(Avulsos!$E$6:$E$205,$C295)&amp;""))</f>
        <v/>
      </c>
      <c r="K295" s="114" t="str">
        <f aca="false">IF($E295="","",IF(IF($B295="Tema",INDEX(Temas!$E$6:$P$305,$C295,2*$D295),INDEX(Avulsos!$F$6:$F$205,$C295))&amp;""="","","✓"))</f>
        <v/>
      </c>
      <c r="L295" s="114" t="str">
        <f aca="true">IF($E295="","",IF($K295="✓","Concluído",IF($E295&lt;TODAY(),"Atrasado",IF($E295=TODAY(),"Hoje","Pendente"))))</f>
        <v/>
      </c>
      <c r="M295" s="114" t="str">
        <f aca="false">IF($E295="","",IF($K295="✓","✓ ","")&amp;IF(Config!$E$22="Sim",$H295&amp;" · ","")&amp;$F295)</f>
        <v/>
      </c>
      <c r="N295" s="114" t="str">
        <f aca="false">IF($E295="","",IFERROR(INDEX(Config!$D$15:$D$19,MATCH($I295,Config!$C$15:$C$19,0)),"OUT")&amp;IF($K295="✓","x",""))</f>
        <v/>
      </c>
      <c r="O295" s="114" t="str">
        <f aca="false">IF($E295="","",COUNTIF($E$5:$E295,$E295))</f>
        <v/>
      </c>
      <c r="P295" s="114" t="str">
        <f aca="false">IF($E295="","",$E295*100+$O295)</f>
        <v/>
      </c>
      <c r="Q295" s="114" t="str">
        <f aca="false">IF($L295="Atrasado",$E295*10000+$A295,"")</f>
        <v/>
      </c>
    </row>
    <row r="296" customFormat="false" ht="15" hidden="false" customHeight="false" outlineLevel="0" collapsed="false">
      <c r="A296" s="114" t="n">
        <f aca="false">ROW()-4</f>
        <v>292</v>
      </c>
      <c r="B296" s="114" t="str">
        <f aca="false">IF(A296&lt;=Config!$E$27*Config!$E$28,"Tema","Avulso")</f>
        <v>Tema</v>
      </c>
      <c r="C296" s="114" t="n">
        <f aca="false">IF(B296="Tema",INT((A296-1)/Config!$E$28)+1,A296-Config!$E$27*Config!$E$28)</f>
        <v>49</v>
      </c>
      <c r="D296" s="114" t="n">
        <f aca="false">IF(B296="Tema",MOD(A296-1,Config!$E$28)+1,"")</f>
        <v>4</v>
      </c>
      <c r="E296" s="115" t="str">
        <f aca="false">IF($B296="Tema",IF(ISNUMBER(INDEX(Temas!$E$6:$P$305,$C296,2*$D296-1)),INDEX(Temas!$E$6:$P$305,$C296,2*$D296-1),""),IF(ISNUMBER(INDEX(Avulsos!$B$6:$B$205,$C296)),INDEX(Avulsos!$B$6:$B$205,$C296),""))</f>
        <v/>
      </c>
      <c r="F296" s="114" t="str">
        <f aca="false">IF($E296="","",IF($B296="Tema",INDEX(Temas!$B$6:$B$305,$C296)&amp;"",INDEX(Avulsos!$C$6:$C$205,$C296)&amp;""))</f>
        <v/>
      </c>
      <c r="G296" s="114" t="str">
        <f aca="false">IF($E296="","",IF($B296="Tema",INDEX(Config!$C$6:$C$11,$D296),"Evento avulso"))</f>
        <v/>
      </c>
      <c r="H296" s="114" t="str">
        <f aca="false">IF($E296="","",IF($B296="Tema",INDEX(Config!$D$6:$D$11,$D296),IFERROR(INDEX(Config!$E$15:$E$19,MATCH($I296,Config!$C$15:$C$19,0)),"•")))</f>
        <v/>
      </c>
      <c r="I296" s="114" t="str">
        <f aca="false">IF($E296="","",IF($B296="Tema",INDEX(Config!$E$6:$E$11,$D296),IF(INDEX(Avulsos!$D$6:$D$205,$C296)&amp;""="","Outro",INDEX(Avulsos!$D$6:$D$205,$C296))))</f>
        <v/>
      </c>
      <c r="J296" s="114" t="str">
        <f aca="false">IF($E296="","",IF($B296="Tema",INDEX(Temas!$C$6:$C$305,$C296)&amp;"",INDEX(Avulsos!$E$6:$E$205,$C296)&amp;""))</f>
        <v/>
      </c>
      <c r="K296" s="114" t="str">
        <f aca="false">IF($E296="","",IF(IF($B296="Tema",INDEX(Temas!$E$6:$P$305,$C296,2*$D296),INDEX(Avulsos!$F$6:$F$205,$C296))&amp;""="","","✓"))</f>
        <v/>
      </c>
      <c r="L296" s="114" t="str">
        <f aca="true">IF($E296="","",IF($K296="✓","Concluído",IF($E296&lt;TODAY(),"Atrasado",IF($E296=TODAY(),"Hoje","Pendente"))))</f>
        <v/>
      </c>
      <c r="M296" s="114" t="str">
        <f aca="false">IF($E296="","",IF($K296="✓","✓ ","")&amp;IF(Config!$E$22="Sim",$H296&amp;" · ","")&amp;$F296)</f>
        <v/>
      </c>
      <c r="N296" s="114" t="str">
        <f aca="false">IF($E296="","",IFERROR(INDEX(Config!$D$15:$D$19,MATCH($I296,Config!$C$15:$C$19,0)),"OUT")&amp;IF($K296="✓","x",""))</f>
        <v/>
      </c>
      <c r="O296" s="114" t="str">
        <f aca="false">IF($E296="","",COUNTIF($E$5:$E296,$E296))</f>
        <v/>
      </c>
      <c r="P296" s="114" t="str">
        <f aca="false">IF($E296="","",$E296*100+$O296)</f>
        <v/>
      </c>
      <c r="Q296" s="114" t="str">
        <f aca="false">IF($L296="Atrasado",$E296*10000+$A296,"")</f>
        <v/>
      </c>
    </row>
    <row r="297" customFormat="false" ht="15" hidden="false" customHeight="false" outlineLevel="0" collapsed="false">
      <c r="A297" s="114" t="n">
        <f aca="false">ROW()-4</f>
        <v>293</v>
      </c>
      <c r="B297" s="114" t="str">
        <f aca="false">IF(A297&lt;=Config!$E$27*Config!$E$28,"Tema","Avulso")</f>
        <v>Tema</v>
      </c>
      <c r="C297" s="114" t="n">
        <f aca="false">IF(B297="Tema",INT((A297-1)/Config!$E$28)+1,A297-Config!$E$27*Config!$E$28)</f>
        <v>49</v>
      </c>
      <c r="D297" s="114" t="n">
        <f aca="false">IF(B297="Tema",MOD(A297-1,Config!$E$28)+1,"")</f>
        <v>5</v>
      </c>
      <c r="E297" s="115" t="str">
        <f aca="false">IF($B297="Tema",IF(ISNUMBER(INDEX(Temas!$E$6:$P$305,$C297,2*$D297-1)),INDEX(Temas!$E$6:$P$305,$C297,2*$D297-1),""),IF(ISNUMBER(INDEX(Avulsos!$B$6:$B$205,$C297)),INDEX(Avulsos!$B$6:$B$205,$C297),""))</f>
        <v/>
      </c>
      <c r="F297" s="114" t="str">
        <f aca="false">IF($E297="","",IF($B297="Tema",INDEX(Temas!$B$6:$B$305,$C297)&amp;"",INDEX(Avulsos!$C$6:$C$205,$C297)&amp;""))</f>
        <v/>
      </c>
      <c r="G297" s="114" t="str">
        <f aca="false">IF($E297="","",IF($B297="Tema",INDEX(Config!$C$6:$C$11,$D297),"Evento avulso"))</f>
        <v/>
      </c>
      <c r="H297" s="114" t="str">
        <f aca="false">IF($E297="","",IF($B297="Tema",INDEX(Config!$D$6:$D$11,$D297),IFERROR(INDEX(Config!$E$15:$E$19,MATCH($I297,Config!$C$15:$C$19,0)),"•")))</f>
        <v/>
      </c>
      <c r="I297" s="114" t="str">
        <f aca="false">IF($E297="","",IF($B297="Tema",INDEX(Config!$E$6:$E$11,$D297),IF(INDEX(Avulsos!$D$6:$D$205,$C297)&amp;""="","Outro",INDEX(Avulsos!$D$6:$D$205,$C297))))</f>
        <v/>
      </c>
      <c r="J297" s="114" t="str">
        <f aca="false">IF($E297="","",IF($B297="Tema",INDEX(Temas!$C$6:$C$305,$C297)&amp;"",INDEX(Avulsos!$E$6:$E$205,$C297)&amp;""))</f>
        <v/>
      </c>
      <c r="K297" s="114" t="str">
        <f aca="false">IF($E297="","",IF(IF($B297="Tema",INDEX(Temas!$E$6:$P$305,$C297,2*$D297),INDEX(Avulsos!$F$6:$F$205,$C297))&amp;""="","","✓"))</f>
        <v/>
      </c>
      <c r="L297" s="114" t="str">
        <f aca="true">IF($E297="","",IF($K297="✓","Concluído",IF($E297&lt;TODAY(),"Atrasado",IF($E297=TODAY(),"Hoje","Pendente"))))</f>
        <v/>
      </c>
      <c r="M297" s="114" t="str">
        <f aca="false">IF($E297="","",IF($K297="✓","✓ ","")&amp;IF(Config!$E$22="Sim",$H297&amp;" · ","")&amp;$F297)</f>
        <v/>
      </c>
      <c r="N297" s="114" t="str">
        <f aca="false">IF($E297="","",IFERROR(INDEX(Config!$D$15:$D$19,MATCH($I297,Config!$C$15:$C$19,0)),"OUT")&amp;IF($K297="✓","x",""))</f>
        <v/>
      </c>
      <c r="O297" s="114" t="str">
        <f aca="false">IF($E297="","",COUNTIF($E$5:$E297,$E297))</f>
        <v/>
      </c>
      <c r="P297" s="114" t="str">
        <f aca="false">IF($E297="","",$E297*100+$O297)</f>
        <v/>
      </c>
      <c r="Q297" s="114" t="str">
        <f aca="false">IF($L297="Atrasado",$E297*10000+$A297,"")</f>
        <v/>
      </c>
    </row>
    <row r="298" customFormat="false" ht="15" hidden="false" customHeight="false" outlineLevel="0" collapsed="false">
      <c r="A298" s="114" t="n">
        <f aca="false">ROW()-4</f>
        <v>294</v>
      </c>
      <c r="B298" s="114" t="str">
        <f aca="false">IF(A298&lt;=Config!$E$27*Config!$E$28,"Tema","Avulso")</f>
        <v>Tema</v>
      </c>
      <c r="C298" s="114" t="n">
        <f aca="false">IF(B298="Tema",INT((A298-1)/Config!$E$28)+1,A298-Config!$E$27*Config!$E$28)</f>
        <v>49</v>
      </c>
      <c r="D298" s="114" t="n">
        <f aca="false">IF(B298="Tema",MOD(A298-1,Config!$E$28)+1,"")</f>
        <v>6</v>
      </c>
      <c r="E298" s="115" t="str">
        <f aca="false">IF($B298="Tema",IF(ISNUMBER(INDEX(Temas!$E$6:$P$305,$C298,2*$D298-1)),INDEX(Temas!$E$6:$P$305,$C298,2*$D298-1),""),IF(ISNUMBER(INDEX(Avulsos!$B$6:$B$205,$C298)),INDEX(Avulsos!$B$6:$B$205,$C298),""))</f>
        <v/>
      </c>
      <c r="F298" s="114" t="str">
        <f aca="false">IF($E298="","",IF($B298="Tema",INDEX(Temas!$B$6:$B$305,$C298)&amp;"",INDEX(Avulsos!$C$6:$C$205,$C298)&amp;""))</f>
        <v/>
      </c>
      <c r="G298" s="114" t="str">
        <f aca="false">IF($E298="","",IF($B298="Tema",INDEX(Config!$C$6:$C$11,$D298),"Evento avulso"))</f>
        <v/>
      </c>
      <c r="H298" s="114" t="str">
        <f aca="false">IF($E298="","",IF($B298="Tema",INDEX(Config!$D$6:$D$11,$D298),IFERROR(INDEX(Config!$E$15:$E$19,MATCH($I298,Config!$C$15:$C$19,0)),"•")))</f>
        <v/>
      </c>
      <c r="I298" s="114" t="str">
        <f aca="false">IF($E298="","",IF($B298="Tema",INDEX(Config!$E$6:$E$11,$D298),IF(INDEX(Avulsos!$D$6:$D$205,$C298)&amp;""="","Outro",INDEX(Avulsos!$D$6:$D$205,$C298))))</f>
        <v/>
      </c>
      <c r="J298" s="114" t="str">
        <f aca="false">IF($E298="","",IF($B298="Tema",INDEX(Temas!$C$6:$C$305,$C298)&amp;"",INDEX(Avulsos!$E$6:$E$205,$C298)&amp;""))</f>
        <v/>
      </c>
      <c r="K298" s="114" t="str">
        <f aca="false">IF($E298="","",IF(IF($B298="Tema",INDEX(Temas!$E$6:$P$305,$C298,2*$D298),INDEX(Avulsos!$F$6:$F$205,$C298))&amp;""="","","✓"))</f>
        <v/>
      </c>
      <c r="L298" s="114" t="str">
        <f aca="true">IF($E298="","",IF($K298="✓","Concluído",IF($E298&lt;TODAY(),"Atrasado",IF($E298=TODAY(),"Hoje","Pendente"))))</f>
        <v/>
      </c>
      <c r="M298" s="114" t="str">
        <f aca="false">IF($E298="","",IF($K298="✓","✓ ","")&amp;IF(Config!$E$22="Sim",$H298&amp;" · ","")&amp;$F298)</f>
        <v/>
      </c>
      <c r="N298" s="114" t="str">
        <f aca="false">IF($E298="","",IFERROR(INDEX(Config!$D$15:$D$19,MATCH($I298,Config!$C$15:$C$19,0)),"OUT")&amp;IF($K298="✓","x",""))</f>
        <v/>
      </c>
      <c r="O298" s="114" t="str">
        <f aca="false">IF($E298="","",COUNTIF($E$5:$E298,$E298))</f>
        <v/>
      </c>
      <c r="P298" s="114" t="str">
        <f aca="false">IF($E298="","",$E298*100+$O298)</f>
        <v/>
      </c>
      <c r="Q298" s="114" t="str">
        <f aca="false">IF($L298="Atrasado",$E298*10000+$A298,"")</f>
        <v/>
      </c>
    </row>
    <row r="299" customFormat="false" ht="15" hidden="false" customHeight="false" outlineLevel="0" collapsed="false">
      <c r="A299" s="114" t="n">
        <f aca="false">ROW()-4</f>
        <v>295</v>
      </c>
      <c r="B299" s="114" t="str">
        <f aca="false">IF(A299&lt;=Config!$E$27*Config!$E$28,"Tema","Avulso")</f>
        <v>Tema</v>
      </c>
      <c r="C299" s="114" t="n">
        <f aca="false">IF(B299="Tema",INT((A299-1)/Config!$E$28)+1,A299-Config!$E$27*Config!$E$28)</f>
        <v>50</v>
      </c>
      <c r="D299" s="114" t="n">
        <f aca="false">IF(B299="Tema",MOD(A299-1,Config!$E$28)+1,"")</f>
        <v>1</v>
      </c>
      <c r="E299" s="115" t="str">
        <f aca="false">IF($B299="Tema",IF(ISNUMBER(INDEX(Temas!$E$6:$P$305,$C299,2*$D299-1)),INDEX(Temas!$E$6:$P$305,$C299,2*$D299-1),""),IF(ISNUMBER(INDEX(Avulsos!$B$6:$B$205,$C299)),INDEX(Avulsos!$B$6:$B$205,$C299),""))</f>
        <v/>
      </c>
      <c r="F299" s="114" t="str">
        <f aca="false">IF($E299="","",IF($B299="Tema",INDEX(Temas!$B$6:$B$305,$C299)&amp;"",INDEX(Avulsos!$C$6:$C$205,$C299)&amp;""))</f>
        <v/>
      </c>
      <c r="G299" s="114" t="str">
        <f aca="false">IF($E299="","",IF($B299="Tema",INDEX(Config!$C$6:$C$11,$D299),"Evento avulso"))</f>
        <v/>
      </c>
      <c r="H299" s="114" t="str">
        <f aca="false">IF($E299="","",IF($B299="Tema",INDEX(Config!$D$6:$D$11,$D299),IFERROR(INDEX(Config!$E$15:$E$19,MATCH($I299,Config!$C$15:$C$19,0)),"•")))</f>
        <v/>
      </c>
      <c r="I299" s="114" t="str">
        <f aca="false">IF($E299="","",IF($B299="Tema",INDEX(Config!$E$6:$E$11,$D299),IF(INDEX(Avulsos!$D$6:$D$205,$C299)&amp;""="","Outro",INDEX(Avulsos!$D$6:$D$205,$C299))))</f>
        <v/>
      </c>
      <c r="J299" s="114" t="str">
        <f aca="false">IF($E299="","",IF($B299="Tema",INDEX(Temas!$C$6:$C$305,$C299)&amp;"",INDEX(Avulsos!$E$6:$E$205,$C299)&amp;""))</f>
        <v/>
      </c>
      <c r="K299" s="114" t="str">
        <f aca="false">IF($E299="","",IF(IF($B299="Tema",INDEX(Temas!$E$6:$P$305,$C299,2*$D299),INDEX(Avulsos!$F$6:$F$205,$C299))&amp;""="","","✓"))</f>
        <v/>
      </c>
      <c r="L299" s="114" t="str">
        <f aca="true">IF($E299="","",IF($K299="✓","Concluído",IF($E299&lt;TODAY(),"Atrasado",IF($E299=TODAY(),"Hoje","Pendente"))))</f>
        <v/>
      </c>
      <c r="M299" s="114" t="str">
        <f aca="false">IF($E299="","",IF($K299="✓","✓ ","")&amp;IF(Config!$E$22="Sim",$H299&amp;" · ","")&amp;$F299)</f>
        <v/>
      </c>
      <c r="N299" s="114" t="str">
        <f aca="false">IF($E299="","",IFERROR(INDEX(Config!$D$15:$D$19,MATCH($I299,Config!$C$15:$C$19,0)),"OUT")&amp;IF($K299="✓","x",""))</f>
        <v/>
      </c>
      <c r="O299" s="114" t="str">
        <f aca="false">IF($E299="","",COUNTIF($E$5:$E299,$E299))</f>
        <v/>
      </c>
      <c r="P299" s="114" t="str">
        <f aca="false">IF($E299="","",$E299*100+$O299)</f>
        <v/>
      </c>
      <c r="Q299" s="114" t="str">
        <f aca="false">IF($L299="Atrasado",$E299*10000+$A299,"")</f>
        <v/>
      </c>
    </row>
    <row r="300" customFormat="false" ht="15" hidden="false" customHeight="false" outlineLevel="0" collapsed="false">
      <c r="A300" s="114" t="n">
        <f aca="false">ROW()-4</f>
        <v>296</v>
      </c>
      <c r="B300" s="114" t="str">
        <f aca="false">IF(A300&lt;=Config!$E$27*Config!$E$28,"Tema","Avulso")</f>
        <v>Tema</v>
      </c>
      <c r="C300" s="114" t="n">
        <f aca="false">IF(B300="Tema",INT((A300-1)/Config!$E$28)+1,A300-Config!$E$27*Config!$E$28)</f>
        <v>50</v>
      </c>
      <c r="D300" s="114" t="n">
        <f aca="false">IF(B300="Tema",MOD(A300-1,Config!$E$28)+1,"")</f>
        <v>2</v>
      </c>
      <c r="E300" s="115" t="str">
        <f aca="false">IF($B300="Tema",IF(ISNUMBER(INDEX(Temas!$E$6:$P$305,$C300,2*$D300-1)),INDEX(Temas!$E$6:$P$305,$C300,2*$D300-1),""),IF(ISNUMBER(INDEX(Avulsos!$B$6:$B$205,$C300)),INDEX(Avulsos!$B$6:$B$205,$C300),""))</f>
        <v/>
      </c>
      <c r="F300" s="114" t="str">
        <f aca="false">IF($E300="","",IF($B300="Tema",INDEX(Temas!$B$6:$B$305,$C300)&amp;"",INDEX(Avulsos!$C$6:$C$205,$C300)&amp;""))</f>
        <v/>
      </c>
      <c r="G300" s="114" t="str">
        <f aca="false">IF($E300="","",IF($B300="Tema",INDEX(Config!$C$6:$C$11,$D300),"Evento avulso"))</f>
        <v/>
      </c>
      <c r="H300" s="114" t="str">
        <f aca="false">IF($E300="","",IF($B300="Tema",INDEX(Config!$D$6:$D$11,$D300),IFERROR(INDEX(Config!$E$15:$E$19,MATCH($I300,Config!$C$15:$C$19,0)),"•")))</f>
        <v/>
      </c>
      <c r="I300" s="114" t="str">
        <f aca="false">IF($E300="","",IF($B300="Tema",INDEX(Config!$E$6:$E$11,$D300),IF(INDEX(Avulsos!$D$6:$D$205,$C300)&amp;""="","Outro",INDEX(Avulsos!$D$6:$D$205,$C300))))</f>
        <v/>
      </c>
      <c r="J300" s="114" t="str">
        <f aca="false">IF($E300="","",IF($B300="Tema",INDEX(Temas!$C$6:$C$305,$C300)&amp;"",INDEX(Avulsos!$E$6:$E$205,$C300)&amp;""))</f>
        <v/>
      </c>
      <c r="K300" s="114" t="str">
        <f aca="false">IF($E300="","",IF(IF($B300="Tema",INDEX(Temas!$E$6:$P$305,$C300,2*$D300),INDEX(Avulsos!$F$6:$F$205,$C300))&amp;""="","","✓"))</f>
        <v/>
      </c>
      <c r="L300" s="114" t="str">
        <f aca="true">IF($E300="","",IF($K300="✓","Concluído",IF($E300&lt;TODAY(),"Atrasado",IF($E300=TODAY(),"Hoje","Pendente"))))</f>
        <v/>
      </c>
      <c r="M300" s="114" t="str">
        <f aca="false">IF($E300="","",IF($K300="✓","✓ ","")&amp;IF(Config!$E$22="Sim",$H300&amp;" · ","")&amp;$F300)</f>
        <v/>
      </c>
      <c r="N300" s="114" t="str">
        <f aca="false">IF($E300="","",IFERROR(INDEX(Config!$D$15:$D$19,MATCH($I300,Config!$C$15:$C$19,0)),"OUT")&amp;IF($K300="✓","x",""))</f>
        <v/>
      </c>
      <c r="O300" s="114" t="str">
        <f aca="false">IF($E300="","",COUNTIF($E$5:$E300,$E300))</f>
        <v/>
      </c>
      <c r="P300" s="114" t="str">
        <f aca="false">IF($E300="","",$E300*100+$O300)</f>
        <v/>
      </c>
      <c r="Q300" s="114" t="str">
        <f aca="false">IF($L300="Atrasado",$E300*10000+$A300,"")</f>
        <v/>
      </c>
    </row>
    <row r="301" customFormat="false" ht="15" hidden="false" customHeight="false" outlineLevel="0" collapsed="false">
      <c r="A301" s="114" t="n">
        <f aca="false">ROW()-4</f>
        <v>297</v>
      </c>
      <c r="B301" s="114" t="str">
        <f aca="false">IF(A301&lt;=Config!$E$27*Config!$E$28,"Tema","Avulso")</f>
        <v>Tema</v>
      </c>
      <c r="C301" s="114" t="n">
        <f aca="false">IF(B301="Tema",INT((A301-1)/Config!$E$28)+1,A301-Config!$E$27*Config!$E$28)</f>
        <v>50</v>
      </c>
      <c r="D301" s="114" t="n">
        <f aca="false">IF(B301="Tema",MOD(A301-1,Config!$E$28)+1,"")</f>
        <v>3</v>
      </c>
      <c r="E301" s="115" t="str">
        <f aca="false">IF($B301="Tema",IF(ISNUMBER(INDEX(Temas!$E$6:$P$305,$C301,2*$D301-1)),INDEX(Temas!$E$6:$P$305,$C301,2*$D301-1),""),IF(ISNUMBER(INDEX(Avulsos!$B$6:$B$205,$C301)),INDEX(Avulsos!$B$6:$B$205,$C301),""))</f>
        <v/>
      </c>
      <c r="F301" s="114" t="str">
        <f aca="false">IF($E301="","",IF($B301="Tema",INDEX(Temas!$B$6:$B$305,$C301)&amp;"",INDEX(Avulsos!$C$6:$C$205,$C301)&amp;""))</f>
        <v/>
      </c>
      <c r="G301" s="114" t="str">
        <f aca="false">IF($E301="","",IF($B301="Tema",INDEX(Config!$C$6:$C$11,$D301),"Evento avulso"))</f>
        <v/>
      </c>
      <c r="H301" s="114" t="str">
        <f aca="false">IF($E301="","",IF($B301="Tema",INDEX(Config!$D$6:$D$11,$D301),IFERROR(INDEX(Config!$E$15:$E$19,MATCH($I301,Config!$C$15:$C$19,0)),"•")))</f>
        <v/>
      </c>
      <c r="I301" s="114" t="str">
        <f aca="false">IF($E301="","",IF($B301="Tema",INDEX(Config!$E$6:$E$11,$D301),IF(INDEX(Avulsos!$D$6:$D$205,$C301)&amp;""="","Outro",INDEX(Avulsos!$D$6:$D$205,$C301))))</f>
        <v/>
      </c>
      <c r="J301" s="114" t="str">
        <f aca="false">IF($E301="","",IF($B301="Tema",INDEX(Temas!$C$6:$C$305,$C301)&amp;"",INDEX(Avulsos!$E$6:$E$205,$C301)&amp;""))</f>
        <v/>
      </c>
      <c r="K301" s="114" t="str">
        <f aca="false">IF($E301="","",IF(IF($B301="Tema",INDEX(Temas!$E$6:$P$305,$C301,2*$D301),INDEX(Avulsos!$F$6:$F$205,$C301))&amp;""="","","✓"))</f>
        <v/>
      </c>
      <c r="L301" s="114" t="str">
        <f aca="true">IF($E301="","",IF($K301="✓","Concluído",IF($E301&lt;TODAY(),"Atrasado",IF($E301=TODAY(),"Hoje","Pendente"))))</f>
        <v/>
      </c>
      <c r="M301" s="114" t="str">
        <f aca="false">IF($E301="","",IF($K301="✓","✓ ","")&amp;IF(Config!$E$22="Sim",$H301&amp;" · ","")&amp;$F301)</f>
        <v/>
      </c>
      <c r="N301" s="114" t="str">
        <f aca="false">IF($E301="","",IFERROR(INDEX(Config!$D$15:$D$19,MATCH($I301,Config!$C$15:$C$19,0)),"OUT")&amp;IF($K301="✓","x",""))</f>
        <v/>
      </c>
      <c r="O301" s="114" t="str">
        <f aca="false">IF($E301="","",COUNTIF($E$5:$E301,$E301))</f>
        <v/>
      </c>
      <c r="P301" s="114" t="str">
        <f aca="false">IF($E301="","",$E301*100+$O301)</f>
        <v/>
      </c>
      <c r="Q301" s="114" t="str">
        <f aca="false">IF($L301="Atrasado",$E301*10000+$A301,"")</f>
        <v/>
      </c>
    </row>
    <row r="302" customFormat="false" ht="15" hidden="false" customHeight="false" outlineLevel="0" collapsed="false">
      <c r="A302" s="114" t="n">
        <f aca="false">ROW()-4</f>
        <v>298</v>
      </c>
      <c r="B302" s="114" t="str">
        <f aca="false">IF(A302&lt;=Config!$E$27*Config!$E$28,"Tema","Avulso")</f>
        <v>Tema</v>
      </c>
      <c r="C302" s="114" t="n">
        <f aca="false">IF(B302="Tema",INT((A302-1)/Config!$E$28)+1,A302-Config!$E$27*Config!$E$28)</f>
        <v>50</v>
      </c>
      <c r="D302" s="114" t="n">
        <f aca="false">IF(B302="Tema",MOD(A302-1,Config!$E$28)+1,"")</f>
        <v>4</v>
      </c>
      <c r="E302" s="115" t="str">
        <f aca="false">IF($B302="Tema",IF(ISNUMBER(INDEX(Temas!$E$6:$P$305,$C302,2*$D302-1)),INDEX(Temas!$E$6:$P$305,$C302,2*$D302-1),""),IF(ISNUMBER(INDEX(Avulsos!$B$6:$B$205,$C302)),INDEX(Avulsos!$B$6:$B$205,$C302),""))</f>
        <v/>
      </c>
      <c r="F302" s="114" t="str">
        <f aca="false">IF($E302="","",IF($B302="Tema",INDEX(Temas!$B$6:$B$305,$C302)&amp;"",INDEX(Avulsos!$C$6:$C$205,$C302)&amp;""))</f>
        <v/>
      </c>
      <c r="G302" s="114" t="str">
        <f aca="false">IF($E302="","",IF($B302="Tema",INDEX(Config!$C$6:$C$11,$D302),"Evento avulso"))</f>
        <v/>
      </c>
      <c r="H302" s="114" t="str">
        <f aca="false">IF($E302="","",IF($B302="Tema",INDEX(Config!$D$6:$D$11,$D302),IFERROR(INDEX(Config!$E$15:$E$19,MATCH($I302,Config!$C$15:$C$19,0)),"•")))</f>
        <v/>
      </c>
      <c r="I302" s="114" t="str">
        <f aca="false">IF($E302="","",IF($B302="Tema",INDEX(Config!$E$6:$E$11,$D302),IF(INDEX(Avulsos!$D$6:$D$205,$C302)&amp;""="","Outro",INDEX(Avulsos!$D$6:$D$205,$C302))))</f>
        <v/>
      </c>
      <c r="J302" s="114" t="str">
        <f aca="false">IF($E302="","",IF($B302="Tema",INDEX(Temas!$C$6:$C$305,$C302)&amp;"",INDEX(Avulsos!$E$6:$E$205,$C302)&amp;""))</f>
        <v/>
      </c>
      <c r="K302" s="114" t="str">
        <f aca="false">IF($E302="","",IF(IF($B302="Tema",INDEX(Temas!$E$6:$P$305,$C302,2*$D302),INDEX(Avulsos!$F$6:$F$205,$C302))&amp;""="","","✓"))</f>
        <v/>
      </c>
      <c r="L302" s="114" t="str">
        <f aca="true">IF($E302="","",IF($K302="✓","Concluído",IF($E302&lt;TODAY(),"Atrasado",IF($E302=TODAY(),"Hoje","Pendente"))))</f>
        <v/>
      </c>
      <c r="M302" s="114" t="str">
        <f aca="false">IF($E302="","",IF($K302="✓","✓ ","")&amp;IF(Config!$E$22="Sim",$H302&amp;" · ","")&amp;$F302)</f>
        <v/>
      </c>
      <c r="N302" s="114" t="str">
        <f aca="false">IF($E302="","",IFERROR(INDEX(Config!$D$15:$D$19,MATCH($I302,Config!$C$15:$C$19,0)),"OUT")&amp;IF($K302="✓","x",""))</f>
        <v/>
      </c>
      <c r="O302" s="114" t="str">
        <f aca="false">IF($E302="","",COUNTIF($E$5:$E302,$E302))</f>
        <v/>
      </c>
      <c r="P302" s="114" t="str">
        <f aca="false">IF($E302="","",$E302*100+$O302)</f>
        <v/>
      </c>
      <c r="Q302" s="114" t="str">
        <f aca="false">IF($L302="Atrasado",$E302*10000+$A302,"")</f>
        <v/>
      </c>
    </row>
    <row r="303" customFormat="false" ht="15" hidden="false" customHeight="false" outlineLevel="0" collapsed="false">
      <c r="A303" s="114" t="n">
        <f aca="false">ROW()-4</f>
        <v>299</v>
      </c>
      <c r="B303" s="114" t="str">
        <f aca="false">IF(A303&lt;=Config!$E$27*Config!$E$28,"Tema","Avulso")</f>
        <v>Tema</v>
      </c>
      <c r="C303" s="114" t="n">
        <f aca="false">IF(B303="Tema",INT((A303-1)/Config!$E$28)+1,A303-Config!$E$27*Config!$E$28)</f>
        <v>50</v>
      </c>
      <c r="D303" s="114" t="n">
        <f aca="false">IF(B303="Tema",MOD(A303-1,Config!$E$28)+1,"")</f>
        <v>5</v>
      </c>
      <c r="E303" s="115" t="str">
        <f aca="false">IF($B303="Tema",IF(ISNUMBER(INDEX(Temas!$E$6:$P$305,$C303,2*$D303-1)),INDEX(Temas!$E$6:$P$305,$C303,2*$D303-1),""),IF(ISNUMBER(INDEX(Avulsos!$B$6:$B$205,$C303)),INDEX(Avulsos!$B$6:$B$205,$C303),""))</f>
        <v/>
      </c>
      <c r="F303" s="114" t="str">
        <f aca="false">IF($E303="","",IF($B303="Tema",INDEX(Temas!$B$6:$B$305,$C303)&amp;"",INDEX(Avulsos!$C$6:$C$205,$C303)&amp;""))</f>
        <v/>
      </c>
      <c r="G303" s="114" t="str">
        <f aca="false">IF($E303="","",IF($B303="Tema",INDEX(Config!$C$6:$C$11,$D303),"Evento avulso"))</f>
        <v/>
      </c>
      <c r="H303" s="114" t="str">
        <f aca="false">IF($E303="","",IF($B303="Tema",INDEX(Config!$D$6:$D$11,$D303),IFERROR(INDEX(Config!$E$15:$E$19,MATCH($I303,Config!$C$15:$C$19,0)),"•")))</f>
        <v/>
      </c>
      <c r="I303" s="114" t="str">
        <f aca="false">IF($E303="","",IF($B303="Tema",INDEX(Config!$E$6:$E$11,$D303),IF(INDEX(Avulsos!$D$6:$D$205,$C303)&amp;""="","Outro",INDEX(Avulsos!$D$6:$D$205,$C303))))</f>
        <v/>
      </c>
      <c r="J303" s="114" t="str">
        <f aca="false">IF($E303="","",IF($B303="Tema",INDEX(Temas!$C$6:$C$305,$C303)&amp;"",INDEX(Avulsos!$E$6:$E$205,$C303)&amp;""))</f>
        <v/>
      </c>
      <c r="K303" s="114" t="str">
        <f aca="false">IF($E303="","",IF(IF($B303="Tema",INDEX(Temas!$E$6:$P$305,$C303,2*$D303),INDEX(Avulsos!$F$6:$F$205,$C303))&amp;""="","","✓"))</f>
        <v/>
      </c>
      <c r="L303" s="114" t="str">
        <f aca="true">IF($E303="","",IF($K303="✓","Concluído",IF($E303&lt;TODAY(),"Atrasado",IF($E303=TODAY(),"Hoje","Pendente"))))</f>
        <v/>
      </c>
      <c r="M303" s="114" t="str">
        <f aca="false">IF($E303="","",IF($K303="✓","✓ ","")&amp;IF(Config!$E$22="Sim",$H303&amp;" · ","")&amp;$F303)</f>
        <v/>
      </c>
      <c r="N303" s="114" t="str">
        <f aca="false">IF($E303="","",IFERROR(INDEX(Config!$D$15:$D$19,MATCH($I303,Config!$C$15:$C$19,0)),"OUT")&amp;IF($K303="✓","x",""))</f>
        <v/>
      </c>
      <c r="O303" s="114" t="str">
        <f aca="false">IF($E303="","",COUNTIF($E$5:$E303,$E303))</f>
        <v/>
      </c>
      <c r="P303" s="114" t="str">
        <f aca="false">IF($E303="","",$E303*100+$O303)</f>
        <v/>
      </c>
      <c r="Q303" s="114" t="str">
        <f aca="false">IF($L303="Atrasado",$E303*10000+$A303,"")</f>
        <v/>
      </c>
    </row>
    <row r="304" customFormat="false" ht="15" hidden="false" customHeight="false" outlineLevel="0" collapsed="false">
      <c r="A304" s="114" t="n">
        <f aca="false">ROW()-4</f>
        <v>300</v>
      </c>
      <c r="B304" s="114" t="str">
        <f aca="false">IF(A304&lt;=Config!$E$27*Config!$E$28,"Tema","Avulso")</f>
        <v>Tema</v>
      </c>
      <c r="C304" s="114" t="n">
        <f aca="false">IF(B304="Tema",INT((A304-1)/Config!$E$28)+1,A304-Config!$E$27*Config!$E$28)</f>
        <v>50</v>
      </c>
      <c r="D304" s="114" t="n">
        <f aca="false">IF(B304="Tema",MOD(A304-1,Config!$E$28)+1,"")</f>
        <v>6</v>
      </c>
      <c r="E304" s="115" t="str">
        <f aca="false">IF($B304="Tema",IF(ISNUMBER(INDEX(Temas!$E$6:$P$305,$C304,2*$D304-1)),INDEX(Temas!$E$6:$P$305,$C304,2*$D304-1),""),IF(ISNUMBER(INDEX(Avulsos!$B$6:$B$205,$C304)),INDEX(Avulsos!$B$6:$B$205,$C304),""))</f>
        <v/>
      </c>
      <c r="F304" s="114" t="str">
        <f aca="false">IF($E304="","",IF($B304="Tema",INDEX(Temas!$B$6:$B$305,$C304)&amp;"",INDEX(Avulsos!$C$6:$C$205,$C304)&amp;""))</f>
        <v/>
      </c>
      <c r="G304" s="114" t="str">
        <f aca="false">IF($E304="","",IF($B304="Tema",INDEX(Config!$C$6:$C$11,$D304),"Evento avulso"))</f>
        <v/>
      </c>
      <c r="H304" s="114" t="str">
        <f aca="false">IF($E304="","",IF($B304="Tema",INDEX(Config!$D$6:$D$11,$D304),IFERROR(INDEX(Config!$E$15:$E$19,MATCH($I304,Config!$C$15:$C$19,0)),"•")))</f>
        <v/>
      </c>
      <c r="I304" s="114" t="str">
        <f aca="false">IF($E304="","",IF($B304="Tema",INDEX(Config!$E$6:$E$11,$D304),IF(INDEX(Avulsos!$D$6:$D$205,$C304)&amp;""="","Outro",INDEX(Avulsos!$D$6:$D$205,$C304))))</f>
        <v/>
      </c>
      <c r="J304" s="114" t="str">
        <f aca="false">IF($E304="","",IF($B304="Tema",INDEX(Temas!$C$6:$C$305,$C304)&amp;"",INDEX(Avulsos!$E$6:$E$205,$C304)&amp;""))</f>
        <v/>
      </c>
      <c r="K304" s="114" t="str">
        <f aca="false">IF($E304="","",IF(IF($B304="Tema",INDEX(Temas!$E$6:$P$305,$C304,2*$D304),INDEX(Avulsos!$F$6:$F$205,$C304))&amp;""="","","✓"))</f>
        <v/>
      </c>
      <c r="L304" s="114" t="str">
        <f aca="true">IF($E304="","",IF($K304="✓","Concluído",IF($E304&lt;TODAY(),"Atrasado",IF($E304=TODAY(),"Hoje","Pendente"))))</f>
        <v/>
      </c>
      <c r="M304" s="114" t="str">
        <f aca="false">IF($E304="","",IF($K304="✓","✓ ","")&amp;IF(Config!$E$22="Sim",$H304&amp;" · ","")&amp;$F304)</f>
        <v/>
      </c>
      <c r="N304" s="114" t="str">
        <f aca="false">IF($E304="","",IFERROR(INDEX(Config!$D$15:$D$19,MATCH($I304,Config!$C$15:$C$19,0)),"OUT")&amp;IF($K304="✓","x",""))</f>
        <v/>
      </c>
      <c r="O304" s="114" t="str">
        <f aca="false">IF($E304="","",COUNTIF($E$5:$E304,$E304))</f>
        <v/>
      </c>
      <c r="P304" s="114" t="str">
        <f aca="false">IF($E304="","",$E304*100+$O304)</f>
        <v/>
      </c>
      <c r="Q304" s="114" t="str">
        <f aca="false">IF($L304="Atrasado",$E304*10000+$A304,"")</f>
        <v/>
      </c>
    </row>
    <row r="305" customFormat="false" ht="15" hidden="false" customHeight="false" outlineLevel="0" collapsed="false">
      <c r="A305" s="114" t="n">
        <f aca="false">ROW()-4</f>
        <v>301</v>
      </c>
      <c r="B305" s="114" t="str">
        <f aca="false">IF(A305&lt;=Config!$E$27*Config!$E$28,"Tema","Avulso")</f>
        <v>Tema</v>
      </c>
      <c r="C305" s="114" t="n">
        <f aca="false">IF(B305="Tema",INT((A305-1)/Config!$E$28)+1,A305-Config!$E$27*Config!$E$28)</f>
        <v>51</v>
      </c>
      <c r="D305" s="114" t="n">
        <f aca="false">IF(B305="Tema",MOD(A305-1,Config!$E$28)+1,"")</f>
        <v>1</v>
      </c>
      <c r="E305" s="115" t="str">
        <f aca="false">IF($B305="Tema",IF(ISNUMBER(INDEX(Temas!$E$6:$P$305,$C305,2*$D305-1)),INDEX(Temas!$E$6:$P$305,$C305,2*$D305-1),""),IF(ISNUMBER(INDEX(Avulsos!$B$6:$B$205,$C305)),INDEX(Avulsos!$B$6:$B$205,$C305),""))</f>
        <v/>
      </c>
      <c r="F305" s="114" t="str">
        <f aca="false">IF($E305="","",IF($B305="Tema",INDEX(Temas!$B$6:$B$305,$C305)&amp;"",INDEX(Avulsos!$C$6:$C$205,$C305)&amp;""))</f>
        <v/>
      </c>
      <c r="G305" s="114" t="str">
        <f aca="false">IF($E305="","",IF($B305="Tema",INDEX(Config!$C$6:$C$11,$D305),"Evento avulso"))</f>
        <v/>
      </c>
      <c r="H305" s="114" t="str">
        <f aca="false">IF($E305="","",IF($B305="Tema",INDEX(Config!$D$6:$D$11,$D305),IFERROR(INDEX(Config!$E$15:$E$19,MATCH($I305,Config!$C$15:$C$19,0)),"•")))</f>
        <v/>
      </c>
      <c r="I305" s="114" t="str">
        <f aca="false">IF($E305="","",IF($B305="Tema",INDEX(Config!$E$6:$E$11,$D305),IF(INDEX(Avulsos!$D$6:$D$205,$C305)&amp;""="","Outro",INDEX(Avulsos!$D$6:$D$205,$C305))))</f>
        <v/>
      </c>
      <c r="J305" s="114" t="str">
        <f aca="false">IF($E305="","",IF($B305="Tema",INDEX(Temas!$C$6:$C$305,$C305)&amp;"",INDEX(Avulsos!$E$6:$E$205,$C305)&amp;""))</f>
        <v/>
      </c>
      <c r="K305" s="114" t="str">
        <f aca="false">IF($E305="","",IF(IF($B305="Tema",INDEX(Temas!$E$6:$P$305,$C305,2*$D305),INDEX(Avulsos!$F$6:$F$205,$C305))&amp;""="","","✓"))</f>
        <v/>
      </c>
      <c r="L305" s="114" t="str">
        <f aca="true">IF($E305="","",IF($K305="✓","Concluído",IF($E305&lt;TODAY(),"Atrasado",IF($E305=TODAY(),"Hoje","Pendente"))))</f>
        <v/>
      </c>
      <c r="M305" s="114" t="str">
        <f aca="false">IF($E305="","",IF($K305="✓","✓ ","")&amp;IF(Config!$E$22="Sim",$H305&amp;" · ","")&amp;$F305)</f>
        <v/>
      </c>
      <c r="N305" s="114" t="str">
        <f aca="false">IF($E305="","",IFERROR(INDEX(Config!$D$15:$D$19,MATCH($I305,Config!$C$15:$C$19,0)),"OUT")&amp;IF($K305="✓","x",""))</f>
        <v/>
      </c>
      <c r="O305" s="114" t="str">
        <f aca="false">IF($E305="","",COUNTIF($E$5:$E305,$E305))</f>
        <v/>
      </c>
      <c r="P305" s="114" t="str">
        <f aca="false">IF($E305="","",$E305*100+$O305)</f>
        <v/>
      </c>
      <c r="Q305" s="114" t="str">
        <f aca="false">IF($L305="Atrasado",$E305*10000+$A305,"")</f>
        <v/>
      </c>
    </row>
    <row r="306" customFormat="false" ht="15" hidden="false" customHeight="false" outlineLevel="0" collapsed="false">
      <c r="A306" s="114" t="n">
        <f aca="false">ROW()-4</f>
        <v>302</v>
      </c>
      <c r="B306" s="114" t="str">
        <f aca="false">IF(A306&lt;=Config!$E$27*Config!$E$28,"Tema","Avulso")</f>
        <v>Tema</v>
      </c>
      <c r="C306" s="114" t="n">
        <f aca="false">IF(B306="Tema",INT((A306-1)/Config!$E$28)+1,A306-Config!$E$27*Config!$E$28)</f>
        <v>51</v>
      </c>
      <c r="D306" s="114" t="n">
        <f aca="false">IF(B306="Tema",MOD(A306-1,Config!$E$28)+1,"")</f>
        <v>2</v>
      </c>
      <c r="E306" s="115" t="str">
        <f aca="false">IF($B306="Tema",IF(ISNUMBER(INDEX(Temas!$E$6:$P$305,$C306,2*$D306-1)),INDEX(Temas!$E$6:$P$305,$C306,2*$D306-1),""),IF(ISNUMBER(INDEX(Avulsos!$B$6:$B$205,$C306)),INDEX(Avulsos!$B$6:$B$205,$C306),""))</f>
        <v/>
      </c>
      <c r="F306" s="114" t="str">
        <f aca="false">IF($E306="","",IF($B306="Tema",INDEX(Temas!$B$6:$B$305,$C306)&amp;"",INDEX(Avulsos!$C$6:$C$205,$C306)&amp;""))</f>
        <v/>
      </c>
      <c r="G306" s="114" t="str">
        <f aca="false">IF($E306="","",IF($B306="Tema",INDEX(Config!$C$6:$C$11,$D306),"Evento avulso"))</f>
        <v/>
      </c>
      <c r="H306" s="114" t="str">
        <f aca="false">IF($E306="","",IF($B306="Tema",INDEX(Config!$D$6:$D$11,$D306),IFERROR(INDEX(Config!$E$15:$E$19,MATCH($I306,Config!$C$15:$C$19,0)),"•")))</f>
        <v/>
      </c>
      <c r="I306" s="114" t="str">
        <f aca="false">IF($E306="","",IF($B306="Tema",INDEX(Config!$E$6:$E$11,$D306),IF(INDEX(Avulsos!$D$6:$D$205,$C306)&amp;""="","Outro",INDEX(Avulsos!$D$6:$D$205,$C306))))</f>
        <v/>
      </c>
      <c r="J306" s="114" t="str">
        <f aca="false">IF($E306="","",IF($B306="Tema",INDEX(Temas!$C$6:$C$305,$C306)&amp;"",INDEX(Avulsos!$E$6:$E$205,$C306)&amp;""))</f>
        <v/>
      </c>
      <c r="K306" s="114" t="str">
        <f aca="false">IF($E306="","",IF(IF($B306="Tema",INDEX(Temas!$E$6:$P$305,$C306,2*$D306),INDEX(Avulsos!$F$6:$F$205,$C306))&amp;""="","","✓"))</f>
        <v/>
      </c>
      <c r="L306" s="114" t="str">
        <f aca="true">IF($E306="","",IF($K306="✓","Concluído",IF($E306&lt;TODAY(),"Atrasado",IF($E306=TODAY(),"Hoje","Pendente"))))</f>
        <v/>
      </c>
      <c r="M306" s="114" t="str">
        <f aca="false">IF($E306="","",IF($K306="✓","✓ ","")&amp;IF(Config!$E$22="Sim",$H306&amp;" · ","")&amp;$F306)</f>
        <v/>
      </c>
      <c r="N306" s="114" t="str">
        <f aca="false">IF($E306="","",IFERROR(INDEX(Config!$D$15:$D$19,MATCH($I306,Config!$C$15:$C$19,0)),"OUT")&amp;IF($K306="✓","x",""))</f>
        <v/>
      </c>
      <c r="O306" s="114" t="str">
        <f aca="false">IF($E306="","",COUNTIF($E$5:$E306,$E306))</f>
        <v/>
      </c>
      <c r="P306" s="114" t="str">
        <f aca="false">IF($E306="","",$E306*100+$O306)</f>
        <v/>
      </c>
      <c r="Q306" s="114" t="str">
        <f aca="false">IF($L306="Atrasado",$E306*10000+$A306,"")</f>
        <v/>
      </c>
    </row>
    <row r="307" customFormat="false" ht="15" hidden="false" customHeight="false" outlineLevel="0" collapsed="false">
      <c r="A307" s="114" t="n">
        <f aca="false">ROW()-4</f>
        <v>303</v>
      </c>
      <c r="B307" s="114" t="str">
        <f aca="false">IF(A307&lt;=Config!$E$27*Config!$E$28,"Tema","Avulso")</f>
        <v>Tema</v>
      </c>
      <c r="C307" s="114" t="n">
        <f aca="false">IF(B307="Tema",INT((A307-1)/Config!$E$28)+1,A307-Config!$E$27*Config!$E$28)</f>
        <v>51</v>
      </c>
      <c r="D307" s="114" t="n">
        <f aca="false">IF(B307="Tema",MOD(A307-1,Config!$E$28)+1,"")</f>
        <v>3</v>
      </c>
      <c r="E307" s="115" t="str">
        <f aca="false">IF($B307="Tema",IF(ISNUMBER(INDEX(Temas!$E$6:$P$305,$C307,2*$D307-1)),INDEX(Temas!$E$6:$P$305,$C307,2*$D307-1),""),IF(ISNUMBER(INDEX(Avulsos!$B$6:$B$205,$C307)),INDEX(Avulsos!$B$6:$B$205,$C307),""))</f>
        <v/>
      </c>
      <c r="F307" s="114" t="str">
        <f aca="false">IF($E307="","",IF($B307="Tema",INDEX(Temas!$B$6:$B$305,$C307)&amp;"",INDEX(Avulsos!$C$6:$C$205,$C307)&amp;""))</f>
        <v/>
      </c>
      <c r="G307" s="114" t="str">
        <f aca="false">IF($E307="","",IF($B307="Tema",INDEX(Config!$C$6:$C$11,$D307),"Evento avulso"))</f>
        <v/>
      </c>
      <c r="H307" s="114" t="str">
        <f aca="false">IF($E307="","",IF($B307="Tema",INDEX(Config!$D$6:$D$11,$D307),IFERROR(INDEX(Config!$E$15:$E$19,MATCH($I307,Config!$C$15:$C$19,0)),"•")))</f>
        <v/>
      </c>
      <c r="I307" s="114" t="str">
        <f aca="false">IF($E307="","",IF($B307="Tema",INDEX(Config!$E$6:$E$11,$D307),IF(INDEX(Avulsos!$D$6:$D$205,$C307)&amp;""="","Outro",INDEX(Avulsos!$D$6:$D$205,$C307))))</f>
        <v/>
      </c>
      <c r="J307" s="114" t="str">
        <f aca="false">IF($E307="","",IF($B307="Tema",INDEX(Temas!$C$6:$C$305,$C307)&amp;"",INDEX(Avulsos!$E$6:$E$205,$C307)&amp;""))</f>
        <v/>
      </c>
      <c r="K307" s="114" t="str">
        <f aca="false">IF($E307="","",IF(IF($B307="Tema",INDEX(Temas!$E$6:$P$305,$C307,2*$D307),INDEX(Avulsos!$F$6:$F$205,$C307))&amp;""="","","✓"))</f>
        <v/>
      </c>
      <c r="L307" s="114" t="str">
        <f aca="true">IF($E307="","",IF($K307="✓","Concluído",IF($E307&lt;TODAY(),"Atrasado",IF($E307=TODAY(),"Hoje","Pendente"))))</f>
        <v/>
      </c>
      <c r="M307" s="114" t="str">
        <f aca="false">IF($E307="","",IF($K307="✓","✓ ","")&amp;IF(Config!$E$22="Sim",$H307&amp;" · ","")&amp;$F307)</f>
        <v/>
      </c>
      <c r="N307" s="114" t="str">
        <f aca="false">IF($E307="","",IFERROR(INDEX(Config!$D$15:$D$19,MATCH($I307,Config!$C$15:$C$19,0)),"OUT")&amp;IF($K307="✓","x",""))</f>
        <v/>
      </c>
      <c r="O307" s="114" t="str">
        <f aca="false">IF($E307="","",COUNTIF($E$5:$E307,$E307))</f>
        <v/>
      </c>
      <c r="P307" s="114" t="str">
        <f aca="false">IF($E307="","",$E307*100+$O307)</f>
        <v/>
      </c>
      <c r="Q307" s="114" t="str">
        <f aca="false">IF($L307="Atrasado",$E307*10000+$A307,"")</f>
        <v/>
      </c>
    </row>
    <row r="308" customFormat="false" ht="15" hidden="false" customHeight="false" outlineLevel="0" collapsed="false">
      <c r="A308" s="114" t="n">
        <f aca="false">ROW()-4</f>
        <v>304</v>
      </c>
      <c r="B308" s="114" t="str">
        <f aca="false">IF(A308&lt;=Config!$E$27*Config!$E$28,"Tema","Avulso")</f>
        <v>Tema</v>
      </c>
      <c r="C308" s="114" t="n">
        <f aca="false">IF(B308="Tema",INT((A308-1)/Config!$E$28)+1,A308-Config!$E$27*Config!$E$28)</f>
        <v>51</v>
      </c>
      <c r="D308" s="114" t="n">
        <f aca="false">IF(B308="Tema",MOD(A308-1,Config!$E$28)+1,"")</f>
        <v>4</v>
      </c>
      <c r="E308" s="115" t="str">
        <f aca="false">IF($B308="Tema",IF(ISNUMBER(INDEX(Temas!$E$6:$P$305,$C308,2*$D308-1)),INDEX(Temas!$E$6:$P$305,$C308,2*$D308-1),""),IF(ISNUMBER(INDEX(Avulsos!$B$6:$B$205,$C308)),INDEX(Avulsos!$B$6:$B$205,$C308),""))</f>
        <v/>
      </c>
      <c r="F308" s="114" t="str">
        <f aca="false">IF($E308="","",IF($B308="Tema",INDEX(Temas!$B$6:$B$305,$C308)&amp;"",INDEX(Avulsos!$C$6:$C$205,$C308)&amp;""))</f>
        <v/>
      </c>
      <c r="G308" s="114" t="str">
        <f aca="false">IF($E308="","",IF($B308="Tema",INDEX(Config!$C$6:$C$11,$D308),"Evento avulso"))</f>
        <v/>
      </c>
      <c r="H308" s="114" t="str">
        <f aca="false">IF($E308="","",IF($B308="Tema",INDEX(Config!$D$6:$D$11,$D308),IFERROR(INDEX(Config!$E$15:$E$19,MATCH($I308,Config!$C$15:$C$19,0)),"•")))</f>
        <v/>
      </c>
      <c r="I308" s="114" t="str">
        <f aca="false">IF($E308="","",IF($B308="Tema",INDEX(Config!$E$6:$E$11,$D308),IF(INDEX(Avulsos!$D$6:$D$205,$C308)&amp;""="","Outro",INDEX(Avulsos!$D$6:$D$205,$C308))))</f>
        <v/>
      </c>
      <c r="J308" s="114" t="str">
        <f aca="false">IF($E308="","",IF($B308="Tema",INDEX(Temas!$C$6:$C$305,$C308)&amp;"",INDEX(Avulsos!$E$6:$E$205,$C308)&amp;""))</f>
        <v/>
      </c>
      <c r="K308" s="114" t="str">
        <f aca="false">IF($E308="","",IF(IF($B308="Tema",INDEX(Temas!$E$6:$P$305,$C308,2*$D308),INDEX(Avulsos!$F$6:$F$205,$C308))&amp;""="","","✓"))</f>
        <v/>
      </c>
      <c r="L308" s="114" t="str">
        <f aca="true">IF($E308="","",IF($K308="✓","Concluído",IF($E308&lt;TODAY(),"Atrasado",IF($E308=TODAY(),"Hoje","Pendente"))))</f>
        <v/>
      </c>
      <c r="M308" s="114" t="str">
        <f aca="false">IF($E308="","",IF($K308="✓","✓ ","")&amp;IF(Config!$E$22="Sim",$H308&amp;" · ","")&amp;$F308)</f>
        <v/>
      </c>
      <c r="N308" s="114" t="str">
        <f aca="false">IF($E308="","",IFERROR(INDEX(Config!$D$15:$D$19,MATCH($I308,Config!$C$15:$C$19,0)),"OUT")&amp;IF($K308="✓","x",""))</f>
        <v/>
      </c>
      <c r="O308" s="114" t="str">
        <f aca="false">IF($E308="","",COUNTIF($E$5:$E308,$E308))</f>
        <v/>
      </c>
      <c r="P308" s="114" t="str">
        <f aca="false">IF($E308="","",$E308*100+$O308)</f>
        <v/>
      </c>
      <c r="Q308" s="114" t="str">
        <f aca="false">IF($L308="Atrasado",$E308*10000+$A308,"")</f>
        <v/>
      </c>
    </row>
    <row r="309" customFormat="false" ht="15" hidden="false" customHeight="false" outlineLevel="0" collapsed="false">
      <c r="A309" s="114" t="n">
        <f aca="false">ROW()-4</f>
        <v>305</v>
      </c>
      <c r="B309" s="114" t="str">
        <f aca="false">IF(A309&lt;=Config!$E$27*Config!$E$28,"Tema","Avulso")</f>
        <v>Tema</v>
      </c>
      <c r="C309" s="114" t="n">
        <f aca="false">IF(B309="Tema",INT((A309-1)/Config!$E$28)+1,A309-Config!$E$27*Config!$E$28)</f>
        <v>51</v>
      </c>
      <c r="D309" s="114" t="n">
        <f aca="false">IF(B309="Tema",MOD(A309-1,Config!$E$28)+1,"")</f>
        <v>5</v>
      </c>
      <c r="E309" s="115" t="str">
        <f aca="false">IF($B309="Tema",IF(ISNUMBER(INDEX(Temas!$E$6:$P$305,$C309,2*$D309-1)),INDEX(Temas!$E$6:$P$305,$C309,2*$D309-1),""),IF(ISNUMBER(INDEX(Avulsos!$B$6:$B$205,$C309)),INDEX(Avulsos!$B$6:$B$205,$C309),""))</f>
        <v/>
      </c>
      <c r="F309" s="114" t="str">
        <f aca="false">IF($E309="","",IF($B309="Tema",INDEX(Temas!$B$6:$B$305,$C309)&amp;"",INDEX(Avulsos!$C$6:$C$205,$C309)&amp;""))</f>
        <v/>
      </c>
      <c r="G309" s="114" t="str">
        <f aca="false">IF($E309="","",IF($B309="Tema",INDEX(Config!$C$6:$C$11,$D309),"Evento avulso"))</f>
        <v/>
      </c>
      <c r="H309" s="114" t="str">
        <f aca="false">IF($E309="","",IF($B309="Tema",INDEX(Config!$D$6:$D$11,$D309),IFERROR(INDEX(Config!$E$15:$E$19,MATCH($I309,Config!$C$15:$C$19,0)),"•")))</f>
        <v/>
      </c>
      <c r="I309" s="114" t="str">
        <f aca="false">IF($E309="","",IF($B309="Tema",INDEX(Config!$E$6:$E$11,$D309),IF(INDEX(Avulsos!$D$6:$D$205,$C309)&amp;""="","Outro",INDEX(Avulsos!$D$6:$D$205,$C309))))</f>
        <v/>
      </c>
      <c r="J309" s="114" t="str">
        <f aca="false">IF($E309="","",IF($B309="Tema",INDEX(Temas!$C$6:$C$305,$C309)&amp;"",INDEX(Avulsos!$E$6:$E$205,$C309)&amp;""))</f>
        <v/>
      </c>
      <c r="K309" s="114" t="str">
        <f aca="false">IF($E309="","",IF(IF($B309="Tema",INDEX(Temas!$E$6:$P$305,$C309,2*$D309),INDEX(Avulsos!$F$6:$F$205,$C309))&amp;""="","","✓"))</f>
        <v/>
      </c>
      <c r="L309" s="114" t="str">
        <f aca="true">IF($E309="","",IF($K309="✓","Concluído",IF($E309&lt;TODAY(),"Atrasado",IF($E309=TODAY(),"Hoje","Pendente"))))</f>
        <v/>
      </c>
      <c r="M309" s="114" t="str">
        <f aca="false">IF($E309="","",IF($K309="✓","✓ ","")&amp;IF(Config!$E$22="Sim",$H309&amp;" · ","")&amp;$F309)</f>
        <v/>
      </c>
      <c r="N309" s="114" t="str">
        <f aca="false">IF($E309="","",IFERROR(INDEX(Config!$D$15:$D$19,MATCH($I309,Config!$C$15:$C$19,0)),"OUT")&amp;IF($K309="✓","x",""))</f>
        <v/>
      </c>
      <c r="O309" s="114" t="str">
        <f aca="false">IF($E309="","",COUNTIF($E$5:$E309,$E309))</f>
        <v/>
      </c>
      <c r="P309" s="114" t="str">
        <f aca="false">IF($E309="","",$E309*100+$O309)</f>
        <v/>
      </c>
      <c r="Q309" s="114" t="str">
        <f aca="false">IF($L309="Atrasado",$E309*10000+$A309,"")</f>
        <v/>
      </c>
    </row>
    <row r="310" customFormat="false" ht="15" hidden="false" customHeight="false" outlineLevel="0" collapsed="false">
      <c r="A310" s="114" t="n">
        <f aca="false">ROW()-4</f>
        <v>306</v>
      </c>
      <c r="B310" s="114" t="str">
        <f aca="false">IF(A310&lt;=Config!$E$27*Config!$E$28,"Tema","Avulso")</f>
        <v>Tema</v>
      </c>
      <c r="C310" s="114" t="n">
        <f aca="false">IF(B310="Tema",INT((A310-1)/Config!$E$28)+1,A310-Config!$E$27*Config!$E$28)</f>
        <v>51</v>
      </c>
      <c r="D310" s="114" t="n">
        <f aca="false">IF(B310="Tema",MOD(A310-1,Config!$E$28)+1,"")</f>
        <v>6</v>
      </c>
      <c r="E310" s="115" t="str">
        <f aca="false">IF($B310="Tema",IF(ISNUMBER(INDEX(Temas!$E$6:$P$305,$C310,2*$D310-1)),INDEX(Temas!$E$6:$P$305,$C310,2*$D310-1),""),IF(ISNUMBER(INDEX(Avulsos!$B$6:$B$205,$C310)),INDEX(Avulsos!$B$6:$B$205,$C310),""))</f>
        <v/>
      </c>
      <c r="F310" s="114" t="str">
        <f aca="false">IF($E310="","",IF($B310="Tema",INDEX(Temas!$B$6:$B$305,$C310)&amp;"",INDEX(Avulsos!$C$6:$C$205,$C310)&amp;""))</f>
        <v/>
      </c>
      <c r="G310" s="114" t="str">
        <f aca="false">IF($E310="","",IF($B310="Tema",INDEX(Config!$C$6:$C$11,$D310),"Evento avulso"))</f>
        <v/>
      </c>
      <c r="H310" s="114" t="str">
        <f aca="false">IF($E310="","",IF($B310="Tema",INDEX(Config!$D$6:$D$11,$D310),IFERROR(INDEX(Config!$E$15:$E$19,MATCH($I310,Config!$C$15:$C$19,0)),"•")))</f>
        <v/>
      </c>
      <c r="I310" s="114" t="str">
        <f aca="false">IF($E310="","",IF($B310="Tema",INDEX(Config!$E$6:$E$11,$D310),IF(INDEX(Avulsos!$D$6:$D$205,$C310)&amp;""="","Outro",INDEX(Avulsos!$D$6:$D$205,$C310))))</f>
        <v/>
      </c>
      <c r="J310" s="114" t="str">
        <f aca="false">IF($E310="","",IF($B310="Tema",INDEX(Temas!$C$6:$C$305,$C310)&amp;"",INDEX(Avulsos!$E$6:$E$205,$C310)&amp;""))</f>
        <v/>
      </c>
      <c r="K310" s="114" t="str">
        <f aca="false">IF($E310="","",IF(IF($B310="Tema",INDEX(Temas!$E$6:$P$305,$C310,2*$D310),INDEX(Avulsos!$F$6:$F$205,$C310))&amp;""="","","✓"))</f>
        <v/>
      </c>
      <c r="L310" s="114" t="str">
        <f aca="true">IF($E310="","",IF($K310="✓","Concluído",IF($E310&lt;TODAY(),"Atrasado",IF($E310=TODAY(),"Hoje","Pendente"))))</f>
        <v/>
      </c>
      <c r="M310" s="114" t="str">
        <f aca="false">IF($E310="","",IF($K310="✓","✓ ","")&amp;IF(Config!$E$22="Sim",$H310&amp;" · ","")&amp;$F310)</f>
        <v/>
      </c>
      <c r="N310" s="114" t="str">
        <f aca="false">IF($E310="","",IFERROR(INDEX(Config!$D$15:$D$19,MATCH($I310,Config!$C$15:$C$19,0)),"OUT")&amp;IF($K310="✓","x",""))</f>
        <v/>
      </c>
      <c r="O310" s="114" t="str">
        <f aca="false">IF($E310="","",COUNTIF($E$5:$E310,$E310))</f>
        <v/>
      </c>
      <c r="P310" s="114" t="str">
        <f aca="false">IF($E310="","",$E310*100+$O310)</f>
        <v/>
      </c>
      <c r="Q310" s="114" t="str">
        <f aca="false">IF($L310="Atrasado",$E310*10000+$A310,"")</f>
        <v/>
      </c>
    </row>
    <row r="311" customFormat="false" ht="15" hidden="false" customHeight="false" outlineLevel="0" collapsed="false">
      <c r="A311" s="114" t="n">
        <f aca="false">ROW()-4</f>
        <v>307</v>
      </c>
      <c r="B311" s="114" t="str">
        <f aca="false">IF(A311&lt;=Config!$E$27*Config!$E$28,"Tema","Avulso")</f>
        <v>Tema</v>
      </c>
      <c r="C311" s="114" t="n">
        <f aca="false">IF(B311="Tema",INT((A311-1)/Config!$E$28)+1,A311-Config!$E$27*Config!$E$28)</f>
        <v>52</v>
      </c>
      <c r="D311" s="114" t="n">
        <f aca="false">IF(B311="Tema",MOD(A311-1,Config!$E$28)+1,"")</f>
        <v>1</v>
      </c>
      <c r="E311" s="115" t="str">
        <f aca="false">IF($B311="Tema",IF(ISNUMBER(INDEX(Temas!$E$6:$P$305,$C311,2*$D311-1)),INDEX(Temas!$E$6:$P$305,$C311,2*$D311-1),""),IF(ISNUMBER(INDEX(Avulsos!$B$6:$B$205,$C311)),INDEX(Avulsos!$B$6:$B$205,$C311),""))</f>
        <v/>
      </c>
      <c r="F311" s="114" t="str">
        <f aca="false">IF($E311="","",IF($B311="Tema",INDEX(Temas!$B$6:$B$305,$C311)&amp;"",INDEX(Avulsos!$C$6:$C$205,$C311)&amp;""))</f>
        <v/>
      </c>
      <c r="G311" s="114" t="str">
        <f aca="false">IF($E311="","",IF($B311="Tema",INDEX(Config!$C$6:$C$11,$D311),"Evento avulso"))</f>
        <v/>
      </c>
      <c r="H311" s="114" t="str">
        <f aca="false">IF($E311="","",IF($B311="Tema",INDEX(Config!$D$6:$D$11,$D311),IFERROR(INDEX(Config!$E$15:$E$19,MATCH($I311,Config!$C$15:$C$19,0)),"•")))</f>
        <v/>
      </c>
      <c r="I311" s="114" t="str">
        <f aca="false">IF($E311="","",IF($B311="Tema",INDEX(Config!$E$6:$E$11,$D311),IF(INDEX(Avulsos!$D$6:$D$205,$C311)&amp;""="","Outro",INDEX(Avulsos!$D$6:$D$205,$C311))))</f>
        <v/>
      </c>
      <c r="J311" s="114" t="str">
        <f aca="false">IF($E311="","",IF($B311="Tema",INDEX(Temas!$C$6:$C$305,$C311)&amp;"",INDEX(Avulsos!$E$6:$E$205,$C311)&amp;""))</f>
        <v/>
      </c>
      <c r="K311" s="114" t="str">
        <f aca="false">IF($E311="","",IF(IF($B311="Tema",INDEX(Temas!$E$6:$P$305,$C311,2*$D311),INDEX(Avulsos!$F$6:$F$205,$C311))&amp;""="","","✓"))</f>
        <v/>
      </c>
      <c r="L311" s="114" t="str">
        <f aca="true">IF($E311="","",IF($K311="✓","Concluído",IF($E311&lt;TODAY(),"Atrasado",IF($E311=TODAY(),"Hoje","Pendente"))))</f>
        <v/>
      </c>
      <c r="M311" s="114" t="str">
        <f aca="false">IF($E311="","",IF($K311="✓","✓ ","")&amp;IF(Config!$E$22="Sim",$H311&amp;" · ","")&amp;$F311)</f>
        <v/>
      </c>
      <c r="N311" s="114" t="str">
        <f aca="false">IF($E311="","",IFERROR(INDEX(Config!$D$15:$D$19,MATCH($I311,Config!$C$15:$C$19,0)),"OUT")&amp;IF($K311="✓","x",""))</f>
        <v/>
      </c>
      <c r="O311" s="114" t="str">
        <f aca="false">IF($E311="","",COUNTIF($E$5:$E311,$E311))</f>
        <v/>
      </c>
      <c r="P311" s="114" t="str">
        <f aca="false">IF($E311="","",$E311*100+$O311)</f>
        <v/>
      </c>
      <c r="Q311" s="114" t="str">
        <f aca="false">IF($L311="Atrasado",$E311*10000+$A311,"")</f>
        <v/>
      </c>
    </row>
    <row r="312" customFormat="false" ht="15" hidden="false" customHeight="false" outlineLevel="0" collapsed="false">
      <c r="A312" s="114" t="n">
        <f aca="false">ROW()-4</f>
        <v>308</v>
      </c>
      <c r="B312" s="114" t="str">
        <f aca="false">IF(A312&lt;=Config!$E$27*Config!$E$28,"Tema","Avulso")</f>
        <v>Tema</v>
      </c>
      <c r="C312" s="114" t="n">
        <f aca="false">IF(B312="Tema",INT((A312-1)/Config!$E$28)+1,A312-Config!$E$27*Config!$E$28)</f>
        <v>52</v>
      </c>
      <c r="D312" s="114" t="n">
        <f aca="false">IF(B312="Tema",MOD(A312-1,Config!$E$28)+1,"")</f>
        <v>2</v>
      </c>
      <c r="E312" s="115" t="str">
        <f aca="false">IF($B312="Tema",IF(ISNUMBER(INDEX(Temas!$E$6:$P$305,$C312,2*$D312-1)),INDEX(Temas!$E$6:$P$305,$C312,2*$D312-1),""),IF(ISNUMBER(INDEX(Avulsos!$B$6:$B$205,$C312)),INDEX(Avulsos!$B$6:$B$205,$C312),""))</f>
        <v/>
      </c>
      <c r="F312" s="114" t="str">
        <f aca="false">IF($E312="","",IF($B312="Tema",INDEX(Temas!$B$6:$B$305,$C312)&amp;"",INDEX(Avulsos!$C$6:$C$205,$C312)&amp;""))</f>
        <v/>
      </c>
      <c r="G312" s="114" t="str">
        <f aca="false">IF($E312="","",IF($B312="Tema",INDEX(Config!$C$6:$C$11,$D312),"Evento avulso"))</f>
        <v/>
      </c>
      <c r="H312" s="114" t="str">
        <f aca="false">IF($E312="","",IF($B312="Tema",INDEX(Config!$D$6:$D$11,$D312),IFERROR(INDEX(Config!$E$15:$E$19,MATCH($I312,Config!$C$15:$C$19,0)),"•")))</f>
        <v/>
      </c>
      <c r="I312" s="114" t="str">
        <f aca="false">IF($E312="","",IF($B312="Tema",INDEX(Config!$E$6:$E$11,$D312),IF(INDEX(Avulsos!$D$6:$D$205,$C312)&amp;""="","Outro",INDEX(Avulsos!$D$6:$D$205,$C312))))</f>
        <v/>
      </c>
      <c r="J312" s="114" t="str">
        <f aca="false">IF($E312="","",IF($B312="Tema",INDEX(Temas!$C$6:$C$305,$C312)&amp;"",INDEX(Avulsos!$E$6:$E$205,$C312)&amp;""))</f>
        <v/>
      </c>
      <c r="K312" s="114" t="str">
        <f aca="false">IF($E312="","",IF(IF($B312="Tema",INDEX(Temas!$E$6:$P$305,$C312,2*$D312),INDEX(Avulsos!$F$6:$F$205,$C312))&amp;""="","","✓"))</f>
        <v/>
      </c>
      <c r="L312" s="114" t="str">
        <f aca="true">IF($E312="","",IF($K312="✓","Concluído",IF($E312&lt;TODAY(),"Atrasado",IF($E312=TODAY(),"Hoje","Pendente"))))</f>
        <v/>
      </c>
      <c r="M312" s="114" t="str">
        <f aca="false">IF($E312="","",IF($K312="✓","✓ ","")&amp;IF(Config!$E$22="Sim",$H312&amp;" · ","")&amp;$F312)</f>
        <v/>
      </c>
      <c r="N312" s="114" t="str">
        <f aca="false">IF($E312="","",IFERROR(INDEX(Config!$D$15:$D$19,MATCH($I312,Config!$C$15:$C$19,0)),"OUT")&amp;IF($K312="✓","x",""))</f>
        <v/>
      </c>
      <c r="O312" s="114" t="str">
        <f aca="false">IF($E312="","",COUNTIF($E$5:$E312,$E312))</f>
        <v/>
      </c>
      <c r="P312" s="114" t="str">
        <f aca="false">IF($E312="","",$E312*100+$O312)</f>
        <v/>
      </c>
      <c r="Q312" s="114" t="str">
        <f aca="false">IF($L312="Atrasado",$E312*10000+$A312,"")</f>
        <v/>
      </c>
    </row>
    <row r="313" customFormat="false" ht="15" hidden="false" customHeight="false" outlineLevel="0" collapsed="false">
      <c r="A313" s="114" t="n">
        <f aca="false">ROW()-4</f>
        <v>309</v>
      </c>
      <c r="B313" s="114" t="str">
        <f aca="false">IF(A313&lt;=Config!$E$27*Config!$E$28,"Tema","Avulso")</f>
        <v>Tema</v>
      </c>
      <c r="C313" s="114" t="n">
        <f aca="false">IF(B313="Tema",INT((A313-1)/Config!$E$28)+1,A313-Config!$E$27*Config!$E$28)</f>
        <v>52</v>
      </c>
      <c r="D313" s="114" t="n">
        <f aca="false">IF(B313="Tema",MOD(A313-1,Config!$E$28)+1,"")</f>
        <v>3</v>
      </c>
      <c r="E313" s="115" t="str">
        <f aca="false">IF($B313="Tema",IF(ISNUMBER(INDEX(Temas!$E$6:$P$305,$C313,2*$D313-1)),INDEX(Temas!$E$6:$P$305,$C313,2*$D313-1),""),IF(ISNUMBER(INDEX(Avulsos!$B$6:$B$205,$C313)),INDEX(Avulsos!$B$6:$B$205,$C313),""))</f>
        <v/>
      </c>
      <c r="F313" s="114" t="str">
        <f aca="false">IF($E313="","",IF($B313="Tema",INDEX(Temas!$B$6:$B$305,$C313)&amp;"",INDEX(Avulsos!$C$6:$C$205,$C313)&amp;""))</f>
        <v/>
      </c>
      <c r="G313" s="114" t="str">
        <f aca="false">IF($E313="","",IF($B313="Tema",INDEX(Config!$C$6:$C$11,$D313),"Evento avulso"))</f>
        <v/>
      </c>
      <c r="H313" s="114" t="str">
        <f aca="false">IF($E313="","",IF($B313="Tema",INDEX(Config!$D$6:$D$11,$D313),IFERROR(INDEX(Config!$E$15:$E$19,MATCH($I313,Config!$C$15:$C$19,0)),"•")))</f>
        <v/>
      </c>
      <c r="I313" s="114" t="str">
        <f aca="false">IF($E313="","",IF($B313="Tema",INDEX(Config!$E$6:$E$11,$D313),IF(INDEX(Avulsos!$D$6:$D$205,$C313)&amp;""="","Outro",INDEX(Avulsos!$D$6:$D$205,$C313))))</f>
        <v/>
      </c>
      <c r="J313" s="114" t="str">
        <f aca="false">IF($E313="","",IF($B313="Tema",INDEX(Temas!$C$6:$C$305,$C313)&amp;"",INDEX(Avulsos!$E$6:$E$205,$C313)&amp;""))</f>
        <v/>
      </c>
      <c r="K313" s="114" t="str">
        <f aca="false">IF($E313="","",IF(IF($B313="Tema",INDEX(Temas!$E$6:$P$305,$C313,2*$D313),INDEX(Avulsos!$F$6:$F$205,$C313))&amp;""="","","✓"))</f>
        <v/>
      </c>
      <c r="L313" s="114" t="str">
        <f aca="true">IF($E313="","",IF($K313="✓","Concluído",IF($E313&lt;TODAY(),"Atrasado",IF($E313=TODAY(),"Hoje","Pendente"))))</f>
        <v/>
      </c>
      <c r="M313" s="114" t="str">
        <f aca="false">IF($E313="","",IF($K313="✓","✓ ","")&amp;IF(Config!$E$22="Sim",$H313&amp;" · ","")&amp;$F313)</f>
        <v/>
      </c>
      <c r="N313" s="114" t="str">
        <f aca="false">IF($E313="","",IFERROR(INDEX(Config!$D$15:$D$19,MATCH($I313,Config!$C$15:$C$19,0)),"OUT")&amp;IF($K313="✓","x",""))</f>
        <v/>
      </c>
      <c r="O313" s="114" t="str">
        <f aca="false">IF($E313="","",COUNTIF($E$5:$E313,$E313))</f>
        <v/>
      </c>
      <c r="P313" s="114" t="str">
        <f aca="false">IF($E313="","",$E313*100+$O313)</f>
        <v/>
      </c>
      <c r="Q313" s="114" t="str">
        <f aca="false">IF($L313="Atrasado",$E313*10000+$A313,"")</f>
        <v/>
      </c>
    </row>
    <row r="314" customFormat="false" ht="15" hidden="false" customHeight="false" outlineLevel="0" collapsed="false">
      <c r="A314" s="114" t="n">
        <f aca="false">ROW()-4</f>
        <v>310</v>
      </c>
      <c r="B314" s="114" t="str">
        <f aca="false">IF(A314&lt;=Config!$E$27*Config!$E$28,"Tema","Avulso")</f>
        <v>Tema</v>
      </c>
      <c r="C314" s="114" t="n">
        <f aca="false">IF(B314="Tema",INT((A314-1)/Config!$E$28)+1,A314-Config!$E$27*Config!$E$28)</f>
        <v>52</v>
      </c>
      <c r="D314" s="114" t="n">
        <f aca="false">IF(B314="Tema",MOD(A314-1,Config!$E$28)+1,"")</f>
        <v>4</v>
      </c>
      <c r="E314" s="115" t="str">
        <f aca="false">IF($B314="Tema",IF(ISNUMBER(INDEX(Temas!$E$6:$P$305,$C314,2*$D314-1)),INDEX(Temas!$E$6:$P$305,$C314,2*$D314-1),""),IF(ISNUMBER(INDEX(Avulsos!$B$6:$B$205,$C314)),INDEX(Avulsos!$B$6:$B$205,$C314),""))</f>
        <v/>
      </c>
      <c r="F314" s="114" t="str">
        <f aca="false">IF($E314="","",IF($B314="Tema",INDEX(Temas!$B$6:$B$305,$C314)&amp;"",INDEX(Avulsos!$C$6:$C$205,$C314)&amp;""))</f>
        <v/>
      </c>
      <c r="G314" s="114" t="str">
        <f aca="false">IF($E314="","",IF($B314="Tema",INDEX(Config!$C$6:$C$11,$D314),"Evento avulso"))</f>
        <v/>
      </c>
      <c r="H314" s="114" t="str">
        <f aca="false">IF($E314="","",IF($B314="Tema",INDEX(Config!$D$6:$D$11,$D314),IFERROR(INDEX(Config!$E$15:$E$19,MATCH($I314,Config!$C$15:$C$19,0)),"•")))</f>
        <v/>
      </c>
      <c r="I314" s="114" t="str">
        <f aca="false">IF($E314="","",IF($B314="Tema",INDEX(Config!$E$6:$E$11,$D314),IF(INDEX(Avulsos!$D$6:$D$205,$C314)&amp;""="","Outro",INDEX(Avulsos!$D$6:$D$205,$C314))))</f>
        <v/>
      </c>
      <c r="J314" s="114" t="str">
        <f aca="false">IF($E314="","",IF($B314="Tema",INDEX(Temas!$C$6:$C$305,$C314)&amp;"",INDEX(Avulsos!$E$6:$E$205,$C314)&amp;""))</f>
        <v/>
      </c>
      <c r="K314" s="114" t="str">
        <f aca="false">IF($E314="","",IF(IF($B314="Tema",INDEX(Temas!$E$6:$P$305,$C314,2*$D314),INDEX(Avulsos!$F$6:$F$205,$C314))&amp;""="","","✓"))</f>
        <v/>
      </c>
      <c r="L314" s="114" t="str">
        <f aca="true">IF($E314="","",IF($K314="✓","Concluído",IF($E314&lt;TODAY(),"Atrasado",IF($E314=TODAY(),"Hoje","Pendente"))))</f>
        <v/>
      </c>
      <c r="M314" s="114" t="str">
        <f aca="false">IF($E314="","",IF($K314="✓","✓ ","")&amp;IF(Config!$E$22="Sim",$H314&amp;" · ","")&amp;$F314)</f>
        <v/>
      </c>
      <c r="N314" s="114" t="str">
        <f aca="false">IF($E314="","",IFERROR(INDEX(Config!$D$15:$D$19,MATCH($I314,Config!$C$15:$C$19,0)),"OUT")&amp;IF($K314="✓","x",""))</f>
        <v/>
      </c>
      <c r="O314" s="114" t="str">
        <f aca="false">IF($E314="","",COUNTIF($E$5:$E314,$E314))</f>
        <v/>
      </c>
      <c r="P314" s="114" t="str">
        <f aca="false">IF($E314="","",$E314*100+$O314)</f>
        <v/>
      </c>
      <c r="Q314" s="114" t="str">
        <f aca="false">IF($L314="Atrasado",$E314*10000+$A314,"")</f>
        <v/>
      </c>
    </row>
    <row r="315" customFormat="false" ht="15" hidden="false" customHeight="false" outlineLevel="0" collapsed="false">
      <c r="A315" s="114" t="n">
        <f aca="false">ROW()-4</f>
        <v>311</v>
      </c>
      <c r="B315" s="114" t="str">
        <f aca="false">IF(A315&lt;=Config!$E$27*Config!$E$28,"Tema","Avulso")</f>
        <v>Tema</v>
      </c>
      <c r="C315" s="114" t="n">
        <f aca="false">IF(B315="Tema",INT((A315-1)/Config!$E$28)+1,A315-Config!$E$27*Config!$E$28)</f>
        <v>52</v>
      </c>
      <c r="D315" s="114" t="n">
        <f aca="false">IF(B315="Tema",MOD(A315-1,Config!$E$28)+1,"")</f>
        <v>5</v>
      </c>
      <c r="E315" s="115" t="str">
        <f aca="false">IF($B315="Tema",IF(ISNUMBER(INDEX(Temas!$E$6:$P$305,$C315,2*$D315-1)),INDEX(Temas!$E$6:$P$305,$C315,2*$D315-1),""),IF(ISNUMBER(INDEX(Avulsos!$B$6:$B$205,$C315)),INDEX(Avulsos!$B$6:$B$205,$C315),""))</f>
        <v/>
      </c>
      <c r="F315" s="114" t="str">
        <f aca="false">IF($E315="","",IF($B315="Tema",INDEX(Temas!$B$6:$B$305,$C315)&amp;"",INDEX(Avulsos!$C$6:$C$205,$C315)&amp;""))</f>
        <v/>
      </c>
      <c r="G315" s="114" t="str">
        <f aca="false">IF($E315="","",IF($B315="Tema",INDEX(Config!$C$6:$C$11,$D315),"Evento avulso"))</f>
        <v/>
      </c>
      <c r="H315" s="114" t="str">
        <f aca="false">IF($E315="","",IF($B315="Tema",INDEX(Config!$D$6:$D$11,$D315),IFERROR(INDEX(Config!$E$15:$E$19,MATCH($I315,Config!$C$15:$C$19,0)),"•")))</f>
        <v/>
      </c>
      <c r="I315" s="114" t="str">
        <f aca="false">IF($E315="","",IF($B315="Tema",INDEX(Config!$E$6:$E$11,$D315),IF(INDEX(Avulsos!$D$6:$D$205,$C315)&amp;""="","Outro",INDEX(Avulsos!$D$6:$D$205,$C315))))</f>
        <v/>
      </c>
      <c r="J315" s="114" t="str">
        <f aca="false">IF($E315="","",IF($B315="Tema",INDEX(Temas!$C$6:$C$305,$C315)&amp;"",INDEX(Avulsos!$E$6:$E$205,$C315)&amp;""))</f>
        <v/>
      </c>
      <c r="K315" s="114" t="str">
        <f aca="false">IF($E315="","",IF(IF($B315="Tema",INDEX(Temas!$E$6:$P$305,$C315,2*$D315),INDEX(Avulsos!$F$6:$F$205,$C315))&amp;""="","","✓"))</f>
        <v/>
      </c>
      <c r="L315" s="114" t="str">
        <f aca="true">IF($E315="","",IF($K315="✓","Concluído",IF($E315&lt;TODAY(),"Atrasado",IF($E315=TODAY(),"Hoje","Pendente"))))</f>
        <v/>
      </c>
      <c r="M315" s="114" t="str">
        <f aca="false">IF($E315="","",IF($K315="✓","✓ ","")&amp;IF(Config!$E$22="Sim",$H315&amp;" · ","")&amp;$F315)</f>
        <v/>
      </c>
      <c r="N315" s="114" t="str">
        <f aca="false">IF($E315="","",IFERROR(INDEX(Config!$D$15:$D$19,MATCH($I315,Config!$C$15:$C$19,0)),"OUT")&amp;IF($K315="✓","x",""))</f>
        <v/>
      </c>
      <c r="O315" s="114" t="str">
        <f aca="false">IF($E315="","",COUNTIF($E$5:$E315,$E315))</f>
        <v/>
      </c>
      <c r="P315" s="114" t="str">
        <f aca="false">IF($E315="","",$E315*100+$O315)</f>
        <v/>
      </c>
      <c r="Q315" s="114" t="str">
        <f aca="false">IF($L315="Atrasado",$E315*10000+$A315,"")</f>
        <v/>
      </c>
    </row>
    <row r="316" customFormat="false" ht="15" hidden="false" customHeight="false" outlineLevel="0" collapsed="false">
      <c r="A316" s="114" t="n">
        <f aca="false">ROW()-4</f>
        <v>312</v>
      </c>
      <c r="B316" s="114" t="str">
        <f aca="false">IF(A316&lt;=Config!$E$27*Config!$E$28,"Tema","Avulso")</f>
        <v>Tema</v>
      </c>
      <c r="C316" s="114" t="n">
        <f aca="false">IF(B316="Tema",INT((A316-1)/Config!$E$28)+1,A316-Config!$E$27*Config!$E$28)</f>
        <v>52</v>
      </c>
      <c r="D316" s="114" t="n">
        <f aca="false">IF(B316="Tema",MOD(A316-1,Config!$E$28)+1,"")</f>
        <v>6</v>
      </c>
      <c r="E316" s="115" t="str">
        <f aca="false">IF($B316="Tema",IF(ISNUMBER(INDEX(Temas!$E$6:$P$305,$C316,2*$D316-1)),INDEX(Temas!$E$6:$P$305,$C316,2*$D316-1),""),IF(ISNUMBER(INDEX(Avulsos!$B$6:$B$205,$C316)),INDEX(Avulsos!$B$6:$B$205,$C316),""))</f>
        <v/>
      </c>
      <c r="F316" s="114" t="str">
        <f aca="false">IF($E316="","",IF($B316="Tema",INDEX(Temas!$B$6:$B$305,$C316)&amp;"",INDEX(Avulsos!$C$6:$C$205,$C316)&amp;""))</f>
        <v/>
      </c>
      <c r="G316" s="114" t="str">
        <f aca="false">IF($E316="","",IF($B316="Tema",INDEX(Config!$C$6:$C$11,$D316),"Evento avulso"))</f>
        <v/>
      </c>
      <c r="H316" s="114" t="str">
        <f aca="false">IF($E316="","",IF($B316="Tema",INDEX(Config!$D$6:$D$11,$D316),IFERROR(INDEX(Config!$E$15:$E$19,MATCH($I316,Config!$C$15:$C$19,0)),"•")))</f>
        <v/>
      </c>
      <c r="I316" s="114" t="str">
        <f aca="false">IF($E316="","",IF($B316="Tema",INDEX(Config!$E$6:$E$11,$D316),IF(INDEX(Avulsos!$D$6:$D$205,$C316)&amp;""="","Outro",INDEX(Avulsos!$D$6:$D$205,$C316))))</f>
        <v/>
      </c>
      <c r="J316" s="114" t="str">
        <f aca="false">IF($E316="","",IF($B316="Tema",INDEX(Temas!$C$6:$C$305,$C316)&amp;"",INDEX(Avulsos!$E$6:$E$205,$C316)&amp;""))</f>
        <v/>
      </c>
      <c r="K316" s="114" t="str">
        <f aca="false">IF($E316="","",IF(IF($B316="Tema",INDEX(Temas!$E$6:$P$305,$C316,2*$D316),INDEX(Avulsos!$F$6:$F$205,$C316))&amp;""="","","✓"))</f>
        <v/>
      </c>
      <c r="L316" s="114" t="str">
        <f aca="true">IF($E316="","",IF($K316="✓","Concluído",IF($E316&lt;TODAY(),"Atrasado",IF($E316=TODAY(),"Hoje","Pendente"))))</f>
        <v/>
      </c>
      <c r="M316" s="114" t="str">
        <f aca="false">IF($E316="","",IF($K316="✓","✓ ","")&amp;IF(Config!$E$22="Sim",$H316&amp;" · ","")&amp;$F316)</f>
        <v/>
      </c>
      <c r="N316" s="114" t="str">
        <f aca="false">IF($E316="","",IFERROR(INDEX(Config!$D$15:$D$19,MATCH($I316,Config!$C$15:$C$19,0)),"OUT")&amp;IF($K316="✓","x",""))</f>
        <v/>
      </c>
      <c r="O316" s="114" t="str">
        <f aca="false">IF($E316="","",COUNTIF($E$5:$E316,$E316))</f>
        <v/>
      </c>
      <c r="P316" s="114" t="str">
        <f aca="false">IF($E316="","",$E316*100+$O316)</f>
        <v/>
      </c>
      <c r="Q316" s="114" t="str">
        <f aca="false">IF($L316="Atrasado",$E316*10000+$A316,"")</f>
        <v/>
      </c>
    </row>
    <row r="317" customFormat="false" ht="15" hidden="false" customHeight="false" outlineLevel="0" collapsed="false">
      <c r="A317" s="114" t="n">
        <f aca="false">ROW()-4</f>
        <v>313</v>
      </c>
      <c r="B317" s="114" t="str">
        <f aca="false">IF(A317&lt;=Config!$E$27*Config!$E$28,"Tema","Avulso")</f>
        <v>Tema</v>
      </c>
      <c r="C317" s="114" t="n">
        <f aca="false">IF(B317="Tema",INT((A317-1)/Config!$E$28)+1,A317-Config!$E$27*Config!$E$28)</f>
        <v>53</v>
      </c>
      <c r="D317" s="114" t="n">
        <f aca="false">IF(B317="Tema",MOD(A317-1,Config!$E$28)+1,"")</f>
        <v>1</v>
      </c>
      <c r="E317" s="115" t="str">
        <f aca="false">IF($B317="Tema",IF(ISNUMBER(INDEX(Temas!$E$6:$P$305,$C317,2*$D317-1)),INDEX(Temas!$E$6:$P$305,$C317,2*$D317-1),""),IF(ISNUMBER(INDEX(Avulsos!$B$6:$B$205,$C317)),INDEX(Avulsos!$B$6:$B$205,$C317),""))</f>
        <v/>
      </c>
      <c r="F317" s="114" t="str">
        <f aca="false">IF($E317="","",IF($B317="Tema",INDEX(Temas!$B$6:$B$305,$C317)&amp;"",INDEX(Avulsos!$C$6:$C$205,$C317)&amp;""))</f>
        <v/>
      </c>
      <c r="G317" s="114" t="str">
        <f aca="false">IF($E317="","",IF($B317="Tema",INDEX(Config!$C$6:$C$11,$D317),"Evento avulso"))</f>
        <v/>
      </c>
      <c r="H317" s="114" t="str">
        <f aca="false">IF($E317="","",IF($B317="Tema",INDEX(Config!$D$6:$D$11,$D317),IFERROR(INDEX(Config!$E$15:$E$19,MATCH($I317,Config!$C$15:$C$19,0)),"•")))</f>
        <v/>
      </c>
      <c r="I317" s="114" t="str">
        <f aca="false">IF($E317="","",IF($B317="Tema",INDEX(Config!$E$6:$E$11,$D317),IF(INDEX(Avulsos!$D$6:$D$205,$C317)&amp;""="","Outro",INDEX(Avulsos!$D$6:$D$205,$C317))))</f>
        <v/>
      </c>
      <c r="J317" s="114" t="str">
        <f aca="false">IF($E317="","",IF($B317="Tema",INDEX(Temas!$C$6:$C$305,$C317)&amp;"",INDEX(Avulsos!$E$6:$E$205,$C317)&amp;""))</f>
        <v/>
      </c>
      <c r="K317" s="114" t="str">
        <f aca="false">IF($E317="","",IF(IF($B317="Tema",INDEX(Temas!$E$6:$P$305,$C317,2*$D317),INDEX(Avulsos!$F$6:$F$205,$C317))&amp;""="","","✓"))</f>
        <v/>
      </c>
      <c r="L317" s="114" t="str">
        <f aca="true">IF($E317="","",IF($K317="✓","Concluído",IF($E317&lt;TODAY(),"Atrasado",IF($E317=TODAY(),"Hoje","Pendente"))))</f>
        <v/>
      </c>
      <c r="M317" s="114" t="str">
        <f aca="false">IF($E317="","",IF($K317="✓","✓ ","")&amp;IF(Config!$E$22="Sim",$H317&amp;" · ","")&amp;$F317)</f>
        <v/>
      </c>
      <c r="N317" s="114" t="str">
        <f aca="false">IF($E317="","",IFERROR(INDEX(Config!$D$15:$D$19,MATCH($I317,Config!$C$15:$C$19,0)),"OUT")&amp;IF($K317="✓","x",""))</f>
        <v/>
      </c>
      <c r="O317" s="114" t="str">
        <f aca="false">IF($E317="","",COUNTIF($E$5:$E317,$E317))</f>
        <v/>
      </c>
      <c r="P317" s="114" t="str">
        <f aca="false">IF($E317="","",$E317*100+$O317)</f>
        <v/>
      </c>
      <c r="Q317" s="114" t="str">
        <f aca="false">IF($L317="Atrasado",$E317*10000+$A317,"")</f>
        <v/>
      </c>
    </row>
    <row r="318" customFormat="false" ht="15" hidden="false" customHeight="false" outlineLevel="0" collapsed="false">
      <c r="A318" s="114" t="n">
        <f aca="false">ROW()-4</f>
        <v>314</v>
      </c>
      <c r="B318" s="114" t="str">
        <f aca="false">IF(A318&lt;=Config!$E$27*Config!$E$28,"Tema","Avulso")</f>
        <v>Tema</v>
      </c>
      <c r="C318" s="114" t="n">
        <f aca="false">IF(B318="Tema",INT((A318-1)/Config!$E$28)+1,A318-Config!$E$27*Config!$E$28)</f>
        <v>53</v>
      </c>
      <c r="D318" s="114" t="n">
        <f aca="false">IF(B318="Tema",MOD(A318-1,Config!$E$28)+1,"")</f>
        <v>2</v>
      </c>
      <c r="E318" s="115" t="str">
        <f aca="false">IF($B318="Tema",IF(ISNUMBER(INDEX(Temas!$E$6:$P$305,$C318,2*$D318-1)),INDEX(Temas!$E$6:$P$305,$C318,2*$D318-1),""),IF(ISNUMBER(INDEX(Avulsos!$B$6:$B$205,$C318)),INDEX(Avulsos!$B$6:$B$205,$C318),""))</f>
        <v/>
      </c>
      <c r="F318" s="114" t="str">
        <f aca="false">IF($E318="","",IF($B318="Tema",INDEX(Temas!$B$6:$B$305,$C318)&amp;"",INDEX(Avulsos!$C$6:$C$205,$C318)&amp;""))</f>
        <v/>
      </c>
      <c r="G318" s="114" t="str">
        <f aca="false">IF($E318="","",IF($B318="Tema",INDEX(Config!$C$6:$C$11,$D318),"Evento avulso"))</f>
        <v/>
      </c>
      <c r="H318" s="114" t="str">
        <f aca="false">IF($E318="","",IF($B318="Tema",INDEX(Config!$D$6:$D$11,$D318),IFERROR(INDEX(Config!$E$15:$E$19,MATCH($I318,Config!$C$15:$C$19,0)),"•")))</f>
        <v/>
      </c>
      <c r="I318" s="114" t="str">
        <f aca="false">IF($E318="","",IF($B318="Tema",INDEX(Config!$E$6:$E$11,$D318),IF(INDEX(Avulsos!$D$6:$D$205,$C318)&amp;""="","Outro",INDEX(Avulsos!$D$6:$D$205,$C318))))</f>
        <v/>
      </c>
      <c r="J318" s="114" t="str">
        <f aca="false">IF($E318="","",IF($B318="Tema",INDEX(Temas!$C$6:$C$305,$C318)&amp;"",INDEX(Avulsos!$E$6:$E$205,$C318)&amp;""))</f>
        <v/>
      </c>
      <c r="K318" s="114" t="str">
        <f aca="false">IF($E318="","",IF(IF($B318="Tema",INDEX(Temas!$E$6:$P$305,$C318,2*$D318),INDEX(Avulsos!$F$6:$F$205,$C318))&amp;""="","","✓"))</f>
        <v/>
      </c>
      <c r="L318" s="114" t="str">
        <f aca="true">IF($E318="","",IF($K318="✓","Concluído",IF($E318&lt;TODAY(),"Atrasado",IF($E318=TODAY(),"Hoje","Pendente"))))</f>
        <v/>
      </c>
      <c r="M318" s="114" t="str">
        <f aca="false">IF($E318="","",IF($K318="✓","✓ ","")&amp;IF(Config!$E$22="Sim",$H318&amp;" · ","")&amp;$F318)</f>
        <v/>
      </c>
      <c r="N318" s="114" t="str">
        <f aca="false">IF($E318="","",IFERROR(INDEX(Config!$D$15:$D$19,MATCH($I318,Config!$C$15:$C$19,0)),"OUT")&amp;IF($K318="✓","x",""))</f>
        <v/>
      </c>
      <c r="O318" s="114" t="str">
        <f aca="false">IF($E318="","",COUNTIF($E$5:$E318,$E318))</f>
        <v/>
      </c>
      <c r="P318" s="114" t="str">
        <f aca="false">IF($E318="","",$E318*100+$O318)</f>
        <v/>
      </c>
      <c r="Q318" s="114" t="str">
        <f aca="false">IF($L318="Atrasado",$E318*10000+$A318,"")</f>
        <v/>
      </c>
    </row>
    <row r="319" customFormat="false" ht="15" hidden="false" customHeight="false" outlineLevel="0" collapsed="false">
      <c r="A319" s="114" t="n">
        <f aca="false">ROW()-4</f>
        <v>315</v>
      </c>
      <c r="B319" s="114" t="str">
        <f aca="false">IF(A319&lt;=Config!$E$27*Config!$E$28,"Tema","Avulso")</f>
        <v>Tema</v>
      </c>
      <c r="C319" s="114" t="n">
        <f aca="false">IF(B319="Tema",INT((A319-1)/Config!$E$28)+1,A319-Config!$E$27*Config!$E$28)</f>
        <v>53</v>
      </c>
      <c r="D319" s="114" t="n">
        <f aca="false">IF(B319="Tema",MOD(A319-1,Config!$E$28)+1,"")</f>
        <v>3</v>
      </c>
      <c r="E319" s="115" t="str">
        <f aca="false">IF($B319="Tema",IF(ISNUMBER(INDEX(Temas!$E$6:$P$305,$C319,2*$D319-1)),INDEX(Temas!$E$6:$P$305,$C319,2*$D319-1),""),IF(ISNUMBER(INDEX(Avulsos!$B$6:$B$205,$C319)),INDEX(Avulsos!$B$6:$B$205,$C319),""))</f>
        <v/>
      </c>
      <c r="F319" s="114" t="str">
        <f aca="false">IF($E319="","",IF($B319="Tema",INDEX(Temas!$B$6:$B$305,$C319)&amp;"",INDEX(Avulsos!$C$6:$C$205,$C319)&amp;""))</f>
        <v/>
      </c>
      <c r="G319" s="114" t="str">
        <f aca="false">IF($E319="","",IF($B319="Tema",INDEX(Config!$C$6:$C$11,$D319),"Evento avulso"))</f>
        <v/>
      </c>
      <c r="H319" s="114" t="str">
        <f aca="false">IF($E319="","",IF($B319="Tema",INDEX(Config!$D$6:$D$11,$D319),IFERROR(INDEX(Config!$E$15:$E$19,MATCH($I319,Config!$C$15:$C$19,0)),"•")))</f>
        <v/>
      </c>
      <c r="I319" s="114" t="str">
        <f aca="false">IF($E319="","",IF($B319="Tema",INDEX(Config!$E$6:$E$11,$D319),IF(INDEX(Avulsos!$D$6:$D$205,$C319)&amp;""="","Outro",INDEX(Avulsos!$D$6:$D$205,$C319))))</f>
        <v/>
      </c>
      <c r="J319" s="114" t="str">
        <f aca="false">IF($E319="","",IF($B319="Tema",INDEX(Temas!$C$6:$C$305,$C319)&amp;"",INDEX(Avulsos!$E$6:$E$205,$C319)&amp;""))</f>
        <v/>
      </c>
      <c r="K319" s="114" t="str">
        <f aca="false">IF($E319="","",IF(IF($B319="Tema",INDEX(Temas!$E$6:$P$305,$C319,2*$D319),INDEX(Avulsos!$F$6:$F$205,$C319))&amp;""="","","✓"))</f>
        <v/>
      </c>
      <c r="L319" s="114" t="str">
        <f aca="true">IF($E319="","",IF($K319="✓","Concluído",IF($E319&lt;TODAY(),"Atrasado",IF($E319=TODAY(),"Hoje","Pendente"))))</f>
        <v/>
      </c>
      <c r="M319" s="114" t="str">
        <f aca="false">IF($E319="","",IF($K319="✓","✓ ","")&amp;IF(Config!$E$22="Sim",$H319&amp;" · ","")&amp;$F319)</f>
        <v/>
      </c>
      <c r="N319" s="114" t="str">
        <f aca="false">IF($E319="","",IFERROR(INDEX(Config!$D$15:$D$19,MATCH($I319,Config!$C$15:$C$19,0)),"OUT")&amp;IF($K319="✓","x",""))</f>
        <v/>
      </c>
      <c r="O319" s="114" t="str">
        <f aca="false">IF($E319="","",COUNTIF($E$5:$E319,$E319))</f>
        <v/>
      </c>
      <c r="P319" s="114" t="str">
        <f aca="false">IF($E319="","",$E319*100+$O319)</f>
        <v/>
      </c>
      <c r="Q319" s="114" t="str">
        <f aca="false">IF($L319="Atrasado",$E319*10000+$A319,"")</f>
        <v/>
      </c>
    </row>
    <row r="320" customFormat="false" ht="15" hidden="false" customHeight="false" outlineLevel="0" collapsed="false">
      <c r="A320" s="114" t="n">
        <f aca="false">ROW()-4</f>
        <v>316</v>
      </c>
      <c r="B320" s="114" t="str">
        <f aca="false">IF(A320&lt;=Config!$E$27*Config!$E$28,"Tema","Avulso")</f>
        <v>Tema</v>
      </c>
      <c r="C320" s="114" t="n">
        <f aca="false">IF(B320="Tema",INT((A320-1)/Config!$E$28)+1,A320-Config!$E$27*Config!$E$28)</f>
        <v>53</v>
      </c>
      <c r="D320" s="114" t="n">
        <f aca="false">IF(B320="Tema",MOD(A320-1,Config!$E$28)+1,"")</f>
        <v>4</v>
      </c>
      <c r="E320" s="115" t="str">
        <f aca="false">IF($B320="Tema",IF(ISNUMBER(INDEX(Temas!$E$6:$P$305,$C320,2*$D320-1)),INDEX(Temas!$E$6:$P$305,$C320,2*$D320-1),""),IF(ISNUMBER(INDEX(Avulsos!$B$6:$B$205,$C320)),INDEX(Avulsos!$B$6:$B$205,$C320),""))</f>
        <v/>
      </c>
      <c r="F320" s="114" t="str">
        <f aca="false">IF($E320="","",IF($B320="Tema",INDEX(Temas!$B$6:$B$305,$C320)&amp;"",INDEX(Avulsos!$C$6:$C$205,$C320)&amp;""))</f>
        <v/>
      </c>
      <c r="G320" s="114" t="str">
        <f aca="false">IF($E320="","",IF($B320="Tema",INDEX(Config!$C$6:$C$11,$D320),"Evento avulso"))</f>
        <v/>
      </c>
      <c r="H320" s="114" t="str">
        <f aca="false">IF($E320="","",IF($B320="Tema",INDEX(Config!$D$6:$D$11,$D320),IFERROR(INDEX(Config!$E$15:$E$19,MATCH($I320,Config!$C$15:$C$19,0)),"•")))</f>
        <v/>
      </c>
      <c r="I320" s="114" t="str">
        <f aca="false">IF($E320="","",IF($B320="Tema",INDEX(Config!$E$6:$E$11,$D320),IF(INDEX(Avulsos!$D$6:$D$205,$C320)&amp;""="","Outro",INDEX(Avulsos!$D$6:$D$205,$C320))))</f>
        <v/>
      </c>
      <c r="J320" s="114" t="str">
        <f aca="false">IF($E320="","",IF($B320="Tema",INDEX(Temas!$C$6:$C$305,$C320)&amp;"",INDEX(Avulsos!$E$6:$E$205,$C320)&amp;""))</f>
        <v/>
      </c>
      <c r="K320" s="114" t="str">
        <f aca="false">IF($E320="","",IF(IF($B320="Tema",INDEX(Temas!$E$6:$P$305,$C320,2*$D320),INDEX(Avulsos!$F$6:$F$205,$C320))&amp;""="","","✓"))</f>
        <v/>
      </c>
      <c r="L320" s="114" t="str">
        <f aca="true">IF($E320="","",IF($K320="✓","Concluído",IF($E320&lt;TODAY(),"Atrasado",IF($E320=TODAY(),"Hoje","Pendente"))))</f>
        <v/>
      </c>
      <c r="M320" s="114" t="str">
        <f aca="false">IF($E320="","",IF($K320="✓","✓ ","")&amp;IF(Config!$E$22="Sim",$H320&amp;" · ","")&amp;$F320)</f>
        <v/>
      </c>
      <c r="N320" s="114" t="str">
        <f aca="false">IF($E320="","",IFERROR(INDEX(Config!$D$15:$D$19,MATCH($I320,Config!$C$15:$C$19,0)),"OUT")&amp;IF($K320="✓","x",""))</f>
        <v/>
      </c>
      <c r="O320" s="114" t="str">
        <f aca="false">IF($E320="","",COUNTIF($E$5:$E320,$E320))</f>
        <v/>
      </c>
      <c r="P320" s="114" t="str">
        <f aca="false">IF($E320="","",$E320*100+$O320)</f>
        <v/>
      </c>
      <c r="Q320" s="114" t="str">
        <f aca="false">IF($L320="Atrasado",$E320*10000+$A320,"")</f>
        <v/>
      </c>
    </row>
    <row r="321" customFormat="false" ht="15" hidden="false" customHeight="false" outlineLevel="0" collapsed="false">
      <c r="A321" s="114" t="n">
        <f aca="false">ROW()-4</f>
        <v>317</v>
      </c>
      <c r="B321" s="114" t="str">
        <f aca="false">IF(A321&lt;=Config!$E$27*Config!$E$28,"Tema","Avulso")</f>
        <v>Tema</v>
      </c>
      <c r="C321" s="114" t="n">
        <f aca="false">IF(B321="Tema",INT((A321-1)/Config!$E$28)+1,A321-Config!$E$27*Config!$E$28)</f>
        <v>53</v>
      </c>
      <c r="D321" s="114" t="n">
        <f aca="false">IF(B321="Tema",MOD(A321-1,Config!$E$28)+1,"")</f>
        <v>5</v>
      </c>
      <c r="E321" s="115" t="str">
        <f aca="false">IF($B321="Tema",IF(ISNUMBER(INDEX(Temas!$E$6:$P$305,$C321,2*$D321-1)),INDEX(Temas!$E$6:$P$305,$C321,2*$D321-1),""),IF(ISNUMBER(INDEX(Avulsos!$B$6:$B$205,$C321)),INDEX(Avulsos!$B$6:$B$205,$C321),""))</f>
        <v/>
      </c>
      <c r="F321" s="114" t="str">
        <f aca="false">IF($E321="","",IF($B321="Tema",INDEX(Temas!$B$6:$B$305,$C321)&amp;"",INDEX(Avulsos!$C$6:$C$205,$C321)&amp;""))</f>
        <v/>
      </c>
      <c r="G321" s="114" t="str">
        <f aca="false">IF($E321="","",IF($B321="Tema",INDEX(Config!$C$6:$C$11,$D321),"Evento avulso"))</f>
        <v/>
      </c>
      <c r="H321" s="114" t="str">
        <f aca="false">IF($E321="","",IF($B321="Tema",INDEX(Config!$D$6:$D$11,$D321),IFERROR(INDEX(Config!$E$15:$E$19,MATCH($I321,Config!$C$15:$C$19,0)),"•")))</f>
        <v/>
      </c>
      <c r="I321" s="114" t="str">
        <f aca="false">IF($E321="","",IF($B321="Tema",INDEX(Config!$E$6:$E$11,$D321),IF(INDEX(Avulsos!$D$6:$D$205,$C321)&amp;""="","Outro",INDEX(Avulsos!$D$6:$D$205,$C321))))</f>
        <v/>
      </c>
      <c r="J321" s="114" t="str">
        <f aca="false">IF($E321="","",IF($B321="Tema",INDEX(Temas!$C$6:$C$305,$C321)&amp;"",INDEX(Avulsos!$E$6:$E$205,$C321)&amp;""))</f>
        <v/>
      </c>
      <c r="K321" s="114" t="str">
        <f aca="false">IF($E321="","",IF(IF($B321="Tema",INDEX(Temas!$E$6:$P$305,$C321,2*$D321),INDEX(Avulsos!$F$6:$F$205,$C321))&amp;""="","","✓"))</f>
        <v/>
      </c>
      <c r="L321" s="114" t="str">
        <f aca="true">IF($E321="","",IF($K321="✓","Concluído",IF($E321&lt;TODAY(),"Atrasado",IF($E321=TODAY(),"Hoje","Pendente"))))</f>
        <v/>
      </c>
      <c r="M321" s="114" t="str">
        <f aca="false">IF($E321="","",IF($K321="✓","✓ ","")&amp;IF(Config!$E$22="Sim",$H321&amp;" · ","")&amp;$F321)</f>
        <v/>
      </c>
      <c r="N321" s="114" t="str">
        <f aca="false">IF($E321="","",IFERROR(INDEX(Config!$D$15:$D$19,MATCH($I321,Config!$C$15:$C$19,0)),"OUT")&amp;IF($K321="✓","x",""))</f>
        <v/>
      </c>
      <c r="O321" s="114" t="str">
        <f aca="false">IF($E321="","",COUNTIF($E$5:$E321,$E321))</f>
        <v/>
      </c>
      <c r="P321" s="114" t="str">
        <f aca="false">IF($E321="","",$E321*100+$O321)</f>
        <v/>
      </c>
      <c r="Q321" s="114" t="str">
        <f aca="false">IF($L321="Atrasado",$E321*10000+$A321,"")</f>
        <v/>
      </c>
    </row>
    <row r="322" customFormat="false" ht="15" hidden="false" customHeight="false" outlineLevel="0" collapsed="false">
      <c r="A322" s="114" t="n">
        <f aca="false">ROW()-4</f>
        <v>318</v>
      </c>
      <c r="B322" s="114" t="str">
        <f aca="false">IF(A322&lt;=Config!$E$27*Config!$E$28,"Tema","Avulso")</f>
        <v>Tema</v>
      </c>
      <c r="C322" s="114" t="n">
        <f aca="false">IF(B322="Tema",INT((A322-1)/Config!$E$28)+1,A322-Config!$E$27*Config!$E$28)</f>
        <v>53</v>
      </c>
      <c r="D322" s="114" t="n">
        <f aca="false">IF(B322="Tema",MOD(A322-1,Config!$E$28)+1,"")</f>
        <v>6</v>
      </c>
      <c r="E322" s="115" t="str">
        <f aca="false">IF($B322="Tema",IF(ISNUMBER(INDEX(Temas!$E$6:$P$305,$C322,2*$D322-1)),INDEX(Temas!$E$6:$P$305,$C322,2*$D322-1),""),IF(ISNUMBER(INDEX(Avulsos!$B$6:$B$205,$C322)),INDEX(Avulsos!$B$6:$B$205,$C322),""))</f>
        <v/>
      </c>
      <c r="F322" s="114" t="str">
        <f aca="false">IF($E322="","",IF($B322="Tema",INDEX(Temas!$B$6:$B$305,$C322)&amp;"",INDEX(Avulsos!$C$6:$C$205,$C322)&amp;""))</f>
        <v/>
      </c>
      <c r="G322" s="114" t="str">
        <f aca="false">IF($E322="","",IF($B322="Tema",INDEX(Config!$C$6:$C$11,$D322),"Evento avulso"))</f>
        <v/>
      </c>
      <c r="H322" s="114" t="str">
        <f aca="false">IF($E322="","",IF($B322="Tema",INDEX(Config!$D$6:$D$11,$D322),IFERROR(INDEX(Config!$E$15:$E$19,MATCH($I322,Config!$C$15:$C$19,0)),"•")))</f>
        <v/>
      </c>
      <c r="I322" s="114" t="str">
        <f aca="false">IF($E322="","",IF($B322="Tema",INDEX(Config!$E$6:$E$11,$D322),IF(INDEX(Avulsos!$D$6:$D$205,$C322)&amp;""="","Outro",INDEX(Avulsos!$D$6:$D$205,$C322))))</f>
        <v/>
      </c>
      <c r="J322" s="114" t="str">
        <f aca="false">IF($E322="","",IF($B322="Tema",INDEX(Temas!$C$6:$C$305,$C322)&amp;"",INDEX(Avulsos!$E$6:$E$205,$C322)&amp;""))</f>
        <v/>
      </c>
      <c r="K322" s="114" t="str">
        <f aca="false">IF($E322="","",IF(IF($B322="Tema",INDEX(Temas!$E$6:$P$305,$C322,2*$D322),INDEX(Avulsos!$F$6:$F$205,$C322))&amp;""="","","✓"))</f>
        <v/>
      </c>
      <c r="L322" s="114" t="str">
        <f aca="true">IF($E322="","",IF($K322="✓","Concluído",IF($E322&lt;TODAY(),"Atrasado",IF($E322=TODAY(),"Hoje","Pendente"))))</f>
        <v/>
      </c>
      <c r="M322" s="114" t="str">
        <f aca="false">IF($E322="","",IF($K322="✓","✓ ","")&amp;IF(Config!$E$22="Sim",$H322&amp;" · ","")&amp;$F322)</f>
        <v/>
      </c>
      <c r="N322" s="114" t="str">
        <f aca="false">IF($E322="","",IFERROR(INDEX(Config!$D$15:$D$19,MATCH($I322,Config!$C$15:$C$19,0)),"OUT")&amp;IF($K322="✓","x",""))</f>
        <v/>
      </c>
      <c r="O322" s="114" t="str">
        <f aca="false">IF($E322="","",COUNTIF($E$5:$E322,$E322))</f>
        <v/>
      </c>
      <c r="P322" s="114" t="str">
        <f aca="false">IF($E322="","",$E322*100+$O322)</f>
        <v/>
      </c>
      <c r="Q322" s="114" t="str">
        <f aca="false">IF($L322="Atrasado",$E322*10000+$A322,"")</f>
        <v/>
      </c>
    </row>
    <row r="323" customFormat="false" ht="15" hidden="false" customHeight="false" outlineLevel="0" collapsed="false">
      <c r="A323" s="114" t="n">
        <f aca="false">ROW()-4</f>
        <v>319</v>
      </c>
      <c r="B323" s="114" t="str">
        <f aca="false">IF(A323&lt;=Config!$E$27*Config!$E$28,"Tema","Avulso")</f>
        <v>Tema</v>
      </c>
      <c r="C323" s="114" t="n">
        <f aca="false">IF(B323="Tema",INT((A323-1)/Config!$E$28)+1,A323-Config!$E$27*Config!$E$28)</f>
        <v>54</v>
      </c>
      <c r="D323" s="114" t="n">
        <f aca="false">IF(B323="Tema",MOD(A323-1,Config!$E$28)+1,"")</f>
        <v>1</v>
      </c>
      <c r="E323" s="115" t="str">
        <f aca="false">IF($B323="Tema",IF(ISNUMBER(INDEX(Temas!$E$6:$P$305,$C323,2*$D323-1)),INDEX(Temas!$E$6:$P$305,$C323,2*$D323-1),""),IF(ISNUMBER(INDEX(Avulsos!$B$6:$B$205,$C323)),INDEX(Avulsos!$B$6:$B$205,$C323),""))</f>
        <v/>
      </c>
      <c r="F323" s="114" t="str">
        <f aca="false">IF($E323="","",IF($B323="Tema",INDEX(Temas!$B$6:$B$305,$C323)&amp;"",INDEX(Avulsos!$C$6:$C$205,$C323)&amp;""))</f>
        <v/>
      </c>
      <c r="G323" s="114" t="str">
        <f aca="false">IF($E323="","",IF($B323="Tema",INDEX(Config!$C$6:$C$11,$D323),"Evento avulso"))</f>
        <v/>
      </c>
      <c r="H323" s="114" t="str">
        <f aca="false">IF($E323="","",IF($B323="Tema",INDEX(Config!$D$6:$D$11,$D323),IFERROR(INDEX(Config!$E$15:$E$19,MATCH($I323,Config!$C$15:$C$19,0)),"•")))</f>
        <v/>
      </c>
      <c r="I323" s="114" t="str">
        <f aca="false">IF($E323="","",IF($B323="Tema",INDEX(Config!$E$6:$E$11,$D323),IF(INDEX(Avulsos!$D$6:$D$205,$C323)&amp;""="","Outro",INDEX(Avulsos!$D$6:$D$205,$C323))))</f>
        <v/>
      </c>
      <c r="J323" s="114" t="str">
        <f aca="false">IF($E323="","",IF($B323="Tema",INDEX(Temas!$C$6:$C$305,$C323)&amp;"",INDEX(Avulsos!$E$6:$E$205,$C323)&amp;""))</f>
        <v/>
      </c>
      <c r="K323" s="114" t="str">
        <f aca="false">IF($E323="","",IF(IF($B323="Tema",INDEX(Temas!$E$6:$P$305,$C323,2*$D323),INDEX(Avulsos!$F$6:$F$205,$C323))&amp;""="","","✓"))</f>
        <v/>
      </c>
      <c r="L323" s="114" t="str">
        <f aca="true">IF($E323="","",IF($K323="✓","Concluído",IF($E323&lt;TODAY(),"Atrasado",IF($E323=TODAY(),"Hoje","Pendente"))))</f>
        <v/>
      </c>
      <c r="M323" s="114" t="str">
        <f aca="false">IF($E323="","",IF($K323="✓","✓ ","")&amp;IF(Config!$E$22="Sim",$H323&amp;" · ","")&amp;$F323)</f>
        <v/>
      </c>
      <c r="N323" s="114" t="str">
        <f aca="false">IF($E323="","",IFERROR(INDEX(Config!$D$15:$D$19,MATCH($I323,Config!$C$15:$C$19,0)),"OUT")&amp;IF($K323="✓","x",""))</f>
        <v/>
      </c>
      <c r="O323" s="114" t="str">
        <f aca="false">IF($E323="","",COUNTIF($E$5:$E323,$E323))</f>
        <v/>
      </c>
      <c r="P323" s="114" t="str">
        <f aca="false">IF($E323="","",$E323*100+$O323)</f>
        <v/>
      </c>
      <c r="Q323" s="114" t="str">
        <f aca="false">IF($L323="Atrasado",$E323*10000+$A323,"")</f>
        <v/>
      </c>
    </row>
    <row r="324" customFormat="false" ht="15" hidden="false" customHeight="false" outlineLevel="0" collapsed="false">
      <c r="A324" s="114" t="n">
        <f aca="false">ROW()-4</f>
        <v>320</v>
      </c>
      <c r="B324" s="114" t="str">
        <f aca="false">IF(A324&lt;=Config!$E$27*Config!$E$28,"Tema","Avulso")</f>
        <v>Tema</v>
      </c>
      <c r="C324" s="114" t="n">
        <f aca="false">IF(B324="Tema",INT((A324-1)/Config!$E$28)+1,A324-Config!$E$27*Config!$E$28)</f>
        <v>54</v>
      </c>
      <c r="D324" s="114" t="n">
        <f aca="false">IF(B324="Tema",MOD(A324-1,Config!$E$28)+1,"")</f>
        <v>2</v>
      </c>
      <c r="E324" s="115" t="str">
        <f aca="false">IF($B324="Tema",IF(ISNUMBER(INDEX(Temas!$E$6:$P$305,$C324,2*$D324-1)),INDEX(Temas!$E$6:$P$305,$C324,2*$D324-1),""),IF(ISNUMBER(INDEX(Avulsos!$B$6:$B$205,$C324)),INDEX(Avulsos!$B$6:$B$205,$C324),""))</f>
        <v/>
      </c>
      <c r="F324" s="114" t="str">
        <f aca="false">IF($E324="","",IF($B324="Tema",INDEX(Temas!$B$6:$B$305,$C324)&amp;"",INDEX(Avulsos!$C$6:$C$205,$C324)&amp;""))</f>
        <v/>
      </c>
      <c r="G324" s="114" t="str">
        <f aca="false">IF($E324="","",IF($B324="Tema",INDEX(Config!$C$6:$C$11,$D324),"Evento avulso"))</f>
        <v/>
      </c>
      <c r="H324" s="114" t="str">
        <f aca="false">IF($E324="","",IF($B324="Tema",INDEX(Config!$D$6:$D$11,$D324),IFERROR(INDEX(Config!$E$15:$E$19,MATCH($I324,Config!$C$15:$C$19,0)),"•")))</f>
        <v/>
      </c>
      <c r="I324" s="114" t="str">
        <f aca="false">IF($E324="","",IF($B324="Tema",INDEX(Config!$E$6:$E$11,$D324),IF(INDEX(Avulsos!$D$6:$D$205,$C324)&amp;""="","Outro",INDEX(Avulsos!$D$6:$D$205,$C324))))</f>
        <v/>
      </c>
      <c r="J324" s="114" t="str">
        <f aca="false">IF($E324="","",IF($B324="Tema",INDEX(Temas!$C$6:$C$305,$C324)&amp;"",INDEX(Avulsos!$E$6:$E$205,$C324)&amp;""))</f>
        <v/>
      </c>
      <c r="K324" s="114" t="str">
        <f aca="false">IF($E324="","",IF(IF($B324="Tema",INDEX(Temas!$E$6:$P$305,$C324,2*$D324),INDEX(Avulsos!$F$6:$F$205,$C324))&amp;""="","","✓"))</f>
        <v/>
      </c>
      <c r="L324" s="114" t="str">
        <f aca="true">IF($E324="","",IF($K324="✓","Concluído",IF($E324&lt;TODAY(),"Atrasado",IF($E324=TODAY(),"Hoje","Pendente"))))</f>
        <v/>
      </c>
      <c r="M324" s="114" t="str">
        <f aca="false">IF($E324="","",IF($K324="✓","✓ ","")&amp;IF(Config!$E$22="Sim",$H324&amp;" · ","")&amp;$F324)</f>
        <v/>
      </c>
      <c r="N324" s="114" t="str">
        <f aca="false">IF($E324="","",IFERROR(INDEX(Config!$D$15:$D$19,MATCH($I324,Config!$C$15:$C$19,0)),"OUT")&amp;IF($K324="✓","x",""))</f>
        <v/>
      </c>
      <c r="O324" s="114" t="str">
        <f aca="false">IF($E324="","",COUNTIF($E$5:$E324,$E324))</f>
        <v/>
      </c>
      <c r="P324" s="114" t="str">
        <f aca="false">IF($E324="","",$E324*100+$O324)</f>
        <v/>
      </c>
      <c r="Q324" s="114" t="str">
        <f aca="false">IF($L324="Atrasado",$E324*10000+$A324,"")</f>
        <v/>
      </c>
    </row>
    <row r="325" customFormat="false" ht="15" hidden="false" customHeight="false" outlineLevel="0" collapsed="false">
      <c r="A325" s="114" t="n">
        <f aca="false">ROW()-4</f>
        <v>321</v>
      </c>
      <c r="B325" s="114" t="str">
        <f aca="false">IF(A325&lt;=Config!$E$27*Config!$E$28,"Tema","Avulso")</f>
        <v>Tema</v>
      </c>
      <c r="C325" s="114" t="n">
        <f aca="false">IF(B325="Tema",INT((A325-1)/Config!$E$28)+1,A325-Config!$E$27*Config!$E$28)</f>
        <v>54</v>
      </c>
      <c r="D325" s="114" t="n">
        <f aca="false">IF(B325="Tema",MOD(A325-1,Config!$E$28)+1,"")</f>
        <v>3</v>
      </c>
      <c r="E325" s="115" t="str">
        <f aca="false">IF($B325="Tema",IF(ISNUMBER(INDEX(Temas!$E$6:$P$305,$C325,2*$D325-1)),INDEX(Temas!$E$6:$P$305,$C325,2*$D325-1),""),IF(ISNUMBER(INDEX(Avulsos!$B$6:$B$205,$C325)),INDEX(Avulsos!$B$6:$B$205,$C325),""))</f>
        <v/>
      </c>
      <c r="F325" s="114" t="str">
        <f aca="false">IF($E325="","",IF($B325="Tema",INDEX(Temas!$B$6:$B$305,$C325)&amp;"",INDEX(Avulsos!$C$6:$C$205,$C325)&amp;""))</f>
        <v/>
      </c>
      <c r="G325" s="114" t="str">
        <f aca="false">IF($E325="","",IF($B325="Tema",INDEX(Config!$C$6:$C$11,$D325),"Evento avulso"))</f>
        <v/>
      </c>
      <c r="H325" s="114" t="str">
        <f aca="false">IF($E325="","",IF($B325="Tema",INDEX(Config!$D$6:$D$11,$D325),IFERROR(INDEX(Config!$E$15:$E$19,MATCH($I325,Config!$C$15:$C$19,0)),"•")))</f>
        <v/>
      </c>
      <c r="I325" s="114" t="str">
        <f aca="false">IF($E325="","",IF($B325="Tema",INDEX(Config!$E$6:$E$11,$D325),IF(INDEX(Avulsos!$D$6:$D$205,$C325)&amp;""="","Outro",INDEX(Avulsos!$D$6:$D$205,$C325))))</f>
        <v/>
      </c>
      <c r="J325" s="114" t="str">
        <f aca="false">IF($E325="","",IF($B325="Tema",INDEX(Temas!$C$6:$C$305,$C325)&amp;"",INDEX(Avulsos!$E$6:$E$205,$C325)&amp;""))</f>
        <v/>
      </c>
      <c r="K325" s="114" t="str">
        <f aca="false">IF($E325="","",IF(IF($B325="Tema",INDEX(Temas!$E$6:$P$305,$C325,2*$D325),INDEX(Avulsos!$F$6:$F$205,$C325))&amp;""="","","✓"))</f>
        <v/>
      </c>
      <c r="L325" s="114" t="str">
        <f aca="true">IF($E325="","",IF($K325="✓","Concluído",IF($E325&lt;TODAY(),"Atrasado",IF($E325=TODAY(),"Hoje","Pendente"))))</f>
        <v/>
      </c>
      <c r="M325" s="114" t="str">
        <f aca="false">IF($E325="","",IF($K325="✓","✓ ","")&amp;IF(Config!$E$22="Sim",$H325&amp;" · ","")&amp;$F325)</f>
        <v/>
      </c>
      <c r="N325" s="114" t="str">
        <f aca="false">IF($E325="","",IFERROR(INDEX(Config!$D$15:$D$19,MATCH($I325,Config!$C$15:$C$19,0)),"OUT")&amp;IF($K325="✓","x",""))</f>
        <v/>
      </c>
      <c r="O325" s="114" t="str">
        <f aca="false">IF($E325="","",COUNTIF($E$5:$E325,$E325))</f>
        <v/>
      </c>
      <c r="P325" s="114" t="str">
        <f aca="false">IF($E325="","",$E325*100+$O325)</f>
        <v/>
      </c>
      <c r="Q325" s="114" t="str">
        <f aca="false">IF($L325="Atrasado",$E325*10000+$A325,"")</f>
        <v/>
      </c>
    </row>
    <row r="326" customFormat="false" ht="15" hidden="false" customHeight="false" outlineLevel="0" collapsed="false">
      <c r="A326" s="114" t="n">
        <f aca="false">ROW()-4</f>
        <v>322</v>
      </c>
      <c r="B326" s="114" t="str">
        <f aca="false">IF(A326&lt;=Config!$E$27*Config!$E$28,"Tema","Avulso")</f>
        <v>Tema</v>
      </c>
      <c r="C326" s="114" t="n">
        <f aca="false">IF(B326="Tema",INT((A326-1)/Config!$E$28)+1,A326-Config!$E$27*Config!$E$28)</f>
        <v>54</v>
      </c>
      <c r="D326" s="114" t="n">
        <f aca="false">IF(B326="Tema",MOD(A326-1,Config!$E$28)+1,"")</f>
        <v>4</v>
      </c>
      <c r="E326" s="115" t="str">
        <f aca="false">IF($B326="Tema",IF(ISNUMBER(INDEX(Temas!$E$6:$P$305,$C326,2*$D326-1)),INDEX(Temas!$E$6:$P$305,$C326,2*$D326-1),""),IF(ISNUMBER(INDEX(Avulsos!$B$6:$B$205,$C326)),INDEX(Avulsos!$B$6:$B$205,$C326),""))</f>
        <v/>
      </c>
      <c r="F326" s="114" t="str">
        <f aca="false">IF($E326="","",IF($B326="Tema",INDEX(Temas!$B$6:$B$305,$C326)&amp;"",INDEX(Avulsos!$C$6:$C$205,$C326)&amp;""))</f>
        <v/>
      </c>
      <c r="G326" s="114" t="str">
        <f aca="false">IF($E326="","",IF($B326="Tema",INDEX(Config!$C$6:$C$11,$D326),"Evento avulso"))</f>
        <v/>
      </c>
      <c r="H326" s="114" t="str">
        <f aca="false">IF($E326="","",IF($B326="Tema",INDEX(Config!$D$6:$D$11,$D326),IFERROR(INDEX(Config!$E$15:$E$19,MATCH($I326,Config!$C$15:$C$19,0)),"•")))</f>
        <v/>
      </c>
      <c r="I326" s="114" t="str">
        <f aca="false">IF($E326="","",IF($B326="Tema",INDEX(Config!$E$6:$E$11,$D326),IF(INDEX(Avulsos!$D$6:$D$205,$C326)&amp;""="","Outro",INDEX(Avulsos!$D$6:$D$205,$C326))))</f>
        <v/>
      </c>
      <c r="J326" s="114" t="str">
        <f aca="false">IF($E326="","",IF($B326="Tema",INDEX(Temas!$C$6:$C$305,$C326)&amp;"",INDEX(Avulsos!$E$6:$E$205,$C326)&amp;""))</f>
        <v/>
      </c>
      <c r="K326" s="114" t="str">
        <f aca="false">IF($E326="","",IF(IF($B326="Tema",INDEX(Temas!$E$6:$P$305,$C326,2*$D326),INDEX(Avulsos!$F$6:$F$205,$C326))&amp;""="","","✓"))</f>
        <v/>
      </c>
      <c r="L326" s="114" t="str">
        <f aca="true">IF($E326="","",IF($K326="✓","Concluído",IF($E326&lt;TODAY(),"Atrasado",IF($E326=TODAY(),"Hoje","Pendente"))))</f>
        <v/>
      </c>
      <c r="M326" s="114" t="str">
        <f aca="false">IF($E326="","",IF($K326="✓","✓ ","")&amp;IF(Config!$E$22="Sim",$H326&amp;" · ","")&amp;$F326)</f>
        <v/>
      </c>
      <c r="N326" s="114" t="str">
        <f aca="false">IF($E326="","",IFERROR(INDEX(Config!$D$15:$D$19,MATCH($I326,Config!$C$15:$C$19,0)),"OUT")&amp;IF($K326="✓","x",""))</f>
        <v/>
      </c>
      <c r="O326" s="114" t="str">
        <f aca="false">IF($E326="","",COUNTIF($E$5:$E326,$E326))</f>
        <v/>
      </c>
      <c r="P326" s="114" t="str">
        <f aca="false">IF($E326="","",$E326*100+$O326)</f>
        <v/>
      </c>
      <c r="Q326" s="114" t="str">
        <f aca="false">IF($L326="Atrasado",$E326*10000+$A326,"")</f>
        <v/>
      </c>
    </row>
    <row r="327" customFormat="false" ht="15" hidden="false" customHeight="false" outlineLevel="0" collapsed="false">
      <c r="A327" s="114" t="n">
        <f aca="false">ROW()-4</f>
        <v>323</v>
      </c>
      <c r="B327" s="114" t="str">
        <f aca="false">IF(A327&lt;=Config!$E$27*Config!$E$28,"Tema","Avulso")</f>
        <v>Tema</v>
      </c>
      <c r="C327" s="114" t="n">
        <f aca="false">IF(B327="Tema",INT((A327-1)/Config!$E$28)+1,A327-Config!$E$27*Config!$E$28)</f>
        <v>54</v>
      </c>
      <c r="D327" s="114" t="n">
        <f aca="false">IF(B327="Tema",MOD(A327-1,Config!$E$28)+1,"")</f>
        <v>5</v>
      </c>
      <c r="E327" s="115" t="str">
        <f aca="false">IF($B327="Tema",IF(ISNUMBER(INDEX(Temas!$E$6:$P$305,$C327,2*$D327-1)),INDEX(Temas!$E$6:$P$305,$C327,2*$D327-1),""),IF(ISNUMBER(INDEX(Avulsos!$B$6:$B$205,$C327)),INDEX(Avulsos!$B$6:$B$205,$C327),""))</f>
        <v/>
      </c>
      <c r="F327" s="114" t="str">
        <f aca="false">IF($E327="","",IF($B327="Tema",INDEX(Temas!$B$6:$B$305,$C327)&amp;"",INDEX(Avulsos!$C$6:$C$205,$C327)&amp;""))</f>
        <v/>
      </c>
      <c r="G327" s="114" t="str">
        <f aca="false">IF($E327="","",IF($B327="Tema",INDEX(Config!$C$6:$C$11,$D327),"Evento avulso"))</f>
        <v/>
      </c>
      <c r="H327" s="114" t="str">
        <f aca="false">IF($E327="","",IF($B327="Tema",INDEX(Config!$D$6:$D$11,$D327),IFERROR(INDEX(Config!$E$15:$E$19,MATCH($I327,Config!$C$15:$C$19,0)),"•")))</f>
        <v/>
      </c>
      <c r="I327" s="114" t="str">
        <f aca="false">IF($E327="","",IF($B327="Tema",INDEX(Config!$E$6:$E$11,$D327),IF(INDEX(Avulsos!$D$6:$D$205,$C327)&amp;""="","Outro",INDEX(Avulsos!$D$6:$D$205,$C327))))</f>
        <v/>
      </c>
      <c r="J327" s="114" t="str">
        <f aca="false">IF($E327="","",IF($B327="Tema",INDEX(Temas!$C$6:$C$305,$C327)&amp;"",INDEX(Avulsos!$E$6:$E$205,$C327)&amp;""))</f>
        <v/>
      </c>
      <c r="K327" s="114" t="str">
        <f aca="false">IF($E327="","",IF(IF($B327="Tema",INDEX(Temas!$E$6:$P$305,$C327,2*$D327),INDEX(Avulsos!$F$6:$F$205,$C327))&amp;""="","","✓"))</f>
        <v/>
      </c>
      <c r="L327" s="114" t="str">
        <f aca="true">IF($E327="","",IF($K327="✓","Concluído",IF($E327&lt;TODAY(),"Atrasado",IF($E327=TODAY(),"Hoje","Pendente"))))</f>
        <v/>
      </c>
      <c r="M327" s="114" t="str">
        <f aca="false">IF($E327="","",IF($K327="✓","✓ ","")&amp;IF(Config!$E$22="Sim",$H327&amp;" · ","")&amp;$F327)</f>
        <v/>
      </c>
      <c r="N327" s="114" t="str">
        <f aca="false">IF($E327="","",IFERROR(INDEX(Config!$D$15:$D$19,MATCH($I327,Config!$C$15:$C$19,0)),"OUT")&amp;IF($K327="✓","x",""))</f>
        <v/>
      </c>
      <c r="O327" s="114" t="str">
        <f aca="false">IF($E327="","",COUNTIF($E$5:$E327,$E327))</f>
        <v/>
      </c>
      <c r="P327" s="114" t="str">
        <f aca="false">IF($E327="","",$E327*100+$O327)</f>
        <v/>
      </c>
      <c r="Q327" s="114" t="str">
        <f aca="false">IF($L327="Atrasado",$E327*10000+$A327,"")</f>
        <v/>
      </c>
    </row>
    <row r="328" customFormat="false" ht="15" hidden="false" customHeight="false" outlineLevel="0" collapsed="false">
      <c r="A328" s="114" t="n">
        <f aca="false">ROW()-4</f>
        <v>324</v>
      </c>
      <c r="B328" s="114" t="str">
        <f aca="false">IF(A328&lt;=Config!$E$27*Config!$E$28,"Tema","Avulso")</f>
        <v>Tema</v>
      </c>
      <c r="C328" s="114" t="n">
        <f aca="false">IF(B328="Tema",INT((A328-1)/Config!$E$28)+1,A328-Config!$E$27*Config!$E$28)</f>
        <v>54</v>
      </c>
      <c r="D328" s="114" t="n">
        <f aca="false">IF(B328="Tema",MOD(A328-1,Config!$E$28)+1,"")</f>
        <v>6</v>
      </c>
      <c r="E328" s="115" t="str">
        <f aca="false">IF($B328="Tema",IF(ISNUMBER(INDEX(Temas!$E$6:$P$305,$C328,2*$D328-1)),INDEX(Temas!$E$6:$P$305,$C328,2*$D328-1),""),IF(ISNUMBER(INDEX(Avulsos!$B$6:$B$205,$C328)),INDEX(Avulsos!$B$6:$B$205,$C328),""))</f>
        <v/>
      </c>
      <c r="F328" s="114" t="str">
        <f aca="false">IF($E328="","",IF($B328="Tema",INDEX(Temas!$B$6:$B$305,$C328)&amp;"",INDEX(Avulsos!$C$6:$C$205,$C328)&amp;""))</f>
        <v/>
      </c>
      <c r="G328" s="114" t="str">
        <f aca="false">IF($E328="","",IF($B328="Tema",INDEX(Config!$C$6:$C$11,$D328),"Evento avulso"))</f>
        <v/>
      </c>
      <c r="H328" s="114" t="str">
        <f aca="false">IF($E328="","",IF($B328="Tema",INDEX(Config!$D$6:$D$11,$D328),IFERROR(INDEX(Config!$E$15:$E$19,MATCH($I328,Config!$C$15:$C$19,0)),"•")))</f>
        <v/>
      </c>
      <c r="I328" s="114" t="str">
        <f aca="false">IF($E328="","",IF($B328="Tema",INDEX(Config!$E$6:$E$11,$D328),IF(INDEX(Avulsos!$D$6:$D$205,$C328)&amp;""="","Outro",INDEX(Avulsos!$D$6:$D$205,$C328))))</f>
        <v/>
      </c>
      <c r="J328" s="114" t="str">
        <f aca="false">IF($E328="","",IF($B328="Tema",INDEX(Temas!$C$6:$C$305,$C328)&amp;"",INDEX(Avulsos!$E$6:$E$205,$C328)&amp;""))</f>
        <v/>
      </c>
      <c r="K328" s="114" t="str">
        <f aca="false">IF($E328="","",IF(IF($B328="Tema",INDEX(Temas!$E$6:$P$305,$C328,2*$D328),INDEX(Avulsos!$F$6:$F$205,$C328))&amp;""="","","✓"))</f>
        <v/>
      </c>
      <c r="L328" s="114" t="str">
        <f aca="true">IF($E328="","",IF($K328="✓","Concluído",IF($E328&lt;TODAY(),"Atrasado",IF($E328=TODAY(),"Hoje","Pendente"))))</f>
        <v/>
      </c>
      <c r="M328" s="114" t="str">
        <f aca="false">IF($E328="","",IF($K328="✓","✓ ","")&amp;IF(Config!$E$22="Sim",$H328&amp;" · ","")&amp;$F328)</f>
        <v/>
      </c>
      <c r="N328" s="114" t="str">
        <f aca="false">IF($E328="","",IFERROR(INDEX(Config!$D$15:$D$19,MATCH($I328,Config!$C$15:$C$19,0)),"OUT")&amp;IF($K328="✓","x",""))</f>
        <v/>
      </c>
      <c r="O328" s="114" t="str">
        <f aca="false">IF($E328="","",COUNTIF($E$5:$E328,$E328))</f>
        <v/>
      </c>
      <c r="P328" s="114" t="str">
        <f aca="false">IF($E328="","",$E328*100+$O328)</f>
        <v/>
      </c>
      <c r="Q328" s="114" t="str">
        <f aca="false">IF($L328="Atrasado",$E328*10000+$A328,"")</f>
        <v/>
      </c>
    </row>
    <row r="329" customFormat="false" ht="15" hidden="false" customHeight="false" outlineLevel="0" collapsed="false">
      <c r="A329" s="114" t="n">
        <f aca="false">ROW()-4</f>
        <v>325</v>
      </c>
      <c r="B329" s="114" t="str">
        <f aca="false">IF(A329&lt;=Config!$E$27*Config!$E$28,"Tema","Avulso")</f>
        <v>Tema</v>
      </c>
      <c r="C329" s="114" t="n">
        <f aca="false">IF(B329="Tema",INT((A329-1)/Config!$E$28)+1,A329-Config!$E$27*Config!$E$28)</f>
        <v>55</v>
      </c>
      <c r="D329" s="114" t="n">
        <f aca="false">IF(B329="Tema",MOD(A329-1,Config!$E$28)+1,"")</f>
        <v>1</v>
      </c>
      <c r="E329" s="115" t="str">
        <f aca="false">IF($B329="Tema",IF(ISNUMBER(INDEX(Temas!$E$6:$P$305,$C329,2*$D329-1)),INDEX(Temas!$E$6:$P$305,$C329,2*$D329-1),""),IF(ISNUMBER(INDEX(Avulsos!$B$6:$B$205,$C329)),INDEX(Avulsos!$B$6:$B$205,$C329),""))</f>
        <v/>
      </c>
      <c r="F329" s="114" t="str">
        <f aca="false">IF($E329="","",IF($B329="Tema",INDEX(Temas!$B$6:$B$305,$C329)&amp;"",INDEX(Avulsos!$C$6:$C$205,$C329)&amp;""))</f>
        <v/>
      </c>
      <c r="G329" s="114" t="str">
        <f aca="false">IF($E329="","",IF($B329="Tema",INDEX(Config!$C$6:$C$11,$D329),"Evento avulso"))</f>
        <v/>
      </c>
      <c r="H329" s="114" t="str">
        <f aca="false">IF($E329="","",IF($B329="Tema",INDEX(Config!$D$6:$D$11,$D329),IFERROR(INDEX(Config!$E$15:$E$19,MATCH($I329,Config!$C$15:$C$19,0)),"•")))</f>
        <v/>
      </c>
      <c r="I329" s="114" t="str">
        <f aca="false">IF($E329="","",IF($B329="Tema",INDEX(Config!$E$6:$E$11,$D329),IF(INDEX(Avulsos!$D$6:$D$205,$C329)&amp;""="","Outro",INDEX(Avulsos!$D$6:$D$205,$C329))))</f>
        <v/>
      </c>
      <c r="J329" s="114" t="str">
        <f aca="false">IF($E329="","",IF($B329="Tema",INDEX(Temas!$C$6:$C$305,$C329)&amp;"",INDEX(Avulsos!$E$6:$E$205,$C329)&amp;""))</f>
        <v/>
      </c>
      <c r="K329" s="114" t="str">
        <f aca="false">IF($E329="","",IF(IF($B329="Tema",INDEX(Temas!$E$6:$P$305,$C329,2*$D329),INDEX(Avulsos!$F$6:$F$205,$C329))&amp;""="","","✓"))</f>
        <v/>
      </c>
      <c r="L329" s="114" t="str">
        <f aca="true">IF($E329="","",IF($K329="✓","Concluído",IF($E329&lt;TODAY(),"Atrasado",IF($E329=TODAY(),"Hoje","Pendente"))))</f>
        <v/>
      </c>
      <c r="M329" s="114" t="str">
        <f aca="false">IF($E329="","",IF($K329="✓","✓ ","")&amp;IF(Config!$E$22="Sim",$H329&amp;" · ","")&amp;$F329)</f>
        <v/>
      </c>
      <c r="N329" s="114" t="str">
        <f aca="false">IF($E329="","",IFERROR(INDEX(Config!$D$15:$D$19,MATCH($I329,Config!$C$15:$C$19,0)),"OUT")&amp;IF($K329="✓","x",""))</f>
        <v/>
      </c>
      <c r="O329" s="114" t="str">
        <f aca="false">IF($E329="","",COUNTIF($E$5:$E329,$E329))</f>
        <v/>
      </c>
      <c r="P329" s="114" t="str">
        <f aca="false">IF($E329="","",$E329*100+$O329)</f>
        <v/>
      </c>
      <c r="Q329" s="114" t="str">
        <f aca="false">IF($L329="Atrasado",$E329*10000+$A329,"")</f>
        <v/>
      </c>
    </row>
    <row r="330" customFormat="false" ht="15" hidden="false" customHeight="false" outlineLevel="0" collapsed="false">
      <c r="A330" s="114" t="n">
        <f aca="false">ROW()-4</f>
        <v>326</v>
      </c>
      <c r="B330" s="114" t="str">
        <f aca="false">IF(A330&lt;=Config!$E$27*Config!$E$28,"Tema","Avulso")</f>
        <v>Tema</v>
      </c>
      <c r="C330" s="114" t="n">
        <f aca="false">IF(B330="Tema",INT((A330-1)/Config!$E$28)+1,A330-Config!$E$27*Config!$E$28)</f>
        <v>55</v>
      </c>
      <c r="D330" s="114" t="n">
        <f aca="false">IF(B330="Tema",MOD(A330-1,Config!$E$28)+1,"")</f>
        <v>2</v>
      </c>
      <c r="E330" s="115" t="str">
        <f aca="false">IF($B330="Tema",IF(ISNUMBER(INDEX(Temas!$E$6:$P$305,$C330,2*$D330-1)),INDEX(Temas!$E$6:$P$305,$C330,2*$D330-1),""),IF(ISNUMBER(INDEX(Avulsos!$B$6:$B$205,$C330)),INDEX(Avulsos!$B$6:$B$205,$C330),""))</f>
        <v/>
      </c>
      <c r="F330" s="114" t="str">
        <f aca="false">IF($E330="","",IF($B330="Tema",INDEX(Temas!$B$6:$B$305,$C330)&amp;"",INDEX(Avulsos!$C$6:$C$205,$C330)&amp;""))</f>
        <v/>
      </c>
      <c r="G330" s="114" t="str">
        <f aca="false">IF($E330="","",IF($B330="Tema",INDEX(Config!$C$6:$C$11,$D330),"Evento avulso"))</f>
        <v/>
      </c>
      <c r="H330" s="114" t="str">
        <f aca="false">IF($E330="","",IF($B330="Tema",INDEX(Config!$D$6:$D$11,$D330),IFERROR(INDEX(Config!$E$15:$E$19,MATCH($I330,Config!$C$15:$C$19,0)),"•")))</f>
        <v/>
      </c>
      <c r="I330" s="114" t="str">
        <f aca="false">IF($E330="","",IF($B330="Tema",INDEX(Config!$E$6:$E$11,$D330),IF(INDEX(Avulsos!$D$6:$D$205,$C330)&amp;""="","Outro",INDEX(Avulsos!$D$6:$D$205,$C330))))</f>
        <v/>
      </c>
      <c r="J330" s="114" t="str">
        <f aca="false">IF($E330="","",IF($B330="Tema",INDEX(Temas!$C$6:$C$305,$C330)&amp;"",INDEX(Avulsos!$E$6:$E$205,$C330)&amp;""))</f>
        <v/>
      </c>
      <c r="K330" s="114" t="str">
        <f aca="false">IF($E330="","",IF(IF($B330="Tema",INDEX(Temas!$E$6:$P$305,$C330,2*$D330),INDEX(Avulsos!$F$6:$F$205,$C330))&amp;""="","","✓"))</f>
        <v/>
      </c>
      <c r="L330" s="114" t="str">
        <f aca="true">IF($E330="","",IF($K330="✓","Concluído",IF($E330&lt;TODAY(),"Atrasado",IF($E330=TODAY(),"Hoje","Pendente"))))</f>
        <v/>
      </c>
      <c r="M330" s="114" t="str">
        <f aca="false">IF($E330="","",IF($K330="✓","✓ ","")&amp;IF(Config!$E$22="Sim",$H330&amp;" · ","")&amp;$F330)</f>
        <v/>
      </c>
      <c r="N330" s="114" t="str">
        <f aca="false">IF($E330="","",IFERROR(INDEX(Config!$D$15:$D$19,MATCH($I330,Config!$C$15:$C$19,0)),"OUT")&amp;IF($K330="✓","x",""))</f>
        <v/>
      </c>
      <c r="O330" s="114" t="str">
        <f aca="false">IF($E330="","",COUNTIF($E$5:$E330,$E330))</f>
        <v/>
      </c>
      <c r="P330" s="114" t="str">
        <f aca="false">IF($E330="","",$E330*100+$O330)</f>
        <v/>
      </c>
      <c r="Q330" s="114" t="str">
        <f aca="false">IF($L330="Atrasado",$E330*10000+$A330,"")</f>
        <v/>
      </c>
    </row>
    <row r="331" customFormat="false" ht="15" hidden="false" customHeight="false" outlineLevel="0" collapsed="false">
      <c r="A331" s="114" t="n">
        <f aca="false">ROW()-4</f>
        <v>327</v>
      </c>
      <c r="B331" s="114" t="str">
        <f aca="false">IF(A331&lt;=Config!$E$27*Config!$E$28,"Tema","Avulso")</f>
        <v>Tema</v>
      </c>
      <c r="C331" s="114" t="n">
        <f aca="false">IF(B331="Tema",INT((A331-1)/Config!$E$28)+1,A331-Config!$E$27*Config!$E$28)</f>
        <v>55</v>
      </c>
      <c r="D331" s="114" t="n">
        <f aca="false">IF(B331="Tema",MOD(A331-1,Config!$E$28)+1,"")</f>
        <v>3</v>
      </c>
      <c r="E331" s="115" t="str">
        <f aca="false">IF($B331="Tema",IF(ISNUMBER(INDEX(Temas!$E$6:$P$305,$C331,2*$D331-1)),INDEX(Temas!$E$6:$P$305,$C331,2*$D331-1),""),IF(ISNUMBER(INDEX(Avulsos!$B$6:$B$205,$C331)),INDEX(Avulsos!$B$6:$B$205,$C331),""))</f>
        <v/>
      </c>
      <c r="F331" s="114" t="str">
        <f aca="false">IF($E331="","",IF($B331="Tema",INDEX(Temas!$B$6:$B$305,$C331)&amp;"",INDEX(Avulsos!$C$6:$C$205,$C331)&amp;""))</f>
        <v/>
      </c>
      <c r="G331" s="114" t="str">
        <f aca="false">IF($E331="","",IF($B331="Tema",INDEX(Config!$C$6:$C$11,$D331),"Evento avulso"))</f>
        <v/>
      </c>
      <c r="H331" s="114" t="str">
        <f aca="false">IF($E331="","",IF($B331="Tema",INDEX(Config!$D$6:$D$11,$D331),IFERROR(INDEX(Config!$E$15:$E$19,MATCH($I331,Config!$C$15:$C$19,0)),"•")))</f>
        <v/>
      </c>
      <c r="I331" s="114" t="str">
        <f aca="false">IF($E331="","",IF($B331="Tema",INDEX(Config!$E$6:$E$11,$D331),IF(INDEX(Avulsos!$D$6:$D$205,$C331)&amp;""="","Outro",INDEX(Avulsos!$D$6:$D$205,$C331))))</f>
        <v/>
      </c>
      <c r="J331" s="114" t="str">
        <f aca="false">IF($E331="","",IF($B331="Tema",INDEX(Temas!$C$6:$C$305,$C331)&amp;"",INDEX(Avulsos!$E$6:$E$205,$C331)&amp;""))</f>
        <v/>
      </c>
      <c r="K331" s="114" t="str">
        <f aca="false">IF($E331="","",IF(IF($B331="Tema",INDEX(Temas!$E$6:$P$305,$C331,2*$D331),INDEX(Avulsos!$F$6:$F$205,$C331))&amp;""="","","✓"))</f>
        <v/>
      </c>
      <c r="L331" s="114" t="str">
        <f aca="true">IF($E331="","",IF($K331="✓","Concluído",IF($E331&lt;TODAY(),"Atrasado",IF($E331=TODAY(),"Hoje","Pendente"))))</f>
        <v/>
      </c>
      <c r="M331" s="114" t="str">
        <f aca="false">IF($E331="","",IF($K331="✓","✓ ","")&amp;IF(Config!$E$22="Sim",$H331&amp;" · ","")&amp;$F331)</f>
        <v/>
      </c>
      <c r="N331" s="114" t="str">
        <f aca="false">IF($E331="","",IFERROR(INDEX(Config!$D$15:$D$19,MATCH($I331,Config!$C$15:$C$19,0)),"OUT")&amp;IF($K331="✓","x",""))</f>
        <v/>
      </c>
      <c r="O331" s="114" t="str">
        <f aca="false">IF($E331="","",COUNTIF($E$5:$E331,$E331))</f>
        <v/>
      </c>
      <c r="P331" s="114" t="str">
        <f aca="false">IF($E331="","",$E331*100+$O331)</f>
        <v/>
      </c>
      <c r="Q331" s="114" t="str">
        <f aca="false">IF($L331="Atrasado",$E331*10000+$A331,"")</f>
        <v/>
      </c>
    </row>
    <row r="332" customFormat="false" ht="15" hidden="false" customHeight="false" outlineLevel="0" collapsed="false">
      <c r="A332" s="114" t="n">
        <f aca="false">ROW()-4</f>
        <v>328</v>
      </c>
      <c r="B332" s="114" t="str">
        <f aca="false">IF(A332&lt;=Config!$E$27*Config!$E$28,"Tema","Avulso")</f>
        <v>Tema</v>
      </c>
      <c r="C332" s="114" t="n">
        <f aca="false">IF(B332="Tema",INT((A332-1)/Config!$E$28)+1,A332-Config!$E$27*Config!$E$28)</f>
        <v>55</v>
      </c>
      <c r="D332" s="114" t="n">
        <f aca="false">IF(B332="Tema",MOD(A332-1,Config!$E$28)+1,"")</f>
        <v>4</v>
      </c>
      <c r="E332" s="115" t="str">
        <f aca="false">IF($B332="Tema",IF(ISNUMBER(INDEX(Temas!$E$6:$P$305,$C332,2*$D332-1)),INDEX(Temas!$E$6:$P$305,$C332,2*$D332-1),""),IF(ISNUMBER(INDEX(Avulsos!$B$6:$B$205,$C332)),INDEX(Avulsos!$B$6:$B$205,$C332),""))</f>
        <v/>
      </c>
      <c r="F332" s="114" t="str">
        <f aca="false">IF($E332="","",IF($B332="Tema",INDEX(Temas!$B$6:$B$305,$C332)&amp;"",INDEX(Avulsos!$C$6:$C$205,$C332)&amp;""))</f>
        <v/>
      </c>
      <c r="G332" s="114" t="str">
        <f aca="false">IF($E332="","",IF($B332="Tema",INDEX(Config!$C$6:$C$11,$D332),"Evento avulso"))</f>
        <v/>
      </c>
      <c r="H332" s="114" t="str">
        <f aca="false">IF($E332="","",IF($B332="Tema",INDEX(Config!$D$6:$D$11,$D332),IFERROR(INDEX(Config!$E$15:$E$19,MATCH($I332,Config!$C$15:$C$19,0)),"•")))</f>
        <v/>
      </c>
      <c r="I332" s="114" t="str">
        <f aca="false">IF($E332="","",IF($B332="Tema",INDEX(Config!$E$6:$E$11,$D332),IF(INDEX(Avulsos!$D$6:$D$205,$C332)&amp;""="","Outro",INDEX(Avulsos!$D$6:$D$205,$C332))))</f>
        <v/>
      </c>
      <c r="J332" s="114" t="str">
        <f aca="false">IF($E332="","",IF($B332="Tema",INDEX(Temas!$C$6:$C$305,$C332)&amp;"",INDEX(Avulsos!$E$6:$E$205,$C332)&amp;""))</f>
        <v/>
      </c>
      <c r="K332" s="114" t="str">
        <f aca="false">IF($E332="","",IF(IF($B332="Tema",INDEX(Temas!$E$6:$P$305,$C332,2*$D332),INDEX(Avulsos!$F$6:$F$205,$C332))&amp;""="","","✓"))</f>
        <v/>
      </c>
      <c r="L332" s="114" t="str">
        <f aca="true">IF($E332="","",IF($K332="✓","Concluído",IF($E332&lt;TODAY(),"Atrasado",IF($E332=TODAY(),"Hoje","Pendente"))))</f>
        <v/>
      </c>
      <c r="M332" s="114" t="str">
        <f aca="false">IF($E332="","",IF($K332="✓","✓ ","")&amp;IF(Config!$E$22="Sim",$H332&amp;" · ","")&amp;$F332)</f>
        <v/>
      </c>
      <c r="N332" s="114" t="str">
        <f aca="false">IF($E332="","",IFERROR(INDEX(Config!$D$15:$D$19,MATCH($I332,Config!$C$15:$C$19,0)),"OUT")&amp;IF($K332="✓","x",""))</f>
        <v/>
      </c>
      <c r="O332" s="114" t="str">
        <f aca="false">IF($E332="","",COUNTIF($E$5:$E332,$E332))</f>
        <v/>
      </c>
      <c r="P332" s="114" t="str">
        <f aca="false">IF($E332="","",$E332*100+$O332)</f>
        <v/>
      </c>
      <c r="Q332" s="114" t="str">
        <f aca="false">IF($L332="Atrasado",$E332*10000+$A332,"")</f>
        <v/>
      </c>
    </row>
    <row r="333" customFormat="false" ht="15" hidden="false" customHeight="false" outlineLevel="0" collapsed="false">
      <c r="A333" s="114" t="n">
        <f aca="false">ROW()-4</f>
        <v>329</v>
      </c>
      <c r="B333" s="114" t="str">
        <f aca="false">IF(A333&lt;=Config!$E$27*Config!$E$28,"Tema","Avulso")</f>
        <v>Tema</v>
      </c>
      <c r="C333" s="114" t="n">
        <f aca="false">IF(B333="Tema",INT((A333-1)/Config!$E$28)+1,A333-Config!$E$27*Config!$E$28)</f>
        <v>55</v>
      </c>
      <c r="D333" s="114" t="n">
        <f aca="false">IF(B333="Tema",MOD(A333-1,Config!$E$28)+1,"")</f>
        <v>5</v>
      </c>
      <c r="E333" s="115" t="str">
        <f aca="false">IF($B333="Tema",IF(ISNUMBER(INDEX(Temas!$E$6:$P$305,$C333,2*$D333-1)),INDEX(Temas!$E$6:$P$305,$C333,2*$D333-1),""),IF(ISNUMBER(INDEX(Avulsos!$B$6:$B$205,$C333)),INDEX(Avulsos!$B$6:$B$205,$C333),""))</f>
        <v/>
      </c>
      <c r="F333" s="114" t="str">
        <f aca="false">IF($E333="","",IF($B333="Tema",INDEX(Temas!$B$6:$B$305,$C333)&amp;"",INDEX(Avulsos!$C$6:$C$205,$C333)&amp;""))</f>
        <v/>
      </c>
      <c r="G333" s="114" t="str">
        <f aca="false">IF($E333="","",IF($B333="Tema",INDEX(Config!$C$6:$C$11,$D333),"Evento avulso"))</f>
        <v/>
      </c>
      <c r="H333" s="114" t="str">
        <f aca="false">IF($E333="","",IF($B333="Tema",INDEX(Config!$D$6:$D$11,$D333),IFERROR(INDEX(Config!$E$15:$E$19,MATCH($I333,Config!$C$15:$C$19,0)),"•")))</f>
        <v/>
      </c>
      <c r="I333" s="114" t="str">
        <f aca="false">IF($E333="","",IF($B333="Tema",INDEX(Config!$E$6:$E$11,$D333),IF(INDEX(Avulsos!$D$6:$D$205,$C333)&amp;""="","Outro",INDEX(Avulsos!$D$6:$D$205,$C333))))</f>
        <v/>
      </c>
      <c r="J333" s="114" t="str">
        <f aca="false">IF($E333="","",IF($B333="Tema",INDEX(Temas!$C$6:$C$305,$C333)&amp;"",INDEX(Avulsos!$E$6:$E$205,$C333)&amp;""))</f>
        <v/>
      </c>
      <c r="K333" s="114" t="str">
        <f aca="false">IF($E333="","",IF(IF($B333="Tema",INDEX(Temas!$E$6:$P$305,$C333,2*$D333),INDEX(Avulsos!$F$6:$F$205,$C333))&amp;""="","","✓"))</f>
        <v/>
      </c>
      <c r="L333" s="114" t="str">
        <f aca="true">IF($E333="","",IF($K333="✓","Concluído",IF($E333&lt;TODAY(),"Atrasado",IF($E333=TODAY(),"Hoje","Pendente"))))</f>
        <v/>
      </c>
      <c r="M333" s="114" t="str">
        <f aca="false">IF($E333="","",IF($K333="✓","✓ ","")&amp;IF(Config!$E$22="Sim",$H333&amp;" · ","")&amp;$F333)</f>
        <v/>
      </c>
      <c r="N333" s="114" t="str">
        <f aca="false">IF($E333="","",IFERROR(INDEX(Config!$D$15:$D$19,MATCH($I333,Config!$C$15:$C$19,0)),"OUT")&amp;IF($K333="✓","x",""))</f>
        <v/>
      </c>
      <c r="O333" s="114" t="str">
        <f aca="false">IF($E333="","",COUNTIF($E$5:$E333,$E333))</f>
        <v/>
      </c>
      <c r="P333" s="114" t="str">
        <f aca="false">IF($E333="","",$E333*100+$O333)</f>
        <v/>
      </c>
      <c r="Q333" s="114" t="str">
        <f aca="false">IF($L333="Atrasado",$E333*10000+$A333,"")</f>
        <v/>
      </c>
    </row>
    <row r="334" customFormat="false" ht="15" hidden="false" customHeight="false" outlineLevel="0" collapsed="false">
      <c r="A334" s="114" t="n">
        <f aca="false">ROW()-4</f>
        <v>330</v>
      </c>
      <c r="B334" s="114" t="str">
        <f aca="false">IF(A334&lt;=Config!$E$27*Config!$E$28,"Tema","Avulso")</f>
        <v>Tema</v>
      </c>
      <c r="C334" s="114" t="n">
        <f aca="false">IF(B334="Tema",INT((A334-1)/Config!$E$28)+1,A334-Config!$E$27*Config!$E$28)</f>
        <v>55</v>
      </c>
      <c r="D334" s="114" t="n">
        <f aca="false">IF(B334="Tema",MOD(A334-1,Config!$E$28)+1,"")</f>
        <v>6</v>
      </c>
      <c r="E334" s="115" t="str">
        <f aca="false">IF($B334="Tema",IF(ISNUMBER(INDEX(Temas!$E$6:$P$305,$C334,2*$D334-1)),INDEX(Temas!$E$6:$P$305,$C334,2*$D334-1),""),IF(ISNUMBER(INDEX(Avulsos!$B$6:$B$205,$C334)),INDEX(Avulsos!$B$6:$B$205,$C334),""))</f>
        <v/>
      </c>
      <c r="F334" s="114" t="str">
        <f aca="false">IF($E334="","",IF($B334="Tema",INDEX(Temas!$B$6:$B$305,$C334)&amp;"",INDEX(Avulsos!$C$6:$C$205,$C334)&amp;""))</f>
        <v/>
      </c>
      <c r="G334" s="114" t="str">
        <f aca="false">IF($E334="","",IF($B334="Tema",INDEX(Config!$C$6:$C$11,$D334),"Evento avulso"))</f>
        <v/>
      </c>
      <c r="H334" s="114" t="str">
        <f aca="false">IF($E334="","",IF($B334="Tema",INDEX(Config!$D$6:$D$11,$D334),IFERROR(INDEX(Config!$E$15:$E$19,MATCH($I334,Config!$C$15:$C$19,0)),"•")))</f>
        <v/>
      </c>
      <c r="I334" s="114" t="str">
        <f aca="false">IF($E334="","",IF($B334="Tema",INDEX(Config!$E$6:$E$11,$D334),IF(INDEX(Avulsos!$D$6:$D$205,$C334)&amp;""="","Outro",INDEX(Avulsos!$D$6:$D$205,$C334))))</f>
        <v/>
      </c>
      <c r="J334" s="114" t="str">
        <f aca="false">IF($E334="","",IF($B334="Tema",INDEX(Temas!$C$6:$C$305,$C334)&amp;"",INDEX(Avulsos!$E$6:$E$205,$C334)&amp;""))</f>
        <v/>
      </c>
      <c r="K334" s="114" t="str">
        <f aca="false">IF($E334="","",IF(IF($B334="Tema",INDEX(Temas!$E$6:$P$305,$C334,2*$D334),INDEX(Avulsos!$F$6:$F$205,$C334))&amp;""="","","✓"))</f>
        <v/>
      </c>
      <c r="L334" s="114" t="str">
        <f aca="true">IF($E334="","",IF($K334="✓","Concluído",IF($E334&lt;TODAY(),"Atrasado",IF($E334=TODAY(),"Hoje","Pendente"))))</f>
        <v/>
      </c>
      <c r="M334" s="114" t="str">
        <f aca="false">IF($E334="","",IF($K334="✓","✓ ","")&amp;IF(Config!$E$22="Sim",$H334&amp;" · ","")&amp;$F334)</f>
        <v/>
      </c>
      <c r="N334" s="114" t="str">
        <f aca="false">IF($E334="","",IFERROR(INDEX(Config!$D$15:$D$19,MATCH($I334,Config!$C$15:$C$19,0)),"OUT")&amp;IF($K334="✓","x",""))</f>
        <v/>
      </c>
      <c r="O334" s="114" t="str">
        <f aca="false">IF($E334="","",COUNTIF($E$5:$E334,$E334))</f>
        <v/>
      </c>
      <c r="P334" s="114" t="str">
        <f aca="false">IF($E334="","",$E334*100+$O334)</f>
        <v/>
      </c>
      <c r="Q334" s="114" t="str">
        <f aca="false">IF($L334="Atrasado",$E334*10000+$A334,"")</f>
        <v/>
      </c>
    </row>
    <row r="335" customFormat="false" ht="15" hidden="false" customHeight="false" outlineLevel="0" collapsed="false">
      <c r="A335" s="114" t="n">
        <f aca="false">ROW()-4</f>
        <v>331</v>
      </c>
      <c r="B335" s="114" t="str">
        <f aca="false">IF(A335&lt;=Config!$E$27*Config!$E$28,"Tema","Avulso")</f>
        <v>Tema</v>
      </c>
      <c r="C335" s="114" t="n">
        <f aca="false">IF(B335="Tema",INT((A335-1)/Config!$E$28)+1,A335-Config!$E$27*Config!$E$28)</f>
        <v>56</v>
      </c>
      <c r="D335" s="114" t="n">
        <f aca="false">IF(B335="Tema",MOD(A335-1,Config!$E$28)+1,"")</f>
        <v>1</v>
      </c>
      <c r="E335" s="115" t="str">
        <f aca="false">IF($B335="Tema",IF(ISNUMBER(INDEX(Temas!$E$6:$P$305,$C335,2*$D335-1)),INDEX(Temas!$E$6:$P$305,$C335,2*$D335-1),""),IF(ISNUMBER(INDEX(Avulsos!$B$6:$B$205,$C335)),INDEX(Avulsos!$B$6:$B$205,$C335),""))</f>
        <v/>
      </c>
      <c r="F335" s="114" t="str">
        <f aca="false">IF($E335="","",IF($B335="Tema",INDEX(Temas!$B$6:$B$305,$C335)&amp;"",INDEX(Avulsos!$C$6:$C$205,$C335)&amp;""))</f>
        <v/>
      </c>
      <c r="G335" s="114" t="str">
        <f aca="false">IF($E335="","",IF($B335="Tema",INDEX(Config!$C$6:$C$11,$D335),"Evento avulso"))</f>
        <v/>
      </c>
      <c r="H335" s="114" t="str">
        <f aca="false">IF($E335="","",IF($B335="Tema",INDEX(Config!$D$6:$D$11,$D335),IFERROR(INDEX(Config!$E$15:$E$19,MATCH($I335,Config!$C$15:$C$19,0)),"•")))</f>
        <v/>
      </c>
      <c r="I335" s="114" t="str">
        <f aca="false">IF($E335="","",IF($B335="Tema",INDEX(Config!$E$6:$E$11,$D335),IF(INDEX(Avulsos!$D$6:$D$205,$C335)&amp;""="","Outro",INDEX(Avulsos!$D$6:$D$205,$C335))))</f>
        <v/>
      </c>
      <c r="J335" s="114" t="str">
        <f aca="false">IF($E335="","",IF($B335="Tema",INDEX(Temas!$C$6:$C$305,$C335)&amp;"",INDEX(Avulsos!$E$6:$E$205,$C335)&amp;""))</f>
        <v/>
      </c>
      <c r="K335" s="114" t="str">
        <f aca="false">IF($E335="","",IF(IF($B335="Tema",INDEX(Temas!$E$6:$P$305,$C335,2*$D335),INDEX(Avulsos!$F$6:$F$205,$C335))&amp;""="","","✓"))</f>
        <v/>
      </c>
      <c r="L335" s="114" t="str">
        <f aca="true">IF($E335="","",IF($K335="✓","Concluído",IF($E335&lt;TODAY(),"Atrasado",IF($E335=TODAY(),"Hoje","Pendente"))))</f>
        <v/>
      </c>
      <c r="M335" s="114" t="str">
        <f aca="false">IF($E335="","",IF($K335="✓","✓ ","")&amp;IF(Config!$E$22="Sim",$H335&amp;" · ","")&amp;$F335)</f>
        <v/>
      </c>
      <c r="N335" s="114" t="str">
        <f aca="false">IF($E335="","",IFERROR(INDEX(Config!$D$15:$D$19,MATCH($I335,Config!$C$15:$C$19,0)),"OUT")&amp;IF($K335="✓","x",""))</f>
        <v/>
      </c>
      <c r="O335" s="114" t="str">
        <f aca="false">IF($E335="","",COUNTIF($E$5:$E335,$E335))</f>
        <v/>
      </c>
      <c r="P335" s="114" t="str">
        <f aca="false">IF($E335="","",$E335*100+$O335)</f>
        <v/>
      </c>
      <c r="Q335" s="114" t="str">
        <f aca="false">IF($L335="Atrasado",$E335*10000+$A335,"")</f>
        <v/>
      </c>
    </row>
    <row r="336" customFormat="false" ht="15" hidden="false" customHeight="false" outlineLevel="0" collapsed="false">
      <c r="A336" s="114" t="n">
        <f aca="false">ROW()-4</f>
        <v>332</v>
      </c>
      <c r="B336" s="114" t="str">
        <f aca="false">IF(A336&lt;=Config!$E$27*Config!$E$28,"Tema","Avulso")</f>
        <v>Tema</v>
      </c>
      <c r="C336" s="114" t="n">
        <f aca="false">IF(B336="Tema",INT((A336-1)/Config!$E$28)+1,A336-Config!$E$27*Config!$E$28)</f>
        <v>56</v>
      </c>
      <c r="D336" s="114" t="n">
        <f aca="false">IF(B336="Tema",MOD(A336-1,Config!$E$28)+1,"")</f>
        <v>2</v>
      </c>
      <c r="E336" s="115" t="str">
        <f aca="false">IF($B336="Tema",IF(ISNUMBER(INDEX(Temas!$E$6:$P$305,$C336,2*$D336-1)),INDEX(Temas!$E$6:$P$305,$C336,2*$D336-1),""),IF(ISNUMBER(INDEX(Avulsos!$B$6:$B$205,$C336)),INDEX(Avulsos!$B$6:$B$205,$C336),""))</f>
        <v/>
      </c>
      <c r="F336" s="114" t="str">
        <f aca="false">IF($E336="","",IF($B336="Tema",INDEX(Temas!$B$6:$B$305,$C336)&amp;"",INDEX(Avulsos!$C$6:$C$205,$C336)&amp;""))</f>
        <v/>
      </c>
      <c r="G336" s="114" t="str">
        <f aca="false">IF($E336="","",IF($B336="Tema",INDEX(Config!$C$6:$C$11,$D336),"Evento avulso"))</f>
        <v/>
      </c>
      <c r="H336" s="114" t="str">
        <f aca="false">IF($E336="","",IF($B336="Tema",INDEX(Config!$D$6:$D$11,$D336),IFERROR(INDEX(Config!$E$15:$E$19,MATCH($I336,Config!$C$15:$C$19,0)),"•")))</f>
        <v/>
      </c>
      <c r="I336" s="114" t="str">
        <f aca="false">IF($E336="","",IF($B336="Tema",INDEX(Config!$E$6:$E$11,$D336),IF(INDEX(Avulsos!$D$6:$D$205,$C336)&amp;""="","Outro",INDEX(Avulsos!$D$6:$D$205,$C336))))</f>
        <v/>
      </c>
      <c r="J336" s="114" t="str">
        <f aca="false">IF($E336="","",IF($B336="Tema",INDEX(Temas!$C$6:$C$305,$C336)&amp;"",INDEX(Avulsos!$E$6:$E$205,$C336)&amp;""))</f>
        <v/>
      </c>
      <c r="K336" s="114" t="str">
        <f aca="false">IF($E336="","",IF(IF($B336="Tema",INDEX(Temas!$E$6:$P$305,$C336,2*$D336),INDEX(Avulsos!$F$6:$F$205,$C336))&amp;""="","","✓"))</f>
        <v/>
      </c>
      <c r="L336" s="114" t="str">
        <f aca="true">IF($E336="","",IF($K336="✓","Concluído",IF($E336&lt;TODAY(),"Atrasado",IF($E336=TODAY(),"Hoje","Pendente"))))</f>
        <v/>
      </c>
      <c r="M336" s="114" t="str">
        <f aca="false">IF($E336="","",IF($K336="✓","✓ ","")&amp;IF(Config!$E$22="Sim",$H336&amp;" · ","")&amp;$F336)</f>
        <v/>
      </c>
      <c r="N336" s="114" t="str">
        <f aca="false">IF($E336="","",IFERROR(INDEX(Config!$D$15:$D$19,MATCH($I336,Config!$C$15:$C$19,0)),"OUT")&amp;IF($K336="✓","x",""))</f>
        <v/>
      </c>
      <c r="O336" s="114" t="str">
        <f aca="false">IF($E336="","",COUNTIF($E$5:$E336,$E336))</f>
        <v/>
      </c>
      <c r="P336" s="114" t="str">
        <f aca="false">IF($E336="","",$E336*100+$O336)</f>
        <v/>
      </c>
      <c r="Q336" s="114" t="str">
        <f aca="false">IF($L336="Atrasado",$E336*10000+$A336,"")</f>
        <v/>
      </c>
    </row>
    <row r="337" customFormat="false" ht="15" hidden="false" customHeight="false" outlineLevel="0" collapsed="false">
      <c r="A337" s="114" t="n">
        <f aca="false">ROW()-4</f>
        <v>333</v>
      </c>
      <c r="B337" s="114" t="str">
        <f aca="false">IF(A337&lt;=Config!$E$27*Config!$E$28,"Tema","Avulso")</f>
        <v>Tema</v>
      </c>
      <c r="C337" s="114" t="n">
        <f aca="false">IF(B337="Tema",INT((A337-1)/Config!$E$28)+1,A337-Config!$E$27*Config!$E$28)</f>
        <v>56</v>
      </c>
      <c r="D337" s="114" t="n">
        <f aca="false">IF(B337="Tema",MOD(A337-1,Config!$E$28)+1,"")</f>
        <v>3</v>
      </c>
      <c r="E337" s="115" t="str">
        <f aca="false">IF($B337="Tema",IF(ISNUMBER(INDEX(Temas!$E$6:$P$305,$C337,2*$D337-1)),INDEX(Temas!$E$6:$P$305,$C337,2*$D337-1),""),IF(ISNUMBER(INDEX(Avulsos!$B$6:$B$205,$C337)),INDEX(Avulsos!$B$6:$B$205,$C337),""))</f>
        <v/>
      </c>
      <c r="F337" s="114" t="str">
        <f aca="false">IF($E337="","",IF($B337="Tema",INDEX(Temas!$B$6:$B$305,$C337)&amp;"",INDEX(Avulsos!$C$6:$C$205,$C337)&amp;""))</f>
        <v/>
      </c>
      <c r="G337" s="114" t="str">
        <f aca="false">IF($E337="","",IF($B337="Tema",INDEX(Config!$C$6:$C$11,$D337),"Evento avulso"))</f>
        <v/>
      </c>
      <c r="H337" s="114" t="str">
        <f aca="false">IF($E337="","",IF($B337="Tema",INDEX(Config!$D$6:$D$11,$D337),IFERROR(INDEX(Config!$E$15:$E$19,MATCH($I337,Config!$C$15:$C$19,0)),"•")))</f>
        <v/>
      </c>
      <c r="I337" s="114" t="str">
        <f aca="false">IF($E337="","",IF($B337="Tema",INDEX(Config!$E$6:$E$11,$D337),IF(INDEX(Avulsos!$D$6:$D$205,$C337)&amp;""="","Outro",INDEX(Avulsos!$D$6:$D$205,$C337))))</f>
        <v/>
      </c>
      <c r="J337" s="114" t="str">
        <f aca="false">IF($E337="","",IF($B337="Tema",INDEX(Temas!$C$6:$C$305,$C337)&amp;"",INDEX(Avulsos!$E$6:$E$205,$C337)&amp;""))</f>
        <v/>
      </c>
      <c r="K337" s="114" t="str">
        <f aca="false">IF($E337="","",IF(IF($B337="Tema",INDEX(Temas!$E$6:$P$305,$C337,2*$D337),INDEX(Avulsos!$F$6:$F$205,$C337))&amp;""="","","✓"))</f>
        <v/>
      </c>
      <c r="L337" s="114" t="str">
        <f aca="true">IF($E337="","",IF($K337="✓","Concluído",IF($E337&lt;TODAY(),"Atrasado",IF($E337=TODAY(),"Hoje","Pendente"))))</f>
        <v/>
      </c>
      <c r="M337" s="114" t="str">
        <f aca="false">IF($E337="","",IF($K337="✓","✓ ","")&amp;IF(Config!$E$22="Sim",$H337&amp;" · ","")&amp;$F337)</f>
        <v/>
      </c>
      <c r="N337" s="114" t="str">
        <f aca="false">IF($E337="","",IFERROR(INDEX(Config!$D$15:$D$19,MATCH($I337,Config!$C$15:$C$19,0)),"OUT")&amp;IF($K337="✓","x",""))</f>
        <v/>
      </c>
      <c r="O337" s="114" t="str">
        <f aca="false">IF($E337="","",COUNTIF($E$5:$E337,$E337))</f>
        <v/>
      </c>
      <c r="P337" s="114" t="str">
        <f aca="false">IF($E337="","",$E337*100+$O337)</f>
        <v/>
      </c>
      <c r="Q337" s="114" t="str">
        <f aca="false">IF($L337="Atrasado",$E337*10000+$A337,"")</f>
        <v/>
      </c>
    </row>
    <row r="338" customFormat="false" ht="15" hidden="false" customHeight="false" outlineLevel="0" collapsed="false">
      <c r="A338" s="114" t="n">
        <f aca="false">ROW()-4</f>
        <v>334</v>
      </c>
      <c r="B338" s="114" t="str">
        <f aca="false">IF(A338&lt;=Config!$E$27*Config!$E$28,"Tema","Avulso")</f>
        <v>Tema</v>
      </c>
      <c r="C338" s="114" t="n">
        <f aca="false">IF(B338="Tema",INT((A338-1)/Config!$E$28)+1,A338-Config!$E$27*Config!$E$28)</f>
        <v>56</v>
      </c>
      <c r="D338" s="114" t="n">
        <f aca="false">IF(B338="Tema",MOD(A338-1,Config!$E$28)+1,"")</f>
        <v>4</v>
      </c>
      <c r="E338" s="115" t="str">
        <f aca="false">IF($B338="Tema",IF(ISNUMBER(INDEX(Temas!$E$6:$P$305,$C338,2*$D338-1)),INDEX(Temas!$E$6:$P$305,$C338,2*$D338-1),""),IF(ISNUMBER(INDEX(Avulsos!$B$6:$B$205,$C338)),INDEX(Avulsos!$B$6:$B$205,$C338),""))</f>
        <v/>
      </c>
      <c r="F338" s="114" t="str">
        <f aca="false">IF($E338="","",IF($B338="Tema",INDEX(Temas!$B$6:$B$305,$C338)&amp;"",INDEX(Avulsos!$C$6:$C$205,$C338)&amp;""))</f>
        <v/>
      </c>
      <c r="G338" s="114" t="str">
        <f aca="false">IF($E338="","",IF($B338="Tema",INDEX(Config!$C$6:$C$11,$D338),"Evento avulso"))</f>
        <v/>
      </c>
      <c r="H338" s="114" t="str">
        <f aca="false">IF($E338="","",IF($B338="Tema",INDEX(Config!$D$6:$D$11,$D338),IFERROR(INDEX(Config!$E$15:$E$19,MATCH($I338,Config!$C$15:$C$19,0)),"•")))</f>
        <v/>
      </c>
      <c r="I338" s="114" t="str">
        <f aca="false">IF($E338="","",IF($B338="Tema",INDEX(Config!$E$6:$E$11,$D338),IF(INDEX(Avulsos!$D$6:$D$205,$C338)&amp;""="","Outro",INDEX(Avulsos!$D$6:$D$205,$C338))))</f>
        <v/>
      </c>
      <c r="J338" s="114" t="str">
        <f aca="false">IF($E338="","",IF($B338="Tema",INDEX(Temas!$C$6:$C$305,$C338)&amp;"",INDEX(Avulsos!$E$6:$E$205,$C338)&amp;""))</f>
        <v/>
      </c>
      <c r="K338" s="114" t="str">
        <f aca="false">IF($E338="","",IF(IF($B338="Tema",INDEX(Temas!$E$6:$P$305,$C338,2*$D338),INDEX(Avulsos!$F$6:$F$205,$C338))&amp;""="","","✓"))</f>
        <v/>
      </c>
      <c r="L338" s="114" t="str">
        <f aca="true">IF($E338="","",IF($K338="✓","Concluído",IF($E338&lt;TODAY(),"Atrasado",IF($E338=TODAY(),"Hoje","Pendente"))))</f>
        <v/>
      </c>
      <c r="M338" s="114" t="str">
        <f aca="false">IF($E338="","",IF($K338="✓","✓ ","")&amp;IF(Config!$E$22="Sim",$H338&amp;" · ","")&amp;$F338)</f>
        <v/>
      </c>
      <c r="N338" s="114" t="str">
        <f aca="false">IF($E338="","",IFERROR(INDEX(Config!$D$15:$D$19,MATCH($I338,Config!$C$15:$C$19,0)),"OUT")&amp;IF($K338="✓","x",""))</f>
        <v/>
      </c>
      <c r="O338" s="114" t="str">
        <f aca="false">IF($E338="","",COUNTIF($E$5:$E338,$E338))</f>
        <v/>
      </c>
      <c r="P338" s="114" t="str">
        <f aca="false">IF($E338="","",$E338*100+$O338)</f>
        <v/>
      </c>
      <c r="Q338" s="114" t="str">
        <f aca="false">IF($L338="Atrasado",$E338*10000+$A338,"")</f>
        <v/>
      </c>
    </row>
    <row r="339" customFormat="false" ht="15" hidden="false" customHeight="false" outlineLevel="0" collapsed="false">
      <c r="A339" s="114" t="n">
        <f aca="false">ROW()-4</f>
        <v>335</v>
      </c>
      <c r="B339" s="114" t="str">
        <f aca="false">IF(A339&lt;=Config!$E$27*Config!$E$28,"Tema","Avulso")</f>
        <v>Tema</v>
      </c>
      <c r="C339" s="114" t="n">
        <f aca="false">IF(B339="Tema",INT((A339-1)/Config!$E$28)+1,A339-Config!$E$27*Config!$E$28)</f>
        <v>56</v>
      </c>
      <c r="D339" s="114" t="n">
        <f aca="false">IF(B339="Tema",MOD(A339-1,Config!$E$28)+1,"")</f>
        <v>5</v>
      </c>
      <c r="E339" s="115" t="str">
        <f aca="false">IF($B339="Tema",IF(ISNUMBER(INDEX(Temas!$E$6:$P$305,$C339,2*$D339-1)),INDEX(Temas!$E$6:$P$305,$C339,2*$D339-1),""),IF(ISNUMBER(INDEX(Avulsos!$B$6:$B$205,$C339)),INDEX(Avulsos!$B$6:$B$205,$C339),""))</f>
        <v/>
      </c>
      <c r="F339" s="114" t="str">
        <f aca="false">IF($E339="","",IF($B339="Tema",INDEX(Temas!$B$6:$B$305,$C339)&amp;"",INDEX(Avulsos!$C$6:$C$205,$C339)&amp;""))</f>
        <v/>
      </c>
      <c r="G339" s="114" t="str">
        <f aca="false">IF($E339="","",IF($B339="Tema",INDEX(Config!$C$6:$C$11,$D339),"Evento avulso"))</f>
        <v/>
      </c>
      <c r="H339" s="114" t="str">
        <f aca="false">IF($E339="","",IF($B339="Tema",INDEX(Config!$D$6:$D$11,$D339),IFERROR(INDEX(Config!$E$15:$E$19,MATCH($I339,Config!$C$15:$C$19,0)),"•")))</f>
        <v/>
      </c>
      <c r="I339" s="114" t="str">
        <f aca="false">IF($E339="","",IF($B339="Tema",INDEX(Config!$E$6:$E$11,$D339),IF(INDEX(Avulsos!$D$6:$D$205,$C339)&amp;""="","Outro",INDEX(Avulsos!$D$6:$D$205,$C339))))</f>
        <v/>
      </c>
      <c r="J339" s="114" t="str">
        <f aca="false">IF($E339="","",IF($B339="Tema",INDEX(Temas!$C$6:$C$305,$C339)&amp;"",INDEX(Avulsos!$E$6:$E$205,$C339)&amp;""))</f>
        <v/>
      </c>
      <c r="K339" s="114" t="str">
        <f aca="false">IF($E339="","",IF(IF($B339="Tema",INDEX(Temas!$E$6:$P$305,$C339,2*$D339),INDEX(Avulsos!$F$6:$F$205,$C339))&amp;""="","","✓"))</f>
        <v/>
      </c>
      <c r="L339" s="114" t="str">
        <f aca="true">IF($E339="","",IF($K339="✓","Concluído",IF($E339&lt;TODAY(),"Atrasado",IF($E339=TODAY(),"Hoje","Pendente"))))</f>
        <v/>
      </c>
      <c r="M339" s="114" t="str">
        <f aca="false">IF($E339="","",IF($K339="✓","✓ ","")&amp;IF(Config!$E$22="Sim",$H339&amp;" · ","")&amp;$F339)</f>
        <v/>
      </c>
      <c r="N339" s="114" t="str">
        <f aca="false">IF($E339="","",IFERROR(INDEX(Config!$D$15:$D$19,MATCH($I339,Config!$C$15:$C$19,0)),"OUT")&amp;IF($K339="✓","x",""))</f>
        <v/>
      </c>
      <c r="O339" s="114" t="str">
        <f aca="false">IF($E339="","",COUNTIF($E$5:$E339,$E339))</f>
        <v/>
      </c>
      <c r="P339" s="114" t="str">
        <f aca="false">IF($E339="","",$E339*100+$O339)</f>
        <v/>
      </c>
      <c r="Q339" s="114" t="str">
        <f aca="false">IF($L339="Atrasado",$E339*10000+$A339,"")</f>
        <v/>
      </c>
    </row>
    <row r="340" customFormat="false" ht="15" hidden="false" customHeight="false" outlineLevel="0" collapsed="false">
      <c r="A340" s="114" t="n">
        <f aca="false">ROW()-4</f>
        <v>336</v>
      </c>
      <c r="B340" s="114" t="str">
        <f aca="false">IF(A340&lt;=Config!$E$27*Config!$E$28,"Tema","Avulso")</f>
        <v>Tema</v>
      </c>
      <c r="C340" s="114" t="n">
        <f aca="false">IF(B340="Tema",INT((A340-1)/Config!$E$28)+1,A340-Config!$E$27*Config!$E$28)</f>
        <v>56</v>
      </c>
      <c r="D340" s="114" t="n">
        <f aca="false">IF(B340="Tema",MOD(A340-1,Config!$E$28)+1,"")</f>
        <v>6</v>
      </c>
      <c r="E340" s="115" t="str">
        <f aca="false">IF($B340="Tema",IF(ISNUMBER(INDEX(Temas!$E$6:$P$305,$C340,2*$D340-1)),INDEX(Temas!$E$6:$P$305,$C340,2*$D340-1),""),IF(ISNUMBER(INDEX(Avulsos!$B$6:$B$205,$C340)),INDEX(Avulsos!$B$6:$B$205,$C340),""))</f>
        <v/>
      </c>
      <c r="F340" s="114" t="str">
        <f aca="false">IF($E340="","",IF($B340="Tema",INDEX(Temas!$B$6:$B$305,$C340)&amp;"",INDEX(Avulsos!$C$6:$C$205,$C340)&amp;""))</f>
        <v/>
      </c>
      <c r="G340" s="114" t="str">
        <f aca="false">IF($E340="","",IF($B340="Tema",INDEX(Config!$C$6:$C$11,$D340),"Evento avulso"))</f>
        <v/>
      </c>
      <c r="H340" s="114" t="str">
        <f aca="false">IF($E340="","",IF($B340="Tema",INDEX(Config!$D$6:$D$11,$D340),IFERROR(INDEX(Config!$E$15:$E$19,MATCH($I340,Config!$C$15:$C$19,0)),"•")))</f>
        <v/>
      </c>
      <c r="I340" s="114" t="str">
        <f aca="false">IF($E340="","",IF($B340="Tema",INDEX(Config!$E$6:$E$11,$D340),IF(INDEX(Avulsos!$D$6:$D$205,$C340)&amp;""="","Outro",INDEX(Avulsos!$D$6:$D$205,$C340))))</f>
        <v/>
      </c>
      <c r="J340" s="114" t="str">
        <f aca="false">IF($E340="","",IF($B340="Tema",INDEX(Temas!$C$6:$C$305,$C340)&amp;"",INDEX(Avulsos!$E$6:$E$205,$C340)&amp;""))</f>
        <v/>
      </c>
      <c r="K340" s="114" t="str">
        <f aca="false">IF($E340="","",IF(IF($B340="Tema",INDEX(Temas!$E$6:$P$305,$C340,2*$D340),INDEX(Avulsos!$F$6:$F$205,$C340))&amp;""="","","✓"))</f>
        <v/>
      </c>
      <c r="L340" s="114" t="str">
        <f aca="true">IF($E340="","",IF($K340="✓","Concluído",IF($E340&lt;TODAY(),"Atrasado",IF($E340=TODAY(),"Hoje","Pendente"))))</f>
        <v/>
      </c>
      <c r="M340" s="114" t="str">
        <f aca="false">IF($E340="","",IF($K340="✓","✓ ","")&amp;IF(Config!$E$22="Sim",$H340&amp;" · ","")&amp;$F340)</f>
        <v/>
      </c>
      <c r="N340" s="114" t="str">
        <f aca="false">IF($E340="","",IFERROR(INDEX(Config!$D$15:$D$19,MATCH($I340,Config!$C$15:$C$19,0)),"OUT")&amp;IF($K340="✓","x",""))</f>
        <v/>
      </c>
      <c r="O340" s="114" t="str">
        <f aca="false">IF($E340="","",COUNTIF($E$5:$E340,$E340))</f>
        <v/>
      </c>
      <c r="P340" s="114" t="str">
        <f aca="false">IF($E340="","",$E340*100+$O340)</f>
        <v/>
      </c>
      <c r="Q340" s="114" t="str">
        <f aca="false">IF($L340="Atrasado",$E340*10000+$A340,"")</f>
        <v/>
      </c>
    </row>
    <row r="341" customFormat="false" ht="15" hidden="false" customHeight="false" outlineLevel="0" collapsed="false">
      <c r="A341" s="114" t="n">
        <f aca="false">ROW()-4</f>
        <v>337</v>
      </c>
      <c r="B341" s="114" t="str">
        <f aca="false">IF(A341&lt;=Config!$E$27*Config!$E$28,"Tema","Avulso")</f>
        <v>Tema</v>
      </c>
      <c r="C341" s="114" t="n">
        <f aca="false">IF(B341="Tema",INT((A341-1)/Config!$E$28)+1,A341-Config!$E$27*Config!$E$28)</f>
        <v>57</v>
      </c>
      <c r="D341" s="114" t="n">
        <f aca="false">IF(B341="Tema",MOD(A341-1,Config!$E$28)+1,"")</f>
        <v>1</v>
      </c>
      <c r="E341" s="115" t="str">
        <f aca="false">IF($B341="Tema",IF(ISNUMBER(INDEX(Temas!$E$6:$P$305,$C341,2*$D341-1)),INDEX(Temas!$E$6:$P$305,$C341,2*$D341-1),""),IF(ISNUMBER(INDEX(Avulsos!$B$6:$B$205,$C341)),INDEX(Avulsos!$B$6:$B$205,$C341),""))</f>
        <v/>
      </c>
      <c r="F341" s="114" t="str">
        <f aca="false">IF($E341="","",IF($B341="Tema",INDEX(Temas!$B$6:$B$305,$C341)&amp;"",INDEX(Avulsos!$C$6:$C$205,$C341)&amp;""))</f>
        <v/>
      </c>
      <c r="G341" s="114" t="str">
        <f aca="false">IF($E341="","",IF($B341="Tema",INDEX(Config!$C$6:$C$11,$D341),"Evento avulso"))</f>
        <v/>
      </c>
      <c r="H341" s="114" t="str">
        <f aca="false">IF($E341="","",IF($B341="Tema",INDEX(Config!$D$6:$D$11,$D341),IFERROR(INDEX(Config!$E$15:$E$19,MATCH($I341,Config!$C$15:$C$19,0)),"•")))</f>
        <v/>
      </c>
      <c r="I341" s="114" t="str">
        <f aca="false">IF($E341="","",IF($B341="Tema",INDEX(Config!$E$6:$E$11,$D341),IF(INDEX(Avulsos!$D$6:$D$205,$C341)&amp;""="","Outro",INDEX(Avulsos!$D$6:$D$205,$C341))))</f>
        <v/>
      </c>
      <c r="J341" s="114" t="str">
        <f aca="false">IF($E341="","",IF($B341="Tema",INDEX(Temas!$C$6:$C$305,$C341)&amp;"",INDEX(Avulsos!$E$6:$E$205,$C341)&amp;""))</f>
        <v/>
      </c>
      <c r="K341" s="114" t="str">
        <f aca="false">IF($E341="","",IF(IF($B341="Tema",INDEX(Temas!$E$6:$P$305,$C341,2*$D341),INDEX(Avulsos!$F$6:$F$205,$C341))&amp;""="","","✓"))</f>
        <v/>
      </c>
      <c r="L341" s="114" t="str">
        <f aca="true">IF($E341="","",IF($K341="✓","Concluído",IF($E341&lt;TODAY(),"Atrasado",IF($E341=TODAY(),"Hoje","Pendente"))))</f>
        <v/>
      </c>
      <c r="M341" s="114" t="str">
        <f aca="false">IF($E341="","",IF($K341="✓","✓ ","")&amp;IF(Config!$E$22="Sim",$H341&amp;" · ","")&amp;$F341)</f>
        <v/>
      </c>
      <c r="N341" s="114" t="str">
        <f aca="false">IF($E341="","",IFERROR(INDEX(Config!$D$15:$D$19,MATCH($I341,Config!$C$15:$C$19,0)),"OUT")&amp;IF($K341="✓","x",""))</f>
        <v/>
      </c>
      <c r="O341" s="114" t="str">
        <f aca="false">IF($E341="","",COUNTIF($E$5:$E341,$E341))</f>
        <v/>
      </c>
      <c r="P341" s="114" t="str">
        <f aca="false">IF($E341="","",$E341*100+$O341)</f>
        <v/>
      </c>
      <c r="Q341" s="114" t="str">
        <f aca="false">IF($L341="Atrasado",$E341*10000+$A341,"")</f>
        <v/>
      </c>
    </row>
    <row r="342" customFormat="false" ht="15" hidden="false" customHeight="false" outlineLevel="0" collapsed="false">
      <c r="A342" s="114" t="n">
        <f aca="false">ROW()-4</f>
        <v>338</v>
      </c>
      <c r="B342" s="114" t="str">
        <f aca="false">IF(A342&lt;=Config!$E$27*Config!$E$28,"Tema","Avulso")</f>
        <v>Tema</v>
      </c>
      <c r="C342" s="114" t="n">
        <f aca="false">IF(B342="Tema",INT((A342-1)/Config!$E$28)+1,A342-Config!$E$27*Config!$E$28)</f>
        <v>57</v>
      </c>
      <c r="D342" s="114" t="n">
        <f aca="false">IF(B342="Tema",MOD(A342-1,Config!$E$28)+1,"")</f>
        <v>2</v>
      </c>
      <c r="E342" s="115" t="str">
        <f aca="false">IF($B342="Tema",IF(ISNUMBER(INDEX(Temas!$E$6:$P$305,$C342,2*$D342-1)),INDEX(Temas!$E$6:$P$305,$C342,2*$D342-1),""),IF(ISNUMBER(INDEX(Avulsos!$B$6:$B$205,$C342)),INDEX(Avulsos!$B$6:$B$205,$C342),""))</f>
        <v/>
      </c>
      <c r="F342" s="114" t="str">
        <f aca="false">IF($E342="","",IF($B342="Tema",INDEX(Temas!$B$6:$B$305,$C342)&amp;"",INDEX(Avulsos!$C$6:$C$205,$C342)&amp;""))</f>
        <v/>
      </c>
      <c r="G342" s="114" t="str">
        <f aca="false">IF($E342="","",IF($B342="Tema",INDEX(Config!$C$6:$C$11,$D342),"Evento avulso"))</f>
        <v/>
      </c>
      <c r="H342" s="114" t="str">
        <f aca="false">IF($E342="","",IF($B342="Tema",INDEX(Config!$D$6:$D$11,$D342),IFERROR(INDEX(Config!$E$15:$E$19,MATCH($I342,Config!$C$15:$C$19,0)),"•")))</f>
        <v/>
      </c>
      <c r="I342" s="114" t="str">
        <f aca="false">IF($E342="","",IF($B342="Tema",INDEX(Config!$E$6:$E$11,$D342),IF(INDEX(Avulsos!$D$6:$D$205,$C342)&amp;""="","Outro",INDEX(Avulsos!$D$6:$D$205,$C342))))</f>
        <v/>
      </c>
      <c r="J342" s="114" t="str">
        <f aca="false">IF($E342="","",IF($B342="Tema",INDEX(Temas!$C$6:$C$305,$C342)&amp;"",INDEX(Avulsos!$E$6:$E$205,$C342)&amp;""))</f>
        <v/>
      </c>
      <c r="K342" s="114" t="str">
        <f aca="false">IF($E342="","",IF(IF($B342="Tema",INDEX(Temas!$E$6:$P$305,$C342,2*$D342),INDEX(Avulsos!$F$6:$F$205,$C342))&amp;""="","","✓"))</f>
        <v/>
      </c>
      <c r="L342" s="114" t="str">
        <f aca="true">IF($E342="","",IF($K342="✓","Concluído",IF($E342&lt;TODAY(),"Atrasado",IF($E342=TODAY(),"Hoje","Pendente"))))</f>
        <v/>
      </c>
      <c r="M342" s="114" t="str">
        <f aca="false">IF($E342="","",IF($K342="✓","✓ ","")&amp;IF(Config!$E$22="Sim",$H342&amp;" · ","")&amp;$F342)</f>
        <v/>
      </c>
      <c r="N342" s="114" t="str">
        <f aca="false">IF($E342="","",IFERROR(INDEX(Config!$D$15:$D$19,MATCH($I342,Config!$C$15:$C$19,0)),"OUT")&amp;IF($K342="✓","x",""))</f>
        <v/>
      </c>
      <c r="O342" s="114" t="str">
        <f aca="false">IF($E342="","",COUNTIF($E$5:$E342,$E342))</f>
        <v/>
      </c>
      <c r="P342" s="114" t="str">
        <f aca="false">IF($E342="","",$E342*100+$O342)</f>
        <v/>
      </c>
      <c r="Q342" s="114" t="str">
        <f aca="false">IF($L342="Atrasado",$E342*10000+$A342,"")</f>
        <v/>
      </c>
    </row>
    <row r="343" customFormat="false" ht="15" hidden="false" customHeight="false" outlineLevel="0" collapsed="false">
      <c r="A343" s="114" t="n">
        <f aca="false">ROW()-4</f>
        <v>339</v>
      </c>
      <c r="B343" s="114" t="str">
        <f aca="false">IF(A343&lt;=Config!$E$27*Config!$E$28,"Tema","Avulso")</f>
        <v>Tema</v>
      </c>
      <c r="C343" s="114" t="n">
        <f aca="false">IF(B343="Tema",INT((A343-1)/Config!$E$28)+1,A343-Config!$E$27*Config!$E$28)</f>
        <v>57</v>
      </c>
      <c r="D343" s="114" t="n">
        <f aca="false">IF(B343="Tema",MOD(A343-1,Config!$E$28)+1,"")</f>
        <v>3</v>
      </c>
      <c r="E343" s="115" t="str">
        <f aca="false">IF($B343="Tema",IF(ISNUMBER(INDEX(Temas!$E$6:$P$305,$C343,2*$D343-1)),INDEX(Temas!$E$6:$P$305,$C343,2*$D343-1),""),IF(ISNUMBER(INDEX(Avulsos!$B$6:$B$205,$C343)),INDEX(Avulsos!$B$6:$B$205,$C343),""))</f>
        <v/>
      </c>
      <c r="F343" s="114" t="str">
        <f aca="false">IF($E343="","",IF($B343="Tema",INDEX(Temas!$B$6:$B$305,$C343)&amp;"",INDEX(Avulsos!$C$6:$C$205,$C343)&amp;""))</f>
        <v/>
      </c>
      <c r="G343" s="114" t="str">
        <f aca="false">IF($E343="","",IF($B343="Tema",INDEX(Config!$C$6:$C$11,$D343),"Evento avulso"))</f>
        <v/>
      </c>
      <c r="H343" s="114" t="str">
        <f aca="false">IF($E343="","",IF($B343="Tema",INDEX(Config!$D$6:$D$11,$D343),IFERROR(INDEX(Config!$E$15:$E$19,MATCH($I343,Config!$C$15:$C$19,0)),"•")))</f>
        <v/>
      </c>
      <c r="I343" s="114" t="str">
        <f aca="false">IF($E343="","",IF($B343="Tema",INDEX(Config!$E$6:$E$11,$D343),IF(INDEX(Avulsos!$D$6:$D$205,$C343)&amp;""="","Outro",INDEX(Avulsos!$D$6:$D$205,$C343))))</f>
        <v/>
      </c>
      <c r="J343" s="114" t="str">
        <f aca="false">IF($E343="","",IF($B343="Tema",INDEX(Temas!$C$6:$C$305,$C343)&amp;"",INDEX(Avulsos!$E$6:$E$205,$C343)&amp;""))</f>
        <v/>
      </c>
      <c r="K343" s="114" t="str">
        <f aca="false">IF($E343="","",IF(IF($B343="Tema",INDEX(Temas!$E$6:$P$305,$C343,2*$D343),INDEX(Avulsos!$F$6:$F$205,$C343))&amp;""="","","✓"))</f>
        <v/>
      </c>
      <c r="L343" s="114" t="str">
        <f aca="true">IF($E343="","",IF($K343="✓","Concluído",IF($E343&lt;TODAY(),"Atrasado",IF($E343=TODAY(),"Hoje","Pendente"))))</f>
        <v/>
      </c>
      <c r="M343" s="114" t="str">
        <f aca="false">IF($E343="","",IF($K343="✓","✓ ","")&amp;IF(Config!$E$22="Sim",$H343&amp;" · ","")&amp;$F343)</f>
        <v/>
      </c>
      <c r="N343" s="114" t="str">
        <f aca="false">IF($E343="","",IFERROR(INDEX(Config!$D$15:$D$19,MATCH($I343,Config!$C$15:$C$19,0)),"OUT")&amp;IF($K343="✓","x",""))</f>
        <v/>
      </c>
      <c r="O343" s="114" t="str">
        <f aca="false">IF($E343="","",COUNTIF($E$5:$E343,$E343))</f>
        <v/>
      </c>
      <c r="P343" s="114" t="str">
        <f aca="false">IF($E343="","",$E343*100+$O343)</f>
        <v/>
      </c>
      <c r="Q343" s="114" t="str">
        <f aca="false">IF($L343="Atrasado",$E343*10000+$A343,"")</f>
        <v/>
      </c>
    </row>
    <row r="344" customFormat="false" ht="15" hidden="false" customHeight="false" outlineLevel="0" collapsed="false">
      <c r="A344" s="114" t="n">
        <f aca="false">ROW()-4</f>
        <v>340</v>
      </c>
      <c r="B344" s="114" t="str">
        <f aca="false">IF(A344&lt;=Config!$E$27*Config!$E$28,"Tema","Avulso")</f>
        <v>Tema</v>
      </c>
      <c r="C344" s="114" t="n">
        <f aca="false">IF(B344="Tema",INT((A344-1)/Config!$E$28)+1,A344-Config!$E$27*Config!$E$28)</f>
        <v>57</v>
      </c>
      <c r="D344" s="114" t="n">
        <f aca="false">IF(B344="Tema",MOD(A344-1,Config!$E$28)+1,"")</f>
        <v>4</v>
      </c>
      <c r="E344" s="115" t="str">
        <f aca="false">IF($B344="Tema",IF(ISNUMBER(INDEX(Temas!$E$6:$P$305,$C344,2*$D344-1)),INDEX(Temas!$E$6:$P$305,$C344,2*$D344-1),""),IF(ISNUMBER(INDEX(Avulsos!$B$6:$B$205,$C344)),INDEX(Avulsos!$B$6:$B$205,$C344),""))</f>
        <v/>
      </c>
      <c r="F344" s="114" t="str">
        <f aca="false">IF($E344="","",IF($B344="Tema",INDEX(Temas!$B$6:$B$305,$C344)&amp;"",INDEX(Avulsos!$C$6:$C$205,$C344)&amp;""))</f>
        <v/>
      </c>
      <c r="G344" s="114" t="str">
        <f aca="false">IF($E344="","",IF($B344="Tema",INDEX(Config!$C$6:$C$11,$D344),"Evento avulso"))</f>
        <v/>
      </c>
      <c r="H344" s="114" t="str">
        <f aca="false">IF($E344="","",IF($B344="Tema",INDEX(Config!$D$6:$D$11,$D344),IFERROR(INDEX(Config!$E$15:$E$19,MATCH($I344,Config!$C$15:$C$19,0)),"•")))</f>
        <v/>
      </c>
      <c r="I344" s="114" t="str">
        <f aca="false">IF($E344="","",IF($B344="Tema",INDEX(Config!$E$6:$E$11,$D344),IF(INDEX(Avulsos!$D$6:$D$205,$C344)&amp;""="","Outro",INDEX(Avulsos!$D$6:$D$205,$C344))))</f>
        <v/>
      </c>
      <c r="J344" s="114" t="str">
        <f aca="false">IF($E344="","",IF($B344="Tema",INDEX(Temas!$C$6:$C$305,$C344)&amp;"",INDEX(Avulsos!$E$6:$E$205,$C344)&amp;""))</f>
        <v/>
      </c>
      <c r="K344" s="114" t="str">
        <f aca="false">IF($E344="","",IF(IF($B344="Tema",INDEX(Temas!$E$6:$P$305,$C344,2*$D344),INDEX(Avulsos!$F$6:$F$205,$C344))&amp;""="","","✓"))</f>
        <v/>
      </c>
      <c r="L344" s="114" t="str">
        <f aca="true">IF($E344="","",IF($K344="✓","Concluído",IF($E344&lt;TODAY(),"Atrasado",IF($E344=TODAY(),"Hoje","Pendente"))))</f>
        <v/>
      </c>
      <c r="M344" s="114" t="str">
        <f aca="false">IF($E344="","",IF($K344="✓","✓ ","")&amp;IF(Config!$E$22="Sim",$H344&amp;" · ","")&amp;$F344)</f>
        <v/>
      </c>
      <c r="N344" s="114" t="str">
        <f aca="false">IF($E344="","",IFERROR(INDEX(Config!$D$15:$D$19,MATCH($I344,Config!$C$15:$C$19,0)),"OUT")&amp;IF($K344="✓","x",""))</f>
        <v/>
      </c>
      <c r="O344" s="114" t="str">
        <f aca="false">IF($E344="","",COUNTIF($E$5:$E344,$E344))</f>
        <v/>
      </c>
      <c r="P344" s="114" t="str">
        <f aca="false">IF($E344="","",$E344*100+$O344)</f>
        <v/>
      </c>
      <c r="Q344" s="114" t="str">
        <f aca="false">IF($L344="Atrasado",$E344*10000+$A344,"")</f>
        <v/>
      </c>
    </row>
    <row r="345" customFormat="false" ht="15" hidden="false" customHeight="false" outlineLevel="0" collapsed="false">
      <c r="A345" s="114" t="n">
        <f aca="false">ROW()-4</f>
        <v>341</v>
      </c>
      <c r="B345" s="114" t="str">
        <f aca="false">IF(A345&lt;=Config!$E$27*Config!$E$28,"Tema","Avulso")</f>
        <v>Tema</v>
      </c>
      <c r="C345" s="114" t="n">
        <f aca="false">IF(B345="Tema",INT((A345-1)/Config!$E$28)+1,A345-Config!$E$27*Config!$E$28)</f>
        <v>57</v>
      </c>
      <c r="D345" s="114" t="n">
        <f aca="false">IF(B345="Tema",MOD(A345-1,Config!$E$28)+1,"")</f>
        <v>5</v>
      </c>
      <c r="E345" s="115" t="str">
        <f aca="false">IF($B345="Tema",IF(ISNUMBER(INDEX(Temas!$E$6:$P$305,$C345,2*$D345-1)),INDEX(Temas!$E$6:$P$305,$C345,2*$D345-1),""),IF(ISNUMBER(INDEX(Avulsos!$B$6:$B$205,$C345)),INDEX(Avulsos!$B$6:$B$205,$C345),""))</f>
        <v/>
      </c>
      <c r="F345" s="114" t="str">
        <f aca="false">IF($E345="","",IF($B345="Tema",INDEX(Temas!$B$6:$B$305,$C345)&amp;"",INDEX(Avulsos!$C$6:$C$205,$C345)&amp;""))</f>
        <v/>
      </c>
      <c r="G345" s="114" t="str">
        <f aca="false">IF($E345="","",IF($B345="Tema",INDEX(Config!$C$6:$C$11,$D345),"Evento avulso"))</f>
        <v/>
      </c>
      <c r="H345" s="114" t="str">
        <f aca="false">IF($E345="","",IF($B345="Tema",INDEX(Config!$D$6:$D$11,$D345),IFERROR(INDEX(Config!$E$15:$E$19,MATCH($I345,Config!$C$15:$C$19,0)),"•")))</f>
        <v/>
      </c>
      <c r="I345" s="114" t="str">
        <f aca="false">IF($E345="","",IF($B345="Tema",INDEX(Config!$E$6:$E$11,$D345),IF(INDEX(Avulsos!$D$6:$D$205,$C345)&amp;""="","Outro",INDEX(Avulsos!$D$6:$D$205,$C345))))</f>
        <v/>
      </c>
      <c r="J345" s="114" t="str">
        <f aca="false">IF($E345="","",IF($B345="Tema",INDEX(Temas!$C$6:$C$305,$C345)&amp;"",INDEX(Avulsos!$E$6:$E$205,$C345)&amp;""))</f>
        <v/>
      </c>
      <c r="K345" s="114" t="str">
        <f aca="false">IF($E345="","",IF(IF($B345="Tema",INDEX(Temas!$E$6:$P$305,$C345,2*$D345),INDEX(Avulsos!$F$6:$F$205,$C345))&amp;""="","","✓"))</f>
        <v/>
      </c>
      <c r="L345" s="114" t="str">
        <f aca="true">IF($E345="","",IF($K345="✓","Concluído",IF($E345&lt;TODAY(),"Atrasado",IF($E345=TODAY(),"Hoje","Pendente"))))</f>
        <v/>
      </c>
      <c r="M345" s="114" t="str">
        <f aca="false">IF($E345="","",IF($K345="✓","✓ ","")&amp;IF(Config!$E$22="Sim",$H345&amp;" · ","")&amp;$F345)</f>
        <v/>
      </c>
      <c r="N345" s="114" t="str">
        <f aca="false">IF($E345="","",IFERROR(INDEX(Config!$D$15:$D$19,MATCH($I345,Config!$C$15:$C$19,0)),"OUT")&amp;IF($K345="✓","x",""))</f>
        <v/>
      </c>
      <c r="O345" s="114" t="str">
        <f aca="false">IF($E345="","",COUNTIF($E$5:$E345,$E345))</f>
        <v/>
      </c>
      <c r="P345" s="114" t="str">
        <f aca="false">IF($E345="","",$E345*100+$O345)</f>
        <v/>
      </c>
      <c r="Q345" s="114" t="str">
        <f aca="false">IF($L345="Atrasado",$E345*10000+$A345,"")</f>
        <v/>
      </c>
    </row>
    <row r="346" customFormat="false" ht="15" hidden="false" customHeight="false" outlineLevel="0" collapsed="false">
      <c r="A346" s="114" t="n">
        <f aca="false">ROW()-4</f>
        <v>342</v>
      </c>
      <c r="B346" s="114" t="str">
        <f aca="false">IF(A346&lt;=Config!$E$27*Config!$E$28,"Tema","Avulso")</f>
        <v>Tema</v>
      </c>
      <c r="C346" s="114" t="n">
        <f aca="false">IF(B346="Tema",INT((A346-1)/Config!$E$28)+1,A346-Config!$E$27*Config!$E$28)</f>
        <v>57</v>
      </c>
      <c r="D346" s="114" t="n">
        <f aca="false">IF(B346="Tema",MOD(A346-1,Config!$E$28)+1,"")</f>
        <v>6</v>
      </c>
      <c r="E346" s="115" t="str">
        <f aca="false">IF($B346="Tema",IF(ISNUMBER(INDEX(Temas!$E$6:$P$305,$C346,2*$D346-1)),INDEX(Temas!$E$6:$P$305,$C346,2*$D346-1),""),IF(ISNUMBER(INDEX(Avulsos!$B$6:$B$205,$C346)),INDEX(Avulsos!$B$6:$B$205,$C346),""))</f>
        <v/>
      </c>
      <c r="F346" s="114" t="str">
        <f aca="false">IF($E346="","",IF($B346="Tema",INDEX(Temas!$B$6:$B$305,$C346)&amp;"",INDEX(Avulsos!$C$6:$C$205,$C346)&amp;""))</f>
        <v/>
      </c>
      <c r="G346" s="114" t="str">
        <f aca="false">IF($E346="","",IF($B346="Tema",INDEX(Config!$C$6:$C$11,$D346),"Evento avulso"))</f>
        <v/>
      </c>
      <c r="H346" s="114" t="str">
        <f aca="false">IF($E346="","",IF($B346="Tema",INDEX(Config!$D$6:$D$11,$D346),IFERROR(INDEX(Config!$E$15:$E$19,MATCH($I346,Config!$C$15:$C$19,0)),"•")))</f>
        <v/>
      </c>
      <c r="I346" s="114" t="str">
        <f aca="false">IF($E346="","",IF($B346="Tema",INDEX(Config!$E$6:$E$11,$D346),IF(INDEX(Avulsos!$D$6:$D$205,$C346)&amp;""="","Outro",INDEX(Avulsos!$D$6:$D$205,$C346))))</f>
        <v/>
      </c>
      <c r="J346" s="114" t="str">
        <f aca="false">IF($E346="","",IF($B346="Tema",INDEX(Temas!$C$6:$C$305,$C346)&amp;"",INDEX(Avulsos!$E$6:$E$205,$C346)&amp;""))</f>
        <v/>
      </c>
      <c r="K346" s="114" t="str">
        <f aca="false">IF($E346="","",IF(IF($B346="Tema",INDEX(Temas!$E$6:$P$305,$C346,2*$D346),INDEX(Avulsos!$F$6:$F$205,$C346))&amp;""="","","✓"))</f>
        <v/>
      </c>
      <c r="L346" s="114" t="str">
        <f aca="true">IF($E346="","",IF($K346="✓","Concluído",IF($E346&lt;TODAY(),"Atrasado",IF($E346=TODAY(),"Hoje","Pendente"))))</f>
        <v/>
      </c>
      <c r="M346" s="114" t="str">
        <f aca="false">IF($E346="","",IF($K346="✓","✓ ","")&amp;IF(Config!$E$22="Sim",$H346&amp;" · ","")&amp;$F346)</f>
        <v/>
      </c>
      <c r="N346" s="114" t="str">
        <f aca="false">IF($E346="","",IFERROR(INDEX(Config!$D$15:$D$19,MATCH($I346,Config!$C$15:$C$19,0)),"OUT")&amp;IF($K346="✓","x",""))</f>
        <v/>
      </c>
      <c r="O346" s="114" t="str">
        <f aca="false">IF($E346="","",COUNTIF($E$5:$E346,$E346))</f>
        <v/>
      </c>
      <c r="P346" s="114" t="str">
        <f aca="false">IF($E346="","",$E346*100+$O346)</f>
        <v/>
      </c>
      <c r="Q346" s="114" t="str">
        <f aca="false">IF($L346="Atrasado",$E346*10000+$A346,"")</f>
        <v/>
      </c>
    </row>
    <row r="347" customFormat="false" ht="15" hidden="false" customHeight="false" outlineLevel="0" collapsed="false">
      <c r="A347" s="114" t="n">
        <f aca="false">ROW()-4</f>
        <v>343</v>
      </c>
      <c r="B347" s="114" t="str">
        <f aca="false">IF(A347&lt;=Config!$E$27*Config!$E$28,"Tema","Avulso")</f>
        <v>Tema</v>
      </c>
      <c r="C347" s="114" t="n">
        <f aca="false">IF(B347="Tema",INT((A347-1)/Config!$E$28)+1,A347-Config!$E$27*Config!$E$28)</f>
        <v>58</v>
      </c>
      <c r="D347" s="114" t="n">
        <f aca="false">IF(B347="Tema",MOD(A347-1,Config!$E$28)+1,"")</f>
        <v>1</v>
      </c>
      <c r="E347" s="115" t="str">
        <f aca="false">IF($B347="Tema",IF(ISNUMBER(INDEX(Temas!$E$6:$P$305,$C347,2*$D347-1)),INDEX(Temas!$E$6:$P$305,$C347,2*$D347-1),""),IF(ISNUMBER(INDEX(Avulsos!$B$6:$B$205,$C347)),INDEX(Avulsos!$B$6:$B$205,$C347),""))</f>
        <v/>
      </c>
      <c r="F347" s="114" t="str">
        <f aca="false">IF($E347="","",IF($B347="Tema",INDEX(Temas!$B$6:$B$305,$C347)&amp;"",INDEX(Avulsos!$C$6:$C$205,$C347)&amp;""))</f>
        <v/>
      </c>
      <c r="G347" s="114" t="str">
        <f aca="false">IF($E347="","",IF($B347="Tema",INDEX(Config!$C$6:$C$11,$D347),"Evento avulso"))</f>
        <v/>
      </c>
      <c r="H347" s="114" t="str">
        <f aca="false">IF($E347="","",IF($B347="Tema",INDEX(Config!$D$6:$D$11,$D347),IFERROR(INDEX(Config!$E$15:$E$19,MATCH($I347,Config!$C$15:$C$19,0)),"•")))</f>
        <v/>
      </c>
      <c r="I347" s="114" t="str">
        <f aca="false">IF($E347="","",IF($B347="Tema",INDEX(Config!$E$6:$E$11,$D347),IF(INDEX(Avulsos!$D$6:$D$205,$C347)&amp;""="","Outro",INDEX(Avulsos!$D$6:$D$205,$C347))))</f>
        <v/>
      </c>
      <c r="J347" s="114" t="str">
        <f aca="false">IF($E347="","",IF($B347="Tema",INDEX(Temas!$C$6:$C$305,$C347)&amp;"",INDEX(Avulsos!$E$6:$E$205,$C347)&amp;""))</f>
        <v/>
      </c>
      <c r="K347" s="114" t="str">
        <f aca="false">IF($E347="","",IF(IF($B347="Tema",INDEX(Temas!$E$6:$P$305,$C347,2*$D347),INDEX(Avulsos!$F$6:$F$205,$C347))&amp;""="","","✓"))</f>
        <v/>
      </c>
      <c r="L347" s="114" t="str">
        <f aca="true">IF($E347="","",IF($K347="✓","Concluído",IF($E347&lt;TODAY(),"Atrasado",IF($E347=TODAY(),"Hoje","Pendente"))))</f>
        <v/>
      </c>
      <c r="M347" s="114" t="str">
        <f aca="false">IF($E347="","",IF($K347="✓","✓ ","")&amp;IF(Config!$E$22="Sim",$H347&amp;" · ","")&amp;$F347)</f>
        <v/>
      </c>
      <c r="N347" s="114" t="str">
        <f aca="false">IF($E347="","",IFERROR(INDEX(Config!$D$15:$D$19,MATCH($I347,Config!$C$15:$C$19,0)),"OUT")&amp;IF($K347="✓","x",""))</f>
        <v/>
      </c>
      <c r="O347" s="114" t="str">
        <f aca="false">IF($E347="","",COUNTIF($E$5:$E347,$E347))</f>
        <v/>
      </c>
      <c r="P347" s="114" t="str">
        <f aca="false">IF($E347="","",$E347*100+$O347)</f>
        <v/>
      </c>
      <c r="Q347" s="114" t="str">
        <f aca="false">IF($L347="Atrasado",$E347*10000+$A347,"")</f>
        <v/>
      </c>
    </row>
    <row r="348" customFormat="false" ht="15" hidden="false" customHeight="false" outlineLevel="0" collapsed="false">
      <c r="A348" s="114" t="n">
        <f aca="false">ROW()-4</f>
        <v>344</v>
      </c>
      <c r="B348" s="114" t="str">
        <f aca="false">IF(A348&lt;=Config!$E$27*Config!$E$28,"Tema","Avulso")</f>
        <v>Tema</v>
      </c>
      <c r="C348" s="114" t="n">
        <f aca="false">IF(B348="Tema",INT((A348-1)/Config!$E$28)+1,A348-Config!$E$27*Config!$E$28)</f>
        <v>58</v>
      </c>
      <c r="D348" s="114" t="n">
        <f aca="false">IF(B348="Tema",MOD(A348-1,Config!$E$28)+1,"")</f>
        <v>2</v>
      </c>
      <c r="E348" s="115" t="str">
        <f aca="false">IF($B348="Tema",IF(ISNUMBER(INDEX(Temas!$E$6:$P$305,$C348,2*$D348-1)),INDEX(Temas!$E$6:$P$305,$C348,2*$D348-1),""),IF(ISNUMBER(INDEX(Avulsos!$B$6:$B$205,$C348)),INDEX(Avulsos!$B$6:$B$205,$C348),""))</f>
        <v/>
      </c>
      <c r="F348" s="114" t="str">
        <f aca="false">IF($E348="","",IF($B348="Tema",INDEX(Temas!$B$6:$B$305,$C348)&amp;"",INDEX(Avulsos!$C$6:$C$205,$C348)&amp;""))</f>
        <v/>
      </c>
      <c r="G348" s="114" t="str">
        <f aca="false">IF($E348="","",IF($B348="Tema",INDEX(Config!$C$6:$C$11,$D348),"Evento avulso"))</f>
        <v/>
      </c>
      <c r="H348" s="114" t="str">
        <f aca="false">IF($E348="","",IF($B348="Tema",INDEX(Config!$D$6:$D$11,$D348),IFERROR(INDEX(Config!$E$15:$E$19,MATCH($I348,Config!$C$15:$C$19,0)),"•")))</f>
        <v/>
      </c>
      <c r="I348" s="114" t="str">
        <f aca="false">IF($E348="","",IF($B348="Tema",INDEX(Config!$E$6:$E$11,$D348),IF(INDEX(Avulsos!$D$6:$D$205,$C348)&amp;""="","Outro",INDEX(Avulsos!$D$6:$D$205,$C348))))</f>
        <v/>
      </c>
      <c r="J348" s="114" t="str">
        <f aca="false">IF($E348="","",IF($B348="Tema",INDEX(Temas!$C$6:$C$305,$C348)&amp;"",INDEX(Avulsos!$E$6:$E$205,$C348)&amp;""))</f>
        <v/>
      </c>
      <c r="K348" s="114" t="str">
        <f aca="false">IF($E348="","",IF(IF($B348="Tema",INDEX(Temas!$E$6:$P$305,$C348,2*$D348),INDEX(Avulsos!$F$6:$F$205,$C348))&amp;""="","","✓"))</f>
        <v/>
      </c>
      <c r="L348" s="114" t="str">
        <f aca="true">IF($E348="","",IF($K348="✓","Concluído",IF($E348&lt;TODAY(),"Atrasado",IF($E348=TODAY(),"Hoje","Pendente"))))</f>
        <v/>
      </c>
      <c r="M348" s="114" t="str">
        <f aca="false">IF($E348="","",IF($K348="✓","✓ ","")&amp;IF(Config!$E$22="Sim",$H348&amp;" · ","")&amp;$F348)</f>
        <v/>
      </c>
      <c r="N348" s="114" t="str">
        <f aca="false">IF($E348="","",IFERROR(INDEX(Config!$D$15:$D$19,MATCH($I348,Config!$C$15:$C$19,0)),"OUT")&amp;IF($K348="✓","x",""))</f>
        <v/>
      </c>
      <c r="O348" s="114" t="str">
        <f aca="false">IF($E348="","",COUNTIF($E$5:$E348,$E348))</f>
        <v/>
      </c>
      <c r="P348" s="114" t="str">
        <f aca="false">IF($E348="","",$E348*100+$O348)</f>
        <v/>
      </c>
      <c r="Q348" s="114" t="str">
        <f aca="false">IF($L348="Atrasado",$E348*10000+$A348,"")</f>
        <v/>
      </c>
    </row>
    <row r="349" customFormat="false" ht="15" hidden="false" customHeight="false" outlineLevel="0" collapsed="false">
      <c r="A349" s="114" t="n">
        <f aca="false">ROW()-4</f>
        <v>345</v>
      </c>
      <c r="B349" s="114" t="str">
        <f aca="false">IF(A349&lt;=Config!$E$27*Config!$E$28,"Tema","Avulso")</f>
        <v>Tema</v>
      </c>
      <c r="C349" s="114" t="n">
        <f aca="false">IF(B349="Tema",INT((A349-1)/Config!$E$28)+1,A349-Config!$E$27*Config!$E$28)</f>
        <v>58</v>
      </c>
      <c r="D349" s="114" t="n">
        <f aca="false">IF(B349="Tema",MOD(A349-1,Config!$E$28)+1,"")</f>
        <v>3</v>
      </c>
      <c r="E349" s="115" t="str">
        <f aca="false">IF($B349="Tema",IF(ISNUMBER(INDEX(Temas!$E$6:$P$305,$C349,2*$D349-1)),INDEX(Temas!$E$6:$P$305,$C349,2*$D349-1),""),IF(ISNUMBER(INDEX(Avulsos!$B$6:$B$205,$C349)),INDEX(Avulsos!$B$6:$B$205,$C349),""))</f>
        <v/>
      </c>
      <c r="F349" s="114" t="str">
        <f aca="false">IF($E349="","",IF($B349="Tema",INDEX(Temas!$B$6:$B$305,$C349)&amp;"",INDEX(Avulsos!$C$6:$C$205,$C349)&amp;""))</f>
        <v/>
      </c>
      <c r="G349" s="114" t="str">
        <f aca="false">IF($E349="","",IF($B349="Tema",INDEX(Config!$C$6:$C$11,$D349),"Evento avulso"))</f>
        <v/>
      </c>
      <c r="H349" s="114" t="str">
        <f aca="false">IF($E349="","",IF($B349="Tema",INDEX(Config!$D$6:$D$11,$D349),IFERROR(INDEX(Config!$E$15:$E$19,MATCH($I349,Config!$C$15:$C$19,0)),"•")))</f>
        <v/>
      </c>
      <c r="I349" s="114" t="str">
        <f aca="false">IF($E349="","",IF($B349="Tema",INDEX(Config!$E$6:$E$11,$D349),IF(INDEX(Avulsos!$D$6:$D$205,$C349)&amp;""="","Outro",INDEX(Avulsos!$D$6:$D$205,$C349))))</f>
        <v/>
      </c>
      <c r="J349" s="114" t="str">
        <f aca="false">IF($E349="","",IF($B349="Tema",INDEX(Temas!$C$6:$C$305,$C349)&amp;"",INDEX(Avulsos!$E$6:$E$205,$C349)&amp;""))</f>
        <v/>
      </c>
      <c r="K349" s="114" t="str">
        <f aca="false">IF($E349="","",IF(IF($B349="Tema",INDEX(Temas!$E$6:$P$305,$C349,2*$D349),INDEX(Avulsos!$F$6:$F$205,$C349))&amp;""="","","✓"))</f>
        <v/>
      </c>
      <c r="L349" s="114" t="str">
        <f aca="true">IF($E349="","",IF($K349="✓","Concluído",IF($E349&lt;TODAY(),"Atrasado",IF($E349=TODAY(),"Hoje","Pendente"))))</f>
        <v/>
      </c>
      <c r="M349" s="114" t="str">
        <f aca="false">IF($E349="","",IF($K349="✓","✓ ","")&amp;IF(Config!$E$22="Sim",$H349&amp;" · ","")&amp;$F349)</f>
        <v/>
      </c>
      <c r="N349" s="114" t="str">
        <f aca="false">IF($E349="","",IFERROR(INDEX(Config!$D$15:$D$19,MATCH($I349,Config!$C$15:$C$19,0)),"OUT")&amp;IF($K349="✓","x",""))</f>
        <v/>
      </c>
      <c r="O349" s="114" t="str">
        <f aca="false">IF($E349="","",COUNTIF($E$5:$E349,$E349))</f>
        <v/>
      </c>
      <c r="P349" s="114" t="str">
        <f aca="false">IF($E349="","",$E349*100+$O349)</f>
        <v/>
      </c>
      <c r="Q349" s="114" t="str">
        <f aca="false">IF($L349="Atrasado",$E349*10000+$A349,"")</f>
        <v/>
      </c>
    </row>
    <row r="350" customFormat="false" ht="15" hidden="false" customHeight="false" outlineLevel="0" collapsed="false">
      <c r="A350" s="114" t="n">
        <f aca="false">ROW()-4</f>
        <v>346</v>
      </c>
      <c r="B350" s="114" t="str">
        <f aca="false">IF(A350&lt;=Config!$E$27*Config!$E$28,"Tema","Avulso")</f>
        <v>Tema</v>
      </c>
      <c r="C350" s="114" t="n">
        <f aca="false">IF(B350="Tema",INT((A350-1)/Config!$E$28)+1,A350-Config!$E$27*Config!$E$28)</f>
        <v>58</v>
      </c>
      <c r="D350" s="114" t="n">
        <f aca="false">IF(B350="Tema",MOD(A350-1,Config!$E$28)+1,"")</f>
        <v>4</v>
      </c>
      <c r="E350" s="115" t="str">
        <f aca="false">IF($B350="Tema",IF(ISNUMBER(INDEX(Temas!$E$6:$P$305,$C350,2*$D350-1)),INDEX(Temas!$E$6:$P$305,$C350,2*$D350-1),""),IF(ISNUMBER(INDEX(Avulsos!$B$6:$B$205,$C350)),INDEX(Avulsos!$B$6:$B$205,$C350),""))</f>
        <v/>
      </c>
      <c r="F350" s="114" t="str">
        <f aca="false">IF($E350="","",IF($B350="Tema",INDEX(Temas!$B$6:$B$305,$C350)&amp;"",INDEX(Avulsos!$C$6:$C$205,$C350)&amp;""))</f>
        <v/>
      </c>
      <c r="G350" s="114" t="str">
        <f aca="false">IF($E350="","",IF($B350="Tema",INDEX(Config!$C$6:$C$11,$D350),"Evento avulso"))</f>
        <v/>
      </c>
      <c r="H350" s="114" t="str">
        <f aca="false">IF($E350="","",IF($B350="Tema",INDEX(Config!$D$6:$D$11,$D350),IFERROR(INDEX(Config!$E$15:$E$19,MATCH($I350,Config!$C$15:$C$19,0)),"•")))</f>
        <v/>
      </c>
      <c r="I350" s="114" t="str">
        <f aca="false">IF($E350="","",IF($B350="Tema",INDEX(Config!$E$6:$E$11,$D350),IF(INDEX(Avulsos!$D$6:$D$205,$C350)&amp;""="","Outro",INDEX(Avulsos!$D$6:$D$205,$C350))))</f>
        <v/>
      </c>
      <c r="J350" s="114" t="str">
        <f aca="false">IF($E350="","",IF($B350="Tema",INDEX(Temas!$C$6:$C$305,$C350)&amp;"",INDEX(Avulsos!$E$6:$E$205,$C350)&amp;""))</f>
        <v/>
      </c>
      <c r="K350" s="114" t="str">
        <f aca="false">IF($E350="","",IF(IF($B350="Tema",INDEX(Temas!$E$6:$P$305,$C350,2*$D350),INDEX(Avulsos!$F$6:$F$205,$C350))&amp;""="","","✓"))</f>
        <v/>
      </c>
      <c r="L350" s="114" t="str">
        <f aca="true">IF($E350="","",IF($K350="✓","Concluído",IF($E350&lt;TODAY(),"Atrasado",IF($E350=TODAY(),"Hoje","Pendente"))))</f>
        <v/>
      </c>
      <c r="M350" s="114" t="str">
        <f aca="false">IF($E350="","",IF($K350="✓","✓ ","")&amp;IF(Config!$E$22="Sim",$H350&amp;" · ","")&amp;$F350)</f>
        <v/>
      </c>
      <c r="N350" s="114" t="str">
        <f aca="false">IF($E350="","",IFERROR(INDEX(Config!$D$15:$D$19,MATCH($I350,Config!$C$15:$C$19,0)),"OUT")&amp;IF($K350="✓","x",""))</f>
        <v/>
      </c>
      <c r="O350" s="114" t="str">
        <f aca="false">IF($E350="","",COUNTIF($E$5:$E350,$E350))</f>
        <v/>
      </c>
      <c r="P350" s="114" t="str">
        <f aca="false">IF($E350="","",$E350*100+$O350)</f>
        <v/>
      </c>
      <c r="Q350" s="114" t="str">
        <f aca="false">IF($L350="Atrasado",$E350*10000+$A350,"")</f>
        <v/>
      </c>
    </row>
    <row r="351" customFormat="false" ht="15" hidden="false" customHeight="false" outlineLevel="0" collapsed="false">
      <c r="A351" s="114" t="n">
        <f aca="false">ROW()-4</f>
        <v>347</v>
      </c>
      <c r="B351" s="114" t="str">
        <f aca="false">IF(A351&lt;=Config!$E$27*Config!$E$28,"Tema","Avulso")</f>
        <v>Tema</v>
      </c>
      <c r="C351" s="114" t="n">
        <f aca="false">IF(B351="Tema",INT((A351-1)/Config!$E$28)+1,A351-Config!$E$27*Config!$E$28)</f>
        <v>58</v>
      </c>
      <c r="D351" s="114" t="n">
        <f aca="false">IF(B351="Tema",MOD(A351-1,Config!$E$28)+1,"")</f>
        <v>5</v>
      </c>
      <c r="E351" s="115" t="str">
        <f aca="false">IF($B351="Tema",IF(ISNUMBER(INDEX(Temas!$E$6:$P$305,$C351,2*$D351-1)),INDEX(Temas!$E$6:$P$305,$C351,2*$D351-1),""),IF(ISNUMBER(INDEX(Avulsos!$B$6:$B$205,$C351)),INDEX(Avulsos!$B$6:$B$205,$C351),""))</f>
        <v/>
      </c>
      <c r="F351" s="114" t="str">
        <f aca="false">IF($E351="","",IF($B351="Tema",INDEX(Temas!$B$6:$B$305,$C351)&amp;"",INDEX(Avulsos!$C$6:$C$205,$C351)&amp;""))</f>
        <v/>
      </c>
      <c r="G351" s="114" t="str">
        <f aca="false">IF($E351="","",IF($B351="Tema",INDEX(Config!$C$6:$C$11,$D351),"Evento avulso"))</f>
        <v/>
      </c>
      <c r="H351" s="114" t="str">
        <f aca="false">IF($E351="","",IF($B351="Tema",INDEX(Config!$D$6:$D$11,$D351),IFERROR(INDEX(Config!$E$15:$E$19,MATCH($I351,Config!$C$15:$C$19,0)),"•")))</f>
        <v/>
      </c>
      <c r="I351" s="114" t="str">
        <f aca="false">IF($E351="","",IF($B351="Tema",INDEX(Config!$E$6:$E$11,$D351),IF(INDEX(Avulsos!$D$6:$D$205,$C351)&amp;""="","Outro",INDEX(Avulsos!$D$6:$D$205,$C351))))</f>
        <v/>
      </c>
      <c r="J351" s="114" t="str">
        <f aca="false">IF($E351="","",IF($B351="Tema",INDEX(Temas!$C$6:$C$305,$C351)&amp;"",INDEX(Avulsos!$E$6:$E$205,$C351)&amp;""))</f>
        <v/>
      </c>
      <c r="K351" s="114" t="str">
        <f aca="false">IF($E351="","",IF(IF($B351="Tema",INDEX(Temas!$E$6:$P$305,$C351,2*$D351),INDEX(Avulsos!$F$6:$F$205,$C351))&amp;""="","","✓"))</f>
        <v/>
      </c>
      <c r="L351" s="114" t="str">
        <f aca="true">IF($E351="","",IF($K351="✓","Concluído",IF($E351&lt;TODAY(),"Atrasado",IF($E351=TODAY(),"Hoje","Pendente"))))</f>
        <v/>
      </c>
      <c r="M351" s="114" t="str">
        <f aca="false">IF($E351="","",IF($K351="✓","✓ ","")&amp;IF(Config!$E$22="Sim",$H351&amp;" · ","")&amp;$F351)</f>
        <v/>
      </c>
      <c r="N351" s="114" t="str">
        <f aca="false">IF($E351="","",IFERROR(INDEX(Config!$D$15:$D$19,MATCH($I351,Config!$C$15:$C$19,0)),"OUT")&amp;IF($K351="✓","x",""))</f>
        <v/>
      </c>
      <c r="O351" s="114" t="str">
        <f aca="false">IF($E351="","",COUNTIF($E$5:$E351,$E351))</f>
        <v/>
      </c>
      <c r="P351" s="114" t="str">
        <f aca="false">IF($E351="","",$E351*100+$O351)</f>
        <v/>
      </c>
      <c r="Q351" s="114" t="str">
        <f aca="false">IF($L351="Atrasado",$E351*10000+$A351,"")</f>
        <v/>
      </c>
    </row>
    <row r="352" customFormat="false" ht="15" hidden="false" customHeight="false" outlineLevel="0" collapsed="false">
      <c r="A352" s="114" t="n">
        <f aca="false">ROW()-4</f>
        <v>348</v>
      </c>
      <c r="B352" s="114" t="str">
        <f aca="false">IF(A352&lt;=Config!$E$27*Config!$E$28,"Tema","Avulso")</f>
        <v>Tema</v>
      </c>
      <c r="C352" s="114" t="n">
        <f aca="false">IF(B352="Tema",INT((A352-1)/Config!$E$28)+1,A352-Config!$E$27*Config!$E$28)</f>
        <v>58</v>
      </c>
      <c r="D352" s="114" t="n">
        <f aca="false">IF(B352="Tema",MOD(A352-1,Config!$E$28)+1,"")</f>
        <v>6</v>
      </c>
      <c r="E352" s="115" t="str">
        <f aca="false">IF($B352="Tema",IF(ISNUMBER(INDEX(Temas!$E$6:$P$305,$C352,2*$D352-1)),INDEX(Temas!$E$6:$P$305,$C352,2*$D352-1),""),IF(ISNUMBER(INDEX(Avulsos!$B$6:$B$205,$C352)),INDEX(Avulsos!$B$6:$B$205,$C352),""))</f>
        <v/>
      </c>
      <c r="F352" s="114" t="str">
        <f aca="false">IF($E352="","",IF($B352="Tema",INDEX(Temas!$B$6:$B$305,$C352)&amp;"",INDEX(Avulsos!$C$6:$C$205,$C352)&amp;""))</f>
        <v/>
      </c>
      <c r="G352" s="114" t="str">
        <f aca="false">IF($E352="","",IF($B352="Tema",INDEX(Config!$C$6:$C$11,$D352),"Evento avulso"))</f>
        <v/>
      </c>
      <c r="H352" s="114" t="str">
        <f aca="false">IF($E352="","",IF($B352="Tema",INDEX(Config!$D$6:$D$11,$D352),IFERROR(INDEX(Config!$E$15:$E$19,MATCH($I352,Config!$C$15:$C$19,0)),"•")))</f>
        <v/>
      </c>
      <c r="I352" s="114" t="str">
        <f aca="false">IF($E352="","",IF($B352="Tema",INDEX(Config!$E$6:$E$11,$D352),IF(INDEX(Avulsos!$D$6:$D$205,$C352)&amp;""="","Outro",INDEX(Avulsos!$D$6:$D$205,$C352))))</f>
        <v/>
      </c>
      <c r="J352" s="114" t="str">
        <f aca="false">IF($E352="","",IF($B352="Tema",INDEX(Temas!$C$6:$C$305,$C352)&amp;"",INDEX(Avulsos!$E$6:$E$205,$C352)&amp;""))</f>
        <v/>
      </c>
      <c r="K352" s="114" t="str">
        <f aca="false">IF($E352="","",IF(IF($B352="Tema",INDEX(Temas!$E$6:$P$305,$C352,2*$D352),INDEX(Avulsos!$F$6:$F$205,$C352))&amp;""="","","✓"))</f>
        <v/>
      </c>
      <c r="L352" s="114" t="str">
        <f aca="true">IF($E352="","",IF($K352="✓","Concluído",IF($E352&lt;TODAY(),"Atrasado",IF($E352=TODAY(),"Hoje","Pendente"))))</f>
        <v/>
      </c>
      <c r="M352" s="114" t="str">
        <f aca="false">IF($E352="","",IF($K352="✓","✓ ","")&amp;IF(Config!$E$22="Sim",$H352&amp;" · ","")&amp;$F352)</f>
        <v/>
      </c>
      <c r="N352" s="114" t="str">
        <f aca="false">IF($E352="","",IFERROR(INDEX(Config!$D$15:$D$19,MATCH($I352,Config!$C$15:$C$19,0)),"OUT")&amp;IF($K352="✓","x",""))</f>
        <v/>
      </c>
      <c r="O352" s="114" t="str">
        <f aca="false">IF($E352="","",COUNTIF($E$5:$E352,$E352))</f>
        <v/>
      </c>
      <c r="P352" s="114" t="str">
        <f aca="false">IF($E352="","",$E352*100+$O352)</f>
        <v/>
      </c>
      <c r="Q352" s="114" t="str">
        <f aca="false">IF($L352="Atrasado",$E352*10000+$A352,"")</f>
        <v/>
      </c>
    </row>
    <row r="353" customFormat="false" ht="15" hidden="false" customHeight="false" outlineLevel="0" collapsed="false">
      <c r="A353" s="114" t="n">
        <f aca="false">ROW()-4</f>
        <v>349</v>
      </c>
      <c r="B353" s="114" t="str">
        <f aca="false">IF(A353&lt;=Config!$E$27*Config!$E$28,"Tema","Avulso")</f>
        <v>Tema</v>
      </c>
      <c r="C353" s="114" t="n">
        <f aca="false">IF(B353="Tema",INT((A353-1)/Config!$E$28)+1,A353-Config!$E$27*Config!$E$28)</f>
        <v>59</v>
      </c>
      <c r="D353" s="114" t="n">
        <f aca="false">IF(B353="Tema",MOD(A353-1,Config!$E$28)+1,"")</f>
        <v>1</v>
      </c>
      <c r="E353" s="115" t="str">
        <f aca="false">IF($B353="Tema",IF(ISNUMBER(INDEX(Temas!$E$6:$P$305,$C353,2*$D353-1)),INDEX(Temas!$E$6:$P$305,$C353,2*$D353-1),""),IF(ISNUMBER(INDEX(Avulsos!$B$6:$B$205,$C353)),INDEX(Avulsos!$B$6:$B$205,$C353),""))</f>
        <v/>
      </c>
      <c r="F353" s="114" t="str">
        <f aca="false">IF($E353="","",IF($B353="Tema",INDEX(Temas!$B$6:$B$305,$C353)&amp;"",INDEX(Avulsos!$C$6:$C$205,$C353)&amp;""))</f>
        <v/>
      </c>
      <c r="G353" s="114" t="str">
        <f aca="false">IF($E353="","",IF($B353="Tema",INDEX(Config!$C$6:$C$11,$D353),"Evento avulso"))</f>
        <v/>
      </c>
      <c r="H353" s="114" t="str">
        <f aca="false">IF($E353="","",IF($B353="Tema",INDEX(Config!$D$6:$D$11,$D353),IFERROR(INDEX(Config!$E$15:$E$19,MATCH($I353,Config!$C$15:$C$19,0)),"•")))</f>
        <v/>
      </c>
      <c r="I353" s="114" t="str">
        <f aca="false">IF($E353="","",IF($B353="Tema",INDEX(Config!$E$6:$E$11,$D353),IF(INDEX(Avulsos!$D$6:$D$205,$C353)&amp;""="","Outro",INDEX(Avulsos!$D$6:$D$205,$C353))))</f>
        <v/>
      </c>
      <c r="J353" s="114" t="str">
        <f aca="false">IF($E353="","",IF($B353="Tema",INDEX(Temas!$C$6:$C$305,$C353)&amp;"",INDEX(Avulsos!$E$6:$E$205,$C353)&amp;""))</f>
        <v/>
      </c>
      <c r="K353" s="114" t="str">
        <f aca="false">IF($E353="","",IF(IF($B353="Tema",INDEX(Temas!$E$6:$P$305,$C353,2*$D353),INDEX(Avulsos!$F$6:$F$205,$C353))&amp;""="","","✓"))</f>
        <v/>
      </c>
      <c r="L353" s="114" t="str">
        <f aca="true">IF($E353="","",IF($K353="✓","Concluído",IF($E353&lt;TODAY(),"Atrasado",IF($E353=TODAY(),"Hoje","Pendente"))))</f>
        <v/>
      </c>
      <c r="M353" s="114" t="str">
        <f aca="false">IF($E353="","",IF($K353="✓","✓ ","")&amp;IF(Config!$E$22="Sim",$H353&amp;" · ","")&amp;$F353)</f>
        <v/>
      </c>
      <c r="N353" s="114" t="str">
        <f aca="false">IF($E353="","",IFERROR(INDEX(Config!$D$15:$D$19,MATCH($I353,Config!$C$15:$C$19,0)),"OUT")&amp;IF($K353="✓","x",""))</f>
        <v/>
      </c>
      <c r="O353" s="114" t="str">
        <f aca="false">IF($E353="","",COUNTIF($E$5:$E353,$E353))</f>
        <v/>
      </c>
      <c r="P353" s="114" t="str">
        <f aca="false">IF($E353="","",$E353*100+$O353)</f>
        <v/>
      </c>
      <c r="Q353" s="114" t="str">
        <f aca="false">IF($L353="Atrasado",$E353*10000+$A353,"")</f>
        <v/>
      </c>
    </row>
    <row r="354" customFormat="false" ht="15" hidden="false" customHeight="false" outlineLevel="0" collapsed="false">
      <c r="A354" s="114" t="n">
        <f aca="false">ROW()-4</f>
        <v>350</v>
      </c>
      <c r="B354" s="114" t="str">
        <f aca="false">IF(A354&lt;=Config!$E$27*Config!$E$28,"Tema","Avulso")</f>
        <v>Tema</v>
      </c>
      <c r="C354" s="114" t="n">
        <f aca="false">IF(B354="Tema",INT((A354-1)/Config!$E$28)+1,A354-Config!$E$27*Config!$E$28)</f>
        <v>59</v>
      </c>
      <c r="D354" s="114" t="n">
        <f aca="false">IF(B354="Tema",MOD(A354-1,Config!$E$28)+1,"")</f>
        <v>2</v>
      </c>
      <c r="E354" s="115" t="str">
        <f aca="false">IF($B354="Tema",IF(ISNUMBER(INDEX(Temas!$E$6:$P$305,$C354,2*$D354-1)),INDEX(Temas!$E$6:$P$305,$C354,2*$D354-1),""),IF(ISNUMBER(INDEX(Avulsos!$B$6:$B$205,$C354)),INDEX(Avulsos!$B$6:$B$205,$C354),""))</f>
        <v/>
      </c>
      <c r="F354" s="114" t="str">
        <f aca="false">IF($E354="","",IF($B354="Tema",INDEX(Temas!$B$6:$B$305,$C354)&amp;"",INDEX(Avulsos!$C$6:$C$205,$C354)&amp;""))</f>
        <v/>
      </c>
      <c r="G354" s="114" t="str">
        <f aca="false">IF($E354="","",IF($B354="Tema",INDEX(Config!$C$6:$C$11,$D354),"Evento avulso"))</f>
        <v/>
      </c>
      <c r="H354" s="114" t="str">
        <f aca="false">IF($E354="","",IF($B354="Tema",INDEX(Config!$D$6:$D$11,$D354),IFERROR(INDEX(Config!$E$15:$E$19,MATCH($I354,Config!$C$15:$C$19,0)),"•")))</f>
        <v/>
      </c>
      <c r="I354" s="114" t="str">
        <f aca="false">IF($E354="","",IF($B354="Tema",INDEX(Config!$E$6:$E$11,$D354),IF(INDEX(Avulsos!$D$6:$D$205,$C354)&amp;""="","Outro",INDEX(Avulsos!$D$6:$D$205,$C354))))</f>
        <v/>
      </c>
      <c r="J354" s="114" t="str">
        <f aca="false">IF($E354="","",IF($B354="Tema",INDEX(Temas!$C$6:$C$305,$C354)&amp;"",INDEX(Avulsos!$E$6:$E$205,$C354)&amp;""))</f>
        <v/>
      </c>
      <c r="K354" s="114" t="str">
        <f aca="false">IF($E354="","",IF(IF($B354="Tema",INDEX(Temas!$E$6:$P$305,$C354,2*$D354),INDEX(Avulsos!$F$6:$F$205,$C354))&amp;""="","","✓"))</f>
        <v/>
      </c>
      <c r="L354" s="114" t="str">
        <f aca="true">IF($E354="","",IF($K354="✓","Concluído",IF($E354&lt;TODAY(),"Atrasado",IF($E354=TODAY(),"Hoje","Pendente"))))</f>
        <v/>
      </c>
      <c r="M354" s="114" t="str">
        <f aca="false">IF($E354="","",IF($K354="✓","✓ ","")&amp;IF(Config!$E$22="Sim",$H354&amp;" · ","")&amp;$F354)</f>
        <v/>
      </c>
      <c r="N354" s="114" t="str">
        <f aca="false">IF($E354="","",IFERROR(INDEX(Config!$D$15:$D$19,MATCH($I354,Config!$C$15:$C$19,0)),"OUT")&amp;IF($K354="✓","x",""))</f>
        <v/>
      </c>
      <c r="O354" s="114" t="str">
        <f aca="false">IF($E354="","",COUNTIF($E$5:$E354,$E354))</f>
        <v/>
      </c>
      <c r="P354" s="114" t="str">
        <f aca="false">IF($E354="","",$E354*100+$O354)</f>
        <v/>
      </c>
      <c r="Q354" s="114" t="str">
        <f aca="false">IF($L354="Atrasado",$E354*10000+$A354,"")</f>
        <v/>
      </c>
    </row>
    <row r="355" customFormat="false" ht="15" hidden="false" customHeight="false" outlineLevel="0" collapsed="false">
      <c r="A355" s="114" t="n">
        <f aca="false">ROW()-4</f>
        <v>351</v>
      </c>
      <c r="B355" s="114" t="str">
        <f aca="false">IF(A355&lt;=Config!$E$27*Config!$E$28,"Tema","Avulso")</f>
        <v>Tema</v>
      </c>
      <c r="C355" s="114" t="n">
        <f aca="false">IF(B355="Tema",INT((A355-1)/Config!$E$28)+1,A355-Config!$E$27*Config!$E$28)</f>
        <v>59</v>
      </c>
      <c r="D355" s="114" t="n">
        <f aca="false">IF(B355="Tema",MOD(A355-1,Config!$E$28)+1,"")</f>
        <v>3</v>
      </c>
      <c r="E355" s="115" t="str">
        <f aca="false">IF($B355="Tema",IF(ISNUMBER(INDEX(Temas!$E$6:$P$305,$C355,2*$D355-1)),INDEX(Temas!$E$6:$P$305,$C355,2*$D355-1),""),IF(ISNUMBER(INDEX(Avulsos!$B$6:$B$205,$C355)),INDEX(Avulsos!$B$6:$B$205,$C355),""))</f>
        <v/>
      </c>
      <c r="F355" s="114" t="str">
        <f aca="false">IF($E355="","",IF($B355="Tema",INDEX(Temas!$B$6:$B$305,$C355)&amp;"",INDEX(Avulsos!$C$6:$C$205,$C355)&amp;""))</f>
        <v/>
      </c>
      <c r="G355" s="114" t="str">
        <f aca="false">IF($E355="","",IF($B355="Tema",INDEX(Config!$C$6:$C$11,$D355),"Evento avulso"))</f>
        <v/>
      </c>
      <c r="H355" s="114" t="str">
        <f aca="false">IF($E355="","",IF($B355="Tema",INDEX(Config!$D$6:$D$11,$D355),IFERROR(INDEX(Config!$E$15:$E$19,MATCH($I355,Config!$C$15:$C$19,0)),"•")))</f>
        <v/>
      </c>
      <c r="I355" s="114" t="str">
        <f aca="false">IF($E355="","",IF($B355="Tema",INDEX(Config!$E$6:$E$11,$D355),IF(INDEX(Avulsos!$D$6:$D$205,$C355)&amp;""="","Outro",INDEX(Avulsos!$D$6:$D$205,$C355))))</f>
        <v/>
      </c>
      <c r="J355" s="114" t="str">
        <f aca="false">IF($E355="","",IF($B355="Tema",INDEX(Temas!$C$6:$C$305,$C355)&amp;"",INDEX(Avulsos!$E$6:$E$205,$C355)&amp;""))</f>
        <v/>
      </c>
      <c r="K355" s="114" t="str">
        <f aca="false">IF($E355="","",IF(IF($B355="Tema",INDEX(Temas!$E$6:$P$305,$C355,2*$D355),INDEX(Avulsos!$F$6:$F$205,$C355))&amp;""="","","✓"))</f>
        <v/>
      </c>
      <c r="L355" s="114" t="str">
        <f aca="true">IF($E355="","",IF($K355="✓","Concluído",IF($E355&lt;TODAY(),"Atrasado",IF($E355=TODAY(),"Hoje","Pendente"))))</f>
        <v/>
      </c>
      <c r="M355" s="114" t="str">
        <f aca="false">IF($E355="","",IF($K355="✓","✓ ","")&amp;IF(Config!$E$22="Sim",$H355&amp;" · ","")&amp;$F355)</f>
        <v/>
      </c>
      <c r="N355" s="114" t="str">
        <f aca="false">IF($E355="","",IFERROR(INDEX(Config!$D$15:$D$19,MATCH($I355,Config!$C$15:$C$19,0)),"OUT")&amp;IF($K355="✓","x",""))</f>
        <v/>
      </c>
      <c r="O355" s="114" t="str">
        <f aca="false">IF($E355="","",COUNTIF($E$5:$E355,$E355))</f>
        <v/>
      </c>
      <c r="P355" s="114" t="str">
        <f aca="false">IF($E355="","",$E355*100+$O355)</f>
        <v/>
      </c>
      <c r="Q355" s="114" t="str">
        <f aca="false">IF($L355="Atrasado",$E355*10000+$A355,"")</f>
        <v/>
      </c>
    </row>
    <row r="356" customFormat="false" ht="15" hidden="false" customHeight="false" outlineLevel="0" collapsed="false">
      <c r="A356" s="114" t="n">
        <f aca="false">ROW()-4</f>
        <v>352</v>
      </c>
      <c r="B356" s="114" t="str">
        <f aca="false">IF(A356&lt;=Config!$E$27*Config!$E$28,"Tema","Avulso")</f>
        <v>Tema</v>
      </c>
      <c r="C356" s="114" t="n">
        <f aca="false">IF(B356="Tema",INT((A356-1)/Config!$E$28)+1,A356-Config!$E$27*Config!$E$28)</f>
        <v>59</v>
      </c>
      <c r="D356" s="114" t="n">
        <f aca="false">IF(B356="Tema",MOD(A356-1,Config!$E$28)+1,"")</f>
        <v>4</v>
      </c>
      <c r="E356" s="115" t="str">
        <f aca="false">IF($B356="Tema",IF(ISNUMBER(INDEX(Temas!$E$6:$P$305,$C356,2*$D356-1)),INDEX(Temas!$E$6:$P$305,$C356,2*$D356-1),""),IF(ISNUMBER(INDEX(Avulsos!$B$6:$B$205,$C356)),INDEX(Avulsos!$B$6:$B$205,$C356),""))</f>
        <v/>
      </c>
      <c r="F356" s="114" t="str">
        <f aca="false">IF($E356="","",IF($B356="Tema",INDEX(Temas!$B$6:$B$305,$C356)&amp;"",INDEX(Avulsos!$C$6:$C$205,$C356)&amp;""))</f>
        <v/>
      </c>
      <c r="G356" s="114" t="str">
        <f aca="false">IF($E356="","",IF($B356="Tema",INDEX(Config!$C$6:$C$11,$D356),"Evento avulso"))</f>
        <v/>
      </c>
      <c r="H356" s="114" t="str">
        <f aca="false">IF($E356="","",IF($B356="Tema",INDEX(Config!$D$6:$D$11,$D356),IFERROR(INDEX(Config!$E$15:$E$19,MATCH($I356,Config!$C$15:$C$19,0)),"•")))</f>
        <v/>
      </c>
      <c r="I356" s="114" t="str">
        <f aca="false">IF($E356="","",IF($B356="Tema",INDEX(Config!$E$6:$E$11,$D356),IF(INDEX(Avulsos!$D$6:$D$205,$C356)&amp;""="","Outro",INDEX(Avulsos!$D$6:$D$205,$C356))))</f>
        <v/>
      </c>
      <c r="J356" s="114" t="str">
        <f aca="false">IF($E356="","",IF($B356="Tema",INDEX(Temas!$C$6:$C$305,$C356)&amp;"",INDEX(Avulsos!$E$6:$E$205,$C356)&amp;""))</f>
        <v/>
      </c>
      <c r="K356" s="114" t="str">
        <f aca="false">IF($E356="","",IF(IF($B356="Tema",INDEX(Temas!$E$6:$P$305,$C356,2*$D356),INDEX(Avulsos!$F$6:$F$205,$C356))&amp;""="","","✓"))</f>
        <v/>
      </c>
      <c r="L356" s="114" t="str">
        <f aca="true">IF($E356="","",IF($K356="✓","Concluído",IF($E356&lt;TODAY(),"Atrasado",IF($E356=TODAY(),"Hoje","Pendente"))))</f>
        <v/>
      </c>
      <c r="M356" s="114" t="str">
        <f aca="false">IF($E356="","",IF($K356="✓","✓ ","")&amp;IF(Config!$E$22="Sim",$H356&amp;" · ","")&amp;$F356)</f>
        <v/>
      </c>
      <c r="N356" s="114" t="str">
        <f aca="false">IF($E356="","",IFERROR(INDEX(Config!$D$15:$D$19,MATCH($I356,Config!$C$15:$C$19,0)),"OUT")&amp;IF($K356="✓","x",""))</f>
        <v/>
      </c>
      <c r="O356" s="114" t="str">
        <f aca="false">IF($E356="","",COUNTIF($E$5:$E356,$E356))</f>
        <v/>
      </c>
      <c r="P356" s="114" t="str">
        <f aca="false">IF($E356="","",$E356*100+$O356)</f>
        <v/>
      </c>
      <c r="Q356" s="114" t="str">
        <f aca="false">IF($L356="Atrasado",$E356*10000+$A356,"")</f>
        <v/>
      </c>
    </row>
    <row r="357" customFormat="false" ht="15" hidden="false" customHeight="false" outlineLevel="0" collapsed="false">
      <c r="A357" s="114" t="n">
        <f aca="false">ROW()-4</f>
        <v>353</v>
      </c>
      <c r="B357" s="114" t="str">
        <f aca="false">IF(A357&lt;=Config!$E$27*Config!$E$28,"Tema","Avulso")</f>
        <v>Tema</v>
      </c>
      <c r="C357" s="114" t="n">
        <f aca="false">IF(B357="Tema",INT((A357-1)/Config!$E$28)+1,A357-Config!$E$27*Config!$E$28)</f>
        <v>59</v>
      </c>
      <c r="D357" s="114" t="n">
        <f aca="false">IF(B357="Tema",MOD(A357-1,Config!$E$28)+1,"")</f>
        <v>5</v>
      </c>
      <c r="E357" s="115" t="str">
        <f aca="false">IF($B357="Tema",IF(ISNUMBER(INDEX(Temas!$E$6:$P$305,$C357,2*$D357-1)),INDEX(Temas!$E$6:$P$305,$C357,2*$D357-1),""),IF(ISNUMBER(INDEX(Avulsos!$B$6:$B$205,$C357)),INDEX(Avulsos!$B$6:$B$205,$C357),""))</f>
        <v/>
      </c>
      <c r="F357" s="114" t="str">
        <f aca="false">IF($E357="","",IF($B357="Tema",INDEX(Temas!$B$6:$B$305,$C357)&amp;"",INDEX(Avulsos!$C$6:$C$205,$C357)&amp;""))</f>
        <v/>
      </c>
      <c r="G357" s="114" t="str">
        <f aca="false">IF($E357="","",IF($B357="Tema",INDEX(Config!$C$6:$C$11,$D357),"Evento avulso"))</f>
        <v/>
      </c>
      <c r="H357" s="114" t="str">
        <f aca="false">IF($E357="","",IF($B357="Tema",INDEX(Config!$D$6:$D$11,$D357),IFERROR(INDEX(Config!$E$15:$E$19,MATCH($I357,Config!$C$15:$C$19,0)),"•")))</f>
        <v/>
      </c>
      <c r="I357" s="114" t="str">
        <f aca="false">IF($E357="","",IF($B357="Tema",INDEX(Config!$E$6:$E$11,$D357),IF(INDEX(Avulsos!$D$6:$D$205,$C357)&amp;""="","Outro",INDEX(Avulsos!$D$6:$D$205,$C357))))</f>
        <v/>
      </c>
      <c r="J357" s="114" t="str">
        <f aca="false">IF($E357="","",IF($B357="Tema",INDEX(Temas!$C$6:$C$305,$C357)&amp;"",INDEX(Avulsos!$E$6:$E$205,$C357)&amp;""))</f>
        <v/>
      </c>
      <c r="K357" s="114" t="str">
        <f aca="false">IF($E357="","",IF(IF($B357="Tema",INDEX(Temas!$E$6:$P$305,$C357,2*$D357),INDEX(Avulsos!$F$6:$F$205,$C357))&amp;""="","","✓"))</f>
        <v/>
      </c>
      <c r="L357" s="114" t="str">
        <f aca="true">IF($E357="","",IF($K357="✓","Concluído",IF($E357&lt;TODAY(),"Atrasado",IF($E357=TODAY(),"Hoje","Pendente"))))</f>
        <v/>
      </c>
      <c r="M357" s="114" t="str">
        <f aca="false">IF($E357="","",IF($K357="✓","✓ ","")&amp;IF(Config!$E$22="Sim",$H357&amp;" · ","")&amp;$F357)</f>
        <v/>
      </c>
      <c r="N357" s="114" t="str">
        <f aca="false">IF($E357="","",IFERROR(INDEX(Config!$D$15:$D$19,MATCH($I357,Config!$C$15:$C$19,0)),"OUT")&amp;IF($K357="✓","x",""))</f>
        <v/>
      </c>
      <c r="O357" s="114" t="str">
        <f aca="false">IF($E357="","",COUNTIF($E$5:$E357,$E357))</f>
        <v/>
      </c>
      <c r="P357" s="114" t="str">
        <f aca="false">IF($E357="","",$E357*100+$O357)</f>
        <v/>
      </c>
      <c r="Q357" s="114" t="str">
        <f aca="false">IF($L357="Atrasado",$E357*10000+$A357,"")</f>
        <v/>
      </c>
    </row>
    <row r="358" customFormat="false" ht="15" hidden="false" customHeight="false" outlineLevel="0" collapsed="false">
      <c r="A358" s="114" t="n">
        <f aca="false">ROW()-4</f>
        <v>354</v>
      </c>
      <c r="B358" s="114" t="str">
        <f aca="false">IF(A358&lt;=Config!$E$27*Config!$E$28,"Tema","Avulso")</f>
        <v>Tema</v>
      </c>
      <c r="C358" s="114" t="n">
        <f aca="false">IF(B358="Tema",INT((A358-1)/Config!$E$28)+1,A358-Config!$E$27*Config!$E$28)</f>
        <v>59</v>
      </c>
      <c r="D358" s="114" t="n">
        <f aca="false">IF(B358="Tema",MOD(A358-1,Config!$E$28)+1,"")</f>
        <v>6</v>
      </c>
      <c r="E358" s="115" t="str">
        <f aca="false">IF($B358="Tema",IF(ISNUMBER(INDEX(Temas!$E$6:$P$305,$C358,2*$D358-1)),INDEX(Temas!$E$6:$P$305,$C358,2*$D358-1),""),IF(ISNUMBER(INDEX(Avulsos!$B$6:$B$205,$C358)),INDEX(Avulsos!$B$6:$B$205,$C358),""))</f>
        <v/>
      </c>
      <c r="F358" s="114" t="str">
        <f aca="false">IF($E358="","",IF($B358="Tema",INDEX(Temas!$B$6:$B$305,$C358)&amp;"",INDEX(Avulsos!$C$6:$C$205,$C358)&amp;""))</f>
        <v/>
      </c>
      <c r="G358" s="114" t="str">
        <f aca="false">IF($E358="","",IF($B358="Tema",INDEX(Config!$C$6:$C$11,$D358),"Evento avulso"))</f>
        <v/>
      </c>
      <c r="H358" s="114" t="str">
        <f aca="false">IF($E358="","",IF($B358="Tema",INDEX(Config!$D$6:$D$11,$D358),IFERROR(INDEX(Config!$E$15:$E$19,MATCH($I358,Config!$C$15:$C$19,0)),"•")))</f>
        <v/>
      </c>
      <c r="I358" s="114" t="str">
        <f aca="false">IF($E358="","",IF($B358="Tema",INDEX(Config!$E$6:$E$11,$D358),IF(INDEX(Avulsos!$D$6:$D$205,$C358)&amp;""="","Outro",INDEX(Avulsos!$D$6:$D$205,$C358))))</f>
        <v/>
      </c>
      <c r="J358" s="114" t="str">
        <f aca="false">IF($E358="","",IF($B358="Tema",INDEX(Temas!$C$6:$C$305,$C358)&amp;"",INDEX(Avulsos!$E$6:$E$205,$C358)&amp;""))</f>
        <v/>
      </c>
      <c r="K358" s="114" t="str">
        <f aca="false">IF($E358="","",IF(IF($B358="Tema",INDEX(Temas!$E$6:$P$305,$C358,2*$D358),INDEX(Avulsos!$F$6:$F$205,$C358))&amp;""="","","✓"))</f>
        <v/>
      </c>
      <c r="L358" s="114" t="str">
        <f aca="true">IF($E358="","",IF($K358="✓","Concluído",IF($E358&lt;TODAY(),"Atrasado",IF($E358=TODAY(),"Hoje","Pendente"))))</f>
        <v/>
      </c>
      <c r="M358" s="114" t="str">
        <f aca="false">IF($E358="","",IF($K358="✓","✓ ","")&amp;IF(Config!$E$22="Sim",$H358&amp;" · ","")&amp;$F358)</f>
        <v/>
      </c>
      <c r="N358" s="114" t="str">
        <f aca="false">IF($E358="","",IFERROR(INDEX(Config!$D$15:$D$19,MATCH($I358,Config!$C$15:$C$19,0)),"OUT")&amp;IF($K358="✓","x",""))</f>
        <v/>
      </c>
      <c r="O358" s="114" t="str">
        <f aca="false">IF($E358="","",COUNTIF($E$5:$E358,$E358))</f>
        <v/>
      </c>
      <c r="P358" s="114" t="str">
        <f aca="false">IF($E358="","",$E358*100+$O358)</f>
        <v/>
      </c>
      <c r="Q358" s="114" t="str">
        <f aca="false">IF($L358="Atrasado",$E358*10000+$A358,"")</f>
        <v/>
      </c>
    </row>
    <row r="359" customFormat="false" ht="15" hidden="false" customHeight="false" outlineLevel="0" collapsed="false">
      <c r="A359" s="114" t="n">
        <f aca="false">ROW()-4</f>
        <v>355</v>
      </c>
      <c r="B359" s="114" t="str">
        <f aca="false">IF(A359&lt;=Config!$E$27*Config!$E$28,"Tema","Avulso")</f>
        <v>Tema</v>
      </c>
      <c r="C359" s="114" t="n">
        <f aca="false">IF(B359="Tema",INT((A359-1)/Config!$E$28)+1,A359-Config!$E$27*Config!$E$28)</f>
        <v>60</v>
      </c>
      <c r="D359" s="114" t="n">
        <f aca="false">IF(B359="Tema",MOD(A359-1,Config!$E$28)+1,"")</f>
        <v>1</v>
      </c>
      <c r="E359" s="115" t="str">
        <f aca="false">IF($B359="Tema",IF(ISNUMBER(INDEX(Temas!$E$6:$P$305,$C359,2*$D359-1)),INDEX(Temas!$E$6:$P$305,$C359,2*$D359-1),""),IF(ISNUMBER(INDEX(Avulsos!$B$6:$B$205,$C359)),INDEX(Avulsos!$B$6:$B$205,$C359),""))</f>
        <v/>
      </c>
      <c r="F359" s="114" t="str">
        <f aca="false">IF($E359="","",IF($B359="Tema",INDEX(Temas!$B$6:$B$305,$C359)&amp;"",INDEX(Avulsos!$C$6:$C$205,$C359)&amp;""))</f>
        <v/>
      </c>
      <c r="G359" s="114" t="str">
        <f aca="false">IF($E359="","",IF($B359="Tema",INDEX(Config!$C$6:$C$11,$D359),"Evento avulso"))</f>
        <v/>
      </c>
      <c r="H359" s="114" t="str">
        <f aca="false">IF($E359="","",IF($B359="Tema",INDEX(Config!$D$6:$D$11,$D359),IFERROR(INDEX(Config!$E$15:$E$19,MATCH($I359,Config!$C$15:$C$19,0)),"•")))</f>
        <v/>
      </c>
      <c r="I359" s="114" t="str">
        <f aca="false">IF($E359="","",IF($B359="Tema",INDEX(Config!$E$6:$E$11,$D359),IF(INDEX(Avulsos!$D$6:$D$205,$C359)&amp;""="","Outro",INDEX(Avulsos!$D$6:$D$205,$C359))))</f>
        <v/>
      </c>
      <c r="J359" s="114" t="str">
        <f aca="false">IF($E359="","",IF($B359="Tema",INDEX(Temas!$C$6:$C$305,$C359)&amp;"",INDEX(Avulsos!$E$6:$E$205,$C359)&amp;""))</f>
        <v/>
      </c>
      <c r="K359" s="114" t="str">
        <f aca="false">IF($E359="","",IF(IF($B359="Tema",INDEX(Temas!$E$6:$P$305,$C359,2*$D359),INDEX(Avulsos!$F$6:$F$205,$C359))&amp;""="","","✓"))</f>
        <v/>
      </c>
      <c r="L359" s="114" t="str">
        <f aca="true">IF($E359="","",IF($K359="✓","Concluído",IF($E359&lt;TODAY(),"Atrasado",IF($E359=TODAY(),"Hoje","Pendente"))))</f>
        <v/>
      </c>
      <c r="M359" s="114" t="str">
        <f aca="false">IF($E359="","",IF($K359="✓","✓ ","")&amp;IF(Config!$E$22="Sim",$H359&amp;" · ","")&amp;$F359)</f>
        <v/>
      </c>
      <c r="N359" s="114" t="str">
        <f aca="false">IF($E359="","",IFERROR(INDEX(Config!$D$15:$D$19,MATCH($I359,Config!$C$15:$C$19,0)),"OUT")&amp;IF($K359="✓","x",""))</f>
        <v/>
      </c>
      <c r="O359" s="114" t="str">
        <f aca="false">IF($E359="","",COUNTIF($E$5:$E359,$E359))</f>
        <v/>
      </c>
      <c r="P359" s="114" t="str">
        <f aca="false">IF($E359="","",$E359*100+$O359)</f>
        <v/>
      </c>
      <c r="Q359" s="114" t="str">
        <f aca="false">IF($L359="Atrasado",$E359*10000+$A359,"")</f>
        <v/>
      </c>
    </row>
    <row r="360" customFormat="false" ht="15" hidden="false" customHeight="false" outlineLevel="0" collapsed="false">
      <c r="A360" s="114" t="n">
        <f aca="false">ROW()-4</f>
        <v>356</v>
      </c>
      <c r="B360" s="114" t="str">
        <f aca="false">IF(A360&lt;=Config!$E$27*Config!$E$28,"Tema","Avulso")</f>
        <v>Tema</v>
      </c>
      <c r="C360" s="114" t="n">
        <f aca="false">IF(B360="Tema",INT((A360-1)/Config!$E$28)+1,A360-Config!$E$27*Config!$E$28)</f>
        <v>60</v>
      </c>
      <c r="D360" s="114" t="n">
        <f aca="false">IF(B360="Tema",MOD(A360-1,Config!$E$28)+1,"")</f>
        <v>2</v>
      </c>
      <c r="E360" s="115" t="str">
        <f aca="false">IF($B360="Tema",IF(ISNUMBER(INDEX(Temas!$E$6:$P$305,$C360,2*$D360-1)),INDEX(Temas!$E$6:$P$305,$C360,2*$D360-1),""),IF(ISNUMBER(INDEX(Avulsos!$B$6:$B$205,$C360)),INDEX(Avulsos!$B$6:$B$205,$C360),""))</f>
        <v/>
      </c>
      <c r="F360" s="114" t="str">
        <f aca="false">IF($E360="","",IF($B360="Tema",INDEX(Temas!$B$6:$B$305,$C360)&amp;"",INDEX(Avulsos!$C$6:$C$205,$C360)&amp;""))</f>
        <v/>
      </c>
      <c r="G360" s="114" t="str">
        <f aca="false">IF($E360="","",IF($B360="Tema",INDEX(Config!$C$6:$C$11,$D360),"Evento avulso"))</f>
        <v/>
      </c>
      <c r="H360" s="114" t="str">
        <f aca="false">IF($E360="","",IF($B360="Tema",INDEX(Config!$D$6:$D$11,$D360),IFERROR(INDEX(Config!$E$15:$E$19,MATCH($I360,Config!$C$15:$C$19,0)),"•")))</f>
        <v/>
      </c>
      <c r="I360" s="114" t="str">
        <f aca="false">IF($E360="","",IF($B360="Tema",INDEX(Config!$E$6:$E$11,$D360),IF(INDEX(Avulsos!$D$6:$D$205,$C360)&amp;""="","Outro",INDEX(Avulsos!$D$6:$D$205,$C360))))</f>
        <v/>
      </c>
      <c r="J360" s="114" t="str">
        <f aca="false">IF($E360="","",IF($B360="Tema",INDEX(Temas!$C$6:$C$305,$C360)&amp;"",INDEX(Avulsos!$E$6:$E$205,$C360)&amp;""))</f>
        <v/>
      </c>
      <c r="K360" s="114" t="str">
        <f aca="false">IF($E360="","",IF(IF($B360="Tema",INDEX(Temas!$E$6:$P$305,$C360,2*$D360),INDEX(Avulsos!$F$6:$F$205,$C360))&amp;""="","","✓"))</f>
        <v/>
      </c>
      <c r="L360" s="114" t="str">
        <f aca="true">IF($E360="","",IF($K360="✓","Concluído",IF($E360&lt;TODAY(),"Atrasado",IF($E360=TODAY(),"Hoje","Pendente"))))</f>
        <v/>
      </c>
      <c r="M360" s="114" t="str">
        <f aca="false">IF($E360="","",IF($K360="✓","✓ ","")&amp;IF(Config!$E$22="Sim",$H360&amp;" · ","")&amp;$F360)</f>
        <v/>
      </c>
      <c r="N360" s="114" t="str">
        <f aca="false">IF($E360="","",IFERROR(INDEX(Config!$D$15:$D$19,MATCH($I360,Config!$C$15:$C$19,0)),"OUT")&amp;IF($K360="✓","x",""))</f>
        <v/>
      </c>
      <c r="O360" s="114" t="str">
        <f aca="false">IF($E360="","",COUNTIF($E$5:$E360,$E360))</f>
        <v/>
      </c>
      <c r="P360" s="114" t="str">
        <f aca="false">IF($E360="","",$E360*100+$O360)</f>
        <v/>
      </c>
      <c r="Q360" s="114" t="str">
        <f aca="false">IF($L360="Atrasado",$E360*10000+$A360,"")</f>
        <v/>
      </c>
    </row>
    <row r="361" customFormat="false" ht="15" hidden="false" customHeight="false" outlineLevel="0" collapsed="false">
      <c r="A361" s="114" t="n">
        <f aca="false">ROW()-4</f>
        <v>357</v>
      </c>
      <c r="B361" s="114" t="str">
        <f aca="false">IF(A361&lt;=Config!$E$27*Config!$E$28,"Tema","Avulso")</f>
        <v>Tema</v>
      </c>
      <c r="C361" s="114" t="n">
        <f aca="false">IF(B361="Tema",INT((A361-1)/Config!$E$28)+1,A361-Config!$E$27*Config!$E$28)</f>
        <v>60</v>
      </c>
      <c r="D361" s="114" t="n">
        <f aca="false">IF(B361="Tema",MOD(A361-1,Config!$E$28)+1,"")</f>
        <v>3</v>
      </c>
      <c r="E361" s="115" t="str">
        <f aca="false">IF($B361="Tema",IF(ISNUMBER(INDEX(Temas!$E$6:$P$305,$C361,2*$D361-1)),INDEX(Temas!$E$6:$P$305,$C361,2*$D361-1),""),IF(ISNUMBER(INDEX(Avulsos!$B$6:$B$205,$C361)),INDEX(Avulsos!$B$6:$B$205,$C361),""))</f>
        <v/>
      </c>
      <c r="F361" s="114" t="str">
        <f aca="false">IF($E361="","",IF($B361="Tema",INDEX(Temas!$B$6:$B$305,$C361)&amp;"",INDEX(Avulsos!$C$6:$C$205,$C361)&amp;""))</f>
        <v/>
      </c>
      <c r="G361" s="114" t="str">
        <f aca="false">IF($E361="","",IF($B361="Tema",INDEX(Config!$C$6:$C$11,$D361),"Evento avulso"))</f>
        <v/>
      </c>
      <c r="H361" s="114" t="str">
        <f aca="false">IF($E361="","",IF($B361="Tema",INDEX(Config!$D$6:$D$11,$D361),IFERROR(INDEX(Config!$E$15:$E$19,MATCH($I361,Config!$C$15:$C$19,0)),"•")))</f>
        <v/>
      </c>
      <c r="I361" s="114" t="str">
        <f aca="false">IF($E361="","",IF($B361="Tema",INDEX(Config!$E$6:$E$11,$D361),IF(INDEX(Avulsos!$D$6:$D$205,$C361)&amp;""="","Outro",INDEX(Avulsos!$D$6:$D$205,$C361))))</f>
        <v/>
      </c>
      <c r="J361" s="114" t="str">
        <f aca="false">IF($E361="","",IF($B361="Tema",INDEX(Temas!$C$6:$C$305,$C361)&amp;"",INDEX(Avulsos!$E$6:$E$205,$C361)&amp;""))</f>
        <v/>
      </c>
      <c r="K361" s="114" t="str">
        <f aca="false">IF($E361="","",IF(IF($B361="Tema",INDEX(Temas!$E$6:$P$305,$C361,2*$D361),INDEX(Avulsos!$F$6:$F$205,$C361))&amp;""="","","✓"))</f>
        <v/>
      </c>
      <c r="L361" s="114" t="str">
        <f aca="true">IF($E361="","",IF($K361="✓","Concluído",IF($E361&lt;TODAY(),"Atrasado",IF($E361=TODAY(),"Hoje","Pendente"))))</f>
        <v/>
      </c>
      <c r="M361" s="114" t="str">
        <f aca="false">IF($E361="","",IF($K361="✓","✓ ","")&amp;IF(Config!$E$22="Sim",$H361&amp;" · ","")&amp;$F361)</f>
        <v/>
      </c>
      <c r="N361" s="114" t="str">
        <f aca="false">IF($E361="","",IFERROR(INDEX(Config!$D$15:$D$19,MATCH($I361,Config!$C$15:$C$19,0)),"OUT")&amp;IF($K361="✓","x",""))</f>
        <v/>
      </c>
      <c r="O361" s="114" t="str">
        <f aca="false">IF($E361="","",COUNTIF($E$5:$E361,$E361))</f>
        <v/>
      </c>
      <c r="P361" s="114" t="str">
        <f aca="false">IF($E361="","",$E361*100+$O361)</f>
        <v/>
      </c>
      <c r="Q361" s="114" t="str">
        <f aca="false">IF($L361="Atrasado",$E361*10000+$A361,"")</f>
        <v/>
      </c>
    </row>
    <row r="362" customFormat="false" ht="15" hidden="false" customHeight="false" outlineLevel="0" collapsed="false">
      <c r="A362" s="114" t="n">
        <f aca="false">ROW()-4</f>
        <v>358</v>
      </c>
      <c r="B362" s="114" t="str">
        <f aca="false">IF(A362&lt;=Config!$E$27*Config!$E$28,"Tema","Avulso")</f>
        <v>Tema</v>
      </c>
      <c r="C362" s="114" t="n">
        <f aca="false">IF(B362="Tema",INT((A362-1)/Config!$E$28)+1,A362-Config!$E$27*Config!$E$28)</f>
        <v>60</v>
      </c>
      <c r="D362" s="114" t="n">
        <f aca="false">IF(B362="Tema",MOD(A362-1,Config!$E$28)+1,"")</f>
        <v>4</v>
      </c>
      <c r="E362" s="115" t="str">
        <f aca="false">IF($B362="Tema",IF(ISNUMBER(INDEX(Temas!$E$6:$P$305,$C362,2*$D362-1)),INDEX(Temas!$E$6:$P$305,$C362,2*$D362-1),""),IF(ISNUMBER(INDEX(Avulsos!$B$6:$B$205,$C362)),INDEX(Avulsos!$B$6:$B$205,$C362),""))</f>
        <v/>
      </c>
      <c r="F362" s="114" t="str">
        <f aca="false">IF($E362="","",IF($B362="Tema",INDEX(Temas!$B$6:$B$305,$C362)&amp;"",INDEX(Avulsos!$C$6:$C$205,$C362)&amp;""))</f>
        <v/>
      </c>
      <c r="G362" s="114" t="str">
        <f aca="false">IF($E362="","",IF($B362="Tema",INDEX(Config!$C$6:$C$11,$D362),"Evento avulso"))</f>
        <v/>
      </c>
      <c r="H362" s="114" t="str">
        <f aca="false">IF($E362="","",IF($B362="Tema",INDEX(Config!$D$6:$D$11,$D362),IFERROR(INDEX(Config!$E$15:$E$19,MATCH($I362,Config!$C$15:$C$19,0)),"•")))</f>
        <v/>
      </c>
      <c r="I362" s="114" t="str">
        <f aca="false">IF($E362="","",IF($B362="Tema",INDEX(Config!$E$6:$E$11,$D362),IF(INDEX(Avulsos!$D$6:$D$205,$C362)&amp;""="","Outro",INDEX(Avulsos!$D$6:$D$205,$C362))))</f>
        <v/>
      </c>
      <c r="J362" s="114" t="str">
        <f aca="false">IF($E362="","",IF($B362="Tema",INDEX(Temas!$C$6:$C$305,$C362)&amp;"",INDEX(Avulsos!$E$6:$E$205,$C362)&amp;""))</f>
        <v/>
      </c>
      <c r="K362" s="114" t="str">
        <f aca="false">IF($E362="","",IF(IF($B362="Tema",INDEX(Temas!$E$6:$P$305,$C362,2*$D362),INDEX(Avulsos!$F$6:$F$205,$C362))&amp;""="","","✓"))</f>
        <v/>
      </c>
      <c r="L362" s="114" t="str">
        <f aca="true">IF($E362="","",IF($K362="✓","Concluído",IF($E362&lt;TODAY(),"Atrasado",IF($E362=TODAY(),"Hoje","Pendente"))))</f>
        <v/>
      </c>
      <c r="M362" s="114" t="str">
        <f aca="false">IF($E362="","",IF($K362="✓","✓ ","")&amp;IF(Config!$E$22="Sim",$H362&amp;" · ","")&amp;$F362)</f>
        <v/>
      </c>
      <c r="N362" s="114" t="str">
        <f aca="false">IF($E362="","",IFERROR(INDEX(Config!$D$15:$D$19,MATCH($I362,Config!$C$15:$C$19,0)),"OUT")&amp;IF($K362="✓","x",""))</f>
        <v/>
      </c>
      <c r="O362" s="114" t="str">
        <f aca="false">IF($E362="","",COUNTIF($E$5:$E362,$E362))</f>
        <v/>
      </c>
      <c r="P362" s="114" t="str">
        <f aca="false">IF($E362="","",$E362*100+$O362)</f>
        <v/>
      </c>
      <c r="Q362" s="114" t="str">
        <f aca="false">IF($L362="Atrasado",$E362*10000+$A362,"")</f>
        <v/>
      </c>
    </row>
    <row r="363" customFormat="false" ht="15" hidden="false" customHeight="false" outlineLevel="0" collapsed="false">
      <c r="A363" s="114" t="n">
        <f aca="false">ROW()-4</f>
        <v>359</v>
      </c>
      <c r="B363" s="114" t="str">
        <f aca="false">IF(A363&lt;=Config!$E$27*Config!$E$28,"Tema","Avulso")</f>
        <v>Tema</v>
      </c>
      <c r="C363" s="114" t="n">
        <f aca="false">IF(B363="Tema",INT((A363-1)/Config!$E$28)+1,A363-Config!$E$27*Config!$E$28)</f>
        <v>60</v>
      </c>
      <c r="D363" s="114" t="n">
        <f aca="false">IF(B363="Tema",MOD(A363-1,Config!$E$28)+1,"")</f>
        <v>5</v>
      </c>
      <c r="E363" s="115" t="str">
        <f aca="false">IF($B363="Tema",IF(ISNUMBER(INDEX(Temas!$E$6:$P$305,$C363,2*$D363-1)),INDEX(Temas!$E$6:$P$305,$C363,2*$D363-1),""),IF(ISNUMBER(INDEX(Avulsos!$B$6:$B$205,$C363)),INDEX(Avulsos!$B$6:$B$205,$C363),""))</f>
        <v/>
      </c>
      <c r="F363" s="114" t="str">
        <f aca="false">IF($E363="","",IF($B363="Tema",INDEX(Temas!$B$6:$B$305,$C363)&amp;"",INDEX(Avulsos!$C$6:$C$205,$C363)&amp;""))</f>
        <v/>
      </c>
      <c r="G363" s="114" t="str">
        <f aca="false">IF($E363="","",IF($B363="Tema",INDEX(Config!$C$6:$C$11,$D363),"Evento avulso"))</f>
        <v/>
      </c>
      <c r="H363" s="114" t="str">
        <f aca="false">IF($E363="","",IF($B363="Tema",INDEX(Config!$D$6:$D$11,$D363),IFERROR(INDEX(Config!$E$15:$E$19,MATCH($I363,Config!$C$15:$C$19,0)),"•")))</f>
        <v/>
      </c>
      <c r="I363" s="114" t="str">
        <f aca="false">IF($E363="","",IF($B363="Tema",INDEX(Config!$E$6:$E$11,$D363),IF(INDEX(Avulsos!$D$6:$D$205,$C363)&amp;""="","Outro",INDEX(Avulsos!$D$6:$D$205,$C363))))</f>
        <v/>
      </c>
      <c r="J363" s="114" t="str">
        <f aca="false">IF($E363="","",IF($B363="Tema",INDEX(Temas!$C$6:$C$305,$C363)&amp;"",INDEX(Avulsos!$E$6:$E$205,$C363)&amp;""))</f>
        <v/>
      </c>
      <c r="K363" s="114" t="str">
        <f aca="false">IF($E363="","",IF(IF($B363="Tema",INDEX(Temas!$E$6:$P$305,$C363,2*$D363),INDEX(Avulsos!$F$6:$F$205,$C363))&amp;""="","","✓"))</f>
        <v/>
      </c>
      <c r="L363" s="114" t="str">
        <f aca="true">IF($E363="","",IF($K363="✓","Concluído",IF($E363&lt;TODAY(),"Atrasado",IF($E363=TODAY(),"Hoje","Pendente"))))</f>
        <v/>
      </c>
      <c r="M363" s="114" t="str">
        <f aca="false">IF($E363="","",IF($K363="✓","✓ ","")&amp;IF(Config!$E$22="Sim",$H363&amp;" · ","")&amp;$F363)</f>
        <v/>
      </c>
      <c r="N363" s="114" t="str">
        <f aca="false">IF($E363="","",IFERROR(INDEX(Config!$D$15:$D$19,MATCH($I363,Config!$C$15:$C$19,0)),"OUT")&amp;IF($K363="✓","x",""))</f>
        <v/>
      </c>
      <c r="O363" s="114" t="str">
        <f aca="false">IF($E363="","",COUNTIF($E$5:$E363,$E363))</f>
        <v/>
      </c>
      <c r="P363" s="114" t="str">
        <f aca="false">IF($E363="","",$E363*100+$O363)</f>
        <v/>
      </c>
      <c r="Q363" s="114" t="str">
        <f aca="false">IF($L363="Atrasado",$E363*10000+$A363,"")</f>
        <v/>
      </c>
    </row>
    <row r="364" customFormat="false" ht="15" hidden="false" customHeight="false" outlineLevel="0" collapsed="false">
      <c r="A364" s="114" t="n">
        <f aca="false">ROW()-4</f>
        <v>360</v>
      </c>
      <c r="B364" s="114" t="str">
        <f aca="false">IF(A364&lt;=Config!$E$27*Config!$E$28,"Tema","Avulso")</f>
        <v>Tema</v>
      </c>
      <c r="C364" s="114" t="n">
        <f aca="false">IF(B364="Tema",INT((A364-1)/Config!$E$28)+1,A364-Config!$E$27*Config!$E$28)</f>
        <v>60</v>
      </c>
      <c r="D364" s="114" t="n">
        <f aca="false">IF(B364="Tema",MOD(A364-1,Config!$E$28)+1,"")</f>
        <v>6</v>
      </c>
      <c r="E364" s="115" t="str">
        <f aca="false">IF($B364="Tema",IF(ISNUMBER(INDEX(Temas!$E$6:$P$305,$C364,2*$D364-1)),INDEX(Temas!$E$6:$P$305,$C364,2*$D364-1),""),IF(ISNUMBER(INDEX(Avulsos!$B$6:$B$205,$C364)),INDEX(Avulsos!$B$6:$B$205,$C364),""))</f>
        <v/>
      </c>
      <c r="F364" s="114" t="str">
        <f aca="false">IF($E364="","",IF($B364="Tema",INDEX(Temas!$B$6:$B$305,$C364)&amp;"",INDEX(Avulsos!$C$6:$C$205,$C364)&amp;""))</f>
        <v/>
      </c>
      <c r="G364" s="114" t="str">
        <f aca="false">IF($E364="","",IF($B364="Tema",INDEX(Config!$C$6:$C$11,$D364),"Evento avulso"))</f>
        <v/>
      </c>
      <c r="H364" s="114" t="str">
        <f aca="false">IF($E364="","",IF($B364="Tema",INDEX(Config!$D$6:$D$11,$D364),IFERROR(INDEX(Config!$E$15:$E$19,MATCH($I364,Config!$C$15:$C$19,0)),"•")))</f>
        <v/>
      </c>
      <c r="I364" s="114" t="str">
        <f aca="false">IF($E364="","",IF($B364="Tema",INDEX(Config!$E$6:$E$11,$D364),IF(INDEX(Avulsos!$D$6:$D$205,$C364)&amp;""="","Outro",INDEX(Avulsos!$D$6:$D$205,$C364))))</f>
        <v/>
      </c>
      <c r="J364" s="114" t="str">
        <f aca="false">IF($E364="","",IF($B364="Tema",INDEX(Temas!$C$6:$C$305,$C364)&amp;"",INDEX(Avulsos!$E$6:$E$205,$C364)&amp;""))</f>
        <v/>
      </c>
      <c r="K364" s="114" t="str">
        <f aca="false">IF($E364="","",IF(IF($B364="Tema",INDEX(Temas!$E$6:$P$305,$C364,2*$D364),INDEX(Avulsos!$F$6:$F$205,$C364))&amp;""="","","✓"))</f>
        <v/>
      </c>
      <c r="L364" s="114" t="str">
        <f aca="true">IF($E364="","",IF($K364="✓","Concluído",IF($E364&lt;TODAY(),"Atrasado",IF($E364=TODAY(),"Hoje","Pendente"))))</f>
        <v/>
      </c>
      <c r="M364" s="114" t="str">
        <f aca="false">IF($E364="","",IF($K364="✓","✓ ","")&amp;IF(Config!$E$22="Sim",$H364&amp;" · ","")&amp;$F364)</f>
        <v/>
      </c>
      <c r="N364" s="114" t="str">
        <f aca="false">IF($E364="","",IFERROR(INDEX(Config!$D$15:$D$19,MATCH($I364,Config!$C$15:$C$19,0)),"OUT")&amp;IF($K364="✓","x",""))</f>
        <v/>
      </c>
      <c r="O364" s="114" t="str">
        <f aca="false">IF($E364="","",COUNTIF($E$5:$E364,$E364))</f>
        <v/>
      </c>
      <c r="P364" s="114" t="str">
        <f aca="false">IF($E364="","",$E364*100+$O364)</f>
        <v/>
      </c>
      <c r="Q364" s="114" t="str">
        <f aca="false">IF($L364="Atrasado",$E364*10000+$A364,"")</f>
        <v/>
      </c>
    </row>
    <row r="365" customFormat="false" ht="15" hidden="false" customHeight="false" outlineLevel="0" collapsed="false">
      <c r="A365" s="114" t="n">
        <f aca="false">ROW()-4</f>
        <v>361</v>
      </c>
      <c r="B365" s="114" t="str">
        <f aca="false">IF(A365&lt;=Config!$E$27*Config!$E$28,"Tema","Avulso")</f>
        <v>Tema</v>
      </c>
      <c r="C365" s="114" t="n">
        <f aca="false">IF(B365="Tema",INT((A365-1)/Config!$E$28)+1,A365-Config!$E$27*Config!$E$28)</f>
        <v>61</v>
      </c>
      <c r="D365" s="114" t="n">
        <f aca="false">IF(B365="Tema",MOD(A365-1,Config!$E$28)+1,"")</f>
        <v>1</v>
      </c>
      <c r="E365" s="115" t="str">
        <f aca="false">IF($B365="Tema",IF(ISNUMBER(INDEX(Temas!$E$6:$P$305,$C365,2*$D365-1)),INDEX(Temas!$E$6:$P$305,$C365,2*$D365-1),""),IF(ISNUMBER(INDEX(Avulsos!$B$6:$B$205,$C365)),INDEX(Avulsos!$B$6:$B$205,$C365),""))</f>
        <v/>
      </c>
      <c r="F365" s="114" t="str">
        <f aca="false">IF($E365="","",IF($B365="Tema",INDEX(Temas!$B$6:$B$305,$C365)&amp;"",INDEX(Avulsos!$C$6:$C$205,$C365)&amp;""))</f>
        <v/>
      </c>
      <c r="G365" s="114" t="str">
        <f aca="false">IF($E365="","",IF($B365="Tema",INDEX(Config!$C$6:$C$11,$D365),"Evento avulso"))</f>
        <v/>
      </c>
      <c r="H365" s="114" t="str">
        <f aca="false">IF($E365="","",IF($B365="Tema",INDEX(Config!$D$6:$D$11,$D365),IFERROR(INDEX(Config!$E$15:$E$19,MATCH($I365,Config!$C$15:$C$19,0)),"•")))</f>
        <v/>
      </c>
      <c r="I365" s="114" t="str">
        <f aca="false">IF($E365="","",IF($B365="Tema",INDEX(Config!$E$6:$E$11,$D365),IF(INDEX(Avulsos!$D$6:$D$205,$C365)&amp;""="","Outro",INDEX(Avulsos!$D$6:$D$205,$C365))))</f>
        <v/>
      </c>
      <c r="J365" s="114" t="str">
        <f aca="false">IF($E365="","",IF($B365="Tema",INDEX(Temas!$C$6:$C$305,$C365)&amp;"",INDEX(Avulsos!$E$6:$E$205,$C365)&amp;""))</f>
        <v/>
      </c>
      <c r="K365" s="114" t="str">
        <f aca="false">IF($E365="","",IF(IF($B365="Tema",INDEX(Temas!$E$6:$P$305,$C365,2*$D365),INDEX(Avulsos!$F$6:$F$205,$C365))&amp;""="","","✓"))</f>
        <v/>
      </c>
      <c r="L365" s="114" t="str">
        <f aca="true">IF($E365="","",IF($K365="✓","Concluído",IF($E365&lt;TODAY(),"Atrasado",IF($E365=TODAY(),"Hoje","Pendente"))))</f>
        <v/>
      </c>
      <c r="M365" s="114" t="str">
        <f aca="false">IF($E365="","",IF($K365="✓","✓ ","")&amp;IF(Config!$E$22="Sim",$H365&amp;" · ","")&amp;$F365)</f>
        <v/>
      </c>
      <c r="N365" s="114" t="str">
        <f aca="false">IF($E365="","",IFERROR(INDEX(Config!$D$15:$D$19,MATCH($I365,Config!$C$15:$C$19,0)),"OUT")&amp;IF($K365="✓","x",""))</f>
        <v/>
      </c>
      <c r="O365" s="114" t="str">
        <f aca="false">IF($E365="","",COUNTIF($E$5:$E365,$E365))</f>
        <v/>
      </c>
      <c r="P365" s="114" t="str">
        <f aca="false">IF($E365="","",$E365*100+$O365)</f>
        <v/>
      </c>
      <c r="Q365" s="114" t="str">
        <f aca="false">IF($L365="Atrasado",$E365*10000+$A365,"")</f>
        <v/>
      </c>
    </row>
    <row r="366" customFormat="false" ht="15" hidden="false" customHeight="false" outlineLevel="0" collapsed="false">
      <c r="A366" s="114" t="n">
        <f aca="false">ROW()-4</f>
        <v>362</v>
      </c>
      <c r="B366" s="114" t="str">
        <f aca="false">IF(A366&lt;=Config!$E$27*Config!$E$28,"Tema","Avulso")</f>
        <v>Tema</v>
      </c>
      <c r="C366" s="114" t="n">
        <f aca="false">IF(B366="Tema",INT((A366-1)/Config!$E$28)+1,A366-Config!$E$27*Config!$E$28)</f>
        <v>61</v>
      </c>
      <c r="D366" s="114" t="n">
        <f aca="false">IF(B366="Tema",MOD(A366-1,Config!$E$28)+1,"")</f>
        <v>2</v>
      </c>
      <c r="E366" s="115" t="str">
        <f aca="false">IF($B366="Tema",IF(ISNUMBER(INDEX(Temas!$E$6:$P$305,$C366,2*$D366-1)),INDEX(Temas!$E$6:$P$305,$C366,2*$D366-1),""),IF(ISNUMBER(INDEX(Avulsos!$B$6:$B$205,$C366)),INDEX(Avulsos!$B$6:$B$205,$C366),""))</f>
        <v/>
      </c>
      <c r="F366" s="114" t="str">
        <f aca="false">IF($E366="","",IF($B366="Tema",INDEX(Temas!$B$6:$B$305,$C366)&amp;"",INDEX(Avulsos!$C$6:$C$205,$C366)&amp;""))</f>
        <v/>
      </c>
      <c r="G366" s="114" t="str">
        <f aca="false">IF($E366="","",IF($B366="Tema",INDEX(Config!$C$6:$C$11,$D366),"Evento avulso"))</f>
        <v/>
      </c>
      <c r="H366" s="114" t="str">
        <f aca="false">IF($E366="","",IF($B366="Tema",INDEX(Config!$D$6:$D$11,$D366),IFERROR(INDEX(Config!$E$15:$E$19,MATCH($I366,Config!$C$15:$C$19,0)),"•")))</f>
        <v/>
      </c>
      <c r="I366" s="114" t="str">
        <f aca="false">IF($E366="","",IF($B366="Tema",INDEX(Config!$E$6:$E$11,$D366),IF(INDEX(Avulsos!$D$6:$D$205,$C366)&amp;""="","Outro",INDEX(Avulsos!$D$6:$D$205,$C366))))</f>
        <v/>
      </c>
      <c r="J366" s="114" t="str">
        <f aca="false">IF($E366="","",IF($B366="Tema",INDEX(Temas!$C$6:$C$305,$C366)&amp;"",INDEX(Avulsos!$E$6:$E$205,$C366)&amp;""))</f>
        <v/>
      </c>
      <c r="K366" s="114" t="str">
        <f aca="false">IF($E366="","",IF(IF($B366="Tema",INDEX(Temas!$E$6:$P$305,$C366,2*$D366),INDEX(Avulsos!$F$6:$F$205,$C366))&amp;""="","","✓"))</f>
        <v/>
      </c>
      <c r="L366" s="114" t="str">
        <f aca="true">IF($E366="","",IF($K366="✓","Concluído",IF($E366&lt;TODAY(),"Atrasado",IF($E366=TODAY(),"Hoje","Pendente"))))</f>
        <v/>
      </c>
      <c r="M366" s="114" t="str">
        <f aca="false">IF($E366="","",IF($K366="✓","✓ ","")&amp;IF(Config!$E$22="Sim",$H366&amp;" · ","")&amp;$F366)</f>
        <v/>
      </c>
      <c r="N366" s="114" t="str">
        <f aca="false">IF($E366="","",IFERROR(INDEX(Config!$D$15:$D$19,MATCH($I366,Config!$C$15:$C$19,0)),"OUT")&amp;IF($K366="✓","x",""))</f>
        <v/>
      </c>
      <c r="O366" s="114" t="str">
        <f aca="false">IF($E366="","",COUNTIF($E$5:$E366,$E366))</f>
        <v/>
      </c>
      <c r="P366" s="114" t="str">
        <f aca="false">IF($E366="","",$E366*100+$O366)</f>
        <v/>
      </c>
      <c r="Q366" s="114" t="str">
        <f aca="false">IF($L366="Atrasado",$E366*10000+$A366,"")</f>
        <v/>
      </c>
    </row>
    <row r="367" customFormat="false" ht="15" hidden="false" customHeight="false" outlineLevel="0" collapsed="false">
      <c r="A367" s="114" t="n">
        <f aca="false">ROW()-4</f>
        <v>363</v>
      </c>
      <c r="B367" s="114" t="str">
        <f aca="false">IF(A367&lt;=Config!$E$27*Config!$E$28,"Tema","Avulso")</f>
        <v>Tema</v>
      </c>
      <c r="C367" s="114" t="n">
        <f aca="false">IF(B367="Tema",INT((A367-1)/Config!$E$28)+1,A367-Config!$E$27*Config!$E$28)</f>
        <v>61</v>
      </c>
      <c r="D367" s="114" t="n">
        <f aca="false">IF(B367="Tema",MOD(A367-1,Config!$E$28)+1,"")</f>
        <v>3</v>
      </c>
      <c r="E367" s="115" t="str">
        <f aca="false">IF($B367="Tema",IF(ISNUMBER(INDEX(Temas!$E$6:$P$305,$C367,2*$D367-1)),INDEX(Temas!$E$6:$P$305,$C367,2*$D367-1),""),IF(ISNUMBER(INDEX(Avulsos!$B$6:$B$205,$C367)),INDEX(Avulsos!$B$6:$B$205,$C367),""))</f>
        <v/>
      </c>
      <c r="F367" s="114" t="str">
        <f aca="false">IF($E367="","",IF($B367="Tema",INDEX(Temas!$B$6:$B$305,$C367)&amp;"",INDEX(Avulsos!$C$6:$C$205,$C367)&amp;""))</f>
        <v/>
      </c>
      <c r="G367" s="114" t="str">
        <f aca="false">IF($E367="","",IF($B367="Tema",INDEX(Config!$C$6:$C$11,$D367),"Evento avulso"))</f>
        <v/>
      </c>
      <c r="H367" s="114" t="str">
        <f aca="false">IF($E367="","",IF($B367="Tema",INDEX(Config!$D$6:$D$11,$D367),IFERROR(INDEX(Config!$E$15:$E$19,MATCH($I367,Config!$C$15:$C$19,0)),"•")))</f>
        <v/>
      </c>
      <c r="I367" s="114" t="str">
        <f aca="false">IF($E367="","",IF($B367="Tema",INDEX(Config!$E$6:$E$11,$D367),IF(INDEX(Avulsos!$D$6:$D$205,$C367)&amp;""="","Outro",INDEX(Avulsos!$D$6:$D$205,$C367))))</f>
        <v/>
      </c>
      <c r="J367" s="114" t="str">
        <f aca="false">IF($E367="","",IF($B367="Tema",INDEX(Temas!$C$6:$C$305,$C367)&amp;"",INDEX(Avulsos!$E$6:$E$205,$C367)&amp;""))</f>
        <v/>
      </c>
      <c r="K367" s="114" t="str">
        <f aca="false">IF($E367="","",IF(IF($B367="Tema",INDEX(Temas!$E$6:$P$305,$C367,2*$D367),INDEX(Avulsos!$F$6:$F$205,$C367))&amp;""="","","✓"))</f>
        <v/>
      </c>
      <c r="L367" s="114" t="str">
        <f aca="true">IF($E367="","",IF($K367="✓","Concluído",IF($E367&lt;TODAY(),"Atrasado",IF($E367=TODAY(),"Hoje","Pendente"))))</f>
        <v/>
      </c>
      <c r="M367" s="114" t="str">
        <f aca="false">IF($E367="","",IF($K367="✓","✓ ","")&amp;IF(Config!$E$22="Sim",$H367&amp;" · ","")&amp;$F367)</f>
        <v/>
      </c>
      <c r="N367" s="114" t="str">
        <f aca="false">IF($E367="","",IFERROR(INDEX(Config!$D$15:$D$19,MATCH($I367,Config!$C$15:$C$19,0)),"OUT")&amp;IF($K367="✓","x",""))</f>
        <v/>
      </c>
      <c r="O367" s="114" t="str">
        <f aca="false">IF($E367="","",COUNTIF($E$5:$E367,$E367))</f>
        <v/>
      </c>
      <c r="P367" s="114" t="str">
        <f aca="false">IF($E367="","",$E367*100+$O367)</f>
        <v/>
      </c>
      <c r="Q367" s="114" t="str">
        <f aca="false">IF($L367="Atrasado",$E367*10000+$A367,"")</f>
        <v/>
      </c>
    </row>
    <row r="368" customFormat="false" ht="15" hidden="false" customHeight="false" outlineLevel="0" collapsed="false">
      <c r="A368" s="114" t="n">
        <f aca="false">ROW()-4</f>
        <v>364</v>
      </c>
      <c r="B368" s="114" t="str">
        <f aca="false">IF(A368&lt;=Config!$E$27*Config!$E$28,"Tema","Avulso")</f>
        <v>Tema</v>
      </c>
      <c r="C368" s="114" t="n">
        <f aca="false">IF(B368="Tema",INT((A368-1)/Config!$E$28)+1,A368-Config!$E$27*Config!$E$28)</f>
        <v>61</v>
      </c>
      <c r="D368" s="114" t="n">
        <f aca="false">IF(B368="Tema",MOD(A368-1,Config!$E$28)+1,"")</f>
        <v>4</v>
      </c>
      <c r="E368" s="115" t="str">
        <f aca="false">IF($B368="Tema",IF(ISNUMBER(INDEX(Temas!$E$6:$P$305,$C368,2*$D368-1)),INDEX(Temas!$E$6:$P$305,$C368,2*$D368-1),""),IF(ISNUMBER(INDEX(Avulsos!$B$6:$B$205,$C368)),INDEX(Avulsos!$B$6:$B$205,$C368),""))</f>
        <v/>
      </c>
      <c r="F368" s="114" t="str">
        <f aca="false">IF($E368="","",IF($B368="Tema",INDEX(Temas!$B$6:$B$305,$C368)&amp;"",INDEX(Avulsos!$C$6:$C$205,$C368)&amp;""))</f>
        <v/>
      </c>
      <c r="G368" s="114" t="str">
        <f aca="false">IF($E368="","",IF($B368="Tema",INDEX(Config!$C$6:$C$11,$D368),"Evento avulso"))</f>
        <v/>
      </c>
      <c r="H368" s="114" t="str">
        <f aca="false">IF($E368="","",IF($B368="Tema",INDEX(Config!$D$6:$D$11,$D368),IFERROR(INDEX(Config!$E$15:$E$19,MATCH($I368,Config!$C$15:$C$19,0)),"•")))</f>
        <v/>
      </c>
      <c r="I368" s="114" t="str">
        <f aca="false">IF($E368="","",IF($B368="Tema",INDEX(Config!$E$6:$E$11,$D368),IF(INDEX(Avulsos!$D$6:$D$205,$C368)&amp;""="","Outro",INDEX(Avulsos!$D$6:$D$205,$C368))))</f>
        <v/>
      </c>
      <c r="J368" s="114" t="str">
        <f aca="false">IF($E368="","",IF($B368="Tema",INDEX(Temas!$C$6:$C$305,$C368)&amp;"",INDEX(Avulsos!$E$6:$E$205,$C368)&amp;""))</f>
        <v/>
      </c>
      <c r="K368" s="114" t="str">
        <f aca="false">IF($E368="","",IF(IF($B368="Tema",INDEX(Temas!$E$6:$P$305,$C368,2*$D368),INDEX(Avulsos!$F$6:$F$205,$C368))&amp;""="","","✓"))</f>
        <v/>
      </c>
      <c r="L368" s="114" t="str">
        <f aca="true">IF($E368="","",IF($K368="✓","Concluído",IF($E368&lt;TODAY(),"Atrasado",IF($E368=TODAY(),"Hoje","Pendente"))))</f>
        <v/>
      </c>
      <c r="M368" s="114" t="str">
        <f aca="false">IF($E368="","",IF($K368="✓","✓ ","")&amp;IF(Config!$E$22="Sim",$H368&amp;" · ","")&amp;$F368)</f>
        <v/>
      </c>
      <c r="N368" s="114" t="str">
        <f aca="false">IF($E368="","",IFERROR(INDEX(Config!$D$15:$D$19,MATCH($I368,Config!$C$15:$C$19,0)),"OUT")&amp;IF($K368="✓","x",""))</f>
        <v/>
      </c>
      <c r="O368" s="114" t="str">
        <f aca="false">IF($E368="","",COUNTIF($E$5:$E368,$E368))</f>
        <v/>
      </c>
      <c r="P368" s="114" t="str">
        <f aca="false">IF($E368="","",$E368*100+$O368)</f>
        <v/>
      </c>
      <c r="Q368" s="114" t="str">
        <f aca="false">IF($L368="Atrasado",$E368*10000+$A368,"")</f>
        <v/>
      </c>
    </row>
    <row r="369" customFormat="false" ht="15" hidden="false" customHeight="false" outlineLevel="0" collapsed="false">
      <c r="A369" s="114" t="n">
        <f aca="false">ROW()-4</f>
        <v>365</v>
      </c>
      <c r="B369" s="114" t="str">
        <f aca="false">IF(A369&lt;=Config!$E$27*Config!$E$28,"Tema","Avulso")</f>
        <v>Tema</v>
      </c>
      <c r="C369" s="114" t="n">
        <f aca="false">IF(B369="Tema",INT((A369-1)/Config!$E$28)+1,A369-Config!$E$27*Config!$E$28)</f>
        <v>61</v>
      </c>
      <c r="D369" s="114" t="n">
        <f aca="false">IF(B369="Tema",MOD(A369-1,Config!$E$28)+1,"")</f>
        <v>5</v>
      </c>
      <c r="E369" s="115" t="str">
        <f aca="false">IF($B369="Tema",IF(ISNUMBER(INDEX(Temas!$E$6:$P$305,$C369,2*$D369-1)),INDEX(Temas!$E$6:$P$305,$C369,2*$D369-1),""),IF(ISNUMBER(INDEX(Avulsos!$B$6:$B$205,$C369)),INDEX(Avulsos!$B$6:$B$205,$C369),""))</f>
        <v/>
      </c>
      <c r="F369" s="114" t="str">
        <f aca="false">IF($E369="","",IF($B369="Tema",INDEX(Temas!$B$6:$B$305,$C369)&amp;"",INDEX(Avulsos!$C$6:$C$205,$C369)&amp;""))</f>
        <v/>
      </c>
      <c r="G369" s="114" t="str">
        <f aca="false">IF($E369="","",IF($B369="Tema",INDEX(Config!$C$6:$C$11,$D369),"Evento avulso"))</f>
        <v/>
      </c>
      <c r="H369" s="114" t="str">
        <f aca="false">IF($E369="","",IF($B369="Tema",INDEX(Config!$D$6:$D$11,$D369),IFERROR(INDEX(Config!$E$15:$E$19,MATCH($I369,Config!$C$15:$C$19,0)),"•")))</f>
        <v/>
      </c>
      <c r="I369" s="114" t="str">
        <f aca="false">IF($E369="","",IF($B369="Tema",INDEX(Config!$E$6:$E$11,$D369),IF(INDEX(Avulsos!$D$6:$D$205,$C369)&amp;""="","Outro",INDEX(Avulsos!$D$6:$D$205,$C369))))</f>
        <v/>
      </c>
      <c r="J369" s="114" t="str">
        <f aca="false">IF($E369="","",IF($B369="Tema",INDEX(Temas!$C$6:$C$305,$C369)&amp;"",INDEX(Avulsos!$E$6:$E$205,$C369)&amp;""))</f>
        <v/>
      </c>
      <c r="K369" s="114" t="str">
        <f aca="false">IF($E369="","",IF(IF($B369="Tema",INDEX(Temas!$E$6:$P$305,$C369,2*$D369),INDEX(Avulsos!$F$6:$F$205,$C369))&amp;""="","","✓"))</f>
        <v/>
      </c>
      <c r="L369" s="114" t="str">
        <f aca="true">IF($E369="","",IF($K369="✓","Concluído",IF($E369&lt;TODAY(),"Atrasado",IF($E369=TODAY(),"Hoje","Pendente"))))</f>
        <v/>
      </c>
      <c r="M369" s="114" t="str">
        <f aca="false">IF($E369="","",IF($K369="✓","✓ ","")&amp;IF(Config!$E$22="Sim",$H369&amp;" · ","")&amp;$F369)</f>
        <v/>
      </c>
      <c r="N369" s="114" t="str">
        <f aca="false">IF($E369="","",IFERROR(INDEX(Config!$D$15:$D$19,MATCH($I369,Config!$C$15:$C$19,0)),"OUT")&amp;IF($K369="✓","x",""))</f>
        <v/>
      </c>
      <c r="O369" s="114" t="str">
        <f aca="false">IF($E369="","",COUNTIF($E$5:$E369,$E369))</f>
        <v/>
      </c>
      <c r="P369" s="114" t="str">
        <f aca="false">IF($E369="","",$E369*100+$O369)</f>
        <v/>
      </c>
      <c r="Q369" s="114" t="str">
        <f aca="false">IF($L369="Atrasado",$E369*10000+$A369,"")</f>
        <v/>
      </c>
    </row>
    <row r="370" customFormat="false" ht="15" hidden="false" customHeight="false" outlineLevel="0" collapsed="false">
      <c r="A370" s="114" t="n">
        <f aca="false">ROW()-4</f>
        <v>366</v>
      </c>
      <c r="B370" s="114" t="str">
        <f aca="false">IF(A370&lt;=Config!$E$27*Config!$E$28,"Tema","Avulso")</f>
        <v>Tema</v>
      </c>
      <c r="C370" s="114" t="n">
        <f aca="false">IF(B370="Tema",INT((A370-1)/Config!$E$28)+1,A370-Config!$E$27*Config!$E$28)</f>
        <v>61</v>
      </c>
      <c r="D370" s="114" t="n">
        <f aca="false">IF(B370="Tema",MOD(A370-1,Config!$E$28)+1,"")</f>
        <v>6</v>
      </c>
      <c r="E370" s="115" t="str">
        <f aca="false">IF($B370="Tema",IF(ISNUMBER(INDEX(Temas!$E$6:$P$305,$C370,2*$D370-1)),INDEX(Temas!$E$6:$P$305,$C370,2*$D370-1),""),IF(ISNUMBER(INDEX(Avulsos!$B$6:$B$205,$C370)),INDEX(Avulsos!$B$6:$B$205,$C370),""))</f>
        <v/>
      </c>
      <c r="F370" s="114" t="str">
        <f aca="false">IF($E370="","",IF($B370="Tema",INDEX(Temas!$B$6:$B$305,$C370)&amp;"",INDEX(Avulsos!$C$6:$C$205,$C370)&amp;""))</f>
        <v/>
      </c>
      <c r="G370" s="114" t="str">
        <f aca="false">IF($E370="","",IF($B370="Tema",INDEX(Config!$C$6:$C$11,$D370),"Evento avulso"))</f>
        <v/>
      </c>
      <c r="H370" s="114" t="str">
        <f aca="false">IF($E370="","",IF($B370="Tema",INDEX(Config!$D$6:$D$11,$D370),IFERROR(INDEX(Config!$E$15:$E$19,MATCH($I370,Config!$C$15:$C$19,0)),"•")))</f>
        <v/>
      </c>
      <c r="I370" s="114" t="str">
        <f aca="false">IF($E370="","",IF($B370="Tema",INDEX(Config!$E$6:$E$11,$D370),IF(INDEX(Avulsos!$D$6:$D$205,$C370)&amp;""="","Outro",INDEX(Avulsos!$D$6:$D$205,$C370))))</f>
        <v/>
      </c>
      <c r="J370" s="114" t="str">
        <f aca="false">IF($E370="","",IF($B370="Tema",INDEX(Temas!$C$6:$C$305,$C370)&amp;"",INDEX(Avulsos!$E$6:$E$205,$C370)&amp;""))</f>
        <v/>
      </c>
      <c r="K370" s="114" t="str">
        <f aca="false">IF($E370="","",IF(IF($B370="Tema",INDEX(Temas!$E$6:$P$305,$C370,2*$D370),INDEX(Avulsos!$F$6:$F$205,$C370))&amp;""="","","✓"))</f>
        <v/>
      </c>
      <c r="L370" s="114" t="str">
        <f aca="true">IF($E370="","",IF($K370="✓","Concluído",IF($E370&lt;TODAY(),"Atrasado",IF($E370=TODAY(),"Hoje","Pendente"))))</f>
        <v/>
      </c>
      <c r="M370" s="114" t="str">
        <f aca="false">IF($E370="","",IF($K370="✓","✓ ","")&amp;IF(Config!$E$22="Sim",$H370&amp;" · ","")&amp;$F370)</f>
        <v/>
      </c>
      <c r="N370" s="114" t="str">
        <f aca="false">IF($E370="","",IFERROR(INDEX(Config!$D$15:$D$19,MATCH($I370,Config!$C$15:$C$19,0)),"OUT")&amp;IF($K370="✓","x",""))</f>
        <v/>
      </c>
      <c r="O370" s="114" t="str">
        <f aca="false">IF($E370="","",COUNTIF($E$5:$E370,$E370))</f>
        <v/>
      </c>
      <c r="P370" s="114" t="str">
        <f aca="false">IF($E370="","",$E370*100+$O370)</f>
        <v/>
      </c>
      <c r="Q370" s="114" t="str">
        <f aca="false">IF($L370="Atrasado",$E370*10000+$A370,"")</f>
        <v/>
      </c>
    </row>
    <row r="371" customFormat="false" ht="15" hidden="false" customHeight="false" outlineLevel="0" collapsed="false">
      <c r="A371" s="114" t="n">
        <f aca="false">ROW()-4</f>
        <v>367</v>
      </c>
      <c r="B371" s="114" t="str">
        <f aca="false">IF(A371&lt;=Config!$E$27*Config!$E$28,"Tema","Avulso")</f>
        <v>Tema</v>
      </c>
      <c r="C371" s="114" t="n">
        <f aca="false">IF(B371="Tema",INT((A371-1)/Config!$E$28)+1,A371-Config!$E$27*Config!$E$28)</f>
        <v>62</v>
      </c>
      <c r="D371" s="114" t="n">
        <f aca="false">IF(B371="Tema",MOD(A371-1,Config!$E$28)+1,"")</f>
        <v>1</v>
      </c>
      <c r="E371" s="115" t="str">
        <f aca="false">IF($B371="Tema",IF(ISNUMBER(INDEX(Temas!$E$6:$P$305,$C371,2*$D371-1)),INDEX(Temas!$E$6:$P$305,$C371,2*$D371-1),""),IF(ISNUMBER(INDEX(Avulsos!$B$6:$B$205,$C371)),INDEX(Avulsos!$B$6:$B$205,$C371),""))</f>
        <v/>
      </c>
      <c r="F371" s="114" t="str">
        <f aca="false">IF($E371="","",IF($B371="Tema",INDEX(Temas!$B$6:$B$305,$C371)&amp;"",INDEX(Avulsos!$C$6:$C$205,$C371)&amp;""))</f>
        <v/>
      </c>
      <c r="G371" s="114" t="str">
        <f aca="false">IF($E371="","",IF($B371="Tema",INDEX(Config!$C$6:$C$11,$D371),"Evento avulso"))</f>
        <v/>
      </c>
      <c r="H371" s="114" t="str">
        <f aca="false">IF($E371="","",IF($B371="Tema",INDEX(Config!$D$6:$D$11,$D371),IFERROR(INDEX(Config!$E$15:$E$19,MATCH($I371,Config!$C$15:$C$19,0)),"•")))</f>
        <v/>
      </c>
      <c r="I371" s="114" t="str">
        <f aca="false">IF($E371="","",IF($B371="Tema",INDEX(Config!$E$6:$E$11,$D371),IF(INDEX(Avulsos!$D$6:$D$205,$C371)&amp;""="","Outro",INDEX(Avulsos!$D$6:$D$205,$C371))))</f>
        <v/>
      </c>
      <c r="J371" s="114" t="str">
        <f aca="false">IF($E371="","",IF($B371="Tema",INDEX(Temas!$C$6:$C$305,$C371)&amp;"",INDEX(Avulsos!$E$6:$E$205,$C371)&amp;""))</f>
        <v/>
      </c>
      <c r="K371" s="114" t="str">
        <f aca="false">IF($E371="","",IF(IF($B371="Tema",INDEX(Temas!$E$6:$P$305,$C371,2*$D371),INDEX(Avulsos!$F$6:$F$205,$C371))&amp;""="","","✓"))</f>
        <v/>
      </c>
      <c r="L371" s="114" t="str">
        <f aca="true">IF($E371="","",IF($K371="✓","Concluído",IF($E371&lt;TODAY(),"Atrasado",IF($E371=TODAY(),"Hoje","Pendente"))))</f>
        <v/>
      </c>
      <c r="M371" s="114" t="str">
        <f aca="false">IF($E371="","",IF($K371="✓","✓ ","")&amp;IF(Config!$E$22="Sim",$H371&amp;" · ","")&amp;$F371)</f>
        <v/>
      </c>
      <c r="N371" s="114" t="str">
        <f aca="false">IF($E371="","",IFERROR(INDEX(Config!$D$15:$D$19,MATCH($I371,Config!$C$15:$C$19,0)),"OUT")&amp;IF($K371="✓","x",""))</f>
        <v/>
      </c>
      <c r="O371" s="114" t="str">
        <f aca="false">IF($E371="","",COUNTIF($E$5:$E371,$E371))</f>
        <v/>
      </c>
      <c r="P371" s="114" t="str">
        <f aca="false">IF($E371="","",$E371*100+$O371)</f>
        <v/>
      </c>
      <c r="Q371" s="114" t="str">
        <f aca="false">IF($L371="Atrasado",$E371*10000+$A371,"")</f>
        <v/>
      </c>
    </row>
    <row r="372" customFormat="false" ht="15" hidden="false" customHeight="false" outlineLevel="0" collapsed="false">
      <c r="A372" s="114" t="n">
        <f aca="false">ROW()-4</f>
        <v>368</v>
      </c>
      <c r="B372" s="114" t="str">
        <f aca="false">IF(A372&lt;=Config!$E$27*Config!$E$28,"Tema","Avulso")</f>
        <v>Tema</v>
      </c>
      <c r="C372" s="114" t="n">
        <f aca="false">IF(B372="Tema",INT((A372-1)/Config!$E$28)+1,A372-Config!$E$27*Config!$E$28)</f>
        <v>62</v>
      </c>
      <c r="D372" s="114" t="n">
        <f aca="false">IF(B372="Tema",MOD(A372-1,Config!$E$28)+1,"")</f>
        <v>2</v>
      </c>
      <c r="E372" s="115" t="str">
        <f aca="false">IF($B372="Tema",IF(ISNUMBER(INDEX(Temas!$E$6:$P$305,$C372,2*$D372-1)),INDEX(Temas!$E$6:$P$305,$C372,2*$D372-1),""),IF(ISNUMBER(INDEX(Avulsos!$B$6:$B$205,$C372)),INDEX(Avulsos!$B$6:$B$205,$C372),""))</f>
        <v/>
      </c>
      <c r="F372" s="114" t="str">
        <f aca="false">IF($E372="","",IF($B372="Tema",INDEX(Temas!$B$6:$B$305,$C372)&amp;"",INDEX(Avulsos!$C$6:$C$205,$C372)&amp;""))</f>
        <v/>
      </c>
      <c r="G372" s="114" t="str">
        <f aca="false">IF($E372="","",IF($B372="Tema",INDEX(Config!$C$6:$C$11,$D372),"Evento avulso"))</f>
        <v/>
      </c>
      <c r="H372" s="114" t="str">
        <f aca="false">IF($E372="","",IF($B372="Tema",INDEX(Config!$D$6:$D$11,$D372),IFERROR(INDEX(Config!$E$15:$E$19,MATCH($I372,Config!$C$15:$C$19,0)),"•")))</f>
        <v/>
      </c>
      <c r="I372" s="114" t="str">
        <f aca="false">IF($E372="","",IF($B372="Tema",INDEX(Config!$E$6:$E$11,$D372),IF(INDEX(Avulsos!$D$6:$D$205,$C372)&amp;""="","Outro",INDEX(Avulsos!$D$6:$D$205,$C372))))</f>
        <v/>
      </c>
      <c r="J372" s="114" t="str">
        <f aca="false">IF($E372="","",IF($B372="Tema",INDEX(Temas!$C$6:$C$305,$C372)&amp;"",INDEX(Avulsos!$E$6:$E$205,$C372)&amp;""))</f>
        <v/>
      </c>
      <c r="K372" s="114" t="str">
        <f aca="false">IF($E372="","",IF(IF($B372="Tema",INDEX(Temas!$E$6:$P$305,$C372,2*$D372),INDEX(Avulsos!$F$6:$F$205,$C372))&amp;""="","","✓"))</f>
        <v/>
      </c>
      <c r="L372" s="114" t="str">
        <f aca="true">IF($E372="","",IF($K372="✓","Concluído",IF($E372&lt;TODAY(),"Atrasado",IF($E372=TODAY(),"Hoje","Pendente"))))</f>
        <v/>
      </c>
      <c r="M372" s="114" t="str">
        <f aca="false">IF($E372="","",IF($K372="✓","✓ ","")&amp;IF(Config!$E$22="Sim",$H372&amp;" · ","")&amp;$F372)</f>
        <v/>
      </c>
      <c r="N372" s="114" t="str">
        <f aca="false">IF($E372="","",IFERROR(INDEX(Config!$D$15:$D$19,MATCH($I372,Config!$C$15:$C$19,0)),"OUT")&amp;IF($K372="✓","x",""))</f>
        <v/>
      </c>
      <c r="O372" s="114" t="str">
        <f aca="false">IF($E372="","",COUNTIF($E$5:$E372,$E372))</f>
        <v/>
      </c>
      <c r="P372" s="114" t="str">
        <f aca="false">IF($E372="","",$E372*100+$O372)</f>
        <v/>
      </c>
      <c r="Q372" s="114" t="str">
        <f aca="false">IF($L372="Atrasado",$E372*10000+$A372,"")</f>
        <v/>
      </c>
    </row>
    <row r="373" customFormat="false" ht="15" hidden="false" customHeight="false" outlineLevel="0" collapsed="false">
      <c r="A373" s="114" t="n">
        <f aca="false">ROW()-4</f>
        <v>369</v>
      </c>
      <c r="B373" s="114" t="str">
        <f aca="false">IF(A373&lt;=Config!$E$27*Config!$E$28,"Tema","Avulso")</f>
        <v>Tema</v>
      </c>
      <c r="C373" s="114" t="n">
        <f aca="false">IF(B373="Tema",INT((A373-1)/Config!$E$28)+1,A373-Config!$E$27*Config!$E$28)</f>
        <v>62</v>
      </c>
      <c r="D373" s="114" t="n">
        <f aca="false">IF(B373="Tema",MOD(A373-1,Config!$E$28)+1,"")</f>
        <v>3</v>
      </c>
      <c r="E373" s="115" t="str">
        <f aca="false">IF($B373="Tema",IF(ISNUMBER(INDEX(Temas!$E$6:$P$305,$C373,2*$D373-1)),INDEX(Temas!$E$6:$P$305,$C373,2*$D373-1),""),IF(ISNUMBER(INDEX(Avulsos!$B$6:$B$205,$C373)),INDEX(Avulsos!$B$6:$B$205,$C373),""))</f>
        <v/>
      </c>
      <c r="F373" s="114" t="str">
        <f aca="false">IF($E373="","",IF($B373="Tema",INDEX(Temas!$B$6:$B$305,$C373)&amp;"",INDEX(Avulsos!$C$6:$C$205,$C373)&amp;""))</f>
        <v/>
      </c>
      <c r="G373" s="114" t="str">
        <f aca="false">IF($E373="","",IF($B373="Tema",INDEX(Config!$C$6:$C$11,$D373),"Evento avulso"))</f>
        <v/>
      </c>
      <c r="H373" s="114" t="str">
        <f aca="false">IF($E373="","",IF($B373="Tema",INDEX(Config!$D$6:$D$11,$D373),IFERROR(INDEX(Config!$E$15:$E$19,MATCH($I373,Config!$C$15:$C$19,0)),"•")))</f>
        <v/>
      </c>
      <c r="I373" s="114" t="str">
        <f aca="false">IF($E373="","",IF($B373="Tema",INDEX(Config!$E$6:$E$11,$D373),IF(INDEX(Avulsos!$D$6:$D$205,$C373)&amp;""="","Outro",INDEX(Avulsos!$D$6:$D$205,$C373))))</f>
        <v/>
      </c>
      <c r="J373" s="114" t="str">
        <f aca="false">IF($E373="","",IF($B373="Tema",INDEX(Temas!$C$6:$C$305,$C373)&amp;"",INDEX(Avulsos!$E$6:$E$205,$C373)&amp;""))</f>
        <v/>
      </c>
      <c r="K373" s="114" t="str">
        <f aca="false">IF($E373="","",IF(IF($B373="Tema",INDEX(Temas!$E$6:$P$305,$C373,2*$D373),INDEX(Avulsos!$F$6:$F$205,$C373))&amp;""="","","✓"))</f>
        <v/>
      </c>
      <c r="L373" s="114" t="str">
        <f aca="true">IF($E373="","",IF($K373="✓","Concluído",IF($E373&lt;TODAY(),"Atrasado",IF($E373=TODAY(),"Hoje","Pendente"))))</f>
        <v/>
      </c>
      <c r="M373" s="114" t="str">
        <f aca="false">IF($E373="","",IF($K373="✓","✓ ","")&amp;IF(Config!$E$22="Sim",$H373&amp;" · ","")&amp;$F373)</f>
        <v/>
      </c>
      <c r="N373" s="114" t="str">
        <f aca="false">IF($E373="","",IFERROR(INDEX(Config!$D$15:$D$19,MATCH($I373,Config!$C$15:$C$19,0)),"OUT")&amp;IF($K373="✓","x",""))</f>
        <v/>
      </c>
      <c r="O373" s="114" t="str">
        <f aca="false">IF($E373="","",COUNTIF($E$5:$E373,$E373))</f>
        <v/>
      </c>
      <c r="P373" s="114" t="str">
        <f aca="false">IF($E373="","",$E373*100+$O373)</f>
        <v/>
      </c>
      <c r="Q373" s="114" t="str">
        <f aca="false">IF($L373="Atrasado",$E373*10000+$A373,"")</f>
        <v/>
      </c>
    </row>
    <row r="374" customFormat="false" ht="15" hidden="false" customHeight="false" outlineLevel="0" collapsed="false">
      <c r="A374" s="114" t="n">
        <f aca="false">ROW()-4</f>
        <v>370</v>
      </c>
      <c r="B374" s="114" t="str">
        <f aca="false">IF(A374&lt;=Config!$E$27*Config!$E$28,"Tema","Avulso")</f>
        <v>Tema</v>
      </c>
      <c r="C374" s="114" t="n">
        <f aca="false">IF(B374="Tema",INT((A374-1)/Config!$E$28)+1,A374-Config!$E$27*Config!$E$28)</f>
        <v>62</v>
      </c>
      <c r="D374" s="114" t="n">
        <f aca="false">IF(B374="Tema",MOD(A374-1,Config!$E$28)+1,"")</f>
        <v>4</v>
      </c>
      <c r="E374" s="115" t="str">
        <f aca="false">IF($B374="Tema",IF(ISNUMBER(INDEX(Temas!$E$6:$P$305,$C374,2*$D374-1)),INDEX(Temas!$E$6:$P$305,$C374,2*$D374-1),""),IF(ISNUMBER(INDEX(Avulsos!$B$6:$B$205,$C374)),INDEX(Avulsos!$B$6:$B$205,$C374),""))</f>
        <v/>
      </c>
      <c r="F374" s="114" t="str">
        <f aca="false">IF($E374="","",IF($B374="Tema",INDEX(Temas!$B$6:$B$305,$C374)&amp;"",INDEX(Avulsos!$C$6:$C$205,$C374)&amp;""))</f>
        <v/>
      </c>
      <c r="G374" s="114" t="str">
        <f aca="false">IF($E374="","",IF($B374="Tema",INDEX(Config!$C$6:$C$11,$D374),"Evento avulso"))</f>
        <v/>
      </c>
      <c r="H374" s="114" t="str">
        <f aca="false">IF($E374="","",IF($B374="Tema",INDEX(Config!$D$6:$D$11,$D374),IFERROR(INDEX(Config!$E$15:$E$19,MATCH($I374,Config!$C$15:$C$19,0)),"•")))</f>
        <v/>
      </c>
      <c r="I374" s="114" t="str">
        <f aca="false">IF($E374="","",IF($B374="Tema",INDEX(Config!$E$6:$E$11,$D374),IF(INDEX(Avulsos!$D$6:$D$205,$C374)&amp;""="","Outro",INDEX(Avulsos!$D$6:$D$205,$C374))))</f>
        <v/>
      </c>
      <c r="J374" s="114" t="str">
        <f aca="false">IF($E374="","",IF($B374="Tema",INDEX(Temas!$C$6:$C$305,$C374)&amp;"",INDEX(Avulsos!$E$6:$E$205,$C374)&amp;""))</f>
        <v/>
      </c>
      <c r="K374" s="114" t="str">
        <f aca="false">IF($E374="","",IF(IF($B374="Tema",INDEX(Temas!$E$6:$P$305,$C374,2*$D374),INDEX(Avulsos!$F$6:$F$205,$C374))&amp;""="","","✓"))</f>
        <v/>
      </c>
      <c r="L374" s="114" t="str">
        <f aca="true">IF($E374="","",IF($K374="✓","Concluído",IF($E374&lt;TODAY(),"Atrasado",IF($E374=TODAY(),"Hoje","Pendente"))))</f>
        <v/>
      </c>
      <c r="M374" s="114" t="str">
        <f aca="false">IF($E374="","",IF($K374="✓","✓ ","")&amp;IF(Config!$E$22="Sim",$H374&amp;" · ","")&amp;$F374)</f>
        <v/>
      </c>
      <c r="N374" s="114" t="str">
        <f aca="false">IF($E374="","",IFERROR(INDEX(Config!$D$15:$D$19,MATCH($I374,Config!$C$15:$C$19,0)),"OUT")&amp;IF($K374="✓","x",""))</f>
        <v/>
      </c>
      <c r="O374" s="114" t="str">
        <f aca="false">IF($E374="","",COUNTIF($E$5:$E374,$E374))</f>
        <v/>
      </c>
      <c r="P374" s="114" t="str">
        <f aca="false">IF($E374="","",$E374*100+$O374)</f>
        <v/>
      </c>
      <c r="Q374" s="114" t="str">
        <f aca="false">IF($L374="Atrasado",$E374*10000+$A374,"")</f>
        <v/>
      </c>
    </row>
    <row r="375" customFormat="false" ht="15" hidden="false" customHeight="false" outlineLevel="0" collapsed="false">
      <c r="A375" s="114" t="n">
        <f aca="false">ROW()-4</f>
        <v>371</v>
      </c>
      <c r="B375" s="114" t="str">
        <f aca="false">IF(A375&lt;=Config!$E$27*Config!$E$28,"Tema","Avulso")</f>
        <v>Tema</v>
      </c>
      <c r="C375" s="114" t="n">
        <f aca="false">IF(B375="Tema",INT((A375-1)/Config!$E$28)+1,A375-Config!$E$27*Config!$E$28)</f>
        <v>62</v>
      </c>
      <c r="D375" s="114" t="n">
        <f aca="false">IF(B375="Tema",MOD(A375-1,Config!$E$28)+1,"")</f>
        <v>5</v>
      </c>
      <c r="E375" s="115" t="str">
        <f aca="false">IF($B375="Tema",IF(ISNUMBER(INDEX(Temas!$E$6:$P$305,$C375,2*$D375-1)),INDEX(Temas!$E$6:$P$305,$C375,2*$D375-1),""),IF(ISNUMBER(INDEX(Avulsos!$B$6:$B$205,$C375)),INDEX(Avulsos!$B$6:$B$205,$C375),""))</f>
        <v/>
      </c>
      <c r="F375" s="114" t="str">
        <f aca="false">IF($E375="","",IF($B375="Tema",INDEX(Temas!$B$6:$B$305,$C375)&amp;"",INDEX(Avulsos!$C$6:$C$205,$C375)&amp;""))</f>
        <v/>
      </c>
      <c r="G375" s="114" t="str">
        <f aca="false">IF($E375="","",IF($B375="Tema",INDEX(Config!$C$6:$C$11,$D375),"Evento avulso"))</f>
        <v/>
      </c>
      <c r="H375" s="114" t="str">
        <f aca="false">IF($E375="","",IF($B375="Tema",INDEX(Config!$D$6:$D$11,$D375),IFERROR(INDEX(Config!$E$15:$E$19,MATCH($I375,Config!$C$15:$C$19,0)),"•")))</f>
        <v/>
      </c>
      <c r="I375" s="114" t="str">
        <f aca="false">IF($E375="","",IF($B375="Tema",INDEX(Config!$E$6:$E$11,$D375),IF(INDEX(Avulsos!$D$6:$D$205,$C375)&amp;""="","Outro",INDEX(Avulsos!$D$6:$D$205,$C375))))</f>
        <v/>
      </c>
      <c r="J375" s="114" t="str">
        <f aca="false">IF($E375="","",IF($B375="Tema",INDEX(Temas!$C$6:$C$305,$C375)&amp;"",INDEX(Avulsos!$E$6:$E$205,$C375)&amp;""))</f>
        <v/>
      </c>
      <c r="K375" s="114" t="str">
        <f aca="false">IF($E375="","",IF(IF($B375="Tema",INDEX(Temas!$E$6:$P$305,$C375,2*$D375),INDEX(Avulsos!$F$6:$F$205,$C375))&amp;""="","","✓"))</f>
        <v/>
      </c>
      <c r="L375" s="114" t="str">
        <f aca="true">IF($E375="","",IF($K375="✓","Concluído",IF($E375&lt;TODAY(),"Atrasado",IF($E375=TODAY(),"Hoje","Pendente"))))</f>
        <v/>
      </c>
      <c r="M375" s="114" t="str">
        <f aca="false">IF($E375="","",IF($K375="✓","✓ ","")&amp;IF(Config!$E$22="Sim",$H375&amp;" · ","")&amp;$F375)</f>
        <v/>
      </c>
      <c r="N375" s="114" t="str">
        <f aca="false">IF($E375="","",IFERROR(INDEX(Config!$D$15:$D$19,MATCH($I375,Config!$C$15:$C$19,0)),"OUT")&amp;IF($K375="✓","x",""))</f>
        <v/>
      </c>
      <c r="O375" s="114" t="str">
        <f aca="false">IF($E375="","",COUNTIF($E$5:$E375,$E375))</f>
        <v/>
      </c>
      <c r="P375" s="114" t="str">
        <f aca="false">IF($E375="","",$E375*100+$O375)</f>
        <v/>
      </c>
      <c r="Q375" s="114" t="str">
        <f aca="false">IF($L375="Atrasado",$E375*10000+$A375,"")</f>
        <v/>
      </c>
    </row>
    <row r="376" customFormat="false" ht="15" hidden="false" customHeight="false" outlineLevel="0" collapsed="false">
      <c r="A376" s="114" t="n">
        <f aca="false">ROW()-4</f>
        <v>372</v>
      </c>
      <c r="B376" s="114" t="str">
        <f aca="false">IF(A376&lt;=Config!$E$27*Config!$E$28,"Tema","Avulso")</f>
        <v>Tema</v>
      </c>
      <c r="C376" s="114" t="n">
        <f aca="false">IF(B376="Tema",INT((A376-1)/Config!$E$28)+1,A376-Config!$E$27*Config!$E$28)</f>
        <v>62</v>
      </c>
      <c r="D376" s="114" t="n">
        <f aca="false">IF(B376="Tema",MOD(A376-1,Config!$E$28)+1,"")</f>
        <v>6</v>
      </c>
      <c r="E376" s="115" t="str">
        <f aca="false">IF($B376="Tema",IF(ISNUMBER(INDEX(Temas!$E$6:$P$305,$C376,2*$D376-1)),INDEX(Temas!$E$6:$P$305,$C376,2*$D376-1),""),IF(ISNUMBER(INDEX(Avulsos!$B$6:$B$205,$C376)),INDEX(Avulsos!$B$6:$B$205,$C376),""))</f>
        <v/>
      </c>
      <c r="F376" s="114" t="str">
        <f aca="false">IF($E376="","",IF($B376="Tema",INDEX(Temas!$B$6:$B$305,$C376)&amp;"",INDEX(Avulsos!$C$6:$C$205,$C376)&amp;""))</f>
        <v/>
      </c>
      <c r="G376" s="114" t="str">
        <f aca="false">IF($E376="","",IF($B376="Tema",INDEX(Config!$C$6:$C$11,$D376),"Evento avulso"))</f>
        <v/>
      </c>
      <c r="H376" s="114" t="str">
        <f aca="false">IF($E376="","",IF($B376="Tema",INDEX(Config!$D$6:$D$11,$D376),IFERROR(INDEX(Config!$E$15:$E$19,MATCH($I376,Config!$C$15:$C$19,0)),"•")))</f>
        <v/>
      </c>
      <c r="I376" s="114" t="str">
        <f aca="false">IF($E376="","",IF($B376="Tema",INDEX(Config!$E$6:$E$11,$D376),IF(INDEX(Avulsos!$D$6:$D$205,$C376)&amp;""="","Outro",INDEX(Avulsos!$D$6:$D$205,$C376))))</f>
        <v/>
      </c>
      <c r="J376" s="114" t="str">
        <f aca="false">IF($E376="","",IF($B376="Tema",INDEX(Temas!$C$6:$C$305,$C376)&amp;"",INDEX(Avulsos!$E$6:$E$205,$C376)&amp;""))</f>
        <v/>
      </c>
      <c r="K376" s="114" t="str">
        <f aca="false">IF($E376="","",IF(IF($B376="Tema",INDEX(Temas!$E$6:$P$305,$C376,2*$D376),INDEX(Avulsos!$F$6:$F$205,$C376))&amp;""="","","✓"))</f>
        <v/>
      </c>
      <c r="L376" s="114" t="str">
        <f aca="true">IF($E376="","",IF($K376="✓","Concluído",IF($E376&lt;TODAY(),"Atrasado",IF($E376=TODAY(),"Hoje","Pendente"))))</f>
        <v/>
      </c>
      <c r="M376" s="114" t="str">
        <f aca="false">IF($E376="","",IF($K376="✓","✓ ","")&amp;IF(Config!$E$22="Sim",$H376&amp;" · ","")&amp;$F376)</f>
        <v/>
      </c>
      <c r="N376" s="114" t="str">
        <f aca="false">IF($E376="","",IFERROR(INDEX(Config!$D$15:$D$19,MATCH($I376,Config!$C$15:$C$19,0)),"OUT")&amp;IF($K376="✓","x",""))</f>
        <v/>
      </c>
      <c r="O376" s="114" t="str">
        <f aca="false">IF($E376="","",COUNTIF($E$5:$E376,$E376))</f>
        <v/>
      </c>
      <c r="P376" s="114" t="str">
        <f aca="false">IF($E376="","",$E376*100+$O376)</f>
        <v/>
      </c>
      <c r="Q376" s="114" t="str">
        <f aca="false">IF($L376="Atrasado",$E376*10000+$A376,"")</f>
        <v/>
      </c>
    </row>
    <row r="377" customFormat="false" ht="15" hidden="false" customHeight="false" outlineLevel="0" collapsed="false">
      <c r="A377" s="114" t="n">
        <f aca="false">ROW()-4</f>
        <v>373</v>
      </c>
      <c r="B377" s="114" t="str">
        <f aca="false">IF(A377&lt;=Config!$E$27*Config!$E$28,"Tema","Avulso")</f>
        <v>Tema</v>
      </c>
      <c r="C377" s="114" t="n">
        <f aca="false">IF(B377="Tema",INT((A377-1)/Config!$E$28)+1,A377-Config!$E$27*Config!$E$28)</f>
        <v>63</v>
      </c>
      <c r="D377" s="114" t="n">
        <f aca="false">IF(B377="Tema",MOD(A377-1,Config!$E$28)+1,"")</f>
        <v>1</v>
      </c>
      <c r="E377" s="115" t="str">
        <f aca="false">IF($B377="Tema",IF(ISNUMBER(INDEX(Temas!$E$6:$P$305,$C377,2*$D377-1)),INDEX(Temas!$E$6:$P$305,$C377,2*$D377-1),""),IF(ISNUMBER(INDEX(Avulsos!$B$6:$B$205,$C377)),INDEX(Avulsos!$B$6:$B$205,$C377),""))</f>
        <v/>
      </c>
      <c r="F377" s="114" t="str">
        <f aca="false">IF($E377="","",IF($B377="Tema",INDEX(Temas!$B$6:$B$305,$C377)&amp;"",INDEX(Avulsos!$C$6:$C$205,$C377)&amp;""))</f>
        <v/>
      </c>
      <c r="G377" s="114" t="str">
        <f aca="false">IF($E377="","",IF($B377="Tema",INDEX(Config!$C$6:$C$11,$D377),"Evento avulso"))</f>
        <v/>
      </c>
      <c r="H377" s="114" t="str">
        <f aca="false">IF($E377="","",IF($B377="Tema",INDEX(Config!$D$6:$D$11,$D377),IFERROR(INDEX(Config!$E$15:$E$19,MATCH($I377,Config!$C$15:$C$19,0)),"•")))</f>
        <v/>
      </c>
      <c r="I377" s="114" t="str">
        <f aca="false">IF($E377="","",IF($B377="Tema",INDEX(Config!$E$6:$E$11,$D377),IF(INDEX(Avulsos!$D$6:$D$205,$C377)&amp;""="","Outro",INDEX(Avulsos!$D$6:$D$205,$C377))))</f>
        <v/>
      </c>
      <c r="J377" s="114" t="str">
        <f aca="false">IF($E377="","",IF($B377="Tema",INDEX(Temas!$C$6:$C$305,$C377)&amp;"",INDEX(Avulsos!$E$6:$E$205,$C377)&amp;""))</f>
        <v/>
      </c>
      <c r="K377" s="114" t="str">
        <f aca="false">IF($E377="","",IF(IF($B377="Tema",INDEX(Temas!$E$6:$P$305,$C377,2*$D377),INDEX(Avulsos!$F$6:$F$205,$C377))&amp;""="","","✓"))</f>
        <v/>
      </c>
      <c r="L377" s="114" t="str">
        <f aca="true">IF($E377="","",IF($K377="✓","Concluído",IF($E377&lt;TODAY(),"Atrasado",IF($E377=TODAY(),"Hoje","Pendente"))))</f>
        <v/>
      </c>
      <c r="M377" s="114" t="str">
        <f aca="false">IF($E377="","",IF($K377="✓","✓ ","")&amp;IF(Config!$E$22="Sim",$H377&amp;" · ","")&amp;$F377)</f>
        <v/>
      </c>
      <c r="N377" s="114" t="str">
        <f aca="false">IF($E377="","",IFERROR(INDEX(Config!$D$15:$D$19,MATCH($I377,Config!$C$15:$C$19,0)),"OUT")&amp;IF($K377="✓","x",""))</f>
        <v/>
      </c>
      <c r="O377" s="114" t="str">
        <f aca="false">IF($E377="","",COUNTIF($E$5:$E377,$E377))</f>
        <v/>
      </c>
      <c r="P377" s="114" t="str">
        <f aca="false">IF($E377="","",$E377*100+$O377)</f>
        <v/>
      </c>
      <c r="Q377" s="114" t="str">
        <f aca="false">IF($L377="Atrasado",$E377*10000+$A377,"")</f>
        <v/>
      </c>
    </row>
    <row r="378" customFormat="false" ht="15" hidden="false" customHeight="false" outlineLevel="0" collapsed="false">
      <c r="A378" s="114" t="n">
        <f aca="false">ROW()-4</f>
        <v>374</v>
      </c>
      <c r="B378" s="114" t="str">
        <f aca="false">IF(A378&lt;=Config!$E$27*Config!$E$28,"Tema","Avulso")</f>
        <v>Tema</v>
      </c>
      <c r="C378" s="114" t="n">
        <f aca="false">IF(B378="Tema",INT((A378-1)/Config!$E$28)+1,A378-Config!$E$27*Config!$E$28)</f>
        <v>63</v>
      </c>
      <c r="D378" s="114" t="n">
        <f aca="false">IF(B378="Tema",MOD(A378-1,Config!$E$28)+1,"")</f>
        <v>2</v>
      </c>
      <c r="E378" s="115" t="str">
        <f aca="false">IF($B378="Tema",IF(ISNUMBER(INDEX(Temas!$E$6:$P$305,$C378,2*$D378-1)),INDEX(Temas!$E$6:$P$305,$C378,2*$D378-1),""),IF(ISNUMBER(INDEX(Avulsos!$B$6:$B$205,$C378)),INDEX(Avulsos!$B$6:$B$205,$C378),""))</f>
        <v/>
      </c>
      <c r="F378" s="114" t="str">
        <f aca="false">IF($E378="","",IF($B378="Tema",INDEX(Temas!$B$6:$B$305,$C378)&amp;"",INDEX(Avulsos!$C$6:$C$205,$C378)&amp;""))</f>
        <v/>
      </c>
      <c r="G378" s="114" t="str">
        <f aca="false">IF($E378="","",IF($B378="Tema",INDEX(Config!$C$6:$C$11,$D378),"Evento avulso"))</f>
        <v/>
      </c>
      <c r="H378" s="114" t="str">
        <f aca="false">IF($E378="","",IF($B378="Tema",INDEX(Config!$D$6:$D$11,$D378),IFERROR(INDEX(Config!$E$15:$E$19,MATCH($I378,Config!$C$15:$C$19,0)),"•")))</f>
        <v/>
      </c>
      <c r="I378" s="114" t="str">
        <f aca="false">IF($E378="","",IF($B378="Tema",INDEX(Config!$E$6:$E$11,$D378),IF(INDEX(Avulsos!$D$6:$D$205,$C378)&amp;""="","Outro",INDEX(Avulsos!$D$6:$D$205,$C378))))</f>
        <v/>
      </c>
      <c r="J378" s="114" t="str">
        <f aca="false">IF($E378="","",IF($B378="Tema",INDEX(Temas!$C$6:$C$305,$C378)&amp;"",INDEX(Avulsos!$E$6:$E$205,$C378)&amp;""))</f>
        <v/>
      </c>
      <c r="K378" s="114" t="str">
        <f aca="false">IF($E378="","",IF(IF($B378="Tema",INDEX(Temas!$E$6:$P$305,$C378,2*$D378),INDEX(Avulsos!$F$6:$F$205,$C378))&amp;""="","","✓"))</f>
        <v/>
      </c>
      <c r="L378" s="114" t="str">
        <f aca="true">IF($E378="","",IF($K378="✓","Concluído",IF($E378&lt;TODAY(),"Atrasado",IF($E378=TODAY(),"Hoje","Pendente"))))</f>
        <v/>
      </c>
      <c r="M378" s="114" t="str">
        <f aca="false">IF($E378="","",IF($K378="✓","✓ ","")&amp;IF(Config!$E$22="Sim",$H378&amp;" · ","")&amp;$F378)</f>
        <v/>
      </c>
      <c r="N378" s="114" t="str">
        <f aca="false">IF($E378="","",IFERROR(INDEX(Config!$D$15:$D$19,MATCH($I378,Config!$C$15:$C$19,0)),"OUT")&amp;IF($K378="✓","x",""))</f>
        <v/>
      </c>
      <c r="O378" s="114" t="str">
        <f aca="false">IF($E378="","",COUNTIF($E$5:$E378,$E378))</f>
        <v/>
      </c>
      <c r="P378" s="114" t="str">
        <f aca="false">IF($E378="","",$E378*100+$O378)</f>
        <v/>
      </c>
      <c r="Q378" s="114" t="str">
        <f aca="false">IF($L378="Atrasado",$E378*10000+$A378,"")</f>
        <v/>
      </c>
    </row>
    <row r="379" customFormat="false" ht="15" hidden="false" customHeight="false" outlineLevel="0" collapsed="false">
      <c r="A379" s="114" t="n">
        <f aca="false">ROW()-4</f>
        <v>375</v>
      </c>
      <c r="B379" s="114" t="str">
        <f aca="false">IF(A379&lt;=Config!$E$27*Config!$E$28,"Tema","Avulso")</f>
        <v>Tema</v>
      </c>
      <c r="C379" s="114" t="n">
        <f aca="false">IF(B379="Tema",INT((A379-1)/Config!$E$28)+1,A379-Config!$E$27*Config!$E$28)</f>
        <v>63</v>
      </c>
      <c r="D379" s="114" t="n">
        <f aca="false">IF(B379="Tema",MOD(A379-1,Config!$E$28)+1,"")</f>
        <v>3</v>
      </c>
      <c r="E379" s="115" t="str">
        <f aca="false">IF($B379="Tema",IF(ISNUMBER(INDEX(Temas!$E$6:$P$305,$C379,2*$D379-1)),INDEX(Temas!$E$6:$P$305,$C379,2*$D379-1),""),IF(ISNUMBER(INDEX(Avulsos!$B$6:$B$205,$C379)),INDEX(Avulsos!$B$6:$B$205,$C379),""))</f>
        <v/>
      </c>
      <c r="F379" s="114" t="str">
        <f aca="false">IF($E379="","",IF($B379="Tema",INDEX(Temas!$B$6:$B$305,$C379)&amp;"",INDEX(Avulsos!$C$6:$C$205,$C379)&amp;""))</f>
        <v/>
      </c>
      <c r="G379" s="114" t="str">
        <f aca="false">IF($E379="","",IF($B379="Tema",INDEX(Config!$C$6:$C$11,$D379),"Evento avulso"))</f>
        <v/>
      </c>
      <c r="H379" s="114" t="str">
        <f aca="false">IF($E379="","",IF($B379="Tema",INDEX(Config!$D$6:$D$11,$D379),IFERROR(INDEX(Config!$E$15:$E$19,MATCH($I379,Config!$C$15:$C$19,0)),"•")))</f>
        <v/>
      </c>
      <c r="I379" s="114" t="str">
        <f aca="false">IF($E379="","",IF($B379="Tema",INDEX(Config!$E$6:$E$11,$D379),IF(INDEX(Avulsos!$D$6:$D$205,$C379)&amp;""="","Outro",INDEX(Avulsos!$D$6:$D$205,$C379))))</f>
        <v/>
      </c>
      <c r="J379" s="114" t="str">
        <f aca="false">IF($E379="","",IF($B379="Tema",INDEX(Temas!$C$6:$C$305,$C379)&amp;"",INDEX(Avulsos!$E$6:$E$205,$C379)&amp;""))</f>
        <v/>
      </c>
      <c r="K379" s="114" t="str">
        <f aca="false">IF($E379="","",IF(IF($B379="Tema",INDEX(Temas!$E$6:$P$305,$C379,2*$D379),INDEX(Avulsos!$F$6:$F$205,$C379))&amp;""="","","✓"))</f>
        <v/>
      </c>
      <c r="L379" s="114" t="str">
        <f aca="true">IF($E379="","",IF($K379="✓","Concluído",IF($E379&lt;TODAY(),"Atrasado",IF($E379=TODAY(),"Hoje","Pendente"))))</f>
        <v/>
      </c>
      <c r="M379" s="114" t="str">
        <f aca="false">IF($E379="","",IF($K379="✓","✓ ","")&amp;IF(Config!$E$22="Sim",$H379&amp;" · ","")&amp;$F379)</f>
        <v/>
      </c>
      <c r="N379" s="114" t="str">
        <f aca="false">IF($E379="","",IFERROR(INDEX(Config!$D$15:$D$19,MATCH($I379,Config!$C$15:$C$19,0)),"OUT")&amp;IF($K379="✓","x",""))</f>
        <v/>
      </c>
      <c r="O379" s="114" t="str">
        <f aca="false">IF($E379="","",COUNTIF($E$5:$E379,$E379))</f>
        <v/>
      </c>
      <c r="P379" s="114" t="str">
        <f aca="false">IF($E379="","",$E379*100+$O379)</f>
        <v/>
      </c>
      <c r="Q379" s="114" t="str">
        <f aca="false">IF($L379="Atrasado",$E379*10000+$A379,"")</f>
        <v/>
      </c>
    </row>
    <row r="380" customFormat="false" ht="15" hidden="false" customHeight="false" outlineLevel="0" collapsed="false">
      <c r="A380" s="114" t="n">
        <f aca="false">ROW()-4</f>
        <v>376</v>
      </c>
      <c r="B380" s="114" t="str">
        <f aca="false">IF(A380&lt;=Config!$E$27*Config!$E$28,"Tema","Avulso")</f>
        <v>Tema</v>
      </c>
      <c r="C380" s="114" t="n">
        <f aca="false">IF(B380="Tema",INT((A380-1)/Config!$E$28)+1,A380-Config!$E$27*Config!$E$28)</f>
        <v>63</v>
      </c>
      <c r="D380" s="114" t="n">
        <f aca="false">IF(B380="Tema",MOD(A380-1,Config!$E$28)+1,"")</f>
        <v>4</v>
      </c>
      <c r="E380" s="115" t="str">
        <f aca="false">IF($B380="Tema",IF(ISNUMBER(INDEX(Temas!$E$6:$P$305,$C380,2*$D380-1)),INDEX(Temas!$E$6:$P$305,$C380,2*$D380-1),""),IF(ISNUMBER(INDEX(Avulsos!$B$6:$B$205,$C380)),INDEX(Avulsos!$B$6:$B$205,$C380),""))</f>
        <v/>
      </c>
      <c r="F380" s="114" t="str">
        <f aca="false">IF($E380="","",IF($B380="Tema",INDEX(Temas!$B$6:$B$305,$C380)&amp;"",INDEX(Avulsos!$C$6:$C$205,$C380)&amp;""))</f>
        <v/>
      </c>
      <c r="G380" s="114" t="str">
        <f aca="false">IF($E380="","",IF($B380="Tema",INDEX(Config!$C$6:$C$11,$D380),"Evento avulso"))</f>
        <v/>
      </c>
      <c r="H380" s="114" t="str">
        <f aca="false">IF($E380="","",IF($B380="Tema",INDEX(Config!$D$6:$D$11,$D380),IFERROR(INDEX(Config!$E$15:$E$19,MATCH($I380,Config!$C$15:$C$19,0)),"•")))</f>
        <v/>
      </c>
      <c r="I380" s="114" t="str">
        <f aca="false">IF($E380="","",IF($B380="Tema",INDEX(Config!$E$6:$E$11,$D380),IF(INDEX(Avulsos!$D$6:$D$205,$C380)&amp;""="","Outro",INDEX(Avulsos!$D$6:$D$205,$C380))))</f>
        <v/>
      </c>
      <c r="J380" s="114" t="str">
        <f aca="false">IF($E380="","",IF($B380="Tema",INDEX(Temas!$C$6:$C$305,$C380)&amp;"",INDEX(Avulsos!$E$6:$E$205,$C380)&amp;""))</f>
        <v/>
      </c>
      <c r="K380" s="114" t="str">
        <f aca="false">IF($E380="","",IF(IF($B380="Tema",INDEX(Temas!$E$6:$P$305,$C380,2*$D380),INDEX(Avulsos!$F$6:$F$205,$C380))&amp;""="","","✓"))</f>
        <v/>
      </c>
      <c r="L380" s="114" t="str">
        <f aca="true">IF($E380="","",IF($K380="✓","Concluído",IF($E380&lt;TODAY(),"Atrasado",IF($E380=TODAY(),"Hoje","Pendente"))))</f>
        <v/>
      </c>
      <c r="M380" s="114" t="str">
        <f aca="false">IF($E380="","",IF($K380="✓","✓ ","")&amp;IF(Config!$E$22="Sim",$H380&amp;" · ","")&amp;$F380)</f>
        <v/>
      </c>
      <c r="N380" s="114" t="str">
        <f aca="false">IF($E380="","",IFERROR(INDEX(Config!$D$15:$D$19,MATCH($I380,Config!$C$15:$C$19,0)),"OUT")&amp;IF($K380="✓","x",""))</f>
        <v/>
      </c>
      <c r="O380" s="114" t="str">
        <f aca="false">IF($E380="","",COUNTIF($E$5:$E380,$E380))</f>
        <v/>
      </c>
      <c r="P380" s="114" t="str">
        <f aca="false">IF($E380="","",$E380*100+$O380)</f>
        <v/>
      </c>
      <c r="Q380" s="114" t="str">
        <f aca="false">IF($L380="Atrasado",$E380*10000+$A380,"")</f>
        <v/>
      </c>
    </row>
    <row r="381" customFormat="false" ht="15" hidden="false" customHeight="false" outlineLevel="0" collapsed="false">
      <c r="A381" s="114" t="n">
        <f aca="false">ROW()-4</f>
        <v>377</v>
      </c>
      <c r="B381" s="114" t="str">
        <f aca="false">IF(A381&lt;=Config!$E$27*Config!$E$28,"Tema","Avulso")</f>
        <v>Tema</v>
      </c>
      <c r="C381" s="114" t="n">
        <f aca="false">IF(B381="Tema",INT((A381-1)/Config!$E$28)+1,A381-Config!$E$27*Config!$E$28)</f>
        <v>63</v>
      </c>
      <c r="D381" s="114" t="n">
        <f aca="false">IF(B381="Tema",MOD(A381-1,Config!$E$28)+1,"")</f>
        <v>5</v>
      </c>
      <c r="E381" s="115" t="str">
        <f aca="false">IF($B381="Tema",IF(ISNUMBER(INDEX(Temas!$E$6:$P$305,$C381,2*$D381-1)),INDEX(Temas!$E$6:$P$305,$C381,2*$D381-1),""),IF(ISNUMBER(INDEX(Avulsos!$B$6:$B$205,$C381)),INDEX(Avulsos!$B$6:$B$205,$C381),""))</f>
        <v/>
      </c>
      <c r="F381" s="114" t="str">
        <f aca="false">IF($E381="","",IF($B381="Tema",INDEX(Temas!$B$6:$B$305,$C381)&amp;"",INDEX(Avulsos!$C$6:$C$205,$C381)&amp;""))</f>
        <v/>
      </c>
      <c r="G381" s="114" t="str">
        <f aca="false">IF($E381="","",IF($B381="Tema",INDEX(Config!$C$6:$C$11,$D381),"Evento avulso"))</f>
        <v/>
      </c>
      <c r="H381" s="114" t="str">
        <f aca="false">IF($E381="","",IF($B381="Tema",INDEX(Config!$D$6:$D$11,$D381),IFERROR(INDEX(Config!$E$15:$E$19,MATCH($I381,Config!$C$15:$C$19,0)),"•")))</f>
        <v/>
      </c>
      <c r="I381" s="114" t="str">
        <f aca="false">IF($E381="","",IF($B381="Tema",INDEX(Config!$E$6:$E$11,$D381),IF(INDEX(Avulsos!$D$6:$D$205,$C381)&amp;""="","Outro",INDEX(Avulsos!$D$6:$D$205,$C381))))</f>
        <v/>
      </c>
      <c r="J381" s="114" t="str">
        <f aca="false">IF($E381="","",IF($B381="Tema",INDEX(Temas!$C$6:$C$305,$C381)&amp;"",INDEX(Avulsos!$E$6:$E$205,$C381)&amp;""))</f>
        <v/>
      </c>
      <c r="K381" s="114" t="str">
        <f aca="false">IF($E381="","",IF(IF($B381="Tema",INDEX(Temas!$E$6:$P$305,$C381,2*$D381),INDEX(Avulsos!$F$6:$F$205,$C381))&amp;""="","","✓"))</f>
        <v/>
      </c>
      <c r="L381" s="114" t="str">
        <f aca="true">IF($E381="","",IF($K381="✓","Concluído",IF($E381&lt;TODAY(),"Atrasado",IF($E381=TODAY(),"Hoje","Pendente"))))</f>
        <v/>
      </c>
      <c r="M381" s="114" t="str">
        <f aca="false">IF($E381="","",IF($K381="✓","✓ ","")&amp;IF(Config!$E$22="Sim",$H381&amp;" · ","")&amp;$F381)</f>
        <v/>
      </c>
      <c r="N381" s="114" t="str">
        <f aca="false">IF($E381="","",IFERROR(INDEX(Config!$D$15:$D$19,MATCH($I381,Config!$C$15:$C$19,0)),"OUT")&amp;IF($K381="✓","x",""))</f>
        <v/>
      </c>
      <c r="O381" s="114" t="str">
        <f aca="false">IF($E381="","",COUNTIF($E$5:$E381,$E381))</f>
        <v/>
      </c>
      <c r="P381" s="114" t="str">
        <f aca="false">IF($E381="","",$E381*100+$O381)</f>
        <v/>
      </c>
      <c r="Q381" s="114" t="str">
        <f aca="false">IF($L381="Atrasado",$E381*10000+$A381,"")</f>
        <v/>
      </c>
    </row>
    <row r="382" customFormat="false" ht="15" hidden="false" customHeight="false" outlineLevel="0" collapsed="false">
      <c r="A382" s="114" t="n">
        <f aca="false">ROW()-4</f>
        <v>378</v>
      </c>
      <c r="B382" s="114" t="str">
        <f aca="false">IF(A382&lt;=Config!$E$27*Config!$E$28,"Tema","Avulso")</f>
        <v>Tema</v>
      </c>
      <c r="C382" s="114" t="n">
        <f aca="false">IF(B382="Tema",INT((A382-1)/Config!$E$28)+1,A382-Config!$E$27*Config!$E$28)</f>
        <v>63</v>
      </c>
      <c r="D382" s="114" t="n">
        <f aca="false">IF(B382="Tema",MOD(A382-1,Config!$E$28)+1,"")</f>
        <v>6</v>
      </c>
      <c r="E382" s="115" t="str">
        <f aca="false">IF($B382="Tema",IF(ISNUMBER(INDEX(Temas!$E$6:$P$305,$C382,2*$D382-1)),INDEX(Temas!$E$6:$P$305,$C382,2*$D382-1),""),IF(ISNUMBER(INDEX(Avulsos!$B$6:$B$205,$C382)),INDEX(Avulsos!$B$6:$B$205,$C382),""))</f>
        <v/>
      </c>
      <c r="F382" s="114" t="str">
        <f aca="false">IF($E382="","",IF($B382="Tema",INDEX(Temas!$B$6:$B$305,$C382)&amp;"",INDEX(Avulsos!$C$6:$C$205,$C382)&amp;""))</f>
        <v/>
      </c>
      <c r="G382" s="114" t="str">
        <f aca="false">IF($E382="","",IF($B382="Tema",INDEX(Config!$C$6:$C$11,$D382),"Evento avulso"))</f>
        <v/>
      </c>
      <c r="H382" s="114" t="str">
        <f aca="false">IF($E382="","",IF($B382="Tema",INDEX(Config!$D$6:$D$11,$D382),IFERROR(INDEX(Config!$E$15:$E$19,MATCH($I382,Config!$C$15:$C$19,0)),"•")))</f>
        <v/>
      </c>
      <c r="I382" s="114" t="str">
        <f aca="false">IF($E382="","",IF($B382="Tema",INDEX(Config!$E$6:$E$11,$D382),IF(INDEX(Avulsos!$D$6:$D$205,$C382)&amp;""="","Outro",INDEX(Avulsos!$D$6:$D$205,$C382))))</f>
        <v/>
      </c>
      <c r="J382" s="114" t="str">
        <f aca="false">IF($E382="","",IF($B382="Tema",INDEX(Temas!$C$6:$C$305,$C382)&amp;"",INDEX(Avulsos!$E$6:$E$205,$C382)&amp;""))</f>
        <v/>
      </c>
      <c r="K382" s="114" t="str">
        <f aca="false">IF($E382="","",IF(IF($B382="Tema",INDEX(Temas!$E$6:$P$305,$C382,2*$D382),INDEX(Avulsos!$F$6:$F$205,$C382))&amp;""="","","✓"))</f>
        <v/>
      </c>
      <c r="L382" s="114" t="str">
        <f aca="true">IF($E382="","",IF($K382="✓","Concluído",IF($E382&lt;TODAY(),"Atrasado",IF($E382=TODAY(),"Hoje","Pendente"))))</f>
        <v/>
      </c>
      <c r="M382" s="114" t="str">
        <f aca="false">IF($E382="","",IF($K382="✓","✓ ","")&amp;IF(Config!$E$22="Sim",$H382&amp;" · ","")&amp;$F382)</f>
        <v/>
      </c>
      <c r="N382" s="114" t="str">
        <f aca="false">IF($E382="","",IFERROR(INDEX(Config!$D$15:$D$19,MATCH($I382,Config!$C$15:$C$19,0)),"OUT")&amp;IF($K382="✓","x",""))</f>
        <v/>
      </c>
      <c r="O382" s="114" t="str">
        <f aca="false">IF($E382="","",COUNTIF($E$5:$E382,$E382))</f>
        <v/>
      </c>
      <c r="P382" s="114" t="str">
        <f aca="false">IF($E382="","",$E382*100+$O382)</f>
        <v/>
      </c>
      <c r="Q382" s="114" t="str">
        <f aca="false">IF($L382="Atrasado",$E382*10000+$A382,"")</f>
        <v/>
      </c>
    </row>
    <row r="383" customFormat="false" ht="15" hidden="false" customHeight="false" outlineLevel="0" collapsed="false">
      <c r="A383" s="114" t="n">
        <f aca="false">ROW()-4</f>
        <v>379</v>
      </c>
      <c r="B383" s="114" t="str">
        <f aca="false">IF(A383&lt;=Config!$E$27*Config!$E$28,"Tema","Avulso")</f>
        <v>Tema</v>
      </c>
      <c r="C383" s="114" t="n">
        <f aca="false">IF(B383="Tema",INT((A383-1)/Config!$E$28)+1,A383-Config!$E$27*Config!$E$28)</f>
        <v>64</v>
      </c>
      <c r="D383" s="114" t="n">
        <f aca="false">IF(B383="Tema",MOD(A383-1,Config!$E$28)+1,"")</f>
        <v>1</v>
      </c>
      <c r="E383" s="115" t="str">
        <f aca="false">IF($B383="Tema",IF(ISNUMBER(INDEX(Temas!$E$6:$P$305,$C383,2*$D383-1)),INDEX(Temas!$E$6:$P$305,$C383,2*$D383-1),""),IF(ISNUMBER(INDEX(Avulsos!$B$6:$B$205,$C383)),INDEX(Avulsos!$B$6:$B$205,$C383),""))</f>
        <v/>
      </c>
      <c r="F383" s="114" t="str">
        <f aca="false">IF($E383="","",IF($B383="Tema",INDEX(Temas!$B$6:$B$305,$C383)&amp;"",INDEX(Avulsos!$C$6:$C$205,$C383)&amp;""))</f>
        <v/>
      </c>
      <c r="G383" s="114" t="str">
        <f aca="false">IF($E383="","",IF($B383="Tema",INDEX(Config!$C$6:$C$11,$D383),"Evento avulso"))</f>
        <v/>
      </c>
      <c r="H383" s="114" t="str">
        <f aca="false">IF($E383="","",IF($B383="Tema",INDEX(Config!$D$6:$D$11,$D383),IFERROR(INDEX(Config!$E$15:$E$19,MATCH($I383,Config!$C$15:$C$19,0)),"•")))</f>
        <v/>
      </c>
      <c r="I383" s="114" t="str">
        <f aca="false">IF($E383="","",IF($B383="Tema",INDEX(Config!$E$6:$E$11,$D383),IF(INDEX(Avulsos!$D$6:$D$205,$C383)&amp;""="","Outro",INDEX(Avulsos!$D$6:$D$205,$C383))))</f>
        <v/>
      </c>
      <c r="J383" s="114" t="str">
        <f aca="false">IF($E383="","",IF($B383="Tema",INDEX(Temas!$C$6:$C$305,$C383)&amp;"",INDEX(Avulsos!$E$6:$E$205,$C383)&amp;""))</f>
        <v/>
      </c>
      <c r="K383" s="114" t="str">
        <f aca="false">IF($E383="","",IF(IF($B383="Tema",INDEX(Temas!$E$6:$P$305,$C383,2*$D383),INDEX(Avulsos!$F$6:$F$205,$C383))&amp;""="","","✓"))</f>
        <v/>
      </c>
      <c r="L383" s="114" t="str">
        <f aca="true">IF($E383="","",IF($K383="✓","Concluído",IF($E383&lt;TODAY(),"Atrasado",IF($E383=TODAY(),"Hoje","Pendente"))))</f>
        <v/>
      </c>
      <c r="M383" s="114" t="str">
        <f aca="false">IF($E383="","",IF($K383="✓","✓ ","")&amp;IF(Config!$E$22="Sim",$H383&amp;" · ","")&amp;$F383)</f>
        <v/>
      </c>
      <c r="N383" s="114" t="str">
        <f aca="false">IF($E383="","",IFERROR(INDEX(Config!$D$15:$D$19,MATCH($I383,Config!$C$15:$C$19,0)),"OUT")&amp;IF($K383="✓","x",""))</f>
        <v/>
      </c>
      <c r="O383" s="114" t="str">
        <f aca="false">IF($E383="","",COUNTIF($E$5:$E383,$E383))</f>
        <v/>
      </c>
      <c r="P383" s="114" t="str">
        <f aca="false">IF($E383="","",$E383*100+$O383)</f>
        <v/>
      </c>
      <c r="Q383" s="114" t="str">
        <f aca="false">IF($L383="Atrasado",$E383*10000+$A383,"")</f>
        <v/>
      </c>
    </row>
    <row r="384" customFormat="false" ht="15" hidden="false" customHeight="false" outlineLevel="0" collapsed="false">
      <c r="A384" s="114" t="n">
        <f aca="false">ROW()-4</f>
        <v>380</v>
      </c>
      <c r="B384" s="114" t="str">
        <f aca="false">IF(A384&lt;=Config!$E$27*Config!$E$28,"Tema","Avulso")</f>
        <v>Tema</v>
      </c>
      <c r="C384" s="114" t="n">
        <f aca="false">IF(B384="Tema",INT((A384-1)/Config!$E$28)+1,A384-Config!$E$27*Config!$E$28)</f>
        <v>64</v>
      </c>
      <c r="D384" s="114" t="n">
        <f aca="false">IF(B384="Tema",MOD(A384-1,Config!$E$28)+1,"")</f>
        <v>2</v>
      </c>
      <c r="E384" s="115" t="str">
        <f aca="false">IF($B384="Tema",IF(ISNUMBER(INDEX(Temas!$E$6:$P$305,$C384,2*$D384-1)),INDEX(Temas!$E$6:$P$305,$C384,2*$D384-1),""),IF(ISNUMBER(INDEX(Avulsos!$B$6:$B$205,$C384)),INDEX(Avulsos!$B$6:$B$205,$C384),""))</f>
        <v/>
      </c>
      <c r="F384" s="114" t="str">
        <f aca="false">IF($E384="","",IF($B384="Tema",INDEX(Temas!$B$6:$B$305,$C384)&amp;"",INDEX(Avulsos!$C$6:$C$205,$C384)&amp;""))</f>
        <v/>
      </c>
      <c r="G384" s="114" t="str">
        <f aca="false">IF($E384="","",IF($B384="Tema",INDEX(Config!$C$6:$C$11,$D384),"Evento avulso"))</f>
        <v/>
      </c>
      <c r="H384" s="114" t="str">
        <f aca="false">IF($E384="","",IF($B384="Tema",INDEX(Config!$D$6:$D$11,$D384),IFERROR(INDEX(Config!$E$15:$E$19,MATCH($I384,Config!$C$15:$C$19,0)),"•")))</f>
        <v/>
      </c>
      <c r="I384" s="114" t="str">
        <f aca="false">IF($E384="","",IF($B384="Tema",INDEX(Config!$E$6:$E$11,$D384),IF(INDEX(Avulsos!$D$6:$D$205,$C384)&amp;""="","Outro",INDEX(Avulsos!$D$6:$D$205,$C384))))</f>
        <v/>
      </c>
      <c r="J384" s="114" t="str">
        <f aca="false">IF($E384="","",IF($B384="Tema",INDEX(Temas!$C$6:$C$305,$C384)&amp;"",INDEX(Avulsos!$E$6:$E$205,$C384)&amp;""))</f>
        <v/>
      </c>
      <c r="K384" s="114" t="str">
        <f aca="false">IF($E384="","",IF(IF($B384="Tema",INDEX(Temas!$E$6:$P$305,$C384,2*$D384),INDEX(Avulsos!$F$6:$F$205,$C384))&amp;""="","","✓"))</f>
        <v/>
      </c>
      <c r="L384" s="114" t="str">
        <f aca="true">IF($E384="","",IF($K384="✓","Concluído",IF($E384&lt;TODAY(),"Atrasado",IF($E384=TODAY(),"Hoje","Pendente"))))</f>
        <v/>
      </c>
      <c r="M384" s="114" t="str">
        <f aca="false">IF($E384="","",IF($K384="✓","✓ ","")&amp;IF(Config!$E$22="Sim",$H384&amp;" · ","")&amp;$F384)</f>
        <v/>
      </c>
      <c r="N384" s="114" t="str">
        <f aca="false">IF($E384="","",IFERROR(INDEX(Config!$D$15:$D$19,MATCH($I384,Config!$C$15:$C$19,0)),"OUT")&amp;IF($K384="✓","x",""))</f>
        <v/>
      </c>
      <c r="O384" s="114" t="str">
        <f aca="false">IF($E384="","",COUNTIF($E$5:$E384,$E384))</f>
        <v/>
      </c>
      <c r="P384" s="114" t="str">
        <f aca="false">IF($E384="","",$E384*100+$O384)</f>
        <v/>
      </c>
      <c r="Q384" s="114" t="str">
        <f aca="false">IF($L384="Atrasado",$E384*10000+$A384,"")</f>
        <v/>
      </c>
    </row>
    <row r="385" customFormat="false" ht="15" hidden="false" customHeight="false" outlineLevel="0" collapsed="false">
      <c r="A385" s="114" t="n">
        <f aca="false">ROW()-4</f>
        <v>381</v>
      </c>
      <c r="B385" s="114" t="str">
        <f aca="false">IF(A385&lt;=Config!$E$27*Config!$E$28,"Tema","Avulso")</f>
        <v>Tema</v>
      </c>
      <c r="C385" s="114" t="n">
        <f aca="false">IF(B385="Tema",INT((A385-1)/Config!$E$28)+1,A385-Config!$E$27*Config!$E$28)</f>
        <v>64</v>
      </c>
      <c r="D385" s="114" t="n">
        <f aca="false">IF(B385="Tema",MOD(A385-1,Config!$E$28)+1,"")</f>
        <v>3</v>
      </c>
      <c r="E385" s="115" t="str">
        <f aca="false">IF($B385="Tema",IF(ISNUMBER(INDEX(Temas!$E$6:$P$305,$C385,2*$D385-1)),INDEX(Temas!$E$6:$P$305,$C385,2*$D385-1),""),IF(ISNUMBER(INDEX(Avulsos!$B$6:$B$205,$C385)),INDEX(Avulsos!$B$6:$B$205,$C385),""))</f>
        <v/>
      </c>
      <c r="F385" s="114" t="str">
        <f aca="false">IF($E385="","",IF($B385="Tema",INDEX(Temas!$B$6:$B$305,$C385)&amp;"",INDEX(Avulsos!$C$6:$C$205,$C385)&amp;""))</f>
        <v/>
      </c>
      <c r="G385" s="114" t="str">
        <f aca="false">IF($E385="","",IF($B385="Tema",INDEX(Config!$C$6:$C$11,$D385),"Evento avulso"))</f>
        <v/>
      </c>
      <c r="H385" s="114" t="str">
        <f aca="false">IF($E385="","",IF($B385="Tema",INDEX(Config!$D$6:$D$11,$D385),IFERROR(INDEX(Config!$E$15:$E$19,MATCH($I385,Config!$C$15:$C$19,0)),"•")))</f>
        <v/>
      </c>
      <c r="I385" s="114" t="str">
        <f aca="false">IF($E385="","",IF($B385="Tema",INDEX(Config!$E$6:$E$11,$D385),IF(INDEX(Avulsos!$D$6:$D$205,$C385)&amp;""="","Outro",INDEX(Avulsos!$D$6:$D$205,$C385))))</f>
        <v/>
      </c>
      <c r="J385" s="114" t="str">
        <f aca="false">IF($E385="","",IF($B385="Tema",INDEX(Temas!$C$6:$C$305,$C385)&amp;"",INDEX(Avulsos!$E$6:$E$205,$C385)&amp;""))</f>
        <v/>
      </c>
      <c r="K385" s="114" t="str">
        <f aca="false">IF($E385="","",IF(IF($B385="Tema",INDEX(Temas!$E$6:$P$305,$C385,2*$D385),INDEX(Avulsos!$F$6:$F$205,$C385))&amp;""="","","✓"))</f>
        <v/>
      </c>
      <c r="L385" s="114" t="str">
        <f aca="true">IF($E385="","",IF($K385="✓","Concluído",IF($E385&lt;TODAY(),"Atrasado",IF($E385=TODAY(),"Hoje","Pendente"))))</f>
        <v/>
      </c>
      <c r="M385" s="114" t="str">
        <f aca="false">IF($E385="","",IF($K385="✓","✓ ","")&amp;IF(Config!$E$22="Sim",$H385&amp;" · ","")&amp;$F385)</f>
        <v/>
      </c>
      <c r="N385" s="114" t="str">
        <f aca="false">IF($E385="","",IFERROR(INDEX(Config!$D$15:$D$19,MATCH($I385,Config!$C$15:$C$19,0)),"OUT")&amp;IF($K385="✓","x",""))</f>
        <v/>
      </c>
      <c r="O385" s="114" t="str">
        <f aca="false">IF($E385="","",COUNTIF($E$5:$E385,$E385))</f>
        <v/>
      </c>
      <c r="P385" s="114" t="str">
        <f aca="false">IF($E385="","",$E385*100+$O385)</f>
        <v/>
      </c>
      <c r="Q385" s="114" t="str">
        <f aca="false">IF($L385="Atrasado",$E385*10000+$A385,"")</f>
        <v/>
      </c>
    </row>
    <row r="386" customFormat="false" ht="15" hidden="false" customHeight="false" outlineLevel="0" collapsed="false">
      <c r="A386" s="114" t="n">
        <f aca="false">ROW()-4</f>
        <v>382</v>
      </c>
      <c r="B386" s="114" t="str">
        <f aca="false">IF(A386&lt;=Config!$E$27*Config!$E$28,"Tema","Avulso")</f>
        <v>Tema</v>
      </c>
      <c r="C386" s="114" t="n">
        <f aca="false">IF(B386="Tema",INT((A386-1)/Config!$E$28)+1,A386-Config!$E$27*Config!$E$28)</f>
        <v>64</v>
      </c>
      <c r="D386" s="114" t="n">
        <f aca="false">IF(B386="Tema",MOD(A386-1,Config!$E$28)+1,"")</f>
        <v>4</v>
      </c>
      <c r="E386" s="115" t="str">
        <f aca="false">IF($B386="Tema",IF(ISNUMBER(INDEX(Temas!$E$6:$P$305,$C386,2*$D386-1)),INDEX(Temas!$E$6:$P$305,$C386,2*$D386-1),""),IF(ISNUMBER(INDEX(Avulsos!$B$6:$B$205,$C386)),INDEX(Avulsos!$B$6:$B$205,$C386),""))</f>
        <v/>
      </c>
      <c r="F386" s="114" t="str">
        <f aca="false">IF($E386="","",IF($B386="Tema",INDEX(Temas!$B$6:$B$305,$C386)&amp;"",INDEX(Avulsos!$C$6:$C$205,$C386)&amp;""))</f>
        <v/>
      </c>
      <c r="G386" s="114" t="str">
        <f aca="false">IF($E386="","",IF($B386="Tema",INDEX(Config!$C$6:$C$11,$D386),"Evento avulso"))</f>
        <v/>
      </c>
      <c r="H386" s="114" t="str">
        <f aca="false">IF($E386="","",IF($B386="Tema",INDEX(Config!$D$6:$D$11,$D386),IFERROR(INDEX(Config!$E$15:$E$19,MATCH($I386,Config!$C$15:$C$19,0)),"•")))</f>
        <v/>
      </c>
      <c r="I386" s="114" t="str">
        <f aca="false">IF($E386="","",IF($B386="Tema",INDEX(Config!$E$6:$E$11,$D386),IF(INDEX(Avulsos!$D$6:$D$205,$C386)&amp;""="","Outro",INDEX(Avulsos!$D$6:$D$205,$C386))))</f>
        <v/>
      </c>
      <c r="J386" s="114" t="str">
        <f aca="false">IF($E386="","",IF($B386="Tema",INDEX(Temas!$C$6:$C$305,$C386)&amp;"",INDEX(Avulsos!$E$6:$E$205,$C386)&amp;""))</f>
        <v/>
      </c>
      <c r="K386" s="114" t="str">
        <f aca="false">IF($E386="","",IF(IF($B386="Tema",INDEX(Temas!$E$6:$P$305,$C386,2*$D386),INDEX(Avulsos!$F$6:$F$205,$C386))&amp;""="","","✓"))</f>
        <v/>
      </c>
      <c r="L386" s="114" t="str">
        <f aca="true">IF($E386="","",IF($K386="✓","Concluído",IF($E386&lt;TODAY(),"Atrasado",IF($E386=TODAY(),"Hoje","Pendente"))))</f>
        <v/>
      </c>
      <c r="M386" s="114" t="str">
        <f aca="false">IF($E386="","",IF($K386="✓","✓ ","")&amp;IF(Config!$E$22="Sim",$H386&amp;" · ","")&amp;$F386)</f>
        <v/>
      </c>
      <c r="N386" s="114" t="str">
        <f aca="false">IF($E386="","",IFERROR(INDEX(Config!$D$15:$D$19,MATCH($I386,Config!$C$15:$C$19,0)),"OUT")&amp;IF($K386="✓","x",""))</f>
        <v/>
      </c>
      <c r="O386" s="114" t="str">
        <f aca="false">IF($E386="","",COUNTIF($E$5:$E386,$E386))</f>
        <v/>
      </c>
      <c r="P386" s="114" t="str">
        <f aca="false">IF($E386="","",$E386*100+$O386)</f>
        <v/>
      </c>
      <c r="Q386" s="114" t="str">
        <f aca="false">IF($L386="Atrasado",$E386*10000+$A386,"")</f>
        <v/>
      </c>
    </row>
    <row r="387" customFormat="false" ht="15" hidden="false" customHeight="false" outlineLevel="0" collapsed="false">
      <c r="A387" s="114" t="n">
        <f aca="false">ROW()-4</f>
        <v>383</v>
      </c>
      <c r="B387" s="114" t="str">
        <f aca="false">IF(A387&lt;=Config!$E$27*Config!$E$28,"Tema","Avulso")</f>
        <v>Tema</v>
      </c>
      <c r="C387" s="114" t="n">
        <f aca="false">IF(B387="Tema",INT((A387-1)/Config!$E$28)+1,A387-Config!$E$27*Config!$E$28)</f>
        <v>64</v>
      </c>
      <c r="D387" s="114" t="n">
        <f aca="false">IF(B387="Tema",MOD(A387-1,Config!$E$28)+1,"")</f>
        <v>5</v>
      </c>
      <c r="E387" s="115" t="str">
        <f aca="false">IF($B387="Tema",IF(ISNUMBER(INDEX(Temas!$E$6:$P$305,$C387,2*$D387-1)),INDEX(Temas!$E$6:$P$305,$C387,2*$D387-1),""),IF(ISNUMBER(INDEX(Avulsos!$B$6:$B$205,$C387)),INDEX(Avulsos!$B$6:$B$205,$C387),""))</f>
        <v/>
      </c>
      <c r="F387" s="114" t="str">
        <f aca="false">IF($E387="","",IF($B387="Tema",INDEX(Temas!$B$6:$B$305,$C387)&amp;"",INDEX(Avulsos!$C$6:$C$205,$C387)&amp;""))</f>
        <v/>
      </c>
      <c r="G387" s="114" t="str">
        <f aca="false">IF($E387="","",IF($B387="Tema",INDEX(Config!$C$6:$C$11,$D387),"Evento avulso"))</f>
        <v/>
      </c>
      <c r="H387" s="114" t="str">
        <f aca="false">IF($E387="","",IF($B387="Tema",INDEX(Config!$D$6:$D$11,$D387),IFERROR(INDEX(Config!$E$15:$E$19,MATCH($I387,Config!$C$15:$C$19,0)),"•")))</f>
        <v/>
      </c>
      <c r="I387" s="114" t="str">
        <f aca="false">IF($E387="","",IF($B387="Tema",INDEX(Config!$E$6:$E$11,$D387),IF(INDEX(Avulsos!$D$6:$D$205,$C387)&amp;""="","Outro",INDEX(Avulsos!$D$6:$D$205,$C387))))</f>
        <v/>
      </c>
      <c r="J387" s="114" t="str">
        <f aca="false">IF($E387="","",IF($B387="Tema",INDEX(Temas!$C$6:$C$305,$C387)&amp;"",INDEX(Avulsos!$E$6:$E$205,$C387)&amp;""))</f>
        <v/>
      </c>
      <c r="K387" s="114" t="str">
        <f aca="false">IF($E387="","",IF(IF($B387="Tema",INDEX(Temas!$E$6:$P$305,$C387,2*$D387),INDEX(Avulsos!$F$6:$F$205,$C387))&amp;""="","","✓"))</f>
        <v/>
      </c>
      <c r="L387" s="114" t="str">
        <f aca="true">IF($E387="","",IF($K387="✓","Concluído",IF($E387&lt;TODAY(),"Atrasado",IF($E387=TODAY(),"Hoje","Pendente"))))</f>
        <v/>
      </c>
      <c r="M387" s="114" t="str">
        <f aca="false">IF($E387="","",IF($K387="✓","✓ ","")&amp;IF(Config!$E$22="Sim",$H387&amp;" · ","")&amp;$F387)</f>
        <v/>
      </c>
      <c r="N387" s="114" t="str">
        <f aca="false">IF($E387="","",IFERROR(INDEX(Config!$D$15:$D$19,MATCH($I387,Config!$C$15:$C$19,0)),"OUT")&amp;IF($K387="✓","x",""))</f>
        <v/>
      </c>
      <c r="O387" s="114" t="str">
        <f aca="false">IF($E387="","",COUNTIF($E$5:$E387,$E387))</f>
        <v/>
      </c>
      <c r="P387" s="114" t="str">
        <f aca="false">IF($E387="","",$E387*100+$O387)</f>
        <v/>
      </c>
      <c r="Q387" s="114" t="str">
        <f aca="false">IF($L387="Atrasado",$E387*10000+$A387,"")</f>
        <v/>
      </c>
    </row>
    <row r="388" customFormat="false" ht="15" hidden="false" customHeight="false" outlineLevel="0" collapsed="false">
      <c r="A388" s="114" t="n">
        <f aca="false">ROW()-4</f>
        <v>384</v>
      </c>
      <c r="B388" s="114" t="str">
        <f aca="false">IF(A388&lt;=Config!$E$27*Config!$E$28,"Tema","Avulso")</f>
        <v>Tema</v>
      </c>
      <c r="C388" s="114" t="n">
        <f aca="false">IF(B388="Tema",INT((A388-1)/Config!$E$28)+1,A388-Config!$E$27*Config!$E$28)</f>
        <v>64</v>
      </c>
      <c r="D388" s="114" t="n">
        <f aca="false">IF(B388="Tema",MOD(A388-1,Config!$E$28)+1,"")</f>
        <v>6</v>
      </c>
      <c r="E388" s="115" t="str">
        <f aca="false">IF($B388="Tema",IF(ISNUMBER(INDEX(Temas!$E$6:$P$305,$C388,2*$D388-1)),INDEX(Temas!$E$6:$P$305,$C388,2*$D388-1),""),IF(ISNUMBER(INDEX(Avulsos!$B$6:$B$205,$C388)),INDEX(Avulsos!$B$6:$B$205,$C388),""))</f>
        <v/>
      </c>
      <c r="F388" s="114" t="str">
        <f aca="false">IF($E388="","",IF($B388="Tema",INDEX(Temas!$B$6:$B$305,$C388)&amp;"",INDEX(Avulsos!$C$6:$C$205,$C388)&amp;""))</f>
        <v/>
      </c>
      <c r="G388" s="114" t="str">
        <f aca="false">IF($E388="","",IF($B388="Tema",INDEX(Config!$C$6:$C$11,$D388),"Evento avulso"))</f>
        <v/>
      </c>
      <c r="H388" s="114" t="str">
        <f aca="false">IF($E388="","",IF($B388="Tema",INDEX(Config!$D$6:$D$11,$D388),IFERROR(INDEX(Config!$E$15:$E$19,MATCH($I388,Config!$C$15:$C$19,0)),"•")))</f>
        <v/>
      </c>
      <c r="I388" s="114" t="str">
        <f aca="false">IF($E388="","",IF($B388="Tema",INDEX(Config!$E$6:$E$11,$D388),IF(INDEX(Avulsos!$D$6:$D$205,$C388)&amp;""="","Outro",INDEX(Avulsos!$D$6:$D$205,$C388))))</f>
        <v/>
      </c>
      <c r="J388" s="114" t="str">
        <f aca="false">IF($E388="","",IF($B388="Tema",INDEX(Temas!$C$6:$C$305,$C388)&amp;"",INDEX(Avulsos!$E$6:$E$205,$C388)&amp;""))</f>
        <v/>
      </c>
      <c r="K388" s="114" t="str">
        <f aca="false">IF($E388="","",IF(IF($B388="Tema",INDEX(Temas!$E$6:$P$305,$C388,2*$D388),INDEX(Avulsos!$F$6:$F$205,$C388))&amp;""="","","✓"))</f>
        <v/>
      </c>
      <c r="L388" s="114" t="str">
        <f aca="true">IF($E388="","",IF($K388="✓","Concluído",IF($E388&lt;TODAY(),"Atrasado",IF($E388=TODAY(),"Hoje","Pendente"))))</f>
        <v/>
      </c>
      <c r="M388" s="114" t="str">
        <f aca="false">IF($E388="","",IF($K388="✓","✓ ","")&amp;IF(Config!$E$22="Sim",$H388&amp;" · ","")&amp;$F388)</f>
        <v/>
      </c>
      <c r="N388" s="114" t="str">
        <f aca="false">IF($E388="","",IFERROR(INDEX(Config!$D$15:$D$19,MATCH($I388,Config!$C$15:$C$19,0)),"OUT")&amp;IF($K388="✓","x",""))</f>
        <v/>
      </c>
      <c r="O388" s="114" t="str">
        <f aca="false">IF($E388="","",COUNTIF($E$5:$E388,$E388))</f>
        <v/>
      </c>
      <c r="P388" s="114" t="str">
        <f aca="false">IF($E388="","",$E388*100+$O388)</f>
        <v/>
      </c>
      <c r="Q388" s="114" t="str">
        <f aca="false">IF($L388="Atrasado",$E388*10000+$A388,"")</f>
        <v/>
      </c>
    </row>
    <row r="389" customFormat="false" ht="15" hidden="false" customHeight="false" outlineLevel="0" collapsed="false">
      <c r="A389" s="114" t="n">
        <f aca="false">ROW()-4</f>
        <v>385</v>
      </c>
      <c r="B389" s="114" t="str">
        <f aca="false">IF(A389&lt;=Config!$E$27*Config!$E$28,"Tema","Avulso")</f>
        <v>Tema</v>
      </c>
      <c r="C389" s="114" t="n">
        <f aca="false">IF(B389="Tema",INT((A389-1)/Config!$E$28)+1,A389-Config!$E$27*Config!$E$28)</f>
        <v>65</v>
      </c>
      <c r="D389" s="114" t="n">
        <f aca="false">IF(B389="Tema",MOD(A389-1,Config!$E$28)+1,"")</f>
        <v>1</v>
      </c>
      <c r="E389" s="115" t="str">
        <f aca="false">IF($B389="Tema",IF(ISNUMBER(INDEX(Temas!$E$6:$P$305,$C389,2*$D389-1)),INDEX(Temas!$E$6:$P$305,$C389,2*$D389-1),""),IF(ISNUMBER(INDEX(Avulsos!$B$6:$B$205,$C389)),INDEX(Avulsos!$B$6:$B$205,$C389),""))</f>
        <v/>
      </c>
      <c r="F389" s="114" t="str">
        <f aca="false">IF($E389="","",IF($B389="Tema",INDEX(Temas!$B$6:$B$305,$C389)&amp;"",INDEX(Avulsos!$C$6:$C$205,$C389)&amp;""))</f>
        <v/>
      </c>
      <c r="G389" s="114" t="str">
        <f aca="false">IF($E389="","",IF($B389="Tema",INDEX(Config!$C$6:$C$11,$D389),"Evento avulso"))</f>
        <v/>
      </c>
      <c r="H389" s="114" t="str">
        <f aca="false">IF($E389="","",IF($B389="Tema",INDEX(Config!$D$6:$D$11,$D389),IFERROR(INDEX(Config!$E$15:$E$19,MATCH($I389,Config!$C$15:$C$19,0)),"•")))</f>
        <v/>
      </c>
      <c r="I389" s="114" t="str">
        <f aca="false">IF($E389="","",IF($B389="Tema",INDEX(Config!$E$6:$E$11,$D389),IF(INDEX(Avulsos!$D$6:$D$205,$C389)&amp;""="","Outro",INDEX(Avulsos!$D$6:$D$205,$C389))))</f>
        <v/>
      </c>
      <c r="J389" s="114" t="str">
        <f aca="false">IF($E389="","",IF($B389="Tema",INDEX(Temas!$C$6:$C$305,$C389)&amp;"",INDEX(Avulsos!$E$6:$E$205,$C389)&amp;""))</f>
        <v/>
      </c>
      <c r="K389" s="114" t="str">
        <f aca="false">IF($E389="","",IF(IF($B389="Tema",INDEX(Temas!$E$6:$P$305,$C389,2*$D389),INDEX(Avulsos!$F$6:$F$205,$C389))&amp;""="","","✓"))</f>
        <v/>
      </c>
      <c r="L389" s="114" t="str">
        <f aca="true">IF($E389="","",IF($K389="✓","Concluído",IF($E389&lt;TODAY(),"Atrasado",IF($E389=TODAY(),"Hoje","Pendente"))))</f>
        <v/>
      </c>
      <c r="M389" s="114" t="str">
        <f aca="false">IF($E389="","",IF($K389="✓","✓ ","")&amp;IF(Config!$E$22="Sim",$H389&amp;" · ","")&amp;$F389)</f>
        <v/>
      </c>
      <c r="N389" s="114" t="str">
        <f aca="false">IF($E389="","",IFERROR(INDEX(Config!$D$15:$D$19,MATCH($I389,Config!$C$15:$C$19,0)),"OUT")&amp;IF($K389="✓","x",""))</f>
        <v/>
      </c>
      <c r="O389" s="114" t="str">
        <f aca="false">IF($E389="","",COUNTIF($E$5:$E389,$E389))</f>
        <v/>
      </c>
      <c r="P389" s="114" t="str">
        <f aca="false">IF($E389="","",$E389*100+$O389)</f>
        <v/>
      </c>
      <c r="Q389" s="114" t="str">
        <f aca="false">IF($L389="Atrasado",$E389*10000+$A389,"")</f>
        <v/>
      </c>
    </row>
    <row r="390" customFormat="false" ht="15" hidden="false" customHeight="false" outlineLevel="0" collapsed="false">
      <c r="A390" s="114" t="n">
        <f aca="false">ROW()-4</f>
        <v>386</v>
      </c>
      <c r="B390" s="114" t="str">
        <f aca="false">IF(A390&lt;=Config!$E$27*Config!$E$28,"Tema","Avulso")</f>
        <v>Tema</v>
      </c>
      <c r="C390" s="114" t="n">
        <f aca="false">IF(B390="Tema",INT((A390-1)/Config!$E$28)+1,A390-Config!$E$27*Config!$E$28)</f>
        <v>65</v>
      </c>
      <c r="D390" s="114" t="n">
        <f aca="false">IF(B390="Tema",MOD(A390-1,Config!$E$28)+1,"")</f>
        <v>2</v>
      </c>
      <c r="E390" s="115" t="str">
        <f aca="false">IF($B390="Tema",IF(ISNUMBER(INDEX(Temas!$E$6:$P$305,$C390,2*$D390-1)),INDEX(Temas!$E$6:$P$305,$C390,2*$D390-1),""),IF(ISNUMBER(INDEX(Avulsos!$B$6:$B$205,$C390)),INDEX(Avulsos!$B$6:$B$205,$C390),""))</f>
        <v/>
      </c>
      <c r="F390" s="114" t="str">
        <f aca="false">IF($E390="","",IF($B390="Tema",INDEX(Temas!$B$6:$B$305,$C390)&amp;"",INDEX(Avulsos!$C$6:$C$205,$C390)&amp;""))</f>
        <v/>
      </c>
      <c r="G390" s="114" t="str">
        <f aca="false">IF($E390="","",IF($B390="Tema",INDEX(Config!$C$6:$C$11,$D390),"Evento avulso"))</f>
        <v/>
      </c>
      <c r="H390" s="114" t="str">
        <f aca="false">IF($E390="","",IF($B390="Tema",INDEX(Config!$D$6:$D$11,$D390),IFERROR(INDEX(Config!$E$15:$E$19,MATCH($I390,Config!$C$15:$C$19,0)),"•")))</f>
        <v/>
      </c>
      <c r="I390" s="114" t="str">
        <f aca="false">IF($E390="","",IF($B390="Tema",INDEX(Config!$E$6:$E$11,$D390),IF(INDEX(Avulsos!$D$6:$D$205,$C390)&amp;""="","Outro",INDEX(Avulsos!$D$6:$D$205,$C390))))</f>
        <v/>
      </c>
      <c r="J390" s="114" t="str">
        <f aca="false">IF($E390="","",IF($B390="Tema",INDEX(Temas!$C$6:$C$305,$C390)&amp;"",INDEX(Avulsos!$E$6:$E$205,$C390)&amp;""))</f>
        <v/>
      </c>
      <c r="K390" s="114" t="str">
        <f aca="false">IF($E390="","",IF(IF($B390="Tema",INDEX(Temas!$E$6:$P$305,$C390,2*$D390),INDEX(Avulsos!$F$6:$F$205,$C390))&amp;""="","","✓"))</f>
        <v/>
      </c>
      <c r="L390" s="114" t="str">
        <f aca="true">IF($E390="","",IF($K390="✓","Concluído",IF($E390&lt;TODAY(),"Atrasado",IF($E390=TODAY(),"Hoje","Pendente"))))</f>
        <v/>
      </c>
      <c r="M390" s="114" t="str">
        <f aca="false">IF($E390="","",IF($K390="✓","✓ ","")&amp;IF(Config!$E$22="Sim",$H390&amp;" · ","")&amp;$F390)</f>
        <v/>
      </c>
      <c r="N390" s="114" t="str">
        <f aca="false">IF($E390="","",IFERROR(INDEX(Config!$D$15:$D$19,MATCH($I390,Config!$C$15:$C$19,0)),"OUT")&amp;IF($K390="✓","x",""))</f>
        <v/>
      </c>
      <c r="O390" s="114" t="str">
        <f aca="false">IF($E390="","",COUNTIF($E$5:$E390,$E390))</f>
        <v/>
      </c>
      <c r="P390" s="114" t="str">
        <f aca="false">IF($E390="","",$E390*100+$O390)</f>
        <v/>
      </c>
      <c r="Q390" s="114" t="str">
        <f aca="false">IF($L390="Atrasado",$E390*10000+$A390,"")</f>
        <v/>
      </c>
    </row>
    <row r="391" customFormat="false" ht="15" hidden="false" customHeight="false" outlineLevel="0" collapsed="false">
      <c r="A391" s="114" t="n">
        <f aca="false">ROW()-4</f>
        <v>387</v>
      </c>
      <c r="B391" s="114" t="str">
        <f aca="false">IF(A391&lt;=Config!$E$27*Config!$E$28,"Tema","Avulso")</f>
        <v>Tema</v>
      </c>
      <c r="C391" s="114" t="n">
        <f aca="false">IF(B391="Tema",INT((A391-1)/Config!$E$28)+1,A391-Config!$E$27*Config!$E$28)</f>
        <v>65</v>
      </c>
      <c r="D391" s="114" t="n">
        <f aca="false">IF(B391="Tema",MOD(A391-1,Config!$E$28)+1,"")</f>
        <v>3</v>
      </c>
      <c r="E391" s="115" t="str">
        <f aca="false">IF($B391="Tema",IF(ISNUMBER(INDEX(Temas!$E$6:$P$305,$C391,2*$D391-1)),INDEX(Temas!$E$6:$P$305,$C391,2*$D391-1),""),IF(ISNUMBER(INDEX(Avulsos!$B$6:$B$205,$C391)),INDEX(Avulsos!$B$6:$B$205,$C391),""))</f>
        <v/>
      </c>
      <c r="F391" s="114" t="str">
        <f aca="false">IF($E391="","",IF($B391="Tema",INDEX(Temas!$B$6:$B$305,$C391)&amp;"",INDEX(Avulsos!$C$6:$C$205,$C391)&amp;""))</f>
        <v/>
      </c>
      <c r="G391" s="114" t="str">
        <f aca="false">IF($E391="","",IF($B391="Tema",INDEX(Config!$C$6:$C$11,$D391),"Evento avulso"))</f>
        <v/>
      </c>
      <c r="H391" s="114" t="str">
        <f aca="false">IF($E391="","",IF($B391="Tema",INDEX(Config!$D$6:$D$11,$D391),IFERROR(INDEX(Config!$E$15:$E$19,MATCH($I391,Config!$C$15:$C$19,0)),"•")))</f>
        <v/>
      </c>
      <c r="I391" s="114" t="str">
        <f aca="false">IF($E391="","",IF($B391="Tema",INDEX(Config!$E$6:$E$11,$D391),IF(INDEX(Avulsos!$D$6:$D$205,$C391)&amp;""="","Outro",INDEX(Avulsos!$D$6:$D$205,$C391))))</f>
        <v/>
      </c>
      <c r="J391" s="114" t="str">
        <f aca="false">IF($E391="","",IF($B391="Tema",INDEX(Temas!$C$6:$C$305,$C391)&amp;"",INDEX(Avulsos!$E$6:$E$205,$C391)&amp;""))</f>
        <v/>
      </c>
      <c r="K391" s="114" t="str">
        <f aca="false">IF($E391="","",IF(IF($B391="Tema",INDEX(Temas!$E$6:$P$305,$C391,2*$D391),INDEX(Avulsos!$F$6:$F$205,$C391))&amp;""="","","✓"))</f>
        <v/>
      </c>
      <c r="L391" s="114" t="str">
        <f aca="true">IF($E391="","",IF($K391="✓","Concluído",IF($E391&lt;TODAY(),"Atrasado",IF($E391=TODAY(),"Hoje","Pendente"))))</f>
        <v/>
      </c>
      <c r="M391" s="114" t="str">
        <f aca="false">IF($E391="","",IF($K391="✓","✓ ","")&amp;IF(Config!$E$22="Sim",$H391&amp;" · ","")&amp;$F391)</f>
        <v/>
      </c>
      <c r="N391" s="114" t="str">
        <f aca="false">IF($E391="","",IFERROR(INDEX(Config!$D$15:$D$19,MATCH($I391,Config!$C$15:$C$19,0)),"OUT")&amp;IF($K391="✓","x",""))</f>
        <v/>
      </c>
      <c r="O391" s="114" t="str">
        <f aca="false">IF($E391="","",COUNTIF($E$5:$E391,$E391))</f>
        <v/>
      </c>
      <c r="P391" s="114" t="str">
        <f aca="false">IF($E391="","",$E391*100+$O391)</f>
        <v/>
      </c>
      <c r="Q391" s="114" t="str">
        <f aca="false">IF($L391="Atrasado",$E391*10000+$A391,"")</f>
        <v/>
      </c>
    </row>
    <row r="392" customFormat="false" ht="15" hidden="false" customHeight="false" outlineLevel="0" collapsed="false">
      <c r="A392" s="114" t="n">
        <f aca="false">ROW()-4</f>
        <v>388</v>
      </c>
      <c r="B392" s="114" t="str">
        <f aca="false">IF(A392&lt;=Config!$E$27*Config!$E$28,"Tema","Avulso")</f>
        <v>Tema</v>
      </c>
      <c r="C392" s="114" t="n">
        <f aca="false">IF(B392="Tema",INT((A392-1)/Config!$E$28)+1,A392-Config!$E$27*Config!$E$28)</f>
        <v>65</v>
      </c>
      <c r="D392" s="114" t="n">
        <f aca="false">IF(B392="Tema",MOD(A392-1,Config!$E$28)+1,"")</f>
        <v>4</v>
      </c>
      <c r="E392" s="115" t="str">
        <f aca="false">IF($B392="Tema",IF(ISNUMBER(INDEX(Temas!$E$6:$P$305,$C392,2*$D392-1)),INDEX(Temas!$E$6:$P$305,$C392,2*$D392-1),""),IF(ISNUMBER(INDEX(Avulsos!$B$6:$B$205,$C392)),INDEX(Avulsos!$B$6:$B$205,$C392),""))</f>
        <v/>
      </c>
      <c r="F392" s="114" t="str">
        <f aca="false">IF($E392="","",IF($B392="Tema",INDEX(Temas!$B$6:$B$305,$C392)&amp;"",INDEX(Avulsos!$C$6:$C$205,$C392)&amp;""))</f>
        <v/>
      </c>
      <c r="G392" s="114" t="str">
        <f aca="false">IF($E392="","",IF($B392="Tema",INDEX(Config!$C$6:$C$11,$D392),"Evento avulso"))</f>
        <v/>
      </c>
      <c r="H392" s="114" t="str">
        <f aca="false">IF($E392="","",IF($B392="Tema",INDEX(Config!$D$6:$D$11,$D392),IFERROR(INDEX(Config!$E$15:$E$19,MATCH($I392,Config!$C$15:$C$19,0)),"•")))</f>
        <v/>
      </c>
      <c r="I392" s="114" t="str">
        <f aca="false">IF($E392="","",IF($B392="Tema",INDEX(Config!$E$6:$E$11,$D392),IF(INDEX(Avulsos!$D$6:$D$205,$C392)&amp;""="","Outro",INDEX(Avulsos!$D$6:$D$205,$C392))))</f>
        <v/>
      </c>
      <c r="J392" s="114" t="str">
        <f aca="false">IF($E392="","",IF($B392="Tema",INDEX(Temas!$C$6:$C$305,$C392)&amp;"",INDEX(Avulsos!$E$6:$E$205,$C392)&amp;""))</f>
        <v/>
      </c>
      <c r="K392" s="114" t="str">
        <f aca="false">IF($E392="","",IF(IF($B392="Tema",INDEX(Temas!$E$6:$P$305,$C392,2*$D392),INDEX(Avulsos!$F$6:$F$205,$C392))&amp;""="","","✓"))</f>
        <v/>
      </c>
      <c r="L392" s="114" t="str">
        <f aca="true">IF($E392="","",IF($K392="✓","Concluído",IF($E392&lt;TODAY(),"Atrasado",IF($E392=TODAY(),"Hoje","Pendente"))))</f>
        <v/>
      </c>
      <c r="M392" s="114" t="str">
        <f aca="false">IF($E392="","",IF($K392="✓","✓ ","")&amp;IF(Config!$E$22="Sim",$H392&amp;" · ","")&amp;$F392)</f>
        <v/>
      </c>
      <c r="N392" s="114" t="str">
        <f aca="false">IF($E392="","",IFERROR(INDEX(Config!$D$15:$D$19,MATCH($I392,Config!$C$15:$C$19,0)),"OUT")&amp;IF($K392="✓","x",""))</f>
        <v/>
      </c>
      <c r="O392" s="114" t="str">
        <f aca="false">IF($E392="","",COUNTIF($E$5:$E392,$E392))</f>
        <v/>
      </c>
      <c r="P392" s="114" t="str">
        <f aca="false">IF($E392="","",$E392*100+$O392)</f>
        <v/>
      </c>
      <c r="Q392" s="114" t="str">
        <f aca="false">IF($L392="Atrasado",$E392*10000+$A392,"")</f>
        <v/>
      </c>
    </row>
    <row r="393" customFormat="false" ht="15" hidden="false" customHeight="false" outlineLevel="0" collapsed="false">
      <c r="A393" s="114" t="n">
        <f aca="false">ROW()-4</f>
        <v>389</v>
      </c>
      <c r="B393" s="114" t="str">
        <f aca="false">IF(A393&lt;=Config!$E$27*Config!$E$28,"Tema","Avulso")</f>
        <v>Tema</v>
      </c>
      <c r="C393" s="114" t="n">
        <f aca="false">IF(B393="Tema",INT((A393-1)/Config!$E$28)+1,A393-Config!$E$27*Config!$E$28)</f>
        <v>65</v>
      </c>
      <c r="D393" s="114" t="n">
        <f aca="false">IF(B393="Tema",MOD(A393-1,Config!$E$28)+1,"")</f>
        <v>5</v>
      </c>
      <c r="E393" s="115" t="str">
        <f aca="false">IF($B393="Tema",IF(ISNUMBER(INDEX(Temas!$E$6:$P$305,$C393,2*$D393-1)),INDEX(Temas!$E$6:$P$305,$C393,2*$D393-1),""),IF(ISNUMBER(INDEX(Avulsos!$B$6:$B$205,$C393)),INDEX(Avulsos!$B$6:$B$205,$C393),""))</f>
        <v/>
      </c>
      <c r="F393" s="114" t="str">
        <f aca="false">IF($E393="","",IF($B393="Tema",INDEX(Temas!$B$6:$B$305,$C393)&amp;"",INDEX(Avulsos!$C$6:$C$205,$C393)&amp;""))</f>
        <v/>
      </c>
      <c r="G393" s="114" t="str">
        <f aca="false">IF($E393="","",IF($B393="Tema",INDEX(Config!$C$6:$C$11,$D393),"Evento avulso"))</f>
        <v/>
      </c>
      <c r="H393" s="114" t="str">
        <f aca="false">IF($E393="","",IF($B393="Tema",INDEX(Config!$D$6:$D$11,$D393),IFERROR(INDEX(Config!$E$15:$E$19,MATCH($I393,Config!$C$15:$C$19,0)),"•")))</f>
        <v/>
      </c>
      <c r="I393" s="114" t="str">
        <f aca="false">IF($E393="","",IF($B393="Tema",INDEX(Config!$E$6:$E$11,$D393),IF(INDEX(Avulsos!$D$6:$D$205,$C393)&amp;""="","Outro",INDEX(Avulsos!$D$6:$D$205,$C393))))</f>
        <v/>
      </c>
      <c r="J393" s="114" t="str">
        <f aca="false">IF($E393="","",IF($B393="Tema",INDEX(Temas!$C$6:$C$305,$C393)&amp;"",INDEX(Avulsos!$E$6:$E$205,$C393)&amp;""))</f>
        <v/>
      </c>
      <c r="K393" s="114" t="str">
        <f aca="false">IF($E393="","",IF(IF($B393="Tema",INDEX(Temas!$E$6:$P$305,$C393,2*$D393),INDEX(Avulsos!$F$6:$F$205,$C393))&amp;""="","","✓"))</f>
        <v/>
      </c>
      <c r="L393" s="114" t="str">
        <f aca="true">IF($E393="","",IF($K393="✓","Concluído",IF($E393&lt;TODAY(),"Atrasado",IF($E393=TODAY(),"Hoje","Pendente"))))</f>
        <v/>
      </c>
      <c r="M393" s="114" t="str">
        <f aca="false">IF($E393="","",IF($K393="✓","✓ ","")&amp;IF(Config!$E$22="Sim",$H393&amp;" · ","")&amp;$F393)</f>
        <v/>
      </c>
      <c r="N393" s="114" t="str">
        <f aca="false">IF($E393="","",IFERROR(INDEX(Config!$D$15:$D$19,MATCH($I393,Config!$C$15:$C$19,0)),"OUT")&amp;IF($K393="✓","x",""))</f>
        <v/>
      </c>
      <c r="O393" s="114" t="str">
        <f aca="false">IF($E393="","",COUNTIF($E$5:$E393,$E393))</f>
        <v/>
      </c>
      <c r="P393" s="114" t="str">
        <f aca="false">IF($E393="","",$E393*100+$O393)</f>
        <v/>
      </c>
      <c r="Q393" s="114" t="str">
        <f aca="false">IF($L393="Atrasado",$E393*10000+$A393,"")</f>
        <v/>
      </c>
    </row>
    <row r="394" customFormat="false" ht="15" hidden="false" customHeight="false" outlineLevel="0" collapsed="false">
      <c r="A394" s="114" t="n">
        <f aca="false">ROW()-4</f>
        <v>390</v>
      </c>
      <c r="B394" s="114" t="str">
        <f aca="false">IF(A394&lt;=Config!$E$27*Config!$E$28,"Tema","Avulso")</f>
        <v>Tema</v>
      </c>
      <c r="C394" s="114" t="n">
        <f aca="false">IF(B394="Tema",INT((A394-1)/Config!$E$28)+1,A394-Config!$E$27*Config!$E$28)</f>
        <v>65</v>
      </c>
      <c r="D394" s="114" t="n">
        <f aca="false">IF(B394="Tema",MOD(A394-1,Config!$E$28)+1,"")</f>
        <v>6</v>
      </c>
      <c r="E394" s="115" t="str">
        <f aca="false">IF($B394="Tema",IF(ISNUMBER(INDEX(Temas!$E$6:$P$305,$C394,2*$D394-1)),INDEX(Temas!$E$6:$P$305,$C394,2*$D394-1),""),IF(ISNUMBER(INDEX(Avulsos!$B$6:$B$205,$C394)),INDEX(Avulsos!$B$6:$B$205,$C394),""))</f>
        <v/>
      </c>
      <c r="F394" s="114" t="str">
        <f aca="false">IF($E394="","",IF($B394="Tema",INDEX(Temas!$B$6:$B$305,$C394)&amp;"",INDEX(Avulsos!$C$6:$C$205,$C394)&amp;""))</f>
        <v/>
      </c>
      <c r="G394" s="114" t="str">
        <f aca="false">IF($E394="","",IF($B394="Tema",INDEX(Config!$C$6:$C$11,$D394),"Evento avulso"))</f>
        <v/>
      </c>
      <c r="H394" s="114" t="str">
        <f aca="false">IF($E394="","",IF($B394="Tema",INDEX(Config!$D$6:$D$11,$D394),IFERROR(INDEX(Config!$E$15:$E$19,MATCH($I394,Config!$C$15:$C$19,0)),"•")))</f>
        <v/>
      </c>
      <c r="I394" s="114" t="str">
        <f aca="false">IF($E394="","",IF($B394="Tema",INDEX(Config!$E$6:$E$11,$D394),IF(INDEX(Avulsos!$D$6:$D$205,$C394)&amp;""="","Outro",INDEX(Avulsos!$D$6:$D$205,$C394))))</f>
        <v/>
      </c>
      <c r="J394" s="114" t="str">
        <f aca="false">IF($E394="","",IF($B394="Tema",INDEX(Temas!$C$6:$C$305,$C394)&amp;"",INDEX(Avulsos!$E$6:$E$205,$C394)&amp;""))</f>
        <v/>
      </c>
      <c r="K394" s="114" t="str">
        <f aca="false">IF($E394="","",IF(IF($B394="Tema",INDEX(Temas!$E$6:$P$305,$C394,2*$D394),INDEX(Avulsos!$F$6:$F$205,$C394))&amp;""="","","✓"))</f>
        <v/>
      </c>
      <c r="L394" s="114" t="str">
        <f aca="true">IF($E394="","",IF($K394="✓","Concluído",IF($E394&lt;TODAY(),"Atrasado",IF($E394=TODAY(),"Hoje","Pendente"))))</f>
        <v/>
      </c>
      <c r="M394" s="114" t="str">
        <f aca="false">IF($E394="","",IF($K394="✓","✓ ","")&amp;IF(Config!$E$22="Sim",$H394&amp;" · ","")&amp;$F394)</f>
        <v/>
      </c>
      <c r="N394" s="114" t="str">
        <f aca="false">IF($E394="","",IFERROR(INDEX(Config!$D$15:$D$19,MATCH($I394,Config!$C$15:$C$19,0)),"OUT")&amp;IF($K394="✓","x",""))</f>
        <v/>
      </c>
      <c r="O394" s="114" t="str">
        <f aca="false">IF($E394="","",COUNTIF($E$5:$E394,$E394))</f>
        <v/>
      </c>
      <c r="P394" s="114" t="str">
        <f aca="false">IF($E394="","",$E394*100+$O394)</f>
        <v/>
      </c>
      <c r="Q394" s="114" t="str">
        <f aca="false">IF($L394="Atrasado",$E394*10000+$A394,"")</f>
        <v/>
      </c>
    </row>
    <row r="395" customFormat="false" ht="15" hidden="false" customHeight="false" outlineLevel="0" collapsed="false">
      <c r="A395" s="114" t="n">
        <f aca="false">ROW()-4</f>
        <v>391</v>
      </c>
      <c r="B395" s="114" t="str">
        <f aca="false">IF(A395&lt;=Config!$E$27*Config!$E$28,"Tema","Avulso")</f>
        <v>Tema</v>
      </c>
      <c r="C395" s="114" t="n">
        <f aca="false">IF(B395="Tema",INT((A395-1)/Config!$E$28)+1,A395-Config!$E$27*Config!$E$28)</f>
        <v>66</v>
      </c>
      <c r="D395" s="114" t="n">
        <f aca="false">IF(B395="Tema",MOD(A395-1,Config!$E$28)+1,"")</f>
        <v>1</v>
      </c>
      <c r="E395" s="115" t="str">
        <f aca="false">IF($B395="Tema",IF(ISNUMBER(INDEX(Temas!$E$6:$P$305,$C395,2*$D395-1)),INDEX(Temas!$E$6:$P$305,$C395,2*$D395-1),""),IF(ISNUMBER(INDEX(Avulsos!$B$6:$B$205,$C395)),INDEX(Avulsos!$B$6:$B$205,$C395),""))</f>
        <v/>
      </c>
      <c r="F395" s="114" t="str">
        <f aca="false">IF($E395="","",IF($B395="Tema",INDEX(Temas!$B$6:$B$305,$C395)&amp;"",INDEX(Avulsos!$C$6:$C$205,$C395)&amp;""))</f>
        <v/>
      </c>
      <c r="G395" s="114" t="str">
        <f aca="false">IF($E395="","",IF($B395="Tema",INDEX(Config!$C$6:$C$11,$D395),"Evento avulso"))</f>
        <v/>
      </c>
      <c r="H395" s="114" t="str">
        <f aca="false">IF($E395="","",IF($B395="Tema",INDEX(Config!$D$6:$D$11,$D395),IFERROR(INDEX(Config!$E$15:$E$19,MATCH($I395,Config!$C$15:$C$19,0)),"•")))</f>
        <v/>
      </c>
      <c r="I395" s="114" t="str">
        <f aca="false">IF($E395="","",IF($B395="Tema",INDEX(Config!$E$6:$E$11,$D395),IF(INDEX(Avulsos!$D$6:$D$205,$C395)&amp;""="","Outro",INDEX(Avulsos!$D$6:$D$205,$C395))))</f>
        <v/>
      </c>
      <c r="J395" s="114" t="str">
        <f aca="false">IF($E395="","",IF($B395="Tema",INDEX(Temas!$C$6:$C$305,$C395)&amp;"",INDEX(Avulsos!$E$6:$E$205,$C395)&amp;""))</f>
        <v/>
      </c>
      <c r="K395" s="114" t="str">
        <f aca="false">IF($E395="","",IF(IF($B395="Tema",INDEX(Temas!$E$6:$P$305,$C395,2*$D395),INDEX(Avulsos!$F$6:$F$205,$C395))&amp;""="","","✓"))</f>
        <v/>
      </c>
      <c r="L395" s="114" t="str">
        <f aca="true">IF($E395="","",IF($K395="✓","Concluído",IF($E395&lt;TODAY(),"Atrasado",IF($E395=TODAY(),"Hoje","Pendente"))))</f>
        <v/>
      </c>
      <c r="M395" s="114" t="str">
        <f aca="false">IF($E395="","",IF($K395="✓","✓ ","")&amp;IF(Config!$E$22="Sim",$H395&amp;" · ","")&amp;$F395)</f>
        <v/>
      </c>
      <c r="N395" s="114" t="str">
        <f aca="false">IF($E395="","",IFERROR(INDEX(Config!$D$15:$D$19,MATCH($I395,Config!$C$15:$C$19,0)),"OUT")&amp;IF($K395="✓","x",""))</f>
        <v/>
      </c>
      <c r="O395" s="114" t="str">
        <f aca="false">IF($E395="","",COUNTIF($E$5:$E395,$E395))</f>
        <v/>
      </c>
      <c r="P395" s="114" t="str">
        <f aca="false">IF($E395="","",$E395*100+$O395)</f>
        <v/>
      </c>
      <c r="Q395" s="114" t="str">
        <f aca="false">IF($L395="Atrasado",$E395*10000+$A395,"")</f>
        <v/>
      </c>
    </row>
    <row r="396" customFormat="false" ht="15" hidden="false" customHeight="false" outlineLevel="0" collapsed="false">
      <c r="A396" s="114" t="n">
        <f aca="false">ROW()-4</f>
        <v>392</v>
      </c>
      <c r="B396" s="114" t="str">
        <f aca="false">IF(A396&lt;=Config!$E$27*Config!$E$28,"Tema","Avulso")</f>
        <v>Tema</v>
      </c>
      <c r="C396" s="114" t="n">
        <f aca="false">IF(B396="Tema",INT((A396-1)/Config!$E$28)+1,A396-Config!$E$27*Config!$E$28)</f>
        <v>66</v>
      </c>
      <c r="D396" s="114" t="n">
        <f aca="false">IF(B396="Tema",MOD(A396-1,Config!$E$28)+1,"")</f>
        <v>2</v>
      </c>
      <c r="E396" s="115" t="str">
        <f aca="false">IF($B396="Tema",IF(ISNUMBER(INDEX(Temas!$E$6:$P$305,$C396,2*$D396-1)),INDEX(Temas!$E$6:$P$305,$C396,2*$D396-1),""),IF(ISNUMBER(INDEX(Avulsos!$B$6:$B$205,$C396)),INDEX(Avulsos!$B$6:$B$205,$C396),""))</f>
        <v/>
      </c>
      <c r="F396" s="114" t="str">
        <f aca="false">IF($E396="","",IF($B396="Tema",INDEX(Temas!$B$6:$B$305,$C396)&amp;"",INDEX(Avulsos!$C$6:$C$205,$C396)&amp;""))</f>
        <v/>
      </c>
      <c r="G396" s="114" t="str">
        <f aca="false">IF($E396="","",IF($B396="Tema",INDEX(Config!$C$6:$C$11,$D396),"Evento avulso"))</f>
        <v/>
      </c>
      <c r="H396" s="114" t="str">
        <f aca="false">IF($E396="","",IF($B396="Tema",INDEX(Config!$D$6:$D$11,$D396),IFERROR(INDEX(Config!$E$15:$E$19,MATCH($I396,Config!$C$15:$C$19,0)),"•")))</f>
        <v/>
      </c>
      <c r="I396" s="114" t="str">
        <f aca="false">IF($E396="","",IF($B396="Tema",INDEX(Config!$E$6:$E$11,$D396),IF(INDEX(Avulsos!$D$6:$D$205,$C396)&amp;""="","Outro",INDEX(Avulsos!$D$6:$D$205,$C396))))</f>
        <v/>
      </c>
      <c r="J396" s="114" t="str">
        <f aca="false">IF($E396="","",IF($B396="Tema",INDEX(Temas!$C$6:$C$305,$C396)&amp;"",INDEX(Avulsos!$E$6:$E$205,$C396)&amp;""))</f>
        <v/>
      </c>
      <c r="K396" s="114" t="str">
        <f aca="false">IF($E396="","",IF(IF($B396="Tema",INDEX(Temas!$E$6:$P$305,$C396,2*$D396),INDEX(Avulsos!$F$6:$F$205,$C396))&amp;""="","","✓"))</f>
        <v/>
      </c>
      <c r="L396" s="114" t="str">
        <f aca="true">IF($E396="","",IF($K396="✓","Concluído",IF($E396&lt;TODAY(),"Atrasado",IF($E396=TODAY(),"Hoje","Pendente"))))</f>
        <v/>
      </c>
      <c r="M396" s="114" t="str">
        <f aca="false">IF($E396="","",IF($K396="✓","✓ ","")&amp;IF(Config!$E$22="Sim",$H396&amp;" · ","")&amp;$F396)</f>
        <v/>
      </c>
      <c r="N396" s="114" t="str">
        <f aca="false">IF($E396="","",IFERROR(INDEX(Config!$D$15:$D$19,MATCH($I396,Config!$C$15:$C$19,0)),"OUT")&amp;IF($K396="✓","x",""))</f>
        <v/>
      </c>
      <c r="O396" s="114" t="str">
        <f aca="false">IF($E396="","",COUNTIF($E$5:$E396,$E396))</f>
        <v/>
      </c>
      <c r="P396" s="114" t="str">
        <f aca="false">IF($E396="","",$E396*100+$O396)</f>
        <v/>
      </c>
      <c r="Q396" s="114" t="str">
        <f aca="false">IF($L396="Atrasado",$E396*10000+$A396,"")</f>
        <v/>
      </c>
    </row>
    <row r="397" customFormat="false" ht="15" hidden="false" customHeight="false" outlineLevel="0" collapsed="false">
      <c r="A397" s="114" t="n">
        <f aca="false">ROW()-4</f>
        <v>393</v>
      </c>
      <c r="B397" s="114" t="str">
        <f aca="false">IF(A397&lt;=Config!$E$27*Config!$E$28,"Tema","Avulso")</f>
        <v>Tema</v>
      </c>
      <c r="C397" s="114" t="n">
        <f aca="false">IF(B397="Tema",INT((A397-1)/Config!$E$28)+1,A397-Config!$E$27*Config!$E$28)</f>
        <v>66</v>
      </c>
      <c r="D397" s="114" t="n">
        <f aca="false">IF(B397="Tema",MOD(A397-1,Config!$E$28)+1,"")</f>
        <v>3</v>
      </c>
      <c r="E397" s="115" t="str">
        <f aca="false">IF($B397="Tema",IF(ISNUMBER(INDEX(Temas!$E$6:$P$305,$C397,2*$D397-1)),INDEX(Temas!$E$6:$P$305,$C397,2*$D397-1),""),IF(ISNUMBER(INDEX(Avulsos!$B$6:$B$205,$C397)),INDEX(Avulsos!$B$6:$B$205,$C397),""))</f>
        <v/>
      </c>
      <c r="F397" s="114" t="str">
        <f aca="false">IF($E397="","",IF($B397="Tema",INDEX(Temas!$B$6:$B$305,$C397)&amp;"",INDEX(Avulsos!$C$6:$C$205,$C397)&amp;""))</f>
        <v/>
      </c>
      <c r="G397" s="114" t="str">
        <f aca="false">IF($E397="","",IF($B397="Tema",INDEX(Config!$C$6:$C$11,$D397),"Evento avulso"))</f>
        <v/>
      </c>
      <c r="H397" s="114" t="str">
        <f aca="false">IF($E397="","",IF($B397="Tema",INDEX(Config!$D$6:$D$11,$D397),IFERROR(INDEX(Config!$E$15:$E$19,MATCH($I397,Config!$C$15:$C$19,0)),"•")))</f>
        <v/>
      </c>
      <c r="I397" s="114" t="str">
        <f aca="false">IF($E397="","",IF($B397="Tema",INDEX(Config!$E$6:$E$11,$D397),IF(INDEX(Avulsos!$D$6:$D$205,$C397)&amp;""="","Outro",INDEX(Avulsos!$D$6:$D$205,$C397))))</f>
        <v/>
      </c>
      <c r="J397" s="114" t="str">
        <f aca="false">IF($E397="","",IF($B397="Tema",INDEX(Temas!$C$6:$C$305,$C397)&amp;"",INDEX(Avulsos!$E$6:$E$205,$C397)&amp;""))</f>
        <v/>
      </c>
      <c r="K397" s="114" t="str">
        <f aca="false">IF($E397="","",IF(IF($B397="Tema",INDEX(Temas!$E$6:$P$305,$C397,2*$D397),INDEX(Avulsos!$F$6:$F$205,$C397))&amp;""="","","✓"))</f>
        <v/>
      </c>
      <c r="L397" s="114" t="str">
        <f aca="true">IF($E397="","",IF($K397="✓","Concluído",IF($E397&lt;TODAY(),"Atrasado",IF($E397=TODAY(),"Hoje","Pendente"))))</f>
        <v/>
      </c>
      <c r="M397" s="114" t="str">
        <f aca="false">IF($E397="","",IF($K397="✓","✓ ","")&amp;IF(Config!$E$22="Sim",$H397&amp;" · ","")&amp;$F397)</f>
        <v/>
      </c>
      <c r="N397" s="114" t="str">
        <f aca="false">IF($E397="","",IFERROR(INDEX(Config!$D$15:$D$19,MATCH($I397,Config!$C$15:$C$19,0)),"OUT")&amp;IF($K397="✓","x",""))</f>
        <v/>
      </c>
      <c r="O397" s="114" t="str">
        <f aca="false">IF($E397="","",COUNTIF($E$5:$E397,$E397))</f>
        <v/>
      </c>
      <c r="P397" s="114" t="str">
        <f aca="false">IF($E397="","",$E397*100+$O397)</f>
        <v/>
      </c>
      <c r="Q397" s="114" t="str">
        <f aca="false">IF($L397="Atrasado",$E397*10000+$A397,"")</f>
        <v/>
      </c>
    </row>
    <row r="398" customFormat="false" ht="15" hidden="false" customHeight="false" outlineLevel="0" collapsed="false">
      <c r="A398" s="114" t="n">
        <f aca="false">ROW()-4</f>
        <v>394</v>
      </c>
      <c r="B398" s="114" t="str">
        <f aca="false">IF(A398&lt;=Config!$E$27*Config!$E$28,"Tema","Avulso")</f>
        <v>Tema</v>
      </c>
      <c r="C398" s="114" t="n">
        <f aca="false">IF(B398="Tema",INT((A398-1)/Config!$E$28)+1,A398-Config!$E$27*Config!$E$28)</f>
        <v>66</v>
      </c>
      <c r="D398" s="114" t="n">
        <f aca="false">IF(B398="Tema",MOD(A398-1,Config!$E$28)+1,"")</f>
        <v>4</v>
      </c>
      <c r="E398" s="115" t="str">
        <f aca="false">IF($B398="Tema",IF(ISNUMBER(INDEX(Temas!$E$6:$P$305,$C398,2*$D398-1)),INDEX(Temas!$E$6:$P$305,$C398,2*$D398-1),""),IF(ISNUMBER(INDEX(Avulsos!$B$6:$B$205,$C398)),INDEX(Avulsos!$B$6:$B$205,$C398),""))</f>
        <v/>
      </c>
      <c r="F398" s="114" t="str">
        <f aca="false">IF($E398="","",IF($B398="Tema",INDEX(Temas!$B$6:$B$305,$C398)&amp;"",INDEX(Avulsos!$C$6:$C$205,$C398)&amp;""))</f>
        <v/>
      </c>
      <c r="G398" s="114" t="str">
        <f aca="false">IF($E398="","",IF($B398="Tema",INDEX(Config!$C$6:$C$11,$D398),"Evento avulso"))</f>
        <v/>
      </c>
      <c r="H398" s="114" t="str">
        <f aca="false">IF($E398="","",IF($B398="Tema",INDEX(Config!$D$6:$D$11,$D398),IFERROR(INDEX(Config!$E$15:$E$19,MATCH($I398,Config!$C$15:$C$19,0)),"•")))</f>
        <v/>
      </c>
      <c r="I398" s="114" t="str">
        <f aca="false">IF($E398="","",IF($B398="Tema",INDEX(Config!$E$6:$E$11,$D398),IF(INDEX(Avulsos!$D$6:$D$205,$C398)&amp;""="","Outro",INDEX(Avulsos!$D$6:$D$205,$C398))))</f>
        <v/>
      </c>
      <c r="J398" s="114" t="str">
        <f aca="false">IF($E398="","",IF($B398="Tema",INDEX(Temas!$C$6:$C$305,$C398)&amp;"",INDEX(Avulsos!$E$6:$E$205,$C398)&amp;""))</f>
        <v/>
      </c>
      <c r="K398" s="114" t="str">
        <f aca="false">IF($E398="","",IF(IF($B398="Tema",INDEX(Temas!$E$6:$P$305,$C398,2*$D398),INDEX(Avulsos!$F$6:$F$205,$C398))&amp;""="","","✓"))</f>
        <v/>
      </c>
      <c r="L398" s="114" t="str">
        <f aca="true">IF($E398="","",IF($K398="✓","Concluído",IF($E398&lt;TODAY(),"Atrasado",IF($E398=TODAY(),"Hoje","Pendente"))))</f>
        <v/>
      </c>
      <c r="M398" s="114" t="str">
        <f aca="false">IF($E398="","",IF($K398="✓","✓ ","")&amp;IF(Config!$E$22="Sim",$H398&amp;" · ","")&amp;$F398)</f>
        <v/>
      </c>
      <c r="N398" s="114" t="str">
        <f aca="false">IF($E398="","",IFERROR(INDEX(Config!$D$15:$D$19,MATCH($I398,Config!$C$15:$C$19,0)),"OUT")&amp;IF($K398="✓","x",""))</f>
        <v/>
      </c>
      <c r="O398" s="114" t="str">
        <f aca="false">IF($E398="","",COUNTIF($E$5:$E398,$E398))</f>
        <v/>
      </c>
      <c r="P398" s="114" t="str">
        <f aca="false">IF($E398="","",$E398*100+$O398)</f>
        <v/>
      </c>
      <c r="Q398" s="114" t="str">
        <f aca="false">IF($L398="Atrasado",$E398*10000+$A398,"")</f>
        <v/>
      </c>
    </row>
    <row r="399" customFormat="false" ht="15" hidden="false" customHeight="false" outlineLevel="0" collapsed="false">
      <c r="A399" s="114" t="n">
        <f aca="false">ROW()-4</f>
        <v>395</v>
      </c>
      <c r="B399" s="114" t="str">
        <f aca="false">IF(A399&lt;=Config!$E$27*Config!$E$28,"Tema","Avulso")</f>
        <v>Tema</v>
      </c>
      <c r="C399" s="114" t="n">
        <f aca="false">IF(B399="Tema",INT((A399-1)/Config!$E$28)+1,A399-Config!$E$27*Config!$E$28)</f>
        <v>66</v>
      </c>
      <c r="D399" s="114" t="n">
        <f aca="false">IF(B399="Tema",MOD(A399-1,Config!$E$28)+1,"")</f>
        <v>5</v>
      </c>
      <c r="E399" s="115" t="str">
        <f aca="false">IF($B399="Tema",IF(ISNUMBER(INDEX(Temas!$E$6:$P$305,$C399,2*$D399-1)),INDEX(Temas!$E$6:$P$305,$C399,2*$D399-1),""),IF(ISNUMBER(INDEX(Avulsos!$B$6:$B$205,$C399)),INDEX(Avulsos!$B$6:$B$205,$C399),""))</f>
        <v/>
      </c>
      <c r="F399" s="114" t="str">
        <f aca="false">IF($E399="","",IF($B399="Tema",INDEX(Temas!$B$6:$B$305,$C399)&amp;"",INDEX(Avulsos!$C$6:$C$205,$C399)&amp;""))</f>
        <v/>
      </c>
      <c r="G399" s="114" t="str">
        <f aca="false">IF($E399="","",IF($B399="Tema",INDEX(Config!$C$6:$C$11,$D399),"Evento avulso"))</f>
        <v/>
      </c>
      <c r="H399" s="114" t="str">
        <f aca="false">IF($E399="","",IF($B399="Tema",INDEX(Config!$D$6:$D$11,$D399),IFERROR(INDEX(Config!$E$15:$E$19,MATCH($I399,Config!$C$15:$C$19,0)),"•")))</f>
        <v/>
      </c>
      <c r="I399" s="114" t="str">
        <f aca="false">IF($E399="","",IF($B399="Tema",INDEX(Config!$E$6:$E$11,$D399),IF(INDEX(Avulsos!$D$6:$D$205,$C399)&amp;""="","Outro",INDEX(Avulsos!$D$6:$D$205,$C399))))</f>
        <v/>
      </c>
      <c r="J399" s="114" t="str">
        <f aca="false">IF($E399="","",IF($B399="Tema",INDEX(Temas!$C$6:$C$305,$C399)&amp;"",INDEX(Avulsos!$E$6:$E$205,$C399)&amp;""))</f>
        <v/>
      </c>
      <c r="K399" s="114" t="str">
        <f aca="false">IF($E399="","",IF(IF($B399="Tema",INDEX(Temas!$E$6:$P$305,$C399,2*$D399),INDEX(Avulsos!$F$6:$F$205,$C399))&amp;""="","","✓"))</f>
        <v/>
      </c>
      <c r="L399" s="114" t="str">
        <f aca="true">IF($E399="","",IF($K399="✓","Concluído",IF($E399&lt;TODAY(),"Atrasado",IF($E399=TODAY(),"Hoje","Pendente"))))</f>
        <v/>
      </c>
      <c r="M399" s="114" t="str">
        <f aca="false">IF($E399="","",IF($K399="✓","✓ ","")&amp;IF(Config!$E$22="Sim",$H399&amp;" · ","")&amp;$F399)</f>
        <v/>
      </c>
      <c r="N399" s="114" t="str">
        <f aca="false">IF($E399="","",IFERROR(INDEX(Config!$D$15:$D$19,MATCH($I399,Config!$C$15:$C$19,0)),"OUT")&amp;IF($K399="✓","x",""))</f>
        <v/>
      </c>
      <c r="O399" s="114" t="str">
        <f aca="false">IF($E399="","",COUNTIF($E$5:$E399,$E399))</f>
        <v/>
      </c>
      <c r="P399" s="114" t="str">
        <f aca="false">IF($E399="","",$E399*100+$O399)</f>
        <v/>
      </c>
      <c r="Q399" s="114" t="str">
        <f aca="false">IF($L399="Atrasado",$E399*10000+$A399,"")</f>
        <v/>
      </c>
    </row>
    <row r="400" customFormat="false" ht="15" hidden="false" customHeight="false" outlineLevel="0" collapsed="false">
      <c r="A400" s="114" t="n">
        <f aca="false">ROW()-4</f>
        <v>396</v>
      </c>
      <c r="B400" s="114" t="str">
        <f aca="false">IF(A400&lt;=Config!$E$27*Config!$E$28,"Tema","Avulso")</f>
        <v>Tema</v>
      </c>
      <c r="C400" s="114" t="n">
        <f aca="false">IF(B400="Tema",INT((A400-1)/Config!$E$28)+1,A400-Config!$E$27*Config!$E$28)</f>
        <v>66</v>
      </c>
      <c r="D400" s="114" t="n">
        <f aca="false">IF(B400="Tema",MOD(A400-1,Config!$E$28)+1,"")</f>
        <v>6</v>
      </c>
      <c r="E400" s="115" t="str">
        <f aca="false">IF($B400="Tema",IF(ISNUMBER(INDEX(Temas!$E$6:$P$305,$C400,2*$D400-1)),INDEX(Temas!$E$6:$P$305,$C400,2*$D400-1),""),IF(ISNUMBER(INDEX(Avulsos!$B$6:$B$205,$C400)),INDEX(Avulsos!$B$6:$B$205,$C400),""))</f>
        <v/>
      </c>
      <c r="F400" s="114" t="str">
        <f aca="false">IF($E400="","",IF($B400="Tema",INDEX(Temas!$B$6:$B$305,$C400)&amp;"",INDEX(Avulsos!$C$6:$C$205,$C400)&amp;""))</f>
        <v/>
      </c>
      <c r="G400" s="114" t="str">
        <f aca="false">IF($E400="","",IF($B400="Tema",INDEX(Config!$C$6:$C$11,$D400),"Evento avulso"))</f>
        <v/>
      </c>
      <c r="H400" s="114" t="str">
        <f aca="false">IF($E400="","",IF($B400="Tema",INDEX(Config!$D$6:$D$11,$D400),IFERROR(INDEX(Config!$E$15:$E$19,MATCH($I400,Config!$C$15:$C$19,0)),"•")))</f>
        <v/>
      </c>
      <c r="I400" s="114" t="str">
        <f aca="false">IF($E400="","",IF($B400="Tema",INDEX(Config!$E$6:$E$11,$D400),IF(INDEX(Avulsos!$D$6:$D$205,$C400)&amp;""="","Outro",INDEX(Avulsos!$D$6:$D$205,$C400))))</f>
        <v/>
      </c>
      <c r="J400" s="114" t="str">
        <f aca="false">IF($E400="","",IF($B400="Tema",INDEX(Temas!$C$6:$C$305,$C400)&amp;"",INDEX(Avulsos!$E$6:$E$205,$C400)&amp;""))</f>
        <v/>
      </c>
      <c r="K400" s="114" t="str">
        <f aca="false">IF($E400="","",IF(IF($B400="Tema",INDEX(Temas!$E$6:$P$305,$C400,2*$D400),INDEX(Avulsos!$F$6:$F$205,$C400))&amp;""="","","✓"))</f>
        <v/>
      </c>
      <c r="L400" s="114" t="str">
        <f aca="true">IF($E400="","",IF($K400="✓","Concluído",IF($E400&lt;TODAY(),"Atrasado",IF($E400=TODAY(),"Hoje","Pendente"))))</f>
        <v/>
      </c>
      <c r="M400" s="114" t="str">
        <f aca="false">IF($E400="","",IF($K400="✓","✓ ","")&amp;IF(Config!$E$22="Sim",$H400&amp;" · ","")&amp;$F400)</f>
        <v/>
      </c>
      <c r="N400" s="114" t="str">
        <f aca="false">IF($E400="","",IFERROR(INDEX(Config!$D$15:$D$19,MATCH($I400,Config!$C$15:$C$19,0)),"OUT")&amp;IF($K400="✓","x",""))</f>
        <v/>
      </c>
      <c r="O400" s="114" t="str">
        <f aca="false">IF($E400="","",COUNTIF($E$5:$E400,$E400))</f>
        <v/>
      </c>
      <c r="P400" s="114" t="str">
        <f aca="false">IF($E400="","",$E400*100+$O400)</f>
        <v/>
      </c>
      <c r="Q400" s="114" t="str">
        <f aca="false">IF($L400="Atrasado",$E400*10000+$A400,"")</f>
        <v/>
      </c>
    </row>
    <row r="401" customFormat="false" ht="15" hidden="false" customHeight="false" outlineLevel="0" collapsed="false">
      <c r="A401" s="114" t="n">
        <f aca="false">ROW()-4</f>
        <v>397</v>
      </c>
      <c r="B401" s="114" t="str">
        <f aca="false">IF(A401&lt;=Config!$E$27*Config!$E$28,"Tema","Avulso")</f>
        <v>Tema</v>
      </c>
      <c r="C401" s="114" t="n">
        <f aca="false">IF(B401="Tema",INT((A401-1)/Config!$E$28)+1,A401-Config!$E$27*Config!$E$28)</f>
        <v>67</v>
      </c>
      <c r="D401" s="114" t="n">
        <f aca="false">IF(B401="Tema",MOD(A401-1,Config!$E$28)+1,"")</f>
        <v>1</v>
      </c>
      <c r="E401" s="115" t="str">
        <f aca="false">IF($B401="Tema",IF(ISNUMBER(INDEX(Temas!$E$6:$P$305,$C401,2*$D401-1)),INDEX(Temas!$E$6:$P$305,$C401,2*$D401-1),""),IF(ISNUMBER(INDEX(Avulsos!$B$6:$B$205,$C401)),INDEX(Avulsos!$B$6:$B$205,$C401),""))</f>
        <v/>
      </c>
      <c r="F401" s="114" t="str">
        <f aca="false">IF($E401="","",IF($B401="Tema",INDEX(Temas!$B$6:$B$305,$C401)&amp;"",INDEX(Avulsos!$C$6:$C$205,$C401)&amp;""))</f>
        <v/>
      </c>
      <c r="G401" s="114" t="str">
        <f aca="false">IF($E401="","",IF($B401="Tema",INDEX(Config!$C$6:$C$11,$D401),"Evento avulso"))</f>
        <v/>
      </c>
      <c r="H401" s="114" t="str">
        <f aca="false">IF($E401="","",IF($B401="Tema",INDEX(Config!$D$6:$D$11,$D401),IFERROR(INDEX(Config!$E$15:$E$19,MATCH($I401,Config!$C$15:$C$19,0)),"•")))</f>
        <v/>
      </c>
      <c r="I401" s="114" t="str">
        <f aca="false">IF($E401="","",IF($B401="Tema",INDEX(Config!$E$6:$E$11,$D401),IF(INDEX(Avulsos!$D$6:$D$205,$C401)&amp;""="","Outro",INDEX(Avulsos!$D$6:$D$205,$C401))))</f>
        <v/>
      </c>
      <c r="J401" s="114" t="str">
        <f aca="false">IF($E401="","",IF($B401="Tema",INDEX(Temas!$C$6:$C$305,$C401)&amp;"",INDEX(Avulsos!$E$6:$E$205,$C401)&amp;""))</f>
        <v/>
      </c>
      <c r="K401" s="114" t="str">
        <f aca="false">IF($E401="","",IF(IF($B401="Tema",INDEX(Temas!$E$6:$P$305,$C401,2*$D401),INDEX(Avulsos!$F$6:$F$205,$C401))&amp;""="","","✓"))</f>
        <v/>
      </c>
      <c r="L401" s="114" t="str">
        <f aca="true">IF($E401="","",IF($K401="✓","Concluído",IF($E401&lt;TODAY(),"Atrasado",IF($E401=TODAY(),"Hoje","Pendente"))))</f>
        <v/>
      </c>
      <c r="M401" s="114" t="str">
        <f aca="false">IF($E401="","",IF($K401="✓","✓ ","")&amp;IF(Config!$E$22="Sim",$H401&amp;" · ","")&amp;$F401)</f>
        <v/>
      </c>
      <c r="N401" s="114" t="str">
        <f aca="false">IF($E401="","",IFERROR(INDEX(Config!$D$15:$D$19,MATCH($I401,Config!$C$15:$C$19,0)),"OUT")&amp;IF($K401="✓","x",""))</f>
        <v/>
      </c>
      <c r="O401" s="114" t="str">
        <f aca="false">IF($E401="","",COUNTIF($E$5:$E401,$E401))</f>
        <v/>
      </c>
      <c r="P401" s="114" t="str">
        <f aca="false">IF($E401="","",$E401*100+$O401)</f>
        <v/>
      </c>
      <c r="Q401" s="114" t="str">
        <f aca="false">IF($L401="Atrasado",$E401*10000+$A401,"")</f>
        <v/>
      </c>
    </row>
    <row r="402" customFormat="false" ht="15" hidden="false" customHeight="false" outlineLevel="0" collapsed="false">
      <c r="A402" s="114" t="n">
        <f aca="false">ROW()-4</f>
        <v>398</v>
      </c>
      <c r="B402" s="114" t="str">
        <f aca="false">IF(A402&lt;=Config!$E$27*Config!$E$28,"Tema","Avulso")</f>
        <v>Tema</v>
      </c>
      <c r="C402" s="114" t="n">
        <f aca="false">IF(B402="Tema",INT((A402-1)/Config!$E$28)+1,A402-Config!$E$27*Config!$E$28)</f>
        <v>67</v>
      </c>
      <c r="D402" s="114" t="n">
        <f aca="false">IF(B402="Tema",MOD(A402-1,Config!$E$28)+1,"")</f>
        <v>2</v>
      </c>
      <c r="E402" s="115" t="str">
        <f aca="false">IF($B402="Tema",IF(ISNUMBER(INDEX(Temas!$E$6:$P$305,$C402,2*$D402-1)),INDEX(Temas!$E$6:$P$305,$C402,2*$D402-1),""),IF(ISNUMBER(INDEX(Avulsos!$B$6:$B$205,$C402)),INDEX(Avulsos!$B$6:$B$205,$C402),""))</f>
        <v/>
      </c>
      <c r="F402" s="114" t="str">
        <f aca="false">IF($E402="","",IF($B402="Tema",INDEX(Temas!$B$6:$B$305,$C402)&amp;"",INDEX(Avulsos!$C$6:$C$205,$C402)&amp;""))</f>
        <v/>
      </c>
      <c r="G402" s="114" t="str">
        <f aca="false">IF($E402="","",IF($B402="Tema",INDEX(Config!$C$6:$C$11,$D402),"Evento avulso"))</f>
        <v/>
      </c>
      <c r="H402" s="114" t="str">
        <f aca="false">IF($E402="","",IF($B402="Tema",INDEX(Config!$D$6:$D$11,$D402),IFERROR(INDEX(Config!$E$15:$E$19,MATCH($I402,Config!$C$15:$C$19,0)),"•")))</f>
        <v/>
      </c>
      <c r="I402" s="114" t="str">
        <f aca="false">IF($E402="","",IF($B402="Tema",INDEX(Config!$E$6:$E$11,$D402),IF(INDEX(Avulsos!$D$6:$D$205,$C402)&amp;""="","Outro",INDEX(Avulsos!$D$6:$D$205,$C402))))</f>
        <v/>
      </c>
      <c r="J402" s="114" t="str">
        <f aca="false">IF($E402="","",IF($B402="Tema",INDEX(Temas!$C$6:$C$305,$C402)&amp;"",INDEX(Avulsos!$E$6:$E$205,$C402)&amp;""))</f>
        <v/>
      </c>
      <c r="K402" s="114" t="str">
        <f aca="false">IF($E402="","",IF(IF($B402="Tema",INDEX(Temas!$E$6:$P$305,$C402,2*$D402),INDEX(Avulsos!$F$6:$F$205,$C402))&amp;""="","","✓"))</f>
        <v/>
      </c>
      <c r="L402" s="114" t="str">
        <f aca="true">IF($E402="","",IF($K402="✓","Concluído",IF($E402&lt;TODAY(),"Atrasado",IF($E402=TODAY(),"Hoje","Pendente"))))</f>
        <v/>
      </c>
      <c r="M402" s="114" t="str">
        <f aca="false">IF($E402="","",IF($K402="✓","✓ ","")&amp;IF(Config!$E$22="Sim",$H402&amp;" · ","")&amp;$F402)</f>
        <v/>
      </c>
      <c r="N402" s="114" t="str">
        <f aca="false">IF($E402="","",IFERROR(INDEX(Config!$D$15:$D$19,MATCH($I402,Config!$C$15:$C$19,0)),"OUT")&amp;IF($K402="✓","x",""))</f>
        <v/>
      </c>
      <c r="O402" s="114" t="str">
        <f aca="false">IF($E402="","",COUNTIF($E$5:$E402,$E402))</f>
        <v/>
      </c>
      <c r="P402" s="114" t="str">
        <f aca="false">IF($E402="","",$E402*100+$O402)</f>
        <v/>
      </c>
      <c r="Q402" s="114" t="str">
        <f aca="false">IF($L402="Atrasado",$E402*10000+$A402,"")</f>
        <v/>
      </c>
    </row>
    <row r="403" customFormat="false" ht="15" hidden="false" customHeight="false" outlineLevel="0" collapsed="false">
      <c r="A403" s="114" t="n">
        <f aca="false">ROW()-4</f>
        <v>399</v>
      </c>
      <c r="B403" s="114" t="str">
        <f aca="false">IF(A403&lt;=Config!$E$27*Config!$E$28,"Tema","Avulso")</f>
        <v>Tema</v>
      </c>
      <c r="C403" s="114" t="n">
        <f aca="false">IF(B403="Tema",INT((A403-1)/Config!$E$28)+1,A403-Config!$E$27*Config!$E$28)</f>
        <v>67</v>
      </c>
      <c r="D403" s="114" t="n">
        <f aca="false">IF(B403="Tema",MOD(A403-1,Config!$E$28)+1,"")</f>
        <v>3</v>
      </c>
      <c r="E403" s="115" t="str">
        <f aca="false">IF($B403="Tema",IF(ISNUMBER(INDEX(Temas!$E$6:$P$305,$C403,2*$D403-1)),INDEX(Temas!$E$6:$P$305,$C403,2*$D403-1),""),IF(ISNUMBER(INDEX(Avulsos!$B$6:$B$205,$C403)),INDEX(Avulsos!$B$6:$B$205,$C403),""))</f>
        <v/>
      </c>
      <c r="F403" s="114" t="str">
        <f aca="false">IF($E403="","",IF($B403="Tema",INDEX(Temas!$B$6:$B$305,$C403)&amp;"",INDEX(Avulsos!$C$6:$C$205,$C403)&amp;""))</f>
        <v/>
      </c>
      <c r="G403" s="114" t="str">
        <f aca="false">IF($E403="","",IF($B403="Tema",INDEX(Config!$C$6:$C$11,$D403),"Evento avulso"))</f>
        <v/>
      </c>
      <c r="H403" s="114" t="str">
        <f aca="false">IF($E403="","",IF($B403="Tema",INDEX(Config!$D$6:$D$11,$D403),IFERROR(INDEX(Config!$E$15:$E$19,MATCH($I403,Config!$C$15:$C$19,0)),"•")))</f>
        <v/>
      </c>
      <c r="I403" s="114" t="str">
        <f aca="false">IF($E403="","",IF($B403="Tema",INDEX(Config!$E$6:$E$11,$D403),IF(INDEX(Avulsos!$D$6:$D$205,$C403)&amp;""="","Outro",INDEX(Avulsos!$D$6:$D$205,$C403))))</f>
        <v/>
      </c>
      <c r="J403" s="114" t="str">
        <f aca="false">IF($E403="","",IF($B403="Tema",INDEX(Temas!$C$6:$C$305,$C403)&amp;"",INDEX(Avulsos!$E$6:$E$205,$C403)&amp;""))</f>
        <v/>
      </c>
      <c r="K403" s="114" t="str">
        <f aca="false">IF($E403="","",IF(IF($B403="Tema",INDEX(Temas!$E$6:$P$305,$C403,2*$D403),INDEX(Avulsos!$F$6:$F$205,$C403))&amp;""="","","✓"))</f>
        <v/>
      </c>
      <c r="L403" s="114" t="str">
        <f aca="true">IF($E403="","",IF($K403="✓","Concluído",IF($E403&lt;TODAY(),"Atrasado",IF($E403=TODAY(),"Hoje","Pendente"))))</f>
        <v/>
      </c>
      <c r="M403" s="114" t="str">
        <f aca="false">IF($E403="","",IF($K403="✓","✓ ","")&amp;IF(Config!$E$22="Sim",$H403&amp;" · ","")&amp;$F403)</f>
        <v/>
      </c>
      <c r="N403" s="114" t="str">
        <f aca="false">IF($E403="","",IFERROR(INDEX(Config!$D$15:$D$19,MATCH($I403,Config!$C$15:$C$19,0)),"OUT")&amp;IF($K403="✓","x",""))</f>
        <v/>
      </c>
      <c r="O403" s="114" t="str">
        <f aca="false">IF($E403="","",COUNTIF($E$5:$E403,$E403))</f>
        <v/>
      </c>
      <c r="P403" s="114" t="str">
        <f aca="false">IF($E403="","",$E403*100+$O403)</f>
        <v/>
      </c>
      <c r="Q403" s="114" t="str">
        <f aca="false">IF($L403="Atrasado",$E403*10000+$A403,"")</f>
        <v/>
      </c>
    </row>
    <row r="404" customFormat="false" ht="15" hidden="false" customHeight="false" outlineLevel="0" collapsed="false">
      <c r="A404" s="114" t="n">
        <f aca="false">ROW()-4</f>
        <v>400</v>
      </c>
      <c r="B404" s="114" t="str">
        <f aca="false">IF(A404&lt;=Config!$E$27*Config!$E$28,"Tema","Avulso")</f>
        <v>Tema</v>
      </c>
      <c r="C404" s="114" t="n">
        <f aca="false">IF(B404="Tema",INT((A404-1)/Config!$E$28)+1,A404-Config!$E$27*Config!$E$28)</f>
        <v>67</v>
      </c>
      <c r="D404" s="114" t="n">
        <f aca="false">IF(B404="Tema",MOD(A404-1,Config!$E$28)+1,"")</f>
        <v>4</v>
      </c>
      <c r="E404" s="115" t="str">
        <f aca="false">IF($B404="Tema",IF(ISNUMBER(INDEX(Temas!$E$6:$P$305,$C404,2*$D404-1)),INDEX(Temas!$E$6:$P$305,$C404,2*$D404-1),""),IF(ISNUMBER(INDEX(Avulsos!$B$6:$B$205,$C404)),INDEX(Avulsos!$B$6:$B$205,$C404),""))</f>
        <v/>
      </c>
      <c r="F404" s="114" t="str">
        <f aca="false">IF($E404="","",IF($B404="Tema",INDEX(Temas!$B$6:$B$305,$C404)&amp;"",INDEX(Avulsos!$C$6:$C$205,$C404)&amp;""))</f>
        <v/>
      </c>
      <c r="G404" s="114" t="str">
        <f aca="false">IF($E404="","",IF($B404="Tema",INDEX(Config!$C$6:$C$11,$D404),"Evento avulso"))</f>
        <v/>
      </c>
      <c r="H404" s="114" t="str">
        <f aca="false">IF($E404="","",IF($B404="Tema",INDEX(Config!$D$6:$D$11,$D404),IFERROR(INDEX(Config!$E$15:$E$19,MATCH($I404,Config!$C$15:$C$19,0)),"•")))</f>
        <v/>
      </c>
      <c r="I404" s="114" t="str">
        <f aca="false">IF($E404="","",IF($B404="Tema",INDEX(Config!$E$6:$E$11,$D404),IF(INDEX(Avulsos!$D$6:$D$205,$C404)&amp;""="","Outro",INDEX(Avulsos!$D$6:$D$205,$C404))))</f>
        <v/>
      </c>
      <c r="J404" s="114" t="str">
        <f aca="false">IF($E404="","",IF($B404="Tema",INDEX(Temas!$C$6:$C$305,$C404)&amp;"",INDEX(Avulsos!$E$6:$E$205,$C404)&amp;""))</f>
        <v/>
      </c>
      <c r="K404" s="114" t="str">
        <f aca="false">IF($E404="","",IF(IF($B404="Tema",INDEX(Temas!$E$6:$P$305,$C404,2*$D404),INDEX(Avulsos!$F$6:$F$205,$C404))&amp;""="","","✓"))</f>
        <v/>
      </c>
      <c r="L404" s="114" t="str">
        <f aca="true">IF($E404="","",IF($K404="✓","Concluído",IF($E404&lt;TODAY(),"Atrasado",IF($E404=TODAY(),"Hoje","Pendente"))))</f>
        <v/>
      </c>
      <c r="M404" s="114" t="str">
        <f aca="false">IF($E404="","",IF($K404="✓","✓ ","")&amp;IF(Config!$E$22="Sim",$H404&amp;" · ","")&amp;$F404)</f>
        <v/>
      </c>
      <c r="N404" s="114" t="str">
        <f aca="false">IF($E404="","",IFERROR(INDEX(Config!$D$15:$D$19,MATCH($I404,Config!$C$15:$C$19,0)),"OUT")&amp;IF($K404="✓","x",""))</f>
        <v/>
      </c>
      <c r="O404" s="114" t="str">
        <f aca="false">IF($E404="","",COUNTIF($E$5:$E404,$E404))</f>
        <v/>
      </c>
      <c r="P404" s="114" t="str">
        <f aca="false">IF($E404="","",$E404*100+$O404)</f>
        <v/>
      </c>
      <c r="Q404" s="114" t="str">
        <f aca="false">IF($L404="Atrasado",$E404*10000+$A404,"")</f>
        <v/>
      </c>
    </row>
    <row r="405" customFormat="false" ht="15" hidden="false" customHeight="false" outlineLevel="0" collapsed="false">
      <c r="A405" s="114" t="n">
        <f aca="false">ROW()-4</f>
        <v>401</v>
      </c>
      <c r="B405" s="114" t="str">
        <f aca="false">IF(A405&lt;=Config!$E$27*Config!$E$28,"Tema","Avulso")</f>
        <v>Tema</v>
      </c>
      <c r="C405" s="114" t="n">
        <f aca="false">IF(B405="Tema",INT((A405-1)/Config!$E$28)+1,A405-Config!$E$27*Config!$E$28)</f>
        <v>67</v>
      </c>
      <c r="D405" s="114" t="n">
        <f aca="false">IF(B405="Tema",MOD(A405-1,Config!$E$28)+1,"")</f>
        <v>5</v>
      </c>
      <c r="E405" s="115" t="str">
        <f aca="false">IF($B405="Tema",IF(ISNUMBER(INDEX(Temas!$E$6:$P$305,$C405,2*$D405-1)),INDEX(Temas!$E$6:$P$305,$C405,2*$D405-1),""),IF(ISNUMBER(INDEX(Avulsos!$B$6:$B$205,$C405)),INDEX(Avulsos!$B$6:$B$205,$C405),""))</f>
        <v/>
      </c>
      <c r="F405" s="114" t="str">
        <f aca="false">IF($E405="","",IF($B405="Tema",INDEX(Temas!$B$6:$B$305,$C405)&amp;"",INDEX(Avulsos!$C$6:$C$205,$C405)&amp;""))</f>
        <v/>
      </c>
      <c r="G405" s="114" t="str">
        <f aca="false">IF($E405="","",IF($B405="Tema",INDEX(Config!$C$6:$C$11,$D405),"Evento avulso"))</f>
        <v/>
      </c>
      <c r="H405" s="114" t="str">
        <f aca="false">IF($E405="","",IF($B405="Tema",INDEX(Config!$D$6:$D$11,$D405),IFERROR(INDEX(Config!$E$15:$E$19,MATCH($I405,Config!$C$15:$C$19,0)),"•")))</f>
        <v/>
      </c>
      <c r="I405" s="114" t="str">
        <f aca="false">IF($E405="","",IF($B405="Tema",INDEX(Config!$E$6:$E$11,$D405),IF(INDEX(Avulsos!$D$6:$D$205,$C405)&amp;""="","Outro",INDEX(Avulsos!$D$6:$D$205,$C405))))</f>
        <v/>
      </c>
      <c r="J405" s="114" t="str">
        <f aca="false">IF($E405="","",IF($B405="Tema",INDEX(Temas!$C$6:$C$305,$C405)&amp;"",INDEX(Avulsos!$E$6:$E$205,$C405)&amp;""))</f>
        <v/>
      </c>
      <c r="K405" s="114" t="str">
        <f aca="false">IF($E405="","",IF(IF($B405="Tema",INDEX(Temas!$E$6:$P$305,$C405,2*$D405),INDEX(Avulsos!$F$6:$F$205,$C405))&amp;""="","","✓"))</f>
        <v/>
      </c>
      <c r="L405" s="114" t="str">
        <f aca="true">IF($E405="","",IF($K405="✓","Concluído",IF($E405&lt;TODAY(),"Atrasado",IF($E405=TODAY(),"Hoje","Pendente"))))</f>
        <v/>
      </c>
      <c r="M405" s="114" t="str">
        <f aca="false">IF($E405="","",IF($K405="✓","✓ ","")&amp;IF(Config!$E$22="Sim",$H405&amp;" · ","")&amp;$F405)</f>
        <v/>
      </c>
      <c r="N405" s="114" t="str">
        <f aca="false">IF($E405="","",IFERROR(INDEX(Config!$D$15:$D$19,MATCH($I405,Config!$C$15:$C$19,0)),"OUT")&amp;IF($K405="✓","x",""))</f>
        <v/>
      </c>
      <c r="O405" s="114" t="str">
        <f aca="false">IF($E405="","",COUNTIF($E$5:$E405,$E405))</f>
        <v/>
      </c>
      <c r="P405" s="114" t="str">
        <f aca="false">IF($E405="","",$E405*100+$O405)</f>
        <v/>
      </c>
      <c r="Q405" s="114" t="str">
        <f aca="false">IF($L405="Atrasado",$E405*10000+$A405,"")</f>
        <v/>
      </c>
    </row>
    <row r="406" customFormat="false" ht="15" hidden="false" customHeight="false" outlineLevel="0" collapsed="false">
      <c r="A406" s="114" t="n">
        <f aca="false">ROW()-4</f>
        <v>402</v>
      </c>
      <c r="B406" s="114" t="str">
        <f aca="false">IF(A406&lt;=Config!$E$27*Config!$E$28,"Tema","Avulso")</f>
        <v>Tema</v>
      </c>
      <c r="C406" s="114" t="n">
        <f aca="false">IF(B406="Tema",INT((A406-1)/Config!$E$28)+1,A406-Config!$E$27*Config!$E$28)</f>
        <v>67</v>
      </c>
      <c r="D406" s="114" t="n">
        <f aca="false">IF(B406="Tema",MOD(A406-1,Config!$E$28)+1,"")</f>
        <v>6</v>
      </c>
      <c r="E406" s="115" t="str">
        <f aca="false">IF($B406="Tema",IF(ISNUMBER(INDEX(Temas!$E$6:$P$305,$C406,2*$D406-1)),INDEX(Temas!$E$6:$P$305,$C406,2*$D406-1),""),IF(ISNUMBER(INDEX(Avulsos!$B$6:$B$205,$C406)),INDEX(Avulsos!$B$6:$B$205,$C406),""))</f>
        <v/>
      </c>
      <c r="F406" s="114" t="str">
        <f aca="false">IF($E406="","",IF($B406="Tema",INDEX(Temas!$B$6:$B$305,$C406)&amp;"",INDEX(Avulsos!$C$6:$C$205,$C406)&amp;""))</f>
        <v/>
      </c>
      <c r="G406" s="114" t="str">
        <f aca="false">IF($E406="","",IF($B406="Tema",INDEX(Config!$C$6:$C$11,$D406),"Evento avulso"))</f>
        <v/>
      </c>
      <c r="H406" s="114" t="str">
        <f aca="false">IF($E406="","",IF($B406="Tema",INDEX(Config!$D$6:$D$11,$D406),IFERROR(INDEX(Config!$E$15:$E$19,MATCH($I406,Config!$C$15:$C$19,0)),"•")))</f>
        <v/>
      </c>
      <c r="I406" s="114" t="str">
        <f aca="false">IF($E406="","",IF($B406="Tema",INDEX(Config!$E$6:$E$11,$D406),IF(INDEX(Avulsos!$D$6:$D$205,$C406)&amp;""="","Outro",INDEX(Avulsos!$D$6:$D$205,$C406))))</f>
        <v/>
      </c>
      <c r="J406" s="114" t="str">
        <f aca="false">IF($E406="","",IF($B406="Tema",INDEX(Temas!$C$6:$C$305,$C406)&amp;"",INDEX(Avulsos!$E$6:$E$205,$C406)&amp;""))</f>
        <v/>
      </c>
      <c r="K406" s="114" t="str">
        <f aca="false">IF($E406="","",IF(IF($B406="Tema",INDEX(Temas!$E$6:$P$305,$C406,2*$D406),INDEX(Avulsos!$F$6:$F$205,$C406))&amp;""="","","✓"))</f>
        <v/>
      </c>
      <c r="L406" s="114" t="str">
        <f aca="true">IF($E406="","",IF($K406="✓","Concluído",IF($E406&lt;TODAY(),"Atrasado",IF($E406=TODAY(),"Hoje","Pendente"))))</f>
        <v/>
      </c>
      <c r="M406" s="114" t="str">
        <f aca="false">IF($E406="","",IF($K406="✓","✓ ","")&amp;IF(Config!$E$22="Sim",$H406&amp;" · ","")&amp;$F406)</f>
        <v/>
      </c>
      <c r="N406" s="114" t="str">
        <f aca="false">IF($E406="","",IFERROR(INDEX(Config!$D$15:$D$19,MATCH($I406,Config!$C$15:$C$19,0)),"OUT")&amp;IF($K406="✓","x",""))</f>
        <v/>
      </c>
      <c r="O406" s="114" t="str">
        <f aca="false">IF($E406="","",COUNTIF($E$5:$E406,$E406))</f>
        <v/>
      </c>
      <c r="P406" s="114" t="str">
        <f aca="false">IF($E406="","",$E406*100+$O406)</f>
        <v/>
      </c>
      <c r="Q406" s="114" t="str">
        <f aca="false">IF($L406="Atrasado",$E406*10000+$A406,"")</f>
        <v/>
      </c>
    </row>
    <row r="407" customFormat="false" ht="15" hidden="false" customHeight="false" outlineLevel="0" collapsed="false">
      <c r="A407" s="114" t="n">
        <f aca="false">ROW()-4</f>
        <v>403</v>
      </c>
      <c r="B407" s="114" t="str">
        <f aca="false">IF(A407&lt;=Config!$E$27*Config!$E$28,"Tema","Avulso")</f>
        <v>Tema</v>
      </c>
      <c r="C407" s="114" t="n">
        <f aca="false">IF(B407="Tema",INT((A407-1)/Config!$E$28)+1,A407-Config!$E$27*Config!$E$28)</f>
        <v>68</v>
      </c>
      <c r="D407" s="114" t="n">
        <f aca="false">IF(B407="Tema",MOD(A407-1,Config!$E$28)+1,"")</f>
        <v>1</v>
      </c>
      <c r="E407" s="115" t="str">
        <f aca="false">IF($B407="Tema",IF(ISNUMBER(INDEX(Temas!$E$6:$P$305,$C407,2*$D407-1)),INDEX(Temas!$E$6:$P$305,$C407,2*$D407-1),""),IF(ISNUMBER(INDEX(Avulsos!$B$6:$B$205,$C407)),INDEX(Avulsos!$B$6:$B$205,$C407),""))</f>
        <v/>
      </c>
      <c r="F407" s="114" t="str">
        <f aca="false">IF($E407="","",IF($B407="Tema",INDEX(Temas!$B$6:$B$305,$C407)&amp;"",INDEX(Avulsos!$C$6:$C$205,$C407)&amp;""))</f>
        <v/>
      </c>
      <c r="G407" s="114" t="str">
        <f aca="false">IF($E407="","",IF($B407="Tema",INDEX(Config!$C$6:$C$11,$D407),"Evento avulso"))</f>
        <v/>
      </c>
      <c r="H407" s="114" t="str">
        <f aca="false">IF($E407="","",IF($B407="Tema",INDEX(Config!$D$6:$D$11,$D407),IFERROR(INDEX(Config!$E$15:$E$19,MATCH($I407,Config!$C$15:$C$19,0)),"•")))</f>
        <v/>
      </c>
      <c r="I407" s="114" t="str">
        <f aca="false">IF($E407="","",IF($B407="Tema",INDEX(Config!$E$6:$E$11,$D407),IF(INDEX(Avulsos!$D$6:$D$205,$C407)&amp;""="","Outro",INDEX(Avulsos!$D$6:$D$205,$C407))))</f>
        <v/>
      </c>
      <c r="J407" s="114" t="str">
        <f aca="false">IF($E407="","",IF($B407="Tema",INDEX(Temas!$C$6:$C$305,$C407)&amp;"",INDEX(Avulsos!$E$6:$E$205,$C407)&amp;""))</f>
        <v/>
      </c>
      <c r="K407" s="114" t="str">
        <f aca="false">IF($E407="","",IF(IF($B407="Tema",INDEX(Temas!$E$6:$P$305,$C407,2*$D407),INDEX(Avulsos!$F$6:$F$205,$C407))&amp;""="","","✓"))</f>
        <v/>
      </c>
      <c r="L407" s="114" t="str">
        <f aca="true">IF($E407="","",IF($K407="✓","Concluído",IF($E407&lt;TODAY(),"Atrasado",IF($E407=TODAY(),"Hoje","Pendente"))))</f>
        <v/>
      </c>
      <c r="M407" s="114" t="str">
        <f aca="false">IF($E407="","",IF($K407="✓","✓ ","")&amp;IF(Config!$E$22="Sim",$H407&amp;" · ","")&amp;$F407)</f>
        <v/>
      </c>
      <c r="N407" s="114" t="str">
        <f aca="false">IF($E407="","",IFERROR(INDEX(Config!$D$15:$D$19,MATCH($I407,Config!$C$15:$C$19,0)),"OUT")&amp;IF($K407="✓","x",""))</f>
        <v/>
      </c>
      <c r="O407" s="114" t="str">
        <f aca="false">IF($E407="","",COUNTIF($E$5:$E407,$E407))</f>
        <v/>
      </c>
      <c r="P407" s="114" t="str">
        <f aca="false">IF($E407="","",$E407*100+$O407)</f>
        <v/>
      </c>
      <c r="Q407" s="114" t="str">
        <f aca="false">IF($L407="Atrasado",$E407*10000+$A407,"")</f>
        <v/>
      </c>
    </row>
    <row r="408" customFormat="false" ht="15" hidden="false" customHeight="false" outlineLevel="0" collapsed="false">
      <c r="A408" s="114" t="n">
        <f aca="false">ROW()-4</f>
        <v>404</v>
      </c>
      <c r="B408" s="114" t="str">
        <f aca="false">IF(A408&lt;=Config!$E$27*Config!$E$28,"Tema","Avulso")</f>
        <v>Tema</v>
      </c>
      <c r="C408" s="114" t="n">
        <f aca="false">IF(B408="Tema",INT((A408-1)/Config!$E$28)+1,A408-Config!$E$27*Config!$E$28)</f>
        <v>68</v>
      </c>
      <c r="D408" s="114" t="n">
        <f aca="false">IF(B408="Tema",MOD(A408-1,Config!$E$28)+1,"")</f>
        <v>2</v>
      </c>
      <c r="E408" s="115" t="str">
        <f aca="false">IF($B408="Tema",IF(ISNUMBER(INDEX(Temas!$E$6:$P$305,$C408,2*$D408-1)),INDEX(Temas!$E$6:$P$305,$C408,2*$D408-1),""),IF(ISNUMBER(INDEX(Avulsos!$B$6:$B$205,$C408)),INDEX(Avulsos!$B$6:$B$205,$C408),""))</f>
        <v/>
      </c>
      <c r="F408" s="114" t="str">
        <f aca="false">IF($E408="","",IF($B408="Tema",INDEX(Temas!$B$6:$B$305,$C408)&amp;"",INDEX(Avulsos!$C$6:$C$205,$C408)&amp;""))</f>
        <v/>
      </c>
      <c r="G408" s="114" t="str">
        <f aca="false">IF($E408="","",IF($B408="Tema",INDEX(Config!$C$6:$C$11,$D408),"Evento avulso"))</f>
        <v/>
      </c>
      <c r="H408" s="114" t="str">
        <f aca="false">IF($E408="","",IF($B408="Tema",INDEX(Config!$D$6:$D$11,$D408),IFERROR(INDEX(Config!$E$15:$E$19,MATCH($I408,Config!$C$15:$C$19,0)),"•")))</f>
        <v/>
      </c>
      <c r="I408" s="114" t="str">
        <f aca="false">IF($E408="","",IF($B408="Tema",INDEX(Config!$E$6:$E$11,$D408),IF(INDEX(Avulsos!$D$6:$D$205,$C408)&amp;""="","Outro",INDEX(Avulsos!$D$6:$D$205,$C408))))</f>
        <v/>
      </c>
      <c r="J408" s="114" t="str">
        <f aca="false">IF($E408="","",IF($B408="Tema",INDEX(Temas!$C$6:$C$305,$C408)&amp;"",INDEX(Avulsos!$E$6:$E$205,$C408)&amp;""))</f>
        <v/>
      </c>
      <c r="K408" s="114" t="str">
        <f aca="false">IF($E408="","",IF(IF($B408="Tema",INDEX(Temas!$E$6:$P$305,$C408,2*$D408),INDEX(Avulsos!$F$6:$F$205,$C408))&amp;""="","","✓"))</f>
        <v/>
      </c>
      <c r="L408" s="114" t="str">
        <f aca="true">IF($E408="","",IF($K408="✓","Concluído",IF($E408&lt;TODAY(),"Atrasado",IF($E408=TODAY(),"Hoje","Pendente"))))</f>
        <v/>
      </c>
      <c r="M408" s="114" t="str">
        <f aca="false">IF($E408="","",IF($K408="✓","✓ ","")&amp;IF(Config!$E$22="Sim",$H408&amp;" · ","")&amp;$F408)</f>
        <v/>
      </c>
      <c r="N408" s="114" t="str">
        <f aca="false">IF($E408="","",IFERROR(INDEX(Config!$D$15:$D$19,MATCH($I408,Config!$C$15:$C$19,0)),"OUT")&amp;IF($K408="✓","x",""))</f>
        <v/>
      </c>
      <c r="O408" s="114" t="str">
        <f aca="false">IF($E408="","",COUNTIF($E$5:$E408,$E408))</f>
        <v/>
      </c>
      <c r="P408" s="114" t="str">
        <f aca="false">IF($E408="","",$E408*100+$O408)</f>
        <v/>
      </c>
      <c r="Q408" s="114" t="str">
        <f aca="false">IF($L408="Atrasado",$E408*10000+$A408,"")</f>
        <v/>
      </c>
    </row>
    <row r="409" customFormat="false" ht="15" hidden="false" customHeight="false" outlineLevel="0" collapsed="false">
      <c r="A409" s="114" t="n">
        <f aca="false">ROW()-4</f>
        <v>405</v>
      </c>
      <c r="B409" s="114" t="str">
        <f aca="false">IF(A409&lt;=Config!$E$27*Config!$E$28,"Tema","Avulso")</f>
        <v>Tema</v>
      </c>
      <c r="C409" s="114" t="n">
        <f aca="false">IF(B409="Tema",INT((A409-1)/Config!$E$28)+1,A409-Config!$E$27*Config!$E$28)</f>
        <v>68</v>
      </c>
      <c r="D409" s="114" t="n">
        <f aca="false">IF(B409="Tema",MOD(A409-1,Config!$E$28)+1,"")</f>
        <v>3</v>
      </c>
      <c r="E409" s="115" t="str">
        <f aca="false">IF($B409="Tema",IF(ISNUMBER(INDEX(Temas!$E$6:$P$305,$C409,2*$D409-1)),INDEX(Temas!$E$6:$P$305,$C409,2*$D409-1),""),IF(ISNUMBER(INDEX(Avulsos!$B$6:$B$205,$C409)),INDEX(Avulsos!$B$6:$B$205,$C409),""))</f>
        <v/>
      </c>
      <c r="F409" s="114" t="str">
        <f aca="false">IF($E409="","",IF($B409="Tema",INDEX(Temas!$B$6:$B$305,$C409)&amp;"",INDEX(Avulsos!$C$6:$C$205,$C409)&amp;""))</f>
        <v/>
      </c>
      <c r="G409" s="114" t="str">
        <f aca="false">IF($E409="","",IF($B409="Tema",INDEX(Config!$C$6:$C$11,$D409),"Evento avulso"))</f>
        <v/>
      </c>
      <c r="H409" s="114" t="str">
        <f aca="false">IF($E409="","",IF($B409="Tema",INDEX(Config!$D$6:$D$11,$D409),IFERROR(INDEX(Config!$E$15:$E$19,MATCH($I409,Config!$C$15:$C$19,0)),"•")))</f>
        <v/>
      </c>
      <c r="I409" s="114" t="str">
        <f aca="false">IF($E409="","",IF($B409="Tema",INDEX(Config!$E$6:$E$11,$D409),IF(INDEX(Avulsos!$D$6:$D$205,$C409)&amp;""="","Outro",INDEX(Avulsos!$D$6:$D$205,$C409))))</f>
        <v/>
      </c>
      <c r="J409" s="114" t="str">
        <f aca="false">IF($E409="","",IF($B409="Tema",INDEX(Temas!$C$6:$C$305,$C409)&amp;"",INDEX(Avulsos!$E$6:$E$205,$C409)&amp;""))</f>
        <v/>
      </c>
      <c r="K409" s="114" t="str">
        <f aca="false">IF($E409="","",IF(IF($B409="Tema",INDEX(Temas!$E$6:$P$305,$C409,2*$D409),INDEX(Avulsos!$F$6:$F$205,$C409))&amp;""="","","✓"))</f>
        <v/>
      </c>
      <c r="L409" s="114" t="str">
        <f aca="true">IF($E409="","",IF($K409="✓","Concluído",IF($E409&lt;TODAY(),"Atrasado",IF($E409=TODAY(),"Hoje","Pendente"))))</f>
        <v/>
      </c>
      <c r="M409" s="114" t="str">
        <f aca="false">IF($E409="","",IF($K409="✓","✓ ","")&amp;IF(Config!$E$22="Sim",$H409&amp;" · ","")&amp;$F409)</f>
        <v/>
      </c>
      <c r="N409" s="114" t="str">
        <f aca="false">IF($E409="","",IFERROR(INDEX(Config!$D$15:$D$19,MATCH($I409,Config!$C$15:$C$19,0)),"OUT")&amp;IF($K409="✓","x",""))</f>
        <v/>
      </c>
      <c r="O409" s="114" t="str">
        <f aca="false">IF($E409="","",COUNTIF($E$5:$E409,$E409))</f>
        <v/>
      </c>
      <c r="P409" s="114" t="str">
        <f aca="false">IF($E409="","",$E409*100+$O409)</f>
        <v/>
      </c>
      <c r="Q409" s="114" t="str">
        <f aca="false">IF($L409="Atrasado",$E409*10000+$A409,"")</f>
        <v/>
      </c>
    </row>
    <row r="410" customFormat="false" ht="15" hidden="false" customHeight="false" outlineLevel="0" collapsed="false">
      <c r="A410" s="114" t="n">
        <f aca="false">ROW()-4</f>
        <v>406</v>
      </c>
      <c r="B410" s="114" t="str">
        <f aca="false">IF(A410&lt;=Config!$E$27*Config!$E$28,"Tema","Avulso")</f>
        <v>Tema</v>
      </c>
      <c r="C410" s="114" t="n">
        <f aca="false">IF(B410="Tema",INT((A410-1)/Config!$E$28)+1,A410-Config!$E$27*Config!$E$28)</f>
        <v>68</v>
      </c>
      <c r="D410" s="114" t="n">
        <f aca="false">IF(B410="Tema",MOD(A410-1,Config!$E$28)+1,"")</f>
        <v>4</v>
      </c>
      <c r="E410" s="115" t="str">
        <f aca="false">IF($B410="Tema",IF(ISNUMBER(INDEX(Temas!$E$6:$P$305,$C410,2*$D410-1)),INDEX(Temas!$E$6:$P$305,$C410,2*$D410-1),""),IF(ISNUMBER(INDEX(Avulsos!$B$6:$B$205,$C410)),INDEX(Avulsos!$B$6:$B$205,$C410),""))</f>
        <v/>
      </c>
      <c r="F410" s="114" t="str">
        <f aca="false">IF($E410="","",IF($B410="Tema",INDEX(Temas!$B$6:$B$305,$C410)&amp;"",INDEX(Avulsos!$C$6:$C$205,$C410)&amp;""))</f>
        <v/>
      </c>
      <c r="G410" s="114" t="str">
        <f aca="false">IF($E410="","",IF($B410="Tema",INDEX(Config!$C$6:$C$11,$D410),"Evento avulso"))</f>
        <v/>
      </c>
      <c r="H410" s="114" t="str">
        <f aca="false">IF($E410="","",IF($B410="Tema",INDEX(Config!$D$6:$D$11,$D410),IFERROR(INDEX(Config!$E$15:$E$19,MATCH($I410,Config!$C$15:$C$19,0)),"•")))</f>
        <v/>
      </c>
      <c r="I410" s="114" t="str">
        <f aca="false">IF($E410="","",IF($B410="Tema",INDEX(Config!$E$6:$E$11,$D410),IF(INDEX(Avulsos!$D$6:$D$205,$C410)&amp;""="","Outro",INDEX(Avulsos!$D$6:$D$205,$C410))))</f>
        <v/>
      </c>
      <c r="J410" s="114" t="str">
        <f aca="false">IF($E410="","",IF($B410="Tema",INDEX(Temas!$C$6:$C$305,$C410)&amp;"",INDEX(Avulsos!$E$6:$E$205,$C410)&amp;""))</f>
        <v/>
      </c>
      <c r="K410" s="114" t="str">
        <f aca="false">IF($E410="","",IF(IF($B410="Tema",INDEX(Temas!$E$6:$P$305,$C410,2*$D410),INDEX(Avulsos!$F$6:$F$205,$C410))&amp;""="","","✓"))</f>
        <v/>
      </c>
      <c r="L410" s="114" t="str">
        <f aca="true">IF($E410="","",IF($K410="✓","Concluído",IF($E410&lt;TODAY(),"Atrasado",IF($E410=TODAY(),"Hoje","Pendente"))))</f>
        <v/>
      </c>
      <c r="M410" s="114" t="str">
        <f aca="false">IF($E410="","",IF($K410="✓","✓ ","")&amp;IF(Config!$E$22="Sim",$H410&amp;" · ","")&amp;$F410)</f>
        <v/>
      </c>
      <c r="N410" s="114" t="str">
        <f aca="false">IF($E410="","",IFERROR(INDEX(Config!$D$15:$D$19,MATCH($I410,Config!$C$15:$C$19,0)),"OUT")&amp;IF($K410="✓","x",""))</f>
        <v/>
      </c>
      <c r="O410" s="114" t="str">
        <f aca="false">IF($E410="","",COUNTIF($E$5:$E410,$E410))</f>
        <v/>
      </c>
      <c r="P410" s="114" t="str">
        <f aca="false">IF($E410="","",$E410*100+$O410)</f>
        <v/>
      </c>
      <c r="Q410" s="114" t="str">
        <f aca="false">IF($L410="Atrasado",$E410*10000+$A410,"")</f>
        <v/>
      </c>
    </row>
    <row r="411" customFormat="false" ht="15" hidden="false" customHeight="false" outlineLevel="0" collapsed="false">
      <c r="A411" s="114" t="n">
        <f aca="false">ROW()-4</f>
        <v>407</v>
      </c>
      <c r="B411" s="114" t="str">
        <f aca="false">IF(A411&lt;=Config!$E$27*Config!$E$28,"Tema","Avulso")</f>
        <v>Tema</v>
      </c>
      <c r="C411" s="114" t="n">
        <f aca="false">IF(B411="Tema",INT((A411-1)/Config!$E$28)+1,A411-Config!$E$27*Config!$E$28)</f>
        <v>68</v>
      </c>
      <c r="D411" s="114" t="n">
        <f aca="false">IF(B411="Tema",MOD(A411-1,Config!$E$28)+1,"")</f>
        <v>5</v>
      </c>
      <c r="E411" s="115" t="str">
        <f aca="false">IF($B411="Tema",IF(ISNUMBER(INDEX(Temas!$E$6:$P$305,$C411,2*$D411-1)),INDEX(Temas!$E$6:$P$305,$C411,2*$D411-1),""),IF(ISNUMBER(INDEX(Avulsos!$B$6:$B$205,$C411)),INDEX(Avulsos!$B$6:$B$205,$C411),""))</f>
        <v/>
      </c>
      <c r="F411" s="114" t="str">
        <f aca="false">IF($E411="","",IF($B411="Tema",INDEX(Temas!$B$6:$B$305,$C411)&amp;"",INDEX(Avulsos!$C$6:$C$205,$C411)&amp;""))</f>
        <v/>
      </c>
      <c r="G411" s="114" t="str">
        <f aca="false">IF($E411="","",IF($B411="Tema",INDEX(Config!$C$6:$C$11,$D411),"Evento avulso"))</f>
        <v/>
      </c>
      <c r="H411" s="114" t="str">
        <f aca="false">IF($E411="","",IF($B411="Tema",INDEX(Config!$D$6:$D$11,$D411),IFERROR(INDEX(Config!$E$15:$E$19,MATCH($I411,Config!$C$15:$C$19,0)),"•")))</f>
        <v/>
      </c>
      <c r="I411" s="114" t="str">
        <f aca="false">IF($E411="","",IF($B411="Tema",INDEX(Config!$E$6:$E$11,$D411),IF(INDEX(Avulsos!$D$6:$D$205,$C411)&amp;""="","Outro",INDEX(Avulsos!$D$6:$D$205,$C411))))</f>
        <v/>
      </c>
      <c r="J411" s="114" t="str">
        <f aca="false">IF($E411="","",IF($B411="Tema",INDEX(Temas!$C$6:$C$305,$C411)&amp;"",INDEX(Avulsos!$E$6:$E$205,$C411)&amp;""))</f>
        <v/>
      </c>
      <c r="K411" s="114" t="str">
        <f aca="false">IF($E411="","",IF(IF($B411="Tema",INDEX(Temas!$E$6:$P$305,$C411,2*$D411),INDEX(Avulsos!$F$6:$F$205,$C411))&amp;""="","","✓"))</f>
        <v/>
      </c>
      <c r="L411" s="114" t="str">
        <f aca="true">IF($E411="","",IF($K411="✓","Concluído",IF($E411&lt;TODAY(),"Atrasado",IF($E411=TODAY(),"Hoje","Pendente"))))</f>
        <v/>
      </c>
      <c r="M411" s="114" t="str">
        <f aca="false">IF($E411="","",IF($K411="✓","✓ ","")&amp;IF(Config!$E$22="Sim",$H411&amp;" · ","")&amp;$F411)</f>
        <v/>
      </c>
      <c r="N411" s="114" t="str">
        <f aca="false">IF($E411="","",IFERROR(INDEX(Config!$D$15:$D$19,MATCH($I411,Config!$C$15:$C$19,0)),"OUT")&amp;IF($K411="✓","x",""))</f>
        <v/>
      </c>
      <c r="O411" s="114" t="str">
        <f aca="false">IF($E411="","",COUNTIF($E$5:$E411,$E411))</f>
        <v/>
      </c>
      <c r="P411" s="114" t="str">
        <f aca="false">IF($E411="","",$E411*100+$O411)</f>
        <v/>
      </c>
      <c r="Q411" s="114" t="str">
        <f aca="false">IF($L411="Atrasado",$E411*10000+$A411,"")</f>
        <v/>
      </c>
    </row>
    <row r="412" customFormat="false" ht="15" hidden="false" customHeight="false" outlineLevel="0" collapsed="false">
      <c r="A412" s="114" t="n">
        <f aca="false">ROW()-4</f>
        <v>408</v>
      </c>
      <c r="B412" s="114" t="str">
        <f aca="false">IF(A412&lt;=Config!$E$27*Config!$E$28,"Tema","Avulso")</f>
        <v>Tema</v>
      </c>
      <c r="C412" s="114" t="n">
        <f aca="false">IF(B412="Tema",INT((A412-1)/Config!$E$28)+1,A412-Config!$E$27*Config!$E$28)</f>
        <v>68</v>
      </c>
      <c r="D412" s="114" t="n">
        <f aca="false">IF(B412="Tema",MOD(A412-1,Config!$E$28)+1,"")</f>
        <v>6</v>
      </c>
      <c r="E412" s="115" t="str">
        <f aca="false">IF($B412="Tema",IF(ISNUMBER(INDEX(Temas!$E$6:$P$305,$C412,2*$D412-1)),INDEX(Temas!$E$6:$P$305,$C412,2*$D412-1),""),IF(ISNUMBER(INDEX(Avulsos!$B$6:$B$205,$C412)),INDEX(Avulsos!$B$6:$B$205,$C412),""))</f>
        <v/>
      </c>
      <c r="F412" s="114" t="str">
        <f aca="false">IF($E412="","",IF($B412="Tema",INDEX(Temas!$B$6:$B$305,$C412)&amp;"",INDEX(Avulsos!$C$6:$C$205,$C412)&amp;""))</f>
        <v/>
      </c>
      <c r="G412" s="114" t="str">
        <f aca="false">IF($E412="","",IF($B412="Tema",INDEX(Config!$C$6:$C$11,$D412),"Evento avulso"))</f>
        <v/>
      </c>
      <c r="H412" s="114" t="str">
        <f aca="false">IF($E412="","",IF($B412="Tema",INDEX(Config!$D$6:$D$11,$D412),IFERROR(INDEX(Config!$E$15:$E$19,MATCH($I412,Config!$C$15:$C$19,0)),"•")))</f>
        <v/>
      </c>
      <c r="I412" s="114" t="str">
        <f aca="false">IF($E412="","",IF($B412="Tema",INDEX(Config!$E$6:$E$11,$D412),IF(INDEX(Avulsos!$D$6:$D$205,$C412)&amp;""="","Outro",INDEX(Avulsos!$D$6:$D$205,$C412))))</f>
        <v/>
      </c>
      <c r="J412" s="114" t="str">
        <f aca="false">IF($E412="","",IF($B412="Tema",INDEX(Temas!$C$6:$C$305,$C412)&amp;"",INDEX(Avulsos!$E$6:$E$205,$C412)&amp;""))</f>
        <v/>
      </c>
      <c r="K412" s="114" t="str">
        <f aca="false">IF($E412="","",IF(IF($B412="Tema",INDEX(Temas!$E$6:$P$305,$C412,2*$D412),INDEX(Avulsos!$F$6:$F$205,$C412))&amp;""="","","✓"))</f>
        <v/>
      </c>
      <c r="L412" s="114" t="str">
        <f aca="true">IF($E412="","",IF($K412="✓","Concluído",IF($E412&lt;TODAY(),"Atrasado",IF($E412=TODAY(),"Hoje","Pendente"))))</f>
        <v/>
      </c>
      <c r="M412" s="114" t="str">
        <f aca="false">IF($E412="","",IF($K412="✓","✓ ","")&amp;IF(Config!$E$22="Sim",$H412&amp;" · ","")&amp;$F412)</f>
        <v/>
      </c>
      <c r="N412" s="114" t="str">
        <f aca="false">IF($E412="","",IFERROR(INDEX(Config!$D$15:$D$19,MATCH($I412,Config!$C$15:$C$19,0)),"OUT")&amp;IF($K412="✓","x",""))</f>
        <v/>
      </c>
      <c r="O412" s="114" t="str">
        <f aca="false">IF($E412="","",COUNTIF($E$5:$E412,$E412))</f>
        <v/>
      </c>
      <c r="P412" s="114" t="str">
        <f aca="false">IF($E412="","",$E412*100+$O412)</f>
        <v/>
      </c>
      <c r="Q412" s="114" t="str">
        <f aca="false">IF($L412="Atrasado",$E412*10000+$A412,"")</f>
        <v/>
      </c>
    </row>
    <row r="413" customFormat="false" ht="15" hidden="false" customHeight="false" outlineLevel="0" collapsed="false">
      <c r="A413" s="114" t="n">
        <f aca="false">ROW()-4</f>
        <v>409</v>
      </c>
      <c r="B413" s="114" t="str">
        <f aca="false">IF(A413&lt;=Config!$E$27*Config!$E$28,"Tema","Avulso")</f>
        <v>Tema</v>
      </c>
      <c r="C413" s="114" t="n">
        <f aca="false">IF(B413="Tema",INT((A413-1)/Config!$E$28)+1,A413-Config!$E$27*Config!$E$28)</f>
        <v>69</v>
      </c>
      <c r="D413" s="114" t="n">
        <f aca="false">IF(B413="Tema",MOD(A413-1,Config!$E$28)+1,"")</f>
        <v>1</v>
      </c>
      <c r="E413" s="115" t="str">
        <f aca="false">IF($B413="Tema",IF(ISNUMBER(INDEX(Temas!$E$6:$P$305,$C413,2*$D413-1)),INDEX(Temas!$E$6:$P$305,$C413,2*$D413-1),""),IF(ISNUMBER(INDEX(Avulsos!$B$6:$B$205,$C413)),INDEX(Avulsos!$B$6:$B$205,$C413),""))</f>
        <v/>
      </c>
      <c r="F413" s="114" t="str">
        <f aca="false">IF($E413="","",IF($B413="Tema",INDEX(Temas!$B$6:$B$305,$C413)&amp;"",INDEX(Avulsos!$C$6:$C$205,$C413)&amp;""))</f>
        <v/>
      </c>
      <c r="G413" s="114" t="str">
        <f aca="false">IF($E413="","",IF($B413="Tema",INDEX(Config!$C$6:$C$11,$D413),"Evento avulso"))</f>
        <v/>
      </c>
      <c r="H413" s="114" t="str">
        <f aca="false">IF($E413="","",IF($B413="Tema",INDEX(Config!$D$6:$D$11,$D413),IFERROR(INDEX(Config!$E$15:$E$19,MATCH($I413,Config!$C$15:$C$19,0)),"•")))</f>
        <v/>
      </c>
      <c r="I413" s="114" t="str">
        <f aca="false">IF($E413="","",IF($B413="Tema",INDEX(Config!$E$6:$E$11,$D413),IF(INDEX(Avulsos!$D$6:$D$205,$C413)&amp;""="","Outro",INDEX(Avulsos!$D$6:$D$205,$C413))))</f>
        <v/>
      </c>
      <c r="J413" s="114" t="str">
        <f aca="false">IF($E413="","",IF($B413="Tema",INDEX(Temas!$C$6:$C$305,$C413)&amp;"",INDEX(Avulsos!$E$6:$E$205,$C413)&amp;""))</f>
        <v/>
      </c>
      <c r="K413" s="114" t="str">
        <f aca="false">IF($E413="","",IF(IF($B413="Tema",INDEX(Temas!$E$6:$P$305,$C413,2*$D413),INDEX(Avulsos!$F$6:$F$205,$C413))&amp;""="","","✓"))</f>
        <v/>
      </c>
      <c r="L413" s="114" t="str">
        <f aca="true">IF($E413="","",IF($K413="✓","Concluído",IF($E413&lt;TODAY(),"Atrasado",IF($E413=TODAY(),"Hoje","Pendente"))))</f>
        <v/>
      </c>
      <c r="M413" s="114" t="str">
        <f aca="false">IF($E413="","",IF($K413="✓","✓ ","")&amp;IF(Config!$E$22="Sim",$H413&amp;" · ","")&amp;$F413)</f>
        <v/>
      </c>
      <c r="N413" s="114" t="str">
        <f aca="false">IF($E413="","",IFERROR(INDEX(Config!$D$15:$D$19,MATCH($I413,Config!$C$15:$C$19,0)),"OUT")&amp;IF($K413="✓","x",""))</f>
        <v/>
      </c>
      <c r="O413" s="114" t="str">
        <f aca="false">IF($E413="","",COUNTIF($E$5:$E413,$E413))</f>
        <v/>
      </c>
      <c r="P413" s="114" t="str">
        <f aca="false">IF($E413="","",$E413*100+$O413)</f>
        <v/>
      </c>
      <c r="Q413" s="114" t="str">
        <f aca="false">IF($L413="Atrasado",$E413*10000+$A413,"")</f>
        <v/>
      </c>
    </row>
    <row r="414" customFormat="false" ht="15" hidden="false" customHeight="false" outlineLevel="0" collapsed="false">
      <c r="A414" s="114" t="n">
        <f aca="false">ROW()-4</f>
        <v>410</v>
      </c>
      <c r="B414" s="114" t="str">
        <f aca="false">IF(A414&lt;=Config!$E$27*Config!$E$28,"Tema","Avulso")</f>
        <v>Tema</v>
      </c>
      <c r="C414" s="114" t="n">
        <f aca="false">IF(B414="Tema",INT((A414-1)/Config!$E$28)+1,A414-Config!$E$27*Config!$E$28)</f>
        <v>69</v>
      </c>
      <c r="D414" s="114" t="n">
        <f aca="false">IF(B414="Tema",MOD(A414-1,Config!$E$28)+1,"")</f>
        <v>2</v>
      </c>
      <c r="E414" s="115" t="str">
        <f aca="false">IF($B414="Tema",IF(ISNUMBER(INDEX(Temas!$E$6:$P$305,$C414,2*$D414-1)),INDEX(Temas!$E$6:$P$305,$C414,2*$D414-1),""),IF(ISNUMBER(INDEX(Avulsos!$B$6:$B$205,$C414)),INDEX(Avulsos!$B$6:$B$205,$C414),""))</f>
        <v/>
      </c>
      <c r="F414" s="114" t="str">
        <f aca="false">IF($E414="","",IF($B414="Tema",INDEX(Temas!$B$6:$B$305,$C414)&amp;"",INDEX(Avulsos!$C$6:$C$205,$C414)&amp;""))</f>
        <v/>
      </c>
      <c r="G414" s="114" t="str">
        <f aca="false">IF($E414="","",IF($B414="Tema",INDEX(Config!$C$6:$C$11,$D414),"Evento avulso"))</f>
        <v/>
      </c>
      <c r="H414" s="114" t="str">
        <f aca="false">IF($E414="","",IF($B414="Tema",INDEX(Config!$D$6:$D$11,$D414),IFERROR(INDEX(Config!$E$15:$E$19,MATCH($I414,Config!$C$15:$C$19,0)),"•")))</f>
        <v/>
      </c>
      <c r="I414" s="114" t="str">
        <f aca="false">IF($E414="","",IF($B414="Tema",INDEX(Config!$E$6:$E$11,$D414),IF(INDEX(Avulsos!$D$6:$D$205,$C414)&amp;""="","Outro",INDEX(Avulsos!$D$6:$D$205,$C414))))</f>
        <v/>
      </c>
      <c r="J414" s="114" t="str">
        <f aca="false">IF($E414="","",IF($B414="Tema",INDEX(Temas!$C$6:$C$305,$C414)&amp;"",INDEX(Avulsos!$E$6:$E$205,$C414)&amp;""))</f>
        <v/>
      </c>
      <c r="K414" s="114" t="str">
        <f aca="false">IF($E414="","",IF(IF($B414="Tema",INDEX(Temas!$E$6:$P$305,$C414,2*$D414),INDEX(Avulsos!$F$6:$F$205,$C414))&amp;""="","","✓"))</f>
        <v/>
      </c>
      <c r="L414" s="114" t="str">
        <f aca="true">IF($E414="","",IF($K414="✓","Concluído",IF($E414&lt;TODAY(),"Atrasado",IF($E414=TODAY(),"Hoje","Pendente"))))</f>
        <v/>
      </c>
      <c r="M414" s="114" t="str">
        <f aca="false">IF($E414="","",IF($K414="✓","✓ ","")&amp;IF(Config!$E$22="Sim",$H414&amp;" · ","")&amp;$F414)</f>
        <v/>
      </c>
      <c r="N414" s="114" t="str">
        <f aca="false">IF($E414="","",IFERROR(INDEX(Config!$D$15:$D$19,MATCH($I414,Config!$C$15:$C$19,0)),"OUT")&amp;IF($K414="✓","x",""))</f>
        <v/>
      </c>
      <c r="O414" s="114" t="str">
        <f aca="false">IF($E414="","",COUNTIF($E$5:$E414,$E414))</f>
        <v/>
      </c>
      <c r="P414" s="114" t="str">
        <f aca="false">IF($E414="","",$E414*100+$O414)</f>
        <v/>
      </c>
      <c r="Q414" s="114" t="str">
        <f aca="false">IF($L414="Atrasado",$E414*10000+$A414,"")</f>
        <v/>
      </c>
    </row>
    <row r="415" customFormat="false" ht="15" hidden="false" customHeight="false" outlineLevel="0" collapsed="false">
      <c r="A415" s="114" t="n">
        <f aca="false">ROW()-4</f>
        <v>411</v>
      </c>
      <c r="B415" s="114" t="str">
        <f aca="false">IF(A415&lt;=Config!$E$27*Config!$E$28,"Tema","Avulso")</f>
        <v>Tema</v>
      </c>
      <c r="C415" s="114" t="n">
        <f aca="false">IF(B415="Tema",INT((A415-1)/Config!$E$28)+1,A415-Config!$E$27*Config!$E$28)</f>
        <v>69</v>
      </c>
      <c r="D415" s="114" t="n">
        <f aca="false">IF(B415="Tema",MOD(A415-1,Config!$E$28)+1,"")</f>
        <v>3</v>
      </c>
      <c r="E415" s="115" t="str">
        <f aca="false">IF($B415="Tema",IF(ISNUMBER(INDEX(Temas!$E$6:$P$305,$C415,2*$D415-1)),INDEX(Temas!$E$6:$P$305,$C415,2*$D415-1),""),IF(ISNUMBER(INDEX(Avulsos!$B$6:$B$205,$C415)),INDEX(Avulsos!$B$6:$B$205,$C415),""))</f>
        <v/>
      </c>
      <c r="F415" s="114" t="str">
        <f aca="false">IF($E415="","",IF($B415="Tema",INDEX(Temas!$B$6:$B$305,$C415)&amp;"",INDEX(Avulsos!$C$6:$C$205,$C415)&amp;""))</f>
        <v/>
      </c>
      <c r="G415" s="114" t="str">
        <f aca="false">IF($E415="","",IF($B415="Tema",INDEX(Config!$C$6:$C$11,$D415),"Evento avulso"))</f>
        <v/>
      </c>
      <c r="H415" s="114" t="str">
        <f aca="false">IF($E415="","",IF($B415="Tema",INDEX(Config!$D$6:$D$11,$D415),IFERROR(INDEX(Config!$E$15:$E$19,MATCH($I415,Config!$C$15:$C$19,0)),"•")))</f>
        <v/>
      </c>
      <c r="I415" s="114" t="str">
        <f aca="false">IF($E415="","",IF($B415="Tema",INDEX(Config!$E$6:$E$11,$D415),IF(INDEX(Avulsos!$D$6:$D$205,$C415)&amp;""="","Outro",INDEX(Avulsos!$D$6:$D$205,$C415))))</f>
        <v/>
      </c>
      <c r="J415" s="114" t="str">
        <f aca="false">IF($E415="","",IF($B415="Tema",INDEX(Temas!$C$6:$C$305,$C415)&amp;"",INDEX(Avulsos!$E$6:$E$205,$C415)&amp;""))</f>
        <v/>
      </c>
      <c r="K415" s="114" t="str">
        <f aca="false">IF($E415="","",IF(IF($B415="Tema",INDEX(Temas!$E$6:$P$305,$C415,2*$D415),INDEX(Avulsos!$F$6:$F$205,$C415))&amp;""="","","✓"))</f>
        <v/>
      </c>
      <c r="L415" s="114" t="str">
        <f aca="true">IF($E415="","",IF($K415="✓","Concluído",IF($E415&lt;TODAY(),"Atrasado",IF($E415=TODAY(),"Hoje","Pendente"))))</f>
        <v/>
      </c>
      <c r="M415" s="114" t="str">
        <f aca="false">IF($E415="","",IF($K415="✓","✓ ","")&amp;IF(Config!$E$22="Sim",$H415&amp;" · ","")&amp;$F415)</f>
        <v/>
      </c>
      <c r="N415" s="114" t="str">
        <f aca="false">IF($E415="","",IFERROR(INDEX(Config!$D$15:$D$19,MATCH($I415,Config!$C$15:$C$19,0)),"OUT")&amp;IF($K415="✓","x",""))</f>
        <v/>
      </c>
      <c r="O415" s="114" t="str">
        <f aca="false">IF($E415="","",COUNTIF($E$5:$E415,$E415))</f>
        <v/>
      </c>
      <c r="P415" s="114" t="str">
        <f aca="false">IF($E415="","",$E415*100+$O415)</f>
        <v/>
      </c>
      <c r="Q415" s="114" t="str">
        <f aca="false">IF($L415="Atrasado",$E415*10000+$A415,"")</f>
        <v/>
      </c>
    </row>
    <row r="416" customFormat="false" ht="15" hidden="false" customHeight="false" outlineLevel="0" collapsed="false">
      <c r="A416" s="114" t="n">
        <f aca="false">ROW()-4</f>
        <v>412</v>
      </c>
      <c r="B416" s="114" t="str">
        <f aca="false">IF(A416&lt;=Config!$E$27*Config!$E$28,"Tema","Avulso")</f>
        <v>Tema</v>
      </c>
      <c r="C416" s="114" t="n">
        <f aca="false">IF(B416="Tema",INT((A416-1)/Config!$E$28)+1,A416-Config!$E$27*Config!$E$28)</f>
        <v>69</v>
      </c>
      <c r="D416" s="114" t="n">
        <f aca="false">IF(B416="Tema",MOD(A416-1,Config!$E$28)+1,"")</f>
        <v>4</v>
      </c>
      <c r="E416" s="115" t="str">
        <f aca="false">IF($B416="Tema",IF(ISNUMBER(INDEX(Temas!$E$6:$P$305,$C416,2*$D416-1)),INDEX(Temas!$E$6:$P$305,$C416,2*$D416-1),""),IF(ISNUMBER(INDEX(Avulsos!$B$6:$B$205,$C416)),INDEX(Avulsos!$B$6:$B$205,$C416),""))</f>
        <v/>
      </c>
      <c r="F416" s="114" t="str">
        <f aca="false">IF($E416="","",IF($B416="Tema",INDEX(Temas!$B$6:$B$305,$C416)&amp;"",INDEX(Avulsos!$C$6:$C$205,$C416)&amp;""))</f>
        <v/>
      </c>
      <c r="G416" s="114" t="str">
        <f aca="false">IF($E416="","",IF($B416="Tema",INDEX(Config!$C$6:$C$11,$D416),"Evento avulso"))</f>
        <v/>
      </c>
      <c r="H416" s="114" t="str">
        <f aca="false">IF($E416="","",IF($B416="Tema",INDEX(Config!$D$6:$D$11,$D416),IFERROR(INDEX(Config!$E$15:$E$19,MATCH($I416,Config!$C$15:$C$19,0)),"•")))</f>
        <v/>
      </c>
      <c r="I416" s="114" t="str">
        <f aca="false">IF($E416="","",IF($B416="Tema",INDEX(Config!$E$6:$E$11,$D416),IF(INDEX(Avulsos!$D$6:$D$205,$C416)&amp;""="","Outro",INDEX(Avulsos!$D$6:$D$205,$C416))))</f>
        <v/>
      </c>
      <c r="J416" s="114" t="str">
        <f aca="false">IF($E416="","",IF($B416="Tema",INDEX(Temas!$C$6:$C$305,$C416)&amp;"",INDEX(Avulsos!$E$6:$E$205,$C416)&amp;""))</f>
        <v/>
      </c>
      <c r="K416" s="114" t="str">
        <f aca="false">IF($E416="","",IF(IF($B416="Tema",INDEX(Temas!$E$6:$P$305,$C416,2*$D416),INDEX(Avulsos!$F$6:$F$205,$C416))&amp;""="","","✓"))</f>
        <v/>
      </c>
      <c r="L416" s="114" t="str">
        <f aca="true">IF($E416="","",IF($K416="✓","Concluído",IF($E416&lt;TODAY(),"Atrasado",IF($E416=TODAY(),"Hoje","Pendente"))))</f>
        <v/>
      </c>
      <c r="M416" s="114" t="str">
        <f aca="false">IF($E416="","",IF($K416="✓","✓ ","")&amp;IF(Config!$E$22="Sim",$H416&amp;" · ","")&amp;$F416)</f>
        <v/>
      </c>
      <c r="N416" s="114" t="str">
        <f aca="false">IF($E416="","",IFERROR(INDEX(Config!$D$15:$D$19,MATCH($I416,Config!$C$15:$C$19,0)),"OUT")&amp;IF($K416="✓","x",""))</f>
        <v/>
      </c>
      <c r="O416" s="114" t="str">
        <f aca="false">IF($E416="","",COUNTIF($E$5:$E416,$E416))</f>
        <v/>
      </c>
      <c r="P416" s="114" t="str">
        <f aca="false">IF($E416="","",$E416*100+$O416)</f>
        <v/>
      </c>
      <c r="Q416" s="114" t="str">
        <f aca="false">IF($L416="Atrasado",$E416*10000+$A416,"")</f>
        <v/>
      </c>
    </row>
    <row r="417" customFormat="false" ht="15" hidden="false" customHeight="false" outlineLevel="0" collapsed="false">
      <c r="A417" s="114" t="n">
        <f aca="false">ROW()-4</f>
        <v>413</v>
      </c>
      <c r="B417" s="114" t="str">
        <f aca="false">IF(A417&lt;=Config!$E$27*Config!$E$28,"Tema","Avulso")</f>
        <v>Tema</v>
      </c>
      <c r="C417" s="114" t="n">
        <f aca="false">IF(B417="Tema",INT((A417-1)/Config!$E$28)+1,A417-Config!$E$27*Config!$E$28)</f>
        <v>69</v>
      </c>
      <c r="D417" s="114" t="n">
        <f aca="false">IF(B417="Tema",MOD(A417-1,Config!$E$28)+1,"")</f>
        <v>5</v>
      </c>
      <c r="E417" s="115" t="str">
        <f aca="false">IF($B417="Tema",IF(ISNUMBER(INDEX(Temas!$E$6:$P$305,$C417,2*$D417-1)),INDEX(Temas!$E$6:$P$305,$C417,2*$D417-1),""),IF(ISNUMBER(INDEX(Avulsos!$B$6:$B$205,$C417)),INDEX(Avulsos!$B$6:$B$205,$C417),""))</f>
        <v/>
      </c>
      <c r="F417" s="114" t="str">
        <f aca="false">IF($E417="","",IF($B417="Tema",INDEX(Temas!$B$6:$B$305,$C417)&amp;"",INDEX(Avulsos!$C$6:$C$205,$C417)&amp;""))</f>
        <v/>
      </c>
      <c r="G417" s="114" t="str">
        <f aca="false">IF($E417="","",IF($B417="Tema",INDEX(Config!$C$6:$C$11,$D417),"Evento avulso"))</f>
        <v/>
      </c>
      <c r="H417" s="114" t="str">
        <f aca="false">IF($E417="","",IF($B417="Tema",INDEX(Config!$D$6:$D$11,$D417),IFERROR(INDEX(Config!$E$15:$E$19,MATCH($I417,Config!$C$15:$C$19,0)),"•")))</f>
        <v/>
      </c>
      <c r="I417" s="114" t="str">
        <f aca="false">IF($E417="","",IF($B417="Tema",INDEX(Config!$E$6:$E$11,$D417),IF(INDEX(Avulsos!$D$6:$D$205,$C417)&amp;""="","Outro",INDEX(Avulsos!$D$6:$D$205,$C417))))</f>
        <v/>
      </c>
      <c r="J417" s="114" t="str">
        <f aca="false">IF($E417="","",IF($B417="Tema",INDEX(Temas!$C$6:$C$305,$C417)&amp;"",INDEX(Avulsos!$E$6:$E$205,$C417)&amp;""))</f>
        <v/>
      </c>
      <c r="K417" s="114" t="str">
        <f aca="false">IF($E417="","",IF(IF($B417="Tema",INDEX(Temas!$E$6:$P$305,$C417,2*$D417),INDEX(Avulsos!$F$6:$F$205,$C417))&amp;""="","","✓"))</f>
        <v/>
      </c>
      <c r="L417" s="114" t="str">
        <f aca="true">IF($E417="","",IF($K417="✓","Concluído",IF($E417&lt;TODAY(),"Atrasado",IF($E417=TODAY(),"Hoje","Pendente"))))</f>
        <v/>
      </c>
      <c r="M417" s="114" t="str">
        <f aca="false">IF($E417="","",IF($K417="✓","✓ ","")&amp;IF(Config!$E$22="Sim",$H417&amp;" · ","")&amp;$F417)</f>
        <v/>
      </c>
      <c r="N417" s="114" t="str">
        <f aca="false">IF($E417="","",IFERROR(INDEX(Config!$D$15:$D$19,MATCH($I417,Config!$C$15:$C$19,0)),"OUT")&amp;IF($K417="✓","x",""))</f>
        <v/>
      </c>
      <c r="O417" s="114" t="str">
        <f aca="false">IF($E417="","",COUNTIF($E$5:$E417,$E417))</f>
        <v/>
      </c>
      <c r="P417" s="114" t="str">
        <f aca="false">IF($E417="","",$E417*100+$O417)</f>
        <v/>
      </c>
      <c r="Q417" s="114" t="str">
        <f aca="false">IF($L417="Atrasado",$E417*10000+$A417,"")</f>
        <v/>
      </c>
    </row>
    <row r="418" customFormat="false" ht="15" hidden="false" customHeight="false" outlineLevel="0" collapsed="false">
      <c r="A418" s="114" t="n">
        <f aca="false">ROW()-4</f>
        <v>414</v>
      </c>
      <c r="B418" s="114" t="str">
        <f aca="false">IF(A418&lt;=Config!$E$27*Config!$E$28,"Tema","Avulso")</f>
        <v>Tema</v>
      </c>
      <c r="C418" s="114" t="n">
        <f aca="false">IF(B418="Tema",INT((A418-1)/Config!$E$28)+1,A418-Config!$E$27*Config!$E$28)</f>
        <v>69</v>
      </c>
      <c r="D418" s="114" t="n">
        <f aca="false">IF(B418="Tema",MOD(A418-1,Config!$E$28)+1,"")</f>
        <v>6</v>
      </c>
      <c r="E418" s="115" t="str">
        <f aca="false">IF($B418="Tema",IF(ISNUMBER(INDEX(Temas!$E$6:$P$305,$C418,2*$D418-1)),INDEX(Temas!$E$6:$P$305,$C418,2*$D418-1),""),IF(ISNUMBER(INDEX(Avulsos!$B$6:$B$205,$C418)),INDEX(Avulsos!$B$6:$B$205,$C418),""))</f>
        <v/>
      </c>
      <c r="F418" s="114" t="str">
        <f aca="false">IF($E418="","",IF($B418="Tema",INDEX(Temas!$B$6:$B$305,$C418)&amp;"",INDEX(Avulsos!$C$6:$C$205,$C418)&amp;""))</f>
        <v/>
      </c>
      <c r="G418" s="114" t="str">
        <f aca="false">IF($E418="","",IF($B418="Tema",INDEX(Config!$C$6:$C$11,$D418),"Evento avulso"))</f>
        <v/>
      </c>
      <c r="H418" s="114" t="str">
        <f aca="false">IF($E418="","",IF($B418="Tema",INDEX(Config!$D$6:$D$11,$D418),IFERROR(INDEX(Config!$E$15:$E$19,MATCH($I418,Config!$C$15:$C$19,0)),"•")))</f>
        <v/>
      </c>
      <c r="I418" s="114" t="str">
        <f aca="false">IF($E418="","",IF($B418="Tema",INDEX(Config!$E$6:$E$11,$D418),IF(INDEX(Avulsos!$D$6:$D$205,$C418)&amp;""="","Outro",INDEX(Avulsos!$D$6:$D$205,$C418))))</f>
        <v/>
      </c>
      <c r="J418" s="114" t="str">
        <f aca="false">IF($E418="","",IF($B418="Tema",INDEX(Temas!$C$6:$C$305,$C418)&amp;"",INDEX(Avulsos!$E$6:$E$205,$C418)&amp;""))</f>
        <v/>
      </c>
      <c r="K418" s="114" t="str">
        <f aca="false">IF($E418="","",IF(IF($B418="Tema",INDEX(Temas!$E$6:$P$305,$C418,2*$D418),INDEX(Avulsos!$F$6:$F$205,$C418))&amp;""="","","✓"))</f>
        <v/>
      </c>
      <c r="L418" s="114" t="str">
        <f aca="true">IF($E418="","",IF($K418="✓","Concluído",IF($E418&lt;TODAY(),"Atrasado",IF($E418=TODAY(),"Hoje","Pendente"))))</f>
        <v/>
      </c>
      <c r="M418" s="114" t="str">
        <f aca="false">IF($E418="","",IF($K418="✓","✓ ","")&amp;IF(Config!$E$22="Sim",$H418&amp;" · ","")&amp;$F418)</f>
        <v/>
      </c>
      <c r="N418" s="114" t="str">
        <f aca="false">IF($E418="","",IFERROR(INDEX(Config!$D$15:$D$19,MATCH($I418,Config!$C$15:$C$19,0)),"OUT")&amp;IF($K418="✓","x",""))</f>
        <v/>
      </c>
      <c r="O418" s="114" t="str">
        <f aca="false">IF($E418="","",COUNTIF($E$5:$E418,$E418))</f>
        <v/>
      </c>
      <c r="P418" s="114" t="str">
        <f aca="false">IF($E418="","",$E418*100+$O418)</f>
        <v/>
      </c>
      <c r="Q418" s="114" t="str">
        <f aca="false">IF($L418="Atrasado",$E418*10000+$A418,"")</f>
        <v/>
      </c>
    </row>
    <row r="419" customFormat="false" ht="15" hidden="false" customHeight="false" outlineLevel="0" collapsed="false">
      <c r="A419" s="114" t="n">
        <f aca="false">ROW()-4</f>
        <v>415</v>
      </c>
      <c r="B419" s="114" t="str">
        <f aca="false">IF(A419&lt;=Config!$E$27*Config!$E$28,"Tema","Avulso")</f>
        <v>Tema</v>
      </c>
      <c r="C419" s="114" t="n">
        <f aca="false">IF(B419="Tema",INT((A419-1)/Config!$E$28)+1,A419-Config!$E$27*Config!$E$28)</f>
        <v>70</v>
      </c>
      <c r="D419" s="114" t="n">
        <f aca="false">IF(B419="Tema",MOD(A419-1,Config!$E$28)+1,"")</f>
        <v>1</v>
      </c>
      <c r="E419" s="115" t="str">
        <f aca="false">IF($B419="Tema",IF(ISNUMBER(INDEX(Temas!$E$6:$P$305,$C419,2*$D419-1)),INDEX(Temas!$E$6:$P$305,$C419,2*$D419-1),""),IF(ISNUMBER(INDEX(Avulsos!$B$6:$B$205,$C419)),INDEX(Avulsos!$B$6:$B$205,$C419),""))</f>
        <v/>
      </c>
      <c r="F419" s="114" t="str">
        <f aca="false">IF($E419="","",IF($B419="Tema",INDEX(Temas!$B$6:$B$305,$C419)&amp;"",INDEX(Avulsos!$C$6:$C$205,$C419)&amp;""))</f>
        <v/>
      </c>
      <c r="G419" s="114" t="str">
        <f aca="false">IF($E419="","",IF($B419="Tema",INDEX(Config!$C$6:$C$11,$D419),"Evento avulso"))</f>
        <v/>
      </c>
      <c r="H419" s="114" t="str">
        <f aca="false">IF($E419="","",IF($B419="Tema",INDEX(Config!$D$6:$D$11,$D419),IFERROR(INDEX(Config!$E$15:$E$19,MATCH($I419,Config!$C$15:$C$19,0)),"•")))</f>
        <v/>
      </c>
      <c r="I419" s="114" t="str">
        <f aca="false">IF($E419="","",IF($B419="Tema",INDEX(Config!$E$6:$E$11,$D419),IF(INDEX(Avulsos!$D$6:$D$205,$C419)&amp;""="","Outro",INDEX(Avulsos!$D$6:$D$205,$C419))))</f>
        <v/>
      </c>
      <c r="J419" s="114" t="str">
        <f aca="false">IF($E419="","",IF($B419="Tema",INDEX(Temas!$C$6:$C$305,$C419)&amp;"",INDEX(Avulsos!$E$6:$E$205,$C419)&amp;""))</f>
        <v/>
      </c>
      <c r="K419" s="114" t="str">
        <f aca="false">IF($E419="","",IF(IF($B419="Tema",INDEX(Temas!$E$6:$P$305,$C419,2*$D419),INDEX(Avulsos!$F$6:$F$205,$C419))&amp;""="","","✓"))</f>
        <v/>
      </c>
      <c r="L419" s="114" t="str">
        <f aca="true">IF($E419="","",IF($K419="✓","Concluído",IF($E419&lt;TODAY(),"Atrasado",IF($E419=TODAY(),"Hoje","Pendente"))))</f>
        <v/>
      </c>
      <c r="M419" s="114" t="str">
        <f aca="false">IF($E419="","",IF($K419="✓","✓ ","")&amp;IF(Config!$E$22="Sim",$H419&amp;" · ","")&amp;$F419)</f>
        <v/>
      </c>
      <c r="N419" s="114" t="str">
        <f aca="false">IF($E419="","",IFERROR(INDEX(Config!$D$15:$D$19,MATCH($I419,Config!$C$15:$C$19,0)),"OUT")&amp;IF($K419="✓","x",""))</f>
        <v/>
      </c>
      <c r="O419" s="114" t="str">
        <f aca="false">IF($E419="","",COUNTIF($E$5:$E419,$E419))</f>
        <v/>
      </c>
      <c r="P419" s="114" t="str">
        <f aca="false">IF($E419="","",$E419*100+$O419)</f>
        <v/>
      </c>
      <c r="Q419" s="114" t="str">
        <f aca="false">IF($L419="Atrasado",$E419*10000+$A419,"")</f>
        <v/>
      </c>
    </row>
    <row r="420" customFormat="false" ht="15" hidden="false" customHeight="false" outlineLevel="0" collapsed="false">
      <c r="A420" s="114" t="n">
        <f aca="false">ROW()-4</f>
        <v>416</v>
      </c>
      <c r="B420" s="114" t="str">
        <f aca="false">IF(A420&lt;=Config!$E$27*Config!$E$28,"Tema","Avulso")</f>
        <v>Tema</v>
      </c>
      <c r="C420" s="114" t="n">
        <f aca="false">IF(B420="Tema",INT((A420-1)/Config!$E$28)+1,A420-Config!$E$27*Config!$E$28)</f>
        <v>70</v>
      </c>
      <c r="D420" s="114" t="n">
        <f aca="false">IF(B420="Tema",MOD(A420-1,Config!$E$28)+1,"")</f>
        <v>2</v>
      </c>
      <c r="E420" s="115" t="str">
        <f aca="false">IF($B420="Tema",IF(ISNUMBER(INDEX(Temas!$E$6:$P$305,$C420,2*$D420-1)),INDEX(Temas!$E$6:$P$305,$C420,2*$D420-1),""),IF(ISNUMBER(INDEX(Avulsos!$B$6:$B$205,$C420)),INDEX(Avulsos!$B$6:$B$205,$C420),""))</f>
        <v/>
      </c>
      <c r="F420" s="114" t="str">
        <f aca="false">IF($E420="","",IF($B420="Tema",INDEX(Temas!$B$6:$B$305,$C420)&amp;"",INDEX(Avulsos!$C$6:$C$205,$C420)&amp;""))</f>
        <v/>
      </c>
      <c r="G420" s="114" t="str">
        <f aca="false">IF($E420="","",IF($B420="Tema",INDEX(Config!$C$6:$C$11,$D420),"Evento avulso"))</f>
        <v/>
      </c>
      <c r="H420" s="114" t="str">
        <f aca="false">IF($E420="","",IF($B420="Tema",INDEX(Config!$D$6:$D$11,$D420),IFERROR(INDEX(Config!$E$15:$E$19,MATCH($I420,Config!$C$15:$C$19,0)),"•")))</f>
        <v/>
      </c>
      <c r="I420" s="114" t="str">
        <f aca="false">IF($E420="","",IF($B420="Tema",INDEX(Config!$E$6:$E$11,$D420),IF(INDEX(Avulsos!$D$6:$D$205,$C420)&amp;""="","Outro",INDEX(Avulsos!$D$6:$D$205,$C420))))</f>
        <v/>
      </c>
      <c r="J420" s="114" t="str">
        <f aca="false">IF($E420="","",IF($B420="Tema",INDEX(Temas!$C$6:$C$305,$C420)&amp;"",INDEX(Avulsos!$E$6:$E$205,$C420)&amp;""))</f>
        <v/>
      </c>
      <c r="K420" s="114" t="str">
        <f aca="false">IF($E420="","",IF(IF($B420="Tema",INDEX(Temas!$E$6:$P$305,$C420,2*$D420),INDEX(Avulsos!$F$6:$F$205,$C420))&amp;""="","","✓"))</f>
        <v/>
      </c>
      <c r="L420" s="114" t="str">
        <f aca="true">IF($E420="","",IF($K420="✓","Concluído",IF($E420&lt;TODAY(),"Atrasado",IF($E420=TODAY(),"Hoje","Pendente"))))</f>
        <v/>
      </c>
      <c r="M420" s="114" t="str">
        <f aca="false">IF($E420="","",IF($K420="✓","✓ ","")&amp;IF(Config!$E$22="Sim",$H420&amp;" · ","")&amp;$F420)</f>
        <v/>
      </c>
      <c r="N420" s="114" t="str">
        <f aca="false">IF($E420="","",IFERROR(INDEX(Config!$D$15:$D$19,MATCH($I420,Config!$C$15:$C$19,0)),"OUT")&amp;IF($K420="✓","x",""))</f>
        <v/>
      </c>
      <c r="O420" s="114" t="str">
        <f aca="false">IF($E420="","",COUNTIF($E$5:$E420,$E420))</f>
        <v/>
      </c>
      <c r="P420" s="114" t="str">
        <f aca="false">IF($E420="","",$E420*100+$O420)</f>
        <v/>
      </c>
      <c r="Q420" s="114" t="str">
        <f aca="false">IF($L420="Atrasado",$E420*10000+$A420,"")</f>
        <v/>
      </c>
    </row>
    <row r="421" customFormat="false" ht="15" hidden="false" customHeight="false" outlineLevel="0" collapsed="false">
      <c r="A421" s="114" t="n">
        <f aca="false">ROW()-4</f>
        <v>417</v>
      </c>
      <c r="B421" s="114" t="str">
        <f aca="false">IF(A421&lt;=Config!$E$27*Config!$E$28,"Tema","Avulso")</f>
        <v>Tema</v>
      </c>
      <c r="C421" s="114" t="n">
        <f aca="false">IF(B421="Tema",INT((A421-1)/Config!$E$28)+1,A421-Config!$E$27*Config!$E$28)</f>
        <v>70</v>
      </c>
      <c r="D421" s="114" t="n">
        <f aca="false">IF(B421="Tema",MOD(A421-1,Config!$E$28)+1,"")</f>
        <v>3</v>
      </c>
      <c r="E421" s="115" t="str">
        <f aca="false">IF($B421="Tema",IF(ISNUMBER(INDEX(Temas!$E$6:$P$305,$C421,2*$D421-1)),INDEX(Temas!$E$6:$P$305,$C421,2*$D421-1),""),IF(ISNUMBER(INDEX(Avulsos!$B$6:$B$205,$C421)),INDEX(Avulsos!$B$6:$B$205,$C421),""))</f>
        <v/>
      </c>
      <c r="F421" s="114" t="str">
        <f aca="false">IF($E421="","",IF($B421="Tema",INDEX(Temas!$B$6:$B$305,$C421)&amp;"",INDEX(Avulsos!$C$6:$C$205,$C421)&amp;""))</f>
        <v/>
      </c>
      <c r="G421" s="114" t="str">
        <f aca="false">IF($E421="","",IF($B421="Tema",INDEX(Config!$C$6:$C$11,$D421),"Evento avulso"))</f>
        <v/>
      </c>
      <c r="H421" s="114" t="str">
        <f aca="false">IF($E421="","",IF($B421="Tema",INDEX(Config!$D$6:$D$11,$D421),IFERROR(INDEX(Config!$E$15:$E$19,MATCH($I421,Config!$C$15:$C$19,0)),"•")))</f>
        <v/>
      </c>
      <c r="I421" s="114" t="str">
        <f aca="false">IF($E421="","",IF($B421="Tema",INDEX(Config!$E$6:$E$11,$D421),IF(INDEX(Avulsos!$D$6:$D$205,$C421)&amp;""="","Outro",INDEX(Avulsos!$D$6:$D$205,$C421))))</f>
        <v/>
      </c>
      <c r="J421" s="114" t="str">
        <f aca="false">IF($E421="","",IF($B421="Tema",INDEX(Temas!$C$6:$C$305,$C421)&amp;"",INDEX(Avulsos!$E$6:$E$205,$C421)&amp;""))</f>
        <v/>
      </c>
      <c r="K421" s="114" t="str">
        <f aca="false">IF($E421="","",IF(IF($B421="Tema",INDEX(Temas!$E$6:$P$305,$C421,2*$D421),INDEX(Avulsos!$F$6:$F$205,$C421))&amp;""="","","✓"))</f>
        <v/>
      </c>
      <c r="L421" s="114" t="str">
        <f aca="true">IF($E421="","",IF($K421="✓","Concluído",IF($E421&lt;TODAY(),"Atrasado",IF($E421=TODAY(),"Hoje","Pendente"))))</f>
        <v/>
      </c>
      <c r="M421" s="114" t="str">
        <f aca="false">IF($E421="","",IF($K421="✓","✓ ","")&amp;IF(Config!$E$22="Sim",$H421&amp;" · ","")&amp;$F421)</f>
        <v/>
      </c>
      <c r="N421" s="114" t="str">
        <f aca="false">IF($E421="","",IFERROR(INDEX(Config!$D$15:$D$19,MATCH($I421,Config!$C$15:$C$19,0)),"OUT")&amp;IF($K421="✓","x",""))</f>
        <v/>
      </c>
      <c r="O421" s="114" t="str">
        <f aca="false">IF($E421="","",COUNTIF($E$5:$E421,$E421))</f>
        <v/>
      </c>
      <c r="P421" s="114" t="str">
        <f aca="false">IF($E421="","",$E421*100+$O421)</f>
        <v/>
      </c>
      <c r="Q421" s="114" t="str">
        <f aca="false">IF($L421="Atrasado",$E421*10000+$A421,"")</f>
        <v/>
      </c>
    </row>
    <row r="422" customFormat="false" ht="15" hidden="false" customHeight="false" outlineLevel="0" collapsed="false">
      <c r="A422" s="114" t="n">
        <f aca="false">ROW()-4</f>
        <v>418</v>
      </c>
      <c r="B422" s="114" t="str">
        <f aca="false">IF(A422&lt;=Config!$E$27*Config!$E$28,"Tema","Avulso")</f>
        <v>Tema</v>
      </c>
      <c r="C422" s="114" t="n">
        <f aca="false">IF(B422="Tema",INT((A422-1)/Config!$E$28)+1,A422-Config!$E$27*Config!$E$28)</f>
        <v>70</v>
      </c>
      <c r="D422" s="114" t="n">
        <f aca="false">IF(B422="Tema",MOD(A422-1,Config!$E$28)+1,"")</f>
        <v>4</v>
      </c>
      <c r="E422" s="115" t="str">
        <f aca="false">IF($B422="Tema",IF(ISNUMBER(INDEX(Temas!$E$6:$P$305,$C422,2*$D422-1)),INDEX(Temas!$E$6:$P$305,$C422,2*$D422-1),""),IF(ISNUMBER(INDEX(Avulsos!$B$6:$B$205,$C422)),INDEX(Avulsos!$B$6:$B$205,$C422),""))</f>
        <v/>
      </c>
      <c r="F422" s="114" t="str">
        <f aca="false">IF($E422="","",IF($B422="Tema",INDEX(Temas!$B$6:$B$305,$C422)&amp;"",INDEX(Avulsos!$C$6:$C$205,$C422)&amp;""))</f>
        <v/>
      </c>
      <c r="G422" s="114" t="str">
        <f aca="false">IF($E422="","",IF($B422="Tema",INDEX(Config!$C$6:$C$11,$D422),"Evento avulso"))</f>
        <v/>
      </c>
      <c r="H422" s="114" t="str">
        <f aca="false">IF($E422="","",IF($B422="Tema",INDEX(Config!$D$6:$D$11,$D422),IFERROR(INDEX(Config!$E$15:$E$19,MATCH($I422,Config!$C$15:$C$19,0)),"•")))</f>
        <v/>
      </c>
      <c r="I422" s="114" t="str">
        <f aca="false">IF($E422="","",IF($B422="Tema",INDEX(Config!$E$6:$E$11,$D422),IF(INDEX(Avulsos!$D$6:$D$205,$C422)&amp;""="","Outro",INDEX(Avulsos!$D$6:$D$205,$C422))))</f>
        <v/>
      </c>
      <c r="J422" s="114" t="str">
        <f aca="false">IF($E422="","",IF($B422="Tema",INDEX(Temas!$C$6:$C$305,$C422)&amp;"",INDEX(Avulsos!$E$6:$E$205,$C422)&amp;""))</f>
        <v/>
      </c>
      <c r="K422" s="114" t="str">
        <f aca="false">IF($E422="","",IF(IF($B422="Tema",INDEX(Temas!$E$6:$P$305,$C422,2*$D422),INDEX(Avulsos!$F$6:$F$205,$C422))&amp;""="","","✓"))</f>
        <v/>
      </c>
      <c r="L422" s="114" t="str">
        <f aca="true">IF($E422="","",IF($K422="✓","Concluído",IF($E422&lt;TODAY(),"Atrasado",IF($E422=TODAY(),"Hoje","Pendente"))))</f>
        <v/>
      </c>
      <c r="M422" s="114" t="str">
        <f aca="false">IF($E422="","",IF($K422="✓","✓ ","")&amp;IF(Config!$E$22="Sim",$H422&amp;" · ","")&amp;$F422)</f>
        <v/>
      </c>
      <c r="N422" s="114" t="str">
        <f aca="false">IF($E422="","",IFERROR(INDEX(Config!$D$15:$D$19,MATCH($I422,Config!$C$15:$C$19,0)),"OUT")&amp;IF($K422="✓","x",""))</f>
        <v/>
      </c>
      <c r="O422" s="114" t="str">
        <f aca="false">IF($E422="","",COUNTIF($E$5:$E422,$E422))</f>
        <v/>
      </c>
      <c r="P422" s="114" t="str">
        <f aca="false">IF($E422="","",$E422*100+$O422)</f>
        <v/>
      </c>
      <c r="Q422" s="114" t="str">
        <f aca="false">IF($L422="Atrasado",$E422*10000+$A422,"")</f>
        <v/>
      </c>
    </row>
    <row r="423" customFormat="false" ht="15" hidden="false" customHeight="false" outlineLevel="0" collapsed="false">
      <c r="A423" s="114" t="n">
        <f aca="false">ROW()-4</f>
        <v>419</v>
      </c>
      <c r="B423" s="114" t="str">
        <f aca="false">IF(A423&lt;=Config!$E$27*Config!$E$28,"Tema","Avulso")</f>
        <v>Tema</v>
      </c>
      <c r="C423" s="114" t="n">
        <f aca="false">IF(B423="Tema",INT((A423-1)/Config!$E$28)+1,A423-Config!$E$27*Config!$E$28)</f>
        <v>70</v>
      </c>
      <c r="D423" s="114" t="n">
        <f aca="false">IF(B423="Tema",MOD(A423-1,Config!$E$28)+1,"")</f>
        <v>5</v>
      </c>
      <c r="E423" s="115" t="str">
        <f aca="false">IF($B423="Tema",IF(ISNUMBER(INDEX(Temas!$E$6:$P$305,$C423,2*$D423-1)),INDEX(Temas!$E$6:$P$305,$C423,2*$D423-1),""),IF(ISNUMBER(INDEX(Avulsos!$B$6:$B$205,$C423)),INDEX(Avulsos!$B$6:$B$205,$C423),""))</f>
        <v/>
      </c>
      <c r="F423" s="114" t="str">
        <f aca="false">IF($E423="","",IF($B423="Tema",INDEX(Temas!$B$6:$B$305,$C423)&amp;"",INDEX(Avulsos!$C$6:$C$205,$C423)&amp;""))</f>
        <v/>
      </c>
      <c r="G423" s="114" t="str">
        <f aca="false">IF($E423="","",IF($B423="Tema",INDEX(Config!$C$6:$C$11,$D423),"Evento avulso"))</f>
        <v/>
      </c>
      <c r="H423" s="114" t="str">
        <f aca="false">IF($E423="","",IF($B423="Tema",INDEX(Config!$D$6:$D$11,$D423),IFERROR(INDEX(Config!$E$15:$E$19,MATCH($I423,Config!$C$15:$C$19,0)),"•")))</f>
        <v/>
      </c>
      <c r="I423" s="114" t="str">
        <f aca="false">IF($E423="","",IF($B423="Tema",INDEX(Config!$E$6:$E$11,$D423),IF(INDEX(Avulsos!$D$6:$D$205,$C423)&amp;""="","Outro",INDEX(Avulsos!$D$6:$D$205,$C423))))</f>
        <v/>
      </c>
      <c r="J423" s="114" t="str">
        <f aca="false">IF($E423="","",IF($B423="Tema",INDEX(Temas!$C$6:$C$305,$C423)&amp;"",INDEX(Avulsos!$E$6:$E$205,$C423)&amp;""))</f>
        <v/>
      </c>
      <c r="K423" s="114" t="str">
        <f aca="false">IF($E423="","",IF(IF($B423="Tema",INDEX(Temas!$E$6:$P$305,$C423,2*$D423),INDEX(Avulsos!$F$6:$F$205,$C423))&amp;""="","","✓"))</f>
        <v/>
      </c>
      <c r="L423" s="114" t="str">
        <f aca="true">IF($E423="","",IF($K423="✓","Concluído",IF($E423&lt;TODAY(),"Atrasado",IF($E423=TODAY(),"Hoje","Pendente"))))</f>
        <v/>
      </c>
      <c r="M423" s="114" t="str">
        <f aca="false">IF($E423="","",IF($K423="✓","✓ ","")&amp;IF(Config!$E$22="Sim",$H423&amp;" · ","")&amp;$F423)</f>
        <v/>
      </c>
      <c r="N423" s="114" t="str">
        <f aca="false">IF($E423="","",IFERROR(INDEX(Config!$D$15:$D$19,MATCH($I423,Config!$C$15:$C$19,0)),"OUT")&amp;IF($K423="✓","x",""))</f>
        <v/>
      </c>
      <c r="O423" s="114" t="str">
        <f aca="false">IF($E423="","",COUNTIF($E$5:$E423,$E423))</f>
        <v/>
      </c>
      <c r="P423" s="114" t="str">
        <f aca="false">IF($E423="","",$E423*100+$O423)</f>
        <v/>
      </c>
      <c r="Q423" s="114" t="str">
        <f aca="false">IF($L423="Atrasado",$E423*10000+$A423,"")</f>
        <v/>
      </c>
    </row>
    <row r="424" customFormat="false" ht="15" hidden="false" customHeight="false" outlineLevel="0" collapsed="false">
      <c r="A424" s="114" t="n">
        <f aca="false">ROW()-4</f>
        <v>420</v>
      </c>
      <c r="B424" s="114" t="str">
        <f aca="false">IF(A424&lt;=Config!$E$27*Config!$E$28,"Tema","Avulso")</f>
        <v>Tema</v>
      </c>
      <c r="C424" s="114" t="n">
        <f aca="false">IF(B424="Tema",INT((A424-1)/Config!$E$28)+1,A424-Config!$E$27*Config!$E$28)</f>
        <v>70</v>
      </c>
      <c r="D424" s="114" t="n">
        <f aca="false">IF(B424="Tema",MOD(A424-1,Config!$E$28)+1,"")</f>
        <v>6</v>
      </c>
      <c r="E424" s="115" t="str">
        <f aca="false">IF($B424="Tema",IF(ISNUMBER(INDEX(Temas!$E$6:$P$305,$C424,2*$D424-1)),INDEX(Temas!$E$6:$P$305,$C424,2*$D424-1),""),IF(ISNUMBER(INDEX(Avulsos!$B$6:$B$205,$C424)),INDEX(Avulsos!$B$6:$B$205,$C424),""))</f>
        <v/>
      </c>
      <c r="F424" s="114" t="str">
        <f aca="false">IF($E424="","",IF($B424="Tema",INDEX(Temas!$B$6:$B$305,$C424)&amp;"",INDEX(Avulsos!$C$6:$C$205,$C424)&amp;""))</f>
        <v/>
      </c>
      <c r="G424" s="114" t="str">
        <f aca="false">IF($E424="","",IF($B424="Tema",INDEX(Config!$C$6:$C$11,$D424),"Evento avulso"))</f>
        <v/>
      </c>
      <c r="H424" s="114" t="str">
        <f aca="false">IF($E424="","",IF($B424="Tema",INDEX(Config!$D$6:$D$11,$D424),IFERROR(INDEX(Config!$E$15:$E$19,MATCH($I424,Config!$C$15:$C$19,0)),"•")))</f>
        <v/>
      </c>
      <c r="I424" s="114" t="str">
        <f aca="false">IF($E424="","",IF($B424="Tema",INDEX(Config!$E$6:$E$11,$D424),IF(INDEX(Avulsos!$D$6:$D$205,$C424)&amp;""="","Outro",INDEX(Avulsos!$D$6:$D$205,$C424))))</f>
        <v/>
      </c>
      <c r="J424" s="114" t="str">
        <f aca="false">IF($E424="","",IF($B424="Tema",INDEX(Temas!$C$6:$C$305,$C424)&amp;"",INDEX(Avulsos!$E$6:$E$205,$C424)&amp;""))</f>
        <v/>
      </c>
      <c r="K424" s="114" t="str">
        <f aca="false">IF($E424="","",IF(IF($B424="Tema",INDEX(Temas!$E$6:$P$305,$C424,2*$D424),INDEX(Avulsos!$F$6:$F$205,$C424))&amp;""="","","✓"))</f>
        <v/>
      </c>
      <c r="L424" s="114" t="str">
        <f aca="true">IF($E424="","",IF($K424="✓","Concluído",IF($E424&lt;TODAY(),"Atrasado",IF($E424=TODAY(),"Hoje","Pendente"))))</f>
        <v/>
      </c>
      <c r="M424" s="114" t="str">
        <f aca="false">IF($E424="","",IF($K424="✓","✓ ","")&amp;IF(Config!$E$22="Sim",$H424&amp;" · ","")&amp;$F424)</f>
        <v/>
      </c>
      <c r="N424" s="114" t="str">
        <f aca="false">IF($E424="","",IFERROR(INDEX(Config!$D$15:$D$19,MATCH($I424,Config!$C$15:$C$19,0)),"OUT")&amp;IF($K424="✓","x",""))</f>
        <v/>
      </c>
      <c r="O424" s="114" t="str">
        <f aca="false">IF($E424="","",COUNTIF($E$5:$E424,$E424))</f>
        <v/>
      </c>
      <c r="P424" s="114" t="str">
        <f aca="false">IF($E424="","",$E424*100+$O424)</f>
        <v/>
      </c>
      <c r="Q424" s="114" t="str">
        <f aca="false">IF($L424="Atrasado",$E424*10000+$A424,"")</f>
        <v/>
      </c>
    </row>
    <row r="425" customFormat="false" ht="15" hidden="false" customHeight="false" outlineLevel="0" collapsed="false">
      <c r="A425" s="114" t="n">
        <f aca="false">ROW()-4</f>
        <v>421</v>
      </c>
      <c r="B425" s="114" t="str">
        <f aca="false">IF(A425&lt;=Config!$E$27*Config!$E$28,"Tema","Avulso")</f>
        <v>Tema</v>
      </c>
      <c r="C425" s="114" t="n">
        <f aca="false">IF(B425="Tema",INT((A425-1)/Config!$E$28)+1,A425-Config!$E$27*Config!$E$28)</f>
        <v>71</v>
      </c>
      <c r="D425" s="114" t="n">
        <f aca="false">IF(B425="Tema",MOD(A425-1,Config!$E$28)+1,"")</f>
        <v>1</v>
      </c>
      <c r="E425" s="115" t="str">
        <f aca="false">IF($B425="Tema",IF(ISNUMBER(INDEX(Temas!$E$6:$P$305,$C425,2*$D425-1)),INDEX(Temas!$E$6:$P$305,$C425,2*$D425-1),""),IF(ISNUMBER(INDEX(Avulsos!$B$6:$B$205,$C425)),INDEX(Avulsos!$B$6:$B$205,$C425),""))</f>
        <v/>
      </c>
      <c r="F425" s="114" t="str">
        <f aca="false">IF($E425="","",IF($B425="Tema",INDEX(Temas!$B$6:$B$305,$C425)&amp;"",INDEX(Avulsos!$C$6:$C$205,$C425)&amp;""))</f>
        <v/>
      </c>
      <c r="G425" s="114" t="str">
        <f aca="false">IF($E425="","",IF($B425="Tema",INDEX(Config!$C$6:$C$11,$D425),"Evento avulso"))</f>
        <v/>
      </c>
      <c r="H425" s="114" t="str">
        <f aca="false">IF($E425="","",IF($B425="Tema",INDEX(Config!$D$6:$D$11,$D425),IFERROR(INDEX(Config!$E$15:$E$19,MATCH($I425,Config!$C$15:$C$19,0)),"•")))</f>
        <v/>
      </c>
      <c r="I425" s="114" t="str">
        <f aca="false">IF($E425="","",IF($B425="Tema",INDEX(Config!$E$6:$E$11,$D425),IF(INDEX(Avulsos!$D$6:$D$205,$C425)&amp;""="","Outro",INDEX(Avulsos!$D$6:$D$205,$C425))))</f>
        <v/>
      </c>
      <c r="J425" s="114" t="str">
        <f aca="false">IF($E425="","",IF($B425="Tema",INDEX(Temas!$C$6:$C$305,$C425)&amp;"",INDEX(Avulsos!$E$6:$E$205,$C425)&amp;""))</f>
        <v/>
      </c>
      <c r="K425" s="114" t="str">
        <f aca="false">IF($E425="","",IF(IF($B425="Tema",INDEX(Temas!$E$6:$P$305,$C425,2*$D425),INDEX(Avulsos!$F$6:$F$205,$C425))&amp;""="","","✓"))</f>
        <v/>
      </c>
      <c r="L425" s="114" t="str">
        <f aca="true">IF($E425="","",IF($K425="✓","Concluído",IF($E425&lt;TODAY(),"Atrasado",IF($E425=TODAY(),"Hoje","Pendente"))))</f>
        <v/>
      </c>
      <c r="M425" s="114" t="str">
        <f aca="false">IF($E425="","",IF($K425="✓","✓ ","")&amp;IF(Config!$E$22="Sim",$H425&amp;" · ","")&amp;$F425)</f>
        <v/>
      </c>
      <c r="N425" s="114" t="str">
        <f aca="false">IF($E425="","",IFERROR(INDEX(Config!$D$15:$D$19,MATCH($I425,Config!$C$15:$C$19,0)),"OUT")&amp;IF($K425="✓","x",""))</f>
        <v/>
      </c>
      <c r="O425" s="114" t="str">
        <f aca="false">IF($E425="","",COUNTIF($E$5:$E425,$E425))</f>
        <v/>
      </c>
      <c r="P425" s="114" t="str">
        <f aca="false">IF($E425="","",$E425*100+$O425)</f>
        <v/>
      </c>
      <c r="Q425" s="114" t="str">
        <f aca="false">IF($L425="Atrasado",$E425*10000+$A425,"")</f>
        <v/>
      </c>
    </row>
    <row r="426" customFormat="false" ht="15" hidden="false" customHeight="false" outlineLevel="0" collapsed="false">
      <c r="A426" s="114" t="n">
        <f aca="false">ROW()-4</f>
        <v>422</v>
      </c>
      <c r="B426" s="114" t="str">
        <f aca="false">IF(A426&lt;=Config!$E$27*Config!$E$28,"Tema","Avulso")</f>
        <v>Tema</v>
      </c>
      <c r="C426" s="114" t="n">
        <f aca="false">IF(B426="Tema",INT((A426-1)/Config!$E$28)+1,A426-Config!$E$27*Config!$E$28)</f>
        <v>71</v>
      </c>
      <c r="D426" s="114" t="n">
        <f aca="false">IF(B426="Tema",MOD(A426-1,Config!$E$28)+1,"")</f>
        <v>2</v>
      </c>
      <c r="E426" s="115" t="str">
        <f aca="false">IF($B426="Tema",IF(ISNUMBER(INDEX(Temas!$E$6:$P$305,$C426,2*$D426-1)),INDEX(Temas!$E$6:$P$305,$C426,2*$D426-1),""),IF(ISNUMBER(INDEX(Avulsos!$B$6:$B$205,$C426)),INDEX(Avulsos!$B$6:$B$205,$C426),""))</f>
        <v/>
      </c>
      <c r="F426" s="114" t="str">
        <f aca="false">IF($E426="","",IF($B426="Tema",INDEX(Temas!$B$6:$B$305,$C426)&amp;"",INDEX(Avulsos!$C$6:$C$205,$C426)&amp;""))</f>
        <v/>
      </c>
      <c r="G426" s="114" t="str">
        <f aca="false">IF($E426="","",IF($B426="Tema",INDEX(Config!$C$6:$C$11,$D426),"Evento avulso"))</f>
        <v/>
      </c>
      <c r="H426" s="114" t="str">
        <f aca="false">IF($E426="","",IF($B426="Tema",INDEX(Config!$D$6:$D$11,$D426),IFERROR(INDEX(Config!$E$15:$E$19,MATCH($I426,Config!$C$15:$C$19,0)),"•")))</f>
        <v/>
      </c>
      <c r="I426" s="114" t="str">
        <f aca="false">IF($E426="","",IF($B426="Tema",INDEX(Config!$E$6:$E$11,$D426),IF(INDEX(Avulsos!$D$6:$D$205,$C426)&amp;""="","Outro",INDEX(Avulsos!$D$6:$D$205,$C426))))</f>
        <v/>
      </c>
      <c r="J426" s="114" t="str">
        <f aca="false">IF($E426="","",IF($B426="Tema",INDEX(Temas!$C$6:$C$305,$C426)&amp;"",INDEX(Avulsos!$E$6:$E$205,$C426)&amp;""))</f>
        <v/>
      </c>
      <c r="K426" s="114" t="str">
        <f aca="false">IF($E426="","",IF(IF($B426="Tema",INDEX(Temas!$E$6:$P$305,$C426,2*$D426),INDEX(Avulsos!$F$6:$F$205,$C426))&amp;""="","","✓"))</f>
        <v/>
      </c>
      <c r="L426" s="114" t="str">
        <f aca="true">IF($E426="","",IF($K426="✓","Concluído",IF($E426&lt;TODAY(),"Atrasado",IF($E426=TODAY(),"Hoje","Pendente"))))</f>
        <v/>
      </c>
      <c r="M426" s="114" t="str">
        <f aca="false">IF($E426="","",IF($K426="✓","✓ ","")&amp;IF(Config!$E$22="Sim",$H426&amp;" · ","")&amp;$F426)</f>
        <v/>
      </c>
      <c r="N426" s="114" t="str">
        <f aca="false">IF($E426="","",IFERROR(INDEX(Config!$D$15:$D$19,MATCH($I426,Config!$C$15:$C$19,0)),"OUT")&amp;IF($K426="✓","x",""))</f>
        <v/>
      </c>
      <c r="O426" s="114" t="str">
        <f aca="false">IF($E426="","",COUNTIF($E$5:$E426,$E426))</f>
        <v/>
      </c>
      <c r="P426" s="114" t="str">
        <f aca="false">IF($E426="","",$E426*100+$O426)</f>
        <v/>
      </c>
      <c r="Q426" s="114" t="str">
        <f aca="false">IF($L426="Atrasado",$E426*10000+$A426,"")</f>
        <v/>
      </c>
    </row>
    <row r="427" customFormat="false" ht="15" hidden="false" customHeight="false" outlineLevel="0" collapsed="false">
      <c r="A427" s="114" t="n">
        <f aca="false">ROW()-4</f>
        <v>423</v>
      </c>
      <c r="B427" s="114" t="str">
        <f aca="false">IF(A427&lt;=Config!$E$27*Config!$E$28,"Tema","Avulso")</f>
        <v>Tema</v>
      </c>
      <c r="C427" s="114" t="n">
        <f aca="false">IF(B427="Tema",INT((A427-1)/Config!$E$28)+1,A427-Config!$E$27*Config!$E$28)</f>
        <v>71</v>
      </c>
      <c r="D427" s="114" t="n">
        <f aca="false">IF(B427="Tema",MOD(A427-1,Config!$E$28)+1,"")</f>
        <v>3</v>
      </c>
      <c r="E427" s="115" t="str">
        <f aca="false">IF($B427="Tema",IF(ISNUMBER(INDEX(Temas!$E$6:$P$305,$C427,2*$D427-1)),INDEX(Temas!$E$6:$P$305,$C427,2*$D427-1),""),IF(ISNUMBER(INDEX(Avulsos!$B$6:$B$205,$C427)),INDEX(Avulsos!$B$6:$B$205,$C427),""))</f>
        <v/>
      </c>
      <c r="F427" s="114" t="str">
        <f aca="false">IF($E427="","",IF($B427="Tema",INDEX(Temas!$B$6:$B$305,$C427)&amp;"",INDEX(Avulsos!$C$6:$C$205,$C427)&amp;""))</f>
        <v/>
      </c>
      <c r="G427" s="114" t="str">
        <f aca="false">IF($E427="","",IF($B427="Tema",INDEX(Config!$C$6:$C$11,$D427),"Evento avulso"))</f>
        <v/>
      </c>
      <c r="H427" s="114" t="str">
        <f aca="false">IF($E427="","",IF($B427="Tema",INDEX(Config!$D$6:$D$11,$D427),IFERROR(INDEX(Config!$E$15:$E$19,MATCH($I427,Config!$C$15:$C$19,0)),"•")))</f>
        <v/>
      </c>
      <c r="I427" s="114" t="str">
        <f aca="false">IF($E427="","",IF($B427="Tema",INDEX(Config!$E$6:$E$11,$D427),IF(INDEX(Avulsos!$D$6:$D$205,$C427)&amp;""="","Outro",INDEX(Avulsos!$D$6:$D$205,$C427))))</f>
        <v/>
      </c>
      <c r="J427" s="114" t="str">
        <f aca="false">IF($E427="","",IF($B427="Tema",INDEX(Temas!$C$6:$C$305,$C427)&amp;"",INDEX(Avulsos!$E$6:$E$205,$C427)&amp;""))</f>
        <v/>
      </c>
      <c r="K427" s="114" t="str">
        <f aca="false">IF($E427="","",IF(IF($B427="Tema",INDEX(Temas!$E$6:$P$305,$C427,2*$D427),INDEX(Avulsos!$F$6:$F$205,$C427))&amp;""="","","✓"))</f>
        <v/>
      </c>
      <c r="L427" s="114" t="str">
        <f aca="true">IF($E427="","",IF($K427="✓","Concluído",IF($E427&lt;TODAY(),"Atrasado",IF($E427=TODAY(),"Hoje","Pendente"))))</f>
        <v/>
      </c>
      <c r="M427" s="114" t="str">
        <f aca="false">IF($E427="","",IF($K427="✓","✓ ","")&amp;IF(Config!$E$22="Sim",$H427&amp;" · ","")&amp;$F427)</f>
        <v/>
      </c>
      <c r="N427" s="114" t="str">
        <f aca="false">IF($E427="","",IFERROR(INDEX(Config!$D$15:$D$19,MATCH($I427,Config!$C$15:$C$19,0)),"OUT")&amp;IF($K427="✓","x",""))</f>
        <v/>
      </c>
      <c r="O427" s="114" t="str">
        <f aca="false">IF($E427="","",COUNTIF($E$5:$E427,$E427))</f>
        <v/>
      </c>
      <c r="P427" s="114" t="str">
        <f aca="false">IF($E427="","",$E427*100+$O427)</f>
        <v/>
      </c>
      <c r="Q427" s="114" t="str">
        <f aca="false">IF($L427="Atrasado",$E427*10000+$A427,"")</f>
        <v/>
      </c>
    </row>
    <row r="428" customFormat="false" ht="15" hidden="false" customHeight="false" outlineLevel="0" collapsed="false">
      <c r="A428" s="114" t="n">
        <f aca="false">ROW()-4</f>
        <v>424</v>
      </c>
      <c r="B428" s="114" t="str">
        <f aca="false">IF(A428&lt;=Config!$E$27*Config!$E$28,"Tema","Avulso")</f>
        <v>Tema</v>
      </c>
      <c r="C428" s="114" t="n">
        <f aca="false">IF(B428="Tema",INT((A428-1)/Config!$E$28)+1,A428-Config!$E$27*Config!$E$28)</f>
        <v>71</v>
      </c>
      <c r="D428" s="114" t="n">
        <f aca="false">IF(B428="Tema",MOD(A428-1,Config!$E$28)+1,"")</f>
        <v>4</v>
      </c>
      <c r="E428" s="115" t="str">
        <f aca="false">IF($B428="Tema",IF(ISNUMBER(INDEX(Temas!$E$6:$P$305,$C428,2*$D428-1)),INDEX(Temas!$E$6:$P$305,$C428,2*$D428-1),""),IF(ISNUMBER(INDEX(Avulsos!$B$6:$B$205,$C428)),INDEX(Avulsos!$B$6:$B$205,$C428),""))</f>
        <v/>
      </c>
      <c r="F428" s="114" t="str">
        <f aca="false">IF($E428="","",IF($B428="Tema",INDEX(Temas!$B$6:$B$305,$C428)&amp;"",INDEX(Avulsos!$C$6:$C$205,$C428)&amp;""))</f>
        <v/>
      </c>
      <c r="G428" s="114" t="str">
        <f aca="false">IF($E428="","",IF($B428="Tema",INDEX(Config!$C$6:$C$11,$D428),"Evento avulso"))</f>
        <v/>
      </c>
      <c r="H428" s="114" t="str">
        <f aca="false">IF($E428="","",IF($B428="Tema",INDEX(Config!$D$6:$D$11,$D428),IFERROR(INDEX(Config!$E$15:$E$19,MATCH($I428,Config!$C$15:$C$19,0)),"•")))</f>
        <v/>
      </c>
      <c r="I428" s="114" t="str">
        <f aca="false">IF($E428="","",IF($B428="Tema",INDEX(Config!$E$6:$E$11,$D428),IF(INDEX(Avulsos!$D$6:$D$205,$C428)&amp;""="","Outro",INDEX(Avulsos!$D$6:$D$205,$C428))))</f>
        <v/>
      </c>
      <c r="J428" s="114" t="str">
        <f aca="false">IF($E428="","",IF($B428="Tema",INDEX(Temas!$C$6:$C$305,$C428)&amp;"",INDEX(Avulsos!$E$6:$E$205,$C428)&amp;""))</f>
        <v/>
      </c>
      <c r="K428" s="114" t="str">
        <f aca="false">IF($E428="","",IF(IF($B428="Tema",INDEX(Temas!$E$6:$P$305,$C428,2*$D428),INDEX(Avulsos!$F$6:$F$205,$C428))&amp;""="","","✓"))</f>
        <v/>
      </c>
      <c r="L428" s="114" t="str">
        <f aca="true">IF($E428="","",IF($K428="✓","Concluído",IF($E428&lt;TODAY(),"Atrasado",IF($E428=TODAY(),"Hoje","Pendente"))))</f>
        <v/>
      </c>
      <c r="M428" s="114" t="str">
        <f aca="false">IF($E428="","",IF($K428="✓","✓ ","")&amp;IF(Config!$E$22="Sim",$H428&amp;" · ","")&amp;$F428)</f>
        <v/>
      </c>
      <c r="N428" s="114" t="str">
        <f aca="false">IF($E428="","",IFERROR(INDEX(Config!$D$15:$D$19,MATCH($I428,Config!$C$15:$C$19,0)),"OUT")&amp;IF($K428="✓","x",""))</f>
        <v/>
      </c>
      <c r="O428" s="114" t="str">
        <f aca="false">IF($E428="","",COUNTIF($E$5:$E428,$E428))</f>
        <v/>
      </c>
      <c r="P428" s="114" t="str">
        <f aca="false">IF($E428="","",$E428*100+$O428)</f>
        <v/>
      </c>
      <c r="Q428" s="114" t="str">
        <f aca="false">IF($L428="Atrasado",$E428*10000+$A428,"")</f>
        <v/>
      </c>
    </row>
    <row r="429" customFormat="false" ht="15" hidden="false" customHeight="false" outlineLevel="0" collapsed="false">
      <c r="A429" s="114" t="n">
        <f aca="false">ROW()-4</f>
        <v>425</v>
      </c>
      <c r="B429" s="114" t="str">
        <f aca="false">IF(A429&lt;=Config!$E$27*Config!$E$28,"Tema","Avulso")</f>
        <v>Tema</v>
      </c>
      <c r="C429" s="114" t="n">
        <f aca="false">IF(B429="Tema",INT((A429-1)/Config!$E$28)+1,A429-Config!$E$27*Config!$E$28)</f>
        <v>71</v>
      </c>
      <c r="D429" s="114" t="n">
        <f aca="false">IF(B429="Tema",MOD(A429-1,Config!$E$28)+1,"")</f>
        <v>5</v>
      </c>
      <c r="E429" s="115" t="str">
        <f aca="false">IF($B429="Tema",IF(ISNUMBER(INDEX(Temas!$E$6:$P$305,$C429,2*$D429-1)),INDEX(Temas!$E$6:$P$305,$C429,2*$D429-1),""),IF(ISNUMBER(INDEX(Avulsos!$B$6:$B$205,$C429)),INDEX(Avulsos!$B$6:$B$205,$C429),""))</f>
        <v/>
      </c>
      <c r="F429" s="114" t="str">
        <f aca="false">IF($E429="","",IF($B429="Tema",INDEX(Temas!$B$6:$B$305,$C429)&amp;"",INDEX(Avulsos!$C$6:$C$205,$C429)&amp;""))</f>
        <v/>
      </c>
      <c r="G429" s="114" t="str">
        <f aca="false">IF($E429="","",IF($B429="Tema",INDEX(Config!$C$6:$C$11,$D429),"Evento avulso"))</f>
        <v/>
      </c>
      <c r="H429" s="114" t="str">
        <f aca="false">IF($E429="","",IF($B429="Tema",INDEX(Config!$D$6:$D$11,$D429),IFERROR(INDEX(Config!$E$15:$E$19,MATCH($I429,Config!$C$15:$C$19,0)),"•")))</f>
        <v/>
      </c>
      <c r="I429" s="114" t="str">
        <f aca="false">IF($E429="","",IF($B429="Tema",INDEX(Config!$E$6:$E$11,$D429),IF(INDEX(Avulsos!$D$6:$D$205,$C429)&amp;""="","Outro",INDEX(Avulsos!$D$6:$D$205,$C429))))</f>
        <v/>
      </c>
      <c r="J429" s="114" t="str">
        <f aca="false">IF($E429="","",IF($B429="Tema",INDEX(Temas!$C$6:$C$305,$C429)&amp;"",INDEX(Avulsos!$E$6:$E$205,$C429)&amp;""))</f>
        <v/>
      </c>
      <c r="K429" s="114" t="str">
        <f aca="false">IF($E429="","",IF(IF($B429="Tema",INDEX(Temas!$E$6:$P$305,$C429,2*$D429),INDEX(Avulsos!$F$6:$F$205,$C429))&amp;""="","","✓"))</f>
        <v/>
      </c>
      <c r="L429" s="114" t="str">
        <f aca="true">IF($E429="","",IF($K429="✓","Concluído",IF($E429&lt;TODAY(),"Atrasado",IF($E429=TODAY(),"Hoje","Pendente"))))</f>
        <v/>
      </c>
      <c r="M429" s="114" t="str">
        <f aca="false">IF($E429="","",IF($K429="✓","✓ ","")&amp;IF(Config!$E$22="Sim",$H429&amp;" · ","")&amp;$F429)</f>
        <v/>
      </c>
      <c r="N429" s="114" t="str">
        <f aca="false">IF($E429="","",IFERROR(INDEX(Config!$D$15:$D$19,MATCH($I429,Config!$C$15:$C$19,0)),"OUT")&amp;IF($K429="✓","x",""))</f>
        <v/>
      </c>
      <c r="O429" s="114" t="str">
        <f aca="false">IF($E429="","",COUNTIF($E$5:$E429,$E429))</f>
        <v/>
      </c>
      <c r="P429" s="114" t="str">
        <f aca="false">IF($E429="","",$E429*100+$O429)</f>
        <v/>
      </c>
      <c r="Q429" s="114" t="str">
        <f aca="false">IF($L429="Atrasado",$E429*10000+$A429,"")</f>
        <v/>
      </c>
    </row>
    <row r="430" customFormat="false" ht="15" hidden="false" customHeight="false" outlineLevel="0" collapsed="false">
      <c r="A430" s="114" t="n">
        <f aca="false">ROW()-4</f>
        <v>426</v>
      </c>
      <c r="B430" s="114" t="str">
        <f aca="false">IF(A430&lt;=Config!$E$27*Config!$E$28,"Tema","Avulso")</f>
        <v>Tema</v>
      </c>
      <c r="C430" s="114" t="n">
        <f aca="false">IF(B430="Tema",INT((A430-1)/Config!$E$28)+1,A430-Config!$E$27*Config!$E$28)</f>
        <v>71</v>
      </c>
      <c r="D430" s="114" t="n">
        <f aca="false">IF(B430="Tema",MOD(A430-1,Config!$E$28)+1,"")</f>
        <v>6</v>
      </c>
      <c r="E430" s="115" t="str">
        <f aca="false">IF($B430="Tema",IF(ISNUMBER(INDEX(Temas!$E$6:$P$305,$C430,2*$D430-1)),INDEX(Temas!$E$6:$P$305,$C430,2*$D430-1),""),IF(ISNUMBER(INDEX(Avulsos!$B$6:$B$205,$C430)),INDEX(Avulsos!$B$6:$B$205,$C430),""))</f>
        <v/>
      </c>
      <c r="F430" s="114" t="str">
        <f aca="false">IF($E430="","",IF($B430="Tema",INDEX(Temas!$B$6:$B$305,$C430)&amp;"",INDEX(Avulsos!$C$6:$C$205,$C430)&amp;""))</f>
        <v/>
      </c>
      <c r="G430" s="114" t="str">
        <f aca="false">IF($E430="","",IF($B430="Tema",INDEX(Config!$C$6:$C$11,$D430),"Evento avulso"))</f>
        <v/>
      </c>
      <c r="H430" s="114" t="str">
        <f aca="false">IF($E430="","",IF($B430="Tema",INDEX(Config!$D$6:$D$11,$D430),IFERROR(INDEX(Config!$E$15:$E$19,MATCH($I430,Config!$C$15:$C$19,0)),"•")))</f>
        <v/>
      </c>
      <c r="I430" s="114" t="str">
        <f aca="false">IF($E430="","",IF($B430="Tema",INDEX(Config!$E$6:$E$11,$D430),IF(INDEX(Avulsos!$D$6:$D$205,$C430)&amp;""="","Outro",INDEX(Avulsos!$D$6:$D$205,$C430))))</f>
        <v/>
      </c>
      <c r="J430" s="114" t="str">
        <f aca="false">IF($E430="","",IF($B430="Tema",INDEX(Temas!$C$6:$C$305,$C430)&amp;"",INDEX(Avulsos!$E$6:$E$205,$C430)&amp;""))</f>
        <v/>
      </c>
      <c r="K430" s="114" t="str">
        <f aca="false">IF($E430="","",IF(IF($B430="Tema",INDEX(Temas!$E$6:$P$305,$C430,2*$D430),INDEX(Avulsos!$F$6:$F$205,$C430))&amp;""="","","✓"))</f>
        <v/>
      </c>
      <c r="L430" s="114" t="str">
        <f aca="true">IF($E430="","",IF($K430="✓","Concluído",IF($E430&lt;TODAY(),"Atrasado",IF($E430=TODAY(),"Hoje","Pendente"))))</f>
        <v/>
      </c>
      <c r="M430" s="114" t="str">
        <f aca="false">IF($E430="","",IF($K430="✓","✓ ","")&amp;IF(Config!$E$22="Sim",$H430&amp;" · ","")&amp;$F430)</f>
        <v/>
      </c>
      <c r="N430" s="114" t="str">
        <f aca="false">IF($E430="","",IFERROR(INDEX(Config!$D$15:$D$19,MATCH($I430,Config!$C$15:$C$19,0)),"OUT")&amp;IF($K430="✓","x",""))</f>
        <v/>
      </c>
      <c r="O430" s="114" t="str">
        <f aca="false">IF($E430="","",COUNTIF($E$5:$E430,$E430))</f>
        <v/>
      </c>
      <c r="P430" s="114" t="str">
        <f aca="false">IF($E430="","",$E430*100+$O430)</f>
        <v/>
      </c>
      <c r="Q430" s="114" t="str">
        <f aca="false">IF($L430="Atrasado",$E430*10000+$A430,"")</f>
        <v/>
      </c>
    </row>
    <row r="431" customFormat="false" ht="15" hidden="false" customHeight="false" outlineLevel="0" collapsed="false">
      <c r="A431" s="114" t="n">
        <f aca="false">ROW()-4</f>
        <v>427</v>
      </c>
      <c r="B431" s="114" t="str">
        <f aca="false">IF(A431&lt;=Config!$E$27*Config!$E$28,"Tema","Avulso")</f>
        <v>Tema</v>
      </c>
      <c r="C431" s="114" t="n">
        <f aca="false">IF(B431="Tema",INT((A431-1)/Config!$E$28)+1,A431-Config!$E$27*Config!$E$28)</f>
        <v>72</v>
      </c>
      <c r="D431" s="114" t="n">
        <f aca="false">IF(B431="Tema",MOD(A431-1,Config!$E$28)+1,"")</f>
        <v>1</v>
      </c>
      <c r="E431" s="115" t="str">
        <f aca="false">IF($B431="Tema",IF(ISNUMBER(INDEX(Temas!$E$6:$P$305,$C431,2*$D431-1)),INDEX(Temas!$E$6:$P$305,$C431,2*$D431-1),""),IF(ISNUMBER(INDEX(Avulsos!$B$6:$B$205,$C431)),INDEX(Avulsos!$B$6:$B$205,$C431),""))</f>
        <v/>
      </c>
      <c r="F431" s="114" t="str">
        <f aca="false">IF($E431="","",IF($B431="Tema",INDEX(Temas!$B$6:$B$305,$C431)&amp;"",INDEX(Avulsos!$C$6:$C$205,$C431)&amp;""))</f>
        <v/>
      </c>
      <c r="G431" s="114" t="str">
        <f aca="false">IF($E431="","",IF($B431="Tema",INDEX(Config!$C$6:$C$11,$D431),"Evento avulso"))</f>
        <v/>
      </c>
      <c r="H431" s="114" t="str">
        <f aca="false">IF($E431="","",IF($B431="Tema",INDEX(Config!$D$6:$D$11,$D431),IFERROR(INDEX(Config!$E$15:$E$19,MATCH($I431,Config!$C$15:$C$19,0)),"•")))</f>
        <v/>
      </c>
      <c r="I431" s="114" t="str">
        <f aca="false">IF($E431="","",IF($B431="Tema",INDEX(Config!$E$6:$E$11,$D431),IF(INDEX(Avulsos!$D$6:$D$205,$C431)&amp;""="","Outro",INDEX(Avulsos!$D$6:$D$205,$C431))))</f>
        <v/>
      </c>
      <c r="J431" s="114" t="str">
        <f aca="false">IF($E431="","",IF($B431="Tema",INDEX(Temas!$C$6:$C$305,$C431)&amp;"",INDEX(Avulsos!$E$6:$E$205,$C431)&amp;""))</f>
        <v/>
      </c>
      <c r="K431" s="114" t="str">
        <f aca="false">IF($E431="","",IF(IF($B431="Tema",INDEX(Temas!$E$6:$P$305,$C431,2*$D431),INDEX(Avulsos!$F$6:$F$205,$C431))&amp;""="","","✓"))</f>
        <v/>
      </c>
      <c r="L431" s="114" t="str">
        <f aca="true">IF($E431="","",IF($K431="✓","Concluído",IF($E431&lt;TODAY(),"Atrasado",IF($E431=TODAY(),"Hoje","Pendente"))))</f>
        <v/>
      </c>
      <c r="M431" s="114" t="str">
        <f aca="false">IF($E431="","",IF($K431="✓","✓ ","")&amp;IF(Config!$E$22="Sim",$H431&amp;" · ","")&amp;$F431)</f>
        <v/>
      </c>
      <c r="N431" s="114" t="str">
        <f aca="false">IF($E431="","",IFERROR(INDEX(Config!$D$15:$D$19,MATCH($I431,Config!$C$15:$C$19,0)),"OUT")&amp;IF($K431="✓","x",""))</f>
        <v/>
      </c>
      <c r="O431" s="114" t="str">
        <f aca="false">IF($E431="","",COUNTIF($E$5:$E431,$E431))</f>
        <v/>
      </c>
      <c r="P431" s="114" t="str">
        <f aca="false">IF($E431="","",$E431*100+$O431)</f>
        <v/>
      </c>
      <c r="Q431" s="114" t="str">
        <f aca="false">IF($L431="Atrasado",$E431*10000+$A431,"")</f>
        <v/>
      </c>
    </row>
    <row r="432" customFormat="false" ht="15" hidden="false" customHeight="false" outlineLevel="0" collapsed="false">
      <c r="A432" s="114" t="n">
        <f aca="false">ROW()-4</f>
        <v>428</v>
      </c>
      <c r="B432" s="114" t="str">
        <f aca="false">IF(A432&lt;=Config!$E$27*Config!$E$28,"Tema","Avulso")</f>
        <v>Tema</v>
      </c>
      <c r="C432" s="114" t="n">
        <f aca="false">IF(B432="Tema",INT((A432-1)/Config!$E$28)+1,A432-Config!$E$27*Config!$E$28)</f>
        <v>72</v>
      </c>
      <c r="D432" s="114" t="n">
        <f aca="false">IF(B432="Tema",MOD(A432-1,Config!$E$28)+1,"")</f>
        <v>2</v>
      </c>
      <c r="E432" s="115" t="str">
        <f aca="false">IF($B432="Tema",IF(ISNUMBER(INDEX(Temas!$E$6:$P$305,$C432,2*$D432-1)),INDEX(Temas!$E$6:$P$305,$C432,2*$D432-1),""),IF(ISNUMBER(INDEX(Avulsos!$B$6:$B$205,$C432)),INDEX(Avulsos!$B$6:$B$205,$C432),""))</f>
        <v/>
      </c>
      <c r="F432" s="114" t="str">
        <f aca="false">IF($E432="","",IF($B432="Tema",INDEX(Temas!$B$6:$B$305,$C432)&amp;"",INDEX(Avulsos!$C$6:$C$205,$C432)&amp;""))</f>
        <v/>
      </c>
      <c r="G432" s="114" t="str">
        <f aca="false">IF($E432="","",IF($B432="Tema",INDEX(Config!$C$6:$C$11,$D432),"Evento avulso"))</f>
        <v/>
      </c>
      <c r="H432" s="114" t="str">
        <f aca="false">IF($E432="","",IF($B432="Tema",INDEX(Config!$D$6:$D$11,$D432),IFERROR(INDEX(Config!$E$15:$E$19,MATCH($I432,Config!$C$15:$C$19,0)),"•")))</f>
        <v/>
      </c>
      <c r="I432" s="114" t="str">
        <f aca="false">IF($E432="","",IF($B432="Tema",INDEX(Config!$E$6:$E$11,$D432),IF(INDEX(Avulsos!$D$6:$D$205,$C432)&amp;""="","Outro",INDEX(Avulsos!$D$6:$D$205,$C432))))</f>
        <v/>
      </c>
      <c r="J432" s="114" t="str">
        <f aca="false">IF($E432="","",IF($B432="Tema",INDEX(Temas!$C$6:$C$305,$C432)&amp;"",INDEX(Avulsos!$E$6:$E$205,$C432)&amp;""))</f>
        <v/>
      </c>
      <c r="K432" s="114" t="str">
        <f aca="false">IF($E432="","",IF(IF($B432="Tema",INDEX(Temas!$E$6:$P$305,$C432,2*$D432),INDEX(Avulsos!$F$6:$F$205,$C432))&amp;""="","","✓"))</f>
        <v/>
      </c>
      <c r="L432" s="114" t="str">
        <f aca="true">IF($E432="","",IF($K432="✓","Concluído",IF($E432&lt;TODAY(),"Atrasado",IF($E432=TODAY(),"Hoje","Pendente"))))</f>
        <v/>
      </c>
      <c r="M432" s="114" t="str">
        <f aca="false">IF($E432="","",IF($K432="✓","✓ ","")&amp;IF(Config!$E$22="Sim",$H432&amp;" · ","")&amp;$F432)</f>
        <v/>
      </c>
      <c r="N432" s="114" t="str">
        <f aca="false">IF($E432="","",IFERROR(INDEX(Config!$D$15:$D$19,MATCH($I432,Config!$C$15:$C$19,0)),"OUT")&amp;IF($K432="✓","x",""))</f>
        <v/>
      </c>
      <c r="O432" s="114" t="str">
        <f aca="false">IF($E432="","",COUNTIF($E$5:$E432,$E432))</f>
        <v/>
      </c>
      <c r="P432" s="114" t="str">
        <f aca="false">IF($E432="","",$E432*100+$O432)</f>
        <v/>
      </c>
      <c r="Q432" s="114" t="str">
        <f aca="false">IF($L432="Atrasado",$E432*10000+$A432,"")</f>
        <v/>
      </c>
    </row>
    <row r="433" customFormat="false" ht="15" hidden="false" customHeight="false" outlineLevel="0" collapsed="false">
      <c r="A433" s="114" t="n">
        <f aca="false">ROW()-4</f>
        <v>429</v>
      </c>
      <c r="B433" s="114" t="str">
        <f aca="false">IF(A433&lt;=Config!$E$27*Config!$E$28,"Tema","Avulso")</f>
        <v>Tema</v>
      </c>
      <c r="C433" s="114" t="n">
        <f aca="false">IF(B433="Tema",INT((A433-1)/Config!$E$28)+1,A433-Config!$E$27*Config!$E$28)</f>
        <v>72</v>
      </c>
      <c r="D433" s="114" t="n">
        <f aca="false">IF(B433="Tema",MOD(A433-1,Config!$E$28)+1,"")</f>
        <v>3</v>
      </c>
      <c r="E433" s="115" t="str">
        <f aca="false">IF($B433="Tema",IF(ISNUMBER(INDEX(Temas!$E$6:$P$305,$C433,2*$D433-1)),INDEX(Temas!$E$6:$P$305,$C433,2*$D433-1),""),IF(ISNUMBER(INDEX(Avulsos!$B$6:$B$205,$C433)),INDEX(Avulsos!$B$6:$B$205,$C433),""))</f>
        <v/>
      </c>
      <c r="F433" s="114" t="str">
        <f aca="false">IF($E433="","",IF($B433="Tema",INDEX(Temas!$B$6:$B$305,$C433)&amp;"",INDEX(Avulsos!$C$6:$C$205,$C433)&amp;""))</f>
        <v/>
      </c>
      <c r="G433" s="114" t="str">
        <f aca="false">IF($E433="","",IF($B433="Tema",INDEX(Config!$C$6:$C$11,$D433),"Evento avulso"))</f>
        <v/>
      </c>
      <c r="H433" s="114" t="str">
        <f aca="false">IF($E433="","",IF($B433="Tema",INDEX(Config!$D$6:$D$11,$D433),IFERROR(INDEX(Config!$E$15:$E$19,MATCH($I433,Config!$C$15:$C$19,0)),"•")))</f>
        <v/>
      </c>
      <c r="I433" s="114" t="str">
        <f aca="false">IF($E433="","",IF($B433="Tema",INDEX(Config!$E$6:$E$11,$D433),IF(INDEX(Avulsos!$D$6:$D$205,$C433)&amp;""="","Outro",INDEX(Avulsos!$D$6:$D$205,$C433))))</f>
        <v/>
      </c>
      <c r="J433" s="114" t="str">
        <f aca="false">IF($E433="","",IF($B433="Tema",INDEX(Temas!$C$6:$C$305,$C433)&amp;"",INDEX(Avulsos!$E$6:$E$205,$C433)&amp;""))</f>
        <v/>
      </c>
      <c r="K433" s="114" t="str">
        <f aca="false">IF($E433="","",IF(IF($B433="Tema",INDEX(Temas!$E$6:$P$305,$C433,2*$D433),INDEX(Avulsos!$F$6:$F$205,$C433))&amp;""="","","✓"))</f>
        <v/>
      </c>
      <c r="L433" s="114" t="str">
        <f aca="true">IF($E433="","",IF($K433="✓","Concluído",IF($E433&lt;TODAY(),"Atrasado",IF($E433=TODAY(),"Hoje","Pendente"))))</f>
        <v/>
      </c>
      <c r="M433" s="114" t="str">
        <f aca="false">IF($E433="","",IF($K433="✓","✓ ","")&amp;IF(Config!$E$22="Sim",$H433&amp;" · ","")&amp;$F433)</f>
        <v/>
      </c>
      <c r="N433" s="114" t="str">
        <f aca="false">IF($E433="","",IFERROR(INDEX(Config!$D$15:$D$19,MATCH($I433,Config!$C$15:$C$19,0)),"OUT")&amp;IF($K433="✓","x",""))</f>
        <v/>
      </c>
      <c r="O433" s="114" t="str">
        <f aca="false">IF($E433="","",COUNTIF($E$5:$E433,$E433))</f>
        <v/>
      </c>
      <c r="P433" s="114" t="str">
        <f aca="false">IF($E433="","",$E433*100+$O433)</f>
        <v/>
      </c>
      <c r="Q433" s="114" t="str">
        <f aca="false">IF($L433="Atrasado",$E433*10000+$A433,"")</f>
        <v/>
      </c>
    </row>
    <row r="434" customFormat="false" ht="15" hidden="false" customHeight="false" outlineLevel="0" collapsed="false">
      <c r="A434" s="114" t="n">
        <f aca="false">ROW()-4</f>
        <v>430</v>
      </c>
      <c r="B434" s="114" t="str">
        <f aca="false">IF(A434&lt;=Config!$E$27*Config!$E$28,"Tema","Avulso")</f>
        <v>Tema</v>
      </c>
      <c r="C434" s="114" t="n">
        <f aca="false">IF(B434="Tema",INT((A434-1)/Config!$E$28)+1,A434-Config!$E$27*Config!$E$28)</f>
        <v>72</v>
      </c>
      <c r="D434" s="114" t="n">
        <f aca="false">IF(B434="Tema",MOD(A434-1,Config!$E$28)+1,"")</f>
        <v>4</v>
      </c>
      <c r="E434" s="115" t="str">
        <f aca="false">IF($B434="Tema",IF(ISNUMBER(INDEX(Temas!$E$6:$P$305,$C434,2*$D434-1)),INDEX(Temas!$E$6:$P$305,$C434,2*$D434-1),""),IF(ISNUMBER(INDEX(Avulsos!$B$6:$B$205,$C434)),INDEX(Avulsos!$B$6:$B$205,$C434),""))</f>
        <v/>
      </c>
      <c r="F434" s="114" t="str">
        <f aca="false">IF($E434="","",IF($B434="Tema",INDEX(Temas!$B$6:$B$305,$C434)&amp;"",INDEX(Avulsos!$C$6:$C$205,$C434)&amp;""))</f>
        <v/>
      </c>
      <c r="G434" s="114" t="str">
        <f aca="false">IF($E434="","",IF($B434="Tema",INDEX(Config!$C$6:$C$11,$D434),"Evento avulso"))</f>
        <v/>
      </c>
      <c r="H434" s="114" t="str">
        <f aca="false">IF($E434="","",IF($B434="Tema",INDEX(Config!$D$6:$D$11,$D434),IFERROR(INDEX(Config!$E$15:$E$19,MATCH($I434,Config!$C$15:$C$19,0)),"•")))</f>
        <v/>
      </c>
      <c r="I434" s="114" t="str">
        <f aca="false">IF($E434="","",IF($B434="Tema",INDEX(Config!$E$6:$E$11,$D434),IF(INDEX(Avulsos!$D$6:$D$205,$C434)&amp;""="","Outro",INDEX(Avulsos!$D$6:$D$205,$C434))))</f>
        <v/>
      </c>
      <c r="J434" s="114" t="str">
        <f aca="false">IF($E434="","",IF($B434="Tema",INDEX(Temas!$C$6:$C$305,$C434)&amp;"",INDEX(Avulsos!$E$6:$E$205,$C434)&amp;""))</f>
        <v/>
      </c>
      <c r="K434" s="114" t="str">
        <f aca="false">IF($E434="","",IF(IF($B434="Tema",INDEX(Temas!$E$6:$P$305,$C434,2*$D434),INDEX(Avulsos!$F$6:$F$205,$C434))&amp;""="","","✓"))</f>
        <v/>
      </c>
      <c r="L434" s="114" t="str">
        <f aca="true">IF($E434="","",IF($K434="✓","Concluído",IF($E434&lt;TODAY(),"Atrasado",IF($E434=TODAY(),"Hoje","Pendente"))))</f>
        <v/>
      </c>
      <c r="M434" s="114" t="str">
        <f aca="false">IF($E434="","",IF($K434="✓","✓ ","")&amp;IF(Config!$E$22="Sim",$H434&amp;" · ","")&amp;$F434)</f>
        <v/>
      </c>
      <c r="N434" s="114" t="str">
        <f aca="false">IF($E434="","",IFERROR(INDEX(Config!$D$15:$D$19,MATCH($I434,Config!$C$15:$C$19,0)),"OUT")&amp;IF($K434="✓","x",""))</f>
        <v/>
      </c>
      <c r="O434" s="114" t="str">
        <f aca="false">IF($E434="","",COUNTIF($E$5:$E434,$E434))</f>
        <v/>
      </c>
      <c r="P434" s="114" t="str">
        <f aca="false">IF($E434="","",$E434*100+$O434)</f>
        <v/>
      </c>
      <c r="Q434" s="114" t="str">
        <f aca="false">IF($L434="Atrasado",$E434*10000+$A434,"")</f>
        <v/>
      </c>
    </row>
    <row r="435" customFormat="false" ht="15" hidden="false" customHeight="false" outlineLevel="0" collapsed="false">
      <c r="A435" s="114" t="n">
        <f aca="false">ROW()-4</f>
        <v>431</v>
      </c>
      <c r="B435" s="114" t="str">
        <f aca="false">IF(A435&lt;=Config!$E$27*Config!$E$28,"Tema","Avulso")</f>
        <v>Tema</v>
      </c>
      <c r="C435" s="114" t="n">
        <f aca="false">IF(B435="Tema",INT((A435-1)/Config!$E$28)+1,A435-Config!$E$27*Config!$E$28)</f>
        <v>72</v>
      </c>
      <c r="D435" s="114" t="n">
        <f aca="false">IF(B435="Tema",MOD(A435-1,Config!$E$28)+1,"")</f>
        <v>5</v>
      </c>
      <c r="E435" s="115" t="str">
        <f aca="false">IF($B435="Tema",IF(ISNUMBER(INDEX(Temas!$E$6:$P$305,$C435,2*$D435-1)),INDEX(Temas!$E$6:$P$305,$C435,2*$D435-1),""),IF(ISNUMBER(INDEX(Avulsos!$B$6:$B$205,$C435)),INDEX(Avulsos!$B$6:$B$205,$C435),""))</f>
        <v/>
      </c>
      <c r="F435" s="114" t="str">
        <f aca="false">IF($E435="","",IF($B435="Tema",INDEX(Temas!$B$6:$B$305,$C435)&amp;"",INDEX(Avulsos!$C$6:$C$205,$C435)&amp;""))</f>
        <v/>
      </c>
      <c r="G435" s="114" t="str">
        <f aca="false">IF($E435="","",IF($B435="Tema",INDEX(Config!$C$6:$C$11,$D435),"Evento avulso"))</f>
        <v/>
      </c>
      <c r="H435" s="114" t="str">
        <f aca="false">IF($E435="","",IF($B435="Tema",INDEX(Config!$D$6:$D$11,$D435),IFERROR(INDEX(Config!$E$15:$E$19,MATCH($I435,Config!$C$15:$C$19,0)),"•")))</f>
        <v/>
      </c>
      <c r="I435" s="114" t="str">
        <f aca="false">IF($E435="","",IF($B435="Tema",INDEX(Config!$E$6:$E$11,$D435),IF(INDEX(Avulsos!$D$6:$D$205,$C435)&amp;""="","Outro",INDEX(Avulsos!$D$6:$D$205,$C435))))</f>
        <v/>
      </c>
      <c r="J435" s="114" t="str">
        <f aca="false">IF($E435="","",IF($B435="Tema",INDEX(Temas!$C$6:$C$305,$C435)&amp;"",INDEX(Avulsos!$E$6:$E$205,$C435)&amp;""))</f>
        <v/>
      </c>
      <c r="K435" s="114" t="str">
        <f aca="false">IF($E435="","",IF(IF($B435="Tema",INDEX(Temas!$E$6:$P$305,$C435,2*$D435),INDEX(Avulsos!$F$6:$F$205,$C435))&amp;""="","","✓"))</f>
        <v/>
      </c>
      <c r="L435" s="114" t="str">
        <f aca="true">IF($E435="","",IF($K435="✓","Concluído",IF($E435&lt;TODAY(),"Atrasado",IF($E435=TODAY(),"Hoje","Pendente"))))</f>
        <v/>
      </c>
      <c r="M435" s="114" t="str">
        <f aca="false">IF($E435="","",IF($K435="✓","✓ ","")&amp;IF(Config!$E$22="Sim",$H435&amp;" · ","")&amp;$F435)</f>
        <v/>
      </c>
      <c r="N435" s="114" t="str">
        <f aca="false">IF($E435="","",IFERROR(INDEX(Config!$D$15:$D$19,MATCH($I435,Config!$C$15:$C$19,0)),"OUT")&amp;IF($K435="✓","x",""))</f>
        <v/>
      </c>
      <c r="O435" s="114" t="str">
        <f aca="false">IF($E435="","",COUNTIF($E$5:$E435,$E435))</f>
        <v/>
      </c>
      <c r="P435" s="114" t="str">
        <f aca="false">IF($E435="","",$E435*100+$O435)</f>
        <v/>
      </c>
      <c r="Q435" s="114" t="str">
        <f aca="false">IF($L435="Atrasado",$E435*10000+$A435,"")</f>
        <v/>
      </c>
    </row>
    <row r="436" customFormat="false" ht="15" hidden="false" customHeight="false" outlineLevel="0" collapsed="false">
      <c r="A436" s="114" t="n">
        <f aca="false">ROW()-4</f>
        <v>432</v>
      </c>
      <c r="B436" s="114" t="str">
        <f aca="false">IF(A436&lt;=Config!$E$27*Config!$E$28,"Tema","Avulso")</f>
        <v>Tema</v>
      </c>
      <c r="C436" s="114" t="n">
        <f aca="false">IF(B436="Tema",INT((A436-1)/Config!$E$28)+1,A436-Config!$E$27*Config!$E$28)</f>
        <v>72</v>
      </c>
      <c r="D436" s="114" t="n">
        <f aca="false">IF(B436="Tema",MOD(A436-1,Config!$E$28)+1,"")</f>
        <v>6</v>
      </c>
      <c r="E436" s="115" t="str">
        <f aca="false">IF($B436="Tema",IF(ISNUMBER(INDEX(Temas!$E$6:$P$305,$C436,2*$D436-1)),INDEX(Temas!$E$6:$P$305,$C436,2*$D436-1),""),IF(ISNUMBER(INDEX(Avulsos!$B$6:$B$205,$C436)),INDEX(Avulsos!$B$6:$B$205,$C436),""))</f>
        <v/>
      </c>
      <c r="F436" s="114" t="str">
        <f aca="false">IF($E436="","",IF($B436="Tema",INDEX(Temas!$B$6:$B$305,$C436)&amp;"",INDEX(Avulsos!$C$6:$C$205,$C436)&amp;""))</f>
        <v/>
      </c>
      <c r="G436" s="114" t="str">
        <f aca="false">IF($E436="","",IF($B436="Tema",INDEX(Config!$C$6:$C$11,$D436),"Evento avulso"))</f>
        <v/>
      </c>
      <c r="H436" s="114" t="str">
        <f aca="false">IF($E436="","",IF($B436="Tema",INDEX(Config!$D$6:$D$11,$D436),IFERROR(INDEX(Config!$E$15:$E$19,MATCH($I436,Config!$C$15:$C$19,0)),"•")))</f>
        <v/>
      </c>
      <c r="I436" s="114" t="str">
        <f aca="false">IF($E436="","",IF($B436="Tema",INDEX(Config!$E$6:$E$11,$D436),IF(INDEX(Avulsos!$D$6:$D$205,$C436)&amp;""="","Outro",INDEX(Avulsos!$D$6:$D$205,$C436))))</f>
        <v/>
      </c>
      <c r="J436" s="114" t="str">
        <f aca="false">IF($E436="","",IF($B436="Tema",INDEX(Temas!$C$6:$C$305,$C436)&amp;"",INDEX(Avulsos!$E$6:$E$205,$C436)&amp;""))</f>
        <v/>
      </c>
      <c r="K436" s="114" t="str">
        <f aca="false">IF($E436="","",IF(IF($B436="Tema",INDEX(Temas!$E$6:$P$305,$C436,2*$D436),INDEX(Avulsos!$F$6:$F$205,$C436))&amp;""="","","✓"))</f>
        <v/>
      </c>
      <c r="L436" s="114" t="str">
        <f aca="true">IF($E436="","",IF($K436="✓","Concluído",IF($E436&lt;TODAY(),"Atrasado",IF($E436=TODAY(),"Hoje","Pendente"))))</f>
        <v/>
      </c>
      <c r="M436" s="114" t="str">
        <f aca="false">IF($E436="","",IF($K436="✓","✓ ","")&amp;IF(Config!$E$22="Sim",$H436&amp;" · ","")&amp;$F436)</f>
        <v/>
      </c>
      <c r="N436" s="114" t="str">
        <f aca="false">IF($E436="","",IFERROR(INDEX(Config!$D$15:$D$19,MATCH($I436,Config!$C$15:$C$19,0)),"OUT")&amp;IF($K436="✓","x",""))</f>
        <v/>
      </c>
      <c r="O436" s="114" t="str">
        <f aca="false">IF($E436="","",COUNTIF($E$5:$E436,$E436))</f>
        <v/>
      </c>
      <c r="P436" s="114" t="str">
        <f aca="false">IF($E436="","",$E436*100+$O436)</f>
        <v/>
      </c>
      <c r="Q436" s="114" t="str">
        <f aca="false">IF($L436="Atrasado",$E436*10000+$A436,"")</f>
        <v/>
      </c>
    </row>
    <row r="437" customFormat="false" ht="15" hidden="false" customHeight="false" outlineLevel="0" collapsed="false">
      <c r="A437" s="114" t="n">
        <f aca="false">ROW()-4</f>
        <v>433</v>
      </c>
      <c r="B437" s="114" t="str">
        <f aca="false">IF(A437&lt;=Config!$E$27*Config!$E$28,"Tema","Avulso")</f>
        <v>Tema</v>
      </c>
      <c r="C437" s="114" t="n">
        <f aca="false">IF(B437="Tema",INT((A437-1)/Config!$E$28)+1,A437-Config!$E$27*Config!$E$28)</f>
        <v>73</v>
      </c>
      <c r="D437" s="114" t="n">
        <f aca="false">IF(B437="Tema",MOD(A437-1,Config!$E$28)+1,"")</f>
        <v>1</v>
      </c>
      <c r="E437" s="115" t="str">
        <f aca="false">IF($B437="Tema",IF(ISNUMBER(INDEX(Temas!$E$6:$P$305,$C437,2*$D437-1)),INDEX(Temas!$E$6:$P$305,$C437,2*$D437-1),""),IF(ISNUMBER(INDEX(Avulsos!$B$6:$B$205,$C437)),INDEX(Avulsos!$B$6:$B$205,$C437),""))</f>
        <v/>
      </c>
      <c r="F437" s="114" t="str">
        <f aca="false">IF($E437="","",IF($B437="Tema",INDEX(Temas!$B$6:$B$305,$C437)&amp;"",INDEX(Avulsos!$C$6:$C$205,$C437)&amp;""))</f>
        <v/>
      </c>
      <c r="G437" s="114" t="str">
        <f aca="false">IF($E437="","",IF($B437="Tema",INDEX(Config!$C$6:$C$11,$D437),"Evento avulso"))</f>
        <v/>
      </c>
      <c r="H437" s="114" t="str">
        <f aca="false">IF($E437="","",IF($B437="Tema",INDEX(Config!$D$6:$D$11,$D437),IFERROR(INDEX(Config!$E$15:$E$19,MATCH($I437,Config!$C$15:$C$19,0)),"•")))</f>
        <v/>
      </c>
      <c r="I437" s="114" t="str">
        <f aca="false">IF($E437="","",IF($B437="Tema",INDEX(Config!$E$6:$E$11,$D437),IF(INDEX(Avulsos!$D$6:$D$205,$C437)&amp;""="","Outro",INDEX(Avulsos!$D$6:$D$205,$C437))))</f>
        <v/>
      </c>
      <c r="J437" s="114" t="str">
        <f aca="false">IF($E437="","",IF($B437="Tema",INDEX(Temas!$C$6:$C$305,$C437)&amp;"",INDEX(Avulsos!$E$6:$E$205,$C437)&amp;""))</f>
        <v/>
      </c>
      <c r="K437" s="114" t="str">
        <f aca="false">IF($E437="","",IF(IF($B437="Tema",INDEX(Temas!$E$6:$P$305,$C437,2*$D437),INDEX(Avulsos!$F$6:$F$205,$C437))&amp;""="","","✓"))</f>
        <v/>
      </c>
      <c r="L437" s="114" t="str">
        <f aca="true">IF($E437="","",IF($K437="✓","Concluído",IF($E437&lt;TODAY(),"Atrasado",IF($E437=TODAY(),"Hoje","Pendente"))))</f>
        <v/>
      </c>
      <c r="M437" s="114" t="str">
        <f aca="false">IF($E437="","",IF($K437="✓","✓ ","")&amp;IF(Config!$E$22="Sim",$H437&amp;" · ","")&amp;$F437)</f>
        <v/>
      </c>
      <c r="N437" s="114" t="str">
        <f aca="false">IF($E437="","",IFERROR(INDEX(Config!$D$15:$D$19,MATCH($I437,Config!$C$15:$C$19,0)),"OUT")&amp;IF($K437="✓","x",""))</f>
        <v/>
      </c>
      <c r="O437" s="114" t="str">
        <f aca="false">IF($E437="","",COUNTIF($E$5:$E437,$E437))</f>
        <v/>
      </c>
      <c r="P437" s="114" t="str">
        <f aca="false">IF($E437="","",$E437*100+$O437)</f>
        <v/>
      </c>
      <c r="Q437" s="114" t="str">
        <f aca="false">IF($L437="Atrasado",$E437*10000+$A437,"")</f>
        <v/>
      </c>
    </row>
    <row r="438" customFormat="false" ht="15" hidden="false" customHeight="false" outlineLevel="0" collapsed="false">
      <c r="A438" s="114" t="n">
        <f aca="false">ROW()-4</f>
        <v>434</v>
      </c>
      <c r="B438" s="114" t="str">
        <f aca="false">IF(A438&lt;=Config!$E$27*Config!$E$28,"Tema","Avulso")</f>
        <v>Tema</v>
      </c>
      <c r="C438" s="114" t="n">
        <f aca="false">IF(B438="Tema",INT((A438-1)/Config!$E$28)+1,A438-Config!$E$27*Config!$E$28)</f>
        <v>73</v>
      </c>
      <c r="D438" s="114" t="n">
        <f aca="false">IF(B438="Tema",MOD(A438-1,Config!$E$28)+1,"")</f>
        <v>2</v>
      </c>
      <c r="E438" s="115" t="str">
        <f aca="false">IF($B438="Tema",IF(ISNUMBER(INDEX(Temas!$E$6:$P$305,$C438,2*$D438-1)),INDEX(Temas!$E$6:$P$305,$C438,2*$D438-1),""),IF(ISNUMBER(INDEX(Avulsos!$B$6:$B$205,$C438)),INDEX(Avulsos!$B$6:$B$205,$C438),""))</f>
        <v/>
      </c>
      <c r="F438" s="114" t="str">
        <f aca="false">IF($E438="","",IF($B438="Tema",INDEX(Temas!$B$6:$B$305,$C438)&amp;"",INDEX(Avulsos!$C$6:$C$205,$C438)&amp;""))</f>
        <v/>
      </c>
      <c r="G438" s="114" t="str">
        <f aca="false">IF($E438="","",IF($B438="Tema",INDEX(Config!$C$6:$C$11,$D438),"Evento avulso"))</f>
        <v/>
      </c>
      <c r="H438" s="114" t="str">
        <f aca="false">IF($E438="","",IF($B438="Tema",INDEX(Config!$D$6:$D$11,$D438),IFERROR(INDEX(Config!$E$15:$E$19,MATCH($I438,Config!$C$15:$C$19,0)),"•")))</f>
        <v/>
      </c>
      <c r="I438" s="114" t="str">
        <f aca="false">IF($E438="","",IF($B438="Tema",INDEX(Config!$E$6:$E$11,$D438),IF(INDEX(Avulsos!$D$6:$D$205,$C438)&amp;""="","Outro",INDEX(Avulsos!$D$6:$D$205,$C438))))</f>
        <v/>
      </c>
      <c r="J438" s="114" t="str">
        <f aca="false">IF($E438="","",IF($B438="Tema",INDEX(Temas!$C$6:$C$305,$C438)&amp;"",INDEX(Avulsos!$E$6:$E$205,$C438)&amp;""))</f>
        <v/>
      </c>
      <c r="K438" s="114" t="str">
        <f aca="false">IF($E438="","",IF(IF($B438="Tema",INDEX(Temas!$E$6:$P$305,$C438,2*$D438),INDEX(Avulsos!$F$6:$F$205,$C438))&amp;""="","","✓"))</f>
        <v/>
      </c>
      <c r="L438" s="114" t="str">
        <f aca="true">IF($E438="","",IF($K438="✓","Concluído",IF($E438&lt;TODAY(),"Atrasado",IF($E438=TODAY(),"Hoje","Pendente"))))</f>
        <v/>
      </c>
      <c r="M438" s="114" t="str">
        <f aca="false">IF($E438="","",IF($K438="✓","✓ ","")&amp;IF(Config!$E$22="Sim",$H438&amp;" · ","")&amp;$F438)</f>
        <v/>
      </c>
      <c r="N438" s="114" t="str">
        <f aca="false">IF($E438="","",IFERROR(INDEX(Config!$D$15:$D$19,MATCH($I438,Config!$C$15:$C$19,0)),"OUT")&amp;IF($K438="✓","x",""))</f>
        <v/>
      </c>
      <c r="O438" s="114" t="str">
        <f aca="false">IF($E438="","",COUNTIF($E$5:$E438,$E438))</f>
        <v/>
      </c>
      <c r="P438" s="114" t="str">
        <f aca="false">IF($E438="","",$E438*100+$O438)</f>
        <v/>
      </c>
      <c r="Q438" s="114" t="str">
        <f aca="false">IF($L438="Atrasado",$E438*10000+$A438,"")</f>
        <v/>
      </c>
    </row>
    <row r="439" customFormat="false" ht="15" hidden="false" customHeight="false" outlineLevel="0" collapsed="false">
      <c r="A439" s="114" t="n">
        <f aca="false">ROW()-4</f>
        <v>435</v>
      </c>
      <c r="B439" s="114" t="str">
        <f aca="false">IF(A439&lt;=Config!$E$27*Config!$E$28,"Tema","Avulso")</f>
        <v>Tema</v>
      </c>
      <c r="C439" s="114" t="n">
        <f aca="false">IF(B439="Tema",INT((A439-1)/Config!$E$28)+1,A439-Config!$E$27*Config!$E$28)</f>
        <v>73</v>
      </c>
      <c r="D439" s="114" t="n">
        <f aca="false">IF(B439="Tema",MOD(A439-1,Config!$E$28)+1,"")</f>
        <v>3</v>
      </c>
      <c r="E439" s="115" t="str">
        <f aca="false">IF($B439="Tema",IF(ISNUMBER(INDEX(Temas!$E$6:$P$305,$C439,2*$D439-1)),INDEX(Temas!$E$6:$P$305,$C439,2*$D439-1),""),IF(ISNUMBER(INDEX(Avulsos!$B$6:$B$205,$C439)),INDEX(Avulsos!$B$6:$B$205,$C439),""))</f>
        <v/>
      </c>
      <c r="F439" s="114" t="str">
        <f aca="false">IF($E439="","",IF($B439="Tema",INDEX(Temas!$B$6:$B$305,$C439)&amp;"",INDEX(Avulsos!$C$6:$C$205,$C439)&amp;""))</f>
        <v/>
      </c>
      <c r="G439" s="114" t="str">
        <f aca="false">IF($E439="","",IF($B439="Tema",INDEX(Config!$C$6:$C$11,$D439),"Evento avulso"))</f>
        <v/>
      </c>
      <c r="H439" s="114" t="str">
        <f aca="false">IF($E439="","",IF($B439="Tema",INDEX(Config!$D$6:$D$11,$D439),IFERROR(INDEX(Config!$E$15:$E$19,MATCH($I439,Config!$C$15:$C$19,0)),"•")))</f>
        <v/>
      </c>
      <c r="I439" s="114" t="str">
        <f aca="false">IF($E439="","",IF($B439="Tema",INDEX(Config!$E$6:$E$11,$D439),IF(INDEX(Avulsos!$D$6:$D$205,$C439)&amp;""="","Outro",INDEX(Avulsos!$D$6:$D$205,$C439))))</f>
        <v/>
      </c>
      <c r="J439" s="114" t="str">
        <f aca="false">IF($E439="","",IF($B439="Tema",INDEX(Temas!$C$6:$C$305,$C439)&amp;"",INDEX(Avulsos!$E$6:$E$205,$C439)&amp;""))</f>
        <v/>
      </c>
      <c r="K439" s="114" t="str">
        <f aca="false">IF($E439="","",IF(IF($B439="Tema",INDEX(Temas!$E$6:$P$305,$C439,2*$D439),INDEX(Avulsos!$F$6:$F$205,$C439))&amp;""="","","✓"))</f>
        <v/>
      </c>
      <c r="L439" s="114" t="str">
        <f aca="true">IF($E439="","",IF($K439="✓","Concluído",IF($E439&lt;TODAY(),"Atrasado",IF($E439=TODAY(),"Hoje","Pendente"))))</f>
        <v/>
      </c>
      <c r="M439" s="114" t="str">
        <f aca="false">IF($E439="","",IF($K439="✓","✓ ","")&amp;IF(Config!$E$22="Sim",$H439&amp;" · ","")&amp;$F439)</f>
        <v/>
      </c>
      <c r="N439" s="114" t="str">
        <f aca="false">IF($E439="","",IFERROR(INDEX(Config!$D$15:$D$19,MATCH($I439,Config!$C$15:$C$19,0)),"OUT")&amp;IF($K439="✓","x",""))</f>
        <v/>
      </c>
      <c r="O439" s="114" t="str">
        <f aca="false">IF($E439="","",COUNTIF($E$5:$E439,$E439))</f>
        <v/>
      </c>
      <c r="P439" s="114" t="str">
        <f aca="false">IF($E439="","",$E439*100+$O439)</f>
        <v/>
      </c>
      <c r="Q439" s="114" t="str">
        <f aca="false">IF($L439="Atrasado",$E439*10000+$A439,"")</f>
        <v/>
      </c>
    </row>
    <row r="440" customFormat="false" ht="15" hidden="false" customHeight="false" outlineLevel="0" collapsed="false">
      <c r="A440" s="114" t="n">
        <f aca="false">ROW()-4</f>
        <v>436</v>
      </c>
      <c r="B440" s="114" t="str">
        <f aca="false">IF(A440&lt;=Config!$E$27*Config!$E$28,"Tema","Avulso")</f>
        <v>Tema</v>
      </c>
      <c r="C440" s="114" t="n">
        <f aca="false">IF(B440="Tema",INT((A440-1)/Config!$E$28)+1,A440-Config!$E$27*Config!$E$28)</f>
        <v>73</v>
      </c>
      <c r="D440" s="114" t="n">
        <f aca="false">IF(B440="Tema",MOD(A440-1,Config!$E$28)+1,"")</f>
        <v>4</v>
      </c>
      <c r="E440" s="115" t="str">
        <f aca="false">IF($B440="Tema",IF(ISNUMBER(INDEX(Temas!$E$6:$P$305,$C440,2*$D440-1)),INDEX(Temas!$E$6:$P$305,$C440,2*$D440-1),""),IF(ISNUMBER(INDEX(Avulsos!$B$6:$B$205,$C440)),INDEX(Avulsos!$B$6:$B$205,$C440),""))</f>
        <v/>
      </c>
      <c r="F440" s="114" t="str">
        <f aca="false">IF($E440="","",IF($B440="Tema",INDEX(Temas!$B$6:$B$305,$C440)&amp;"",INDEX(Avulsos!$C$6:$C$205,$C440)&amp;""))</f>
        <v/>
      </c>
      <c r="G440" s="114" t="str">
        <f aca="false">IF($E440="","",IF($B440="Tema",INDEX(Config!$C$6:$C$11,$D440),"Evento avulso"))</f>
        <v/>
      </c>
      <c r="H440" s="114" t="str">
        <f aca="false">IF($E440="","",IF($B440="Tema",INDEX(Config!$D$6:$D$11,$D440),IFERROR(INDEX(Config!$E$15:$E$19,MATCH($I440,Config!$C$15:$C$19,0)),"•")))</f>
        <v/>
      </c>
      <c r="I440" s="114" t="str">
        <f aca="false">IF($E440="","",IF($B440="Tema",INDEX(Config!$E$6:$E$11,$D440),IF(INDEX(Avulsos!$D$6:$D$205,$C440)&amp;""="","Outro",INDEX(Avulsos!$D$6:$D$205,$C440))))</f>
        <v/>
      </c>
      <c r="J440" s="114" t="str">
        <f aca="false">IF($E440="","",IF($B440="Tema",INDEX(Temas!$C$6:$C$305,$C440)&amp;"",INDEX(Avulsos!$E$6:$E$205,$C440)&amp;""))</f>
        <v/>
      </c>
      <c r="K440" s="114" t="str">
        <f aca="false">IF($E440="","",IF(IF($B440="Tema",INDEX(Temas!$E$6:$P$305,$C440,2*$D440),INDEX(Avulsos!$F$6:$F$205,$C440))&amp;""="","","✓"))</f>
        <v/>
      </c>
      <c r="L440" s="114" t="str">
        <f aca="true">IF($E440="","",IF($K440="✓","Concluído",IF($E440&lt;TODAY(),"Atrasado",IF($E440=TODAY(),"Hoje","Pendente"))))</f>
        <v/>
      </c>
      <c r="M440" s="114" t="str">
        <f aca="false">IF($E440="","",IF($K440="✓","✓ ","")&amp;IF(Config!$E$22="Sim",$H440&amp;" · ","")&amp;$F440)</f>
        <v/>
      </c>
      <c r="N440" s="114" t="str">
        <f aca="false">IF($E440="","",IFERROR(INDEX(Config!$D$15:$D$19,MATCH($I440,Config!$C$15:$C$19,0)),"OUT")&amp;IF($K440="✓","x",""))</f>
        <v/>
      </c>
      <c r="O440" s="114" t="str">
        <f aca="false">IF($E440="","",COUNTIF($E$5:$E440,$E440))</f>
        <v/>
      </c>
      <c r="P440" s="114" t="str">
        <f aca="false">IF($E440="","",$E440*100+$O440)</f>
        <v/>
      </c>
      <c r="Q440" s="114" t="str">
        <f aca="false">IF($L440="Atrasado",$E440*10000+$A440,"")</f>
        <v/>
      </c>
    </row>
    <row r="441" customFormat="false" ht="15" hidden="false" customHeight="false" outlineLevel="0" collapsed="false">
      <c r="A441" s="114" t="n">
        <f aca="false">ROW()-4</f>
        <v>437</v>
      </c>
      <c r="B441" s="114" t="str">
        <f aca="false">IF(A441&lt;=Config!$E$27*Config!$E$28,"Tema","Avulso")</f>
        <v>Tema</v>
      </c>
      <c r="C441" s="114" t="n">
        <f aca="false">IF(B441="Tema",INT((A441-1)/Config!$E$28)+1,A441-Config!$E$27*Config!$E$28)</f>
        <v>73</v>
      </c>
      <c r="D441" s="114" t="n">
        <f aca="false">IF(B441="Tema",MOD(A441-1,Config!$E$28)+1,"")</f>
        <v>5</v>
      </c>
      <c r="E441" s="115" t="str">
        <f aca="false">IF($B441="Tema",IF(ISNUMBER(INDEX(Temas!$E$6:$P$305,$C441,2*$D441-1)),INDEX(Temas!$E$6:$P$305,$C441,2*$D441-1),""),IF(ISNUMBER(INDEX(Avulsos!$B$6:$B$205,$C441)),INDEX(Avulsos!$B$6:$B$205,$C441),""))</f>
        <v/>
      </c>
      <c r="F441" s="114" t="str">
        <f aca="false">IF($E441="","",IF($B441="Tema",INDEX(Temas!$B$6:$B$305,$C441)&amp;"",INDEX(Avulsos!$C$6:$C$205,$C441)&amp;""))</f>
        <v/>
      </c>
      <c r="G441" s="114" t="str">
        <f aca="false">IF($E441="","",IF($B441="Tema",INDEX(Config!$C$6:$C$11,$D441),"Evento avulso"))</f>
        <v/>
      </c>
      <c r="H441" s="114" t="str">
        <f aca="false">IF($E441="","",IF($B441="Tema",INDEX(Config!$D$6:$D$11,$D441),IFERROR(INDEX(Config!$E$15:$E$19,MATCH($I441,Config!$C$15:$C$19,0)),"•")))</f>
        <v/>
      </c>
      <c r="I441" s="114" t="str">
        <f aca="false">IF($E441="","",IF($B441="Tema",INDEX(Config!$E$6:$E$11,$D441),IF(INDEX(Avulsos!$D$6:$D$205,$C441)&amp;""="","Outro",INDEX(Avulsos!$D$6:$D$205,$C441))))</f>
        <v/>
      </c>
      <c r="J441" s="114" t="str">
        <f aca="false">IF($E441="","",IF($B441="Tema",INDEX(Temas!$C$6:$C$305,$C441)&amp;"",INDEX(Avulsos!$E$6:$E$205,$C441)&amp;""))</f>
        <v/>
      </c>
      <c r="K441" s="114" t="str">
        <f aca="false">IF($E441="","",IF(IF($B441="Tema",INDEX(Temas!$E$6:$P$305,$C441,2*$D441),INDEX(Avulsos!$F$6:$F$205,$C441))&amp;""="","","✓"))</f>
        <v/>
      </c>
      <c r="L441" s="114" t="str">
        <f aca="true">IF($E441="","",IF($K441="✓","Concluído",IF($E441&lt;TODAY(),"Atrasado",IF($E441=TODAY(),"Hoje","Pendente"))))</f>
        <v/>
      </c>
      <c r="M441" s="114" t="str">
        <f aca="false">IF($E441="","",IF($K441="✓","✓ ","")&amp;IF(Config!$E$22="Sim",$H441&amp;" · ","")&amp;$F441)</f>
        <v/>
      </c>
      <c r="N441" s="114" t="str">
        <f aca="false">IF($E441="","",IFERROR(INDEX(Config!$D$15:$D$19,MATCH($I441,Config!$C$15:$C$19,0)),"OUT")&amp;IF($K441="✓","x",""))</f>
        <v/>
      </c>
      <c r="O441" s="114" t="str">
        <f aca="false">IF($E441="","",COUNTIF($E$5:$E441,$E441))</f>
        <v/>
      </c>
      <c r="P441" s="114" t="str">
        <f aca="false">IF($E441="","",$E441*100+$O441)</f>
        <v/>
      </c>
      <c r="Q441" s="114" t="str">
        <f aca="false">IF($L441="Atrasado",$E441*10000+$A441,"")</f>
        <v/>
      </c>
    </row>
    <row r="442" customFormat="false" ht="15" hidden="false" customHeight="false" outlineLevel="0" collapsed="false">
      <c r="A442" s="114" t="n">
        <f aca="false">ROW()-4</f>
        <v>438</v>
      </c>
      <c r="B442" s="114" t="str">
        <f aca="false">IF(A442&lt;=Config!$E$27*Config!$E$28,"Tema","Avulso")</f>
        <v>Tema</v>
      </c>
      <c r="C442" s="114" t="n">
        <f aca="false">IF(B442="Tema",INT((A442-1)/Config!$E$28)+1,A442-Config!$E$27*Config!$E$28)</f>
        <v>73</v>
      </c>
      <c r="D442" s="114" t="n">
        <f aca="false">IF(B442="Tema",MOD(A442-1,Config!$E$28)+1,"")</f>
        <v>6</v>
      </c>
      <c r="E442" s="115" t="str">
        <f aca="false">IF($B442="Tema",IF(ISNUMBER(INDEX(Temas!$E$6:$P$305,$C442,2*$D442-1)),INDEX(Temas!$E$6:$P$305,$C442,2*$D442-1),""),IF(ISNUMBER(INDEX(Avulsos!$B$6:$B$205,$C442)),INDEX(Avulsos!$B$6:$B$205,$C442),""))</f>
        <v/>
      </c>
      <c r="F442" s="114" t="str">
        <f aca="false">IF($E442="","",IF($B442="Tema",INDEX(Temas!$B$6:$B$305,$C442)&amp;"",INDEX(Avulsos!$C$6:$C$205,$C442)&amp;""))</f>
        <v/>
      </c>
      <c r="G442" s="114" t="str">
        <f aca="false">IF($E442="","",IF($B442="Tema",INDEX(Config!$C$6:$C$11,$D442),"Evento avulso"))</f>
        <v/>
      </c>
      <c r="H442" s="114" t="str">
        <f aca="false">IF($E442="","",IF($B442="Tema",INDEX(Config!$D$6:$D$11,$D442),IFERROR(INDEX(Config!$E$15:$E$19,MATCH($I442,Config!$C$15:$C$19,0)),"•")))</f>
        <v/>
      </c>
      <c r="I442" s="114" t="str">
        <f aca="false">IF($E442="","",IF($B442="Tema",INDEX(Config!$E$6:$E$11,$D442),IF(INDEX(Avulsos!$D$6:$D$205,$C442)&amp;""="","Outro",INDEX(Avulsos!$D$6:$D$205,$C442))))</f>
        <v/>
      </c>
      <c r="J442" s="114" t="str">
        <f aca="false">IF($E442="","",IF($B442="Tema",INDEX(Temas!$C$6:$C$305,$C442)&amp;"",INDEX(Avulsos!$E$6:$E$205,$C442)&amp;""))</f>
        <v/>
      </c>
      <c r="K442" s="114" t="str">
        <f aca="false">IF($E442="","",IF(IF($B442="Tema",INDEX(Temas!$E$6:$P$305,$C442,2*$D442),INDEX(Avulsos!$F$6:$F$205,$C442))&amp;""="","","✓"))</f>
        <v/>
      </c>
      <c r="L442" s="114" t="str">
        <f aca="true">IF($E442="","",IF($K442="✓","Concluído",IF($E442&lt;TODAY(),"Atrasado",IF($E442=TODAY(),"Hoje","Pendente"))))</f>
        <v/>
      </c>
      <c r="M442" s="114" t="str">
        <f aca="false">IF($E442="","",IF($K442="✓","✓ ","")&amp;IF(Config!$E$22="Sim",$H442&amp;" · ","")&amp;$F442)</f>
        <v/>
      </c>
      <c r="N442" s="114" t="str">
        <f aca="false">IF($E442="","",IFERROR(INDEX(Config!$D$15:$D$19,MATCH($I442,Config!$C$15:$C$19,0)),"OUT")&amp;IF($K442="✓","x",""))</f>
        <v/>
      </c>
      <c r="O442" s="114" t="str">
        <f aca="false">IF($E442="","",COUNTIF($E$5:$E442,$E442))</f>
        <v/>
      </c>
      <c r="P442" s="114" t="str">
        <f aca="false">IF($E442="","",$E442*100+$O442)</f>
        <v/>
      </c>
      <c r="Q442" s="114" t="str">
        <f aca="false">IF($L442="Atrasado",$E442*10000+$A442,"")</f>
        <v/>
      </c>
    </row>
    <row r="443" customFormat="false" ht="15" hidden="false" customHeight="false" outlineLevel="0" collapsed="false">
      <c r="A443" s="114" t="n">
        <f aca="false">ROW()-4</f>
        <v>439</v>
      </c>
      <c r="B443" s="114" t="str">
        <f aca="false">IF(A443&lt;=Config!$E$27*Config!$E$28,"Tema","Avulso")</f>
        <v>Tema</v>
      </c>
      <c r="C443" s="114" t="n">
        <f aca="false">IF(B443="Tema",INT((A443-1)/Config!$E$28)+1,A443-Config!$E$27*Config!$E$28)</f>
        <v>74</v>
      </c>
      <c r="D443" s="114" t="n">
        <f aca="false">IF(B443="Tema",MOD(A443-1,Config!$E$28)+1,"")</f>
        <v>1</v>
      </c>
      <c r="E443" s="115" t="str">
        <f aca="false">IF($B443="Tema",IF(ISNUMBER(INDEX(Temas!$E$6:$P$305,$C443,2*$D443-1)),INDEX(Temas!$E$6:$P$305,$C443,2*$D443-1),""),IF(ISNUMBER(INDEX(Avulsos!$B$6:$B$205,$C443)),INDEX(Avulsos!$B$6:$B$205,$C443),""))</f>
        <v/>
      </c>
      <c r="F443" s="114" t="str">
        <f aca="false">IF($E443="","",IF($B443="Tema",INDEX(Temas!$B$6:$B$305,$C443)&amp;"",INDEX(Avulsos!$C$6:$C$205,$C443)&amp;""))</f>
        <v/>
      </c>
      <c r="G443" s="114" t="str">
        <f aca="false">IF($E443="","",IF($B443="Tema",INDEX(Config!$C$6:$C$11,$D443),"Evento avulso"))</f>
        <v/>
      </c>
      <c r="H443" s="114" t="str">
        <f aca="false">IF($E443="","",IF($B443="Tema",INDEX(Config!$D$6:$D$11,$D443),IFERROR(INDEX(Config!$E$15:$E$19,MATCH($I443,Config!$C$15:$C$19,0)),"•")))</f>
        <v/>
      </c>
      <c r="I443" s="114" t="str">
        <f aca="false">IF($E443="","",IF($B443="Tema",INDEX(Config!$E$6:$E$11,$D443),IF(INDEX(Avulsos!$D$6:$D$205,$C443)&amp;""="","Outro",INDEX(Avulsos!$D$6:$D$205,$C443))))</f>
        <v/>
      </c>
      <c r="J443" s="114" t="str">
        <f aca="false">IF($E443="","",IF($B443="Tema",INDEX(Temas!$C$6:$C$305,$C443)&amp;"",INDEX(Avulsos!$E$6:$E$205,$C443)&amp;""))</f>
        <v/>
      </c>
      <c r="K443" s="114" t="str">
        <f aca="false">IF($E443="","",IF(IF($B443="Tema",INDEX(Temas!$E$6:$P$305,$C443,2*$D443),INDEX(Avulsos!$F$6:$F$205,$C443))&amp;""="","","✓"))</f>
        <v/>
      </c>
      <c r="L443" s="114" t="str">
        <f aca="true">IF($E443="","",IF($K443="✓","Concluído",IF($E443&lt;TODAY(),"Atrasado",IF($E443=TODAY(),"Hoje","Pendente"))))</f>
        <v/>
      </c>
      <c r="M443" s="114" t="str">
        <f aca="false">IF($E443="","",IF($K443="✓","✓ ","")&amp;IF(Config!$E$22="Sim",$H443&amp;" · ","")&amp;$F443)</f>
        <v/>
      </c>
      <c r="N443" s="114" t="str">
        <f aca="false">IF($E443="","",IFERROR(INDEX(Config!$D$15:$D$19,MATCH($I443,Config!$C$15:$C$19,0)),"OUT")&amp;IF($K443="✓","x",""))</f>
        <v/>
      </c>
      <c r="O443" s="114" t="str">
        <f aca="false">IF($E443="","",COUNTIF($E$5:$E443,$E443))</f>
        <v/>
      </c>
      <c r="P443" s="114" t="str">
        <f aca="false">IF($E443="","",$E443*100+$O443)</f>
        <v/>
      </c>
      <c r="Q443" s="114" t="str">
        <f aca="false">IF($L443="Atrasado",$E443*10000+$A443,"")</f>
        <v/>
      </c>
    </row>
    <row r="444" customFormat="false" ht="15" hidden="false" customHeight="false" outlineLevel="0" collapsed="false">
      <c r="A444" s="114" t="n">
        <f aca="false">ROW()-4</f>
        <v>440</v>
      </c>
      <c r="B444" s="114" t="str">
        <f aca="false">IF(A444&lt;=Config!$E$27*Config!$E$28,"Tema","Avulso")</f>
        <v>Tema</v>
      </c>
      <c r="C444" s="114" t="n">
        <f aca="false">IF(B444="Tema",INT((A444-1)/Config!$E$28)+1,A444-Config!$E$27*Config!$E$28)</f>
        <v>74</v>
      </c>
      <c r="D444" s="114" t="n">
        <f aca="false">IF(B444="Tema",MOD(A444-1,Config!$E$28)+1,"")</f>
        <v>2</v>
      </c>
      <c r="E444" s="115" t="str">
        <f aca="false">IF($B444="Tema",IF(ISNUMBER(INDEX(Temas!$E$6:$P$305,$C444,2*$D444-1)),INDEX(Temas!$E$6:$P$305,$C444,2*$D444-1),""),IF(ISNUMBER(INDEX(Avulsos!$B$6:$B$205,$C444)),INDEX(Avulsos!$B$6:$B$205,$C444),""))</f>
        <v/>
      </c>
      <c r="F444" s="114" t="str">
        <f aca="false">IF($E444="","",IF($B444="Tema",INDEX(Temas!$B$6:$B$305,$C444)&amp;"",INDEX(Avulsos!$C$6:$C$205,$C444)&amp;""))</f>
        <v/>
      </c>
      <c r="G444" s="114" t="str">
        <f aca="false">IF($E444="","",IF($B444="Tema",INDEX(Config!$C$6:$C$11,$D444),"Evento avulso"))</f>
        <v/>
      </c>
      <c r="H444" s="114" t="str">
        <f aca="false">IF($E444="","",IF($B444="Tema",INDEX(Config!$D$6:$D$11,$D444),IFERROR(INDEX(Config!$E$15:$E$19,MATCH($I444,Config!$C$15:$C$19,0)),"•")))</f>
        <v/>
      </c>
      <c r="I444" s="114" t="str">
        <f aca="false">IF($E444="","",IF($B444="Tema",INDEX(Config!$E$6:$E$11,$D444),IF(INDEX(Avulsos!$D$6:$D$205,$C444)&amp;""="","Outro",INDEX(Avulsos!$D$6:$D$205,$C444))))</f>
        <v/>
      </c>
      <c r="J444" s="114" t="str">
        <f aca="false">IF($E444="","",IF($B444="Tema",INDEX(Temas!$C$6:$C$305,$C444)&amp;"",INDEX(Avulsos!$E$6:$E$205,$C444)&amp;""))</f>
        <v/>
      </c>
      <c r="K444" s="114" t="str">
        <f aca="false">IF($E444="","",IF(IF($B444="Tema",INDEX(Temas!$E$6:$P$305,$C444,2*$D444),INDEX(Avulsos!$F$6:$F$205,$C444))&amp;""="","","✓"))</f>
        <v/>
      </c>
      <c r="L444" s="114" t="str">
        <f aca="true">IF($E444="","",IF($K444="✓","Concluído",IF($E444&lt;TODAY(),"Atrasado",IF($E444=TODAY(),"Hoje","Pendente"))))</f>
        <v/>
      </c>
      <c r="M444" s="114" t="str">
        <f aca="false">IF($E444="","",IF($K444="✓","✓ ","")&amp;IF(Config!$E$22="Sim",$H444&amp;" · ","")&amp;$F444)</f>
        <v/>
      </c>
      <c r="N444" s="114" t="str">
        <f aca="false">IF($E444="","",IFERROR(INDEX(Config!$D$15:$D$19,MATCH($I444,Config!$C$15:$C$19,0)),"OUT")&amp;IF($K444="✓","x",""))</f>
        <v/>
      </c>
      <c r="O444" s="114" t="str">
        <f aca="false">IF($E444="","",COUNTIF($E$5:$E444,$E444))</f>
        <v/>
      </c>
      <c r="P444" s="114" t="str">
        <f aca="false">IF($E444="","",$E444*100+$O444)</f>
        <v/>
      </c>
      <c r="Q444" s="114" t="str">
        <f aca="false">IF($L444="Atrasado",$E444*10000+$A444,"")</f>
        <v/>
      </c>
    </row>
    <row r="445" customFormat="false" ht="15" hidden="false" customHeight="false" outlineLevel="0" collapsed="false">
      <c r="A445" s="114" t="n">
        <f aca="false">ROW()-4</f>
        <v>441</v>
      </c>
      <c r="B445" s="114" t="str">
        <f aca="false">IF(A445&lt;=Config!$E$27*Config!$E$28,"Tema","Avulso")</f>
        <v>Tema</v>
      </c>
      <c r="C445" s="114" t="n">
        <f aca="false">IF(B445="Tema",INT((A445-1)/Config!$E$28)+1,A445-Config!$E$27*Config!$E$28)</f>
        <v>74</v>
      </c>
      <c r="D445" s="114" t="n">
        <f aca="false">IF(B445="Tema",MOD(A445-1,Config!$E$28)+1,"")</f>
        <v>3</v>
      </c>
      <c r="E445" s="115" t="str">
        <f aca="false">IF($B445="Tema",IF(ISNUMBER(INDEX(Temas!$E$6:$P$305,$C445,2*$D445-1)),INDEX(Temas!$E$6:$P$305,$C445,2*$D445-1),""),IF(ISNUMBER(INDEX(Avulsos!$B$6:$B$205,$C445)),INDEX(Avulsos!$B$6:$B$205,$C445),""))</f>
        <v/>
      </c>
      <c r="F445" s="114" t="str">
        <f aca="false">IF($E445="","",IF($B445="Tema",INDEX(Temas!$B$6:$B$305,$C445)&amp;"",INDEX(Avulsos!$C$6:$C$205,$C445)&amp;""))</f>
        <v/>
      </c>
      <c r="G445" s="114" t="str">
        <f aca="false">IF($E445="","",IF($B445="Tema",INDEX(Config!$C$6:$C$11,$D445),"Evento avulso"))</f>
        <v/>
      </c>
      <c r="H445" s="114" t="str">
        <f aca="false">IF($E445="","",IF($B445="Tema",INDEX(Config!$D$6:$D$11,$D445),IFERROR(INDEX(Config!$E$15:$E$19,MATCH($I445,Config!$C$15:$C$19,0)),"•")))</f>
        <v/>
      </c>
      <c r="I445" s="114" t="str">
        <f aca="false">IF($E445="","",IF($B445="Tema",INDEX(Config!$E$6:$E$11,$D445),IF(INDEX(Avulsos!$D$6:$D$205,$C445)&amp;""="","Outro",INDEX(Avulsos!$D$6:$D$205,$C445))))</f>
        <v/>
      </c>
      <c r="J445" s="114" t="str">
        <f aca="false">IF($E445="","",IF($B445="Tema",INDEX(Temas!$C$6:$C$305,$C445)&amp;"",INDEX(Avulsos!$E$6:$E$205,$C445)&amp;""))</f>
        <v/>
      </c>
      <c r="K445" s="114" t="str">
        <f aca="false">IF($E445="","",IF(IF($B445="Tema",INDEX(Temas!$E$6:$P$305,$C445,2*$D445),INDEX(Avulsos!$F$6:$F$205,$C445))&amp;""="","","✓"))</f>
        <v/>
      </c>
      <c r="L445" s="114" t="str">
        <f aca="true">IF($E445="","",IF($K445="✓","Concluído",IF($E445&lt;TODAY(),"Atrasado",IF($E445=TODAY(),"Hoje","Pendente"))))</f>
        <v/>
      </c>
      <c r="M445" s="114" t="str">
        <f aca="false">IF($E445="","",IF($K445="✓","✓ ","")&amp;IF(Config!$E$22="Sim",$H445&amp;" · ","")&amp;$F445)</f>
        <v/>
      </c>
      <c r="N445" s="114" t="str">
        <f aca="false">IF($E445="","",IFERROR(INDEX(Config!$D$15:$D$19,MATCH($I445,Config!$C$15:$C$19,0)),"OUT")&amp;IF($K445="✓","x",""))</f>
        <v/>
      </c>
      <c r="O445" s="114" t="str">
        <f aca="false">IF($E445="","",COUNTIF($E$5:$E445,$E445))</f>
        <v/>
      </c>
      <c r="P445" s="114" t="str">
        <f aca="false">IF($E445="","",$E445*100+$O445)</f>
        <v/>
      </c>
      <c r="Q445" s="114" t="str">
        <f aca="false">IF($L445="Atrasado",$E445*10000+$A445,"")</f>
        <v/>
      </c>
    </row>
    <row r="446" customFormat="false" ht="15" hidden="false" customHeight="false" outlineLevel="0" collapsed="false">
      <c r="A446" s="114" t="n">
        <f aca="false">ROW()-4</f>
        <v>442</v>
      </c>
      <c r="B446" s="114" t="str">
        <f aca="false">IF(A446&lt;=Config!$E$27*Config!$E$28,"Tema","Avulso")</f>
        <v>Tema</v>
      </c>
      <c r="C446" s="114" t="n">
        <f aca="false">IF(B446="Tema",INT((A446-1)/Config!$E$28)+1,A446-Config!$E$27*Config!$E$28)</f>
        <v>74</v>
      </c>
      <c r="D446" s="114" t="n">
        <f aca="false">IF(B446="Tema",MOD(A446-1,Config!$E$28)+1,"")</f>
        <v>4</v>
      </c>
      <c r="E446" s="115" t="str">
        <f aca="false">IF($B446="Tema",IF(ISNUMBER(INDEX(Temas!$E$6:$P$305,$C446,2*$D446-1)),INDEX(Temas!$E$6:$P$305,$C446,2*$D446-1),""),IF(ISNUMBER(INDEX(Avulsos!$B$6:$B$205,$C446)),INDEX(Avulsos!$B$6:$B$205,$C446),""))</f>
        <v/>
      </c>
      <c r="F446" s="114" t="str">
        <f aca="false">IF($E446="","",IF($B446="Tema",INDEX(Temas!$B$6:$B$305,$C446)&amp;"",INDEX(Avulsos!$C$6:$C$205,$C446)&amp;""))</f>
        <v/>
      </c>
      <c r="G446" s="114" t="str">
        <f aca="false">IF($E446="","",IF($B446="Tema",INDEX(Config!$C$6:$C$11,$D446),"Evento avulso"))</f>
        <v/>
      </c>
      <c r="H446" s="114" t="str">
        <f aca="false">IF($E446="","",IF($B446="Tema",INDEX(Config!$D$6:$D$11,$D446),IFERROR(INDEX(Config!$E$15:$E$19,MATCH($I446,Config!$C$15:$C$19,0)),"•")))</f>
        <v/>
      </c>
      <c r="I446" s="114" t="str">
        <f aca="false">IF($E446="","",IF($B446="Tema",INDEX(Config!$E$6:$E$11,$D446),IF(INDEX(Avulsos!$D$6:$D$205,$C446)&amp;""="","Outro",INDEX(Avulsos!$D$6:$D$205,$C446))))</f>
        <v/>
      </c>
      <c r="J446" s="114" t="str">
        <f aca="false">IF($E446="","",IF($B446="Tema",INDEX(Temas!$C$6:$C$305,$C446)&amp;"",INDEX(Avulsos!$E$6:$E$205,$C446)&amp;""))</f>
        <v/>
      </c>
      <c r="K446" s="114" t="str">
        <f aca="false">IF($E446="","",IF(IF($B446="Tema",INDEX(Temas!$E$6:$P$305,$C446,2*$D446),INDEX(Avulsos!$F$6:$F$205,$C446))&amp;""="","","✓"))</f>
        <v/>
      </c>
      <c r="L446" s="114" t="str">
        <f aca="true">IF($E446="","",IF($K446="✓","Concluído",IF($E446&lt;TODAY(),"Atrasado",IF($E446=TODAY(),"Hoje","Pendente"))))</f>
        <v/>
      </c>
      <c r="M446" s="114" t="str">
        <f aca="false">IF($E446="","",IF($K446="✓","✓ ","")&amp;IF(Config!$E$22="Sim",$H446&amp;" · ","")&amp;$F446)</f>
        <v/>
      </c>
      <c r="N446" s="114" t="str">
        <f aca="false">IF($E446="","",IFERROR(INDEX(Config!$D$15:$D$19,MATCH($I446,Config!$C$15:$C$19,0)),"OUT")&amp;IF($K446="✓","x",""))</f>
        <v/>
      </c>
      <c r="O446" s="114" t="str">
        <f aca="false">IF($E446="","",COUNTIF($E$5:$E446,$E446))</f>
        <v/>
      </c>
      <c r="P446" s="114" t="str">
        <f aca="false">IF($E446="","",$E446*100+$O446)</f>
        <v/>
      </c>
      <c r="Q446" s="114" t="str">
        <f aca="false">IF($L446="Atrasado",$E446*10000+$A446,"")</f>
        <v/>
      </c>
    </row>
    <row r="447" customFormat="false" ht="15" hidden="false" customHeight="false" outlineLevel="0" collapsed="false">
      <c r="A447" s="114" t="n">
        <f aca="false">ROW()-4</f>
        <v>443</v>
      </c>
      <c r="B447" s="114" t="str">
        <f aca="false">IF(A447&lt;=Config!$E$27*Config!$E$28,"Tema","Avulso")</f>
        <v>Tema</v>
      </c>
      <c r="C447" s="114" t="n">
        <f aca="false">IF(B447="Tema",INT((A447-1)/Config!$E$28)+1,A447-Config!$E$27*Config!$E$28)</f>
        <v>74</v>
      </c>
      <c r="D447" s="114" t="n">
        <f aca="false">IF(B447="Tema",MOD(A447-1,Config!$E$28)+1,"")</f>
        <v>5</v>
      </c>
      <c r="E447" s="115" t="str">
        <f aca="false">IF($B447="Tema",IF(ISNUMBER(INDEX(Temas!$E$6:$P$305,$C447,2*$D447-1)),INDEX(Temas!$E$6:$P$305,$C447,2*$D447-1),""),IF(ISNUMBER(INDEX(Avulsos!$B$6:$B$205,$C447)),INDEX(Avulsos!$B$6:$B$205,$C447),""))</f>
        <v/>
      </c>
      <c r="F447" s="114" t="str">
        <f aca="false">IF($E447="","",IF($B447="Tema",INDEX(Temas!$B$6:$B$305,$C447)&amp;"",INDEX(Avulsos!$C$6:$C$205,$C447)&amp;""))</f>
        <v/>
      </c>
      <c r="G447" s="114" t="str">
        <f aca="false">IF($E447="","",IF($B447="Tema",INDEX(Config!$C$6:$C$11,$D447),"Evento avulso"))</f>
        <v/>
      </c>
      <c r="H447" s="114" t="str">
        <f aca="false">IF($E447="","",IF($B447="Tema",INDEX(Config!$D$6:$D$11,$D447),IFERROR(INDEX(Config!$E$15:$E$19,MATCH($I447,Config!$C$15:$C$19,0)),"•")))</f>
        <v/>
      </c>
      <c r="I447" s="114" t="str">
        <f aca="false">IF($E447="","",IF($B447="Tema",INDEX(Config!$E$6:$E$11,$D447),IF(INDEX(Avulsos!$D$6:$D$205,$C447)&amp;""="","Outro",INDEX(Avulsos!$D$6:$D$205,$C447))))</f>
        <v/>
      </c>
      <c r="J447" s="114" t="str">
        <f aca="false">IF($E447="","",IF($B447="Tema",INDEX(Temas!$C$6:$C$305,$C447)&amp;"",INDEX(Avulsos!$E$6:$E$205,$C447)&amp;""))</f>
        <v/>
      </c>
      <c r="K447" s="114" t="str">
        <f aca="false">IF($E447="","",IF(IF($B447="Tema",INDEX(Temas!$E$6:$P$305,$C447,2*$D447),INDEX(Avulsos!$F$6:$F$205,$C447))&amp;""="","","✓"))</f>
        <v/>
      </c>
      <c r="L447" s="114" t="str">
        <f aca="true">IF($E447="","",IF($K447="✓","Concluído",IF($E447&lt;TODAY(),"Atrasado",IF($E447=TODAY(),"Hoje","Pendente"))))</f>
        <v/>
      </c>
      <c r="M447" s="114" t="str">
        <f aca="false">IF($E447="","",IF($K447="✓","✓ ","")&amp;IF(Config!$E$22="Sim",$H447&amp;" · ","")&amp;$F447)</f>
        <v/>
      </c>
      <c r="N447" s="114" t="str">
        <f aca="false">IF($E447="","",IFERROR(INDEX(Config!$D$15:$D$19,MATCH($I447,Config!$C$15:$C$19,0)),"OUT")&amp;IF($K447="✓","x",""))</f>
        <v/>
      </c>
      <c r="O447" s="114" t="str">
        <f aca="false">IF($E447="","",COUNTIF($E$5:$E447,$E447))</f>
        <v/>
      </c>
      <c r="P447" s="114" t="str">
        <f aca="false">IF($E447="","",$E447*100+$O447)</f>
        <v/>
      </c>
      <c r="Q447" s="114" t="str">
        <f aca="false">IF($L447="Atrasado",$E447*10000+$A447,"")</f>
        <v/>
      </c>
    </row>
    <row r="448" customFormat="false" ht="15" hidden="false" customHeight="false" outlineLevel="0" collapsed="false">
      <c r="A448" s="114" t="n">
        <f aca="false">ROW()-4</f>
        <v>444</v>
      </c>
      <c r="B448" s="114" t="str">
        <f aca="false">IF(A448&lt;=Config!$E$27*Config!$E$28,"Tema","Avulso")</f>
        <v>Tema</v>
      </c>
      <c r="C448" s="114" t="n">
        <f aca="false">IF(B448="Tema",INT((A448-1)/Config!$E$28)+1,A448-Config!$E$27*Config!$E$28)</f>
        <v>74</v>
      </c>
      <c r="D448" s="114" t="n">
        <f aca="false">IF(B448="Tema",MOD(A448-1,Config!$E$28)+1,"")</f>
        <v>6</v>
      </c>
      <c r="E448" s="115" t="str">
        <f aca="false">IF($B448="Tema",IF(ISNUMBER(INDEX(Temas!$E$6:$P$305,$C448,2*$D448-1)),INDEX(Temas!$E$6:$P$305,$C448,2*$D448-1),""),IF(ISNUMBER(INDEX(Avulsos!$B$6:$B$205,$C448)),INDEX(Avulsos!$B$6:$B$205,$C448),""))</f>
        <v/>
      </c>
      <c r="F448" s="114" t="str">
        <f aca="false">IF($E448="","",IF($B448="Tema",INDEX(Temas!$B$6:$B$305,$C448)&amp;"",INDEX(Avulsos!$C$6:$C$205,$C448)&amp;""))</f>
        <v/>
      </c>
      <c r="G448" s="114" t="str">
        <f aca="false">IF($E448="","",IF($B448="Tema",INDEX(Config!$C$6:$C$11,$D448),"Evento avulso"))</f>
        <v/>
      </c>
      <c r="H448" s="114" t="str">
        <f aca="false">IF($E448="","",IF($B448="Tema",INDEX(Config!$D$6:$D$11,$D448),IFERROR(INDEX(Config!$E$15:$E$19,MATCH($I448,Config!$C$15:$C$19,0)),"•")))</f>
        <v/>
      </c>
      <c r="I448" s="114" t="str">
        <f aca="false">IF($E448="","",IF($B448="Tema",INDEX(Config!$E$6:$E$11,$D448),IF(INDEX(Avulsos!$D$6:$D$205,$C448)&amp;""="","Outro",INDEX(Avulsos!$D$6:$D$205,$C448))))</f>
        <v/>
      </c>
      <c r="J448" s="114" t="str">
        <f aca="false">IF($E448="","",IF($B448="Tema",INDEX(Temas!$C$6:$C$305,$C448)&amp;"",INDEX(Avulsos!$E$6:$E$205,$C448)&amp;""))</f>
        <v/>
      </c>
      <c r="K448" s="114" t="str">
        <f aca="false">IF($E448="","",IF(IF($B448="Tema",INDEX(Temas!$E$6:$P$305,$C448,2*$D448),INDEX(Avulsos!$F$6:$F$205,$C448))&amp;""="","","✓"))</f>
        <v/>
      </c>
      <c r="L448" s="114" t="str">
        <f aca="true">IF($E448="","",IF($K448="✓","Concluído",IF($E448&lt;TODAY(),"Atrasado",IF($E448=TODAY(),"Hoje","Pendente"))))</f>
        <v/>
      </c>
      <c r="M448" s="114" t="str">
        <f aca="false">IF($E448="","",IF($K448="✓","✓ ","")&amp;IF(Config!$E$22="Sim",$H448&amp;" · ","")&amp;$F448)</f>
        <v/>
      </c>
      <c r="N448" s="114" t="str">
        <f aca="false">IF($E448="","",IFERROR(INDEX(Config!$D$15:$D$19,MATCH($I448,Config!$C$15:$C$19,0)),"OUT")&amp;IF($K448="✓","x",""))</f>
        <v/>
      </c>
      <c r="O448" s="114" t="str">
        <f aca="false">IF($E448="","",COUNTIF($E$5:$E448,$E448))</f>
        <v/>
      </c>
      <c r="P448" s="114" t="str">
        <f aca="false">IF($E448="","",$E448*100+$O448)</f>
        <v/>
      </c>
      <c r="Q448" s="114" t="str">
        <f aca="false">IF($L448="Atrasado",$E448*10000+$A448,"")</f>
        <v/>
      </c>
    </row>
    <row r="449" customFormat="false" ht="15" hidden="false" customHeight="false" outlineLevel="0" collapsed="false">
      <c r="A449" s="114" t="n">
        <f aca="false">ROW()-4</f>
        <v>445</v>
      </c>
      <c r="B449" s="114" t="str">
        <f aca="false">IF(A449&lt;=Config!$E$27*Config!$E$28,"Tema","Avulso")</f>
        <v>Tema</v>
      </c>
      <c r="C449" s="114" t="n">
        <f aca="false">IF(B449="Tema",INT((A449-1)/Config!$E$28)+1,A449-Config!$E$27*Config!$E$28)</f>
        <v>75</v>
      </c>
      <c r="D449" s="114" t="n">
        <f aca="false">IF(B449="Tema",MOD(A449-1,Config!$E$28)+1,"")</f>
        <v>1</v>
      </c>
      <c r="E449" s="115" t="str">
        <f aca="false">IF($B449="Tema",IF(ISNUMBER(INDEX(Temas!$E$6:$P$305,$C449,2*$D449-1)),INDEX(Temas!$E$6:$P$305,$C449,2*$D449-1),""),IF(ISNUMBER(INDEX(Avulsos!$B$6:$B$205,$C449)),INDEX(Avulsos!$B$6:$B$205,$C449),""))</f>
        <v/>
      </c>
      <c r="F449" s="114" t="str">
        <f aca="false">IF($E449="","",IF($B449="Tema",INDEX(Temas!$B$6:$B$305,$C449)&amp;"",INDEX(Avulsos!$C$6:$C$205,$C449)&amp;""))</f>
        <v/>
      </c>
      <c r="G449" s="114" t="str">
        <f aca="false">IF($E449="","",IF($B449="Tema",INDEX(Config!$C$6:$C$11,$D449),"Evento avulso"))</f>
        <v/>
      </c>
      <c r="H449" s="114" t="str">
        <f aca="false">IF($E449="","",IF($B449="Tema",INDEX(Config!$D$6:$D$11,$D449),IFERROR(INDEX(Config!$E$15:$E$19,MATCH($I449,Config!$C$15:$C$19,0)),"•")))</f>
        <v/>
      </c>
      <c r="I449" s="114" t="str">
        <f aca="false">IF($E449="","",IF($B449="Tema",INDEX(Config!$E$6:$E$11,$D449),IF(INDEX(Avulsos!$D$6:$D$205,$C449)&amp;""="","Outro",INDEX(Avulsos!$D$6:$D$205,$C449))))</f>
        <v/>
      </c>
      <c r="J449" s="114" t="str">
        <f aca="false">IF($E449="","",IF($B449="Tema",INDEX(Temas!$C$6:$C$305,$C449)&amp;"",INDEX(Avulsos!$E$6:$E$205,$C449)&amp;""))</f>
        <v/>
      </c>
      <c r="K449" s="114" t="str">
        <f aca="false">IF($E449="","",IF(IF($B449="Tema",INDEX(Temas!$E$6:$P$305,$C449,2*$D449),INDEX(Avulsos!$F$6:$F$205,$C449))&amp;""="","","✓"))</f>
        <v/>
      </c>
      <c r="L449" s="114" t="str">
        <f aca="true">IF($E449="","",IF($K449="✓","Concluído",IF($E449&lt;TODAY(),"Atrasado",IF($E449=TODAY(),"Hoje","Pendente"))))</f>
        <v/>
      </c>
      <c r="M449" s="114" t="str">
        <f aca="false">IF($E449="","",IF($K449="✓","✓ ","")&amp;IF(Config!$E$22="Sim",$H449&amp;" · ","")&amp;$F449)</f>
        <v/>
      </c>
      <c r="N449" s="114" t="str">
        <f aca="false">IF($E449="","",IFERROR(INDEX(Config!$D$15:$D$19,MATCH($I449,Config!$C$15:$C$19,0)),"OUT")&amp;IF($K449="✓","x",""))</f>
        <v/>
      </c>
      <c r="O449" s="114" t="str">
        <f aca="false">IF($E449="","",COUNTIF($E$5:$E449,$E449))</f>
        <v/>
      </c>
      <c r="P449" s="114" t="str">
        <f aca="false">IF($E449="","",$E449*100+$O449)</f>
        <v/>
      </c>
      <c r="Q449" s="114" t="str">
        <f aca="false">IF($L449="Atrasado",$E449*10000+$A449,"")</f>
        <v/>
      </c>
    </row>
    <row r="450" customFormat="false" ht="15" hidden="false" customHeight="false" outlineLevel="0" collapsed="false">
      <c r="A450" s="114" t="n">
        <f aca="false">ROW()-4</f>
        <v>446</v>
      </c>
      <c r="B450" s="114" t="str">
        <f aca="false">IF(A450&lt;=Config!$E$27*Config!$E$28,"Tema","Avulso")</f>
        <v>Tema</v>
      </c>
      <c r="C450" s="114" t="n">
        <f aca="false">IF(B450="Tema",INT((A450-1)/Config!$E$28)+1,A450-Config!$E$27*Config!$E$28)</f>
        <v>75</v>
      </c>
      <c r="D450" s="114" t="n">
        <f aca="false">IF(B450="Tema",MOD(A450-1,Config!$E$28)+1,"")</f>
        <v>2</v>
      </c>
      <c r="E450" s="115" t="str">
        <f aca="false">IF($B450="Tema",IF(ISNUMBER(INDEX(Temas!$E$6:$P$305,$C450,2*$D450-1)),INDEX(Temas!$E$6:$P$305,$C450,2*$D450-1),""),IF(ISNUMBER(INDEX(Avulsos!$B$6:$B$205,$C450)),INDEX(Avulsos!$B$6:$B$205,$C450),""))</f>
        <v/>
      </c>
      <c r="F450" s="114" t="str">
        <f aca="false">IF($E450="","",IF($B450="Tema",INDEX(Temas!$B$6:$B$305,$C450)&amp;"",INDEX(Avulsos!$C$6:$C$205,$C450)&amp;""))</f>
        <v/>
      </c>
      <c r="G450" s="114" t="str">
        <f aca="false">IF($E450="","",IF($B450="Tema",INDEX(Config!$C$6:$C$11,$D450),"Evento avulso"))</f>
        <v/>
      </c>
      <c r="H450" s="114" t="str">
        <f aca="false">IF($E450="","",IF($B450="Tema",INDEX(Config!$D$6:$D$11,$D450),IFERROR(INDEX(Config!$E$15:$E$19,MATCH($I450,Config!$C$15:$C$19,0)),"•")))</f>
        <v/>
      </c>
      <c r="I450" s="114" t="str">
        <f aca="false">IF($E450="","",IF($B450="Tema",INDEX(Config!$E$6:$E$11,$D450),IF(INDEX(Avulsos!$D$6:$D$205,$C450)&amp;""="","Outro",INDEX(Avulsos!$D$6:$D$205,$C450))))</f>
        <v/>
      </c>
      <c r="J450" s="114" t="str">
        <f aca="false">IF($E450="","",IF($B450="Tema",INDEX(Temas!$C$6:$C$305,$C450)&amp;"",INDEX(Avulsos!$E$6:$E$205,$C450)&amp;""))</f>
        <v/>
      </c>
      <c r="K450" s="114" t="str">
        <f aca="false">IF($E450="","",IF(IF($B450="Tema",INDEX(Temas!$E$6:$P$305,$C450,2*$D450),INDEX(Avulsos!$F$6:$F$205,$C450))&amp;""="","","✓"))</f>
        <v/>
      </c>
      <c r="L450" s="114" t="str">
        <f aca="true">IF($E450="","",IF($K450="✓","Concluído",IF($E450&lt;TODAY(),"Atrasado",IF($E450=TODAY(),"Hoje","Pendente"))))</f>
        <v/>
      </c>
      <c r="M450" s="114" t="str">
        <f aca="false">IF($E450="","",IF($K450="✓","✓ ","")&amp;IF(Config!$E$22="Sim",$H450&amp;" · ","")&amp;$F450)</f>
        <v/>
      </c>
      <c r="N450" s="114" t="str">
        <f aca="false">IF($E450="","",IFERROR(INDEX(Config!$D$15:$D$19,MATCH($I450,Config!$C$15:$C$19,0)),"OUT")&amp;IF($K450="✓","x",""))</f>
        <v/>
      </c>
      <c r="O450" s="114" t="str">
        <f aca="false">IF($E450="","",COUNTIF($E$5:$E450,$E450))</f>
        <v/>
      </c>
      <c r="P450" s="114" t="str">
        <f aca="false">IF($E450="","",$E450*100+$O450)</f>
        <v/>
      </c>
      <c r="Q450" s="114" t="str">
        <f aca="false">IF($L450="Atrasado",$E450*10000+$A450,"")</f>
        <v/>
      </c>
    </row>
    <row r="451" customFormat="false" ht="15" hidden="false" customHeight="false" outlineLevel="0" collapsed="false">
      <c r="A451" s="114" t="n">
        <f aca="false">ROW()-4</f>
        <v>447</v>
      </c>
      <c r="B451" s="114" t="str">
        <f aca="false">IF(A451&lt;=Config!$E$27*Config!$E$28,"Tema","Avulso")</f>
        <v>Tema</v>
      </c>
      <c r="C451" s="114" t="n">
        <f aca="false">IF(B451="Tema",INT((A451-1)/Config!$E$28)+1,A451-Config!$E$27*Config!$E$28)</f>
        <v>75</v>
      </c>
      <c r="D451" s="114" t="n">
        <f aca="false">IF(B451="Tema",MOD(A451-1,Config!$E$28)+1,"")</f>
        <v>3</v>
      </c>
      <c r="E451" s="115" t="str">
        <f aca="false">IF($B451="Tema",IF(ISNUMBER(INDEX(Temas!$E$6:$P$305,$C451,2*$D451-1)),INDEX(Temas!$E$6:$P$305,$C451,2*$D451-1),""),IF(ISNUMBER(INDEX(Avulsos!$B$6:$B$205,$C451)),INDEX(Avulsos!$B$6:$B$205,$C451),""))</f>
        <v/>
      </c>
      <c r="F451" s="114" t="str">
        <f aca="false">IF($E451="","",IF($B451="Tema",INDEX(Temas!$B$6:$B$305,$C451)&amp;"",INDEX(Avulsos!$C$6:$C$205,$C451)&amp;""))</f>
        <v/>
      </c>
      <c r="G451" s="114" t="str">
        <f aca="false">IF($E451="","",IF($B451="Tema",INDEX(Config!$C$6:$C$11,$D451),"Evento avulso"))</f>
        <v/>
      </c>
      <c r="H451" s="114" t="str">
        <f aca="false">IF($E451="","",IF($B451="Tema",INDEX(Config!$D$6:$D$11,$D451),IFERROR(INDEX(Config!$E$15:$E$19,MATCH($I451,Config!$C$15:$C$19,0)),"•")))</f>
        <v/>
      </c>
      <c r="I451" s="114" t="str">
        <f aca="false">IF($E451="","",IF($B451="Tema",INDEX(Config!$E$6:$E$11,$D451),IF(INDEX(Avulsos!$D$6:$D$205,$C451)&amp;""="","Outro",INDEX(Avulsos!$D$6:$D$205,$C451))))</f>
        <v/>
      </c>
      <c r="J451" s="114" t="str">
        <f aca="false">IF($E451="","",IF($B451="Tema",INDEX(Temas!$C$6:$C$305,$C451)&amp;"",INDEX(Avulsos!$E$6:$E$205,$C451)&amp;""))</f>
        <v/>
      </c>
      <c r="K451" s="114" t="str">
        <f aca="false">IF($E451="","",IF(IF($B451="Tema",INDEX(Temas!$E$6:$P$305,$C451,2*$D451),INDEX(Avulsos!$F$6:$F$205,$C451))&amp;""="","","✓"))</f>
        <v/>
      </c>
      <c r="L451" s="114" t="str">
        <f aca="true">IF($E451="","",IF($K451="✓","Concluído",IF($E451&lt;TODAY(),"Atrasado",IF($E451=TODAY(),"Hoje","Pendente"))))</f>
        <v/>
      </c>
      <c r="M451" s="114" t="str">
        <f aca="false">IF($E451="","",IF($K451="✓","✓ ","")&amp;IF(Config!$E$22="Sim",$H451&amp;" · ","")&amp;$F451)</f>
        <v/>
      </c>
      <c r="N451" s="114" t="str">
        <f aca="false">IF($E451="","",IFERROR(INDEX(Config!$D$15:$D$19,MATCH($I451,Config!$C$15:$C$19,0)),"OUT")&amp;IF($K451="✓","x",""))</f>
        <v/>
      </c>
      <c r="O451" s="114" t="str">
        <f aca="false">IF($E451="","",COUNTIF($E$5:$E451,$E451))</f>
        <v/>
      </c>
      <c r="P451" s="114" t="str">
        <f aca="false">IF($E451="","",$E451*100+$O451)</f>
        <v/>
      </c>
      <c r="Q451" s="114" t="str">
        <f aca="false">IF($L451="Atrasado",$E451*10000+$A451,"")</f>
        <v/>
      </c>
    </row>
    <row r="452" customFormat="false" ht="15" hidden="false" customHeight="false" outlineLevel="0" collapsed="false">
      <c r="A452" s="114" t="n">
        <f aca="false">ROW()-4</f>
        <v>448</v>
      </c>
      <c r="B452" s="114" t="str">
        <f aca="false">IF(A452&lt;=Config!$E$27*Config!$E$28,"Tema","Avulso")</f>
        <v>Tema</v>
      </c>
      <c r="C452" s="114" t="n">
        <f aca="false">IF(B452="Tema",INT((A452-1)/Config!$E$28)+1,A452-Config!$E$27*Config!$E$28)</f>
        <v>75</v>
      </c>
      <c r="D452" s="114" t="n">
        <f aca="false">IF(B452="Tema",MOD(A452-1,Config!$E$28)+1,"")</f>
        <v>4</v>
      </c>
      <c r="E452" s="115" t="str">
        <f aca="false">IF($B452="Tema",IF(ISNUMBER(INDEX(Temas!$E$6:$P$305,$C452,2*$D452-1)),INDEX(Temas!$E$6:$P$305,$C452,2*$D452-1),""),IF(ISNUMBER(INDEX(Avulsos!$B$6:$B$205,$C452)),INDEX(Avulsos!$B$6:$B$205,$C452),""))</f>
        <v/>
      </c>
      <c r="F452" s="114" t="str">
        <f aca="false">IF($E452="","",IF($B452="Tema",INDEX(Temas!$B$6:$B$305,$C452)&amp;"",INDEX(Avulsos!$C$6:$C$205,$C452)&amp;""))</f>
        <v/>
      </c>
      <c r="G452" s="114" t="str">
        <f aca="false">IF($E452="","",IF($B452="Tema",INDEX(Config!$C$6:$C$11,$D452),"Evento avulso"))</f>
        <v/>
      </c>
      <c r="H452" s="114" t="str">
        <f aca="false">IF($E452="","",IF($B452="Tema",INDEX(Config!$D$6:$D$11,$D452),IFERROR(INDEX(Config!$E$15:$E$19,MATCH($I452,Config!$C$15:$C$19,0)),"•")))</f>
        <v/>
      </c>
      <c r="I452" s="114" t="str">
        <f aca="false">IF($E452="","",IF($B452="Tema",INDEX(Config!$E$6:$E$11,$D452),IF(INDEX(Avulsos!$D$6:$D$205,$C452)&amp;""="","Outro",INDEX(Avulsos!$D$6:$D$205,$C452))))</f>
        <v/>
      </c>
      <c r="J452" s="114" t="str">
        <f aca="false">IF($E452="","",IF($B452="Tema",INDEX(Temas!$C$6:$C$305,$C452)&amp;"",INDEX(Avulsos!$E$6:$E$205,$C452)&amp;""))</f>
        <v/>
      </c>
      <c r="K452" s="114" t="str">
        <f aca="false">IF($E452="","",IF(IF($B452="Tema",INDEX(Temas!$E$6:$P$305,$C452,2*$D452),INDEX(Avulsos!$F$6:$F$205,$C452))&amp;""="","","✓"))</f>
        <v/>
      </c>
      <c r="L452" s="114" t="str">
        <f aca="true">IF($E452="","",IF($K452="✓","Concluído",IF($E452&lt;TODAY(),"Atrasado",IF($E452=TODAY(),"Hoje","Pendente"))))</f>
        <v/>
      </c>
      <c r="M452" s="114" t="str">
        <f aca="false">IF($E452="","",IF($K452="✓","✓ ","")&amp;IF(Config!$E$22="Sim",$H452&amp;" · ","")&amp;$F452)</f>
        <v/>
      </c>
      <c r="N452" s="114" t="str">
        <f aca="false">IF($E452="","",IFERROR(INDEX(Config!$D$15:$D$19,MATCH($I452,Config!$C$15:$C$19,0)),"OUT")&amp;IF($K452="✓","x",""))</f>
        <v/>
      </c>
      <c r="O452" s="114" t="str">
        <f aca="false">IF($E452="","",COUNTIF($E$5:$E452,$E452))</f>
        <v/>
      </c>
      <c r="P452" s="114" t="str">
        <f aca="false">IF($E452="","",$E452*100+$O452)</f>
        <v/>
      </c>
      <c r="Q452" s="114" t="str">
        <f aca="false">IF($L452="Atrasado",$E452*10000+$A452,"")</f>
        <v/>
      </c>
    </row>
    <row r="453" customFormat="false" ht="15" hidden="false" customHeight="false" outlineLevel="0" collapsed="false">
      <c r="A453" s="114" t="n">
        <f aca="false">ROW()-4</f>
        <v>449</v>
      </c>
      <c r="B453" s="114" t="str">
        <f aca="false">IF(A453&lt;=Config!$E$27*Config!$E$28,"Tema","Avulso")</f>
        <v>Tema</v>
      </c>
      <c r="C453" s="114" t="n">
        <f aca="false">IF(B453="Tema",INT((A453-1)/Config!$E$28)+1,A453-Config!$E$27*Config!$E$28)</f>
        <v>75</v>
      </c>
      <c r="D453" s="114" t="n">
        <f aca="false">IF(B453="Tema",MOD(A453-1,Config!$E$28)+1,"")</f>
        <v>5</v>
      </c>
      <c r="E453" s="115" t="str">
        <f aca="false">IF($B453="Tema",IF(ISNUMBER(INDEX(Temas!$E$6:$P$305,$C453,2*$D453-1)),INDEX(Temas!$E$6:$P$305,$C453,2*$D453-1),""),IF(ISNUMBER(INDEX(Avulsos!$B$6:$B$205,$C453)),INDEX(Avulsos!$B$6:$B$205,$C453),""))</f>
        <v/>
      </c>
      <c r="F453" s="114" t="str">
        <f aca="false">IF($E453="","",IF($B453="Tema",INDEX(Temas!$B$6:$B$305,$C453)&amp;"",INDEX(Avulsos!$C$6:$C$205,$C453)&amp;""))</f>
        <v/>
      </c>
      <c r="G453" s="114" t="str">
        <f aca="false">IF($E453="","",IF($B453="Tema",INDEX(Config!$C$6:$C$11,$D453),"Evento avulso"))</f>
        <v/>
      </c>
      <c r="H453" s="114" t="str">
        <f aca="false">IF($E453="","",IF($B453="Tema",INDEX(Config!$D$6:$D$11,$D453),IFERROR(INDEX(Config!$E$15:$E$19,MATCH($I453,Config!$C$15:$C$19,0)),"•")))</f>
        <v/>
      </c>
      <c r="I453" s="114" t="str">
        <f aca="false">IF($E453="","",IF($B453="Tema",INDEX(Config!$E$6:$E$11,$D453),IF(INDEX(Avulsos!$D$6:$D$205,$C453)&amp;""="","Outro",INDEX(Avulsos!$D$6:$D$205,$C453))))</f>
        <v/>
      </c>
      <c r="J453" s="114" t="str">
        <f aca="false">IF($E453="","",IF($B453="Tema",INDEX(Temas!$C$6:$C$305,$C453)&amp;"",INDEX(Avulsos!$E$6:$E$205,$C453)&amp;""))</f>
        <v/>
      </c>
      <c r="K453" s="114" t="str">
        <f aca="false">IF($E453="","",IF(IF($B453="Tema",INDEX(Temas!$E$6:$P$305,$C453,2*$D453),INDEX(Avulsos!$F$6:$F$205,$C453))&amp;""="","","✓"))</f>
        <v/>
      </c>
      <c r="L453" s="114" t="str">
        <f aca="true">IF($E453="","",IF($K453="✓","Concluído",IF($E453&lt;TODAY(),"Atrasado",IF($E453=TODAY(),"Hoje","Pendente"))))</f>
        <v/>
      </c>
      <c r="M453" s="114" t="str">
        <f aca="false">IF($E453="","",IF($K453="✓","✓ ","")&amp;IF(Config!$E$22="Sim",$H453&amp;" · ","")&amp;$F453)</f>
        <v/>
      </c>
      <c r="N453" s="114" t="str">
        <f aca="false">IF($E453="","",IFERROR(INDEX(Config!$D$15:$D$19,MATCH($I453,Config!$C$15:$C$19,0)),"OUT")&amp;IF($K453="✓","x",""))</f>
        <v/>
      </c>
      <c r="O453" s="114" t="str">
        <f aca="false">IF($E453="","",COUNTIF($E$5:$E453,$E453))</f>
        <v/>
      </c>
      <c r="P453" s="114" t="str">
        <f aca="false">IF($E453="","",$E453*100+$O453)</f>
        <v/>
      </c>
      <c r="Q453" s="114" t="str">
        <f aca="false">IF($L453="Atrasado",$E453*10000+$A453,"")</f>
        <v/>
      </c>
    </row>
    <row r="454" customFormat="false" ht="15" hidden="false" customHeight="false" outlineLevel="0" collapsed="false">
      <c r="A454" s="114" t="n">
        <f aca="false">ROW()-4</f>
        <v>450</v>
      </c>
      <c r="B454" s="114" t="str">
        <f aca="false">IF(A454&lt;=Config!$E$27*Config!$E$28,"Tema","Avulso")</f>
        <v>Tema</v>
      </c>
      <c r="C454" s="114" t="n">
        <f aca="false">IF(B454="Tema",INT((A454-1)/Config!$E$28)+1,A454-Config!$E$27*Config!$E$28)</f>
        <v>75</v>
      </c>
      <c r="D454" s="114" t="n">
        <f aca="false">IF(B454="Tema",MOD(A454-1,Config!$E$28)+1,"")</f>
        <v>6</v>
      </c>
      <c r="E454" s="115" t="str">
        <f aca="false">IF($B454="Tema",IF(ISNUMBER(INDEX(Temas!$E$6:$P$305,$C454,2*$D454-1)),INDEX(Temas!$E$6:$P$305,$C454,2*$D454-1),""),IF(ISNUMBER(INDEX(Avulsos!$B$6:$B$205,$C454)),INDEX(Avulsos!$B$6:$B$205,$C454),""))</f>
        <v/>
      </c>
      <c r="F454" s="114" t="str">
        <f aca="false">IF($E454="","",IF($B454="Tema",INDEX(Temas!$B$6:$B$305,$C454)&amp;"",INDEX(Avulsos!$C$6:$C$205,$C454)&amp;""))</f>
        <v/>
      </c>
      <c r="G454" s="114" t="str">
        <f aca="false">IF($E454="","",IF($B454="Tema",INDEX(Config!$C$6:$C$11,$D454),"Evento avulso"))</f>
        <v/>
      </c>
      <c r="H454" s="114" t="str">
        <f aca="false">IF($E454="","",IF($B454="Tema",INDEX(Config!$D$6:$D$11,$D454),IFERROR(INDEX(Config!$E$15:$E$19,MATCH($I454,Config!$C$15:$C$19,0)),"•")))</f>
        <v/>
      </c>
      <c r="I454" s="114" t="str">
        <f aca="false">IF($E454="","",IF($B454="Tema",INDEX(Config!$E$6:$E$11,$D454),IF(INDEX(Avulsos!$D$6:$D$205,$C454)&amp;""="","Outro",INDEX(Avulsos!$D$6:$D$205,$C454))))</f>
        <v/>
      </c>
      <c r="J454" s="114" t="str">
        <f aca="false">IF($E454="","",IF($B454="Tema",INDEX(Temas!$C$6:$C$305,$C454)&amp;"",INDEX(Avulsos!$E$6:$E$205,$C454)&amp;""))</f>
        <v/>
      </c>
      <c r="K454" s="114" t="str">
        <f aca="false">IF($E454="","",IF(IF($B454="Tema",INDEX(Temas!$E$6:$P$305,$C454,2*$D454),INDEX(Avulsos!$F$6:$F$205,$C454))&amp;""="","","✓"))</f>
        <v/>
      </c>
      <c r="L454" s="114" t="str">
        <f aca="true">IF($E454="","",IF($K454="✓","Concluído",IF($E454&lt;TODAY(),"Atrasado",IF($E454=TODAY(),"Hoje","Pendente"))))</f>
        <v/>
      </c>
      <c r="M454" s="114" t="str">
        <f aca="false">IF($E454="","",IF($K454="✓","✓ ","")&amp;IF(Config!$E$22="Sim",$H454&amp;" · ","")&amp;$F454)</f>
        <v/>
      </c>
      <c r="N454" s="114" t="str">
        <f aca="false">IF($E454="","",IFERROR(INDEX(Config!$D$15:$D$19,MATCH($I454,Config!$C$15:$C$19,0)),"OUT")&amp;IF($K454="✓","x",""))</f>
        <v/>
      </c>
      <c r="O454" s="114" t="str">
        <f aca="false">IF($E454="","",COUNTIF($E$5:$E454,$E454))</f>
        <v/>
      </c>
      <c r="P454" s="114" t="str">
        <f aca="false">IF($E454="","",$E454*100+$O454)</f>
        <v/>
      </c>
      <c r="Q454" s="114" t="str">
        <f aca="false">IF($L454="Atrasado",$E454*10000+$A454,"")</f>
        <v/>
      </c>
    </row>
    <row r="455" customFormat="false" ht="15" hidden="false" customHeight="false" outlineLevel="0" collapsed="false">
      <c r="A455" s="114" t="n">
        <f aca="false">ROW()-4</f>
        <v>451</v>
      </c>
      <c r="B455" s="114" t="str">
        <f aca="false">IF(A455&lt;=Config!$E$27*Config!$E$28,"Tema","Avulso")</f>
        <v>Tema</v>
      </c>
      <c r="C455" s="114" t="n">
        <f aca="false">IF(B455="Tema",INT((A455-1)/Config!$E$28)+1,A455-Config!$E$27*Config!$E$28)</f>
        <v>76</v>
      </c>
      <c r="D455" s="114" t="n">
        <f aca="false">IF(B455="Tema",MOD(A455-1,Config!$E$28)+1,"")</f>
        <v>1</v>
      </c>
      <c r="E455" s="115" t="str">
        <f aca="false">IF($B455="Tema",IF(ISNUMBER(INDEX(Temas!$E$6:$P$305,$C455,2*$D455-1)),INDEX(Temas!$E$6:$P$305,$C455,2*$D455-1),""),IF(ISNUMBER(INDEX(Avulsos!$B$6:$B$205,$C455)),INDEX(Avulsos!$B$6:$B$205,$C455),""))</f>
        <v/>
      </c>
      <c r="F455" s="114" t="str">
        <f aca="false">IF($E455="","",IF($B455="Tema",INDEX(Temas!$B$6:$B$305,$C455)&amp;"",INDEX(Avulsos!$C$6:$C$205,$C455)&amp;""))</f>
        <v/>
      </c>
      <c r="G455" s="114" t="str">
        <f aca="false">IF($E455="","",IF($B455="Tema",INDEX(Config!$C$6:$C$11,$D455),"Evento avulso"))</f>
        <v/>
      </c>
      <c r="H455" s="114" t="str">
        <f aca="false">IF($E455="","",IF($B455="Tema",INDEX(Config!$D$6:$D$11,$D455),IFERROR(INDEX(Config!$E$15:$E$19,MATCH($I455,Config!$C$15:$C$19,0)),"•")))</f>
        <v/>
      </c>
      <c r="I455" s="114" t="str">
        <f aca="false">IF($E455="","",IF($B455="Tema",INDEX(Config!$E$6:$E$11,$D455),IF(INDEX(Avulsos!$D$6:$D$205,$C455)&amp;""="","Outro",INDEX(Avulsos!$D$6:$D$205,$C455))))</f>
        <v/>
      </c>
      <c r="J455" s="114" t="str">
        <f aca="false">IF($E455="","",IF($B455="Tema",INDEX(Temas!$C$6:$C$305,$C455)&amp;"",INDEX(Avulsos!$E$6:$E$205,$C455)&amp;""))</f>
        <v/>
      </c>
      <c r="K455" s="114" t="str">
        <f aca="false">IF($E455="","",IF(IF($B455="Tema",INDEX(Temas!$E$6:$P$305,$C455,2*$D455),INDEX(Avulsos!$F$6:$F$205,$C455))&amp;""="","","✓"))</f>
        <v/>
      </c>
      <c r="L455" s="114" t="str">
        <f aca="true">IF($E455="","",IF($K455="✓","Concluído",IF($E455&lt;TODAY(),"Atrasado",IF($E455=TODAY(),"Hoje","Pendente"))))</f>
        <v/>
      </c>
      <c r="M455" s="114" t="str">
        <f aca="false">IF($E455="","",IF($K455="✓","✓ ","")&amp;IF(Config!$E$22="Sim",$H455&amp;" · ","")&amp;$F455)</f>
        <v/>
      </c>
      <c r="N455" s="114" t="str">
        <f aca="false">IF($E455="","",IFERROR(INDEX(Config!$D$15:$D$19,MATCH($I455,Config!$C$15:$C$19,0)),"OUT")&amp;IF($K455="✓","x",""))</f>
        <v/>
      </c>
      <c r="O455" s="114" t="str">
        <f aca="false">IF($E455="","",COUNTIF($E$5:$E455,$E455))</f>
        <v/>
      </c>
      <c r="P455" s="114" t="str">
        <f aca="false">IF($E455="","",$E455*100+$O455)</f>
        <v/>
      </c>
      <c r="Q455" s="114" t="str">
        <f aca="false">IF($L455="Atrasado",$E455*10000+$A455,"")</f>
        <v/>
      </c>
    </row>
    <row r="456" customFormat="false" ht="15" hidden="false" customHeight="false" outlineLevel="0" collapsed="false">
      <c r="A456" s="114" t="n">
        <f aca="false">ROW()-4</f>
        <v>452</v>
      </c>
      <c r="B456" s="114" t="str">
        <f aca="false">IF(A456&lt;=Config!$E$27*Config!$E$28,"Tema","Avulso")</f>
        <v>Tema</v>
      </c>
      <c r="C456" s="114" t="n">
        <f aca="false">IF(B456="Tema",INT((A456-1)/Config!$E$28)+1,A456-Config!$E$27*Config!$E$28)</f>
        <v>76</v>
      </c>
      <c r="D456" s="114" t="n">
        <f aca="false">IF(B456="Tema",MOD(A456-1,Config!$E$28)+1,"")</f>
        <v>2</v>
      </c>
      <c r="E456" s="115" t="str">
        <f aca="false">IF($B456="Tema",IF(ISNUMBER(INDEX(Temas!$E$6:$P$305,$C456,2*$D456-1)),INDEX(Temas!$E$6:$P$305,$C456,2*$D456-1),""),IF(ISNUMBER(INDEX(Avulsos!$B$6:$B$205,$C456)),INDEX(Avulsos!$B$6:$B$205,$C456),""))</f>
        <v/>
      </c>
      <c r="F456" s="114" t="str">
        <f aca="false">IF($E456="","",IF($B456="Tema",INDEX(Temas!$B$6:$B$305,$C456)&amp;"",INDEX(Avulsos!$C$6:$C$205,$C456)&amp;""))</f>
        <v/>
      </c>
      <c r="G456" s="114" t="str">
        <f aca="false">IF($E456="","",IF($B456="Tema",INDEX(Config!$C$6:$C$11,$D456),"Evento avulso"))</f>
        <v/>
      </c>
      <c r="H456" s="114" t="str">
        <f aca="false">IF($E456="","",IF($B456="Tema",INDEX(Config!$D$6:$D$11,$D456),IFERROR(INDEX(Config!$E$15:$E$19,MATCH($I456,Config!$C$15:$C$19,0)),"•")))</f>
        <v/>
      </c>
      <c r="I456" s="114" t="str">
        <f aca="false">IF($E456="","",IF($B456="Tema",INDEX(Config!$E$6:$E$11,$D456),IF(INDEX(Avulsos!$D$6:$D$205,$C456)&amp;""="","Outro",INDEX(Avulsos!$D$6:$D$205,$C456))))</f>
        <v/>
      </c>
      <c r="J456" s="114" t="str">
        <f aca="false">IF($E456="","",IF($B456="Tema",INDEX(Temas!$C$6:$C$305,$C456)&amp;"",INDEX(Avulsos!$E$6:$E$205,$C456)&amp;""))</f>
        <v/>
      </c>
      <c r="K456" s="114" t="str">
        <f aca="false">IF($E456="","",IF(IF($B456="Tema",INDEX(Temas!$E$6:$P$305,$C456,2*$D456),INDEX(Avulsos!$F$6:$F$205,$C456))&amp;""="","","✓"))</f>
        <v/>
      </c>
      <c r="L456" s="114" t="str">
        <f aca="true">IF($E456="","",IF($K456="✓","Concluído",IF($E456&lt;TODAY(),"Atrasado",IF($E456=TODAY(),"Hoje","Pendente"))))</f>
        <v/>
      </c>
      <c r="M456" s="114" t="str">
        <f aca="false">IF($E456="","",IF($K456="✓","✓ ","")&amp;IF(Config!$E$22="Sim",$H456&amp;" · ","")&amp;$F456)</f>
        <v/>
      </c>
      <c r="N456" s="114" t="str">
        <f aca="false">IF($E456="","",IFERROR(INDEX(Config!$D$15:$D$19,MATCH($I456,Config!$C$15:$C$19,0)),"OUT")&amp;IF($K456="✓","x",""))</f>
        <v/>
      </c>
      <c r="O456" s="114" t="str">
        <f aca="false">IF($E456="","",COUNTIF($E$5:$E456,$E456))</f>
        <v/>
      </c>
      <c r="P456" s="114" t="str">
        <f aca="false">IF($E456="","",$E456*100+$O456)</f>
        <v/>
      </c>
      <c r="Q456" s="114" t="str">
        <f aca="false">IF($L456="Atrasado",$E456*10000+$A456,"")</f>
        <v/>
      </c>
    </row>
    <row r="457" customFormat="false" ht="15" hidden="false" customHeight="false" outlineLevel="0" collapsed="false">
      <c r="A457" s="114" t="n">
        <f aca="false">ROW()-4</f>
        <v>453</v>
      </c>
      <c r="B457" s="114" t="str">
        <f aca="false">IF(A457&lt;=Config!$E$27*Config!$E$28,"Tema","Avulso")</f>
        <v>Tema</v>
      </c>
      <c r="C457" s="114" t="n">
        <f aca="false">IF(B457="Tema",INT((A457-1)/Config!$E$28)+1,A457-Config!$E$27*Config!$E$28)</f>
        <v>76</v>
      </c>
      <c r="D457" s="114" t="n">
        <f aca="false">IF(B457="Tema",MOD(A457-1,Config!$E$28)+1,"")</f>
        <v>3</v>
      </c>
      <c r="E457" s="115" t="str">
        <f aca="false">IF($B457="Tema",IF(ISNUMBER(INDEX(Temas!$E$6:$P$305,$C457,2*$D457-1)),INDEX(Temas!$E$6:$P$305,$C457,2*$D457-1),""),IF(ISNUMBER(INDEX(Avulsos!$B$6:$B$205,$C457)),INDEX(Avulsos!$B$6:$B$205,$C457),""))</f>
        <v/>
      </c>
      <c r="F457" s="114" t="str">
        <f aca="false">IF($E457="","",IF($B457="Tema",INDEX(Temas!$B$6:$B$305,$C457)&amp;"",INDEX(Avulsos!$C$6:$C$205,$C457)&amp;""))</f>
        <v/>
      </c>
      <c r="G457" s="114" t="str">
        <f aca="false">IF($E457="","",IF($B457="Tema",INDEX(Config!$C$6:$C$11,$D457),"Evento avulso"))</f>
        <v/>
      </c>
      <c r="H457" s="114" t="str">
        <f aca="false">IF($E457="","",IF($B457="Tema",INDEX(Config!$D$6:$D$11,$D457),IFERROR(INDEX(Config!$E$15:$E$19,MATCH($I457,Config!$C$15:$C$19,0)),"•")))</f>
        <v/>
      </c>
      <c r="I457" s="114" t="str">
        <f aca="false">IF($E457="","",IF($B457="Tema",INDEX(Config!$E$6:$E$11,$D457),IF(INDEX(Avulsos!$D$6:$D$205,$C457)&amp;""="","Outro",INDEX(Avulsos!$D$6:$D$205,$C457))))</f>
        <v/>
      </c>
      <c r="J457" s="114" t="str">
        <f aca="false">IF($E457="","",IF($B457="Tema",INDEX(Temas!$C$6:$C$305,$C457)&amp;"",INDEX(Avulsos!$E$6:$E$205,$C457)&amp;""))</f>
        <v/>
      </c>
      <c r="K457" s="114" t="str">
        <f aca="false">IF($E457="","",IF(IF($B457="Tema",INDEX(Temas!$E$6:$P$305,$C457,2*$D457),INDEX(Avulsos!$F$6:$F$205,$C457))&amp;""="","","✓"))</f>
        <v/>
      </c>
      <c r="L457" s="114" t="str">
        <f aca="true">IF($E457="","",IF($K457="✓","Concluído",IF($E457&lt;TODAY(),"Atrasado",IF($E457=TODAY(),"Hoje","Pendente"))))</f>
        <v/>
      </c>
      <c r="M457" s="114" t="str">
        <f aca="false">IF($E457="","",IF($K457="✓","✓ ","")&amp;IF(Config!$E$22="Sim",$H457&amp;" · ","")&amp;$F457)</f>
        <v/>
      </c>
      <c r="N457" s="114" t="str">
        <f aca="false">IF($E457="","",IFERROR(INDEX(Config!$D$15:$D$19,MATCH($I457,Config!$C$15:$C$19,0)),"OUT")&amp;IF($K457="✓","x",""))</f>
        <v/>
      </c>
      <c r="O457" s="114" t="str">
        <f aca="false">IF($E457="","",COUNTIF($E$5:$E457,$E457))</f>
        <v/>
      </c>
      <c r="P457" s="114" t="str">
        <f aca="false">IF($E457="","",$E457*100+$O457)</f>
        <v/>
      </c>
      <c r="Q457" s="114" t="str">
        <f aca="false">IF($L457="Atrasado",$E457*10000+$A457,"")</f>
        <v/>
      </c>
    </row>
    <row r="458" customFormat="false" ht="15" hidden="false" customHeight="false" outlineLevel="0" collapsed="false">
      <c r="A458" s="114" t="n">
        <f aca="false">ROW()-4</f>
        <v>454</v>
      </c>
      <c r="B458" s="114" t="str">
        <f aca="false">IF(A458&lt;=Config!$E$27*Config!$E$28,"Tema","Avulso")</f>
        <v>Tema</v>
      </c>
      <c r="C458" s="114" t="n">
        <f aca="false">IF(B458="Tema",INT((A458-1)/Config!$E$28)+1,A458-Config!$E$27*Config!$E$28)</f>
        <v>76</v>
      </c>
      <c r="D458" s="114" t="n">
        <f aca="false">IF(B458="Tema",MOD(A458-1,Config!$E$28)+1,"")</f>
        <v>4</v>
      </c>
      <c r="E458" s="115" t="str">
        <f aca="false">IF($B458="Tema",IF(ISNUMBER(INDEX(Temas!$E$6:$P$305,$C458,2*$D458-1)),INDEX(Temas!$E$6:$P$305,$C458,2*$D458-1),""),IF(ISNUMBER(INDEX(Avulsos!$B$6:$B$205,$C458)),INDEX(Avulsos!$B$6:$B$205,$C458),""))</f>
        <v/>
      </c>
      <c r="F458" s="114" t="str">
        <f aca="false">IF($E458="","",IF($B458="Tema",INDEX(Temas!$B$6:$B$305,$C458)&amp;"",INDEX(Avulsos!$C$6:$C$205,$C458)&amp;""))</f>
        <v/>
      </c>
      <c r="G458" s="114" t="str">
        <f aca="false">IF($E458="","",IF($B458="Tema",INDEX(Config!$C$6:$C$11,$D458),"Evento avulso"))</f>
        <v/>
      </c>
      <c r="H458" s="114" t="str">
        <f aca="false">IF($E458="","",IF($B458="Tema",INDEX(Config!$D$6:$D$11,$D458),IFERROR(INDEX(Config!$E$15:$E$19,MATCH($I458,Config!$C$15:$C$19,0)),"•")))</f>
        <v/>
      </c>
      <c r="I458" s="114" t="str">
        <f aca="false">IF($E458="","",IF($B458="Tema",INDEX(Config!$E$6:$E$11,$D458),IF(INDEX(Avulsos!$D$6:$D$205,$C458)&amp;""="","Outro",INDEX(Avulsos!$D$6:$D$205,$C458))))</f>
        <v/>
      </c>
      <c r="J458" s="114" t="str">
        <f aca="false">IF($E458="","",IF($B458="Tema",INDEX(Temas!$C$6:$C$305,$C458)&amp;"",INDEX(Avulsos!$E$6:$E$205,$C458)&amp;""))</f>
        <v/>
      </c>
      <c r="K458" s="114" t="str">
        <f aca="false">IF($E458="","",IF(IF($B458="Tema",INDEX(Temas!$E$6:$P$305,$C458,2*$D458),INDEX(Avulsos!$F$6:$F$205,$C458))&amp;""="","","✓"))</f>
        <v/>
      </c>
      <c r="L458" s="114" t="str">
        <f aca="true">IF($E458="","",IF($K458="✓","Concluído",IF($E458&lt;TODAY(),"Atrasado",IF($E458=TODAY(),"Hoje","Pendente"))))</f>
        <v/>
      </c>
      <c r="M458" s="114" t="str">
        <f aca="false">IF($E458="","",IF($K458="✓","✓ ","")&amp;IF(Config!$E$22="Sim",$H458&amp;" · ","")&amp;$F458)</f>
        <v/>
      </c>
      <c r="N458" s="114" t="str">
        <f aca="false">IF($E458="","",IFERROR(INDEX(Config!$D$15:$D$19,MATCH($I458,Config!$C$15:$C$19,0)),"OUT")&amp;IF($K458="✓","x",""))</f>
        <v/>
      </c>
      <c r="O458" s="114" t="str">
        <f aca="false">IF($E458="","",COUNTIF($E$5:$E458,$E458))</f>
        <v/>
      </c>
      <c r="P458" s="114" t="str">
        <f aca="false">IF($E458="","",$E458*100+$O458)</f>
        <v/>
      </c>
      <c r="Q458" s="114" t="str">
        <f aca="false">IF($L458="Atrasado",$E458*10000+$A458,"")</f>
        <v/>
      </c>
    </row>
    <row r="459" customFormat="false" ht="15" hidden="false" customHeight="false" outlineLevel="0" collapsed="false">
      <c r="A459" s="114" t="n">
        <f aca="false">ROW()-4</f>
        <v>455</v>
      </c>
      <c r="B459" s="114" t="str">
        <f aca="false">IF(A459&lt;=Config!$E$27*Config!$E$28,"Tema","Avulso")</f>
        <v>Tema</v>
      </c>
      <c r="C459" s="114" t="n">
        <f aca="false">IF(B459="Tema",INT((A459-1)/Config!$E$28)+1,A459-Config!$E$27*Config!$E$28)</f>
        <v>76</v>
      </c>
      <c r="D459" s="114" t="n">
        <f aca="false">IF(B459="Tema",MOD(A459-1,Config!$E$28)+1,"")</f>
        <v>5</v>
      </c>
      <c r="E459" s="115" t="str">
        <f aca="false">IF($B459="Tema",IF(ISNUMBER(INDEX(Temas!$E$6:$P$305,$C459,2*$D459-1)),INDEX(Temas!$E$6:$P$305,$C459,2*$D459-1),""),IF(ISNUMBER(INDEX(Avulsos!$B$6:$B$205,$C459)),INDEX(Avulsos!$B$6:$B$205,$C459),""))</f>
        <v/>
      </c>
      <c r="F459" s="114" t="str">
        <f aca="false">IF($E459="","",IF($B459="Tema",INDEX(Temas!$B$6:$B$305,$C459)&amp;"",INDEX(Avulsos!$C$6:$C$205,$C459)&amp;""))</f>
        <v/>
      </c>
      <c r="G459" s="114" t="str">
        <f aca="false">IF($E459="","",IF($B459="Tema",INDEX(Config!$C$6:$C$11,$D459),"Evento avulso"))</f>
        <v/>
      </c>
      <c r="H459" s="114" t="str">
        <f aca="false">IF($E459="","",IF($B459="Tema",INDEX(Config!$D$6:$D$11,$D459),IFERROR(INDEX(Config!$E$15:$E$19,MATCH($I459,Config!$C$15:$C$19,0)),"•")))</f>
        <v/>
      </c>
      <c r="I459" s="114" t="str">
        <f aca="false">IF($E459="","",IF($B459="Tema",INDEX(Config!$E$6:$E$11,$D459),IF(INDEX(Avulsos!$D$6:$D$205,$C459)&amp;""="","Outro",INDEX(Avulsos!$D$6:$D$205,$C459))))</f>
        <v/>
      </c>
      <c r="J459" s="114" t="str">
        <f aca="false">IF($E459="","",IF($B459="Tema",INDEX(Temas!$C$6:$C$305,$C459)&amp;"",INDEX(Avulsos!$E$6:$E$205,$C459)&amp;""))</f>
        <v/>
      </c>
      <c r="K459" s="114" t="str">
        <f aca="false">IF($E459="","",IF(IF($B459="Tema",INDEX(Temas!$E$6:$P$305,$C459,2*$D459),INDEX(Avulsos!$F$6:$F$205,$C459))&amp;""="","","✓"))</f>
        <v/>
      </c>
      <c r="L459" s="114" t="str">
        <f aca="true">IF($E459="","",IF($K459="✓","Concluído",IF($E459&lt;TODAY(),"Atrasado",IF($E459=TODAY(),"Hoje","Pendente"))))</f>
        <v/>
      </c>
      <c r="M459" s="114" t="str">
        <f aca="false">IF($E459="","",IF($K459="✓","✓ ","")&amp;IF(Config!$E$22="Sim",$H459&amp;" · ","")&amp;$F459)</f>
        <v/>
      </c>
      <c r="N459" s="114" t="str">
        <f aca="false">IF($E459="","",IFERROR(INDEX(Config!$D$15:$D$19,MATCH($I459,Config!$C$15:$C$19,0)),"OUT")&amp;IF($K459="✓","x",""))</f>
        <v/>
      </c>
      <c r="O459" s="114" t="str">
        <f aca="false">IF($E459="","",COUNTIF($E$5:$E459,$E459))</f>
        <v/>
      </c>
      <c r="P459" s="114" t="str">
        <f aca="false">IF($E459="","",$E459*100+$O459)</f>
        <v/>
      </c>
      <c r="Q459" s="114" t="str">
        <f aca="false">IF($L459="Atrasado",$E459*10000+$A459,"")</f>
        <v/>
      </c>
    </row>
    <row r="460" customFormat="false" ht="15" hidden="false" customHeight="false" outlineLevel="0" collapsed="false">
      <c r="A460" s="114" t="n">
        <f aca="false">ROW()-4</f>
        <v>456</v>
      </c>
      <c r="B460" s="114" t="str">
        <f aca="false">IF(A460&lt;=Config!$E$27*Config!$E$28,"Tema","Avulso")</f>
        <v>Tema</v>
      </c>
      <c r="C460" s="114" t="n">
        <f aca="false">IF(B460="Tema",INT((A460-1)/Config!$E$28)+1,A460-Config!$E$27*Config!$E$28)</f>
        <v>76</v>
      </c>
      <c r="D460" s="114" t="n">
        <f aca="false">IF(B460="Tema",MOD(A460-1,Config!$E$28)+1,"")</f>
        <v>6</v>
      </c>
      <c r="E460" s="115" t="str">
        <f aca="false">IF($B460="Tema",IF(ISNUMBER(INDEX(Temas!$E$6:$P$305,$C460,2*$D460-1)),INDEX(Temas!$E$6:$P$305,$C460,2*$D460-1),""),IF(ISNUMBER(INDEX(Avulsos!$B$6:$B$205,$C460)),INDEX(Avulsos!$B$6:$B$205,$C460),""))</f>
        <v/>
      </c>
      <c r="F460" s="114" t="str">
        <f aca="false">IF($E460="","",IF($B460="Tema",INDEX(Temas!$B$6:$B$305,$C460)&amp;"",INDEX(Avulsos!$C$6:$C$205,$C460)&amp;""))</f>
        <v/>
      </c>
      <c r="G460" s="114" t="str">
        <f aca="false">IF($E460="","",IF($B460="Tema",INDEX(Config!$C$6:$C$11,$D460),"Evento avulso"))</f>
        <v/>
      </c>
      <c r="H460" s="114" t="str">
        <f aca="false">IF($E460="","",IF($B460="Tema",INDEX(Config!$D$6:$D$11,$D460),IFERROR(INDEX(Config!$E$15:$E$19,MATCH($I460,Config!$C$15:$C$19,0)),"•")))</f>
        <v/>
      </c>
      <c r="I460" s="114" t="str">
        <f aca="false">IF($E460="","",IF($B460="Tema",INDEX(Config!$E$6:$E$11,$D460),IF(INDEX(Avulsos!$D$6:$D$205,$C460)&amp;""="","Outro",INDEX(Avulsos!$D$6:$D$205,$C460))))</f>
        <v/>
      </c>
      <c r="J460" s="114" t="str">
        <f aca="false">IF($E460="","",IF($B460="Tema",INDEX(Temas!$C$6:$C$305,$C460)&amp;"",INDEX(Avulsos!$E$6:$E$205,$C460)&amp;""))</f>
        <v/>
      </c>
      <c r="K460" s="114" t="str">
        <f aca="false">IF($E460="","",IF(IF($B460="Tema",INDEX(Temas!$E$6:$P$305,$C460,2*$D460),INDEX(Avulsos!$F$6:$F$205,$C460))&amp;""="","","✓"))</f>
        <v/>
      </c>
      <c r="L460" s="114" t="str">
        <f aca="true">IF($E460="","",IF($K460="✓","Concluído",IF($E460&lt;TODAY(),"Atrasado",IF($E460=TODAY(),"Hoje","Pendente"))))</f>
        <v/>
      </c>
      <c r="M460" s="114" t="str">
        <f aca="false">IF($E460="","",IF($K460="✓","✓ ","")&amp;IF(Config!$E$22="Sim",$H460&amp;" · ","")&amp;$F460)</f>
        <v/>
      </c>
      <c r="N460" s="114" t="str">
        <f aca="false">IF($E460="","",IFERROR(INDEX(Config!$D$15:$D$19,MATCH($I460,Config!$C$15:$C$19,0)),"OUT")&amp;IF($K460="✓","x",""))</f>
        <v/>
      </c>
      <c r="O460" s="114" t="str">
        <f aca="false">IF($E460="","",COUNTIF($E$5:$E460,$E460))</f>
        <v/>
      </c>
      <c r="P460" s="114" t="str">
        <f aca="false">IF($E460="","",$E460*100+$O460)</f>
        <v/>
      </c>
      <c r="Q460" s="114" t="str">
        <f aca="false">IF($L460="Atrasado",$E460*10000+$A460,"")</f>
        <v/>
      </c>
    </row>
    <row r="461" customFormat="false" ht="15" hidden="false" customHeight="false" outlineLevel="0" collapsed="false">
      <c r="A461" s="114" t="n">
        <f aca="false">ROW()-4</f>
        <v>457</v>
      </c>
      <c r="B461" s="114" t="str">
        <f aca="false">IF(A461&lt;=Config!$E$27*Config!$E$28,"Tema","Avulso")</f>
        <v>Tema</v>
      </c>
      <c r="C461" s="114" t="n">
        <f aca="false">IF(B461="Tema",INT((A461-1)/Config!$E$28)+1,A461-Config!$E$27*Config!$E$28)</f>
        <v>77</v>
      </c>
      <c r="D461" s="114" t="n">
        <f aca="false">IF(B461="Tema",MOD(A461-1,Config!$E$28)+1,"")</f>
        <v>1</v>
      </c>
      <c r="E461" s="115" t="str">
        <f aca="false">IF($B461="Tema",IF(ISNUMBER(INDEX(Temas!$E$6:$P$305,$C461,2*$D461-1)),INDEX(Temas!$E$6:$P$305,$C461,2*$D461-1),""),IF(ISNUMBER(INDEX(Avulsos!$B$6:$B$205,$C461)),INDEX(Avulsos!$B$6:$B$205,$C461),""))</f>
        <v/>
      </c>
      <c r="F461" s="114" t="str">
        <f aca="false">IF($E461="","",IF($B461="Tema",INDEX(Temas!$B$6:$B$305,$C461)&amp;"",INDEX(Avulsos!$C$6:$C$205,$C461)&amp;""))</f>
        <v/>
      </c>
      <c r="G461" s="114" t="str">
        <f aca="false">IF($E461="","",IF($B461="Tema",INDEX(Config!$C$6:$C$11,$D461),"Evento avulso"))</f>
        <v/>
      </c>
      <c r="H461" s="114" t="str">
        <f aca="false">IF($E461="","",IF($B461="Tema",INDEX(Config!$D$6:$D$11,$D461),IFERROR(INDEX(Config!$E$15:$E$19,MATCH($I461,Config!$C$15:$C$19,0)),"•")))</f>
        <v/>
      </c>
      <c r="I461" s="114" t="str">
        <f aca="false">IF($E461="","",IF($B461="Tema",INDEX(Config!$E$6:$E$11,$D461),IF(INDEX(Avulsos!$D$6:$D$205,$C461)&amp;""="","Outro",INDEX(Avulsos!$D$6:$D$205,$C461))))</f>
        <v/>
      </c>
      <c r="J461" s="114" t="str">
        <f aca="false">IF($E461="","",IF($B461="Tema",INDEX(Temas!$C$6:$C$305,$C461)&amp;"",INDEX(Avulsos!$E$6:$E$205,$C461)&amp;""))</f>
        <v/>
      </c>
      <c r="K461" s="114" t="str">
        <f aca="false">IF($E461="","",IF(IF($B461="Tema",INDEX(Temas!$E$6:$P$305,$C461,2*$D461),INDEX(Avulsos!$F$6:$F$205,$C461))&amp;""="","","✓"))</f>
        <v/>
      </c>
      <c r="L461" s="114" t="str">
        <f aca="true">IF($E461="","",IF($K461="✓","Concluído",IF($E461&lt;TODAY(),"Atrasado",IF($E461=TODAY(),"Hoje","Pendente"))))</f>
        <v/>
      </c>
      <c r="M461" s="114" t="str">
        <f aca="false">IF($E461="","",IF($K461="✓","✓ ","")&amp;IF(Config!$E$22="Sim",$H461&amp;" · ","")&amp;$F461)</f>
        <v/>
      </c>
      <c r="N461" s="114" t="str">
        <f aca="false">IF($E461="","",IFERROR(INDEX(Config!$D$15:$D$19,MATCH($I461,Config!$C$15:$C$19,0)),"OUT")&amp;IF($K461="✓","x",""))</f>
        <v/>
      </c>
      <c r="O461" s="114" t="str">
        <f aca="false">IF($E461="","",COUNTIF($E$5:$E461,$E461))</f>
        <v/>
      </c>
      <c r="P461" s="114" t="str">
        <f aca="false">IF($E461="","",$E461*100+$O461)</f>
        <v/>
      </c>
      <c r="Q461" s="114" t="str">
        <f aca="false">IF($L461="Atrasado",$E461*10000+$A461,"")</f>
        <v/>
      </c>
    </row>
    <row r="462" customFormat="false" ht="15" hidden="false" customHeight="false" outlineLevel="0" collapsed="false">
      <c r="A462" s="114" t="n">
        <f aca="false">ROW()-4</f>
        <v>458</v>
      </c>
      <c r="B462" s="114" t="str">
        <f aca="false">IF(A462&lt;=Config!$E$27*Config!$E$28,"Tema","Avulso")</f>
        <v>Tema</v>
      </c>
      <c r="C462" s="114" t="n">
        <f aca="false">IF(B462="Tema",INT((A462-1)/Config!$E$28)+1,A462-Config!$E$27*Config!$E$28)</f>
        <v>77</v>
      </c>
      <c r="D462" s="114" t="n">
        <f aca="false">IF(B462="Tema",MOD(A462-1,Config!$E$28)+1,"")</f>
        <v>2</v>
      </c>
      <c r="E462" s="115" t="str">
        <f aca="false">IF($B462="Tema",IF(ISNUMBER(INDEX(Temas!$E$6:$P$305,$C462,2*$D462-1)),INDEX(Temas!$E$6:$P$305,$C462,2*$D462-1),""),IF(ISNUMBER(INDEX(Avulsos!$B$6:$B$205,$C462)),INDEX(Avulsos!$B$6:$B$205,$C462),""))</f>
        <v/>
      </c>
      <c r="F462" s="114" t="str">
        <f aca="false">IF($E462="","",IF($B462="Tema",INDEX(Temas!$B$6:$B$305,$C462)&amp;"",INDEX(Avulsos!$C$6:$C$205,$C462)&amp;""))</f>
        <v/>
      </c>
      <c r="G462" s="114" t="str">
        <f aca="false">IF($E462="","",IF($B462="Tema",INDEX(Config!$C$6:$C$11,$D462),"Evento avulso"))</f>
        <v/>
      </c>
      <c r="H462" s="114" t="str">
        <f aca="false">IF($E462="","",IF($B462="Tema",INDEX(Config!$D$6:$D$11,$D462),IFERROR(INDEX(Config!$E$15:$E$19,MATCH($I462,Config!$C$15:$C$19,0)),"•")))</f>
        <v/>
      </c>
      <c r="I462" s="114" t="str">
        <f aca="false">IF($E462="","",IF($B462="Tema",INDEX(Config!$E$6:$E$11,$D462),IF(INDEX(Avulsos!$D$6:$D$205,$C462)&amp;""="","Outro",INDEX(Avulsos!$D$6:$D$205,$C462))))</f>
        <v/>
      </c>
      <c r="J462" s="114" t="str">
        <f aca="false">IF($E462="","",IF($B462="Tema",INDEX(Temas!$C$6:$C$305,$C462)&amp;"",INDEX(Avulsos!$E$6:$E$205,$C462)&amp;""))</f>
        <v/>
      </c>
      <c r="K462" s="114" t="str">
        <f aca="false">IF($E462="","",IF(IF($B462="Tema",INDEX(Temas!$E$6:$P$305,$C462,2*$D462),INDEX(Avulsos!$F$6:$F$205,$C462))&amp;""="","","✓"))</f>
        <v/>
      </c>
      <c r="L462" s="114" t="str">
        <f aca="true">IF($E462="","",IF($K462="✓","Concluído",IF($E462&lt;TODAY(),"Atrasado",IF($E462=TODAY(),"Hoje","Pendente"))))</f>
        <v/>
      </c>
      <c r="M462" s="114" t="str">
        <f aca="false">IF($E462="","",IF($K462="✓","✓ ","")&amp;IF(Config!$E$22="Sim",$H462&amp;" · ","")&amp;$F462)</f>
        <v/>
      </c>
      <c r="N462" s="114" t="str">
        <f aca="false">IF($E462="","",IFERROR(INDEX(Config!$D$15:$D$19,MATCH($I462,Config!$C$15:$C$19,0)),"OUT")&amp;IF($K462="✓","x",""))</f>
        <v/>
      </c>
      <c r="O462" s="114" t="str">
        <f aca="false">IF($E462="","",COUNTIF($E$5:$E462,$E462))</f>
        <v/>
      </c>
      <c r="P462" s="114" t="str">
        <f aca="false">IF($E462="","",$E462*100+$O462)</f>
        <v/>
      </c>
      <c r="Q462" s="114" t="str">
        <f aca="false">IF($L462="Atrasado",$E462*10000+$A462,"")</f>
        <v/>
      </c>
    </row>
    <row r="463" customFormat="false" ht="15" hidden="false" customHeight="false" outlineLevel="0" collapsed="false">
      <c r="A463" s="114" t="n">
        <f aca="false">ROW()-4</f>
        <v>459</v>
      </c>
      <c r="B463" s="114" t="str">
        <f aca="false">IF(A463&lt;=Config!$E$27*Config!$E$28,"Tema","Avulso")</f>
        <v>Tema</v>
      </c>
      <c r="C463" s="114" t="n">
        <f aca="false">IF(B463="Tema",INT((A463-1)/Config!$E$28)+1,A463-Config!$E$27*Config!$E$28)</f>
        <v>77</v>
      </c>
      <c r="D463" s="114" t="n">
        <f aca="false">IF(B463="Tema",MOD(A463-1,Config!$E$28)+1,"")</f>
        <v>3</v>
      </c>
      <c r="E463" s="115" t="str">
        <f aca="false">IF($B463="Tema",IF(ISNUMBER(INDEX(Temas!$E$6:$P$305,$C463,2*$D463-1)),INDEX(Temas!$E$6:$P$305,$C463,2*$D463-1),""),IF(ISNUMBER(INDEX(Avulsos!$B$6:$B$205,$C463)),INDEX(Avulsos!$B$6:$B$205,$C463),""))</f>
        <v/>
      </c>
      <c r="F463" s="114" t="str">
        <f aca="false">IF($E463="","",IF($B463="Tema",INDEX(Temas!$B$6:$B$305,$C463)&amp;"",INDEX(Avulsos!$C$6:$C$205,$C463)&amp;""))</f>
        <v/>
      </c>
      <c r="G463" s="114" t="str">
        <f aca="false">IF($E463="","",IF($B463="Tema",INDEX(Config!$C$6:$C$11,$D463),"Evento avulso"))</f>
        <v/>
      </c>
      <c r="H463" s="114" t="str">
        <f aca="false">IF($E463="","",IF($B463="Tema",INDEX(Config!$D$6:$D$11,$D463),IFERROR(INDEX(Config!$E$15:$E$19,MATCH($I463,Config!$C$15:$C$19,0)),"•")))</f>
        <v/>
      </c>
      <c r="I463" s="114" t="str">
        <f aca="false">IF($E463="","",IF($B463="Tema",INDEX(Config!$E$6:$E$11,$D463),IF(INDEX(Avulsos!$D$6:$D$205,$C463)&amp;""="","Outro",INDEX(Avulsos!$D$6:$D$205,$C463))))</f>
        <v/>
      </c>
      <c r="J463" s="114" t="str">
        <f aca="false">IF($E463="","",IF($B463="Tema",INDEX(Temas!$C$6:$C$305,$C463)&amp;"",INDEX(Avulsos!$E$6:$E$205,$C463)&amp;""))</f>
        <v/>
      </c>
      <c r="K463" s="114" t="str">
        <f aca="false">IF($E463="","",IF(IF($B463="Tema",INDEX(Temas!$E$6:$P$305,$C463,2*$D463),INDEX(Avulsos!$F$6:$F$205,$C463))&amp;""="","","✓"))</f>
        <v/>
      </c>
      <c r="L463" s="114" t="str">
        <f aca="true">IF($E463="","",IF($K463="✓","Concluído",IF($E463&lt;TODAY(),"Atrasado",IF($E463=TODAY(),"Hoje","Pendente"))))</f>
        <v/>
      </c>
      <c r="M463" s="114" t="str">
        <f aca="false">IF($E463="","",IF($K463="✓","✓ ","")&amp;IF(Config!$E$22="Sim",$H463&amp;" · ","")&amp;$F463)</f>
        <v/>
      </c>
      <c r="N463" s="114" t="str">
        <f aca="false">IF($E463="","",IFERROR(INDEX(Config!$D$15:$D$19,MATCH($I463,Config!$C$15:$C$19,0)),"OUT")&amp;IF($K463="✓","x",""))</f>
        <v/>
      </c>
      <c r="O463" s="114" t="str">
        <f aca="false">IF($E463="","",COUNTIF($E$5:$E463,$E463))</f>
        <v/>
      </c>
      <c r="P463" s="114" t="str">
        <f aca="false">IF($E463="","",$E463*100+$O463)</f>
        <v/>
      </c>
      <c r="Q463" s="114" t="str">
        <f aca="false">IF($L463="Atrasado",$E463*10000+$A463,"")</f>
        <v/>
      </c>
    </row>
    <row r="464" customFormat="false" ht="15" hidden="false" customHeight="false" outlineLevel="0" collapsed="false">
      <c r="A464" s="114" t="n">
        <f aca="false">ROW()-4</f>
        <v>460</v>
      </c>
      <c r="B464" s="114" t="str">
        <f aca="false">IF(A464&lt;=Config!$E$27*Config!$E$28,"Tema","Avulso")</f>
        <v>Tema</v>
      </c>
      <c r="C464" s="114" t="n">
        <f aca="false">IF(B464="Tema",INT((A464-1)/Config!$E$28)+1,A464-Config!$E$27*Config!$E$28)</f>
        <v>77</v>
      </c>
      <c r="D464" s="114" t="n">
        <f aca="false">IF(B464="Tema",MOD(A464-1,Config!$E$28)+1,"")</f>
        <v>4</v>
      </c>
      <c r="E464" s="115" t="str">
        <f aca="false">IF($B464="Tema",IF(ISNUMBER(INDEX(Temas!$E$6:$P$305,$C464,2*$D464-1)),INDEX(Temas!$E$6:$P$305,$C464,2*$D464-1),""),IF(ISNUMBER(INDEX(Avulsos!$B$6:$B$205,$C464)),INDEX(Avulsos!$B$6:$B$205,$C464),""))</f>
        <v/>
      </c>
      <c r="F464" s="114" t="str">
        <f aca="false">IF($E464="","",IF($B464="Tema",INDEX(Temas!$B$6:$B$305,$C464)&amp;"",INDEX(Avulsos!$C$6:$C$205,$C464)&amp;""))</f>
        <v/>
      </c>
      <c r="G464" s="114" t="str">
        <f aca="false">IF($E464="","",IF($B464="Tema",INDEX(Config!$C$6:$C$11,$D464),"Evento avulso"))</f>
        <v/>
      </c>
      <c r="H464" s="114" t="str">
        <f aca="false">IF($E464="","",IF($B464="Tema",INDEX(Config!$D$6:$D$11,$D464),IFERROR(INDEX(Config!$E$15:$E$19,MATCH($I464,Config!$C$15:$C$19,0)),"•")))</f>
        <v/>
      </c>
      <c r="I464" s="114" t="str">
        <f aca="false">IF($E464="","",IF($B464="Tema",INDEX(Config!$E$6:$E$11,$D464),IF(INDEX(Avulsos!$D$6:$D$205,$C464)&amp;""="","Outro",INDEX(Avulsos!$D$6:$D$205,$C464))))</f>
        <v/>
      </c>
      <c r="J464" s="114" t="str">
        <f aca="false">IF($E464="","",IF($B464="Tema",INDEX(Temas!$C$6:$C$305,$C464)&amp;"",INDEX(Avulsos!$E$6:$E$205,$C464)&amp;""))</f>
        <v/>
      </c>
      <c r="K464" s="114" t="str">
        <f aca="false">IF($E464="","",IF(IF($B464="Tema",INDEX(Temas!$E$6:$P$305,$C464,2*$D464),INDEX(Avulsos!$F$6:$F$205,$C464))&amp;""="","","✓"))</f>
        <v/>
      </c>
      <c r="L464" s="114" t="str">
        <f aca="true">IF($E464="","",IF($K464="✓","Concluído",IF($E464&lt;TODAY(),"Atrasado",IF($E464=TODAY(),"Hoje","Pendente"))))</f>
        <v/>
      </c>
      <c r="M464" s="114" t="str">
        <f aca="false">IF($E464="","",IF($K464="✓","✓ ","")&amp;IF(Config!$E$22="Sim",$H464&amp;" · ","")&amp;$F464)</f>
        <v/>
      </c>
      <c r="N464" s="114" t="str">
        <f aca="false">IF($E464="","",IFERROR(INDEX(Config!$D$15:$D$19,MATCH($I464,Config!$C$15:$C$19,0)),"OUT")&amp;IF($K464="✓","x",""))</f>
        <v/>
      </c>
      <c r="O464" s="114" t="str">
        <f aca="false">IF($E464="","",COUNTIF($E$5:$E464,$E464))</f>
        <v/>
      </c>
      <c r="P464" s="114" t="str">
        <f aca="false">IF($E464="","",$E464*100+$O464)</f>
        <v/>
      </c>
      <c r="Q464" s="114" t="str">
        <f aca="false">IF($L464="Atrasado",$E464*10000+$A464,"")</f>
        <v/>
      </c>
    </row>
    <row r="465" customFormat="false" ht="15" hidden="false" customHeight="false" outlineLevel="0" collapsed="false">
      <c r="A465" s="114" t="n">
        <f aca="false">ROW()-4</f>
        <v>461</v>
      </c>
      <c r="B465" s="114" t="str">
        <f aca="false">IF(A465&lt;=Config!$E$27*Config!$E$28,"Tema","Avulso")</f>
        <v>Tema</v>
      </c>
      <c r="C465" s="114" t="n">
        <f aca="false">IF(B465="Tema",INT((A465-1)/Config!$E$28)+1,A465-Config!$E$27*Config!$E$28)</f>
        <v>77</v>
      </c>
      <c r="D465" s="114" t="n">
        <f aca="false">IF(B465="Tema",MOD(A465-1,Config!$E$28)+1,"")</f>
        <v>5</v>
      </c>
      <c r="E465" s="115" t="str">
        <f aca="false">IF($B465="Tema",IF(ISNUMBER(INDEX(Temas!$E$6:$P$305,$C465,2*$D465-1)),INDEX(Temas!$E$6:$P$305,$C465,2*$D465-1),""),IF(ISNUMBER(INDEX(Avulsos!$B$6:$B$205,$C465)),INDEX(Avulsos!$B$6:$B$205,$C465),""))</f>
        <v/>
      </c>
      <c r="F465" s="114" t="str">
        <f aca="false">IF($E465="","",IF($B465="Tema",INDEX(Temas!$B$6:$B$305,$C465)&amp;"",INDEX(Avulsos!$C$6:$C$205,$C465)&amp;""))</f>
        <v/>
      </c>
      <c r="G465" s="114" t="str">
        <f aca="false">IF($E465="","",IF($B465="Tema",INDEX(Config!$C$6:$C$11,$D465),"Evento avulso"))</f>
        <v/>
      </c>
      <c r="H465" s="114" t="str">
        <f aca="false">IF($E465="","",IF($B465="Tema",INDEX(Config!$D$6:$D$11,$D465),IFERROR(INDEX(Config!$E$15:$E$19,MATCH($I465,Config!$C$15:$C$19,0)),"•")))</f>
        <v/>
      </c>
      <c r="I465" s="114" t="str">
        <f aca="false">IF($E465="","",IF($B465="Tema",INDEX(Config!$E$6:$E$11,$D465),IF(INDEX(Avulsos!$D$6:$D$205,$C465)&amp;""="","Outro",INDEX(Avulsos!$D$6:$D$205,$C465))))</f>
        <v/>
      </c>
      <c r="J465" s="114" t="str">
        <f aca="false">IF($E465="","",IF($B465="Tema",INDEX(Temas!$C$6:$C$305,$C465)&amp;"",INDEX(Avulsos!$E$6:$E$205,$C465)&amp;""))</f>
        <v/>
      </c>
      <c r="K465" s="114" t="str">
        <f aca="false">IF($E465="","",IF(IF($B465="Tema",INDEX(Temas!$E$6:$P$305,$C465,2*$D465),INDEX(Avulsos!$F$6:$F$205,$C465))&amp;""="","","✓"))</f>
        <v/>
      </c>
      <c r="L465" s="114" t="str">
        <f aca="true">IF($E465="","",IF($K465="✓","Concluído",IF($E465&lt;TODAY(),"Atrasado",IF($E465=TODAY(),"Hoje","Pendente"))))</f>
        <v/>
      </c>
      <c r="M465" s="114" t="str">
        <f aca="false">IF($E465="","",IF($K465="✓","✓ ","")&amp;IF(Config!$E$22="Sim",$H465&amp;" · ","")&amp;$F465)</f>
        <v/>
      </c>
      <c r="N465" s="114" t="str">
        <f aca="false">IF($E465="","",IFERROR(INDEX(Config!$D$15:$D$19,MATCH($I465,Config!$C$15:$C$19,0)),"OUT")&amp;IF($K465="✓","x",""))</f>
        <v/>
      </c>
      <c r="O465" s="114" t="str">
        <f aca="false">IF($E465="","",COUNTIF($E$5:$E465,$E465))</f>
        <v/>
      </c>
      <c r="P465" s="114" t="str">
        <f aca="false">IF($E465="","",$E465*100+$O465)</f>
        <v/>
      </c>
      <c r="Q465" s="114" t="str">
        <f aca="false">IF($L465="Atrasado",$E465*10000+$A465,"")</f>
        <v/>
      </c>
    </row>
    <row r="466" customFormat="false" ht="15" hidden="false" customHeight="false" outlineLevel="0" collapsed="false">
      <c r="A466" s="114" t="n">
        <f aca="false">ROW()-4</f>
        <v>462</v>
      </c>
      <c r="B466" s="114" t="str">
        <f aca="false">IF(A466&lt;=Config!$E$27*Config!$E$28,"Tema","Avulso")</f>
        <v>Tema</v>
      </c>
      <c r="C466" s="114" t="n">
        <f aca="false">IF(B466="Tema",INT((A466-1)/Config!$E$28)+1,A466-Config!$E$27*Config!$E$28)</f>
        <v>77</v>
      </c>
      <c r="D466" s="114" t="n">
        <f aca="false">IF(B466="Tema",MOD(A466-1,Config!$E$28)+1,"")</f>
        <v>6</v>
      </c>
      <c r="E466" s="115" t="str">
        <f aca="false">IF($B466="Tema",IF(ISNUMBER(INDEX(Temas!$E$6:$P$305,$C466,2*$D466-1)),INDEX(Temas!$E$6:$P$305,$C466,2*$D466-1),""),IF(ISNUMBER(INDEX(Avulsos!$B$6:$B$205,$C466)),INDEX(Avulsos!$B$6:$B$205,$C466),""))</f>
        <v/>
      </c>
      <c r="F466" s="114" t="str">
        <f aca="false">IF($E466="","",IF($B466="Tema",INDEX(Temas!$B$6:$B$305,$C466)&amp;"",INDEX(Avulsos!$C$6:$C$205,$C466)&amp;""))</f>
        <v/>
      </c>
      <c r="G466" s="114" t="str">
        <f aca="false">IF($E466="","",IF($B466="Tema",INDEX(Config!$C$6:$C$11,$D466),"Evento avulso"))</f>
        <v/>
      </c>
      <c r="H466" s="114" t="str">
        <f aca="false">IF($E466="","",IF($B466="Tema",INDEX(Config!$D$6:$D$11,$D466),IFERROR(INDEX(Config!$E$15:$E$19,MATCH($I466,Config!$C$15:$C$19,0)),"•")))</f>
        <v/>
      </c>
      <c r="I466" s="114" t="str">
        <f aca="false">IF($E466="","",IF($B466="Tema",INDEX(Config!$E$6:$E$11,$D466),IF(INDEX(Avulsos!$D$6:$D$205,$C466)&amp;""="","Outro",INDEX(Avulsos!$D$6:$D$205,$C466))))</f>
        <v/>
      </c>
      <c r="J466" s="114" t="str">
        <f aca="false">IF($E466="","",IF($B466="Tema",INDEX(Temas!$C$6:$C$305,$C466)&amp;"",INDEX(Avulsos!$E$6:$E$205,$C466)&amp;""))</f>
        <v/>
      </c>
      <c r="K466" s="114" t="str">
        <f aca="false">IF($E466="","",IF(IF($B466="Tema",INDEX(Temas!$E$6:$P$305,$C466,2*$D466),INDEX(Avulsos!$F$6:$F$205,$C466))&amp;""="","","✓"))</f>
        <v/>
      </c>
      <c r="L466" s="114" t="str">
        <f aca="true">IF($E466="","",IF($K466="✓","Concluído",IF($E466&lt;TODAY(),"Atrasado",IF($E466=TODAY(),"Hoje","Pendente"))))</f>
        <v/>
      </c>
      <c r="M466" s="114" t="str">
        <f aca="false">IF($E466="","",IF($K466="✓","✓ ","")&amp;IF(Config!$E$22="Sim",$H466&amp;" · ","")&amp;$F466)</f>
        <v/>
      </c>
      <c r="N466" s="114" t="str">
        <f aca="false">IF($E466="","",IFERROR(INDEX(Config!$D$15:$D$19,MATCH($I466,Config!$C$15:$C$19,0)),"OUT")&amp;IF($K466="✓","x",""))</f>
        <v/>
      </c>
      <c r="O466" s="114" t="str">
        <f aca="false">IF($E466="","",COUNTIF($E$5:$E466,$E466))</f>
        <v/>
      </c>
      <c r="P466" s="114" t="str">
        <f aca="false">IF($E466="","",$E466*100+$O466)</f>
        <v/>
      </c>
      <c r="Q466" s="114" t="str">
        <f aca="false">IF($L466="Atrasado",$E466*10000+$A466,"")</f>
        <v/>
      </c>
    </row>
    <row r="467" customFormat="false" ht="15" hidden="false" customHeight="false" outlineLevel="0" collapsed="false">
      <c r="A467" s="114" t="n">
        <f aca="false">ROW()-4</f>
        <v>463</v>
      </c>
      <c r="B467" s="114" t="str">
        <f aca="false">IF(A467&lt;=Config!$E$27*Config!$E$28,"Tema","Avulso")</f>
        <v>Tema</v>
      </c>
      <c r="C467" s="114" t="n">
        <f aca="false">IF(B467="Tema",INT((A467-1)/Config!$E$28)+1,A467-Config!$E$27*Config!$E$28)</f>
        <v>78</v>
      </c>
      <c r="D467" s="114" t="n">
        <f aca="false">IF(B467="Tema",MOD(A467-1,Config!$E$28)+1,"")</f>
        <v>1</v>
      </c>
      <c r="E467" s="115" t="str">
        <f aca="false">IF($B467="Tema",IF(ISNUMBER(INDEX(Temas!$E$6:$P$305,$C467,2*$D467-1)),INDEX(Temas!$E$6:$P$305,$C467,2*$D467-1),""),IF(ISNUMBER(INDEX(Avulsos!$B$6:$B$205,$C467)),INDEX(Avulsos!$B$6:$B$205,$C467),""))</f>
        <v/>
      </c>
      <c r="F467" s="114" t="str">
        <f aca="false">IF($E467="","",IF($B467="Tema",INDEX(Temas!$B$6:$B$305,$C467)&amp;"",INDEX(Avulsos!$C$6:$C$205,$C467)&amp;""))</f>
        <v/>
      </c>
      <c r="G467" s="114" t="str">
        <f aca="false">IF($E467="","",IF($B467="Tema",INDEX(Config!$C$6:$C$11,$D467),"Evento avulso"))</f>
        <v/>
      </c>
      <c r="H467" s="114" t="str">
        <f aca="false">IF($E467="","",IF($B467="Tema",INDEX(Config!$D$6:$D$11,$D467),IFERROR(INDEX(Config!$E$15:$E$19,MATCH($I467,Config!$C$15:$C$19,0)),"•")))</f>
        <v/>
      </c>
      <c r="I467" s="114" t="str">
        <f aca="false">IF($E467="","",IF($B467="Tema",INDEX(Config!$E$6:$E$11,$D467),IF(INDEX(Avulsos!$D$6:$D$205,$C467)&amp;""="","Outro",INDEX(Avulsos!$D$6:$D$205,$C467))))</f>
        <v/>
      </c>
      <c r="J467" s="114" t="str">
        <f aca="false">IF($E467="","",IF($B467="Tema",INDEX(Temas!$C$6:$C$305,$C467)&amp;"",INDEX(Avulsos!$E$6:$E$205,$C467)&amp;""))</f>
        <v/>
      </c>
      <c r="K467" s="114" t="str">
        <f aca="false">IF($E467="","",IF(IF($B467="Tema",INDEX(Temas!$E$6:$P$305,$C467,2*$D467),INDEX(Avulsos!$F$6:$F$205,$C467))&amp;""="","","✓"))</f>
        <v/>
      </c>
      <c r="L467" s="114" t="str">
        <f aca="true">IF($E467="","",IF($K467="✓","Concluído",IF($E467&lt;TODAY(),"Atrasado",IF($E467=TODAY(),"Hoje","Pendente"))))</f>
        <v/>
      </c>
      <c r="M467" s="114" t="str">
        <f aca="false">IF($E467="","",IF($K467="✓","✓ ","")&amp;IF(Config!$E$22="Sim",$H467&amp;" · ","")&amp;$F467)</f>
        <v/>
      </c>
      <c r="N467" s="114" t="str">
        <f aca="false">IF($E467="","",IFERROR(INDEX(Config!$D$15:$D$19,MATCH($I467,Config!$C$15:$C$19,0)),"OUT")&amp;IF($K467="✓","x",""))</f>
        <v/>
      </c>
      <c r="O467" s="114" t="str">
        <f aca="false">IF($E467="","",COUNTIF($E$5:$E467,$E467))</f>
        <v/>
      </c>
      <c r="P467" s="114" t="str">
        <f aca="false">IF($E467="","",$E467*100+$O467)</f>
        <v/>
      </c>
      <c r="Q467" s="114" t="str">
        <f aca="false">IF($L467="Atrasado",$E467*10000+$A467,"")</f>
        <v/>
      </c>
    </row>
    <row r="468" customFormat="false" ht="15" hidden="false" customHeight="false" outlineLevel="0" collapsed="false">
      <c r="A468" s="114" t="n">
        <f aca="false">ROW()-4</f>
        <v>464</v>
      </c>
      <c r="B468" s="114" t="str">
        <f aca="false">IF(A468&lt;=Config!$E$27*Config!$E$28,"Tema","Avulso")</f>
        <v>Tema</v>
      </c>
      <c r="C468" s="114" t="n">
        <f aca="false">IF(B468="Tema",INT((A468-1)/Config!$E$28)+1,A468-Config!$E$27*Config!$E$28)</f>
        <v>78</v>
      </c>
      <c r="D468" s="114" t="n">
        <f aca="false">IF(B468="Tema",MOD(A468-1,Config!$E$28)+1,"")</f>
        <v>2</v>
      </c>
      <c r="E468" s="115" t="str">
        <f aca="false">IF($B468="Tema",IF(ISNUMBER(INDEX(Temas!$E$6:$P$305,$C468,2*$D468-1)),INDEX(Temas!$E$6:$P$305,$C468,2*$D468-1),""),IF(ISNUMBER(INDEX(Avulsos!$B$6:$B$205,$C468)),INDEX(Avulsos!$B$6:$B$205,$C468),""))</f>
        <v/>
      </c>
      <c r="F468" s="114" t="str">
        <f aca="false">IF($E468="","",IF($B468="Tema",INDEX(Temas!$B$6:$B$305,$C468)&amp;"",INDEX(Avulsos!$C$6:$C$205,$C468)&amp;""))</f>
        <v/>
      </c>
      <c r="G468" s="114" t="str">
        <f aca="false">IF($E468="","",IF($B468="Tema",INDEX(Config!$C$6:$C$11,$D468),"Evento avulso"))</f>
        <v/>
      </c>
      <c r="H468" s="114" t="str">
        <f aca="false">IF($E468="","",IF($B468="Tema",INDEX(Config!$D$6:$D$11,$D468),IFERROR(INDEX(Config!$E$15:$E$19,MATCH($I468,Config!$C$15:$C$19,0)),"•")))</f>
        <v/>
      </c>
      <c r="I468" s="114" t="str">
        <f aca="false">IF($E468="","",IF($B468="Tema",INDEX(Config!$E$6:$E$11,$D468),IF(INDEX(Avulsos!$D$6:$D$205,$C468)&amp;""="","Outro",INDEX(Avulsos!$D$6:$D$205,$C468))))</f>
        <v/>
      </c>
      <c r="J468" s="114" t="str">
        <f aca="false">IF($E468="","",IF($B468="Tema",INDEX(Temas!$C$6:$C$305,$C468)&amp;"",INDEX(Avulsos!$E$6:$E$205,$C468)&amp;""))</f>
        <v/>
      </c>
      <c r="K468" s="114" t="str">
        <f aca="false">IF($E468="","",IF(IF($B468="Tema",INDEX(Temas!$E$6:$P$305,$C468,2*$D468),INDEX(Avulsos!$F$6:$F$205,$C468))&amp;""="","","✓"))</f>
        <v/>
      </c>
      <c r="L468" s="114" t="str">
        <f aca="true">IF($E468="","",IF($K468="✓","Concluído",IF($E468&lt;TODAY(),"Atrasado",IF($E468=TODAY(),"Hoje","Pendente"))))</f>
        <v/>
      </c>
      <c r="M468" s="114" t="str">
        <f aca="false">IF($E468="","",IF($K468="✓","✓ ","")&amp;IF(Config!$E$22="Sim",$H468&amp;" · ","")&amp;$F468)</f>
        <v/>
      </c>
      <c r="N468" s="114" t="str">
        <f aca="false">IF($E468="","",IFERROR(INDEX(Config!$D$15:$D$19,MATCH($I468,Config!$C$15:$C$19,0)),"OUT")&amp;IF($K468="✓","x",""))</f>
        <v/>
      </c>
      <c r="O468" s="114" t="str">
        <f aca="false">IF($E468="","",COUNTIF($E$5:$E468,$E468))</f>
        <v/>
      </c>
      <c r="P468" s="114" t="str">
        <f aca="false">IF($E468="","",$E468*100+$O468)</f>
        <v/>
      </c>
      <c r="Q468" s="114" t="str">
        <f aca="false">IF($L468="Atrasado",$E468*10000+$A468,"")</f>
        <v/>
      </c>
    </row>
    <row r="469" customFormat="false" ht="15" hidden="false" customHeight="false" outlineLevel="0" collapsed="false">
      <c r="A469" s="114" t="n">
        <f aca="false">ROW()-4</f>
        <v>465</v>
      </c>
      <c r="B469" s="114" t="str">
        <f aca="false">IF(A469&lt;=Config!$E$27*Config!$E$28,"Tema","Avulso")</f>
        <v>Tema</v>
      </c>
      <c r="C469" s="114" t="n">
        <f aca="false">IF(B469="Tema",INT((A469-1)/Config!$E$28)+1,A469-Config!$E$27*Config!$E$28)</f>
        <v>78</v>
      </c>
      <c r="D469" s="114" t="n">
        <f aca="false">IF(B469="Tema",MOD(A469-1,Config!$E$28)+1,"")</f>
        <v>3</v>
      </c>
      <c r="E469" s="115" t="str">
        <f aca="false">IF($B469="Tema",IF(ISNUMBER(INDEX(Temas!$E$6:$P$305,$C469,2*$D469-1)),INDEX(Temas!$E$6:$P$305,$C469,2*$D469-1),""),IF(ISNUMBER(INDEX(Avulsos!$B$6:$B$205,$C469)),INDEX(Avulsos!$B$6:$B$205,$C469),""))</f>
        <v/>
      </c>
      <c r="F469" s="114" t="str">
        <f aca="false">IF($E469="","",IF($B469="Tema",INDEX(Temas!$B$6:$B$305,$C469)&amp;"",INDEX(Avulsos!$C$6:$C$205,$C469)&amp;""))</f>
        <v/>
      </c>
      <c r="G469" s="114" t="str">
        <f aca="false">IF($E469="","",IF($B469="Tema",INDEX(Config!$C$6:$C$11,$D469),"Evento avulso"))</f>
        <v/>
      </c>
      <c r="H469" s="114" t="str">
        <f aca="false">IF($E469="","",IF($B469="Tema",INDEX(Config!$D$6:$D$11,$D469),IFERROR(INDEX(Config!$E$15:$E$19,MATCH($I469,Config!$C$15:$C$19,0)),"•")))</f>
        <v/>
      </c>
      <c r="I469" s="114" t="str">
        <f aca="false">IF($E469="","",IF($B469="Tema",INDEX(Config!$E$6:$E$11,$D469),IF(INDEX(Avulsos!$D$6:$D$205,$C469)&amp;""="","Outro",INDEX(Avulsos!$D$6:$D$205,$C469))))</f>
        <v/>
      </c>
      <c r="J469" s="114" t="str">
        <f aca="false">IF($E469="","",IF($B469="Tema",INDEX(Temas!$C$6:$C$305,$C469)&amp;"",INDEX(Avulsos!$E$6:$E$205,$C469)&amp;""))</f>
        <v/>
      </c>
      <c r="K469" s="114" t="str">
        <f aca="false">IF($E469="","",IF(IF($B469="Tema",INDEX(Temas!$E$6:$P$305,$C469,2*$D469),INDEX(Avulsos!$F$6:$F$205,$C469))&amp;""="","","✓"))</f>
        <v/>
      </c>
      <c r="L469" s="114" t="str">
        <f aca="true">IF($E469="","",IF($K469="✓","Concluído",IF($E469&lt;TODAY(),"Atrasado",IF($E469=TODAY(),"Hoje","Pendente"))))</f>
        <v/>
      </c>
      <c r="M469" s="114" t="str">
        <f aca="false">IF($E469="","",IF($K469="✓","✓ ","")&amp;IF(Config!$E$22="Sim",$H469&amp;" · ","")&amp;$F469)</f>
        <v/>
      </c>
      <c r="N469" s="114" t="str">
        <f aca="false">IF($E469="","",IFERROR(INDEX(Config!$D$15:$D$19,MATCH($I469,Config!$C$15:$C$19,0)),"OUT")&amp;IF($K469="✓","x",""))</f>
        <v/>
      </c>
      <c r="O469" s="114" t="str">
        <f aca="false">IF($E469="","",COUNTIF($E$5:$E469,$E469))</f>
        <v/>
      </c>
      <c r="P469" s="114" t="str">
        <f aca="false">IF($E469="","",$E469*100+$O469)</f>
        <v/>
      </c>
      <c r="Q469" s="114" t="str">
        <f aca="false">IF($L469="Atrasado",$E469*10000+$A469,"")</f>
        <v/>
      </c>
    </row>
    <row r="470" customFormat="false" ht="15" hidden="false" customHeight="false" outlineLevel="0" collapsed="false">
      <c r="A470" s="114" t="n">
        <f aca="false">ROW()-4</f>
        <v>466</v>
      </c>
      <c r="B470" s="114" t="str">
        <f aca="false">IF(A470&lt;=Config!$E$27*Config!$E$28,"Tema","Avulso")</f>
        <v>Tema</v>
      </c>
      <c r="C470" s="114" t="n">
        <f aca="false">IF(B470="Tema",INT((A470-1)/Config!$E$28)+1,A470-Config!$E$27*Config!$E$28)</f>
        <v>78</v>
      </c>
      <c r="D470" s="114" t="n">
        <f aca="false">IF(B470="Tema",MOD(A470-1,Config!$E$28)+1,"")</f>
        <v>4</v>
      </c>
      <c r="E470" s="115" t="str">
        <f aca="false">IF($B470="Tema",IF(ISNUMBER(INDEX(Temas!$E$6:$P$305,$C470,2*$D470-1)),INDEX(Temas!$E$6:$P$305,$C470,2*$D470-1),""),IF(ISNUMBER(INDEX(Avulsos!$B$6:$B$205,$C470)),INDEX(Avulsos!$B$6:$B$205,$C470),""))</f>
        <v/>
      </c>
      <c r="F470" s="114" t="str">
        <f aca="false">IF($E470="","",IF($B470="Tema",INDEX(Temas!$B$6:$B$305,$C470)&amp;"",INDEX(Avulsos!$C$6:$C$205,$C470)&amp;""))</f>
        <v/>
      </c>
      <c r="G470" s="114" t="str">
        <f aca="false">IF($E470="","",IF($B470="Tema",INDEX(Config!$C$6:$C$11,$D470),"Evento avulso"))</f>
        <v/>
      </c>
      <c r="H470" s="114" t="str">
        <f aca="false">IF($E470="","",IF($B470="Tema",INDEX(Config!$D$6:$D$11,$D470),IFERROR(INDEX(Config!$E$15:$E$19,MATCH($I470,Config!$C$15:$C$19,0)),"•")))</f>
        <v/>
      </c>
      <c r="I470" s="114" t="str">
        <f aca="false">IF($E470="","",IF($B470="Tema",INDEX(Config!$E$6:$E$11,$D470),IF(INDEX(Avulsos!$D$6:$D$205,$C470)&amp;""="","Outro",INDEX(Avulsos!$D$6:$D$205,$C470))))</f>
        <v/>
      </c>
      <c r="J470" s="114" t="str">
        <f aca="false">IF($E470="","",IF($B470="Tema",INDEX(Temas!$C$6:$C$305,$C470)&amp;"",INDEX(Avulsos!$E$6:$E$205,$C470)&amp;""))</f>
        <v/>
      </c>
      <c r="K470" s="114" t="str">
        <f aca="false">IF($E470="","",IF(IF($B470="Tema",INDEX(Temas!$E$6:$P$305,$C470,2*$D470),INDEX(Avulsos!$F$6:$F$205,$C470))&amp;""="","","✓"))</f>
        <v/>
      </c>
      <c r="L470" s="114" t="str">
        <f aca="true">IF($E470="","",IF($K470="✓","Concluído",IF($E470&lt;TODAY(),"Atrasado",IF($E470=TODAY(),"Hoje","Pendente"))))</f>
        <v/>
      </c>
      <c r="M470" s="114" t="str">
        <f aca="false">IF($E470="","",IF($K470="✓","✓ ","")&amp;IF(Config!$E$22="Sim",$H470&amp;" · ","")&amp;$F470)</f>
        <v/>
      </c>
      <c r="N470" s="114" t="str">
        <f aca="false">IF($E470="","",IFERROR(INDEX(Config!$D$15:$D$19,MATCH($I470,Config!$C$15:$C$19,0)),"OUT")&amp;IF($K470="✓","x",""))</f>
        <v/>
      </c>
      <c r="O470" s="114" t="str">
        <f aca="false">IF($E470="","",COUNTIF($E$5:$E470,$E470))</f>
        <v/>
      </c>
      <c r="P470" s="114" t="str">
        <f aca="false">IF($E470="","",$E470*100+$O470)</f>
        <v/>
      </c>
      <c r="Q470" s="114" t="str">
        <f aca="false">IF($L470="Atrasado",$E470*10000+$A470,"")</f>
        <v/>
      </c>
    </row>
    <row r="471" customFormat="false" ht="15" hidden="false" customHeight="false" outlineLevel="0" collapsed="false">
      <c r="A471" s="114" t="n">
        <f aca="false">ROW()-4</f>
        <v>467</v>
      </c>
      <c r="B471" s="114" t="str">
        <f aca="false">IF(A471&lt;=Config!$E$27*Config!$E$28,"Tema","Avulso")</f>
        <v>Tema</v>
      </c>
      <c r="C471" s="114" t="n">
        <f aca="false">IF(B471="Tema",INT((A471-1)/Config!$E$28)+1,A471-Config!$E$27*Config!$E$28)</f>
        <v>78</v>
      </c>
      <c r="D471" s="114" t="n">
        <f aca="false">IF(B471="Tema",MOD(A471-1,Config!$E$28)+1,"")</f>
        <v>5</v>
      </c>
      <c r="E471" s="115" t="str">
        <f aca="false">IF($B471="Tema",IF(ISNUMBER(INDEX(Temas!$E$6:$P$305,$C471,2*$D471-1)),INDEX(Temas!$E$6:$P$305,$C471,2*$D471-1),""),IF(ISNUMBER(INDEX(Avulsos!$B$6:$B$205,$C471)),INDEX(Avulsos!$B$6:$B$205,$C471),""))</f>
        <v/>
      </c>
      <c r="F471" s="114" t="str">
        <f aca="false">IF($E471="","",IF($B471="Tema",INDEX(Temas!$B$6:$B$305,$C471)&amp;"",INDEX(Avulsos!$C$6:$C$205,$C471)&amp;""))</f>
        <v/>
      </c>
      <c r="G471" s="114" t="str">
        <f aca="false">IF($E471="","",IF($B471="Tema",INDEX(Config!$C$6:$C$11,$D471),"Evento avulso"))</f>
        <v/>
      </c>
      <c r="H471" s="114" t="str">
        <f aca="false">IF($E471="","",IF($B471="Tema",INDEX(Config!$D$6:$D$11,$D471),IFERROR(INDEX(Config!$E$15:$E$19,MATCH($I471,Config!$C$15:$C$19,0)),"•")))</f>
        <v/>
      </c>
      <c r="I471" s="114" t="str">
        <f aca="false">IF($E471="","",IF($B471="Tema",INDEX(Config!$E$6:$E$11,$D471),IF(INDEX(Avulsos!$D$6:$D$205,$C471)&amp;""="","Outro",INDEX(Avulsos!$D$6:$D$205,$C471))))</f>
        <v/>
      </c>
      <c r="J471" s="114" t="str">
        <f aca="false">IF($E471="","",IF($B471="Tema",INDEX(Temas!$C$6:$C$305,$C471)&amp;"",INDEX(Avulsos!$E$6:$E$205,$C471)&amp;""))</f>
        <v/>
      </c>
      <c r="K471" s="114" t="str">
        <f aca="false">IF($E471="","",IF(IF($B471="Tema",INDEX(Temas!$E$6:$P$305,$C471,2*$D471),INDEX(Avulsos!$F$6:$F$205,$C471))&amp;""="","","✓"))</f>
        <v/>
      </c>
      <c r="L471" s="114" t="str">
        <f aca="true">IF($E471="","",IF($K471="✓","Concluído",IF($E471&lt;TODAY(),"Atrasado",IF($E471=TODAY(),"Hoje","Pendente"))))</f>
        <v/>
      </c>
      <c r="M471" s="114" t="str">
        <f aca="false">IF($E471="","",IF($K471="✓","✓ ","")&amp;IF(Config!$E$22="Sim",$H471&amp;" · ","")&amp;$F471)</f>
        <v/>
      </c>
      <c r="N471" s="114" t="str">
        <f aca="false">IF($E471="","",IFERROR(INDEX(Config!$D$15:$D$19,MATCH($I471,Config!$C$15:$C$19,0)),"OUT")&amp;IF($K471="✓","x",""))</f>
        <v/>
      </c>
      <c r="O471" s="114" t="str">
        <f aca="false">IF($E471="","",COUNTIF($E$5:$E471,$E471))</f>
        <v/>
      </c>
      <c r="P471" s="114" t="str">
        <f aca="false">IF($E471="","",$E471*100+$O471)</f>
        <v/>
      </c>
      <c r="Q471" s="114" t="str">
        <f aca="false">IF($L471="Atrasado",$E471*10000+$A471,"")</f>
        <v/>
      </c>
    </row>
    <row r="472" customFormat="false" ht="15" hidden="false" customHeight="false" outlineLevel="0" collapsed="false">
      <c r="A472" s="114" t="n">
        <f aca="false">ROW()-4</f>
        <v>468</v>
      </c>
      <c r="B472" s="114" t="str">
        <f aca="false">IF(A472&lt;=Config!$E$27*Config!$E$28,"Tema","Avulso")</f>
        <v>Tema</v>
      </c>
      <c r="C472" s="114" t="n">
        <f aca="false">IF(B472="Tema",INT((A472-1)/Config!$E$28)+1,A472-Config!$E$27*Config!$E$28)</f>
        <v>78</v>
      </c>
      <c r="D472" s="114" t="n">
        <f aca="false">IF(B472="Tema",MOD(A472-1,Config!$E$28)+1,"")</f>
        <v>6</v>
      </c>
      <c r="E472" s="115" t="str">
        <f aca="false">IF($B472="Tema",IF(ISNUMBER(INDEX(Temas!$E$6:$P$305,$C472,2*$D472-1)),INDEX(Temas!$E$6:$P$305,$C472,2*$D472-1),""),IF(ISNUMBER(INDEX(Avulsos!$B$6:$B$205,$C472)),INDEX(Avulsos!$B$6:$B$205,$C472),""))</f>
        <v/>
      </c>
      <c r="F472" s="114" t="str">
        <f aca="false">IF($E472="","",IF($B472="Tema",INDEX(Temas!$B$6:$B$305,$C472)&amp;"",INDEX(Avulsos!$C$6:$C$205,$C472)&amp;""))</f>
        <v/>
      </c>
      <c r="G472" s="114" t="str">
        <f aca="false">IF($E472="","",IF($B472="Tema",INDEX(Config!$C$6:$C$11,$D472),"Evento avulso"))</f>
        <v/>
      </c>
      <c r="H472" s="114" t="str">
        <f aca="false">IF($E472="","",IF($B472="Tema",INDEX(Config!$D$6:$D$11,$D472),IFERROR(INDEX(Config!$E$15:$E$19,MATCH($I472,Config!$C$15:$C$19,0)),"•")))</f>
        <v/>
      </c>
      <c r="I472" s="114" t="str">
        <f aca="false">IF($E472="","",IF($B472="Tema",INDEX(Config!$E$6:$E$11,$D472),IF(INDEX(Avulsos!$D$6:$D$205,$C472)&amp;""="","Outro",INDEX(Avulsos!$D$6:$D$205,$C472))))</f>
        <v/>
      </c>
      <c r="J472" s="114" t="str">
        <f aca="false">IF($E472="","",IF($B472="Tema",INDEX(Temas!$C$6:$C$305,$C472)&amp;"",INDEX(Avulsos!$E$6:$E$205,$C472)&amp;""))</f>
        <v/>
      </c>
      <c r="K472" s="114" t="str">
        <f aca="false">IF($E472="","",IF(IF($B472="Tema",INDEX(Temas!$E$6:$P$305,$C472,2*$D472),INDEX(Avulsos!$F$6:$F$205,$C472))&amp;""="","","✓"))</f>
        <v/>
      </c>
      <c r="L472" s="114" t="str">
        <f aca="true">IF($E472="","",IF($K472="✓","Concluído",IF($E472&lt;TODAY(),"Atrasado",IF($E472=TODAY(),"Hoje","Pendente"))))</f>
        <v/>
      </c>
      <c r="M472" s="114" t="str">
        <f aca="false">IF($E472="","",IF($K472="✓","✓ ","")&amp;IF(Config!$E$22="Sim",$H472&amp;" · ","")&amp;$F472)</f>
        <v/>
      </c>
      <c r="N472" s="114" t="str">
        <f aca="false">IF($E472="","",IFERROR(INDEX(Config!$D$15:$D$19,MATCH($I472,Config!$C$15:$C$19,0)),"OUT")&amp;IF($K472="✓","x",""))</f>
        <v/>
      </c>
      <c r="O472" s="114" t="str">
        <f aca="false">IF($E472="","",COUNTIF($E$5:$E472,$E472))</f>
        <v/>
      </c>
      <c r="P472" s="114" t="str">
        <f aca="false">IF($E472="","",$E472*100+$O472)</f>
        <v/>
      </c>
      <c r="Q472" s="114" t="str">
        <f aca="false">IF($L472="Atrasado",$E472*10000+$A472,"")</f>
        <v/>
      </c>
    </row>
    <row r="473" customFormat="false" ht="15" hidden="false" customHeight="false" outlineLevel="0" collapsed="false">
      <c r="A473" s="114" t="n">
        <f aca="false">ROW()-4</f>
        <v>469</v>
      </c>
      <c r="B473" s="114" t="str">
        <f aca="false">IF(A473&lt;=Config!$E$27*Config!$E$28,"Tema","Avulso")</f>
        <v>Tema</v>
      </c>
      <c r="C473" s="114" t="n">
        <f aca="false">IF(B473="Tema",INT((A473-1)/Config!$E$28)+1,A473-Config!$E$27*Config!$E$28)</f>
        <v>79</v>
      </c>
      <c r="D473" s="114" t="n">
        <f aca="false">IF(B473="Tema",MOD(A473-1,Config!$E$28)+1,"")</f>
        <v>1</v>
      </c>
      <c r="E473" s="115" t="str">
        <f aca="false">IF($B473="Tema",IF(ISNUMBER(INDEX(Temas!$E$6:$P$305,$C473,2*$D473-1)),INDEX(Temas!$E$6:$P$305,$C473,2*$D473-1),""),IF(ISNUMBER(INDEX(Avulsos!$B$6:$B$205,$C473)),INDEX(Avulsos!$B$6:$B$205,$C473),""))</f>
        <v/>
      </c>
      <c r="F473" s="114" t="str">
        <f aca="false">IF($E473="","",IF($B473="Tema",INDEX(Temas!$B$6:$B$305,$C473)&amp;"",INDEX(Avulsos!$C$6:$C$205,$C473)&amp;""))</f>
        <v/>
      </c>
      <c r="G473" s="114" t="str">
        <f aca="false">IF($E473="","",IF($B473="Tema",INDEX(Config!$C$6:$C$11,$D473),"Evento avulso"))</f>
        <v/>
      </c>
      <c r="H473" s="114" t="str">
        <f aca="false">IF($E473="","",IF($B473="Tema",INDEX(Config!$D$6:$D$11,$D473),IFERROR(INDEX(Config!$E$15:$E$19,MATCH($I473,Config!$C$15:$C$19,0)),"•")))</f>
        <v/>
      </c>
      <c r="I473" s="114" t="str">
        <f aca="false">IF($E473="","",IF($B473="Tema",INDEX(Config!$E$6:$E$11,$D473),IF(INDEX(Avulsos!$D$6:$D$205,$C473)&amp;""="","Outro",INDEX(Avulsos!$D$6:$D$205,$C473))))</f>
        <v/>
      </c>
      <c r="J473" s="114" t="str">
        <f aca="false">IF($E473="","",IF($B473="Tema",INDEX(Temas!$C$6:$C$305,$C473)&amp;"",INDEX(Avulsos!$E$6:$E$205,$C473)&amp;""))</f>
        <v/>
      </c>
      <c r="K473" s="114" t="str">
        <f aca="false">IF($E473="","",IF(IF($B473="Tema",INDEX(Temas!$E$6:$P$305,$C473,2*$D473),INDEX(Avulsos!$F$6:$F$205,$C473))&amp;""="","","✓"))</f>
        <v/>
      </c>
      <c r="L473" s="114" t="str">
        <f aca="true">IF($E473="","",IF($K473="✓","Concluído",IF($E473&lt;TODAY(),"Atrasado",IF($E473=TODAY(),"Hoje","Pendente"))))</f>
        <v/>
      </c>
      <c r="M473" s="114" t="str">
        <f aca="false">IF($E473="","",IF($K473="✓","✓ ","")&amp;IF(Config!$E$22="Sim",$H473&amp;" · ","")&amp;$F473)</f>
        <v/>
      </c>
      <c r="N473" s="114" t="str">
        <f aca="false">IF($E473="","",IFERROR(INDEX(Config!$D$15:$D$19,MATCH($I473,Config!$C$15:$C$19,0)),"OUT")&amp;IF($K473="✓","x",""))</f>
        <v/>
      </c>
      <c r="O473" s="114" t="str">
        <f aca="false">IF($E473="","",COUNTIF($E$5:$E473,$E473))</f>
        <v/>
      </c>
      <c r="P473" s="114" t="str">
        <f aca="false">IF($E473="","",$E473*100+$O473)</f>
        <v/>
      </c>
      <c r="Q473" s="114" t="str">
        <f aca="false">IF($L473="Atrasado",$E473*10000+$A473,"")</f>
        <v/>
      </c>
    </row>
    <row r="474" customFormat="false" ht="15" hidden="false" customHeight="false" outlineLevel="0" collapsed="false">
      <c r="A474" s="114" t="n">
        <f aca="false">ROW()-4</f>
        <v>470</v>
      </c>
      <c r="B474" s="114" t="str">
        <f aca="false">IF(A474&lt;=Config!$E$27*Config!$E$28,"Tema","Avulso")</f>
        <v>Tema</v>
      </c>
      <c r="C474" s="114" t="n">
        <f aca="false">IF(B474="Tema",INT((A474-1)/Config!$E$28)+1,A474-Config!$E$27*Config!$E$28)</f>
        <v>79</v>
      </c>
      <c r="D474" s="114" t="n">
        <f aca="false">IF(B474="Tema",MOD(A474-1,Config!$E$28)+1,"")</f>
        <v>2</v>
      </c>
      <c r="E474" s="115" t="str">
        <f aca="false">IF($B474="Tema",IF(ISNUMBER(INDEX(Temas!$E$6:$P$305,$C474,2*$D474-1)),INDEX(Temas!$E$6:$P$305,$C474,2*$D474-1),""),IF(ISNUMBER(INDEX(Avulsos!$B$6:$B$205,$C474)),INDEX(Avulsos!$B$6:$B$205,$C474),""))</f>
        <v/>
      </c>
      <c r="F474" s="114" t="str">
        <f aca="false">IF($E474="","",IF($B474="Tema",INDEX(Temas!$B$6:$B$305,$C474)&amp;"",INDEX(Avulsos!$C$6:$C$205,$C474)&amp;""))</f>
        <v/>
      </c>
      <c r="G474" s="114" t="str">
        <f aca="false">IF($E474="","",IF($B474="Tema",INDEX(Config!$C$6:$C$11,$D474),"Evento avulso"))</f>
        <v/>
      </c>
      <c r="H474" s="114" t="str">
        <f aca="false">IF($E474="","",IF($B474="Tema",INDEX(Config!$D$6:$D$11,$D474),IFERROR(INDEX(Config!$E$15:$E$19,MATCH($I474,Config!$C$15:$C$19,0)),"•")))</f>
        <v/>
      </c>
      <c r="I474" s="114" t="str">
        <f aca="false">IF($E474="","",IF($B474="Tema",INDEX(Config!$E$6:$E$11,$D474),IF(INDEX(Avulsos!$D$6:$D$205,$C474)&amp;""="","Outro",INDEX(Avulsos!$D$6:$D$205,$C474))))</f>
        <v/>
      </c>
      <c r="J474" s="114" t="str">
        <f aca="false">IF($E474="","",IF($B474="Tema",INDEX(Temas!$C$6:$C$305,$C474)&amp;"",INDEX(Avulsos!$E$6:$E$205,$C474)&amp;""))</f>
        <v/>
      </c>
      <c r="K474" s="114" t="str">
        <f aca="false">IF($E474="","",IF(IF($B474="Tema",INDEX(Temas!$E$6:$P$305,$C474,2*$D474),INDEX(Avulsos!$F$6:$F$205,$C474))&amp;""="","","✓"))</f>
        <v/>
      </c>
      <c r="L474" s="114" t="str">
        <f aca="true">IF($E474="","",IF($K474="✓","Concluído",IF($E474&lt;TODAY(),"Atrasado",IF($E474=TODAY(),"Hoje","Pendente"))))</f>
        <v/>
      </c>
      <c r="M474" s="114" t="str">
        <f aca="false">IF($E474="","",IF($K474="✓","✓ ","")&amp;IF(Config!$E$22="Sim",$H474&amp;" · ","")&amp;$F474)</f>
        <v/>
      </c>
      <c r="N474" s="114" t="str">
        <f aca="false">IF($E474="","",IFERROR(INDEX(Config!$D$15:$D$19,MATCH($I474,Config!$C$15:$C$19,0)),"OUT")&amp;IF($K474="✓","x",""))</f>
        <v/>
      </c>
      <c r="O474" s="114" t="str">
        <f aca="false">IF($E474="","",COUNTIF($E$5:$E474,$E474))</f>
        <v/>
      </c>
      <c r="P474" s="114" t="str">
        <f aca="false">IF($E474="","",$E474*100+$O474)</f>
        <v/>
      </c>
      <c r="Q474" s="114" t="str">
        <f aca="false">IF($L474="Atrasado",$E474*10000+$A474,"")</f>
        <v/>
      </c>
    </row>
    <row r="475" customFormat="false" ht="15" hidden="false" customHeight="false" outlineLevel="0" collapsed="false">
      <c r="A475" s="114" t="n">
        <f aca="false">ROW()-4</f>
        <v>471</v>
      </c>
      <c r="B475" s="114" t="str">
        <f aca="false">IF(A475&lt;=Config!$E$27*Config!$E$28,"Tema","Avulso")</f>
        <v>Tema</v>
      </c>
      <c r="C475" s="114" t="n">
        <f aca="false">IF(B475="Tema",INT((A475-1)/Config!$E$28)+1,A475-Config!$E$27*Config!$E$28)</f>
        <v>79</v>
      </c>
      <c r="D475" s="114" t="n">
        <f aca="false">IF(B475="Tema",MOD(A475-1,Config!$E$28)+1,"")</f>
        <v>3</v>
      </c>
      <c r="E475" s="115" t="str">
        <f aca="false">IF($B475="Tema",IF(ISNUMBER(INDEX(Temas!$E$6:$P$305,$C475,2*$D475-1)),INDEX(Temas!$E$6:$P$305,$C475,2*$D475-1),""),IF(ISNUMBER(INDEX(Avulsos!$B$6:$B$205,$C475)),INDEX(Avulsos!$B$6:$B$205,$C475),""))</f>
        <v/>
      </c>
      <c r="F475" s="114" t="str">
        <f aca="false">IF($E475="","",IF($B475="Tema",INDEX(Temas!$B$6:$B$305,$C475)&amp;"",INDEX(Avulsos!$C$6:$C$205,$C475)&amp;""))</f>
        <v/>
      </c>
      <c r="G475" s="114" t="str">
        <f aca="false">IF($E475="","",IF($B475="Tema",INDEX(Config!$C$6:$C$11,$D475),"Evento avulso"))</f>
        <v/>
      </c>
      <c r="H475" s="114" t="str">
        <f aca="false">IF($E475="","",IF($B475="Tema",INDEX(Config!$D$6:$D$11,$D475),IFERROR(INDEX(Config!$E$15:$E$19,MATCH($I475,Config!$C$15:$C$19,0)),"•")))</f>
        <v/>
      </c>
      <c r="I475" s="114" t="str">
        <f aca="false">IF($E475="","",IF($B475="Tema",INDEX(Config!$E$6:$E$11,$D475),IF(INDEX(Avulsos!$D$6:$D$205,$C475)&amp;""="","Outro",INDEX(Avulsos!$D$6:$D$205,$C475))))</f>
        <v/>
      </c>
      <c r="J475" s="114" t="str">
        <f aca="false">IF($E475="","",IF($B475="Tema",INDEX(Temas!$C$6:$C$305,$C475)&amp;"",INDEX(Avulsos!$E$6:$E$205,$C475)&amp;""))</f>
        <v/>
      </c>
      <c r="K475" s="114" t="str">
        <f aca="false">IF($E475="","",IF(IF($B475="Tema",INDEX(Temas!$E$6:$P$305,$C475,2*$D475),INDEX(Avulsos!$F$6:$F$205,$C475))&amp;""="","","✓"))</f>
        <v/>
      </c>
      <c r="L475" s="114" t="str">
        <f aca="true">IF($E475="","",IF($K475="✓","Concluído",IF($E475&lt;TODAY(),"Atrasado",IF($E475=TODAY(),"Hoje","Pendente"))))</f>
        <v/>
      </c>
      <c r="M475" s="114" t="str">
        <f aca="false">IF($E475="","",IF($K475="✓","✓ ","")&amp;IF(Config!$E$22="Sim",$H475&amp;" · ","")&amp;$F475)</f>
        <v/>
      </c>
      <c r="N475" s="114" t="str">
        <f aca="false">IF($E475="","",IFERROR(INDEX(Config!$D$15:$D$19,MATCH($I475,Config!$C$15:$C$19,0)),"OUT")&amp;IF($K475="✓","x",""))</f>
        <v/>
      </c>
      <c r="O475" s="114" t="str">
        <f aca="false">IF($E475="","",COUNTIF($E$5:$E475,$E475))</f>
        <v/>
      </c>
      <c r="P475" s="114" t="str">
        <f aca="false">IF($E475="","",$E475*100+$O475)</f>
        <v/>
      </c>
      <c r="Q475" s="114" t="str">
        <f aca="false">IF($L475="Atrasado",$E475*10000+$A475,"")</f>
        <v/>
      </c>
    </row>
    <row r="476" customFormat="false" ht="15" hidden="false" customHeight="false" outlineLevel="0" collapsed="false">
      <c r="A476" s="114" t="n">
        <f aca="false">ROW()-4</f>
        <v>472</v>
      </c>
      <c r="B476" s="114" t="str">
        <f aca="false">IF(A476&lt;=Config!$E$27*Config!$E$28,"Tema","Avulso")</f>
        <v>Tema</v>
      </c>
      <c r="C476" s="114" t="n">
        <f aca="false">IF(B476="Tema",INT((A476-1)/Config!$E$28)+1,A476-Config!$E$27*Config!$E$28)</f>
        <v>79</v>
      </c>
      <c r="D476" s="114" t="n">
        <f aca="false">IF(B476="Tema",MOD(A476-1,Config!$E$28)+1,"")</f>
        <v>4</v>
      </c>
      <c r="E476" s="115" t="str">
        <f aca="false">IF($B476="Tema",IF(ISNUMBER(INDEX(Temas!$E$6:$P$305,$C476,2*$D476-1)),INDEX(Temas!$E$6:$P$305,$C476,2*$D476-1),""),IF(ISNUMBER(INDEX(Avulsos!$B$6:$B$205,$C476)),INDEX(Avulsos!$B$6:$B$205,$C476),""))</f>
        <v/>
      </c>
      <c r="F476" s="114" t="str">
        <f aca="false">IF($E476="","",IF($B476="Tema",INDEX(Temas!$B$6:$B$305,$C476)&amp;"",INDEX(Avulsos!$C$6:$C$205,$C476)&amp;""))</f>
        <v/>
      </c>
      <c r="G476" s="114" t="str">
        <f aca="false">IF($E476="","",IF($B476="Tema",INDEX(Config!$C$6:$C$11,$D476),"Evento avulso"))</f>
        <v/>
      </c>
      <c r="H476" s="114" t="str">
        <f aca="false">IF($E476="","",IF($B476="Tema",INDEX(Config!$D$6:$D$11,$D476),IFERROR(INDEX(Config!$E$15:$E$19,MATCH($I476,Config!$C$15:$C$19,0)),"•")))</f>
        <v/>
      </c>
      <c r="I476" s="114" t="str">
        <f aca="false">IF($E476="","",IF($B476="Tema",INDEX(Config!$E$6:$E$11,$D476),IF(INDEX(Avulsos!$D$6:$D$205,$C476)&amp;""="","Outro",INDEX(Avulsos!$D$6:$D$205,$C476))))</f>
        <v/>
      </c>
      <c r="J476" s="114" t="str">
        <f aca="false">IF($E476="","",IF($B476="Tema",INDEX(Temas!$C$6:$C$305,$C476)&amp;"",INDEX(Avulsos!$E$6:$E$205,$C476)&amp;""))</f>
        <v/>
      </c>
      <c r="K476" s="114" t="str">
        <f aca="false">IF($E476="","",IF(IF($B476="Tema",INDEX(Temas!$E$6:$P$305,$C476,2*$D476),INDEX(Avulsos!$F$6:$F$205,$C476))&amp;""="","","✓"))</f>
        <v/>
      </c>
      <c r="L476" s="114" t="str">
        <f aca="true">IF($E476="","",IF($K476="✓","Concluído",IF($E476&lt;TODAY(),"Atrasado",IF($E476=TODAY(),"Hoje","Pendente"))))</f>
        <v/>
      </c>
      <c r="M476" s="114" t="str">
        <f aca="false">IF($E476="","",IF($K476="✓","✓ ","")&amp;IF(Config!$E$22="Sim",$H476&amp;" · ","")&amp;$F476)</f>
        <v/>
      </c>
      <c r="N476" s="114" t="str">
        <f aca="false">IF($E476="","",IFERROR(INDEX(Config!$D$15:$D$19,MATCH($I476,Config!$C$15:$C$19,0)),"OUT")&amp;IF($K476="✓","x",""))</f>
        <v/>
      </c>
      <c r="O476" s="114" t="str">
        <f aca="false">IF($E476="","",COUNTIF($E$5:$E476,$E476))</f>
        <v/>
      </c>
      <c r="P476" s="114" t="str">
        <f aca="false">IF($E476="","",$E476*100+$O476)</f>
        <v/>
      </c>
      <c r="Q476" s="114" t="str">
        <f aca="false">IF($L476="Atrasado",$E476*10000+$A476,"")</f>
        <v/>
      </c>
    </row>
    <row r="477" customFormat="false" ht="15" hidden="false" customHeight="false" outlineLevel="0" collapsed="false">
      <c r="A477" s="114" t="n">
        <f aca="false">ROW()-4</f>
        <v>473</v>
      </c>
      <c r="B477" s="114" t="str">
        <f aca="false">IF(A477&lt;=Config!$E$27*Config!$E$28,"Tema","Avulso")</f>
        <v>Tema</v>
      </c>
      <c r="C477" s="114" t="n">
        <f aca="false">IF(B477="Tema",INT((A477-1)/Config!$E$28)+1,A477-Config!$E$27*Config!$E$28)</f>
        <v>79</v>
      </c>
      <c r="D477" s="114" t="n">
        <f aca="false">IF(B477="Tema",MOD(A477-1,Config!$E$28)+1,"")</f>
        <v>5</v>
      </c>
      <c r="E477" s="115" t="str">
        <f aca="false">IF($B477="Tema",IF(ISNUMBER(INDEX(Temas!$E$6:$P$305,$C477,2*$D477-1)),INDEX(Temas!$E$6:$P$305,$C477,2*$D477-1),""),IF(ISNUMBER(INDEX(Avulsos!$B$6:$B$205,$C477)),INDEX(Avulsos!$B$6:$B$205,$C477),""))</f>
        <v/>
      </c>
      <c r="F477" s="114" t="str">
        <f aca="false">IF($E477="","",IF($B477="Tema",INDEX(Temas!$B$6:$B$305,$C477)&amp;"",INDEX(Avulsos!$C$6:$C$205,$C477)&amp;""))</f>
        <v/>
      </c>
      <c r="G477" s="114" t="str">
        <f aca="false">IF($E477="","",IF($B477="Tema",INDEX(Config!$C$6:$C$11,$D477),"Evento avulso"))</f>
        <v/>
      </c>
      <c r="H477" s="114" t="str">
        <f aca="false">IF($E477="","",IF($B477="Tema",INDEX(Config!$D$6:$D$11,$D477),IFERROR(INDEX(Config!$E$15:$E$19,MATCH($I477,Config!$C$15:$C$19,0)),"•")))</f>
        <v/>
      </c>
      <c r="I477" s="114" t="str">
        <f aca="false">IF($E477="","",IF($B477="Tema",INDEX(Config!$E$6:$E$11,$D477),IF(INDEX(Avulsos!$D$6:$D$205,$C477)&amp;""="","Outro",INDEX(Avulsos!$D$6:$D$205,$C477))))</f>
        <v/>
      </c>
      <c r="J477" s="114" t="str">
        <f aca="false">IF($E477="","",IF($B477="Tema",INDEX(Temas!$C$6:$C$305,$C477)&amp;"",INDEX(Avulsos!$E$6:$E$205,$C477)&amp;""))</f>
        <v/>
      </c>
      <c r="K477" s="114" t="str">
        <f aca="false">IF($E477="","",IF(IF($B477="Tema",INDEX(Temas!$E$6:$P$305,$C477,2*$D477),INDEX(Avulsos!$F$6:$F$205,$C477))&amp;""="","","✓"))</f>
        <v/>
      </c>
      <c r="L477" s="114" t="str">
        <f aca="true">IF($E477="","",IF($K477="✓","Concluído",IF($E477&lt;TODAY(),"Atrasado",IF($E477=TODAY(),"Hoje","Pendente"))))</f>
        <v/>
      </c>
      <c r="M477" s="114" t="str">
        <f aca="false">IF($E477="","",IF($K477="✓","✓ ","")&amp;IF(Config!$E$22="Sim",$H477&amp;" · ","")&amp;$F477)</f>
        <v/>
      </c>
      <c r="N477" s="114" t="str">
        <f aca="false">IF($E477="","",IFERROR(INDEX(Config!$D$15:$D$19,MATCH($I477,Config!$C$15:$C$19,0)),"OUT")&amp;IF($K477="✓","x",""))</f>
        <v/>
      </c>
      <c r="O477" s="114" t="str">
        <f aca="false">IF($E477="","",COUNTIF($E$5:$E477,$E477))</f>
        <v/>
      </c>
      <c r="P477" s="114" t="str">
        <f aca="false">IF($E477="","",$E477*100+$O477)</f>
        <v/>
      </c>
      <c r="Q477" s="114" t="str">
        <f aca="false">IF($L477="Atrasado",$E477*10000+$A477,"")</f>
        <v/>
      </c>
    </row>
    <row r="478" customFormat="false" ht="15" hidden="false" customHeight="false" outlineLevel="0" collapsed="false">
      <c r="A478" s="114" t="n">
        <f aca="false">ROW()-4</f>
        <v>474</v>
      </c>
      <c r="B478" s="114" t="str">
        <f aca="false">IF(A478&lt;=Config!$E$27*Config!$E$28,"Tema","Avulso")</f>
        <v>Tema</v>
      </c>
      <c r="C478" s="114" t="n">
        <f aca="false">IF(B478="Tema",INT((A478-1)/Config!$E$28)+1,A478-Config!$E$27*Config!$E$28)</f>
        <v>79</v>
      </c>
      <c r="D478" s="114" t="n">
        <f aca="false">IF(B478="Tema",MOD(A478-1,Config!$E$28)+1,"")</f>
        <v>6</v>
      </c>
      <c r="E478" s="115" t="str">
        <f aca="false">IF($B478="Tema",IF(ISNUMBER(INDEX(Temas!$E$6:$P$305,$C478,2*$D478-1)),INDEX(Temas!$E$6:$P$305,$C478,2*$D478-1),""),IF(ISNUMBER(INDEX(Avulsos!$B$6:$B$205,$C478)),INDEX(Avulsos!$B$6:$B$205,$C478),""))</f>
        <v/>
      </c>
      <c r="F478" s="114" t="str">
        <f aca="false">IF($E478="","",IF($B478="Tema",INDEX(Temas!$B$6:$B$305,$C478)&amp;"",INDEX(Avulsos!$C$6:$C$205,$C478)&amp;""))</f>
        <v/>
      </c>
      <c r="G478" s="114" t="str">
        <f aca="false">IF($E478="","",IF($B478="Tema",INDEX(Config!$C$6:$C$11,$D478),"Evento avulso"))</f>
        <v/>
      </c>
      <c r="H478" s="114" t="str">
        <f aca="false">IF($E478="","",IF($B478="Tema",INDEX(Config!$D$6:$D$11,$D478),IFERROR(INDEX(Config!$E$15:$E$19,MATCH($I478,Config!$C$15:$C$19,0)),"•")))</f>
        <v/>
      </c>
      <c r="I478" s="114" t="str">
        <f aca="false">IF($E478="","",IF($B478="Tema",INDEX(Config!$E$6:$E$11,$D478),IF(INDEX(Avulsos!$D$6:$D$205,$C478)&amp;""="","Outro",INDEX(Avulsos!$D$6:$D$205,$C478))))</f>
        <v/>
      </c>
      <c r="J478" s="114" t="str">
        <f aca="false">IF($E478="","",IF($B478="Tema",INDEX(Temas!$C$6:$C$305,$C478)&amp;"",INDEX(Avulsos!$E$6:$E$205,$C478)&amp;""))</f>
        <v/>
      </c>
      <c r="K478" s="114" t="str">
        <f aca="false">IF($E478="","",IF(IF($B478="Tema",INDEX(Temas!$E$6:$P$305,$C478,2*$D478),INDEX(Avulsos!$F$6:$F$205,$C478))&amp;""="","","✓"))</f>
        <v/>
      </c>
      <c r="L478" s="114" t="str">
        <f aca="true">IF($E478="","",IF($K478="✓","Concluído",IF($E478&lt;TODAY(),"Atrasado",IF($E478=TODAY(),"Hoje","Pendente"))))</f>
        <v/>
      </c>
      <c r="M478" s="114" t="str">
        <f aca="false">IF($E478="","",IF($K478="✓","✓ ","")&amp;IF(Config!$E$22="Sim",$H478&amp;" · ","")&amp;$F478)</f>
        <v/>
      </c>
      <c r="N478" s="114" t="str">
        <f aca="false">IF($E478="","",IFERROR(INDEX(Config!$D$15:$D$19,MATCH($I478,Config!$C$15:$C$19,0)),"OUT")&amp;IF($K478="✓","x",""))</f>
        <v/>
      </c>
      <c r="O478" s="114" t="str">
        <f aca="false">IF($E478="","",COUNTIF($E$5:$E478,$E478))</f>
        <v/>
      </c>
      <c r="P478" s="114" t="str">
        <f aca="false">IF($E478="","",$E478*100+$O478)</f>
        <v/>
      </c>
      <c r="Q478" s="114" t="str">
        <f aca="false">IF($L478="Atrasado",$E478*10000+$A478,"")</f>
        <v/>
      </c>
    </row>
    <row r="479" customFormat="false" ht="15" hidden="false" customHeight="false" outlineLevel="0" collapsed="false">
      <c r="A479" s="114" t="n">
        <f aca="false">ROW()-4</f>
        <v>475</v>
      </c>
      <c r="B479" s="114" t="str">
        <f aca="false">IF(A479&lt;=Config!$E$27*Config!$E$28,"Tema","Avulso")</f>
        <v>Tema</v>
      </c>
      <c r="C479" s="114" t="n">
        <f aca="false">IF(B479="Tema",INT((A479-1)/Config!$E$28)+1,A479-Config!$E$27*Config!$E$28)</f>
        <v>80</v>
      </c>
      <c r="D479" s="114" t="n">
        <f aca="false">IF(B479="Tema",MOD(A479-1,Config!$E$28)+1,"")</f>
        <v>1</v>
      </c>
      <c r="E479" s="115" t="str">
        <f aca="false">IF($B479="Tema",IF(ISNUMBER(INDEX(Temas!$E$6:$P$305,$C479,2*$D479-1)),INDEX(Temas!$E$6:$P$305,$C479,2*$D479-1),""),IF(ISNUMBER(INDEX(Avulsos!$B$6:$B$205,$C479)),INDEX(Avulsos!$B$6:$B$205,$C479),""))</f>
        <v/>
      </c>
      <c r="F479" s="114" t="str">
        <f aca="false">IF($E479="","",IF($B479="Tema",INDEX(Temas!$B$6:$B$305,$C479)&amp;"",INDEX(Avulsos!$C$6:$C$205,$C479)&amp;""))</f>
        <v/>
      </c>
      <c r="G479" s="114" t="str">
        <f aca="false">IF($E479="","",IF($B479="Tema",INDEX(Config!$C$6:$C$11,$D479),"Evento avulso"))</f>
        <v/>
      </c>
      <c r="H479" s="114" t="str">
        <f aca="false">IF($E479="","",IF($B479="Tema",INDEX(Config!$D$6:$D$11,$D479),IFERROR(INDEX(Config!$E$15:$E$19,MATCH($I479,Config!$C$15:$C$19,0)),"•")))</f>
        <v/>
      </c>
      <c r="I479" s="114" t="str">
        <f aca="false">IF($E479="","",IF($B479="Tema",INDEX(Config!$E$6:$E$11,$D479),IF(INDEX(Avulsos!$D$6:$D$205,$C479)&amp;""="","Outro",INDEX(Avulsos!$D$6:$D$205,$C479))))</f>
        <v/>
      </c>
      <c r="J479" s="114" t="str">
        <f aca="false">IF($E479="","",IF($B479="Tema",INDEX(Temas!$C$6:$C$305,$C479)&amp;"",INDEX(Avulsos!$E$6:$E$205,$C479)&amp;""))</f>
        <v/>
      </c>
      <c r="K479" s="114" t="str">
        <f aca="false">IF($E479="","",IF(IF($B479="Tema",INDEX(Temas!$E$6:$P$305,$C479,2*$D479),INDEX(Avulsos!$F$6:$F$205,$C479))&amp;""="","","✓"))</f>
        <v/>
      </c>
      <c r="L479" s="114" t="str">
        <f aca="true">IF($E479="","",IF($K479="✓","Concluído",IF($E479&lt;TODAY(),"Atrasado",IF($E479=TODAY(),"Hoje","Pendente"))))</f>
        <v/>
      </c>
      <c r="M479" s="114" t="str">
        <f aca="false">IF($E479="","",IF($K479="✓","✓ ","")&amp;IF(Config!$E$22="Sim",$H479&amp;" · ","")&amp;$F479)</f>
        <v/>
      </c>
      <c r="N479" s="114" t="str">
        <f aca="false">IF($E479="","",IFERROR(INDEX(Config!$D$15:$D$19,MATCH($I479,Config!$C$15:$C$19,0)),"OUT")&amp;IF($K479="✓","x",""))</f>
        <v/>
      </c>
      <c r="O479" s="114" t="str">
        <f aca="false">IF($E479="","",COUNTIF($E$5:$E479,$E479))</f>
        <v/>
      </c>
      <c r="P479" s="114" t="str">
        <f aca="false">IF($E479="","",$E479*100+$O479)</f>
        <v/>
      </c>
      <c r="Q479" s="114" t="str">
        <f aca="false">IF($L479="Atrasado",$E479*10000+$A479,"")</f>
        <v/>
      </c>
    </row>
    <row r="480" customFormat="false" ht="15" hidden="false" customHeight="false" outlineLevel="0" collapsed="false">
      <c r="A480" s="114" t="n">
        <f aca="false">ROW()-4</f>
        <v>476</v>
      </c>
      <c r="B480" s="114" t="str">
        <f aca="false">IF(A480&lt;=Config!$E$27*Config!$E$28,"Tema","Avulso")</f>
        <v>Tema</v>
      </c>
      <c r="C480" s="114" t="n">
        <f aca="false">IF(B480="Tema",INT((A480-1)/Config!$E$28)+1,A480-Config!$E$27*Config!$E$28)</f>
        <v>80</v>
      </c>
      <c r="D480" s="114" t="n">
        <f aca="false">IF(B480="Tema",MOD(A480-1,Config!$E$28)+1,"")</f>
        <v>2</v>
      </c>
      <c r="E480" s="115" t="str">
        <f aca="false">IF($B480="Tema",IF(ISNUMBER(INDEX(Temas!$E$6:$P$305,$C480,2*$D480-1)),INDEX(Temas!$E$6:$P$305,$C480,2*$D480-1),""),IF(ISNUMBER(INDEX(Avulsos!$B$6:$B$205,$C480)),INDEX(Avulsos!$B$6:$B$205,$C480),""))</f>
        <v/>
      </c>
      <c r="F480" s="114" t="str">
        <f aca="false">IF($E480="","",IF($B480="Tema",INDEX(Temas!$B$6:$B$305,$C480)&amp;"",INDEX(Avulsos!$C$6:$C$205,$C480)&amp;""))</f>
        <v/>
      </c>
      <c r="G480" s="114" t="str">
        <f aca="false">IF($E480="","",IF($B480="Tema",INDEX(Config!$C$6:$C$11,$D480),"Evento avulso"))</f>
        <v/>
      </c>
      <c r="H480" s="114" t="str">
        <f aca="false">IF($E480="","",IF($B480="Tema",INDEX(Config!$D$6:$D$11,$D480),IFERROR(INDEX(Config!$E$15:$E$19,MATCH($I480,Config!$C$15:$C$19,0)),"•")))</f>
        <v/>
      </c>
      <c r="I480" s="114" t="str">
        <f aca="false">IF($E480="","",IF($B480="Tema",INDEX(Config!$E$6:$E$11,$D480),IF(INDEX(Avulsos!$D$6:$D$205,$C480)&amp;""="","Outro",INDEX(Avulsos!$D$6:$D$205,$C480))))</f>
        <v/>
      </c>
      <c r="J480" s="114" t="str">
        <f aca="false">IF($E480="","",IF($B480="Tema",INDEX(Temas!$C$6:$C$305,$C480)&amp;"",INDEX(Avulsos!$E$6:$E$205,$C480)&amp;""))</f>
        <v/>
      </c>
      <c r="K480" s="114" t="str">
        <f aca="false">IF($E480="","",IF(IF($B480="Tema",INDEX(Temas!$E$6:$P$305,$C480,2*$D480),INDEX(Avulsos!$F$6:$F$205,$C480))&amp;""="","","✓"))</f>
        <v/>
      </c>
      <c r="L480" s="114" t="str">
        <f aca="true">IF($E480="","",IF($K480="✓","Concluído",IF($E480&lt;TODAY(),"Atrasado",IF($E480=TODAY(),"Hoje","Pendente"))))</f>
        <v/>
      </c>
      <c r="M480" s="114" t="str">
        <f aca="false">IF($E480="","",IF($K480="✓","✓ ","")&amp;IF(Config!$E$22="Sim",$H480&amp;" · ","")&amp;$F480)</f>
        <v/>
      </c>
      <c r="N480" s="114" t="str">
        <f aca="false">IF($E480="","",IFERROR(INDEX(Config!$D$15:$D$19,MATCH($I480,Config!$C$15:$C$19,0)),"OUT")&amp;IF($K480="✓","x",""))</f>
        <v/>
      </c>
      <c r="O480" s="114" t="str">
        <f aca="false">IF($E480="","",COUNTIF($E$5:$E480,$E480))</f>
        <v/>
      </c>
      <c r="P480" s="114" t="str">
        <f aca="false">IF($E480="","",$E480*100+$O480)</f>
        <v/>
      </c>
      <c r="Q480" s="114" t="str">
        <f aca="false">IF($L480="Atrasado",$E480*10000+$A480,"")</f>
        <v/>
      </c>
    </row>
    <row r="481" customFormat="false" ht="15" hidden="false" customHeight="false" outlineLevel="0" collapsed="false">
      <c r="A481" s="114" t="n">
        <f aca="false">ROW()-4</f>
        <v>477</v>
      </c>
      <c r="B481" s="114" t="str">
        <f aca="false">IF(A481&lt;=Config!$E$27*Config!$E$28,"Tema","Avulso")</f>
        <v>Tema</v>
      </c>
      <c r="C481" s="114" t="n">
        <f aca="false">IF(B481="Tema",INT((A481-1)/Config!$E$28)+1,A481-Config!$E$27*Config!$E$28)</f>
        <v>80</v>
      </c>
      <c r="D481" s="114" t="n">
        <f aca="false">IF(B481="Tema",MOD(A481-1,Config!$E$28)+1,"")</f>
        <v>3</v>
      </c>
      <c r="E481" s="115" t="str">
        <f aca="false">IF($B481="Tema",IF(ISNUMBER(INDEX(Temas!$E$6:$P$305,$C481,2*$D481-1)),INDEX(Temas!$E$6:$P$305,$C481,2*$D481-1),""),IF(ISNUMBER(INDEX(Avulsos!$B$6:$B$205,$C481)),INDEX(Avulsos!$B$6:$B$205,$C481),""))</f>
        <v/>
      </c>
      <c r="F481" s="114" t="str">
        <f aca="false">IF($E481="","",IF($B481="Tema",INDEX(Temas!$B$6:$B$305,$C481)&amp;"",INDEX(Avulsos!$C$6:$C$205,$C481)&amp;""))</f>
        <v/>
      </c>
      <c r="G481" s="114" t="str">
        <f aca="false">IF($E481="","",IF($B481="Tema",INDEX(Config!$C$6:$C$11,$D481),"Evento avulso"))</f>
        <v/>
      </c>
      <c r="H481" s="114" t="str">
        <f aca="false">IF($E481="","",IF($B481="Tema",INDEX(Config!$D$6:$D$11,$D481),IFERROR(INDEX(Config!$E$15:$E$19,MATCH($I481,Config!$C$15:$C$19,0)),"•")))</f>
        <v/>
      </c>
      <c r="I481" s="114" t="str">
        <f aca="false">IF($E481="","",IF($B481="Tema",INDEX(Config!$E$6:$E$11,$D481),IF(INDEX(Avulsos!$D$6:$D$205,$C481)&amp;""="","Outro",INDEX(Avulsos!$D$6:$D$205,$C481))))</f>
        <v/>
      </c>
      <c r="J481" s="114" t="str">
        <f aca="false">IF($E481="","",IF($B481="Tema",INDEX(Temas!$C$6:$C$305,$C481)&amp;"",INDEX(Avulsos!$E$6:$E$205,$C481)&amp;""))</f>
        <v/>
      </c>
      <c r="K481" s="114" t="str">
        <f aca="false">IF($E481="","",IF(IF($B481="Tema",INDEX(Temas!$E$6:$P$305,$C481,2*$D481),INDEX(Avulsos!$F$6:$F$205,$C481))&amp;""="","","✓"))</f>
        <v/>
      </c>
      <c r="L481" s="114" t="str">
        <f aca="true">IF($E481="","",IF($K481="✓","Concluído",IF($E481&lt;TODAY(),"Atrasado",IF($E481=TODAY(),"Hoje","Pendente"))))</f>
        <v/>
      </c>
      <c r="M481" s="114" t="str">
        <f aca="false">IF($E481="","",IF($K481="✓","✓ ","")&amp;IF(Config!$E$22="Sim",$H481&amp;" · ","")&amp;$F481)</f>
        <v/>
      </c>
      <c r="N481" s="114" t="str">
        <f aca="false">IF($E481="","",IFERROR(INDEX(Config!$D$15:$D$19,MATCH($I481,Config!$C$15:$C$19,0)),"OUT")&amp;IF($K481="✓","x",""))</f>
        <v/>
      </c>
      <c r="O481" s="114" t="str">
        <f aca="false">IF($E481="","",COUNTIF($E$5:$E481,$E481))</f>
        <v/>
      </c>
      <c r="P481" s="114" t="str">
        <f aca="false">IF($E481="","",$E481*100+$O481)</f>
        <v/>
      </c>
      <c r="Q481" s="114" t="str">
        <f aca="false">IF($L481="Atrasado",$E481*10000+$A481,"")</f>
        <v/>
      </c>
    </row>
    <row r="482" customFormat="false" ht="15" hidden="false" customHeight="false" outlineLevel="0" collapsed="false">
      <c r="A482" s="114" t="n">
        <f aca="false">ROW()-4</f>
        <v>478</v>
      </c>
      <c r="B482" s="114" t="str">
        <f aca="false">IF(A482&lt;=Config!$E$27*Config!$E$28,"Tema","Avulso")</f>
        <v>Tema</v>
      </c>
      <c r="C482" s="114" t="n">
        <f aca="false">IF(B482="Tema",INT((A482-1)/Config!$E$28)+1,A482-Config!$E$27*Config!$E$28)</f>
        <v>80</v>
      </c>
      <c r="D482" s="114" t="n">
        <f aca="false">IF(B482="Tema",MOD(A482-1,Config!$E$28)+1,"")</f>
        <v>4</v>
      </c>
      <c r="E482" s="115" t="str">
        <f aca="false">IF($B482="Tema",IF(ISNUMBER(INDEX(Temas!$E$6:$P$305,$C482,2*$D482-1)),INDEX(Temas!$E$6:$P$305,$C482,2*$D482-1),""),IF(ISNUMBER(INDEX(Avulsos!$B$6:$B$205,$C482)),INDEX(Avulsos!$B$6:$B$205,$C482),""))</f>
        <v/>
      </c>
      <c r="F482" s="114" t="str">
        <f aca="false">IF($E482="","",IF($B482="Tema",INDEX(Temas!$B$6:$B$305,$C482)&amp;"",INDEX(Avulsos!$C$6:$C$205,$C482)&amp;""))</f>
        <v/>
      </c>
      <c r="G482" s="114" t="str">
        <f aca="false">IF($E482="","",IF($B482="Tema",INDEX(Config!$C$6:$C$11,$D482),"Evento avulso"))</f>
        <v/>
      </c>
      <c r="H482" s="114" t="str">
        <f aca="false">IF($E482="","",IF($B482="Tema",INDEX(Config!$D$6:$D$11,$D482),IFERROR(INDEX(Config!$E$15:$E$19,MATCH($I482,Config!$C$15:$C$19,0)),"•")))</f>
        <v/>
      </c>
      <c r="I482" s="114" t="str">
        <f aca="false">IF($E482="","",IF($B482="Tema",INDEX(Config!$E$6:$E$11,$D482),IF(INDEX(Avulsos!$D$6:$D$205,$C482)&amp;""="","Outro",INDEX(Avulsos!$D$6:$D$205,$C482))))</f>
        <v/>
      </c>
      <c r="J482" s="114" t="str">
        <f aca="false">IF($E482="","",IF($B482="Tema",INDEX(Temas!$C$6:$C$305,$C482)&amp;"",INDEX(Avulsos!$E$6:$E$205,$C482)&amp;""))</f>
        <v/>
      </c>
      <c r="K482" s="114" t="str">
        <f aca="false">IF($E482="","",IF(IF($B482="Tema",INDEX(Temas!$E$6:$P$305,$C482,2*$D482),INDEX(Avulsos!$F$6:$F$205,$C482))&amp;""="","","✓"))</f>
        <v/>
      </c>
      <c r="L482" s="114" t="str">
        <f aca="true">IF($E482="","",IF($K482="✓","Concluído",IF($E482&lt;TODAY(),"Atrasado",IF($E482=TODAY(),"Hoje","Pendente"))))</f>
        <v/>
      </c>
      <c r="M482" s="114" t="str">
        <f aca="false">IF($E482="","",IF($K482="✓","✓ ","")&amp;IF(Config!$E$22="Sim",$H482&amp;" · ","")&amp;$F482)</f>
        <v/>
      </c>
      <c r="N482" s="114" t="str">
        <f aca="false">IF($E482="","",IFERROR(INDEX(Config!$D$15:$D$19,MATCH($I482,Config!$C$15:$C$19,0)),"OUT")&amp;IF($K482="✓","x",""))</f>
        <v/>
      </c>
      <c r="O482" s="114" t="str">
        <f aca="false">IF($E482="","",COUNTIF($E$5:$E482,$E482))</f>
        <v/>
      </c>
      <c r="P482" s="114" t="str">
        <f aca="false">IF($E482="","",$E482*100+$O482)</f>
        <v/>
      </c>
      <c r="Q482" s="114" t="str">
        <f aca="false">IF($L482="Atrasado",$E482*10000+$A482,"")</f>
        <v/>
      </c>
    </row>
    <row r="483" customFormat="false" ht="15" hidden="false" customHeight="false" outlineLevel="0" collapsed="false">
      <c r="A483" s="114" t="n">
        <f aca="false">ROW()-4</f>
        <v>479</v>
      </c>
      <c r="B483" s="114" t="str">
        <f aca="false">IF(A483&lt;=Config!$E$27*Config!$E$28,"Tema","Avulso")</f>
        <v>Tema</v>
      </c>
      <c r="C483" s="114" t="n">
        <f aca="false">IF(B483="Tema",INT((A483-1)/Config!$E$28)+1,A483-Config!$E$27*Config!$E$28)</f>
        <v>80</v>
      </c>
      <c r="D483" s="114" t="n">
        <f aca="false">IF(B483="Tema",MOD(A483-1,Config!$E$28)+1,"")</f>
        <v>5</v>
      </c>
      <c r="E483" s="115" t="str">
        <f aca="false">IF($B483="Tema",IF(ISNUMBER(INDEX(Temas!$E$6:$P$305,$C483,2*$D483-1)),INDEX(Temas!$E$6:$P$305,$C483,2*$D483-1),""),IF(ISNUMBER(INDEX(Avulsos!$B$6:$B$205,$C483)),INDEX(Avulsos!$B$6:$B$205,$C483),""))</f>
        <v/>
      </c>
      <c r="F483" s="114" t="str">
        <f aca="false">IF($E483="","",IF($B483="Tema",INDEX(Temas!$B$6:$B$305,$C483)&amp;"",INDEX(Avulsos!$C$6:$C$205,$C483)&amp;""))</f>
        <v/>
      </c>
      <c r="G483" s="114" t="str">
        <f aca="false">IF($E483="","",IF($B483="Tema",INDEX(Config!$C$6:$C$11,$D483),"Evento avulso"))</f>
        <v/>
      </c>
      <c r="H483" s="114" t="str">
        <f aca="false">IF($E483="","",IF($B483="Tema",INDEX(Config!$D$6:$D$11,$D483),IFERROR(INDEX(Config!$E$15:$E$19,MATCH($I483,Config!$C$15:$C$19,0)),"•")))</f>
        <v/>
      </c>
      <c r="I483" s="114" t="str">
        <f aca="false">IF($E483="","",IF($B483="Tema",INDEX(Config!$E$6:$E$11,$D483),IF(INDEX(Avulsos!$D$6:$D$205,$C483)&amp;""="","Outro",INDEX(Avulsos!$D$6:$D$205,$C483))))</f>
        <v/>
      </c>
      <c r="J483" s="114" t="str">
        <f aca="false">IF($E483="","",IF($B483="Tema",INDEX(Temas!$C$6:$C$305,$C483)&amp;"",INDEX(Avulsos!$E$6:$E$205,$C483)&amp;""))</f>
        <v/>
      </c>
      <c r="K483" s="114" t="str">
        <f aca="false">IF($E483="","",IF(IF($B483="Tema",INDEX(Temas!$E$6:$P$305,$C483,2*$D483),INDEX(Avulsos!$F$6:$F$205,$C483))&amp;""="","","✓"))</f>
        <v/>
      </c>
      <c r="L483" s="114" t="str">
        <f aca="true">IF($E483="","",IF($K483="✓","Concluído",IF($E483&lt;TODAY(),"Atrasado",IF($E483=TODAY(),"Hoje","Pendente"))))</f>
        <v/>
      </c>
      <c r="M483" s="114" t="str">
        <f aca="false">IF($E483="","",IF($K483="✓","✓ ","")&amp;IF(Config!$E$22="Sim",$H483&amp;" · ","")&amp;$F483)</f>
        <v/>
      </c>
      <c r="N483" s="114" t="str">
        <f aca="false">IF($E483="","",IFERROR(INDEX(Config!$D$15:$D$19,MATCH($I483,Config!$C$15:$C$19,0)),"OUT")&amp;IF($K483="✓","x",""))</f>
        <v/>
      </c>
      <c r="O483" s="114" t="str">
        <f aca="false">IF($E483="","",COUNTIF($E$5:$E483,$E483))</f>
        <v/>
      </c>
      <c r="P483" s="114" t="str">
        <f aca="false">IF($E483="","",$E483*100+$O483)</f>
        <v/>
      </c>
      <c r="Q483" s="114" t="str">
        <f aca="false">IF($L483="Atrasado",$E483*10000+$A483,"")</f>
        <v/>
      </c>
    </row>
    <row r="484" customFormat="false" ht="15" hidden="false" customHeight="false" outlineLevel="0" collapsed="false">
      <c r="A484" s="114" t="n">
        <f aca="false">ROW()-4</f>
        <v>480</v>
      </c>
      <c r="B484" s="114" t="str">
        <f aca="false">IF(A484&lt;=Config!$E$27*Config!$E$28,"Tema","Avulso")</f>
        <v>Tema</v>
      </c>
      <c r="C484" s="114" t="n">
        <f aca="false">IF(B484="Tema",INT((A484-1)/Config!$E$28)+1,A484-Config!$E$27*Config!$E$28)</f>
        <v>80</v>
      </c>
      <c r="D484" s="114" t="n">
        <f aca="false">IF(B484="Tema",MOD(A484-1,Config!$E$28)+1,"")</f>
        <v>6</v>
      </c>
      <c r="E484" s="115" t="str">
        <f aca="false">IF($B484="Tema",IF(ISNUMBER(INDEX(Temas!$E$6:$P$305,$C484,2*$D484-1)),INDEX(Temas!$E$6:$P$305,$C484,2*$D484-1),""),IF(ISNUMBER(INDEX(Avulsos!$B$6:$B$205,$C484)),INDEX(Avulsos!$B$6:$B$205,$C484),""))</f>
        <v/>
      </c>
      <c r="F484" s="114" t="str">
        <f aca="false">IF($E484="","",IF($B484="Tema",INDEX(Temas!$B$6:$B$305,$C484)&amp;"",INDEX(Avulsos!$C$6:$C$205,$C484)&amp;""))</f>
        <v/>
      </c>
      <c r="G484" s="114" t="str">
        <f aca="false">IF($E484="","",IF($B484="Tema",INDEX(Config!$C$6:$C$11,$D484),"Evento avulso"))</f>
        <v/>
      </c>
      <c r="H484" s="114" t="str">
        <f aca="false">IF($E484="","",IF($B484="Tema",INDEX(Config!$D$6:$D$11,$D484),IFERROR(INDEX(Config!$E$15:$E$19,MATCH($I484,Config!$C$15:$C$19,0)),"•")))</f>
        <v/>
      </c>
      <c r="I484" s="114" t="str">
        <f aca="false">IF($E484="","",IF($B484="Tema",INDEX(Config!$E$6:$E$11,$D484),IF(INDEX(Avulsos!$D$6:$D$205,$C484)&amp;""="","Outro",INDEX(Avulsos!$D$6:$D$205,$C484))))</f>
        <v/>
      </c>
      <c r="J484" s="114" t="str">
        <f aca="false">IF($E484="","",IF($B484="Tema",INDEX(Temas!$C$6:$C$305,$C484)&amp;"",INDEX(Avulsos!$E$6:$E$205,$C484)&amp;""))</f>
        <v/>
      </c>
      <c r="K484" s="114" t="str">
        <f aca="false">IF($E484="","",IF(IF($B484="Tema",INDEX(Temas!$E$6:$P$305,$C484,2*$D484),INDEX(Avulsos!$F$6:$F$205,$C484))&amp;""="","","✓"))</f>
        <v/>
      </c>
      <c r="L484" s="114" t="str">
        <f aca="true">IF($E484="","",IF($K484="✓","Concluído",IF($E484&lt;TODAY(),"Atrasado",IF($E484=TODAY(),"Hoje","Pendente"))))</f>
        <v/>
      </c>
      <c r="M484" s="114" t="str">
        <f aca="false">IF($E484="","",IF($K484="✓","✓ ","")&amp;IF(Config!$E$22="Sim",$H484&amp;" · ","")&amp;$F484)</f>
        <v/>
      </c>
      <c r="N484" s="114" t="str">
        <f aca="false">IF($E484="","",IFERROR(INDEX(Config!$D$15:$D$19,MATCH($I484,Config!$C$15:$C$19,0)),"OUT")&amp;IF($K484="✓","x",""))</f>
        <v/>
      </c>
      <c r="O484" s="114" t="str">
        <f aca="false">IF($E484="","",COUNTIF($E$5:$E484,$E484))</f>
        <v/>
      </c>
      <c r="P484" s="114" t="str">
        <f aca="false">IF($E484="","",$E484*100+$O484)</f>
        <v/>
      </c>
      <c r="Q484" s="114" t="str">
        <f aca="false">IF($L484="Atrasado",$E484*10000+$A484,"")</f>
        <v/>
      </c>
    </row>
    <row r="485" customFormat="false" ht="15" hidden="false" customHeight="false" outlineLevel="0" collapsed="false">
      <c r="A485" s="114" t="n">
        <f aca="false">ROW()-4</f>
        <v>481</v>
      </c>
      <c r="B485" s="114" t="str">
        <f aca="false">IF(A485&lt;=Config!$E$27*Config!$E$28,"Tema","Avulso")</f>
        <v>Tema</v>
      </c>
      <c r="C485" s="114" t="n">
        <f aca="false">IF(B485="Tema",INT((A485-1)/Config!$E$28)+1,A485-Config!$E$27*Config!$E$28)</f>
        <v>81</v>
      </c>
      <c r="D485" s="114" t="n">
        <f aca="false">IF(B485="Tema",MOD(A485-1,Config!$E$28)+1,"")</f>
        <v>1</v>
      </c>
      <c r="E485" s="115" t="str">
        <f aca="false">IF($B485="Tema",IF(ISNUMBER(INDEX(Temas!$E$6:$P$305,$C485,2*$D485-1)),INDEX(Temas!$E$6:$P$305,$C485,2*$D485-1),""),IF(ISNUMBER(INDEX(Avulsos!$B$6:$B$205,$C485)),INDEX(Avulsos!$B$6:$B$205,$C485),""))</f>
        <v/>
      </c>
      <c r="F485" s="114" t="str">
        <f aca="false">IF($E485="","",IF($B485="Tema",INDEX(Temas!$B$6:$B$305,$C485)&amp;"",INDEX(Avulsos!$C$6:$C$205,$C485)&amp;""))</f>
        <v/>
      </c>
      <c r="G485" s="114" t="str">
        <f aca="false">IF($E485="","",IF($B485="Tema",INDEX(Config!$C$6:$C$11,$D485),"Evento avulso"))</f>
        <v/>
      </c>
      <c r="H485" s="114" t="str">
        <f aca="false">IF($E485="","",IF($B485="Tema",INDEX(Config!$D$6:$D$11,$D485),IFERROR(INDEX(Config!$E$15:$E$19,MATCH($I485,Config!$C$15:$C$19,0)),"•")))</f>
        <v/>
      </c>
      <c r="I485" s="114" t="str">
        <f aca="false">IF($E485="","",IF($B485="Tema",INDEX(Config!$E$6:$E$11,$D485),IF(INDEX(Avulsos!$D$6:$D$205,$C485)&amp;""="","Outro",INDEX(Avulsos!$D$6:$D$205,$C485))))</f>
        <v/>
      </c>
      <c r="J485" s="114" t="str">
        <f aca="false">IF($E485="","",IF($B485="Tema",INDEX(Temas!$C$6:$C$305,$C485)&amp;"",INDEX(Avulsos!$E$6:$E$205,$C485)&amp;""))</f>
        <v/>
      </c>
      <c r="K485" s="114" t="str">
        <f aca="false">IF($E485="","",IF(IF($B485="Tema",INDEX(Temas!$E$6:$P$305,$C485,2*$D485),INDEX(Avulsos!$F$6:$F$205,$C485))&amp;""="","","✓"))</f>
        <v/>
      </c>
      <c r="L485" s="114" t="str">
        <f aca="true">IF($E485="","",IF($K485="✓","Concluído",IF($E485&lt;TODAY(),"Atrasado",IF($E485=TODAY(),"Hoje","Pendente"))))</f>
        <v/>
      </c>
      <c r="M485" s="114" t="str">
        <f aca="false">IF($E485="","",IF($K485="✓","✓ ","")&amp;IF(Config!$E$22="Sim",$H485&amp;" · ","")&amp;$F485)</f>
        <v/>
      </c>
      <c r="N485" s="114" t="str">
        <f aca="false">IF($E485="","",IFERROR(INDEX(Config!$D$15:$D$19,MATCH($I485,Config!$C$15:$C$19,0)),"OUT")&amp;IF($K485="✓","x",""))</f>
        <v/>
      </c>
      <c r="O485" s="114" t="str">
        <f aca="false">IF($E485="","",COUNTIF($E$5:$E485,$E485))</f>
        <v/>
      </c>
      <c r="P485" s="114" t="str">
        <f aca="false">IF($E485="","",$E485*100+$O485)</f>
        <v/>
      </c>
      <c r="Q485" s="114" t="str">
        <f aca="false">IF($L485="Atrasado",$E485*10000+$A485,"")</f>
        <v/>
      </c>
    </row>
    <row r="486" customFormat="false" ht="15" hidden="false" customHeight="false" outlineLevel="0" collapsed="false">
      <c r="A486" s="114" t="n">
        <f aca="false">ROW()-4</f>
        <v>482</v>
      </c>
      <c r="B486" s="114" t="str">
        <f aca="false">IF(A486&lt;=Config!$E$27*Config!$E$28,"Tema","Avulso")</f>
        <v>Tema</v>
      </c>
      <c r="C486" s="114" t="n">
        <f aca="false">IF(B486="Tema",INT((A486-1)/Config!$E$28)+1,A486-Config!$E$27*Config!$E$28)</f>
        <v>81</v>
      </c>
      <c r="D486" s="114" t="n">
        <f aca="false">IF(B486="Tema",MOD(A486-1,Config!$E$28)+1,"")</f>
        <v>2</v>
      </c>
      <c r="E486" s="115" t="str">
        <f aca="false">IF($B486="Tema",IF(ISNUMBER(INDEX(Temas!$E$6:$P$305,$C486,2*$D486-1)),INDEX(Temas!$E$6:$P$305,$C486,2*$D486-1),""),IF(ISNUMBER(INDEX(Avulsos!$B$6:$B$205,$C486)),INDEX(Avulsos!$B$6:$B$205,$C486),""))</f>
        <v/>
      </c>
      <c r="F486" s="114" t="str">
        <f aca="false">IF($E486="","",IF($B486="Tema",INDEX(Temas!$B$6:$B$305,$C486)&amp;"",INDEX(Avulsos!$C$6:$C$205,$C486)&amp;""))</f>
        <v/>
      </c>
      <c r="G486" s="114" t="str">
        <f aca="false">IF($E486="","",IF($B486="Tema",INDEX(Config!$C$6:$C$11,$D486),"Evento avulso"))</f>
        <v/>
      </c>
      <c r="H486" s="114" t="str">
        <f aca="false">IF($E486="","",IF($B486="Tema",INDEX(Config!$D$6:$D$11,$D486),IFERROR(INDEX(Config!$E$15:$E$19,MATCH($I486,Config!$C$15:$C$19,0)),"•")))</f>
        <v/>
      </c>
      <c r="I486" s="114" t="str">
        <f aca="false">IF($E486="","",IF($B486="Tema",INDEX(Config!$E$6:$E$11,$D486),IF(INDEX(Avulsos!$D$6:$D$205,$C486)&amp;""="","Outro",INDEX(Avulsos!$D$6:$D$205,$C486))))</f>
        <v/>
      </c>
      <c r="J486" s="114" t="str">
        <f aca="false">IF($E486="","",IF($B486="Tema",INDEX(Temas!$C$6:$C$305,$C486)&amp;"",INDEX(Avulsos!$E$6:$E$205,$C486)&amp;""))</f>
        <v/>
      </c>
      <c r="K486" s="114" t="str">
        <f aca="false">IF($E486="","",IF(IF($B486="Tema",INDEX(Temas!$E$6:$P$305,$C486,2*$D486),INDEX(Avulsos!$F$6:$F$205,$C486))&amp;""="","","✓"))</f>
        <v/>
      </c>
      <c r="L486" s="114" t="str">
        <f aca="true">IF($E486="","",IF($K486="✓","Concluído",IF($E486&lt;TODAY(),"Atrasado",IF($E486=TODAY(),"Hoje","Pendente"))))</f>
        <v/>
      </c>
      <c r="M486" s="114" t="str">
        <f aca="false">IF($E486="","",IF($K486="✓","✓ ","")&amp;IF(Config!$E$22="Sim",$H486&amp;" · ","")&amp;$F486)</f>
        <v/>
      </c>
      <c r="N486" s="114" t="str">
        <f aca="false">IF($E486="","",IFERROR(INDEX(Config!$D$15:$D$19,MATCH($I486,Config!$C$15:$C$19,0)),"OUT")&amp;IF($K486="✓","x",""))</f>
        <v/>
      </c>
      <c r="O486" s="114" t="str">
        <f aca="false">IF($E486="","",COUNTIF($E$5:$E486,$E486))</f>
        <v/>
      </c>
      <c r="P486" s="114" t="str">
        <f aca="false">IF($E486="","",$E486*100+$O486)</f>
        <v/>
      </c>
      <c r="Q486" s="114" t="str">
        <f aca="false">IF($L486="Atrasado",$E486*10000+$A486,"")</f>
        <v/>
      </c>
    </row>
    <row r="487" customFormat="false" ht="15" hidden="false" customHeight="false" outlineLevel="0" collapsed="false">
      <c r="A487" s="114" t="n">
        <f aca="false">ROW()-4</f>
        <v>483</v>
      </c>
      <c r="B487" s="114" t="str">
        <f aca="false">IF(A487&lt;=Config!$E$27*Config!$E$28,"Tema","Avulso")</f>
        <v>Tema</v>
      </c>
      <c r="C487" s="114" t="n">
        <f aca="false">IF(B487="Tema",INT((A487-1)/Config!$E$28)+1,A487-Config!$E$27*Config!$E$28)</f>
        <v>81</v>
      </c>
      <c r="D487" s="114" t="n">
        <f aca="false">IF(B487="Tema",MOD(A487-1,Config!$E$28)+1,"")</f>
        <v>3</v>
      </c>
      <c r="E487" s="115" t="str">
        <f aca="false">IF($B487="Tema",IF(ISNUMBER(INDEX(Temas!$E$6:$P$305,$C487,2*$D487-1)),INDEX(Temas!$E$6:$P$305,$C487,2*$D487-1),""),IF(ISNUMBER(INDEX(Avulsos!$B$6:$B$205,$C487)),INDEX(Avulsos!$B$6:$B$205,$C487),""))</f>
        <v/>
      </c>
      <c r="F487" s="114" t="str">
        <f aca="false">IF($E487="","",IF($B487="Tema",INDEX(Temas!$B$6:$B$305,$C487)&amp;"",INDEX(Avulsos!$C$6:$C$205,$C487)&amp;""))</f>
        <v/>
      </c>
      <c r="G487" s="114" t="str">
        <f aca="false">IF($E487="","",IF($B487="Tema",INDEX(Config!$C$6:$C$11,$D487),"Evento avulso"))</f>
        <v/>
      </c>
      <c r="H487" s="114" t="str">
        <f aca="false">IF($E487="","",IF($B487="Tema",INDEX(Config!$D$6:$D$11,$D487),IFERROR(INDEX(Config!$E$15:$E$19,MATCH($I487,Config!$C$15:$C$19,0)),"•")))</f>
        <v/>
      </c>
      <c r="I487" s="114" t="str">
        <f aca="false">IF($E487="","",IF($B487="Tema",INDEX(Config!$E$6:$E$11,$D487),IF(INDEX(Avulsos!$D$6:$D$205,$C487)&amp;""="","Outro",INDEX(Avulsos!$D$6:$D$205,$C487))))</f>
        <v/>
      </c>
      <c r="J487" s="114" t="str">
        <f aca="false">IF($E487="","",IF($B487="Tema",INDEX(Temas!$C$6:$C$305,$C487)&amp;"",INDEX(Avulsos!$E$6:$E$205,$C487)&amp;""))</f>
        <v/>
      </c>
      <c r="K487" s="114" t="str">
        <f aca="false">IF($E487="","",IF(IF($B487="Tema",INDEX(Temas!$E$6:$P$305,$C487,2*$D487),INDEX(Avulsos!$F$6:$F$205,$C487))&amp;""="","","✓"))</f>
        <v/>
      </c>
      <c r="L487" s="114" t="str">
        <f aca="true">IF($E487="","",IF($K487="✓","Concluído",IF($E487&lt;TODAY(),"Atrasado",IF($E487=TODAY(),"Hoje","Pendente"))))</f>
        <v/>
      </c>
      <c r="M487" s="114" t="str">
        <f aca="false">IF($E487="","",IF($K487="✓","✓ ","")&amp;IF(Config!$E$22="Sim",$H487&amp;" · ","")&amp;$F487)</f>
        <v/>
      </c>
      <c r="N487" s="114" t="str">
        <f aca="false">IF($E487="","",IFERROR(INDEX(Config!$D$15:$D$19,MATCH($I487,Config!$C$15:$C$19,0)),"OUT")&amp;IF($K487="✓","x",""))</f>
        <v/>
      </c>
      <c r="O487" s="114" t="str">
        <f aca="false">IF($E487="","",COUNTIF($E$5:$E487,$E487))</f>
        <v/>
      </c>
      <c r="P487" s="114" t="str">
        <f aca="false">IF($E487="","",$E487*100+$O487)</f>
        <v/>
      </c>
      <c r="Q487" s="114" t="str">
        <f aca="false">IF($L487="Atrasado",$E487*10000+$A487,"")</f>
        <v/>
      </c>
    </row>
    <row r="488" customFormat="false" ht="15" hidden="false" customHeight="false" outlineLevel="0" collapsed="false">
      <c r="A488" s="114" t="n">
        <f aca="false">ROW()-4</f>
        <v>484</v>
      </c>
      <c r="B488" s="114" t="str">
        <f aca="false">IF(A488&lt;=Config!$E$27*Config!$E$28,"Tema","Avulso")</f>
        <v>Tema</v>
      </c>
      <c r="C488" s="114" t="n">
        <f aca="false">IF(B488="Tema",INT((A488-1)/Config!$E$28)+1,A488-Config!$E$27*Config!$E$28)</f>
        <v>81</v>
      </c>
      <c r="D488" s="114" t="n">
        <f aca="false">IF(B488="Tema",MOD(A488-1,Config!$E$28)+1,"")</f>
        <v>4</v>
      </c>
      <c r="E488" s="115" t="str">
        <f aca="false">IF($B488="Tema",IF(ISNUMBER(INDEX(Temas!$E$6:$P$305,$C488,2*$D488-1)),INDEX(Temas!$E$6:$P$305,$C488,2*$D488-1),""),IF(ISNUMBER(INDEX(Avulsos!$B$6:$B$205,$C488)),INDEX(Avulsos!$B$6:$B$205,$C488),""))</f>
        <v/>
      </c>
      <c r="F488" s="114" t="str">
        <f aca="false">IF($E488="","",IF($B488="Tema",INDEX(Temas!$B$6:$B$305,$C488)&amp;"",INDEX(Avulsos!$C$6:$C$205,$C488)&amp;""))</f>
        <v/>
      </c>
      <c r="G488" s="114" t="str">
        <f aca="false">IF($E488="","",IF($B488="Tema",INDEX(Config!$C$6:$C$11,$D488),"Evento avulso"))</f>
        <v/>
      </c>
      <c r="H488" s="114" t="str">
        <f aca="false">IF($E488="","",IF($B488="Tema",INDEX(Config!$D$6:$D$11,$D488),IFERROR(INDEX(Config!$E$15:$E$19,MATCH($I488,Config!$C$15:$C$19,0)),"•")))</f>
        <v/>
      </c>
      <c r="I488" s="114" t="str">
        <f aca="false">IF($E488="","",IF($B488="Tema",INDEX(Config!$E$6:$E$11,$D488),IF(INDEX(Avulsos!$D$6:$D$205,$C488)&amp;""="","Outro",INDEX(Avulsos!$D$6:$D$205,$C488))))</f>
        <v/>
      </c>
      <c r="J488" s="114" t="str">
        <f aca="false">IF($E488="","",IF($B488="Tema",INDEX(Temas!$C$6:$C$305,$C488)&amp;"",INDEX(Avulsos!$E$6:$E$205,$C488)&amp;""))</f>
        <v/>
      </c>
      <c r="K488" s="114" t="str">
        <f aca="false">IF($E488="","",IF(IF($B488="Tema",INDEX(Temas!$E$6:$P$305,$C488,2*$D488),INDEX(Avulsos!$F$6:$F$205,$C488))&amp;""="","","✓"))</f>
        <v/>
      </c>
      <c r="L488" s="114" t="str">
        <f aca="true">IF($E488="","",IF($K488="✓","Concluído",IF($E488&lt;TODAY(),"Atrasado",IF($E488=TODAY(),"Hoje","Pendente"))))</f>
        <v/>
      </c>
      <c r="M488" s="114" t="str">
        <f aca="false">IF($E488="","",IF($K488="✓","✓ ","")&amp;IF(Config!$E$22="Sim",$H488&amp;" · ","")&amp;$F488)</f>
        <v/>
      </c>
      <c r="N488" s="114" t="str">
        <f aca="false">IF($E488="","",IFERROR(INDEX(Config!$D$15:$D$19,MATCH($I488,Config!$C$15:$C$19,0)),"OUT")&amp;IF($K488="✓","x",""))</f>
        <v/>
      </c>
      <c r="O488" s="114" t="str">
        <f aca="false">IF($E488="","",COUNTIF($E$5:$E488,$E488))</f>
        <v/>
      </c>
      <c r="P488" s="114" t="str">
        <f aca="false">IF($E488="","",$E488*100+$O488)</f>
        <v/>
      </c>
      <c r="Q488" s="114" t="str">
        <f aca="false">IF($L488="Atrasado",$E488*10000+$A488,"")</f>
        <v/>
      </c>
    </row>
    <row r="489" customFormat="false" ht="15" hidden="false" customHeight="false" outlineLevel="0" collapsed="false">
      <c r="A489" s="114" t="n">
        <f aca="false">ROW()-4</f>
        <v>485</v>
      </c>
      <c r="B489" s="114" t="str">
        <f aca="false">IF(A489&lt;=Config!$E$27*Config!$E$28,"Tema","Avulso")</f>
        <v>Tema</v>
      </c>
      <c r="C489" s="114" t="n">
        <f aca="false">IF(B489="Tema",INT((A489-1)/Config!$E$28)+1,A489-Config!$E$27*Config!$E$28)</f>
        <v>81</v>
      </c>
      <c r="D489" s="114" t="n">
        <f aca="false">IF(B489="Tema",MOD(A489-1,Config!$E$28)+1,"")</f>
        <v>5</v>
      </c>
      <c r="E489" s="115" t="str">
        <f aca="false">IF($B489="Tema",IF(ISNUMBER(INDEX(Temas!$E$6:$P$305,$C489,2*$D489-1)),INDEX(Temas!$E$6:$P$305,$C489,2*$D489-1),""),IF(ISNUMBER(INDEX(Avulsos!$B$6:$B$205,$C489)),INDEX(Avulsos!$B$6:$B$205,$C489),""))</f>
        <v/>
      </c>
      <c r="F489" s="114" t="str">
        <f aca="false">IF($E489="","",IF($B489="Tema",INDEX(Temas!$B$6:$B$305,$C489)&amp;"",INDEX(Avulsos!$C$6:$C$205,$C489)&amp;""))</f>
        <v/>
      </c>
      <c r="G489" s="114" t="str">
        <f aca="false">IF($E489="","",IF($B489="Tema",INDEX(Config!$C$6:$C$11,$D489),"Evento avulso"))</f>
        <v/>
      </c>
      <c r="H489" s="114" t="str">
        <f aca="false">IF($E489="","",IF($B489="Tema",INDEX(Config!$D$6:$D$11,$D489),IFERROR(INDEX(Config!$E$15:$E$19,MATCH($I489,Config!$C$15:$C$19,0)),"•")))</f>
        <v/>
      </c>
      <c r="I489" s="114" t="str">
        <f aca="false">IF($E489="","",IF($B489="Tema",INDEX(Config!$E$6:$E$11,$D489),IF(INDEX(Avulsos!$D$6:$D$205,$C489)&amp;""="","Outro",INDEX(Avulsos!$D$6:$D$205,$C489))))</f>
        <v/>
      </c>
      <c r="J489" s="114" t="str">
        <f aca="false">IF($E489="","",IF($B489="Tema",INDEX(Temas!$C$6:$C$305,$C489)&amp;"",INDEX(Avulsos!$E$6:$E$205,$C489)&amp;""))</f>
        <v/>
      </c>
      <c r="K489" s="114" t="str">
        <f aca="false">IF($E489="","",IF(IF($B489="Tema",INDEX(Temas!$E$6:$P$305,$C489,2*$D489),INDEX(Avulsos!$F$6:$F$205,$C489))&amp;""="","","✓"))</f>
        <v/>
      </c>
      <c r="L489" s="114" t="str">
        <f aca="true">IF($E489="","",IF($K489="✓","Concluído",IF($E489&lt;TODAY(),"Atrasado",IF($E489=TODAY(),"Hoje","Pendente"))))</f>
        <v/>
      </c>
      <c r="M489" s="114" t="str">
        <f aca="false">IF($E489="","",IF($K489="✓","✓ ","")&amp;IF(Config!$E$22="Sim",$H489&amp;" · ","")&amp;$F489)</f>
        <v/>
      </c>
      <c r="N489" s="114" t="str">
        <f aca="false">IF($E489="","",IFERROR(INDEX(Config!$D$15:$D$19,MATCH($I489,Config!$C$15:$C$19,0)),"OUT")&amp;IF($K489="✓","x",""))</f>
        <v/>
      </c>
      <c r="O489" s="114" t="str">
        <f aca="false">IF($E489="","",COUNTIF($E$5:$E489,$E489))</f>
        <v/>
      </c>
      <c r="P489" s="114" t="str">
        <f aca="false">IF($E489="","",$E489*100+$O489)</f>
        <v/>
      </c>
      <c r="Q489" s="114" t="str">
        <f aca="false">IF($L489="Atrasado",$E489*10000+$A489,"")</f>
        <v/>
      </c>
    </row>
    <row r="490" customFormat="false" ht="15" hidden="false" customHeight="false" outlineLevel="0" collapsed="false">
      <c r="A490" s="114" t="n">
        <f aca="false">ROW()-4</f>
        <v>486</v>
      </c>
      <c r="B490" s="114" t="str">
        <f aca="false">IF(A490&lt;=Config!$E$27*Config!$E$28,"Tema","Avulso")</f>
        <v>Tema</v>
      </c>
      <c r="C490" s="114" t="n">
        <f aca="false">IF(B490="Tema",INT((A490-1)/Config!$E$28)+1,A490-Config!$E$27*Config!$E$28)</f>
        <v>81</v>
      </c>
      <c r="D490" s="114" t="n">
        <f aca="false">IF(B490="Tema",MOD(A490-1,Config!$E$28)+1,"")</f>
        <v>6</v>
      </c>
      <c r="E490" s="115" t="str">
        <f aca="false">IF($B490="Tema",IF(ISNUMBER(INDEX(Temas!$E$6:$P$305,$C490,2*$D490-1)),INDEX(Temas!$E$6:$P$305,$C490,2*$D490-1),""),IF(ISNUMBER(INDEX(Avulsos!$B$6:$B$205,$C490)),INDEX(Avulsos!$B$6:$B$205,$C490),""))</f>
        <v/>
      </c>
      <c r="F490" s="114" t="str">
        <f aca="false">IF($E490="","",IF($B490="Tema",INDEX(Temas!$B$6:$B$305,$C490)&amp;"",INDEX(Avulsos!$C$6:$C$205,$C490)&amp;""))</f>
        <v/>
      </c>
      <c r="G490" s="114" t="str">
        <f aca="false">IF($E490="","",IF($B490="Tema",INDEX(Config!$C$6:$C$11,$D490),"Evento avulso"))</f>
        <v/>
      </c>
      <c r="H490" s="114" t="str">
        <f aca="false">IF($E490="","",IF($B490="Tema",INDEX(Config!$D$6:$D$11,$D490),IFERROR(INDEX(Config!$E$15:$E$19,MATCH($I490,Config!$C$15:$C$19,0)),"•")))</f>
        <v/>
      </c>
      <c r="I490" s="114" t="str">
        <f aca="false">IF($E490="","",IF($B490="Tema",INDEX(Config!$E$6:$E$11,$D490),IF(INDEX(Avulsos!$D$6:$D$205,$C490)&amp;""="","Outro",INDEX(Avulsos!$D$6:$D$205,$C490))))</f>
        <v/>
      </c>
      <c r="J490" s="114" t="str">
        <f aca="false">IF($E490="","",IF($B490="Tema",INDEX(Temas!$C$6:$C$305,$C490)&amp;"",INDEX(Avulsos!$E$6:$E$205,$C490)&amp;""))</f>
        <v/>
      </c>
      <c r="K490" s="114" t="str">
        <f aca="false">IF($E490="","",IF(IF($B490="Tema",INDEX(Temas!$E$6:$P$305,$C490,2*$D490),INDEX(Avulsos!$F$6:$F$205,$C490))&amp;""="","","✓"))</f>
        <v/>
      </c>
      <c r="L490" s="114" t="str">
        <f aca="true">IF($E490="","",IF($K490="✓","Concluído",IF($E490&lt;TODAY(),"Atrasado",IF($E490=TODAY(),"Hoje","Pendente"))))</f>
        <v/>
      </c>
      <c r="M490" s="114" t="str">
        <f aca="false">IF($E490="","",IF($K490="✓","✓ ","")&amp;IF(Config!$E$22="Sim",$H490&amp;" · ","")&amp;$F490)</f>
        <v/>
      </c>
      <c r="N490" s="114" t="str">
        <f aca="false">IF($E490="","",IFERROR(INDEX(Config!$D$15:$D$19,MATCH($I490,Config!$C$15:$C$19,0)),"OUT")&amp;IF($K490="✓","x",""))</f>
        <v/>
      </c>
      <c r="O490" s="114" t="str">
        <f aca="false">IF($E490="","",COUNTIF($E$5:$E490,$E490))</f>
        <v/>
      </c>
      <c r="P490" s="114" t="str">
        <f aca="false">IF($E490="","",$E490*100+$O490)</f>
        <v/>
      </c>
      <c r="Q490" s="114" t="str">
        <f aca="false">IF($L490="Atrasado",$E490*10000+$A490,"")</f>
        <v/>
      </c>
    </row>
    <row r="491" customFormat="false" ht="15" hidden="false" customHeight="false" outlineLevel="0" collapsed="false">
      <c r="A491" s="114" t="n">
        <f aca="false">ROW()-4</f>
        <v>487</v>
      </c>
      <c r="B491" s="114" t="str">
        <f aca="false">IF(A491&lt;=Config!$E$27*Config!$E$28,"Tema","Avulso")</f>
        <v>Tema</v>
      </c>
      <c r="C491" s="114" t="n">
        <f aca="false">IF(B491="Tema",INT((A491-1)/Config!$E$28)+1,A491-Config!$E$27*Config!$E$28)</f>
        <v>82</v>
      </c>
      <c r="D491" s="114" t="n">
        <f aca="false">IF(B491="Tema",MOD(A491-1,Config!$E$28)+1,"")</f>
        <v>1</v>
      </c>
      <c r="E491" s="115" t="str">
        <f aca="false">IF($B491="Tema",IF(ISNUMBER(INDEX(Temas!$E$6:$P$305,$C491,2*$D491-1)),INDEX(Temas!$E$6:$P$305,$C491,2*$D491-1),""),IF(ISNUMBER(INDEX(Avulsos!$B$6:$B$205,$C491)),INDEX(Avulsos!$B$6:$B$205,$C491),""))</f>
        <v/>
      </c>
      <c r="F491" s="114" t="str">
        <f aca="false">IF($E491="","",IF($B491="Tema",INDEX(Temas!$B$6:$B$305,$C491)&amp;"",INDEX(Avulsos!$C$6:$C$205,$C491)&amp;""))</f>
        <v/>
      </c>
      <c r="G491" s="114" t="str">
        <f aca="false">IF($E491="","",IF($B491="Tema",INDEX(Config!$C$6:$C$11,$D491),"Evento avulso"))</f>
        <v/>
      </c>
      <c r="H491" s="114" t="str">
        <f aca="false">IF($E491="","",IF($B491="Tema",INDEX(Config!$D$6:$D$11,$D491),IFERROR(INDEX(Config!$E$15:$E$19,MATCH($I491,Config!$C$15:$C$19,0)),"•")))</f>
        <v/>
      </c>
      <c r="I491" s="114" t="str">
        <f aca="false">IF($E491="","",IF($B491="Tema",INDEX(Config!$E$6:$E$11,$D491),IF(INDEX(Avulsos!$D$6:$D$205,$C491)&amp;""="","Outro",INDEX(Avulsos!$D$6:$D$205,$C491))))</f>
        <v/>
      </c>
      <c r="J491" s="114" t="str">
        <f aca="false">IF($E491="","",IF($B491="Tema",INDEX(Temas!$C$6:$C$305,$C491)&amp;"",INDEX(Avulsos!$E$6:$E$205,$C491)&amp;""))</f>
        <v/>
      </c>
      <c r="K491" s="114" t="str">
        <f aca="false">IF($E491="","",IF(IF($B491="Tema",INDEX(Temas!$E$6:$P$305,$C491,2*$D491),INDEX(Avulsos!$F$6:$F$205,$C491))&amp;""="","","✓"))</f>
        <v/>
      </c>
      <c r="L491" s="114" t="str">
        <f aca="true">IF($E491="","",IF($K491="✓","Concluído",IF($E491&lt;TODAY(),"Atrasado",IF($E491=TODAY(),"Hoje","Pendente"))))</f>
        <v/>
      </c>
      <c r="M491" s="114" t="str">
        <f aca="false">IF($E491="","",IF($K491="✓","✓ ","")&amp;IF(Config!$E$22="Sim",$H491&amp;" · ","")&amp;$F491)</f>
        <v/>
      </c>
      <c r="N491" s="114" t="str">
        <f aca="false">IF($E491="","",IFERROR(INDEX(Config!$D$15:$D$19,MATCH($I491,Config!$C$15:$C$19,0)),"OUT")&amp;IF($K491="✓","x",""))</f>
        <v/>
      </c>
      <c r="O491" s="114" t="str">
        <f aca="false">IF($E491="","",COUNTIF($E$5:$E491,$E491))</f>
        <v/>
      </c>
      <c r="P491" s="114" t="str">
        <f aca="false">IF($E491="","",$E491*100+$O491)</f>
        <v/>
      </c>
      <c r="Q491" s="114" t="str">
        <f aca="false">IF($L491="Atrasado",$E491*10000+$A491,"")</f>
        <v/>
      </c>
    </row>
    <row r="492" customFormat="false" ht="15" hidden="false" customHeight="false" outlineLevel="0" collapsed="false">
      <c r="A492" s="114" t="n">
        <f aca="false">ROW()-4</f>
        <v>488</v>
      </c>
      <c r="B492" s="114" t="str">
        <f aca="false">IF(A492&lt;=Config!$E$27*Config!$E$28,"Tema","Avulso")</f>
        <v>Tema</v>
      </c>
      <c r="C492" s="114" t="n">
        <f aca="false">IF(B492="Tema",INT((A492-1)/Config!$E$28)+1,A492-Config!$E$27*Config!$E$28)</f>
        <v>82</v>
      </c>
      <c r="D492" s="114" t="n">
        <f aca="false">IF(B492="Tema",MOD(A492-1,Config!$E$28)+1,"")</f>
        <v>2</v>
      </c>
      <c r="E492" s="115" t="str">
        <f aca="false">IF($B492="Tema",IF(ISNUMBER(INDEX(Temas!$E$6:$P$305,$C492,2*$D492-1)),INDEX(Temas!$E$6:$P$305,$C492,2*$D492-1),""),IF(ISNUMBER(INDEX(Avulsos!$B$6:$B$205,$C492)),INDEX(Avulsos!$B$6:$B$205,$C492),""))</f>
        <v/>
      </c>
      <c r="F492" s="114" t="str">
        <f aca="false">IF($E492="","",IF($B492="Tema",INDEX(Temas!$B$6:$B$305,$C492)&amp;"",INDEX(Avulsos!$C$6:$C$205,$C492)&amp;""))</f>
        <v/>
      </c>
      <c r="G492" s="114" t="str">
        <f aca="false">IF($E492="","",IF($B492="Tema",INDEX(Config!$C$6:$C$11,$D492),"Evento avulso"))</f>
        <v/>
      </c>
      <c r="H492" s="114" t="str">
        <f aca="false">IF($E492="","",IF($B492="Tema",INDEX(Config!$D$6:$D$11,$D492),IFERROR(INDEX(Config!$E$15:$E$19,MATCH($I492,Config!$C$15:$C$19,0)),"•")))</f>
        <v/>
      </c>
      <c r="I492" s="114" t="str">
        <f aca="false">IF($E492="","",IF($B492="Tema",INDEX(Config!$E$6:$E$11,$D492),IF(INDEX(Avulsos!$D$6:$D$205,$C492)&amp;""="","Outro",INDEX(Avulsos!$D$6:$D$205,$C492))))</f>
        <v/>
      </c>
      <c r="J492" s="114" t="str">
        <f aca="false">IF($E492="","",IF($B492="Tema",INDEX(Temas!$C$6:$C$305,$C492)&amp;"",INDEX(Avulsos!$E$6:$E$205,$C492)&amp;""))</f>
        <v/>
      </c>
      <c r="K492" s="114" t="str">
        <f aca="false">IF($E492="","",IF(IF($B492="Tema",INDEX(Temas!$E$6:$P$305,$C492,2*$D492),INDEX(Avulsos!$F$6:$F$205,$C492))&amp;""="","","✓"))</f>
        <v/>
      </c>
      <c r="L492" s="114" t="str">
        <f aca="true">IF($E492="","",IF($K492="✓","Concluído",IF($E492&lt;TODAY(),"Atrasado",IF($E492=TODAY(),"Hoje","Pendente"))))</f>
        <v/>
      </c>
      <c r="M492" s="114" t="str">
        <f aca="false">IF($E492="","",IF($K492="✓","✓ ","")&amp;IF(Config!$E$22="Sim",$H492&amp;" · ","")&amp;$F492)</f>
        <v/>
      </c>
      <c r="N492" s="114" t="str">
        <f aca="false">IF($E492="","",IFERROR(INDEX(Config!$D$15:$D$19,MATCH($I492,Config!$C$15:$C$19,0)),"OUT")&amp;IF($K492="✓","x",""))</f>
        <v/>
      </c>
      <c r="O492" s="114" t="str">
        <f aca="false">IF($E492="","",COUNTIF($E$5:$E492,$E492))</f>
        <v/>
      </c>
      <c r="P492" s="114" t="str">
        <f aca="false">IF($E492="","",$E492*100+$O492)</f>
        <v/>
      </c>
      <c r="Q492" s="114" t="str">
        <f aca="false">IF($L492="Atrasado",$E492*10000+$A492,"")</f>
        <v/>
      </c>
    </row>
    <row r="493" customFormat="false" ht="15" hidden="false" customHeight="false" outlineLevel="0" collapsed="false">
      <c r="A493" s="114" t="n">
        <f aca="false">ROW()-4</f>
        <v>489</v>
      </c>
      <c r="B493" s="114" t="str">
        <f aca="false">IF(A493&lt;=Config!$E$27*Config!$E$28,"Tema","Avulso")</f>
        <v>Tema</v>
      </c>
      <c r="C493" s="114" t="n">
        <f aca="false">IF(B493="Tema",INT((A493-1)/Config!$E$28)+1,A493-Config!$E$27*Config!$E$28)</f>
        <v>82</v>
      </c>
      <c r="D493" s="114" t="n">
        <f aca="false">IF(B493="Tema",MOD(A493-1,Config!$E$28)+1,"")</f>
        <v>3</v>
      </c>
      <c r="E493" s="115" t="str">
        <f aca="false">IF($B493="Tema",IF(ISNUMBER(INDEX(Temas!$E$6:$P$305,$C493,2*$D493-1)),INDEX(Temas!$E$6:$P$305,$C493,2*$D493-1),""),IF(ISNUMBER(INDEX(Avulsos!$B$6:$B$205,$C493)),INDEX(Avulsos!$B$6:$B$205,$C493),""))</f>
        <v/>
      </c>
      <c r="F493" s="114" t="str">
        <f aca="false">IF($E493="","",IF($B493="Tema",INDEX(Temas!$B$6:$B$305,$C493)&amp;"",INDEX(Avulsos!$C$6:$C$205,$C493)&amp;""))</f>
        <v/>
      </c>
      <c r="G493" s="114" t="str">
        <f aca="false">IF($E493="","",IF($B493="Tema",INDEX(Config!$C$6:$C$11,$D493),"Evento avulso"))</f>
        <v/>
      </c>
      <c r="H493" s="114" t="str">
        <f aca="false">IF($E493="","",IF($B493="Tema",INDEX(Config!$D$6:$D$11,$D493),IFERROR(INDEX(Config!$E$15:$E$19,MATCH($I493,Config!$C$15:$C$19,0)),"•")))</f>
        <v/>
      </c>
      <c r="I493" s="114" t="str">
        <f aca="false">IF($E493="","",IF($B493="Tema",INDEX(Config!$E$6:$E$11,$D493),IF(INDEX(Avulsos!$D$6:$D$205,$C493)&amp;""="","Outro",INDEX(Avulsos!$D$6:$D$205,$C493))))</f>
        <v/>
      </c>
      <c r="J493" s="114" t="str">
        <f aca="false">IF($E493="","",IF($B493="Tema",INDEX(Temas!$C$6:$C$305,$C493)&amp;"",INDEX(Avulsos!$E$6:$E$205,$C493)&amp;""))</f>
        <v/>
      </c>
      <c r="K493" s="114" t="str">
        <f aca="false">IF($E493="","",IF(IF($B493="Tema",INDEX(Temas!$E$6:$P$305,$C493,2*$D493),INDEX(Avulsos!$F$6:$F$205,$C493))&amp;""="","","✓"))</f>
        <v/>
      </c>
      <c r="L493" s="114" t="str">
        <f aca="true">IF($E493="","",IF($K493="✓","Concluído",IF($E493&lt;TODAY(),"Atrasado",IF($E493=TODAY(),"Hoje","Pendente"))))</f>
        <v/>
      </c>
      <c r="M493" s="114" t="str">
        <f aca="false">IF($E493="","",IF($K493="✓","✓ ","")&amp;IF(Config!$E$22="Sim",$H493&amp;" · ","")&amp;$F493)</f>
        <v/>
      </c>
      <c r="N493" s="114" t="str">
        <f aca="false">IF($E493="","",IFERROR(INDEX(Config!$D$15:$D$19,MATCH($I493,Config!$C$15:$C$19,0)),"OUT")&amp;IF($K493="✓","x",""))</f>
        <v/>
      </c>
      <c r="O493" s="114" t="str">
        <f aca="false">IF($E493="","",COUNTIF($E$5:$E493,$E493))</f>
        <v/>
      </c>
      <c r="P493" s="114" t="str">
        <f aca="false">IF($E493="","",$E493*100+$O493)</f>
        <v/>
      </c>
      <c r="Q493" s="114" t="str">
        <f aca="false">IF($L493="Atrasado",$E493*10000+$A493,"")</f>
        <v/>
      </c>
    </row>
    <row r="494" customFormat="false" ht="15" hidden="false" customHeight="false" outlineLevel="0" collapsed="false">
      <c r="A494" s="114" t="n">
        <f aca="false">ROW()-4</f>
        <v>490</v>
      </c>
      <c r="B494" s="114" t="str">
        <f aca="false">IF(A494&lt;=Config!$E$27*Config!$E$28,"Tema","Avulso")</f>
        <v>Tema</v>
      </c>
      <c r="C494" s="114" t="n">
        <f aca="false">IF(B494="Tema",INT((A494-1)/Config!$E$28)+1,A494-Config!$E$27*Config!$E$28)</f>
        <v>82</v>
      </c>
      <c r="D494" s="114" t="n">
        <f aca="false">IF(B494="Tema",MOD(A494-1,Config!$E$28)+1,"")</f>
        <v>4</v>
      </c>
      <c r="E494" s="115" t="str">
        <f aca="false">IF($B494="Tema",IF(ISNUMBER(INDEX(Temas!$E$6:$P$305,$C494,2*$D494-1)),INDEX(Temas!$E$6:$P$305,$C494,2*$D494-1),""),IF(ISNUMBER(INDEX(Avulsos!$B$6:$B$205,$C494)),INDEX(Avulsos!$B$6:$B$205,$C494),""))</f>
        <v/>
      </c>
      <c r="F494" s="114" t="str">
        <f aca="false">IF($E494="","",IF($B494="Tema",INDEX(Temas!$B$6:$B$305,$C494)&amp;"",INDEX(Avulsos!$C$6:$C$205,$C494)&amp;""))</f>
        <v/>
      </c>
      <c r="G494" s="114" t="str">
        <f aca="false">IF($E494="","",IF($B494="Tema",INDEX(Config!$C$6:$C$11,$D494),"Evento avulso"))</f>
        <v/>
      </c>
      <c r="H494" s="114" t="str">
        <f aca="false">IF($E494="","",IF($B494="Tema",INDEX(Config!$D$6:$D$11,$D494),IFERROR(INDEX(Config!$E$15:$E$19,MATCH($I494,Config!$C$15:$C$19,0)),"•")))</f>
        <v/>
      </c>
      <c r="I494" s="114" t="str">
        <f aca="false">IF($E494="","",IF($B494="Tema",INDEX(Config!$E$6:$E$11,$D494),IF(INDEX(Avulsos!$D$6:$D$205,$C494)&amp;""="","Outro",INDEX(Avulsos!$D$6:$D$205,$C494))))</f>
        <v/>
      </c>
      <c r="J494" s="114" t="str">
        <f aca="false">IF($E494="","",IF($B494="Tema",INDEX(Temas!$C$6:$C$305,$C494)&amp;"",INDEX(Avulsos!$E$6:$E$205,$C494)&amp;""))</f>
        <v/>
      </c>
      <c r="K494" s="114" t="str">
        <f aca="false">IF($E494="","",IF(IF($B494="Tema",INDEX(Temas!$E$6:$P$305,$C494,2*$D494),INDEX(Avulsos!$F$6:$F$205,$C494))&amp;""="","","✓"))</f>
        <v/>
      </c>
      <c r="L494" s="114" t="str">
        <f aca="true">IF($E494="","",IF($K494="✓","Concluído",IF($E494&lt;TODAY(),"Atrasado",IF($E494=TODAY(),"Hoje","Pendente"))))</f>
        <v/>
      </c>
      <c r="M494" s="114" t="str">
        <f aca="false">IF($E494="","",IF($K494="✓","✓ ","")&amp;IF(Config!$E$22="Sim",$H494&amp;" · ","")&amp;$F494)</f>
        <v/>
      </c>
      <c r="N494" s="114" t="str">
        <f aca="false">IF($E494="","",IFERROR(INDEX(Config!$D$15:$D$19,MATCH($I494,Config!$C$15:$C$19,0)),"OUT")&amp;IF($K494="✓","x",""))</f>
        <v/>
      </c>
      <c r="O494" s="114" t="str">
        <f aca="false">IF($E494="","",COUNTIF($E$5:$E494,$E494))</f>
        <v/>
      </c>
      <c r="P494" s="114" t="str">
        <f aca="false">IF($E494="","",$E494*100+$O494)</f>
        <v/>
      </c>
      <c r="Q494" s="114" t="str">
        <f aca="false">IF($L494="Atrasado",$E494*10000+$A494,"")</f>
        <v/>
      </c>
    </row>
    <row r="495" customFormat="false" ht="15" hidden="false" customHeight="false" outlineLevel="0" collapsed="false">
      <c r="A495" s="114" t="n">
        <f aca="false">ROW()-4</f>
        <v>491</v>
      </c>
      <c r="B495" s="114" t="str">
        <f aca="false">IF(A495&lt;=Config!$E$27*Config!$E$28,"Tema","Avulso")</f>
        <v>Tema</v>
      </c>
      <c r="C495" s="114" t="n">
        <f aca="false">IF(B495="Tema",INT((A495-1)/Config!$E$28)+1,A495-Config!$E$27*Config!$E$28)</f>
        <v>82</v>
      </c>
      <c r="D495" s="114" t="n">
        <f aca="false">IF(B495="Tema",MOD(A495-1,Config!$E$28)+1,"")</f>
        <v>5</v>
      </c>
      <c r="E495" s="115" t="str">
        <f aca="false">IF($B495="Tema",IF(ISNUMBER(INDEX(Temas!$E$6:$P$305,$C495,2*$D495-1)),INDEX(Temas!$E$6:$P$305,$C495,2*$D495-1),""),IF(ISNUMBER(INDEX(Avulsos!$B$6:$B$205,$C495)),INDEX(Avulsos!$B$6:$B$205,$C495),""))</f>
        <v/>
      </c>
      <c r="F495" s="114" t="str">
        <f aca="false">IF($E495="","",IF($B495="Tema",INDEX(Temas!$B$6:$B$305,$C495)&amp;"",INDEX(Avulsos!$C$6:$C$205,$C495)&amp;""))</f>
        <v/>
      </c>
      <c r="G495" s="114" t="str">
        <f aca="false">IF($E495="","",IF($B495="Tema",INDEX(Config!$C$6:$C$11,$D495),"Evento avulso"))</f>
        <v/>
      </c>
      <c r="H495" s="114" t="str">
        <f aca="false">IF($E495="","",IF($B495="Tema",INDEX(Config!$D$6:$D$11,$D495),IFERROR(INDEX(Config!$E$15:$E$19,MATCH($I495,Config!$C$15:$C$19,0)),"•")))</f>
        <v/>
      </c>
      <c r="I495" s="114" t="str">
        <f aca="false">IF($E495="","",IF($B495="Tema",INDEX(Config!$E$6:$E$11,$D495),IF(INDEX(Avulsos!$D$6:$D$205,$C495)&amp;""="","Outro",INDEX(Avulsos!$D$6:$D$205,$C495))))</f>
        <v/>
      </c>
      <c r="J495" s="114" t="str">
        <f aca="false">IF($E495="","",IF($B495="Tema",INDEX(Temas!$C$6:$C$305,$C495)&amp;"",INDEX(Avulsos!$E$6:$E$205,$C495)&amp;""))</f>
        <v/>
      </c>
      <c r="K495" s="114" t="str">
        <f aca="false">IF($E495="","",IF(IF($B495="Tema",INDEX(Temas!$E$6:$P$305,$C495,2*$D495),INDEX(Avulsos!$F$6:$F$205,$C495))&amp;""="","","✓"))</f>
        <v/>
      </c>
      <c r="L495" s="114" t="str">
        <f aca="true">IF($E495="","",IF($K495="✓","Concluído",IF($E495&lt;TODAY(),"Atrasado",IF($E495=TODAY(),"Hoje","Pendente"))))</f>
        <v/>
      </c>
      <c r="M495" s="114" t="str">
        <f aca="false">IF($E495="","",IF($K495="✓","✓ ","")&amp;IF(Config!$E$22="Sim",$H495&amp;" · ","")&amp;$F495)</f>
        <v/>
      </c>
      <c r="N495" s="114" t="str">
        <f aca="false">IF($E495="","",IFERROR(INDEX(Config!$D$15:$D$19,MATCH($I495,Config!$C$15:$C$19,0)),"OUT")&amp;IF($K495="✓","x",""))</f>
        <v/>
      </c>
      <c r="O495" s="114" t="str">
        <f aca="false">IF($E495="","",COUNTIF($E$5:$E495,$E495))</f>
        <v/>
      </c>
      <c r="P495" s="114" t="str">
        <f aca="false">IF($E495="","",$E495*100+$O495)</f>
        <v/>
      </c>
      <c r="Q495" s="114" t="str">
        <f aca="false">IF($L495="Atrasado",$E495*10000+$A495,"")</f>
        <v/>
      </c>
    </row>
    <row r="496" customFormat="false" ht="15" hidden="false" customHeight="false" outlineLevel="0" collapsed="false">
      <c r="A496" s="114" t="n">
        <f aca="false">ROW()-4</f>
        <v>492</v>
      </c>
      <c r="B496" s="114" t="str">
        <f aca="false">IF(A496&lt;=Config!$E$27*Config!$E$28,"Tema","Avulso")</f>
        <v>Tema</v>
      </c>
      <c r="C496" s="114" t="n">
        <f aca="false">IF(B496="Tema",INT((A496-1)/Config!$E$28)+1,A496-Config!$E$27*Config!$E$28)</f>
        <v>82</v>
      </c>
      <c r="D496" s="114" t="n">
        <f aca="false">IF(B496="Tema",MOD(A496-1,Config!$E$28)+1,"")</f>
        <v>6</v>
      </c>
      <c r="E496" s="115" t="str">
        <f aca="false">IF($B496="Tema",IF(ISNUMBER(INDEX(Temas!$E$6:$P$305,$C496,2*$D496-1)),INDEX(Temas!$E$6:$P$305,$C496,2*$D496-1),""),IF(ISNUMBER(INDEX(Avulsos!$B$6:$B$205,$C496)),INDEX(Avulsos!$B$6:$B$205,$C496),""))</f>
        <v/>
      </c>
      <c r="F496" s="114" t="str">
        <f aca="false">IF($E496="","",IF($B496="Tema",INDEX(Temas!$B$6:$B$305,$C496)&amp;"",INDEX(Avulsos!$C$6:$C$205,$C496)&amp;""))</f>
        <v/>
      </c>
      <c r="G496" s="114" t="str">
        <f aca="false">IF($E496="","",IF($B496="Tema",INDEX(Config!$C$6:$C$11,$D496),"Evento avulso"))</f>
        <v/>
      </c>
      <c r="H496" s="114" t="str">
        <f aca="false">IF($E496="","",IF($B496="Tema",INDEX(Config!$D$6:$D$11,$D496),IFERROR(INDEX(Config!$E$15:$E$19,MATCH($I496,Config!$C$15:$C$19,0)),"•")))</f>
        <v/>
      </c>
      <c r="I496" s="114" t="str">
        <f aca="false">IF($E496="","",IF($B496="Tema",INDEX(Config!$E$6:$E$11,$D496),IF(INDEX(Avulsos!$D$6:$D$205,$C496)&amp;""="","Outro",INDEX(Avulsos!$D$6:$D$205,$C496))))</f>
        <v/>
      </c>
      <c r="J496" s="114" t="str">
        <f aca="false">IF($E496="","",IF($B496="Tema",INDEX(Temas!$C$6:$C$305,$C496)&amp;"",INDEX(Avulsos!$E$6:$E$205,$C496)&amp;""))</f>
        <v/>
      </c>
      <c r="K496" s="114" t="str">
        <f aca="false">IF($E496="","",IF(IF($B496="Tema",INDEX(Temas!$E$6:$P$305,$C496,2*$D496),INDEX(Avulsos!$F$6:$F$205,$C496))&amp;""="","","✓"))</f>
        <v/>
      </c>
      <c r="L496" s="114" t="str">
        <f aca="true">IF($E496="","",IF($K496="✓","Concluído",IF($E496&lt;TODAY(),"Atrasado",IF($E496=TODAY(),"Hoje","Pendente"))))</f>
        <v/>
      </c>
      <c r="M496" s="114" t="str">
        <f aca="false">IF($E496="","",IF($K496="✓","✓ ","")&amp;IF(Config!$E$22="Sim",$H496&amp;" · ","")&amp;$F496)</f>
        <v/>
      </c>
      <c r="N496" s="114" t="str">
        <f aca="false">IF($E496="","",IFERROR(INDEX(Config!$D$15:$D$19,MATCH($I496,Config!$C$15:$C$19,0)),"OUT")&amp;IF($K496="✓","x",""))</f>
        <v/>
      </c>
      <c r="O496" s="114" t="str">
        <f aca="false">IF($E496="","",COUNTIF($E$5:$E496,$E496))</f>
        <v/>
      </c>
      <c r="P496" s="114" t="str">
        <f aca="false">IF($E496="","",$E496*100+$O496)</f>
        <v/>
      </c>
      <c r="Q496" s="114" t="str">
        <f aca="false">IF($L496="Atrasado",$E496*10000+$A496,"")</f>
        <v/>
      </c>
    </row>
    <row r="497" customFormat="false" ht="15" hidden="false" customHeight="false" outlineLevel="0" collapsed="false">
      <c r="A497" s="114" t="n">
        <f aca="false">ROW()-4</f>
        <v>493</v>
      </c>
      <c r="B497" s="114" t="str">
        <f aca="false">IF(A497&lt;=Config!$E$27*Config!$E$28,"Tema","Avulso")</f>
        <v>Tema</v>
      </c>
      <c r="C497" s="114" t="n">
        <f aca="false">IF(B497="Tema",INT((A497-1)/Config!$E$28)+1,A497-Config!$E$27*Config!$E$28)</f>
        <v>83</v>
      </c>
      <c r="D497" s="114" t="n">
        <f aca="false">IF(B497="Tema",MOD(A497-1,Config!$E$28)+1,"")</f>
        <v>1</v>
      </c>
      <c r="E497" s="115" t="str">
        <f aca="false">IF($B497="Tema",IF(ISNUMBER(INDEX(Temas!$E$6:$P$305,$C497,2*$D497-1)),INDEX(Temas!$E$6:$P$305,$C497,2*$D497-1),""),IF(ISNUMBER(INDEX(Avulsos!$B$6:$B$205,$C497)),INDEX(Avulsos!$B$6:$B$205,$C497),""))</f>
        <v/>
      </c>
      <c r="F497" s="114" t="str">
        <f aca="false">IF($E497="","",IF($B497="Tema",INDEX(Temas!$B$6:$B$305,$C497)&amp;"",INDEX(Avulsos!$C$6:$C$205,$C497)&amp;""))</f>
        <v/>
      </c>
      <c r="G497" s="114" t="str">
        <f aca="false">IF($E497="","",IF($B497="Tema",INDEX(Config!$C$6:$C$11,$D497),"Evento avulso"))</f>
        <v/>
      </c>
      <c r="H497" s="114" t="str">
        <f aca="false">IF($E497="","",IF($B497="Tema",INDEX(Config!$D$6:$D$11,$D497),IFERROR(INDEX(Config!$E$15:$E$19,MATCH($I497,Config!$C$15:$C$19,0)),"•")))</f>
        <v/>
      </c>
      <c r="I497" s="114" t="str">
        <f aca="false">IF($E497="","",IF($B497="Tema",INDEX(Config!$E$6:$E$11,$D497),IF(INDEX(Avulsos!$D$6:$D$205,$C497)&amp;""="","Outro",INDEX(Avulsos!$D$6:$D$205,$C497))))</f>
        <v/>
      </c>
      <c r="J497" s="114" t="str">
        <f aca="false">IF($E497="","",IF($B497="Tema",INDEX(Temas!$C$6:$C$305,$C497)&amp;"",INDEX(Avulsos!$E$6:$E$205,$C497)&amp;""))</f>
        <v/>
      </c>
      <c r="K497" s="114" t="str">
        <f aca="false">IF($E497="","",IF(IF($B497="Tema",INDEX(Temas!$E$6:$P$305,$C497,2*$D497),INDEX(Avulsos!$F$6:$F$205,$C497))&amp;""="","","✓"))</f>
        <v/>
      </c>
      <c r="L497" s="114" t="str">
        <f aca="true">IF($E497="","",IF($K497="✓","Concluído",IF($E497&lt;TODAY(),"Atrasado",IF($E497=TODAY(),"Hoje","Pendente"))))</f>
        <v/>
      </c>
      <c r="M497" s="114" t="str">
        <f aca="false">IF($E497="","",IF($K497="✓","✓ ","")&amp;IF(Config!$E$22="Sim",$H497&amp;" · ","")&amp;$F497)</f>
        <v/>
      </c>
      <c r="N497" s="114" t="str">
        <f aca="false">IF($E497="","",IFERROR(INDEX(Config!$D$15:$D$19,MATCH($I497,Config!$C$15:$C$19,0)),"OUT")&amp;IF($K497="✓","x",""))</f>
        <v/>
      </c>
      <c r="O497" s="114" t="str">
        <f aca="false">IF($E497="","",COUNTIF($E$5:$E497,$E497))</f>
        <v/>
      </c>
      <c r="P497" s="114" t="str">
        <f aca="false">IF($E497="","",$E497*100+$O497)</f>
        <v/>
      </c>
      <c r="Q497" s="114" t="str">
        <f aca="false">IF($L497="Atrasado",$E497*10000+$A497,"")</f>
        <v/>
      </c>
    </row>
    <row r="498" customFormat="false" ht="15" hidden="false" customHeight="false" outlineLevel="0" collapsed="false">
      <c r="A498" s="114" t="n">
        <f aca="false">ROW()-4</f>
        <v>494</v>
      </c>
      <c r="B498" s="114" t="str">
        <f aca="false">IF(A498&lt;=Config!$E$27*Config!$E$28,"Tema","Avulso")</f>
        <v>Tema</v>
      </c>
      <c r="C498" s="114" t="n">
        <f aca="false">IF(B498="Tema",INT((A498-1)/Config!$E$28)+1,A498-Config!$E$27*Config!$E$28)</f>
        <v>83</v>
      </c>
      <c r="D498" s="114" t="n">
        <f aca="false">IF(B498="Tema",MOD(A498-1,Config!$E$28)+1,"")</f>
        <v>2</v>
      </c>
      <c r="E498" s="115" t="str">
        <f aca="false">IF($B498="Tema",IF(ISNUMBER(INDEX(Temas!$E$6:$P$305,$C498,2*$D498-1)),INDEX(Temas!$E$6:$P$305,$C498,2*$D498-1),""),IF(ISNUMBER(INDEX(Avulsos!$B$6:$B$205,$C498)),INDEX(Avulsos!$B$6:$B$205,$C498),""))</f>
        <v/>
      </c>
      <c r="F498" s="114" t="str">
        <f aca="false">IF($E498="","",IF($B498="Tema",INDEX(Temas!$B$6:$B$305,$C498)&amp;"",INDEX(Avulsos!$C$6:$C$205,$C498)&amp;""))</f>
        <v/>
      </c>
      <c r="G498" s="114" t="str">
        <f aca="false">IF($E498="","",IF($B498="Tema",INDEX(Config!$C$6:$C$11,$D498),"Evento avulso"))</f>
        <v/>
      </c>
      <c r="H498" s="114" t="str">
        <f aca="false">IF($E498="","",IF($B498="Tema",INDEX(Config!$D$6:$D$11,$D498),IFERROR(INDEX(Config!$E$15:$E$19,MATCH($I498,Config!$C$15:$C$19,0)),"•")))</f>
        <v/>
      </c>
      <c r="I498" s="114" t="str">
        <f aca="false">IF($E498="","",IF($B498="Tema",INDEX(Config!$E$6:$E$11,$D498),IF(INDEX(Avulsos!$D$6:$D$205,$C498)&amp;""="","Outro",INDEX(Avulsos!$D$6:$D$205,$C498))))</f>
        <v/>
      </c>
      <c r="J498" s="114" t="str">
        <f aca="false">IF($E498="","",IF($B498="Tema",INDEX(Temas!$C$6:$C$305,$C498)&amp;"",INDEX(Avulsos!$E$6:$E$205,$C498)&amp;""))</f>
        <v/>
      </c>
      <c r="K498" s="114" t="str">
        <f aca="false">IF($E498="","",IF(IF($B498="Tema",INDEX(Temas!$E$6:$P$305,$C498,2*$D498),INDEX(Avulsos!$F$6:$F$205,$C498))&amp;""="","","✓"))</f>
        <v/>
      </c>
      <c r="L498" s="114" t="str">
        <f aca="true">IF($E498="","",IF($K498="✓","Concluído",IF($E498&lt;TODAY(),"Atrasado",IF($E498=TODAY(),"Hoje","Pendente"))))</f>
        <v/>
      </c>
      <c r="M498" s="114" t="str">
        <f aca="false">IF($E498="","",IF($K498="✓","✓ ","")&amp;IF(Config!$E$22="Sim",$H498&amp;" · ","")&amp;$F498)</f>
        <v/>
      </c>
      <c r="N498" s="114" t="str">
        <f aca="false">IF($E498="","",IFERROR(INDEX(Config!$D$15:$D$19,MATCH($I498,Config!$C$15:$C$19,0)),"OUT")&amp;IF($K498="✓","x",""))</f>
        <v/>
      </c>
      <c r="O498" s="114" t="str">
        <f aca="false">IF($E498="","",COUNTIF($E$5:$E498,$E498))</f>
        <v/>
      </c>
      <c r="P498" s="114" t="str">
        <f aca="false">IF($E498="","",$E498*100+$O498)</f>
        <v/>
      </c>
      <c r="Q498" s="114" t="str">
        <f aca="false">IF($L498="Atrasado",$E498*10000+$A498,"")</f>
        <v/>
      </c>
    </row>
    <row r="499" customFormat="false" ht="15" hidden="false" customHeight="false" outlineLevel="0" collapsed="false">
      <c r="A499" s="114" t="n">
        <f aca="false">ROW()-4</f>
        <v>495</v>
      </c>
      <c r="B499" s="114" t="str">
        <f aca="false">IF(A499&lt;=Config!$E$27*Config!$E$28,"Tema","Avulso")</f>
        <v>Tema</v>
      </c>
      <c r="C499" s="114" t="n">
        <f aca="false">IF(B499="Tema",INT((A499-1)/Config!$E$28)+1,A499-Config!$E$27*Config!$E$28)</f>
        <v>83</v>
      </c>
      <c r="D499" s="114" t="n">
        <f aca="false">IF(B499="Tema",MOD(A499-1,Config!$E$28)+1,"")</f>
        <v>3</v>
      </c>
      <c r="E499" s="115" t="str">
        <f aca="false">IF($B499="Tema",IF(ISNUMBER(INDEX(Temas!$E$6:$P$305,$C499,2*$D499-1)),INDEX(Temas!$E$6:$P$305,$C499,2*$D499-1),""),IF(ISNUMBER(INDEX(Avulsos!$B$6:$B$205,$C499)),INDEX(Avulsos!$B$6:$B$205,$C499),""))</f>
        <v/>
      </c>
      <c r="F499" s="114" t="str">
        <f aca="false">IF($E499="","",IF($B499="Tema",INDEX(Temas!$B$6:$B$305,$C499)&amp;"",INDEX(Avulsos!$C$6:$C$205,$C499)&amp;""))</f>
        <v/>
      </c>
      <c r="G499" s="114" t="str">
        <f aca="false">IF($E499="","",IF($B499="Tema",INDEX(Config!$C$6:$C$11,$D499),"Evento avulso"))</f>
        <v/>
      </c>
      <c r="H499" s="114" t="str">
        <f aca="false">IF($E499="","",IF($B499="Tema",INDEX(Config!$D$6:$D$11,$D499),IFERROR(INDEX(Config!$E$15:$E$19,MATCH($I499,Config!$C$15:$C$19,0)),"•")))</f>
        <v/>
      </c>
      <c r="I499" s="114" t="str">
        <f aca="false">IF($E499="","",IF($B499="Tema",INDEX(Config!$E$6:$E$11,$D499),IF(INDEX(Avulsos!$D$6:$D$205,$C499)&amp;""="","Outro",INDEX(Avulsos!$D$6:$D$205,$C499))))</f>
        <v/>
      </c>
      <c r="J499" s="114" t="str">
        <f aca="false">IF($E499="","",IF($B499="Tema",INDEX(Temas!$C$6:$C$305,$C499)&amp;"",INDEX(Avulsos!$E$6:$E$205,$C499)&amp;""))</f>
        <v/>
      </c>
      <c r="K499" s="114" t="str">
        <f aca="false">IF($E499="","",IF(IF($B499="Tema",INDEX(Temas!$E$6:$P$305,$C499,2*$D499),INDEX(Avulsos!$F$6:$F$205,$C499))&amp;""="","","✓"))</f>
        <v/>
      </c>
      <c r="L499" s="114" t="str">
        <f aca="true">IF($E499="","",IF($K499="✓","Concluído",IF($E499&lt;TODAY(),"Atrasado",IF($E499=TODAY(),"Hoje","Pendente"))))</f>
        <v/>
      </c>
      <c r="M499" s="114" t="str">
        <f aca="false">IF($E499="","",IF($K499="✓","✓ ","")&amp;IF(Config!$E$22="Sim",$H499&amp;" · ","")&amp;$F499)</f>
        <v/>
      </c>
      <c r="N499" s="114" t="str">
        <f aca="false">IF($E499="","",IFERROR(INDEX(Config!$D$15:$D$19,MATCH($I499,Config!$C$15:$C$19,0)),"OUT")&amp;IF($K499="✓","x",""))</f>
        <v/>
      </c>
      <c r="O499" s="114" t="str">
        <f aca="false">IF($E499="","",COUNTIF($E$5:$E499,$E499))</f>
        <v/>
      </c>
      <c r="P499" s="114" t="str">
        <f aca="false">IF($E499="","",$E499*100+$O499)</f>
        <v/>
      </c>
      <c r="Q499" s="114" t="str">
        <f aca="false">IF($L499="Atrasado",$E499*10000+$A499,"")</f>
        <v/>
      </c>
    </row>
    <row r="500" customFormat="false" ht="15" hidden="false" customHeight="false" outlineLevel="0" collapsed="false">
      <c r="A500" s="114" t="n">
        <f aca="false">ROW()-4</f>
        <v>496</v>
      </c>
      <c r="B500" s="114" t="str">
        <f aca="false">IF(A500&lt;=Config!$E$27*Config!$E$28,"Tema","Avulso")</f>
        <v>Tema</v>
      </c>
      <c r="C500" s="114" t="n">
        <f aca="false">IF(B500="Tema",INT((A500-1)/Config!$E$28)+1,A500-Config!$E$27*Config!$E$28)</f>
        <v>83</v>
      </c>
      <c r="D500" s="114" t="n">
        <f aca="false">IF(B500="Tema",MOD(A500-1,Config!$E$28)+1,"")</f>
        <v>4</v>
      </c>
      <c r="E500" s="115" t="str">
        <f aca="false">IF($B500="Tema",IF(ISNUMBER(INDEX(Temas!$E$6:$P$305,$C500,2*$D500-1)),INDEX(Temas!$E$6:$P$305,$C500,2*$D500-1),""),IF(ISNUMBER(INDEX(Avulsos!$B$6:$B$205,$C500)),INDEX(Avulsos!$B$6:$B$205,$C500),""))</f>
        <v/>
      </c>
      <c r="F500" s="114" t="str">
        <f aca="false">IF($E500="","",IF($B500="Tema",INDEX(Temas!$B$6:$B$305,$C500)&amp;"",INDEX(Avulsos!$C$6:$C$205,$C500)&amp;""))</f>
        <v/>
      </c>
      <c r="G500" s="114" t="str">
        <f aca="false">IF($E500="","",IF($B500="Tema",INDEX(Config!$C$6:$C$11,$D500),"Evento avulso"))</f>
        <v/>
      </c>
      <c r="H500" s="114" t="str">
        <f aca="false">IF($E500="","",IF($B500="Tema",INDEX(Config!$D$6:$D$11,$D500),IFERROR(INDEX(Config!$E$15:$E$19,MATCH($I500,Config!$C$15:$C$19,0)),"•")))</f>
        <v/>
      </c>
      <c r="I500" s="114" t="str">
        <f aca="false">IF($E500="","",IF($B500="Tema",INDEX(Config!$E$6:$E$11,$D500),IF(INDEX(Avulsos!$D$6:$D$205,$C500)&amp;""="","Outro",INDEX(Avulsos!$D$6:$D$205,$C500))))</f>
        <v/>
      </c>
      <c r="J500" s="114" t="str">
        <f aca="false">IF($E500="","",IF($B500="Tema",INDEX(Temas!$C$6:$C$305,$C500)&amp;"",INDEX(Avulsos!$E$6:$E$205,$C500)&amp;""))</f>
        <v/>
      </c>
      <c r="K500" s="114" t="str">
        <f aca="false">IF($E500="","",IF(IF($B500="Tema",INDEX(Temas!$E$6:$P$305,$C500,2*$D500),INDEX(Avulsos!$F$6:$F$205,$C500))&amp;""="","","✓"))</f>
        <v/>
      </c>
      <c r="L500" s="114" t="str">
        <f aca="true">IF($E500="","",IF($K500="✓","Concluído",IF($E500&lt;TODAY(),"Atrasado",IF($E500=TODAY(),"Hoje","Pendente"))))</f>
        <v/>
      </c>
      <c r="M500" s="114" t="str">
        <f aca="false">IF($E500="","",IF($K500="✓","✓ ","")&amp;IF(Config!$E$22="Sim",$H500&amp;" · ","")&amp;$F500)</f>
        <v/>
      </c>
      <c r="N500" s="114" t="str">
        <f aca="false">IF($E500="","",IFERROR(INDEX(Config!$D$15:$D$19,MATCH($I500,Config!$C$15:$C$19,0)),"OUT")&amp;IF($K500="✓","x",""))</f>
        <v/>
      </c>
      <c r="O500" s="114" t="str">
        <f aca="false">IF($E500="","",COUNTIF($E$5:$E500,$E500))</f>
        <v/>
      </c>
      <c r="P500" s="114" t="str">
        <f aca="false">IF($E500="","",$E500*100+$O500)</f>
        <v/>
      </c>
      <c r="Q500" s="114" t="str">
        <f aca="false">IF($L500="Atrasado",$E500*10000+$A500,"")</f>
        <v/>
      </c>
    </row>
    <row r="501" customFormat="false" ht="15" hidden="false" customHeight="false" outlineLevel="0" collapsed="false">
      <c r="A501" s="114" t="n">
        <f aca="false">ROW()-4</f>
        <v>497</v>
      </c>
      <c r="B501" s="114" t="str">
        <f aca="false">IF(A501&lt;=Config!$E$27*Config!$E$28,"Tema","Avulso")</f>
        <v>Tema</v>
      </c>
      <c r="C501" s="114" t="n">
        <f aca="false">IF(B501="Tema",INT((A501-1)/Config!$E$28)+1,A501-Config!$E$27*Config!$E$28)</f>
        <v>83</v>
      </c>
      <c r="D501" s="114" t="n">
        <f aca="false">IF(B501="Tema",MOD(A501-1,Config!$E$28)+1,"")</f>
        <v>5</v>
      </c>
      <c r="E501" s="115" t="str">
        <f aca="false">IF($B501="Tema",IF(ISNUMBER(INDEX(Temas!$E$6:$P$305,$C501,2*$D501-1)),INDEX(Temas!$E$6:$P$305,$C501,2*$D501-1),""),IF(ISNUMBER(INDEX(Avulsos!$B$6:$B$205,$C501)),INDEX(Avulsos!$B$6:$B$205,$C501),""))</f>
        <v/>
      </c>
      <c r="F501" s="114" t="str">
        <f aca="false">IF($E501="","",IF($B501="Tema",INDEX(Temas!$B$6:$B$305,$C501)&amp;"",INDEX(Avulsos!$C$6:$C$205,$C501)&amp;""))</f>
        <v/>
      </c>
      <c r="G501" s="114" t="str">
        <f aca="false">IF($E501="","",IF($B501="Tema",INDEX(Config!$C$6:$C$11,$D501),"Evento avulso"))</f>
        <v/>
      </c>
      <c r="H501" s="114" t="str">
        <f aca="false">IF($E501="","",IF($B501="Tema",INDEX(Config!$D$6:$D$11,$D501),IFERROR(INDEX(Config!$E$15:$E$19,MATCH($I501,Config!$C$15:$C$19,0)),"•")))</f>
        <v/>
      </c>
      <c r="I501" s="114" t="str">
        <f aca="false">IF($E501="","",IF($B501="Tema",INDEX(Config!$E$6:$E$11,$D501),IF(INDEX(Avulsos!$D$6:$D$205,$C501)&amp;""="","Outro",INDEX(Avulsos!$D$6:$D$205,$C501))))</f>
        <v/>
      </c>
      <c r="J501" s="114" t="str">
        <f aca="false">IF($E501="","",IF($B501="Tema",INDEX(Temas!$C$6:$C$305,$C501)&amp;"",INDEX(Avulsos!$E$6:$E$205,$C501)&amp;""))</f>
        <v/>
      </c>
      <c r="K501" s="114" t="str">
        <f aca="false">IF($E501="","",IF(IF($B501="Tema",INDEX(Temas!$E$6:$P$305,$C501,2*$D501),INDEX(Avulsos!$F$6:$F$205,$C501))&amp;""="","","✓"))</f>
        <v/>
      </c>
      <c r="L501" s="114" t="str">
        <f aca="true">IF($E501="","",IF($K501="✓","Concluído",IF($E501&lt;TODAY(),"Atrasado",IF($E501=TODAY(),"Hoje","Pendente"))))</f>
        <v/>
      </c>
      <c r="M501" s="114" t="str">
        <f aca="false">IF($E501="","",IF($K501="✓","✓ ","")&amp;IF(Config!$E$22="Sim",$H501&amp;" · ","")&amp;$F501)</f>
        <v/>
      </c>
      <c r="N501" s="114" t="str">
        <f aca="false">IF($E501="","",IFERROR(INDEX(Config!$D$15:$D$19,MATCH($I501,Config!$C$15:$C$19,0)),"OUT")&amp;IF($K501="✓","x",""))</f>
        <v/>
      </c>
      <c r="O501" s="114" t="str">
        <f aca="false">IF($E501="","",COUNTIF($E$5:$E501,$E501))</f>
        <v/>
      </c>
      <c r="P501" s="114" t="str">
        <f aca="false">IF($E501="","",$E501*100+$O501)</f>
        <v/>
      </c>
      <c r="Q501" s="114" t="str">
        <f aca="false">IF($L501="Atrasado",$E501*10000+$A501,"")</f>
        <v/>
      </c>
    </row>
    <row r="502" customFormat="false" ht="15" hidden="false" customHeight="false" outlineLevel="0" collapsed="false">
      <c r="A502" s="114" t="n">
        <f aca="false">ROW()-4</f>
        <v>498</v>
      </c>
      <c r="B502" s="114" t="str">
        <f aca="false">IF(A502&lt;=Config!$E$27*Config!$E$28,"Tema","Avulso")</f>
        <v>Tema</v>
      </c>
      <c r="C502" s="114" t="n">
        <f aca="false">IF(B502="Tema",INT((A502-1)/Config!$E$28)+1,A502-Config!$E$27*Config!$E$28)</f>
        <v>83</v>
      </c>
      <c r="D502" s="114" t="n">
        <f aca="false">IF(B502="Tema",MOD(A502-1,Config!$E$28)+1,"")</f>
        <v>6</v>
      </c>
      <c r="E502" s="115" t="str">
        <f aca="false">IF($B502="Tema",IF(ISNUMBER(INDEX(Temas!$E$6:$P$305,$C502,2*$D502-1)),INDEX(Temas!$E$6:$P$305,$C502,2*$D502-1),""),IF(ISNUMBER(INDEX(Avulsos!$B$6:$B$205,$C502)),INDEX(Avulsos!$B$6:$B$205,$C502),""))</f>
        <v/>
      </c>
      <c r="F502" s="114" t="str">
        <f aca="false">IF($E502="","",IF($B502="Tema",INDEX(Temas!$B$6:$B$305,$C502)&amp;"",INDEX(Avulsos!$C$6:$C$205,$C502)&amp;""))</f>
        <v/>
      </c>
      <c r="G502" s="114" t="str">
        <f aca="false">IF($E502="","",IF($B502="Tema",INDEX(Config!$C$6:$C$11,$D502),"Evento avulso"))</f>
        <v/>
      </c>
      <c r="H502" s="114" t="str">
        <f aca="false">IF($E502="","",IF($B502="Tema",INDEX(Config!$D$6:$D$11,$D502),IFERROR(INDEX(Config!$E$15:$E$19,MATCH($I502,Config!$C$15:$C$19,0)),"•")))</f>
        <v/>
      </c>
      <c r="I502" s="114" t="str">
        <f aca="false">IF($E502="","",IF($B502="Tema",INDEX(Config!$E$6:$E$11,$D502),IF(INDEX(Avulsos!$D$6:$D$205,$C502)&amp;""="","Outro",INDEX(Avulsos!$D$6:$D$205,$C502))))</f>
        <v/>
      </c>
      <c r="J502" s="114" t="str">
        <f aca="false">IF($E502="","",IF($B502="Tema",INDEX(Temas!$C$6:$C$305,$C502)&amp;"",INDEX(Avulsos!$E$6:$E$205,$C502)&amp;""))</f>
        <v/>
      </c>
      <c r="K502" s="114" t="str">
        <f aca="false">IF($E502="","",IF(IF($B502="Tema",INDEX(Temas!$E$6:$P$305,$C502,2*$D502),INDEX(Avulsos!$F$6:$F$205,$C502))&amp;""="","","✓"))</f>
        <v/>
      </c>
      <c r="L502" s="114" t="str">
        <f aca="true">IF($E502="","",IF($K502="✓","Concluído",IF($E502&lt;TODAY(),"Atrasado",IF($E502=TODAY(),"Hoje","Pendente"))))</f>
        <v/>
      </c>
      <c r="M502" s="114" t="str">
        <f aca="false">IF($E502="","",IF($K502="✓","✓ ","")&amp;IF(Config!$E$22="Sim",$H502&amp;" · ","")&amp;$F502)</f>
        <v/>
      </c>
      <c r="N502" s="114" t="str">
        <f aca="false">IF($E502="","",IFERROR(INDEX(Config!$D$15:$D$19,MATCH($I502,Config!$C$15:$C$19,0)),"OUT")&amp;IF($K502="✓","x",""))</f>
        <v/>
      </c>
      <c r="O502" s="114" t="str">
        <f aca="false">IF($E502="","",COUNTIF($E$5:$E502,$E502))</f>
        <v/>
      </c>
      <c r="P502" s="114" t="str">
        <f aca="false">IF($E502="","",$E502*100+$O502)</f>
        <v/>
      </c>
      <c r="Q502" s="114" t="str">
        <f aca="false">IF($L502="Atrasado",$E502*10000+$A502,"")</f>
        <v/>
      </c>
    </row>
    <row r="503" customFormat="false" ht="15" hidden="false" customHeight="false" outlineLevel="0" collapsed="false">
      <c r="A503" s="114" t="n">
        <f aca="false">ROW()-4</f>
        <v>499</v>
      </c>
      <c r="B503" s="114" t="str">
        <f aca="false">IF(A503&lt;=Config!$E$27*Config!$E$28,"Tema","Avulso")</f>
        <v>Tema</v>
      </c>
      <c r="C503" s="114" t="n">
        <f aca="false">IF(B503="Tema",INT((A503-1)/Config!$E$28)+1,A503-Config!$E$27*Config!$E$28)</f>
        <v>84</v>
      </c>
      <c r="D503" s="114" t="n">
        <f aca="false">IF(B503="Tema",MOD(A503-1,Config!$E$28)+1,"")</f>
        <v>1</v>
      </c>
      <c r="E503" s="115" t="str">
        <f aca="false">IF($B503="Tema",IF(ISNUMBER(INDEX(Temas!$E$6:$P$305,$C503,2*$D503-1)),INDEX(Temas!$E$6:$P$305,$C503,2*$D503-1),""),IF(ISNUMBER(INDEX(Avulsos!$B$6:$B$205,$C503)),INDEX(Avulsos!$B$6:$B$205,$C503),""))</f>
        <v/>
      </c>
      <c r="F503" s="114" t="str">
        <f aca="false">IF($E503="","",IF($B503="Tema",INDEX(Temas!$B$6:$B$305,$C503)&amp;"",INDEX(Avulsos!$C$6:$C$205,$C503)&amp;""))</f>
        <v/>
      </c>
      <c r="G503" s="114" t="str">
        <f aca="false">IF($E503="","",IF($B503="Tema",INDEX(Config!$C$6:$C$11,$D503),"Evento avulso"))</f>
        <v/>
      </c>
      <c r="H503" s="114" t="str">
        <f aca="false">IF($E503="","",IF($B503="Tema",INDEX(Config!$D$6:$D$11,$D503),IFERROR(INDEX(Config!$E$15:$E$19,MATCH($I503,Config!$C$15:$C$19,0)),"•")))</f>
        <v/>
      </c>
      <c r="I503" s="114" t="str">
        <f aca="false">IF($E503="","",IF($B503="Tema",INDEX(Config!$E$6:$E$11,$D503),IF(INDEX(Avulsos!$D$6:$D$205,$C503)&amp;""="","Outro",INDEX(Avulsos!$D$6:$D$205,$C503))))</f>
        <v/>
      </c>
      <c r="J503" s="114" t="str">
        <f aca="false">IF($E503="","",IF($B503="Tema",INDEX(Temas!$C$6:$C$305,$C503)&amp;"",INDEX(Avulsos!$E$6:$E$205,$C503)&amp;""))</f>
        <v/>
      </c>
      <c r="K503" s="114" t="str">
        <f aca="false">IF($E503="","",IF(IF($B503="Tema",INDEX(Temas!$E$6:$P$305,$C503,2*$D503),INDEX(Avulsos!$F$6:$F$205,$C503))&amp;""="","","✓"))</f>
        <v/>
      </c>
      <c r="L503" s="114" t="str">
        <f aca="true">IF($E503="","",IF($K503="✓","Concluído",IF($E503&lt;TODAY(),"Atrasado",IF($E503=TODAY(),"Hoje","Pendente"))))</f>
        <v/>
      </c>
      <c r="M503" s="114" t="str">
        <f aca="false">IF($E503="","",IF($K503="✓","✓ ","")&amp;IF(Config!$E$22="Sim",$H503&amp;" · ","")&amp;$F503)</f>
        <v/>
      </c>
      <c r="N503" s="114" t="str">
        <f aca="false">IF($E503="","",IFERROR(INDEX(Config!$D$15:$D$19,MATCH($I503,Config!$C$15:$C$19,0)),"OUT")&amp;IF($K503="✓","x",""))</f>
        <v/>
      </c>
      <c r="O503" s="114" t="str">
        <f aca="false">IF($E503="","",COUNTIF($E$5:$E503,$E503))</f>
        <v/>
      </c>
      <c r="P503" s="114" t="str">
        <f aca="false">IF($E503="","",$E503*100+$O503)</f>
        <v/>
      </c>
      <c r="Q503" s="114" t="str">
        <f aca="false">IF($L503="Atrasado",$E503*10000+$A503,"")</f>
        <v/>
      </c>
    </row>
    <row r="504" customFormat="false" ht="15" hidden="false" customHeight="false" outlineLevel="0" collapsed="false">
      <c r="A504" s="114" t="n">
        <f aca="false">ROW()-4</f>
        <v>500</v>
      </c>
      <c r="B504" s="114" t="str">
        <f aca="false">IF(A504&lt;=Config!$E$27*Config!$E$28,"Tema","Avulso")</f>
        <v>Tema</v>
      </c>
      <c r="C504" s="114" t="n">
        <f aca="false">IF(B504="Tema",INT((A504-1)/Config!$E$28)+1,A504-Config!$E$27*Config!$E$28)</f>
        <v>84</v>
      </c>
      <c r="D504" s="114" t="n">
        <f aca="false">IF(B504="Tema",MOD(A504-1,Config!$E$28)+1,"")</f>
        <v>2</v>
      </c>
      <c r="E504" s="115" t="str">
        <f aca="false">IF($B504="Tema",IF(ISNUMBER(INDEX(Temas!$E$6:$P$305,$C504,2*$D504-1)),INDEX(Temas!$E$6:$P$305,$C504,2*$D504-1),""),IF(ISNUMBER(INDEX(Avulsos!$B$6:$B$205,$C504)),INDEX(Avulsos!$B$6:$B$205,$C504),""))</f>
        <v/>
      </c>
      <c r="F504" s="114" t="str">
        <f aca="false">IF($E504="","",IF($B504="Tema",INDEX(Temas!$B$6:$B$305,$C504)&amp;"",INDEX(Avulsos!$C$6:$C$205,$C504)&amp;""))</f>
        <v/>
      </c>
      <c r="G504" s="114" t="str">
        <f aca="false">IF($E504="","",IF($B504="Tema",INDEX(Config!$C$6:$C$11,$D504),"Evento avulso"))</f>
        <v/>
      </c>
      <c r="H504" s="114" t="str">
        <f aca="false">IF($E504="","",IF($B504="Tema",INDEX(Config!$D$6:$D$11,$D504),IFERROR(INDEX(Config!$E$15:$E$19,MATCH($I504,Config!$C$15:$C$19,0)),"•")))</f>
        <v/>
      </c>
      <c r="I504" s="114" t="str">
        <f aca="false">IF($E504="","",IF($B504="Tema",INDEX(Config!$E$6:$E$11,$D504),IF(INDEX(Avulsos!$D$6:$D$205,$C504)&amp;""="","Outro",INDEX(Avulsos!$D$6:$D$205,$C504))))</f>
        <v/>
      </c>
      <c r="J504" s="114" t="str">
        <f aca="false">IF($E504="","",IF($B504="Tema",INDEX(Temas!$C$6:$C$305,$C504)&amp;"",INDEX(Avulsos!$E$6:$E$205,$C504)&amp;""))</f>
        <v/>
      </c>
      <c r="K504" s="114" t="str">
        <f aca="false">IF($E504="","",IF(IF($B504="Tema",INDEX(Temas!$E$6:$P$305,$C504,2*$D504),INDEX(Avulsos!$F$6:$F$205,$C504))&amp;""="","","✓"))</f>
        <v/>
      </c>
      <c r="L504" s="114" t="str">
        <f aca="true">IF($E504="","",IF($K504="✓","Concluído",IF($E504&lt;TODAY(),"Atrasado",IF($E504=TODAY(),"Hoje","Pendente"))))</f>
        <v/>
      </c>
      <c r="M504" s="114" t="str">
        <f aca="false">IF($E504="","",IF($K504="✓","✓ ","")&amp;IF(Config!$E$22="Sim",$H504&amp;" · ","")&amp;$F504)</f>
        <v/>
      </c>
      <c r="N504" s="114" t="str">
        <f aca="false">IF($E504="","",IFERROR(INDEX(Config!$D$15:$D$19,MATCH($I504,Config!$C$15:$C$19,0)),"OUT")&amp;IF($K504="✓","x",""))</f>
        <v/>
      </c>
      <c r="O504" s="114" t="str">
        <f aca="false">IF($E504="","",COUNTIF($E$5:$E504,$E504))</f>
        <v/>
      </c>
      <c r="P504" s="114" t="str">
        <f aca="false">IF($E504="","",$E504*100+$O504)</f>
        <v/>
      </c>
      <c r="Q504" s="114" t="str">
        <f aca="false">IF($L504="Atrasado",$E504*10000+$A504,"")</f>
        <v/>
      </c>
    </row>
    <row r="505" customFormat="false" ht="15" hidden="false" customHeight="false" outlineLevel="0" collapsed="false">
      <c r="A505" s="114" t="n">
        <f aca="false">ROW()-4</f>
        <v>501</v>
      </c>
      <c r="B505" s="114" t="str">
        <f aca="false">IF(A505&lt;=Config!$E$27*Config!$E$28,"Tema","Avulso")</f>
        <v>Tema</v>
      </c>
      <c r="C505" s="114" t="n">
        <f aca="false">IF(B505="Tema",INT((A505-1)/Config!$E$28)+1,A505-Config!$E$27*Config!$E$28)</f>
        <v>84</v>
      </c>
      <c r="D505" s="114" t="n">
        <f aca="false">IF(B505="Tema",MOD(A505-1,Config!$E$28)+1,"")</f>
        <v>3</v>
      </c>
      <c r="E505" s="115" t="str">
        <f aca="false">IF($B505="Tema",IF(ISNUMBER(INDEX(Temas!$E$6:$P$305,$C505,2*$D505-1)),INDEX(Temas!$E$6:$P$305,$C505,2*$D505-1),""),IF(ISNUMBER(INDEX(Avulsos!$B$6:$B$205,$C505)),INDEX(Avulsos!$B$6:$B$205,$C505),""))</f>
        <v/>
      </c>
      <c r="F505" s="114" t="str">
        <f aca="false">IF($E505="","",IF($B505="Tema",INDEX(Temas!$B$6:$B$305,$C505)&amp;"",INDEX(Avulsos!$C$6:$C$205,$C505)&amp;""))</f>
        <v/>
      </c>
      <c r="G505" s="114" t="str">
        <f aca="false">IF($E505="","",IF($B505="Tema",INDEX(Config!$C$6:$C$11,$D505),"Evento avulso"))</f>
        <v/>
      </c>
      <c r="H505" s="114" t="str">
        <f aca="false">IF($E505="","",IF($B505="Tema",INDEX(Config!$D$6:$D$11,$D505),IFERROR(INDEX(Config!$E$15:$E$19,MATCH($I505,Config!$C$15:$C$19,0)),"•")))</f>
        <v/>
      </c>
      <c r="I505" s="114" t="str">
        <f aca="false">IF($E505="","",IF($B505="Tema",INDEX(Config!$E$6:$E$11,$D505),IF(INDEX(Avulsos!$D$6:$D$205,$C505)&amp;""="","Outro",INDEX(Avulsos!$D$6:$D$205,$C505))))</f>
        <v/>
      </c>
      <c r="J505" s="114" t="str">
        <f aca="false">IF($E505="","",IF($B505="Tema",INDEX(Temas!$C$6:$C$305,$C505)&amp;"",INDEX(Avulsos!$E$6:$E$205,$C505)&amp;""))</f>
        <v/>
      </c>
      <c r="K505" s="114" t="str">
        <f aca="false">IF($E505="","",IF(IF($B505="Tema",INDEX(Temas!$E$6:$P$305,$C505,2*$D505),INDEX(Avulsos!$F$6:$F$205,$C505))&amp;""="","","✓"))</f>
        <v/>
      </c>
      <c r="L505" s="114" t="str">
        <f aca="true">IF($E505="","",IF($K505="✓","Concluído",IF($E505&lt;TODAY(),"Atrasado",IF($E505=TODAY(),"Hoje","Pendente"))))</f>
        <v/>
      </c>
      <c r="M505" s="114" t="str">
        <f aca="false">IF($E505="","",IF($K505="✓","✓ ","")&amp;IF(Config!$E$22="Sim",$H505&amp;" · ","")&amp;$F505)</f>
        <v/>
      </c>
      <c r="N505" s="114" t="str">
        <f aca="false">IF($E505="","",IFERROR(INDEX(Config!$D$15:$D$19,MATCH($I505,Config!$C$15:$C$19,0)),"OUT")&amp;IF($K505="✓","x",""))</f>
        <v/>
      </c>
      <c r="O505" s="114" t="str">
        <f aca="false">IF($E505="","",COUNTIF($E$5:$E505,$E505))</f>
        <v/>
      </c>
      <c r="P505" s="114" t="str">
        <f aca="false">IF($E505="","",$E505*100+$O505)</f>
        <v/>
      </c>
      <c r="Q505" s="114" t="str">
        <f aca="false">IF($L505="Atrasado",$E505*10000+$A505,"")</f>
        <v/>
      </c>
    </row>
    <row r="506" customFormat="false" ht="15" hidden="false" customHeight="false" outlineLevel="0" collapsed="false">
      <c r="A506" s="114" t="n">
        <f aca="false">ROW()-4</f>
        <v>502</v>
      </c>
      <c r="B506" s="114" t="str">
        <f aca="false">IF(A506&lt;=Config!$E$27*Config!$E$28,"Tema","Avulso")</f>
        <v>Tema</v>
      </c>
      <c r="C506" s="114" t="n">
        <f aca="false">IF(B506="Tema",INT((A506-1)/Config!$E$28)+1,A506-Config!$E$27*Config!$E$28)</f>
        <v>84</v>
      </c>
      <c r="D506" s="114" t="n">
        <f aca="false">IF(B506="Tema",MOD(A506-1,Config!$E$28)+1,"")</f>
        <v>4</v>
      </c>
      <c r="E506" s="115" t="str">
        <f aca="false">IF($B506="Tema",IF(ISNUMBER(INDEX(Temas!$E$6:$P$305,$C506,2*$D506-1)),INDEX(Temas!$E$6:$P$305,$C506,2*$D506-1),""),IF(ISNUMBER(INDEX(Avulsos!$B$6:$B$205,$C506)),INDEX(Avulsos!$B$6:$B$205,$C506),""))</f>
        <v/>
      </c>
      <c r="F506" s="114" t="str">
        <f aca="false">IF($E506="","",IF($B506="Tema",INDEX(Temas!$B$6:$B$305,$C506)&amp;"",INDEX(Avulsos!$C$6:$C$205,$C506)&amp;""))</f>
        <v/>
      </c>
      <c r="G506" s="114" t="str">
        <f aca="false">IF($E506="","",IF($B506="Tema",INDEX(Config!$C$6:$C$11,$D506),"Evento avulso"))</f>
        <v/>
      </c>
      <c r="H506" s="114" t="str">
        <f aca="false">IF($E506="","",IF($B506="Tema",INDEX(Config!$D$6:$D$11,$D506),IFERROR(INDEX(Config!$E$15:$E$19,MATCH($I506,Config!$C$15:$C$19,0)),"•")))</f>
        <v/>
      </c>
      <c r="I506" s="114" t="str">
        <f aca="false">IF($E506="","",IF($B506="Tema",INDEX(Config!$E$6:$E$11,$D506),IF(INDEX(Avulsos!$D$6:$D$205,$C506)&amp;""="","Outro",INDEX(Avulsos!$D$6:$D$205,$C506))))</f>
        <v/>
      </c>
      <c r="J506" s="114" t="str">
        <f aca="false">IF($E506="","",IF($B506="Tema",INDEX(Temas!$C$6:$C$305,$C506)&amp;"",INDEX(Avulsos!$E$6:$E$205,$C506)&amp;""))</f>
        <v/>
      </c>
      <c r="K506" s="114" t="str">
        <f aca="false">IF($E506="","",IF(IF($B506="Tema",INDEX(Temas!$E$6:$P$305,$C506,2*$D506),INDEX(Avulsos!$F$6:$F$205,$C506))&amp;""="","","✓"))</f>
        <v/>
      </c>
      <c r="L506" s="114" t="str">
        <f aca="true">IF($E506="","",IF($K506="✓","Concluído",IF($E506&lt;TODAY(),"Atrasado",IF($E506=TODAY(),"Hoje","Pendente"))))</f>
        <v/>
      </c>
      <c r="M506" s="114" t="str">
        <f aca="false">IF($E506="","",IF($K506="✓","✓ ","")&amp;IF(Config!$E$22="Sim",$H506&amp;" · ","")&amp;$F506)</f>
        <v/>
      </c>
      <c r="N506" s="114" t="str">
        <f aca="false">IF($E506="","",IFERROR(INDEX(Config!$D$15:$D$19,MATCH($I506,Config!$C$15:$C$19,0)),"OUT")&amp;IF($K506="✓","x",""))</f>
        <v/>
      </c>
      <c r="O506" s="114" t="str">
        <f aca="false">IF($E506="","",COUNTIF($E$5:$E506,$E506))</f>
        <v/>
      </c>
      <c r="P506" s="114" t="str">
        <f aca="false">IF($E506="","",$E506*100+$O506)</f>
        <v/>
      </c>
      <c r="Q506" s="114" t="str">
        <f aca="false">IF($L506="Atrasado",$E506*10000+$A506,"")</f>
        <v/>
      </c>
    </row>
    <row r="507" customFormat="false" ht="15" hidden="false" customHeight="false" outlineLevel="0" collapsed="false">
      <c r="A507" s="114" t="n">
        <f aca="false">ROW()-4</f>
        <v>503</v>
      </c>
      <c r="B507" s="114" t="str">
        <f aca="false">IF(A507&lt;=Config!$E$27*Config!$E$28,"Tema","Avulso")</f>
        <v>Tema</v>
      </c>
      <c r="C507" s="114" t="n">
        <f aca="false">IF(B507="Tema",INT((A507-1)/Config!$E$28)+1,A507-Config!$E$27*Config!$E$28)</f>
        <v>84</v>
      </c>
      <c r="D507" s="114" t="n">
        <f aca="false">IF(B507="Tema",MOD(A507-1,Config!$E$28)+1,"")</f>
        <v>5</v>
      </c>
      <c r="E507" s="115" t="str">
        <f aca="false">IF($B507="Tema",IF(ISNUMBER(INDEX(Temas!$E$6:$P$305,$C507,2*$D507-1)),INDEX(Temas!$E$6:$P$305,$C507,2*$D507-1),""),IF(ISNUMBER(INDEX(Avulsos!$B$6:$B$205,$C507)),INDEX(Avulsos!$B$6:$B$205,$C507),""))</f>
        <v/>
      </c>
      <c r="F507" s="114" t="str">
        <f aca="false">IF($E507="","",IF($B507="Tema",INDEX(Temas!$B$6:$B$305,$C507)&amp;"",INDEX(Avulsos!$C$6:$C$205,$C507)&amp;""))</f>
        <v/>
      </c>
      <c r="G507" s="114" t="str">
        <f aca="false">IF($E507="","",IF($B507="Tema",INDEX(Config!$C$6:$C$11,$D507),"Evento avulso"))</f>
        <v/>
      </c>
      <c r="H507" s="114" t="str">
        <f aca="false">IF($E507="","",IF($B507="Tema",INDEX(Config!$D$6:$D$11,$D507),IFERROR(INDEX(Config!$E$15:$E$19,MATCH($I507,Config!$C$15:$C$19,0)),"•")))</f>
        <v/>
      </c>
      <c r="I507" s="114" t="str">
        <f aca="false">IF($E507="","",IF($B507="Tema",INDEX(Config!$E$6:$E$11,$D507),IF(INDEX(Avulsos!$D$6:$D$205,$C507)&amp;""="","Outro",INDEX(Avulsos!$D$6:$D$205,$C507))))</f>
        <v/>
      </c>
      <c r="J507" s="114" t="str">
        <f aca="false">IF($E507="","",IF($B507="Tema",INDEX(Temas!$C$6:$C$305,$C507)&amp;"",INDEX(Avulsos!$E$6:$E$205,$C507)&amp;""))</f>
        <v/>
      </c>
      <c r="K507" s="114" t="str">
        <f aca="false">IF($E507="","",IF(IF($B507="Tema",INDEX(Temas!$E$6:$P$305,$C507,2*$D507),INDEX(Avulsos!$F$6:$F$205,$C507))&amp;""="","","✓"))</f>
        <v/>
      </c>
      <c r="L507" s="114" t="str">
        <f aca="true">IF($E507="","",IF($K507="✓","Concluído",IF($E507&lt;TODAY(),"Atrasado",IF($E507=TODAY(),"Hoje","Pendente"))))</f>
        <v/>
      </c>
      <c r="M507" s="114" t="str">
        <f aca="false">IF($E507="","",IF($K507="✓","✓ ","")&amp;IF(Config!$E$22="Sim",$H507&amp;" · ","")&amp;$F507)</f>
        <v/>
      </c>
      <c r="N507" s="114" t="str">
        <f aca="false">IF($E507="","",IFERROR(INDEX(Config!$D$15:$D$19,MATCH($I507,Config!$C$15:$C$19,0)),"OUT")&amp;IF($K507="✓","x",""))</f>
        <v/>
      </c>
      <c r="O507" s="114" t="str">
        <f aca="false">IF($E507="","",COUNTIF($E$5:$E507,$E507))</f>
        <v/>
      </c>
      <c r="P507" s="114" t="str">
        <f aca="false">IF($E507="","",$E507*100+$O507)</f>
        <v/>
      </c>
      <c r="Q507" s="114" t="str">
        <f aca="false">IF($L507="Atrasado",$E507*10000+$A507,"")</f>
        <v/>
      </c>
    </row>
    <row r="508" customFormat="false" ht="15" hidden="false" customHeight="false" outlineLevel="0" collapsed="false">
      <c r="A508" s="114" t="n">
        <f aca="false">ROW()-4</f>
        <v>504</v>
      </c>
      <c r="B508" s="114" t="str">
        <f aca="false">IF(A508&lt;=Config!$E$27*Config!$E$28,"Tema","Avulso")</f>
        <v>Tema</v>
      </c>
      <c r="C508" s="114" t="n">
        <f aca="false">IF(B508="Tema",INT((A508-1)/Config!$E$28)+1,A508-Config!$E$27*Config!$E$28)</f>
        <v>84</v>
      </c>
      <c r="D508" s="114" t="n">
        <f aca="false">IF(B508="Tema",MOD(A508-1,Config!$E$28)+1,"")</f>
        <v>6</v>
      </c>
      <c r="E508" s="115" t="str">
        <f aca="false">IF($B508="Tema",IF(ISNUMBER(INDEX(Temas!$E$6:$P$305,$C508,2*$D508-1)),INDEX(Temas!$E$6:$P$305,$C508,2*$D508-1),""),IF(ISNUMBER(INDEX(Avulsos!$B$6:$B$205,$C508)),INDEX(Avulsos!$B$6:$B$205,$C508),""))</f>
        <v/>
      </c>
      <c r="F508" s="114" t="str">
        <f aca="false">IF($E508="","",IF($B508="Tema",INDEX(Temas!$B$6:$B$305,$C508)&amp;"",INDEX(Avulsos!$C$6:$C$205,$C508)&amp;""))</f>
        <v/>
      </c>
      <c r="G508" s="114" t="str">
        <f aca="false">IF($E508="","",IF($B508="Tema",INDEX(Config!$C$6:$C$11,$D508),"Evento avulso"))</f>
        <v/>
      </c>
      <c r="H508" s="114" t="str">
        <f aca="false">IF($E508="","",IF($B508="Tema",INDEX(Config!$D$6:$D$11,$D508),IFERROR(INDEX(Config!$E$15:$E$19,MATCH($I508,Config!$C$15:$C$19,0)),"•")))</f>
        <v/>
      </c>
      <c r="I508" s="114" t="str">
        <f aca="false">IF($E508="","",IF($B508="Tema",INDEX(Config!$E$6:$E$11,$D508),IF(INDEX(Avulsos!$D$6:$D$205,$C508)&amp;""="","Outro",INDEX(Avulsos!$D$6:$D$205,$C508))))</f>
        <v/>
      </c>
      <c r="J508" s="114" t="str">
        <f aca="false">IF($E508="","",IF($B508="Tema",INDEX(Temas!$C$6:$C$305,$C508)&amp;"",INDEX(Avulsos!$E$6:$E$205,$C508)&amp;""))</f>
        <v/>
      </c>
      <c r="K508" s="114" t="str">
        <f aca="false">IF($E508="","",IF(IF($B508="Tema",INDEX(Temas!$E$6:$P$305,$C508,2*$D508),INDEX(Avulsos!$F$6:$F$205,$C508))&amp;""="","","✓"))</f>
        <v/>
      </c>
      <c r="L508" s="114" t="str">
        <f aca="true">IF($E508="","",IF($K508="✓","Concluído",IF($E508&lt;TODAY(),"Atrasado",IF($E508=TODAY(),"Hoje","Pendente"))))</f>
        <v/>
      </c>
      <c r="M508" s="114" t="str">
        <f aca="false">IF($E508="","",IF($K508="✓","✓ ","")&amp;IF(Config!$E$22="Sim",$H508&amp;" · ","")&amp;$F508)</f>
        <v/>
      </c>
      <c r="N508" s="114" t="str">
        <f aca="false">IF($E508="","",IFERROR(INDEX(Config!$D$15:$D$19,MATCH($I508,Config!$C$15:$C$19,0)),"OUT")&amp;IF($K508="✓","x",""))</f>
        <v/>
      </c>
      <c r="O508" s="114" t="str">
        <f aca="false">IF($E508="","",COUNTIF($E$5:$E508,$E508))</f>
        <v/>
      </c>
      <c r="P508" s="114" t="str">
        <f aca="false">IF($E508="","",$E508*100+$O508)</f>
        <v/>
      </c>
      <c r="Q508" s="114" t="str">
        <f aca="false">IF($L508="Atrasado",$E508*10000+$A508,"")</f>
        <v/>
      </c>
    </row>
    <row r="509" customFormat="false" ht="15" hidden="false" customHeight="false" outlineLevel="0" collapsed="false">
      <c r="A509" s="114" t="n">
        <f aca="false">ROW()-4</f>
        <v>505</v>
      </c>
      <c r="B509" s="114" t="str">
        <f aca="false">IF(A509&lt;=Config!$E$27*Config!$E$28,"Tema","Avulso")</f>
        <v>Tema</v>
      </c>
      <c r="C509" s="114" t="n">
        <f aca="false">IF(B509="Tema",INT((A509-1)/Config!$E$28)+1,A509-Config!$E$27*Config!$E$28)</f>
        <v>85</v>
      </c>
      <c r="D509" s="114" t="n">
        <f aca="false">IF(B509="Tema",MOD(A509-1,Config!$E$28)+1,"")</f>
        <v>1</v>
      </c>
      <c r="E509" s="115" t="str">
        <f aca="false">IF($B509="Tema",IF(ISNUMBER(INDEX(Temas!$E$6:$P$305,$C509,2*$D509-1)),INDEX(Temas!$E$6:$P$305,$C509,2*$D509-1),""),IF(ISNUMBER(INDEX(Avulsos!$B$6:$B$205,$C509)),INDEX(Avulsos!$B$6:$B$205,$C509),""))</f>
        <v/>
      </c>
      <c r="F509" s="114" t="str">
        <f aca="false">IF($E509="","",IF($B509="Tema",INDEX(Temas!$B$6:$B$305,$C509)&amp;"",INDEX(Avulsos!$C$6:$C$205,$C509)&amp;""))</f>
        <v/>
      </c>
      <c r="G509" s="114" t="str">
        <f aca="false">IF($E509="","",IF($B509="Tema",INDEX(Config!$C$6:$C$11,$D509),"Evento avulso"))</f>
        <v/>
      </c>
      <c r="H509" s="114" t="str">
        <f aca="false">IF($E509="","",IF($B509="Tema",INDEX(Config!$D$6:$D$11,$D509),IFERROR(INDEX(Config!$E$15:$E$19,MATCH($I509,Config!$C$15:$C$19,0)),"•")))</f>
        <v/>
      </c>
      <c r="I509" s="114" t="str">
        <f aca="false">IF($E509="","",IF($B509="Tema",INDEX(Config!$E$6:$E$11,$D509),IF(INDEX(Avulsos!$D$6:$D$205,$C509)&amp;""="","Outro",INDEX(Avulsos!$D$6:$D$205,$C509))))</f>
        <v/>
      </c>
      <c r="J509" s="114" t="str">
        <f aca="false">IF($E509="","",IF($B509="Tema",INDEX(Temas!$C$6:$C$305,$C509)&amp;"",INDEX(Avulsos!$E$6:$E$205,$C509)&amp;""))</f>
        <v/>
      </c>
      <c r="K509" s="114" t="str">
        <f aca="false">IF($E509="","",IF(IF($B509="Tema",INDEX(Temas!$E$6:$P$305,$C509,2*$D509),INDEX(Avulsos!$F$6:$F$205,$C509))&amp;""="","","✓"))</f>
        <v/>
      </c>
      <c r="L509" s="114" t="str">
        <f aca="true">IF($E509="","",IF($K509="✓","Concluído",IF($E509&lt;TODAY(),"Atrasado",IF($E509=TODAY(),"Hoje","Pendente"))))</f>
        <v/>
      </c>
      <c r="M509" s="114" t="str">
        <f aca="false">IF($E509="","",IF($K509="✓","✓ ","")&amp;IF(Config!$E$22="Sim",$H509&amp;" · ","")&amp;$F509)</f>
        <v/>
      </c>
      <c r="N509" s="114" t="str">
        <f aca="false">IF($E509="","",IFERROR(INDEX(Config!$D$15:$D$19,MATCH($I509,Config!$C$15:$C$19,0)),"OUT")&amp;IF($K509="✓","x",""))</f>
        <v/>
      </c>
      <c r="O509" s="114" t="str">
        <f aca="false">IF($E509="","",COUNTIF($E$5:$E509,$E509))</f>
        <v/>
      </c>
      <c r="P509" s="114" t="str">
        <f aca="false">IF($E509="","",$E509*100+$O509)</f>
        <v/>
      </c>
      <c r="Q509" s="114" t="str">
        <f aca="false">IF($L509="Atrasado",$E509*10000+$A509,"")</f>
        <v/>
      </c>
    </row>
    <row r="510" customFormat="false" ht="15" hidden="false" customHeight="false" outlineLevel="0" collapsed="false">
      <c r="A510" s="114" t="n">
        <f aca="false">ROW()-4</f>
        <v>506</v>
      </c>
      <c r="B510" s="114" t="str">
        <f aca="false">IF(A510&lt;=Config!$E$27*Config!$E$28,"Tema","Avulso")</f>
        <v>Tema</v>
      </c>
      <c r="C510" s="114" t="n">
        <f aca="false">IF(B510="Tema",INT((A510-1)/Config!$E$28)+1,A510-Config!$E$27*Config!$E$28)</f>
        <v>85</v>
      </c>
      <c r="D510" s="114" t="n">
        <f aca="false">IF(B510="Tema",MOD(A510-1,Config!$E$28)+1,"")</f>
        <v>2</v>
      </c>
      <c r="E510" s="115" t="str">
        <f aca="false">IF($B510="Tema",IF(ISNUMBER(INDEX(Temas!$E$6:$P$305,$C510,2*$D510-1)),INDEX(Temas!$E$6:$P$305,$C510,2*$D510-1),""),IF(ISNUMBER(INDEX(Avulsos!$B$6:$B$205,$C510)),INDEX(Avulsos!$B$6:$B$205,$C510),""))</f>
        <v/>
      </c>
      <c r="F510" s="114" t="str">
        <f aca="false">IF($E510="","",IF($B510="Tema",INDEX(Temas!$B$6:$B$305,$C510)&amp;"",INDEX(Avulsos!$C$6:$C$205,$C510)&amp;""))</f>
        <v/>
      </c>
      <c r="G510" s="114" t="str">
        <f aca="false">IF($E510="","",IF($B510="Tema",INDEX(Config!$C$6:$C$11,$D510),"Evento avulso"))</f>
        <v/>
      </c>
      <c r="H510" s="114" t="str">
        <f aca="false">IF($E510="","",IF($B510="Tema",INDEX(Config!$D$6:$D$11,$D510),IFERROR(INDEX(Config!$E$15:$E$19,MATCH($I510,Config!$C$15:$C$19,0)),"•")))</f>
        <v/>
      </c>
      <c r="I510" s="114" t="str">
        <f aca="false">IF($E510="","",IF($B510="Tema",INDEX(Config!$E$6:$E$11,$D510),IF(INDEX(Avulsos!$D$6:$D$205,$C510)&amp;""="","Outro",INDEX(Avulsos!$D$6:$D$205,$C510))))</f>
        <v/>
      </c>
      <c r="J510" s="114" t="str">
        <f aca="false">IF($E510="","",IF($B510="Tema",INDEX(Temas!$C$6:$C$305,$C510)&amp;"",INDEX(Avulsos!$E$6:$E$205,$C510)&amp;""))</f>
        <v/>
      </c>
      <c r="K510" s="114" t="str">
        <f aca="false">IF($E510="","",IF(IF($B510="Tema",INDEX(Temas!$E$6:$P$305,$C510,2*$D510),INDEX(Avulsos!$F$6:$F$205,$C510))&amp;""="","","✓"))</f>
        <v/>
      </c>
      <c r="L510" s="114" t="str">
        <f aca="true">IF($E510="","",IF($K510="✓","Concluído",IF($E510&lt;TODAY(),"Atrasado",IF($E510=TODAY(),"Hoje","Pendente"))))</f>
        <v/>
      </c>
      <c r="M510" s="114" t="str">
        <f aca="false">IF($E510="","",IF($K510="✓","✓ ","")&amp;IF(Config!$E$22="Sim",$H510&amp;" · ","")&amp;$F510)</f>
        <v/>
      </c>
      <c r="N510" s="114" t="str">
        <f aca="false">IF($E510="","",IFERROR(INDEX(Config!$D$15:$D$19,MATCH($I510,Config!$C$15:$C$19,0)),"OUT")&amp;IF($K510="✓","x",""))</f>
        <v/>
      </c>
      <c r="O510" s="114" t="str">
        <f aca="false">IF($E510="","",COUNTIF($E$5:$E510,$E510))</f>
        <v/>
      </c>
      <c r="P510" s="114" t="str">
        <f aca="false">IF($E510="","",$E510*100+$O510)</f>
        <v/>
      </c>
      <c r="Q510" s="114" t="str">
        <f aca="false">IF($L510="Atrasado",$E510*10000+$A510,"")</f>
        <v/>
      </c>
    </row>
    <row r="511" customFormat="false" ht="15" hidden="false" customHeight="false" outlineLevel="0" collapsed="false">
      <c r="A511" s="114" t="n">
        <f aca="false">ROW()-4</f>
        <v>507</v>
      </c>
      <c r="B511" s="114" t="str">
        <f aca="false">IF(A511&lt;=Config!$E$27*Config!$E$28,"Tema","Avulso")</f>
        <v>Tema</v>
      </c>
      <c r="C511" s="114" t="n">
        <f aca="false">IF(B511="Tema",INT((A511-1)/Config!$E$28)+1,A511-Config!$E$27*Config!$E$28)</f>
        <v>85</v>
      </c>
      <c r="D511" s="114" t="n">
        <f aca="false">IF(B511="Tema",MOD(A511-1,Config!$E$28)+1,"")</f>
        <v>3</v>
      </c>
      <c r="E511" s="115" t="str">
        <f aca="false">IF($B511="Tema",IF(ISNUMBER(INDEX(Temas!$E$6:$P$305,$C511,2*$D511-1)),INDEX(Temas!$E$6:$P$305,$C511,2*$D511-1),""),IF(ISNUMBER(INDEX(Avulsos!$B$6:$B$205,$C511)),INDEX(Avulsos!$B$6:$B$205,$C511),""))</f>
        <v/>
      </c>
      <c r="F511" s="114" t="str">
        <f aca="false">IF($E511="","",IF($B511="Tema",INDEX(Temas!$B$6:$B$305,$C511)&amp;"",INDEX(Avulsos!$C$6:$C$205,$C511)&amp;""))</f>
        <v/>
      </c>
      <c r="G511" s="114" t="str">
        <f aca="false">IF($E511="","",IF($B511="Tema",INDEX(Config!$C$6:$C$11,$D511),"Evento avulso"))</f>
        <v/>
      </c>
      <c r="H511" s="114" t="str">
        <f aca="false">IF($E511="","",IF($B511="Tema",INDEX(Config!$D$6:$D$11,$D511),IFERROR(INDEX(Config!$E$15:$E$19,MATCH($I511,Config!$C$15:$C$19,0)),"•")))</f>
        <v/>
      </c>
      <c r="I511" s="114" t="str">
        <f aca="false">IF($E511="","",IF($B511="Tema",INDEX(Config!$E$6:$E$11,$D511),IF(INDEX(Avulsos!$D$6:$D$205,$C511)&amp;""="","Outro",INDEX(Avulsos!$D$6:$D$205,$C511))))</f>
        <v/>
      </c>
      <c r="J511" s="114" t="str">
        <f aca="false">IF($E511="","",IF($B511="Tema",INDEX(Temas!$C$6:$C$305,$C511)&amp;"",INDEX(Avulsos!$E$6:$E$205,$C511)&amp;""))</f>
        <v/>
      </c>
      <c r="K511" s="114" t="str">
        <f aca="false">IF($E511="","",IF(IF($B511="Tema",INDEX(Temas!$E$6:$P$305,$C511,2*$D511),INDEX(Avulsos!$F$6:$F$205,$C511))&amp;""="","","✓"))</f>
        <v/>
      </c>
      <c r="L511" s="114" t="str">
        <f aca="true">IF($E511="","",IF($K511="✓","Concluído",IF($E511&lt;TODAY(),"Atrasado",IF($E511=TODAY(),"Hoje","Pendente"))))</f>
        <v/>
      </c>
      <c r="M511" s="114" t="str">
        <f aca="false">IF($E511="","",IF($K511="✓","✓ ","")&amp;IF(Config!$E$22="Sim",$H511&amp;" · ","")&amp;$F511)</f>
        <v/>
      </c>
      <c r="N511" s="114" t="str">
        <f aca="false">IF($E511="","",IFERROR(INDEX(Config!$D$15:$D$19,MATCH($I511,Config!$C$15:$C$19,0)),"OUT")&amp;IF($K511="✓","x",""))</f>
        <v/>
      </c>
      <c r="O511" s="114" t="str">
        <f aca="false">IF($E511="","",COUNTIF($E$5:$E511,$E511))</f>
        <v/>
      </c>
      <c r="P511" s="114" t="str">
        <f aca="false">IF($E511="","",$E511*100+$O511)</f>
        <v/>
      </c>
      <c r="Q511" s="114" t="str">
        <f aca="false">IF($L511="Atrasado",$E511*10000+$A511,"")</f>
        <v/>
      </c>
    </row>
    <row r="512" customFormat="false" ht="15" hidden="false" customHeight="false" outlineLevel="0" collapsed="false">
      <c r="A512" s="114" t="n">
        <f aca="false">ROW()-4</f>
        <v>508</v>
      </c>
      <c r="B512" s="114" t="str">
        <f aca="false">IF(A512&lt;=Config!$E$27*Config!$E$28,"Tema","Avulso")</f>
        <v>Tema</v>
      </c>
      <c r="C512" s="114" t="n">
        <f aca="false">IF(B512="Tema",INT((A512-1)/Config!$E$28)+1,A512-Config!$E$27*Config!$E$28)</f>
        <v>85</v>
      </c>
      <c r="D512" s="114" t="n">
        <f aca="false">IF(B512="Tema",MOD(A512-1,Config!$E$28)+1,"")</f>
        <v>4</v>
      </c>
      <c r="E512" s="115" t="str">
        <f aca="false">IF($B512="Tema",IF(ISNUMBER(INDEX(Temas!$E$6:$P$305,$C512,2*$D512-1)),INDEX(Temas!$E$6:$P$305,$C512,2*$D512-1),""),IF(ISNUMBER(INDEX(Avulsos!$B$6:$B$205,$C512)),INDEX(Avulsos!$B$6:$B$205,$C512),""))</f>
        <v/>
      </c>
      <c r="F512" s="114" t="str">
        <f aca="false">IF($E512="","",IF($B512="Tema",INDEX(Temas!$B$6:$B$305,$C512)&amp;"",INDEX(Avulsos!$C$6:$C$205,$C512)&amp;""))</f>
        <v/>
      </c>
      <c r="G512" s="114" t="str">
        <f aca="false">IF($E512="","",IF($B512="Tema",INDEX(Config!$C$6:$C$11,$D512),"Evento avulso"))</f>
        <v/>
      </c>
      <c r="H512" s="114" t="str">
        <f aca="false">IF($E512="","",IF($B512="Tema",INDEX(Config!$D$6:$D$11,$D512),IFERROR(INDEX(Config!$E$15:$E$19,MATCH($I512,Config!$C$15:$C$19,0)),"•")))</f>
        <v/>
      </c>
      <c r="I512" s="114" t="str">
        <f aca="false">IF($E512="","",IF($B512="Tema",INDEX(Config!$E$6:$E$11,$D512),IF(INDEX(Avulsos!$D$6:$D$205,$C512)&amp;""="","Outro",INDEX(Avulsos!$D$6:$D$205,$C512))))</f>
        <v/>
      </c>
      <c r="J512" s="114" t="str">
        <f aca="false">IF($E512="","",IF($B512="Tema",INDEX(Temas!$C$6:$C$305,$C512)&amp;"",INDEX(Avulsos!$E$6:$E$205,$C512)&amp;""))</f>
        <v/>
      </c>
      <c r="K512" s="114" t="str">
        <f aca="false">IF($E512="","",IF(IF($B512="Tema",INDEX(Temas!$E$6:$P$305,$C512,2*$D512),INDEX(Avulsos!$F$6:$F$205,$C512))&amp;""="","","✓"))</f>
        <v/>
      </c>
      <c r="L512" s="114" t="str">
        <f aca="true">IF($E512="","",IF($K512="✓","Concluído",IF($E512&lt;TODAY(),"Atrasado",IF($E512=TODAY(),"Hoje","Pendente"))))</f>
        <v/>
      </c>
      <c r="M512" s="114" t="str">
        <f aca="false">IF($E512="","",IF($K512="✓","✓ ","")&amp;IF(Config!$E$22="Sim",$H512&amp;" · ","")&amp;$F512)</f>
        <v/>
      </c>
      <c r="N512" s="114" t="str">
        <f aca="false">IF($E512="","",IFERROR(INDEX(Config!$D$15:$D$19,MATCH($I512,Config!$C$15:$C$19,0)),"OUT")&amp;IF($K512="✓","x",""))</f>
        <v/>
      </c>
      <c r="O512" s="114" t="str">
        <f aca="false">IF($E512="","",COUNTIF($E$5:$E512,$E512))</f>
        <v/>
      </c>
      <c r="P512" s="114" t="str">
        <f aca="false">IF($E512="","",$E512*100+$O512)</f>
        <v/>
      </c>
      <c r="Q512" s="114" t="str">
        <f aca="false">IF($L512="Atrasado",$E512*10000+$A512,"")</f>
        <v/>
      </c>
    </row>
    <row r="513" customFormat="false" ht="15" hidden="false" customHeight="false" outlineLevel="0" collapsed="false">
      <c r="A513" s="114" t="n">
        <f aca="false">ROW()-4</f>
        <v>509</v>
      </c>
      <c r="B513" s="114" t="str">
        <f aca="false">IF(A513&lt;=Config!$E$27*Config!$E$28,"Tema","Avulso")</f>
        <v>Tema</v>
      </c>
      <c r="C513" s="114" t="n">
        <f aca="false">IF(B513="Tema",INT((A513-1)/Config!$E$28)+1,A513-Config!$E$27*Config!$E$28)</f>
        <v>85</v>
      </c>
      <c r="D513" s="114" t="n">
        <f aca="false">IF(B513="Tema",MOD(A513-1,Config!$E$28)+1,"")</f>
        <v>5</v>
      </c>
      <c r="E513" s="115" t="str">
        <f aca="false">IF($B513="Tema",IF(ISNUMBER(INDEX(Temas!$E$6:$P$305,$C513,2*$D513-1)),INDEX(Temas!$E$6:$P$305,$C513,2*$D513-1),""),IF(ISNUMBER(INDEX(Avulsos!$B$6:$B$205,$C513)),INDEX(Avulsos!$B$6:$B$205,$C513),""))</f>
        <v/>
      </c>
      <c r="F513" s="114" t="str">
        <f aca="false">IF($E513="","",IF($B513="Tema",INDEX(Temas!$B$6:$B$305,$C513)&amp;"",INDEX(Avulsos!$C$6:$C$205,$C513)&amp;""))</f>
        <v/>
      </c>
      <c r="G513" s="114" t="str">
        <f aca="false">IF($E513="","",IF($B513="Tema",INDEX(Config!$C$6:$C$11,$D513),"Evento avulso"))</f>
        <v/>
      </c>
      <c r="H513" s="114" t="str">
        <f aca="false">IF($E513="","",IF($B513="Tema",INDEX(Config!$D$6:$D$11,$D513),IFERROR(INDEX(Config!$E$15:$E$19,MATCH($I513,Config!$C$15:$C$19,0)),"•")))</f>
        <v/>
      </c>
      <c r="I513" s="114" t="str">
        <f aca="false">IF($E513="","",IF($B513="Tema",INDEX(Config!$E$6:$E$11,$D513),IF(INDEX(Avulsos!$D$6:$D$205,$C513)&amp;""="","Outro",INDEX(Avulsos!$D$6:$D$205,$C513))))</f>
        <v/>
      </c>
      <c r="J513" s="114" t="str">
        <f aca="false">IF($E513="","",IF($B513="Tema",INDEX(Temas!$C$6:$C$305,$C513)&amp;"",INDEX(Avulsos!$E$6:$E$205,$C513)&amp;""))</f>
        <v/>
      </c>
      <c r="K513" s="114" t="str">
        <f aca="false">IF($E513="","",IF(IF($B513="Tema",INDEX(Temas!$E$6:$P$305,$C513,2*$D513),INDEX(Avulsos!$F$6:$F$205,$C513))&amp;""="","","✓"))</f>
        <v/>
      </c>
      <c r="L513" s="114" t="str">
        <f aca="true">IF($E513="","",IF($K513="✓","Concluído",IF($E513&lt;TODAY(),"Atrasado",IF($E513=TODAY(),"Hoje","Pendente"))))</f>
        <v/>
      </c>
      <c r="M513" s="114" t="str">
        <f aca="false">IF($E513="","",IF($K513="✓","✓ ","")&amp;IF(Config!$E$22="Sim",$H513&amp;" · ","")&amp;$F513)</f>
        <v/>
      </c>
      <c r="N513" s="114" t="str">
        <f aca="false">IF($E513="","",IFERROR(INDEX(Config!$D$15:$D$19,MATCH($I513,Config!$C$15:$C$19,0)),"OUT")&amp;IF($K513="✓","x",""))</f>
        <v/>
      </c>
      <c r="O513" s="114" t="str">
        <f aca="false">IF($E513="","",COUNTIF($E$5:$E513,$E513))</f>
        <v/>
      </c>
      <c r="P513" s="114" t="str">
        <f aca="false">IF($E513="","",$E513*100+$O513)</f>
        <v/>
      </c>
      <c r="Q513" s="114" t="str">
        <f aca="false">IF($L513="Atrasado",$E513*10000+$A513,"")</f>
        <v/>
      </c>
    </row>
    <row r="514" customFormat="false" ht="15" hidden="false" customHeight="false" outlineLevel="0" collapsed="false">
      <c r="A514" s="114" t="n">
        <f aca="false">ROW()-4</f>
        <v>510</v>
      </c>
      <c r="B514" s="114" t="str">
        <f aca="false">IF(A514&lt;=Config!$E$27*Config!$E$28,"Tema","Avulso")</f>
        <v>Tema</v>
      </c>
      <c r="C514" s="114" t="n">
        <f aca="false">IF(B514="Tema",INT((A514-1)/Config!$E$28)+1,A514-Config!$E$27*Config!$E$28)</f>
        <v>85</v>
      </c>
      <c r="D514" s="114" t="n">
        <f aca="false">IF(B514="Tema",MOD(A514-1,Config!$E$28)+1,"")</f>
        <v>6</v>
      </c>
      <c r="E514" s="115" t="str">
        <f aca="false">IF($B514="Tema",IF(ISNUMBER(INDEX(Temas!$E$6:$P$305,$C514,2*$D514-1)),INDEX(Temas!$E$6:$P$305,$C514,2*$D514-1),""),IF(ISNUMBER(INDEX(Avulsos!$B$6:$B$205,$C514)),INDEX(Avulsos!$B$6:$B$205,$C514),""))</f>
        <v/>
      </c>
      <c r="F514" s="114" t="str">
        <f aca="false">IF($E514="","",IF($B514="Tema",INDEX(Temas!$B$6:$B$305,$C514)&amp;"",INDEX(Avulsos!$C$6:$C$205,$C514)&amp;""))</f>
        <v/>
      </c>
      <c r="G514" s="114" t="str">
        <f aca="false">IF($E514="","",IF($B514="Tema",INDEX(Config!$C$6:$C$11,$D514),"Evento avulso"))</f>
        <v/>
      </c>
      <c r="H514" s="114" t="str">
        <f aca="false">IF($E514="","",IF($B514="Tema",INDEX(Config!$D$6:$D$11,$D514),IFERROR(INDEX(Config!$E$15:$E$19,MATCH($I514,Config!$C$15:$C$19,0)),"•")))</f>
        <v/>
      </c>
      <c r="I514" s="114" t="str">
        <f aca="false">IF($E514="","",IF($B514="Tema",INDEX(Config!$E$6:$E$11,$D514),IF(INDEX(Avulsos!$D$6:$D$205,$C514)&amp;""="","Outro",INDEX(Avulsos!$D$6:$D$205,$C514))))</f>
        <v/>
      </c>
      <c r="J514" s="114" t="str">
        <f aca="false">IF($E514="","",IF($B514="Tema",INDEX(Temas!$C$6:$C$305,$C514)&amp;"",INDEX(Avulsos!$E$6:$E$205,$C514)&amp;""))</f>
        <v/>
      </c>
      <c r="K514" s="114" t="str">
        <f aca="false">IF($E514="","",IF(IF($B514="Tema",INDEX(Temas!$E$6:$P$305,$C514,2*$D514),INDEX(Avulsos!$F$6:$F$205,$C514))&amp;""="","","✓"))</f>
        <v/>
      </c>
      <c r="L514" s="114" t="str">
        <f aca="true">IF($E514="","",IF($K514="✓","Concluído",IF($E514&lt;TODAY(),"Atrasado",IF($E514=TODAY(),"Hoje","Pendente"))))</f>
        <v/>
      </c>
      <c r="M514" s="114" t="str">
        <f aca="false">IF($E514="","",IF($K514="✓","✓ ","")&amp;IF(Config!$E$22="Sim",$H514&amp;" · ","")&amp;$F514)</f>
        <v/>
      </c>
      <c r="N514" s="114" t="str">
        <f aca="false">IF($E514="","",IFERROR(INDEX(Config!$D$15:$D$19,MATCH($I514,Config!$C$15:$C$19,0)),"OUT")&amp;IF($K514="✓","x",""))</f>
        <v/>
      </c>
      <c r="O514" s="114" t="str">
        <f aca="false">IF($E514="","",COUNTIF($E$5:$E514,$E514))</f>
        <v/>
      </c>
      <c r="P514" s="114" t="str">
        <f aca="false">IF($E514="","",$E514*100+$O514)</f>
        <v/>
      </c>
      <c r="Q514" s="114" t="str">
        <f aca="false">IF($L514="Atrasado",$E514*10000+$A514,"")</f>
        <v/>
      </c>
    </row>
    <row r="515" customFormat="false" ht="15" hidden="false" customHeight="false" outlineLevel="0" collapsed="false">
      <c r="A515" s="114" t="n">
        <f aca="false">ROW()-4</f>
        <v>511</v>
      </c>
      <c r="B515" s="114" t="str">
        <f aca="false">IF(A515&lt;=Config!$E$27*Config!$E$28,"Tema","Avulso")</f>
        <v>Tema</v>
      </c>
      <c r="C515" s="114" t="n">
        <f aca="false">IF(B515="Tema",INT((A515-1)/Config!$E$28)+1,A515-Config!$E$27*Config!$E$28)</f>
        <v>86</v>
      </c>
      <c r="D515" s="114" t="n">
        <f aca="false">IF(B515="Tema",MOD(A515-1,Config!$E$28)+1,"")</f>
        <v>1</v>
      </c>
      <c r="E515" s="115" t="str">
        <f aca="false">IF($B515="Tema",IF(ISNUMBER(INDEX(Temas!$E$6:$P$305,$C515,2*$D515-1)),INDEX(Temas!$E$6:$P$305,$C515,2*$D515-1),""),IF(ISNUMBER(INDEX(Avulsos!$B$6:$B$205,$C515)),INDEX(Avulsos!$B$6:$B$205,$C515),""))</f>
        <v/>
      </c>
      <c r="F515" s="114" t="str">
        <f aca="false">IF($E515="","",IF($B515="Tema",INDEX(Temas!$B$6:$B$305,$C515)&amp;"",INDEX(Avulsos!$C$6:$C$205,$C515)&amp;""))</f>
        <v/>
      </c>
      <c r="G515" s="114" t="str">
        <f aca="false">IF($E515="","",IF($B515="Tema",INDEX(Config!$C$6:$C$11,$D515),"Evento avulso"))</f>
        <v/>
      </c>
      <c r="H515" s="114" t="str">
        <f aca="false">IF($E515="","",IF($B515="Tema",INDEX(Config!$D$6:$D$11,$D515),IFERROR(INDEX(Config!$E$15:$E$19,MATCH($I515,Config!$C$15:$C$19,0)),"•")))</f>
        <v/>
      </c>
      <c r="I515" s="114" t="str">
        <f aca="false">IF($E515="","",IF($B515="Tema",INDEX(Config!$E$6:$E$11,$D515),IF(INDEX(Avulsos!$D$6:$D$205,$C515)&amp;""="","Outro",INDEX(Avulsos!$D$6:$D$205,$C515))))</f>
        <v/>
      </c>
      <c r="J515" s="114" t="str">
        <f aca="false">IF($E515="","",IF($B515="Tema",INDEX(Temas!$C$6:$C$305,$C515)&amp;"",INDEX(Avulsos!$E$6:$E$205,$C515)&amp;""))</f>
        <v/>
      </c>
      <c r="K515" s="114" t="str">
        <f aca="false">IF($E515="","",IF(IF($B515="Tema",INDEX(Temas!$E$6:$P$305,$C515,2*$D515),INDEX(Avulsos!$F$6:$F$205,$C515))&amp;""="","","✓"))</f>
        <v/>
      </c>
      <c r="L515" s="114" t="str">
        <f aca="true">IF($E515="","",IF($K515="✓","Concluído",IF($E515&lt;TODAY(),"Atrasado",IF($E515=TODAY(),"Hoje","Pendente"))))</f>
        <v/>
      </c>
      <c r="M515" s="114" t="str">
        <f aca="false">IF($E515="","",IF($K515="✓","✓ ","")&amp;IF(Config!$E$22="Sim",$H515&amp;" · ","")&amp;$F515)</f>
        <v/>
      </c>
      <c r="N515" s="114" t="str">
        <f aca="false">IF($E515="","",IFERROR(INDEX(Config!$D$15:$D$19,MATCH($I515,Config!$C$15:$C$19,0)),"OUT")&amp;IF($K515="✓","x",""))</f>
        <v/>
      </c>
      <c r="O515" s="114" t="str">
        <f aca="false">IF($E515="","",COUNTIF($E$5:$E515,$E515))</f>
        <v/>
      </c>
      <c r="P515" s="114" t="str">
        <f aca="false">IF($E515="","",$E515*100+$O515)</f>
        <v/>
      </c>
      <c r="Q515" s="114" t="str">
        <f aca="false">IF($L515="Atrasado",$E515*10000+$A515,"")</f>
        <v/>
      </c>
    </row>
    <row r="516" customFormat="false" ht="15" hidden="false" customHeight="false" outlineLevel="0" collapsed="false">
      <c r="A516" s="114" t="n">
        <f aca="false">ROW()-4</f>
        <v>512</v>
      </c>
      <c r="B516" s="114" t="str">
        <f aca="false">IF(A516&lt;=Config!$E$27*Config!$E$28,"Tema","Avulso")</f>
        <v>Tema</v>
      </c>
      <c r="C516" s="114" t="n">
        <f aca="false">IF(B516="Tema",INT((A516-1)/Config!$E$28)+1,A516-Config!$E$27*Config!$E$28)</f>
        <v>86</v>
      </c>
      <c r="D516" s="114" t="n">
        <f aca="false">IF(B516="Tema",MOD(A516-1,Config!$E$28)+1,"")</f>
        <v>2</v>
      </c>
      <c r="E516" s="115" t="str">
        <f aca="false">IF($B516="Tema",IF(ISNUMBER(INDEX(Temas!$E$6:$P$305,$C516,2*$D516-1)),INDEX(Temas!$E$6:$P$305,$C516,2*$D516-1),""),IF(ISNUMBER(INDEX(Avulsos!$B$6:$B$205,$C516)),INDEX(Avulsos!$B$6:$B$205,$C516),""))</f>
        <v/>
      </c>
      <c r="F516" s="114" t="str">
        <f aca="false">IF($E516="","",IF($B516="Tema",INDEX(Temas!$B$6:$B$305,$C516)&amp;"",INDEX(Avulsos!$C$6:$C$205,$C516)&amp;""))</f>
        <v/>
      </c>
      <c r="G516" s="114" t="str">
        <f aca="false">IF($E516="","",IF($B516="Tema",INDEX(Config!$C$6:$C$11,$D516),"Evento avulso"))</f>
        <v/>
      </c>
      <c r="H516" s="114" t="str">
        <f aca="false">IF($E516="","",IF($B516="Tema",INDEX(Config!$D$6:$D$11,$D516),IFERROR(INDEX(Config!$E$15:$E$19,MATCH($I516,Config!$C$15:$C$19,0)),"•")))</f>
        <v/>
      </c>
      <c r="I516" s="114" t="str">
        <f aca="false">IF($E516="","",IF($B516="Tema",INDEX(Config!$E$6:$E$11,$D516),IF(INDEX(Avulsos!$D$6:$D$205,$C516)&amp;""="","Outro",INDEX(Avulsos!$D$6:$D$205,$C516))))</f>
        <v/>
      </c>
      <c r="J516" s="114" t="str">
        <f aca="false">IF($E516="","",IF($B516="Tema",INDEX(Temas!$C$6:$C$305,$C516)&amp;"",INDEX(Avulsos!$E$6:$E$205,$C516)&amp;""))</f>
        <v/>
      </c>
      <c r="K516" s="114" t="str">
        <f aca="false">IF($E516="","",IF(IF($B516="Tema",INDEX(Temas!$E$6:$P$305,$C516,2*$D516),INDEX(Avulsos!$F$6:$F$205,$C516))&amp;""="","","✓"))</f>
        <v/>
      </c>
      <c r="L516" s="114" t="str">
        <f aca="true">IF($E516="","",IF($K516="✓","Concluído",IF($E516&lt;TODAY(),"Atrasado",IF($E516=TODAY(),"Hoje","Pendente"))))</f>
        <v/>
      </c>
      <c r="M516" s="114" t="str">
        <f aca="false">IF($E516="","",IF($K516="✓","✓ ","")&amp;IF(Config!$E$22="Sim",$H516&amp;" · ","")&amp;$F516)</f>
        <v/>
      </c>
      <c r="N516" s="114" t="str">
        <f aca="false">IF($E516="","",IFERROR(INDEX(Config!$D$15:$D$19,MATCH($I516,Config!$C$15:$C$19,0)),"OUT")&amp;IF($K516="✓","x",""))</f>
        <v/>
      </c>
      <c r="O516" s="114" t="str">
        <f aca="false">IF($E516="","",COUNTIF($E$5:$E516,$E516))</f>
        <v/>
      </c>
      <c r="P516" s="114" t="str">
        <f aca="false">IF($E516="","",$E516*100+$O516)</f>
        <v/>
      </c>
      <c r="Q516" s="114" t="str">
        <f aca="false">IF($L516="Atrasado",$E516*10000+$A516,"")</f>
        <v/>
      </c>
    </row>
    <row r="517" customFormat="false" ht="15" hidden="false" customHeight="false" outlineLevel="0" collapsed="false">
      <c r="A517" s="114" t="n">
        <f aca="false">ROW()-4</f>
        <v>513</v>
      </c>
      <c r="B517" s="114" t="str">
        <f aca="false">IF(A517&lt;=Config!$E$27*Config!$E$28,"Tema","Avulso")</f>
        <v>Tema</v>
      </c>
      <c r="C517" s="114" t="n">
        <f aca="false">IF(B517="Tema",INT((A517-1)/Config!$E$28)+1,A517-Config!$E$27*Config!$E$28)</f>
        <v>86</v>
      </c>
      <c r="D517" s="114" t="n">
        <f aca="false">IF(B517="Tema",MOD(A517-1,Config!$E$28)+1,"")</f>
        <v>3</v>
      </c>
      <c r="E517" s="115" t="str">
        <f aca="false">IF($B517="Tema",IF(ISNUMBER(INDEX(Temas!$E$6:$P$305,$C517,2*$D517-1)),INDEX(Temas!$E$6:$P$305,$C517,2*$D517-1),""),IF(ISNUMBER(INDEX(Avulsos!$B$6:$B$205,$C517)),INDEX(Avulsos!$B$6:$B$205,$C517),""))</f>
        <v/>
      </c>
      <c r="F517" s="114" t="str">
        <f aca="false">IF($E517="","",IF($B517="Tema",INDEX(Temas!$B$6:$B$305,$C517)&amp;"",INDEX(Avulsos!$C$6:$C$205,$C517)&amp;""))</f>
        <v/>
      </c>
      <c r="G517" s="114" t="str">
        <f aca="false">IF($E517="","",IF($B517="Tema",INDEX(Config!$C$6:$C$11,$D517),"Evento avulso"))</f>
        <v/>
      </c>
      <c r="H517" s="114" t="str">
        <f aca="false">IF($E517="","",IF($B517="Tema",INDEX(Config!$D$6:$D$11,$D517),IFERROR(INDEX(Config!$E$15:$E$19,MATCH($I517,Config!$C$15:$C$19,0)),"•")))</f>
        <v/>
      </c>
      <c r="I517" s="114" t="str">
        <f aca="false">IF($E517="","",IF($B517="Tema",INDEX(Config!$E$6:$E$11,$D517),IF(INDEX(Avulsos!$D$6:$D$205,$C517)&amp;""="","Outro",INDEX(Avulsos!$D$6:$D$205,$C517))))</f>
        <v/>
      </c>
      <c r="J517" s="114" t="str">
        <f aca="false">IF($E517="","",IF($B517="Tema",INDEX(Temas!$C$6:$C$305,$C517)&amp;"",INDEX(Avulsos!$E$6:$E$205,$C517)&amp;""))</f>
        <v/>
      </c>
      <c r="K517" s="114" t="str">
        <f aca="false">IF($E517="","",IF(IF($B517="Tema",INDEX(Temas!$E$6:$P$305,$C517,2*$D517),INDEX(Avulsos!$F$6:$F$205,$C517))&amp;""="","","✓"))</f>
        <v/>
      </c>
      <c r="L517" s="114" t="str">
        <f aca="true">IF($E517="","",IF($K517="✓","Concluído",IF($E517&lt;TODAY(),"Atrasado",IF($E517=TODAY(),"Hoje","Pendente"))))</f>
        <v/>
      </c>
      <c r="M517" s="114" t="str">
        <f aca="false">IF($E517="","",IF($K517="✓","✓ ","")&amp;IF(Config!$E$22="Sim",$H517&amp;" · ","")&amp;$F517)</f>
        <v/>
      </c>
      <c r="N517" s="114" t="str">
        <f aca="false">IF($E517="","",IFERROR(INDEX(Config!$D$15:$D$19,MATCH($I517,Config!$C$15:$C$19,0)),"OUT")&amp;IF($K517="✓","x",""))</f>
        <v/>
      </c>
      <c r="O517" s="114" t="str">
        <f aca="false">IF($E517="","",COUNTIF($E$5:$E517,$E517))</f>
        <v/>
      </c>
      <c r="P517" s="114" t="str">
        <f aca="false">IF($E517="","",$E517*100+$O517)</f>
        <v/>
      </c>
      <c r="Q517" s="114" t="str">
        <f aca="false">IF($L517="Atrasado",$E517*10000+$A517,"")</f>
        <v/>
      </c>
    </row>
    <row r="518" customFormat="false" ht="15" hidden="false" customHeight="false" outlineLevel="0" collapsed="false">
      <c r="A518" s="114" t="n">
        <f aca="false">ROW()-4</f>
        <v>514</v>
      </c>
      <c r="B518" s="114" t="str">
        <f aca="false">IF(A518&lt;=Config!$E$27*Config!$E$28,"Tema","Avulso")</f>
        <v>Tema</v>
      </c>
      <c r="C518" s="114" t="n">
        <f aca="false">IF(B518="Tema",INT((A518-1)/Config!$E$28)+1,A518-Config!$E$27*Config!$E$28)</f>
        <v>86</v>
      </c>
      <c r="D518" s="114" t="n">
        <f aca="false">IF(B518="Tema",MOD(A518-1,Config!$E$28)+1,"")</f>
        <v>4</v>
      </c>
      <c r="E518" s="115" t="str">
        <f aca="false">IF($B518="Tema",IF(ISNUMBER(INDEX(Temas!$E$6:$P$305,$C518,2*$D518-1)),INDEX(Temas!$E$6:$P$305,$C518,2*$D518-1),""),IF(ISNUMBER(INDEX(Avulsos!$B$6:$B$205,$C518)),INDEX(Avulsos!$B$6:$B$205,$C518),""))</f>
        <v/>
      </c>
      <c r="F518" s="114" t="str">
        <f aca="false">IF($E518="","",IF($B518="Tema",INDEX(Temas!$B$6:$B$305,$C518)&amp;"",INDEX(Avulsos!$C$6:$C$205,$C518)&amp;""))</f>
        <v/>
      </c>
      <c r="G518" s="114" t="str">
        <f aca="false">IF($E518="","",IF($B518="Tema",INDEX(Config!$C$6:$C$11,$D518),"Evento avulso"))</f>
        <v/>
      </c>
      <c r="H518" s="114" t="str">
        <f aca="false">IF($E518="","",IF($B518="Tema",INDEX(Config!$D$6:$D$11,$D518),IFERROR(INDEX(Config!$E$15:$E$19,MATCH($I518,Config!$C$15:$C$19,0)),"•")))</f>
        <v/>
      </c>
      <c r="I518" s="114" t="str">
        <f aca="false">IF($E518="","",IF($B518="Tema",INDEX(Config!$E$6:$E$11,$D518),IF(INDEX(Avulsos!$D$6:$D$205,$C518)&amp;""="","Outro",INDEX(Avulsos!$D$6:$D$205,$C518))))</f>
        <v/>
      </c>
      <c r="J518" s="114" t="str">
        <f aca="false">IF($E518="","",IF($B518="Tema",INDEX(Temas!$C$6:$C$305,$C518)&amp;"",INDEX(Avulsos!$E$6:$E$205,$C518)&amp;""))</f>
        <v/>
      </c>
      <c r="K518" s="114" t="str">
        <f aca="false">IF($E518="","",IF(IF($B518="Tema",INDEX(Temas!$E$6:$P$305,$C518,2*$D518),INDEX(Avulsos!$F$6:$F$205,$C518))&amp;""="","","✓"))</f>
        <v/>
      </c>
      <c r="L518" s="114" t="str">
        <f aca="true">IF($E518="","",IF($K518="✓","Concluído",IF($E518&lt;TODAY(),"Atrasado",IF($E518=TODAY(),"Hoje","Pendente"))))</f>
        <v/>
      </c>
      <c r="M518" s="114" t="str">
        <f aca="false">IF($E518="","",IF($K518="✓","✓ ","")&amp;IF(Config!$E$22="Sim",$H518&amp;" · ","")&amp;$F518)</f>
        <v/>
      </c>
      <c r="N518" s="114" t="str">
        <f aca="false">IF($E518="","",IFERROR(INDEX(Config!$D$15:$D$19,MATCH($I518,Config!$C$15:$C$19,0)),"OUT")&amp;IF($K518="✓","x",""))</f>
        <v/>
      </c>
      <c r="O518" s="114" t="str">
        <f aca="false">IF($E518="","",COUNTIF($E$5:$E518,$E518))</f>
        <v/>
      </c>
      <c r="P518" s="114" t="str">
        <f aca="false">IF($E518="","",$E518*100+$O518)</f>
        <v/>
      </c>
      <c r="Q518" s="114" t="str">
        <f aca="false">IF($L518="Atrasado",$E518*10000+$A518,"")</f>
        <v/>
      </c>
    </row>
    <row r="519" customFormat="false" ht="15" hidden="false" customHeight="false" outlineLevel="0" collapsed="false">
      <c r="A519" s="114" t="n">
        <f aca="false">ROW()-4</f>
        <v>515</v>
      </c>
      <c r="B519" s="114" t="str">
        <f aca="false">IF(A519&lt;=Config!$E$27*Config!$E$28,"Tema","Avulso")</f>
        <v>Tema</v>
      </c>
      <c r="C519" s="114" t="n">
        <f aca="false">IF(B519="Tema",INT((A519-1)/Config!$E$28)+1,A519-Config!$E$27*Config!$E$28)</f>
        <v>86</v>
      </c>
      <c r="D519" s="114" t="n">
        <f aca="false">IF(B519="Tema",MOD(A519-1,Config!$E$28)+1,"")</f>
        <v>5</v>
      </c>
      <c r="E519" s="115" t="str">
        <f aca="false">IF($B519="Tema",IF(ISNUMBER(INDEX(Temas!$E$6:$P$305,$C519,2*$D519-1)),INDEX(Temas!$E$6:$P$305,$C519,2*$D519-1),""),IF(ISNUMBER(INDEX(Avulsos!$B$6:$B$205,$C519)),INDEX(Avulsos!$B$6:$B$205,$C519),""))</f>
        <v/>
      </c>
      <c r="F519" s="114" t="str">
        <f aca="false">IF($E519="","",IF($B519="Tema",INDEX(Temas!$B$6:$B$305,$C519)&amp;"",INDEX(Avulsos!$C$6:$C$205,$C519)&amp;""))</f>
        <v/>
      </c>
      <c r="G519" s="114" t="str">
        <f aca="false">IF($E519="","",IF($B519="Tema",INDEX(Config!$C$6:$C$11,$D519),"Evento avulso"))</f>
        <v/>
      </c>
      <c r="H519" s="114" t="str">
        <f aca="false">IF($E519="","",IF($B519="Tema",INDEX(Config!$D$6:$D$11,$D519),IFERROR(INDEX(Config!$E$15:$E$19,MATCH($I519,Config!$C$15:$C$19,0)),"•")))</f>
        <v/>
      </c>
      <c r="I519" s="114" t="str">
        <f aca="false">IF($E519="","",IF($B519="Tema",INDEX(Config!$E$6:$E$11,$D519),IF(INDEX(Avulsos!$D$6:$D$205,$C519)&amp;""="","Outro",INDEX(Avulsos!$D$6:$D$205,$C519))))</f>
        <v/>
      </c>
      <c r="J519" s="114" t="str">
        <f aca="false">IF($E519="","",IF($B519="Tema",INDEX(Temas!$C$6:$C$305,$C519)&amp;"",INDEX(Avulsos!$E$6:$E$205,$C519)&amp;""))</f>
        <v/>
      </c>
      <c r="K519" s="114" t="str">
        <f aca="false">IF($E519="","",IF(IF($B519="Tema",INDEX(Temas!$E$6:$P$305,$C519,2*$D519),INDEX(Avulsos!$F$6:$F$205,$C519))&amp;""="","","✓"))</f>
        <v/>
      </c>
      <c r="L519" s="114" t="str">
        <f aca="true">IF($E519="","",IF($K519="✓","Concluído",IF($E519&lt;TODAY(),"Atrasado",IF($E519=TODAY(),"Hoje","Pendente"))))</f>
        <v/>
      </c>
      <c r="M519" s="114" t="str">
        <f aca="false">IF($E519="","",IF($K519="✓","✓ ","")&amp;IF(Config!$E$22="Sim",$H519&amp;" · ","")&amp;$F519)</f>
        <v/>
      </c>
      <c r="N519" s="114" t="str">
        <f aca="false">IF($E519="","",IFERROR(INDEX(Config!$D$15:$D$19,MATCH($I519,Config!$C$15:$C$19,0)),"OUT")&amp;IF($K519="✓","x",""))</f>
        <v/>
      </c>
      <c r="O519" s="114" t="str">
        <f aca="false">IF($E519="","",COUNTIF($E$5:$E519,$E519))</f>
        <v/>
      </c>
      <c r="P519" s="114" t="str">
        <f aca="false">IF($E519="","",$E519*100+$O519)</f>
        <v/>
      </c>
      <c r="Q519" s="114" t="str">
        <f aca="false">IF($L519="Atrasado",$E519*10000+$A519,"")</f>
        <v/>
      </c>
    </row>
    <row r="520" customFormat="false" ht="15" hidden="false" customHeight="false" outlineLevel="0" collapsed="false">
      <c r="A520" s="114" t="n">
        <f aca="false">ROW()-4</f>
        <v>516</v>
      </c>
      <c r="B520" s="114" t="str">
        <f aca="false">IF(A520&lt;=Config!$E$27*Config!$E$28,"Tema","Avulso")</f>
        <v>Tema</v>
      </c>
      <c r="C520" s="114" t="n">
        <f aca="false">IF(B520="Tema",INT((A520-1)/Config!$E$28)+1,A520-Config!$E$27*Config!$E$28)</f>
        <v>86</v>
      </c>
      <c r="D520" s="114" t="n">
        <f aca="false">IF(B520="Tema",MOD(A520-1,Config!$E$28)+1,"")</f>
        <v>6</v>
      </c>
      <c r="E520" s="115" t="str">
        <f aca="false">IF($B520="Tema",IF(ISNUMBER(INDEX(Temas!$E$6:$P$305,$C520,2*$D520-1)),INDEX(Temas!$E$6:$P$305,$C520,2*$D520-1),""),IF(ISNUMBER(INDEX(Avulsos!$B$6:$B$205,$C520)),INDEX(Avulsos!$B$6:$B$205,$C520),""))</f>
        <v/>
      </c>
      <c r="F520" s="114" t="str">
        <f aca="false">IF($E520="","",IF($B520="Tema",INDEX(Temas!$B$6:$B$305,$C520)&amp;"",INDEX(Avulsos!$C$6:$C$205,$C520)&amp;""))</f>
        <v/>
      </c>
      <c r="G520" s="114" t="str">
        <f aca="false">IF($E520="","",IF($B520="Tema",INDEX(Config!$C$6:$C$11,$D520),"Evento avulso"))</f>
        <v/>
      </c>
      <c r="H520" s="114" t="str">
        <f aca="false">IF($E520="","",IF($B520="Tema",INDEX(Config!$D$6:$D$11,$D520),IFERROR(INDEX(Config!$E$15:$E$19,MATCH($I520,Config!$C$15:$C$19,0)),"•")))</f>
        <v/>
      </c>
      <c r="I520" s="114" t="str">
        <f aca="false">IF($E520="","",IF($B520="Tema",INDEX(Config!$E$6:$E$11,$D520),IF(INDEX(Avulsos!$D$6:$D$205,$C520)&amp;""="","Outro",INDEX(Avulsos!$D$6:$D$205,$C520))))</f>
        <v/>
      </c>
      <c r="J520" s="114" t="str">
        <f aca="false">IF($E520="","",IF($B520="Tema",INDEX(Temas!$C$6:$C$305,$C520)&amp;"",INDEX(Avulsos!$E$6:$E$205,$C520)&amp;""))</f>
        <v/>
      </c>
      <c r="K520" s="114" t="str">
        <f aca="false">IF($E520="","",IF(IF($B520="Tema",INDEX(Temas!$E$6:$P$305,$C520,2*$D520),INDEX(Avulsos!$F$6:$F$205,$C520))&amp;""="","","✓"))</f>
        <v/>
      </c>
      <c r="L520" s="114" t="str">
        <f aca="true">IF($E520="","",IF($K520="✓","Concluído",IF($E520&lt;TODAY(),"Atrasado",IF($E520=TODAY(),"Hoje","Pendente"))))</f>
        <v/>
      </c>
      <c r="M520" s="114" t="str">
        <f aca="false">IF($E520="","",IF($K520="✓","✓ ","")&amp;IF(Config!$E$22="Sim",$H520&amp;" · ","")&amp;$F520)</f>
        <v/>
      </c>
      <c r="N520" s="114" t="str">
        <f aca="false">IF($E520="","",IFERROR(INDEX(Config!$D$15:$D$19,MATCH($I520,Config!$C$15:$C$19,0)),"OUT")&amp;IF($K520="✓","x",""))</f>
        <v/>
      </c>
      <c r="O520" s="114" t="str">
        <f aca="false">IF($E520="","",COUNTIF($E$5:$E520,$E520))</f>
        <v/>
      </c>
      <c r="P520" s="114" t="str">
        <f aca="false">IF($E520="","",$E520*100+$O520)</f>
        <v/>
      </c>
      <c r="Q520" s="114" t="str">
        <f aca="false">IF($L520="Atrasado",$E520*10000+$A520,"")</f>
        <v/>
      </c>
    </row>
    <row r="521" customFormat="false" ht="15" hidden="false" customHeight="false" outlineLevel="0" collapsed="false">
      <c r="A521" s="114" t="n">
        <f aca="false">ROW()-4</f>
        <v>517</v>
      </c>
      <c r="B521" s="114" t="str">
        <f aca="false">IF(A521&lt;=Config!$E$27*Config!$E$28,"Tema","Avulso")</f>
        <v>Tema</v>
      </c>
      <c r="C521" s="114" t="n">
        <f aca="false">IF(B521="Tema",INT((A521-1)/Config!$E$28)+1,A521-Config!$E$27*Config!$E$28)</f>
        <v>87</v>
      </c>
      <c r="D521" s="114" t="n">
        <f aca="false">IF(B521="Tema",MOD(A521-1,Config!$E$28)+1,"")</f>
        <v>1</v>
      </c>
      <c r="E521" s="115" t="str">
        <f aca="false">IF($B521="Tema",IF(ISNUMBER(INDEX(Temas!$E$6:$P$305,$C521,2*$D521-1)),INDEX(Temas!$E$6:$P$305,$C521,2*$D521-1),""),IF(ISNUMBER(INDEX(Avulsos!$B$6:$B$205,$C521)),INDEX(Avulsos!$B$6:$B$205,$C521),""))</f>
        <v/>
      </c>
      <c r="F521" s="114" t="str">
        <f aca="false">IF($E521="","",IF($B521="Tema",INDEX(Temas!$B$6:$B$305,$C521)&amp;"",INDEX(Avulsos!$C$6:$C$205,$C521)&amp;""))</f>
        <v/>
      </c>
      <c r="G521" s="114" t="str">
        <f aca="false">IF($E521="","",IF($B521="Tema",INDEX(Config!$C$6:$C$11,$D521),"Evento avulso"))</f>
        <v/>
      </c>
      <c r="H521" s="114" t="str">
        <f aca="false">IF($E521="","",IF($B521="Tema",INDEX(Config!$D$6:$D$11,$D521),IFERROR(INDEX(Config!$E$15:$E$19,MATCH($I521,Config!$C$15:$C$19,0)),"•")))</f>
        <v/>
      </c>
      <c r="I521" s="114" t="str">
        <f aca="false">IF($E521="","",IF($B521="Tema",INDEX(Config!$E$6:$E$11,$D521),IF(INDEX(Avulsos!$D$6:$D$205,$C521)&amp;""="","Outro",INDEX(Avulsos!$D$6:$D$205,$C521))))</f>
        <v/>
      </c>
      <c r="J521" s="114" t="str">
        <f aca="false">IF($E521="","",IF($B521="Tema",INDEX(Temas!$C$6:$C$305,$C521)&amp;"",INDEX(Avulsos!$E$6:$E$205,$C521)&amp;""))</f>
        <v/>
      </c>
      <c r="K521" s="114" t="str">
        <f aca="false">IF($E521="","",IF(IF($B521="Tema",INDEX(Temas!$E$6:$P$305,$C521,2*$D521),INDEX(Avulsos!$F$6:$F$205,$C521))&amp;""="","","✓"))</f>
        <v/>
      </c>
      <c r="L521" s="114" t="str">
        <f aca="true">IF($E521="","",IF($K521="✓","Concluído",IF($E521&lt;TODAY(),"Atrasado",IF($E521=TODAY(),"Hoje","Pendente"))))</f>
        <v/>
      </c>
      <c r="M521" s="114" t="str">
        <f aca="false">IF($E521="","",IF($K521="✓","✓ ","")&amp;IF(Config!$E$22="Sim",$H521&amp;" · ","")&amp;$F521)</f>
        <v/>
      </c>
      <c r="N521" s="114" t="str">
        <f aca="false">IF($E521="","",IFERROR(INDEX(Config!$D$15:$D$19,MATCH($I521,Config!$C$15:$C$19,0)),"OUT")&amp;IF($K521="✓","x",""))</f>
        <v/>
      </c>
      <c r="O521" s="114" t="str">
        <f aca="false">IF($E521="","",COUNTIF($E$5:$E521,$E521))</f>
        <v/>
      </c>
      <c r="P521" s="114" t="str">
        <f aca="false">IF($E521="","",$E521*100+$O521)</f>
        <v/>
      </c>
      <c r="Q521" s="114" t="str">
        <f aca="false">IF($L521="Atrasado",$E521*10000+$A521,"")</f>
        <v/>
      </c>
    </row>
    <row r="522" customFormat="false" ht="15" hidden="false" customHeight="false" outlineLevel="0" collapsed="false">
      <c r="A522" s="114" t="n">
        <f aca="false">ROW()-4</f>
        <v>518</v>
      </c>
      <c r="B522" s="114" t="str">
        <f aca="false">IF(A522&lt;=Config!$E$27*Config!$E$28,"Tema","Avulso")</f>
        <v>Tema</v>
      </c>
      <c r="C522" s="114" t="n">
        <f aca="false">IF(B522="Tema",INT((A522-1)/Config!$E$28)+1,A522-Config!$E$27*Config!$E$28)</f>
        <v>87</v>
      </c>
      <c r="D522" s="114" t="n">
        <f aca="false">IF(B522="Tema",MOD(A522-1,Config!$E$28)+1,"")</f>
        <v>2</v>
      </c>
      <c r="E522" s="115" t="str">
        <f aca="false">IF($B522="Tema",IF(ISNUMBER(INDEX(Temas!$E$6:$P$305,$C522,2*$D522-1)),INDEX(Temas!$E$6:$P$305,$C522,2*$D522-1),""),IF(ISNUMBER(INDEX(Avulsos!$B$6:$B$205,$C522)),INDEX(Avulsos!$B$6:$B$205,$C522),""))</f>
        <v/>
      </c>
      <c r="F522" s="114" t="str">
        <f aca="false">IF($E522="","",IF($B522="Tema",INDEX(Temas!$B$6:$B$305,$C522)&amp;"",INDEX(Avulsos!$C$6:$C$205,$C522)&amp;""))</f>
        <v/>
      </c>
      <c r="G522" s="114" t="str">
        <f aca="false">IF($E522="","",IF($B522="Tema",INDEX(Config!$C$6:$C$11,$D522),"Evento avulso"))</f>
        <v/>
      </c>
      <c r="H522" s="114" t="str">
        <f aca="false">IF($E522="","",IF($B522="Tema",INDEX(Config!$D$6:$D$11,$D522),IFERROR(INDEX(Config!$E$15:$E$19,MATCH($I522,Config!$C$15:$C$19,0)),"•")))</f>
        <v/>
      </c>
      <c r="I522" s="114" t="str">
        <f aca="false">IF($E522="","",IF($B522="Tema",INDEX(Config!$E$6:$E$11,$D522),IF(INDEX(Avulsos!$D$6:$D$205,$C522)&amp;""="","Outro",INDEX(Avulsos!$D$6:$D$205,$C522))))</f>
        <v/>
      </c>
      <c r="J522" s="114" t="str">
        <f aca="false">IF($E522="","",IF($B522="Tema",INDEX(Temas!$C$6:$C$305,$C522)&amp;"",INDEX(Avulsos!$E$6:$E$205,$C522)&amp;""))</f>
        <v/>
      </c>
      <c r="K522" s="114" t="str">
        <f aca="false">IF($E522="","",IF(IF($B522="Tema",INDEX(Temas!$E$6:$P$305,$C522,2*$D522),INDEX(Avulsos!$F$6:$F$205,$C522))&amp;""="","","✓"))</f>
        <v/>
      </c>
      <c r="L522" s="114" t="str">
        <f aca="true">IF($E522="","",IF($K522="✓","Concluído",IF($E522&lt;TODAY(),"Atrasado",IF($E522=TODAY(),"Hoje","Pendente"))))</f>
        <v/>
      </c>
      <c r="M522" s="114" t="str">
        <f aca="false">IF($E522="","",IF($K522="✓","✓ ","")&amp;IF(Config!$E$22="Sim",$H522&amp;" · ","")&amp;$F522)</f>
        <v/>
      </c>
      <c r="N522" s="114" t="str">
        <f aca="false">IF($E522="","",IFERROR(INDEX(Config!$D$15:$D$19,MATCH($I522,Config!$C$15:$C$19,0)),"OUT")&amp;IF($K522="✓","x",""))</f>
        <v/>
      </c>
      <c r="O522" s="114" t="str">
        <f aca="false">IF($E522="","",COUNTIF($E$5:$E522,$E522))</f>
        <v/>
      </c>
      <c r="P522" s="114" t="str">
        <f aca="false">IF($E522="","",$E522*100+$O522)</f>
        <v/>
      </c>
      <c r="Q522" s="114" t="str">
        <f aca="false">IF($L522="Atrasado",$E522*10000+$A522,"")</f>
        <v/>
      </c>
    </row>
    <row r="523" customFormat="false" ht="15" hidden="false" customHeight="false" outlineLevel="0" collapsed="false">
      <c r="A523" s="114" t="n">
        <f aca="false">ROW()-4</f>
        <v>519</v>
      </c>
      <c r="B523" s="114" t="str">
        <f aca="false">IF(A523&lt;=Config!$E$27*Config!$E$28,"Tema","Avulso")</f>
        <v>Tema</v>
      </c>
      <c r="C523" s="114" t="n">
        <f aca="false">IF(B523="Tema",INT((A523-1)/Config!$E$28)+1,A523-Config!$E$27*Config!$E$28)</f>
        <v>87</v>
      </c>
      <c r="D523" s="114" t="n">
        <f aca="false">IF(B523="Tema",MOD(A523-1,Config!$E$28)+1,"")</f>
        <v>3</v>
      </c>
      <c r="E523" s="115" t="str">
        <f aca="false">IF($B523="Tema",IF(ISNUMBER(INDEX(Temas!$E$6:$P$305,$C523,2*$D523-1)),INDEX(Temas!$E$6:$P$305,$C523,2*$D523-1),""),IF(ISNUMBER(INDEX(Avulsos!$B$6:$B$205,$C523)),INDEX(Avulsos!$B$6:$B$205,$C523),""))</f>
        <v/>
      </c>
      <c r="F523" s="114" t="str">
        <f aca="false">IF($E523="","",IF($B523="Tema",INDEX(Temas!$B$6:$B$305,$C523)&amp;"",INDEX(Avulsos!$C$6:$C$205,$C523)&amp;""))</f>
        <v/>
      </c>
      <c r="G523" s="114" t="str">
        <f aca="false">IF($E523="","",IF($B523="Tema",INDEX(Config!$C$6:$C$11,$D523),"Evento avulso"))</f>
        <v/>
      </c>
      <c r="H523" s="114" t="str">
        <f aca="false">IF($E523="","",IF($B523="Tema",INDEX(Config!$D$6:$D$11,$D523),IFERROR(INDEX(Config!$E$15:$E$19,MATCH($I523,Config!$C$15:$C$19,0)),"•")))</f>
        <v/>
      </c>
      <c r="I523" s="114" t="str">
        <f aca="false">IF($E523="","",IF($B523="Tema",INDEX(Config!$E$6:$E$11,$D523),IF(INDEX(Avulsos!$D$6:$D$205,$C523)&amp;""="","Outro",INDEX(Avulsos!$D$6:$D$205,$C523))))</f>
        <v/>
      </c>
      <c r="J523" s="114" t="str">
        <f aca="false">IF($E523="","",IF($B523="Tema",INDEX(Temas!$C$6:$C$305,$C523)&amp;"",INDEX(Avulsos!$E$6:$E$205,$C523)&amp;""))</f>
        <v/>
      </c>
      <c r="K523" s="114" t="str">
        <f aca="false">IF($E523="","",IF(IF($B523="Tema",INDEX(Temas!$E$6:$P$305,$C523,2*$D523),INDEX(Avulsos!$F$6:$F$205,$C523))&amp;""="","","✓"))</f>
        <v/>
      </c>
      <c r="L523" s="114" t="str">
        <f aca="true">IF($E523="","",IF($K523="✓","Concluído",IF($E523&lt;TODAY(),"Atrasado",IF($E523=TODAY(),"Hoje","Pendente"))))</f>
        <v/>
      </c>
      <c r="M523" s="114" t="str">
        <f aca="false">IF($E523="","",IF($K523="✓","✓ ","")&amp;IF(Config!$E$22="Sim",$H523&amp;" · ","")&amp;$F523)</f>
        <v/>
      </c>
      <c r="N523" s="114" t="str">
        <f aca="false">IF($E523="","",IFERROR(INDEX(Config!$D$15:$D$19,MATCH($I523,Config!$C$15:$C$19,0)),"OUT")&amp;IF($K523="✓","x",""))</f>
        <v/>
      </c>
      <c r="O523" s="114" t="str">
        <f aca="false">IF($E523="","",COUNTIF($E$5:$E523,$E523))</f>
        <v/>
      </c>
      <c r="P523" s="114" t="str">
        <f aca="false">IF($E523="","",$E523*100+$O523)</f>
        <v/>
      </c>
      <c r="Q523" s="114" t="str">
        <f aca="false">IF($L523="Atrasado",$E523*10000+$A523,"")</f>
        <v/>
      </c>
    </row>
    <row r="524" customFormat="false" ht="15" hidden="false" customHeight="false" outlineLevel="0" collapsed="false">
      <c r="A524" s="114" t="n">
        <f aca="false">ROW()-4</f>
        <v>520</v>
      </c>
      <c r="B524" s="114" t="str">
        <f aca="false">IF(A524&lt;=Config!$E$27*Config!$E$28,"Tema","Avulso")</f>
        <v>Tema</v>
      </c>
      <c r="C524" s="114" t="n">
        <f aca="false">IF(B524="Tema",INT((A524-1)/Config!$E$28)+1,A524-Config!$E$27*Config!$E$28)</f>
        <v>87</v>
      </c>
      <c r="D524" s="114" t="n">
        <f aca="false">IF(B524="Tema",MOD(A524-1,Config!$E$28)+1,"")</f>
        <v>4</v>
      </c>
      <c r="E524" s="115" t="str">
        <f aca="false">IF($B524="Tema",IF(ISNUMBER(INDEX(Temas!$E$6:$P$305,$C524,2*$D524-1)),INDEX(Temas!$E$6:$P$305,$C524,2*$D524-1),""),IF(ISNUMBER(INDEX(Avulsos!$B$6:$B$205,$C524)),INDEX(Avulsos!$B$6:$B$205,$C524),""))</f>
        <v/>
      </c>
      <c r="F524" s="114" t="str">
        <f aca="false">IF($E524="","",IF($B524="Tema",INDEX(Temas!$B$6:$B$305,$C524)&amp;"",INDEX(Avulsos!$C$6:$C$205,$C524)&amp;""))</f>
        <v/>
      </c>
      <c r="G524" s="114" t="str">
        <f aca="false">IF($E524="","",IF($B524="Tema",INDEX(Config!$C$6:$C$11,$D524),"Evento avulso"))</f>
        <v/>
      </c>
      <c r="H524" s="114" t="str">
        <f aca="false">IF($E524="","",IF($B524="Tema",INDEX(Config!$D$6:$D$11,$D524),IFERROR(INDEX(Config!$E$15:$E$19,MATCH($I524,Config!$C$15:$C$19,0)),"•")))</f>
        <v/>
      </c>
      <c r="I524" s="114" t="str">
        <f aca="false">IF($E524="","",IF($B524="Tema",INDEX(Config!$E$6:$E$11,$D524),IF(INDEX(Avulsos!$D$6:$D$205,$C524)&amp;""="","Outro",INDEX(Avulsos!$D$6:$D$205,$C524))))</f>
        <v/>
      </c>
      <c r="J524" s="114" t="str">
        <f aca="false">IF($E524="","",IF($B524="Tema",INDEX(Temas!$C$6:$C$305,$C524)&amp;"",INDEX(Avulsos!$E$6:$E$205,$C524)&amp;""))</f>
        <v/>
      </c>
      <c r="K524" s="114" t="str">
        <f aca="false">IF($E524="","",IF(IF($B524="Tema",INDEX(Temas!$E$6:$P$305,$C524,2*$D524),INDEX(Avulsos!$F$6:$F$205,$C524))&amp;""="","","✓"))</f>
        <v/>
      </c>
      <c r="L524" s="114" t="str">
        <f aca="true">IF($E524="","",IF($K524="✓","Concluído",IF($E524&lt;TODAY(),"Atrasado",IF($E524=TODAY(),"Hoje","Pendente"))))</f>
        <v/>
      </c>
      <c r="M524" s="114" t="str">
        <f aca="false">IF($E524="","",IF($K524="✓","✓ ","")&amp;IF(Config!$E$22="Sim",$H524&amp;" · ","")&amp;$F524)</f>
        <v/>
      </c>
      <c r="N524" s="114" t="str">
        <f aca="false">IF($E524="","",IFERROR(INDEX(Config!$D$15:$D$19,MATCH($I524,Config!$C$15:$C$19,0)),"OUT")&amp;IF($K524="✓","x",""))</f>
        <v/>
      </c>
      <c r="O524" s="114" t="str">
        <f aca="false">IF($E524="","",COUNTIF($E$5:$E524,$E524))</f>
        <v/>
      </c>
      <c r="P524" s="114" t="str">
        <f aca="false">IF($E524="","",$E524*100+$O524)</f>
        <v/>
      </c>
      <c r="Q524" s="114" t="str">
        <f aca="false">IF($L524="Atrasado",$E524*10000+$A524,"")</f>
        <v/>
      </c>
    </row>
    <row r="525" customFormat="false" ht="15" hidden="false" customHeight="false" outlineLevel="0" collapsed="false">
      <c r="A525" s="114" t="n">
        <f aca="false">ROW()-4</f>
        <v>521</v>
      </c>
      <c r="B525" s="114" t="str">
        <f aca="false">IF(A525&lt;=Config!$E$27*Config!$E$28,"Tema","Avulso")</f>
        <v>Tema</v>
      </c>
      <c r="C525" s="114" t="n">
        <f aca="false">IF(B525="Tema",INT((A525-1)/Config!$E$28)+1,A525-Config!$E$27*Config!$E$28)</f>
        <v>87</v>
      </c>
      <c r="D525" s="114" t="n">
        <f aca="false">IF(B525="Tema",MOD(A525-1,Config!$E$28)+1,"")</f>
        <v>5</v>
      </c>
      <c r="E525" s="115" t="str">
        <f aca="false">IF($B525="Tema",IF(ISNUMBER(INDEX(Temas!$E$6:$P$305,$C525,2*$D525-1)),INDEX(Temas!$E$6:$P$305,$C525,2*$D525-1),""),IF(ISNUMBER(INDEX(Avulsos!$B$6:$B$205,$C525)),INDEX(Avulsos!$B$6:$B$205,$C525),""))</f>
        <v/>
      </c>
      <c r="F525" s="114" t="str">
        <f aca="false">IF($E525="","",IF($B525="Tema",INDEX(Temas!$B$6:$B$305,$C525)&amp;"",INDEX(Avulsos!$C$6:$C$205,$C525)&amp;""))</f>
        <v/>
      </c>
      <c r="G525" s="114" t="str">
        <f aca="false">IF($E525="","",IF($B525="Tema",INDEX(Config!$C$6:$C$11,$D525),"Evento avulso"))</f>
        <v/>
      </c>
      <c r="H525" s="114" t="str">
        <f aca="false">IF($E525="","",IF($B525="Tema",INDEX(Config!$D$6:$D$11,$D525),IFERROR(INDEX(Config!$E$15:$E$19,MATCH($I525,Config!$C$15:$C$19,0)),"•")))</f>
        <v/>
      </c>
      <c r="I525" s="114" t="str">
        <f aca="false">IF($E525="","",IF($B525="Tema",INDEX(Config!$E$6:$E$11,$D525),IF(INDEX(Avulsos!$D$6:$D$205,$C525)&amp;""="","Outro",INDEX(Avulsos!$D$6:$D$205,$C525))))</f>
        <v/>
      </c>
      <c r="J525" s="114" t="str">
        <f aca="false">IF($E525="","",IF($B525="Tema",INDEX(Temas!$C$6:$C$305,$C525)&amp;"",INDEX(Avulsos!$E$6:$E$205,$C525)&amp;""))</f>
        <v/>
      </c>
      <c r="K525" s="114" t="str">
        <f aca="false">IF($E525="","",IF(IF($B525="Tema",INDEX(Temas!$E$6:$P$305,$C525,2*$D525),INDEX(Avulsos!$F$6:$F$205,$C525))&amp;""="","","✓"))</f>
        <v/>
      </c>
      <c r="L525" s="114" t="str">
        <f aca="true">IF($E525="","",IF($K525="✓","Concluído",IF($E525&lt;TODAY(),"Atrasado",IF($E525=TODAY(),"Hoje","Pendente"))))</f>
        <v/>
      </c>
      <c r="M525" s="114" t="str">
        <f aca="false">IF($E525="","",IF($K525="✓","✓ ","")&amp;IF(Config!$E$22="Sim",$H525&amp;" · ","")&amp;$F525)</f>
        <v/>
      </c>
      <c r="N525" s="114" t="str">
        <f aca="false">IF($E525="","",IFERROR(INDEX(Config!$D$15:$D$19,MATCH($I525,Config!$C$15:$C$19,0)),"OUT")&amp;IF($K525="✓","x",""))</f>
        <v/>
      </c>
      <c r="O525" s="114" t="str">
        <f aca="false">IF($E525="","",COUNTIF($E$5:$E525,$E525))</f>
        <v/>
      </c>
      <c r="P525" s="114" t="str">
        <f aca="false">IF($E525="","",$E525*100+$O525)</f>
        <v/>
      </c>
      <c r="Q525" s="114" t="str">
        <f aca="false">IF($L525="Atrasado",$E525*10000+$A525,"")</f>
        <v/>
      </c>
    </row>
    <row r="526" customFormat="false" ht="15" hidden="false" customHeight="false" outlineLevel="0" collapsed="false">
      <c r="A526" s="114" t="n">
        <f aca="false">ROW()-4</f>
        <v>522</v>
      </c>
      <c r="B526" s="114" t="str">
        <f aca="false">IF(A526&lt;=Config!$E$27*Config!$E$28,"Tema","Avulso")</f>
        <v>Tema</v>
      </c>
      <c r="C526" s="114" t="n">
        <f aca="false">IF(B526="Tema",INT((A526-1)/Config!$E$28)+1,A526-Config!$E$27*Config!$E$28)</f>
        <v>87</v>
      </c>
      <c r="D526" s="114" t="n">
        <f aca="false">IF(B526="Tema",MOD(A526-1,Config!$E$28)+1,"")</f>
        <v>6</v>
      </c>
      <c r="E526" s="115" t="str">
        <f aca="false">IF($B526="Tema",IF(ISNUMBER(INDEX(Temas!$E$6:$P$305,$C526,2*$D526-1)),INDEX(Temas!$E$6:$P$305,$C526,2*$D526-1),""),IF(ISNUMBER(INDEX(Avulsos!$B$6:$B$205,$C526)),INDEX(Avulsos!$B$6:$B$205,$C526),""))</f>
        <v/>
      </c>
      <c r="F526" s="114" t="str">
        <f aca="false">IF($E526="","",IF($B526="Tema",INDEX(Temas!$B$6:$B$305,$C526)&amp;"",INDEX(Avulsos!$C$6:$C$205,$C526)&amp;""))</f>
        <v/>
      </c>
      <c r="G526" s="114" t="str">
        <f aca="false">IF($E526="","",IF($B526="Tema",INDEX(Config!$C$6:$C$11,$D526),"Evento avulso"))</f>
        <v/>
      </c>
      <c r="H526" s="114" t="str">
        <f aca="false">IF($E526="","",IF($B526="Tema",INDEX(Config!$D$6:$D$11,$D526),IFERROR(INDEX(Config!$E$15:$E$19,MATCH($I526,Config!$C$15:$C$19,0)),"•")))</f>
        <v/>
      </c>
      <c r="I526" s="114" t="str">
        <f aca="false">IF($E526="","",IF($B526="Tema",INDEX(Config!$E$6:$E$11,$D526),IF(INDEX(Avulsos!$D$6:$D$205,$C526)&amp;""="","Outro",INDEX(Avulsos!$D$6:$D$205,$C526))))</f>
        <v/>
      </c>
      <c r="J526" s="114" t="str">
        <f aca="false">IF($E526="","",IF($B526="Tema",INDEX(Temas!$C$6:$C$305,$C526)&amp;"",INDEX(Avulsos!$E$6:$E$205,$C526)&amp;""))</f>
        <v/>
      </c>
      <c r="K526" s="114" t="str">
        <f aca="false">IF($E526="","",IF(IF($B526="Tema",INDEX(Temas!$E$6:$P$305,$C526,2*$D526),INDEX(Avulsos!$F$6:$F$205,$C526))&amp;""="","","✓"))</f>
        <v/>
      </c>
      <c r="L526" s="114" t="str">
        <f aca="true">IF($E526="","",IF($K526="✓","Concluído",IF($E526&lt;TODAY(),"Atrasado",IF($E526=TODAY(),"Hoje","Pendente"))))</f>
        <v/>
      </c>
      <c r="M526" s="114" t="str">
        <f aca="false">IF($E526="","",IF($K526="✓","✓ ","")&amp;IF(Config!$E$22="Sim",$H526&amp;" · ","")&amp;$F526)</f>
        <v/>
      </c>
      <c r="N526" s="114" t="str">
        <f aca="false">IF($E526="","",IFERROR(INDEX(Config!$D$15:$D$19,MATCH($I526,Config!$C$15:$C$19,0)),"OUT")&amp;IF($K526="✓","x",""))</f>
        <v/>
      </c>
      <c r="O526" s="114" t="str">
        <f aca="false">IF($E526="","",COUNTIF($E$5:$E526,$E526))</f>
        <v/>
      </c>
      <c r="P526" s="114" t="str">
        <f aca="false">IF($E526="","",$E526*100+$O526)</f>
        <v/>
      </c>
      <c r="Q526" s="114" t="str">
        <f aca="false">IF($L526="Atrasado",$E526*10000+$A526,"")</f>
        <v/>
      </c>
    </row>
    <row r="527" customFormat="false" ht="15" hidden="false" customHeight="false" outlineLevel="0" collapsed="false">
      <c r="A527" s="114" t="n">
        <f aca="false">ROW()-4</f>
        <v>523</v>
      </c>
      <c r="B527" s="114" t="str">
        <f aca="false">IF(A527&lt;=Config!$E$27*Config!$E$28,"Tema","Avulso")</f>
        <v>Tema</v>
      </c>
      <c r="C527" s="114" t="n">
        <f aca="false">IF(B527="Tema",INT((A527-1)/Config!$E$28)+1,A527-Config!$E$27*Config!$E$28)</f>
        <v>88</v>
      </c>
      <c r="D527" s="114" t="n">
        <f aca="false">IF(B527="Tema",MOD(A527-1,Config!$E$28)+1,"")</f>
        <v>1</v>
      </c>
      <c r="E527" s="115" t="str">
        <f aca="false">IF($B527="Tema",IF(ISNUMBER(INDEX(Temas!$E$6:$P$305,$C527,2*$D527-1)),INDEX(Temas!$E$6:$P$305,$C527,2*$D527-1),""),IF(ISNUMBER(INDEX(Avulsos!$B$6:$B$205,$C527)),INDEX(Avulsos!$B$6:$B$205,$C527),""))</f>
        <v/>
      </c>
      <c r="F527" s="114" t="str">
        <f aca="false">IF($E527="","",IF($B527="Tema",INDEX(Temas!$B$6:$B$305,$C527)&amp;"",INDEX(Avulsos!$C$6:$C$205,$C527)&amp;""))</f>
        <v/>
      </c>
      <c r="G527" s="114" t="str">
        <f aca="false">IF($E527="","",IF($B527="Tema",INDEX(Config!$C$6:$C$11,$D527),"Evento avulso"))</f>
        <v/>
      </c>
      <c r="H527" s="114" t="str">
        <f aca="false">IF($E527="","",IF($B527="Tema",INDEX(Config!$D$6:$D$11,$D527),IFERROR(INDEX(Config!$E$15:$E$19,MATCH($I527,Config!$C$15:$C$19,0)),"•")))</f>
        <v/>
      </c>
      <c r="I527" s="114" t="str">
        <f aca="false">IF($E527="","",IF($B527="Tema",INDEX(Config!$E$6:$E$11,$D527),IF(INDEX(Avulsos!$D$6:$D$205,$C527)&amp;""="","Outro",INDEX(Avulsos!$D$6:$D$205,$C527))))</f>
        <v/>
      </c>
      <c r="J527" s="114" t="str">
        <f aca="false">IF($E527="","",IF($B527="Tema",INDEX(Temas!$C$6:$C$305,$C527)&amp;"",INDEX(Avulsos!$E$6:$E$205,$C527)&amp;""))</f>
        <v/>
      </c>
      <c r="K527" s="114" t="str">
        <f aca="false">IF($E527="","",IF(IF($B527="Tema",INDEX(Temas!$E$6:$P$305,$C527,2*$D527),INDEX(Avulsos!$F$6:$F$205,$C527))&amp;""="","","✓"))</f>
        <v/>
      </c>
      <c r="L527" s="114" t="str">
        <f aca="true">IF($E527="","",IF($K527="✓","Concluído",IF($E527&lt;TODAY(),"Atrasado",IF($E527=TODAY(),"Hoje","Pendente"))))</f>
        <v/>
      </c>
      <c r="M527" s="114" t="str">
        <f aca="false">IF($E527="","",IF($K527="✓","✓ ","")&amp;IF(Config!$E$22="Sim",$H527&amp;" · ","")&amp;$F527)</f>
        <v/>
      </c>
      <c r="N527" s="114" t="str">
        <f aca="false">IF($E527="","",IFERROR(INDEX(Config!$D$15:$D$19,MATCH($I527,Config!$C$15:$C$19,0)),"OUT")&amp;IF($K527="✓","x",""))</f>
        <v/>
      </c>
      <c r="O527" s="114" t="str">
        <f aca="false">IF($E527="","",COUNTIF($E$5:$E527,$E527))</f>
        <v/>
      </c>
      <c r="P527" s="114" t="str">
        <f aca="false">IF($E527="","",$E527*100+$O527)</f>
        <v/>
      </c>
      <c r="Q527" s="114" t="str">
        <f aca="false">IF($L527="Atrasado",$E527*10000+$A527,"")</f>
        <v/>
      </c>
    </row>
    <row r="528" customFormat="false" ht="15" hidden="false" customHeight="false" outlineLevel="0" collapsed="false">
      <c r="A528" s="114" t="n">
        <f aca="false">ROW()-4</f>
        <v>524</v>
      </c>
      <c r="B528" s="114" t="str">
        <f aca="false">IF(A528&lt;=Config!$E$27*Config!$E$28,"Tema","Avulso")</f>
        <v>Tema</v>
      </c>
      <c r="C528" s="114" t="n">
        <f aca="false">IF(B528="Tema",INT((A528-1)/Config!$E$28)+1,A528-Config!$E$27*Config!$E$28)</f>
        <v>88</v>
      </c>
      <c r="D528" s="114" t="n">
        <f aca="false">IF(B528="Tema",MOD(A528-1,Config!$E$28)+1,"")</f>
        <v>2</v>
      </c>
      <c r="E528" s="115" t="str">
        <f aca="false">IF($B528="Tema",IF(ISNUMBER(INDEX(Temas!$E$6:$P$305,$C528,2*$D528-1)),INDEX(Temas!$E$6:$P$305,$C528,2*$D528-1),""),IF(ISNUMBER(INDEX(Avulsos!$B$6:$B$205,$C528)),INDEX(Avulsos!$B$6:$B$205,$C528),""))</f>
        <v/>
      </c>
      <c r="F528" s="114" t="str">
        <f aca="false">IF($E528="","",IF($B528="Tema",INDEX(Temas!$B$6:$B$305,$C528)&amp;"",INDEX(Avulsos!$C$6:$C$205,$C528)&amp;""))</f>
        <v/>
      </c>
      <c r="G528" s="114" t="str">
        <f aca="false">IF($E528="","",IF($B528="Tema",INDEX(Config!$C$6:$C$11,$D528),"Evento avulso"))</f>
        <v/>
      </c>
      <c r="H528" s="114" t="str">
        <f aca="false">IF($E528="","",IF($B528="Tema",INDEX(Config!$D$6:$D$11,$D528),IFERROR(INDEX(Config!$E$15:$E$19,MATCH($I528,Config!$C$15:$C$19,0)),"•")))</f>
        <v/>
      </c>
      <c r="I528" s="114" t="str">
        <f aca="false">IF($E528="","",IF($B528="Tema",INDEX(Config!$E$6:$E$11,$D528),IF(INDEX(Avulsos!$D$6:$D$205,$C528)&amp;""="","Outro",INDEX(Avulsos!$D$6:$D$205,$C528))))</f>
        <v/>
      </c>
      <c r="J528" s="114" t="str">
        <f aca="false">IF($E528="","",IF($B528="Tema",INDEX(Temas!$C$6:$C$305,$C528)&amp;"",INDEX(Avulsos!$E$6:$E$205,$C528)&amp;""))</f>
        <v/>
      </c>
      <c r="K528" s="114" t="str">
        <f aca="false">IF($E528="","",IF(IF($B528="Tema",INDEX(Temas!$E$6:$P$305,$C528,2*$D528),INDEX(Avulsos!$F$6:$F$205,$C528))&amp;""="","","✓"))</f>
        <v/>
      </c>
      <c r="L528" s="114" t="str">
        <f aca="true">IF($E528="","",IF($K528="✓","Concluído",IF($E528&lt;TODAY(),"Atrasado",IF($E528=TODAY(),"Hoje","Pendente"))))</f>
        <v/>
      </c>
      <c r="M528" s="114" t="str">
        <f aca="false">IF($E528="","",IF($K528="✓","✓ ","")&amp;IF(Config!$E$22="Sim",$H528&amp;" · ","")&amp;$F528)</f>
        <v/>
      </c>
      <c r="N528" s="114" t="str">
        <f aca="false">IF($E528="","",IFERROR(INDEX(Config!$D$15:$D$19,MATCH($I528,Config!$C$15:$C$19,0)),"OUT")&amp;IF($K528="✓","x",""))</f>
        <v/>
      </c>
      <c r="O528" s="114" t="str">
        <f aca="false">IF($E528="","",COUNTIF($E$5:$E528,$E528))</f>
        <v/>
      </c>
      <c r="P528" s="114" t="str">
        <f aca="false">IF($E528="","",$E528*100+$O528)</f>
        <v/>
      </c>
      <c r="Q528" s="114" t="str">
        <f aca="false">IF($L528="Atrasado",$E528*10000+$A528,"")</f>
        <v/>
      </c>
    </row>
    <row r="529" customFormat="false" ht="15" hidden="false" customHeight="false" outlineLevel="0" collapsed="false">
      <c r="A529" s="114" t="n">
        <f aca="false">ROW()-4</f>
        <v>525</v>
      </c>
      <c r="B529" s="114" t="str">
        <f aca="false">IF(A529&lt;=Config!$E$27*Config!$E$28,"Tema","Avulso")</f>
        <v>Tema</v>
      </c>
      <c r="C529" s="114" t="n">
        <f aca="false">IF(B529="Tema",INT((A529-1)/Config!$E$28)+1,A529-Config!$E$27*Config!$E$28)</f>
        <v>88</v>
      </c>
      <c r="D529" s="114" t="n">
        <f aca="false">IF(B529="Tema",MOD(A529-1,Config!$E$28)+1,"")</f>
        <v>3</v>
      </c>
      <c r="E529" s="115" t="str">
        <f aca="false">IF($B529="Tema",IF(ISNUMBER(INDEX(Temas!$E$6:$P$305,$C529,2*$D529-1)),INDEX(Temas!$E$6:$P$305,$C529,2*$D529-1),""),IF(ISNUMBER(INDEX(Avulsos!$B$6:$B$205,$C529)),INDEX(Avulsos!$B$6:$B$205,$C529),""))</f>
        <v/>
      </c>
      <c r="F529" s="114" t="str">
        <f aca="false">IF($E529="","",IF($B529="Tema",INDEX(Temas!$B$6:$B$305,$C529)&amp;"",INDEX(Avulsos!$C$6:$C$205,$C529)&amp;""))</f>
        <v/>
      </c>
      <c r="G529" s="114" t="str">
        <f aca="false">IF($E529="","",IF($B529="Tema",INDEX(Config!$C$6:$C$11,$D529),"Evento avulso"))</f>
        <v/>
      </c>
      <c r="H529" s="114" t="str">
        <f aca="false">IF($E529="","",IF($B529="Tema",INDEX(Config!$D$6:$D$11,$D529),IFERROR(INDEX(Config!$E$15:$E$19,MATCH($I529,Config!$C$15:$C$19,0)),"•")))</f>
        <v/>
      </c>
      <c r="I529" s="114" t="str">
        <f aca="false">IF($E529="","",IF($B529="Tema",INDEX(Config!$E$6:$E$11,$D529),IF(INDEX(Avulsos!$D$6:$D$205,$C529)&amp;""="","Outro",INDEX(Avulsos!$D$6:$D$205,$C529))))</f>
        <v/>
      </c>
      <c r="J529" s="114" t="str">
        <f aca="false">IF($E529="","",IF($B529="Tema",INDEX(Temas!$C$6:$C$305,$C529)&amp;"",INDEX(Avulsos!$E$6:$E$205,$C529)&amp;""))</f>
        <v/>
      </c>
      <c r="K529" s="114" t="str">
        <f aca="false">IF($E529="","",IF(IF($B529="Tema",INDEX(Temas!$E$6:$P$305,$C529,2*$D529),INDEX(Avulsos!$F$6:$F$205,$C529))&amp;""="","","✓"))</f>
        <v/>
      </c>
      <c r="L529" s="114" t="str">
        <f aca="true">IF($E529="","",IF($K529="✓","Concluído",IF($E529&lt;TODAY(),"Atrasado",IF($E529=TODAY(),"Hoje","Pendente"))))</f>
        <v/>
      </c>
      <c r="M529" s="114" t="str">
        <f aca="false">IF($E529="","",IF($K529="✓","✓ ","")&amp;IF(Config!$E$22="Sim",$H529&amp;" · ","")&amp;$F529)</f>
        <v/>
      </c>
      <c r="N529" s="114" t="str">
        <f aca="false">IF($E529="","",IFERROR(INDEX(Config!$D$15:$D$19,MATCH($I529,Config!$C$15:$C$19,0)),"OUT")&amp;IF($K529="✓","x",""))</f>
        <v/>
      </c>
      <c r="O529" s="114" t="str">
        <f aca="false">IF($E529="","",COUNTIF($E$5:$E529,$E529))</f>
        <v/>
      </c>
      <c r="P529" s="114" t="str">
        <f aca="false">IF($E529="","",$E529*100+$O529)</f>
        <v/>
      </c>
      <c r="Q529" s="114" t="str">
        <f aca="false">IF($L529="Atrasado",$E529*10000+$A529,"")</f>
        <v/>
      </c>
    </row>
    <row r="530" customFormat="false" ht="15" hidden="false" customHeight="false" outlineLevel="0" collapsed="false">
      <c r="A530" s="114" t="n">
        <f aca="false">ROW()-4</f>
        <v>526</v>
      </c>
      <c r="B530" s="114" t="str">
        <f aca="false">IF(A530&lt;=Config!$E$27*Config!$E$28,"Tema","Avulso")</f>
        <v>Tema</v>
      </c>
      <c r="C530" s="114" t="n">
        <f aca="false">IF(B530="Tema",INT((A530-1)/Config!$E$28)+1,A530-Config!$E$27*Config!$E$28)</f>
        <v>88</v>
      </c>
      <c r="D530" s="114" t="n">
        <f aca="false">IF(B530="Tema",MOD(A530-1,Config!$E$28)+1,"")</f>
        <v>4</v>
      </c>
      <c r="E530" s="115" t="str">
        <f aca="false">IF($B530="Tema",IF(ISNUMBER(INDEX(Temas!$E$6:$P$305,$C530,2*$D530-1)),INDEX(Temas!$E$6:$P$305,$C530,2*$D530-1),""),IF(ISNUMBER(INDEX(Avulsos!$B$6:$B$205,$C530)),INDEX(Avulsos!$B$6:$B$205,$C530),""))</f>
        <v/>
      </c>
      <c r="F530" s="114" t="str">
        <f aca="false">IF($E530="","",IF($B530="Tema",INDEX(Temas!$B$6:$B$305,$C530)&amp;"",INDEX(Avulsos!$C$6:$C$205,$C530)&amp;""))</f>
        <v/>
      </c>
      <c r="G530" s="114" t="str">
        <f aca="false">IF($E530="","",IF($B530="Tema",INDEX(Config!$C$6:$C$11,$D530),"Evento avulso"))</f>
        <v/>
      </c>
      <c r="H530" s="114" t="str">
        <f aca="false">IF($E530="","",IF($B530="Tema",INDEX(Config!$D$6:$D$11,$D530),IFERROR(INDEX(Config!$E$15:$E$19,MATCH($I530,Config!$C$15:$C$19,0)),"•")))</f>
        <v/>
      </c>
      <c r="I530" s="114" t="str">
        <f aca="false">IF($E530="","",IF($B530="Tema",INDEX(Config!$E$6:$E$11,$D530),IF(INDEX(Avulsos!$D$6:$D$205,$C530)&amp;""="","Outro",INDEX(Avulsos!$D$6:$D$205,$C530))))</f>
        <v/>
      </c>
      <c r="J530" s="114" t="str">
        <f aca="false">IF($E530="","",IF($B530="Tema",INDEX(Temas!$C$6:$C$305,$C530)&amp;"",INDEX(Avulsos!$E$6:$E$205,$C530)&amp;""))</f>
        <v/>
      </c>
      <c r="K530" s="114" t="str">
        <f aca="false">IF($E530="","",IF(IF($B530="Tema",INDEX(Temas!$E$6:$P$305,$C530,2*$D530),INDEX(Avulsos!$F$6:$F$205,$C530))&amp;""="","","✓"))</f>
        <v/>
      </c>
      <c r="L530" s="114" t="str">
        <f aca="true">IF($E530="","",IF($K530="✓","Concluído",IF($E530&lt;TODAY(),"Atrasado",IF($E530=TODAY(),"Hoje","Pendente"))))</f>
        <v/>
      </c>
      <c r="M530" s="114" t="str">
        <f aca="false">IF($E530="","",IF($K530="✓","✓ ","")&amp;IF(Config!$E$22="Sim",$H530&amp;" · ","")&amp;$F530)</f>
        <v/>
      </c>
      <c r="N530" s="114" t="str">
        <f aca="false">IF($E530="","",IFERROR(INDEX(Config!$D$15:$D$19,MATCH($I530,Config!$C$15:$C$19,0)),"OUT")&amp;IF($K530="✓","x",""))</f>
        <v/>
      </c>
      <c r="O530" s="114" t="str">
        <f aca="false">IF($E530="","",COUNTIF($E$5:$E530,$E530))</f>
        <v/>
      </c>
      <c r="P530" s="114" t="str">
        <f aca="false">IF($E530="","",$E530*100+$O530)</f>
        <v/>
      </c>
      <c r="Q530" s="114" t="str">
        <f aca="false">IF($L530="Atrasado",$E530*10000+$A530,"")</f>
        <v/>
      </c>
    </row>
    <row r="531" customFormat="false" ht="15" hidden="false" customHeight="false" outlineLevel="0" collapsed="false">
      <c r="A531" s="114" t="n">
        <f aca="false">ROW()-4</f>
        <v>527</v>
      </c>
      <c r="B531" s="114" t="str">
        <f aca="false">IF(A531&lt;=Config!$E$27*Config!$E$28,"Tema","Avulso")</f>
        <v>Tema</v>
      </c>
      <c r="C531" s="114" t="n">
        <f aca="false">IF(B531="Tema",INT((A531-1)/Config!$E$28)+1,A531-Config!$E$27*Config!$E$28)</f>
        <v>88</v>
      </c>
      <c r="D531" s="114" t="n">
        <f aca="false">IF(B531="Tema",MOD(A531-1,Config!$E$28)+1,"")</f>
        <v>5</v>
      </c>
      <c r="E531" s="115" t="str">
        <f aca="false">IF($B531="Tema",IF(ISNUMBER(INDEX(Temas!$E$6:$P$305,$C531,2*$D531-1)),INDEX(Temas!$E$6:$P$305,$C531,2*$D531-1),""),IF(ISNUMBER(INDEX(Avulsos!$B$6:$B$205,$C531)),INDEX(Avulsos!$B$6:$B$205,$C531),""))</f>
        <v/>
      </c>
      <c r="F531" s="114" t="str">
        <f aca="false">IF($E531="","",IF($B531="Tema",INDEX(Temas!$B$6:$B$305,$C531)&amp;"",INDEX(Avulsos!$C$6:$C$205,$C531)&amp;""))</f>
        <v/>
      </c>
      <c r="G531" s="114" t="str">
        <f aca="false">IF($E531="","",IF($B531="Tema",INDEX(Config!$C$6:$C$11,$D531),"Evento avulso"))</f>
        <v/>
      </c>
      <c r="H531" s="114" t="str">
        <f aca="false">IF($E531="","",IF($B531="Tema",INDEX(Config!$D$6:$D$11,$D531),IFERROR(INDEX(Config!$E$15:$E$19,MATCH($I531,Config!$C$15:$C$19,0)),"•")))</f>
        <v/>
      </c>
      <c r="I531" s="114" t="str">
        <f aca="false">IF($E531="","",IF($B531="Tema",INDEX(Config!$E$6:$E$11,$D531),IF(INDEX(Avulsos!$D$6:$D$205,$C531)&amp;""="","Outro",INDEX(Avulsos!$D$6:$D$205,$C531))))</f>
        <v/>
      </c>
      <c r="J531" s="114" t="str">
        <f aca="false">IF($E531="","",IF($B531="Tema",INDEX(Temas!$C$6:$C$305,$C531)&amp;"",INDEX(Avulsos!$E$6:$E$205,$C531)&amp;""))</f>
        <v/>
      </c>
      <c r="K531" s="114" t="str">
        <f aca="false">IF($E531="","",IF(IF($B531="Tema",INDEX(Temas!$E$6:$P$305,$C531,2*$D531),INDEX(Avulsos!$F$6:$F$205,$C531))&amp;""="","","✓"))</f>
        <v/>
      </c>
      <c r="L531" s="114" t="str">
        <f aca="true">IF($E531="","",IF($K531="✓","Concluído",IF($E531&lt;TODAY(),"Atrasado",IF($E531=TODAY(),"Hoje","Pendente"))))</f>
        <v/>
      </c>
      <c r="M531" s="114" t="str">
        <f aca="false">IF($E531="","",IF($K531="✓","✓ ","")&amp;IF(Config!$E$22="Sim",$H531&amp;" · ","")&amp;$F531)</f>
        <v/>
      </c>
      <c r="N531" s="114" t="str">
        <f aca="false">IF($E531="","",IFERROR(INDEX(Config!$D$15:$D$19,MATCH($I531,Config!$C$15:$C$19,0)),"OUT")&amp;IF($K531="✓","x",""))</f>
        <v/>
      </c>
      <c r="O531" s="114" t="str">
        <f aca="false">IF($E531="","",COUNTIF($E$5:$E531,$E531))</f>
        <v/>
      </c>
      <c r="P531" s="114" t="str">
        <f aca="false">IF($E531="","",$E531*100+$O531)</f>
        <v/>
      </c>
      <c r="Q531" s="114" t="str">
        <f aca="false">IF($L531="Atrasado",$E531*10000+$A531,"")</f>
        <v/>
      </c>
    </row>
    <row r="532" customFormat="false" ht="15" hidden="false" customHeight="false" outlineLevel="0" collapsed="false">
      <c r="A532" s="114" t="n">
        <f aca="false">ROW()-4</f>
        <v>528</v>
      </c>
      <c r="B532" s="114" t="str">
        <f aca="false">IF(A532&lt;=Config!$E$27*Config!$E$28,"Tema","Avulso")</f>
        <v>Tema</v>
      </c>
      <c r="C532" s="114" t="n">
        <f aca="false">IF(B532="Tema",INT((A532-1)/Config!$E$28)+1,A532-Config!$E$27*Config!$E$28)</f>
        <v>88</v>
      </c>
      <c r="D532" s="114" t="n">
        <f aca="false">IF(B532="Tema",MOD(A532-1,Config!$E$28)+1,"")</f>
        <v>6</v>
      </c>
      <c r="E532" s="115" t="str">
        <f aca="false">IF($B532="Tema",IF(ISNUMBER(INDEX(Temas!$E$6:$P$305,$C532,2*$D532-1)),INDEX(Temas!$E$6:$P$305,$C532,2*$D532-1),""),IF(ISNUMBER(INDEX(Avulsos!$B$6:$B$205,$C532)),INDEX(Avulsos!$B$6:$B$205,$C532),""))</f>
        <v/>
      </c>
      <c r="F532" s="114" t="str">
        <f aca="false">IF($E532="","",IF($B532="Tema",INDEX(Temas!$B$6:$B$305,$C532)&amp;"",INDEX(Avulsos!$C$6:$C$205,$C532)&amp;""))</f>
        <v/>
      </c>
      <c r="G532" s="114" t="str">
        <f aca="false">IF($E532="","",IF($B532="Tema",INDEX(Config!$C$6:$C$11,$D532),"Evento avulso"))</f>
        <v/>
      </c>
      <c r="H532" s="114" t="str">
        <f aca="false">IF($E532="","",IF($B532="Tema",INDEX(Config!$D$6:$D$11,$D532),IFERROR(INDEX(Config!$E$15:$E$19,MATCH($I532,Config!$C$15:$C$19,0)),"•")))</f>
        <v/>
      </c>
      <c r="I532" s="114" t="str">
        <f aca="false">IF($E532="","",IF($B532="Tema",INDEX(Config!$E$6:$E$11,$D532),IF(INDEX(Avulsos!$D$6:$D$205,$C532)&amp;""="","Outro",INDEX(Avulsos!$D$6:$D$205,$C532))))</f>
        <v/>
      </c>
      <c r="J532" s="114" t="str">
        <f aca="false">IF($E532="","",IF($B532="Tema",INDEX(Temas!$C$6:$C$305,$C532)&amp;"",INDEX(Avulsos!$E$6:$E$205,$C532)&amp;""))</f>
        <v/>
      </c>
      <c r="K532" s="114" t="str">
        <f aca="false">IF($E532="","",IF(IF($B532="Tema",INDEX(Temas!$E$6:$P$305,$C532,2*$D532),INDEX(Avulsos!$F$6:$F$205,$C532))&amp;""="","","✓"))</f>
        <v/>
      </c>
      <c r="L532" s="114" t="str">
        <f aca="true">IF($E532="","",IF($K532="✓","Concluído",IF($E532&lt;TODAY(),"Atrasado",IF($E532=TODAY(),"Hoje","Pendente"))))</f>
        <v/>
      </c>
      <c r="M532" s="114" t="str">
        <f aca="false">IF($E532="","",IF($K532="✓","✓ ","")&amp;IF(Config!$E$22="Sim",$H532&amp;" · ","")&amp;$F532)</f>
        <v/>
      </c>
      <c r="N532" s="114" t="str">
        <f aca="false">IF($E532="","",IFERROR(INDEX(Config!$D$15:$D$19,MATCH($I532,Config!$C$15:$C$19,0)),"OUT")&amp;IF($K532="✓","x",""))</f>
        <v/>
      </c>
      <c r="O532" s="114" t="str">
        <f aca="false">IF($E532="","",COUNTIF($E$5:$E532,$E532))</f>
        <v/>
      </c>
      <c r="P532" s="114" t="str">
        <f aca="false">IF($E532="","",$E532*100+$O532)</f>
        <v/>
      </c>
      <c r="Q532" s="114" t="str">
        <f aca="false">IF($L532="Atrasado",$E532*10000+$A532,"")</f>
        <v/>
      </c>
    </row>
    <row r="533" customFormat="false" ht="15" hidden="false" customHeight="false" outlineLevel="0" collapsed="false">
      <c r="A533" s="114" t="n">
        <f aca="false">ROW()-4</f>
        <v>529</v>
      </c>
      <c r="B533" s="114" t="str">
        <f aca="false">IF(A533&lt;=Config!$E$27*Config!$E$28,"Tema","Avulso")</f>
        <v>Tema</v>
      </c>
      <c r="C533" s="114" t="n">
        <f aca="false">IF(B533="Tema",INT((A533-1)/Config!$E$28)+1,A533-Config!$E$27*Config!$E$28)</f>
        <v>89</v>
      </c>
      <c r="D533" s="114" t="n">
        <f aca="false">IF(B533="Tema",MOD(A533-1,Config!$E$28)+1,"")</f>
        <v>1</v>
      </c>
      <c r="E533" s="115" t="str">
        <f aca="false">IF($B533="Tema",IF(ISNUMBER(INDEX(Temas!$E$6:$P$305,$C533,2*$D533-1)),INDEX(Temas!$E$6:$P$305,$C533,2*$D533-1),""),IF(ISNUMBER(INDEX(Avulsos!$B$6:$B$205,$C533)),INDEX(Avulsos!$B$6:$B$205,$C533),""))</f>
        <v/>
      </c>
      <c r="F533" s="114" t="str">
        <f aca="false">IF($E533="","",IF($B533="Tema",INDEX(Temas!$B$6:$B$305,$C533)&amp;"",INDEX(Avulsos!$C$6:$C$205,$C533)&amp;""))</f>
        <v/>
      </c>
      <c r="G533" s="114" t="str">
        <f aca="false">IF($E533="","",IF($B533="Tema",INDEX(Config!$C$6:$C$11,$D533),"Evento avulso"))</f>
        <v/>
      </c>
      <c r="H533" s="114" t="str">
        <f aca="false">IF($E533="","",IF($B533="Tema",INDEX(Config!$D$6:$D$11,$D533),IFERROR(INDEX(Config!$E$15:$E$19,MATCH($I533,Config!$C$15:$C$19,0)),"•")))</f>
        <v/>
      </c>
      <c r="I533" s="114" t="str">
        <f aca="false">IF($E533="","",IF($B533="Tema",INDEX(Config!$E$6:$E$11,$D533),IF(INDEX(Avulsos!$D$6:$D$205,$C533)&amp;""="","Outro",INDEX(Avulsos!$D$6:$D$205,$C533))))</f>
        <v/>
      </c>
      <c r="J533" s="114" t="str">
        <f aca="false">IF($E533="","",IF($B533="Tema",INDEX(Temas!$C$6:$C$305,$C533)&amp;"",INDEX(Avulsos!$E$6:$E$205,$C533)&amp;""))</f>
        <v/>
      </c>
      <c r="K533" s="114" t="str">
        <f aca="false">IF($E533="","",IF(IF($B533="Tema",INDEX(Temas!$E$6:$P$305,$C533,2*$D533),INDEX(Avulsos!$F$6:$F$205,$C533))&amp;""="","","✓"))</f>
        <v/>
      </c>
      <c r="L533" s="114" t="str">
        <f aca="true">IF($E533="","",IF($K533="✓","Concluído",IF($E533&lt;TODAY(),"Atrasado",IF($E533=TODAY(),"Hoje","Pendente"))))</f>
        <v/>
      </c>
      <c r="M533" s="114" t="str">
        <f aca="false">IF($E533="","",IF($K533="✓","✓ ","")&amp;IF(Config!$E$22="Sim",$H533&amp;" · ","")&amp;$F533)</f>
        <v/>
      </c>
      <c r="N533" s="114" t="str">
        <f aca="false">IF($E533="","",IFERROR(INDEX(Config!$D$15:$D$19,MATCH($I533,Config!$C$15:$C$19,0)),"OUT")&amp;IF($K533="✓","x",""))</f>
        <v/>
      </c>
      <c r="O533" s="114" t="str">
        <f aca="false">IF($E533="","",COUNTIF($E$5:$E533,$E533))</f>
        <v/>
      </c>
      <c r="P533" s="114" t="str">
        <f aca="false">IF($E533="","",$E533*100+$O533)</f>
        <v/>
      </c>
      <c r="Q533" s="114" t="str">
        <f aca="false">IF($L533="Atrasado",$E533*10000+$A533,"")</f>
        <v/>
      </c>
    </row>
    <row r="534" customFormat="false" ht="15" hidden="false" customHeight="false" outlineLevel="0" collapsed="false">
      <c r="A534" s="114" t="n">
        <f aca="false">ROW()-4</f>
        <v>530</v>
      </c>
      <c r="B534" s="114" t="str">
        <f aca="false">IF(A534&lt;=Config!$E$27*Config!$E$28,"Tema","Avulso")</f>
        <v>Tema</v>
      </c>
      <c r="C534" s="114" t="n">
        <f aca="false">IF(B534="Tema",INT((A534-1)/Config!$E$28)+1,A534-Config!$E$27*Config!$E$28)</f>
        <v>89</v>
      </c>
      <c r="D534" s="114" t="n">
        <f aca="false">IF(B534="Tema",MOD(A534-1,Config!$E$28)+1,"")</f>
        <v>2</v>
      </c>
      <c r="E534" s="115" t="str">
        <f aca="false">IF($B534="Tema",IF(ISNUMBER(INDEX(Temas!$E$6:$P$305,$C534,2*$D534-1)),INDEX(Temas!$E$6:$P$305,$C534,2*$D534-1),""),IF(ISNUMBER(INDEX(Avulsos!$B$6:$B$205,$C534)),INDEX(Avulsos!$B$6:$B$205,$C534),""))</f>
        <v/>
      </c>
      <c r="F534" s="114" t="str">
        <f aca="false">IF($E534="","",IF($B534="Tema",INDEX(Temas!$B$6:$B$305,$C534)&amp;"",INDEX(Avulsos!$C$6:$C$205,$C534)&amp;""))</f>
        <v/>
      </c>
      <c r="G534" s="114" t="str">
        <f aca="false">IF($E534="","",IF($B534="Tema",INDEX(Config!$C$6:$C$11,$D534),"Evento avulso"))</f>
        <v/>
      </c>
      <c r="H534" s="114" t="str">
        <f aca="false">IF($E534="","",IF($B534="Tema",INDEX(Config!$D$6:$D$11,$D534),IFERROR(INDEX(Config!$E$15:$E$19,MATCH($I534,Config!$C$15:$C$19,0)),"•")))</f>
        <v/>
      </c>
      <c r="I534" s="114" t="str">
        <f aca="false">IF($E534="","",IF($B534="Tema",INDEX(Config!$E$6:$E$11,$D534),IF(INDEX(Avulsos!$D$6:$D$205,$C534)&amp;""="","Outro",INDEX(Avulsos!$D$6:$D$205,$C534))))</f>
        <v/>
      </c>
      <c r="J534" s="114" t="str">
        <f aca="false">IF($E534="","",IF($B534="Tema",INDEX(Temas!$C$6:$C$305,$C534)&amp;"",INDEX(Avulsos!$E$6:$E$205,$C534)&amp;""))</f>
        <v/>
      </c>
      <c r="K534" s="114" t="str">
        <f aca="false">IF($E534="","",IF(IF($B534="Tema",INDEX(Temas!$E$6:$P$305,$C534,2*$D534),INDEX(Avulsos!$F$6:$F$205,$C534))&amp;""="","","✓"))</f>
        <v/>
      </c>
      <c r="L534" s="114" t="str">
        <f aca="true">IF($E534="","",IF($K534="✓","Concluído",IF($E534&lt;TODAY(),"Atrasado",IF($E534=TODAY(),"Hoje","Pendente"))))</f>
        <v/>
      </c>
      <c r="M534" s="114" t="str">
        <f aca="false">IF($E534="","",IF($K534="✓","✓ ","")&amp;IF(Config!$E$22="Sim",$H534&amp;" · ","")&amp;$F534)</f>
        <v/>
      </c>
      <c r="N534" s="114" t="str">
        <f aca="false">IF($E534="","",IFERROR(INDEX(Config!$D$15:$D$19,MATCH($I534,Config!$C$15:$C$19,0)),"OUT")&amp;IF($K534="✓","x",""))</f>
        <v/>
      </c>
      <c r="O534" s="114" t="str">
        <f aca="false">IF($E534="","",COUNTIF($E$5:$E534,$E534))</f>
        <v/>
      </c>
      <c r="P534" s="114" t="str">
        <f aca="false">IF($E534="","",$E534*100+$O534)</f>
        <v/>
      </c>
      <c r="Q534" s="114" t="str">
        <f aca="false">IF($L534="Atrasado",$E534*10000+$A534,"")</f>
        <v/>
      </c>
    </row>
    <row r="535" customFormat="false" ht="15" hidden="false" customHeight="false" outlineLevel="0" collapsed="false">
      <c r="A535" s="114" t="n">
        <f aca="false">ROW()-4</f>
        <v>531</v>
      </c>
      <c r="B535" s="114" t="str">
        <f aca="false">IF(A535&lt;=Config!$E$27*Config!$E$28,"Tema","Avulso")</f>
        <v>Tema</v>
      </c>
      <c r="C535" s="114" t="n">
        <f aca="false">IF(B535="Tema",INT((A535-1)/Config!$E$28)+1,A535-Config!$E$27*Config!$E$28)</f>
        <v>89</v>
      </c>
      <c r="D535" s="114" t="n">
        <f aca="false">IF(B535="Tema",MOD(A535-1,Config!$E$28)+1,"")</f>
        <v>3</v>
      </c>
      <c r="E535" s="115" t="str">
        <f aca="false">IF($B535="Tema",IF(ISNUMBER(INDEX(Temas!$E$6:$P$305,$C535,2*$D535-1)),INDEX(Temas!$E$6:$P$305,$C535,2*$D535-1),""),IF(ISNUMBER(INDEX(Avulsos!$B$6:$B$205,$C535)),INDEX(Avulsos!$B$6:$B$205,$C535),""))</f>
        <v/>
      </c>
      <c r="F535" s="114" t="str">
        <f aca="false">IF($E535="","",IF($B535="Tema",INDEX(Temas!$B$6:$B$305,$C535)&amp;"",INDEX(Avulsos!$C$6:$C$205,$C535)&amp;""))</f>
        <v/>
      </c>
      <c r="G535" s="114" t="str">
        <f aca="false">IF($E535="","",IF($B535="Tema",INDEX(Config!$C$6:$C$11,$D535),"Evento avulso"))</f>
        <v/>
      </c>
      <c r="H535" s="114" t="str">
        <f aca="false">IF($E535="","",IF($B535="Tema",INDEX(Config!$D$6:$D$11,$D535),IFERROR(INDEX(Config!$E$15:$E$19,MATCH($I535,Config!$C$15:$C$19,0)),"•")))</f>
        <v/>
      </c>
      <c r="I535" s="114" t="str">
        <f aca="false">IF($E535="","",IF($B535="Tema",INDEX(Config!$E$6:$E$11,$D535),IF(INDEX(Avulsos!$D$6:$D$205,$C535)&amp;""="","Outro",INDEX(Avulsos!$D$6:$D$205,$C535))))</f>
        <v/>
      </c>
      <c r="J535" s="114" t="str">
        <f aca="false">IF($E535="","",IF($B535="Tema",INDEX(Temas!$C$6:$C$305,$C535)&amp;"",INDEX(Avulsos!$E$6:$E$205,$C535)&amp;""))</f>
        <v/>
      </c>
      <c r="K535" s="114" t="str">
        <f aca="false">IF($E535="","",IF(IF($B535="Tema",INDEX(Temas!$E$6:$P$305,$C535,2*$D535),INDEX(Avulsos!$F$6:$F$205,$C535))&amp;""="","","✓"))</f>
        <v/>
      </c>
      <c r="L535" s="114" t="str">
        <f aca="true">IF($E535="","",IF($K535="✓","Concluído",IF($E535&lt;TODAY(),"Atrasado",IF($E535=TODAY(),"Hoje","Pendente"))))</f>
        <v/>
      </c>
      <c r="M535" s="114" t="str">
        <f aca="false">IF($E535="","",IF($K535="✓","✓ ","")&amp;IF(Config!$E$22="Sim",$H535&amp;" · ","")&amp;$F535)</f>
        <v/>
      </c>
      <c r="N535" s="114" t="str">
        <f aca="false">IF($E535="","",IFERROR(INDEX(Config!$D$15:$D$19,MATCH($I535,Config!$C$15:$C$19,0)),"OUT")&amp;IF($K535="✓","x",""))</f>
        <v/>
      </c>
      <c r="O535" s="114" t="str">
        <f aca="false">IF($E535="","",COUNTIF($E$5:$E535,$E535))</f>
        <v/>
      </c>
      <c r="P535" s="114" t="str">
        <f aca="false">IF($E535="","",$E535*100+$O535)</f>
        <v/>
      </c>
      <c r="Q535" s="114" t="str">
        <f aca="false">IF($L535="Atrasado",$E535*10000+$A535,"")</f>
        <v/>
      </c>
    </row>
    <row r="536" customFormat="false" ht="15" hidden="false" customHeight="false" outlineLevel="0" collapsed="false">
      <c r="A536" s="114" t="n">
        <f aca="false">ROW()-4</f>
        <v>532</v>
      </c>
      <c r="B536" s="114" t="str">
        <f aca="false">IF(A536&lt;=Config!$E$27*Config!$E$28,"Tema","Avulso")</f>
        <v>Tema</v>
      </c>
      <c r="C536" s="114" t="n">
        <f aca="false">IF(B536="Tema",INT((A536-1)/Config!$E$28)+1,A536-Config!$E$27*Config!$E$28)</f>
        <v>89</v>
      </c>
      <c r="D536" s="114" t="n">
        <f aca="false">IF(B536="Tema",MOD(A536-1,Config!$E$28)+1,"")</f>
        <v>4</v>
      </c>
      <c r="E536" s="115" t="str">
        <f aca="false">IF($B536="Tema",IF(ISNUMBER(INDEX(Temas!$E$6:$P$305,$C536,2*$D536-1)),INDEX(Temas!$E$6:$P$305,$C536,2*$D536-1),""),IF(ISNUMBER(INDEX(Avulsos!$B$6:$B$205,$C536)),INDEX(Avulsos!$B$6:$B$205,$C536),""))</f>
        <v/>
      </c>
      <c r="F536" s="114" t="str">
        <f aca="false">IF($E536="","",IF($B536="Tema",INDEX(Temas!$B$6:$B$305,$C536)&amp;"",INDEX(Avulsos!$C$6:$C$205,$C536)&amp;""))</f>
        <v/>
      </c>
      <c r="G536" s="114" t="str">
        <f aca="false">IF($E536="","",IF($B536="Tema",INDEX(Config!$C$6:$C$11,$D536),"Evento avulso"))</f>
        <v/>
      </c>
      <c r="H536" s="114" t="str">
        <f aca="false">IF($E536="","",IF($B536="Tema",INDEX(Config!$D$6:$D$11,$D536),IFERROR(INDEX(Config!$E$15:$E$19,MATCH($I536,Config!$C$15:$C$19,0)),"•")))</f>
        <v/>
      </c>
      <c r="I536" s="114" t="str">
        <f aca="false">IF($E536="","",IF($B536="Tema",INDEX(Config!$E$6:$E$11,$D536),IF(INDEX(Avulsos!$D$6:$D$205,$C536)&amp;""="","Outro",INDEX(Avulsos!$D$6:$D$205,$C536))))</f>
        <v/>
      </c>
      <c r="J536" s="114" t="str">
        <f aca="false">IF($E536="","",IF($B536="Tema",INDEX(Temas!$C$6:$C$305,$C536)&amp;"",INDEX(Avulsos!$E$6:$E$205,$C536)&amp;""))</f>
        <v/>
      </c>
      <c r="K536" s="114" t="str">
        <f aca="false">IF($E536="","",IF(IF($B536="Tema",INDEX(Temas!$E$6:$P$305,$C536,2*$D536),INDEX(Avulsos!$F$6:$F$205,$C536))&amp;""="","","✓"))</f>
        <v/>
      </c>
      <c r="L536" s="114" t="str">
        <f aca="true">IF($E536="","",IF($K536="✓","Concluído",IF($E536&lt;TODAY(),"Atrasado",IF($E536=TODAY(),"Hoje","Pendente"))))</f>
        <v/>
      </c>
      <c r="M536" s="114" t="str">
        <f aca="false">IF($E536="","",IF($K536="✓","✓ ","")&amp;IF(Config!$E$22="Sim",$H536&amp;" · ","")&amp;$F536)</f>
        <v/>
      </c>
      <c r="N536" s="114" t="str">
        <f aca="false">IF($E536="","",IFERROR(INDEX(Config!$D$15:$D$19,MATCH($I536,Config!$C$15:$C$19,0)),"OUT")&amp;IF($K536="✓","x",""))</f>
        <v/>
      </c>
      <c r="O536" s="114" t="str">
        <f aca="false">IF($E536="","",COUNTIF($E$5:$E536,$E536))</f>
        <v/>
      </c>
      <c r="P536" s="114" t="str">
        <f aca="false">IF($E536="","",$E536*100+$O536)</f>
        <v/>
      </c>
      <c r="Q536" s="114" t="str">
        <f aca="false">IF($L536="Atrasado",$E536*10000+$A536,"")</f>
        <v/>
      </c>
    </row>
    <row r="537" customFormat="false" ht="15" hidden="false" customHeight="false" outlineLevel="0" collapsed="false">
      <c r="A537" s="114" t="n">
        <f aca="false">ROW()-4</f>
        <v>533</v>
      </c>
      <c r="B537" s="114" t="str">
        <f aca="false">IF(A537&lt;=Config!$E$27*Config!$E$28,"Tema","Avulso")</f>
        <v>Tema</v>
      </c>
      <c r="C537" s="114" t="n">
        <f aca="false">IF(B537="Tema",INT((A537-1)/Config!$E$28)+1,A537-Config!$E$27*Config!$E$28)</f>
        <v>89</v>
      </c>
      <c r="D537" s="114" t="n">
        <f aca="false">IF(B537="Tema",MOD(A537-1,Config!$E$28)+1,"")</f>
        <v>5</v>
      </c>
      <c r="E537" s="115" t="str">
        <f aca="false">IF($B537="Tema",IF(ISNUMBER(INDEX(Temas!$E$6:$P$305,$C537,2*$D537-1)),INDEX(Temas!$E$6:$P$305,$C537,2*$D537-1),""),IF(ISNUMBER(INDEX(Avulsos!$B$6:$B$205,$C537)),INDEX(Avulsos!$B$6:$B$205,$C537),""))</f>
        <v/>
      </c>
      <c r="F537" s="114" t="str">
        <f aca="false">IF($E537="","",IF($B537="Tema",INDEX(Temas!$B$6:$B$305,$C537)&amp;"",INDEX(Avulsos!$C$6:$C$205,$C537)&amp;""))</f>
        <v/>
      </c>
      <c r="G537" s="114" t="str">
        <f aca="false">IF($E537="","",IF($B537="Tema",INDEX(Config!$C$6:$C$11,$D537),"Evento avulso"))</f>
        <v/>
      </c>
      <c r="H537" s="114" t="str">
        <f aca="false">IF($E537="","",IF($B537="Tema",INDEX(Config!$D$6:$D$11,$D537),IFERROR(INDEX(Config!$E$15:$E$19,MATCH($I537,Config!$C$15:$C$19,0)),"•")))</f>
        <v/>
      </c>
      <c r="I537" s="114" t="str">
        <f aca="false">IF($E537="","",IF($B537="Tema",INDEX(Config!$E$6:$E$11,$D537),IF(INDEX(Avulsos!$D$6:$D$205,$C537)&amp;""="","Outro",INDEX(Avulsos!$D$6:$D$205,$C537))))</f>
        <v/>
      </c>
      <c r="J537" s="114" t="str">
        <f aca="false">IF($E537="","",IF($B537="Tema",INDEX(Temas!$C$6:$C$305,$C537)&amp;"",INDEX(Avulsos!$E$6:$E$205,$C537)&amp;""))</f>
        <v/>
      </c>
      <c r="K537" s="114" t="str">
        <f aca="false">IF($E537="","",IF(IF($B537="Tema",INDEX(Temas!$E$6:$P$305,$C537,2*$D537),INDEX(Avulsos!$F$6:$F$205,$C537))&amp;""="","","✓"))</f>
        <v/>
      </c>
      <c r="L537" s="114" t="str">
        <f aca="true">IF($E537="","",IF($K537="✓","Concluído",IF($E537&lt;TODAY(),"Atrasado",IF($E537=TODAY(),"Hoje","Pendente"))))</f>
        <v/>
      </c>
      <c r="M537" s="114" t="str">
        <f aca="false">IF($E537="","",IF($K537="✓","✓ ","")&amp;IF(Config!$E$22="Sim",$H537&amp;" · ","")&amp;$F537)</f>
        <v/>
      </c>
      <c r="N537" s="114" t="str">
        <f aca="false">IF($E537="","",IFERROR(INDEX(Config!$D$15:$D$19,MATCH($I537,Config!$C$15:$C$19,0)),"OUT")&amp;IF($K537="✓","x",""))</f>
        <v/>
      </c>
      <c r="O537" s="114" t="str">
        <f aca="false">IF($E537="","",COUNTIF($E$5:$E537,$E537))</f>
        <v/>
      </c>
      <c r="P537" s="114" t="str">
        <f aca="false">IF($E537="","",$E537*100+$O537)</f>
        <v/>
      </c>
      <c r="Q537" s="114" t="str">
        <f aca="false">IF($L537="Atrasado",$E537*10000+$A537,"")</f>
        <v/>
      </c>
    </row>
    <row r="538" customFormat="false" ht="15" hidden="false" customHeight="false" outlineLevel="0" collapsed="false">
      <c r="A538" s="114" t="n">
        <f aca="false">ROW()-4</f>
        <v>534</v>
      </c>
      <c r="B538" s="114" t="str">
        <f aca="false">IF(A538&lt;=Config!$E$27*Config!$E$28,"Tema","Avulso")</f>
        <v>Tema</v>
      </c>
      <c r="C538" s="114" t="n">
        <f aca="false">IF(B538="Tema",INT((A538-1)/Config!$E$28)+1,A538-Config!$E$27*Config!$E$28)</f>
        <v>89</v>
      </c>
      <c r="D538" s="114" t="n">
        <f aca="false">IF(B538="Tema",MOD(A538-1,Config!$E$28)+1,"")</f>
        <v>6</v>
      </c>
      <c r="E538" s="115" t="str">
        <f aca="false">IF($B538="Tema",IF(ISNUMBER(INDEX(Temas!$E$6:$P$305,$C538,2*$D538-1)),INDEX(Temas!$E$6:$P$305,$C538,2*$D538-1),""),IF(ISNUMBER(INDEX(Avulsos!$B$6:$B$205,$C538)),INDEX(Avulsos!$B$6:$B$205,$C538),""))</f>
        <v/>
      </c>
      <c r="F538" s="114" t="str">
        <f aca="false">IF($E538="","",IF($B538="Tema",INDEX(Temas!$B$6:$B$305,$C538)&amp;"",INDEX(Avulsos!$C$6:$C$205,$C538)&amp;""))</f>
        <v/>
      </c>
      <c r="G538" s="114" t="str">
        <f aca="false">IF($E538="","",IF($B538="Tema",INDEX(Config!$C$6:$C$11,$D538),"Evento avulso"))</f>
        <v/>
      </c>
      <c r="H538" s="114" t="str">
        <f aca="false">IF($E538="","",IF($B538="Tema",INDEX(Config!$D$6:$D$11,$D538),IFERROR(INDEX(Config!$E$15:$E$19,MATCH($I538,Config!$C$15:$C$19,0)),"•")))</f>
        <v/>
      </c>
      <c r="I538" s="114" t="str">
        <f aca="false">IF($E538="","",IF($B538="Tema",INDEX(Config!$E$6:$E$11,$D538),IF(INDEX(Avulsos!$D$6:$D$205,$C538)&amp;""="","Outro",INDEX(Avulsos!$D$6:$D$205,$C538))))</f>
        <v/>
      </c>
      <c r="J538" s="114" t="str">
        <f aca="false">IF($E538="","",IF($B538="Tema",INDEX(Temas!$C$6:$C$305,$C538)&amp;"",INDEX(Avulsos!$E$6:$E$205,$C538)&amp;""))</f>
        <v/>
      </c>
      <c r="K538" s="114" t="str">
        <f aca="false">IF($E538="","",IF(IF($B538="Tema",INDEX(Temas!$E$6:$P$305,$C538,2*$D538),INDEX(Avulsos!$F$6:$F$205,$C538))&amp;""="","","✓"))</f>
        <v/>
      </c>
      <c r="L538" s="114" t="str">
        <f aca="true">IF($E538="","",IF($K538="✓","Concluído",IF($E538&lt;TODAY(),"Atrasado",IF($E538=TODAY(),"Hoje","Pendente"))))</f>
        <v/>
      </c>
      <c r="M538" s="114" t="str">
        <f aca="false">IF($E538="","",IF($K538="✓","✓ ","")&amp;IF(Config!$E$22="Sim",$H538&amp;" · ","")&amp;$F538)</f>
        <v/>
      </c>
      <c r="N538" s="114" t="str">
        <f aca="false">IF($E538="","",IFERROR(INDEX(Config!$D$15:$D$19,MATCH($I538,Config!$C$15:$C$19,0)),"OUT")&amp;IF($K538="✓","x",""))</f>
        <v/>
      </c>
      <c r="O538" s="114" t="str">
        <f aca="false">IF($E538="","",COUNTIF($E$5:$E538,$E538))</f>
        <v/>
      </c>
      <c r="P538" s="114" t="str">
        <f aca="false">IF($E538="","",$E538*100+$O538)</f>
        <v/>
      </c>
      <c r="Q538" s="114" t="str">
        <f aca="false">IF($L538="Atrasado",$E538*10000+$A538,"")</f>
        <v/>
      </c>
    </row>
    <row r="539" customFormat="false" ht="15" hidden="false" customHeight="false" outlineLevel="0" collapsed="false">
      <c r="A539" s="114" t="n">
        <f aca="false">ROW()-4</f>
        <v>535</v>
      </c>
      <c r="B539" s="114" t="str">
        <f aca="false">IF(A539&lt;=Config!$E$27*Config!$E$28,"Tema","Avulso")</f>
        <v>Tema</v>
      </c>
      <c r="C539" s="114" t="n">
        <f aca="false">IF(B539="Tema",INT((A539-1)/Config!$E$28)+1,A539-Config!$E$27*Config!$E$28)</f>
        <v>90</v>
      </c>
      <c r="D539" s="114" t="n">
        <f aca="false">IF(B539="Tema",MOD(A539-1,Config!$E$28)+1,"")</f>
        <v>1</v>
      </c>
      <c r="E539" s="115" t="str">
        <f aca="false">IF($B539="Tema",IF(ISNUMBER(INDEX(Temas!$E$6:$P$305,$C539,2*$D539-1)),INDEX(Temas!$E$6:$P$305,$C539,2*$D539-1),""),IF(ISNUMBER(INDEX(Avulsos!$B$6:$B$205,$C539)),INDEX(Avulsos!$B$6:$B$205,$C539),""))</f>
        <v/>
      </c>
      <c r="F539" s="114" t="str">
        <f aca="false">IF($E539="","",IF($B539="Tema",INDEX(Temas!$B$6:$B$305,$C539)&amp;"",INDEX(Avulsos!$C$6:$C$205,$C539)&amp;""))</f>
        <v/>
      </c>
      <c r="G539" s="114" t="str">
        <f aca="false">IF($E539="","",IF($B539="Tema",INDEX(Config!$C$6:$C$11,$D539),"Evento avulso"))</f>
        <v/>
      </c>
      <c r="H539" s="114" t="str">
        <f aca="false">IF($E539="","",IF($B539="Tema",INDEX(Config!$D$6:$D$11,$D539),IFERROR(INDEX(Config!$E$15:$E$19,MATCH($I539,Config!$C$15:$C$19,0)),"•")))</f>
        <v/>
      </c>
      <c r="I539" s="114" t="str">
        <f aca="false">IF($E539="","",IF($B539="Tema",INDEX(Config!$E$6:$E$11,$D539),IF(INDEX(Avulsos!$D$6:$D$205,$C539)&amp;""="","Outro",INDEX(Avulsos!$D$6:$D$205,$C539))))</f>
        <v/>
      </c>
      <c r="J539" s="114" t="str">
        <f aca="false">IF($E539="","",IF($B539="Tema",INDEX(Temas!$C$6:$C$305,$C539)&amp;"",INDEX(Avulsos!$E$6:$E$205,$C539)&amp;""))</f>
        <v/>
      </c>
      <c r="K539" s="114" t="str">
        <f aca="false">IF($E539="","",IF(IF($B539="Tema",INDEX(Temas!$E$6:$P$305,$C539,2*$D539),INDEX(Avulsos!$F$6:$F$205,$C539))&amp;""="","","✓"))</f>
        <v/>
      </c>
      <c r="L539" s="114" t="str">
        <f aca="true">IF($E539="","",IF($K539="✓","Concluído",IF($E539&lt;TODAY(),"Atrasado",IF($E539=TODAY(),"Hoje","Pendente"))))</f>
        <v/>
      </c>
      <c r="M539" s="114" t="str">
        <f aca="false">IF($E539="","",IF($K539="✓","✓ ","")&amp;IF(Config!$E$22="Sim",$H539&amp;" · ","")&amp;$F539)</f>
        <v/>
      </c>
      <c r="N539" s="114" t="str">
        <f aca="false">IF($E539="","",IFERROR(INDEX(Config!$D$15:$D$19,MATCH($I539,Config!$C$15:$C$19,0)),"OUT")&amp;IF($K539="✓","x",""))</f>
        <v/>
      </c>
      <c r="O539" s="114" t="str">
        <f aca="false">IF($E539="","",COUNTIF($E$5:$E539,$E539))</f>
        <v/>
      </c>
      <c r="P539" s="114" t="str">
        <f aca="false">IF($E539="","",$E539*100+$O539)</f>
        <v/>
      </c>
      <c r="Q539" s="114" t="str">
        <f aca="false">IF($L539="Atrasado",$E539*10000+$A539,"")</f>
        <v/>
      </c>
    </row>
    <row r="540" customFormat="false" ht="15" hidden="false" customHeight="false" outlineLevel="0" collapsed="false">
      <c r="A540" s="114" t="n">
        <f aca="false">ROW()-4</f>
        <v>536</v>
      </c>
      <c r="B540" s="114" t="str">
        <f aca="false">IF(A540&lt;=Config!$E$27*Config!$E$28,"Tema","Avulso")</f>
        <v>Tema</v>
      </c>
      <c r="C540" s="114" t="n">
        <f aca="false">IF(B540="Tema",INT((A540-1)/Config!$E$28)+1,A540-Config!$E$27*Config!$E$28)</f>
        <v>90</v>
      </c>
      <c r="D540" s="114" t="n">
        <f aca="false">IF(B540="Tema",MOD(A540-1,Config!$E$28)+1,"")</f>
        <v>2</v>
      </c>
      <c r="E540" s="115" t="str">
        <f aca="false">IF($B540="Tema",IF(ISNUMBER(INDEX(Temas!$E$6:$P$305,$C540,2*$D540-1)),INDEX(Temas!$E$6:$P$305,$C540,2*$D540-1),""),IF(ISNUMBER(INDEX(Avulsos!$B$6:$B$205,$C540)),INDEX(Avulsos!$B$6:$B$205,$C540),""))</f>
        <v/>
      </c>
      <c r="F540" s="114" t="str">
        <f aca="false">IF($E540="","",IF($B540="Tema",INDEX(Temas!$B$6:$B$305,$C540)&amp;"",INDEX(Avulsos!$C$6:$C$205,$C540)&amp;""))</f>
        <v/>
      </c>
      <c r="G540" s="114" t="str">
        <f aca="false">IF($E540="","",IF($B540="Tema",INDEX(Config!$C$6:$C$11,$D540),"Evento avulso"))</f>
        <v/>
      </c>
      <c r="H540" s="114" t="str">
        <f aca="false">IF($E540="","",IF($B540="Tema",INDEX(Config!$D$6:$D$11,$D540),IFERROR(INDEX(Config!$E$15:$E$19,MATCH($I540,Config!$C$15:$C$19,0)),"•")))</f>
        <v/>
      </c>
      <c r="I540" s="114" t="str">
        <f aca="false">IF($E540="","",IF($B540="Tema",INDEX(Config!$E$6:$E$11,$D540),IF(INDEX(Avulsos!$D$6:$D$205,$C540)&amp;""="","Outro",INDEX(Avulsos!$D$6:$D$205,$C540))))</f>
        <v/>
      </c>
      <c r="J540" s="114" t="str">
        <f aca="false">IF($E540="","",IF($B540="Tema",INDEX(Temas!$C$6:$C$305,$C540)&amp;"",INDEX(Avulsos!$E$6:$E$205,$C540)&amp;""))</f>
        <v/>
      </c>
      <c r="K540" s="114" t="str">
        <f aca="false">IF($E540="","",IF(IF($B540="Tema",INDEX(Temas!$E$6:$P$305,$C540,2*$D540),INDEX(Avulsos!$F$6:$F$205,$C540))&amp;""="","","✓"))</f>
        <v/>
      </c>
      <c r="L540" s="114" t="str">
        <f aca="true">IF($E540="","",IF($K540="✓","Concluído",IF($E540&lt;TODAY(),"Atrasado",IF($E540=TODAY(),"Hoje","Pendente"))))</f>
        <v/>
      </c>
      <c r="M540" s="114" t="str">
        <f aca="false">IF($E540="","",IF($K540="✓","✓ ","")&amp;IF(Config!$E$22="Sim",$H540&amp;" · ","")&amp;$F540)</f>
        <v/>
      </c>
      <c r="N540" s="114" t="str">
        <f aca="false">IF($E540="","",IFERROR(INDEX(Config!$D$15:$D$19,MATCH($I540,Config!$C$15:$C$19,0)),"OUT")&amp;IF($K540="✓","x",""))</f>
        <v/>
      </c>
      <c r="O540" s="114" t="str">
        <f aca="false">IF($E540="","",COUNTIF($E$5:$E540,$E540))</f>
        <v/>
      </c>
      <c r="P540" s="114" t="str">
        <f aca="false">IF($E540="","",$E540*100+$O540)</f>
        <v/>
      </c>
      <c r="Q540" s="114" t="str">
        <f aca="false">IF($L540="Atrasado",$E540*10000+$A540,"")</f>
        <v/>
      </c>
    </row>
    <row r="541" customFormat="false" ht="15" hidden="false" customHeight="false" outlineLevel="0" collapsed="false">
      <c r="A541" s="114" t="n">
        <f aca="false">ROW()-4</f>
        <v>537</v>
      </c>
      <c r="B541" s="114" t="str">
        <f aca="false">IF(A541&lt;=Config!$E$27*Config!$E$28,"Tema","Avulso")</f>
        <v>Tema</v>
      </c>
      <c r="C541" s="114" t="n">
        <f aca="false">IF(B541="Tema",INT((A541-1)/Config!$E$28)+1,A541-Config!$E$27*Config!$E$28)</f>
        <v>90</v>
      </c>
      <c r="D541" s="114" t="n">
        <f aca="false">IF(B541="Tema",MOD(A541-1,Config!$E$28)+1,"")</f>
        <v>3</v>
      </c>
      <c r="E541" s="115" t="str">
        <f aca="false">IF($B541="Tema",IF(ISNUMBER(INDEX(Temas!$E$6:$P$305,$C541,2*$D541-1)),INDEX(Temas!$E$6:$P$305,$C541,2*$D541-1),""),IF(ISNUMBER(INDEX(Avulsos!$B$6:$B$205,$C541)),INDEX(Avulsos!$B$6:$B$205,$C541),""))</f>
        <v/>
      </c>
      <c r="F541" s="114" t="str">
        <f aca="false">IF($E541="","",IF($B541="Tema",INDEX(Temas!$B$6:$B$305,$C541)&amp;"",INDEX(Avulsos!$C$6:$C$205,$C541)&amp;""))</f>
        <v/>
      </c>
      <c r="G541" s="114" t="str">
        <f aca="false">IF($E541="","",IF($B541="Tema",INDEX(Config!$C$6:$C$11,$D541),"Evento avulso"))</f>
        <v/>
      </c>
      <c r="H541" s="114" t="str">
        <f aca="false">IF($E541="","",IF($B541="Tema",INDEX(Config!$D$6:$D$11,$D541),IFERROR(INDEX(Config!$E$15:$E$19,MATCH($I541,Config!$C$15:$C$19,0)),"•")))</f>
        <v/>
      </c>
      <c r="I541" s="114" t="str">
        <f aca="false">IF($E541="","",IF($B541="Tema",INDEX(Config!$E$6:$E$11,$D541),IF(INDEX(Avulsos!$D$6:$D$205,$C541)&amp;""="","Outro",INDEX(Avulsos!$D$6:$D$205,$C541))))</f>
        <v/>
      </c>
      <c r="J541" s="114" t="str">
        <f aca="false">IF($E541="","",IF($B541="Tema",INDEX(Temas!$C$6:$C$305,$C541)&amp;"",INDEX(Avulsos!$E$6:$E$205,$C541)&amp;""))</f>
        <v/>
      </c>
      <c r="K541" s="114" t="str">
        <f aca="false">IF($E541="","",IF(IF($B541="Tema",INDEX(Temas!$E$6:$P$305,$C541,2*$D541),INDEX(Avulsos!$F$6:$F$205,$C541))&amp;""="","","✓"))</f>
        <v/>
      </c>
      <c r="L541" s="114" t="str">
        <f aca="true">IF($E541="","",IF($K541="✓","Concluído",IF($E541&lt;TODAY(),"Atrasado",IF($E541=TODAY(),"Hoje","Pendente"))))</f>
        <v/>
      </c>
      <c r="M541" s="114" t="str">
        <f aca="false">IF($E541="","",IF($K541="✓","✓ ","")&amp;IF(Config!$E$22="Sim",$H541&amp;" · ","")&amp;$F541)</f>
        <v/>
      </c>
      <c r="N541" s="114" t="str">
        <f aca="false">IF($E541="","",IFERROR(INDEX(Config!$D$15:$D$19,MATCH($I541,Config!$C$15:$C$19,0)),"OUT")&amp;IF($K541="✓","x",""))</f>
        <v/>
      </c>
      <c r="O541" s="114" t="str">
        <f aca="false">IF($E541="","",COUNTIF($E$5:$E541,$E541))</f>
        <v/>
      </c>
      <c r="P541" s="114" t="str">
        <f aca="false">IF($E541="","",$E541*100+$O541)</f>
        <v/>
      </c>
      <c r="Q541" s="114" t="str">
        <f aca="false">IF($L541="Atrasado",$E541*10000+$A541,"")</f>
        <v/>
      </c>
    </row>
    <row r="542" customFormat="false" ht="15" hidden="false" customHeight="false" outlineLevel="0" collapsed="false">
      <c r="A542" s="114" t="n">
        <f aca="false">ROW()-4</f>
        <v>538</v>
      </c>
      <c r="B542" s="114" t="str">
        <f aca="false">IF(A542&lt;=Config!$E$27*Config!$E$28,"Tema","Avulso")</f>
        <v>Tema</v>
      </c>
      <c r="C542" s="114" t="n">
        <f aca="false">IF(B542="Tema",INT((A542-1)/Config!$E$28)+1,A542-Config!$E$27*Config!$E$28)</f>
        <v>90</v>
      </c>
      <c r="D542" s="114" t="n">
        <f aca="false">IF(B542="Tema",MOD(A542-1,Config!$E$28)+1,"")</f>
        <v>4</v>
      </c>
      <c r="E542" s="115" t="str">
        <f aca="false">IF($B542="Tema",IF(ISNUMBER(INDEX(Temas!$E$6:$P$305,$C542,2*$D542-1)),INDEX(Temas!$E$6:$P$305,$C542,2*$D542-1),""),IF(ISNUMBER(INDEX(Avulsos!$B$6:$B$205,$C542)),INDEX(Avulsos!$B$6:$B$205,$C542),""))</f>
        <v/>
      </c>
      <c r="F542" s="114" t="str">
        <f aca="false">IF($E542="","",IF($B542="Tema",INDEX(Temas!$B$6:$B$305,$C542)&amp;"",INDEX(Avulsos!$C$6:$C$205,$C542)&amp;""))</f>
        <v/>
      </c>
      <c r="G542" s="114" t="str">
        <f aca="false">IF($E542="","",IF($B542="Tema",INDEX(Config!$C$6:$C$11,$D542),"Evento avulso"))</f>
        <v/>
      </c>
      <c r="H542" s="114" t="str">
        <f aca="false">IF($E542="","",IF($B542="Tema",INDEX(Config!$D$6:$D$11,$D542),IFERROR(INDEX(Config!$E$15:$E$19,MATCH($I542,Config!$C$15:$C$19,0)),"•")))</f>
        <v/>
      </c>
      <c r="I542" s="114" t="str">
        <f aca="false">IF($E542="","",IF($B542="Tema",INDEX(Config!$E$6:$E$11,$D542),IF(INDEX(Avulsos!$D$6:$D$205,$C542)&amp;""="","Outro",INDEX(Avulsos!$D$6:$D$205,$C542))))</f>
        <v/>
      </c>
      <c r="J542" s="114" t="str">
        <f aca="false">IF($E542="","",IF($B542="Tema",INDEX(Temas!$C$6:$C$305,$C542)&amp;"",INDEX(Avulsos!$E$6:$E$205,$C542)&amp;""))</f>
        <v/>
      </c>
      <c r="K542" s="114" t="str">
        <f aca="false">IF($E542="","",IF(IF($B542="Tema",INDEX(Temas!$E$6:$P$305,$C542,2*$D542),INDEX(Avulsos!$F$6:$F$205,$C542))&amp;""="","","✓"))</f>
        <v/>
      </c>
      <c r="L542" s="114" t="str">
        <f aca="true">IF($E542="","",IF($K542="✓","Concluído",IF($E542&lt;TODAY(),"Atrasado",IF($E542=TODAY(),"Hoje","Pendente"))))</f>
        <v/>
      </c>
      <c r="M542" s="114" t="str">
        <f aca="false">IF($E542="","",IF($K542="✓","✓ ","")&amp;IF(Config!$E$22="Sim",$H542&amp;" · ","")&amp;$F542)</f>
        <v/>
      </c>
      <c r="N542" s="114" t="str">
        <f aca="false">IF($E542="","",IFERROR(INDEX(Config!$D$15:$D$19,MATCH($I542,Config!$C$15:$C$19,0)),"OUT")&amp;IF($K542="✓","x",""))</f>
        <v/>
      </c>
      <c r="O542" s="114" t="str">
        <f aca="false">IF($E542="","",COUNTIF($E$5:$E542,$E542))</f>
        <v/>
      </c>
      <c r="P542" s="114" t="str">
        <f aca="false">IF($E542="","",$E542*100+$O542)</f>
        <v/>
      </c>
      <c r="Q542" s="114" t="str">
        <f aca="false">IF($L542="Atrasado",$E542*10000+$A542,"")</f>
        <v/>
      </c>
    </row>
    <row r="543" customFormat="false" ht="15" hidden="false" customHeight="false" outlineLevel="0" collapsed="false">
      <c r="A543" s="114" t="n">
        <f aca="false">ROW()-4</f>
        <v>539</v>
      </c>
      <c r="B543" s="114" t="str">
        <f aca="false">IF(A543&lt;=Config!$E$27*Config!$E$28,"Tema","Avulso")</f>
        <v>Tema</v>
      </c>
      <c r="C543" s="114" t="n">
        <f aca="false">IF(B543="Tema",INT((A543-1)/Config!$E$28)+1,A543-Config!$E$27*Config!$E$28)</f>
        <v>90</v>
      </c>
      <c r="D543" s="114" t="n">
        <f aca="false">IF(B543="Tema",MOD(A543-1,Config!$E$28)+1,"")</f>
        <v>5</v>
      </c>
      <c r="E543" s="115" t="str">
        <f aca="false">IF($B543="Tema",IF(ISNUMBER(INDEX(Temas!$E$6:$P$305,$C543,2*$D543-1)),INDEX(Temas!$E$6:$P$305,$C543,2*$D543-1),""),IF(ISNUMBER(INDEX(Avulsos!$B$6:$B$205,$C543)),INDEX(Avulsos!$B$6:$B$205,$C543),""))</f>
        <v/>
      </c>
      <c r="F543" s="114" t="str">
        <f aca="false">IF($E543="","",IF($B543="Tema",INDEX(Temas!$B$6:$B$305,$C543)&amp;"",INDEX(Avulsos!$C$6:$C$205,$C543)&amp;""))</f>
        <v/>
      </c>
      <c r="G543" s="114" t="str">
        <f aca="false">IF($E543="","",IF($B543="Tema",INDEX(Config!$C$6:$C$11,$D543),"Evento avulso"))</f>
        <v/>
      </c>
      <c r="H543" s="114" t="str">
        <f aca="false">IF($E543="","",IF($B543="Tema",INDEX(Config!$D$6:$D$11,$D543),IFERROR(INDEX(Config!$E$15:$E$19,MATCH($I543,Config!$C$15:$C$19,0)),"•")))</f>
        <v/>
      </c>
      <c r="I543" s="114" t="str">
        <f aca="false">IF($E543="","",IF($B543="Tema",INDEX(Config!$E$6:$E$11,$D543),IF(INDEX(Avulsos!$D$6:$D$205,$C543)&amp;""="","Outro",INDEX(Avulsos!$D$6:$D$205,$C543))))</f>
        <v/>
      </c>
      <c r="J543" s="114" t="str">
        <f aca="false">IF($E543="","",IF($B543="Tema",INDEX(Temas!$C$6:$C$305,$C543)&amp;"",INDEX(Avulsos!$E$6:$E$205,$C543)&amp;""))</f>
        <v/>
      </c>
      <c r="K543" s="114" t="str">
        <f aca="false">IF($E543="","",IF(IF($B543="Tema",INDEX(Temas!$E$6:$P$305,$C543,2*$D543),INDEX(Avulsos!$F$6:$F$205,$C543))&amp;""="","","✓"))</f>
        <v/>
      </c>
      <c r="L543" s="114" t="str">
        <f aca="true">IF($E543="","",IF($K543="✓","Concluído",IF($E543&lt;TODAY(),"Atrasado",IF($E543=TODAY(),"Hoje","Pendente"))))</f>
        <v/>
      </c>
      <c r="M543" s="114" t="str">
        <f aca="false">IF($E543="","",IF($K543="✓","✓ ","")&amp;IF(Config!$E$22="Sim",$H543&amp;" · ","")&amp;$F543)</f>
        <v/>
      </c>
      <c r="N543" s="114" t="str">
        <f aca="false">IF($E543="","",IFERROR(INDEX(Config!$D$15:$D$19,MATCH($I543,Config!$C$15:$C$19,0)),"OUT")&amp;IF($K543="✓","x",""))</f>
        <v/>
      </c>
      <c r="O543" s="114" t="str">
        <f aca="false">IF($E543="","",COUNTIF($E$5:$E543,$E543))</f>
        <v/>
      </c>
      <c r="P543" s="114" t="str">
        <f aca="false">IF($E543="","",$E543*100+$O543)</f>
        <v/>
      </c>
      <c r="Q543" s="114" t="str">
        <f aca="false">IF($L543="Atrasado",$E543*10000+$A543,"")</f>
        <v/>
      </c>
    </row>
    <row r="544" customFormat="false" ht="15" hidden="false" customHeight="false" outlineLevel="0" collapsed="false">
      <c r="A544" s="114" t="n">
        <f aca="false">ROW()-4</f>
        <v>540</v>
      </c>
      <c r="B544" s="114" t="str">
        <f aca="false">IF(A544&lt;=Config!$E$27*Config!$E$28,"Tema","Avulso")</f>
        <v>Tema</v>
      </c>
      <c r="C544" s="114" t="n">
        <f aca="false">IF(B544="Tema",INT((A544-1)/Config!$E$28)+1,A544-Config!$E$27*Config!$E$28)</f>
        <v>90</v>
      </c>
      <c r="D544" s="114" t="n">
        <f aca="false">IF(B544="Tema",MOD(A544-1,Config!$E$28)+1,"")</f>
        <v>6</v>
      </c>
      <c r="E544" s="115" t="str">
        <f aca="false">IF($B544="Tema",IF(ISNUMBER(INDEX(Temas!$E$6:$P$305,$C544,2*$D544-1)),INDEX(Temas!$E$6:$P$305,$C544,2*$D544-1),""),IF(ISNUMBER(INDEX(Avulsos!$B$6:$B$205,$C544)),INDEX(Avulsos!$B$6:$B$205,$C544),""))</f>
        <v/>
      </c>
      <c r="F544" s="114" t="str">
        <f aca="false">IF($E544="","",IF($B544="Tema",INDEX(Temas!$B$6:$B$305,$C544)&amp;"",INDEX(Avulsos!$C$6:$C$205,$C544)&amp;""))</f>
        <v/>
      </c>
      <c r="G544" s="114" t="str">
        <f aca="false">IF($E544="","",IF($B544="Tema",INDEX(Config!$C$6:$C$11,$D544),"Evento avulso"))</f>
        <v/>
      </c>
      <c r="H544" s="114" t="str">
        <f aca="false">IF($E544="","",IF($B544="Tema",INDEX(Config!$D$6:$D$11,$D544),IFERROR(INDEX(Config!$E$15:$E$19,MATCH($I544,Config!$C$15:$C$19,0)),"•")))</f>
        <v/>
      </c>
      <c r="I544" s="114" t="str">
        <f aca="false">IF($E544="","",IF($B544="Tema",INDEX(Config!$E$6:$E$11,$D544),IF(INDEX(Avulsos!$D$6:$D$205,$C544)&amp;""="","Outro",INDEX(Avulsos!$D$6:$D$205,$C544))))</f>
        <v/>
      </c>
      <c r="J544" s="114" t="str">
        <f aca="false">IF($E544="","",IF($B544="Tema",INDEX(Temas!$C$6:$C$305,$C544)&amp;"",INDEX(Avulsos!$E$6:$E$205,$C544)&amp;""))</f>
        <v/>
      </c>
      <c r="K544" s="114" t="str">
        <f aca="false">IF($E544="","",IF(IF($B544="Tema",INDEX(Temas!$E$6:$P$305,$C544,2*$D544),INDEX(Avulsos!$F$6:$F$205,$C544))&amp;""="","","✓"))</f>
        <v/>
      </c>
      <c r="L544" s="114" t="str">
        <f aca="true">IF($E544="","",IF($K544="✓","Concluído",IF($E544&lt;TODAY(),"Atrasado",IF($E544=TODAY(),"Hoje","Pendente"))))</f>
        <v/>
      </c>
      <c r="M544" s="114" t="str">
        <f aca="false">IF($E544="","",IF($K544="✓","✓ ","")&amp;IF(Config!$E$22="Sim",$H544&amp;" · ","")&amp;$F544)</f>
        <v/>
      </c>
      <c r="N544" s="114" t="str">
        <f aca="false">IF($E544="","",IFERROR(INDEX(Config!$D$15:$D$19,MATCH($I544,Config!$C$15:$C$19,0)),"OUT")&amp;IF($K544="✓","x",""))</f>
        <v/>
      </c>
      <c r="O544" s="114" t="str">
        <f aca="false">IF($E544="","",COUNTIF($E$5:$E544,$E544))</f>
        <v/>
      </c>
      <c r="P544" s="114" t="str">
        <f aca="false">IF($E544="","",$E544*100+$O544)</f>
        <v/>
      </c>
      <c r="Q544" s="114" t="str">
        <f aca="false">IF($L544="Atrasado",$E544*10000+$A544,"")</f>
        <v/>
      </c>
    </row>
    <row r="545" customFormat="false" ht="15" hidden="false" customHeight="false" outlineLevel="0" collapsed="false">
      <c r="A545" s="114" t="n">
        <f aca="false">ROW()-4</f>
        <v>541</v>
      </c>
      <c r="B545" s="114" t="str">
        <f aca="false">IF(A545&lt;=Config!$E$27*Config!$E$28,"Tema","Avulso")</f>
        <v>Tema</v>
      </c>
      <c r="C545" s="114" t="n">
        <f aca="false">IF(B545="Tema",INT((A545-1)/Config!$E$28)+1,A545-Config!$E$27*Config!$E$28)</f>
        <v>91</v>
      </c>
      <c r="D545" s="114" t="n">
        <f aca="false">IF(B545="Tema",MOD(A545-1,Config!$E$28)+1,"")</f>
        <v>1</v>
      </c>
      <c r="E545" s="115" t="str">
        <f aca="false">IF($B545="Tema",IF(ISNUMBER(INDEX(Temas!$E$6:$P$305,$C545,2*$D545-1)),INDEX(Temas!$E$6:$P$305,$C545,2*$D545-1),""),IF(ISNUMBER(INDEX(Avulsos!$B$6:$B$205,$C545)),INDEX(Avulsos!$B$6:$B$205,$C545),""))</f>
        <v/>
      </c>
      <c r="F545" s="114" t="str">
        <f aca="false">IF($E545="","",IF($B545="Tema",INDEX(Temas!$B$6:$B$305,$C545)&amp;"",INDEX(Avulsos!$C$6:$C$205,$C545)&amp;""))</f>
        <v/>
      </c>
      <c r="G545" s="114" t="str">
        <f aca="false">IF($E545="","",IF($B545="Tema",INDEX(Config!$C$6:$C$11,$D545),"Evento avulso"))</f>
        <v/>
      </c>
      <c r="H545" s="114" t="str">
        <f aca="false">IF($E545="","",IF($B545="Tema",INDEX(Config!$D$6:$D$11,$D545),IFERROR(INDEX(Config!$E$15:$E$19,MATCH($I545,Config!$C$15:$C$19,0)),"•")))</f>
        <v/>
      </c>
      <c r="I545" s="114" t="str">
        <f aca="false">IF($E545="","",IF($B545="Tema",INDEX(Config!$E$6:$E$11,$D545),IF(INDEX(Avulsos!$D$6:$D$205,$C545)&amp;""="","Outro",INDEX(Avulsos!$D$6:$D$205,$C545))))</f>
        <v/>
      </c>
      <c r="J545" s="114" t="str">
        <f aca="false">IF($E545="","",IF($B545="Tema",INDEX(Temas!$C$6:$C$305,$C545)&amp;"",INDEX(Avulsos!$E$6:$E$205,$C545)&amp;""))</f>
        <v/>
      </c>
      <c r="K545" s="114" t="str">
        <f aca="false">IF($E545="","",IF(IF($B545="Tema",INDEX(Temas!$E$6:$P$305,$C545,2*$D545),INDEX(Avulsos!$F$6:$F$205,$C545))&amp;""="","","✓"))</f>
        <v/>
      </c>
      <c r="L545" s="114" t="str">
        <f aca="true">IF($E545="","",IF($K545="✓","Concluído",IF($E545&lt;TODAY(),"Atrasado",IF($E545=TODAY(),"Hoje","Pendente"))))</f>
        <v/>
      </c>
      <c r="M545" s="114" t="str">
        <f aca="false">IF($E545="","",IF($K545="✓","✓ ","")&amp;IF(Config!$E$22="Sim",$H545&amp;" · ","")&amp;$F545)</f>
        <v/>
      </c>
      <c r="N545" s="114" t="str">
        <f aca="false">IF($E545="","",IFERROR(INDEX(Config!$D$15:$D$19,MATCH($I545,Config!$C$15:$C$19,0)),"OUT")&amp;IF($K545="✓","x",""))</f>
        <v/>
      </c>
      <c r="O545" s="114" t="str">
        <f aca="false">IF($E545="","",COUNTIF($E$5:$E545,$E545))</f>
        <v/>
      </c>
      <c r="P545" s="114" t="str">
        <f aca="false">IF($E545="","",$E545*100+$O545)</f>
        <v/>
      </c>
      <c r="Q545" s="114" t="str">
        <f aca="false">IF($L545="Atrasado",$E545*10000+$A545,"")</f>
        <v/>
      </c>
    </row>
    <row r="546" customFormat="false" ht="15" hidden="false" customHeight="false" outlineLevel="0" collapsed="false">
      <c r="A546" s="114" t="n">
        <f aca="false">ROW()-4</f>
        <v>542</v>
      </c>
      <c r="B546" s="114" t="str">
        <f aca="false">IF(A546&lt;=Config!$E$27*Config!$E$28,"Tema","Avulso")</f>
        <v>Tema</v>
      </c>
      <c r="C546" s="114" t="n">
        <f aca="false">IF(B546="Tema",INT((A546-1)/Config!$E$28)+1,A546-Config!$E$27*Config!$E$28)</f>
        <v>91</v>
      </c>
      <c r="D546" s="114" t="n">
        <f aca="false">IF(B546="Tema",MOD(A546-1,Config!$E$28)+1,"")</f>
        <v>2</v>
      </c>
      <c r="E546" s="115" t="str">
        <f aca="false">IF($B546="Tema",IF(ISNUMBER(INDEX(Temas!$E$6:$P$305,$C546,2*$D546-1)),INDEX(Temas!$E$6:$P$305,$C546,2*$D546-1),""),IF(ISNUMBER(INDEX(Avulsos!$B$6:$B$205,$C546)),INDEX(Avulsos!$B$6:$B$205,$C546),""))</f>
        <v/>
      </c>
      <c r="F546" s="114" t="str">
        <f aca="false">IF($E546="","",IF($B546="Tema",INDEX(Temas!$B$6:$B$305,$C546)&amp;"",INDEX(Avulsos!$C$6:$C$205,$C546)&amp;""))</f>
        <v/>
      </c>
      <c r="G546" s="114" t="str">
        <f aca="false">IF($E546="","",IF($B546="Tema",INDEX(Config!$C$6:$C$11,$D546),"Evento avulso"))</f>
        <v/>
      </c>
      <c r="H546" s="114" t="str">
        <f aca="false">IF($E546="","",IF($B546="Tema",INDEX(Config!$D$6:$D$11,$D546),IFERROR(INDEX(Config!$E$15:$E$19,MATCH($I546,Config!$C$15:$C$19,0)),"•")))</f>
        <v/>
      </c>
      <c r="I546" s="114" t="str">
        <f aca="false">IF($E546="","",IF($B546="Tema",INDEX(Config!$E$6:$E$11,$D546),IF(INDEX(Avulsos!$D$6:$D$205,$C546)&amp;""="","Outro",INDEX(Avulsos!$D$6:$D$205,$C546))))</f>
        <v/>
      </c>
      <c r="J546" s="114" t="str">
        <f aca="false">IF($E546="","",IF($B546="Tema",INDEX(Temas!$C$6:$C$305,$C546)&amp;"",INDEX(Avulsos!$E$6:$E$205,$C546)&amp;""))</f>
        <v/>
      </c>
      <c r="K546" s="114" t="str">
        <f aca="false">IF($E546="","",IF(IF($B546="Tema",INDEX(Temas!$E$6:$P$305,$C546,2*$D546),INDEX(Avulsos!$F$6:$F$205,$C546))&amp;""="","","✓"))</f>
        <v/>
      </c>
      <c r="L546" s="114" t="str">
        <f aca="true">IF($E546="","",IF($K546="✓","Concluído",IF($E546&lt;TODAY(),"Atrasado",IF($E546=TODAY(),"Hoje","Pendente"))))</f>
        <v/>
      </c>
      <c r="M546" s="114" t="str">
        <f aca="false">IF($E546="","",IF($K546="✓","✓ ","")&amp;IF(Config!$E$22="Sim",$H546&amp;" · ","")&amp;$F546)</f>
        <v/>
      </c>
      <c r="N546" s="114" t="str">
        <f aca="false">IF($E546="","",IFERROR(INDEX(Config!$D$15:$D$19,MATCH($I546,Config!$C$15:$C$19,0)),"OUT")&amp;IF($K546="✓","x",""))</f>
        <v/>
      </c>
      <c r="O546" s="114" t="str">
        <f aca="false">IF($E546="","",COUNTIF($E$5:$E546,$E546))</f>
        <v/>
      </c>
      <c r="P546" s="114" t="str">
        <f aca="false">IF($E546="","",$E546*100+$O546)</f>
        <v/>
      </c>
      <c r="Q546" s="114" t="str">
        <f aca="false">IF($L546="Atrasado",$E546*10000+$A546,"")</f>
        <v/>
      </c>
    </row>
    <row r="547" customFormat="false" ht="15" hidden="false" customHeight="false" outlineLevel="0" collapsed="false">
      <c r="A547" s="114" t="n">
        <f aca="false">ROW()-4</f>
        <v>543</v>
      </c>
      <c r="B547" s="114" t="str">
        <f aca="false">IF(A547&lt;=Config!$E$27*Config!$E$28,"Tema","Avulso")</f>
        <v>Tema</v>
      </c>
      <c r="C547" s="114" t="n">
        <f aca="false">IF(B547="Tema",INT((A547-1)/Config!$E$28)+1,A547-Config!$E$27*Config!$E$28)</f>
        <v>91</v>
      </c>
      <c r="D547" s="114" t="n">
        <f aca="false">IF(B547="Tema",MOD(A547-1,Config!$E$28)+1,"")</f>
        <v>3</v>
      </c>
      <c r="E547" s="115" t="str">
        <f aca="false">IF($B547="Tema",IF(ISNUMBER(INDEX(Temas!$E$6:$P$305,$C547,2*$D547-1)),INDEX(Temas!$E$6:$P$305,$C547,2*$D547-1),""),IF(ISNUMBER(INDEX(Avulsos!$B$6:$B$205,$C547)),INDEX(Avulsos!$B$6:$B$205,$C547),""))</f>
        <v/>
      </c>
      <c r="F547" s="114" t="str">
        <f aca="false">IF($E547="","",IF($B547="Tema",INDEX(Temas!$B$6:$B$305,$C547)&amp;"",INDEX(Avulsos!$C$6:$C$205,$C547)&amp;""))</f>
        <v/>
      </c>
      <c r="G547" s="114" t="str">
        <f aca="false">IF($E547="","",IF($B547="Tema",INDEX(Config!$C$6:$C$11,$D547),"Evento avulso"))</f>
        <v/>
      </c>
      <c r="H547" s="114" t="str">
        <f aca="false">IF($E547="","",IF($B547="Tema",INDEX(Config!$D$6:$D$11,$D547),IFERROR(INDEX(Config!$E$15:$E$19,MATCH($I547,Config!$C$15:$C$19,0)),"•")))</f>
        <v/>
      </c>
      <c r="I547" s="114" t="str">
        <f aca="false">IF($E547="","",IF($B547="Tema",INDEX(Config!$E$6:$E$11,$D547),IF(INDEX(Avulsos!$D$6:$D$205,$C547)&amp;""="","Outro",INDEX(Avulsos!$D$6:$D$205,$C547))))</f>
        <v/>
      </c>
      <c r="J547" s="114" t="str">
        <f aca="false">IF($E547="","",IF($B547="Tema",INDEX(Temas!$C$6:$C$305,$C547)&amp;"",INDEX(Avulsos!$E$6:$E$205,$C547)&amp;""))</f>
        <v/>
      </c>
      <c r="K547" s="114" t="str">
        <f aca="false">IF($E547="","",IF(IF($B547="Tema",INDEX(Temas!$E$6:$P$305,$C547,2*$D547),INDEX(Avulsos!$F$6:$F$205,$C547))&amp;""="","","✓"))</f>
        <v/>
      </c>
      <c r="L547" s="114" t="str">
        <f aca="true">IF($E547="","",IF($K547="✓","Concluído",IF($E547&lt;TODAY(),"Atrasado",IF($E547=TODAY(),"Hoje","Pendente"))))</f>
        <v/>
      </c>
      <c r="M547" s="114" t="str">
        <f aca="false">IF($E547="","",IF($K547="✓","✓ ","")&amp;IF(Config!$E$22="Sim",$H547&amp;" · ","")&amp;$F547)</f>
        <v/>
      </c>
      <c r="N547" s="114" t="str">
        <f aca="false">IF($E547="","",IFERROR(INDEX(Config!$D$15:$D$19,MATCH($I547,Config!$C$15:$C$19,0)),"OUT")&amp;IF($K547="✓","x",""))</f>
        <v/>
      </c>
      <c r="O547" s="114" t="str">
        <f aca="false">IF($E547="","",COUNTIF($E$5:$E547,$E547))</f>
        <v/>
      </c>
      <c r="P547" s="114" t="str">
        <f aca="false">IF($E547="","",$E547*100+$O547)</f>
        <v/>
      </c>
      <c r="Q547" s="114" t="str">
        <f aca="false">IF($L547="Atrasado",$E547*10000+$A547,"")</f>
        <v/>
      </c>
    </row>
    <row r="548" customFormat="false" ht="15" hidden="false" customHeight="false" outlineLevel="0" collapsed="false">
      <c r="A548" s="114" t="n">
        <f aca="false">ROW()-4</f>
        <v>544</v>
      </c>
      <c r="B548" s="114" t="str">
        <f aca="false">IF(A548&lt;=Config!$E$27*Config!$E$28,"Tema","Avulso")</f>
        <v>Tema</v>
      </c>
      <c r="C548" s="114" t="n">
        <f aca="false">IF(B548="Tema",INT((A548-1)/Config!$E$28)+1,A548-Config!$E$27*Config!$E$28)</f>
        <v>91</v>
      </c>
      <c r="D548" s="114" t="n">
        <f aca="false">IF(B548="Tema",MOD(A548-1,Config!$E$28)+1,"")</f>
        <v>4</v>
      </c>
      <c r="E548" s="115" t="str">
        <f aca="false">IF($B548="Tema",IF(ISNUMBER(INDEX(Temas!$E$6:$P$305,$C548,2*$D548-1)),INDEX(Temas!$E$6:$P$305,$C548,2*$D548-1),""),IF(ISNUMBER(INDEX(Avulsos!$B$6:$B$205,$C548)),INDEX(Avulsos!$B$6:$B$205,$C548),""))</f>
        <v/>
      </c>
      <c r="F548" s="114" t="str">
        <f aca="false">IF($E548="","",IF($B548="Tema",INDEX(Temas!$B$6:$B$305,$C548)&amp;"",INDEX(Avulsos!$C$6:$C$205,$C548)&amp;""))</f>
        <v/>
      </c>
      <c r="G548" s="114" t="str">
        <f aca="false">IF($E548="","",IF($B548="Tema",INDEX(Config!$C$6:$C$11,$D548),"Evento avulso"))</f>
        <v/>
      </c>
      <c r="H548" s="114" t="str">
        <f aca="false">IF($E548="","",IF($B548="Tema",INDEX(Config!$D$6:$D$11,$D548),IFERROR(INDEX(Config!$E$15:$E$19,MATCH($I548,Config!$C$15:$C$19,0)),"•")))</f>
        <v/>
      </c>
      <c r="I548" s="114" t="str">
        <f aca="false">IF($E548="","",IF($B548="Tema",INDEX(Config!$E$6:$E$11,$D548),IF(INDEX(Avulsos!$D$6:$D$205,$C548)&amp;""="","Outro",INDEX(Avulsos!$D$6:$D$205,$C548))))</f>
        <v/>
      </c>
      <c r="J548" s="114" t="str">
        <f aca="false">IF($E548="","",IF($B548="Tema",INDEX(Temas!$C$6:$C$305,$C548)&amp;"",INDEX(Avulsos!$E$6:$E$205,$C548)&amp;""))</f>
        <v/>
      </c>
      <c r="K548" s="114" t="str">
        <f aca="false">IF($E548="","",IF(IF($B548="Tema",INDEX(Temas!$E$6:$P$305,$C548,2*$D548),INDEX(Avulsos!$F$6:$F$205,$C548))&amp;""="","","✓"))</f>
        <v/>
      </c>
      <c r="L548" s="114" t="str">
        <f aca="true">IF($E548="","",IF($K548="✓","Concluído",IF($E548&lt;TODAY(),"Atrasado",IF($E548=TODAY(),"Hoje","Pendente"))))</f>
        <v/>
      </c>
      <c r="M548" s="114" t="str">
        <f aca="false">IF($E548="","",IF($K548="✓","✓ ","")&amp;IF(Config!$E$22="Sim",$H548&amp;" · ","")&amp;$F548)</f>
        <v/>
      </c>
      <c r="N548" s="114" t="str">
        <f aca="false">IF($E548="","",IFERROR(INDEX(Config!$D$15:$D$19,MATCH($I548,Config!$C$15:$C$19,0)),"OUT")&amp;IF($K548="✓","x",""))</f>
        <v/>
      </c>
      <c r="O548" s="114" t="str">
        <f aca="false">IF($E548="","",COUNTIF($E$5:$E548,$E548))</f>
        <v/>
      </c>
      <c r="P548" s="114" t="str">
        <f aca="false">IF($E548="","",$E548*100+$O548)</f>
        <v/>
      </c>
      <c r="Q548" s="114" t="str">
        <f aca="false">IF($L548="Atrasado",$E548*10000+$A548,"")</f>
        <v/>
      </c>
    </row>
    <row r="549" customFormat="false" ht="15" hidden="false" customHeight="false" outlineLevel="0" collapsed="false">
      <c r="A549" s="114" t="n">
        <f aca="false">ROW()-4</f>
        <v>545</v>
      </c>
      <c r="B549" s="114" t="str">
        <f aca="false">IF(A549&lt;=Config!$E$27*Config!$E$28,"Tema","Avulso")</f>
        <v>Tema</v>
      </c>
      <c r="C549" s="114" t="n">
        <f aca="false">IF(B549="Tema",INT((A549-1)/Config!$E$28)+1,A549-Config!$E$27*Config!$E$28)</f>
        <v>91</v>
      </c>
      <c r="D549" s="114" t="n">
        <f aca="false">IF(B549="Tema",MOD(A549-1,Config!$E$28)+1,"")</f>
        <v>5</v>
      </c>
      <c r="E549" s="115" t="str">
        <f aca="false">IF($B549="Tema",IF(ISNUMBER(INDEX(Temas!$E$6:$P$305,$C549,2*$D549-1)),INDEX(Temas!$E$6:$P$305,$C549,2*$D549-1),""),IF(ISNUMBER(INDEX(Avulsos!$B$6:$B$205,$C549)),INDEX(Avulsos!$B$6:$B$205,$C549),""))</f>
        <v/>
      </c>
      <c r="F549" s="114" t="str">
        <f aca="false">IF($E549="","",IF($B549="Tema",INDEX(Temas!$B$6:$B$305,$C549)&amp;"",INDEX(Avulsos!$C$6:$C$205,$C549)&amp;""))</f>
        <v/>
      </c>
      <c r="G549" s="114" t="str">
        <f aca="false">IF($E549="","",IF($B549="Tema",INDEX(Config!$C$6:$C$11,$D549),"Evento avulso"))</f>
        <v/>
      </c>
      <c r="H549" s="114" t="str">
        <f aca="false">IF($E549="","",IF($B549="Tema",INDEX(Config!$D$6:$D$11,$D549),IFERROR(INDEX(Config!$E$15:$E$19,MATCH($I549,Config!$C$15:$C$19,0)),"•")))</f>
        <v/>
      </c>
      <c r="I549" s="114" t="str">
        <f aca="false">IF($E549="","",IF($B549="Tema",INDEX(Config!$E$6:$E$11,$D549),IF(INDEX(Avulsos!$D$6:$D$205,$C549)&amp;""="","Outro",INDEX(Avulsos!$D$6:$D$205,$C549))))</f>
        <v/>
      </c>
      <c r="J549" s="114" t="str">
        <f aca="false">IF($E549="","",IF($B549="Tema",INDEX(Temas!$C$6:$C$305,$C549)&amp;"",INDEX(Avulsos!$E$6:$E$205,$C549)&amp;""))</f>
        <v/>
      </c>
      <c r="K549" s="114" t="str">
        <f aca="false">IF($E549="","",IF(IF($B549="Tema",INDEX(Temas!$E$6:$P$305,$C549,2*$D549),INDEX(Avulsos!$F$6:$F$205,$C549))&amp;""="","","✓"))</f>
        <v/>
      </c>
      <c r="L549" s="114" t="str">
        <f aca="true">IF($E549="","",IF($K549="✓","Concluído",IF($E549&lt;TODAY(),"Atrasado",IF($E549=TODAY(),"Hoje","Pendente"))))</f>
        <v/>
      </c>
      <c r="M549" s="114" t="str">
        <f aca="false">IF($E549="","",IF($K549="✓","✓ ","")&amp;IF(Config!$E$22="Sim",$H549&amp;" · ","")&amp;$F549)</f>
        <v/>
      </c>
      <c r="N549" s="114" t="str">
        <f aca="false">IF($E549="","",IFERROR(INDEX(Config!$D$15:$D$19,MATCH($I549,Config!$C$15:$C$19,0)),"OUT")&amp;IF($K549="✓","x",""))</f>
        <v/>
      </c>
      <c r="O549" s="114" t="str">
        <f aca="false">IF($E549="","",COUNTIF($E$5:$E549,$E549))</f>
        <v/>
      </c>
      <c r="P549" s="114" t="str">
        <f aca="false">IF($E549="","",$E549*100+$O549)</f>
        <v/>
      </c>
      <c r="Q549" s="114" t="str">
        <f aca="false">IF($L549="Atrasado",$E549*10000+$A549,"")</f>
        <v/>
      </c>
    </row>
    <row r="550" customFormat="false" ht="15" hidden="false" customHeight="false" outlineLevel="0" collapsed="false">
      <c r="A550" s="114" t="n">
        <f aca="false">ROW()-4</f>
        <v>546</v>
      </c>
      <c r="B550" s="114" t="str">
        <f aca="false">IF(A550&lt;=Config!$E$27*Config!$E$28,"Tema","Avulso")</f>
        <v>Tema</v>
      </c>
      <c r="C550" s="114" t="n">
        <f aca="false">IF(B550="Tema",INT((A550-1)/Config!$E$28)+1,A550-Config!$E$27*Config!$E$28)</f>
        <v>91</v>
      </c>
      <c r="D550" s="114" t="n">
        <f aca="false">IF(B550="Tema",MOD(A550-1,Config!$E$28)+1,"")</f>
        <v>6</v>
      </c>
      <c r="E550" s="115" t="str">
        <f aca="false">IF($B550="Tema",IF(ISNUMBER(INDEX(Temas!$E$6:$P$305,$C550,2*$D550-1)),INDEX(Temas!$E$6:$P$305,$C550,2*$D550-1),""),IF(ISNUMBER(INDEX(Avulsos!$B$6:$B$205,$C550)),INDEX(Avulsos!$B$6:$B$205,$C550),""))</f>
        <v/>
      </c>
      <c r="F550" s="114" t="str">
        <f aca="false">IF($E550="","",IF($B550="Tema",INDEX(Temas!$B$6:$B$305,$C550)&amp;"",INDEX(Avulsos!$C$6:$C$205,$C550)&amp;""))</f>
        <v/>
      </c>
      <c r="G550" s="114" t="str">
        <f aca="false">IF($E550="","",IF($B550="Tema",INDEX(Config!$C$6:$C$11,$D550),"Evento avulso"))</f>
        <v/>
      </c>
      <c r="H550" s="114" t="str">
        <f aca="false">IF($E550="","",IF($B550="Tema",INDEX(Config!$D$6:$D$11,$D550),IFERROR(INDEX(Config!$E$15:$E$19,MATCH($I550,Config!$C$15:$C$19,0)),"•")))</f>
        <v/>
      </c>
      <c r="I550" s="114" t="str">
        <f aca="false">IF($E550="","",IF($B550="Tema",INDEX(Config!$E$6:$E$11,$D550),IF(INDEX(Avulsos!$D$6:$D$205,$C550)&amp;""="","Outro",INDEX(Avulsos!$D$6:$D$205,$C550))))</f>
        <v/>
      </c>
      <c r="J550" s="114" t="str">
        <f aca="false">IF($E550="","",IF($B550="Tema",INDEX(Temas!$C$6:$C$305,$C550)&amp;"",INDEX(Avulsos!$E$6:$E$205,$C550)&amp;""))</f>
        <v/>
      </c>
      <c r="K550" s="114" t="str">
        <f aca="false">IF($E550="","",IF(IF($B550="Tema",INDEX(Temas!$E$6:$P$305,$C550,2*$D550),INDEX(Avulsos!$F$6:$F$205,$C550))&amp;""="","","✓"))</f>
        <v/>
      </c>
      <c r="L550" s="114" t="str">
        <f aca="true">IF($E550="","",IF($K550="✓","Concluído",IF($E550&lt;TODAY(),"Atrasado",IF($E550=TODAY(),"Hoje","Pendente"))))</f>
        <v/>
      </c>
      <c r="M550" s="114" t="str">
        <f aca="false">IF($E550="","",IF($K550="✓","✓ ","")&amp;IF(Config!$E$22="Sim",$H550&amp;" · ","")&amp;$F550)</f>
        <v/>
      </c>
      <c r="N550" s="114" t="str">
        <f aca="false">IF($E550="","",IFERROR(INDEX(Config!$D$15:$D$19,MATCH($I550,Config!$C$15:$C$19,0)),"OUT")&amp;IF($K550="✓","x",""))</f>
        <v/>
      </c>
      <c r="O550" s="114" t="str">
        <f aca="false">IF($E550="","",COUNTIF($E$5:$E550,$E550))</f>
        <v/>
      </c>
      <c r="P550" s="114" t="str">
        <f aca="false">IF($E550="","",$E550*100+$O550)</f>
        <v/>
      </c>
      <c r="Q550" s="114" t="str">
        <f aca="false">IF($L550="Atrasado",$E550*10000+$A550,"")</f>
        <v/>
      </c>
    </row>
    <row r="551" customFormat="false" ht="15" hidden="false" customHeight="false" outlineLevel="0" collapsed="false">
      <c r="A551" s="114" t="n">
        <f aca="false">ROW()-4</f>
        <v>547</v>
      </c>
      <c r="B551" s="114" t="str">
        <f aca="false">IF(A551&lt;=Config!$E$27*Config!$E$28,"Tema","Avulso")</f>
        <v>Tema</v>
      </c>
      <c r="C551" s="114" t="n">
        <f aca="false">IF(B551="Tema",INT((A551-1)/Config!$E$28)+1,A551-Config!$E$27*Config!$E$28)</f>
        <v>92</v>
      </c>
      <c r="D551" s="114" t="n">
        <f aca="false">IF(B551="Tema",MOD(A551-1,Config!$E$28)+1,"")</f>
        <v>1</v>
      </c>
      <c r="E551" s="115" t="str">
        <f aca="false">IF($B551="Tema",IF(ISNUMBER(INDEX(Temas!$E$6:$P$305,$C551,2*$D551-1)),INDEX(Temas!$E$6:$P$305,$C551,2*$D551-1),""),IF(ISNUMBER(INDEX(Avulsos!$B$6:$B$205,$C551)),INDEX(Avulsos!$B$6:$B$205,$C551),""))</f>
        <v/>
      </c>
      <c r="F551" s="114" t="str">
        <f aca="false">IF($E551="","",IF($B551="Tema",INDEX(Temas!$B$6:$B$305,$C551)&amp;"",INDEX(Avulsos!$C$6:$C$205,$C551)&amp;""))</f>
        <v/>
      </c>
      <c r="G551" s="114" t="str">
        <f aca="false">IF($E551="","",IF($B551="Tema",INDEX(Config!$C$6:$C$11,$D551),"Evento avulso"))</f>
        <v/>
      </c>
      <c r="H551" s="114" t="str">
        <f aca="false">IF($E551="","",IF($B551="Tema",INDEX(Config!$D$6:$D$11,$D551),IFERROR(INDEX(Config!$E$15:$E$19,MATCH($I551,Config!$C$15:$C$19,0)),"•")))</f>
        <v/>
      </c>
      <c r="I551" s="114" t="str">
        <f aca="false">IF($E551="","",IF($B551="Tema",INDEX(Config!$E$6:$E$11,$D551),IF(INDEX(Avulsos!$D$6:$D$205,$C551)&amp;""="","Outro",INDEX(Avulsos!$D$6:$D$205,$C551))))</f>
        <v/>
      </c>
      <c r="J551" s="114" t="str">
        <f aca="false">IF($E551="","",IF($B551="Tema",INDEX(Temas!$C$6:$C$305,$C551)&amp;"",INDEX(Avulsos!$E$6:$E$205,$C551)&amp;""))</f>
        <v/>
      </c>
      <c r="K551" s="114" t="str">
        <f aca="false">IF($E551="","",IF(IF($B551="Tema",INDEX(Temas!$E$6:$P$305,$C551,2*$D551),INDEX(Avulsos!$F$6:$F$205,$C551))&amp;""="","","✓"))</f>
        <v/>
      </c>
      <c r="L551" s="114" t="str">
        <f aca="true">IF($E551="","",IF($K551="✓","Concluído",IF($E551&lt;TODAY(),"Atrasado",IF($E551=TODAY(),"Hoje","Pendente"))))</f>
        <v/>
      </c>
      <c r="M551" s="114" t="str">
        <f aca="false">IF($E551="","",IF($K551="✓","✓ ","")&amp;IF(Config!$E$22="Sim",$H551&amp;" · ","")&amp;$F551)</f>
        <v/>
      </c>
      <c r="N551" s="114" t="str">
        <f aca="false">IF($E551="","",IFERROR(INDEX(Config!$D$15:$D$19,MATCH($I551,Config!$C$15:$C$19,0)),"OUT")&amp;IF($K551="✓","x",""))</f>
        <v/>
      </c>
      <c r="O551" s="114" t="str">
        <f aca="false">IF($E551="","",COUNTIF($E$5:$E551,$E551))</f>
        <v/>
      </c>
      <c r="P551" s="114" t="str">
        <f aca="false">IF($E551="","",$E551*100+$O551)</f>
        <v/>
      </c>
      <c r="Q551" s="114" t="str">
        <f aca="false">IF($L551="Atrasado",$E551*10000+$A551,"")</f>
        <v/>
      </c>
    </row>
    <row r="552" customFormat="false" ht="15" hidden="false" customHeight="false" outlineLevel="0" collapsed="false">
      <c r="A552" s="114" t="n">
        <f aca="false">ROW()-4</f>
        <v>548</v>
      </c>
      <c r="B552" s="114" t="str">
        <f aca="false">IF(A552&lt;=Config!$E$27*Config!$E$28,"Tema","Avulso")</f>
        <v>Tema</v>
      </c>
      <c r="C552" s="114" t="n">
        <f aca="false">IF(B552="Tema",INT((A552-1)/Config!$E$28)+1,A552-Config!$E$27*Config!$E$28)</f>
        <v>92</v>
      </c>
      <c r="D552" s="114" t="n">
        <f aca="false">IF(B552="Tema",MOD(A552-1,Config!$E$28)+1,"")</f>
        <v>2</v>
      </c>
      <c r="E552" s="115" t="str">
        <f aca="false">IF($B552="Tema",IF(ISNUMBER(INDEX(Temas!$E$6:$P$305,$C552,2*$D552-1)),INDEX(Temas!$E$6:$P$305,$C552,2*$D552-1),""),IF(ISNUMBER(INDEX(Avulsos!$B$6:$B$205,$C552)),INDEX(Avulsos!$B$6:$B$205,$C552),""))</f>
        <v/>
      </c>
      <c r="F552" s="114" t="str">
        <f aca="false">IF($E552="","",IF($B552="Tema",INDEX(Temas!$B$6:$B$305,$C552)&amp;"",INDEX(Avulsos!$C$6:$C$205,$C552)&amp;""))</f>
        <v/>
      </c>
      <c r="G552" s="114" t="str">
        <f aca="false">IF($E552="","",IF($B552="Tema",INDEX(Config!$C$6:$C$11,$D552),"Evento avulso"))</f>
        <v/>
      </c>
      <c r="H552" s="114" t="str">
        <f aca="false">IF($E552="","",IF($B552="Tema",INDEX(Config!$D$6:$D$11,$D552),IFERROR(INDEX(Config!$E$15:$E$19,MATCH($I552,Config!$C$15:$C$19,0)),"•")))</f>
        <v/>
      </c>
      <c r="I552" s="114" t="str">
        <f aca="false">IF($E552="","",IF($B552="Tema",INDEX(Config!$E$6:$E$11,$D552),IF(INDEX(Avulsos!$D$6:$D$205,$C552)&amp;""="","Outro",INDEX(Avulsos!$D$6:$D$205,$C552))))</f>
        <v/>
      </c>
      <c r="J552" s="114" t="str">
        <f aca="false">IF($E552="","",IF($B552="Tema",INDEX(Temas!$C$6:$C$305,$C552)&amp;"",INDEX(Avulsos!$E$6:$E$205,$C552)&amp;""))</f>
        <v/>
      </c>
      <c r="K552" s="114" t="str">
        <f aca="false">IF($E552="","",IF(IF($B552="Tema",INDEX(Temas!$E$6:$P$305,$C552,2*$D552),INDEX(Avulsos!$F$6:$F$205,$C552))&amp;""="","","✓"))</f>
        <v/>
      </c>
      <c r="L552" s="114" t="str">
        <f aca="true">IF($E552="","",IF($K552="✓","Concluído",IF($E552&lt;TODAY(),"Atrasado",IF($E552=TODAY(),"Hoje","Pendente"))))</f>
        <v/>
      </c>
      <c r="M552" s="114" t="str">
        <f aca="false">IF($E552="","",IF($K552="✓","✓ ","")&amp;IF(Config!$E$22="Sim",$H552&amp;" · ","")&amp;$F552)</f>
        <v/>
      </c>
      <c r="N552" s="114" t="str">
        <f aca="false">IF($E552="","",IFERROR(INDEX(Config!$D$15:$D$19,MATCH($I552,Config!$C$15:$C$19,0)),"OUT")&amp;IF($K552="✓","x",""))</f>
        <v/>
      </c>
      <c r="O552" s="114" t="str">
        <f aca="false">IF($E552="","",COUNTIF($E$5:$E552,$E552))</f>
        <v/>
      </c>
      <c r="P552" s="114" t="str">
        <f aca="false">IF($E552="","",$E552*100+$O552)</f>
        <v/>
      </c>
      <c r="Q552" s="114" t="str">
        <f aca="false">IF($L552="Atrasado",$E552*10000+$A552,"")</f>
        <v/>
      </c>
    </row>
    <row r="553" customFormat="false" ht="15" hidden="false" customHeight="false" outlineLevel="0" collapsed="false">
      <c r="A553" s="114" t="n">
        <f aca="false">ROW()-4</f>
        <v>549</v>
      </c>
      <c r="B553" s="114" t="str">
        <f aca="false">IF(A553&lt;=Config!$E$27*Config!$E$28,"Tema","Avulso")</f>
        <v>Tema</v>
      </c>
      <c r="C553" s="114" t="n">
        <f aca="false">IF(B553="Tema",INT((A553-1)/Config!$E$28)+1,A553-Config!$E$27*Config!$E$28)</f>
        <v>92</v>
      </c>
      <c r="D553" s="114" t="n">
        <f aca="false">IF(B553="Tema",MOD(A553-1,Config!$E$28)+1,"")</f>
        <v>3</v>
      </c>
      <c r="E553" s="115" t="str">
        <f aca="false">IF($B553="Tema",IF(ISNUMBER(INDEX(Temas!$E$6:$P$305,$C553,2*$D553-1)),INDEX(Temas!$E$6:$P$305,$C553,2*$D553-1),""),IF(ISNUMBER(INDEX(Avulsos!$B$6:$B$205,$C553)),INDEX(Avulsos!$B$6:$B$205,$C553),""))</f>
        <v/>
      </c>
      <c r="F553" s="114" t="str">
        <f aca="false">IF($E553="","",IF($B553="Tema",INDEX(Temas!$B$6:$B$305,$C553)&amp;"",INDEX(Avulsos!$C$6:$C$205,$C553)&amp;""))</f>
        <v/>
      </c>
      <c r="G553" s="114" t="str">
        <f aca="false">IF($E553="","",IF($B553="Tema",INDEX(Config!$C$6:$C$11,$D553),"Evento avulso"))</f>
        <v/>
      </c>
      <c r="H553" s="114" t="str">
        <f aca="false">IF($E553="","",IF($B553="Tema",INDEX(Config!$D$6:$D$11,$D553),IFERROR(INDEX(Config!$E$15:$E$19,MATCH($I553,Config!$C$15:$C$19,0)),"•")))</f>
        <v/>
      </c>
      <c r="I553" s="114" t="str">
        <f aca="false">IF($E553="","",IF($B553="Tema",INDEX(Config!$E$6:$E$11,$D553),IF(INDEX(Avulsos!$D$6:$D$205,$C553)&amp;""="","Outro",INDEX(Avulsos!$D$6:$D$205,$C553))))</f>
        <v/>
      </c>
      <c r="J553" s="114" t="str">
        <f aca="false">IF($E553="","",IF($B553="Tema",INDEX(Temas!$C$6:$C$305,$C553)&amp;"",INDEX(Avulsos!$E$6:$E$205,$C553)&amp;""))</f>
        <v/>
      </c>
      <c r="K553" s="114" t="str">
        <f aca="false">IF($E553="","",IF(IF($B553="Tema",INDEX(Temas!$E$6:$P$305,$C553,2*$D553),INDEX(Avulsos!$F$6:$F$205,$C553))&amp;""="","","✓"))</f>
        <v/>
      </c>
      <c r="L553" s="114" t="str">
        <f aca="true">IF($E553="","",IF($K553="✓","Concluído",IF($E553&lt;TODAY(),"Atrasado",IF($E553=TODAY(),"Hoje","Pendente"))))</f>
        <v/>
      </c>
      <c r="M553" s="114" t="str">
        <f aca="false">IF($E553="","",IF($K553="✓","✓ ","")&amp;IF(Config!$E$22="Sim",$H553&amp;" · ","")&amp;$F553)</f>
        <v/>
      </c>
      <c r="N553" s="114" t="str">
        <f aca="false">IF($E553="","",IFERROR(INDEX(Config!$D$15:$D$19,MATCH($I553,Config!$C$15:$C$19,0)),"OUT")&amp;IF($K553="✓","x",""))</f>
        <v/>
      </c>
      <c r="O553" s="114" t="str">
        <f aca="false">IF($E553="","",COUNTIF($E$5:$E553,$E553))</f>
        <v/>
      </c>
      <c r="P553" s="114" t="str">
        <f aca="false">IF($E553="","",$E553*100+$O553)</f>
        <v/>
      </c>
      <c r="Q553" s="114" t="str">
        <f aca="false">IF($L553="Atrasado",$E553*10000+$A553,"")</f>
        <v/>
      </c>
    </row>
    <row r="554" customFormat="false" ht="15" hidden="false" customHeight="false" outlineLevel="0" collapsed="false">
      <c r="A554" s="114" t="n">
        <f aca="false">ROW()-4</f>
        <v>550</v>
      </c>
      <c r="B554" s="114" t="str">
        <f aca="false">IF(A554&lt;=Config!$E$27*Config!$E$28,"Tema","Avulso")</f>
        <v>Tema</v>
      </c>
      <c r="C554" s="114" t="n">
        <f aca="false">IF(B554="Tema",INT((A554-1)/Config!$E$28)+1,A554-Config!$E$27*Config!$E$28)</f>
        <v>92</v>
      </c>
      <c r="D554" s="114" t="n">
        <f aca="false">IF(B554="Tema",MOD(A554-1,Config!$E$28)+1,"")</f>
        <v>4</v>
      </c>
      <c r="E554" s="115" t="str">
        <f aca="false">IF($B554="Tema",IF(ISNUMBER(INDEX(Temas!$E$6:$P$305,$C554,2*$D554-1)),INDEX(Temas!$E$6:$P$305,$C554,2*$D554-1),""),IF(ISNUMBER(INDEX(Avulsos!$B$6:$B$205,$C554)),INDEX(Avulsos!$B$6:$B$205,$C554),""))</f>
        <v/>
      </c>
      <c r="F554" s="114" t="str">
        <f aca="false">IF($E554="","",IF($B554="Tema",INDEX(Temas!$B$6:$B$305,$C554)&amp;"",INDEX(Avulsos!$C$6:$C$205,$C554)&amp;""))</f>
        <v/>
      </c>
      <c r="G554" s="114" t="str">
        <f aca="false">IF($E554="","",IF($B554="Tema",INDEX(Config!$C$6:$C$11,$D554),"Evento avulso"))</f>
        <v/>
      </c>
      <c r="H554" s="114" t="str">
        <f aca="false">IF($E554="","",IF($B554="Tema",INDEX(Config!$D$6:$D$11,$D554),IFERROR(INDEX(Config!$E$15:$E$19,MATCH($I554,Config!$C$15:$C$19,0)),"•")))</f>
        <v/>
      </c>
      <c r="I554" s="114" t="str">
        <f aca="false">IF($E554="","",IF($B554="Tema",INDEX(Config!$E$6:$E$11,$D554),IF(INDEX(Avulsos!$D$6:$D$205,$C554)&amp;""="","Outro",INDEX(Avulsos!$D$6:$D$205,$C554))))</f>
        <v/>
      </c>
      <c r="J554" s="114" t="str">
        <f aca="false">IF($E554="","",IF($B554="Tema",INDEX(Temas!$C$6:$C$305,$C554)&amp;"",INDEX(Avulsos!$E$6:$E$205,$C554)&amp;""))</f>
        <v/>
      </c>
      <c r="K554" s="114" t="str">
        <f aca="false">IF($E554="","",IF(IF($B554="Tema",INDEX(Temas!$E$6:$P$305,$C554,2*$D554),INDEX(Avulsos!$F$6:$F$205,$C554))&amp;""="","","✓"))</f>
        <v/>
      </c>
      <c r="L554" s="114" t="str">
        <f aca="true">IF($E554="","",IF($K554="✓","Concluído",IF($E554&lt;TODAY(),"Atrasado",IF($E554=TODAY(),"Hoje","Pendente"))))</f>
        <v/>
      </c>
      <c r="M554" s="114" t="str">
        <f aca="false">IF($E554="","",IF($K554="✓","✓ ","")&amp;IF(Config!$E$22="Sim",$H554&amp;" · ","")&amp;$F554)</f>
        <v/>
      </c>
      <c r="N554" s="114" t="str">
        <f aca="false">IF($E554="","",IFERROR(INDEX(Config!$D$15:$D$19,MATCH($I554,Config!$C$15:$C$19,0)),"OUT")&amp;IF($K554="✓","x",""))</f>
        <v/>
      </c>
      <c r="O554" s="114" t="str">
        <f aca="false">IF($E554="","",COUNTIF($E$5:$E554,$E554))</f>
        <v/>
      </c>
      <c r="P554" s="114" t="str">
        <f aca="false">IF($E554="","",$E554*100+$O554)</f>
        <v/>
      </c>
      <c r="Q554" s="114" t="str">
        <f aca="false">IF($L554="Atrasado",$E554*10000+$A554,"")</f>
        <v/>
      </c>
    </row>
    <row r="555" customFormat="false" ht="15" hidden="false" customHeight="false" outlineLevel="0" collapsed="false">
      <c r="A555" s="114" t="n">
        <f aca="false">ROW()-4</f>
        <v>551</v>
      </c>
      <c r="B555" s="114" t="str">
        <f aca="false">IF(A555&lt;=Config!$E$27*Config!$E$28,"Tema","Avulso")</f>
        <v>Tema</v>
      </c>
      <c r="C555" s="114" t="n">
        <f aca="false">IF(B555="Tema",INT((A555-1)/Config!$E$28)+1,A555-Config!$E$27*Config!$E$28)</f>
        <v>92</v>
      </c>
      <c r="D555" s="114" t="n">
        <f aca="false">IF(B555="Tema",MOD(A555-1,Config!$E$28)+1,"")</f>
        <v>5</v>
      </c>
      <c r="E555" s="115" t="str">
        <f aca="false">IF($B555="Tema",IF(ISNUMBER(INDEX(Temas!$E$6:$P$305,$C555,2*$D555-1)),INDEX(Temas!$E$6:$P$305,$C555,2*$D555-1),""),IF(ISNUMBER(INDEX(Avulsos!$B$6:$B$205,$C555)),INDEX(Avulsos!$B$6:$B$205,$C555),""))</f>
        <v/>
      </c>
      <c r="F555" s="114" t="str">
        <f aca="false">IF($E555="","",IF($B555="Tema",INDEX(Temas!$B$6:$B$305,$C555)&amp;"",INDEX(Avulsos!$C$6:$C$205,$C555)&amp;""))</f>
        <v/>
      </c>
      <c r="G555" s="114" t="str">
        <f aca="false">IF($E555="","",IF($B555="Tema",INDEX(Config!$C$6:$C$11,$D555),"Evento avulso"))</f>
        <v/>
      </c>
      <c r="H555" s="114" t="str">
        <f aca="false">IF($E555="","",IF($B555="Tema",INDEX(Config!$D$6:$D$11,$D555),IFERROR(INDEX(Config!$E$15:$E$19,MATCH($I555,Config!$C$15:$C$19,0)),"•")))</f>
        <v/>
      </c>
      <c r="I555" s="114" t="str">
        <f aca="false">IF($E555="","",IF($B555="Tema",INDEX(Config!$E$6:$E$11,$D555),IF(INDEX(Avulsos!$D$6:$D$205,$C555)&amp;""="","Outro",INDEX(Avulsos!$D$6:$D$205,$C555))))</f>
        <v/>
      </c>
      <c r="J555" s="114" t="str">
        <f aca="false">IF($E555="","",IF($B555="Tema",INDEX(Temas!$C$6:$C$305,$C555)&amp;"",INDEX(Avulsos!$E$6:$E$205,$C555)&amp;""))</f>
        <v/>
      </c>
      <c r="K555" s="114" t="str">
        <f aca="false">IF($E555="","",IF(IF($B555="Tema",INDEX(Temas!$E$6:$P$305,$C555,2*$D555),INDEX(Avulsos!$F$6:$F$205,$C555))&amp;""="","","✓"))</f>
        <v/>
      </c>
      <c r="L555" s="114" t="str">
        <f aca="true">IF($E555="","",IF($K555="✓","Concluído",IF($E555&lt;TODAY(),"Atrasado",IF($E555=TODAY(),"Hoje","Pendente"))))</f>
        <v/>
      </c>
      <c r="M555" s="114" t="str">
        <f aca="false">IF($E555="","",IF($K555="✓","✓ ","")&amp;IF(Config!$E$22="Sim",$H555&amp;" · ","")&amp;$F555)</f>
        <v/>
      </c>
      <c r="N555" s="114" t="str">
        <f aca="false">IF($E555="","",IFERROR(INDEX(Config!$D$15:$D$19,MATCH($I555,Config!$C$15:$C$19,0)),"OUT")&amp;IF($K555="✓","x",""))</f>
        <v/>
      </c>
      <c r="O555" s="114" t="str">
        <f aca="false">IF($E555="","",COUNTIF($E$5:$E555,$E555))</f>
        <v/>
      </c>
      <c r="P555" s="114" t="str">
        <f aca="false">IF($E555="","",$E555*100+$O555)</f>
        <v/>
      </c>
      <c r="Q555" s="114" t="str">
        <f aca="false">IF($L555="Atrasado",$E555*10000+$A555,"")</f>
        <v/>
      </c>
    </row>
    <row r="556" customFormat="false" ht="15" hidden="false" customHeight="false" outlineLevel="0" collapsed="false">
      <c r="A556" s="114" t="n">
        <f aca="false">ROW()-4</f>
        <v>552</v>
      </c>
      <c r="B556" s="114" t="str">
        <f aca="false">IF(A556&lt;=Config!$E$27*Config!$E$28,"Tema","Avulso")</f>
        <v>Tema</v>
      </c>
      <c r="C556" s="114" t="n">
        <f aca="false">IF(B556="Tema",INT((A556-1)/Config!$E$28)+1,A556-Config!$E$27*Config!$E$28)</f>
        <v>92</v>
      </c>
      <c r="D556" s="114" t="n">
        <f aca="false">IF(B556="Tema",MOD(A556-1,Config!$E$28)+1,"")</f>
        <v>6</v>
      </c>
      <c r="E556" s="115" t="str">
        <f aca="false">IF($B556="Tema",IF(ISNUMBER(INDEX(Temas!$E$6:$P$305,$C556,2*$D556-1)),INDEX(Temas!$E$6:$P$305,$C556,2*$D556-1),""),IF(ISNUMBER(INDEX(Avulsos!$B$6:$B$205,$C556)),INDEX(Avulsos!$B$6:$B$205,$C556),""))</f>
        <v/>
      </c>
      <c r="F556" s="114" t="str">
        <f aca="false">IF($E556="","",IF($B556="Tema",INDEX(Temas!$B$6:$B$305,$C556)&amp;"",INDEX(Avulsos!$C$6:$C$205,$C556)&amp;""))</f>
        <v/>
      </c>
      <c r="G556" s="114" t="str">
        <f aca="false">IF($E556="","",IF($B556="Tema",INDEX(Config!$C$6:$C$11,$D556),"Evento avulso"))</f>
        <v/>
      </c>
      <c r="H556" s="114" t="str">
        <f aca="false">IF($E556="","",IF($B556="Tema",INDEX(Config!$D$6:$D$11,$D556),IFERROR(INDEX(Config!$E$15:$E$19,MATCH($I556,Config!$C$15:$C$19,0)),"•")))</f>
        <v/>
      </c>
      <c r="I556" s="114" t="str">
        <f aca="false">IF($E556="","",IF($B556="Tema",INDEX(Config!$E$6:$E$11,$D556),IF(INDEX(Avulsos!$D$6:$D$205,$C556)&amp;""="","Outro",INDEX(Avulsos!$D$6:$D$205,$C556))))</f>
        <v/>
      </c>
      <c r="J556" s="114" t="str">
        <f aca="false">IF($E556="","",IF($B556="Tema",INDEX(Temas!$C$6:$C$305,$C556)&amp;"",INDEX(Avulsos!$E$6:$E$205,$C556)&amp;""))</f>
        <v/>
      </c>
      <c r="K556" s="114" t="str">
        <f aca="false">IF($E556="","",IF(IF($B556="Tema",INDEX(Temas!$E$6:$P$305,$C556,2*$D556),INDEX(Avulsos!$F$6:$F$205,$C556))&amp;""="","","✓"))</f>
        <v/>
      </c>
      <c r="L556" s="114" t="str">
        <f aca="true">IF($E556="","",IF($K556="✓","Concluído",IF($E556&lt;TODAY(),"Atrasado",IF($E556=TODAY(),"Hoje","Pendente"))))</f>
        <v/>
      </c>
      <c r="M556" s="114" t="str">
        <f aca="false">IF($E556="","",IF($K556="✓","✓ ","")&amp;IF(Config!$E$22="Sim",$H556&amp;" · ","")&amp;$F556)</f>
        <v/>
      </c>
      <c r="N556" s="114" t="str">
        <f aca="false">IF($E556="","",IFERROR(INDEX(Config!$D$15:$D$19,MATCH($I556,Config!$C$15:$C$19,0)),"OUT")&amp;IF($K556="✓","x",""))</f>
        <v/>
      </c>
      <c r="O556" s="114" t="str">
        <f aca="false">IF($E556="","",COUNTIF($E$5:$E556,$E556))</f>
        <v/>
      </c>
      <c r="P556" s="114" t="str">
        <f aca="false">IF($E556="","",$E556*100+$O556)</f>
        <v/>
      </c>
      <c r="Q556" s="114" t="str">
        <f aca="false">IF($L556="Atrasado",$E556*10000+$A556,"")</f>
        <v/>
      </c>
    </row>
    <row r="557" customFormat="false" ht="15" hidden="false" customHeight="false" outlineLevel="0" collapsed="false">
      <c r="A557" s="114" t="n">
        <f aca="false">ROW()-4</f>
        <v>553</v>
      </c>
      <c r="B557" s="114" t="str">
        <f aca="false">IF(A557&lt;=Config!$E$27*Config!$E$28,"Tema","Avulso")</f>
        <v>Tema</v>
      </c>
      <c r="C557" s="114" t="n">
        <f aca="false">IF(B557="Tema",INT((A557-1)/Config!$E$28)+1,A557-Config!$E$27*Config!$E$28)</f>
        <v>93</v>
      </c>
      <c r="D557" s="114" t="n">
        <f aca="false">IF(B557="Tema",MOD(A557-1,Config!$E$28)+1,"")</f>
        <v>1</v>
      </c>
      <c r="E557" s="115" t="str">
        <f aca="false">IF($B557="Tema",IF(ISNUMBER(INDEX(Temas!$E$6:$P$305,$C557,2*$D557-1)),INDEX(Temas!$E$6:$P$305,$C557,2*$D557-1),""),IF(ISNUMBER(INDEX(Avulsos!$B$6:$B$205,$C557)),INDEX(Avulsos!$B$6:$B$205,$C557),""))</f>
        <v/>
      </c>
      <c r="F557" s="114" t="str">
        <f aca="false">IF($E557="","",IF($B557="Tema",INDEX(Temas!$B$6:$B$305,$C557)&amp;"",INDEX(Avulsos!$C$6:$C$205,$C557)&amp;""))</f>
        <v/>
      </c>
      <c r="G557" s="114" t="str">
        <f aca="false">IF($E557="","",IF($B557="Tema",INDEX(Config!$C$6:$C$11,$D557),"Evento avulso"))</f>
        <v/>
      </c>
      <c r="H557" s="114" t="str">
        <f aca="false">IF($E557="","",IF($B557="Tema",INDEX(Config!$D$6:$D$11,$D557),IFERROR(INDEX(Config!$E$15:$E$19,MATCH($I557,Config!$C$15:$C$19,0)),"•")))</f>
        <v/>
      </c>
      <c r="I557" s="114" t="str">
        <f aca="false">IF($E557="","",IF($B557="Tema",INDEX(Config!$E$6:$E$11,$D557),IF(INDEX(Avulsos!$D$6:$D$205,$C557)&amp;""="","Outro",INDEX(Avulsos!$D$6:$D$205,$C557))))</f>
        <v/>
      </c>
      <c r="J557" s="114" t="str">
        <f aca="false">IF($E557="","",IF($B557="Tema",INDEX(Temas!$C$6:$C$305,$C557)&amp;"",INDEX(Avulsos!$E$6:$E$205,$C557)&amp;""))</f>
        <v/>
      </c>
      <c r="K557" s="114" t="str">
        <f aca="false">IF($E557="","",IF(IF($B557="Tema",INDEX(Temas!$E$6:$P$305,$C557,2*$D557),INDEX(Avulsos!$F$6:$F$205,$C557))&amp;""="","","✓"))</f>
        <v/>
      </c>
      <c r="L557" s="114" t="str">
        <f aca="true">IF($E557="","",IF($K557="✓","Concluído",IF($E557&lt;TODAY(),"Atrasado",IF($E557=TODAY(),"Hoje","Pendente"))))</f>
        <v/>
      </c>
      <c r="M557" s="114" t="str">
        <f aca="false">IF($E557="","",IF($K557="✓","✓ ","")&amp;IF(Config!$E$22="Sim",$H557&amp;" · ","")&amp;$F557)</f>
        <v/>
      </c>
      <c r="N557" s="114" t="str">
        <f aca="false">IF($E557="","",IFERROR(INDEX(Config!$D$15:$D$19,MATCH($I557,Config!$C$15:$C$19,0)),"OUT")&amp;IF($K557="✓","x",""))</f>
        <v/>
      </c>
      <c r="O557" s="114" t="str">
        <f aca="false">IF($E557="","",COUNTIF($E$5:$E557,$E557))</f>
        <v/>
      </c>
      <c r="P557" s="114" t="str">
        <f aca="false">IF($E557="","",$E557*100+$O557)</f>
        <v/>
      </c>
      <c r="Q557" s="114" t="str">
        <f aca="false">IF($L557="Atrasado",$E557*10000+$A557,"")</f>
        <v/>
      </c>
    </row>
    <row r="558" customFormat="false" ht="15" hidden="false" customHeight="false" outlineLevel="0" collapsed="false">
      <c r="A558" s="114" t="n">
        <f aca="false">ROW()-4</f>
        <v>554</v>
      </c>
      <c r="B558" s="114" t="str">
        <f aca="false">IF(A558&lt;=Config!$E$27*Config!$E$28,"Tema","Avulso")</f>
        <v>Tema</v>
      </c>
      <c r="C558" s="114" t="n">
        <f aca="false">IF(B558="Tema",INT((A558-1)/Config!$E$28)+1,A558-Config!$E$27*Config!$E$28)</f>
        <v>93</v>
      </c>
      <c r="D558" s="114" t="n">
        <f aca="false">IF(B558="Tema",MOD(A558-1,Config!$E$28)+1,"")</f>
        <v>2</v>
      </c>
      <c r="E558" s="115" t="str">
        <f aca="false">IF($B558="Tema",IF(ISNUMBER(INDEX(Temas!$E$6:$P$305,$C558,2*$D558-1)),INDEX(Temas!$E$6:$P$305,$C558,2*$D558-1),""),IF(ISNUMBER(INDEX(Avulsos!$B$6:$B$205,$C558)),INDEX(Avulsos!$B$6:$B$205,$C558),""))</f>
        <v/>
      </c>
      <c r="F558" s="114" t="str">
        <f aca="false">IF($E558="","",IF($B558="Tema",INDEX(Temas!$B$6:$B$305,$C558)&amp;"",INDEX(Avulsos!$C$6:$C$205,$C558)&amp;""))</f>
        <v/>
      </c>
      <c r="G558" s="114" t="str">
        <f aca="false">IF($E558="","",IF($B558="Tema",INDEX(Config!$C$6:$C$11,$D558),"Evento avulso"))</f>
        <v/>
      </c>
      <c r="H558" s="114" t="str">
        <f aca="false">IF($E558="","",IF($B558="Tema",INDEX(Config!$D$6:$D$11,$D558),IFERROR(INDEX(Config!$E$15:$E$19,MATCH($I558,Config!$C$15:$C$19,0)),"•")))</f>
        <v/>
      </c>
      <c r="I558" s="114" t="str">
        <f aca="false">IF($E558="","",IF($B558="Tema",INDEX(Config!$E$6:$E$11,$D558),IF(INDEX(Avulsos!$D$6:$D$205,$C558)&amp;""="","Outro",INDEX(Avulsos!$D$6:$D$205,$C558))))</f>
        <v/>
      </c>
      <c r="J558" s="114" t="str">
        <f aca="false">IF($E558="","",IF($B558="Tema",INDEX(Temas!$C$6:$C$305,$C558)&amp;"",INDEX(Avulsos!$E$6:$E$205,$C558)&amp;""))</f>
        <v/>
      </c>
      <c r="K558" s="114" t="str">
        <f aca="false">IF($E558="","",IF(IF($B558="Tema",INDEX(Temas!$E$6:$P$305,$C558,2*$D558),INDEX(Avulsos!$F$6:$F$205,$C558))&amp;""="","","✓"))</f>
        <v/>
      </c>
      <c r="L558" s="114" t="str">
        <f aca="true">IF($E558="","",IF($K558="✓","Concluído",IF($E558&lt;TODAY(),"Atrasado",IF($E558=TODAY(),"Hoje","Pendente"))))</f>
        <v/>
      </c>
      <c r="M558" s="114" t="str">
        <f aca="false">IF($E558="","",IF($K558="✓","✓ ","")&amp;IF(Config!$E$22="Sim",$H558&amp;" · ","")&amp;$F558)</f>
        <v/>
      </c>
      <c r="N558" s="114" t="str">
        <f aca="false">IF($E558="","",IFERROR(INDEX(Config!$D$15:$D$19,MATCH($I558,Config!$C$15:$C$19,0)),"OUT")&amp;IF($K558="✓","x",""))</f>
        <v/>
      </c>
      <c r="O558" s="114" t="str">
        <f aca="false">IF($E558="","",COUNTIF($E$5:$E558,$E558))</f>
        <v/>
      </c>
      <c r="P558" s="114" t="str">
        <f aca="false">IF($E558="","",$E558*100+$O558)</f>
        <v/>
      </c>
      <c r="Q558" s="114" t="str">
        <f aca="false">IF($L558="Atrasado",$E558*10000+$A558,"")</f>
        <v/>
      </c>
    </row>
    <row r="559" customFormat="false" ht="15" hidden="false" customHeight="false" outlineLevel="0" collapsed="false">
      <c r="A559" s="114" t="n">
        <f aca="false">ROW()-4</f>
        <v>555</v>
      </c>
      <c r="B559" s="114" t="str">
        <f aca="false">IF(A559&lt;=Config!$E$27*Config!$E$28,"Tema","Avulso")</f>
        <v>Tema</v>
      </c>
      <c r="C559" s="114" t="n">
        <f aca="false">IF(B559="Tema",INT((A559-1)/Config!$E$28)+1,A559-Config!$E$27*Config!$E$28)</f>
        <v>93</v>
      </c>
      <c r="D559" s="114" t="n">
        <f aca="false">IF(B559="Tema",MOD(A559-1,Config!$E$28)+1,"")</f>
        <v>3</v>
      </c>
      <c r="E559" s="115" t="str">
        <f aca="false">IF($B559="Tema",IF(ISNUMBER(INDEX(Temas!$E$6:$P$305,$C559,2*$D559-1)),INDEX(Temas!$E$6:$P$305,$C559,2*$D559-1),""),IF(ISNUMBER(INDEX(Avulsos!$B$6:$B$205,$C559)),INDEX(Avulsos!$B$6:$B$205,$C559),""))</f>
        <v/>
      </c>
      <c r="F559" s="114" t="str">
        <f aca="false">IF($E559="","",IF($B559="Tema",INDEX(Temas!$B$6:$B$305,$C559)&amp;"",INDEX(Avulsos!$C$6:$C$205,$C559)&amp;""))</f>
        <v/>
      </c>
      <c r="G559" s="114" t="str">
        <f aca="false">IF($E559="","",IF($B559="Tema",INDEX(Config!$C$6:$C$11,$D559),"Evento avulso"))</f>
        <v/>
      </c>
      <c r="H559" s="114" t="str">
        <f aca="false">IF($E559="","",IF($B559="Tema",INDEX(Config!$D$6:$D$11,$D559),IFERROR(INDEX(Config!$E$15:$E$19,MATCH($I559,Config!$C$15:$C$19,0)),"•")))</f>
        <v/>
      </c>
      <c r="I559" s="114" t="str">
        <f aca="false">IF($E559="","",IF($B559="Tema",INDEX(Config!$E$6:$E$11,$D559),IF(INDEX(Avulsos!$D$6:$D$205,$C559)&amp;""="","Outro",INDEX(Avulsos!$D$6:$D$205,$C559))))</f>
        <v/>
      </c>
      <c r="J559" s="114" t="str">
        <f aca="false">IF($E559="","",IF($B559="Tema",INDEX(Temas!$C$6:$C$305,$C559)&amp;"",INDEX(Avulsos!$E$6:$E$205,$C559)&amp;""))</f>
        <v/>
      </c>
      <c r="K559" s="114" t="str">
        <f aca="false">IF($E559="","",IF(IF($B559="Tema",INDEX(Temas!$E$6:$P$305,$C559,2*$D559),INDEX(Avulsos!$F$6:$F$205,$C559))&amp;""="","","✓"))</f>
        <v/>
      </c>
      <c r="L559" s="114" t="str">
        <f aca="true">IF($E559="","",IF($K559="✓","Concluído",IF($E559&lt;TODAY(),"Atrasado",IF($E559=TODAY(),"Hoje","Pendente"))))</f>
        <v/>
      </c>
      <c r="M559" s="114" t="str">
        <f aca="false">IF($E559="","",IF($K559="✓","✓ ","")&amp;IF(Config!$E$22="Sim",$H559&amp;" · ","")&amp;$F559)</f>
        <v/>
      </c>
      <c r="N559" s="114" t="str">
        <f aca="false">IF($E559="","",IFERROR(INDEX(Config!$D$15:$D$19,MATCH($I559,Config!$C$15:$C$19,0)),"OUT")&amp;IF($K559="✓","x",""))</f>
        <v/>
      </c>
      <c r="O559" s="114" t="str">
        <f aca="false">IF($E559="","",COUNTIF($E$5:$E559,$E559))</f>
        <v/>
      </c>
      <c r="P559" s="114" t="str">
        <f aca="false">IF($E559="","",$E559*100+$O559)</f>
        <v/>
      </c>
      <c r="Q559" s="114" t="str">
        <f aca="false">IF($L559="Atrasado",$E559*10000+$A559,"")</f>
        <v/>
      </c>
    </row>
    <row r="560" customFormat="false" ht="15" hidden="false" customHeight="false" outlineLevel="0" collapsed="false">
      <c r="A560" s="114" t="n">
        <f aca="false">ROW()-4</f>
        <v>556</v>
      </c>
      <c r="B560" s="114" t="str">
        <f aca="false">IF(A560&lt;=Config!$E$27*Config!$E$28,"Tema","Avulso")</f>
        <v>Tema</v>
      </c>
      <c r="C560" s="114" t="n">
        <f aca="false">IF(B560="Tema",INT((A560-1)/Config!$E$28)+1,A560-Config!$E$27*Config!$E$28)</f>
        <v>93</v>
      </c>
      <c r="D560" s="114" t="n">
        <f aca="false">IF(B560="Tema",MOD(A560-1,Config!$E$28)+1,"")</f>
        <v>4</v>
      </c>
      <c r="E560" s="115" t="str">
        <f aca="false">IF($B560="Tema",IF(ISNUMBER(INDEX(Temas!$E$6:$P$305,$C560,2*$D560-1)),INDEX(Temas!$E$6:$P$305,$C560,2*$D560-1),""),IF(ISNUMBER(INDEX(Avulsos!$B$6:$B$205,$C560)),INDEX(Avulsos!$B$6:$B$205,$C560),""))</f>
        <v/>
      </c>
      <c r="F560" s="114" t="str">
        <f aca="false">IF($E560="","",IF($B560="Tema",INDEX(Temas!$B$6:$B$305,$C560)&amp;"",INDEX(Avulsos!$C$6:$C$205,$C560)&amp;""))</f>
        <v/>
      </c>
      <c r="G560" s="114" t="str">
        <f aca="false">IF($E560="","",IF($B560="Tema",INDEX(Config!$C$6:$C$11,$D560),"Evento avulso"))</f>
        <v/>
      </c>
      <c r="H560" s="114" t="str">
        <f aca="false">IF($E560="","",IF($B560="Tema",INDEX(Config!$D$6:$D$11,$D560),IFERROR(INDEX(Config!$E$15:$E$19,MATCH($I560,Config!$C$15:$C$19,0)),"•")))</f>
        <v/>
      </c>
      <c r="I560" s="114" t="str">
        <f aca="false">IF($E560="","",IF($B560="Tema",INDEX(Config!$E$6:$E$11,$D560),IF(INDEX(Avulsos!$D$6:$D$205,$C560)&amp;""="","Outro",INDEX(Avulsos!$D$6:$D$205,$C560))))</f>
        <v/>
      </c>
      <c r="J560" s="114" t="str">
        <f aca="false">IF($E560="","",IF($B560="Tema",INDEX(Temas!$C$6:$C$305,$C560)&amp;"",INDEX(Avulsos!$E$6:$E$205,$C560)&amp;""))</f>
        <v/>
      </c>
      <c r="K560" s="114" t="str">
        <f aca="false">IF($E560="","",IF(IF($B560="Tema",INDEX(Temas!$E$6:$P$305,$C560,2*$D560),INDEX(Avulsos!$F$6:$F$205,$C560))&amp;""="","","✓"))</f>
        <v/>
      </c>
      <c r="L560" s="114" t="str">
        <f aca="true">IF($E560="","",IF($K560="✓","Concluído",IF($E560&lt;TODAY(),"Atrasado",IF($E560=TODAY(),"Hoje","Pendente"))))</f>
        <v/>
      </c>
      <c r="M560" s="114" t="str">
        <f aca="false">IF($E560="","",IF($K560="✓","✓ ","")&amp;IF(Config!$E$22="Sim",$H560&amp;" · ","")&amp;$F560)</f>
        <v/>
      </c>
      <c r="N560" s="114" t="str">
        <f aca="false">IF($E560="","",IFERROR(INDEX(Config!$D$15:$D$19,MATCH($I560,Config!$C$15:$C$19,0)),"OUT")&amp;IF($K560="✓","x",""))</f>
        <v/>
      </c>
      <c r="O560" s="114" t="str">
        <f aca="false">IF($E560="","",COUNTIF($E$5:$E560,$E560))</f>
        <v/>
      </c>
      <c r="P560" s="114" t="str">
        <f aca="false">IF($E560="","",$E560*100+$O560)</f>
        <v/>
      </c>
      <c r="Q560" s="114" t="str">
        <f aca="false">IF($L560="Atrasado",$E560*10000+$A560,"")</f>
        <v/>
      </c>
    </row>
    <row r="561" customFormat="false" ht="15" hidden="false" customHeight="false" outlineLevel="0" collapsed="false">
      <c r="A561" s="114" t="n">
        <f aca="false">ROW()-4</f>
        <v>557</v>
      </c>
      <c r="B561" s="114" t="str">
        <f aca="false">IF(A561&lt;=Config!$E$27*Config!$E$28,"Tema","Avulso")</f>
        <v>Tema</v>
      </c>
      <c r="C561" s="114" t="n">
        <f aca="false">IF(B561="Tema",INT((A561-1)/Config!$E$28)+1,A561-Config!$E$27*Config!$E$28)</f>
        <v>93</v>
      </c>
      <c r="D561" s="114" t="n">
        <f aca="false">IF(B561="Tema",MOD(A561-1,Config!$E$28)+1,"")</f>
        <v>5</v>
      </c>
      <c r="E561" s="115" t="str">
        <f aca="false">IF($B561="Tema",IF(ISNUMBER(INDEX(Temas!$E$6:$P$305,$C561,2*$D561-1)),INDEX(Temas!$E$6:$P$305,$C561,2*$D561-1),""),IF(ISNUMBER(INDEX(Avulsos!$B$6:$B$205,$C561)),INDEX(Avulsos!$B$6:$B$205,$C561),""))</f>
        <v/>
      </c>
      <c r="F561" s="114" t="str">
        <f aca="false">IF($E561="","",IF($B561="Tema",INDEX(Temas!$B$6:$B$305,$C561)&amp;"",INDEX(Avulsos!$C$6:$C$205,$C561)&amp;""))</f>
        <v/>
      </c>
      <c r="G561" s="114" t="str">
        <f aca="false">IF($E561="","",IF($B561="Tema",INDEX(Config!$C$6:$C$11,$D561),"Evento avulso"))</f>
        <v/>
      </c>
      <c r="H561" s="114" t="str">
        <f aca="false">IF($E561="","",IF($B561="Tema",INDEX(Config!$D$6:$D$11,$D561),IFERROR(INDEX(Config!$E$15:$E$19,MATCH($I561,Config!$C$15:$C$19,0)),"•")))</f>
        <v/>
      </c>
      <c r="I561" s="114" t="str">
        <f aca="false">IF($E561="","",IF($B561="Tema",INDEX(Config!$E$6:$E$11,$D561),IF(INDEX(Avulsos!$D$6:$D$205,$C561)&amp;""="","Outro",INDEX(Avulsos!$D$6:$D$205,$C561))))</f>
        <v/>
      </c>
      <c r="J561" s="114" t="str">
        <f aca="false">IF($E561="","",IF($B561="Tema",INDEX(Temas!$C$6:$C$305,$C561)&amp;"",INDEX(Avulsos!$E$6:$E$205,$C561)&amp;""))</f>
        <v/>
      </c>
      <c r="K561" s="114" t="str">
        <f aca="false">IF($E561="","",IF(IF($B561="Tema",INDEX(Temas!$E$6:$P$305,$C561,2*$D561),INDEX(Avulsos!$F$6:$F$205,$C561))&amp;""="","","✓"))</f>
        <v/>
      </c>
      <c r="L561" s="114" t="str">
        <f aca="true">IF($E561="","",IF($K561="✓","Concluído",IF($E561&lt;TODAY(),"Atrasado",IF($E561=TODAY(),"Hoje","Pendente"))))</f>
        <v/>
      </c>
      <c r="M561" s="114" t="str">
        <f aca="false">IF($E561="","",IF($K561="✓","✓ ","")&amp;IF(Config!$E$22="Sim",$H561&amp;" · ","")&amp;$F561)</f>
        <v/>
      </c>
      <c r="N561" s="114" t="str">
        <f aca="false">IF($E561="","",IFERROR(INDEX(Config!$D$15:$D$19,MATCH($I561,Config!$C$15:$C$19,0)),"OUT")&amp;IF($K561="✓","x",""))</f>
        <v/>
      </c>
      <c r="O561" s="114" t="str">
        <f aca="false">IF($E561="","",COUNTIF($E$5:$E561,$E561))</f>
        <v/>
      </c>
      <c r="P561" s="114" t="str">
        <f aca="false">IF($E561="","",$E561*100+$O561)</f>
        <v/>
      </c>
      <c r="Q561" s="114" t="str">
        <f aca="false">IF($L561="Atrasado",$E561*10000+$A561,"")</f>
        <v/>
      </c>
    </row>
    <row r="562" customFormat="false" ht="15" hidden="false" customHeight="false" outlineLevel="0" collapsed="false">
      <c r="A562" s="114" t="n">
        <f aca="false">ROW()-4</f>
        <v>558</v>
      </c>
      <c r="B562" s="114" t="str">
        <f aca="false">IF(A562&lt;=Config!$E$27*Config!$E$28,"Tema","Avulso")</f>
        <v>Tema</v>
      </c>
      <c r="C562" s="114" t="n">
        <f aca="false">IF(B562="Tema",INT((A562-1)/Config!$E$28)+1,A562-Config!$E$27*Config!$E$28)</f>
        <v>93</v>
      </c>
      <c r="D562" s="114" t="n">
        <f aca="false">IF(B562="Tema",MOD(A562-1,Config!$E$28)+1,"")</f>
        <v>6</v>
      </c>
      <c r="E562" s="115" t="str">
        <f aca="false">IF($B562="Tema",IF(ISNUMBER(INDEX(Temas!$E$6:$P$305,$C562,2*$D562-1)),INDEX(Temas!$E$6:$P$305,$C562,2*$D562-1),""),IF(ISNUMBER(INDEX(Avulsos!$B$6:$B$205,$C562)),INDEX(Avulsos!$B$6:$B$205,$C562),""))</f>
        <v/>
      </c>
      <c r="F562" s="114" t="str">
        <f aca="false">IF($E562="","",IF($B562="Tema",INDEX(Temas!$B$6:$B$305,$C562)&amp;"",INDEX(Avulsos!$C$6:$C$205,$C562)&amp;""))</f>
        <v/>
      </c>
      <c r="G562" s="114" t="str">
        <f aca="false">IF($E562="","",IF($B562="Tema",INDEX(Config!$C$6:$C$11,$D562),"Evento avulso"))</f>
        <v/>
      </c>
      <c r="H562" s="114" t="str">
        <f aca="false">IF($E562="","",IF($B562="Tema",INDEX(Config!$D$6:$D$11,$D562),IFERROR(INDEX(Config!$E$15:$E$19,MATCH($I562,Config!$C$15:$C$19,0)),"•")))</f>
        <v/>
      </c>
      <c r="I562" s="114" t="str">
        <f aca="false">IF($E562="","",IF($B562="Tema",INDEX(Config!$E$6:$E$11,$D562),IF(INDEX(Avulsos!$D$6:$D$205,$C562)&amp;""="","Outro",INDEX(Avulsos!$D$6:$D$205,$C562))))</f>
        <v/>
      </c>
      <c r="J562" s="114" t="str">
        <f aca="false">IF($E562="","",IF($B562="Tema",INDEX(Temas!$C$6:$C$305,$C562)&amp;"",INDEX(Avulsos!$E$6:$E$205,$C562)&amp;""))</f>
        <v/>
      </c>
      <c r="K562" s="114" t="str">
        <f aca="false">IF($E562="","",IF(IF($B562="Tema",INDEX(Temas!$E$6:$P$305,$C562,2*$D562),INDEX(Avulsos!$F$6:$F$205,$C562))&amp;""="","","✓"))</f>
        <v/>
      </c>
      <c r="L562" s="114" t="str">
        <f aca="true">IF($E562="","",IF($K562="✓","Concluído",IF($E562&lt;TODAY(),"Atrasado",IF($E562=TODAY(),"Hoje","Pendente"))))</f>
        <v/>
      </c>
      <c r="M562" s="114" t="str">
        <f aca="false">IF($E562="","",IF($K562="✓","✓ ","")&amp;IF(Config!$E$22="Sim",$H562&amp;" · ","")&amp;$F562)</f>
        <v/>
      </c>
      <c r="N562" s="114" t="str">
        <f aca="false">IF($E562="","",IFERROR(INDEX(Config!$D$15:$D$19,MATCH($I562,Config!$C$15:$C$19,0)),"OUT")&amp;IF($K562="✓","x",""))</f>
        <v/>
      </c>
      <c r="O562" s="114" t="str">
        <f aca="false">IF($E562="","",COUNTIF($E$5:$E562,$E562))</f>
        <v/>
      </c>
      <c r="P562" s="114" t="str">
        <f aca="false">IF($E562="","",$E562*100+$O562)</f>
        <v/>
      </c>
      <c r="Q562" s="114" t="str">
        <f aca="false">IF($L562="Atrasado",$E562*10000+$A562,"")</f>
        <v/>
      </c>
    </row>
    <row r="563" customFormat="false" ht="15" hidden="false" customHeight="false" outlineLevel="0" collapsed="false">
      <c r="A563" s="114" t="n">
        <f aca="false">ROW()-4</f>
        <v>559</v>
      </c>
      <c r="B563" s="114" t="str">
        <f aca="false">IF(A563&lt;=Config!$E$27*Config!$E$28,"Tema","Avulso")</f>
        <v>Tema</v>
      </c>
      <c r="C563" s="114" t="n">
        <f aca="false">IF(B563="Tema",INT((A563-1)/Config!$E$28)+1,A563-Config!$E$27*Config!$E$28)</f>
        <v>94</v>
      </c>
      <c r="D563" s="114" t="n">
        <f aca="false">IF(B563="Tema",MOD(A563-1,Config!$E$28)+1,"")</f>
        <v>1</v>
      </c>
      <c r="E563" s="115" t="str">
        <f aca="false">IF($B563="Tema",IF(ISNUMBER(INDEX(Temas!$E$6:$P$305,$C563,2*$D563-1)),INDEX(Temas!$E$6:$P$305,$C563,2*$D563-1),""),IF(ISNUMBER(INDEX(Avulsos!$B$6:$B$205,$C563)),INDEX(Avulsos!$B$6:$B$205,$C563),""))</f>
        <v/>
      </c>
      <c r="F563" s="114" t="str">
        <f aca="false">IF($E563="","",IF($B563="Tema",INDEX(Temas!$B$6:$B$305,$C563)&amp;"",INDEX(Avulsos!$C$6:$C$205,$C563)&amp;""))</f>
        <v/>
      </c>
      <c r="G563" s="114" t="str">
        <f aca="false">IF($E563="","",IF($B563="Tema",INDEX(Config!$C$6:$C$11,$D563),"Evento avulso"))</f>
        <v/>
      </c>
      <c r="H563" s="114" t="str">
        <f aca="false">IF($E563="","",IF($B563="Tema",INDEX(Config!$D$6:$D$11,$D563),IFERROR(INDEX(Config!$E$15:$E$19,MATCH($I563,Config!$C$15:$C$19,0)),"•")))</f>
        <v/>
      </c>
      <c r="I563" s="114" t="str">
        <f aca="false">IF($E563="","",IF($B563="Tema",INDEX(Config!$E$6:$E$11,$D563),IF(INDEX(Avulsos!$D$6:$D$205,$C563)&amp;""="","Outro",INDEX(Avulsos!$D$6:$D$205,$C563))))</f>
        <v/>
      </c>
      <c r="J563" s="114" t="str">
        <f aca="false">IF($E563="","",IF($B563="Tema",INDEX(Temas!$C$6:$C$305,$C563)&amp;"",INDEX(Avulsos!$E$6:$E$205,$C563)&amp;""))</f>
        <v/>
      </c>
      <c r="K563" s="114" t="str">
        <f aca="false">IF($E563="","",IF(IF($B563="Tema",INDEX(Temas!$E$6:$P$305,$C563,2*$D563),INDEX(Avulsos!$F$6:$F$205,$C563))&amp;""="","","✓"))</f>
        <v/>
      </c>
      <c r="L563" s="114" t="str">
        <f aca="true">IF($E563="","",IF($K563="✓","Concluído",IF($E563&lt;TODAY(),"Atrasado",IF($E563=TODAY(),"Hoje","Pendente"))))</f>
        <v/>
      </c>
      <c r="M563" s="114" t="str">
        <f aca="false">IF($E563="","",IF($K563="✓","✓ ","")&amp;IF(Config!$E$22="Sim",$H563&amp;" · ","")&amp;$F563)</f>
        <v/>
      </c>
      <c r="N563" s="114" t="str">
        <f aca="false">IF($E563="","",IFERROR(INDEX(Config!$D$15:$D$19,MATCH($I563,Config!$C$15:$C$19,0)),"OUT")&amp;IF($K563="✓","x",""))</f>
        <v/>
      </c>
      <c r="O563" s="114" t="str">
        <f aca="false">IF($E563="","",COUNTIF($E$5:$E563,$E563))</f>
        <v/>
      </c>
      <c r="P563" s="114" t="str">
        <f aca="false">IF($E563="","",$E563*100+$O563)</f>
        <v/>
      </c>
      <c r="Q563" s="114" t="str">
        <f aca="false">IF($L563="Atrasado",$E563*10000+$A563,"")</f>
        <v/>
      </c>
    </row>
    <row r="564" customFormat="false" ht="15" hidden="false" customHeight="false" outlineLevel="0" collapsed="false">
      <c r="A564" s="114" t="n">
        <f aca="false">ROW()-4</f>
        <v>560</v>
      </c>
      <c r="B564" s="114" t="str">
        <f aca="false">IF(A564&lt;=Config!$E$27*Config!$E$28,"Tema","Avulso")</f>
        <v>Tema</v>
      </c>
      <c r="C564" s="114" t="n">
        <f aca="false">IF(B564="Tema",INT((A564-1)/Config!$E$28)+1,A564-Config!$E$27*Config!$E$28)</f>
        <v>94</v>
      </c>
      <c r="D564" s="114" t="n">
        <f aca="false">IF(B564="Tema",MOD(A564-1,Config!$E$28)+1,"")</f>
        <v>2</v>
      </c>
      <c r="E564" s="115" t="str">
        <f aca="false">IF($B564="Tema",IF(ISNUMBER(INDEX(Temas!$E$6:$P$305,$C564,2*$D564-1)),INDEX(Temas!$E$6:$P$305,$C564,2*$D564-1),""),IF(ISNUMBER(INDEX(Avulsos!$B$6:$B$205,$C564)),INDEX(Avulsos!$B$6:$B$205,$C564),""))</f>
        <v/>
      </c>
      <c r="F564" s="114" t="str">
        <f aca="false">IF($E564="","",IF($B564="Tema",INDEX(Temas!$B$6:$B$305,$C564)&amp;"",INDEX(Avulsos!$C$6:$C$205,$C564)&amp;""))</f>
        <v/>
      </c>
      <c r="G564" s="114" t="str">
        <f aca="false">IF($E564="","",IF($B564="Tema",INDEX(Config!$C$6:$C$11,$D564),"Evento avulso"))</f>
        <v/>
      </c>
      <c r="H564" s="114" t="str">
        <f aca="false">IF($E564="","",IF($B564="Tema",INDEX(Config!$D$6:$D$11,$D564),IFERROR(INDEX(Config!$E$15:$E$19,MATCH($I564,Config!$C$15:$C$19,0)),"•")))</f>
        <v/>
      </c>
      <c r="I564" s="114" t="str">
        <f aca="false">IF($E564="","",IF($B564="Tema",INDEX(Config!$E$6:$E$11,$D564),IF(INDEX(Avulsos!$D$6:$D$205,$C564)&amp;""="","Outro",INDEX(Avulsos!$D$6:$D$205,$C564))))</f>
        <v/>
      </c>
      <c r="J564" s="114" t="str">
        <f aca="false">IF($E564="","",IF($B564="Tema",INDEX(Temas!$C$6:$C$305,$C564)&amp;"",INDEX(Avulsos!$E$6:$E$205,$C564)&amp;""))</f>
        <v/>
      </c>
      <c r="K564" s="114" t="str">
        <f aca="false">IF($E564="","",IF(IF($B564="Tema",INDEX(Temas!$E$6:$P$305,$C564,2*$D564),INDEX(Avulsos!$F$6:$F$205,$C564))&amp;""="","","✓"))</f>
        <v/>
      </c>
      <c r="L564" s="114" t="str">
        <f aca="true">IF($E564="","",IF($K564="✓","Concluído",IF($E564&lt;TODAY(),"Atrasado",IF($E564=TODAY(),"Hoje","Pendente"))))</f>
        <v/>
      </c>
      <c r="M564" s="114" t="str">
        <f aca="false">IF($E564="","",IF($K564="✓","✓ ","")&amp;IF(Config!$E$22="Sim",$H564&amp;" · ","")&amp;$F564)</f>
        <v/>
      </c>
      <c r="N564" s="114" t="str">
        <f aca="false">IF($E564="","",IFERROR(INDEX(Config!$D$15:$D$19,MATCH($I564,Config!$C$15:$C$19,0)),"OUT")&amp;IF($K564="✓","x",""))</f>
        <v/>
      </c>
      <c r="O564" s="114" t="str">
        <f aca="false">IF($E564="","",COUNTIF($E$5:$E564,$E564))</f>
        <v/>
      </c>
      <c r="P564" s="114" t="str">
        <f aca="false">IF($E564="","",$E564*100+$O564)</f>
        <v/>
      </c>
      <c r="Q564" s="114" t="str">
        <f aca="false">IF($L564="Atrasado",$E564*10000+$A564,"")</f>
        <v/>
      </c>
    </row>
    <row r="565" customFormat="false" ht="15" hidden="false" customHeight="false" outlineLevel="0" collapsed="false">
      <c r="A565" s="114" t="n">
        <f aca="false">ROW()-4</f>
        <v>561</v>
      </c>
      <c r="B565" s="114" t="str">
        <f aca="false">IF(A565&lt;=Config!$E$27*Config!$E$28,"Tema","Avulso")</f>
        <v>Tema</v>
      </c>
      <c r="C565" s="114" t="n">
        <f aca="false">IF(B565="Tema",INT((A565-1)/Config!$E$28)+1,A565-Config!$E$27*Config!$E$28)</f>
        <v>94</v>
      </c>
      <c r="D565" s="114" t="n">
        <f aca="false">IF(B565="Tema",MOD(A565-1,Config!$E$28)+1,"")</f>
        <v>3</v>
      </c>
      <c r="E565" s="115" t="str">
        <f aca="false">IF($B565="Tema",IF(ISNUMBER(INDEX(Temas!$E$6:$P$305,$C565,2*$D565-1)),INDEX(Temas!$E$6:$P$305,$C565,2*$D565-1),""),IF(ISNUMBER(INDEX(Avulsos!$B$6:$B$205,$C565)),INDEX(Avulsos!$B$6:$B$205,$C565),""))</f>
        <v/>
      </c>
      <c r="F565" s="114" t="str">
        <f aca="false">IF($E565="","",IF($B565="Tema",INDEX(Temas!$B$6:$B$305,$C565)&amp;"",INDEX(Avulsos!$C$6:$C$205,$C565)&amp;""))</f>
        <v/>
      </c>
      <c r="G565" s="114" t="str">
        <f aca="false">IF($E565="","",IF($B565="Tema",INDEX(Config!$C$6:$C$11,$D565),"Evento avulso"))</f>
        <v/>
      </c>
      <c r="H565" s="114" t="str">
        <f aca="false">IF($E565="","",IF($B565="Tema",INDEX(Config!$D$6:$D$11,$D565),IFERROR(INDEX(Config!$E$15:$E$19,MATCH($I565,Config!$C$15:$C$19,0)),"•")))</f>
        <v/>
      </c>
      <c r="I565" s="114" t="str">
        <f aca="false">IF($E565="","",IF($B565="Tema",INDEX(Config!$E$6:$E$11,$D565),IF(INDEX(Avulsos!$D$6:$D$205,$C565)&amp;""="","Outro",INDEX(Avulsos!$D$6:$D$205,$C565))))</f>
        <v/>
      </c>
      <c r="J565" s="114" t="str">
        <f aca="false">IF($E565="","",IF($B565="Tema",INDEX(Temas!$C$6:$C$305,$C565)&amp;"",INDEX(Avulsos!$E$6:$E$205,$C565)&amp;""))</f>
        <v/>
      </c>
      <c r="K565" s="114" t="str">
        <f aca="false">IF($E565="","",IF(IF($B565="Tema",INDEX(Temas!$E$6:$P$305,$C565,2*$D565),INDEX(Avulsos!$F$6:$F$205,$C565))&amp;""="","","✓"))</f>
        <v/>
      </c>
      <c r="L565" s="114" t="str">
        <f aca="true">IF($E565="","",IF($K565="✓","Concluído",IF($E565&lt;TODAY(),"Atrasado",IF($E565=TODAY(),"Hoje","Pendente"))))</f>
        <v/>
      </c>
      <c r="M565" s="114" t="str">
        <f aca="false">IF($E565="","",IF($K565="✓","✓ ","")&amp;IF(Config!$E$22="Sim",$H565&amp;" · ","")&amp;$F565)</f>
        <v/>
      </c>
      <c r="N565" s="114" t="str">
        <f aca="false">IF($E565="","",IFERROR(INDEX(Config!$D$15:$D$19,MATCH($I565,Config!$C$15:$C$19,0)),"OUT")&amp;IF($K565="✓","x",""))</f>
        <v/>
      </c>
      <c r="O565" s="114" t="str">
        <f aca="false">IF($E565="","",COUNTIF($E$5:$E565,$E565))</f>
        <v/>
      </c>
      <c r="P565" s="114" t="str">
        <f aca="false">IF($E565="","",$E565*100+$O565)</f>
        <v/>
      </c>
      <c r="Q565" s="114" t="str">
        <f aca="false">IF($L565="Atrasado",$E565*10000+$A565,"")</f>
        <v/>
      </c>
    </row>
    <row r="566" customFormat="false" ht="15" hidden="false" customHeight="false" outlineLevel="0" collapsed="false">
      <c r="A566" s="114" t="n">
        <f aca="false">ROW()-4</f>
        <v>562</v>
      </c>
      <c r="B566" s="114" t="str">
        <f aca="false">IF(A566&lt;=Config!$E$27*Config!$E$28,"Tema","Avulso")</f>
        <v>Tema</v>
      </c>
      <c r="C566" s="114" t="n">
        <f aca="false">IF(B566="Tema",INT((A566-1)/Config!$E$28)+1,A566-Config!$E$27*Config!$E$28)</f>
        <v>94</v>
      </c>
      <c r="D566" s="114" t="n">
        <f aca="false">IF(B566="Tema",MOD(A566-1,Config!$E$28)+1,"")</f>
        <v>4</v>
      </c>
      <c r="E566" s="115" t="str">
        <f aca="false">IF($B566="Tema",IF(ISNUMBER(INDEX(Temas!$E$6:$P$305,$C566,2*$D566-1)),INDEX(Temas!$E$6:$P$305,$C566,2*$D566-1),""),IF(ISNUMBER(INDEX(Avulsos!$B$6:$B$205,$C566)),INDEX(Avulsos!$B$6:$B$205,$C566),""))</f>
        <v/>
      </c>
      <c r="F566" s="114" t="str">
        <f aca="false">IF($E566="","",IF($B566="Tema",INDEX(Temas!$B$6:$B$305,$C566)&amp;"",INDEX(Avulsos!$C$6:$C$205,$C566)&amp;""))</f>
        <v/>
      </c>
      <c r="G566" s="114" t="str">
        <f aca="false">IF($E566="","",IF($B566="Tema",INDEX(Config!$C$6:$C$11,$D566),"Evento avulso"))</f>
        <v/>
      </c>
      <c r="H566" s="114" t="str">
        <f aca="false">IF($E566="","",IF($B566="Tema",INDEX(Config!$D$6:$D$11,$D566),IFERROR(INDEX(Config!$E$15:$E$19,MATCH($I566,Config!$C$15:$C$19,0)),"•")))</f>
        <v/>
      </c>
      <c r="I566" s="114" t="str">
        <f aca="false">IF($E566="","",IF($B566="Tema",INDEX(Config!$E$6:$E$11,$D566),IF(INDEX(Avulsos!$D$6:$D$205,$C566)&amp;""="","Outro",INDEX(Avulsos!$D$6:$D$205,$C566))))</f>
        <v/>
      </c>
      <c r="J566" s="114" t="str">
        <f aca="false">IF($E566="","",IF($B566="Tema",INDEX(Temas!$C$6:$C$305,$C566)&amp;"",INDEX(Avulsos!$E$6:$E$205,$C566)&amp;""))</f>
        <v/>
      </c>
      <c r="K566" s="114" t="str">
        <f aca="false">IF($E566="","",IF(IF($B566="Tema",INDEX(Temas!$E$6:$P$305,$C566,2*$D566),INDEX(Avulsos!$F$6:$F$205,$C566))&amp;""="","","✓"))</f>
        <v/>
      </c>
      <c r="L566" s="114" t="str">
        <f aca="true">IF($E566="","",IF($K566="✓","Concluído",IF($E566&lt;TODAY(),"Atrasado",IF($E566=TODAY(),"Hoje","Pendente"))))</f>
        <v/>
      </c>
      <c r="M566" s="114" t="str">
        <f aca="false">IF($E566="","",IF($K566="✓","✓ ","")&amp;IF(Config!$E$22="Sim",$H566&amp;" · ","")&amp;$F566)</f>
        <v/>
      </c>
      <c r="N566" s="114" t="str">
        <f aca="false">IF($E566="","",IFERROR(INDEX(Config!$D$15:$D$19,MATCH($I566,Config!$C$15:$C$19,0)),"OUT")&amp;IF($K566="✓","x",""))</f>
        <v/>
      </c>
      <c r="O566" s="114" t="str">
        <f aca="false">IF($E566="","",COUNTIF($E$5:$E566,$E566))</f>
        <v/>
      </c>
      <c r="P566" s="114" t="str">
        <f aca="false">IF($E566="","",$E566*100+$O566)</f>
        <v/>
      </c>
      <c r="Q566" s="114" t="str">
        <f aca="false">IF($L566="Atrasado",$E566*10000+$A566,"")</f>
        <v/>
      </c>
    </row>
    <row r="567" customFormat="false" ht="15" hidden="false" customHeight="false" outlineLevel="0" collapsed="false">
      <c r="A567" s="114" t="n">
        <f aca="false">ROW()-4</f>
        <v>563</v>
      </c>
      <c r="B567" s="114" t="str">
        <f aca="false">IF(A567&lt;=Config!$E$27*Config!$E$28,"Tema","Avulso")</f>
        <v>Tema</v>
      </c>
      <c r="C567" s="114" t="n">
        <f aca="false">IF(B567="Tema",INT((A567-1)/Config!$E$28)+1,A567-Config!$E$27*Config!$E$28)</f>
        <v>94</v>
      </c>
      <c r="D567" s="114" t="n">
        <f aca="false">IF(B567="Tema",MOD(A567-1,Config!$E$28)+1,"")</f>
        <v>5</v>
      </c>
      <c r="E567" s="115" t="str">
        <f aca="false">IF($B567="Tema",IF(ISNUMBER(INDEX(Temas!$E$6:$P$305,$C567,2*$D567-1)),INDEX(Temas!$E$6:$P$305,$C567,2*$D567-1),""),IF(ISNUMBER(INDEX(Avulsos!$B$6:$B$205,$C567)),INDEX(Avulsos!$B$6:$B$205,$C567),""))</f>
        <v/>
      </c>
      <c r="F567" s="114" t="str">
        <f aca="false">IF($E567="","",IF($B567="Tema",INDEX(Temas!$B$6:$B$305,$C567)&amp;"",INDEX(Avulsos!$C$6:$C$205,$C567)&amp;""))</f>
        <v/>
      </c>
      <c r="G567" s="114" t="str">
        <f aca="false">IF($E567="","",IF($B567="Tema",INDEX(Config!$C$6:$C$11,$D567),"Evento avulso"))</f>
        <v/>
      </c>
      <c r="H567" s="114" t="str">
        <f aca="false">IF($E567="","",IF($B567="Tema",INDEX(Config!$D$6:$D$11,$D567),IFERROR(INDEX(Config!$E$15:$E$19,MATCH($I567,Config!$C$15:$C$19,0)),"•")))</f>
        <v/>
      </c>
      <c r="I567" s="114" t="str">
        <f aca="false">IF($E567="","",IF($B567="Tema",INDEX(Config!$E$6:$E$11,$D567),IF(INDEX(Avulsos!$D$6:$D$205,$C567)&amp;""="","Outro",INDEX(Avulsos!$D$6:$D$205,$C567))))</f>
        <v/>
      </c>
      <c r="J567" s="114" t="str">
        <f aca="false">IF($E567="","",IF($B567="Tema",INDEX(Temas!$C$6:$C$305,$C567)&amp;"",INDEX(Avulsos!$E$6:$E$205,$C567)&amp;""))</f>
        <v/>
      </c>
      <c r="K567" s="114" t="str">
        <f aca="false">IF($E567="","",IF(IF($B567="Tema",INDEX(Temas!$E$6:$P$305,$C567,2*$D567),INDEX(Avulsos!$F$6:$F$205,$C567))&amp;""="","","✓"))</f>
        <v/>
      </c>
      <c r="L567" s="114" t="str">
        <f aca="true">IF($E567="","",IF($K567="✓","Concluído",IF($E567&lt;TODAY(),"Atrasado",IF($E567=TODAY(),"Hoje","Pendente"))))</f>
        <v/>
      </c>
      <c r="M567" s="114" t="str">
        <f aca="false">IF($E567="","",IF($K567="✓","✓ ","")&amp;IF(Config!$E$22="Sim",$H567&amp;" · ","")&amp;$F567)</f>
        <v/>
      </c>
      <c r="N567" s="114" t="str">
        <f aca="false">IF($E567="","",IFERROR(INDEX(Config!$D$15:$D$19,MATCH($I567,Config!$C$15:$C$19,0)),"OUT")&amp;IF($K567="✓","x",""))</f>
        <v/>
      </c>
      <c r="O567" s="114" t="str">
        <f aca="false">IF($E567="","",COUNTIF($E$5:$E567,$E567))</f>
        <v/>
      </c>
      <c r="P567" s="114" t="str">
        <f aca="false">IF($E567="","",$E567*100+$O567)</f>
        <v/>
      </c>
      <c r="Q567" s="114" t="str">
        <f aca="false">IF($L567="Atrasado",$E567*10000+$A567,"")</f>
        <v/>
      </c>
    </row>
    <row r="568" customFormat="false" ht="15" hidden="false" customHeight="false" outlineLevel="0" collapsed="false">
      <c r="A568" s="114" t="n">
        <f aca="false">ROW()-4</f>
        <v>564</v>
      </c>
      <c r="B568" s="114" t="str">
        <f aca="false">IF(A568&lt;=Config!$E$27*Config!$E$28,"Tema","Avulso")</f>
        <v>Tema</v>
      </c>
      <c r="C568" s="114" t="n">
        <f aca="false">IF(B568="Tema",INT((A568-1)/Config!$E$28)+1,A568-Config!$E$27*Config!$E$28)</f>
        <v>94</v>
      </c>
      <c r="D568" s="114" t="n">
        <f aca="false">IF(B568="Tema",MOD(A568-1,Config!$E$28)+1,"")</f>
        <v>6</v>
      </c>
      <c r="E568" s="115" t="str">
        <f aca="false">IF($B568="Tema",IF(ISNUMBER(INDEX(Temas!$E$6:$P$305,$C568,2*$D568-1)),INDEX(Temas!$E$6:$P$305,$C568,2*$D568-1),""),IF(ISNUMBER(INDEX(Avulsos!$B$6:$B$205,$C568)),INDEX(Avulsos!$B$6:$B$205,$C568),""))</f>
        <v/>
      </c>
      <c r="F568" s="114" t="str">
        <f aca="false">IF($E568="","",IF($B568="Tema",INDEX(Temas!$B$6:$B$305,$C568)&amp;"",INDEX(Avulsos!$C$6:$C$205,$C568)&amp;""))</f>
        <v/>
      </c>
      <c r="G568" s="114" t="str">
        <f aca="false">IF($E568="","",IF($B568="Tema",INDEX(Config!$C$6:$C$11,$D568),"Evento avulso"))</f>
        <v/>
      </c>
      <c r="H568" s="114" t="str">
        <f aca="false">IF($E568="","",IF($B568="Tema",INDEX(Config!$D$6:$D$11,$D568),IFERROR(INDEX(Config!$E$15:$E$19,MATCH($I568,Config!$C$15:$C$19,0)),"•")))</f>
        <v/>
      </c>
      <c r="I568" s="114" t="str">
        <f aca="false">IF($E568="","",IF($B568="Tema",INDEX(Config!$E$6:$E$11,$D568),IF(INDEX(Avulsos!$D$6:$D$205,$C568)&amp;""="","Outro",INDEX(Avulsos!$D$6:$D$205,$C568))))</f>
        <v/>
      </c>
      <c r="J568" s="114" t="str">
        <f aca="false">IF($E568="","",IF($B568="Tema",INDEX(Temas!$C$6:$C$305,$C568)&amp;"",INDEX(Avulsos!$E$6:$E$205,$C568)&amp;""))</f>
        <v/>
      </c>
      <c r="K568" s="114" t="str">
        <f aca="false">IF($E568="","",IF(IF($B568="Tema",INDEX(Temas!$E$6:$P$305,$C568,2*$D568),INDEX(Avulsos!$F$6:$F$205,$C568))&amp;""="","","✓"))</f>
        <v/>
      </c>
      <c r="L568" s="114" t="str">
        <f aca="true">IF($E568="","",IF($K568="✓","Concluído",IF($E568&lt;TODAY(),"Atrasado",IF($E568=TODAY(),"Hoje","Pendente"))))</f>
        <v/>
      </c>
      <c r="M568" s="114" t="str">
        <f aca="false">IF($E568="","",IF($K568="✓","✓ ","")&amp;IF(Config!$E$22="Sim",$H568&amp;" · ","")&amp;$F568)</f>
        <v/>
      </c>
      <c r="N568" s="114" t="str">
        <f aca="false">IF($E568="","",IFERROR(INDEX(Config!$D$15:$D$19,MATCH($I568,Config!$C$15:$C$19,0)),"OUT")&amp;IF($K568="✓","x",""))</f>
        <v/>
      </c>
      <c r="O568" s="114" t="str">
        <f aca="false">IF($E568="","",COUNTIF($E$5:$E568,$E568))</f>
        <v/>
      </c>
      <c r="P568" s="114" t="str">
        <f aca="false">IF($E568="","",$E568*100+$O568)</f>
        <v/>
      </c>
      <c r="Q568" s="114" t="str">
        <f aca="false">IF($L568="Atrasado",$E568*10000+$A568,"")</f>
        <v/>
      </c>
    </row>
    <row r="569" customFormat="false" ht="15" hidden="false" customHeight="false" outlineLevel="0" collapsed="false">
      <c r="A569" s="114" t="n">
        <f aca="false">ROW()-4</f>
        <v>565</v>
      </c>
      <c r="B569" s="114" t="str">
        <f aca="false">IF(A569&lt;=Config!$E$27*Config!$E$28,"Tema","Avulso")</f>
        <v>Tema</v>
      </c>
      <c r="C569" s="114" t="n">
        <f aca="false">IF(B569="Tema",INT((A569-1)/Config!$E$28)+1,A569-Config!$E$27*Config!$E$28)</f>
        <v>95</v>
      </c>
      <c r="D569" s="114" t="n">
        <f aca="false">IF(B569="Tema",MOD(A569-1,Config!$E$28)+1,"")</f>
        <v>1</v>
      </c>
      <c r="E569" s="115" t="str">
        <f aca="false">IF($B569="Tema",IF(ISNUMBER(INDEX(Temas!$E$6:$P$305,$C569,2*$D569-1)),INDEX(Temas!$E$6:$P$305,$C569,2*$D569-1),""),IF(ISNUMBER(INDEX(Avulsos!$B$6:$B$205,$C569)),INDEX(Avulsos!$B$6:$B$205,$C569),""))</f>
        <v/>
      </c>
      <c r="F569" s="114" t="str">
        <f aca="false">IF($E569="","",IF($B569="Tema",INDEX(Temas!$B$6:$B$305,$C569)&amp;"",INDEX(Avulsos!$C$6:$C$205,$C569)&amp;""))</f>
        <v/>
      </c>
      <c r="G569" s="114" t="str">
        <f aca="false">IF($E569="","",IF($B569="Tema",INDEX(Config!$C$6:$C$11,$D569),"Evento avulso"))</f>
        <v/>
      </c>
      <c r="H569" s="114" t="str">
        <f aca="false">IF($E569="","",IF($B569="Tema",INDEX(Config!$D$6:$D$11,$D569),IFERROR(INDEX(Config!$E$15:$E$19,MATCH($I569,Config!$C$15:$C$19,0)),"•")))</f>
        <v/>
      </c>
      <c r="I569" s="114" t="str">
        <f aca="false">IF($E569="","",IF($B569="Tema",INDEX(Config!$E$6:$E$11,$D569),IF(INDEX(Avulsos!$D$6:$D$205,$C569)&amp;""="","Outro",INDEX(Avulsos!$D$6:$D$205,$C569))))</f>
        <v/>
      </c>
      <c r="J569" s="114" t="str">
        <f aca="false">IF($E569="","",IF($B569="Tema",INDEX(Temas!$C$6:$C$305,$C569)&amp;"",INDEX(Avulsos!$E$6:$E$205,$C569)&amp;""))</f>
        <v/>
      </c>
      <c r="K569" s="114" t="str">
        <f aca="false">IF($E569="","",IF(IF($B569="Tema",INDEX(Temas!$E$6:$P$305,$C569,2*$D569),INDEX(Avulsos!$F$6:$F$205,$C569))&amp;""="","","✓"))</f>
        <v/>
      </c>
      <c r="L569" s="114" t="str">
        <f aca="true">IF($E569="","",IF($K569="✓","Concluído",IF($E569&lt;TODAY(),"Atrasado",IF($E569=TODAY(),"Hoje","Pendente"))))</f>
        <v/>
      </c>
      <c r="M569" s="114" t="str">
        <f aca="false">IF($E569="","",IF($K569="✓","✓ ","")&amp;IF(Config!$E$22="Sim",$H569&amp;" · ","")&amp;$F569)</f>
        <v/>
      </c>
      <c r="N569" s="114" t="str">
        <f aca="false">IF($E569="","",IFERROR(INDEX(Config!$D$15:$D$19,MATCH($I569,Config!$C$15:$C$19,0)),"OUT")&amp;IF($K569="✓","x",""))</f>
        <v/>
      </c>
      <c r="O569" s="114" t="str">
        <f aca="false">IF($E569="","",COUNTIF($E$5:$E569,$E569))</f>
        <v/>
      </c>
      <c r="P569" s="114" t="str">
        <f aca="false">IF($E569="","",$E569*100+$O569)</f>
        <v/>
      </c>
      <c r="Q569" s="114" t="str">
        <f aca="false">IF($L569="Atrasado",$E569*10000+$A569,"")</f>
        <v/>
      </c>
    </row>
    <row r="570" customFormat="false" ht="15" hidden="false" customHeight="false" outlineLevel="0" collapsed="false">
      <c r="A570" s="114" t="n">
        <f aca="false">ROW()-4</f>
        <v>566</v>
      </c>
      <c r="B570" s="114" t="str">
        <f aca="false">IF(A570&lt;=Config!$E$27*Config!$E$28,"Tema","Avulso")</f>
        <v>Tema</v>
      </c>
      <c r="C570" s="114" t="n">
        <f aca="false">IF(B570="Tema",INT((A570-1)/Config!$E$28)+1,A570-Config!$E$27*Config!$E$28)</f>
        <v>95</v>
      </c>
      <c r="D570" s="114" t="n">
        <f aca="false">IF(B570="Tema",MOD(A570-1,Config!$E$28)+1,"")</f>
        <v>2</v>
      </c>
      <c r="E570" s="115" t="str">
        <f aca="false">IF($B570="Tema",IF(ISNUMBER(INDEX(Temas!$E$6:$P$305,$C570,2*$D570-1)),INDEX(Temas!$E$6:$P$305,$C570,2*$D570-1),""),IF(ISNUMBER(INDEX(Avulsos!$B$6:$B$205,$C570)),INDEX(Avulsos!$B$6:$B$205,$C570),""))</f>
        <v/>
      </c>
      <c r="F570" s="114" t="str">
        <f aca="false">IF($E570="","",IF($B570="Tema",INDEX(Temas!$B$6:$B$305,$C570)&amp;"",INDEX(Avulsos!$C$6:$C$205,$C570)&amp;""))</f>
        <v/>
      </c>
      <c r="G570" s="114" t="str">
        <f aca="false">IF($E570="","",IF($B570="Tema",INDEX(Config!$C$6:$C$11,$D570),"Evento avulso"))</f>
        <v/>
      </c>
      <c r="H570" s="114" t="str">
        <f aca="false">IF($E570="","",IF($B570="Tema",INDEX(Config!$D$6:$D$11,$D570),IFERROR(INDEX(Config!$E$15:$E$19,MATCH($I570,Config!$C$15:$C$19,0)),"•")))</f>
        <v/>
      </c>
      <c r="I570" s="114" t="str">
        <f aca="false">IF($E570="","",IF($B570="Tema",INDEX(Config!$E$6:$E$11,$D570),IF(INDEX(Avulsos!$D$6:$D$205,$C570)&amp;""="","Outro",INDEX(Avulsos!$D$6:$D$205,$C570))))</f>
        <v/>
      </c>
      <c r="J570" s="114" t="str">
        <f aca="false">IF($E570="","",IF($B570="Tema",INDEX(Temas!$C$6:$C$305,$C570)&amp;"",INDEX(Avulsos!$E$6:$E$205,$C570)&amp;""))</f>
        <v/>
      </c>
      <c r="K570" s="114" t="str">
        <f aca="false">IF($E570="","",IF(IF($B570="Tema",INDEX(Temas!$E$6:$P$305,$C570,2*$D570),INDEX(Avulsos!$F$6:$F$205,$C570))&amp;""="","","✓"))</f>
        <v/>
      </c>
      <c r="L570" s="114" t="str">
        <f aca="true">IF($E570="","",IF($K570="✓","Concluído",IF($E570&lt;TODAY(),"Atrasado",IF($E570=TODAY(),"Hoje","Pendente"))))</f>
        <v/>
      </c>
      <c r="M570" s="114" t="str">
        <f aca="false">IF($E570="","",IF($K570="✓","✓ ","")&amp;IF(Config!$E$22="Sim",$H570&amp;" · ","")&amp;$F570)</f>
        <v/>
      </c>
      <c r="N570" s="114" t="str">
        <f aca="false">IF($E570="","",IFERROR(INDEX(Config!$D$15:$D$19,MATCH($I570,Config!$C$15:$C$19,0)),"OUT")&amp;IF($K570="✓","x",""))</f>
        <v/>
      </c>
      <c r="O570" s="114" t="str">
        <f aca="false">IF($E570="","",COUNTIF($E$5:$E570,$E570))</f>
        <v/>
      </c>
      <c r="P570" s="114" t="str">
        <f aca="false">IF($E570="","",$E570*100+$O570)</f>
        <v/>
      </c>
      <c r="Q570" s="114" t="str">
        <f aca="false">IF($L570="Atrasado",$E570*10000+$A570,"")</f>
        <v/>
      </c>
    </row>
    <row r="571" customFormat="false" ht="15" hidden="false" customHeight="false" outlineLevel="0" collapsed="false">
      <c r="A571" s="114" t="n">
        <f aca="false">ROW()-4</f>
        <v>567</v>
      </c>
      <c r="B571" s="114" t="str">
        <f aca="false">IF(A571&lt;=Config!$E$27*Config!$E$28,"Tema","Avulso")</f>
        <v>Tema</v>
      </c>
      <c r="C571" s="114" t="n">
        <f aca="false">IF(B571="Tema",INT((A571-1)/Config!$E$28)+1,A571-Config!$E$27*Config!$E$28)</f>
        <v>95</v>
      </c>
      <c r="D571" s="114" t="n">
        <f aca="false">IF(B571="Tema",MOD(A571-1,Config!$E$28)+1,"")</f>
        <v>3</v>
      </c>
      <c r="E571" s="115" t="str">
        <f aca="false">IF($B571="Tema",IF(ISNUMBER(INDEX(Temas!$E$6:$P$305,$C571,2*$D571-1)),INDEX(Temas!$E$6:$P$305,$C571,2*$D571-1),""),IF(ISNUMBER(INDEX(Avulsos!$B$6:$B$205,$C571)),INDEX(Avulsos!$B$6:$B$205,$C571),""))</f>
        <v/>
      </c>
      <c r="F571" s="114" t="str">
        <f aca="false">IF($E571="","",IF($B571="Tema",INDEX(Temas!$B$6:$B$305,$C571)&amp;"",INDEX(Avulsos!$C$6:$C$205,$C571)&amp;""))</f>
        <v/>
      </c>
      <c r="G571" s="114" t="str">
        <f aca="false">IF($E571="","",IF($B571="Tema",INDEX(Config!$C$6:$C$11,$D571),"Evento avulso"))</f>
        <v/>
      </c>
      <c r="H571" s="114" t="str">
        <f aca="false">IF($E571="","",IF($B571="Tema",INDEX(Config!$D$6:$D$11,$D571),IFERROR(INDEX(Config!$E$15:$E$19,MATCH($I571,Config!$C$15:$C$19,0)),"•")))</f>
        <v/>
      </c>
      <c r="I571" s="114" t="str">
        <f aca="false">IF($E571="","",IF($B571="Tema",INDEX(Config!$E$6:$E$11,$D571),IF(INDEX(Avulsos!$D$6:$D$205,$C571)&amp;""="","Outro",INDEX(Avulsos!$D$6:$D$205,$C571))))</f>
        <v/>
      </c>
      <c r="J571" s="114" t="str">
        <f aca="false">IF($E571="","",IF($B571="Tema",INDEX(Temas!$C$6:$C$305,$C571)&amp;"",INDEX(Avulsos!$E$6:$E$205,$C571)&amp;""))</f>
        <v/>
      </c>
      <c r="K571" s="114" t="str">
        <f aca="false">IF($E571="","",IF(IF($B571="Tema",INDEX(Temas!$E$6:$P$305,$C571,2*$D571),INDEX(Avulsos!$F$6:$F$205,$C571))&amp;""="","","✓"))</f>
        <v/>
      </c>
      <c r="L571" s="114" t="str">
        <f aca="true">IF($E571="","",IF($K571="✓","Concluído",IF($E571&lt;TODAY(),"Atrasado",IF($E571=TODAY(),"Hoje","Pendente"))))</f>
        <v/>
      </c>
      <c r="M571" s="114" t="str">
        <f aca="false">IF($E571="","",IF($K571="✓","✓ ","")&amp;IF(Config!$E$22="Sim",$H571&amp;" · ","")&amp;$F571)</f>
        <v/>
      </c>
      <c r="N571" s="114" t="str">
        <f aca="false">IF($E571="","",IFERROR(INDEX(Config!$D$15:$D$19,MATCH($I571,Config!$C$15:$C$19,0)),"OUT")&amp;IF($K571="✓","x",""))</f>
        <v/>
      </c>
      <c r="O571" s="114" t="str">
        <f aca="false">IF($E571="","",COUNTIF($E$5:$E571,$E571))</f>
        <v/>
      </c>
      <c r="P571" s="114" t="str">
        <f aca="false">IF($E571="","",$E571*100+$O571)</f>
        <v/>
      </c>
      <c r="Q571" s="114" t="str">
        <f aca="false">IF($L571="Atrasado",$E571*10000+$A571,"")</f>
        <v/>
      </c>
    </row>
    <row r="572" customFormat="false" ht="15" hidden="false" customHeight="false" outlineLevel="0" collapsed="false">
      <c r="A572" s="114" t="n">
        <f aca="false">ROW()-4</f>
        <v>568</v>
      </c>
      <c r="B572" s="114" t="str">
        <f aca="false">IF(A572&lt;=Config!$E$27*Config!$E$28,"Tema","Avulso")</f>
        <v>Tema</v>
      </c>
      <c r="C572" s="114" t="n">
        <f aca="false">IF(B572="Tema",INT((A572-1)/Config!$E$28)+1,A572-Config!$E$27*Config!$E$28)</f>
        <v>95</v>
      </c>
      <c r="D572" s="114" t="n">
        <f aca="false">IF(B572="Tema",MOD(A572-1,Config!$E$28)+1,"")</f>
        <v>4</v>
      </c>
      <c r="E572" s="115" t="str">
        <f aca="false">IF($B572="Tema",IF(ISNUMBER(INDEX(Temas!$E$6:$P$305,$C572,2*$D572-1)),INDEX(Temas!$E$6:$P$305,$C572,2*$D572-1),""),IF(ISNUMBER(INDEX(Avulsos!$B$6:$B$205,$C572)),INDEX(Avulsos!$B$6:$B$205,$C572),""))</f>
        <v/>
      </c>
      <c r="F572" s="114" t="str">
        <f aca="false">IF($E572="","",IF($B572="Tema",INDEX(Temas!$B$6:$B$305,$C572)&amp;"",INDEX(Avulsos!$C$6:$C$205,$C572)&amp;""))</f>
        <v/>
      </c>
      <c r="G572" s="114" t="str">
        <f aca="false">IF($E572="","",IF($B572="Tema",INDEX(Config!$C$6:$C$11,$D572),"Evento avulso"))</f>
        <v/>
      </c>
      <c r="H572" s="114" t="str">
        <f aca="false">IF($E572="","",IF($B572="Tema",INDEX(Config!$D$6:$D$11,$D572),IFERROR(INDEX(Config!$E$15:$E$19,MATCH($I572,Config!$C$15:$C$19,0)),"•")))</f>
        <v/>
      </c>
      <c r="I572" s="114" t="str">
        <f aca="false">IF($E572="","",IF($B572="Tema",INDEX(Config!$E$6:$E$11,$D572),IF(INDEX(Avulsos!$D$6:$D$205,$C572)&amp;""="","Outro",INDEX(Avulsos!$D$6:$D$205,$C572))))</f>
        <v/>
      </c>
      <c r="J572" s="114" t="str">
        <f aca="false">IF($E572="","",IF($B572="Tema",INDEX(Temas!$C$6:$C$305,$C572)&amp;"",INDEX(Avulsos!$E$6:$E$205,$C572)&amp;""))</f>
        <v/>
      </c>
      <c r="K572" s="114" t="str">
        <f aca="false">IF($E572="","",IF(IF($B572="Tema",INDEX(Temas!$E$6:$P$305,$C572,2*$D572),INDEX(Avulsos!$F$6:$F$205,$C572))&amp;""="","","✓"))</f>
        <v/>
      </c>
      <c r="L572" s="114" t="str">
        <f aca="true">IF($E572="","",IF($K572="✓","Concluído",IF($E572&lt;TODAY(),"Atrasado",IF($E572=TODAY(),"Hoje","Pendente"))))</f>
        <v/>
      </c>
      <c r="M572" s="114" t="str">
        <f aca="false">IF($E572="","",IF($K572="✓","✓ ","")&amp;IF(Config!$E$22="Sim",$H572&amp;" · ","")&amp;$F572)</f>
        <v/>
      </c>
      <c r="N572" s="114" t="str">
        <f aca="false">IF($E572="","",IFERROR(INDEX(Config!$D$15:$D$19,MATCH($I572,Config!$C$15:$C$19,0)),"OUT")&amp;IF($K572="✓","x",""))</f>
        <v/>
      </c>
      <c r="O572" s="114" t="str">
        <f aca="false">IF($E572="","",COUNTIF($E$5:$E572,$E572))</f>
        <v/>
      </c>
      <c r="P572" s="114" t="str">
        <f aca="false">IF($E572="","",$E572*100+$O572)</f>
        <v/>
      </c>
      <c r="Q572" s="114" t="str">
        <f aca="false">IF($L572="Atrasado",$E572*10000+$A572,"")</f>
        <v/>
      </c>
    </row>
    <row r="573" customFormat="false" ht="15" hidden="false" customHeight="false" outlineLevel="0" collapsed="false">
      <c r="A573" s="114" t="n">
        <f aca="false">ROW()-4</f>
        <v>569</v>
      </c>
      <c r="B573" s="114" t="str">
        <f aca="false">IF(A573&lt;=Config!$E$27*Config!$E$28,"Tema","Avulso")</f>
        <v>Tema</v>
      </c>
      <c r="C573" s="114" t="n">
        <f aca="false">IF(B573="Tema",INT((A573-1)/Config!$E$28)+1,A573-Config!$E$27*Config!$E$28)</f>
        <v>95</v>
      </c>
      <c r="D573" s="114" t="n">
        <f aca="false">IF(B573="Tema",MOD(A573-1,Config!$E$28)+1,"")</f>
        <v>5</v>
      </c>
      <c r="E573" s="115" t="str">
        <f aca="false">IF($B573="Tema",IF(ISNUMBER(INDEX(Temas!$E$6:$P$305,$C573,2*$D573-1)),INDEX(Temas!$E$6:$P$305,$C573,2*$D573-1),""),IF(ISNUMBER(INDEX(Avulsos!$B$6:$B$205,$C573)),INDEX(Avulsos!$B$6:$B$205,$C573),""))</f>
        <v/>
      </c>
      <c r="F573" s="114" t="str">
        <f aca="false">IF($E573="","",IF($B573="Tema",INDEX(Temas!$B$6:$B$305,$C573)&amp;"",INDEX(Avulsos!$C$6:$C$205,$C573)&amp;""))</f>
        <v/>
      </c>
      <c r="G573" s="114" t="str">
        <f aca="false">IF($E573="","",IF($B573="Tema",INDEX(Config!$C$6:$C$11,$D573),"Evento avulso"))</f>
        <v/>
      </c>
      <c r="H573" s="114" t="str">
        <f aca="false">IF($E573="","",IF($B573="Tema",INDEX(Config!$D$6:$D$11,$D573),IFERROR(INDEX(Config!$E$15:$E$19,MATCH($I573,Config!$C$15:$C$19,0)),"•")))</f>
        <v/>
      </c>
      <c r="I573" s="114" t="str">
        <f aca="false">IF($E573="","",IF($B573="Tema",INDEX(Config!$E$6:$E$11,$D573),IF(INDEX(Avulsos!$D$6:$D$205,$C573)&amp;""="","Outro",INDEX(Avulsos!$D$6:$D$205,$C573))))</f>
        <v/>
      </c>
      <c r="J573" s="114" t="str">
        <f aca="false">IF($E573="","",IF($B573="Tema",INDEX(Temas!$C$6:$C$305,$C573)&amp;"",INDEX(Avulsos!$E$6:$E$205,$C573)&amp;""))</f>
        <v/>
      </c>
      <c r="K573" s="114" t="str">
        <f aca="false">IF($E573="","",IF(IF($B573="Tema",INDEX(Temas!$E$6:$P$305,$C573,2*$D573),INDEX(Avulsos!$F$6:$F$205,$C573))&amp;""="","","✓"))</f>
        <v/>
      </c>
      <c r="L573" s="114" t="str">
        <f aca="true">IF($E573="","",IF($K573="✓","Concluído",IF($E573&lt;TODAY(),"Atrasado",IF($E573=TODAY(),"Hoje","Pendente"))))</f>
        <v/>
      </c>
      <c r="M573" s="114" t="str">
        <f aca="false">IF($E573="","",IF($K573="✓","✓ ","")&amp;IF(Config!$E$22="Sim",$H573&amp;" · ","")&amp;$F573)</f>
        <v/>
      </c>
      <c r="N573" s="114" t="str">
        <f aca="false">IF($E573="","",IFERROR(INDEX(Config!$D$15:$D$19,MATCH($I573,Config!$C$15:$C$19,0)),"OUT")&amp;IF($K573="✓","x",""))</f>
        <v/>
      </c>
      <c r="O573" s="114" t="str">
        <f aca="false">IF($E573="","",COUNTIF($E$5:$E573,$E573))</f>
        <v/>
      </c>
      <c r="P573" s="114" t="str">
        <f aca="false">IF($E573="","",$E573*100+$O573)</f>
        <v/>
      </c>
      <c r="Q573" s="114" t="str">
        <f aca="false">IF($L573="Atrasado",$E573*10000+$A573,"")</f>
        <v/>
      </c>
    </row>
    <row r="574" customFormat="false" ht="15" hidden="false" customHeight="false" outlineLevel="0" collapsed="false">
      <c r="A574" s="114" t="n">
        <f aca="false">ROW()-4</f>
        <v>570</v>
      </c>
      <c r="B574" s="114" t="str">
        <f aca="false">IF(A574&lt;=Config!$E$27*Config!$E$28,"Tema","Avulso")</f>
        <v>Tema</v>
      </c>
      <c r="C574" s="114" t="n">
        <f aca="false">IF(B574="Tema",INT((A574-1)/Config!$E$28)+1,A574-Config!$E$27*Config!$E$28)</f>
        <v>95</v>
      </c>
      <c r="D574" s="114" t="n">
        <f aca="false">IF(B574="Tema",MOD(A574-1,Config!$E$28)+1,"")</f>
        <v>6</v>
      </c>
      <c r="E574" s="115" t="str">
        <f aca="false">IF($B574="Tema",IF(ISNUMBER(INDEX(Temas!$E$6:$P$305,$C574,2*$D574-1)),INDEX(Temas!$E$6:$P$305,$C574,2*$D574-1),""),IF(ISNUMBER(INDEX(Avulsos!$B$6:$B$205,$C574)),INDEX(Avulsos!$B$6:$B$205,$C574),""))</f>
        <v/>
      </c>
      <c r="F574" s="114" t="str">
        <f aca="false">IF($E574="","",IF($B574="Tema",INDEX(Temas!$B$6:$B$305,$C574)&amp;"",INDEX(Avulsos!$C$6:$C$205,$C574)&amp;""))</f>
        <v/>
      </c>
      <c r="G574" s="114" t="str">
        <f aca="false">IF($E574="","",IF($B574="Tema",INDEX(Config!$C$6:$C$11,$D574),"Evento avulso"))</f>
        <v/>
      </c>
      <c r="H574" s="114" t="str">
        <f aca="false">IF($E574="","",IF($B574="Tema",INDEX(Config!$D$6:$D$11,$D574),IFERROR(INDEX(Config!$E$15:$E$19,MATCH($I574,Config!$C$15:$C$19,0)),"•")))</f>
        <v/>
      </c>
      <c r="I574" s="114" t="str">
        <f aca="false">IF($E574="","",IF($B574="Tema",INDEX(Config!$E$6:$E$11,$D574),IF(INDEX(Avulsos!$D$6:$D$205,$C574)&amp;""="","Outro",INDEX(Avulsos!$D$6:$D$205,$C574))))</f>
        <v/>
      </c>
      <c r="J574" s="114" t="str">
        <f aca="false">IF($E574="","",IF($B574="Tema",INDEX(Temas!$C$6:$C$305,$C574)&amp;"",INDEX(Avulsos!$E$6:$E$205,$C574)&amp;""))</f>
        <v/>
      </c>
      <c r="K574" s="114" t="str">
        <f aca="false">IF($E574="","",IF(IF($B574="Tema",INDEX(Temas!$E$6:$P$305,$C574,2*$D574),INDEX(Avulsos!$F$6:$F$205,$C574))&amp;""="","","✓"))</f>
        <v/>
      </c>
      <c r="L574" s="114" t="str">
        <f aca="true">IF($E574="","",IF($K574="✓","Concluído",IF($E574&lt;TODAY(),"Atrasado",IF($E574=TODAY(),"Hoje","Pendente"))))</f>
        <v/>
      </c>
      <c r="M574" s="114" t="str">
        <f aca="false">IF($E574="","",IF($K574="✓","✓ ","")&amp;IF(Config!$E$22="Sim",$H574&amp;" · ","")&amp;$F574)</f>
        <v/>
      </c>
      <c r="N574" s="114" t="str">
        <f aca="false">IF($E574="","",IFERROR(INDEX(Config!$D$15:$D$19,MATCH($I574,Config!$C$15:$C$19,0)),"OUT")&amp;IF($K574="✓","x",""))</f>
        <v/>
      </c>
      <c r="O574" s="114" t="str">
        <f aca="false">IF($E574="","",COUNTIF($E$5:$E574,$E574))</f>
        <v/>
      </c>
      <c r="P574" s="114" t="str">
        <f aca="false">IF($E574="","",$E574*100+$O574)</f>
        <v/>
      </c>
      <c r="Q574" s="114" t="str">
        <f aca="false">IF($L574="Atrasado",$E574*10000+$A574,"")</f>
        <v/>
      </c>
    </row>
    <row r="575" customFormat="false" ht="15" hidden="false" customHeight="false" outlineLevel="0" collapsed="false">
      <c r="A575" s="114" t="n">
        <f aca="false">ROW()-4</f>
        <v>571</v>
      </c>
      <c r="B575" s="114" t="str">
        <f aca="false">IF(A575&lt;=Config!$E$27*Config!$E$28,"Tema","Avulso")</f>
        <v>Tema</v>
      </c>
      <c r="C575" s="114" t="n">
        <f aca="false">IF(B575="Tema",INT((A575-1)/Config!$E$28)+1,A575-Config!$E$27*Config!$E$28)</f>
        <v>96</v>
      </c>
      <c r="D575" s="114" t="n">
        <f aca="false">IF(B575="Tema",MOD(A575-1,Config!$E$28)+1,"")</f>
        <v>1</v>
      </c>
      <c r="E575" s="115" t="str">
        <f aca="false">IF($B575="Tema",IF(ISNUMBER(INDEX(Temas!$E$6:$P$305,$C575,2*$D575-1)),INDEX(Temas!$E$6:$P$305,$C575,2*$D575-1),""),IF(ISNUMBER(INDEX(Avulsos!$B$6:$B$205,$C575)),INDEX(Avulsos!$B$6:$B$205,$C575),""))</f>
        <v/>
      </c>
      <c r="F575" s="114" t="str">
        <f aca="false">IF($E575="","",IF($B575="Tema",INDEX(Temas!$B$6:$B$305,$C575)&amp;"",INDEX(Avulsos!$C$6:$C$205,$C575)&amp;""))</f>
        <v/>
      </c>
      <c r="G575" s="114" t="str">
        <f aca="false">IF($E575="","",IF($B575="Tema",INDEX(Config!$C$6:$C$11,$D575),"Evento avulso"))</f>
        <v/>
      </c>
      <c r="H575" s="114" t="str">
        <f aca="false">IF($E575="","",IF($B575="Tema",INDEX(Config!$D$6:$D$11,$D575),IFERROR(INDEX(Config!$E$15:$E$19,MATCH($I575,Config!$C$15:$C$19,0)),"•")))</f>
        <v/>
      </c>
      <c r="I575" s="114" t="str">
        <f aca="false">IF($E575="","",IF($B575="Tema",INDEX(Config!$E$6:$E$11,$D575),IF(INDEX(Avulsos!$D$6:$D$205,$C575)&amp;""="","Outro",INDEX(Avulsos!$D$6:$D$205,$C575))))</f>
        <v/>
      </c>
      <c r="J575" s="114" t="str">
        <f aca="false">IF($E575="","",IF($B575="Tema",INDEX(Temas!$C$6:$C$305,$C575)&amp;"",INDEX(Avulsos!$E$6:$E$205,$C575)&amp;""))</f>
        <v/>
      </c>
      <c r="K575" s="114" t="str">
        <f aca="false">IF($E575="","",IF(IF($B575="Tema",INDEX(Temas!$E$6:$P$305,$C575,2*$D575),INDEX(Avulsos!$F$6:$F$205,$C575))&amp;""="","","✓"))</f>
        <v/>
      </c>
      <c r="L575" s="114" t="str">
        <f aca="true">IF($E575="","",IF($K575="✓","Concluído",IF($E575&lt;TODAY(),"Atrasado",IF($E575=TODAY(),"Hoje","Pendente"))))</f>
        <v/>
      </c>
      <c r="M575" s="114" t="str">
        <f aca="false">IF($E575="","",IF($K575="✓","✓ ","")&amp;IF(Config!$E$22="Sim",$H575&amp;" · ","")&amp;$F575)</f>
        <v/>
      </c>
      <c r="N575" s="114" t="str">
        <f aca="false">IF($E575="","",IFERROR(INDEX(Config!$D$15:$D$19,MATCH($I575,Config!$C$15:$C$19,0)),"OUT")&amp;IF($K575="✓","x",""))</f>
        <v/>
      </c>
      <c r="O575" s="114" t="str">
        <f aca="false">IF($E575="","",COUNTIF($E$5:$E575,$E575))</f>
        <v/>
      </c>
      <c r="P575" s="114" t="str">
        <f aca="false">IF($E575="","",$E575*100+$O575)</f>
        <v/>
      </c>
      <c r="Q575" s="114" t="str">
        <f aca="false">IF($L575="Atrasado",$E575*10000+$A575,"")</f>
        <v/>
      </c>
    </row>
    <row r="576" customFormat="false" ht="15" hidden="false" customHeight="false" outlineLevel="0" collapsed="false">
      <c r="A576" s="114" t="n">
        <f aca="false">ROW()-4</f>
        <v>572</v>
      </c>
      <c r="B576" s="114" t="str">
        <f aca="false">IF(A576&lt;=Config!$E$27*Config!$E$28,"Tema","Avulso")</f>
        <v>Tema</v>
      </c>
      <c r="C576" s="114" t="n">
        <f aca="false">IF(B576="Tema",INT((A576-1)/Config!$E$28)+1,A576-Config!$E$27*Config!$E$28)</f>
        <v>96</v>
      </c>
      <c r="D576" s="114" t="n">
        <f aca="false">IF(B576="Tema",MOD(A576-1,Config!$E$28)+1,"")</f>
        <v>2</v>
      </c>
      <c r="E576" s="115" t="str">
        <f aca="false">IF($B576="Tema",IF(ISNUMBER(INDEX(Temas!$E$6:$P$305,$C576,2*$D576-1)),INDEX(Temas!$E$6:$P$305,$C576,2*$D576-1),""),IF(ISNUMBER(INDEX(Avulsos!$B$6:$B$205,$C576)),INDEX(Avulsos!$B$6:$B$205,$C576),""))</f>
        <v/>
      </c>
      <c r="F576" s="114" t="str">
        <f aca="false">IF($E576="","",IF($B576="Tema",INDEX(Temas!$B$6:$B$305,$C576)&amp;"",INDEX(Avulsos!$C$6:$C$205,$C576)&amp;""))</f>
        <v/>
      </c>
      <c r="G576" s="114" t="str">
        <f aca="false">IF($E576="","",IF($B576="Tema",INDEX(Config!$C$6:$C$11,$D576),"Evento avulso"))</f>
        <v/>
      </c>
      <c r="H576" s="114" t="str">
        <f aca="false">IF($E576="","",IF($B576="Tema",INDEX(Config!$D$6:$D$11,$D576),IFERROR(INDEX(Config!$E$15:$E$19,MATCH($I576,Config!$C$15:$C$19,0)),"•")))</f>
        <v/>
      </c>
      <c r="I576" s="114" t="str">
        <f aca="false">IF($E576="","",IF($B576="Tema",INDEX(Config!$E$6:$E$11,$D576),IF(INDEX(Avulsos!$D$6:$D$205,$C576)&amp;""="","Outro",INDEX(Avulsos!$D$6:$D$205,$C576))))</f>
        <v/>
      </c>
      <c r="J576" s="114" t="str">
        <f aca="false">IF($E576="","",IF($B576="Tema",INDEX(Temas!$C$6:$C$305,$C576)&amp;"",INDEX(Avulsos!$E$6:$E$205,$C576)&amp;""))</f>
        <v/>
      </c>
      <c r="K576" s="114" t="str">
        <f aca="false">IF($E576="","",IF(IF($B576="Tema",INDEX(Temas!$E$6:$P$305,$C576,2*$D576),INDEX(Avulsos!$F$6:$F$205,$C576))&amp;""="","","✓"))</f>
        <v/>
      </c>
      <c r="L576" s="114" t="str">
        <f aca="true">IF($E576="","",IF($K576="✓","Concluído",IF($E576&lt;TODAY(),"Atrasado",IF($E576=TODAY(),"Hoje","Pendente"))))</f>
        <v/>
      </c>
      <c r="M576" s="114" t="str">
        <f aca="false">IF($E576="","",IF($K576="✓","✓ ","")&amp;IF(Config!$E$22="Sim",$H576&amp;" · ","")&amp;$F576)</f>
        <v/>
      </c>
      <c r="N576" s="114" t="str">
        <f aca="false">IF($E576="","",IFERROR(INDEX(Config!$D$15:$D$19,MATCH($I576,Config!$C$15:$C$19,0)),"OUT")&amp;IF($K576="✓","x",""))</f>
        <v/>
      </c>
      <c r="O576" s="114" t="str">
        <f aca="false">IF($E576="","",COUNTIF($E$5:$E576,$E576))</f>
        <v/>
      </c>
      <c r="P576" s="114" t="str">
        <f aca="false">IF($E576="","",$E576*100+$O576)</f>
        <v/>
      </c>
      <c r="Q576" s="114" t="str">
        <f aca="false">IF($L576="Atrasado",$E576*10000+$A576,"")</f>
        <v/>
      </c>
    </row>
    <row r="577" customFormat="false" ht="15" hidden="false" customHeight="false" outlineLevel="0" collapsed="false">
      <c r="A577" s="114" t="n">
        <f aca="false">ROW()-4</f>
        <v>573</v>
      </c>
      <c r="B577" s="114" t="str">
        <f aca="false">IF(A577&lt;=Config!$E$27*Config!$E$28,"Tema","Avulso")</f>
        <v>Tema</v>
      </c>
      <c r="C577" s="114" t="n">
        <f aca="false">IF(B577="Tema",INT((A577-1)/Config!$E$28)+1,A577-Config!$E$27*Config!$E$28)</f>
        <v>96</v>
      </c>
      <c r="D577" s="114" t="n">
        <f aca="false">IF(B577="Tema",MOD(A577-1,Config!$E$28)+1,"")</f>
        <v>3</v>
      </c>
      <c r="E577" s="115" t="str">
        <f aca="false">IF($B577="Tema",IF(ISNUMBER(INDEX(Temas!$E$6:$P$305,$C577,2*$D577-1)),INDEX(Temas!$E$6:$P$305,$C577,2*$D577-1),""),IF(ISNUMBER(INDEX(Avulsos!$B$6:$B$205,$C577)),INDEX(Avulsos!$B$6:$B$205,$C577),""))</f>
        <v/>
      </c>
      <c r="F577" s="114" t="str">
        <f aca="false">IF($E577="","",IF($B577="Tema",INDEX(Temas!$B$6:$B$305,$C577)&amp;"",INDEX(Avulsos!$C$6:$C$205,$C577)&amp;""))</f>
        <v/>
      </c>
      <c r="G577" s="114" t="str">
        <f aca="false">IF($E577="","",IF($B577="Tema",INDEX(Config!$C$6:$C$11,$D577),"Evento avulso"))</f>
        <v/>
      </c>
      <c r="H577" s="114" t="str">
        <f aca="false">IF($E577="","",IF($B577="Tema",INDEX(Config!$D$6:$D$11,$D577),IFERROR(INDEX(Config!$E$15:$E$19,MATCH($I577,Config!$C$15:$C$19,0)),"•")))</f>
        <v/>
      </c>
      <c r="I577" s="114" t="str">
        <f aca="false">IF($E577="","",IF($B577="Tema",INDEX(Config!$E$6:$E$11,$D577),IF(INDEX(Avulsos!$D$6:$D$205,$C577)&amp;""="","Outro",INDEX(Avulsos!$D$6:$D$205,$C577))))</f>
        <v/>
      </c>
      <c r="J577" s="114" t="str">
        <f aca="false">IF($E577="","",IF($B577="Tema",INDEX(Temas!$C$6:$C$305,$C577)&amp;"",INDEX(Avulsos!$E$6:$E$205,$C577)&amp;""))</f>
        <v/>
      </c>
      <c r="K577" s="114" t="str">
        <f aca="false">IF($E577="","",IF(IF($B577="Tema",INDEX(Temas!$E$6:$P$305,$C577,2*$D577),INDEX(Avulsos!$F$6:$F$205,$C577))&amp;""="","","✓"))</f>
        <v/>
      </c>
      <c r="L577" s="114" t="str">
        <f aca="true">IF($E577="","",IF($K577="✓","Concluído",IF($E577&lt;TODAY(),"Atrasado",IF($E577=TODAY(),"Hoje","Pendente"))))</f>
        <v/>
      </c>
      <c r="M577" s="114" t="str">
        <f aca="false">IF($E577="","",IF($K577="✓","✓ ","")&amp;IF(Config!$E$22="Sim",$H577&amp;" · ","")&amp;$F577)</f>
        <v/>
      </c>
      <c r="N577" s="114" t="str">
        <f aca="false">IF($E577="","",IFERROR(INDEX(Config!$D$15:$D$19,MATCH($I577,Config!$C$15:$C$19,0)),"OUT")&amp;IF($K577="✓","x",""))</f>
        <v/>
      </c>
      <c r="O577" s="114" t="str">
        <f aca="false">IF($E577="","",COUNTIF($E$5:$E577,$E577))</f>
        <v/>
      </c>
      <c r="P577" s="114" t="str">
        <f aca="false">IF($E577="","",$E577*100+$O577)</f>
        <v/>
      </c>
      <c r="Q577" s="114" t="str">
        <f aca="false">IF($L577="Atrasado",$E577*10000+$A577,"")</f>
        <v/>
      </c>
    </row>
    <row r="578" customFormat="false" ht="15" hidden="false" customHeight="false" outlineLevel="0" collapsed="false">
      <c r="A578" s="114" t="n">
        <f aca="false">ROW()-4</f>
        <v>574</v>
      </c>
      <c r="B578" s="114" t="str">
        <f aca="false">IF(A578&lt;=Config!$E$27*Config!$E$28,"Tema","Avulso")</f>
        <v>Tema</v>
      </c>
      <c r="C578" s="114" t="n">
        <f aca="false">IF(B578="Tema",INT((A578-1)/Config!$E$28)+1,A578-Config!$E$27*Config!$E$28)</f>
        <v>96</v>
      </c>
      <c r="D578" s="114" t="n">
        <f aca="false">IF(B578="Tema",MOD(A578-1,Config!$E$28)+1,"")</f>
        <v>4</v>
      </c>
      <c r="E578" s="115" t="str">
        <f aca="false">IF($B578="Tema",IF(ISNUMBER(INDEX(Temas!$E$6:$P$305,$C578,2*$D578-1)),INDEX(Temas!$E$6:$P$305,$C578,2*$D578-1),""),IF(ISNUMBER(INDEX(Avulsos!$B$6:$B$205,$C578)),INDEX(Avulsos!$B$6:$B$205,$C578),""))</f>
        <v/>
      </c>
      <c r="F578" s="114" t="str">
        <f aca="false">IF($E578="","",IF($B578="Tema",INDEX(Temas!$B$6:$B$305,$C578)&amp;"",INDEX(Avulsos!$C$6:$C$205,$C578)&amp;""))</f>
        <v/>
      </c>
      <c r="G578" s="114" t="str">
        <f aca="false">IF($E578="","",IF($B578="Tema",INDEX(Config!$C$6:$C$11,$D578),"Evento avulso"))</f>
        <v/>
      </c>
      <c r="H578" s="114" t="str">
        <f aca="false">IF($E578="","",IF($B578="Tema",INDEX(Config!$D$6:$D$11,$D578),IFERROR(INDEX(Config!$E$15:$E$19,MATCH($I578,Config!$C$15:$C$19,0)),"•")))</f>
        <v/>
      </c>
      <c r="I578" s="114" t="str">
        <f aca="false">IF($E578="","",IF($B578="Tema",INDEX(Config!$E$6:$E$11,$D578),IF(INDEX(Avulsos!$D$6:$D$205,$C578)&amp;""="","Outro",INDEX(Avulsos!$D$6:$D$205,$C578))))</f>
        <v/>
      </c>
      <c r="J578" s="114" t="str">
        <f aca="false">IF($E578="","",IF($B578="Tema",INDEX(Temas!$C$6:$C$305,$C578)&amp;"",INDEX(Avulsos!$E$6:$E$205,$C578)&amp;""))</f>
        <v/>
      </c>
      <c r="K578" s="114" t="str">
        <f aca="false">IF($E578="","",IF(IF($B578="Tema",INDEX(Temas!$E$6:$P$305,$C578,2*$D578),INDEX(Avulsos!$F$6:$F$205,$C578))&amp;""="","","✓"))</f>
        <v/>
      </c>
      <c r="L578" s="114" t="str">
        <f aca="true">IF($E578="","",IF($K578="✓","Concluído",IF($E578&lt;TODAY(),"Atrasado",IF($E578=TODAY(),"Hoje","Pendente"))))</f>
        <v/>
      </c>
      <c r="M578" s="114" t="str">
        <f aca="false">IF($E578="","",IF($K578="✓","✓ ","")&amp;IF(Config!$E$22="Sim",$H578&amp;" · ","")&amp;$F578)</f>
        <v/>
      </c>
      <c r="N578" s="114" t="str">
        <f aca="false">IF($E578="","",IFERROR(INDEX(Config!$D$15:$D$19,MATCH($I578,Config!$C$15:$C$19,0)),"OUT")&amp;IF($K578="✓","x",""))</f>
        <v/>
      </c>
      <c r="O578" s="114" t="str">
        <f aca="false">IF($E578="","",COUNTIF($E$5:$E578,$E578))</f>
        <v/>
      </c>
      <c r="P578" s="114" t="str">
        <f aca="false">IF($E578="","",$E578*100+$O578)</f>
        <v/>
      </c>
      <c r="Q578" s="114" t="str">
        <f aca="false">IF($L578="Atrasado",$E578*10000+$A578,"")</f>
        <v/>
      </c>
    </row>
    <row r="579" customFormat="false" ht="15" hidden="false" customHeight="false" outlineLevel="0" collapsed="false">
      <c r="A579" s="114" t="n">
        <f aca="false">ROW()-4</f>
        <v>575</v>
      </c>
      <c r="B579" s="114" t="str">
        <f aca="false">IF(A579&lt;=Config!$E$27*Config!$E$28,"Tema","Avulso")</f>
        <v>Tema</v>
      </c>
      <c r="C579" s="114" t="n">
        <f aca="false">IF(B579="Tema",INT((A579-1)/Config!$E$28)+1,A579-Config!$E$27*Config!$E$28)</f>
        <v>96</v>
      </c>
      <c r="D579" s="114" t="n">
        <f aca="false">IF(B579="Tema",MOD(A579-1,Config!$E$28)+1,"")</f>
        <v>5</v>
      </c>
      <c r="E579" s="115" t="str">
        <f aca="false">IF($B579="Tema",IF(ISNUMBER(INDEX(Temas!$E$6:$P$305,$C579,2*$D579-1)),INDEX(Temas!$E$6:$P$305,$C579,2*$D579-1),""),IF(ISNUMBER(INDEX(Avulsos!$B$6:$B$205,$C579)),INDEX(Avulsos!$B$6:$B$205,$C579),""))</f>
        <v/>
      </c>
      <c r="F579" s="114" t="str">
        <f aca="false">IF($E579="","",IF($B579="Tema",INDEX(Temas!$B$6:$B$305,$C579)&amp;"",INDEX(Avulsos!$C$6:$C$205,$C579)&amp;""))</f>
        <v/>
      </c>
      <c r="G579" s="114" t="str">
        <f aca="false">IF($E579="","",IF($B579="Tema",INDEX(Config!$C$6:$C$11,$D579),"Evento avulso"))</f>
        <v/>
      </c>
      <c r="H579" s="114" t="str">
        <f aca="false">IF($E579="","",IF($B579="Tema",INDEX(Config!$D$6:$D$11,$D579),IFERROR(INDEX(Config!$E$15:$E$19,MATCH($I579,Config!$C$15:$C$19,0)),"•")))</f>
        <v/>
      </c>
      <c r="I579" s="114" t="str">
        <f aca="false">IF($E579="","",IF($B579="Tema",INDEX(Config!$E$6:$E$11,$D579),IF(INDEX(Avulsos!$D$6:$D$205,$C579)&amp;""="","Outro",INDEX(Avulsos!$D$6:$D$205,$C579))))</f>
        <v/>
      </c>
      <c r="J579" s="114" t="str">
        <f aca="false">IF($E579="","",IF($B579="Tema",INDEX(Temas!$C$6:$C$305,$C579)&amp;"",INDEX(Avulsos!$E$6:$E$205,$C579)&amp;""))</f>
        <v/>
      </c>
      <c r="K579" s="114" t="str">
        <f aca="false">IF($E579="","",IF(IF($B579="Tema",INDEX(Temas!$E$6:$P$305,$C579,2*$D579),INDEX(Avulsos!$F$6:$F$205,$C579))&amp;""="","","✓"))</f>
        <v/>
      </c>
      <c r="L579" s="114" t="str">
        <f aca="true">IF($E579="","",IF($K579="✓","Concluído",IF($E579&lt;TODAY(),"Atrasado",IF($E579=TODAY(),"Hoje","Pendente"))))</f>
        <v/>
      </c>
      <c r="M579" s="114" t="str">
        <f aca="false">IF($E579="","",IF($K579="✓","✓ ","")&amp;IF(Config!$E$22="Sim",$H579&amp;" · ","")&amp;$F579)</f>
        <v/>
      </c>
      <c r="N579" s="114" t="str">
        <f aca="false">IF($E579="","",IFERROR(INDEX(Config!$D$15:$D$19,MATCH($I579,Config!$C$15:$C$19,0)),"OUT")&amp;IF($K579="✓","x",""))</f>
        <v/>
      </c>
      <c r="O579" s="114" t="str">
        <f aca="false">IF($E579="","",COUNTIF($E$5:$E579,$E579))</f>
        <v/>
      </c>
      <c r="P579" s="114" t="str">
        <f aca="false">IF($E579="","",$E579*100+$O579)</f>
        <v/>
      </c>
      <c r="Q579" s="114" t="str">
        <f aca="false">IF($L579="Atrasado",$E579*10000+$A579,"")</f>
        <v/>
      </c>
    </row>
    <row r="580" customFormat="false" ht="15" hidden="false" customHeight="false" outlineLevel="0" collapsed="false">
      <c r="A580" s="114" t="n">
        <f aca="false">ROW()-4</f>
        <v>576</v>
      </c>
      <c r="B580" s="114" t="str">
        <f aca="false">IF(A580&lt;=Config!$E$27*Config!$E$28,"Tema","Avulso")</f>
        <v>Tema</v>
      </c>
      <c r="C580" s="114" t="n">
        <f aca="false">IF(B580="Tema",INT((A580-1)/Config!$E$28)+1,A580-Config!$E$27*Config!$E$28)</f>
        <v>96</v>
      </c>
      <c r="D580" s="114" t="n">
        <f aca="false">IF(B580="Tema",MOD(A580-1,Config!$E$28)+1,"")</f>
        <v>6</v>
      </c>
      <c r="E580" s="115" t="str">
        <f aca="false">IF($B580="Tema",IF(ISNUMBER(INDEX(Temas!$E$6:$P$305,$C580,2*$D580-1)),INDEX(Temas!$E$6:$P$305,$C580,2*$D580-1),""),IF(ISNUMBER(INDEX(Avulsos!$B$6:$B$205,$C580)),INDEX(Avulsos!$B$6:$B$205,$C580),""))</f>
        <v/>
      </c>
      <c r="F580" s="114" t="str">
        <f aca="false">IF($E580="","",IF($B580="Tema",INDEX(Temas!$B$6:$B$305,$C580)&amp;"",INDEX(Avulsos!$C$6:$C$205,$C580)&amp;""))</f>
        <v/>
      </c>
      <c r="G580" s="114" t="str">
        <f aca="false">IF($E580="","",IF($B580="Tema",INDEX(Config!$C$6:$C$11,$D580),"Evento avulso"))</f>
        <v/>
      </c>
      <c r="H580" s="114" t="str">
        <f aca="false">IF($E580="","",IF($B580="Tema",INDEX(Config!$D$6:$D$11,$D580),IFERROR(INDEX(Config!$E$15:$E$19,MATCH($I580,Config!$C$15:$C$19,0)),"•")))</f>
        <v/>
      </c>
      <c r="I580" s="114" t="str">
        <f aca="false">IF($E580="","",IF($B580="Tema",INDEX(Config!$E$6:$E$11,$D580),IF(INDEX(Avulsos!$D$6:$D$205,$C580)&amp;""="","Outro",INDEX(Avulsos!$D$6:$D$205,$C580))))</f>
        <v/>
      </c>
      <c r="J580" s="114" t="str">
        <f aca="false">IF($E580="","",IF($B580="Tema",INDEX(Temas!$C$6:$C$305,$C580)&amp;"",INDEX(Avulsos!$E$6:$E$205,$C580)&amp;""))</f>
        <v/>
      </c>
      <c r="K580" s="114" t="str">
        <f aca="false">IF($E580="","",IF(IF($B580="Tema",INDEX(Temas!$E$6:$P$305,$C580,2*$D580),INDEX(Avulsos!$F$6:$F$205,$C580))&amp;""="","","✓"))</f>
        <v/>
      </c>
      <c r="L580" s="114" t="str">
        <f aca="true">IF($E580="","",IF($K580="✓","Concluído",IF($E580&lt;TODAY(),"Atrasado",IF($E580=TODAY(),"Hoje","Pendente"))))</f>
        <v/>
      </c>
      <c r="M580" s="114" t="str">
        <f aca="false">IF($E580="","",IF($K580="✓","✓ ","")&amp;IF(Config!$E$22="Sim",$H580&amp;" · ","")&amp;$F580)</f>
        <v/>
      </c>
      <c r="N580" s="114" t="str">
        <f aca="false">IF($E580="","",IFERROR(INDEX(Config!$D$15:$D$19,MATCH($I580,Config!$C$15:$C$19,0)),"OUT")&amp;IF($K580="✓","x",""))</f>
        <v/>
      </c>
      <c r="O580" s="114" t="str">
        <f aca="false">IF($E580="","",COUNTIF($E$5:$E580,$E580))</f>
        <v/>
      </c>
      <c r="P580" s="114" t="str">
        <f aca="false">IF($E580="","",$E580*100+$O580)</f>
        <v/>
      </c>
      <c r="Q580" s="114" t="str">
        <f aca="false">IF($L580="Atrasado",$E580*10000+$A580,"")</f>
        <v/>
      </c>
    </row>
    <row r="581" customFormat="false" ht="15" hidden="false" customHeight="false" outlineLevel="0" collapsed="false">
      <c r="A581" s="114" t="n">
        <f aca="false">ROW()-4</f>
        <v>577</v>
      </c>
      <c r="B581" s="114" t="str">
        <f aca="false">IF(A581&lt;=Config!$E$27*Config!$E$28,"Tema","Avulso")</f>
        <v>Tema</v>
      </c>
      <c r="C581" s="114" t="n">
        <f aca="false">IF(B581="Tema",INT((A581-1)/Config!$E$28)+1,A581-Config!$E$27*Config!$E$28)</f>
        <v>97</v>
      </c>
      <c r="D581" s="114" t="n">
        <f aca="false">IF(B581="Tema",MOD(A581-1,Config!$E$28)+1,"")</f>
        <v>1</v>
      </c>
      <c r="E581" s="115" t="str">
        <f aca="false">IF($B581="Tema",IF(ISNUMBER(INDEX(Temas!$E$6:$P$305,$C581,2*$D581-1)),INDEX(Temas!$E$6:$P$305,$C581,2*$D581-1),""),IF(ISNUMBER(INDEX(Avulsos!$B$6:$B$205,$C581)),INDEX(Avulsos!$B$6:$B$205,$C581),""))</f>
        <v/>
      </c>
      <c r="F581" s="114" t="str">
        <f aca="false">IF($E581="","",IF($B581="Tema",INDEX(Temas!$B$6:$B$305,$C581)&amp;"",INDEX(Avulsos!$C$6:$C$205,$C581)&amp;""))</f>
        <v/>
      </c>
      <c r="G581" s="114" t="str">
        <f aca="false">IF($E581="","",IF($B581="Tema",INDEX(Config!$C$6:$C$11,$D581),"Evento avulso"))</f>
        <v/>
      </c>
      <c r="H581" s="114" t="str">
        <f aca="false">IF($E581="","",IF($B581="Tema",INDEX(Config!$D$6:$D$11,$D581),IFERROR(INDEX(Config!$E$15:$E$19,MATCH($I581,Config!$C$15:$C$19,0)),"•")))</f>
        <v/>
      </c>
      <c r="I581" s="114" t="str">
        <f aca="false">IF($E581="","",IF($B581="Tema",INDEX(Config!$E$6:$E$11,$D581),IF(INDEX(Avulsos!$D$6:$D$205,$C581)&amp;""="","Outro",INDEX(Avulsos!$D$6:$D$205,$C581))))</f>
        <v/>
      </c>
      <c r="J581" s="114" t="str">
        <f aca="false">IF($E581="","",IF($B581="Tema",INDEX(Temas!$C$6:$C$305,$C581)&amp;"",INDEX(Avulsos!$E$6:$E$205,$C581)&amp;""))</f>
        <v/>
      </c>
      <c r="K581" s="114" t="str">
        <f aca="false">IF($E581="","",IF(IF($B581="Tema",INDEX(Temas!$E$6:$P$305,$C581,2*$D581),INDEX(Avulsos!$F$6:$F$205,$C581))&amp;""="","","✓"))</f>
        <v/>
      </c>
      <c r="L581" s="114" t="str">
        <f aca="true">IF($E581="","",IF($K581="✓","Concluído",IF($E581&lt;TODAY(),"Atrasado",IF($E581=TODAY(),"Hoje","Pendente"))))</f>
        <v/>
      </c>
      <c r="M581" s="114" t="str">
        <f aca="false">IF($E581="","",IF($K581="✓","✓ ","")&amp;IF(Config!$E$22="Sim",$H581&amp;" · ","")&amp;$F581)</f>
        <v/>
      </c>
      <c r="N581" s="114" t="str">
        <f aca="false">IF($E581="","",IFERROR(INDEX(Config!$D$15:$D$19,MATCH($I581,Config!$C$15:$C$19,0)),"OUT")&amp;IF($K581="✓","x",""))</f>
        <v/>
      </c>
      <c r="O581" s="114" t="str">
        <f aca="false">IF($E581="","",COUNTIF($E$5:$E581,$E581))</f>
        <v/>
      </c>
      <c r="P581" s="114" t="str">
        <f aca="false">IF($E581="","",$E581*100+$O581)</f>
        <v/>
      </c>
      <c r="Q581" s="114" t="str">
        <f aca="false">IF($L581="Atrasado",$E581*10000+$A581,"")</f>
        <v/>
      </c>
    </row>
    <row r="582" customFormat="false" ht="15" hidden="false" customHeight="false" outlineLevel="0" collapsed="false">
      <c r="A582" s="114" t="n">
        <f aca="false">ROW()-4</f>
        <v>578</v>
      </c>
      <c r="B582" s="114" t="str">
        <f aca="false">IF(A582&lt;=Config!$E$27*Config!$E$28,"Tema","Avulso")</f>
        <v>Tema</v>
      </c>
      <c r="C582" s="114" t="n">
        <f aca="false">IF(B582="Tema",INT((A582-1)/Config!$E$28)+1,A582-Config!$E$27*Config!$E$28)</f>
        <v>97</v>
      </c>
      <c r="D582" s="114" t="n">
        <f aca="false">IF(B582="Tema",MOD(A582-1,Config!$E$28)+1,"")</f>
        <v>2</v>
      </c>
      <c r="E582" s="115" t="str">
        <f aca="false">IF($B582="Tema",IF(ISNUMBER(INDEX(Temas!$E$6:$P$305,$C582,2*$D582-1)),INDEX(Temas!$E$6:$P$305,$C582,2*$D582-1),""),IF(ISNUMBER(INDEX(Avulsos!$B$6:$B$205,$C582)),INDEX(Avulsos!$B$6:$B$205,$C582),""))</f>
        <v/>
      </c>
      <c r="F582" s="114" t="str">
        <f aca="false">IF($E582="","",IF($B582="Tema",INDEX(Temas!$B$6:$B$305,$C582)&amp;"",INDEX(Avulsos!$C$6:$C$205,$C582)&amp;""))</f>
        <v/>
      </c>
      <c r="G582" s="114" t="str">
        <f aca="false">IF($E582="","",IF($B582="Tema",INDEX(Config!$C$6:$C$11,$D582),"Evento avulso"))</f>
        <v/>
      </c>
      <c r="H582" s="114" t="str">
        <f aca="false">IF($E582="","",IF($B582="Tema",INDEX(Config!$D$6:$D$11,$D582),IFERROR(INDEX(Config!$E$15:$E$19,MATCH($I582,Config!$C$15:$C$19,0)),"•")))</f>
        <v/>
      </c>
      <c r="I582" s="114" t="str">
        <f aca="false">IF($E582="","",IF($B582="Tema",INDEX(Config!$E$6:$E$11,$D582),IF(INDEX(Avulsos!$D$6:$D$205,$C582)&amp;""="","Outro",INDEX(Avulsos!$D$6:$D$205,$C582))))</f>
        <v/>
      </c>
      <c r="J582" s="114" t="str">
        <f aca="false">IF($E582="","",IF($B582="Tema",INDEX(Temas!$C$6:$C$305,$C582)&amp;"",INDEX(Avulsos!$E$6:$E$205,$C582)&amp;""))</f>
        <v/>
      </c>
      <c r="K582" s="114" t="str">
        <f aca="false">IF($E582="","",IF(IF($B582="Tema",INDEX(Temas!$E$6:$P$305,$C582,2*$D582),INDEX(Avulsos!$F$6:$F$205,$C582))&amp;""="","","✓"))</f>
        <v/>
      </c>
      <c r="L582" s="114" t="str">
        <f aca="true">IF($E582="","",IF($K582="✓","Concluído",IF($E582&lt;TODAY(),"Atrasado",IF($E582=TODAY(),"Hoje","Pendente"))))</f>
        <v/>
      </c>
      <c r="M582" s="114" t="str">
        <f aca="false">IF($E582="","",IF($K582="✓","✓ ","")&amp;IF(Config!$E$22="Sim",$H582&amp;" · ","")&amp;$F582)</f>
        <v/>
      </c>
      <c r="N582" s="114" t="str">
        <f aca="false">IF($E582="","",IFERROR(INDEX(Config!$D$15:$D$19,MATCH($I582,Config!$C$15:$C$19,0)),"OUT")&amp;IF($K582="✓","x",""))</f>
        <v/>
      </c>
      <c r="O582" s="114" t="str">
        <f aca="false">IF($E582="","",COUNTIF($E$5:$E582,$E582))</f>
        <v/>
      </c>
      <c r="P582" s="114" t="str">
        <f aca="false">IF($E582="","",$E582*100+$O582)</f>
        <v/>
      </c>
      <c r="Q582" s="114" t="str">
        <f aca="false">IF($L582="Atrasado",$E582*10000+$A582,"")</f>
        <v/>
      </c>
    </row>
    <row r="583" customFormat="false" ht="15" hidden="false" customHeight="false" outlineLevel="0" collapsed="false">
      <c r="A583" s="114" t="n">
        <f aca="false">ROW()-4</f>
        <v>579</v>
      </c>
      <c r="B583" s="114" t="str">
        <f aca="false">IF(A583&lt;=Config!$E$27*Config!$E$28,"Tema","Avulso")</f>
        <v>Tema</v>
      </c>
      <c r="C583" s="114" t="n">
        <f aca="false">IF(B583="Tema",INT((A583-1)/Config!$E$28)+1,A583-Config!$E$27*Config!$E$28)</f>
        <v>97</v>
      </c>
      <c r="D583" s="114" t="n">
        <f aca="false">IF(B583="Tema",MOD(A583-1,Config!$E$28)+1,"")</f>
        <v>3</v>
      </c>
      <c r="E583" s="115" t="str">
        <f aca="false">IF($B583="Tema",IF(ISNUMBER(INDEX(Temas!$E$6:$P$305,$C583,2*$D583-1)),INDEX(Temas!$E$6:$P$305,$C583,2*$D583-1),""),IF(ISNUMBER(INDEX(Avulsos!$B$6:$B$205,$C583)),INDEX(Avulsos!$B$6:$B$205,$C583),""))</f>
        <v/>
      </c>
      <c r="F583" s="114" t="str">
        <f aca="false">IF($E583="","",IF($B583="Tema",INDEX(Temas!$B$6:$B$305,$C583)&amp;"",INDEX(Avulsos!$C$6:$C$205,$C583)&amp;""))</f>
        <v/>
      </c>
      <c r="G583" s="114" t="str">
        <f aca="false">IF($E583="","",IF($B583="Tema",INDEX(Config!$C$6:$C$11,$D583),"Evento avulso"))</f>
        <v/>
      </c>
      <c r="H583" s="114" t="str">
        <f aca="false">IF($E583="","",IF($B583="Tema",INDEX(Config!$D$6:$D$11,$D583),IFERROR(INDEX(Config!$E$15:$E$19,MATCH($I583,Config!$C$15:$C$19,0)),"•")))</f>
        <v/>
      </c>
      <c r="I583" s="114" t="str">
        <f aca="false">IF($E583="","",IF($B583="Tema",INDEX(Config!$E$6:$E$11,$D583),IF(INDEX(Avulsos!$D$6:$D$205,$C583)&amp;""="","Outro",INDEX(Avulsos!$D$6:$D$205,$C583))))</f>
        <v/>
      </c>
      <c r="J583" s="114" t="str">
        <f aca="false">IF($E583="","",IF($B583="Tema",INDEX(Temas!$C$6:$C$305,$C583)&amp;"",INDEX(Avulsos!$E$6:$E$205,$C583)&amp;""))</f>
        <v/>
      </c>
      <c r="K583" s="114" t="str">
        <f aca="false">IF($E583="","",IF(IF($B583="Tema",INDEX(Temas!$E$6:$P$305,$C583,2*$D583),INDEX(Avulsos!$F$6:$F$205,$C583))&amp;""="","","✓"))</f>
        <v/>
      </c>
      <c r="L583" s="114" t="str">
        <f aca="true">IF($E583="","",IF($K583="✓","Concluído",IF($E583&lt;TODAY(),"Atrasado",IF($E583=TODAY(),"Hoje","Pendente"))))</f>
        <v/>
      </c>
      <c r="M583" s="114" t="str">
        <f aca="false">IF($E583="","",IF($K583="✓","✓ ","")&amp;IF(Config!$E$22="Sim",$H583&amp;" · ","")&amp;$F583)</f>
        <v/>
      </c>
      <c r="N583" s="114" t="str">
        <f aca="false">IF($E583="","",IFERROR(INDEX(Config!$D$15:$D$19,MATCH($I583,Config!$C$15:$C$19,0)),"OUT")&amp;IF($K583="✓","x",""))</f>
        <v/>
      </c>
      <c r="O583" s="114" t="str">
        <f aca="false">IF($E583="","",COUNTIF($E$5:$E583,$E583))</f>
        <v/>
      </c>
      <c r="P583" s="114" t="str">
        <f aca="false">IF($E583="","",$E583*100+$O583)</f>
        <v/>
      </c>
      <c r="Q583" s="114" t="str">
        <f aca="false">IF($L583="Atrasado",$E583*10000+$A583,"")</f>
        <v/>
      </c>
    </row>
    <row r="584" customFormat="false" ht="15" hidden="false" customHeight="false" outlineLevel="0" collapsed="false">
      <c r="A584" s="114" t="n">
        <f aca="false">ROW()-4</f>
        <v>580</v>
      </c>
      <c r="B584" s="114" t="str">
        <f aca="false">IF(A584&lt;=Config!$E$27*Config!$E$28,"Tema","Avulso")</f>
        <v>Tema</v>
      </c>
      <c r="C584" s="114" t="n">
        <f aca="false">IF(B584="Tema",INT((A584-1)/Config!$E$28)+1,A584-Config!$E$27*Config!$E$28)</f>
        <v>97</v>
      </c>
      <c r="D584" s="114" t="n">
        <f aca="false">IF(B584="Tema",MOD(A584-1,Config!$E$28)+1,"")</f>
        <v>4</v>
      </c>
      <c r="E584" s="115" t="str">
        <f aca="false">IF($B584="Tema",IF(ISNUMBER(INDEX(Temas!$E$6:$P$305,$C584,2*$D584-1)),INDEX(Temas!$E$6:$P$305,$C584,2*$D584-1),""),IF(ISNUMBER(INDEX(Avulsos!$B$6:$B$205,$C584)),INDEX(Avulsos!$B$6:$B$205,$C584),""))</f>
        <v/>
      </c>
      <c r="F584" s="114" t="str">
        <f aca="false">IF($E584="","",IF($B584="Tema",INDEX(Temas!$B$6:$B$305,$C584)&amp;"",INDEX(Avulsos!$C$6:$C$205,$C584)&amp;""))</f>
        <v/>
      </c>
      <c r="G584" s="114" t="str">
        <f aca="false">IF($E584="","",IF($B584="Tema",INDEX(Config!$C$6:$C$11,$D584),"Evento avulso"))</f>
        <v/>
      </c>
      <c r="H584" s="114" t="str">
        <f aca="false">IF($E584="","",IF($B584="Tema",INDEX(Config!$D$6:$D$11,$D584),IFERROR(INDEX(Config!$E$15:$E$19,MATCH($I584,Config!$C$15:$C$19,0)),"•")))</f>
        <v/>
      </c>
      <c r="I584" s="114" t="str">
        <f aca="false">IF($E584="","",IF($B584="Tema",INDEX(Config!$E$6:$E$11,$D584),IF(INDEX(Avulsos!$D$6:$D$205,$C584)&amp;""="","Outro",INDEX(Avulsos!$D$6:$D$205,$C584))))</f>
        <v/>
      </c>
      <c r="J584" s="114" t="str">
        <f aca="false">IF($E584="","",IF($B584="Tema",INDEX(Temas!$C$6:$C$305,$C584)&amp;"",INDEX(Avulsos!$E$6:$E$205,$C584)&amp;""))</f>
        <v/>
      </c>
      <c r="K584" s="114" t="str">
        <f aca="false">IF($E584="","",IF(IF($B584="Tema",INDEX(Temas!$E$6:$P$305,$C584,2*$D584),INDEX(Avulsos!$F$6:$F$205,$C584))&amp;""="","","✓"))</f>
        <v/>
      </c>
      <c r="L584" s="114" t="str">
        <f aca="true">IF($E584="","",IF($K584="✓","Concluído",IF($E584&lt;TODAY(),"Atrasado",IF($E584=TODAY(),"Hoje","Pendente"))))</f>
        <v/>
      </c>
      <c r="M584" s="114" t="str">
        <f aca="false">IF($E584="","",IF($K584="✓","✓ ","")&amp;IF(Config!$E$22="Sim",$H584&amp;" · ","")&amp;$F584)</f>
        <v/>
      </c>
      <c r="N584" s="114" t="str">
        <f aca="false">IF($E584="","",IFERROR(INDEX(Config!$D$15:$D$19,MATCH($I584,Config!$C$15:$C$19,0)),"OUT")&amp;IF($K584="✓","x",""))</f>
        <v/>
      </c>
      <c r="O584" s="114" t="str">
        <f aca="false">IF($E584="","",COUNTIF($E$5:$E584,$E584))</f>
        <v/>
      </c>
      <c r="P584" s="114" t="str">
        <f aca="false">IF($E584="","",$E584*100+$O584)</f>
        <v/>
      </c>
      <c r="Q584" s="114" t="str">
        <f aca="false">IF($L584="Atrasado",$E584*10000+$A584,"")</f>
        <v/>
      </c>
    </row>
    <row r="585" customFormat="false" ht="15" hidden="false" customHeight="false" outlineLevel="0" collapsed="false">
      <c r="A585" s="114" t="n">
        <f aca="false">ROW()-4</f>
        <v>581</v>
      </c>
      <c r="B585" s="114" t="str">
        <f aca="false">IF(A585&lt;=Config!$E$27*Config!$E$28,"Tema","Avulso")</f>
        <v>Tema</v>
      </c>
      <c r="C585" s="114" t="n">
        <f aca="false">IF(B585="Tema",INT((A585-1)/Config!$E$28)+1,A585-Config!$E$27*Config!$E$28)</f>
        <v>97</v>
      </c>
      <c r="D585" s="114" t="n">
        <f aca="false">IF(B585="Tema",MOD(A585-1,Config!$E$28)+1,"")</f>
        <v>5</v>
      </c>
      <c r="E585" s="115" t="str">
        <f aca="false">IF($B585="Tema",IF(ISNUMBER(INDEX(Temas!$E$6:$P$305,$C585,2*$D585-1)),INDEX(Temas!$E$6:$P$305,$C585,2*$D585-1),""),IF(ISNUMBER(INDEX(Avulsos!$B$6:$B$205,$C585)),INDEX(Avulsos!$B$6:$B$205,$C585),""))</f>
        <v/>
      </c>
      <c r="F585" s="114" t="str">
        <f aca="false">IF($E585="","",IF($B585="Tema",INDEX(Temas!$B$6:$B$305,$C585)&amp;"",INDEX(Avulsos!$C$6:$C$205,$C585)&amp;""))</f>
        <v/>
      </c>
      <c r="G585" s="114" t="str">
        <f aca="false">IF($E585="","",IF($B585="Tema",INDEX(Config!$C$6:$C$11,$D585),"Evento avulso"))</f>
        <v/>
      </c>
      <c r="H585" s="114" t="str">
        <f aca="false">IF($E585="","",IF($B585="Tema",INDEX(Config!$D$6:$D$11,$D585),IFERROR(INDEX(Config!$E$15:$E$19,MATCH($I585,Config!$C$15:$C$19,0)),"•")))</f>
        <v/>
      </c>
      <c r="I585" s="114" t="str">
        <f aca="false">IF($E585="","",IF($B585="Tema",INDEX(Config!$E$6:$E$11,$D585),IF(INDEX(Avulsos!$D$6:$D$205,$C585)&amp;""="","Outro",INDEX(Avulsos!$D$6:$D$205,$C585))))</f>
        <v/>
      </c>
      <c r="J585" s="114" t="str">
        <f aca="false">IF($E585="","",IF($B585="Tema",INDEX(Temas!$C$6:$C$305,$C585)&amp;"",INDEX(Avulsos!$E$6:$E$205,$C585)&amp;""))</f>
        <v/>
      </c>
      <c r="K585" s="114" t="str">
        <f aca="false">IF($E585="","",IF(IF($B585="Tema",INDEX(Temas!$E$6:$P$305,$C585,2*$D585),INDEX(Avulsos!$F$6:$F$205,$C585))&amp;""="","","✓"))</f>
        <v/>
      </c>
      <c r="L585" s="114" t="str">
        <f aca="true">IF($E585="","",IF($K585="✓","Concluído",IF($E585&lt;TODAY(),"Atrasado",IF($E585=TODAY(),"Hoje","Pendente"))))</f>
        <v/>
      </c>
      <c r="M585" s="114" t="str">
        <f aca="false">IF($E585="","",IF($K585="✓","✓ ","")&amp;IF(Config!$E$22="Sim",$H585&amp;" · ","")&amp;$F585)</f>
        <v/>
      </c>
      <c r="N585" s="114" t="str">
        <f aca="false">IF($E585="","",IFERROR(INDEX(Config!$D$15:$D$19,MATCH($I585,Config!$C$15:$C$19,0)),"OUT")&amp;IF($K585="✓","x",""))</f>
        <v/>
      </c>
      <c r="O585" s="114" t="str">
        <f aca="false">IF($E585="","",COUNTIF($E$5:$E585,$E585))</f>
        <v/>
      </c>
      <c r="P585" s="114" t="str">
        <f aca="false">IF($E585="","",$E585*100+$O585)</f>
        <v/>
      </c>
      <c r="Q585" s="114" t="str">
        <f aca="false">IF($L585="Atrasado",$E585*10000+$A585,"")</f>
        <v/>
      </c>
    </row>
    <row r="586" customFormat="false" ht="15" hidden="false" customHeight="false" outlineLevel="0" collapsed="false">
      <c r="A586" s="114" t="n">
        <f aca="false">ROW()-4</f>
        <v>582</v>
      </c>
      <c r="B586" s="114" t="str">
        <f aca="false">IF(A586&lt;=Config!$E$27*Config!$E$28,"Tema","Avulso")</f>
        <v>Tema</v>
      </c>
      <c r="C586" s="114" t="n">
        <f aca="false">IF(B586="Tema",INT((A586-1)/Config!$E$28)+1,A586-Config!$E$27*Config!$E$28)</f>
        <v>97</v>
      </c>
      <c r="D586" s="114" t="n">
        <f aca="false">IF(B586="Tema",MOD(A586-1,Config!$E$28)+1,"")</f>
        <v>6</v>
      </c>
      <c r="E586" s="115" t="str">
        <f aca="false">IF($B586="Tema",IF(ISNUMBER(INDEX(Temas!$E$6:$P$305,$C586,2*$D586-1)),INDEX(Temas!$E$6:$P$305,$C586,2*$D586-1),""),IF(ISNUMBER(INDEX(Avulsos!$B$6:$B$205,$C586)),INDEX(Avulsos!$B$6:$B$205,$C586),""))</f>
        <v/>
      </c>
      <c r="F586" s="114" t="str">
        <f aca="false">IF($E586="","",IF($B586="Tema",INDEX(Temas!$B$6:$B$305,$C586)&amp;"",INDEX(Avulsos!$C$6:$C$205,$C586)&amp;""))</f>
        <v/>
      </c>
      <c r="G586" s="114" t="str">
        <f aca="false">IF($E586="","",IF($B586="Tema",INDEX(Config!$C$6:$C$11,$D586),"Evento avulso"))</f>
        <v/>
      </c>
      <c r="H586" s="114" t="str">
        <f aca="false">IF($E586="","",IF($B586="Tema",INDEX(Config!$D$6:$D$11,$D586),IFERROR(INDEX(Config!$E$15:$E$19,MATCH($I586,Config!$C$15:$C$19,0)),"•")))</f>
        <v/>
      </c>
      <c r="I586" s="114" t="str">
        <f aca="false">IF($E586="","",IF($B586="Tema",INDEX(Config!$E$6:$E$11,$D586),IF(INDEX(Avulsos!$D$6:$D$205,$C586)&amp;""="","Outro",INDEX(Avulsos!$D$6:$D$205,$C586))))</f>
        <v/>
      </c>
      <c r="J586" s="114" t="str">
        <f aca="false">IF($E586="","",IF($B586="Tema",INDEX(Temas!$C$6:$C$305,$C586)&amp;"",INDEX(Avulsos!$E$6:$E$205,$C586)&amp;""))</f>
        <v/>
      </c>
      <c r="K586" s="114" t="str">
        <f aca="false">IF($E586="","",IF(IF($B586="Tema",INDEX(Temas!$E$6:$P$305,$C586,2*$D586),INDEX(Avulsos!$F$6:$F$205,$C586))&amp;""="","","✓"))</f>
        <v/>
      </c>
      <c r="L586" s="114" t="str">
        <f aca="true">IF($E586="","",IF($K586="✓","Concluído",IF($E586&lt;TODAY(),"Atrasado",IF($E586=TODAY(),"Hoje","Pendente"))))</f>
        <v/>
      </c>
      <c r="M586" s="114" t="str">
        <f aca="false">IF($E586="","",IF($K586="✓","✓ ","")&amp;IF(Config!$E$22="Sim",$H586&amp;" · ","")&amp;$F586)</f>
        <v/>
      </c>
      <c r="N586" s="114" t="str">
        <f aca="false">IF($E586="","",IFERROR(INDEX(Config!$D$15:$D$19,MATCH($I586,Config!$C$15:$C$19,0)),"OUT")&amp;IF($K586="✓","x",""))</f>
        <v/>
      </c>
      <c r="O586" s="114" t="str">
        <f aca="false">IF($E586="","",COUNTIF($E$5:$E586,$E586))</f>
        <v/>
      </c>
      <c r="P586" s="114" t="str">
        <f aca="false">IF($E586="","",$E586*100+$O586)</f>
        <v/>
      </c>
      <c r="Q586" s="114" t="str">
        <f aca="false">IF($L586="Atrasado",$E586*10000+$A586,"")</f>
        <v/>
      </c>
    </row>
    <row r="587" customFormat="false" ht="15" hidden="false" customHeight="false" outlineLevel="0" collapsed="false">
      <c r="A587" s="114" t="n">
        <f aca="false">ROW()-4</f>
        <v>583</v>
      </c>
      <c r="B587" s="114" t="str">
        <f aca="false">IF(A587&lt;=Config!$E$27*Config!$E$28,"Tema","Avulso")</f>
        <v>Tema</v>
      </c>
      <c r="C587" s="114" t="n">
        <f aca="false">IF(B587="Tema",INT((A587-1)/Config!$E$28)+1,A587-Config!$E$27*Config!$E$28)</f>
        <v>98</v>
      </c>
      <c r="D587" s="114" t="n">
        <f aca="false">IF(B587="Tema",MOD(A587-1,Config!$E$28)+1,"")</f>
        <v>1</v>
      </c>
      <c r="E587" s="115" t="str">
        <f aca="false">IF($B587="Tema",IF(ISNUMBER(INDEX(Temas!$E$6:$P$305,$C587,2*$D587-1)),INDEX(Temas!$E$6:$P$305,$C587,2*$D587-1),""),IF(ISNUMBER(INDEX(Avulsos!$B$6:$B$205,$C587)),INDEX(Avulsos!$B$6:$B$205,$C587),""))</f>
        <v/>
      </c>
      <c r="F587" s="114" t="str">
        <f aca="false">IF($E587="","",IF($B587="Tema",INDEX(Temas!$B$6:$B$305,$C587)&amp;"",INDEX(Avulsos!$C$6:$C$205,$C587)&amp;""))</f>
        <v/>
      </c>
      <c r="G587" s="114" t="str">
        <f aca="false">IF($E587="","",IF($B587="Tema",INDEX(Config!$C$6:$C$11,$D587),"Evento avulso"))</f>
        <v/>
      </c>
      <c r="H587" s="114" t="str">
        <f aca="false">IF($E587="","",IF($B587="Tema",INDEX(Config!$D$6:$D$11,$D587),IFERROR(INDEX(Config!$E$15:$E$19,MATCH($I587,Config!$C$15:$C$19,0)),"•")))</f>
        <v/>
      </c>
      <c r="I587" s="114" t="str">
        <f aca="false">IF($E587="","",IF($B587="Tema",INDEX(Config!$E$6:$E$11,$D587),IF(INDEX(Avulsos!$D$6:$D$205,$C587)&amp;""="","Outro",INDEX(Avulsos!$D$6:$D$205,$C587))))</f>
        <v/>
      </c>
      <c r="J587" s="114" t="str">
        <f aca="false">IF($E587="","",IF($B587="Tema",INDEX(Temas!$C$6:$C$305,$C587)&amp;"",INDEX(Avulsos!$E$6:$E$205,$C587)&amp;""))</f>
        <v/>
      </c>
      <c r="K587" s="114" t="str">
        <f aca="false">IF($E587="","",IF(IF($B587="Tema",INDEX(Temas!$E$6:$P$305,$C587,2*$D587),INDEX(Avulsos!$F$6:$F$205,$C587))&amp;""="","","✓"))</f>
        <v/>
      </c>
      <c r="L587" s="114" t="str">
        <f aca="true">IF($E587="","",IF($K587="✓","Concluído",IF($E587&lt;TODAY(),"Atrasado",IF($E587=TODAY(),"Hoje","Pendente"))))</f>
        <v/>
      </c>
      <c r="M587" s="114" t="str">
        <f aca="false">IF($E587="","",IF($K587="✓","✓ ","")&amp;IF(Config!$E$22="Sim",$H587&amp;" · ","")&amp;$F587)</f>
        <v/>
      </c>
      <c r="N587" s="114" t="str">
        <f aca="false">IF($E587="","",IFERROR(INDEX(Config!$D$15:$D$19,MATCH($I587,Config!$C$15:$C$19,0)),"OUT")&amp;IF($K587="✓","x",""))</f>
        <v/>
      </c>
      <c r="O587" s="114" t="str">
        <f aca="false">IF($E587="","",COUNTIF($E$5:$E587,$E587))</f>
        <v/>
      </c>
      <c r="P587" s="114" t="str">
        <f aca="false">IF($E587="","",$E587*100+$O587)</f>
        <v/>
      </c>
      <c r="Q587" s="114" t="str">
        <f aca="false">IF($L587="Atrasado",$E587*10000+$A587,"")</f>
        <v/>
      </c>
    </row>
    <row r="588" customFormat="false" ht="15" hidden="false" customHeight="false" outlineLevel="0" collapsed="false">
      <c r="A588" s="114" t="n">
        <f aca="false">ROW()-4</f>
        <v>584</v>
      </c>
      <c r="B588" s="114" t="str">
        <f aca="false">IF(A588&lt;=Config!$E$27*Config!$E$28,"Tema","Avulso")</f>
        <v>Tema</v>
      </c>
      <c r="C588" s="114" t="n">
        <f aca="false">IF(B588="Tema",INT((A588-1)/Config!$E$28)+1,A588-Config!$E$27*Config!$E$28)</f>
        <v>98</v>
      </c>
      <c r="D588" s="114" t="n">
        <f aca="false">IF(B588="Tema",MOD(A588-1,Config!$E$28)+1,"")</f>
        <v>2</v>
      </c>
      <c r="E588" s="115" t="str">
        <f aca="false">IF($B588="Tema",IF(ISNUMBER(INDEX(Temas!$E$6:$P$305,$C588,2*$D588-1)),INDEX(Temas!$E$6:$P$305,$C588,2*$D588-1),""),IF(ISNUMBER(INDEX(Avulsos!$B$6:$B$205,$C588)),INDEX(Avulsos!$B$6:$B$205,$C588),""))</f>
        <v/>
      </c>
      <c r="F588" s="114" t="str">
        <f aca="false">IF($E588="","",IF($B588="Tema",INDEX(Temas!$B$6:$B$305,$C588)&amp;"",INDEX(Avulsos!$C$6:$C$205,$C588)&amp;""))</f>
        <v/>
      </c>
      <c r="G588" s="114" t="str">
        <f aca="false">IF($E588="","",IF($B588="Tema",INDEX(Config!$C$6:$C$11,$D588),"Evento avulso"))</f>
        <v/>
      </c>
      <c r="H588" s="114" t="str">
        <f aca="false">IF($E588="","",IF($B588="Tema",INDEX(Config!$D$6:$D$11,$D588),IFERROR(INDEX(Config!$E$15:$E$19,MATCH($I588,Config!$C$15:$C$19,0)),"•")))</f>
        <v/>
      </c>
      <c r="I588" s="114" t="str">
        <f aca="false">IF($E588="","",IF($B588="Tema",INDEX(Config!$E$6:$E$11,$D588),IF(INDEX(Avulsos!$D$6:$D$205,$C588)&amp;""="","Outro",INDEX(Avulsos!$D$6:$D$205,$C588))))</f>
        <v/>
      </c>
      <c r="J588" s="114" t="str">
        <f aca="false">IF($E588="","",IF($B588="Tema",INDEX(Temas!$C$6:$C$305,$C588)&amp;"",INDEX(Avulsos!$E$6:$E$205,$C588)&amp;""))</f>
        <v/>
      </c>
      <c r="K588" s="114" t="str">
        <f aca="false">IF($E588="","",IF(IF($B588="Tema",INDEX(Temas!$E$6:$P$305,$C588,2*$D588),INDEX(Avulsos!$F$6:$F$205,$C588))&amp;""="","","✓"))</f>
        <v/>
      </c>
      <c r="L588" s="114" t="str">
        <f aca="true">IF($E588="","",IF($K588="✓","Concluído",IF($E588&lt;TODAY(),"Atrasado",IF($E588=TODAY(),"Hoje","Pendente"))))</f>
        <v/>
      </c>
      <c r="M588" s="114" t="str">
        <f aca="false">IF($E588="","",IF($K588="✓","✓ ","")&amp;IF(Config!$E$22="Sim",$H588&amp;" · ","")&amp;$F588)</f>
        <v/>
      </c>
      <c r="N588" s="114" t="str">
        <f aca="false">IF($E588="","",IFERROR(INDEX(Config!$D$15:$D$19,MATCH($I588,Config!$C$15:$C$19,0)),"OUT")&amp;IF($K588="✓","x",""))</f>
        <v/>
      </c>
      <c r="O588" s="114" t="str">
        <f aca="false">IF($E588="","",COUNTIF($E$5:$E588,$E588))</f>
        <v/>
      </c>
      <c r="P588" s="114" t="str">
        <f aca="false">IF($E588="","",$E588*100+$O588)</f>
        <v/>
      </c>
      <c r="Q588" s="114" t="str">
        <f aca="false">IF($L588="Atrasado",$E588*10000+$A588,"")</f>
        <v/>
      </c>
    </row>
    <row r="589" customFormat="false" ht="15" hidden="false" customHeight="false" outlineLevel="0" collapsed="false">
      <c r="A589" s="114" t="n">
        <f aca="false">ROW()-4</f>
        <v>585</v>
      </c>
      <c r="B589" s="114" t="str">
        <f aca="false">IF(A589&lt;=Config!$E$27*Config!$E$28,"Tema","Avulso")</f>
        <v>Tema</v>
      </c>
      <c r="C589" s="114" t="n">
        <f aca="false">IF(B589="Tema",INT((A589-1)/Config!$E$28)+1,A589-Config!$E$27*Config!$E$28)</f>
        <v>98</v>
      </c>
      <c r="D589" s="114" t="n">
        <f aca="false">IF(B589="Tema",MOD(A589-1,Config!$E$28)+1,"")</f>
        <v>3</v>
      </c>
      <c r="E589" s="115" t="str">
        <f aca="false">IF($B589="Tema",IF(ISNUMBER(INDEX(Temas!$E$6:$P$305,$C589,2*$D589-1)),INDEX(Temas!$E$6:$P$305,$C589,2*$D589-1),""),IF(ISNUMBER(INDEX(Avulsos!$B$6:$B$205,$C589)),INDEX(Avulsos!$B$6:$B$205,$C589),""))</f>
        <v/>
      </c>
      <c r="F589" s="114" t="str">
        <f aca="false">IF($E589="","",IF($B589="Tema",INDEX(Temas!$B$6:$B$305,$C589)&amp;"",INDEX(Avulsos!$C$6:$C$205,$C589)&amp;""))</f>
        <v/>
      </c>
      <c r="G589" s="114" t="str">
        <f aca="false">IF($E589="","",IF($B589="Tema",INDEX(Config!$C$6:$C$11,$D589),"Evento avulso"))</f>
        <v/>
      </c>
      <c r="H589" s="114" t="str">
        <f aca="false">IF($E589="","",IF($B589="Tema",INDEX(Config!$D$6:$D$11,$D589),IFERROR(INDEX(Config!$E$15:$E$19,MATCH($I589,Config!$C$15:$C$19,0)),"•")))</f>
        <v/>
      </c>
      <c r="I589" s="114" t="str">
        <f aca="false">IF($E589="","",IF($B589="Tema",INDEX(Config!$E$6:$E$11,$D589),IF(INDEX(Avulsos!$D$6:$D$205,$C589)&amp;""="","Outro",INDEX(Avulsos!$D$6:$D$205,$C589))))</f>
        <v/>
      </c>
      <c r="J589" s="114" t="str">
        <f aca="false">IF($E589="","",IF($B589="Tema",INDEX(Temas!$C$6:$C$305,$C589)&amp;"",INDEX(Avulsos!$E$6:$E$205,$C589)&amp;""))</f>
        <v/>
      </c>
      <c r="K589" s="114" t="str">
        <f aca="false">IF($E589="","",IF(IF($B589="Tema",INDEX(Temas!$E$6:$P$305,$C589,2*$D589),INDEX(Avulsos!$F$6:$F$205,$C589))&amp;""="","","✓"))</f>
        <v/>
      </c>
      <c r="L589" s="114" t="str">
        <f aca="true">IF($E589="","",IF($K589="✓","Concluído",IF($E589&lt;TODAY(),"Atrasado",IF($E589=TODAY(),"Hoje","Pendente"))))</f>
        <v/>
      </c>
      <c r="M589" s="114" t="str">
        <f aca="false">IF($E589="","",IF($K589="✓","✓ ","")&amp;IF(Config!$E$22="Sim",$H589&amp;" · ","")&amp;$F589)</f>
        <v/>
      </c>
      <c r="N589" s="114" t="str">
        <f aca="false">IF($E589="","",IFERROR(INDEX(Config!$D$15:$D$19,MATCH($I589,Config!$C$15:$C$19,0)),"OUT")&amp;IF($K589="✓","x",""))</f>
        <v/>
      </c>
      <c r="O589" s="114" t="str">
        <f aca="false">IF($E589="","",COUNTIF($E$5:$E589,$E589))</f>
        <v/>
      </c>
      <c r="P589" s="114" t="str">
        <f aca="false">IF($E589="","",$E589*100+$O589)</f>
        <v/>
      </c>
      <c r="Q589" s="114" t="str">
        <f aca="false">IF($L589="Atrasado",$E589*10000+$A589,"")</f>
        <v/>
      </c>
    </row>
    <row r="590" customFormat="false" ht="15" hidden="false" customHeight="false" outlineLevel="0" collapsed="false">
      <c r="A590" s="114" t="n">
        <f aca="false">ROW()-4</f>
        <v>586</v>
      </c>
      <c r="B590" s="114" t="str">
        <f aca="false">IF(A590&lt;=Config!$E$27*Config!$E$28,"Tema","Avulso")</f>
        <v>Tema</v>
      </c>
      <c r="C590" s="114" t="n">
        <f aca="false">IF(B590="Tema",INT((A590-1)/Config!$E$28)+1,A590-Config!$E$27*Config!$E$28)</f>
        <v>98</v>
      </c>
      <c r="D590" s="114" t="n">
        <f aca="false">IF(B590="Tema",MOD(A590-1,Config!$E$28)+1,"")</f>
        <v>4</v>
      </c>
      <c r="E590" s="115" t="str">
        <f aca="false">IF($B590="Tema",IF(ISNUMBER(INDEX(Temas!$E$6:$P$305,$C590,2*$D590-1)),INDEX(Temas!$E$6:$P$305,$C590,2*$D590-1),""),IF(ISNUMBER(INDEX(Avulsos!$B$6:$B$205,$C590)),INDEX(Avulsos!$B$6:$B$205,$C590),""))</f>
        <v/>
      </c>
      <c r="F590" s="114" t="str">
        <f aca="false">IF($E590="","",IF($B590="Tema",INDEX(Temas!$B$6:$B$305,$C590)&amp;"",INDEX(Avulsos!$C$6:$C$205,$C590)&amp;""))</f>
        <v/>
      </c>
      <c r="G590" s="114" t="str">
        <f aca="false">IF($E590="","",IF($B590="Tema",INDEX(Config!$C$6:$C$11,$D590),"Evento avulso"))</f>
        <v/>
      </c>
      <c r="H590" s="114" t="str">
        <f aca="false">IF($E590="","",IF($B590="Tema",INDEX(Config!$D$6:$D$11,$D590),IFERROR(INDEX(Config!$E$15:$E$19,MATCH($I590,Config!$C$15:$C$19,0)),"•")))</f>
        <v/>
      </c>
      <c r="I590" s="114" t="str">
        <f aca="false">IF($E590="","",IF($B590="Tema",INDEX(Config!$E$6:$E$11,$D590),IF(INDEX(Avulsos!$D$6:$D$205,$C590)&amp;""="","Outro",INDEX(Avulsos!$D$6:$D$205,$C590))))</f>
        <v/>
      </c>
      <c r="J590" s="114" t="str">
        <f aca="false">IF($E590="","",IF($B590="Tema",INDEX(Temas!$C$6:$C$305,$C590)&amp;"",INDEX(Avulsos!$E$6:$E$205,$C590)&amp;""))</f>
        <v/>
      </c>
      <c r="K590" s="114" t="str">
        <f aca="false">IF($E590="","",IF(IF($B590="Tema",INDEX(Temas!$E$6:$P$305,$C590,2*$D590),INDEX(Avulsos!$F$6:$F$205,$C590))&amp;""="","","✓"))</f>
        <v/>
      </c>
      <c r="L590" s="114" t="str">
        <f aca="true">IF($E590="","",IF($K590="✓","Concluído",IF($E590&lt;TODAY(),"Atrasado",IF($E590=TODAY(),"Hoje","Pendente"))))</f>
        <v/>
      </c>
      <c r="M590" s="114" t="str">
        <f aca="false">IF($E590="","",IF($K590="✓","✓ ","")&amp;IF(Config!$E$22="Sim",$H590&amp;" · ","")&amp;$F590)</f>
        <v/>
      </c>
      <c r="N590" s="114" t="str">
        <f aca="false">IF($E590="","",IFERROR(INDEX(Config!$D$15:$D$19,MATCH($I590,Config!$C$15:$C$19,0)),"OUT")&amp;IF($K590="✓","x",""))</f>
        <v/>
      </c>
      <c r="O590" s="114" t="str">
        <f aca="false">IF($E590="","",COUNTIF($E$5:$E590,$E590))</f>
        <v/>
      </c>
      <c r="P590" s="114" t="str">
        <f aca="false">IF($E590="","",$E590*100+$O590)</f>
        <v/>
      </c>
      <c r="Q590" s="114" t="str">
        <f aca="false">IF($L590="Atrasado",$E590*10000+$A590,"")</f>
        <v/>
      </c>
    </row>
    <row r="591" customFormat="false" ht="15" hidden="false" customHeight="false" outlineLevel="0" collapsed="false">
      <c r="A591" s="114" t="n">
        <f aca="false">ROW()-4</f>
        <v>587</v>
      </c>
      <c r="B591" s="114" t="str">
        <f aca="false">IF(A591&lt;=Config!$E$27*Config!$E$28,"Tema","Avulso")</f>
        <v>Tema</v>
      </c>
      <c r="C591" s="114" t="n">
        <f aca="false">IF(B591="Tema",INT((A591-1)/Config!$E$28)+1,A591-Config!$E$27*Config!$E$28)</f>
        <v>98</v>
      </c>
      <c r="D591" s="114" t="n">
        <f aca="false">IF(B591="Tema",MOD(A591-1,Config!$E$28)+1,"")</f>
        <v>5</v>
      </c>
      <c r="E591" s="115" t="str">
        <f aca="false">IF($B591="Tema",IF(ISNUMBER(INDEX(Temas!$E$6:$P$305,$C591,2*$D591-1)),INDEX(Temas!$E$6:$P$305,$C591,2*$D591-1),""),IF(ISNUMBER(INDEX(Avulsos!$B$6:$B$205,$C591)),INDEX(Avulsos!$B$6:$B$205,$C591),""))</f>
        <v/>
      </c>
      <c r="F591" s="114" t="str">
        <f aca="false">IF($E591="","",IF($B591="Tema",INDEX(Temas!$B$6:$B$305,$C591)&amp;"",INDEX(Avulsos!$C$6:$C$205,$C591)&amp;""))</f>
        <v/>
      </c>
      <c r="G591" s="114" t="str">
        <f aca="false">IF($E591="","",IF($B591="Tema",INDEX(Config!$C$6:$C$11,$D591),"Evento avulso"))</f>
        <v/>
      </c>
      <c r="H591" s="114" t="str">
        <f aca="false">IF($E591="","",IF($B591="Tema",INDEX(Config!$D$6:$D$11,$D591),IFERROR(INDEX(Config!$E$15:$E$19,MATCH($I591,Config!$C$15:$C$19,0)),"•")))</f>
        <v/>
      </c>
      <c r="I591" s="114" t="str">
        <f aca="false">IF($E591="","",IF($B591="Tema",INDEX(Config!$E$6:$E$11,$D591),IF(INDEX(Avulsos!$D$6:$D$205,$C591)&amp;""="","Outro",INDEX(Avulsos!$D$6:$D$205,$C591))))</f>
        <v/>
      </c>
      <c r="J591" s="114" t="str">
        <f aca="false">IF($E591="","",IF($B591="Tema",INDEX(Temas!$C$6:$C$305,$C591)&amp;"",INDEX(Avulsos!$E$6:$E$205,$C591)&amp;""))</f>
        <v/>
      </c>
      <c r="K591" s="114" t="str">
        <f aca="false">IF($E591="","",IF(IF($B591="Tema",INDEX(Temas!$E$6:$P$305,$C591,2*$D591),INDEX(Avulsos!$F$6:$F$205,$C591))&amp;""="","","✓"))</f>
        <v/>
      </c>
      <c r="L591" s="114" t="str">
        <f aca="true">IF($E591="","",IF($K591="✓","Concluído",IF($E591&lt;TODAY(),"Atrasado",IF($E591=TODAY(),"Hoje","Pendente"))))</f>
        <v/>
      </c>
      <c r="M591" s="114" t="str">
        <f aca="false">IF($E591="","",IF($K591="✓","✓ ","")&amp;IF(Config!$E$22="Sim",$H591&amp;" · ","")&amp;$F591)</f>
        <v/>
      </c>
      <c r="N591" s="114" t="str">
        <f aca="false">IF($E591="","",IFERROR(INDEX(Config!$D$15:$D$19,MATCH($I591,Config!$C$15:$C$19,0)),"OUT")&amp;IF($K591="✓","x",""))</f>
        <v/>
      </c>
      <c r="O591" s="114" t="str">
        <f aca="false">IF($E591="","",COUNTIF($E$5:$E591,$E591))</f>
        <v/>
      </c>
      <c r="P591" s="114" t="str">
        <f aca="false">IF($E591="","",$E591*100+$O591)</f>
        <v/>
      </c>
      <c r="Q591" s="114" t="str">
        <f aca="false">IF($L591="Atrasado",$E591*10000+$A591,"")</f>
        <v/>
      </c>
    </row>
    <row r="592" customFormat="false" ht="15" hidden="false" customHeight="false" outlineLevel="0" collapsed="false">
      <c r="A592" s="114" t="n">
        <f aca="false">ROW()-4</f>
        <v>588</v>
      </c>
      <c r="B592" s="114" t="str">
        <f aca="false">IF(A592&lt;=Config!$E$27*Config!$E$28,"Tema","Avulso")</f>
        <v>Tema</v>
      </c>
      <c r="C592" s="114" t="n">
        <f aca="false">IF(B592="Tema",INT((A592-1)/Config!$E$28)+1,A592-Config!$E$27*Config!$E$28)</f>
        <v>98</v>
      </c>
      <c r="D592" s="114" t="n">
        <f aca="false">IF(B592="Tema",MOD(A592-1,Config!$E$28)+1,"")</f>
        <v>6</v>
      </c>
      <c r="E592" s="115" t="str">
        <f aca="false">IF($B592="Tema",IF(ISNUMBER(INDEX(Temas!$E$6:$P$305,$C592,2*$D592-1)),INDEX(Temas!$E$6:$P$305,$C592,2*$D592-1),""),IF(ISNUMBER(INDEX(Avulsos!$B$6:$B$205,$C592)),INDEX(Avulsos!$B$6:$B$205,$C592),""))</f>
        <v/>
      </c>
      <c r="F592" s="114" t="str">
        <f aca="false">IF($E592="","",IF($B592="Tema",INDEX(Temas!$B$6:$B$305,$C592)&amp;"",INDEX(Avulsos!$C$6:$C$205,$C592)&amp;""))</f>
        <v/>
      </c>
      <c r="G592" s="114" t="str">
        <f aca="false">IF($E592="","",IF($B592="Tema",INDEX(Config!$C$6:$C$11,$D592),"Evento avulso"))</f>
        <v/>
      </c>
      <c r="H592" s="114" t="str">
        <f aca="false">IF($E592="","",IF($B592="Tema",INDEX(Config!$D$6:$D$11,$D592),IFERROR(INDEX(Config!$E$15:$E$19,MATCH($I592,Config!$C$15:$C$19,0)),"•")))</f>
        <v/>
      </c>
      <c r="I592" s="114" t="str">
        <f aca="false">IF($E592="","",IF($B592="Tema",INDEX(Config!$E$6:$E$11,$D592),IF(INDEX(Avulsos!$D$6:$D$205,$C592)&amp;""="","Outro",INDEX(Avulsos!$D$6:$D$205,$C592))))</f>
        <v/>
      </c>
      <c r="J592" s="114" t="str">
        <f aca="false">IF($E592="","",IF($B592="Tema",INDEX(Temas!$C$6:$C$305,$C592)&amp;"",INDEX(Avulsos!$E$6:$E$205,$C592)&amp;""))</f>
        <v/>
      </c>
      <c r="K592" s="114" t="str">
        <f aca="false">IF($E592="","",IF(IF($B592="Tema",INDEX(Temas!$E$6:$P$305,$C592,2*$D592),INDEX(Avulsos!$F$6:$F$205,$C592))&amp;""="","","✓"))</f>
        <v/>
      </c>
      <c r="L592" s="114" t="str">
        <f aca="true">IF($E592="","",IF($K592="✓","Concluído",IF($E592&lt;TODAY(),"Atrasado",IF($E592=TODAY(),"Hoje","Pendente"))))</f>
        <v/>
      </c>
      <c r="M592" s="114" t="str">
        <f aca="false">IF($E592="","",IF($K592="✓","✓ ","")&amp;IF(Config!$E$22="Sim",$H592&amp;" · ","")&amp;$F592)</f>
        <v/>
      </c>
      <c r="N592" s="114" t="str">
        <f aca="false">IF($E592="","",IFERROR(INDEX(Config!$D$15:$D$19,MATCH($I592,Config!$C$15:$C$19,0)),"OUT")&amp;IF($K592="✓","x",""))</f>
        <v/>
      </c>
      <c r="O592" s="114" t="str">
        <f aca="false">IF($E592="","",COUNTIF($E$5:$E592,$E592))</f>
        <v/>
      </c>
      <c r="P592" s="114" t="str">
        <f aca="false">IF($E592="","",$E592*100+$O592)</f>
        <v/>
      </c>
      <c r="Q592" s="114" t="str">
        <f aca="false">IF($L592="Atrasado",$E592*10000+$A592,"")</f>
        <v/>
      </c>
    </row>
    <row r="593" customFormat="false" ht="15" hidden="false" customHeight="false" outlineLevel="0" collapsed="false">
      <c r="A593" s="114" t="n">
        <f aca="false">ROW()-4</f>
        <v>589</v>
      </c>
      <c r="B593" s="114" t="str">
        <f aca="false">IF(A593&lt;=Config!$E$27*Config!$E$28,"Tema","Avulso")</f>
        <v>Tema</v>
      </c>
      <c r="C593" s="114" t="n">
        <f aca="false">IF(B593="Tema",INT((A593-1)/Config!$E$28)+1,A593-Config!$E$27*Config!$E$28)</f>
        <v>99</v>
      </c>
      <c r="D593" s="114" t="n">
        <f aca="false">IF(B593="Tema",MOD(A593-1,Config!$E$28)+1,"")</f>
        <v>1</v>
      </c>
      <c r="E593" s="115" t="str">
        <f aca="false">IF($B593="Tema",IF(ISNUMBER(INDEX(Temas!$E$6:$P$305,$C593,2*$D593-1)),INDEX(Temas!$E$6:$P$305,$C593,2*$D593-1),""),IF(ISNUMBER(INDEX(Avulsos!$B$6:$B$205,$C593)),INDEX(Avulsos!$B$6:$B$205,$C593),""))</f>
        <v/>
      </c>
      <c r="F593" s="114" t="str">
        <f aca="false">IF($E593="","",IF($B593="Tema",INDEX(Temas!$B$6:$B$305,$C593)&amp;"",INDEX(Avulsos!$C$6:$C$205,$C593)&amp;""))</f>
        <v/>
      </c>
      <c r="G593" s="114" t="str">
        <f aca="false">IF($E593="","",IF($B593="Tema",INDEX(Config!$C$6:$C$11,$D593),"Evento avulso"))</f>
        <v/>
      </c>
      <c r="H593" s="114" t="str">
        <f aca="false">IF($E593="","",IF($B593="Tema",INDEX(Config!$D$6:$D$11,$D593),IFERROR(INDEX(Config!$E$15:$E$19,MATCH($I593,Config!$C$15:$C$19,0)),"•")))</f>
        <v/>
      </c>
      <c r="I593" s="114" t="str">
        <f aca="false">IF($E593="","",IF($B593="Tema",INDEX(Config!$E$6:$E$11,$D593),IF(INDEX(Avulsos!$D$6:$D$205,$C593)&amp;""="","Outro",INDEX(Avulsos!$D$6:$D$205,$C593))))</f>
        <v/>
      </c>
      <c r="J593" s="114" t="str">
        <f aca="false">IF($E593="","",IF($B593="Tema",INDEX(Temas!$C$6:$C$305,$C593)&amp;"",INDEX(Avulsos!$E$6:$E$205,$C593)&amp;""))</f>
        <v/>
      </c>
      <c r="K593" s="114" t="str">
        <f aca="false">IF($E593="","",IF(IF($B593="Tema",INDEX(Temas!$E$6:$P$305,$C593,2*$D593),INDEX(Avulsos!$F$6:$F$205,$C593))&amp;""="","","✓"))</f>
        <v/>
      </c>
      <c r="L593" s="114" t="str">
        <f aca="true">IF($E593="","",IF($K593="✓","Concluído",IF($E593&lt;TODAY(),"Atrasado",IF($E593=TODAY(),"Hoje","Pendente"))))</f>
        <v/>
      </c>
      <c r="M593" s="114" t="str">
        <f aca="false">IF($E593="","",IF($K593="✓","✓ ","")&amp;IF(Config!$E$22="Sim",$H593&amp;" · ","")&amp;$F593)</f>
        <v/>
      </c>
      <c r="N593" s="114" t="str">
        <f aca="false">IF($E593="","",IFERROR(INDEX(Config!$D$15:$D$19,MATCH($I593,Config!$C$15:$C$19,0)),"OUT")&amp;IF($K593="✓","x",""))</f>
        <v/>
      </c>
      <c r="O593" s="114" t="str">
        <f aca="false">IF($E593="","",COUNTIF($E$5:$E593,$E593))</f>
        <v/>
      </c>
      <c r="P593" s="114" t="str">
        <f aca="false">IF($E593="","",$E593*100+$O593)</f>
        <v/>
      </c>
      <c r="Q593" s="114" t="str">
        <f aca="false">IF($L593="Atrasado",$E593*10000+$A593,"")</f>
        <v/>
      </c>
    </row>
    <row r="594" customFormat="false" ht="15" hidden="false" customHeight="false" outlineLevel="0" collapsed="false">
      <c r="A594" s="114" t="n">
        <f aca="false">ROW()-4</f>
        <v>590</v>
      </c>
      <c r="B594" s="114" t="str">
        <f aca="false">IF(A594&lt;=Config!$E$27*Config!$E$28,"Tema","Avulso")</f>
        <v>Tema</v>
      </c>
      <c r="C594" s="114" t="n">
        <f aca="false">IF(B594="Tema",INT((A594-1)/Config!$E$28)+1,A594-Config!$E$27*Config!$E$28)</f>
        <v>99</v>
      </c>
      <c r="D594" s="114" t="n">
        <f aca="false">IF(B594="Tema",MOD(A594-1,Config!$E$28)+1,"")</f>
        <v>2</v>
      </c>
      <c r="E594" s="115" t="str">
        <f aca="false">IF($B594="Tema",IF(ISNUMBER(INDEX(Temas!$E$6:$P$305,$C594,2*$D594-1)),INDEX(Temas!$E$6:$P$305,$C594,2*$D594-1),""),IF(ISNUMBER(INDEX(Avulsos!$B$6:$B$205,$C594)),INDEX(Avulsos!$B$6:$B$205,$C594),""))</f>
        <v/>
      </c>
      <c r="F594" s="114" t="str">
        <f aca="false">IF($E594="","",IF($B594="Tema",INDEX(Temas!$B$6:$B$305,$C594)&amp;"",INDEX(Avulsos!$C$6:$C$205,$C594)&amp;""))</f>
        <v/>
      </c>
      <c r="G594" s="114" t="str">
        <f aca="false">IF($E594="","",IF($B594="Tema",INDEX(Config!$C$6:$C$11,$D594),"Evento avulso"))</f>
        <v/>
      </c>
      <c r="H594" s="114" t="str">
        <f aca="false">IF($E594="","",IF($B594="Tema",INDEX(Config!$D$6:$D$11,$D594),IFERROR(INDEX(Config!$E$15:$E$19,MATCH($I594,Config!$C$15:$C$19,0)),"•")))</f>
        <v/>
      </c>
      <c r="I594" s="114" t="str">
        <f aca="false">IF($E594="","",IF($B594="Tema",INDEX(Config!$E$6:$E$11,$D594),IF(INDEX(Avulsos!$D$6:$D$205,$C594)&amp;""="","Outro",INDEX(Avulsos!$D$6:$D$205,$C594))))</f>
        <v/>
      </c>
      <c r="J594" s="114" t="str">
        <f aca="false">IF($E594="","",IF($B594="Tema",INDEX(Temas!$C$6:$C$305,$C594)&amp;"",INDEX(Avulsos!$E$6:$E$205,$C594)&amp;""))</f>
        <v/>
      </c>
      <c r="K594" s="114" t="str">
        <f aca="false">IF($E594="","",IF(IF($B594="Tema",INDEX(Temas!$E$6:$P$305,$C594,2*$D594),INDEX(Avulsos!$F$6:$F$205,$C594))&amp;""="","","✓"))</f>
        <v/>
      </c>
      <c r="L594" s="114" t="str">
        <f aca="true">IF($E594="","",IF($K594="✓","Concluído",IF($E594&lt;TODAY(),"Atrasado",IF($E594=TODAY(),"Hoje","Pendente"))))</f>
        <v/>
      </c>
      <c r="M594" s="114" t="str">
        <f aca="false">IF($E594="","",IF($K594="✓","✓ ","")&amp;IF(Config!$E$22="Sim",$H594&amp;" · ","")&amp;$F594)</f>
        <v/>
      </c>
      <c r="N594" s="114" t="str">
        <f aca="false">IF($E594="","",IFERROR(INDEX(Config!$D$15:$D$19,MATCH($I594,Config!$C$15:$C$19,0)),"OUT")&amp;IF($K594="✓","x",""))</f>
        <v/>
      </c>
      <c r="O594" s="114" t="str">
        <f aca="false">IF($E594="","",COUNTIF($E$5:$E594,$E594))</f>
        <v/>
      </c>
      <c r="P594" s="114" t="str">
        <f aca="false">IF($E594="","",$E594*100+$O594)</f>
        <v/>
      </c>
      <c r="Q594" s="114" t="str">
        <f aca="false">IF($L594="Atrasado",$E594*10000+$A594,"")</f>
        <v/>
      </c>
    </row>
    <row r="595" customFormat="false" ht="15" hidden="false" customHeight="false" outlineLevel="0" collapsed="false">
      <c r="A595" s="114" t="n">
        <f aca="false">ROW()-4</f>
        <v>591</v>
      </c>
      <c r="B595" s="114" t="str">
        <f aca="false">IF(A595&lt;=Config!$E$27*Config!$E$28,"Tema","Avulso")</f>
        <v>Tema</v>
      </c>
      <c r="C595" s="114" t="n">
        <f aca="false">IF(B595="Tema",INT((A595-1)/Config!$E$28)+1,A595-Config!$E$27*Config!$E$28)</f>
        <v>99</v>
      </c>
      <c r="D595" s="114" t="n">
        <f aca="false">IF(B595="Tema",MOD(A595-1,Config!$E$28)+1,"")</f>
        <v>3</v>
      </c>
      <c r="E595" s="115" t="str">
        <f aca="false">IF($B595="Tema",IF(ISNUMBER(INDEX(Temas!$E$6:$P$305,$C595,2*$D595-1)),INDEX(Temas!$E$6:$P$305,$C595,2*$D595-1),""),IF(ISNUMBER(INDEX(Avulsos!$B$6:$B$205,$C595)),INDEX(Avulsos!$B$6:$B$205,$C595),""))</f>
        <v/>
      </c>
      <c r="F595" s="114" t="str">
        <f aca="false">IF($E595="","",IF($B595="Tema",INDEX(Temas!$B$6:$B$305,$C595)&amp;"",INDEX(Avulsos!$C$6:$C$205,$C595)&amp;""))</f>
        <v/>
      </c>
      <c r="G595" s="114" t="str">
        <f aca="false">IF($E595="","",IF($B595="Tema",INDEX(Config!$C$6:$C$11,$D595),"Evento avulso"))</f>
        <v/>
      </c>
      <c r="H595" s="114" t="str">
        <f aca="false">IF($E595="","",IF($B595="Tema",INDEX(Config!$D$6:$D$11,$D595),IFERROR(INDEX(Config!$E$15:$E$19,MATCH($I595,Config!$C$15:$C$19,0)),"•")))</f>
        <v/>
      </c>
      <c r="I595" s="114" t="str">
        <f aca="false">IF($E595="","",IF($B595="Tema",INDEX(Config!$E$6:$E$11,$D595),IF(INDEX(Avulsos!$D$6:$D$205,$C595)&amp;""="","Outro",INDEX(Avulsos!$D$6:$D$205,$C595))))</f>
        <v/>
      </c>
      <c r="J595" s="114" t="str">
        <f aca="false">IF($E595="","",IF($B595="Tema",INDEX(Temas!$C$6:$C$305,$C595)&amp;"",INDEX(Avulsos!$E$6:$E$205,$C595)&amp;""))</f>
        <v/>
      </c>
      <c r="K595" s="114" t="str">
        <f aca="false">IF($E595="","",IF(IF($B595="Tema",INDEX(Temas!$E$6:$P$305,$C595,2*$D595),INDEX(Avulsos!$F$6:$F$205,$C595))&amp;""="","","✓"))</f>
        <v/>
      </c>
      <c r="L595" s="114" t="str">
        <f aca="true">IF($E595="","",IF($K595="✓","Concluído",IF($E595&lt;TODAY(),"Atrasado",IF($E595=TODAY(),"Hoje","Pendente"))))</f>
        <v/>
      </c>
      <c r="M595" s="114" t="str">
        <f aca="false">IF($E595="","",IF($K595="✓","✓ ","")&amp;IF(Config!$E$22="Sim",$H595&amp;" · ","")&amp;$F595)</f>
        <v/>
      </c>
      <c r="N595" s="114" t="str">
        <f aca="false">IF($E595="","",IFERROR(INDEX(Config!$D$15:$D$19,MATCH($I595,Config!$C$15:$C$19,0)),"OUT")&amp;IF($K595="✓","x",""))</f>
        <v/>
      </c>
      <c r="O595" s="114" t="str">
        <f aca="false">IF($E595="","",COUNTIF($E$5:$E595,$E595))</f>
        <v/>
      </c>
      <c r="P595" s="114" t="str">
        <f aca="false">IF($E595="","",$E595*100+$O595)</f>
        <v/>
      </c>
      <c r="Q595" s="114" t="str">
        <f aca="false">IF($L595="Atrasado",$E595*10000+$A595,"")</f>
        <v/>
      </c>
    </row>
    <row r="596" customFormat="false" ht="15" hidden="false" customHeight="false" outlineLevel="0" collapsed="false">
      <c r="A596" s="114" t="n">
        <f aca="false">ROW()-4</f>
        <v>592</v>
      </c>
      <c r="B596" s="114" t="str">
        <f aca="false">IF(A596&lt;=Config!$E$27*Config!$E$28,"Tema","Avulso")</f>
        <v>Tema</v>
      </c>
      <c r="C596" s="114" t="n">
        <f aca="false">IF(B596="Tema",INT((A596-1)/Config!$E$28)+1,A596-Config!$E$27*Config!$E$28)</f>
        <v>99</v>
      </c>
      <c r="D596" s="114" t="n">
        <f aca="false">IF(B596="Tema",MOD(A596-1,Config!$E$28)+1,"")</f>
        <v>4</v>
      </c>
      <c r="E596" s="115" t="str">
        <f aca="false">IF($B596="Tema",IF(ISNUMBER(INDEX(Temas!$E$6:$P$305,$C596,2*$D596-1)),INDEX(Temas!$E$6:$P$305,$C596,2*$D596-1),""),IF(ISNUMBER(INDEX(Avulsos!$B$6:$B$205,$C596)),INDEX(Avulsos!$B$6:$B$205,$C596),""))</f>
        <v/>
      </c>
      <c r="F596" s="114" t="str">
        <f aca="false">IF($E596="","",IF($B596="Tema",INDEX(Temas!$B$6:$B$305,$C596)&amp;"",INDEX(Avulsos!$C$6:$C$205,$C596)&amp;""))</f>
        <v/>
      </c>
      <c r="G596" s="114" t="str">
        <f aca="false">IF($E596="","",IF($B596="Tema",INDEX(Config!$C$6:$C$11,$D596),"Evento avulso"))</f>
        <v/>
      </c>
      <c r="H596" s="114" t="str">
        <f aca="false">IF($E596="","",IF($B596="Tema",INDEX(Config!$D$6:$D$11,$D596),IFERROR(INDEX(Config!$E$15:$E$19,MATCH($I596,Config!$C$15:$C$19,0)),"•")))</f>
        <v/>
      </c>
      <c r="I596" s="114" t="str">
        <f aca="false">IF($E596="","",IF($B596="Tema",INDEX(Config!$E$6:$E$11,$D596),IF(INDEX(Avulsos!$D$6:$D$205,$C596)&amp;""="","Outro",INDEX(Avulsos!$D$6:$D$205,$C596))))</f>
        <v/>
      </c>
      <c r="J596" s="114" t="str">
        <f aca="false">IF($E596="","",IF($B596="Tema",INDEX(Temas!$C$6:$C$305,$C596)&amp;"",INDEX(Avulsos!$E$6:$E$205,$C596)&amp;""))</f>
        <v/>
      </c>
      <c r="K596" s="114" t="str">
        <f aca="false">IF($E596="","",IF(IF($B596="Tema",INDEX(Temas!$E$6:$P$305,$C596,2*$D596),INDEX(Avulsos!$F$6:$F$205,$C596))&amp;""="","","✓"))</f>
        <v/>
      </c>
      <c r="L596" s="114" t="str">
        <f aca="true">IF($E596="","",IF($K596="✓","Concluído",IF($E596&lt;TODAY(),"Atrasado",IF($E596=TODAY(),"Hoje","Pendente"))))</f>
        <v/>
      </c>
      <c r="M596" s="114" t="str">
        <f aca="false">IF($E596="","",IF($K596="✓","✓ ","")&amp;IF(Config!$E$22="Sim",$H596&amp;" · ","")&amp;$F596)</f>
        <v/>
      </c>
      <c r="N596" s="114" t="str">
        <f aca="false">IF($E596="","",IFERROR(INDEX(Config!$D$15:$D$19,MATCH($I596,Config!$C$15:$C$19,0)),"OUT")&amp;IF($K596="✓","x",""))</f>
        <v/>
      </c>
      <c r="O596" s="114" t="str">
        <f aca="false">IF($E596="","",COUNTIF($E$5:$E596,$E596))</f>
        <v/>
      </c>
      <c r="P596" s="114" t="str">
        <f aca="false">IF($E596="","",$E596*100+$O596)</f>
        <v/>
      </c>
      <c r="Q596" s="114" t="str">
        <f aca="false">IF($L596="Atrasado",$E596*10000+$A596,"")</f>
        <v/>
      </c>
    </row>
    <row r="597" customFormat="false" ht="15" hidden="false" customHeight="false" outlineLevel="0" collapsed="false">
      <c r="A597" s="114" t="n">
        <f aca="false">ROW()-4</f>
        <v>593</v>
      </c>
      <c r="B597" s="114" t="str">
        <f aca="false">IF(A597&lt;=Config!$E$27*Config!$E$28,"Tema","Avulso")</f>
        <v>Tema</v>
      </c>
      <c r="C597" s="114" t="n">
        <f aca="false">IF(B597="Tema",INT((A597-1)/Config!$E$28)+1,A597-Config!$E$27*Config!$E$28)</f>
        <v>99</v>
      </c>
      <c r="D597" s="114" t="n">
        <f aca="false">IF(B597="Tema",MOD(A597-1,Config!$E$28)+1,"")</f>
        <v>5</v>
      </c>
      <c r="E597" s="115" t="str">
        <f aca="false">IF($B597="Tema",IF(ISNUMBER(INDEX(Temas!$E$6:$P$305,$C597,2*$D597-1)),INDEX(Temas!$E$6:$P$305,$C597,2*$D597-1),""),IF(ISNUMBER(INDEX(Avulsos!$B$6:$B$205,$C597)),INDEX(Avulsos!$B$6:$B$205,$C597),""))</f>
        <v/>
      </c>
      <c r="F597" s="114" t="str">
        <f aca="false">IF($E597="","",IF($B597="Tema",INDEX(Temas!$B$6:$B$305,$C597)&amp;"",INDEX(Avulsos!$C$6:$C$205,$C597)&amp;""))</f>
        <v/>
      </c>
      <c r="G597" s="114" t="str">
        <f aca="false">IF($E597="","",IF($B597="Tema",INDEX(Config!$C$6:$C$11,$D597),"Evento avulso"))</f>
        <v/>
      </c>
      <c r="H597" s="114" t="str">
        <f aca="false">IF($E597="","",IF($B597="Tema",INDEX(Config!$D$6:$D$11,$D597),IFERROR(INDEX(Config!$E$15:$E$19,MATCH($I597,Config!$C$15:$C$19,0)),"•")))</f>
        <v/>
      </c>
      <c r="I597" s="114" t="str">
        <f aca="false">IF($E597="","",IF($B597="Tema",INDEX(Config!$E$6:$E$11,$D597),IF(INDEX(Avulsos!$D$6:$D$205,$C597)&amp;""="","Outro",INDEX(Avulsos!$D$6:$D$205,$C597))))</f>
        <v/>
      </c>
      <c r="J597" s="114" t="str">
        <f aca="false">IF($E597="","",IF($B597="Tema",INDEX(Temas!$C$6:$C$305,$C597)&amp;"",INDEX(Avulsos!$E$6:$E$205,$C597)&amp;""))</f>
        <v/>
      </c>
      <c r="K597" s="114" t="str">
        <f aca="false">IF($E597="","",IF(IF($B597="Tema",INDEX(Temas!$E$6:$P$305,$C597,2*$D597),INDEX(Avulsos!$F$6:$F$205,$C597))&amp;""="","","✓"))</f>
        <v/>
      </c>
      <c r="L597" s="114" t="str">
        <f aca="true">IF($E597="","",IF($K597="✓","Concluído",IF($E597&lt;TODAY(),"Atrasado",IF($E597=TODAY(),"Hoje","Pendente"))))</f>
        <v/>
      </c>
      <c r="M597" s="114" t="str">
        <f aca="false">IF($E597="","",IF($K597="✓","✓ ","")&amp;IF(Config!$E$22="Sim",$H597&amp;" · ","")&amp;$F597)</f>
        <v/>
      </c>
      <c r="N597" s="114" t="str">
        <f aca="false">IF($E597="","",IFERROR(INDEX(Config!$D$15:$D$19,MATCH($I597,Config!$C$15:$C$19,0)),"OUT")&amp;IF($K597="✓","x",""))</f>
        <v/>
      </c>
      <c r="O597" s="114" t="str">
        <f aca="false">IF($E597="","",COUNTIF($E$5:$E597,$E597))</f>
        <v/>
      </c>
      <c r="P597" s="114" t="str">
        <f aca="false">IF($E597="","",$E597*100+$O597)</f>
        <v/>
      </c>
      <c r="Q597" s="114" t="str">
        <f aca="false">IF($L597="Atrasado",$E597*10000+$A597,"")</f>
        <v/>
      </c>
    </row>
    <row r="598" customFormat="false" ht="15" hidden="false" customHeight="false" outlineLevel="0" collapsed="false">
      <c r="A598" s="114" t="n">
        <f aca="false">ROW()-4</f>
        <v>594</v>
      </c>
      <c r="B598" s="114" t="str">
        <f aca="false">IF(A598&lt;=Config!$E$27*Config!$E$28,"Tema","Avulso")</f>
        <v>Tema</v>
      </c>
      <c r="C598" s="114" t="n">
        <f aca="false">IF(B598="Tema",INT((A598-1)/Config!$E$28)+1,A598-Config!$E$27*Config!$E$28)</f>
        <v>99</v>
      </c>
      <c r="D598" s="114" t="n">
        <f aca="false">IF(B598="Tema",MOD(A598-1,Config!$E$28)+1,"")</f>
        <v>6</v>
      </c>
      <c r="E598" s="115" t="str">
        <f aca="false">IF($B598="Tema",IF(ISNUMBER(INDEX(Temas!$E$6:$P$305,$C598,2*$D598-1)),INDEX(Temas!$E$6:$P$305,$C598,2*$D598-1),""),IF(ISNUMBER(INDEX(Avulsos!$B$6:$B$205,$C598)),INDEX(Avulsos!$B$6:$B$205,$C598),""))</f>
        <v/>
      </c>
      <c r="F598" s="114" t="str">
        <f aca="false">IF($E598="","",IF($B598="Tema",INDEX(Temas!$B$6:$B$305,$C598)&amp;"",INDEX(Avulsos!$C$6:$C$205,$C598)&amp;""))</f>
        <v/>
      </c>
      <c r="G598" s="114" t="str">
        <f aca="false">IF($E598="","",IF($B598="Tema",INDEX(Config!$C$6:$C$11,$D598),"Evento avulso"))</f>
        <v/>
      </c>
      <c r="H598" s="114" t="str">
        <f aca="false">IF($E598="","",IF($B598="Tema",INDEX(Config!$D$6:$D$11,$D598),IFERROR(INDEX(Config!$E$15:$E$19,MATCH($I598,Config!$C$15:$C$19,0)),"•")))</f>
        <v/>
      </c>
      <c r="I598" s="114" t="str">
        <f aca="false">IF($E598="","",IF($B598="Tema",INDEX(Config!$E$6:$E$11,$D598),IF(INDEX(Avulsos!$D$6:$D$205,$C598)&amp;""="","Outro",INDEX(Avulsos!$D$6:$D$205,$C598))))</f>
        <v/>
      </c>
      <c r="J598" s="114" t="str">
        <f aca="false">IF($E598="","",IF($B598="Tema",INDEX(Temas!$C$6:$C$305,$C598)&amp;"",INDEX(Avulsos!$E$6:$E$205,$C598)&amp;""))</f>
        <v/>
      </c>
      <c r="K598" s="114" t="str">
        <f aca="false">IF($E598="","",IF(IF($B598="Tema",INDEX(Temas!$E$6:$P$305,$C598,2*$D598),INDEX(Avulsos!$F$6:$F$205,$C598))&amp;""="","","✓"))</f>
        <v/>
      </c>
      <c r="L598" s="114" t="str">
        <f aca="true">IF($E598="","",IF($K598="✓","Concluído",IF($E598&lt;TODAY(),"Atrasado",IF($E598=TODAY(),"Hoje","Pendente"))))</f>
        <v/>
      </c>
      <c r="M598" s="114" t="str">
        <f aca="false">IF($E598="","",IF($K598="✓","✓ ","")&amp;IF(Config!$E$22="Sim",$H598&amp;" · ","")&amp;$F598)</f>
        <v/>
      </c>
      <c r="N598" s="114" t="str">
        <f aca="false">IF($E598="","",IFERROR(INDEX(Config!$D$15:$D$19,MATCH($I598,Config!$C$15:$C$19,0)),"OUT")&amp;IF($K598="✓","x",""))</f>
        <v/>
      </c>
      <c r="O598" s="114" t="str">
        <f aca="false">IF($E598="","",COUNTIF($E$5:$E598,$E598))</f>
        <v/>
      </c>
      <c r="P598" s="114" t="str">
        <f aca="false">IF($E598="","",$E598*100+$O598)</f>
        <v/>
      </c>
      <c r="Q598" s="114" t="str">
        <f aca="false">IF($L598="Atrasado",$E598*10000+$A598,"")</f>
        <v/>
      </c>
    </row>
    <row r="599" customFormat="false" ht="15" hidden="false" customHeight="false" outlineLevel="0" collapsed="false">
      <c r="A599" s="114" t="n">
        <f aca="false">ROW()-4</f>
        <v>595</v>
      </c>
      <c r="B599" s="114" t="str">
        <f aca="false">IF(A599&lt;=Config!$E$27*Config!$E$28,"Tema","Avulso")</f>
        <v>Tema</v>
      </c>
      <c r="C599" s="114" t="n">
        <f aca="false">IF(B599="Tema",INT((A599-1)/Config!$E$28)+1,A599-Config!$E$27*Config!$E$28)</f>
        <v>100</v>
      </c>
      <c r="D599" s="114" t="n">
        <f aca="false">IF(B599="Tema",MOD(A599-1,Config!$E$28)+1,"")</f>
        <v>1</v>
      </c>
      <c r="E599" s="115" t="str">
        <f aca="false">IF($B599="Tema",IF(ISNUMBER(INDEX(Temas!$E$6:$P$305,$C599,2*$D599-1)),INDEX(Temas!$E$6:$P$305,$C599,2*$D599-1),""),IF(ISNUMBER(INDEX(Avulsos!$B$6:$B$205,$C599)),INDEX(Avulsos!$B$6:$B$205,$C599),""))</f>
        <v/>
      </c>
      <c r="F599" s="114" t="str">
        <f aca="false">IF($E599="","",IF($B599="Tema",INDEX(Temas!$B$6:$B$305,$C599)&amp;"",INDEX(Avulsos!$C$6:$C$205,$C599)&amp;""))</f>
        <v/>
      </c>
      <c r="G599" s="114" t="str">
        <f aca="false">IF($E599="","",IF($B599="Tema",INDEX(Config!$C$6:$C$11,$D599),"Evento avulso"))</f>
        <v/>
      </c>
      <c r="H599" s="114" t="str">
        <f aca="false">IF($E599="","",IF($B599="Tema",INDEX(Config!$D$6:$D$11,$D599),IFERROR(INDEX(Config!$E$15:$E$19,MATCH($I599,Config!$C$15:$C$19,0)),"•")))</f>
        <v/>
      </c>
      <c r="I599" s="114" t="str">
        <f aca="false">IF($E599="","",IF($B599="Tema",INDEX(Config!$E$6:$E$11,$D599),IF(INDEX(Avulsos!$D$6:$D$205,$C599)&amp;""="","Outro",INDEX(Avulsos!$D$6:$D$205,$C599))))</f>
        <v/>
      </c>
      <c r="J599" s="114" t="str">
        <f aca="false">IF($E599="","",IF($B599="Tema",INDEX(Temas!$C$6:$C$305,$C599)&amp;"",INDEX(Avulsos!$E$6:$E$205,$C599)&amp;""))</f>
        <v/>
      </c>
      <c r="K599" s="114" t="str">
        <f aca="false">IF($E599="","",IF(IF($B599="Tema",INDEX(Temas!$E$6:$P$305,$C599,2*$D599),INDEX(Avulsos!$F$6:$F$205,$C599))&amp;""="","","✓"))</f>
        <v/>
      </c>
      <c r="L599" s="114" t="str">
        <f aca="true">IF($E599="","",IF($K599="✓","Concluído",IF($E599&lt;TODAY(),"Atrasado",IF($E599=TODAY(),"Hoje","Pendente"))))</f>
        <v/>
      </c>
      <c r="M599" s="114" t="str">
        <f aca="false">IF($E599="","",IF($K599="✓","✓ ","")&amp;IF(Config!$E$22="Sim",$H599&amp;" · ","")&amp;$F599)</f>
        <v/>
      </c>
      <c r="N599" s="114" t="str">
        <f aca="false">IF($E599="","",IFERROR(INDEX(Config!$D$15:$D$19,MATCH($I599,Config!$C$15:$C$19,0)),"OUT")&amp;IF($K599="✓","x",""))</f>
        <v/>
      </c>
      <c r="O599" s="114" t="str">
        <f aca="false">IF($E599="","",COUNTIF($E$5:$E599,$E599))</f>
        <v/>
      </c>
      <c r="P599" s="114" t="str">
        <f aca="false">IF($E599="","",$E599*100+$O599)</f>
        <v/>
      </c>
      <c r="Q599" s="114" t="str">
        <f aca="false">IF($L599="Atrasado",$E599*10000+$A599,"")</f>
        <v/>
      </c>
    </row>
    <row r="600" customFormat="false" ht="15" hidden="false" customHeight="false" outlineLevel="0" collapsed="false">
      <c r="A600" s="114" t="n">
        <f aca="false">ROW()-4</f>
        <v>596</v>
      </c>
      <c r="B600" s="114" t="str">
        <f aca="false">IF(A600&lt;=Config!$E$27*Config!$E$28,"Tema","Avulso")</f>
        <v>Tema</v>
      </c>
      <c r="C600" s="114" t="n">
        <f aca="false">IF(B600="Tema",INT((A600-1)/Config!$E$28)+1,A600-Config!$E$27*Config!$E$28)</f>
        <v>100</v>
      </c>
      <c r="D600" s="114" t="n">
        <f aca="false">IF(B600="Tema",MOD(A600-1,Config!$E$28)+1,"")</f>
        <v>2</v>
      </c>
      <c r="E600" s="115" t="str">
        <f aca="false">IF($B600="Tema",IF(ISNUMBER(INDEX(Temas!$E$6:$P$305,$C600,2*$D600-1)),INDEX(Temas!$E$6:$P$305,$C600,2*$D600-1),""),IF(ISNUMBER(INDEX(Avulsos!$B$6:$B$205,$C600)),INDEX(Avulsos!$B$6:$B$205,$C600),""))</f>
        <v/>
      </c>
      <c r="F600" s="114" t="str">
        <f aca="false">IF($E600="","",IF($B600="Tema",INDEX(Temas!$B$6:$B$305,$C600)&amp;"",INDEX(Avulsos!$C$6:$C$205,$C600)&amp;""))</f>
        <v/>
      </c>
      <c r="G600" s="114" t="str">
        <f aca="false">IF($E600="","",IF($B600="Tema",INDEX(Config!$C$6:$C$11,$D600),"Evento avulso"))</f>
        <v/>
      </c>
      <c r="H600" s="114" t="str">
        <f aca="false">IF($E600="","",IF($B600="Tema",INDEX(Config!$D$6:$D$11,$D600),IFERROR(INDEX(Config!$E$15:$E$19,MATCH($I600,Config!$C$15:$C$19,0)),"•")))</f>
        <v/>
      </c>
      <c r="I600" s="114" t="str">
        <f aca="false">IF($E600="","",IF($B600="Tema",INDEX(Config!$E$6:$E$11,$D600),IF(INDEX(Avulsos!$D$6:$D$205,$C600)&amp;""="","Outro",INDEX(Avulsos!$D$6:$D$205,$C600))))</f>
        <v/>
      </c>
      <c r="J600" s="114" t="str">
        <f aca="false">IF($E600="","",IF($B600="Tema",INDEX(Temas!$C$6:$C$305,$C600)&amp;"",INDEX(Avulsos!$E$6:$E$205,$C600)&amp;""))</f>
        <v/>
      </c>
      <c r="K600" s="114" t="str">
        <f aca="false">IF($E600="","",IF(IF($B600="Tema",INDEX(Temas!$E$6:$P$305,$C600,2*$D600),INDEX(Avulsos!$F$6:$F$205,$C600))&amp;""="","","✓"))</f>
        <v/>
      </c>
      <c r="L600" s="114" t="str">
        <f aca="true">IF($E600="","",IF($K600="✓","Concluído",IF($E600&lt;TODAY(),"Atrasado",IF($E600=TODAY(),"Hoje","Pendente"))))</f>
        <v/>
      </c>
      <c r="M600" s="114" t="str">
        <f aca="false">IF($E600="","",IF($K600="✓","✓ ","")&amp;IF(Config!$E$22="Sim",$H600&amp;" · ","")&amp;$F600)</f>
        <v/>
      </c>
      <c r="N600" s="114" t="str">
        <f aca="false">IF($E600="","",IFERROR(INDEX(Config!$D$15:$D$19,MATCH($I600,Config!$C$15:$C$19,0)),"OUT")&amp;IF($K600="✓","x",""))</f>
        <v/>
      </c>
      <c r="O600" s="114" t="str">
        <f aca="false">IF($E600="","",COUNTIF($E$5:$E600,$E600))</f>
        <v/>
      </c>
      <c r="P600" s="114" t="str">
        <f aca="false">IF($E600="","",$E600*100+$O600)</f>
        <v/>
      </c>
      <c r="Q600" s="114" t="str">
        <f aca="false">IF($L600="Atrasado",$E600*10000+$A600,"")</f>
        <v/>
      </c>
    </row>
    <row r="601" customFormat="false" ht="15" hidden="false" customHeight="false" outlineLevel="0" collapsed="false">
      <c r="A601" s="114" t="n">
        <f aca="false">ROW()-4</f>
        <v>597</v>
      </c>
      <c r="B601" s="114" t="str">
        <f aca="false">IF(A601&lt;=Config!$E$27*Config!$E$28,"Tema","Avulso")</f>
        <v>Tema</v>
      </c>
      <c r="C601" s="114" t="n">
        <f aca="false">IF(B601="Tema",INT((A601-1)/Config!$E$28)+1,A601-Config!$E$27*Config!$E$28)</f>
        <v>100</v>
      </c>
      <c r="D601" s="114" t="n">
        <f aca="false">IF(B601="Tema",MOD(A601-1,Config!$E$28)+1,"")</f>
        <v>3</v>
      </c>
      <c r="E601" s="115" t="str">
        <f aca="false">IF($B601="Tema",IF(ISNUMBER(INDEX(Temas!$E$6:$P$305,$C601,2*$D601-1)),INDEX(Temas!$E$6:$P$305,$C601,2*$D601-1),""),IF(ISNUMBER(INDEX(Avulsos!$B$6:$B$205,$C601)),INDEX(Avulsos!$B$6:$B$205,$C601),""))</f>
        <v/>
      </c>
      <c r="F601" s="114" t="str">
        <f aca="false">IF($E601="","",IF($B601="Tema",INDEX(Temas!$B$6:$B$305,$C601)&amp;"",INDEX(Avulsos!$C$6:$C$205,$C601)&amp;""))</f>
        <v/>
      </c>
      <c r="G601" s="114" t="str">
        <f aca="false">IF($E601="","",IF($B601="Tema",INDEX(Config!$C$6:$C$11,$D601),"Evento avulso"))</f>
        <v/>
      </c>
      <c r="H601" s="114" t="str">
        <f aca="false">IF($E601="","",IF($B601="Tema",INDEX(Config!$D$6:$D$11,$D601),IFERROR(INDEX(Config!$E$15:$E$19,MATCH($I601,Config!$C$15:$C$19,0)),"•")))</f>
        <v/>
      </c>
      <c r="I601" s="114" t="str">
        <f aca="false">IF($E601="","",IF($B601="Tema",INDEX(Config!$E$6:$E$11,$D601),IF(INDEX(Avulsos!$D$6:$D$205,$C601)&amp;""="","Outro",INDEX(Avulsos!$D$6:$D$205,$C601))))</f>
        <v/>
      </c>
      <c r="J601" s="114" t="str">
        <f aca="false">IF($E601="","",IF($B601="Tema",INDEX(Temas!$C$6:$C$305,$C601)&amp;"",INDEX(Avulsos!$E$6:$E$205,$C601)&amp;""))</f>
        <v/>
      </c>
      <c r="K601" s="114" t="str">
        <f aca="false">IF($E601="","",IF(IF($B601="Tema",INDEX(Temas!$E$6:$P$305,$C601,2*$D601),INDEX(Avulsos!$F$6:$F$205,$C601))&amp;""="","","✓"))</f>
        <v/>
      </c>
      <c r="L601" s="114" t="str">
        <f aca="true">IF($E601="","",IF($K601="✓","Concluído",IF($E601&lt;TODAY(),"Atrasado",IF($E601=TODAY(),"Hoje","Pendente"))))</f>
        <v/>
      </c>
      <c r="M601" s="114" t="str">
        <f aca="false">IF($E601="","",IF($K601="✓","✓ ","")&amp;IF(Config!$E$22="Sim",$H601&amp;" · ","")&amp;$F601)</f>
        <v/>
      </c>
      <c r="N601" s="114" t="str">
        <f aca="false">IF($E601="","",IFERROR(INDEX(Config!$D$15:$D$19,MATCH($I601,Config!$C$15:$C$19,0)),"OUT")&amp;IF($K601="✓","x",""))</f>
        <v/>
      </c>
      <c r="O601" s="114" t="str">
        <f aca="false">IF($E601="","",COUNTIF($E$5:$E601,$E601))</f>
        <v/>
      </c>
      <c r="P601" s="114" t="str">
        <f aca="false">IF($E601="","",$E601*100+$O601)</f>
        <v/>
      </c>
      <c r="Q601" s="114" t="str">
        <f aca="false">IF($L601="Atrasado",$E601*10000+$A601,"")</f>
        <v/>
      </c>
    </row>
    <row r="602" customFormat="false" ht="15" hidden="false" customHeight="false" outlineLevel="0" collapsed="false">
      <c r="A602" s="114" t="n">
        <f aca="false">ROW()-4</f>
        <v>598</v>
      </c>
      <c r="B602" s="114" t="str">
        <f aca="false">IF(A602&lt;=Config!$E$27*Config!$E$28,"Tema","Avulso")</f>
        <v>Tema</v>
      </c>
      <c r="C602" s="114" t="n">
        <f aca="false">IF(B602="Tema",INT((A602-1)/Config!$E$28)+1,A602-Config!$E$27*Config!$E$28)</f>
        <v>100</v>
      </c>
      <c r="D602" s="114" t="n">
        <f aca="false">IF(B602="Tema",MOD(A602-1,Config!$E$28)+1,"")</f>
        <v>4</v>
      </c>
      <c r="E602" s="115" t="str">
        <f aca="false">IF($B602="Tema",IF(ISNUMBER(INDEX(Temas!$E$6:$P$305,$C602,2*$D602-1)),INDEX(Temas!$E$6:$P$305,$C602,2*$D602-1),""),IF(ISNUMBER(INDEX(Avulsos!$B$6:$B$205,$C602)),INDEX(Avulsos!$B$6:$B$205,$C602),""))</f>
        <v/>
      </c>
      <c r="F602" s="114" t="str">
        <f aca="false">IF($E602="","",IF($B602="Tema",INDEX(Temas!$B$6:$B$305,$C602)&amp;"",INDEX(Avulsos!$C$6:$C$205,$C602)&amp;""))</f>
        <v/>
      </c>
      <c r="G602" s="114" t="str">
        <f aca="false">IF($E602="","",IF($B602="Tema",INDEX(Config!$C$6:$C$11,$D602),"Evento avulso"))</f>
        <v/>
      </c>
      <c r="H602" s="114" t="str">
        <f aca="false">IF($E602="","",IF($B602="Tema",INDEX(Config!$D$6:$D$11,$D602),IFERROR(INDEX(Config!$E$15:$E$19,MATCH($I602,Config!$C$15:$C$19,0)),"•")))</f>
        <v/>
      </c>
      <c r="I602" s="114" t="str">
        <f aca="false">IF($E602="","",IF($B602="Tema",INDEX(Config!$E$6:$E$11,$D602),IF(INDEX(Avulsos!$D$6:$D$205,$C602)&amp;""="","Outro",INDEX(Avulsos!$D$6:$D$205,$C602))))</f>
        <v/>
      </c>
      <c r="J602" s="114" t="str">
        <f aca="false">IF($E602="","",IF($B602="Tema",INDEX(Temas!$C$6:$C$305,$C602)&amp;"",INDEX(Avulsos!$E$6:$E$205,$C602)&amp;""))</f>
        <v/>
      </c>
      <c r="K602" s="114" t="str">
        <f aca="false">IF($E602="","",IF(IF($B602="Tema",INDEX(Temas!$E$6:$P$305,$C602,2*$D602),INDEX(Avulsos!$F$6:$F$205,$C602))&amp;""="","","✓"))</f>
        <v/>
      </c>
      <c r="L602" s="114" t="str">
        <f aca="true">IF($E602="","",IF($K602="✓","Concluído",IF($E602&lt;TODAY(),"Atrasado",IF($E602=TODAY(),"Hoje","Pendente"))))</f>
        <v/>
      </c>
      <c r="M602" s="114" t="str">
        <f aca="false">IF($E602="","",IF($K602="✓","✓ ","")&amp;IF(Config!$E$22="Sim",$H602&amp;" · ","")&amp;$F602)</f>
        <v/>
      </c>
      <c r="N602" s="114" t="str">
        <f aca="false">IF($E602="","",IFERROR(INDEX(Config!$D$15:$D$19,MATCH($I602,Config!$C$15:$C$19,0)),"OUT")&amp;IF($K602="✓","x",""))</f>
        <v/>
      </c>
      <c r="O602" s="114" t="str">
        <f aca="false">IF($E602="","",COUNTIF($E$5:$E602,$E602))</f>
        <v/>
      </c>
      <c r="P602" s="114" t="str">
        <f aca="false">IF($E602="","",$E602*100+$O602)</f>
        <v/>
      </c>
      <c r="Q602" s="114" t="str">
        <f aca="false">IF($L602="Atrasado",$E602*10000+$A602,"")</f>
        <v/>
      </c>
    </row>
    <row r="603" customFormat="false" ht="15" hidden="false" customHeight="false" outlineLevel="0" collapsed="false">
      <c r="A603" s="114" t="n">
        <f aca="false">ROW()-4</f>
        <v>599</v>
      </c>
      <c r="B603" s="114" t="str">
        <f aca="false">IF(A603&lt;=Config!$E$27*Config!$E$28,"Tema","Avulso")</f>
        <v>Tema</v>
      </c>
      <c r="C603" s="114" t="n">
        <f aca="false">IF(B603="Tema",INT((A603-1)/Config!$E$28)+1,A603-Config!$E$27*Config!$E$28)</f>
        <v>100</v>
      </c>
      <c r="D603" s="114" t="n">
        <f aca="false">IF(B603="Tema",MOD(A603-1,Config!$E$28)+1,"")</f>
        <v>5</v>
      </c>
      <c r="E603" s="115" t="str">
        <f aca="false">IF($B603="Tema",IF(ISNUMBER(INDEX(Temas!$E$6:$P$305,$C603,2*$D603-1)),INDEX(Temas!$E$6:$P$305,$C603,2*$D603-1),""),IF(ISNUMBER(INDEX(Avulsos!$B$6:$B$205,$C603)),INDEX(Avulsos!$B$6:$B$205,$C603),""))</f>
        <v/>
      </c>
      <c r="F603" s="114" t="str">
        <f aca="false">IF($E603="","",IF($B603="Tema",INDEX(Temas!$B$6:$B$305,$C603)&amp;"",INDEX(Avulsos!$C$6:$C$205,$C603)&amp;""))</f>
        <v/>
      </c>
      <c r="G603" s="114" t="str">
        <f aca="false">IF($E603="","",IF($B603="Tema",INDEX(Config!$C$6:$C$11,$D603),"Evento avulso"))</f>
        <v/>
      </c>
      <c r="H603" s="114" t="str">
        <f aca="false">IF($E603="","",IF($B603="Tema",INDEX(Config!$D$6:$D$11,$D603),IFERROR(INDEX(Config!$E$15:$E$19,MATCH($I603,Config!$C$15:$C$19,0)),"•")))</f>
        <v/>
      </c>
      <c r="I603" s="114" t="str">
        <f aca="false">IF($E603="","",IF($B603="Tema",INDEX(Config!$E$6:$E$11,$D603),IF(INDEX(Avulsos!$D$6:$D$205,$C603)&amp;""="","Outro",INDEX(Avulsos!$D$6:$D$205,$C603))))</f>
        <v/>
      </c>
      <c r="J603" s="114" t="str">
        <f aca="false">IF($E603="","",IF($B603="Tema",INDEX(Temas!$C$6:$C$305,$C603)&amp;"",INDEX(Avulsos!$E$6:$E$205,$C603)&amp;""))</f>
        <v/>
      </c>
      <c r="K603" s="114" t="str">
        <f aca="false">IF($E603="","",IF(IF($B603="Tema",INDEX(Temas!$E$6:$P$305,$C603,2*$D603),INDEX(Avulsos!$F$6:$F$205,$C603))&amp;""="","","✓"))</f>
        <v/>
      </c>
      <c r="L603" s="114" t="str">
        <f aca="true">IF($E603="","",IF($K603="✓","Concluído",IF($E603&lt;TODAY(),"Atrasado",IF($E603=TODAY(),"Hoje","Pendente"))))</f>
        <v/>
      </c>
      <c r="M603" s="114" t="str">
        <f aca="false">IF($E603="","",IF($K603="✓","✓ ","")&amp;IF(Config!$E$22="Sim",$H603&amp;" · ","")&amp;$F603)</f>
        <v/>
      </c>
      <c r="N603" s="114" t="str">
        <f aca="false">IF($E603="","",IFERROR(INDEX(Config!$D$15:$D$19,MATCH($I603,Config!$C$15:$C$19,0)),"OUT")&amp;IF($K603="✓","x",""))</f>
        <v/>
      </c>
      <c r="O603" s="114" t="str">
        <f aca="false">IF($E603="","",COUNTIF($E$5:$E603,$E603))</f>
        <v/>
      </c>
      <c r="P603" s="114" t="str">
        <f aca="false">IF($E603="","",$E603*100+$O603)</f>
        <v/>
      </c>
      <c r="Q603" s="114" t="str">
        <f aca="false">IF($L603="Atrasado",$E603*10000+$A603,"")</f>
        <v/>
      </c>
    </row>
    <row r="604" customFormat="false" ht="15" hidden="false" customHeight="false" outlineLevel="0" collapsed="false">
      <c r="A604" s="114" t="n">
        <f aca="false">ROW()-4</f>
        <v>600</v>
      </c>
      <c r="B604" s="114" t="str">
        <f aca="false">IF(A604&lt;=Config!$E$27*Config!$E$28,"Tema","Avulso")</f>
        <v>Tema</v>
      </c>
      <c r="C604" s="114" t="n">
        <f aca="false">IF(B604="Tema",INT((A604-1)/Config!$E$28)+1,A604-Config!$E$27*Config!$E$28)</f>
        <v>100</v>
      </c>
      <c r="D604" s="114" t="n">
        <f aca="false">IF(B604="Tema",MOD(A604-1,Config!$E$28)+1,"")</f>
        <v>6</v>
      </c>
      <c r="E604" s="115" t="str">
        <f aca="false">IF($B604="Tema",IF(ISNUMBER(INDEX(Temas!$E$6:$P$305,$C604,2*$D604-1)),INDEX(Temas!$E$6:$P$305,$C604,2*$D604-1),""),IF(ISNUMBER(INDEX(Avulsos!$B$6:$B$205,$C604)),INDEX(Avulsos!$B$6:$B$205,$C604),""))</f>
        <v/>
      </c>
      <c r="F604" s="114" t="str">
        <f aca="false">IF($E604="","",IF($B604="Tema",INDEX(Temas!$B$6:$B$305,$C604)&amp;"",INDEX(Avulsos!$C$6:$C$205,$C604)&amp;""))</f>
        <v/>
      </c>
      <c r="G604" s="114" t="str">
        <f aca="false">IF($E604="","",IF($B604="Tema",INDEX(Config!$C$6:$C$11,$D604),"Evento avulso"))</f>
        <v/>
      </c>
      <c r="H604" s="114" t="str">
        <f aca="false">IF($E604="","",IF($B604="Tema",INDEX(Config!$D$6:$D$11,$D604),IFERROR(INDEX(Config!$E$15:$E$19,MATCH($I604,Config!$C$15:$C$19,0)),"•")))</f>
        <v/>
      </c>
      <c r="I604" s="114" t="str">
        <f aca="false">IF($E604="","",IF($B604="Tema",INDEX(Config!$E$6:$E$11,$D604),IF(INDEX(Avulsos!$D$6:$D$205,$C604)&amp;""="","Outro",INDEX(Avulsos!$D$6:$D$205,$C604))))</f>
        <v/>
      </c>
      <c r="J604" s="114" t="str">
        <f aca="false">IF($E604="","",IF($B604="Tema",INDEX(Temas!$C$6:$C$305,$C604)&amp;"",INDEX(Avulsos!$E$6:$E$205,$C604)&amp;""))</f>
        <v/>
      </c>
      <c r="K604" s="114" t="str">
        <f aca="false">IF($E604="","",IF(IF($B604="Tema",INDEX(Temas!$E$6:$P$305,$C604,2*$D604),INDEX(Avulsos!$F$6:$F$205,$C604))&amp;""="","","✓"))</f>
        <v/>
      </c>
      <c r="L604" s="114" t="str">
        <f aca="true">IF($E604="","",IF($K604="✓","Concluído",IF($E604&lt;TODAY(),"Atrasado",IF($E604=TODAY(),"Hoje","Pendente"))))</f>
        <v/>
      </c>
      <c r="M604" s="114" t="str">
        <f aca="false">IF($E604="","",IF($K604="✓","✓ ","")&amp;IF(Config!$E$22="Sim",$H604&amp;" · ","")&amp;$F604)</f>
        <v/>
      </c>
      <c r="N604" s="114" t="str">
        <f aca="false">IF($E604="","",IFERROR(INDEX(Config!$D$15:$D$19,MATCH($I604,Config!$C$15:$C$19,0)),"OUT")&amp;IF($K604="✓","x",""))</f>
        <v/>
      </c>
      <c r="O604" s="114" t="str">
        <f aca="false">IF($E604="","",COUNTIF($E$5:$E604,$E604))</f>
        <v/>
      </c>
      <c r="P604" s="114" t="str">
        <f aca="false">IF($E604="","",$E604*100+$O604)</f>
        <v/>
      </c>
      <c r="Q604" s="114" t="str">
        <f aca="false">IF($L604="Atrasado",$E604*10000+$A604,"")</f>
        <v/>
      </c>
    </row>
    <row r="605" customFormat="false" ht="15" hidden="false" customHeight="false" outlineLevel="0" collapsed="false">
      <c r="A605" s="114" t="n">
        <f aca="false">ROW()-4</f>
        <v>601</v>
      </c>
      <c r="B605" s="114" t="str">
        <f aca="false">IF(A605&lt;=Config!$E$27*Config!$E$28,"Tema","Avulso")</f>
        <v>Tema</v>
      </c>
      <c r="C605" s="114" t="n">
        <f aca="false">IF(B605="Tema",INT((A605-1)/Config!$E$28)+1,A605-Config!$E$27*Config!$E$28)</f>
        <v>101</v>
      </c>
      <c r="D605" s="114" t="n">
        <f aca="false">IF(B605="Tema",MOD(A605-1,Config!$E$28)+1,"")</f>
        <v>1</v>
      </c>
      <c r="E605" s="115" t="str">
        <f aca="false">IF($B605="Tema",IF(ISNUMBER(INDEX(Temas!$E$6:$P$305,$C605,2*$D605-1)),INDEX(Temas!$E$6:$P$305,$C605,2*$D605-1),""),IF(ISNUMBER(INDEX(Avulsos!$B$6:$B$205,$C605)),INDEX(Avulsos!$B$6:$B$205,$C605),""))</f>
        <v/>
      </c>
      <c r="F605" s="114" t="str">
        <f aca="false">IF($E605="","",IF($B605="Tema",INDEX(Temas!$B$6:$B$305,$C605)&amp;"",INDEX(Avulsos!$C$6:$C$205,$C605)&amp;""))</f>
        <v/>
      </c>
      <c r="G605" s="114" t="str">
        <f aca="false">IF($E605="","",IF($B605="Tema",INDEX(Config!$C$6:$C$11,$D605),"Evento avulso"))</f>
        <v/>
      </c>
      <c r="H605" s="114" t="str">
        <f aca="false">IF($E605="","",IF($B605="Tema",INDEX(Config!$D$6:$D$11,$D605),IFERROR(INDEX(Config!$E$15:$E$19,MATCH($I605,Config!$C$15:$C$19,0)),"•")))</f>
        <v/>
      </c>
      <c r="I605" s="114" t="str">
        <f aca="false">IF($E605="","",IF($B605="Tema",INDEX(Config!$E$6:$E$11,$D605),IF(INDEX(Avulsos!$D$6:$D$205,$C605)&amp;""="","Outro",INDEX(Avulsos!$D$6:$D$205,$C605))))</f>
        <v/>
      </c>
      <c r="J605" s="114" t="str">
        <f aca="false">IF($E605="","",IF($B605="Tema",INDEX(Temas!$C$6:$C$305,$C605)&amp;"",INDEX(Avulsos!$E$6:$E$205,$C605)&amp;""))</f>
        <v/>
      </c>
      <c r="K605" s="114" t="str">
        <f aca="false">IF($E605="","",IF(IF($B605="Tema",INDEX(Temas!$E$6:$P$305,$C605,2*$D605),INDEX(Avulsos!$F$6:$F$205,$C605))&amp;""="","","✓"))</f>
        <v/>
      </c>
      <c r="L605" s="114" t="str">
        <f aca="true">IF($E605="","",IF($K605="✓","Concluído",IF($E605&lt;TODAY(),"Atrasado",IF($E605=TODAY(),"Hoje","Pendente"))))</f>
        <v/>
      </c>
      <c r="M605" s="114" t="str">
        <f aca="false">IF($E605="","",IF($K605="✓","✓ ","")&amp;IF(Config!$E$22="Sim",$H605&amp;" · ","")&amp;$F605)</f>
        <v/>
      </c>
      <c r="N605" s="114" t="str">
        <f aca="false">IF($E605="","",IFERROR(INDEX(Config!$D$15:$D$19,MATCH($I605,Config!$C$15:$C$19,0)),"OUT")&amp;IF($K605="✓","x",""))</f>
        <v/>
      </c>
      <c r="O605" s="114" t="str">
        <f aca="false">IF($E605="","",COUNTIF($E$5:$E605,$E605))</f>
        <v/>
      </c>
      <c r="P605" s="114" t="str">
        <f aca="false">IF($E605="","",$E605*100+$O605)</f>
        <v/>
      </c>
      <c r="Q605" s="114" t="str">
        <f aca="false">IF($L605="Atrasado",$E605*10000+$A605,"")</f>
        <v/>
      </c>
    </row>
    <row r="606" customFormat="false" ht="15" hidden="false" customHeight="false" outlineLevel="0" collapsed="false">
      <c r="A606" s="114" t="n">
        <f aca="false">ROW()-4</f>
        <v>602</v>
      </c>
      <c r="B606" s="114" t="str">
        <f aca="false">IF(A606&lt;=Config!$E$27*Config!$E$28,"Tema","Avulso")</f>
        <v>Tema</v>
      </c>
      <c r="C606" s="114" t="n">
        <f aca="false">IF(B606="Tema",INT((A606-1)/Config!$E$28)+1,A606-Config!$E$27*Config!$E$28)</f>
        <v>101</v>
      </c>
      <c r="D606" s="114" t="n">
        <f aca="false">IF(B606="Tema",MOD(A606-1,Config!$E$28)+1,"")</f>
        <v>2</v>
      </c>
      <c r="E606" s="115" t="str">
        <f aca="false">IF($B606="Tema",IF(ISNUMBER(INDEX(Temas!$E$6:$P$305,$C606,2*$D606-1)),INDEX(Temas!$E$6:$P$305,$C606,2*$D606-1),""),IF(ISNUMBER(INDEX(Avulsos!$B$6:$B$205,$C606)),INDEX(Avulsos!$B$6:$B$205,$C606),""))</f>
        <v/>
      </c>
      <c r="F606" s="114" t="str">
        <f aca="false">IF($E606="","",IF($B606="Tema",INDEX(Temas!$B$6:$B$305,$C606)&amp;"",INDEX(Avulsos!$C$6:$C$205,$C606)&amp;""))</f>
        <v/>
      </c>
      <c r="G606" s="114" t="str">
        <f aca="false">IF($E606="","",IF($B606="Tema",INDEX(Config!$C$6:$C$11,$D606),"Evento avulso"))</f>
        <v/>
      </c>
      <c r="H606" s="114" t="str">
        <f aca="false">IF($E606="","",IF($B606="Tema",INDEX(Config!$D$6:$D$11,$D606),IFERROR(INDEX(Config!$E$15:$E$19,MATCH($I606,Config!$C$15:$C$19,0)),"•")))</f>
        <v/>
      </c>
      <c r="I606" s="114" t="str">
        <f aca="false">IF($E606="","",IF($B606="Tema",INDEX(Config!$E$6:$E$11,$D606),IF(INDEX(Avulsos!$D$6:$D$205,$C606)&amp;""="","Outro",INDEX(Avulsos!$D$6:$D$205,$C606))))</f>
        <v/>
      </c>
      <c r="J606" s="114" t="str">
        <f aca="false">IF($E606="","",IF($B606="Tema",INDEX(Temas!$C$6:$C$305,$C606)&amp;"",INDEX(Avulsos!$E$6:$E$205,$C606)&amp;""))</f>
        <v/>
      </c>
      <c r="K606" s="114" t="str">
        <f aca="false">IF($E606="","",IF(IF($B606="Tema",INDEX(Temas!$E$6:$P$305,$C606,2*$D606),INDEX(Avulsos!$F$6:$F$205,$C606))&amp;""="","","✓"))</f>
        <v/>
      </c>
      <c r="L606" s="114" t="str">
        <f aca="true">IF($E606="","",IF($K606="✓","Concluído",IF($E606&lt;TODAY(),"Atrasado",IF($E606=TODAY(),"Hoje","Pendente"))))</f>
        <v/>
      </c>
      <c r="M606" s="114" t="str">
        <f aca="false">IF($E606="","",IF($K606="✓","✓ ","")&amp;IF(Config!$E$22="Sim",$H606&amp;" · ","")&amp;$F606)</f>
        <v/>
      </c>
      <c r="N606" s="114" t="str">
        <f aca="false">IF($E606="","",IFERROR(INDEX(Config!$D$15:$D$19,MATCH($I606,Config!$C$15:$C$19,0)),"OUT")&amp;IF($K606="✓","x",""))</f>
        <v/>
      </c>
      <c r="O606" s="114" t="str">
        <f aca="false">IF($E606="","",COUNTIF($E$5:$E606,$E606))</f>
        <v/>
      </c>
      <c r="P606" s="114" t="str">
        <f aca="false">IF($E606="","",$E606*100+$O606)</f>
        <v/>
      </c>
      <c r="Q606" s="114" t="str">
        <f aca="false">IF($L606="Atrasado",$E606*10000+$A606,"")</f>
        <v/>
      </c>
    </row>
    <row r="607" customFormat="false" ht="15" hidden="false" customHeight="false" outlineLevel="0" collapsed="false">
      <c r="A607" s="114" t="n">
        <f aca="false">ROW()-4</f>
        <v>603</v>
      </c>
      <c r="B607" s="114" t="str">
        <f aca="false">IF(A607&lt;=Config!$E$27*Config!$E$28,"Tema","Avulso")</f>
        <v>Tema</v>
      </c>
      <c r="C607" s="114" t="n">
        <f aca="false">IF(B607="Tema",INT((A607-1)/Config!$E$28)+1,A607-Config!$E$27*Config!$E$28)</f>
        <v>101</v>
      </c>
      <c r="D607" s="114" t="n">
        <f aca="false">IF(B607="Tema",MOD(A607-1,Config!$E$28)+1,"")</f>
        <v>3</v>
      </c>
      <c r="E607" s="115" t="str">
        <f aca="false">IF($B607="Tema",IF(ISNUMBER(INDEX(Temas!$E$6:$P$305,$C607,2*$D607-1)),INDEX(Temas!$E$6:$P$305,$C607,2*$D607-1),""),IF(ISNUMBER(INDEX(Avulsos!$B$6:$B$205,$C607)),INDEX(Avulsos!$B$6:$B$205,$C607),""))</f>
        <v/>
      </c>
      <c r="F607" s="114" t="str">
        <f aca="false">IF($E607="","",IF($B607="Tema",INDEX(Temas!$B$6:$B$305,$C607)&amp;"",INDEX(Avulsos!$C$6:$C$205,$C607)&amp;""))</f>
        <v/>
      </c>
      <c r="G607" s="114" t="str">
        <f aca="false">IF($E607="","",IF($B607="Tema",INDEX(Config!$C$6:$C$11,$D607),"Evento avulso"))</f>
        <v/>
      </c>
      <c r="H607" s="114" t="str">
        <f aca="false">IF($E607="","",IF($B607="Tema",INDEX(Config!$D$6:$D$11,$D607),IFERROR(INDEX(Config!$E$15:$E$19,MATCH($I607,Config!$C$15:$C$19,0)),"•")))</f>
        <v/>
      </c>
      <c r="I607" s="114" t="str">
        <f aca="false">IF($E607="","",IF($B607="Tema",INDEX(Config!$E$6:$E$11,$D607),IF(INDEX(Avulsos!$D$6:$D$205,$C607)&amp;""="","Outro",INDEX(Avulsos!$D$6:$D$205,$C607))))</f>
        <v/>
      </c>
      <c r="J607" s="114" t="str">
        <f aca="false">IF($E607="","",IF($B607="Tema",INDEX(Temas!$C$6:$C$305,$C607)&amp;"",INDEX(Avulsos!$E$6:$E$205,$C607)&amp;""))</f>
        <v/>
      </c>
      <c r="K607" s="114" t="str">
        <f aca="false">IF($E607="","",IF(IF($B607="Tema",INDEX(Temas!$E$6:$P$305,$C607,2*$D607),INDEX(Avulsos!$F$6:$F$205,$C607))&amp;""="","","✓"))</f>
        <v/>
      </c>
      <c r="L607" s="114" t="str">
        <f aca="true">IF($E607="","",IF($K607="✓","Concluído",IF($E607&lt;TODAY(),"Atrasado",IF($E607=TODAY(),"Hoje","Pendente"))))</f>
        <v/>
      </c>
      <c r="M607" s="114" t="str">
        <f aca="false">IF($E607="","",IF($K607="✓","✓ ","")&amp;IF(Config!$E$22="Sim",$H607&amp;" · ","")&amp;$F607)</f>
        <v/>
      </c>
      <c r="N607" s="114" t="str">
        <f aca="false">IF($E607="","",IFERROR(INDEX(Config!$D$15:$D$19,MATCH($I607,Config!$C$15:$C$19,0)),"OUT")&amp;IF($K607="✓","x",""))</f>
        <v/>
      </c>
      <c r="O607" s="114" t="str">
        <f aca="false">IF($E607="","",COUNTIF($E$5:$E607,$E607))</f>
        <v/>
      </c>
      <c r="P607" s="114" t="str">
        <f aca="false">IF($E607="","",$E607*100+$O607)</f>
        <v/>
      </c>
      <c r="Q607" s="114" t="str">
        <f aca="false">IF($L607="Atrasado",$E607*10000+$A607,"")</f>
        <v/>
      </c>
    </row>
    <row r="608" customFormat="false" ht="15" hidden="false" customHeight="false" outlineLevel="0" collapsed="false">
      <c r="A608" s="114" t="n">
        <f aca="false">ROW()-4</f>
        <v>604</v>
      </c>
      <c r="B608" s="114" t="str">
        <f aca="false">IF(A608&lt;=Config!$E$27*Config!$E$28,"Tema","Avulso")</f>
        <v>Tema</v>
      </c>
      <c r="C608" s="114" t="n">
        <f aca="false">IF(B608="Tema",INT((A608-1)/Config!$E$28)+1,A608-Config!$E$27*Config!$E$28)</f>
        <v>101</v>
      </c>
      <c r="D608" s="114" t="n">
        <f aca="false">IF(B608="Tema",MOD(A608-1,Config!$E$28)+1,"")</f>
        <v>4</v>
      </c>
      <c r="E608" s="115" t="str">
        <f aca="false">IF($B608="Tema",IF(ISNUMBER(INDEX(Temas!$E$6:$P$305,$C608,2*$D608-1)),INDEX(Temas!$E$6:$P$305,$C608,2*$D608-1),""),IF(ISNUMBER(INDEX(Avulsos!$B$6:$B$205,$C608)),INDEX(Avulsos!$B$6:$B$205,$C608),""))</f>
        <v/>
      </c>
      <c r="F608" s="114" t="str">
        <f aca="false">IF($E608="","",IF($B608="Tema",INDEX(Temas!$B$6:$B$305,$C608)&amp;"",INDEX(Avulsos!$C$6:$C$205,$C608)&amp;""))</f>
        <v/>
      </c>
      <c r="G608" s="114" t="str">
        <f aca="false">IF($E608="","",IF($B608="Tema",INDEX(Config!$C$6:$C$11,$D608),"Evento avulso"))</f>
        <v/>
      </c>
      <c r="H608" s="114" t="str">
        <f aca="false">IF($E608="","",IF($B608="Tema",INDEX(Config!$D$6:$D$11,$D608),IFERROR(INDEX(Config!$E$15:$E$19,MATCH($I608,Config!$C$15:$C$19,0)),"•")))</f>
        <v/>
      </c>
      <c r="I608" s="114" t="str">
        <f aca="false">IF($E608="","",IF($B608="Tema",INDEX(Config!$E$6:$E$11,$D608),IF(INDEX(Avulsos!$D$6:$D$205,$C608)&amp;""="","Outro",INDEX(Avulsos!$D$6:$D$205,$C608))))</f>
        <v/>
      </c>
      <c r="J608" s="114" t="str">
        <f aca="false">IF($E608="","",IF($B608="Tema",INDEX(Temas!$C$6:$C$305,$C608)&amp;"",INDEX(Avulsos!$E$6:$E$205,$C608)&amp;""))</f>
        <v/>
      </c>
      <c r="K608" s="114" t="str">
        <f aca="false">IF($E608="","",IF(IF($B608="Tema",INDEX(Temas!$E$6:$P$305,$C608,2*$D608),INDEX(Avulsos!$F$6:$F$205,$C608))&amp;""="","","✓"))</f>
        <v/>
      </c>
      <c r="L608" s="114" t="str">
        <f aca="true">IF($E608="","",IF($K608="✓","Concluído",IF($E608&lt;TODAY(),"Atrasado",IF($E608=TODAY(),"Hoje","Pendente"))))</f>
        <v/>
      </c>
      <c r="M608" s="114" t="str">
        <f aca="false">IF($E608="","",IF($K608="✓","✓ ","")&amp;IF(Config!$E$22="Sim",$H608&amp;" · ","")&amp;$F608)</f>
        <v/>
      </c>
      <c r="N608" s="114" t="str">
        <f aca="false">IF($E608="","",IFERROR(INDEX(Config!$D$15:$D$19,MATCH($I608,Config!$C$15:$C$19,0)),"OUT")&amp;IF($K608="✓","x",""))</f>
        <v/>
      </c>
      <c r="O608" s="114" t="str">
        <f aca="false">IF($E608="","",COUNTIF($E$5:$E608,$E608))</f>
        <v/>
      </c>
      <c r="P608" s="114" t="str">
        <f aca="false">IF($E608="","",$E608*100+$O608)</f>
        <v/>
      </c>
      <c r="Q608" s="114" t="str">
        <f aca="false">IF($L608="Atrasado",$E608*10000+$A608,"")</f>
        <v/>
      </c>
    </row>
    <row r="609" customFormat="false" ht="15" hidden="false" customHeight="false" outlineLevel="0" collapsed="false">
      <c r="A609" s="114" t="n">
        <f aca="false">ROW()-4</f>
        <v>605</v>
      </c>
      <c r="B609" s="114" t="str">
        <f aca="false">IF(A609&lt;=Config!$E$27*Config!$E$28,"Tema","Avulso")</f>
        <v>Tema</v>
      </c>
      <c r="C609" s="114" t="n">
        <f aca="false">IF(B609="Tema",INT((A609-1)/Config!$E$28)+1,A609-Config!$E$27*Config!$E$28)</f>
        <v>101</v>
      </c>
      <c r="D609" s="114" t="n">
        <f aca="false">IF(B609="Tema",MOD(A609-1,Config!$E$28)+1,"")</f>
        <v>5</v>
      </c>
      <c r="E609" s="115" t="str">
        <f aca="false">IF($B609="Tema",IF(ISNUMBER(INDEX(Temas!$E$6:$P$305,$C609,2*$D609-1)),INDEX(Temas!$E$6:$P$305,$C609,2*$D609-1),""),IF(ISNUMBER(INDEX(Avulsos!$B$6:$B$205,$C609)),INDEX(Avulsos!$B$6:$B$205,$C609),""))</f>
        <v/>
      </c>
      <c r="F609" s="114" t="str">
        <f aca="false">IF($E609="","",IF($B609="Tema",INDEX(Temas!$B$6:$B$305,$C609)&amp;"",INDEX(Avulsos!$C$6:$C$205,$C609)&amp;""))</f>
        <v/>
      </c>
      <c r="G609" s="114" t="str">
        <f aca="false">IF($E609="","",IF($B609="Tema",INDEX(Config!$C$6:$C$11,$D609),"Evento avulso"))</f>
        <v/>
      </c>
      <c r="H609" s="114" t="str">
        <f aca="false">IF($E609="","",IF($B609="Tema",INDEX(Config!$D$6:$D$11,$D609),IFERROR(INDEX(Config!$E$15:$E$19,MATCH($I609,Config!$C$15:$C$19,0)),"•")))</f>
        <v/>
      </c>
      <c r="I609" s="114" t="str">
        <f aca="false">IF($E609="","",IF($B609="Tema",INDEX(Config!$E$6:$E$11,$D609),IF(INDEX(Avulsos!$D$6:$D$205,$C609)&amp;""="","Outro",INDEX(Avulsos!$D$6:$D$205,$C609))))</f>
        <v/>
      </c>
      <c r="J609" s="114" t="str">
        <f aca="false">IF($E609="","",IF($B609="Tema",INDEX(Temas!$C$6:$C$305,$C609)&amp;"",INDEX(Avulsos!$E$6:$E$205,$C609)&amp;""))</f>
        <v/>
      </c>
      <c r="K609" s="114" t="str">
        <f aca="false">IF($E609="","",IF(IF($B609="Tema",INDEX(Temas!$E$6:$P$305,$C609,2*$D609),INDEX(Avulsos!$F$6:$F$205,$C609))&amp;""="","","✓"))</f>
        <v/>
      </c>
      <c r="L609" s="114" t="str">
        <f aca="true">IF($E609="","",IF($K609="✓","Concluído",IF($E609&lt;TODAY(),"Atrasado",IF($E609=TODAY(),"Hoje","Pendente"))))</f>
        <v/>
      </c>
      <c r="M609" s="114" t="str">
        <f aca="false">IF($E609="","",IF($K609="✓","✓ ","")&amp;IF(Config!$E$22="Sim",$H609&amp;" · ","")&amp;$F609)</f>
        <v/>
      </c>
      <c r="N609" s="114" t="str">
        <f aca="false">IF($E609="","",IFERROR(INDEX(Config!$D$15:$D$19,MATCH($I609,Config!$C$15:$C$19,0)),"OUT")&amp;IF($K609="✓","x",""))</f>
        <v/>
      </c>
      <c r="O609" s="114" t="str">
        <f aca="false">IF($E609="","",COUNTIF($E$5:$E609,$E609))</f>
        <v/>
      </c>
      <c r="P609" s="114" t="str">
        <f aca="false">IF($E609="","",$E609*100+$O609)</f>
        <v/>
      </c>
      <c r="Q609" s="114" t="str">
        <f aca="false">IF($L609="Atrasado",$E609*10000+$A609,"")</f>
        <v/>
      </c>
    </row>
    <row r="610" customFormat="false" ht="15" hidden="false" customHeight="false" outlineLevel="0" collapsed="false">
      <c r="A610" s="114" t="n">
        <f aca="false">ROW()-4</f>
        <v>606</v>
      </c>
      <c r="B610" s="114" t="str">
        <f aca="false">IF(A610&lt;=Config!$E$27*Config!$E$28,"Tema","Avulso")</f>
        <v>Tema</v>
      </c>
      <c r="C610" s="114" t="n">
        <f aca="false">IF(B610="Tema",INT((A610-1)/Config!$E$28)+1,A610-Config!$E$27*Config!$E$28)</f>
        <v>101</v>
      </c>
      <c r="D610" s="114" t="n">
        <f aca="false">IF(B610="Tema",MOD(A610-1,Config!$E$28)+1,"")</f>
        <v>6</v>
      </c>
      <c r="E610" s="115" t="str">
        <f aca="false">IF($B610="Tema",IF(ISNUMBER(INDEX(Temas!$E$6:$P$305,$C610,2*$D610-1)),INDEX(Temas!$E$6:$P$305,$C610,2*$D610-1),""),IF(ISNUMBER(INDEX(Avulsos!$B$6:$B$205,$C610)),INDEX(Avulsos!$B$6:$B$205,$C610),""))</f>
        <v/>
      </c>
      <c r="F610" s="114" t="str">
        <f aca="false">IF($E610="","",IF($B610="Tema",INDEX(Temas!$B$6:$B$305,$C610)&amp;"",INDEX(Avulsos!$C$6:$C$205,$C610)&amp;""))</f>
        <v/>
      </c>
      <c r="G610" s="114" t="str">
        <f aca="false">IF($E610="","",IF($B610="Tema",INDEX(Config!$C$6:$C$11,$D610),"Evento avulso"))</f>
        <v/>
      </c>
      <c r="H610" s="114" t="str">
        <f aca="false">IF($E610="","",IF($B610="Tema",INDEX(Config!$D$6:$D$11,$D610),IFERROR(INDEX(Config!$E$15:$E$19,MATCH($I610,Config!$C$15:$C$19,0)),"•")))</f>
        <v/>
      </c>
      <c r="I610" s="114" t="str">
        <f aca="false">IF($E610="","",IF($B610="Tema",INDEX(Config!$E$6:$E$11,$D610),IF(INDEX(Avulsos!$D$6:$D$205,$C610)&amp;""="","Outro",INDEX(Avulsos!$D$6:$D$205,$C610))))</f>
        <v/>
      </c>
      <c r="J610" s="114" t="str">
        <f aca="false">IF($E610="","",IF($B610="Tema",INDEX(Temas!$C$6:$C$305,$C610)&amp;"",INDEX(Avulsos!$E$6:$E$205,$C610)&amp;""))</f>
        <v/>
      </c>
      <c r="K610" s="114" t="str">
        <f aca="false">IF($E610="","",IF(IF($B610="Tema",INDEX(Temas!$E$6:$P$305,$C610,2*$D610),INDEX(Avulsos!$F$6:$F$205,$C610))&amp;""="","","✓"))</f>
        <v/>
      </c>
      <c r="L610" s="114" t="str">
        <f aca="true">IF($E610="","",IF($K610="✓","Concluído",IF($E610&lt;TODAY(),"Atrasado",IF($E610=TODAY(),"Hoje","Pendente"))))</f>
        <v/>
      </c>
      <c r="M610" s="114" t="str">
        <f aca="false">IF($E610="","",IF($K610="✓","✓ ","")&amp;IF(Config!$E$22="Sim",$H610&amp;" · ","")&amp;$F610)</f>
        <v/>
      </c>
      <c r="N610" s="114" t="str">
        <f aca="false">IF($E610="","",IFERROR(INDEX(Config!$D$15:$D$19,MATCH($I610,Config!$C$15:$C$19,0)),"OUT")&amp;IF($K610="✓","x",""))</f>
        <v/>
      </c>
      <c r="O610" s="114" t="str">
        <f aca="false">IF($E610="","",COUNTIF($E$5:$E610,$E610))</f>
        <v/>
      </c>
      <c r="P610" s="114" t="str">
        <f aca="false">IF($E610="","",$E610*100+$O610)</f>
        <v/>
      </c>
      <c r="Q610" s="114" t="str">
        <f aca="false">IF($L610="Atrasado",$E610*10000+$A610,"")</f>
        <v/>
      </c>
    </row>
    <row r="611" customFormat="false" ht="15" hidden="false" customHeight="false" outlineLevel="0" collapsed="false">
      <c r="A611" s="114" t="n">
        <f aca="false">ROW()-4</f>
        <v>607</v>
      </c>
      <c r="B611" s="114" t="str">
        <f aca="false">IF(A611&lt;=Config!$E$27*Config!$E$28,"Tema","Avulso")</f>
        <v>Tema</v>
      </c>
      <c r="C611" s="114" t="n">
        <f aca="false">IF(B611="Tema",INT((A611-1)/Config!$E$28)+1,A611-Config!$E$27*Config!$E$28)</f>
        <v>102</v>
      </c>
      <c r="D611" s="114" t="n">
        <f aca="false">IF(B611="Tema",MOD(A611-1,Config!$E$28)+1,"")</f>
        <v>1</v>
      </c>
      <c r="E611" s="115" t="str">
        <f aca="false">IF($B611="Tema",IF(ISNUMBER(INDEX(Temas!$E$6:$P$305,$C611,2*$D611-1)),INDEX(Temas!$E$6:$P$305,$C611,2*$D611-1),""),IF(ISNUMBER(INDEX(Avulsos!$B$6:$B$205,$C611)),INDEX(Avulsos!$B$6:$B$205,$C611),""))</f>
        <v/>
      </c>
      <c r="F611" s="114" t="str">
        <f aca="false">IF($E611="","",IF($B611="Tema",INDEX(Temas!$B$6:$B$305,$C611)&amp;"",INDEX(Avulsos!$C$6:$C$205,$C611)&amp;""))</f>
        <v/>
      </c>
      <c r="G611" s="114" t="str">
        <f aca="false">IF($E611="","",IF($B611="Tema",INDEX(Config!$C$6:$C$11,$D611),"Evento avulso"))</f>
        <v/>
      </c>
      <c r="H611" s="114" t="str">
        <f aca="false">IF($E611="","",IF($B611="Tema",INDEX(Config!$D$6:$D$11,$D611),IFERROR(INDEX(Config!$E$15:$E$19,MATCH($I611,Config!$C$15:$C$19,0)),"•")))</f>
        <v/>
      </c>
      <c r="I611" s="114" t="str">
        <f aca="false">IF($E611="","",IF($B611="Tema",INDEX(Config!$E$6:$E$11,$D611),IF(INDEX(Avulsos!$D$6:$D$205,$C611)&amp;""="","Outro",INDEX(Avulsos!$D$6:$D$205,$C611))))</f>
        <v/>
      </c>
      <c r="J611" s="114" t="str">
        <f aca="false">IF($E611="","",IF($B611="Tema",INDEX(Temas!$C$6:$C$305,$C611)&amp;"",INDEX(Avulsos!$E$6:$E$205,$C611)&amp;""))</f>
        <v/>
      </c>
      <c r="K611" s="114" t="str">
        <f aca="false">IF($E611="","",IF(IF($B611="Tema",INDEX(Temas!$E$6:$P$305,$C611,2*$D611),INDEX(Avulsos!$F$6:$F$205,$C611))&amp;""="","","✓"))</f>
        <v/>
      </c>
      <c r="L611" s="114" t="str">
        <f aca="true">IF($E611="","",IF($K611="✓","Concluído",IF($E611&lt;TODAY(),"Atrasado",IF($E611=TODAY(),"Hoje","Pendente"))))</f>
        <v/>
      </c>
      <c r="M611" s="114" t="str">
        <f aca="false">IF($E611="","",IF($K611="✓","✓ ","")&amp;IF(Config!$E$22="Sim",$H611&amp;" · ","")&amp;$F611)</f>
        <v/>
      </c>
      <c r="N611" s="114" t="str">
        <f aca="false">IF($E611="","",IFERROR(INDEX(Config!$D$15:$D$19,MATCH($I611,Config!$C$15:$C$19,0)),"OUT")&amp;IF($K611="✓","x",""))</f>
        <v/>
      </c>
      <c r="O611" s="114" t="str">
        <f aca="false">IF($E611="","",COUNTIF($E$5:$E611,$E611))</f>
        <v/>
      </c>
      <c r="P611" s="114" t="str">
        <f aca="false">IF($E611="","",$E611*100+$O611)</f>
        <v/>
      </c>
      <c r="Q611" s="114" t="str">
        <f aca="false">IF($L611="Atrasado",$E611*10000+$A611,"")</f>
        <v/>
      </c>
    </row>
    <row r="612" customFormat="false" ht="15" hidden="false" customHeight="false" outlineLevel="0" collapsed="false">
      <c r="A612" s="114" t="n">
        <f aca="false">ROW()-4</f>
        <v>608</v>
      </c>
      <c r="B612" s="114" t="str">
        <f aca="false">IF(A612&lt;=Config!$E$27*Config!$E$28,"Tema","Avulso")</f>
        <v>Tema</v>
      </c>
      <c r="C612" s="114" t="n">
        <f aca="false">IF(B612="Tema",INT((A612-1)/Config!$E$28)+1,A612-Config!$E$27*Config!$E$28)</f>
        <v>102</v>
      </c>
      <c r="D612" s="114" t="n">
        <f aca="false">IF(B612="Tema",MOD(A612-1,Config!$E$28)+1,"")</f>
        <v>2</v>
      </c>
      <c r="E612" s="115" t="str">
        <f aca="false">IF($B612="Tema",IF(ISNUMBER(INDEX(Temas!$E$6:$P$305,$C612,2*$D612-1)),INDEX(Temas!$E$6:$P$305,$C612,2*$D612-1),""),IF(ISNUMBER(INDEX(Avulsos!$B$6:$B$205,$C612)),INDEX(Avulsos!$B$6:$B$205,$C612),""))</f>
        <v/>
      </c>
      <c r="F612" s="114" t="str">
        <f aca="false">IF($E612="","",IF($B612="Tema",INDEX(Temas!$B$6:$B$305,$C612)&amp;"",INDEX(Avulsos!$C$6:$C$205,$C612)&amp;""))</f>
        <v/>
      </c>
      <c r="G612" s="114" t="str">
        <f aca="false">IF($E612="","",IF($B612="Tema",INDEX(Config!$C$6:$C$11,$D612),"Evento avulso"))</f>
        <v/>
      </c>
      <c r="H612" s="114" t="str">
        <f aca="false">IF($E612="","",IF($B612="Tema",INDEX(Config!$D$6:$D$11,$D612),IFERROR(INDEX(Config!$E$15:$E$19,MATCH($I612,Config!$C$15:$C$19,0)),"•")))</f>
        <v/>
      </c>
      <c r="I612" s="114" t="str">
        <f aca="false">IF($E612="","",IF($B612="Tema",INDEX(Config!$E$6:$E$11,$D612),IF(INDEX(Avulsos!$D$6:$D$205,$C612)&amp;""="","Outro",INDEX(Avulsos!$D$6:$D$205,$C612))))</f>
        <v/>
      </c>
      <c r="J612" s="114" t="str">
        <f aca="false">IF($E612="","",IF($B612="Tema",INDEX(Temas!$C$6:$C$305,$C612)&amp;"",INDEX(Avulsos!$E$6:$E$205,$C612)&amp;""))</f>
        <v/>
      </c>
      <c r="K612" s="114" t="str">
        <f aca="false">IF($E612="","",IF(IF($B612="Tema",INDEX(Temas!$E$6:$P$305,$C612,2*$D612),INDEX(Avulsos!$F$6:$F$205,$C612))&amp;""="","","✓"))</f>
        <v/>
      </c>
      <c r="L612" s="114" t="str">
        <f aca="true">IF($E612="","",IF($K612="✓","Concluído",IF($E612&lt;TODAY(),"Atrasado",IF($E612=TODAY(),"Hoje","Pendente"))))</f>
        <v/>
      </c>
      <c r="M612" s="114" t="str">
        <f aca="false">IF($E612="","",IF($K612="✓","✓ ","")&amp;IF(Config!$E$22="Sim",$H612&amp;" · ","")&amp;$F612)</f>
        <v/>
      </c>
      <c r="N612" s="114" t="str">
        <f aca="false">IF($E612="","",IFERROR(INDEX(Config!$D$15:$D$19,MATCH($I612,Config!$C$15:$C$19,0)),"OUT")&amp;IF($K612="✓","x",""))</f>
        <v/>
      </c>
      <c r="O612" s="114" t="str">
        <f aca="false">IF($E612="","",COUNTIF($E$5:$E612,$E612))</f>
        <v/>
      </c>
      <c r="P612" s="114" t="str">
        <f aca="false">IF($E612="","",$E612*100+$O612)</f>
        <v/>
      </c>
      <c r="Q612" s="114" t="str">
        <f aca="false">IF($L612="Atrasado",$E612*10000+$A612,"")</f>
        <v/>
      </c>
    </row>
    <row r="613" customFormat="false" ht="15" hidden="false" customHeight="false" outlineLevel="0" collapsed="false">
      <c r="A613" s="114" t="n">
        <f aca="false">ROW()-4</f>
        <v>609</v>
      </c>
      <c r="B613" s="114" t="str">
        <f aca="false">IF(A613&lt;=Config!$E$27*Config!$E$28,"Tema","Avulso")</f>
        <v>Tema</v>
      </c>
      <c r="C613" s="114" t="n">
        <f aca="false">IF(B613="Tema",INT((A613-1)/Config!$E$28)+1,A613-Config!$E$27*Config!$E$28)</f>
        <v>102</v>
      </c>
      <c r="D613" s="114" t="n">
        <f aca="false">IF(B613="Tema",MOD(A613-1,Config!$E$28)+1,"")</f>
        <v>3</v>
      </c>
      <c r="E613" s="115" t="str">
        <f aca="false">IF($B613="Tema",IF(ISNUMBER(INDEX(Temas!$E$6:$P$305,$C613,2*$D613-1)),INDEX(Temas!$E$6:$P$305,$C613,2*$D613-1),""),IF(ISNUMBER(INDEX(Avulsos!$B$6:$B$205,$C613)),INDEX(Avulsos!$B$6:$B$205,$C613),""))</f>
        <v/>
      </c>
      <c r="F613" s="114" t="str">
        <f aca="false">IF($E613="","",IF($B613="Tema",INDEX(Temas!$B$6:$B$305,$C613)&amp;"",INDEX(Avulsos!$C$6:$C$205,$C613)&amp;""))</f>
        <v/>
      </c>
      <c r="G613" s="114" t="str">
        <f aca="false">IF($E613="","",IF($B613="Tema",INDEX(Config!$C$6:$C$11,$D613),"Evento avulso"))</f>
        <v/>
      </c>
      <c r="H613" s="114" t="str">
        <f aca="false">IF($E613="","",IF($B613="Tema",INDEX(Config!$D$6:$D$11,$D613),IFERROR(INDEX(Config!$E$15:$E$19,MATCH($I613,Config!$C$15:$C$19,0)),"•")))</f>
        <v/>
      </c>
      <c r="I613" s="114" t="str">
        <f aca="false">IF($E613="","",IF($B613="Tema",INDEX(Config!$E$6:$E$11,$D613),IF(INDEX(Avulsos!$D$6:$D$205,$C613)&amp;""="","Outro",INDEX(Avulsos!$D$6:$D$205,$C613))))</f>
        <v/>
      </c>
      <c r="J613" s="114" t="str">
        <f aca="false">IF($E613="","",IF($B613="Tema",INDEX(Temas!$C$6:$C$305,$C613)&amp;"",INDEX(Avulsos!$E$6:$E$205,$C613)&amp;""))</f>
        <v/>
      </c>
      <c r="K613" s="114" t="str">
        <f aca="false">IF($E613="","",IF(IF($B613="Tema",INDEX(Temas!$E$6:$P$305,$C613,2*$D613),INDEX(Avulsos!$F$6:$F$205,$C613))&amp;""="","","✓"))</f>
        <v/>
      </c>
      <c r="L613" s="114" t="str">
        <f aca="true">IF($E613="","",IF($K613="✓","Concluído",IF($E613&lt;TODAY(),"Atrasado",IF($E613=TODAY(),"Hoje","Pendente"))))</f>
        <v/>
      </c>
      <c r="M613" s="114" t="str">
        <f aca="false">IF($E613="","",IF($K613="✓","✓ ","")&amp;IF(Config!$E$22="Sim",$H613&amp;" · ","")&amp;$F613)</f>
        <v/>
      </c>
      <c r="N613" s="114" t="str">
        <f aca="false">IF($E613="","",IFERROR(INDEX(Config!$D$15:$D$19,MATCH($I613,Config!$C$15:$C$19,0)),"OUT")&amp;IF($K613="✓","x",""))</f>
        <v/>
      </c>
      <c r="O613" s="114" t="str">
        <f aca="false">IF($E613="","",COUNTIF($E$5:$E613,$E613))</f>
        <v/>
      </c>
      <c r="P613" s="114" t="str">
        <f aca="false">IF($E613="","",$E613*100+$O613)</f>
        <v/>
      </c>
      <c r="Q613" s="114" t="str">
        <f aca="false">IF($L613="Atrasado",$E613*10000+$A613,"")</f>
        <v/>
      </c>
    </row>
    <row r="614" customFormat="false" ht="15" hidden="false" customHeight="false" outlineLevel="0" collapsed="false">
      <c r="A614" s="114" t="n">
        <f aca="false">ROW()-4</f>
        <v>610</v>
      </c>
      <c r="B614" s="114" t="str">
        <f aca="false">IF(A614&lt;=Config!$E$27*Config!$E$28,"Tema","Avulso")</f>
        <v>Tema</v>
      </c>
      <c r="C614" s="114" t="n">
        <f aca="false">IF(B614="Tema",INT((A614-1)/Config!$E$28)+1,A614-Config!$E$27*Config!$E$28)</f>
        <v>102</v>
      </c>
      <c r="D614" s="114" t="n">
        <f aca="false">IF(B614="Tema",MOD(A614-1,Config!$E$28)+1,"")</f>
        <v>4</v>
      </c>
      <c r="E614" s="115" t="str">
        <f aca="false">IF($B614="Tema",IF(ISNUMBER(INDEX(Temas!$E$6:$P$305,$C614,2*$D614-1)),INDEX(Temas!$E$6:$P$305,$C614,2*$D614-1),""),IF(ISNUMBER(INDEX(Avulsos!$B$6:$B$205,$C614)),INDEX(Avulsos!$B$6:$B$205,$C614),""))</f>
        <v/>
      </c>
      <c r="F614" s="114" t="str">
        <f aca="false">IF($E614="","",IF($B614="Tema",INDEX(Temas!$B$6:$B$305,$C614)&amp;"",INDEX(Avulsos!$C$6:$C$205,$C614)&amp;""))</f>
        <v/>
      </c>
      <c r="G614" s="114" t="str">
        <f aca="false">IF($E614="","",IF($B614="Tema",INDEX(Config!$C$6:$C$11,$D614),"Evento avulso"))</f>
        <v/>
      </c>
      <c r="H614" s="114" t="str">
        <f aca="false">IF($E614="","",IF($B614="Tema",INDEX(Config!$D$6:$D$11,$D614),IFERROR(INDEX(Config!$E$15:$E$19,MATCH($I614,Config!$C$15:$C$19,0)),"•")))</f>
        <v/>
      </c>
      <c r="I614" s="114" t="str">
        <f aca="false">IF($E614="","",IF($B614="Tema",INDEX(Config!$E$6:$E$11,$D614),IF(INDEX(Avulsos!$D$6:$D$205,$C614)&amp;""="","Outro",INDEX(Avulsos!$D$6:$D$205,$C614))))</f>
        <v/>
      </c>
      <c r="J614" s="114" t="str">
        <f aca="false">IF($E614="","",IF($B614="Tema",INDEX(Temas!$C$6:$C$305,$C614)&amp;"",INDEX(Avulsos!$E$6:$E$205,$C614)&amp;""))</f>
        <v/>
      </c>
      <c r="K614" s="114" t="str">
        <f aca="false">IF($E614="","",IF(IF($B614="Tema",INDEX(Temas!$E$6:$P$305,$C614,2*$D614),INDEX(Avulsos!$F$6:$F$205,$C614))&amp;""="","","✓"))</f>
        <v/>
      </c>
      <c r="L614" s="114" t="str">
        <f aca="true">IF($E614="","",IF($K614="✓","Concluído",IF($E614&lt;TODAY(),"Atrasado",IF($E614=TODAY(),"Hoje","Pendente"))))</f>
        <v/>
      </c>
      <c r="M614" s="114" t="str">
        <f aca="false">IF($E614="","",IF($K614="✓","✓ ","")&amp;IF(Config!$E$22="Sim",$H614&amp;" · ","")&amp;$F614)</f>
        <v/>
      </c>
      <c r="N614" s="114" t="str">
        <f aca="false">IF($E614="","",IFERROR(INDEX(Config!$D$15:$D$19,MATCH($I614,Config!$C$15:$C$19,0)),"OUT")&amp;IF($K614="✓","x",""))</f>
        <v/>
      </c>
      <c r="O614" s="114" t="str">
        <f aca="false">IF($E614="","",COUNTIF($E$5:$E614,$E614))</f>
        <v/>
      </c>
      <c r="P614" s="114" t="str">
        <f aca="false">IF($E614="","",$E614*100+$O614)</f>
        <v/>
      </c>
      <c r="Q614" s="114" t="str">
        <f aca="false">IF($L614="Atrasado",$E614*10000+$A614,"")</f>
        <v/>
      </c>
    </row>
    <row r="615" customFormat="false" ht="15" hidden="false" customHeight="false" outlineLevel="0" collapsed="false">
      <c r="A615" s="114" t="n">
        <f aca="false">ROW()-4</f>
        <v>611</v>
      </c>
      <c r="B615" s="114" t="str">
        <f aca="false">IF(A615&lt;=Config!$E$27*Config!$E$28,"Tema","Avulso")</f>
        <v>Tema</v>
      </c>
      <c r="C615" s="114" t="n">
        <f aca="false">IF(B615="Tema",INT((A615-1)/Config!$E$28)+1,A615-Config!$E$27*Config!$E$28)</f>
        <v>102</v>
      </c>
      <c r="D615" s="114" t="n">
        <f aca="false">IF(B615="Tema",MOD(A615-1,Config!$E$28)+1,"")</f>
        <v>5</v>
      </c>
      <c r="E615" s="115" t="str">
        <f aca="false">IF($B615="Tema",IF(ISNUMBER(INDEX(Temas!$E$6:$P$305,$C615,2*$D615-1)),INDEX(Temas!$E$6:$P$305,$C615,2*$D615-1),""),IF(ISNUMBER(INDEX(Avulsos!$B$6:$B$205,$C615)),INDEX(Avulsos!$B$6:$B$205,$C615),""))</f>
        <v/>
      </c>
      <c r="F615" s="114" t="str">
        <f aca="false">IF($E615="","",IF($B615="Tema",INDEX(Temas!$B$6:$B$305,$C615)&amp;"",INDEX(Avulsos!$C$6:$C$205,$C615)&amp;""))</f>
        <v/>
      </c>
      <c r="G615" s="114" t="str">
        <f aca="false">IF($E615="","",IF($B615="Tema",INDEX(Config!$C$6:$C$11,$D615),"Evento avulso"))</f>
        <v/>
      </c>
      <c r="H615" s="114" t="str">
        <f aca="false">IF($E615="","",IF($B615="Tema",INDEX(Config!$D$6:$D$11,$D615),IFERROR(INDEX(Config!$E$15:$E$19,MATCH($I615,Config!$C$15:$C$19,0)),"•")))</f>
        <v/>
      </c>
      <c r="I615" s="114" t="str">
        <f aca="false">IF($E615="","",IF($B615="Tema",INDEX(Config!$E$6:$E$11,$D615),IF(INDEX(Avulsos!$D$6:$D$205,$C615)&amp;""="","Outro",INDEX(Avulsos!$D$6:$D$205,$C615))))</f>
        <v/>
      </c>
      <c r="J615" s="114" t="str">
        <f aca="false">IF($E615="","",IF($B615="Tema",INDEX(Temas!$C$6:$C$305,$C615)&amp;"",INDEX(Avulsos!$E$6:$E$205,$C615)&amp;""))</f>
        <v/>
      </c>
      <c r="K615" s="114" t="str">
        <f aca="false">IF($E615="","",IF(IF($B615="Tema",INDEX(Temas!$E$6:$P$305,$C615,2*$D615),INDEX(Avulsos!$F$6:$F$205,$C615))&amp;""="","","✓"))</f>
        <v/>
      </c>
      <c r="L615" s="114" t="str">
        <f aca="true">IF($E615="","",IF($K615="✓","Concluído",IF($E615&lt;TODAY(),"Atrasado",IF($E615=TODAY(),"Hoje","Pendente"))))</f>
        <v/>
      </c>
      <c r="M615" s="114" t="str">
        <f aca="false">IF($E615="","",IF($K615="✓","✓ ","")&amp;IF(Config!$E$22="Sim",$H615&amp;" · ","")&amp;$F615)</f>
        <v/>
      </c>
      <c r="N615" s="114" t="str">
        <f aca="false">IF($E615="","",IFERROR(INDEX(Config!$D$15:$D$19,MATCH($I615,Config!$C$15:$C$19,0)),"OUT")&amp;IF($K615="✓","x",""))</f>
        <v/>
      </c>
      <c r="O615" s="114" t="str">
        <f aca="false">IF($E615="","",COUNTIF($E$5:$E615,$E615))</f>
        <v/>
      </c>
      <c r="P615" s="114" t="str">
        <f aca="false">IF($E615="","",$E615*100+$O615)</f>
        <v/>
      </c>
      <c r="Q615" s="114" t="str">
        <f aca="false">IF($L615="Atrasado",$E615*10000+$A615,"")</f>
        <v/>
      </c>
    </row>
    <row r="616" customFormat="false" ht="15" hidden="false" customHeight="false" outlineLevel="0" collapsed="false">
      <c r="A616" s="114" t="n">
        <f aca="false">ROW()-4</f>
        <v>612</v>
      </c>
      <c r="B616" s="114" t="str">
        <f aca="false">IF(A616&lt;=Config!$E$27*Config!$E$28,"Tema","Avulso")</f>
        <v>Tema</v>
      </c>
      <c r="C616" s="114" t="n">
        <f aca="false">IF(B616="Tema",INT((A616-1)/Config!$E$28)+1,A616-Config!$E$27*Config!$E$28)</f>
        <v>102</v>
      </c>
      <c r="D616" s="114" t="n">
        <f aca="false">IF(B616="Tema",MOD(A616-1,Config!$E$28)+1,"")</f>
        <v>6</v>
      </c>
      <c r="E616" s="115" t="str">
        <f aca="false">IF($B616="Tema",IF(ISNUMBER(INDEX(Temas!$E$6:$P$305,$C616,2*$D616-1)),INDEX(Temas!$E$6:$P$305,$C616,2*$D616-1),""),IF(ISNUMBER(INDEX(Avulsos!$B$6:$B$205,$C616)),INDEX(Avulsos!$B$6:$B$205,$C616),""))</f>
        <v/>
      </c>
      <c r="F616" s="114" t="str">
        <f aca="false">IF($E616="","",IF($B616="Tema",INDEX(Temas!$B$6:$B$305,$C616)&amp;"",INDEX(Avulsos!$C$6:$C$205,$C616)&amp;""))</f>
        <v/>
      </c>
      <c r="G616" s="114" t="str">
        <f aca="false">IF($E616="","",IF($B616="Tema",INDEX(Config!$C$6:$C$11,$D616),"Evento avulso"))</f>
        <v/>
      </c>
      <c r="H616" s="114" t="str">
        <f aca="false">IF($E616="","",IF($B616="Tema",INDEX(Config!$D$6:$D$11,$D616),IFERROR(INDEX(Config!$E$15:$E$19,MATCH($I616,Config!$C$15:$C$19,0)),"•")))</f>
        <v/>
      </c>
      <c r="I616" s="114" t="str">
        <f aca="false">IF($E616="","",IF($B616="Tema",INDEX(Config!$E$6:$E$11,$D616),IF(INDEX(Avulsos!$D$6:$D$205,$C616)&amp;""="","Outro",INDEX(Avulsos!$D$6:$D$205,$C616))))</f>
        <v/>
      </c>
      <c r="J616" s="114" t="str">
        <f aca="false">IF($E616="","",IF($B616="Tema",INDEX(Temas!$C$6:$C$305,$C616)&amp;"",INDEX(Avulsos!$E$6:$E$205,$C616)&amp;""))</f>
        <v/>
      </c>
      <c r="K616" s="114" t="str">
        <f aca="false">IF($E616="","",IF(IF($B616="Tema",INDEX(Temas!$E$6:$P$305,$C616,2*$D616),INDEX(Avulsos!$F$6:$F$205,$C616))&amp;""="","","✓"))</f>
        <v/>
      </c>
      <c r="L616" s="114" t="str">
        <f aca="true">IF($E616="","",IF($K616="✓","Concluído",IF($E616&lt;TODAY(),"Atrasado",IF($E616=TODAY(),"Hoje","Pendente"))))</f>
        <v/>
      </c>
      <c r="M616" s="114" t="str">
        <f aca="false">IF($E616="","",IF($K616="✓","✓ ","")&amp;IF(Config!$E$22="Sim",$H616&amp;" · ","")&amp;$F616)</f>
        <v/>
      </c>
      <c r="N616" s="114" t="str">
        <f aca="false">IF($E616="","",IFERROR(INDEX(Config!$D$15:$D$19,MATCH($I616,Config!$C$15:$C$19,0)),"OUT")&amp;IF($K616="✓","x",""))</f>
        <v/>
      </c>
      <c r="O616" s="114" t="str">
        <f aca="false">IF($E616="","",COUNTIF($E$5:$E616,$E616))</f>
        <v/>
      </c>
      <c r="P616" s="114" t="str">
        <f aca="false">IF($E616="","",$E616*100+$O616)</f>
        <v/>
      </c>
      <c r="Q616" s="114" t="str">
        <f aca="false">IF($L616="Atrasado",$E616*10000+$A616,"")</f>
        <v/>
      </c>
    </row>
    <row r="617" customFormat="false" ht="15" hidden="false" customHeight="false" outlineLevel="0" collapsed="false">
      <c r="A617" s="114" t="n">
        <f aca="false">ROW()-4</f>
        <v>613</v>
      </c>
      <c r="B617" s="114" t="str">
        <f aca="false">IF(A617&lt;=Config!$E$27*Config!$E$28,"Tema","Avulso")</f>
        <v>Tema</v>
      </c>
      <c r="C617" s="114" t="n">
        <f aca="false">IF(B617="Tema",INT((A617-1)/Config!$E$28)+1,A617-Config!$E$27*Config!$E$28)</f>
        <v>103</v>
      </c>
      <c r="D617" s="114" t="n">
        <f aca="false">IF(B617="Tema",MOD(A617-1,Config!$E$28)+1,"")</f>
        <v>1</v>
      </c>
      <c r="E617" s="115" t="str">
        <f aca="false">IF($B617="Tema",IF(ISNUMBER(INDEX(Temas!$E$6:$P$305,$C617,2*$D617-1)),INDEX(Temas!$E$6:$P$305,$C617,2*$D617-1),""),IF(ISNUMBER(INDEX(Avulsos!$B$6:$B$205,$C617)),INDEX(Avulsos!$B$6:$B$205,$C617),""))</f>
        <v/>
      </c>
      <c r="F617" s="114" t="str">
        <f aca="false">IF($E617="","",IF($B617="Tema",INDEX(Temas!$B$6:$B$305,$C617)&amp;"",INDEX(Avulsos!$C$6:$C$205,$C617)&amp;""))</f>
        <v/>
      </c>
      <c r="G617" s="114" t="str">
        <f aca="false">IF($E617="","",IF($B617="Tema",INDEX(Config!$C$6:$C$11,$D617),"Evento avulso"))</f>
        <v/>
      </c>
      <c r="H617" s="114" t="str">
        <f aca="false">IF($E617="","",IF($B617="Tema",INDEX(Config!$D$6:$D$11,$D617),IFERROR(INDEX(Config!$E$15:$E$19,MATCH($I617,Config!$C$15:$C$19,0)),"•")))</f>
        <v/>
      </c>
      <c r="I617" s="114" t="str">
        <f aca="false">IF($E617="","",IF($B617="Tema",INDEX(Config!$E$6:$E$11,$D617),IF(INDEX(Avulsos!$D$6:$D$205,$C617)&amp;""="","Outro",INDEX(Avulsos!$D$6:$D$205,$C617))))</f>
        <v/>
      </c>
      <c r="J617" s="114" t="str">
        <f aca="false">IF($E617="","",IF($B617="Tema",INDEX(Temas!$C$6:$C$305,$C617)&amp;"",INDEX(Avulsos!$E$6:$E$205,$C617)&amp;""))</f>
        <v/>
      </c>
      <c r="K617" s="114" t="str">
        <f aca="false">IF($E617="","",IF(IF($B617="Tema",INDEX(Temas!$E$6:$P$305,$C617,2*$D617),INDEX(Avulsos!$F$6:$F$205,$C617))&amp;""="","","✓"))</f>
        <v/>
      </c>
      <c r="L617" s="114" t="str">
        <f aca="true">IF($E617="","",IF($K617="✓","Concluído",IF($E617&lt;TODAY(),"Atrasado",IF($E617=TODAY(),"Hoje","Pendente"))))</f>
        <v/>
      </c>
      <c r="M617" s="114" t="str">
        <f aca="false">IF($E617="","",IF($K617="✓","✓ ","")&amp;IF(Config!$E$22="Sim",$H617&amp;" · ","")&amp;$F617)</f>
        <v/>
      </c>
      <c r="N617" s="114" t="str">
        <f aca="false">IF($E617="","",IFERROR(INDEX(Config!$D$15:$D$19,MATCH($I617,Config!$C$15:$C$19,0)),"OUT")&amp;IF($K617="✓","x",""))</f>
        <v/>
      </c>
      <c r="O617" s="114" t="str">
        <f aca="false">IF($E617="","",COUNTIF($E$5:$E617,$E617))</f>
        <v/>
      </c>
      <c r="P617" s="114" t="str">
        <f aca="false">IF($E617="","",$E617*100+$O617)</f>
        <v/>
      </c>
      <c r="Q617" s="114" t="str">
        <f aca="false">IF($L617="Atrasado",$E617*10000+$A617,"")</f>
        <v/>
      </c>
    </row>
    <row r="618" customFormat="false" ht="15" hidden="false" customHeight="false" outlineLevel="0" collapsed="false">
      <c r="A618" s="114" t="n">
        <f aca="false">ROW()-4</f>
        <v>614</v>
      </c>
      <c r="B618" s="114" t="str">
        <f aca="false">IF(A618&lt;=Config!$E$27*Config!$E$28,"Tema","Avulso")</f>
        <v>Tema</v>
      </c>
      <c r="C618" s="114" t="n">
        <f aca="false">IF(B618="Tema",INT((A618-1)/Config!$E$28)+1,A618-Config!$E$27*Config!$E$28)</f>
        <v>103</v>
      </c>
      <c r="D618" s="114" t="n">
        <f aca="false">IF(B618="Tema",MOD(A618-1,Config!$E$28)+1,"")</f>
        <v>2</v>
      </c>
      <c r="E618" s="115" t="str">
        <f aca="false">IF($B618="Tema",IF(ISNUMBER(INDEX(Temas!$E$6:$P$305,$C618,2*$D618-1)),INDEX(Temas!$E$6:$P$305,$C618,2*$D618-1),""),IF(ISNUMBER(INDEX(Avulsos!$B$6:$B$205,$C618)),INDEX(Avulsos!$B$6:$B$205,$C618),""))</f>
        <v/>
      </c>
      <c r="F618" s="114" t="str">
        <f aca="false">IF($E618="","",IF($B618="Tema",INDEX(Temas!$B$6:$B$305,$C618)&amp;"",INDEX(Avulsos!$C$6:$C$205,$C618)&amp;""))</f>
        <v/>
      </c>
      <c r="G618" s="114" t="str">
        <f aca="false">IF($E618="","",IF($B618="Tema",INDEX(Config!$C$6:$C$11,$D618),"Evento avulso"))</f>
        <v/>
      </c>
      <c r="H618" s="114" t="str">
        <f aca="false">IF($E618="","",IF($B618="Tema",INDEX(Config!$D$6:$D$11,$D618),IFERROR(INDEX(Config!$E$15:$E$19,MATCH($I618,Config!$C$15:$C$19,0)),"•")))</f>
        <v/>
      </c>
      <c r="I618" s="114" t="str">
        <f aca="false">IF($E618="","",IF($B618="Tema",INDEX(Config!$E$6:$E$11,$D618),IF(INDEX(Avulsos!$D$6:$D$205,$C618)&amp;""="","Outro",INDEX(Avulsos!$D$6:$D$205,$C618))))</f>
        <v/>
      </c>
      <c r="J618" s="114" t="str">
        <f aca="false">IF($E618="","",IF($B618="Tema",INDEX(Temas!$C$6:$C$305,$C618)&amp;"",INDEX(Avulsos!$E$6:$E$205,$C618)&amp;""))</f>
        <v/>
      </c>
      <c r="K618" s="114" t="str">
        <f aca="false">IF($E618="","",IF(IF($B618="Tema",INDEX(Temas!$E$6:$P$305,$C618,2*$D618),INDEX(Avulsos!$F$6:$F$205,$C618))&amp;""="","","✓"))</f>
        <v/>
      </c>
      <c r="L618" s="114" t="str">
        <f aca="true">IF($E618="","",IF($K618="✓","Concluído",IF($E618&lt;TODAY(),"Atrasado",IF($E618=TODAY(),"Hoje","Pendente"))))</f>
        <v/>
      </c>
      <c r="M618" s="114" t="str">
        <f aca="false">IF($E618="","",IF($K618="✓","✓ ","")&amp;IF(Config!$E$22="Sim",$H618&amp;" · ","")&amp;$F618)</f>
        <v/>
      </c>
      <c r="N618" s="114" t="str">
        <f aca="false">IF($E618="","",IFERROR(INDEX(Config!$D$15:$D$19,MATCH($I618,Config!$C$15:$C$19,0)),"OUT")&amp;IF($K618="✓","x",""))</f>
        <v/>
      </c>
      <c r="O618" s="114" t="str">
        <f aca="false">IF($E618="","",COUNTIF($E$5:$E618,$E618))</f>
        <v/>
      </c>
      <c r="P618" s="114" t="str">
        <f aca="false">IF($E618="","",$E618*100+$O618)</f>
        <v/>
      </c>
      <c r="Q618" s="114" t="str">
        <f aca="false">IF($L618="Atrasado",$E618*10000+$A618,"")</f>
        <v/>
      </c>
    </row>
    <row r="619" customFormat="false" ht="15" hidden="false" customHeight="false" outlineLevel="0" collapsed="false">
      <c r="A619" s="114" t="n">
        <f aca="false">ROW()-4</f>
        <v>615</v>
      </c>
      <c r="B619" s="114" t="str">
        <f aca="false">IF(A619&lt;=Config!$E$27*Config!$E$28,"Tema","Avulso")</f>
        <v>Tema</v>
      </c>
      <c r="C619" s="114" t="n">
        <f aca="false">IF(B619="Tema",INT((A619-1)/Config!$E$28)+1,A619-Config!$E$27*Config!$E$28)</f>
        <v>103</v>
      </c>
      <c r="D619" s="114" t="n">
        <f aca="false">IF(B619="Tema",MOD(A619-1,Config!$E$28)+1,"")</f>
        <v>3</v>
      </c>
      <c r="E619" s="115" t="str">
        <f aca="false">IF($B619="Tema",IF(ISNUMBER(INDEX(Temas!$E$6:$P$305,$C619,2*$D619-1)),INDEX(Temas!$E$6:$P$305,$C619,2*$D619-1),""),IF(ISNUMBER(INDEX(Avulsos!$B$6:$B$205,$C619)),INDEX(Avulsos!$B$6:$B$205,$C619),""))</f>
        <v/>
      </c>
      <c r="F619" s="114" t="str">
        <f aca="false">IF($E619="","",IF($B619="Tema",INDEX(Temas!$B$6:$B$305,$C619)&amp;"",INDEX(Avulsos!$C$6:$C$205,$C619)&amp;""))</f>
        <v/>
      </c>
      <c r="G619" s="114" t="str">
        <f aca="false">IF($E619="","",IF($B619="Tema",INDEX(Config!$C$6:$C$11,$D619),"Evento avulso"))</f>
        <v/>
      </c>
      <c r="H619" s="114" t="str">
        <f aca="false">IF($E619="","",IF($B619="Tema",INDEX(Config!$D$6:$D$11,$D619),IFERROR(INDEX(Config!$E$15:$E$19,MATCH($I619,Config!$C$15:$C$19,0)),"•")))</f>
        <v/>
      </c>
      <c r="I619" s="114" t="str">
        <f aca="false">IF($E619="","",IF($B619="Tema",INDEX(Config!$E$6:$E$11,$D619),IF(INDEX(Avulsos!$D$6:$D$205,$C619)&amp;""="","Outro",INDEX(Avulsos!$D$6:$D$205,$C619))))</f>
        <v/>
      </c>
      <c r="J619" s="114" t="str">
        <f aca="false">IF($E619="","",IF($B619="Tema",INDEX(Temas!$C$6:$C$305,$C619)&amp;"",INDEX(Avulsos!$E$6:$E$205,$C619)&amp;""))</f>
        <v/>
      </c>
      <c r="K619" s="114" t="str">
        <f aca="false">IF($E619="","",IF(IF($B619="Tema",INDEX(Temas!$E$6:$P$305,$C619,2*$D619),INDEX(Avulsos!$F$6:$F$205,$C619))&amp;""="","","✓"))</f>
        <v/>
      </c>
      <c r="L619" s="114" t="str">
        <f aca="true">IF($E619="","",IF($K619="✓","Concluído",IF($E619&lt;TODAY(),"Atrasado",IF($E619=TODAY(),"Hoje","Pendente"))))</f>
        <v/>
      </c>
      <c r="M619" s="114" t="str">
        <f aca="false">IF($E619="","",IF($K619="✓","✓ ","")&amp;IF(Config!$E$22="Sim",$H619&amp;" · ","")&amp;$F619)</f>
        <v/>
      </c>
      <c r="N619" s="114" t="str">
        <f aca="false">IF($E619="","",IFERROR(INDEX(Config!$D$15:$D$19,MATCH($I619,Config!$C$15:$C$19,0)),"OUT")&amp;IF($K619="✓","x",""))</f>
        <v/>
      </c>
      <c r="O619" s="114" t="str">
        <f aca="false">IF($E619="","",COUNTIF($E$5:$E619,$E619))</f>
        <v/>
      </c>
      <c r="P619" s="114" t="str">
        <f aca="false">IF($E619="","",$E619*100+$O619)</f>
        <v/>
      </c>
      <c r="Q619" s="114" t="str">
        <f aca="false">IF($L619="Atrasado",$E619*10000+$A619,"")</f>
        <v/>
      </c>
    </row>
    <row r="620" customFormat="false" ht="15" hidden="false" customHeight="false" outlineLevel="0" collapsed="false">
      <c r="A620" s="114" t="n">
        <f aca="false">ROW()-4</f>
        <v>616</v>
      </c>
      <c r="B620" s="114" t="str">
        <f aca="false">IF(A620&lt;=Config!$E$27*Config!$E$28,"Tema","Avulso")</f>
        <v>Tema</v>
      </c>
      <c r="C620" s="114" t="n">
        <f aca="false">IF(B620="Tema",INT((A620-1)/Config!$E$28)+1,A620-Config!$E$27*Config!$E$28)</f>
        <v>103</v>
      </c>
      <c r="D620" s="114" t="n">
        <f aca="false">IF(B620="Tema",MOD(A620-1,Config!$E$28)+1,"")</f>
        <v>4</v>
      </c>
      <c r="E620" s="115" t="str">
        <f aca="false">IF($B620="Tema",IF(ISNUMBER(INDEX(Temas!$E$6:$P$305,$C620,2*$D620-1)),INDEX(Temas!$E$6:$P$305,$C620,2*$D620-1),""),IF(ISNUMBER(INDEX(Avulsos!$B$6:$B$205,$C620)),INDEX(Avulsos!$B$6:$B$205,$C620),""))</f>
        <v/>
      </c>
      <c r="F620" s="114" t="str">
        <f aca="false">IF($E620="","",IF($B620="Tema",INDEX(Temas!$B$6:$B$305,$C620)&amp;"",INDEX(Avulsos!$C$6:$C$205,$C620)&amp;""))</f>
        <v/>
      </c>
      <c r="G620" s="114" t="str">
        <f aca="false">IF($E620="","",IF($B620="Tema",INDEX(Config!$C$6:$C$11,$D620),"Evento avulso"))</f>
        <v/>
      </c>
      <c r="H620" s="114" t="str">
        <f aca="false">IF($E620="","",IF($B620="Tema",INDEX(Config!$D$6:$D$11,$D620),IFERROR(INDEX(Config!$E$15:$E$19,MATCH($I620,Config!$C$15:$C$19,0)),"•")))</f>
        <v/>
      </c>
      <c r="I620" s="114" t="str">
        <f aca="false">IF($E620="","",IF($B620="Tema",INDEX(Config!$E$6:$E$11,$D620),IF(INDEX(Avulsos!$D$6:$D$205,$C620)&amp;""="","Outro",INDEX(Avulsos!$D$6:$D$205,$C620))))</f>
        <v/>
      </c>
      <c r="J620" s="114" t="str">
        <f aca="false">IF($E620="","",IF($B620="Tema",INDEX(Temas!$C$6:$C$305,$C620)&amp;"",INDEX(Avulsos!$E$6:$E$205,$C620)&amp;""))</f>
        <v/>
      </c>
      <c r="K620" s="114" t="str">
        <f aca="false">IF($E620="","",IF(IF($B620="Tema",INDEX(Temas!$E$6:$P$305,$C620,2*$D620),INDEX(Avulsos!$F$6:$F$205,$C620))&amp;""="","","✓"))</f>
        <v/>
      </c>
      <c r="L620" s="114" t="str">
        <f aca="true">IF($E620="","",IF($K620="✓","Concluído",IF($E620&lt;TODAY(),"Atrasado",IF($E620=TODAY(),"Hoje","Pendente"))))</f>
        <v/>
      </c>
      <c r="M620" s="114" t="str">
        <f aca="false">IF($E620="","",IF($K620="✓","✓ ","")&amp;IF(Config!$E$22="Sim",$H620&amp;" · ","")&amp;$F620)</f>
        <v/>
      </c>
      <c r="N620" s="114" t="str">
        <f aca="false">IF($E620="","",IFERROR(INDEX(Config!$D$15:$D$19,MATCH($I620,Config!$C$15:$C$19,0)),"OUT")&amp;IF($K620="✓","x",""))</f>
        <v/>
      </c>
      <c r="O620" s="114" t="str">
        <f aca="false">IF($E620="","",COUNTIF($E$5:$E620,$E620))</f>
        <v/>
      </c>
      <c r="P620" s="114" t="str">
        <f aca="false">IF($E620="","",$E620*100+$O620)</f>
        <v/>
      </c>
      <c r="Q620" s="114" t="str">
        <f aca="false">IF($L620="Atrasado",$E620*10000+$A620,"")</f>
        <v/>
      </c>
    </row>
    <row r="621" customFormat="false" ht="15" hidden="false" customHeight="false" outlineLevel="0" collapsed="false">
      <c r="A621" s="114" t="n">
        <f aca="false">ROW()-4</f>
        <v>617</v>
      </c>
      <c r="B621" s="114" t="str">
        <f aca="false">IF(A621&lt;=Config!$E$27*Config!$E$28,"Tema","Avulso")</f>
        <v>Tema</v>
      </c>
      <c r="C621" s="114" t="n">
        <f aca="false">IF(B621="Tema",INT((A621-1)/Config!$E$28)+1,A621-Config!$E$27*Config!$E$28)</f>
        <v>103</v>
      </c>
      <c r="D621" s="114" t="n">
        <f aca="false">IF(B621="Tema",MOD(A621-1,Config!$E$28)+1,"")</f>
        <v>5</v>
      </c>
      <c r="E621" s="115" t="str">
        <f aca="false">IF($B621="Tema",IF(ISNUMBER(INDEX(Temas!$E$6:$P$305,$C621,2*$D621-1)),INDEX(Temas!$E$6:$P$305,$C621,2*$D621-1),""),IF(ISNUMBER(INDEX(Avulsos!$B$6:$B$205,$C621)),INDEX(Avulsos!$B$6:$B$205,$C621),""))</f>
        <v/>
      </c>
      <c r="F621" s="114" t="str">
        <f aca="false">IF($E621="","",IF($B621="Tema",INDEX(Temas!$B$6:$B$305,$C621)&amp;"",INDEX(Avulsos!$C$6:$C$205,$C621)&amp;""))</f>
        <v/>
      </c>
      <c r="G621" s="114" t="str">
        <f aca="false">IF($E621="","",IF($B621="Tema",INDEX(Config!$C$6:$C$11,$D621),"Evento avulso"))</f>
        <v/>
      </c>
      <c r="H621" s="114" t="str">
        <f aca="false">IF($E621="","",IF($B621="Tema",INDEX(Config!$D$6:$D$11,$D621),IFERROR(INDEX(Config!$E$15:$E$19,MATCH($I621,Config!$C$15:$C$19,0)),"•")))</f>
        <v/>
      </c>
      <c r="I621" s="114" t="str">
        <f aca="false">IF($E621="","",IF($B621="Tema",INDEX(Config!$E$6:$E$11,$D621),IF(INDEX(Avulsos!$D$6:$D$205,$C621)&amp;""="","Outro",INDEX(Avulsos!$D$6:$D$205,$C621))))</f>
        <v/>
      </c>
      <c r="J621" s="114" t="str">
        <f aca="false">IF($E621="","",IF($B621="Tema",INDEX(Temas!$C$6:$C$305,$C621)&amp;"",INDEX(Avulsos!$E$6:$E$205,$C621)&amp;""))</f>
        <v/>
      </c>
      <c r="K621" s="114" t="str">
        <f aca="false">IF($E621="","",IF(IF($B621="Tema",INDEX(Temas!$E$6:$P$305,$C621,2*$D621),INDEX(Avulsos!$F$6:$F$205,$C621))&amp;""="","","✓"))</f>
        <v/>
      </c>
      <c r="L621" s="114" t="str">
        <f aca="true">IF($E621="","",IF($K621="✓","Concluído",IF($E621&lt;TODAY(),"Atrasado",IF($E621=TODAY(),"Hoje","Pendente"))))</f>
        <v/>
      </c>
      <c r="M621" s="114" t="str">
        <f aca="false">IF($E621="","",IF($K621="✓","✓ ","")&amp;IF(Config!$E$22="Sim",$H621&amp;" · ","")&amp;$F621)</f>
        <v/>
      </c>
      <c r="N621" s="114" t="str">
        <f aca="false">IF($E621="","",IFERROR(INDEX(Config!$D$15:$D$19,MATCH($I621,Config!$C$15:$C$19,0)),"OUT")&amp;IF($K621="✓","x",""))</f>
        <v/>
      </c>
      <c r="O621" s="114" t="str">
        <f aca="false">IF($E621="","",COUNTIF($E$5:$E621,$E621))</f>
        <v/>
      </c>
      <c r="P621" s="114" t="str">
        <f aca="false">IF($E621="","",$E621*100+$O621)</f>
        <v/>
      </c>
      <c r="Q621" s="114" t="str">
        <f aca="false">IF($L621="Atrasado",$E621*10000+$A621,"")</f>
        <v/>
      </c>
    </row>
    <row r="622" customFormat="false" ht="15" hidden="false" customHeight="false" outlineLevel="0" collapsed="false">
      <c r="A622" s="114" t="n">
        <f aca="false">ROW()-4</f>
        <v>618</v>
      </c>
      <c r="B622" s="114" t="str">
        <f aca="false">IF(A622&lt;=Config!$E$27*Config!$E$28,"Tema","Avulso")</f>
        <v>Tema</v>
      </c>
      <c r="C622" s="114" t="n">
        <f aca="false">IF(B622="Tema",INT((A622-1)/Config!$E$28)+1,A622-Config!$E$27*Config!$E$28)</f>
        <v>103</v>
      </c>
      <c r="D622" s="114" t="n">
        <f aca="false">IF(B622="Tema",MOD(A622-1,Config!$E$28)+1,"")</f>
        <v>6</v>
      </c>
      <c r="E622" s="115" t="str">
        <f aca="false">IF($B622="Tema",IF(ISNUMBER(INDEX(Temas!$E$6:$P$305,$C622,2*$D622-1)),INDEX(Temas!$E$6:$P$305,$C622,2*$D622-1),""),IF(ISNUMBER(INDEX(Avulsos!$B$6:$B$205,$C622)),INDEX(Avulsos!$B$6:$B$205,$C622),""))</f>
        <v/>
      </c>
      <c r="F622" s="114" t="str">
        <f aca="false">IF($E622="","",IF($B622="Tema",INDEX(Temas!$B$6:$B$305,$C622)&amp;"",INDEX(Avulsos!$C$6:$C$205,$C622)&amp;""))</f>
        <v/>
      </c>
      <c r="G622" s="114" t="str">
        <f aca="false">IF($E622="","",IF($B622="Tema",INDEX(Config!$C$6:$C$11,$D622),"Evento avulso"))</f>
        <v/>
      </c>
      <c r="H622" s="114" t="str">
        <f aca="false">IF($E622="","",IF($B622="Tema",INDEX(Config!$D$6:$D$11,$D622),IFERROR(INDEX(Config!$E$15:$E$19,MATCH($I622,Config!$C$15:$C$19,0)),"•")))</f>
        <v/>
      </c>
      <c r="I622" s="114" t="str">
        <f aca="false">IF($E622="","",IF($B622="Tema",INDEX(Config!$E$6:$E$11,$D622),IF(INDEX(Avulsos!$D$6:$D$205,$C622)&amp;""="","Outro",INDEX(Avulsos!$D$6:$D$205,$C622))))</f>
        <v/>
      </c>
      <c r="J622" s="114" t="str">
        <f aca="false">IF($E622="","",IF($B622="Tema",INDEX(Temas!$C$6:$C$305,$C622)&amp;"",INDEX(Avulsos!$E$6:$E$205,$C622)&amp;""))</f>
        <v/>
      </c>
      <c r="K622" s="114" t="str">
        <f aca="false">IF($E622="","",IF(IF($B622="Tema",INDEX(Temas!$E$6:$P$305,$C622,2*$D622),INDEX(Avulsos!$F$6:$F$205,$C622))&amp;""="","","✓"))</f>
        <v/>
      </c>
      <c r="L622" s="114" t="str">
        <f aca="true">IF($E622="","",IF($K622="✓","Concluído",IF($E622&lt;TODAY(),"Atrasado",IF($E622=TODAY(),"Hoje","Pendente"))))</f>
        <v/>
      </c>
      <c r="M622" s="114" t="str">
        <f aca="false">IF($E622="","",IF($K622="✓","✓ ","")&amp;IF(Config!$E$22="Sim",$H622&amp;" · ","")&amp;$F622)</f>
        <v/>
      </c>
      <c r="N622" s="114" t="str">
        <f aca="false">IF($E622="","",IFERROR(INDEX(Config!$D$15:$D$19,MATCH($I622,Config!$C$15:$C$19,0)),"OUT")&amp;IF($K622="✓","x",""))</f>
        <v/>
      </c>
      <c r="O622" s="114" t="str">
        <f aca="false">IF($E622="","",COUNTIF($E$5:$E622,$E622))</f>
        <v/>
      </c>
      <c r="P622" s="114" t="str">
        <f aca="false">IF($E622="","",$E622*100+$O622)</f>
        <v/>
      </c>
      <c r="Q622" s="114" t="str">
        <f aca="false">IF($L622="Atrasado",$E622*10000+$A622,"")</f>
        <v/>
      </c>
    </row>
    <row r="623" customFormat="false" ht="15" hidden="false" customHeight="false" outlineLevel="0" collapsed="false">
      <c r="A623" s="114" t="n">
        <f aca="false">ROW()-4</f>
        <v>619</v>
      </c>
      <c r="B623" s="114" t="str">
        <f aca="false">IF(A623&lt;=Config!$E$27*Config!$E$28,"Tema","Avulso")</f>
        <v>Tema</v>
      </c>
      <c r="C623" s="114" t="n">
        <f aca="false">IF(B623="Tema",INT((A623-1)/Config!$E$28)+1,A623-Config!$E$27*Config!$E$28)</f>
        <v>104</v>
      </c>
      <c r="D623" s="114" t="n">
        <f aca="false">IF(B623="Tema",MOD(A623-1,Config!$E$28)+1,"")</f>
        <v>1</v>
      </c>
      <c r="E623" s="115" t="str">
        <f aca="false">IF($B623="Tema",IF(ISNUMBER(INDEX(Temas!$E$6:$P$305,$C623,2*$D623-1)),INDEX(Temas!$E$6:$P$305,$C623,2*$D623-1),""),IF(ISNUMBER(INDEX(Avulsos!$B$6:$B$205,$C623)),INDEX(Avulsos!$B$6:$B$205,$C623),""))</f>
        <v/>
      </c>
      <c r="F623" s="114" t="str">
        <f aca="false">IF($E623="","",IF($B623="Tema",INDEX(Temas!$B$6:$B$305,$C623)&amp;"",INDEX(Avulsos!$C$6:$C$205,$C623)&amp;""))</f>
        <v/>
      </c>
      <c r="G623" s="114" t="str">
        <f aca="false">IF($E623="","",IF($B623="Tema",INDEX(Config!$C$6:$C$11,$D623),"Evento avulso"))</f>
        <v/>
      </c>
      <c r="H623" s="114" t="str">
        <f aca="false">IF($E623="","",IF($B623="Tema",INDEX(Config!$D$6:$D$11,$D623),IFERROR(INDEX(Config!$E$15:$E$19,MATCH($I623,Config!$C$15:$C$19,0)),"•")))</f>
        <v/>
      </c>
      <c r="I623" s="114" t="str">
        <f aca="false">IF($E623="","",IF($B623="Tema",INDEX(Config!$E$6:$E$11,$D623),IF(INDEX(Avulsos!$D$6:$D$205,$C623)&amp;""="","Outro",INDEX(Avulsos!$D$6:$D$205,$C623))))</f>
        <v/>
      </c>
      <c r="J623" s="114" t="str">
        <f aca="false">IF($E623="","",IF($B623="Tema",INDEX(Temas!$C$6:$C$305,$C623)&amp;"",INDEX(Avulsos!$E$6:$E$205,$C623)&amp;""))</f>
        <v/>
      </c>
      <c r="K623" s="114" t="str">
        <f aca="false">IF($E623="","",IF(IF($B623="Tema",INDEX(Temas!$E$6:$P$305,$C623,2*$D623),INDEX(Avulsos!$F$6:$F$205,$C623))&amp;""="","","✓"))</f>
        <v/>
      </c>
      <c r="L623" s="114" t="str">
        <f aca="true">IF($E623="","",IF($K623="✓","Concluído",IF($E623&lt;TODAY(),"Atrasado",IF($E623=TODAY(),"Hoje","Pendente"))))</f>
        <v/>
      </c>
      <c r="M623" s="114" t="str">
        <f aca="false">IF($E623="","",IF($K623="✓","✓ ","")&amp;IF(Config!$E$22="Sim",$H623&amp;" · ","")&amp;$F623)</f>
        <v/>
      </c>
      <c r="N623" s="114" t="str">
        <f aca="false">IF($E623="","",IFERROR(INDEX(Config!$D$15:$D$19,MATCH($I623,Config!$C$15:$C$19,0)),"OUT")&amp;IF($K623="✓","x",""))</f>
        <v/>
      </c>
      <c r="O623" s="114" t="str">
        <f aca="false">IF($E623="","",COUNTIF($E$5:$E623,$E623))</f>
        <v/>
      </c>
      <c r="P623" s="114" t="str">
        <f aca="false">IF($E623="","",$E623*100+$O623)</f>
        <v/>
      </c>
      <c r="Q623" s="114" t="str">
        <f aca="false">IF($L623="Atrasado",$E623*10000+$A623,"")</f>
        <v/>
      </c>
    </row>
    <row r="624" customFormat="false" ht="15" hidden="false" customHeight="false" outlineLevel="0" collapsed="false">
      <c r="A624" s="114" t="n">
        <f aca="false">ROW()-4</f>
        <v>620</v>
      </c>
      <c r="B624" s="114" t="str">
        <f aca="false">IF(A624&lt;=Config!$E$27*Config!$E$28,"Tema","Avulso")</f>
        <v>Tema</v>
      </c>
      <c r="C624" s="114" t="n">
        <f aca="false">IF(B624="Tema",INT((A624-1)/Config!$E$28)+1,A624-Config!$E$27*Config!$E$28)</f>
        <v>104</v>
      </c>
      <c r="D624" s="114" t="n">
        <f aca="false">IF(B624="Tema",MOD(A624-1,Config!$E$28)+1,"")</f>
        <v>2</v>
      </c>
      <c r="E624" s="115" t="str">
        <f aca="false">IF($B624="Tema",IF(ISNUMBER(INDEX(Temas!$E$6:$P$305,$C624,2*$D624-1)),INDEX(Temas!$E$6:$P$305,$C624,2*$D624-1),""),IF(ISNUMBER(INDEX(Avulsos!$B$6:$B$205,$C624)),INDEX(Avulsos!$B$6:$B$205,$C624),""))</f>
        <v/>
      </c>
      <c r="F624" s="114" t="str">
        <f aca="false">IF($E624="","",IF($B624="Tema",INDEX(Temas!$B$6:$B$305,$C624)&amp;"",INDEX(Avulsos!$C$6:$C$205,$C624)&amp;""))</f>
        <v/>
      </c>
      <c r="G624" s="114" t="str">
        <f aca="false">IF($E624="","",IF($B624="Tema",INDEX(Config!$C$6:$C$11,$D624),"Evento avulso"))</f>
        <v/>
      </c>
      <c r="H624" s="114" t="str">
        <f aca="false">IF($E624="","",IF($B624="Tema",INDEX(Config!$D$6:$D$11,$D624),IFERROR(INDEX(Config!$E$15:$E$19,MATCH($I624,Config!$C$15:$C$19,0)),"•")))</f>
        <v/>
      </c>
      <c r="I624" s="114" t="str">
        <f aca="false">IF($E624="","",IF($B624="Tema",INDEX(Config!$E$6:$E$11,$D624),IF(INDEX(Avulsos!$D$6:$D$205,$C624)&amp;""="","Outro",INDEX(Avulsos!$D$6:$D$205,$C624))))</f>
        <v/>
      </c>
      <c r="J624" s="114" t="str">
        <f aca="false">IF($E624="","",IF($B624="Tema",INDEX(Temas!$C$6:$C$305,$C624)&amp;"",INDEX(Avulsos!$E$6:$E$205,$C624)&amp;""))</f>
        <v/>
      </c>
      <c r="K624" s="114" t="str">
        <f aca="false">IF($E624="","",IF(IF($B624="Tema",INDEX(Temas!$E$6:$P$305,$C624,2*$D624),INDEX(Avulsos!$F$6:$F$205,$C624))&amp;""="","","✓"))</f>
        <v/>
      </c>
      <c r="L624" s="114" t="str">
        <f aca="true">IF($E624="","",IF($K624="✓","Concluído",IF($E624&lt;TODAY(),"Atrasado",IF($E624=TODAY(),"Hoje","Pendente"))))</f>
        <v/>
      </c>
      <c r="M624" s="114" t="str">
        <f aca="false">IF($E624="","",IF($K624="✓","✓ ","")&amp;IF(Config!$E$22="Sim",$H624&amp;" · ","")&amp;$F624)</f>
        <v/>
      </c>
      <c r="N624" s="114" t="str">
        <f aca="false">IF($E624="","",IFERROR(INDEX(Config!$D$15:$D$19,MATCH($I624,Config!$C$15:$C$19,0)),"OUT")&amp;IF($K624="✓","x",""))</f>
        <v/>
      </c>
      <c r="O624" s="114" t="str">
        <f aca="false">IF($E624="","",COUNTIF($E$5:$E624,$E624))</f>
        <v/>
      </c>
      <c r="P624" s="114" t="str">
        <f aca="false">IF($E624="","",$E624*100+$O624)</f>
        <v/>
      </c>
      <c r="Q624" s="114" t="str">
        <f aca="false">IF($L624="Atrasado",$E624*10000+$A624,"")</f>
        <v/>
      </c>
    </row>
    <row r="625" customFormat="false" ht="15" hidden="false" customHeight="false" outlineLevel="0" collapsed="false">
      <c r="A625" s="114" t="n">
        <f aca="false">ROW()-4</f>
        <v>621</v>
      </c>
      <c r="B625" s="114" t="str">
        <f aca="false">IF(A625&lt;=Config!$E$27*Config!$E$28,"Tema","Avulso")</f>
        <v>Tema</v>
      </c>
      <c r="C625" s="114" t="n">
        <f aca="false">IF(B625="Tema",INT((A625-1)/Config!$E$28)+1,A625-Config!$E$27*Config!$E$28)</f>
        <v>104</v>
      </c>
      <c r="D625" s="114" t="n">
        <f aca="false">IF(B625="Tema",MOD(A625-1,Config!$E$28)+1,"")</f>
        <v>3</v>
      </c>
      <c r="E625" s="115" t="str">
        <f aca="false">IF($B625="Tema",IF(ISNUMBER(INDEX(Temas!$E$6:$P$305,$C625,2*$D625-1)),INDEX(Temas!$E$6:$P$305,$C625,2*$D625-1),""),IF(ISNUMBER(INDEX(Avulsos!$B$6:$B$205,$C625)),INDEX(Avulsos!$B$6:$B$205,$C625),""))</f>
        <v/>
      </c>
      <c r="F625" s="114" t="str">
        <f aca="false">IF($E625="","",IF($B625="Tema",INDEX(Temas!$B$6:$B$305,$C625)&amp;"",INDEX(Avulsos!$C$6:$C$205,$C625)&amp;""))</f>
        <v/>
      </c>
      <c r="G625" s="114" t="str">
        <f aca="false">IF($E625="","",IF($B625="Tema",INDEX(Config!$C$6:$C$11,$D625),"Evento avulso"))</f>
        <v/>
      </c>
      <c r="H625" s="114" t="str">
        <f aca="false">IF($E625="","",IF($B625="Tema",INDEX(Config!$D$6:$D$11,$D625),IFERROR(INDEX(Config!$E$15:$E$19,MATCH($I625,Config!$C$15:$C$19,0)),"•")))</f>
        <v/>
      </c>
      <c r="I625" s="114" t="str">
        <f aca="false">IF($E625="","",IF($B625="Tema",INDEX(Config!$E$6:$E$11,$D625),IF(INDEX(Avulsos!$D$6:$D$205,$C625)&amp;""="","Outro",INDEX(Avulsos!$D$6:$D$205,$C625))))</f>
        <v/>
      </c>
      <c r="J625" s="114" t="str">
        <f aca="false">IF($E625="","",IF($B625="Tema",INDEX(Temas!$C$6:$C$305,$C625)&amp;"",INDEX(Avulsos!$E$6:$E$205,$C625)&amp;""))</f>
        <v/>
      </c>
      <c r="K625" s="114" t="str">
        <f aca="false">IF($E625="","",IF(IF($B625="Tema",INDEX(Temas!$E$6:$P$305,$C625,2*$D625),INDEX(Avulsos!$F$6:$F$205,$C625))&amp;""="","","✓"))</f>
        <v/>
      </c>
      <c r="L625" s="114" t="str">
        <f aca="true">IF($E625="","",IF($K625="✓","Concluído",IF($E625&lt;TODAY(),"Atrasado",IF($E625=TODAY(),"Hoje","Pendente"))))</f>
        <v/>
      </c>
      <c r="M625" s="114" t="str">
        <f aca="false">IF($E625="","",IF($K625="✓","✓ ","")&amp;IF(Config!$E$22="Sim",$H625&amp;" · ","")&amp;$F625)</f>
        <v/>
      </c>
      <c r="N625" s="114" t="str">
        <f aca="false">IF($E625="","",IFERROR(INDEX(Config!$D$15:$D$19,MATCH($I625,Config!$C$15:$C$19,0)),"OUT")&amp;IF($K625="✓","x",""))</f>
        <v/>
      </c>
      <c r="O625" s="114" t="str">
        <f aca="false">IF($E625="","",COUNTIF($E$5:$E625,$E625))</f>
        <v/>
      </c>
      <c r="P625" s="114" t="str">
        <f aca="false">IF($E625="","",$E625*100+$O625)</f>
        <v/>
      </c>
      <c r="Q625" s="114" t="str">
        <f aca="false">IF($L625="Atrasado",$E625*10000+$A625,"")</f>
        <v/>
      </c>
    </row>
    <row r="626" customFormat="false" ht="15" hidden="false" customHeight="false" outlineLevel="0" collapsed="false">
      <c r="A626" s="114" t="n">
        <f aca="false">ROW()-4</f>
        <v>622</v>
      </c>
      <c r="B626" s="114" t="str">
        <f aca="false">IF(A626&lt;=Config!$E$27*Config!$E$28,"Tema","Avulso")</f>
        <v>Tema</v>
      </c>
      <c r="C626" s="114" t="n">
        <f aca="false">IF(B626="Tema",INT((A626-1)/Config!$E$28)+1,A626-Config!$E$27*Config!$E$28)</f>
        <v>104</v>
      </c>
      <c r="D626" s="114" t="n">
        <f aca="false">IF(B626="Tema",MOD(A626-1,Config!$E$28)+1,"")</f>
        <v>4</v>
      </c>
      <c r="E626" s="115" t="str">
        <f aca="false">IF($B626="Tema",IF(ISNUMBER(INDEX(Temas!$E$6:$P$305,$C626,2*$D626-1)),INDEX(Temas!$E$6:$P$305,$C626,2*$D626-1),""),IF(ISNUMBER(INDEX(Avulsos!$B$6:$B$205,$C626)),INDEX(Avulsos!$B$6:$B$205,$C626),""))</f>
        <v/>
      </c>
      <c r="F626" s="114" t="str">
        <f aca="false">IF($E626="","",IF($B626="Tema",INDEX(Temas!$B$6:$B$305,$C626)&amp;"",INDEX(Avulsos!$C$6:$C$205,$C626)&amp;""))</f>
        <v/>
      </c>
      <c r="G626" s="114" t="str">
        <f aca="false">IF($E626="","",IF($B626="Tema",INDEX(Config!$C$6:$C$11,$D626),"Evento avulso"))</f>
        <v/>
      </c>
      <c r="H626" s="114" t="str">
        <f aca="false">IF($E626="","",IF($B626="Tema",INDEX(Config!$D$6:$D$11,$D626),IFERROR(INDEX(Config!$E$15:$E$19,MATCH($I626,Config!$C$15:$C$19,0)),"•")))</f>
        <v/>
      </c>
      <c r="I626" s="114" t="str">
        <f aca="false">IF($E626="","",IF($B626="Tema",INDEX(Config!$E$6:$E$11,$D626),IF(INDEX(Avulsos!$D$6:$D$205,$C626)&amp;""="","Outro",INDEX(Avulsos!$D$6:$D$205,$C626))))</f>
        <v/>
      </c>
      <c r="J626" s="114" t="str">
        <f aca="false">IF($E626="","",IF($B626="Tema",INDEX(Temas!$C$6:$C$305,$C626)&amp;"",INDEX(Avulsos!$E$6:$E$205,$C626)&amp;""))</f>
        <v/>
      </c>
      <c r="K626" s="114" t="str">
        <f aca="false">IF($E626="","",IF(IF($B626="Tema",INDEX(Temas!$E$6:$P$305,$C626,2*$D626),INDEX(Avulsos!$F$6:$F$205,$C626))&amp;""="","","✓"))</f>
        <v/>
      </c>
      <c r="L626" s="114" t="str">
        <f aca="true">IF($E626="","",IF($K626="✓","Concluído",IF($E626&lt;TODAY(),"Atrasado",IF($E626=TODAY(),"Hoje","Pendente"))))</f>
        <v/>
      </c>
      <c r="M626" s="114" t="str">
        <f aca="false">IF($E626="","",IF($K626="✓","✓ ","")&amp;IF(Config!$E$22="Sim",$H626&amp;" · ","")&amp;$F626)</f>
        <v/>
      </c>
      <c r="N626" s="114" t="str">
        <f aca="false">IF($E626="","",IFERROR(INDEX(Config!$D$15:$D$19,MATCH($I626,Config!$C$15:$C$19,0)),"OUT")&amp;IF($K626="✓","x",""))</f>
        <v/>
      </c>
      <c r="O626" s="114" t="str">
        <f aca="false">IF($E626="","",COUNTIF($E$5:$E626,$E626))</f>
        <v/>
      </c>
      <c r="P626" s="114" t="str">
        <f aca="false">IF($E626="","",$E626*100+$O626)</f>
        <v/>
      </c>
      <c r="Q626" s="114" t="str">
        <f aca="false">IF($L626="Atrasado",$E626*10000+$A626,"")</f>
        <v/>
      </c>
    </row>
    <row r="627" customFormat="false" ht="15" hidden="false" customHeight="false" outlineLevel="0" collapsed="false">
      <c r="A627" s="114" t="n">
        <f aca="false">ROW()-4</f>
        <v>623</v>
      </c>
      <c r="B627" s="114" t="str">
        <f aca="false">IF(A627&lt;=Config!$E$27*Config!$E$28,"Tema","Avulso")</f>
        <v>Tema</v>
      </c>
      <c r="C627" s="114" t="n">
        <f aca="false">IF(B627="Tema",INT((A627-1)/Config!$E$28)+1,A627-Config!$E$27*Config!$E$28)</f>
        <v>104</v>
      </c>
      <c r="D627" s="114" t="n">
        <f aca="false">IF(B627="Tema",MOD(A627-1,Config!$E$28)+1,"")</f>
        <v>5</v>
      </c>
      <c r="E627" s="115" t="str">
        <f aca="false">IF($B627="Tema",IF(ISNUMBER(INDEX(Temas!$E$6:$P$305,$C627,2*$D627-1)),INDEX(Temas!$E$6:$P$305,$C627,2*$D627-1),""),IF(ISNUMBER(INDEX(Avulsos!$B$6:$B$205,$C627)),INDEX(Avulsos!$B$6:$B$205,$C627),""))</f>
        <v/>
      </c>
      <c r="F627" s="114" t="str">
        <f aca="false">IF($E627="","",IF($B627="Tema",INDEX(Temas!$B$6:$B$305,$C627)&amp;"",INDEX(Avulsos!$C$6:$C$205,$C627)&amp;""))</f>
        <v/>
      </c>
      <c r="G627" s="114" t="str">
        <f aca="false">IF($E627="","",IF($B627="Tema",INDEX(Config!$C$6:$C$11,$D627),"Evento avulso"))</f>
        <v/>
      </c>
      <c r="H627" s="114" t="str">
        <f aca="false">IF($E627="","",IF($B627="Tema",INDEX(Config!$D$6:$D$11,$D627),IFERROR(INDEX(Config!$E$15:$E$19,MATCH($I627,Config!$C$15:$C$19,0)),"•")))</f>
        <v/>
      </c>
      <c r="I627" s="114" t="str">
        <f aca="false">IF($E627="","",IF($B627="Tema",INDEX(Config!$E$6:$E$11,$D627),IF(INDEX(Avulsos!$D$6:$D$205,$C627)&amp;""="","Outro",INDEX(Avulsos!$D$6:$D$205,$C627))))</f>
        <v/>
      </c>
      <c r="J627" s="114" t="str">
        <f aca="false">IF($E627="","",IF($B627="Tema",INDEX(Temas!$C$6:$C$305,$C627)&amp;"",INDEX(Avulsos!$E$6:$E$205,$C627)&amp;""))</f>
        <v/>
      </c>
      <c r="K627" s="114" t="str">
        <f aca="false">IF($E627="","",IF(IF($B627="Tema",INDEX(Temas!$E$6:$P$305,$C627,2*$D627),INDEX(Avulsos!$F$6:$F$205,$C627))&amp;""="","","✓"))</f>
        <v/>
      </c>
      <c r="L627" s="114" t="str">
        <f aca="true">IF($E627="","",IF($K627="✓","Concluído",IF($E627&lt;TODAY(),"Atrasado",IF($E627=TODAY(),"Hoje","Pendente"))))</f>
        <v/>
      </c>
      <c r="M627" s="114" t="str">
        <f aca="false">IF($E627="","",IF($K627="✓","✓ ","")&amp;IF(Config!$E$22="Sim",$H627&amp;" · ","")&amp;$F627)</f>
        <v/>
      </c>
      <c r="N627" s="114" t="str">
        <f aca="false">IF($E627="","",IFERROR(INDEX(Config!$D$15:$D$19,MATCH($I627,Config!$C$15:$C$19,0)),"OUT")&amp;IF($K627="✓","x",""))</f>
        <v/>
      </c>
      <c r="O627" s="114" t="str">
        <f aca="false">IF($E627="","",COUNTIF($E$5:$E627,$E627))</f>
        <v/>
      </c>
      <c r="P627" s="114" t="str">
        <f aca="false">IF($E627="","",$E627*100+$O627)</f>
        <v/>
      </c>
      <c r="Q627" s="114" t="str">
        <f aca="false">IF($L627="Atrasado",$E627*10000+$A627,"")</f>
        <v/>
      </c>
    </row>
    <row r="628" customFormat="false" ht="15" hidden="false" customHeight="false" outlineLevel="0" collapsed="false">
      <c r="A628" s="114" t="n">
        <f aca="false">ROW()-4</f>
        <v>624</v>
      </c>
      <c r="B628" s="114" t="str">
        <f aca="false">IF(A628&lt;=Config!$E$27*Config!$E$28,"Tema","Avulso")</f>
        <v>Tema</v>
      </c>
      <c r="C628" s="114" t="n">
        <f aca="false">IF(B628="Tema",INT((A628-1)/Config!$E$28)+1,A628-Config!$E$27*Config!$E$28)</f>
        <v>104</v>
      </c>
      <c r="D628" s="114" t="n">
        <f aca="false">IF(B628="Tema",MOD(A628-1,Config!$E$28)+1,"")</f>
        <v>6</v>
      </c>
      <c r="E628" s="115" t="str">
        <f aca="false">IF($B628="Tema",IF(ISNUMBER(INDEX(Temas!$E$6:$P$305,$C628,2*$D628-1)),INDEX(Temas!$E$6:$P$305,$C628,2*$D628-1),""),IF(ISNUMBER(INDEX(Avulsos!$B$6:$B$205,$C628)),INDEX(Avulsos!$B$6:$B$205,$C628),""))</f>
        <v/>
      </c>
      <c r="F628" s="114" t="str">
        <f aca="false">IF($E628="","",IF($B628="Tema",INDEX(Temas!$B$6:$B$305,$C628)&amp;"",INDEX(Avulsos!$C$6:$C$205,$C628)&amp;""))</f>
        <v/>
      </c>
      <c r="G628" s="114" t="str">
        <f aca="false">IF($E628="","",IF($B628="Tema",INDEX(Config!$C$6:$C$11,$D628),"Evento avulso"))</f>
        <v/>
      </c>
      <c r="H628" s="114" t="str">
        <f aca="false">IF($E628="","",IF($B628="Tema",INDEX(Config!$D$6:$D$11,$D628),IFERROR(INDEX(Config!$E$15:$E$19,MATCH($I628,Config!$C$15:$C$19,0)),"•")))</f>
        <v/>
      </c>
      <c r="I628" s="114" t="str">
        <f aca="false">IF($E628="","",IF($B628="Tema",INDEX(Config!$E$6:$E$11,$D628),IF(INDEX(Avulsos!$D$6:$D$205,$C628)&amp;""="","Outro",INDEX(Avulsos!$D$6:$D$205,$C628))))</f>
        <v/>
      </c>
      <c r="J628" s="114" t="str">
        <f aca="false">IF($E628="","",IF($B628="Tema",INDEX(Temas!$C$6:$C$305,$C628)&amp;"",INDEX(Avulsos!$E$6:$E$205,$C628)&amp;""))</f>
        <v/>
      </c>
      <c r="K628" s="114" t="str">
        <f aca="false">IF($E628="","",IF(IF($B628="Tema",INDEX(Temas!$E$6:$P$305,$C628,2*$D628),INDEX(Avulsos!$F$6:$F$205,$C628))&amp;""="","","✓"))</f>
        <v/>
      </c>
      <c r="L628" s="114" t="str">
        <f aca="true">IF($E628="","",IF($K628="✓","Concluído",IF($E628&lt;TODAY(),"Atrasado",IF($E628=TODAY(),"Hoje","Pendente"))))</f>
        <v/>
      </c>
      <c r="M628" s="114" t="str">
        <f aca="false">IF($E628="","",IF($K628="✓","✓ ","")&amp;IF(Config!$E$22="Sim",$H628&amp;" · ","")&amp;$F628)</f>
        <v/>
      </c>
      <c r="N628" s="114" t="str">
        <f aca="false">IF($E628="","",IFERROR(INDEX(Config!$D$15:$D$19,MATCH($I628,Config!$C$15:$C$19,0)),"OUT")&amp;IF($K628="✓","x",""))</f>
        <v/>
      </c>
      <c r="O628" s="114" t="str">
        <f aca="false">IF($E628="","",COUNTIF($E$5:$E628,$E628))</f>
        <v/>
      </c>
      <c r="P628" s="114" t="str">
        <f aca="false">IF($E628="","",$E628*100+$O628)</f>
        <v/>
      </c>
      <c r="Q628" s="114" t="str">
        <f aca="false">IF($L628="Atrasado",$E628*10000+$A628,"")</f>
        <v/>
      </c>
    </row>
    <row r="629" customFormat="false" ht="15" hidden="false" customHeight="false" outlineLevel="0" collapsed="false">
      <c r="A629" s="114" t="n">
        <f aca="false">ROW()-4</f>
        <v>625</v>
      </c>
      <c r="B629" s="114" t="str">
        <f aca="false">IF(A629&lt;=Config!$E$27*Config!$E$28,"Tema","Avulso")</f>
        <v>Tema</v>
      </c>
      <c r="C629" s="114" t="n">
        <f aca="false">IF(B629="Tema",INT((A629-1)/Config!$E$28)+1,A629-Config!$E$27*Config!$E$28)</f>
        <v>105</v>
      </c>
      <c r="D629" s="114" t="n">
        <f aca="false">IF(B629="Tema",MOD(A629-1,Config!$E$28)+1,"")</f>
        <v>1</v>
      </c>
      <c r="E629" s="115" t="str">
        <f aca="false">IF($B629="Tema",IF(ISNUMBER(INDEX(Temas!$E$6:$P$305,$C629,2*$D629-1)),INDEX(Temas!$E$6:$P$305,$C629,2*$D629-1),""),IF(ISNUMBER(INDEX(Avulsos!$B$6:$B$205,$C629)),INDEX(Avulsos!$B$6:$B$205,$C629),""))</f>
        <v/>
      </c>
      <c r="F629" s="114" t="str">
        <f aca="false">IF($E629="","",IF($B629="Tema",INDEX(Temas!$B$6:$B$305,$C629)&amp;"",INDEX(Avulsos!$C$6:$C$205,$C629)&amp;""))</f>
        <v/>
      </c>
      <c r="G629" s="114" t="str">
        <f aca="false">IF($E629="","",IF($B629="Tema",INDEX(Config!$C$6:$C$11,$D629),"Evento avulso"))</f>
        <v/>
      </c>
      <c r="H629" s="114" t="str">
        <f aca="false">IF($E629="","",IF($B629="Tema",INDEX(Config!$D$6:$D$11,$D629),IFERROR(INDEX(Config!$E$15:$E$19,MATCH($I629,Config!$C$15:$C$19,0)),"•")))</f>
        <v/>
      </c>
      <c r="I629" s="114" t="str">
        <f aca="false">IF($E629="","",IF($B629="Tema",INDEX(Config!$E$6:$E$11,$D629),IF(INDEX(Avulsos!$D$6:$D$205,$C629)&amp;""="","Outro",INDEX(Avulsos!$D$6:$D$205,$C629))))</f>
        <v/>
      </c>
      <c r="J629" s="114" t="str">
        <f aca="false">IF($E629="","",IF($B629="Tema",INDEX(Temas!$C$6:$C$305,$C629)&amp;"",INDEX(Avulsos!$E$6:$E$205,$C629)&amp;""))</f>
        <v/>
      </c>
      <c r="K629" s="114" t="str">
        <f aca="false">IF($E629="","",IF(IF($B629="Tema",INDEX(Temas!$E$6:$P$305,$C629,2*$D629),INDEX(Avulsos!$F$6:$F$205,$C629))&amp;""="","","✓"))</f>
        <v/>
      </c>
      <c r="L629" s="114" t="str">
        <f aca="true">IF($E629="","",IF($K629="✓","Concluído",IF($E629&lt;TODAY(),"Atrasado",IF($E629=TODAY(),"Hoje","Pendente"))))</f>
        <v/>
      </c>
      <c r="M629" s="114" t="str">
        <f aca="false">IF($E629="","",IF($K629="✓","✓ ","")&amp;IF(Config!$E$22="Sim",$H629&amp;" · ","")&amp;$F629)</f>
        <v/>
      </c>
      <c r="N629" s="114" t="str">
        <f aca="false">IF($E629="","",IFERROR(INDEX(Config!$D$15:$D$19,MATCH($I629,Config!$C$15:$C$19,0)),"OUT")&amp;IF($K629="✓","x",""))</f>
        <v/>
      </c>
      <c r="O629" s="114" t="str">
        <f aca="false">IF($E629="","",COUNTIF($E$5:$E629,$E629))</f>
        <v/>
      </c>
      <c r="P629" s="114" t="str">
        <f aca="false">IF($E629="","",$E629*100+$O629)</f>
        <v/>
      </c>
      <c r="Q629" s="114" t="str">
        <f aca="false">IF($L629="Atrasado",$E629*10000+$A629,"")</f>
        <v/>
      </c>
    </row>
    <row r="630" customFormat="false" ht="15" hidden="false" customHeight="false" outlineLevel="0" collapsed="false">
      <c r="A630" s="114" t="n">
        <f aca="false">ROW()-4</f>
        <v>626</v>
      </c>
      <c r="B630" s="114" t="str">
        <f aca="false">IF(A630&lt;=Config!$E$27*Config!$E$28,"Tema","Avulso")</f>
        <v>Tema</v>
      </c>
      <c r="C630" s="114" t="n">
        <f aca="false">IF(B630="Tema",INT((A630-1)/Config!$E$28)+1,A630-Config!$E$27*Config!$E$28)</f>
        <v>105</v>
      </c>
      <c r="D630" s="114" t="n">
        <f aca="false">IF(B630="Tema",MOD(A630-1,Config!$E$28)+1,"")</f>
        <v>2</v>
      </c>
      <c r="E630" s="115" t="str">
        <f aca="false">IF($B630="Tema",IF(ISNUMBER(INDEX(Temas!$E$6:$P$305,$C630,2*$D630-1)),INDEX(Temas!$E$6:$P$305,$C630,2*$D630-1),""),IF(ISNUMBER(INDEX(Avulsos!$B$6:$B$205,$C630)),INDEX(Avulsos!$B$6:$B$205,$C630),""))</f>
        <v/>
      </c>
      <c r="F630" s="114" t="str">
        <f aca="false">IF($E630="","",IF($B630="Tema",INDEX(Temas!$B$6:$B$305,$C630)&amp;"",INDEX(Avulsos!$C$6:$C$205,$C630)&amp;""))</f>
        <v/>
      </c>
      <c r="G630" s="114" t="str">
        <f aca="false">IF($E630="","",IF($B630="Tema",INDEX(Config!$C$6:$C$11,$D630),"Evento avulso"))</f>
        <v/>
      </c>
      <c r="H630" s="114" t="str">
        <f aca="false">IF($E630="","",IF($B630="Tema",INDEX(Config!$D$6:$D$11,$D630),IFERROR(INDEX(Config!$E$15:$E$19,MATCH($I630,Config!$C$15:$C$19,0)),"•")))</f>
        <v/>
      </c>
      <c r="I630" s="114" t="str">
        <f aca="false">IF($E630="","",IF($B630="Tema",INDEX(Config!$E$6:$E$11,$D630),IF(INDEX(Avulsos!$D$6:$D$205,$C630)&amp;""="","Outro",INDEX(Avulsos!$D$6:$D$205,$C630))))</f>
        <v/>
      </c>
      <c r="J630" s="114" t="str">
        <f aca="false">IF($E630="","",IF($B630="Tema",INDEX(Temas!$C$6:$C$305,$C630)&amp;"",INDEX(Avulsos!$E$6:$E$205,$C630)&amp;""))</f>
        <v/>
      </c>
      <c r="K630" s="114" t="str">
        <f aca="false">IF($E630="","",IF(IF($B630="Tema",INDEX(Temas!$E$6:$P$305,$C630,2*$D630),INDEX(Avulsos!$F$6:$F$205,$C630))&amp;""="","","✓"))</f>
        <v/>
      </c>
      <c r="L630" s="114" t="str">
        <f aca="true">IF($E630="","",IF($K630="✓","Concluído",IF($E630&lt;TODAY(),"Atrasado",IF($E630=TODAY(),"Hoje","Pendente"))))</f>
        <v/>
      </c>
      <c r="M630" s="114" t="str">
        <f aca="false">IF($E630="","",IF($K630="✓","✓ ","")&amp;IF(Config!$E$22="Sim",$H630&amp;" · ","")&amp;$F630)</f>
        <v/>
      </c>
      <c r="N630" s="114" t="str">
        <f aca="false">IF($E630="","",IFERROR(INDEX(Config!$D$15:$D$19,MATCH($I630,Config!$C$15:$C$19,0)),"OUT")&amp;IF($K630="✓","x",""))</f>
        <v/>
      </c>
      <c r="O630" s="114" t="str">
        <f aca="false">IF($E630="","",COUNTIF($E$5:$E630,$E630))</f>
        <v/>
      </c>
      <c r="P630" s="114" t="str">
        <f aca="false">IF($E630="","",$E630*100+$O630)</f>
        <v/>
      </c>
      <c r="Q630" s="114" t="str">
        <f aca="false">IF($L630="Atrasado",$E630*10000+$A630,"")</f>
        <v/>
      </c>
    </row>
    <row r="631" customFormat="false" ht="15" hidden="false" customHeight="false" outlineLevel="0" collapsed="false">
      <c r="A631" s="114" t="n">
        <f aca="false">ROW()-4</f>
        <v>627</v>
      </c>
      <c r="B631" s="114" t="str">
        <f aca="false">IF(A631&lt;=Config!$E$27*Config!$E$28,"Tema","Avulso")</f>
        <v>Tema</v>
      </c>
      <c r="C631" s="114" t="n">
        <f aca="false">IF(B631="Tema",INT((A631-1)/Config!$E$28)+1,A631-Config!$E$27*Config!$E$28)</f>
        <v>105</v>
      </c>
      <c r="D631" s="114" t="n">
        <f aca="false">IF(B631="Tema",MOD(A631-1,Config!$E$28)+1,"")</f>
        <v>3</v>
      </c>
      <c r="E631" s="115" t="str">
        <f aca="false">IF($B631="Tema",IF(ISNUMBER(INDEX(Temas!$E$6:$P$305,$C631,2*$D631-1)),INDEX(Temas!$E$6:$P$305,$C631,2*$D631-1),""),IF(ISNUMBER(INDEX(Avulsos!$B$6:$B$205,$C631)),INDEX(Avulsos!$B$6:$B$205,$C631),""))</f>
        <v/>
      </c>
      <c r="F631" s="114" t="str">
        <f aca="false">IF($E631="","",IF($B631="Tema",INDEX(Temas!$B$6:$B$305,$C631)&amp;"",INDEX(Avulsos!$C$6:$C$205,$C631)&amp;""))</f>
        <v/>
      </c>
      <c r="G631" s="114" t="str">
        <f aca="false">IF($E631="","",IF($B631="Tema",INDEX(Config!$C$6:$C$11,$D631),"Evento avulso"))</f>
        <v/>
      </c>
      <c r="H631" s="114" t="str">
        <f aca="false">IF($E631="","",IF($B631="Tema",INDEX(Config!$D$6:$D$11,$D631),IFERROR(INDEX(Config!$E$15:$E$19,MATCH($I631,Config!$C$15:$C$19,0)),"•")))</f>
        <v/>
      </c>
      <c r="I631" s="114" t="str">
        <f aca="false">IF($E631="","",IF($B631="Tema",INDEX(Config!$E$6:$E$11,$D631),IF(INDEX(Avulsos!$D$6:$D$205,$C631)&amp;""="","Outro",INDEX(Avulsos!$D$6:$D$205,$C631))))</f>
        <v/>
      </c>
      <c r="J631" s="114" t="str">
        <f aca="false">IF($E631="","",IF($B631="Tema",INDEX(Temas!$C$6:$C$305,$C631)&amp;"",INDEX(Avulsos!$E$6:$E$205,$C631)&amp;""))</f>
        <v/>
      </c>
      <c r="K631" s="114" t="str">
        <f aca="false">IF($E631="","",IF(IF($B631="Tema",INDEX(Temas!$E$6:$P$305,$C631,2*$D631),INDEX(Avulsos!$F$6:$F$205,$C631))&amp;""="","","✓"))</f>
        <v/>
      </c>
      <c r="L631" s="114" t="str">
        <f aca="true">IF($E631="","",IF($K631="✓","Concluído",IF($E631&lt;TODAY(),"Atrasado",IF($E631=TODAY(),"Hoje","Pendente"))))</f>
        <v/>
      </c>
      <c r="M631" s="114" t="str">
        <f aca="false">IF($E631="","",IF($K631="✓","✓ ","")&amp;IF(Config!$E$22="Sim",$H631&amp;" · ","")&amp;$F631)</f>
        <v/>
      </c>
      <c r="N631" s="114" t="str">
        <f aca="false">IF($E631="","",IFERROR(INDEX(Config!$D$15:$D$19,MATCH($I631,Config!$C$15:$C$19,0)),"OUT")&amp;IF($K631="✓","x",""))</f>
        <v/>
      </c>
      <c r="O631" s="114" t="str">
        <f aca="false">IF($E631="","",COUNTIF($E$5:$E631,$E631))</f>
        <v/>
      </c>
      <c r="P631" s="114" t="str">
        <f aca="false">IF($E631="","",$E631*100+$O631)</f>
        <v/>
      </c>
      <c r="Q631" s="114" t="str">
        <f aca="false">IF($L631="Atrasado",$E631*10000+$A631,"")</f>
        <v/>
      </c>
    </row>
    <row r="632" customFormat="false" ht="15" hidden="false" customHeight="false" outlineLevel="0" collapsed="false">
      <c r="A632" s="114" t="n">
        <f aca="false">ROW()-4</f>
        <v>628</v>
      </c>
      <c r="B632" s="114" t="str">
        <f aca="false">IF(A632&lt;=Config!$E$27*Config!$E$28,"Tema","Avulso")</f>
        <v>Tema</v>
      </c>
      <c r="C632" s="114" t="n">
        <f aca="false">IF(B632="Tema",INT((A632-1)/Config!$E$28)+1,A632-Config!$E$27*Config!$E$28)</f>
        <v>105</v>
      </c>
      <c r="D632" s="114" t="n">
        <f aca="false">IF(B632="Tema",MOD(A632-1,Config!$E$28)+1,"")</f>
        <v>4</v>
      </c>
      <c r="E632" s="115" t="str">
        <f aca="false">IF($B632="Tema",IF(ISNUMBER(INDEX(Temas!$E$6:$P$305,$C632,2*$D632-1)),INDEX(Temas!$E$6:$P$305,$C632,2*$D632-1),""),IF(ISNUMBER(INDEX(Avulsos!$B$6:$B$205,$C632)),INDEX(Avulsos!$B$6:$B$205,$C632),""))</f>
        <v/>
      </c>
      <c r="F632" s="114" t="str">
        <f aca="false">IF($E632="","",IF($B632="Tema",INDEX(Temas!$B$6:$B$305,$C632)&amp;"",INDEX(Avulsos!$C$6:$C$205,$C632)&amp;""))</f>
        <v/>
      </c>
      <c r="G632" s="114" t="str">
        <f aca="false">IF($E632="","",IF($B632="Tema",INDEX(Config!$C$6:$C$11,$D632),"Evento avulso"))</f>
        <v/>
      </c>
      <c r="H632" s="114" t="str">
        <f aca="false">IF($E632="","",IF($B632="Tema",INDEX(Config!$D$6:$D$11,$D632),IFERROR(INDEX(Config!$E$15:$E$19,MATCH($I632,Config!$C$15:$C$19,0)),"•")))</f>
        <v/>
      </c>
      <c r="I632" s="114" t="str">
        <f aca="false">IF($E632="","",IF($B632="Tema",INDEX(Config!$E$6:$E$11,$D632),IF(INDEX(Avulsos!$D$6:$D$205,$C632)&amp;""="","Outro",INDEX(Avulsos!$D$6:$D$205,$C632))))</f>
        <v/>
      </c>
      <c r="J632" s="114" t="str">
        <f aca="false">IF($E632="","",IF($B632="Tema",INDEX(Temas!$C$6:$C$305,$C632)&amp;"",INDEX(Avulsos!$E$6:$E$205,$C632)&amp;""))</f>
        <v/>
      </c>
      <c r="K632" s="114" t="str">
        <f aca="false">IF($E632="","",IF(IF($B632="Tema",INDEX(Temas!$E$6:$P$305,$C632,2*$D632),INDEX(Avulsos!$F$6:$F$205,$C632))&amp;""="","","✓"))</f>
        <v/>
      </c>
      <c r="L632" s="114" t="str">
        <f aca="true">IF($E632="","",IF($K632="✓","Concluído",IF($E632&lt;TODAY(),"Atrasado",IF($E632=TODAY(),"Hoje","Pendente"))))</f>
        <v/>
      </c>
      <c r="M632" s="114" t="str">
        <f aca="false">IF($E632="","",IF($K632="✓","✓ ","")&amp;IF(Config!$E$22="Sim",$H632&amp;" · ","")&amp;$F632)</f>
        <v/>
      </c>
      <c r="N632" s="114" t="str">
        <f aca="false">IF($E632="","",IFERROR(INDEX(Config!$D$15:$D$19,MATCH($I632,Config!$C$15:$C$19,0)),"OUT")&amp;IF($K632="✓","x",""))</f>
        <v/>
      </c>
      <c r="O632" s="114" t="str">
        <f aca="false">IF($E632="","",COUNTIF($E$5:$E632,$E632))</f>
        <v/>
      </c>
      <c r="P632" s="114" t="str">
        <f aca="false">IF($E632="","",$E632*100+$O632)</f>
        <v/>
      </c>
      <c r="Q632" s="114" t="str">
        <f aca="false">IF($L632="Atrasado",$E632*10000+$A632,"")</f>
        <v/>
      </c>
    </row>
    <row r="633" customFormat="false" ht="15" hidden="false" customHeight="false" outlineLevel="0" collapsed="false">
      <c r="A633" s="114" t="n">
        <f aca="false">ROW()-4</f>
        <v>629</v>
      </c>
      <c r="B633" s="114" t="str">
        <f aca="false">IF(A633&lt;=Config!$E$27*Config!$E$28,"Tema","Avulso")</f>
        <v>Tema</v>
      </c>
      <c r="C633" s="114" t="n">
        <f aca="false">IF(B633="Tema",INT((A633-1)/Config!$E$28)+1,A633-Config!$E$27*Config!$E$28)</f>
        <v>105</v>
      </c>
      <c r="D633" s="114" t="n">
        <f aca="false">IF(B633="Tema",MOD(A633-1,Config!$E$28)+1,"")</f>
        <v>5</v>
      </c>
      <c r="E633" s="115" t="str">
        <f aca="false">IF($B633="Tema",IF(ISNUMBER(INDEX(Temas!$E$6:$P$305,$C633,2*$D633-1)),INDEX(Temas!$E$6:$P$305,$C633,2*$D633-1),""),IF(ISNUMBER(INDEX(Avulsos!$B$6:$B$205,$C633)),INDEX(Avulsos!$B$6:$B$205,$C633),""))</f>
        <v/>
      </c>
      <c r="F633" s="114" t="str">
        <f aca="false">IF($E633="","",IF($B633="Tema",INDEX(Temas!$B$6:$B$305,$C633)&amp;"",INDEX(Avulsos!$C$6:$C$205,$C633)&amp;""))</f>
        <v/>
      </c>
      <c r="G633" s="114" t="str">
        <f aca="false">IF($E633="","",IF($B633="Tema",INDEX(Config!$C$6:$C$11,$D633),"Evento avulso"))</f>
        <v/>
      </c>
      <c r="H633" s="114" t="str">
        <f aca="false">IF($E633="","",IF($B633="Tema",INDEX(Config!$D$6:$D$11,$D633),IFERROR(INDEX(Config!$E$15:$E$19,MATCH($I633,Config!$C$15:$C$19,0)),"•")))</f>
        <v/>
      </c>
      <c r="I633" s="114" t="str">
        <f aca="false">IF($E633="","",IF($B633="Tema",INDEX(Config!$E$6:$E$11,$D633),IF(INDEX(Avulsos!$D$6:$D$205,$C633)&amp;""="","Outro",INDEX(Avulsos!$D$6:$D$205,$C633))))</f>
        <v/>
      </c>
      <c r="J633" s="114" t="str">
        <f aca="false">IF($E633="","",IF($B633="Tema",INDEX(Temas!$C$6:$C$305,$C633)&amp;"",INDEX(Avulsos!$E$6:$E$205,$C633)&amp;""))</f>
        <v/>
      </c>
      <c r="K633" s="114" t="str">
        <f aca="false">IF($E633="","",IF(IF($B633="Tema",INDEX(Temas!$E$6:$P$305,$C633,2*$D633),INDEX(Avulsos!$F$6:$F$205,$C633))&amp;""="","","✓"))</f>
        <v/>
      </c>
      <c r="L633" s="114" t="str">
        <f aca="true">IF($E633="","",IF($K633="✓","Concluído",IF($E633&lt;TODAY(),"Atrasado",IF($E633=TODAY(),"Hoje","Pendente"))))</f>
        <v/>
      </c>
      <c r="M633" s="114" t="str">
        <f aca="false">IF($E633="","",IF($K633="✓","✓ ","")&amp;IF(Config!$E$22="Sim",$H633&amp;" · ","")&amp;$F633)</f>
        <v/>
      </c>
      <c r="N633" s="114" t="str">
        <f aca="false">IF($E633="","",IFERROR(INDEX(Config!$D$15:$D$19,MATCH($I633,Config!$C$15:$C$19,0)),"OUT")&amp;IF($K633="✓","x",""))</f>
        <v/>
      </c>
      <c r="O633" s="114" t="str">
        <f aca="false">IF($E633="","",COUNTIF($E$5:$E633,$E633))</f>
        <v/>
      </c>
      <c r="P633" s="114" t="str">
        <f aca="false">IF($E633="","",$E633*100+$O633)</f>
        <v/>
      </c>
      <c r="Q633" s="114" t="str">
        <f aca="false">IF($L633="Atrasado",$E633*10000+$A633,"")</f>
        <v/>
      </c>
    </row>
    <row r="634" customFormat="false" ht="15" hidden="false" customHeight="false" outlineLevel="0" collapsed="false">
      <c r="A634" s="114" t="n">
        <f aca="false">ROW()-4</f>
        <v>630</v>
      </c>
      <c r="B634" s="114" t="str">
        <f aca="false">IF(A634&lt;=Config!$E$27*Config!$E$28,"Tema","Avulso")</f>
        <v>Tema</v>
      </c>
      <c r="C634" s="114" t="n">
        <f aca="false">IF(B634="Tema",INT((A634-1)/Config!$E$28)+1,A634-Config!$E$27*Config!$E$28)</f>
        <v>105</v>
      </c>
      <c r="D634" s="114" t="n">
        <f aca="false">IF(B634="Tema",MOD(A634-1,Config!$E$28)+1,"")</f>
        <v>6</v>
      </c>
      <c r="E634" s="115" t="str">
        <f aca="false">IF($B634="Tema",IF(ISNUMBER(INDEX(Temas!$E$6:$P$305,$C634,2*$D634-1)),INDEX(Temas!$E$6:$P$305,$C634,2*$D634-1),""),IF(ISNUMBER(INDEX(Avulsos!$B$6:$B$205,$C634)),INDEX(Avulsos!$B$6:$B$205,$C634),""))</f>
        <v/>
      </c>
      <c r="F634" s="114" t="str">
        <f aca="false">IF($E634="","",IF($B634="Tema",INDEX(Temas!$B$6:$B$305,$C634)&amp;"",INDEX(Avulsos!$C$6:$C$205,$C634)&amp;""))</f>
        <v/>
      </c>
      <c r="G634" s="114" t="str">
        <f aca="false">IF($E634="","",IF($B634="Tema",INDEX(Config!$C$6:$C$11,$D634),"Evento avulso"))</f>
        <v/>
      </c>
      <c r="H634" s="114" t="str">
        <f aca="false">IF($E634="","",IF($B634="Tema",INDEX(Config!$D$6:$D$11,$D634),IFERROR(INDEX(Config!$E$15:$E$19,MATCH($I634,Config!$C$15:$C$19,0)),"•")))</f>
        <v/>
      </c>
      <c r="I634" s="114" t="str">
        <f aca="false">IF($E634="","",IF($B634="Tema",INDEX(Config!$E$6:$E$11,$D634),IF(INDEX(Avulsos!$D$6:$D$205,$C634)&amp;""="","Outro",INDEX(Avulsos!$D$6:$D$205,$C634))))</f>
        <v/>
      </c>
      <c r="J634" s="114" t="str">
        <f aca="false">IF($E634="","",IF($B634="Tema",INDEX(Temas!$C$6:$C$305,$C634)&amp;"",INDEX(Avulsos!$E$6:$E$205,$C634)&amp;""))</f>
        <v/>
      </c>
      <c r="K634" s="114" t="str">
        <f aca="false">IF($E634="","",IF(IF($B634="Tema",INDEX(Temas!$E$6:$P$305,$C634,2*$D634),INDEX(Avulsos!$F$6:$F$205,$C634))&amp;""="","","✓"))</f>
        <v/>
      </c>
      <c r="L634" s="114" t="str">
        <f aca="true">IF($E634="","",IF($K634="✓","Concluído",IF($E634&lt;TODAY(),"Atrasado",IF($E634=TODAY(),"Hoje","Pendente"))))</f>
        <v/>
      </c>
      <c r="M634" s="114" t="str">
        <f aca="false">IF($E634="","",IF($K634="✓","✓ ","")&amp;IF(Config!$E$22="Sim",$H634&amp;" · ","")&amp;$F634)</f>
        <v/>
      </c>
      <c r="N634" s="114" t="str">
        <f aca="false">IF($E634="","",IFERROR(INDEX(Config!$D$15:$D$19,MATCH($I634,Config!$C$15:$C$19,0)),"OUT")&amp;IF($K634="✓","x",""))</f>
        <v/>
      </c>
      <c r="O634" s="114" t="str">
        <f aca="false">IF($E634="","",COUNTIF($E$5:$E634,$E634))</f>
        <v/>
      </c>
      <c r="P634" s="114" t="str">
        <f aca="false">IF($E634="","",$E634*100+$O634)</f>
        <v/>
      </c>
      <c r="Q634" s="114" t="str">
        <f aca="false">IF($L634="Atrasado",$E634*10000+$A634,"")</f>
        <v/>
      </c>
    </row>
    <row r="635" customFormat="false" ht="15" hidden="false" customHeight="false" outlineLevel="0" collapsed="false">
      <c r="A635" s="114" t="n">
        <f aca="false">ROW()-4</f>
        <v>631</v>
      </c>
      <c r="B635" s="114" t="str">
        <f aca="false">IF(A635&lt;=Config!$E$27*Config!$E$28,"Tema","Avulso")</f>
        <v>Tema</v>
      </c>
      <c r="C635" s="114" t="n">
        <f aca="false">IF(B635="Tema",INT((A635-1)/Config!$E$28)+1,A635-Config!$E$27*Config!$E$28)</f>
        <v>106</v>
      </c>
      <c r="D635" s="114" t="n">
        <f aca="false">IF(B635="Tema",MOD(A635-1,Config!$E$28)+1,"")</f>
        <v>1</v>
      </c>
      <c r="E635" s="115" t="str">
        <f aca="false">IF($B635="Tema",IF(ISNUMBER(INDEX(Temas!$E$6:$P$305,$C635,2*$D635-1)),INDEX(Temas!$E$6:$P$305,$C635,2*$D635-1),""),IF(ISNUMBER(INDEX(Avulsos!$B$6:$B$205,$C635)),INDEX(Avulsos!$B$6:$B$205,$C635),""))</f>
        <v/>
      </c>
      <c r="F635" s="114" t="str">
        <f aca="false">IF($E635="","",IF($B635="Tema",INDEX(Temas!$B$6:$B$305,$C635)&amp;"",INDEX(Avulsos!$C$6:$C$205,$C635)&amp;""))</f>
        <v/>
      </c>
      <c r="G635" s="114" t="str">
        <f aca="false">IF($E635="","",IF($B635="Tema",INDEX(Config!$C$6:$C$11,$D635),"Evento avulso"))</f>
        <v/>
      </c>
      <c r="H635" s="114" t="str">
        <f aca="false">IF($E635="","",IF($B635="Tema",INDEX(Config!$D$6:$D$11,$D635),IFERROR(INDEX(Config!$E$15:$E$19,MATCH($I635,Config!$C$15:$C$19,0)),"•")))</f>
        <v/>
      </c>
      <c r="I635" s="114" t="str">
        <f aca="false">IF($E635="","",IF($B635="Tema",INDEX(Config!$E$6:$E$11,$D635),IF(INDEX(Avulsos!$D$6:$D$205,$C635)&amp;""="","Outro",INDEX(Avulsos!$D$6:$D$205,$C635))))</f>
        <v/>
      </c>
      <c r="J635" s="114" t="str">
        <f aca="false">IF($E635="","",IF($B635="Tema",INDEX(Temas!$C$6:$C$305,$C635)&amp;"",INDEX(Avulsos!$E$6:$E$205,$C635)&amp;""))</f>
        <v/>
      </c>
      <c r="K635" s="114" t="str">
        <f aca="false">IF($E635="","",IF(IF($B635="Tema",INDEX(Temas!$E$6:$P$305,$C635,2*$D635),INDEX(Avulsos!$F$6:$F$205,$C635))&amp;""="","","✓"))</f>
        <v/>
      </c>
      <c r="L635" s="114" t="str">
        <f aca="true">IF($E635="","",IF($K635="✓","Concluído",IF($E635&lt;TODAY(),"Atrasado",IF($E635=TODAY(),"Hoje","Pendente"))))</f>
        <v/>
      </c>
      <c r="M635" s="114" t="str">
        <f aca="false">IF($E635="","",IF($K635="✓","✓ ","")&amp;IF(Config!$E$22="Sim",$H635&amp;" · ","")&amp;$F635)</f>
        <v/>
      </c>
      <c r="N635" s="114" t="str">
        <f aca="false">IF($E635="","",IFERROR(INDEX(Config!$D$15:$D$19,MATCH($I635,Config!$C$15:$C$19,0)),"OUT")&amp;IF($K635="✓","x",""))</f>
        <v/>
      </c>
      <c r="O635" s="114" t="str">
        <f aca="false">IF($E635="","",COUNTIF($E$5:$E635,$E635))</f>
        <v/>
      </c>
      <c r="P635" s="114" t="str">
        <f aca="false">IF($E635="","",$E635*100+$O635)</f>
        <v/>
      </c>
      <c r="Q635" s="114" t="str">
        <f aca="false">IF($L635="Atrasado",$E635*10000+$A635,"")</f>
        <v/>
      </c>
    </row>
    <row r="636" customFormat="false" ht="15" hidden="false" customHeight="false" outlineLevel="0" collapsed="false">
      <c r="A636" s="114" t="n">
        <f aca="false">ROW()-4</f>
        <v>632</v>
      </c>
      <c r="B636" s="114" t="str">
        <f aca="false">IF(A636&lt;=Config!$E$27*Config!$E$28,"Tema","Avulso")</f>
        <v>Tema</v>
      </c>
      <c r="C636" s="114" t="n">
        <f aca="false">IF(B636="Tema",INT((A636-1)/Config!$E$28)+1,A636-Config!$E$27*Config!$E$28)</f>
        <v>106</v>
      </c>
      <c r="D636" s="114" t="n">
        <f aca="false">IF(B636="Tema",MOD(A636-1,Config!$E$28)+1,"")</f>
        <v>2</v>
      </c>
      <c r="E636" s="115" t="str">
        <f aca="false">IF($B636="Tema",IF(ISNUMBER(INDEX(Temas!$E$6:$P$305,$C636,2*$D636-1)),INDEX(Temas!$E$6:$P$305,$C636,2*$D636-1),""),IF(ISNUMBER(INDEX(Avulsos!$B$6:$B$205,$C636)),INDEX(Avulsos!$B$6:$B$205,$C636),""))</f>
        <v/>
      </c>
      <c r="F636" s="114" t="str">
        <f aca="false">IF($E636="","",IF($B636="Tema",INDEX(Temas!$B$6:$B$305,$C636)&amp;"",INDEX(Avulsos!$C$6:$C$205,$C636)&amp;""))</f>
        <v/>
      </c>
      <c r="G636" s="114" t="str">
        <f aca="false">IF($E636="","",IF($B636="Tema",INDEX(Config!$C$6:$C$11,$D636),"Evento avulso"))</f>
        <v/>
      </c>
      <c r="H636" s="114" t="str">
        <f aca="false">IF($E636="","",IF($B636="Tema",INDEX(Config!$D$6:$D$11,$D636),IFERROR(INDEX(Config!$E$15:$E$19,MATCH($I636,Config!$C$15:$C$19,0)),"•")))</f>
        <v/>
      </c>
      <c r="I636" s="114" t="str">
        <f aca="false">IF($E636="","",IF($B636="Tema",INDEX(Config!$E$6:$E$11,$D636),IF(INDEX(Avulsos!$D$6:$D$205,$C636)&amp;""="","Outro",INDEX(Avulsos!$D$6:$D$205,$C636))))</f>
        <v/>
      </c>
      <c r="J636" s="114" t="str">
        <f aca="false">IF($E636="","",IF($B636="Tema",INDEX(Temas!$C$6:$C$305,$C636)&amp;"",INDEX(Avulsos!$E$6:$E$205,$C636)&amp;""))</f>
        <v/>
      </c>
      <c r="K636" s="114" t="str">
        <f aca="false">IF($E636="","",IF(IF($B636="Tema",INDEX(Temas!$E$6:$P$305,$C636,2*$D636),INDEX(Avulsos!$F$6:$F$205,$C636))&amp;""="","","✓"))</f>
        <v/>
      </c>
      <c r="L636" s="114" t="str">
        <f aca="true">IF($E636="","",IF($K636="✓","Concluído",IF($E636&lt;TODAY(),"Atrasado",IF($E636=TODAY(),"Hoje","Pendente"))))</f>
        <v/>
      </c>
      <c r="M636" s="114" t="str">
        <f aca="false">IF($E636="","",IF($K636="✓","✓ ","")&amp;IF(Config!$E$22="Sim",$H636&amp;" · ","")&amp;$F636)</f>
        <v/>
      </c>
      <c r="N636" s="114" t="str">
        <f aca="false">IF($E636="","",IFERROR(INDEX(Config!$D$15:$D$19,MATCH($I636,Config!$C$15:$C$19,0)),"OUT")&amp;IF($K636="✓","x",""))</f>
        <v/>
      </c>
      <c r="O636" s="114" t="str">
        <f aca="false">IF($E636="","",COUNTIF($E$5:$E636,$E636))</f>
        <v/>
      </c>
      <c r="P636" s="114" t="str">
        <f aca="false">IF($E636="","",$E636*100+$O636)</f>
        <v/>
      </c>
      <c r="Q636" s="114" t="str">
        <f aca="false">IF($L636="Atrasado",$E636*10000+$A636,"")</f>
        <v/>
      </c>
    </row>
    <row r="637" customFormat="false" ht="15" hidden="false" customHeight="false" outlineLevel="0" collapsed="false">
      <c r="A637" s="114" t="n">
        <f aca="false">ROW()-4</f>
        <v>633</v>
      </c>
      <c r="B637" s="114" t="str">
        <f aca="false">IF(A637&lt;=Config!$E$27*Config!$E$28,"Tema","Avulso")</f>
        <v>Tema</v>
      </c>
      <c r="C637" s="114" t="n">
        <f aca="false">IF(B637="Tema",INT((A637-1)/Config!$E$28)+1,A637-Config!$E$27*Config!$E$28)</f>
        <v>106</v>
      </c>
      <c r="D637" s="114" t="n">
        <f aca="false">IF(B637="Tema",MOD(A637-1,Config!$E$28)+1,"")</f>
        <v>3</v>
      </c>
      <c r="E637" s="115" t="str">
        <f aca="false">IF($B637="Tema",IF(ISNUMBER(INDEX(Temas!$E$6:$P$305,$C637,2*$D637-1)),INDEX(Temas!$E$6:$P$305,$C637,2*$D637-1),""),IF(ISNUMBER(INDEX(Avulsos!$B$6:$B$205,$C637)),INDEX(Avulsos!$B$6:$B$205,$C637),""))</f>
        <v/>
      </c>
      <c r="F637" s="114" t="str">
        <f aca="false">IF($E637="","",IF($B637="Tema",INDEX(Temas!$B$6:$B$305,$C637)&amp;"",INDEX(Avulsos!$C$6:$C$205,$C637)&amp;""))</f>
        <v/>
      </c>
      <c r="G637" s="114" t="str">
        <f aca="false">IF($E637="","",IF($B637="Tema",INDEX(Config!$C$6:$C$11,$D637),"Evento avulso"))</f>
        <v/>
      </c>
      <c r="H637" s="114" t="str">
        <f aca="false">IF($E637="","",IF($B637="Tema",INDEX(Config!$D$6:$D$11,$D637),IFERROR(INDEX(Config!$E$15:$E$19,MATCH($I637,Config!$C$15:$C$19,0)),"•")))</f>
        <v/>
      </c>
      <c r="I637" s="114" t="str">
        <f aca="false">IF($E637="","",IF($B637="Tema",INDEX(Config!$E$6:$E$11,$D637),IF(INDEX(Avulsos!$D$6:$D$205,$C637)&amp;""="","Outro",INDEX(Avulsos!$D$6:$D$205,$C637))))</f>
        <v/>
      </c>
      <c r="J637" s="114" t="str">
        <f aca="false">IF($E637="","",IF($B637="Tema",INDEX(Temas!$C$6:$C$305,$C637)&amp;"",INDEX(Avulsos!$E$6:$E$205,$C637)&amp;""))</f>
        <v/>
      </c>
      <c r="K637" s="114" t="str">
        <f aca="false">IF($E637="","",IF(IF($B637="Tema",INDEX(Temas!$E$6:$P$305,$C637,2*$D637),INDEX(Avulsos!$F$6:$F$205,$C637))&amp;""="","","✓"))</f>
        <v/>
      </c>
      <c r="L637" s="114" t="str">
        <f aca="true">IF($E637="","",IF($K637="✓","Concluído",IF($E637&lt;TODAY(),"Atrasado",IF($E637=TODAY(),"Hoje","Pendente"))))</f>
        <v/>
      </c>
      <c r="M637" s="114" t="str">
        <f aca="false">IF($E637="","",IF($K637="✓","✓ ","")&amp;IF(Config!$E$22="Sim",$H637&amp;" · ","")&amp;$F637)</f>
        <v/>
      </c>
      <c r="N637" s="114" t="str">
        <f aca="false">IF($E637="","",IFERROR(INDEX(Config!$D$15:$D$19,MATCH($I637,Config!$C$15:$C$19,0)),"OUT")&amp;IF($K637="✓","x",""))</f>
        <v/>
      </c>
      <c r="O637" s="114" t="str">
        <f aca="false">IF($E637="","",COUNTIF($E$5:$E637,$E637))</f>
        <v/>
      </c>
      <c r="P637" s="114" t="str">
        <f aca="false">IF($E637="","",$E637*100+$O637)</f>
        <v/>
      </c>
      <c r="Q637" s="114" t="str">
        <f aca="false">IF($L637="Atrasado",$E637*10000+$A637,"")</f>
        <v/>
      </c>
    </row>
    <row r="638" customFormat="false" ht="15" hidden="false" customHeight="false" outlineLevel="0" collapsed="false">
      <c r="A638" s="114" t="n">
        <f aca="false">ROW()-4</f>
        <v>634</v>
      </c>
      <c r="B638" s="114" t="str">
        <f aca="false">IF(A638&lt;=Config!$E$27*Config!$E$28,"Tema","Avulso")</f>
        <v>Tema</v>
      </c>
      <c r="C638" s="114" t="n">
        <f aca="false">IF(B638="Tema",INT((A638-1)/Config!$E$28)+1,A638-Config!$E$27*Config!$E$28)</f>
        <v>106</v>
      </c>
      <c r="D638" s="114" t="n">
        <f aca="false">IF(B638="Tema",MOD(A638-1,Config!$E$28)+1,"")</f>
        <v>4</v>
      </c>
      <c r="E638" s="115" t="str">
        <f aca="false">IF($B638="Tema",IF(ISNUMBER(INDEX(Temas!$E$6:$P$305,$C638,2*$D638-1)),INDEX(Temas!$E$6:$P$305,$C638,2*$D638-1),""),IF(ISNUMBER(INDEX(Avulsos!$B$6:$B$205,$C638)),INDEX(Avulsos!$B$6:$B$205,$C638),""))</f>
        <v/>
      </c>
      <c r="F638" s="114" t="str">
        <f aca="false">IF($E638="","",IF($B638="Tema",INDEX(Temas!$B$6:$B$305,$C638)&amp;"",INDEX(Avulsos!$C$6:$C$205,$C638)&amp;""))</f>
        <v/>
      </c>
      <c r="G638" s="114" t="str">
        <f aca="false">IF($E638="","",IF($B638="Tema",INDEX(Config!$C$6:$C$11,$D638),"Evento avulso"))</f>
        <v/>
      </c>
      <c r="H638" s="114" t="str">
        <f aca="false">IF($E638="","",IF($B638="Tema",INDEX(Config!$D$6:$D$11,$D638),IFERROR(INDEX(Config!$E$15:$E$19,MATCH($I638,Config!$C$15:$C$19,0)),"•")))</f>
        <v/>
      </c>
      <c r="I638" s="114" t="str">
        <f aca="false">IF($E638="","",IF($B638="Tema",INDEX(Config!$E$6:$E$11,$D638),IF(INDEX(Avulsos!$D$6:$D$205,$C638)&amp;""="","Outro",INDEX(Avulsos!$D$6:$D$205,$C638))))</f>
        <v/>
      </c>
      <c r="J638" s="114" t="str">
        <f aca="false">IF($E638="","",IF($B638="Tema",INDEX(Temas!$C$6:$C$305,$C638)&amp;"",INDEX(Avulsos!$E$6:$E$205,$C638)&amp;""))</f>
        <v/>
      </c>
      <c r="K638" s="114" t="str">
        <f aca="false">IF($E638="","",IF(IF($B638="Tema",INDEX(Temas!$E$6:$P$305,$C638,2*$D638),INDEX(Avulsos!$F$6:$F$205,$C638))&amp;""="","","✓"))</f>
        <v/>
      </c>
      <c r="L638" s="114" t="str">
        <f aca="true">IF($E638="","",IF($K638="✓","Concluído",IF($E638&lt;TODAY(),"Atrasado",IF($E638=TODAY(),"Hoje","Pendente"))))</f>
        <v/>
      </c>
      <c r="M638" s="114" t="str">
        <f aca="false">IF($E638="","",IF($K638="✓","✓ ","")&amp;IF(Config!$E$22="Sim",$H638&amp;" · ","")&amp;$F638)</f>
        <v/>
      </c>
      <c r="N638" s="114" t="str">
        <f aca="false">IF($E638="","",IFERROR(INDEX(Config!$D$15:$D$19,MATCH($I638,Config!$C$15:$C$19,0)),"OUT")&amp;IF($K638="✓","x",""))</f>
        <v/>
      </c>
      <c r="O638" s="114" t="str">
        <f aca="false">IF($E638="","",COUNTIF($E$5:$E638,$E638))</f>
        <v/>
      </c>
      <c r="P638" s="114" t="str">
        <f aca="false">IF($E638="","",$E638*100+$O638)</f>
        <v/>
      </c>
      <c r="Q638" s="114" t="str">
        <f aca="false">IF($L638="Atrasado",$E638*10000+$A638,"")</f>
        <v/>
      </c>
    </row>
    <row r="639" customFormat="false" ht="15" hidden="false" customHeight="false" outlineLevel="0" collapsed="false">
      <c r="A639" s="114" t="n">
        <f aca="false">ROW()-4</f>
        <v>635</v>
      </c>
      <c r="B639" s="114" t="str">
        <f aca="false">IF(A639&lt;=Config!$E$27*Config!$E$28,"Tema","Avulso")</f>
        <v>Tema</v>
      </c>
      <c r="C639" s="114" t="n">
        <f aca="false">IF(B639="Tema",INT((A639-1)/Config!$E$28)+1,A639-Config!$E$27*Config!$E$28)</f>
        <v>106</v>
      </c>
      <c r="D639" s="114" t="n">
        <f aca="false">IF(B639="Tema",MOD(A639-1,Config!$E$28)+1,"")</f>
        <v>5</v>
      </c>
      <c r="E639" s="115" t="str">
        <f aca="false">IF($B639="Tema",IF(ISNUMBER(INDEX(Temas!$E$6:$P$305,$C639,2*$D639-1)),INDEX(Temas!$E$6:$P$305,$C639,2*$D639-1),""),IF(ISNUMBER(INDEX(Avulsos!$B$6:$B$205,$C639)),INDEX(Avulsos!$B$6:$B$205,$C639),""))</f>
        <v/>
      </c>
      <c r="F639" s="114" t="str">
        <f aca="false">IF($E639="","",IF($B639="Tema",INDEX(Temas!$B$6:$B$305,$C639)&amp;"",INDEX(Avulsos!$C$6:$C$205,$C639)&amp;""))</f>
        <v/>
      </c>
      <c r="G639" s="114" t="str">
        <f aca="false">IF($E639="","",IF($B639="Tema",INDEX(Config!$C$6:$C$11,$D639),"Evento avulso"))</f>
        <v/>
      </c>
      <c r="H639" s="114" t="str">
        <f aca="false">IF($E639="","",IF($B639="Tema",INDEX(Config!$D$6:$D$11,$D639),IFERROR(INDEX(Config!$E$15:$E$19,MATCH($I639,Config!$C$15:$C$19,0)),"•")))</f>
        <v/>
      </c>
      <c r="I639" s="114" t="str">
        <f aca="false">IF($E639="","",IF($B639="Tema",INDEX(Config!$E$6:$E$11,$D639),IF(INDEX(Avulsos!$D$6:$D$205,$C639)&amp;""="","Outro",INDEX(Avulsos!$D$6:$D$205,$C639))))</f>
        <v/>
      </c>
      <c r="J639" s="114" t="str">
        <f aca="false">IF($E639="","",IF($B639="Tema",INDEX(Temas!$C$6:$C$305,$C639)&amp;"",INDEX(Avulsos!$E$6:$E$205,$C639)&amp;""))</f>
        <v/>
      </c>
      <c r="K639" s="114" t="str">
        <f aca="false">IF($E639="","",IF(IF($B639="Tema",INDEX(Temas!$E$6:$P$305,$C639,2*$D639),INDEX(Avulsos!$F$6:$F$205,$C639))&amp;""="","","✓"))</f>
        <v/>
      </c>
      <c r="L639" s="114" t="str">
        <f aca="true">IF($E639="","",IF($K639="✓","Concluído",IF($E639&lt;TODAY(),"Atrasado",IF($E639=TODAY(),"Hoje","Pendente"))))</f>
        <v/>
      </c>
      <c r="M639" s="114" t="str">
        <f aca="false">IF($E639="","",IF($K639="✓","✓ ","")&amp;IF(Config!$E$22="Sim",$H639&amp;" · ","")&amp;$F639)</f>
        <v/>
      </c>
      <c r="N639" s="114" t="str">
        <f aca="false">IF($E639="","",IFERROR(INDEX(Config!$D$15:$D$19,MATCH($I639,Config!$C$15:$C$19,0)),"OUT")&amp;IF($K639="✓","x",""))</f>
        <v/>
      </c>
      <c r="O639" s="114" t="str">
        <f aca="false">IF($E639="","",COUNTIF($E$5:$E639,$E639))</f>
        <v/>
      </c>
      <c r="P639" s="114" t="str">
        <f aca="false">IF($E639="","",$E639*100+$O639)</f>
        <v/>
      </c>
      <c r="Q639" s="114" t="str">
        <f aca="false">IF($L639="Atrasado",$E639*10000+$A639,"")</f>
        <v/>
      </c>
    </row>
    <row r="640" customFormat="false" ht="15" hidden="false" customHeight="false" outlineLevel="0" collapsed="false">
      <c r="A640" s="114" t="n">
        <f aca="false">ROW()-4</f>
        <v>636</v>
      </c>
      <c r="B640" s="114" t="str">
        <f aca="false">IF(A640&lt;=Config!$E$27*Config!$E$28,"Tema","Avulso")</f>
        <v>Tema</v>
      </c>
      <c r="C640" s="114" t="n">
        <f aca="false">IF(B640="Tema",INT((A640-1)/Config!$E$28)+1,A640-Config!$E$27*Config!$E$28)</f>
        <v>106</v>
      </c>
      <c r="D640" s="114" t="n">
        <f aca="false">IF(B640="Tema",MOD(A640-1,Config!$E$28)+1,"")</f>
        <v>6</v>
      </c>
      <c r="E640" s="115" t="str">
        <f aca="false">IF($B640="Tema",IF(ISNUMBER(INDEX(Temas!$E$6:$P$305,$C640,2*$D640-1)),INDEX(Temas!$E$6:$P$305,$C640,2*$D640-1),""),IF(ISNUMBER(INDEX(Avulsos!$B$6:$B$205,$C640)),INDEX(Avulsos!$B$6:$B$205,$C640),""))</f>
        <v/>
      </c>
      <c r="F640" s="114" t="str">
        <f aca="false">IF($E640="","",IF($B640="Tema",INDEX(Temas!$B$6:$B$305,$C640)&amp;"",INDEX(Avulsos!$C$6:$C$205,$C640)&amp;""))</f>
        <v/>
      </c>
      <c r="G640" s="114" t="str">
        <f aca="false">IF($E640="","",IF($B640="Tema",INDEX(Config!$C$6:$C$11,$D640),"Evento avulso"))</f>
        <v/>
      </c>
      <c r="H640" s="114" t="str">
        <f aca="false">IF($E640="","",IF($B640="Tema",INDEX(Config!$D$6:$D$11,$D640),IFERROR(INDEX(Config!$E$15:$E$19,MATCH($I640,Config!$C$15:$C$19,0)),"•")))</f>
        <v/>
      </c>
      <c r="I640" s="114" t="str">
        <f aca="false">IF($E640="","",IF($B640="Tema",INDEX(Config!$E$6:$E$11,$D640),IF(INDEX(Avulsos!$D$6:$D$205,$C640)&amp;""="","Outro",INDEX(Avulsos!$D$6:$D$205,$C640))))</f>
        <v/>
      </c>
      <c r="J640" s="114" t="str">
        <f aca="false">IF($E640="","",IF($B640="Tema",INDEX(Temas!$C$6:$C$305,$C640)&amp;"",INDEX(Avulsos!$E$6:$E$205,$C640)&amp;""))</f>
        <v/>
      </c>
      <c r="K640" s="114" t="str">
        <f aca="false">IF($E640="","",IF(IF($B640="Tema",INDEX(Temas!$E$6:$P$305,$C640,2*$D640),INDEX(Avulsos!$F$6:$F$205,$C640))&amp;""="","","✓"))</f>
        <v/>
      </c>
      <c r="L640" s="114" t="str">
        <f aca="true">IF($E640="","",IF($K640="✓","Concluído",IF($E640&lt;TODAY(),"Atrasado",IF($E640=TODAY(),"Hoje","Pendente"))))</f>
        <v/>
      </c>
      <c r="M640" s="114" t="str">
        <f aca="false">IF($E640="","",IF($K640="✓","✓ ","")&amp;IF(Config!$E$22="Sim",$H640&amp;" · ","")&amp;$F640)</f>
        <v/>
      </c>
      <c r="N640" s="114" t="str">
        <f aca="false">IF($E640="","",IFERROR(INDEX(Config!$D$15:$D$19,MATCH($I640,Config!$C$15:$C$19,0)),"OUT")&amp;IF($K640="✓","x",""))</f>
        <v/>
      </c>
      <c r="O640" s="114" t="str">
        <f aca="false">IF($E640="","",COUNTIF($E$5:$E640,$E640))</f>
        <v/>
      </c>
      <c r="P640" s="114" t="str">
        <f aca="false">IF($E640="","",$E640*100+$O640)</f>
        <v/>
      </c>
      <c r="Q640" s="114" t="str">
        <f aca="false">IF($L640="Atrasado",$E640*10000+$A640,"")</f>
        <v/>
      </c>
    </row>
    <row r="641" customFormat="false" ht="15" hidden="false" customHeight="false" outlineLevel="0" collapsed="false">
      <c r="A641" s="114" t="n">
        <f aca="false">ROW()-4</f>
        <v>637</v>
      </c>
      <c r="B641" s="114" t="str">
        <f aca="false">IF(A641&lt;=Config!$E$27*Config!$E$28,"Tema","Avulso")</f>
        <v>Tema</v>
      </c>
      <c r="C641" s="114" t="n">
        <f aca="false">IF(B641="Tema",INT((A641-1)/Config!$E$28)+1,A641-Config!$E$27*Config!$E$28)</f>
        <v>107</v>
      </c>
      <c r="D641" s="114" t="n">
        <f aca="false">IF(B641="Tema",MOD(A641-1,Config!$E$28)+1,"")</f>
        <v>1</v>
      </c>
      <c r="E641" s="115" t="str">
        <f aca="false">IF($B641="Tema",IF(ISNUMBER(INDEX(Temas!$E$6:$P$305,$C641,2*$D641-1)),INDEX(Temas!$E$6:$P$305,$C641,2*$D641-1),""),IF(ISNUMBER(INDEX(Avulsos!$B$6:$B$205,$C641)),INDEX(Avulsos!$B$6:$B$205,$C641),""))</f>
        <v/>
      </c>
      <c r="F641" s="114" t="str">
        <f aca="false">IF($E641="","",IF($B641="Tema",INDEX(Temas!$B$6:$B$305,$C641)&amp;"",INDEX(Avulsos!$C$6:$C$205,$C641)&amp;""))</f>
        <v/>
      </c>
      <c r="G641" s="114" t="str">
        <f aca="false">IF($E641="","",IF($B641="Tema",INDEX(Config!$C$6:$C$11,$D641),"Evento avulso"))</f>
        <v/>
      </c>
      <c r="H641" s="114" t="str">
        <f aca="false">IF($E641="","",IF($B641="Tema",INDEX(Config!$D$6:$D$11,$D641),IFERROR(INDEX(Config!$E$15:$E$19,MATCH($I641,Config!$C$15:$C$19,0)),"•")))</f>
        <v/>
      </c>
      <c r="I641" s="114" t="str">
        <f aca="false">IF($E641="","",IF($B641="Tema",INDEX(Config!$E$6:$E$11,$D641),IF(INDEX(Avulsos!$D$6:$D$205,$C641)&amp;""="","Outro",INDEX(Avulsos!$D$6:$D$205,$C641))))</f>
        <v/>
      </c>
      <c r="J641" s="114" t="str">
        <f aca="false">IF($E641="","",IF($B641="Tema",INDEX(Temas!$C$6:$C$305,$C641)&amp;"",INDEX(Avulsos!$E$6:$E$205,$C641)&amp;""))</f>
        <v/>
      </c>
      <c r="K641" s="114" t="str">
        <f aca="false">IF($E641="","",IF(IF($B641="Tema",INDEX(Temas!$E$6:$P$305,$C641,2*$D641),INDEX(Avulsos!$F$6:$F$205,$C641))&amp;""="","","✓"))</f>
        <v/>
      </c>
      <c r="L641" s="114" t="str">
        <f aca="true">IF($E641="","",IF($K641="✓","Concluído",IF($E641&lt;TODAY(),"Atrasado",IF($E641=TODAY(),"Hoje","Pendente"))))</f>
        <v/>
      </c>
      <c r="M641" s="114" t="str">
        <f aca="false">IF($E641="","",IF($K641="✓","✓ ","")&amp;IF(Config!$E$22="Sim",$H641&amp;" · ","")&amp;$F641)</f>
        <v/>
      </c>
      <c r="N641" s="114" t="str">
        <f aca="false">IF($E641="","",IFERROR(INDEX(Config!$D$15:$D$19,MATCH($I641,Config!$C$15:$C$19,0)),"OUT")&amp;IF($K641="✓","x",""))</f>
        <v/>
      </c>
      <c r="O641" s="114" t="str">
        <f aca="false">IF($E641="","",COUNTIF($E$5:$E641,$E641))</f>
        <v/>
      </c>
      <c r="P641" s="114" t="str">
        <f aca="false">IF($E641="","",$E641*100+$O641)</f>
        <v/>
      </c>
      <c r="Q641" s="114" t="str">
        <f aca="false">IF($L641="Atrasado",$E641*10000+$A641,"")</f>
        <v/>
      </c>
    </row>
    <row r="642" customFormat="false" ht="15" hidden="false" customHeight="false" outlineLevel="0" collapsed="false">
      <c r="A642" s="114" t="n">
        <f aca="false">ROW()-4</f>
        <v>638</v>
      </c>
      <c r="B642" s="114" t="str">
        <f aca="false">IF(A642&lt;=Config!$E$27*Config!$E$28,"Tema","Avulso")</f>
        <v>Tema</v>
      </c>
      <c r="C642" s="114" t="n">
        <f aca="false">IF(B642="Tema",INT((A642-1)/Config!$E$28)+1,A642-Config!$E$27*Config!$E$28)</f>
        <v>107</v>
      </c>
      <c r="D642" s="114" t="n">
        <f aca="false">IF(B642="Tema",MOD(A642-1,Config!$E$28)+1,"")</f>
        <v>2</v>
      </c>
      <c r="E642" s="115" t="str">
        <f aca="false">IF($B642="Tema",IF(ISNUMBER(INDEX(Temas!$E$6:$P$305,$C642,2*$D642-1)),INDEX(Temas!$E$6:$P$305,$C642,2*$D642-1),""),IF(ISNUMBER(INDEX(Avulsos!$B$6:$B$205,$C642)),INDEX(Avulsos!$B$6:$B$205,$C642),""))</f>
        <v/>
      </c>
      <c r="F642" s="114" t="str">
        <f aca="false">IF($E642="","",IF($B642="Tema",INDEX(Temas!$B$6:$B$305,$C642)&amp;"",INDEX(Avulsos!$C$6:$C$205,$C642)&amp;""))</f>
        <v/>
      </c>
      <c r="G642" s="114" t="str">
        <f aca="false">IF($E642="","",IF($B642="Tema",INDEX(Config!$C$6:$C$11,$D642),"Evento avulso"))</f>
        <v/>
      </c>
      <c r="H642" s="114" t="str">
        <f aca="false">IF($E642="","",IF($B642="Tema",INDEX(Config!$D$6:$D$11,$D642),IFERROR(INDEX(Config!$E$15:$E$19,MATCH($I642,Config!$C$15:$C$19,0)),"•")))</f>
        <v/>
      </c>
      <c r="I642" s="114" t="str">
        <f aca="false">IF($E642="","",IF($B642="Tema",INDEX(Config!$E$6:$E$11,$D642),IF(INDEX(Avulsos!$D$6:$D$205,$C642)&amp;""="","Outro",INDEX(Avulsos!$D$6:$D$205,$C642))))</f>
        <v/>
      </c>
      <c r="J642" s="114" t="str">
        <f aca="false">IF($E642="","",IF($B642="Tema",INDEX(Temas!$C$6:$C$305,$C642)&amp;"",INDEX(Avulsos!$E$6:$E$205,$C642)&amp;""))</f>
        <v/>
      </c>
      <c r="K642" s="114" t="str">
        <f aca="false">IF($E642="","",IF(IF($B642="Tema",INDEX(Temas!$E$6:$P$305,$C642,2*$D642),INDEX(Avulsos!$F$6:$F$205,$C642))&amp;""="","","✓"))</f>
        <v/>
      </c>
      <c r="L642" s="114" t="str">
        <f aca="true">IF($E642="","",IF($K642="✓","Concluído",IF($E642&lt;TODAY(),"Atrasado",IF($E642=TODAY(),"Hoje","Pendente"))))</f>
        <v/>
      </c>
      <c r="M642" s="114" t="str">
        <f aca="false">IF($E642="","",IF($K642="✓","✓ ","")&amp;IF(Config!$E$22="Sim",$H642&amp;" · ","")&amp;$F642)</f>
        <v/>
      </c>
      <c r="N642" s="114" t="str">
        <f aca="false">IF($E642="","",IFERROR(INDEX(Config!$D$15:$D$19,MATCH($I642,Config!$C$15:$C$19,0)),"OUT")&amp;IF($K642="✓","x",""))</f>
        <v/>
      </c>
      <c r="O642" s="114" t="str">
        <f aca="false">IF($E642="","",COUNTIF($E$5:$E642,$E642))</f>
        <v/>
      </c>
      <c r="P642" s="114" t="str">
        <f aca="false">IF($E642="","",$E642*100+$O642)</f>
        <v/>
      </c>
      <c r="Q642" s="114" t="str">
        <f aca="false">IF($L642="Atrasado",$E642*10000+$A642,"")</f>
        <v/>
      </c>
    </row>
    <row r="643" customFormat="false" ht="15" hidden="false" customHeight="false" outlineLevel="0" collapsed="false">
      <c r="A643" s="114" t="n">
        <f aca="false">ROW()-4</f>
        <v>639</v>
      </c>
      <c r="B643" s="114" t="str">
        <f aca="false">IF(A643&lt;=Config!$E$27*Config!$E$28,"Tema","Avulso")</f>
        <v>Tema</v>
      </c>
      <c r="C643" s="114" t="n">
        <f aca="false">IF(B643="Tema",INT((A643-1)/Config!$E$28)+1,A643-Config!$E$27*Config!$E$28)</f>
        <v>107</v>
      </c>
      <c r="D643" s="114" t="n">
        <f aca="false">IF(B643="Tema",MOD(A643-1,Config!$E$28)+1,"")</f>
        <v>3</v>
      </c>
      <c r="E643" s="115" t="str">
        <f aca="false">IF($B643="Tema",IF(ISNUMBER(INDEX(Temas!$E$6:$P$305,$C643,2*$D643-1)),INDEX(Temas!$E$6:$P$305,$C643,2*$D643-1),""),IF(ISNUMBER(INDEX(Avulsos!$B$6:$B$205,$C643)),INDEX(Avulsos!$B$6:$B$205,$C643),""))</f>
        <v/>
      </c>
      <c r="F643" s="114" t="str">
        <f aca="false">IF($E643="","",IF($B643="Tema",INDEX(Temas!$B$6:$B$305,$C643)&amp;"",INDEX(Avulsos!$C$6:$C$205,$C643)&amp;""))</f>
        <v/>
      </c>
      <c r="G643" s="114" t="str">
        <f aca="false">IF($E643="","",IF($B643="Tema",INDEX(Config!$C$6:$C$11,$D643),"Evento avulso"))</f>
        <v/>
      </c>
      <c r="H643" s="114" t="str">
        <f aca="false">IF($E643="","",IF($B643="Tema",INDEX(Config!$D$6:$D$11,$D643),IFERROR(INDEX(Config!$E$15:$E$19,MATCH($I643,Config!$C$15:$C$19,0)),"•")))</f>
        <v/>
      </c>
      <c r="I643" s="114" t="str">
        <f aca="false">IF($E643="","",IF($B643="Tema",INDEX(Config!$E$6:$E$11,$D643),IF(INDEX(Avulsos!$D$6:$D$205,$C643)&amp;""="","Outro",INDEX(Avulsos!$D$6:$D$205,$C643))))</f>
        <v/>
      </c>
      <c r="J643" s="114" t="str">
        <f aca="false">IF($E643="","",IF($B643="Tema",INDEX(Temas!$C$6:$C$305,$C643)&amp;"",INDEX(Avulsos!$E$6:$E$205,$C643)&amp;""))</f>
        <v/>
      </c>
      <c r="K643" s="114" t="str">
        <f aca="false">IF($E643="","",IF(IF($B643="Tema",INDEX(Temas!$E$6:$P$305,$C643,2*$D643),INDEX(Avulsos!$F$6:$F$205,$C643))&amp;""="","","✓"))</f>
        <v/>
      </c>
      <c r="L643" s="114" t="str">
        <f aca="true">IF($E643="","",IF($K643="✓","Concluído",IF($E643&lt;TODAY(),"Atrasado",IF($E643=TODAY(),"Hoje","Pendente"))))</f>
        <v/>
      </c>
      <c r="M643" s="114" t="str">
        <f aca="false">IF($E643="","",IF($K643="✓","✓ ","")&amp;IF(Config!$E$22="Sim",$H643&amp;" · ","")&amp;$F643)</f>
        <v/>
      </c>
      <c r="N643" s="114" t="str">
        <f aca="false">IF($E643="","",IFERROR(INDEX(Config!$D$15:$D$19,MATCH($I643,Config!$C$15:$C$19,0)),"OUT")&amp;IF($K643="✓","x",""))</f>
        <v/>
      </c>
      <c r="O643" s="114" t="str">
        <f aca="false">IF($E643="","",COUNTIF($E$5:$E643,$E643))</f>
        <v/>
      </c>
      <c r="P643" s="114" t="str">
        <f aca="false">IF($E643="","",$E643*100+$O643)</f>
        <v/>
      </c>
      <c r="Q643" s="114" t="str">
        <f aca="false">IF($L643="Atrasado",$E643*10000+$A643,"")</f>
        <v/>
      </c>
    </row>
    <row r="644" customFormat="false" ht="15" hidden="false" customHeight="false" outlineLevel="0" collapsed="false">
      <c r="A644" s="114" t="n">
        <f aca="false">ROW()-4</f>
        <v>640</v>
      </c>
      <c r="B644" s="114" t="str">
        <f aca="false">IF(A644&lt;=Config!$E$27*Config!$E$28,"Tema","Avulso")</f>
        <v>Tema</v>
      </c>
      <c r="C644" s="114" t="n">
        <f aca="false">IF(B644="Tema",INT((A644-1)/Config!$E$28)+1,A644-Config!$E$27*Config!$E$28)</f>
        <v>107</v>
      </c>
      <c r="D644" s="114" t="n">
        <f aca="false">IF(B644="Tema",MOD(A644-1,Config!$E$28)+1,"")</f>
        <v>4</v>
      </c>
      <c r="E644" s="115" t="str">
        <f aca="false">IF($B644="Tema",IF(ISNUMBER(INDEX(Temas!$E$6:$P$305,$C644,2*$D644-1)),INDEX(Temas!$E$6:$P$305,$C644,2*$D644-1),""),IF(ISNUMBER(INDEX(Avulsos!$B$6:$B$205,$C644)),INDEX(Avulsos!$B$6:$B$205,$C644),""))</f>
        <v/>
      </c>
      <c r="F644" s="114" t="str">
        <f aca="false">IF($E644="","",IF($B644="Tema",INDEX(Temas!$B$6:$B$305,$C644)&amp;"",INDEX(Avulsos!$C$6:$C$205,$C644)&amp;""))</f>
        <v/>
      </c>
      <c r="G644" s="114" t="str">
        <f aca="false">IF($E644="","",IF($B644="Tema",INDEX(Config!$C$6:$C$11,$D644),"Evento avulso"))</f>
        <v/>
      </c>
      <c r="H644" s="114" t="str">
        <f aca="false">IF($E644="","",IF($B644="Tema",INDEX(Config!$D$6:$D$11,$D644),IFERROR(INDEX(Config!$E$15:$E$19,MATCH($I644,Config!$C$15:$C$19,0)),"•")))</f>
        <v/>
      </c>
      <c r="I644" s="114" t="str">
        <f aca="false">IF($E644="","",IF($B644="Tema",INDEX(Config!$E$6:$E$11,$D644),IF(INDEX(Avulsos!$D$6:$D$205,$C644)&amp;""="","Outro",INDEX(Avulsos!$D$6:$D$205,$C644))))</f>
        <v/>
      </c>
      <c r="J644" s="114" t="str">
        <f aca="false">IF($E644="","",IF($B644="Tema",INDEX(Temas!$C$6:$C$305,$C644)&amp;"",INDEX(Avulsos!$E$6:$E$205,$C644)&amp;""))</f>
        <v/>
      </c>
      <c r="K644" s="114" t="str">
        <f aca="false">IF($E644="","",IF(IF($B644="Tema",INDEX(Temas!$E$6:$P$305,$C644,2*$D644),INDEX(Avulsos!$F$6:$F$205,$C644))&amp;""="","","✓"))</f>
        <v/>
      </c>
      <c r="L644" s="114" t="str">
        <f aca="true">IF($E644="","",IF($K644="✓","Concluído",IF($E644&lt;TODAY(),"Atrasado",IF($E644=TODAY(),"Hoje","Pendente"))))</f>
        <v/>
      </c>
      <c r="M644" s="114" t="str">
        <f aca="false">IF($E644="","",IF($K644="✓","✓ ","")&amp;IF(Config!$E$22="Sim",$H644&amp;" · ","")&amp;$F644)</f>
        <v/>
      </c>
      <c r="N644" s="114" t="str">
        <f aca="false">IF($E644="","",IFERROR(INDEX(Config!$D$15:$D$19,MATCH($I644,Config!$C$15:$C$19,0)),"OUT")&amp;IF($K644="✓","x",""))</f>
        <v/>
      </c>
      <c r="O644" s="114" t="str">
        <f aca="false">IF($E644="","",COUNTIF($E$5:$E644,$E644))</f>
        <v/>
      </c>
      <c r="P644" s="114" t="str">
        <f aca="false">IF($E644="","",$E644*100+$O644)</f>
        <v/>
      </c>
      <c r="Q644" s="114" t="str">
        <f aca="false">IF($L644="Atrasado",$E644*10000+$A644,"")</f>
        <v/>
      </c>
    </row>
    <row r="645" customFormat="false" ht="15" hidden="false" customHeight="false" outlineLevel="0" collapsed="false">
      <c r="A645" s="114" t="n">
        <f aca="false">ROW()-4</f>
        <v>641</v>
      </c>
      <c r="B645" s="114" t="str">
        <f aca="false">IF(A645&lt;=Config!$E$27*Config!$E$28,"Tema","Avulso")</f>
        <v>Tema</v>
      </c>
      <c r="C645" s="114" t="n">
        <f aca="false">IF(B645="Tema",INT((A645-1)/Config!$E$28)+1,A645-Config!$E$27*Config!$E$28)</f>
        <v>107</v>
      </c>
      <c r="D645" s="114" t="n">
        <f aca="false">IF(B645="Tema",MOD(A645-1,Config!$E$28)+1,"")</f>
        <v>5</v>
      </c>
      <c r="E645" s="115" t="str">
        <f aca="false">IF($B645="Tema",IF(ISNUMBER(INDEX(Temas!$E$6:$P$305,$C645,2*$D645-1)),INDEX(Temas!$E$6:$P$305,$C645,2*$D645-1),""),IF(ISNUMBER(INDEX(Avulsos!$B$6:$B$205,$C645)),INDEX(Avulsos!$B$6:$B$205,$C645),""))</f>
        <v/>
      </c>
      <c r="F645" s="114" t="str">
        <f aca="false">IF($E645="","",IF($B645="Tema",INDEX(Temas!$B$6:$B$305,$C645)&amp;"",INDEX(Avulsos!$C$6:$C$205,$C645)&amp;""))</f>
        <v/>
      </c>
      <c r="G645" s="114" t="str">
        <f aca="false">IF($E645="","",IF($B645="Tema",INDEX(Config!$C$6:$C$11,$D645),"Evento avulso"))</f>
        <v/>
      </c>
      <c r="H645" s="114" t="str">
        <f aca="false">IF($E645="","",IF($B645="Tema",INDEX(Config!$D$6:$D$11,$D645),IFERROR(INDEX(Config!$E$15:$E$19,MATCH($I645,Config!$C$15:$C$19,0)),"•")))</f>
        <v/>
      </c>
      <c r="I645" s="114" t="str">
        <f aca="false">IF($E645="","",IF($B645="Tema",INDEX(Config!$E$6:$E$11,$D645),IF(INDEX(Avulsos!$D$6:$D$205,$C645)&amp;""="","Outro",INDEX(Avulsos!$D$6:$D$205,$C645))))</f>
        <v/>
      </c>
      <c r="J645" s="114" t="str">
        <f aca="false">IF($E645="","",IF($B645="Tema",INDEX(Temas!$C$6:$C$305,$C645)&amp;"",INDEX(Avulsos!$E$6:$E$205,$C645)&amp;""))</f>
        <v/>
      </c>
      <c r="K645" s="114" t="str">
        <f aca="false">IF($E645="","",IF(IF($B645="Tema",INDEX(Temas!$E$6:$P$305,$C645,2*$D645),INDEX(Avulsos!$F$6:$F$205,$C645))&amp;""="","","✓"))</f>
        <v/>
      </c>
      <c r="L645" s="114" t="str">
        <f aca="true">IF($E645="","",IF($K645="✓","Concluído",IF($E645&lt;TODAY(),"Atrasado",IF($E645=TODAY(),"Hoje","Pendente"))))</f>
        <v/>
      </c>
      <c r="M645" s="114" t="str">
        <f aca="false">IF($E645="","",IF($K645="✓","✓ ","")&amp;IF(Config!$E$22="Sim",$H645&amp;" · ","")&amp;$F645)</f>
        <v/>
      </c>
      <c r="N645" s="114" t="str">
        <f aca="false">IF($E645="","",IFERROR(INDEX(Config!$D$15:$D$19,MATCH($I645,Config!$C$15:$C$19,0)),"OUT")&amp;IF($K645="✓","x",""))</f>
        <v/>
      </c>
      <c r="O645" s="114" t="str">
        <f aca="false">IF($E645="","",COUNTIF($E$5:$E645,$E645))</f>
        <v/>
      </c>
      <c r="P645" s="114" t="str">
        <f aca="false">IF($E645="","",$E645*100+$O645)</f>
        <v/>
      </c>
      <c r="Q645" s="114" t="str">
        <f aca="false">IF($L645="Atrasado",$E645*10000+$A645,"")</f>
        <v/>
      </c>
    </row>
    <row r="646" customFormat="false" ht="15" hidden="false" customHeight="false" outlineLevel="0" collapsed="false">
      <c r="A646" s="114" t="n">
        <f aca="false">ROW()-4</f>
        <v>642</v>
      </c>
      <c r="B646" s="114" t="str">
        <f aca="false">IF(A646&lt;=Config!$E$27*Config!$E$28,"Tema","Avulso")</f>
        <v>Tema</v>
      </c>
      <c r="C646" s="114" t="n">
        <f aca="false">IF(B646="Tema",INT((A646-1)/Config!$E$28)+1,A646-Config!$E$27*Config!$E$28)</f>
        <v>107</v>
      </c>
      <c r="D646" s="114" t="n">
        <f aca="false">IF(B646="Tema",MOD(A646-1,Config!$E$28)+1,"")</f>
        <v>6</v>
      </c>
      <c r="E646" s="115" t="str">
        <f aca="false">IF($B646="Tema",IF(ISNUMBER(INDEX(Temas!$E$6:$P$305,$C646,2*$D646-1)),INDEX(Temas!$E$6:$P$305,$C646,2*$D646-1),""),IF(ISNUMBER(INDEX(Avulsos!$B$6:$B$205,$C646)),INDEX(Avulsos!$B$6:$B$205,$C646),""))</f>
        <v/>
      </c>
      <c r="F646" s="114" t="str">
        <f aca="false">IF($E646="","",IF($B646="Tema",INDEX(Temas!$B$6:$B$305,$C646)&amp;"",INDEX(Avulsos!$C$6:$C$205,$C646)&amp;""))</f>
        <v/>
      </c>
      <c r="G646" s="114" t="str">
        <f aca="false">IF($E646="","",IF($B646="Tema",INDEX(Config!$C$6:$C$11,$D646),"Evento avulso"))</f>
        <v/>
      </c>
      <c r="H646" s="114" t="str">
        <f aca="false">IF($E646="","",IF($B646="Tema",INDEX(Config!$D$6:$D$11,$D646),IFERROR(INDEX(Config!$E$15:$E$19,MATCH($I646,Config!$C$15:$C$19,0)),"•")))</f>
        <v/>
      </c>
      <c r="I646" s="114" t="str">
        <f aca="false">IF($E646="","",IF($B646="Tema",INDEX(Config!$E$6:$E$11,$D646),IF(INDEX(Avulsos!$D$6:$D$205,$C646)&amp;""="","Outro",INDEX(Avulsos!$D$6:$D$205,$C646))))</f>
        <v/>
      </c>
      <c r="J646" s="114" t="str">
        <f aca="false">IF($E646="","",IF($B646="Tema",INDEX(Temas!$C$6:$C$305,$C646)&amp;"",INDEX(Avulsos!$E$6:$E$205,$C646)&amp;""))</f>
        <v/>
      </c>
      <c r="K646" s="114" t="str">
        <f aca="false">IF($E646="","",IF(IF($B646="Tema",INDEX(Temas!$E$6:$P$305,$C646,2*$D646),INDEX(Avulsos!$F$6:$F$205,$C646))&amp;""="","","✓"))</f>
        <v/>
      </c>
      <c r="L646" s="114" t="str">
        <f aca="true">IF($E646="","",IF($K646="✓","Concluído",IF($E646&lt;TODAY(),"Atrasado",IF($E646=TODAY(),"Hoje","Pendente"))))</f>
        <v/>
      </c>
      <c r="M646" s="114" t="str">
        <f aca="false">IF($E646="","",IF($K646="✓","✓ ","")&amp;IF(Config!$E$22="Sim",$H646&amp;" · ","")&amp;$F646)</f>
        <v/>
      </c>
      <c r="N646" s="114" t="str">
        <f aca="false">IF($E646="","",IFERROR(INDEX(Config!$D$15:$D$19,MATCH($I646,Config!$C$15:$C$19,0)),"OUT")&amp;IF($K646="✓","x",""))</f>
        <v/>
      </c>
      <c r="O646" s="114" t="str">
        <f aca="false">IF($E646="","",COUNTIF($E$5:$E646,$E646))</f>
        <v/>
      </c>
      <c r="P646" s="114" t="str">
        <f aca="false">IF($E646="","",$E646*100+$O646)</f>
        <v/>
      </c>
      <c r="Q646" s="114" t="str">
        <f aca="false">IF($L646="Atrasado",$E646*10000+$A646,"")</f>
        <v/>
      </c>
    </row>
    <row r="647" customFormat="false" ht="15" hidden="false" customHeight="false" outlineLevel="0" collapsed="false">
      <c r="A647" s="114" t="n">
        <f aca="false">ROW()-4</f>
        <v>643</v>
      </c>
      <c r="B647" s="114" t="str">
        <f aca="false">IF(A647&lt;=Config!$E$27*Config!$E$28,"Tema","Avulso")</f>
        <v>Tema</v>
      </c>
      <c r="C647" s="114" t="n">
        <f aca="false">IF(B647="Tema",INT((A647-1)/Config!$E$28)+1,A647-Config!$E$27*Config!$E$28)</f>
        <v>108</v>
      </c>
      <c r="D647" s="114" t="n">
        <f aca="false">IF(B647="Tema",MOD(A647-1,Config!$E$28)+1,"")</f>
        <v>1</v>
      </c>
      <c r="E647" s="115" t="str">
        <f aca="false">IF($B647="Tema",IF(ISNUMBER(INDEX(Temas!$E$6:$P$305,$C647,2*$D647-1)),INDEX(Temas!$E$6:$P$305,$C647,2*$D647-1),""),IF(ISNUMBER(INDEX(Avulsos!$B$6:$B$205,$C647)),INDEX(Avulsos!$B$6:$B$205,$C647),""))</f>
        <v/>
      </c>
      <c r="F647" s="114" t="str">
        <f aca="false">IF($E647="","",IF($B647="Tema",INDEX(Temas!$B$6:$B$305,$C647)&amp;"",INDEX(Avulsos!$C$6:$C$205,$C647)&amp;""))</f>
        <v/>
      </c>
      <c r="G647" s="114" t="str">
        <f aca="false">IF($E647="","",IF($B647="Tema",INDEX(Config!$C$6:$C$11,$D647),"Evento avulso"))</f>
        <v/>
      </c>
      <c r="H647" s="114" t="str">
        <f aca="false">IF($E647="","",IF($B647="Tema",INDEX(Config!$D$6:$D$11,$D647),IFERROR(INDEX(Config!$E$15:$E$19,MATCH($I647,Config!$C$15:$C$19,0)),"•")))</f>
        <v/>
      </c>
      <c r="I647" s="114" t="str">
        <f aca="false">IF($E647="","",IF($B647="Tema",INDEX(Config!$E$6:$E$11,$D647),IF(INDEX(Avulsos!$D$6:$D$205,$C647)&amp;""="","Outro",INDEX(Avulsos!$D$6:$D$205,$C647))))</f>
        <v/>
      </c>
      <c r="J647" s="114" t="str">
        <f aca="false">IF($E647="","",IF($B647="Tema",INDEX(Temas!$C$6:$C$305,$C647)&amp;"",INDEX(Avulsos!$E$6:$E$205,$C647)&amp;""))</f>
        <v/>
      </c>
      <c r="K647" s="114" t="str">
        <f aca="false">IF($E647="","",IF(IF($B647="Tema",INDEX(Temas!$E$6:$P$305,$C647,2*$D647),INDEX(Avulsos!$F$6:$F$205,$C647))&amp;""="","","✓"))</f>
        <v/>
      </c>
      <c r="L647" s="114" t="str">
        <f aca="true">IF($E647="","",IF($K647="✓","Concluído",IF($E647&lt;TODAY(),"Atrasado",IF($E647=TODAY(),"Hoje","Pendente"))))</f>
        <v/>
      </c>
      <c r="M647" s="114" t="str">
        <f aca="false">IF($E647="","",IF($K647="✓","✓ ","")&amp;IF(Config!$E$22="Sim",$H647&amp;" · ","")&amp;$F647)</f>
        <v/>
      </c>
      <c r="N647" s="114" t="str">
        <f aca="false">IF($E647="","",IFERROR(INDEX(Config!$D$15:$D$19,MATCH($I647,Config!$C$15:$C$19,0)),"OUT")&amp;IF($K647="✓","x",""))</f>
        <v/>
      </c>
      <c r="O647" s="114" t="str">
        <f aca="false">IF($E647="","",COUNTIF($E$5:$E647,$E647))</f>
        <v/>
      </c>
      <c r="P647" s="114" t="str">
        <f aca="false">IF($E647="","",$E647*100+$O647)</f>
        <v/>
      </c>
      <c r="Q647" s="114" t="str">
        <f aca="false">IF($L647="Atrasado",$E647*10000+$A647,"")</f>
        <v/>
      </c>
    </row>
    <row r="648" customFormat="false" ht="15" hidden="false" customHeight="false" outlineLevel="0" collapsed="false">
      <c r="A648" s="114" t="n">
        <f aca="false">ROW()-4</f>
        <v>644</v>
      </c>
      <c r="B648" s="114" t="str">
        <f aca="false">IF(A648&lt;=Config!$E$27*Config!$E$28,"Tema","Avulso")</f>
        <v>Tema</v>
      </c>
      <c r="C648" s="114" t="n">
        <f aca="false">IF(B648="Tema",INT((A648-1)/Config!$E$28)+1,A648-Config!$E$27*Config!$E$28)</f>
        <v>108</v>
      </c>
      <c r="D648" s="114" t="n">
        <f aca="false">IF(B648="Tema",MOD(A648-1,Config!$E$28)+1,"")</f>
        <v>2</v>
      </c>
      <c r="E648" s="115" t="str">
        <f aca="false">IF($B648="Tema",IF(ISNUMBER(INDEX(Temas!$E$6:$P$305,$C648,2*$D648-1)),INDEX(Temas!$E$6:$P$305,$C648,2*$D648-1),""),IF(ISNUMBER(INDEX(Avulsos!$B$6:$B$205,$C648)),INDEX(Avulsos!$B$6:$B$205,$C648),""))</f>
        <v/>
      </c>
      <c r="F648" s="114" t="str">
        <f aca="false">IF($E648="","",IF($B648="Tema",INDEX(Temas!$B$6:$B$305,$C648)&amp;"",INDEX(Avulsos!$C$6:$C$205,$C648)&amp;""))</f>
        <v/>
      </c>
      <c r="G648" s="114" t="str">
        <f aca="false">IF($E648="","",IF($B648="Tema",INDEX(Config!$C$6:$C$11,$D648),"Evento avulso"))</f>
        <v/>
      </c>
      <c r="H648" s="114" t="str">
        <f aca="false">IF($E648="","",IF($B648="Tema",INDEX(Config!$D$6:$D$11,$D648),IFERROR(INDEX(Config!$E$15:$E$19,MATCH($I648,Config!$C$15:$C$19,0)),"•")))</f>
        <v/>
      </c>
      <c r="I648" s="114" t="str">
        <f aca="false">IF($E648="","",IF($B648="Tema",INDEX(Config!$E$6:$E$11,$D648),IF(INDEX(Avulsos!$D$6:$D$205,$C648)&amp;""="","Outro",INDEX(Avulsos!$D$6:$D$205,$C648))))</f>
        <v/>
      </c>
      <c r="J648" s="114" t="str">
        <f aca="false">IF($E648="","",IF($B648="Tema",INDEX(Temas!$C$6:$C$305,$C648)&amp;"",INDEX(Avulsos!$E$6:$E$205,$C648)&amp;""))</f>
        <v/>
      </c>
      <c r="K648" s="114" t="str">
        <f aca="false">IF($E648="","",IF(IF($B648="Tema",INDEX(Temas!$E$6:$P$305,$C648,2*$D648),INDEX(Avulsos!$F$6:$F$205,$C648))&amp;""="","","✓"))</f>
        <v/>
      </c>
      <c r="L648" s="114" t="str">
        <f aca="true">IF($E648="","",IF($K648="✓","Concluído",IF($E648&lt;TODAY(),"Atrasado",IF($E648=TODAY(),"Hoje","Pendente"))))</f>
        <v/>
      </c>
      <c r="M648" s="114" t="str">
        <f aca="false">IF($E648="","",IF($K648="✓","✓ ","")&amp;IF(Config!$E$22="Sim",$H648&amp;" · ","")&amp;$F648)</f>
        <v/>
      </c>
      <c r="N648" s="114" t="str">
        <f aca="false">IF($E648="","",IFERROR(INDEX(Config!$D$15:$D$19,MATCH($I648,Config!$C$15:$C$19,0)),"OUT")&amp;IF($K648="✓","x",""))</f>
        <v/>
      </c>
      <c r="O648" s="114" t="str">
        <f aca="false">IF($E648="","",COUNTIF($E$5:$E648,$E648))</f>
        <v/>
      </c>
      <c r="P648" s="114" t="str">
        <f aca="false">IF($E648="","",$E648*100+$O648)</f>
        <v/>
      </c>
      <c r="Q648" s="114" t="str">
        <f aca="false">IF($L648="Atrasado",$E648*10000+$A648,"")</f>
        <v/>
      </c>
    </row>
    <row r="649" customFormat="false" ht="15" hidden="false" customHeight="false" outlineLevel="0" collapsed="false">
      <c r="A649" s="114" t="n">
        <f aca="false">ROW()-4</f>
        <v>645</v>
      </c>
      <c r="B649" s="114" t="str">
        <f aca="false">IF(A649&lt;=Config!$E$27*Config!$E$28,"Tema","Avulso")</f>
        <v>Tema</v>
      </c>
      <c r="C649" s="114" t="n">
        <f aca="false">IF(B649="Tema",INT((A649-1)/Config!$E$28)+1,A649-Config!$E$27*Config!$E$28)</f>
        <v>108</v>
      </c>
      <c r="D649" s="114" t="n">
        <f aca="false">IF(B649="Tema",MOD(A649-1,Config!$E$28)+1,"")</f>
        <v>3</v>
      </c>
      <c r="E649" s="115" t="str">
        <f aca="false">IF($B649="Tema",IF(ISNUMBER(INDEX(Temas!$E$6:$P$305,$C649,2*$D649-1)),INDEX(Temas!$E$6:$P$305,$C649,2*$D649-1),""),IF(ISNUMBER(INDEX(Avulsos!$B$6:$B$205,$C649)),INDEX(Avulsos!$B$6:$B$205,$C649),""))</f>
        <v/>
      </c>
      <c r="F649" s="114" t="str">
        <f aca="false">IF($E649="","",IF($B649="Tema",INDEX(Temas!$B$6:$B$305,$C649)&amp;"",INDEX(Avulsos!$C$6:$C$205,$C649)&amp;""))</f>
        <v/>
      </c>
      <c r="G649" s="114" t="str">
        <f aca="false">IF($E649="","",IF($B649="Tema",INDEX(Config!$C$6:$C$11,$D649),"Evento avulso"))</f>
        <v/>
      </c>
      <c r="H649" s="114" t="str">
        <f aca="false">IF($E649="","",IF($B649="Tema",INDEX(Config!$D$6:$D$11,$D649),IFERROR(INDEX(Config!$E$15:$E$19,MATCH($I649,Config!$C$15:$C$19,0)),"•")))</f>
        <v/>
      </c>
      <c r="I649" s="114" t="str">
        <f aca="false">IF($E649="","",IF($B649="Tema",INDEX(Config!$E$6:$E$11,$D649),IF(INDEX(Avulsos!$D$6:$D$205,$C649)&amp;""="","Outro",INDEX(Avulsos!$D$6:$D$205,$C649))))</f>
        <v/>
      </c>
      <c r="J649" s="114" t="str">
        <f aca="false">IF($E649="","",IF($B649="Tema",INDEX(Temas!$C$6:$C$305,$C649)&amp;"",INDEX(Avulsos!$E$6:$E$205,$C649)&amp;""))</f>
        <v/>
      </c>
      <c r="K649" s="114" t="str">
        <f aca="false">IF($E649="","",IF(IF($B649="Tema",INDEX(Temas!$E$6:$P$305,$C649,2*$D649),INDEX(Avulsos!$F$6:$F$205,$C649))&amp;""="","","✓"))</f>
        <v/>
      </c>
      <c r="L649" s="114" t="str">
        <f aca="true">IF($E649="","",IF($K649="✓","Concluído",IF($E649&lt;TODAY(),"Atrasado",IF($E649=TODAY(),"Hoje","Pendente"))))</f>
        <v/>
      </c>
      <c r="M649" s="114" t="str">
        <f aca="false">IF($E649="","",IF($K649="✓","✓ ","")&amp;IF(Config!$E$22="Sim",$H649&amp;" · ","")&amp;$F649)</f>
        <v/>
      </c>
      <c r="N649" s="114" t="str">
        <f aca="false">IF($E649="","",IFERROR(INDEX(Config!$D$15:$D$19,MATCH($I649,Config!$C$15:$C$19,0)),"OUT")&amp;IF($K649="✓","x",""))</f>
        <v/>
      </c>
      <c r="O649" s="114" t="str">
        <f aca="false">IF($E649="","",COUNTIF($E$5:$E649,$E649))</f>
        <v/>
      </c>
      <c r="P649" s="114" t="str">
        <f aca="false">IF($E649="","",$E649*100+$O649)</f>
        <v/>
      </c>
      <c r="Q649" s="114" t="str">
        <f aca="false">IF($L649="Atrasado",$E649*10000+$A649,"")</f>
        <v/>
      </c>
    </row>
    <row r="650" customFormat="false" ht="15" hidden="false" customHeight="false" outlineLevel="0" collapsed="false">
      <c r="A650" s="114" t="n">
        <f aca="false">ROW()-4</f>
        <v>646</v>
      </c>
      <c r="B650" s="114" t="str">
        <f aca="false">IF(A650&lt;=Config!$E$27*Config!$E$28,"Tema","Avulso")</f>
        <v>Tema</v>
      </c>
      <c r="C650" s="114" t="n">
        <f aca="false">IF(B650="Tema",INT((A650-1)/Config!$E$28)+1,A650-Config!$E$27*Config!$E$28)</f>
        <v>108</v>
      </c>
      <c r="D650" s="114" t="n">
        <f aca="false">IF(B650="Tema",MOD(A650-1,Config!$E$28)+1,"")</f>
        <v>4</v>
      </c>
      <c r="E650" s="115" t="str">
        <f aca="false">IF($B650="Tema",IF(ISNUMBER(INDEX(Temas!$E$6:$P$305,$C650,2*$D650-1)),INDEX(Temas!$E$6:$P$305,$C650,2*$D650-1),""),IF(ISNUMBER(INDEX(Avulsos!$B$6:$B$205,$C650)),INDEX(Avulsos!$B$6:$B$205,$C650),""))</f>
        <v/>
      </c>
      <c r="F650" s="114" t="str">
        <f aca="false">IF($E650="","",IF($B650="Tema",INDEX(Temas!$B$6:$B$305,$C650)&amp;"",INDEX(Avulsos!$C$6:$C$205,$C650)&amp;""))</f>
        <v/>
      </c>
      <c r="G650" s="114" t="str">
        <f aca="false">IF($E650="","",IF($B650="Tema",INDEX(Config!$C$6:$C$11,$D650),"Evento avulso"))</f>
        <v/>
      </c>
      <c r="H650" s="114" t="str">
        <f aca="false">IF($E650="","",IF($B650="Tema",INDEX(Config!$D$6:$D$11,$D650),IFERROR(INDEX(Config!$E$15:$E$19,MATCH($I650,Config!$C$15:$C$19,0)),"•")))</f>
        <v/>
      </c>
      <c r="I650" s="114" t="str">
        <f aca="false">IF($E650="","",IF($B650="Tema",INDEX(Config!$E$6:$E$11,$D650),IF(INDEX(Avulsos!$D$6:$D$205,$C650)&amp;""="","Outro",INDEX(Avulsos!$D$6:$D$205,$C650))))</f>
        <v/>
      </c>
      <c r="J650" s="114" t="str">
        <f aca="false">IF($E650="","",IF($B650="Tema",INDEX(Temas!$C$6:$C$305,$C650)&amp;"",INDEX(Avulsos!$E$6:$E$205,$C650)&amp;""))</f>
        <v/>
      </c>
      <c r="K650" s="114" t="str">
        <f aca="false">IF($E650="","",IF(IF($B650="Tema",INDEX(Temas!$E$6:$P$305,$C650,2*$D650),INDEX(Avulsos!$F$6:$F$205,$C650))&amp;""="","","✓"))</f>
        <v/>
      </c>
      <c r="L650" s="114" t="str">
        <f aca="true">IF($E650="","",IF($K650="✓","Concluído",IF($E650&lt;TODAY(),"Atrasado",IF($E650=TODAY(),"Hoje","Pendente"))))</f>
        <v/>
      </c>
      <c r="M650" s="114" t="str">
        <f aca="false">IF($E650="","",IF($K650="✓","✓ ","")&amp;IF(Config!$E$22="Sim",$H650&amp;" · ","")&amp;$F650)</f>
        <v/>
      </c>
      <c r="N650" s="114" t="str">
        <f aca="false">IF($E650="","",IFERROR(INDEX(Config!$D$15:$D$19,MATCH($I650,Config!$C$15:$C$19,0)),"OUT")&amp;IF($K650="✓","x",""))</f>
        <v/>
      </c>
      <c r="O650" s="114" t="str">
        <f aca="false">IF($E650="","",COUNTIF($E$5:$E650,$E650))</f>
        <v/>
      </c>
      <c r="P650" s="114" t="str">
        <f aca="false">IF($E650="","",$E650*100+$O650)</f>
        <v/>
      </c>
      <c r="Q650" s="114" t="str">
        <f aca="false">IF($L650="Atrasado",$E650*10000+$A650,"")</f>
        <v/>
      </c>
    </row>
    <row r="651" customFormat="false" ht="15" hidden="false" customHeight="false" outlineLevel="0" collapsed="false">
      <c r="A651" s="114" t="n">
        <f aca="false">ROW()-4</f>
        <v>647</v>
      </c>
      <c r="B651" s="114" t="str">
        <f aca="false">IF(A651&lt;=Config!$E$27*Config!$E$28,"Tema","Avulso")</f>
        <v>Tema</v>
      </c>
      <c r="C651" s="114" t="n">
        <f aca="false">IF(B651="Tema",INT((A651-1)/Config!$E$28)+1,A651-Config!$E$27*Config!$E$28)</f>
        <v>108</v>
      </c>
      <c r="D651" s="114" t="n">
        <f aca="false">IF(B651="Tema",MOD(A651-1,Config!$E$28)+1,"")</f>
        <v>5</v>
      </c>
      <c r="E651" s="115" t="str">
        <f aca="false">IF($B651="Tema",IF(ISNUMBER(INDEX(Temas!$E$6:$P$305,$C651,2*$D651-1)),INDEX(Temas!$E$6:$P$305,$C651,2*$D651-1),""),IF(ISNUMBER(INDEX(Avulsos!$B$6:$B$205,$C651)),INDEX(Avulsos!$B$6:$B$205,$C651),""))</f>
        <v/>
      </c>
      <c r="F651" s="114" t="str">
        <f aca="false">IF($E651="","",IF($B651="Tema",INDEX(Temas!$B$6:$B$305,$C651)&amp;"",INDEX(Avulsos!$C$6:$C$205,$C651)&amp;""))</f>
        <v/>
      </c>
      <c r="G651" s="114" t="str">
        <f aca="false">IF($E651="","",IF($B651="Tema",INDEX(Config!$C$6:$C$11,$D651),"Evento avulso"))</f>
        <v/>
      </c>
      <c r="H651" s="114" t="str">
        <f aca="false">IF($E651="","",IF($B651="Tema",INDEX(Config!$D$6:$D$11,$D651),IFERROR(INDEX(Config!$E$15:$E$19,MATCH($I651,Config!$C$15:$C$19,0)),"•")))</f>
        <v/>
      </c>
      <c r="I651" s="114" t="str">
        <f aca="false">IF($E651="","",IF($B651="Tema",INDEX(Config!$E$6:$E$11,$D651),IF(INDEX(Avulsos!$D$6:$D$205,$C651)&amp;""="","Outro",INDEX(Avulsos!$D$6:$D$205,$C651))))</f>
        <v/>
      </c>
      <c r="J651" s="114" t="str">
        <f aca="false">IF($E651="","",IF($B651="Tema",INDEX(Temas!$C$6:$C$305,$C651)&amp;"",INDEX(Avulsos!$E$6:$E$205,$C651)&amp;""))</f>
        <v/>
      </c>
      <c r="K651" s="114" t="str">
        <f aca="false">IF($E651="","",IF(IF($B651="Tema",INDEX(Temas!$E$6:$P$305,$C651,2*$D651),INDEX(Avulsos!$F$6:$F$205,$C651))&amp;""="","","✓"))</f>
        <v/>
      </c>
      <c r="L651" s="114" t="str">
        <f aca="true">IF($E651="","",IF($K651="✓","Concluído",IF($E651&lt;TODAY(),"Atrasado",IF($E651=TODAY(),"Hoje","Pendente"))))</f>
        <v/>
      </c>
      <c r="M651" s="114" t="str">
        <f aca="false">IF($E651="","",IF($K651="✓","✓ ","")&amp;IF(Config!$E$22="Sim",$H651&amp;" · ","")&amp;$F651)</f>
        <v/>
      </c>
      <c r="N651" s="114" t="str">
        <f aca="false">IF($E651="","",IFERROR(INDEX(Config!$D$15:$D$19,MATCH($I651,Config!$C$15:$C$19,0)),"OUT")&amp;IF($K651="✓","x",""))</f>
        <v/>
      </c>
      <c r="O651" s="114" t="str">
        <f aca="false">IF($E651="","",COUNTIF($E$5:$E651,$E651))</f>
        <v/>
      </c>
      <c r="P651" s="114" t="str">
        <f aca="false">IF($E651="","",$E651*100+$O651)</f>
        <v/>
      </c>
      <c r="Q651" s="114" t="str">
        <f aca="false">IF($L651="Atrasado",$E651*10000+$A651,"")</f>
        <v/>
      </c>
    </row>
    <row r="652" customFormat="false" ht="15" hidden="false" customHeight="false" outlineLevel="0" collapsed="false">
      <c r="A652" s="114" t="n">
        <f aca="false">ROW()-4</f>
        <v>648</v>
      </c>
      <c r="B652" s="114" t="str">
        <f aca="false">IF(A652&lt;=Config!$E$27*Config!$E$28,"Tema","Avulso")</f>
        <v>Tema</v>
      </c>
      <c r="C652" s="114" t="n">
        <f aca="false">IF(B652="Tema",INT((A652-1)/Config!$E$28)+1,A652-Config!$E$27*Config!$E$28)</f>
        <v>108</v>
      </c>
      <c r="D652" s="114" t="n">
        <f aca="false">IF(B652="Tema",MOD(A652-1,Config!$E$28)+1,"")</f>
        <v>6</v>
      </c>
      <c r="E652" s="115" t="str">
        <f aca="false">IF($B652="Tema",IF(ISNUMBER(INDEX(Temas!$E$6:$P$305,$C652,2*$D652-1)),INDEX(Temas!$E$6:$P$305,$C652,2*$D652-1),""),IF(ISNUMBER(INDEX(Avulsos!$B$6:$B$205,$C652)),INDEX(Avulsos!$B$6:$B$205,$C652),""))</f>
        <v/>
      </c>
      <c r="F652" s="114" t="str">
        <f aca="false">IF($E652="","",IF($B652="Tema",INDEX(Temas!$B$6:$B$305,$C652)&amp;"",INDEX(Avulsos!$C$6:$C$205,$C652)&amp;""))</f>
        <v/>
      </c>
      <c r="G652" s="114" t="str">
        <f aca="false">IF($E652="","",IF($B652="Tema",INDEX(Config!$C$6:$C$11,$D652),"Evento avulso"))</f>
        <v/>
      </c>
      <c r="H652" s="114" t="str">
        <f aca="false">IF($E652="","",IF($B652="Tema",INDEX(Config!$D$6:$D$11,$D652),IFERROR(INDEX(Config!$E$15:$E$19,MATCH($I652,Config!$C$15:$C$19,0)),"•")))</f>
        <v/>
      </c>
      <c r="I652" s="114" t="str">
        <f aca="false">IF($E652="","",IF($B652="Tema",INDEX(Config!$E$6:$E$11,$D652),IF(INDEX(Avulsos!$D$6:$D$205,$C652)&amp;""="","Outro",INDEX(Avulsos!$D$6:$D$205,$C652))))</f>
        <v/>
      </c>
      <c r="J652" s="114" t="str">
        <f aca="false">IF($E652="","",IF($B652="Tema",INDEX(Temas!$C$6:$C$305,$C652)&amp;"",INDEX(Avulsos!$E$6:$E$205,$C652)&amp;""))</f>
        <v/>
      </c>
      <c r="K652" s="114" t="str">
        <f aca="false">IF($E652="","",IF(IF($B652="Tema",INDEX(Temas!$E$6:$P$305,$C652,2*$D652),INDEX(Avulsos!$F$6:$F$205,$C652))&amp;""="","","✓"))</f>
        <v/>
      </c>
      <c r="L652" s="114" t="str">
        <f aca="true">IF($E652="","",IF($K652="✓","Concluído",IF($E652&lt;TODAY(),"Atrasado",IF($E652=TODAY(),"Hoje","Pendente"))))</f>
        <v/>
      </c>
      <c r="M652" s="114" t="str">
        <f aca="false">IF($E652="","",IF($K652="✓","✓ ","")&amp;IF(Config!$E$22="Sim",$H652&amp;" · ","")&amp;$F652)</f>
        <v/>
      </c>
      <c r="N652" s="114" t="str">
        <f aca="false">IF($E652="","",IFERROR(INDEX(Config!$D$15:$D$19,MATCH($I652,Config!$C$15:$C$19,0)),"OUT")&amp;IF($K652="✓","x",""))</f>
        <v/>
      </c>
      <c r="O652" s="114" t="str">
        <f aca="false">IF($E652="","",COUNTIF($E$5:$E652,$E652))</f>
        <v/>
      </c>
      <c r="P652" s="114" t="str">
        <f aca="false">IF($E652="","",$E652*100+$O652)</f>
        <v/>
      </c>
      <c r="Q652" s="114" t="str">
        <f aca="false">IF($L652="Atrasado",$E652*10000+$A652,"")</f>
        <v/>
      </c>
    </row>
    <row r="653" customFormat="false" ht="15" hidden="false" customHeight="false" outlineLevel="0" collapsed="false">
      <c r="A653" s="114" t="n">
        <f aca="false">ROW()-4</f>
        <v>649</v>
      </c>
      <c r="B653" s="114" t="str">
        <f aca="false">IF(A653&lt;=Config!$E$27*Config!$E$28,"Tema","Avulso")</f>
        <v>Tema</v>
      </c>
      <c r="C653" s="114" t="n">
        <f aca="false">IF(B653="Tema",INT((A653-1)/Config!$E$28)+1,A653-Config!$E$27*Config!$E$28)</f>
        <v>109</v>
      </c>
      <c r="D653" s="114" t="n">
        <f aca="false">IF(B653="Tema",MOD(A653-1,Config!$E$28)+1,"")</f>
        <v>1</v>
      </c>
      <c r="E653" s="115" t="str">
        <f aca="false">IF($B653="Tema",IF(ISNUMBER(INDEX(Temas!$E$6:$P$305,$C653,2*$D653-1)),INDEX(Temas!$E$6:$P$305,$C653,2*$D653-1),""),IF(ISNUMBER(INDEX(Avulsos!$B$6:$B$205,$C653)),INDEX(Avulsos!$B$6:$B$205,$C653),""))</f>
        <v/>
      </c>
      <c r="F653" s="114" t="str">
        <f aca="false">IF($E653="","",IF($B653="Tema",INDEX(Temas!$B$6:$B$305,$C653)&amp;"",INDEX(Avulsos!$C$6:$C$205,$C653)&amp;""))</f>
        <v/>
      </c>
      <c r="G653" s="114" t="str">
        <f aca="false">IF($E653="","",IF($B653="Tema",INDEX(Config!$C$6:$C$11,$D653),"Evento avulso"))</f>
        <v/>
      </c>
      <c r="H653" s="114" t="str">
        <f aca="false">IF($E653="","",IF($B653="Tema",INDEX(Config!$D$6:$D$11,$D653),IFERROR(INDEX(Config!$E$15:$E$19,MATCH($I653,Config!$C$15:$C$19,0)),"•")))</f>
        <v/>
      </c>
      <c r="I653" s="114" t="str">
        <f aca="false">IF($E653="","",IF($B653="Tema",INDEX(Config!$E$6:$E$11,$D653),IF(INDEX(Avulsos!$D$6:$D$205,$C653)&amp;""="","Outro",INDEX(Avulsos!$D$6:$D$205,$C653))))</f>
        <v/>
      </c>
      <c r="J653" s="114" t="str">
        <f aca="false">IF($E653="","",IF($B653="Tema",INDEX(Temas!$C$6:$C$305,$C653)&amp;"",INDEX(Avulsos!$E$6:$E$205,$C653)&amp;""))</f>
        <v/>
      </c>
      <c r="K653" s="114" t="str">
        <f aca="false">IF($E653="","",IF(IF($B653="Tema",INDEX(Temas!$E$6:$P$305,$C653,2*$D653),INDEX(Avulsos!$F$6:$F$205,$C653))&amp;""="","","✓"))</f>
        <v/>
      </c>
      <c r="L653" s="114" t="str">
        <f aca="true">IF($E653="","",IF($K653="✓","Concluído",IF($E653&lt;TODAY(),"Atrasado",IF($E653=TODAY(),"Hoje","Pendente"))))</f>
        <v/>
      </c>
      <c r="M653" s="114" t="str">
        <f aca="false">IF($E653="","",IF($K653="✓","✓ ","")&amp;IF(Config!$E$22="Sim",$H653&amp;" · ","")&amp;$F653)</f>
        <v/>
      </c>
      <c r="N653" s="114" t="str">
        <f aca="false">IF($E653="","",IFERROR(INDEX(Config!$D$15:$D$19,MATCH($I653,Config!$C$15:$C$19,0)),"OUT")&amp;IF($K653="✓","x",""))</f>
        <v/>
      </c>
      <c r="O653" s="114" t="str">
        <f aca="false">IF($E653="","",COUNTIF($E$5:$E653,$E653))</f>
        <v/>
      </c>
      <c r="P653" s="114" t="str">
        <f aca="false">IF($E653="","",$E653*100+$O653)</f>
        <v/>
      </c>
      <c r="Q653" s="114" t="str">
        <f aca="false">IF($L653="Atrasado",$E653*10000+$A653,"")</f>
        <v/>
      </c>
    </row>
    <row r="654" customFormat="false" ht="15" hidden="false" customHeight="false" outlineLevel="0" collapsed="false">
      <c r="A654" s="114" t="n">
        <f aca="false">ROW()-4</f>
        <v>650</v>
      </c>
      <c r="B654" s="114" t="str">
        <f aca="false">IF(A654&lt;=Config!$E$27*Config!$E$28,"Tema","Avulso")</f>
        <v>Tema</v>
      </c>
      <c r="C654" s="114" t="n">
        <f aca="false">IF(B654="Tema",INT((A654-1)/Config!$E$28)+1,A654-Config!$E$27*Config!$E$28)</f>
        <v>109</v>
      </c>
      <c r="D654" s="114" t="n">
        <f aca="false">IF(B654="Tema",MOD(A654-1,Config!$E$28)+1,"")</f>
        <v>2</v>
      </c>
      <c r="E654" s="115" t="str">
        <f aca="false">IF($B654="Tema",IF(ISNUMBER(INDEX(Temas!$E$6:$P$305,$C654,2*$D654-1)),INDEX(Temas!$E$6:$P$305,$C654,2*$D654-1),""),IF(ISNUMBER(INDEX(Avulsos!$B$6:$B$205,$C654)),INDEX(Avulsos!$B$6:$B$205,$C654),""))</f>
        <v/>
      </c>
      <c r="F654" s="114" t="str">
        <f aca="false">IF($E654="","",IF($B654="Tema",INDEX(Temas!$B$6:$B$305,$C654)&amp;"",INDEX(Avulsos!$C$6:$C$205,$C654)&amp;""))</f>
        <v/>
      </c>
      <c r="G654" s="114" t="str">
        <f aca="false">IF($E654="","",IF($B654="Tema",INDEX(Config!$C$6:$C$11,$D654),"Evento avulso"))</f>
        <v/>
      </c>
      <c r="H654" s="114" t="str">
        <f aca="false">IF($E654="","",IF($B654="Tema",INDEX(Config!$D$6:$D$11,$D654),IFERROR(INDEX(Config!$E$15:$E$19,MATCH($I654,Config!$C$15:$C$19,0)),"•")))</f>
        <v/>
      </c>
      <c r="I654" s="114" t="str">
        <f aca="false">IF($E654="","",IF($B654="Tema",INDEX(Config!$E$6:$E$11,$D654),IF(INDEX(Avulsos!$D$6:$D$205,$C654)&amp;""="","Outro",INDEX(Avulsos!$D$6:$D$205,$C654))))</f>
        <v/>
      </c>
      <c r="J654" s="114" t="str">
        <f aca="false">IF($E654="","",IF($B654="Tema",INDEX(Temas!$C$6:$C$305,$C654)&amp;"",INDEX(Avulsos!$E$6:$E$205,$C654)&amp;""))</f>
        <v/>
      </c>
      <c r="K654" s="114" t="str">
        <f aca="false">IF($E654="","",IF(IF($B654="Tema",INDEX(Temas!$E$6:$P$305,$C654,2*$D654),INDEX(Avulsos!$F$6:$F$205,$C654))&amp;""="","","✓"))</f>
        <v/>
      </c>
      <c r="L654" s="114" t="str">
        <f aca="true">IF($E654="","",IF($K654="✓","Concluído",IF($E654&lt;TODAY(),"Atrasado",IF($E654=TODAY(),"Hoje","Pendente"))))</f>
        <v/>
      </c>
      <c r="M654" s="114" t="str">
        <f aca="false">IF($E654="","",IF($K654="✓","✓ ","")&amp;IF(Config!$E$22="Sim",$H654&amp;" · ","")&amp;$F654)</f>
        <v/>
      </c>
      <c r="N654" s="114" t="str">
        <f aca="false">IF($E654="","",IFERROR(INDEX(Config!$D$15:$D$19,MATCH($I654,Config!$C$15:$C$19,0)),"OUT")&amp;IF($K654="✓","x",""))</f>
        <v/>
      </c>
      <c r="O654" s="114" t="str">
        <f aca="false">IF($E654="","",COUNTIF($E$5:$E654,$E654))</f>
        <v/>
      </c>
      <c r="P654" s="114" t="str">
        <f aca="false">IF($E654="","",$E654*100+$O654)</f>
        <v/>
      </c>
      <c r="Q654" s="114" t="str">
        <f aca="false">IF($L654="Atrasado",$E654*10000+$A654,"")</f>
        <v/>
      </c>
    </row>
    <row r="655" customFormat="false" ht="15" hidden="false" customHeight="false" outlineLevel="0" collapsed="false">
      <c r="A655" s="114" t="n">
        <f aca="false">ROW()-4</f>
        <v>651</v>
      </c>
      <c r="B655" s="114" t="str">
        <f aca="false">IF(A655&lt;=Config!$E$27*Config!$E$28,"Tema","Avulso")</f>
        <v>Tema</v>
      </c>
      <c r="C655" s="114" t="n">
        <f aca="false">IF(B655="Tema",INT((A655-1)/Config!$E$28)+1,A655-Config!$E$27*Config!$E$28)</f>
        <v>109</v>
      </c>
      <c r="D655" s="114" t="n">
        <f aca="false">IF(B655="Tema",MOD(A655-1,Config!$E$28)+1,"")</f>
        <v>3</v>
      </c>
      <c r="E655" s="115" t="str">
        <f aca="false">IF($B655="Tema",IF(ISNUMBER(INDEX(Temas!$E$6:$P$305,$C655,2*$D655-1)),INDEX(Temas!$E$6:$P$305,$C655,2*$D655-1),""),IF(ISNUMBER(INDEX(Avulsos!$B$6:$B$205,$C655)),INDEX(Avulsos!$B$6:$B$205,$C655),""))</f>
        <v/>
      </c>
      <c r="F655" s="114" t="str">
        <f aca="false">IF($E655="","",IF($B655="Tema",INDEX(Temas!$B$6:$B$305,$C655)&amp;"",INDEX(Avulsos!$C$6:$C$205,$C655)&amp;""))</f>
        <v/>
      </c>
      <c r="G655" s="114" t="str">
        <f aca="false">IF($E655="","",IF($B655="Tema",INDEX(Config!$C$6:$C$11,$D655),"Evento avulso"))</f>
        <v/>
      </c>
      <c r="H655" s="114" t="str">
        <f aca="false">IF($E655="","",IF($B655="Tema",INDEX(Config!$D$6:$D$11,$D655),IFERROR(INDEX(Config!$E$15:$E$19,MATCH($I655,Config!$C$15:$C$19,0)),"•")))</f>
        <v/>
      </c>
      <c r="I655" s="114" t="str">
        <f aca="false">IF($E655="","",IF($B655="Tema",INDEX(Config!$E$6:$E$11,$D655),IF(INDEX(Avulsos!$D$6:$D$205,$C655)&amp;""="","Outro",INDEX(Avulsos!$D$6:$D$205,$C655))))</f>
        <v/>
      </c>
      <c r="J655" s="114" t="str">
        <f aca="false">IF($E655="","",IF($B655="Tema",INDEX(Temas!$C$6:$C$305,$C655)&amp;"",INDEX(Avulsos!$E$6:$E$205,$C655)&amp;""))</f>
        <v/>
      </c>
      <c r="K655" s="114" t="str">
        <f aca="false">IF($E655="","",IF(IF($B655="Tema",INDEX(Temas!$E$6:$P$305,$C655,2*$D655),INDEX(Avulsos!$F$6:$F$205,$C655))&amp;""="","","✓"))</f>
        <v/>
      </c>
      <c r="L655" s="114" t="str">
        <f aca="true">IF($E655="","",IF($K655="✓","Concluído",IF($E655&lt;TODAY(),"Atrasado",IF($E655=TODAY(),"Hoje","Pendente"))))</f>
        <v/>
      </c>
      <c r="M655" s="114" t="str">
        <f aca="false">IF($E655="","",IF($K655="✓","✓ ","")&amp;IF(Config!$E$22="Sim",$H655&amp;" · ","")&amp;$F655)</f>
        <v/>
      </c>
      <c r="N655" s="114" t="str">
        <f aca="false">IF($E655="","",IFERROR(INDEX(Config!$D$15:$D$19,MATCH($I655,Config!$C$15:$C$19,0)),"OUT")&amp;IF($K655="✓","x",""))</f>
        <v/>
      </c>
      <c r="O655" s="114" t="str">
        <f aca="false">IF($E655="","",COUNTIF($E$5:$E655,$E655))</f>
        <v/>
      </c>
      <c r="P655" s="114" t="str">
        <f aca="false">IF($E655="","",$E655*100+$O655)</f>
        <v/>
      </c>
      <c r="Q655" s="114" t="str">
        <f aca="false">IF($L655="Atrasado",$E655*10000+$A655,"")</f>
        <v/>
      </c>
    </row>
    <row r="656" customFormat="false" ht="15" hidden="false" customHeight="false" outlineLevel="0" collapsed="false">
      <c r="A656" s="114" t="n">
        <f aca="false">ROW()-4</f>
        <v>652</v>
      </c>
      <c r="B656" s="114" t="str">
        <f aca="false">IF(A656&lt;=Config!$E$27*Config!$E$28,"Tema","Avulso")</f>
        <v>Tema</v>
      </c>
      <c r="C656" s="114" t="n">
        <f aca="false">IF(B656="Tema",INT((A656-1)/Config!$E$28)+1,A656-Config!$E$27*Config!$E$28)</f>
        <v>109</v>
      </c>
      <c r="D656" s="114" t="n">
        <f aca="false">IF(B656="Tema",MOD(A656-1,Config!$E$28)+1,"")</f>
        <v>4</v>
      </c>
      <c r="E656" s="115" t="str">
        <f aca="false">IF($B656="Tema",IF(ISNUMBER(INDEX(Temas!$E$6:$P$305,$C656,2*$D656-1)),INDEX(Temas!$E$6:$P$305,$C656,2*$D656-1),""),IF(ISNUMBER(INDEX(Avulsos!$B$6:$B$205,$C656)),INDEX(Avulsos!$B$6:$B$205,$C656),""))</f>
        <v/>
      </c>
      <c r="F656" s="114" t="str">
        <f aca="false">IF($E656="","",IF($B656="Tema",INDEX(Temas!$B$6:$B$305,$C656)&amp;"",INDEX(Avulsos!$C$6:$C$205,$C656)&amp;""))</f>
        <v/>
      </c>
      <c r="G656" s="114" t="str">
        <f aca="false">IF($E656="","",IF($B656="Tema",INDEX(Config!$C$6:$C$11,$D656),"Evento avulso"))</f>
        <v/>
      </c>
      <c r="H656" s="114" t="str">
        <f aca="false">IF($E656="","",IF($B656="Tema",INDEX(Config!$D$6:$D$11,$D656),IFERROR(INDEX(Config!$E$15:$E$19,MATCH($I656,Config!$C$15:$C$19,0)),"•")))</f>
        <v/>
      </c>
      <c r="I656" s="114" t="str">
        <f aca="false">IF($E656="","",IF($B656="Tema",INDEX(Config!$E$6:$E$11,$D656),IF(INDEX(Avulsos!$D$6:$D$205,$C656)&amp;""="","Outro",INDEX(Avulsos!$D$6:$D$205,$C656))))</f>
        <v/>
      </c>
      <c r="J656" s="114" t="str">
        <f aca="false">IF($E656="","",IF($B656="Tema",INDEX(Temas!$C$6:$C$305,$C656)&amp;"",INDEX(Avulsos!$E$6:$E$205,$C656)&amp;""))</f>
        <v/>
      </c>
      <c r="K656" s="114" t="str">
        <f aca="false">IF($E656="","",IF(IF($B656="Tema",INDEX(Temas!$E$6:$P$305,$C656,2*$D656),INDEX(Avulsos!$F$6:$F$205,$C656))&amp;""="","","✓"))</f>
        <v/>
      </c>
      <c r="L656" s="114" t="str">
        <f aca="true">IF($E656="","",IF($K656="✓","Concluído",IF($E656&lt;TODAY(),"Atrasado",IF($E656=TODAY(),"Hoje","Pendente"))))</f>
        <v/>
      </c>
      <c r="M656" s="114" t="str">
        <f aca="false">IF($E656="","",IF($K656="✓","✓ ","")&amp;IF(Config!$E$22="Sim",$H656&amp;" · ","")&amp;$F656)</f>
        <v/>
      </c>
      <c r="N656" s="114" t="str">
        <f aca="false">IF($E656="","",IFERROR(INDEX(Config!$D$15:$D$19,MATCH($I656,Config!$C$15:$C$19,0)),"OUT")&amp;IF($K656="✓","x",""))</f>
        <v/>
      </c>
      <c r="O656" s="114" t="str">
        <f aca="false">IF($E656="","",COUNTIF($E$5:$E656,$E656))</f>
        <v/>
      </c>
      <c r="P656" s="114" t="str">
        <f aca="false">IF($E656="","",$E656*100+$O656)</f>
        <v/>
      </c>
      <c r="Q656" s="114" t="str">
        <f aca="false">IF($L656="Atrasado",$E656*10000+$A656,"")</f>
        <v/>
      </c>
    </row>
    <row r="657" customFormat="false" ht="15" hidden="false" customHeight="false" outlineLevel="0" collapsed="false">
      <c r="A657" s="114" t="n">
        <f aca="false">ROW()-4</f>
        <v>653</v>
      </c>
      <c r="B657" s="114" t="str">
        <f aca="false">IF(A657&lt;=Config!$E$27*Config!$E$28,"Tema","Avulso")</f>
        <v>Tema</v>
      </c>
      <c r="C657" s="114" t="n">
        <f aca="false">IF(B657="Tema",INT((A657-1)/Config!$E$28)+1,A657-Config!$E$27*Config!$E$28)</f>
        <v>109</v>
      </c>
      <c r="D657" s="114" t="n">
        <f aca="false">IF(B657="Tema",MOD(A657-1,Config!$E$28)+1,"")</f>
        <v>5</v>
      </c>
      <c r="E657" s="115" t="str">
        <f aca="false">IF($B657="Tema",IF(ISNUMBER(INDEX(Temas!$E$6:$P$305,$C657,2*$D657-1)),INDEX(Temas!$E$6:$P$305,$C657,2*$D657-1),""),IF(ISNUMBER(INDEX(Avulsos!$B$6:$B$205,$C657)),INDEX(Avulsos!$B$6:$B$205,$C657),""))</f>
        <v/>
      </c>
      <c r="F657" s="114" t="str">
        <f aca="false">IF($E657="","",IF($B657="Tema",INDEX(Temas!$B$6:$B$305,$C657)&amp;"",INDEX(Avulsos!$C$6:$C$205,$C657)&amp;""))</f>
        <v/>
      </c>
      <c r="G657" s="114" t="str">
        <f aca="false">IF($E657="","",IF($B657="Tema",INDEX(Config!$C$6:$C$11,$D657),"Evento avulso"))</f>
        <v/>
      </c>
      <c r="H657" s="114" t="str">
        <f aca="false">IF($E657="","",IF($B657="Tema",INDEX(Config!$D$6:$D$11,$D657),IFERROR(INDEX(Config!$E$15:$E$19,MATCH($I657,Config!$C$15:$C$19,0)),"•")))</f>
        <v/>
      </c>
      <c r="I657" s="114" t="str">
        <f aca="false">IF($E657="","",IF($B657="Tema",INDEX(Config!$E$6:$E$11,$D657),IF(INDEX(Avulsos!$D$6:$D$205,$C657)&amp;""="","Outro",INDEX(Avulsos!$D$6:$D$205,$C657))))</f>
        <v/>
      </c>
      <c r="J657" s="114" t="str">
        <f aca="false">IF($E657="","",IF($B657="Tema",INDEX(Temas!$C$6:$C$305,$C657)&amp;"",INDEX(Avulsos!$E$6:$E$205,$C657)&amp;""))</f>
        <v/>
      </c>
      <c r="K657" s="114" t="str">
        <f aca="false">IF($E657="","",IF(IF($B657="Tema",INDEX(Temas!$E$6:$P$305,$C657,2*$D657),INDEX(Avulsos!$F$6:$F$205,$C657))&amp;""="","","✓"))</f>
        <v/>
      </c>
      <c r="L657" s="114" t="str">
        <f aca="true">IF($E657="","",IF($K657="✓","Concluído",IF($E657&lt;TODAY(),"Atrasado",IF($E657=TODAY(),"Hoje","Pendente"))))</f>
        <v/>
      </c>
      <c r="M657" s="114" t="str">
        <f aca="false">IF($E657="","",IF($K657="✓","✓ ","")&amp;IF(Config!$E$22="Sim",$H657&amp;" · ","")&amp;$F657)</f>
        <v/>
      </c>
      <c r="N657" s="114" t="str">
        <f aca="false">IF($E657="","",IFERROR(INDEX(Config!$D$15:$D$19,MATCH($I657,Config!$C$15:$C$19,0)),"OUT")&amp;IF($K657="✓","x",""))</f>
        <v/>
      </c>
      <c r="O657" s="114" t="str">
        <f aca="false">IF($E657="","",COUNTIF($E$5:$E657,$E657))</f>
        <v/>
      </c>
      <c r="P657" s="114" t="str">
        <f aca="false">IF($E657="","",$E657*100+$O657)</f>
        <v/>
      </c>
      <c r="Q657" s="114" t="str">
        <f aca="false">IF($L657="Atrasado",$E657*10000+$A657,"")</f>
        <v/>
      </c>
    </row>
    <row r="658" customFormat="false" ht="15" hidden="false" customHeight="false" outlineLevel="0" collapsed="false">
      <c r="A658" s="114" t="n">
        <f aca="false">ROW()-4</f>
        <v>654</v>
      </c>
      <c r="B658" s="114" t="str">
        <f aca="false">IF(A658&lt;=Config!$E$27*Config!$E$28,"Tema","Avulso")</f>
        <v>Tema</v>
      </c>
      <c r="C658" s="114" t="n">
        <f aca="false">IF(B658="Tema",INT((A658-1)/Config!$E$28)+1,A658-Config!$E$27*Config!$E$28)</f>
        <v>109</v>
      </c>
      <c r="D658" s="114" t="n">
        <f aca="false">IF(B658="Tema",MOD(A658-1,Config!$E$28)+1,"")</f>
        <v>6</v>
      </c>
      <c r="E658" s="115" t="str">
        <f aca="false">IF($B658="Tema",IF(ISNUMBER(INDEX(Temas!$E$6:$P$305,$C658,2*$D658-1)),INDEX(Temas!$E$6:$P$305,$C658,2*$D658-1),""),IF(ISNUMBER(INDEX(Avulsos!$B$6:$B$205,$C658)),INDEX(Avulsos!$B$6:$B$205,$C658),""))</f>
        <v/>
      </c>
      <c r="F658" s="114" t="str">
        <f aca="false">IF($E658="","",IF($B658="Tema",INDEX(Temas!$B$6:$B$305,$C658)&amp;"",INDEX(Avulsos!$C$6:$C$205,$C658)&amp;""))</f>
        <v/>
      </c>
      <c r="G658" s="114" t="str">
        <f aca="false">IF($E658="","",IF($B658="Tema",INDEX(Config!$C$6:$C$11,$D658),"Evento avulso"))</f>
        <v/>
      </c>
      <c r="H658" s="114" t="str">
        <f aca="false">IF($E658="","",IF($B658="Tema",INDEX(Config!$D$6:$D$11,$D658),IFERROR(INDEX(Config!$E$15:$E$19,MATCH($I658,Config!$C$15:$C$19,0)),"•")))</f>
        <v/>
      </c>
      <c r="I658" s="114" t="str">
        <f aca="false">IF($E658="","",IF($B658="Tema",INDEX(Config!$E$6:$E$11,$D658),IF(INDEX(Avulsos!$D$6:$D$205,$C658)&amp;""="","Outro",INDEX(Avulsos!$D$6:$D$205,$C658))))</f>
        <v/>
      </c>
      <c r="J658" s="114" t="str">
        <f aca="false">IF($E658="","",IF($B658="Tema",INDEX(Temas!$C$6:$C$305,$C658)&amp;"",INDEX(Avulsos!$E$6:$E$205,$C658)&amp;""))</f>
        <v/>
      </c>
      <c r="K658" s="114" t="str">
        <f aca="false">IF($E658="","",IF(IF($B658="Tema",INDEX(Temas!$E$6:$P$305,$C658,2*$D658),INDEX(Avulsos!$F$6:$F$205,$C658))&amp;""="","","✓"))</f>
        <v/>
      </c>
      <c r="L658" s="114" t="str">
        <f aca="true">IF($E658="","",IF($K658="✓","Concluído",IF($E658&lt;TODAY(),"Atrasado",IF($E658=TODAY(),"Hoje","Pendente"))))</f>
        <v/>
      </c>
      <c r="M658" s="114" t="str">
        <f aca="false">IF($E658="","",IF($K658="✓","✓ ","")&amp;IF(Config!$E$22="Sim",$H658&amp;" · ","")&amp;$F658)</f>
        <v/>
      </c>
      <c r="N658" s="114" t="str">
        <f aca="false">IF($E658="","",IFERROR(INDEX(Config!$D$15:$D$19,MATCH($I658,Config!$C$15:$C$19,0)),"OUT")&amp;IF($K658="✓","x",""))</f>
        <v/>
      </c>
      <c r="O658" s="114" t="str">
        <f aca="false">IF($E658="","",COUNTIF($E$5:$E658,$E658))</f>
        <v/>
      </c>
      <c r="P658" s="114" t="str">
        <f aca="false">IF($E658="","",$E658*100+$O658)</f>
        <v/>
      </c>
      <c r="Q658" s="114" t="str">
        <f aca="false">IF($L658="Atrasado",$E658*10000+$A658,"")</f>
        <v/>
      </c>
    </row>
    <row r="659" customFormat="false" ht="15" hidden="false" customHeight="false" outlineLevel="0" collapsed="false">
      <c r="A659" s="114" t="n">
        <f aca="false">ROW()-4</f>
        <v>655</v>
      </c>
      <c r="B659" s="114" t="str">
        <f aca="false">IF(A659&lt;=Config!$E$27*Config!$E$28,"Tema","Avulso")</f>
        <v>Tema</v>
      </c>
      <c r="C659" s="114" t="n">
        <f aca="false">IF(B659="Tema",INT((A659-1)/Config!$E$28)+1,A659-Config!$E$27*Config!$E$28)</f>
        <v>110</v>
      </c>
      <c r="D659" s="114" t="n">
        <f aca="false">IF(B659="Tema",MOD(A659-1,Config!$E$28)+1,"")</f>
        <v>1</v>
      </c>
      <c r="E659" s="115" t="str">
        <f aca="false">IF($B659="Tema",IF(ISNUMBER(INDEX(Temas!$E$6:$P$305,$C659,2*$D659-1)),INDEX(Temas!$E$6:$P$305,$C659,2*$D659-1),""),IF(ISNUMBER(INDEX(Avulsos!$B$6:$B$205,$C659)),INDEX(Avulsos!$B$6:$B$205,$C659),""))</f>
        <v/>
      </c>
      <c r="F659" s="114" t="str">
        <f aca="false">IF($E659="","",IF($B659="Tema",INDEX(Temas!$B$6:$B$305,$C659)&amp;"",INDEX(Avulsos!$C$6:$C$205,$C659)&amp;""))</f>
        <v/>
      </c>
      <c r="G659" s="114" t="str">
        <f aca="false">IF($E659="","",IF($B659="Tema",INDEX(Config!$C$6:$C$11,$D659),"Evento avulso"))</f>
        <v/>
      </c>
      <c r="H659" s="114" t="str">
        <f aca="false">IF($E659="","",IF($B659="Tema",INDEX(Config!$D$6:$D$11,$D659),IFERROR(INDEX(Config!$E$15:$E$19,MATCH($I659,Config!$C$15:$C$19,0)),"•")))</f>
        <v/>
      </c>
      <c r="I659" s="114" t="str">
        <f aca="false">IF($E659="","",IF($B659="Tema",INDEX(Config!$E$6:$E$11,$D659),IF(INDEX(Avulsos!$D$6:$D$205,$C659)&amp;""="","Outro",INDEX(Avulsos!$D$6:$D$205,$C659))))</f>
        <v/>
      </c>
      <c r="J659" s="114" t="str">
        <f aca="false">IF($E659="","",IF($B659="Tema",INDEX(Temas!$C$6:$C$305,$C659)&amp;"",INDEX(Avulsos!$E$6:$E$205,$C659)&amp;""))</f>
        <v/>
      </c>
      <c r="K659" s="114" t="str">
        <f aca="false">IF($E659="","",IF(IF($B659="Tema",INDEX(Temas!$E$6:$P$305,$C659,2*$D659),INDEX(Avulsos!$F$6:$F$205,$C659))&amp;""="","","✓"))</f>
        <v/>
      </c>
      <c r="L659" s="114" t="str">
        <f aca="true">IF($E659="","",IF($K659="✓","Concluído",IF($E659&lt;TODAY(),"Atrasado",IF($E659=TODAY(),"Hoje","Pendente"))))</f>
        <v/>
      </c>
      <c r="M659" s="114" t="str">
        <f aca="false">IF($E659="","",IF($K659="✓","✓ ","")&amp;IF(Config!$E$22="Sim",$H659&amp;" · ","")&amp;$F659)</f>
        <v/>
      </c>
      <c r="N659" s="114" t="str">
        <f aca="false">IF($E659="","",IFERROR(INDEX(Config!$D$15:$D$19,MATCH($I659,Config!$C$15:$C$19,0)),"OUT")&amp;IF($K659="✓","x",""))</f>
        <v/>
      </c>
      <c r="O659" s="114" t="str">
        <f aca="false">IF($E659="","",COUNTIF($E$5:$E659,$E659))</f>
        <v/>
      </c>
      <c r="P659" s="114" t="str">
        <f aca="false">IF($E659="","",$E659*100+$O659)</f>
        <v/>
      </c>
      <c r="Q659" s="114" t="str">
        <f aca="false">IF($L659="Atrasado",$E659*10000+$A659,"")</f>
        <v/>
      </c>
    </row>
    <row r="660" customFormat="false" ht="15" hidden="false" customHeight="false" outlineLevel="0" collapsed="false">
      <c r="A660" s="114" t="n">
        <f aca="false">ROW()-4</f>
        <v>656</v>
      </c>
      <c r="B660" s="114" t="str">
        <f aca="false">IF(A660&lt;=Config!$E$27*Config!$E$28,"Tema","Avulso")</f>
        <v>Tema</v>
      </c>
      <c r="C660" s="114" t="n">
        <f aca="false">IF(B660="Tema",INT((A660-1)/Config!$E$28)+1,A660-Config!$E$27*Config!$E$28)</f>
        <v>110</v>
      </c>
      <c r="D660" s="114" t="n">
        <f aca="false">IF(B660="Tema",MOD(A660-1,Config!$E$28)+1,"")</f>
        <v>2</v>
      </c>
      <c r="E660" s="115" t="str">
        <f aca="false">IF($B660="Tema",IF(ISNUMBER(INDEX(Temas!$E$6:$P$305,$C660,2*$D660-1)),INDEX(Temas!$E$6:$P$305,$C660,2*$D660-1),""),IF(ISNUMBER(INDEX(Avulsos!$B$6:$B$205,$C660)),INDEX(Avulsos!$B$6:$B$205,$C660),""))</f>
        <v/>
      </c>
      <c r="F660" s="114" t="str">
        <f aca="false">IF($E660="","",IF($B660="Tema",INDEX(Temas!$B$6:$B$305,$C660)&amp;"",INDEX(Avulsos!$C$6:$C$205,$C660)&amp;""))</f>
        <v/>
      </c>
      <c r="G660" s="114" t="str">
        <f aca="false">IF($E660="","",IF($B660="Tema",INDEX(Config!$C$6:$C$11,$D660),"Evento avulso"))</f>
        <v/>
      </c>
      <c r="H660" s="114" t="str">
        <f aca="false">IF($E660="","",IF($B660="Tema",INDEX(Config!$D$6:$D$11,$D660),IFERROR(INDEX(Config!$E$15:$E$19,MATCH($I660,Config!$C$15:$C$19,0)),"•")))</f>
        <v/>
      </c>
      <c r="I660" s="114" t="str">
        <f aca="false">IF($E660="","",IF($B660="Tema",INDEX(Config!$E$6:$E$11,$D660),IF(INDEX(Avulsos!$D$6:$D$205,$C660)&amp;""="","Outro",INDEX(Avulsos!$D$6:$D$205,$C660))))</f>
        <v/>
      </c>
      <c r="J660" s="114" t="str">
        <f aca="false">IF($E660="","",IF($B660="Tema",INDEX(Temas!$C$6:$C$305,$C660)&amp;"",INDEX(Avulsos!$E$6:$E$205,$C660)&amp;""))</f>
        <v/>
      </c>
      <c r="K660" s="114" t="str">
        <f aca="false">IF($E660="","",IF(IF($B660="Tema",INDEX(Temas!$E$6:$P$305,$C660,2*$D660),INDEX(Avulsos!$F$6:$F$205,$C660))&amp;""="","","✓"))</f>
        <v/>
      </c>
      <c r="L660" s="114" t="str">
        <f aca="true">IF($E660="","",IF($K660="✓","Concluído",IF($E660&lt;TODAY(),"Atrasado",IF($E660=TODAY(),"Hoje","Pendente"))))</f>
        <v/>
      </c>
      <c r="M660" s="114" t="str">
        <f aca="false">IF($E660="","",IF($K660="✓","✓ ","")&amp;IF(Config!$E$22="Sim",$H660&amp;" · ","")&amp;$F660)</f>
        <v/>
      </c>
      <c r="N660" s="114" t="str">
        <f aca="false">IF($E660="","",IFERROR(INDEX(Config!$D$15:$D$19,MATCH($I660,Config!$C$15:$C$19,0)),"OUT")&amp;IF($K660="✓","x",""))</f>
        <v/>
      </c>
      <c r="O660" s="114" t="str">
        <f aca="false">IF($E660="","",COUNTIF($E$5:$E660,$E660))</f>
        <v/>
      </c>
      <c r="P660" s="114" t="str">
        <f aca="false">IF($E660="","",$E660*100+$O660)</f>
        <v/>
      </c>
      <c r="Q660" s="114" t="str">
        <f aca="false">IF($L660="Atrasado",$E660*10000+$A660,"")</f>
        <v/>
      </c>
    </row>
    <row r="661" customFormat="false" ht="15" hidden="false" customHeight="false" outlineLevel="0" collapsed="false">
      <c r="A661" s="114" t="n">
        <f aca="false">ROW()-4</f>
        <v>657</v>
      </c>
      <c r="B661" s="114" t="str">
        <f aca="false">IF(A661&lt;=Config!$E$27*Config!$E$28,"Tema","Avulso")</f>
        <v>Tema</v>
      </c>
      <c r="C661" s="114" t="n">
        <f aca="false">IF(B661="Tema",INT((A661-1)/Config!$E$28)+1,A661-Config!$E$27*Config!$E$28)</f>
        <v>110</v>
      </c>
      <c r="D661" s="114" t="n">
        <f aca="false">IF(B661="Tema",MOD(A661-1,Config!$E$28)+1,"")</f>
        <v>3</v>
      </c>
      <c r="E661" s="115" t="str">
        <f aca="false">IF($B661="Tema",IF(ISNUMBER(INDEX(Temas!$E$6:$P$305,$C661,2*$D661-1)),INDEX(Temas!$E$6:$P$305,$C661,2*$D661-1),""),IF(ISNUMBER(INDEX(Avulsos!$B$6:$B$205,$C661)),INDEX(Avulsos!$B$6:$B$205,$C661),""))</f>
        <v/>
      </c>
      <c r="F661" s="114" t="str">
        <f aca="false">IF($E661="","",IF($B661="Tema",INDEX(Temas!$B$6:$B$305,$C661)&amp;"",INDEX(Avulsos!$C$6:$C$205,$C661)&amp;""))</f>
        <v/>
      </c>
      <c r="G661" s="114" t="str">
        <f aca="false">IF($E661="","",IF($B661="Tema",INDEX(Config!$C$6:$C$11,$D661),"Evento avulso"))</f>
        <v/>
      </c>
      <c r="H661" s="114" t="str">
        <f aca="false">IF($E661="","",IF($B661="Tema",INDEX(Config!$D$6:$D$11,$D661),IFERROR(INDEX(Config!$E$15:$E$19,MATCH($I661,Config!$C$15:$C$19,0)),"•")))</f>
        <v/>
      </c>
      <c r="I661" s="114" t="str">
        <f aca="false">IF($E661="","",IF($B661="Tema",INDEX(Config!$E$6:$E$11,$D661),IF(INDEX(Avulsos!$D$6:$D$205,$C661)&amp;""="","Outro",INDEX(Avulsos!$D$6:$D$205,$C661))))</f>
        <v/>
      </c>
      <c r="J661" s="114" t="str">
        <f aca="false">IF($E661="","",IF($B661="Tema",INDEX(Temas!$C$6:$C$305,$C661)&amp;"",INDEX(Avulsos!$E$6:$E$205,$C661)&amp;""))</f>
        <v/>
      </c>
      <c r="K661" s="114" t="str">
        <f aca="false">IF($E661="","",IF(IF($B661="Tema",INDEX(Temas!$E$6:$P$305,$C661,2*$D661),INDEX(Avulsos!$F$6:$F$205,$C661))&amp;""="","","✓"))</f>
        <v/>
      </c>
      <c r="L661" s="114" t="str">
        <f aca="true">IF($E661="","",IF($K661="✓","Concluído",IF($E661&lt;TODAY(),"Atrasado",IF($E661=TODAY(),"Hoje","Pendente"))))</f>
        <v/>
      </c>
      <c r="M661" s="114" t="str">
        <f aca="false">IF($E661="","",IF($K661="✓","✓ ","")&amp;IF(Config!$E$22="Sim",$H661&amp;" · ","")&amp;$F661)</f>
        <v/>
      </c>
      <c r="N661" s="114" t="str">
        <f aca="false">IF($E661="","",IFERROR(INDEX(Config!$D$15:$D$19,MATCH($I661,Config!$C$15:$C$19,0)),"OUT")&amp;IF($K661="✓","x",""))</f>
        <v/>
      </c>
      <c r="O661" s="114" t="str">
        <f aca="false">IF($E661="","",COUNTIF($E$5:$E661,$E661))</f>
        <v/>
      </c>
      <c r="P661" s="114" t="str">
        <f aca="false">IF($E661="","",$E661*100+$O661)</f>
        <v/>
      </c>
      <c r="Q661" s="114" t="str">
        <f aca="false">IF($L661="Atrasado",$E661*10000+$A661,"")</f>
        <v/>
      </c>
    </row>
    <row r="662" customFormat="false" ht="15" hidden="false" customHeight="false" outlineLevel="0" collapsed="false">
      <c r="A662" s="114" t="n">
        <f aca="false">ROW()-4</f>
        <v>658</v>
      </c>
      <c r="B662" s="114" t="str">
        <f aca="false">IF(A662&lt;=Config!$E$27*Config!$E$28,"Tema","Avulso")</f>
        <v>Tema</v>
      </c>
      <c r="C662" s="114" t="n">
        <f aca="false">IF(B662="Tema",INT((A662-1)/Config!$E$28)+1,A662-Config!$E$27*Config!$E$28)</f>
        <v>110</v>
      </c>
      <c r="D662" s="114" t="n">
        <f aca="false">IF(B662="Tema",MOD(A662-1,Config!$E$28)+1,"")</f>
        <v>4</v>
      </c>
      <c r="E662" s="115" t="str">
        <f aca="false">IF($B662="Tema",IF(ISNUMBER(INDEX(Temas!$E$6:$P$305,$C662,2*$D662-1)),INDEX(Temas!$E$6:$P$305,$C662,2*$D662-1),""),IF(ISNUMBER(INDEX(Avulsos!$B$6:$B$205,$C662)),INDEX(Avulsos!$B$6:$B$205,$C662),""))</f>
        <v/>
      </c>
      <c r="F662" s="114" t="str">
        <f aca="false">IF($E662="","",IF($B662="Tema",INDEX(Temas!$B$6:$B$305,$C662)&amp;"",INDEX(Avulsos!$C$6:$C$205,$C662)&amp;""))</f>
        <v/>
      </c>
      <c r="G662" s="114" t="str">
        <f aca="false">IF($E662="","",IF($B662="Tema",INDEX(Config!$C$6:$C$11,$D662),"Evento avulso"))</f>
        <v/>
      </c>
      <c r="H662" s="114" t="str">
        <f aca="false">IF($E662="","",IF($B662="Tema",INDEX(Config!$D$6:$D$11,$D662),IFERROR(INDEX(Config!$E$15:$E$19,MATCH($I662,Config!$C$15:$C$19,0)),"•")))</f>
        <v/>
      </c>
      <c r="I662" s="114" t="str">
        <f aca="false">IF($E662="","",IF($B662="Tema",INDEX(Config!$E$6:$E$11,$D662),IF(INDEX(Avulsos!$D$6:$D$205,$C662)&amp;""="","Outro",INDEX(Avulsos!$D$6:$D$205,$C662))))</f>
        <v/>
      </c>
      <c r="J662" s="114" t="str">
        <f aca="false">IF($E662="","",IF($B662="Tema",INDEX(Temas!$C$6:$C$305,$C662)&amp;"",INDEX(Avulsos!$E$6:$E$205,$C662)&amp;""))</f>
        <v/>
      </c>
      <c r="K662" s="114" t="str">
        <f aca="false">IF($E662="","",IF(IF($B662="Tema",INDEX(Temas!$E$6:$P$305,$C662,2*$D662),INDEX(Avulsos!$F$6:$F$205,$C662))&amp;""="","","✓"))</f>
        <v/>
      </c>
      <c r="L662" s="114" t="str">
        <f aca="true">IF($E662="","",IF($K662="✓","Concluído",IF($E662&lt;TODAY(),"Atrasado",IF($E662=TODAY(),"Hoje","Pendente"))))</f>
        <v/>
      </c>
      <c r="M662" s="114" t="str">
        <f aca="false">IF($E662="","",IF($K662="✓","✓ ","")&amp;IF(Config!$E$22="Sim",$H662&amp;" · ","")&amp;$F662)</f>
        <v/>
      </c>
      <c r="N662" s="114" t="str">
        <f aca="false">IF($E662="","",IFERROR(INDEX(Config!$D$15:$D$19,MATCH($I662,Config!$C$15:$C$19,0)),"OUT")&amp;IF($K662="✓","x",""))</f>
        <v/>
      </c>
      <c r="O662" s="114" t="str">
        <f aca="false">IF($E662="","",COUNTIF($E$5:$E662,$E662))</f>
        <v/>
      </c>
      <c r="P662" s="114" t="str">
        <f aca="false">IF($E662="","",$E662*100+$O662)</f>
        <v/>
      </c>
      <c r="Q662" s="114" t="str">
        <f aca="false">IF($L662="Atrasado",$E662*10000+$A662,"")</f>
        <v/>
      </c>
    </row>
    <row r="663" customFormat="false" ht="15" hidden="false" customHeight="false" outlineLevel="0" collapsed="false">
      <c r="A663" s="114" t="n">
        <f aca="false">ROW()-4</f>
        <v>659</v>
      </c>
      <c r="B663" s="114" t="str">
        <f aca="false">IF(A663&lt;=Config!$E$27*Config!$E$28,"Tema","Avulso")</f>
        <v>Tema</v>
      </c>
      <c r="C663" s="114" t="n">
        <f aca="false">IF(B663="Tema",INT((A663-1)/Config!$E$28)+1,A663-Config!$E$27*Config!$E$28)</f>
        <v>110</v>
      </c>
      <c r="D663" s="114" t="n">
        <f aca="false">IF(B663="Tema",MOD(A663-1,Config!$E$28)+1,"")</f>
        <v>5</v>
      </c>
      <c r="E663" s="115" t="str">
        <f aca="false">IF($B663="Tema",IF(ISNUMBER(INDEX(Temas!$E$6:$P$305,$C663,2*$D663-1)),INDEX(Temas!$E$6:$P$305,$C663,2*$D663-1),""),IF(ISNUMBER(INDEX(Avulsos!$B$6:$B$205,$C663)),INDEX(Avulsos!$B$6:$B$205,$C663),""))</f>
        <v/>
      </c>
      <c r="F663" s="114" t="str">
        <f aca="false">IF($E663="","",IF($B663="Tema",INDEX(Temas!$B$6:$B$305,$C663)&amp;"",INDEX(Avulsos!$C$6:$C$205,$C663)&amp;""))</f>
        <v/>
      </c>
      <c r="G663" s="114" t="str">
        <f aca="false">IF($E663="","",IF($B663="Tema",INDEX(Config!$C$6:$C$11,$D663),"Evento avulso"))</f>
        <v/>
      </c>
      <c r="H663" s="114" t="str">
        <f aca="false">IF($E663="","",IF($B663="Tema",INDEX(Config!$D$6:$D$11,$D663),IFERROR(INDEX(Config!$E$15:$E$19,MATCH($I663,Config!$C$15:$C$19,0)),"•")))</f>
        <v/>
      </c>
      <c r="I663" s="114" t="str">
        <f aca="false">IF($E663="","",IF($B663="Tema",INDEX(Config!$E$6:$E$11,$D663),IF(INDEX(Avulsos!$D$6:$D$205,$C663)&amp;""="","Outro",INDEX(Avulsos!$D$6:$D$205,$C663))))</f>
        <v/>
      </c>
      <c r="J663" s="114" t="str">
        <f aca="false">IF($E663="","",IF($B663="Tema",INDEX(Temas!$C$6:$C$305,$C663)&amp;"",INDEX(Avulsos!$E$6:$E$205,$C663)&amp;""))</f>
        <v/>
      </c>
      <c r="K663" s="114" t="str">
        <f aca="false">IF($E663="","",IF(IF($B663="Tema",INDEX(Temas!$E$6:$P$305,$C663,2*$D663),INDEX(Avulsos!$F$6:$F$205,$C663))&amp;""="","","✓"))</f>
        <v/>
      </c>
      <c r="L663" s="114" t="str">
        <f aca="true">IF($E663="","",IF($K663="✓","Concluído",IF($E663&lt;TODAY(),"Atrasado",IF($E663=TODAY(),"Hoje","Pendente"))))</f>
        <v/>
      </c>
      <c r="M663" s="114" t="str">
        <f aca="false">IF($E663="","",IF($K663="✓","✓ ","")&amp;IF(Config!$E$22="Sim",$H663&amp;" · ","")&amp;$F663)</f>
        <v/>
      </c>
      <c r="N663" s="114" t="str">
        <f aca="false">IF($E663="","",IFERROR(INDEX(Config!$D$15:$D$19,MATCH($I663,Config!$C$15:$C$19,0)),"OUT")&amp;IF($K663="✓","x",""))</f>
        <v/>
      </c>
      <c r="O663" s="114" t="str">
        <f aca="false">IF($E663="","",COUNTIF($E$5:$E663,$E663))</f>
        <v/>
      </c>
      <c r="P663" s="114" t="str">
        <f aca="false">IF($E663="","",$E663*100+$O663)</f>
        <v/>
      </c>
      <c r="Q663" s="114" t="str">
        <f aca="false">IF($L663="Atrasado",$E663*10000+$A663,"")</f>
        <v/>
      </c>
    </row>
    <row r="664" customFormat="false" ht="15" hidden="false" customHeight="false" outlineLevel="0" collapsed="false">
      <c r="A664" s="114" t="n">
        <f aca="false">ROW()-4</f>
        <v>660</v>
      </c>
      <c r="B664" s="114" t="str">
        <f aca="false">IF(A664&lt;=Config!$E$27*Config!$E$28,"Tema","Avulso")</f>
        <v>Tema</v>
      </c>
      <c r="C664" s="114" t="n">
        <f aca="false">IF(B664="Tema",INT((A664-1)/Config!$E$28)+1,A664-Config!$E$27*Config!$E$28)</f>
        <v>110</v>
      </c>
      <c r="D664" s="114" t="n">
        <f aca="false">IF(B664="Tema",MOD(A664-1,Config!$E$28)+1,"")</f>
        <v>6</v>
      </c>
      <c r="E664" s="115" t="str">
        <f aca="false">IF($B664="Tema",IF(ISNUMBER(INDEX(Temas!$E$6:$P$305,$C664,2*$D664-1)),INDEX(Temas!$E$6:$P$305,$C664,2*$D664-1),""),IF(ISNUMBER(INDEX(Avulsos!$B$6:$B$205,$C664)),INDEX(Avulsos!$B$6:$B$205,$C664),""))</f>
        <v/>
      </c>
      <c r="F664" s="114" t="str">
        <f aca="false">IF($E664="","",IF($B664="Tema",INDEX(Temas!$B$6:$B$305,$C664)&amp;"",INDEX(Avulsos!$C$6:$C$205,$C664)&amp;""))</f>
        <v/>
      </c>
      <c r="G664" s="114" t="str">
        <f aca="false">IF($E664="","",IF($B664="Tema",INDEX(Config!$C$6:$C$11,$D664),"Evento avulso"))</f>
        <v/>
      </c>
      <c r="H664" s="114" t="str">
        <f aca="false">IF($E664="","",IF($B664="Tema",INDEX(Config!$D$6:$D$11,$D664),IFERROR(INDEX(Config!$E$15:$E$19,MATCH($I664,Config!$C$15:$C$19,0)),"•")))</f>
        <v/>
      </c>
      <c r="I664" s="114" t="str">
        <f aca="false">IF($E664="","",IF($B664="Tema",INDEX(Config!$E$6:$E$11,$D664),IF(INDEX(Avulsos!$D$6:$D$205,$C664)&amp;""="","Outro",INDEX(Avulsos!$D$6:$D$205,$C664))))</f>
        <v/>
      </c>
      <c r="J664" s="114" t="str">
        <f aca="false">IF($E664="","",IF($B664="Tema",INDEX(Temas!$C$6:$C$305,$C664)&amp;"",INDEX(Avulsos!$E$6:$E$205,$C664)&amp;""))</f>
        <v/>
      </c>
      <c r="K664" s="114" t="str">
        <f aca="false">IF($E664="","",IF(IF($B664="Tema",INDEX(Temas!$E$6:$P$305,$C664,2*$D664),INDEX(Avulsos!$F$6:$F$205,$C664))&amp;""="","","✓"))</f>
        <v/>
      </c>
      <c r="L664" s="114" t="str">
        <f aca="true">IF($E664="","",IF($K664="✓","Concluído",IF($E664&lt;TODAY(),"Atrasado",IF($E664=TODAY(),"Hoje","Pendente"))))</f>
        <v/>
      </c>
      <c r="M664" s="114" t="str">
        <f aca="false">IF($E664="","",IF($K664="✓","✓ ","")&amp;IF(Config!$E$22="Sim",$H664&amp;" · ","")&amp;$F664)</f>
        <v/>
      </c>
      <c r="N664" s="114" t="str">
        <f aca="false">IF($E664="","",IFERROR(INDEX(Config!$D$15:$D$19,MATCH($I664,Config!$C$15:$C$19,0)),"OUT")&amp;IF($K664="✓","x",""))</f>
        <v/>
      </c>
      <c r="O664" s="114" t="str">
        <f aca="false">IF($E664="","",COUNTIF($E$5:$E664,$E664))</f>
        <v/>
      </c>
      <c r="P664" s="114" t="str">
        <f aca="false">IF($E664="","",$E664*100+$O664)</f>
        <v/>
      </c>
      <c r="Q664" s="114" t="str">
        <f aca="false">IF($L664="Atrasado",$E664*10000+$A664,"")</f>
        <v/>
      </c>
    </row>
    <row r="665" customFormat="false" ht="15" hidden="false" customHeight="false" outlineLevel="0" collapsed="false">
      <c r="A665" s="114" t="n">
        <f aca="false">ROW()-4</f>
        <v>661</v>
      </c>
      <c r="B665" s="114" t="str">
        <f aca="false">IF(A665&lt;=Config!$E$27*Config!$E$28,"Tema","Avulso")</f>
        <v>Tema</v>
      </c>
      <c r="C665" s="114" t="n">
        <f aca="false">IF(B665="Tema",INT((A665-1)/Config!$E$28)+1,A665-Config!$E$27*Config!$E$28)</f>
        <v>111</v>
      </c>
      <c r="D665" s="114" t="n">
        <f aca="false">IF(B665="Tema",MOD(A665-1,Config!$E$28)+1,"")</f>
        <v>1</v>
      </c>
      <c r="E665" s="115" t="str">
        <f aca="false">IF($B665="Tema",IF(ISNUMBER(INDEX(Temas!$E$6:$P$305,$C665,2*$D665-1)),INDEX(Temas!$E$6:$P$305,$C665,2*$D665-1),""),IF(ISNUMBER(INDEX(Avulsos!$B$6:$B$205,$C665)),INDEX(Avulsos!$B$6:$B$205,$C665),""))</f>
        <v/>
      </c>
      <c r="F665" s="114" t="str">
        <f aca="false">IF($E665="","",IF($B665="Tema",INDEX(Temas!$B$6:$B$305,$C665)&amp;"",INDEX(Avulsos!$C$6:$C$205,$C665)&amp;""))</f>
        <v/>
      </c>
      <c r="G665" s="114" t="str">
        <f aca="false">IF($E665="","",IF($B665="Tema",INDEX(Config!$C$6:$C$11,$D665),"Evento avulso"))</f>
        <v/>
      </c>
      <c r="H665" s="114" t="str">
        <f aca="false">IF($E665="","",IF($B665="Tema",INDEX(Config!$D$6:$D$11,$D665),IFERROR(INDEX(Config!$E$15:$E$19,MATCH($I665,Config!$C$15:$C$19,0)),"•")))</f>
        <v/>
      </c>
      <c r="I665" s="114" t="str">
        <f aca="false">IF($E665="","",IF($B665="Tema",INDEX(Config!$E$6:$E$11,$D665),IF(INDEX(Avulsos!$D$6:$D$205,$C665)&amp;""="","Outro",INDEX(Avulsos!$D$6:$D$205,$C665))))</f>
        <v/>
      </c>
      <c r="J665" s="114" t="str">
        <f aca="false">IF($E665="","",IF($B665="Tema",INDEX(Temas!$C$6:$C$305,$C665)&amp;"",INDEX(Avulsos!$E$6:$E$205,$C665)&amp;""))</f>
        <v/>
      </c>
      <c r="K665" s="114" t="str">
        <f aca="false">IF($E665="","",IF(IF($B665="Tema",INDEX(Temas!$E$6:$P$305,$C665,2*$D665),INDEX(Avulsos!$F$6:$F$205,$C665))&amp;""="","","✓"))</f>
        <v/>
      </c>
      <c r="L665" s="114" t="str">
        <f aca="true">IF($E665="","",IF($K665="✓","Concluído",IF($E665&lt;TODAY(),"Atrasado",IF($E665=TODAY(),"Hoje","Pendente"))))</f>
        <v/>
      </c>
      <c r="M665" s="114" t="str">
        <f aca="false">IF($E665="","",IF($K665="✓","✓ ","")&amp;IF(Config!$E$22="Sim",$H665&amp;" · ","")&amp;$F665)</f>
        <v/>
      </c>
      <c r="N665" s="114" t="str">
        <f aca="false">IF($E665="","",IFERROR(INDEX(Config!$D$15:$D$19,MATCH($I665,Config!$C$15:$C$19,0)),"OUT")&amp;IF($K665="✓","x",""))</f>
        <v/>
      </c>
      <c r="O665" s="114" t="str">
        <f aca="false">IF($E665="","",COUNTIF($E$5:$E665,$E665))</f>
        <v/>
      </c>
      <c r="P665" s="114" t="str">
        <f aca="false">IF($E665="","",$E665*100+$O665)</f>
        <v/>
      </c>
      <c r="Q665" s="114" t="str">
        <f aca="false">IF($L665="Atrasado",$E665*10000+$A665,"")</f>
        <v/>
      </c>
    </row>
    <row r="666" customFormat="false" ht="15" hidden="false" customHeight="false" outlineLevel="0" collapsed="false">
      <c r="A666" s="114" t="n">
        <f aca="false">ROW()-4</f>
        <v>662</v>
      </c>
      <c r="B666" s="114" t="str">
        <f aca="false">IF(A666&lt;=Config!$E$27*Config!$E$28,"Tema","Avulso")</f>
        <v>Tema</v>
      </c>
      <c r="C666" s="114" t="n">
        <f aca="false">IF(B666="Tema",INT((A666-1)/Config!$E$28)+1,A666-Config!$E$27*Config!$E$28)</f>
        <v>111</v>
      </c>
      <c r="D666" s="114" t="n">
        <f aca="false">IF(B666="Tema",MOD(A666-1,Config!$E$28)+1,"")</f>
        <v>2</v>
      </c>
      <c r="E666" s="115" t="str">
        <f aca="false">IF($B666="Tema",IF(ISNUMBER(INDEX(Temas!$E$6:$P$305,$C666,2*$D666-1)),INDEX(Temas!$E$6:$P$305,$C666,2*$D666-1),""),IF(ISNUMBER(INDEX(Avulsos!$B$6:$B$205,$C666)),INDEX(Avulsos!$B$6:$B$205,$C666),""))</f>
        <v/>
      </c>
      <c r="F666" s="114" t="str">
        <f aca="false">IF($E666="","",IF($B666="Tema",INDEX(Temas!$B$6:$B$305,$C666)&amp;"",INDEX(Avulsos!$C$6:$C$205,$C666)&amp;""))</f>
        <v/>
      </c>
      <c r="G666" s="114" t="str">
        <f aca="false">IF($E666="","",IF($B666="Tema",INDEX(Config!$C$6:$C$11,$D666),"Evento avulso"))</f>
        <v/>
      </c>
      <c r="H666" s="114" t="str">
        <f aca="false">IF($E666="","",IF($B666="Tema",INDEX(Config!$D$6:$D$11,$D666),IFERROR(INDEX(Config!$E$15:$E$19,MATCH($I666,Config!$C$15:$C$19,0)),"•")))</f>
        <v/>
      </c>
      <c r="I666" s="114" t="str">
        <f aca="false">IF($E666="","",IF($B666="Tema",INDEX(Config!$E$6:$E$11,$D666),IF(INDEX(Avulsos!$D$6:$D$205,$C666)&amp;""="","Outro",INDEX(Avulsos!$D$6:$D$205,$C666))))</f>
        <v/>
      </c>
      <c r="J666" s="114" t="str">
        <f aca="false">IF($E666="","",IF($B666="Tema",INDEX(Temas!$C$6:$C$305,$C666)&amp;"",INDEX(Avulsos!$E$6:$E$205,$C666)&amp;""))</f>
        <v/>
      </c>
      <c r="K666" s="114" t="str">
        <f aca="false">IF($E666="","",IF(IF($B666="Tema",INDEX(Temas!$E$6:$P$305,$C666,2*$D666),INDEX(Avulsos!$F$6:$F$205,$C666))&amp;""="","","✓"))</f>
        <v/>
      </c>
      <c r="L666" s="114" t="str">
        <f aca="true">IF($E666="","",IF($K666="✓","Concluído",IF($E666&lt;TODAY(),"Atrasado",IF($E666=TODAY(),"Hoje","Pendente"))))</f>
        <v/>
      </c>
      <c r="M666" s="114" t="str">
        <f aca="false">IF($E666="","",IF($K666="✓","✓ ","")&amp;IF(Config!$E$22="Sim",$H666&amp;" · ","")&amp;$F666)</f>
        <v/>
      </c>
      <c r="N666" s="114" t="str">
        <f aca="false">IF($E666="","",IFERROR(INDEX(Config!$D$15:$D$19,MATCH($I666,Config!$C$15:$C$19,0)),"OUT")&amp;IF($K666="✓","x",""))</f>
        <v/>
      </c>
      <c r="O666" s="114" t="str">
        <f aca="false">IF($E666="","",COUNTIF($E$5:$E666,$E666))</f>
        <v/>
      </c>
      <c r="P666" s="114" t="str">
        <f aca="false">IF($E666="","",$E666*100+$O666)</f>
        <v/>
      </c>
      <c r="Q666" s="114" t="str">
        <f aca="false">IF($L666="Atrasado",$E666*10000+$A666,"")</f>
        <v/>
      </c>
    </row>
    <row r="667" customFormat="false" ht="15" hidden="false" customHeight="false" outlineLevel="0" collapsed="false">
      <c r="A667" s="114" t="n">
        <f aca="false">ROW()-4</f>
        <v>663</v>
      </c>
      <c r="B667" s="114" t="str">
        <f aca="false">IF(A667&lt;=Config!$E$27*Config!$E$28,"Tema","Avulso")</f>
        <v>Tema</v>
      </c>
      <c r="C667" s="114" t="n">
        <f aca="false">IF(B667="Tema",INT((A667-1)/Config!$E$28)+1,A667-Config!$E$27*Config!$E$28)</f>
        <v>111</v>
      </c>
      <c r="D667" s="114" t="n">
        <f aca="false">IF(B667="Tema",MOD(A667-1,Config!$E$28)+1,"")</f>
        <v>3</v>
      </c>
      <c r="E667" s="115" t="str">
        <f aca="false">IF($B667="Tema",IF(ISNUMBER(INDEX(Temas!$E$6:$P$305,$C667,2*$D667-1)),INDEX(Temas!$E$6:$P$305,$C667,2*$D667-1),""),IF(ISNUMBER(INDEX(Avulsos!$B$6:$B$205,$C667)),INDEX(Avulsos!$B$6:$B$205,$C667),""))</f>
        <v/>
      </c>
      <c r="F667" s="114" t="str">
        <f aca="false">IF($E667="","",IF($B667="Tema",INDEX(Temas!$B$6:$B$305,$C667)&amp;"",INDEX(Avulsos!$C$6:$C$205,$C667)&amp;""))</f>
        <v/>
      </c>
      <c r="G667" s="114" t="str">
        <f aca="false">IF($E667="","",IF($B667="Tema",INDEX(Config!$C$6:$C$11,$D667),"Evento avulso"))</f>
        <v/>
      </c>
      <c r="H667" s="114" t="str">
        <f aca="false">IF($E667="","",IF($B667="Tema",INDEX(Config!$D$6:$D$11,$D667),IFERROR(INDEX(Config!$E$15:$E$19,MATCH($I667,Config!$C$15:$C$19,0)),"•")))</f>
        <v/>
      </c>
      <c r="I667" s="114" t="str">
        <f aca="false">IF($E667="","",IF($B667="Tema",INDEX(Config!$E$6:$E$11,$D667),IF(INDEX(Avulsos!$D$6:$D$205,$C667)&amp;""="","Outro",INDEX(Avulsos!$D$6:$D$205,$C667))))</f>
        <v/>
      </c>
      <c r="J667" s="114" t="str">
        <f aca="false">IF($E667="","",IF($B667="Tema",INDEX(Temas!$C$6:$C$305,$C667)&amp;"",INDEX(Avulsos!$E$6:$E$205,$C667)&amp;""))</f>
        <v/>
      </c>
      <c r="K667" s="114" t="str">
        <f aca="false">IF($E667="","",IF(IF($B667="Tema",INDEX(Temas!$E$6:$P$305,$C667,2*$D667),INDEX(Avulsos!$F$6:$F$205,$C667))&amp;""="","","✓"))</f>
        <v/>
      </c>
      <c r="L667" s="114" t="str">
        <f aca="true">IF($E667="","",IF($K667="✓","Concluído",IF($E667&lt;TODAY(),"Atrasado",IF($E667=TODAY(),"Hoje","Pendente"))))</f>
        <v/>
      </c>
      <c r="M667" s="114" t="str">
        <f aca="false">IF($E667="","",IF($K667="✓","✓ ","")&amp;IF(Config!$E$22="Sim",$H667&amp;" · ","")&amp;$F667)</f>
        <v/>
      </c>
      <c r="N667" s="114" t="str">
        <f aca="false">IF($E667="","",IFERROR(INDEX(Config!$D$15:$D$19,MATCH($I667,Config!$C$15:$C$19,0)),"OUT")&amp;IF($K667="✓","x",""))</f>
        <v/>
      </c>
      <c r="O667" s="114" t="str">
        <f aca="false">IF($E667="","",COUNTIF($E$5:$E667,$E667))</f>
        <v/>
      </c>
      <c r="P667" s="114" t="str">
        <f aca="false">IF($E667="","",$E667*100+$O667)</f>
        <v/>
      </c>
      <c r="Q667" s="114" t="str">
        <f aca="false">IF($L667="Atrasado",$E667*10000+$A667,"")</f>
        <v/>
      </c>
    </row>
    <row r="668" customFormat="false" ht="15" hidden="false" customHeight="false" outlineLevel="0" collapsed="false">
      <c r="A668" s="114" t="n">
        <f aca="false">ROW()-4</f>
        <v>664</v>
      </c>
      <c r="B668" s="114" t="str">
        <f aca="false">IF(A668&lt;=Config!$E$27*Config!$E$28,"Tema","Avulso")</f>
        <v>Tema</v>
      </c>
      <c r="C668" s="114" t="n">
        <f aca="false">IF(B668="Tema",INT((A668-1)/Config!$E$28)+1,A668-Config!$E$27*Config!$E$28)</f>
        <v>111</v>
      </c>
      <c r="D668" s="114" t="n">
        <f aca="false">IF(B668="Tema",MOD(A668-1,Config!$E$28)+1,"")</f>
        <v>4</v>
      </c>
      <c r="E668" s="115" t="str">
        <f aca="false">IF($B668="Tema",IF(ISNUMBER(INDEX(Temas!$E$6:$P$305,$C668,2*$D668-1)),INDEX(Temas!$E$6:$P$305,$C668,2*$D668-1),""),IF(ISNUMBER(INDEX(Avulsos!$B$6:$B$205,$C668)),INDEX(Avulsos!$B$6:$B$205,$C668),""))</f>
        <v/>
      </c>
      <c r="F668" s="114" t="str">
        <f aca="false">IF($E668="","",IF($B668="Tema",INDEX(Temas!$B$6:$B$305,$C668)&amp;"",INDEX(Avulsos!$C$6:$C$205,$C668)&amp;""))</f>
        <v/>
      </c>
      <c r="G668" s="114" t="str">
        <f aca="false">IF($E668="","",IF($B668="Tema",INDEX(Config!$C$6:$C$11,$D668),"Evento avulso"))</f>
        <v/>
      </c>
      <c r="H668" s="114" t="str">
        <f aca="false">IF($E668="","",IF($B668="Tema",INDEX(Config!$D$6:$D$11,$D668),IFERROR(INDEX(Config!$E$15:$E$19,MATCH($I668,Config!$C$15:$C$19,0)),"•")))</f>
        <v/>
      </c>
      <c r="I668" s="114" t="str">
        <f aca="false">IF($E668="","",IF($B668="Tema",INDEX(Config!$E$6:$E$11,$D668),IF(INDEX(Avulsos!$D$6:$D$205,$C668)&amp;""="","Outro",INDEX(Avulsos!$D$6:$D$205,$C668))))</f>
        <v/>
      </c>
      <c r="J668" s="114" t="str">
        <f aca="false">IF($E668="","",IF($B668="Tema",INDEX(Temas!$C$6:$C$305,$C668)&amp;"",INDEX(Avulsos!$E$6:$E$205,$C668)&amp;""))</f>
        <v/>
      </c>
      <c r="K668" s="114" t="str">
        <f aca="false">IF($E668="","",IF(IF($B668="Tema",INDEX(Temas!$E$6:$P$305,$C668,2*$D668),INDEX(Avulsos!$F$6:$F$205,$C668))&amp;""="","","✓"))</f>
        <v/>
      </c>
      <c r="L668" s="114" t="str">
        <f aca="true">IF($E668="","",IF($K668="✓","Concluído",IF($E668&lt;TODAY(),"Atrasado",IF($E668=TODAY(),"Hoje","Pendente"))))</f>
        <v/>
      </c>
      <c r="M668" s="114" t="str">
        <f aca="false">IF($E668="","",IF($K668="✓","✓ ","")&amp;IF(Config!$E$22="Sim",$H668&amp;" · ","")&amp;$F668)</f>
        <v/>
      </c>
      <c r="N668" s="114" t="str">
        <f aca="false">IF($E668="","",IFERROR(INDEX(Config!$D$15:$D$19,MATCH($I668,Config!$C$15:$C$19,0)),"OUT")&amp;IF($K668="✓","x",""))</f>
        <v/>
      </c>
      <c r="O668" s="114" t="str">
        <f aca="false">IF($E668="","",COUNTIF($E$5:$E668,$E668))</f>
        <v/>
      </c>
      <c r="P668" s="114" t="str">
        <f aca="false">IF($E668="","",$E668*100+$O668)</f>
        <v/>
      </c>
      <c r="Q668" s="114" t="str">
        <f aca="false">IF($L668="Atrasado",$E668*10000+$A668,"")</f>
        <v/>
      </c>
    </row>
    <row r="669" customFormat="false" ht="15" hidden="false" customHeight="false" outlineLevel="0" collapsed="false">
      <c r="A669" s="114" t="n">
        <f aca="false">ROW()-4</f>
        <v>665</v>
      </c>
      <c r="B669" s="114" t="str">
        <f aca="false">IF(A669&lt;=Config!$E$27*Config!$E$28,"Tema","Avulso")</f>
        <v>Tema</v>
      </c>
      <c r="C669" s="114" t="n">
        <f aca="false">IF(B669="Tema",INT((A669-1)/Config!$E$28)+1,A669-Config!$E$27*Config!$E$28)</f>
        <v>111</v>
      </c>
      <c r="D669" s="114" t="n">
        <f aca="false">IF(B669="Tema",MOD(A669-1,Config!$E$28)+1,"")</f>
        <v>5</v>
      </c>
      <c r="E669" s="115" t="str">
        <f aca="false">IF($B669="Tema",IF(ISNUMBER(INDEX(Temas!$E$6:$P$305,$C669,2*$D669-1)),INDEX(Temas!$E$6:$P$305,$C669,2*$D669-1),""),IF(ISNUMBER(INDEX(Avulsos!$B$6:$B$205,$C669)),INDEX(Avulsos!$B$6:$B$205,$C669),""))</f>
        <v/>
      </c>
      <c r="F669" s="114" t="str">
        <f aca="false">IF($E669="","",IF($B669="Tema",INDEX(Temas!$B$6:$B$305,$C669)&amp;"",INDEX(Avulsos!$C$6:$C$205,$C669)&amp;""))</f>
        <v/>
      </c>
      <c r="G669" s="114" t="str">
        <f aca="false">IF($E669="","",IF($B669="Tema",INDEX(Config!$C$6:$C$11,$D669),"Evento avulso"))</f>
        <v/>
      </c>
      <c r="H669" s="114" t="str">
        <f aca="false">IF($E669="","",IF($B669="Tema",INDEX(Config!$D$6:$D$11,$D669),IFERROR(INDEX(Config!$E$15:$E$19,MATCH($I669,Config!$C$15:$C$19,0)),"•")))</f>
        <v/>
      </c>
      <c r="I669" s="114" t="str">
        <f aca="false">IF($E669="","",IF($B669="Tema",INDEX(Config!$E$6:$E$11,$D669),IF(INDEX(Avulsos!$D$6:$D$205,$C669)&amp;""="","Outro",INDEX(Avulsos!$D$6:$D$205,$C669))))</f>
        <v/>
      </c>
      <c r="J669" s="114" t="str">
        <f aca="false">IF($E669="","",IF($B669="Tema",INDEX(Temas!$C$6:$C$305,$C669)&amp;"",INDEX(Avulsos!$E$6:$E$205,$C669)&amp;""))</f>
        <v/>
      </c>
      <c r="K669" s="114" t="str">
        <f aca="false">IF($E669="","",IF(IF($B669="Tema",INDEX(Temas!$E$6:$P$305,$C669,2*$D669),INDEX(Avulsos!$F$6:$F$205,$C669))&amp;""="","","✓"))</f>
        <v/>
      </c>
      <c r="L669" s="114" t="str">
        <f aca="true">IF($E669="","",IF($K669="✓","Concluído",IF($E669&lt;TODAY(),"Atrasado",IF($E669=TODAY(),"Hoje","Pendente"))))</f>
        <v/>
      </c>
      <c r="M669" s="114" t="str">
        <f aca="false">IF($E669="","",IF($K669="✓","✓ ","")&amp;IF(Config!$E$22="Sim",$H669&amp;" · ","")&amp;$F669)</f>
        <v/>
      </c>
      <c r="N669" s="114" t="str">
        <f aca="false">IF($E669="","",IFERROR(INDEX(Config!$D$15:$D$19,MATCH($I669,Config!$C$15:$C$19,0)),"OUT")&amp;IF($K669="✓","x",""))</f>
        <v/>
      </c>
      <c r="O669" s="114" t="str">
        <f aca="false">IF($E669="","",COUNTIF($E$5:$E669,$E669))</f>
        <v/>
      </c>
      <c r="P669" s="114" t="str">
        <f aca="false">IF($E669="","",$E669*100+$O669)</f>
        <v/>
      </c>
      <c r="Q669" s="114" t="str">
        <f aca="false">IF($L669="Atrasado",$E669*10000+$A669,"")</f>
        <v/>
      </c>
    </row>
    <row r="670" customFormat="false" ht="15" hidden="false" customHeight="false" outlineLevel="0" collapsed="false">
      <c r="A670" s="114" t="n">
        <f aca="false">ROW()-4</f>
        <v>666</v>
      </c>
      <c r="B670" s="114" t="str">
        <f aca="false">IF(A670&lt;=Config!$E$27*Config!$E$28,"Tema","Avulso")</f>
        <v>Tema</v>
      </c>
      <c r="C670" s="114" t="n">
        <f aca="false">IF(B670="Tema",INT((A670-1)/Config!$E$28)+1,A670-Config!$E$27*Config!$E$28)</f>
        <v>111</v>
      </c>
      <c r="D670" s="114" t="n">
        <f aca="false">IF(B670="Tema",MOD(A670-1,Config!$E$28)+1,"")</f>
        <v>6</v>
      </c>
      <c r="E670" s="115" t="str">
        <f aca="false">IF($B670="Tema",IF(ISNUMBER(INDEX(Temas!$E$6:$P$305,$C670,2*$D670-1)),INDEX(Temas!$E$6:$P$305,$C670,2*$D670-1),""),IF(ISNUMBER(INDEX(Avulsos!$B$6:$B$205,$C670)),INDEX(Avulsos!$B$6:$B$205,$C670),""))</f>
        <v/>
      </c>
      <c r="F670" s="114" t="str">
        <f aca="false">IF($E670="","",IF($B670="Tema",INDEX(Temas!$B$6:$B$305,$C670)&amp;"",INDEX(Avulsos!$C$6:$C$205,$C670)&amp;""))</f>
        <v/>
      </c>
      <c r="G670" s="114" t="str">
        <f aca="false">IF($E670="","",IF($B670="Tema",INDEX(Config!$C$6:$C$11,$D670),"Evento avulso"))</f>
        <v/>
      </c>
      <c r="H670" s="114" t="str">
        <f aca="false">IF($E670="","",IF($B670="Tema",INDEX(Config!$D$6:$D$11,$D670),IFERROR(INDEX(Config!$E$15:$E$19,MATCH($I670,Config!$C$15:$C$19,0)),"•")))</f>
        <v/>
      </c>
      <c r="I670" s="114" t="str">
        <f aca="false">IF($E670="","",IF($B670="Tema",INDEX(Config!$E$6:$E$11,$D670),IF(INDEX(Avulsos!$D$6:$D$205,$C670)&amp;""="","Outro",INDEX(Avulsos!$D$6:$D$205,$C670))))</f>
        <v/>
      </c>
      <c r="J670" s="114" t="str">
        <f aca="false">IF($E670="","",IF($B670="Tema",INDEX(Temas!$C$6:$C$305,$C670)&amp;"",INDEX(Avulsos!$E$6:$E$205,$C670)&amp;""))</f>
        <v/>
      </c>
      <c r="K670" s="114" t="str">
        <f aca="false">IF($E670="","",IF(IF($B670="Tema",INDEX(Temas!$E$6:$P$305,$C670,2*$D670),INDEX(Avulsos!$F$6:$F$205,$C670))&amp;""="","","✓"))</f>
        <v/>
      </c>
      <c r="L670" s="114" t="str">
        <f aca="true">IF($E670="","",IF($K670="✓","Concluído",IF($E670&lt;TODAY(),"Atrasado",IF($E670=TODAY(),"Hoje","Pendente"))))</f>
        <v/>
      </c>
      <c r="M670" s="114" t="str">
        <f aca="false">IF($E670="","",IF($K670="✓","✓ ","")&amp;IF(Config!$E$22="Sim",$H670&amp;" · ","")&amp;$F670)</f>
        <v/>
      </c>
      <c r="N670" s="114" t="str">
        <f aca="false">IF($E670="","",IFERROR(INDEX(Config!$D$15:$D$19,MATCH($I670,Config!$C$15:$C$19,0)),"OUT")&amp;IF($K670="✓","x",""))</f>
        <v/>
      </c>
      <c r="O670" s="114" t="str">
        <f aca="false">IF($E670="","",COUNTIF($E$5:$E670,$E670))</f>
        <v/>
      </c>
      <c r="P670" s="114" t="str">
        <f aca="false">IF($E670="","",$E670*100+$O670)</f>
        <v/>
      </c>
      <c r="Q670" s="114" t="str">
        <f aca="false">IF($L670="Atrasado",$E670*10000+$A670,"")</f>
        <v/>
      </c>
    </row>
    <row r="671" customFormat="false" ht="15" hidden="false" customHeight="false" outlineLevel="0" collapsed="false">
      <c r="A671" s="114" t="n">
        <f aca="false">ROW()-4</f>
        <v>667</v>
      </c>
      <c r="B671" s="114" t="str">
        <f aca="false">IF(A671&lt;=Config!$E$27*Config!$E$28,"Tema","Avulso")</f>
        <v>Tema</v>
      </c>
      <c r="C671" s="114" t="n">
        <f aca="false">IF(B671="Tema",INT((A671-1)/Config!$E$28)+1,A671-Config!$E$27*Config!$E$28)</f>
        <v>112</v>
      </c>
      <c r="D671" s="114" t="n">
        <f aca="false">IF(B671="Tema",MOD(A671-1,Config!$E$28)+1,"")</f>
        <v>1</v>
      </c>
      <c r="E671" s="115" t="str">
        <f aca="false">IF($B671="Tema",IF(ISNUMBER(INDEX(Temas!$E$6:$P$305,$C671,2*$D671-1)),INDEX(Temas!$E$6:$P$305,$C671,2*$D671-1),""),IF(ISNUMBER(INDEX(Avulsos!$B$6:$B$205,$C671)),INDEX(Avulsos!$B$6:$B$205,$C671),""))</f>
        <v/>
      </c>
      <c r="F671" s="114" t="str">
        <f aca="false">IF($E671="","",IF($B671="Tema",INDEX(Temas!$B$6:$B$305,$C671)&amp;"",INDEX(Avulsos!$C$6:$C$205,$C671)&amp;""))</f>
        <v/>
      </c>
      <c r="G671" s="114" t="str">
        <f aca="false">IF($E671="","",IF($B671="Tema",INDEX(Config!$C$6:$C$11,$D671),"Evento avulso"))</f>
        <v/>
      </c>
      <c r="H671" s="114" t="str">
        <f aca="false">IF($E671="","",IF($B671="Tema",INDEX(Config!$D$6:$D$11,$D671),IFERROR(INDEX(Config!$E$15:$E$19,MATCH($I671,Config!$C$15:$C$19,0)),"•")))</f>
        <v/>
      </c>
      <c r="I671" s="114" t="str">
        <f aca="false">IF($E671="","",IF($B671="Tema",INDEX(Config!$E$6:$E$11,$D671),IF(INDEX(Avulsos!$D$6:$D$205,$C671)&amp;""="","Outro",INDEX(Avulsos!$D$6:$D$205,$C671))))</f>
        <v/>
      </c>
      <c r="J671" s="114" t="str">
        <f aca="false">IF($E671="","",IF($B671="Tema",INDEX(Temas!$C$6:$C$305,$C671)&amp;"",INDEX(Avulsos!$E$6:$E$205,$C671)&amp;""))</f>
        <v/>
      </c>
      <c r="K671" s="114" t="str">
        <f aca="false">IF($E671="","",IF(IF($B671="Tema",INDEX(Temas!$E$6:$P$305,$C671,2*$D671),INDEX(Avulsos!$F$6:$F$205,$C671))&amp;""="","","✓"))</f>
        <v/>
      </c>
      <c r="L671" s="114" t="str">
        <f aca="true">IF($E671="","",IF($K671="✓","Concluído",IF($E671&lt;TODAY(),"Atrasado",IF($E671=TODAY(),"Hoje","Pendente"))))</f>
        <v/>
      </c>
      <c r="M671" s="114" t="str">
        <f aca="false">IF($E671="","",IF($K671="✓","✓ ","")&amp;IF(Config!$E$22="Sim",$H671&amp;" · ","")&amp;$F671)</f>
        <v/>
      </c>
      <c r="N671" s="114" t="str">
        <f aca="false">IF($E671="","",IFERROR(INDEX(Config!$D$15:$D$19,MATCH($I671,Config!$C$15:$C$19,0)),"OUT")&amp;IF($K671="✓","x",""))</f>
        <v/>
      </c>
      <c r="O671" s="114" t="str">
        <f aca="false">IF($E671="","",COUNTIF($E$5:$E671,$E671))</f>
        <v/>
      </c>
      <c r="P671" s="114" t="str">
        <f aca="false">IF($E671="","",$E671*100+$O671)</f>
        <v/>
      </c>
      <c r="Q671" s="114" t="str">
        <f aca="false">IF($L671="Atrasado",$E671*10000+$A671,"")</f>
        <v/>
      </c>
    </row>
    <row r="672" customFormat="false" ht="15" hidden="false" customHeight="false" outlineLevel="0" collapsed="false">
      <c r="A672" s="114" t="n">
        <f aca="false">ROW()-4</f>
        <v>668</v>
      </c>
      <c r="B672" s="114" t="str">
        <f aca="false">IF(A672&lt;=Config!$E$27*Config!$E$28,"Tema","Avulso")</f>
        <v>Tema</v>
      </c>
      <c r="C672" s="114" t="n">
        <f aca="false">IF(B672="Tema",INT((A672-1)/Config!$E$28)+1,A672-Config!$E$27*Config!$E$28)</f>
        <v>112</v>
      </c>
      <c r="D672" s="114" t="n">
        <f aca="false">IF(B672="Tema",MOD(A672-1,Config!$E$28)+1,"")</f>
        <v>2</v>
      </c>
      <c r="E672" s="115" t="str">
        <f aca="false">IF($B672="Tema",IF(ISNUMBER(INDEX(Temas!$E$6:$P$305,$C672,2*$D672-1)),INDEX(Temas!$E$6:$P$305,$C672,2*$D672-1),""),IF(ISNUMBER(INDEX(Avulsos!$B$6:$B$205,$C672)),INDEX(Avulsos!$B$6:$B$205,$C672),""))</f>
        <v/>
      </c>
      <c r="F672" s="114" t="str">
        <f aca="false">IF($E672="","",IF($B672="Tema",INDEX(Temas!$B$6:$B$305,$C672)&amp;"",INDEX(Avulsos!$C$6:$C$205,$C672)&amp;""))</f>
        <v/>
      </c>
      <c r="G672" s="114" t="str">
        <f aca="false">IF($E672="","",IF($B672="Tema",INDEX(Config!$C$6:$C$11,$D672),"Evento avulso"))</f>
        <v/>
      </c>
      <c r="H672" s="114" t="str">
        <f aca="false">IF($E672="","",IF($B672="Tema",INDEX(Config!$D$6:$D$11,$D672),IFERROR(INDEX(Config!$E$15:$E$19,MATCH($I672,Config!$C$15:$C$19,0)),"•")))</f>
        <v/>
      </c>
      <c r="I672" s="114" t="str">
        <f aca="false">IF($E672="","",IF($B672="Tema",INDEX(Config!$E$6:$E$11,$D672),IF(INDEX(Avulsos!$D$6:$D$205,$C672)&amp;""="","Outro",INDEX(Avulsos!$D$6:$D$205,$C672))))</f>
        <v/>
      </c>
      <c r="J672" s="114" t="str">
        <f aca="false">IF($E672="","",IF($B672="Tema",INDEX(Temas!$C$6:$C$305,$C672)&amp;"",INDEX(Avulsos!$E$6:$E$205,$C672)&amp;""))</f>
        <v/>
      </c>
      <c r="K672" s="114" t="str">
        <f aca="false">IF($E672="","",IF(IF($B672="Tema",INDEX(Temas!$E$6:$P$305,$C672,2*$D672),INDEX(Avulsos!$F$6:$F$205,$C672))&amp;""="","","✓"))</f>
        <v/>
      </c>
      <c r="L672" s="114" t="str">
        <f aca="true">IF($E672="","",IF($K672="✓","Concluído",IF($E672&lt;TODAY(),"Atrasado",IF($E672=TODAY(),"Hoje","Pendente"))))</f>
        <v/>
      </c>
      <c r="M672" s="114" t="str">
        <f aca="false">IF($E672="","",IF($K672="✓","✓ ","")&amp;IF(Config!$E$22="Sim",$H672&amp;" · ","")&amp;$F672)</f>
        <v/>
      </c>
      <c r="N672" s="114" t="str">
        <f aca="false">IF($E672="","",IFERROR(INDEX(Config!$D$15:$D$19,MATCH($I672,Config!$C$15:$C$19,0)),"OUT")&amp;IF($K672="✓","x",""))</f>
        <v/>
      </c>
      <c r="O672" s="114" t="str">
        <f aca="false">IF($E672="","",COUNTIF($E$5:$E672,$E672))</f>
        <v/>
      </c>
      <c r="P672" s="114" t="str">
        <f aca="false">IF($E672="","",$E672*100+$O672)</f>
        <v/>
      </c>
      <c r="Q672" s="114" t="str">
        <f aca="false">IF($L672="Atrasado",$E672*10000+$A672,"")</f>
        <v/>
      </c>
    </row>
    <row r="673" customFormat="false" ht="15" hidden="false" customHeight="false" outlineLevel="0" collapsed="false">
      <c r="A673" s="114" t="n">
        <f aca="false">ROW()-4</f>
        <v>669</v>
      </c>
      <c r="B673" s="114" t="str">
        <f aca="false">IF(A673&lt;=Config!$E$27*Config!$E$28,"Tema","Avulso")</f>
        <v>Tema</v>
      </c>
      <c r="C673" s="114" t="n">
        <f aca="false">IF(B673="Tema",INT((A673-1)/Config!$E$28)+1,A673-Config!$E$27*Config!$E$28)</f>
        <v>112</v>
      </c>
      <c r="D673" s="114" t="n">
        <f aca="false">IF(B673="Tema",MOD(A673-1,Config!$E$28)+1,"")</f>
        <v>3</v>
      </c>
      <c r="E673" s="115" t="str">
        <f aca="false">IF($B673="Tema",IF(ISNUMBER(INDEX(Temas!$E$6:$P$305,$C673,2*$D673-1)),INDEX(Temas!$E$6:$P$305,$C673,2*$D673-1),""),IF(ISNUMBER(INDEX(Avulsos!$B$6:$B$205,$C673)),INDEX(Avulsos!$B$6:$B$205,$C673),""))</f>
        <v/>
      </c>
      <c r="F673" s="114" t="str">
        <f aca="false">IF($E673="","",IF($B673="Tema",INDEX(Temas!$B$6:$B$305,$C673)&amp;"",INDEX(Avulsos!$C$6:$C$205,$C673)&amp;""))</f>
        <v/>
      </c>
      <c r="G673" s="114" t="str">
        <f aca="false">IF($E673="","",IF($B673="Tema",INDEX(Config!$C$6:$C$11,$D673),"Evento avulso"))</f>
        <v/>
      </c>
      <c r="H673" s="114" t="str">
        <f aca="false">IF($E673="","",IF($B673="Tema",INDEX(Config!$D$6:$D$11,$D673),IFERROR(INDEX(Config!$E$15:$E$19,MATCH($I673,Config!$C$15:$C$19,0)),"•")))</f>
        <v/>
      </c>
      <c r="I673" s="114" t="str">
        <f aca="false">IF($E673="","",IF($B673="Tema",INDEX(Config!$E$6:$E$11,$D673),IF(INDEX(Avulsos!$D$6:$D$205,$C673)&amp;""="","Outro",INDEX(Avulsos!$D$6:$D$205,$C673))))</f>
        <v/>
      </c>
      <c r="J673" s="114" t="str">
        <f aca="false">IF($E673="","",IF($B673="Tema",INDEX(Temas!$C$6:$C$305,$C673)&amp;"",INDEX(Avulsos!$E$6:$E$205,$C673)&amp;""))</f>
        <v/>
      </c>
      <c r="K673" s="114" t="str">
        <f aca="false">IF($E673="","",IF(IF($B673="Tema",INDEX(Temas!$E$6:$P$305,$C673,2*$D673),INDEX(Avulsos!$F$6:$F$205,$C673))&amp;""="","","✓"))</f>
        <v/>
      </c>
      <c r="L673" s="114" t="str">
        <f aca="true">IF($E673="","",IF($K673="✓","Concluído",IF($E673&lt;TODAY(),"Atrasado",IF($E673=TODAY(),"Hoje","Pendente"))))</f>
        <v/>
      </c>
      <c r="M673" s="114" t="str">
        <f aca="false">IF($E673="","",IF($K673="✓","✓ ","")&amp;IF(Config!$E$22="Sim",$H673&amp;" · ","")&amp;$F673)</f>
        <v/>
      </c>
      <c r="N673" s="114" t="str">
        <f aca="false">IF($E673="","",IFERROR(INDEX(Config!$D$15:$D$19,MATCH($I673,Config!$C$15:$C$19,0)),"OUT")&amp;IF($K673="✓","x",""))</f>
        <v/>
      </c>
      <c r="O673" s="114" t="str">
        <f aca="false">IF($E673="","",COUNTIF($E$5:$E673,$E673))</f>
        <v/>
      </c>
      <c r="P673" s="114" t="str">
        <f aca="false">IF($E673="","",$E673*100+$O673)</f>
        <v/>
      </c>
      <c r="Q673" s="114" t="str">
        <f aca="false">IF($L673="Atrasado",$E673*10000+$A673,"")</f>
        <v/>
      </c>
    </row>
    <row r="674" customFormat="false" ht="15" hidden="false" customHeight="false" outlineLevel="0" collapsed="false">
      <c r="A674" s="114" t="n">
        <f aca="false">ROW()-4</f>
        <v>670</v>
      </c>
      <c r="B674" s="114" t="str">
        <f aca="false">IF(A674&lt;=Config!$E$27*Config!$E$28,"Tema","Avulso")</f>
        <v>Tema</v>
      </c>
      <c r="C674" s="114" t="n">
        <f aca="false">IF(B674="Tema",INT((A674-1)/Config!$E$28)+1,A674-Config!$E$27*Config!$E$28)</f>
        <v>112</v>
      </c>
      <c r="D674" s="114" t="n">
        <f aca="false">IF(B674="Tema",MOD(A674-1,Config!$E$28)+1,"")</f>
        <v>4</v>
      </c>
      <c r="E674" s="115" t="str">
        <f aca="false">IF($B674="Tema",IF(ISNUMBER(INDEX(Temas!$E$6:$P$305,$C674,2*$D674-1)),INDEX(Temas!$E$6:$P$305,$C674,2*$D674-1),""),IF(ISNUMBER(INDEX(Avulsos!$B$6:$B$205,$C674)),INDEX(Avulsos!$B$6:$B$205,$C674),""))</f>
        <v/>
      </c>
      <c r="F674" s="114" t="str">
        <f aca="false">IF($E674="","",IF($B674="Tema",INDEX(Temas!$B$6:$B$305,$C674)&amp;"",INDEX(Avulsos!$C$6:$C$205,$C674)&amp;""))</f>
        <v/>
      </c>
      <c r="G674" s="114" t="str">
        <f aca="false">IF($E674="","",IF($B674="Tema",INDEX(Config!$C$6:$C$11,$D674),"Evento avulso"))</f>
        <v/>
      </c>
      <c r="H674" s="114" t="str">
        <f aca="false">IF($E674="","",IF($B674="Tema",INDEX(Config!$D$6:$D$11,$D674),IFERROR(INDEX(Config!$E$15:$E$19,MATCH($I674,Config!$C$15:$C$19,0)),"•")))</f>
        <v/>
      </c>
      <c r="I674" s="114" t="str">
        <f aca="false">IF($E674="","",IF($B674="Tema",INDEX(Config!$E$6:$E$11,$D674),IF(INDEX(Avulsos!$D$6:$D$205,$C674)&amp;""="","Outro",INDEX(Avulsos!$D$6:$D$205,$C674))))</f>
        <v/>
      </c>
      <c r="J674" s="114" t="str">
        <f aca="false">IF($E674="","",IF($B674="Tema",INDEX(Temas!$C$6:$C$305,$C674)&amp;"",INDEX(Avulsos!$E$6:$E$205,$C674)&amp;""))</f>
        <v/>
      </c>
      <c r="K674" s="114" t="str">
        <f aca="false">IF($E674="","",IF(IF($B674="Tema",INDEX(Temas!$E$6:$P$305,$C674,2*$D674),INDEX(Avulsos!$F$6:$F$205,$C674))&amp;""="","","✓"))</f>
        <v/>
      </c>
      <c r="L674" s="114" t="str">
        <f aca="true">IF($E674="","",IF($K674="✓","Concluído",IF($E674&lt;TODAY(),"Atrasado",IF($E674=TODAY(),"Hoje","Pendente"))))</f>
        <v/>
      </c>
      <c r="M674" s="114" t="str">
        <f aca="false">IF($E674="","",IF($K674="✓","✓ ","")&amp;IF(Config!$E$22="Sim",$H674&amp;" · ","")&amp;$F674)</f>
        <v/>
      </c>
      <c r="N674" s="114" t="str">
        <f aca="false">IF($E674="","",IFERROR(INDEX(Config!$D$15:$D$19,MATCH($I674,Config!$C$15:$C$19,0)),"OUT")&amp;IF($K674="✓","x",""))</f>
        <v/>
      </c>
      <c r="O674" s="114" t="str">
        <f aca="false">IF($E674="","",COUNTIF($E$5:$E674,$E674))</f>
        <v/>
      </c>
      <c r="P674" s="114" t="str">
        <f aca="false">IF($E674="","",$E674*100+$O674)</f>
        <v/>
      </c>
      <c r="Q674" s="114" t="str">
        <f aca="false">IF($L674="Atrasado",$E674*10000+$A674,"")</f>
        <v/>
      </c>
    </row>
    <row r="675" customFormat="false" ht="15" hidden="false" customHeight="false" outlineLevel="0" collapsed="false">
      <c r="A675" s="114" t="n">
        <f aca="false">ROW()-4</f>
        <v>671</v>
      </c>
      <c r="B675" s="114" t="str">
        <f aca="false">IF(A675&lt;=Config!$E$27*Config!$E$28,"Tema","Avulso")</f>
        <v>Tema</v>
      </c>
      <c r="C675" s="114" t="n">
        <f aca="false">IF(B675="Tema",INT((A675-1)/Config!$E$28)+1,A675-Config!$E$27*Config!$E$28)</f>
        <v>112</v>
      </c>
      <c r="D675" s="114" t="n">
        <f aca="false">IF(B675="Tema",MOD(A675-1,Config!$E$28)+1,"")</f>
        <v>5</v>
      </c>
      <c r="E675" s="115" t="str">
        <f aca="false">IF($B675="Tema",IF(ISNUMBER(INDEX(Temas!$E$6:$P$305,$C675,2*$D675-1)),INDEX(Temas!$E$6:$P$305,$C675,2*$D675-1),""),IF(ISNUMBER(INDEX(Avulsos!$B$6:$B$205,$C675)),INDEX(Avulsos!$B$6:$B$205,$C675),""))</f>
        <v/>
      </c>
      <c r="F675" s="114" t="str">
        <f aca="false">IF($E675="","",IF($B675="Tema",INDEX(Temas!$B$6:$B$305,$C675)&amp;"",INDEX(Avulsos!$C$6:$C$205,$C675)&amp;""))</f>
        <v/>
      </c>
      <c r="G675" s="114" t="str">
        <f aca="false">IF($E675="","",IF($B675="Tema",INDEX(Config!$C$6:$C$11,$D675),"Evento avulso"))</f>
        <v/>
      </c>
      <c r="H675" s="114" t="str">
        <f aca="false">IF($E675="","",IF($B675="Tema",INDEX(Config!$D$6:$D$11,$D675),IFERROR(INDEX(Config!$E$15:$E$19,MATCH($I675,Config!$C$15:$C$19,0)),"•")))</f>
        <v/>
      </c>
      <c r="I675" s="114" t="str">
        <f aca="false">IF($E675="","",IF($B675="Tema",INDEX(Config!$E$6:$E$11,$D675),IF(INDEX(Avulsos!$D$6:$D$205,$C675)&amp;""="","Outro",INDEX(Avulsos!$D$6:$D$205,$C675))))</f>
        <v/>
      </c>
      <c r="J675" s="114" t="str">
        <f aca="false">IF($E675="","",IF($B675="Tema",INDEX(Temas!$C$6:$C$305,$C675)&amp;"",INDEX(Avulsos!$E$6:$E$205,$C675)&amp;""))</f>
        <v/>
      </c>
      <c r="K675" s="114" t="str">
        <f aca="false">IF($E675="","",IF(IF($B675="Tema",INDEX(Temas!$E$6:$P$305,$C675,2*$D675),INDEX(Avulsos!$F$6:$F$205,$C675))&amp;""="","","✓"))</f>
        <v/>
      </c>
      <c r="L675" s="114" t="str">
        <f aca="true">IF($E675="","",IF($K675="✓","Concluído",IF($E675&lt;TODAY(),"Atrasado",IF($E675=TODAY(),"Hoje","Pendente"))))</f>
        <v/>
      </c>
      <c r="M675" s="114" t="str">
        <f aca="false">IF($E675="","",IF($K675="✓","✓ ","")&amp;IF(Config!$E$22="Sim",$H675&amp;" · ","")&amp;$F675)</f>
        <v/>
      </c>
      <c r="N675" s="114" t="str">
        <f aca="false">IF($E675="","",IFERROR(INDEX(Config!$D$15:$D$19,MATCH($I675,Config!$C$15:$C$19,0)),"OUT")&amp;IF($K675="✓","x",""))</f>
        <v/>
      </c>
      <c r="O675" s="114" t="str">
        <f aca="false">IF($E675="","",COUNTIF($E$5:$E675,$E675))</f>
        <v/>
      </c>
      <c r="P675" s="114" t="str">
        <f aca="false">IF($E675="","",$E675*100+$O675)</f>
        <v/>
      </c>
      <c r="Q675" s="114" t="str">
        <f aca="false">IF($L675="Atrasado",$E675*10000+$A675,"")</f>
        <v/>
      </c>
    </row>
    <row r="676" customFormat="false" ht="15" hidden="false" customHeight="false" outlineLevel="0" collapsed="false">
      <c r="A676" s="114" t="n">
        <f aca="false">ROW()-4</f>
        <v>672</v>
      </c>
      <c r="B676" s="114" t="str">
        <f aca="false">IF(A676&lt;=Config!$E$27*Config!$E$28,"Tema","Avulso")</f>
        <v>Tema</v>
      </c>
      <c r="C676" s="114" t="n">
        <f aca="false">IF(B676="Tema",INT((A676-1)/Config!$E$28)+1,A676-Config!$E$27*Config!$E$28)</f>
        <v>112</v>
      </c>
      <c r="D676" s="114" t="n">
        <f aca="false">IF(B676="Tema",MOD(A676-1,Config!$E$28)+1,"")</f>
        <v>6</v>
      </c>
      <c r="E676" s="115" t="str">
        <f aca="false">IF($B676="Tema",IF(ISNUMBER(INDEX(Temas!$E$6:$P$305,$C676,2*$D676-1)),INDEX(Temas!$E$6:$P$305,$C676,2*$D676-1),""),IF(ISNUMBER(INDEX(Avulsos!$B$6:$B$205,$C676)),INDEX(Avulsos!$B$6:$B$205,$C676),""))</f>
        <v/>
      </c>
      <c r="F676" s="114" t="str">
        <f aca="false">IF($E676="","",IF($B676="Tema",INDEX(Temas!$B$6:$B$305,$C676)&amp;"",INDEX(Avulsos!$C$6:$C$205,$C676)&amp;""))</f>
        <v/>
      </c>
      <c r="G676" s="114" t="str">
        <f aca="false">IF($E676="","",IF($B676="Tema",INDEX(Config!$C$6:$C$11,$D676),"Evento avulso"))</f>
        <v/>
      </c>
      <c r="H676" s="114" t="str">
        <f aca="false">IF($E676="","",IF($B676="Tema",INDEX(Config!$D$6:$D$11,$D676),IFERROR(INDEX(Config!$E$15:$E$19,MATCH($I676,Config!$C$15:$C$19,0)),"•")))</f>
        <v/>
      </c>
      <c r="I676" s="114" t="str">
        <f aca="false">IF($E676="","",IF($B676="Tema",INDEX(Config!$E$6:$E$11,$D676),IF(INDEX(Avulsos!$D$6:$D$205,$C676)&amp;""="","Outro",INDEX(Avulsos!$D$6:$D$205,$C676))))</f>
        <v/>
      </c>
      <c r="J676" s="114" t="str">
        <f aca="false">IF($E676="","",IF($B676="Tema",INDEX(Temas!$C$6:$C$305,$C676)&amp;"",INDEX(Avulsos!$E$6:$E$205,$C676)&amp;""))</f>
        <v/>
      </c>
      <c r="K676" s="114" t="str">
        <f aca="false">IF($E676="","",IF(IF($B676="Tema",INDEX(Temas!$E$6:$P$305,$C676,2*$D676),INDEX(Avulsos!$F$6:$F$205,$C676))&amp;""="","","✓"))</f>
        <v/>
      </c>
      <c r="L676" s="114" t="str">
        <f aca="true">IF($E676="","",IF($K676="✓","Concluído",IF($E676&lt;TODAY(),"Atrasado",IF($E676=TODAY(),"Hoje","Pendente"))))</f>
        <v/>
      </c>
      <c r="M676" s="114" t="str">
        <f aca="false">IF($E676="","",IF($K676="✓","✓ ","")&amp;IF(Config!$E$22="Sim",$H676&amp;" · ","")&amp;$F676)</f>
        <v/>
      </c>
      <c r="N676" s="114" t="str">
        <f aca="false">IF($E676="","",IFERROR(INDEX(Config!$D$15:$D$19,MATCH($I676,Config!$C$15:$C$19,0)),"OUT")&amp;IF($K676="✓","x",""))</f>
        <v/>
      </c>
      <c r="O676" s="114" t="str">
        <f aca="false">IF($E676="","",COUNTIF($E$5:$E676,$E676))</f>
        <v/>
      </c>
      <c r="P676" s="114" t="str">
        <f aca="false">IF($E676="","",$E676*100+$O676)</f>
        <v/>
      </c>
      <c r="Q676" s="114" t="str">
        <f aca="false">IF($L676="Atrasado",$E676*10000+$A676,"")</f>
        <v/>
      </c>
    </row>
    <row r="677" customFormat="false" ht="15" hidden="false" customHeight="false" outlineLevel="0" collapsed="false">
      <c r="A677" s="114" t="n">
        <f aca="false">ROW()-4</f>
        <v>673</v>
      </c>
      <c r="B677" s="114" t="str">
        <f aca="false">IF(A677&lt;=Config!$E$27*Config!$E$28,"Tema","Avulso")</f>
        <v>Tema</v>
      </c>
      <c r="C677" s="114" t="n">
        <f aca="false">IF(B677="Tema",INT((A677-1)/Config!$E$28)+1,A677-Config!$E$27*Config!$E$28)</f>
        <v>113</v>
      </c>
      <c r="D677" s="114" t="n">
        <f aca="false">IF(B677="Tema",MOD(A677-1,Config!$E$28)+1,"")</f>
        <v>1</v>
      </c>
      <c r="E677" s="115" t="str">
        <f aca="false">IF($B677="Tema",IF(ISNUMBER(INDEX(Temas!$E$6:$P$305,$C677,2*$D677-1)),INDEX(Temas!$E$6:$P$305,$C677,2*$D677-1),""),IF(ISNUMBER(INDEX(Avulsos!$B$6:$B$205,$C677)),INDEX(Avulsos!$B$6:$B$205,$C677),""))</f>
        <v/>
      </c>
      <c r="F677" s="114" t="str">
        <f aca="false">IF($E677="","",IF($B677="Tema",INDEX(Temas!$B$6:$B$305,$C677)&amp;"",INDEX(Avulsos!$C$6:$C$205,$C677)&amp;""))</f>
        <v/>
      </c>
      <c r="G677" s="114" t="str">
        <f aca="false">IF($E677="","",IF($B677="Tema",INDEX(Config!$C$6:$C$11,$D677),"Evento avulso"))</f>
        <v/>
      </c>
      <c r="H677" s="114" t="str">
        <f aca="false">IF($E677="","",IF($B677="Tema",INDEX(Config!$D$6:$D$11,$D677),IFERROR(INDEX(Config!$E$15:$E$19,MATCH($I677,Config!$C$15:$C$19,0)),"•")))</f>
        <v/>
      </c>
      <c r="I677" s="114" t="str">
        <f aca="false">IF($E677="","",IF($B677="Tema",INDEX(Config!$E$6:$E$11,$D677),IF(INDEX(Avulsos!$D$6:$D$205,$C677)&amp;""="","Outro",INDEX(Avulsos!$D$6:$D$205,$C677))))</f>
        <v/>
      </c>
      <c r="J677" s="114" t="str">
        <f aca="false">IF($E677="","",IF($B677="Tema",INDEX(Temas!$C$6:$C$305,$C677)&amp;"",INDEX(Avulsos!$E$6:$E$205,$C677)&amp;""))</f>
        <v/>
      </c>
      <c r="K677" s="114" t="str">
        <f aca="false">IF($E677="","",IF(IF($B677="Tema",INDEX(Temas!$E$6:$P$305,$C677,2*$D677),INDEX(Avulsos!$F$6:$F$205,$C677))&amp;""="","","✓"))</f>
        <v/>
      </c>
      <c r="L677" s="114" t="str">
        <f aca="true">IF($E677="","",IF($K677="✓","Concluído",IF($E677&lt;TODAY(),"Atrasado",IF($E677=TODAY(),"Hoje","Pendente"))))</f>
        <v/>
      </c>
      <c r="M677" s="114" t="str">
        <f aca="false">IF($E677="","",IF($K677="✓","✓ ","")&amp;IF(Config!$E$22="Sim",$H677&amp;" · ","")&amp;$F677)</f>
        <v/>
      </c>
      <c r="N677" s="114" t="str">
        <f aca="false">IF($E677="","",IFERROR(INDEX(Config!$D$15:$D$19,MATCH($I677,Config!$C$15:$C$19,0)),"OUT")&amp;IF($K677="✓","x",""))</f>
        <v/>
      </c>
      <c r="O677" s="114" t="str">
        <f aca="false">IF($E677="","",COUNTIF($E$5:$E677,$E677))</f>
        <v/>
      </c>
      <c r="P677" s="114" t="str">
        <f aca="false">IF($E677="","",$E677*100+$O677)</f>
        <v/>
      </c>
      <c r="Q677" s="114" t="str">
        <f aca="false">IF($L677="Atrasado",$E677*10000+$A677,"")</f>
        <v/>
      </c>
    </row>
    <row r="678" customFormat="false" ht="15" hidden="false" customHeight="false" outlineLevel="0" collapsed="false">
      <c r="A678" s="114" t="n">
        <f aca="false">ROW()-4</f>
        <v>674</v>
      </c>
      <c r="B678" s="114" t="str">
        <f aca="false">IF(A678&lt;=Config!$E$27*Config!$E$28,"Tema","Avulso")</f>
        <v>Tema</v>
      </c>
      <c r="C678" s="114" t="n">
        <f aca="false">IF(B678="Tema",INT((A678-1)/Config!$E$28)+1,A678-Config!$E$27*Config!$E$28)</f>
        <v>113</v>
      </c>
      <c r="D678" s="114" t="n">
        <f aca="false">IF(B678="Tema",MOD(A678-1,Config!$E$28)+1,"")</f>
        <v>2</v>
      </c>
      <c r="E678" s="115" t="str">
        <f aca="false">IF($B678="Tema",IF(ISNUMBER(INDEX(Temas!$E$6:$P$305,$C678,2*$D678-1)),INDEX(Temas!$E$6:$P$305,$C678,2*$D678-1),""),IF(ISNUMBER(INDEX(Avulsos!$B$6:$B$205,$C678)),INDEX(Avulsos!$B$6:$B$205,$C678),""))</f>
        <v/>
      </c>
      <c r="F678" s="114" t="str">
        <f aca="false">IF($E678="","",IF($B678="Tema",INDEX(Temas!$B$6:$B$305,$C678)&amp;"",INDEX(Avulsos!$C$6:$C$205,$C678)&amp;""))</f>
        <v/>
      </c>
      <c r="G678" s="114" t="str">
        <f aca="false">IF($E678="","",IF($B678="Tema",INDEX(Config!$C$6:$C$11,$D678),"Evento avulso"))</f>
        <v/>
      </c>
      <c r="H678" s="114" t="str">
        <f aca="false">IF($E678="","",IF($B678="Tema",INDEX(Config!$D$6:$D$11,$D678),IFERROR(INDEX(Config!$E$15:$E$19,MATCH($I678,Config!$C$15:$C$19,0)),"•")))</f>
        <v/>
      </c>
      <c r="I678" s="114" t="str">
        <f aca="false">IF($E678="","",IF($B678="Tema",INDEX(Config!$E$6:$E$11,$D678),IF(INDEX(Avulsos!$D$6:$D$205,$C678)&amp;""="","Outro",INDEX(Avulsos!$D$6:$D$205,$C678))))</f>
        <v/>
      </c>
      <c r="J678" s="114" t="str">
        <f aca="false">IF($E678="","",IF($B678="Tema",INDEX(Temas!$C$6:$C$305,$C678)&amp;"",INDEX(Avulsos!$E$6:$E$205,$C678)&amp;""))</f>
        <v/>
      </c>
      <c r="K678" s="114" t="str">
        <f aca="false">IF($E678="","",IF(IF($B678="Tema",INDEX(Temas!$E$6:$P$305,$C678,2*$D678),INDEX(Avulsos!$F$6:$F$205,$C678))&amp;""="","","✓"))</f>
        <v/>
      </c>
      <c r="L678" s="114" t="str">
        <f aca="true">IF($E678="","",IF($K678="✓","Concluído",IF($E678&lt;TODAY(),"Atrasado",IF($E678=TODAY(),"Hoje","Pendente"))))</f>
        <v/>
      </c>
      <c r="M678" s="114" t="str">
        <f aca="false">IF($E678="","",IF($K678="✓","✓ ","")&amp;IF(Config!$E$22="Sim",$H678&amp;" · ","")&amp;$F678)</f>
        <v/>
      </c>
      <c r="N678" s="114" t="str">
        <f aca="false">IF($E678="","",IFERROR(INDEX(Config!$D$15:$D$19,MATCH($I678,Config!$C$15:$C$19,0)),"OUT")&amp;IF($K678="✓","x",""))</f>
        <v/>
      </c>
      <c r="O678" s="114" t="str">
        <f aca="false">IF($E678="","",COUNTIF($E$5:$E678,$E678))</f>
        <v/>
      </c>
      <c r="P678" s="114" t="str">
        <f aca="false">IF($E678="","",$E678*100+$O678)</f>
        <v/>
      </c>
      <c r="Q678" s="114" t="str">
        <f aca="false">IF($L678="Atrasado",$E678*10000+$A678,"")</f>
        <v/>
      </c>
    </row>
    <row r="679" customFormat="false" ht="15" hidden="false" customHeight="false" outlineLevel="0" collapsed="false">
      <c r="A679" s="114" t="n">
        <f aca="false">ROW()-4</f>
        <v>675</v>
      </c>
      <c r="B679" s="114" t="str">
        <f aca="false">IF(A679&lt;=Config!$E$27*Config!$E$28,"Tema","Avulso")</f>
        <v>Tema</v>
      </c>
      <c r="C679" s="114" t="n">
        <f aca="false">IF(B679="Tema",INT((A679-1)/Config!$E$28)+1,A679-Config!$E$27*Config!$E$28)</f>
        <v>113</v>
      </c>
      <c r="D679" s="114" t="n">
        <f aca="false">IF(B679="Tema",MOD(A679-1,Config!$E$28)+1,"")</f>
        <v>3</v>
      </c>
      <c r="E679" s="115" t="str">
        <f aca="false">IF($B679="Tema",IF(ISNUMBER(INDEX(Temas!$E$6:$P$305,$C679,2*$D679-1)),INDEX(Temas!$E$6:$P$305,$C679,2*$D679-1),""),IF(ISNUMBER(INDEX(Avulsos!$B$6:$B$205,$C679)),INDEX(Avulsos!$B$6:$B$205,$C679),""))</f>
        <v/>
      </c>
      <c r="F679" s="114" t="str">
        <f aca="false">IF($E679="","",IF($B679="Tema",INDEX(Temas!$B$6:$B$305,$C679)&amp;"",INDEX(Avulsos!$C$6:$C$205,$C679)&amp;""))</f>
        <v/>
      </c>
      <c r="G679" s="114" t="str">
        <f aca="false">IF($E679="","",IF($B679="Tema",INDEX(Config!$C$6:$C$11,$D679),"Evento avulso"))</f>
        <v/>
      </c>
      <c r="H679" s="114" t="str">
        <f aca="false">IF($E679="","",IF($B679="Tema",INDEX(Config!$D$6:$D$11,$D679),IFERROR(INDEX(Config!$E$15:$E$19,MATCH($I679,Config!$C$15:$C$19,0)),"•")))</f>
        <v/>
      </c>
      <c r="I679" s="114" t="str">
        <f aca="false">IF($E679="","",IF($B679="Tema",INDEX(Config!$E$6:$E$11,$D679),IF(INDEX(Avulsos!$D$6:$D$205,$C679)&amp;""="","Outro",INDEX(Avulsos!$D$6:$D$205,$C679))))</f>
        <v/>
      </c>
      <c r="J679" s="114" t="str">
        <f aca="false">IF($E679="","",IF($B679="Tema",INDEX(Temas!$C$6:$C$305,$C679)&amp;"",INDEX(Avulsos!$E$6:$E$205,$C679)&amp;""))</f>
        <v/>
      </c>
      <c r="K679" s="114" t="str">
        <f aca="false">IF($E679="","",IF(IF($B679="Tema",INDEX(Temas!$E$6:$P$305,$C679,2*$D679),INDEX(Avulsos!$F$6:$F$205,$C679))&amp;""="","","✓"))</f>
        <v/>
      </c>
      <c r="L679" s="114" t="str">
        <f aca="true">IF($E679="","",IF($K679="✓","Concluído",IF($E679&lt;TODAY(),"Atrasado",IF($E679=TODAY(),"Hoje","Pendente"))))</f>
        <v/>
      </c>
      <c r="M679" s="114" t="str">
        <f aca="false">IF($E679="","",IF($K679="✓","✓ ","")&amp;IF(Config!$E$22="Sim",$H679&amp;" · ","")&amp;$F679)</f>
        <v/>
      </c>
      <c r="N679" s="114" t="str">
        <f aca="false">IF($E679="","",IFERROR(INDEX(Config!$D$15:$D$19,MATCH($I679,Config!$C$15:$C$19,0)),"OUT")&amp;IF($K679="✓","x",""))</f>
        <v/>
      </c>
      <c r="O679" s="114" t="str">
        <f aca="false">IF($E679="","",COUNTIF($E$5:$E679,$E679))</f>
        <v/>
      </c>
      <c r="P679" s="114" t="str">
        <f aca="false">IF($E679="","",$E679*100+$O679)</f>
        <v/>
      </c>
      <c r="Q679" s="114" t="str">
        <f aca="false">IF($L679="Atrasado",$E679*10000+$A679,"")</f>
        <v/>
      </c>
    </row>
    <row r="680" customFormat="false" ht="15" hidden="false" customHeight="false" outlineLevel="0" collapsed="false">
      <c r="A680" s="114" t="n">
        <f aca="false">ROW()-4</f>
        <v>676</v>
      </c>
      <c r="B680" s="114" t="str">
        <f aca="false">IF(A680&lt;=Config!$E$27*Config!$E$28,"Tema","Avulso")</f>
        <v>Tema</v>
      </c>
      <c r="C680" s="114" t="n">
        <f aca="false">IF(B680="Tema",INT((A680-1)/Config!$E$28)+1,A680-Config!$E$27*Config!$E$28)</f>
        <v>113</v>
      </c>
      <c r="D680" s="114" t="n">
        <f aca="false">IF(B680="Tema",MOD(A680-1,Config!$E$28)+1,"")</f>
        <v>4</v>
      </c>
      <c r="E680" s="115" t="str">
        <f aca="false">IF($B680="Tema",IF(ISNUMBER(INDEX(Temas!$E$6:$P$305,$C680,2*$D680-1)),INDEX(Temas!$E$6:$P$305,$C680,2*$D680-1),""),IF(ISNUMBER(INDEX(Avulsos!$B$6:$B$205,$C680)),INDEX(Avulsos!$B$6:$B$205,$C680),""))</f>
        <v/>
      </c>
      <c r="F680" s="114" t="str">
        <f aca="false">IF($E680="","",IF($B680="Tema",INDEX(Temas!$B$6:$B$305,$C680)&amp;"",INDEX(Avulsos!$C$6:$C$205,$C680)&amp;""))</f>
        <v/>
      </c>
      <c r="G680" s="114" t="str">
        <f aca="false">IF($E680="","",IF($B680="Tema",INDEX(Config!$C$6:$C$11,$D680),"Evento avulso"))</f>
        <v/>
      </c>
      <c r="H680" s="114" t="str">
        <f aca="false">IF($E680="","",IF($B680="Tema",INDEX(Config!$D$6:$D$11,$D680),IFERROR(INDEX(Config!$E$15:$E$19,MATCH($I680,Config!$C$15:$C$19,0)),"•")))</f>
        <v/>
      </c>
      <c r="I680" s="114" t="str">
        <f aca="false">IF($E680="","",IF($B680="Tema",INDEX(Config!$E$6:$E$11,$D680),IF(INDEX(Avulsos!$D$6:$D$205,$C680)&amp;""="","Outro",INDEX(Avulsos!$D$6:$D$205,$C680))))</f>
        <v/>
      </c>
      <c r="J680" s="114" t="str">
        <f aca="false">IF($E680="","",IF($B680="Tema",INDEX(Temas!$C$6:$C$305,$C680)&amp;"",INDEX(Avulsos!$E$6:$E$205,$C680)&amp;""))</f>
        <v/>
      </c>
      <c r="K680" s="114" t="str">
        <f aca="false">IF($E680="","",IF(IF($B680="Tema",INDEX(Temas!$E$6:$P$305,$C680,2*$D680),INDEX(Avulsos!$F$6:$F$205,$C680))&amp;""="","","✓"))</f>
        <v/>
      </c>
      <c r="L680" s="114" t="str">
        <f aca="true">IF($E680="","",IF($K680="✓","Concluído",IF($E680&lt;TODAY(),"Atrasado",IF($E680=TODAY(),"Hoje","Pendente"))))</f>
        <v/>
      </c>
      <c r="M680" s="114" t="str">
        <f aca="false">IF($E680="","",IF($K680="✓","✓ ","")&amp;IF(Config!$E$22="Sim",$H680&amp;" · ","")&amp;$F680)</f>
        <v/>
      </c>
      <c r="N680" s="114" t="str">
        <f aca="false">IF($E680="","",IFERROR(INDEX(Config!$D$15:$D$19,MATCH($I680,Config!$C$15:$C$19,0)),"OUT")&amp;IF($K680="✓","x",""))</f>
        <v/>
      </c>
      <c r="O680" s="114" t="str">
        <f aca="false">IF($E680="","",COUNTIF($E$5:$E680,$E680))</f>
        <v/>
      </c>
      <c r="P680" s="114" t="str">
        <f aca="false">IF($E680="","",$E680*100+$O680)</f>
        <v/>
      </c>
      <c r="Q680" s="114" t="str">
        <f aca="false">IF($L680="Atrasado",$E680*10000+$A680,"")</f>
        <v/>
      </c>
    </row>
    <row r="681" customFormat="false" ht="15" hidden="false" customHeight="false" outlineLevel="0" collapsed="false">
      <c r="A681" s="114" t="n">
        <f aca="false">ROW()-4</f>
        <v>677</v>
      </c>
      <c r="B681" s="114" t="str">
        <f aca="false">IF(A681&lt;=Config!$E$27*Config!$E$28,"Tema","Avulso")</f>
        <v>Tema</v>
      </c>
      <c r="C681" s="114" t="n">
        <f aca="false">IF(B681="Tema",INT((A681-1)/Config!$E$28)+1,A681-Config!$E$27*Config!$E$28)</f>
        <v>113</v>
      </c>
      <c r="D681" s="114" t="n">
        <f aca="false">IF(B681="Tema",MOD(A681-1,Config!$E$28)+1,"")</f>
        <v>5</v>
      </c>
      <c r="E681" s="115" t="str">
        <f aca="false">IF($B681="Tema",IF(ISNUMBER(INDEX(Temas!$E$6:$P$305,$C681,2*$D681-1)),INDEX(Temas!$E$6:$P$305,$C681,2*$D681-1),""),IF(ISNUMBER(INDEX(Avulsos!$B$6:$B$205,$C681)),INDEX(Avulsos!$B$6:$B$205,$C681),""))</f>
        <v/>
      </c>
      <c r="F681" s="114" t="str">
        <f aca="false">IF($E681="","",IF($B681="Tema",INDEX(Temas!$B$6:$B$305,$C681)&amp;"",INDEX(Avulsos!$C$6:$C$205,$C681)&amp;""))</f>
        <v/>
      </c>
      <c r="G681" s="114" t="str">
        <f aca="false">IF($E681="","",IF($B681="Tema",INDEX(Config!$C$6:$C$11,$D681),"Evento avulso"))</f>
        <v/>
      </c>
      <c r="H681" s="114" t="str">
        <f aca="false">IF($E681="","",IF($B681="Tema",INDEX(Config!$D$6:$D$11,$D681),IFERROR(INDEX(Config!$E$15:$E$19,MATCH($I681,Config!$C$15:$C$19,0)),"•")))</f>
        <v/>
      </c>
      <c r="I681" s="114" t="str">
        <f aca="false">IF($E681="","",IF($B681="Tema",INDEX(Config!$E$6:$E$11,$D681),IF(INDEX(Avulsos!$D$6:$D$205,$C681)&amp;""="","Outro",INDEX(Avulsos!$D$6:$D$205,$C681))))</f>
        <v/>
      </c>
      <c r="J681" s="114" t="str">
        <f aca="false">IF($E681="","",IF($B681="Tema",INDEX(Temas!$C$6:$C$305,$C681)&amp;"",INDEX(Avulsos!$E$6:$E$205,$C681)&amp;""))</f>
        <v/>
      </c>
      <c r="K681" s="114" t="str">
        <f aca="false">IF($E681="","",IF(IF($B681="Tema",INDEX(Temas!$E$6:$P$305,$C681,2*$D681),INDEX(Avulsos!$F$6:$F$205,$C681))&amp;""="","","✓"))</f>
        <v/>
      </c>
      <c r="L681" s="114" t="str">
        <f aca="true">IF($E681="","",IF($K681="✓","Concluído",IF($E681&lt;TODAY(),"Atrasado",IF($E681=TODAY(),"Hoje","Pendente"))))</f>
        <v/>
      </c>
      <c r="M681" s="114" t="str">
        <f aca="false">IF($E681="","",IF($K681="✓","✓ ","")&amp;IF(Config!$E$22="Sim",$H681&amp;" · ","")&amp;$F681)</f>
        <v/>
      </c>
      <c r="N681" s="114" t="str">
        <f aca="false">IF($E681="","",IFERROR(INDEX(Config!$D$15:$D$19,MATCH($I681,Config!$C$15:$C$19,0)),"OUT")&amp;IF($K681="✓","x",""))</f>
        <v/>
      </c>
      <c r="O681" s="114" t="str">
        <f aca="false">IF($E681="","",COUNTIF($E$5:$E681,$E681))</f>
        <v/>
      </c>
      <c r="P681" s="114" t="str">
        <f aca="false">IF($E681="","",$E681*100+$O681)</f>
        <v/>
      </c>
      <c r="Q681" s="114" t="str">
        <f aca="false">IF($L681="Atrasado",$E681*10000+$A681,"")</f>
        <v/>
      </c>
    </row>
    <row r="682" customFormat="false" ht="15" hidden="false" customHeight="false" outlineLevel="0" collapsed="false">
      <c r="A682" s="114" t="n">
        <f aca="false">ROW()-4</f>
        <v>678</v>
      </c>
      <c r="B682" s="114" t="str">
        <f aca="false">IF(A682&lt;=Config!$E$27*Config!$E$28,"Tema","Avulso")</f>
        <v>Tema</v>
      </c>
      <c r="C682" s="114" t="n">
        <f aca="false">IF(B682="Tema",INT((A682-1)/Config!$E$28)+1,A682-Config!$E$27*Config!$E$28)</f>
        <v>113</v>
      </c>
      <c r="D682" s="114" t="n">
        <f aca="false">IF(B682="Tema",MOD(A682-1,Config!$E$28)+1,"")</f>
        <v>6</v>
      </c>
      <c r="E682" s="115" t="str">
        <f aca="false">IF($B682="Tema",IF(ISNUMBER(INDEX(Temas!$E$6:$P$305,$C682,2*$D682-1)),INDEX(Temas!$E$6:$P$305,$C682,2*$D682-1),""),IF(ISNUMBER(INDEX(Avulsos!$B$6:$B$205,$C682)),INDEX(Avulsos!$B$6:$B$205,$C682),""))</f>
        <v/>
      </c>
      <c r="F682" s="114" t="str">
        <f aca="false">IF($E682="","",IF($B682="Tema",INDEX(Temas!$B$6:$B$305,$C682)&amp;"",INDEX(Avulsos!$C$6:$C$205,$C682)&amp;""))</f>
        <v/>
      </c>
      <c r="G682" s="114" t="str">
        <f aca="false">IF($E682="","",IF($B682="Tema",INDEX(Config!$C$6:$C$11,$D682),"Evento avulso"))</f>
        <v/>
      </c>
      <c r="H682" s="114" t="str">
        <f aca="false">IF($E682="","",IF($B682="Tema",INDEX(Config!$D$6:$D$11,$D682),IFERROR(INDEX(Config!$E$15:$E$19,MATCH($I682,Config!$C$15:$C$19,0)),"•")))</f>
        <v/>
      </c>
      <c r="I682" s="114" t="str">
        <f aca="false">IF($E682="","",IF($B682="Tema",INDEX(Config!$E$6:$E$11,$D682),IF(INDEX(Avulsos!$D$6:$D$205,$C682)&amp;""="","Outro",INDEX(Avulsos!$D$6:$D$205,$C682))))</f>
        <v/>
      </c>
      <c r="J682" s="114" t="str">
        <f aca="false">IF($E682="","",IF($B682="Tema",INDEX(Temas!$C$6:$C$305,$C682)&amp;"",INDEX(Avulsos!$E$6:$E$205,$C682)&amp;""))</f>
        <v/>
      </c>
      <c r="K682" s="114" t="str">
        <f aca="false">IF($E682="","",IF(IF($B682="Tema",INDEX(Temas!$E$6:$P$305,$C682,2*$D682),INDEX(Avulsos!$F$6:$F$205,$C682))&amp;""="","","✓"))</f>
        <v/>
      </c>
      <c r="L682" s="114" t="str">
        <f aca="true">IF($E682="","",IF($K682="✓","Concluído",IF($E682&lt;TODAY(),"Atrasado",IF($E682=TODAY(),"Hoje","Pendente"))))</f>
        <v/>
      </c>
      <c r="M682" s="114" t="str">
        <f aca="false">IF($E682="","",IF($K682="✓","✓ ","")&amp;IF(Config!$E$22="Sim",$H682&amp;" · ","")&amp;$F682)</f>
        <v/>
      </c>
      <c r="N682" s="114" t="str">
        <f aca="false">IF($E682="","",IFERROR(INDEX(Config!$D$15:$D$19,MATCH($I682,Config!$C$15:$C$19,0)),"OUT")&amp;IF($K682="✓","x",""))</f>
        <v/>
      </c>
      <c r="O682" s="114" t="str">
        <f aca="false">IF($E682="","",COUNTIF($E$5:$E682,$E682))</f>
        <v/>
      </c>
      <c r="P682" s="114" t="str">
        <f aca="false">IF($E682="","",$E682*100+$O682)</f>
        <v/>
      </c>
      <c r="Q682" s="114" t="str">
        <f aca="false">IF($L682="Atrasado",$E682*10000+$A682,"")</f>
        <v/>
      </c>
    </row>
    <row r="683" customFormat="false" ht="15" hidden="false" customHeight="false" outlineLevel="0" collapsed="false">
      <c r="A683" s="114" t="n">
        <f aca="false">ROW()-4</f>
        <v>679</v>
      </c>
      <c r="B683" s="114" t="str">
        <f aca="false">IF(A683&lt;=Config!$E$27*Config!$E$28,"Tema","Avulso")</f>
        <v>Tema</v>
      </c>
      <c r="C683" s="114" t="n">
        <f aca="false">IF(B683="Tema",INT((A683-1)/Config!$E$28)+1,A683-Config!$E$27*Config!$E$28)</f>
        <v>114</v>
      </c>
      <c r="D683" s="114" t="n">
        <f aca="false">IF(B683="Tema",MOD(A683-1,Config!$E$28)+1,"")</f>
        <v>1</v>
      </c>
      <c r="E683" s="115" t="str">
        <f aca="false">IF($B683="Tema",IF(ISNUMBER(INDEX(Temas!$E$6:$P$305,$C683,2*$D683-1)),INDEX(Temas!$E$6:$P$305,$C683,2*$D683-1),""),IF(ISNUMBER(INDEX(Avulsos!$B$6:$B$205,$C683)),INDEX(Avulsos!$B$6:$B$205,$C683),""))</f>
        <v/>
      </c>
      <c r="F683" s="114" t="str">
        <f aca="false">IF($E683="","",IF($B683="Tema",INDEX(Temas!$B$6:$B$305,$C683)&amp;"",INDEX(Avulsos!$C$6:$C$205,$C683)&amp;""))</f>
        <v/>
      </c>
      <c r="G683" s="114" t="str">
        <f aca="false">IF($E683="","",IF($B683="Tema",INDEX(Config!$C$6:$C$11,$D683),"Evento avulso"))</f>
        <v/>
      </c>
      <c r="H683" s="114" t="str">
        <f aca="false">IF($E683="","",IF($B683="Tema",INDEX(Config!$D$6:$D$11,$D683),IFERROR(INDEX(Config!$E$15:$E$19,MATCH($I683,Config!$C$15:$C$19,0)),"•")))</f>
        <v/>
      </c>
      <c r="I683" s="114" t="str">
        <f aca="false">IF($E683="","",IF($B683="Tema",INDEX(Config!$E$6:$E$11,$D683),IF(INDEX(Avulsos!$D$6:$D$205,$C683)&amp;""="","Outro",INDEX(Avulsos!$D$6:$D$205,$C683))))</f>
        <v/>
      </c>
      <c r="J683" s="114" t="str">
        <f aca="false">IF($E683="","",IF($B683="Tema",INDEX(Temas!$C$6:$C$305,$C683)&amp;"",INDEX(Avulsos!$E$6:$E$205,$C683)&amp;""))</f>
        <v/>
      </c>
      <c r="K683" s="114" t="str">
        <f aca="false">IF($E683="","",IF(IF($B683="Tema",INDEX(Temas!$E$6:$P$305,$C683,2*$D683),INDEX(Avulsos!$F$6:$F$205,$C683))&amp;""="","","✓"))</f>
        <v/>
      </c>
      <c r="L683" s="114" t="str">
        <f aca="true">IF($E683="","",IF($K683="✓","Concluído",IF($E683&lt;TODAY(),"Atrasado",IF($E683=TODAY(),"Hoje","Pendente"))))</f>
        <v/>
      </c>
      <c r="M683" s="114" t="str">
        <f aca="false">IF($E683="","",IF($K683="✓","✓ ","")&amp;IF(Config!$E$22="Sim",$H683&amp;" · ","")&amp;$F683)</f>
        <v/>
      </c>
      <c r="N683" s="114" t="str">
        <f aca="false">IF($E683="","",IFERROR(INDEX(Config!$D$15:$D$19,MATCH($I683,Config!$C$15:$C$19,0)),"OUT")&amp;IF($K683="✓","x",""))</f>
        <v/>
      </c>
      <c r="O683" s="114" t="str">
        <f aca="false">IF($E683="","",COUNTIF($E$5:$E683,$E683))</f>
        <v/>
      </c>
      <c r="P683" s="114" t="str">
        <f aca="false">IF($E683="","",$E683*100+$O683)</f>
        <v/>
      </c>
      <c r="Q683" s="114" t="str">
        <f aca="false">IF($L683="Atrasado",$E683*10000+$A683,"")</f>
        <v/>
      </c>
    </row>
    <row r="684" customFormat="false" ht="15" hidden="false" customHeight="false" outlineLevel="0" collapsed="false">
      <c r="A684" s="114" t="n">
        <f aca="false">ROW()-4</f>
        <v>680</v>
      </c>
      <c r="B684" s="114" t="str">
        <f aca="false">IF(A684&lt;=Config!$E$27*Config!$E$28,"Tema","Avulso")</f>
        <v>Tema</v>
      </c>
      <c r="C684" s="114" t="n">
        <f aca="false">IF(B684="Tema",INT((A684-1)/Config!$E$28)+1,A684-Config!$E$27*Config!$E$28)</f>
        <v>114</v>
      </c>
      <c r="D684" s="114" t="n">
        <f aca="false">IF(B684="Tema",MOD(A684-1,Config!$E$28)+1,"")</f>
        <v>2</v>
      </c>
      <c r="E684" s="115" t="str">
        <f aca="false">IF($B684="Tema",IF(ISNUMBER(INDEX(Temas!$E$6:$P$305,$C684,2*$D684-1)),INDEX(Temas!$E$6:$P$305,$C684,2*$D684-1),""),IF(ISNUMBER(INDEX(Avulsos!$B$6:$B$205,$C684)),INDEX(Avulsos!$B$6:$B$205,$C684),""))</f>
        <v/>
      </c>
      <c r="F684" s="114" t="str">
        <f aca="false">IF($E684="","",IF($B684="Tema",INDEX(Temas!$B$6:$B$305,$C684)&amp;"",INDEX(Avulsos!$C$6:$C$205,$C684)&amp;""))</f>
        <v/>
      </c>
      <c r="G684" s="114" t="str">
        <f aca="false">IF($E684="","",IF($B684="Tema",INDEX(Config!$C$6:$C$11,$D684),"Evento avulso"))</f>
        <v/>
      </c>
      <c r="H684" s="114" t="str">
        <f aca="false">IF($E684="","",IF($B684="Tema",INDEX(Config!$D$6:$D$11,$D684),IFERROR(INDEX(Config!$E$15:$E$19,MATCH($I684,Config!$C$15:$C$19,0)),"•")))</f>
        <v/>
      </c>
      <c r="I684" s="114" t="str">
        <f aca="false">IF($E684="","",IF($B684="Tema",INDEX(Config!$E$6:$E$11,$D684),IF(INDEX(Avulsos!$D$6:$D$205,$C684)&amp;""="","Outro",INDEX(Avulsos!$D$6:$D$205,$C684))))</f>
        <v/>
      </c>
      <c r="J684" s="114" t="str">
        <f aca="false">IF($E684="","",IF($B684="Tema",INDEX(Temas!$C$6:$C$305,$C684)&amp;"",INDEX(Avulsos!$E$6:$E$205,$C684)&amp;""))</f>
        <v/>
      </c>
      <c r="K684" s="114" t="str">
        <f aca="false">IF($E684="","",IF(IF($B684="Tema",INDEX(Temas!$E$6:$P$305,$C684,2*$D684),INDEX(Avulsos!$F$6:$F$205,$C684))&amp;""="","","✓"))</f>
        <v/>
      </c>
      <c r="L684" s="114" t="str">
        <f aca="true">IF($E684="","",IF($K684="✓","Concluído",IF($E684&lt;TODAY(),"Atrasado",IF($E684=TODAY(),"Hoje","Pendente"))))</f>
        <v/>
      </c>
      <c r="M684" s="114" t="str">
        <f aca="false">IF($E684="","",IF($K684="✓","✓ ","")&amp;IF(Config!$E$22="Sim",$H684&amp;" · ","")&amp;$F684)</f>
        <v/>
      </c>
      <c r="N684" s="114" t="str">
        <f aca="false">IF($E684="","",IFERROR(INDEX(Config!$D$15:$D$19,MATCH($I684,Config!$C$15:$C$19,0)),"OUT")&amp;IF($K684="✓","x",""))</f>
        <v/>
      </c>
      <c r="O684" s="114" t="str">
        <f aca="false">IF($E684="","",COUNTIF($E$5:$E684,$E684))</f>
        <v/>
      </c>
      <c r="P684" s="114" t="str">
        <f aca="false">IF($E684="","",$E684*100+$O684)</f>
        <v/>
      </c>
      <c r="Q684" s="114" t="str">
        <f aca="false">IF($L684="Atrasado",$E684*10000+$A684,"")</f>
        <v/>
      </c>
    </row>
    <row r="685" customFormat="false" ht="15" hidden="false" customHeight="false" outlineLevel="0" collapsed="false">
      <c r="A685" s="114" t="n">
        <f aca="false">ROW()-4</f>
        <v>681</v>
      </c>
      <c r="B685" s="114" t="str">
        <f aca="false">IF(A685&lt;=Config!$E$27*Config!$E$28,"Tema","Avulso")</f>
        <v>Tema</v>
      </c>
      <c r="C685" s="114" t="n">
        <f aca="false">IF(B685="Tema",INT((A685-1)/Config!$E$28)+1,A685-Config!$E$27*Config!$E$28)</f>
        <v>114</v>
      </c>
      <c r="D685" s="114" t="n">
        <f aca="false">IF(B685="Tema",MOD(A685-1,Config!$E$28)+1,"")</f>
        <v>3</v>
      </c>
      <c r="E685" s="115" t="str">
        <f aca="false">IF($B685="Tema",IF(ISNUMBER(INDEX(Temas!$E$6:$P$305,$C685,2*$D685-1)),INDEX(Temas!$E$6:$P$305,$C685,2*$D685-1),""),IF(ISNUMBER(INDEX(Avulsos!$B$6:$B$205,$C685)),INDEX(Avulsos!$B$6:$B$205,$C685),""))</f>
        <v/>
      </c>
      <c r="F685" s="114" t="str">
        <f aca="false">IF($E685="","",IF($B685="Tema",INDEX(Temas!$B$6:$B$305,$C685)&amp;"",INDEX(Avulsos!$C$6:$C$205,$C685)&amp;""))</f>
        <v/>
      </c>
      <c r="G685" s="114" t="str">
        <f aca="false">IF($E685="","",IF($B685="Tema",INDEX(Config!$C$6:$C$11,$D685),"Evento avulso"))</f>
        <v/>
      </c>
      <c r="H685" s="114" t="str">
        <f aca="false">IF($E685="","",IF($B685="Tema",INDEX(Config!$D$6:$D$11,$D685),IFERROR(INDEX(Config!$E$15:$E$19,MATCH($I685,Config!$C$15:$C$19,0)),"•")))</f>
        <v/>
      </c>
      <c r="I685" s="114" t="str">
        <f aca="false">IF($E685="","",IF($B685="Tema",INDEX(Config!$E$6:$E$11,$D685),IF(INDEX(Avulsos!$D$6:$D$205,$C685)&amp;""="","Outro",INDEX(Avulsos!$D$6:$D$205,$C685))))</f>
        <v/>
      </c>
      <c r="J685" s="114" t="str">
        <f aca="false">IF($E685="","",IF($B685="Tema",INDEX(Temas!$C$6:$C$305,$C685)&amp;"",INDEX(Avulsos!$E$6:$E$205,$C685)&amp;""))</f>
        <v/>
      </c>
      <c r="K685" s="114" t="str">
        <f aca="false">IF($E685="","",IF(IF($B685="Tema",INDEX(Temas!$E$6:$P$305,$C685,2*$D685),INDEX(Avulsos!$F$6:$F$205,$C685))&amp;""="","","✓"))</f>
        <v/>
      </c>
      <c r="L685" s="114" t="str">
        <f aca="true">IF($E685="","",IF($K685="✓","Concluído",IF($E685&lt;TODAY(),"Atrasado",IF($E685=TODAY(),"Hoje","Pendente"))))</f>
        <v/>
      </c>
      <c r="M685" s="114" t="str">
        <f aca="false">IF($E685="","",IF($K685="✓","✓ ","")&amp;IF(Config!$E$22="Sim",$H685&amp;" · ","")&amp;$F685)</f>
        <v/>
      </c>
      <c r="N685" s="114" t="str">
        <f aca="false">IF($E685="","",IFERROR(INDEX(Config!$D$15:$D$19,MATCH($I685,Config!$C$15:$C$19,0)),"OUT")&amp;IF($K685="✓","x",""))</f>
        <v/>
      </c>
      <c r="O685" s="114" t="str">
        <f aca="false">IF($E685="","",COUNTIF($E$5:$E685,$E685))</f>
        <v/>
      </c>
      <c r="P685" s="114" t="str">
        <f aca="false">IF($E685="","",$E685*100+$O685)</f>
        <v/>
      </c>
      <c r="Q685" s="114" t="str">
        <f aca="false">IF($L685="Atrasado",$E685*10000+$A685,"")</f>
        <v/>
      </c>
    </row>
    <row r="686" customFormat="false" ht="15" hidden="false" customHeight="false" outlineLevel="0" collapsed="false">
      <c r="A686" s="114" t="n">
        <f aca="false">ROW()-4</f>
        <v>682</v>
      </c>
      <c r="B686" s="114" t="str">
        <f aca="false">IF(A686&lt;=Config!$E$27*Config!$E$28,"Tema","Avulso")</f>
        <v>Tema</v>
      </c>
      <c r="C686" s="114" t="n">
        <f aca="false">IF(B686="Tema",INT((A686-1)/Config!$E$28)+1,A686-Config!$E$27*Config!$E$28)</f>
        <v>114</v>
      </c>
      <c r="D686" s="114" t="n">
        <f aca="false">IF(B686="Tema",MOD(A686-1,Config!$E$28)+1,"")</f>
        <v>4</v>
      </c>
      <c r="E686" s="115" t="str">
        <f aca="false">IF($B686="Tema",IF(ISNUMBER(INDEX(Temas!$E$6:$P$305,$C686,2*$D686-1)),INDEX(Temas!$E$6:$P$305,$C686,2*$D686-1),""),IF(ISNUMBER(INDEX(Avulsos!$B$6:$B$205,$C686)),INDEX(Avulsos!$B$6:$B$205,$C686),""))</f>
        <v/>
      </c>
      <c r="F686" s="114" t="str">
        <f aca="false">IF($E686="","",IF($B686="Tema",INDEX(Temas!$B$6:$B$305,$C686)&amp;"",INDEX(Avulsos!$C$6:$C$205,$C686)&amp;""))</f>
        <v/>
      </c>
      <c r="G686" s="114" t="str">
        <f aca="false">IF($E686="","",IF($B686="Tema",INDEX(Config!$C$6:$C$11,$D686),"Evento avulso"))</f>
        <v/>
      </c>
      <c r="H686" s="114" t="str">
        <f aca="false">IF($E686="","",IF($B686="Tema",INDEX(Config!$D$6:$D$11,$D686),IFERROR(INDEX(Config!$E$15:$E$19,MATCH($I686,Config!$C$15:$C$19,0)),"•")))</f>
        <v/>
      </c>
      <c r="I686" s="114" t="str">
        <f aca="false">IF($E686="","",IF($B686="Tema",INDEX(Config!$E$6:$E$11,$D686),IF(INDEX(Avulsos!$D$6:$D$205,$C686)&amp;""="","Outro",INDEX(Avulsos!$D$6:$D$205,$C686))))</f>
        <v/>
      </c>
      <c r="J686" s="114" t="str">
        <f aca="false">IF($E686="","",IF($B686="Tema",INDEX(Temas!$C$6:$C$305,$C686)&amp;"",INDEX(Avulsos!$E$6:$E$205,$C686)&amp;""))</f>
        <v/>
      </c>
      <c r="K686" s="114" t="str">
        <f aca="false">IF($E686="","",IF(IF($B686="Tema",INDEX(Temas!$E$6:$P$305,$C686,2*$D686),INDEX(Avulsos!$F$6:$F$205,$C686))&amp;""="","","✓"))</f>
        <v/>
      </c>
      <c r="L686" s="114" t="str">
        <f aca="true">IF($E686="","",IF($K686="✓","Concluído",IF($E686&lt;TODAY(),"Atrasado",IF($E686=TODAY(),"Hoje","Pendente"))))</f>
        <v/>
      </c>
      <c r="M686" s="114" t="str">
        <f aca="false">IF($E686="","",IF($K686="✓","✓ ","")&amp;IF(Config!$E$22="Sim",$H686&amp;" · ","")&amp;$F686)</f>
        <v/>
      </c>
      <c r="N686" s="114" t="str">
        <f aca="false">IF($E686="","",IFERROR(INDEX(Config!$D$15:$D$19,MATCH($I686,Config!$C$15:$C$19,0)),"OUT")&amp;IF($K686="✓","x",""))</f>
        <v/>
      </c>
      <c r="O686" s="114" t="str">
        <f aca="false">IF($E686="","",COUNTIF($E$5:$E686,$E686))</f>
        <v/>
      </c>
      <c r="P686" s="114" t="str">
        <f aca="false">IF($E686="","",$E686*100+$O686)</f>
        <v/>
      </c>
      <c r="Q686" s="114" t="str">
        <f aca="false">IF($L686="Atrasado",$E686*10000+$A686,"")</f>
        <v/>
      </c>
    </row>
    <row r="687" customFormat="false" ht="15" hidden="false" customHeight="false" outlineLevel="0" collapsed="false">
      <c r="A687" s="114" t="n">
        <f aca="false">ROW()-4</f>
        <v>683</v>
      </c>
      <c r="B687" s="114" t="str">
        <f aca="false">IF(A687&lt;=Config!$E$27*Config!$E$28,"Tema","Avulso")</f>
        <v>Tema</v>
      </c>
      <c r="C687" s="114" t="n">
        <f aca="false">IF(B687="Tema",INT((A687-1)/Config!$E$28)+1,A687-Config!$E$27*Config!$E$28)</f>
        <v>114</v>
      </c>
      <c r="D687" s="114" t="n">
        <f aca="false">IF(B687="Tema",MOD(A687-1,Config!$E$28)+1,"")</f>
        <v>5</v>
      </c>
      <c r="E687" s="115" t="str">
        <f aca="false">IF($B687="Tema",IF(ISNUMBER(INDEX(Temas!$E$6:$P$305,$C687,2*$D687-1)),INDEX(Temas!$E$6:$P$305,$C687,2*$D687-1),""),IF(ISNUMBER(INDEX(Avulsos!$B$6:$B$205,$C687)),INDEX(Avulsos!$B$6:$B$205,$C687),""))</f>
        <v/>
      </c>
      <c r="F687" s="114" t="str">
        <f aca="false">IF($E687="","",IF($B687="Tema",INDEX(Temas!$B$6:$B$305,$C687)&amp;"",INDEX(Avulsos!$C$6:$C$205,$C687)&amp;""))</f>
        <v/>
      </c>
      <c r="G687" s="114" t="str">
        <f aca="false">IF($E687="","",IF($B687="Tema",INDEX(Config!$C$6:$C$11,$D687),"Evento avulso"))</f>
        <v/>
      </c>
      <c r="H687" s="114" t="str">
        <f aca="false">IF($E687="","",IF($B687="Tema",INDEX(Config!$D$6:$D$11,$D687),IFERROR(INDEX(Config!$E$15:$E$19,MATCH($I687,Config!$C$15:$C$19,0)),"•")))</f>
        <v/>
      </c>
      <c r="I687" s="114" t="str">
        <f aca="false">IF($E687="","",IF($B687="Tema",INDEX(Config!$E$6:$E$11,$D687),IF(INDEX(Avulsos!$D$6:$D$205,$C687)&amp;""="","Outro",INDEX(Avulsos!$D$6:$D$205,$C687))))</f>
        <v/>
      </c>
      <c r="J687" s="114" t="str">
        <f aca="false">IF($E687="","",IF($B687="Tema",INDEX(Temas!$C$6:$C$305,$C687)&amp;"",INDEX(Avulsos!$E$6:$E$205,$C687)&amp;""))</f>
        <v/>
      </c>
      <c r="K687" s="114" t="str">
        <f aca="false">IF($E687="","",IF(IF($B687="Tema",INDEX(Temas!$E$6:$P$305,$C687,2*$D687),INDEX(Avulsos!$F$6:$F$205,$C687))&amp;""="","","✓"))</f>
        <v/>
      </c>
      <c r="L687" s="114" t="str">
        <f aca="true">IF($E687="","",IF($K687="✓","Concluído",IF($E687&lt;TODAY(),"Atrasado",IF($E687=TODAY(),"Hoje","Pendente"))))</f>
        <v/>
      </c>
      <c r="M687" s="114" t="str">
        <f aca="false">IF($E687="","",IF($K687="✓","✓ ","")&amp;IF(Config!$E$22="Sim",$H687&amp;" · ","")&amp;$F687)</f>
        <v/>
      </c>
      <c r="N687" s="114" t="str">
        <f aca="false">IF($E687="","",IFERROR(INDEX(Config!$D$15:$D$19,MATCH($I687,Config!$C$15:$C$19,0)),"OUT")&amp;IF($K687="✓","x",""))</f>
        <v/>
      </c>
      <c r="O687" s="114" t="str">
        <f aca="false">IF($E687="","",COUNTIF($E$5:$E687,$E687))</f>
        <v/>
      </c>
      <c r="P687" s="114" t="str">
        <f aca="false">IF($E687="","",$E687*100+$O687)</f>
        <v/>
      </c>
      <c r="Q687" s="114" t="str">
        <f aca="false">IF($L687="Atrasado",$E687*10000+$A687,"")</f>
        <v/>
      </c>
    </row>
    <row r="688" customFormat="false" ht="15" hidden="false" customHeight="false" outlineLevel="0" collapsed="false">
      <c r="A688" s="114" t="n">
        <f aca="false">ROW()-4</f>
        <v>684</v>
      </c>
      <c r="B688" s="114" t="str">
        <f aca="false">IF(A688&lt;=Config!$E$27*Config!$E$28,"Tema","Avulso")</f>
        <v>Tema</v>
      </c>
      <c r="C688" s="114" t="n">
        <f aca="false">IF(B688="Tema",INT((A688-1)/Config!$E$28)+1,A688-Config!$E$27*Config!$E$28)</f>
        <v>114</v>
      </c>
      <c r="D688" s="114" t="n">
        <f aca="false">IF(B688="Tema",MOD(A688-1,Config!$E$28)+1,"")</f>
        <v>6</v>
      </c>
      <c r="E688" s="115" t="str">
        <f aca="false">IF($B688="Tema",IF(ISNUMBER(INDEX(Temas!$E$6:$P$305,$C688,2*$D688-1)),INDEX(Temas!$E$6:$P$305,$C688,2*$D688-1),""),IF(ISNUMBER(INDEX(Avulsos!$B$6:$B$205,$C688)),INDEX(Avulsos!$B$6:$B$205,$C688),""))</f>
        <v/>
      </c>
      <c r="F688" s="114" t="str">
        <f aca="false">IF($E688="","",IF($B688="Tema",INDEX(Temas!$B$6:$B$305,$C688)&amp;"",INDEX(Avulsos!$C$6:$C$205,$C688)&amp;""))</f>
        <v/>
      </c>
      <c r="G688" s="114" t="str">
        <f aca="false">IF($E688="","",IF($B688="Tema",INDEX(Config!$C$6:$C$11,$D688),"Evento avulso"))</f>
        <v/>
      </c>
      <c r="H688" s="114" t="str">
        <f aca="false">IF($E688="","",IF($B688="Tema",INDEX(Config!$D$6:$D$11,$D688),IFERROR(INDEX(Config!$E$15:$E$19,MATCH($I688,Config!$C$15:$C$19,0)),"•")))</f>
        <v/>
      </c>
      <c r="I688" s="114" t="str">
        <f aca="false">IF($E688="","",IF($B688="Tema",INDEX(Config!$E$6:$E$11,$D688),IF(INDEX(Avulsos!$D$6:$D$205,$C688)&amp;""="","Outro",INDEX(Avulsos!$D$6:$D$205,$C688))))</f>
        <v/>
      </c>
      <c r="J688" s="114" t="str">
        <f aca="false">IF($E688="","",IF($B688="Tema",INDEX(Temas!$C$6:$C$305,$C688)&amp;"",INDEX(Avulsos!$E$6:$E$205,$C688)&amp;""))</f>
        <v/>
      </c>
      <c r="K688" s="114" t="str">
        <f aca="false">IF($E688="","",IF(IF($B688="Tema",INDEX(Temas!$E$6:$P$305,$C688,2*$D688),INDEX(Avulsos!$F$6:$F$205,$C688))&amp;""="","","✓"))</f>
        <v/>
      </c>
      <c r="L688" s="114" t="str">
        <f aca="true">IF($E688="","",IF($K688="✓","Concluído",IF($E688&lt;TODAY(),"Atrasado",IF($E688=TODAY(),"Hoje","Pendente"))))</f>
        <v/>
      </c>
      <c r="M688" s="114" t="str">
        <f aca="false">IF($E688="","",IF($K688="✓","✓ ","")&amp;IF(Config!$E$22="Sim",$H688&amp;" · ","")&amp;$F688)</f>
        <v/>
      </c>
      <c r="N688" s="114" t="str">
        <f aca="false">IF($E688="","",IFERROR(INDEX(Config!$D$15:$D$19,MATCH($I688,Config!$C$15:$C$19,0)),"OUT")&amp;IF($K688="✓","x",""))</f>
        <v/>
      </c>
      <c r="O688" s="114" t="str">
        <f aca="false">IF($E688="","",COUNTIF($E$5:$E688,$E688))</f>
        <v/>
      </c>
      <c r="P688" s="114" t="str">
        <f aca="false">IF($E688="","",$E688*100+$O688)</f>
        <v/>
      </c>
      <c r="Q688" s="114" t="str">
        <f aca="false">IF($L688="Atrasado",$E688*10000+$A688,"")</f>
        <v/>
      </c>
    </row>
    <row r="689" customFormat="false" ht="15" hidden="false" customHeight="false" outlineLevel="0" collapsed="false">
      <c r="A689" s="114" t="n">
        <f aca="false">ROW()-4</f>
        <v>685</v>
      </c>
      <c r="B689" s="114" t="str">
        <f aca="false">IF(A689&lt;=Config!$E$27*Config!$E$28,"Tema","Avulso")</f>
        <v>Tema</v>
      </c>
      <c r="C689" s="114" t="n">
        <f aca="false">IF(B689="Tema",INT((A689-1)/Config!$E$28)+1,A689-Config!$E$27*Config!$E$28)</f>
        <v>115</v>
      </c>
      <c r="D689" s="114" t="n">
        <f aca="false">IF(B689="Tema",MOD(A689-1,Config!$E$28)+1,"")</f>
        <v>1</v>
      </c>
      <c r="E689" s="115" t="str">
        <f aca="false">IF($B689="Tema",IF(ISNUMBER(INDEX(Temas!$E$6:$P$305,$C689,2*$D689-1)),INDEX(Temas!$E$6:$P$305,$C689,2*$D689-1),""),IF(ISNUMBER(INDEX(Avulsos!$B$6:$B$205,$C689)),INDEX(Avulsos!$B$6:$B$205,$C689),""))</f>
        <v/>
      </c>
      <c r="F689" s="114" t="str">
        <f aca="false">IF($E689="","",IF($B689="Tema",INDEX(Temas!$B$6:$B$305,$C689)&amp;"",INDEX(Avulsos!$C$6:$C$205,$C689)&amp;""))</f>
        <v/>
      </c>
      <c r="G689" s="114" t="str">
        <f aca="false">IF($E689="","",IF($B689="Tema",INDEX(Config!$C$6:$C$11,$D689),"Evento avulso"))</f>
        <v/>
      </c>
      <c r="H689" s="114" t="str">
        <f aca="false">IF($E689="","",IF($B689="Tema",INDEX(Config!$D$6:$D$11,$D689),IFERROR(INDEX(Config!$E$15:$E$19,MATCH($I689,Config!$C$15:$C$19,0)),"•")))</f>
        <v/>
      </c>
      <c r="I689" s="114" t="str">
        <f aca="false">IF($E689="","",IF($B689="Tema",INDEX(Config!$E$6:$E$11,$D689),IF(INDEX(Avulsos!$D$6:$D$205,$C689)&amp;""="","Outro",INDEX(Avulsos!$D$6:$D$205,$C689))))</f>
        <v/>
      </c>
      <c r="J689" s="114" t="str">
        <f aca="false">IF($E689="","",IF($B689="Tema",INDEX(Temas!$C$6:$C$305,$C689)&amp;"",INDEX(Avulsos!$E$6:$E$205,$C689)&amp;""))</f>
        <v/>
      </c>
      <c r="K689" s="114" t="str">
        <f aca="false">IF($E689="","",IF(IF($B689="Tema",INDEX(Temas!$E$6:$P$305,$C689,2*$D689),INDEX(Avulsos!$F$6:$F$205,$C689))&amp;""="","","✓"))</f>
        <v/>
      </c>
      <c r="L689" s="114" t="str">
        <f aca="true">IF($E689="","",IF($K689="✓","Concluído",IF($E689&lt;TODAY(),"Atrasado",IF($E689=TODAY(),"Hoje","Pendente"))))</f>
        <v/>
      </c>
      <c r="M689" s="114" t="str">
        <f aca="false">IF($E689="","",IF($K689="✓","✓ ","")&amp;IF(Config!$E$22="Sim",$H689&amp;" · ","")&amp;$F689)</f>
        <v/>
      </c>
      <c r="N689" s="114" t="str">
        <f aca="false">IF($E689="","",IFERROR(INDEX(Config!$D$15:$D$19,MATCH($I689,Config!$C$15:$C$19,0)),"OUT")&amp;IF($K689="✓","x",""))</f>
        <v/>
      </c>
      <c r="O689" s="114" t="str">
        <f aca="false">IF($E689="","",COUNTIF($E$5:$E689,$E689))</f>
        <v/>
      </c>
      <c r="P689" s="114" t="str">
        <f aca="false">IF($E689="","",$E689*100+$O689)</f>
        <v/>
      </c>
      <c r="Q689" s="114" t="str">
        <f aca="false">IF($L689="Atrasado",$E689*10000+$A689,"")</f>
        <v/>
      </c>
    </row>
    <row r="690" customFormat="false" ht="15" hidden="false" customHeight="false" outlineLevel="0" collapsed="false">
      <c r="A690" s="114" t="n">
        <f aca="false">ROW()-4</f>
        <v>686</v>
      </c>
      <c r="B690" s="114" t="str">
        <f aca="false">IF(A690&lt;=Config!$E$27*Config!$E$28,"Tema","Avulso")</f>
        <v>Tema</v>
      </c>
      <c r="C690" s="114" t="n">
        <f aca="false">IF(B690="Tema",INT((A690-1)/Config!$E$28)+1,A690-Config!$E$27*Config!$E$28)</f>
        <v>115</v>
      </c>
      <c r="D690" s="114" t="n">
        <f aca="false">IF(B690="Tema",MOD(A690-1,Config!$E$28)+1,"")</f>
        <v>2</v>
      </c>
      <c r="E690" s="115" t="str">
        <f aca="false">IF($B690="Tema",IF(ISNUMBER(INDEX(Temas!$E$6:$P$305,$C690,2*$D690-1)),INDEX(Temas!$E$6:$P$305,$C690,2*$D690-1),""),IF(ISNUMBER(INDEX(Avulsos!$B$6:$B$205,$C690)),INDEX(Avulsos!$B$6:$B$205,$C690),""))</f>
        <v/>
      </c>
      <c r="F690" s="114" t="str">
        <f aca="false">IF($E690="","",IF($B690="Tema",INDEX(Temas!$B$6:$B$305,$C690)&amp;"",INDEX(Avulsos!$C$6:$C$205,$C690)&amp;""))</f>
        <v/>
      </c>
      <c r="G690" s="114" t="str">
        <f aca="false">IF($E690="","",IF($B690="Tema",INDEX(Config!$C$6:$C$11,$D690),"Evento avulso"))</f>
        <v/>
      </c>
      <c r="H690" s="114" t="str">
        <f aca="false">IF($E690="","",IF($B690="Tema",INDEX(Config!$D$6:$D$11,$D690),IFERROR(INDEX(Config!$E$15:$E$19,MATCH($I690,Config!$C$15:$C$19,0)),"•")))</f>
        <v/>
      </c>
      <c r="I690" s="114" t="str">
        <f aca="false">IF($E690="","",IF($B690="Tema",INDEX(Config!$E$6:$E$11,$D690),IF(INDEX(Avulsos!$D$6:$D$205,$C690)&amp;""="","Outro",INDEX(Avulsos!$D$6:$D$205,$C690))))</f>
        <v/>
      </c>
      <c r="J690" s="114" t="str">
        <f aca="false">IF($E690="","",IF($B690="Tema",INDEX(Temas!$C$6:$C$305,$C690)&amp;"",INDEX(Avulsos!$E$6:$E$205,$C690)&amp;""))</f>
        <v/>
      </c>
      <c r="K690" s="114" t="str">
        <f aca="false">IF($E690="","",IF(IF($B690="Tema",INDEX(Temas!$E$6:$P$305,$C690,2*$D690),INDEX(Avulsos!$F$6:$F$205,$C690))&amp;""="","","✓"))</f>
        <v/>
      </c>
      <c r="L690" s="114" t="str">
        <f aca="true">IF($E690="","",IF($K690="✓","Concluído",IF($E690&lt;TODAY(),"Atrasado",IF($E690=TODAY(),"Hoje","Pendente"))))</f>
        <v/>
      </c>
      <c r="M690" s="114" t="str">
        <f aca="false">IF($E690="","",IF($K690="✓","✓ ","")&amp;IF(Config!$E$22="Sim",$H690&amp;" · ","")&amp;$F690)</f>
        <v/>
      </c>
      <c r="N690" s="114" t="str">
        <f aca="false">IF($E690="","",IFERROR(INDEX(Config!$D$15:$D$19,MATCH($I690,Config!$C$15:$C$19,0)),"OUT")&amp;IF($K690="✓","x",""))</f>
        <v/>
      </c>
      <c r="O690" s="114" t="str">
        <f aca="false">IF($E690="","",COUNTIF($E$5:$E690,$E690))</f>
        <v/>
      </c>
      <c r="P690" s="114" t="str">
        <f aca="false">IF($E690="","",$E690*100+$O690)</f>
        <v/>
      </c>
      <c r="Q690" s="114" t="str">
        <f aca="false">IF($L690="Atrasado",$E690*10000+$A690,"")</f>
        <v/>
      </c>
    </row>
    <row r="691" customFormat="false" ht="15" hidden="false" customHeight="false" outlineLevel="0" collapsed="false">
      <c r="A691" s="114" t="n">
        <f aca="false">ROW()-4</f>
        <v>687</v>
      </c>
      <c r="B691" s="114" t="str">
        <f aca="false">IF(A691&lt;=Config!$E$27*Config!$E$28,"Tema","Avulso")</f>
        <v>Tema</v>
      </c>
      <c r="C691" s="114" t="n">
        <f aca="false">IF(B691="Tema",INT((A691-1)/Config!$E$28)+1,A691-Config!$E$27*Config!$E$28)</f>
        <v>115</v>
      </c>
      <c r="D691" s="114" t="n">
        <f aca="false">IF(B691="Tema",MOD(A691-1,Config!$E$28)+1,"")</f>
        <v>3</v>
      </c>
      <c r="E691" s="115" t="str">
        <f aca="false">IF($B691="Tema",IF(ISNUMBER(INDEX(Temas!$E$6:$P$305,$C691,2*$D691-1)),INDEX(Temas!$E$6:$P$305,$C691,2*$D691-1),""),IF(ISNUMBER(INDEX(Avulsos!$B$6:$B$205,$C691)),INDEX(Avulsos!$B$6:$B$205,$C691),""))</f>
        <v/>
      </c>
      <c r="F691" s="114" t="str">
        <f aca="false">IF($E691="","",IF($B691="Tema",INDEX(Temas!$B$6:$B$305,$C691)&amp;"",INDEX(Avulsos!$C$6:$C$205,$C691)&amp;""))</f>
        <v/>
      </c>
      <c r="G691" s="114" t="str">
        <f aca="false">IF($E691="","",IF($B691="Tema",INDEX(Config!$C$6:$C$11,$D691),"Evento avulso"))</f>
        <v/>
      </c>
      <c r="H691" s="114" t="str">
        <f aca="false">IF($E691="","",IF($B691="Tema",INDEX(Config!$D$6:$D$11,$D691),IFERROR(INDEX(Config!$E$15:$E$19,MATCH($I691,Config!$C$15:$C$19,0)),"•")))</f>
        <v/>
      </c>
      <c r="I691" s="114" t="str">
        <f aca="false">IF($E691="","",IF($B691="Tema",INDEX(Config!$E$6:$E$11,$D691),IF(INDEX(Avulsos!$D$6:$D$205,$C691)&amp;""="","Outro",INDEX(Avulsos!$D$6:$D$205,$C691))))</f>
        <v/>
      </c>
      <c r="J691" s="114" t="str">
        <f aca="false">IF($E691="","",IF($B691="Tema",INDEX(Temas!$C$6:$C$305,$C691)&amp;"",INDEX(Avulsos!$E$6:$E$205,$C691)&amp;""))</f>
        <v/>
      </c>
      <c r="K691" s="114" t="str">
        <f aca="false">IF($E691="","",IF(IF($B691="Tema",INDEX(Temas!$E$6:$P$305,$C691,2*$D691),INDEX(Avulsos!$F$6:$F$205,$C691))&amp;""="","","✓"))</f>
        <v/>
      </c>
      <c r="L691" s="114" t="str">
        <f aca="true">IF($E691="","",IF($K691="✓","Concluído",IF($E691&lt;TODAY(),"Atrasado",IF($E691=TODAY(),"Hoje","Pendente"))))</f>
        <v/>
      </c>
      <c r="M691" s="114" t="str">
        <f aca="false">IF($E691="","",IF($K691="✓","✓ ","")&amp;IF(Config!$E$22="Sim",$H691&amp;" · ","")&amp;$F691)</f>
        <v/>
      </c>
      <c r="N691" s="114" t="str">
        <f aca="false">IF($E691="","",IFERROR(INDEX(Config!$D$15:$D$19,MATCH($I691,Config!$C$15:$C$19,0)),"OUT")&amp;IF($K691="✓","x",""))</f>
        <v/>
      </c>
      <c r="O691" s="114" t="str">
        <f aca="false">IF($E691="","",COUNTIF($E$5:$E691,$E691))</f>
        <v/>
      </c>
      <c r="P691" s="114" t="str">
        <f aca="false">IF($E691="","",$E691*100+$O691)</f>
        <v/>
      </c>
      <c r="Q691" s="114" t="str">
        <f aca="false">IF($L691="Atrasado",$E691*10000+$A691,"")</f>
        <v/>
      </c>
    </row>
    <row r="692" customFormat="false" ht="15" hidden="false" customHeight="false" outlineLevel="0" collapsed="false">
      <c r="A692" s="114" t="n">
        <f aca="false">ROW()-4</f>
        <v>688</v>
      </c>
      <c r="B692" s="114" t="str">
        <f aca="false">IF(A692&lt;=Config!$E$27*Config!$E$28,"Tema","Avulso")</f>
        <v>Tema</v>
      </c>
      <c r="C692" s="114" t="n">
        <f aca="false">IF(B692="Tema",INT((A692-1)/Config!$E$28)+1,A692-Config!$E$27*Config!$E$28)</f>
        <v>115</v>
      </c>
      <c r="D692" s="114" t="n">
        <f aca="false">IF(B692="Tema",MOD(A692-1,Config!$E$28)+1,"")</f>
        <v>4</v>
      </c>
      <c r="E692" s="115" t="str">
        <f aca="false">IF($B692="Tema",IF(ISNUMBER(INDEX(Temas!$E$6:$P$305,$C692,2*$D692-1)),INDEX(Temas!$E$6:$P$305,$C692,2*$D692-1),""),IF(ISNUMBER(INDEX(Avulsos!$B$6:$B$205,$C692)),INDEX(Avulsos!$B$6:$B$205,$C692),""))</f>
        <v/>
      </c>
      <c r="F692" s="114" t="str">
        <f aca="false">IF($E692="","",IF($B692="Tema",INDEX(Temas!$B$6:$B$305,$C692)&amp;"",INDEX(Avulsos!$C$6:$C$205,$C692)&amp;""))</f>
        <v/>
      </c>
      <c r="G692" s="114" t="str">
        <f aca="false">IF($E692="","",IF($B692="Tema",INDEX(Config!$C$6:$C$11,$D692),"Evento avulso"))</f>
        <v/>
      </c>
      <c r="H692" s="114" t="str">
        <f aca="false">IF($E692="","",IF($B692="Tema",INDEX(Config!$D$6:$D$11,$D692),IFERROR(INDEX(Config!$E$15:$E$19,MATCH($I692,Config!$C$15:$C$19,0)),"•")))</f>
        <v/>
      </c>
      <c r="I692" s="114" t="str">
        <f aca="false">IF($E692="","",IF($B692="Tema",INDEX(Config!$E$6:$E$11,$D692),IF(INDEX(Avulsos!$D$6:$D$205,$C692)&amp;""="","Outro",INDEX(Avulsos!$D$6:$D$205,$C692))))</f>
        <v/>
      </c>
      <c r="J692" s="114" t="str">
        <f aca="false">IF($E692="","",IF($B692="Tema",INDEX(Temas!$C$6:$C$305,$C692)&amp;"",INDEX(Avulsos!$E$6:$E$205,$C692)&amp;""))</f>
        <v/>
      </c>
      <c r="K692" s="114" t="str">
        <f aca="false">IF($E692="","",IF(IF($B692="Tema",INDEX(Temas!$E$6:$P$305,$C692,2*$D692),INDEX(Avulsos!$F$6:$F$205,$C692))&amp;""="","","✓"))</f>
        <v/>
      </c>
      <c r="L692" s="114" t="str">
        <f aca="true">IF($E692="","",IF($K692="✓","Concluído",IF($E692&lt;TODAY(),"Atrasado",IF($E692=TODAY(),"Hoje","Pendente"))))</f>
        <v/>
      </c>
      <c r="M692" s="114" t="str">
        <f aca="false">IF($E692="","",IF($K692="✓","✓ ","")&amp;IF(Config!$E$22="Sim",$H692&amp;" · ","")&amp;$F692)</f>
        <v/>
      </c>
      <c r="N692" s="114" t="str">
        <f aca="false">IF($E692="","",IFERROR(INDEX(Config!$D$15:$D$19,MATCH($I692,Config!$C$15:$C$19,0)),"OUT")&amp;IF($K692="✓","x",""))</f>
        <v/>
      </c>
      <c r="O692" s="114" t="str">
        <f aca="false">IF($E692="","",COUNTIF($E$5:$E692,$E692))</f>
        <v/>
      </c>
      <c r="P692" s="114" t="str">
        <f aca="false">IF($E692="","",$E692*100+$O692)</f>
        <v/>
      </c>
      <c r="Q692" s="114" t="str">
        <f aca="false">IF($L692="Atrasado",$E692*10000+$A692,"")</f>
        <v/>
      </c>
    </row>
    <row r="693" customFormat="false" ht="15" hidden="false" customHeight="false" outlineLevel="0" collapsed="false">
      <c r="A693" s="114" t="n">
        <f aca="false">ROW()-4</f>
        <v>689</v>
      </c>
      <c r="B693" s="114" t="str">
        <f aca="false">IF(A693&lt;=Config!$E$27*Config!$E$28,"Tema","Avulso")</f>
        <v>Tema</v>
      </c>
      <c r="C693" s="114" t="n">
        <f aca="false">IF(B693="Tema",INT((A693-1)/Config!$E$28)+1,A693-Config!$E$27*Config!$E$28)</f>
        <v>115</v>
      </c>
      <c r="D693" s="114" t="n">
        <f aca="false">IF(B693="Tema",MOD(A693-1,Config!$E$28)+1,"")</f>
        <v>5</v>
      </c>
      <c r="E693" s="115" t="str">
        <f aca="false">IF($B693="Tema",IF(ISNUMBER(INDEX(Temas!$E$6:$P$305,$C693,2*$D693-1)),INDEX(Temas!$E$6:$P$305,$C693,2*$D693-1),""),IF(ISNUMBER(INDEX(Avulsos!$B$6:$B$205,$C693)),INDEX(Avulsos!$B$6:$B$205,$C693),""))</f>
        <v/>
      </c>
      <c r="F693" s="114" t="str">
        <f aca="false">IF($E693="","",IF($B693="Tema",INDEX(Temas!$B$6:$B$305,$C693)&amp;"",INDEX(Avulsos!$C$6:$C$205,$C693)&amp;""))</f>
        <v/>
      </c>
      <c r="G693" s="114" t="str">
        <f aca="false">IF($E693="","",IF($B693="Tema",INDEX(Config!$C$6:$C$11,$D693),"Evento avulso"))</f>
        <v/>
      </c>
      <c r="H693" s="114" t="str">
        <f aca="false">IF($E693="","",IF($B693="Tema",INDEX(Config!$D$6:$D$11,$D693),IFERROR(INDEX(Config!$E$15:$E$19,MATCH($I693,Config!$C$15:$C$19,0)),"•")))</f>
        <v/>
      </c>
      <c r="I693" s="114" t="str">
        <f aca="false">IF($E693="","",IF($B693="Tema",INDEX(Config!$E$6:$E$11,$D693),IF(INDEX(Avulsos!$D$6:$D$205,$C693)&amp;""="","Outro",INDEX(Avulsos!$D$6:$D$205,$C693))))</f>
        <v/>
      </c>
      <c r="J693" s="114" t="str">
        <f aca="false">IF($E693="","",IF($B693="Tema",INDEX(Temas!$C$6:$C$305,$C693)&amp;"",INDEX(Avulsos!$E$6:$E$205,$C693)&amp;""))</f>
        <v/>
      </c>
      <c r="K693" s="114" t="str">
        <f aca="false">IF($E693="","",IF(IF($B693="Tema",INDEX(Temas!$E$6:$P$305,$C693,2*$D693),INDEX(Avulsos!$F$6:$F$205,$C693))&amp;""="","","✓"))</f>
        <v/>
      </c>
      <c r="L693" s="114" t="str">
        <f aca="true">IF($E693="","",IF($K693="✓","Concluído",IF($E693&lt;TODAY(),"Atrasado",IF($E693=TODAY(),"Hoje","Pendente"))))</f>
        <v/>
      </c>
      <c r="M693" s="114" t="str">
        <f aca="false">IF($E693="","",IF($K693="✓","✓ ","")&amp;IF(Config!$E$22="Sim",$H693&amp;" · ","")&amp;$F693)</f>
        <v/>
      </c>
      <c r="N693" s="114" t="str">
        <f aca="false">IF($E693="","",IFERROR(INDEX(Config!$D$15:$D$19,MATCH($I693,Config!$C$15:$C$19,0)),"OUT")&amp;IF($K693="✓","x",""))</f>
        <v/>
      </c>
      <c r="O693" s="114" t="str">
        <f aca="false">IF($E693="","",COUNTIF($E$5:$E693,$E693))</f>
        <v/>
      </c>
      <c r="P693" s="114" t="str">
        <f aca="false">IF($E693="","",$E693*100+$O693)</f>
        <v/>
      </c>
      <c r="Q693" s="114" t="str">
        <f aca="false">IF($L693="Atrasado",$E693*10000+$A693,"")</f>
        <v/>
      </c>
    </row>
    <row r="694" customFormat="false" ht="15" hidden="false" customHeight="false" outlineLevel="0" collapsed="false">
      <c r="A694" s="114" t="n">
        <f aca="false">ROW()-4</f>
        <v>690</v>
      </c>
      <c r="B694" s="114" t="str">
        <f aca="false">IF(A694&lt;=Config!$E$27*Config!$E$28,"Tema","Avulso")</f>
        <v>Tema</v>
      </c>
      <c r="C694" s="114" t="n">
        <f aca="false">IF(B694="Tema",INT((A694-1)/Config!$E$28)+1,A694-Config!$E$27*Config!$E$28)</f>
        <v>115</v>
      </c>
      <c r="D694" s="114" t="n">
        <f aca="false">IF(B694="Tema",MOD(A694-1,Config!$E$28)+1,"")</f>
        <v>6</v>
      </c>
      <c r="E694" s="115" t="str">
        <f aca="false">IF($B694="Tema",IF(ISNUMBER(INDEX(Temas!$E$6:$P$305,$C694,2*$D694-1)),INDEX(Temas!$E$6:$P$305,$C694,2*$D694-1),""),IF(ISNUMBER(INDEX(Avulsos!$B$6:$B$205,$C694)),INDEX(Avulsos!$B$6:$B$205,$C694),""))</f>
        <v/>
      </c>
      <c r="F694" s="114" t="str">
        <f aca="false">IF($E694="","",IF($B694="Tema",INDEX(Temas!$B$6:$B$305,$C694)&amp;"",INDEX(Avulsos!$C$6:$C$205,$C694)&amp;""))</f>
        <v/>
      </c>
      <c r="G694" s="114" t="str">
        <f aca="false">IF($E694="","",IF($B694="Tema",INDEX(Config!$C$6:$C$11,$D694),"Evento avulso"))</f>
        <v/>
      </c>
      <c r="H694" s="114" t="str">
        <f aca="false">IF($E694="","",IF($B694="Tema",INDEX(Config!$D$6:$D$11,$D694),IFERROR(INDEX(Config!$E$15:$E$19,MATCH($I694,Config!$C$15:$C$19,0)),"•")))</f>
        <v/>
      </c>
      <c r="I694" s="114" t="str">
        <f aca="false">IF($E694="","",IF($B694="Tema",INDEX(Config!$E$6:$E$11,$D694),IF(INDEX(Avulsos!$D$6:$D$205,$C694)&amp;""="","Outro",INDEX(Avulsos!$D$6:$D$205,$C694))))</f>
        <v/>
      </c>
      <c r="J694" s="114" t="str">
        <f aca="false">IF($E694="","",IF($B694="Tema",INDEX(Temas!$C$6:$C$305,$C694)&amp;"",INDEX(Avulsos!$E$6:$E$205,$C694)&amp;""))</f>
        <v/>
      </c>
      <c r="K694" s="114" t="str">
        <f aca="false">IF($E694="","",IF(IF($B694="Tema",INDEX(Temas!$E$6:$P$305,$C694,2*$D694),INDEX(Avulsos!$F$6:$F$205,$C694))&amp;""="","","✓"))</f>
        <v/>
      </c>
      <c r="L694" s="114" t="str">
        <f aca="true">IF($E694="","",IF($K694="✓","Concluído",IF($E694&lt;TODAY(),"Atrasado",IF($E694=TODAY(),"Hoje","Pendente"))))</f>
        <v/>
      </c>
      <c r="M694" s="114" t="str">
        <f aca="false">IF($E694="","",IF($K694="✓","✓ ","")&amp;IF(Config!$E$22="Sim",$H694&amp;" · ","")&amp;$F694)</f>
        <v/>
      </c>
      <c r="N694" s="114" t="str">
        <f aca="false">IF($E694="","",IFERROR(INDEX(Config!$D$15:$D$19,MATCH($I694,Config!$C$15:$C$19,0)),"OUT")&amp;IF($K694="✓","x",""))</f>
        <v/>
      </c>
      <c r="O694" s="114" t="str">
        <f aca="false">IF($E694="","",COUNTIF($E$5:$E694,$E694))</f>
        <v/>
      </c>
      <c r="P694" s="114" t="str">
        <f aca="false">IF($E694="","",$E694*100+$O694)</f>
        <v/>
      </c>
      <c r="Q694" s="114" t="str">
        <f aca="false">IF($L694="Atrasado",$E694*10000+$A694,"")</f>
        <v/>
      </c>
    </row>
    <row r="695" customFormat="false" ht="15" hidden="false" customHeight="false" outlineLevel="0" collapsed="false">
      <c r="A695" s="114" t="n">
        <f aca="false">ROW()-4</f>
        <v>691</v>
      </c>
      <c r="B695" s="114" t="str">
        <f aca="false">IF(A695&lt;=Config!$E$27*Config!$E$28,"Tema","Avulso")</f>
        <v>Tema</v>
      </c>
      <c r="C695" s="114" t="n">
        <f aca="false">IF(B695="Tema",INT((A695-1)/Config!$E$28)+1,A695-Config!$E$27*Config!$E$28)</f>
        <v>116</v>
      </c>
      <c r="D695" s="114" t="n">
        <f aca="false">IF(B695="Tema",MOD(A695-1,Config!$E$28)+1,"")</f>
        <v>1</v>
      </c>
      <c r="E695" s="115" t="str">
        <f aca="false">IF($B695="Tema",IF(ISNUMBER(INDEX(Temas!$E$6:$P$305,$C695,2*$D695-1)),INDEX(Temas!$E$6:$P$305,$C695,2*$D695-1),""),IF(ISNUMBER(INDEX(Avulsos!$B$6:$B$205,$C695)),INDEX(Avulsos!$B$6:$B$205,$C695),""))</f>
        <v/>
      </c>
      <c r="F695" s="114" t="str">
        <f aca="false">IF($E695="","",IF($B695="Tema",INDEX(Temas!$B$6:$B$305,$C695)&amp;"",INDEX(Avulsos!$C$6:$C$205,$C695)&amp;""))</f>
        <v/>
      </c>
      <c r="G695" s="114" t="str">
        <f aca="false">IF($E695="","",IF($B695="Tema",INDEX(Config!$C$6:$C$11,$D695),"Evento avulso"))</f>
        <v/>
      </c>
      <c r="H695" s="114" t="str">
        <f aca="false">IF($E695="","",IF($B695="Tema",INDEX(Config!$D$6:$D$11,$D695),IFERROR(INDEX(Config!$E$15:$E$19,MATCH($I695,Config!$C$15:$C$19,0)),"•")))</f>
        <v/>
      </c>
      <c r="I695" s="114" t="str">
        <f aca="false">IF($E695="","",IF($B695="Tema",INDEX(Config!$E$6:$E$11,$D695),IF(INDEX(Avulsos!$D$6:$D$205,$C695)&amp;""="","Outro",INDEX(Avulsos!$D$6:$D$205,$C695))))</f>
        <v/>
      </c>
      <c r="J695" s="114" t="str">
        <f aca="false">IF($E695="","",IF($B695="Tema",INDEX(Temas!$C$6:$C$305,$C695)&amp;"",INDEX(Avulsos!$E$6:$E$205,$C695)&amp;""))</f>
        <v/>
      </c>
      <c r="K695" s="114" t="str">
        <f aca="false">IF($E695="","",IF(IF($B695="Tema",INDEX(Temas!$E$6:$P$305,$C695,2*$D695),INDEX(Avulsos!$F$6:$F$205,$C695))&amp;""="","","✓"))</f>
        <v/>
      </c>
      <c r="L695" s="114" t="str">
        <f aca="true">IF($E695="","",IF($K695="✓","Concluído",IF($E695&lt;TODAY(),"Atrasado",IF($E695=TODAY(),"Hoje","Pendente"))))</f>
        <v/>
      </c>
      <c r="M695" s="114" t="str">
        <f aca="false">IF($E695="","",IF($K695="✓","✓ ","")&amp;IF(Config!$E$22="Sim",$H695&amp;" · ","")&amp;$F695)</f>
        <v/>
      </c>
      <c r="N695" s="114" t="str">
        <f aca="false">IF($E695="","",IFERROR(INDEX(Config!$D$15:$D$19,MATCH($I695,Config!$C$15:$C$19,0)),"OUT")&amp;IF($K695="✓","x",""))</f>
        <v/>
      </c>
      <c r="O695" s="114" t="str">
        <f aca="false">IF($E695="","",COUNTIF($E$5:$E695,$E695))</f>
        <v/>
      </c>
      <c r="P695" s="114" t="str">
        <f aca="false">IF($E695="","",$E695*100+$O695)</f>
        <v/>
      </c>
      <c r="Q695" s="114" t="str">
        <f aca="false">IF($L695="Atrasado",$E695*10000+$A695,"")</f>
        <v/>
      </c>
    </row>
    <row r="696" customFormat="false" ht="15" hidden="false" customHeight="false" outlineLevel="0" collapsed="false">
      <c r="A696" s="114" t="n">
        <f aca="false">ROW()-4</f>
        <v>692</v>
      </c>
      <c r="B696" s="114" t="str">
        <f aca="false">IF(A696&lt;=Config!$E$27*Config!$E$28,"Tema","Avulso")</f>
        <v>Tema</v>
      </c>
      <c r="C696" s="114" t="n">
        <f aca="false">IF(B696="Tema",INT((A696-1)/Config!$E$28)+1,A696-Config!$E$27*Config!$E$28)</f>
        <v>116</v>
      </c>
      <c r="D696" s="114" t="n">
        <f aca="false">IF(B696="Tema",MOD(A696-1,Config!$E$28)+1,"")</f>
        <v>2</v>
      </c>
      <c r="E696" s="115" t="str">
        <f aca="false">IF($B696="Tema",IF(ISNUMBER(INDEX(Temas!$E$6:$P$305,$C696,2*$D696-1)),INDEX(Temas!$E$6:$P$305,$C696,2*$D696-1),""),IF(ISNUMBER(INDEX(Avulsos!$B$6:$B$205,$C696)),INDEX(Avulsos!$B$6:$B$205,$C696),""))</f>
        <v/>
      </c>
      <c r="F696" s="114" t="str">
        <f aca="false">IF($E696="","",IF($B696="Tema",INDEX(Temas!$B$6:$B$305,$C696)&amp;"",INDEX(Avulsos!$C$6:$C$205,$C696)&amp;""))</f>
        <v/>
      </c>
      <c r="G696" s="114" t="str">
        <f aca="false">IF($E696="","",IF($B696="Tema",INDEX(Config!$C$6:$C$11,$D696),"Evento avulso"))</f>
        <v/>
      </c>
      <c r="H696" s="114" t="str">
        <f aca="false">IF($E696="","",IF($B696="Tema",INDEX(Config!$D$6:$D$11,$D696),IFERROR(INDEX(Config!$E$15:$E$19,MATCH($I696,Config!$C$15:$C$19,0)),"•")))</f>
        <v/>
      </c>
      <c r="I696" s="114" t="str">
        <f aca="false">IF($E696="","",IF($B696="Tema",INDEX(Config!$E$6:$E$11,$D696),IF(INDEX(Avulsos!$D$6:$D$205,$C696)&amp;""="","Outro",INDEX(Avulsos!$D$6:$D$205,$C696))))</f>
        <v/>
      </c>
      <c r="J696" s="114" t="str">
        <f aca="false">IF($E696="","",IF($B696="Tema",INDEX(Temas!$C$6:$C$305,$C696)&amp;"",INDEX(Avulsos!$E$6:$E$205,$C696)&amp;""))</f>
        <v/>
      </c>
      <c r="K696" s="114" t="str">
        <f aca="false">IF($E696="","",IF(IF($B696="Tema",INDEX(Temas!$E$6:$P$305,$C696,2*$D696),INDEX(Avulsos!$F$6:$F$205,$C696))&amp;""="","","✓"))</f>
        <v/>
      </c>
      <c r="L696" s="114" t="str">
        <f aca="true">IF($E696="","",IF($K696="✓","Concluído",IF($E696&lt;TODAY(),"Atrasado",IF($E696=TODAY(),"Hoje","Pendente"))))</f>
        <v/>
      </c>
      <c r="M696" s="114" t="str">
        <f aca="false">IF($E696="","",IF($K696="✓","✓ ","")&amp;IF(Config!$E$22="Sim",$H696&amp;" · ","")&amp;$F696)</f>
        <v/>
      </c>
      <c r="N696" s="114" t="str">
        <f aca="false">IF($E696="","",IFERROR(INDEX(Config!$D$15:$D$19,MATCH($I696,Config!$C$15:$C$19,0)),"OUT")&amp;IF($K696="✓","x",""))</f>
        <v/>
      </c>
      <c r="O696" s="114" t="str">
        <f aca="false">IF($E696="","",COUNTIF($E$5:$E696,$E696))</f>
        <v/>
      </c>
      <c r="P696" s="114" t="str">
        <f aca="false">IF($E696="","",$E696*100+$O696)</f>
        <v/>
      </c>
      <c r="Q696" s="114" t="str">
        <f aca="false">IF($L696="Atrasado",$E696*10000+$A696,"")</f>
        <v/>
      </c>
    </row>
    <row r="697" customFormat="false" ht="15" hidden="false" customHeight="false" outlineLevel="0" collapsed="false">
      <c r="A697" s="114" t="n">
        <f aca="false">ROW()-4</f>
        <v>693</v>
      </c>
      <c r="B697" s="114" t="str">
        <f aca="false">IF(A697&lt;=Config!$E$27*Config!$E$28,"Tema","Avulso")</f>
        <v>Tema</v>
      </c>
      <c r="C697" s="114" t="n">
        <f aca="false">IF(B697="Tema",INT((A697-1)/Config!$E$28)+1,A697-Config!$E$27*Config!$E$28)</f>
        <v>116</v>
      </c>
      <c r="D697" s="114" t="n">
        <f aca="false">IF(B697="Tema",MOD(A697-1,Config!$E$28)+1,"")</f>
        <v>3</v>
      </c>
      <c r="E697" s="115" t="str">
        <f aca="false">IF($B697="Tema",IF(ISNUMBER(INDEX(Temas!$E$6:$P$305,$C697,2*$D697-1)),INDEX(Temas!$E$6:$P$305,$C697,2*$D697-1),""),IF(ISNUMBER(INDEX(Avulsos!$B$6:$B$205,$C697)),INDEX(Avulsos!$B$6:$B$205,$C697),""))</f>
        <v/>
      </c>
      <c r="F697" s="114" t="str">
        <f aca="false">IF($E697="","",IF($B697="Tema",INDEX(Temas!$B$6:$B$305,$C697)&amp;"",INDEX(Avulsos!$C$6:$C$205,$C697)&amp;""))</f>
        <v/>
      </c>
      <c r="G697" s="114" t="str">
        <f aca="false">IF($E697="","",IF($B697="Tema",INDEX(Config!$C$6:$C$11,$D697),"Evento avulso"))</f>
        <v/>
      </c>
      <c r="H697" s="114" t="str">
        <f aca="false">IF($E697="","",IF($B697="Tema",INDEX(Config!$D$6:$D$11,$D697),IFERROR(INDEX(Config!$E$15:$E$19,MATCH($I697,Config!$C$15:$C$19,0)),"•")))</f>
        <v/>
      </c>
      <c r="I697" s="114" t="str">
        <f aca="false">IF($E697="","",IF($B697="Tema",INDEX(Config!$E$6:$E$11,$D697),IF(INDEX(Avulsos!$D$6:$D$205,$C697)&amp;""="","Outro",INDEX(Avulsos!$D$6:$D$205,$C697))))</f>
        <v/>
      </c>
      <c r="J697" s="114" t="str">
        <f aca="false">IF($E697="","",IF($B697="Tema",INDEX(Temas!$C$6:$C$305,$C697)&amp;"",INDEX(Avulsos!$E$6:$E$205,$C697)&amp;""))</f>
        <v/>
      </c>
      <c r="K697" s="114" t="str">
        <f aca="false">IF($E697="","",IF(IF($B697="Tema",INDEX(Temas!$E$6:$P$305,$C697,2*$D697),INDEX(Avulsos!$F$6:$F$205,$C697))&amp;""="","","✓"))</f>
        <v/>
      </c>
      <c r="L697" s="114" t="str">
        <f aca="true">IF($E697="","",IF($K697="✓","Concluído",IF($E697&lt;TODAY(),"Atrasado",IF($E697=TODAY(),"Hoje","Pendente"))))</f>
        <v/>
      </c>
      <c r="M697" s="114" t="str">
        <f aca="false">IF($E697="","",IF($K697="✓","✓ ","")&amp;IF(Config!$E$22="Sim",$H697&amp;" · ","")&amp;$F697)</f>
        <v/>
      </c>
      <c r="N697" s="114" t="str">
        <f aca="false">IF($E697="","",IFERROR(INDEX(Config!$D$15:$D$19,MATCH($I697,Config!$C$15:$C$19,0)),"OUT")&amp;IF($K697="✓","x",""))</f>
        <v/>
      </c>
      <c r="O697" s="114" t="str">
        <f aca="false">IF($E697="","",COUNTIF($E$5:$E697,$E697))</f>
        <v/>
      </c>
      <c r="P697" s="114" t="str">
        <f aca="false">IF($E697="","",$E697*100+$O697)</f>
        <v/>
      </c>
      <c r="Q697" s="114" t="str">
        <f aca="false">IF($L697="Atrasado",$E697*10000+$A697,"")</f>
        <v/>
      </c>
    </row>
    <row r="698" customFormat="false" ht="15" hidden="false" customHeight="false" outlineLevel="0" collapsed="false">
      <c r="A698" s="114" t="n">
        <f aca="false">ROW()-4</f>
        <v>694</v>
      </c>
      <c r="B698" s="114" t="str">
        <f aca="false">IF(A698&lt;=Config!$E$27*Config!$E$28,"Tema","Avulso")</f>
        <v>Tema</v>
      </c>
      <c r="C698" s="114" t="n">
        <f aca="false">IF(B698="Tema",INT((A698-1)/Config!$E$28)+1,A698-Config!$E$27*Config!$E$28)</f>
        <v>116</v>
      </c>
      <c r="D698" s="114" t="n">
        <f aca="false">IF(B698="Tema",MOD(A698-1,Config!$E$28)+1,"")</f>
        <v>4</v>
      </c>
      <c r="E698" s="115" t="str">
        <f aca="false">IF($B698="Tema",IF(ISNUMBER(INDEX(Temas!$E$6:$P$305,$C698,2*$D698-1)),INDEX(Temas!$E$6:$P$305,$C698,2*$D698-1),""),IF(ISNUMBER(INDEX(Avulsos!$B$6:$B$205,$C698)),INDEX(Avulsos!$B$6:$B$205,$C698),""))</f>
        <v/>
      </c>
      <c r="F698" s="114" t="str">
        <f aca="false">IF($E698="","",IF($B698="Tema",INDEX(Temas!$B$6:$B$305,$C698)&amp;"",INDEX(Avulsos!$C$6:$C$205,$C698)&amp;""))</f>
        <v/>
      </c>
      <c r="G698" s="114" t="str">
        <f aca="false">IF($E698="","",IF($B698="Tema",INDEX(Config!$C$6:$C$11,$D698),"Evento avulso"))</f>
        <v/>
      </c>
      <c r="H698" s="114" t="str">
        <f aca="false">IF($E698="","",IF($B698="Tema",INDEX(Config!$D$6:$D$11,$D698),IFERROR(INDEX(Config!$E$15:$E$19,MATCH($I698,Config!$C$15:$C$19,0)),"•")))</f>
        <v/>
      </c>
      <c r="I698" s="114" t="str">
        <f aca="false">IF($E698="","",IF($B698="Tema",INDEX(Config!$E$6:$E$11,$D698),IF(INDEX(Avulsos!$D$6:$D$205,$C698)&amp;""="","Outro",INDEX(Avulsos!$D$6:$D$205,$C698))))</f>
        <v/>
      </c>
      <c r="J698" s="114" t="str">
        <f aca="false">IF($E698="","",IF($B698="Tema",INDEX(Temas!$C$6:$C$305,$C698)&amp;"",INDEX(Avulsos!$E$6:$E$205,$C698)&amp;""))</f>
        <v/>
      </c>
      <c r="K698" s="114" t="str">
        <f aca="false">IF($E698="","",IF(IF($B698="Tema",INDEX(Temas!$E$6:$P$305,$C698,2*$D698),INDEX(Avulsos!$F$6:$F$205,$C698))&amp;""="","","✓"))</f>
        <v/>
      </c>
      <c r="L698" s="114" t="str">
        <f aca="true">IF($E698="","",IF($K698="✓","Concluído",IF($E698&lt;TODAY(),"Atrasado",IF($E698=TODAY(),"Hoje","Pendente"))))</f>
        <v/>
      </c>
      <c r="M698" s="114" t="str">
        <f aca="false">IF($E698="","",IF($K698="✓","✓ ","")&amp;IF(Config!$E$22="Sim",$H698&amp;" · ","")&amp;$F698)</f>
        <v/>
      </c>
      <c r="N698" s="114" t="str">
        <f aca="false">IF($E698="","",IFERROR(INDEX(Config!$D$15:$D$19,MATCH($I698,Config!$C$15:$C$19,0)),"OUT")&amp;IF($K698="✓","x",""))</f>
        <v/>
      </c>
      <c r="O698" s="114" t="str">
        <f aca="false">IF($E698="","",COUNTIF($E$5:$E698,$E698))</f>
        <v/>
      </c>
      <c r="P698" s="114" t="str">
        <f aca="false">IF($E698="","",$E698*100+$O698)</f>
        <v/>
      </c>
      <c r="Q698" s="114" t="str">
        <f aca="false">IF($L698="Atrasado",$E698*10000+$A698,"")</f>
        <v/>
      </c>
    </row>
    <row r="699" customFormat="false" ht="15" hidden="false" customHeight="false" outlineLevel="0" collapsed="false">
      <c r="A699" s="114" t="n">
        <f aca="false">ROW()-4</f>
        <v>695</v>
      </c>
      <c r="B699" s="114" t="str">
        <f aca="false">IF(A699&lt;=Config!$E$27*Config!$E$28,"Tema","Avulso")</f>
        <v>Tema</v>
      </c>
      <c r="C699" s="114" t="n">
        <f aca="false">IF(B699="Tema",INT((A699-1)/Config!$E$28)+1,A699-Config!$E$27*Config!$E$28)</f>
        <v>116</v>
      </c>
      <c r="D699" s="114" t="n">
        <f aca="false">IF(B699="Tema",MOD(A699-1,Config!$E$28)+1,"")</f>
        <v>5</v>
      </c>
      <c r="E699" s="115" t="str">
        <f aca="false">IF($B699="Tema",IF(ISNUMBER(INDEX(Temas!$E$6:$P$305,$C699,2*$D699-1)),INDEX(Temas!$E$6:$P$305,$C699,2*$D699-1),""),IF(ISNUMBER(INDEX(Avulsos!$B$6:$B$205,$C699)),INDEX(Avulsos!$B$6:$B$205,$C699),""))</f>
        <v/>
      </c>
      <c r="F699" s="114" t="str">
        <f aca="false">IF($E699="","",IF($B699="Tema",INDEX(Temas!$B$6:$B$305,$C699)&amp;"",INDEX(Avulsos!$C$6:$C$205,$C699)&amp;""))</f>
        <v/>
      </c>
      <c r="G699" s="114" t="str">
        <f aca="false">IF($E699="","",IF($B699="Tema",INDEX(Config!$C$6:$C$11,$D699),"Evento avulso"))</f>
        <v/>
      </c>
      <c r="H699" s="114" t="str">
        <f aca="false">IF($E699="","",IF($B699="Tema",INDEX(Config!$D$6:$D$11,$D699),IFERROR(INDEX(Config!$E$15:$E$19,MATCH($I699,Config!$C$15:$C$19,0)),"•")))</f>
        <v/>
      </c>
      <c r="I699" s="114" t="str">
        <f aca="false">IF($E699="","",IF($B699="Tema",INDEX(Config!$E$6:$E$11,$D699),IF(INDEX(Avulsos!$D$6:$D$205,$C699)&amp;""="","Outro",INDEX(Avulsos!$D$6:$D$205,$C699))))</f>
        <v/>
      </c>
      <c r="J699" s="114" t="str">
        <f aca="false">IF($E699="","",IF($B699="Tema",INDEX(Temas!$C$6:$C$305,$C699)&amp;"",INDEX(Avulsos!$E$6:$E$205,$C699)&amp;""))</f>
        <v/>
      </c>
      <c r="K699" s="114" t="str">
        <f aca="false">IF($E699="","",IF(IF($B699="Tema",INDEX(Temas!$E$6:$P$305,$C699,2*$D699),INDEX(Avulsos!$F$6:$F$205,$C699))&amp;""="","","✓"))</f>
        <v/>
      </c>
      <c r="L699" s="114" t="str">
        <f aca="true">IF($E699="","",IF($K699="✓","Concluído",IF($E699&lt;TODAY(),"Atrasado",IF($E699=TODAY(),"Hoje","Pendente"))))</f>
        <v/>
      </c>
      <c r="M699" s="114" t="str">
        <f aca="false">IF($E699="","",IF($K699="✓","✓ ","")&amp;IF(Config!$E$22="Sim",$H699&amp;" · ","")&amp;$F699)</f>
        <v/>
      </c>
      <c r="N699" s="114" t="str">
        <f aca="false">IF($E699="","",IFERROR(INDEX(Config!$D$15:$D$19,MATCH($I699,Config!$C$15:$C$19,0)),"OUT")&amp;IF($K699="✓","x",""))</f>
        <v/>
      </c>
      <c r="O699" s="114" t="str">
        <f aca="false">IF($E699="","",COUNTIF($E$5:$E699,$E699))</f>
        <v/>
      </c>
      <c r="P699" s="114" t="str">
        <f aca="false">IF($E699="","",$E699*100+$O699)</f>
        <v/>
      </c>
      <c r="Q699" s="114" t="str">
        <f aca="false">IF($L699="Atrasado",$E699*10000+$A699,"")</f>
        <v/>
      </c>
    </row>
    <row r="700" customFormat="false" ht="15" hidden="false" customHeight="false" outlineLevel="0" collapsed="false">
      <c r="A700" s="114" t="n">
        <f aca="false">ROW()-4</f>
        <v>696</v>
      </c>
      <c r="B700" s="114" t="str">
        <f aca="false">IF(A700&lt;=Config!$E$27*Config!$E$28,"Tema","Avulso")</f>
        <v>Tema</v>
      </c>
      <c r="C700" s="114" t="n">
        <f aca="false">IF(B700="Tema",INT((A700-1)/Config!$E$28)+1,A700-Config!$E$27*Config!$E$28)</f>
        <v>116</v>
      </c>
      <c r="D700" s="114" t="n">
        <f aca="false">IF(B700="Tema",MOD(A700-1,Config!$E$28)+1,"")</f>
        <v>6</v>
      </c>
      <c r="E700" s="115" t="str">
        <f aca="false">IF($B700="Tema",IF(ISNUMBER(INDEX(Temas!$E$6:$P$305,$C700,2*$D700-1)),INDEX(Temas!$E$6:$P$305,$C700,2*$D700-1),""),IF(ISNUMBER(INDEX(Avulsos!$B$6:$B$205,$C700)),INDEX(Avulsos!$B$6:$B$205,$C700),""))</f>
        <v/>
      </c>
      <c r="F700" s="114" t="str">
        <f aca="false">IF($E700="","",IF($B700="Tema",INDEX(Temas!$B$6:$B$305,$C700)&amp;"",INDEX(Avulsos!$C$6:$C$205,$C700)&amp;""))</f>
        <v/>
      </c>
      <c r="G700" s="114" t="str">
        <f aca="false">IF($E700="","",IF($B700="Tema",INDEX(Config!$C$6:$C$11,$D700),"Evento avulso"))</f>
        <v/>
      </c>
      <c r="H700" s="114" t="str">
        <f aca="false">IF($E700="","",IF($B700="Tema",INDEX(Config!$D$6:$D$11,$D700),IFERROR(INDEX(Config!$E$15:$E$19,MATCH($I700,Config!$C$15:$C$19,0)),"•")))</f>
        <v/>
      </c>
      <c r="I700" s="114" t="str">
        <f aca="false">IF($E700="","",IF($B700="Tema",INDEX(Config!$E$6:$E$11,$D700),IF(INDEX(Avulsos!$D$6:$D$205,$C700)&amp;""="","Outro",INDEX(Avulsos!$D$6:$D$205,$C700))))</f>
        <v/>
      </c>
      <c r="J700" s="114" t="str">
        <f aca="false">IF($E700="","",IF($B700="Tema",INDEX(Temas!$C$6:$C$305,$C700)&amp;"",INDEX(Avulsos!$E$6:$E$205,$C700)&amp;""))</f>
        <v/>
      </c>
      <c r="K700" s="114" t="str">
        <f aca="false">IF($E700="","",IF(IF($B700="Tema",INDEX(Temas!$E$6:$P$305,$C700,2*$D700),INDEX(Avulsos!$F$6:$F$205,$C700))&amp;""="","","✓"))</f>
        <v/>
      </c>
      <c r="L700" s="114" t="str">
        <f aca="true">IF($E700="","",IF($K700="✓","Concluído",IF($E700&lt;TODAY(),"Atrasado",IF($E700=TODAY(),"Hoje","Pendente"))))</f>
        <v/>
      </c>
      <c r="M700" s="114" t="str">
        <f aca="false">IF($E700="","",IF($K700="✓","✓ ","")&amp;IF(Config!$E$22="Sim",$H700&amp;" · ","")&amp;$F700)</f>
        <v/>
      </c>
      <c r="N700" s="114" t="str">
        <f aca="false">IF($E700="","",IFERROR(INDEX(Config!$D$15:$D$19,MATCH($I700,Config!$C$15:$C$19,0)),"OUT")&amp;IF($K700="✓","x",""))</f>
        <v/>
      </c>
      <c r="O700" s="114" t="str">
        <f aca="false">IF($E700="","",COUNTIF($E$5:$E700,$E700))</f>
        <v/>
      </c>
      <c r="P700" s="114" t="str">
        <f aca="false">IF($E700="","",$E700*100+$O700)</f>
        <v/>
      </c>
      <c r="Q700" s="114" t="str">
        <f aca="false">IF($L700="Atrasado",$E700*10000+$A700,"")</f>
        <v/>
      </c>
    </row>
    <row r="701" customFormat="false" ht="15" hidden="false" customHeight="false" outlineLevel="0" collapsed="false">
      <c r="A701" s="114" t="n">
        <f aca="false">ROW()-4</f>
        <v>697</v>
      </c>
      <c r="B701" s="114" t="str">
        <f aca="false">IF(A701&lt;=Config!$E$27*Config!$E$28,"Tema","Avulso")</f>
        <v>Tema</v>
      </c>
      <c r="C701" s="114" t="n">
        <f aca="false">IF(B701="Tema",INT((A701-1)/Config!$E$28)+1,A701-Config!$E$27*Config!$E$28)</f>
        <v>117</v>
      </c>
      <c r="D701" s="114" t="n">
        <f aca="false">IF(B701="Tema",MOD(A701-1,Config!$E$28)+1,"")</f>
        <v>1</v>
      </c>
      <c r="E701" s="115" t="str">
        <f aca="false">IF($B701="Tema",IF(ISNUMBER(INDEX(Temas!$E$6:$P$305,$C701,2*$D701-1)),INDEX(Temas!$E$6:$P$305,$C701,2*$D701-1),""),IF(ISNUMBER(INDEX(Avulsos!$B$6:$B$205,$C701)),INDEX(Avulsos!$B$6:$B$205,$C701),""))</f>
        <v/>
      </c>
      <c r="F701" s="114" t="str">
        <f aca="false">IF($E701="","",IF($B701="Tema",INDEX(Temas!$B$6:$B$305,$C701)&amp;"",INDEX(Avulsos!$C$6:$C$205,$C701)&amp;""))</f>
        <v/>
      </c>
      <c r="G701" s="114" t="str">
        <f aca="false">IF($E701="","",IF($B701="Tema",INDEX(Config!$C$6:$C$11,$D701),"Evento avulso"))</f>
        <v/>
      </c>
      <c r="H701" s="114" t="str">
        <f aca="false">IF($E701="","",IF($B701="Tema",INDEX(Config!$D$6:$D$11,$D701),IFERROR(INDEX(Config!$E$15:$E$19,MATCH($I701,Config!$C$15:$C$19,0)),"•")))</f>
        <v/>
      </c>
      <c r="I701" s="114" t="str">
        <f aca="false">IF($E701="","",IF($B701="Tema",INDEX(Config!$E$6:$E$11,$D701),IF(INDEX(Avulsos!$D$6:$D$205,$C701)&amp;""="","Outro",INDEX(Avulsos!$D$6:$D$205,$C701))))</f>
        <v/>
      </c>
      <c r="J701" s="114" t="str">
        <f aca="false">IF($E701="","",IF($B701="Tema",INDEX(Temas!$C$6:$C$305,$C701)&amp;"",INDEX(Avulsos!$E$6:$E$205,$C701)&amp;""))</f>
        <v/>
      </c>
      <c r="K701" s="114" t="str">
        <f aca="false">IF($E701="","",IF(IF($B701="Tema",INDEX(Temas!$E$6:$P$305,$C701,2*$D701),INDEX(Avulsos!$F$6:$F$205,$C701))&amp;""="","","✓"))</f>
        <v/>
      </c>
      <c r="L701" s="114" t="str">
        <f aca="true">IF($E701="","",IF($K701="✓","Concluído",IF($E701&lt;TODAY(),"Atrasado",IF($E701=TODAY(),"Hoje","Pendente"))))</f>
        <v/>
      </c>
      <c r="M701" s="114" t="str">
        <f aca="false">IF($E701="","",IF($K701="✓","✓ ","")&amp;IF(Config!$E$22="Sim",$H701&amp;" · ","")&amp;$F701)</f>
        <v/>
      </c>
      <c r="N701" s="114" t="str">
        <f aca="false">IF($E701="","",IFERROR(INDEX(Config!$D$15:$D$19,MATCH($I701,Config!$C$15:$C$19,0)),"OUT")&amp;IF($K701="✓","x",""))</f>
        <v/>
      </c>
      <c r="O701" s="114" t="str">
        <f aca="false">IF($E701="","",COUNTIF($E$5:$E701,$E701))</f>
        <v/>
      </c>
      <c r="P701" s="114" t="str">
        <f aca="false">IF($E701="","",$E701*100+$O701)</f>
        <v/>
      </c>
      <c r="Q701" s="114" t="str">
        <f aca="false">IF($L701="Atrasado",$E701*10000+$A701,"")</f>
        <v/>
      </c>
    </row>
    <row r="702" customFormat="false" ht="15" hidden="false" customHeight="false" outlineLevel="0" collapsed="false">
      <c r="A702" s="114" t="n">
        <f aca="false">ROW()-4</f>
        <v>698</v>
      </c>
      <c r="B702" s="114" t="str">
        <f aca="false">IF(A702&lt;=Config!$E$27*Config!$E$28,"Tema","Avulso")</f>
        <v>Tema</v>
      </c>
      <c r="C702" s="114" t="n">
        <f aca="false">IF(B702="Tema",INT((A702-1)/Config!$E$28)+1,A702-Config!$E$27*Config!$E$28)</f>
        <v>117</v>
      </c>
      <c r="D702" s="114" t="n">
        <f aca="false">IF(B702="Tema",MOD(A702-1,Config!$E$28)+1,"")</f>
        <v>2</v>
      </c>
      <c r="E702" s="115" t="str">
        <f aca="false">IF($B702="Tema",IF(ISNUMBER(INDEX(Temas!$E$6:$P$305,$C702,2*$D702-1)),INDEX(Temas!$E$6:$P$305,$C702,2*$D702-1),""),IF(ISNUMBER(INDEX(Avulsos!$B$6:$B$205,$C702)),INDEX(Avulsos!$B$6:$B$205,$C702),""))</f>
        <v/>
      </c>
      <c r="F702" s="114" t="str">
        <f aca="false">IF($E702="","",IF($B702="Tema",INDEX(Temas!$B$6:$B$305,$C702)&amp;"",INDEX(Avulsos!$C$6:$C$205,$C702)&amp;""))</f>
        <v/>
      </c>
      <c r="G702" s="114" t="str">
        <f aca="false">IF($E702="","",IF($B702="Tema",INDEX(Config!$C$6:$C$11,$D702),"Evento avulso"))</f>
        <v/>
      </c>
      <c r="H702" s="114" t="str">
        <f aca="false">IF($E702="","",IF($B702="Tema",INDEX(Config!$D$6:$D$11,$D702),IFERROR(INDEX(Config!$E$15:$E$19,MATCH($I702,Config!$C$15:$C$19,0)),"•")))</f>
        <v/>
      </c>
      <c r="I702" s="114" t="str">
        <f aca="false">IF($E702="","",IF($B702="Tema",INDEX(Config!$E$6:$E$11,$D702),IF(INDEX(Avulsos!$D$6:$D$205,$C702)&amp;""="","Outro",INDEX(Avulsos!$D$6:$D$205,$C702))))</f>
        <v/>
      </c>
      <c r="J702" s="114" t="str">
        <f aca="false">IF($E702="","",IF($B702="Tema",INDEX(Temas!$C$6:$C$305,$C702)&amp;"",INDEX(Avulsos!$E$6:$E$205,$C702)&amp;""))</f>
        <v/>
      </c>
      <c r="K702" s="114" t="str">
        <f aca="false">IF($E702="","",IF(IF($B702="Tema",INDEX(Temas!$E$6:$P$305,$C702,2*$D702),INDEX(Avulsos!$F$6:$F$205,$C702))&amp;""="","","✓"))</f>
        <v/>
      </c>
      <c r="L702" s="114" t="str">
        <f aca="true">IF($E702="","",IF($K702="✓","Concluído",IF($E702&lt;TODAY(),"Atrasado",IF($E702=TODAY(),"Hoje","Pendente"))))</f>
        <v/>
      </c>
      <c r="M702" s="114" t="str">
        <f aca="false">IF($E702="","",IF($K702="✓","✓ ","")&amp;IF(Config!$E$22="Sim",$H702&amp;" · ","")&amp;$F702)</f>
        <v/>
      </c>
      <c r="N702" s="114" t="str">
        <f aca="false">IF($E702="","",IFERROR(INDEX(Config!$D$15:$D$19,MATCH($I702,Config!$C$15:$C$19,0)),"OUT")&amp;IF($K702="✓","x",""))</f>
        <v/>
      </c>
      <c r="O702" s="114" t="str">
        <f aca="false">IF($E702="","",COUNTIF($E$5:$E702,$E702))</f>
        <v/>
      </c>
      <c r="P702" s="114" t="str">
        <f aca="false">IF($E702="","",$E702*100+$O702)</f>
        <v/>
      </c>
      <c r="Q702" s="114" t="str">
        <f aca="false">IF($L702="Atrasado",$E702*10000+$A702,"")</f>
        <v/>
      </c>
    </row>
    <row r="703" customFormat="false" ht="15" hidden="false" customHeight="false" outlineLevel="0" collapsed="false">
      <c r="A703" s="114" t="n">
        <f aca="false">ROW()-4</f>
        <v>699</v>
      </c>
      <c r="B703" s="114" t="str">
        <f aca="false">IF(A703&lt;=Config!$E$27*Config!$E$28,"Tema","Avulso")</f>
        <v>Tema</v>
      </c>
      <c r="C703" s="114" t="n">
        <f aca="false">IF(B703="Tema",INT((A703-1)/Config!$E$28)+1,A703-Config!$E$27*Config!$E$28)</f>
        <v>117</v>
      </c>
      <c r="D703" s="114" t="n">
        <f aca="false">IF(B703="Tema",MOD(A703-1,Config!$E$28)+1,"")</f>
        <v>3</v>
      </c>
      <c r="E703" s="115" t="str">
        <f aca="false">IF($B703="Tema",IF(ISNUMBER(INDEX(Temas!$E$6:$P$305,$C703,2*$D703-1)),INDEX(Temas!$E$6:$P$305,$C703,2*$D703-1),""),IF(ISNUMBER(INDEX(Avulsos!$B$6:$B$205,$C703)),INDEX(Avulsos!$B$6:$B$205,$C703),""))</f>
        <v/>
      </c>
      <c r="F703" s="114" t="str">
        <f aca="false">IF($E703="","",IF($B703="Tema",INDEX(Temas!$B$6:$B$305,$C703)&amp;"",INDEX(Avulsos!$C$6:$C$205,$C703)&amp;""))</f>
        <v/>
      </c>
      <c r="G703" s="114" t="str">
        <f aca="false">IF($E703="","",IF($B703="Tema",INDEX(Config!$C$6:$C$11,$D703),"Evento avulso"))</f>
        <v/>
      </c>
      <c r="H703" s="114" t="str">
        <f aca="false">IF($E703="","",IF($B703="Tema",INDEX(Config!$D$6:$D$11,$D703),IFERROR(INDEX(Config!$E$15:$E$19,MATCH($I703,Config!$C$15:$C$19,0)),"•")))</f>
        <v/>
      </c>
      <c r="I703" s="114" t="str">
        <f aca="false">IF($E703="","",IF($B703="Tema",INDEX(Config!$E$6:$E$11,$D703),IF(INDEX(Avulsos!$D$6:$D$205,$C703)&amp;""="","Outro",INDEX(Avulsos!$D$6:$D$205,$C703))))</f>
        <v/>
      </c>
      <c r="J703" s="114" t="str">
        <f aca="false">IF($E703="","",IF($B703="Tema",INDEX(Temas!$C$6:$C$305,$C703)&amp;"",INDEX(Avulsos!$E$6:$E$205,$C703)&amp;""))</f>
        <v/>
      </c>
      <c r="K703" s="114" t="str">
        <f aca="false">IF($E703="","",IF(IF($B703="Tema",INDEX(Temas!$E$6:$P$305,$C703,2*$D703),INDEX(Avulsos!$F$6:$F$205,$C703))&amp;""="","","✓"))</f>
        <v/>
      </c>
      <c r="L703" s="114" t="str">
        <f aca="true">IF($E703="","",IF($K703="✓","Concluído",IF($E703&lt;TODAY(),"Atrasado",IF($E703=TODAY(),"Hoje","Pendente"))))</f>
        <v/>
      </c>
      <c r="M703" s="114" t="str">
        <f aca="false">IF($E703="","",IF($K703="✓","✓ ","")&amp;IF(Config!$E$22="Sim",$H703&amp;" · ","")&amp;$F703)</f>
        <v/>
      </c>
      <c r="N703" s="114" t="str">
        <f aca="false">IF($E703="","",IFERROR(INDEX(Config!$D$15:$D$19,MATCH($I703,Config!$C$15:$C$19,0)),"OUT")&amp;IF($K703="✓","x",""))</f>
        <v/>
      </c>
      <c r="O703" s="114" t="str">
        <f aca="false">IF($E703="","",COUNTIF($E$5:$E703,$E703))</f>
        <v/>
      </c>
      <c r="P703" s="114" t="str">
        <f aca="false">IF($E703="","",$E703*100+$O703)</f>
        <v/>
      </c>
      <c r="Q703" s="114" t="str">
        <f aca="false">IF($L703="Atrasado",$E703*10000+$A703,"")</f>
        <v/>
      </c>
    </row>
    <row r="704" customFormat="false" ht="15" hidden="false" customHeight="false" outlineLevel="0" collapsed="false">
      <c r="A704" s="114" t="n">
        <f aca="false">ROW()-4</f>
        <v>700</v>
      </c>
      <c r="B704" s="114" t="str">
        <f aca="false">IF(A704&lt;=Config!$E$27*Config!$E$28,"Tema","Avulso")</f>
        <v>Tema</v>
      </c>
      <c r="C704" s="114" t="n">
        <f aca="false">IF(B704="Tema",INT((A704-1)/Config!$E$28)+1,A704-Config!$E$27*Config!$E$28)</f>
        <v>117</v>
      </c>
      <c r="D704" s="114" t="n">
        <f aca="false">IF(B704="Tema",MOD(A704-1,Config!$E$28)+1,"")</f>
        <v>4</v>
      </c>
      <c r="E704" s="115" t="str">
        <f aca="false">IF($B704="Tema",IF(ISNUMBER(INDEX(Temas!$E$6:$P$305,$C704,2*$D704-1)),INDEX(Temas!$E$6:$P$305,$C704,2*$D704-1),""),IF(ISNUMBER(INDEX(Avulsos!$B$6:$B$205,$C704)),INDEX(Avulsos!$B$6:$B$205,$C704),""))</f>
        <v/>
      </c>
      <c r="F704" s="114" t="str">
        <f aca="false">IF($E704="","",IF($B704="Tema",INDEX(Temas!$B$6:$B$305,$C704)&amp;"",INDEX(Avulsos!$C$6:$C$205,$C704)&amp;""))</f>
        <v/>
      </c>
      <c r="G704" s="114" t="str">
        <f aca="false">IF($E704="","",IF($B704="Tema",INDEX(Config!$C$6:$C$11,$D704),"Evento avulso"))</f>
        <v/>
      </c>
      <c r="H704" s="114" t="str">
        <f aca="false">IF($E704="","",IF($B704="Tema",INDEX(Config!$D$6:$D$11,$D704),IFERROR(INDEX(Config!$E$15:$E$19,MATCH($I704,Config!$C$15:$C$19,0)),"•")))</f>
        <v/>
      </c>
      <c r="I704" s="114" t="str">
        <f aca="false">IF($E704="","",IF($B704="Tema",INDEX(Config!$E$6:$E$11,$D704),IF(INDEX(Avulsos!$D$6:$D$205,$C704)&amp;""="","Outro",INDEX(Avulsos!$D$6:$D$205,$C704))))</f>
        <v/>
      </c>
      <c r="J704" s="114" t="str">
        <f aca="false">IF($E704="","",IF($B704="Tema",INDEX(Temas!$C$6:$C$305,$C704)&amp;"",INDEX(Avulsos!$E$6:$E$205,$C704)&amp;""))</f>
        <v/>
      </c>
      <c r="K704" s="114" t="str">
        <f aca="false">IF($E704="","",IF(IF($B704="Tema",INDEX(Temas!$E$6:$P$305,$C704,2*$D704),INDEX(Avulsos!$F$6:$F$205,$C704))&amp;""="","","✓"))</f>
        <v/>
      </c>
      <c r="L704" s="114" t="str">
        <f aca="true">IF($E704="","",IF($K704="✓","Concluído",IF($E704&lt;TODAY(),"Atrasado",IF($E704=TODAY(),"Hoje","Pendente"))))</f>
        <v/>
      </c>
      <c r="M704" s="114" t="str">
        <f aca="false">IF($E704="","",IF($K704="✓","✓ ","")&amp;IF(Config!$E$22="Sim",$H704&amp;" · ","")&amp;$F704)</f>
        <v/>
      </c>
      <c r="N704" s="114" t="str">
        <f aca="false">IF($E704="","",IFERROR(INDEX(Config!$D$15:$D$19,MATCH($I704,Config!$C$15:$C$19,0)),"OUT")&amp;IF($K704="✓","x",""))</f>
        <v/>
      </c>
      <c r="O704" s="114" t="str">
        <f aca="false">IF($E704="","",COUNTIF($E$5:$E704,$E704))</f>
        <v/>
      </c>
      <c r="P704" s="114" t="str">
        <f aca="false">IF($E704="","",$E704*100+$O704)</f>
        <v/>
      </c>
      <c r="Q704" s="114" t="str">
        <f aca="false">IF($L704="Atrasado",$E704*10000+$A704,"")</f>
        <v/>
      </c>
    </row>
    <row r="705" customFormat="false" ht="15" hidden="false" customHeight="false" outlineLevel="0" collapsed="false">
      <c r="A705" s="114" t="n">
        <f aca="false">ROW()-4</f>
        <v>701</v>
      </c>
      <c r="B705" s="114" t="str">
        <f aca="false">IF(A705&lt;=Config!$E$27*Config!$E$28,"Tema","Avulso")</f>
        <v>Tema</v>
      </c>
      <c r="C705" s="114" t="n">
        <f aca="false">IF(B705="Tema",INT((A705-1)/Config!$E$28)+1,A705-Config!$E$27*Config!$E$28)</f>
        <v>117</v>
      </c>
      <c r="D705" s="114" t="n">
        <f aca="false">IF(B705="Tema",MOD(A705-1,Config!$E$28)+1,"")</f>
        <v>5</v>
      </c>
      <c r="E705" s="115" t="str">
        <f aca="false">IF($B705="Tema",IF(ISNUMBER(INDEX(Temas!$E$6:$P$305,$C705,2*$D705-1)),INDEX(Temas!$E$6:$P$305,$C705,2*$D705-1),""),IF(ISNUMBER(INDEX(Avulsos!$B$6:$B$205,$C705)),INDEX(Avulsos!$B$6:$B$205,$C705),""))</f>
        <v/>
      </c>
      <c r="F705" s="114" t="str">
        <f aca="false">IF($E705="","",IF($B705="Tema",INDEX(Temas!$B$6:$B$305,$C705)&amp;"",INDEX(Avulsos!$C$6:$C$205,$C705)&amp;""))</f>
        <v/>
      </c>
      <c r="G705" s="114" t="str">
        <f aca="false">IF($E705="","",IF($B705="Tema",INDEX(Config!$C$6:$C$11,$D705),"Evento avulso"))</f>
        <v/>
      </c>
      <c r="H705" s="114" t="str">
        <f aca="false">IF($E705="","",IF($B705="Tema",INDEX(Config!$D$6:$D$11,$D705),IFERROR(INDEX(Config!$E$15:$E$19,MATCH($I705,Config!$C$15:$C$19,0)),"•")))</f>
        <v/>
      </c>
      <c r="I705" s="114" t="str">
        <f aca="false">IF($E705="","",IF($B705="Tema",INDEX(Config!$E$6:$E$11,$D705),IF(INDEX(Avulsos!$D$6:$D$205,$C705)&amp;""="","Outro",INDEX(Avulsos!$D$6:$D$205,$C705))))</f>
        <v/>
      </c>
      <c r="J705" s="114" t="str">
        <f aca="false">IF($E705="","",IF($B705="Tema",INDEX(Temas!$C$6:$C$305,$C705)&amp;"",INDEX(Avulsos!$E$6:$E$205,$C705)&amp;""))</f>
        <v/>
      </c>
      <c r="K705" s="114" t="str">
        <f aca="false">IF($E705="","",IF(IF($B705="Tema",INDEX(Temas!$E$6:$P$305,$C705,2*$D705),INDEX(Avulsos!$F$6:$F$205,$C705))&amp;""="","","✓"))</f>
        <v/>
      </c>
      <c r="L705" s="114" t="str">
        <f aca="true">IF($E705="","",IF($K705="✓","Concluído",IF($E705&lt;TODAY(),"Atrasado",IF($E705=TODAY(),"Hoje","Pendente"))))</f>
        <v/>
      </c>
      <c r="M705" s="114" t="str">
        <f aca="false">IF($E705="","",IF($K705="✓","✓ ","")&amp;IF(Config!$E$22="Sim",$H705&amp;" · ","")&amp;$F705)</f>
        <v/>
      </c>
      <c r="N705" s="114" t="str">
        <f aca="false">IF($E705="","",IFERROR(INDEX(Config!$D$15:$D$19,MATCH($I705,Config!$C$15:$C$19,0)),"OUT")&amp;IF($K705="✓","x",""))</f>
        <v/>
      </c>
      <c r="O705" s="114" t="str">
        <f aca="false">IF($E705="","",COUNTIF($E$5:$E705,$E705))</f>
        <v/>
      </c>
      <c r="P705" s="114" t="str">
        <f aca="false">IF($E705="","",$E705*100+$O705)</f>
        <v/>
      </c>
      <c r="Q705" s="114" t="str">
        <f aca="false">IF($L705="Atrasado",$E705*10000+$A705,"")</f>
        <v/>
      </c>
    </row>
    <row r="706" customFormat="false" ht="15" hidden="false" customHeight="false" outlineLevel="0" collapsed="false">
      <c r="A706" s="114" t="n">
        <f aca="false">ROW()-4</f>
        <v>702</v>
      </c>
      <c r="B706" s="114" t="str">
        <f aca="false">IF(A706&lt;=Config!$E$27*Config!$E$28,"Tema","Avulso")</f>
        <v>Tema</v>
      </c>
      <c r="C706" s="114" t="n">
        <f aca="false">IF(B706="Tema",INT((A706-1)/Config!$E$28)+1,A706-Config!$E$27*Config!$E$28)</f>
        <v>117</v>
      </c>
      <c r="D706" s="114" t="n">
        <f aca="false">IF(B706="Tema",MOD(A706-1,Config!$E$28)+1,"")</f>
        <v>6</v>
      </c>
      <c r="E706" s="115" t="str">
        <f aca="false">IF($B706="Tema",IF(ISNUMBER(INDEX(Temas!$E$6:$P$305,$C706,2*$D706-1)),INDEX(Temas!$E$6:$P$305,$C706,2*$D706-1),""),IF(ISNUMBER(INDEX(Avulsos!$B$6:$B$205,$C706)),INDEX(Avulsos!$B$6:$B$205,$C706),""))</f>
        <v/>
      </c>
      <c r="F706" s="114" t="str">
        <f aca="false">IF($E706="","",IF($B706="Tema",INDEX(Temas!$B$6:$B$305,$C706)&amp;"",INDEX(Avulsos!$C$6:$C$205,$C706)&amp;""))</f>
        <v/>
      </c>
      <c r="G706" s="114" t="str">
        <f aca="false">IF($E706="","",IF($B706="Tema",INDEX(Config!$C$6:$C$11,$D706),"Evento avulso"))</f>
        <v/>
      </c>
      <c r="H706" s="114" t="str">
        <f aca="false">IF($E706="","",IF($B706="Tema",INDEX(Config!$D$6:$D$11,$D706),IFERROR(INDEX(Config!$E$15:$E$19,MATCH($I706,Config!$C$15:$C$19,0)),"•")))</f>
        <v/>
      </c>
      <c r="I706" s="114" t="str">
        <f aca="false">IF($E706="","",IF($B706="Tema",INDEX(Config!$E$6:$E$11,$D706),IF(INDEX(Avulsos!$D$6:$D$205,$C706)&amp;""="","Outro",INDEX(Avulsos!$D$6:$D$205,$C706))))</f>
        <v/>
      </c>
      <c r="J706" s="114" t="str">
        <f aca="false">IF($E706="","",IF($B706="Tema",INDEX(Temas!$C$6:$C$305,$C706)&amp;"",INDEX(Avulsos!$E$6:$E$205,$C706)&amp;""))</f>
        <v/>
      </c>
      <c r="K706" s="114" t="str">
        <f aca="false">IF($E706="","",IF(IF($B706="Tema",INDEX(Temas!$E$6:$P$305,$C706,2*$D706),INDEX(Avulsos!$F$6:$F$205,$C706))&amp;""="","","✓"))</f>
        <v/>
      </c>
      <c r="L706" s="114" t="str">
        <f aca="true">IF($E706="","",IF($K706="✓","Concluído",IF($E706&lt;TODAY(),"Atrasado",IF($E706=TODAY(),"Hoje","Pendente"))))</f>
        <v/>
      </c>
      <c r="M706" s="114" t="str">
        <f aca="false">IF($E706="","",IF($K706="✓","✓ ","")&amp;IF(Config!$E$22="Sim",$H706&amp;" · ","")&amp;$F706)</f>
        <v/>
      </c>
      <c r="N706" s="114" t="str">
        <f aca="false">IF($E706="","",IFERROR(INDEX(Config!$D$15:$D$19,MATCH($I706,Config!$C$15:$C$19,0)),"OUT")&amp;IF($K706="✓","x",""))</f>
        <v/>
      </c>
      <c r="O706" s="114" t="str">
        <f aca="false">IF($E706="","",COUNTIF($E$5:$E706,$E706))</f>
        <v/>
      </c>
      <c r="P706" s="114" t="str">
        <f aca="false">IF($E706="","",$E706*100+$O706)</f>
        <v/>
      </c>
      <c r="Q706" s="114" t="str">
        <f aca="false">IF($L706="Atrasado",$E706*10000+$A706,"")</f>
        <v/>
      </c>
    </row>
    <row r="707" customFormat="false" ht="15" hidden="false" customHeight="false" outlineLevel="0" collapsed="false">
      <c r="A707" s="114" t="n">
        <f aca="false">ROW()-4</f>
        <v>703</v>
      </c>
      <c r="B707" s="114" t="str">
        <f aca="false">IF(A707&lt;=Config!$E$27*Config!$E$28,"Tema","Avulso")</f>
        <v>Tema</v>
      </c>
      <c r="C707" s="114" t="n">
        <f aca="false">IF(B707="Tema",INT((A707-1)/Config!$E$28)+1,A707-Config!$E$27*Config!$E$28)</f>
        <v>118</v>
      </c>
      <c r="D707" s="114" t="n">
        <f aca="false">IF(B707="Tema",MOD(A707-1,Config!$E$28)+1,"")</f>
        <v>1</v>
      </c>
      <c r="E707" s="115" t="str">
        <f aca="false">IF($B707="Tema",IF(ISNUMBER(INDEX(Temas!$E$6:$P$305,$C707,2*$D707-1)),INDEX(Temas!$E$6:$P$305,$C707,2*$D707-1),""),IF(ISNUMBER(INDEX(Avulsos!$B$6:$B$205,$C707)),INDEX(Avulsos!$B$6:$B$205,$C707),""))</f>
        <v/>
      </c>
      <c r="F707" s="114" t="str">
        <f aca="false">IF($E707="","",IF($B707="Tema",INDEX(Temas!$B$6:$B$305,$C707)&amp;"",INDEX(Avulsos!$C$6:$C$205,$C707)&amp;""))</f>
        <v/>
      </c>
      <c r="G707" s="114" t="str">
        <f aca="false">IF($E707="","",IF($B707="Tema",INDEX(Config!$C$6:$C$11,$D707),"Evento avulso"))</f>
        <v/>
      </c>
      <c r="H707" s="114" t="str">
        <f aca="false">IF($E707="","",IF($B707="Tema",INDEX(Config!$D$6:$D$11,$D707),IFERROR(INDEX(Config!$E$15:$E$19,MATCH($I707,Config!$C$15:$C$19,0)),"•")))</f>
        <v/>
      </c>
      <c r="I707" s="114" t="str">
        <f aca="false">IF($E707="","",IF($B707="Tema",INDEX(Config!$E$6:$E$11,$D707),IF(INDEX(Avulsos!$D$6:$D$205,$C707)&amp;""="","Outro",INDEX(Avulsos!$D$6:$D$205,$C707))))</f>
        <v/>
      </c>
      <c r="J707" s="114" t="str">
        <f aca="false">IF($E707="","",IF($B707="Tema",INDEX(Temas!$C$6:$C$305,$C707)&amp;"",INDEX(Avulsos!$E$6:$E$205,$C707)&amp;""))</f>
        <v/>
      </c>
      <c r="K707" s="114" t="str">
        <f aca="false">IF($E707="","",IF(IF($B707="Tema",INDEX(Temas!$E$6:$P$305,$C707,2*$D707),INDEX(Avulsos!$F$6:$F$205,$C707))&amp;""="","","✓"))</f>
        <v/>
      </c>
      <c r="L707" s="114" t="str">
        <f aca="true">IF($E707="","",IF($K707="✓","Concluído",IF($E707&lt;TODAY(),"Atrasado",IF($E707=TODAY(),"Hoje","Pendente"))))</f>
        <v/>
      </c>
      <c r="M707" s="114" t="str">
        <f aca="false">IF($E707="","",IF($K707="✓","✓ ","")&amp;IF(Config!$E$22="Sim",$H707&amp;" · ","")&amp;$F707)</f>
        <v/>
      </c>
      <c r="N707" s="114" t="str">
        <f aca="false">IF($E707="","",IFERROR(INDEX(Config!$D$15:$D$19,MATCH($I707,Config!$C$15:$C$19,0)),"OUT")&amp;IF($K707="✓","x",""))</f>
        <v/>
      </c>
      <c r="O707" s="114" t="str">
        <f aca="false">IF($E707="","",COUNTIF($E$5:$E707,$E707))</f>
        <v/>
      </c>
      <c r="P707" s="114" t="str">
        <f aca="false">IF($E707="","",$E707*100+$O707)</f>
        <v/>
      </c>
      <c r="Q707" s="114" t="str">
        <f aca="false">IF($L707="Atrasado",$E707*10000+$A707,"")</f>
        <v/>
      </c>
    </row>
    <row r="708" customFormat="false" ht="15" hidden="false" customHeight="false" outlineLevel="0" collapsed="false">
      <c r="A708" s="114" t="n">
        <f aca="false">ROW()-4</f>
        <v>704</v>
      </c>
      <c r="B708" s="114" t="str">
        <f aca="false">IF(A708&lt;=Config!$E$27*Config!$E$28,"Tema","Avulso")</f>
        <v>Tema</v>
      </c>
      <c r="C708" s="114" t="n">
        <f aca="false">IF(B708="Tema",INT((A708-1)/Config!$E$28)+1,A708-Config!$E$27*Config!$E$28)</f>
        <v>118</v>
      </c>
      <c r="D708" s="114" t="n">
        <f aca="false">IF(B708="Tema",MOD(A708-1,Config!$E$28)+1,"")</f>
        <v>2</v>
      </c>
      <c r="E708" s="115" t="str">
        <f aca="false">IF($B708="Tema",IF(ISNUMBER(INDEX(Temas!$E$6:$P$305,$C708,2*$D708-1)),INDEX(Temas!$E$6:$P$305,$C708,2*$D708-1),""),IF(ISNUMBER(INDEX(Avulsos!$B$6:$B$205,$C708)),INDEX(Avulsos!$B$6:$B$205,$C708),""))</f>
        <v/>
      </c>
      <c r="F708" s="114" t="str">
        <f aca="false">IF($E708="","",IF($B708="Tema",INDEX(Temas!$B$6:$B$305,$C708)&amp;"",INDEX(Avulsos!$C$6:$C$205,$C708)&amp;""))</f>
        <v/>
      </c>
      <c r="G708" s="114" t="str">
        <f aca="false">IF($E708="","",IF($B708="Tema",INDEX(Config!$C$6:$C$11,$D708),"Evento avulso"))</f>
        <v/>
      </c>
      <c r="H708" s="114" t="str">
        <f aca="false">IF($E708="","",IF($B708="Tema",INDEX(Config!$D$6:$D$11,$D708),IFERROR(INDEX(Config!$E$15:$E$19,MATCH($I708,Config!$C$15:$C$19,0)),"•")))</f>
        <v/>
      </c>
      <c r="I708" s="114" t="str">
        <f aca="false">IF($E708="","",IF($B708="Tema",INDEX(Config!$E$6:$E$11,$D708),IF(INDEX(Avulsos!$D$6:$D$205,$C708)&amp;""="","Outro",INDEX(Avulsos!$D$6:$D$205,$C708))))</f>
        <v/>
      </c>
      <c r="J708" s="114" t="str">
        <f aca="false">IF($E708="","",IF($B708="Tema",INDEX(Temas!$C$6:$C$305,$C708)&amp;"",INDEX(Avulsos!$E$6:$E$205,$C708)&amp;""))</f>
        <v/>
      </c>
      <c r="K708" s="114" t="str">
        <f aca="false">IF($E708="","",IF(IF($B708="Tema",INDEX(Temas!$E$6:$P$305,$C708,2*$D708),INDEX(Avulsos!$F$6:$F$205,$C708))&amp;""="","","✓"))</f>
        <v/>
      </c>
      <c r="L708" s="114" t="str">
        <f aca="true">IF($E708="","",IF($K708="✓","Concluído",IF($E708&lt;TODAY(),"Atrasado",IF($E708=TODAY(),"Hoje","Pendente"))))</f>
        <v/>
      </c>
      <c r="M708" s="114" t="str">
        <f aca="false">IF($E708="","",IF($K708="✓","✓ ","")&amp;IF(Config!$E$22="Sim",$H708&amp;" · ","")&amp;$F708)</f>
        <v/>
      </c>
      <c r="N708" s="114" t="str">
        <f aca="false">IF($E708="","",IFERROR(INDEX(Config!$D$15:$D$19,MATCH($I708,Config!$C$15:$C$19,0)),"OUT")&amp;IF($K708="✓","x",""))</f>
        <v/>
      </c>
      <c r="O708" s="114" t="str">
        <f aca="false">IF($E708="","",COUNTIF($E$5:$E708,$E708))</f>
        <v/>
      </c>
      <c r="P708" s="114" t="str">
        <f aca="false">IF($E708="","",$E708*100+$O708)</f>
        <v/>
      </c>
      <c r="Q708" s="114" t="str">
        <f aca="false">IF($L708="Atrasado",$E708*10000+$A708,"")</f>
        <v/>
      </c>
    </row>
    <row r="709" customFormat="false" ht="15" hidden="false" customHeight="false" outlineLevel="0" collapsed="false">
      <c r="A709" s="114" t="n">
        <f aca="false">ROW()-4</f>
        <v>705</v>
      </c>
      <c r="B709" s="114" t="str">
        <f aca="false">IF(A709&lt;=Config!$E$27*Config!$E$28,"Tema","Avulso")</f>
        <v>Tema</v>
      </c>
      <c r="C709" s="114" t="n">
        <f aca="false">IF(B709="Tema",INT((A709-1)/Config!$E$28)+1,A709-Config!$E$27*Config!$E$28)</f>
        <v>118</v>
      </c>
      <c r="D709" s="114" t="n">
        <f aca="false">IF(B709="Tema",MOD(A709-1,Config!$E$28)+1,"")</f>
        <v>3</v>
      </c>
      <c r="E709" s="115" t="str">
        <f aca="false">IF($B709="Tema",IF(ISNUMBER(INDEX(Temas!$E$6:$P$305,$C709,2*$D709-1)),INDEX(Temas!$E$6:$P$305,$C709,2*$D709-1),""),IF(ISNUMBER(INDEX(Avulsos!$B$6:$B$205,$C709)),INDEX(Avulsos!$B$6:$B$205,$C709),""))</f>
        <v/>
      </c>
      <c r="F709" s="114" t="str">
        <f aca="false">IF($E709="","",IF($B709="Tema",INDEX(Temas!$B$6:$B$305,$C709)&amp;"",INDEX(Avulsos!$C$6:$C$205,$C709)&amp;""))</f>
        <v/>
      </c>
      <c r="G709" s="114" t="str">
        <f aca="false">IF($E709="","",IF($B709="Tema",INDEX(Config!$C$6:$C$11,$D709),"Evento avulso"))</f>
        <v/>
      </c>
      <c r="H709" s="114" t="str">
        <f aca="false">IF($E709="","",IF($B709="Tema",INDEX(Config!$D$6:$D$11,$D709),IFERROR(INDEX(Config!$E$15:$E$19,MATCH($I709,Config!$C$15:$C$19,0)),"•")))</f>
        <v/>
      </c>
      <c r="I709" s="114" t="str">
        <f aca="false">IF($E709="","",IF($B709="Tema",INDEX(Config!$E$6:$E$11,$D709),IF(INDEX(Avulsos!$D$6:$D$205,$C709)&amp;""="","Outro",INDEX(Avulsos!$D$6:$D$205,$C709))))</f>
        <v/>
      </c>
      <c r="J709" s="114" t="str">
        <f aca="false">IF($E709="","",IF($B709="Tema",INDEX(Temas!$C$6:$C$305,$C709)&amp;"",INDEX(Avulsos!$E$6:$E$205,$C709)&amp;""))</f>
        <v/>
      </c>
      <c r="K709" s="114" t="str">
        <f aca="false">IF($E709="","",IF(IF($B709="Tema",INDEX(Temas!$E$6:$P$305,$C709,2*$D709),INDEX(Avulsos!$F$6:$F$205,$C709))&amp;""="","","✓"))</f>
        <v/>
      </c>
      <c r="L709" s="114" t="str">
        <f aca="true">IF($E709="","",IF($K709="✓","Concluído",IF($E709&lt;TODAY(),"Atrasado",IF($E709=TODAY(),"Hoje","Pendente"))))</f>
        <v/>
      </c>
      <c r="M709" s="114" t="str">
        <f aca="false">IF($E709="","",IF($K709="✓","✓ ","")&amp;IF(Config!$E$22="Sim",$H709&amp;" · ","")&amp;$F709)</f>
        <v/>
      </c>
      <c r="N709" s="114" t="str">
        <f aca="false">IF($E709="","",IFERROR(INDEX(Config!$D$15:$D$19,MATCH($I709,Config!$C$15:$C$19,0)),"OUT")&amp;IF($K709="✓","x",""))</f>
        <v/>
      </c>
      <c r="O709" s="114" t="str">
        <f aca="false">IF($E709="","",COUNTIF($E$5:$E709,$E709))</f>
        <v/>
      </c>
      <c r="P709" s="114" t="str">
        <f aca="false">IF($E709="","",$E709*100+$O709)</f>
        <v/>
      </c>
      <c r="Q709" s="114" t="str">
        <f aca="false">IF($L709="Atrasado",$E709*10000+$A709,"")</f>
        <v/>
      </c>
    </row>
    <row r="710" customFormat="false" ht="15" hidden="false" customHeight="false" outlineLevel="0" collapsed="false">
      <c r="A710" s="114" t="n">
        <f aca="false">ROW()-4</f>
        <v>706</v>
      </c>
      <c r="B710" s="114" t="str">
        <f aca="false">IF(A710&lt;=Config!$E$27*Config!$E$28,"Tema","Avulso")</f>
        <v>Tema</v>
      </c>
      <c r="C710" s="114" t="n">
        <f aca="false">IF(B710="Tema",INT((A710-1)/Config!$E$28)+1,A710-Config!$E$27*Config!$E$28)</f>
        <v>118</v>
      </c>
      <c r="D710" s="114" t="n">
        <f aca="false">IF(B710="Tema",MOD(A710-1,Config!$E$28)+1,"")</f>
        <v>4</v>
      </c>
      <c r="E710" s="115" t="str">
        <f aca="false">IF($B710="Tema",IF(ISNUMBER(INDEX(Temas!$E$6:$P$305,$C710,2*$D710-1)),INDEX(Temas!$E$6:$P$305,$C710,2*$D710-1),""),IF(ISNUMBER(INDEX(Avulsos!$B$6:$B$205,$C710)),INDEX(Avulsos!$B$6:$B$205,$C710),""))</f>
        <v/>
      </c>
      <c r="F710" s="114" t="str">
        <f aca="false">IF($E710="","",IF($B710="Tema",INDEX(Temas!$B$6:$B$305,$C710)&amp;"",INDEX(Avulsos!$C$6:$C$205,$C710)&amp;""))</f>
        <v/>
      </c>
      <c r="G710" s="114" t="str">
        <f aca="false">IF($E710="","",IF($B710="Tema",INDEX(Config!$C$6:$C$11,$D710),"Evento avulso"))</f>
        <v/>
      </c>
      <c r="H710" s="114" t="str">
        <f aca="false">IF($E710="","",IF($B710="Tema",INDEX(Config!$D$6:$D$11,$D710),IFERROR(INDEX(Config!$E$15:$E$19,MATCH($I710,Config!$C$15:$C$19,0)),"•")))</f>
        <v/>
      </c>
      <c r="I710" s="114" t="str">
        <f aca="false">IF($E710="","",IF($B710="Tema",INDEX(Config!$E$6:$E$11,$D710),IF(INDEX(Avulsos!$D$6:$D$205,$C710)&amp;""="","Outro",INDEX(Avulsos!$D$6:$D$205,$C710))))</f>
        <v/>
      </c>
      <c r="J710" s="114" t="str">
        <f aca="false">IF($E710="","",IF($B710="Tema",INDEX(Temas!$C$6:$C$305,$C710)&amp;"",INDEX(Avulsos!$E$6:$E$205,$C710)&amp;""))</f>
        <v/>
      </c>
      <c r="K710" s="114" t="str">
        <f aca="false">IF($E710="","",IF(IF($B710="Tema",INDEX(Temas!$E$6:$P$305,$C710,2*$D710),INDEX(Avulsos!$F$6:$F$205,$C710))&amp;""="","","✓"))</f>
        <v/>
      </c>
      <c r="L710" s="114" t="str">
        <f aca="true">IF($E710="","",IF($K710="✓","Concluído",IF($E710&lt;TODAY(),"Atrasado",IF($E710=TODAY(),"Hoje","Pendente"))))</f>
        <v/>
      </c>
      <c r="M710" s="114" t="str">
        <f aca="false">IF($E710="","",IF($K710="✓","✓ ","")&amp;IF(Config!$E$22="Sim",$H710&amp;" · ","")&amp;$F710)</f>
        <v/>
      </c>
      <c r="N710" s="114" t="str">
        <f aca="false">IF($E710="","",IFERROR(INDEX(Config!$D$15:$D$19,MATCH($I710,Config!$C$15:$C$19,0)),"OUT")&amp;IF($K710="✓","x",""))</f>
        <v/>
      </c>
      <c r="O710" s="114" t="str">
        <f aca="false">IF($E710="","",COUNTIF($E$5:$E710,$E710))</f>
        <v/>
      </c>
      <c r="P710" s="114" t="str">
        <f aca="false">IF($E710="","",$E710*100+$O710)</f>
        <v/>
      </c>
      <c r="Q710" s="114" t="str">
        <f aca="false">IF($L710="Atrasado",$E710*10000+$A710,"")</f>
        <v/>
      </c>
    </row>
    <row r="711" customFormat="false" ht="15" hidden="false" customHeight="false" outlineLevel="0" collapsed="false">
      <c r="A711" s="114" t="n">
        <f aca="false">ROW()-4</f>
        <v>707</v>
      </c>
      <c r="B711" s="114" t="str">
        <f aca="false">IF(A711&lt;=Config!$E$27*Config!$E$28,"Tema","Avulso")</f>
        <v>Tema</v>
      </c>
      <c r="C711" s="114" t="n">
        <f aca="false">IF(B711="Tema",INT((A711-1)/Config!$E$28)+1,A711-Config!$E$27*Config!$E$28)</f>
        <v>118</v>
      </c>
      <c r="D711" s="114" t="n">
        <f aca="false">IF(B711="Tema",MOD(A711-1,Config!$E$28)+1,"")</f>
        <v>5</v>
      </c>
      <c r="E711" s="115" t="str">
        <f aca="false">IF($B711="Tema",IF(ISNUMBER(INDEX(Temas!$E$6:$P$305,$C711,2*$D711-1)),INDEX(Temas!$E$6:$P$305,$C711,2*$D711-1),""),IF(ISNUMBER(INDEX(Avulsos!$B$6:$B$205,$C711)),INDEX(Avulsos!$B$6:$B$205,$C711),""))</f>
        <v/>
      </c>
      <c r="F711" s="114" t="str">
        <f aca="false">IF($E711="","",IF($B711="Tema",INDEX(Temas!$B$6:$B$305,$C711)&amp;"",INDEX(Avulsos!$C$6:$C$205,$C711)&amp;""))</f>
        <v/>
      </c>
      <c r="G711" s="114" t="str">
        <f aca="false">IF($E711="","",IF($B711="Tema",INDEX(Config!$C$6:$C$11,$D711),"Evento avulso"))</f>
        <v/>
      </c>
      <c r="H711" s="114" t="str">
        <f aca="false">IF($E711="","",IF($B711="Tema",INDEX(Config!$D$6:$D$11,$D711),IFERROR(INDEX(Config!$E$15:$E$19,MATCH($I711,Config!$C$15:$C$19,0)),"•")))</f>
        <v/>
      </c>
      <c r="I711" s="114" t="str">
        <f aca="false">IF($E711="","",IF($B711="Tema",INDEX(Config!$E$6:$E$11,$D711),IF(INDEX(Avulsos!$D$6:$D$205,$C711)&amp;""="","Outro",INDEX(Avulsos!$D$6:$D$205,$C711))))</f>
        <v/>
      </c>
      <c r="J711" s="114" t="str">
        <f aca="false">IF($E711="","",IF($B711="Tema",INDEX(Temas!$C$6:$C$305,$C711)&amp;"",INDEX(Avulsos!$E$6:$E$205,$C711)&amp;""))</f>
        <v/>
      </c>
      <c r="K711" s="114" t="str">
        <f aca="false">IF($E711="","",IF(IF($B711="Tema",INDEX(Temas!$E$6:$P$305,$C711,2*$D711),INDEX(Avulsos!$F$6:$F$205,$C711))&amp;""="","","✓"))</f>
        <v/>
      </c>
      <c r="L711" s="114" t="str">
        <f aca="true">IF($E711="","",IF($K711="✓","Concluído",IF($E711&lt;TODAY(),"Atrasado",IF($E711=TODAY(),"Hoje","Pendente"))))</f>
        <v/>
      </c>
      <c r="M711" s="114" t="str">
        <f aca="false">IF($E711="","",IF($K711="✓","✓ ","")&amp;IF(Config!$E$22="Sim",$H711&amp;" · ","")&amp;$F711)</f>
        <v/>
      </c>
      <c r="N711" s="114" t="str">
        <f aca="false">IF($E711="","",IFERROR(INDEX(Config!$D$15:$D$19,MATCH($I711,Config!$C$15:$C$19,0)),"OUT")&amp;IF($K711="✓","x",""))</f>
        <v/>
      </c>
      <c r="O711" s="114" t="str">
        <f aca="false">IF($E711="","",COUNTIF($E$5:$E711,$E711))</f>
        <v/>
      </c>
      <c r="P711" s="114" t="str">
        <f aca="false">IF($E711="","",$E711*100+$O711)</f>
        <v/>
      </c>
      <c r="Q711" s="114" t="str">
        <f aca="false">IF($L711="Atrasado",$E711*10000+$A711,"")</f>
        <v/>
      </c>
    </row>
    <row r="712" customFormat="false" ht="15" hidden="false" customHeight="false" outlineLevel="0" collapsed="false">
      <c r="A712" s="114" t="n">
        <f aca="false">ROW()-4</f>
        <v>708</v>
      </c>
      <c r="B712" s="114" t="str">
        <f aca="false">IF(A712&lt;=Config!$E$27*Config!$E$28,"Tema","Avulso")</f>
        <v>Tema</v>
      </c>
      <c r="C712" s="114" t="n">
        <f aca="false">IF(B712="Tema",INT((A712-1)/Config!$E$28)+1,A712-Config!$E$27*Config!$E$28)</f>
        <v>118</v>
      </c>
      <c r="D712" s="114" t="n">
        <f aca="false">IF(B712="Tema",MOD(A712-1,Config!$E$28)+1,"")</f>
        <v>6</v>
      </c>
      <c r="E712" s="115" t="str">
        <f aca="false">IF($B712="Tema",IF(ISNUMBER(INDEX(Temas!$E$6:$P$305,$C712,2*$D712-1)),INDEX(Temas!$E$6:$P$305,$C712,2*$D712-1),""),IF(ISNUMBER(INDEX(Avulsos!$B$6:$B$205,$C712)),INDEX(Avulsos!$B$6:$B$205,$C712),""))</f>
        <v/>
      </c>
      <c r="F712" s="114" t="str">
        <f aca="false">IF($E712="","",IF($B712="Tema",INDEX(Temas!$B$6:$B$305,$C712)&amp;"",INDEX(Avulsos!$C$6:$C$205,$C712)&amp;""))</f>
        <v/>
      </c>
      <c r="G712" s="114" t="str">
        <f aca="false">IF($E712="","",IF($B712="Tema",INDEX(Config!$C$6:$C$11,$D712),"Evento avulso"))</f>
        <v/>
      </c>
      <c r="H712" s="114" t="str">
        <f aca="false">IF($E712="","",IF($B712="Tema",INDEX(Config!$D$6:$D$11,$D712),IFERROR(INDEX(Config!$E$15:$E$19,MATCH($I712,Config!$C$15:$C$19,0)),"•")))</f>
        <v/>
      </c>
      <c r="I712" s="114" t="str">
        <f aca="false">IF($E712="","",IF($B712="Tema",INDEX(Config!$E$6:$E$11,$D712),IF(INDEX(Avulsos!$D$6:$D$205,$C712)&amp;""="","Outro",INDEX(Avulsos!$D$6:$D$205,$C712))))</f>
        <v/>
      </c>
      <c r="J712" s="114" t="str">
        <f aca="false">IF($E712="","",IF($B712="Tema",INDEX(Temas!$C$6:$C$305,$C712)&amp;"",INDEX(Avulsos!$E$6:$E$205,$C712)&amp;""))</f>
        <v/>
      </c>
      <c r="K712" s="114" t="str">
        <f aca="false">IF($E712="","",IF(IF($B712="Tema",INDEX(Temas!$E$6:$P$305,$C712,2*$D712),INDEX(Avulsos!$F$6:$F$205,$C712))&amp;""="","","✓"))</f>
        <v/>
      </c>
      <c r="L712" s="114" t="str">
        <f aca="true">IF($E712="","",IF($K712="✓","Concluído",IF($E712&lt;TODAY(),"Atrasado",IF($E712=TODAY(),"Hoje","Pendente"))))</f>
        <v/>
      </c>
      <c r="M712" s="114" t="str">
        <f aca="false">IF($E712="","",IF($K712="✓","✓ ","")&amp;IF(Config!$E$22="Sim",$H712&amp;" · ","")&amp;$F712)</f>
        <v/>
      </c>
      <c r="N712" s="114" t="str">
        <f aca="false">IF($E712="","",IFERROR(INDEX(Config!$D$15:$D$19,MATCH($I712,Config!$C$15:$C$19,0)),"OUT")&amp;IF($K712="✓","x",""))</f>
        <v/>
      </c>
      <c r="O712" s="114" t="str">
        <f aca="false">IF($E712="","",COUNTIF($E$5:$E712,$E712))</f>
        <v/>
      </c>
      <c r="P712" s="114" t="str">
        <f aca="false">IF($E712="","",$E712*100+$O712)</f>
        <v/>
      </c>
      <c r="Q712" s="114" t="str">
        <f aca="false">IF($L712="Atrasado",$E712*10000+$A712,"")</f>
        <v/>
      </c>
    </row>
    <row r="713" customFormat="false" ht="15" hidden="false" customHeight="false" outlineLevel="0" collapsed="false">
      <c r="A713" s="114" t="n">
        <f aca="false">ROW()-4</f>
        <v>709</v>
      </c>
      <c r="B713" s="114" t="str">
        <f aca="false">IF(A713&lt;=Config!$E$27*Config!$E$28,"Tema","Avulso")</f>
        <v>Tema</v>
      </c>
      <c r="C713" s="114" t="n">
        <f aca="false">IF(B713="Tema",INT((A713-1)/Config!$E$28)+1,A713-Config!$E$27*Config!$E$28)</f>
        <v>119</v>
      </c>
      <c r="D713" s="114" t="n">
        <f aca="false">IF(B713="Tema",MOD(A713-1,Config!$E$28)+1,"")</f>
        <v>1</v>
      </c>
      <c r="E713" s="115" t="str">
        <f aca="false">IF($B713="Tema",IF(ISNUMBER(INDEX(Temas!$E$6:$P$305,$C713,2*$D713-1)),INDEX(Temas!$E$6:$P$305,$C713,2*$D713-1),""),IF(ISNUMBER(INDEX(Avulsos!$B$6:$B$205,$C713)),INDEX(Avulsos!$B$6:$B$205,$C713),""))</f>
        <v/>
      </c>
      <c r="F713" s="114" t="str">
        <f aca="false">IF($E713="","",IF($B713="Tema",INDEX(Temas!$B$6:$B$305,$C713)&amp;"",INDEX(Avulsos!$C$6:$C$205,$C713)&amp;""))</f>
        <v/>
      </c>
      <c r="G713" s="114" t="str">
        <f aca="false">IF($E713="","",IF($B713="Tema",INDEX(Config!$C$6:$C$11,$D713),"Evento avulso"))</f>
        <v/>
      </c>
      <c r="H713" s="114" t="str">
        <f aca="false">IF($E713="","",IF($B713="Tema",INDEX(Config!$D$6:$D$11,$D713),IFERROR(INDEX(Config!$E$15:$E$19,MATCH($I713,Config!$C$15:$C$19,0)),"•")))</f>
        <v/>
      </c>
      <c r="I713" s="114" t="str">
        <f aca="false">IF($E713="","",IF($B713="Tema",INDEX(Config!$E$6:$E$11,$D713),IF(INDEX(Avulsos!$D$6:$D$205,$C713)&amp;""="","Outro",INDEX(Avulsos!$D$6:$D$205,$C713))))</f>
        <v/>
      </c>
      <c r="J713" s="114" t="str">
        <f aca="false">IF($E713="","",IF($B713="Tema",INDEX(Temas!$C$6:$C$305,$C713)&amp;"",INDEX(Avulsos!$E$6:$E$205,$C713)&amp;""))</f>
        <v/>
      </c>
      <c r="K713" s="114" t="str">
        <f aca="false">IF($E713="","",IF(IF($B713="Tema",INDEX(Temas!$E$6:$P$305,$C713,2*$D713),INDEX(Avulsos!$F$6:$F$205,$C713))&amp;""="","","✓"))</f>
        <v/>
      </c>
      <c r="L713" s="114" t="str">
        <f aca="true">IF($E713="","",IF($K713="✓","Concluído",IF($E713&lt;TODAY(),"Atrasado",IF($E713=TODAY(),"Hoje","Pendente"))))</f>
        <v/>
      </c>
      <c r="M713" s="114" t="str">
        <f aca="false">IF($E713="","",IF($K713="✓","✓ ","")&amp;IF(Config!$E$22="Sim",$H713&amp;" · ","")&amp;$F713)</f>
        <v/>
      </c>
      <c r="N713" s="114" t="str">
        <f aca="false">IF($E713="","",IFERROR(INDEX(Config!$D$15:$D$19,MATCH($I713,Config!$C$15:$C$19,0)),"OUT")&amp;IF($K713="✓","x",""))</f>
        <v/>
      </c>
      <c r="O713" s="114" t="str">
        <f aca="false">IF($E713="","",COUNTIF($E$5:$E713,$E713))</f>
        <v/>
      </c>
      <c r="P713" s="114" t="str">
        <f aca="false">IF($E713="","",$E713*100+$O713)</f>
        <v/>
      </c>
      <c r="Q713" s="114" t="str">
        <f aca="false">IF($L713="Atrasado",$E713*10000+$A713,"")</f>
        <v/>
      </c>
    </row>
    <row r="714" customFormat="false" ht="15" hidden="false" customHeight="false" outlineLevel="0" collapsed="false">
      <c r="A714" s="114" t="n">
        <f aca="false">ROW()-4</f>
        <v>710</v>
      </c>
      <c r="B714" s="114" t="str">
        <f aca="false">IF(A714&lt;=Config!$E$27*Config!$E$28,"Tema","Avulso")</f>
        <v>Tema</v>
      </c>
      <c r="C714" s="114" t="n">
        <f aca="false">IF(B714="Tema",INT((A714-1)/Config!$E$28)+1,A714-Config!$E$27*Config!$E$28)</f>
        <v>119</v>
      </c>
      <c r="D714" s="114" t="n">
        <f aca="false">IF(B714="Tema",MOD(A714-1,Config!$E$28)+1,"")</f>
        <v>2</v>
      </c>
      <c r="E714" s="115" t="str">
        <f aca="false">IF($B714="Tema",IF(ISNUMBER(INDEX(Temas!$E$6:$P$305,$C714,2*$D714-1)),INDEX(Temas!$E$6:$P$305,$C714,2*$D714-1),""),IF(ISNUMBER(INDEX(Avulsos!$B$6:$B$205,$C714)),INDEX(Avulsos!$B$6:$B$205,$C714),""))</f>
        <v/>
      </c>
      <c r="F714" s="114" t="str">
        <f aca="false">IF($E714="","",IF($B714="Tema",INDEX(Temas!$B$6:$B$305,$C714)&amp;"",INDEX(Avulsos!$C$6:$C$205,$C714)&amp;""))</f>
        <v/>
      </c>
      <c r="G714" s="114" t="str">
        <f aca="false">IF($E714="","",IF($B714="Tema",INDEX(Config!$C$6:$C$11,$D714),"Evento avulso"))</f>
        <v/>
      </c>
      <c r="H714" s="114" t="str">
        <f aca="false">IF($E714="","",IF($B714="Tema",INDEX(Config!$D$6:$D$11,$D714),IFERROR(INDEX(Config!$E$15:$E$19,MATCH($I714,Config!$C$15:$C$19,0)),"•")))</f>
        <v/>
      </c>
      <c r="I714" s="114" t="str">
        <f aca="false">IF($E714="","",IF($B714="Tema",INDEX(Config!$E$6:$E$11,$D714),IF(INDEX(Avulsos!$D$6:$D$205,$C714)&amp;""="","Outro",INDEX(Avulsos!$D$6:$D$205,$C714))))</f>
        <v/>
      </c>
      <c r="J714" s="114" t="str">
        <f aca="false">IF($E714="","",IF($B714="Tema",INDEX(Temas!$C$6:$C$305,$C714)&amp;"",INDEX(Avulsos!$E$6:$E$205,$C714)&amp;""))</f>
        <v/>
      </c>
      <c r="K714" s="114" t="str">
        <f aca="false">IF($E714="","",IF(IF($B714="Tema",INDEX(Temas!$E$6:$P$305,$C714,2*$D714),INDEX(Avulsos!$F$6:$F$205,$C714))&amp;""="","","✓"))</f>
        <v/>
      </c>
      <c r="L714" s="114" t="str">
        <f aca="true">IF($E714="","",IF($K714="✓","Concluído",IF($E714&lt;TODAY(),"Atrasado",IF($E714=TODAY(),"Hoje","Pendente"))))</f>
        <v/>
      </c>
      <c r="M714" s="114" t="str">
        <f aca="false">IF($E714="","",IF($K714="✓","✓ ","")&amp;IF(Config!$E$22="Sim",$H714&amp;" · ","")&amp;$F714)</f>
        <v/>
      </c>
      <c r="N714" s="114" t="str">
        <f aca="false">IF($E714="","",IFERROR(INDEX(Config!$D$15:$D$19,MATCH($I714,Config!$C$15:$C$19,0)),"OUT")&amp;IF($K714="✓","x",""))</f>
        <v/>
      </c>
      <c r="O714" s="114" t="str">
        <f aca="false">IF($E714="","",COUNTIF($E$5:$E714,$E714))</f>
        <v/>
      </c>
      <c r="P714" s="114" t="str">
        <f aca="false">IF($E714="","",$E714*100+$O714)</f>
        <v/>
      </c>
      <c r="Q714" s="114" t="str">
        <f aca="false">IF($L714="Atrasado",$E714*10000+$A714,"")</f>
        <v/>
      </c>
    </row>
    <row r="715" customFormat="false" ht="15" hidden="false" customHeight="false" outlineLevel="0" collapsed="false">
      <c r="A715" s="114" t="n">
        <f aca="false">ROW()-4</f>
        <v>711</v>
      </c>
      <c r="B715" s="114" t="str">
        <f aca="false">IF(A715&lt;=Config!$E$27*Config!$E$28,"Tema","Avulso")</f>
        <v>Tema</v>
      </c>
      <c r="C715" s="114" t="n">
        <f aca="false">IF(B715="Tema",INT((A715-1)/Config!$E$28)+1,A715-Config!$E$27*Config!$E$28)</f>
        <v>119</v>
      </c>
      <c r="D715" s="114" t="n">
        <f aca="false">IF(B715="Tema",MOD(A715-1,Config!$E$28)+1,"")</f>
        <v>3</v>
      </c>
      <c r="E715" s="115" t="str">
        <f aca="false">IF($B715="Tema",IF(ISNUMBER(INDEX(Temas!$E$6:$P$305,$C715,2*$D715-1)),INDEX(Temas!$E$6:$P$305,$C715,2*$D715-1),""),IF(ISNUMBER(INDEX(Avulsos!$B$6:$B$205,$C715)),INDEX(Avulsos!$B$6:$B$205,$C715),""))</f>
        <v/>
      </c>
      <c r="F715" s="114" t="str">
        <f aca="false">IF($E715="","",IF($B715="Tema",INDEX(Temas!$B$6:$B$305,$C715)&amp;"",INDEX(Avulsos!$C$6:$C$205,$C715)&amp;""))</f>
        <v/>
      </c>
      <c r="G715" s="114" t="str">
        <f aca="false">IF($E715="","",IF($B715="Tema",INDEX(Config!$C$6:$C$11,$D715),"Evento avulso"))</f>
        <v/>
      </c>
      <c r="H715" s="114" t="str">
        <f aca="false">IF($E715="","",IF($B715="Tema",INDEX(Config!$D$6:$D$11,$D715),IFERROR(INDEX(Config!$E$15:$E$19,MATCH($I715,Config!$C$15:$C$19,0)),"•")))</f>
        <v/>
      </c>
      <c r="I715" s="114" t="str">
        <f aca="false">IF($E715="","",IF($B715="Tema",INDEX(Config!$E$6:$E$11,$D715),IF(INDEX(Avulsos!$D$6:$D$205,$C715)&amp;""="","Outro",INDEX(Avulsos!$D$6:$D$205,$C715))))</f>
        <v/>
      </c>
      <c r="J715" s="114" t="str">
        <f aca="false">IF($E715="","",IF($B715="Tema",INDEX(Temas!$C$6:$C$305,$C715)&amp;"",INDEX(Avulsos!$E$6:$E$205,$C715)&amp;""))</f>
        <v/>
      </c>
      <c r="K715" s="114" t="str">
        <f aca="false">IF($E715="","",IF(IF($B715="Tema",INDEX(Temas!$E$6:$P$305,$C715,2*$D715),INDEX(Avulsos!$F$6:$F$205,$C715))&amp;""="","","✓"))</f>
        <v/>
      </c>
      <c r="L715" s="114" t="str">
        <f aca="true">IF($E715="","",IF($K715="✓","Concluído",IF($E715&lt;TODAY(),"Atrasado",IF($E715=TODAY(),"Hoje","Pendente"))))</f>
        <v/>
      </c>
      <c r="M715" s="114" t="str">
        <f aca="false">IF($E715="","",IF($K715="✓","✓ ","")&amp;IF(Config!$E$22="Sim",$H715&amp;" · ","")&amp;$F715)</f>
        <v/>
      </c>
      <c r="N715" s="114" t="str">
        <f aca="false">IF($E715="","",IFERROR(INDEX(Config!$D$15:$D$19,MATCH($I715,Config!$C$15:$C$19,0)),"OUT")&amp;IF($K715="✓","x",""))</f>
        <v/>
      </c>
      <c r="O715" s="114" t="str">
        <f aca="false">IF($E715="","",COUNTIF($E$5:$E715,$E715))</f>
        <v/>
      </c>
      <c r="P715" s="114" t="str">
        <f aca="false">IF($E715="","",$E715*100+$O715)</f>
        <v/>
      </c>
      <c r="Q715" s="114" t="str">
        <f aca="false">IF($L715="Atrasado",$E715*10000+$A715,"")</f>
        <v/>
      </c>
    </row>
    <row r="716" customFormat="false" ht="15" hidden="false" customHeight="false" outlineLevel="0" collapsed="false">
      <c r="A716" s="114" t="n">
        <f aca="false">ROW()-4</f>
        <v>712</v>
      </c>
      <c r="B716" s="114" t="str">
        <f aca="false">IF(A716&lt;=Config!$E$27*Config!$E$28,"Tema","Avulso")</f>
        <v>Tema</v>
      </c>
      <c r="C716" s="114" t="n">
        <f aca="false">IF(B716="Tema",INT((A716-1)/Config!$E$28)+1,A716-Config!$E$27*Config!$E$28)</f>
        <v>119</v>
      </c>
      <c r="D716" s="114" t="n">
        <f aca="false">IF(B716="Tema",MOD(A716-1,Config!$E$28)+1,"")</f>
        <v>4</v>
      </c>
      <c r="E716" s="115" t="str">
        <f aca="false">IF($B716="Tema",IF(ISNUMBER(INDEX(Temas!$E$6:$P$305,$C716,2*$D716-1)),INDEX(Temas!$E$6:$P$305,$C716,2*$D716-1),""),IF(ISNUMBER(INDEX(Avulsos!$B$6:$B$205,$C716)),INDEX(Avulsos!$B$6:$B$205,$C716),""))</f>
        <v/>
      </c>
      <c r="F716" s="114" t="str">
        <f aca="false">IF($E716="","",IF($B716="Tema",INDEX(Temas!$B$6:$B$305,$C716)&amp;"",INDEX(Avulsos!$C$6:$C$205,$C716)&amp;""))</f>
        <v/>
      </c>
      <c r="G716" s="114" t="str">
        <f aca="false">IF($E716="","",IF($B716="Tema",INDEX(Config!$C$6:$C$11,$D716),"Evento avulso"))</f>
        <v/>
      </c>
      <c r="H716" s="114" t="str">
        <f aca="false">IF($E716="","",IF($B716="Tema",INDEX(Config!$D$6:$D$11,$D716),IFERROR(INDEX(Config!$E$15:$E$19,MATCH($I716,Config!$C$15:$C$19,0)),"•")))</f>
        <v/>
      </c>
      <c r="I716" s="114" t="str">
        <f aca="false">IF($E716="","",IF($B716="Tema",INDEX(Config!$E$6:$E$11,$D716),IF(INDEX(Avulsos!$D$6:$D$205,$C716)&amp;""="","Outro",INDEX(Avulsos!$D$6:$D$205,$C716))))</f>
        <v/>
      </c>
      <c r="J716" s="114" t="str">
        <f aca="false">IF($E716="","",IF($B716="Tema",INDEX(Temas!$C$6:$C$305,$C716)&amp;"",INDEX(Avulsos!$E$6:$E$205,$C716)&amp;""))</f>
        <v/>
      </c>
      <c r="K716" s="114" t="str">
        <f aca="false">IF($E716="","",IF(IF($B716="Tema",INDEX(Temas!$E$6:$P$305,$C716,2*$D716),INDEX(Avulsos!$F$6:$F$205,$C716))&amp;""="","","✓"))</f>
        <v/>
      </c>
      <c r="L716" s="114" t="str">
        <f aca="true">IF($E716="","",IF($K716="✓","Concluído",IF($E716&lt;TODAY(),"Atrasado",IF($E716=TODAY(),"Hoje","Pendente"))))</f>
        <v/>
      </c>
      <c r="M716" s="114" t="str">
        <f aca="false">IF($E716="","",IF($K716="✓","✓ ","")&amp;IF(Config!$E$22="Sim",$H716&amp;" · ","")&amp;$F716)</f>
        <v/>
      </c>
      <c r="N716" s="114" t="str">
        <f aca="false">IF($E716="","",IFERROR(INDEX(Config!$D$15:$D$19,MATCH($I716,Config!$C$15:$C$19,0)),"OUT")&amp;IF($K716="✓","x",""))</f>
        <v/>
      </c>
      <c r="O716" s="114" t="str">
        <f aca="false">IF($E716="","",COUNTIF($E$5:$E716,$E716))</f>
        <v/>
      </c>
      <c r="P716" s="114" t="str">
        <f aca="false">IF($E716="","",$E716*100+$O716)</f>
        <v/>
      </c>
      <c r="Q716" s="114" t="str">
        <f aca="false">IF($L716="Atrasado",$E716*10000+$A716,"")</f>
        <v/>
      </c>
    </row>
    <row r="717" customFormat="false" ht="15" hidden="false" customHeight="false" outlineLevel="0" collapsed="false">
      <c r="A717" s="114" t="n">
        <f aca="false">ROW()-4</f>
        <v>713</v>
      </c>
      <c r="B717" s="114" t="str">
        <f aca="false">IF(A717&lt;=Config!$E$27*Config!$E$28,"Tema","Avulso")</f>
        <v>Tema</v>
      </c>
      <c r="C717" s="114" t="n">
        <f aca="false">IF(B717="Tema",INT((A717-1)/Config!$E$28)+1,A717-Config!$E$27*Config!$E$28)</f>
        <v>119</v>
      </c>
      <c r="D717" s="114" t="n">
        <f aca="false">IF(B717="Tema",MOD(A717-1,Config!$E$28)+1,"")</f>
        <v>5</v>
      </c>
      <c r="E717" s="115" t="str">
        <f aca="false">IF($B717="Tema",IF(ISNUMBER(INDEX(Temas!$E$6:$P$305,$C717,2*$D717-1)),INDEX(Temas!$E$6:$P$305,$C717,2*$D717-1),""),IF(ISNUMBER(INDEX(Avulsos!$B$6:$B$205,$C717)),INDEX(Avulsos!$B$6:$B$205,$C717),""))</f>
        <v/>
      </c>
      <c r="F717" s="114" t="str">
        <f aca="false">IF($E717="","",IF($B717="Tema",INDEX(Temas!$B$6:$B$305,$C717)&amp;"",INDEX(Avulsos!$C$6:$C$205,$C717)&amp;""))</f>
        <v/>
      </c>
      <c r="G717" s="114" t="str">
        <f aca="false">IF($E717="","",IF($B717="Tema",INDEX(Config!$C$6:$C$11,$D717),"Evento avulso"))</f>
        <v/>
      </c>
      <c r="H717" s="114" t="str">
        <f aca="false">IF($E717="","",IF($B717="Tema",INDEX(Config!$D$6:$D$11,$D717),IFERROR(INDEX(Config!$E$15:$E$19,MATCH($I717,Config!$C$15:$C$19,0)),"•")))</f>
        <v/>
      </c>
      <c r="I717" s="114" t="str">
        <f aca="false">IF($E717="","",IF($B717="Tema",INDEX(Config!$E$6:$E$11,$D717),IF(INDEX(Avulsos!$D$6:$D$205,$C717)&amp;""="","Outro",INDEX(Avulsos!$D$6:$D$205,$C717))))</f>
        <v/>
      </c>
      <c r="J717" s="114" t="str">
        <f aca="false">IF($E717="","",IF($B717="Tema",INDEX(Temas!$C$6:$C$305,$C717)&amp;"",INDEX(Avulsos!$E$6:$E$205,$C717)&amp;""))</f>
        <v/>
      </c>
      <c r="K717" s="114" t="str">
        <f aca="false">IF($E717="","",IF(IF($B717="Tema",INDEX(Temas!$E$6:$P$305,$C717,2*$D717),INDEX(Avulsos!$F$6:$F$205,$C717))&amp;""="","","✓"))</f>
        <v/>
      </c>
      <c r="L717" s="114" t="str">
        <f aca="true">IF($E717="","",IF($K717="✓","Concluído",IF($E717&lt;TODAY(),"Atrasado",IF($E717=TODAY(),"Hoje","Pendente"))))</f>
        <v/>
      </c>
      <c r="M717" s="114" t="str">
        <f aca="false">IF($E717="","",IF($K717="✓","✓ ","")&amp;IF(Config!$E$22="Sim",$H717&amp;" · ","")&amp;$F717)</f>
        <v/>
      </c>
      <c r="N717" s="114" t="str">
        <f aca="false">IF($E717="","",IFERROR(INDEX(Config!$D$15:$D$19,MATCH($I717,Config!$C$15:$C$19,0)),"OUT")&amp;IF($K717="✓","x",""))</f>
        <v/>
      </c>
      <c r="O717" s="114" t="str">
        <f aca="false">IF($E717="","",COUNTIF($E$5:$E717,$E717))</f>
        <v/>
      </c>
      <c r="P717" s="114" t="str">
        <f aca="false">IF($E717="","",$E717*100+$O717)</f>
        <v/>
      </c>
      <c r="Q717" s="114" t="str">
        <f aca="false">IF($L717="Atrasado",$E717*10000+$A717,"")</f>
        <v/>
      </c>
    </row>
    <row r="718" customFormat="false" ht="15" hidden="false" customHeight="false" outlineLevel="0" collapsed="false">
      <c r="A718" s="114" t="n">
        <f aca="false">ROW()-4</f>
        <v>714</v>
      </c>
      <c r="B718" s="114" t="str">
        <f aca="false">IF(A718&lt;=Config!$E$27*Config!$E$28,"Tema","Avulso")</f>
        <v>Tema</v>
      </c>
      <c r="C718" s="114" t="n">
        <f aca="false">IF(B718="Tema",INT((A718-1)/Config!$E$28)+1,A718-Config!$E$27*Config!$E$28)</f>
        <v>119</v>
      </c>
      <c r="D718" s="114" t="n">
        <f aca="false">IF(B718="Tema",MOD(A718-1,Config!$E$28)+1,"")</f>
        <v>6</v>
      </c>
      <c r="E718" s="115" t="str">
        <f aca="false">IF($B718="Tema",IF(ISNUMBER(INDEX(Temas!$E$6:$P$305,$C718,2*$D718-1)),INDEX(Temas!$E$6:$P$305,$C718,2*$D718-1),""),IF(ISNUMBER(INDEX(Avulsos!$B$6:$B$205,$C718)),INDEX(Avulsos!$B$6:$B$205,$C718),""))</f>
        <v/>
      </c>
      <c r="F718" s="114" t="str">
        <f aca="false">IF($E718="","",IF($B718="Tema",INDEX(Temas!$B$6:$B$305,$C718)&amp;"",INDEX(Avulsos!$C$6:$C$205,$C718)&amp;""))</f>
        <v/>
      </c>
      <c r="G718" s="114" t="str">
        <f aca="false">IF($E718="","",IF($B718="Tema",INDEX(Config!$C$6:$C$11,$D718),"Evento avulso"))</f>
        <v/>
      </c>
      <c r="H718" s="114" t="str">
        <f aca="false">IF($E718="","",IF($B718="Tema",INDEX(Config!$D$6:$D$11,$D718),IFERROR(INDEX(Config!$E$15:$E$19,MATCH($I718,Config!$C$15:$C$19,0)),"•")))</f>
        <v/>
      </c>
      <c r="I718" s="114" t="str">
        <f aca="false">IF($E718="","",IF($B718="Tema",INDEX(Config!$E$6:$E$11,$D718),IF(INDEX(Avulsos!$D$6:$D$205,$C718)&amp;""="","Outro",INDEX(Avulsos!$D$6:$D$205,$C718))))</f>
        <v/>
      </c>
      <c r="J718" s="114" t="str">
        <f aca="false">IF($E718="","",IF($B718="Tema",INDEX(Temas!$C$6:$C$305,$C718)&amp;"",INDEX(Avulsos!$E$6:$E$205,$C718)&amp;""))</f>
        <v/>
      </c>
      <c r="K718" s="114" t="str">
        <f aca="false">IF($E718="","",IF(IF($B718="Tema",INDEX(Temas!$E$6:$P$305,$C718,2*$D718),INDEX(Avulsos!$F$6:$F$205,$C718))&amp;""="","","✓"))</f>
        <v/>
      </c>
      <c r="L718" s="114" t="str">
        <f aca="true">IF($E718="","",IF($K718="✓","Concluído",IF($E718&lt;TODAY(),"Atrasado",IF($E718=TODAY(),"Hoje","Pendente"))))</f>
        <v/>
      </c>
      <c r="M718" s="114" t="str">
        <f aca="false">IF($E718="","",IF($K718="✓","✓ ","")&amp;IF(Config!$E$22="Sim",$H718&amp;" · ","")&amp;$F718)</f>
        <v/>
      </c>
      <c r="N718" s="114" t="str">
        <f aca="false">IF($E718="","",IFERROR(INDEX(Config!$D$15:$D$19,MATCH($I718,Config!$C$15:$C$19,0)),"OUT")&amp;IF($K718="✓","x",""))</f>
        <v/>
      </c>
      <c r="O718" s="114" t="str">
        <f aca="false">IF($E718="","",COUNTIF($E$5:$E718,$E718))</f>
        <v/>
      </c>
      <c r="P718" s="114" t="str">
        <f aca="false">IF($E718="","",$E718*100+$O718)</f>
        <v/>
      </c>
      <c r="Q718" s="114" t="str">
        <f aca="false">IF($L718="Atrasado",$E718*10000+$A718,"")</f>
        <v/>
      </c>
    </row>
    <row r="719" customFormat="false" ht="15" hidden="false" customHeight="false" outlineLevel="0" collapsed="false">
      <c r="A719" s="114" t="n">
        <f aca="false">ROW()-4</f>
        <v>715</v>
      </c>
      <c r="B719" s="114" t="str">
        <f aca="false">IF(A719&lt;=Config!$E$27*Config!$E$28,"Tema","Avulso")</f>
        <v>Tema</v>
      </c>
      <c r="C719" s="114" t="n">
        <f aca="false">IF(B719="Tema",INT((A719-1)/Config!$E$28)+1,A719-Config!$E$27*Config!$E$28)</f>
        <v>120</v>
      </c>
      <c r="D719" s="114" t="n">
        <f aca="false">IF(B719="Tema",MOD(A719-1,Config!$E$28)+1,"")</f>
        <v>1</v>
      </c>
      <c r="E719" s="115" t="str">
        <f aca="false">IF($B719="Tema",IF(ISNUMBER(INDEX(Temas!$E$6:$P$305,$C719,2*$D719-1)),INDEX(Temas!$E$6:$P$305,$C719,2*$D719-1),""),IF(ISNUMBER(INDEX(Avulsos!$B$6:$B$205,$C719)),INDEX(Avulsos!$B$6:$B$205,$C719),""))</f>
        <v/>
      </c>
      <c r="F719" s="114" t="str">
        <f aca="false">IF($E719="","",IF($B719="Tema",INDEX(Temas!$B$6:$B$305,$C719)&amp;"",INDEX(Avulsos!$C$6:$C$205,$C719)&amp;""))</f>
        <v/>
      </c>
      <c r="G719" s="114" t="str">
        <f aca="false">IF($E719="","",IF($B719="Tema",INDEX(Config!$C$6:$C$11,$D719),"Evento avulso"))</f>
        <v/>
      </c>
      <c r="H719" s="114" t="str">
        <f aca="false">IF($E719="","",IF($B719="Tema",INDEX(Config!$D$6:$D$11,$D719),IFERROR(INDEX(Config!$E$15:$E$19,MATCH($I719,Config!$C$15:$C$19,0)),"•")))</f>
        <v/>
      </c>
      <c r="I719" s="114" t="str">
        <f aca="false">IF($E719="","",IF($B719="Tema",INDEX(Config!$E$6:$E$11,$D719),IF(INDEX(Avulsos!$D$6:$D$205,$C719)&amp;""="","Outro",INDEX(Avulsos!$D$6:$D$205,$C719))))</f>
        <v/>
      </c>
      <c r="J719" s="114" t="str">
        <f aca="false">IF($E719="","",IF($B719="Tema",INDEX(Temas!$C$6:$C$305,$C719)&amp;"",INDEX(Avulsos!$E$6:$E$205,$C719)&amp;""))</f>
        <v/>
      </c>
      <c r="K719" s="114" t="str">
        <f aca="false">IF($E719="","",IF(IF($B719="Tema",INDEX(Temas!$E$6:$P$305,$C719,2*$D719),INDEX(Avulsos!$F$6:$F$205,$C719))&amp;""="","","✓"))</f>
        <v/>
      </c>
      <c r="L719" s="114" t="str">
        <f aca="true">IF($E719="","",IF($K719="✓","Concluído",IF($E719&lt;TODAY(),"Atrasado",IF($E719=TODAY(),"Hoje","Pendente"))))</f>
        <v/>
      </c>
      <c r="M719" s="114" t="str">
        <f aca="false">IF($E719="","",IF($K719="✓","✓ ","")&amp;IF(Config!$E$22="Sim",$H719&amp;" · ","")&amp;$F719)</f>
        <v/>
      </c>
      <c r="N719" s="114" t="str">
        <f aca="false">IF($E719="","",IFERROR(INDEX(Config!$D$15:$D$19,MATCH($I719,Config!$C$15:$C$19,0)),"OUT")&amp;IF($K719="✓","x",""))</f>
        <v/>
      </c>
      <c r="O719" s="114" t="str">
        <f aca="false">IF($E719="","",COUNTIF($E$5:$E719,$E719))</f>
        <v/>
      </c>
      <c r="P719" s="114" t="str">
        <f aca="false">IF($E719="","",$E719*100+$O719)</f>
        <v/>
      </c>
      <c r="Q719" s="114" t="str">
        <f aca="false">IF($L719="Atrasado",$E719*10000+$A719,"")</f>
        <v/>
      </c>
    </row>
    <row r="720" customFormat="false" ht="15" hidden="false" customHeight="false" outlineLevel="0" collapsed="false">
      <c r="A720" s="114" t="n">
        <f aca="false">ROW()-4</f>
        <v>716</v>
      </c>
      <c r="B720" s="114" t="str">
        <f aca="false">IF(A720&lt;=Config!$E$27*Config!$E$28,"Tema","Avulso")</f>
        <v>Tema</v>
      </c>
      <c r="C720" s="114" t="n">
        <f aca="false">IF(B720="Tema",INT((A720-1)/Config!$E$28)+1,A720-Config!$E$27*Config!$E$28)</f>
        <v>120</v>
      </c>
      <c r="D720" s="114" t="n">
        <f aca="false">IF(B720="Tema",MOD(A720-1,Config!$E$28)+1,"")</f>
        <v>2</v>
      </c>
      <c r="E720" s="115" t="str">
        <f aca="false">IF($B720="Tema",IF(ISNUMBER(INDEX(Temas!$E$6:$P$305,$C720,2*$D720-1)),INDEX(Temas!$E$6:$P$305,$C720,2*$D720-1),""),IF(ISNUMBER(INDEX(Avulsos!$B$6:$B$205,$C720)),INDEX(Avulsos!$B$6:$B$205,$C720),""))</f>
        <v/>
      </c>
      <c r="F720" s="114" t="str">
        <f aca="false">IF($E720="","",IF($B720="Tema",INDEX(Temas!$B$6:$B$305,$C720)&amp;"",INDEX(Avulsos!$C$6:$C$205,$C720)&amp;""))</f>
        <v/>
      </c>
      <c r="G720" s="114" t="str">
        <f aca="false">IF($E720="","",IF($B720="Tema",INDEX(Config!$C$6:$C$11,$D720),"Evento avulso"))</f>
        <v/>
      </c>
      <c r="H720" s="114" t="str">
        <f aca="false">IF($E720="","",IF($B720="Tema",INDEX(Config!$D$6:$D$11,$D720),IFERROR(INDEX(Config!$E$15:$E$19,MATCH($I720,Config!$C$15:$C$19,0)),"•")))</f>
        <v/>
      </c>
      <c r="I720" s="114" t="str">
        <f aca="false">IF($E720="","",IF($B720="Tema",INDEX(Config!$E$6:$E$11,$D720),IF(INDEX(Avulsos!$D$6:$D$205,$C720)&amp;""="","Outro",INDEX(Avulsos!$D$6:$D$205,$C720))))</f>
        <v/>
      </c>
      <c r="J720" s="114" t="str">
        <f aca="false">IF($E720="","",IF($B720="Tema",INDEX(Temas!$C$6:$C$305,$C720)&amp;"",INDEX(Avulsos!$E$6:$E$205,$C720)&amp;""))</f>
        <v/>
      </c>
      <c r="K720" s="114" t="str">
        <f aca="false">IF($E720="","",IF(IF($B720="Tema",INDEX(Temas!$E$6:$P$305,$C720,2*$D720),INDEX(Avulsos!$F$6:$F$205,$C720))&amp;""="","","✓"))</f>
        <v/>
      </c>
      <c r="L720" s="114" t="str">
        <f aca="true">IF($E720="","",IF($K720="✓","Concluído",IF($E720&lt;TODAY(),"Atrasado",IF($E720=TODAY(),"Hoje","Pendente"))))</f>
        <v/>
      </c>
      <c r="M720" s="114" t="str">
        <f aca="false">IF($E720="","",IF($K720="✓","✓ ","")&amp;IF(Config!$E$22="Sim",$H720&amp;" · ","")&amp;$F720)</f>
        <v/>
      </c>
      <c r="N720" s="114" t="str">
        <f aca="false">IF($E720="","",IFERROR(INDEX(Config!$D$15:$D$19,MATCH($I720,Config!$C$15:$C$19,0)),"OUT")&amp;IF($K720="✓","x",""))</f>
        <v/>
      </c>
      <c r="O720" s="114" t="str">
        <f aca="false">IF($E720="","",COUNTIF($E$5:$E720,$E720))</f>
        <v/>
      </c>
      <c r="P720" s="114" t="str">
        <f aca="false">IF($E720="","",$E720*100+$O720)</f>
        <v/>
      </c>
      <c r="Q720" s="114" t="str">
        <f aca="false">IF($L720="Atrasado",$E720*10000+$A720,"")</f>
        <v/>
      </c>
    </row>
    <row r="721" customFormat="false" ht="15" hidden="false" customHeight="false" outlineLevel="0" collapsed="false">
      <c r="A721" s="114" t="n">
        <f aca="false">ROW()-4</f>
        <v>717</v>
      </c>
      <c r="B721" s="114" t="str">
        <f aca="false">IF(A721&lt;=Config!$E$27*Config!$E$28,"Tema","Avulso")</f>
        <v>Tema</v>
      </c>
      <c r="C721" s="114" t="n">
        <f aca="false">IF(B721="Tema",INT((A721-1)/Config!$E$28)+1,A721-Config!$E$27*Config!$E$28)</f>
        <v>120</v>
      </c>
      <c r="D721" s="114" t="n">
        <f aca="false">IF(B721="Tema",MOD(A721-1,Config!$E$28)+1,"")</f>
        <v>3</v>
      </c>
      <c r="E721" s="115" t="str">
        <f aca="false">IF($B721="Tema",IF(ISNUMBER(INDEX(Temas!$E$6:$P$305,$C721,2*$D721-1)),INDEX(Temas!$E$6:$P$305,$C721,2*$D721-1),""),IF(ISNUMBER(INDEX(Avulsos!$B$6:$B$205,$C721)),INDEX(Avulsos!$B$6:$B$205,$C721),""))</f>
        <v/>
      </c>
      <c r="F721" s="114" t="str">
        <f aca="false">IF($E721="","",IF($B721="Tema",INDEX(Temas!$B$6:$B$305,$C721)&amp;"",INDEX(Avulsos!$C$6:$C$205,$C721)&amp;""))</f>
        <v/>
      </c>
      <c r="G721" s="114" t="str">
        <f aca="false">IF($E721="","",IF($B721="Tema",INDEX(Config!$C$6:$C$11,$D721),"Evento avulso"))</f>
        <v/>
      </c>
      <c r="H721" s="114" t="str">
        <f aca="false">IF($E721="","",IF($B721="Tema",INDEX(Config!$D$6:$D$11,$D721),IFERROR(INDEX(Config!$E$15:$E$19,MATCH($I721,Config!$C$15:$C$19,0)),"•")))</f>
        <v/>
      </c>
      <c r="I721" s="114" t="str">
        <f aca="false">IF($E721="","",IF($B721="Tema",INDEX(Config!$E$6:$E$11,$D721),IF(INDEX(Avulsos!$D$6:$D$205,$C721)&amp;""="","Outro",INDEX(Avulsos!$D$6:$D$205,$C721))))</f>
        <v/>
      </c>
      <c r="J721" s="114" t="str">
        <f aca="false">IF($E721="","",IF($B721="Tema",INDEX(Temas!$C$6:$C$305,$C721)&amp;"",INDEX(Avulsos!$E$6:$E$205,$C721)&amp;""))</f>
        <v/>
      </c>
      <c r="K721" s="114" t="str">
        <f aca="false">IF($E721="","",IF(IF($B721="Tema",INDEX(Temas!$E$6:$P$305,$C721,2*$D721),INDEX(Avulsos!$F$6:$F$205,$C721))&amp;""="","","✓"))</f>
        <v/>
      </c>
      <c r="L721" s="114" t="str">
        <f aca="true">IF($E721="","",IF($K721="✓","Concluído",IF($E721&lt;TODAY(),"Atrasado",IF($E721=TODAY(),"Hoje","Pendente"))))</f>
        <v/>
      </c>
      <c r="M721" s="114" t="str">
        <f aca="false">IF($E721="","",IF($K721="✓","✓ ","")&amp;IF(Config!$E$22="Sim",$H721&amp;" · ","")&amp;$F721)</f>
        <v/>
      </c>
      <c r="N721" s="114" t="str">
        <f aca="false">IF($E721="","",IFERROR(INDEX(Config!$D$15:$D$19,MATCH($I721,Config!$C$15:$C$19,0)),"OUT")&amp;IF($K721="✓","x",""))</f>
        <v/>
      </c>
      <c r="O721" s="114" t="str">
        <f aca="false">IF($E721="","",COUNTIF($E$5:$E721,$E721))</f>
        <v/>
      </c>
      <c r="P721" s="114" t="str">
        <f aca="false">IF($E721="","",$E721*100+$O721)</f>
        <v/>
      </c>
      <c r="Q721" s="114" t="str">
        <f aca="false">IF($L721="Atrasado",$E721*10000+$A721,"")</f>
        <v/>
      </c>
    </row>
    <row r="722" customFormat="false" ht="15" hidden="false" customHeight="false" outlineLevel="0" collapsed="false">
      <c r="A722" s="114" t="n">
        <f aca="false">ROW()-4</f>
        <v>718</v>
      </c>
      <c r="B722" s="114" t="str">
        <f aca="false">IF(A722&lt;=Config!$E$27*Config!$E$28,"Tema","Avulso")</f>
        <v>Tema</v>
      </c>
      <c r="C722" s="114" t="n">
        <f aca="false">IF(B722="Tema",INT((A722-1)/Config!$E$28)+1,A722-Config!$E$27*Config!$E$28)</f>
        <v>120</v>
      </c>
      <c r="D722" s="114" t="n">
        <f aca="false">IF(B722="Tema",MOD(A722-1,Config!$E$28)+1,"")</f>
        <v>4</v>
      </c>
      <c r="E722" s="115" t="str">
        <f aca="false">IF($B722="Tema",IF(ISNUMBER(INDEX(Temas!$E$6:$P$305,$C722,2*$D722-1)),INDEX(Temas!$E$6:$P$305,$C722,2*$D722-1),""),IF(ISNUMBER(INDEX(Avulsos!$B$6:$B$205,$C722)),INDEX(Avulsos!$B$6:$B$205,$C722),""))</f>
        <v/>
      </c>
      <c r="F722" s="114" t="str">
        <f aca="false">IF($E722="","",IF($B722="Tema",INDEX(Temas!$B$6:$B$305,$C722)&amp;"",INDEX(Avulsos!$C$6:$C$205,$C722)&amp;""))</f>
        <v/>
      </c>
      <c r="G722" s="114" t="str">
        <f aca="false">IF($E722="","",IF($B722="Tema",INDEX(Config!$C$6:$C$11,$D722),"Evento avulso"))</f>
        <v/>
      </c>
      <c r="H722" s="114" t="str">
        <f aca="false">IF($E722="","",IF($B722="Tema",INDEX(Config!$D$6:$D$11,$D722),IFERROR(INDEX(Config!$E$15:$E$19,MATCH($I722,Config!$C$15:$C$19,0)),"•")))</f>
        <v/>
      </c>
      <c r="I722" s="114" t="str">
        <f aca="false">IF($E722="","",IF($B722="Tema",INDEX(Config!$E$6:$E$11,$D722),IF(INDEX(Avulsos!$D$6:$D$205,$C722)&amp;""="","Outro",INDEX(Avulsos!$D$6:$D$205,$C722))))</f>
        <v/>
      </c>
      <c r="J722" s="114" t="str">
        <f aca="false">IF($E722="","",IF($B722="Tema",INDEX(Temas!$C$6:$C$305,$C722)&amp;"",INDEX(Avulsos!$E$6:$E$205,$C722)&amp;""))</f>
        <v/>
      </c>
      <c r="K722" s="114" t="str">
        <f aca="false">IF($E722="","",IF(IF($B722="Tema",INDEX(Temas!$E$6:$P$305,$C722,2*$D722),INDEX(Avulsos!$F$6:$F$205,$C722))&amp;""="","","✓"))</f>
        <v/>
      </c>
      <c r="L722" s="114" t="str">
        <f aca="true">IF($E722="","",IF($K722="✓","Concluído",IF($E722&lt;TODAY(),"Atrasado",IF($E722=TODAY(),"Hoje","Pendente"))))</f>
        <v/>
      </c>
      <c r="M722" s="114" t="str">
        <f aca="false">IF($E722="","",IF($K722="✓","✓ ","")&amp;IF(Config!$E$22="Sim",$H722&amp;" · ","")&amp;$F722)</f>
        <v/>
      </c>
      <c r="N722" s="114" t="str">
        <f aca="false">IF($E722="","",IFERROR(INDEX(Config!$D$15:$D$19,MATCH($I722,Config!$C$15:$C$19,0)),"OUT")&amp;IF($K722="✓","x",""))</f>
        <v/>
      </c>
      <c r="O722" s="114" t="str">
        <f aca="false">IF($E722="","",COUNTIF($E$5:$E722,$E722))</f>
        <v/>
      </c>
      <c r="P722" s="114" t="str">
        <f aca="false">IF($E722="","",$E722*100+$O722)</f>
        <v/>
      </c>
      <c r="Q722" s="114" t="str">
        <f aca="false">IF($L722="Atrasado",$E722*10000+$A722,"")</f>
        <v/>
      </c>
    </row>
    <row r="723" customFormat="false" ht="15" hidden="false" customHeight="false" outlineLevel="0" collapsed="false">
      <c r="A723" s="114" t="n">
        <f aca="false">ROW()-4</f>
        <v>719</v>
      </c>
      <c r="B723" s="114" t="str">
        <f aca="false">IF(A723&lt;=Config!$E$27*Config!$E$28,"Tema","Avulso")</f>
        <v>Tema</v>
      </c>
      <c r="C723" s="114" t="n">
        <f aca="false">IF(B723="Tema",INT((A723-1)/Config!$E$28)+1,A723-Config!$E$27*Config!$E$28)</f>
        <v>120</v>
      </c>
      <c r="D723" s="114" t="n">
        <f aca="false">IF(B723="Tema",MOD(A723-1,Config!$E$28)+1,"")</f>
        <v>5</v>
      </c>
      <c r="E723" s="115" t="str">
        <f aca="false">IF($B723="Tema",IF(ISNUMBER(INDEX(Temas!$E$6:$P$305,$C723,2*$D723-1)),INDEX(Temas!$E$6:$P$305,$C723,2*$D723-1),""),IF(ISNUMBER(INDEX(Avulsos!$B$6:$B$205,$C723)),INDEX(Avulsos!$B$6:$B$205,$C723),""))</f>
        <v/>
      </c>
      <c r="F723" s="114" t="str">
        <f aca="false">IF($E723="","",IF($B723="Tema",INDEX(Temas!$B$6:$B$305,$C723)&amp;"",INDEX(Avulsos!$C$6:$C$205,$C723)&amp;""))</f>
        <v/>
      </c>
      <c r="G723" s="114" t="str">
        <f aca="false">IF($E723="","",IF($B723="Tema",INDEX(Config!$C$6:$C$11,$D723),"Evento avulso"))</f>
        <v/>
      </c>
      <c r="H723" s="114" t="str">
        <f aca="false">IF($E723="","",IF($B723="Tema",INDEX(Config!$D$6:$D$11,$D723),IFERROR(INDEX(Config!$E$15:$E$19,MATCH($I723,Config!$C$15:$C$19,0)),"•")))</f>
        <v/>
      </c>
      <c r="I723" s="114" t="str">
        <f aca="false">IF($E723="","",IF($B723="Tema",INDEX(Config!$E$6:$E$11,$D723),IF(INDEX(Avulsos!$D$6:$D$205,$C723)&amp;""="","Outro",INDEX(Avulsos!$D$6:$D$205,$C723))))</f>
        <v/>
      </c>
      <c r="J723" s="114" t="str">
        <f aca="false">IF($E723="","",IF($B723="Tema",INDEX(Temas!$C$6:$C$305,$C723)&amp;"",INDEX(Avulsos!$E$6:$E$205,$C723)&amp;""))</f>
        <v/>
      </c>
      <c r="K723" s="114" t="str">
        <f aca="false">IF($E723="","",IF(IF($B723="Tema",INDEX(Temas!$E$6:$P$305,$C723,2*$D723),INDEX(Avulsos!$F$6:$F$205,$C723))&amp;""="","","✓"))</f>
        <v/>
      </c>
      <c r="L723" s="114" t="str">
        <f aca="true">IF($E723="","",IF($K723="✓","Concluído",IF($E723&lt;TODAY(),"Atrasado",IF($E723=TODAY(),"Hoje","Pendente"))))</f>
        <v/>
      </c>
      <c r="M723" s="114" t="str">
        <f aca="false">IF($E723="","",IF($K723="✓","✓ ","")&amp;IF(Config!$E$22="Sim",$H723&amp;" · ","")&amp;$F723)</f>
        <v/>
      </c>
      <c r="N723" s="114" t="str">
        <f aca="false">IF($E723="","",IFERROR(INDEX(Config!$D$15:$D$19,MATCH($I723,Config!$C$15:$C$19,0)),"OUT")&amp;IF($K723="✓","x",""))</f>
        <v/>
      </c>
      <c r="O723" s="114" t="str">
        <f aca="false">IF($E723="","",COUNTIF($E$5:$E723,$E723))</f>
        <v/>
      </c>
      <c r="P723" s="114" t="str">
        <f aca="false">IF($E723="","",$E723*100+$O723)</f>
        <v/>
      </c>
      <c r="Q723" s="114" t="str">
        <f aca="false">IF($L723="Atrasado",$E723*10000+$A723,"")</f>
        <v/>
      </c>
    </row>
    <row r="724" customFormat="false" ht="15" hidden="false" customHeight="false" outlineLevel="0" collapsed="false">
      <c r="A724" s="114" t="n">
        <f aca="false">ROW()-4</f>
        <v>720</v>
      </c>
      <c r="B724" s="114" t="str">
        <f aca="false">IF(A724&lt;=Config!$E$27*Config!$E$28,"Tema","Avulso")</f>
        <v>Tema</v>
      </c>
      <c r="C724" s="114" t="n">
        <f aca="false">IF(B724="Tema",INT((A724-1)/Config!$E$28)+1,A724-Config!$E$27*Config!$E$28)</f>
        <v>120</v>
      </c>
      <c r="D724" s="114" t="n">
        <f aca="false">IF(B724="Tema",MOD(A724-1,Config!$E$28)+1,"")</f>
        <v>6</v>
      </c>
      <c r="E724" s="115" t="str">
        <f aca="false">IF($B724="Tema",IF(ISNUMBER(INDEX(Temas!$E$6:$P$305,$C724,2*$D724-1)),INDEX(Temas!$E$6:$P$305,$C724,2*$D724-1),""),IF(ISNUMBER(INDEX(Avulsos!$B$6:$B$205,$C724)),INDEX(Avulsos!$B$6:$B$205,$C724),""))</f>
        <v/>
      </c>
      <c r="F724" s="114" t="str">
        <f aca="false">IF($E724="","",IF($B724="Tema",INDEX(Temas!$B$6:$B$305,$C724)&amp;"",INDEX(Avulsos!$C$6:$C$205,$C724)&amp;""))</f>
        <v/>
      </c>
      <c r="G724" s="114" t="str">
        <f aca="false">IF($E724="","",IF($B724="Tema",INDEX(Config!$C$6:$C$11,$D724),"Evento avulso"))</f>
        <v/>
      </c>
      <c r="H724" s="114" t="str">
        <f aca="false">IF($E724="","",IF($B724="Tema",INDEX(Config!$D$6:$D$11,$D724),IFERROR(INDEX(Config!$E$15:$E$19,MATCH($I724,Config!$C$15:$C$19,0)),"•")))</f>
        <v/>
      </c>
      <c r="I724" s="114" t="str">
        <f aca="false">IF($E724="","",IF($B724="Tema",INDEX(Config!$E$6:$E$11,$D724),IF(INDEX(Avulsos!$D$6:$D$205,$C724)&amp;""="","Outro",INDEX(Avulsos!$D$6:$D$205,$C724))))</f>
        <v/>
      </c>
      <c r="J724" s="114" t="str">
        <f aca="false">IF($E724="","",IF($B724="Tema",INDEX(Temas!$C$6:$C$305,$C724)&amp;"",INDEX(Avulsos!$E$6:$E$205,$C724)&amp;""))</f>
        <v/>
      </c>
      <c r="K724" s="114" t="str">
        <f aca="false">IF($E724="","",IF(IF($B724="Tema",INDEX(Temas!$E$6:$P$305,$C724,2*$D724),INDEX(Avulsos!$F$6:$F$205,$C724))&amp;""="","","✓"))</f>
        <v/>
      </c>
      <c r="L724" s="114" t="str">
        <f aca="true">IF($E724="","",IF($K724="✓","Concluído",IF($E724&lt;TODAY(),"Atrasado",IF($E724=TODAY(),"Hoje","Pendente"))))</f>
        <v/>
      </c>
      <c r="M724" s="114" t="str">
        <f aca="false">IF($E724="","",IF($K724="✓","✓ ","")&amp;IF(Config!$E$22="Sim",$H724&amp;" · ","")&amp;$F724)</f>
        <v/>
      </c>
      <c r="N724" s="114" t="str">
        <f aca="false">IF($E724="","",IFERROR(INDEX(Config!$D$15:$D$19,MATCH($I724,Config!$C$15:$C$19,0)),"OUT")&amp;IF($K724="✓","x",""))</f>
        <v/>
      </c>
      <c r="O724" s="114" t="str">
        <f aca="false">IF($E724="","",COUNTIF($E$5:$E724,$E724))</f>
        <v/>
      </c>
      <c r="P724" s="114" t="str">
        <f aca="false">IF($E724="","",$E724*100+$O724)</f>
        <v/>
      </c>
      <c r="Q724" s="114" t="str">
        <f aca="false">IF($L724="Atrasado",$E724*10000+$A724,"")</f>
        <v/>
      </c>
    </row>
    <row r="725" customFormat="false" ht="15" hidden="false" customHeight="false" outlineLevel="0" collapsed="false">
      <c r="A725" s="114" t="n">
        <f aca="false">ROW()-4</f>
        <v>721</v>
      </c>
      <c r="B725" s="114" t="str">
        <f aca="false">IF(A725&lt;=Config!$E$27*Config!$E$28,"Tema","Avulso")</f>
        <v>Tema</v>
      </c>
      <c r="C725" s="114" t="n">
        <f aca="false">IF(B725="Tema",INT((A725-1)/Config!$E$28)+1,A725-Config!$E$27*Config!$E$28)</f>
        <v>121</v>
      </c>
      <c r="D725" s="114" t="n">
        <f aca="false">IF(B725="Tema",MOD(A725-1,Config!$E$28)+1,"")</f>
        <v>1</v>
      </c>
      <c r="E725" s="115" t="str">
        <f aca="false">IF($B725="Tema",IF(ISNUMBER(INDEX(Temas!$E$6:$P$305,$C725,2*$D725-1)),INDEX(Temas!$E$6:$P$305,$C725,2*$D725-1),""),IF(ISNUMBER(INDEX(Avulsos!$B$6:$B$205,$C725)),INDEX(Avulsos!$B$6:$B$205,$C725),""))</f>
        <v/>
      </c>
      <c r="F725" s="114" t="str">
        <f aca="false">IF($E725="","",IF($B725="Tema",INDEX(Temas!$B$6:$B$305,$C725)&amp;"",INDEX(Avulsos!$C$6:$C$205,$C725)&amp;""))</f>
        <v/>
      </c>
      <c r="G725" s="114" t="str">
        <f aca="false">IF($E725="","",IF($B725="Tema",INDEX(Config!$C$6:$C$11,$D725),"Evento avulso"))</f>
        <v/>
      </c>
      <c r="H725" s="114" t="str">
        <f aca="false">IF($E725="","",IF($B725="Tema",INDEX(Config!$D$6:$D$11,$D725),IFERROR(INDEX(Config!$E$15:$E$19,MATCH($I725,Config!$C$15:$C$19,0)),"•")))</f>
        <v/>
      </c>
      <c r="I725" s="114" t="str">
        <f aca="false">IF($E725="","",IF($B725="Tema",INDEX(Config!$E$6:$E$11,$D725),IF(INDEX(Avulsos!$D$6:$D$205,$C725)&amp;""="","Outro",INDEX(Avulsos!$D$6:$D$205,$C725))))</f>
        <v/>
      </c>
      <c r="J725" s="114" t="str">
        <f aca="false">IF($E725="","",IF($B725="Tema",INDEX(Temas!$C$6:$C$305,$C725)&amp;"",INDEX(Avulsos!$E$6:$E$205,$C725)&amp;""))</f>
        <v/>
      </c>
      <c r="K725" s="114" t="str">
        <f aca="false">IF($E725="","",IF(IF($B725="Tema",INDEX(Temas!$E$6:$P$305,$C725,2*$D725),INDEX(Avulsos!$F$6:$F$205,$C725))&amp;""="","","✓"))</f>
        <v/>
      </c>
      <c r="L725" s="114" t="str">
        <f aca="true">IF($E725="","",IF($K725="✓","Concluído",IF($E725&lt;TODAY(),"Atrasado",IF($E725=TODAY(),"Hoje","Pendente"))))</f>
        <v/>
      </c>
      <c r="M725" s="114" t="str">
        <f aca="false">IF($E725="","",IF($K725="✓","✓ ","")&amp;IF(Config!$E$22="Sim",$H725&amp;" · ","")&amp;$F725)</f>
        <v/>
      </c>
      <c r="N725" s="114" t="str">
        <f aca="false">IF($E725="","",IFERROR(INDEX(Config!$D$15:$D$19,MATCH($I725,Config!$C$15:$C$19,0)),"OUT")&amp;IF($K725="✓","x",""))</f>
        <v/>
      </c>
      <c r="O725" s="114" t="str">
        <f aca="false">IF($E725="","",COUNTIF($E$5:$E725,$E725))</f>
        <v/>
      </c>
      <c r="P725" s="114" t="str">
        <f aca="false">IF($E725="","",$E725*100+$O725)</f>
        <v/>
      </c>
      <c r="Q725" s="114" t="str">
        <f aca="false">IF($L725="Atrasado",$E725*10000+$A725,"")</f>
        <v/>
      </c>
    </row>
    <row r="726" customFormat="false" ht="15" hidden="false" customHeight="false" outlineLevel="0" collapsed="false">
      <c r="A726" s="114" t="n">
        <f aca="false">ROW()-4</f>
        <v>722</v>
      </c>
      <c r="B726" s="114" t="str">
        <f aca="false">IF(A726&lt;=Config!$E$27*Config!$E$28,"Tema","Avulso")</f>
        <v>Tema</v>
      </c>
      <c r="C726" s="114" t="n">
        <f aca="false">IF(B726="Tema",INT((A726-1)/Config!$E$28)+1,A726-Config!$E$27*Config!$E$28)</f>
        <v>121</v>
      </c>
      <c r="D726" s="114" t="n">
        <f aca="false">IF(B726="Tema",MOD(A726-1,Config!$E$28)+1,"")</f>
        <v>2</v>
      </c>
      <c r="E726" s="115" t="str">
        <f aca="false">IF($B726="Tema",IF(ISNUMBER(INDEX(Temas!$E$6:$P$305,$C726,2*$D726-1)),INDEX(Temas!$E$6:$P$305,$C726,2*$D726-1),""),IF(ISNUMBER(INDEX(Avulsos!$B$6:$B$205,$C726)),INDEX(Avulsos!$B$6:$B$205,$C726),""))</f>
        <v/>
      </c>
      <c r="F726" s="114" t="str">
        <f aca="false">IF($E726="","",IF($B726="Tema",INDEX(Temas!$B$6:$B$305,$C726)&amp;"",INDEX(Avulsos!$C$6:$C$205,$C726)&amp;""))</f>
        <v/>
      </c>
      <c r="G726" s="114" t="str">
        <f aca="false">IF($E726="","",IF($B726="Tema",INDEX(Config!$C$6:$C$11,$D726),"Evento avulso"))</f>
        <v/>
      </c>
      <c r="H726" s="114" t="str">
        <f aca="false">IF($E726="","",IF($B726="Tema",INDEX(Config!$D$6:$D$11,$D726),IFERROR(INDEX(Config!$E$15:$E$19,MATCH($I726,Config!$C$15:$C$19,0)),"•")))</f>
        <v/>
      </c>
      <c r="I726" s="114" t="str">
        <f aca="false">IF($E726="","",IF($B726="Tema",INDEX(Config!$E$6:$E$11,$D726),IF(INDEX(Avulsos!$D$6:$D$205,$C726)&amp;""="","Outro",INDEX(Avulsos!$D$6:$D$205,$C726))))</f>
        <v/>
      </c>
      <c r="J726" s="114" t="str">
        <f aca="false">IF($E726="","",IF($B726="Tema",INDEX(Temas!$C$6:$C$305,$C726)&amp;"",INDEX(Avulsos!$E$6:$E$205,$C726)&amp;""))</f>
        <v/>
      </c>
      <c r="K726" s="114" t="str">
        <f aca="false">IF($E726="","",IF(IF($B726="Tema",INDEX(Temas!$E$6:$P$305,$C726,2*$D726),INDEX(Avulsos!$F$6:$F$205,$C726))&amp;""="","","✓"))</f>
        <v/>
      </c>
      <c r="L726" s="114" t="str">
        <f aca="true">IF($E726="","",IF($K726="✓","Concluído",IF($E726&lt;TODAY(),"Atrasado",IF($E726=TODAY(),"Hoje","Pendente"))))</f>
        <v/>
      </c>
      <c r="M726" s="114" t="str">
        <f aca="false">IF($E726="","",IF($K726="✓","✓ ","")&amp;IF(Config!$E$22="Sim",$H726&amp;" · ","")&amp;$F726)</f>
        <v/>
      </c>
      <c r="N726" s="114" t="str">
        <f aca="false">IF($E726="","",IFERROR(INDEX(Config!$D$15:$D$19,MATCH($I726,Config!$C$15:$C$19,0)),"OUT")&amp;IF($K726="✓","x",""))</f>
        <v/>
      </c>
      <c r="O726" s="114" t="str">
        <f aca="false">IF($E726="","",COUNTIF($E$5:$E726,$E726))</f>
        <v/>
      </c>
      <c r="P726" s="114" t="str">
        <f aca="false">IF($E726="","",$E726*100+$O726)</f>
        <v/>
      </c>
      <c r="Q726" s="114" t="str">
        <f aca="false">IF($L726="Atrasado",$E726*10000+$A726,"")</f>
        <v/>
      </c>
    </row>
    <row r="727" customFormat="false" ht="15" hidden="false" customHeight="false" outlineLevel="0" collapsed="false">
      <c r="A727" s="114" t="n">
        <f aca="false">ROW()-4</f>
        <v>723</v>
      </c>
      <c r="B727" s="114" t="str">
        <f aca="false">IF(A727&lt;=Config!$E$27*Config!$E$28,"Tema","Avulso")</f>
        <v>Tema</v>
      </c>
      <c r="C727" s="114" t="n">
        <f aca="false">IF(B727="Tema",INT((A727-1)/Config!$E$28)+1,A727-Config!$E$27*Config!$E$28)</f>
        <v>121</v>
      </c>
      <c r="D727" s="114" t="n">
        <f aca="false">IF(B727="Tema",MOD(A727-1,Config!$E$28)+1,"")</f>
        <v>3</v>
      </c>
      <c r="E727" s="115" t="str">
        <f aca="false">IF($B727="Tema",IF(ISNUMBER(INDEX(Temas!$E$6:$P$305,$C727,2*$D727-1)),INDEX(Temas!$E$6:$P$305,$C727,2*$D727-1),""),IF(ISNUMBER(INDEX(Avulsos!$B$6:$B$205,$C727)),INDEX(Avulsos!$B$6:$B$205,$C727),""))</f>
        <v/>
      </c>
      <c r="F727" s="114" t="str">
        <f aca="false">IF($E727="","",IF($B727="Tema",INDEX(Temas!$B$6:$B$305,$C727)&amp;"",INDEX(Avulsos!$C$6:$C$205,$C727)&amp;""))</f>
        <v/>
      </c>
      <c r="G727" s="114" t="str">
        <f aca="false">IF($E727="","",IF($B727="Tema",INDEX(Config!$C$6:$C$11,$D727),"Evento avulso"))</f>
        <v/>
      </c>
      <c r="H727" s="114" t="str">
        <f aca="false">IF($E727="","",IF($B727="Tema",INDEX(Config!$D$6:$D$11,$D727),IFERROR(INDEX(Config!$E$15:$E$19,MATCH($I727,Config!$C$15:$C$19,0)),"•")))</f>
        <v/>
      </c>
      <c r="I727" s="114" t="str">
        <f aca="false">IF($E727="","",IF($B727="Tema",INDEX(Config!$E$6:$E$11,$D727),IF(INDEX(Avulsos!$D$6:$D$205,$C727)&amp;""="","Outro",INDEX(Avulsos!$D$6:$D$205,$C727))))</f>
        <v/>
      </c>
      <c r="J727" s="114" t="str">
        <f aca="false">IF($E727="","",IF($B727="Tema",INDEX(Temas!$C$6:$C$305,$C727)&amp;"",INDEX(Avulsos!$E$6:$E$205,$C727)&amp;""))</f>
        <v/>
      </c>
      <c r="K727" s="114" t="str">
        <f aca="false">IF($E727="","",IF(IF($B727="Tema",INDEX(Temas!$E$6:$P$305,$C727,2*$D727),INDEX(Avulsos!$F$6:$F$205,$C727))&amp;""="","","✓"))</f>
        <v/>
      </c>
      <c r="L727" s="114" t="str">
        <f aca="true">IF($E727="","",IF($K727="✓","Concluído",IF($E727&lt;TODAY(),"Atrasado",IF($E727=TODAY(),"Hoje","Pendente"))))</f>
        <v/>
      </c>
      <c r="M727" s="114" t="str">
        <f aca="false">IF($E727="","",IF($K727="✓","✓ ","")&amp;IF(Config!$E$22="Sim",$H727&amp;" · ","")&amp;$F727)</f>
        <v/>
      </c>
      <c r="N727" s="114" t="str">
        <f aca="false">IF($E727="","",IFERROR(INDEX(Config!$D$15:$D$19,MATCH($I727,Config!$C$15:$C$19,0)),"OUT")&amp;IF($K727="✓","x",""))</f>
        <v/>
      </c>
      <c r="O727" s="114" t="str">
        <f aca="false">IF($E727="","",COUNTIF($E$5:$E727,$E727))</f>
        <v/>
      </c>
      <c r="P727" s="114" t="str">
        <f aca="false">IF($E727="","",$E727*100+$O727)</f>
        <v/>
      </c>
      <c r="Q727" s="114" t="str">
        <f aca="false">IF($L727="Atrasado",$E727*10000+$A727,"")</f>
        <v/>
      </c>
    </row>
    <row r="728" customFormat="false" ht="15" hidden="false" customHeight="false" outlineLevel="0" collapsed="false">
      <c r="A728" s="114" t="n">
        <f aca="false">ROW()-4</f>
        <v>724</v>
      </c>
      <c r="B728" s="114" t="str">
        <f aca="false">IF(A728&lt;=Config!$E$27*Config!$E$28,"Tema","Avulso")</f>
        <v>Tema</v>
      </c>
      <c r="C728" s="114" t="n">
        <f aca="false">IF(B728="Tema",INT((A728-1)/Config!$E$28)+1,A728-Config!$E$27*Config!$E$28)</f>
        <v>121</v>
      </c>
      <c r="D728" s="114" t="n">
        <f aca="false">IF(B728="Tema",MOD(A728-1,Config!$E$28)+1,"")</f>
        <v>4</v>
      </c>
      <c r="E728" s="115" t="str">
        <f aca="false">IF($B728="Tema",IF(ISNUMBER(INDEX(Temas!$E$6:$P$305,$C728,2*$D728-1)),INDEX(Temas!$E$6:$P$305,$C728,2*$D728-1),""),IF(ISNUMBER(INDEX(Avulsos!$B$6:$B$205,$C728)),INDEX(Avulsos!$B$6:$B$205,$C728),""))</f>
        <v/>
      </c>
      <c r="F728" s="114" t="str">
        <f aca="false">IF($E728="","",IF($B728="Tema",INDEX(Temas!$B$6:$B$305,$C728)&amp;"",INDEX(Avulsos!$C$6:$C$205,$C728)&amp;""))</f>
        <v/>
      </c>
      <c r="G728" s="114" t="str">
        <f aca="false">IF($E728="","",IF($B728="Tema",INDEX(Config!$C$6:$C$11,$D728),"Evento avulso"))</f>
        <v/>
      </c>
      <c r="H728" s="114" t="str">
        <f aca="false">IF($E728="","",IF($B728="Tema",INDEX(Config!$D$6:$D$11,$D728),IFERROR(INDEX(Config!$E$15:$E$19,MATCH($I728,Config!$C$15:$C$19,0)),"•")))</f>
        <v/>
      </c>
      <c r="I728" s="114" t="str">
        <f aca="false">IF($E728="","",IF($B728="Tema",INDEX(Config!$E$6:$E$11,$D728),IF(INDEX(Avulsos!$D$6:$D$205,$C728)&amp;""="","Outro",INDEX(Avulsos!$D$6:$D$205,$C728))))</f>
        <v/>
      </c>
      <c r="J728" s="114" t="str">
        <f aca="false">IF($E728="","",IF($B728="Tema",INDEX(Temas!$C$6:$C$305,$C728)&amp;"",INDEX(Avulsos!$E$6:$E$205,$C728)&amp;""))</f>
        <v/>
      </c>
      <c r="K728" s="114" t="str">
        <f aca="false">IF($E728="","",IF(IF($B728="Tema",INDEX(Temas!$E$6:$P$305,$C728,2*$D728),INDEX(Avulsos!$F$6:$F$205,$C728))&amp;""="","","✓"))</f>
        <v/>
      </c>
      <c r="L728" s="114" t="str">
        <f aca="true">IF($E728="","",IF($K728="✓","Concluído",IF($E728&lt;TODAY(),"Atrasado",IF($E728=TODAY(),"Hoje","Pendente"))))</f>
        <v/>
      </c>
      <c r="M728" s="114" t="str">
        <f aca="false">IF($E728="","",IF($K728="✓","✓ ","")&amp;IF(Config!$E$22="Sim",$H728&amp;" · ","")&amp;$F728)</f>
        <v/>
      </c>
      <c r="N728" s="114" t="str">
        <f aca="false">IF($E728="","",IFERROR(INDEX(Config!$D$15:$D$19,MATCH($I728,Config!$C$15:$C$19,0)),"OUT")&amp;IF($K728="✓","x",""))</f>
        <v/>
      </c>
      <c r="O728" s="114" t="str">
        <f aca="false">IF($E728="","",COUNTIF($E$5:$E728,$E728))</f>
        <v/>
      </c>
      <c r="P728" s="114" t="str">
        <f aca="false">IF($E728="","",$E728*100+$O728)</f>
        <v/>
      </c>
      <c r="Q728" s="114" t="str">
        <f aca="false">IF($L728="Atrasado",$E728*10000+$A728,"")</f>
        <v/>
      </c>
    </row>
    <row r="729" customFormat="false" ht="15" hidden="false" customHeight="false" outlineLevel="0" collapsed="false">
      <c r="A729" s="114" t="n">
        <f aca="false">ROW()-4</f>
        <v>725</v>
      </c>
      <c r="B729" s="114" t="str">
        <f aca="false">IF(A729&lt;=Config!$E$27*Config!$E$28,"Tema","Avulso")</f>
        <v>Tema</v>
      </c>
      <c r="C729" s="114" t="n">
        <f aca="false">IF(B729="Tema",INT((A729-1)/Config!$E$28)+1,A729-Config!$E$27*Config!$E$28)</f>
        <v>121</v>
      </c>
      <c r="D729" s="114" t="n">
        <f aca="false">IF(B729="Tema",MOD(A729-1,Config!$E$28)+1,"")</f>
        <v>5</v>
      </c>
      <c r="E729" s="115" t="str">
        <f aca="false">IF($B729="Tema",IF(ISNUMBER(INDEX(Temas!$E$6:$P$305,$C729,2*$D729-1)),INDEX(Temas!$E$6:$P$305,$C729,2*$D729-1),""),IF(ISNUMBER(INDEX(Avulsos!$B$6:$B$205,$C729)),INDEX(Avulsos!$B$6:$B$205,$C729),""))</f>
        <v/>
      </c>
      <c r="F729" s="114" t="str">
        <f aca="false">IF($E729="","",IF($B729="Tema",INDEX(Temas!$B$6:$B$305,$C729)&amp;"",INDEX(Avulsos!$C$6:$C$205,$C729)&amp;""))</f>
        <v/>
      </c>
      <c r="G729" s="114" t="str">
        <f aca="false">IF($E729="","",IF($B729="Tema",INDEX(Config!$C$6:$C$11,$D729),"Evento avulso"))</f>
        <v/>
      </c>
      <c r="H729" s="114" t="str">
        <f aca="false">IF($E729="","",IF($B729="Tema",INDEX(Config!$D$6:$D$11,$D729),IFERROR(INDEX(Config!$E$15:$E$19,MATCH($I729,Config!$C$15:$C$19,0)),"•")))</f>
        <v/>
      </c>
      <c r="I729" s="114" t="str">
        <f aca="false">IF($E729="","",IF($B729="Tema",INDEX(Config!$E$6:$E$11,$D729),IF(INDEX(Avulsos!$D$6:$D$205,$C729)&amp;""="","Outro",INDEX(Avulsos!$D$6:$D$205,$C729))))</f>
        <v/>
      </c>
      <c r="J729" s="114" t="str">
        <f aca="false">IF($E729="","",IF($B729="Tema",INDEX(Temas!$C$6:$C$305,$C729)&amp;"",INDEX(Avulsos!$E$6:$E$205,$C729)&amp;""))</f>
        <v/>
      </c>
      <c r="K729" s="114" t="str">
        <f aca="false">IF($E729="","",IF(IF($B729="Tema",INDEX(Temas!$E$6:$P$305,$C729,2*$D729),INDEX(Avulsos!$F$6:$F$205,$C729))&amp;""="","","✓"))</f>
        <v/>
      </c>
      <c r="L729" s="114" t="str">
        <f aca="true">IF($E729="","",IF($K729="✓","Concluído",IF($E729&lt;TODAY(),"Atrasado",IF($E729=TODAY(),"Hoje","Pendente"))))</f>
        <v/>
      </c>
      <c r="M729" s="114" t="str">
        <f aca="false">IF($E729="","",IF($K729="✓","✓ ","")&amp;IF(Config!$E$22="Sim",$H729&amp;" · ","")&amp;$F729)</f>
        <v/>
      </c>
      <c r="N729" s="114" t="str">
        <f aca="false">IF($E729="","",IFERROR(INDEX(Config!$D$15:$D$19,MATCH($I729,Config!$C$15:$C$19,0)),"OUT")&amp;IF($K729="✓","x",""))</f>
        <v/>
      </c>
      <c r="O729" s="114" t="str">
        <f aca="false">IF($E729="","",COUNTIF($E$5:$E729,$E729))</f>
        <v/>
      </c>
      <c r="P729" s="114" t="str">
        <f aca="false">IF($E729="","",$E729*100+$O729)</f>
        <v/>
      </c>
      <c r="Q729" s="114" t="str">
        <f aca="false">IF($L729="Atrasado",$E729*10000+$A729,"")</f>
        <v/>
      </c>
    </row>
    <row r="730" customFormat="false" ht="15" hidden="false" customHeight="false" outlineLevel="0" collapsed="false">
      <c r="A730" s="114" t="n">
        <f aca="false">ROW()-4</f>
        <v>726</v>
      </c>
      <c r="B730" s="114" t="str">
        <f aca="false">IF(A730&lt;=Config!$E$27*Config!$E$28,"Tema","Avulso")</f>
        <v>Tema</v>
      </c>
      <c r="C730" s="114" t="n">
        <f aca="false">IF(B730="Tema",INT((A730-1)/Config!$E$28)+1,A730-Config!$E$27*Config!$E$28)</f>
        <v>121</v>
      </c>
      <c r="D730" s="114" t="n">
        <f aca="false">IF(B730="Tema",MOD(A730-1,Config!$E$28)+1,"")</f>
        <v>6</v>
      </c>
      <c r="E730" s="115" t="str">
        <f aca="false">IF($B730="Tema",IF(ISNUMBER(INDEX(Temas!$E$6:$P$305,$C730,2*$D730-1)),INDEX(Temas!$E$6:$P$305,$C730,2*$D730-1),""),IF(ISNUMBER(INDEX(Avulsos!$B$6:$B$205,$C730)),INDEX(Avulsos!$B$6:$B$205,$C730),""))</f>
        <v/>
      </c>
      <c r="F730" s="114" t="str">
        <f aca="false">IF($E730="","",IF($B730="Tema",INDEX(Temas!$B$6:$B$305,$C730)&amp;"",INDEX(Avulsos!$C$6:$C$205,$C730)&amp;""))</f>
        <v/>
      </c>
      <c r="G730" s="114" t="str">
        <f aca="false">IF($E730="","",IF($B730="Tema",INDEX(Config!$C$6:$C$11,$D730),"Evento avulso"))</f>
        <v/>
      </c>
      <c r="H730" s="114" t="str">
        <f aca="false">IF($E730="","",IF($B730="Tema",INDEX(Config!$D$6:$D$11,$D730),IFERROR(INDEX(Config!$E$15:$E$19,MATCH($I730,Config!$C$15:$C$19,0)),"•")))</f>
        <v/>
      </c>
      <c r="I730" s="114" t="str">
        <f aca="false">IF($E730="","",IF($B730="Tema",INDEX(Config!$E$6:$E$11,$D730),IF(INDEX(Avulsos!$D$6:$D$205,$C730)&amp;""="","Outro",INDEX(Avulsos!$D$6:$D$205,$C730))))</f>
        <v/>
      </c>
      <c r="J730" s="114" t="str">
        <f aca="false">IF($E730="","",IF($B730="Tema",INDEX(Temas!$C$6:$C$305,$C730)&amp;"",INDEX(Avulsos!$E$6:$E$205,$C730)&amp;""))</f>
        <v/>
      </c>
      <c r="K730" s="114" t="str">
        <f aca="false">IF($E730="","",IF(IF($B730="Tema",INDEX(Temas!$E$6:$P$305,$C730,2*$D730),INDEX(Avulsos!$F$6:$F$205,$C730))&amp;""="","","✓"))</f>
        <v/>
      </c>
      <c r="L730" s="114" t="str">
        <f aca="true">IF($E730="","",IF($K730="✓","Concluído",IF($E730&lt;TODAY(),"Atrasado",IF($E730=TODAY(),"Hoje","Pendente"))))</f>
        <v/>
      </c>
      <c r="M730" s="114" t="str">
        <f aca="false">IF($E730="","",IF($K730="✓","✓ ","")&amp;IF(Config!$E$22="Sim",$H730&amp;" · ","")&amp;$F730)</f>
        <v/>
      </c>
      <c r="N730" s="114" t="str">
        <f aca="false">IF($E730="","",IFERROR(INDEX(Config!$D$15:$D$19,MATCH($I730,Config!$C$15:$C$19,0)),"OUT")&amp;IF($K730="✓","x",""))</f>
        <v/>
      </c>
      <c r="O730" s="114" t="str">
        <f aca="false">IF($E730="","",COUNTIF($E$5:$E730,$E730))</f>
        <v/>
      </c>
      <c r="P730" s="114" t="str">
        <f aca="false">IF($E730="","",$E730*100+$O730)</f>
        <v/>
      </c>
      <c r="Q730" s="114" t="str">
        <f aca="false">IF($L730="Atrasado",$E730*10000+$A730,"")</f>
        <v/>
      </c>
    </row>
    <row r="731" customFormat="false" ht="15" hidden="false" customHeight="false" outlineLevel="0" collapsed="false">
      <c r="A731" s="114" t="n">
        <f aca="false">ROW()-4</f>
        <v>727</v>
      </c>
      <c r="B731" s="114" t="str">
        <f aca="false">IF(A731&lt;=Config!$E$27*Config!$E$28,"Tema","Avulso")</f>
        <v>Tema</v>
      </c>
      <c r="C731" s="114" t="n">
        <f aca="false">IF(B731="Tema",INT((A731-1)/Config!$E$28)+1,A731-Config!$E$27*Config!$E$28)</f>
        <v>122</v>
      </c>
      <c r="D731" s="114" t="n">
        <f aca="false">IF(B731="Tema",MOD(A731-1,Config!$E$28)+1,"")</f>
        <v>1</v>
      </c>
      <c r="E731" s="115" t="str">
        <f aca="false">IF($B731="Tema",IF(ISNUMBER(INDEX(Temas!$E$6:$P$305,$C731,2*$D731-1)),INDEX(Temas!$E$6:$P$305,$C731,2*$D731-1),""),IF(ISNUMBER(INDEX(Avulsos!$B$6:$B$205,$C731)),INDEX(Avulsos!$B$6:$B$205,$C731),""))</f>
        <v/>
      </c>
      <c r="F731" s="114" t="str">
        <f aca="false">IF($E731="","",IF($B731="Tema",INDEX(Temas!$B$6:$B$305,$C731)&amp;"",INDEX(Avulsos!$C$6:$C$205,$C731)&amp;""))</f>
        <v/>
      </c>
      <c r="G731" s="114" t="str">
        <f aca="false">IF($E731="","",IF($B731="Tema",INDEX(Config!$C$6:$C$11,$D731),"Evento avulso"))</f>
        <v/>
      </c>
      <c r="H731" s="114" t="str">
        <f aca="false">IF($E731="","",IF($B731="Tema",INDEX(Config!$D$6:$D$11,$D731),IFERROR(INDEX(Config!$E$15:$E$19,MATCH($I731,Config!$C$15:$C$19,0)),"•")))</f>
        <v/>
      </c>
      <c r="I731" s="114" t="str">
        <f aca="false">IF($E731="","",IF($B731="Tema",INDEX(Config!$E$6:$E$11,$D731),IF(INDEX(Avulsos!$D$6:$D$205,$C731)&amp;""="","Outro",INDEX(Avulsos!$D$6:$D$205,$C731))))</f>
        <v/>
      </c>
      <c r="J731" s="114" t="str">
        <f aca="false">IF($E731="","",IF($B731="Tema",INDEX(Temas!$C$6:$C$305,$C731)&amp;"",INDEX(Avulsos!$E$6:$E$205,$C731)&amp;""))</f>
        <v/>
      </c>
      <c r="K731" s="114" t="str">
        <f aca="false">IF($E731="","",IF(IF($B731="Tema",INDEX(Temas!$E$6:$P$305,$C731,2*$D731),INDEX(Avulsos!$F$6:$F$205,$C731))&amp;""="","","✓"))</f>
        <v/>
      </c>
      <c r="L731" s="114" t="str">
        <f aca="true">IF($E731="","",IF($K731="✓","Concluído",IF($E731&lt;TODAY(),"Atrasado",IF($E731=TODAY(),"Hoje","Pendente"))))</f>
        <v/>
      </c>
      <c r="M731" s="114" t="str">
        <f aca="false">IF($E731="","",IF($K731="✓","✓ ","")&amp;IF(Config!$E$22="Sim",$H731&amp;" · ","")&amp;$F731)</f>
        <v/>
      </c>
      <c r="N731" s="114" t="str">
        <f aca="false">IF($E731="","",IFERROR(INDEX(Config!$D$15:$D$19,MATCH($I731,Config!$C$15:$C$19,0)),"OUT")&amp;IF($K731="✓","x",""))</f>
        <v/>
      </c>
      <c r="O731" s="114" t="str">
        <f aca="false">IF($E731="","",COUNTIF($E$5:$E731,$E731))</f>
        <v/>
      </c>
      <c r="P731" s="114" t="str">
        <f aca="false">IF($E731="","",$E731*100+$O731)</f>
        <v/>
      </c>
      <c r="Q731" s="114" t="str">
        <f aca="false">IF($L731="Atrasado",$E731*10000+$A731,"")</f>
        <v/>
      </c>
    </row>
    <row r="732" customFormat="false" ht="15" hidden="false" customHeight="false" outlineLevel="0" collapsed="false">
      <c r="A732" s="114" t="n">
        <f aca="false">ROW()-4</f>
        <v>728</v>
      </c>
      <c r="B732" s="114" t="str">
        <f aca="false">IF(A732&lt;=Config!$E$27*Config!$E$28,"Tema","Avulso")</f>
        <v>Tema</v>
      </c>
      <c r="C732" s="114" t="n">
        <f aca="false">IF(B732="Tema",INT((A732-1)/Config!$E$28)+1,A732-Config!$E$27*Config!$E$28)</f>
        <v>122</v>
      </c>
      <c r="D732" s="114" t="n">
        <f aca="false">IF(B732="Tema",MOD(A732-1,Config!$E$28)+1,"")</f>
        <v>2</v>
      </c>
      <c r="E732" s="115" t="str">
        <f aca="false">IF($B732="Tema",IF(ISNUMBER(INDEX(Temas!$E$6:$P$305,$C732,2*$D732-1)),INDEX(Temas!$E$6:$P$305,$C732,2*$D732-1),""),IF(ISNUMBER(INDEX(Avulsos!$B$6:$B$205,$C732)),INDEX(Avulsos!$B$6:$B$205,$C732),""))</f>
        <v/>
      </c>
      <c r="F732" s="114" t="str">
        <f aca="false">IF($E732="","",IF($B732="Tema",INDEX(Temas!$B$6:$B$305,$C732)&amp;"",INDEX(Avulsos!$C$6:$C$205,$C732)&amp;""))</f>
        <v/>
      </c>
      <c r="G732" s="114" t="str">
        <f aca="false">IF($E732="","",IF($B732="Tema",INDEX(Config!$C$6:$C$11,$D732),"Evento avulso"))</f>
        <v/>
      </c>
      <c r="H732" s="114" t="str">
        <f aca="false">IF($E732="","",IF($B732="Tema",INDEX(Config!$D$6:$D$11,$D732),IFERROR(INDEX(Config!$E$15:$E$19,MATCH($I732,Config!$C$15:$C$19,0)),"•")))</f>
        <v/>
      </c>
      <c r="I732" s="114" t="str">
        <f aca="false">IF($E732="","",IF($B732="Tema",INDEX(Config!$E$6:$E$11,$D732),IF(INDEX(Avulsos!$D$6:$D$205,$C732)&amp;""="","Outro",INDEX(Avulsos!$D$6:$D$205,$C732))))</f>
        <v/>
      </c>
      <c r="J732" s="114" t="str">
        <f aca="false">IF($E732="","",IF($B732="Tema",INDEX(Temas!$C$6:$C$305,$C732)&amp;"",INDEX(Avulsos!$E$6:$E$205,$C732)&amp;""))</f>
        <v/>
      </c>
      <c r="K732" s="114" t="str">
        <f aca="false">IF($E732="","",IF(IF($B732="Tema",INDEX(Temas!$E$6:$P$305,$C732,2*$D732),INDEX(Avulsos!$F$6:$F$205,$C732))&amp;""="","","✓"))</f>
        <v/>
      </c>
      <c r="L732" s="114" t="str">
        <f aca="true">IF($E732="","",IF($K732="✓","Concluído",IF($E732&lt;TODAY(),"Atrasado",IF($E732=TODAY(),"Hoje","Pendente"))))</f>
        <v/>
      </c>
      <c r="M732" s="114" t="str">
        <f aca="false">IF($E732="","",IF($K732="✓","✓ ","")&amp;IF(Config!$E$22="Sim",$H732&amp;" · ","")&amp;$F732)</f>
        <v/>
      </c>
      <c r="N732" s="114" t="str">
        <f aca="false">IF($E732="","",IFERROR(INDEX(Config!$D$15:$D$19,MATCH($I732,Config!$C$15:$C$19,0)),"OUT")&amp;IF($K732="✓","x",""))</f>
        <v/>
      </c>
      <c r="O732" s="114" t="str">
        <f aca="false">IF($E732="","",COUNTIF($E$5:$E732,$E732))</f>
        <v/>
      </c>
      <c r="P732" s="114" t="str">
        <f aca="false">IF($E732="","",$E732*100+$O732)</f>
        <v/>
      </c>
      <c r="Q732" s="114" t="str">
        <f aca="false">IF($L732="Atrasado",$E732*10000+$A732,"")</f>
        <v/>
      </c>
    </row>
    <row r="733" customFormat="false" ht="15" hidden="false" customHeight="false" outlineLevel="0" collapsed="false">
      <c r="A733" s="114" t="n">
        <f aca="false">ROW()-4</f>
        <v>729</v>
      </c>
      <c r="B733" s="114" t="str">
        <f aca="false">IF(A733&lt;=Config!$E$27*Config!$E$28,"Tema","Avulso")</f>
        <v>Tema</v>
      </c>
      <c r="C733" s="114" t="n">
        <f aca="false">IF(B733="Tema",INT((A733-1)/Config!$E$28)+1,A733-Config!$E$27*Config!$E$28)</f>
        <v>122</v>
      </c>
      <c r="D733" s="114" t="n">
        <f aca="false">IF(B733="Tema",MOD(A733-1,Config!$E$28)+1,"")</f>
        <v>3</v>
      </c>
      <c r="E733" s="115" t="str">
        <f aca="false">IF($B733="Tema",IF(ISNUMBER(INDEX(Temas!$E$6:$P$305,$C733,2*$D733-1)),INDEX(Temas!$E$6:$P$305,$C733,2*$D733-1),""),IF(ISNUMBER(INDEX(Avulsos!$B$6:$B$205,$C733)),INDEX(Avulsos!$B$6:$B$205,$C733),""))</f>
        <v/>
      </c>
      <c r="F733" s="114" t="str">
        <f aca="false">IF($E733="","",IF($B733="Tema",INDEX(Temas!$B$6:$B$305,$C733)&amp;"",INDEX(Avulsos!$C$6:$C$205,$C733)&amp;""))</f>
        <v/>
      </c>
      <c r="G733" s="114" t="str">
        <f aca="false">IF($E733="","",IF($B733="Tema",INDEX(Config!$C$6:$C$11,$D733),"Evento avulso"))</f>
        <v/>
      </c>
      <c r="H733" s="114" t="str">
        <f aca="false">IF($E733="","",IF($B733="Tema",INDEX(Config!$D$6:$D$11,$D733),IFERROR(INDEX(Config!$E$15:$E$19,MATCH($I733,Config!$C$15:$C$19,0)),"•")))</f>
        <v/>
      </c>
      <c r="I733" s="114" t="str">
        <f aca="false">IF($E733="","",IF($B733="Tema",INDEX(Config!$E$6:$E$11,$D733),IF(INDEX(Avulsos!$D$6:$D$205,$C733)&amp;""="","Outro",INDEX(Avulsos!$D$6:$D$205,$C733))))</f>
        <v/>
      </c>
      <c r="J733" s="114" t="str">
        <f aca="false">IF($E733="","",IF($B733="Tema",INDEX(Temas!$C$6:$C$305,$C733)&amp;"",INDEX(Avulsos!$E$6:$E$205,$C733)&amp;""))</f>
        <v/>
      </c>
      <c r="K733" s="114" t="str">
        <f aca="false">IF($E733="","",IF(IF($B733="Tema",INDEX(Temas!$E$6:$P$305,$C733,2*$D733),INDEX(Avulsos!$F$6:$F$205,$C733))&amp;""="","","✓"))</f>
        <v/>
      </c>
      <c r="L733" s="114" t="str">
        <f aca="true">IF($E733="","",IF($K733="✓","Concluído",IF($E733&lt;TODAY(),"Atrasado",IF($E733=TODAY(),"Hoje","Pendente"))))</f>
        <v/>
      </c>
      <c r="M733" s="114" t="str">
        <f aca="false">IF($E733="","",IF($K733="✓","✓ ","")&amp;IF(Config!$E$22="Sim",$H733&amp;" · ","")&amp;$F733)</f>
        <v/>
      </c>
      <c r="N733" s="114" t="str">
        <f aca="false">IF($E733="","",IFERROR(INDEX(Config!$D$15:$D$19,MATCH($I733,Config!$C$15:$C$19,0)),"OUT")&amp;IF($K733="✓","x",""))</f>
        <v/>
      </c>
      <c r="O733" s="114" t="str">
        <f aca="false">IF($E733="","",COUNTIF($E$5:$E733,$E733))</f>
        <v/>
      </c>
      <c r="P733" s="114" t="str">
        <f aca="false">IF($E733="","",$E733*100+$O733)</f>
        <v/>
      </c>
      <c r="Q733" s="114" t="str">
        <f aca="false">IF($L733="Atrasado",$E733*10000+$A733,"")</f>
        <v/>
      </c>
    </row>
    <row r="734" customFormat="false" ht="15" hidden="false" customHeight="false" outlineLevel="0" collapsed="false">
      <c r="A734" s="114" t="n">
        <f aca="false">ROW()-4</f>
        <v>730</v>
      </c>
      <c r="B734" s="114" t="str">
        <f aca="false">IF(A734&lt;=Config!$E$27*Config!$E$28,"Tema","Avulso")</f>
        <v>Tema</v>
      </c>
      <c r="C734" s="114" t="n">
        <f aca="false">IF(B734="Tema",INT((A734-1)/Config!$E$28)+1,A734-Config!$E$27*Config!$E$28)</f>
        <v>122</v>
      </c>
      <c r="D734" s="114" t="n">
        <f aca="false">IF(B734="Tema",MOD(A734-1,Config!$E$28)+1,"")</f>
        <v>4</v>
      </c>
      <c r="E734" s="115" t="str">
        <f aca="false">IF($B734="Tema",IF(ISNUMBER(INDEX(Temas!$E$6:$P$305,$C734,2*$D734-1)),INDEX(Temas!$E$6:$P$305,$C734,2*$D734-1),""),IF(ISNUMBER(INDEX(Avulsos!$B$6:$B$205,$C734)),INDEX(Avulsos!$B$6:$B$205,$C734),""))</f>
        <v/>
      </c>
      <c r="F734" s="114" t="str">
        <f aca="false">IF($E734="","",IF($B734="Tema",INDEX(Temas!$B$6:$B$305,$C734)&amp;"",INDEX(Avulsos!$C$6:$C$205,$C734)&amp;""))</f>
        <v/>
      </c>
      <c r="G734" s="114" t="str">
        <f aca="false">IF($E734="","",IF($B734="Tema",INDEX(Config!$C$6:$C$11,$D734),"Evento avulso"))</f>
        <v/>
      </c>
      <c r="H734" s="114" t="str">
        <f aca="false">IF($E734="","",IF($B734="Tema",INDEX(Config!$D$6:$D$11,$D734),IFERROR(INDEX(Config!$E$15:$E$19,MATCH($I734,Config!$C$15:$C$19,0)),"•")))</f>
        <v/>
      </c>
      <c r="I734" s="114" t="str">
        <f aca="false">IF($E734="","",IF($B734="Tema",INDEX(Config!$E$6:$E$11,$D734),IF(INDEX(Avulsos!$D$6:$D$205,$C734)&amp;""="","Outro",INDEX(Avulsos!$D$6:$D$205,$C734))))</f>
        <v/>
      </c>
      <c r="J734" s="114" t="str">
        <f aca="false">IF($E734="","",IF($B734="Tema",INDEX(Temas!$C$6:$C$305,$C734)&amp;"",INDEX(Avulsos!$E$6:$E$205,$C734)&amp;""))</f>
        <v/>
      </c>
      <c r="K734" s="114" t="str">
        <f aca="false">IF($E734="","",IF(IF($B734="Tema",INDEX(Temas!$E$6:$P$305,$C734,2*$D734),INDEX(Avulsos!$F$6:$F$205,$C734))&amp;""="","","✓"))</f>
        <v/>
      </c>
      <c r="L734" s="114" t="str">
        <f aca="true">IF($E734="","",IF($K734="✓","Concluído",IF($E734&lt;TODAY(),"Atrasado",IF($E734=TODAY(),"Hoje","Pendente"))))</f>
        <v/>
      </c>
      <c r="M734" s="114" t="str">
        <f aca="false">IF($E734="","",IF($K734="✓","✓ ","")&amp;IF(Config!$E$22="Sim",$H734&amp;" · ","")&amp;$F734)</f>
        <v/>
      </c>
      <c r="N734" s="114" t="str">
        <f aca="false">IF($E734="","",IFERROR(INDEX(Config!$D$15:$D$19,MATCH($I734,Config!$C$15:$C$19,0)),"OUT")&amp;IF($K734="✓","x",""))</f>
        <v/>
      </c>
      <c r="O734" s="114" t="str">
        <f aca="false">IF($E734="","",COUNTIF($E$5:$E734,$E734))</f>
        <v/>
      </c>
      <c r="P734" s="114" t="str">
        <f aca="false">IF($E734="","",$E734*100+$O734)</f>
        <v/>
      </c>
      <c r="Q734" s="114" t="str">
        <f aca="false">IF($L734="Atrasado",$E734*10000+$A734,"")</f>
        <v/>
      </c>
    </row>
    <row r="735" customFormat="false" ht="15" hidden="false" customHeight="false" outlineLevel="0" collapsed="false">
      <c r="A735" s="114" t="n">
        <f aca="false">ROW()-4</f>
        <v>731</v>
      </c>
      <c r="B735" s="114" t="str">
        <f aca="false">IF(A735&lt;=Config!$E$27*Config!$E$28,"Tema","Avulso")</f>
        <v>Tema</v>
      </c>
      <c r="C735" s="114" t="n">
        <f aca="false">IF(B735="Tema",INT((A735-1)/Config!$E$28)+1,A735-Config!$E$27*Config!$E$28)</f>
        <v>122</v>
      </c>
      <c r="D735" s="114" t="n">
        <f aca="false">IF(B735="Tema",MOD(A735-1,Config!$E$28)+1,"")</f>
        <v>5</v>
      </c>
      <c r="E735" s="115" t="str">
        <f aca="false">IF($B735="Tema",IF(ISNUMBER(INDEX(Temas!$E$6:$P$305,$C735,2*$D735-1)),INDEX(Temas!$E$6:$P$305,$C735,2*$D735-1),""),IF(ISNUMBER(INDEX(Avulsos!$B$6:$B$205,$C735)),INDEX(Avulsos!$B$6:$B$205,$C735),""))</f>
        <v/>
      </c>
      <c r="F735" s="114" t="str">
        <f aca="false">IF($E735="","",IF($B735="Tema",INDEX(Temas!$B$6:$B$305,$C735)&amp;"",INDEX(Avulsos!$C$6:$C$205,$C735)&amp;""))</f>
        <v/>
      </c>
      <c r="G735" s="114" t="str">
        <f aca="false">IF($E735="","",IF($B735="Tema",INDEX(Config!$C$6:$C$11,$D735),"Evento avulso"))</f>
        <v/>
      </c>
      <c r="H735" s="114" t="str">
        <f aca="false">IF($E735="","",IF($B735="Tema",INDEX(Config!$D$6:$D$11,$D735),IFERROR(INDEX(Config!$E$15:$E$19,MATCH($I735,Config!$C$15:$C$19,0)),"•")))</f>
        <v/>
      </c>
      <c r="I735" s="114" t="str">
        <f aca="false">IF($E735="","",IF($B735="Tema",INDEX(Config!$E$6:$E$11,$D735),IF(INDEX(Avulsos!$D$6:$D$205,$C735)&amp;""="","Outro",INDEX(Avulsos!$D$6:$D$205,$C735))))</f>
        <v/>
      </c>
      <c r="J735" s="114" t="str">
        <f aca="false">IF($E735="","",IF($B735="Tema",INDEX(Temas!$C$6:$C$305,$C735)&amp;"",INDEX(Avulsos!$E$6:$E$205,$C735)&amp;""))</f>
        <v/>
      </c>
      <c r="K735" s="114" t="str">
        <f aca="false">IF($E735="","",IF(IF($B735="Tema",INDEX(Temas!$E$6:$P$305,$C735,2*$D735),INDEX(Avulsos!$F$6:$F$205,$C735))&amp;""="","","✓"))</f>
        <v/>
      </c>
      <c r="L735" s="114" t="str">
        <f aca="true">IF($E735="","",IF($K735="✓","Concluído",IF($E735&lt;TODAY(),"Atrasado",IF($E735=TODAY(),"Hoje","Pendente"))))</f>
        <v/>
      </c>
      <c r="M735" s="114" t="str">
        <f aca="false">IF($E735="","",IF($K735="✓","✓ ","")&amp;IF(Config!$E$22="Sim",$H735&amp;" · ","")&amp;$F735)</f>
        <v/>
      </c>
      <c r="N735" s="114" t="str">
        <f aca="false">IF($E735="","",IFERROR(INDEX(Config!$D$15:$D$19,MATCH($I735,Config!$C$15:$C$19,0)),"OUT")&amp;IF($K735="✓","x",""))</f>
        <v/>
      </c>
      <c r="O735" s="114" t="str">
        <f aca="false">IF($E735="","",COUNTIF($E$5:$E735,$E735))</f>
        <v/>
      </c>
      <c r="P735" s="114" t="str">
        <f aca="false">IF($E735="","",$E735*100+$O735)</f>
        <v/>
      </c>
      <c r="Q735" s="114" t="str">
        <f aca="false">IF($L735="Atrasado",$E735*10000+$A735,"")</f>
        <v/>
      </c>
    </row>
    <row r="736" customFormat="false" ht="15" hidden="false" customHeight="false" outlineLevel="0" collapsed="false">
      <c r="A736" s="114" t="n">
        <f aca="false">ROW()-4</f>
        <v>732</v>
      </c>
      <c r="B736" s="114" t="str">
        <f aca="false">IF(A736&lt;=Config!$E$27*Config!$E$28,"Tema","Avulso")</f>
        <v>Tema</v>
      </c>
      <c r="C736" s="114" t="n">
        <f aca="false">IF(B736="Tema",INT((A736-1)/Config!$E$28)+1,A736-Config!$E$27*Config!$E$28)</f>
        <v>122</v>
      </c>
      <c r="D736" s="114" t="n">
        <f aca="false">IF(B736="Tema",MOD(A736-1,Config!$E$28)+1,"")</f>
        <v>6</v>
      </c>
      <c r="E736" s="115" t="str">
        <f aca="false">IF($B736="Tema",IF(ISNUMBER(INDEX(Temas!$E$6:$P$305,$C736,2*$D736-1)),INDEX(Temas!$E$6:$P$305,$C736,2*$D736-1),""),IF(ISNUMBER(INDEX(Avulsos!$B$6:$B$205,$C736)),INDEX(Avulsos!$B$6:$B$205,$C736),""))</f>
        <v/>
      </c>
      <c r="F736" s="114" t="str">
        <f aca="false">IF($E736="","",IF($B736="Tema",INDEX(Temas!$B$6:$B$305,$C736)&amp;"",INDEX(Avulsos!$C$6:$C$205,$C736)&amp;""))</f>
        <v/>
      </c>
      <c r="G736" s="114" t="str">
        <f aca="false">IF($E736="","",IF($B736="Tema",INDEX(Config!$C$6:$C$11,$D736),"Evento avulso"))</f>
        <v/>
      </c>
      <c r="H736" s="114" t="str">
        <f aca="false">IF($E736="","",IF($B736="Tema",INDEX(Config!$D$6:$D$11,$D736),IFERROR(INDEX(Config!$E$15:$E$19,MATCH($I736,Config!$C$15:$C$19,0)),"•")))</f>
        <v/>
      </c>
      <c r="I736" s="114" t="str">
        <f aca="false">IF($E736="","",IF($B736="Tema",INDEX(Config!$E$6:$E$11,$D736),IF(INDEX(Avulsos!$D$6:$D$205,$C736)&amp;""="","Outro",INDEX(Avulsos!$D$6:$D$205,$C736))))</f>
        <v/>
      </c>
      <c r="J736" s="114" t="str">
        <f aca="false">IF($E736="","",IF($B736="Tema",INDEX(Temas!$C$6:$C$305,$C736)&amp;"",INDEX(Avulsos!$E$6:$E$205,$C736)&amp;""))</f>
        <v/>
      </c>
      <c r="K736" s="114" t="str">
        <f aca="false">IF($E736="","",IF(IF($B736="Tema",INDEX(Temas!$E$6:$P$305,$C736,2*$D736),INDEX(Avulsos!$F$6:$F$205,$C736))&amp;""="","","✓"))</f>
        <v/>
      </c>
      <c r="L736" s="114" t="str">
        <f aca="true">IF($E736="","",IF($K736="✓","Concluído",IF($E736&lt;TODAY(),"Atrasado",IF($E736=TODAY(),"Hoje","Pendente"))))</f>
        <v/>
      </c>
      <c r="M736" s="114" t="str">
        <f aca="false">IF($E736="","",IF($K736="✓","✓ ","")&amp;IF(Config!$E$22="Sim",$H736&amp;" · ","")&amp;$F736)</f>
        <v/>
      </c>
      <c r="N736" s="114" t="str">
        <f aca="false">IF($E736="","",IFERROR(INDEX(Config!$D$15:$D$19,MATCH($I736,Config!$C$15:$C$19,0)),"OUT")&amp;IF($K736="✓","x",""))</f>
        <v/>
      </c>
      <c r="O736" s="114" t="str">
        <f aca="false">IF($E736="","",COUNTIF($E$5:$E736,$E736))</f>
        <v/>
      </c>
      <c r="P736" s="114" t="str">
        <f aca="false">IF($E736="","",$E736*100+$O736)</f>
        <v/>
      </c>
      <c r="Q736" s="114" t="str">
        <f aca="false">IF($L736="Atrasado",$E736*10000+$A736,"")</f>
        <v/>
      </c>
    </row>
    <row r="737" customFormat="false" ht="15" hidden="false" customHeight="false" outlineLevel="0" collapsed="false">
      <c r="A737" s="114" t="n">
        <f aca="false">ROW()-4</f>
        <v>733</v>
      </c>
      <c r="B737" s="114" t="str">
        <f aca="false">IF(A737&lt;=Config!$E$27*Config!$E$28,"Tema","Avulso")</f>
        <v>Tema</v>
      </c>
      <c r="C737" s="114" t="n">
        <f aca="false">IF(B737="Tema",INT((A737-1)/Config!$E$28)+1,A737-Config!$E$27*Config!$E$28)</f>
        <v>123</v>
      </c>
      <c r="D737" s="114" t="n">
        <f aca="false">IF(B737="Tema",MOD(A737-1,Config!$E$28)+1,"")</f>
        <v>1</v>
      </c>
      <c r="E737" s="115" t="str">
        <f aca="false">IF($B737="Tema",IF(ISNUMBER(INDEX(Temas!$E$6:$P$305,$C737,2*$D737-1)),INDEX(Temas!$E$6:$P$305,$C737,2*$D737-1),""),IF(ISNUMBER(INDEX(Avulsos!$B$6:$B$205,$C737)),INDEX(Avulsos!$B$6:$B$205,$C737),""))</f>
        <v/>
      </c>
      <c r="F737" s="114" t="str">
        <f aca="false">IF($E737="","",IF($B737="Tema",INDEX(Temas!$B$6:$B$305,$C737)&amp;"",INDEX(Avulsos!$C$6:$C$205,$C737)&amp;""))</f>
        <v/>
      </c>
      <c r="G737" s="114" t="str">
        <f aca="false">IF($E737="","",IF($B737="Tema",INDEX(Config!$C$6:$C$11,$D737),"Evento avulso"))</f>
        <v/>
      </c>
      <c r="H737" s="114" t="str">
        <f aca="false">IF($E737="","",IF($B737="Tema",INDEX(Config!$D$6:$D$11,$D737),IFERROR(INDEX(Config!$E$15:$E$19,MATCH($I737,Config!$C$15:$C$19,0)),"•")))</f>
        <v/>
      </c>
      <c r="I737" s="114" t="str">
        <f aca="false">IF($E737="","",IF($B737="Tema",INDEX(Config!$E$6:$E$11,$D737),IF(INDEX(Avulsos!$D$6:$D$205,$C737)&amp;""="","Outro",INDEX(Avulsos!$D$6:$D$205,$C737))))</f>
        <v/>
      </c>
      <c r="J737" s="114" t="str">
        <f aca="false">IF($E737="","",IF($B737="Tema",INDEX(Temas!$C$6:$C$305,$C737)&amp;"",INDEX(Avulsos!$E$6:$E$205,$C737)&amp;""))</f>
        <v/>
      </c>
      <c r="K737" s="114" t="str">
        <f aca="false">IF($E737="","",IF(IF($B737="Tema",INDEX(Temas!$E$6:$P$305,$C737,2*$D737),INDEX(Avulsos!$F$6:$F$205,$C737))&amp;""="","","✓"))</f>
        <v/>
      </c>
      <c r="L737" s="114" t="str">
        <f aca="true">IF($E737="","",IF($K737="✓","Concluído",IF($E737&lt;TODAY(),"Atrasado",IF($E737=TODAY(),"Hoje","Pendente"))))</f>
        <v/>
      </c>
      <c r="M737" s="114" t="str">
        <f aca="false">IF($E737="","",IF($K737="✓","✓ ","")&amp;IF(Config!$E$22="Sim",$H737&amp;" · ","")&amp;$F737)</f>
        <v/>
      </c>
      <c r="N737" s="114" t="str">
        <f aca="false">IF($E737="","",IFERROR(INDEX(Config!$D$15:$D$19,MATCH($I737,Config!$C$15:$C$19,0)),"OUT")&amp;IF($K737="✓","x",""))</f>
        <v/>
      </c>
      <c r="O737" s="114" t="str">
        <f aca="false">IF($E737="","",COUNTIF($E$5:$E737,$E737))</f>
        <v/>
      </c>
      <c r="P737" s="114" t="str">
        <f aca="false">IF($E737="","",$E737*100+$O737)</f>
        <v/>
      </c>
      <c r="Q737" s="114" t="str">
        <f aca="false">IF($L737="Atrasado",$E737*10000+$A737,"")</f>
        <v/>
      </c>
    </row>
    <row r="738" customFormat="false" ht="15" hidden="false" customHeight="false" outlineLevel="0" collapsed="false">
      <c r="A738" s="114" t="n">
        <f aca="false">ROW()-4</f>
        <v>734</v>
      </c>
      <c r="B738" s="114" t="str">
        <f aca="false">IF(A738&lt;=Config!$E$27*Config!$E$28,"Tema","Avulso")</f>
        <v>Tema</v>
      </c>
      <c r="C738" s="114" t="n">
        <f aca="false">IF(B738="Tema",INT((A738-1)/Config!$E$28)+1,A738-Config!$E$27*Config!$E$28)</f>
        <v>123</v>
      </c>
      <c r="D738" s="114" t="n">
        <f aca="false">IF(B738="Tema",MOD(A738-1,Config!$E$28)+1,"")</f>
        <v>2</v>
      </c>
      <c r="E738" s="115" t="str">
        <f aca="false">IF($B738="Tema",IF(ISNUMBER(INDEX(Temas!$E$6:$P$305,$C738,2*$D738-1)),INDEX(Temas!$E$6:$P$305,$C738,2*$D738-1),""),IF(ISNUMBER(INDEX(Avulsos!$B$6:$B$205,$C738)),INDEX(Avulsos!$B$6:$B$205,$C738),""))</f>
        <v/>
      </c>
      <c r="F738" s="114" t="str">
        <f aca="false">IF($E738="","",IF($B738="Tema",INDEX(Temas!$B$6:$B$305,$C738)&amp;"",INDEX(Avulsos!$C$6:$C$205,$C738)&amp;""))</f>
        <v/>
      </c>
      <c r="G738" s="114" t="str">
        <f aca="false">IF($E738="","",IF($B738="Tema",INDEX(Config!$C$6:$C$11,$D738),"Evento avulso"))</f>
        <v/>
      </c>
      <c r="H738" s="114" t="str">
        <f aca="false">IF($E738="","",IF($B738="Tema",INDEX(Config!$D$6:$D$11,$D738),IFERROR(INDEX(Config!$E$15:$E$19,MATCH($I738,Config!$C$15:$C$19,0)),"•")))</f>
        <v/>
      </c>
      <c r="I738" s="114" t="str">
        <f aca="false">IF($E738="","",IF($B738="Tema",INDEX(Config!$E$6:$E$11,$D738),IF(INDEX(Avulsos!$D$6:$D$205,$C738)&amp;""="","Outro",INDEX(Avulsos!$D$6:$D$205,$C738))))</f>
        <v/>
      </c>
      <c r="J738" s="114" t="str">
        <f aca="false">IF($E738="","",IF($B738="Tema",INDEX(Temas!$C$6:$C$305,$C738)&amp;"",INDEX(Avulsos!$E$6:$E$205,$C738)&amp;""))</f>
        <v/>
      </c>
      <c r="K738" s="114" t="str">
        <f aca="false">IF($E738="","",IF(IF($B738="Tema",INDEX(Temas!$E$6:$P$305,$C738,2*$D738),INDEX(Avulsos!$F$6:$F$205,$C738))&amp;""="","","✓"))</f>
        <v/>
      </c>
      <c r="L738" s="114" t="str">
        <f aca="true">IF($E738="","",IF($K738="✓","Concluído",IF($E738&lt;TODAY(),"Atrasado",IF($E738=TODAY(),"Hoje","Pendente"))))</f>
        <v/>
      </c>
      <c r="M738" s="114" t="str">
        <f aca="false">IF($E738="","",IF($K738="✓","✓ ","")&amp;IF(Config!$E$22="Sim",$H738&amp;" · ","")&amp;$F738)</f>
        <v/>
      </c>
      <c r="N738" s="114" t="str">
        <f aca="false">IF($E738="","",IFERROR(INDEX(Config!$D$15:$D$19,MATCH($I738,Config!$C$15:$C$19,0)),"OUT")&amp;IF($K738="✓","x",""))</f>
        <v/>
      </c>
      <c r="O738" s="114" t="str">
        <f aca="false">IF($E738="","",COUNTIF($E$5:$E738,$E738))</f>
        <v/>
      </c>
      <c r="P738" s="114" t="str">
        <f aca="false">IF($E738="","",$E738*100+$O738)</f>
        <v/>
      </c>
      <c r="Q738" s="114" t="str">
        <f aca="false">IF($L738="Atrasado",$E738*10000+$A738,"")</f>
        <v/>
      </c>
    </row>
    <row r="739" customFormat="false" ht="15" hidden="false" customHeight="false" outlineLevel="0" collapsed="false">
      <c r="A739" s="114" t="n">
        <f aca="false">ROW()-4</f>
        <v>735</v>
      </c>
      <c r="B739" s="114" t="str">
        <f aca="false">IF(A739&lt;=Config!$E$27*Config!$E$28,"Tema","Avulso")</f>
        <v>Tema</v>
      </c>
      <c r="C739" s="114" t="n">
        <f aca="false">IF(B739="Tema",INT((A739-1)/Config!$E$28)+1,A739-Config!$E$27*Config!$E$28)</f>
        <v>123</v>
      </c>
      <c r="D739" s="114" t="n">
        <f aca="false">IF(B739="Tema",MOD(A739-1,Config!$E$28)+1,"")</f>
        <v>3</v>
      </c>
      <c r="E739" s="115" t="str">
        <f aca="false">IF($B739="Tema",IF(ISNUMBER(INDEX(Temas!$E$6:$P$305,$C739,2*$D739-1)),INDEX(Temas!$E$6:$P$305,$C739,2*$D739-1),""),IF(ISNUMBER(INDEX(Avulsos!$B$6:$B$205,$C739)),INDEX(Avulsos!$B$6:$B$205,$C739),""))</f>
        <v/>
      </c>
      <c r="F739" s="114" t="str">
        <f aca="false">IF($E739="","",IF($B739="Tema",INDEX(Temas!$B$6:$B$305,$C739)&amp;"",INDEX(Avulsos!$C$6:$C$205,$C739)&amp;""))</f>
        <v/>
      </c>
      <c r="G739" s="114" t="str">
        <f aca="false">IF($E739="","",IF($B739="Tema",INDEX(Config!$C$6:$C$11,$D739),"Evento avulso"))</f>
        <v/>
      </c>
      <c r="H739" s="114" t="str">
        <f aca="false">IF($E739="","",IF($B739="Tema",INDEX(Config!$D$6:$D$11,$D739),IFERROR(INDEX(Config!$E$15:$E$19,MATCH($I739,Config!$C$15:$C$19,0)),"•")))</f>
        <v/>
      </c>
      <c r="I739" s="114" t="str">
        <f aca="false">IF($E739="","",IF($B739="Tema",INDEX(Config!$E$6:$E$11,$D739),IF(INDEX(Avulsos!$D$6:$D$205,$C739)&amp;""="","Outro",INDEX(Avulsos!$D$6:$D$205,$C739))))</f>
        <v/>
      </c>
      <c r="J739" s="114" t="str">
        <f aca="false">IF($E739="","",IF($B739="Tema",INDEX(Temas!$C$6:$C$305,$C739)&amp;"",INDEX(Avulsos!$E$6:$E$205,$C739)&amp;""))</f>
        <v/>
      </c>
      <c r="K739" s="114" t="str">
        <f aca="false">IF($E739="","",IF(IF($B739="Tema",INDEX(Temas!$E$6:$P$305,$C739,2*$D739),INDEX(Avulsos!$F$6:$F$205,$C739))&amp;""="","","✓"))</f>
        <v/>
      </c>
      <c r="L739" s="114" t="str">
        <f aca="true">IF($E739="","",IF($K739="✓","Concluído",IF($E739&lt;TODAY(),"Atrasado",IF($E739=TODAY(),"Hoje","Pendente"))))</f>
        <v/>
      </c>
      <c r="M739" s="114" t="str">
        <f aca="false">IF($E739="","",IF($K739="✓","✓ ","")&amp;IF(Config!$E$22="Sim",$H739&amp;" · ","")&amp;$F739)</f>
        <v/>
      </c>
      <c r="N739" s="114" t="str">
        <f aca="false">IF($E739="","",IFERROR(INDEX(Config!$D$15:$D$19,MATCH($I739,Config!$C$15:$C$19,0)),"OUT")&amp;IF($K739="✓","x",""))</f>
        <v/>
      </c>
      <c r="O739" s="114" t="str">
        <f aca="false">IF($E739="","",COUNTIF($E$5:$E739,$E739))</f>
        <v/>
      </c>
      <c r="P739" s="114" t="str">
        <f aca="false">IF($E739="","",$E739*100+$O739)</f>
        <v/>
      </c>
      <c r="Q739" s="114" t="str">
        <f aca="false">IF($L739="Atrasado",$E739*10000+$A739,"")</f>
        <v/>
      </c>
    </row>
    <row r="740" customFormat="false" ht="15" hidden="false" customHeight="false" outlineLevel="0" collapsed="false">
      <c r="A740" s="114" t="n">
        <f aca="false">ROW()-4</f>
        <v>736</v>
      </c>
      <c r="B740" s="114" t="str">
        <f aca="false">IF(A740&lt;=Config!$E$27*Config!$E$28,"Tema","Avulso")</f>
        <v>Tema</v>
      </c>
      <c r="C740" s="114" t="n">
        <f aca="false">IF(B740="Tema",INT((A740-1)/Config!$E$28)+1,A740-Config!$E$27*Config!$E$28)</f>
        <v>123</v>
      </c>
      <c r="D740" s="114" t="n">
        <f aca="false">IF(B740="Tema",MOD(A740-1,Config!$E$28)+1,"")</f>
        <v>4</v>
      </c>
      <c r="E740" s="115" t="str">
        <f aca="false">IF($B740="Tema",IF(ISNUMBER(INDEX(Temas!$E$6:$P$305,$C740,2*$D740-1)),INDEX(Temas!$E$6:$P$305,$C740,2*$D740-1),""),IF(ISNUMBER(INDEX(Avulsos!$B$6:$B$205,$C740)),INDEX(Avulsos!$B$6:$B$205,$C740),""))</f>
        <v/>
      </c>
      <c r="F740" s="114" t="str">
        <f aca="false">IF($E740="","",IF($B740="Tema",INDEX(Temas!$B$6:$B$305,$C740)&amp;"",INDEX(Avulsos!$C$6:$C$205,$C740)&amp;""))</f>
        <v/>
      </c>
      <c r="G740" s="114" t="str">
        <f aca="false">IF($E740="","",IF($B740="Tema",INDEX(Config!$C$6:$C$11,$D740),"Evento avulso"))</f>
        <v/>
      </c>
      <c r="H740" s="114" t="str">
        <f aca="false">IF($E740="","",IF($B740="Tema",INDEX(Config!$D$6:$D$11,$D740),IFERROR(INDEX(Config!$E$15:$E$19,MATCH($I740,Config!$C$15:$C$19,0)),"•")))</f>
        <v/>
      </c>
      <c r="I740" s="114" t="str">
        <f aca="false">IF($E740="","",IF($B740="Tema",INDEX(Config!$E$6:$E$11,$D740),IF(INDEX(Avulsos!$D$6:$D$205,$C740)&amp;""="","Outro",INDEX(Avulsos!$D$6:$D$205,$C740))))</f>
        <v/>
      </c>
      <c r="J740" s="114" t="str">
        <f aca="false">IF($E740="","",IF($B740="Tema",INDEX(Temas!$C$6:$C$305,$C740)&amp;"",INDEX(Avulsos!$E$6:$E$205,$C740)&amp;""))</f>
        <v/>
      </c>
      <c r="K740" s="114" t="str">
        <f aca="false">IF($E740="","",IF(IF($B740="Tema",INDEX(Temas!$E$6:$P$305,$C740,2*$D740),INDEX(Avulsos!$F$6:$F$205,$C740))&amp;""="","","✓"))</f>
        <v/>
      </c>
      <c r="L740" s="114" t="str">
        <f aca="true">IF($E740="","",IF($K740="✓","Concluído",IF($E740&lt;TODAY(),"Atrasado",IF($E740=TODAY(),"Hoje","Pendente"))))</f>
        <v/>
      </c>
      <c r="M740" s="114" t="str">
        <f aca="false">IF($E740="","",IF($K740="✓","✓ ","")&amp;IF(Config!$E$22="Sim",$H740&amp;" · ","")&amp;$F740)</f>
        <v/>
      </c>
      <c r="N740" s="114" t="str">
        <f aca="false">IF($E740="","",IFERROR(INDEX(Config!$D$15:$D$19,MATCH($I740,Config!$C$15:$C$19,0)),"OUT")&amp;IF($K740="✓","x",""))</f>
        <v/>
      </c>
      <c r="O740" s="114" t="str">
        <f aca="false">IF($E740="","",COUNTIF($E$5:$E740,$E740))</f>
        <v/>
      </c>
      <c r="P740" s="114" t="str">
        <f aca="false">IF($E740="","",$E740*100+$O740)</f>
        <v/>
      </c>
      <c r="Q740" s="114" t="str">
        <f aca="false">IF($L740="Atrasado",$E740*10000+$A740,"")</f>
        <v/>
      </c>
    </row>
    <row r="741" customFormat="false" ht="15" hidden="false" customHeight="false" outlineLevel="0" collapsed="false">
      <c r="A741" s="114" t="n">
        <f aca="false">ROW()-4</f>
        <v>737</v>
      </c>
      <c r="B741" s="114" t="str">
        <f aca="false">IF(A741&lt;=Config!$E$27*Config!$E$28,"Tema","Avulso")</f>
        <v>Tema</v>
      </c>
      <c r="C741" s="114" t="n">
        <f aca="false">IF(B741="Tema",INT((A741-1)/Config!$E$28)+1,A741-Config!$E$27*Config!$E$28)</f>
        <v>123</v>
      </c>
      <c r="D741" s="114" t="n">
        <f aca="false">IF(B741="Tema",MOD(A741-1,Config!$E$28)+1,"")</f>
        <v>5</v>
      </c>
      <c r="E741" s="115" t="str">
        <f aca="false">IF($B741="Tema",IF(ISNUMBER(INDEX(Temas!$E$6:$P$305,$C741,2*$D741-1)),INDEX(Temas!$E$6:$P$305,$C741,2*$D741-1),""),IF(ISNUMBER(INDEX(Avulsos!$B$6:$B$205,$C741)),INDEX(Avulsos!$B$6:$B$205,$C741),""))</f>
        <v/>
      </c>
      <c r="F741" s="114" t="str">
        <f aca="false">IF($E741="","",IF($B741="Tema",INDEX(Temas!$B$6:$B$305,$C741)&amp;"",INDEX(Avulsos!$C$6:$C$205,$C741)&amp;""))</f>
        <v/>
      </c>
      <c r="G741" s="114" t="str">
        <f aca="false">IF($E741="","",IF($B741="Tema",INDEX(Config!$C$6:$C$11,$D741),"Evento avulso"))</f>
        <v/>
      </c>
      <c r="H741" s="114" t="str">
        <f aca="false">IF($E741="","",IF($B741="Tema",INDEX(Config!$D$6:$D$11,$D741),IFERROR(INDEX(Config!$E$15:$E$19,MATCH($I741,Config!$C$15:$C$19,0)),"•")))</f>
        <v/>
      </c>
      <c r="I741" s="114" t="str">
        <f aca="false">IF($E741="","",IF($B741="Tema",INDEX(Config!$E$6:$E$11,$D741),IF(INDEX(Avulsos!$D$6:$D$205,$C741)&amp;""="","Outro",INDEX(Avulsos!$D$6:$D$205,$C741))))</f>
        <v/>
      </c>
      <c r="J741" s="114" t="str">
        <f aca="false">IF($E741="","",IF($B741="Tema",INDEX(Temas!$C$6:$C$305,$C741)&amp;"",INDEX(Avulsos!$E$6:$E$205,$C741)&amp;""))</f>
        <v/>
      </c>
      <c r="K741" s="114" t="str">
        <f aca="false">IF($E741="","",IF(IF($B741="Tema",INDEX(Temas!$E$6:$P$305,$C741,2*$D741),INDEX(Avulsos!$F$6:$F$205,$C741))&amp;""="","","✓"))</f>
        <v/>
      </c>
      <c r="L741" s="114" t="str">
        <f aca="true">IF($E741="","",IF($K741="✓","Concluído",IF($E741&lt;TODAY(),"Atrasado",IF($E741=TODAY(),"Hoje","Pendente"))))</f>
        <v/>
      </c>
      <c r="M741" s="114" t="str">
        <f aca="false">IF($E741="","",IF($K741="✓","✓ ","")&amp;IF(Config!$E$22="Sim",$H741&amp;" · ","")&amp;$F741)</f>
        <v/>
      </c>
      <c r="N741" s="114" t="str">
        <f aca="false">IF($E741="","",IFERROR(INDEX(Config!$D$15:$D$19,MATCH($I741,Config!$C$15:$C$19,0)),"OUT")&amp;IF($K741="✓","x",""))</f>
        <v/>
      </c>
      <c r="O741" s="114" t="str">
        <f aca="false">IF($E741="","",COUNTIF($E$5:$E741,$E741))</f>
        <v/>
      </c>
      <c r="P741" s="114" t="str">
        <f aca="false">IF($E741="","",$E741*100+$O741)</f>
        <v/>
      </c>
      <c r="Q741" s="114" t="str">
        <f aca="false">IF($L741="Atrasado",$E741*10000+$A741,"")</f>
        <v/>
      </c>
    </row>
    <row r="742" customFormat="false" ht="15" hidden="false" customHeight="false" outlineLevel="0" collapsed="false">
      <c r="A742" s="114" t="n">
        <f aca="false">ROW()-4</f>
        <v>738</v>
      </c>
      <c r="B742" s="114" t="str">
        <f aca="false">IF(A742&lt;=Config!$E$27*Config!$E$28,"Tema","Avulso")</f>
        <v>Tema</v>
      </c>
      <c r="C742" s="114" t="n">
        <f aca="false">IF(B742="Tema",INT((A742-1)/Config!$E$28)+1,A742-Config!$E$27*Config!$E$28)</f>
        <v>123</v>
      </c>
      <c r="D742" s="114" t="n">
        <f aca="false">IF(B742="Tema",MOD(A742-1,Config!$E$28)+1,"")</f>
        <v>6</v>
      </c>
      <c r="E742" s="115" t="str">
        <f aca="false">IF($B742="Tema",IF(ISNUMBER(INDEX(Temas!$E$6:$P$305,$C742,2*$D742-1)),INDEX(Temas!$E$6:$P$305,$C742,2*$D742-1),""),IF(ISNUMBER(INDEX(Avulsos!$B$6:$B$205,$C742)),INDEX(Avulsos!$B$6:$B$205,$C742),""))</f>
        <v/>
      </c>
      <c r="F742" s="114" t="str">
        <f aca="false">IF($E742="","",IF($B742="Tema",INDEX(Temas!$B$6:$B$305,$C742)&amp;"",INDEX(Avulsos!$C$6:$C$205,$C742)&amp;""))</f>
        <v/>
      </c>
      <c r="G742" s="114" t="str">
        <f aca="false">IF($E742="","",IF($B742="Tema",INDEX(Config!$C$6:$C$11,$D742),"Evento avulso"))</f>
        <v/>
      </c>
      <c r="H742" s="114" t="str">
        <f aca="false">IF($E742="","",IF($B742="Tema",INDEX(Config!$D$6:$D$11,$D742),IFERROR(INDEX(Config!$E$15:$E$19,MATCH($I742,Config!$C$15:$C$19,0)),"•")))</f>
        <v/>
      </c>
      <c r="I742" s="114" t="str">
        <f aca="false">IF($E742="","",IF($B742="Tema",INDEX(Config!$E$6:$E$11,$D742),IF(INDEX(Avulsos!$D$6:$D$205,$C742)&amp;""="","Outro",INDEX(Avulsos!$D$6:$D$205,$C742))))</f>
        <v/>
      </c>
      <c r="J742" s="114" t="str">
        <f aca="false">IF($E742="","",IF($B742="Tema",INDEX(Temas!$C$6:$C$305,$C742)&amp;"",INDEX(Avulsos!$E$6:$E$205,$C742)&amp;""))</f>
        <v/>
      </c>
      <c r="K742" s="114" t="str">
        <f aca="false">IF($E742="","",IF(IF($B742="Tema",INDEX(Temas!$E$6:$P$305,$C742,2*$D742),INDEX(Avulsos!$F$6:$F$205,$C742))&amp;""="","","✓"))</f>
        <v/>
      </c>
      <c r="L742" s="114" t="str">
        <f aca="true">IF($E742="","",IF($K742="✓","Concluído",IF($E742&lt;TODAY(),"Atrasado",IF($E742=TODAY(),"Hoje","Pendente"))))</f>
        <v/>
      </c>
      <c r="M742" s="114" t="str">
        <f aca="false">IF($E742="","",IF($K742="✓","✓ ","")&amp;IF(Config!$E$22="Sim",$H742&amp;" · ","")&amp;$F742)</f>
        <v/>
      </c>
      <c r="N742" s="114" t="str">
        <f aca="false">IF($E742="","",IFERROR(INDEX(Config!$D$15:$D$19,MATCH($I742,Config!$C$15:$C$19,0)),"OUT")&amp;IF($K742="✓","x",""))</f>
        <v/>
      </c>
      <c r="O742" s="114" t="str">
        <f aca="false">IF($E742="","",COUNTIF($E$5:$E742,$E742))</f>
        <v/>
      </c>
      <c r="P742" s="114" t="str">
        <f aca="false">IF($E742="","",$E742*100+$O742)</f>
        <v/>
      </c>
      <c r="Q742" s="114" t="str">
        <f aca="false">IF($L742="Atrasado",$E742*10000+$A742,"")</f>
        <v/>
      </c>
    </row>
    <row r="743" customFormat="false" ht="15" hidden="false" customHeight="false" outlineLevel="0" collapsed="false">
      <c r="A743" s="114" t="n">
        <f aca="false">ROW()-4</f>
        <v>739</v>
      </c>
      <c r="B743" s="114" t="str">
        <f aca="false">IF(A743&lt;=Config!$E$27*Config!$E$28,"Tema","Avulso")</f>
        <v>Tema</v>
      </c>
      <c r="C743" s="114" t="n">
        <f aca="false">IF(B743="Tema",INT((A743-1)/Config!$E$28)+1,A743-Config!$E$27*Config!$E$28)</f>
        <v>124</v>
      </c>
      <c r="D743" s="114" t="n">
        <f aca="false">IF(B743="Tema",MOD(A743-1,Config!$E$28)+1,"")</f>
        <v>1</v>
      </c>
      <c r="E743" s="115" t="str">
        <f aca="false">IF($B743="Tema",IF(ISNUMBER(INDEX(Temas!$E$6:$P$305,$C743,2*$D743-1)),INDEX(Temas!$E$6:$P$305,$C743,2*$D743-1),""),IF(ISNUMBER(INDEX(Avulsos!$B$6:$B$205,$C743)),INDEX(Avulsos!$B$6:$B$205,$C743),""))</f>
        <v/>
      </c>
      <c r="F743" s="114" t="str">
        <f aca="false">IF($E743="","",IF($B743="Tema",INDEX(Temas!$B$6:$B$305,$C743)&amp;"",INDEX(Avulsos!$C$6:$C$205,$C743)&amp;""))</f>
        <v/>
      </c>
      <c r="G743" s="114" t="str">
        <f aca="false">IF($E743="","",IF($B743="Tema",INDEX(Config!$C$6:$C$11,$D743),"Evento avulso"))</f>
        <v/>
      </c>
      <c r="H743" s="114" t="str">
        <f aca="false">IF($E743="","",IF($B743="Tema",INDEX(Config!$D$6:$D$11,$D743),IFERROR(INDEX(Config!$E$15:$E$19,MATCH($I743,Config!$C$15:$C$19,0)),"•")))</f>
        <v/>
      </c>
      <c r="I743" s="114" t="str">
        <f aca="false">IF($E743="","",IF($B743="Tema",INDEX(Config!$E$6:$E$11,$D743),IF(INDEX(Avulsos!$D$6:$D$205,$C743)&amp;""="","Outro",INDEX(Avulsos!$D$6:$D$205,$C743))))</f>
        <v/>
      </c>
      <c r="J743" s="114" t="str">
        <f aca="false">IF($E743="","",IF($B743="Tema",INDEX(Temas!$C$6:$C$305,$C743)&amp;"",INDEX(Avulsos!$E$6:$E$205,$C743)&amp;""))</f>
        <v/>
      </c>
      <c r="K743" s="114" t="str">
        <f aca="false">IF($E743="","",IF(IF($B743="Tema",INDEX(Temas!$E$6:$P$305,$C743,2*$D743),INDEX(Avulsos!$F$6:$F$205,$C743))&amp;""="","","✓"))</f>
        <v/>
      </c>
      <c r="L743" s="114" t="str">
        <f aca="true">IF($E743="","",IF($K743="✓","Concluído",IF($E743&lt;TODAY(),"Atrasado",IF($E743=TODAY(),"Hoje","Pendente"))))</f>
        <v/>
      </c>
      <c r="M743" s="114" t="str">
        <f aca="false">IF($E743="","",IF($K743="✓","✓ ","")&amp;IF(Config!$E$22="Sim",$H743&amp;" · ","")&amp;$F743)</f>
        <v/>
      </c>
      <c r="N743" s="114" t="str">
        <f aca="false">IF($E743="","",IFERROR(INDEX(Config!$D$15:$D$19,MATCH($I743,Config!$C$15:$C$19,0)),"OUT")&amp;IF($K743="✓","x",""))</f>
        <v/>
      </c>
      <c r="O743" s="114" t="str">
        <f aca="false">IF($E743="","",COUNTIF($E$5:$E743,$E743))</f>
        <v/>
      </c>
      <c r="P743" s="114" t="str">
        <f aca="false">IF($E743="","",$E743*100+$O743)</f>
        <v/>
      </c>
      <c r="Q743" s="114" t="str">
        <f aca="false">IF($L743="Atrasado",$E743*10000+$A743,"")</f>
        <v/>
      </c>
    </row>
    <row r="744" customFormat="false" ht="15" hidden="false" customHeight="false" outlineLevel="0" collapsed="false">
      <c r="A744" s="114" t="n">
        <f aca="false">ROW()-4</f>
        <v>740</v>
      </c>
      <c r="B744" s="114" t="str">
        <f aca="false">IF(A744&lt;=Config!$E$27*Config!$E$28,"Tema","Avulso")</f>
        <v>Tema</v>
      </c>
      <c r="C744" s="114" t="n">
        <f aca="false">IF(B744="Tema",INT((A744-1)/Config!$E$28)+1,A744-Config!$E$27*Config!$E$28)</f>
        <v>124</v>
      </c>
      <c r="D744" s="114" t="n">
        <f aca="false">IF(B744="Tema",MOD(A744-1,Config!$E$28)+1,"")</f>
        <v>2</v>
      </c>
      <c r="E744" s="115" t="str">
        <f aca="false">IF($B744="Tema",IF(ISNUMBER(INDEX(Temas!$E$6:$P$305,$C744,2*$D744-1)),INDEX(Temas!$E$6:$P$305,$C744,2*$D744-1),""),IF(ISNUMBER(INDEX(Avulsos!$B$6:$B$205,$C744)),INDEX(Avulsos!$B$6:$B$205,$C744),""))</f>
        <v/>
      </c>
      <c r="F744" s="114" t="str">
        <f aca="false">IF($E744="","",IF($B744="Tema",INDEX(Temas!$B$6:$B$305,$C744)&amp;"",INDEX(Avulsos!$C$6:$C$205,$C744)&amp;""))</f>
        <v/>
      </c>
      <c r="G744" s="114" t="str">
        <f aca="false">IF($E744="","",IF($B744="Tema",INDEX(Config!$C$6:$C$11,$D744),"Evento avulso"))</f>
        <v/>
      </c>
      <c r="H744" s="114" t="str">
        <f aca="false">IF($E744="","",IF($B744="Tema",INDEX(Config!$D$6:$D$11,$D744),IFERROR(INDEX(Config!$E$15:$E$19,MATCH($I744,Config!$C$15:$C$19,0)),"•")))</f>
        <v/>
      </c>
      <c r="I744" s="114" t="str">
        <f aca="false">IF($E744="","",IF($B744="Tema",INDEX(Config!$E$6:$E$11,$D744),IF(INDEX(Avulsos!$D$6:$D$205,$C744)&amp;""="","Outro",INDEX(Avulsos!$D$6:$D$205,$C744))))</f>
        <v/>
      </c>
      <c r="J744" s="114" t="str">
        <f aca="false">IF($E744="","",IF($B744="Tema",INDEX(Temas!$C$6:$C$305,$C744)&amp;"",INDEX(Avulsos!$E$6:$E$205,$C744)&amp;""))</f>
        <v/>
      </c>
      <c r="K744" s="114" t="str">
        <f aca="false">IF($E744="","",IF(IF($B744="Tema",INDEX(Temas!$E$6:$P$305,$C744,2*$D744),INDEX(Avulsos!$F$6:$F$205,$C744))&amp;""="","","✓"))</f>
        <v/>
      </c>
      <c r="L744" s="114" t="str">
        <f aca="true">IF($E744="","",IF($K744="✓","Concluído",IF($E744&lt;TODAY(),"Atrasado",IF($E744=TODAY(),"Hoje","Pendente"))))</f>
        <v/>
      </c>
      <c r="M744" s="114" t="str">
        <f aca="false">IF($E744="","",IF($K744="✓","✓ ","")&amp;IF(Config!$E$22="Sim",$H744&amp;" · ","")&amp;$F744)</f>
        <v/>
      </c>
      <c r="N744" s="114" t="str">
        <f aca="false">IF($E744="","",IFERROR(INDEX(Config!$D$15:$D$19,MATCH($I744,Config!$C$15:$C$19,0)),"OUT")&amp;IF($K744="✓","x",""))</f>
        <v/>
      </c>
      <c r="O744" s="114" t="str">
        <f aca="false">IF($E744="","",COUNTIF($E$5:$E744,$E744))</f>
        <v/>
      </c>
      <c r="P744" s="114" t="str">
        <f aca="false">IF($E744="","",$E744*100+$O744)</f>
        <v/>
      </c>
      <c r="Q744" s="114" t="str">
        <f aca="false">IF($L744="Atrasado",$E744*10000+$A744,"")</f>
        <v/>
      </c>
    </row>
    <row r="745" customFormat="false" ht="15" hidden="false" customHeight="false" outlineLevel="0" collapsed="false">
      <c r="A745" s="114" t="n">
        <f aca="false">ROW()-4</f>
        <v>741</v>
      </c>
      <c r="B745" s="114" t="str">
        <f aca="false">IF(A745&lt;=Config!$E$27*Config!$E$28,"Tema","Avulso")</f>
        <v>Tema</v>
      </c>
      <c r="C745" s="114" t="n">
        <f aca="false">IF(B745="Tema",INT((A745-1)/Config!$E$28)+1,A745-Config!$E$27*Config!$E$28)</f>
        <v>124</v>
      </c>
      <c r="D745" s="114" t="n">
        <f aca="false">IF(B745="Tema",MOD(A745-1,Config!$E$28)+1,"")</f>
        <v>3</v>
      </c>
      <c r="E745" s="115" t="str">
        <f aca="false">IF($B745="Tema",IF(ISNUMBER(INDEX(Temas!$E$6:$P$305,$C745,2*$D745-1)),INDEX(Temas!$E$6:$P$305,$C745,2*$D745-1),""),IF(ISNUMBER(INDEX(Avulsos!$B$6:$B$205,$C745)),INDEX(Avulsos!$B$6:$B$205,$C745),""))</f>
        <v/>
      </c>
      <c r="F745" s="114" t="str">
        <f aca="false">IF($E745="","",IF($B745="Tema",INDEX(Temas!$B$6:$B$305,$C745)&amp;"",INDEX(Avulsos!$C$6:$C$205,$C745)&amp;""))</f>
        <v/>
      </c>
      <c r="G745" s="114" t="str">
        <f aca="false">IF($E745="","",IF($B745="Tema",INDEX(Config!$C$6:$C$11,$D745),"Evento avulso"))</f>
        <v/>
      </c>
      <c r="H745" s="114" t="str">
        <f aca="false">IF($E745="","",IF($B745="Tema",INDEX(Config!$D$6:$D$11,$D745),IFERROR(INDEX(Config!$E$15:$E$19,MATCH($I745,Config!$C$15:$C$19,0)),"•")))</f>
        <v/>
      </c>
      <c r="I745" s="114" t="str">
        <f aca="false">IF($E745="","",IF($B745="Tema",INDEX(Config!$E$6:$E$11,$D745),IF(INDEX(Avulsos!$D$6:$D$205,$C745)&amp;""="","Outro",INDEX(Avulsos!$D$6:$D$205,$C745))))</f>
        <v/>
      </c>
      <c r="J745" s="114" t="str">
        <f aca="false">IF($E745="","",IF($B745="Tema",INDEX(Temas!$C$6:$C$305,$C745)&amp;"",INDEX(Avulsos!$E$6:$E$205,$C745)&amp;""))</f>
        <v/>
      </c>
      <c r="K745" s="114" t="str">
        <f aca="false">IF($E745="","",IF(IF($B745="Tema",INDEX(Temas!$E$6:$P$305,$C745,2*$D745),INDEX(Avulsos!$F$6:$F$205,$C745))&amp;""="","","✓"))</f>
        <v/>
      </c>
      <c r="L745" s="114" t="str">
        <f aca="true">IF($E745="","",IF($K745="✓","Concluído",IF($E745&lt;TODAY(),"Atrasado",IF($E745=TODAY(),"Hoje","Pendente"))))</f>
        <v/>
      </c>
      <c r="M745" s="114" t="str">
        <f aca="false">IF($E745="","",IF($K745="✓","✓ ","")&amp;IF(Config!$E$22="Sim",$H745&amp;" · ","")&amp;$F745)</f>
        <v/>
      </c>
      <c r="N745" s="114" t="str">
        <f aca="false">IF($E745="","",IFERROR(INDEX(Config!$D$15:$D$19,MATCH($I745,Config!$C$15:$C$19,0)),"OUT")&amp;IF($K745="✓","x",""))</f>
        <v/>
      </c>
      <c r="O745" s="114" t="str">
        <f aca="false">IF($E745="","",COUNTIF($E$5:$E745,$E745))</f>
        <v/>
      </c>
      <c r="P745" s="114" t="str">
        <f aca="false">IF($E745="","",$E745*100+$O745)</f>
        <v/>
      </c>
      <c r="Q745" s="114" t="str">
        <f aca="false">IF($L745="Atrasado",$E745*10000+$A745,"")</f>
        <v/>
      </c>
    </row>
    <row r="746" customFormat="false" ht="15" hidden="false" customHeight="false" outlineLevel="0" collapsed="false">
      <c r="A746" s="114" t="n">
        <f aca="false">ROW()-4</f>
        <v>742</v>
      </c>
      <c r="B746" s="114" t="str">
        <f aca="false">IF(A746&lt;=Config!$E$27*Config!$E$28,"Tema","Avulso")</f>
        <v>Tema</v>
      </c>
      <c r="C746" s="114" t="n">
        <f aca="false">IF(B746="Tema",INT((A746-1)/Config!$E$28)+1,A746-Config!$E$27*Config!$E$28)</f>
        <v>124</v>
      </c>
      <c r="D746" s="114" t="n">
        <f aca="false">IF(B746="Tema",MOD(A746-1,Config!$E$28)+1,"")</f>
        <v>4</v>
      </c>
      <c r="E746" s="115" t="str">
        <f aca="false">IF($B746="Tema",IF(ISNUMBER(INDEX(Temas!$E$6:$P$305,$C746,2*$D746-1)),INDEX(Temas!$E$6:$P$305,$C746,2*$D746-1),""),IF(ISNUMBER(INDEX(Avulsos!$B$6:$B$205,$C746)),INDEX(Avulsos!$B$6:$B$205,$C746),""))</f>
        <v/>
      </c>
      <c r="F746" s="114" t="str">
        <f aca="false">IF($E746="","",IF($B746="Tema",INDEX(Temas!$B$6:$B$305,$C746)&amp;"",INDEX(Avulsos!$C$6:$C$205,$C746)&amp;""))</f>
        <v/>
      </c>
      <c r="G746" s="114" t="str">
        <f aca="false">IF($E746="","",IF($B746="Tema",INDEX(Config!$C$6:$C$11,$D746),"Evento avulso"))</f>
        <v/>
      </c>
      <c r="H746" s="114" t="str">
        <f aca="false">IF($E746="","",IF($B746="Tema",INDEX(Config!$D$6:$D$11,$D746),IFERROR(INDEX(Config!$E$15:$E$19,MATCH($I746,Config!$C$15:$C$19,0)),"•")))</f>
        <v/>
      </c>
      <c r="I746" s="114" t="str">
        <f aca="false">IF($E746="","",IF($B746="Tema",INDEX(Config!$E$6:$E$11,$D746),IF(INDEX(Avulsos!$D$6:$D$205,$C746)&amp;""="","Outro",INDEX(Avulsos!$D$6:$D$205,$C746))))</f>
        <v/>
      </c>
      <c r="J746" s="114" t="str">
        <f aca="false">IF($E746="","",IF($B746="Tema",INDEX(Temas!$C$6:$C$305,$C746)&amp;"",INDEX(Avulsos!$E$6:$E$205,$C746)&amp;""))</f>
        <v/>
      </c>
      <c r="K746" s="114" t="str">
        <f aca="false">IF($E746="","",IF(IF($B746="Tema",INDEX(Temas!$E$6:$P$305,$C746,2*$D746),INDEX(Avulsos!$F$6:$F$205,$C746))&amp;""="","","✓"))</f>
        <v/>
      </c>
      <c r="L746" s="114" t="str">
        <f aca="true">IF($E746="","",IF($K746="✓","Concluído",IF($E746&lt;TODAY(),"Atrasado",IF($E746=TODAY(),"Hoje","Pendente"))))</f>
        <v/>
      </c>
      <c r="M746" s="114" t="str">
        <f aca="false">IF($E746="","",IF($K746="✓","✓ ","")&amp;IF(Config!$E$22="Sim",$H746&amp;" · ","")&amp;$F746)</f>
        <v/>
      </c>
      <c r="N746" s="114" t="str">
        <f aca="false">IF($E746="","",IFERROR(INDEX(Config!$D$15:$D$19,MATCH($I746,Config!$C$15:$C$19,0)),"OUT")&amp;IF($K746="✓","x",""))</f>
        <v/>
      </c>
      <c r="O746" s="114" t="str">
        <f aca="false">IF($E746="","",COUNTIF($E$5:$E746,$E746))</f>
        <v/>
      </c>
      <c r="P746" s="114" t="str">
        <f aca="false">IF($E746="","",$E746*100+$O746)</f>
        <v/>
      </c>
      <c r="Q746" s="114" t="str">
        <f aca="false">IF($L746="Atrasado",$E746*10000+$A746,"")</f>
        <v/>
      </c>
    </row>
    <row r="747" customFormat="false" ht="15" hidden="false" customHeight="false" outlineLevel="0" collapsed="false">
      <c r="A747" s="114" t="n">
        <f aca="false">ROW()-4</f>
        <v>743</v>
      </c>
      <c r="B747" s="114" t="str">
        <f aca="false">IF(A747&lt;=Config!$E$27*Config!$E$28,"Tema","Avulso")</f>
        <v>Tema</v>
      </c>
      <c r="C747" s="114" t="n">
        <f aca="false">IF(B747="Tema",INT((A747-1)/Config!$E$28)+1,A747-Config!$E$27*Config!$E$28)</f>
        <v>124</v>
      </c>
      <c r="D747" s="114" t="n">
        <f aca="false">IF(B747="Tema",MOD(A747-1,Config!$E$28)+1,"")</f>
        <v>5</v>
      </c>
      <c r="E747" s="115" t="str">
        <f aca="false">IF($B747="Tema",IF(ISNUMBER(INDEX(Temas!$E$6:$P$305,$C747,2*$D747-1)),INDEX(Temas!$E$6:$P$305,$C747,2*$D747-1),""),IF(ISNUMBER(INDEX(Avulsos!$B$6:$B$205,$C747)),INDEX(Avulsos!$B$6:$B$205,$C747),""))</f>
        <v/>
      </c>
      <c r="F747" s="114" t="str">
        <f aca="false">IF($E747="","",IF($B747="Tema",INDEX(Temas!$B$6:$B$305,$C747)&amp;"",INDEX(Avulsos!$C$6:$C$205,$C747)&amp;""))</f>
        <v/>
      </c>
      <c r="G747" s="114" t="str">
        <f aca="false">IF($E747="","",IF($B747="Tema",INDEX(Config!$C$6:$C$11,$D747),"Evento avulso"))</f>
        <v/>
      </c>
      <c r="H747" s="114" t="str">
        <f aca="false">IF($E747="","",IF($B747="Tema",INDEX(Config!$D$6:$D$11,$D747),IFERROR(INDEX(Config!$E$15:$E$19,MATCH($I747,Config!$C$15:$C$19,0)),"•")))</f>
        <v/>
      </c>
      <c r="I747" s="114" t="str">
        <f aca="false">IF($E747="","",IF($B747="Tema",INDEX(Config!$E$6:$E$11,$D747),IF(INDEX(Avulsos!$D$6:$D$205,$C747)&amp;""="","Outro",INDEX(Avulsos!$D$6:$D$205,$C747))))</f>
        <v/>
      </c>
      <c r="J747" s="114" t="str">
        <f aca="false">IF($E747="","",IF($B747="Tema",INDEX(Temas!$C$6:$C$305,$C747)&amp;"",INDEX(Avulsos!$E$6:$E$205,$C747)&amp;""))</f>
        <v/>
      </c>
      <c r="K747" s="114" t="str">
        <f aca="false">IF($E747="","",IF(IF($B747="Tema",INDEX(Temas!$E$6:$P$305,$C747,2*$D747),INDEX(Avulsos!$F$6:$F$205,$C747))&amp;""="","","✓"))</f>
        <v/>
      </c>
      <c r="L747" s="114" t="str">
        <f aca="true">IF($E747="","",IF($K747="✓","Concluído",IF($E747&lt;TODAY(),"Atrasado",IF($E747=TODAY(),"Hoje","Pendente"))))</f>
        <v/>
      </c>
      <c r="M747" s="114" t="str">
        <f aca="false">IF($E747="","",IF($K747="✓","✓ ","")&amp;IF(Config!$E$22="Sim",$H747&amp;" · ","")&amp;$F747)</f>
        <v/>
      </c>
      <c r="N747" s="114" t="str">
        <f aca="false">IF($E747="","",IFERROR(INDEX(Config!$D$15:$D$19,MATCH($I747,Config!$C$15:$C$19,0)),"OUT")&amp;IF($K747="✓","x",""))</f>
        <v/>
      </c>
      <c r="O747" s="114" t="str">
        <f aca="false">IF($E747="","",COUNTIF($E$5:$E747,$E747))</f>
        <v/>
      </c>
      <c r="P747" s="114" t="str">
        <f aca="false">IF($E747="","",$E747*100+$O747)</f>
        <v/>
      </c>
      <c r="Q747" s="114" t="str">
        <f aca="false">IF($L747="Atrasado",$E747*10000+$A747,"")</f>
        <v/>
      </c>
    </row>
    <row r="748" customFormat="false" ht="15" hidden="false" customHeight="false" outlineLevel="0" collapsed="false">
      <c r="A748" s="114" t="n">
        <f aca="false">ROW()-4</f>
        <v>744</v>
      </c>
      <c r="B748" s="114" t="str">
        <f aca="false">IF(A748&lt;=Config!$E$27*Config!$E$28,"Tema","Avulso")</f>
        <v>Tema</v>
      </c>
      <c r="C748" s="114" t="n">
        <f aca="false">IF(B748="Tema",INT((A748-1)/Config!$E$28)+1,A748-Config!$E$27*Config!$E$28)</f>
        <v>124</v>
      </c>
      <c r="D748" s="114" t="n">
        <f aca="false">IF(B748="Tema",MOD(A748-1,Config!$E$28)+1,"")</f>
        <v>6</v>
      </c>
      <c r="E748" s="115" t="str">
        <f aca="false">IF($B748="Tema",IF(ISNUMBER(INDEX(Temas!$E$6:$P$305,$C748,2*$D748-1)),INDEX(Temas!$E$6:$P$305,$C748,2*$D748-1),""),IF(ISNUMBER(INDEX(Avulsos!$B$6:$B$205,$C748)),INDEX(Avulsos!$B$6:$B$205,$C748),""))</f>
        <v/>
      </c>
      <c r="F748" s="114" t="str">
        <f aca="false">IF($E748="","",IF($B748="Tema",INDEX(Temas!$B$6:$B$305,$C748)&amp;"",INDEX(Avulsos!$C$6:$C$205,$C748)&amp;""))</f>
        <v/>
      </c>
      <c r="G748" s="114" t="str">
        <f aca="false">IF($E748="","",IF($B748="Tema",INDEX(Config!$C$6:$C$11,$D748),"Evento avulso"))</f>
        <v/>
      </c>
      <c r="H748" s="114" t="str">
        <f aca="false">IF($E748="","",IF($B748="Tema",INDEX(Config!$D$6:$D$11,$D748),IFERROR(INDEX(Config!$E$15:$E$19,MATCH($I748,Config!$C$15:$C$19,0)),"•")))</f>
        <v/>
      </c>
      <c r="I748" s="114" t="str">
        <f aca="false">IF($E748="","",IF($B748="Tema",INDEX(Config!$E$6:$E$11,$D748),IF(INDEX(Avulsos!$D$6:$D$205,$C748)&amp;""="","Outro",INDEX(Avulsos!$D$6:$D$205,$C748))))</f>
        <v/>
      </c>
      <c r="J748" s="114" t="str">
        <f aca="false">IF($E748="","",IF($B748="Tema",INDEX(Temas!$C$6:$C$305,$C748)&amp;"",INDEX(Avulsos!$E$6:$E$205,$C748)&amp;""))</f>
        <v/>
      </c>
      <c r="K748" s="114" t="str">
        <f aca="false">IF($E748="","",IF(IF($B748="Tema",INDEX(Temas!$E$6:$P$305,$C748,2*$D748),INDEX(Avulsos!$F$6:$F$205,$C748))&amp;""="","","✓"))</f>
        <v/>
      </c>
      <c r="L748" s="114" t="str">
        <f aca="true">IF($E748="","",IF($K748="✓","Concluído",IF($E748&lt;TODAY(),"Atrasado",IF($E748=TODAY(),"Hoje","Pendente"))))</f>
        <v/>
      </c>
      <c r="M748" s="114" t="str">
        <f aca="false">IF($E748="","",IF($K748="✓","✓ ","")&amp;IF(Config!$E$22="Sim",$H748&amp;" · ","")&amp;$F748)</f>
        <v/>
      </c>
      <c r="N748" s="114" t="str">
        <f aca="false">IF($E748="","",IFERROR(INDEX(Config!$D$15:$D$19,MATCH($I748,Config!$C$15:$C$19,0)),"OUT")&amp;IF($K748="✓","x",""))</f>
        <v/>
      </c>
      <c r="O748" s="114" t="str">
        <f aca="false">IF($E748="","",COUNTIF($E$5:$E748,$E748))</f>
        <v/>
      </c>
      <c r="P748" s="114" t="str">
        <f aca="false">IF($E748="","",$E748*100+$O748)</f>
        <v/>
      </c>
      <c r="Q748" s="114" t="str">
        <f aca="false">IF($L748="Atrasado",$E748*10000+$A748,"")</f>
        <v/>
      </c>
    </row>
    <row r="749" customFormat="false" ht="15" hidden="false" customHeight="false" outlineLevel="0" collapsed="false">
      <c r="A749" s="114" t="n">
        <f aca="false">ROW()-4</f>
        <v>745</v>
      </c>
      <c r="B749" s="114" t="str">
        <f aca="false">IF(A749&lt;=Config!$E$27*Config!$E$28,"Tema","Avulso")</f>
        <v>Tema</v>
      </c>
      <c r="C749" s="114" t="n">
        <f aca="false">IF(B749="Tema",INT((A749-1)/Config!$E$28)+1,A749-Config!$E$27*Config!$E$28)</f>
        <v>125</v>
      </c>
      <c r="D749" s="114" t="n">
        <f aca="false">IF(B749="Tema",MOD(A749-1,Config!$E$28)+1,"")</f>
        <v>1</v>
      </c>
      <c r="E749" s="115" t="str">
        <f aca="false">IF($B749="Tema",IF(ISNUMBER(INDEX(Temas!$E$6:$P$305,$C749,2*$D749-1)),INDEX(Temas!$E$6:$P$305,$C749,2*$D749-1),""),IF(ISNUMBER(INDEX(Avulsos!$B$6:$B$205,$C749)),INDEX(Avulsos!$B$6:$B$205,$C749),""))</f>
        <v/>
      </c>
      <c r="F749" s="114" t="str">
        <f aca="false">IF($E749="","",IF($B749="Tema",INDEX(Temas!$B$6:$B$305,$C749)&amp;"",INDEX(Avulsos!$C$6:$C$205,$C749)&amp;""))</f>
        <v/>
      </c>
      <c r="G749" s="114" t="str">
        <f aca="false">IF($E749="","",IF($B749="Tema",INDEX(Config!$C$6:$C$11,$D749),"Evento avulso"))</f>
        <v/>
      </c>
      <c r="H749" s="114" t="str">
        <f aca="false">IF($E749="","",IF($B749="Tema",INDEX(Config!$D$6:$D$11,$D749),IFERROR(INDEX(Config!$E$15:$E$19,MATCH($I749,Config!$C$15:$C$19,0)),"•")))</f>
        <v/>
      </c>
      <c r="I749" s="114" t="str">
        <f aca="false">IF($E749="","",IF($B749="Tema",INDEX(Config!$E$6:$E$11,$D749),IF(INDEX(Avulsos!$D$6:$D$205,$C749)&amp;""="","Outro",INDEX(Avulsos!$D$6:$D$205,$C749))))</f>
        <v/>
      </c>
      <c r="J749" s="114" t="str">
        <f aca="false">IF($E749="","",IF($B749="Tema",INDEX(Temas!$C$6:$C$305,$C749)&amp;"",INDEX(Avulsos!$E$6:$E$205,$C749)&amp;""))</f>
        <v/>
      </c>
      <c r="K749" s="114" t="str">
        <f aca="false">IF($E749="","",IF(IF($B749="Tema",INDEX(Temas!$E$6:$P$305,$C749,2*$D749),INDEX(Avulsos!$F$6:$F$205,$C749))&amp;""="","","✓"))</f>
        <v/>
      </c>
      <c r="L749" s="114" t="str">
        <f aca="true">IF($E749="","",IF($K749="✓","Concluído",IF($E749&lt;TODAY(),"Atrasado",IF($E749=TODAY(),"Hoje","Pendente"))))</f>
        <v/>
      </c>
      <c r="M749" s="114" t="str">
        <f aca="false">IF($E749="","",IF($K749="✓","✓ ","")&amp;IF(Config!$E$22="Sim",$H749&amp;" · ","")&amp;$F749)</f>
        <v/>
      </c>
      <c r="N749" s="114" t="str">
        <f aca="false">IF($E749="","",IFERROR(INDEX(Config!$D$15:$D$19,MATCH($I749,Config!$C$15:$C$19,0)),"OUT")&amp;IF($K749="✓","x",""))</f>
        <v/>
      </c>
      <c r="O749" s="114" t="str">
        <f aca="false">IF($E749="","",COUNTIF($E$5:$E749,$E749))</f>
        <v/>
      </c>
      <c r="P749" s="114" t="str">
        <f aca="false">IF($E749="","",$E749*100+$O749)</f>
        <v/>
      </c>
      <c r="Q749" s="114" t="str">
        <f aca="false">IF($L749="Atrasado",$E749*10000+$A749,"")</f>
        <v/>
      </c>
    </row>
    <row r="750" customFormat="false" ht="15" hidden="false" customHeight="false" outlineLevel="0" collapsed="false">
      <c r="A750" s="114" t="n">
        <f aca="false">ROW()-4</f>
        <v>746</v>
      </c>
      <c r="B750" s="114" t="str">
        <f aca="false">IF(A750&lt;=Config!$E$27*Config!$E$28,"Tema","Avulso")</f>
        <v>Tema</v>
      </c>
      <c r="C750" s="114" t="n">
        <f aca="false">IF(B750="Tema",INT((A750-1)/Config!$E$28)+1,A750-Config!$E$27*Config!$E$28)</f>
        <v>125</v>
      </c>
      <c r="D750" s="114" t="n">
        <f aca="false">IF(B750="Tema",MOD(A750-1,Config!$E$28)+1,"")</f>
        <v>2</v>
      </c>
      <c r="E750" s="115" t="str">
        <f aca="false">IF($B750="Tema",IF(ISNUMBER(INDEX(Temas!$E$6:$P$305,$C750,2*$D750-1)),INDEX(Temas!$E$6:$P$305,$C750,2*$D750-1),""),IF(ISNUMBER(INDEX(Avulsos!$B$6:$B$205,$C750)),INDEX(Avulsos!$B$6:$B$205,$C750),""))</f>
        <v/>
      </c>
      <c r="F750" s="114" t="str">
        <f aca="false">IF($E750="","",IF($B750="Tema",INDEX(Temas!$B$6:$B$305,$C750)&amp;"",INDEX(Avulsos!$C$6:$C$205,$C750)&amp;""))</f>
        <v/>
      </c>
      <c r="G750" s="114" t="str">
        <f aca="false">IF($E750="","",IF($B750="Tema",INDEX(Config!$C$6:$C$11,$D750),"Evento avulso"))</f>
        <v/>
      </c>
      <c r="H750" s="114" t="str">
        <f aca="false">IF($E750="","",IF($B750="Tema",INDEX(Config!$D$6:$D$11,$D750),IFERROR(INDEX(Config!$E$15:$E$19,MATCH($I750,Config!$C$15:$C$19,0)),"•")))</f>
        <v/>
      </c>
      <c r="I750" s="114" t="str">
        <f aca="false">IF($E750="","",IF($B750="Tema",INDEX(Config!$E$6:$E$11,$D750),IF(INDEX(Avulsos!$D$6:$D$205,$C750)&amp;""="","Outro",INDEX(Avulsos!$D$6:$D$205,$C750))))</f>
        <v/>
      </c>
      <c r="J750" s="114" t="str">
        <f aca="false">IF($E750="","",IF($B750="Tema",INDEX(Temas!$C$6:$C$305,$C750)&amp;"",INDEX(Avulsos!$E$6:$E$205,$C750)&amp;""))</f>
        <v/>
      </c>
      <c r="K750" s="114" t="str">
        <f aca="false">IF($E750="","",IF(IF($B750="Tema",INDEX(Temas!$E$6:$P$305,$C750,2*$D750),INDEX(Avulsos!$F$6:$F$205,$C750))&amp;""="","","✓"))</f>
        <v/>
      </c>
      <c r="L750" s="114" t="str">
        <f aca="true">IF($E750="","",IF($K750="✓","Concluído",IF($E750&lt;TODAY(),"Atrasado",IF($E750=TODAY(),"Hoje","Pendente"))))</f>
        <v/>
      </c>
      <c r="M750" s="114" t="str">
        <f aca="false">IF($E750="","",IF($K750="✓","✓ ","")&amp;IF(Config!$E$22="Sim",$H750&amp;" · ","")&amp;$F750)</f>
        <v/>
      </c>
      <c r="N750" s="114" t="str">
        <f aca="false">IF($E750="","",IFERROR(INDEX(Config!$D$15:$D$19,MATCH($I750,Config!$C$15:$C$19,0)),"OUT")&amp;IF($K750="✓","x",""))</f>
        <v/>
      </c>
      <c r="O750" s="114" t="str">
        <f aca="false">IF($E750="","",COUNTIF($E$5:$E750,$E750))</f>
        <v/>
      </c>
      <c r="P750" s="114" t="str">
        <f aca="false">IF($E750="","",$E750*100+$O750)</f>
        <v/>
      </c>
      <c r="Q750" s="114" t="str">
        <f aca="false">IF($L750="Atrasado",$E750*10000+$A750,"")</f>
        <v/>
      </c>
    </row>
    <row r="751" customFormat="false" ht="15" hidden="false" customHeight="false" outlineLevel="0" collapsed="false">
      <c r="A751" s="114" t="n">
        <f aca="false">ROW()-4</f>
        <v>747</v>
      </c>
      <c r="B751" s="114" t="str">
        <f aca="false">IF(A751&lt;=Config!$E$27*Config!$E$28,"Tema","Avulso")</f>
        <v>Tema</v>
      </c>
      <c r="C751" s="114" t="n">
        <f aca="false">IF(B751="Tema",INT((A751-1)/Config!$E$28)+1,A751-Config!$E$27*Config!$E$28)</f>
        <v>125</v>
      </c>
      <c r="D751" s="114" t="n">
        <f aca="false">IF(B751="Tema",MOD(A751-1,Config!$E$28)+1,"")</f>
        <v>3</v>
      </c>
      <c r="E751" s="115" t="str">
        <f aca="false">IF($B751="Tema",IF(ISNUMBER(INDEX(Temas!$E$6:$P$305,$C751,2*$D751-1)),INDEX(Temas!$E$6:$P$305,$C751,2*$D751-1),""),IF(ISNUMBER(INDEX(Avulsos!$B$6:$B$205,$C751)),INDEX(Avulsos!$B$6:$B$205,$C751),""))</f>
        <v/>
      </c>
      <c r="F751" s="114" t="str">
        <f aca="false">IF($E751="","",IF($B751="Tema",INDEX(Temas!$B$6:$B$305,$C751)&amp;"",INDEX(Avulsos!$C$6:$C$205,$C751)&amp;""))</f>
        <v/>
      </c>
      <c r="G751" s="114" t="str">
        <f aca="false">IF($E751="","",IF($B751="Tema",INDEX(Config!$C$6:$C$11,$D751),"Evento avulso"))</f>
        <v/>
      </c>
      <c r="H751" s="114" t="str">
        <f aca="false">IF($E751="","",IF($B751="Tema",INDEX(Config!$D$6:$D$11,$D751),IFERROR(INDEX(Config!$E$15:$E$19,MATCH($I751,Config!$C$15:$C$19,0)),"•")))</f>
        <v/>
      </c>
      <c r="I751" s="114" t="str">
        <f aca="false">IF($E751="","",IF($B751="Tema",INDEX(Config!$E$6:$E$11,$D751),IF(INDEX(Avulsos!$D$6:$D$205,$C751)&amp;""="","Outro",INDEX(Avulsos!$D$6:$D$205,$C751))))</f>
        <v/>
      </c>
      <c r="J751" s="114" t="str">
        <f aca="false">IF($E751="","",IF($B751="Tema",INDEX(Temas!$C$6:$C$305,$C751)&amp;"",INDEX(Avulsos!$E$6:$E$205,$C751)&amp;""))</f>
        <v/>
      </c>
      <c r="K751" s="114" t="str">
        <f aca="false">IF($E751="","",IF(IF($B751="Tema",INDEX(Temas!$E$6:$P$305,$C751,2*$D751),INDEX(Avulsos!$F$6:$F$205,$C751))&amp;""="","","✓"))</f>
        <v/>
      </c>
      <c r="L751" s="114" t="str">
        <f aca="true">IF($E751="","",IF($K751="✓","Concluído",IF($E751&lt;TODAY(),"Atrasado",IF($E751=TODAY(),"Hoje","Pendente"))))</f>
        <v/>
      </c>
      <c r="M751" s="114" t="str">
        <f aca="false">IF($E751="","",IF($K751="✓","✓ ","")&amp;IF(Config!$E$22="Sim",$H751&amp;" · ","")&amp;$F751)</f>
        <v/>
      </c>
      <c r="N751" s="114" t="str">
        <f aca="false">IF($E751="","",IFERROR(INDEX(Config!$D$15:$D$19,MATCH($I751,Config!$C$15:$C$19,0)),"OUT")&amp;IF($K751="✓","x",""))</f>
        <v/>
      </c>
      <c r="O751" s="114" t="str">
        <f aca="false">IF($E751="","",COUNTIF($E$5:$E751,$E751))</f>
        <v/>
      </c>
      <c r="P751" s="114" t="str">
        <f aca="false">IF($E751="","",$E751*100+$O751)</f>
        <v/>
      </c>
      <c r="Q751" s="114" t="str">
        <f aca="false">IF($L751="Atrasado",$E751*10000+$A751,"")</f>
        <v/>
      </c>
    </row>
    <row r="752" customFormat="false" ht="15" hidden="false" customHeight="false" outlineLevel="0" collapsed="false">
      <c r="A752" s="114" t="n">
        <f aca="false">ROW()-4</f>
        <v>748</v>
      </c>
      <c r="B752" s="114" t="str">
        <f aca="false">IF(A752&lt;=Config!$E$27*Config!$E$28,"Tema","Avulso")</f>
        <v>Tema</v>
      </c>
      <c r="C752" s="114" t="n">
        <f aca="false">IF(B752="Tema",INT((A752-1)/Config!$E$28)+1,A752-Config!$E$27*Config!$E$28)</f>
        <v>125</v>
      </c>
      <c r="D752" s="114" t="n">
        <f aca="false">IF(B752="Tema",MOD(A752-1,Config!$E$28)+1,"")</f>
        <v>4</v>
      </c>
      <c r="E752" s="115" t="str">
        <f aca="false">IF($B752="Tema",IF(ISNUMBER(INDEX(Temas!$E$6:$P$305,$C752,2*$D752-1)),INDEX(Temas!$E$6:$P$305,$C752,2*$D752-1),""),IF(ISNUMBER(INDEX(Avulsos!$B$6:$B$205,$C752)),INDEX(Avulsos!$B$6:$B$205,$C752),""))</f>
        <v/>
      </c>
      <c r="F752" s="114" t="str">
        <f aca="false">IF($E752="","",IF($B752="Tema",INDEX(Temas!$B$6:$B$305,$C752)&amp;"",INDEX(Avulsos!$C$6:$C$205,$C752)&amp;""))</f>
        <v/>
      </c>
      <c r="G752" s="114" t="str">
        <f aca="false">IF($E752="","",IF($B752="Tema",INDEX(Config!$C$6:$C$11,$D752),"Evento avulso"))</f>
        <v/>
      </c>
      <c r="H752" s="114" t="str">
        <f aca="false">IF($E752="","",IF($B752="Tema",INDEX(Config!$D$6:$D$11,$D752),IFERROR(INDEX(Config!$E$15:$E$19,MATCH($I752,Config!$C$15:$C$19,0)),"•")))</f>
        <v/>
      </c>
      <c r="I752" s="114" t="str">
        <f aca="false">IF($E752="","",IF($B752="Tema",INDEX(Config!$E$6:$E$11,$D752),IF(INDEX(Avulsos!$D$6:$D$205,$C752)&amp;""="","Outro",INDEX(Avulsos!$D$6:$D$205,$C752))))</f>
        <v/>
      </c>
      <c r="J752" s="114" t="str">
        <f aca="false">IF($E752="","",IF($B752="Tema",INDEX(Temas!$C$6:$C$305,$C752)&amp;"",INDEX(Avulsos!$E$6:$E$205,$C752)&amp;""))</f>
        <v/>
      </c>
      <c r="K752" s="114" t="str">
        <f aca="false">IF($E752="","",IF(IF($B752="Tema",INDEX(Temas!$E$6:$P$305,$C752,2*$D752),INDEX(Avulsos!$F$6:$F$205,$C752))&amp;""="","","✓"))</f>
        <v/>
      </c>
      <c r="L752" s="114" t="str">
        <f aca="true">IF($E752="","",IF($K752="✓","Concluído",IF($E752&lt;TODAY(),"Atrasado",IF($E752=TODAY(),"Hoje","Pendente"))))</f>
        <v/>
      </c>
      <c r="M752" s="114" t="str">
        <f aca="false">IF($E752="","",IF($K752="✓","✓ ","")&amp;IF(Config!$E$22="Sim",$H752&amp;" · ","")&amp;$F752)</f>
        <v/>
      </c>
      <c r="N752" s="114" t="str">
        <f aca="false">IF($E752="","",IFERROR(INDEX(Config!$D$15:$D$19,MATCH($I752,Config!$C$15:$C$19,0)),"OUT")&amp;IF($K752="✓","x",""))</f>
        <v/>
      </c>
      <c r="O752" s="114" t="str">
        <f aca="false">IF($E752="","",COUNTIF($E$5:$E752,$E752))</f>
        <v/>
      </c>
      <c r="P752" s="114" t="str">
        <f aca="false">IF($E752="","",$E752*100+$O752)</f>
        <v/>
      </c>
      <c r="Q752" s="114" t="str">
        <f aca="false">IF($L752="Atrasado",$E752*10000+$A752,"")</f>
        <v/>
      </c>
    </row>
    <row r="753" customFormat="false" ht="15" hidden="false" customHeight="false" outlineLevel="0" collapsed="false">
      <c r="A753" s="114" t="n">
        <f aca="false">ROW()-4</f>
        <v>749</v>
      </c>
      <c r="B753" s="114" t="str">
        <f aca="false">IF(A753&lt;=Config!$E$27*Config!$E$28,"Tema","Avulso")</f>
        <v>Tema</v>
      </c>
      <c r="C753" s="114" t="n">
        <f aca="false">IF(B753="Tema",INT((A753-1)/Config!$E$28)+1,A753-Config!$E$27*Config!$E$28)</f>
        <v>125</v>
      </c>
      <c r="D753" s="114" t="n">
        <f aca="false">IF(B753="Tema",MOD(A753-1,Config!$E$28)+1,"")</f>
        <v>5</v>
      </c>
      <c r="E753" s="115" t="str">
        <f aca="false">IF($B753="Tema",IF(ISNUMBER(INDEX(Temas!$E$6:$P$305,$C753,2*$D753-1)),INDEX(Temas!$E$6:$P$305,$C753,2*$D753-1),""),IF(ISNUMBER(INDEX(Avulsos!$B$6:$B$205,$C753)),INDEX(Avulsos!$B$6:$B$205,$C753),""))</f>
        <v/>
      </c>
      <c r="F753" s="114" t="str">
        <f aca="false">IF($E753="","",IF($B753="Tema",INDEX(Temas!$B$6:$B$305,$C753)&amp;"",INDEX(Avulsos!$C$6:$C$205,$C753)&amp;""))</f>
        <v/>
      </c>
      <c r="G753" s="114" t="str">
        <f aca="false">IF($E753="","",IF($B753="Tema",INDEX(Config!$C$6:$C$11,$D753),"Evento avulso"))</f>
        <v/>
      </c>
      <c r="H753" s="114" t="str">
        <f aca="false">IF($E753="","",IF($B753="Tema",INDEX(Config!$D$6:$D$11,$D753),IFERROR(INDEX(Config!$E$15:$E$19,MATCH($I753,Config!$C$15:$C$19,0)),"•")))</f>
        <v/>
      </c>
      <c r="I753" s="114" t="str">
        <f aca="false">IF($E753="","",IF($B753="Tema",INDEX(Config!$E$6:$E$11,$D753),IF(INDEX(Avulsos!$D$6:$D$205,$C753)&amp;""="","Outro",INDEX(Avulsos!$D$6:$D$205,$C753))))</f>
        <v/>
      </c>
      <c r="J753" s="114" t="str">
        <f aca="false">IF($E753="","",IF($B753="Tema",INDEX(Temas!$C$6:$C$305,$C753)&amp;"",INDEX(Avulsos!$E$6:$E$205,$C753)&amp;""))</f>
        <v/>
      </c>
      <c r="K753" s="114" t="str">
        <f aca="false">IF($E753="","",IF(IF($B753="Tema",INDEX(Temas!$E$6:$P$305,$C753,2*$D753),INDEX(Avulsos!$F$6:$F$205,$C753))&amp;""="","","✓"))</f>
        <v/>
      </c>
      <c r="L753" s="114" t="str">
        <f aca="true">IF($E753="","",IF($K753="✓","Concluído",IF($E753&lt;TODAY(),"Atrasado",IF($E753=TODAY(),"Hoje","Pendente"))))</f>
        <v/>
      </c>
      <c r="M753" s="114" t="str">
        <f aca="false">IF($E753="","",IF($K753="✓","✓ ","")&amp;IF(Config!$E$22="Sim",$H753&amp;" · ","")&amp;$F753)</f>
        <v/>
      </c>
      <c r="N753" s="114" t="str">
        <f aca="false">IF($E753="","",IFERROR(INDEX(Config!$D$15:$D$19,MATCH($I753,Config!$C$15:$C$19,0)),"OUT")&amp;IF($K753="✓","x",""))</f>
        <v/>
      </c>
      <c r="O753" s="114" t="str">
        <f aca="false">IF($E753="","",COUNTIF($E$5:$E753,$E753))</f>
        <v/>
      </c>
      <c r="P753" s="114" t="str">
        <f aca="false">IF($E753="","",$E753*100+$O753)</f>
        <v/>
      </c>
      <c r="Q753" s="114" t="str">
        <f aca="false">IF($L753="Atrasado",$E753*10000+$A753,"")</f>
        <v/>
      </c>
    </row>
    <row r="754" customFormat="false" ht="15" hidden="false" customHeight="false" outlineLevel="0" collapsed="false">
      <c r="A754" s="114" t="n">
        <f aca="false">ROW()-4</f>
        <v>750</v>
      </c>
      <c r="B754" s="114" t="str">
        <f aca="false">IF(A754&lt;=Config!$E$27*Config!$E$28,"Tema","Avulso")</f>
        <v>Tema</v>
      </c>
      <c r="C754" s="114" t="n">
        <f aca="false">IF(B754="Tema",INT((A754-1)/Config!$E$28)+1,A754-Config!$E$27*Config!$E$28)</f>
        <v>125</v>
      </c>
      <c r="D754" s="114" t="n">
        <f aca="false">IF(B754="Tema",MOD(A754-1,Config!$E$28)+1,"")</f>
        <v>6</v>
      </c>
      <c r="E754" s="115" t="str">
        <f aca="false">IF($B754="Tema",IF(ISNUMBER(INDEX(Temas!$E$6:$P$305,$C754,2*$D754-1)),INDEX(Temas!$E$6:$P$305,$C754,2*$D754-1),""),IF(ISNUMBER(INDEX(Avulsos!$B$6:$B$205,$C754)),INDEX(Avulsos!$B$6:$B$205,$C754),""))</f>
        <v/>
      </c>
      <c r="F754" s="114" t="str">
        <f aca="false">IF($E754="","",IF($B754="Tema",INDEX(Temas!$B$6:$B$305,$C754)&amp;"",INDEX(Avulsos!$C$6:$C$205,$C754)&amp;""))</f>
        <v/>
      </c>
      <c r="G754" s="114" t="str">
        <f aca="false">IF($E754="","",IF($B754="Tema",INDEX(Config!$C$6:$C$11,$D754),"Evento avulso"))</f>
        <v/>
      </c>
      <c r="H754" s="114" t="str">
        <f aca="false">IF($E754="","",IF($B754="Tema",INDEX(Config!$D$6:$D$11,$D754),IFERROR(INDEX(Config!$E$15:$E$19,MATCH($I754,Config!$C$15:$C$19,0)),"•")))</f>
        <v/>
      </c>
      <c r="I754" s="114" t="str">
        <f aca="false">IF($E754="","",IF($B754="Tema",INDEX(Config!$E$6:$E$11,$D754),IF(INDEX(Avulsos!$D$6:$D$205,$C754)&amp;""="","Outro",INDEX(Avulsos!$D$6:$D$205,$C754))))</f>
        <v/>
      </c>
      <c r="J754" s="114" t="str">
        <f aca="false">IF($E754="","",IF($B754="Tema",INDEX(Temas!$C$6:$C$305,$C754)&amp;"",INDEX(Avulsos!$E$6:$E$205,$C754)&amp;""))</f>
        <v/>
      </c>
      <c r="K754" s="114" t="str">
        <f aca="false">IF($E754="","",IF(IF($B754="Tema",INDEX(Temas!$E$6:$P$305,$C754,2*$D754),INDEX(Avulsos!$F$6:$F$205,$C754))&amp;""="","","✓"))</f>
        <v/>
      </c>
      <c r="L754" s="114" t="str">
        <f aca="true">IF($E754="","",IF($K754="✓","Concluído",IF($E754&lt;TODAY(),"Atrasado",IF($E754=TODAY(),"Hoje","Pendente"))))</f>
        <v/>
      </c>
      <c r="M754" s="114" t="str">
        <f aca="false">IF($E754="","",IF($K754="✓","✓ ","")&amp;IF(Config!$E$22="Sim",$H754&amp;" · ","")&amp;$F754)</f>
        <v/>
      </c>
      <c r="N754" s="114" t="str">
        <f aca="false">IF($E754="","",IFERROR(INDEX(Config!$D$15:$D$19,MATCH($I754,Config!$C$15:$C$19,0)),"OUT")&amp;IF($K754="✓","x",""))</f>
        <v/>
      </c>
      <c r="O754" s="114" t="str">
        <f aca="false">IF($E754="","",COUNTIF($E$5:$E754,$E754))</f>
        <v/>
      </c>
      <c r="P754" s="114" t="str">
        <f aca="false">IF($E754="","",$E754*100+$O754)</f>
        <v/>
      </c>
      <c r="Q754" s="114" t="str">
        <f aca="false">IF($L754="Atrasado",$E754*10000+$A754,"")</f>
        <v/>
      </c>
    </row>
    <row r="755" customFormat="false" ht="15" hidden="false" customHeight="false" outlineLevel="0" collapsed="false">
      <c r="A755" s="114" t="n">
        <f aca="false">ROW()-4</f>
        <v>751</v>
      </c>
      <c r="B755" s="114" t="str">
        <f aca="false">IF(A755&lt;=Config!$E$27*Config!$E$28,"Tema","Avulso")</f>
        <v>Tema</v>
      </c>
      <c r="C755" s="114" t="n">
        <f aca="false">IF(B755="Tema",INT((A755-1)/Config!$E$28)+1,A755-Config!$E$27*Config!$E$28)</f>
        <v>126</v>
      </c>
      <c r="D755" s="114" t="n">
        <f aca="false">IF(B755="Tema",MOD(A755-1,Config!$E$28)+1,"")</f>
        <v>1</v>
      </c>
      <c r="E755" s="115" t="str">
        <f aca="false">IF($B755="Tema",IF(ISNUMBER(INDEX(Temas!$E$6:$P$305,$C755,2*$D755-1)),INDEX(Temas!$E$6:$P$305,$C755,2*$D755-1),""),IF(ISNUMBER(INDEX(Avulsos!$B$6:$B$205,$C755)),INDEX(Avulsos!$B$6:$B$205,$C755),""))</f>
        <v/>
      </c>
      <c r="F755" s="114" t="str">
        <f aca="false">IF($E755="","",IF($B755="Tema",INDEX(Temas!$B$6:$B$305,$C755)&amp;"",INDEX(Avulsos!$C$6:$C$205,$C755)&amp;""))</f>
        <v/>
      </c>
      <c r="G755" s="114" t="str">
        <f aca="false">IF($E755="","",IF($B755="Tema",INDEX(Config!$C$6:$C$11,$D755),"Evento avulso"))</f>
        <v/>
      </c>
      <c r="H755" s="114" t="str">
        <f aca="false">IF($E755="","",IF($B755="Tema",INDEX(Config!$D$6:$D$11,$D755),IFERROR(INDEX(Config!$E$15:$E$19,MATCH($I755,Config!$C$15:$C$19,0)),"•")))</f>
        <v/>
      </c>
      <c r="I755" s="114" t="str">
        <f aca="false">IF($E755="","",IF($B755="Tema",INDEX(Config!$E$6:$E$11,$D755),IF(INDEX(Avulsos!$D$6:$D$205,$C755)&amp;""="","Outro",INDEX(Avulsos!$D$6:$D$205,$C755))))</f>
        <v/>
      </c>
      <c r="J755" s="114" t="str">
        <f aca="false">IF($E755="","",IF($B755="Tema",INDEX(Temas!$C$6:$C$305,$C755)&amp;"",INDEX(Avulsos!$E$6:$E$205,$C755)&amp;""))</f>
        <v/>
      </c>
      <c r="K755" s="114" t="str">
        <f aca="false">IF($E755="","",IF(IF($B755="Tema",INDEX(Temas!$E$6:$P$305,$C755,2*$D755),INDEX(Avulsos!$F$6:$F$205,$C755))&amp;""="","","✓"))</f>
        <v/>
      </c>
      <c r="L755" s="114" t="str">
        <f aca="true">IF($E755="","",IF($K755="✓","Concluído",IF($E755&lt;TODAY(),"Atrasado",IF($E755=TODAY(),"Hoje","Pendente"))))</f>
        <v/>
      </c>
      <c r="M755" s="114" t="str">
        <f aca="false">IF($E755="","",IF($K755="✓","✓ ","")&amp;IF(Config!$E$22="Sim",$H755&amp;" · ","")&amp;$F755)</f>
        <v/>
      </c>
      <c r="N755" s="114" t="str">
        <f aca="false">IF($E755="","",IFERROR(INDEX(Config!$D$15:$D$19,MATCH($I755,Config!$C$15:$C$19,0)),"OUT")&amp;IF($K755="✓","x",""))</f>
        <v/>
      </c>
      <c r="O755" s="114" t="str">
        <f aca="false">IF($E755="","",COUNTIF($E$5:$E755,$E755))</f>
        <v/>
      </c>
      <c r="P755" s="114" t="str">
        <f aca="false">IF($E755="","",$E755*100+$O755)</f>
        <v/>
      </c>
      <c r="Q755" s="114" t="str">
        <f aca="false">IF($L755="Atrasado",$E755*10000+$A755,"")</f>
        <v/>
      </c>
    </row>
    <row r="756" customFormat="false" ht="15" hidden="false" customHeight="false" outlineLevel="0" collapsed="false">
      <c r="A756" s="114" t="n">
        <f aca="false">ROW()-4</f>
        <v>752</v>
      </c>
      <c r="B756" s="114" t="str">
        <f aca="false">IF(A756&lt;=Config!$E$27*Config!$E$28,"Tema","Avulso")</f>
        <v>Tema</v>
      </c>
      <c r="C756" s="114" t="n">
        <f aca="false">IF(B756="Tema",INT((A756-1)/Config!$E$28)+1,A756-Config!$E$27*Config!$E$28)</f>
        <v>126</v>
      </c>
      <c r="D756" s="114" t="n">
        <f aca="false">IF(B756="Tema",MOD(A756-1,Config!$E$28)+1,"")</f>
        <v>2</v>
      </c>
      <c r="E756" s="115" t="str">
        <f aca="false">IF($B756="Tema",IF(ISNUMBER(INDEX(Temas!$E$6:$P$305,$C756,2*$D756-1)),INDEX(Temas!$E$6:$P$305,$C756,2*$D756-1),""),IF(ISNUMBER(INDEX(Avulsos!$B$6:$B$205,$C756)),INDEX(Avulsos!$B$6:$B$205,$C756),""))</f>
        <v/>
      </c>
      <c r="F756" s="114" t="str">
        <f aca="false">IF($E756="","",IF($B756="Tema",INDEX(Temas!$B$6:$B$305,$C756)&amp;"",INDEX(Avulsos!$C$6:$C$205,$C756)&amp;""))</f>
        <v/>
      </c>
      <c r="G756" s="114" t="str">
        <f aca="false">IF($E756="","",IF($B756="Tema",INDEX(Config!$C$6:$C$11,$D756),"Evento avulso"))</f>
        <v/>
      </c>
      <c r="H756" s="114" t="str">
        <f aca="false">IF($E756="","",IF($B756="Tema",INDEX(Config!$D$6:$D$11,$D756),IFERROR(INDEX(Config!$E$15:$E$19,MATCH($I756,Config!$C$15:$C$19,0)),"•")))</f>
        <v/>
      </c>
      <c r="I756" s="114" t="str">
        <f aca="false">IF($E756="","",IF($B756="Tema",INDEX(Config!$E$6:$E$11,$D756),IF(INDEX(Avulsos!$D$6:$D$205,$C756)&amp;""="","Outro",INDEX(Avulsos!$D$6:$D$205,$C756))))</f>
        <v/>
      </c>
      <c r="J756" s="114" t="str">
        <f aca="false">IF($E756="","",IF($B756="Tema",INDEX(Temas!$C$6:$C$305,$C756)&amp;"",INDEX(Avulsos!$E$6:$E$205,$C756)&amp;""))</f>
        <v/>
      </c>
      <c r="K756" s="114" t="str">
        <f aca="false">IF($E756="","",IF(IF($B756="Tema",INDEX(Temas!$E$6:$P$305,$C756,2*$D756),INDEX(Avulsos!$F$6:$F$205,$C756))&amp;""="","","✓"))</f>
        <v/>
      </c>
      <c r="L756" s="114" t="str">
        <f aca="true">IF($E756="","",IF($K756="✓","Concluído",IF($E756&lt;TODAY(),"Atrasado",IF($E756=TODAY(),"Hoje","Pendente"))))</f>
        <v/>
      </c>
      <c r="M756" s="114" t="str">
        <f aca="false">IF($E756="","",IF($K756="✓","✓ ","")&amp;IF(Config!$E$22="Sim",$H756&amp;" · ","")&amp;$F756)</f>
        <v/>
      </c>
      <c r="N756" s="114" t="str">
        <f aca="false">IF($E756="","",IFERROR(INDEX(Config!$D$15:$D$19,MATCH($I756,Config!$C$15:$C$19,0)),"OUT")&amp;IF($K756="✓","x",""))</f>
        <v/>
      </c>
      <c r="O756" s="114" t="str">
        <f aca="false">IF($E756="","",COUNTIF($E$5:$E756,$E756))</f>
        <v/>
      </c>
      <c r="P756" s="114" t="str">
        <f aca="false">IF($E756="","",$E756*100+$O756)</f>
        <v/>
      </c>
      <c r="Q756" s="114" t="str">
        <f aca="false">IF($L756="Atrasado",$E756*10000+$A756,"")</f>
        <v/>
      </c>
    </row>
    <row r="757" customFormat="false" ht="15" hidden="false" customHeight="false" outlineLevel="0" collapsed="false">
      <c r="A757" s="114" t="n">
        <f aca="false">ROW()-4</f>
        <v>753</v>
      </c>
      <c r="B757" s="114" t="str">
        <f aca="false">IF(A757&lt;=Config!$E$27*Config!$E$28,"Tema","Avulso")</f>
        <v>Tema</v>
      </c>
      <c r="C757" s="114" t="n">
        <f aca="false">IF(B757="Tema",INT((A757-1)/Config!$E$28)+1,A757-Config!$E$27*Config!$E$28)</f>
        <v>126</v>
      </c>
      <c r="D757" s="114" t="n">
        <f aca="false">IF(B757="Tema",MOD(A757-1,Config!$E$28)+1,"")</f>
        <v>3</v>
      </c>
      <c r="E757" s="115" t="str">
        <f aca="false">IF($B757="Tema",IF(ISNUMBER(INDEX(Temas!$E$6:$P$305,$C757,2*$D757-1)),INDEX(Temas!$E$6:$P$305,$C757,2*$D757-1),""),IF(ISNUMBER(INDEX(Avulsos!$B$6:$B$205,$C757)),INDEX(Avulsos!$B$6:$B$205,$C757),""))</f>
        <v/>
      </c>
      <c r="F757" s="114" t="str">
        <f aca="false">IF($E757="","",IF($B757="Tema",INDEX(Temas!$B$6:$B$305,$C757)&amp;"",INDEX(Avulsos!$C$6:$C$205,$C757)&amp;""))</f>
        <v/>
      </c>
      <c r="G757" s="114" t="str">
        <f aca="false">IF($E757="","",IF($B757="Tema",INDEX(Config!$C$6:$C$11,$D757),"Evento avulso"))</f>
        <v/>
      </c>
      <c r="H757" s="114" t="str">
        <f aca="false">IF($E757="","",IF($B757="Tema",INDEX(Config!$D$6:$D$11,$D757),IFERROR(INDEX(Config!$E$15:$E$19,MATCH($I757,Config!$C$15:$C$19,0)),"•")))</f>
        <v/>
      </c>
      <c r="I757" s="114" t="str">
        <f aca="false">IF($E757="","",IF($B757="Tema",INDEX(Config!$E$6:$E$11,$D757),IF(INDEX(Avulsos!$D$6:$D$205,$C757)&amp;""="","Outro",INDEX(Avulsos!$D$6:$D$205,$C757))))</f>
        <v/>
      </c>
      <c r="J757" s="114" t="str">
        <f aca="false">IF($E757="","",IF($B757="Tema",INDEX(Temas!$C$6:$C$305,$C757)&amp;"",INDEX(Avulsos!$E$6:$E$205,$C757)&amp;""))</f>
        <v/>
      </c>
      <c r="K757" s="114" t="str">
        <f aca="false">IF($E757="","",IF(IF($B757="Tema",INDEX(Temas!$E$6:$P$305,$C757,2*$D757),INDEX(Avulsos!$F$6:$F$205,$C757))&amp;""="","","✓"))</f>
        <v/>
      </c>
      <c r="L757" s="114" t="str">
        <f aca="true">IF($E757="","",IF($K757="✓","Concluído",IF($E757&lt;TODAY(),"Atrasado",IF($E757=TODAY(),"Hoje","Pendente"))))</f>
        <v/>
      </c>
      <c r="M757" s="114" t="str">
        <f aca="false">IF($E757="","",IF($K757="✓","✓ ","")&amp;IF(Config!$E$22="Sim",$H757&amp;" · ","")&amp;$F757)</f>
        <v/>
      </c>
      <c r="N757" s="114" t="str">
        <f aca="false">IF($E757="","",IFERROR(INDEX(Config!$D$15:$D$19,MATCH($I757,Config!$C$15:$C$19,0)),"OUT")&amp;IF($K757="✓","x",""))</f>
        <v/>
      </c>
      <c r="O757" s="114" t="str">
        <f aca="false">IF($E757="","",COUNTIF($E$5:$E757,$E757))</f>
        <v/>
      </c>
      <c r="P757" s="114" t="str">
        <f aca="false">IF($E757="","",$E757*100+$O757)</f>
        <v/>
      </c>
      <c r="Q757" s="114" t="str">
        <f aca="false">IF($L757="Atrasado",$E757*10000+$A757,"")</f>
        <v/>
      </c>
    </row>
    <row r="758" customFormat="false" ht="15" hidden="false" customHeight="false" outlineLevel="0" collapsed="false">
      <c r="A758" s="114" t="n">
        <f aca="false">ROW()-4</f>
        <v>754</v>
      </c>
      <c r="B758" s="114" t="str">
        <f aca="false">IF(A758&lt;=Config!$E$27*Config!$E$28,"Tema","Avulso")</f>
        <v>Tema</v>
      </c>
      <c r="C758" s="114" t="n">
        <f aca="false">IF(B758="Tema",INT((A758-1)/Config!$E$28)+1,A758-Config!$E$27*Config!$E$28)</f>
        <v>126</v>
      </c>
      <c r="D758" s="114" t="n">
        <f aca="false">IF(B758="Tema",MOD(A758-1,Config!$E$28)+1,"")</f>
        <v>4</v>
      </c>
      <c r="E758" s="115" t="str">
        <f aca="false">IF($B758="Tema",IF(ISNUMBER(INDEX(Temas!$E$6:$P$305,$C758,2*$D758-1)),INDEX(Temas!$E$6:$P$305,$C758,2*$D758-1),""),IF(ISNUMBER(INDEX(Avulsos!$B$6:$B$205,$C758)),INDEX(Avulsos!$B$6:$B$205,$C758),""))</f>
        <v/>
      </c>
      <c r="F758" s="114" t="str">
        <f aca="false">IF($E758="","",IF($B758="Tema",INDEX(Temas!$B$6:$B$305,$C758)&amp;"",INDEX(Avulsos!$C$6:$C$205,$C758)&amp;""))</f>
        <v/>
      </c>
      <c r="G758" s="114" t="str">
        <f aca="false">IF($E758="","",IF($B758="Tema",INDEX(Config!$C$6:$C$11,$D758),"Evento avulso"))</f>
        <v/>
      </c>
      <c r="H758" s="114" t="str">
        <f aca="false">IF($E758="","",IF($B758="Tema",INDEX(Config!$D$6:$D$11,$D758),IFERROR(INDEX(Config!$E$15:$E$19,MATCH($I758,Config!$C$15:$C$19,0)),"•")))</f>
        <v/>
      </c>
      <c r="I758" s="114" t="str">
        <f aca="false">IF($E758="","",IF($B758="Tema",INDEX(Config!$E$6:$E$11,$D758),IF(INDEX(Avulsos!$D$6:$D$205,$C758)&amp;""="","Outro",INDEX(Avulsos!$D$6:$D$205,$C758))))</f>
        <v/>
      </c>
      <c r="J758" s="114" t="str">
        <f aca="false">IF($E758="","",IF($B758="Tema",INDEX(Temas!$C$6:$C$305,$C758)&amp;"",INDEX(Avulsos!$E$6:$E$205,$C758)&amp;""))</f>
        <v/>
      </c>
      <c r="K758" s="114" t="str">
        <f aca="false">IF($E758="","",IF(IF($B758="Tema",INDEX(Temas!$E$6:$P$305,$C758,2*$D758),INDEX(Avulsos!$F$6:$F$205,$C758))&amp;""="","","✓"))</f>
        <v/>
      </c>
      <c r="L758" s="114" t="str">
        <f aca="true">IF($E758="","",IF($K758="✓","Concluído",IF($E758&lt;TODAY(),"Atrasado",IF($E758=TODAY(),"Hoje","Pendente"))))</f>
        <v/>
      </c>
      <c r="M758" s="114" t="str">
        <f aca="false">IF($E758="","",IF($K758="✓","✓ ","")&amp;IF(Config!$E$22="Sim",$H758&amp;" · ","")&amp;$F758)</f>
        <v/>
      </c>
      <c r="N758" s="114" t="str">
        <f aca="false">IF($E758="","",IFERROR(INDEX(Config!$D$15:$D$19,MATCH($I758,Config!$C$15:$C$19,0)),"OUT")&amp;IF($K758="✓","x",""))</f>
        <v/>
      </c>
      <c r="O758" s="114" t="str">
        <f aca="false">IF($E758="","",COUNTIF($E$5:$E758,$E758))</f>
        <v/>
      </c>
      <c r="P758" s="114" t="str">
        <f aca="false">IF($E758="","",$E758*100+$O758)</f>
        <v/>
      </c>
      <c r="Q758" s="114" t="str">
        <f aca="false">IF($L758="Atrasado",$E758*10000+$A758,"")</f>
        <v/>
      </c>
    </row>
    <row r="759" customFormat="false" ht="15" hidden="false" customHeight="false" outlineLevel="0" collapsed="false">
      <c r="A759" s="114" t="n">
        <f aca="false">ROW()-4</f>
        <v>755</v>
      </c>
      <c r="B759" s="114" t="str">
        <f aca="false">IF(A759&lt;=Config!$E$27*Config!$E$28,"Tema","Avulso")</f>
        <v>Tema</v>
      </c>
      <c r="C759" s="114" t="n">
        <f aca="false">IF(B759="Tema",INT((A759-1)/Config!$E$28)+1,A759-Config!$E$27*Config!$E$28)</f>
        <v>126</v>
      </c>
      <c r="D759" s="114" t="n">
        <f aca="false">IF(B759="Tema",MOD(A759-1,Config!$E$28)+1,"")</f>
        <v>5</v>
      </c>
      <c r="E759" s="115" t="str">
        <f aca="false">IF($B759="Tema",IF(ISNUMBER(INDEX(Temas!$E$6:$P$305,$C759,2*$D759-1)),INDEX(Temas!$E$6:$P$305,$C759,2*$D759-1),""),IF(ISNUMBER(INDEX(Avulsos!$B$6:$B$205,$C759)),INDEX(Avulsos!$B$6:$B$205,$C759),""))</f>
        <v/>
      </c>
      <c r="F759" s="114" t="str">
        <f aca="false">IF($E759="","",IF($B759="Tema",INDEX(Temas!$B$6:$B$305,$C759)&amp;"",INDEX(Avulsos!$C$6:$C$205,$C759)&amp;""))</f>
        <v/>
      </c>
      <c r="G759" s="114" t="str">
        <f aca="false">IF($E759="","",IF($B759="Tema",INDEX(Config!$C$6:$C$11,$D759),"Evento avulso"))</f>
        <v/>
      </c>
      <c r="H759" s="114" t="str">
        <f aca="false">IF($E759="","",IF($B759="Tema",INDEX(Config!$D$6:$D$11,$D759),IFERROR(INDEX(Config!$E$15:$E$19,MATCH($I759,Config!$C$15:$C$19,0)),"•")))</f>
        <v/>
      </c>
      <c r="I759" s="114" t="str">
        <f aca="false">IF($E759="","",IF($B759="Tema",INDEX(Config!$E$6:$E$11,$D759),IF(INDEX(Avulsos!$D$6:$D$205,$C759)&amp;""="","Outro",INDEX(Avulsos!$D$6:$D$205,$C759))))</f>
        <v/>
      </c>
      <c r="J759" s="114" t="str">
        <f aca="false">IF($E759="","",IF($B759="Tema",INDEX(Temas!$C$6:$C$305,$C759)&amp;"",INDEX(Avulsos!$E$6:$E$205,$C759)&amp;""))</f>
        <v/>
      </c>
      <c r="K759" s="114" t="str">
        <f aca="false">IF($E759="","",IF(IF($B759="Tema",INDEX(Temas!$E$6:$P$305,$C759,2*$D759),INDEX(Avulsos!$F$6:$F$205,$C759))&amp;""="","","✓"))</f>
        <v/>
      </c>
      <c r="L759" s="114" t="str">
        <f aca="true">IF($E759="","",IF($K759="✓","Concluído",IF($E759&lt;TODAY(),"Atrasado",IF($E759=TODAY(),"Hoje","Pendente"))))</f>
        <v/>
      </c>
      <c r="M759" s="114" t="str">
        <f aca="false">IF($E759="","",IF($K759="✓","✓ ","")&amp;IF(Config!$E$22="Sim",$H759&amp;" · ","")&amp;$F759)</f>
        <v/>
      </c>
      <c r="N759" s="114" t="str">
        <f aca="false">IF($E759="","",IFERROR(INDEX(Config!$D$15:$D$19,MATCH($I759,Config!$C$15:$C$19,0)),"OUT")&amp;IF($K759="✓","x",""))</f>
        <v/>
      </c>
      <c r="O759" s="114" t="str">
        <f aca="false">IF($E759="","",COUNTIF($E$5:$E759,$E759))</f>
        <v/>
      </c>
      <c r="P759" s="114" t="str">
        <f aca="false">IF($E759="","",$E759*100+$O759)</f>
        <v/>
      </c>
      <c r="Q759" s="114" t="str">
        <f aca="false">IF($L759="Atrasado",$E759*10000+$A759,"")</f>
        <v/>
      </c>
    </row>
    <row r="760" customFormat="false" ht="15" hidden="false" customHeight="false" outlineLevel="0" collapsed="false">
      <c r="A760" s="114" t="n">
        <f aca="false">ROW()-4</f>
        <v>756</v>
      </c>
      <c r="B760" s="114" t="str">
        <f aca="false">IF(A760&lt;=Config!$E$27*Config!$E$28,"Tema","Avulso")</f>
        <v>Tema</v>
      </c>
      <c r="C760" s="114" t="n">
        <f aca="false">IF(B760="Tema",INT((A760-1)/Config!$E$28)+1,A760-Config!$E$27*Config!$E$28)</f>
        <v>126</v>
      </c>
      <c r="D760" s="114" t="n">
        <f aca="false">IF(B760="Tema",MOD(A760-1,Config!$E$28)+1,"")</f>
        <v>6</v>
      </c>
      <c r="E760" s="115" t="str">
        <f aca="false">IF($B760="Tema",IF(ISNUMBER(INDEX(Temas!$E$6:$P$305,$C760,2*$D760-1)),INDEX(Temas!$E$6:$P$305,$C760,2*$D760-1),""),IF(ISNUMBER(INDEX(Avulsos!$B$6:$B$205,$C760)),INDEX(Avulsos!$B$6:$B$205,$C760),""))</f>
        <v/>
      </c>
      <c r="F760" s="114" t="str">
        <f aca="false">IF($E760="","",IF($B760="Tema",INDEX(Temas!$B$6:$B$305,$C760)&amp;"",INDEX(Avulsos!$C$6:$C$205,$C760)&amp;""))</f>
        <v/>
      </c>
      <c r="G760" s="114" t="str">
        <f aca="false">IF($E760="","",IF($B760="Tema",INDEX(Config!$C$6:$C$11,$D760),"Evento avulso"))</f>
        <v/>
      </c>
      <c r="H760" s="114" t="str">
        <f aca="false">IF($E760="","",IF($B760="Tema",INDEX(Config!$D$6:$D$11,$D760),IFERROR(INDEX(Config!$E$15:$E$19,MATCH($I760,Config!$C$15:$C$19,0)),"•")))</f>
        <v/>
      </c>
      <c r="I760" s="114" t="str">
        <f aca="false">IF($E760="","",IF($B760="Tema",INDEX(Config!$E$6:$E$11,$D760),IF(INDEX(Avulsos!$D$6:$D$205,$C760)&amp;""="","Outro",INDEX(Avulsos!$D$6:$D$205,$C760))))</f>
        <v/>
      </c>
      <c r="J760" s="114" t="str">
        <f aca="false">IF($E760="","",IF($B760="Tema",INDEX(Temas!$C$6:$C$305,$C760)&amp;"",INDEX(Avulsos!$E$6:$E$205,$C760)&amp;""))</f>
        <v/>
      </c>
      <c r="K760" s="114" t="str">
        <f aca="false">IF($E760="","",IF(IF($B760="Tema",INDEX(Temas!$E$6:$P$305,$C760,2*$D760),INDEX(Avulsos!$F$6:$F$205,$C760))&amp;""="","","✓"))</f>
        <v/>
      </c>
      <c r="L760" s="114" t="str">
        <f aca="true">IF($E760="","",IF($K760="✓","Concluído",IF($E760&lt;TODAY(),"Atrasado",IF($E760=TODAY(),"Hoje","Pendente"))))</f>
        <v/>
      </c>
      <c r="M760" s="114" t="str">
        <f aca="false">IF($E760="","",IF($K760="✓","✓ ","")&amp;IF(Config!$E$22="Sim",$H760&amp;" · ","")&amp;$F760)</f>
        <v/>
      </c>
      <c r="N760" s="114" t="str">
        <f aca="false">IF($E760="","",IFERROR(INDEX(Config!$D$15:$D$19,MATCH($I760,Config!$C$15:$C$19,0)),"OUT")&amp;IF($K760="✓","x",""))</f>
        <v/>
      </c>
      <c r="O760" s="114" t="str">
        <f aca="false">IF($E760="","",COUNTIF($E$5:$E760,$E760))</f>
        <v/>
      </c>
      <c r="P760" s="114" t="str">
        <f aca="false">IF($E760="","",$E760*100+$O760)</f>
        <v/>
      </c>
      <c r="Q760" s="114" t="str">
        <f aca="false">IF($L760="Atrasado",$E760*10000+$A760,"")</f>
        <v/>
      </c>
    </row>
    <row r="761" customFormat="false" ht="15" hidden="false" customHeight="false" outlineLevel="0" collapsed="false">
      <c r="A761" s="114" t="n">
        <f aca="false">ROW()-4</f>
        <v>757</v>
      </c>
      <c r="B761" s="114" t="str">
        <f aca="false">IF(A761&lt;=Config!$E$27*Config!$E$28,"Tema","Avulso")</f>
        <v>Tema</v>
      </c>
      <c r="C761" s="114" t="n">
        <f aca="false">IF(B761="Tema",INT((A761-1)/Config!$E$28)+1,A761-Config!$E$27*Config!$E$28)</f>
        <v>127</v>
      </c>
      <c r="D761" s="114" t="n">
        <f aca="false">IF(B761="Tema",MOD(A761-1,Config!$E$28)+1,"")</f>
        <v>1</v>
      </c>
      <c r="E761" s="115" t="str">
        <f aca="false">IF($B761="Tema",IF(ISNUMBER(INDEX(Temas!$E$6:$P$305,$C761,2*$D761-1)),INDEX(Temas!$E$6:$P$305,$C761,2*$D761-1),""),IF(ISNUMBER(INDEX(Avulsos!$B$6:$B$205,$C761)),INDEX(Avulsos!$B$6:$B$205,$C761),""))</f>
        <v/>
      </c>
      <c r="F761" s="114" t="str">
        <f aca="false">IF($E761="","",IF($B761="Tema",INDEX(Temas!$B$6:$B$305,$C761)&amp;"",INDEX(Avulsos!$C$6:$C$205,$C761)&amp;""))</f>
        <v/>
      </c>
      <c r="G761" s="114" t="str">
        <f aca="false">IF($E761="","",IF($B761="Tema",INDEX(Config!$C$6:$C$11,$D761),"Evento avulso"))</f>
        <v/>
      </c>
      <c r="H761" s="114" t="str">
        <f aca="false">IF($E761="","",IF($B761="Tema",INDEX(Config!$D$6:$D$11,$D761),IFERROR(INDEX(Config!$E$15:$E$19,MATCH($I761,Config!$C$15:$C$19,0)),"•")))</f>
        <v/>
      </c>
      <c r="I761" s="114" t="str">
        <f aca="false">IF($E761="","",IF($B761="Tema",INDEX(Config!$E$6:$E$11,$D761),IF(INDEX(Avulsos!$D$6:$D$205,$C761)&amp;""="","Outro",INDEX(Avulsos!$D$6:$D$205,$C761))))</f>
        <v/>
      </c>
      <c r="J761" s="114" t="str">
        <f aca="false">IF($E761="","",IF($B761="Tema",INDEX(Temas!$C$6:$C$305,$C761)&amp;"",INDEX(Avulsos!$E$6:$E$205,$C761)&amp;""))</f>
        <v/>
      </c>
      <c r="K761" s="114" t="str">
        <f aca="false">IF($E761="","",IF(IF($B761="Tema",INDEX(Temas!$E$6:$P$305,$C761,2*$D761),INDEX(Avulsos!$F$6:$F$205,$C761))&amp;""="","","✓"))</f>
        <v/>
      </c>
      <c r="L761" s="114" t="str">
        <f aca="true">IF($E761="","",IF($K761="✓","Concluído",IF($E761&lt;TODAY(),"Atrasado",IF($E761=TODAY(),"Hoje","Pendente"))))</f>
        <v/>
      </c>
      <c r="M761" s="114" t="str">
        <f aca="false">IF($E761="","",IF($K761="✓","✓ ","")&amp;IF(Config!$E$22="Sim",$H761&amp;" · ","")&amp;$F761)</f>
        <v/>
      </c>
      <c r="N761" s="114" t="str">
        <f aca="false">IF($E761="","",IFERROR(INDEX(Config!$D$15:$D$19,MATCH($I761,Config!$C$15:$C$19,0)),"OUT")&amp;IF($K761="✓","x",""))</f>
        <v/>
      </c>
      <c r="O761" s="114" t="str">
        <f aca="false">IF($E761="","",COUNTIF($E$5:$E761,$E761))</f>
        <v/>
      </c>
      <c r="P761" s="114" t="str">
        <f aca="false">IF($E761="","",$E761*100+$O761)</f>
        <v/>
      </c>
      <c r="Q761" s="114" t="str">
        <f aca="false">IF($L761="Atrasado",$E761*10000+$A761,"")</f>
        <v/>
      </c>
    </row>
    <row r="762" customFormat="false" ht="15" hidden="false" customHeight="false" outlineLevel="0" collapsed="false">
      <c r="A762" s="114" t="n">
        <f aca="false">ROW()-4</f>
        <v>758</v>
      </c>
      <c r="B762" s="114" t="str">
        <f aca="false">IF(A762&lt;=Config!$E$27*Config!$E$28,"Tema","Avulso")</f>
        <v>Tema</v>
      </c>
      <c r="C762" s="114" t="n">
        <f aca="false">IF(B762="Tema",INT((A762-1)/Config!$E$28)+1,A762-Config!$E$27*Config!$E$28)</f>
        <v>127</v>
      </c>
      <c r="D762" s="114" t="n">
        <f aca="false">IF(B762="Tema",MOD(A762-1,Config!$E$28)+1,"")</f>
        <v>2</v>
      </c>
      <c r="E762" s="115" t="str">
        <f aca="false">IF($B762="Tema",IF(ISNUMBER(INDEX(Temas!$E$6:$P$305,$C762,2*$D762-1)),INDEX(Temas!$E$6:$P$305,$C762,2*$D762-1),""),IF(ISNUMBER(INDEX(Avulsos!$B$6:$B$205,$C762)),INDEX(Avulsos!$B$6:$B$205,$C762),""))</f>
        <v/>
      </c>
      <c r="F762" s="114" t="str">
        <f aca="false">IF($E762="","",IF($B762="Tema",INDEX(Temas!$B$6:$B$305,$C762)&amp;"",INDEX(Avulsos!$C$6:$C$205,$C762)&amp;""))</f>
        <v/>
      </c>
      <c r="G762" s="114" t="str">
        <f aca="false">IF($E762="","",IF($B762="Tema",INDEX(Config!$C$6:$C$11,$D762),"Evento avulso"))</f>
        <v/>
      </c>
      <c r="H762" s="114" t="str">
        <f aca="false">IF($E762="","",IF($B762="Tema",INDEX(Config!$D$6:$D$11,$D762),IFERROR(INDEX(Config!$E$15:$E$19,MATCH($I762,Config!$C$15:$C$19,0)),"•")))</f>
        <v/>
      </c>
      <c r="I762" s="114" t="str">
        <f aca="false">IF($E762="","",IF($B762="Tema",INDEX(Config!$E$6:$E$11,$D762),IF(INDEX(Avulsos!$D$6:$D$205,$C762)&amp;""="","Outro",INDEX(Avulsos!$D$6:$D$205,$C762))))</f>
        <v/>
      </c>
      <c r="J762" s="114" t="str">
        <f aca="false">IF($E762="","",IF($B762="Tema",INDEX(Temas!$C$6:$C$305,$C762)&amp;"",INDEX(Avulsos!$E$6:$E$205,$C762)&amp;""))</f>
        <v/>
      </c>
      <c r="K762" s="114" t="str">
        <f aca="false">IF($E762="","",IF(IF($B762="Tema",INDEX(Temas!$E$6:$P$305,$C762,2*$D762),INDEX(Avulsos!$F$6:$F$205,$C762))&amp;""="","","✓"))</f>
        <v/>
      </c>
      <c r="L762" s="114" t="str">
        <f aca="true">IF($E762="","",IF($K762="✓","Concluído",IF($E762&lt;TODAY(),"Atrasado",IF($E762=TODAY(),"Hoje","Pendente"))))</f>
        <v/>
      </c>
      <c r="M762" s="114" t="str">
        <f aca="false">IF($E762="","",IF($K762="✓","✓ ","")&amp;IF(Config!$E$22="Sim",$H762&amp;" · ","")&amp;$F762)</f>
        <v/>
      </c>
      <c r="N762" s="114" t="str">
        <f aca="false">IF($E762="","",IFERROR(INDEX(Config!$D$15:$D$19,MATCH($I762,Config!$C$15:$C$19,0)),"OUT")&amp;IF($K762="✓","x",""))</f>
        <v/>
      </c>
      <c r="O762" s="114" t="str">
        <f aca="false">IF($E762="","",COUNTIF($E$5:$E762,$E762))</f>
        <v/>
      </c>
      <c r="P762" s="114" t="str">
        <f aca="false">IF($E762="","",$E762*100+$O762)</f>
        <v/>
      </c>
      <c r="Q762" s="114" t="str">
        <f aca="false">IF($L762="Atrasado",$E762*10000+$A762,"")</f>
        <v/>
      </c>
    </row>
    <row r="763" customFormat="false" ht="15" hidden="false" customHeight="false" outlineLevel="0" collapsed="false">
      <c r="A763" s="114" t="n">
        <f aca="false">ROW()-4</f>
        <v>759</v>
      </c>
      <c r="B763" s="114" t="str">
        <f aca="false">IF(A763&lt;=Config!$E$27*Config!$E$28,"Tema","Avulso")</f>
        <v>Tema</v>
      </c>
      <c r="C763" s="114" t="n">
        <f aca="false">IF(B763="Tema",INT((A763-1)/Config!$E$28)+1,A763-Config!$E$27*Config!$E$28)</f>
        <v>127</v>
      </c>
      <c r="D763" s="114" t="n">
        <f aca="false">IF(B763="Tema",MOD(A763-1,Config!$E$28)+1,"")</f>
        <v>3</v>
      </c>
      <c r="E763" s="115" t="str">
        <f aca="false">IF($B763="Tema",IF(ISNUMBER(INDEX(Temas!$E$6:$P$305,$C763,2*$D763-1)),INDEX(Temas!$E$6:$P$305,$C763,2*$D763-1),""),IF(ISNUMBER(INDEX(Avulsos!$B$6:$B$205,$C763)),INDEX(Avulsos!$B$6:$B$205,$C763),""))</f>
        <v/>
      </c>
      <c r="F763" s="114" t="str">
        <f aca="false">IF($E763="","",IF($B763="Tema",INDEX(Temas!$B$6:$B$305,$C763)&amp;"",INDEX(Avulsos!$C$6:$C$205,$C763)&amp;""))</f>
        <v/>
      </c>
      <c r="G763" s="114" t="str">
        <f aca="false">IF($E763="","",IF($B763="Tema",INDEX(Config!$C$6:$C$11,$D763),"Evento avulso"))</f>
        <v/>
      </c>
      <c r="H763" s="114" t="str">
        <f aca="false">IF($E763="","",IF($B763="Tema",INDEX(Config!$D$6:$D$11,$D763),IFERROR(INDEX(Config!$E$15:$E$19,MATCH($I763,Config!$C$15:$C$19,0)),"•")))</f>
        <v/>
      </c>
      <c r="I763" s="114" t="str">
        <f aca="false">IF($E763="","",IF($B763="Tema",INDEX(Config!$E$6:$E$11,$D763),IF(INDEX(Avulsos!$D$6:$D$205,$C763)&amp;""="","Outro",INDEX(Avulsos!$D$6:$D$205,$C763))))</f>
        <v/>
      </c>
      <c r="J763" s="114" t="str">
        <f aca="false">IF($E763="","",IF($B763="Tema",INDEX(Temas!$C$6:$C$305,$C763)&amp;"",INDEX(Avulsos!$E$6:$E$205,$C763)&amp;""))</f>
        <v/>
      </c>
      <c r="K763" s="114" t="str">
        <f aca="false">IF($E763="","",IF(IF($B763="Tema",INDEX(Temas!$E$6:$P$305,$C763,2*$D763),INDEX(Avulsos!$F$6:$F$205,$C763))&amp;""="","","✓"))</f>
        <v/>
      </c>
      <c r="L763" s="114" t="str">
        <f aca="true">IF($E763="","",IF($K763="✓","Concluído",IF($E763&lt;TODAY(),"Atrasado",IF($E763=TODAY(),"Hoje","Pendente"))))</f>
        <v/>
      </c>
      <c r="M763" s="114" t="str">
        <f aca="false">IF($E763="","",IF($K763="✓","✓ ","")&amp;IF(Config!$E$22="Sim",$H763&amp;" · ","")&amp;$F763)</f>
        <v/>
      </c>
      <c r="N763" s="114" t="str">
        <f aca="false">IF($E763="","",IFERROR(INDEX(Config!$D$15:$D$19,MATCH($I763,Config!$C$15:$C$19,0)),"OUT")&amp;IF($K763="✓","x",""))</f>
        <v/>
      </c>
      <c r="O763" s="114" t="str">
        <f aca="false">IF($E763="","",COUNTIF($E$5:$E763,$E763))</f>
        <v/>
      </c>
      <c r="P763" s="114" t="str">
        <f aca="false">IF($E763="","",$E763*100+$O763)</f>
        <v/>
      </c>
      <c r="Q763" s="114" t="str">
        <f aca="false">IF($L763="Atrasado",$E763*10000+$A763,"")</f>
        <v/>
      </c>
    </row>
    <row r="764" customFormat="false" ht="15" hidden="false" customHeight="false" outlineLevel="0" collapsed="false">
      <c r="A764" s="114" t="n">
        <f aca="false">ROW()-4</f>
        <v>760</v>
      </c>
      <c r="B764" s="114" t="str">
        <f aca="false">IF(A764&lt;=Config!$E$27*Config!$E$28,"Tema","Avulso")</f>
        <v>Tema</v>
      </c>
      <c r="C764" s="114" t="n">
        <f aca="false">IF(B764="Tema",INT((A764-1)/Config!$E$28)+1,A764-Config!$E$27*Config!$E$28)</f>
        <v>127</v>
      </c>
      <c r="D764" s="114" t="n">
        <f aca="false">IF(B764="Tema",MOD(A764-1,Config!$E$28)+1,"")</f>
        <v>4</v>
      </c>
      <c r="E764" s="115" t="str">
        <f aca="false">IF($B764="Tema",IF(ISNUMBER(INDEX(Temas!$E$6:$P$305,$C764,2*$D764-1)),INDEX(Temas!$E$6:$P$305,$C764,2*$D764-1),""),IF(ISNUMBER(INDEX(Avulsos!$B$6:$B$205,$C764)),INDEX(Avulsos!$B$6:$B$205,$C764),""))</f>
        <v/>
      </c>
      <c r="F764" s="114" t="str">
        <f aca="false">IF($E764="","",IF($B764="Tema",INDEX(Temas!$B$6:$B$305,$C764)&amp;"",INDEX(Avulsos!$C$6:$C$205,$C764)&amp;""))</f>
        <v/>
      </c>
      <c r="G764" s="114" t="str">
        <f aca="false">IF($E764="","",IF($B764="Tema",INDEX(Config!$C$6:$C$11,$D764),"Evento avulso"))</f>
        <v/>
      </c>
      <c r="H764" s="114" t="str">
        <f aca="false">IF($E764="","",IF($B764="Tema",INDEX(Config!$D$6:$D$11,$D764),IFERROR(INDEX(Config!$E$15:$E$19,MATCH($I764,Config!$C$15:$C$19,0)),"•")))</f>
        <v/>
      </c>
      <c r="I764" s="114" t="str">
        <f aca="false">IF($E764="","",IF($B764="Tema",INDEX(Config!$E$6:$E$11,$D764),IF(INDEX(Avulsos!$D$6:$D$205,$C764)&amp;""="","Outro",INDEX(Avulsos!$D$6:$D$205,$C764))))</f>
        <v/>
      </c>
      <c r="J764" s="114" t="str">
        <f aca="false">IF($E764="","",IF($B764="Tema",INDEX(Temas!$C$6:$C$305,$C764)&amp;"",INDEX(Avulsos!$E$6:$E$205,$C764)&amp;""))</f>
        <v/>
      </c>
      <c r="K764" s="114" t="str">
        <f aca="false">IF($E764="","",IF(IF($B764="Tema",INDEX(Temas!$E$6:$P$305,$C764,2*$D764),INDEX(Avulsos!$F$6:$F$205,$C764))&amp;""="","","✓"))</f>
        <v/>
      </c>
      <c r="L764" s="114" t="str">
        <f aca="true">IF($E764="","",IF($K764="✓","Concluído",IF($E764&lt;TODAY(),"Atrasado",IF($E764=TODAY(),"Hoje","Pendente"))))</f>
        <v/>
      </c>
      <c r="M764" s="114" t="str">
        <f aca="false">IF($E764="","",IF($K764="✓","✓ ","")&amp;IF(Config!$E$22="Sim",$H764&amp;" · ","")&amp;$F764)</f>
        <v/>
      </c>
      <c r="N764" s="114" t="str">
        <f aca="false">IF($E764="","",IFERROR(INDEX(Config!$D$15:$D$19,MATCH($I764,Config!$C$15:$C$19,0)),"OUT")&amp;IF($K764="✓","x",""))</f>
        <v/>
      </c>
      <c r="O764" s="114" t="str">
        <f aca="false">IF($E764="","",COUNTIF($E$5:$E764,$E764))</f>
        <v/>
      </c>
      <c r="P764" s="114" t="str">
        <f aca="false">IF($E764="","",$E764*100+$O764)</f>
        <v/>
      </c>
      <c r="Q764" s="114" t="str">
        <f aca="false">IF($L764="Atrasado",$E764*10000+$A764,"")</f>
        <v/>
      </c>
    </row>
    <row r="765" customFormat="false" ht="15" hidden="false" customHeight="false" outlineLevel="0" collapsed="false">
      <c r="A765" s="114" t="n">
        <f aca="false">ROW()-4</f>
        <v>761</v>
      </c>
      <c r="B765" s="114" t="str">
        <f aca="false">IF(A765&lt;=Config!$E$27*Config!$E$28,"Tema","Avulso")</f>
        <v>Tema</v>
      </c>
      <c r="C765" s="114" t="n">
        <f aca="false">IF(B765="Tema",INT((A765-1)/Config!$E$28)+1,A765-Config!$E$27*Config!$E$28)</f>
        <v>127</v>
      </c>
      <c r="D765" s="114" t="n">
        <f aca="false">IF(B765="Tema",MOD(A765-1,Config!$E$28)+1,"")</f>
        <v>5</v>
      </c>
      <c r="E765" s="115" t="str">
        <f aca="false">IF($B765="Tema",IF(ISNUMBER(INDEX(Temas!$E$6:$P$305,$C765,2*$D765-1)),INDEX(Temas!$E$6:$P$305,$C765,2*$D765-1),""),IF(ISNUMBER(INDEX(Avulsos!$B$6:$B$205,$C765)),INDEX(Avulsos!$B$6:$B$205,$C765),""))</f>
        <v/>
      </c>
      <c r="F765" s="114" t="str">
        <f aca="false">IF($E765="","",IF($B765="Tema",INDEX(Temas!$B$6:$B$305,$C765)&amp;"",INDEX(Avulsos!$C$6:$C$205,$C765)&amp;""))</f>
        <v/>
      </c>
      <c r="G765" s="114" t="str">
        <f aca="false">IF($E765="","",IF($B765="Tema",INDEX(Config!$C$6:$C$11,$D765),"Evento avulso"))</f>
        <v/>
      </c>
      <c r="H765" s="114" t="str">
        <f aca="false">IF($E765="","",IF($B765="Tema",INDEX(Config!$D$6:$D$11,$D765),IFERROR(INDEX(Config!$E$15:$E$19,MATCH($I765,Config!$C$15:$C$19,0)),"•")))</f>
        <v/>
      </c>
      <c r="I765" s="114" t="str">
        <f aca="false">IF($E765="","",IF($B765="Tema",INDEX(Config!$E$6:$E$11,$D765),IF(INDEX(Avulsos!$D$6:$D$205,$C765)&amp;""="","Outro",INDEX(Avulsos!$D$6:$D$205,$C765))))</f>
        <v/>
      </c>
      <c r="J765" s="114" t="str">
        <f aca="false">IF($E765="","",IF($B765="Tema",INDEX(Temas!$C$6:$C$305,$C765)&amp;"",INDEX(Avulsos!$E$6:$E$205,$C765)&amp;""))</f>
        <v/>
      </c>
      <c r="K765" s="114" t="str">
        <f aca="false">IF($E765="","",IF(IF($B765="Tema",INDEX(Temas!$E$6:$P$305,$C765,2*$D765),INDEX(Avulsos!$F$6:$F$205,$C765))&amp;""="","","✓"))</f>
        <v/>
      </c>
      <c r="L765" s="114" t="str">
        <f aca="true">IF($E765="","",IF($K765="✓","Concluído",IF($E765&lt;TODAY(),"Atrasado",IF($E765=TODAY(),"Hoje","Pendente"))))</f>
        <v/>
      </c>
      <c r="M765" s="114" t="str">
        <f aca="false">IF($E765="","",IF($K765="✓","✓ ","")&amp;IF(Config!$E$22="Sim",$H765&amp;" · ","")&amp;$F765)</f>
        <v/>
      </c>
      <c r="N765" s="114" t="str">
        <f aca="false">IF($E765="","",IFERROR(INDEX(Config!$D$15:$D$19,MATCH($I765,Config!$C$15:$C$19,0)),"OUT")&amp;IF($K765="✓","x",""))</f>
        <v/>
      </c>
      <c r="O765" s="114" t="str">
        <f aca="false">IF($E765="","",COUNTIF($E$5:$E765,$E765))</f>
        <v/>
      </c>
      <c r="P765" s="114" t="str">
        <f aca="false">IF($E765="","",$E765*100+$O765)</f>
        <v/>
      </c>
      <c r="Q765" s="114" t="str">
        <f aca="false">IF($L765="Atrasado",$E765*10000+$A765,"")</f>
        <v/>
      </c>
    </row>
    <row r="766" customFormat="false" ht="15" hidden="false" customHeight="false" outlineLevel="0" collapsed="false">
      <c r="A766" s="114" t="n">
        <f aca="false">ROW()-4</f>
        <v>762</v>
      </c>
      <c r="B766" s="114" t="str">
        <f aca="false">IF(A766&lt;=Config!$E$27*Config!$E$28,"Tema","Avulso")</f>
        <v>Tema</v>
      </c>
      <c r="C766" s="114" t="n">
        <f aca="false">IF(B766="Tema",INT((A766-1)/Config!$E$28)+1,A766-Config!$E$27*Config!$E$28)</f>
        <v>127</v>
      </c>
      <c r="D766" s="114" t="n">
        <f aca="false">IF(B766="Tema",MOD(A766-1,Config!$E$28)+1,"")</f>
        <v>6</v>
      </c>
      <c r="E766" s="115" t="str">
        <f aca="false">IF($B766="Tema",IF(ISNUMBER(INDEX(Temas!$E$6:$P$305,$C766,2*$D766-1)),INDEX(Temas!$E$6:$P$305,$C766,2*$D766-1),""),IF(ISNUMBER(INDEX(Avulsos!$B$6:$B$205,$C766)),INDEX(Avulsos!$B$6:$B$205,$C766),""))</f>
        <v/>
      </c>
      <c r="F766" s="114" t="str">
        <f aca="false">IF($E766="","",IF($B766="Tema",INDEX(Temas!$B$6:$B$305,$C766)&amp;"",INDEX(Avulsos!$C$6:$C$205,$C766)&amp;""))</f>
        <v/>
      </c>
      <c r="G766" s="114" t="str">
        <f aca="false">IF($E766="","",IF($B766="Tema",INDEX(Config!$C$6:$C$11,$D766),"Evento avulso"))</f>
        <v/>
      </c>
      <c r="H766" s="114" t="str">
        <f aca="false">IF($E766="","",IF($B766="Tema",INDEX(Config!$D$6:$D$11,$D766),IFERROR(INDEX(Config!$E$15:$E$19,MATCH($I766,Config!$C$15:$C$19,0)),"•")))</f>
        <v/>
      </c>
      <c r="I766" s="114" t="str">
        <f aca="false">IF($E766="","",IF($B766="Tema",INDEX(Config!$E$6:$E$11,$D766),IF(INDEX(Avulsos!$D$6:$D$205,$C766)&amp;""="","Outro",INDEX(Avulsos!$D$6:$D$205,$C766))))</f>
        <v/>
      </c>
      <c r="J766" s="114" t="str">
        <f aca="false">IF($E766="","",IF($B766="Tema",INDEX(Temas!$C$6:$C$305,$C766)&amp;"",INDEX(Avulsos!$E$6:$E$205,$C766)&amp;""))</f>
        <v/>
      </c>
      <c r="K766" s="114" t="str">
        <f aca="false">IF($E766="","",IF(IF($B766="Tema",INDEX(Temas!$E$6:$P$305,$C766,2*$D766),INDEX(Avulsos!$F$6:$F$205,$C766))&amp;""="","","✓"))</f>
        <v/>
      </c>
      <c r="L766" s="114" t="str">
        <f aca="true">IF($E766="","",IF($K766="✓","Concluído",IF($E766&lt;TODAY(),"Atrasado",IF($E766=TODAY(),"Hoje","Pendente"))))</f>
        <v/>
      </c>
      <c r="M766" s="114" t="str">
        <f aca="false">IF($E766="","",IF($K766="✓","✓ ","")&amp;IF(Config!$E$22="Sim",$H766&amp;" · ","")&amp;$F766)</f>
        <v/>
      </c>
      <c r="N766" s="114" t="str">
        <f aca="false">IF($E766="","",IFERROR(INDEX(Config!$D$15:$D$19,MATCH($I766,Config!$C$15:$C$19,0)),"OUT")&amp;IF($K766="✓","x",""))</f>
        <v/>
      </c>
      <c r="O766" s="114" t="str">
        <f aca="false">IF($E766="","",COUNTIF($E$5:$E766,$E766))</f>
        <v/>
      </c>
      <c r="P766" s="114" t="str">
        <f aca="false">IF($E766="","",$E766*100+$O766)</f>
        <v/>
      </c>
      <c r="Q766" s="114" t="str">
        <f aca="false">IF($L766="Atrasado",$E766*10000+$A766,"")</f>
        <v/>
      </c>
    </row>
    <row r="767" customFormat="false" ht="15" hidden="false" customHeight="false" outlineLevel="0" collapsed="false">
      <c r="A767" s="114" t="n">
        <f aca="false">ROW()-4</f>
        <v>763</v>
      </c>
      <c r="B767" s="114" t="str">
        <f aca="false">IF(A767&lt;=Config!$E$27*Config!$E$28,"Tema","Avulso")</f>
        <v>Tema</v>
      </c>
      <c r="C767" s="114" t="n">
        <f aca="false">IF(B767="Tema",INT((A767-1)/Config!$E$28)+1,A767-Config!$E$27*Config!$E$28)</f>
        <v>128</v>
      </c>
      <c r="D767" s="114" t="n">
        <f aca="false">IF(B767="Tema",MOD(A767-1,Config!$E$28)+1,"")</f>
        <v>1</v>
      </c>
      <c r="E767" s="115" t="str">
        <f aca="false">IF($B767="Tema",IF(ISNUMBER(INDEX(Temas!$E$6:$P$305,$C767,2*$D767-1)),INDEX(Temas!$E$6:$P$305,$C767,2*$D767-1),""),IF(ISNUMBER(INDEX(Avulsos!$B$6:$B$205,$C767)),INDEX(Avulsos!$B$6:$B$205,$C767),""))</f>
        <v/>
      </c>
      <c r="F767" s="114" t="str">
        <f aca="false">IF($E767="","",IF($B767="Tema",INDEX(Temas!$B$6:$B$305,$C767)&amp;"",INDEX(Avulsos!$C$6:$C$205,$C767)&amp;""))</f>
        <v/>
      </c>
      <c r="G767" s="114" t="str">
        <f aca="false">IF($E767="","",IF($B767="Tema",INDEX(Config!$C$6:$C$11,$D767),"Evento avulso"))</f>
        <v/>
      </c>
      <c r="H767" s="114" t="str">
        <f aca="false">IF($E767="","",IF($B767="Tema",INDEX(Config!$D$6:$D$11,$D767),IFERROR(INDEX(Config!$E$15:$E$19,MATCH($I767,Config!$C$15:$C$19,0)),"•")))</f>
        <v/>
      </c>
      <c r="I767" s="114" t="str">
        <f aca="false">IF($E767="","",IF($B767="Tema",INDEX(Config!$E$6:$E$11,$D767),IF(INDEX(Avulsos!$D$6:$D$205,$C767)&amp;""="","Outro",INDEX(Avulsos!$D$6:$D$205,$C767))))</f>
        <v/>
      </c>
      <c r="J767" s="114" t="str">
        <f aca="false">IF($E767="","",IF($B767="Tema",INDEX(Temas!$C$6:$C$305,$C767)&amp;"",INDEX(Avulsos!$E$6:$E$205,$C767)&amp;""))</f>
        <v/>
      </c>
      <c r="K767" s="114" t="str">
        <f aca="false">IF($E767="","",IF(IF($B767="Tema",INDEX(Temas!$E$6:$P$305,$C767,2*$D767),INDEX(Avulsos!$F$6:$F$205,$C767))&amp;""="","","✓"))</f>
        <v/>
      </c>
      <c r="L767" s="114" t="str">
        <f aca="true">IF($E767="","",IF($K767="✓","Concluído",IF($E767&lt;TODAY(),"Atrasado",IF($E767=TODAY(),"Hoje","Pendente"))))</f>
        <v/>
      </c>
      <c r="M767" s="114" t="str">
        <f aca="false">IF($E767="","",IF($K767="✓","✓ ","")&amp;IF(Config!$E$22="Sim",$H767&amp;" · ","")&amp;$F767)</f>
        <v/>
      </c>
      <c r="N767" s="114" t="str">
        <f aca="false">IF($E767="","",IFERROR(INDEX(Config!$D$15:$D$19,MATCH($I767,Config!$C$15:$C$19,0)),"OUT")&amp;IF($K767="✓","x",""))</f>
        <v/>
      </c>
      <c r="O767" s="114" t="str">
        <f aca="false">IF($E767="","",COUNTIF($E$5:$E767,$E767))</f>
        <v/>
      </c>
      <c r="P767" s="114" t="str">
        <f aca="false">IF($E767="","",$E767*100+$O767)</f>
        <v/>
      </c>
      <c r="Q767" s="114" t="str">
        <f aca="false">IF($L767="Atrasado",$E767*10000+$A767,"")</f>
        <v/>
      </c>
    </row>
    <row r="768" customFormat="false" ht="15" hidden="false" customHeight="false" outlineLevel="0" collapsed="false">
      <c r="A768" s="114" t="n">
        <f aca="false">ROW()-4</f>
        <v>764</v>
      </c>
      <c r="B768" s="114" t="str">
        <f aca="false">IF(A768&lt;=Config!$E$27*Config!$E$28,"Tema","Avulso")</f>
        <v>Tema</v>
      </c>
      <c r="C768" s="114" t="n">
        <f aca="false">IF(B768="Tema",INT((A768-1)/Config!$E$28)+1,A768-Config!$E$27*Config!$E$28)</f>
        <v>128</v>
      </c>
      <c r="D768" s="114" t="n">
        <f aca="false">IF(B768="Tema",MOD(A768-1,Config!$E$28)+1,"")</f>
        <v>2</v>
      </c>
      <c r="E768" s="115" t="str">
        <f aca="false">IF($B768="Tema",IF(ISNUMBER(INDEX(Temas!$E$6:$P$305,$C768,2*$D768-1)),INDEX(Temas!$E$6:$P$305,$C768,2*$D768-1),""),IF(ISNUMBER(INDEX(Avulsos!$B$6:$B$205,$C768)),INDEX(Avulsos!$B$6:$B$205,$C768),""))</f>
        <v/>
      </c>
      <c r="F768" s="114" t="str">
        <f aca="false">IF($E768="","",IF($B768="Tema",INDEX(Temas!$B$6:$B$305,$C768)&amp;"",INDEX(Avulsos!$C$6:$C$205,$C768)&amp;""))</f>
        <v/>
      </c>
      <c r="G768" s="114" t="str">
        <f aca="false">IF($E768="","",IF($B768="Tema",INDEX(Config!$C$6:$C$11,$D768),"Evento avulso"))</f>
        <v/>
      </c>
      <c r="H768" s="114" t="str">
        <f aca="false">IF($E768="","",IF($B768="Tema",INDEX(Config!$D$6:$D$11,$D768),IFERROR(INDEX(Config!$E$15:$E$19,MATCH($I768,Config!$C$15:$C$19,0)),"•")))</f>
        <v/>
      </c>
      <c r="I768" s="114" t="str">
        <f aca="false">IF($E768="","",IF($B768="Tema",INDEX(Config!$E$6:$E$11,$D768),IF(INDEX(Avulsos!$D$6:$D$205,$C768)&amp;""="","Outro",INDEX(Avulsos!$D$6:$D$205,$C768))))</f>
        <v/>
      </c>
      <c r="J768" s="114" t="str">
        <f aca="false">IF($E768="","",IF($B768="Tema",INDEX(Temas!$C$6:$C$305,$C768)&amp;"",INDEX(Avulsos!$E$6:$E$205,$C768)&amp;""))</f>
        <v/>
      </c>
      <c r="K768" s="114" t="str">
        <f aca="false">IF($E768="","",IF(IF($B768="Tema",INDEX(Temas!$E$6:$P$305,$C768,2*$D768),INDEX(Avulsos!$F$6:$F$205,$C768))&amp;""="","","✓"))</f>
        <v/>
      </c>
      <c r="L768" s="114" t="str">
        <f aca="true">IF($E768="","",IF($K768="✓","Concluído",IF($E768&lt;TODAY(),"Atrasado",IF($E768=TODAY(),"Hoje","Pendente"))))</f>
        <v/>
      </c>
      <c r="M768" s="114" t="str">
        <f aca="false">IF($E768="","",IF($K768="✓","✓ ","")&amp;IF(Config!$E$22="Sim",$H768&amp;" · ","")&amp;$F768)</f>
        <v/>
      </c>
      <c r="N768" s="114" t="str">
        <f aca="false">IF($E768="","",IFERROR(INDEX(Config!$D$15:$D$19,MATCH($I768,Config!$C$15:$C$19,0)),"OUT")&amp;IF($K768="✓","x",""))</f>
        <v/>
      </c>
      <c r="O768" s="114" t="str">
        <f aca="false">IF($E768="","",COUNTIF($E$5:$E768,$E768))</f>
        <v/>
      </c>
      <c r="P768" s="114" t="str">
        <f aca="false">IF($E768="","",$E768*100+$O768)</f>
        <v/>
      </c>
      <c r="Q768" s="114" t="str">
        <f aca="false">IF($L768="Atrasado",$E768*10000+$A768,"")</f>
        <v/>
      </c>
    </row>
    <row r="769" customFormat="false" ht="15" hidden="false" customHeight="false" outlineLevel="0" collapsed="false">
      <c r="A769" s="114" t="n">
        <f aca="false">ROW()-4</f>
        <v>765</v>
      </c>
      <c r="B769" s="114" t="str">
        <f aca="false">IF(A769&lt;=Config!$E$27*Config!$E$28,"Tema","Avulso")</f>
        <v>Tema</v>
      </c>
      <c r="C769" s="114" t="n">
        <f aca="false">IF(B769="Tema",INT((A769-1)/Config!$E$28)+1,A769-Config!$E$27*Config!$E$28)</f>
        <v>128</v>
      </c>
      <c r="D769" s="114" t="n">
        <f aca="false">IF(B769="Tema",MOD(A769-1,Config!$E$28)+1,"")</f>
        <v>3</v>
      </c>
      <c r="E769" s="115" t="str">
        <f aca="false">IF($B769="Tema",IF(ISNUMBER(INDEX(Temas!$E$6:$P$305,$C769,2*$D769-1)),INDEX(Temas!$E$6:$P$305,$C769,2*$D769-1),""),IF(ISNUMBER(INDEX(Avulsos!$B$6:$B$205,$C769)),INDEX(Avulsos!$B$6:$B$205,$C769),""))</f>
        <v/>
      </c>
      <c r="F769" s="114" t="str">
        <f aca="false">IF($E769="","",IF($B769="Tema",INDEX(Temas!$B$6:$B$305,$C769)&amp;"",INDEX(Avulsos!$C$6:$C$205,$C769)&amp;""))</f>
        <v/>
      </c>
      <c r="G769" s="114" t="str">
        <f aca="false">IF($E769="","",IF($B769="Tema",INDEX(Config!$C$6:$C$11,$D769),"Evento avulso"))</f>
        <v/>
      </c>
      <c r="H769" s="114" t="str">
        <f aca="false">IF($E769="","",IF($B769="Tema",INDEX(Config!$D$6:$D$11,$D769),IFERROR(INDEX(Config!$E$15:$E$19,MATCH($I769,Config!$C$15:$C$19,0)),"•")))</f>
        <v/>
      </c>
      <c r="I769" s="114" t="str">
        <f aca="false">IF($E769="","",IF($B769="Tema",INDEX(Config!$E$6:$E$11,$D769),IF(INDEX(Avulsos!$D$6:$D$205,$C769)&amp;""="","Outro",INDEX(Avulsos!$D$6:$D$205,$C769))))</f>
        <v/>
      </c>
      <c r="J769" s="114" t="str">
        <f aca="false">IF($E769="","",IF($B769="Tema",INDEX(Temas!$C$6:$C$305,$C769)&amp;"",INDEX(Avulsos!$E$6:$E$205,$C769)&amp;""))</f>
        <v/>
      </c>
      <c r="K769" s="114" t="str">
        <f aca="false">IF($E769="","",IF(IF($B769="Tema",INDEX(Temas!$E$6:$P$305,$C769,2*$D769),INDEX(Avulsos!$F$6:$F$205,$C769))&amp;""="","","✓"))</f>
        <v/>
      </c>
      <c r="L769" s="114" t="str">
        <f aca="true">IF($E769="","",IF($K769="✓","Concluído",IF($E769&lt;TODAY(),"Atrasado",IF($E769=TODAY(),"Hoje","Pendente"))))</f>
        <v/>
      </c>
      <c r="M769" s="114" t="str">
        <f aca="false">IF($E769="","",IF($K769="✓","✓ ","")&amp;IF(Config!$E$22="Sim",$H769&amp;" · ","")&amp;$F769)</f>
        <v/>
      </c>
      <c r="N769" s="114" t="str">
        <f aca="false">IF($E769="","",IFERROR(INDEX(Config!$D$15:$D$19,MATCH($I769,Config!$C$15:$C$19,0)),"OUT")&amp;IF($K769="✓","x",""))</f>
        <v/>
      </c>
      <c r="O769" s="114" t="str">
        <f aca="false">IF($E769="","",COUNTIF($E$5:$E769,$E769))</f>
        <v/>
      </c>
      <c r="P769" s="114" t="str">
        <f aca="false">IF($E769="","",$E769*100+$O769)</f>
        <v/>
      </c>
      <c r="Q769" s="114" t="str">
        <f aca="false">IF($L769="Atrasado",$E769*10000+$A769,"")</f>
        <v/>
      </c>
    </row>
    <row r="770" customFormat="false" ht="15" hidden="false" customHeight="false" outlineLevel="0" collapsed="false">
      <c r="A770" s="114" t="n">
        <f aca="false">ROW()-4</f>
        <v>766</v>
      </c>
      <c r="B770" s="114" t="str">
        <f aca="false">IF(A770&lt;=Config!$E$27*Config!$E$28,"Tema","Avulso")</f>
        <v>Tema</v>
      </c>
      <c r="C770" s="114" t="n">
        <f aca="false">IF(B770="Tema",INT((A770-1)/Config!$E$28)+1,A770-Config!$E$27*Config!$E$28)</f>
        <v>128</v>
      </c>
      <c r="D770" s="114" t="n">
        <f aca="false">IF(B770="Tema",MOD(A770-1,Config!$E$28)+1,"")</f>
        <v>4</v>
      </c>
      <c r="E770" s="115" t="str">
        <f aca="false">IF($B770="Tema",IF(ISNUMBER(INDEX(Temas!$E$6:$P$305,$C770,2*$D770-1)),INDEX(Temas!$E$6:$P$305,$C770,2*$D770-1),""),IF(ISNUMBER(INDEX(Avulsos!$B$6:$B$205,$C770)),INDEX(Avulsos!$B$6:$B$205,$C770),""))</f>
        <v/>
      </c>
      <c r="F770" s="114" t="str">
        <f aca="false">IF($E770="","",IF($B770="Tema",INDEX(Temas!$B$6:$B$305,$C770)&amp;"",INDEX(Avulsos!$C$6:$C$205,$C770)&amp;""))</f>
        <v/>
      </c>
      <c r="G770" s="114" t="str">
        <f aca="false">IF($E770="","",IF($B770="Tema",INDEX(Config!$C$6:$C$11,$D770),"Evento avulso"))</f>
        <v/>
      </c>
      <c r="H770" s="114" t="str">
        <f aca="false">IF($E770="","",IF($B770="Tema",INDEX(Config!$D$6:$D$11,$D770),IFERROR(INDEX(Config!$E$15:$E$19,MATCH($I770,Config!$C$15:$C$19,0)),"•")))</f>
        <v/>
      </c>
      <c r="I770" s="114" t="str">
        <f aca="false">IF($E770="","",IF($B770="Tema",INDEX(Config!$E$6:$E$11,$D770),IF(INDEX(Avulsos!$D$6:$D$205,$C770)&amp;""="","Outro",INDEX(Avulsos!$D$6:$D$205,$C770))))</f>
        <v/>
      </c>
      <c r="J770" s="114" t="str">
        <f aca="false">IF($E770="","",IF($B770="Tema",INDEX(Temas!$C$6:$C$305,$C770)&amp;"",INDEX(Avulsos!$E$6:$E$205,$C770)&amp;""))</f>
        <v/>
      </c>
      <c r="K770" s="114" t="str">
        <f aca="false">IF($E770="","",IF(IF($B770="Tema",INDEX(Temas!$E$6:$P$305,$C770,2*$D770),INDEX(Avulsos!$F$6:$F$205,$C770))&amp;""="","","✓"))</f>
        <v/>
      </c>
      <c r="L770" s="114" t="str">
        <f aca="true">IF($E770="","",IF($K770="✓","Concluído",IF($E770&lt;TODAY(),"Atrasado",IF($E770=TODAY(),"Hoje","Pendente"))))</f>
        <v/>
      </c>
      <c r="M770" s="114" t="str">
        <f aca="false">IF($E770="","",IF($K770="✓","✓ ","")&amp;IF(Config!$E$22="Sim",$H770&amp;" · ","")&amp;$F770)</f>
        <v/>
      </c>
      <c r="N770" s="114" t="str">
        <f aca="false">IF($E770="","",IFERROR(INDEX(Config!$D$15:$D$19,MATCH($I770,Config!$C$15:$C$19,0)),"OUT")&amp;IF($K770="✓","x",""))</f>
        <v/>
      </c>
      <c r="O770" s="114" t="str">
        <f aca="false">IF($E770="","",COUNTIF($E$5:$E770,$E770))</f>
        <v/>
      </c>
      <c r="P770" s="114" t="str">
        <f aca="false">IF($E770="","",$E770*100+$O770)</f>
        <v/>
      </c>
      <c r="Q770" s="114" t="str">
        <f aca="false">IF($L770="Atrasado",$E770*10000+$A770,"")</f>
        <v/>
      </c>
    </row>
    <row r="771" customFormat="false" ht="15" hidden="false" customHeight="false" outlineLevel="0" collapsed="false">
      <c r="A771" s="114" t="n">
        <f aca="false">ROW()-4</f>
        <v>767</v>
      </c>
      <c r="B771" s="114" t="str">
        <f aca="false">IF(A771&lt;=Config!$E$27*Config!$E$28,"Tema","Avulso")</f>
        <v>Tema</v>
      </c>
      <c r="C771" s="114" t="n">
        <f aca="false">IF(B771="Tema",INT((A771-1)/Config!$E$28)+1,A771-Config!$E$27*Config!$E$28)</f>
        <v>128</v>
      </c>
      <c r="D771" s="114" t="n">
        <f aca="false">IF(B771="Tema",MOD(A771-1,Config!$E$28)+1,"")</f>
        <v>5</v>
      </c>
      <c r="E771" s="115" t="str">
        <f aca="false">IF($B771="Tema",IF(ISNUMBER(INDEX(Temas!$E$6:$P$305,$C771,2*$D771-1)),INDEX(Temas!$E$6:$P$305,$C771,2*$D771-1),""),IF(ISNUMBER(INDEX(Avulsos!$B$6:$B$205,$C771)),INDEX(Avulsos!$B$6:$B$205,$C771),""))</f>
        <v/>
      </c>
      <c r="F771" s="114" t="str">
        <f aca="false">IF($E771="","",IF($B771="Tema",INDEX(Temas!$B$6:$B$305,$C771)&amp;"",INDEX(Avulsos!$C$6:$C$205,$C771)&amp;""))</f>
        <v/>
      </c>
      <c r="G771" s="114" t="str">
        <f aca="false">IF($E771="","",IF($B771="Tema",INDEX(Config!$C$6:$C$11,$D771),"Evento avulso"))</f>
        <v/>
      </c>
      <c r="H771" s="114" t="str">
        <f aca="false">IF($E771="","",IF($B771="Tema",INDEX(Config!$D$6:$D$11,$D771),IFERROR(INDEX(Config!$E$15:$E$19,MATCH($I771,Config!$C$15:$C$19,0)),"•")))</f>
        <v/>
      </c>
      <c r="I771" s="114" t="str">
        <f aca="false">IF($E771="","",IF($B771="Tema",INDEX(Config!$E$6:$E$11,$D771),IF(INDEX(Avulsos!$D$6:$D$205,$C771)&amp;""="","Outro",INDEX(Avulsos!$D$6:$D$205,$C771))))</f>
        <v/>
      </c>
      <c r="J771" s="114" t="str">
        <f aca="false">IF($E771="","",IF($B771="Tema",INDEX(Temas!$C$6:$C$305,$C771)&amp;"",INDEX(Avulsos!$E$6:$E$205,$C771)&amp;""))</f>
        <v/>
      </c>
      <c r="K771" s="114" t="str">
        <f aca="false">IF($E771="","",IF(IF($B771="Tema",INDEX(Temas!$E$6:$P$305,$C771,2*$D771),INDEX(Avulsos!$F$6:$F$205,$C771))&amp;""="","","✓"))</f>
        <v/>
      </c>
      <c r="L771" s="114" t="str">
        <f aca="true">IF($E771="","",IF($K771="✓","Concluído",IF($E771&lt;TODAY(),"Atrasado",IF($E771=TODAY(),"Hoje","Pendente"))))</f>
        <v/>
      </c>
      <c r="M771" s="114" t="str">
        <f aca="false">IF($E771="","",IF($K771="✓","✓ ","")&amp;IF(Config!$E$22="Sim",$H771&amp;" · ","")&amp;$F771)</f>
        <v/>
      </c>
      <c r="N771" s="114" t="str">
        <f aca="false">IF($E771="","",IFERROR(INDEX(Config!$D$15:$D$19,MATCH($I771,Config!$C$15:$C$19,0)),"OUT")&amp;IF($K771="✓","x",""))</f>
        <v/>
      </c>
      <c r="O771" s="114" t="str">
        <f aca="false">IF($E771="","",COUNTIF($E$5:$E771,$E771))</f>
        <v/>
      </c>
      <c r="P771" s="114" t="str">
        <f aca="false">IF($E771="","",$E771*100+$O771)</f>
        <v/>
      </c>
      <c r="Q771" s="114" t="str">
        <f aca="false">IF($L771="Atrasado",$E771*10000+$A771,"")</f>
        <v/>
      </c>
    </row>
    <row r="772" customFormat="false" ht="15" hidden="false" customHeight="false" outlineLevel="0" collapsed="false">
      <c r="A772" s="114" t="n">
        <f aca="false">ROW()-4</f>
        <v>768</v>
      </c>
      <c r="B772" s="114" t="str">
        <f aca="false">IF(A772&lt;=Config!$E$27*Config!$E$28,"Tema","Avulso")</f>
        <v>Tema</v>
      </c>
      <c r="C772" s="114" t="n">
        <f aca="false">IF(B772="Tema",INT((A772-1)/Config!$E$28)+1,A772-Config!$E$27*Config!$E$28)</f>
        <v>128</v>
      </c>
      <c r="D772" s="114" t="n">
        <f aca="false">IF(B772="Tema",MOD(A772-1,Config!$E$28)+1,"")</f>
        <v>6</v>
      </c>
      <c r="E772" s="115" t="str">
        <f aca="false">IF($B772="Tema",IF(ISNUMBER(INDEX(Temas!$E$6:$P$305,$C772,2*$D772-1)),INDEX(Temas!$E$6:$P$305,$C772,2*$D772-1),""),IF(ISNUMBER(INDEX(Avulsos!$B$6:$B$205,$C772)),INDEX(Avulsos!$B$6:$B$205,$C772),""))</f>
        <v/>
      </c>
      <c r="F772" s="114" t="str">
        <f aca="false">IF($E772="","",IF($B772="Tema",INDEX(Temas!$B$6:$B$305,$C772)&amp;"",INDEX(Avulsos!$C$6:$C$205,$C772)&amp;""))</f>
        <v/>
      </c>
      <c r="G772" s="114" t="str">
        <f aca="false">IF($E772="","",IF($B772="Tema",INDEX(Config!$C$6:$C$11,$D772),"Evento avulso"))</f>
        <v/>
      </c>
      <c r="H772" s="114" t="str">
        <f aca="false">IF($E772="","",IF($B772="Tema",INDEX(Config!$D$6:$D$11,$D772),IFERROR(INDEX(Config!$E$15:$E$19,MATCH($I772,Config!$C$15:$C$19,0)),"•")))</f>
        <v/>
      </c>
      <c r="I772" s="114" t="str">
        <f aca="false">IF($E772="","",IF($B772="Tema",INDEX(Config!$E$6:$E$11,$D772),IF(INDEX(Avulsos!$D$6:$D$205,$C772)&amp;""="","Outro",INDEX(Avulsos!$D$6:$D$205,$C772))))</f>
        <v/>
      </c>
      <c r="J772" s="114" t="str">
        <f aca="false">IF($E772="","",IF($B772="Tema",INDEX(Temas!$C$6:$C$305,$C772)&amp;"",INDEX(Avulsos!$E$6:$E$205,$C772)&amp;""))</f>
        <v/>
      </c>
      <c r="K772" s="114" t="str">
        <f aca="false">IF($E772="","",IF(IF($B772="Tema",INDEX(Temas!$E$6:$P$305,$C772,2*$D772),INDEX(Avulsos!$F$6:$F$205,$C772))&amp;""="","","✓"))</f>
        <v/>
      </c>
      <c r="L772" s="114" t="str">
        <f aca="true">IF($E772="","",IF($K772="✓","Concluído",IF($E772&lt;TODAY(),"Atrasado",IF($E772=TODAY(),"Hoje","Pendente"))))</f>
        <v/>
      </c>
      <c r="M772" s="114" t="str">
        <f aca="false">IF($E772="","",IF($K772="✓","✓ ","")&amp;IF(Config!$E$22="Sim",$H772&amp;" · ","")&amp;$F772)</f>
        <v/>
      </c>
      <c r="N772" s="114" t="str">
        <f aca="false">IF($E772="","",IFERROR(INDEX(Config!$D$15:$D$19,MATCH($I772,Config!$C$15:$C$19,0)),"OUT")&amp;IF($K772="✓","x",""))</f>
        <v/>
      </c>
      <c r="O772" s="114" t="str">
        <f aca="false">IF($E772="","",COUNTIF($E$5:$E772,$E772))</f>
        <v/>
      </c>
      <c r="P772" s="114" t="str">
        <f aca="false">IF($E772="","",$E772*100+$O772)</f>
        <v/>
      </c>
      <c r="Q772" s="114" t="str">
        <f aca="false">IF($L772="Atrasado",$E772*10000+$A772,"")</f>
        <v/>
      </c>
    </row>
    <row r="773" customFormat="false" ht="15" hidden="false" customHeight="false" outlineLevel="0" collapsed="false">
      <c r="A773" s="114" t="n">
        <f aca="false">ROW()-4</f>
        <v>769</v>
      </c>
      <c r="B773" s="114" t="str">
        <f aca="false">IF(A773&lt;=Config!$E$27*Config!$E$28,"Tema","Avulso")</f>
        <v>Tema</v>
      </c>
      <c r="C773" s="114" t="n">
        <f aca="false">IF(B773="Tema",INT((A773-1)/Config!$E$28)+1,A773-Config!$E$27*Config!$E$28)</f>
        <v>129</v>
      </c>
      <c r="D773" s="114" t="n">
        <f aca="false">IF(B773="Tema",MOD(A773-1,Config!$E$28)+1,"")</f>
        <v>1</v>
      </c>
      <c r="E773" s="115" t="str">
        <f aca="false">IF($B773="Tema",IF(ISNUMBER(INDEX(Temas!$E$6:$P$305,$C773,2*$D773-1)),INDEX(Temas!$E$6:$P$305,$C773,2*$D773-1),""),IF(ISNUMBER(INDEX(Avulsos!$B$6:$B$205,$C773)),INDEX(Avulsos!$B$6:$B$205,$C773),""))</f>
        <v/>
      </c>
      <c r="F773" s="114" t="str">
        <f aca="false">IF($E773="","",IF($B773="Tema",INDEX(Temas!$B$6:$B$305,$C773)&amp;"",INDEX(Avulsos!$C$6:$C$205,$C773)&amp;""))</f>
        <v/>
      </c>
      <c r="G773" s="114" t="str">
        <f aca="false">IF($E773="","",IF($B773="Tema",INDEX(Config!$C$6:$C$11,$D773),"Evento avulso"))</f>
        <v/>
      </c>
      <c r="H773" s="114" t="str">
        <f aca="false">IF($E773="","",IF($B773="Tema",INDEX(Config!$D$6:$D$11,$D773),IFERROR(INDEX(Config!$E$15:$E$19,MATCH($I773,Config!$C$15:$C$19,0)),"•")))</f>
        <v/>
      </c>
      <c r="I773" s="114" t="str">
        <f aca="false">IF($E773="","",IF($B773="Tema",INDEX(Config!$E$6:$E$11,$D773),IF(INDEX(Avulsos!$D$6:$D$205,$C773)&amp;""="","Outro",INDEX(Avulsos!$D$6:$D$205,$C773))))</f>
        <v/>
      </c>
      <c r="J773" s="114" t="str">
        <f aca="false">IF($E773="","",IF($B773="Tema",INDEX(Temas!$C$6:$C$305,$C773)&amp;"",INDEX(Avulsos!$E$6:$E$205,$C773)&amp;""))</f>
        <v/>
      </c>
      <c r="K773" s="114" t="str">
        <f aca="false">IF($E773="","",IF(IF($B773="Tema",INDEX(Temas!$E$6:$P$305,$C773,2*$D773),INDEX(Avulsos!$F$6:$F$205,$C773))&amp;""="","","✓"))</f>
        <v/>
      </c>
      <c r="L773" s="114" t="str">
        <f aca="true">IF($E773="","",IF($K773="✓","Concluído",IF($E773&lt;TODAY(),"Atrasado",IF($E773=TODAY(),"Hoje","Pendente"))))</f>
        <v/>
      </c>
      <c r="M773" s="114" t="str">
        <f aca="false">IF($E773="","",IF($K773="✓","✓ ","")&amp;IF(Config!$E$22="Sim",$H773&amp;" · ","")&amp;$F773)</f>
        <v/>
      </c>
      <c r="N773" s="114" t="str">
        <f aca="false">IF($E773="","",IFERROR(INDEX(Config!$D$15:$D$19,MATCH($I773,Config!$C$15:$C$19,0)),"OUT")&amp;IF($K773="✓","x",""))</f>
        <v/>
      </c>
      <c r="O773" s="114" t="str">
        <f aca="false">IF($E773="","",COUNTIF($E$5:$E773,$E773))</f>
        <v/>
      </c>
      <c r="P773" s="114" t="str">
        <f aca="false">IF($E773="","",$E773*100+$O773)</f>
        <v/>
      </c>
      <c r="Q773" s="114" t="str">
        <f aca="false">IF($L773="Atrasado",$E773*10000+$A773,"")</f>
        <v/>
      </c>
    </row>
    <row r="774" customFormat="false" ht="15" hidden="false" customHeight="false" outlineLevel="0" collapsed="false">
      <c r="A774" s="114" t="n">
        <f aca="false">ROW()-4</f>
        <v>770</v>
      </c>
      <c r="B774" s="114" t="str">
        <f aca="false">IF(A774&lt;=Config!$E$27*Config!$E$28,"Tema","Avulso")</f>
        <v>Tema</v>
      </c>
      <c r="C774" s="114" t="n">
        <f aca="false">IF(B774="Tema",INT((A774-1)/Config!$E$28)+1,A774-Config!$E$27*Config!$E$28)</f>
        <v>129</v>
      </c>
      <c r="D774" s="114" t="n">
        <f aca="false">IF(B774="Tema",MOD(A774-1,Config!$E$28)+1,"")</f>
        <v>2</v>
      </c>
      <c r="E774" s="115" t="str">
        <f aca="false">IF($B774="Tema",IF(ISNUMBER(INDEX(Temas!$E$6:$P$305,$C774,2*$D774-1)),INDEX(Temas!$E$6:$P$305,$C774,2*$D774-1),""),IF(ISNUMBER(INDEX(Avulsos!$B$6:$B$205,$C774)),INDEX(Avulsos!$B$6:$B$205,$C774),""))</f>
        <v/>
      </c>
      <c r="F774" s="114" t="str">
        <f aca="false">IF($E774="","",IF($B774="Tema",INDEX(Temas!$B$6:$B$305,$C774)&amp;"",INDEX(Avulsos!$C$6:$C$205,$C774)&amp;""))</f>
        <v/>
      </c>
      <c r="G774" s="114" t="str">
        <f aca="false">IF($E774="","",IF($B774="Tema",INDEX(Config!$C$6:$C$11,$D774),"Evento avulso"))</f>
        <v/>
      </c>
      <c r="H774" s="114" t="str">
        <f aca="false">IF($E774="","",IF($B774="Tema",INDEX(Config!$D$6:$D$11,$D774),IFERROR(INDEX(Config!$E$15:$E$19,MATCH($I774,Config!$C$15:$C$19,0)),"•")))</f>
        <v/>
      </c>
      <c r="I774" s="114" t="str">
        <f aca="false">IF($E774="","",IF($B774="Tema",INDEX(Config!$E$6:$E$11,$D774),IF(INDEX(Avulsos!$D$6:$D$205,$C774)&amp;""="","Outro",INDEX(Avulsos!$D$6:$D$205,$C774))))</f>
        <v/>
      </c>
      <c r="J774" s="114" t="str">
        <f aca="false">IF($E774="","",IF($B774="Tema",INDEX(Temas!$C$6:$C$305,$C774)&amp;"",INDEX(Avulsos!$E$6:$E$205,$C774)&amp;""))</f>
        <v/>
      </c>
      <c r="K774" s="114" t="str">
        <f aca="false">IF($E774="","",IF(IF($B774="Tema",INDEX(Temas!$E$6:$P$305,$C774,2*$D774),INDEX(Avulsos!$F$6:$F$205,$C774))&amp;""="","","✓"))</f>
        <v/>
      </c>
      <c r="L774" s="114" t="str">
        <f aca="true">IF($E774="","",IF($K774="✓","Concluído",IF($E774&lt;TODAY(),"Atrasado",IF($E774=TODAY(),"Hoje","Pendente"))))</f>
        <v/>
      </c>
      <c r="M774" s="114" t="str">
        <f aca="false">IF($E774="","",IF($K774="✓","✓ ","")&amp;IF(Config!$E$22="Sim",$H774&amp;" · ","")&amp;$F774)</f>
        <v/>
      </c>
      <c r="N774" s="114" t="str">
        <f aca="false">IF($E774="","",IFERROR(INDEX(Config!$D$15:$D$19,MATCH($I774,Config!$C$15:$C$19,0)),"OUT")&amp;IF($K774="✓","x",""))</f>
        <v/>
      </c>
      <c r="O774" s="114" t="str">
        <f aca="false">IF($E774="","",COUNTIF($E$5:$E774,$E774))</f>
        <v/>
      </c>
      <c r="P774" s="114" t="str">
        <f aca="false">IF($E774="","",$E774*100+$O774)</f>
        <v/>
      </c>
      <c r="Q774" s="114" t="str">
        <f aca="false">IF($L774="Atrasado",$E774*10000+$A774,"")</f>
        <v/>
      </c>
    </row>
    <row r="775" customFormat="false" ht="15" hidden="false" customHeight="false" outlineLevel="0" collapsed="false">
      <c r="A775" s="114" t="n">
        <f aca="false">ROW()-4</f>
        <v>771</v>
      </c>
      <c r="B775" s="114" t="str">
        <f aca="false">IF(A775&lt;=Config!$E$27*Config!$E$28,"Tema","Avulso")</f>
        <v>Tema</v>
      </c>
      <c r="C775" s="114" t="n">
        <f aca="false">IF(B775="Tema",INT((A775-1)/Config!$E$28)+1,A775-Config!$E$27*Config!$E$28)</f>
        <v>129</v>
      </c>
      <c r="D775" s="114" t="n">
        <f aca="false">IF(B775="Tema",MOD(A775-1,Config!$E$28)+1,"")</f>
        <v>3</v>
      </c>
      <c r="E775" s="115" t="str">
        <f aca="false">IF($B775="Tema",IF(ISNUMBER(INDEX(Temas!$E$6:$P$305,$C775,2*$D775-1)),INDEX(Temas!$E$6:$P$305,$C775,2*$D775-1),""),IF(ISNUMBER(INDEX(Avulsos!$B$6:$B$205,$C775)),INDEX(Avulsos!$B$6:$B$205,$C775),""))</f>
        <v/>
      </c>
      <c r="F775" s="114" t="str">
        <f aca="false">IF($E775="","",IF($B775="Tema",INDEX(Temas!$B$6:$B$305,$C775)&amp;"",INDEX(Avulsos!$C$6:$C$205,$C775)&amp;""))</f>
        <v/>
      </c>
      <c r="G775" s="114" t="str">
        <f aca="false">IF($E775="","",IF($B775="Tema",INDEX(Config!$C$6:$C$11,$D775),"Evento avulso"))</f>
        <v/>
      </c>
      <c r="H775" s="114" t="str">
        <f aca="false">IF($E775="","",IF($B775="Tema",INDEX(Config!$D$6:$D$11,$D775),IFERROR(INDEX(Config!$E$15:$E$19,MATCH($I775,Config!$C$15:$C$19,0)),"•")))</f>
        <v/>
      </c>
      <c r="I775" s="114" t="str">
        <f aca="false">IF($E775="","",IF($B775="Tema",INDEX(Config!$E$6:$E$11,$D775),IF(INDEX(Avulsos!$D$6:$D$205,$C775)&amp;""="","Outro",INDEX(Avulsos!$D$6:$D$205,$C775))))</f>
        <v/>
      </c>
      <c r="J775" s="114" t="str">
        <f aca="false">IF($E775="","",IF($B775="Tema",INDEX(Temas!$C$6:$C$305,$C775)&amp;"",INDEX(Avulsos!$E$6:$E$205,$C775)&amp;""))</f>
        <v/>
      </c>
      <c r="K775" s="114" t="str">
        <f aca="false">IF($E775="","",IF(IF($B775="Tema",INDEX(Temas!$E$6:$P$305,$C775,2*$D775),INDEX(Avulsos!$F$6:$F$205,$C775))&amp;""="","","✓"))</f>
        <v/>
      </c>
      <c r="L775" s="114" t="str">
        <f aca="true">IF($E775="","",IF($K775="✓","Concluído",IF($E775&lt;TODAY(),"Atrasado",IF($E775=TODAY(),"Hoje","Pendente"))))</f>
        <v/>
      </c>
      <c r="M775" s="114" t="str">
        <f aca="false">IF($E775="","",IF($K775="✓","✓ ","")&amp;IF(Config!$E$22="Sim",$H775&amp;" · ","")&amp;$F775)</f>
        <v/>
      </c>
      <c r="N775" s="114" t="str">
        <f aca="false">IF($E775="","",IFERROR(INDEX(Config!$D$15:$D$19,MATCH($I775,Config!$C$15:$C$19,0)),"OUT")&amp;IF($K775="✓","x",""))</f>
        <v/>
      </c>
      <c r="O775" s="114" t="str">
        <f aca="false">IF($E775="","",COUNTIF($E$5:$E775,$E775))</f>
        <v/>
      </c>
      <c r="P775" s="114" t="str">
        <f aca="false">IF($E775="","",$E775*100+$O775)</f>
        <v/>
      </c>
      <c r="Q775" s="114" t="str">
        <f aca="false">IF($L775="Atrasado",$E775*10000+$A775,"")</f>
        <v/>
      </c>
    </row>
    <row r="776" customFormat="false" ht="15" hidden="false" customHeight="false" outlineLevel="0" collapsed="false">
      <c r="A776" s="114" t="n">
        <f aca="false">ROW()-4</f>
        <v>772</v>
      </c>
      <c r="B776" s="114" t="str">
        <f aca="false">IF(A776&lt;=Config!$E$27*Config!$E$28,"Tema","Avulso")</f>
        <v>Tema</v>
      </c>
      <c r="C776" s="114" t="n">
        <f aca="false">IF(B776="Tema",INT((A776-1)/Config!$E$28)+1,A776-Config!$E$27*Config!$E$28)</f>
        <v>129</v>
      </c>
      <c r="D776" s="114" t="n">
        <f aca="false">IF(B776="Tema",MOD(A776-1,Config!$E$28)+1,"")</f>
        <v>4</v>
      </c>
      <c r="E776" s="115" t="str">
        <f aca="false">IF($B776="Tema",IF(ISNUMBER(INDEX(Temas!$E$6:$P$305,$C776,2*$D776-1)),INDEX(Temas!$E$6:$P$305,$C776,2*$D776-1),""),IF(ISNUMBER(INDEX(Avulsos!$B$6:$B$205,$C776)),INDEX(Avulsos!$B$6:$B$205,$C776),""))</f>
        <v/>
      </c>
      <c r="F776" s="114" t="str">
        <f aca="false">IF($E776="","",IF($B776="Tema",INDEX(Temas!$B$6:$B$305,$C776)&amp;"",INDEX(Avulsos!$C$6:$C$205,$C776)&amp;""))</f>
        <v/>
      </c>
      <c r="G776" s="114" t="str">
        <f aca="false">IF($E776="","",IF($B776="Tema",INDEX(Config!$C$6:$C$11,$D776),"Evento avulso"))</f>
        <v/>
      </c>
      <c r="H776" s="114" t="str">
        <f aca="false">IF($E776="","",IF($B776="Tema",INDEX(Config!$D$6:$D$11,$D776),IFERROR(INDEX(Config!$E$15:$E$19,MATCH($I776,Config!$C$15:$C$19,0)),"•")))</f>
        <v/>
      </c>
      <c r="I776" s="114" t="str">
        <f aca="false">IF($E776="","",IF($B776="Tema",INDEX(Config!$E$6:$E$11,$D776),IF(INDEX(Avulsos!$D$6:$D$205,$C776)&amp;""="","Outro",INDEX(Avulsos!$D$6:$D$205,$C776))))</f>
        <v/>
      </c>
      <c r="J776" s="114" t="str">
        <f aca="false">IF($E776="","",IF($B776="Tema",INDEX(Temas!$C$6:$C$305,$C776)&amp;"",INDEX(Avulsos!$E$6:$E$205,$C776)&amp;""))</f>
        <v/>
      </c>
      <c r="K776" s="114" t="str">
        <f aca="false">IF($E776="","",IF(IF($B776="Tema",INDEX(Temas!$E$6:$P$305,$C776,2*$D776),INDEX(Avulsos!$F$6:$F$205,$C776))&amp;""="","","✓"))</f>
        <v/>
      </c>
      <c r="L776" s="114" t="str">
        <f aca="true">IF($E776="","",IF($K776="✓","Concluído",IF($E776&lt;TODAY(),"Atrasado",IF($E776=TODAY(),"Hoje","Pendente"))))</f>
        <v/>
      </c>
      <c r="M776" s="114" t="str">
        <f aca="false">IF($E776="","",IF($K776="✓","✓ ","")&amp;IF(Config!$E$22="Sim",$H776&amp;" · ","")&amp;$F776)</f>
        <v/>
      </c>
      <c r="N776" s="114" t="str">
        <f aca="false">IF($E776="","",IFERROR(INDEX(Config!$D$15:$D$19,MATCH($I776,Config!$C$15:$C$19,0)),"OUT")&amp;IF($K776="✓","x",""))</f>
        <v/>
      </c>
      <c r="O776" s="114" t="str">
        <f aca="false">IF($E776="","",COUNTIF($E$5:$E776,$E776))</f>
        <v/>
      </c>
      <c r="P776" s="114" t="str">
        <f aca="false">IF($E776="","",$E776*100+$O776)</f>
        <v/>
      </c>
      <c r="Q776" s="114" t="str">
        <f aca="false">IF($L776="Atrasado",$E776*10000+$A776,"")</f>
        <v/>
      </c>
    </row>
    <row r="777" customFormat="false" ht="15" hidden="false" customHeight="false" outlineLevel="0" collapsed="false">
      <c r="A777" s="114" t="n">
        <f aca="false">ROW()-4</f>
        <v>773</v>
      </c>
      <c r="B777" s="114" t="str">
        <f aca="false">IF(A777&lt;=Config!$E$27*Config!$E$28,"Tema","Avulso")</f>
        <v>Tema</v>
      </c>
      <c r="C777" s="114" t="n">
        <f aca="false">IF(B777="Tema",INT((A777-1)/Config!$E$28)+1,A777-Config!$E$27*Config!$E$28)</f>
        <v>129</v>
      </c>
      <c r="D777" s="114" t="n">
        <f aca="false">IF(B777="Tema",MOD(A777-1,Config!$E$28)+1,"")</f>
        <v>5</v>
      </c>
      <c r="E777" s="115" t="str">
        <f aca="false">IF($B777="Tema",IF(ISNUMBER(INDEX(Temas!$E$6:$P$305,$C777,2*$D777-1)),INDEX(Temas!$E$6:$P$305,$C777,2*$D777-1),""),IF(ISNUMBER(INDEX(Avulsos!$B$6:$B$205,$C777)),INDEX(Avulsos!$B$6:$B$205,$C777),""))</f>
        <v/>
      </c>
      <c r="F777" s="114" t="str">
        <f aca="false">IF($E777="","",IF($B777="Tema",INDEX(Temas!$B$6:$B$305,$C777)&amp;"",INDEX(Avulsos!$C$6:$C$205,$C777)&amp;""))</f>
        <v/>
      </c>
      <c r="G777" s="114" t="str">
        <f aca="false">IF($E777="","",IF($B777="Tema",INDEX(Config!$C$6:$C$11,$D777),"Evento avulso"))</f>
        <v/>
      </c>
      <c r="H777" s="114" t="str">
        <f aca="false">IF($E777="","",IF($B777="Tema",INDEX(Config!$D$6:$D$11,$D777),IFERROR(INDEX(Config!$E$15:$E$19,MATCH($I777,Config!$C$15:$C$19,0)),"•")))</f>
        <v/>
      </c>
      <c r="I777" s="114" t="str">
        <f aca="false">IF($E777="","",IF($B777="Tema",INDEX(Config!$E$6:$E$11,$D777),IF(INDEX(Avulsos!$D$6:$D$205,$C777)&amp;""="","Outro",INDEX(Avulsos!$D$6:$D$205,$C777))))</f>
        <v/>
      </c>
      <c r="J777" s="114" t="str">
        <f aca="false">IF($E777="","",IF($B777="Tema",INDEX(Temas!$C$6:$C$305,$C777)&amp;"",INDEX(Avulsos!$E$6:$E$205,$C777)&amp;""))</f>
        <v/>
      </c>
      <c r="K777" s="114" t="str">
        <f aca="false">IF($E777="","",IF(IF($B777="Tema",INDEX(Temas!$E$6:$P$305,$C777,2*$D777),INDEX(Avulsos!$F$6:$F$205,$C777))&amp;""="","","✓"))</f>
        <v/>
      </c>
      <c r="L777" s="114" t="str">
        <f aca="true">IF($E777="","",IF($K777="✓","Concluído",IF($E777&lt;TODAY(),"Atrasado",IF($E777=TODAY(),"Hoje","Pendente"))))</f>
        <v/>
      </c>
      <c r="M777" s="114" t="str">
        <f aca="false">IF($E777="","",IF($K777="✓","✓ ","")&amp;IF(Config!$E$22="Sim",$H777&amp;" · ","")&amp;$F777)</f>
        <v/>
      </c>
      <c r="N777" s="114" t="str">
        <f aca="false">IF($E777="","",IFERROR(INDEX(Config!$D$15:$D$19,MATCH($I777,Config!$C$15:$C$19,0)),"OUT")&amp;IF($K777="✓","x",""))</f>
        <v/>
      </c>
      <c r="O777" s="114" t="str">
        <f aca="false">IF($E777="","",COUNTIF($E$5:$E777,$E777))</f>
        <v/>
      </c>
      <c r="P777" s="114" t="str">
        <f aca="false">IF($E777="","",$E777*100+$O777)</f>
        <v/>
      </c>
      <c r="Q777" s="114" t="str">
        <f aca="false">IF($L777="Atrasado",$E777*10000+$A777,"")</f>
        <v/>
      </c>
    </row>
    <row r="778" customFormat="false" ht="15" hidden="false" customHeight="false" outlineLevel="0" collapsed="false">
      <c r="A778" s="114" t="n">
        <f aca="false">ROW()-4</f>
        <v>774</v>
      </c>
      <c r="B778" s="114" t="str">
        <f aca="false">IF(A778&lt;=Config!$E$27*Config!$E$28,"Tema","Avulso")</f>
        <v>Tema</v>
      </c>
      <c r="C778" s="114" t="n">
        <f aca="false">IF(B778="Tema",INT((A778-1)/Config!$E$28)+1,A778-Config!$E$27*Config!$E$28)</f>
        <v>129</v>
      </c>
      <c r="D778" s="114" t="n">
        <f aca="false">IF(B778="Tema",MOD(A778-1,Config!$E$28)+1,"")</f>
        <v>6</v>
      </c>
      <c r="E778" s="115" t="str">
        <f aca="false">IF($B778="Tema",IF(ISNUMBER(INDEX(Temas!$E$6:$P$305,$C778,2*$D778-1)),INDEX(Temas!$E$6:$P$305,$C778,2*$D778-1),""),IF(ISNUMBER(INDEX(Avulsos!$B$6:$B$205,$C778)),INDEX(Avulsos!$B$6:$B$205,$C778),""))</f>
        <v/>
      </c>
      <c r="F778" s="114" t="str">
        <f aca="false">IF($E778="","",IF($B778="Tema",INDEX(Temas!$B$6:$B$305,$C778)&amp;"",INDEX(Avulsos!$C$6:$C$205,$C778)&amp;""))</f>
        <v/>
      </c>
      <c r="G778" s="114" t="str">
        <f aca="false">IF($E778="","",IF($B778="Tema",INDEX(Config!$C$6:$C$11,$D778),"Evento avulso"))</f>
        <v/>
      </c>
      <c r="H778" s="114" t="str">
        <f aca="false">IF($E778="","",IF($B778="Tema",INDEX(Config!$D$6:$D$11,$D778),IFERROR(INDEX(Config!$E$15:$E$19,MATCH($I778,Config!$C$15:$C$19,0)),"•")))</f>
        <v/>
      </c>
      <c r="I778" s="114" t="str">
        <f aca="false">IF($E778="","",IF($B778="Tema",INDEX(Config!$E$6:$E$11,$D778),IF(INDEX(Avulsos!$D$6:$D$205,$C778)&amp;""="","Outro",INDEX(Avulsos!$D$6:$D$205,$C778))))</f>
        <v/>
      </c>
      <c r="J778" s="114" t="str">
        <f aca="false">IF($E778="","",IF($B778="Tema",INDEX(Temas!$C$6:$C$305,$C778)&amp;"",INDEX(Avulsos!$E$6:$E$205,$C778)&amp;""))</f>
        <v/>
      </c>
      <c r="K778" s="114" t="str">
        <f aca="false">IF($E778="","",IF(IF($B778="Tema",INDEX(Temas!$E$6:$P$305,$C778,2*$D778),INDEX(Avulsos!$F$6:$F$205,$C778))&amp;""="","","✓"))</f>
        <v/>
      </c>
      <c r="L778" s="114" t="str">
        <f aca="true">IF($E778="","",IF($K778="✓","Concluído",IF($E778&lt;TODAY(),"Atrasado",IF($E778=TODAY(),"Hoje","Pendente"))))</f>
        <v/>
      </c>
      <c r="M778" s="114" t="str">
        <f aca="false">IF($E778="","",IF($K778="✓","✓ ","")&amp;IF(Config!$E$22="Sim",$H778&amp;" · ","")&amp;$F778)</f>
        <v/>
      </c>
      <c r="N778" s="114" t="str">
        <f aca="false">IF($E778="","",IFERROR(INDEX(Config!$D$15:$D$19,MATCH($I778,Config!$C$15:$C$19,0)),"OUT")&amp;IF($K778="✓","x",""))</f>
        <v/>
      </c>
      <c r="O778" s="114" t="str">
        <f aca="false">IF($E778="","",COUNTIF($E$5:$E778,$E778))</f>
        <v/>
      </c>
      <c r="P778" s="114" t="str">
        <f aca="false">IF($E778="","",$E778*100+$O778)</f>
        <v/>
      </c>
      <c r="Q778" s="114" t="str">
        <f aca="false">IF($L778="Atrasado",$E778*10000+$A778,"")</f>
        <v/>
      </c>
    </row>
    <row r="779" customFormat="false" ht="15" hidden="false" customHeight="false" outlineLevel="0" collapsed="false">
      <c r="A779" s="114" t="n">
        <f aca="false">ROW()-4</f>
        <v>775</v>
      </c>
      <c r="B779" s="114" t="str">
        <f aca="false">IF(A779&lt;=Config!$E$27*Config!$E$28,"Tema","Avulso")</f>
        <v>Tema</v>
      </c>
      <c r="C779" s="114" t="n">
        <f aca="false">IF(B779="Tema",INT((A779-1)/Config!$E$28)+1,A779-Config!$E$27*Config!$E$28)</f>
        <v>130</v>
      </c>
      <c r="D779" s="114" t="n">
        <f aca="false">IF(B779="Tema",MOD(A779-1,Config!$E$28)+1,"")</f>
        <v>1</v>
      </c>
      <c r="E779" s="115" t="str">
        <f aca="false">IF($B779="Tema",IF(ISNUMBER(INDEX(Temas!$E$6:$P$305,$C779,2*$D779-1)),INDEX(Temas!$E$6:$P$305,$C779,2*$D779-1),""),IF(ISNUMBER(INDEX(Avulsos!$B$6:$B$205,$C779)),INDEX(Avulsos!$B$6:$B$205,$C779),""))</f>
        <v/>
      </c>
      <c r="F779" s="114" t="str">
        <f aca="false">IF($E779="","",IF($B779="Tema",INDEX(Temas!$B$6:$B$305,$C779)&amp;"",INDEX(Avulsos!$C$6:$C$205,$C779)&amp;""))</f>
        <v/>
      </c>
      <c r="G779" s="114" t="str">
        <f aca="false">IF($E779="","",IF($B779="Tema",INDEX(Config!$C$6:$C$11,$D779),"Evento avulso"))</f>
        <v/>
      </c>
      <c r="H779" s="114" t="str">
        <f aca="false">IF($E779="","",IF($B779="Tema",INDEX(Config!$D$6:$D$11,$D779),IFERROR(INDEX(Config!$E$15:$E$19,MATCH($I779,Config!$C$15:$C$19,0)),"•")))</f>
        <v/>
      </c>
      <c r="I779" s="114" t="str">
        <f aca="false">IF($E779="","",IF($B779="Tema",INDEX(Config!$E$6:$E$11,$D779),IF(INDEX(Avulsos!$D$6:$D$205,$C779)&amp;""="","Outro",INDEX(Avulsos!$D$6:$D$205,$C779))))</f>
        <v/>
      </c>
      <c r="J779" s="114" t="str">
        <f aca="false">IF($E779="","",IF($B779="Tema",INDEX(Temas!$C$6:$C$305,$C779)&amp;"",INDEX(Avulsos!$E$6:$E$205,$C779)&amp;""))</f>
        <v/>
      </c>
      <c r="K779" s="114" t="str">
        <f aca="false">IF($E779="","",IF(IF($B779="Tema",INDEX(Temas!$E$6:$P$305,$C779,2*$D779),INDEX(Avulsos!$F$6:$F$205,$C779))&amp;""="","","✓"))</f>
        <v/>
      </c>
      <c r="L779" s="114" t="str">
        <f aca="true">IF($E779="","",IF($K779="✓","Concluído",IF($E779&lt;TODAY(),"Atrasado",IF($E779=TODAY(),"Hoje","Pendente"))))</f>
        <v/>
      </c>
      <c r="M779" s="114" t="str">
        <f aca="false">IF($E779="","",IF($K779="✓","✓ ","")&amp;IF(Config!$E$22="Sim",$H779&amp;" · ","")&amp;$F779)</f>
        <v/>
      </c>
      <c r="N779" s="114" t="str">
        <f aca="false">IF($E779="","",IFERROR(INDEX(Config!$D$15:$D$19,MATCH($I779,Config!$C$15:$C$19,0)),"OUT")&amp;IF($K779="✓","x",""))</f>
        <v/>
      </c>
      <c r="O779" s="114" t="str">
        <f aca="false">IF($E779="","",COUNTIF($E$5:$E779,$E779))</f>
        <v/>
      </c>
      <c r="P779" s="114" t="str">
        <f aca="false">IF($E779="","",$E779*100+$O779)</f>
        <v/>
      </c>
      <c r="Q779" s="114" t="str">
        <f aca="false">IF($L779="Atrasado",$E779*10000+$A779,"")</f>
        <v/>
      </c>
    </row>
    <row r="780" customFormat="false" ht="15" hidden="false" customHeight="false" outlineLevel="0" collapsed="false">
      <c r="A780" s="114" t="n">
        <f aca="false">ROW()-4</f>
        <v>776</v>
      </c>
      <c r="B780" s="114" t="str">
        <f aca="false">IF(A780&lt;=Config!$E$27*Config!$E$28,"Tema","Avulso")</f>
        <v>Tema</v>
      </c>
      <c r="C780" s="114" t="n">
        <f aca="false">IF(B780="Tema",INT((A780-1)/Config!$E$28)+1,A780-Config!$E$27*Config!$E$28)</f>
        <v>130</v>
      </c>
      <c r="D780" s="114" t="n">
        <f aca="false">IF(B780="Tema",MOD(A780-1,Config!$E$28)+1,"")</f>
        <v>2</v>
      </c>
      <c r="E780" s="115" t="str">
        <f aca="false">IF($B780="Tema",IF(ISNUMBER(INDEX(Temas!$E$6:$P$305,$C780,2*$D780-1)),INDEX(Temas!$E$6:$P$305,$C780,2*$D780-1),""),IF(ISNUMBER(INDEX(Avulsos!$B$6:$B$205,$C780)),INDEX(Avulsos!$B$6:$B$205,$C780),""))</f>
        <v/>
      </c>
      <c r="F780" s="114" t="str">
        <f aca="false">IF($E780="","",IF($B780="Tema",INDEX(Temas!$B$6:$B$305,$C780)&amp;"",INDEX(Avulsos!$C$6:$C$205,$C780)&amp;""))</f>
        <v/>
      </c>
      <c r="G780" s="114" t="str">
        <f aca="false">IF($E780="","",IF($B780="Tema",INDEX(Config!$C$6:$C$11,$D780),"Evento avulso"))</f>
        <v/>
      </c>
      <c r="H780" s="114" t="str">
        <f aca="false">IF($E780="","",IF($B780="Tema",INDEX(Config!$D$6:$D$11,$D780),IFERROR(INDEX(Config!$E$15:$E$19,MATCH($I780,Config!$C$15:$C$19,0)),"•")))</f>
        <v/>
      </c>
      <c r="I780" s="114" t="str">
        <f aca="false">IF($E780="","",IF($B780="Tema",INDEX(Config!$E$6:$E$11,$D780),IF(INDEX(Avulsos!$D$6:$D$205,$C780)&amp;""="","Outro",INDEX(Avulsos!$D$6:$D$205,$C780))))</f>
        <v/>
      </c>
      <c r="J780" s="114" t="str">
        <f aca="false">IF($E780="","",IF($B780="Tema",INDEX(Temas!$C$6:$C$305,$C780)&amp;"",INDEX(Avulsos!$E$6:$E$205,$C780)&amp;""))</f>
        <v/>
      </c>
      <c r="K780" s="114" t="str">
        <f aca="false">IF($E780="","",IF(IF($B780="Tema",INDEX(Temas!$E$6:$P$305,$C780,2*$D780),INDEX(Avulsos!$F$6:$F$205,$C780))&amp;""="","","✓"))</f>
        <v/>
      </c>
      <c r="L780" s="114" t="str">
        <f aca="true">IF($E780="","",IF($K780="✓","Concluído",IF($E780&lt;TODAY(),"Atrasado",IF($E780=TODAY(),"Hoje","Pendente"))))</f>
        <v/>
      </c>
      <c r="M780" s="114" t="str">
        <f aca="false">IF($E780="","",IF($K780="✓","✓ ","")&amp;IF(Config!$E$22="Sim",$H780&amp;" · ","")&amp;$F780)</f>
        <v/>
      </c>
      <c r="N780" s="114" t="str">
        <f aca="false">IF($E780="","",IFERROR(INDEX(Config!$D$15:$D$19,MATCH($I780,Config!$C$15:$C$19,0)),"OUT")&amp;IF($K780="✓","x",""))</f>
        <v/>
      </c>
      <c r="O780" s="114" t="str">
        <f aca="false">IF($E780="","",COUNTIF($E$5:$E780,$E780))</f>
        <v/>
      </c>
      <c r="P780" s="114" t="str">
        <f aca="false">IF($E780="","",$E780*100+$O780)</f>
        <v/>
      </c>
      <c r="Q780" s="114" t="str">
        <f aca="false">IF($L780="Atrasado",$E780*10000+$A780,"")</f>
        <v/>
      </c>
    </row>
    <row r="781" customFormat="false" ht="15" hidden="false" customHeight="false" outlineLevel="0" collapsed="false">
      <c r="A781" s="114" t="n">
        <f aca="false">ROW()-4</f>
        <v>777</v>
      </c>
      <c r="B781" s="114" t="str">
        <f aca="false">IF(A781&lt;=Config!$E$27*Config!$E$28,"Tema","Avulso")</f>
        <v>Tema</v>
      </c>
      <c r="C781" s="114" t="n">
        <f aca="false">IF(B781="Tema",INT((A781-1)/Config!$E$28)+1,A781-Config!$E$27*Config!$E$28)</f>
        <v>130</v>
      </c>
      <c r="D781" s="114" t="n">
        <f aca="false">IF(B781="Tema",MOD(A781-1,Config!$E$28)+1,"")</f>
        <v>3</v>
      </c>
      <c r="E781" s="115" t="str">
        <f aca="false">IF($B781="Tema",IF(ISNUMBER(INDEX(Temas!$E$6:$P$305,$C781,2*$D781-1)),INDEX(Temas!$E$6:$P$305,$C781,2*$D781-1),""),IF(ISNUMBER(INDEX(Avulsos!$B$6:$B$205,$C781)),INDEX(Avulsos!$B$6:$B$205,$C781),""))</f>
        <v/>
      </c>
      <c r="F781" s="114" t="str">
        <f aca="false">IF($E781="","",IF($B781="Tema",INDEX(Temas!$B$6:$B$305,$C781)&amp;"",INDEX(Avulsos!$C$6:$C$205,$C781)&amp;""))</f>
        <v/>
      </c>
      <c r="G781" s="114" t="str">
        <f aca="false">IF($E781="","",IF($B781="Tema",INDEX(Config!$C$6:$C$11,$D781),"Evento avulso"))</f>
        <v/>
      </c>
      <c r="H781" s="114" t="str">
        <f aca="false">IF($E781="","",IF($B781="Tema",INDEX(Config!$D$6:$D$11,$D781),IFERROR(INDEX(Config!$E$15:$E$19,MATCH($I781,Config!$C$15:$C$19,0)),"•")))</f>
        <v/>
      </c>
      <c r="I781" s="114" t="str">
        <f aca="false">IF($E781="","",IF($B781="Tema",INDEX(Config!$E$6:$E$11,$D781),IF(INDEX(Avulsos!$D$6:$D$205,$C781)&amp;""="","Outro",INDEX(Avulsos!$D$6:$D$205,$C781))))</f>
        <v/>
      </c>
      <c r="J781" s="114" t="str">
        <f aca="false">IF($E781="","",IF($B781="Tema",INDEX(Temas!$C$6:$C$305,$C781)&amp;"",INDEX(Avulsos!$E$6:$E$205,$C781)&amp;""))</f>
        <v/>
      </c>
      <c r="K781" s="114" t="str">
        <f aca="false">IF($E781="","",IF(IF($B781="Tema",INDEX(Temas!$E$6:$P$305,$C781,2*$D781),INDEX(Avulsos!$F$6:$F$205,$C781))&amp;""="","","✓"))</f>
        <v/>
      </c>
      <c r="L781" s="114" t="str">
        <f aca="true">IF($E781="","",IF($K781="✓","Concluído",IF($E781&lt;TODAY(),"Atrasado",IF($E781=TODAY(),"Hoje","Pendente"))))</f>
        <v/>
      </c>
      <c r="M781" s="114" t="str">
        <f aca="false">IF($E781="","",IF($K781="✓","✓ ","")&amp;IF(Config!$E$22="Sim",$H781&amp;" · ","")&amp;$F781)</f>
        <v/>
      </c>
      <c r="N781" s="114" t="str">
        <f aca="false">IF($E781="","",IFERROR(INDEX(Config!$D$15:$D$19,MATCH($I781,Config!$C$15:$C$19,0)),"OUT")&amp;IF($K781="✓","x",""))</f>
        <v/>
      </c>
      <c r="O781" s="114" t="str">
        <f aca="false">IF($E781="","",COUNTIF($E$5:$E781,$E781))</f>
        <v/>
      </c>
      <c r="P781" s="114" t="str">
        <f aca="false">IF($E781="","",$E781*100+$O781)</f>
        <v/>
      </c>
      <c r="Q781" s="114" t="str">
        <f aca="false">IF($L781="Atrasado",$E781*10000+$A781,"")</f>
        <v/>
      </c>
    </row>
    <row r="782" customFormat="false" ht="15" hidden="false" customHeight="false" outlineLevel="0" collapsed="false">
      <c r="A782" s="114" t="n">
        <f aca="false">ROW()-4</f>
        <v>778</v>
      </c>
      <c r="B782" s="114" t="str">
        <f aca="false">IF(A782&lt;=Config!$E$27*Config!$E$28,"Tema","Avulso")</f>
        <v>Tema</v>
      </c>
      <c r="C782" s="114" t="n">
        <f aca="false">IF(B782="Tema",INT((A782-1)/Config!$E$28)+1,A782-Config!$E$27*Config!$E$28)</f>
        <v>130</v>
      </c>
      <c r="D782" s="114" t="n">
        <f aca="false">IF(B782="Tema",MOD(A782-1,Config!$E$28)+1,"")</f>
        <v>4</v>
      </c>
      <c r="E782" s="115" t="str">
        <f aca="false">IF($B782="Tema",IF(ISNUMBER(INDEX(Temas!$E$6:$P$305,$C782,2*$D782-1)),INDEX(Temas!$E$6:$P$305,$C782,2*$D782-1),""),IF(ISNUMBER(INDEX(Avulsos!$B$6:$B$205,$C782)),INDEX(Avulsos!$B$6:$B$205,$C782),""))</f>
        <v/>
      </c>
      <c r="F782" s="114" t="str">
        <f aca="false">IF($E782="","",IF($B782="Tema",INDEX(Temas!$B$6:$B$305,$C782)&amp;"",INDEX(Avulsos!$C$6:$C$205,$C782)&amp;""))</f>
        <v/>
      </c>
      <c r="G782" s="114" t="str">
        <f aca="false">IF($E782="","",IF($B782="Tema",INDEX(Config!$C$6:$C$11,$D782),"Evento avulso"))</f>
        <v/>
      </c>
      <c r="H782" s="114" t="str">
        <f aca="false">IF($E782="","",IF($B782="Tema",INDEX(Config!$D$6:$D$11,$D782),IFERROR(INDEX(Config!$E$15:$E$19,MATCH($I782,Config!$C$15:$C$19,0)),"•")))</f>
        <v/>
      </c>
      <c r="I782" s="114" t="str">
        <f aca="false">IF($E782="","",IF($B782="Tema",INDEX(Config!$E$6:$E$11,$D782),IF(INDEX(Avulsos!$D$6:$D$205,$C782)&amp;""="","Outro",INDEX(Avulsos!$D$6:$D$205,$C782))))</f>
        <v/>
      </c>
      <c r="J782" s="114" t="str">
        <f aca="false">IF($E782="","",IF($B782="Tema",INDEX(Temas!$C$6:$C$305,$C782)&amp;"",INDEX(Avulsos!$E$6:$E$205,$C782)&amp;""))</f>
        <v/>
      </c>
      <c r="K782" s="114" t="str">
        <f aca="false">IF($E782="","",IF(IF($B782="Tema",INDEX(Temas!$E$6:$P$305,$C782,2*$D782),INDEX(Avulsos!$F$6:$F$205,$C782))&amp;""="","","✓"))</f>
        <v/>
      </c>
      <c r="L782" s="114" t="str">
        <f aca="true">IF($E782="","",IF($K782="✓","Concluído",IF($E782&lt;TODAY(),"Atrasado",IF($E782=TODAY(),"Hoje","Pendente"))))</f>
        <v/>
      </c>
      <c r="M782" s="114" t="str">
        <f aca="false">IF($E782="","",IF($K782="✓","✓ ","")&amp;IF(Config!$E$22="Sim",$H782&amp;" · ","")&amp;$F782)</f>
        <v/>
      </c>
      <c r="N782" s="114" t="str">
        <f aca="false">IF($E782="","",IFERROR(INDEX(Config!$D$15:$D$19,MATCH($I782,Config!$C$15:$C$19,0)),"OUT")&amp;IF($K782="✓","x",""))</f>
        <v/>
      </c>
      <c r="O782" s="114" t="str">
        <f aca="false">IF($E782="","",COUNTIF($E$5:$E782,$E782))</f>
        <v/>
      </c>
      <c r="P782" s="114" t="str">
        <f aca="false">IF($E782="","",$E782*100+$O782)</f>
        <v/>
      </c>
      <c r="Q782" s="114" t="str">
        <f aca="false">IF($L782="Atrasado",$E782*10000+$A782,"")</f>
        <v/>
      </c>
    </row>
    <row r="783" customFormat="false" ht="15" hidden="false" customHeight="false" outlineLevel="0" collapsed="false">
      <c r="A783" s="114" t="n">
        <f aca="false">ROW()-4</f>
        <v>779</v>
      </c>
      <c r="B783" s="114" t="str">
        <f aca="false">IF(A783&lt;=Config!$E$27*Config!$E$28,"Tema","Avulso")</f>
        <v>Tema</v>
      </c>
      <c r="C783" s="114" t="n">
        <f aca="false">IF(B783="Tema",INT((A783-1)/Config!$E$28)+1,A783-Config!$E$27*Config!$E$28)</f>
        <v>130</v>
      </c>
      <c r="D783" s="114" t="n">
        <f aca="false">IF(B783="Tema",MOD(A783-1,Config!$E$28)+1,"")</f>
        <v>5</v>
      </c>
      <c r="E783" s="115" t="str">
        <f aca="false">IF($B783="Tema",IF(ISNUMBER(INDEX(Temas!$E$6:$P$305,$C783,2*$D783-1)),INDEX(Temas!$E$6:$P$305,$C783,2*$D783-1),""),IF(ISNUMBER(INDEX(Avulsos!$B$6:$B$205,$C783)),INDEX(Avulsos!$B$6:$B$205,$C783),""))</f>
        <v/>
      </c>
      <c r="F783" s="114" t="str">
        <f aca="false">IF($E783="","",IF($B783="Tema",INDEX(Temas!$B$6:$B$305,$C783)&amp;"",INDEX(Avulsos!$C$6:$C$205,$C783)&amp;""))</f>
        <v/>
      </c>
      <c r="G783" s="114" t="str">
        <f aca="false">IF($E783="","",IF($B783="Tema",INDEX(Config!$C$6:$C$11,$D783),"Evento avulso"))</f>
        <v/>
      </c>
      <c r="H783" s="114" t="str">
        <f aca="false">IF($E783="","",IF($B783="Tema",INDEX(Config!$D$6:$D$11,$D783),IFERROR(INDEX(Config!$E$15:$E$19,MATCH($I783,Config!$C$15:$C$19,0)),"•")))</f>
        <v/>
      </c>
      <c r="I783" s="114" t="str">
        <f aca="false">IF($E783="","",IF($B783="Tema",INDEX(Config!$E$6:$E$11,$D783),IF(INDEX(Avulsos!$D$6:$D$205,$C783)&amp;""="","Outro",INDEX(Avulsos!$D$6:$D$205,$C783))))</f>
        <v/>
      </c>
      <c r="J783" s="114" t="str">
        <f aca="false">IF($E783="","",IF($B783="Tema",INDEX(Temas!$C$6:$C$305,$C783)&amp;"",INDEX(Avulsos!$E$6:$E$205,$C783)&amp;""))</f>
        <v/>
      </c>
      <c r="K783" s="114" t="str">
        <f aca="false">IF($E783="","",IF(IF($B783="Tema",INDEX(Temas!$E$6:$P$305,$C783,2*$D783),INDEX(Avulsos!$F$6:$F$205,$C783))&amp;""="","","✓"))</f>
        <v/>
      </c>
      <c r="L783" s="114" t="str">
        <f aca="true">IF($E783="","",IF($K783="✓","Concluído",IF($E783&lt;TODAY(),"Atrasado",IF($E783=TODAY(),"Hoje","Pendente"))))</f>
        <v/>
      </c>
      <c r="M783" s="114" t="str">
        <f aca="false">IF($E783="","",IF($K783="✓","✓ ","")&amp;IF(Config!$E$22="Sim",$H783&amp;" · ","")&amp;$F783)</f>
        <v/>
      </c>
      <c r="N783" s="114" t="str">
        <f aca="false">IF($E783="","",IFERROR(INDEX(Config!$D$15:$D$19,MATCH($I783,Config!$C$15:$C$19,0)),"OUT")&amp;IF($K783="✓","x",""))</f>
        <v/>
      </c>
      <c r="O783" s="114" t="str">
        <f aca="false">IF($E783="","",COUNTIF($E$5:$E783,$E783))</f>
        <v/>
      </c>
      <c r="P783" s="114" t="str">
        <f aca="false">IF($E783="","",$E783*100+$O783)</f>
        <v/>
      </c>
      <c r="Q783" s="114" t="str">
        <f aca="false">IF($L783="Atrasado",$E783*10000+$A783,"")</f>
        <v/>
      </c>
    </row>
    <row r="784" customFormat="false" ht="15" hidden="false" customHeight="false" outlineLevel="0" collapsed="false">
      <c r="A784" s="114" t="n">
        <f aca="false">ROW()-4</f>
        <v>780</v>
      </c>
      <c r="B784" s="114" t="str">
        <f aca="false">IF(A784&lt;=Config!$E$27*Config!$E$28,"Tema","Avulso")</f>
        <v>Tema</v>
      </c>
      <c r="C784" s="114" t="n">
        <f aca="false">IF(B784="Tema",INT((A784-1)/Config!$E$28)+1,A784-Config!$E$27*Config!$E$28)</f>
        <v>130</v>
      </c>
      <c r="D784" s="114" t="n">
        <f aca="false">IF(B784="Tema",MOD(A784-1,Config!$E$28)+1,"")</f>
        <v>6</v>
      </c>
      <c r="E784" s="115" t="str">
        <f aca="false">IF($B784="Tema",IF(ISNUMBER(INDEX(Temas!$E$6:$P$305,$C784,2*$D784-1)),INDEX(Temas!$E$6:$P$305,$C784,2*$D784-1),""),IF(ISNUMBER(INDEX(Avulsos!$B$6:$B$205,$C784)),INDEX(Avulsos!$B$6:$B$205,$C784),""))</f>
        <v/>
      </c>
      <c r="F784" s="114" t="str">
        <f aca="false">IF($E784="","",IF($B784="Tema",INDEX(Temas!$B$6:$B$305,$C784)&amp;"",INDEX(Avulsos!$C$6:$C$205,$C784)&amp;""))</f>
        <v/>
      </c>
      <c r="G784" s="114" t="str">
        <f aca="false">IF($E784="","",IF($B784="Tema",INDEX(Config!$C$6:$C$11,$D784),"Evento avulso"))</f>
        <v/>
      </c>
      <c r="H784" s="114" t="str">
        <f aca="false">IF($E784="","",IF($B784="Tema",INDEX(Config!$D$6:$D$11,$D784),IFERROR(INDEX(Config!$E$15:$E$19,MATCH($I784,Config!$C$15:$C$19,0)),"•")))</f>
        <v/>
      </c>
      <c r="I784" s="114" t="str">
        <f aca="false">IF($E784="","",IF($B784="Tema",INDEX(Config!$E$6:$E$11,$D784),IF(INDEX(Avulsos!$D$6:$D$205,$C784)&amp;""="","Outro",INDEX(Avulsos!$D$6:$D$205,$C784))))</f>
        <v/>
      </c>
      <c r="J784" s="114" t="str">
        <f aca="false">IF($E784="","",IF($B784="Tema",INDEX(Temas!$C$6:$C$305,$C784)&amp;"",INDEX(Avulsos!$E$6:$E$205,$C784)&amp;""))</f>
        <v/>
      </c>
      <c r="K784" s="114" t="str">
        <f aca="false">IF($E784="","",IF(IF($B784="Tema",INDEX(Temas!$E$6:$P$305,$C784,2*$D784),INDEX(Avulsos!$F$6:$F$205,$C784))&amp;""="","","✓"))</f>
        <v/>
      </c>
      <c r="L784" s="114" t="str">
        <f aca="true">IF($E784="","",IF($K784="✓","Concluído",IF($E784&lt;TODAY(),"Atrasado",IF($E784=TODAY(),"Hoje","Pendente"))))</f>
        <v/>
      </c>
      <c r="M784" s="114" t="str">
        <f aca="false">IF($E784="","",IF($K784="✓","✓ ","")&amp;IF(Config!$E$22="Sim",$H784&amp;" · ","")&amp;$F784)</f>
        <v/>
      </c>
      <c r="N784" s="114" t="str">
        <f aca="false">IF($E784="","",IFERROR(INDEX(Config!$D$15:$D$19,MATCH($I784,Config!$C$15:$C$19,0)),"OUT")&amp;IF($K784="✓","x",""))</f>
        <v/>
      </c>
      <c r="O784" s="114" t="str">
        <f aca="false">IF($E784="","",COUNTIF($E$5:$E784,$E784))</f>
        <v/>
      </c>
      <c r="P784" s="114" t="str">
        <f aca="false">IF($E784="","",$E784*100+$O784)</f>
        <v/>
      </c>
      <c r="Q784" s="114" t="str">
        <f aca="false">IF($L784="Atrasado",$E784*10000+$A784,"")</f>
        <v/>
      </c>
    </row>
    <row r="785" customFormat="false" ht="15" hidden="false" customHeight="false" outlineLevel="0" collapsed="false">
      <c r="A785" s="114" t="n">
        <f aca="false">ROW()-4</f>
        <v>781</v>
      </c>
      <c r="B785" s="114" t="str">
        <f aca="false">IF(A785&lt;=Config!$E$27*Config!$E$28,"Tema","Avulso")</f>
        <v>Tema</v>
      </c>
      <c r="C785" s="114" t="n">
        <f aca="false">IF(B785="Tema",INT((A785-1)/Config!$E$28)+1,A785-Config!$E$27*Config!$E$28)</f>
        <v>131</v>
      </c>
      <c r="D785" s="114" t="n">
        <f aca="false">IF(B785="Tema",MOD(A785-1,Config!$E$28)+1,"")</f>
        <v>1</v>
      </c>
      <c r="E785" s="115" t="str">
        <f aca="false">IF($B785="Tema",IF(ISNUMBER(INDEX(Temas!$E$6:$P$305,$C785,2*$D785-1)),INDEX(Temas!$E$6:$P$305,$C785,2*$D785-1),""),IF(ISNUMBER(INDEX(Avulsos!$B$6:$B$205,$C785)),INDEX(Avulsos!$B$6:$B$205,$C785),""))</f>
        <v/>
      </c>
      <c r="F785" s="114" t="str">
        <f aca="false">IF($E785="","",IF($B785="Tema",INDEX(Temas!$B$6:$B$305,$C785)&amp;"",INDEX(Avulsos!$C$6:$C$205,$C785)&amp;""))</f>
        <v/>
      </c>
      <c r="G785" s="114" t="str">
        <f aca="false">IF($E785="","",IF($B785="Tema",INDEX(Config!$C$6:$C$11,$D785),"Evento avulso"))</f>
        <v/>
      </c>
      <c r="H785" s="114" t="str">
        <f aca="false">IF($E785="","",IF($B785="Tema",INDEX(Config!$D$6:$D$11,$D785),IFERROR(INDEX(Config!$E$15:$E$19,MATCH($I785,Config!$C$15:$C$19,0)),"•")))</f>
        <v/>
      </c>
      <c r="I785" s="114" t="str">
        <f aca="false">IF($E785="","",IF($B785="Tema",INDEX(Config!$E$6:$E$11,$D785),IF(INDEX(Avulsos!$D$6:$D$205,$C785)&amp;""="","Outro",INDEX(Avulsos!$D$6:$D$205,$C785))))</f>
        <v/>
      </c>
      <c r="J785" s="114" t="str">
        <f aca="false">IF($E785="","",IF($B785="Tema",INDEX(Temas!$C$6:$C$305,$C785)&amp;"",INDEX(Avulsos!$E$6:$E$205,$C785)&amp;""))</f>
        <v/>
      </c>
      <c r="K785" s="114" t="str">
        <f aca="false">IF($E785="","",IF(IF($B785="Tema",INDEX(Temas!$E$6:$P$305,$C785,2*$D785),INDEX(Avulsos!$F$6:$F$205,$C785))&amp;""="","","✓"))</f>
        <v/>
      </c>
      <c r="L785" s="114" t="str">
        <f aca="true">IF($E785="","",IF($K785="✓","Concluído",IF($E785&lt;TODAY(),"Atrasado",IF($E785=TODAY(),"Hoje","Pendente"))))</f>
        <v/>
      </c>
      <c r="M785" s="114" t="str">
        <f aca="false">IF($E785="","",IF($K785="✓","✓ ","")&amp;IF(Config!$E$22="Sim",$H785&amp;" · ","")&amp;$F785)</f>
        <v/>
      </c>
      <c r="N785" s="114" t="str">
        <f aca="false">IF($E785="","",IFERROR(INDEX(Config!$D$15:$D$19,MATCH($I785,Config!$C$15:$C$19,0)),"OUT")&amp;IF($K785="✓","x",""))</f>
        <v/>
      </c>
      <c r="O785" s="114" t="str">
        <f aca="false">IF($E785="","",COUNTIF($E$5:$E785,$E785))</f>
        <v/>
      </c>
      <c r="P785" s="114" t="str">
        <f aca="false">IF($E785="","",$E785*100+$O785)</f>
        <v/>
      </c>
      <c r="Q785" s="114" t="str">
        <f aca="false">IF($L785="Atrasado",$E785*10000+$A785,"")</f>
        <v/>
      </c>
    </row>
    <row r="786" customFormat="false" ht="15" hidden="false" customHeight="false" outlineLevel="0" collapsed="false">
      <c r="A786" s="114" t="n">
        <f aca="false">ROW()-4</f>
        <v>782</v>
      </c>
      <c r="B786" s="114" t="str">
        <f aca="false">IF(A786&lt;=Config!$E$27*Config!$E$28,"Tema","Avulso")</f>
        <v>Tema</v>
      </c>
      <c r="C786" s="114" t="n">
        <f aca="false">IF(B786="Tema",INT((A786-1)/Config!$E$28)+1,A786-Config!$E$27*Config!$E$28)</f>
        <v>131</v>
      </c>
      <c r="D786" s="114" t="n">
        <f aca="false">IF(B786="Tema",MOD(A786-1,Config!$E$28)+1,"")</f>
        <v>2</v>
      </c>
      <c r="E786" s="115" t="str">
        <f aca="false">IF($B786="Tema",IF(ISNUMBER(INDEX(Temas!$E$6:$P$305,$C786,2*$D786-1)),INDEX(Temas!$E$6:$P$305,$C786,2*$D786-1),""),IF(ISNUMBER(INDEX(Avulsos!$B$6:$B$205,$C786)),INDEX(Avulsos!$B$6:$B$205,$C786),""))</f>
        <v/>
      </c>
      <c r="F786" s="114" t="str">
        <f aca="false">IF($E786="","",IF($B786="Tema",INDEX(Temas!$B$6:$B$305,$C786)&amp;"",INDEX(Avulsos!$C$6:$C$205,$C786)&amp;""))</f>
        <v/>
      </c>
      <c r="G786" s="114" t="str">
        <f aca="false">IF($E786="","",IF($B786="Tema",INDEX(Config!$C$6:$C$11,$D786),"Evento avulso"))</f>
        <v/>
      </c>
      <c r="H786" s="114" t="str">
        <f aca="false">IF($E786="","",IF($B786="Tema",INDEX(Config!$D$6:$D$11,$D786),IFERROR(INDEX(Config!$E$15:$E$19,MATCH($I786,Config!$C$15:$C$19,0)),"•")))</f>
        <v/>
      </c>
      <c r="I786" s="114" t="str">
        <f aca="false">IF($E786="","",IF($B786="Tema",INDEX(Config!$E$6:$E$11,$D786),IF(INDEX(Avulsos!$D$6:$D$205,$C786)&amp;""="","Outro",INDEX(Avulsos!$D$6:$D$205,$C786))))</f>
        <v/>
      </c>
      <c r="J786" s="114" t="str">
        <f aca="false">IF($E786="","",IF($B786="Tema",INDEX(Temas!$C$6:$C$305,$C786)&amp;"",INDEX(Avulsos!$E$6:$E$205,$C786)&amp;""))</f>
        <v/>
      </c>
      <c r="K786" s="114" t="str">
        <f aca="false">IF($E786="","",IF(IF($B786="Tema",INDEX(Temas!$E$6:$P$305,$C786,2*$D786),INDEX(Avulsos!$F$6:$F$205,$C786))&amp;""="","","✓"))</f>
        <v/>
      </c>
      <c r="L786" s="114" t="str">
        <f aca="true">IF($E786="","",IF($K786="✓","Concluído",IF($E786&lt;TODAY(),"Atrasado",IF($E786=TODAY(),"Hoje","Pendente"))))</f>
        <v/>
      </c>
      <c r="M786" s="114" t="str">
        <f aca="false">IF($E786="","",IF($K786="✓","✓ ","")&amp;IF(Config!$E$22="Sim",$H786&amp;" · ","")&amp;$F786)</f>
        <v/>
      </c>
      <c r="N786" s="114" t="str">
        <f aca="false">IF($E786="","",IFERROR(INDEX(Config!$D$15:$D$19,MATCH($I786,Config!$C$15:$C$19,0)),"OUT")&amp;IF($K786="✓","x",""))</f>
        <v/>
      </c>
      <c r="O786" s="114" t="str">
        <f aca="false">IF($E786="","",COUNTIF($E$5:$E786,$E786))</f>
        <v/>
      </c>
      <c r="P786" s="114" t="str">
        <f aca="false">IF($E786="","",$E786*100+$O786)</f>
        <v/>
      </c>
      <c r="Q786" s="114" t="str">
        <f aca="false">IF($L786="Atrasado",$E786*10000+$A786,"")</f>
        <v/>
      </c>
    </row>
    <row r="787" customFormat="false" ht="15" hidden="false" customHeight="false" outlineLevel="0" collapsed="false">
      <c r="A787" s="114" t="n">
        <f aca="false">ROW()-4</f>
        <v>783</v>
      </c>
      <c r="B787" s="114" t="str">
        <f aca="false">IF(A787&lt;=Config!$E$27*Config!$E$28,"Tema","Avulso")</f>
        <v>Tema</v>
      </c>
      <c r="C787" s="114" t="n">
        <f aca="false">IF(B787="Tema",INT((A787-1)/Config!$E$28)+1,A787-Config!$E$27*Config!$E$28)</f>
        <v>131</v>
      </c>
      <c r="D787" s="114" t="n">
        <f aca="false">IF(B787="Tema",MOD(A787-1,Config!$E$28)+1,"")</f>
        <v>3</v>
      </c>
      <c r="E787" s="115" t="str">
        <f aca="false">IF($B787="Tema",IF(ISNUMBER(INDEX(Temas!$E$6:$P$305,$C787,2*$D787-1)),INDEX(Temas!$E$6:$P$305,$C787,2*$D787-1),""),IF(ISNUMBER(INDEX(Avulsos!$B$6:$B$205,$C787)),INDEX(Avulsos!$B$6:$B$205,$C787),""))</f>
        <v/>
      </c>
      <c r="F787" s="114" t="str">
        <f aca="false">IF($E787="","",IF($B787="Tema",INDEX(Temas!$B$6:$B$305,$C787)&amp;"",INDEX(Avulsos!$C$6:$C$205,$C787)&amp;""))</f>
        <v/>
      </c>
      <c r="G787" s="114" t="str">
        <f aca="false">IF($E787="","",IF($B787="Tema",INDEX(Config!$C$6:$C$11,$D787),"Evento avulso"))</f>
        <v/>
      </c>
      <c r="H787" s="114" t="str">
        <f aca="false">IF($E787="","",IF($B787="Tema",INDEX(Config!$D$6:$D$11,$D787),IFERROR(INDEX(Config!$E$15:$E$19,MATCH($I787,Config!$C$15:$C$19,0)),"•")))</f>
        <v/>
      </c>
      <c r="I787" s="114" t="str">
        <f aca="false">IF($E787="","",IF($B787="Tema",INDEX(Config!$E$6:$E$11,$D787),IF(INDEX(Avulsos!$D$6:$D$205,$C787)&amp;""="","Outro",INDEX(Avulsos!$D$6:$D$205,$C787))))</f>
        <v/>
      </c>
      <c r="J787" s="114" t="str">
        <f aca="false">IF($E787="","",IF($B787="Tema",INDEX(Temas!$C$6:$C$305,$C787)&amp;"",INDEX(Avulsos!$E$6:$E$205,$C787)&amp;""))</f>
        <v/>
      </c>
      <c r="K787" s="114" t="str">
        <f aca="false">IF($E787="","",IF(IF($B787="Tema",INDEX(Temas!$E$6:$P$305,$C787,2*$D787),INDEX(Avulsos!$F$6:$F$205,$C787))&amp;""="","","✓"))</f>
        <v/>
      </c>
      <c r="L787" s="114" t="str">
        <f aca="true">IF($E787="","",IF($K787="✓","Concluído",IF($E787&lt;TODAY(),"Atrasado",IF($E787=TODAY(),"Hoje","Pendente"))))</f>
        <v/>
      </c>
      <c r="M787" s="114" t="str">
        <f aca="false">IF($E787="","",IF($K787="✓","✓ ","")&amp;IF(Config!$E$22="Sim",$H787&amp;" · ","")&amp;$F787)</f>
        <v/>
      </c>
      <c r="N787" s="114" t="str">
        <f aca="false">IF($E787="","",IFERROR(INDEX(Config!$D$15:$D$19,MATCH($I787,Config!$C$15:$C$19,0)),"OUT")&amp;IF($K787="✓","x",""))</f>
        <v/>
      </c>
      <c r="O787" s="114" t="str">
        <f aca="false">IF($E787="","",COUNTIF($E$5:$E787,$E787))</f>
        <v/>
      </c>
      <c r="P787" s="114" t="str">
        <f aca="false">IF($E787="","",$E787*100+$O787)</f>
        <v/>
      </c>
      <c r="Q787" s="114" t="str">
        <f aca="false">IF($L787="Atrasado",$E787*10000+$A787,"")</f>
        <v/>
      </c>
    </row>
    <row r="788" customFormat="false" ht="15" hidden="false" customHeight="false" outlineLevel="0" collapsed="false">
      <c r="A788" s="114" t="n">
        <f aca="false">ROW()-4</f>
        <v>784</v>
      </c>
      <c r="B788" s="114" t="str">
        <f aca="false">IF(A788&lt;=Config!$E$27*Config!$E$28,"Tema","Avulso")</f>
        <v>Tema</v>
      </c>
      <c r="C788" s="114" t="n">
        <f aca="false">IF(B788="Tema",INT((A788-1)/Config!$E$28)+1,A788-Config!$E$27*Config!$E$28)</f>
        <v>131</v>
      </c>
      <c r="D788" s="114" t="n">
        <f aca="false">IF(B788="Tema",MOD(A788-1,Config!$E$28)+1,"")</f>
        <v>4</v>
      </c>
      <c r="E788" s="115" t="str">
        <f aca="false">IF($B788="Tema",IF(ISNUMBER(INDEX(Temas!$E$6:$P$305,$C788,2*$D788-1)),INDEX(Temas!$E$6:$P$305,$C788,2*$D788-1),""),IF(ISNUMBER(INDEX(Avulsos!$B$6:$B$205,$C788)),INDEX(Avulsos!$B$6:$B$205,$C788),""))</f>
        <v/>
      </c>
      <c r="F788" s="114" t="str">
        <f aca="false">IF($E788="","",IF($B788="Tema",INDEX(Temas!$B$6:$B$305,$C788)&amp;"",INDEX(Avulsos!$C$6:$C$205,$C788)&amp;""))</f>
        <v/>
      </c>
      <c r="G788" s="114" t="str">
        <f aca="false">IF($E788="","",IF($B788="Tema",INDEX(Config!$C$6:$C$11,$D788),"Evento avulso"))</f>
        <v/>
      </c>
      <c r="H788" s="114" t="str">
        <f aca="false">IF($E788="","",IF($B788="Tema",INDEX(Config!$D$6:$D$11,$D788),IFERROR(INDEX(Config!$E$15:$E$19,MATCH($I788,Config!$C$15:$C$19,0)),"•")))</f>
        <v/>
      </c>
      <c r="I788" s="114" t="str">
        <f aca="false">IF($E788="","",IF($B788="Tema",INDEX(Config!$E$6:$E$11,$D788),IF(INDEX(Avulsos!$D$6:$D$205,$C788)&amp;""="","Outro",INDEX(Avulsos!$D$6:$D$205,$C788))))</f>
        <v/>
      </c>
      <c r="J788" s="114" t="str">
        <f aca="false">IF($E788="","",IF($B788="Tema",INDEX(Temas!$C$6:$C$305,$C788)&amp;"",INDEX(Avulsos!$E$6:$E$205,$C788)&amp;""))</f>
        <v/>
      </c>
      <c r="K788" s="114" t="str">
        <f aca="false">IF($E788="","",IF(IF($B788="Tema",INDEX(Temas!$E$6:$P$305,$C788,2*$D788),INDEX(Avulsos!$F$6:$F$205,$C788))&amp;""="","","✓"))</f>
        <v/>
      </c>
      <c r="L788" s="114" t="str">
        <f aca="true">IF($E788="","",IF($K788="✓","Concluído",IF($E788&lt;TODAY(),"Atrasado",IF($E788=TODAY(),"Hoje","Pendente"))))</f>
        <v/>
      </c>
      <c r="M788" s="114" t="str">
        <f aca="false">IF($E788="","",IF($K788="✓","✓ ","")&amp;IF(Config!$E$22="Sim",$H788&amp;" · ","")&amp;$F788)</f>
        <v/>
      </c>
      <c r="N788" s="114" t="str">
        <f aca="false">IF($E788="","",IFERROR(INDEX(Config!$D$15:$D$19,MATCH($I788,Config!$C$15:$C$19,0)),"OUT")&amp;IF($K788="✓","x",""))</f>
        <v/>
      </c>
      <c r="O788" s="114" t="str">
        <f aca="false">IF($E788="","",COUNTIF($E$5:$E788,$E788))</f>
        <v/>
      </c>
      <c r="P788" s="114" t="str">
        <f aca="false">IF($E788="","",$E788*100+$O788)</f>
        <v/>
      </c>
      <c r="Q788" s="114" t="str">
        <f aca="false">IF($L788="Atrasado",$E788*10000+$A788,"")</f>
        <v/>
      </c>
    </row>
    <row r="789" customFormat="false" ht="15" hidden="false" customHeight="false" outlineLevel="0" collapsed="false">
      <c r="A789" s="114" t="n">
        <f aca="false">ROW()-4</f>
        <v>785</v>
      </c>
      <c r="B789" s="114" t="str">
        <f aca="false">IF(A789&lt;=Config!$E$27*Config!$E$28,"Tema","Avulso")</f>
        <v>Tema</v>
      </c>
      <c r="C789" s="114" t="n">
        <f aca="false">IF(B789="Tema",INT((A789-1)/Config!$E$28)+1,A789-Config!$E$27*Config!$E$28)</f>
        <v>131</v>
      </c>
      <c r="D789" s="114" t="n">
        <f aca="false">IF(B789="Tema",MOD(A789-1,Config!$E$28)+1,"")</f>
        <v>5</v>
      </c>
      <c r="E789" s="115" t="str">
        <f aca="false">IF($B789="Tema",IF(ISNUMBER(INDEX(Temas!$E$6:$P$305,$C789,2*$D789-1)),INDEX(Temas!$E$6:$P$305,$C789,2*$D789-1),""),IF(ISNUMBER(INDEX(Avulsos!$B$6:$B$205,$C789)),INDEX(Avulsos!$B$6:$B$205,$C789),""))</f>
        <v/>
      </c>
      <c r="F789" s="114" t="str">
        <f aca="false">IF($E789="","",IF($B789="Tema",INDEX(Temas!$B$6:$B$305,$C789)&amp;"",INDEX(Avulsos!$C$6:$C$205,$C789)&amp;""))</f>
        <v/>
      </c>
      <c r="G789" s="114" t="str">
        <f aca="false">IF($E789="","",IF($B789="Tema",INDEX(Config!$C$6:$C$11,$D789),"Evento avulso"))</f>
        <v/>
      </c>
      <c r="H789" s="114" t="str">
        <f aca="false">IF($E789="","",IF($B789="Tema",INDEX(Config!$D$6:$D$11,$D789),IFERROR(INDEX(Config!$E$15:$E$19,MATCH($I789,Config!$C$15:$C$19,0)),"•")))</f>
        <v/>
      </c>
      <c r="I789" s="114" t="str">
        <f aca="false">IF($E789="","",IF($B789="Tema",INDEX(Config!$E$6:$E$11,$D789),IF(INDEX(Avulsos!$D$6:$D$205,$C789)&amp;""="","Outro",INDEX(Avulsos!$D$6:$D$205,$C789))))</f>
        <v/>
      </c>
      <c r="J789" s="114" t="str">
        <f aca="false">IF($E789="","",IF($B789="Tema",INDEX(Temas!$C$6:$C$305,$C789)&amp;"",INDEX(Avulsos!$E$6:$E$205,$C789)&amp;""))</f>
        <v/>
      </c>
      <c r="K789" s="114" t="str">
        <f aca="false">IF($E789="","",IF(IF($B789="Tema",INDEX(Temas!$E$6:$P$305,$C789,2*$D789),INDEX(Avulsos!$F$6:$F$205,$C789))&amp;""="","","✓"))</f>
        <v/>
      </c>
      <c r="L789" s="114" t="str">
        <f aca="true">IF($E789="","",IF($K789="✓","Concluído",IF($E789&lt;TODAY(),"Atrasado",IF($E789=TODAY(),"Hoje","Pendente"))))</f>
        <v/>
      </c>
      <c r="M789" s="114" t="str">
        <f aca="false">IF($E789="","",IF($K789="✓","✓ ","")&amp;IF(Config!$E$22="Sim",$H789&amp;" · ","")&amp;$F789)</f>
        <v/>
      </c>
      <c r="N789" s="114" t="str">
        <f aca="false">IF($E789="","",IFERROR(INDEX(Config!$D$15:$D$19,MATCH($I789,Config!$C$15:$C$19,0)),"OUT")&amp;IF($K789="✓","x",""))</f>
        <v/>
      </c>
      <c r="O789" s="114" t="str">
        <f aca="false">IF($E789="","",COUNTIF($E$5:$E789,$E789))</f>
        <v/>
      </c>
      <c r="P789" s="114" t="str">
        <f aca="false">IF($E789="","",$E789*100+$O789)</f>
        <v/>
      </c>
      <c r="Q789" s="114" t="str">
        <f aca="false">IF($L789="Atrasado",$E789*10000+$A789,"")</f>
        <v/>
      </c>
    </row>
    <row r="790" customFormat="false" ht="15" hidden="false" customHeight="false" outlineLevel="0" collapsed="false">
      <c r="A790" s="114" t="n">
        <f aca="false">ROW()-4</f>
        <v>786</v>
      </c>
      <c r="B790" s="114" t="str">
        <f aca="false">IF(A790&lt;=Config!$E$27*Config!$E$28,"Tema","Avulso")</f>
        <v>Tema</v>
      </c>
      <c r="C790" s="114" t="n">
        <f aca="false">IF(B790="Tema",INT((A790-1)/Config!$E$28)+1,A790-Config!$E$27*Config!$E$28)</f>
        <v>131</v>
      </c>
      <c r="D790" s="114" t="n">
        <f aca="false">IF(B790="Tema",MOD(A790-1,Config!$E$28)+1,"")</f>
        <v>6</v>
      </c>
      <c r="E790" s="115" t="str">
        <f aca="false">IF($B790="Tema",IF(ISNUMBER(INDEX(Temas!$E$6:$P$305,$C790,2*$D790-1)),INDEX(Temas!$E$6:$P$305,$C790,2*$D790-1),""),IF(ISNUMBER(INDEX(Avulsos!$B$6:$B$205,$C790)),INDEX(Avulsos!$B$6:$B$205,$C790),""))</f>
        <v/>
      </c>
      <c r="F790" s="114" t="str">
        <f aca="false">IF($E790="","",IF($B790="Tema",INDEX(Temas!$B$6:$B$305,$C790)&amp;"",INDEX(Avulsos!$C$6:$C$205,$C790)&amp;""))</f>
        <v/>
      </c>
      <c r="G790" s="114" t="str">
        <f aca="false">IF($E790="","",IF($B790="Tema",INDEX(Config!$C$6:$C$11,$D790),"Evento avulso"))</f>
        <v/>
      </c>
      <c r="H790" s="114" t="str">
        <f aca="false">IF($E790="","",IF($B790="Tema",INDEX(Config!$D$6:$D$11,$D790),IFERROR(INDEX(Config!$E$15:$E$19,MATCH($I790,Config!$C$15:$C$19,0)),"•")))</f>
        <v/>
      </c>
      <c r="I790" s="114" t="str">
        <f aca="false">IF($E790="","",IF($B790="Tema",INDEX(Config!$E$6:$E$11,$D790),IF(INDEX(Avulsos!$D$6:$D$205,$C790)&amp;""="","Outro",INDEX(Avulsos!$D$6:$D$205,$C790))))</f>
        <v/>
      </c>
      <c r="J790" s="114" t="str">
        <f aca="false">IF($E790="","",IF($B790="Tema",INDEX(Temas!$C$6:$C$305,$C790)&amp;"",INDEX(Avulsos!$E$6:$E$205,$C790)&amp;""))</f>
        <v/>
      </c>
      <c r="K790" s="114" t="str">
        <f aca="false">IF($E790="","",IF(IF($B790="Tema",INDEX(Temas!$E$6:$P$305,$C790,2*$D790),INDEX(Avulsos!$F$6:$F$205,$C790))&amp;""="","","✓"))</f>
        <v/>
      </c>
      <c r="L790" s="114" t="str">
        <f aca="true">IF($E790="","",IF($K790="✓","Concluído",IF($E790&lt;TODAY(),"Atrasado",IF($E790=TODAY(),"Hoje","Pendente"))))</f>
        <v/>
      </c>
      <c r="M790" s="114" t="str">
        <f aca="false">IF($E790="","",IF($K790="✓","✓ ","")&amp;IF(Config!$E$22="Sim",$H790&amp;" · ","")&amp;$F790)</f>
        <v/>
      </c>
      <c r="N790" s="114" t="str">
        <f aca="false">IF($E790="","",IFERROR(INDEX(Config!$D$15:$D$19,MATCH($I790,Config!$C$15:$C$19,0)),"OUT")&amp;IF($K790="✓","x",""))</f>
        <v/>
      </c>
      <c r="O790" s="114" t="str">
        <f aca="false">IF($E790="","",COUNTIF($E$5:$E790,$E790))</f>
        <v/>
      </c>
      <c r="P790" s="114" t="str">
        <f aca="false">IF($E790="","",$E790*100+$O790)</f>
        <v/>
      </c>
      <c r="Q790" s="114" t="str">
        <f aca="false">IF($L790="Atrasado",$E790*10000+$A790,"")</f>
        <v/>
      </c>
    </row>
    <row r="791" customFormat="false" ht="15" hidden="false" customHeight="false" outlineLevel="0" collapsed="false">
      <c r="A791" s="114" t="n">
        <f aca="false">ROW()-4</f>
        <v>787</v>
      </c>
      <c r="B791" s="114" t="str">
        <f aca="false">IF(A791&lt;=Config!$E$27*Config!$E$28,"Tema","Avulso")</f>
        <v>Tema</v>
      </c>
      <c r="C791" s="114" t="n">
        <f aca="false">IF(B791="Tema",INT((A791-1)/Config!$E$28)+1,A791-Config!$E$27*Config!$E$28)</f>
        <v>132</v>
      </c>
      <c r="D791" s="114" t="n">
        <f aca="false">IF(B791="Tema",MOD(A791-1,Config!$E$28)+1,"")</f>
        <v>1</v>
      </c>
      <c r="E791" s="115" t="str">
        <f aca="false">IF($B791="Tema",IF(ISNUMBER(INDEX(Temas!$E$6:$P$305,$C791,2*$D791-1)),INDEX(Temas!$E$6:$P$305,$C791,2*$D791-1),""),IF(ISNUMBER(INDEX(Avulsos!$B$6:$B$205,$C791)),INDEX(Avulsos!$B$6:$B$205,$C791),""))</f>
        <v/>
      </c>
      <c r="F791" s="114" t="str">
        <f aca="false">IF($E791="","",IF($B791="Tema",INDEX(Temas!$B$6:$B$305,$C791)&amp;"",INDEX(Avulsos!$C$6:$C$205,$C791)&amp;""))</f>
        <v/>
      </c>
      <c r="G791" s="114" t="str">
        <f aca="false">IF($E791="","",IF($B791="Tema",INDEX(Config!$C$6:$C$11,$D791),"Evento avulso"))</f>
        <v/>
      </c>
      <c r="H791" s="114" t="str">
        <f aca="false">IF($E791="","",IF($B791="Tema",INDEX(Config!$D$6:$D$11,$D791),IFERROR(INDEX(Config!$E$15:$E$19,MATCH($I791,Config!$C$15:$C$19,0)),"•")))</f>
        <v/>
      </c>
      <c r="I791" s="114" t="str">
        <f aca="false">IF($E791="","",IF($B791="Tema",INDEX(Config!$E$6:$E$11,$D791),IF(INDEX(Avulsos!$D$6:$D$205,$C791)&amp;""="","Outro",INDEX(Avulsos!$D$6:$D$205,$C791))))</f>
        <v/>
      </c>
      <c r="J791" s="114" t="str">
        <f aca="false">IF($E791="","",IF($B791="Tema",INDEX(Temas!$C$6:$C$305,$C791)&amp;"",INDEX(Avulsos!$E$6:$E$205,$C791)&amp;""))</f>
        <v/>
      </c>
      <c r="K791" s="114" t="str">
        <f aca="false">IF($E791="","",IF(IF($B791="Tema",INDEX(Temas!$E$6:$P$305,$C791,2*$D791),INDEX(Avulsos!$F$6:$F$205,$C791))&amp;""="","","✓"))</f>
        <v/>
      </c>
      <c r="L791" s="114" t="str">
        <f aca="true">IF($E791="","",IF($K791="✓","Concluído",IF($E791&lt;TODAY(),"Atrasado",IF($E791=TODAY(),"Hoje","Pendente"))))</f>
        <v/>
      </c>
      <c r="M791" s="114" t="str">
        <f aca="false">IF($E791="","",IF($K791="✓","✓ ","")&amp;IF(Config!$E$22="Sim",$H791&amp;" · ","")&amp;$F791)</f>
        <v/>
      </c>
      <c r="N791" s="114" t="str">
        <f aca="false">IF($E791="","",IFERROR(INDEX(Config!$D$15:$D$19,MATCH($I791,Config!$C$15:$C$19,0)),"OUT")&amp;IF($K791="✓","x",""))</f>
        <v/>
      </c>
      <c r="O791" s="114" t="str">
        <f aca="false">IF($E791="","",COUNTIF($E$5:$E791,$E791))</f>
        <v/>
      </c>
      <c r="P791" s="114" t="str">
        <f aca="false">IF($E791="","",$E791*100+$O791)</f>
        <v/>
      </c>
      <c r="Q791" s="114" t="str">
        <f aca="false">IF($L791="Atrasado",$E791*10000+$A791,"")</f>
        <v/>
      </c>
    </row>
    <row r="792" customFormat="false" ht="15" hidden="false" customHeight="false" outlineLevel="0" collapsed="false">
      <c r="A792" s="114" t="n">
        <f aca="false">ROW()-4</f>
        <v>788</v>
      </c>
      <c r="B792" s="114" t="str">
        <f aca="false">IF(A792&lt;=Config!$E$27*Config!$E$28,"Tema","Avulso")</f>
        <v>Tema</v>
      </c>
      <c r="C792" s="114" t="n">
        <f aca="false">IF(B792="Tema",INT((A792-1)/Config!$E$28)+1,A792-Config!$E$27*Config!$E$28)</f>
        <v>132</v>
      </c>
      <c r="D792" s="114" t="n">
        <f aca="false">IF(B792="Tema",MOD(A792-1,Config!$E$28)+1,"")</f>
        <v>2</v>
      </c>
      <c r="E792" s="115" t="str">
        <f aca="false">IF($B792="Tema",IF(ISNUMBER(INDEX(Temas!$E$6:$P$305,$C792,2*$D792-1)),INDEX(Temas!$E$6:$P$305,$C792,2*$D792-1),""),IF(ISNUMBER(INDEX(Avulsos!$B$6:$B$205,$C792)),INDEX(Avulsos!$B$6:$B$205,$C792),""))</f>
        <v/>
      </c>
      <c r="F792" s="114" t="str">
        <f aca="false">IF($E792="","",IF($B792="Tema",INDEX(Temas!$B$6:$B$305,$C792)&amp;"",INDEX(Avulsos!$C$6:$C$205,$C792)&amp;""))</f>
        <v/>
      </c>
      <c r="G792" s="114" t="str">
        <f aca="false">IF($E792="","",IF($B792="Tema",INDEX(Config!$C$6:$C$11,$D792),"Evento avulso"))</f>
        <v/>
      </c>
      <c r="H792" s="114" t="str">
        <f aca="false">IF($E792="","",IF($B792="Tema",INDEX(Config!$D$6:$D$11,$D792),IFERROR(INDEX(Config!$E$15:$E$19,MATCH($I792,Config!$C$15:$C$19,0)),"•")))</f>
        <v/>
      </c>
      <c r="I792" s="114" t="str">
        <f aca="false">IF($E792="","",IF($B792="Tema",INDEX(Config!$E$6:$E$11,$D792),IF(INDEX(Avulsos!$D$6:$D$205,$C792)&amp;""="","Outro",INDEX(Avulsos!$D$6:$D$205,$C792))))</f>
        <v/>
      </c>
      <c r="J792" s="114" t="str">
        <f aca="false">IF($E792="","",IF($B792="Tema",INDEX(Temas!$C$6:$C$305,$C792)&amp;"",INDEX(Avulsos!$E$6:$E$205,$C792)&amp;""))</f>
        <v/>
      </c>
      <c r="K792" s="114" t="str">
        <f aca="false">IF($E792="","",IF(IF($B792="Tema",INDEX(Temas!$E$6:$P$305,$C792,2*$D792),INDEX(Avulsos!$F$6:$F$205,$C792))&amp;""="","","✓"))</f>
        <v/>
      </c>
      <c r="L792" s="114" t="str">
        <f aca="true">IF($E792="","",IF($K792="✓","Concluído",IF($E792&lt;TODAY(),"Atrasado",IF($E792=TODAY(),"Hoje","Pendente"))))</f>
        <v/>
      </c>
      <c r="M792" s="114" t="str">
        <f aca="false">IF($E792="","",IF($K792="✓","✓ ","")&amp;IF(Config!$E$22="Sim",$H792&amp;" · ","")&amp;$F792)</f>
        <v/>
      </c>
      <c r="N792" s="114" t="str">
        <f aca="false">IF($E792="","",IFERROR(INDEX(Config!$D$15:$D$19,MATCH($I792,Config!$C$15:$C$19,0)),"OUT")&amp;IF($K792="✓","x",""))</f>
        <v/>
      </c>
      <c r="O792" s="114" t="str">
        <f aca="false">IF($E792="","",COUNTIF($E$5:$E792,$E792))</f>
        <v/>
      </c>
      <c r="P792" s="114" t="str">
        <f aca="false">IF($E792="","",$E792*100+$O792)</f>
        <v/>
      </c>
      <c r="Q792" s="114" t="str">
        <f aca="false">IF($L792="Atrasado",$E792*10000+$A792,"")</f>
        <v/>
      </c>
    </row>
    <row r="793" customFormat="false" ht="15" hidden="false" customHeight="false" outlineLevel="0" collapsed="false">
      <c r="A793" s="114" t="n">
        <f aca="false">ROW()-4</f>
        <v>789</v>
      </c>
      <c r="B793" s="114" t="str">
        <f aca="false">IF(A793&lt;=Config!$E$27*Config!$E$28,"Tema","Avulso")</f>
        <v>Tema</v>
      </c>
      <c r="C793" s="114" t="n">
        <f aca="false">IF(B793="Tema",INT((A793-1)/Config!$E$28)+1,A793-Config!$E$27*Config!$E$28)</f>
        <v>132</v>
      </c>
      <c r="D793" s="114" t="n">
        <f aca="false">IF(B793="Tema",MOD(A793-1,Config!$E$28)+1,"")</f>
        <v>3</v>
      </c>
      <c r="E793" s="115" t="str">
        <f aca="false">IF($B793="Tema",IF(ISNUMBER(INDEX(Temas!$E$6:$P$305,$C793,2*$D793-1)),INDEX(Temas!$E$6:$P$305,$C793,2*$D793-1),""),IF(ISNUMBER(INDEX(Avulsos!$B$6:$B$205,$C793)),INDEX(Avulsos!$B$6:$B$205,$C793),""))</f>
        <v/>
      </c>
      <c r="F793" s="114" t="str">
        <f aca="false">IF($E793="","",IF($B793="Tema",INDEX(Temas!$B$6:$B$305,$C793)&amp;"",INDEX(Avulsos!$C$6:$C$205,$C793)&amp;""))</f>
        <v/>
      </c>
      <c r="G793" s="114" t="str">
        <f aca="false">IF($E793="","",IF($B793="Tema",INDEX(Config!$C$6:$C$11,$D793),"Evento avulso"))</f>
        <v/>
      </c>
      <c r="H793" s="114" t="str">
        <f aca="false">IF($E793="","",IF($B793="Tema",INDEX(Config!$D$6:$D$11,$D793),IFERROR(INDEX(Config!$E$15:$E$19,MATCH($I793,Config!$C$15:$C$19,0)),"•")))</f>
        <v/>
      </c>
      <c r="I793" s="114" t="str">
        <f aca="false">IF($E793="","",IF($B793="Tema",INDEX(Config!$E$6:$E$11,$D793),IF(INDEX(Avulsos!$D$6:$D$205,$C793)&amp;""="","Outro",INDEX(Avulsos!$D$6:$D$205,$C793))))</f>
        <v/>
      </c>
      <c r="J793" s="114" t="str">
        <f aca="false">IF($E793="","",IF($B793="Tema",INDEX(Temas!$C$6:$C$305,$C793)&amp;"",INDEX(Avulsos!$E$6:$E$205,$C793)&amp;""))</f>
        <v/>
      </c>
      <c r="K793" s="114" t="str">
        <f aca="false">IF($E793="","",IF(IF($B793="Tema",INDEX(Temas!$E$6:$P$305,$C793,2*$D793),INDEX(Avulsos!$F$6:$F$205,$C793))&amp;""="","","✓"))</f>
        <v/>
      </c>
      <c r="L793" s="114" t="str">
        <f aca="true">IF($E793="","",IF($K793="✓","Concluído",IF($E793&lt;TODAY(),"Atrasado",IF($E793=TODAY(),"Hoje","Pendente"))))</f>
        <v/>
      </c>
      <c r="M793" s="114" t="str">
        <f aca="false">IF($E793="","",IF($K793="✓","✓ ","")&amp;IF(Config!$E$22="Sim",$H793&amp;" · ","")&amp;$F793)</f>
        <v/>
      </c>
      <c r="N793" s="114" t="str">
        <f aca="false">IF($E793="","",IFERROR(INDEX(Config!$D$15:$D$19,MATCH($I793,Config!$C$15:$C$19,0)),"OUT")&amp;IF($K793="✓","x",""))</f>
        <v/>
      </c>
      <c r="O793" s="114" t="str">
        <f aca="false">IF($E793="","",COUNTIF($E$5:$E793,$E793))</f>
        <v/>
      </c>
      <c r="P793" s="114" t="str">
        <f aca="false">IF($E793="","",$E793*100+$O793)</f>
        <v/>
      </c>
      <c r="Q793" s="114" t="str">
        <f aca="false">IF($L793="Atrasado",$E793*10000+$A793,"")</f>
        <v/>
      </c>
    </row>
    <row r="794" customFormat="false" ht="15" hidden="false" customHeight="false" outlineLevel="0" collapsed="false">
      <c r="A794" s="114" t="n">
        <f aca="false">ROW()-4</f>
        <v>790</v>
      </c>
      <c r="B794" s="114" t="str">
        <f aca="false">IF(A794&lt;=Config!$E$27*Config!$E$28,"Tema","Avulso")</f>
        <v>Tema</v>
      </c>
      <c r="C794" s="114" t="n">
        <f aca="false">IF(B794="Tema",INT((A794-1)/Config!$E$28)+1,A794-Config!$E$27*Config!$E$28)</f>
        <v>132</v>
      </c>
      <c r="D794" s="114" t="n">
        <f aca="false">IF(B794="Tema",MOD(A794-1,Config!$E$28)+1,"")</f>
        <v>4</v>
      </c>
      <c r="E794" s="115" t="str">
        <f aca="false">IF($B794="Tema",IF(ISNUMBER(INDEX(Temas!$E$6:$P$305,$C794,2*$D794-1)),INDEX(Temas!$E$6:$P$305,$C794,2*$D794-1),""),IF(ISNUMBER(INDEX(Avulsos!$B$6:$B$205,$C794)),INDEX(Avulsos!$B$6:$B$205,$C794),""))</f>
        <v/>
      </c>
      <c r="F794" s="114" t="str">
        <f aca="false">IF($E794="","",IF($B794="Tema",INDEX(Temas!$B$6:$B$305,$C794)&amp;"",INDEX(Avulsos!$C$6:$C$205,$C794)&amp;""))</f>
        <v/>
      </c>
      <c r="G794" s="114" t="str">
        <f aca="false">IF($E794="","",IF($B794="Tema",INDEX(Config!$C$6:$C$11,$D794),"Evento avulso"))</f>
        <v/>
      </c>
      <c r="H794" s="114" t="str">
        <f aca="false">IF($E794="","",IF($B794="Tema",INDEX(Config!$D$6:$D$11,$D794),IFERROR(INDEX(Config!$E$15:$E$19,MATCH($I794,Config!$C$15:$C$19,0)),"•")))</f>
        <v/>
      </c>
      <c r="I794" s="114" t="str">
        <f aca="false">IF($E794="","",IF($B794="Tema",INDEX(Config!$E$6:$E$11,$D794),IF(INDEX(Avulsos!$D$6:$D$205,$C794)&amp;""="","Outro",INDEX(Avulsos!$D$6:$D$205,$C794))))</f>
        <v/>
      </c>
      <c r="J794" s="114" t="str">
        <f aca="false">IF($E794="","",IF($B794="Tema",INDEX(Temas!$C$6:$C$305,$C794)&amp;"",INDEX(Avulsos!$E$6:$E$205,$C794)&amp;""))</f>
        <v/>
      </c>
      <c r="K794" s="114" t="str">
        <f aca="false">IF($E794="","",IF(IF($B794="Tema",INDEX(Temas!$E$6:$P$305,$C794,2*$D794),INDEX(Avulsos!$F$6:$F$205,$C794))&amp;""="","","✓"))</f>
        <v/>
      </c>
      <c r="L794" s="114" t="str">
        <f aca="true">IF($E794="","",IF($K794="✓","Concluído",IF($E794&lt;TODAY(),"Atrasado",IF($E794=TODAY(),"Hoje","Pendente"))))</f>
        <v/>
      </c>
      <c r="M794" s="114" t="str">
        <f aca="false">IF($E794="","",IF($K794="✓","✓ ","")&amp;IF(Config!$E$22="Sim",$H794&amp;" · ","")&amp;$F794)</f>
        <v/>
      </c>
      <c r="N794" s="114" t="str">
        <f aca="false">IF($E794="","",IFERROR(INDEX(Config!$D$15:$D$19,MATCH($I794,Config!$C$15:$C$19,0)),"OUT")&amp;IF($K794="✓","x",""))</f>
        <v/>
      </c>
      <c r="O794" s="114" t="str">
        <f aca="false">IF($E794="","",COUNTIF($E$5:$E794,$E794))</f>
        <v/>
      </c>
      <c r="P794" s="114" t="str">
        <f aca="false">IF($E794="","",$E794*100+$O794)</f>
        <v/>
      </c>
      <c r="Q794" s="114" t="str">
        <f aca="false">IF($L794="Atrasado",$E794*10000+$A794,"")</f>
        <v/>
      </c>
    </row>
    <row r="795" customFormat="false" ht="15" hidden="false" customHeight="false" outlineLevel="0" collapsed="false">
      <c r="A795" s="114" t="n">
        <f aca="false">ROW()-4</f>
        <v>791</v>
      </c>
      <c r="B795" s="114" t="str">
        <f aca="false">IF(A795&lt;=Config!$E$27*Config!$E$28,"Tema","Avulso")</f>
        <v>Tema</v>
      </c>
      <c r="C795" s="114" t="n">
        <f aca="false">IF(B795="Tema",INT((A795-1)/Config!$E$28)+1,A795-Config!$E$27*Config!$E$28)</f>
        <v>132</v>
      </c>
      <c r="D795" s="114" t="n">
        <f aca="false">IF(B795="Tema",MOD(A795-1,Config!$E$28)+1,"")</f>
        <v>5</v>
      </c>
      <c r="E795" s="115" t="str">
        <f aca="false">IF($B795="Tema",IF(ISNUMBER(INDEX(Temas!$E$6:$P$305,$C795,2*$D795-1)),INDEX(Temas!$E$6:$P$305,$C795,2*$D795-1),""),IF(ISNUMBER(INDEX(Avulsos!$B$6:$B$205,$C795)),INDEX(Avulsos!$B$6:$B$205,$C795),""))</f>
        <v/>
      </c>
      <c r="F795" s="114" t="str">
        <f aca="false">IF($E795="","",IF($B795="Tema",INDEX(Temas!$B$6:$B$305,$C795)&amp;"",INDEX(Avulsos!$C$6:$C$205,$C795)&amp;""))</f>
        <v/>
      </c>
      <c r="G795" s="114" t="str">
        <f aca="false">IF($E795="","",IF($B795="Tema",INDEX(Config!$C$6:$C$11,$D795),"Evento avulso"))</f>
        <v/>
      </c>
      <c r="H795" s="114" t="str">
        <f aca="false">IF($E795="","",IF($B795="Tema",INDEX(Config!$D$6:$D$11,$D795),IFERROR(INDEX(Config!$E$15:$E$19,MATCH($I795,Config!$C$15:$C$19,0)),"•")))</f>
        <v/>
      </c>
      <c r="I795" s="114" t="str">
        <f aca="false">IF($E795="","",IF($B795="Tema",INDEX(Config!$E$6:$E$11,$D795),IF(INDEX(Avulsos!$D$6:$D$205,$C795)&amp;""="","Outro",INDEX(Avulsos!$D$6:$D$205,$C795))))</f>
        <v/>
      </c>
      <c r="J795" s="114" t="str">
        <f aca="false">IF($E795="","",IF($B795="Tema",INDEX(Temas!$C$6:$C$305,$C795)&amp;"",INDEX(Avulsos!$E$6:$E$205,$C795)&amp;""))</f>
        <v/>
      </c>
      <c r="K795" s="114" t="str">
        <f aca="false">IF($E795="","",IF(IF($B795="Tema",INDEX(Temas!$E$6:$P$305,$C795,2*$D795),INDEX(Avulsos!$F$6:$F$205,$C795))&amp;""="","","✓"))</f>
        <v/>
      </c>
      <c r="L795" s="114" t="str">
        <f aca="true">IF($E795="","",IF($K795="✓","Concluído",IF($E795&lt;TODAY(),"Atrasado",IF($E795=TODAY(),"Hoje","Pendente"))))</f>
        <v/>
      </c>
      <c r="M795" s="114" t="str">
        <f aca="false">IF($E795="","",IF($K795="✓","✓ ","")&amp;IF(Config!$E$22="Sim",$H795&amp;" · ","")&amp;$F795)</f>
        <v/>
      </c>
      <c r="N795" s="114" t="str">
        <f aca="false">IF($E795="","",IFERROR(INDEX(Config!$D$15:$D$19,MATCH($I795,Config!$C$15:$C$19,0)),"OUT")&amp;IF($K795="✓","x",""))</f>
        <v/>
      </c>
      <c r="O795" s="114" t="str">
        <f aca="false">IF($E795="","",COUNTIF($E$5:$E795,$E795))</f>
        <v/>
      </c>
      <c r="P795" s="114" t="str">
        <f aca="false">IF($E795="","",$E795*100+$O795)</f>
        <v/>
      </c>
      <c r="Q795" s="114" t="str">
        <f aca="false">IF($L795="Atrasado",$E795*10000+$A795,"")</f>
        <v/>
      </c>
    </row>
    <row r="796" customFormat="false" ht="15" hidden="false" customHeight="false" outlineLevel="0" collapsed="false">
      <c r="A796" s="114" t="n">
        <f aca="false">ROW()-4</f>
        <v>792</v>
      </c>
      <c r="B796" s="114" t="str">
        <f aca="false">IF(A796&lt;=Config!$E$27*Config!$E$28,"Tema","Avulso")</f>
        <v>Tema</v>
      </c>
      <c r="C796" s="114" t="n">
        <f aca="false">IF(B796="Tema",INT((A796-1)/Config!$E$28)+1,A796-Config!$E$27*Config!$E$28)</f>
        <v>132</v>
      </c>
      <c r="D796" s="114" t="n">
        <f aca="false">IF(B796="Tema",MOD(A796-1,Config!$E$28)+1,"")</f>
        <v>6</v>
      </c>
      <c r="E796" s="115" t="str">
        <f aca="false">IF($B796="Tema",IF(ISNUMBER(INDEX(Temas!$E$6:$P$305,$C796,2*$D796-1)),INDEX(Temas!$E$6:$P$305,$C796,2*$D796-1),""),IF(ISNUMBER(INDEX(Avulsos!$B$6:$B$205,$C796)),INDEX(Avulsos!$B$6:$B$205,$C796),""))</f>
        <v/>
      </c>
      <c r="F796" s="114" t="str">
        <f aca="false">IF($E796="","",IF($B796="Tema",INDEX(Temas!$B$6:$B$305,$C796)&amp;"",INDEX(Avulsos!$C$6:$C$205,$C796)&amp;""))</f>
        <v/>
      </c>
      <c r="G796" s="114" t="str">
        <f aca="false">IF($E796="","",IF($B796="Tema",INDEX(Config!$C$6:$C$11,$D796),"Evento avulso"))</f>
        <v/>
      </c>
      <c r="H796" s="114" t="str">
        <f aca="false">IF($E796="","",IF($B796="Tema",INDEX(Config!$D$6:$D$11,$D796),IFERROR(INDEX(Config!$E$15:$E$19,MATCH($I796,Config!$C$15:$C$19,0)),"•")))</f>
        <v/>
      </c>
      <c r="I796" s="114" t="str">
        <f aca="false">IF($E796="","",IF($B796="Tema",INDEX(Config!$E$6:$E$11,$D796),IF(INDEX(Avulsos!$D$6:$D$205,$C796)&amp;""="","Outro",INDEX(Avulsos!$D$6:$D$205,$C796))))</f>
        <v/>
      </c>
      <c r="J796" s="114" t="str">
        <f aca="false">IF($E796="","",IF($B796="Tema",INDEX(Temas!$C$6:$C$305,$C796)&amp;"",INDEX(Avulsos!$E$6:$E$205,$C796)&amp;""))</f>
        <v/>
      </c>
      <c r="K796" s="114" t="str">
        <f aca="false">IF($E796="","",IF(IF($B796="Tema",INDEX(Temas!$E$6:$P$305,$C796,2*$D796),INDEX(Avulsos!$F$6:$F$205,$C796))&amp;""="","","✓"))</f>
        <v/>
      </c>
      <c r="L796" s="114" t="str">
        <f aca="true">IF($E796="","",IF($K796="✓","Concluído",IF($E796&lt;TODAY(),"Atrasado",IF($E796=TODAY(),"Hoje","Pendente"))))</f>
        <v/>
      </c>
      <c r="M796" s="114" t="str">
        <f aca="false">IF($E796="","",IF($K796="✓","✓ ","")&amp;IF(Config!$E$22="Sim",$H796&amp;" · ","")&amp;$F796)</f>
        <v/>
      </c>
      <c r="N796" s="114" t="str">
        <f aca="false">IF($E796="","",IFERROR(INDEX(Config!$D$15:$D$19,MATCH($I796,Config!$C$15:$C$19,0)),"OUT")&amp;IF($K796="✓","x",""))</f>
        <v/>
      </c>
      <c r="O796" s="114" t="str">
        <f aca="false">IF($E796="","",COUNTIF($E$5:$E796,$E796))</f>
        <v/>
      </c>
      <c r="P796" s="114" t="str">
        <f aca="false">IF($E796="","",$E796*100+$O796)</f>
        <v/>
      </c>
      <c r="Q796" s="114" t="str">
        <f aca="false">IF($L796="Atrasado",$E796*10000+$A796,"")</f>
        <v/>
      </c>
    </row>
    <row r="797" customFormat="false" ht="15" hidden="false" customHeight="false" outlineLevel="0" collapsed="false">
      <c r="A797" s="114" t="n">
        <f aca="false">ROW()-4</f>
        <v>793</v>
      </c>
      <c r="B797" s="114" t="str">
        <f aca="false">IF(A797&lt;=Config!$E$27*Config!$E$28,"Tema","Avulso")</f>
        <v>Tema</v>
      </c>
      <c r="C797" s="114" t="n">
        <f aca="false">IF(B797="Tema",INT((A797-1)/Config!$E$28)+1,A797-Config!$E$27*Config!$E$28)</f>
        <v>133</v>
      </c>
      <c r="D797" s="114" t="n">
        <f aca="false">IF(B797="Tema",MOD(A797-1,Config!$E$28)+1,"")</f>
        <v>1</v>
      </c>
      <c r="E797" s="115" t="str">
        <f aca="false">IF($B797="Tema",IF(ISNUMBER(INDEX(Temas!$E$6:$P$305,$C797,2*$D797-1)),INDEX(Temas!$E$6:$P$305,$C797,2*$D797-1),""),IF(ISNUMBER(INDEX(Avulsos!$B$6:$B$205,$C797)),INDEX(Avulsos!$B$6:$B$205,$C797),""))</f>
        <v/>
      </c>
      <c r="F797" s="114" t="str">
        <f aca="false">IF($E797="","",IF($B797="Tema",INDEX(Temas!$B$6:$B$305,$C797)&amp;"",INDEX(Avulsos!$C$6:$C$205,$C797)&amp;""))</f>
        <v/>
      </c>
      <c r="G797" s="114" t="str">
        <f aca="false">IF($E797="","",IF($B797="Tema",INDEX(Config!$C$6:$C$11,$D797),"Evento avulso"))</f>
        <v/>
      </c>
      <c r="H797" s="114" t="str">
        <f aca="false">IF($E797="","",IF($B797="Tema",INDEX(Config!$D$6:$D$11,$D797),IFERROR(INDEX(Config!$E$15:$E$19,MATCH($I797,Config!$C$15:$C$19,0)),"•")))</f>
        <v/>
      </c>
      <c r="I797" s="114" t="str">
        <f aca="false">IF($E797="","",IF($B797="Tema",INDEX(Config!$E$6:$E$11,$D797),IF(INDEX(Avulsos!$D$6:$D$205,$C797)&amp;""="","Outro",INDEX(Avulsos!$D$6:$D$205,$C797))))</f>
        <v/>
      </c>
      <c r="J797" s="114" t="str">
        <f aca="false">IF($E797="","",IF($B797="Tema",INDEX(Temas!$C$6:$C$305,$C797)&amp;"",INDEX(Avulsos!$E$6:$E$205,$C797)&amp;""))</f>
        <v/>
      </c>
      <c r="K797" s="114" t="str">
        <f aca="false">IF($E797="","",IF(IF($B797="Tema",INDEX(Temas!$E$6:$P$305,$C797,2*$D797),INDEX(Avulsos!$F$6:$F$205,$C797))&amp;""="","","✓"))</f>
        <v/>
      </c>
      <c r="L797" s="114" t="str">
        <f aca="true">IF($E797="","",IF($K797="✓","Concluído",IF($E797&lt;TODAY(),"Atrasado",IF($E797=TODAY(),"Hoje","Pendente"))))</f>
        <v/>
      </c>
      <c r="M797" s="114" t="str">
        <f aca="false">IF($E797="","",IF($K797="✓","✓ ","")&amp;IF(Config!$E$22="Sim",$H797&amp;" · ","")&amp;$F797)</f>
        <v/>
      </c>
      <c r="N797" s="114" t="str">
        <f aca="false">IF($E797="","",IFERROR(INDEX(Config!$D$15:$D$19,MATCH($I797,Config!$C$15:$C$19,0)),"OUT")&amp;IF($K797="✓","x",""))</f>
        <v/>
      </c>
      <c r="O797" s="114" t="str">
        <f aca="false">IF($E797="","",COUNTIF($E$5:$E797,$E797))</f>
        <v/>
      </c>
      <c r="P797" s="114" t="str">
        <f aca="false">IF($E797="","",$E797*100+$O797)</f>
        <v/>
      </c>
      <c r="Q797" s="114" t="str">
        <f aca="false">IF($L797="Atrasado",$E797*10000+$A797,"")</f>
        <v/>
      </c>
    </row>
    <row r="798" customFormat="false" ht="15" hidden="false" customHeight="false" outlineLevel="0" collapsed="false">
      <c r="A798" s="114" t="n">
        <f aca="false">ROW()-4</f>
        <v>794</v>
      </c>
      <c r="B798" s="114" t="str">
        <f aca="false">IF(A798&lt;=Config!$E$27*Config!$E$28,"Tema","Avulso")</f>
        <v>Tema</v>
      </c>
      <c r="C798" s="114" t="n">
        <f aca="false">IF(B798="Tema",INT((A798-1)/Config!$E$28)+1,A798-Config!$E$27*Config!$E$28)</f>
        <v>133</v>
      </c>
      <c r="D798" s="114" t="n">
        <f aca="false">IF(B798="Tema",MOD(A798-1,Config!$E$28)+1,"")</f>
        <v>2</v>
      </c>
      <c r="E798" s="115" t="str">
        <f aca="false">IF($B798="Tema",IF(ISNUMBER(INDEX(Temas!$E$6:$P$305,$C798,2*$D798-1)),INDEX(Temas!$E$6:$P$305,$C798,2*$D798-1),""),IF(ISNUMBER(INDEX(Avulsos!$B$6:$B$205,$C798)),INDEX(Avulsos!$B$6:$B$205,$C798),""))</f>
        <v/>
      </c>
      <c r="F798" s="114" t="str">
        <f aca="false">IF($E798="","",IF($B798="Tema",INDEX(Temas!$B$6:$B$305,$C798)&amp;"",INDEX(Avulsos!$C$6:$C$205,$C798)&amp;""))</f>
        <v/>
      </c>
      <c r="G798" s="114" t="str">
        <f aca="false">IF($E798="","",IF($B798="Tema",INDEX(Config!$C$6:$C$11,$D798),"Evento avulso"))</f>
        <v/>
      </c>
      <c r="H798" s="114" t="str">
        <f aca="false">IF($E798="","",IF($B798="Tema",INDEX(Config!$D$6:$D$11,$D798),IFERROR(INDEX(Config!$E$15:$E$19,MATCH($I798,Config!$C$15:$C$19,0)),"•")))</f>
        <v/>
      </c>
      <c r="I798" s="114" t="str">
        <f aca="false">IF($E798="","",IF($B798="Tema",INDEX(Config!$E$6:$E$11,$D798),IF(INDEX(Avulsos!$D$6:$D$205,$C798)&amp;""="","Outro",INDEX(Avulsos!$D$6:$D$205,$C798))))</f>
        <v/>
      </c>
      <c r="J798" s="114" t="str">
        <f aca="false">IF($E798="","",IF($B798="Tema",INDEX(Temas!$C$6:$C$305,$C798)&amp;"",INDEX(Avulsos!$E$6:$E$205,$C798)&amp;""))</f>
        <v/>
      </c>
      <c r="K798" s="114" t="str">
        <f aca="false">IF($E798="","",IF(IF($B798="Tema",INDEX(Temas!$E$6:$P$305,$C798,2*$D798),INDEX(Avulsos!$F$6:$F$205,$C798))&amp;""="","","✓"))</f>
        <v/>
      </c>
      <c r="L798" s="114" t="str">
        <f aca="true">IF($E798="","",IF($K798="✓","Concluído",IF($E798&lt;TODAY(),"Atrasado",IF($E798=TODAY(),"Hoje","Pendente"))))</f>
        <v/>
      </c>
      <c r="M798" s="114" t="str">
        <f aca="false">IF($E798="","",IF($K798="✓","✓ ","")&amp;IF(Config!$E$22="Sim",$H798&amp;" · ","")&amp;$F798)</f>
        <v/>
      </c>
      <c r="N798" s="114" t="str">
        <f aca="false">IF($E798="","",IFERROR(INDEX(Config!$D$15:$D$19,MATCH($I798,Config!$C$15:$C$19,0)),"OUT")&amp;IF($K798="✓","x",""))</f>
        <v/>
      </c>
      <c r="O798" s="114" t="str">
        <f aca="false">IF($E798="","",COUNTIF($E$5:$E798,$E798))</f>
        <v/>
      </c>
      <c r="P798" s="114" t="str">
        <f aca="false">IF($E798="","",$E798*100+$O798)</f>
        <v/>
      </c>
      <c r="Q798" s="114" t="str">
        <f aca="false">IF($L798="Atrasado",$E798*10000+$A798,"")</f>
        <v/>
      </c>
    </row>
    <row r="799" customFormat="false" ht="15" hidden="false" customHeight="false" outlineLevel="0" collapsed="false">
      <c r="A799" s="114" t="n">
        <f aca="false">ROW()-4</f>
        <v>795</v>
      </c>
      <c r="B799" s="114" t="str">
        <f aca="false">IF(A799&lt;=Config!$E$27*Config!$E$28,"Tema","Avulso")</f>
        <v>Tema</v>
      </c>
      <c r="C799" s="114" t="n">
        <f aca="false">IF(B799="Tema",INT((A799-1)/Config!$E$28)+1,A799-Config!$E$27*Config!$E$28)</f>
        <v>133</v>
      </c>
      <c r="D799" s="114" t="n">
        <f aca="false">IF(B799="Tema",MOD(A799-1,Config!$E$28)+1,"")</f>
        <v>3</v>
      </c>
      <c r="E799" s="115" t="str">
        <f aca="false">IF($B799="Tema",IF(ISNUMBER(INDEX(Temas!$E$6:$P$305,$C799,2*$D799-1)),INDEX(Temas!$E$6:$P$305,$C799,2*$D799-1),""),IF(ISNUMBER(INDEX(Avulsos!$B$6:$B$205,$C799)),INDEX(Avulsos!$B$6:$B$205,$C799),""))</f>
        <v/>
      </c>
      <c r="F799" s="114" t="str">
        <f aca="false">IF($E799="","",IF($B799="Tema",INDEX(Temas!$B$6:$B$305,$C799)&amp;"",INDEX(Avulsos!$C$6:$C$205,$C799)&amp;""))</f>
        <v/>
      </c>
      <c r="G799" s="114" t="str">
        <f aca="false">IF($E799="","",IF($B799="Tema",INDEX(Config!$C$6:$C$11,$D799),"Evento avulso"))</f>
        <v/>
      </c>
      <c r="H799" s="114" t="str">
        <f aca="false">IF($E799="","",IF($B799="Tema",INDEX(Config!$D$6:$D$11,$D799),IFERROR(INDEX(Config!$E$15:$E$19,MATCH($I799,Config!$C$15:$C$19,0)),"•")))</f>
        <v/>
      </c>
      <c r="I799" s="114" t="str">
        <f aca="false">IF($E799="","",IF($B799="Tema",INDEX(Config!$E$6:$E$11,$D799),IF(INDEX(Avulsos!$D$6:$D$205,$C799)&amp;""="","Outro",INDEX(Avulsos!$D$6:$D$205,$C799))))</f>
        <v/>
      </c>
      <c r="J799" s="114" t="str">
        <f aca="false">IF($E799="","",IF($B799="Tema",INDEX(Temas!$C$6:$C$305,$C799)&amp;"",INDEX(Avulsos!$E$6:$E$205,$C799)&amp;""))</f>
        <v/>
      </c>
      <c r="K799" s="114" t="str">
        <f aca="false">IF($E799="","",IF(IF($B799="Tema",INDEX(Temas!$E$6:$P$305,$C799,2*$D799),INDEX(Avulsos!$F$6:$F$205,$C799))&amp;""="","","✓"))</f>
        <v/>
      </c>
      <c r="L799" s="114" t="str">
        <f aca="true">IF($E799="","",IF($K799="✓","Concluído",IF($E799&lt;TODAY(),"Atrasado",IF($E799=TODAY(),"Hoje","Pendente"))))</f>
        <v/>
      </c>
      <c r="M799" s="114" t="str">
        <f aca="false">IF($E799="","",IF($K799="✓","✓ ","")&amp;IF(Config!$E$22="Sim",$H799&amp;" · ","")&amp;$F799)</f>
        <v/>
      </c>
      <c r="N799" s="114" t="str">
        <f aca="false">IF($E799="","",IFERROR(INDEX(Config!$D$15:$D$19,MATCH($I799,Config!$C$15:$C$19,0)),"OUT")&amp;IF($K799="✓","x",""))</f>
        <v/>
      </c>
      <c r="O799" s="114" t="str">
        <f aca="false">IF($E799="","",COUNTIF($E$5:$E799,$E799))</f>
        <v/>
      </c>
      <c r="P799" s="114" t="str">
        <f aca="false">IF($E799="","",$E799*100+$O799)</f>
        <v/>
      </c>
      <c r="Q799" s="114" t="str">
        <f aca="false">IF($L799="Atrasado",$E799*10000+$A799,"")</f>
        <v/>
      </c>
    </row>
    <row r="800" customFormat="false" ht="15" hidden="false" customHeight="false" outlineLevel="0" collapsed="false">
      <c r="A800" s="114" t="n">
        <f aca="false">ROW()-4</f>
        <v>796</v>
      </c>
      <c r="B800" s="114" t="str">
        <f aca="false">IF(A800&lt;=Config!$E$27*Config!$E$28,"Tema","Avulso")</f>
        <v>Tema</v>
      </c>
      <c r="C800" s="114" t="n">
        <f aca="false">IF(B800="Tema",INT((A800-1)/Config!$E$28)+1,A800-Config!$E$27*Config!$E$28)</f>
        <v>133</v>
      </c>
      <c r="D800" s="114" t="n">
        <f aca="false">IF(B800="Tema",MOD(A800-1,Config!$E$28)+1,"")</f>
        <v>4</v>
      </c>
      <c r="E800" s="115" t="str">
        <f aca="false">IF($B800="Tema",IF(ISNUMBER(INDEX(Temas!$E$6:$P$305,$C800,2*$D800-1)),INDEX(Temas!$E$6:$P$305,$C800,2*$D800-1),""),IF(ISNUMBER(INDEX(Avulsos!$B$6:$B$205,$C800)),INDEX(Avulsos!$B$6:$B$205,$C800),""))</f>
        <v/>
      </c>
      <c r="F800" s="114" t="str">
        <f aca="false">IF($E800="","",IF($B800="Tema",INDEX(Temas!$B$6:$B$305,$C800)&amp;"",INDEX(Avulsos!$C$6:$C$205,$C800)&amp;""))</f>
        <v/>
      </c>
      <c r="G800" s="114" t="str">
        <f aca="false">IF($E800="","",IF($B800="Tema",INDEX(Config!$C$6:$C$11,$D800),"Evento avulso"))</f>
        <v/>
      </c>
      <c r="H800" s="114" t="str">
        <f aca="false">IF($E800="","",IF($B800="Tema",INDEX(Config!$D$6:$D$11,$D800),IFERROR(INDEX(Config!$E$15:$E$19,MATCH($I800,Config!$C$15:$C$19,0)),"•")))</f>
        <v/>
      </c>
      <c r="I800" s="114" t="str">
        <f aca="false">IF($E800="","",IF($B800="Tema",INDEX(Config!$E$6:$E$11,$D800),IF(INDEX(Avulsos!$D$6:$D$205,$C800)&amp;""="","Outro",INDEX(Avulsos!$D$6:$D$205,$C800))))</f>
        <v/>
      </c>
      <c r="J800" s="114" t="str">
        <f aca="false">IF($E800="","",IF($B800="Tema",INDEX(Temas!$C$6:$C$305,$C800)&amp;"",INDEX(Avulsos!$E$6:$E$205,$C800)&amp;""))</f>
        <v/>
      </c>
      <c r="K800" s="114" t="str">
        <f aca="false">IF($E800="","",IF(IF($B800="Tema",INDEX(Temas!$E$6:$P$305,$C800,2*$D800),INDEX(Avulsos!$F$6:$F$205,$C800))&amp;""="","","✓"))</f>
        <v/>
      </c>
      <c r="L800" s="114" t="str">
        <f aca="true">IF($E800="","",IF($K800="✓","Concluído",IF($E800&lt;TODAY(),"Atrasado",IF($E800=TODAY(),"Hoje","Pendente"))))</f>
        <v/>
      </c>
      <c r="M800" s="114" t="str">
        <f aca="false">IF($E800="","",IF($K800="✓","✓ ","")&amp;IF(Config!$E$22="Sim",$H800&amp;" · ","")&amp;$F800)</f>
        <v/>
      </c>
      <c r="N800" s="114" t="str">
        <f aca="false">IF($E800="","",IFERROR(INDEX(Config!$D$15:$D$19,MATCH($I800,Config!$C$15:$C$19,0)),"OUT")&amp;IF($K800="✓","x",""))</f>
        <v/>
      </c>
      <c r="O800" s="114" t="str">
        <f aca="false">IF($E800="","",COUNTIF($E$5:$E800,$E800))</f>
        <v/>
      </c>
      <c r="P800" s="114" t="str">
        <f aca="false">IF($E800="","",$E800*100+$O800)</f>
        <v/>
      </c>
      <c r="Q800" s="114" t="str">
        <f aca="false">IF($L800="Atrasado",$E800*10000+$A800,"")</f>
        <v/>
      </c>
    </row>
    <row r="801" customFormat="false" ht="15" hidden="false" customHeight="false" outlineLevel="0" collapsed="false">
      <c r="A801" s="114" t="n">
        <f aca="false">ROW()-4</f>
        <v>797</v>
      </c>
      <c r="B801" s="114" t="str">
        <f aca="false">IF(A801&lt;=Config!$E$27*Config!$E$28,"Tema","Avulso")</f>
        <v>Tema</v>
      </c>
      <c r="C801" s="114" t="n">
        <f aca="false">IF(B801="Tema",INT((A801-1)/Config!$E$28)+1,A801-Config!$E$27*Config!$E$28)</f>
        <v>133</v>
      </c>
      <c r="D801" s="114" t="n">
        <f aca="false">IF(B801="Tema",MOD(A801-1,Config!$E$28)+1,"")</f>
        <v>5</v>
      </c>
      <c r="E801" s="115" t="str">
        <f aca="false">IF($B801="Tema",IF(ISNUMBER(INDEX(Temas!$E$6:$P$305,$C801,2*$D801-1)),INDEX(Temas!$E$6:$P$305,$C801,2*$D801-1),""),IF(ISNUMBER(INDEX(Avulsos!$B$6:$B$205,$C801)),INDEX(Avulsos!$B$6:$B$205,$C801),""))</f>
        <v/>
      </c>
      <c r="F801" s="114" t="str">
        <f aca="false">IF($E801="","",IF($B801="Tema",INDEX(Temas!$B$6:$B$305,$C801)&amp;"",INDEX(Avulsos!$C$6:$C$205,$C801)&amp;""))</f>
        <v/>
      </c>
      <c r="G801" s="114" t="str">
        <f aca="false">IF($E801="","",IF($B801="Tema",INDEX(Config!$C$6:$C$11,$D801),"Evento avulso"))</f>
        <v/>
      </c>
      <c r="H801" s="114" t="str">
        <f aca="false">IF($E801="","",IF($B801="Tema",INDEX(Config!$D$6:$D$11,$D801),IFERROR(INDEX(Config!$E$15:$E$19,MATCH($I801,Config!$C$15:$C$19,0)),"•")))</f>
        <v/>
      </c>
      <c r="I801" s="114" t="str">
        <f aca="false">IF($E801="","",IF($B801="Tema",INDEX(Config!$E$6:$E$11,$D801),IF(INDEX(Avulsos!$D$6:$D$205,$C801)&amp;""="","Outro",INDEX(Avulsos!$D$6:$D$205,$C801))))</f>
        <v/>
      </c>
      <c r="J801" s="114" t="str">
        <f aca="false">IF($E801="","",IF($B801="Tema",INDEX(Temas!$C$6:$C$305,$C801)&amp;"",INDEX(Avulsos!$E$6:$E$205,$C801)&amp;""))</f>
        <v/>
      </c>
      <c r="K801" s="114" t="str">
        <f aca="false">IF($E801="","",IF(IF($B801="Tema",INDEX(Temas!$E$6:$P$305,$C801,2*$D801),INDEX(Avulsos!$F$6:$F$205,$C801))&amp;""="","","✓"))</f>
        <v/>
      </c>
      <c r="L801" s="114" t="str">
        <f aca="true">IF($E801="","",IF($K801="✓","Concluído",IF($E801&lt;TODAY(),"Atrasado",IF($E801=TODAY(),"Hoje","Pendente"))))</f>
        <v/>
      </c>
      <c r="M801" s="114" t="str">
        <f aca="false">IF($E801="","",IF($K801="✓","✓ ","")&amp;IF(Config!$E$22="Sim",$H801&amp;" · ","")&amp;$F801)</f>
        <v/>
      </c>
      <c r="N801" s="114" t="str">
        <f aca="false">IF($E801="","",IFERROR(INDEX(Config!$D$15:$D$19,MATCH($I801,Config!$C$15:$C$19,0)),"OUT")&amp;IF($K801="✓","x",""))</f>
        <v/>
      </c>
      <c r="O801" s="114" t="str">
        <f aca="false">IF($E801="","",COUNTIF($E$5:$E801,$E801))</f>
        <v/>
      </c>
      <c r="P801" s="114" t="str">
        <f aca="false">IF($E801="","",$E801*100+$O801)</f>
        <v/>
      </c>
      <c r="Q801" s="114" t="str">
        <f aca="false">IF($L801="Atrasado",$E801*10000+$A801,"")</f>
        <v/>
      </c>
    </row>
    <row r="802" customFormat="false" ht="15" hidden="false" customHeight="false" outlineLevel="0" collapsed="false">
      <c r="A802" s="114" t="n">
        <f aca="false">ROW()-4</f>
        <v>798</v>
      </c>
      <c r="B802" s="114" t="str">
        <f aca="false">IF(A802&lt;=Config!$E$27*Config!$E$28,"Tema","Avulso")</f>
        <v>Tema</v>
      </c>
      <c r="C802" s="114" t="n">
        <f aca="false">IF(B802="Tema",INT((A802-1)/Config!$E$28)+1,A802-Config!$E$27*Config!$E$28)</f>
        <v>133</v>
      </c>
      <c r="D802" s="114" t="n">
        <f aca="false">IF(B802="Tema",MOD(A802-1,Config!$E$28)+1,"")</f>
        <v>6</v>
      </c>
      <c r="E802" s="115" t="str">
        <f aca="false">IF($B802="Tema",IF(ISNUMBER(INDEX(Temas!$E$6:$P$305,$C802,2*$D802-1)),INDEX(Temas!$E$6:$P$305,$C802,2*$D802-1),""),IF(ISNUMBER(INDEX(Avulsos!$B$6:$B$205,$C802)),INDEX(Avulsos!$B$6:$B$205,$C802),""))</f>
        <v/>
      </c>
      <c r="F802" s="114" t="str">
        <f aca="false">IF($E802="","",IF($B802="Tema",INDEX(Temas!$B$6:$B$305,$C802)&amp;"",INDEX(Avulsos!$C$6:$C$205,$C802)&amp;""))</f>
        <v/>
      </c>
      <c r="G802" s="114" t="str">
        <f aca="false">IF($E802="","",IF($B802="Tema",INDEX(Config!$C$6:$C$11,$D802),"Evento avulso"))</f>
        <v/>
      </c>
      <c r="H802" s="114" t="str">
        <f aca="false">IF($E802="","",IF($B802="Tema",INDEX(Config!$D$6:$D$11,$D802),IFERROR(INDEX(Config!$E$15:$E$19,MATCH($I802,Config!$C$15:$C$19,0)),"•")))</f>
        <v/>
      </c>
      <c r="I802" s="114" t="str">
        <f aca="false">IF($E802="","",IF($B802="Tema",INDEX(Config!$E$6:$E$11,$D802),IF(INDEX(Avulsos!$D$6:$D$205,$C802)&amp;""="","Outro",INDEX(Avulsos!$D$6:$D$205,$C802))))</f>
        <v/>
      </c>
      <c r="J802" s="114" t="str">
        <f aca="false">IF($E802="","",IF($B802="Tema",INDEX(Temas!$C$6:$C$305,$C802)&amp;"",INDEX(Avulsos!$E$6:$E$205,$C802)&amp;""))</f>
        <v/>
      </c>
      <c r="K802" s="114" t="str">
        <f aca="false">IF($E802="","",IF(IF($B802="Tema",INDEX(Temas!$E$6:$P$305,$C802,2*$D802),INDEX(Avulsos!$F$6:$F$205,$C802))&amp;""="","","✓"))</f>
        <v/>
      </c>
      <c r="L802" s="114" t="str">
        <f aca="true">IF($E802="","",IF($K802="✓","Concluído",IF($E802&lt;TODAY(),"Atrasado",IF($E802=TODAY(),"Hoje","Pendente"))))</f>
        <v/>
      </c>
      <c r="M802" s="114" t="str">
        <f aca="false">IF($E802="","",IF($K802="✓","✓ ","")&amp;IF(Config!$E$22="Sim",$H802&amp;" · ","")&amp;$F802)</f>
        <v/>
      </c>
      <c r="N802" s="114" t="str">
        <f aca="false">IF($E802="","",IFERROR(INDEX(Config!$D$15:$D$19,MATCH($I802,Config!$C$15:$C$19,0)),"OUT")&amp;IF($K802="✓","x",""))</f>
        <v/>
      </c>
      <c r="O802" s="114" t="str">
        <f aca="false">IF($E802="","",COUNTIF($E$5:$E802,$E802))</f>
        <v/>
      </c>
      <c r="P802" s="114" t="str">
        <f aca="false">IF($E802="","",$E802*100+$O802)</f>
        <v/>
      </c>
      <c r="Q802" s="114" t="str">
        <f aca="false">IF($L802="Atrasado",$E802*10000+$A802,"")</f>
        <v/>
      </c>
    </row>
    <row r="803" customFormat="false" ht="15" hidden="false" customHeight="false" outlineLevel="0" collapsed="false">
      <c r="A803" s="114" t="n">
        <f aca="false">ROW()-4</f>
        <v>799</v>
      </c>
      <c r="B803" s="114" t="str">
        <f aca="false">IF(A803&lt;=Config!$E$27*Config!$E$28,"Tema","Avulso")</f>
        <v>Tema</v>
      </c>
      <c r="C803" s="114" t="n">
        <f aca="false">IF(B803="Tema",INT((A803-1)/Config!$E$28)+1,A803-Config!$E$27*Config!$E$28)</f>
        <v>134</v>
      </c>
      <c r="D803" s="114" t="n">
        <f aca="false">IF(B803="Tema",MOD(A803-1,Config!$E$28)+1,"")</f>
        <v>1</v>
      </c>
      <c r="E803" s="115" t="str">
        <f aca="false">IF($B803="Tema",IF(ISNUMBER(INDEX(Temas!$E$6:$P$305,$C803,2*$D803-1)),INDEX(Temas!$E$6:$P$305,$C803,2*$D803-1),""),IF(ISNUMBER(INDEX(Avulsos!$B$6:$B$205,$C803)),INDEX(Avulsos!$B$6:$B$205,$C803),""))</f>
        <v/>
      </c>
      <c r="F803" s="114" t="str">
        <f aca="false">IF($E803="","",IF($B803="Tema",INDEX(Temas!$B$6:$B$305,$C803)&amp;"",INDEX(Avulsos!$C$6:$C$205,$C803)&amp;""))</f>
        <v/>
      </c>
      <c r="G803" s="114" t="str">
        <f aca="false">IF($E803="","",IF($B803="Tema",INDEX(Config!$C$6:$C$11,$D803),"Evento avulso"))</f>
        <v/>
      </c>
      <c r="H803" s="114" t="str">
        <f aca="false">IF($E803="","",IF($B803="Tema",INDEX(Config!$D$6:$D$11,$D803),IFERROR(INDEX(Config!$E$15:$E$19,MATCH($I803,Config!$C$15:$C$19,0)),"•")))</f>
        <v/>
      </c>
      <c r="I803" s="114" t="str">
        <f aca="false">IF($E803="","",IF($B803="Tema",INDEX(Config!$E$6:$E$11,$D803),IF(INDEX(Avulsos!$D$6:$D$205,$C803)&amp;""="","Outro",INDEX(Avulsos!$D$6:$D$205,$C803))))</f>
        <v/>
      </c>
      <c r="J803" s="114" t="str">
        <f aca="false">IF($E803="","",IF($B803="Tema",INDEX(Temas!$C$6:$C$305,$C803)&amp;"",INDEX(Avulsos!$E$6:$E$205,$C803)&amp;""))</f>
        <v/>
      </c>
      <c r="K803" s="114" t="str">
        <f aca="false">IF($E803="","",IF(IF($B803="Tema",INDEX(Temas!$E$6:$P$305,$C803,2*$D803),INDEX(Avulsos!$F$6:$F$205,$C803))&amp;""="","","✓"))</f>
        <v/>
      </c>
      <c r="L803" s="114" t="str">
        <f aca="true">IF($E803="","",IF($K803="✓","Concluído",IF($E803&lt;TODAY(),"Atrasado",IF($E803=TODAY(),"Hoje","Pendente"))))</f>
        <v/>
      </c>
      <c r="M803" s="114" t="str">
        <f aca="false">IF($E803="","",IF($K803="✓","✓ ","")&amp;IF(Config!$E$22="Sim",$H803&amp;" · ","")&amp;$F803)</f>
        <v/>
      </c>
      <c r="N803" s="114" t="str">
        <f aca="false">IF($E803="","",IFERROR(INDEX(Config!$D$15:$D$19,MATCH($I803,Config!$C$15:$C$19,0)),"OUT")&amp;IF($K803="✓","x",""))</f>
        <v/>
      </c>
      <c r="O803" s="114" t="str">
        <f aca="false">IF($E803="","",COUNTIF($E$5:$E803,$E803))</f>
        <v/>
      </c>
      <c r="P803" s="114" t="str">
        <f aca="false">IF($E803="","",$E803*100+$O803)</f>
        <v/>
      </c>
      <c r="Q803" s="114" t="str">
        <f aca="false">IF($L803="Atrasado",$E803*10000+$A803,"")</f>
        <v/>
      </c>
    </row>
    <row r="804" customFormat="false" ht="15" hidden="false" customHeight="false" outlineLevel="0" collapsed="false">
      <c r="A804" s="114" t="n">
        <f aca="false">ROW()-4</f>
        <v>800</v>
      </c>
      <c r="B804" s="114" t="str">
        <f aca="false">IF(A804&lt;=Config!$E$27*Config!$E$28,"Tema","Avulso")</f>
        <v>Tema</v>
      </c>
      <c r="C804" s="114" t="n">
        <f aca="false">IF(B804="Tema",INT((A804-1)/Config!$E$28)+1,A804-Config!$E$27*Config!$E$28)</f>
        <v>134</v>
      </c>
      <c r="D804" s="114" t="n">
        <f aca="false">IF(B804="Tema",MOD(A804-1,Config!$E$28)+1,"")</f>
        <v>2</v>
      </c>
      <c r="E804" s="115" t="str">
        <f aca="false">IF($B804="Tema",IF(ISNUMBER(INDEX(Temas!$E$6:$P$305,$C804,2*$D804-1)),INDEX(Temas!$E$6:$P$305,$C804,2*$D804-1),""),IF(ISNUMBER(INDEX(Avulsos!$B$6:$B$205,$C804)),INDEX(Avulsos!$B$6:$B$205,$C804),""))</f>
        <v/>
      </c>
      <c r="F804" s="114" t="str">
        <f aca="false">IF($E804="","",IF($B804="Tema",INDEX(Temas!$B$6:$B$305,$C804)&amp;"",INDEX(Avulsos!$C$6:$C$205,$C804)&amp;""))</f>
        <v/>
      </c>
      <c r="G804" s="114" t="str">
        <f aca="false">IF($E804="","",IF($B804="Tema",INDEX(Config!$C$6:$C$11,$D804),"Evento avulso"))</f>
        <v/>
      </c>
      <c r="H804" s="114" t="str">
        <f aca="false">IF($E804="","",IF($B804="Tema",INDEX(Config!$D$6:$D$11,$D804),IFERROR(INDEX(Config!$E$15:$E$19,MATCH($I804,Config!$C$15:$C$19,0)),"•")))</f>
        <v/>
      </c>
      <c r="I804" s="114" t="str">
        <f aca="false">IF($E804="","",IF($B804="Tema",INDEX(Config!$E$6:$E$11,$D804),IF(INDEX(Avulsos!$D$6:$D$205,$C804)&amp;""="","Outro",INDEX(Avulsos!$D$6:$D$205,$C804))))</f>
        <v/>
      </c>
      <c r="J804" s="114" t="str">
        <f aca="false">IF($E804="","",IF($B804="Tema",INDEX(Temas!$C$6:$C$305,$C804)&amp;"",INDEX(Avulsos!$E$6:$E$205,$C804)&amp;""))</f>
        <v/>
      </c>
      <c r="K804" s="114" t="str">
        <f aca="false">IF($E804="","",IF(IF($B804="Tema",INDEX(Temas!$E$6:$P$305,$C804,2*$D804),INDEX(Avulsos!$F$6:$F$205,$C804))&amp;""="","","✓"))</f>
        <v/>
      </c>
      <c r="L804" s="114" t="str">
        <f aca="true">IF($E804="","",IF($K804="✓","Concluído",IF($E804&lt;TODAY(),"Atrasado",IF($E804=TODAY(),"Hoje","Pendente"))))</f>
        <v/>
      </c>
      <c r="M804" s="114" t="str">
        <f aca="false">IF($E804="","",IF($K804="✓","✓ ","")&amp;IF(Config!$E$22="Sim",$H804&amp;" · ","")&amp;$F804)</f>
        <v/>
      </c>
      <c r="N804" s="114" t="str">
        <f aca="false">IF($E804="","",IFERROR(INDEX(Config!$D$15:$D$19,MATCH($I804,Config!$C$15:$C$19,0)),"OUT")&amp;IF($K804="✓","x",""))</f>
        <v/>
      </c>
      <c r="O804" s="114" t="str">
        <f aca="false">IF($E804="","",COUNTIF($E$5:$E804,$E804))</f>
        <v/>
      </c>
      <c r="P804" s="114" t="str">
        <f aca="false">IF($E804="","",$E804*100+$O804)</f>
        <v/>
      </c>
      <c r="Q804" s="114" t="str">
        <f aca="false">IF($L804="Atrasado",$E804*10000+$A804,"")</f>
        <v/>
      </c>
    </row>
    <row r="805" customFormat="false" ht="15" hidden="false" customHeight="false" outlineLevel="0" collapsed="false">
      <c r="A805" s="114" t="n">
        <f aca="false">ROW()-4</f>
        <v>801</v>
      </c>
      <c r="B805" s="114" t="str">
        <f aca="false">IF(A805&lt;=Config!$E$27*Config!$E$28,"Tema","Avulso")</f>
        <v>Tema</v>
      </c>
      <c r="C805" s="114" t="n">
        <f aca="false">IF(B805="Tema",INT((A805-1)/Config!$E$28)+1,A805-Config!$E$27*Config!$E$28)</f>
        <v>134</v>
      </c>
      <c r="D805" s="114" t="n">
        <f aca="false">IF(B805="Tema",MOD(A805-1,Config!$E$28)+1,"")</f>
        <v>3</v>
      </c>
      <c r="E805" s="115" t="str">
        <f aca="false">IF($B805="Tema",IF(ISNUMBER(INDEX(Temas!$E$6:$P$305,$C805,2*$D805-1)),INDEX(Temas!$E$6:$P$305,$C805,2*$D805-1),""),IF(ISNUMBER(INDEX(Avulsos!$B$6:$B$205,$C805)),INDEX(Avulsos!$B$6:$B$205,$C805),""))</f>
        <v/>
      </c>
      <c r="F805" s="114" t="str">
        <f aca="false">IF($E805="","",IF($B805="Tema",INDEX(Temas!$B$6:$B$305,$C805)&amp;"",INDEX(Avulsos!$C$6:$C$205,$C805)&amp;""))</f>
        <v/>
      </c>
      <c r="G805" s="114" t="str">
        <f aca="false">IF($E805="","",IF($B805="Tema",INDEX(Config!$C$6:$C$11,$D805),"Evento avulso"))</f>
        <v/>
      </c>
      <c r="H805" s="114" t="str">
        <f aca="false">IF($E805="","",IF($B805="Tema",INDEX(Config!$D$6:$D$11,$D805),IFERROR(INDEX(Config!$E$15:$E$19,MATCH($I805,Config!$C$15:$C$19,0)),"•")))</f>
        <v/>
      </c>
      <c r="I805" s="114" t="str">
        <f aca="false">IF($E805="","",IF($B805="Tema",INDEX(Config!$E$6:$E$11,$D805),IF(INDEX(Avulsos!$D$6:$D$205,$C805)&amp;""="","Outro",INDEX(Avulsos!$D$6:$D$205,$C805))))</f>
        <v/>
      </c>
      <c r="J805" s="114" t="str">
        <f aca="false">IF($E805="","",IF($B805="Tema",INDEX(Temas!$C$6:$C$305,$C805)&amp;"",INDEX(Avulsos!$E$6:$E$205,$C805)&amp;""))</f>
        <v/>
      </c>
      <c r="K805" s="114" t="str">
        <f aca="false">IF($E805="","",IF(IF($B805="Tema",INDEX(Temas!$E$6:$P$305,$C805,2*$D805),INDEX(Avulsos!$F$6:$F$205,$C805))&amp;""="","","✓"))</f>
        <v/>
      </c>
      <c r="L805" s="114" t="str">
        <f aca="true">IF($E805="","",IF($K805="✓","Concluído",IF($E805&lt;TODAY(),"Atrasado",IF($E805=TODAY(),"Hoje","Pendente"))))</f>
        <v/>
      </c>
      <c r="M805" s="114" t="str">
        <f aca="false">IF($E805="","",IF($K805="✓","✓ ","")&amp;IF(Config!$E$22="Sim",$H805&amp;" · ","")&amp;$F805)</f>
        <v/>
      </c>
      <c r="N805" s="114" t="str">
        <f aca="false">IF($E805="","",IFERROR(INDEX(Config!$D$15:$D$19,MATCH($I805,Config!$C$15:$C$19,0)),"OUT")&amp;IF($K805="✓","x",""))</f>
        <v/>
      </c>
      <c r="O805" s="114" t="str">
        <f aca="false">IF($E805="","",COUNTIF($E$5:$E805,$E805))</f>
        <v/>
      </c>
      <c r="P805" s="114" t="str">
        <f aca="false">IF($E805="","",$E805*100+$O805)</f>
        <v/>
      </c>
      <c r="Q805" s="114" t="str">
        <f aca="false">IF($L805="Atrasado",$E805*10000+$A805,"")</f>
        <v/>
      </c>
    </row>
    <row r="806" customFormat="false" ht="15" hidden="false" customHeight="false" outlineLevel="0" collapsed="false">
      <c r="A806" s="114" t="n">
        <f aca="false">ROW()-4</f>
        <v>802</v>
      </c>
      <c r="B806" s="114" t="str">
        <f aca="false">IF(A806&lt;=Config!$E$27*Config!$E$28,"Tema","Avulso")</f>
        <v>Tema</v>
      </c>
      <c r="C806" s="114" t="n">
        <f aca="false">IF(B806="Tema",INT((A806-1)/Config!$E$28)+1,A806-Config!$E$27*Config!$E$28)</f>
        <v>134</v>
      </c>
      <c r="D806" s="114" t="n">
        <f aca="false">IF(B806="Tema",MOD(A806-1,Config!$E$28)+1,"")</f>
        <v>4</v>
      </c>
      <c r="E806" s="115" t="str">
        <f aca="false">IF($B806="Tema",IF(ISNUMBER(INDEX(Temas!$E$6:$P$305,$C806,2*$D806-1)),INDEX(Temas!$E$6:$P$305,$C806,2*$D806-1),""),IF(ISNUMBER(INDEX(Avulsos!$B$6:$B$205,$C806)),INDEX(Avulsos!$B$6:$B$205,$C806),""))</f>
        <v/>
      </c>
      <c r="F806" s="114" t="str">
        <f aca="false">IF($E806="","",IF($B806="Tema",INDEX(Temas!$B$6:$B$305,$C806)&amp;"",INDEX(Avulsos!$C$6:$C$205,$C806)&amp;""))</f>
        <v/>
      </c>
      <c r="G806" s="114" t="str">
        <f aca="false">IF($E806="","",IF($B806="Tema",INDEX(Config!$C$6:$C$11,$D806),"Evento avulso"))</f>
        <v/>
      </c>
      <c r="H806" s="114" t="str">
        <f aca="false">IF($E806="","",IF($B806="Tema",INDEX(Config!$D$6:$D$11,$D806),IFERROR(INDEX(Config!$E$15:$E$19,MATCH($I806,Config!$C$15:$C$19,0)),"•")))</f>
        <v/>
      </c>
      <c r="I806" s="114" t="str">
        <f aca="false">IF($E806="","",IF($B806="Tema",INDEX(Config!$E$6:$E$11,$D806),IF(INDEX(Avulsos!$D$6:$D$205,$C806)&amp;""="","Outro",INDEX(Avulsos!$D$6:$D$205,$C806))))</f>
        <v/>
      </c>
      <c r="J806" s="114" t="str">
        <f aca="false">IF($E806="","",IF($B806="Tema",INDEX(Temas!$C$6:$C$305,$C806)&amp;"",INDEX(Avulsos!$E$6:$E$205,$C806)&amp;""))</f>
        <v/>
      </c>
      <c r="K806" s="114" t="str">
        <f aca="false">IF($E806="","",IF(IF($B806="Tema",INDEX(Temas!$E$6:$P$305,$C806,2*$D806),INDEX(Avulsos!$F$6:$F$205,$C806))&amp;""="","","✓"))</f>
        <v/>
      </c>
      <c r="L806" s="114" t="str">
        <f aca="true">IF($E806="","",IF($K806="✓","Concluído",IF($E806&lt;TODAY(),"Atrasado",IF($E806=TODAY(),"Hoje","Pendente"))))</f>
        <v/>
      </c>
      <c r="M806" s="114" t="str">
        <f aca="false">IF($E806="","",IF($K806="✓","✓ ","")&amp;IF(Config!$E$22="Sim",$H806&amp;" · ","")&amp;$F806)</f>
        <v/>
      </c>
      <c r="N806" s="114" t="str">
        <f aca="false">IF($E806="","",IFERROR(INDEX(Config!$D$15:$D$19,MATCH($I806,Config!$C$15:$C$19,0)),"OUT")&amp;IF($K806="✓","x",""))</f>
        <v/>
      </c>
      <c r="O806" s="114" t="str">
        <f aca="false">IF($E806="","",COUNTIF($E$5:$E806,$E806))</f>
        <v/>
      </c>
      <c r="P806" s="114" t="str">
        <f aca="false">IF($E806="","",$E806*100+$O806)</f>
        <v/>
      </c>
      <c r="Q806" s="114" t="str">
        <f aca="false">IF($L806="Atrasado",$E806*10000+$A806,"")</f>
        <v/>
      </c>
    </row>
    <row r="807" customFormat="false" ht="15" hidden="false" customHeight="false" outlineLevel="0" collapsed="false">
      <c r="A807" s="114" t="n">
        <f aca="false">ROW()-4</f>
        <v>803</v>
      </c>
      <c r="B807" s="114" t="str">
        <f aca="false">IF(A807&lt;=Config!$E$27*Config!$E$28,"Tema","Avulso")</f>
        <v>Tema</v>
      </c>
      <c r="C807" s="114" t="n">
        <f aca="false">IF(B807="Tema",INT((A807-1)/Config!$E$28)+1,A807-Config!$E$27*Config!$E$28)</f>
        <v>134</v>
      </c>
      <c r="D807" s="114" t="n">
        <f aca="false">IF(B807="Tema",MOD(A807-1,Config!$E$28)+1,"")</f>
        <v>5</v>
      </c>
      <c r="E807" s="115" t="str">
        <f aca="false">IF($B807="Tema",IF(ISNUMBER(INDEX(Temas!$E$6:$P$305,$C807,2*$D807-1)),INDEX(Temas!$E$6:$P$305,$C807,2*$D807-1),""),IF(ISNUMBER(INDEX(Avulsos!$B$6:$B$205,$C807)),INDEX(Avulsos!$B$6:$B$205,$C807),""))</f>
        <v/>
      </c>
      <c r="F807" s="114" t="str">
        <f aca="false">IF($E807="","",IF($B807="Tema",INDEX(Temas!$B$6:$B$305,$C807)&amp;"",INDEX(Avulsos!$C$6:$C$205,$C807)&amp;""))</f>
        <v/>
      </c>
      <c r="G807" s="114" t="str">
        <f aca="false">IF($E807="","",IF($B807="Tema",INDEX(Config!$C$6:$C$11,$D807),"Evento avulso"))</f>
        <v/>
      </c>
      <c r="H807" s="114" t="str">
        <f aca="false">IF($E807="","",IF($B807="Tema",INDEX(Config!$D$6:$D$11,$D807),IFERROR(INDEX(Config!$E$15:$E$19,MATCH($I807,Config!$C$15:$C$19,0)),"•")))</f>
        <v/>
      </c>
      <c r="I807" s="114" t="str">
        <f aca="false">IF($E807="","",IF($B807="Tema",INDEX(Config!$E$6:$E$11,$D807),IF(INDEX(Avulsos!$D$6:$D$205,$C807)&amp;""="","Outro",INDEX(Avulsos!$D$6:$D$205,$C807))))</f>
        <v/>
      </c>
      <c r="J807" s="114" t="str">
        <f aca="false">IF($E807="","",IF($B807="Tema",INDEX(Temas!$C$6:$C$305,$C807)&amp;"",INDEX(Avulsos!$E$6:$E$205,$C807)&amp;""))</f>
        <v/>
      </c>
      <c r="K807" s="114" t="str">
        <f aca="false">IF($E807="","",IF(IF($B807="Tema",INDEX(Temas!$E$6:$P$305,$C807,2*$D807),INDEX(Avulsos!$F$6:$F$205,$C807))&amp;""="","","✓"))</f>
        <v/>
      </c>
      <c r="L807" s="114" t="str">
        <f aca="true">IF($E807="","",IF($K807="✓","Concluído",IF($E807&lt;TODAY(),"Atrasado",IF($E807=TODAY(),"Hoje","Pendente"))))</f>
        <v/>
      </c>
      <c r="M807" s="114" t="str">
        <f aca="false">IF($E807="","",IF($K807="✓","✓ ","")&amp;IF(Config!$E$22="Sim",$H807&amp;" · ","")&amp;$F807)</f>
        <v/>
      </c>
      <c r="N807" s="114" t="str">
        <f aca="false">IF($E807="","",IFERROR(INDEX(Config!$D$15:$D$19,MATCH($I807,Config!$C$15:$C$19,0)),"OUT")&amp;IF($K807="✓","x",""))</f>
        <v/>
      </c>
      <c r="O807" s="114" t="str">
        <f aca="false">IF($E807="","",COUNTIF($E$5:$E807,$E807))</f>
        <v/>
      </c>
      <c r="P807" s="114" t="str">
        <f aca="false">IF($E807="","",$E807*100+$O807)</f>
        <v/>
      </c>
      <c r="Q807" s="114" t="str">
        <f aca="false">IF($L807="Atrasado",$E807*10000+$A807,"")</f>
        <v/>
      </c>
    </row>
    <row r="808" customFormat="false" ht="15" hidden="false" customHeight="false" outlineLevel="0" collapsed="false">
      <c r="A808" s="114" t="n">
        <f aca="false">ROW()-4</f>
        <v>804</v>
      </c>
      <c r="B808" s="114" t="str">
        <f aca="false">IF(A808&lt;=Config!$E$27*Config!$E$28,"Tema","Avulso")</f>
        <v>Tema</v>
      </c>
      <c r="C808" s="114" t="n">
        <f aca="false">IF(B808="Tema",INT((A808-1)/Config!$E$28)+1,A808-Config!$E$27*Config!$E$28)</f>
        <v>134</v>
      </c>
      <c r="D808" s="114" t="n">
        <f aca="false">IF(B808="Tema",MOD(A808-1,Config!$E$28)+1,"")</f>
        <v>6</v>
      </c>
      <c r="E808" s="115" t="str">
        <f aca="false">IF($B808="Tema",IF(ISNUMBER(INDEX(Temas!$E$6:$P$305,$C808,2*$D808-1)),INDEX(Temas!$E$6:$P$305,$C808,2*$D808-1),""),IF(ISNUMBER(INDEX(Avulsos!$B$6:$B$205,$C808)),INDEX(Avulsos!$B$6:$B$205,$C808),""))</f>
        <v/>
      </c>
      <c r="F808" s="114" t="str">
        <f aca="false">IF($E808="","",IF($B808="Tema",INDEX(Temas!$B$6:$B$305,$C808)&amp;"",INDEX(Avulsos!$C$6:$C$205,$C808)&amp;""))</f>
        <v/>
      </c>
      <c r="G808" s="114" t="str">
        <f aca="false">IF($E808="","",IF($B808="Tema",INDEX(Config!$C$6:$C$11,$D808),"Evento avulso"))</f>
        <v/>
      </c>
      <c r="H808" s="114" t="str">
        <f aca="false">IF($E808="","",IF($B808="Tema",INDEX(Config!$D$6:$D$11,$D808),IFERROR(INDEX(Config!$E$15:$E$19,MATCH($I808,Config!$C$15:$C$19,0)),"•")))</f>
        <v/>
      </c>
      <c r="I808" s="114" t="str">
        <f aca="false">IF($E808="","",IF($B808="Tema",INDEX(Config!$E$6:$E$11,$D808),IF(INDEX(Avulsos!$D$6:$D$205,$C808)&amp;""="","Outro",INDEX(Avulsos!$D$6:$D$205,$C808))))</f>
        <v/>
      </c>
      <c r="J808" s="114" t="str">
        <f aca="false">IF($E808="","",IF($B808="Tema",INDEX(Temas!$C$6:$C$305,$C808)&amp;"",INDEX(Avulsos!$E$6:$E$205,$C808)&amp;""))</f>
        <v/>
      </c>
      <c r="K808" s="114" t="str">
        <f aca="false">IF($E808="","",IF(IF($B808="Tema",INDEX(Temas!$E$6:$P$305,$C808,2*$D808),INDEX(Avulsos!$F$6:$F$205,$C808))&amp;""="","","✓"))</f>
        <v/>
      </c>
      <c r="L808" s="114" t="str">
        <f aca="true">IF($E808="","",IF($K808="✓","Concluído",IF($E808&lt;TODAY(),"Atrasado",IF($E808=TODAY(),"Hoje","Pendente"))))</f>
        <v/>
      </c>
      <c r="M808" s="114" t="str">
        <f aca="false">IF($E808="","",IF($K808="✓","✓ ","")&amp;IF(Config!$E$22="Sim",$H808&amp;" · ","")&amp;$F808)</f>
        <v/>
      </c>
      <c r="N808" s="114" t="str">
        <f aca="false">IF($E808="","",IFERROR(INDEX(Config!$D$15:$D$19,MATCH($I808,Config!$C$15:$C$19,0)),"OUT")&amp;IF($K808="✓","x",""))</f>
        <v/>
      </c>
      <c r="O808" s="114" t="str">
        <f aca="false">IF($E808="","",COUNTIF($E$5:$E808,$E808))</f>
        <v/>
      </c>
      <c r="P808" s="114" t="str">
        <f aca="false">IF($E808="","",$E808*100+$O808)</f>
        <v/>
      </c>
      <c r="Q808" s="114" t="str">
        <f aca="false">IF($L808="Atrasado",$E808*10000+$A808,"")</f>
        <v/>
      </c>
    </row>
    <row r="809" customFormat="false" ht="15" hidden="false" customHeight="false" outlineLevel="0" collapsed="false">
      <c r="A809" s="114" t="n">
        <f aca="false">ROW()-4</f>
        <v>805</v>
      </c>
      <c r="B809" s="114" t="str">
        <f aca="false">IF(A809&lt;=Config!$E$27*Config!$E$28,"Tema","Avulso")</f>
        <v>Tema</v>
      </c>
      <c r="C809" s="114" t="n">
        <f aca="false">IF(B809="Tema",INT((A809-1)/Config!$E$28)+1,A809-Config!$E$27*Config!$E$28)</f>
        <v>135</v>
      </c>
      <c r="D809" s="114" t="n">
        <f aca="false">IF(B809="Tema",MOD(A809-1,Config!$E$28)+1,"")</f>
        <v>1</v>
      </c>
      <c r="E809" s="115" t="str">
        <f aca="false">IF($B809="Tema",IF(ISNUMBER(INDEX(Temas!$E$6:$P$305,$C809,2*$D809-1)),INDEX(Temas!$E$6:$P$305,$C809,2*$D809-1),""),IF(ISNUMBER(INDEX(Avulsos!$B$6:$B$205,$C809)),INDEX(Avulsos!$B$6:$B$205,$C809),""))</f>
        <v/>
      </c>
      <c r="F809" s="114" t="str">
        <f aca="false">IF($E809="","",IF($B809="Tema",INDEX(Temas!$B$6:$B$305,$C809)&amp;"",INDEX(Avulsos!$C$6:$C$205,$C809)&amp;""))</f>
        <v/>
      </c>
      <c r="G809" s="114" t="str">
        <f aca="false">IF($E809="","",IF($B809="Tema",INDEX(Config!$C$6:$C$11,$D809),"Evento avulso"))</f>
        <v/>
      </c>
      <c r="H809" s="114" t="str">
        <f aca="false">IF($E809="","",IF($B809="Tema",INDEX(Config!$D$6:$D$11,$D809),IFERROR(INDEX(Config!$E$15:$E$19,MATCH($I809,Config!$C$15:$C$19,0)),"•")))</f>
        <v/>
      </c>
      <c r="I809" s="114" t="str">
        <f aca="false">IF($E809="","",IF($B809="Tema",INDEX(Config!$E$6:$E$11,$D809),IF(INDEX(Avulsos!$D$6:$D$205,$C809)&amp;""="","Outro",INDEX(Avulsos!$D$6:$D$205,$C809))))</f>
        <v/>
      </c>
      <c r="J809" s="114" t="str">
        <f aca="false">IF($E809="","",IF($B809="Tema",INDEX(Temas!$C$6:$C$305,$C809)&amp;"",INDEX(Avulsos!$E$6:$E$205,$C809)&amp;""))</f>
        <v/>
      </c>
      <c r="K809" s="114" t="str">
        <f aca="false">IF($E809="","",IF(IF($B809="Tema",INDEX(Temas!$E$6:$P$305,$C809,2*$D809),INDEX(Avulsos!$F$6:$F$205,$C809))&amp;""="","","✓"))</f>
        <v/>
      </c>
      <c r="L809" s="114" t="str">
        <f aca="true">IF($E809="","",IF($K809="✓","Concluído",IF($E809&lt;TODAY(),"Atrasado",IF($E809=TODAY(),"Hoje","Pendente"))))</f>
        <v/>
      </c>
      <c r="M809" s="114" t="str">
        <f aca="false">IF($E809="","",IF($K809="✓","✓ ","")&amp;IF(Config!$E$22="Sim",$H809&amp;" · ","")&amp;$F809)</f>
        <v/>
      </c>
      <c r="N809" s="114" t="str">
        <f aca="false">IF($E809="","",IFERROR(INDEX(Config!$D$15:$D$19,MATCH($I809,Config!$C$15:$C$19,0)),"OUT")&amp;IF($K809="✓","x",""))</f>
        <v/>
      </c>
      <c r="O809" s="114" t="str">
        <f aca="false">IF($E809="","",COUNTIF($E$5:$E809,$E809))</f>
        <v/>
      </c>
      <c r="P809" s="114" t="str">
        <f aca="false">IF($E809="","",$E809*100+$O809)</f>
        <v/>
      </c>
      <c r="Q809" s="114" t="str">
        <f aca="false">IF($L809="Atrasado",$E809*10000+$A809,"")</f>
        <v/>
      </c>
    </row>
    <row r="810" customFormat="false" ht="15" hidden="false" customHeight="false" outlineLevel="0" collapsed="false">
      <c r="A810" s="114" t="n">
        <f aca="false">ROW()-4</f>
        <v>806</v>
      </c>
      <c r="B810" s="114" t="str">
        <f aca="false">IF(A810&lt;=Config!$E$27*Config!$E$28,"Tema","Avulso")</f>
        <v>Tema</v>
      </c>
      <c r="C810" s="114" t="n">
        <f aca="false">IF(B810="Tema",INT((A810-1)/Config!$E$28)+1,A810-Config!$E$27*Config!$E$28)</f>
        <v>135</v>
      </c>
      <c r="D810" s="114" t="n">
        <f aca="false">IF(B810="Tema",MOD(A810-1,Config!$E$28)+1,"")</f>
        <v>2</v>
      </c>
      <c r="E810" s="115" t="str">
        <f aca="false">IF($B810="Tema",IF(ISNUMBER(INDEX(Temas!$E$6:$P$305,$C810,2*$D810-1)),INDEX(Temas!$E$6:$P$305,$C810,2*$D810-1),""),IF(ISNUMBER(INDEX(Avulsos!$B$6:$B$205,$C810)),INDEX(Avulsos!$B$6:$B$205,$C810),""))</f>
        <v/>
      </c>
      <c r="F810" s="114" t="str">
        <f aca="false">IF($E810="","",IF($B810="Tema",INDEX(Temas!$B$6:$B$305,$C810)&amp;"",INDEX(Avulsos!$C$6:$C$205,$C810)&amp;""))</f>
        <v/>
      </c>
      <c r="G810" s="114" t="str">
        <f aca="false">IF($E810="","",IF($B810="Tema",INDEX(Config!$C$6:$C$11,$D810),"Evento avulso"))</f>
        <v/>
      </c>
      <c r="H810" s="114" t="str">
        <f aca="false">IF($E810="","",IF($B810="Tema",INDEX(Config!$D$6:$D$11,$D810),IFERROR(INDEX(Config!$E$15:$E$19,MATCH($I810,Config!$C$15:$C$19,0)),"•")))</f>
        <v/>
      </c>
      <c r="I810" s="114" t="str">
        <f aca="false">IF($E810="","",IF($B810="Tema",INDEX(Config!$E$6:$E$11,$D810),IF(INDEX(Avulsos!$D$6:$D$205,$C810)&amp;""="","Outro",INDEX(Avulsos!$D$6:$D$205,$C810))))</f>
        <v/>
      </c>
      <c r="J810" s="114" t="str">
        <f aca="false">IF($E810="","",IF($B810="Tema",INDEX(Temas!$C$6:$C$305,$C810)&amp;"",INDEX(Avulsos!$E$6:$E$205,$C810)&amp;""))</f>
        <v/>
      </c>
      <c r="K810" s="114" t="str">
        <f aca="false">IF($E810="","",IF(IF($B810="Tema",INDEX(Temas!$E$6:$P$305,$C810,2*$D810),INDEX(Avulsos!$F$6:$F$205,$C810))&amp;""="","","✓"))</f>
        <v/>
      </c>
      <c r="L810" s="114" t="str">
        <f aca="true">IF($E810="","",IF($K810="✓","Concluído",IF($E810&lt;TODAY(),"Atrasado",IF($E810=TODAY(),"Hoje","Pendente"))))</f>
        <v/>
      </c>
      <c r="M810" s="114" t="str">
        <f aca="false">IF($E810="","",IF($K810="✓","✓ ","")&amp;IF(Config!$E$22="Sim",$H810&amp;" · ","")&amp;$F810)</f>
        <v/>
      </c>
      <c r="N810" s="114" t="str">
        <f aca="false">IF($E810="","",IFERROR(INDEX(Config!$D$15:$D$19,MATCH($I810,Config!$C$15:$C$19,0)),"OUT")&amp;IF($K810="✓","x",""))</f>
        <v/>
      </c>
      <c r="O810" s="114" t="str">
        <f aca="false">IF($E810="","",COUNTIF($E$5:$E810,$E810))</f>
        <v/>
      </c>
      <c r="P810" s="114" t="str">
        <f aca="false">IF($E810="","",$E810*100+$O810)</f>
        <v/>
      </c>
      <c r="Q810" s="114" t="str">
        <f aca="false">IF($L810="Atrasado",$E810*10000+$A810,"")</f>
        <v/>
      </c>
    </row>
    <row r="811" customFormat="false" ht="15" hidden="false" customHeight="false" outlineLevel="0" collapsed="false">
      <c r="A811" s="114" t="n">
        <f aca="false">ROW()-4</f>
        <v>807</v>
      </c>
      <c r="B811" s="114" t="str">
        <f aca="false">IF(A811&lt;=Config!$E$27*Config!$E$28,"Tema","Avulso")</f>
        <v>Tema</v>
      </c>
      <c r="C811" s="114" t="n">
        <f aca="false">IF(B811="Tema",INT((A811-1)/Config!$E$28)+1,A811-Config!$E$27*Config!$E$28)</f>
        <v>135</v>
      </c>
      <c r="D811" s="114" t="n">
        <f aca="false">IF(B811="Tema",MOD(A811-1,Config!$E$28)+1,"")</f>
        <v>3</v>
      </c>
      <c r="E811" s="115" t="str">
        <f aca="false">IF($B811="Tema",IF(ISNUMBER(INDEX(Temas!$E$6:$P$305,$C811,2*$D811-1)),INDEX(Temas!$E$6:$P$305,$C811,2*$D811-1),""),IF(ISNUMBER(INDEX(Avulsos!$B$6:$B$205,$C811)),INDEX(Avulsos!$B$6:$B$205,$C811),""))</f>
        <v/>
      </c>
      <c r="F811" s="114" t="str">
        <f aca="false">IF($E811="","",IF($B811="Tema",INDEX(Temas!$B$6:$B$305,$C811)&amp;"",INDEX(Avulsos!$C$6:$C$205,$C811)&amp;""))</f>
        <v/>
      </c>
      <c r="G811" s="114" t="str">
        <f aca="false">IF($E811="","",IF($B811="Tema",INDEX(Config!$C$6:$C$11,$D811),"Evento avulso"))</f>
        <v/>
      </c>
      <c r="H811" s="114" t="str">
        <f aca="false">IF($E811="","",IF($B811="Tema",INDEX(Config!$D$6:$D$11,$D811),IFERROR(INDEX(Config!$E$15:$E$19,MATCH($I811,Config!$C$15:$C$19,0)),"•")))</f>
        <v/>
      </c>
      <c r="I811" s="114" t="str">
        <f aca="false">IF($E811="","",IF($B811="Tema",INDEX(Config!$E$6:$E$11,$D811),IF(INDEX(Avulsos!$D$6:$D$205,$C811)&amp;""="","Outro",INDEX(Avulsos!$D$6:$D$205,$C811))))</f>
        <v/>
      </c>
      <c r="J811" s="114" t="str">
        <f aca="false">IF($E811="","",IF($B811="Tema",INDEX(Temas!$C$6:$C$305,$C811)&amp;"",INDEX(Avulsos!$E$6:$E$205,$C811)&amp;""))</f>
        <v/>
      </c>
      <c r="K811" s="114" t="str">
        <f aca="false">IF($E811="","",IF(IF($B811="Tema",INDEX(Temas!$E$6:$P$305,$C811,2*$D811),INDEX(Avulsos!$F$6:$F$205,$C811))&amp;""="","","✓"))</f>
        <v/>
      </c>
      <c r="L811" s="114" t="str">
        <f aca="true">IF($E811="","",IF($K811="✓","Concluído",IF($E811&lt;TODAY(),"Atrasado",IF($E811=TODAY(),"Hoje","Pendente"))))</f>
        <v/>
      </c>
      <c r="M811" s="114" t="str">
        <f aca="false">IF($E811="","",IF($K811="✓","✓ ","")&amp;IF(Config!$E$22="Sim",$H811&amp;" · ","")&amp;$F811)</f>
        <v/>
      </c>
      <c r="N811" s="114" t="str">
        <f aca="false">IF($E811="","",IFERROR(INDEX(Config!$D$15:$D$19,MATCH($I811,Config!$C$15:$C$19,0)),"OUT")&amp;IF($K811="✓","x",""))</f>
        <v/>
      </c>
      <c r="O811" s="114" t="str">
        <f aca="false">IF($E811="","",COUNTIF($E$5:$E811,$E811))</f>
        <v/>
      </c>
      <c r="P811" s="114" t="str">
        <f aca="false">IF($E811="","",$E811*100+$O811)</f>
        <v/>
      </c>
      <c r="Q811" s="114" t="str">
        <f aca="false">IF($L811="Atrasado",$E811*10000+$A811,"")</f>
        <v/>
      </c>
    </row>
    <row r="812" customFormat="false" ht="15" hidden="false" customHeight="false" outlineLevel="0" collapsed="false">
      <c r="A812" s="114" t="n">
        <f aca="false">ROW()-4</f>
        <v>808</v>
      </c>
      <c r="B812" s="114" t="str">
        <f aca="false">IF(A812&lt;=Config!$E$27*Config!$E$28,"Tema","Avulso")</f>
        <v>Tema</v>
      </c>
      <c r="C812" s="114" t="n">
        <f aca="false">IF(B812="Tema",INT((A812-1)/Config!$E$28)+1,A812-Config!$E$27*Config!$E$28)</f>
        <v>135</v>
      </c>
      <c r="D812" s="114" t="n">
        <f aca="false">IF(B812="Tema",MOD(A812-1,Config!$E$28)+1,"")</f>
        <v>4</v>
      </c>
      <c r="E812" s="115" t="str">
        <f aca="false">IF($B812="Tema",IF(ISNUMBER(INDEX(Temas!$E$6:$P$305,$C812,2*$D812-1)),INDEX(Temas!$E$6:$P$305,$C812,2*$D812-1),""),IF(ISNUMBER(INDEX(Avulsos!$B$6:$B$205,$C812)),INDEX(Avulsos!$B$6:$B$205,$C812),""))</f>
        <v/>
      </c>
      <c r="F812" s="114" t="str">
        <f aca="false">IF($E812="","",IF($B812="Tema",INDEX(Temas!$B$6:$B$305,$C812)&amp;"",INDEX(Avulsos!$C$6:$C$205,$C812)&amp;""))</f>
        <v/>
      </c>
      <c r="G812" s="114" t="str">
        <f aca="false">IF($E812="","",IF($B812="Tema",INDEX(Config!$C$6:$C$11,$D812),"Evento avulso"))</f>
        <v/>
      </c>
      <c r="H812" s="114" t="str">
        <f aca="false">IF($E812="","",IF($B812="Tema",INDEX(Config!$D$6:$D$11,$D812),IFERROR(INDEX(Config!$E$15:$E$19,MATCH($I812,Config!$C$15:$C$19,0)),"•")))</f>
        <v/>
      </c>
      <c r="I812" s="114" t="str">
        <f aca="false">IF($E812="","",IF($B812="Tema",INDEX(Config!$E$6:$E$11,$D812),IF(INDEX(Avulsos!$D$6:$D$205,$C812)&amp;""="","Outro",INDEX(Avulsos!$D$6:$D$205,$C812))))</f>
        <v/>
      </c>
      <c r="J812" s="114" t="str">
        <f aca="false">IF($E812="","",IF($B812="Tema",INDEX(Temas!$C$6:$C$305,$C812)&amp;"",INDEX(Avulsos!$E$6:$E$205,$C812)&amp;""))</f>
        <v/>
      </c>
      <c r="K812" s="114" t="str">
        <f aca="false">IF($E812="","",IF(IF($B812="Tema",INDEX(Temas!$E$6:$P$305,$C812,2*$D812),INDEX(Avulsos!$F$6:$F$205,$C812))&amp;""="","","✓"))</f>
        <v/>
      </c>
      <c r="L812" s="114" t="str">
        <f aca="true">IF($E812="","",IF($K812="✓","Concluído",IF($E812&lt;TODAY(),"Atrasado",IF($E812=TODAY(),"Hoje","Pendente"))))</f>
        <v/>
      </c>
      <c r="M812" s="114" t="str">
        <f aca="false">IF($E812="","",IF($K812="✓","✓ ","")&amp;IF(Config!$E$22="Sim",$H812&amp;" · ","")&amp;$F812)</f>
        <v/>
      </c>
      <c r="N812" s="114" t="str">
        <f aca="false">IF($E812="","",IFERROR(INDEX(Config!$D$15:$D$19,MATCH($I812,Config!$C$15:$C$19,0)),"OUT")&amp;IF($K812="✓","x",""))</f>
        <v/>
      </c>
      <c r="O812" s="114" t="str">
        <f aca="false">IF($E812="","",COUNTIF($E$5:$E812,$E812))</f>
        <v/>
      </c>
      <c r="P812" s="114" t="str">
        <f aca="false">IF($E812="","",$E812*100+$O812)</f>
        <v/>
      </c>
      <c r="Q812" s="114" t="str">
        <f aca="false">IF($L812="Atrasado",$E812*10000+$A812,"")</f>
        <v/>
      </c>
    </row>
    <row r="813" customFormat="false" ht="15" hidden="false" customHeight="false" outlineLevel="0" collapsed="false">
      <c r="A813" s="114" t="n">
        <f aca="false">ROW()-4</f>
        <v>809</v>
      </c>
      <c r="B813" s="114" t="str">
        <f aca="false">IF(A813&lt;=Config!$E$27*Config!$E$28,"Tema","Avulso")</f>
        <v>Tema</v>
      </c>
      <c r="C813" s="114" t="n">
        <f aca="false">IF(B813="Tema",INT((A813-1)/Config!$E$28)+1,A813-Config!$E$27*Config!$E$28)</f>
        <v>135</v>
      </c>
      <c r="D813" s="114" t="n">
        <f aca="false">IF(B813="Tema",MOD(A813-1,Config!$E$28)+1,"")</f>
        <v>5</v>
      </c>
      <c r="E813" s="115" t="str">
        <f aca="false">IF($B813="Tema",IF(ISNUMBER(INDEX(Temas!$E$6:$P$305,$C813,2*$D813-1)),INDEX(Temas!$E$6:$P$305,$C813,2*$D813-1),""),IF(ISNUMBER(INDEX(Avulsos!$B$6:$B$205,$C813)),INDEX(Avulsos!$B$6:$B$205,$C813),""))</f>
        <v/>
      </c>
      <c r="F813" s="114" t="str">
        <f aca="false">IF($E813="","",IF($B813="Tema",INDEX(Temas!$B$6:$B$305,$C813)&amp;"",INDEX(Avulsos!$C$6:$C$205,$C813)&amp;""))</f>
        <v/>
      </c>
      <c r="G813" s="114" t="str">
        <f aca="false">IF($E813="","",IF($B813="Tema",INDEX(Config!$C$6:$C$11,$D813),"Evento avulso"))</f>
        <v/>
      </c>
      <c r="H813" s="114" t="str">
        <f aca="false">IF($E813="","",IF($B813="Tema",INDEX(Config!$D$6:$D$11,$D813),IFERROR(INDEX(Config!$E$15:$E$19,MATCH($I813,Config!$C$15:$C$19,0)),"•")))</f>
        <v/>
      </c>
      <c r="I813" s="114" t="str">
        <f aca="false">IF($E813="","",IF($B813="Tema",INDEX(Config!$E$6:$E$11,$D813),IF(INDEX(Avulsos!$D$6:$D$205,$C813)&amp;""="","Outro",INDEX(Avulsos!$D$6:$D$205,$C813))))</f>
        <v/>
      </c>
      <c r="J813" s="114" t="str">
        <f aca="false">IF($E813="","",IF($B813="Tema",INDEX(Temas!$C$6:$C$305,$C813)&amp;"",INDEX(Avulsos!$E$6:$E$205,$C813)&amp;""))</f>
        <v/>
      </c>
      <c r="K813" s="114" t="str">
        <f aca="false">IF($E813="","",IF(IF($B813="Tema",INDEX(Temas!$E$6:$P$305,$C813,2*$D813),INDEX(Avulsos!$F$6:$F$205,$C813))&amp;""="","","✓"))</f>
        <v/>
      </c>
      <c r="L813" s="114" t="str">
        <f aca="true">IF($E813="","",IF($K813="✓","Concluído",IF($E813&lt;TODAY(),"Atrasado",IF($E813=TODAY(),"Hoje","Pendente"))))</f>
        <v/>
      </c>
      <c r="M813" s="114" t="str">
        <f aca="false">IF($E813="","",IF($K813="✓","✓ ","")&amp;IF(Config!$E$22="Sim",$H813&amp;" · ","")&amp;$F813)</f>
        <v/>
      </c>
      <c r="N813" s="114" t="str">
        <f aca="false">IF($E813="","",IFERROR(INDEX(Config!$D$15:$D$19,MATCH($I813,Config!$C$15:$C$19,0)),"OUT")&amp;IF($K813="✓","x",""))</f>
        <v/>
      </c>
      <c r="O813" s="114" t="str">
        <f aca="false">IF($E813="","",COUNTIF($E$5:$E813,$E813))</f>
        <v/>
      </c>
      <c r="P813" s="114" t="str">
        <f aca="false">IF($E813="","",$E813*100+$O813)</f>
        <v/>
      </c>
      <c r="Q813" s="114" t="str">
        <f aca="false">IF($L813="Atrasado",$E813*10000+$A813,"")</f>
        <v/>
      </c>
    </row>
    <row r="814" customFormat="false" ht="15" hidden="false" customHeight="false" outlineLevel="0" collapsed="false">
      <c r="A814" s="114" t="n">
        <f aca="false">ROW()-4</f>
        <v>810</v>
      </c>
      <c r="B814" s="114" t="str">
        <f aca="false">IF(A814&lt;=Config!$E$27*Config!$E$28,"Tema","Avulso")</f>
        <v>Tema</v>
      </c>
      <c r="C814" s="114" t="n">
        <f aca="false">IF(B814="Tema",INT((A814-1)/Config!$E$28)+1,A814-Config!$E$27*Config!$E$28)</f>
        <v>135</v>
      </c>
      <c r="D814" s="114" t="n">
        <f aca="false">IF(B814="Tema",MOD(A814-1,Config!$E$28)+1,"")</f>
        <v>6</v>
      </c>
      <c r="E814" s="115" t="str">
        <f aca="false">IF($B814="Tema",IF(ISNUMBER(INDEX(Temas!$E$6:$P$305,$C814,2*$D814-1)),INDEX(Temas!$E$6:$P$305,$C814,2*$D814-1),""),IF(ISNUMBER(INDEX(Avulsos!$B$6:$B$205,$C814)),INDEX(Avulsos!$B$6:$B$205,$C814),""))</f>
        <v/>
      </c>
      <c r="F814" s="114" t="str">
        <f aca="false">IF($E814="","",IF($B814="Tema",INDEX(Temas!$B$6:$B$305,$C814)&amp;"",INDEX(Avulsos!$C$6:$C$205,$C814)&amp;""))</f>
        <v/>
      </c>
      <c r="G814" s="114" t="str">
        <f aca="false">IF($E814="","",IF($B814="Tema",INDEX(Config!$C$6:$C$11,$D814),"Evento avulso"))</f>
        <v/>
      </c>
      <c r="H814" s="114" t="str">
        <f aca="false">IF($E814="","",IF($B814="Tema",INDEX(Config!$D$6:$D$11,$D814),IFERROR(INDEX(Config!$E$15:$E$19,MATCH($I814,Config!$C$15:$C$19,0)),"•")))</f>
        <v/>
      </c>
      <c r="I814" s="114" t="str">
        <f aca="false">IF($E814="","",IF($B814="Tema",INDEX(Config!$E$6:$E$11,$D814),IF(INDEX(Avulsos!$D$6:$D$205,$C814)&amp;""="","Outro",INDEX(Avulsos!$D$6:$D$205,$C814))))</f>
        <v/>
      </c>
      <c r="J814" s="114" t="str">
        <f aca="false">IF($E814="","",IF($B814="Tema",INDEX(Temas!$C$6:$C$305,$C814)&amp;"",INDEX(Avulsos!$E$6:$E$205,$C814)&amp;""))</f>
        <v/>
      </c>
      <c r="K814" s="114" t="str">
        <f aca="false">IF($E814="","",IF(IF($B814="Tema",INDEX(Temas!$E$6:$P$305,$C814,2*$D814),INDEX(Avulsos!$F$6:$F$205,$C814))&amp;""="","","✓"))</f>
        <v/>
      </c>
      <c r="L814" s="114" t="str">
        <f aca="true">IF($E814="","",IF($K814="✓","Concluído",IF($E814&lt;TODAY(),"Atrasado",IF($E814=TODAY(),"Hoje","Pendente"))))</f>
        <v/>
      </c>
      <c r="M814" s="114" t="str">
        <f aca="false">IF($E814="","",IF($K814="✓","✓ ","")&amp;IF(Config!$E$22="Sim",$H814&amp;" · ","")&amp;$F814)</f>
        <v/>
      </c>
      <c r="N814" s="114" t="str">
        <f aca="false">IF($E814="","",IFERROR(INDEX(Config!$D$15:$D$19,MATCH($I814,Config!$C$15:$C$19,0)),"OUT")&amp;IF($K814="✓","x",""))</f>
        <v/>
      </c>
      <c r="O814" s="114" t="str">
        <f aca="false">IF($E814="","",COUNTIF($E$5:$E814,$E814))</f>
        <v/>
      </c>
      <c r="P814" s="114" t="str">
        <f aca="false">IF($E814="","",$E814*100+$O814)</f>
        <v/>
      </c>
      <c r="Q814" s="114" t="str">
        <f aca="false">IF($L814="Atrasado",$E814*10000+$A814,"")</f>
        <v/>
      </c>
    </row>
    <row r="815" customFormat="false" ht="15" hidden="false" customHeight="false" outlineLevel="0" collapsed="false">
      <c r="A815" s="114" t="n">
        <f aca="false">ROW()-4</f>
        <v>811</v>
      </c>
      <c r="B815" s="114" t="str">
        <f aca="false">IF(A815&lt;=Config!$E$27*Config!$E$28,"Tema","Avulso")</f>
        <v>Tema</v>
      </c>
      <c r="C815" s="114" t="n">
        <f aca="false">IF(B815="Tema",INT((A815-1)/Config!$E$28)+1,A815-Config!$E$27*Config!$E$28)</f>
        <v>136</v>
      </c>
      <c r="D815" s="114" t="n">
        <f aca="false">IF(B815="Tema",MOD(A815-1,Config!$E$28)+1,"")</f>
        <v>1</v>
      </c>
      <c r="E815" s="115" t="str">
        <f aca="false">IF($B815="Tema",IF(ISNUMBER(INDEX(Temas!$E$6:$P$305,$C815,2*$D815-1)),INDEX(Temas!$E$6:$P$305,$C815,2*$D815-1),""),IF(ISNUMBER(INDEX(Avulsos!$B$6:$B$205,$C815)),INDEX(Avulsos!$B$6:$B$205,$C815),""))</f>
        <v/>
      </c>
      <c r="F815" s="114" t="str">
        <f aca="false">IF($E815="","",IF($B815="Tema",INDEX(Temas!$B$6:$B$305,$C815)&amp;"",INDEX(Avulsos!$C$6:$C$205,$C815)&amp;""))</f>
        <v/>
      </c>
      <c r="G815" s="114" t="str">
        <f aca="false">IF($E815="","",IF($B815="Tema",INDEX(Config!$C$6:$C$11,$D815),"Evento avulso"))</f>
        <v/>
      </c>
      <c r="H815" s="114" t="str">
        <f aca="false">IF($E815="","",IF($B815="Tema",INDEX(Config!$D$6:$D$11,$D815),IFERROR(INDEX(Config!$E$15:$E$19,MATCH($I815,Config!$C$15:$C$19,0)),"•")))</f>
        <v/>
      </c>
      <c r="I815" s="114" t="str">
        <f aca="false">IF($E815="","",IF($B815="Tema",INDEX(Config!$E$6:$E$11,$D815),IF(INDEX(Avulsos!$D$6:$D$205,$C815)&amp;""="","Outro",INDEX(Avulsos!$D$6:$D$205,$C815))))</f>
        <v/>
      </c>
      <c r="J815" s="114" t="str">
        <f aca="false">IF($E815="","",IF($B815="Tema",INDEX(Temas!$C$6:$C$305,$C815)&amp;"",INDEX(Avulsos!$E$6:$E$205,$C815)&amp;""))</f>
        <v/>
      </c>
      <c r="K815" s="114" t="str">
        <f aca="false">IF($E815="","",IF(IF($B815="Tema",INDEX(Temas!$E$6:$P$305,$C815,2*$D815),INDEX(Avulsos!$F$6:$F$205,$C815))&amp;""="","","✓"))</f>
        <v/>
      </c>
      <c r="L815" s="114" t="str">
        <f aca="true">IF($E815="","",IF($K815="✓","Concluído",IF($E815&lt;TODAY(),"Atrasado",IF($E815=TODAY(),"Hoje","Pendente"))))</f>
        <v/>
      </c>
      <c r="M815" s="114" t="str">
        <f aca="false">IF($E815="","",IF($K815="✓","✓ ","")&amp;IF(Config!$E$22="Sim",$H815&amp;" · ","")&amp;$F815)</f>
        <v/>
      </c>
      <c r="N815" s="114" t="str">
        <f aca="false">IF($E815="","",IFERROR(INDEX(Config!$D$15:$D$19,MATCH($I815,Config!$C$15:$C$19,0)),"OUT")&amp;IF($K815="✓","x",""))</f>
        <v/>
      </c>
      <c r="O815" s="114" t="str">
        <f aca="false">IF($E815="","",COUNTIF($E$5:$E815,$E815))</f>
        <v/>
      </c>
      <c r="P815" s="114" t="str">
        <f aca="false">IF($E815="","",$E815*100+$O815)</f>
        <v/>
      </c>
      <c r="Q815" s="114" t="str">
        <f aca="false">IF($L815="Atrasado",$E815*10000+$A815,"")</f>
        <v/>
      </c>
    </row>
    <row r="816" customFormat="false" ht="15" hidden="false" customHeight="false" outlineLevel="0" collapsed="false">
      <c r="A816" s="114" t="n">
        <f aca="false">ROW()-4</f>
        <v>812</v>
      </c>
      <c r="B816" s="114" t="str">
        <f aca="false">IF(A816&lt;=Config!$E$27*Config!$E$28,"Tema","Avulso")</f>
        <v>Tema</v>
      </c>
      <c r="C816" s="114" t="n">
        <f aca="false">IF(B816="Tema",INT((A816-1)/Config!$E$28)+1,A816-Config!$E$27*Config!$E$28)</f>
        <v>136</v>
      </c>
      <c r="D816" s="114" t="n">
        <f aca="false">IF(B816="Tema",MOD(A816-1,Config!$E$28)+1,"")</f>
        <v>2</v>
      </c>
      <c r="E816" s="115" t="str">
        <f aca="false">IF($B816="Tema",IF(ISNUMBER(INDEX(Temas!$E$6:$P$305,$C816,2*$D816-1)),INDEX(Temas!$E$6:$P$305,$C816,2*$D816-1),""),IF(ISNUMBER(INDEX(Avulsos!$B$6:$B$205,$C816)),INDEX(Avulsos!$B$6:$B$205,$C816),""))</f>
        <v/>
      </c>
      <c r="F816" s="114" t="str">
        <f aca="false">IF($E816="","",IF($B816="Tema",INDEX(Temas!$B$6:$B$305,$C816)&amp;"",INDEX(Avulsos!$C$6:$C$205,$C816)&amp;""))</f>
        <v/>
      </c>
      <c r="G816" s="114" t="str">
        <f aca="false">IF($E816="","",IF($B816="Tema",INDEX(Config!$C$6:$C$11,$D816),"Evento avulso"))</f>
        <v/>
      </c>
      <c r="H816" s="114" t="str">
        <f aca="false">IF($E816="","",IF($B816="Tema",INDEX(Config!$D$6:$D$11,$D816),IFERROR(INDEX(Config!$E$15:$E$19,MATCH($I816,Config!$C$15:$C$19,0)),"•")))</f>
        <v/>
      </c>
      <c r="I816" s="114" t="str">
        <f aca="false">IF($E816="","",IF($B816="Tema",INDEX(Config!$E$6:$E$11,$D816),IF(INDEX(Avulsos!$D$6:$D$205,$C816)&amp;""="","Outro",INDEX(Avulsos!$D$6:$D$205,$C816))))</f>
        <v/>
      </c>
      <c r="J816" s="114" t="str">
        <f aca="false">IF($E816="","",IF($B816="Tema",INDEX(Temas!$C$6:$C$305,$C816)&amp;"",INDEX(Avulsos!$E$6:$E$205,$C816)&amp;""))</f>
        <v/>
      </c>
      <c r="K816" s="114" t="str">
        <f aca="false">IF($E816="","",IF(IF($B816="Tema",INDEX(Temas!$E$6:$P$305,$C816,2*$D816),INDEX(Avulsos!$F$6:$F$205,$C816))&amp;""="","","✓"))</f>
        <v/>
      </c>
      <c r="L816" s="114" t="str">
        <f aca="true">IF($E816="","",IF($K816="✓","Concluído",IF($E816&lt;TODAY(),"Atrasado",IF($E816=TODAY(),"Hoje","Pendente"))))</f>
        <v/>
      </c>
      <c r="M816" s="114" t="str">
        <f aca="false">IF($E816="","",IF($K816="✓","✓ ","")&amp;IF(Config!$E$22="Sim",$H816&amp;" · ","")&amp;$F816)</f>
        <v/>
      </c>
      <c r="N816" s="114" t="str">
        <f aca="false">IF($E816="","",IFERROR(INDEX(Config!$D$15:$D$19,MATCH($I816,Config!$C$15:$C$19,0)),"OUT")&amp;IF($K816="✓","x",""))</f>
        <v/>
      </c>
      <c r="O816" s="114" t="str">
        <f aca="false">IF($E816="","",COUNTIF($E$5:$E816,$E816))</f>
        <v/>
      </c>
      <c r="P816" s="114" t="str">
        <f aca="false">IF($E816="","",$E816*100+$O816)</f>
        <v/>
      </c>
      <c r="Q816" s="114" t="str">
        <f aca="false">IF($L816="Atrasado",$E816*10000+$A816,"")</f>
        <v/>
      </c>
    </row>
    <row r="817" customFormat="false" ht="15" hidden="false" customHeight="false" outlineLevel="0" collapsed="false">
      <c r="A817" s="114" t="n">
        <f aca="false">ROW()-4</f>
        <v>813</v>
      </c>
      <c r="B817" s="114" t="str">
        <f aca="false">IF(A817&lt;=Config!$E$27*Config!$E$28,"Tema","Avulso")</f>
        <v>Tema</v>
      </c>
      <c r="C817" s="114" t="n">
        <f aca="false">IF(B817="Tema",INT((A817-1)/Config!$E$28)+1,A817-Config!$E$27*Config!$E$28)</f>
        <v>136</v>
      </c>
      <c r="D817" s="114" t="n">
        <f aca="false">IF(B817="Tema",MOD(A817-1,Config!$E$28)+1,"")</f>
        <v>3</v>
      </c>
      <c r="E817" s="115" t="str">
        <f aca="false">IF($B817="Tema",IF(ISNUMBER(INDEX(Temas!$E$6:$P$305,$C817,2*$D817-1)),INDEX(Temas!$E$6:$P$305,$C817,2*$D817-1),""),IF(ISNUMBER(INDEX(Avulsos!$B$6:$B$205,$C817)),INDEX(Avulsos!$B$6:$B$205,$C817),""))</f>
        <v/>
      </c>
      <c r="F817" s="114" t="str">
        <f aca="false">IF($E817="","",IF($B817="Tema",INDEX(Temas!$B$6:$B$305,$C817)&amp;"",INDEX(Avulsos!$C$6:$C$205,$C817)&amp;""))</f>
        <v/>
      </c>
      <c r="G817" s="114" t="str">
        <f aca="false">IF($E817="","",IF($B817="Tema",INDEX(Config!$C$6:$C$11,$D817),"Evento avulso"))</f>
        <v/>
      </c>
      <c r="H817" s="114" t="str">
        <f aca="false">IF($E817="","",IF($B817="Tema",INDEX(Config!$D$6:$D$11,$D817),IFERROR(INDEX(Config!$E$15:$E$19,MATCH($I817,Config!$C$15:$C$19,0)),"•")))</f>
        <v/>
      </c>
      <c r="I817" s="114" t="str">
        <f aca="false">IF($E817="","",IF($B817="Tema",INDEX(Config!$E$6:$E$11,$D817),IF(INDEX(Avulsos!$D$6:$D$205,$C817)&amp;""="","Outro",INDEX(Avulsos!$D$6:$D$205,$C817))))</f>
        <v/>
      </c>
      <c r="J817" s="114" t="str">
        <f aca="false">IF($E817="","",IF($B817="Tema",INDEX(Temas!$C$6:$C$305,$C817)&amp;"",INDEX(Avulsos!$E$6:$E$205,$C817)&amp;""))</f>
        <v/>
      </c>
      <c r="K817" s="114" t="str">
        <f aca="false">IF($E817="","",IF(IF($B817="Tema",INDEX(Temas!$E$6:$P$305,$C817,2*$D817),INDEX(Avulsos!$F$6:$F$205,$C817))&amp;""="","","✓"))</f>
        <v/>
      </c>
      <c r="L817" s="114" t="str">
        <f aca="true">IF($E817="","",IF($K817="✓","Concluído",IF($E817&lt;TODAY(),"Atrasado",IF($E817=TODAY(),"Hoje","Pendente"))))</f>
        <v/>
      </c>
      <c r="M817" s="114" t="str">
        <f aca="false">IF($E817="","",IF($K817="✓","✓ ","")&amp;IF(Config!$E$22="Sim",$H817&amp;" · ","")&amp;$F817)</f>
        <v/>
      </c>
      <c r="N817" s="114" t="str">
        <f aca="false">IF($E817="","",IFERROR(INDEX(Config!$D$15:$D$19,MATCH($I817,Config!$C$15:$C$19,0)),"OUT")&amp;IF($K817="✓","x",""))</f>
        <v/>
      </c>
      <c r="O817" s="114" t="str">
        <f aca="false">IF($E817="","",COUNTIF($E$5:$E817,$E817))</f>
        <v/>
      </c>
      <c r="P817" s="114" t="str">
        <f aca="false">IF($E817="","",$E817*100+$O817)</f>
        <v/>
      </c>
      <c r="Q817" s="114" t="str">
        <f aca="false">IF($L817="Atrasado",$E817*10000+$A817,"")</f>
        <v/>
      </c>
    </row>
    <row r="818" customFormat="false" ht="15" hidden="false" customHeight="false" outlineLevel="0" collapsed="false">
      <c r="A818" s="114" t="n">
        <f aca="false">ROW()-4</f>
        <v>814</v>
      </c>
      <c r="B818" s="114" t="str">
        <f aca="false">IF(A818&lt;=Config!$E$27*Config!$E$28,"Tema","Avulso")</f>
        <v>Tema</v>
      </c>
      <c r="C818" s="114" t="n">
        <f aca="false">IF(B818="Tema",INT((A818-1)/Config!$E$28)+1,A818-Config!$E$27*Config!$E$28)</f>
        <v>136</v>
      </c>
      <c r="D818" s="114" t="n">
        <f aca="false">IF(B818="Tema",MOD(A818-1,Config!$E$28)+1,"")</f>
        <v>4</v>
      </c>
      <c r="E818" s="115" t="str">
        <f aca="false">IF($B818="Tema",IF(ISNUMBER(INDEX(Temas!$E$6:$P$305,$C818,2*$D818-1)),INDEX(Temas!$E$6:$P$305,$C818,2*$D818-1),""),IF(ISNUMBER(INDEX(Avulsos!$B$6:$B$205,$C818)),INDEX(Avulsos!$B$6:$B$205,$C818),""))</f>
        <v/>
      </c>
      <c r="F818" s="114" t="str">
        <f aca="false">IF($E818="","",IF($B818="Tema",INDEX(Temas!$B$6:$B$305,$C818)&amp;"",INDEX(Avulsos!$C$6:$C$205,$C818)&amp;""))</f>
        <v/>
      </c>
      <c r="G818" s="114" t="str">
        <f aca="false">IF($E818="","",IF($B818="Tema",INDEX(Config!$C$6:$C$11,$D818),"Evento avulso"))</f>
        <v/>
      </c>
      <c r="H818" s="114" t="str">
        <f aca="false">IF($E818="","",IF($B818="Tema",INDEX(Config!$D$6:$D$11,$D818),IFERROR(INDEX(Config!$E$15:$E$19,MATCH($I818,Config!$C$15:$C$19,0)),"•")))</f>
        <v/>
      </c>
      <c r="I818" s="114" t="str">
        <f aca="false">IF($E818="","",IF($B818="Tema",INDEX(Config!$E$6:$E$11,$D818),IF(INDEX(Avulsos!$D$6:$D$205,$C818)&amp;""="","Outro",INDEX(Avulsos!$D$6:$D$205,$C818))))</f>
        <v/>
      </c>
      <c r="J818" s="114" t="str">
        <f aca="false">IF($E818="","",IF($B818="Tema",INDEX(Temas!$C$6:$C$305,$C818)&amp;"",INDEX(Avulsos!$E$6:$E$205,$C818)&amp;""))</f>
        <v/>
      </c>
      <c r="K818" s="114" t="str">
        <f aca="false">IF($E818="","",IF(IF($B818="Tema",INDEX(Temas!$E$6:$P$305,$C818,2*$D818),INDEX(Avulsos!$F$6:$F$205,$C818))&amp;""="","","✓"))</f>
        <v/>
      </c>
      <c r="L818" s="114" t="str">
        <f aca="true">IF($E818="","",IF($K818="✓","Concluído",IF($E818&lt;TODAY(),"Atrasado",IF($E818=TODAY(),"Hoje","Pendente"))))</f>
        <v/>
      </c>
      <c r="M818" s="114" t="str">
        <f aca="false">IF($E818="","",IF($K818="✓","✓ ","")&amp;IF(Config!$E$22="Sim",$H818&amp;" · ","")&amp;$F818)</f>
        <v/>
      </c>
      <c r="N818" s="114" t="str">
        <f aca="false">IF($E818="","",IFERROR(INDEX(Config!$D$15:$D$19,MATCH($I818,Config!$C$15:$C$19,0)),"OUT")&amp;IF($K818="✓","x",""))</f>
        <v/>
      </c>
      <c r="O818" s="114" t="str">
        <f aca="false">IF($E818="","",COUNTIF($E$5:$E818,$E818))</f>
        <v/>
      </c>
      <c r="P818" s="114" t="str">
        <f aca="false">IF($E818="","",$E818*100+$O818)</f>
        <v/>
      </c>
      <c r="Q818" s="114" t="str">
        <f aca="false">IF($L818="Atrasado",$E818*10000+$A818,"")</f>
        <v/>
      </c>
    </row>
    <row r="819" customFormat="false" ht="15" hidden="false" customHeight="false" outlineLevel="0" collapsed="false">
      <c r="A819" s="114" t="n">
        <f aca="false">ROW()-4</f>
        <v>815</v>
      </c>
      <c r="B819" s="114" t="str">
        <f aca="false">IF(A819&lt;=Config!$E$27*Config!$E$28,"Tema","Avulso")</f>
        <v>Tema</v>
      </c>
      <c r="C819" s="114" t="n">
        <f aca="false">IF(B819="Tema",INT((A819-1)/Config!$E$28)+1,A819-Config!$E$27*Config!$E$28)</f>
        <v>136</v>
      </c>
      <c r="D819" s="114" t="n">
        <f aca="false">IF(B819="Tema",MOD(A819-1,Config!$E$28)+1,"")</f>
        <v>5</v>
      </c>
      <c r="E819" s="115" t="str">
        <f aca="false">IF($B819="Tema",IF(ISNUMBER(INDEX(Temas!$E$6:$P$305,$C819,2*$D819-1)),INDEX(Temas!$E$6:$P$305,$C819,2*$D819-1),""),IF(ISNUMBER(INDEX(Avulsos!$B$6:$B$205,$C819)),INDEX(Avulsos!$B$6:$B$205,$C819),""))</f>
        <v/>
      </c>
      <c r="F819" s="114" t="str">
        <f aca="false">IF($E819="","",IF($B819="Tema",INDEX(Temas!$B$6:$B$305,$C819)&amp;"",INDEX(Avulsos!$C$6:$C$205,$C819)&amp;""))</f>
        <v/>
      </c>
      <c r="G819" s="114" t="str">
        <f aca="false">IF($E819="","",IF($B819="Tema",INDEX(Config!$C$6:$C$11,$D819),"Evento avulso"))</f>
        <v/>
      </c>
      <c r="H819" s="114" t="str">
        <f aca="false">IF($E819="","",IF($B819="Tema",INDEX(Config!$D$6:$D$11,$D819),IFERROR(INDEX(Config!$E$15:$E$19,MATCH($I819,Config!$C$15:$C$19,0)),"•")))</f>
        <v/>
      </c>
      <c r="I819" s="114" t="str">
        <f aca="false">IF($E819="","",IF($B819="Tema",INDEX(Config!$E$6:$E$11,$D819),IF(INDEX(Avulsos!$D$6:$D$205,$C819)&amp;""="","Outro",INDEX(Avulsos!$D$6:$D$205,$C819))))</f>
        <v/>
      </c>
      <c r="J819" s="114" t="str">
        <f aca="false">IF($E819="","",IF($B819="Tema",INDEX(Temas!$C$6:$C$305,$C819)&amp;"",INDEX(Avulsos!$E$6:$E$205,$C819)&amp;""))</f>
        <v/>
      </c>
      <c r="K819" s="114" t="str">
        <f aca="false">IF($E819="","",IF(IF($B819="Tema",INDEX(Temas!$E$6:$P$305,$C819,2*$D819),INDEX(Avulsos!$F$6:$F$205,$C819))&amp;""="","","✓"))</f>
        <v/>
      </c>
      <c r="L819" s="114" t="str">
        <f aca="true">IF($E819="","",IF($K819="✓","Concluído",IF($E819&lt;TODAY(),"Atrasado",IF($E819=TODAY(),"Hoje","Pendente"))))</f>
        <v/>
      </c>
      <c r="M819" s="114" t="str">
        <f aca="false">IF($E819="","",IF($K819="✓","✓ ","")&amp;IF(Config!$E$22="Sim",$H819&amp;" · ","")&amp;$F819)</f>
        <v/>
      </c>
      <c r="N819" s="114" t="str">
        <f aca="false">IF($E819="","",IFERROR(INDEX(Config!$D$15:$D$19,MATCH($I819,Config!$C$15:$C$19,0)),"OUT")&amp;IF($K819="✓","x",""))</f>
        <v/>
      </c>
      <c r="O819" s="114" t="str">
        <f aca="false">IF($E819="","",COUNTIF($E$5:$E819,$E819))</f>
        <v/>
      </c>
      <c r="P819" s="114" t="str">
        <f aca="false">IF($E819="","",$E819*100+$O819)</f>
        <v/>
      </c>
      <c r="Q819" s="114" t="str">
        <f aca="false">IF($L819="Atrasado",$E819*10000+$A819,"")</f>
        <v/>
      </c>
    </row>
    <row r="820" customFormat="false" ht="15" hidden="false" customHeight="false" outlineLevel="0" collapsed="false">
      <c r="A820" s="114" t="n">
        <f aca="false">ROW()-4</f>
        <v>816</v>
      </c>
      <c r="B820" s="114" t="str">
        <f aca="false">IF(A820&lt;=Config!$E$27*Config!$E$28,"Tema","Avulso")</f>
        <v>Tema</v>
      </c>
      <c r="C820" s="114" t="n">
        <f aca="false">IF(B820="Tema",INT((A820-1)/Config!$E$28)+1,A820-Config!$E$27*Config!$E$28)</f>
        <v>136</v>
      </c>
      <c r="D820" s="114" t="n">
        <f aca="false">IF(B820="Tema",MOD(A820-1,Config!$E$28)+1,"")</f>
        <v>6</v>
      </c>
      <c r="E820" s="115" t="str">
        <f aca="false">IF($B820="Tema",IF(ISNUMBER(INDEX(Temas!$E$6:$P$305,$C820,2*$D820-1)),INDEX(Temas!$E$6:$P$305,$C820,2*$D820-1),""),IF(ISNUMBER(INDEX(Avulsos!$B$6:$B$205,$C820)),INDEX(Avulsos!$B$6:$B$205,$C820),""))</f>
        <v/>
      </c>
      <c r="F820" s="114" t="str">
        <f aca="false">IF($E820="","",IF($B820="Tema",INDEX(Temas!$B$6:$B$305,$C820)&amp;"",INDEX(Avulsos!$C$6:$C$205,$C820)&amp;""))</f>
        <v/>
      </c>
      <c r="G820" s="114" t="str">
        <f aca="false">IF($E820="","",IF($B820="Tema",INDEX(Config!$C$6:$C$11,$D820),"Evento avulso"))</f>
        <v/>
      </c>
      <c r="H820" s="114" t="str">
        <f aca="false">IF($E820="","",IF($B820="Tema",INDEX(Config!$D$6:$D$11,$D820),IFERROR(INDEX(Config!$E$15:$E$19,MATCH($I820,Config!$C$15:$C$19,0)),"•")))</f>
        <v/>
      </c>
      <c r="I820" s="114" t="str">
        <f aca="false">IF($E820="","",IF($B820="Tema",INDEX(Config!$E$6:$E$11,$D820),IF(INDEX(Avulsos!$D$6:$D$205,$C820)&amp;""="","Outro",INDEX(Avulsos!$D$6:$D$205,$C820))))</f>
        <v/>
      </c>
      <c r="J820" s="114" t="str">
        <f aca="false">IF($E820="","",IF($B820="Tema",INDEX(Temas!$C$6:$C$305,$C820)&amp;"",INDEX(Avulsos!$E$6:$E$205,$C820)&amp;""))</f>
        <v/>
      </c>
      <c r="K820" s="114" t="str">
        <f aca="false">IF($E820="","",IF(IF($B820="Tema",INDEX(Temas!$E$6:$P$305,$C820,2*$D820),INDEX(Avulsos!$F$6:$F$205,$C820))&amp;""="","","✓"))</f>
        <v/>
      </c>
      <c r="L820" s="114" t="str">
        <f aca="true">IF($E820="","",IF($K820="✓","Concluído",IF($E820&lt;TODAY(),"Atrasado",IF($E820=TODAY(),"Hoje","Pendente"))))</f>
        <v/>
      </c>
      <c r="M820" s="114" t="str">
        <f aca="false">IF($E820="","",IF($K820="✓","✓ ","")&amp;IF(Config!$E$22="Sim",$H820&amp;" · ","")&amp;$F820)</f>
        <v/>
      </c>
      <c r="N820" s="114" t="str">
        <f aca="false">IF($E820="","",IFERROR(INDEX(Config!$D$15:$D$19,MATCH($I820,Config!$C$15:$C$19,0)),"OUT")&amp;IF($K820="✓","x",""))</f>
        <v/>
      </c>
      <c r="O820" s="114" t="str">
        <f aca="false">IF($E820="","",COUNTIF($E$5:$E820,$E820))</f>
        <v/>
      </c>
      <c r="P820" s="114" t="str">
        <f aca="false">IF($E820="","",$E820*100+$O820)</f>
        <v/>
      </c>
      <c r="Q820" s="114" t="str">
        <f aca="false">IF($L820="Atrasado",$E820*10000+$A820,"")</f>
        <v/>
      </c>
    </row>
    <row r="821" customFormat="false" ht="15" hidden="false" customHeight="false" outlineLevel="0" collapsed="false">
      <c r="A821" s="114" t="n">
        <f aca="false">ROW()-4</f>
        <v>817</v>
      </c>
      <c r="B821" s="114" t="str">
        <f aca="false">IF(A821&lt;=Config!$E$27*Config!$E$28,"Tema","Avulso")</f>
        <v>Tema</v>
      </c>
      <c r="C821" s="114" t="n">
        <f aca="false">IF(B821="Tema",INT((A821-1)/Config!$E$28)+1,A821-Config!$E$27*Config!$E$28)</f>
        <v>137</v>
      </c>
      <c r="D821" s="114" t="n">
        <f aca="false">IF(B821="Tema",MOD(A821-1,Config!$E$28)+1,"")</f>
        <v>1</v>
      </c>
      <c r="E821" s="115" t="str">
        <f aca="false">IF($B821="Tema",IF(ISNUMBER(INDEX(Temas!$E$6:$P$305,$C821,2*$D821-1)),INDEX(Temas!$E$6:$P$305,$C821,2*$D821-1),""),IF(ISNUMBER(INDEX(Avulsos!$B$6:$B$205,$C821)),INDEX(Avulsos!$B$6:$B$205,$C821),""))</f>
        <v/>
      </c>
      <c r="F821" s="114" t="str">
        <f aca="false">IF($E821="","",IF($B821="Tema",INDEX(Temas!$B$6:$B$305,$C821)&amp;"",INDEX(Avulsos!$C$6:$C$205,$C821)&amp;""))</f>
        <v/>
      </c>
      <c r="G821" s="114" t="str">
        <f aca="false">IF($E821="","",IF($B821="Tema",INDEX(Config!$C$6:$C$11,$D821),"Evento avulso"))</f>
        <v/>
      </c>
      <c r="H821" s="114" t="str">
        <f aca="false">IF($E821="","",IF($B821="Tema",INDEX(Config!$D$6:$D$11,$D821),IFERROR(INDEX(Config!$E$15:$E$19,MATCH($I821,Config!$C$15:$C$19,0)),"•")))</f>
        <v/>
      </c>
      <c r="I821" s="114" t="str">
        <f aca="false">IF($E821="","",IF($B821="Tema",INDEX(Config!$E$6:$E$11,$D821),IF(INDEX(Avulsos!$D$6:$D$205,$C821)&amp;""="","Outro",INDEX(Avulsos!$D$6:$D$205,$C821))))</f>
        <v/>
      </c>
      <c r="J821" s="114" t="str">
        <f aca="false">IF($E821="","",IF($B821="Tema",INDEX(Temas!$C$6:$C$305,$C821)&amp;"",INDEX(Avulsos!$E$6:$E$205,$C821)&amp;""))</f>
        <v/>
      </c>
      <c r="K821" s="114" t="str">
        <f aca="false">IF($E821="","",IF(IF($B821="Tema",INDEX(Temas!$E$6:$P$305,$C821,2*$D821),INDEX(Avulsos!$F$6:$F$205,$C821))&amp;""="","","✓"))</f>
        <v/>
      </c>
      <c r="L821" s="114" t="str">
        <f aca="true">IF($E821="","",IF($K821="✓","Concluído",IF($E821&lt;TODAY(),"Atrasado",IF($E821=TODAY(),"Hoje","Pendente"))))</f>
        <v/>
      </c>
      <c r="M821" s="114" t="str">
        <f aca="false">IF($E821="","",IF($K821="✓","✓ ","")&amp;IF(Config!$E$22="Sim",$H821&amp;" · ","")&amp;$F821)</f>
        <v/>
      </c>
      <c r="N821" s="114" t="str">
        <f aca="false">IF($E821="","",IFERROR(INDEX(Config!$D$15:$D$19,MATCH($I821,Config!$C$15:$C$19,0)),"OUT")&amp;IF($K821="✓","x",""))</f>
        <v/>
      </c>
      <c r="O821" s="114" t="str">
        <f aca="false">IF($E821="","",COUNTIF($E$5:$E821,$E821))</f>
        <v/>
      </c>
      <c r="P821" s="114" t="str">
        <f aca="false">IF($E821="","",$E821*100+$O821)</f>
        <v/>
      </c>
      <c r="Q821" s="114" t="str">
        <f aca="false">IF($L821="Atrasado",$E821*10000+$A821,"")</f>
        <v/>
      </c>
    </row>
    <row r="822" customFormat="false" ht="15" hidden="false" customHeight="false" outlineLevel="0" collapsed="false">
      <c r="A822" s="114" t="n">
        <f aca="false">ROW()-4</f>
        <v>818</v>
      </c>
      <c r="B822" s="114" t="str">
        <f aca="false">IF(A822&lt;=Config!$E$27*Config!$E$28,"Tema","Avulso")</f>
        <v>Tema</v>
      </c>
      <c r="C822" s="114" t="n">
        <f aca="false">IF(B822="Tema",INT((A822-1)/Config!$E$28)+1,A822-Config!$E$27*Config!$E$28)</f>
        <v>137</v>
      </c>
      <c r="D822" s="114" t="n">
        <f aca="false">IF(B822="Tema",MOD(A822-1,Config!$E$28)+1,"")</f>
        <v>2</v>
      </c>
      <c r="E822" s="115" t="str">
        <f aca="false">IF($B822="Tema",IF(ISNUMBER(INDEX(Temas!$E$6:$P$305,$C822,2*$D822-1)),INDEX(Temas!$E$6:$P$305,$C822,2*$D822-1),""),IF(ISNUMBER(INDEX(Avulsos!$B$6:$B$205,$C822)),INDEX(Avulsos!$B$6:$B$205,$C822),""))</f>
        <v/>
      </c>
      <c r="F822" s="114" t="str">
        <f aca="false">IF($E822="","",IF($B822="Tema",INDEX(Temas!$B$6:$B$305,$C822)&amp;"",INDEX(Avulsos!$C$6:$C$205,$C822)&amp;""))</f>
        <v/>
      </c>
      <c r="G822" s="114" t="str">
        <f aca="false">IF($E822="","",IF($B822="Tema",INDEX(Config!$C$6:$C$11,$D822),"Evento avulso"))</f>
        <v/>
      </c>
      <c r="H822" s="114" t="str">
        <f aca="false">IF($E822="","",IF($B822="Tema",INDEX(Config!$D$6:$D$11,$D822),IFERROR(INDEX(Config!$E$15:$E$19,MATCH($I822,Config!$C$15:$C$19,0)),"•")))</f>
        <v/>
      </c>
      <c r="I822" s="114" t="str">
        <f aca="false">IF($E822="","",IF($B822="Tema",INDEX(Config!$E$6:$E$11,$D822),IF(INDEX(Avulsos!$D$6:$D$205,$C822)&amp;""="","Outro",INDEX(Avulsos!$D$6:$D$205,$C822))))</f>
        <v/>
      </c>
      <c r="J822" s="114" t="str">
        <f aca="false">IF($E822="","",IF($B822="Tema",INDEX(Temas!$C$6:$C$305,$C822)&amp;"",INDEX(Avulsos!$E$6:$E$205,$C822)&amp;""))</f>
        <v/>
      </c>
      <c r="K822" s="114" t="str">
        <f aca="false">IF($E822="","",IF(IF($B822="Tema",INDEX(Temas!$E$6:$P$305,$C822,2*$D822),INDEX(Avulsos!$F$6:$F$205,$C822))&amp;""="","","✓"))</f>
        <v/>
      </c>
      <c r="L822" s="114" t="str">
        <f aca="true">IF($E822="","",IF($K822="✓","Concluído",IF($E822&lt;TODAY(),"Atrasado",IF($E822=TODAY(),"Hoje","Pendente"))))</f>
        <v/>
      </c>
      <c r="M822" s="114" t="str">
        <f aca="false">IF($E822="","",IF($K822="✓","✓ ","")&amp;IF(Config!$E$22="Sim",$H822&amp;" · ","")&amp;$F822)</f>
        <v/>
      </c>
      <c r="N822" s="114" t="str">
        <f aca="false">IF($E822="","",IFERROR(INDEX(Config!$D$15:$D$19,MATCH($I822,Config!$C$15:$C$19,0)),"OUT")&amp;IF($K822="✓","x",""))</f>
        <v/>
      </c>
      <c r="O822" s="114" t="str">
        <f aca="false">IF($E822="","",COUNTIF($E$5:$E822,$E822))</f>
        <v/>
      </c>
      <c r="P822" s="114" t="str">
        <f aca="false">IF($E822="","",$E822*100+$O822)</f>
        <v/>
      </c>
      <c r="Q822" s="114" t="str">
        <f aca="false">IF($L822="Atrasado",$E822*10000+$A822,"")</f>
        <v/>
      </c>
    </row>
    <row r="823" customFormat="false" ht="15" hidden="false" customHeight="false" outlineLevel="0" collapsed="false">
      <c r="A823" s="114" t="n">
        <f aca="false">ROW()-4</f>
        <v>819</v>
      </c>
      <c r="B823" s="114" t="str">
        <f aca="false">IF(A823&lt;=Config!$E$27*Config!$E$28,"Tema","Avulso")</f>
        <v>Tema</v>
      </c>
      <c r="C823" s="114" t="n">
        <f aca="false">IF(B823="Tema",INT((A823-1)/Config!$E$28)+1,A823-Config!$E$27*Config!$E$28)</f>
        <v>137</v>
      </c>
      <c r="D823" s="114" t="n">
        <f aca="false">IF(B823="Tema",MOD(A823-1,Config!$E$28)+1,"")</f>
        <v>3</v>
      </c>
      <c r="E823" s="115" t="str">
        <f aca="false">IF($B823="Tema",IF(ISNUMBER(INDEX(Temas!$E$6:$P$305,$C823,2*$D823-1)),INDEX(Temas!$E$6:$P$305,$C823,2*$D823-1),""),IF(ISNUMBER(INDEX(Avulsos!$B$6:$B$205,$C823)),INDEX(Avulsos!$B$6:$B$205,$C823),""))</f>
        <v/>
      </c>
      <c r="F823" s="114" t="str">
        <f aca="false">IF($E823="","",IF($B823="Tema",INDEX(Temas!$B$6:$B$305,$C823)&amp;"",INDEX(Avulsos!$C$6:$C$205,$C823)&amp;""))</f>
        <v/>
      </c>
      <c r="G823" s="114" t="str">
        <f aca="false">IF($E823="","",IF($B823="Tema",INDEX(Config!$C$6:$C$11,$D823),"Evento avulso"))</f>
        <v/>
      </c>
      <c r="H823" s="114" t="str">
        <f aca="false">IF($E823="","",IF($B823="Tema",INDEX(Config!$D$6:$D$11,$D823),IFERROR(INDEX(Config!$E$15:$E$19,MATCH($I823,Config!$C$15:$C$19,0)),"•")))</f>
        <v/>
      </c>
      <c r="I823" s="114" t="str">
        <f aca="false">IF($E823="","",IF($B823="Tema",INDEX(Config!$E$6:$E$11,$D823),IF(INDEX(Avulsos!$D$6:$D$205,$C823)&amp;""="","Outro",INDEX(Avulsos!$D$6:$D$205,$C823))))</f>
        <v/>
      </c>
      <c r="J823" s="114" t="str">
        <f aca="false">IF($E823="","",IF($B823="Tema",INDEX(Temas!$C$6:$C$305,$C823)&amp;"",INDEX(Avulsos!$E$6:$E$205,$C823)&amp;""))</f>
        <v/>
      </c>
      <c r="K823" s="114" t="str">
        <f aca="false">IF($E823="","",IF(IF($B823="Tema",INDEX(Temas!$E$6:$P$305,$C823,2*$D823),INDEX(Avulsos!$F$6:$F$205,$C823))&amp;""="","","✓"))</f>
        <v/>
      </c>
      <c r="L823" s="114" t="str">
        <f aca="true">IF($E823="","",IF($K823="✓","Concluído",IF($E823&lt;TODAY(),"Atrasado",IF($E823=TODAY(),"Hoje","Pendente"))))</f>
        <v/>
      </c>
      <c r="M823" s="114" t="str">
        <f aca="false">IF($E823="","",IF($K823="✓","✓ ","")&amp;IF(Config!$E$22="Sim",$H823&amp;" · ","")&amp;$F823)</f>
        <v/>
      </c>
      <c r="N823" s="114" t="str">
        <f aca="false">IF($E823="","",IFERROR(INDEX(Config!$D$15:$D$19,MATCH($I823,Config!$C$15:$C$19,0)),"OUT")&amp;IF($K823="✓","x",""))</f>
        <v/>
      </c>
      <c r="O823" s="114" t="str">
        <f aca="false">IF($E823="","",COUNTIF($E$5:$E823,$E823))</f>
        <v/>
      </c>
      <c r="P823" s="114" t="str">
        <f aca="false">IF($E823="","",$E823*100+$O823)</f>
        <v/>
      </c>
      <c r="Q823" s="114" t="str">
        <f aca="false">IF($L823="Atrasado",$E823*10000+$A823,"")</f>
        <v/>
      </c>
    </row>
    <row r="824" customFormat="false" ht="15" hidden="false" customHeight="false" outlineLevel="0" collapsed="false">
      <c r="A824" s="114" t="n">
        <f aca="false">ROW()-4</f>
        <v>820</v>
      </c>
      <c r="B824" s="114" t="str">
        <f aca="false">IF(A824&lt;=Config!$E$27*Config!$E$28,"Tema","Avulso")</f>
        <v>Tema</v>
      </c>
      <c r="C824" s="114" t="n">
        <f aca="false">IF(B824="Tema",INT((A824-1)/Config!$E$28)+1,A824-Config!$E$27*Config!$E$28)</f>
        <v>137</v>
      </c>
      <c r="D824" s="114" t="n">
        <f aca="false">IF(B824="Tema",MOD(A824-1,Config!$E$28)+1,"")</f>
        <v>4</v>
      </c>
      <c r="E824" s="115" t="str">
        <f aca="false">IF($B824="Tema",IF(ISNUMBER(INDEX(Temas!$E$6:$P$305,$C824,2*$D824-1)),INDEX(Temas!$E$6:$P$305,$C824,2*$D824-1),""),IF(ISNUMBER(INDEX(Avulsos!$B$6:$B$205,$C824)),INDEX(Avulsos!$B$6:$B$205,$C824),""))</f>
        <v/>
      </c>
      <c r="F824" s="114" t="str">
        <f aca="false">IF($E824="","",IF($B824="Tema",INDEX(Temas!$B$6:$B$305,$C824)&amp;"",INDEX(Avulsos!$C$6:$C$205,$C824)&amp;""))</f>
        <v/>
      </c>
      <c r="G824" s="114" t="str">
        <f aca="false">IF($E824="","",IF($B824="Tema",INDEX(Config!$C$6:$C$11,$D824),"Evento avulso"))</f>
        <v/>
      </c>
      <c r="H824" s="114" t="str">
        <f aca="false">IF($E824="","",IF($B824="Tema",INDEX(Config!$D$6:$D$11,$D824),IFERROR(INDEX(Config!$E$15:$E$19,MATCH($I824,Config!$C$15:$C$19,0)),"•")))</f>
        <v/>
      </c>
      <c r="I824" s="114" t="str">
        <f aca="false">IF($E824="","",IF($B824="Tema",INDEX(Config!$E$6:$E$11,$D824),IF(INDEX(Avulsos!$D$6:$D$205,$C824)&amp;""="","Outro",INDEX(Avulsos!$D$6:$D$205,$C824))))</f>
        <v/>
      </c>
      <c r="J824" s="114" t="str">
        <f aca="false">IF($E824="","",IF($B824="Tema",INDEX(Temas!$C$6:$C$305,$C824)&amp;"",INDEX(Avulsos!$E$6:$E$205,$C824)&amp;""))</f>
        <v/>
      </c>
      <c r="K824" s="114" t="str">
        <f aca="false">IF($E824="","",IF(IF($B824="Tema",INDEX(Temas!$E$6:$P$305,$C824,2*$D824),INDEX(Avulsos!$F$6:$F$205,$C824))&amp;""="","","✓"))</f>
        <v/>
      </c>
      <c r="L824" s="114" t="str">
        <f aca="true">IF($E824="","",IF($K824="✓","Concluído",IF($E824&lt;TODAY(),"Atrasado",IF($E824=TODAY(),"Hoje","Pendente"))))</f>
        <v/>
      </c>
      <c r="M824" s="114" t="str">
        <f aca="false">IF($E824="","",IF($K824="✓","✓ ","")&amp;IF(Config!$E$22="Sim",$H824&amp;" · ","")&amp;$F824)</f>
        <v/>
      </c>
      <c r="N824" s="114" t="str">
        <f aca="false">IF($E824="","",IFERROR(INDEX(Config!$D$15:$D$19,MATCH($I824,Config!$C$15:$C$19,0)),"OUT")&amp;IF($K824="✓","x",""))</f>
        <v/>
      </c>
      <c r="O824" s="114" t="str">
        <f aca="false">IF($E824="","",COUNTIF($E$5:$E824,$E824))</f>
        <v/>
      </c>
      <c r="P824" s="114" t="str">
        <f aca="false">IF($E824="","",$E824*100+$O824)</f>
        <v/>
      </c>
      <c r="Q824" s="114" t="str">
        <f aca="false">IF($L824="Atrasado",$E824*10000+$A824,"")</f>
        <v/>
      </c>
    </row>
    <row r="825" customFormat="false" ht="15" hidden="false" customHeight="false" outlineLevel="0" collapsed="false">
      <c r="A825" s="114" t="n">
        <f aca="false">ROW()-4</f>
        <v>821</v>
      </c>
      <c r="B825" s="114" t="str">
        <f aca="false">IF(A825&lt;=Config!$E$27*Config!$E$28,"Tema","Avulso")</f>
        <v>Tema</v>
      </c>
      <c r="C825" s="114" t="n">
        <f aca="false">IF(B825="Tema",INT((A825-1)/Config!$E$28)+1,A825-Config!$E$27*Config!$E$28)</f>
        <v>137</v>
      </c>
      <c r="D825" s="114" t="n">
        <f aca="false">IF(B825="Tema",MOD(A825-1,Config!$E$28)+1,"")</f>
        <v>5</v>
      </c>
      <c r="E825" s="115" t="str">
        <f aca="false">IF($B825="Tema",IF(ISNUMBER(INDEX(Temas!$E$6:$P$305,$C825,2*$D825-1)),INDEX(Temas!$E$6:$P$305,$C825,2*$D825-1),""),IF(ISNUMBER(INDEX(Avulsos!$B$6:$B$205,$C825)),INDEX(Avulsos!$B$6:$B$205,$C825),""))</f>
        <v/>
      </c>
      <c r="F825" s="114" t="str">
        <f aca="false">IF($E825="","",IF($B825="Tema",INDEX(Temas!$B$6:$B$305,$C825)&amp;"",INDEX(Avulsos!$C$6:$C$205,$C825)&amp;""))</f>
        <v/>
      </c>
      <c r="G825" s="114" t="str">
        <f aca="false">IF($E825="","",IF($B825="Tema",INDEX(Config!$C$6:$C$11,$D825),"Evento avulso"))</f>
        <v/>
      </c>
      <c r="H825" s="114" t="str">
        <f aca="false">IF($E825="","",IF($B825="Tema",INDEX(Config!$D$6:$D$11,$D825),IFERROR(INDEX(Config!$E$15:$E$19,MATCH($I825,Config!$C$15:$C$19,0)),"•")))</f>
        <v/>
      </c>
      <c r="I825" s="114" t="str">
        <f aca="false">IF($E825="","",IF($B825="Tema",INDEX(Config!$E$6:$E$11,$D825),IF(INDEX(Avulsos!$D$6:$D$205,$C825)&amp;""="","Outro",INDEX(Avulsos!$D$6:$D$205,$C825))))</f>
        <v/>
      </c>
      <c r="J825" s="114" t="str">
        <f aca="false">IF($E825="","",IF($B825="Tema",INDEX(Temas!$C$6:$C$305,$C825)&amp;"",INDEX(Avulsos!$E$6:$E$205,$C825)&amp;""))</f>
        <v/>
      </c>
      <c r="K825" s="114" t="str">
        <f aca="false">IF($E825="","",IF(IF($B825="Tema",INDEX(Temas!$E$6:$P$305,$C825,2*$D825),INDEX(Avulsos!$F$6:$F$205,$C825))&amp;""="","","✓"))</f>
        <v/>
      </c>
      <c r="L825" s="114" t="str">
        <f aca="true">IF($E825="","",IF($K825="✓","Concluído",IF($E825&lt;TODAY(),"Atrasado",IF($E825=TODAY(),"Hoje","Pendente"))))</f>
        <v/>
      </c>
      <c r="M825" s="114" t="str">
        <f aca="false">IF($E825="","",IF($K825="✓","✓ ","")&amp;IF(Config!$E$22="Sim",$H825&amp;" · ","")&amp;$F825)</f>
        <v/>
      </c>
      <c r="N825" s="114" t="str">
        <f aca="false">IF($E825="","",IFERROR(INDEX(Config!$D$15:$D$19,MATCH($I825,Config!$C$15:$C$19,0)),"OUT")&amp;IF($K825="✓","x",""))</f>
        <v/>
      </c>
      <c r="O825" s="114" t="str">
        <f aca="false">IF($E825="","",COUNTIF($E$5:$E825,$E825))</f>
        <v/>
      </c>
      <c r="P825" s="114" t="str">
        <f aca="false">IF($E825="","",$E825*100+$O825)</f>
        <v/>
      </c>
      <c r="Q825" s="114" t="str">
        <f aca="false">IF($L825="Atrasado",$E825*10000+$A825,"")</f>
        <v/>
      </c>
    </row>
    <row r="826" customFormat="false" ht="15" hidden="false" customHeight="false" outlineLevel="0" collapsed="false">
      <c r="A826" s="114" t="n">
        <f aca="false">ROW()-4</f>
        <v>822</v>
      </c>
      <c r="B826" s="114" t="str">
        <f aca="false">IF(A826&lt;=Config!$E$27*Config!$E$28,"Tema","Avulso")</f>
        <v>Tema</v>
      </c>
      <c r="C826" s="114" t="n">
        <f aca="false">IF(B826="Tema",INT((A826-1)/Config!$E$28)+1,A826-Config!$E$27*Config!$E$28)</f>
        <v>137</v>
      </c>
      <c r="D826" s="114" t="n">
        <f aca="false">IF(B826="Tema",MOD(A826-1,Config!$E$28)+1,"")</f>
        <v>6</v>
      </c>
      <c r="E826" s="115" t="str">
        <f aca="false">IF($B826="Tema",IF(ISNUMBER(INDEX(Temas!$E$6:$P$305,$C826,2*$D826-1)),INDEX(Temas!$E$6:$P$305,$C826,2*$D826-1),""),IF(ISNUMBER(INDEX(Avulsos!$B$6:$B$205,$C826)),INDEX(Avulsos!$B$6:$B$205,$C826),""))</f>
        <v/>
      </c>
      <c r="F826" s="114" t="str">
        <f aca="false">IF($E826="","",IF($B826="Tema",INDEX(Temas!$B$6:$B$305,$C826)&amp;"",INDEX(Avulsos!$C$6:$C$205,$C826)&amp;""))</f>
        <v/>
      </c>
      <c r="G826" s="114" t="str">
        <f aca="false">IF($E826="","",IF($B826="Tema",INDEX(Config!$C$6:$C$11,$D826),"Evento avulso"))</f>
        <v/>
      </c>
      <c r="H826" s="114" t="str">
        <f aca="false">IF($E826="","",IF($B826="Tema",INDEX(Config!$D$6:$D$11,$D826),IFERROR(INDEX(Config!$E$15:$E$19,MATCH($I826,Config!$C$15:$C$19,0)),"•")))</f>
        <v/>
      </c>
      <c r="I826" s="114" t="str">
        <f aca="false">IF($E826="","",IF($B826="Tema",INDEX(Config!$E$6:$E$11,$D826),IF(INDEX(Avulsos!$D$6:$D$205,$C826)&amp;""="","Outro",INDEX(Avulsos!$D$6:$D$205,$C826))))</f>
        <v/>
      </c>
      <c r="J826" s="114" t="str">
        <f aca="false">IF($E826="","",IF($B826="Tema",INDEX(Temas!$C$6:$C$305,$C826)&amp;"",INDEX(Avulsos!$E$6:$E$205,$C826)&amp;""))</f>
        <v/>
      </c>
      <c r="K826" s="114" t="str">
        <f aca="false">IF($E826="","",IF(IF($B826="Tema",INDEX(Temas!$E$6:$P$305,$C826,2*$D826),INDEX(Avulsos!$F$6:$F$205,$C826))&amp;""="","","✓"))</f>
        <v/>
      </c>
      <c r="L826" s="114" t="str">
        <f aca="true">IF($E826="","",IF($K826="✓","Concluído",IF($E826&lt;TODAY(),"Atrasado",IF($E826=TODAY(),"Hoje","Pendente"))))</f>
        <v/>
      </c>
      <c r="M826" s="114" t="str">
        <f aca="false">IF($E826="","",IF($K826="✓","✓ ","")&amp;IF(Config!$E$22="Sim",$H826&amp;" · ","")&amp;$F826)</f>
        <v/>
      </c>
      <c r="N826" s="114" t="str">
        <f aca="false">IF($E826="","",IFERROR(INDEX(Config!$D$15:$D$19,MATCH($I826,Config!$C$15:$C$19,0)),"OUT")&amp;IF($K826="✓","x",""))</f>
        <v/>
      </c>
      <c r="O826" s="114" t="str">
        <f aca="false">IF($E826="","",COUNTIF($E$5:$E826,$E826))</f>
        <v/>
      </c>
      <c r="P826" s="114" t="str">
        <f aca="false">IF($E826="","",$E826*100+$O826)</f>
        <v/>
      </c>
      <c r="Q826" s="114" t="str">
        <f aca="false">IF($L826="Atrasado",$E826*10000+$A826,"")</f>
        <v/>
      </c>
    </row>
    <row r="827" customFormat="false" ht="15" hidden="false" customHeight="false" outlineLevel="0" collapsed="false">
      <c r="A827" s="114" t="n">
        <f aca="false">ROW()-4</f>
        <v>823</v>
      </c>
      <c r="B827" s="114" t="str">
        <f aca="false">IF(A827&lt;=Config!$E$27*Config!$E$28,"Tema","Avulso")</f>
        <v>Tema</v>
      </c>
      <c r="C827" s="114" t="n">
        <f aca="false">IF(B827="Tema",INT((A827-1)/Config!$E$28)+1,A827-Config!$E$27*Config!$E$28)</f>
        <v>138</v>
      </c>
      <c r="D827" s="114" t="n">
        <f aca="false">IF(B827="Tema",MOD(A827-1,Config!$E$28)+1,"")</f>
        <v>1</v>
      </c>
      <c r="E827" s="115" t="str">
        <f aca="false">IF($B827="Tema",IF(ISNUMBER(INDEX(Temas!$E$6:$P$305,$C827,2*$D827-1)),INDEX(Temas!$E$6:$P$305,$C827,2*$D827-1),""),IF(ISNUMBER(INDEX(Avulsos!$B$6:$B$205,$C827)),INDEX(Avulsos!$B$6:$B$205,$C827),""))</f>
        <v/>
      </c>
      <c r="F827" s="114" t="str">
        <f aca="false">IF($E827="","",IF($B827="Tema",INDEX(Temas!$B$6:$B$305,$C827)&amp;"",INDEX(Avulsos!$C$6:$C$205,$C827)&amp;""))</f>
        <v/>
      </c>
      <c r="G827" s="114" t="str">
        <f aca="false">IF($E827="","",IF($B827="Tema",INDEX(Config!$C$6:$C$11,$D827),"Evento avulso"))</f>
        <v/>
      </c>
      <c r="H827" s="114" t="str">
        <f aca="false">IF($E827="","",IF($B827="Tema",INDEX(Config!$D$6:$D$11,$D827),IFERROR(INDEX(Config!$E$15:$E$19,MATCH($I827,Config!$C$15:$C$19,0)),"•")))</f>
        <v/>
      </c>
      <c r="I827" s="114" t="str">
        <f aca="false">IF($E827="","",IF($B827="Tema",INDEX(Config!$E$6:$E$11,$D827),IF(INDEX(Avulsos!$D$6:$D$205,$C827)&amp;""="","Outro",INDEX(Avulsos!$D$6:$D$205,$C827))))</f>
        <v/>
      </c>
      <c r="J827" s="114" t="str">
        <f aca="false">IF($E827="","",IF($B827="Tema",INDEX(Temas!$C$6:$C$305,$C827)&amp;"",INDEX(Avulsos!$E$6:$E$205,$C827)&amp;""))</f>
        <v/>
      </c>
      <c r="K827" s="114" t="str">
        <f aca="false">IF($E827="","",IF(IF($B827="Tema",INDEX(Temas!$E$6:$P$305,$C827,2*$D827),INDEX(Avulsos!$F$6:$F$205,$C827))&amp;""="","","✓"))</f>
        <v/>
      </c>
      <c r="L827" s="114" t="str">
        <f aca="true">IF($E827="","",IF($K827="✓","Concluído",IF($E827&lt;TODAY(),"Atrasado",IF($E827=TODAY(),"Hoje","Pendente"))))</f>
        <v/>
      </c>
      <c r="M827" s="114" t="str">
        <f aca="false">IF($E827="","",IF($K827="✓","✓ ","")&amp;IF(Config!$E$22="Sim",$H827&amp;" · ","")&amp;$F827)</f>
        <v/>
      </c>
      <c r="N827" s="114" t="str">
        <f aca="false">IF($E827="","",IFERROR(INDEX(Config!$D$15:$D$19,MATCH($I827,Config!$C$15:$C$19,0)),"OUT")&amp;IF($K827="✓","x",""))</f>
        <v/>
      </c>
      <c r="O827" s="114" t="str">
        <f aca="false">IF($E827="","",COUNTIF($E$5:$E827,$E827))</f>
        <v/>
      </c>
      <c r="P827" s="114" t="str">
        <f aca="false">IF($E827="","",$E827*100+$O827)</f>
        <v/>
      </c>
      <c r="Q827" s="114" t="str">
        <f aca="false">IF($L827="Atrasado",$E827*10000+$A827,"")</f>
        <v/>
      </c>
    </row>
    <row r="828" customFormat="false" ht="15" hidden="false" customHeight="false" outlineLevel="0" collapsed="false">
      <c r="A828" s="114" t="n">
        <f aca="false">ROW()-4</f>
        <v>824</v>
      </c>
      <c r="B828" s="114" t="str">
        <f aca="false">IF(A828&lt;=Config!$E$27*Config!$E$28,"Tema","Avulso")</f>
        <v>Tema</v>
      </c>
      <c r="C828" s="114" t="n">
        <f aca="false">IF(B828="Tema",INT((A828-1)/Config!$E$28)+1,A828-Config!$E$27*Config!$E$28)</f>
        <v>138</v>
      </c>
      <c r="D828" s="114" t="n">
        <f aca="false">IF(B828="Tema",MOD(A828-1,Config!$E$28)+1,"")</f>
        <v>2</v>
      </c>
      <c r="E828" s="115" t="str">
        <f aca="false">IF($B828="Tema",IF(ISNUMBER(INDEX(Temas!$E$6:$P$305,$C828,2*$D828-1)),INDEX(Temas!$E$6:$P$305,$C828,2*$D828-1),""),IF(ISNUMBER(INDEX(Avulsos!$B$6:$B$205,$C828)),INDEX(Avulsos!$B$6:$B$205,$C828),""))</f>
        <v/>
      </c>
      <c r="F828" s="114" t="str">
        <f aca="false">IF($E828="","",IF($B828="Tema",INDEX(Temas!$B$6:$B$305,$C828)&amp;"",INDEX(Avulsos!$C$6:$C$205,$C828)&amp;""))</f>
        <v/>
      </c>
      <c r="G828" s="114" t="str">
        <f aca="false">IF($E828="","",IF($B828="Tema",INDEX(Config!$C$6:$C$11,$D828),"Evento avulso"))</f>
        <v/>
      </c>
      <c r="H828" s="114" t="str">
        <f aca="false">IF($E828="","",IF($B828="Tema",INDEX(Config!$D$6:$D$11,$D828),IFERROR(INDEX(Config!$E$15:$E$19,MATCH($I828,Config!$C$15:$C$19,0)),"•")))</f>
        <v/>
      </c>
      <c r="I828" s="114" t="str">
        <f aca="false">IF($E828="","",IF($B828="Tema",INDEX(Config!$E$6:$E$11,$D828),IF(INDEX(Avulsos!$D$6:$D$205,$C828)&amp;""="","Outro",INDEX(Avulsos!$D$6:$D$205,$C828))))</f>
        <v/>
      </c>
      <c r="J828" s="114" t="str">
        <f aca="false">IF($E828="","",IF($B828="Tema",INDEX(Temas!$C$6:$C$305,$C828)&amp;"",INDEX(Avulsos!$E$6:$E$205,$C828)&amp;""))</f>
        <v/>
      </c>
      <c r="K828" s="114" t="str">
        <f aca="false">IF($E828="","",IF(IF($B828="Tema",INDEX(Temas!$E$6:$P$305,$C828,2*$D828),INDEX(Avulsos!$F$6:$F$205,$C828))&amp;""="","","✓"))</f>
        <v/>
      </c>
      <c r="L828" s="114" t="str">
        <f aca="true">IF($E828="","",IF($K828="✓","Concluído",IF($E828&lt;TODAY(),"Atrasado",IF($E828=TODAY(),"Hoje","Pendente"))))</f>
        <v/>
      </c>
      <c r="M828" s="114" t="str">
        <f aca="false">IF($E828="","",IF($K828="✓","✓ ","")&amp;IF(Config!$E$22="Sim",$H828&amp;" · ","")&amp;$F828)</f>
        <v/>
      </c>
      <c r="N828" s="114" t="str">
        <f aca="false">IF($E828="","",IFERROR(INDEX(Config!$D$15:$D$19,MATCH($I828,Config!$C$15:$C$19,0)),"OUT")&amp;IF($K828="✓","x",""))</f>
        <v/>
      </c>
      <c r="O828" s="114" t="str">
        <f aca="false">IF($E828="","",COUNTIF($E$5:$E828,$E828))</f>
        <v/>
      </c>
      <c r="P828" s="114" t="str">
        <f aca="false">IF($E828="","",$E828*100+$O828)</f>
        <v/>
      </c>
      <c r="Q828" s="114" t="str">
        <f aca="false">IF($L828="Atrasado",$E828*10000+$A828,"")</f>
        <v/>
      </c>
    </row>
    <row r="829" customFormat="false" ht="15" hidden="false" customHeight="false" outlineLevel="0" collapsed="false">
      <c r="A829" s="114" t="n">
        <f aca="false">ROW()-4</f>
        <v>825</v>
      </c>
      <c r="B829" s="114" t="str">
        <f aca="false">IF(A829&lt;=Config!$E$27*Config!$E$28,"Tema","Avulso")</f>
        <v>Tema</v>
      </c>
      <c r="C829" s="114" t="n">
        <f aca="false">IF(B829="Tema",INT((A829-1)/Config!$E$28)+1,A829-Config!$E$27*Config!$E$28)</f>
        <v>138</v>
      </c>
      <c r="D829" s="114" t="n">
        <f aca="false">IF(B829="Tema",MOD(A829-1,Config!$E$28)+1,"")</f>
        <v>3</v>
      </c>
      <c r="E829" s="115" t="str">
        <f aca="false">IF($B829="Tema",IF(ISNUMBER(INDEX(Temas!$E$6:$P$305,$C829,2*$D829-1)),INDEX(Temas!$E$6:$P$305,$C829,2*$D829-1),""),IF(ISNUMBER(INDEX(Avulsos!$B$6:$B$205,$C829)),INDEX(Avulsos!$B$6:$B$205,$C829),""))</f>
        <v/>
      </c>
      <c r="F829" s="114" t="str">
        <f aca="false">IF($E829="","",IF($B829="Tema",INDEX(Temas!$B$6:$B$305,$C829)&amp;"",INDEX(Avulsos!$C$6:$C$205,$C829)&amp;""))</f>
        <v/>
      </c>
      <c r="G829" s="114" t="str">
        <f aca="false">IF($E829="","",IF($B829="Tema",INDEX(Config!$C$6:$C$11,$D829),"Evento avulso"))</f>
        <v/>
      </c>
      <c r="H829" s="114" t="str">
        <f aca="false">IF($E829="","",IF($B829="Tema",INDEX(Config!$D$6:$D$11,$D829),IFERROR(INDEX(Config!$E$15:$E$19,MATCH($I829,Config!$C$15:$C$19,0)),"•")))</f>
        <v/>
      </c>
      <c r="I829" s="114" t="str">
        <f aca="false">IF($E829="","",IF($B829="Tema",INDEX(Config!$E$6:$E$11,$D829),IF(INDEX(Avulsos!$D$6:$D$205,$C829)&amp;""="","Outro",INDEX(Avulsos!$D$6:$D$205,$C829))))</f>
        <v/>
      </c>
      <c r="J829" s="114" t="str">
        <f aca="false">IF($E829="","",IF($B829="Tema",INDEX(Temas!$C$6:$C$305,$C829)&amp;"",INDEX(Avulsos!$E$6:$E$205,$C829)&amp;""))</f>
        <v/>
      </c>
      <c r="K829" s="114" t="str">
        <f aca="false">IF($E829="","",IF(IF($B829="Tema",INDEX(Temas!$E$6:$P$305,$C829,2*$D829),INDEX(Avulsos!$F$6:$F$205,$C829))&amp;""="","","✓"))</f>
        <v/>
      </c>
      <c r="L829" s="114" t="str">
        <f aca="true">IF($E829="","",IF($K829="✓","Concluído",IF($E829&lt;TODAY(),"Atrasado",IF($E829=TODAY(),"Hoje","Pendente"))))</f>
        <v/>
      </c>
      <c r="M829" s="114" t="str">
        <f aca="false">IF($E829="","",IF($K829="✓","✓ ","")&amp;IF(Config!$E$22="Sim",$H829&amp;" · ","")&amp;$F829)</f>
        <v/>
      </c>
      <c r="N829" s="114" t="str">
        <f aca="false">IF($E829="","",IFERROR(INDEX(Config!$D$15:$D$19,MATCH($I829,Config!$C$15:$C$19,0)),"OUT")&amp;IF($K829="✓","x",""))</f>
        <v/>
      </c>
      <c r="O829" s="114" t="str">
        <f aca="false">IF($E829="","",COUNTIF($E$5:$E829,$E829))</f>
        <v/>
      </c>
      <c r="P829" s="114" t="str">
        <f aca="false">IF($E829="","",$E829*100+$O829)</f>
        <v/>
      </c>
      <c r="Q829" s="114" t="str">
        <f aca="false">IF($L829="Atrasado",$E829*10000+$A829,"")</f>
        <v/>
      </c>
    </row>
    <row r="830" customFormat="false" ht="15" hidden="false" customHeight="false" outlineLevel="0" collapsed="false">
      <c r="A830" s="114" t="n">
        <f aca="false">ROW()-4</f>
        <v>826</v>
      </c>
      <c r="B830" s="114" t="str">
        <f aca="false">IF(A830&lt;=Config!$E$27*Config!$E$28,"Tema","Avulso")</f>
        <v>Tema</v>
      </c>
      <c r="C830" s="114" t="n">
        <f aca="false">IF(B830="Tema",INT((A830-1)/Config!$E$28)+1,A830-Config!$E$27*Config!$E$28)</f>
        <v>138</v>
      </c>
      <c r="D830" s="114" t="n">
        <f aca="false">IF(B830="Tema",MOD(A830-1,Config!$E$28)+1,"")</f>
        <v>4</v>
      </c>
      <c r="E830" s="115" t="str">
        <f aca="false">IF($B830="Tema",IF(ISNUMBER(INDEX(Temas!$E$6:$P$305,$C830,2*$D830-1)),INDEX(Temas!$E$6:$P$305,$C830,2*$D830-1),""),IF(ISNUMBER(INDEX(Avulsos!$B$6:$B$205,$C830)),INDEX(Avulsos!$B$6:$B$205,$C830),""))</f>
        <v/>
      </c>
      <c r="F830" s="114" t="str">
        <f aca="false">IF($E830="","",IF($B830="Tema",INDEX(Temas!$B$6:$B$305,$C830)&amp;"",INDEX(Avulsos!$C$6:$C$205,$C830)&amp;""))</f>
        <v/>
      </c>
      <c r="G830" s="114" t="str">
        <f aca="false">IF($E830="","",IF($B830="Tema",INDEX(Config!$C$6:$C$11,$D830),"Evento avulso"))</f>
        <v/>
      </c>
      <c r="H830" s="114" t="str">
        <f aca="false">IF($E830="","",IF($B830="Tema",INDEX(Config!$D$6:$D$11,$D830),IFERROR(INDEX(Config!$E$15:$E$19,MATCH($I830,Config!$C$15:$C$19,0)),"•")))</f>
        <v/>
      </c>
      <c r="I830" s="114" t="str">
        <f aca="false">IF($E830="","",IF($B830="Tema",INDEX(Config!$E$6:$E$11,$D830),IF(INDEX(Avulsos!$D$6:$D$205,$C830)&amp;""="","Outro",INDEX(Avulsos!$D$6:$D$205,$C830))))</f>
        <v/>
      </c>
      <c r="J830" s="114" t="str">
        <f aca="false">IF($E830="","",IF($B830="Tema",INDEX(Temas!$C$6:$C$305,$C830)&amp;"",INDEX(Avulsos!$E$6:$E$205,$C830)&amp;""))</f>
        <v/>
      </c>
      <c r="K830" s="114" t="str">
        <f aca="false">IF($E830="","",IF(IF($B830="Tema",INDEX(Temas!$E$6:$P$305,$C830,2*$D830),INDEX(Avulsos!$F$6:$F$205,$C830))&amp;""="","","✓"))</f>
        <v/>
      </c>
      <c r="L830" s="114" t="str">
        <f aca="true">IF($E830="","",IF($K830="✓","Concluído",IF($E830&lt;TODAY(),"Atrasado",IF($E830=TODAY(),"Hoje","Pendente"))))</f>
        <v/>
      </c>
      <c r="M830" s="114" t="str">
        <f aca="false">IF($E830="","",IF($K830="✓","✓ ","")&amp;IF(Config!$E$22="Sim",$H830&amp;" · ","")&amp;$F830)</f>
        <v/>
      </c>
      <c r="N830" s="114" t="str">
        <f aca="false">IF($E830="","",IFERROR(INDEX(Config!$D$15:$D$19,MATCH($I830,Config!$C$15:$C$19,0)),"OUT")&amp;IF($K830="✓","x",""))</f>
        <v/>
      </c>
      <c r="O830" s="114" t="str">
        <f aca="false">IF($E830="","",COUNTIF($E$5:$E830,$E830))</f>
        <v/>
      </c>
      <c r="P830" s="114" t="str">
        <f aca="false">IF($E830="","",$E830*100+$O830)</f>
        <v/>
      </c>
      <c r="Q830" s="114" t="str">
        <f aca="false">IF($L830="Atrasado",$E830*10000+$A830,"")</f>
        <v/>
      </c>
    </row>
    <row r="831" customFormat="false" ht="15" hidden="false" customHeight="false" outlineLevel="0" collapsed="false">
      <c r="A831" s="114" t="n">
        <f aca="false">ROW()-4</f>
        <v>827</v>
      </c>
      <c r="B831" s="114" t="str">
        <f aca="false">IF(A831&lt;=Config!$E$27*Config!$E$28,"Tema","Avulso")</f>
        <v>Tema</v>
      </c>
      <c r="C831" s="114" t="n">
        <f aca="false">IF(B831="Tema",INT((A831-1)/Config!$E$28)+1,A831-Config!$E$27*Config!$E$28)</f>
        <v>138</v>
      </c>
      <c r="D831" s="114" t="n">
        <f aca="false">IF(B831="Tema",MOD(A831-1,Config!$E$28)+1,"")</f>
        <v>5</v>
      </c>
      <c r="E831" s="115" t="str">
        <f aca="false">IF($B831="Tema",IF(ISNUMBER(INDEX(Temas!$E$6:$P$305,$C831,2*$D831-1)),INDEX(Temas!$E$6:$P$305,$C831,2*$D831-1),""),IF(ISNUMBER(INDEX(Avulsos!$B$6:$B$205,$C831)),INDEX(Avulsos!$B$6:$B$205,$C831),""))</f>
        <v/>
      </c>
      <c r="F831" s="114" t="str">
        <f aca="false">IF($E831="","",IF($B831="Tema",INDEX(Temas!$B$6:$B$305,$C831)&amp;"",INDEX(Avulsos!$C$6:$C$205,$C831)&amp;""))</f>
        <v/>
      </c>
      <c r="G831" s="114" t="str">
        <f aca="false">IF($E831="","",IF($B831="Tema",INDEX(Config!$C$6:$C$11,$D831),"Evento avulso"))</f>
        <v/>
      </c>
      <c r="H831" s="114" t="str">
        <f aca="false">IF($E831="","",IF($B831="Tema",INDEX(Config!$D$6:$D$11,$D831),IFERROR(INDEX(Config!$E$15:$E$19,MATCH($I831,Config!$C$15:$C$19,0)),"•")))</f>
        <v/>
      </c>
      <c r="I831" s="114" t="str">
        <f aca="false">IF($E831="","",IF($B831="Tema",INDEX(Config!$E$6:$E$11,$D831),IF(INDEX(Avulsos!$D$6:$D$205,$C831)&amp;""="","Outro",INDEX(Avulsos!$D$6:$D$205,$C831))))</f>
        <v/>
      </c>
      <c r="J831" s="114" t="str">
        <f aca="false">IF($E831="","",IF($B831="Tema",INDEX(Temas!$C$6:$C$305,$C831)&amp;"",INDEX(Avulsos!$E$6:$E$205,$C831)&amp;""))</f>
        <v/>
      </c>
      <c r="K831" s="114" t="str">
        <f aca="false">IF($E831="","",IF(IF($B831="Tema",INDEX(Temas!$E$6:$P$305,$C831,2*$D831),INDEX(Avulsos!$F$6:$F$205,$C831))&amp;""="","","✓"))</f>
        <v/>
      </c>
      <c r="L831" s="114" t="str">
        <f aca="true">IF($E831="","",IF($K831="✓","Concluído",IF($E831&lt;TODAY(),"Atrasado",IF($E831=TODAY(),"Hoje","Pendente"))))</f>
        <v/>
      </c>
      <c r="M831" s="114" t="str">
        <f aca="false">IF($E831="","",IF($K831="✓","✓ ","")&amp;IF(Config!$E$22="Sim",$H831&amp;" · ","")&amp;$F831)</f>
        <v/>
      </c>
      <c r="N831" s="114" t="str">
        <f aca="false">IF($E831="","",IFERROR(INDEX(Config!$D$15:$D$19,MATCH($I831,Config!$C$15:$C$19,0)),"OUT")&amp;IF($K831="✓","x",""))</f>
        <v/>
      </c>
      <c r="O831" s="114" t="str">
        <f aca="false">IF($E831="","",COUNTIF($E$5:$E831,$E831))</f>
        <v/>
      </c>
      <c r="P831" s="114" t="str">
        <f aca="false">IF($E831="","",$E831*100+$O831)</f>
        <v/>
      </c>
      <c r="Q831" s="114" t="str">
        <f aca="false">IF($L831="Atrasado",$E831*10000+$A831,"")</f>
        <v/>
      </c>
    </row>
    <row r="832" customFormat="false" ht="15" hidden="false" customHeight="false" outlineLevel="0" collapsed="false">
      <c r="A832" s="114" t="n">
        <f aca="false">ROW()-4</f>
        <v>828</v>
      </c>
      <c r="B832" s="114" t="str">
        <f aca="false">IF(A832&lt;=Config!$E$27*Config!$E$28,"Tema","Avulso")</f>
        <v>Tema</v>
      </c>
      <c r="C832" s="114" t="n">
        <f aca="false">IF(B832="Tema",INT((A832-1)/Config!$E$28)+1,A832-Config!$E$27*Config!$E$28)</f>
        <v>138</v>
      </c>
      <c r="D832" s="114" t="n">
        <f aca="false">IF(B832="Tema",MOD(A832-1,Config!$E$28)+1,"")</f>
        <v>6</v>
      </c>
      <c r="E832" s="115" t="str">
        <f aca="false">IF($B832="Tema",IF(ISNUMBER(INDEX(Temas!$E$6:$P$305,$C832,2*$D832-1)),INDEX(Temas!$E$6:$P$305,$C832,2*$D832-1),""),IF(ISNUMBER(INDEX(Avulsos!$B$6:$B$205,$C832)),INDEX(Avulsos!$B$6:$B$205,$C832),""))</f>
        <v/>
      </c>
      <c r="F832" s="114" t="str">
        <f aca="false">IF($E832="","",IF($B832="Tema",INDEX(Temas!$B$6:$B$305,$C832)&amp;"",INDEX(Avulsos!$C$6:$C$205,$C832)&amp;""))</f>
        <v/>
      </c>
      <c r="G832" s="114" t="str">
        <f aca="false">IF($E832="","",IF($B832="Tema",INDEX(Config!$C$6:$C$11,$D832),"Evento avulso"))</f>
        <v/>
      </c>
      <c r="H832" s="114" t="str">
        <f aca="false">IF($E832="","",IF($B832="Tema",INDEX(Config!$D$6:$D$11,$D832),IFERROR(INDEX(Config!$E$15:$E$19,MATCH($I832,Config!$C$15:$C$19,0)),"•")))</f>
        <v/>
      </c>
      <c r="I832" s="114" t="str">
        <f aca="false">IF($E832="","",IF($B832="Tema",INDEX(Config!$E$6:$E$11,$D832),IF(INDEX(Avulsos!$D$6:$D$205,$C832)&amp;""="","Outro",INDEX(Avulsos!$D$6:$D$205,$C832))))</f>
        <v/>
      </c>
      <c r="J832" s="114" t="str">
        <f aca="false">IF($E832="","",IF($B832="Tema",INDEX(Temas!$C$6:$C$305,$C832)&amp;"",INDEX(Avulsos!$E$6:$E$205,$C832)&amp;""))</f>
        <v/>
      </c>
      <c r="K832" s="114" t="str">
        <f aca="false">IF($E832="","",IF(IF($B832="Tema",INDEX(Temas!$E$6:$P$305,$C832,2*$D832),INDEX(Avulsos!$F$6:$F$205,$C832))&amp;""="","","✓"))</f>
        <v/>
      </c>
      <c r="L832" s="114" t="str">
        <f aca="true">IF($E832="","",IF($K832="✓","Concluído",IF($E832&lt;TODAY(),"Atrasado",IF($E832=TODAY(),"Hoje","Pendente"))))</f>
        <v/>
      </c>
      <c r="M832" s="114" t="str">
        <f aca="false">IF($E832="","",IF($K832="✓","✓ ","")&amp;IF(Config!$E$22="Sim",$H832&amp;" · ","")&amp;$F832)</f>
        <v/>
      </c>
      <c r="N832" s="114" t="str">
        <f aca="false">IF($E832="","",IFERROR(INDEX(Config!$D$15:$D$19,MATCH($I832,Config!$C$15:$C$19,0)),"OUT")&amp;IF($K832="✓","x",""))</f>
        <v/>
      </c>
      <c r="O832" s="114" t="str">
        <f aca="false">IF($E832="","",COUNTIF($E$5:$E832,$E832))</f>
        <v/>
      </c>
      <c r="P832" s="114" t="str">
        <f aca="false">IF($E832="","",$E832*100+$O832)</f>
        <v/>
      </c>
      <c r="Q832" s="114" t="str">
        <f aca="false">IF($L832="Atrasado",$E832*10000+$A832,"")</f>
        <v/>
      </c>
    </row>
    <row r="833" customFormat="false" ht="15" hidden="false" customHeight="false" outlineLevel="0" collapsed="false">
      <c r="A833" s="114" t="n">
        <f aca="false">ROW()-4</f>
        <v>829</v>
      </c>
      <c r="B833" s="114" t="str">
        <f aca="false">IF(A833&lt;=Config!$E$27*Config!$E$28,"Tema","Avulso")</f>
        <v>Tema</v>
      </c>
      <c r="C833" s="114" t="n">
        <f aca="false">IF(B833="Tema",INT((A833-1)/Config!$E$28)+1,A833-Config!$E$27*Config!$E$28)</f>
        <v>139</v>
      </c>
      <c r="D833" s="114" t="n">
        <f aca="false">IF(B833="Tema",MOD(A833-1,Config!$E$28)+1,"")</f>
        <v>1</v>
      </c>
      <c r="E833" s="115" t="str">
        <f aca="false">IF($B833="Tema",IF(ISNUMBER(INDEX(Temas!$E$6:$P$305,$C833,2*$D833-1)),INDEX(Temas!$E$6:$P$305,$C833,2*$D833-1),""),IF(ISNUMBER(INDEX(Avulsos!$B$6:$B$205,$C833)),INDEX(Avulsos!$B$6:$B$205,$C833),""))</f>
        <v/>
      </c>
      <c r="F833" s="114" t="str">
        <f aca="false">IF($E833="","",IF($B833="Tema",INDEX(Temas!$B$6:$B$305,$C833)&amp;"",INDEX(Avulsos!$C$6:$C$205,$C833)&amp;""))</f>
        <v/>
      </c>
      <c r="G833" s="114" t="str">
        <f aca="false">IF($E833="","",IF($B833="Tema",INDEX(Config!$C$6:$C$11,$D833),"Evento avulso"))</f>
        <v/>
      </c>
      <c r="H833" s="114" t="str">
        <f aca="false">IF($E833="","",IF($B833="Tema",INDEX(Config!$D$6:$D$11,$D833),IFERROR(INDEX(Config!$E$15:$E$19,MATCH($I833,Config!$C$15:$C$19,0)),"•")))</f>
        <v/>
      </c>
      <c r="I833" s="114" t="str">
        <f aca="false">IF($E833="","",IF($B833="Tema",INDEX(Config!$E$6:$E$11,$D833),IF(INDEX(Avulsos!$D$6:$D$205,$C833)&amp;""="","Outro",INDEX(Avulsos!$D$6:$D$205,$C833))))</f>
        <v/>
      </c>
      <c r="J833" s="114" t="str">
        <f aca="false">IF($E833="","",IF($B833="Tema",INDEX(Temas!$C$6:$C$305,$C833)&amp;"",INDEX(Avulsos!$E$6:$E$205,$C833)&amp;""))</f>
        <v/>
      </c>
      <c r="K833" s="114" t="str">
        <f aca="false">IF($E833="","",IF(IF($B833="Tema",INDEX(Temas!$E$6:$P$305,$C833,2*$D833),INDEX(Avulsos!$F$6:$F$205,$C833))&amp;""="","","✓"))</f>
        <v/>
      </c>
      <c r="L833" s="114" t="str">
        <f aca="true">IF($E833="","",IF($K833="✓","Concluído",IF($E833&lt;TODAY(),"Atrasado",IF($E833=TODAY(),"Hoje","Pendente"))))</f>
        <v/>
      </c>
      <c r="M833" s="114" t="str">
        <f aca="false">IF($E833="","",IF($K833="✓","✓ ","")&amp;IF(Config!$E$22="Sim",$H833&amp;" · ","")&amp;$F833)</f>
        <v/>
      </c>
      <c r="N833" s="114" t="str">
        <f aca="false">IF($E833="","",IFERROR(INDEX(Config!$D$15:$D$19,MATCH($I833,Config!$C$15:$C$19,0)),"OUT")&amp;IF($K833="✓","x",""))</f>
        <v/>
      </c>
      <c r="O833" s="114" t="str">
        <f aca="false">IF($E833="","",COUNTIF($E$5:$E833,$E833))</f>
        <v/>
      </c>
      <c r="P833" s="114" t="str">
        <f aca="false">IF($E833="","",$E833*100+$O833)</f>
        <v/>
      </c>
      <c r="Q833" s="114" t="str">
        <f aca="false">IF($L833="Atrasado",$E833*10000+$A833,"")</f>
        <v/>
      </c>
    </row>
    <row r="834" customFormat="false" ht="15" hidden="false" customHeight="false" outlineLevel="0" collapsed="false">
      <c r="A834" s="114" t="n">
        <f aca="false">ROW()-4</f>
        <v>830</v>
      </c>
      <c r="B834" s="114" t="str">
        <f aca="false">IF(A834&lt;=Config!$E$27*Config!$E$28,"Tema","Avulso")</f>
        <v>Tema</v>
      </c>
      <c r="C834" s="114" t="n">
        <f aca="false">IF(B834="Tema",INT((A834-1)/Config!$E$28)+1,A834-Config!$E$27*Config!$E$28)</f>
        <v>139</v>
      </c>
      <c r="D834" s="114" t="n">
        <f aca="false">IF(B834="Tema",MOD(A834-1,Config!$E$28)+1,"")</f>
        <v>2</v>
      </c>
      <c r="E834" s="115" t="str">
        <f aca="false">IF($B834="Tema",IF(ISNUMBER(INDEX(Temas!$E$6:$P$305,$C834,2*$D834-1)),INDEX(Temas!$E$6:$P$305,$C834,2*$D834-1),""),IF(ISNUMBER(INDEX(Avulsos!$B$6:$B$205,$C834)),INDEX(Avulsos!$B$6:$B$205,$C834),""))</f>
        <v/>
      </c>
      <c r="F834" s="114" t="str">
        <f aca="false">IF($E834="","",IF($B834="Tema",INDEX(Temas!$B$6:$B$305,$C834)&amp;"",INDEX(Avulsos!$C$6:$C$205,$C834)&amp;""))</f>
        <v/>
      </c>
      <c r="G834" s="114" t="str">
        <f aca="false">IF($E834="","",IF($B834="Tema",INDEX(Config!$C$6:$C$11,$D834),"Evento avulso"))</f>
        <v/>
      </c>
      <c r="H834" s="114" t="str">
        <f aca="false">IF($E834="","",IF($B834="Tema",INDEX(Config!$D$6:$D$11,$D834),IFERROR(INDEX(Config!$E$15:$E$19,MATCH($I834,Config!$C$15:$C$19,0)),"•")))</f>
        <v/>
      </c>
      <c r="I834" s="114" t="str">
        <f aca="false">IF($E834="","",IF($B834="Tema",INDEX(Config!$E$6:$E$11,$D834),IF(INDEX(Avulsos!$D$6:$D$205,$C834)&amp;""="","Outro",INDEX(Avulsos!$D$6:$D$205,$C834))))</f>
        <v/>
      </c>
      <c r="J834" s="114" t="str">
        <f aca="false">IF($E834="","",IF($B834="Tema",INDEX(Temas!$C$6:$C$305,$C834)&amp;"",INDEX(Avulsos!$E$6:$E$205,$C834)&amp;""))</f>
        <v/>
      </c>
      <c r="K834" s="114" t="str">
        <f aca="false">IF($E834="","",IF(IF($B834="Tema",INDEX(Temas!$E$6:$P$305,$C834,2*$D834),INDEX(Avulsos!$F$6:$F$205,$C834))&amp;""="","","✓"))</f>
        <v/>
      </c>
      <c r="L834" s="114" t="str">
        <f aca="true">IF($E834="","",IF($K834="✓","Concluído",IF($E834&lt;TODAY(),"Atrasado",IF($E834=TODAY(),"Hoje","Pendente"))))</f>
        <v/>
      </c>
      <c r="M834" s="114" t="str">
        <f aca="false">IF($E834="","",IF($K834="✓","✓ ","")&amp;IF(Config!$E$22="Sim",$H834&amp;" · ","")&amp;$F834)</f>
        <v/>
      </c>
      <c r="N834" s="114" t="str">
        <f aca="false">IF($E834="","",IFERROR(INDEX(Config!$D$15:$D$19,MATCH($I834,Config!$C$15:$C$19,0)),"OUT")&amp;IF($K834="✓","x",""))</f>
        <v/>
      </c>
      <c r="O834" s="114" t="str">
        <f aca="false">IF($E834="","",COUNTIF($E$5:$E834,$E834))</f>
        <v/>
      </c>
      <c r="P834" s="114" t="str">
        <f aca="false">IF($E834="","",$E834*100+$O834)</f>
        <v/>
      </c>
      <c r="Q834" s="114" t="str">
        <f aca="false">IF($L834="Atrasado",$E834*10000+$A834,"")</f>
        <v/>
      </c>
    </row>
    <row r="835" customFormat="false" ht="15" hidden="false" customHeight="false" outlineLevel="0" collapsed="false">
      <c r="A835" s="114" t="n">
        <f aca="false">ROW()-4</f>
        <v>831</v>
      </c>
      <c r="B835" s="114" t="str">
        <f aca="false">IF(A835&lt;=Config!$E$27*Config!$E$28,"Tema","Avulso")</f>
        <v>Tema</v>
      </c>
      <c r="C835" s="114" t="n">
        <f aca="false">IF(B835="Tema",INT((A835-1)/Config!$E$28)+1,A835-Config!$E$27*Config!$E$28)</f>
        <v>139</v>
      </c>
      <c r="D835" s="114" t="n">
        <f aca="false">IF(B835="Tema",MOD(A835-1,Config!$E$28)+1,"")</f>
        <v>3</v>
      </c>
      <c r="E835" s="115" t="str">
        <f aca="false">IF($B835="Tema",IF(ISNUMBER(INDEX(Temas!$E$6:$P$305,$C835,2*$D835-1)),INDEX(Temas!$E$6:$P$305,$C835,2*$D835-1),""),IF(ISNUMBER(INDEX(Avulsos!$B$6:$B$205,$C835)),INDEX(Avulsos!$B$6:$B$205,$C835),""))</f>
        <v/>
      </c>
      <c r="F835" s="114" t="str">
        <f aca="false">IF($E835="","",IF($B835="Tema",INDEX(Temas!$B$6:$B$305,$C835)&amp;"",INDEX(Avulsos!$C$6:$C$205,$C835)&amp;""))</f>
        <v/>
      </c>
      <c r="G835" s="114" t="str">
        <f aca="false">IF($E835="","",IF($B835="Tema",INDEX(Config!$C$6:$C$11,$D835),"Evento avulso"))</f>
        <v/>
      </c>
      <c r="H835" s="114" t="str">
        <f aca="false">IF($E835="","",IF($B835="Tema",INDEX(Config!$D$6:$D$11,$D835),IFERROR(INDEX(Config!$E$15:$E$19,MATCH($I835,Config!$C$15:$C$19,0)),"•")))</f>
        <v/>
      </c>
      <c r="I835" s="114" t="str">
        <f aca="false">IF($E835="","",IF($B835="Tema",INDEX(Config!$E$6:$E$11,$D835),IF(INDEX(Avulsos!$D$6:$D$205,$C835)&amp;""="","Outro",INDEX(Avulsos!$D$6:$D$205,$C835))))</f>
        <v/>
      </c>
      <c r="J835" s="114" t="str">
        <f aca="false">IF($E835="","",IF($B835="Tema",INDEX(Temas!$C$6:$C$305,$C835)&amp;"",INDEX(Avulsos!$E$6:$E$205,$C835)&amp;""))</f>
        <v/>
      </c>
      <c r="K835" s="114" t="str">
        <f aca="false">IF($E835="","",IF(IF($B835="Tema",INDEX(Temas!$E$6:$P$305,$C835,2*$D835),INDEX(Avulsos!$F$6:$F$205,$C835))&amp;""="","","✓"))</f>
        <v/>
      </c>
      <c r="L835" s="114" t="str">
        <f aca="true">IF($E835="","",IF($K835="✓","Concluído",IF($E835&lt;TODAY(),"Atrasado",IF($E835=TODAY(),"Hoje","Pendente"))))</f>
        <v/>
      </c>
      <c r="M835" s="114" t="str">
        <f aca="false">IF($E835="","",IF($K835="✓","✓ ","")&amp;IF(Config!$E$22="Sim",$H835&amp;" · ","")&amp;$F835)</f>
        <v/>
      </c>
      <c r="N835" s="114" t="str">
        <f aca="false">IF($E835="","",IFERROR(INDEX(Config!$D$15:$D$19,MATCH($I835,Config!$C$15:$C$19,0)),"OUT")&amp;IF($K835="✓","x",""))</f>
        <v/>
      </c>
      <c r="O835" s="114" t="str">
        <f aca="false">IF($E835="","",COUNTIF($E$5:$E835,$E835))</f>
        <v/>
      </c>
      <c r="P835" s="114" t="str">
        <f aca="false">IF($E835="","",$E835*100+$O835)</f>
        <v/>
      </c>
      <c r="Q835" s="114" t="str">
        <f aca="false">IF($L835="Atrasado",$E835*10000+$A835,"")</f>
        <v/>
      </c>
    </row>
    <row r="836" customFormat="false" ht="15" hidden="false" customHeight="false" outlineLevel="0" collapsed="false">
      <c r="A836" s="114" t="n">
        <f aca="false">ROW()-4</f>
        <v>832</v>
      </c>
      <c r="B836" s="114" t="str">
        <f aca="false">IF(A836&lt;=Config!$E$27*Config!$E$28,"Tema","Avulso")</f>
        <v>Tema</v>
      </c>
      <c r="C836" s="114" t="n">
        <f aca="false">IF(B836="Tema",INT((A836-1)/Config!$E$28)+1,A836-Config!$E$27*Config!$E$28)</f>
        <v>139</v>
      </c>
      <c r="D836" s="114" t="n">
        <f aca="false">IF(B836="Tema",MOD(A836-1,Config!$E$28)+1,"")</f>
        <v>4</v>
      </c>
      <c r="E836" s="115" t="str">
        <f aca="false">IF($B836="Tema",IF(ISNUMBER(INDEX(Temas!$E$6:$P$305,$C836,2*$D836-1)),INDEX(Temas!$E$6:$P$305,$C836,2*$D836-1),""),IF(ISNUMBER(INDEX(Avulsos!$B$6:$B$205,$C836)),INDEX(Avulsos!$B$6:$B$205,$C836),""))</f>
        <v/>
      </c>
      <c r="F836" s="114" t="str">
        <f aca="false">IF($E836="","",IF($B836="Tema",INDEX(Temas!$B$6:$B$305,$C836)&amp;"",INDEX(Avulsos!$C$6:$C$205,$C836)&amp;""))</f>
        <v/>
      </c>
      <c r="G836" s="114" t="str">
        <f aca="false">IF($E836="","",IF($B836="Tema",INDEX(Config!$C$6:$C$11,$D836),"Evento avulso"))</f>
        <v/>
      </c>
      <c r="H836" s="114" t="str">
        <f aca="false">IF($E836="","",IF($B836="Tema",INDEX(Config!$D$6:$D$11,$D836),IFERROR(INDEX(Config!$E$15:$E$19,MATCH($I836,Config!$C$15:$C$19,0)),"•")))</f>
        <v/>
      </c>
      <c r="I836" s="114" t="str">
        <f aca="false">IF($E836="","",IF($B836="Tema",INDEX(Config!$E$6:$E$11,$D836),IF(INDEX(Avulsos!$D$6:$D$205,$C836)&amp;""="","Outro",INDEX(Avulsos!$D$6:$D$205,$C836))))</f>
        <v/>
      </c>
      <c r="J836" s="114" t="str">
        <f aca="false">IF($E836="","",IF($B836="Tema",INDEX(Temas!$C$6:$C$305,$C836)&amp;"",INDEX(Avulsos!$E$6:$E$205,$C836)&amp;""))</f>
        <v/>
      </c>
      <c r="K836" s="114" t="str">
        <f aca="false">IF($E836="","",IF(IF($B836="Tema",INDEX(Temas!$E$6:$P$305,$C836,2*$D836),INDEX(Avulsos!$F$6:$F$205,$C836))&amp;""="","","✓"))</f>
        <v/>
      </c>
      <c r="L836" s="114" t="str">
        <f aca="true">IF($E836="","",IF($K836="✓","Concluído",IF($E836&lt;TODAY(),"Atrasado",IF($E836=TODAY(),"Hoje","Pendente"))))</f>
        <v/>
      </c>
      <c r="M836" s="114" t="str">
        <f aca="false">IF($E836="","",IF($K836="✓","✓ ","")&amp;IF(Config!$E$22="Sim",$H836&amp;" · ","")&amp;$F836)</f>
        <v/>
      </c>
      <c r="N836" s="114" t="str">
        <f aca="false">IF($E836="","",IFERROR(INDEX(Config!$D$15:$D$19,MATCH($I836,Config!$C$15:$C$19,0)),"OUT")&amp;IF($K836="✓","x",""))</f>
        <v/>
      </c>
      <c r="O836" s="114" t="str">
        <f aca="false">IF($E836="","",COUNTIF($E$5:$E836,$E836))</f>
        <v/>
      </c>
      <c r="P836" s="114" t="str">
        <f aca="false">IF($E836="","",$E836*100+$O836)</f>
        <v/>
      </c>
      <c r="Q836" s="114" t="str">
        <f aca="false">IF($L836="Atrasado",$E836*10000+$A836,"")</f>
        <v/>
      </c>
    </row>
    <row r="837" customFormat="false" ht="15" hidden="false" customHeight="false" outlineLevel="0" collapsed="false">
      <c r="A837" s="114" t="n">
        <f aca="false">ROW()-4</f>
        <v>833</v>
      </c>
      <c r="B837" s="114" t="str">
        <f aca="false">IF(A837&lt;=Config!$E$27*Config!$E$28,"Tema","Avulso")</f>
        <v>Tema</v>
      </c>
      <c r="C837" s="114" t="n">
        <f aca="false">IF(B837="Tema",INT((A837-1)/Config!$E$28)+1,A837-Config!$E$27*Config!$E$28)</f>
        <v>139</v>
      </c>
      <c r="D837" s="114" t="n">
        <f aca="false">IF(B837="Tema",MOD(A837-1,Config!$E$28)+1,"")</f>
        <v>5</v>
      </c>
      <c r="E837" s="115" t="str">
        <f aca="false">IF($B837="Tema",IF(ISNUMBER(INDEX(Temas!$E$6:$P$305,$C837,2*$D837-1)),INDEX(Temas!$E$6:$P$305,$C837,2*$D837-1),""),IF(ISNUMBER(INDEX(Avulsos!$B$6:$B$205,$C837)),INDEX(Avulsos!$B$6:$B$205,$C837),""))</f>
        <v/>
      </c>
      <c r="F837" s="114" t="str">
        <f aca="false">IF($E837="","",IF($B837="Tema",INDEX(Temas!$B$6:$B$305,$C837)&amp;"",INDEX(Avulsos!$C$6:$C$205,$C837)&amp;""))</f>
        <v/>
      </c>
      <c r="G837" s="114" t="str">
        <f aca="false">IF($E837="","",IF($B837="Tema",INDEX(Config!$C$6:$C$11,$D837),"Evento avulso"))</f>
        <v/>
      </c>
      <c r="H837" s="114" t="str">
        <f aca="false">IF($E837="","",IF($B837="Tema",INDEX(Config!$D$6:$D$11,$D837),IFERROR(INDEX(Config!$E$15:$E$19,MATCH($I837,Config!$C$15:$C$19,0)),"•")))</f>
        <v/>
      </c>
      <c r="I837" s="114" t="str">
        <f aca="false">IF($E837="","",IF($B837="Tema",INDEX(Config!$E$6:$E$11,$D837),IF(INDEX(Avulsos!$D$6:$D$205,$C837)&amp;""="","Outro",INDEX(Avulsos!$D$6:$D$205,$C837))))</f>
        <v/>
      </c>
      <c r="J837" s="114" t="str">
        <f aca="false">IF($E837="","",IF($B837="Tema",INDEX(Temas!$C$6:$C$305,$C837)&amp;"",INDEX(Avulsos!$E$6:$E$205,$C837)&amp;""))</f>
        <v/>
      </c>
      <c r="K837" s="114" t="str">
        <f aca="false">IF($E837="","",IF(IF($B837="Tema",INDEX(Temas!$E$6:$P$305,$C837,2*$D837),INDEX(Avulsos!$F$6:$F$205,$C837))&amp;""="","","✓"))</f>
        <v/>
      </c>
      <c r="L837" s="114" t="str">
        <f aca="true">IF($E837="","",IF($K837="✓","Concluído",IF($E837&lt;TODAY(),"Atrasado",IF($E837=TODAY(),"Hoje","Pendente"))))</f>
        <v/>
      </c>
      <c r="M837" s="114" t="str">
        <f aca="false">IF($E837="","",IF($K837="✓","✓ ","")&amp;IF(Config!$E$22="Sim",$H837&amp;" · ","")&amp;$F837)</f>
        <v/>
      </c>
      <c r="N837" s="114" t="str">
        <f aca="false">IF($E837="","",IFERROR(INDEX(Config!$D$15:$D$19,MATCH($I837,Config!$C$15:$C$19,0)),"OUT")&amp;IF($K837="✓","x",""))</f>
        <v/>
      </c>
      <c r="O837" s="114" t="str">
        <f aca="false">IF($E837="","",COUNTIF($E$5:$E837,$E837))</f>
        <v/>
      </c>
      <c r="P837" s="114" t="str">
        <f aca="false">IF($E837="","",$E837*100+$O837)</f>
        <v/>
      </c>
      <c r="Q837" s="114" t="str">
        <f aca="false">IF($L837="Atrasado",$E837*10000+$A837,"")</f>
        <v/>
      </c>
    </row>
    <row r="838" customFormat="false" ht="15" hidden="false" customHeight="false" outlineLevel="0" collapsed="false">
      <c r="A838" s="114" t="n">
        <f aca="false">ROW()-4</f>
        <v>834</v>
      </c>
      <c r="B838" s="114" t="str">
        <f aca="false">IF(A838&lt;=Config!$E$27*Config!$E$28,"Tema","Avulso")</f>
        <v>Tema</v>
      </c>
      <c r="C838" s="114" t="n">
        <f aca="false">IF(B838="Tema",INT((A838-1)/Config!$E$28)+1,A838-Config!$E$27*Config!$E$28)</f>
        <v>139</v>
      </c>
      <c r="D838" s="114" t="n">
        <f aca="false">IF(B838="Tema",MOD(A838-1,Config!$E$28)+1,"")</f>
        <v>6</v>
      </c>
      <c r="E838" s="115" t="str">
        <f aca="false">IF($B838="Tema",IF(ISNUMBER(INDEX(Temas!$E$6:$P$305,$C838,2*$D838-1)),INDEX(Temas!$E$6:$P$305,$C838,2*$D838-1),""),IF(ISNUMBER(INDEX(Avulsos!$B$6:$B$205,$C838)),INDEX(Avulsos!$B$6:$B$205,$C838),""))</f>
        <v/>
      </c>
      <c r="F838" s="114" t="str">
        <f aca="false">IF($E838="","",IF($B838="Tema",INDEX(Temas!$B$6:$B$305,$C838)&amp;"",INDEX(Avulsos!$C$6:$C$205,$C838)&amp;""))</f>
        <v/>
      </c>
      <c r="G838" s="114" t="str">
        <f aca="false">IF($E838="","",IF($B838="Tema",INDEX(Config!$C$6:$C$11,$D838),"Evento avulso"))</f>
        <v/>
      </c>
      <c r="H838" s="114" t="str">
        <f aca="false">IF($E838="","",IF($B838="Tema",INDEX(Config!$D$6:$D$11,$D838),IFERROR(INDEX(Config!$E$15:$E$19,MATCH($I838,Config!$C$15:$C$19,0)),"•")))</f>
        <v/>
      </c>
      <c r="I838" s="114" t="str">
        <f aca="false">IF($E838="","",IF($B838="Tema",INDEX(Config!$E$6:$E$11,$D838),IF(INDEX(Avulsos!$D$6:$D$205,$C838)&amp;""="","Outro",INDEX(Avulsos!$D$6:$D$205,$C838))))</f>
        <v/>
      </c>
      <c r="J838" s="114" t="str">
        <f aca="false">IF($E838="","",IF($B838="Tema",INDEX(Temas!$C$6:$C$305,$C838)&amp;"",INDEX(Avulsos!$E$6:$E$205,$C838)&amp;""))</f>
        <v/>
      </c>
      <c r="K838" s="114" t="str">
        <f aca="false">IF($E838="","",IF(IF($B838="Tema",INDEX(Temas!$E$6:$P$305,$C838,2*$D838),INDEX(Avulsos!$F$6:$F$205,$C838))&amp;""="","","✓"))</f>
        <v/>
      </c>
      <c r="L838" s="114" t="str">
        <f aca="true">IF($E838="","",IF($K838="✓","Concluído",IF($E838&lt;TODAY(),"Atrasado",IF($E838=TODAY(),"Hoje","Pendente"))))</f>
        <v/>
      </c>
      <c r="M838" s="114" t="str">
        <f aca="false">IF($E838="","",IF($K838="✓","✓ ","")&amp;IF(Config!$E$22="Sim",$H838&amp;" · ","")&amp;$F838)</f>
        <v/>
      </c>
      <c r="N838" s="114" t="str">
        <f aca="false">IF($E838="","",IFERROR(INDEX(Config!$D$15:$D$19,MATCH($I838,Config!$C$15:$C$19,0)),"OUT")&amp;IF($K838="✓","x",""))</f>
        <v/>
      </c>
      <c r="O838" s="114" t="str">
        <f aca="false">IF($E838="","",COUNTIF($E$5:$E838,$E838))</f>
        <v/>
      </c>
      <c r="P838" s="114" t="str">
        <f aca="false">IF($E838="","",$E838*100+$O838)</f>
        <v/>
      </c>
      <c r="Q838" s="114" t="str">
        <f aca="false">IF($L838="Atrasado",$E838*10000+$A838,"")</f>
        <v/>
      </c>
    </row>
    <row r="839" customFormat="false" ht="15" hidden="false" customHeight="false" outlineLevel="0" collapsed="false">
      <c r="A839" s="114" t="n">
        <f aca="false">ROW()-4</f>
        <v>835</v>
      </c>
      <c r="B839" s="114" t="str">
        <f aca="false">IF(A839&lt;=Config!$E$27*Config!$E$28,"Tema","Avulso")</f>
        <v>Tema</v>
      </c>
      <c r="C839" s="114" t="n">
        <f aca="false">IF(B839="Tema",INT((A839-1)/Config!$E$28)+1,A839-Config!$E$27*Config!$E$28)</f>
        <v>140</v>
      </c>
      <c r="D839" s="114" t="n">
        <f aca="false">IF(B839="Tema",MOD(A839-1,Config!$E$28)+1,"")</f>
        <v>1</v>
      </c>
      <c r="E839" s="115" t="str">
        <f aca="false">IF($B839="Tema",IF(ISNUMBER(INDEX(Temas!$E$6:$P$305,$C839,2*$D839-1)),INDEX(Temas!$E$6:$P$305,$C839,2*$D839-1),""),IF(ISNUMBER(INDEX(Avulsos!$B$6:$B$205,$C839)),INDEX(Avulsos!$B$6:$B$205,$C839),""))</f>
        <v/>
      </c>
      <c r="F839" s="114" t="str">
        <f aca="false">IF($E839="","",IF($B839="Tema",INDEX(Temas!$B$6:$B$305,$C839)&amp;"",INDEX(Avulsos!$C$6:$C$205,$C839)&amp;""))</f>
        <v/>
      </c>
      <c r="G839" s="114" t="str">
        <f aca="false">IF($E839="","",IF($B839="Tema",INDEX(Config!$C$6:$C$11,$D839),"Evento avulso"))</f>
        <v/>
      </c>
      <c r="H839" s="114" t="str">
        <f aca="false">IF($E839="","",IF($B839="Tema",INDEX(Config!$D$6:$D$11,$D839),IFERROR(INDEX(Config!$E$15:$E$19,MATCH($I839,Config!$C$15:$C$19,0)),"•")))</f>
        <v/>
      </c>
      <c r="I839" s="114" t="str">
        <f aca="false">IF($E839="","",IF($B839="Tema",INDEX(Config!$E$6:$E$11,$D839),IF(INDEX(Avulsos!$D$6:$D$205,$C839)&amp;""="","Outro",INDEX(Avulsos!$D$6:$D$205,$C839))))</f>
        <v/>
      </c>
      <c r="J839" s="114" t="str">
        <f aca="false">IF($E839="","",IF($B839="Tema",INDEX(Temas!$C$6:$C$305,$C839)&amp;"",INDEX(Avulsos!$E$6:$E$205,$C839)&amp;""))</f>
        <v/>
      </c>
      <c r="K839" s="114" t="str">
        <f aca="false">IF($E839="","",IF(IF($B839="Tema",INDEX(Temas!$E$6:$P$305,$C839,2*$D839),INDEX(Avulsos!$F$6:$F$205,$C839))&amp;""="","","✓"))</f>
        <v/>
      </c>
      <c r="L839" s="114" t="str">
        <f aca="true">IF($E839="","",IF($K839="✓","Concluído",IF($E839&lt;TODAY(),"Atrasado",IF($E839=TODAY(),"Hoje","Pendente"))))</f>
        <v/>
      </c>
      <c r="M839" s="114" t="str">
        <f aca="false">IF($E839="","",IF($K839="✓","✓ ","")&amp;IF(Config!$E$22="Sim",$H839&amp;" · ","")&amp;$F839)</f>
        <v/>
      </c>
      <c r="N839" s="114" t="str">
        <f aca="false">IF($E839="","",IFERROR(INDEX(Config!$D$15:$D$19,MATCH($I839,Config!$C$15:$C$19,0)),"OUT")&amp;IF($K839="✓","x",""))</f>
        <v/>
      </c>
      <c r="O839" s="114" t="str">
        <f aca="false">IF($E839="","",COUNTIF($E$5:$E839,$E839))</f>
        <v/>
      </c>
      <c r="P839" s="114" t="str">
        <f aca="false">IF($E839="","",$E839*100+$O839)</f>
        <v/>
      </c>
      <c r="Q839" s="114" t="str">
        <f aca="false">IF($L839="Atrasado",$E839*10000+$A839,"")</f>
        <v/>
      </c>
    </row>
    <row r="840" customFormat="false" ht="15" hidden="false" customHeight="false" outlineLevel="0" collapsed="false">
      <c r="A840" s="114" t="n">
        <f aca="false">ROW()-4</f>
        <v>836</v>
      </c>
      <c r="B840" s="114" t="str">
        <f aca="false">IF(A840&lt;=Config!$E$27*Config!$E$28,"Tema","Avulso")</f>
        <v>Tema</v>
      </c>
      <c r="C840" s="114" t="n">
        <f aca="false">IF(B840="Tema",INT((A840-1)/Config!$E$28)+1,A840-Config!$E$27*Config!$E$28)</f>
        <v>140</v>
      </c>
      <c r="D840" s="114" t="n">
        <f aca="false">IF(B840="Tema",MOD(A840-1,Config!$E$28)+1,"")</f>
        <v>2</v>
      </c>
      <c r="E840" s="115" t="str">
        <f aca="false">IF($B840="Tema",IF(ISNUMBER(INDEX(Temas!$E$6:$P$305,$C840,2*$D840-1)),INDEX(Temas!$E$6:$P$305,$C840,2*$D840-1),""),IF(ISNUMBER(INDEX(Avulsos!$B$6:$B$205,$C840)),INDEX(Avulsos!$B$6:$B$205,$C840),""))</f>
        <v/>
      </c>
      <c r="F840" s="114" t="str">
        <f aca="false">IF($E840="","",IF($B840="Tema",INDEX(Temas!$B$6:$B$305,$C840)&amp;"",INDEX(Avulsos!$C$6:$C$205,$C840)&amp;""))</f>
        <v/>
      </c>
      <c r="G840" s="114" t="str">
        <f aca="false">IF($E840="","",IF($B840="Tema",INDEX(Config!$C$6:$C$11,$D840),"Evento avulso"))</f>
        <v/>
      </c>
      <c r="H840" s="114" t="str">
        <f aca="false">IF($E840="","",IF($B840="Tema",INDEX(Config!$D$6:$D$11,$D840),IFERROR(INDEX(Config!$E$15:$E$19,MATCH($I840,Config!$C$15:$C$19,0)),"•")))</f>
        <v/>
      </c>
      <c r="I840" s="114" t="str">
        <f aca="false">IF($E840="","",IF($B840="Tema",INDEX(Config!$E$6:$E$11,$D840),IF(INDEX(Avulsos!$D$6:$D$205,$C840)&amp;""="","Outro",INDEX(Avulsos!$D$6:$D$205,$C840))))</f>
        <v/>
      </c>
      <c r="J840" s="114" t="str">
        <f aca="false">IF($E840="","",IF($B840="Tema",INDEX(Temas!$C$6:$C$305,$C840)&amp;"",INDEX(Avulsos!$E$6:$E$205,$C840)&amp;""))</f>
        <v/>
      </c>
      <c r="K840" s="114" t="str">
        <f aca="false">IF($E840="","",IF(IF($B840="Tema",INDEX(Temas!$E$6:$P$305,$C840,2*$D840),INDEX(Avulsos!$F$6:$F$205,$C840))&amp;""="","","✓"))</f>
        <v/>
      </c>
      <c r="L840" s="114" t="str">
        <f aca="true">IF($E840="","",IF($K840="✓","Concluído",IF($E840&lt;TODAY(),"Atrasado",IF($E840=TODAY(),"Hoje","Pendente"))))</f>
        <v/>
      </c>
      <c r="M840" s="114" t="str">
        <f aca="false">IF($E840="","",IF($K840="✓","✓ ","")&amp;IF(Config!$E$22="Sim",$H840&amp;" · ","")&amp;$F840)</f>
        <v/>
      </c>
      <c r="N840" s="114" t="str">
        <f aca="false">IF($E840="","",IFERROR(INDEX(Config!$D$15:$D$19,MATCH($I840,Config!$C$15:$C$19,0)),"OUT")&amp;IF($K840="✓","x",""))</f>
        <v/>
      </c>
      <c r="O840" s="114" t="str">
        <f aca="false">IF($E840="","",COUNTIF($E$5:$E840,$E840))</f>
        <v/>
      </c>
      <c r="P840" s="114" t="str">
        <f aca="false">IF($E840="","",$E840*100+$O840)</f>
        <v/>
      </c>
      <c r="Q840" s="114" t="str">
        <f aca="false">IF($L840="Atrasado",$E840*10000+$A840,"")</f>
        <v/>
      </c>
    </row>
    <row r="841" customFormat="false" ht="15" hidden="false" customHeight="false" outlineLevel="0" collapsed="false">
      <c r="A841" s="114" t="n">
        <f aca="false">ROW()-4</f>
        <v>837</v>
      </c>
      <c r="B841" s="114" t="str">
        <f aca="false">IF(A841&lt;=Config!$E$27*Config!$E$28,"Tema","Avulso")</f>
        <v>Tema</v>
      </c>
      <c r="C841" s="114" t="n">
        <f aca="false">IF(B841="Tema",INT((A841-1)/Config!$E$28)+1,A841-Config!$E$27*Config!$E$28)</f>
        <v>140</v>
      </c>
      <c r="D841" s="114" t="n">
        <f aca="false">IF(B841="Tema",MOD(A841-1,Config!$E$28)+1,"")</f>
        <v>3</v>
      </c>
      <c r="E841" s="115" t="str">
        <f aca="false">IF($B841="Tema",IF(ISNUMBER(INDEX(Temas!$E$6:$P$305,$C841,2*$D841-1)),INDEX(Temas!$E$6:$P$305,$C841,2*$D841-1),""),IF(ISNUMBER(INDEX(Avulsos!$B$6:$B$205,$C841)),INDEX(Avulsos!$B$6:$B$205,$C841),""))</f>
        <v/>
      </c>
      <c r="F841" s="114" t="str">
        <f aca="false">IF($E841="","",IF($B841="Tema",INDEX(Temas!$B$6:$B$305,$C841)&amp;"",INDEX(Avulsos!$C$6:$C$205,$C841)&amp;""))</f>
        <v/>
      </c>
      <c r="G841" s="114" t="str">
        <f aca="false">IF($E841="","",IF($B841="Tema",INDEX(Config!$C$6:$C$11,$D841),"Evento avulso"))</f>
        <v/>
      </c>
      <c r="H841" s="114" t="str">
        <f aca="false">IF($E841="","",IF($B841="Tema",INDEX(Config!$D$6:$D$11,$D841),IFERROR(INDEX(Config!$E$15:$E$19,MATCH($I841,Config!$C$15:$C$19,0)),"•")))</f>
        <v/>
      </c>
      <c r="I841" s="114" t="str">
        <f aca="false">IF($E841="","",IF($B841="Tema",INDEX(Config!$E$6:$E$11,$D841),IF(INDEX(Avulsos!$D$6:$D$205,$C841)&amp;""="","Outro",INDEX(Avulsos!$D$6:$D$205,$C841))))</f>
        <v/>
      </c>
      <c r="J841" s="114" t="str">
        <f aca="false">IF($E841="","",IF($B841="Tema",INDEX(Temas!$C$6:$C$305,$C841)&amp;"",INDEX(Avulsos!$E$6:$E$205,$C841)&amp;""))</f>
        <v/>
      </c>
      <c r="K841" s="114" t="str">
        <f aca="false">IF($E841="","",IF(IF($B841="Tema",INDEX(Temas!$E$6:$P$305,$C841,2*$D841),INDEX(Avulsos!$F$6:$F$205,$C841))&amp;""="","","✓"))</f>
        <v/>
      </c>
      <c r="L841" s="114" t="str">
        <f aca="true">IF($E841="","",IF($K841="✓","Concluído",IF($E841&lt;TODAY(),"Atrasado",IF($E841=TODAY(),"Hoje","Pendente"))))</f>
        <v/>
      </c>
      <c r="M841" s="114" t="str">
        <f aca="false">IF($E841="","",IF($K841="✓","✓ ","")&amp;IF(Config!$E$22="Sim",$H841&amp;" · ","")&amp;$F841)</f>
        <v/>
      </c>
      <c r="N841" s="114" t="str">
        <f aca="false">IF($E841="","",IFERROR(INDEX(Config!$D$15:$D$19,MATCH($I841,Config!$C$15:$C$19,0)),"OUT")&amp;IF($K841="✓","x",""))</f>
        <v/>
      </c>
      <c r="O841" s="114" t="str">
        <f aca="false">IF($E841="","",COUNTIF($E$5:$E841,$E841))</f>
        <v/>
      </c>
      <c r="P841" s="114" t="str">
        <f aca="false">IF($E841="","",$E841*100+$O841)</f>
        <v/>
      </c>
      <c r="Q841" s="114" t="str">
        <f aca="false">IF($L841="Atrasado",$E841*10000+$A841,"")</f>
        <v/>
      </c>
    </row>
    <row r="842" customFormat="false" ht="15" hidden="false" customHeight="false" outlineLevel="0" collapsed="false">
      <c r="A842" s="114" t="n">
        <f aca="false">ROW()-4</f>
        <v>838</v>
      </c>
      <c r="B842" s="114" t="str">
        <f aca="false">IF(A842&lt;=Config!$E$27*Config!$E$28,"Tema","Avulso")</f>
        <v>Tema</v>
      </c>
      <c r="C842" s="114" t="n">
        <f aca="false">IF(B842="Tema",INT((A842-1)/Config!$E$28)+1,A842-Config!$E$27*Config!$E$28)</f>
        <v>140</v>
      </c>
      <c r="D842" s="114" t="n">
        <f aca="false">IF(B842="Tema",MOD(A842-1,Config!$E$28)+1,"")</f>
        <v>4</v>
      </c>
      <c r="E842" s="115" t="str">
        <f aca="false">IF($B842="Tema",IF(ISNUMBER(INDEX(Temas!$E$6:$P$305,$C842,2*$D842-1)),INDEX(Temas!$E$6:$P$305,$C842,2*$D842-1),""),IF(ISNUMBER(INDEX(Avulsos!$B$6:$B$205,$C842)),INDEX(Avulsos!$B$6:$B$205,$C842),""))</f>
        <v/>
      </c>
      <c r="F842" s="114" t="str">
        <f aca="false">IF($E842="","",IF($B842="Tema",INDEX(Temas!$B$6:$B$305,$C842)&amp;"",INDEX(Avulsos!$C$6:$C$205,$C842)&amp;""))</f>
        <v/>
      </c>
      <c r="G842" s="114" t="str">
        <f aca="false">IF($E842="","",IF($B842="Tema",INDEX(Config!$C$6:$C$11,$D842),"Evento avulso"))</f>
        <v/>
      </c>
      <c r="H842" s="114" t="str">
        <f aca="false">IF($E842="","",IF($B842="Tema",INDEX(Config!$D$6:$D$11,$D842),IFERROR(INDEX(Config!$E$15:$E$19,MATCH($I842,Config!$C$15:$C$19,0)),"•")))</f>
        <v/>
      </c>
      <c r="I842" s="114" t="str">
        <f aca="false">IF($E842="","",IF($B842="Tema",INDEX(Config!$E$6:$E$11,$D842),IF(INDEX(Avulsos!$D$6:$D$205,$C842)&amp;""="","Outro",INDEX(Avulsos!$D$6:$D$205,$C842))))</f>
        <v/>
      </c>
      <c r="J842" s="114" t="str">
        <f aca="false">IF($E842="","",IF($B842="Tema",INDEX(Temas!$C$6:$C$305,$C842)&amp;"",INDEX(Avulsos!$E$6:$E$205,$C842)&amp;""))</f>
        <v/>
      </c>
      <c r="K842" s="114" t="str">
        <f aca="false">IF($E842="","",IF(IF($B842="Tema",INDEX(Temas!$E$6:$P$305,$C842,2*$D842),INDEX(Avulsos!$F$6:$F$205,$C842))&amp;""="","","✓"))</f>
        <v/>
      </c>
      <c r="L842" s="114" t="str">
        <f aca="true">IF($E842="","",IF($K842="✓","Concluído",IF($E842&lt;TODAY(),"Atrasado",IF($E842=TODAY(),"Hoje","Pendente"))))</f>
        <v/>
      </c>
      <c r="M842" s="114" t="str">
        <f aca="false">IF($E842="","",IF($K842="✓","✓ ","")&amp;IF(Config!$E$22="Sim",$H842&amp;" · ","")&amp;$F842)</f>
        <v/>
      </c>
      <c r="N842" s="114" t="str">
        <f aca="false">IF($E842="","",IFERROR(INDEX(Config!$D$15:$D$19,MATCH($I842,Config!$C$15:$C$19,0)),"OUT")&amp;IF($K842="✓","x",""))</f>
        <v/>
      </c>
      <c r="O842" s="114" t="str">
        <f aca="false">IF($E842="","",COUNTIF($E$5:$E842,$E842))</f>
        <v/>
      </c>
      <c r="P842" s="114" t="str">
        <f aca="false">IF($E842="","",$E842*100+$O842)</f>
        <v/>
      </c>
      <c r="Q842" s="114" t="str">
        <f aca="false">IF($L842="Atrasado",$E842*10000+$A842,"")</f>
        <v/>
      </c>
    </row>
    <row r="843" customFormat="false" ht="15" hidden="false" customHeight="false" outlineLevel="0" collapsed="false">
      <c r="A843" s="114" t="n">
        <f aca="false">ROW()-4</f>
        <v>839</v>
      </c>
      <c r="B843" s="114" t="str">
        <f aca="false">IF(A843&lt;=Config!$E$27*Config!$E$28,"Tema","Avulso")</f>
        <v>Tema</v>
      </c>
      <c r="C843" s="114" t="n">
        <f aca="false">IF(B843="Tema",INT((A843-1)/Config!$E$28)+1,A843-Config!$E$27*Config!$E$28)</f>
        <v>140</v>
      </c>
      <c r="D843" s="114" t="n">
        <f aca="false">IF(B843="Tema",MOD(A843-1,Config!$E$28)+1,"")</f>
        <v>5</v>
      </c>
      <c r="E843" s="115" t="str">
        <f aca="false">IF($B843="Tema",IF(ISNUMBER(INDEX(Temas!$E$6:$P$305,$C843,2*$D843-1)),INDEX(Temas!$E$6:$P$305,$C843,2*$D843-1),""),IF(ISNUMBER(INDEX(Avulsos!$B$6:$B$205,$C843)),INDEX(Avulsos!$B$6:$B$205,$C843),""))</f>
        <v/>
      </c>
      <c r="F843" s="114" t="str">
        <f aca="false">IF($E843="","",IF($B843="Tema",INDEX(Temas!$B$6:$B$305,$C843)&amp;"",INDEX(Avulsos!$C$6:$C$205,$C843)&amp;""))</f>
        <v/>
      </c>
      <c r="G843" s="114" t="str">
        <f aca="false">IF($E843="","",IF($B843="Tema",INDEX(Config!$C$6:$C$11,$D843),"Evento avulso"))</f>
        <v/>
      </c>
      <c r="H843" s="114" t="str">
        <f aca="false">IF($E843="","",IF($B843="Tema",INDEX(Config!$D$6:$D$11,$D843),IFERROR(INDEX(Config!$E$15:$E$19,MATCH($I843,Config!$C$15:$C$19,0)),"•")))</f>
        <v/>
      </c>
      <c r="I843" s="114" t="str">
        <f aca="false">IF($E843="","",IF($B843="Tema",INDEX(Config!$E$6:$E$11,$D843),IF(INDEX(Avulsos!$D$6:$D$205,$C843)&amp;""="","Outro",INDEX(Avulsos!$D$6:$D$205,$C843))))</f>
        <v/>
      </c>
      <c r="J843" s="114" t="str">
        <f aca="false">IF($E843="","",IF($B843="Tema",INDEX(Temas!$C$6:$C$305,$C843)&amp;"",INDEX(Avulsos!$E$6:$E$205,$C843)&amp;""))</f>
        <v/>
      </c>
      <c r="K843" s="114" t="str">
        <f aca="false">IF($E843="","",IF(IF($B843="Tema",INDEX(Temas!$E$6:$P$305,$C843,2*$D843),INDEX(Avulsos!$F$6:$F$205,$C843))&amp;""="","","✓"))</f>
        <v/>
      </c>
      <c r="L843" s="114" t="str">
        <f aca="true">IF($E843="","",IF($K843="✓","Concluído",IF($E843&lt;TODAY(),"Atrasado",IF($E843=TODAY(),"Hoje","Pendente"))))</f>
        <v/>
      </c>
      <c r="M843" s="114" t="str">
        <f aca="false">IF($E843="","",IF($K843="✓","✓ ","")&amp;IF(Config!$E$22="Sim",$H843&amp;" · ","")&amp;$F843)</f>
        <v/>
      </c>
      <c r="N843" s="114" t="str">
        <f aca="false">IF($E843="","",IFERROR(INDEX(Config!$D$15:$D$19,MATCH($I843,Config!$C$15:$C$19,0)),"OUT")&amp;IF($K843="✓","x",""))</f>
        <v/>
      </c>
      <c r="O843" s="114" t="str">
        <f aca="false">IF($E843="","",COUNTIF($E$5:$E843,$E843))</f>
        <v/>
      </c>
      <c r="P843" s="114" t="str">
        <f aca="false">IF($E843="","",$E843*100+$O843)</f>
        <v/>
      </c>
      <c r="Q843" s="114" t="str">
        <f aca="false">IF($L843="Atrasado",$E843*10000+$A843,"")</f>
        <v/>
      </c>
    </row>
    <row r="844" customFormat="false" ht="15" hidden="false" customHeight="false" outlineLevel="0" collapsed="false">
      <c r="A844" s="114" t="n">
        <f aca="false">ROW()-4</f>
        <v>840</v>
      </c>
      <c r="B844" s="114" t="str">
        <f aca="false">IF(A844&lt;=Config!$E$27*Config!$E$28,"Tema","Avulso")</f>
        <v>Tema</v>
      </c>
      <c r="C844" s="114" t="n">
        <f aca="false">IF(B844="Tema",INT((A844-1)/Config!$E$28)+1,A844-Config!$E$27*Config!$E$28)</f>
        <v>140</v>
      </c>
      <c r="D844" s="114" t="n">
        <f aca="false">IF(B844="Tema",MOD(A844-1,Config!$E$28)+1,"")</f>
        <v>6</v>
      </c>
      <c r="E844" s="115" t="str">
        <f aca="false">IF($B844="Tema",IF(ISNUMBER(INDEX(Temas!$E$6:$P$305,$C844,2*$D844-1)),INDEX(Temas!$E$6:$P$305,$C844,2*$D844-1),""),IF(ISNUMBER(INDEX(Avulsos!$B$6:$B$205,$C844)),INDEX(Avulsos!$B$6:$B$205,$C844),""))</f>
        <v/>
      </c>
      <c r="F844" s="114" t="str">
        <f aca="false">IF($E844="","",IF($B844="Tema",INDEX(Temas!$B$6:$B$305,$C844)&amp;"",INDEX(Avulsos!$C$6:$C$205,$C844)&amp;""))</f>
        <v/>
      </c>
      <c r="G844" s="114" t="str">
        <f aca="false">IF($E844="","",IF($B844="Tema",INDEX(Config!$C$6:$C$11,$D844),"Evento avulso"))</f>
        <v/>
      </c>
      <c r="H844" s="114" t="str">
        <f aca="false">IF($E844="","",IF($B844="Tema",INDEX(Config!$D$6:$D$11,$D844),IFERROR(INDEX(Config!$E$15:$E$19,MATCH($I844,Config!$C$15:$C$19,0)),"•")))</f>
        <v/>
      </c>
      <c r="I844" s="114" t="str">
        <f aca="false">IF($E844="","",IF($B844="Tema",INDEX(Config!$E$6:$E$11,$D844),IF(INDEX(Avulsos!$D$6:$D$205,$C844)&amp;""="","Outro",INDEX(Avulsos!$D$6:$D$205,$C844))))</f>
        <v/>
      </c>
      <c r="J844" s="114" t="str">
        <f aca="false">IF($E844="","",IF($B844="Tema",INDEX(Temas!$C$6:$C$305,$C844)&amp;"",INDEX(Avulsos!$E$6:$E$205,$C844)&amp;""))</f>
        <v/>
      </c>
      <c r="K844" s="114" t="str">
        <f aca="false">IF($E844="","",IF(IF($B844="Tema",INDEX(Temas!$E$6:$P$305,$C844,2*$D844),INDEX(Avulsos!$F$6:$F$205,$C844))&amp;""="","","✓"))</f>
        <v/>
      </c>
      <c r="L844" s="114" t="str">
        <f aca="true">IF($E844="","",IF($K844="✓","Concluído",IF($E844&lt;TODAY(),"Atrasado",IF($E844=TODAY(),"Hoje","Pendente"))))</f>
        <v/>
      </c>
      <c r="M844" s="114" t="str">
        <f aca="false">IF($E844="","",IF($K844="✓","✓ ","")&amp;IF(Config!$E$22="Sim",$H844&amp;" · ","")&amp;$F844)</f>
        <v/>
      </c>
      <c r="N844" s="114" t="str">
        <f aca="false">IF($E844="","",IFERROR(INDEX(Config!$D$15:$D$19,MATCH($I844,Config!$C$15:$C$19,0)),"OUT")&amp;IF($K844="✓","x",""))</f>
        <v/>
      </c>
      <c r="O844" s="114" t="str">
        <f aca="false">IF($E844="","",COUNTIF($E$5:$E844,$E844))</f>
        <v/>
      </c>
      <c r="P844" s="114" t="str">
        <f aca="false">IF($E844="","",$E844*100+$O844)</f>
        <v/>
      </c>
      <c r="Q844" s="114" t="str">
        <f aca="false">IF($L844="Atrasado",$E844*10000+$A844,"")</f>
        <v/>
      </c>
    </row>
    <row r="845" customFormat="false" ht="15" hidden="false" customHeight="false" outlineLevel="0" collapsed="false">
      <c r="A845" s="114" t="n">
        <f aca="false">ROW()-4</f>
        <v>841</v>
      </c>
      <c r="B845" s="114" t="str">
        <f aca="false">IF(A845&lt;=Config!$E$27*Config!$E$28,"Tema","Avulso")</f>
        <v>Tema</v>
      </c>
      <c r="C845" s="114" t="n">
        <f aca="false">IF(B845="Tema",INT((A845-1)/Config!$E$28)+1,A845-Config!$E$27*Config!$E$28)</f>
        <v>141</v>
      </c>
      <c r="D845" s="114" t="n">
        <f aca="false">IF(B845="Tema",MOD(A845-1,Config!$E$28)+1,"")</f>
        <v>1</v>
      </c>
      <c r="E845" s="115" t="str">
        <f aca="false">IF($B845="Tema",IF(ISNUMBER(INDEX(Temas!$E$6:$P$305,$C845,2*$D845-1)),INDEX(Temas!$E$6:$P$305,$C845,2*$D845-1),""),IF(ISNUMBER(INDEX(Avulsos!$B$6:$B$205,$C845)),INDEX(Avulsos!$B$6:$B$205,$C845),""))</f>
        <v/>
      </c>
      <c r="F845" s="114" t="str">
        <f aca="false">IF($E845="","",IF($B845="Tema",INDEX(Temas!$B$6:$B$305,$C845)&amp;"",INDEX(Avulsos!$C$6:$C$205,$C845)&amp;""))</f>
        <v/>
      </c>
      <c r="G845" s="114" t="str">
        <f aca="false">IF($E845="","",IF($B845="Tema",INDEX(Config!$C$6:$C$11,$D845),"Evento avulso"))</f>
        <v/>
      </c>
      <c r="H845" s="114" t="str">
        <f aca="false">IF($E845="","",IF($B845="Tema",INDEX(Config!$D$6:$D$11,$D845),IFERROR(INDEX(Config!$E$15:$E$19,MATCH($I845,Config!$C$15:$C$19,0)),"•")))</f>
        <v/>
      </c>
      <c r="I845" s="114" t="str">
        <f aca="false">IF($E845="","",IF($B845="Tema",INDEX(Config!$E$6:$E$11,$D845),IF(INDEX(Avulsos!$D$6:$D$205,$C845)&amp;""="","Outro",INDEX(Avulsos!$D$6:$D$205,$C845))))</f>
        <v/>
      </c>
      <c r="J845" s="114" t="str">
        <f aca="false">IF($E845="","",IF($B845="Tema",INDEX(Temas!$C$6:$C$305,$C845)&amp;"",INDEX(Avulsos!$E$6:$E$205,$C845)&amp;""))</f>
        <v/>
      </c>
      <c r="K845" s="114" t="str">
        <f aca="false">IF($E845="","",IF(IF($B845="Tema",INDEX(Temas!$E$6:$P$305,$C845,2*$D845),INDEX(Avulsos!$F$6:$F$205,$C845))&amp;""="","","✓"))</f>
        <v/>
      </c>
      <c r="L845" s="114" t="str">
        <f aca="true">IF($E845="","",IF($K845="✓","Concluído",IF($E845&lt;TODAY(),"Atrasado",IF($E845=TODAY(),"Hoje","Pendente"))))</f>
        <v/>
      </c>
      <c r="M845" s="114" t="str">
        <f aca="false">IF($E845="","",IF($K845="✓","✓ ","")&amp;IF(Config!$E$22="Sim",$H845&amp;" · ","")&amp;$F845)</f>
        <v/>
      </c>
      <c r="N845" s="114" t="str">
        <f aca="false">IF($E845="","",IFERROR(INDEX(Config!$D$15:$D$19,MATCH($I845,Config!$C$15:$C$19,0)),"OUT")&amp;IF($K845="✓","x",""))</f>
        <v/>
      </c>
      <c r="O845" s="114" t="str">
        <f aca="false">IF($E845="","",COUNTIF($E$5:$E845,$E845))</f>
        <v/>
      </c>
      <c r="P845" s="114" t="str">
        <f aca="false">IF($E845="","",$E845*100+$O845)</f>
        <v/>
      </c>
      <c r="Q845" s="114" t="str">
        <f aca="false">IF($L845="Atrasado",$E845*10000+$A845,"")</f>
        <v/>
      </c>
    </row>
    <row r="846" customFormat="false" ht="15" hidden="false" customHeight="false" outlineLevel="0" collapsed="false">
      <c r="A846" s="114" t="n">
        <f aca="false">ROW()-4</f>
        <v>842</v>
      </c>
      <c r="B846" s="114" t="str">
        <f aca="false">IF(A846&lt;=Config!$E$27*Config!$E$28,"Tema","Avulso")</f>
        <v>Tema</v>
      </c>
      <c r="C846" s="114" t="n">
        <f aca="false">IF(B846="Tema",INT((A846-1)/Config!$E$28)+1,A846-Config!$E$27*Config!$E$28)</f>
        <v>141</v>
      </c>
      <c r="D846" s="114" t="n">
        <f aca="false">IF(B846="Tema",MOD(A846-1,Config!$E$28)+1,"")</f>
        <v>2</v>
      </c>
      <c r="E846" s="115" t="str">
        <f aca="false">IF($B846="Tema",IF(ISNUMBER(INDEX(Temas!$E$6:$P$305,$C846,2*$D846-1)),INDEX(Temas!$E$6:$P$305,$C846,2*$D846-1),""),IF(ISNUMBER(INDEX(Avulsos!$B$6:$B$205,$C846)),INDEX(Avulsos!$B$6:$B$205,$C846),""))</f>
        <v/>
      </c>
      <c r="F846" s="114" t="str">
        <f aca="false">IF($E846="","",IF($B846="Tema",INDEX(Temas!$B$6:$B$305,$C846)&amp;"",INDEX(Avulsos!$C$6:$C$205,$C846)&amp;""))</f>
        <v/>
      </c>
      <c r="G846" s="114" t="str">
        <f aca="false">IF($E846="","",IF($B846="Tema",INDEX(Config!$C$6:$C$11,$D846),"Evento avulso"))</f>
        <v/>
      </c>
      <c r="H846" s="114" t="str">
        <f aca="false">IF($E846="","",IF($B846="Tema",INDEX(Config!$D$6:$D$11,$D846),IFERROR(INDEX(Config!$E$15:$E$19,MATCH($I846,Config!$C$15:$C$19,0)),"•")))</f>
        <v/>
      </c>
      <c r="I846" s="114" t="str">
        <f aca="false">IF($E846="","",IF($B846="Tema",INDEX(Config!$E$6:$E$11,$D846),IF(INDEX(Avulsos!$D$6:$D$205,$C846)&amp;""="","Outro",INDEX(Avulsos!$D$6:$D$205,$C846))))</f>
        <v/>
      </c>
      <c r="J846" s="114" t="str">
        <f aca="false">IF($E846="","",IF($B846="Tema",INDEX(Temas!$C$6:$C$305,$C846)&amp;"",INDEX(Avulsos!$E$6:$E$205,$C846)&amp;""))</f>
        <v/>
      </c>
      <c r="K846" s="114" t="str">
        <f aca="false">IF($E846="","",IF(IF($B846="Tema",INDEX(Temas!$E$6:$P$305,$C846,2*$D846),INDEX(Avulsos!$F$6:$F$205,$C846))&amp;""="","","✓"))</f>
        <v/>
      </c>
      <c r="L846" s="114" t="str">
        <f aca="true">IF($E846="","",IF($K846="✓","Concluído",IF($E846&lt;TODAY(),"Atrasado",IF($E846=TODAY(),"Hoje","Pendente"))))</f>
        <v/>
      </c>
      <c r="M846" s="114" t="str">
        <f aca="false">IF($E846="","",IF($K846="✓","✓ ","")&amp;IF(Config!$E$22="Sim",$H846&amp;" · ","")&amp;$F846)</f>
        <v/>
      </c>
      <c r="N846" s="114" t="str">
        <f aca="false">IF($E846="","",IFERROR(INDEX(Config!$D$15:$D$19,MATCH($I846,Config!$C$15:$C$19,0)),"OUT")&amp;IF($K846="✓","x",""))</f>
        <v/>
      </c>
      <c r="O846" s="114" t="str">
        <f aca="false">IF($E846="","",COUNTIF($E$5:$E846,$E846))</f>
        <v/>
      </c>
      <c r="P846" s="114" t="str">
        <f aca="false">IF($E846="","",$E846*100+$O846)</f>
        <v/>
      </c>
      <c r="Q846" s="114" t="str">
        <f aca="false">IF($L846="Atrasado",$E846*10000+$A846,"")</f>
        <v/>
      </c>
    </row>
    <row r="847" customFormat="false" ht="15" hidden="false" customHeight="false" outlineLevel="0" collapsed="false">
      <c r="A847" s="114" t="n">
        <f aca="false">ROW()-4</f>
        <v>843</v>
      </c>
      <c r="B847" s="114" t="str">
        <f aca="false">IF(A847&lt;=Config!$E$27*Config!$E$28,"Tema","Avulso")</f>
        <v>Tema</v>
      </c>
      <c r="C847" s="114" t="n">
        <f aca="false">IF(B847="Tema",INT((A847-1)/Config!$E$28)+1,A847-Config!$E$27*Config!$E$28)</f>
        <v>141</v>
      </c>
      <c r="D847" s="114" t="n">
        <f aca="false">IF(B847="Tema",MOD(A847-1,Config!$E$28)+1,"")</f>
        <v>3</v>
      </c>
      <c r="E847" s="115" t="str">
        <f aca="false">IF($B847="Tema",IF(ISNUMBER(INDEX(Temas!$E$6:$P$305,$C847,2*$D847-1)),INDEX(Temas!$E$6:$P$305,$C847,2*$D847-1),""),IF(ISNUMBER(INDEX(Avulsos!$B$6:$B$205,$C847)),INDEX(Avulsos!$B$6:$B$205,$C847),""))</f>
        <v/>
      </c>
      <c r="F847" s="114" t="str">
        <f aca="false">IF($E847="","",IF($B847="Tema",INDEX(Temas!$B$6:$B$305,$C847)&amp;"",INDEX(Avulsos!$C$6:$C$205,$C847)&amp;""))</f>
        <v/>
      </c>
      <c r="G847" s="114" t="str">
        <f aca="false">IF($E847="","",IF($B847="Tema",INDEX(Config!$C$6:$C$11,$D847),"Evento avulso"))</f>
        <v/>
      </c>
      <c r="H847" s="114" t="str">
        <f aca="false">IF($E847="","",IF($B847="Tema",INDEX(Config!$D$6:$D$11,$D847),IFERROR(INDEX(Config!$E$15:$E$19,MATCH($I847,Config!$C$15:$C$19,0)),"•")))</f>
        <v/>
      </c>
      <c r="I847" s="114" t="str">
        <f aca="false">IF($E847="","",IF($B847="Tema",INDEX(Config!$E$6:$E$11,$D847),IF(INDEX(Avulsos!$D$6:$D$205,$C847)&amp;""="","Outro",INDEX(Avulsos!$D$6:$D$205,$C847))))</f>
        <v/>
      </c>
      <c r="J847" s="114" t="str">
        <f aca="false">IF($E847="","",IF($B847="Tema",INDEX(Temas!$C$6:$C$305,$C847)&amp;"",INDEX(Avulsos!$E$6:$E$205,$C847)&amp;""))</f>
        <v/>
      </c>
      <c r="K847" s="114" t="str">
        <f aca="false">IF($E847="","",IF(IF($B847="Tema",INDEX(Temas!$E$6:$P$305,$C847,2*$D847),INDEX(Avulsos!$F$6:$F$205,$C847))&amp;""="","","✓"))</f>
        <v/>
      </c>
      <c r="L847" s="114" t="str">
        <f aca="true">IF($E847="","",IF($K847="✓","Concluído",IF($E847&lt;TODAY(),"Atrasado",IF($E847=TODAY(),"Hoje","Pendente"))))</f>
        <v/>
      </c>
      <c r="M847" s="114" t="str">
        <f aca="false">IF($E847="","",IF($K847="✓","✓ ","")&amp;IF(Config!$E$22="Sim",$H847&amp;" · ","")&amp;$F847)</f>
        <v/>
      </c>
      <c r="N847" s="114" t="str">
        <f aca="false">IF($E847="","",IFERROR(INDEX(Config!$D$15:$D$19,MATCH($I847,Config!$C$15:$C$19,0)),"OUT")&amp;IF($K847="✓","x",""))</f>
        <v/>
      </c>
      <c r="O847" s="114" t="str">
        <f aca="false">IF($E847="","",COUNTIF($E$5:$E847,$E847))</f>
        <v/>
      </c>
      <c r="P847" s="114" t="str">
        <f aca="false">IF($E847="","",$E847*100+$O847)</f>
        <v/>
      </c>
      <c r="Q847" s="114" t="str">
        <f aca="false">IF($L847="Atrasado",$E847*10000+$A847,"")</f>
        <v/>
      </c>
    </row>
    <row r="848" customFormat="false" ht="15" hidden="false" customHeight="false" outlineLevel="0" collapsed="false">
      <c r="A848" s="114" t="n">
        <f aca="false">ROW()-4</f>
        <v>844</v>
      </c>
      <c r="B848" s="114" t="str">
        <f aca="false">IF(A848&lt;=Config!$E$27*Config!$E$28,"Tema","Avulso")</f>
        <v>Tema</v>
      </c>
      <c r="C848" s="114" t="n">
        <f aca="false">IF(B848="Tema",INT((A848-1)/Config!$E$28)+1,A848-Config!$E$27*Config!$E$28)</f>
        <v>141</v>
      </c>
      <c r="D848" s="114" t="n">
        <f aca="false">IF(B848="Tema",MOD(A848-1,Config!$E$28)+1,"")</f>
        <v>4</v>
      </c>
      <c r="E848" s="115" t="str">
        <f aca="false">IF($B848="Tema",IF(ISNUMBER(INDEX(Temas!$E$6:$P$305,$C848,2*$D848-1)),INDEX(Temas!$E$6:$P$305,$C848,2*$D848-1),""),IF(ISNUMBER(INDEX(Avulsos!$B$6:$B$205,$C848)),INDEX(Avulsos!$B$6:$B$205,$C848),""))</f>
        <v/>
      </c>
      <c r="F848" s="114" t="str">
        <f aca="false">IF($E848="","",IF($B848="Tema",INDEX(Temas!$B$6:$B$305,$C848)&amp;"",INDEX(Avulsos!$C$6:$C$205,$C848)&amp;""))</f>
        <v/>
      </c>
      <c r="G848" s="114" t="str">
        <f aca="false">IF($E848="","",IF($B848="Tema",INDEX(Config!$C$6:$C$11,$D848),"Evento avulso"))</f>
        <v/>
      </c>
      <c r="H848" s="114" t="str">
        <f aca="false">IF($E848="","",IF($B848="Tema",INDEX(Config!$D$6:$D$11,$D848),IFERROR(INDEX(Config!$E$15:$E$19,MATCH($I848,Config!$C$15:$C$19,0)),"•")))</f>
        <v/>
      </c>
      <c r="I848" s="114" t="str">
        <f aca="false">IF($E848="","",IF($B848="Tema",INDEX(Config!$E$6:$E$11,$D848),IF(INDEX(Avulsos!$D$6:$D$205,$C848)&amp;""="","Outro",INDEX(Avulsos!$D$6:$D$205,$C848))))</f>
        <v/>
      </c>
      <c r="J848" s="114" t="str">
        <f aca="false">IF($E848="","",IF($B848="Tema",INDEX(Temas!$C$6:$C$305,$C848)&amp;"",INDEX(Avulsos!$E$6:$E$205,$C848)&amp;""))</f>
        <v/>
      </c>
      <c r="K848" s="114" t="str">
        <f aca="false">IF($E848="","",IF(IF($B848="Tema",INDEX(Temas!$E$6:$P$305,$C848,2*$D848),INDEX(Avulsos!$F$6:$F$205,$C848))&amp;""="","","✓"))</f>
        <v/>
      </c>
      <c r="L848" s="114" t="str">
        <f aca="true">IF($E848="","",IF($K848="✓","Concluído",IF($E848&lt;TODAY(),"Atrasado",IF($E848=TODAY(),"Hoje","Pendente"))))</f>
        <v/>
      </c>
      <c r="M848" s="114" t="str">
        <f aca="false">IF($E848="","",IF($K848="✓","✓ ","")&amp;IF(Config!$E$22="Sim",$H848&amp;" · ","")&amp;$F848)</f>
        <v/>
      </c>
      <c r="N848" s="114" t="str">
        <f aca="false">IF($E848="","",IFERROR(INDEX(Config!$D$15:$D$19,MATCH($I848,Config!$C$15:$C$19,0)),"OUT")&amp;IF($K848="✓","x",""))</f>
        <v/>
      </c>
      <c r="O848" s="114" t="str">
        <f aca="false">IF($E848="","",COUNTIF($E$5:$E848,$E848))</f>
        <v/>
      </c>
      <c r="P848" s="114" t="str">
        <f aca="false">IF($E848="","",$E848*100+$O848)</f>
        <v/>
      </c>
      <c r="Q848" s="114" t="str">
        <f aca="false">IF($L848="Atrasado",$E848*10000+$A848,"")</f>
        <v/>
      </c>
    </row>
    <row r="849" customFormat="false" ht="15" hidden="false" customHeight="false" outlineLevel="0" collapsed="false">
      <c r="A849" s="114" t="n">
        <f aca="false">ROW()-4</f>
        <v>845</v>
      </c>
      <c r="B849" s="114" t="str">
        <f aca="false">IF(A849&lt;=Config!$E$27*Config!$E$28,"Tema","Avulso")</f>
        <v>Tema</v>
      </c>
      <c r="C849" s="114" t="n">
        <f aca="false">IF(B849="Tema",INT((A849-1)/Config!$E$28)+1,A849-Config!$E$27*Config!$E$28)</f>
        <v>141</v>
      </c>
      <c r="D849" s="114" t="n">
        <f aca="false">IF(B849="Tema",MOD(A849-1,Config!$E$28)+1,"")</f>
        <v>5</v>
      </c>
      <c r="E849" s="115" t="str">
        <f aca="false">IF($B849="Tema",IF(ISNUMBER(INDEX(Temas!$E$6:$P$305,$C849,2*$D849-1)),INDEX(Temas!$E$6:$P$305,$C849,2*$D849-1),""),IF(ISNUMBER(INDEX(Avulsos!$B$6:$B$205,$C849)),INDEX(Avulsos!$B$6:$B$205,$C849),""))</f>
        <v/>
      </c>
      <c r="F849" s="114" t="str">
        <f aca="false">IF($E849="","",IF($B849="Tema",INDEX(Temas!$B$6:$B$305,$C849)&amp;"",INDEX(Avulsos!$C$6:$C$205,$C849)&amp;""))</f>
        <v/>
      </c>
      <c r="G849" s="114" t="str">
        <f aca="false">IF($E849="","",IF($B849="Tema",INDEX(Config!$C$6:$C$11,$D849),"Evento avulso"))</f>
        <v/>
      </c>
      <c r="H849" s="114" t="str">
        <f aca="false">IF($E849="","",IF($B849="Tema",INDEX(Config!$D$6:$D$11,$D849),IFERROR(INDEX(Config!$E$15:$E$19,MATCH($I849,Config!$C$15:$C$19,0)),"•")))</f>
        <v/>
      </c>
      <c r="I849" s="114" t="str">
        <f aca="false">IF($E849="","",IF($B849="Tema",INDEX(Config!$E$6:$E$11,$D849),IF(INDEX(Avulsos!$D$6:$D$205,$C849)&amp;""="","Outro",INDEX(Avulsos!$D$6:$D$205,$C849))))</f>
        <v/>
      </c>
      <c r="J849" s="114" t="str">
        <f aca="false">IF($E849="","",IF($B849="Tema",INDEX(Temas!$C$6:$C$305,$C849)&amp;"",INDEX(Avulsos!$E$6:$E$205,$C849)&amp;""))</f>
        <v/>
      </c>
      <c r="K849" s="114" t="str">
        <f aca="false">IF($E849="","",IF(IF($B849="Tema",INDEX(Temas!$E$6:$P$305,$C849,2*$D849),INDEX(Avulsos!$F$6:$F$205,$C849))&amp;""="","","✓"))</f>
        <v/>
      </c>
      <c r="L849" s="114" t="str">
        <f aca="true">IF($E849="","",IF($K849="✓","Concluído",IF($E849&lt;TODAY(),"Atrasado",IF($E849=TODAY(),"Hoje","Pendente"))))</f>
        <v/>
      </c>
      <c r="M849" s="114" t="str">
        <f aca="false">IF($E849="","",IF($K849="✓","✓ ","")&amp;IF(Config!$E$22="Sim",$H849&amp;" · ","")&amp;$F849)</f>
        <v/>
      </c>
      <c r="N849" s="114" t="str">
        <f aca="false">IF($E849="","",IFERROR(INDEX(Config!$D$15:$D$19,MATCH($I849,Config!$C$15:$C$19,0)),"OUT")&amp;IF($K849="✓","x",""))</f>
        <v/>
      </c>
      <c r="O849" s="114" t="str">
        <f aca="false">IF($E849="","",COUNTIF($E$5:$E849,$E849))</f>
        <v/>
      </c>
      <c r="P849" s="114" t="str">
        <f aca="false">IF($E849="","",$E849*100+$O849)</f>
        <v/>
      </c>
      <c r="Q849" s="114" t="str">
        <f aca="false">IF($L849="Atrasado",$E849*10000+$A849,"")</f>
        <v/>
      </c>
    </row>
    <row r="850" customFormat="false" ht="15" hidden="false" customHeight="false" outlineLevel="0" collapsed="false">
      <c r="A850" s="114" t="n">
        <f aca="false">ROW()-4</f>
        <v>846</v>
      </c>
      <c r="B850" s="114" t="str">
        <f aca="false">IF(A850&lt;=Config!$E$27*Config!$E$28,"Tema","Avulso")</f>
        <v>Tema</v>
      </c>
      <c r="C850" s="114" t="n">
        <f aca="false">IF(B850="Tema",INT((A850-1)/Config!$E$28)+1,A850-Config!$E$27*Config!$E$28)</f>
        <v>141</v>
      </c>
      <c r="D850" s="114" t="n">
        <f aca="false">IF(B850="Tema",MOD(A850-1,Config!$E$28)+1,"")</f>
        <v>6</v>
      </c>
      <c r="E850" s="115" t="str">
        <f aca="false">IF($B850="Tema",IF(ISNUMBER(INDEX(Temas!$E$6:$P$305,$C850,2*$D850-1)),INDEX(Temas!$E$6:$P$305,$C850,2*$D850-1),""),IF(ISNUMBER(INDEX(Avulsos!$B$6:$B$205,$C850)),INDEX(Avulsos!$B$6:$B$205,$C850),""))</f>
        <v/>
      </c>
      <c r="F850" s="114" t="str">
        <f aca="false">IF($E850="","",IF($B850="Tema",INDEX(Temas!$B$6:$B$305,$C850)&amp;"",INDEX(Avulsos!$C$6:$C$205,$C850)&amp;""))</f>
        <v/>
      </c>
      <c r="G850" s="114" t="str">
        <f aca="false">IF($E850="","",IF($B850="Tema",INDEX(Config!$C$6:$C$11,$D850),"Evento avulso"))</f>
        <v/>
      </c>
      <c r="H850" s="114" t="str">
        <f aca="false">IF($E850="","",IF($B850="Tema",INDEX(Config!$D$6:$D$11,$D850),IFERROR(INDEX(Config!$E$15:$E$19,MATCH($I850,Config!$C$15:$C$19,0)),"•")))</f>
        <v/>
      </c>
      <c r="I850" s="114" t="str">
        <f aca="false">IF($E850="","",IF($B850="Tema",INDEX(Config!$E$6:$E$11,$D850),IF(INDEX(Avulsos!$D$6:$D$205,$C850)&amp;""="","Outro",INDEX(Avulsos!$D$6:$D$205,$C850))))</f>
        <v/>
      </c>
      <c r="J850" s="114" t="str">
        <f aca="false">IF($E850="","",IF($B850="Tema",INDEX(Temas!$C$6:$C$305,$C850)&amp;"",INDEX(Avulsos!$E$6:$E$205,$C850)&amp;""))</f>
        <v/>
      </c>
      <c r="K850" s="114" t="str">
        <f aca="false">IF($E850="","",IF(IF($B850="Tema",INDEX(Temas!$E$6:$P$305,$C850,2*$D850),INDEX(Avulsos!$F$6:$F$205,$C850))&amp;""="","","✓"))</f>
        <v/>
      </c>
      <c r="L850" s="114" t="str">
        <f aca="true">IF($E850="","",IF($K850="✓","Concluído",IF($E850&lt;TODAY(),"Atrasado",IF($E850=TODAY(),"Hoje","Pendente"))))</f>
        <v/>
      </c>
      <c r="M850" s="114" t="str">
        <f aca="false">IF($E850="","",IF($K850="✓","✓ ","")&amp;IF(Config!$E$22="Sim",$H850&amp;" · ","")&amp;$F850)</f>
        <v/>
      </c>
      <c r="N850" s="114" t="str">
        <f aca="false">IF($E850="","",IFERROR(INDEX(Config!$D$15:$D$19,MATCH($I850,Config!$C$15:$C$19,0)),"OUT")&amp;IF($K850="✓","x",""))</f>
        <v/>
      </c>
      <c r="O850" s="114" t="str">
        <f aca="false">IF($E850="","",COUNTIF($E$5:$E850,$E850))</f>
        <v/>
      </c>
      <c r="P850" s="114" t="str">
        <f aca="false">IF($E850="","",$E850*100+$O850)</f>
        <v/>
      </c>
      <c r="Q850" s="114" t="str">
        <f aca="false">IF($L850="Atrasado",$E850*10000+$A850,"")</f>
        <v/>
      </c>
    </row>
    <row r="851" customFormat="false" ht="15" hidden="false" customHeight="false" outlineLevel="0" collapsed="false">
      <c r="A851" s="114" t="n">
        <f aca="false">ROW()-4</f>
        <v>847</v>
      </c>
      <c r="B851" s="114" t="str">
        <f aca="false">IF(A851&lt;=Config!$E$27*Config!$E$28,"Tema","Avulso")</f>
        <v>Tema</v>
      </c>
      <c r="C851" s="114" t="n">
        <f aca="false">IF(B851="Tema",INT((A851-1)/Config!$E$28)+1,A851-Config!$E$27*Config!$E$28)</f>
        <v>142</v>
      </c>
      <c r="D851" s="114" t="n">
        <f aca="false">IF(B851="Tema",MOD(A851-1,Config!$E$28)+1,"")</f>
        <v>1</v>
      </c>
      <c r="E851" s="115" t="str">
        <f aca="false">IF($B851="Tema",IF(ISNUMBER(INDEX(Temas!$E$6:$P$305,$C851,2*$D851-1)),INDEX(Temas!$E$6:$P$305,$C851,2*$D851-1),""),IF(ISNUMBER(INDEX(Avulsos!$B$6:$B$205,$C851)),INDEX(Avulsos!$B$6:$B$205,$C851),""))</f>
        <v/>
      </c>
      <c r="F851" s="114" t="str">
        <f aca="false">IF($E851="","",IF($B851="Tema",INDEX(Temas!$B$6:$B$305,$C851)&amp;"",INDEX(Avulsos!$C$6:$C$205,$C851)&amp;""))</f>
        <v/>
      </c>
      <c r="G851" s="114" t="str">
        <f aca="false">IF($E851="","",IF($B851="Tema",INDEX(Config!$C$6:$C$11,$D851),"Evento avulso"))</f>
        <v/>
      </c>
      <c r="H851" s="114" t="str">
        <f aca="false">IF($E851="","",IF($B851="Tema",INDEX(Config!$D$6:$D$11,$D851),IFERROR(INDEX(Config!$E$15:$E$19,MATCH($I851,Config!$C$15:$C$19,0)),"•")))</f>
        <v/>
      </c>
      <c r="I851" s="114" t="str">
        <f aca="false">IF($E851="","",IF($B851="Tema",INDEX(Config!$E$6:$E$11,$D851),IF(INDEX(Avulsos!$D$6:$D$205,$C851)&amp;""="","Outro",INDEX(Avulsos!$D$6:$D$205,$C851))))</f>
        <v/>
      </c>
      <c r="J851" s="114" t="str">
        <f aca="false">IF($E851="","",IF($B851="Tema",INDEX(Temas!$C$6:$C$305,$C851)&amp;"",INDEX(Avulsos!$E$6:$E$205,$C851)&amp;""))</f>
        <v/>
      </c>
      <c r="K851" s="114" t="str">
        <f aca="false">IF($E851="","",IF(IF($B851="Tema",INDEX(Temas!$E$6:$P$305,$C851,2*$D851),INDEX(Avulsos!$F$6:$F$205,$C851))&amp;""="","","✓"))</f>
        <v/>
      </c>
      <c r="L851" s="114" t="str">
        <f aca="true">IF($E851="","",IF($K851="✓","Concluído",IF($E851&lt;TODAY(),"Atrasado",IF($E851=TODAY(),"Hoje","Pendente"))))</f>
        <v/>
      </c>
      <c r="M851" s="114" t="str">
        <f aca="false">IF($E851="","",IF($K851="✓","✓ ","")&amp;IF(Config!$E$22="Sim",$H851&amp;" · ","")&amp;$F851)</f>
        <v/>
      </c>
      <c r="N851" s="114" t="str">
        <f aca="false">IF($E851="","",IFERROR(INDEX(Config!$D$15:$D$19,MATCH($I851,Config!$C$15:$C$19,0)),"OUT")&amp;IF($K851="✓","x",""))</f>
        <v/>
      </c>
      <c r="O851" s="114" t="str">
        <f aca="false">IF($E851="","",COUNTIF($E$5:$E851,$E851))</f>
        <v/>
      </c>
      <c r="P851" s="114" t="str">
        <f aca="false">IF($E851="","",$E851*100+$O851)</f>
        <v/>
      </c>
      <c r="Q851" s="114" t="str">
        <f aca="false">IF($L851="Atrasado",$E851*10000+$A851,"")</f>
        <v/>
      </c>
    </row>
    <row r="852" customFormat="false" ht="15" hidden="false" customHeight="false" outlineLevel="0" collapsed="false">
      <c r="A852" s="114" t="n">
        <f aca="false">ROW()-4</f>
        <v>848</v>
      </c>
      <c r="B852" s="114" t="str">
        <f aca="false">IF(A852&lt;=Config!$E$27*Config!$E$28,"Tema","Avulso")</f>
        <v>Tema</v>
      </c>
      <c r="C852" s="114" t="n">
        <f aca="false">IF(B852="Tema",INT((A852-1)/Config!$E$28)+1,A852-Config!$E$27*Config!$E$28)</f>
        <v>142</v>
      </c>
      <c r="D852" s="114" t="n">
        <f aca="false">IF(B852="Tema",MOD(A852-1,Config!$E$28)+1,"")</f>
        <v>2</v>
      </c>
      <c r="E852" s="115" t="str">
        <f aca="false">IF($B852="Tema",IF(ISNUMBER(INDEX(Temas!$E$6:$P$305,$C852,2*$D852-1)),INDEX(Temas!$E$6:$P$305,$C852,2*$D852-1),""),IF(ISNUMBER(INDEX(Avulsos!$B$6:$B$205,$C852)),INDEX(Avulsos!$B$6:$B$205,$C852),""))</f>
        <v/>
      </c>
      <c r="F852" s="114" t="str">
        <f aca="false">IF($E852="","",IF($B852="Tema",INDEX(Temas!$B$6:$B$305,$C852)&amp;"",INDEX(Avulsos!$C$6:$C$205,$C852)&amp;""))</f>
        <v/>
      </c>
      <c r="G852" s="114" t="str">
        <f aca="false">IF($E852="","",IF($B852="Tema",INDEX(Config!$C$6:$C$11,$D852),"Evento avulso"))</f>
        <v/>
      </c>
      <c r="H852" s="114" t="str">
        <f aca="false">IF($E852="","",IF($B852="Tema",INDEX(Config!$D$6:$D$11,$D852),IFERROR(INDEX(Config!$E$15:$E$19,MATCH($I852,Config!$C$15:$C$19,0)),"•")))</f>
        <v/>
      </c>
      <c r="I852" s="114" t="str">
        <f aca="false">IF($E852="","",IF($B852="Tema",INDEX(Config!$E$6:$E$11,$D852),IF(INDEX(Avulsos!$D$6:$D$205,$C852)&amp;""="","Outro",INDEX(Avulsos!$D$6:$D$205,$C852))))</f>
        <v/>
      </c>
      <c r="J852" s="114" t="str">
        <f aca="false">IF($E852="","",IF($B852="Tema",INDEX(Temas!$C$6:$C$305,$C852)&amp;"",INDEX(Avulsos!$E$6:$E$205,$C852)&amp;""))</f>
        <v/>
      </c>
      <c r="K852" s="114" t="str">
        <f aca="false">IF($E852="","",IF(IF($B852="Tema",INDEX(Temas!$E$6:$P$305,$C852,2*$D852),INDEX(Avulsos!$F$6:$F$205,$C852))&amp;""="","","✓"))</f>
        <v/>
      </c>
      <c r="L852" s="114" t="str">
        <f aca="true">IF($E852="","",IF($K852="✓","Concluído",IF($E852&lt;TODAY(),"Atrasado",IF($E852=TODAY(),"Hoje","Pendente"))))</f>
        <v/>
      </c>
      <c r="M852" s="114" t="str">
        <f aca="false">IF($E852="","",IF($K852="✓","✓ ","")&amp;IF(Config!$E$22="Sim",$H852&amp;" · ","")&amp;$F852)</f>
        <v/>
      </c>
      <c r="N852" s="114" t="str">
        <f aca="false">IF($E852="","",IFERROR(INDEX(Config!$D$15:$D$19,MATCH($I852,Config!$C$15:$C$19,0)),"OUT")&amp;IF($K852="✓","x",""))</f>
        <v/>
      </c>
      <c r="O852" s="114" t="str">
        <f aca="false">IF($E852="","",COUNTIF($E$5:$E852,$E852))</f>
        <v/>
      </c>
      <c r="P852" s="114" t="str">
        <f aca="false">IF($E852="","",$E852*100+$O852)</f>
        <v/>
      </c>
      <c r="Q852" s="114" t="str">
        <f aca="false">IF($L852="Atrasado",$E852*10000+$A852,"")</f>
        <v/>
      </c>
    </row>
    <row r="853" customFormat="false" ht="15" hidden="false" customHeight="false" outlineLevel="0" collapsed="false">
      <c r="A853" s="114" t="n">
        <f aca="false">ROW()-4</f>
        <v>849</v>
      </c>
      <c r="B853" s="114" t="str">
        <f aca="false">IF(A853&lt;=Config!$E$27*Config!$E$28,"Tema","Avulso")</f>
        <v>Tema</v>
      </c>
      <c r="C853" s="114" t="n">
        <f aca="false">IF(B853="Tema",INT((A853-1)/Config!$E$28)+1,A853-Config!$E$27*Config!$E$28)</f>
        <v>142</v>
      </c>
      <c r="D853" s="114" t="n">
        <f aca="false">IF(B853="Tema",MOD(A853-1,Config!$E$28)+1,"")</f>
        <v>3</v>
      </c>
      <c r="E853" s="115" t="str">
        <f aca="false">IF($B853="Tema",IF(ISNUMBER(INDEX(Temas!$E$6:$P$305,$C853,2*$D853-1)),INDEX(Temas!$E$6:$P$305,$C853,2*$D853-1),""),IF(ISNUMBER(INDEX(Avulsos!$B$6:$B$205,$C853)),INDEX(Avulsos!$B$6:$B$205,$C853),""))</f>
        <v/>
      </c>
      <c r="F853" s="114" t="str">
        <f aca="false">IF($E853="","",IF($B853="Tema",INDEX(Temas!$B$6:$B$305,$C853)&amp;"",INDEX(Avulsos!$C$6:$C$205,$C853)&amp;""))</f>
        <v/>
      </c>
      <c r="G853" s="114" t="str">
        <f aca="false">IF($E853="","",IF($B853="Tema",INDEX(Config!$C$6:$C$11,$D853),"Evento avulso"))</f>
        <v/>
      </c>
      <c r="H853" s="114" t="str">
        <f aca="false">IF($E853="","",IF($B853="Tema",INDEX(Config!$D$6:$D$11,$D853),IFERROR(INDEX(Config!$E$15:$E$19,MATCH($I853,Config!$C$15:$C$19,0)),"•")))</f>
        <v/>
      </c>
      <c r="I853" s="114" t="str">
        <f aca="false">IF($E853="","",IF($B853="Tema",INDEX(Config!$E$6:$E$11,$D853),IF(INDEX(Avulsos!$D$6:$D$205,$C853)&amp;""="","Outro",INDEX(Avulsos!$D$6:$D$205,$C853))))</f>
        <v/>
      </c>
      <c r="J853" s="114" t="str">
        <f aca="false">IF($E853="","",IF($B853="Tema",INDEX(Temas!$C$6:$C$305,$C853)&amp;"",INDEX(Avulsos!$E$6:$E$205,$C853)&amp;""))</f>
        <v/>
      </c>
      <c r="K853" s="114" t="str">
        <f aca="false">IF($E853="","",IF(IF($B853="Tema",INDEX(Temas!$E$6:$P$305,$C853,2*$D853),INDEX(Avulsos!$F$6:$F$205,$C853))&amp;""="","","✓"))</f>
        <v/>
      </c>
      <c r="L853" s="114" t="str">
        <f aca="true">IF($E853="","",IF($K853="✓","Concluído",IF($E853&lt;TODAY(),"Atrasado",IF($E853=TODAY(),"Hoje","Pendente"))))</f>
        <v/>
      </c>
      <c r="M853" s="114" t="str">
        <f aca="false">IF($E853="","",IF($K853="✓","✓ ","")&amp;IF(Config!$E$22="Sim",$H853&amp;" · ","")&amp;$F853)</f>
        <v/>
      </c>
      <c r="N853" s="114" t="str">
        <f aca="false">IF($E853="","",IFERROR(INDEX(Config!$D$15:$D$19,MATCH($I853,Config!$C$15:$C$19,0)),"OUT")&amp;IF($K853="✓","x",""))</f>
        <v/>
      </c>
      <c r="O853" s="114" t="str">
        <f aca="false">IF($E853="","",COUNTIF($E$5:$E853,$E853))</f>
        <v/>
      </c>
      <c r="P853" s="114" t="str">
        <f aca="false">IF($E853="","",$E853*100+$O853)</f>
        <v/>
      </c>
      <c r="Q853" s="114" t="str">
        <f aca="false">IF($L853="Atrasado",$E853*10000+$A853,"")</f>
        <v/>
      </c>
    </row>
    <row r="854" customFormat="false" ht="15" hidden="false" customHeight="false" outlineLevel="0" collapsed="false">
      <c r="A854" s="114" t="n">
        <f aca="false">ROW()-4</f>
        <v>850</v>
      </c>
      <c r="B854" s="114" t="str">
        <f aca="false">IF(A854&lt;=Config!$E$27*Config!$E$28,"Tema","Avulso")</f>
        <v>Tema</v>
      </c>
      <c r="C854" s="114" t="n">
        <f aca="false">IF(B854="Tema",INT((A854-1)/Config!$E$28)+1,A854-Config!$E$27*Config!$E$28)</f>
        <v>142</v>
      </c>
      <c r="D854" s="114" t="n">
        <f aca="false">IF(B854="Tema",MOD(A854-1,Config!$E$28)+1,"")</f>
        <v>4</v>
      </c>
      <c r="E854" s="115" t="str">
        <f aca="false">IF($B854="Tema",IF(ISNUMBER(INDEX(Temas!$E$6:$P$305,$C854,2*$D854-1)),INDEX(Temas!$E$6:$P$305,$C854,2*$D854-1),""),IF(ISNUMBER(INDEX(Avulsos!$B$6:$B$205,$C854)),INDEX(Avulsos!$B$6:$B$205,$C854),""))</f>
        <v/>
      </c>
      <c r="F854" s="114" t="str">
        <f aca="false">IF($E854="","",IF($B854="Tema",INDEX(Temas!$B$6:$B$305,$C854)&amp;"",INDEX(Avulsos!$C$6:$C$205,$C854)&amp;""))</f>
        <v/>
      </c>
      <c r="G854" s="114" t="str">
        <f aca="false">IF($E854="","",IF($B854="Tema",INDEX(Config!$C$6:$C$11,$D854),"Evento avulso"))</f>
        <v/>
      </c>
      <c r="H854" s="114" t="str">
        <f aca="false">IF($E854="","",IF($B854="Tema",INDEX(Config!$D$6:$D$11,$D854),IFERROR(INDEX(Config!$E$15:$E$19,MATCH($I854,Config!$C$15:$C$19,0)),"•")))</f>
        <v/>
      </c>
      <c r="I854" s="114" t="str">
        <f aca="false">IF($E854="","",IF($B854="Tema",INDEX(Config!$E$6:$E$11,$D854),IF(INDEX(Avulsos!$D$6:$D$205,$C854)&amp;""="","Outro",INDEX(Avulsos!$D$6:$D$205,$C854))))</f>
        <v/>
      </c>
      <c r="J854" s="114" t="str">
        <f aca="false">IF($E854="","",IF($B854="Tema",INDEX(Temas!$C$6:$C$305,$C854)&amp;"",INDEX(Avulsos!$E$6:$E$205,$C854)&amp;""))</f>
        <v/>
      </c>
      <c r="K854" s="114" t="str">
        <f aca="false">IF($E854="","",IF(IF($B854="Tema",INDEX(Temas!$E$6:$P$305,$C854,2*$D854),INDEX(Avulsos!$F$6:$F$205,$C854))&amp;""="","","✓"))</f>
        <v/>
      </c>
      <c r="L854" s="114" t="str">
        <f aca="true">IF($E854="","",IF($K854="✓","Concluído",IF($E854&lt;TODAY(),"Atrasado",IF($E854=TODAY(),"Hoje","Pendente"))))</f>
        <v/>
      </c>
      <c r="M854" s="114" t="str">
        <f aca="false">IF($E854="","",IF($K854="✓","✓ ","")&amp;IF(Config!$E$22="Sim",$H854&amp;" · ","")&amp;$F854)</f>
        <v/>
      </c>
      <c r="N854" s="114" t="str">
        <f aca="false">IF($E854="","",IFERROR(INDEX(Config!$D$15:$D$19,MATCH($I854,Config!$C$15:$C$19,0)),"OUT")&amp;IF($K854="✓","x",""))</f>
        <v/>
      </c>
      <c r="O854" s="114" t="str">
        <f aca="false">IF($E854="","",COUNTIF($E$5:$E854,$E854))</f>
        <v/>
      </c>
      <c r="P854" s="114" t="str">
        <f aca="false">IF($E854="","",$E854*100+$O854)</f>
        <v/>
      </c>
      <c r="Q854" s="114" t="str">
        <f aca="false">IF($L854="Atrasado",$E854*10000+$A854,"")</f>
        <v/>
      </c>
    </row>
    <row r="855" customFormat="false" ht="15" hidden="false" customHeight="false" outlineLevel="0" collapsed="false">
      <c r="A855" s="114" t="n">
        <f aca="false">ROW()-4</f>
        <v>851</v>
      </c>
      <c r="B855" s="114" t="str">
        <f aca="false">IF(A855&lt;=Config!$E$27*Config!$E$28,"Tema","Avulso")</f>
        <v>Tema</v>
      </c>
      <c r="C855" s="114" t="n">
        <f aca="false">IF(B855="Tema",INT((A855-1)/Config!$E$28)+1,A855-Config!$E$27*Config!$E$28)</f>
        <v>142</v>
      </c>
      <c r="D855" s="114" t="n">
        <f aca="false">IF(B855="Tema",MOD(A855-1,Config!$E$28)+1,"")</f>
        <v>5</v>
      </c>
      <c r="E855" s="115" t="str">
        <f aca="false">IF($B855="Tema",IF(ISNUMBER(INDEX(Temas!$E$6:$P$305,$C855,2*$D855-1)),INDEX(Temas!$E$6:$P$305,$C855,2*$D855-1),""),IF(ISNUMBER(INDEX(Avulsos!$B$6:$B$205,$C855)),INDEX(Avulsos!$B$6:$B$205,$C855),""))</f>
        <v/>
      </c>
      <c r="F855" s="114" t="str">
        <f aca="false">IF($E855="","",IF($B855="Tema",INDEX(Temas!$B$6:$B$305,$C855)&amp;"",INDEX(Avulsos!$C$6:$C$205,$C855)&amp;""))</f>
        <v/>
      </c>
      <c r="G855" s="114" t="str">
        <f aca="false">IF($E855="","",IF($B855="Tema",INDEX(Config!$C$6:$C$11,$D855),"Evento avulso"))</f>
        <v/>
      </c>
      <c r="H855" s="114" t="str">
        <f aca="false">IF($E855="","",IF($B855="Tema",INDEX(Config!$D$6:$D$11,$D855),IFERROR(INDEX(Config!$E$15:$E$19,MATCH($I855,Config!$C$15:$C$19,0)),"•")))</f>
        <v/>
      </c>
      <c r="I855" s="114" t="str">
        <f aca="false">IF($E855="","",IF($B855="Tema",INDEX(Config!$E$6:$E$11,$D855),IF(INDEX(Avulsos!$D$6:$D$205,$C855)&amp;""="","Outro",INDEX(Avulsos!$D$6:$D$205,$C855))))</f>
        <v/>
      </c>
      <c r="J855" s="114" t="str">
        <f aca="false">IF($E855="","",IF($B855="Tema",INDEX(Temas!$C$6:$C$305,$C855)&amp;"",INDEX(Avulsos!$E$6:$E$205,$C855)&amp;""))</f>
        <v/>
      </c>
      <c r="K855" s="114" t="str">
        <f aca="false">IF($E855="","",IF(IF($B855="Tema",INDEX(Temas!$E$6:$P$305,$C855,2*$D855),INDEX(Avulsos!$F$6:$F$205,$C855))&amp;""="","","✓"))</f>
        <v/>
      </c>
      <c r="L855" s="114" t="str">
        <f aca="true">IF($E855="","",IF($K855="✓","Concluído",IF($E855&lt;TODAY(),"Atrasado",IF($E855=TODAY(),"Hoje","Pendente"))))</f>
        <v/>
      </c>
      <c r="M855" s="114" t="str">
        <f aca="false">IF($E855="","",IF($K855="✓","✓ ","")&amp;IF(Config!$E$22="Sim",$H855&amp;" · ","")&amp;$F855)</f>
        <v/>
      </c>
      <c r="N855" s="114" t="str">
        <f aca="false">IF($E855="","",IFERROR(INDEX(Config!$D$15:$D$19,MATCH($I855,Config!$C$15:$C$19,0)),"OUT")&amp;IF($K855="✓","x",""))</f>
        <v/>
      </c>
      <c r="O855" s="114" t="str">
        <f aca="false">IF($E855="","",COUNTIF($E$5:$E855,$E855))</f>
        <v/>
      </c>
      <c r="P855" s="114" t="str">
        <f aca="false">IF($E855="","",$E855*100+$O855)</f>
        <v/>
      </c>
      <c r="Q855" s="114" t="str">
        <f aca="false">IF($L855="Atrasado",$E855*10000+$A855,"")</f>
        <v/>
      </c>
    </row>
    <row r="856" customFormat="false" ht="15" hidden="false" customHeight="false" outlineLevel="0" collapsed="false">
      <c r="A856" s="114" t="n">
        <f aca="false">ROW()-4</f>
        <v>852</v>
      </c>
      <c r="B856" s="114" t="str">
        <f aca="false">IF(A856&lt;=Config!$E$27*Config!$E$28,"Tema","Avulso")</f>
        <v>Tema</v>
      </c>
      <c r="C856" s="114" t="n">
        <f aca="false">IF(B856="Tema",INT((A856-1)/Config!$E$28)+1,A856-Config!$E$27*Config!$E$28)</f>
        <v>142</v>
      </c>
      <c r="D856" s="114" t="n">
        <f aca="false">IF(B856="Tema",MOD(A856-1,Config!$E$28)+1,"")</f>
        <v>6</v>
      </c>
      <c r="E856" s="115" t="str">
        <f aca="false">IF($B856="Tema",IF(ISNUMBER(INDEX(Temas!$E$6:$P$305,$C856,2*$D856-1)),INDEX(Temas!$E$6:$P$305,$C856,2*$D856-1),""),IF(ISNUMBER(INDEX(Avulsos!$B$6:$B$205,$C856)),INDEX(Avulsos!$B$6:$B$205,$C856),""))</f>
        <v/>
      </c>
      <c r="F856" s="114" t="str">
        <f aca="false">IF($E856="","",IF($B856="Tema",INDEX(Temas!$B$6:$B$305,$C856)&amp;"",INDEX(Avulsos!$C$6:$C$205,$C856)&amp;""))</f>
        <v/>
      </c>
      <c r="G856" s="114" t="str">
        <f aca="false">IF($E856="","",IF($B856="Tema",INDEX(Config!$C$6:$C$11,$D856),"Evento avulso"))</f>
        <v/>
      </c>
      <c r="H856" s="114" t="str">
        <f aca="false">IF($E856="","",IF($B856="Tema",INDEX(Config!$D$6:$D$11,$D856),IFERROR(INDEX(Config!$E$15:$E$19,MATCH($I856,Config!$C$15:$C$19,0)),"•")))</f>
        <v/>
      </c>
      <c r="I856" s="114" t="str">
        <f aca="false">IF($E856="","",IF($B856="Tema",INDEX(Config!$E$6:$E$11,$D856),IF(INDEX(Avulsos!$D$6:$D$205,$C856)&amp;""="","Outro",INDEX(Avulsos!$D$6:$D$205,$C856))))</f>
        <v/>
      </c>
      <c r="J856" s="114" t="str">
        <f aca="false">IF($E856="","",IF($B856="Tema",INDEX(Temas!$C$6:$C$305,$C856)&amp;"",INDEX(Avulsos!$E$6:$E$205,$C856)&amp;""))</f>
        <v/>
      </c>
      <c r="K856" s="114" t="str">
        <f aca="false">IF($E856="","",IF(IF($B856="Tema",INDEX(Temas!$E$6:$P$305,$C856,2*$D856),INDEX(Avulsos!$F$6:$F$205,$C856))&amp;""="","","✓"))</f>
        <v/>
      </c>
      <c r="L856" s="114" t="str">
        <f aca="true">IF($E856="","",IF($K856="✓","Concluído",IF($E856&lt;TODAY(),"Atrasado",IF($E856=TODAY(),"Hoje","Pendente"))))</f>
        <v/>
      </c>
      <c r="M856" s="114" t="str">
        <f aca="false">IF($E856="","",IF($K856="✓","✓ ","")&amp;IF(Config!$E$22="Sim",$H856&amp;" · ","")&amp;$F856)</f>
        <v/>
      </c>
      <c r="N856" s="114" t="str">
        <f aca="false">IF($E856="","",IFERROR(INDEX(Config!$D$15:$D$19,MATCH($I856,Config!$C$15:$C$19,0)),"OUT")&amp;IF($K856="✓","x",""))</f>
        <v/>
      </c>
      <c r="O856" s="114" t="str">
        <f aca="false">IF($E856="","",COUNTIF($E$5:$E856,$E856))</f>
        <v/>
      </c>
      <c r="P856" s="114" t="str">
        <f aca="false">IF($E856="","",$E856*100+$O856)</f>
        <v/>
      </c>
      <c r="Q856" s="114" t="str">
        <f aca="false">IF($L856="Atrasado",$E856*10000+$A856,"")</f>
        <v/>
      </c>
    </row>
    <row r="857" customFormat="false" ht="15" hidden="false" customHeight="false" outlineLevel="0" collapsed="false">
      <c r="A857" s="114" t="n">
        <f aca="false">ROW()-4</f>
        <v>853</v>
      </c>
      <c r="B857" s="114" t="str">
        <f aca="false">IF(A857&lt;=Config!$E$27*Config!$E$28,"Tema","Avulso")</f>
        <v>Tema</v>
      </c>
      <c r="C857" s="114" t="n">
        <f aca="false">IF(B857="Tema",INT((A857-1)/Config!$E$28)+1,A857-Config!$E$27*Config!$E$28)</f>
        <v>143</v>
      </c>
      <c r="D857" s="114" t="n">
        <f aca="false">IF(B857="Tema",MOD(A857-1,Config!$E$28)+1,"")</f>
        <v>1</v>
      </c>
      <c r="E857" s="115" t="str">
        <f aca="false">IF($B857="Tema",IF(ISNUMBER(INDEX(Temas!$E$6:$P$305,$C857,2*$D857-1)),INDEX(Temas!$E$6:$P$305,$C857,2*$D857-1),""),IF(ISNUMBER(INDEX(Avulsos!$B$6:$B$205,$C857)),INDEX(Avulsos!$B$6:$B$205,$C857),""))</f>
        <v/>
      </c>
      <c r="F857" s="114" t="str">
        <f aca="false">IF($E857="","",IF($B857="Tema",INDEX(Temas!$B$6:$B$305,$C857)&amp;"",INDEX(Avulsos!$C$6:$C$205,$C857)&amp;""))</f>
        <v/>
      </c>
      <c r="G857" s="114" t="str">
        <f aca="false">IF($E857="","",IF($B857="Tema",INDEX(Config!$C$6:$C$11,$D857),"Evento avulso"))</f>
        <v/>
      </c>
      <c r="H857" s="114" t="str">
        <f aca="false">IF($E857="","",IF($B857="Tema",INDEX(Config!$D$6:$D$11,$D857),IFERROR(INDEX(Config!$E$15:$E$19,MATCH($I857,Config!$C$15:$C$19,0)),"•")))</f>
        <v/>
      </c>
      <c r="I857" s="114" t="str">
        <f aca="false">IF($E857="","",IF($B857="Tema",INDEX(Config!$E$6:$E$11,$D857),IF(INDEX(Avulsos!$D$6:$D$205,$C857)&amp;""="","Outro",INDEX(Avulsos!$D$6:$D$205,$C857))))</f>
        <v/>
      </c>
      <c r="J857" s="114" t="str">
        <f aca="false">IF($E857="","",IF($B857="Tema",INDEX(Temas!$C$6:$C$305,$C857)&amp;"",INDEX(Avulsos!$E$6:$E$205,$C857)&amp;""))</f>
        <v/>
      </c>
      <c r="K857" s="114" t="str">
        <f aca="false">IF($E857="","",IF(IF($B857="Tema",INDEX(Temas!$E$6:$P$305,$C857,2*$D857),INDEX(Avulsos!$F$6:$F$205,$C857))&amp;""="","","✓"))</f>
        <v/>
      </c>
      <c r="L857" s="114" t="str">
        <f aca="true">IF($E857="","",IF($K857="✓","Concluído",IF($E857&lt;TODAY(),"Atrasado",IF($E857=TODAY(),"Hoje","Pendente"))))</f>
        <v/>
      </c>
      <c r="M857" s="114" t="str">
        <f aca="false">IF($E857="","",IF($K857="✓","✓ ","")&amp;IF(Config!$E$22="Sim",$H857&amp;" · ","")&amp;$F857)</f>
        <v/>
      </c>
      <c r="N857" s="114" t="str">
        <f aca="false">IF($E857="","",IFERROR(INDEX(Config!$D$15:$D$19,MATCH($I857,Config!$C$15:$C$19,0)),"OUT")&amp;IF($K857="✓","x",""))</f>
        <v/>
      </c>
      <c r="O857" s="114" t="str">
        <f aca="false">IF($E857="","",COUNTIF($E$5:$E857,$E857))</f>
        <v/>
      </c>
      <c r="P857" s="114" t="str">
        <f aca="false">IF($E857="","",$E857*100+$O857)</f>
        <v/>
      </c>
      <c r="Q857" s="114" t="str">
        <f aca="false">IF($L857="Atrasado",$E857*10000+$A857,"")</f>
        <v/>
      </c>
    </row>
    <row r="858" customFormat="false" ht="15" hidden="false" customHeight="false" outlineLevel="0" collapsed="false">
      <c r="A858" s="114" t="n">
        <f aca="false">ROW()-4</f>
        <v>854</v>
      </c>
      <c r="B858" s="114" t="str">
        <f aca="false">IF(A858&lt;=Config!$E$27*Config!$E$28,"Tema","Avulso")</f>
        <v>Tema</v>
      </c>
      <c r="C858" s="114" t="n">
        <f aca="false">IF(B858="Tema",INT((A858-1)/Config!$E$28)+1,A858-Config!$E$27*Config!$E$28)</f>
        <v>143</v>
      </c>
      <c r="D858" s="114" t="n">
        <f aca="false">IF(B858="Tema",MOD(A858-1,Config!$E$28)+1,"")</f>
        <v>2</v>
      </c>
      <c r="E858" s="115" t="str">
        <f aca="false">IF($B858="Tema",IF(ISNUMBER(INDEX(Temas!$E$6:$P$305,$C858,2*$D858-1)),INDEX(Temas!$E$6:$P$305,$C858,2*$D858-1),""),IF(ISNUMBER(INDEX(Avulsos!$B$6:$B$205,$C858)),INDEX(Avulsos!$B$6:$B$205,$C858),""))</f>
        <v/>
      </c>
      <c r="F858" s="114" t="str">
        <f aca="false">IF($E858="","",IF($B858="Tema",INDEX(Temas!$B$6:$B$305,$C858)&amp;"",INDEX(Avulsos!$C$6:$C$205,$C858)&amp;""))</f>
        <v/>
      </c>
      <c r="G858" s="114" t="str">
        <f aca="false">IF($E858="","",IF($B858="Tema",INDEX(Config!$C$6:$C$11,$D858),"Evento avulso"))</f>
        <v/>
      </c>
      <c r="H858" s="114" t="str">
        <f aca="false">IF($E858="","",IF($B858="Tema",INDEX(Config!$D$6:$D$11,$D858),IFERROR(INDEX(Config!$E$15:$E$19,MATCH($I858,Config!$C$15:$C$19,0)),"•")))</f>
        <v/>
      </c>
      <c r="I858" s="114" t="str">
        <f aca="false">IF($E858="","",IF($B858="Tema",INDEX(Config!$E$6:$E$11,$D858),IF(INDEX(Avulsos!$D$6:$D$205,$C858)&amp;""="","Outro",INDEX(Avulsos!$D$6:$D$205,$C858))))</f>
        <v/>
      </c>
      <c r="J858" s="114" t="str">
        <f aca="false">IF($E858="","",IF($B858="Tema",INDEX(Temas!$C$6:$C$305,$C858)&amp;"",INDEX(Avulsos!$E$6:$E$205,$C858)&amp;""))</f>
        <v/>
      </c>
      <c r="K858" s="114" t="str">
        <f aca="false">IF($E858="","",IF(IF($B858="Tema",INDEX(Temas!$E$6:$P$305,$C858,2*$D858),INDEX(Avulsos!$F$6:$F$205,$C858))&amp;""="","","✓"))</f>
        <v/>
      </c>
      <c r="L858" s="114" t="str">
        <f aca="true">IF($E858="","",IF($K858="✓","Concluído",IF($E858&lt;TODAY(),"Atrasado",IF($E858=TODAY(),"Hoje","Pendente"))))</f>
        <v/>
      </c>
      <c r="M858" s="114" t="str">
        <f aca="false">IF($E858="","",IF($K858="✓","✓ ","")&amp;IF(Config!$E$22="Sim",$H858&amp;" · ","")&amp;$F858)</f>
        <v/>
      </c>
      <c r="N858" s="114" t="str">
        <f aca="false">IF($E858="","",IFERROR(INDEX(Config!$D$15:$D$19,MATCH($I858,Config!$C$15:$C$19,0)),"OUT")&amp;IF($K858="✓","x",""))</f>
        <v/>
      </c>
      <c r="O858" s="114" t="str">
        <f aca="false">IF($E858="","",COUNTIF($E$5:$E858,$E858))</f>
        <v/>
      </c>
      <c r="P858" s="114" t="str">
        <f aca="false">IF($E858="","",$E858*100+$O858)</f>
        <v/>
      </c>
      <c r="Q858" s="114" t="str">
        <f aca="false">IF($L858="Atrasado",$E858*10000+$A858,"")</f>
        <v/>
      </c>
    </row>
    <row r="859" customFormat="false" ht="15" hidden="false" customHeight="false" outlineLevel="0" collapsed="false">
      <c r="A859" s="114" t="n">
        <f aca="false">ROW()-4</f>
        <v>855</v>
      </c>
      <c r="B859" s="114" t="str">
        <f aca="false">IF(A859&lt;=Config!$E$27*Config!$E$28,"Tema","Avulso")</f>
        <v>Tema</v>
      </c>
      <c r="C859" s="114" t="n">
        <f aca="false">IF(B859="Tema",INT((A859-1)/Config!$E$28)+1,A859-Config!$E$27*Config!$E$28)</f>
        <v>143</v>
      </c>
      <c r="D859" s="114" t="n">
        <f aca="false">IF(B859="Tema",MOD(A859-1,Config!$E$28)+1,"")</f>
        <v>3</v>
      </c>
      <c r="E859" s="115" t="str">
        <f aca="false">IF($B859="Tema",IF(ISNUMBER(INDEX(Temas!$E$6:$P$305,$C859,2*$D859-1)),INDEX(Temas!$E$6:$P$305,$C859,2*$D859-1),""),IF(ISNUMBER(INDEX(Avulsos!$B$6:$B$205,$C859)),INDEX(Avulsos!$B$6:$B$205,$C859),""))</f>
        <v/>
      </c>
      <c r="F859" s="114" t="str">
        <f aca="false">IF($E859="","",IF($B859="Tema",INDEX(Temas!$B$6:$B$305,$C859)&amp;"",INDEX(Avulsos!$C$6:$C$205,$C859)&amp;""))</f>
        <v/>
      </c>
      <c r="G859" s="114" t="str">
        <f aca="false">IF($E859="","",IF($B859="Tema",INDEX(Config!$C$6:$C$11,$D859),"Evento avulso"))</f>
        <v/>
      </c>
      <c r="H859" s="114" t="str">
        <f aca="false">IF($E859="","",IF($B859="Tema",INDEX(Config!$D$6:$D$11,$D859),IFERROR(INDEX(Config!$E$15:$E$19,MATCH($I859,Config!$C$15:$C$19,0)),"•")))</f>
        <v/>
      </c>
      <c r="I859" s="114" t="str">
        <f aca="false">IF($E859="","",IF($B859="Tema",INDEX(Config!$E$6:$E$11,$D859),IF(INDEX(Avulsos!$D$6:$D$205,$C859)&amp;""="","Outro",INDEX(Avulsos!$D$6:$D$205,$C859))))</f>
        <v/>
      </c>
      <c r="J859" s="114" t="str">
        <f aca="false">IF($E859="","",IF($B859="Tema",INDEX(Temas!$C$6:$C$305,$C859)&amp;"",INDEX(Avulsos!$E$6:$E$205,$C859)&amp;""))</f>
        <v/>
      </c>
      <c r="K859" s="114" t="str">
        <f aca="false">IF($E859="","",IF(IF($B859="Tema",INDEX(Temas!$E$6:$P$305,$C859,2*$D859),INDEX(Avulsos!$F$6:$F$205,$C859))&amp;""="","","✓"))</f>
        <v/>
      </c>
      <c r="L859" s="114" t="str">
        <f aca="true">IF($E859="","",IF($K859="✓","Concluído",IF($E859&lt;TODAY(),"Atrasado",IF($E859=TODAY(),"Hoje","Pendente"))))</f>
        <v/>
      </c>
      <c r="M859" s="114" t="str">
        <f aca="false">IF($E859="","",IF($K859="✓","✓ ","")&amp;IF(Config!$E$22="Sim",$H859&amp;" · ","")&amp;$F859)</f>
        <v/>
      </c>
      <c r="N859" s="114" t="str">
        <f aca="false">IF($E859="","",IFERROR(INDEX(Config!$D$15:$D$19,MATCH($I859,Config!$C$15:$C$19,0)),"OUT")&amp;IF($K859="✓","x",""))</f>
        <v/>
      </c>
      <c r="O859" s="114" t="str">
        <f aca="false">IF($E859="","",COUNTIF($E$5:$E859,$E859))</f>
        <v/>
      </c>
      <c r="P859" s="114" t="str">
        <f aca="false">IF($E859="","",$E859*100+$O859)</f>
        <v/>
      </c>
      <c r="Q859" s="114" t="str">
        <f aca="false">IF($L859="Atrasado",$E859*10000+$A859,"")</f>
        <v/>
      </c>
    </row>
    <row r="860" customFormat="false" ht="15" hidden="false" customHeight="false" outlineLevel="0" collapsed="false">
      <c r="A860" s="114" t="n">
        <f aca="false">ROW()-4</f>
        <v>856</v>
      </c>
      <c r="B860" s="114" t="str">
        <f aca="false">IF(A860&lt;=Config!$E$27*Config!$E$28,"Tema","Avulso")</f>
        <v>Tema</v>
      </c>
      <c r="C860" s="114" t="n">
        <f aca="false">IF(B860="Tema",INT((A860-1)/Config!$E$28)+1,A860-Config!$E$27*Config!$E$28)</f>
        <v>143</v>
      </c>
      <c r="D860" s="114" t="n">
        <f aca="false">IF(B860="Tema",MOD(A860-1,Config!$E$28)+1,"")</f>
        <v>4</v>
      </c>
      <c r="E860" s="115" t="str">
        <f aca="false">IF($B860="Tema",IF(ISNUMBER(INDEX(Temas!$E$6:$P$305,$C860,2*$D860-1)),INDEX(Temas!$E$6:$P$305,$C860,2*$D860-1),""),IF(ISNUMBER(INDEX(Avulsos!$B$6:$B$205,$C860)),INDEX(Avulsos!$B$6:$B$205,$C860),""))</f>
        <v/>
      </c>
      <c r="F860" s="114" t="str">
        <f aca="false">IF($E860="","",IF($B860="Tema",INDEX(Temas!$B$6:$B$305,$C860)&amp;"",INDEX(Avulsos!$C$6:$C$205,$C860)&amp;""))</f>
        <v/>
      </c>
      <c r="G860" s="114" t="str">
        <f aca="false">IF($E860="","",IF($B860="Tema",INDEX(Config!$C$6:$C$11,$D860),"Evento avulso"))</f>
        <v/>
      </c>
      <c r="H860" s="114" t="str">
        <f aca="false">IF($E860="","",IF($B860="Tema",INDEX(Config!$D$6:$D$11,$D860),IFERROR(INDEX(Config!$E$15:$E$19,MATCH($I860,Config!$C$15:$C$19,0)),"•")))</f>
        <v/>
      </c>
      <c r="I860" s="114" t="str">
        <f aca="false">IF($E860="","",IF($B860="Tema",INDEX(Config!$E$6:$E$11,$D860),IF(INDEX(Avulsos!$D$6:$D$205,$C860)&amp;""="","Outro",INDEX(Avulsos!$D$6:$D$205,$C860))))</f>
        <v/>
      </c>
      <c r="J860" s="114" t="str">
        <f aca="false">IF($E860="","",IF($B860="Tema",INDEX(Temas!$C$6:$C$305,$C860)&amp;"",INDEX(Avulsos!$E$6:$E$205,$C860)&amp;""))</f>
        <v/>
      </c>
      <c r="K860" s="114" t="str">
        <f aca="false">IF($E860="","",IF(IF($B860="Tema",INDEX(Temas!$E$6:$P$305,$C860,2*$D860),INDEX(Avulsos!$F$6:$F$205,$C860))&amp;""="","","✓"))</f>
        <v/>
      </c>
      <c r="L860" s="114" t="str">
        <f aca="true">IF($E860="","",IF($K860="✓","Concluído",IF($E860&lt;TODAY(),"Atrasado",IF($E860=TODAY(),"Hoje","Pendente"))))</f>
        <v/>
      </c>
      <c r="M860" s="114" t="str">
        <f aca="false">IF($E860="","",IF($K860="✓","✓ ","")&amp;IF(Config!$E$22="Sim",$H860&amp;" · ","")&amp;$F860)</f>
        <v/>
      </c>
      <c r="N860" s="114" t="str">
        <f aca="false">IF($E860="","",IFERROR(INDEX(Config!$D$15:$D$19,MATCH($I860,Config!$C$15:$C$19,0)),"OUT")&amp;IF($K860="✓","x",""))</f>
        <v/>
      </c>
      <c r="O860" s="114" t="str">
        <f aca="false">IF($E860="","",COUNTIF($E$5:$E860,$E860))</f>
        <v/>
      </c>
      <c r="P860" s="114" t="str">
        <f aca="false">IF($E860="","",$E860*100+$O860)</f>
        <v/>
      </c>
      <c r="Q860" s="114" t="str">
        <f aca="false">IF($L860="Atrasado",$E860*10000+$A860,"")</f>
        <v/>
      </c>
    </row>
    <row r="861" customFormat="false" ht="15" hidden="false" customHeight="false" outlineLevel="0" collapsed="false">
      <c r="A861" s="114" t="n">
        <f aca="false">ROW()-4</f>
        <v>857</v>
      </c>
      <c r="B861" s="114" t="str">
        <f aca="false">IF(A861&lt;=Config!$E$27*Config!$E$28,"Tema","Avulso")</f>
        <v>Tema</v>
      </c>
      <c r="C861" s="114" t="n">
        <f aca="false">IF(B861="Tema",INT((A861-1)/Config!$E$28)+1,A861-Config!$E$27*Config!$E$28)</f>
        <v>143</v>
      </c>
      <c r="D861" s="114" t="n">
        <f aca="false">IF(B861="Tema",MOD(A861-1,Config!$E$28)+1,"")</f>
        <v>5</v>
      </c>
      <c r="E861" s="115" t="str">
        <f aca="false">IF($B861="Tema",IF(ISNUMBER(INDEX(Temas!$E$6:$P$305,$C861,2*$D861-1)),INDEX(Temas!$E$6:$P$305,$C861,2*$D861-1),""),IF(ISNUMBER(INDEX(Avulsos!$B$6:$B$205,$C861)),INDEX(Avulsos!$B$6:$B$205,$C861),""))</f>
        <v/>
      </c>
      <c r="F861" s="114" t="str">
        <f aca="false">IF($E861="","",IF($B861="Tema",INDEX(Temas!$B$6:$B$305,$C861)&amp;"",INDEX(Avulsos!$C$6:$C$205,$C861)&amp;""))</f>
        <v/>
      </c>
      <c r="G861" s="114" t="str">
        <f aca="false">IF($E861="","",IF($B861="Tema",INDEX(Config!$C$6:$C$11,$D861),"Evento avulso"))</f>
        <v/>
      </c>
      <c r="H861" s="114" t="str">
        <f aca="false">IF($E861="","",IF($B861="Tema",INDEX(Config!$D$6:$D$11,$D861),IFERROR(INDEX(Config!$E$15:$E$19,MATCH($I861,Config!$C$15:$C$19,0)),"•")))</f>
        <v/>
      </c>
      <c r="I861" s="114" t="str">
        <f aca="false">IF($E861="","",IF($B861="Tema",INDEX(Config!$E$6:$E$11,$D861),IF(INDEX(Avulsos!$D$6:$D$205,$C861)&amp;""="","Outro",INDEX(Avulsos!$D$6:$D$205,$C861))))</f>
        <v/>
      </c>
      <c r="J861" s="114" t="str">
        <f aca="false">IF($E861="","",IF($B861="Tema",INDEX(Temas!$C$6:$C$305,$C861)&amp;"",INDEX(Avulsos!$E$6:$E$205,$C861)&amp;""))</f>
        <v/>
      </c>
      <c r="K861" s="114" t="str">
        <f aca="false">IF($E861="","",IF(IF($B861="Tema",INDEX(Temas!$E$6:$P$305,$C861,2*$D861),INDEX(Avulsos!$F$6:$F$205,$C861))&amp;""="","","✓"))</f>
        <v/>
      </c>
      <c r="L861" s="114" t="str">
        <f aca="true">IF($E861="","",IF($K861="✓","Concluído",IF($E861&lt;TODAY(),"Atrasado",IF($E861=TODAY(),"Hoje","Pendente"))))</f>
        <v/>
      </c>
      <c r="M861" s="114" t="str">
        <f aca="false">IF($E861="","",IF($K861="✓","✓ ","")&amp;IF(Config!$E$22="Sim",$H861&amp;" · ","")&amp;$F861)</f>
        <v/>
      </c>
      <c r="N861" s="114" t="str">
        <f aca="false">IF($E861="","",IFERROR(INDEX(Config!$D$15:$D$19,MATCH($I861,Config!$C$15:$C$19,0)),"OUT")&amp;IF($K861="✓","x",""))</f>
        <v/>
      </c>
      <c r="O861" s="114" t="str">
        <f aca="false">IF($E861="","",COUNTIF($E$5:$E861,$E861))</f>
        <v/>
      </c>
      <c r="P861" s="114" t="str">
        <f aca="false">IF($E861="","",$E861*100+$O861)</f>
        <v/>
      </c>
      <c r="Q861" s="114" t="str">
        <f aca="false">IF($L861="Atrasado",$E861*10000+$A861,"")</f>
        <v/>
      </c>
    </row>
    <row r="862" customFormat="false" ht="15" hidden="false" customHeight="false" outlineLevel="0" collapsed="false">
      <c r="A862" s="114" t="n">
        <f aca="false">ROW()-4</f>
        <v>858</v>
      </c>
      <c r="B862" s="114" t="str">
        <f aca="false">IF(A862&lt;=Config!$E$27*Config!$E$28,"Tema","Avulso")</f>
        <v>Tema</v>
      </c>
      <c r="C862" s="114" t="n">
        <f aca="false">IF(B862="Tema",INT((A862-1)/Config!$E$28)+1,A862-Config!$E$27*Config!$E$28)</f>
        <v>143</v>
      </c>
      <c r="D862" s="114" t="n">
        <f aca="false">IF(B862="Tema",MOD(A862-1,Config!$E$28)+1,"")</f>
        <v>6</v>
      </c>
      <c r="E862" s="115" t="str">
        <f aca="false">IF($B862="Tema",IF(ISNUMBER(INDEX(Temas!$E$6:$P$305,$C862,2*$D862-1)),INDEX(Temas!$E$6:$P$305,$C862,2*$D862-1),""),IF(ISNUMBER(INDEX(Avulsos!$B$6:$B$205,$C862)),INDEX(Avulsos!$B$6:$B$205,$C862),""))</f>
        <v/>
      </c>
      <c r="F862" s="114" t="str">
        <f aca="false">IF($E862="","",IF($B862="Tema",INDEX(Temas!$B$6:$B$305,$C862)&amp;"",INDEX(Avulsos!$C$6:$C$205,$C862)&amp;""))</f>
        <v/>
      </c>
      <c r="G862" s="114" t="str">
        <f aca="false">IF($E862="","",IF($B862="Tema",INDEX(Config!$C$6:$C$11,$D862),"Evento avulso"))</f>
        <v/>
      </c>
      <c r="H862" s="114" t="str">
        <f aca="false">IF($E862="","",IF($B862="Tema",INDEX(Config!$D$6:$D$11,$D862),IFERROR(INDEX(Config!$E$15:$E$19,MATCH($I862,Config!$C$15:$C$19,0)),"•")))</f>
        <v/>
      </c>
      <c r="I862" s="114" t="str">
        <f aca="false">IF($E862="","",IF($B862="Tema",INDEX(Config!$E$6:$E$11,$D862),IF(INDEX(Avulsos!$D$6:$D$205,$C862)&amp;""="","Outro",INDEX(Avulsos!$D$6:$D$205,$C862))))</f>
        <v/>
      </c>
      <c r="J862" s="114" t="str">
        <f aca="false">IF($E862="","",IF($B862="Tema",INDEX(Temas!$C$6:$C$305,$C862)&amp;"",INDEX(Avulsos!$E$6:$E$205,$C862)&amp;""))</f>
        <v/>
      </c>
      <c r="K862" s="114" t="str">
        <f aca="false">IF($E862="","",IF(IF($B862="Tema",INDEX(Temas!$E$6:$P$305,$C862,2*$D862),INDEX(Avulsos!$F$6:$F$205,$C862))&amp;""="","","✓"))</f>
        <v/>
      </c>
      <c r="L862" s="114" t="str">
        <f aca="true">IF($E862="","",IF($K862="✓","Concluído",IF($E862&lt;TODAY(),"Atrasado",IF($E862=TODAY(),"Hoje","Pendente"))))</f>
        <v/>
      </c>
      <c r="M862" s="114" t="str">
        <f aca="false">IF($E862="","",IF($K862="✓","✓ ","")&amp;IF(Config!$E$22="Sim",$H862&amp;" · ","")&amp;$F862)</f>
        <v/>
      </c>
      <c r="N862" s="114" t="str">
        <f aca="false">IF($E862="","",IFERROR(INDEX(Config!$D$15:$D$19,MATCH($I862,Config!$C$15:$C$19,0)),"OUT")&amp;IF($K862="✓","x",""))</f>
        <v/>
      </c>
      <c r="O862" s="114" t="str">
        <f aca="false">IF($E862="","",COUNTIF($E$5:$E862,$E862))</f>
        <v/>
      </c>
      <c r="P862" s="114" t="str">
        <f aca="false">IF($E862="","",$E862*100+$O862)</f>
        <v/>
      </c>
      <c r="Q862" s="114" t="str">
        <f aca="false">IF($L862="Atrasado",$E862*10000+$A862,"")</f>
        <v/>
      </c>
    </row>
    <row r="863" customFormat="false" ht="15" hidden="false" customHeight="false" outlineLevel="0" collapsed="false">
      <c r="A863" s="114" t="n">
        <f aca="false">ROW()-4</f>
        <v>859</v>
      </c>
      <c r="B863" s="114" t="str">
        <f aca="false">IF(A863&lt;=Config!$E$27*Config!$E$28,"Tema","Avulso")</f>
        <v>Tema</v>
      </c>
      <c r="C863" s="114" t="n">
        <f aca="false">IF(B863="Tema",INT((A863-1)/Config!$E$28)+1,A863-Config!$E$27*Config!$E$28)</f>
        <v>144</v>
      </c>
      <c r="D863" s="114" t="n">
        <f aca="false">IF(B863="Tema",MOD(A863-1,Config!$E$28)+1,"")</f>
        <v>1</v>
      </c>
      <c r="E863" s="115" t="str">
        <f aca="false">IF($B863="Tema",IF(ISNUMBER(INDEX(Temas!$E$6:$P$305,$C863,2*$D863-1)),INDEX(Temas!$E$6:$P$305,$C863,2*$D863-1),""),IF(ISNUMBER(INDEX(Avulsos!$B$6:$B$205,$C863)),INDEX(Avulsos!$B$6:$B$205,$C863),""))</f>
        <v/>
      </c>
      <c r="F863" s="114" t="str">
        <f aca="false">IF($E863="","",IF($B863="Tema",INDEX(Temas!$B$6:$B$305,$C863)&amp;"",INDEX(Avulsos!$C$6:$C$205,$C863)&amp;""))</f>
        <v/>
      </c>
      <c r="G863" s="114" t="str">
        <f aca="false">IF($E863="","",IF($B863="Tema",INDEX(Config!$C$6:$C$11,$D863),"Evento avulso"))</f>
        <v/>
      </c>
      <c r="H863" s="114" t="str">
        <f aca="false">IF($E863="","",IF($B863="Tema",INDEX(Config!$D$6:$D$11,$D863),IFERROR(INDEX(Config!$E$15:$E$19,MATCH($I863,Config!$C$15:$C$19,0)),"•")))</f>
        <v/>
      </c>
      <c r="I863" s="114" t="str">
        <f aca="false">IF($E863="","",IF($B863="Tema",INDEX(Config!$E$6:$E$11,$D863),IF(INDEX(Avulsos!$D$6:$D$205,$C863)&amp;""="","Outro",INDEX(Avulsos!$D$6:$D$205,$C863))))</f>
        <v/>
      </c>
      <c r="J863" s="114" t="str">
        <f aca="false">IF($E863="","",IF($B863="Tema",INDEX(Temas!$C$6:$C$305,$C863)&amp;"",INDEX(Avulsos!$E$6:$E$205,$C863)&amp;""))</f>
        <v/>
      </c>
      <c r="K863" s="114" t="str">
        <f aca="false">IF($E863="","",IF(IF($B863="Tema",INDEX(Temas!$E$6:$P$305,$C863,2*$D863),INDEX(Avulsos!$F$6:$F$205,$C863))&amp;""="","","✓"))</f>
        <v/>
      </c>
      <c r="L863" s="114" t="str">
        <f aca="true">IF($E863="","",IF($K863="✓","Concluído",IF($E863&lt;TODAY(),"Atrasado",IF($E863=TODAY(),"Hoje","Pendente"))))</f>
        <v/>
      </c>
      <c r="M863" s="114" t="str">
        <f aca="false">IF($E863="","",IF($K863="✓","✓ ","")&amp;IF(Config!$E$22="Sim",$H863&amp;" · ","")&amp;$F863)</f>
        <v/>
      </c>
      <c r="N863" s="114" t="str">
        <f aca="false">IF($E863="","",IFERROR(INDEX(Config!$D$15:$D$19,MATCH($I863,Config!$C$15:$C$19,0)),"OUT")&amp;IF($K863="✓","x",""))</f>
        <v/>
      </c>
      <c r="O863" s="114" t="str">
        <f aca="false">IF($E863="","",COUNTIF($E$5:$E863,$E863))</f>
        <v/>
      </c>
      <c r="P863" s="114" t="str">
        <f aca="false">IF($E863="","",$E863*100+$O863)</f>
        <v/>
      </c>
      <c r="Q863" s="114" t="str">
        <f aca="false">IF($L863="Atrasado",$E863*10000+$A863,"")</f>
        <v/>
      </c>
    </row>
    <row r="864" customFormat="false" ht="15" hidden="false" customHeight="false" outlineLevel="0" collapsed="false">
      <c r="A864" s="114" t="n">
        <f aca="false">ROW()-4</f>
        <v>860</v>
      </c>
      <c r="B864" s="114" t="str">
        <f aca="false">IF(A864&lt;=Config!$E$27*Config!$E$28,"Tema","Avulso")</f>
        <v>Tema</v>
      </c>
      <c r="C864" s="114" t="n">
        <f aca="false">IF(B864="Tema",INT((A864-1)/Config!$E$28)+1,A864-Config!$E$27*Config!$E$28)</f>
        <v>144</v>
      </c>
      <c r="D864" s="114" t="n">
        <f aca="false">IF(B864="Tema",MOD(A864-1,Config!$E$28)+1,"")</f>
        <v>2</v>
      </c>
      <c r="E864" s="115" t="str">
        <f aca="false">IF($B864="Tema",IF(ISNUMBER(INDEX(Temas!$E$6:$P$305,$C864,2*$D864-1)),INDEX(Temas!$E$6:$P$305,$C864,2*$D864-1),""),IF(ISNUMBER(INDEX(Avulsos!$B$6:$B$205,$C864)),INDEX(Avulsos!$B$6:$B$205,$C864),""))</f>
        <v/>
      </c>
      <c r="F864" s="114" t="str">
        <f aca="false">IF($E864="","",IF($B864="Tema",INDEX(Temas!$B$6:$B$305,$C864)&amp;"",INDEX(Avulsos!$C$6:$C$205,$C864)&amp;""))</f>
        <v/>
      </c>
      <c r="G864" s="114" t="str">
        <f aca="false">IF($E864="","",IF($B864="Tema",INDEX(Config!$C$6:$C$11,$D864),"Evento avulso"))</f>
        <v/>
      </c>
      <c r="H864" s="114" t="str">
        <f aca="false">IF($E864="","",IF($B864="Tema",INDEX(Config!$D$6:$D$11,$D864),IFERROR(INDEX(Config!$E$15:$E$19,MATCH($I864,Config!$C$15:$C$19,0)),"•")))</f>
        <v/>
      </c>
      <c r="I864" s="114" t="str">
        <f aca="false">IF($E864="","",IF($B864="Tema",INDEX(Config!$E$6:$E$11,$D864),IF(INDEX(Avulsos!$D$6:$D$205,$C864)&amp;""="","Outro",INDEX(Avulsos!$D$6:$D$205,$C864))))</f>
        <v/>
      </c>
      <c r="J864" s="114" t="str">
        <f aca="false">IF($E864="","",IF($B864="Tema",INDEX(Temas!$C$6:$C$305,$C864)&amp;"",INDEX(Avulsos!$E$6:$E$205,$C864)&amp;""))</f>
        <v/>
      </c>
      <c r="K864" s="114" t="str">
        <f aca="false">IF($E864="","",IF(IF($B864="Tema",INDEX(Temas!$E$6:$P$305,$C864,2*$D864),INDEX(Avulsos!$F$6:$F$205,$C864))&amp;""="","","✓"))</f>
        <v/>
      </c>
      <c r="L864" s="114" t="str">
        <f aca="true">IF($E864="","",IF($K864="✓","Concluído",IF($E864&lt;TODAY(),"Atrasado",IF($E864=TODAY(),"Hoje","Pendente"))))</f>
        <v/>
      </c>
      <c r="M864" s="114" t="str">
        <f aca="false">IF($E864="","",IF($K864="✓","✓ ","")&amp;IF(Config!$E$22="Sim",$H864&amp;" · ","")&amp;$F864)</f>
        <v/>
      </c>
      <c r="N864" s="114" t="str">
        <f aca="false">IF($E864="","",IFERROR(INDEX(Config!$D$15:$D$19,MATCH($I864,Config!$C$15:$C$19,0)),"OUT")&amp;IF($K864="✓","x",""))</f>
        <v/>
      </c>
      <c r="O864" s="114" t="str">
        <f aca="false">IF($E864="","",COUNTIF($E$5:$E864,$E864))</f>
        <v/>
      </c>
      <c r="P864" s="114" t="str">
        <f aca="false">IF($E864="","",$E864*100+$O864)</f>
        <v/>
      </c>
      <c r="Q864" s="114" t="str">
        <f aca="false">IF($L864="Atrasado",$E864*10000+$A864,"")</f>
        <v/>
      </c>
    </row>
    <row r="865" customFormat="false" ht="15" hidden="false" customHeight="false" outlineLevel="0" collapsed="false">
      <c r="A865" s="114" t="n">
        <f aca="false">ROW()-4</f>
        <v>861</v>
      </c>
      <c r="B865" s="114" t="str">
        <f aca="false">IF(A865&lt;=Config!$E$27*Config!$E$28,"Tema","Avulso")</f>
        <v>Tema</v>
      </c>
      <c r="C865" s="114" t="n">
        <f aca="false">IF(B865="Tema",INT((A865-1)/Config!$E$28)+1,A865-Config!$E$27*Config!$E$28)</f>
        <v>144</v>
      </c>
      <c r="D865" s="114" t="n">
        <f aca="false">IF(B865="Tema",MOD(A865-1,Config!$E$28)+1,"")</f>
        <v>3</v>
      </c>
      <c r="E865" s="115" t="str">
        <f aca="false">IF($B865="Tema",IF(ISNUMBER(INDEX(Temas!$E$6:$P$305,$C865,2*$D865-1)),INDEX(Temas!$E$6:$P$305,$C865,2*$D865-1),""),IF(ISNUMBER(INDEX(Avulsos!$B$6:$B$205,$C865)),INDEX(Avulsos!$B$6:$B$205,$C865),""))</f>
        <v/>
      </c>
      <c r="F865" s="114" t="str">
        <f aca="false">IF($E865="","",IF($B865="Tema",INDEX(Temas!$B$6:$B$305,$C865)&amp;"",INDEX(Avulsos!$C$6:$C$205,$C865)&amp;""))</f>
        <v/>
      </c>
      <c r="G865" s="114" t="str">
        <f aca="false">IF($E865="","",IF($B865="Tema",INDEX(Config!$C$6:$C$11,$D865),"Evento avulso"))</f>
        <v/>
      </c>
      <c r="H865" s="114" t="str">
        <f aca="false">IF($E865="","",IF($B865="Tema",INDEX(Config!$D$6:$D$11,$D865),IFERROR(INDEX(Config!$E$15:$E$19,MATCH($I865,Config!$C$15:$C$19,0)),"•")))</f>
        <v/>
      </c>
      <c r="I865" s="114" t="str">
        <f aca="false">IF($E865="","",IF($B865="Tema",INDEX(Config!$E$6:$E$11,$D865),IF(INDEX(Avulsos!$D$6:$D$205,$C865)&amp;""="","Outro",INDEX(Avulsos!$D$6:$D$205,$C865))))</f>
        <v/>
      </c>
      <c r="J865" s="114" t="str">
        <f aca="false">IF($E865="","",IF($B865="Tema",INDEX(Temas!$C$6:$C$305,$C865)&amp;"",INDEX(Avulsos!$E$6:$E$205,$C865)&amp;""))</f>
        <v/>
      </c>
      <c r="K865" s="114" t="str">
        <f aca="false">IF($E865="","",IF(IF($B865="Tema",INDEX(Temas!$E$6:$P$305,$C865,2*$D865),INDEX(Avulsos!$F$6:$F$205,$C865))&amp;""="","","✓"))</f>
        <v/>
      </c>
      <c r="L865" s="114" t="str">
        <f aca="true">IF($E865="","",IF($K865="✓","Concluído",IF($E865&lt;TODAY(),"Atrasado",IF($E865=TODAY(),"Hoje","Pendente"))))</f>
        <v/>
      </c>
      <c r="M865" s="114" t="str">
        <f aca="false">IF($E865="","",IF($K865="✓","✓ ","")&amp;IF(Config!$E$22="Sim",$H865&amp;" · ","")&amp;$F865)</f>
        <v/>
      </c>
      <c r="N865" s="114" t="str">
        <f aca="false">IF($E865="","",IFERROR(INDEX(Config!$D$15:$D$19,MATCH($I865,Config!$C$15:$C$19,0)),"OUT")&amp;IF($K865="✓","x",""))</f>
        <v/>
      </c>
      <c r="O865" s="114" t="str">
        <f aca="false">IF($E865="","",COUNTIF($E$5:$E865,$E865))</f>
        <v/>
      </c>
      <c r="P865" s="114" t="str">
        <f aca="false">IF($E865="","",$E865*100+$O865)</f>
        <v/>
      </c>
      <c r="Q865" s="114" t="str">
        <f aca="false">IF($L865="Atrasado",$E865*10000+$A865,"")</f>
        <v/>
      </c>
    </row>
    <row r="866" customFormat="false" ht="15" hidden="false" customHeight="false" outlineLevel="0" collapsed="false">
      <c r="A866" s="114" t="n">
        <f aca="false">ROW()-4</f>
        <v>862</v>
      </c>
      <c r="B866" s="114" t="str">
        <f aca="false">IF(A866&lt;=Config!$E$27*Config!$E$28,"Tema","Avulso")</f>
        <v>Tema</v>
      </c>
      <c r="C866" s="114" t="n">
        <f aca="false">IF(B866="Tema",INT((A866-1)/Config!$E$28)+1,A866-Config!$E$27*Config!$E$28)</f>
        <v>144</v>
      </c>
      <c r="D866" s="114" t="n">
        <f aca="false">IF(B866="Tema",MOD(A866-1,Config!$E$28)+1,"")</f>
        <v>4</v>
      </c>
      <c r="E866" s="115" t="str">
        <f aca="false">IF($B866="Tema",IF(ISNUMBER(INDEX(Temas!$E$6:$P$305,$C866,2*$D866-1)),INDEX(Temas!$E$6:$P$305,$C866,2*$D866-1),""),IF(ISNUMBER(INDEX(Avulsos!$B$6:$B$205,$C866)),INDEX(Avulsos!$B$6:$B$205,$C866),""))</f>
        <v/>
      </c>
      <c r="F866" s="114" t="str">
        <f aca="false">IF($E866="","",IF($B866="Tema",INDEX(Temas!$B$6:$B$305,$C866)&amp;"",INDEX(Avulsos!$C$6:$C$205,$C866)&amp;""))</f>
        <v/>
      </c>
      <c r="G866" s="114" t="str">
        <f aca="false">IF($E866="","",IF($B866="Tema",INDEX(Config!$C$6:$C$11,$D866),"Evento avulso"))</f>
        <v/>
      </c>
      <c r="H866" s="114" t="str">
        <f aca="false">IF($E866="","",IF($B866="Tema",INDEX(Config!$D$6:$D$11,$D866),IFERROR(INDEX(Config!$E$15:$E$19,MATCH($I866,Config!$C$15:$C$19,0)),"•")))</f>
        <v/>
      </c>
      <c r="I866" s="114" t="str">
        <f aca="false">IF($E866="","",IF($B866="Tema",INDEX(Config!$E$6:$E$11,$D866),IF(INDEX(Avulsos!$D$6:$D$205,$C866)&amp;""="","Outro",INDEX(Avulsos!$D$6:$D$205,$C866))))</f>
        <v/>
      </c>
      <c r="J866" s="114" t="str">
        <f aca="false">IF($E866="","",IF($B866="Tema",INDEX(Temas!$C$6:$C$305,$C866)&amp;"",INDEX(Avulsos!$E$6:$E$205,$C866)&amp;""))</f>
        <v/>
      </c>
      <c r="K866" s="114" t="str">
        <f aca="false">IF($E866="","",IF(IF($B866="Tema",INDEX(Temas!$E$6:$P$305,$C866,2*$D866),INDEX(Avulsos!$F$6:$F$205,$C866))&amp;""="","","✓"))</f>
        <v/>
      </c>
      <c r="L866" s="114" t="str">
        <f aca="true">IF($E866="","",IF($K866="✓","Concluído",IF($E866&lt;TODAY(),"Atrasado",IF($E866=TODAY(),"Hoje","Pendente"))))</f>
        <v/>
      </c>
      <c r="M866" s="114" t="str">
        <f aca="false">IF($E866="","",IF($K866="✓","✓ ","")&amp;IF(Config!$E$22="Sim",$H866&amp;" · ","")&amp;$F866)</f>
        <v/>
      </c>
      <c r="N866" s="114" t="str">
        <f aca="false">IF($E866="","",IFERROR(INDEX(Config!$D$15:$D$19,MATCH($I866,Config!$C$15:$C$19,0)),"OUT")&amp;IF($K866="✓","x",""))</f>
        <v/>
      </c>
      <c r="O866" s="114" t="str">
        <f aca="false">IF($E866="","",COUNTIF($E$5:$E866,$E866))</f>
        <v/>
      </c>
      <c r="P866" s="114" t="str">
        <f aca="false">IF($E866="","",$E866*100+$O866)</f>
        <v/>
      </c>
      <c r="Q866" s="114" t="str">
        <f aca="false">IF($L866="Atrasado",$E866*10000+$A866,"")</f>
        <v/>
      </c>
    </row>
    <row r="867" customFormat="false" ht="15" hidden="false" customHeight="false" outlineLevel="0" collapsed="false">
      <c r="A867" s="114" t="n">
        <f aca="false">ROW()-4</f>
        <v>863</v>
      </c>
      <c r="B867" s="114" t="str">
        <f aca="false">IF(A867&lt;=Config!$E$27*Config!$E$28,"Tema","Avulso")</f>
        <v>Tema</v>
      </c>
      <c r="C867" s="114" t="n">
        <f aca="false">IF(B867="Tema",INT((A867-1)/Config!$E$28)+1,A867-Config!$E$27*Config!$E$28)</f>
        <v>144</v>
      </c>
      <c r="D867" s="114" t="n">
        <f aca="false">IF(B867="Tema",MOD(A867-1,Config!$E$28)+1,"")</f>
        <v>5</v>
      </c>
      <c r="E867" s="115" t="str">
        <f aca="false">IF($B867="Tema",IF(ISNUMBER(INDEX(Temas!$E$6:$P$305,$C867,2*$D867-1)),INDEX(Temas!$E$6:$P$305,$C867,2*$D867-1),""),IF(ISNUMBER(INDEX(Avulsos!$B$6:$B$205,$C867)),INDEX(Avulsos!$B$6:$B$205,$C867),""))</f>
        <v/>
      </c>
      <c r="F867" s="114" t="str">
        <f aca="false">IF($E867="","",IF($B867="Tema",INDEX(Temas!$B$6:$B$305,$C867)&amp;"",INDEX(Avulsos!$C$6:$C$205,$C867)&amp;""))</f>
        <v/>
      </c>
      <c r="G867" s="114" t="str">
        <f aca="false">IF($E867="","",IF($B867="Tema",INDEX(Config!$C$6:$C$11,$D867),"Evento avulso"))</f>
        <v/>
      </c>
      <c r="H867" s="114" t="str">
        <f aca="false">IF($E867="","",IF($B867="Tema",INDEX(Config!$D$6:$D$11,$D867),IFERROR(INDEX(Config!$E$15:$E$19,MATCH($I867,Config!$C$15:$C$19,0)),"•")))</f>
        <v/>
      </c>
      <c r="I867" s="114" t="str">
        <f aca="false">IF($E867="","",IF($B867="Tema",INDEX(Config!$E$6:$E$11,$D867),IF(INDEX(Avulsos!$D$6:$D$205,$C867)&amp;""="","Outro",INDEX(Avulsos!$D$6:$D$205,$C867))))</f>
        <v/>
      </c>
      <c r="J867" s="114" t="str">
        <f aca="false">IF($E867="","",IF($B867="Tema",INDEX(Temas!$C$6:$C$305,$C867)&amp;"",INDEX(Avulsos!$E$6:$E$205,$C867)&amp;""))</f>
        <v/>
      </c>
      <c r="K867" s="114" t="str">
        <f aca="false">IF($E867="","",IF(IF($B867="Tema",INDEX(Temas!$E$6:$P$305,$C867,2*$D867),INDEX(Avulsos!$F$6:$F$205,$C867))&amp;""="","","✓"))</f>
        <v/>
      </c>
      <c r="L867" s="114" t="str">
        <f aca="true">IF($E867="","",IF($K867="✓","Concluído",IF($E867&lt;TODAY(),"Atrasado",IF($E867=TODAY(),"Hoje","Pendente"))))</f>
        <v/>
      </c>
      <c r="M867" s="114" t="str">
        <f aca="false">IF($E867="","",IF($K867="✓","✓ ","")&amp;IF(Config!$E$22="Sim",$H867&amp;" · ","")&amp;$F867)</f>
        <v/>
      </c>
      <c r="N867" s="114" t="str">
        <f aca="false">IF($E867="","",IFERROR(INDEX(Config!$D$15:$D$19,MATCH($I867,Config!$C$15:$C$19,0)),"OUT")&amp;IF($K867="✓","x",""))</f>
        <v/>
      </c>
      <c r="O867" s="114" t="str">
        <f aca="false">IF($E867="","",COUNTIF($E$5:$E867,$E867))</f>
        <v/>
      </c>
      <c r="P867" s="114" t="str">
        <f aca="false">IF($E867="","",$E867*100+$O867)</f>
        <v/>
      </c>
      <c r="Q867" s="114" t="str">
        <f aca="false">IF($L867="Atrasado",$E867*10000+$A867,"")</f>
        <v/>
      </c>
    </row>
    <row r="868" customFormat="false" ht="15" hidden="false" customHeight="false" outlineLevel="0" collapsed="false">
      <c r="A868" s="114" t="n">
        <f aca="false">ROW()-4</f>
        <v>864</v>
      </c>
      <c r="B868" s="114" t="str">
        <f aca="false">IF(A868&lt;=Config!$E$27*Config!$E$28,"Tema","Avulso")</f>
        <v>Tema</v>
      </c>
      <c r="C868" s="114" t="n">
        <f aca="false">IF(B868="Tema",INT((A868-1)/Config!$E$28)+1,A868-Config!$E$27*Config!$E$28)</f>
        <v>144</v>
      </c>
      <c r="D868" s="114" t="n">
        <f aca="false">IF(B868="Tema",MOD(A868-1,Config!$E$28)+1,"")</f>
        <v>6</v>
      </c>
      <c r="E868" s="115" t="str">
        <f aca="false">IF($B868="Tema",IF(ISNUMBER(INDEX(Temas!$E$6:$P$305,$C868,2*$D868-1)),INDEX(Temas!$E$6:$P$305,$C868,2*$D868-1),""),IF(ISNUMBER(INDEX(Avulsos!$B$6:$B$205,$C868)),INDEX(Avulsos!$B$6:$B$205,$C868),""))</f>
        <v/>
      </c>
      <c r="F868" s="114" t="str">
        <f aca="false">IF($E868="","",IF($B868="Tema",INDEX(Temas!$B$6:$B$305,$C868)&amp;"",INDEX(Avulsos!$C$6:$C$205,$C868)&amp;""))</f>
        <v/>
      </c>
      <c r="G868" s="114" t="str">
        <f aca="false">IF($E868="","",IF($B868="Tema",INDEX(Config!$C$6:$C$11,$D868),"Evento avulso"))</f>
        <v/>
      </c>
      <c r="H868" s="114" t="str">
        <f aca="false">IF($E868="","",IF($B868="Tema",INDEX(Config!$D$6:$D$11,$D868),IFERROR(INDEX(Config!$E$15:$E$19,MATCH($I868,Config!$C$15:$C$19,0)),"•")))</f>
        <v/>
      </c>
      <c r="I868" s="114" t="str">
        <f aca="false">IF($E868="","",IF($B868="Tema",INDEX(Config!$E$6:$E$11,$D868),IF(INDEX(Avulsos!$D$6:$D$205,$C868)&amp;""="","Outro",INDEX(Avulsos!$D$6:$D$205,$C868))))</f>
        <v/>
      </c>
      <c r="J868" s="114" t="str">
        <f aca="false">IF($E868="","",IF($B868="Tema",INDEX(Temas!$C$6:$C$305,$C868)&amp;"",INDEX(Avulsos!$E$6:$E$205,$C868)&amp;""))</f>
        <v/>
      </c>
      <c r="K868" s="114" t="str">
        <f aca="false">IF($E868="","",IF(IF($B868="Tema",INDEX(Temas!$E$6:$P$305,$C868,2*$D868),INDEX(Avulsos!$F$6:$F$205,$C868))&amp;""="","","✓"))</f>
        <v/>
      </c>
      <c r="L868" s="114" t="str">
        <f aca="true">IF($E868="","",IF($K868="✓","Concluído",IF($E868&lt;TODAY(),"Atrasado",IF($E868=TODAY(),"Hoje","Pendente"))))</f>
        <v/>
      </c>
      <c r="M868" s="114" t="str">
        <f aca="false">IF($E868="","",IF($K868="✓","✓ ","")&amp;IF(Config!$E$22="Sim",$H868&amp;" · ","")&amp;$F868)</f>
        <v/>
      </c>
      <c r="N868" s="114" t="str">
        <f aca="false">IF($E868="","",IFERROR(INDEX(Config!$D$15:$D$19,MATCH($I868,Config!$C$15:$C$19,0)),"OUT")&amp;IF($K868="✓","x",""))</f>
        <v/>
      </c>
      <c r="O868" s="114" t="str">
        <f aca="false">IF($E868="","",COUNTIF($E$5:$E868,$E868))</f>
        <v/>
      </c>
      <c r="P868" s="114" t="str">
        <f aca="false">IF($E868="","",$E868*100+$O868)</f>
        <v/>
      </c>
      <c r="Q868" s="114" t="str">
        <f aca="false">IF($L868="Atrasado",$E868*10000+$A868,"")</f>
        <v/>
      </c>
    </row>
    <row r="869" customFormat="false" ht="15" hidden="false" customHeight="false" outlineLevel="0" collapsed="false">
      <c r="A869" s="114" t="n">
        <f aca="false">ROW()-4</f>
        <v>865</v>
      </c>
      <c r="B869" s="114" t="str">
        <f aca="false">IF(A869&lt;=Config!$E$27*Config!$E$28,"Tema","Avulso")</f>
        <v>Tema</v>
      </c>
      <c r="C869" s="114" t="n">
        <f aca="false">IF(B869="Tema",INT((A869-1)/Config!$E$28)+1,A869-Config!$E$27*Config!$E$28)</f>
        <v>145</v>
      </c>
      <c r="D869" s="114" t="n">
        <f aca="false">IF(B869="Tema",MOD(A869-1,Config!$E$28)+1,"")</f>
        <v>1</v>
      </c>
      <c r="E869" s="115" t="str">
        <f aca="false">IF($B869="Tema",IF(ISNUMBER(INDEX(Temas!$E$6:$P$305,$C869,2*$D869-1)),INDEX(Temas!$E$6:$P$305,$C869,2*$D869-1),""),IF(ISNUMBER(INDEX(Avulsos!$B$6:$B$205,$C869)),INDEX(Avulsos!$B$6:$B$205,$C869),""))</f>
        <v/>
      </c>
      <c r="F869" s="114" t="str">
        <f aca="false">IF($E869="","",IF($B869="Tema",INDEX(Temas!$B$6:$B$305,$C869)&amp;"",INDEX(Avulsos!$C$6:$C$205,$C869)&amp;""))</f>
        <v/>
      </c>
      <c r="G869" s="114" t="str">
        <f aca="false">IF($E869="","",IF($B869="Tema",INDEX(Config!$C$6:$C$11,$D869),"Evento avulso"))</f>
        <v/>
      </c>
      <c r="H869" s="114" t="str">
        <f aca="false">IF($E869="","",IF($B869="Tema",INDEX(Config!$D$6:$D$11,$D869),IFERROR(INDEX(Config!$E$15:$E$19,MATCH($I869,Config!$C$15:$C$19,0)),"•")))</f>
        <v/>
      </c>
      <c r="I869" s="114" t="str">
        <f aca="false">IF($E869="","",IF($B869="Tema",INDEX(Config!$E$6:$E$11,$D869),IF(INDEX(Avulsos!$D$6:$D$205,$C869)&amp;""="","Outro",INDEX(Avulsos!$D$6:$D$205,$C869))))</f>
        <v/>
      </c>
      <c r="J869" s="114" t="str">
        <f aca="false">IF($E869="","",IF($B869="Tema",INDEX(Temas!$C$6:$C$305,$C869)&amp;"",INDEX(Avulsos!$E$6:$E$205,$C869)&amp;""))</f>
        <v/>
      </c>
      <c r="K869" s="114" t="str">
        <f aca="false">IF($E869="","",IF(IF($B869="Tema",INDEX(Temas!$E$6:$P$305,$C869,2*$D869),INDEX(Avulsos!$F$6:$F$205,$C869))&amp;""="","","✓"))</f>
        <v/>
      </c>
      <c r="L869" s="114" t="str">
        <f aca="true">IF($E869="","",IF($K869="✓","Concluído",IF($E869&lt;TODAY(),"Atrasado",IF($E869=TODAY(),"Hoje","Pendente"))))</f>
        <v/>
      </c>
      <c r="M869" s="114" t="str">
        <f aca="false">IF($E869="","",IF($K869="✓","✓ ","")&amp;IF(Config!$E$22="Sim",$H869&amp;" · ","")&amp;$F869)</f>
        <v/>
      </c>
      <c r="N869" s="114" t="str">
        <f aca="false">IF($E869="","",IFERROR(INDEX(Config!$D$15:$D$19,MATCH($I869,Config!$C$15:$C$19,0)),"OUT")&amp;IF($K869="✓","x",""))</f>
        <v/>
      </c>
      <c r="O869" s="114" t="str">
        <f aca="false">IF($E869="","",COUNTIF($E$5:$E869,$E869))</f>
        <v/>
      </c>
      <c r="P869" s="114" t="str">
        <f aca="false">IF($E869="","",$E869*100+$O869)</f>
        <v/>
      </c>
      <c r="Q869" s="114" t="str">
        <f aca="false">IF($L869="Atrasado",$E869*10000+$A869,"")</f>
        <v/>
      </c>
    </row>
    <row r="870" customFormat="false" ht="15" hidden="false" customHeight="false" outlineLevel="0" collapsed="false">
      <c r="A870" s="114" t="n">
        <f aca="false">ROW()-4</f>
        <v>866</v>
      </c>
      <c r="B870" s="114" t="str">
        <f aca="false">IF(A870&lt;=Config!$E$27*Config!$E$28,"Tema","Avulso")</f>
        <v>Tema</v>
      </c>
      <c r="C870" s="114" t="n">
        <f aca="false">IF(B870="Tema",INT((A870-1)/Config!$E$28)+1,A870-Config!$E$27*Config!$E$28)</f>
        <v>145</v>
      </c>
      <c r="D870" s="114" t="n">
        <f aca="false">IF(B870="Tema",MOD(A870-1,Config!$E$28)+1,"")</f>
        <v>2</v>
      </c>
      <c r="E870" s="115" t="str">
        <f aca="false">IF($B870="Tema",IF(ISNUMBER(INDEX(Temas!$E$6:$P$305,$C870,2*$D870-1)),INDEX(Temas!$E$6:$P$305,$C870,2*$D870-1),""),IF(ISNUMBER(INDEX(Avulsos!$B$6:$B$205,$C870)),INDEX(Avulsos!$B$6:$B$205,$C870),""))</f>
        <v/>
      </c>
      <c r="F870" s="114" t="str">
        <f aca="false">IF($E870="","",IF($B870="Tema",INDEX(Temas!$B$6:$B$305,$C870)&amp;"",INDEX(Avulsos!$C$6:$C$205,$C870)&amp;""))</f>
        <v/>
      </c>
      <c r="G870" s="114" t="str">
        <f aca="false">IF($E870="","",IF($B870="Tema",INDEX(Config!$C$6:$C$11,$D870),"Evento avulso"))</f>
        <v/>
      </c>
      <c r="H870" s="114" t="str">
        <f aca="false">IF($E870="","",IF($B870="Tema",INDEX(Config!$D$6:$D$11,$D870),IFERROR(INDEX(Config!$E$15:$E$19,MATCH($I870,Config!$C$15:$C$19,0)),"•")))</f>
        <v/>
      </c>
      <c r="I870" s="114" t="str">
        <f aca="false">IF($E870="","",IF($B870="Tema",INDEX(Config!$E$6:$E$11,$D870),IF(INDEX(Avulsos!$D$6:$D$205,$C870)&amp;""="","Outro",INDEX(Avulsos!$D$6:$D$205,$C870))))</f>
        <v/>
      </c>
      <c r="J870" s="114" t="str">
        <f aca="false">IF($E870="","",IF($B870="Tema",INDEX(Temas!$C$6:$C$305,$C870)&amp;"",INDEX(Avulsos!$E$6:$E$205,$C870)&amp;""))</f>
        <v/>
      </c>
      <c r="K870" s="114" t="str">
        <f aca="false">IF($E870="","",IF(IF($B870="Tema",INDEX(Temas!$E$6:$P$305,$C870,2*$D870),INDEX(Avulsos!$F$6:$F$205,$C870))&amp;""="","","✓"))</f>
        <v/>
      </c>
      <c r="L870" s="114" t="str">
        <f aca="true">IF($E870="","",IF($K870="✓","Concluído",IF($E870&lt;TODAY(),"Atrasado",IF($E870=TODAY(),"Hoje","Pendente"))))</f>
        <v/>
      </c>
      <c r="M870" s="114" t="str">
        <f aca="false">IF($E870="","",IF($K870="✓","✓ ","")&amp;IF(Config!$E$22="Sim",$H870&amp;" · ","")&amp;$F870)</f>
        <v/>
      </c>
      <c r="N870" s="114" t="str">
        <f aca="false">IF($E870="","",IFERROR(INDEX(Config!$D$15:$D$19,MATCH($I870,Config!$C$15:$C$19,0)),"OUT")&amp;IF($K870="✓","x",""))</f>
        <v/>
      </c>
      <c r="O870" s="114" t="str">
        <f aca="false">IF($E870="","",COUNTIF($E$5:$E870,$E870))</f>
        <v/>
      </c>
      <c r="P870" s="114" t="str">
        <f aca="false">IF($E870="","",$E870*100+$O870)</f>
        <v/>
      </c>
      <c r="Q870" s="114" t="str">
        <f aca="false">IF($L870="Atrasado",$E870*10000+$A870,"")</f>
        <v/>
      </c>
    </row>
    <row r="871" customFormat="false" ht="15" hidden="false" customHeight="false" outlineLevel="0" collapsed="false">
      <c r="A871" s="114" t="n">
        <f aca="false">ROW()-4</f>
        <v>867</v>
      </c>
      <c r="B871" s="114" t="str">
        <f aca="false">IF(A871&lt;=Config!$E$27*Config!$E$28,"Tema","Avulso")</f>
        <v>Tema</v>
      </c>
      <c r="C871" s="114" t="n">
        <f aca="false">IF(B871="Tema",INT((A871-1)/Config!$E$28)+1,A871-Config!$E$27*Config!$E$28)</f>
        <v>145</v>
      </c>
      <c r="D871" s="114" t="n">
        <f aca="false">IF(B871="Tema",MOD(A871-1,Config!$E$28)+1,"")</f>
        <v>3</v>
      </c>
      <c r="E871" s="115" t="str">
        <f aca="false">IF($B871="Tema",IF(ISNUMBER(INDEX(Temas!$E$6:$P$305,$C871,2*$D871-1)),INDEX(Temas!$E$6:$P$305,$C871,2*$D871-1),""),IF(ISNUMBER(INDEX(Avulsos!$B$6:$B$205,$C871)),INDEX(Avulsos!$B$6:$B$205,$C871),""))</f>
        <v/>
      </c>
      <c r="F871" s="114" t="str">
        <f aca="false">IF($E871="","",IF($B871="Tema",INDEX(Temas!$B$6:$B$305,$C871)&amp;"",INDEX(Avulsos!$C$6:$C$205,$C871)&amp;""))</f>
        <v/>
      </c>
      <c r="G871" s="114" t="str">
        <f aca="false">IF($E871="","",IF($B871="Tema",INDEX(Config!$C$6:$C$11,$D871),"Evento avulso"))</f>
        <v/>
      </c>
      <c r="H871" s="114" t="str">
        <f aca="false">IF($E871="","",IF($B871="Tema",INDEX(Config!$D$6:$D$11,$D871),IFERROR(INDEX(Config!$E$15:$E$19,MATCH($I871,Config!$C$15:$C$19,0)),"•")))</f>
        <v/>
      </c>
      <c r="I871" s="114" t="str">
        <f aca="false">IF($E871="","",IF($B871="Tema",INDEX(Config!$E$6:$E$11,$D871),IF(INDEX(Avulsos!$D$6:$D$205,$C871)&amp;""="","Outro",INDEX(Avulsos!$D$6:$D$205,$C871))))</f>
        <v/>
      </c>
      <c r="J871" s="114" t="str">
        <f aca="false">IF($E871="","",IF($B871="Tema",INDEX(Temas!$C$6:$C$305,$C871)&amp;"",INDEX(Avulsos!$E$6:$E$205,$C871)&amp;""))</f>
        <v/>
      </c>
      <c r="K871" s="114" t="str">
        <f aca="false">IF($E871="","",IF(IF($B871="Tema",INDEX(Temas!$E$6:$P$305,$C871,2*$D871),INDEX(Avulsos!$F$6:$F$205,$C871))&amp;""="","","✓"))</f>
        <v/>
      </c>
      <c r="L871" s="114" t="str">
        <f aca="true">IF($E871="","",IF($K871="✓","Concluído",IF($E871&lt;TODAY(),"Atrasado",IF($E871=TODAY(),"Hoje","Pendente"))))</f>
        <v/>
      </c>
      <c r="M871" s="114" t="str">
        <f aca="false">IF($E871="","",IF($K871="✓","✓ ","")&amp;IF(Config!$E$22="Sim",$H871&amp;" · ","")&amp;$F871)</f>
        <v/>
      </c>
      <c r="N871" s="114" t="str">
        <f aca="false">IF($E871="","",IFERROR(INDEX(Config!$D$15:$D$19,MATCH($I871,Config!$C$15:$C$19,0)),"OUT")&amp;IF($K871="✓","x",""))</f>
        <v/>
      </c>
      <c r="O871" s="114" t="str">
        <f aca="false">IF($E871="","",COUNTIF($E$5:$E871,$E871))</f>
        <v/>
      </c>
      <c r="P871" s="114" t="str">
        <f aca="false">IF($E871="","",$E871*100+$O871)</f>
        <v/>
      </c>
      <c r="Q871" s="114" t="str">
        <f aca="false">IF($L871="Atrasado",$E871*10000+$A871,"")</f>
        <v/>
      </c>
    </row>
    <row r="872" customFormat="false" ht="15" hidden="false" customHeight="false" outlineLevel="0" collapsed="false">
      <c r="A872" s="114" t="n">
        <f aca="false">ROW()-4</f>
        <v>868</v>
      </c>
      <c r="B872" s="114" t="str">
        <f aca="false">IF(A872&lt;=Config!$E$27*Config!$E$28,"Tema","Avulso")</f>
        <v>Tema</v>
      </c>
      <c r="C872" s="114" t="n">
        <f aca="false">IF(B872="Tema",INT((A872-1)/Config!$E$28)+1,A872-Config!$E$27*Config!$E$28)</f>
        <v>145</v>
      </c>
      <c r="D872" s="114" t="n">
        <f aca="false">IF(B872="Tema",MOD(A872-1,Config!$E$28)+1,"")</f>
        <v>4</v>
      </c>
      <c r="E872" s="115" t="str">
        <f aca="false">IF($B872="Tema",IF(ISNUMBER(INDEX(Temas!$E$6:$P$305,$C872,2*$D872-1)),INDEX(Temas!$E$6:$P$305,$C872,2*$D872-1),""),IF(ISNUMBER(INDEX(Avulsos!$B$6:$B$205,$C872)),INDEX(Avulsos!$B$6:$B$205,$C872),""))</f>
        <v/>
      </c>
      <c r="F872" s="114" t="str">
        <f aca="false">IF($E872="","",IF($B872="Tema",INDEX(Temas!$B$6:$B$305,$C872)&amp;"",INDEX(Avulsos!$C$6:$C$205,$C872)&amp;""))</f>
        <v/>
      </c>
      <c r="G872" s="114" t="str">
        <f aca="false">IF($E872="","",IF($B872="Tema",INDEX(Config!$C$6:$C$11,$D872),"Evento avulso"))</f>
        <v/>
      </c>
      <c r="H872" s="114" t="str">
        <f aca="false">IF($E872="","",IF($B872="Tema",INDEX(Config!$D$6:$D$11,$D872),IFERROR(INDEX(Config!$E$15:$E$19,MATCH($I872,Config!$C$15:$C$19,0)),"•")))</f>
        <v/>
      </c>
      <c r="I872" s="114" t="str">
        <f aca="false">IF($E872="","",IF($B872="Tema",INDEX(Config!$E$6:$E$11,$D872),IF(INDEX(Avulsos!$D$6:$D$205,$C872)&amp;""="","Outro",INDEX(Avulsos!$D$6:$D$205,$C872))))</f>
        <v/>
      </c>
      <c r="J872" s="114" t="str">
        <f aca="false">IF($E872="","",IF($B872="Tema",INDEX(Temas!$C$6:$C$305,$C872)&amp;"",INDEX(Avulsos!$E$6:$E$205,$C872)&amp;""))</f>
        <v/>
      </c>
      <c r="K872" s="114" t="str">
        <f aca="false">IF($E872="","",IF(IF($B872="Tema",INDEX(Temas!$E$6:$P$305,$C872,2*$D872),INDEX(Avulsos!$F$6:$F$205,$C872))&amp;""="","","✓"))</f>
        <v/>
      </c>
      <c r="L872" s="114" t="str">
        <f aca="true">IF($E872="","",IF($K872="✓","Concluído",IF($E872&lt;TODAY(),"Atrasado",IF($E872=TODAY(),"Hoje","Pendente"))))</f>
        <v/>
      </c>
      <c r="M872" s="114" t="str">
        <f aca="false">IF($E872="","",IF($K872="✓","✓ ","")&amp;IF(Config!$E$22="Sim",$H872&amp;" · ","")&amp;$F872)</f>
        <v/>
      </c>
      <c r="N872" s="114" t="str">
        <f aca="false">IF($E872="","",IFERROR(INDEX(Config!$D$15:$D$19,MATCH($I872,Config!$C$15:$C$19,0)),"OUT")&amp;IF($K872="✓","x",""))</f>
        <v/>
      </c>
      <c r="O872" s="114" t="str">
        <f aca="false">IF($E872="","",COUNTIF($E$5:$E872,$E872))</f>
        <v/>
      </c>
      <c r="P872" s="114" t="str">
        <f aca="false">IF($E872="","",$E872*100+$O872)</f>
        <v/>
      </c>
      <c r="Q872" s="114" t="str">
        <f aca="false">IF($L872="Atrasado",$E872*10000+$A872,"")</f>
        <v/>
      </c>
    </row>
    <row r="873" customFormat="false" ht="15" hidden="false" customHeight="false" outlineLevel="0" collapsed="false">
      <c r="A873" s="114" t="n">
        <f aca="false">ROW()-4</f>
        <v>869</v>
      </c>
      <c r="B873" s="114" t="str">
        <f aca="false">IF(A873&lt;=Config!$E$27*Config!$E$28,"Tema","Avulso")</f>
        <v>Tema</v>
      </c>
      <c r="C873" s="114" t="n">
        <f aca="false">IF(B873="Tema",INT((A873-1)/Config!$E$28)+1,A873-Config!$E$27*Config!$E$28)</f>
        <v>145</v>
      </c>
      <c r="D873" s="114" t="n">
        <f aca="false">IF(B873="Tema",MOD(A873-1,Config!$E$28)+1,"")</f>
        <v>5</v>
      </c>
      <c r="E873" s="115" t="str">
        <f aca="false">IF($B873="Tema",IF(ISNUMBER(INDEX(Temas!$E$6:$P$305,$C873,2*$D873-1)),INDEX(Temas!$E$6:$P$305,$C873,2*$D873-1),""),IF(ISNUMBER(INDEX(Avulsos!$B$6:$B$205,$C873)),INDEX(Avulsos!$B$6:$B$205,$C873),""))</f>
        <v/>
      </c>
      <c r="F873" s="114" t="str">
        <f aca="false">IF($E873="","",IF($B873="Tema",INDEX(Temas!$B$6:$B$305,$C873)&amp;"",INDEX(Avulsos!$C$6:$C$205,$C873)&amp;""))</f>
        <v/>
      </c>
      <c r="G873" s="114" t="str">
        <f aca="false">IF($E873="","",IF($B873="Tema",INDEX(Config!$C$6:$C$11,$D873),"Evento avulso"))</f>
        <v/>
      </c>
      <c r="H873" s="114" t="str">
        <f aca="false">IF($E873="","",IF($B873="Tema",INDEX(Config!$D$6:$D$11,$D873),IFERROR(INDEX(Config!$E$15:$E$19,MATCH($I873,Config!$C$15:$C$19,0)),"•")))</f>
        <v/>
      </c>
      <c r="I873" s="114" t="str">
        <f aca="false">IF($E873="","",IF($B873="Tema",INDEX(Config!$E$6:$E$11,$D873),IF(INDEX(Avulsos!$D$6:$D$205,$C873)&amp;""="","Outro",INDEX(Avulsos!$D$6:$D$205,$C873))))</f>
        <v/>
      </c>
      <c r="J873" s="114" t="str">
        <f aca="false">IF($E873="","",IF($B873="Tema",INDEX(Temas!$C$6:$C$305,$C873)&amp;"",INDEX(Avulsos!$E$6:$E$205,$C873)&amp;""))</f>
        <v/>
      </c>
      <c r="K873" s="114" t="str">
        <f aca="false">IF($E873="","",IF(IF($B873="Tema",INDEX(Temas!$E$6:$P$305,$C873,2*$D873),INDEX(Avulsos!$F$6:$F$205,$C873))&amp;""="","","✓"))</f>
        <v/>
      </c>
      <c r="L873" s="114" t="str">
        <f aca="true">IF($E873="","",IF($K873="✓","Concluído",IF($E873&lt;TODAY(),"Atrasado",IF($E873=TODAY(),"Hoje","Pendente"))))</f>
        <v/>
      </c>
      <c r="M873" s="114" t="str">
        <f aca="false">IF($E873="","",IF($K873="✓","✓ ","")&amp;IF(Config!$E$22="Sim",$H873&amp;" · ","")&amp;$F873)</f>
        <v/>
      </c>
      <c r="N873" s="114" t="str">
        <f aca="false">IF($E873="","",IFERROR(INDEX(Config!$D$15:$D$19,MATCH($I873,Config!$C$15:$C$19,0)),"OUT")&amp;IF($K873="✓","x",""))</f>
        <v/>
      </c>
      <c r="O873" s="114" t="str">
        <f aca="false">IF($E873="","",COUNTIF($E$5:$E873,$E873))</f>
        <v/>
      </c>
      <c r="P873" s="114" t="str">
        <f aca="false">IF($E873="","",$E873*100+$O873)</f>
        <v/>
      </c>
      <c r="Q873" s="114" t="str">
        <f aca="false">IF($L873="Atrasado",$E873*10000+$A873,"")</f>
        <v/>
      </c>
    </row>
    <row r="874" customFormat="false" ht="15" hidden="false" customHeight="false" outlineLevel="0" collapsed="false">
      <c r="A874" s="114" t="n">
        <f aca="false">ROW()-4</f>
        <v>870</v>
      </c>
      <c r="B874" s="114" t="str">
        <f aca="false">IF(A874&lt;=Config!$E$27*Config!$E$28,"Tema","Avulso")</f>
        <v>Tema</v>
      </c>
      <c r="C874" s="114" t="n">
        <f aca="false">IF(B874="Tema",INT((A874-1)/Config!$E$28)+1,A874-Config!$E$27*Config!$E$28)</f>
        <v>145</v>
      </c>
      <c r="D874" s="114" t="n">
        <f aca="false">IF(B874="Tema",MOD(A874-1,Config!$E$28)+1,"")</f>
        <v>6</v>
      </c>
      <c r="E874" s="115" t="str">
        <f aca="false">IF($B874="Tema",IF(ISNUMBER(INDEX(Temas!$E$6:$P$305,$C874,2*$D874-1)),INDEX(Temas!$E$6:$P$305,$C874,2*$D874-1),""),IF(ISNUMBER(INDEX(Avulsos!$B$6:$B$205,$C874)),INDEX(Avulsos!$B$6:$B$205,$C874),""))</f>
        <v/>
      </c>
      <c r="F874" s="114" t="str">
        <f aca="false">IF($E874="","",IF($B874="Tema",INDEX(Temas!$B$6:$B$305,$C874)&amp;"",INDEX(Avulsos!$C$6:$C$205,$C874)&amp;""))</f>
        <v/>
      </c>
      <c r="G874" s="114" t="str">
        <f aca="false">IF($E874="","",IF($B874="Tema",INDEX(Config!$C$6:$C$11,$D874),"Evento avulso"))</f>
        <v/>
      </c>
      <c r="H874" s="114" t="str">
        <f aca="false">IF($E874="","",IF($B874="Tema",INDEX(Config!$D$6:$D$11,$D874),IFERROR(INDEX(Config!$E$15:$E$19,MATCH($I874,Config!$C$15:$C$19,0)),"•")))</f>
        <v/>
      </c>
      <c r="I874" s="114" t="str">
        <f aca="false">IF($E874="","",IF($B874="Tema",INDEX(Config!$E$6:$E$11,$D874),IF(INDEX(Avulsos!$D$6:$D$205,$C874)&amp;""="","Outro",INDEX(Avulsos!$D$6:$D$205,$C874))))</f>
        <v/>
      </c>
      <c r="J874" s="114" t="str">
        <f aca="false">IF($E874="","",IF($B874="Tema",INDEX(Temas!$C$6:$C$305,$C874)&amp;"",INDEX(Avulsos!$E$6:$E$205,$C874)&amp;""))</f>
        <v/>
      </c>
      <c r="K874" s="114" t="str">
        <f aca="false">IF($E874="","",IF(IF($B874="Tema",INDEX(Temas!$E$6:$P$305,$C874,2*$D874),INDEX(Avulsos!$F$6:$F$205,$C874))&amp;""="","","✓"))</f>
        <v/>
      </c>
      <c r="L874" s="114" t="str">
        <f aca="true">IF($E874="","",IF($K874="✓","Concluído",IF($E874&lt;TODAY(),"Atrasado",IF($E874=TODAY(),"Hoje","Pendente"))))</f>
        <v/>
      </c>
      <c r="M874" s="114" t="str">
        <f aca="false">IF($E874="","",IF($K874="✓","✓ ","")&amp;IF(Config!$E$22="Sim",$H874&amp;" · ","")&amp;$F874)</f>
        <v/>
      </c>
      <c r="N874" s="114" t="str">
        <f aca="false">IF($E874="","",IFERROR(INDEX(Config!$D$15:$D$19,MATCH($I874,Config!$C$15:$C$19,0)),"OUT")&amp;IF($K874="✓","x",""))</f>
        <v/>
      </c>
      <c r="O874" s="114" t="str">
        <f aca="false">IF($E874="","",COUNTIF($E$5:$E874,$E874))</f>
        <v/>
      </c>
      <c r="P874" s="114" t="str">
        <f aca="false">IF($E874="","",$E874*100+$O874)</f>
        <v/>
      </c>
      <c r="Q874" s="114" t="str">
        <f aca="false">IF($L874="Atrasado",$E874*10000+$A874,"")</f>
        <v/>
      </c>
    </row>
    <row r="875" customFormat="false" ht="15" hidden="false" customHeight="false" outlineLevel="0" collapsed="false">
      <c r="A875" s="114" t="n">
        <f aca="false">ROW()-4</f>
        <v>871</v>
      </c>
      <c r="B875" s="114" t="str">
        <f aca="false">IF(A875&lt;=Config!$E$27*Config!$E$28,"Tema","Avulso")</f>
        <v>Tema</v>
      </c>
      <c r="C875" s="114" t="n">
        <f aca="false">IF(B875="Tema",INT((A875-1)/Config!$E$28)+1,A875-Config!$E$27*Config!$E$28)</f>
        <v>146</v>
      </c>
      <c r="D875" s="114" t="n">
        <f aca="false">IF(B875="Tema",MOD(A875-1,Config!$E$28)+1,"")</f>
        <v>1</v>
      </c>
      <c r="E875" s="115" t="str">
        <f aca="false">IF($B875="Tema",IF(ISNUMBER(INDEX(Temas!$E$6:$P$305,$C875,2*$D875-1)),INDEX(Temas!$E$6:$P$305,$C875,2*$D875-1),""),IF(ISNUMBER(INDEX(Avulsos!$B$6:$B$205,$C875)),INDEX(Avulsos!$B$6:$B$205,$C875),""))</f>
        <v/>
      </c>
      <c r="F875" s="114" t="str">
        <f aca="false">IF($E875="","",IF($B875="Tema",INDEX(Temas!$B$6:$B$305,$C875)&amp;"",INDEX(Avulsos!$C$6:$C$205,$C875)&amp;""))</f>
        <v/>
      </c>
      <c r="G875" s="114" t="str">
        <f aca="false">IF($E875="","",IF($B875="Tema",INDEX(Config!$C$6:$C$11,$D875),"Evento avulso"))</f>
        <v/>
      </c>
      <c r="H875" s="114" t="str">
        <f aca="false">IF($E875="","",IF($B875="Tema",INDEX(Config!$D$6:$D$11,$D875),IFERROR(INDEX(Config!$E$15:$E$19,MATCH($I875,Config!$C$15:$C$19,0)),"•")))</f>
        <v/>
      </c>
      <c r="I875" s="114" t="str">
        <f aca="false">IF($E875="","",IF($B875="Tema",INDEX(Config!$E$6:$E$11,$D875),IF(INDEX(Avulsos!$D$6:$D$205,$C875)&amp;""="","Outro",INDEX(Avulsos!$D$6:$D$205,$C875))))</f>
        <v/>
      </c>
      <c r="J875" s="114" t="str">
        <f aca="false">IF($E875="","",IF($B875="Tema",INDEX(Temas!$C$6:$C$305,$C875)&amp;"",INDEX(Avulsos!$E$6:$E$205,$C875)&amp;""))</f>
        <v/>
      </c>
      <c r="K875" s="114" t="str">
        <f aca="false">IF($E875="","",IF(IF($B875="Tema",INDEX(Temas!$E$6:$P$305,$C875,2*$D875),INDEX(Avulsos!$F$6:$F$205,$C875))&amp;""="","","✓"))</f>
        <v/>
      </c>
      <c r="L875" s="114" t="str">
        <f aca="true">IF($E875="","",IF($K875="✓","Concluído",IF($E875&lt;TODAY(),"Atrasado",IF($E875=TODAY(),"Hoje","Pendente"))))</f>
        <v/>
      </c>
      <c r="M875" s="114" t="str">
        <f aca="false">IF($E875="","",IF($K875="✓","✓ ","")&amp;IF(Config!$E$22="Sim",$H875&amp;" · ","")&amp;$F875)</f>
        <v/>
      </c>
      <c r="N875" s="114" t="str">
        <f aca="false">IF($E875="","",IFERROR(INDEX(Config!$D$15:$D$19,MATCH($I875,Config!$C$15:$C$19,0)),"OUT")&amp;IF($K875="✓","x",""))</f>
        <v/>
      </c>
      <c r="O875" s="114" t="str">
        <f aca="false">IF($E875="","",COUNTIF($E$5:$E875,$E875))</f>
        <v/>
      </c>
      <c r="P875" s="114" t="str">
        <f aca="false">IF($E875="","",$E875*100+$O875)</f>
        <v/>
      </c>
      <c r="Q875" s="114" t="str">
        <f aca="false">IF($L875="Atrasado",$E875*10000+$A875,"")</f>
        <v/>
      </c>
    </row>
    <row r="876" customFormat="false" ht="15" hidden="false" customHeight="false" outlineLevel="0" collapsed="false">
      <c r="A876" s="114" t="n">
        <f aca="false">ROW()-4</f>
        <v>872</v>
      </c>
      <c r="B876" s="114" t="str">
        <f aca="false">IF(A876&lt;=Config!$E$27*Config!$E$28,"Tema","Avulso")</f>
        <v>Tema</v>
      </c>
      <c r="C876" s="114" t="n">
        <f aca="false">IF(B876="Tema",INT((A876-1)/Config!$E$28)+1,A876-Config!$E$27*Config!$E$28)</f>
        <v>146</v>
      </c>
      <c r="D876" s="114" t="n">
        <f aca="false">IF(B876="Tema",MOD(A876-1,Config!$E$28)+1,"")</f>
        <v>2</v>
      </c>
      <c r="E876" s="115" t="str">
        <f aca="false">IF($B876="Tema",IF(ISNUMBER(INDEX(Temas!$E$6:$P$305,$C876,2*$D876-1)),INDEX(Temas!$E$6:$P$305,$C876,2*$D876-1),""),IF(ISNUMBER(INDEX(Avulsos!$B$6:$B$205,$C876)),INDEX(Avulsos!$B$6:$B$205,$C876),""))</f>
        <v/>
      </c>
      <c r="F876" s="114" t="str">
        <f aca="false">IF($E876="","",IF($B876="Tema",INDEX(Temas!$B$6:$B$305,$C876)&amp;"",INDEX(Avulsos!$C$6:$C$205,$C876)&amp;""))</f>
        <v/>
      </c>
      <c r="G876" s="114" t="str">
        <f aca="false">IF($E876="","",IF($B876="Tema",INDEX(Config!$C$6:$C$11,$D876),"Evento avulso"))</f>
        <v/>
      </c>
      <c r="H876" s="114" t="str">
        <f aca="false">IF($E876="","",IF($B876="Tema",INDEX(Config!$D$6:$D$11,$D876),IFERROR(INDEX(Config!$E$15:$E$19,MATCH($I876,Config!$C$15:$C$19,0)),"•")))</f>
        <v/>
      </c>
      <c r="I876" s="114" t="str">
        <f aca="false">IF($E876="","",IF($B876="Tema",INDEX(Config!$E$6:$E$11,$D876),IF(INDEX(Avulsos!$D$6:$D$205,$C876)&amp;""="","Outro",INDEX(Avulsos!$D$6:$D$205,$C876))))</f>
        <v/>
      </c>
      <c r="J876" s="114" t="str">
        <f aca="false">IF($E876="","",IF($B876="Tema",INDEX(Temas!$C$6:$C$305,$C876)&amp;"",INDEX(Avulsos!$E$6:$E$205,$C876)&amp;""))</f>
        <v/>
      </c>
      <c r="K876" s="114" t="str">
        <f aca="false">IF($E876="","",IF(IF($B876="Tema",INDEX(Temas!$E$6:$P$305,$C876,2*$D876),INDEX(Avulsos!$F$6:$F$205,$C876))&amp;""="","","✓"))</f>
        <v/>
      </c>
      <c r="L876" s="114" t="str">
        <f aca="true">IF($E876="","",IF($K876="✓","Concluído",IF($E876&lt;TODAY(),"Atrasado",IF($E876=TODAY(),"Hoje","Pendente"))))</f>
        <v/>
      </c>
      <c r="M876" s="114" t="str">
        <f aca="false">IF($E876="","",IF($K876="✓","✓ ","")&amp;IF(Config!$E$22="Sim",$H876&amp;" · ","")&amp;$F876)</f>
        <v/>
      </c>
      <c r="N876" s="114" t="str">
        <f aca="false">IF($E876="","",IFERROR(INDEX(Config!$D$15:$D$19,MATCH($I876,Config!$C$15:$C$19,0)),"OUT")&amp;IF($K876="✓","x",""))</f>
        <v/>
      </c>
      <c r="O876" s="114" t="str">
        <f aca="false">IF($E876="","",COUNTIF($E$5:$E876,$E876))</f>
        <v/>
      </c>
      <c r="P876" s="114" t="str">
        <f aca="false">IF($E876="","",$E876*100+$O876)</f>
        <v/>
      </c>
      <c r="Q876" s="114" t="str">
        <f aca="false">IF($L876="Atrasado",$E876*10000+$A876,"")</f>
        <v/>
      </c>
    </row>
    <row r="877" customFormat="false" ht="15" hidden="false" customHeight="false" outlineLevel="0" collapsed="false">
      <c r="A877" s="114" t="n">
        <f aca="false">ROW()-4</f>
        <v>873</v>
      </c>
      <c r="B877" s="114" t="str">
        <f aca="false">IF(A877&lt;=Config!$E$27*Config!$E$28,"Tema","Avulso")</f>
        <v>Tema</v>
      </c>
      <c r="C877" s="114" t="n">
        <f aca="false">IF(B877="Tema",INT((A877-1)/Config!$E$28)+1,A877-Config!$E$27*Config!$E$28)</f>
        <v>146</v>
      </c>
      <c r="D877" s="114" t="n">
        <f aca="false">IF(B877="Tema",MOD(A877-1,Config!$E$28)+1,"")</f>
        <v>3</v>
      </c>
      <c r="E877" s="115" t="str">
        <f aca="false">IF($B877="Tema",IF(ISNUMBER(INDEX(Temas!$E$6:$P$305,$C877,2*$D877-1)),INDEX(Temas!$E$6:$P$305,$C877,2*$D877-1),""),IF(ISNUMBER(INDEX(Avulsos!$B$6:$B$205,$C877)),INDEX(Avulsos!$B$6:$B$205,$C877),""))</f>
        <v/>
      </c>
      <c r="F877" s="114" t="str">
        <f aca="false">IF($E877="","",IF($B877="Tema",INDEX(Temas!$B$6:$B$305,$C877)&amp;"",INDEX(Avulsos!$C$6:$C$205,$C877)&amp;""))</f>
        <v/>
      </c>
      <c r="G877" s="114" t="str">
        <f aca="false">IF($E877="","",IF($B877="Tema",INDEX(Config!$C$6:$C$11,$D877),"Evento avulso"))</f>
        <v/>
      </c>
      <c r="H877" s="114" t="str">
        <f aca="false">IF($E877="","",IF($B877="Tema",INDEX(Config!$D$6:$D$11,$D877),IFERROR(INDEX(Config!$E$15:$E$19,MATCH($I877,Config!$C$15:$C$19,0)),"•")))</f>
        <v/>
      </c>
      <c r="I877" s="114" t="str">
        <f aca="false">IF($E877="","",IF($B877="Tema",INDEX(Config!$E$6:$E$11,$D877),IF(INDEX(Avulsos!$D$6:$D$205,$C877)&amp;""="","Outro",INDEX(Avulsos!$D$6:$D$205,$C877))))</f>
        <v/>
      </c>
      <c r="J877" s="114" t="str">
        <f aca="false">IF($E877="","",IF($B877="Tema",INDEX(Temas!$C$6:$C$305,$C877)&amp;"",INDEX(Avulsos!$E$6:$E$205,$C877)&amp;""))</f>
        <v/>
      </c>
      <c r="K877" s="114" t="str">
        <f aca="false">IF($E877="","",IF(IF($B877="Tema",INDEX(Temas!$E$6:$P$305,$C877,2*$D877),INDEX(Avulsos!$F$6:$F$205,$C877))&amp;""="","","✓"))</f>
        <v/>
      </c>
      <c r="L877" s="114" t="str">
        <f aca="true">IF($E877="","",IF($K877="✓","Concluído",IF($E877&lt;TODAY(),"Atrasado",IF($E877=TODAY(),"Hoje","Pendente"))))</f>
        <v/>
      </c>
      <c r="M877" s="114" t="str">
        <f aca="false">IF($E877="","",IF($K877="✓","✓ ","")&amp;IF(Config!$E$22="Sim",$H877&amp;" · ","")&amp;$F877)</f>
        <v/>
      </c>
      <c r="N877" s="114" t="str">
        <f aca="false">IF($E877="","",IFERROR(INDEX(Config!$D$15:$D$19,MATCH($I877,Config!$C$15:$C$19,0)),"OUT")&amp;IF($K877="✓","x",""))</f>
        <v/>
      </c>
      <c r="O877" s="114" t="str">
        <f aca="false">IF($E877="","",COUNTIF($E$5:$E877,$E877))</f>
        <v/>
      </c>
      <c r="P877" s="114" t="str">
        <f aca="false">IF($E877="","",$E877*100+$O877)</f>
        <v/>
      </c>
      <c r="Q877" s="114" t="str">
        <f aca="false">IF($L877="Atrasado",$E877*10000+$A877,"")</f>
        <v/>
      </c>
    </row>
    <row r="878" customFormat="false" ht="15" hidden="false" customHeight="false" outlineLevel="0" collapsed="false">
      <c r="A878" s="114" t="n">
        <f aca="false">ROW()-4</f>
        <v>874</v>
      </c>
      <c r="B878" s="114" t="str">
        <f aca="false">IF(A878&lt;=Config!$E$27*Config!$E$28,"Tema","Avulso")</f>
        <v>Tema</v>
      </c>
      <c r="C878" s="114" t="n">
        <f aca="false">IF(B878="Tema",INT((A878-1)/Config!$E$28)+1,A878-Config!$E$27*Config!$E$28)</f>
        <v>146</v>
      </c>
      <c r="D878" s="114" t="n">
        <f aca="false">IF(B878="Tema",MOD(A878-1,Config!$E$28)+1,"")</f>
        <v>4</v>
      </c>
      <c r="E878" s="115" t="str">
        <f aca="false">IF($B878="Tema",IF(ISNUMBER(INDEX(Temas!$E$6:$P$305,$C878,2*$D878-1)),INDEX(Temas!$E$6:$P$305,$C878,2*$D878-1),""),IF(ISNUMBER(INDEX(Avulsos!$B$6:$B$205,$C878)),INDEX(Avulsos!$B$6:$B$205,$C878),""))</f>
        <v/>
      </c>
      <c r="F878" s="114" t="str">
        <f aca="false">IF($E878="","",IF($B878="Tema",INDEX(Temas!$B$6:$B$305,$C878)&amp;"",INDEX(Avulsos!$C$6:$C$205,$C878)&amp;""))</f>
        <v/>
      </c>
      <c r="G878" s="114" t="str">
        <f aca="false">IF($E878="","",IF($B878="Tema",INDEX(Config!$C$6:$C$11,$D878),"Evento avulso"))</f>
        <v/>
      </c>
      <c r="H878" s="114" t="str">
        <f aca="false">IF($E878="","",IF($B878="Tema",INDEX(Config!$D$6:$D$11,$D878),IFERROR(INDEX(Config!$E$15:$E$19,MATCH($I878,Config!$C$15:$C$19,0)),"•")))</f>
        <v/>
      </c>
      <c r="I878" s="114" t="str">
        <f aca="false">IF($E878="","",IF($B878="Tema",INDEX(Config!$E$6:$E$11,$D878),IF(INDEX(Avulsos!$D$6:$D$205,$C878)&amp;""="","Outro",INDEX(Avulsos!$D$6:$D$205,$C878))))</f>
        <v/>
      </c>
      <c r="J878" s="114" t="str">
        <f aca="false">IF($E878="","",IF($B878="Tema",INDEX(Temas!$C$6:$C$305,$C878)&amp;"",INDEX(Avulsos!$E$6:$E$205,$C878)&amp;""))</f>
        <v/>
      </c>
      <c r="K878" s="114" t="str">
        <f aca="false">IF($E878="","",IF(IF($B878="Tema",INDEX(Temas!$E$6:$P$305,$C878,2*$D878),INDEX(Avulsos!$F$6:$F$205,$C878))&amp;""="","","✓"))</f>
        <v/>
      </c>
      <c r="L878" s="114" t="str">
        <f aca="true">IF($E878="","",IF($K878="✓","Concluído",IF($E878&lt;TODAY(),"Atrasado",IF($E878=TODAY(),"Hoje","Pendente"))))</f>
        <v/>
      </c>
      <c r="M878" s="114" t="str">
        <f aca="false">IF($E878="","",IF($K878="✓","✓ ","")&amp;IF(Config!$E$22="Sim",$H878&amp;" · ","")&amp;$F878)</f>
        <v/>
      </c>
      <c r="N878" s="114" t="str">
        <f aca="false">IF($E878="","",IFERROR(INDEX(Config!$D$15:$D$19,MATCH($I878,Config!$C$15:$C$19,0)),"OUT")&amp;IF($K878="✓","x",""))</f>
        <v/>
      </c>
      <c r="O878" s="114" t="str">
        <f aca="false">IF($E878="","",COUNTIF($E$5:$E878,$E878))</f>
        <v/>
      </c>
      <c r="P878" s="114" t="str">
        <f aca="false">IF($E878="","",$E878*100+$O878)</f>
        <v/>
      </c>
      <c r="Q878" s="114" t="str">
        <f aca="false">IF($L878="Atrasado",$E878*10000+$A878,"")</f>
        <v/>
      </c>
    </row>
    <row r="879" customFormat="false" ht="15" hidden="false" customHeight="false" outlineLevel="0" collapsed="false">
      <c r="A879" s="114" t="n">
        <f aca="false">ROW()-4</f>
        <v>875</v>
      </c>
      <c r="B879" s="114" t="str">
        <f aca="false">IF(A879&lt;=Config!$E$27*Config!$E$28,"Tema","Avulso")</f>
        <v>Tema</v>
      </c>
      <c r="C879" s="114" t="n">
        <f aca="false">IF(B879="Tema",INT((A879-1)/Config!$E$28)+1,A879-Config!$E$27*Config!$E$28)</f>
        <v>146</v>
      </c>
      <c r="D879" s="114" t="n">
        <f aca="false">IF(B879="Tema",MOD(A879-1,Config!$E$28)+1,"")</f>
        <v>5</v>
      </c>
      <c r="E879" s="115" t="str">
        <f aca="false">IF($B879="Tema",IF(ISNUMBER(INDEX(Temas!$E$6:$P$305,$C879,2*$D879-1)),INDEX(Temas!$E$6:$P$305,$C879,2*$D879-1),""),IF(ISNUMBER(INDEX(Avulsos!$B$6:$B$205,$C879)),INDEX(Avulsos!$B$6:$B$205,$C879),""))</f>
        <v/>
      </c>
      <c r="F879" s="114" t="str">
        <f aca="false">IF($E879="","",IF($B879="Tema",INDEX(Temas!$B$6:$B$305,$C879)&amp;"",INDEX(Avulsos!$C$6:$C$205,$C879)&amp;""))</f>
        <v/>
      </c>
      <c r="G879" s="114" t="str">
        <f aca="false">IF($E879="","",IF($B879="Tema",INDEX(Config!$C$6:$C$11,$D879),"Evento avulso"))</f>
        <v/>
      </c>
      <c r="H879" s="114" t="str">
        <f aca="false">IF($E879="","",IF($B879="Tema",INDEX(Config!$D$6:$D$11,$D879),IFERROR(INDEX(Config!$E$15:$E$19,MATCH($I879,Config!$C$15:$C$19,0)),"•")))</f>
        <v/>
      </c>
      <c r="I879" s="114" t="str">
        <f aca="false">IF($E879="","",IF($B879="Tema",INDEX(Config!$E$6:$E$11,$D879),IF(INDEX(Avulsos!$D$6:$D$205,$C879)&amp;""="","Outro",INDEX(Avulsos!$D$6:$D$205,$C879))))</f>
        <v/>
      </c>
      <c r="J879" s="114" t="str">
        <f aca="false">IF($E879="","",IF($B879="Tema",INDEX(Temas!$C$6:$C$305,$C879)&amp;"",INDEX(Avulsos!$E$6:$E$205,$C879)&amp;""))</f>
        <v/>
      </c>
      <c r="K879" s="114" t="str">
        <f aca="false">IF($E879="","",IF(IF($B879="Tema",INDEX(Temas!$E$6:$P$305,$C879,2*$D879),INDEX(Avulsos!$F$6:$F$205,$C879))&amp;""="","","✓"))</f>
        <v/>
      </c>
      <c r="L879" s="114" t="str">
        <f aca="true">IF($E879="","",IF($K879="✓","Concluído",IF($E879&lt;TODAY(),"Atrasado",IF($E879=TODAY(),"Hoje","Pendente"))))</f>
        <v/>
      </c>
      <c r="M879" s="114" t="str">
        <f aca="false">IF($E879="","",IF($K879="✓","✓ ","")&amp;IF(Config!$E$22="Sim",$H879&amp;" · ","")&amp;$F879)</f>
        <v/>
      </c>
      <c r="N879" s="114" t="str">
        <f aca="false">IF($E879="","",IFERROR(INDEX(Config!$D$15:$D$19,MATCH($I879,Config!$C$15:$C$19,0)),"OUT")&amp;IF($K879="✓","x",""))</f>
        <v/>
      </c>
      <c r="O879" s="114" t="str">
        <f aca="false">IF($E879="","",COUNTIF($E$5:$E879,$E879))</f>
        <v/>
      </c>
      <c r="P879" s="114" t="str">
        <f aca="false">IF($E879="","",$E879*100+$O879)</f>
        <v/>
      </c>
      <c r="Q879" s="114" t="str">
        <f aca="false">IF($L879="Atrasado",$E879*10000+$A879,"")</f>
        <v/>
      </c>
    </row>
    <row r="880" customFormat="false" ht="15" hidden="false" customHeight="false" outlineLevel="0" collapsed="false">
      <c r="A880" s="114" t="n">
        <f aca="false">ROW()-4</f>
        <v>876</v>
      </c>
      <c r="B880" s="114" t="str">
        <f aca="false">IF(A880&lt;=Config!$E$27*Config!$E$28,"Tema","Avulso")</f>
        <v>Tema</v>
      </c>
      <c r="C880" s="114" t="n">
        <f aca="false">IF(B880="Tema",INT((A880-1)/Config!$E$28)+1,A880-Config!$E$27*Config!$E$28)</f>
        <v>146</v>
      </c>
      <c r="D880" s="114" t="n">
        <f aca="false">IF(B880="Tema",MOD(A880-1,Config!$E$28)+1,"")</f>
        <v>6</v>
      </c>
      <c r="E880" s="115" t="str">
        <f aca="false">IF($B880="Tema",IF(ISNUMBER(INDEX(Temas!$E$6:$P$305,$C880,2*$D880-1)),INDEX(Temas!$E$6:$P$305,$C880,2*$D880-1),""),IF(ISNUMBER(INDEX(Avulsos!$B$6:$B$205,$C880)),INDEX(Avulsos!$B$6:$B$205,$C880),""))</f>
        <v/>
      </c>
      <c r="F880" s="114" t="str">
        <f aca="false">IF($E880="","",IF($B880="Tema",INDEX(Temas!$B$6:$B$305,$C880)&amp;"",INDEX(Avulsos!$C$6:$C$205,$C880)&amp;""))</f>
        <v/>
      </c>
      <c r="G880" s="114" t="str">
        <f aca="false">IF($E880="","",IF($B880="Tema",INDEX(Config!$C$6:$C$11,$D880),"Evento avulso"))</f>
        <v/>
      </c>
      <c r="H880" s="114" t="str">
        <f aca="false">IF($E880="","",IF($B880="Tema",INDEX(Config!$D$6:$D$11,$D880),IFERROR(INDEX(Config!$E$15:$E$19,MATCH($I880,Config!$C$15:$C$19,0)),"•")))</f>
        <v/>
      </c>
      <c r="I880" s="114" t="str">
        <f aca="false">IF($E880="","",IF($B880="Tema",INDEX(Config!$E$6:$E$11,$D880),IF(INDEX(Avulsos!$D$6:$D$205,$C880)&amp;""="","Outro",INDEX(Avulsos!$D$6:$D$205,$C880))))</f>
        <v/>
      </c>
      <c r="J880" s="114" t="str">
        <f aca="false">IF($E880="","",IF($B880="Tema",INDEX(Temas!$C$6:$C$305,$C880)&amp;"",INDEX(Avulsos!$E$6:$E$205,$C880)&amp;""))</f>
        <v/>
      </c>
      <c r="K880" s="114" t="str">
        <f aca="false">IF($E880="","",IF(IF($B880="Tema",INDEX(Temas!$E$6:$P$305,$C880,2*$D880),INDEX(Avulsos!$F$6:$F$205,$C880))&amp;""="","","✓"))</f>
        <v/>
      </c>
      <c r="L880" s="114" t="str">
        <f aca="true">IF($E880="","",IF($K880="✓","Concluído",IF($E880&lt;TODAY(),"Atrasado",IF($E880=TODAY(),"Hoje","Pendente"))))</f>
        <v/>
      </c>
      <c r="M880" s="114" t="str">
        <f aca="false">IF($E880="","",IF($K880="✓","✓ ","")&amp;IF(Config!$E$22="Sim",$H880&amp;" · ","")&amp;$F880)</f>
        <v/>
      </c>
      <c r="N880" s="114" t="str">
        <f aca="false">IF($E880="","",IFERROR(INDEX(Config!$D$15:$D$19,MATCH($I880,Config!$C$15:$C$19,0)),"OUT")&amp;IF($K880="✓","x",""))</f>
        <v/>
      </c>
      <c r="O880" s="114" t="str">
        <f aca="false">IF($E880="","",COUNTIF($E$5:$E880,$E880))</f>
        <v/>
      </c>
      <c r="P880" s="114" t="str">
        <f aca="false">IF($E880="","",$E880*100+$O880)</f>
        <v/>
      </c>
      <c r="Q880" s="114" t="str">
        <f aca="false">IF($L880="Atrasado",$E880*10000+$A880,"")</f>
        <v/>
      </c>
    </row>
    <row r="881" customFormat="false" ht="15" hidden="false" customHeight="false" outlineLevel="0" collapsed="false">
      <c r="A881" s="114" t="n">
        <f aca="false">ROW()-4</f>
        <v>877</v>
      </c>
      <c r="B881" s="114" t="str">
        <f aca="false">IF(A881&lt;=Config!$E$27*Config!$E$28,"Tema","Avulso")</f>
        <v>Tema</v>
      </c>
      <c r="C881" s="114" t="n">
        <f aca="false">IF(B881="Tema",INT((A881-1)/Config!$E$28)+1,A881-Config!$E$27*Config!$E$28)</f>
        <v>147</v>
      </c>
      <c r="D881" s="114" t="n">
        <f aca="false">IF(B881="Tema",MOD(A881-1,Config!$E$28)+1,"")</f>
        <v>1</v>
      </c>
      <c r="E881" s="115" t="str">
        <f aca="false">IF($B881="Tema",IF(ISNUMBER(INDEX(Temas!$E$6:$P$305,$C881,2*$D881-1)),INDEX(Temas!$E$6:$P$305,$C881,2*$D881-1),""),IF(ISNUMBER(INDEX(Avulsos!$B$6:$B$205,$C881)),INDEX(Avulsos!$B$6:$B$205,$C881),""))</f>
        <v/>
      </c>
      <c r="F881" s="114" t="str">
        <f aca="false">IF($E881="","",IF($B881="Tema",INDEX(Temas!$B$6:$B$305,$C881)&amp;"",INDEX(Avulsos!$C$6:$C$205,$C881)&amp;""))</f>
        <v/>
      </c>
      <c r="G881" s="114" t="str">
        <f aca="false">IF($E881="","",IF($B881="Tema",INDEX(Config!$C$6:$C$11,$D881),"Evento avulso"))</f>
        <v/>
      </c>
      <c r="H881" s="114" t="str">
        <f aca="false">IF($E881="","",IF($B881="Tema",INDEX(Config!$D$6:$D$11,$D881),IFERROR(INDEX(Config!$E$15:$E$19,MATCH($I881,Config!$C$15:$C$19,0)),"•")))</f>
        <v/>
      </c>
      <c r="I881" s="114" t="str">
        <f aca="false">IF($E881="","",IF($B881="Tema",INDEX(Config!$E$6:$E$11,$D881),IF(INDEX(Avulsos!$D$6:$D$205,$C881)&amp;""="","Outro",INDEX(Avulsos!$D$6:$D$205,$C881))))</f>
        <v/>
      </c>
      <c r="J881" s="114" t="str">
        <f aca="false">IF($E881="","",IF($B881="Tema",INDEX(Temas!$C$6:$C$305,$C881)&amp;"",INDEX(Avulsos!$E$6:$E$205,$C881)&amp;""))</f>
        <v/>
      </c>
      <c r="K881" s="114" t="str">
        <f aca="false">IF($E881="","",IF(IF($B881="Tema",INDEX(Temas!$E$6:$P$305,$C881,2*$D881),INDEX(Avulsos!$F$6:$F$205,$C881))&amp;""="","","✓"))</f>
        <v/>
      </c>
      <c r="L881" s="114" t="str">
        <f aca="true">IF($E881="","",IF($K881="✓","Concluído",IF($E881&lt;TODAY(),"Atrasado",IF($E881=TODAY(),"Hoje","Pendente"))))</f>
        <v/>
      </c>
      <c r="M881" s="114" t="str">
        <f aca="false">IF($E881="","",IF($K881="✓","✓ ","")&amp;IF(Config!$E$22="Sim",$H881&amp;" · ","")&amp;$F881)</f>
        <v/>
      </c>
      <c r="N881" s="114" t="str">
        <f aca="false">IF($E881="","",IFERROR(INDEX(Config!$D$15:$D$19,MATCH($I881,Config!$C$15:$C$19,0)),"OUT")&amp;IF($K881="✓","x",""))</f>
        <v/>
      </c>
      <c r="O881" s="114" t="str">
        <f aca="false">IF($E881="","",COUNTIF($E$5:$E881,$E881))</f>
        <v/>
      </c>
      <c r="P881" s="114" t="str">
        <f aca="false">IF($E881="","",$E881*100+$O881)</f>
        <v/>
      </c>
      <c r="Q881" s="114" t="str">
        <f aca="false">IF($L881="Atrasado",$E881*10000+$A881,"")</f>
        <v/>
      </c>
    </row>
    <row r="882" customFormat="false" ht="15" hidden="false" customHeight="false" outlineLevel="0" collapsed="false">
      <c r="A882" s="114" t="n">
        <f aca="false">ROW()-4</f>
        <v>878</v>
      </c>
      <c r="B882" s="114" t="str">
        <f aca="false">IF(A882&lt;=Config!$E$27*Config!$E$28,"Tema","Avulso")</f>
        <v>Tema</v>
      </c>
      <c r="C882" s="114" t="n">
        <f aca="false">IF(B882="Tema",INT((A882-1)/Config!$E$28)+1,A882-Config!$E$27*Config!$E$28)</f>
        <v>147</v>
      </c>
      <c r="D882" s="114" t="n">
        <f aca="false">IF(B882="Tema",MOD(A882-1,Config!$E$28)+1,"")</f>
        <v>2</v>
      </c>
      <c r="E882" s="115" t="str">
        <f aca="false">IF($B882="Tema",IF(ISNUMBER(INDEX(Temas!$E$6:$P$305,$C882,2*$D882-1)),INDEX(Temas!$E$6:$P$305,$C882,2*$D882-1),""),IF(ISNUMBER(INDEX(Avulsos!$B$6:$B$205,$C882)),INDEX(Avulsos!$B$6:$B$205,$C882),""))</f>
        <v/>
      </c>
      <c r="F882" s="114" t="str">
        <f aca="false">IF($E882="","",IF($B882="Tema",INDEX(Temas!$B$6:$B$305,$C882)&amp;"",INDEX(Avulsos!$C$6:$C$205,$C882)&amp;""))</f>
        <v/>
      </c>
      <c r="G882" s="114" t="str">
        <f aca="false">IF($E882="","",IF($B882="Tema",INDEX(Config!$C$6:$C$11,$D882),"Evento avulso"))</f>
        <v/>
      </c>
      <c r="H882" s="114" t="str">
        <f aca="false">IF($E882="","",IF($B882="Tema",INDEX(Config!$D$6:$D$11,$D882),IFERROR(INDEX(Config!$E$15:$E$19,MATCH($I882,Config!$C$15:$C$19,0)),"•")))</f>
        <v/>
      </c>
      <c r="I882" s="114" t="str">
        <f aca="false">IF($E882="","",IF($B882="Tema",INDEX(Config!$E$6:$E$11,$D882),IF(INDEX(Avulsos!$D$6:$D$205,$C882)&amp;""="","Outro",INDEX(Avulsos!$D$6:$D$205,$C882))))</f>
        <v/>
      </c>
      <c r="J882" s="114" t="str">
        <f aca="false">IF($E882="","",IF($B882="Tema",INDEX(Temas!$C$6:$C$305,$C882)&amp;"",INDEX(Avulsos!$E$6:$E$205,$C882)&amp;""))</f>
        <v/>
      </c>
      <c r="K882" s="114" t="str">
        <f aca="false">IF($E882="","",IF(IF($B882="Tema",INDEX(Temas!$E$6:$P$305,$C882,2*$D882),INDEX(Avulsos!$F$6:$F$205,$C882))&amp;""="","","✓"))</f>
        <v/>
      </c>
      <c r="L882" s="114" t="str">
        <f aca="true">IF($E882="","",IF($K882="✓","Concluído",IF($E882&lt;TODAY(),"Atrasado",IF($E882=TODAY(),"Hoje","Pendente"))))</f>
        <v/>
      </c>
      <c r="M882" s="114" t="str">
        <f aca="false">IF($E882="","",IF($K882="✓","✓ ","")&amp;IF(Config!$E$22="Sim",$H882&amp;" · ","")&amp;$F882)</f>
        <v/>
      </c>
      <c r="N882" s="114" t="str">
        <f aca="false">IF($E882="","",IFERROR(INDEX(Config!$D$15:$D$19,MATCH($I882,Config!$C$15:$C$19,0)),"OUT")&amp;IF($K882="✓","x",""))</f>
        <v/>
      </c>
      <c r="O882" s="114" t="str">
        <f aca="false">IF($E882="","",COUNTIF($E$5:$E882,$E882))</f>
        <v/>
      </c>
      <c r="P882" s="114" t="str">
        <f aca="false">IF($E882="","",$E882*100+$O882)</f>
        <v/>
      </c>
      <c r="Q882" s="114" t="str">
        <f aca="false">IF($L882="Atrasado",$E882*10000+$A882,"")</f>
        <v/>
      </c>
    </row>
    <row r="883" customFormat="false" ht="15" hidden="false" customHeight="false" outlineLevel="0" collapsed="false">
      <c r="A883" s="114" t="n">
        <f aca="false">ROW()-4</f>
        <v>879</v>
      </c>
      <c r="B883" s="114" t="str">
        <f aca="false">IF(A883&lt;=Config!$E$27*Config!$E$28,"Tema","Avulso")</f>
        <v>Tema</v>
      </c>
      <c r="C883" s="114" t="n">
        <f aca="false">IF(B883="Tema",INT((A883-1)/Config!$E$28)+1,A883-Config!$E$27*Config!$E$28)</f>
        <v>147</v>
      </c>
      <c r="D883" s="114" t="n">
        <f aca="false">IF(B883="Tema",MOD(A883-1,Config!$E$28)+1,"")</f>
        <v>3</v>
      </c>
      <c r="E883" s="115" t="str">
        <f aca="false">IF($B883="Tema",IF(ISNUMBER(INDEX(Temas!$E$6:$P$305,$C883,2*$D883-1)),INDEX(Temas!$E$6:$P$305,$C883,2*$D883-1),""),IF(ISNUMBER(INDEX(Avulsos!$B$6:$B$205,$C883)),INDEX(Avulsos!$B$6:$B$205,$C883),""))</f>
        <v/>
      </c>
      <c r="F883" s="114" t="str">
        <f aca="false">IF($E883="","",IF($B883="Tema",INDEX(Temas!$B$6:$B$305,$C883)&amp;"",INDEX(Avulsos!$C$6:$C$205,$C883)&amp;""))</f>
        <v/>
      </c>
      <c r="G883" s="114" t="str">
        <f aca="false">IF($E883="","",IF($B883="Tema",INDEX(Config!$C$6:$C$11,$D883),"Evento avulso"))</f>
        <v/>
      </c>
      <c r="H883" s="114" t="str">
        <f aca="false">IF($E883="","",IF($B883="Tema",INDEX(Config!$D$6:$D$11,$D883),IFERROR(INDEX(Config!$E$15:$E$19,MATCH($I883,Config!$C$15:$C$19,0)),"•")))</f>
        <v/>
      </c>
      <c r="I883" s="114" t="str">
        <f aca="false">IF($E883="","",IF($B883="Tema",INDEX(Config!$E$6:$E$11,$D883),IF(INDEX(Avulsos!$D$6:$D$205,$C883)&amp;""="","Outro",INDEX(Avulsos!$D$6:$D$205,$C883))))</f>
        <v/>
      </c>
      <c r="J883" s="114" t="str">
        <f aca="false">IF($E883="","",IF($B883="Tema",INDEX(Temas!$C$6:$C$305,$C883)&amp;"",INDEX(Avulsos!$E$6:$E$205,$C883)&amp;""))</f>
        <v/>
      </c>
      <c r="K883" s="114" t="str">
        <f aca="false">IF($E883="","",IF(IF($B883="Tema",INDEX(Temas!$E$6:$P$305,$C883,2*$D883),INDEX(Avulsos!$F$6:$F$205,$C883))&amp;""="","","✓"))</f>
        <v/>
      </c>
      <c r="L883" s="114" t="str">
        <f aca="true">IF($E883="","",IF($K883="✓","Concluído",IF($E883&lt;TODAY(),"Atrasado",IF($E883=TODAY(),"Hoje","Pendente"))))</f>
        <v/>
      </c>
      <c r="M883" s="114" t="str">
        <f aca="false">IF($E883="","",IF($K883="✓","✓ ","")&amp;IF(Config!$E$22="Sim",$H883&amp;" · ","")&amp;$F883)</f>
        <v/>
      </c>
      <c r="N883" s="114" t="str">
        <f aca="false">IF($E883="","",IFERROR(INDEX(Config!$D$15:$D$19,MATCH($I883,Config!$C$15:$C$19,0)),"OUT")&amp;IF($K883="✓","x",""))</f>
        <v/>
      </c>
      <c r="O883" s="114" t="str">
        <f aca="false">IF($E883="","",COUNTIF($E$5:$E883,$E883))</f>
        <v/>
      </c>
      <c r="P883" s="114" t="str">
        <f aca="false">IF($E883="","",$E883*100+$O883)</f>
        <v/>
      </c>
      <c r="Q883" s="114" t="str">
        <f aca="false">IF($L883="Atrasado",$E883*10000+$A883,"")</f>
        <v/>
      </c>
    </row>
    <row r="884" customFormat="false" ht="15" hidden="false" customHeight="false" outlineLevel="0" collapsed="false">
      <c r="A884" s="114" t="n">
        <f aca="false">ROW()-4</f>
        <v>880</v>
      </c>
      <c r="B884" s="114" t="str">
        <f aca="false">IF(A884&lt;=Config!$E$27*Config!$E$28,"Tema","Avulso")</f>
        <v>Tema</v>
      </c>
      <c r="C884" s="114" t="n">
        <f aca="false">IF(B884="Tema",INT((A884-1)/Config!$E$28)+1,A884-Config!$E$27*Config!$E$28)</f>
        <v>147</v>
      </c>
      <c r="D884" s="114" t="n">
        <f aca="false">IF(B884="Tema",MOD(A884-1,Config!$E$28)+1,"")</f>
        <v>4</v>
      </c>
      <c r="E884" s="115" t="str">
        <f aca="false">IF($B884="Tema",IF(ISNUMBER(INDEX(Temas!$E$6:$P$305,$C884,2*$D884-1)),INDEX(Temas!$E$6:$P$305,$C884,2*$D884-1),""),IF(ISNUMBER(INDEX(Avulsos!$B$6:$B$205,$C884)),INDEX(Avulsos!$B$6:$B$205,$C884),""))</f>
        <v/>
      </c>
      <c r="F884" s="114" t="str">
        <f aca="false">IF($E884="","",IF($B884="Tema",INDEX(Temas!$B$6:$B$305,$C884)&amp;"",INDEX(Avulsos!$C$6:$C$205,$C884)&amp;""))</f>
        <v/>
      </c>
      <c r="G884" s="114" t="str">
        <f aca="false">IF($E884="","",IF($B884="Tema",INDEX(Config!$C$6:$C$11,$D884),"Evento avulso"))</f>
        <v/>
      </c>
      <c r="H884" s="114" t="str">
        <f aca="false">IF($E884="","",IF($B884="Tema",INDEX(Config!$D$6:$D$11,$D884),IFERROR(INDEX(Config!$E$15:$E$19,MATCH($I884,Config!$C$15:$C$19,0)),"•")))</f>
        <v/>
      </c>
      <c r="I884" s="114" t="str">
        <f aca="false">IF($E884="","",IF($B884="Tema",INDEX(Config!$E$6:$E$11,$D884),IF(INDEX(Avulsos!$D$6:$D$205,$C884)&amp;""="","Outro",INDEX(Avulsos!$D$6:$D$205,$C884))))</f>
        <v/>
      </c>
      <c r="J884" s="114" t="str">
        <f aca="false">IF($E884="","",IF($B884="Tema",INDEX(Temas!$C$6:$C$305,$C884)&amp;"",INDEX(Avulsos!$E$6:$E$205,$C884)&amp;""))</f>
        <v/>
      </c>
      <c r="K884" s="114" t="str">
        <f aca="false">IF($E884="","",IF(IF($B884="Tema",INDEX(Temas!$E$6:$P$305,$C884,2*$D884),INDEX(Avulsos!$F$6:$F$205,$C884))&amp;""="","","✓"))</f>
        <v/>
      </c>
      <c r="L884" s="114" t="str">
        <f aca="true">IF($E884="","",IF($K884="✓","Concluído",IF($E884&lt;TODAY(),"Atrasado",IF($E884=TODAY(),"Hoje","Pendente"))))</f>
        <v/>
      </c>
      <c r="M884" s="114" t="str">
        <f aca="false">IF($E884="","",IF($K884="✓","✓ ","")&amp;IF(Config!$E$22="Sim",$H884&amp;" · ","")&amp;$F884)</f>
        <v/>
      </c>
      <c r="N884" s="114" t="str">
        <f aca="false">IF($E884="","",IFERROR(INDEX(Config!$D$15:$D$19,MATCH($I884,Config!$C$15:$C$19,0)),"OUT")&amp;IF($K884="✓","x",""))</f>
        <v/>
      </c>
      <c r="O884" s="114" t="str">
        <f aca="false">IF($E884="","",COUNTIF($E$5:$E884,$E884))</f>
        <v/>
      </c>
      <c r="P884" s="114" t="str">
        <f aca="false">IF($E884="","",$E884*100+$O884)</f>
        <v/>
      </c>
      <c r="Q884" s="114" t="str">
        <f aca="false">IF($L884="Atrasado",$E884*10000+$A884,"")</f>
        <v/>
      </c>
    </row>
    <row r="885" customFormat="false" ht="15" hidden="false" customHeight="false" outlineLevel="0" collapsed="false">
      <c r="A885" s="114" t="n">
        <f aca="false">ROW()-4</f>
        <v>881</v>
      </c>
      <c r="B885" s="114" t="str">
        <f aca="false">IF(A885&lt;=Config!$E$27*Config!$E$28,"Tema","Avulso")</f>
        <v>Tema</v>
      </c>
      <c r="C885" s="114" t="n">
        <f aca="false">IF(B885="Tema",INT((A885-1)/Config!$E$28)+1,A885-Config!$E$27*Config!$E$28)</f>
        <v>147</v>
      </c>
      <c r="D885" s="114" t="n">
        <f aca="false">IF(B885="Tema",MOD(A885-1,Config!$E$28)+1,"")</f>
        <v>5</v>
      </c>
      <c r="E885" s="115" t="str">
        <f aca="false">IF($B885="Tema",IF(ISNUMBER(INDEX(Temas!$E$6:$P$305,$C885,2*$D885-1)),INDEX(Temas!$E$6:$P$305,$C885,2*$D885-1),""),IF(ISNUMBER(INDEX(Avulsos!$B$6:$B$205,$C885)),INDEX(Avulsos!$B$6:$B$205,$C885),""))</f>
        <v/>
      </c>
      <c r="F885" s="114" t="str">
        <f aca="false">IF($E885="","",IF($B885="Tema",INDEX(Temas!$B$6:$B$305,$C885)&amp;"",INDEX(Avulsos!$C$6:$C$205,$C885)&amp;""))</f>
        <v/>
      </c>
      <c r="G885" s="114" t="str">
        <f aca="false">IF($E885="","",IF($B885="Tema",INDEX(Config!$C$6:$C$11,$D885),"Evento avulso"))</f>
        <v/>
      </c>
      <c r="H885" s="114" t="str">
        <f aca="false">IF($E885="","",IF($B885="Tema",INDEX(Config!$D$6:$D$11,$D885),IFERROR(INDEX(Config!$E$15:$E$19,MATCH($I885,Config!$C$15:$C$19,0)),"•")))</f>
        <v/>
      </c>
      <c r="I885" s="114" t="str">
        <f aca="false">IF($E885="","",IF($B885="Tema",INDEX(Config!$E$6:$E$11,$D885),IF(INDEX(Avulsos!$D$6:$D$205,$C885)&amp;""="","Outro",INDEX(Avulsos!$D$6:$D$205,$C885))))</f>
        <v/>
      </c>
      <c r="J885" s="114" t="str">
        <f aca="false">IF($E885="","",IF($B885="Tema",INDEX(Temas!$C$6:$C$305,$C885)&amp;"",INDEX(Avulsos!$E$6:$E$205,$C885)&amp;""))</f>
        <v/>
      </c>
      <c r="K885" s="114" t="str">
        <f aca="false">IF($E885="","",IF(IF($B885="Tema",INDEX(Temas!$E$6:$P$305,$C885,2*$D885),INDEX(Avulsos!$F$6:$F$205,$C885))&amp;""="","","✓"))</f>
        <v/>
      </c>
      <c r="L885" s="114" t="str">
        <f aca="true">IF($E885="","",IF($K885="✓","Concluído",IF($E885&lt;TODAY(),"Atrasado",IF($E885=TODAY(),"Hoje","Pendente"))))</f>
        <v/>
      </c>
      <c r="M885" s="114" t="str">
        <f aca="false">IF($E885="","",IF($K885="✓","✓ ","")&amp;IF(Config!$E$22="Sim",$H885&amp;" · ","")&amp;$F885)</f>
        <v/>
      </c>
      <c r="N885" s="114" t="str">
        <f aca="false">IF($E885="","",IFERROR(INDEX(Config!$D$15:$D$19,MATCH($I885,Config!$C$15:$C$19,0)),"OUT")&amp;IF($K885="✓","x",""))</f>
        <v/>
      </c>
      <c r="O885" s="114" t="str">
        <f aca="false">IF($E885="","",COUNTIF($E$5:$E885,$E885))</f>
        <v/>
      </c>
      <c r="P885" s="114" t="str">
        <f aca="false">IF($E885="","",$E885*100+$O885)</f>
        <v/>
      </c>
      <c r="Q885" s="114" t="str">
        <f aca="false">IF($L885="Atrasado",$E885*10000+$A885,"")</f>
        <v/>
      </c>
    </row>
    <row r="886" customFormat="false" ht="15" hidden="false" customHeight="false" outlineLevel="0" collapsed="false">
      <c r="A886" s="114" t="n">
        <f aca="false">ROW()-4</f>
        <v>882</v>
      </c>
      <c r="B886" s="114" t="str">
        <f aca="false">IF(A886&lt;=Config!$E$27*Config!$E$28,"Tema","Avulso")</f>
        <v>Tema</v>
      </c>
      <c r="C886" s="114" t="n">
        <f aca="false">IF(B886="Tema",INT((A886-1)/Config!$E$28)+1,A886-Config!$E$27*Config!$E$28)</f>
        <v>147</v>
      </c>
      <c r="D886" s="114" t="n">
        <f aca="false">IF(B886="Tema",MOD(A886-1,Config!$E$28)+1,"")</f>
        <v>6</v>
      </c>
      <c r="E886" s="115" t="str">
        <f aca="false">IF($B886="Tema",IF(ISNUMBER(INDEX(Temas!$E$6:$P$305,$C886,2*$D886-1)),INDEX(Temas!$E$6:$P$305,$C886,2*$D886-1),""),IF(ISNUMBER(INDEX(Avulsos!$B$6:$B$205,$C886)),INDEX(Avulsos!$B$6:$B$205,$C886),""))</f>
        <v/>
      </c>
      <c r="F886" s="114" t="str">
        <f aca="false">IF($E886="","",IF($B886="Tema",INDEX(Temas!$B$6:$B$305,$C886)&amp;"",INDEX(Avulsos!$C$6:$C$205,$C886)&amp;""))</f>
        <v/>
      </c>
      <c r="G886" s="114" t="str">
        <f aca="false">IF($E886="","",IF($B886="Tema",INDEX(Config!$C$6:$C$11,$D886),"Evento avulso"))</f>
        <v/>
      </c>
      <c r="H886" s="114" t="str">
        <f aca="false">IF($E886="","",IF($B886="Tema",INDEX(Config!$D$6:$D$11,$D886),IFERROR(INDEX(Config!$E$15:$E$19,MATCH($I886,Config!$C$15:$C$19,0)),"•")))</f>
        <v/>
      </c>
      <c r="I886" s="114" t="str">
        <f aca="false">IF($E886="","",IF($B886="Tema",INDEX(Config!$E$6:$E$11,$D886),IF(INDEX(Avulsos!$D$6:$D$205,$C886)&amp;""="","Outro",INDEX(Avulsos!$D$6:$D$205,$C886))))</f>
        <v/>
      </c>
      <c r="J886" s="114" t="str">
        <f aca="false">IF($E886="","",IF($B886="Tema",INDEX(Temas!$C$6:$C$305,$C886)&amp;"",INDEX(Avulsos!$E$6:$E$205,$C886)&amp;""))</f>
        <v/>
      </c>
      <c r="K886" s="114" t="str">
        <f aca="false">IF($E886="","",IF(IF($B886="Tema",INDEX(Temas!$E$6:$P$305,$C886,2*$D886),INDEX(Avulsos!$F$6:$F$205,$C886))&amp;""="","","✓"))</f>
        <v/>
      </c>
      <c r="L886" s="114" t="str">
        <f aca="true">IF($E886="","",IF($K886="✓","Concluído",IF($E886&lt;TODAY(),"Atrasado",IF($E886=TODAY(),"Hoje","Pendente"))))</f>
        <v/>
      </c>
      <c r="M886" s="114" t="str">
        <f aca="false">IF($E886="","",IF($K886="✓","✓ ","")&amp;IF(Config!$E$22="Sim",$H886&amp;" · ","")&amp;$F886)</f>
        <v/>
      </c>
      <c r="N886" s="114" t="str">
        <f aca="false">IF($E886="","",IFERROR(INDEX(Config!$D$15:$D$19,MATCH($I886,Config!$C$15:$C$19,0)),"OUT")&amp;IF($K886="✓","x",""))</f>
        <v/>
      </c>
      <c r="O886" s="114" t="str">
        <f aca="false">IF($E886="","",COUNTIF($E$5:$E886,$E886))</f>
        <v/>
      </c>
      <c r="P886" s="114" t="str">
        <f aca="false">IF($E886="","",$E886*100+$O886)</f>
        <v/>
      </c>
      <c r="Q886" s="114" t="str">
        <f aca="false">IF($L886="Atrasado",$E886*10000+$A886,"")</f>
        <v/>
      </c>
    </row>
    <row r="887" customFormat="false" ht="15" hidden="false" customHeight="false" outlineLevel="0" collapsed="false">
      <c r="A887" s="114" t="n">
        <f aca="false">ROW()-4</f>
        <v>883</v>
      </c>
      <c r="B887" s="114" t="str">
        <f aca="false">IF(A887&lt;=Config!$E$27*Config!$E$28,"Tema","Avulso")</f>
        <v>Tema</v>
      </c>
      <c r="C887" s="114" t="n">
        <f aca="false">IF(B887="Tema",INT((A887-1)/Config!$E$28)+1,A887-Config!$E$27*Config!$E$28)</f>
        <v>148</v>
      </c>
      <c r="D887" s="114" t="n">
        <f aca="false">IF(B887="Tema",MOD(A887-1,Config!$E$28)+1,"")</f>
        <v>1</v>
      </c>
      <c r="E887" s="115" t="str">
        <f aca="false">IF($B887="Tema",IF(ISNUMBER(INDEX(Temas!$E$6:$P$305,$C887,2*$D887-1)),INDEX(Temas!$E$6:$P$305,$C887,2*$D887-1),""),IF(ISNUMBER(INDEX(Avulsos!$B$6:$B$205,$C887)),INDEX(Avulsos!$B$6:$B$205,$C887),""))</f>
        <v/>
      </c>
      <c r="F887" s="114" t="str">
        <f aca="false">IF($E887="","",IF($B887="Tema",INDEX(Temas!$B$6:$B$305,$C887)&amp;"",INDEX(Avulsos!$C$6:$C$205,$C887)&amp;""))</f>
        <v/>
      </c>
      <c r="G887" s="114" t="str">
        <f aca="false">IF($E887="","",IF($B887="Tema",INDEX(Config!$C$6:$C$11,$D887),"Evento avulso"))</f>
        <v/>
      </c>
      <c r="H887" s="114" t="str">
        <f aca="false">IF($E887="","",IF($B887="Tema",INDEX(Config!$D$6:$D$11,$D887),IFERROR(INDEX(Config!$E$15:$E$19,MATCH($I887,Config!$C$15:$C$19,0)),"•")))</f>
        <v/>
      </c>
      <c r="I887" s="114" t="str">
        <f aca="false">IF($E887="","",IF($B887="Tema",INDEX(Config!$E$6:$E$11,$D887),IF(INDEX(Avulsos!$D$6:$D$205,$C887)&amp;""="","Outro",INDEX(Avulsos!$D$6:$D$205,$C887))))</f>
        <v/>
      </c>
      <c r="J887" s="114" t="str">
        <f aca="false">IF($E887="","",IF($B887="Tema",INDEX(Temas!$C$6:$C$305,$C887)&amp;"",INDEX(Avulsos!$E$6:$E$205,$C887)&amp;""))</f>
        <v/>
      </c>
      <c r="K887" s="114" t="str">
        <f aca="false">IF($E887="","",IF(IF($B887="Tema",INDEX(Temas!$E$6:$P$305,$C887,2*$D887),INDEX(Avulsos!$F$6:$F$205,$C887))&amp;""="","","✓"))</f>
        <v/>
      </c>
      <c r="L887" s="114" t="str">
        <f aca="true">IF($E887="","",IF($K887="✓","Concluído",IF($E887&lt;TODAY(),"Atrasado",IF($E887=TODAY(),"Hoje","Pendente"))))</f>
        <v/>
      </c>
      <c r="M887" s="114" t="str">
        <f aca="false">IF($E887="","",IF($K887="✓","✓ ","")&amp;IF(Config!$E$22="Sim",$H887&amp;" · ","")&amp;$F887)</f>
        <v/>
      </c>
      <c r="N887" s="114" t="str">
        <f aca="false">IF($E887="","",IFERROR(INDEX(Config!$D$15:$D$19,MATCH($I887,Config!$C$15:$C$19,0)),"OUT")&amp;IF($K887="✓","x",""))</f>
        <v/>
      </c>
      <c r="O887" s="114" t="str">
        <f aca="false">IF($E887="","",COUNTIF($E$5:$E887,$E887))</f>
        <v/>
      </c>
      <c r="P887" s="114" t="str">
        <f aca="false">IF($E887="","",$E887*100+$O887)</f>
        <v/>
      </c>
      <c r="Q887" s="114" t="str">
        <f aca="false">IF($L887="Atrasado",$E887*10000+$A887,"")</f>
        <v/>
      </c>
    </row>
    <row r="888" customFormat="false" ht="15" hidden="false" customHeight="false" outlineLevel="0" collapsed="false">
      <c r="A888" s="114" t="n">
        <f aca="false">ROW()-4</f>
        <v>884</v>
      </c>
      <c r="B888" s="114" t="str">
        <f aca="false">IF(A888&lt;=Config!$E$27*Config!$E$28,"Tema","Avulso")</f>
        <v>Tema</v>
      </c>
      <c r="C888" s="114" t="n">
        <f aca="false">IF(B888="Tema",INT((A888-1)/Config!$E$28)+1,A888-Config!$E$27*Config!$E$28)</f>
        <v>148</v>
      </c>
      <c r="D888" s="114" t="n">
        <f aca="false">IF(B888="Tema",MOD(A888-1,Config!$E$28)+1,"")</f>
        <v>2</v>
      </c>
      <c r="E888" s="115" t="str">
        <f aca="false">IF($B888="Tema",IF(ISNUMBER(INDEX(Temas!$E$6:$P$305,$C888,2*$D888-1)),INDEX(Temas!$E$6:$P$305,$C888,2*$D888-1),""),IF(ISNUMBER(INDEX(Avulsos!$B$6:$B$205,$C888)),INDEX(Avulsos!$B$6:$B$205,$C888),""))</f>
        <v/>
      </c>
      <c r="F888" s="114" t="str">
        <f aca="false">IF($E888="","",IF($B888="Tema",INDEX(Temas!$B$6:$B$305,$C888)&amp;"",INDEX(Avulsos!$C$6:$C$205,$C888)&amp;""))</f>
        <v/>
      </c>
      <c r="G888" s="114" t="str">
        <f aca="false">IF($E888="","",IF($B888="Tema",INDEX(Config!$C$6:$C$11,$D888),"Evento avulso"))</f>
        <v/>
      </c>
      <c r="H888" s="114" t="str">
        <f aca="false">IF($E888="","",IF($B888="Tema",INDEX(Config!$D$6:$D$11,$D888),IFERROR(INDEX(Config!$E$15:$E$19,MATCH($I888,Config!$C$15:$C$19,0)),"•")))</f>
        <v/>
      </c>
      <c r="I888" s="114" t="str">
        <f aca="false">IF($E888="","",IF($B888="Tema",INDEX(Config!$E$6:$E$11,$D888),IF(INDEX(Avulsos!$D$6:$D$205,$C888)&amp;""="","Outro",INDEX(Avulsos!$D$6:$D$205,$C888))))</f>
        <v/>
      </c>
      <c r="J888" s="114" t="str">
        <f aca="false">IF($E888="","",IF($B888="Tema",INDEX(Temas!$C$6:$C$305,$C888)&amp;"",INDEX(Avulsos!$E$6:$E$205,$C888)&amp;""))</f>
        <v/>
      </c>
      <c r="K888" s="114" t="str">
        <f aca="false">IF($E888="","",IF(IF($B888="Tema",INDEX(Temas!$E$6:$P$305,$C888,2*$D888),INDEX(Avulsos!$F$6:$F$205,$C888))&amp;""="","","✓"))</f>
        <v/>
      </c>
      <c r="L888" s="114" t="str">
        <f aca="true">IF($E888="","",IF($K888="✓","Concluído",IF($E888&lt;TODAY(),"Atrasado",IF($E888=TODAY(),"Hoje","Pendente"))))</f>
        <v/>
      </c>
      <c r="M888" s="114" t="str">
        <f aca="false">IF($E888="","",IF($K888="✓","✓ ","")&amp;IF(Config!$E$22="Sim",$H888&amp;" · ","")&amp;$F888)</f>
        <v/>
      </c>
      <c r="N888" s="114" t="str">
        <f aca="false">IF($E888="","",IFERROR(INDEX(Config!$D$15:$D$19,MATCH($I888,Config!$C$15:$C$19,0)),"OUT")&amp;IF($K888="✓","x",""))</f>
        <v/>
      </c>
      <c r="O888" s="114" t="str">
        <f aca="false">IF($E888="","",COUNTIF($E$5:$E888,$E888))</f>
        <v/>
      </c>
      <c r="P888" s="114" t="str">
        <f aca="false">IF($E888="","",$E888*100+$O888)</f>
        <v/>
      </c>
      <c r="Q888" s="114" t="str">
        <f aca="false">IF($L888="Atrasado",$E888*10000+$A888,"")</f>
        <v/>
      </c>
    </row>
    <row r="889" customFormat="false" ht="15" hidden="false" customHeight="false" outlineLevel="0" collapsed="false">
      <c r="A889" s="114" t="n">
        <f aca="false">ROW()-4</f>
        <v>885</v>
      </c>
      <c r="B889" s="114" t="str">
        <f aca="false">IF(A889&lt;=Config!$E$27*Config!$E$28,"Tema","Avulso")</f>
        <v>Tema</v>
      </c>
      <c r="C889" s="114" t="n">
        <f aca="false">IF(B889="Tema",INT((A889-1)/Config!$E$28)+1,A889-Config!$E$27*Config!$E$28)</f>
        <v>148</v>
      </c>
      <c r="D889" s="114" t="n">
        <f aca="false">IF(B889="Tema",MOD(A889-1,Config!$E$28)+1,"")</f>
        <v>3</v>
      </c>
      <c r="E889" s="115" t="str">
        <f aca="false">IF($B889="Tema",IF(ISNUMBER(INDEX(Temas!$E$6:$P$305,$C889,2*$D889-1)),INDEX(Temas!$E$6:$P$305,$C889,2*$D889-1),""),IF(ISNUMBER(INDEX(Avulsos!$B$6:$B$205,$C889)),INDEX(Avulsos!$B$6:$B$205,$C889),""))</f>
        <v/>
      </c>
      <c r="F889" s="114" t="str">
        <f aca="false">IF($E889="","",IF($B889="Tema",INDEX(Temas!$B$6:$B$305,$C889)&amp;"",INDEX(Avulsos!$C$6:$C$205,$C889)&amp;""))</f>
        <v/>
      </c>
      <c r="G889" s="114" t="str">
        <f aca="false">IF($E889="","",IF($B889="Tema",INDEX(Config!$C$6:$C$11,$D889),"Evento avulso"))</f>
        <v/>
      </c>
      <c r="H889" s="114" t="str">
        <f aca="false">IF($E889="","",IF($B889="Tema",INDEX(Config!$D$6:$D$11,$D889),IFERROR(INDEX(Config!$E$15:$E$19,MATCH($I889,Config!$C$15:$C$19,0)),"•")))</f>
        <v/>
      </c>
      <c r="I889" s="114" t="str">
        <f aca="false">IF($E889="","",IF($B889="Tema",INDEX(Config!$E$6:$E$11,$D889),IF(INDEX(Avulsos!$D$6:$D$205,$C889)&amp;""="","Outro",INDEX(Avulsos!$D$6:$D$205,$C889))))</f>
        <v/>
      </c>
      <c r="J889" s="114" t="str">
        <f aca="false">IF($E889="","",IF($B889="Tema",INDEX(Temas!$C$6:$C$305,$C889)&amp;"",INDEX(Avulsos!$E$6:$E$205,$C889)&amp;""))</f>
        <v/>
      </c>
      <c r="K889" s="114" t="str">
        <f aca="false">IF($E889="","",IF(IF($B889="Tema",INDEX(Temas!$E$6:$P$305,$C889,2*$D889),INDEX(Avulsos!$F$6:$F$205,$C889))&amp;""="","","✓"))</f>
        <v/>
      </c>
      <c r="L889" s="114" t="str">
        <f aca="true">IF($E889="","",IF($K889="✓","Concluído",IF($E889&lt;TODAY(),"Atrasado",IF($E889=TODAY(),"Hoje","Pendente"))))</f>
        <v/>
      </c>
      <c r="M889" s="114" t="str">
        <f aca="false">IF($E889="","",IF($K889="✓","✓ ","")&amp;IF(Config!$E$22="Sim",$H889&amp;" · ","")&amp;$F889)</f>
        <v/>
      </c>
      <c r="N889" s="114" t="str">
        <f aca="false">IF($E889="","",IFERROR(INDEX(Config!$D$15:$D$19,MATCH($I889,Config!$C$15:$C$19,0)),"OUT")&amp;IF($K889="✓","x",""))</f>
        <v/>
      </c>
      <c r="O889" s="114" t="str">
        <f aca="false">IF($E889="","",COUNTIF($E$5:$E889,$E889))</f>
        <v/>
      </c>
      <c r="P889" s="114" t="str">
        <f aca="false">IF($E889="","",$E889*100+$O889)</f>
        <v/>
      </c>
      <c r="Q889" s="114" t="str">
        <f aca="false">IF($L889="Atrasado",$E889*10000+$A889,"")</f>
        <v/>
      </c>
    </row>
    <row r="890" customFormat="false" ht="15" hidden="false" customHeight="false" outlineLevel="0" collapsed="false">
      <c r="A890" s="114" t="n">
        <f aca="false">ROW()-4</f>
        <v>886</v>
      </c>
      <c r="B890" s="114" t="str">
        <f aca="false">IF(A890&lt;=Config!$E$27*Config!$E$28,"Tema","Avulso")</f>
        <v>Tema</v>
      </c>
      <c r="C890" s="114" t="n">
        <f aca="false">IF(B890="Tema",INT((A890-1)/Config!$E$28)+1,A890-Config!$E$27*Config!$E$28)</f>
        <v>148</v>
      </c>
      <c r="D890" s="114" t="n">
        <f aca="false">IF(B890="Tema",MOD(A890-1,Config!$E$28)+1,"")</f>
        <v>4</v>
      </c>
      <c r="E890" s="115" t="str">
        <f aca="false">IF($B890="Tema",IF(ISNUMBER(INDEX(Temas!$E$6:$P$305,$C890,2*$D890-1)),INDEX(Temas!$E$6:$P$305,$C890,2*$D890-1),""),IF(ISNUMBER(INDEX(Avulsos!$B$6:$B$205,$C890)),INDEX(Avulsos!$B$6:$B$205,$C890),""))</f>
        <v/>
      </c>
      <c r="F890" s="114" t="str">
        <f aca="false">IF($E890="","",IF($B890="Tema",INDEX(Temas!$B$6:$B$305,$C890)&amp;"",INDEX(Avulsos!$C$6:$C$205,$C890)&amp;""))</f>
        <v/>
      </c>
      <c r="G890" s="114" t="str">
        <f aca="false">IF($E890="","",IF($B890="Tema",INDEX(Config!$C$6:$C$11,$D890),"Evento avulso"))</f>
        <v/>
      </c>
      <c r="H890" s="114" t="str">
        <f aca="false">IF($E890="","",IF($B890="Tema",INDEX(Config!$D$6:$D$11,$D890),IFERROR(INDEX(Config!$E$15:$E$19,MATCH($I890,Config!$C$15:$C$19,0)),"•")))</f>
        <v/>
      </c>
      <c r="I890" s="114" t="str">
        <f aca="false">IF($E890="","",IF($B890="Tema",INDEX(Config!$E$6:$E$11,$D890),IF(INDEX(Avulsos!$D$6:$D$205,$C890)&amp;""="","Outro",INDEX(Avulsos!$D$6:$D$205,$C890))))</f>
        <v/>
      </c>
      <c r="J890" s="114" t="str">
        <f aca="false">IF($E890="","",IF($B890="Tema",INDEX(Temas!$C$6:$C$305,$C890)&amp;"",INDEX(Avulsos!$E$6:$E$205,$C890)&amp;""))</f>
        <v/>
      </c>
      <c r="K890" s="114" t="str">
        <f aca="false">IF($E890="","",IF(IF($B890="Tema",INDEX(Temas!$E$6:$P$305,$C890,2*$D890),INDEX(Avulsos!$F$6:$F$205,$C890))&amp;""="","","✓"))</f>
        <v/>
      </c>
      <c r="L890" s="114" t="str">
        <f aca="true">IF($E890="","",IF($K890="✓","Concluído",IF($E890&lt;TODAY(),"Atrasado",IF($E890=TODAY(),"Hoje","Pendente"))))</f>
        <v/>
      </c>
      <c r="M890" s="114" t="str">
        <f aca="false">IF($E890="","",IF($K890="✓","✓ ","")&amp;IF(Config!$E$22="Sim",$H890&amp;" · ","")&amp;$F890)</f>
        <v/>
      </c>
      <c r="N890" s="114" t="str">
        <f aca="false">IF($E890="","",IFERROR(INDEX(Config!$D$15:$D$19,MATCH($I890,Config!$C$15:$C$19,0)),"OUT")&amp;IF($K890="✓","x",""))</f>
        <v/>
      </c>
      <c r="O890" s="114" t="str">
        <f aca="false">IF($E890="","",COUNTIF($E$5:$E890,$E890))</f>
        <v/>
      </c>
      <c r="P890" s="114" t="str">
        <f aca="false">IF($E890="","",$E890*100+$O890)</f>
        <v/>
      </c>
      <c r="Q890" s="114" t="str">
        <f aca="false">IF($L890="Atrasado",$E890*10000+$A890,"")</f>
        <v/>
      </c>
    </row>
    <row r="891" customFormat="false" ht="15" hidden="false" customHeight="false" outlineLevel="0" collapsed="false">
      <c r="A891" s="114" t="n">
        <f aca="false">ROW()-4</f>
        <v>887</v>
      </c>
      <c r="B891" s="114" t="str">
        <f aca="false">IF(A891&lt;=Config!$E$27*Config!$E$28,"Tema","Avulso")</f>
        <v>Tema</v>
      </c>
      <c r="C891" s="114" t="n">
        <f aca="false">IF(B891="Tema",INT((A891-1)/Config!$E$28)+1,A891-Config!$E$27*Config!$E$28)</f>
        <v>148</v>
      </c>
      <c r="D891" s="114" t="n">
        <f aca="false">IF(B891="Tema",MOD(A891-1,Config!$E$28)+1,"")</f>
        <v>5</v>
      </c>
      <c r="E891" s="115" t="str">
        <f aca="false">IF($B891="Tema",IF(ISNUMBER(INDEX(Temas!$E$6:$P$305,$C891,2*$D891-1)),INDEX(Temas!$E$6:$P$305,$C891,2*$D891-1),""),IF(ISNUMBER(INDEX(Avulsos!$B$6:$B$205,$C891)),INDEX(Avulsos!$B$6:$B$205,$C891),""))</f>
        <v/>
      </c>
      <c r="F891" s="114" t="str">
        <f aca="false">IF($E891="","",IF($B891="Tema",INDEX(Temas!$B$6:$B$305,$C891)&amp;"",INDEX(Avulsos!$C$6:$C$205,$C891)&amp;""))</f>
        <v/>
      </c>
      <c r="G891" s="114" t="str">
        <f aca="false">IF($E891="","",IF($B891="Tema",INDEX(Config!$C$6:$C$11,$D891),"Evento avulso"))</f>
        <v/>
      </c>
      <c r="H891" s="114" t="str">
        <f aca="false">IF($E891="","",IF($B891="Tema",INDEX(Config!$D$6:$D$11,$D891),IFERROR(INDEX(Config!$E$15:$E$19,MATCH($I891,Config!$C$15:$C$19,0)),"•")))</f>
        <v/>
      </c>
      <c r="I891" s="114" t="str">
        <f aca="false">IF($E891="","",IF($B891="Tema",INDEX(Config!$E$6:$E$11,$D891),IF(INDEX(Avulsos!$D$6:$D$205,$C891)&amp;""="","Outro",INDEX(Avulsos!$D$6:$D$205,$C891))))</f>
        <v/>
      </c>
      <c r="J891" s="114" t="str">
        <f aca="false">IF($E891="","",IF($B891="Tema",INDEX(Temas!$C$6:$C$305,$C891)&amp;"",INDEX(Avulsos!$E$6:$E$205,$C891)&amp;""))</f>
        <v/>
      </c>
      <c r="K891" s="114" t="str">
        <f aca="false">IF($E891="","",IF(IF($B891="Tema",INDEX(Temas!$E$6:$P$305,$C891,2*$D891),INDEX(Avulsos!$F$6:$F$205,$C891))&amp;""="","","✓"))</f>
        <v/>
      </c>
      <c r="L891" s="114" t="str">
        <f aca="true">IF($E891="","",IF($K891="✓","Concluído",IF($E891&lt;TODAY(),"Atrasado",IF($E891=TODAY(),"Hoje","Pendente"))))</f>
        <v/>
      </c>
      <c r="M891" s="114" t="str">
        <f aca="false">IF($E891="","",IF($K891="✓","✓ ","")&amp;IF(Config!$E$22="Sim",$H891&amp;" · ","")&amp;$F891)</f>
        <v/>
      </c>
      <c r="N891" s="114" t="str">
        <f aca="false">IF($E891="","",IFERROR(INDEX(Config!$D$15:$D$19,MATCH($I891,Config!$C$15:$C$19,0)),"OUT")&amp;IF($K891="✓","x",""))</f>
        <v/>
      </c>
      <c r="O891" s="114" t="str">
        <f aca="false">IF($E891="","",COUNTIF($E$5:$E891,$E891))</f>
        <v/>
      </c>
      <c r="P891" s="114" t="str">
        <f aca="false">IF($E891="","",$E891*100+$O891)</f>
        <v/>
      </c>
      <c r="Q891" s="114" t="str">
        <f aca="false">IF($L891="Atrasado",$E891*10000+$A891,"")</f>
        <v/>
      </c>
    </row>
    <row r="892" customFormat="false" ht="15" hidden="false" customHeight="false" outlineLevel="0" collapsed="false">
      <c r="A892" s="114" t="n">
        <f aca="false">ROW()-4</f>
        <v>888</v>
      </c>
      <c r="B892" s="114" t="str">
        <f aca="false">IF(A892&lt;=Config!$E$27*Config!$E$28,"Tema","Avulso")</f>
        <v>Tema</v>
      </c>
      <c r="C892" s="114" t="n">
        <f aca="false">IF(B892="Tema",INT((A892-1)/Config!$E$28)+1,A892-Config!$E$27*Config!$E$28)</f>
        <v>148</v>
      </c>
      <c r="D892" s="114" t="n">
        <f aca="false">IF(B892="Tema",MOD(A892-1,Config!$E$28)+1,"")</f>
        <v>6</v>
      </c>
      <c r="E892" s="115" t="str">
        <f aca="false">IF($B892="Tema",IF(ISNUMBER(INDEX(Temas!$E$6:$P$305,$C892,2*$D892-1)),INDEX(Temas!$E$6:$P$305,$C892,2*$D892-1),""),IF(ISNUMBER(INDEX(Avulsos!$B$6:$B$205,$C892)),INDEX(Avulsos!$B$6:$B$205,$C892),""))</f>
        <v/>
      </c>
      <c r="F892" s="114" t="str">
        <f aca="false">IF($E892="","",IF($B892="Tema",INDEX(Temas!$B$6:$B$305,$C892)&amp;"",INDEX(Avulsos!$C$6:$C$205,$C892)&amp;""))</f>
        <v/>
      </c>
      <c r="G892" s="114" t="str">
        <f aca="false">IF($E892="","",IF($B892="Tema",INDEX(Config!$C$6:$C$11,$D892),"Evento avulso"))</f>
        <v/>
      </c>
      <c r="H892" s="114" t="str">
        <f aca="false">IF($E892="","",IF($B892="Tema",INDEX(Config!$D$6:$D$11,$D892),IFERROR(INDEX(Config!$E$15:$E$19,MATCH($I892,Config!$C$15:$C$19,0)),"•")))</f>
        <v/>
      </c>
      <c r="I892" s="114" t="str">
        <f aca="false">IF($E892="","",IF($B892="Tema",INDEX(Config!$E$6:$E$11,$D892),IF(INDEX(Avulsos!$D$6:$D$205,$C892)&amp;""="","Outro",INDEX(Avulsos!$D$6:$D$205,$C892))))</f>
        <v/>
      </c>
      <c r="J892" s="114" t="str">
        <f aca="false">IF($E892="","",IF($B892="Tema",INDEX(Temas!$C$6:$C$305,$C892)&amp;"",INDEX(Avulsos!$E$6:$E$205,$C892)&amp;""))</f>
        <v/>
      </c>
      <c r="K892" s="114" t="str">
        <f aca="false">IF($E892="","",IF(IF($B892="Tema",INDEX(Temas!$E$6:$P$305,$C892,2*$D892),INDEX(Avulsos!$F$6:$F$205,$C892))&amp;""="","","✓"))</f>
        <v/>
      </c>
      <c r="L892" s="114" t="str">
        <f aca="true">IF($E892="","",IF($K892="✓","Concluído",IF($E892&lt;TODAY(),"Atrasado",IF($E892=TODAY(),"Hoje","Pendente"))))</f>
        <v/>
      </c>
      <c r="M892" s="114" t="str">
        <f aca="false">IF($E892="","",IF($K892="✓","✓ ","")&amp;IF(Config!$E$22="Sim",$H892&amp;" · ","")&amp;$F892)</f>
        <v/>
      </c>
      <c r="N892" s="114" t="str">
        <f aca="false">IF($E892="","",IFERROR(INDEX(Config!$D$15:$D$19,MATCH($I892,Config!$C$15:$C$19,0)),"OUT")&amp;IF($K892="✓","x",""))</f>
        <v/>
      </c>
      <c r="O892" s="114" t="str">
        <f aca="false">IF($E892="","",COUNTIF($E$5:$E892,$E892))</f>
        <v/>
      </c>
      <c r="P892" s="114" t="str">
        <f aca="false">IF($E892="","",$E892*100+$O892)</f>
        <v/>
      </c>
      <c r="Q892" s="114" t="str">
        <f aca="false">IF($L892="Atrasado",$E892*10000+$A892,"")</f>
        <v/>
      </c>
    </row>
    <row r="893" customFormat="false" ht="15" hidden="false" customHeight="false" outlineLevel="0" collapsed="false">
      <c r="A893" s="114" t="n">
        <f aca="false">ROW()-4</f>
        <v>889</v>
      </c>
      <c r="B893" s="114" t="str">
        <f aca="false">IF(A893&lt;=Config!$E$27*Config!$E$28,"Tema","Avulso")</f>
        <v>Tema</v>
      </c>
      <c r="C893" s="114" t="n">
        <f aca="false">IF(B893="Tema",INT((A893-1)/Config!$E$28)+1,A893-Config!$E$27*Config!$E$28)</f>
        <v>149</v>
      </c>
      <c r="D893" s="114" t="n">
        <f aca="false">IF(B893="Tema",MOD(A893-1,Config!$E$28)+1,"")</f>
        <v>1</v>
      </c>
      <c r="E893" s="115" t="str">
        <f aca="false">IF($B893="Tema",IF(ISNUMBER(INDEX(Temas!$E$6:$P$305,$C893,2*$D893-1)),INDEX(Temas!$E$6:$P$305,$C893,2*$D893-1),""),IF(ISNUMBER(INDEX(Avulsos!$B$6:$B$205,$C893)),INDEX(Avulsos!$B$6:$B$205,$C893),""))</f>
        <v/>
      </c>
      <c r="F893" s="114" t="str">
        <f aca="false">IF($E893="","",IF($B893="Tema",INDEX(Temas!$B$6:$B$305,$C893)&amp;"",INDEX(Avulsos!$C$6:$C$205,$C893)&amp;""))</f>
        <v/>
      </c>
      <c r="G893" s="114" t="str">
        <f aca="false">IF($E893="","",IF($B893="Tema",INDEX(Config!$C$6:$C$11,$D893),"Evento avulso"))</f>
        <v/>
      </c>
      <c r="H893" s="114" t="str">
        <f aca="false">IF($E893="","",IF($B893="Tema",INDEX(Config!$D$6:$D$11,$D893),IFERROR(INDEX(Config!$E$15:$E$19,MATCH($I893,Config!$C$15:$C$19,0)),"•")))</f>
        <v/>
      </c>
      <c r="I893" s="114" t="str">
        <f aca="false">IF($E893="","",IF($B893="Tema",INDEX(Config!$E$6:$E$11,$D893),IF(INDEX(Avulsos!$D$6:$D$205,$C893)&amp;""="","Outro",INDEX(Avulsos!$D$6:$D$205,$C893))))</f>
        <v/>
      </c>
      <c r="J893" s="114" t="str">
        <f aca="false">IF($E893="","",IF($B893="Tema",INDEX(Temas!$C$6:$C$305,$C893)&amp;"",INDEX(Avulsos!$E$6:$E$205,$C893)&amp;""))</f>
        <v/>
      </c>
      <c r="K893" s="114" t="str">
        <f aca="false">IF($E893="","",IF(IF($B893="Tema",INDEX(Temas!$E$6:$P$305,$C893,2*$D893),INDEX(Avulsos!$F$6:$F$205,$C893))&amp;""="","","✓"))</f>
        <v/>
      </c>
      <c r="L893" s="114" t="str">
        <f aca="true">IF($E893="","",IF($K893="✓","Concluído",IF($E893&lt;TODAY(),"Atrasado",IF($E893=TODAY(),"Hoje","Pendente"))))</f>
        <v/>
      </c>
      <c r="M893" s="114" t="str">
        <f aca="false">IF($E893="","",IF($K893="✓","✓ ","")&amp;IF(Config!$E$22="Sim",$H893&amp;" · ","")&amp;$F893)</f>
        <v/>
      </c>
      <c r="N893" s="114" t="str">
        <f aca="false">IF($E893="","",IFERROR(INDEX(Config!$D$15:$D$19,MATCH($I893,Config!$C$15:$C$19,0)),"OUT")&amp;IF($K893="✓","x",""))</f>
        <v/>
      </c>
      <c r="O893" s="114" t="str">
        <f aca="false">IF($E893="","",COUNTIF($E$5:$E893,$E893))</f>
        <v/>
      </c>
      <c r="P893" s="114" t="str">
        <f aca="false">IF($E893="","",$E893*100+$O893)</f>
        <v/>
      </c>
      <c r="Q893" s="114" t="str">
        <f aca="false">IF($L893="Atrasado",$E893*10000+$A893,"")</f>
        <v/>
      </c>
    </row>
    <row r="894" customFormat="false" ht="15" hidden="false" customHeight="false" outlineLevel="0" collapsed="false">
      <c r="A894" s="114" t="n">
        <f aca="false">ROW()-4</f>
        <v>890</v>
      </c>
      <c r="B894" s="114" t="str">
        <f aca="false">IF(A894&lt;=Config!$E$27*Config!$E$28,"Tema","Avulso")</f>
        <v>Tema</v>
      </c>
      <c r="C894" s="114" t="n">
        <f aca="false">IF(B894="Tema",INT((A894-1)/Config!$E$28)+1,A894-Config!$E$27*Config!$E$28)</f>
        <v>149</v>
      </c>
      <c r="D894" s="114" t="n">
        <f aca="false">IF(B894="Tema",MOD(A894-1,Config!$E$28)+1,"")</f>
        <v>2</v>
      </c>
      <c r="E894" s="115" t="str">
        <f aca="false">IF($B894="Tema",IF(ISNUMBER(INDEX(Temas!$E$6:$P$305,$C894,2*$D894-1)),INDEX(Temas!$E$6:$P$305,$C894,2*$D894-1),""),IF(ISNUMBER(INDEX(Avulsos!$B$6:$B$205,$C894)),INDEX(Avulsos!$B$6:$B$205,$C894),""))</f>
        <v/>
      </c>
      <c r="F894" s="114" t="str">
        <f aca="false">IF($E894="","",IF($B894="Tema",INDEX(Temas!$B$6:$B$305,$C894)&amp;"",INDEX(Avulsos!$C$6:$C$205,$C894)&amp;""))</f>
        <v/>
      </c>
      <c r="G894" s="114" t="str">
        <f aca="false">IF($E894="","",IF($B894="Tema",INDEX(Config!$C$6:$C$11,$D894),"Evento avulso"))</f>
        <v/>
      </c>
      <c r="H894" s="114" t="str">
        <f aca="false">IF($E894="","",IF($B894="Tema",INDEX(Config!$D$6:$D$11,$D894),IFERROR(INDEX(Config!$E$15:$E$19,MATCH($I894,Config!$C$15:$C$19,0)),"•")))</f>
        <v/>
      </c>
      <c r="I894" s="114" t="str">
        <f aca="false">IF($E894="","",IF($B894="Tema",INDEX(Config!$E$6:$E$11,$D894),IF(INDEX(Avulsos!$D$6:$D$205,$C894)&amp;""="","Outro",INDEX(Avulsos!$D$6:$D$205,$C894))))</f>
        <v/>
      </c>
      <c r="J894" s="114" t="str">
        <f aca="false">IF($E894="","",IF($B894="Tema",INDEX(Temas!$C$6:$C$305,$C894)&amp;"",INDEX(Avulsos!$E$6:$E$205,$C894)&amp;""))</f>
        <v/>
      </c>
      <c r="K894" s="114" t="str">
        <f aca="false">IF($E894="","",IF(IF($B894="Tema",INDEX(Temas!$E$6:$P$305,$C894,2*$D894),INDEX(Avulsos!$F$6:$F$205,$C894))&amp;""="","","✓"))</f>
        <v/>
      </c>
      <c r="L894" s="114" t="str">
        <f aca="true">IF($E894="","",IF($K894="✓","Concluído",IF($E894&lt;TODAY(),"Atrasado",IF($E894=TODAY(),"Hoje","Pendente"))))</f>
        <v/>
      </c>
      <c r="M894" s="114" t="str">
        <f aca="false">IF($E894="","",IF($K894="✓","✓ ","")&amp;IF(Config!$E$22="Sim",$H894&amp;" · ","")&amp;$F894)</f>
        <v/>
      </c>
      <c r="N894" s="114" t="str">
        <f aca="false">IF($E894="","",IFERROR(INDEX(Config!$D$15:$D$19,MATCH($I894,Config!$C$15:$C$19,0)),"OUT")&amp;IF($K894="✓","x",""))</f>
        <v/>
      </c>
      <c r="O894" s="114" t="str">
        <f aca="false">IF($E894="","",COUNTIF($E$5:$E894,$E894))</f>
        <v/>
      </c>
      <c r="P894" s="114" t="str">
        <f aca="false">IF($E894="","",$E894*100+$O894)</f>
        <v/>
      </c>
      <c r="Q894" s="114" t="str">
        <f aca="false">IF($L894="Atrasado",$E894*10000+$A894,"")</f>
        <v/>
      </c>
    </row>
    <row r="895" customFormat="false" ht="15" hidden="false" customHeight="false" outlineLevel="0" collapsed="false">
      <c r="A895" s="114" t="n">
        <f aca="false">ROW()-4</f>
        <v>891</v>
      </c>
      <c r="B895" s="114" t="str">
        <f aca="false">IF(A895&lt;=Config!$E$27*Config!$E$28,"Tema","Avulso")</f>
        <v>Tema</v>
      </c>
      <c r="C895" s="114" t="n">
        <f aca="false">IF(B895="Tema",INT((A895-1)/Config!$E$28)+1,A895-Config!$E$27*Config!$E$28)</f>
        <v>149</v>
      </c>
      <c r="D895" s="114" t="n">
        <f aca="false">IF(B895="Tema",MOD(A895-1,Config!$E$28)+1,"")</f>
        <v>3</v>
      </c>
      <c r="E895" s="115" t="str">
        <f aca="false">IF($B895="Tema",IF(ISNUMBER(INDEX(Temas!$E$6:$P$305,$C895,2*$D895-1)),INDEX(Temas!$E$6:$P$305,$C895,2*$D895-1),""),IF(ISNUMBER(INDEX(Avulsos!$B$6:$B$205,$C895)),INDEX(Avulsos!$B$6:$B$205,$C895),""))</f>
        <v/>
      </c>
      <c r="F895" s="114" t="str">
        <f aca="false">IF($E895="","",IF($B895="Tema",INDEX(Temas!$B$6:$B$305,$C895)&amp;"",INDEX(Avulsos!$C$6:$C$205,$C895)&amp;""))</f>
        <v/>
      </c>
      <c r="G895" s="114" t="str">
        <f aca="false">IF($E895="","",IF($B895="Tema",INDEX(Config!$C$6:$C$11,$D895),"Evento avulso"))</f>
        <v/>
      </c>
      <c r="H895" s="114" t="str">
        <f aca="false">IF($E895="","",IF($B895="Tema",INDEX(Config!$D$6:$D$11,$D895),IFERROR(INDEX(Config!$E$15:$E$19,MATCH($I895,Config!$C$15:$C$19,0)),"•")))</f>
        <v/>
      </c>
      <c r="I895" s="114" t="str">
        <f aca="false">IF($E895="","",IF($B895="Tema",INDEX(Config!$E$6:$E$11,$D895),IF(INDEX(Avulsos!$D$6:$D$205,$C895)&amp;""="","Outro",INDEX(Avulsos!$D$6:$D$205,$C895))))</f>
        <v/>
      </c>
      <c r="J895" s="114" t="str">
        <f aca="false">IF($E895="","",IF($B895="Tema",INDEX(Temas!$C$6:$C$305,$C895)&amp;"",INDEX(Avulsos!$E$6:$E$205,$C895)&amp;""))</f>
        <v/>
      </c>
      <c r="K895" s="114" t="str">
        <f aca="false">IF($E895="","",IF(IF($B895="Tema",INDEX(Temas!$E$6:$P$305,$C895,2*$D895),INDEX(Avulsos!$F$6:$F$205,$C895))&amp;""="","","✓"))</f>
        <v/>
      </c>
      <c r="L895" s="114" t="str">
        <f aca="true">IF($E895="","",IF($K895="✓","Concluído",IF($E895&lt;TODAY(),"Atrasado",IF($E895=TODAY(),"Hoje","Pendente"))))</f>
        <v/>
      </c>
      <c r="M895" s="114" t="str">
        <f aca="false">IF($E895="","",IF($K895="✓","✓ ","")&amp;IF(Config!$E$22="Sim",$H895&amp;" · ","")&amp;$F895)</f>
        <v/>
      </c>
      <c r="N895" s="114" t="str">
        <f aca="false">IF($E895="","",IFERROR(INDEX(Config!$D$15:$D$19,MATCH($I895,Config!$C$15:$C$19,0)),"OUT")&amp;IF($K895="✓","x",""))</f>
        <v/>
      </c>
      <c r="O895" s="114" t="str">
        <f aca="false">IF($E895="","",COUNTIF($E$5:$E895,$E895))</f>
        <v/>
      </c>
      <c r="P895" s="114" t="str">
        <f aca="false">IF($E895="","",$E895*100+$O895)</f>
        <v/>
      </c>
      <c r="Q895" s="114" t="str">
        <f aca="false">IF($L895="Atrasado",$E895*10000+$A895,"")</f>
        <v/>
      </c>
    </row>
    <row r="896" customFormat="false" ht="15" hidden="false" customHeight="false" outlineLevel="0" collapsed="false">
      <c r="A896" s="114" t="n">
        <f aca="false">ROW()-4</f>
        <v>892</v>
      </c>
      <c r="B896" s="114" t="str">
        <f aca="false">IF(A896&lt;=Config!$E$27*Config!$E$28,"Tema","Avulso")</f>
        <v>Tema</v>
      </c>
      <c r="C896" s="114" t="n">
        <f aca="false">IF(B896="Tema",INT((A896-1)/Config!$E$28)+1,A896-Config!$E$27*Config!$E$28)</f>
        <v>149</v>
      </c>
      <c r="D896" s="114" t="n">
        <f aca="false">IF(B896="Tema",MOD(A896-1,Config!$E$28)+1,"")</f>
        <v>4</v>
      </c>
      <c r="E896" s="115" t="str">
        <f aca="false">IF($B896="Tema",IF(ISNUMBER(INDEX(Temas!$E$6:$P$305,$C896,2*$D896-1)),INDEX(Temas!$E$6:$P$305,$C896,2*$D896-1),""),IF(ISNUMBER(INDEX(Avulsos!$B$6:$B$205,$C896)),INDEX(Avulsos!$B$6:$B$205,$C896),""))</f>
        <v/>
      </c>
      <c r="F896" s="114" t="str">
        <f aca="false">IF($E896="","",IF($B896="Tema",INDEX(Temas!$B$6:$B$305,$C896)&amp;"",INDEX(Avulsos!$C$6:$C$205,$C896)&amp;""))</f>
        <v/>
      </c>
      <c r="G896" s="114" t="str">
        <f aca="false">IF($E896="","",IF($B896="Tema",INDEX(Config!$C$6:$C$11,$D896),"Evento avulso"))</f>
        <v/>
      </c>
      <c r="H896" s="114" t="str">
        <f aca="false">IF($E896="","",IF($B896="Tema",INDEX(Config!$D$6:$D$11,$D896),IFERROR(INDEX(Config!$E$15:$E$19,MATCH($I896,Config!$C$15:$C$19,0)),"•")))</f>
        <v/>
      </c>
      <c r="I896" s="114" t="str">
        <f aca="false">IF($E896="","",IF($B896="Tema",INDEX(Config!$E$6:$E$11,$D896),IF(INDEX(Avulsos!$D$6:$D$205,$C896)&amp;""="","Outro",INDEX(Avulsos!$D$6:$D$205,$C896))))</f>
        <v/>
      </c>
      <c r="J896" s="114" t="str">
        <f aca="false">IF($E896="","",IF($B896="Tema",INDEX(Temas!$C$6:$C$305,$C896)&amp;"",INDEX(Avulsos!$E$6:$E$205,$C896)&amp;""))</f>
        <v/>
      </c>
      <c r="K896" s="114" t="str">
        <f aca="false">IF($E896="","",IF(IF($B896="Tema",INDEX(Temas!$E$6:$P$305,$C896,2*$D896),INDEX(Avulsos!$F$6:$F$205,$C896))&amp;""="","","✓"))</f>
        <v/>
      </c>
      <c r="L896" s="114" t="str">
        <f aca="true">IF($E896="","",IF($K896="✓","Concluído",IF($E896&lt;TODAY(),"Atrasado",IF($E896=TODAY(),"Hoje","Pendente"))))</f>
        <v/>
      </c>
      <c r="M896" s="114" t="str">
        <f aca="false">IF($E896="","",IF($K896="✓","✓ ","")&amp;IF(Config!$E$22="Sim",$H896&amp;" · ","")&amp;$F896)</f>
        <v/>
      </c>
      <c r="N896" s="114" t="str">
        <f aca="false">IF($E896="","",IFERROR(INDEX(Config!$D$15:$D$19,MATCH($I896,Config!$C$15:$C$19,0)),"OUT")&amp;IF($K896="✓","x",""))</f>
        <v/>
      </c>
      <c r="O896" s="114" t="str">
        <f aca="false">IF($E896="","",COUNTIF($E$5:$E896,$E896))</f>
        <v/>
      </c>
      <c r="P896" s="114" t="str">
        <f aca="false">IF($E896="","",$E896*100+$O896)</f>
        <v/>
      </c>
      <c r="Q896" s="114" t="str">
        <f aca="false">IF($L896="Atrasado",$E896*10000+$A896,"")</f>
        <v/>
      </c>
    </row>
    <row r="897" customFormat="false" ht="15" hidden="false" customHeight="false" outlineLevel="0" collapsed="false">
      <c r="A897" s="114" t="n">
        <f aca="false">ROW()-4</f>
        <v>893</v>
      </c>
      <c r="B897" s="114" t="str">
        <f aca="false">IF(A897&lt;=Config!$E$27*Config!$E$28,"Tema","Avulso")</f>
        <v>Tema</v>
      </c>
      <c r="C897" s="114" t="n">
        <f aca="false">IF(B897="Tema",INT((A897-1)/Config!$E$28)+1,A897-Config!$E$27*Config!$E$28)</f>
        <v>149</v>
      </c>
      <c r="D897" s="114" t="n">
        <f aca="false">IF(B897="Tema",MOD(A897-1,Config!$E$28)+1,"")</f>
        <v>5</v>
      </c>
      <c r="E897" s="115" t="str">
        <f aca="false">IF($B897="Tema",IF(ISNUMBER(INDEX(Temas!$E$6:$P$305,$C897,2*$D897-1)),INDEX(Temas!$E$6:$P$305,$C897,2*$D897-1),""),IF(ISNUMBER(INDEX(Avulsos!$B$6:$B$205,$C897)),INDEX(Avulsos!$B$6:$B$205,$C897),""))</f>
        <v/>
      </c>
      <c r="F897" s="114" t="str">
        <f aca="false">IF($E897="","",IF($B897="Tema",INDEX(Temas!$B$6:$B$305,$C897)&amp;"",INDEX(Avulsos!$C$6:$C$205,$C897)&amp;""))</f>
        <v/>
      </c>
      <c r="G897" s="114" t="str">
        <f aca="false">IF($E897="","",IF($B897="Tema",INDEX(Config!$C$6:$C$11,$D897),"Evento avulso"))</f>
        <v/>
      </c>
      <c r="H897" s="114" t="str">
        <f aca="false">IF($E897="","",IF($B897="Tema",INDEX(Config!$D$6:$D$11,$D897),IFERROR(INDEX(Config!$E$15:$E$19,MATCH($I897,Config!$C$15:$C$19,0)),"•")))</f>
        <v/>
      </c>
      <c r="I897" s="114" t="str">
        <f aca="false">IF($E897="","",IF($B897="Tema",INDEX(Config!$E$6:$E$11,$D897),IF(INDEX(Avulsos!$D$6:$D$205,$C897)&amp;""="","Outro",INDEX(Avulsos!$D$6:$D$205,$C897))))</f>
        <v/>
      </c>
      <c r="J897" s="114" t="str">
        <f aca="false">IF($E897="","",IF($B897="Tema",INDEX(Temas!$C$6:$C$305,$C897)&amp;"",INDEX(Avulsos!$E$6:$E$205,$C897)&amp;""))</f>
        <v/>
      </c>
      <c r="K897" s="114" t="str">
        <f aca="false">IF($E897="","",IF(IF($B897="Tema",INDEX(Temas!$E$6:$P$305,$C897,2*$D897),INDEX(Avulsos!$F$6:$F$205,$C897))&amp;""="","","✓"))</f>
        <v/>
      </c>
      <c r="L897" s="114" t="str">
        <f aca="true">IF($E897="","",IF($K897="✓","Concluído",IF($E897&lt;TODAY(),"Atrasado",IF($E897=TODAY(),"Hoje","Pendente"))))</f>
        <v/>
      </c>
      <c r="M897" s="114" t="str">
        <f aca="false">IF($E897="","",IF($K897="✓","✓ ","")&amp;IF(Config!$E$22="Sim",$H897&amp;" · ","")&amp;$F897)</f>
        <v/>
      </c>
      <c r="N897" s="114" t="str">
        <f aca="false">IF($E897="","",IFERROR(INDEX(Config!$D$15:$D$19,MATCH($I897,Config!$C$15:$C$19,0)),"OUT")&amp;IF($K897="✓","x",""))</f>
        <v/>
      </c>
      <c r="O897" s="114" t="str">
        <f aca="false">IF($E897="","",COUNTIF($E$5:$E897,$E897))</f>
        <v/>
      </c>
      <c r="P897" s="114" t="str">
        <f aca="false">IF($E897="","",$E897*100+$O897)</f>
        <v/>
      </c>
      <c r="Q897" s="114" t="str">
        <f aca="false">IF($L897="Atrasado",$E897*10000+$A897,"")</f>
        <v/>
      </c>
    </row>
    <row r="898" customFormat="false" ht="15" hidden="false" customHeight="false" outlineLevel="0" collapsed="false">
      <c r="A898" s="114" t="n">
        <f aca="false">ROW()-4</f>
        <v>894</v>
      </c>
      <c r="B898" s="114" t="str">
        <f aca="false">IF(A898&lt;=Config!$E$27*Config!$E$28,"Tema","Avulso")</f>
        <v>Tema</v>
      </c>
      <c r="C898" s="114" t="n">
        <f aca="false">IF(B898="Tema",INT((A898-1)/Config!$E$28)+1,A898-Config!$E$27*Config!$E$28)</f>
        <v>149</v>
      </c>
      <c r="D898" s="114" t="n">
        <f aca="false">IF(B898="Tema",MOD(A898-1,Config!$E$28)+1,"")</f>
        <v>6</v>
      </c>
      <c r="E898" s="115" t="str">
        <f aca="false">IF($B898="Tema",IF(ISNUMBER(INDEX(Temas!$E$6:$P$305,$C898,2*$D898-1)),INDEX(Temas!$E$6:$P$305,$C898,2*$D898-1),""),IF(ISNUMBER(INDEX(Avulsos!$B$6:$B$205,$C898)),INDEX(Avulsos!$B$6:$B$205,$C898),""))</f>
        <v/>
      </c>
      <c r="F898" s="114" t="str">
        <f aca="false">IF($E898="","",IF($B898="Tema",INDEX(Temas!$B$6:$B$305,$C898)&amp;"",INDEX(Avulsos!$C$6:$C$205,$C898)&amp;""))</f>
        <v/>
      </c>
      <c r="G898" s="114" t="str">
        <f aca="false">IF($E898="","",IF($B898="Tema",INDEX(Config!$C$6:$C$11,$D898),"Evento avulso"))</f>
        <v/>
      </c>
      <c r="H898" s="114" t="str">
        <f aca="false">IF($E898="","",IF($B898="Tema",INDEX(Config!$D$6:$D$11,$D898),IFERROR(INDEX(Config!$E$15:$E$19,MATCH($I898,Config!$C$15:$C$19,0)),"•")))</f>
        <v/>
      </c>
      <c r="I898" s="114" t="str">
        <f aca="false">IF($E898="","",IF($B898="Tema",INDEX(Config!$E$6:$E$11,$D898),IF(INDEX(Avulsos!$D$6:$D$205,$C898)&amp;""="","Outro",INDEX(Avulsos!$D$6:$D$205,$C898))))</f>
        <v/>
      </c>
      <c r="J898" s="114" t="str">
        <f aca="false">IF($E898="","",IF($B898="Tema",INDEX(Temas!$C$6:$C$305,$C898)&amp;"",INDEX(Avulsos!$E$6:$E$205,$C898)&amp;""))</f>
        <v/>
      </c>
      <c r="K898" s="114" t="str">
        <f aca="false">IF($E898="","",IF(IF($B898="Tema",INDEX(Temas!$E$6:$P$305,$C898,2*$D898),INDEX(Avulsos!$F$6:$F$205,$C898))&amp;""="","","✓"))</f>
        <v/>
      </c>
      <c r="L898" s="114" t="str">
        <f aca="true">IF($E898="","",IF($K898="✓","Concluído",IF($E898&lt;TODAY(),"Atrasado",IF($E898=TODAY(),"Hoje","Pendente"))))</f>
        <v/>
      </c>
      <c r="M898" s="114" t="str">
        <f aca="false">IF($E898="","",IF($K898="✓","✓ ","")&amp;IF(Config!$E$22="Sim",$H898&amp;" · ","")&amp;$F898)</f>
        <v/>
      </c>
      <c r="N898" s="114" t="str">
        <f aca="false">IF($E898="","",IFERROR(INDEX(Config!$D$15:$D$19,MATCH($I898,Config!$C$15:$C$19,0)),"OUT")&amp;IF($K898="✓","x",""))</f>
        <v/>
      </c>
      <c r="O898" s="114" t="str">
        <f aca="false">IF($E898="","",COUNTIF($E$5:$E898,$E898))</f>
        <v/>
      </c>
      <c r="P898" s="114" t="str">
        <f aca="false">IF($E898="","",$E898*100+$O898)</f>
        <v/>
      </c>
      <c r="Q898" s="114" t="str">
        <f aca="false">IF($L898="Atrasado",$E898*10000+$A898,"")</f>
        <v/>
      </c>
    </row>
    <row r="899" customFormat="false" ht="15" hidden="false" customHeight="false" outlineLevel="0" collapsed="false">
      <c r="A899" s="114" t="n">
        <f aca="false">ROW()-4</f>
        <v>895</v>
      </c>
      <c r="B899" s="114" t="str">
        <f aca="false">IF(A899&lt;=Config!$E$27*Config!$E$28,"Tema","Avulso")</f>
        <v>Tema</v>
      </c>
      <c r="C899" s="114" t="n">
        <f aca="false">IF(B899="Tema",INT((A899-1)/Config!$E$28)+1,A899-Config!$E$27*Config!$E$28)</f>
        <v>150</v>
      </c>
      <c r="D899" s="114" t="n">
        <f aca="false">IF(B899="Tema",MOD(A899-1,Config!$E$28)+1,"")</f>
        <v>1</v>
      </c>
      <c r="E899" s="115" t="str">
        <f aca="false">IF($B899="Tema",IF(ISNUMBER(INDEX(Temas!$E$6:$P$305,$C899,2*$D899-1)),INDEX(Temas!$E$6:$P$305,$C899,2*$D899-1),""),IF(ISNUMBER(INDEX(Avulsos!$B$6:$B$205,$C899)),INDEX(Avulsos!$B$6:$B$205,$C899),""))</f>
        <v/>
      </c>
      <c r="F899" s="114" t="str">
        <f aca="false">IF($E899="","",IF($B899="Tema",INDEX(Temas!$B$6:$B$305,$C899)&amp;"",INDEX(Avulsos!$C$6:$C$205,$C899)&amp;""))</f>
        <v/>
      </c>
      <c r="G899" s="114" t="str">
        <f aca="false">IF($E899="","",IF($B899="Tema",INDEX(Config!$C$6:$C$11,$D899),"Evento avulso"))</f>
        <v/>
      </c>
      <c r="H899" s="114" t="str">
        <f aca="false">IF($E899="","",IF($B899="Tema",INDEX(Config!$D$6:$D$11,$D899),IFERROR(INDEX(Config!$E$15:$E$19,MATCH($I899,Config!$C$15:$C$19,0)),"•")))</f>
        <v/>
      </c>
      <c r="I899" s="114" t="str">
        <f aca="false">IF($E899="","",IF($B899="Tema",INDEX(Config!$E$6:$E$11,$D899),IF(INDEX(Avulsos!$D$6:$D$205,$C899)&amp;""="","Outro",INDEX(Avulsos!$D$6:$D$205,$C899))))</f>
        <v/>
      </c>
      <c r="J899" s="114" t="str">
        <f aca="false">IF($E899="","",IF($B899="Tema",INDEX(Temas!$C$6:$C$305,$C899)&amp;"",INDEX(Avulsos!$E$6:$E$205,$C899)&amp;""))</f>
        <v/>
      </c>
      <c r="K899" s="114" t="str">
        <f aca="false">IF($E899="","",IF(IF($B899="Tema",INDEX(Temas!$E$6:$P$305,$C899,2*$D899),INDEX(Avulsos!$F$6:$F$205,$C899))&amp;""="","","✓"))</f>
        <v/>
      </c>
      <c r="L899" s="114" t="str">
        <f aca="true">IF($E899="","",IF($K899="✓","Concluído",IF($E899&lt;TODAY(),"Atrasado",IF($E899=TODAY(),"Hoje","Pendente"))))</f>
        <v/>
      </c>
      <c r="M899" s="114" t="str">
        <f aca="false">IF($E899="","",IF($K899="✓","✓ ","")&amp;IF(Config!$E$22="Sim",$H899&amp;" · ","")&amp;$F899)</f>
        <v/>
      </c>
      <c r="N899" s="114" t="str">
        <f aca="false">IF($E899="","",IFERROR(INDEX(Config!$D$15:$D$19,MATCH($I899,Config!$C$15:$C$19,0)),"OUT")&amp;IF($K899="✓","x",""))</f>
        <v/>
      </c>
      <c r="O899" s="114" t="str">
        <f aca="false">IF($E899="","",COUNTIF($E$5:$E899,$E899))</f>
        <v/>
      </c>
      <c r="P899" s="114" t="str">
        <f aca="false">IF($E899="","",$E899*100+$O899)</f>
        <v/>
      </c>
      <c r="Q899" s="114" t="str">
        <f aca="false">IF($L899="Atrasado",$E899*10000+$A899,"")</f>
        <v/>
      </c>
    </row>
    <row r="900" customFormat="false" ht="15" hidden="false" customHeight="false" outlineLevel="0" collapsed="false">
      <c r="A900" s="114" t="n">
        <f aca="false">ROW()-4</f>
        <v>896</v>
      </c>
      <c r="B900" s="114" t="str">
        <f aca="false">IF(A900&lt;=Config!$E$27*Config!$E$28,"Tema","Avulso")</f>
        <v>Tema</v>
      </c>
      <c r="C900" s="114" t="n">
        <f aca="false">IF(B900="Tema",INT((A900-1)/Config!$E$28)+1,A900-Config!$E$27*Config!$E$28)</f>
        <v>150</v>
      </c>
      <c r="D900" s="114" t="n">
        <f aca="false">IF(B900="Tema",MOD(A900-1,Config!$E$28)+1,"")</f>
        <v>2</v>
      </c>
      <c r="E900" s="115" t="str">
        <f aca="false">IF($B900="Tema",IF(ISNUMBER(INDEX(Temas!$E$6:$P$305,$C900,2*$D900-1)),INDEX(Temas!$E$6:$P$305,$C900,2*$D900-1),""),IF(ISNUMBER(INDEX(Avulsos!$B$6:$B$205,$C900)),INDEX(Avulsos!$B$6:$B$205,$C900),""))</f>
        <v/>
      </c>
      <c r="F900" s="114" t="str">
        <f aca="false">IF($E900="","",IF($B900="Tema",INDEX(Temas!$B$6:$B$305,$C900)&amp;"",INDEX(Avulsos!$C$6:$C$205,$C900)&amp;""))</f>
        <v/>
      </c>
      <c r="G900" s="114" t="str">
        <f aca="false">IF($E900="","",IF($B900="Tema",INDEX(Config!$C$6:$C$11,$D900),"Evento avulso"))</f>
        <v/>
      </c>
      <c r="H900" s="114" t="str">
        <f aca="false">IF($E900="","",IF($B900="Tema",INDEX(Config!$D$6:$D$11,$D900),IFERROR(INDEX(Config!$E$15:$E$19,MATCH($I900,Config!$C$15:$C$19,0)),"•")))</f>
        <v/>
      </c>
      <c r="I900" s="114" t="str">
        <f aca="false">IF($E900="","",IF($B900="Tema",INDEX(Config!$E$6:$E$11,$D900),IF(INDEX(Avulsos!$D$6:$D$205,$C900)&amp;""="","Outro",INDEX(Avulsos!$D$6:$D$205,$C900))))</f>
        <v/>
      </c>
      <c r="J900" s="114" t="str">
        <f aca="false">IF($E900="","",IF($B900="Tema",INDEX(Temas!$C$6:$C$305,$C900)&amp;"",INDEX(Avulsos!$E$6:$E$205,$C900)&amp;""))</f>
        <v/>
      </c>
      <c r="K900" s="114" t="str">
        <f aca="false">IF($E900="","",IF(IF($B900="Tema",INDEX(Temas!$E$6:$P$305,$C900,2*$D900),INDEX(Avulsos!$F$6:$F$205,$C900))&amp;""="","","✓"))</f>
        <v/>
      </c>
      <c r="L900" s="114" t="str">
        <f aca="true">IF($E900="","",IF($K900="✓","Concluído",IF($E900&lt;TODAY(),"Atrasado",IF($E900=TODAY(),"Hoje","Pendente"))))</f>
        <v/>
      </c>
      <c r="M900" s="114" t="str">
        <f aca="false">IF($E900="","",IF($K900="✓","✓ ","")&amp;IF(Config!$E$22="Sim",$H900&amp;" · ","")&amp;$F900)</f>
        <v/>
      </c>
      <c r="N900" s="114" t="str">
        <f aca="false">IF($E900="","",IFERROR(INDEX(Config!$D$15:$D$19,MATCH($I900,Config!$C$15:$C$19,0)),"OUT")&amp;IF($K900="✓","x",""))</f>
        <v/>
      </c>
      <c r="O900" s="114" t="str">
        <f aca="false">IF($E900="","",COUNTIF($E$5:$E900,$E900))</f>
        <v/>
      </c>
      <c r="P900" s="114" t="str">
        <f aca="false">IF($E900="","",$E900*100+$O900)</f>
        <v/>
      </c>
      <c r="Q900" s="114" t="str">
        <f aca="false">IF($L900="Atrasado",$E900*10000+$A900,"")</f>
        <v/>
      </c>
    </row>
    <row r="901" customFormat="false" ht="15" hidden="false" customHeight="false" outlineLevel="0" collapsed="false">
      <c r="A901" s="114" t="n">
        <f aca="false">ROW()-4</f>
        <v>897</v>
      </c>
      <c r="B901" s="114" t="str">
        <f aca="false">IF(A901&lt;=Config!$E$27*Config!$E$28,"Tema","Avulso")</f>
        <v>Tema</v>
      </c>
      <c r="C901" s="114" t="n">
        <f aca="false">IF(B901="Tema",INT((A901-1)/Config!$E$28)+1,A901-Config!$E$27*Config!$E$28)</f>
        <v>150</v>
      </c>
      <c r="D901" s="114" t="n">
        <f aca="false">IF(B901="Tema",MOD(A901-1,Config!$E$28)+1,"")</f>
        <v>3</v>
      </c>
      <c r="E901" s="115" t="str">
        <f aca="false">IF($B901="Tema",IF(ISNUMBER(INDEX(Temas!$E$6:$P$305,$C901,2*$D901-1)),INDEX(Temas!$E$6:$P$305,$C901,2*$D901-1),""),IF(ISNUMBER(INDEX(Avulsos!$B$6:$B$205,$C901)),INDEX(Avulsos!$B$6:$B$205,$C901),""))</f>
        <v/>
      </c>
      <c r="F901" s="114" t="str">
        <f aca="false">IF($E901="","",IF($B901="Tema",INDEX(Temas!$B$6:$B$305,$C901)&amp;"",INDEX(Avulsos!$C$6:$C$205,$C901)&amp;""))</f>
        <v/>
      </c>
      <c r="G901" s="114" t="str">
        <f aca="false">IF($E901="","",IF($B901="Tema",INDEX(Config!$C$6:$C$11,$D901),"Evento avulso"))</f>
        <v/>
      </c>
      <c r="H901" s="114" t="str">
        <f aca="false">IF($E901="","",IF($B901="Tema",INDEX(Config!$D$6:$D$11,$D901),IFERROR(INDEX(Config!$E$15:$E$19,MATCH($I901,Config!$C$15:$C$19,0)),"•")))</f>
        <v/>
      </c>
      <c r="I901" s="114" t="str">
        <f aca="false">IF($E901="","",IF($B901="Tema",INDEX(Config!$E$6:$E$11,$D901),IF(INDEX(Avulsos!$D$6:$D$205,$C901)&amp;""="","Outro",INDEX(Avulsos!$D$6:$D$205,$C901))))</f>
        <v/>
      </c>
      <c r="J901" s="114" t="str">
        <f aca="false">IF($E901="","",IF($B901="Tema",INDEX(Temas!$C$6:$C$305,$C901)&amp;"",INDEX(Avulsos!$E$6:$E$205,$C901)&amp;""))</f>
        <v/>
      </c>
      <c r="K901" s="114" t="str">
        <f aca="false">IF($E901="","",IF(IF($B901="Tema",INDEX(Temas!$E$6:$P$305,$C901,2*$D901),INDEX(Avulsos!$F$6:$F$205,$C901))&amp;""="","","✓"))</f>
        <v/>
      </c>
      <c r="L901" s="114" t="str">
        <f aca="true">IF($E901="","",IF($K901="✓","Concluído",IF($E901&lt;TODAY(),"Atrasado",IF($E901=TODAY(),"Hoje","Pendente"))))</f>
        <v/>
      </c>
      <c r="M901" s="114" t="str">
        <f aca="false">IF($E901="","",IF($K901="✓","✓ ","")&amp;IF(Config!$E$22="Sim",$H901&amp;" · ","")&amp;$F901)</f>
        <v/>
      </c>
      <c r="N901" s="114" t="str">
        <f aca="false">IF($E901="","",IFERROR(INDEX(Config!$D$15:$D$19,MATCH($I901,Config!$C$15:$C$19,0)),"OUT")&amp;IF($K901="✓","x",""))</f>
        <v/>
      </c>
      <c r="O901" s="114" t="str">
        <f aca="false">IF($E901="","",COUNTIF($E$5:$E901,$E901))</f>
        <v/>
      </c>
      <c r="P901" s="114" t="str">
        <f aca="false">IF($E901="","",$E901*100+$O901)</f>
        <v/>
      </c>
      <c r="Q901" s="114" t="str">
        <f aca="false">IF($L901="Atrasado",$E901*10000+$A901,"")</f>
        <v/>
      </c>
    </row>
    <row r="902" customFormat="false" ht="15" hidden="false" customHeight="false" outlineLevel="0" collapsed="false">
      <c r="A902" s="114" t="n">
        <f aca="false">ROW()-4</f>
        <v>898</v>
      </c>
      <c r="B902" s="114" t="str">
        <f aca="false">IF(A902&lt;=Config!$E$27*Config!$E$28,"Tema","Avulso")</f>
        <v>Tema</v>
      </c>
      <c r="C902" s="114" t="n">
        <f aca="false">IF(B902="Tema",INT((A902-1)/Config!$E$28)+1,A902-Config!$E$27*Config!$E$28)</f>
        <v>150</v>
      </c>
      <c r="D902" s="114" t="n">
        <f aca="false">IF(B902="Tema",MOD(A902-1,Config!$E$28)+1,"")</f>
        <v>4</v>
      </c>
      <c r="E902" s="115" t="str">
        <f aca="false">IF($B902="Tema",IF(ISNUMBER(INDEX(Temas!$E$6:$P$305,$C902,2*$D902-1)),INDEX(Temas!$E$6:$P$305,$C902,2*$D902-1),""),IF(ISNUMBER(INDEX(Avulsos!$B$6:$B$205,$C902)),INDEX(Avulsos!$B$6:$B$205,$C902),""))</f>
        <v/>
      </c>
      <c r="F902" s="114" t="str">
        <f aca="false">IF($E902="","",IF($B902="Tema",INDEX(Temas!$B$6:$B$305,$C902)&amp;"",INDEX(Avulsos!$C$6:$C$205,$C902)&amp;""))</f>
        <v/>
      </c>
      <c r="G902" s="114" t="str">
        <f aca="false">IF($E902="","",IF($B902="Tema",INDEX(Config!$C$6:$C$11,$D902),"Evento avulso"))</f>
        <v/>
      </c>
      <c r="H902" s="114" t="str">
        <f aca="false">IF($E902="","",IF($B902="Tema",INDEX(Config!$D$6:$D$11,$D902),IFERROR(INDEX(Config!$E$15:$E$19,MATCH($I902,Config!$C$15:$C$19,0)),"•")))</f>
        <v/>
      </c>
      <c r="I902" s="114" t="str">
        <f aca="false">IF($E902="","",IF($B902="Tema",INDEX(Config!$E$6:$E$11,$D902),IF(INDEX(Avulsos!$D$6:$D$205,$C902)&amp;""="","Outro",INDEX(Avulsos!$D$6:$D$205,$C902))))</f>
        <v/>
      </c>
      <c r="J902" s="114" t="str">
        <f aca="false">IF($E902="","",IF($B902="Tema",INDEX(Temas!$C$6:$C$305,$C902)&amp;"",INDEX(Avulsos!$E$6:$E$205,$C902)&amp;""))</f>
        <v/>
      </c>
      <c r="K902" s="114" t="str">
        <f aca="false">IF($E902="","",IF(IF($B902="Tema",INDEX(Temas!$E$6:$P$305,$C902,2*$D902),INDEX(Avulsos!$F$6:$F$205,$C902))&amp;""="","","✓"))</f>
        <v/>
      </c>
      <c r="L902" s="114" t="str">
        <f aca="true">IF($E902="","",IF($K902="✓","Concluído",IF($E902&lt;TODAY(),"Atrasado",IF($E902=TODAY(),"Hoje","Pendente"))))</f>
        <v/>
      </c>
      <c r="M902" s="114" t="str">
        <f aca="false">IF($E902="","",IF($K902="✓","✓ ","")&amp;IF(Config!$E$22="Sim",$H902&amp;" · ","")&amp;$F902)</f>
        <v/>
      </c>
      <c r="N902" s="114" t="str">
        <f aca="false">IF($E902="","",IFERROR(INDEX(Config!$D$15:$D$19,MATCH($I902,Config!$C$15:$C$19,0)),"OUT")&amp;IF($K902="✓","x",""))</f>
        <v/>
      </c>
      <c r="O902" s="114" t="str">
        <f aca="false">IF($E902="","",COUNTIF($E$5:$E902,$E902))</f>
        <v/>
      </c>
      <c r="P902" s="114" t="str">
        <f aca="false">IF($E902="","",$E902*100+$O902)</f>
        <v/>
      </c>
      <c r="Q902" s="114" t="str">
        <f aca="false">IF($L902="Atrasado",$E902*10000+$A902,"")</f>
        <v/>
      </c>
    </row>
    <row r="903" customFormat="false" ht="15" hidden="false" customHeight="false" outlineLevel="0" collapsed="false">
      <c r="A903" s="114" t="n">
        <f aca="false">ROW()-4</f>
        <v>899</v>
      </c>
      <c r="B903" s="114" t="str">
        <f aca="false">IF(A903&lt;=Config!$E$27*Config!$E$28,"Tema","Avulso")</f>
        <v>Tema</v>
      </c>
      <c r="C903" s="114" t="n">
        <f aca="false">IF(B903="Tema",INT((A903-1)/Config!$E$28)+1,A903-Config!$E$27*Config!$E$28)</f>
        <v>150</v>
      </c>
      <c r="D903" s="114" t="n">
        <f aca="false">IF(B903="Tema",MOD(A903-1,Config!$E$28)+1,"")</f>
        <v>5</v>
      </c>
      <c r="E903" s="115" t="str">
        <f aca="false">IF($B903="Tema",IF(ISNUMBER(INDEX(Temas!$E$6:$P$305,$C903,2*$D903-1)),INDEX(Temas!$E$6:$P$305,$C903,2*$D903-1),""),IF(ISNUMBER(INDEX(Avulsos!$B$6:$B$205,$C903)),INDEX(Avulsos!$B$6:$B$205,$C903),""))</f>
        <v/>
      </c>
      <c r="F903" s="114" t="str">
        <f aca="false">IF($E903="","",IF($B903="Tema",INDEX(Temas!$B$6:$B$305,$C903)&amp;"",INDEX(Avulsos!$C$6:$C$205,$C903)&amp;""))</f>
        <v/>
      </c>
      <c r="G903" s="114" t="str">
        <f aca="false">IF($E903="","",IF($B903="Tema",INDEX(Config!$C$6:$C$11,$D903),"Evento avulso"))</f>
        <v/>
      </c>
      <c r="H903" s="114" t="str">
        <f aca="false">IF($E903="","",IF($B903="Tema",INDEX(Config!$D$6:$D$11,$D903),IFERROR(INDEX(Config!$E$15:$E$19,MATCH($I903,Config!$C$15:$C$19,0)),"•")))</f>
        <v/>
      </c>
      <c r="I903" s="114" t="str">
        <f aca="false">IF($E903="","",IF($B903="Tema",INDEX(Config!$E$6:$E$11,$D903),IF(INDEX(Avulsos!$D$6:$D$205,$C903)&amp;""="","Outro",INDEX(Avulsos!$D$6:$D$205,$C903))))</f>
        <v/>
      </c>
      <c r="J903" s="114" t="str">
        <f aca="false">IF($E903="","",IF($B903="Tema",INDEX(Temas!$C$6:$C$305,$C903)&amp;"",INDEX(Avulsos!$E$6:$E$205,$C903)&amp;""))</f>
        <v/>
      </c>
      <c r="K903" s="114" t="str">
        <f aca="false">IF($E903="","",IF(IF($B903="Tema",INDEX(Temas!$E$6:$P$305,$C903,2*$D903),INDEX(Avulsos!$F$6:$F$205,$C903))&amp;""="","","✓"))</f>
        <v/>
      </c>
      <c r="L903" s="114" t="str">
        <f aca="true">IF($E903="","",IF($K903="✓","Concluído",IF($E903&lt;TODAY(),"Atrasado",IF($E903=TODAY(),"Hoje","Pendente"))))</f>
        <v/>
      </c>
      <c r="M903" s="114" t="str">
        <f aca="false">IF($E903="","",IF($K903="✓","✓ ","")&amp;IF(Config!$E$22="Sim",$H903&amp;" · ","")&amp;$F903)</f>
        <v/>
      </c>
      <c r="N903" s="114" t="str">
        <f aca="false">IF($E903="","",IFERROR(INDEX(Config!$D$15:$D$19,MATCH($I903,Config!$C$15:$C$19,0)),"OUT")&amp;IF($K903="✓","x",""))</f>
        <v/>
      </c>
      <c r="O903" s="114" t="str">
        <f aca="false">IF($E903="","",COUNTIF($E$5:$E903,$E903))</f>
        <v/>
      </c>
      <c r="P903" s="114" t="str">
        <f aca="false">IF($E903="","",$E903*100+$O903)</f>
        <v/>
      </c>
      <c r="Q903" s="114" t="str">
        <f aca="false">IF($L903="Atrasado",$E903*10000+$A903,"")</f>
        <v/>
      </c>
    </row>
    <row r="904" customFormat="false" ht="15" hidden="false" customHeight="false" outlineLevel="0" collapsed="false">
      <c r="A904" s="114" t="n">
        <f aca="false">ROW()-4</f>
        <v>900</v>
      </c>
      <c r="B904" s="114" t="str">
        <f aca="false">IF(A904&lt;=Config!$E$27*Config!$E$28,"Tema","Avulso")</f>
        <v>Tema</v>
      </c>
      <c r="C904" s="114" t="n">
        <f aca="false">IF(B904="Tema",INT((A904-1)/Config!$E$28)+1,A904-Config!$E$27*Config!$E$28)</f>
        <v>150</v>
      </c>
      <c r="D904" s="114" t="n">
        <f aca="false">IF(B904="Tema",MOD(A904-1,Config!$E$28)+1,"")</f>
        <v>6</v>
      </c>
      <c r="E904" s="115" t="str">
        <f aca="false">IF($B904="Tema",IF(ISNUMBER(INDEX(Temas!$E$6:$P$305,$C904,2*$D904-1)),INDEX(Temas!$E$6:$P$305,$C904,2*$D904-1),""),IF(ISNUMBER(INDEX(Avulsos!$B$6:$B$205,$C904)),INDEX(Avulsos!$B$6:$B$205,$C904),""))</f>
        <v/>
      </c>
      <c r="F904" s="114" t="str">
        <f aca="false">IF($E904="","",IF($B904="Tema",INDEX(Temas!$B$6:$B$305,$C904)&amp;"",INDEX(Avulsos!$C$6:$C$205,$C904)&amp;""))</f>
        <v/>
      </c>
      <c r="G904" s="114" t="str">
        <f aca="false">IF($E904="","",IF($B904="Tema",INDEX(Config!$C$6:$C$11,$D904),"Evento avulso"))</f>
        <v/>
      </c>
      <c r="H904" s="114" t="str">
        <f aca="false">IF($E904="","",IF($B904="Tema",INDEX(Config!$D$6:$D$11,$D904),IFERROR(INDEX(Config!$E$15:$E$19,MATCH($I904,Config!$C$15:$C$19,0)),"•")))</f>
        <v/>
      </c>
      <c r="I904" s="114" t="str">
        <f aca="false">IF($E904="","",IF($B904="Tema",INDEX(Config!$E$6:$E$11,$D904),IF(INDEX(Avulsos!$D$6:$D$205,$C904)&amp;""="","Outro",INDEX(Avulsos!$D$6:$D$205,$C904))))</f>
        <v/>
      </c>
      <c r="J904" s="114" t="str">
        <f aca="false">IF($E904="","",IF($B904="Tema",INDEX(Temas!$C$6:$C$305,$C904)&amp;"",INDEX(Avulsos!$E$6:$E$205,$C904)&amp;""))</f>
        <v/>
      </c>
      <c r="K904" s="114" t="str">
        <f aca="false">IF($E904="","",IF(IF($B904="Tema",INDEX(Temas!$E$6:$P$305,$C904,2*$D904),INDEX(Avulsos!$F$6:$F$205,$C904))&amp;""="","","✓"))</f>
        <v/>
      </c>
      <c r="L904" s="114" t="str">
        <f aca="true">IF($E904="","",IF($K904="✓","Concluído",IF($E904&lt;TODAY(),"Atrasado",IF($E904=TODAY(),"Hoje","Pendente"))))</f>
        <v/>
      </c>
      <c r="M904" s="114" t="str">
        <f aca="false">IF($E904="","",IF($K904="✓","✓ ","")&amp;IF(Config!$E$22="Sim",$H904&amp;" · ","")&amp;$F904)</f>
        <v/>
      </c>
      <c r="N904" s="114" t="str">
        <f aca="false">IF($E904="","",IFERROR(INDEX(Config!$D$15:$D$19,MATCH($I904,Config!$C$15:$C$19,0)),"OUT")&amp;IF($K904="✓","x",""))</f>
        <v/>
      </c>
      <c r="O904" s="114" t="str">
        <f aca="false">IF($E904="","",COUNTIF($E$5:$E904,$E904))</f>
        <v/>
      </c>
      <c r="P904" s="114" t="str">
        <f aca="false">IF($E904="","",$E904*100+$O904)</f>
        <v/>
      </c>
      <c r="Q904" s="114" t="str">
        <f aca="false">IF($L904="Atrasado",$E904*10000+$A904,"")</f>
        <v/>
      </c>
    </row>
    <row r="905" customFormat="false" ht="15" hidden="false" customHeight="false" outlineLevel="0" collapsed="false">
      <c r="A905" s="114" t="n">
        <f aca="false">ROW()-4</f>
        <v>901</v>
      </c>
      <c r="B905" s="114" t="str">
        <f aca="false">IF(A905&lt;=Config!$E$27*Config!$E$28,"Tema","Avulso")</f>
        <v>Tema</v>
      </c>
      <c r="C905" s="114" t="n">
        <f aca="false">IF(B905="Tema",INT((A905-1)/Config!$E$28)+1,A905-Config!$E$27*Config!$E$28)</f>
        <v>151</v>
      </c>
      <c r="D905" s="114" t="n">
        <f aca="false">IF(B905="Tema",MOD(A905-1,Config!$E$28)+1,"")</f>
        <v>1</v>
      </c>
      <c r="E905" s="115" t="str">
        <f aca="false">IF($B905="Tema",IF(ISNUMBER(INDEX(Temas!$E$6:$P$305,$C905,2*$D905-1)),INDEX(Temas!$E$6:$P$305,$C905,2*$D905-1),""),IF(ISNUMBER(INDEX(Avulsos!$B$6:$B$205,$C905)),INDEX(Avulsos!$B$6:$B$205,$C905),""))</f>
        <v/>
      </c>
      <c r="F905" s="114" t="str">
        <f aca="false">IF($E905="","",IF($B905="Tema",INDEX(Temas!$B$6:$B$305,$C905)&amp;"",INDEX(Avulsos!$C$6:$C$205,$C905)&amp;""))</f>
        <v/>
      </c>
      <c r="G905" s="114" t="str">
        <f aca="false">IF($E905="","",IF($B905="Tema",INDEX(Config!$C$6:$C$11,$D905),"Evento avulso"))</f>
        <v/>
      </c>
      <c r="H905" s="114" t="str">
        <f aca="false">IF($E905="","",IF($B905="Tema",INDEX(Config!$D$6:$D$11,$D905),IFERROR(INDEX(Config!$E$15:$E$19,MATCH($I905,Config!$C$15:$C$19,0)),"•")))</f>
        <v/>
      </c>
      <c r="I905" s="114" t="str">
        <f aca="false">IF($E905="","",IF($B905="Tema",INDEX(Config!$E$6:$E$11,$D905),IF(INDEX(Avulsos!$D$6:$D$205,$C905)&amp;""="","Outro",INDEX(Avulsos!$D$6:$D$205,$C905))))</f>
        <v/>
      </c>
      <c r="J905" s="114" t="str">
        <f aca="false">IF($E905="","",IF($B905="Tema",INDEX(Temas!$C$6:$C$305,$C905)&amp;"",INDEX(Avulsos!$E$6:$E$205,$C905)&amp;""))</f>
        <v/>
      </c>
      <c r="K905" s="114" t="str">
        <f aca="false">IF($E905="","",IF(IF($B905="Tema",INDEX(Temas!$E$6:$P$305,$C905,2*$D905),INDEX(Avulsos!$F$6:$F$205,$C905))&amp;""="","","✓"))</f>
        <v/>
      </c>
      <c r="L905" s="114" t="str">
        <f aca="true">IF($E905="","",IF($K905="✓","Concluído",IF($E905&lt;TODAY(),"Atrasado",IF($E905=TODAY(),"Hoje","Pendente"))))</f>
        <v/>
      </c>
      <c r="M905" s="114" t="str">
        <f aca="false">IF($E905="","",IF($K905="✓","✓ ","")&amp;IF(Config!$E$22="Sim",$H905&amp;" · ","")&amp;$F905)</f>
        <v/>
      </c>
      <c r="N905" s="114" t="str">
        <f aca="false">IF($E905="","",IFERROR(INDEX(Config!$D$15:$D$19,MATCH($I905,Config!$C$15:$C$19,0)),"OUT")&amp;IF($K905="✓","x",""))</f>
        <v/>
      </c>
      <c r="O905" s="114" t="str">
        <f aca="false">IF($E905="","",COUNTIF($E$5:$E905,$E905))</f>
        <v/>
      </c>
      <c r="P905" s="114" t="str">
        <f aca="false">IF($E905="","",$E905*100+$O905)</f>
        <v/>
      </c>
      <c r="Q905" s="114" t="str">
        <f aca="false">IF($L905="Atrasado",$E905*10000+$A905,"")</f>
        <v/>
      </c>
    </row>
    <row r="906" customFormat="false" ht="15" hidden="false" customHeight="false" outlineLevel="0" collapsed="false">
      <c r="A906" s="114" t="n">
        <f aca="false">ROW()-4</f>
        <v>902</v>
      </c>
      <c r="B906" s="114" t="str">
        <f aca="false">IF(A906&lt;=Config!$E$27*Config!$E$28,"Tema","Avulso")</f>
        <v>Tema</v>
      </c>
      <c r="C906" s="114" t="n">
        <f aca="false">IF(B906="Tema",INT((A906-1)/Config!$E$28)+1,A906-Config!$E$27*Config!$E$28)</f>
        <v>151</v>
      </c>
      <c r="D906" s="114" t="n">
        <f aca="false">IF(B906="Tema",MOD(A906-1,Config!$E$28)+1,"")</f>
        <v>2</v>
      </c>
      <c r="E906" s="115" t="str">
        <f aca="false">IF($B906="Tema",IF(ISNUMBER(INDEX(Temas!$E$6:$P$305,$C906,2*$D906-1)),INDEX(Temas!$E$6:$P$305,$C906,2*$D906-1),""),IF(ISNUMBER(INDEX(Avulsos!$B$6:$B$205,$C906)),INDEX(Avulsos!$B$6:$B$205,$C906),""))</f>
        <v/>
      </c>
      <c r="F906" s="114" t="str">
        <f aca="false">IF($E906="","",IF($B906="Tema",INDEX(Temas!$B$6:$B$305,$C906)&amp;"",INDEX(Avulsos!$C$6:$C$205,$C906)&amp;""))</f>
        <v/>
      </c>
      <c r="G906" s="114" t="str">
        <f aca="false">IF($E906="","",IF($B906="Tema",INDEX(Config!$C$6:$C$11,$D906),"Evento avulso"))</f>
        <v/>
      </c>
      <c r="H906" s="114" t="str">
        <f aca="false">IF($E906="","",IF($B906="Tema",INDEX(Config!$D$6:$D$11,$D906),IFERROR(INDEX(Config!$E$15:$E$19,MATCH($I906,Config!$C$15:$C$19,0)),"•")))</f>
        <v/>
      </c>
      <c r="I906" s="114" t="str">
        <f aca="false">IF($E906="","",IF($B906="Tema",INDEX(Config!$E$6:$E$11,$D906),IF(INDEX(Avulsos!$D$6:$D$205,$C906)&amp;""="","Outro",INDEX(Avulsos!$D$6:$D$205,$C906))))</f>
        <v/>
      </c>
      <c r="J906" s="114" t="str">
        <f aca="false">IF($E906="","",IF($B906="Tema",INDEX(Temas!$C$6:$C$305,$C906)&amp;"",INDEX(Avulsos!$E$6:$E$205,$C906)&amp;""))</f>
        <v/>
      </c>
      <c r="K906" s="114" t="str">
        <f aca="false">IF($E906="","",IF(IF($B906="Tema",INDEX(Temas!$E$6:$P$305,$C906,2*$D906),INDEX(Avulsos!$F$6:$F$205,$C906))&amp;""="","","✓"))</f>
        <v/>
      </c>
      <c r="L906" s="114" t="str">
        <f aca="true">IF($E906="","",IF($K906="✓","Concluído",IF($E906&lt;TODAY(),"Atrasado",IF($E906=TODAY(),"Hoje","Pendente"))))</f>
        <v/>
      </c>
      <c r="M906" s="114" t="str">
        <f aca="false">IF($E906="","",IF($K906="✓","✓ ","")&amp;IF(Config!$E$22="Sim",$H906&amp;" · ","")&amp;$F906)</f>
        <v/>
      </c>
      <c r="N906" s="114" t="str">
        <f aca="false">IF($E906="","",IFERROR(INDEX(Config!$D$15:$D$19,MATCH($I906,Config!$C$15:$C$19,0)),"OUT")&amp;IF($K906="✓","x",""))</f>
        <v/>
      </c>
      <c r="O906" s="114" t="str">
        <f aca="false">IF($E906="","",COUNTIF($E$5:$E906,$E906))</f>
        <v/>
      </c>
      <c r="P906" s="114" t="str">
        <f aca="false">IF($E906="","",$E906*100+$O906)</f>
        <v/>
      </c>
      <c r="Q906" s="114" t="str">
        <f aca="false">IF($L906="Atrasado",$E906*10000+$A906,"")</f>
        <v/>
      </c>
    </row>
    <row r="907" customFormat="false" ht="15" hidden="false" customHeight="false" outlineLevel="0" collapsed="false">
      <c r="A907" s="114" t="n">
        <f aca="false">ROW()-4</f>
        <v>903</v>
      </c>
      <c r="B907" s="114" t="str">
        <f aca="false">IF(A907&lt;=Config!$E$27*Config!$E$28,"Tema","Avulso")</f>
        <v>Tema</v>
      </c>
      <c r="C907" s="114" t="n">
        <f aca="false">IF(B907="Tema",INT((A907-1)/Config!$E$28)+1,A907-Config!$E$27*Config!$E$28)</f>
        <v>151</v>
      </c>
      <c r="D907" s="114" t="n">
        <f aca="false">IF(B907="Tema",MOD(A907-1,Config!$E$28)+1,"")</f>
        <v>3</v>
      </c>
      <c r="E907" s="115" t="str">
        <f aca="false">IF($B907="Tema",IF(ISNUMBER(INDEX(Temas!$E$6:$P$305,$C907,2*$D907-1)),INDEX(Temas!$E$6:$P$305,$C907,2*$D907-1),""),IF(ISNUMBER(INDEX(Avulsos!$B$6:$B$205,$C907)),INDEX(Avulsos!$B$6:$B$205,$C907),""))</f>
        <v/>
      </c>
      <c r="F907" s="114" t="str">
        <f aca="false">IF($E907="","",IF($B907="Tema",INDEX(Temas!$B$6:$B$305,$C907)&amp;"",INDEX(Avulsos!$C$6:$C$205,$C907)&amp;""))</f>
        <v/>
      </c>
      <c r="G907" s="114" t="str">
        <f aca="false">IF($E907="","",IF($B907="Tema",INDEX(Config!$C$6:$C$11,$D907),"Evento avulso"))</f>
        <v/>
      </c>
      <c r="H907" s="114" t="str">
        <f aca="false">IF($E907="","",IF($B907="Tema",INDEX(Config!$D$6:$D$11,$D907),IFERROR(INDEX(Config!$E$15:$E$19,MATCH($I907,Config!$C$15:$C$19,0)),"•")))</f>
        <v/>
      </c>
      <c r="I907" s="114" t="str">
        <f aca="false">IF($E907="","",IF($B907="Tema",INDEX(Config!$E$6:$E$11,$D907),IF(INDEX(Avulsos!$D$6:$D$205,$C907)&amp;""="","Outro",INDEX(Avulsos!$D$6:$D$205,$C907))))</f>
        <v/>
      </c>
      <c r="J907" s="114" t="str">
        <f aca="false">IF($E907="","",IF($B907="Tema",INDEX(Temas!$C$6:$C$305,$C907)&amp;"",INDEX(Avulsos!$E$6:$E$205,$C907)&amp;""))</f>
        <v/>
      </c>
      <c r="K907" s="114" t="str">
        <f aca="false">IF($E907="","",IF(IF($B907="Tema",INDEX(Temas!$E$6:$P$305,$C907,2*$D907),INDEX(Avulsos!$F$6:$F$205,$C907))&amp;""="","","✓"))</f>
        <v/>
      </c>
      <c r="L907" s="114" t="str">
        <f aca="true">IF($E907="","",IF($K907="✓","Concluído",IF($E907&lt;TODAY(),"Atrasado",IF($E907=TODAY(),"Hoje","Pendente"))))</f>
        <v/>
      </c>
      <c r="M907" s="114" t="str">
        <f aca="false">IF($E907="","",IF($K907="✓","✓ ","")&amp;IF(Config!$E$22="Sim",$H907&amp;" · ","")&amp;$F907)</f>
        <v/>
      </c>
      <c r="N907" s="114" t="str">
        <f aca="false">IF($E907="","",IFERROR(INDEX(Config!$D$15:$D$19,MATCH($I907,Config!$C$15:$C$19,0)),"OUT")&amp;IF($K907="✓","x",""))</f>
        <v/>
      </c>
      <c r="O907" s="114" t="str">
        <f aca="false">IF($E907="","",COUNTIF($E$5:$E907,$E907))</f>
        <v/>
      </c>
      <c r="P907" s="114" t="str">
        <f aca="false">IF($E907="","",$E907*100+$O907)</f>
        <v/>
      </c>
      <c r="Q907" s="114" t="str">
        <f aca="false">IF($L907="Atrasado",$E907*10000+$A907,"")</f>
        <v/>
      </c>
    </row>
    <row r="908" customFormat="false" ht="15" hidden="false" customHeight="false" outlineLevel="0" collapsed="false">
      <c r="A908" s="114" t="n">
        <f aca="false">ROW()-4</f>
        <v>904</v>
      </c>
      <c r="B908" s="114" t="str">
        <f aca="false">IF(A908&lt;=Config!$E$27*Config!$E$28,"Tema","Avulso")</f>
        <v>Tema</v>
      </c>
      <c r="C908" s="114" t="n">
        <f aca="false">IF(B908="Tema",INT((A908-1)/Config!$E$28)+1,A908-Config!$E$27*Config!$E$28)</f>
        <v>151</v>
      </c>
      <c r="D908" s="114" t="n">
        <f aca="false">IF(B908="Tema",MOD(A908-1,Config!$E$28)+1,"")</f>
        <v>4</v>
      </c>
      <c r="E908" s="115" t="str">
        <f aca="false">IF($B908="Tema",IF(ISNUMBER(INDEX(Temas!$E$6:$P$305,$C908,2*$D908-1)),INDEX(Temas!$E$6:$P$305,$C908,2*$D908-1),""),IF(ISNUMBER(INDEX(Avulsos!$B$6:$B$205,$C908)),INDEX(Avulsos!$B$6:$B$205,$C908),""))</f>
        <v/>
      </c>
      <c r="F908" s="114" t="str">
        <f aca="false">IF($E908="","",IF($B908="Tema",INDEX(Temas!$B$6:$B$305,$C908)&amp;"",INDEX(Avulsos!$C$6:$C$205,$C908)&amp;""))</f>
        <v/>
      </c>
      <c r="G908" s="114" t="str">
        <f aca="false">IF($E908="","",IF($B908="Tema",INDEX(Config!$C$6:$C$11,$D908),"Evento avulso"))</f>
        <v/>
      </c>
      <c r="H908" s="114" t="str">
        <f aca="false">IF($E908="","",IF($B908="Tema",INDEX(Config!$D$6:$D$11,$D908),IFERROR(INDEX(Config!$E$15:$E$19,MATCH($I908,Config!$C$15:$C$19,0)),"•")))</f>
        <v/>
      </c>
      <c r="I908" s="114" t="str">
        <f aca="false">IF($E908="","",IF($B908="Tema",INDEX(Config!$E$6:$E$11,$D908),IF(INDEX(Avulsos!$D$6:$D$205,$C908)&amp;""="","Outro",INDEX(Avulsos!$D$6:$D$205,$C908))))</f>
        <v/>
      </c>
      <c r="J908" s="114" t="str">
        <f aca="false">IF($E908="","",IF($B908="Tema",INDEX(Temas!$C$6:$C$305,$C908)&amp;"",INDEX(Avulsos!$E$6:$E$205,$C908)&amp;""))</f>
        <v/>
      </c>
      <c r="K908" s="114" t="str">
        <f aca="false">IF($E908="","",IF(IF($B908="Tema",INDEX(Temas!$E$6:$P$305,$C908,2*$D908),INDEX(Avulsos!$F$6:$F$205,$C908))&amp;""="","","✓"))</f>
        <v/>
      </c>
      <c r="L908" s="114" t="str">
        <f aca="true">IF($E908="","",IF($K908="✓","Concluído",IF($E908&lt;TODAY(),"Atrasado",IF($E908=TODAY(),"Hoje","Pendente"))))</f>
        <v/>
      </c>
      <c r="M908" s="114" t="str">
        <f aca="false">IF($E908="","",IF($K908="✓","✓ ","")&amp;IF(Config!$E$22="Sim",$H908&amp;" · ","")&amp;$F908)</f>
        <v/>
      </c>
      <c r="N908" s="114" t="str">
        <f aca="false">IF($E908="","",IFERROR(INDEX(Config!$D$15:$D$19,MATCH($I908,Config!$C$15:$C$19,0)),"OUT")&amp;IF($K908="✓","x",""))</f>
        <v/>
      </c>
      <c r="O908" s="114" t="str">
        <f aca="false">IF($E908="","",COUNTIF($E$5:$E908,$E908))</f>
        <v/>
      </c>
      <c r="P908" s="114" t="str">
        <f aca="false">IF($E908="","",$E908*100+$O908)</f>
        <v/>
      </c>
      <c r="Q908" s="114" t="str">
        <f aca="false">IF($L908="Atrasado",$E908*10000+$A908,"")</f>
        <v/>
      </c>
    </row>
    <row r="909" customFormat="false" ht="15" hidden="false" customHeight="false" outlineLevel="0" collapsed="false">
      <c r="A909" s="114" t="n">
        <f aca="false">ROW()-4</f>
        <v>905</v>
      </c>
      <c r="B909" s="114" t="str">
        <f aca="false">IF(A909&lt;=Config!$E$27*Config!$E$28,"Tema","Avulso")</f>
        <v>Tema</v>
      </c>
      <c r="C909" s="114" t="n">
        <f aca="false">IF(B909="Tema",INT((A909-1)/Config!$E$28)+1,A909-Config!$E$27*Config!$E$28)</f>
        <v>151</v>
      </c>
      <c r="D909" s="114" t="n">
        <f aca="false">IF(B909="Tema",MOD(A909-1,Config!$E$28)+1,"")</f>
        <v>5</v>
      </c>
      <c r="E909" s="115" t="str">
        <f aca="false">IF($B909="Tema",IF(ISNUMBER(INDEX(Temas!$E$6:$P$305,$C909,2*$D909-1)),INDEX(Temas!$E$6:$P$305,$C909,2*$D909-1),""),IF(ISNUMBER(INDEX(Avulsos!$B$6:$B$205,$C909)),INDEX(Avulsos!$B$6:$B$205,$C909),""))</f>
        <v/>
      </c>
      <c r="F909" s="114" t="str">
        <f aca="false">IF($E909="","",IF($B909="Tema",INDEX(Temas!$B$6:$B$305,$C909)&amp;"",INDEX(Avulsos!$C$6:$C$205,$C909)&amp;""))</f>
        <v/>
      </c>
      <c r="G909" s="114" t="str">
        <f aca="false">IF($E909="","",IF($B909="Tema",INDEX(Config!$C$6:$C$11,$D909),"Evento avulso"))</f>
        <v/>
      </c>
      <c r="H909" s="114" t="str">
        <f aca="false">IF($E909="","",IF($B909="Tema",INDEX(Config!$D$6:$D$11,$D909),IFERROR(INDEX(Config!$E$15:$E$19,MATCH($I909,Config!$C$15:$C$19,0)),"•")))</f>
        <v/>
      </c>
      <c r="I909" s="114" t="str">
        <f aca="false">IF($E909="","",IF($B909="Tema",INDEX(Config!$E$6:$E$11,$D909),IF(INDEX(Avulsos!$D$6:$D$205,$C909)&amp;""="","Outro",INDEX(Avulsos!$D$6:$D$205,$C909))))</f>
        <v/>
      </c>
      <c r="J909" s="114" t="str">
        <f aca="false">IF($E909="","",IF($B909="Tema",INDEX(Temas!$C$6:$C$305,$C909)&amp;"",INDEX(Avulsos!$E$6:$E$205,$C909)&amp;""))</f>
        <v/>
      </c>
      <c r="K909" s="114" t="str">
        <f aca="false">IF($E909="","",IF(IF($B909="Tema",INDEX(Temas!$E$6:$P$305,$C909,2*$D909),INDEX(Avulsos!$F$6:$F$205,$C909))&amp;""="","","✓"))</f>
        <v/>
      </c>
      <c r="L909" s="114" t="str">
        <f aca="true">IF($E909="","",IF($K909="✓","Concluído",IF($E909&lt;TODAY(),"Atrasado",IF($E909=TODAY(),"Hoje","Pendente"))))</f>
        <v/>
      </c>
      <c r="M909" s="114" t="str">
        <f aca="false">IF($E909="","",IF($K909="✓","✓ ","")&amp;IF(Config!$E$22="Sim",$H909&amp;" · ","")&amp;$F909)</f>
        <v/>
      </c>
      <c r="N909" s="114" t="str">
        <f aca="false">IF($E909="","",IFERROR(INDEX(Config!$D$15:$D$19,MATCH($I909,Config!$C$15:$C$19,0)),"OUT")&amp;IF($K909="✓","x",""))</f>
        <v/>
      </c>
      <c r="O909" s="114" t="str">
        <f aca="false">IF($E909="","",COUNTIF($E$5:$E909,$E909))</f>
        <v/>
      </c>
      <c r="P909" s="114" t="str">
        <f aca="false">IF($E909="","",$E909*100+$O909)</f>
        <v/>
      </c>
      <c r="Q909" s="114" t="str">
        <f aca="false">IF($L909="Atrasado",$E909*10000+$A909,"")</f>
        <v/>
      </c>
    </row>
    <row r="910" customFormat="false" ht="15" hidden="false" customHeight="false" outlineLevel="0" collapsed="false">
      <c r="A910" s="114" t="n">
        <f aca="false">ROW()-4</f>
        <v>906</v>
      </c>
      <c r="B910" s="114" t="str">
        <f aca="false">IF(A910&lt;=Config!$E$27*Config!$E$28,"Tema","Avulso")</f>
        <v>Tema</v>
      </c>
      <c r="C910" s="114" t="n">
        <f aca="false">IF(B910="Tema",INT((A910-1)/Config!$E$28)+1,A910-Config!$E$27*Config!$E$28)</f>
        <v>151</v>
      </c>
      <c r="D910" s="114" t="n">
        <f aca="false">IF(B910="Tema",MOD(A910-1,Config!$E$28)+1,"")</f>
        <v>6</v>
      </c>
      <c r="E910" s="115" t="str">
        <f aca="false">IF($B910="Tema",IF(ISNUMBER(INDEX(Temas!$E$6:$P$305,$C910,2*$D910-1)),INDEX(Temas!$E$6:$P$305,$C910,2*$D910-1),""),IF(ISNUMBER(INDEX(Avulsos!$B$6:$B$205,$C910)),INDEX(Avulsos!$B$6:$B$205,$C910),""))</f>
        <v/>
      </c>
      <c r="F910" s="114" t="str">
        <f aca="false">IF($E910="","",IF($B910="Tema",INDEX(Temas!$B$6:$B$305,$C910)&amp;"",INDEX(Avulsos!$C$6:$C$205,$C910)&amp;""))</f>
        <v/>
      </c>
      <c r="G910" s="114" t="str">
        <f aca="false">IF($E910="","",IF($B910="Tema",INDEX(Config!$C$6:$C$11,$D910),"Evento avulso"))</f>
        <v/>
      </c>
      <c r="H910" s="114" t="str">
        <f aca="false">IF($E910="","",IF($B910="Tema",INDEX(Config!$D$6:$D$11,$D910),IFERROR(INDEX(Config!$E$15:$E$19,MATCH($I910,Config!$C$15:$C$19,0)),"•")))</f>
        <v/>
      </c>
      <c r="I910" s="114" t="str">
        <f aca="false">IF($E910="","",IF($B910="Tema",INDEX(Config!$E$6:$E$11,$D910),IF(INDEX(Avulsos!$D$6:$D$205,$C910)&amp;""="","Outro",INDEX(Avulsos!$D$6:$D$205,$C910))))</f>
        <v/>
      </c>
      <c r="J910" s="114" t="str">
        <f aca="false">IF($E910="","",IF($B910="Tema",INDEX(Temas!$C$6:$C$305,$C910)&amp;"",INDEX(Avulsos!$E$6:$E$205,$C910)&amp;""))</f>
        <v/>
      </c>
      <c r="K910" s="114" t="str">
        <f aca="false">IF($E910="","",IF(IF($B910="Tema",INDEX(Temas!$E$6:$P$305,$C910,2*$D910),INDEX(Avulsos!$F$6:$F$205,$C910))&amp;""="","","✓"))</f>
        <v/>
      </c>
      <c r="L910" s="114" t="str">
        <f aca="true">IF($E910="","",IF($K910="✓","Concluído",IF($E910&lt;TODAY(),"Atrasado",IF($E910=TODAY(),"Hoje","Pendente"))))</f>
        <v/>
      </c>
      <c r="M910" s="114" t="str">
        <f aca="false">IF($E910="","",IF($K910="✓","✓ ","")&amp;IF(Config!$E$22="Sim",$H910&amp;" · ","")&amp;$F910)</f>
        <v/>
      </c>
      <c r="N910" s="114" t="str">
        <f aca="false">IF($E910="","",IFERROR(INDEX(Config!$D$15:$D$19,MATCH($I910,Config!$C$15:$C$19,0)),"OUT")&amp;IF($K910="✓","x",""))</f>
        <v/>
      </c>
      <c r="O910" s="114" t="str">
        <f aca="false">IF($E910="","",COUNTIF($E$5:$E910,$E910))</f>
        <v/>
      </c>
      <c r="P910" s="114" t="str">
        <f aca="false">IF($E910="","",$E910*100+$O910)</f>
        <v/>
      </c>
      <c r="Q910" s="114" t="str">
        <f aca="false">IF($L910="Atrasado",$E910*10000+$A910,"")</f>
        <v/>
      </c>
    </row>
    <row r="911" customFormat="false" ht="15" hidden="false" customHeight="false" outlineLevel="0" collapsed="false">
      <c r="A911" s="114" t="n">
        <f aca="false">ROW()-4</f>
        <v>907</v>
      </c>
      <c r="B911" s="114" t="str">
        <f aca="false">IF(A911&lt;=Config!$E$27*Config!$E$28,"Tema","Avulso")</f>
        <v>Tema</v>
      </c>
      <c r="C911" s="114" t="n">
        <f aca="false">IF(B911="Tema",INT((A911-1)/Config!$E$28)+1,A911-Config!$E$27*Config!$E$28)</f>
        <v>152</v>
      </c>
      <c r="D911" s="114" t="n">
        <f aca="false">IF(B911="Tema",MOD(A911-1,Config!$E$28)+1,"")</f>
        <v>1</v>
      </c>
      <c r="E911" s="115" t="str">
        <f aca="false">IF($B911="Tema",IF(ISNUMBER(INDEX(Temas!$E$6:$P$305,$C911,2*$D911-1)),INDEX(Temas!$E$6:$P$305,$C911,2*$D911-1),""),IF(ISNUMBER(INDEX(Avulsos!$B$6:$B$205,$C911)),INDEX(Avulsos!$B$6:$B$205,$C911),""))</f>
        <v/>
      </c>
      <c r="F911" s="114" t="str">
        <f aca="false">IF($E911="","",IF($B911="Tema",INDEX(Temas!$B$6:$B$305,$C911)&amp;"",INDEX(Avulsos!$C$6:$C$205,$C911)&amp;""))</f>
        <v/>
      </c>
      <c r="G911" s="114" t="str">
        <f aca="false">IF($E911="","",IF($B911="Tema",INDEX(Config!$C$6:$C$11,$D911),"Evento avulso"))</f>
        <v/>
      </c>
      <c r="H911" s="114" t="str">
        <f aca="false">IF($E911="","",IF($B911="Tema",INDEX(Config!$D$6:$D$11,$D911),IFERROR(INDEX(Config!$E$15:$E$19,MATCH($I911,Config!$C$15:$C$19,0)),"•")))</f>
        <v/>
      </c>
      <c r="I911" s="114" t="str">
        <f aca="false">IF($E911="","",IF($B911="Tema",INDEX(Config!$E$6:$E$11,$D911),IF(INDEX(Avulsos!$D$6:$D$205,$C911)&amp;""="","Outro",INDEX(Avulsos!$D$6:$D$205,$C911))))</f>
        <v/>
      </c>
      <c r="J911" s="114" t="str">
        <f aca="false">IF($E911="","",IF($B911="Tema",INDEX(Temas!$C$6:$C$305,$C911)&amp;"",INDEX(Avulsos!$E$6:$E$205,$C911)&amp;""))</f>
        <v/>
      </c>
      <c r="K911" s="114" t="str">
        <f aca="false">IF($E911="","",IF(IF($B911="Tema",INDEX(Temas!$E$6:$P$305,$C911,2*$D911),INDEX(Avulsos!$F$6:$F$205,$C911))&amp;""="","","✓"))</f>
        <v/>
      </c>
      <c r="L911" s="114" t="str">
        <f aca="true">IF($E911="","",IF($K911="✓","Concluído",IF($E911&lt;TODAY(),"Atrasado",IF($E911=TODAY(),"Hoje","Pendente"))))</f>
        <v/>
      </c>
      <c r="M911" s="114" t="str">
        <f aca="false">IF($E911="","",IF($K911="✓","✓ ","")&amp;IF(Config!$E$22="Sim",$H911&amp;" · ","")&amp;$F911)</f>
        <v/>
      </c>
      <c r="N911" s="114" t="str">
        <f aca="false">IF($E911="","",IFERROR(INDEX(Config!$D$15:$D$19,MATCH($I911,Config!$C$15:$C$19,0)),"OUT")&amp;IF($K911="✓","x",""))</f>
        <v/>
      </c>
      <c r="O911" s="114" t="str">
        <f aca="false">IF($E911="","",COUNTIF($E$5:$E911,$E911))</f>
        <v/>
      </c>
      <c r="P911" s="114" t="str">
        <f aca="false">IF($E911="","",$E911*100+$O911)</f>
        <v/>
      </c>
      <c r="Q911" s="114" t="str">
        <f aca="false">IF($L911="Atrasado",$E911*10000+$A911,"")</f>
        <v/>
      </c>
    </row>
    <row r="912" customFormat="false" ht="15" hidden="false" customHeight="false" outlineLevel="0" collapsed="false">
      <c r="A912" s="114" t="n">
        <f aca="false">ROW()-4</f>
        <v>908</v>
      </c>
      <c r="B912" s="114" t="str">
        <f aca="false">IF(A912&lt;=Config!$E$27*Config!$E$28,"Tema","Avulso")</f>
        <v>Tema</v>
      </c>
      <c r="C912" s="114" t="n">
        <f aca="false">IF(B912="Tema",INT((A912-1)/Config!$E$28)+1,A912-Config!$E$27*Config!$E$28)</f>
        <v>152</v>
      </c>
      <c r="D912" s="114" t="n">
        <f aca="false">IF(B912="Tema",MOD(A912-1,Config!$E$28)+1,"")</f>
        <v>2</v>
      </c>
      <c r="E912" s="115" t="str">
        <f aca="false">IF($B912="Tema",IF(ISNUMBER(INDEX(Temas!$E$6:$P$305,$C912,2*$D912-1)),INDEX(Temas!$E$6:$P$305,$C912,2*$D912-1),""),IF(ISNUMBER(INDEX(Avulsos!$B$6:$B$205,$C912)),INDEX(Avulsos!$B$6:$B$205,$C912),""))</f>
        <v/>
      </c>
      <c r="F912" s="114" t="str">
        <f aca="false">IF($E912="","",IF($B912="Tema",INDEX(Temas!$B$6:$B$305,$C912)&amp;"",INDEX(Avulsos!$C$6:$C$205,$C912)&amp;""))</f>
        <v/>
      </c>
      <c r="G912" s="114" t="str">
        <f aca="false">IF($E912="","",IF($B912="Tema",INDEX(Config!$C$6:$C$11,$D912),"Evento avulso"))</f>
        <v/>
      </c>
      <c r="H912" s="114" t="str">
        <f aca="false">IF($E912="","",IF($B912="Tema",INDEX(Config!$D$6:$D$11,$D912),IFERROR(INDEX(Config!$E$15:$E$19,MATCH($I912,Config!$C$15:$C$19,0)),"•")))</f>
        <v/>
      </c>
      <c r="I912" s="114" t="str">
        <f aca="false">IF($E912="","",IF($B912="Tema",INDEX(Config!$E$6:$E$11,$D912),IF(INDEX(Avulsos!$D$6:$D$205,$C912)&amp;""="","Outro",INDEX(Avulsos!$D$6:$D$205,$C912))))</f>
        <v/>
      </c>
      <c r="J912" s="114" t="str">
        <f aca="false">IF($E912="","",IF($B912="Tema",INDEX(Temas!$C$6:$C$305,$C912)&amp;"",INDEX(Avulsos!$E$6:$E$205,$C912)&amp;""))</f>
        <v/>
      </c>
      <c r="K912" s="114" t="str">
        <f aca="false">IF($E912="","",IF(IF($B912="Tema",INDEX(Temas!$E$6:$P$305,$C912,2*$D912),INDEX(Avulsos!$F$6:$F$205,$C912))&amp;""="","","✓"))</f>
        <v/>
      </c>
      <c r="L912" s="114" t="str">
        <f aca="true">IF($E912="","",IF($K912="✓","Concluído",IF($E912&lt;TODAY(),"Atrasado",IF($E912=TODAY(),"Hoje","Pendente"))))</f>
        <v/>
      </c>
      <c r="M912" s="114" t="str">
        <f aca="false">IF($E912="","",IF($K912="✓","✓ ","")&amp;IF(Config!$E$22="Sim",$H912&amp;" · ","")&amp;$F912)</f>
        <v/>
      </c>
      <c r="N912" s="114" t="str">
        <f aca="false">IF($E912="","",IFERROR(INDEX(Config!$D$15:$D$19,MATCH($I912,Config!$C$15:$C$19,0)),"OUT")&amp;IF($K912="✓","x",""))</f>
        <v/>
      </c>
      <c r="O912" s="114" t="str">
        <f aca="false">IF($E912="","",COUNTIF($E$5:$E912,$E912))</f>
        <v/>
      </c>
      <c r="P912" s="114" t="str">
        <f aca="false">IF($E912="","",$E912*100+$O912)</f>
        <v/>
      </c>
      <c r="Q912" s="114" t="str">
        <f aca="false">IF($L912="Atrasado",$E912*10000+$A912,"")</f>
        <v/>
      </c>
    </row>
    <row r="913" customFormat="false" ht="15" hidden="false" customHeight="false" outlineLevel="0" collapsed="false">
      <c r="A913" s="114" t="n">
        <f aca="false">ROW()-4</f>
        <v>909</v>
      </c>
      <c r="B913" s="114" t="str">
        <f aca="false">IF(A913&lt;=Config!$E$27*Config!$E$28,"Tema","Avulso")</f>
        <v>Tema</v>
      </c>
      <c r="C913" s="114" t="n">
        <f aca="false">IF(B913="Tema",INT((A913-1)/Config!$E$28)+1,A913-Config!$E$27*Config!$E$28)</f>
        <v>152</v>
      </c>
      <c r="D913" s="114" t="n">
        <f aca="false">IF(B913="Tema",MOD(A913-1,Config!$E$28)+1,"")</f>
        <v>3</v>
      </c>
      <c r="E913" s="115" t="str">
        <f aca="false">IF($B913="Tema",IF(ISNUMBER(INDEX(Temas!$E$6:$P$305,$C913,2*$D913-1)),INDEX(Temas!$E$6:$P$305,$C913,2*$D913-1),""),IF(ISNUMBER(INDEX(Avulsos!$B$6:$B$205,$C913)),INDEX(Avulsos!$B$6:$B$205,$C913),""))</f>
        <v/>
      </c>
      <c r="F913" s="114" t="str">
        <f aca="false">IF($E913="","",IF($B913="Tema",INDEX(Temas!$B$6:$B$305,$C913)&amp;"",INDEX(Avulsos!$C$6:$C$205,$C913)&amp;""))</f>
        <v/>
      </c>
      <c r="G913" s="114" t="str">
        <f aca="false">IF($E913="","",IF($B913="Tema",INDEX(Config!$C$6:$C$11,$D913),"Evento avulso"))</f>
        <v/>
      </c>
      <c r="H913" s="114" t="str">
        <f aca="false">IF($E913="","",IF($B913="Tema",INDEX(Config!$D$6:$D$11,$D913),IFERROR(INDEX(Config!$E$15:$E$19,MATCH($I913,Config!$C$15:$C$19,0)),"•")))</f>
        <v/>
      </c>
      <c r="I913" s="114" t="str">
        <f aca="false">IF($E913="","",IF($B913="Tema",INDEX(Config!$E$6:$E$11,$D913),IF(INDEX(Avulsos!$D$6:$D$205,$C913)&amp;""="","Outro",INDEX(Avulsos!$D$6:$D$205,$C913))))</f>
        <v/>
      </c>
      <c r="J913" s="114" t="str">
        <f aca="false">IF($E913="","",IF($B913="Tema",INDEX(Temas!$C$6:$C$305,$C913)&amp;"",INDEX(Avulsos!$E$6:$E$205,$C913)&amp;""))</f>
        <v/>
      </c>
      <c r="K913" s="114" t="str">
        <f aca="false">IF($E913="","",IF(IF($B913="Tema",INDEX(Temas!$E$6:$P$305,$C913,2*$D913),INDEX(Avulsos!$F$6:$F$205,$C913))&amp;""="","","✓"))</f>
        <v/>
      </c>
      <c r="L913" s="114" t="str">
        <f aca="true">IF($E913="","",IF($K913="✓","Concluído",IF($E913&lt;TODAY(),"Atrasado",IF($E913=TODAY(),"Hoje","Pendente"))))</f>
        <v/>
      </c>
      <c r="M913" s="114" t="str">
        <f aca="false">IF($E913="","",IF($K913="✓","✓ ","")&amp;IF(Config!$E$22="Sim",$H913&amp;" · ","")&amp;$F913)</f>
        <v/>
      </c>
      <c r="N913" s="114" t="str">
        <f aca="false">IF($E913="","",IFERROR(INDEX(Config!$D$15:$D$19,MATCH($I913,Config!$C$15:$C$19,0)),"OUT")&amp;IF($K913="✓","x",""))</f>
        <v/>
      </c>
      <c r="O913" s="114" t="str">
        <f aca="false">IF($E913="","",COUNTIF($E$5:$E913,$E913))</f>
        <v/>
      </c>
      <c r="P913" s="114" t="str">
        <f aca="false">IF($E913="","",$E913*100+$O913)</f>
        <v/>
      </c>
      <c r="Q913" s="114" t="str">
        <f aca="false">IF($L913="Atrasado",$E913*10000+$A913,"")</f>
        <v/>
      </c>
    </row>
    <row r="914" customFormat="false" ht="15" hidden="false" customHeight="false" outlineLevel="0" collapsed="false">
      <c r="A914" s="114" t="n">
        <f aca="false">ROW()-4</f>
        <v>910</v>
      </c>
      <c r="B914" s="114" t="str">
        <f aca="false">IF(A914&lt;=Config!$E$27*Config!$E$28,"Tema","Avulso")</f>
        <v>Tema</v>
      </c>
      <c r="C914" s="114" t="n">
        <f aca="false">IF(B914="Tema",INT((A914-1)/Config!$E$28)+1,A914-Config!$E$27*Config!$E$28)</f>
        <v>152</v>
      </c>
      <c r="D914" s="114" t="n">
        <f aca="false">IF(B914="Tema",MOD(A914-1,Config!$E$28)+1,"")</f>
        <v>4</v>
      </c>
      <c r="E914" s="115" t="str">
        <f aca="false">IF($B914="Tema",IF(ISNUMBER(INDEX(Temas!$E$6:$P$305,$C914,2*$D914-1)),INDEX(Temas!$E$6:$P$305,$C914,2*$D914-1),""),IF(ISNUMBER(INDEX(Avulsos!$B$6:$B$205,$C914)),INDEX(Avulsos!$B$6:$B$205,$C914),""))</f>
        <v/>
      </c>
      <c r="F914" s="114" t="str">
        <f aca="false">IF($E914="","",IF($B914="Tema",INDEX(Temas!$B$6:$B$305,$C914)&amp;"",INDEX(Avulsos!$C$6:$C$205,$C914)&amp;""))</f>
        <v/>
      </c>
      <c r="G914" s="114" t="str">
        <f aca="false">IF($E914="","",IF($B914="Tema",INDEX(Config!$C$6:$C$11,$D914),"Evento avulso"))</f>
        <v/>
      </c>
      <c r="H914" s="114" t="str">
        <f aca="false">IF($E914="","",IF($B914="Tema",INDEX(Config!$D$6:$D$11,$D914),IFERROR(INDEX(Config!$E$15:$E$19,MATCH($I914,Config!$C$15:$C$19,0)),"•")))</f>
        <v/>
      </c>
      <c r="I914" s="114" t="str">
        <f aca="false">IF($E914="","",IF($B914="Tema",INDEX(Config!$E$6:$E$11,$D914),IF(INDEX(Avulsos!$D$6:$D$205,$C914)&amp;""="","Outro",INDEX(Avulsos!$D$6:$D$205,$C914))))</f>
        <v/>
      </c>
      <c r="J914" s="114" t="str">
        <f aca="false">IF($E914="","",IF($B914="Tema",INDEX(Temas!$C$6:$C$305,$C914)&amp;"",INDEX(Avulsos!$E$6:$E$205,$C914)&amp;""))</f>
        <v/>
      </c>
      <c r="K914" s="114" t="str">
        <f aca="false">IF($E914="","",IF(IF($B914="Tema",INDEX(Temas!$E$6:$P$305,$C914,2*$D914),INDEX(Avulsos!$F$6:$F$205,$C914))&amp;""="","","✓"))</f>
        <v/>
      </c>
      <c r="L914" s="114" t="str">
        <f aca="true">IF($E914="","",IF($K914="✓","Concluído",IF($E914&lt;TODAY(),"Atrasado",IF($E914=TODAY(),"Hoje","Pendente"))))</f>
        <v/>
      </c>
      <c r="M914" s="114" t="str">
        <f aca="false">IF($E914="","",IF($K914="✓","✓ ","")&amp;IF(Config!$E$22="Sim",$H914&amp;" · ","")&amp;$F914)</f>
        <v/>
      </c>
      <c r="N914" s="114" t="str">
        <f aca="false">IF($E914="","",IFERROR(INDEX(Config!$D$15:$D$19,MATCH($I914,Config!$C$15:$C$19,0)),"OUT")&amp;IF($K914="✓","x",""))</f>
        <v/>
      </c>
      <c r="O914" s="114" t="str">
        <f aca="false">IF($E914="","",COUNTIF($E$5:$E914,$E914))</f>
        <v/>
      </c>
      <c r="P914" s="114" t="str">
        <f aca="false">IF($E914="","",$E914*100+$O914)</f>
        <v/>
      </c>
      <c r="Q914" s="114" t="str">
        <f aca="false">IF($L914="Atrasado",$E914*10000+$A914,"")</f>
        <v/>
      </c>
    </row>
    <row r="915" customFormat="false" ht="15" hidden="false" customHeight="false" outlineLevel="0" collapsed="false">
      <c r="A915" s="114" t="n">
        <f aca="false">ROW()-4</f>
        <v>911</v>
      </c>
      <c r="B915" s="114" t="str">
        <f aca="false">IF(A915&lt;=Config!$E$27*Config!$E$28,"Tema","Avulso")</f>
        <v>Tema</v>
      </c>
      <c r="C915" s="114" t="n">
        <f aca="false">IF(B915="Tema",INT((A915-1)/Config!$E$28)+1,A915-Config!$E$27*Config!$E$28)</f>
        <v>152</v>
      </c>
      <c r="D915" s="114" t="n">
        <f aca="false">IF(B915="Tema",MOD(A915-1,Config!$E$28)+1,"")</f>
        <v>5</v>
      </c>
      <c r="E915" s="115" t="str">
        <f aca="false">IF($B915="Tema",IF(ISNUMBER(INDEX(Temas!$E$6:$P$305,$C915,2*$D915-1)),INDEX(Temas!$E$6:$P$305,$C915,2*$D915-1),""),IF(ISNUMBER(INDEX(Avulsos!$B$6:$B$205,$C915)),INDEX(Avulsos!$B$6:$B$205,$C915),""))</f>
        <v/>
      </c>
      <c r="F915" s="114" t="str">
        <f aca="false">IF($E915="","",IF($B915="Tema",INDEX(Temas!$B$6:$B$305,$C915)&amp;"",INDEX(Avulsos!$C$6:$C$205,$C915)&amp;""))</f>
        <v/>
      </c>
      <c r="G915" s="114" t="str">
        <f aca="false">IF($E915="","",IF($B915="Tema",INDEX(Config!$C$6:$C$11,$D915),"Evento avulso"))</f>
        <v/>
      </c>
      <c r="H915" s="114" t="str">
        <f aca="false">IF($E915="","",IF($B915="Tema",INDEX(Config!$D$6:$D$11,$D915),IFERROR(INDEX(Config!$E$15:$E$19,MATCH($I915,Config!$C$15:$C$19,0)),"•")))</f>
        <v/>
      </c>
      <c r="I915" s="114" t="str">
        <f aca="false">IF($E915="","",IF($B915="Tema",INDEX(Config!$E$6:$E$11,$D915),IF(INDEX(Avulsos!$D$6:$D$205,$C915)&amp;""="","Outro",INDEX(Avulsos!$D$6:$D$205,$C915))))</f>
        <v/>
      </c>
      <c r="J915" s="114" t="str">
        <f aca="false">IF($E915="","",IF($B915="Tema",INDEX(Temas!$C$6:$C$305,$C915)&amp;"",INDEX(Avulsos!$E$6:$E$205,$C915)&amp;""))</f>
        <v/>
      </c>
      <c r="K915" s="114" t="str">
        <f aca="false">IF($E915="","",IF(IF($B915="Tema",INDEX(Temas!$E$6:$P$305,$C915,2*$D915),INDEX(Avulsos!$F$6:$F$205,$C915))&amp;""="","","✓"))</f>
        <v/>
      </c>
      <c r="L915" s="114" t="str">
        <f aca="true">IF($E915="","",IF($K915="✓","Concluído",IF($E915&lt;TODAY(),"Atrasado",IF($E915=TODAY(),"Hoje","Pendente"))))</f>
        <v/>
      </c>
      <c r="M915" s="114" t="str">
        <f aca="false">IF($E915="","",IF($K915="✓","✓ ","")&amp;IF(Config!$E$22="Sim",$H915&amp;" · ","")&amp;$F915)</f>
        <v/>
      </c>
      <c r="N915" s="114" t="str">
        <f aca="false">IF($E915="","",IFERROR(INDEX(Config!$D$15:$D$19,MATCH($I915,Config!$C$15:$C$19,0)),"OUT")&amp;IF($K915="✓","x",""))</f>
        <v/>
      </c>
      <c r="O915" s="114" t="str">
        <f aca="false">IF($E915="","",COUNTIF($E$5:$E915,$E915))</f>
        <v/>
      </c>
      <c r="P915" s="114" t="str">
        <f aca="false">IF($E915="","",$E915*100+$O915)</f>
        <v/>
      </c>
      <c r="Q915" s="114" t="str">
        <f aca="false">IF($L915="Atrasado",$E915*10000+$A915,"")</f>
        <v/>
      </c>
    </row>
    <row r="916" customFormat="false" ht="15" hidden="false" customHeight="false" outlineLevel="0" collapsed="false">
      <c r="A916" s="114" t="n">
        <f aca="false">ROW()-4</f>
        <v>912</v>
      </c>
      <c r="B916" s="114" t="str">
        <f aca="false">IF(A916&lt;=Config!$E$27*Config!$E$28,"Tema","Avulso")</f>
        <v>Tema</v>
      </c>
      <c r="C916" s="114" t="n">
        <f aca="false">IF(B916="Tema",INT((A916-1)/Config!$E$28)+1,A916-Config!$E$27*Config!$E$28)</f>
        <v>152</v>
      </c>
      <c r="D916" s="114" t="n">
        <f aca="false">IF(B916="Tema",MOD(A916-1,Config!$E$28)+1,"")</f>
        <v>6</v>
      </c>
      <c r="E916" s="115" t="str">
        <f aca="false">IF($B916="Tema",IF(ISNUMBER(INDEX(Temas!$E$6:$P$305,$C916,2*$D916-1)),INDEX(Temas!$E$6:$P$305,$C916,2*$D916-1),""),IF(ISNUMBER(INDEX(Avulsos!$B$6:$B$205,$C916)),INDEX(Avulsos!$B$6:$B$205,$C916),""))</f>
        <v/>
      </c>
      <c r="F916" s="114" t="str">
        <f aca="false">IF($E916="","",IF($B916="Tema",INDEX(Temas!$B$6:$B$305,$C916)&amp;"",INDEX(Avulsos!$C$6:$C$205,$C916)&amp;""))</f>
        <v/>
      </c>
      <c r="G916" s="114" t="str">
        <f aca="false">IF($E916="","",IF($B916="Tema",INDEX(Config!$C$6:$C$11,$D916),"Evento avulso"))</f>
        <v/>
      </c>
      <c r="H916" s="114" t="str">
        <f aca="false">IF($E916="","",IF($B916="Tema",INDEX(Config!$D$6:$D$11,$D916),IFERROR(INDEX(Config!$E$15:$E$19,MATCH($I916,Config!$C$15:$C$19,0)),"•")))</f>
        <v/>
      </c>
      <c r="I916" s="114" t="str">
        <f aca="false">IF($E916="","",IF($B916="Tema",INDEX(Config!$E$6:$E$11,$D916),IF(INDEX(Avulsos!$D$6:$D$205,$C916)&amp;""="","Outro",INDEX(Avulsos!$D$6:$D$205,$C916))))</f>
        <v/>
      </c>
      <c r="J916" s="114" t="str">
        <f aca="false">IF($E916="","",IF($B916="Tema",INDEX(Temas!$C$6:$C$305,$C916)&amp;"",INDEX(Avulsos!$E$6:$E$205,$C916)&amp;""))</f>
        <v/>
      </c>
      <c r="K916" s="114" t="str">
        <f aca="false">IF($E916="","",IF(IF($B916="Tema",INDEX(Temas!$E$6:$P$305,$C916,2*$D916),INDEX(Avulsos!$F$6:$F$205,$C916))&amp;""="","","✓"))</f>
        <v/>
      </c>
      <c r="L916" s="114" t="str">
        <f aca="true">IF($E916="","",IF($K916="✓","Concluído",IF($E916&lt;TODAY(),"Atrasado",IF($E916=TODAY(),"Hoje","Pendente"))))</f>
        <v/>
      </c>
      <c r="M916" s="114" t="str">
        <f aca="false">IF($E916="","",IF($K916="✓","✓ ","")&amp;IF(Config!$E$22="Sim",$H916&amp;" · ","")&amp;$F916)</f>
        <v/>
      </c>
      <c r="N916" s="114" t="str">
        <f aca="false">IF($E916="","",IFERROR(INDEX(Config!$D$15:$D$19,MATCH($I916,Config!$C$15:$C$19,0)),"OUT")&amp;IF($K916="✓","x",""))</f>
        <v/>
      </c>
      <c r="O916" s="114" t="str">
        <f aca="false">IF($E916="","",COUNTIF($E$5:$E916,$E916))</f>
        <v/>
      </c>
      <c r="P916" s="114" t="str">
        <f aca="false">IF($E916="","",$E916*100+$O916)</f>
        <v/>
      </c>
      <c r="Q916" s="114" t="str">
        <f aca="false">IF($L916="Atrasado",$E916*10000+$A916,"")</f>
        <v/>
      </c>
    </row>
    <row r="917" customFormat="false" ht="15" hidden="false" customHeight="false" outlineLevel="0" collapsed="false">
      <c r="A917" s="114" t="n">
        <f aca="false">ROW()-4</f>
        <v>913</v>
      </c>
      <c r="B917" s="114" t="str">
        <f aca="false">IF(A917&lt;=Config!$E$27*Config!$E$28,"Tema","Avulso")</f>
        <v>Tema</v>
      </c>
      <c r="C917" s="114" t="n">
        <f aca="false">IF(B917="Tema",INT((A917-1)/Config!$E$28)+1,A917-Config!$E$27*Config!$E$28)</f>
        <v>153</v>
      </c>
      <c r="D917" s="114" t="n">
        <f aca="false">IF(B917="Tema",MOD(A917-1,Config!$E$28)+1,"")</f>
        <v>1</v>
      </c>
      <c r="E917" s="115" t="str">
        <f aca="false">IF($B917="Tema",IF(ISNUMBER(INDEX(Temas!$E$6:$P$305,$C917,2*$D917-1)),INDEX(Temas!$E$6:$P$305,$C917,2*$D917-1),""),IF(ISNUMBER(INDEX(Avulsos!$B$6:$B$205,$C917)),INDEX(Avulsos!$B$6:$B$205,$C917),""))</f>
        <v/>
      </c>
      <c r="F917" s="114" t="str">
        <f aca="false">IF($E917="","",IF($B917="Tema",INDEX(Temas!$B$6:$B$305,$C917)&amp;"",INDEX(Avulsos!$C$6:$C$205,$C917)&amp;""))</f>
        <v/>
      </c>
      <c r="G917" s="114" t="str">
        <f aca="false">IF($E917="","",IF($B917="Tema",INDEX(Config!$C$6:$C$11,$D917),"Evento avulso"))</f>
        <v/>
      </c>
      <c r="H917" s="114" t="str">
        <f aca="false">IF($E917="","",IF($B917="Tema",INDEX(Config!$D$6:$D$11,$D917),IFERROR(INDEX(Config!$E$15:$E$19,MATCH($I917,Config!$C$15:$C$19,0)),"•")))</f>
        <v/>
      </c>
      <c r="I917" s="114" t="str">
        <f aca="false">IF($E917="","",IF($B917="Tema",INDEX(Config!$E$6:$E$11,$D917),IF(INDEX(Avulsos!$D$6:$D$205,$C917)&amp;""="","Outro",INDEX(Avulsos!$D$6:$D$205,$C917))))</f>
        <v/>
      </c>
      <c r="J917" s="114" t="str">
        <f aca="false">IF($E917="","",IF($B917="Tema",INDEX(Temas!$C$6:$C$305,$C917)&amp;"",INDEX(Avulsos!$E$6:$E$205,$C917)&amp;""))</f>
        <v/>
      </c>
      <c r="K917" s="114" t="str">
        <f aca="false">IF($E917="","",IF(IF($B917="Tema",INDEX(Temas!$E$6:$P$305,$C917,2*$D917),INDEX(Avulsos!$F$6:$F$205,$C917))&amp;""="","","✓"))</f>
        <v/>
      </c>
      <c r="L917" s="114" t="str">
        <f aca="true">IF($E917="","",IF($K917="✓","Concluído",IF($E917&lt;TODAY(),"Atrasado",IF($E917=TODAY(),"Hoje","Pendente"))))</f>
        <v/>
      </c>
      <c r="M917" s="114" t="str">
        <f aca="false">IF($E917="","",IF($K917="✓","✓ ","")&amp;IF(Config!$E$22="Sim",$H917&amp;" · ","")&amp;$F917)</f>
        <v/>
      </c>
      <c r="N917" s="114" t="str">
        <f aca="false">IF($E917="","",IFERROR(INDEX(Config!$D$15:$D$19,MATCH($I917,Config!$C$15:$C$19,0)),"OUT")&amp;IF($K917="✓","x",""))</f>
        <v/>
      </c>
      <c r="O917" s="114" t="str">
        <f aca="false">IF($E917="","",COUNTIF($E$5:$E917,$E917))</f>
        <v/>
      </c>
      <c r="P917" s="114" t="str">
        <f aca="false">IF($E917="","",$E917*100+$O917)</f>
        <v/>
      </c>
      <c r="Q917" s="114" t="str">
        <f aca="false">IF($L917="Atrasado",$E917*10000+$A917,"")</f>
        <v/>
      </c>
    </row>
    <row r="918" customFormat="false" ht="15" hidden="false" customHeight="false" outlineLevel="0" collapsed="false">
      <c r="A918" s="114" t="n">
        <f aca="false">ROW()-4</f>
        <v>914</v>
      </c>
      <c r="B918" s="114" t="str">
        <f aca="false">IF(A918&lt;=Config!$E$27*Config!$E$28,"Tema","Avulso")</f>
        <v>Tema</v>
      </c>
      <c r="C918" s="114" t="n">
        <f aca="false">IF(B918="Tema",INT((A918-1)/Config!$E$28)+1,A918-Config!$E$27*Config!$E$28)</f>
        <v>153</v>
      </c>
      <c r="D918" s="114" t="n">
        <f aca="false">IF(B918="Tema",MOD(A918-1,Config!$E$28)+1,"")</f>
        <v>2</v>
      </c>
      <c r="E918" s="115" t="str">
        <f aca="false">IF($B918="Tema",IF(ISNUMBER(INDEX(Temas!$E$6:$P$305,$C918,2*$D918-1)),INDEX(Temas!$E$6:$P$305,$C918,2*$D918-1),""),IF(ISNUMBER(INDEX(Avulsos!$B$6:$B$205,$C918)),INDEX(Avulsos!$B$6:$B$205,$C918),""))</f>
        <v/>
      </c>
      <c r="F918" s="114" t="str">
        <f aca="false">IF($E918="","",IF($B918="Tema",INDEX(Temas!$B$6:$B$305,$C918)&amp;"",INDEX(Avulsos!$C$6:$C$205,$C918)&amp;""))</f>
        <v/>
      </c>
      <c r="G918" s="114" t="str">
        <f aca="false">IF($E918="","",IF($B918="Tema",INDEX(Config!$C$6:$C$11,$D918),"Evento avulso"))</f>
        <v/>
      </c>
      <c r="H918" s="114" t="str">
        <f aca="false">IF($E918="","",IF($B918="Tema",INDEX(Config!$D$6:$D$11,$D918),IFERROR(INDEX(Config!$E$15:$E$19,MATCH($I918,Config!$C$15:$C$19,0)),"•")))</f>
        <v/>
      </c>
      <c r="I918" s="114" t="str">
        <f aca="false">IF($E918="","",IF($B918="Tema",INDEX(Config!$E$6:$E$11,$D918),IF(INDEX(Avulsos!$D$6:$D$205,$C918)&amp;""="","Outro",INDEX(Avulsos!$D$6:$D$205,$C918))))</f>
        <v/>
      </c>
      <c r="J918" s="114" t="str">
        <f aca="false">IF($E918="","",IF($B918="Tema",INDEX(Temas!$C$6:$C$305,$C918)&amp;"",INDEX(Avulsos!$E$6:$E$205,$C918)&amp;""))</f>
        <v/>
      </c>
      <c r="K918" s="114" t="str">
        <f aca="false">IF($E918="","",IF(IF($B918="Tema",INDEX(Temas!$E$6:$P$305,$C918,2*$D918),INDEX(Avulsos!$F$6:$F$205,$C918))&amp;""="","","✓"))</f>
        <v/>
      </c>
      <c r="L918" s="114" t="str">
        <f aca="true">IF($E918="","",IF($K918="✓","Concluído",IF($E918&lt;TODAY(),"Atrasado",IF($E918=TODAY(),"Hoje","Pendente"))))</f>
        <v/>
      </c>
      <c r="M918" s="114" t="str">
        <f aca="false">IF($E918="","",IF($K918="✓","✓ ","")&amp;IF(Config!$E$22="Sim",$H918&amp;" · ","")&amp;$F918)</f>
        <v/>
      </c>
      <c r="N918" s="114" t="str">
        <f aca="false">IF($E918="","",IFERROR(INDEX(Config!$D$15:$D$19,MATCH($I918,Config!$C$15:$C$19,0)),"OUT")&amp;IF($K918="✓","x",""))</f>
        <v/>
      </c>
      <c r="O918" s="114" t="str">
        <f aca="false">IF($E918="","",COUNTIF($E$5:$E918,$E918))</f>
        <v/>
      </c>
      <c r="P918" s="114" t="str">
        <f aca="false">IF($E918="","",$E918*100+$O918)</f>
        <v/>
      </c>
      <c r="Q918" s="114" t="str">
        <f aca="false">IF($L918="Atrasado",$E918*10000+$A918,"")</f>
        <v/>
      </c>
    </row>
    <row r="919" customFormat="false" ht="15" hidden="false" customHeight="false" outlineLevel="0" collapsed="false">
      <c r="A919" s="114" t="n">
        <f aca="false">ROW()-4</f>
        <v>915</v>
      </c>
      <c r="B919" s="114" t="str">
        <f aca="false">IF(A919&lt;=Config!$E$27*Config!$E$28,"Tema","Avulso")</f>
        <v>Tema</v>
      </c>
      <c r="C919" s="114" t="n">
        <f aca="false">IF(B919="Tema",INT((A919-1)/Config!$E$28)+1,A919-Config!$E$27*Config!$E$28)</f>
        <v>153</v>
      </c>
      <c r="D919" s="114" t="n">
        <f aca="false">IF(B919="Tema",MOD(A919-1,Config!$E$28)+1,"")</f>
        <v>3</v>
      </c>
      <c r="E919" s="115" t="str">
        <f aca="false">IF($B919="Tema",IF(ISNUMBER(INDEX(Temas!$E$6:$P$305,$C919,2*$D919-1)),INDEX(Temas!$E$6:$P$305,$C919,2*$D919-1),""),IF(ISNUMBER(INDEX(Avulsos!$B$6:$B$205,$C919)),INDEX(Avulsos!$B$6:$B$205,$C919),""))</f>
        <v/>
      </c>
      <c r="F919" s="114" t="str">
        <f aca="false">IF($E919="","",IF($B919="Tema",INDEX(Temas!$B$6:$B$305,$C919)&amp;"",INDEX(Avulsos!$C$6:$C$205,$C919)&amp;""))</f>
        <v/>
      </c>
      <c r="G919" s="114" t="str">
        <f aca="false">IF($E919="","",IF($B919="Tema",INDEX(Config!$C$6:$C$11,$D919),"Evento avulso"))</f>
        <v/>
      </c>
      <c r="H919" s="114" t="str">
        <f aca="false">IF($E919="","",IF($B919="Tema",INDEX(Config!$D$6:$D$11,$D919),IFERROR(INDEX(Config!$E$15:$E$19,MATCH($I919,Config!$C$15:$C$19,0)),"•")))</f>
        <v/>
      </c>
      <c r="I919" s="114" t="str">
        <f aca="false">IF($E919="","",IF($B919="Tema",INDEX(Config!$E$6:$E$11,$D919),IF(INDEX(Avulsos!$D$6:$D$205,$C919)&amp;""="","Outro",INDEX(Avulsos!$D$6:$D$205,$C919))))</f>
        <v/>
      </c>
      <c r="J919" s="114" t="str">
        <f aca="false">IF($E919="","",IF($B919="Tema",INDEX(Temas!$C$6:$C$305,$C919)&amp;"",INDEX(Avulsos!$E$6:$E$205,$C919)&amp;""))</f>
        <v/>
      </c>
      <c r="K919" s="114" t="str">
        <f aca="false">IF($E919="","",IF(IF($B919="Tema",INDEX(Temas!$E$6:$P$305,$C919,2*$D919),INDEX(Avulsos!$F$6:$F$205,$C919))&amp;""="","","✓"))</f>
        <v/>
      </c>
      <c r="L919" s="114" t="str">
        <f aca="true">IF($E919="","",IF($K919="✓","Concluído",IF($E919&lt;TODAY(),"Atrasado",IF($E919=TODAY(),"Hoje","Pendente"))))</f>
        <v/>
      </c>
      <c r="M919" s="114" t="str">
        <f aca="false">IF($E919="","",IF($K919="✓","✓ ","")&amp;IF(Config!$E$22="Sim",$H919&amp;" · ","")&amp;$F919)</f>
        <v/>
      </c>
      <c r="N919" s="114" t="str">
        <f aca="false">IF($E919="","",IFERROR(INDEX(Config!$D$15:$D$19,MATCH($I919,Config!$C$15:$C$19,0)),"OUT")&amp;IF($K919="✓","x",""))</f>
        <v/>
      </c>
      <c r="O919" s="114" t="str">
        <f aca="false">IF($E919="","",COUNTIF($E$5:$E919,$E919))</f>
        <v/>
      </c>
      <c r="P919" s="114" t="str">
        <f aca="false">IF($E919="","",$E919*100+$O919)</f>
        <v/>
      </c>
      <c r="Q919" s="114" t="str">
        <f aca="false">IF($L919="Atrasado",$E919*10000+$A919,"")</f>
        <v/>
      </c>
    </row>
    <row r="920" customFormat="false" ht="15" hidden="false" customHeight="false" outlineLevel="0" collapsed="false">
      <c r="A920" s="114" t="n">
        <f aca="false">ROW()-4</f>
        <v>916</v>
      </c>
      <c r="B920" s="114" t="str">
        <f aca="false">IF(A920&lt;=Config!$E$27*Config!$E$28,"Tema","Avulso")</f>
        <v>Tema</v>
      </c>
      <c r="C920" s="114" t="n">
        <f aca="false">IF(B920="Tema",INT((A920-1)/Config!$E$28)+1,A920-Config!$E$27*Config!$E$28)</f>
        <v>153</v>
      </c>
      <c r="D920" s="114" t="n">
        <f aca="false">IF(B920="Tema",MOD(A920-1,Config!$E$28)+1,"")</f>
        <v>4</v>
      </c>
      <c r="E920" s="115" t="str">
        <f aca="false">IF($B920="Tema",IF(ISNUMBER(INDEX(Temas!$E$6:$P$305,$C920,2*$D920-1)),INDEX(Temas!$E$6:$P$305,$C920,2*$D920-1),""),IF(ISNUMBER(INDEX(Avulsos!$B$6:$B$205,$C920)),INDEX(Avulsos!$B$6:$B$205,$C920),""))</f>
        <v/>
      </c>
      <c r="F920" s="114" t="str">
        <f aca="false">IF($E920="","",IF($B920="Tema",INDEX(Temas!$B$6:$B$305,$C920)&amp;"",INDEX(Avulsos!$C$6:$C$205,$C920)&amp;""))</f>
        <v/>
      </c>
      <c r="G920" s="114" t="str">
        <f aca="false">IF($E920="","",IF($B920="Tema",INDEX(Config!$C$6:$C$11,$D920),"Evento avulso"))</f>
        <v/>
      </c>
      <c r="H920" s="114" t="str">
        <f aca="false">IF($E920="","",IF($B920="Tema",INDEX(Config!$D$6:$D$11,$D920),IFERROR(INDEX(Config!$E$15:$E$19,MATCH($I920,Config!$C$15:$C$19,0)),"•")))</f>
        <v/>
      </c>
      <c r="I920" s="114" t="str">
        <f aca="false">IF($E920="","",IF($B920="Tema",INDEX(Config!$E$6:$E$11,$D920),IF(INDEX(Avulsos!$D$6:$D$205,$C920)&amp;""="","Outro",INDEX(Avulsos!$D$6:$D$205,$C920))))</f>
        <v/>
      </c>
      <c r="J920" s="114" t="str">
        <f aca="false">IF($E920="","",IF($B920="Tema",INDEX(Temas!$C$6:$C$305,$C920)&amp;"",INDEX(Avulsos!$E$6:$E$205,$C920)&amp;""))</f>
        <v/>
      </c>
      <c r="K920" s="114" t="str">
        <f aca="false">IF($E920="","",IF(IF($B920="Tema",INDEX(Temas!$E$6:$P$305,$C920,2*$D920),INDEX(Avulsos!$F$6:$F$205,$C920))&amp;""="","","✓"))</f>
        <v/>
      </c>
      <c r="L920" s="114" t="str">
        <f aca="true">IF($E920="","",IF($K920="✓","Concluído",IF($E920&lt;TODAY(),"Atrasado",IF($E920=TODAY(),"Hoje","Pendente"))))</f>
        <v/>
      </c>
      <c r="M920" s="114" t="str">
        <f aca="false">IF($E920="","",IF($K920="✓","✓ ","")&amp;IF(Config!$E$22="Sim",$H920&amp;" · ","")&amp;$F920)</f>
        <v/>
      </c>
      <c r="N920" s="114" t="str">
        <f aca="false">IF($E920="","",IFERROR(INDEX(Config!$D$15:$D$19,MATCH($I920,Config!$C$15:$C$19,0)),"OUT")&amp;IF($K920="✓","x",""))</f>
        <v/>
      </c>
      <c r="O920" s="114" t="str">
        <f aca="false">IF($E920="","",COUNTIF($E$5:$E920,$E920))</f>
        <v/>
      </c>
      <c r="P920" s="114" t="str">
        <f aca="false">IF($E920="","",$E920*100+$O920)</f>
        <v/>
      </c>
      <c r="Q920" s="114" t="str">
        <f aca="false">IF($L920="Atrasado",$E920*10000+$A920,"")</f>
        <v/>
      </c>
    </row>
    <row r="921" customFormat="false" ht="15" hidden="false" customHeight="false" outlineLevel="0" collapsed="false">
      <c r="A921" s="114" t="n">
        <f aca="false">ROW()-4</f>
        <v>917</v>
      </c>
      <c r="B921" s="114" t="str">
        <f aca="false">IF(A921&lt;=Config!$E$27*Config!$E$28,"Tema","Avulso")</f>
        <v>Tema</v>
      </c>
      <c r="C921" s="114" t="n">
        <f aca="false">IF(B921="Tema",INT((A921-1)/Config!$E$28)+1,A921-Config!$E$27*Config!$E$28)</f>
        <v>153</v>
      </c>
      <c r="D921" s="114" t="n">
        <f aca="false">IF(B921="Tema",MOD(A921-1,Config!$E$28)+1,"")</f>
        <v>5</v>
      </c>
      <c r="E921" s="115" t="str">
        <f aca="false">IF($B921="Tema",IF(ISNUMBER(INDEX(Temas!$E$6:$P$305,$C921,2*$D921-1)),INDEX(Temas!$E$6:$P$305,$C921,2*$D921-1),""),IF(ISNUMBER(INDEX(Avulsos!$B$6:$B$205,$C921)),INDEX(Avulsos!$B$6:$B$205,$C921),""))</f>
        <v/>
      </c>
      <c r="F921" s="114" t="str">
        <f aca="false">IF($E921="","",IF($B921="Tema",INDEX(Temas!$B$6:$B$305,$C921)&amp;"",INDEX(Avulsos!$C$6:$C$205,$C921)&amp;""))</f>
        <v/>
      </c>
      <c r="G921" s="114" t="str">
        <f aca="false">IF($E921="","",IF($B921="Tema",INDEX(Config!$C$6:$C$11,$D921),"Evento avulso"))</f>
        <v/>
      </c>
      <c r="H921" s="114" t="str">
        <f aca="false">IF($E921="","",IF($B921="Tema",INDEX(Config!$D$6:$D$11,$D921),IFERROR(INDEX(Config!$E$15:$E$19,MATCH($I921,Config!$C$15:$C$19,0)),"•")))</f>
        <v/>
      </c>
      <c r="I921" s="114" t="str">
        <f aca="false">IF($E921="","",IF($B921="Tema",INDEX(Config!$E$6:$E$11,$D921),IF(INDEX(Avulsos!$D$6:$D$205,$C921)&amp;""="","Outro",INDEX(Avulsos!$D$6:$D$205,$C921))))</f>
        <v/>
      </c>
      <c r="J921" s="114" t="str">
        <f aca="false">IF($E921="","",IF($B921="Tema",INDEX(Temas!$C$6:$C$305,$C921)&amp;"",INDEX(Avulsos!$E$6:$E$205,$C921)&amp;""))</f>
        <v/>
      </c>
      <c r="K921" s="114" t="str">
        <f aca="false">IF($E921="","",IF(IF($B921="Tema",INDEX(Temas!$E$6:$P$305,$C921,2*$D921),INDEX(Avulsos!$F$6:$F$205,$C921))&amp;""="","","✓"))</f>
        <v/>
      </c>
      <c r="L921" s="114" t="str">
        <f aca="true">IF($E921="","",IF($K921="✓","Concluído",IF($E921&lt;TODAY(),"Atrasado",IF($E921=TODAY(),"Hoje","Pendente"))))</f>
        <v/>
      </c>
      <c r="M921" s="114" t="str">
        <f aca="false">IF($E921="","",IF($K921="✓","✓ ","")&amp;IF(Config!$E$22="Sim",$H921&amp;" · ","")&amp;$F921)</f>
        <v/>
      </c>
      <c r="N921" s="114" t="str">
        <f aca="false">IF($E921="","",IFERROR(INDEX(Config!$D$15:$D$19,MATCH($I921,Config!$C$15:$C$19,0)),"OUT")&amp;IF($K921="✓","x",""))</f>
        <v/>
      </c>
      <c r="O921" s="114" t="str">
        <f aca="false">IF($E921="","",COUNTIF($E$5:$E921,$E921))</f>
        <v/>
      </c>
      <c r="P921" s="114" t="str">
        <f aca="false">IF($E921="","",$E921*100+$O921)</f>
        <v/>
      </c>
      <c r="Q921" s="114" t="str">
        <f aca="false">IF($L921="Atrasado",$E921*10000+$A921,"")</f>
        <v/>
      </c>
    </row>
    <row r="922" customFormat="false" ht="15" hidden="false" customHeight="false" outlineLevel="0" collapsed="false">
      <c r="A922" s="114" t="n">
        <f aca="false">ROW()-4</f>
        <v>918</v>
      </c>
      <c r="B922" s="114" t="str">
        <f aca="false">IF(A922&lt;=Config!$E$27*Config!$E$28,"Tema","Avulso")</f>
        <v>Tema</v>
      </c>
      <c r="C922" s="114" t="n">
        <f aca="false">IF(B922="Tema",INT((A922-1)/Config!$E$28)+1,A922-Config!$E$27*Config!$E$28)</f>
        <v>153</v>
      </c>
      <c r="D922" s="114" t="n">
        <f aca="false">IF(B922="Tema",MOD(A922-1,Config!$E$28)+1,"")</f>
        <v>6</v>
      </c>
      <c r="E922" s="115" t="str">
        <f aca="false">IF($B922="Tema",IF(ISNUMBER(INDEX(Temas!$E$6:$P$305,$C922,2*$D922-1)),INDEX(Temas!$E$6:$P$305,$C922,2*$D922-1),""),IF(ISNUMBER(INDEX(Avulsos!$B$6:$B$205,$C922)),INDEX(Avulsos!$B$6:$B$205,$C922),""))</f>
        <v/>
      </c>
      <c r="F922" s="114" t="str">
        <f aca="false">IF($E922="","",IF($B922="Tema",INDEX(Temas!$B$6:$B$305,$C922)&amp;"",INDEX(Avulsos!$C$6:$C$205,$C922)&amp;""))</f>
        <v/>
      </c>
      <c r="G922" s="114" t="str">
        <f aca="false">IF($E922="","",IF($B922="Tema",INDEX(Config!$C$6:$C$11,$D922),"Evento avulso"))</f>
        <v/>
      </c>
      <c r="H922" s="114" t="str">
        <f aca="false">IF($E922="","",IF($B922="Tema",INDEX(Config!$D$6:$D$11,$D922),IFERROR(INDEX(Config!$E$15:$E$19,MATCH($I922,Config!$C$15:$C$19,0)),"•")))</f>
        <v/>
      </c>
      <c r="I922" s="114" t="str">
        <f aca="false">IF($E922="","",IF($B922="Tema",INDEX(Config!$E$6:$E$11,$D922),IF(INDEX(Avulsos!$D$6:$D$205,$C922)&amp;""="","Outro",INDEX(Avulsos!$D$6:$D$205,$C922))))</f>
        <v/>
      </c>
      <c r="J922" s="114" t="str">
        <f aca="false">IF($E922="","",IF($B922="Tema",INDEX(Temas!$C$6:$C$305,$C922)&amp;"",INDEX(Avulsos!$E$6:$E$205,$C922)&amp;""))</f>
        <v/>
      </c>
      <c r="K922" s="114" t="str">
        <f aca="false">IF($E922="","",IF(IF($B922="Tema",INDEX(Temas!$E$6:$P$305,$C922,2*$D922),INDEX(Avulsos!$F$6:$F$205,$C922))&amp;""="","","✓"))</f>
        <v/>
      </c>
      <c r="L922" s="114" t="str">
        <f aca="true">IF($E922="","",IF($K922="✓","Concluído",IF($E922&lt;TODAY(),"Atrasado",IF($E922=TODAY(),"Hoje","Pendente"))))</f>
        <v/>
      </c>
      <c r="M922" s="114" t="str">
        <f aca="false">IF($E922="","",IF($K922="✓","✓ ","")&amp;IF(Config!$E$22="Sim",$H922&amp;" · ","")&amp;$F922)</f>
        <v/>
      </c>
      <c r="N922" s="114" t="str">
        <f aca="false">IF($E922="","",IFERROR(INDEX(Config!$D$15:$D$19,MATCH($I922,Config!$C$15:$C$19,0)),"OUT")&amp;IF($K922="✓","x",""))</f>
        <v/>
      </c>
      <c r="O922" s="114" t="str">
        <f aca="false">IF($E922="","",COUNTIF($E$5:$E922,$E922))</f>
        <v/>
      </c>
      <c r="P922" s="114" t="str">
        <f aca="false">IF($E922="","",$E922*100+$O922)</f>
        <v/>
      </c>
      <c r="Q922" s="114" t="str">
        <f aca="false">IF($L922="Atrasado",$E922*10000+$A922,"")</f>
        <v/>
      </c>
    </row>
    <row r="923" customFormat="false" ht="15" hidden="false" customHeight="false" outlineLevel="0" collapsed="false">
      <c r="A923" s="114" t="n">
        <f aca="false">ROW()-4</f>
        <v>919</v>
      </c>
      <c r="B923" s="114" t="str">
        <f aca="false">IF(A923&lt;=Config!$E$27*Config!$E$28,"Tema","Avulso")</f>
        <v>Tema</v>
      </c>
      <c r="C923" s="114" t="n">
        <f aca="false">IF(B923="Tema",INT((A923-1)/Config!$E$28)+1,A923-Config!$E$27*Config!$E$28)</f>
        <v>154</v>
      </c>
      <c r="D923" s="114" t="n">
        <f aca="false">IF(B923="Tema",MOD(A923-1,Config!$E$28)+1,"")</f>
        <v>1</v>
      </c>
      <c r="E923" s="115" t="str">
        <f aca="false">IF($B923="Tema",IF(ISNUMBER(INDEX(Temas!$E$6:$P$305,$C923,2*$D923-1)),INDEX(Temas!$E$6:$P$305,$C923,2*$D923-1),""),IF(ISNUMBER(INDEX(Avulsos!$B$6:$B$205,$C923)),INDEX(Avulsos!$B$6:$B$205,$C923),""))</f>
        <v/>
      </c>
      <c r="F923" s="114" t="str">
        <f aca="false">IF($E923="","",IF($B923="Tema",INDEX(Temas!$B$6:$B$305,$C923)&amp;"",INDEX(Avulsos!$C$6:$C$205,$C923)&amp;""))</f>
        <v/>
      </c>
      <c r="G923" s="114" t="str">
        <f aca="false">IF($E923="","",IF($B923="Tema",INDEX(Config!$C$6:$C$11,$D923),"Evento avulso"))</f>
        <v/>
      </c>
      <c r="H923" s="114" t="str">
        <f aca="false">IF($E923="","",IF($B923="Tema",INDEX(Config!$D$6:$D$11,$D923),IFERROR(INDEX(Config!$E$15:$E$19,MATCH($I923,Config!$C$15:$C$19,0)),"•")))</f>
        <v/>
      </c>
      <c r="I923" s="114" t="str">
        <f aca="false">IF($E923="","",IF($B923="Tema",INDEX(Config!$E$6:$E$11,$D923),IF(INDEX(Avulsos!$D$6:$D$205,$C923)&amp;""="","Outro",INDEX(Avulsos!$D$6:$D$205,$C923))))</f>
        <v/>
      </c>
      <c r="J923" s="114" t="str">
        <f aca="false">IF($E923="","",IF($B923="Tema",INDEX(Temas!$C$6:$C$305,$C923)&amp;"",INDEX(Avulsos!$E$6:$E$205,$C923)&amp;""))</f>
        <v/>
      </c>
      <c r="K923" s="114" t="str">
        <f aca="false">IF($E923="","",IF(IF($B923="Tema",INDEX(Temas!$E$6:$P$305,$C923,2*$D923),INDEX(Avulsos!$F$6:$F$205,$C923))&amp;""="","","✓"))</f>
        <v/>
      </c>
      <c r="L923" s="114" t="str">
        <f aca="true">IF($E923="","",IF($K923="✓","Concluído",IF($E923&lt;TODAY(),"Atrasado",IF($E923=TODAY(),"Hoje","Pendente"))))</f>
        <v/>
      </c>
      <c r="M923" s="114" t="str">
        <f aca="false">IF($E923="","",IF($K923="✓","✓ ","")&amp;IF(Config!$E$22="Sim",$H923&amp;" · ","")&amp;$F923)</f>
        <v/>
      </c>
      <c r="N923" s="114" t="str">
        <f aca="false">IF($E923="","",IFERROR(INDEX(Config!$D$15:$D$19,MATCH($I923,Config!$C$15:$C$19,0)),"OUT")&amp;IF($K923="✓","x",""))</f>
        <v/>
      </c>
      <c r="O923" s="114" t="str">
        <f aca="false">IF($E923="","",COUNTIF($E$5:$E923,$E923))</f>
        <v/>
      </c>
      <c r="P923" s="114" t="str">
        <f aca="false">IF($E923="","",$E923*100+$O923)</f>
        <v/>
      </c>
      <c r="Q923" s="114" t="str">
        <f aca="false">IF($L923="Atrasado",$E923*10000+$A923,"")</f>
        <v/>
      </c>
    </row>
    <row r="924" customFormat="false" ht="15" hidden="false" customHeight="false" outlineLevel="0" collapsed="false">
      <c r="A924" s="114" t="n">
        <f aca="false">ROW()-4</f>
        <v>920</v>
      </c>
      <c r="B924" s="114" t="str">
        <f aca="false">IF(A924&lt;=Config!$E$27*Config!$E$28,"Tema","Avulso")</f>
        <v>Tema</v>
      </c>
      <c r="C924" s="114" t="n">
        <f aca="false">IF(B924="Tema",INT((A924-1)/Config!$E$28)+1,A924-Config!$E$27*Config!$E$28)</f>
        <v>154</v>
      </c>
      <c r="D924" s="114" t="n">
        <f aca="false">IF(B924="Tema",MOD(A924-1,Config!$E$28)+1,"")</f>
        <v>2</v>
      </c>
      <c r="E924" s="115" t="str">
        <f aca="false">IF($B924="Tema",IF(ISNUMBER(INDEX(Temas!$E$6:$P$305,$C924,2*$D924-1)),INDEX(Temas!$E$6:$P$305,$C924,2*$D924-1),""),IF(ISNUMBER(INDEX(Avulsos!$B$6:$B$205,$C924)),INDEX(Avulsos!$B$6:$B$205,$C924),""))</f>
        <v/>
      </c>
      <c r="F924" s="114" t="str">
        <f aca="false">IF($E924="","",IF($B924="Tema",INDEX(Temas!$B$6:$B$305,$C924)&amp;"",INDEX(Avulsos!$C$6:$C$205,$C924)&amp;""))</f>
        <v/>
      </c>
      <c r="G924" s="114" t="str">
        <f aca="false">IF($E924="","",IF($B924="Tema",INDEX(Config!$C$6:$C$11,$D924),"Evento avulso"))</f>
        <v/>
      </c>
      <c r="H924" s="114" t="str">
        <f aca="false">IF($E924="","",IF($B924="Tema",INDEX(Config!$D$6:$D$11,$D924),IFERROR(INDEX(Config!$E$15:$E$19,MATCH($I924,Config!$C$15:$C$19,0)),"•")))</f>
        <v/>
      </c>
      <c r="I924" s="114" t="str">
        <f aca="false">IF($E924="","",IF($B924="Tema",INDEX(Config!$E$6:$E$11,$D924),IF(INDEX(Avulsos!$D$6:$D$205,$C924)&amp;""="","Outro",INDEX(Avulsos!$D$6:$D$205,$C924))))</f>
        <v/>
      </c>
      <c r="J924" s="114" t="str">
        <f aca="false">IF($E924="","",IF($B924="Tema",INDEX(Temas!$C$6:$C$305,$C924)&amp;"",INDEX(Avulsos!$E$6:$E$205,$C924)&amp;""))</f>
        <v/>
      </c>
      <c r="K924" s="114" t="str">
        <f aca="false">IF($E924="","",IF(IF($B924="Tema",INDEX(Temas!$E$6:$P$305,$C924,2*$D924),INDEX(Avulsos!$F$6:$F$205,$C924))&amp;""="","","✓"))</f>
        <v/>
      </c>
      <c r="L924" s="114" t="str">
        <f aca="true">IF($E924="","",IF($K924="✓","Concluído",IF($E924&lt;TODAY(),"Atrasado",IF($E924=TODAY(),"Hoje","Pendente"))))</f>
        <v/>
      </c>
      <c r="M924" s="114" t="str">
        <f aca="false">IF($E924="","",IF($K924="✓","✓ ","")&amp;IF(Config!$E$22="Sim",$H924&amp;" · ","")&amp;$F924)</f>
        <v/>
      </c>
      <c r="N924" s="114" t="str">
        <f aca="false">IF($E924="","",IFERROR(INDEX(Config!$D$15:$D$19,MATCH($I924,Config!$C$15:$C$19,0)),"OUT")&amp;IF($K924="✓","x",""))</f>
        <v/>
      </c>
      <c r="O924" s="114" t="str">
        <f aca="false">IF($E924="","",COUNTIF($E$5:$E924,$E924))</f>
        <v/>
      </c>
      <c r="P924" s="114" t="str">
        <f aca="false">IF($E924="","",$E924*100+$O924)</f>
        <v/>
      </c>
      <c r="Q924" s="114" t="str">
        <f aca="false">IF($L924="Atrasado",$E924*10000+$A924,"")</f>
        <v/>
      </c>
    </row>
    <row r="925" customFormat="false" ht="15" hidden="false" customHeight="false" outlineLevel="0" collapsed="false">
      <c r="A925" s="114" t="n">
        <f aca="false">ROW()-4</f>
        <v>921</v>
      </c>
      <c r="B925" s="114" t="str">
        <f aca="false">IF(A925&lt;=Config!$E$27*Config!$E$28,"Tema","Avulso")</f>
        <v>Tema</v>
      </c>
      <c r="C925" s="114" t="n">
        <f aca="false">IF(B925="Tema",INT((A925-1)/Config!$E$28)+1,A925-Config!$E$27*Config!$E$28)</f>
        <v>154</v>
      </c>
      <c r="D925" s="114" t="n">
        <f aca="false">IF(B925="Tema",MOD(A925-1,Config!$E$28)+1,"")</f>
        <v>3</v>
      </c>
      <c r="E925" s="115" t="str">
        <f aca="false">IF($B925="Tema",IF(ISNUMBER(INDEX(Temas!$E$6:$P$305,$C925,2*$D925-1)),INDEX(Temas!$E$6:$P$305,$C925,2*$D925-1),""),IF(ISNUMBER(INDEX(Avulsos!$B$6:$B$205,$C925)),INDEX(Avulsos!$B$6:$B$205,$C925),""))</f>
        <v/>
      </c>
      <c r="F925" s="114" t="str">
        <f aca="false">IF($E925="","",IF($B925="Tema",INDEX(Temas!$B$6:$B$305,$C925)&amp;"",INDEX(Avulsos!$C$6:$C$205,$C925)&amp;""))</f>
        <v/>
      </c>
      <c r="G925" s="114" t="str">
        <f aca="false">IF($E925="","",IF($B925="Tema",INDEX(Config!$C$6:$C$11,$D925),"Evento avulso"))</f>
        <v/>
      </c>
      <c r="H925" s="114" t="str">
        <f aca="false">IF($E925="","",IF($B925="Tema",INDEX(Config!$D$6:$D$11,$D925),IFERROR(INDEX(Config!$E$15:$E$19,MATCH($I925,Config!$C$15:$C$19,0)),"•")))</f>
        <v/>
      </c>
      <c r="I925" s="114" t="str">
        <f aca="false">IF($E925="","",IF($B925="Tema",INDEX(Config!$E$6:$E$11,$D925),IF(INDEX(Avulsos!$D$6:$D$205,$C925)&amp;""="","Outro",INDEX(Avulsos!$D$6:$D$205,$C925))))</f>
        <v/>
      </c>
      <c r="J925" s="114" t="str">
        <f aca="false">IF($E925="","",IF($B925="Tema",INDEX(Temas!$C$6:$C$305,$C925)&amp;"",INDEX(Avulsos!$E$6:$E$205,$C925)&amp;""))</f>
        <v/>
      </c>
      <c r="K925" s="114" t="str">
        <f aca="false">IF($E925="","",IF(IF($B925="Tema",INDEX(Temas!$E$6:$P$305,$C925,2*$D925),INDEX(Avulsos!$F$6:$F$205,$C925))&amp;""="","","✓"))</f>
        <v/>
      </c>
      <c r="L925" s="114" t="str">
        <f aca="true">IF($E925="","",IF($K925="✓","Concluído",IF($E925&lt;TODAY(),"Atrasado",IF($E925=TODAY(),"Hoje","Pendente"))))</f>
        <v/>
      </c>
      <c r="M925" s="114" t="str">
        <f aca="false">IF($E925="","",IF($K925="✓","✓ ","")&amp;IF(Config!$E$22="Sim",$H925&amp;" · ","")&amp;$F925)</f>
        <v/>
      </c>
      <c r="N925" s="114" t="str">
        <f aca="false">IF($E925="","",IFERROR(INDEX(Config!$D$15:$D$19,MATCH($I925,Config!$C$15:$C$19,0)),"OUT")&amp;IF($K925="✓","x",""))</f>
        <v/>
      </c>
      <c r="O925" s="114" t="str">
        <f aca="false">IF($E925="","",COUNTIF($E$5:$E925,$E925))</f>
        <v/>
      </c>
      <c r="P925" s="114" t="str">
        <f aca="false">IF($E925="","",$E925*100+$O925)</f>
        <v/>
      </c>
      <c r="Q925" s="114" t="str">
        <f aca="false">IF($L925="Atrasado",$E925*10000+$A925,"")</f>
        <v/>
      </c>
    </row>
    <row r="926" customFormat="false" ht="15" hidden="false" customHeight="false" outlineLevel="0" collapsed="false">
      <c r="A926" s="114" t="n">
        <f aca="false">ROW()-4</f>
        <v>922</v>
      </c>
      <c r="B926" s="114" t="str">
        <f aca="false">IF(A926&lt;=Config!$E$27*Config!$E$28,"Tema","Avulso")</f>
        <v>Tema</v>
      </c>
      <c r="C926" s="114" t="n">
        <f aca="false">IF(B926="Tema",INT((A926-1)/Config!$E$28)+1,A926-Config!$E$27*Config!$E$28)</f>
        <v>154</v>
      </c>
      <c r="D926" s="114" t="n">
        <f aca="false">IF(B926="Tema",MOD(A926-1,Config!$E$28)+1,"")</f>
        <v>4</v>
      </c>
      <c r="E926" s="115" t="str">
        <f aca="false">IF($B926="Tema",IF(ISNUMBER(INDEX(Temas!$E$6:$P$305,$C926,2*$D926-1)),INDEX(Temas!$E$6:$P$305,$C926,2*$D926-1),""),IF(ISNUMBER(INDEX(Avulsos!$B$6:$B$205,$C926)),INDEX(Avulsos!$B$6:$B$205,$C926),""))</f>
        <v/>
      </c>
      <c r="F926" s="114" t="str">
        <f aca="false">IF($E926="","",IF($B926="Tema",INDEX(Temas!$B$6:$B$305,$C926)&amp;"",INDEX(Avulsos!$C$6:$C$205,$C926)&amp;""))</f>
        <v/>
      </c>
      <c r="G926" s="114" t="str">
        <f aca="false">IF($E926="","",IF($B926="Tema",INDEX(Config!$C$6:$C$11,$D926),"Evento avulso"))</f>
        <v/>
      </c>
      <c r="H926" s="114" t="str">
        <f aca="false">IF($E926="","",IF($B926="Tema",INDEX(Config!$D$6:$D$11,$D926),IFERROR(INDEX(Config!$E$15:$E$19,MATCH($I926,Config!$C$15:$C$19,0)),"•")))</f>
        <v/>
      </c>
      <c r="I926" s="114" t="str">
        <f aca="false">IF($E926="","",IF($B926="Tema",INDEX(Config!$E$6:$E$11,$D926),IF(INDEX(Avulsos!$D$6:$D$205,$C926)&amp;""="","Outro",INDEX(Avulsos!$D$6:$D$205,$C926))))</f>
        <v/>
      </c>
      <c r="J926" s="114" t="str">
        <f aca="false">IF($E926="","",IF($B926="Tema",INDEX(Temas!$C$6:$C$305,$C926)&amp;"",INDEX(Avulsos!$E$6:$E$205,$C926)&amp;""))</f>
        <v/>
      </c>
      <c r="K926" s="114" t="str">
        <f aca="false">IF($E926="","",IF(IF($B926="Tema",INDEX(Temas!$E$6:$P$305,$C926,2*$D926),INDEX(Avulsos!$F$6:$F$205,$C926))&amp;""="","","✓"))</f>
        <v/>
      </c>
      <c r="L926" s="114" t="str">
        <f aca="true">IF($E926="","",IF($K926="✓","Concluído",IF($E926&lt;TODAY(),"Atrasado",IF($E926=TODAY(),"Hoje","Pendente"))))</f>
        <v/>
      </c>
      <c r="M926" s="114" t="str">
        <f aca="false">IF($E926="","",IF($K926="✓","✓ ","")&amp;IF(Config!$E$22="Sim",$H926&amp;" · ","")&amp;$F926)</f>
        <v/>
      </c>
      <c r="N926" s="114" t="str">
        <f aca="false">IF($E926="","",IFERROR(INDEX(Config!$D$15:$D$19,MATCH($I926,Config!$C$15:$C$19,0)),"OUT")&amp;IF($K926="✓","x",""))</f>
        <v/>
      </c>
      <c r="O926" s="114" t="str">
        <f aca="false">IF($E926="","",COUNTIF($E$5:$E926,$E926))</f>
        <v/>
      </c>
      <c r="P926" s="114" t="str">
        <f aca="false">IF($E926="","",$E926*100+$O926)</f>
        <v/>
      </c>
      <c r="Q926" s="114" t="str">
        <f aca="false">IF($L926="Atrasado",$E926*10000+$A926,"")</f>
        <v/>
      </c>
    </row>
    <row r="927" customFormat="false" ht="15" hidden="false" customHeight="false" outlineLevel="0" collapsed="false">
      <c r="A927" s="114" t="n">
        <f aca="false">ROW()-4</f>
        <v>923</v>
      </c>
      <c r="B927" s="114" t="str">
        <f aca="false">IF(A927&lt;=Config!$E$27*Config!$E$28,"Tema","Avulso")</f>
        <v>Tema</v>
      </c>
      <c r="C927" s="114" t="n">
        <f aca="false">IF(B927="Tema",INT((A927-1)/Config!$E$28)+1,A927-Config!$E$27*Config!$E$28)</f>
        <v>154</v>
      </c>
      <c r="D927" s="114" t="n">
        <f aca="false">IF(B927="Tema",MOD(A927-1,Config!$E$28)+1,"")</f>
        <v>5</v>
      </c>
      <c r="E927" s="115" t="str">
        <f aca="false">IF($B927="Tema",IF(ISNUMBER(INDEX(Temas!$E$6:$P$305,$C927,2*$D927-1)),INDEX(Temas!$E$6:$P$305,$C927,2*$D927-1),""),IF(ISNUMBER(INDEX(Avulsos!$B$6:$B$205,$C927)),INDEX(Avulsos!$B$6:$B$205,$C927),""))</f>
        <v/>
      </c>
      <c r="F927" s="114" t="str">
        <f aca="false">IF($E927="","",IF($B927="Tema",INDEX(Temas!$B$6:$B$305,$C927)&amp;"",INDEX(Avulsos!$C$6:$C$205,$C927)&amp;""))</f>
        <v/>
      </c>
      <c r="G927" s="114" t="str">
        <f aca="false">IF($E927="","",IF($B927="Tema",INDEX(Config!$C$6:$C$11,$D927),"Evento avulso"))</f>
        <v/>
      </c>
      <c r="H927" s="114" t="str">
        <f aca="false">IF($E927="","",IF($B927="Tema",INDEX(Config!$D$6:$D$11,$D927),IFERROR(INDEX(Config!$E$15:$E$19,MATCH($I927,Config!$C$15:$C$19,0)),"•")))</f>
        <v/>
      </c>
      <c r="I927" s="114" t="str">
        <f aca="false">IF($E927="","",IF($B927="Tema",INDEX(Config!$E$6:$E$11,$D927),IF(INDEX(Avulsos!$D$6:$D$205,$C927)&amp;""="","Outro",INDEX(Avulsos!$D$6:$D$205,$C927))))</f>
        <v/>
      </c>
      <c r="J927" s="114" t="str">
        <f aca="false">IF($E927="","",IF($B927="Tema",INDEX(Temas!$C$6:$C$305,$C927)&amp;"",INDEX(Avulsos!$E$6:$E$205,$C927)&amp;""))</f>
        <v/>
      </c>
      <c r="K927" s="114" t="str">
        <f aca="false">IF($E927="","",IF(IF($B927="Tema",INDEX(Temas!$E$6:$P$305,$C927,2*$D927),INDEX(Avulsos!$F$6:$F$205,$C927))&amp;""="","","✓"))</f>
        <v/>
      </c>
      <c r="L927" s="114" t="str">
        <f aca="true">IF($E927="","",IF($K927="✓","Concluído",IF($E927&lt;TODAY(),"Atrasado",IF($E927=TODAY(),"Hoje","Pendente"))))</f>
        <v/>
      </c>
      <c r="M927" s="114" t="str">
        <f aca="false">IF($E927="","",IF($K927="✓","✓ ","")&amp;IF(Config!$E$22="Sim",$H927&amp;" · ","")&amp;$F927)</f>
        <v/>
      </c>
      <c r="N927" s="114" t="str">
        <f aca="false">IF($E927="","",IFERROR(INDEX(Config!$D$15:$D$19,MATCH($I927,Config!$C$15:$C$19,0)),"OUT")&amp;IF($K927="✓","x",""))</f>
        <v/>
      </c>
      <c r="O927" s="114" t="str">
        <f aca="false">IF($E927="","",COUNTIF($E$5:$E927,$E927))</f>
        <v/>
      </c>
      <c r="P927" s="114" t="str">
        <f aca="false">IF($E927="","",$E927*100+$O927)</f>
        <v/>
      </c>
      <c r="Q927" s="114" t="str">
        <f aca="false">IF($L927="Atrasado",$E927*10000+$A927,"")</f>
        <v/>
      </c>
    </row>
    <row r="928" customFormat="false" ht="15" hidden="false" customHeight="false" outlineLevel="0" collapsed="false">
      <c r="A928" s="114" t="n">
        <f aca="false">ROW()-4</f>
        <v>924</v>
      </c>
      <c r="B928" s="114" t="str">
        <f aca="false">IF(A928&lt;=Config!$E$27*Config!$E$28,"Tema","Avulso")</f>
        <v>Tema</v>
      </c>
      <c r="C928" s="114" t="n">
        <f aca="false">IF(B928="Tema",INT((A928-1)/Config!$E$28)+1,A928-Config!$E$27*Config!$E$28)</f>
        <v>154</v>
      </c>
      <c r="D928" s="114" t="n">
        <f aca="false">IF(B928="Tema",MOD(A928-1,Config!$E$28)+1,"")</f>
        <v>6</v>
      </c>
      <c r="E928" s="115" t="str">
        <f aca="false">IF($B928="Tema",IF(ISNUMBER(INDEX(Temas!$E$6:$P$305,$C928,2*$D928-1)),INDEX(Temas!$E$6:$P$305,$C928,2*$D928-1),""),IF(ISNUMBER(INDEX(Avulsos!$B$6:$B$205,$C928)),INDEX(Avulsos!$B$6:$B$205,$C928),""))</f>
        <v/>
      </c>
      <c r="F928" s="114" t="str">
        <f aca="false">IF($E928="","",IF($B928="Tema",INDEX(Temas!$B$6:$B$305,$C928)&amp;"",INDEX(Avulsos!$C$6:$C$205,$C928)&amp;""))</f>
        <v/>
      </c>
      <c r="G928" s="114" t="str">
        <f aca="false">IF($E928="","",IF($B928="Tema",INDEX(Config!$C$6:$C$11,$D928),"Evento avulso"))</f>
        <v/>
      </c>
      <c r="H928" s="114" t="str">
        <f aca="false">IF($E928="","",IF($B928="Tema",INDEX(Config!$D$6:$D$11,$D928),IFERROR(INDEX(Config!$E$15:$E$19,MATCH($I928,Config!$C$15:$C$19,0)),"•")))</f>
        <v/>
      </c>
      <c r="I928" s="114" t="str">
        <f aca="false">IF($E928="","",IF($B928="Tema",INDEX(Config!$E$6:$E$11,$D928),IF(INDEX(Avulsos!$D$6:$D$205,$C928)&amp;""="","Outro",INDEX(Avulsos!$D$6:$D$205,$C928))))</f>
        <v/>
      </c>
      <c r="J928" s="114" t="str">
        <f aca="false">IF($E928="","",IF($B928="Tema",INDEX(Temas!$C$6:$C$305,$C928)&amp;"",INDEX(Avulsos!$E$6:$E$205,$C928)&amp;""))</f>
        <v/>
      </c>
      <c r="K928" s="114" t="str">
        <f aca="false">IF($E928="","",IF(IF($B928="Tema",INDEX(Temas!$E$6:$P$305,$C928,2*$D928),INDEX(Avulsos!$F$6:$F$205,$C928))&amp;""="","","✓"))</f>
        <v/>
      </c>
      <c r="L928" s="114" t="str">
        <f aca="true">IF($E928="","",IF($K928="✓","Concluído",IF($E928&lt;TODAY(),"Atrasado",IF($E928=TODAY(),"Hoje","Pendente"))))</f>
        <v/>
      </c>
      <c r="M928" s="114" t="str">
        <f aca="false">IF($E928="","",IF($K928="✓","✓ ","")&amp;IF(Config!$E$22="Sim",$H928&amp;" · ","")&amp;$F928)</f>
        <v/>
      </c>
      <c r="N928" s="114" t="str">
        <f aca="false">IF($E928="","",IFERROR(INDEX(Config!$D$15:$D$19,MATCH($I928,Config!$C$15:$C$19,0)),"OUT")&amp;IF($K928="✓","x",""))</f>
        <v/>
      </c>
      <c r="O928" s="114" t="str">
        <f aca="false">IF($E928="","",COUNTIF($E$5:$E928,$E928))</f>
        <v/>
      </c>
      <c r="P928" s="114" t="str">
        <f aca="false">IF($E928="","",$E928*100+$O928)</f>
        <v/>
      </c>
      <c r="Q928" s="114" t="str">
        <f aca="false">IF($L928="Atrasado",$E928*10000+$A928,"")</f>
        <v/>
      </c>
    </row>
    <row r="929" customFormat="false" ht="15" hidden="false" customHeight="false" outlineLevel="0" collapsed="false">
      <c r="A929" s="114" t="n">
        <f aca="false">ROW()-4</f>
        <v>925</v>
      </c>
      <c r="B929" s="114" t="str">
        <f aca="false">IF(A929&lt;=Config!$E$27*Config!$E$28,"Tema","Avulso")</f>
        <v>Tema</v>
      </c>
      <c r="C929" s="114" t="n">
        <f aca="false">IF(B929="Tema",INT((A929-1)/Config!$E$28)+1,A929-Config!$E$27*Config!$E$28)</f>
        <v>155</v>
      </c>
      <c r="D929" s="114" t="n">
        <f aca="false">IF(B929="Tema",MOD(A929-1,Config!$E$28)+1,"")</f>
        <v>1</v>
      </c>
      <c r="E929" s="115" t="str">
        <f aca="false">IF($B929="Tema",IF(ISNUMBER(INDEX(Temas!$E$6:$P$305,$C929,2*$D929-1)),INDEX(Temas!$E$6:$P$305,$C929,2*$D929-1),""),IF(ISNUMBER(INDEX(Avulsos!$B$6:$B$205,$C929)),INDEX(Avulsos!$B$6:$B$205,$C929),""))</f>
        <v/>
      </c>
      <c r="F929" s="114" t="str">
        <f aca="false">IF($E929="","",IF($B929="Tema",INDEX(Temas!$B$6:$B$305,$C929)&amp;"",INDEX(Avulsos!$C$6:$C$205,$C929)&amp;""))</f>
        <v/>
      </c>
      <c r="G929" s="114" t="str">
        <f aca="false">IF($E929="","",IF($B929="Tema",INDEX(Config!$C$6:$C$11,$D929),"Evento avulso"))</f>
        <v/>
      </c>
      <c r="H929" s="114" t="str">
        <f aca="false">IF($E929="","",IF($B929="Tema",INDEX(Config!$D$6:$D$11,$D929),IFERROR(INDEX(Config!$E$15:$E$19,MATCH($I929,Config!$C$15:$C$19,0)),"•")))</f>
        <v/>
      </c>
      <c r="I929" s="114" t="str">
        <f aca="false">IF($E929="","",IF($B929="Tema",INDEX(Config!$E$6:$E$11,$D929),IF(INDEX(Avulsos!$D$6:$D$205,$C929)&amp;""="","Outro",INDEX(Avulsos!$D$6:$D$205,$C929))))</f>
        <v/>
      </c>
      <c r="J929" s="114" t="str">
        <f aca="false">IF($E929="","",IF($B929="Tema",INDEX(Temas!$C$6:$C$305,$C929)&amp;"",INDEX(Avulsos!$E$6:$E$205,$C929)&amp;""))</f>
        <v/>
      </c>
      <c r="K929" s="114" t="str">
        <f aca="false">IF($E929="","",IF(IF($B929="Tema",INDEX(Temas!$E$6:$P$305,$C929,2*$D929),INDEX(Avulsos!$F$6:$F$205,$C929))&amp;""="","","✓"))</f>
        <v/>
      </c>
      <c r="L929" s="114" t="str">
        <f aca="true">IF($E929="","",IF($K929="✓","Concluído",IF($E929&lt;TODAY(),"Atrasado",IF($E929=TODAY(),"Hoje","Pendente"))))</f>
        <v/>
      </c>
      <c r="M929" s="114" t="str">
        <f aca="false">IF($E929="","",IF($K929="✓","✓ ","")&amp;IF(Config!$E$22="Sim",$H929&amp;" · ","")&amp;$F929)</f>
        <v/>
      </c>
      <c r="N929" s="114" t="str">
        <f aca="false">IF($E929="","",IFERROR(INDEX(Config!$D$15:$D$19,MATCH($I929,Config!$C$15:$C$19,0)),"OUT")&amp;IF($K929="✓","x",""))</f>
        <v/>
      </c>
      <c r="O929" s="114" t="str">
        <f aca="false">IF($E929="","",COUNTIF($E$5:$E929,$E929))</f>
        <v/>
      </c>
      <c r="P929" s="114" t="str">
        <f aca="false">IF($E929="","",$E929*100+$O929)</f>
        <v/>
      </c>
      <c r="Q929" s="114" t="str">
        <f aca="false">IF($L929="Atrasado",$E929*10000+$A929,"")</f>
        <v/>
      </c>
    </row>
    <row r="930" customFormat="false" ht="15" hidden="false" customHeight="false" outlineLevel="0" collapsed="false">
      <c r="A930" s="114" t="n">
        <f aca="false">ROW()-4</f>
        <v>926</v>
      </c>
      <c r="B930" s="114" t="str">
        <f aca="false">IF(A930&lt;=Config!$E$27*Config!$E$28,"Tema","Avulso")</f>
        <v>Tema</v>
      </c>
      <c r="C930" s="114" t="n">
        <f aca="false">IF(B930="Tema",INT((A930-1)/Config!$E$28)+1,A930-Config!$E$27*Config!$E$28)</f>
        <v>155</v>
      </c>
      <c r="D930" s="114" t="n">
        <f aca="false">IF(B930="Tema",MOD(A930-1,Config!$E$28)+1,"")</f>
        <v>2</v>
      </c>
      <c r="E930" s="115" t="str">
        <f aca="false">IF($B930="Tema",IF(ISNUMBER(INDEX(Temas!$E$6:$P$305,$C930,2*$D930-1)),INDEX(Temas!$E$6:$P$305,$C930,2*$D930-1),""),IF(ISNUMBER(INDEX(Avulsos!$B$6:$B$205,$C930)),INDEX(Avulsos!$B$6:$B$205,$C930),""))</f>
        <v/>
      </c>
      <c r="F930" s="114" t="str">
        <f aca="false">IF($E930="","",IF($B930="Tema",INDEX(Temas!$B$6:$B$305,$C930)&amp;"",INDEX(Avulsos!$C$6:$C$205,$C930)&amp;""))</f>
        <v/>
      </c>
      <c r="G930" s="114" t="str">
        <f aca="false">IF($E930="","",IF($B930="Tema",INDEX(Config!$C$6:$C$11,$D930),"Evento avulso"))</f>
        <v/>
      </c>
      <c r="H930" s="114" t="str">
        <f aca="false">IF($E930="","",IF($B930="Tema",INDEX(Config!$D$6:$D$11,$D930),IFERROR(INDEX(Config!$E$15:$E$19,MATCH($I930,Config!$C$15:$C$19,0)),"•")))</f>
        <v/>
      </c>
      <c r="I930" s="114" t="str">
        <f aca="false">IF($E930="","",IF($B930="Tema",INDEX(Config!$E$6:$E$11,$D930),IF(INDEX(Avulsos!$D$6:$D$205,$C930)&amp;""="","Outro",INDEX(Avulsos!$D$6:$D$205,$C930))))</f>
        <v/>
      </c>
      <c r="J930" s="114" t="str">
        <f aca="false">IF($E930="","",IF($B930="Tema",INDEX(Temas!$C$6:$C$305,$C930)&amp;"",INDEX(Avulsos!$E$6:$E$205,$C930)&amp;""))</f>
        <v/>
      </c>
      <c r="K930" s="114" t="str">
        <f aca="false">IF($E930="","",IF(IF($B930="Tema",INDEX(Temas!$E$6:$P$305,$C930,2*$D930),INDEX(Avulsos!$F$6:$F$205,$C930))&amp;""="","","✓"))</f>
        <v/>
      </c>
      <c r="L930" s="114" t="str">
        <f aca="true">IF($E930="","",IF($K930="✓","Concluído",IF($E930&lt;TODAY(),"Atrasado",IF($E930=TODAY(),"Hoje","Pendente"))))</f>
        <v/>
      </c>
      <c r="M930" s="114" t="str">
        <f aca="false">IF($E930="","",IF($K930="✓","✓ ","")&amp;IF(Config!$E$22="Sim",$H930&amp;" · ","")&amp;$F930)</f>
        <v/>
      </c>
      <c r="N930" s="114" t="str">
        <f aca="false">IF($E930="","",IFERROR(INDEX(Config!$D$15:$D$19,MATCH($I930,Config!$C$15:$C$19,0)),"OUT")&amp;IF($K930="✓","x",""))</f>
        <v/>
      </c>
      <c r="O930" s="114" t="str">
        <f aca="false">IF($E930="","",COUNTIF($E$5:$E930,$E930))</f>
        <v/>
      </c>
      <c r="P930" s="114" t="str">
        <f aca="false">IF($E930="","",$E930*100+$O930)</f>
        <v/>
      </c>
      <c r="Q930" s="114" t="str">
        <f aca="false">IF($L930="Atrasado",$E930*10000+$A930,"")</f>
        <v/>
      </c>
    </row>
    <row r="931" customFormat="false" ht="15" hidden="false" customHeight="false" outlineLevel="0" collapsed="false">
      <c r="A931" s="114" t="n">
        <f aca="false">ROW()-4</f>
        <v>927</v>
      </c>
      <c r="B931" s="114" t="str">
        <f aca="false">IF(A931&lt;=Config!$E$27*Config!$E$28,"Tema","Avulso")</f>
        <v>Tema</v>
      </c>
      <c r="C931" s="114" t="n">
        <f aca="false">IF(B931="Tema",INT((A931-1)/Config!$E$28)+1,A931-Config!$E$27*Config!$E$28)</f>
        <v>155</v>
      </c>
      <c r="D931" s="114" t="n">
        <f aca="false">IF(B931="Tema",MOD(A931-1,Config!$E$28)+1,"")</f>
        <v>3</v>
      </c>
      <c r="E931" s="115" t="str">
        <f aca="false">IF($B931="Tema",IF(ISNUMBER(INDEX(Temas!$E$6:$P$305,$C931,2*$D931-1)),INDEX(Temas!$E$6:$P$305,$C931,2*$D931-1),""),IF(ISNUMBER(INDEX(Avulsos!$B$6:$B$205,$C931)),INDEX(Avulsos!$B$6:$B$205,$C931),""))</f>
        <v/>
      </c>
      <c r="F931" s="114" t="str">
        <f aca="false">IF($E931="","",IF($B931="Tema",INDEX(Temas!$B$6:$B$305,$C931)&amp;"",INDEX(Avulsos!$C$6:$C$205,$C931)&amp;""))</f>
        <v/>
      </c>
      <c r="G931" s="114" t="str">
        <f aca="false">IF($E931="","",IF($B931="Tema",INDEX(Config!$C$6:$C$11,$D931),"Evento avulso"))</f>
        <v/>
      </c>
      <c r="H931" s="114" t="str">
        <f aca="false">IF($E931="","",IF($B931="Tema",INDEX(Config!$D$6:$D$11,$D931),IFERROR(INDEX(Config!$E$15:$E$19,MATCH($I931,Config!$C$15:$C$19,0)),"•")))</f>
        <v/>
      </c>
      <c r="I931" s="114" t="str">
        <f aca="false">IF($E931="","",IF($B931="Tema",INDEX(Config!$E$6:$E$11,$D931),IF(INDEX(Avulsos!$D$6:$D$205,$C931)&amp;""="","Outro",INDEX(Avulsos!$D$6:$D$205,$C931))))</f>
        <v/>
      </c>
      <c r="J931" s="114" t="str">
        <f aca="false">IF($E931="","",IF($B931="Tema",INDEX(Temas!$C$6:$C$305,$C931)&amp;"",INDEX(Avulsos!$E$6:$E$205,$C931)&amp;""))</f>
        <v/>
      </c>
      <c r="K931" s="114" t="str">
        <f aca="false">IF($E931="","",IF(IF($B931="Tema",INDEX(Temas!$E$6:$P$305,$C931,2*$D931),INDEX(Avulsos!$F$6:$F$205,$C931))&amp;""="","","✓"))</f>
        <v/>
      </c>
      <c r="L931" s="114" t="str">
        <f aca="true">IF($E931="","",IF($K931="✓","Concluído",IF($E931&lt;TODAY(),"Atrasado",IF($E931=TODAY(),"Hoje","Pendente"))))</f>
        <v/>
      </c>
      <c r="M931" s="114" t="str">
        <f aca="false">IF($E931="","",IF($K931="✓","✓ ","")&amp;IF(Config!$E$22="Sim",$H931&amp;" · ","")&amp;$F931)</f>
        <v/>
      </c>
      <c r="N931" s="114" t="str">
        <f aca="false">IF($E931="","",IFERROR(INDEX(Config!$D$15:$D$19,MATCH($I931,Config!$C$15:$C$19,0)),"OUT")&amp;IF($K931="✓","x",""))</f>
        <v/>
      </c>
      <c r="O931" s="114" t="str">
        <f aca="false">IF($E931="","",COUNTIF($E$5:$E931,$E931))</f>
        <v/>
      </c>
      <c r="P931" s="114" t="str">
        <f aca="false">IF($E931="","",$E931*100+$O931)</f>
        <v/>
      </c>
      <c r="Q931" s="114" t="str">
        <f aca="false">IF($L931="Atrasado",$E931*10000+$A931,"")</f>
        <v/>
      </c>
    </row>
    <row r="932" customFormat="false" ht="15" hidden="false" customHeight="false" outlineLevel="0" collapsed="false">
      <c r="A932" s="114" t="n">
        <f aca="false">ROW()-4</f>
        <v>928</v>
      </c>
      <c r="B932" s="114" t="str">
        <f aca="false">IF(A932&lt;=Config!$E$27*Config!$E$28,"Tema","Avulso")</f>
        <v>Tema</v>
      </c>
      <c r="C932" s="114" t="n">
        <f aca="false">IF(B932="Tema",INT((A932-1)/Config!$E$28)+1,A932-Config!$E$27*Config!$E$28)</f>
        <v>155</v>
      </c>
      <c r="D932" s="114" t="n">
        <f aca="false">IF(B932="Tema",MOD(A932-1,Config!$E$28)+1,"")</f>
        <v>4</v>
      </c>
      <c r="E932" s="115" t="str">
        <f aca="false">IF($B932="Tema",IF(ISNUMBER(INDEX(Temas!$E$6:$P$305,$C932,2*$D932-1)),INDEX(Temas!$E$6:$P$305,$C932,2*$D932-1),""),IF(ISNUMBER(INDEX(Avulsos!$B$6:$B$205,$C932)),INDEX(Avulsos!$B$6:$B$205,$C932),""))</f>
        <v/>
      </c>
      <c r="F932" s="114" t="str">
        <f aca="false">IF($E932="","",IF($B932="Tema",INDEX(Temas!$B$6:$B$305,$C932)&amp;"",INDEX(Avulsos!$C$6:$C$205,$C932)&amp;""))</f>
        <v/>
      </c>
      <c r="G932" s="114" t="str">
        <f aca="false">IF($E932="","",IF($B932="Tema",INDEX(Config!$C$6:$C$11,$D932),"Evento avulso"))</f>
        <v/>
      </c>
      <c r="H932" s="114" t="str">
        <f aca="false">IF($E932="","",IF($B932="Tema",INDEX(Config!$D$6:$D$11,$D932),IFERROR(INDEX(Config!$E$15:$E$19,MATCH($I932,Config!$C$15:$C$19,0)),"•")))</f>
        <v/>
      </c>
      <c r="I932" s="114" t="str">
        <f aca="false">IF($E932="","",IF($B932="Tema",INDEX(Config!$E$6:$E$11,$D932),IF(INDEX(Avulsos!$D$6:$D$205,$C932)&amp;""="","Outro",INDEX(Avulsos!$D$6:$D$205,$C932))))</f>
        <v/>
      </c>
      <c r="J932" s="114" t="str">
        <f aca="false">IF($E932="","",IF($B932="Tema",INDEX(Temas!$C$6:$C$305,$C932)&amp;"",INDEX(Avulsos!$E$6:$E$205,$C932)&amp;""))</f>
        <v/>
      </c>
      <c r="K932" s="114" t="str">
        <f aca="false">IF($E932="","",IF(IF($B932="Tema",INDEX(Temas!$E$6:$P$305,$C932,2*$D932),INDEX(Avulsos!$F$6:$F$205,$C932))&amp;""="","","✓"))</f>
        <v/>
      </c>
      <c r="L932" s="114" t="str">
        <f aca="true">IF($E932="","",IF($K932="✓","Concluído",IF($E932&lt;TODAY(),"Atrasado",IF($E932=TODAY(),"Hoje","Pendente"))))</f>
        <v/>
      </c>
      <c r="M932" s="114" t="str">
        <f aca="false">IF($E932="","",IF($K932="✓","✓ ","")&amp;IF(Config!$E$22="Sim",$H932&amp;" · ","")&amp;$F932)</f>
        <v/>
      </c>
      <c r="N932" s="114" t="str">
        <f aca="false">IF($E932="","",IFERROR(INDEX(Config!$D$15:$D$19,MATCH($I932,Config!$C$15:$C$19,0)),"OUT")&amp;IF($K932="✓","x",""))</f>
        <v/>
      </c>
      <c r="O932" s="114" t="str">
        <f aca="false">IF($E932="","",COUNTIF($E$5:$E932,$E932))</f>
        <v/>
      </c>
      <c r="P932" s="114" t="str">
        <f aca="false">IF($E932="","",$E932*100+$O932)</f>
        <v/>
      </c>
      <c r="Q932" s="114" t="str">
        <f aca="false">IF($L932="Atrasado",$E932*10000+$A932,"")</f>
        <v/>
      </c>
    </row>
    <row r="933" customFormat="false" ht="15" hidden="false" customHeight="false" outlineLevel="0" collapsed="false">
      <c r="A933" s="114" t="n">
        <f aca="false">ROW()-4</f>
        <v>929</v>
      </c>
      <c r="B933" s="114" t="str">
        <f aca="false">IF(A933&lt;=Config!$E$27*Config!$E$28,"Tema","Avulso")</f>
        <v>Tema</v>
      </c>
      <c r="C933" s="114" t="n">
        <f aca="false">IF(B933="Tema",INT((A933-1)/Config!$E$28)+1,A933-Config!$E$27*Config!$E$28)</f>
        <v>155</v>
      </c>
      <c r="D933" s="114" t="n">
        <f aca="false">IF(B933="Tema",MOD(A933-1,Config!$E$28)+1,"")</f>
        <v>5</v>
      </c>
      <c r="E933" s="115" t="str">
        <f aca="false">IF($B933="Tema",IF(ISNUMBER(INDEX(Temas!$E$6:$P$305,$C933,2*$D933-1)),INDEX(Temas!$E$6:$P$305,$C933,2*$D933-1),""),IF(ISNUMBER(INDEX(Avulsos!$B$6:$B$205,$C933)),INDEX(Avulsos!$B$6:$B$205,$C933),""))</f>
        <v/>
      </c>
      <c r="F933" s="114" t="str">
        <f aca="false">IF($E933="","",IF($B933="Tema",INDEX(Temas!$B$6:$B$305,$C933)&amp;"",INDEX(Avulsos!$C$6:$C$205,$C933)&amp;""))</f>
        <v/>
      </c>
      <c r="G933" s="114" t="str">
        <f aca="false">IF($E933="","",IF($B933="Tema",INDEX(Config!$C$6:$C$11,$D933),"Evento avulso"))</f>
        <v/>
      </c>
      <c r="H933" s="114" t="str">
        <f aca="false">IF($E933="","",IF($B933="Tema",INDEX(Config!$D$6:$D$11,$D933),IFERROR(INDEX(Config!$E$15:$E$19,MATCH($I933,Config!$C$15:$C$19,0)),"•")))</f>
        <v/>
      </c>
      <c r="I933" s="114" t="str">
        <f aca="false">IF($E933="","",IF($B933="Tema",INDEX(Config!$E$6:$E$11,$D933),IF(INDEX(Avulsos!$D$6:$D$205,$C933)&amp;""="","Outro",INDEX(Avulsos!$D$6:$D$205,$C933))))</f>
        <v/>
      </c>
      <c r="J933" s="114" t="str">
        <f aca="false">IF($E933="","",IF($B933="Tema",INDEX(Temas!$C$6:$C$305,$C933)&amp;"",INDEX(Avulsos!$E$6:$E$205,$C933)&amp;""))</f>
        <v/>
      </c>
      <c r="K933" s="114" t="str">
        <f aca="false">IF($E933="","",IF(IF($B933="Tema",INDEX(Temas!$E$6:$P$305,$C933,2*$D933),INDEX(Avulsos!$F$6:$F$205,$C933))&amp;""="","","✓"))</f>
        <v/>
      </c>
      <c r="L933" s="114" t="str">
        <f aca="true">IF($E933="","",IF($K933="✓","Concluído",IF($E933&lt;TODAY(),"Atrasado",IF($E933=TODAY(),"Hoje","Pendente"))))</f>
        <v/>
      </c>
      <c r="M933" s="114" t="str">
        <f aca="false">IF($E933="","",IF($K933="✓","✓ ","")&amp;IF(Config!$E$22="Sim",$H933&amp;" · ","")&amp;$F933)</f>
        <v/>
      </c>
      <c r="N933" s="114" t="str">
        <f aca="false">IF($E933="","",IFERROR(INDEX(Config!$D$15:$D$19,MATCH($I933,Config!$C$15:$C$19,0)),"OUT")&amp;IF($K933="✓","x",""))</f>
        <v/>
      </c>
      <c r="O933" s="114" t="str">
        <f aca="false">IF($E933="","",COUNTIF($E$5:$E933,$E933))</f>
        <v/>
      </c>
      <c r="P933" s="114" t="str">
        <f aca="false">IF($E933="","",$E933*100+$O933)</f>
        <v/>
      </c>
      <c r="Q933" s="114" t="str">
        <f aca="false">IF($L933="Atrasado",$E933*10000+$A933,"")</f>
        <v/>
      </c>
    </row>
    <row r="934" customFormat="false" ht="15" hidden="false" customHeight="false" outlineLevel="0" collapsed="false">
      <c r="A934" s="114" t="n">
        <f aca="false">ROW()-4</f>
        <v>930</v>
      </c>
      <c r="B934" s="114" t="str">
        <f aca="false">IF(A934&lt;=Config!$E$27*Config!$E$28,"Tema","Avulso")</f>
        <v>Tema</v>
      </c>
      <c r="C934" s="114" t="n">
        <f aca="false">IF(B934="Tema",INT((A934-1)/Config!$E$28)+1,A934-Config!$E$27*Config!$E$28)</f>
        <v>155</v>
      </c>
      <c r="D934" s="114" t="n">
        <f aca="false">IF(B934="Tema",MOD(A934-1,Config!$E$28)+1,"")</f>
        <v>6</v>
      </c>
      <c r="E934" s="115" t="str">
        <f aca="false">IF($B934="Tema",IF(ISNUMBER(INDEX(Temas!$E$6:$P$305,$C934,2*$D934-1)),INDEX(Temas!$E$6:$P$305,$C934,2*$D934-1),""),IF(ISNUMBER(INDEX(Avulsos!$B$6:$B$205,$C934)),INDEX(Avulsos!$B$6:$B$205,$C934),""))</f>
        <v/>
      </c>
      <c r="F934" s="114" t="str">
        <f aca="false">IF($E934="","",IF($B934="Tema",INDEX(Temas!$B$6:$B$305,$C934)&amp;"",INDEX(Avulsos!$C$6:$C$205,$C934)&amp;""))</f>
        <v/>
      </c>
      <c r="G934" s="114" t="str">
        <f aca="false">IF($E934="","",IF($B934="Tema",INDEX(Config!$C$6:$C$11,$D934),"Evento avulso"))</f>
        <v/>
      </c>
      <c r="H934" s="114" t="str">
        <f aca="false">IF($E934="","",IF($B934="Tema",INDEX(Config!$D$6:$D$11,$D934),IFERROR(INDEX(Config!$E$15:$E$19,MATCH($I934,Config!$C$15:$C$19,0)),"•")))</f>
        <v/>
      </c>
      <c r="I934" s="114" t="str">
        <f aca="false">IF($E934="","",IF($B934="Tema",INDEX(Config!$E$6:$E$11,$D934),IF(INDEX(Avulsos!$D$6:$D$205,$C934)&amp;""="","Outro",INDEX(Avulsos!$D$6:$D$205,$C934))))</f>
        <v/>
      </c>
      <c r="J934" s="114" t="str">
        <f aca="false">IF($E934="","",IF($B934="Tema",INDEX(Temas!$C$6:$C$305,$C934)&amp;"",INDEX(Avulsos!$E$6:$E$205,$C934)&amp;""))</f>
        <v/>
      </c>
      <c r="K934" s="114" t="str">
        <f aca="false">IF($E934="","",IF(IF($B934="Tema",INDEX(Temas!$E$6:$P$305,$C934,2*$D934),INDEX(Avulsos!$F$6:$F$205,$C934))&amp;""="","","✓"))</f>
        <v/>
      </c>
      <c r="L934" s="114" t="str">
        <f aca="true">IF($E934="","",IF($K934="✓","Concluído",IF($E934&lt;TODAY(),"Atrasado",IF($E934=TODAY(),"Hoje","Pendente"))))</f>
        <v/>
      </c>
      <c r="M934" s="114" t="str">
        <f aca="false">IF($E934="","",IF($K934="✓","✓ ","")&amp;IF(Config!$E$22="Sim",$H934&amp;" · ","")&amp;$F934)</f>
        <v/>
      </c>
      <c r="N934" s="114" t="str">
        <f aca="false">IF($E934="","",IFERROR(INDEX(Config!$D$15:$D$19,MATCH($I934,Config!$C$15:$C$19,0)),"OUT")&amp;IF($K934="✓","x",""))</f>
        <v/>
      </c>
      <c r="O934" s="114" t="str">
        <f aca="false">IF($E934="","",COUNTIF($E$5:$E934,$E934))</f>
        <v/>
      </c>
      <c r="P934" s="114" t="str">
        <f aca="false">IF($E934="","",$E934*100+$O934)</f>
        <v/>
      </c>
      <c r="Q934" s="114" t="str">
        <f aca="false">IF($L934="Atrasado",$E934*10000+$A934,"")</f>
        <v/>
      </c>
    </row>
    <row r="935" customFormat="false" ht="15" hidden="false" customHeight="false" outlineLevel="0" collapsed="false">
      <c r="A935" s="114" t="n">
        <f aca="false">ROW()-4</f>
        <v>931</v>
      </c>
      <c r="B935" s="114" t="str">
        <f aca="false">IF(A935&lt;=Config!$E$27*Config!$E$28,"Tema","Avulso")</f>
        <v>Tema</v>
      </c>
      <c r="C935" s="114" t="n">
        <f aca="false">IF(B935="Tema",INT((A935-1)/Config!$E$28)+1,A935-Config!$E$27*Config!$E$28)</f>
        <v>156</v>
      </c>
      <c r="D935" s="114" t="n">
        <f aca="false">IF(B935="Tema",MOD(A935-1,Config!$E$28)+1,"")</f>
        <v>1</v>
      </c>
      <c r="E935" s="115" t="str">
        <f aca="false">IF($B935="Tema",IF(ISNUMBER(INDEX(Temas!$E$6:$P$305,$C935,2*$D935-1)),INDEX(Temas!$E$6:$P$305,$C935,2*$D935-1),""),IF(ISNUMBER(INDEX(Avulsos!$B$6:$B$205,$C935)),INDEX(Avulsos!$B$6:$B$205,$C935),""))</f>
        <v/>
      </c>
      <c r="F935" s="114" t="str">
        <f aca="false">IF($E935="","",IF($B935="Tema",INDEX(Temas!$B$6:$B$305,$C935)&amp;"",INDEX(Avulsos!$C$6:$C$205,$C935)&amp;""))</f>
        <v/>
      </c>
      <c r="G935" s="114" t="str">
        <f aca="false">IF($E935="","",IF($B935="Tema",INDEX(Config!$C$6:$C$11,$D935),"Evento avulso"))</f>
        <v/>
      </c>
      <c r="H935" s="114" t="str">
        <f aca="false">IF($E935="","",IF($B935="Tema",INDEX(Config!$D$6:$D$11,$D935),IFERROR(INDEX(Config!$E$15:$E$19,MATCH($I935,Config!$C$15:$C$19,0)),"•")))</f>
        <v/>
      </c>
      <c r="I935" s="114" t="str">
        <f aca="false">IF($E935="","",IF($B935="Tema",INDEX(Config!$E$6:$E$11,$D935),IF(INDEX(Avulsos!$D$6:$D$205,$C935)&amp;""="","Outro",INDEX(Avulsos!$D$6:$D$205,$C935))))</f>
        <v/>
      </c>
      <c r="J935" s="114" t="str">
        <f aca="false">IF($E935="","",IF($B935="Tema",INDEX(Temas!$C$6:$C$305,$C935)&amp;"",INDEX(Avulsos!$E$6:$E$205,$C935)&amp;""))</f>
        <v/>
      </c>
      <c r="K935" s="114" t="str">
        <f aca="false">IF($E935="","",IF(IF($B935="Tema",INDEX(Temas!$E$6:$P$305,$C935,2*$D935),INDEX(Avulsos!$F$6:$F$205,$C935))&amp;""="","","✓"))</f>
        <v/>
      </c>
      <c r="L935" s="114" t="str">
        <f aca="true">IF($E935="","",IF($K935="✓","Concluído",IF($E935&lt;TODAY(),"Atrasado",IF($E935=TODAY(),"Hoje","Pendente"))))</f>
        <v/>
      </c>
      <c r="M935" s="114" t="str">
        <f aca="false">IF($E935="","",IF($K935="✓","✓ ","")&amp;IF(Config!$E$22="Sim",$H935&amp;" · ","")&amp;$F935)</f>
        <v/>
      </c>
      <c r="N935" s="114" t="str">
        <f aca="false">IF($E935="","",IFERROR(INDEX(Config!$D$15:$D$19,MATCH($I935,Config!$C$15:$C$19,0)),"OUT")&amp;IF($K935="✓","x",""))</f>
        <v/>
      </c>
      <c r="O935" s="114" t="str">
        <f aca="false">IF($E935="","",COUNTIF($E$5:$E935,$E935))</f>
        <v/>
      </c>
      <c r="P935" s="114" t="str">
        <f aca="false">IF($E935="","",$E935*100+$O935)</f>
        <v/>
      </c>
      <c r="Q935" s="114" t="str">
        <f aca="false">IF($L935="Atrasado",$E935*10000+$A935,"")</f>
        <v/>
      </c>
    </row>
    <row r="936" customFormat="false" ht="15" hidden="false" customHeight="false" outlineLevel="0" collapsed="false">
      <c r="A936" s="114" t="n">
        <f aca="false">ROW()-4</f>
        <v>932</v>
      </c>
      <c r="B936" s="114" t="str">
        <f aca="false">IF(A936&lt;=Config!$E$27*Config!$E$28,"Tema","Avulso")</f>
        <v>Tema</v>
      </c>
      <c r="C936" s="114" t="n">
        <f aca="false">IF(B936="Tema",INT((A936-1)/Config!$E$28)+1,A936-Config!$E$27*Config!$E$28)</f>
        <v>156</v>
      </c>
      <c r="D936" s="114" t="n">
        <f aca="false">IF(B936="Tema",MOD(A936-1,Config!$E$28)+1,"")</f>
        <v>2</v>
      </c>
      <c r="E936" s="115" t="str">
        <f aca="false">IF($B936="Tema",IF(ISNUMBER(INDEX(Temas!$E$6:$P$305,$C936,2*$D936-1)),INDEX(Temas!$E$6:$P$305,$C936,2*$D936-1),""),IF(ISNUMBER(INDEX(Avulsos!$B$6:$B$205,$C936)),INDEX(Avulsos!$B$6:$B$205,$C936),""))</f>
        <v/>
      </c>
      <c r="F936" s="114" t="str">
        <f aca="false">IF($E936="","",IF($B936="Tema",INDEX(Temas!$B$6:$B$305,$C936)&amp;"",INDEX(Avulsos!$C$6:$C$205,$C936)&amp;""))</f>
        <v/>
      </c>
      <c r="G936" s="114" t="str">
        <f aca="false">IF($E936="","",IF($B936="Tema",INDEX(Config!$C$6:$C$11,$D936),"Evento avulso"))</f>
        <v/>
      </c>
      <c r="H936" s="114" t="str">
        <f aca="false">IF($E936="","",IF($B936="Tema",INDEX(Config!$D$6:$D$11,$D936),IFERROR(INDEX(Config!$E$15:$E$19,MATCH($I936,Config!$C$15:$C$19,0)),"•")))</f>
        <v/>
      </c>
      <c r="I936" s="114" t="str">
        <f aca="false">IF($E936="","",IF($B936="Tema",INDEX(Config!$E$6:$E$11,$D936),IF(INDEX(Avulsos!$D$6:$D$205,$C936)&amp;""="","Outro",INDEX(Avulsos!$D$6:$D$205,$C936))))</f>
        <v/>
      </c>
      <c r="J936" s="114" t="str">
        <f aca="false">IF($E936="","",IF($B936="Tema",INDEX(Temas!$C$6:$C$305,$C936)&amp;"",INDEX(Avulsos!$E$6:$E$205,$C936)&amp;""))</f>
        <v/>
      </c>
      <c r="K936" s="114" t="str">
        <f aca="false">IF($E936="","",IF(IF($B936="Tema",INDEX(Temas!$E$6:$P$305,$C936,2*$D936),INDEX(Avulsos!$F$6:$F$205,$C936))&amp;""="","","✓"))</f>
        <v/>
      </c>
      <c r="L936" s="114" t="str">
        <f aca="true">IF($E936="","",IF($K936="✓","Concluído",IF($E936&lt;TODAY(),"Atrasado",IF($E936=TODAY(),"Hoje","Pendente"))))</f>
        <v/>
      </c>
      <c r="M936" s="114" t="str">
        <f aca="false">IF($E936="","",IF($K936="✓","✓ ","")&amp;IF(Config!$E$22="Sim",$H936&amp;" · ","")&amp;$F936)</f>
        <v/>
      </c>
      <c r="N936" s="114" t="str">
        <f aca="false">IF($E936="","",IFERROR(INDEX(Config!$D$15:$D$19,MATCH($I936,Config!$C$15:$C$19,0)),"OUT")&amp;IF($K936="✓","x",""))</f>
        <v/>
      </c>
      <c r="O936" s="114" t="str">
        <f aca="false">IF($E936="","",COUNTIF($E$5:$E936,$E936))</f>
        <v/>
      </c>
      <c r="P936" s="114" t="str">
        <f aca="false">IF($E936="","",$E936*100+$O936)</f>
        <v/>
      </c>
      <c r="Q936" s="114" t="str">
        <f aca="false">IF($L936="Atrasado",$E936*10000+$A936,"")</f>
        <v/>
      </c>
    </row>
    <row r="937" customFormat="false" ht="15" hidden="false" customHeight="false" outlineLevel="0" collapsed="false">
      <c r="A937" s="114" t="n">
        <f aca="false">ROW()-4</f>
        <v>933</v>
      </c>
      <c r="B937" s="114" t="str">
        <f aca="false">IF(A937&lt;=Config!$E$27*Config!$E$28,"Tema","Avulso")</f>
        <v>Tema</v>
      </c>
      <c r="C937" s="114" t="n">
        <f aca="false">IF(B937="Tema",INT((A937-1)/Config!$E$28)+1,A937-Config!$E$27*Config!$E$28)</f>
        <v>156</v>
      </c>
      <c r="D937" s="114" t="n">
        <f aca="false">IF(B937="Tema",MOD(A937-1,Config!$E$28)+1,"")</f>
        <v>3</v>
      </c>
      <c r="E937" s="115" t="str">
        <f aca="false">IF($B937="Tema",IF(ISNUMBER(INDEX(Temas!$E$6:$P$305,$C937,2*$D937-1)),INDEX(Temas!$E$6:$P$305,$C937,2*$D937-1),""),IF(ISNUMBER(INDEX(Avulsos!$B$6:$B$205,$C937)),INDEX(Avulsos!$B$6:$B$205,$C937),""))</f>
        <v/>
      </c>
      <c r="F937" s="114" t="str">
        <f aca="false">IF($E937="","",IF($B937="Tema",INDEX(Temas!$B$6:$B$305,$C937)&amp;"",INDEX(Avulsos!$C$6:$C$205,$C937)&amp;""))</f>
        <v/>
      </c>
      <c r="G937" s="114" t="str">
        <f aca="false">IF($E937="","",IF($B937="Tema",INDEX(Config!$C$6:$C$11,$D937),"Evento avulso"))</f>
        <v/>
      </c>
      <c r="H937" s="114" t="str">
        <f aca="false">IF($E937="","",IF($B937="Tema",INDEX(Config!$D$6:$D$11,$D937),IFERROR(INDEX(Config!$E$15:$E$19,MATCH($I937,Config!$C$15:$C$19,0)),"•")))</f>
        <v/>
      </c>
      <c r="I937" s="114" t="str">
        <f aca="false">IF($E937="","",IF($B937="Tema",INDEX(Config!$E$6:$E$11,$D937),IF(INDEX(Avulsos!$D$6:$D$205,$C937)&amp;""="","Outro",INDEX(Avulsos!$D$6:$D$205,$C937))))</f>
        <v/>
      </c>
      <c r="J937" s="114" t="str">
        <f aca="false">IF($E937="","",IF($B937="Tema",INDEX(Temas!$C$6:$C$305,$C937)&amp;"",INDEX(Avulsos!$E$6:$E$205,$C937)&amp;""))</f>
        <v/>
      </c>
      <c r="K937" s="114" t="str">
        <f aca="false">IF($E937="","",IF(IF($B937="Tema",INDEX(Temas!$E$6:$P$305,$C937,2*$D937),INDEX(Avulsos!$F$6:$F$205,$C937))&amp;""="","","✓"))</f>
        <v/>
      </c>
      <c r="L937" s="114" t="str">
        <f aca="true">IF($E937="","",IF($K937="✓","Concluído",IF($E937&lt;TODAY(),"Atrasado",IF($E937=TODAY(),"Hoje","Pendente"))))</f>
        <v/>
      </c>
      <c r="M937" s="114" t="str">
        <f aca="false">IF($E937="","",IF($K937="✓","✓ ","")&amp;IF(Config!$E$22="Sim",$H937&amp;" · ","")&amp;$F937)</f>
        <v/>
      </c>
      <c r="N937" s="114" t="str">
        <f aca="false">IF($E937="","",IFERROR(INDEX(Config!$D$15:$D$19,MATCH($I937,Config!$C$15:$C$19,0)),"OUT")&amp;IF($K937="✓","x",""))</f>
        <v/>
      </c>
      <c r="O937" s="114" t="str">
        <f aca="false">IF($E937="","",COUNTIF($E$5:$E937,$E937))</f>
        <v/>
      </c>
      <c r="P937" s="114" t="str">
        <f aca="false">IF($E937="","",$E937*100+$O937)</f>
        <v/>
      </c>
      <c r="Q937" s="114" t="str">
        <f aca="false">IF($L937="Atrasado",$E937*10000+$A937,"")</f>
        <v/>
      </c>
    </row>
    <row r="938" customFormat="false" ht="15" hidden="false" customHeight="false" outlineLevel="0" collapsed="false">
      <c r="A938" s="114" t="n">
        <f aca="false">ROW()-4</f>
        <v>934</v>
      </c>
      <c r="B938" s="114" t="str">
        <f aca="false">IF(A938&lt;=Config!$E$27*Config!$E$28,"Tema","Avulso")</f>
        <v>Tema</v>
      </c>
      <c r="C938" s="114" t="n">
        <f aca="false">IF(B938="Tema",INT((A938-1)/Config!$E$28)+1,A938-Config!$E$27*Config!$E$28)</f>
        <v>156</v>
      </c>
      <c r="D938" s="114" t="n">
        <f aca="false">IF(B938="Tema",MOD(A938-1,Config!$E$28)+1,"")</f>
        <v>4</v>
      </c>
      <c r="E938" s="115" t="str">
        <f aca="false">IF($B938="Tema",IF(ISNUMBER(INDEX(Temas!$E$6:$P$305,$C938,2*$D938-1)),INDEX(Temas!$E$6:$P$305,$C938,2*$D938-1),""),IF(ISNUMBER(INDEX(Avulsos!$B$6:$B$205,$C938)),INDEX(Avulsos!$B$6:$B$205,$C938),""))</f>
        <v/>
      </c>
      <c r="F938" s="114" t="str">
        <f aca="false">IF($E938="","",IF($B938="Tema",INDEX(Temas!$B$6:$B$305,$C938)&amp;"",INDEX(Avulsos!$C$6:$C$205,$C938)&amp;""))</f>
        <v/>
      </c>
      <c r="G938" s="114" t="str">
        <f aca="false">IF($E938="","",IF($B938="Tema",INDEX(Config!$C$6:$C$11,$D938),"Evento avulso"))</f>
        <v/>
      </c>
      <c r="H938" s="114" t="str">
        <f aca="false">IF($E938="","",IF($B938="Tema",INDEX(Config!$D$6:$D$11,$D938),IFERROR(INDEX(Config!$E$15:$E$19,MATCH($I938,Config!$C$15:$C$19,0)),"•")))</f>
        <v/>
      </c>
      <c r="I938" s="114" t="str">
        <f aca="false">IF($E938="","",IF($B938="Tema",INDEX(Config!$E$6:$E$11,$D938),IF(INDEX(Avulsos!$D$6:$D$205,$C938)&amp;""="","Outro",INDEX(Avulsos!$D$6:$D$205,$C938))))</f>
        <v/>
      </c>
      <c r="J938" s="114" t="str">
        <f aca="false">IF($E938="","",IF($B938="Tema",INDEX(Temas!$C$6:$C$305,$C938)&amp;"",INDEX(Avulsos!$E$6:$E$205,$C938)&amp;""))</f>
        <v/>
      </c>
      <c r="K938" s="114" t="str">
        <f aca="false">IF($E938="","",IF(IF($B938="Tema",INDEX(Temas!$E$6:$P$305,$C938,2*$D938),INDEX(Avulsos!$F$6:$F$205,$C938))&amp;""="","","✓"))</f>
        <v/>
      </c>
      <c r="L938" s="114" t="str">
        <f aca="true">IF($E938="","",IF($K938="✓","Concluído",IF($E938&lt;TODAY(),"Atrasado",IF($E938=TODAY(),"Hoje","Pendente"))))</f>
        <v/>
      </c>
      <c r="M938" s="114" t="str">
        <f aca="false">IF($E938="","",IF($K938="✓","✓ ","")&amp;IF(Config!$E$22="Sim",$H938&amp;" · ","")&amp;$F938)</f>
        <v/>
      </c>
      <c r="N938" s="114" t="str">
        <f aca="false">IF($E938="","",IFERROR(INDEX(Config!$D$15:$D$19,MATCH($I938,Config!$C$15:$C$19,0)),"OUT")&amp;IF($K938="✓","x",""))</f>
        <v/>
      </c>
      <c r="O938" s="114" t="str">
        <f aca="false">IF($E938="","",COUNTIF($E$5:$E938,$E938))</f>
        <v/>
      </c>
      <c r="P938" s="114" t="str">
        <f aca="false">IF($E938="","",$E938*100+$O938)</f>
        <v/>
      </c>
      <c r="Q938" s="114" t="str">
        <f aca="false">IF($L938="Atrasado",$E938*10000+$A938,"")</f>
        <v/>
      </c>
    </row>
    <row r="939" customFormat="false" ht="15" hidden="false" customHeight="false" outlineLevel="0" collapsed="false">
      <c r="A939" s="114" t="n">
        <f aca="false">ROW()-4</f>
        <v>935</v>
      </c>
      <c r="B939" s="114" t="str">
        <f aca="false">IF(A939&lt;=Config!$E$27*Config!$E$28,"Tema","Avulso")</f>
        <v>Tema</v>
      </c>
      <c r="C939" s="114" t="n">
        <f aca="false">IF(B939="Tema",INT((A939-1)/Config!$E$28)+1,A939-Config!$E$27*Config!$E$28)</f>
        <v>156</v>
      </c>
      <c r="D939" s="114" t="n">
        <f aca="false">IF(B939="Tema",MOD(A939-1,Config!$E$28)+1,"")</f>
        <v>5</v>
      </c>
      <c r="E939" s="115" t="str">
        <f aca="false">IF($B939="Tema",IF(ISNUMBER(INDEX(Temas!$E$6:$P$305,$C939,2*$D939-1)),INDEX(Temas!$E$6:$P$305,$C939,2*$D939-1),""),IF(ISNUMBER(INDEX(Avulsos!$B$6:$B$205,$C939)),INDEX(Avulsos!$B$6:$B$205,$C939),""))</f>
        <v/>
      </c>
      <c r="F939" s="114" t="str">
        <f aca="false">IF($E939="","",IF($B939="Tema",INDEX(Temas!$B$6:$B$305,$C939)&amp;"",INDEX(Avulsos!$C$6:$C$205,$C939)&amp;""))</f>
        <v/>
      </c>
      <c r="G939" s="114" t="str">
        <f aca="false">IF($E939="","",IF($B939="Tema",INDEX(Config!$C$6:$C$11,$D939),"Evento avulso"))</f>
        <v/>
      </c>
      <c r="H939" s="114" t="str">
        <f aca="false">IF($E939="","",IF($B939="Tema",INDEX(Config!$D$6:$D$11,$D939),IFERROR(INDEX(Config!$E$15:$E$19,MATCH($I939,Config!$C$15:$C$19,0)),"•")))</f>
        <v/>
      </c>
      <c r="I939" s="114" t="str">
        <f aca="false">IF($E939="","",IF($B939="Tema",INDEX(Config!$E$6:$E$11,$D939),IF(INDEX(Avulsos!$D$6:$D$205,$C939)&amp;""="","Outro",INDEX(Avulsos!$D$6:$D$205,$C939))))</f>
        <v/>
      </c>
      <c r="J939" s="114" t="str">
        <f aca="false">IF($E939="","",IF($B939="Tema",INDEX(Temas!$C$6:$C$305,$C939)&amp;"",INDEX(Avulsos!$E$6:$E$205,$C939)&amp;""))</f>
        <v/>
      </c>
      <c r="K939" s="114" t="str">
        <f aca="false">IF($E939="","",IF(IF($B939="Tema",INDEX(Temas!$E$6:$P$305,$C939,2*$D939),INDEX(Avulsos!$F$6:$F$205,$C939))&amp;""="","","✓"))</f>
        <v/>
      </c>
      <c r="L939" s="114" t="str">
        <f aca="true">IF($E939="","",IF($K939="✓","Concluído",IF($E939&lt;TODAY(),"Atrasado",IF($E939=TODAY(),"Hoje","Pendente"))))</f>
        <v/>
      </c>
      <c r="M939" s="114" t="str">
        <f aca="false">IF($E939="","",IF($K939="✓","✓ ","")&amp;IF(Config!$E$22="Sim",$H939&amp;" · ","")&amp;$F939)</f>
        <v/>
      </c>
      <c r="N939" s="114" t="str">
        <f aca="false">IF($E939="","",IFERROR(INDEX(Config!$D$15:$D$19,MATCH($I939,Config!$C$15:$C$19,0)),"OUT")&amp;IF($K939="✓","x",""))</f>
        <v/>
      </c>
      <c r="O939" s="114" t="str">
        <f aca="false">IF($E939="","",COUNTIF($E$5:$E939,$E939))</f>
        <v/>
      </c>
      <c r="P939" s="114" t="str">
        <f aca="false">IF($E939="","",$E939*100+$O939)</f>
        <v/>
      </c>
      <c r="Q939" s="114" t="str">
        <f aca="false">IF($L939="Atrasado",$E939*10000+$A939,"")</f>
        <v/>
      </c>
    </row>
    <row r="940" customFormat="false" ht="15" hidden="false" customHeight="false" outlineLevel="0" collapsed="false">
      <c r="A940" s="114" t="n">
        <f aca="false">ROW()-4</f>
        <v>936</v>
      </c>
      <c r="B940" s="114" t="str">
        <f aca="false">IF(A940&lt;=Config!$E$27*Config!$E$28,"Tema","Avulso")</f>
        <v>Tema</v>
      </c>
      <c r="C940" s="114" t="n">
        <f aca="false">IF(B940="Tema",INT((A940-1)/Config!$E$28)+1,A940-Config!$E$27*Config!$E$28)</f>
        <v>156</v>
      </c>
      <c r="D940" s="114" t="n">
        <f aca="false">IF(B940="Tema",MOD(A940-1,Config!$E$28)+1,"")</f>
        <v>6</v>
      </c>
      <c r="E940" s="115" t="str">
        <f aca="false">IF($B940="Tema",IF(ISNUMBER(INDEX(Temas!$E$6:$P$305,$C940,2*$D940-1)),INDEX(Temas!$E$6:$P$305,$C940,2*$D940-1),""),IF(ISNUMBER(INDEX(Avulsos!$B$6:$B$205,$C940)),INDEX(Avulsos!$B$6:$B$205,$C940),""))</f>
        <v/>
      </c>
      <c r="F940" s="114" t="str">
        <f aca="false">IF($E940="","",IF($B940="Tema",INDEX(Temas!$B$6:$B$305,$C940)&amp;"",INDEX(Avulsos!$C$6:$C$205,$C940)&amp;""))</f>
        <v/>
      </c>
      <c r="G940" s="114" t="str">
        <f aca="false">IF($E940="","",IF($B940="Tema",INDEX(Config!$C$6:$C$11,$D940),"Evento avulso"))</f>
        <v/>
      </c>
      <c r="H940" s="114" t="str">
        <f aca="false">IF($E940="","",IF($B940="Tema",INDEX(Config!$D$6:$D$11,$D940),IFERROR(INDEX(Config!$E$15:$E$19,MATCH($I940,Config!$C$15:$C$19,0)),"•")))</f>
        <v/>
      </c>
      <c r="I940" s="114" t="str">
        <f aca="false">IF($E940="","",IF($B940="Tema",INDEX(Config!$E$6:$E$11,$D940),IF(INDEX(Avulsos!$D$6:$D$205,$C940)&amp;""="","Outro",INDEX(Avulsos!$D$6:$D$205,$C940))))</f>
        <v/>
      </c>
      <c r="J940" s="114" t="str">
        <f aca="false">IF($E940="","",IF($B940="Tema",INDEX(Temas!$C$6:$C$305,$C940)&amp;"",INDEX(Avulsos!$E$6:$E$205,$C940)&amp;""))</f>
        <v/>
      </c>
      <c r="K940" s="114" t="str">
        <f aca="false">IF($E940="","",IF(IF($B940="Tema",INDEX(Temas!$E$6:$P$305,$C940,2*$D940),INDEX(Avulsos!$F$6:$F$205,$C940))&amp;""="","","✓"))</f>
        <v/>
      </c>
      <c r="L940" s="114" t="str">
        <f aca="true">IF($E940="","",IF($K940="✓","Concluído",IF($E940&lt;TODAY(),"Atrasado",IF($E940=TODAY(),"Hoje","Pendente"))))</f>
        <v/>
      </c>
      <c r="M940" s="114" t="str">
        <f aca="false">IF($E940="","",IF($K940="✓","✓ ","")&amp;IF(Config!$E$22="Sim",$H940&amp;" · ","")&amp;$F940)</f>
        <v/>
      </c>
      <c r="N940" s="114" t="str">
        <f aca="false">IF($E940="","",IFERROR(INDEX(Config!$D$15:$D$19,MATCH($I940,Config!$C$15:$C$19,0)),"OUT")&amp;IF($K940="✓","x",""))</f>
        <v/>
      </c>
      <c r="O940" s="114" t="str">
        <f aca="false">IF($E940="","",COUNTIF($E$5:$E940,$E940))</f>
        <v/>
      </c>
      <c r="P940" s="114" t="str">
        <f aca="false">IF($E940="","",$E940*100+$O940)</f>
        <v/>
      </c>
      <c r="Q940" s="114" t="str">
        <f aca="false">IF($L940="Atrasado",$E940*10000+$A940,"")</f>
        <v/>
      </c>
    </row>
    <row r="941" customFormat="false" ht="15" hidden="false" customHeight="false" outlineLevel="0" collapsed="false">
      <c r="A941" s="114" t="n">
        <f aca="false">ROW()-4</f>
        <v>937</v>
      </c>
      <c r="B941" s="114" t="str">
        <f aca="false">IF(A941&lt;=Config!$E$27*Config!$E$28,"Tema","Avulso")</f>
        <v>Tema</v>
      </c>
      <c r="C941" s="114" t="n">
        <f aca="false">IF(B941="Tema",INT((A941-1)/Config!$E$28)+1,A941-Config!$E$27*Config!$E$28)</f>
        <v>157</v>
      </c>
      <c r="D941" s="114" t="n">
        <f aca="false">IF(B941="Tema",MOD(A941-1,Config!$E$28)+1,"")</f>
        <v>1</v>
      </c>
      <c r="E941" s="115" t="str">
        <f aca="false">IF($B941="Tema",IF(ISNUMBER(INDEX(Temas!$E$6:$P$305,$C941,2*$D941-1)),INDEX(Temas!$E$6:$P$305,$C941,2*$D941-1),""),IF(ISNUMBER(INDEX(Avulsos!$B$6:$B$205,$C941)),INDEX(Avulsos!$B$6:$B$205,$C941),""))</f>
        <v/>
      </c>
      <c r="F941" s="114" t="str">
        <f aca="false">IF($E941="","",IF($B941="Tema",INDEX(Temas!$B$6:$B$305,$C941)&amp;"",INDEX(Avulsos!$C$6:$C$205,$C941)&amp;""))</f>
        <v/>
      </c>
      <c r="G941" s="114" t="str">
        <f aca="false">IF($E941="","",IF($B941="Tema",INDEX(Config!$C$6:$C$11,$D941),"Evento avulso"))</f>
        <v/>
      </c>
      <c r="H941" s="114" t="str">
        <f aca="false">IF($E941="","",IF($B941="Tema",INDEX(Config!$D$6:$D$11,$D941),IFERROR(INDEX(Config!$E$15:$E$19,MATCH($I941,Config!$C$15:$C$19,0)),"•")))</f>
        <v/>
      </c>
      <c r="I941" s="114" t="str">
        <f aca="false">IF($E941="","",IF($B941="Tema",INDEX(Config!$E$6:$E$11,$D941),IF(INDEX(Avulsos!$D$6:$D$205,$C941)&amp;""="","Outro",INDEX(Avulsos!$D$6:$D$205,$C941))))</f>
        <v/>
      </c>
      <c r="J941" s="114" t="str">
        <f aca="false">IF($E941="","",IF($B941="Tema",INDEX(Temas!$C$6:$C$305,$C941)&amp;"",INDEX(Avulsos!$E$6:$E$205,$C941)&amp;""))</f>
        <v/>
      </c>
      <c r="K941" s="114" t="str">
        <f aca="false">IF($E941="","",IF(IF($B941="Tema",INDEX(Temas!$E$6:$P$305,$C941,2*$D941),INDEX(Avulsos!$F$6:$F$205,$C941))&amp;""="","","✓"))</f>
        <v/>
      </c>
      <c r="L941" s="114" t="str">
        <f aca="true">IF($E941="","",IF($K941="✓","Concluído",IF($E941&lt;TODAY(),"Atrasado",IF($E941=TODAY(),"Hoje","Pendente"))))</f>
        <v/>
      </c>
      <c r="M941" s="114" t="str">
        <f aca="false">IF($E941="","",IF($K941="✓","✓ ","")&amp;IF(Config!$E$22="Sim",$H941&amp;" · ","")&amp;$F941)</f>
        <v/>
      </c>
      <c r="N941" s="114" t="str">
        <f aca="false">IF($E941="","",IFERROR(INDEX(Config!$D$15:$D$19,MATCH($I941,Config!$C$15:$C$19,0)),"OUT")&amp;IF($K941="✓","x",""))</f>
        <v/>
      </c>
      <c r="O941" s="114" t="str">
        <f aca="false">IF($E941="","",COUNTIF($E$5:$E941,$E941))</f>
        <v/>
      </c>
      <c r="P941" s="114" t="str">
        <f aca="false">IF($E941="","",$E941*100+$O941)</f>
        <v/>
      </c>
      <c r="Q941" s="114" t="str">
        <f aca="false">IF($L941="Atrasado",$E941*10000+$A941,"")</f>
        <v/>
      </c>
    </row>
    <row r="942" customFormat="false" ht="15" hidden="false" customHeight="false" outlineLevel="0" collapsed="false">
      <c r="A942" s="114" t="n">
        <f aca="false">ROW()-4</f>
        <v>938</v>
      </c>
      <c r="B942" s="114" t="str">
        <f aca="false">IF(A942&lt;=Config!$E$27*Config!$E$28,"Tema","Avulso")</f>
        <v>Tema</v>
      </c>
      <c r="C942" s="114" t="n">
        <f aca="false">IF(B942="Tema",INT((A942-1)/Config!$E$28)+1,A942-Config!$E$27*Config!$E$28)</f>
        <v>157</v>
      </c>
      <c r="D942" s="114" t="n">
        <f aca="false">IF(B942="Tema",MOD(A942-1,Config!$E$28)+1,"")</f>
        <v>2</v>
      </c>
      <c r="E942" s="115" t="str">
        <f aca="false">IF($B942="Tema",IF(ISNUMBER(INDEX(Temas!$E$6:$P$305,$C942,2*$D942-1)),INDEX(Temas!$E$6:$P$305,$C942,2*$D942-1),""),IF(ISNUMBER(INDEX(Avulsos!$B$6:$B$205,$C942)),INDEX(Avulsos!$B$6:$B$205,$C942),""))</f>
        <v/>
      </c>
      <c r="F942" s="114" t="str">
        <f aca="false">IF($E942="","",IF($B942="Tema",INDEX(Temas!$B$6:$B$305,$C942)&amp;"",INDEX(Avulsos!$C$6:$C$205,$C942)&amp;""))</f>
        <v/>
      </c>
      <c r="G942" s="114" t="str">
        <f aca="false">IF($E942="","",IF($B942="Tema",INDEX(Config!$C$6:$C$11,$D942),"Evento avulso"))</f>
        <v/>
      </c>
      <c r="H942" s="114" t="str">
        <f aca="false">IF($E942="","",IF($B942="Tema",INDEX(Config!$D$6:$D$11,$D942),IFERROR(INDEX(Config!$E$15:$E$19,MATCH($I942,Config!$C$15:$C$19,0)),"•")))</f>
        <v/>
      </c>
      <c r="I942" s="114" t="str">
        <f aca="false">IF($E942="","",IF($B942="Tema",INDEX(Config!$E$6:$E$11,$D942),IF(INDEX(Avulsos!$D$6:$D$205,$C942)&amp;""="","Outro",INDEX(Avulsos!$D$6:$D$205,$C942))))</f>
        <v/>
      </c>
      <c r="J942" s="114" t="str">
        <f aca="false">IF($E942="","",IF($B942="Tema",INDEX(Temas!$C$6:$C$305,$C942)&amp;"",INDEX(Avulsos!$E$6:$E$205,$C942)&amp;""))</f>
        <v/>
      </c>
      <c r="K942" s="114" t="str">
        <f aca="false">IF($E942="","",IF(IF($B942="Tema",INDEX(Temas!$E$6:$P$305,$C942,2*$D942),INDEX(Avulsos!$F$6:$F$205,$C942))&amp;""="","","✓"))</f>
        <v/>
      </c>
      <c r="L942" s="114" t="str">
        <f aca="true">IF($E942="","",IF($K942="✓","Concluído",IF($E942&lt;TODAY(),"Atrasado",IF($E942=TODAY(),"Hoje","Pendente"))))</f>
        <v/>
      </c>
      <c r="M942" s="114" t="str">
        <f aca="false">IF($E942="","",IF($K942="✓","✓ ","")&amp;IF(Config!$E$22="Sim",$H942&amp;" · ","")&amp;$F942)</f>
        <v/>
      </c>
      <c r="N942" s="114" t="str">
        <f aca="false">IF($E942="","",IFERROR(INDEX(Config!$D$15:$D$19,MATCH($I942,Config!$C$15:$C$19,0)),"OUT")&amp;IF($K942="✓","x",""))</f>
        <v/>
      </c>
      <c r="O942" s="114" t="str">
        <f aca="false">IF($E942="","",COUNTIF($E$5:$E942,$E942))</f>
        <v/>
      </c>
      <c r="P942" s="114" t="str">
        <f aca="false">IF($E942="","",$E942*100+$O942)</f>
        <v/>
      </c>
      <c r="Q942" s="114" t="str">
        <f aca="false">IF($L942="Atrasado",$E942*10000+$A942,"")</f>
        <v/>
      </c>
    </row>
    <row r="943" customFormat="false" ht="15" hidden="false" customHeight="false" outlineLevel="0" collapsed="false">
      <c r="A943" s="114" t="n">
        <f aca="false">ROW()-4</f>
        <v>939</v>
      </c>
      <c r="B943" s="114" t="str">
        <f aca="false">IF(A943&lt;=Config!$E$27*Config!$E$28,"Tema","Avulso")</f>
        <v>Tema</v>
      </c>
      <c r="C943" s="114" t="n">
        <f aca="false">IF(B943="Tema",INT((A943-1)/Config!$E$28)+1,A943-Config!$E$27*Config!$E$28)</f>
        <v>157</v>
      </c>
      <c r="D943" s="114" t="n">
        <f aca="false">IF(B943="Tema",MOD(A943-1,Config!$E$28)+1,"")</f>
        <v>3</v>
      </c>
      <c r="E943" s="115" t="str">
        <f aca="false">IF($B943="Tema",IF(ISNUMBER(INDEX(Temas!$E$6:$P$305,$C943,2*$D943-1)),INDEX(Temas!$E$6:$P$305,$C943,2*$D943-1),""),IF(ISNUMBER(INDEX(Avulsos!$B$6:$B$205,$C943)),INDEX(Avulsos!$B$6:$B$205,$C943),""))</f>
        <v/>
      </c>
      <c r="F943" s="114" t="str">
        <f aca="false">IF($E943="","",IF($B943="Tema",INDEX(Temas!$B$6:$B$305,$C943)&amp;"",INDEX(Avulsos!$C$6:$C$205,$C943)&amp;""))</f>
        <v/>
      </c>
      <c r="G943" s="114" t="str">
        <f aca="false">IF($E943="","",IF($B943="Tema",INDEX(Config!$C$6:$C$11,$D943),"Evento avulso"))</f>
        <v/>
      </c>
      <c r="H943" s="114" t="str">
        <f aca="false">IF($E943="","",IF($B943="Tema",INDEX(Config!$D$6:$D$11,$D943),IFERROR(INDEX(Config!$E$15:$E$19,MATCH($I943,Config!$C$15:$C$19,0)),"•")))</f>
        <v/>
      </c>
      <c r="I943" s="114" t="str">
        <f aca="false">IF($E943="","",IF($B943="Tema",INDEX(Config!$E$6:$E$11,$D943),IF(INDEX(Avulsos!$D$6:$D$205,$C943)&amp;""="","Outro",INDEX(Avulsos!$D$6:$D$205,$C943))))</f>
        <v/>
      </c>
      <c r="J943" s="114" t="str">
        <f aca="false">IF($E943="","",IF($B943="Tema",INDEX(Temas!$C$6:$C$305,$C943)&amp;"",INDEX(Avulsos!$E$6:$E$205,$C943)&amp;""))</f>
        <v/>
      </c>
      <c r="K943" s="114" t="str">
        <f aca="false">IF($E943="","",IF(IF($B943="Tema",INDEX(Temas!$E$6:$P$305,$C943,2*$D943),INDEX(Avulsos!$F$6:$F$205,$C943))&amp;""="","","✓"))</f>
        <v/>
      </c>
      <c r="L943" s="114" t="str">
        <f aca="true">IF($E943="","",IF($K943="✓","Concluído",IF($E943&lt;TODAY(),"Atrasado",IF($E943=TODAY(),"Hoje","Pendente"))))</f>
        <v/>
      </c>
      <c r="M943" s="114" t="str">
        <f aca="false">IF($E943="","",IF($K943="✓","✓ ","")&amp;IF(Config!$E$22="Sim",$H943&amp;" · ","")&amp;$F943)</f>
        <v/>
      </c>
      <c r="N943" s="114" t="str">
        <f aca="false">IF($E943="","",IFERROR(INDEX(Config!$D$15:$D$19,MATCH($I943,Config!$C$15:$C$19,0)),"OUT")&amp;IF($K943="✓","x",""))</f>
        <v/>
      </c>
      <c r="O943" s="114" t="str">
        <f aca="false">IF($E943="","",COUNTIF($E$5:$E943,$E943))</f>
        <v/>
      </c>
      <c r="P943" s="114" t="str">
        <f aca="false">IF($E943="","",$E943*100+$O943)</f>
        <v/>
      </c>
      <c r="Q943" s="114" t="str">
        <f aca="false">IF($L943="Atrasado",$E943*10000+$A943,"")</f>
        <v/>
      </c>
    </row>
    <row r="944" customFormat="false" ht="15" hidden="false" customHeight="false" outlineLevel="0" collapsed="false">
      <c r="A944" s="114" t="n">
        <f aca="false">ROW()-4</f>
        <v>940</v>
      </c>
      <c r="B944" s="114" t="str">
        <f aca="false">IF(A944&lt;=Config!$E$27*Config!$E$28,"Tema","Avulso")</f>
        <v>Tema</v>
      </c>
      <c r="C944" s="114" t="n">
        <f aca="false">IF(B944="Tema",INT((A944-1)/Config!$E$28)+1,A944-Config!$E$27*Config!$E$28)</f>
        <v>157</v>
      </c>
      <c r="D944" s="114" t="n">
        <f aca="false">IF(B944="Tema",MOD(A944-1,Config!$E$28)+1,"")</f>
        <v>4</v>
      </c>
      <c r="E944" s="115" t="str">
        <f aca="false">IF($B944="Tema",IF(ISNUMBER(INDEX(Temas!$E$6:$P$305,$C944,2*$D944-1)),INDEX(Temas!$E$6:$P$305,$C944,2*$D944-1),""),IF(ISNUMBER(INDEX(Avulsos!$B$6:$B$205,$C944)),INDEX(Avulsos!$B$6:$B$205,$C944),""))</f>
        <v/>
      </c>
      <c r="F944" s="114" t="str">
        <f aca="false">IF($E944="","",IF($B944="Tema",INDEX(Temas!$B$6:$B$305,$C944)&amp;"",INDEX(Avulsos!$C$6:$C$205,$C944)&amp;""))</f>
        <v/>
      </c>
      <c r="G944" s="114" t="str">
        <f aca="false">IF($E944="","",IF($B944="Tema",INDEX(Config!$C$6:$C$11,$D944),"Evento avulso"))</f>
        <v/>
      </c>
      <c r="H944" s="114" t="str">
        <f aca="false">IF($E944="","",IF($B944="Tema",INDEX(Config!$D$6:$D$11,$D944),IFERROR(INDEX(Config!$E$15:$E$19,MATCH($I944,Config!$C$15:$C$19,0)),"•")))</f>
        <v/>
      </c>
      <c r="I944" s="114" t="str">
        <f aca="false">IF($E944="","",IF($B944="Tema",INDEX(Config!$E$6:$E$11,$D944),IF(INDEX(Avulsos!$D$6:$D$205,$C944)&amp;""="","Outro",INDEX(Avulsos!$D$6:$D$205,$C944))))</f>
        <v/>
      </c>
      <c r="J944" s="114" t="str">
        <f aca="false">IF($E944="","",IF($B944="Tema",INDEX(Temas!$C$6:$C$305,$C944)&amp;"",INDEX(Avulsos!$E$6:$E$205,$C944)&amp;""))</f>
        <v/>
      </c>
      <c r="K944" s="114" t="str">
        <f aca="false">IF($E944="","",IF(IF($B944="Tema",INDEX(Temas!$E$6:$P$305,$C944,2*$D944),INDEX(Avulsos!$F$6:$F$205,$C944))&amp;""="","","✓"))</f>
        <v/>
      </c>
      <c r="L944" s="114" t="str">
        <f aca="true">IF($E944="","",IF($K944="✓","Concluído",IF($E944&lt;TODAY(),"Atrasado",IF($E944=TODAY(),"Hoje","Pendente"))))</f>
        <v/>
      </c>
      <c r="M944" s="114" t="str">
        <f aca="false">IF($E944="","",IF($K944="✓","✓ ","")&amp;IF(Config!$E$22="Sim",$H944&amp;" · ","")&amp;$F944)</f>
        <v/>
      </c>
      <c r="N944" s="114" t="str">
        <f aca="false">IF($E944="","",IFERROR(INDEX(Config!$D$15:$D$19,MATCH($I944,Config!$C$15:$C$19,0)),"OUT")&amp;IF($K944="✓","x",""))</f>
        <v/>
      </c>
      <c r="O944" s="114" t="str">
        <f aca="false">IF($E944="","",COUNTIF($E$5:$E944,$E944))</f>
        <v/>
      </c>
      <c r="P944" s="114" t="str">
        <f aca="false">IF($E944="","",$E944*100+$O944)</f>
        <v/>
      </c>
      <c r="Q944" s="114" t="str">
        <f aca="false">IF($L944="Atrasado",$E944*10000+$A944,"")</f>
        <v/>
      </c>
    </row>
    <row r="945" customFormat="false" ht="15" hidden="false" customHeight="false" outlineLevel="0" collapsed="false">
      <c r="A945" s="114" t="n">
        <f aca="false">ROW()-4</f>
        <v>941</v>
      </c>
      <c r="B945" s="114" t="str">
        <f aca="false">IF(A945&lt;=Config!$E$27*Config!$E$28,"Tema","Avulso")</f>
        <v>Tema</v>
      </c>
      <c r="C945" s="114" t="n">
        <f aca="false">IF(B945="Tema",INT((A945-1)/Config!$E$28)+1,A945-Config!$E$27*Config!$E$28)</f>
        <v>157</v>
      </c>
      <c r="D945" s="114" t="n">
        <f aca="false">IF(B945="Tema",MOD(A945-1,Config!$E$28)+1,"")</f>
        <v>5</v>
      </c>
      <c r="E945" s="115" t="str">
        <f aca="false">IF($B945="Tema",IF(ISNUMBER(INDEX(Temas!$E$6:$P$305,$C945,2*$D945-1)),INDEX(Temas!$E$6:$P$305,$C945,2*$D945-1),""),IF(ISNUMBER(INDEX(Avulsos!$B$6:$B$205,$C945)),INDEX(Avulsos!$B$6:$B$205,$C945),""))</f>
        <v/>
      </c>
      <c r="F945" s="114" t="str">
        <f aca="false">IF($E945="","",IF($B945="Tema",INDEX(Temas!$B$6:$B$305,$C945)&amp;"",INDEX(Avulsos!$C$6:$C$205,$C945)&amp;""))</f>
        <v/>
      </c>
      <c r="G945" s="114" t="str">
        <f aca="false">IF($E945="","",IF($B945="Tema",INDEX(Config!$C$6:$C$11,$D945),"Evento avulso"))</f>
        <v/>
      </c>
      <c r="H945" s="114" t="str">
        <f aca="false">IF($E945="","",IF($B945="Tema",INDEX(Config!$D$6:$D$11,$D945),IFERROR(INDEX(Config!$E$15:$E$19,MATCH($I945,Config!$C$15:$C$19,0)),"•")))</f>
        <v/>
      </c>
      <c r="I945" s="114" t="str">
        <f aca="false">IF($E945="","",IF($B945="Tema",INDEX(Config!$E$6:$E$11,$D945),IF(INDEX(Avulsos!$D$6:$D$205,$C945)&amp;""="","Outro",INDEX(Avulsos!$D$6:$D$205,$C945))))</f>
        <v/>
      </c>
      <c r="J945" s="114" t="str">
        <f aca="false">IF($E945="","",IF($B945="Tema",INDEX(Temas!$C$6:$C$305,$C945)&amp;"",INDEX(Avulsos!$E$6:$E$205,$C945)&amp;""))</f>
        <v/>
      </c>
      <c r="K945" s="114" t="str">
        <f aca="false">IF($E945="","",IF(IF($B945="Tema",INDEX(Temas!$E$6:$P$305,$C945,2*$D945),INDEX(Avulsos!$F$6:$F$205,$C945))&amp;""="","","✓"))</f>
        <v/>
      </c>
      <c r="L945" s="114" t="str">
        <f aca="true">IF($E945="","",IF($K945="✓","Concluído",IF($E945&lt;TODAY(),"Atrasado",IF($E945=TODAY(),"Hoje","Pendente"))))</f>
        <v/>
      </c>
      <c r="M945" s="114" t="str">
        <f aca="false">IF($E945="","",IF($K945="✓","✓ ","")&amp;IF(Config!$E$22="Sim",$H945&amp;" · ","")&amp;$F945)</f>
        <v/>
      </c>
      <c r="N945" s="114" t="str">
        <f aca="false">IF($E945="","",IFERROR(INDEX(Config!$D$15:$D$19,MATCH($I945,Config!$C$15:$C$19,0)),"OUT")&amp;IF($K945="✓","x",""))</f>
        <v/>
      </c>
      <c r="O945" s="114" t="str">
        <f aca="false">IF($E945="","",COUNTIF($E$5:$E945,$E945))</f>
        <v/>
      </c>
      <c r="P945" s="114" t="str">
        <f aca="false">IF($E945="","",$E945*100+$O945)</f>
        <v/>
      </c>
      <c r="Q945" s="114" t="str">
        <f aca="false">IF($L945="Atrasado",$E945*10000+$A945,"")</f>
        <v/>
      </c>
    </row>
    <row r="946" customFormat="false" ht="15" hidden="false" customHeight="false" outlineLevel="0" collapsed="false">
      <c r="A946" s="114" t="n">
        <f aca="false">ROW()-4</f>
        <v>942</v>
      </c>
      <c r="B946" s="114" t="str">
        <f aca="false">IF(A946&lt;=Config!$E$27*Config!$E$28,"Tema","Avulso")</f>
        <v>Tema</v>
      </c>
      <c r="C946" s="114" t="n">
        <f aca="false">IF(B946="Tema",INT((A946-1)/Config!$E$28)+1,A946-Config!$E$27*Config!$E$28)</f>
        <v>157</v>
      </c>
      <c r="D946" s="114" t="n">
        <f aca="false">IF(B946="Tema",MOD(A946-1,Config!$E$28)+1,"")</f>
        <v>6</v>
      </c>
      <c r="E946" s="115" t="str">
        <f aca="false">IF($B946="Tema",IF(ISNUMBER(INDEX(Temas!$E$6:$P$305,$C946,2*$D946-1)),INDEX(Temas!$E$6:$P$305,$C946,2*$D946-1),""),IF(ISNUMBER(INDEX(Avulsos!$B$6:$B$205,$C946)),INDEX(Avulsos!$B$6:$B$205,$C946),""))</f>
        <v/>
      </c>
      <c r="F946" s="114" t="str">
        <f aca="false">IF($E946="","",IF($B946="Tema",INDEX(Temas!$B$6:$B$305,$C946)&amp;"",INDEX(Avulsos!$C$6:$C$205,$C946)&amp;""))</f>
        <v/>
      </c>
      <c r="G946" s="114" t="str">
        <f aca="false">IF($E946="","",IF($B946="Tema",INDEX(Config!$C$6:$C$11,$D946),"Evento avulso"))</f>
        <v/>
      </c>
      <c r="H946" s="114" t="str">
        <f aca="false">IF($E946="","",IF($B946="Tema",INDEX(Config!$D$6:$D$11,$D946),IFERROR(INDEX(Config!$E$15:$E$19,MATCH($I946,Config!$C$15:$C$19,0)),"•")))</f>
        <v/>
      </c>
      <c r="I946" s="114" t="str">
        <f aca="false">IF($E946="","",IF($B946="Tema",INDEX(Config!$E$6:$E$11,$D946),IF(INDEX(Avulsos!$D$6:$D$205,$C946)&amp;""="","Outro",INDEX(Avulsos!$D$6:$D$205,$C946))))</f>
        <v/>
      </c>
      <c r="J946" s="114" t="str">
        <f aca="false">IF($E946="","",IF($B946="Tema",INDEX(Temas!$C$6:$C$305,$C946)&amp;"",INDEX(Avulsos!$E$6:$E$205,$C946)&amp;""))</f>
        <v/>
      </c>
      <c r="K946" s="114" t="str">
        <f aca="false">IF($E946="","",IF(IF($B946="Tema",INDEX(Temas!$E$6:$P$305,$C946,2*$D946),INDEX(Avulsos!$F$6:$F$205,$C946))&amp;""="","","✓"))</f>
        <v/>
      </c>
      <c r="L946" s="114" t="str">
        <f aca="true">IF($E946="","",IF($K946="✓","Concluído",IF($E946&lt;TODAY(),"Atrasado",IF($E946=TODAY(),"Hoje","Pendente"))))</f>
        <v/>
      </c>
      <c r="M946" s="114" t="str">
        <f aca="false">IF($E946="","",IF($K946="✓","✓ ","")&amp;IF(Config!$E$22="Sim",$H946&amp;" · ","")&amp;$F946)</f>
        <v/>
      </c>
      <c r="N946" s="114" t="str">
        <f aca="false">IF($E946="","",IFERROR(INDEX(Config!$D$15:$D$19,MATCH($I946,Config!$C$15:$C$19,0)),"OUT")&amp;IF($K946="✓","x",""))</f>
        <v/>
      </c>
      <c r="O946" s="114" t="str">
        <f aca="false">IF($E946="","",COUNTIF($E$5:$E946,$E946))</f>
        <v/>
      </c>
      <c r="P946" s="114" t="str">
        <f aca="false">IF($E946="","",$E946*100+$O946)</f>
        <v/>
      </c>
      <c r="Q946" s="114" t="str">
        <f aca="false">IF($L946="Atrasado",$E946*10000+$A946,"")</f>
        <v/>
      </c>
    </row>
    <row r="947" customFormat="false" ht="15" hidden="false" customHeight="false" outlineLevel="0" collapsed="false">
      <c r="A947" s="114" t="n">
        <f aca="false">ROW()-4</f>
        <v>943</v>
      </c>
      <c r="B947" s="114" t="str">
        <f aca="false">IF(A947&lt;=Config!$E$27*Config!$E$28,"Tema","Avulso")</f>
        <v>Tema</v>
      </c>
      <c r="C947" s="114" t="n">
        <f aca="false">IF(B947="Tema",INT((A947-1)/Config!$E$28)+1,A947-Config!$E$27*Config!$E$28)</f>
        <v>158</v>
      </c>
      <c r="D947" s="114" t="n">
        <f aca="false">IF(B947="Tema",MOD(A947-1,Config!$E$28)+1,"")</f>
        <v>1</v>
      </c>
      <c r="E947" s="115" t="str">
        <f aca="false">IF($B947="Tema",IF(ISNUMBER(INDEX(Temas!$E$6:$P$305,$C947,2*$D947-1)),INDEX(Temas!$E$6:$P$305,$C947,2*$D947-1),""),IF(ISNUMBER(INDEX(Avulsos!$B$6:$B$205,$C947)),INDEX(Avulsos!$B$6:$B$205,$C947),""))</f>
        <v/>
      </c>
      <c r="F947" s="114" t="str">
        <f aca="false">IF($E947="","",IF($B947="Tema",INDEX(Temas!$B$6:$B$305,$C947)&amp;"",INDEX(Avulsos!$C$6:$C$205,$C947)&amp;""))</f>
        <v/>
      </c>
      <c r="G947" s="114" t="str">
        <f aca="false">IF($E947="","",IF($B947="Tema",INDEX(Config!$C$6:$C$11,$D947),"Evento avulso"))</f>
        <v/>
      </c>
      <c r="H947" s="114" t="str">
        <f aca="false">IF($E947="","",IF($B947="Tema",INDEX(Config!$D$6:$D$11,$D947),IFERROR(INDEX(Config!$E$15:$E$19,MATCH($I947,Config!$C$15:$C$19,0)),"•")))</f>
        <v/>
      </c>
      <c r="I947" s="114" t="str">
        <f aca="false">IF($E947="","",IF($B947="Tema",INDEX(Config!$E$6:$E$11,$D947),IF(INDEX(Avulsos!$D$6:$D$205,$C947)&amp;""="","Outro",INDEX(Avulsos!$D$6:$D$205,$C947))))</f>
        <v/>
      </c>
      <c r="J947" s="114" t="str">
        <f aca="false">IF($E947="","",IF($B947="Tema",INDEX(Temas!$C$6:$C$305,$C947)&amp;"",INDEX(Avulsos!$E$6:$E$205,$C947)&amp;""))</f>
        <v/>
      </c>
      <c r="K947" s="114" t="str">
        <f aca="false">IF($E947="","",IF(IF($B947="Tema",INDEX(Temas!$E$6:$P$305,$C947,2*$D947),INDEX(Avulsos!$F$6:$F$205,$C947))&amp;""="","","✓"))</f>
        <v/>
      </c>
      <c r="L947" s="114" t="str">
        <f aca="true">IF($E947="","",IF($K947="✓","Concluído",IF($E947&lt;TODAY(),"Atrasado",IF($E947=TODAY(),"Hoje","Pendente"))))</f>
        <v/>
      </c>
      <c r="M947" s="114" t="str">
        <f aca="false">IF($E947="","",IF($K947="✓","✓ ","")&amp;IF(Config!$E$22="Sim",$H947&amp;" · ","")&amp;$F947)</f>
        <v/>
      </c>
      <c r="N947" s="114" t="str">
        <f aca="false">IF($E947="","",IFERROR(INDEX(Config!$D$15:$D$19,MATCH($I947,Config!$C$15:$C$19,0)),"OUT")&amp;IF($K947="✓","x",""))</f>
        <v/>
      </c>
      <c r="O947" s="114" t="str">
        <f aca="false">IF($E947="","",COUNTIF($E$5:$E947,$E947))</f>
        <v/>
      </c>
      <c r="P947" s="114" t="str">
        <f aca="false">IF($E947="","",$E947*100+$O947)</f>
        <v/>
      </c>
      <c r="Q947" s="114" t="str">
        <f aca="false">IF($L947="Atrasado",$E947*10000+$A947,"")</f>
        <v/>
      </c>
    </row>
    <row r="948" customFormat="false" ht="15" hidden="false" customHeight="false" outlineLevel="0" collapsed="false">
      <c r="A948" s="114" t="n">
        <f aca="false">ROW()-4</f>
        <v>944</v>
      </c>
      <c r="B948" s="114" t="str">
        <f aca="false">IF(A948&lt;=Config!$E$27*Config!$E$28,"Tema","Avulso")</f>
        <v>Tema</v>
      </c>
      <c r="C948" s="114" t="n">
        <f aca="false">IF(B948="Tema",INT((A948-1)/Config!$E$28)+1,A948-Config!$E$27*Config!$E$28)</f>
        <v>158</v>
      </c>
      <c r="D948" s="114" t="n">
        <f aca="false">IF(B948="Tema",MOD(A948-1,Config!$E$28)+1,"")</f>
        <v>2</v>
      </c>
      <c r="E948" s="115" t="str">
        <f aca="false">IF($B948="Tema",IF(ISNUMBER(INDEX(Temas!$E$6:$P$305,$C948,2*$D948-1)),INDEX(Temas!$E$6:$P$305,$C948,2*$D948-1),""),IF(ISNUMBER(INDEX(Avulsos!$B$6:$B$205,$C948)),INDEX(Avulsos!$B$6:$B$205,$C948),""))</f>
        <v/>
      </c>
      <c r="F948" s="114" t="str">
        <f aca="false">IF($E948="","",IF($B948="Tema",INDEX(Temas!$B$6:$B$305,$C948)&amp;"",INDEX(Avulsos!$C$6:$C$205,$C948)&amp;""))</f>
        <v/>
      </c>
      <c r="G948" s="114" t="str">
        <f aca="false">IF($E948="","",IF($B948="Tema",INDEX(Config!$C$6:$C$11,$D948),"Evento avulso"))</f>
        <v/>
      </c>
      <c r="H948" s="114" t="str">
        <f aca="false">IF($E948="","",IF($B948="Tema",INDEX(Config!$D$6:$D$11,$D948),IFERROR(INDEX(Config!$E$15:$E$19,MATCH($I948,Config!$C$15:$C$19,0)),"•")))</f>
        <v/>
      </c>
      <c r="I948" s="114" t="str">
        <f aca="false">IF($E948="","",IF($B948="Tema",INDEX(Config!$E$6:$E$11,$D948),IF(INDEX(Avulsos!$D$6:$D$205,$C948)&amp;""="","Outro",INDEX(Avulsos!$D$6:$D$205,$C948))))</f>
        <v/>
      </c>
      <c r="J948" s="114" t="str">
        <f aca="false">IF($E948="","",IF($B948="Tema",INDEX(Temas!$C$6:$C$305,$C948)&amp;"",INDEX(Avulsos!$E$6:$E$205,$C948)&amp;""))</f>
        <v/>
      </c>
      <c r="K948" s="114" t="str">
        <f aca="false">IF($E948="","",IF(IF($B948="Tema",INDEX(Temas!$E$6:$P$305,$C948,2*$D948),INDEX(Avulsos!$F$6:$F$205,$C948))&amp;""="","","✓"))</f>
        <v/>
      </c>
      <c r="L948" s="114" t="str">
        <f aca="true">IF($E948="","",IF($K948="✓","Concluído",IF($E948&lt;TODAY(),"Atrasado",IF($E948=TODAY(),"Hoje","Pendente"))))</f>
        <v/>
      </c>
      <c r="M948" s="114" t="str">
        <f aca="false">IF($E948="","",IF($K948="✓","✓ ","")&amp;IF(Config!$E$22="Sim",$H948&amp;" · ","")&amp;$F948)</f>
        <v/>
      </c>
      <c r="N948" s="114" t="str">
        <f aca="false">IF($E948="","",IFERROR(INDEX(Config!$D$15:$D$19,MATCH($I948,Config!$C$15:$C$19,0)),"OUT")&amp;IF($K948="✓","x",""))</f>
        <v/>
      </c>
      <c r="O948" s="114" t="str">
        <f aca="false">IF($E948="","",COUNTIF($E$5:$E948,$E948))</f>
        <v/>
      </c>
      <c r="P948" s="114" t="str">
        <f aca="false">IF($E948="","",$E948*100+$O948)</f>
        <v/>
      </c>
      <c r="Q948" s="114" t="str">
        <f aca="false">IF($L948="Atrasado",$E948*10000+$A948,"")</f>
        <v/>
      </c>
    </row>
    <row r="949" customFormat="false" ht="15" hidden="false" customHeight="false" outlineLevel="0" collapsed="false">
      <c r="A949" s="114" t="n">
        <f aca="false">ROW()-4</f>
        <v>945</v>
      </c>
      <c r="B949" s="114" t="str">
        <f aca="false">IF(A949&lt;=Config!$E$27*Config!$E$28,"Tema","Avulso")</f>
        <v>Tema</v>
      </c>
      <c r="C949" s="114" t="n">
        <f aca="false">IF(B949="Tema",INT((A949-1)/Config!$E$28)+1,A949-Config!$E$27*Config!$E$28)</f>
        <v>158</v>
      </c>
      <c r="D949" s="114" t="n">
        <f aca="false">IF(B949="Tema",MOD(A949-1,Config!$E$28)+1,"")</f>
        <v>3</v>
      </c>
      <c r="E949" s="115" t="str">
        <f aca="false">IF($B949="Tema",IF(ISNUMBER(INDEX(Temas!$E$6:$P$305,$C949,2*$D949-1)),INDEX(Temas!$E$6:$P$305,$C949,2*$D949-1),""),IF(ISNUMBER(INDEX(Avulsos!$B$6:$B$205,$C949)),INDEX(Avulsos!$B$6:$B$205,$C949),""))</f>
        <v/>
      </c>
      <c r="F949" s="114" t="str">
        <f aca="false">IF($E949="","",IF($B949="Tema",INDEX(Temas!$B$6:$B$305,$C949)&amp;"",INDEX(Avulsos!$C$6:$C$205,$C949)&amp;""))</f>
        <v/>
      </c>
      <c r="G949" s="114" t="str">
        <f aca="false">IF($E949="","",IF($B949="Tema",INDEX(Config!$C$6:$C$11,$D949),"Evento avulso"))</f>
        <v/>
      </c>
      <c r="H949" s="114" t="str">
        <f aca="false">IF($E949="","",IF($B949="Tema",INDEX(Config!$D$6:$D$11,$D949),IFERROR(INDEX(Config!$E$15:$E$19,MATCH($I949,Config!$C$15:$C$19,0)),"•")))</f>
        <v/>
      </c>
      <c r="I949" s="114" t="str">
        <f aca="false">IF($E949="","",IF($B949="Tema",INDEX(Config!$E$6:$E$11,$D949),IF(INDEX(Avulsos!$D$6:$D$205,$C949)&amp;""="","Outro",INDEX(Avulsos!$D$6:$D$205,$C949))))</f>
        <v/>
      </c>
      <c r="J949" s="114" t="str">
        <f aca="false">IF($E949="","",IF($B949="Tema",INDEX(Temas!$C$6:$C$305,$C949)&amp;"",INDEX(Avulsos!$E$6:$E$205,$C949)&amp;""))</f>
        <v/>
      </c>
      <c r="K949" s="114" t="str">
        <f aca="false">IF($E949="","",IF(IF($B949="Tema",INDEX(Temas!$E$6:$P$305,$C949,2*$D949),INDEX(Avulsos!$F$6:$F$205,$C949))&amp;""="","","✓"))</f>
        <v/>
      </c>
      <c r="L949" s="114" t="str">
        <f aca="true">IF($E949="","",IF($K949="✓","Concluído",IF($E949&lt;TODAY(),"Atrasado",IF($E949=TODAY(),"Hoje","Pendente"))))</f>
        <v/>
      </c>
      <c r="M949" s="114" t="str">
        <f aca="false">IF($E949="","",IF($K949="✓","✓ ","")&amp;IF(Config!$E$22="Sim",$H949&amp;" · ","")&amp;$F949)</f>
        <v/>
      </c>
      <c r="N949" s="114" t="str">
        <f aca="false">IF($E949="","",IFERROR(INDEX(Config!$D$15:$D$19,MATCH($I949,Config!$C$15:$C$19,0)),"OUT")&amp;IF($K949="✓","x",""))</f>
        <v/>
      </c>
      <c r="O949" s="114" t="str">
        <f aca="false">IF($E949="","",COUNTIF($E$5:$E949,$E949))</f>
        <v/>
      </c>
      <c r="P949" s="114" t="str">
        <f aca="false">IF($E949="","",$E949*100+$O949)</f>
        <v/>
      </c>
      <c r="Q949" s="114" t="str">
        <f aca="false">IF($L949="Atrasado",$E949*10000+$A949,"")</f>
        <v/>
      </c>
    </row>
    <row r="950" customFormat="false" ht="15" hidden="false" customHeight="false" outlineLevel="0" collapsed="false">
      <c r="A950" s="114" t="n">
        <f aca="false">ROW()-4</f>
        <v>946</v>
      </c>
      <c r="B950" s="114" t="str">
        <f aca="false">IF(A950&lt;=Config!$E$27*Config!$E$28,"Tema","Avulso")</f>
        <v>Tema</v>
      </c>
      <c r="C950" s="114" t="n">
        <f aca="false">IF(B950="Tema",INT((A950-1)/Config!$E$28)+1,A950-Config!$E$27*Config!$E$28)</f>
        <v>158</v>
      </c>
      <c r="D950" s="114" t="n">
        <f aca="false">IF(B950="Tema",MOD(A950-1,Config!$E$28)+1,"")</f>
        <v>4</v>
      </c>
      <c r="E950" s="115" t="str">
        <f aca="false">IF($B950="Tema",IF(ISNUMBER(INDEX(Temas!$E$6:$P$305,$C950,2*$D950-1)),INDEX(Temas!$E$6:$P$305,$C950,2*$D950-1),""),IF(ISNUMBER(INDEX(Avulsos!$B$6:$B$205,$C950)),INDEX(Avulsos!$B$6:$B$205,$C950),""))</f>
        <v/>
      </c>
      <c r="F950" s="114" t="str">
        <f aca="false">IF($E950="","",IF($B950="Tema",INDEX(Temas!$B$6:$B$305,$C950)&amp;"",INDEX(Avulsos!$C$6:$C$205,$C950)&amp;""))</f>
        <v/>
      </c>
      <c r="G950" s="114" t="str">
        <f aca="false">IF($E950="","",IF($B950="Tema",INDEX(Config!$C$6:$C$11,$D950),"Evento avulso"))</f>
        <v/>
      </c>
      <c r="H950" s="114" t="str">
        <f aca="false">IF($E950="","",IF($B950="Tema",INDEX(Config!$D$6:$D$11,$D950),IFERROR(INDEX(Config!$E$15:$E$19,MATCH($I950,Config!$C$15:$C$19,0)),"•")))</f>
        <v/>
      </c>
      <c r="I950" s="114" t="str">
        <f aca="false">IF($E950="","",IF($B950="Tema",INDEX(Config!$E$6:$E$11,$D950),IF(INDEX(Avulsos!$D$6:$D$205,$C950)&amp;""="","Outro",INDEX(Avulsos!$D$6:$D$205,$C950))))</f>
        <v/>
      </c>
      <c r="J950" s="114" t="str">
        <f aca="false">IF($E950="","",IF($B950="Tema",INDEX(Temas!$C$6:$C$305,$C950)&amp;"",INDEX(Avulsos!$E$6:$E$205,$C950)&amp;""))</f>
        <v/>
      </c>
      <c r="K950" s="114" t="str">
        <f aca="false">IF($E950="","",IF(IF($B950="Tema",INDEX(Temas!$E$6:$P$305,$C950,2*$D950),INDEX(Avulsos!$F$6:$F$205,$C950))&amp;""="","","✓"))</f>
        <v/>
      </c>
      <c r="L950" s="114" t="str">
        <f aca="true">IF($E950="","",IF($K950="✓","Concluído",IF($E950&lt;TODAY(),"Atrasado",IF($E950=TODAY(),"Hoje","Pendente"))))</f>
        <v/>
      </c>
      <c r="M950" s="114" t="str">
        <f aca="false">IF($E950="","",IF($K950="✓","✓ ","")&amp;IF(Config!$E$22="Sim",$H950&amp;" · ","")&amp;$F950)</f>
        <v/>
      </c>
      <c r="N950" s="114" t="str">
        <f aca="false">IF($E950="","",IFERROR(INDEX(Config!$D$15:$D$19,MATCH($I950,Config!$C$15:$C$19,0)),"OUT")&amp;IF($K950="✓","x",""))</f>
        <v/>
      </c>
      <c r="O950" s="114" t="str">
        <f aca="false">IF($E950="","",COUNTIF($E$5:$E950,$E950))</f>
        <v/>
      </c>
      <c r="P950" s="114" t="str">
        <f aca="false">IF($E950="","",$E950*100+$O950)</f>
        <v/>
      </c>
      <c r="Q950" s="114" t="str">
        <f aca="false">IF($L950="Atrasado",$E950*10000+$A950,"")</f>
        <v/>
      </c>
    </row>
    <row r="951" customFormat="false" ht="15" hidden="false" customHeight="false" outlineLevel="0" collapsed="false">
      <c r="A951" s="114" t="n">
        <f aca="false">ROW()-4</f>
        <v>947</v>
      </c>
      <c r="B951" s="114" t="str">
        <f aca="false">IF(A951&lt;=Config!$E$27*Config!$E$28,"Tema","Avulso")</f>
        <v>Tema</v>
      </c>
      <c r="C951" s="114" t="n">
        <f aca="false">IF(B951="Tema",INT((A951-1)/Config!$E$28)+1,A951-Config!$E$27*Config!$E$28)</f>
        <v>158</v>
      </c>
      <c r="D951" s="114" t="n">
        <f aca="false">IF(B951="Tema",MOD(A951-1,Config!$E$28)+1,"")</f>
        <v>5</v>
      </c>
      <c r="E951" s="115" t="str">
        <f aca="false">IF($B951="Tema",IF(ISNUMBER(INDEX(Temas!$E$6:$P$305,$C951,2*$D951-1)),INDEX(Temas!$E$6:$P$305,$C951,2*$D951-1),""),IF(ISNUMBER(INDEX(Avulsos!$B$6:$B$205,$C951)),INDEX(Avulsos!$B$6:$B$205,$C951),""))</f>
        <v/>
      </c>
      <c r="F951" s="114" t="str">
        <f aca="false">IF($E951="","",IF($B951="Tema",INDEX(Temas!$B$6:$B$305,$C951)&amp;"",INDEX(Avulsos!$C$6:$C$205,$C951)&amp;""))</f>
        <v/>
      </c>
      <c r="G951" s="114" t="str">
        <f aca="false">IF($E951="","",IF($B951="Tema",INDEX(Config!$C$6:$C$11,$D951),"Evento avulso"))</f>
        <v/>
      </c>
      <c r="H951" s="114" t="str">
        <f aca="false">IF($E951="","",IF($B951="Tema",INDEX(Config!$D$6:$D$11,$D951),IFERROR(INDEX(Config!$E$15:$E$19,MATCH($I951,Config!$C$15:$C$19,0)),"•")))</f>
        <v/>
      </c>
      <c r="I951" s="114" t="str">
        <f aca="false">IF($E951="","",IF($B951="Tema",INDEX(Config!$E$6:$E$11,$D951),IF(INDEX(Avulsos!$D$6:$D$205,$C951)&amp;""="","Outro",INDEX(Avulsos!$D$6:$D$205,$C951))))</f>
        <v/>
      </c>
      <c r="J951" s="114" t="str">
        <f aca="false">IF($E951="","",IF($B951="Tema",INDEX(Temas!$C$6:$C$305,$C951)&amp;"",INDEX(Avulsos!$E$6:$E$205,$C951)&amp;""))</f>
        <v/>
      </c>
      <c r="K951" s="114" t="str">
        <f aca="false">IF($E951="","",IF(IF($B951="Tema",INDEX(Temas!$E$6:$P$305,$C951,2*$D951),INDEX(Avulsos!$F$6:$F$205,$C951))&amp;""="","","✓"))</f>
        <v/>
      </c>
      <c r="L951" s="114" t="str">
        <f aca="true">IF($E951="","",IF($K951="✓","Concluído",IF($E951&lt;TODAY(),"Atrasado",IF($E951=TODAY(),"Hoje","Pendente"))))</f>
        <v/>
      </c>
      <c r="M951" s="114" t="str">
        <f aca="false">IF($E951="","",IF($K951="✓","✓ ","")&amp;IF(Config!$E$22="Sim",$H951&amp;" · ","")&amp;$F951)</f>
        <v/>
      </c>
      <c r="N951" s="114" t="str">
        <f aca="false">IF($E951="","",IFERROR(INDEX(Config!$D$15:$D$19,MATCH($I951,Config!$C$15:$C$19,0)),"OUT")&amp;IF($K951="✓","x",""))</f>
        <v/>
      </c>
      <c r="O951" s="114" t="str">
        <f aca="false">IF($E951="","",COUNTIF($E$5:$E951,$E951))</f>
        <v/>
      </c>
      <c r="P951" s="114" t="str">
        <f aca="false">IF($E951="","",$E951*100+$O951)</f>
        <v/>
      </c>
      <c r="Q951" s="114" t="str">
        <f aca="false">IF($L951="Atrasado",$E951*10000+$A951,"")</f>
        <v/>
      </c>
    </row>
    <row r="952" customFormat="false" ht="15" hidden="false" customHeight="false" outlineLevel="0" collapsed="false">
      <c r="A952" s="114" t="n">
        <f aca="false">ROW()-4</f>
        <v>948</v>
      </c>
      <c r="B952" s="114" t="str">
        <f aca="false">IF(A952&lt;=Config!$E$27*Config!$E$28,"Tema","Avulso")</f>
        <v>Tema</v>
      </c>
      <c r="C952" s="114" t="n">
        <f aca="false">IF(B952="Tema",INT((A952-1)/Config!$E$28)+1,A952-Config!$E$27*Config!$E$28)</f>
        <v>158</v>
      </c>
      <c r="D952" s="114" t="n">
        <f aca="false">IF(B952="Tema",MOD(A952-1,Config!$E$28)+1,"")</f>
        <v>6</v>
      </c>
      <c r="E952" s="115" t="str">
        <f aca="false">IF($B952="Tema",IF(ISNUMBER(INDEX(Temas!$E$6:$P$305,$C952,2*$D952-1)),INDEX(Temas!$E$6:$P$305,$C952,2*$D952-1),""),IF(ISNUMBER(INDEX(Avulsos!$B$6:$B$205,$C952)),INDEX(Avulsos!$B$6:$B$205,$C952),""))</f>
        <v/>
      </c>
      <c r="F952" s="114" t="str">
        <f aca="false">IF($E952="","",IF($B952="Tema",INDEX(Temas!$B$6:$B$305,$C952)&amp;"",INDEX(Avulsos!$C$6:$C$205,$C952)&amp;""))</f>
        <v/>
      </c>
      <c r="G952" s="114" t="str">
        <f aca="false">IF($E952="","",IF($B952="Tema",INDEX(Config!$C$6:$C$11,$D952),"Evento avulso"))</f>
        <v/>
      </c>
      <c r="H952" s="114" t="str">
        <f aca="false">IF($E952="","",IF($B952="Tema",INDEX(Config!$D$6:$D$11,$D952),IFERROR(INDEX(Config!$E$15:$E$19,MATCH($I952,Config!$C$15:$C$19,0)),"•")))</f>
        <v/>
      </c>
      <c r="I952" s="114" t="str">
        <f aca="false">IF($E952="","",IF($B952="Tema",INDEX(Config!$E$6:$E$11,$D952),IF(INDEX(Avulsos!$D$6:$D$205,$C952)&amp;""="","Outro",INDEX(Avulsos!$D$6:$D$205,$C952))))</f>
        <v/>
      </c>
      <c r="J952" s="114" t="str">
        <f aca="false">IF($E952="","",IF($B952="Tema",INDEX(Temas!$C$6:$C$305,$C952)&amp;"",INDEX(Avulsos!$E$6:$E$205,$C952)&amp;""))</f>
        <v/>
      </c>
      <c r="K952" s="114" t="str">
        <f aca="false">IF($E952="","",IF(IF($B952="Tema",INDEX(Temas!$E$6:$P$305,$C952,2*$D952),INDEX(Avulsos!$F$6:$F$205,$C952))&amp;""="","","✓"))</f>
        <v/>
      </c>
      <c r="L952" s="114" t="str">
        <f aca="true">IF($E952="","",IF($K952="✓","Concluído",IF($E952&lt;TODAY(),"Atrasado",IF($E952=TODAY(),"Hoje","Pendente"))))</f>
        <v/>
      </c>
      <c r="M952" s="114" t="str">
        <f aca="false">IF($E952="","",IF($K952="✓","✓ ","")&amp;IF(Config!$E$22="Sim",$H952&amp;" · ","")&amp;$F952)</f>
        <v/>
      </c>
      <c r="N952" s="114" t="str">
        <f aca="false">IF($E952="","",IFERROR(INDEX(Config!$D$15:$D$19,MATCH($I952,Config!$C$15:$C$19,0)),"OUT")&amp;IF($K952="✓","x",""))</f>
        <v/>
      </c>
      <c r="O952" s="114" t="str">
        <f aca="false">IF($E952="","",COUNTIF($E$5:$E952,$E952))</f>
        <v/>
      </c>
      <c r="P952" s="114" t="str">
        <f aca="false">IF($E952="","",$E952*100+$O952)</f>
        <v/>
      </c>
      <c r="Q952" s="114" t="str">
        <f aca="false">IF($L952="Atrasado",$E952*10000+$A952,"")</f>
        <v/>
      </c>
    </row>
    <row r="953" customFormat="false" ht="15" hidden="false" customHeight="false" outlineLevel="0" collapsed="false">
      <c r="A953" s="114" t="n">
        <f aca="false">ROW()-4</f>
        <v>949</v>
      </c>
      <c r="B953" s="114" t="str">
        <f aca="false">IF(A953&lt;=Config!$E$27*Config!$E$28,"Tema","Avulso")</f>
        <v>Tema</v>
      </c>
      <c r="C953" s="114" t="n">
        <f aca="false">IF(B953="Tema",INT((A953-1)/Config!$E$28)+1,A953-Config!$E$27*Config!$E$28)</f>
        <v>159</v>
      </c>
      <c r="D953" s="114" t="n">
        <f aca="false">IF(B953="Tema",MOD(A953-1,Config!$E$28)+1,"")</f>
        <v>1</v>
      </c>
      <c r="E953" s="115" t="str">
        <f aca="false">IF($B953="Tema",IF(ISNUMBER(INDEX(Temas!$E$6:$P$305,$C953,2*$D953-1)),INDEX(Temas!$E$6:$P$305,$C953,2*$D953-1),""),IF(ISNUMBER(INDEX(Avulsos!$B$6:$B$205,$C953)),INDEX(Avulsos!$B$6:$B$205,$C953),""))</f>
        <v/>
      </c>
      <c r="F953" s="114" t="str">
        <f aca="false">IF($E953="","",IF($B953="Tema",INDEX(Temas!$B$6:$B$305,$C953)&amp;"",INDEX(Avulsos!$C$6:$C$205,$C953)&amp;""))</f>
        <v/>
      </c>
      <c r="G953" s="114" t="str">
        <f aca="false">IF($E953="","",IF($B953="Tema",INDEX(Config!$C$6:$C$11,$D953),"Evento avulso"))</f>
        <v/>
      </c>
      <c r="H953" s="114" t="str">
        <f aca="false">IF($E953="","",IF($B953="Tema",INDEX(Config!$D$6:$D$11,$D953),IFERROR(INDEX(Config!$E$15:$E$19,MATCH($I953,Config!$C$15:$C$19,0)),"•")))</f>
        <v/>
      </c>
      <c r="I953" s="114" t="str">
        <f aca="false">IF($E953="","",IF($B953="Tema",INDEX(Config!$E$6:$E$11,$D953),IF(INDEX(Avulsos!$D$6:$D$205,$C953)&amp;""="","Outro",INDEX(Avulsos!$D$6:$D$205,$C953))))</f>
        <v/>
      </c>
      <c r="J953" s="114" t="str">
        <f aca="false">IF($E953="","",IF($B953="Tema",INDEX(Temas!$C$6:$C$305,$C953)&amp;"",INDEX(Avulsos!$E$6:$E$205,$C953)&amp;""))</f>
        <v/>
      </c>
      <c r="K953" s="114" t="str">
        <f aca="false">IF($E953="","",IF(IF($B953="Tema",INDEX(Temas!$E$6:$P$305,$C953,2*$D953),INDEX(Avulsos!$F$6:$F$205,$C953))&amp;""="","","✓"))</f>
        <v/>
      </c>
      <c r="L953" s="114" t="str">
        <f aca="true">IF($E953="","",IF($K953="✓","Concluído",IF($E953&lt;TODAY(),"Atrasado",IF($E953=TODAY(),"Hoje","Pendente"))))</f>
        <v/>
      </c>
      <c r="M953" s="114" t="str">
        <f aca="false">IF($E953="","",IF($K953="✓","✓ ","")&amp;IF(Config!$E$22="Sim",$H953&amp;" · ","")&amp;$F953)</f>
        <v/>
      </c>
      <c r="N953" s="114" t="str">
        <f aca="false">IF($E953="","",IFERROR(INDEX(Config!$D$15:$D$19,MATCH($I953,Config!$C$15:$C$19,0)),"OUT")&amp;IF($K953="✓","x",""))</f>
        <v/>
      </c>
      <c r="O953" s="114" t="str">
        <f aca="false">IF($E953="","",COUNTIF($E$5:$E953,$E953))</f>
        <v/>
      </c>
      <c r="P953" s="114" t="str">
        <f aca="false">IF($E953="","",$E953*100+$O953)</f>
        <v/>
      </c>
      <c r="Q953" s="114" t="str">
        <f aca="false">IF($L953="Atrasado",$E953*10000+$A953,"")</f>
        <v/>
      </c>
    </row>
    <row r="954" customFormat="false" ht="15" hidden="false" customHeight="false" outlineLevel="0" collapsed="false">
      <c r="A954" s="114" t="n">
        <f aca="false">ROW()-4</f>
        <v>950</v>
      </c>
      <c r="B954" s="114" t="str">
        <f aca="false">IF(A954&lt;=Config!$E$27*Config!$E$28,"Tema","Avulso")</f>
        <v>Tema</v>
      </c>
      <c r="C954" s="114" t="n">
        <f aca="false">IF(B954="Tema",INT((A954-1)/Config!$E$28)+1,A954-Config!$E$27*Config!$E$28)</f>
        <v>159</v>
      </c>
      <c r="D954" s="114" t="n">
        <f aca="false">IF(B954="Tema",MOD(A954-1,Config!$E$28)+1,"")</f>
        <v>2</v>
      </c>
      <c r="E954" s="115" t="str">
        <f aca="false">IF($B954="Tema",IF(ISNUMBER(INDEX(Temas!$E$6:$P$305,$C954,2*$D954-1)),INDEX(Temas!$E$6:$P$305,$C954,2*$D954-1),""),IF(ISNUMBER(INDEX(Avulsos!$B$6:$B$205,$C954)),INDEX(Avulsos!$B$6:$B$205,$C954),""))</f>
        <v/>
      </c>
      <c r="F954" s="114" t="str">
        <f aca="false">IF($E954="","",IF($B954="Tema",INDEX(Temas!$B$6:$B$305,$C954)&amp;"",INDEX(Avulsos!$C$6:$C$205,$C954)&amp;""))</f>
        <v/>
      </c>
      <c r="G954" s="114" t="str">
        <f aca="false">IF($E954="","",IF($B954="Tema",INDEX(Config!$C$6:$C$11,$D954),"Evento avulso"))</f>
        <v/>
      </c>
      <c r="H954" s="114" t="str">
        <f aca="false">IF($E954="","",IF($B954="Tema",INDEX(Config!$D$6:$D$11,$D954),IFERROR(INDEX(Config!$E$15:$E$19,MATCH($I954,Config!$C$15:$C$19,0)),"•")))</f>
        <v/>
      </c>
      <c r="I954" s="114" t="str">
        <f aca="false">IF($E954="","",IF($B954="Tema",INDEX(Config!$E$6:$E$11,$D954),IF(INDEX(Avulsos!$D$6:$D$205,$C954)&amp;""="","Outro",INDEX(Avulsos!$D$6:$D$205,$C954))))</f>
        <v/>
      </c>
      <c r="J954" s="114" t="str">
        <f aca="false">IF($E954="","",IF($B954="Tema",INDEX(Temas!$C$6:$C$305,$C954)&amp;"",INDEX(Avulsos!$E$6:$E$205,$C954)&amp;""))</f>
        <v/>
      </c>
      <c r="K954" s="114" t="str">
        <f aca="false">IF($E954="","",IF(IF($B954="Tema",INDEX(Temas!$E$6:$P$305,$C954,2*$D954),INDEX(Avulsos!$F$6:$F$205,$C954))&amp;""="","","✓"))</f>
        <v/>
      </c>
      <c r="L954" s="114" t="str">
        <f aca="true">IF($E954="","",IF($K954="✓","Concluído",IF($E954&lt;TODAY(),"Atrasado",IF($E954=TODAY(),"Hoje","Pendente"))))</f>
        <v/>
      </c>
      <c r="M954" s="114" t="str">
        <f aca="false">IF($E954="","",IF($K954="✓","✓ ","")&amp;IF(Config!$E$22="Sim",$H954&amp;" · ","")&amp;$F954)</f>
        <v/>
      </c>
      <c r="N954" s="114" t="str">
        <f aca="false">IF($E954="","",IFERROR(INDEX(Config!$D$15:$D$19,MATCH($I954,Config!$C$15:$C$19,0)),"OUT")&amp;IF($K954="✓","x",""))</f>
        <v/>
      </c>
      <c r="O954" s="114" t="str">
        <f aca="false">IF($E954="","",COUNTIF($E$5:$E954,$E954))</f>
        <v/>
      </c>
      <c r="P954" s="114" t="str">
        <f aca="false">IF($E954="","",$E954*100+$O954)</f>
        <v/>
      </c>
      <c r="Q954" s="114" t="str">
        <f aca="false">IF($L954="Atrasado",$E954*10000+$A954,"")</f>
        <v/>
      </c>
    </row>
    <row r="955" customFormat="false" ht="15" hidden="false" customHeight="false" outlineLevel="0" collapsed="false">
      <c r="A955" s="114" t="n">
        <f aca="false">ROW()-4</f>
        <v>951</v>
      </c>
      <c r="B955" s="114" t="str">
        <f aca="false">IF(A955&lt;=Config!$E$27*Config!$E$28,"Tema","Avulso")</f>
        <v>Tema</v>
      </c>
      <c r="C955" s="114" t="n">
        <f aca="false">IF(B955="Tema",INT((A955-1)/Config!$E$28)+1,A955-Config!$E$27*Config!$E$28)</f>
        <v>159</v>
      </c>
      <c r="D955" s="114" t="n">
        <f aca="false">IF(B955="Tema",MOD(A955-1,Config!$E$28)+1,"")</f>
        <v>3</v>
      </c>
      <c r="E955" s="115" t="str">
        <f aca="false">IF($B955="Tema",IF(ISNUMBER(INDEX(Temas!$E$6:$P$305,$C955,2*$D955-1)),INDEX(Temas!$E$6:$P$305,$C955,2*$D955-1),""),IF(ISNUMBER(INDEX(Avulsos!$B$6:$B$205,$C955)),INDEX(Avulsos!$B$6:$B$205,$C955),""))</f>
        <v/>
      </c>
      <c r="F955" s="114" t="str">
        <f aca="false">IF($E955="","",IF($B955="Tema",INDEX(Temas!$B$6:$B$305,$C955)&amp;"",INDEX(Avulsos!$C$6:$C$205,$C955)&amp;""))</f>
        <v/>
      </c>
      <c r="G955" s="114" t="str">
        <f aca="false">IF($E955="","",IF($B955="Tema",INDEX(Config!$C$6:$C$11,$D955),"Evento avulso"))</f>
        <v/>
      </c>
      <c r="H955" s="114" t="str">
        <f aca="false">IF($E955="","",IF($B955="Tema",INDEX(Config!$D$6:$D$11,$D955),IFERROR(INDEX(Config!$E$15:$E$19,MATCH($I955,Config!$C$15:$C$19,0)),"•")))</f>
        <v/>
      </c>
      <c r="I955" s="114" t="str">
        <f aca="false">IF($E955="","",IF($B955="Tema",INDEX(Config!$E$6:$E$11,$D955),IF(INDEX(Avulsos!$D$6:$D$205,$C955)&amp;""="","Outro",INDEX(Avulsos!$D$6:$D$205,$C955))))</f>
        <v/>
      </c>
      <c r="J955" s="114" t="str">
        <f aca="false">IF($E955="","",IF($B955="Tema",INDEX(Temas!$C$6:$C$305,$C955)&amp;"",INDEX(Avulsos!$E$6:$E$205,$C955)&amp;""))</f>
        <v/>
      </c>
      <c r="K955" s="114" t="str">
        <f aca="false">IF($E955="","",IF(IF($B955="Tema",INDEX(Temas!$E$6:$P$305,$C955,2*$D955),INDEX(Avulsos!$F$6:$F$205,$C955))&amp;""="","","✓"))</f>
        <v/>
      </c>
      <c r="L955" s="114" t="str">
        <f aca="true">IF($E955="","",IF($K955="✓","Concluído",IF($E955&lt;TODAY(),"Atrasado",IF($E955=TODAY(),"Hoje","Pendente"))))</f>
        <v/>
      </c>
      <c r="M955" s="114" t="str">
        <f aca="false">IF($E955="","",IF($K955="✓","✓ ","")&amp;IF(Config!$E$22="Sim",$H955&amp;" · ","")&amp;$F955)</f>
        <v/>
      </c>
      <c r="N955" s="114" t="str">
        <f aca="false">IF($E955="","",IFERROR(INDEX(Config!$D$15:$D$19,MATCH($I955,Config!$C$15:$C$19,0)),"OUT")&amp;IF($K955="✓","x",""))</f>
        <v/>
      </c>
      <c r="O955" s="114" t="str">
        <f aca="false">IF($E955="","",COUNTIF($E$5:$E955,$E955))</f>
        <v/>
      </c>
      <c r="P955" s="114" t="str">
        <f aca="false">IF($E955="","",$E955*100+$O955)</f>
        <v/>
      </c>
      <c r="Q955" s="114" t="str">
        <f aca="false">IF($L955="Atrasado",$E955*10000+$A955,"")</f>
        <v/>
      </c>
    </row>
    <row r="956" customFormat="false" ht="15" hidden="false" customHeight="false" outlineLevel="0" collapsed="false">
      <c r="A956" s="114" t="n">
        <f aca="false">ROW()-4</f>
        <v>952</v>
      </c>
      <c r="B956" s="114" t="str">
        <f aca="false">IF(A956&lt;=Config!$E$27*Config!$E$28,"Tema","Avulso")</f>
        <v>Tema</v>
      </c>
      <c r="C956" s="114" t="n">
        <f aca="false">IF(B956="Tema",INT((A956-1)/Config!$E$28)+1,A956-Config!$E$27*Config!$E$28)</f>
        <v>159</v>
      </c>
      <c r="D956" s="114" t="n">
        <f aca="false">IF(B956="Tema",MOD(A956-1,Config!$E$28)+1,"")</f>
        <v>4</v>
      </c>
      <c r="E956" s="115" t="str">
        <f aca="false">IF($B956="Tema",IF(ISNUMBER(INDEX(Temas!$E$6:$P$305,$C956,2*$D956-1)),INDEX(Temas!$E$6:$P$305,$C956,2*$D956-1),""),IF(ISNUMBER(INDEX(Avulsos!$B$6:$B$205,$C956)),INDEX(Avulsos!$B$6:$B$205,$C956),""))</f>
        <v/>
      </c>
      <c r="F956" s="114" t="str">
        <f aca="false">IF($E956="","",IF($B956="Tema",INDEX(Temas!$B$6:$B$305,$C956)&amp;"",INDEX(Avulsos!$C$6:$C$205,$C956)&amp;""))</f>
        <v/>
      </c>
      <c r="G956" s="114" t="str">
        <f aca="false">IF($E956="","",IF($B956="Tema",INDEX(Config!$C$6:$C$11,$D956),"Evento avulso"))</f>
        <v/>
      </c>
      <c r="H956" s="114" t="str">
        <f aca="false">IF($E956="","",IF($B956="Tema",INDEX(Config!$D$6:$D$11,$D956),IFERROR(INDEX(Config!$E$15:$E$19,MATCH($I956,Config!$C$15:$C$19,0)),"•")))</f>
        <v/>
      </c>
      <c r="I956" s="114" t="str">
        <f aca="false">IF($E956="","",IF($B956="Tema",INDEX(Config!$E$6:$E$11,$D956),IF(INDEX(Avulsos!$D$6:$D$205,$C956)&amp;""="","Outro",INDEX(Avulsos!$D$6:$D$205,$C956))))</f>
        <v/>
      </c>
      <c r="J956" s="114" t="str">
        <f aca="false">IF($E956="","",IF($B956="Tema",INDEX(Temas!$C$6:$C$305,$C956)&amp;"",INDEX(Avulsos!$E$6:$E$205,$C956)&amp;""))</f>
        <v/>
      </c>
      <c r="K956" s="114" t="str">
        <f aca="false">IF($E956="","",IF(IF($B956="Tema",INDEX(Temas!$E$6:$P$305,$C956,2*$D956),INDEX(Avulsos!$F$6:$F$205,$C956))&amp;""="","","✓"))</f>
        <v/>
      </c>
      <c r="L956" s="114" t="str">
        <f aca="true">IF($E956="","",IF($K956="✓","Concluído",IF($E956&lt;TODAY(),"Atrasado",IF($E956=TODAY(),"Hoje","Pendente"))))</f>
        <v/>
      </c>
      <c r="M956" s="114" t="str">
        <f aca="false">IF($E956="","",IF($K956="✓","✓ ","")&amp;IF(Config!$E$22="Sim",$H956&amp;" · ","")&amp;$F956)</f>
        <v/>
      </c>
      <c r="N956" s="114" t="str">
        <f aca="false">IF($E956="","",IFERROR(INDEX(Config!$D$15:$D$19,MATCH($I956,Config!$C$15:$C$19,0)),"OUT")&amp;IF($K956="✓","x",""))</f>
        <v/>
      </c>
      <c r="O956" s="114" t="str">
        <f aca="false">IF($E956="","",COUNTIF($E$5:$E956,$E956))</f>
        <v/>
      </c>
      <c r="P956" s="114" t="str">
        <f aca="false">IF($E956="","",$E956*100+$O956)</f>
        <v/>
      </c>
      <c r="Q956" s="114" t="str">
        <f aca="false">IF($L956="Atrasado",$E956*10000+$A956,"")</f>
        <v/>
      </c>
    </row>
    <row r="957" customFormat="false" ht="15" hidden="false" customHeight="false" outlineLevel="0" collapsed="false">
      <c r="A957" s="114" t="n">
        <f aca="false">ROW()-4</f>
        <v>953</v>
      </c>
      <c r="B957" s="114" t="str">
        <f aca="false">IF(A957&lt;=Config!$E$27*Config!$E$28,"Tema","Avulso")</f>
        <v>Tema</v>
      </c>
      <c r="C957" s="114" t="n">
        <f aca="false">IF(B957="Tema",INT((A957-1)/Config!$E$28)+1,A957-Config!$E$27*Config!$E$28)</f>
        <v>159</v>
      </c>
      <c r="D957" s="114" t="n">
        <f aca="false">IF(B957="Tema",MOD(A957-1,Config!$E$28)+1,"")</f>
        <v>5</v>
      </c>
      <c r="E957" s="115" t="str">
        <f aca="false">IF($B957="Tema",IF(ISNUMBER(INDEX(Temas!$E$6:$P$305,$C957,2*$D957-1)),INDEX(Temas!$E$6:$P$305,$C957,2*$D957-1),""),IF(ISNUMBER(INDEX(Avulsos!$B$6:$B$205,$C957)),INDEX(Avulsos!$B$6:$B$205,$C957),""))</f>
        <v/>
      </c>
      <c r="F957" s="114" t="str">
        <f aca="false">IF($E957="","",IF($B957="Tema",INDEX(Temas!$B$6:$B$305,$C957)&amp;"",INDEX(Avulsos!$C$6:$C$205,$C957)&amp;""))</f>
        <v/>
      </c>
      <c r="G957" s="114" t="str">
        <f aca="false">IF($E957="","",IF($B957="Tema",INDEX(Config!$C$6:$C$11,$D957),"Evento avulso"))</f>
        <v/>
      </c>
      <c r="H957" s="114" t="str">
        <f aca="false">IF($E957="","",IF($B957="Tema",INDEX(Config!$D$6:$D$11,$D957),IFERROR(INDEX(Config!$E$15:$E$19,MATCH($I957,Config!$C$15:$C$19,0)),"•")))</f>
        <v/>
      </c>
      <c r="I957" s="114" t="str">
        <f aca="false">IF($E957="","",IF($B957="Tema",INDEX(Config!$E$6:$E$11,$D957),IF(INDEX(Avulsos!$D$6:$D$205,$C957)&amp;""="","Outro",INDEX(Avulsos!$D$6:$D$205,$C957))))</f>
        <v/>
      </c>
      <c r="J957" s="114" t="str">
        <f aca="false">IF($E957="","",IF($B957="Tema",INDEX(Temas!$C$6:$C$305,$C957)&amp;"",INDEX(Avulsos!$E$6:$E$205,$C957)&amp;""))</f>
        <v/>
      </c>
      <c r="K957" s="114" t="str">
        <f aca="false">IF($E957="","",IF(IF($B957="Tema",INDEX(Temas!$E$6:$P$305,$C957,2*$D957),INDEX(Avulsos!$F$6:$F$205,$C957))&amp;""="","","✓"))</f>
        <v/>
      </c>
      <c r="L957" s="114" t="str">
        <f aca="true">IF($E957="","",IF($K957="✓","Concluído",IF($E957&lt;TODAY(),"Atrasado",IF($E957=TODAY(),"Hoje","Pendente"))))</f>
        <v/>
      </c>
      <c r="M957" s="114" t="str">
        <f aca="false">IF($E957="","",IF($K957="✓","✓ ","")&amp;IF(Config!$E$22="Sim",$H957&amp;" · ","")&amp;$F957)</f>
        <v/>
      </c>
      <c r="N957" s="114" t="str">
        <f aca="false">IF($E957="","",IFERROR(INDEX(Config!$D$15:$D$19,MATCH($I957,Config!$C$15:$C$19,0)),"OUT")&amp;IF($K957="✓","x",""))</f>
        <v/>
      </c>
      <c r="O957" s="114" t="str">
        <f aca="false">IF($E957="","",COUNTIF($E$5:$E957,$E957))</f>
        <v/>
      </c>
      <c r="P957" s="114" t="str">
        <f aca="false">IF($E957="","",$E957*100+$O957)</f>
        <v/>
      </c>
      <c r="Q957" s="114" t="str">
        <f aca="false">IF($L957="Atrasado",$E957*10000+$A957,"")</f>
        <v/>
      </c>
    </row>
    <row r="958" customFormat="false" ht="15" hidden="false" customHeight="false" outlineLevel="0" collapsed="false">
      <c r="A958" s="114" t="n">
        <f aca="false">ROW()-4</f>
        <v>954</v>
      </c>
      <c r="B958" s="114" t="str">
        <f aca="false">IF(A958&lt;=Config!$E$27*Config!$E$28,"Tema","Avulso")</f>
        <v>Tema</v>
      </c>
      <c r="C958" s="114" t="n">
        <f aca="false">IF(B958="Tema",INT((A958-1)/Config!$E$28)+1,A958-Config!$E$27*Config!$E$28)</f>
        <v>159</v>
      </c>
      <c r="D958" s="114" t="n">
        <f aca="false">IF(B958="Tema",MOD(A958-1,Config!$E$28)+1,"")</f>
        <v>6</v>
      </c>
      <c r="E958" s="115" t="str">
        <f aca="false">IF($B958="Tema",IF(ISNUMBER(INDEX(Temas!$E$6:$P$305,$C958,2*$D958-1)),INDEX(Temas!$E$6:$P$305,$C958,2*$D958-1),""),IF(ISNUMBER(INDEX(Avulsos!$B$6:$B$205,$C958)),INDEX(Avulsos!$B$6:$B$205,$C958),""))</f>
        <v/>
      </c>
      <c r="F958" s="114" t="str">
        <f aca="false">IF($E958="","",IF($B958="Tema",INDEX(Temas!$B$6:$B$305,$C958)&amp;"",INDEX(Avulsos!$C$6:$C$205,$C958)&amp;""))</f>
        <v/>
      </c>
      <c r="G958" s="114" t="str">
        <f aca="false">IF($E958="","",IF($B958="Tema",INDEX(Config!$C$6:$C$11,$D958),"Evento avulso"))</f>
        <v/>
      </c>
      <c r="H958" s="114" t="str">
        <f aca="false">IF($E958="","",IF($B958="Tema",INDEX(Config!$D$6:$D$11,$D958),IFERROR(INDEX(Config!$E$15:$E$19,MATCH($I958,Config!$C$15:$C$19,0)),"•")))</f>
        <v/>
      </c>
      <c r="I958" s="114" t="str">
        <f aca="false">IF($E958="","",IF($B958="Tema",INDEX(Config!$E$6:$E$11,$D958),IF(INDEX(Avulsos!$D$6:$D$205,$C958)&amp;""="","Outro",INDEX(Avulsos!$D$6:$D$205,$C958))))</f>
        <v/>
      </c>
      <c r="J958" s="114" t="str">
        <f aca="false">IF($E958="","",IF($B958="Tema",INDEX(Temas!$C$6:$C$305,$C958)&amp;"",INDEX(Avulsos!$E$6:$E$205,$C958)&amp;""))</f>
        <v/>
      </c>
      <c r="K958" s="114" t="str">
        <f aca="false">IF($E958="","",IF(IF($B958="Tema",INDEX(Temas!$E$6:$P$305,$C958,2*$D958),INDEX(Avulsos!$F$6:$F$205,$C958))&amp;""="","","✓"))</f>
        <v/>
      </c>
      <c r="L958" s="114" t="str">
        <f aca="true">IF($E958="","",IF($K958="✓","Concluído",IF($E958&lt;TODAY(),"Atrasado",IF($E958=TODAY(),"Hoje","Pendente"))))</f>
        <v/>
      </c>
      <c r="M958" s="114" t="str">
        <f aca="false">IF($E958="","",IF($K958="✓","✓ ","")&amp;IF(Config!$E$22="Sim",$H958&amp;" · ","")&amp;$F958)</f>
        <v/>
      </c>
      <c r="N958" s="114" t="str">
        <f aca="false">IF($E958="","",IFERROR(INDEX(Config!$D$15:$D$19,MATCH($I958,Config!$C$15:$C$19,0)),"OUT")&amp;IF($K958="✓","x",""))</f>
        <v/>
      </c>
      <c r="O958" s="114" t="str">
        <f aca="false">IF($E958="","",COUNTIF($E$5:$E958,$E958))</f>
        <v/>
      </c>
      <c r="P958" s="114" t="str">
        <f aca="false">IF($E958="","",$E958*100+$O958)</f>
        <v/>
      </c>
      <c r="Q958" s="114" t="str">
        <f aca="false">IF($L958="Atrasado",$E958*10000+$A958,"")</f>
        <v/>
      </c>
    </row>
    <row r="959" customFormat="false" ht="15" hidden="false" customHeight="false" outlineLevel="0" collapsed="false">
      <c r="A959" s="114" t="n">
        <f aca="false">ROW()-4</f>
        <v>955</v>
      </c>
      <c r="B959" s="114" t="str">
        <f aca="false">IF(A959&lt;=Config!$E$27*Config!$E$28,"Tema","Avulso")</f>
        <v>Tema</v>
      </c>
      <c r="C959" s="114" t="n">
        <f aca="false">IF(B959="Tema",INT((A959-1)/Config!$E$28)+1,A959-Config!$E$27*Config!$E$28)</f>
        <v>160</v>
      </c>
      <c r="D959" s="114" t="n">
        <f aca="false">IF(B959="Tema",MOD(A959-1,Config!$E$28)+1,"")</f>
        <v>1</v>
      </c>
      <c r="E959" s="115" t="str">
        <f aca="false">IF($B959="Tema",IF(ISNUMBER(INDEX(Temas!$E$6:$P$305,$C959,2*$D959-1)),INDEX(Temas!$E$6:$P$305,$C959,2*$D959-1),""),IF(ISNUMBER(INDEX(Avulsos!$B$6:$B$205,$C959)),INDEX(Avulsos!$B$6:$B$205,$C959),""))</f>
        <v/>
      </c>
      <c r="F959" s="114" t="str">
        <f aca="false">IF($E959="","",IF($B959="Tema",INDEX(Temas!$B$6:$B$305,$C959)&amp;"",INDEX(Avulsos!$C$6:$C$205,$C959)&amp;""))</f>
        <v/>
      </c>
      <c r="G959" s="114" t="str">
        <f aca="false">IF($E959="","",IF($B959="Tema",INDEX(Config!$C$6:$C$11,$D959),"Evento avulso"))</f>
        <v/>
      </c>
      <c r="H959" s="114" t="str">
        <f aca="false">IF($E959="","",IF($B959="Tema",INDEX(Config!$D$6:$D$11,$D959),IFERROR(INDEX(Config!$E$15:$E$19,MATCH($I959,Config!$C$15:$C$19,0)),"•")))</f>
        <v/>
      </c>
      <c r="I959" s="114" t="str">
        <f aca="false">IF($E959="","",IF($B959="Tema",INDEX(Config!$E$6:$E$11,$D959),IF(INDEX(Avulsos!$D$6:$D$205,$C959)&amp;""="","Outro",INDEX(Avulsos!$D$6:$D$205,$C959))))</f>
        <v/>
      </c>
      <c r="J959" s="114" t="str">
        <f aca="false">IF($E959="","",IF($B959="Tema",INDEX(Temas!$C$6:$C$305,$C959)&amp;"",INDEX(Avulsos!$E$6:$E$205,$C959)&amp;""))</f>
        <v/>
      </c>
      <c r="K959" s="114" t="str">
        <f aca="false">IF($E959="","",IF(IF($B959="Tema",INDEX(Temas!$E$6:$P$305,$C959,2*$D959),INDEX(Avulsos!$F$6:$F$205,$C959))&amp;""="","","✓"))</f>
        <v/>
      </c>
      <c r="L959" s="114" t="str">
        <f aca="true">IF($E959="","",IF($K959="✓","Concluído",IF($E959&lt;TODAY(),"Atrasado",IF($E959=TODAY(),"Hoje","Pendente"))))</f>
        <v/>
      </c>
      <c r="M959" s="114" t="str">
        <f aca="false">IF($E959="","",IF($K959="✓","✓ ","")&amp;IF(Config!$E$22="Sim",$H959&amp;" · ","")&amp;$F959)</f>
        <v/>
      </c>
      <c r="N959" s="114" t="str">
        <f aca="false">IF($E959="","",IFERROR(INDEX(Config!$D$15:$D$19,MATCH($I959,Config!$C$15:$C$19,0)),"OUT")&amp;IF($K959="✓","x",""))</f>
        <v/>
      </c>
      <c r="O959" s="114" t="str">
        <f aca="false">IF($E959="","",COUNTIF($E$5:$E959,$E959))</f>
        <v/>
      </c>
      <c r="P959" s="114" t="str">
        <f aca="false">IF($E959="","",$E959*100+$O959)</f>
        <v/>
      </c>
      <c r="Q959" s="114" t="str">
        <f aca="false">IF($L959="Atrasado",$E959*10000+$A959,"")</f>
        <v/>
      </c>
    </row>
    <row r="960" customFormat="false" ht="15" hidden="false" customHeight="false" outlineLevel="0" collapsed="false">
      <c r="A960" s="114" t="n">
        <f aca="false">ROW()-4</f>
        <v>956</v>
      </c>
      <c r="B960" s="114" t="str">
        <f aca="false">IF(A960&lt;=Config!$E$27*Config!$E$28,"Tema","Avulso")</f>
        <v>Tema</v>
      </c>
      <c r="C960" s="114" t="n">
        <f aca="false">IF(B960="Tema",INT((A960-1)/Config!$E$28)+1,A960-Config!$E$27*Config!$E$28)</f>
        <v>160</v>
      </c>
      <c r="D960" s="114" t="n">
        <f aca="false">IF(B960="Tema",MOD(A960-1,Config!$E$28)+1,"")</f>
        <v>2</v>
      </c>
      <c r="E960" s="115" t="str">
        <f aca="false">IF($B960="Tema",IF(ISNUMBER(INDEX(Temas!$E$6:$P$305,$C960,2*$D960-1)),INDEX(Temas!$E$6:$P$305,$C960,2*$D960-1),""),IF(ISNUMBER(INDEX(Avulsos!$B$6:$B$205,$C960)),INDEX(Avulsos!$B$6:$B$205,$C960),""))</f>
        <v/>
      </c>
      <c r="F960" s="114" t="str">
        <f aca="false">IF($E960="","",IF($B960="Tema",INDEX(Temas!$B$6:$B$305,$C960)&amp;"",INDEX(Avulsos!$C$6:$C$205,$C960)&amp;""))</f>
        <v/>
      </c>
      <c r="G960" s="114" t="str">
        <f aca="false">IF($E960="","",IF($B960="Tema",INDEX(Config!$C$6:$C$11,$D960),"Evento avulso"))</f>
        <v/>
      </c>
      <c r="H960" s="114" t="str">
        <f aca="false">IF($E960="","",IF($B960="Tema",INDEX(Config!$D$6:$D$11,$D960),IFERROR(INDEX(Config!$E$15:$E$19,MATCH($I960,Config!$C$15:$C$19,0)),"•")))</f>
        <v/>
      </c>
      <c r="I960" s="114" t="str">
        <f aca="false">IF($E960="","",IF($B960="Tema",INDEX(Config!$E$6:$E$11,$D960),IF(INDEX(Avulsos!$D$6:$D$205,$C960)&amp;""="","Outro",INDEX(Avulsos!$D$6:$D$205,$C960))))</f>
        <v/>
      </c>
      <c r="J960" s="114" t="str">
        <f aca="false">IF($E960="","",IF($B960="Tema",INDEX(Temas!$C$6:$C$305,$C960)&amp;"",INDEX(Avulsos!$E$6:$E$205,$C960)&amp;""))</f>
        <v/>
      </c>
      <c r="K960" s="114" t="str">
        <f aca="false">IF($E960="","",IF(IF($B960="Tema",INDEX(Temas!$E$6:$P$305,$C960,2*$D960),INDEX(Avulsos!$F$6:$F$205,$C960))&amp;""="","","✓"))</f>
        <v/>
      </c>
      <c r="L960" s="114" t="str">
        <f aca="true">IF($E960="","",IF($K960="✓","Concluído",IF($E960&lt;TODAY(),"Atrasado",IF($E960=TODAY(),"Hoje","Pendente"))))</f>
        <v/>
      </c>
      <c r="M960" s="114" t="str">
        <f aca="false">IF($E960="","",IF($K960="✓","✓ ","")&amp;IF(Config!$E$22="Sim",$H960&amp;" · ","")&amp;$F960)</f>
        <v/>
      </c>
      <c r="N960" s="114" t="str">
        <f aca="false">IF($E960="","",IFERROR(INDEX(Config!$D$15:$D$19,MATCH($I960,Config!$C$15:$C$19,0)),"OUT")&amp;IF($K960="✓","x",""))</f>
        <v/>
      </c>
      <c r="O960" s="114" t="str">
        <f aca="false">IF($E960="","",COUNTIF($E$5:$E960,$E960))</f>
        <v/>
      </c>
      <c r="P960" s="114" t="str">
        <f aca="false">IF($E960="","",$E960*100+$O960)</f>
        <v/>
      </c>
      <c r="Q960" s="114" t="str">
        <f aca="false">IF($L960="Atrasado",$E960*10000+$A960,"")</f>
        <v/>
      </c>
    </row>
    <row r="961" customFormat="false" ht="15" hidden="false" customHeight="false" outlineLevel="0" collapsed="false">
      <c r="A961" s="114" t="n">
        <f aca="false">ROW()-4</f>
        <v>957</v>
      </c>
      <c r="B961" s="114" t="str">
        <f aca="false">IF(A961&lt;=Config!$E$27*Config!$E$28,"Tema","Avulso")</f>
        <v>Tema</v>
      </c>
      <c r="C961" s="114" t="n">
        <f aca="false">IF(B961="Tema",INT((A961-1)/Config!$E$28)+1,A961-Config!$E$27*Config!$E$28)</f>
        <v>160</v>
      </c>
      <c r="D961" s="114" t="n">
        <f aca="false">IF(B961="Tema",MOD(A961-1,Config!$E$28)+1,"")</f>
        <v>3</v>
      </c>
      <c r="E961" s="115" t="str">
        <f aca="false">IF($B961="Tema",IF(ISNUMBER(INDEX(Temas!$E$6:$P$305,$C961,2*$D961-1)),INDEX(Temas!$E$6:$P$305,$C961,2*$D961-1),""),IF(ISNUMBER(INDEX(Avulsos!$B$6:$B$205,$C961)),INDEX(Avulsos!$B$6:$B$205,$C961),""))</f>
        <v/>
      </c>
      <c r="F961" s="114" t="str">
        <f aca="false">IF($E961="","",IF($B961="Tema",INDEX(Temas!$B$6:$B$305,$C961)&amp;"",INDEX(Avulsos!$C$6:$C$205,$C961)&amp;""))</f>
        <v/>
      </c>
      <c r="G961" s="114" t="str">
        <f aca="false">IF($E961="","",IF($B961="Tema",INDEX(Config!$C$6:$C$11,$D961),"Evento avulso"))</f>
        <v/>
      </c>
      <c r="H961" s="114" t="str">
        <f aca="false">IF($E961="","",IF($B961="Tema",INDEX(Config!$D$6:$D$11,$D961),IFERROR(INDEX(Config!$E$15:$E$19,MATCH($I961,Config!$C$15:$C$19,0)),"•")))</f>
        <v/>
      </c>
      <c r="I961" s="114" t="str">
        <f aca="false">IF($E961="","",IF($B961="Tema",INDEX(Config!$E$6:$E$11,$D961),IF(INDEX(Avulsos!$D$6:$D$205,$C961)&amp;""="","Outro",INDEX(Avulsos!$D$6:$D$205,$C961))))</f>
        <v/>
      </c>
      <c r="J961" s="114" t="str">
        <f aca="false">IF($E961="","",IF($B961="Tema",INDEX(Temas!$C$6:$C$305,$C961)&amp;"",INDEX(Avulsos!$E$6:$E$205,$C961)&amp;""))</f>
        <v/>
      </c>
      <c r="K961" s="114" t="str">
        <f aca="false">IF($E961="","",IF(IF($B961="Tema",INDEX(Temas!$E$6:$P$305,$C961,2*$D961),INDEX(Avulsos!$F$6:$F$205,$C961))&amp;""="","","✓"))</f>
        <v/>
      </c>
      <c r="L961" s="114" t="str">
        <f aca="true">IF($E961="","",IF($K961="✓","Concluído",IF($E961&lt;TODAY(),"Atrasado",IF($E961=TODAY(),"Hoje","Pendente"))))</f>
        <v/>
      </c>
      <c r="M961" s="114" t="str">
        <f aca="false">IF($E961="","",IF($K961="✓","✓ ","")&amp;IF(Config!$E$22="Sim",$H961&amp;" · ","")&amp;$F961)</f>
        <v/>
      </c>
      <c r="N961" s="114" t="str">
        <f aca="false">IF($E961="","",IFERROR(INDEX(Config!$D$15:$D$19,MATCH($I961,Config!$C$15:$C$19,0)),"OUT")&amp;IF($K961="✓","x",""))</f>
        <v/>
      </c>
      <c r="O961" s="114" t="str">
        <f aca="false">IF($E961="","",COUNTIF($E$5:$E961,$E961))</f>
        <v/>
      </c>
      <c r="P961" s="114" t="str">
        <f aca="false">IF($E961="","",$E961*100+$O961)</f>
        <v/>
      </c>
      <c r="Q961" s="114" t="str">
        <f aca="false">IF($L961="Atrasado",$E961*10000+$A961,"")</f>
        <v/>
      </c>
    </row>
    <row r="962" customFormat="false" ht="15" hidden="false" customHeight="false" outlineLevel="0" collapsed="false">
      <c r="A962" s="114" t="n">
        <f aca="false">ROW()-4</f>
        <v>958</v>
      </c>
      <c r="B962" s="114" t="str">
        <f aca="false">IF(A962&lt;=Config!$E$27*Config!$E$28,"Tema","Avulso")</f>
        <v>Tema</v>
      </c>
      <c r="C962" s="114" t="n">
        <f aca="false">IF(B962="Tema",INT((A962-1)/Config!$E$28)+1,A962-Config!$E$27*Config!$E$28)</f>
        <v>160</v>
      </c>
      <c r="D962" s="114" t="n">
        <f aca="false">IF(B962="Tema",MOD(A962-1,Config!$E$28)+1,"")</f>
        <v>4</v>
      </c>
      <c r="E962" s="115" t="str">
        <f aca="false">IF($B962="Tema",IF(ISNUMBER(INDEX(Temas!$E$6:$P$305,$C962,2*$D962-1)),INDEX(Temas!$E$6:$P$305,$C962,2*$D962-1),""),IF(ISNUMBER(INDEX(Avulsos!$B$6:$B$205,$C962)),INDEX(Avulsos!$B$6:$B$205,$C962),""))</f>
        <v/>
      </c>
      <c r="F962" s="114" t="str">
        <f aca="false">IF($E962="","",IF($B962="Tema",INDEX(Temas!$B$6:$B$305,$C962)&amp;"",INDEX(Avulsos!$C$6:$C$205,$C962)&amp;""))</f>
        <v/>
      </c>
      <c r="G962" s="114" t="str">
        <f aca="false">IF($E962="","",IF($B962="Tema",INDEX(Config!$C$6:$C$11,$D962),"Evento avulso"))</f>
        <v/>
      </c>
      <c r="H962" s="114" t="str">
        <f aca="false">IF($E962="","",IF($B962="Tema",INDEX(Config!$D$6:$D$11,$D962),IFERROR(INDEX(Config!$E$15:$E$19,MATCH($I962,Config!$C$15:$C$19,0)),"•")))</f>
        <v/>
      </c>
      <c r="I962" s="114" t="str">
        <f aca="false">IF($E962="","",IF($B962="Tema",INDEX(Config!$E$6:$E$11,$D962),IF(INDEX(Avulsos!$D$6:$D$205,$C962)&amp;""="","Outro",INDEX(Avulsos!$D$6:$D$205,$C962))))</f>
        <v/>
      </c>
      <c r="J962" s="114" t="str">
        <f aca="false">IF($E962="","",IF($B962="Tema",INDEX(Temas!$C$6:$C$305,$C962)&amp;"",INDEX(Avulsos!$E$6:$E$205,$C962)&amp;""))</f>
        <v/>
      </c>
      <c r="K962" s="114" t="str">
        <f aca="false">IF($E962="","",IF(IF($B962="Tema",INDEX(Temas!$E$6:$P$305,$C962,2*$D962),INDEX(Avulsos!$F$6:$F$205,$C962))&amp;""="","","✓"))</f>
        <v/>
      </c>
      <c r="L962" s="114" t="str">
        <f aca="true">IF($E962="","",IF($K962="✓","Concluído",IF($E962&lt;TODAY(),"Atrasado",IF($E962=TODAY(),"Hoje","Pendente"))))</f>
        <v/>
      </c>
      <c r="M962" s="114" t="str">
        <f aca="false">IF($E962="","",IF($K962="✓","✓ ","")&amp;IF(Config!$E$22="Sim",$H962&amp;" · ","")&amp;$F962)</f>
        <v/>
      </c>
      <c r="N962" s="114" t="str">
        <f aca="false">IF($E962="","",IFERROR(INDEX(Config!$D$15:$D$19,MATCH($I962,Config!$C$15:$C$19,0)),"OUT")&amp;IF($K962="✓","x",""))</f>
        <v/>
      </c>
      <c r="O962" s="114" t="str">
        <f aca="false">IF($E962="","",COUNTIF($E$5:$E962,$E962))</f>
        <v/>
      </c>
      <c r="P962" s="114" t="str">
        <f aca="false">IF($E962="","",$E962*100+$O962)</f>
        <v/>
      </c>
      <c r="Q962" s="114" t="str">
        <f aca="false">IF($L962="Atrasado",$E962*10000+$A962,"")</f>
        <v/>
      </c>
    </row>
    <row r="963" customFormat="false" ht="15" hidden="false" customHeight="false" outlineLevel="0" collapsed="false">
      <c r="A963" s="114" t="n">
        <f aca="false">ROW()-4</f>
        <v>959</v>
      </c>
      <c r="B963" s="114" t="str">
        <f aca="false">IF(A963&lt;=Config!$E$27*Config!$E$28,"Tema","Avulso")</f>
        <v>Tema</v>
      </c>
      <c r="C963" s="114" t="n">
        <f aca="false">IF(B963="Tema",INT((A963-1)/Config!$E$28)+1,A963-Config!$E$27*Config!$E$28)</f>
        <v>160</v>
      </c>
      <c r="D963" s="114" t="n">
        <f aca="false">IF(B963="Tema",MOD(A963-1,Config!$E$28)+1,"")</f>
        <v>5</v>
      </c>
      <c r="E963" s="115" t="str">
        <f aca="false">IF($B963="Tema",IF(ISNUMBER(INDEX(Temas!$E$6:$P$305,$C963,2*$D963-1)),INDEX(Temas!$E$6:$P$305,$C963,2*$D963-1),""),IF(ISNUMBER(INDEX(Avulsos!$B$6:$B$205,$C963)),INDEX(Avulsos!$B$6:$B$205,$C963),""))</f>
        <v/>
      </c>
      <c r="F963" s="114" t="str">
        <f aca="false">IF($E963="","",IF($B963="Tema",INDEX(Temas!$B$6:$B$305,$C963)&amp;"",INDEX(Avulsos!$C$6:$C$205,$C963)&amp;""))</f>
        <v/>
      </c>
      <c r="G963" s="114" t="str">
        <f aca="false">IF($E963="","",IF($B963="Tema",INDEX(Config!$C$6:$C$11,$D963),"Evento avulso"))</f>
        <v/>
      </c>
      <c r="H963" s="114" t="str">
        <f aca="false">IF($E963="","",IF($B963="Tema",INDEX(Config!$D$6:$D$11,$D963),IFERROR(INDEX(Config!$E$15:$E$19,MATCH($I963,Config!$C$15:$C$19,0)),"•")))</f>
        <v/>
      </c>
      <c r="I963" s="114" t="str">
        <f aca="false">IF($E963="","",IF($B963="Tema",INDEX(Config!$E$6:$E$11,$D963),IF(INDEX(Avulsos!$D$6:$D$205,$C963)&amp;""="","Outro",INDEX(Avulsos!$D$6:$D$205,$C963))))</f>
        <v/>
      </c>
      <c r="J963" s="114" t="str">
        <f aca="false">IF($E963="","",IF($B963="Tema",INDEX(Temas!$C$6:$C$305,$C963)&amp;"",INDEX(Avulsos!$E$6:$E$205,$C963)&amp;""))</f>
        <v/>
      </c>
      <c r="K963" s="114" t="str">
        <f aca="false">IF($E963="","",IF(IF($B963="Tema",INDEX(Temas!$E$6:$P$305,$C963,2*$D963),INDEX(Avulsos!$F$6:$F$205,$C963))&amp;""="","","✓"))</f>
        <v/>
      </c>
      <c r="L963" s="114" t="str">
        <f aca="true">IF($E963="","",IF($K963="✓","Concluído",IF($E963&lt;TODAY(),"Atrasado",IF($E963=TODAY(),"Hoje","Pendente"))))</f>
        <v/>
      </c>
      <c r="M963" s="114" t="str">
        <f aca="false">IF($E963="","",IF($K963="✓","✓ ","")&amp;IF(Config!$E$22="Sim",$H963&amp;" · ","")&amp;$F963)</f>
        <v/>
      </c>
      <c r="N963" s="114" t="str">
        <f aca="false">IF($E963="","",IFERROR(INDEX(Config!$D$15:$D$19,MATCH($I963,Config!$C$15:$C$19,0)),"OUT")&amp;IF($K963="✓","x",""))</f>
        <v/>
      </c>
      <c r="O963" s="114" t="str">
        <f aca="false">IF($E963="","",COUNTIF($E$5:$E963,$E963))</f>
        <v/>
      </c>
      <c r="P963" s="114" t="str">
        <f aca="false">IF($E963="","",$E963*100+$O963)</f>
        <v/>
      </c>
      <c r="Q963" s="114" t="str">
        <f aca="false">IF($L963="Atrasado",$E963*10000+$A963,"")</f>
        <v/>
      </c>
    </row>
    <row r="964" customFormat="false" ht="15" hidden="false" customHeight="false" outlineLevel="0" collapsed="false">
      <c r="A964" s="114" t="n">
        <f aca="false">ROW()-4</f>
        <v>960</v>
      </c>
      <c r="B964" s="114" t="str">
        <f aca="false">IF(A964&lt;=Config!$E$27*Config!$E$28,"Tema","Avulso")</f>
        <v>Tema</v>
      </c>
      <c r="C964" s="114" t="n">
        <f aca="false">IF(B964="Tema",INT((A964-1)/Config!$E$28)+1,A964-Config!$E$27*Config!$E$28)</f>
        <v>160</v>
      </c>
      <c r="D964" s="114" t="n">
        <f aca="false">IF(B964="Tema",MOD(A964-1,Config!$E$28)+1,"")</f>
        <v>6</v>
      </c>
      <c r="E964" s="115" t="str">
        <f aca="false">IF($B964="Tema",IF(ISNUMBER(INDEX(Temas!$E$6:$P$305,$C964,2*$D964-1)),INDEX(Temas!$E$6:$P$305,$C964,2*$D964-1),""),IF(ISNUMBER(INDEX(Avulsos!$B$6:$B$205,$C964)),INDEX(Avulsos!$B$6:$B$205,$C964),""))</f>
        <v/>
      </c>
      <c r="F964" s="114" t="str">
        <f aca="false">IF($E964="","",IF($B964="Tema",INDEX(Temas!$B$6:$B$305,$C964)&amp;"",INDEX(Avulsos!$C$6:$C$205,$C964)&amp;""))</f>
        <v/>
      </c>
      <c r="G964" s="114" t="str">
        <f aca="false">IF($E964="","",IF($B964="Tema",INDEX(Config!$C$6:$C$11,$D964),"Evento avulso"))</f>
        <v/>
      </c>
      <c r="H964" s="114" t="str">
        <f aca="false">IF($E964="","",IF($B964="Tema",INDEX(Config!$D$6:$D$11,$D964),IFERROR(INDEX(Config!$E$15:$E$19,MATCH($I964,Config!$C$15:$C$19,0)),"•")))</f>
        <v/>
      </c>
      <c r="I964" s="114" t="str">
        <f aca="false">IF($E964="","",IF($B964="Tema",INDEX(Config!$E$6:$E$11,$D964),IF(INDEX(Avulsos!$D$6:$D$205,$C964)&amp;""="","Outro",INDEX(Avulsos!$D$6:$D$205,$C964))))</f>
        <v/>
      </c>
      <c r="J964" s="114" t="str">
        <f aca="false">IF($E964="","",IF($B964="Tema",INDEX(Temas!$C$6:$C$305,$C964)&amp;"",INDEX(Avulsos!$E$6:$E$205,$C964)&amp;""))</f>
        <v/>
      </c>
      <c r="K964" s="114" t="str">
        <f aca="false">IF($E964="","",IF(IF($B964="Tema",INDEX(Temas!$E$6:$P$305,$C964,2*$D964),INDEX(Avulsos!$F$6:$F$205,$C964))&amp;""="","","✓"))</f>
        <v/>
      </c>
      <c r="L964" s="114" t="str">
        <f aca="true">IF($E964="","",IF($K964="✓","Concluído",IF($E964&lt;TODAY(),"Atrasado",IF($E964=TODAY(),"Hoje","Pendente"))))</f>
        <v/>
      </c>
      <c r="M964" s="114" t="str">
        <f aca="false">IF($E964="","",IF($K964="✓","✓ ","")&amp;IF(Config!$E$22="Sim",$H964&amp;" · ","")&amp;$F964)</f>
        <v/>
      </c>
      <c r="N964" s="114" t="str">
        <f aca="false">IF($E964="","",IFERROR(INDEX(Config!$D$15:$D$19,MATCH($I964,Config!$C$15:$C$19,0)),"OUT")&amp;IF($K964="✓","x",""))</f>
        <v/>
      </c>
      <c r="O964" s="114" t="str">
        <f aca="false">IF($E964="","",COUNTIF($E$5:$E964,$E964))</f>
        <v/>
      </c>
      <c r="P964" s="114" t="str">
        <f aca="false">IF($E964="","",$E964*100+$O964)</f>
        <v/>
      </c>
      <c r="Q964" s="114" t="str">
        <f aca="false">IF($L964="Atrasado",$E964*10000+$A964,"")</f>
        <v/>
      </c>
    </row>
    <row r="965" customFormat="false" ht="15" hidden="false" customHeight="false" outlineLevel="0" collapsed="false">
      <c r="A965" s="114" t="n">
        <f aca="false">ROW()-4</f>
        <v>961</v>
      </c>
      <c r="B965" s="114" t="str">
        <f aca="false">IF(A965&lt;=Config!$E$27*Config!$E$28,"Tema","Avulso")</f>
        <v>Tema</v>
      </c>
      <c r="C965" s="114" t="n">
        <f aca="false">IF(B965="Tema",INT((A965-1)/Config!$E$28)+1,A965-Config!$E$27*Config!$E$28)</f>
        <v>161</v>
      </c>
      <c r="D965" s="114" t="n">
        <f aca="false">IF(B965="Tema",MOD(A965-1,Config!$E$28)+1,"")</f>
        <v>1</v>
      </c>
      <c r="E965" s="115" t="str">
        <f aca="false">IF($B965="Tema",IF(ISNUMBER(INDEX(Temas!$E$6:$P$305,$C965,2*$D965-1)),INDEX(Temas!$E$6:$P$305,$C965,2*$D965-1),""),IF(ISNUMBER(INDEX(Avulsos!$B$6:$B$205,$C965)),INDEX(Avulsos!$B$6:$B$205,$C965),""))</f>
        <v/>
      </c>
      <c r="F965" s="114" t="str">
        <f aca="false">IF($E965="","",IF($B965="Tema",INDEX(Temas!$B$6:$B$305,$C965)&amp;"",INDEX(Avulsos!$C$6:$C$205,$C965)&amp;""))</f>
        <v/>
      </c>
      <c r="G965" s="114" t="str">
        <f aca="false">IF($E965="","",IF($B965="Tema",INDEX(Config!$C$6:$C$11,$D965),"Evento avulso"))</f>
        <v/>
      </c>
      <c r="H965" s="114" t="str">
        <f aca="false">IF($E965="","",IF($B965="Tema",INDEX(Config!$D$6:$D$11,$D965),IFERROR(INDEX(Config!$E$15:$E$19,MATCH($I965,Config!$C$15:$C$19,0)),"•")))</f>
        <v/>
      </c>
      <c r="I965" s="114" t="str">
        <f aca="false">IF($E965="","",IF($B965="Tema",INDEX(Config!$E$6:$E$11,$D965),IF(INDEX(Avulsos!$D$6:$D$205,$C965)&amp;""="","Outro",INDEX(Avulsos!$D$6:$D$205,$C965))))</f>
        <v/>
      </c>
      <c r="J965" s="114" t="str">
        <f aca="false">IF($E965="","",IF($B965="Tema",INDEX(Temas!$C$6:$C$305,$C965)&amp;"",INDEX(Avulsos!$E$6:$E$205,$C965)&amp;""))</f>
        <v/>
      </c>
      <c r="K965" s="114" t="str">
        <f aca="false">IF($E965="","",IF(IF($B965="Tema",INDEX(Temas!$E$6:$P$305,$C965,2*$D965),INDEX(Avulsos!$F$6:$F$205,$C965))&amp;""="","","✓"))</f>
        <v/>
      </c>
      <c r="L965" s="114" t="str">
        <f aca="true">IF($E965="","",IF($K965="✓","Concluído",IF($E965&lt;TODAY(),"Atrasado",IF($E965=TODAY(),"Hoje","Pendente"))))</f>
        <v/>
      </c>
      <c r="M965" s="114" t="str">
        <f aca="false">IF($E965="","",IF($K965="✓","✓ ","")&amp;IF(Config!$E$22="Sim",$H965&amp;" · ","")&amp;$F965)</f>
        <v/>
      </c>
      <c r="N965" s="114" t="str">
        <f aca="false">IF($E965="","",IFERROR(INDEX(Config!$D$15:$D$19,MATCH($I965,Config!$C$15:$C$19,0)),"OUT")&amp;IF($K965="✓","x",""))</f>
        <v/>
      </c>
      <c r="O965" s="114" t="str">
        <f aca="false">IF($E965="","",COUNTIF($E$5:$E965,$E965))</f>
        <v/>
      </c>
      <c r="P965" s="114" t="str">
        <f aca="false">IF($E965="","",$E965*100+$O965)</f>
        <v/>
      </c>
      <c r="Q965" s="114" t="str">
        <f aca="false">IF($L965="Atrasado",$E965*10000+$A965,"")</f>
        <v/>
      </c>
    </row>
    <row r="966" customFormat="false" ht="15" hidden="false" customHeight="false" outlineLevel="0" collapsed="false">
      <c r="A966" s="114" t="n">
        <f aca="false">ROW()-4</f>
        <v>962</v>
      </c>
      <c r="B966" s="114" t="str">
        <f aca="false">IF(A966&lt;=Config!$E$27*Config!$E$28,"Tema","Avulso")</f>
        <v>Tema</v>
      </c>
      <c r="C966" s="114" t="n">
        <f aca="false">IF(B966="Tema",INT((A966-1)/Config!$E$28)+1,A966-Config!$E$27*Config!$E$28)</f>
        <v>161</v>
      </c>
      <c r="D966" s="114" t="n">
        <f aca="false">IF(B966="Tema",MOD(A966-1,Config!$E$28)+1,"")</f>
        <v>2</v>
      </c>
      <c r="E966" s="115" t="str">
        <f aca="false">IF($B966="Tema",IF(ISNUMBER(INDEX(Temas!$E$6:$P$305,$C966,2*$D966-1)),INDEX(Temas!$E$6:$P$305,$C966,2*$D966-1),""),IF(ISNUMBER(INDEX(Avulsos!$B$6:$B$205,$C966)),INDEX(Avulsos!$B$6:$B$205,$C966),""))</f>
        <v/>
      </c>
      <c r="F966" s="114" t="str">
        <f aca="false">IF($E966="","",IF($B966="Tema",INDEX(Temas!$B$6:$B$305,$C966)&amp;"",INDEX(Avulsos!$C$6:$C$205,$C966)&amp;""))</f>
        <v/>
      </c>
      <c r="G966" s="114" t="str">
        <f aca="false">IF($E966="","",IF($B966="Tema",INDEX(Config!$C$6:$C$11,$D966),"Evento avulso"))</f>
        <v/>
      </c>
      <c r="H966" s="114" t="str">
        <f aca="false">IF($E966="","",IF($B966="Tema",INDEX(Config!$D$6:$D$11,$D966),IFERROR(INDEX(Config!$E$15:$E$19,MATCH($I966,Config!$C$15:$C$19,0)),"•")))</f>
        <v/>
      </c>
      <c r="I966" s="114" t="str">
        <f aca="false">IF($E966="","",IF($B966="Tema",INDEX(Config!$E$6:$E$11,$D966),IF(INDEX(Avulsos!$D$6:$D$205,$C966)&amp;""="","Outro",INDEX(Avulsos!$D$6:$D$205,$C966))))</f>
        <v/>
      </c>
      <c r="J966" s="114" t="str">
        <f aca="false">IF($E966="","",IF($B966="Tema",INDEX(Temas!$C$6:$C$305,$C966)&amp;"",INDEX(Avulsos!$E$6:$E$205,$C966)&amp;""))</f>
        <v/>
      </c>
      <c r="K966" s="114" t="str">
        <f aca="false">IF($E966="","",IF(IF($B966="Tema",INDEX(Temas!$E$6:$P$305,$C966,2*$D966),INDEX(Avulsos!$F$6:$F$205,$C966))&amp;""="","","✓"))</f>
        <v/>
      </c>
      <c r="L966" s="114" t="str">
        <f aca="true">IF($E966="","",IF($K966="✓","Concluído",IF($E966&lt;TODAY(),"Atrasado",IF($E966=TODAY(),"Hoje","Pendente"))))</f>
        <v/>
      </c>
      <c r="M966" s="114" t="str">
        <f aca="false">IF($E966="","",IF($K966="✓","✓ ","")&amp;IF(Config!$E$22="Sim",$H966&amp;" · ","")&amp;$F966)</f>
        <v/>
      </c>
      <c r="N966" s="114" t="str">
        <f aca="false">IF($E966="","",IFERROR(INDEX(Config!$D$15:$D$19,MATCH($I966,Config!$C$15:$C$19,0)),"OUT")&amp;IF($K966="✓","x",""))</f>
        <v/>
      </c>
      <c r="O966" s="114" t="str">
        <f aca="false">IF($E966="","",COUNTIF($E$5:$E966,$E966))</f>
        <v/>
      </c>
      <c r="P966" s="114" t="str">
        <f aca="false">IF($E966="","",$E966*100+$O966)</f>
        <v/>
      </c>
      <c r="Q966" s="114" t="str">
        <f aca="false">IF($L966="Atrasado",$E966*10000+$A966,"")</f>
        <v/>
      </c>
    </row>
    <row r="967" customFormat="false" ht="15" hidden="false" customHeight="false" outlineLevel="0" collapsed="false">
      <c r="A967" s="114" t="n">
        <f aca="false">ROW()-4</f>
        <v>963</v>
      </c>
      <c r="B967" s="114" t="str">
        <f aca="false">IF(A967&lt;=Config!$E$27*Config!$E$28,"Tema","Avulso")</f>
        <v>Tema</v>
      </c>
      <c r="C967" s="114" t="n">
        <f aca="false">IF(B967="Tema",INT((A967-1)/Config!$E$28)+1,A967-Config!$E$27*Config!$E$28)</f>
        <v>161</v>
      </c>
      <c r="D967" s="114" t="n">
        <f aca="false">IF(B967="Tema",MOD(A967-1,Config!$E$28)+1,"")</f>
        <v>3</v>
      </c>
      <c r="E967" s="115" t="str">
        <f aca="false">IF($B967="Tema",IF(ISNUMBER(INDEX(Temas!$E$6:$P$305,$C967,2*$D967-1)),INDEX(Temas!$E$6:$P$305,$C967,2*$D967-1),""),IF(ISNUMBER(INDEX(Avulsos!$B$6:$B$205,$C967)),INDEX(Avulsos!$B$6:$B$205,$C967),""))</f>
        <v/>
      </c>
      <c r="F967" s="114" t="str">
        <f aca="false">IF($E967="","",IF($B967="Tema",INDEX(Temas!$B$6:$B$305,$C967)&amp;"",INDEX(Avulsos!$C$6:$C$205,$C967)&amp;""))</f>
        <v/>
      </c>
      <c r="G967" s="114" t="str">
        <f aca="false">IF($E967="","",IF($B967="Tema",INDEX(Config!$C$6:$C$11,$D967),"Evento avulso"))</f>
        <v/>
      </c>
      <c r="H967" s="114" t="str">
        <f aca="false">IF($E967="","",IF($B967="Tema",INDEX(Config!$D$6:$D$11,$D967),IFERROR(INDEX(Config!$E$15:$E$19,MATCH($I967,Config!$C$15:$C$19,0)),"•")))</f>
        <v/>
      </c>
      <c r="I967" s="114" t="str">
        <f aca="false">IF($E967="","",IF($B967="Tema",INDEX(Config!$E$6:$E$11,$D967),IF(INDEX(Avulsos!$D$6:$D$205,$C967)&amp;""="","Outro",INDEX(Avulsos!$D$6:$D$205,$C967))))</f>
        <v/>
      </c>
      <c r="J967" s="114" t="str">
        <f aca="false">IF($E967="","",IF($B967="Tema",INDEX(Temas!$C$6:$C$305,$C967)&amp;"",INDEX(Avulsos!$E$6:$E$205,$C967)&amp;""))</f>
        <v/>
      </c>
      <c r="K967" s="114" t="str">
        <f aca="false">IF($E967="","",IF(IF($B967="Tema",INDEX(Temas!$E$6:$P$305,$C967,2*$D967),INDEX(Avulsos!$F$6:$F$205,$C967))&amp;""="","","✓"))</f>
        <v/>
      </c>
      <c r="L967" s="114" t="str">
        <f aca="true">IF($E967="","",IF($K967="✓","Concluído",IF($E967&lt;TODAY(),"Atrasado",IF($E967=TODAY(),"Hoje","Pendente"))))</f>
        <v/>
      </c>
      <c r="M967" s="114" t="str">
        <f aca="false">IF($E967="","",IF($K967="✓","✓ ","")&amp;IF(Config!$E$22="Sim",$H967&amp;" · ","")&amp;$F967)</f>
        <v/>
      </c>
      <c r="N967" s="114" t="str">
        <f aca="false">IF($E967="","",IFERROR(INDEX(Config!$D$15:$D$19,MATCH($I967,Config!$C$15:$C$19,0)),"OUT")&amp;IF($K967="✓","x",""))</f>
        <v/>
      </c>
      <c r="O967" s="114" t="str">
        <f aca="false">IF($E967="","",COUNTIF($E$5:$E967,$E967))</f>
        <v/>
      </c>
      <c r="P967" s="114" t="str">
        <f aca="false">IF($E967="","",$E967*100+$O967)</f>
        <v/>
      </c>
      <c r="Q967" s="114" t="str">
        <f aca="false">IF($L967="Atrasado",$E967*10000+$A967,"")</f>
        <v/>
      </c>
    </row>
    <row r="968" customFormat="false" ht="15" hidden="false" customHeight="false" outlineLevel="0" collapsed="false">
      <c r="A968" s="114" t="n">
        <f aca="false">ROW()-4</f>
        <v>964</v>
      </c>
      <c r="B968" s="114" t="str">
        <f aca="false">IF(A968&lt;=Config!$E$27*Config!$E$28,"Tema","Avulso")</f>
        <v>Tema</v>
      </c>
      <c r="C968" s="114" t="n">
        <f aca="false">IF(B968="Tema",INT((A968-1)/Config!$E$28)+1,A968-Config!$E$27*Config!$E$28)</f>
        <v>161</v>
      </c>
      <c r="D968" s="114" t="n">
        <f aca="false">IF(B968="Tema",MOD(A968-1,Config!$E$28)+1,"")</f>
        <v>4</v>
      </c>
      <c r="E968" s="115" t="str">
        <f aca="false">IF($B968="Tema",IF(ISNUMBER(INDEX(Temas!$E$6:$P$305,$C968,2*$D968-1)),INDEX(Temas!$E$6:$P$305,$C968,2*$D968-1),""),IF(ISNUMBER(INDEX(Avulsos!$B$6:$B$205,$C968)),INDEX(Avulsos!$B$6:$B$205,$C968),""))</f>
        <v/>
      </c>
      <c r="F968" s="114" t="str">
        <f aca="false">IF($E968="","",IF($B968="Tema",INDEX(Temas!$B$6:$B$305,$C968)&amp;"",INDEX(Avulsos!$C$6:$C$205,$C968)&amp;""))</f>
        <v/>
      </c>
      <c r="G968" s="114" t="str">
        <f aca="false">IF($E968="","",IF($B968="Tema",INDEX(Config!$C$6:$C$11,$D968),"Evento avulso"))</f>
        <v/>
      </c>
      <c r="H968" s="114" t="str">
        <f aca="false">IF($E968="","",IF($B968="Tema",INDEX(Config!$D$6:$D$11,$D968),IFERROR(INDEX(Config!$E$15:$E$19,MATCH($I968,Config!$C$15:$C$19,0)),"•")))</f>
        <v/>
      </c>
      <c r="I968" s="114" t="str">
        <f aca="false">IF($E968="","",IF($B968="Tema",INDEX(Config!$E$6:$E$11,$D968),IF(INDEX(Avulsos!$D$6:$D$205,$C968)&amp;""="","Outro",INDEX(Avulsos!$D$6:$D$205,$C968))))</f>
        <v/>
      </c>
      <c r="J968" s="114" t="str">
        <f aca="false">IF($E968="","",IF($B968="Tema",INDEX(Temas!$C$6:$C$305,$C968)&amp;"",INDEX(Avulsos!$E$6:$E$205,$C968)&amp;""))</f>
        <v/>
      </c>
      <c r="K968" s="114" t="str">
        <f aca="false">IF($E968="","",IF(IF($B968="Tema",INDEX(Temas!$E$6:$P$305,$C968,2*$D968),INDEX(Avulsos!$F$6:$F$205,$C968))&amp;""="","","✓"))</f>
        <v/>
      </c>
      <c r="L968" s="114" t="str">
        <f aca="true">IF($E968="","",IF($K968="✓","Concluído",IF($E968&lt;TODAY(),"Atrasado",IF($E968=TODAY(),"Hoje","Pendente"))))</f>
        <v/>
      </c>
      <c r="M968" s="114" t="str">
        <f aca="false">IF($E968="","",IF($K968="✓","✓ ","")&amp;IF(Config!$E$22="Sim",$H968&amp;" · ","")&amp;$F968)</f>
        <v/>
      </c>
      <c r="N968" s="114" t="str">
        <f aca="false">IF($E968="","",IFERROR(INDEX(Config!$D$15:$D$19,MATCH($I968,Config!$C$15:$C$19,0)),"OUT")&amp;IF($K968="✓","x",""))</f>
        <v/>
      </c>
      <c r="O968" s="114" t="str">
        <f aca="false">IF($E968="","",COUNTIF($E$5:$E968,$E968))</f>
        <v/>
      </c>
      <c r="P968" s="114" t="str">
        <f aca="false">IF($E968="","",$E968*100+$O968)</f>
        <v/>
      </c>
      <c r="Q968" s="114" t="str">
        <f aca="false">IF($L968="Atrasado",$E968*10000+$A968,"")</f>
        <v/>
      </c>
    </row>
    <row r="969" customFormat="false" ht="15" hidden="false" customHeight="false" outlineLevel="0" collapsed="false">
      <c r="A969" s="114" t="n">
        <f aca="false">ROW()-4</f>
        <v>965</v>
      </c>
      <c r="B969" s="114" t="str">
        <f aca="false">IF(A969&lt;=Config!$E$27*Config!$E$28,"Tema","Avulso")</f>
        <v>Tema</v>
      </c>
      <c r="C969" s="114" t="n">
        <f aca="false">IF(B969="Tema",INT((A969-1)/Config!$E$28)+1,A969-Config!$E$27*Config!$E$28)</f>
        <v>161</v>
      </c>
      <c r="D969" s="114" t="n">
        <f aca="false">IF(B969="Tema",MOD(A969-1,Config!$E$28)+1,"")</f>
        <v>5</v>
      </c>
      <c r="E969" s="115" t="str">
        <f aca="false">IF($B969="Tema",IF(ISNUMBER(INDEX(Temas!$E$6:$P$305,$C969,2*$D969-1)),INDEX(Temas!$E$6:$P$305,$C969,2*$D969-1),""),IF(ISNUMBER(INDEX(Avulsos!$B$6:$B$205,$C969)),INDEX(Avulsos!$B$6:$B$205,$C969),""))</f>
        <v/>
      </c>
      <c r="F969" s="114" t="str">
        <f aca="false">IF($E969="","",IF($B969="Tema",INDEX(Temas!$B$6:$B$305,$C969)&amp;"",INDEX(Avulsos!$C$6:$C$205,$C969)&amp;""))</f>
        <v/>
      </c>
      <c r="G969" s="114" t="str">
        <f aca="false">IF($E969="","",IF($B969="Tema",INDEX(Config!$C$6:$C$11,$D969),"Evento avulso"))</f>
        <v/>
      </c>
      <c r="H969" s="114" t="str">
        <f aca="false">IF($E969="","",IF($B969="Tema",INDEX(Config!$D$6:$D$11,$D969),IFERROR(INDEX(Config!$E$15:$E$19,MATCH($I969,Config!$C$15:$C$19,0)),"•")))</f>
        <v/>
      </c>
      <c r="I969" s="114" t="str">
        <f aca="false">IF($E969="","",IF($B969="Tema",INDEX(Config!$E$6:$E$11,$D969),IF(INDEX(Avulsos!$D$6:$D$205,$C969)&amp;""="","Outro",INDEX(Avulsos!$D$6:$D$205,$C969))))</f>
        <v/>
      </c>
      <c r="J969" s="114" t="str">
        <f aca="false">IF($E969="","",IF($B969="Tema",INDEX(Temas!$C$6:$C$305,$C969)&amp;"",INDEX(Avulsos!$E$6:$E$205,$C969)&amp;""))</f>
        <v/>
      </c>
      <c r="K969" s="114" t="str">
        <f aca="false">IF($E969="","",IF(IF($B969="Tema",INDEX(Temas!$E$6:$P$305,$C969,2*$D969),INDEX(Avulsos!$F$6:$F$205,$C969))&amp;""="","","✓"))</f>
        <v/>
      </c>
      <c r="L969" s="114" t="str">
        <f aca="true">IF($E969="","",IF($K969="✓","Concluído",IF($E969&lt;TODAY(),"Atrasado",IF($E969=TODAY(),"Hoje","Pendente"))))</f>
        <v/>
      </c>
      <c r="M969" s="114" t="str">
        <f aca="false">IF($E969="","",IF($K969="✓","✓ ","")&amp;IF(Config!$E$22="Sim",$H969&amp;" · ","")&amp;$F969)</f>
        <v/>
      </c>
      <c r="N969" s="114" t="str">
        <f aca="false">IF($E969="","",IFERROR(INDEX(Config!$D$15:$D$19,MATCH($I969,Config!$C$15:$C$19,0)),"OUT")&amp;IF($K969="✓","x",""))</f>
        <v/>
      </c>
      <c r="O969" s="114" t="str">
        <f aca="false">IF($E969="","",COUNTIF($E$5:$E969,$E969))</f>
        <v/>
      </c>
      <c r="P969" s="114" t="str">
        <f aca="false">IF($E969="","",$E969*100+$O969)</f>
        <v/>
      </c>
      <c r="Q969" s="114" t="str">
        <f aca="false">IF($L969="Atrasado",$E969*10000+$A969,"")</f>
        <v/>
      </c>
    </row>
    <row r="970" customFormat="false" ht="15" hidden="false" customHeight="false" outlineLevel="0" collapsed="false">
      <c r="A970" s="114" t="n">
        <f aca="false">ROW()-4</f>
        <v>966</v>
      </c>
      <c r="B970" s="114" t="str">
        <f aca="false">IF(A970&lt;=Config!$E$27*Config!$E$28,"Tema","Avulso")</f>
        <v>Tema</v>
      </c>
      <c r="C970" s="114" t="n">
        <f aca="false">IF(B970="Tema",INT((A970-1)/Config!$E$28)+1,A970-Config!$E$27*Config!$E$28)</f>
        <v>161</v>
      </c>
      <c r="D970" s="114" t="n">
        <f aca="false">IF(B970="Tema",MOD(A970-1,Config!$E$28)+1,"")</f>
        <v>6</v>
      </c>
      <c r="E970" s="115" t="str">
        <f aca="false">IF($B970="Tema",IF(ISNUMBER(INDEX(Temas!$E$6:$P$305,$C970,2*$D970-1)),INDEX(Temas!$E$6:$P$305,$C970,2*$D970-1),""),IF(ISNUMBER(INDEX(Avulsos!$B$6:$B$205,$C970)),INDEX(Avulsos!$B$6:$B$205,$C970),""))</f>
        <v/>
      </c>
      <c r="F970" s="114" t="str">
        <f aca="false">IF($E970="","",IF($B970="Tema",INDEX(Temas!$B$6:$B$305,$C970)&amp;"",INDEX(Avulsos!$C$6:$C$205,$C970)&amp;""))</f>
        <v/>
      </c>
      <c r="G970" s="114" t="str">
        <f aca="false">IF($E970="","",IF($B970="Tema",INDEX(Config!$C$6:$C$11,$D970),"Evento avulso"))</f>
        <v/>
      </c>
      <c r="H970" s="114" t="str">
        <f aca="false">IF($E970="","",IF($B970="Tema",INDEX(Config!$D$6:$D$11,$D970),IFERROR(INDEX(Config!$E$15:$E$19,MATCH($I970,Config!$C$15:$C$19,0)),"•")))</f>
        <v/>
      </c>
      <c r="I970" s="114" t="str">
        <f aca="false">IF($E970="","",IF($B970="Tema",INDEX(Config!$E$6:$E$11,$D970),IF(INDEX(Avulsos!$D$6:$D$205,$C970)&amp;""="","Outro",INDEX(Avulsos!$D$6:$D$205,$C970))))</f>
        <v/>
      </c>
      <c r="J970" s="114" t="str">
        <f aca="false">IF($E970="","",IF($B970="Tema",INDEX(Temas!$C$6:$C$305,$C970)&amp;"",INDEX(Avulsos!$E$6:$E$205,$C970)&amp;""))</f>
        <v/>
      </c>
      <c r="K970" s="114" t="str">
        <f aca="false">IF($E970="","",IF(IF($B970="Tema",INDEX(Temas!$E$6:$P$305,$C970,2*$D970),INDEX(Avulsos!$F$6:$F$205,$C970))&amp;""="","","✓"))</f>
        <v/>
      </c>
      <c r="L970" s="114" t="str">
        <f aca="true">IF($E970="","",IF($K970="✓","Concluído",IF($E970&lt;TODAY(),"Atrasado",IF($E970=TODAY(),"Hoje","Pendente"))))</f>
        <v/>
      </c>
      <c r="M970" s="114" t="str">
        <f aca="false">IF($E970="","",IF($K970="✓","✓ ","")&amp;IF(Config!$E$22="Sim",$H970&amp;" · ","")&amp;$F970)</f>
        <v/>
      </c>
      <c r="N970" s="114" t="str">
        <f aca="false">IF($E970="","",IFERROR(INDEX(Config!$D$15:$D$19,MATCH($I970,Config!$C$15:$C$19,0)),"OUT")&amp;IF($K970="✓","x",""))</f>
        <v/>
      </c>
      <c r="O970" s="114" t="str">
        <f aca="false">IF($E970="","",COUNTIF($E$5:$E970,$E970))</f>
        <v/>
      </c>
      <c r="P970" s="114" t="str">
        <f aca="false">IF($E970="","",$E970*100+$O970)</f>
        <v/>
      </c>
      <c r="Q970" s="114" t="str">
        <f aca="false">IF($L970="Atrasado",$E970*10000+$A970,"")</f>
        <v/>
      </c>
    </row>
    <row r="971" customFormat="false" ht="15" hidden="false" customHeight="false" outlineLevel="0" collapsed="false">
      <c r="A971" s="114" t="n">
        <f aca="false">ROW()-4</f>
        <v>967</v>
      </c>
      <c r="B971" s="114" t="str">
        <f aca="false">IF(A971&lt;=Config!$E$27*Config!$E$28,"Tema","Avulso")</f>
        <v>Tema</v>
      </c>
      <c r="C971" s="114" t="n">
        <f aca="false">IF(B971="Tema",INT((A971-1)/Config!$E$28)+1,A971-Config!$E$27*Config!$E$28)</f>
        <v>162</v>
      </c>
      <c r="D971" s="114" t="n">
        <f aca="false">IF(B971="Tema",MOD(A971-1,Config!$E$28)+1,"")</f>
        <v>1</v>
      </c>
      <c r="E971" s="115" t="str">
        <f aca="false">IF($B971="Tema",IF(ISNUMBER(INDEX(Temas!$E$6:$P$305,$C971,2*$D971-1)),INDEX(Temas!$E$6:$P$305,$C971,2*$D971-1),""),IF(ISNUMBER(INDEX(Avulsos!$B$6:$B$205,$C971)),INDEX(Avulsos!$B$6:$B$205,$C971),""))</f>
        <v/>
      </c>
      <c r="F971" s="114" t="str">
        <f aca="false">IF($E971="","",IF($B971="Tema",INDEX(Temas!$B$6:$B$305,$C971)&amp;"",INDEX(Avulsos!$C$6:$C$205,$C971)&amp;""))</f>
        <v/>
      </c>
      <c r="G971" s="114" t="str">
        <f aca="false">IF($E971="","",IF($B971="Tema",INDEX(Config!$C$6:$C$11,$D971),"Evento avulso"))</f>
        <v/>
      </c>
      <c r="H971" s="114" t="str">
        <f aca="false">IF($E971="","",IF($B971="Tema",INDEX(Config!$D$6:$D$11,$D971),IFERROR(INDEX(Config!$E$15:$E$19,MATCH($I971,Config!$C$15:$C$19,0)),"•")))</f>
        <v/>
      </c>
      <c r="I971" s="114" t="str">
        <f aca="false">IF($E971="","",IF($B971="Tema",INDEX(Config!$E$6:$E$11,$D971),IF(INDEX(Avulsos!$D$6:$D$205,$C971)&amp;""="","Outro",INDEX(Avulsos!$D$6:$D$205,$C971))))</f>
        <v/>
      </c>
      <c r="J971" s="114" t="str">
        <f aca="false">IF($E971="","",IF($B971="Tema",INDEX(Temas!$C$6:$C$305,$C971)&amp;"",INDEX(Avulsos!$E$6:$E$205,$C971)&amp;""))</f>
        <v/>
      </c>
      <c r="K971" s="114" t="str">
        <f aca="false">IF($E971="","",IF(IF($B971="Tema",INDEX(Temas!$E$6:$P$305,$C971,2*$D971),INDEX(Avulsos!$F$6:$F$205,$C971))&amp;""="","","✓"))</f>
        <v/>
      </c>
      <c r="L971" s="114" t="str">
        <f aca="true">IF($E971="","",IF($K971="✓","Concluído",IF($E971&lt;TODAY(),"Atrasado",IF($E971=TODAY(),"Hoje","Pendente"))))</f>
        <v/>
      </c>
      <c r="M971" s="114" t="str">
        <f aca="false">IF($E971="","",IF($K971="✓","✓ ","")&amp;IF(Config!$E$22="Sim",$H971&amp;" · ","")&amp;$F971)</f>
        <v/>
      </c>
      <c r="N971" s="114" t="str">
        <f aca="false">IF($E971="","",IFERROR(INDEX(Config!$D$15:$D$19,MATCH($I971,Config!$C$15:$C$19,0)),"OUT")&amp;IF($K971="✓","x",""))</f>
        <v/>
      </c>
      <c r="O971" s="114" t="str">
        <f aca="false">IF($E971="","",COUNTIF($E$5:$E971,$E971))</f>
        <v/>
      </c>
      <c r="P971" s="114" t="str">
        <f aca="false">IF($E971="","",$E971*100+$O971)</f>
        <v/>
      </c>
      <c r="Q971" s="114" t="str">
        <f aca="false">IF($L971="Atrasado",$E971*10000+$A971,"")</f>
        <v/>
      </c>
    </row>
    <row r="972" customFormat="false" ht="15" hidden="false" customHeight="false" outlineLevel="0" collapsed="false">
      <c r="A972" s="114" t="n">
        <f aca="false">ROW()-4</f>
        <v>968</v>
      </c>
      <c r="B972" s="114" t="str">
        <f aca="false">IF(A972&lt;=Config!$E$27*Config!$E$28,"Tema","Avulso")</f>
        <v>Tema</v>
      </c>
      <c r="C972" s="114" t="n">
        <f aca="false">IF(B972="Tema",INT((A972-1)/Config!$E$28)+1,A972-Config!$E$27*Config!$E$28)</f>
        <v>162</v>
      </c>
      <c r="D972" s="114" t="n">
        <f aca="false">IF(B972="Tema",MOD(A972-1,Config!$E$28)+1,"")</f>
        <v>2</v>
      </c>
      <c r="E972" s="115" t="str">
        <f aca="false">IF($B972="Tema",IF(ISNUMBER(INDEX(Temas!$E$6:$P$305,$C972,2*$D972-1)),INDEX(Temas!$E$6:$P$305,$C972,2*$D972-1),""),IF(ISNUMBER(INDEX(Avulsos!$B$6:$B$205,$C972)),INDEX(Avulsos!$B$6:$B$205,$C972),""))</f>
        <v/>
      </c>
      <c r="F972" s="114" t="str">
        <f aca="false">IF($E972="","",IF($B972="Tema",INDEX(Temas!$B$6:$B$305,$C972)&amp;"",INDEX(Avulsos!$C$6:$C$205,$C972)&amp;""))</f>
        <v/>
      </c>
      <c r="G972" s="114" t="str">
        <f aca="false">IF($E972="","",IF($B972="Tema",INDEX(Config!$C$6:$C$11,$D972),"Evento avulso"))</f>
        <v/>
      </c>
      <c r="H972" s="114" t="str">
        <f aca="false">IF($E972="","",IF($B972="Tema",INDEX(Config!$D$6:$D$11,$D972),IFERROR(INDEX(Config!$E$15:$E$19,MATCH($I972,Config!$C$15:$C$19,0)),"•")))</f>
        <v/>
      </c>
      <c r="I972" s="114" t="str">
        <f aca="false">IF($E972="","",IF($B972="Tema",INDEX(Config!$E$6:$E$11,$D972),IF(INDEX(Avulsos!$D$6:$D$205,$C972)&amp;""="","Outro",INDEX(Avulsos!$D$6:$D$205,$C972))))</f>
        <v/>
      </c>
      <c r="J972" s="114" t="str">
        <f aca="false">IF($E972="","",IF($B972="Tema",INDEX(Temas!$C$6:$C$305,$C972)&amp;"",INDEX(Avulsos!$E$6:$E$205,$C972)&amp;""))</f>
        <v/>
      </c>
      <c r="K972" s="114" t="str">
        <f aca="false">IF($E972="","",IF(IF($B972="Tema",INDEX(Temas!$E$6:$P$305,$C972,2*$D972),INDEX(Avulsos!$F$6:$F$205,$C972))&amp;""="","","✓"))</f>
        <v/>
      </c>
      <c r="L972" s="114" t="str">
        <f aca="true">IF($E972="","",IF($K972="✓","Concluído",IF($E972&lt;TODAY(),"Atrasado",IF($E972=TODAY(),"Hoje","Pendente"))))</f>
        <v/>
      </c>
      <c r="M972" s="114" t="str">
        <f aca="false">IF($E972="","",IF($K972="✓","✓ ","")&amp;IF(Config!$E$22="Sim",$H972&amp;" · ","")&amp;$F972)</f>
        <v/>
      </c>
      <c r="N972" s="114" t="str">
        <f aca="false">IF($E972="","",IFERROR(INDEX(Config!$D$15:$D$19,MATCH($I972,Config!$C$15:$C$19,0)),"OUT")&amp;IF($K972="✓","x",""))</f>
        <v/>
      </c>
      <c r="O972" s="114" t="str">
        <f aca="false">IF($E972="","",COUNTIF($E$5:$E972,$E972))</f>
        <v/>
      </c>
      <c r="P972" s="114" t="str">
        <f aca="false">IF($E972="","",$E972*100+$O972)</f>
        <v/>
      </c>
      <c r="Q972" s="114" t="str">
        <f aca="false">IF($L972="Atrasado",$E972*10000+$A972,"")</f>
        <v/>
      </c>
    </row>
    <row r="973" customFormat="false" ht="15" hidden="false" customHeight="false" outlineLevel="0" collapsed="false">
      <c r="A973" s="114" t="n">
        <f aca="false">ROW()-4</f>
        <v>969</v>
      </c>
      <c r="B973" s="114" t="str">
        <f aca="false">IF(A973&lt;=Config!$E$27*Config!$E$28,"Tema","Avulso")</f>
        <v>Tema</v>
      </c>
      <c r="C973" s="114" t="n">
        <f aca="false">IF(B973="Tema",INT((A973-1)/Config!$E$28)+1,A973-Config!$E$27*Config!$E$28)</f>
        <v>162</v>
      </c>
      <c r="D973" s="114" t="n">
        <f aca="false">IF(B973="Tema",MOD(A973-1,Config!$E$28)+1,"")</f>
        <v>3</v>
      </c>
      <c r="E973" s="115" t="str">
        <f aca="false">IF($B973="Tema",IF(ISNUMBER(INDEX(Temas!$E$6:$P$305,$C973,2*$D973-1)),INDEX(Temas!$E$6:$P$305,$C973,2*$D973-1),""),IF(ISNUMBER(INDEX(Avulsos!$B$6:$B$205,$C973)),INDEX(Avulsos!$B$6:$B$205,$C973),""))</f>
        <v/>
      </c>
      <c r="F973" s="114" t="str">
        <f aca="false">IF($E973="","",IF($B973="Tema",INDEX(Temas!$B$6:$B$305,$C973)&amp;"",INDEX(Avulsos!$C$6:$C$205,$C973)&amp;""))</f>
        <v/>
      </c>
      <c r="G973" s="114" t="str">
        <f aca="false">IF($E973="","",IF($B973="Tema",INDEX(Config!$C$6:$C$11,$D973),"Evento avulso"))</f>
        <v/>
      </c>
      <c r="H973" s="114" t="str">
        <f aca="false">IF($E973="","",IF($B973="Tema",INDEX(Config!$D$6:$D$11,$D973),IFERROR(INDEX(Config!$E$15:$E$19,MATCH($I973,Config!$C$15:$C$19,0)),"•")))</f>
        <v/>
      </c>
      <c r="I973" s="114" t="str">
        <f aca="false">IF($E973="","",IF($B973="Tema",INDEX(Config!$E$6:$E$11,$D973),IF(INDEX(Avulsos!$D$6:$D$205,$C973)&amp;""="","Outro",INDEX(Avulsos!$D$6:$D$205,$C973))))</f>
        <v/>
      </c>
      <c r="J973" s="114" t="str">
        <f aca="false">IF($E973="","",IF($B973="Tema",INDEX(Temas!$C$6:$C$305,$C973)&amp;"",INDEX(Avulsos!$E$6:$E$205,$C973)&amp;""))</f>
        <v/>
      </c>
      <c r="K973" s="114" t="str">
        <f aca="false">IF($E973="","",IF(IF($B973="Tema",INDEX(Temas!$E$6:$P$305,$C973,2*$D973),INDEX(Avulsos!$F$6:$F$205,$C973))&amp;""="","","✓"))</f>
        <v/>
      </c>
      <c r="L973" s="114" t="str">
        <f aca="true">IF($E973="","",IF($K973="✓","Concluído",IF($E973&lt;TODAY(),"Atrasado",IF($E973=TODAY(),"Hoje","Pendente"))))</f>
        <v/>
      </c>
      <c r="M973" s="114" t="str">
        <f aca="false">IF($E973="","",IF($K973="✓","✓ ","")&amp;IF(Config!$E$22="Sim",$H973&amp;" · ","")&amp;$F973)</f>
        <v/>
      </c>
      <c r="N973" s="114" t="str">
        <f aca="false">IF($E973="","",IFERROR(INDEX(Config!$D$15:$D$19,MATCH($I973,Config!$C$15:$C$19,0)),"OUT")&amp;IF($K973="✓","x",""))</f>
        <v/>
      </c>
      <c r="O973" s="114" t="str">
        <f aca="false">IF($E973="","",COUNTIF($E$5:$E973,$E973))</f>
        <v/>
      </c>
      <c r="P973" s="114" t="str">
        <f aca="false">IF($E973="","",$E973*100+$O973)</f>
        <v/>
      </c>
      <c r="Q973" s="114" t="str">
        <f aca="false">IF($L973="Atrasado",$E973*10000+$A973,"")</f>
        <v/>
      </c>
    </row>
    <row r="974" customFormat="false" ht="15" hidden="false" customHeight="false" outlineLevel="0" collapsed="false">
      <c r="A974" s="114" t="n">
        <f aca="false">ROW()-4</f>
        <v>970</v>
      </c>
      <c r="B974" s="114" t="str">
        <f aca="false">IF(A974&lt;=Config!$E$27*Config!$E$28,"Tema","Avulso")</f>
        <v>Tema</v>
      </c>
      <c r="C974" s="114" t="n">
        <f aca="false">IF(B974="Tema",INT((A974-1)/Config!$E$28)+1,A974-Config!$E$27*Config!$E$28)</f>
        <v>162</v>
      </c>
      <c r="D974" s="114" t="n">
        <f aca="false">IF(B974="Tema",MOD(A974-1,Config!$E$28)+1,"")</f>
        <v>4</v>
      </c>
      <c r="E974" s="115" t="str">
        <f aca="false">IF($B974="Tema",IF(ISNUMBER(INDEX(Temas!$E$6:$P$305,$C974,2*$D974-1)),INDEX(Temas!$E$6:$P$305,$C974,2*$D974-1),""),IF(ISNUMBER(INDEX(Avulsos!$B$6:$B$205,$C974)),INDEX(Avulsos!$B$6:$B$205,$C974),""))</f>
        <v/>
      </c>
      <c r="F974" s="114" t="str">
        <f aca="false">IF($E974="","",IF($B974="Tema",INDEX(Temas!$B$6:$B$305,$C974)&amp;"",INDEX(Avulsos!$C$6:$C$205,$C974)&amp;""))</f>
        <v/>
      </c>
      <c r="G974" s="114" t="str">
        <f aca="false">IF($E974="","",IF($B974="Tema",INDEX(Config!$C$6:$C$11,$D974),"Evento avulso"))</f>
        <v/>
      </c>
      <c r="H974" s="114" t="str">
        <f aca="false">IF($E974="","",IF($B974="Tema",INDEX(Config!$D$6:$D$11,$D974),IFERROR(INDEX(Config!$E$15:$E$19,MATCH($I974,Config!$C$15:$C$19,0)),"•")))</f>
        <v/>
      </c>
      <c r="I974" s="114" t="str">
        <f aca="false">IF($E974="","",IF($B974="Tema",INDEX(Config!$E$6:$E$11,$D974),IF(INDEX(Avulsos!$D$6:$D$205,$C974)&amp;""="","Outro",INDEX(Avulsos!$D$6:$D$205,$C974))))</f>
        <v/>
      </c>
      <c r="J974" s="114" t="str">
        <f aca="false">IF($E974="","",IF($B974="Tema",INDEX(Temas!$C$6:$C$305,$C974)&amp;"",INDEX(Avulsos!$E$6:$E$205,$C974)&amp;""))</f>
        <v/>
      </c>
      <c r="K974" s="114" t="str">
        <f aca="false">IF($E974="","",IF(IF($B974="Tema",INDEX(Temas!$E$6:$P$305,$C974,2*$D974),INDEX(Avulsos!$F$6:$F$205,$C974))&amp;""="","","✓"))</f>
        <v/>
      </c>
      <c r="L974" s="114" t="str">
        <f aca="true">IF($E974="","",IF($K974="✓","Concluído",IF($E974&lt;TODAY(),"Atrasado",IF($E974=TODAY(),"Hoje","Pendente"))))</f>
        <v/>
      </c>
      <c r="M974" s="114" t="str">
        <f aca="false">IF($E974="","",IF($K974="✓","✓ ","")&amp;IF(Config!$E$22="Sim",$H974&amp;" · ","")&amp;$F974)</f>
        <v/>
      </c>
      <c r="N974" s="114" t="str">
        <f aca="false">IF($E974="","",IFERROR(INDEX(Config!$D$15:$D$19,MATCH($I974,Config!$C$15:$C$19,0)),"OUT")&amp;IF($K974="✓","x",""))</f>
        <v/>
      </c>
      <c r="O974" s="114" t="str">
        <f aca="false">IF($E974="","",COUNTIF($E$5:$E974,$E974))</f>
        <v/>
      </c>
      <c r="P974" s="114" t="str">
        <f aca="false">IF($E974="","",$E974*100+$O974)</f>
        <v/>
      </c>
      <c r="Q974" s="114" t="str">
        <f aca="false">IF($L974="Atrasado",$E974*10000+$A974,"")</f>
        <v/>
      </c>
    </row>
    <row r="975" customFormat="false" ht="15" hidden="false" customHeight="false" outlineLevel="0" collapsed="false">
      <c r="A975" s="114" t="n">
        <f aca="false">ROW()-4</f>
        <v>971</v>
      </c>
      <c r="B975" s="114" t="str">
        <f aca="false">IF(A975&lt;=Config!$E$27*Config!$E$28,"Tema","Avulso")</f>
        <v>Tema</v>
      </c>
      <c r="C975" s="114" t="n">
        <f aca="false">IF(B975="Tema",INT((A975-1)/Config!$E$28)+1,A975-Config!$E$27*Config!$E$28)</f>
        <v>162</v>
      </c>
      <c r="D975" s="114" t="n">
        <f aca="false">IF(B975="Tema",MOD(A975-1,Config!$E$28)+1,"")</f>
        <v>5</v>
      </c>
      <c r="E975" s="115" t="str">
        <f aca="false">IF($B975="Tema",IF(ISNUMBER(INDEX(Temas!$E$6:$P$305,$C975,2*$D975-1)),INDEX(Temas!$E$6:$P$305,$C975,2*$D975-1),""),IF(ISNUMBER(INDEX(Avulsos!$B$6:$B$205,$C975)),INDEX(Avulsos!$B$6:$B$205,$C975),""))</f>
        <v/>
      </c>
      <c r="F975" s="114" t="str">
        <f aca="false">IF($E975="","",IF($B975="Tema",INDEX(Temas!$B$6:$B$305,$C975)&amp;"",INDEX(Avulsos!$C$6:$C$205,$C975)&amp;""))</f>
        <v/>
      </c>
      <c r="G975" s="114" t="str">
        <f aca="false">IF($E975="","",IF($B975="Tema",INDEX(Config!$C$6:$C$11,$D975),"Evento avulso"))</f>
        <v/>
      </c>
      <c r="H975" s="114" t="str">
        <f aca="false">IF($E975="","",IF($B975="Tema",INDEX(Config!$D$6:$D$11,$D975),IFERROR(INDEX(Config!$E$15:$E$19,MATCH($I975,Config!$C$15:$C$19,0)),"•")))</f>
        <v/>
      </c>
      <c r="I975" s="114" t="str">
        <f aca="false">IF($E975="","",IF($B975="Tema",INDEX(Config!$E$6:$E$11,$D975),IF(INDEX(Avulsos!$D$6:$D$205,$C975)&amp;""="","Outro",INDEX(Avulsos!$D$6:$D$205,$C975))))</f>
        <v/>
      </c>
      <c r="J975" s="114" t="str">
        <f aca="false">IF($E975="","",IF($B975="Tema",INDEX(Temas!$C$6:$C$305,$C975)&amp;"",INDEX(Avulsos!$E$6:$E$205,$C975)&amp;""))</f>
        <v/>
      </c>
      <c r="K975" s="114" t="str">
        <f aca="false">IF($E975="","",IF(IF($B975="Tema",INDEX(Temas!$E$6:$P$305,$C975,2*$D975),INDEX(Avulsos!$F$6:$F$205,$C975))&amp;""="","","✓"))</f>
        <v/>
      </c>
      <c r="L975" s="114" t="str">
        <f aca="true">IF($E975="","",IF($K975="✓","Concluído",IF($E975&lt;TODAY(),"Atrasado",IF($E975=TODAY(),"Hoje","Pendente"))))</f>
        <v/>
      </c>
      <c r="M975" s="114" t="str">
        <f aca="false">IF($E975="","",IF($K975="✓","✓ ","")&amp;IF(Config!$E$22="Sim",$H975&amp;" · ","")&amp;$F975)</f>
        <v/>
      </c>
      <c r="N975" s="114" t="str">
        <f aca="false">IF($E975="","",IFERROR(INDEX(Config!$D$15:$D$19,MATCH($I975,Config!$C$15:$C$19,0)),"OUT")&amp;IF($K975="✓","x",""))</f>
        <v/>
      </c>
      <c r="O975" s="114" t="str">
        <f aca="false">IF($E975="","",COUNTIF($E$5:$E975,$E975))</f>
        <v/>
      </c>
      <c r="P975" s="114" t="str">
        <f aca="false">IF($E975="","",$E975*100+$O975)</f>
        <v/>
      </c>
      <c r="Q975" s="114" t="str">
        <f aca="false">IF($L975="Atrasado",$E975*10000+$A975,"")</f>
        <v/>
      </c>
    </row>
    <row r="976" customFormat="false" ht="15" hidden="false" customHeight="false" outlineLevel="0" collapsed="false">
      <c r="A976" s="114" t="n">
        <f aca="false">ROW()-4</f>
        <v>972</v>
      </c>
      <c r="B976" s="114" t="str">
        <f aca="false">IF(A976&lt;=Config!$E$27*Config!$E$28,"Tema","Avulso")</f>
        <v>Tema</v>
      </c>
      <c r="C976" s="114" t="n">
        <f aca="false">IF(B976="Tema",INT((A976-1)/Config!$E$28)+1,A976-Config!$E$27*Config!$E$28)</f>
        <v>162</v>
      </c>
      <c r="D976" s="114" t="n">
        <f aca="false">IF(B976="Tema",MOD(A976-1,Config!$E$28)+1,"")</f>
        <v>6</v>
      </c>
      <c r="E976" s="115" t="str">
        <f aca="false">IF($B976="Tema",IF(ISNUMBER(INDEX(Temas!$E$6:$P$305,$C976,2*$D976-1)),INDEX(Temas!$E$6:$P$305,$C976,2*$D976-1),""),IF(ISNUMBER(INDEX(Avulsos!$B$6:$B$205,$C976)),INDEX(Avulsos!$B$6:$B$205,$C976),""))</f>
        <v/>
      </c>
      <c r="F976" s="114" t="str">
        <f aca="false">IF($E976="","",IF($B976="Tema",INDEX(Temas!$B$6:$B$305,$C976)&amp;"",INDEX(Avulsos!$C$6:$C$205,$C976)&amp;""))</f>
        <v/>
      </c>
      <c r="G976" s="114" t="str">
        <f aca="false">IF($E976="","",IF($B976="Tema",INDEX(Config!$C$6:$C$11,$D976),"Evento avulso"))</f>
        <v/>
      </c>
      <c r="H976" s="114" t="str">
        <f aca="false">IF($E976="","",IF($B976="Tema",INDEX(Config!$D$6:$D$11,$D976),IFERROR(INDEX(Config!$E$15:$E$19,MATCH($I976,Config!$C$15:$C$19,0)),"•")))</f>
        <v/>
      </c>
      <c r="I976" s="114" t="str">
        <f aca="false">IF($E976="","",IF($B976="Tema",INDEX(Config!$E$6:$E$11,$D976),IF(INDEX(Avulsos!$D$6:$D$205,$C976)&amp;""="","Outro",INDEX(Avulsos!$D$6:$D$205,$C976))))</f>
        <v/>
      </c>
      <c r="J976" s="114" t="str">
        <f aca="false">IF($E976="","",IF($B976="Tema",INDEX(Temas!$C$6:$C$305,$C976)&amp;"",INDEX(Avulsos!$E$6:$E$205,$C976)&amp;""))</f>
        <v/>
      </c>
      <c r="K976" s="114" t="str">
        <f aca="false">IF($E976="","",IF(IF($B976="Tema",INDEX(Temas!$E$6:$P$305,$C976,2*$D976),INDEX(Avulsos!$F$6:$F$205,$C976))&amp;""="","","✓"))</f>
        <v/>
      </c>
      <c r="L976" s="114" t="str">
        <f aca="true">IF($E976="","",IF($K976="✓","Concluído",IF($E976&lt;TODAY(),"Atrasado",IF($E976=TODAY(),"Hoje","Pendente"))))</f>
        <v/>
      </c>
      <c r="M976" s="114" t="str">
        <f aca="false">IF($E976="","",IF($K976="✓","✓ ","")&amp;IF(Config!$E$22="Sim",$H976&amp;" · ","")&amp;$F976)</f>
        <v/>
      </c>
      <c r="N976" s="114" t="str">
        <f aca="false">IF($E976="","",IFERROR(INDEX(Config!$D$15:$D$19,MATCH($I976,Config!$C$15:$C$19,0)),"OUT")&amp;IF($K976="✓","x",""))</f>
        <v/>
      </c>
      <c r="O976" s="114" t="str">
        <f aca="false">IF($E976="","",COUNTIF($E$5:$E976,$E976))</f>
        <v/>
      </c>
      <c r="P976" s="114" t="str">
        <f aca="false">IF($E976="","",$E976*100+$O976)</f>
        <v/>
      </c>
      <c r="Q976" s="114" t="str">
        <f aca="false">IF($L976="Atrasado",$E976*10000+$A976,"")</f>
        <v/>
      </c>
    </row>
    <row r="977" customFormat="false" ht="15" hidden="false" customHeight="false" outlineLevel="0" collapsed="false">
      <c r="A977" s="114" t="n">
        <f aca="false">ROW()-4</f>
        <v>973</v>
      </c>
      <c r="B977" s="114" t="str">
        <f aca="false">IF(A977&lt;=Config!$E$27*Config!$E$28,"Tema","Avulso")</f>
        <v>Tema</v>
      </c>
      <c r="C977" s="114" t="n">
        <f aca="false">IF(B977="Tema",INT((A977-1)/Config!$E$28)+1,A977-Config!$E$27*Config!$E$28)</f>
        <v>163</v>
      </c>
      <c r="D977" s="114" t="n">
        <f aca="false">IF(B977="Tema",MOD(A977-1,Config!$E$28)+1,"")</f>
        <v>1</v>
      </c>
      <c r="E977" s="115" t="str">
        <f aca="false">IF($B977="Tema",IF(ISNUMBER(INDEX(Temas!$E$6:$P$305,$C977,2*$D977-1)),INDEX(Temas!$E$6:$P$305,$C977,2*$D977-1),""),IF(ISNUMBER(INDEX(Avulsos!$B$6:$B$205,$C977)),INDEX(Avulsos!$B$6:$B$205,$C977),""))</f>
        <v/>
      </c>
      <c r="F977" s="114" t="str">
        <f aca="false">IF($E977="","",IF($B977="Tema",INDEX(Temas!$B$6:$B$305,$C977)&amp;"",INDEX(Avulsos!$C$6:$C$205,$C977)&amp;""))</f>
        <v/>
      </c>
      <c r="G977" s="114" t="str">
        <f aca="false">IF($E977="","",IF($B977="Tema",INDEX(Config!$C$6:$C$11,$D977),"Evento avulso"))</f>
        <v/>
      </c>
      <c r="H977" s="114" t="str">
        <f aca="false">IF($E977="","",IF($B977="Tema",INDEX(Config!$D$6:$D$11,$D977),IFERROR(INDEX(Config!$E$15:$E$19,MATCH($I977,Config!$C$15:$C$19,0)),"•")))</f>
        <v/>
      </c>
      <c r="I977" s="114" t="str">
        <f aca="false">IF($E977="","",IF($B977="Tema",INDEX(Config!$E$6:$E$11,$D977),IF(INDEX(Avulsos!$D$6:$D$205,$C977)&amp;""="","Outro",INDEX(Avulsos!$D$6:$D$205,$C977))))</f>
        <v/>
      </c>
      <c r="J977" s="114" t="str">
        <f aca="false">IF($E977="","",IF($B977="Tema",INDEX(Temas!$C$6:$C$305,$C977)&amp;"",INDEX(Avulsos!$E$6:$E$205,$C977)&amp;""))</f>
        <v/>
      </c>
      <c r="K977" s="114" t="str">
        <f aca="false">IF($E977="","",IF(IF($B977="Tema",INDEX(Temas!$E$6:$P$305,$C977,2*$D977),INDEX(Avulsos!$F$6:$F$205,$C977))&amp;""="","","✓"))</f>
        <v/>
      </c>
      <c r="L977" s="114" t="str">
        <f aca="true">IF($E977="","",IF($K977="✓","Concluído",IF($E977&lt;TODAY(),"Atrasado",IF($E977=TODAY(),"Hoje","Pendente"))))</f>
        <v/>
      </c>
      <c r="M977" s="114" t="str">
        <f aca="false">IF($E977="","",IF($K977="✓","✓ ","")&amp;IF(Config!$E$22="Sim",$H977&amp;" · ","")&amp;$F977)</f>
        <v/>
      </c>
      <c r="N977" s="114" t="str">
        <f aca="false">IF($E977="","",IFERROR(INDEX(Config!$D$15:$D$19,MATCH($I977,Config!$C$15:$C$19,0)),"OUT")&amp;IF($K977="✓","x",""))</f>
        <v/>
      </c>
      <c r="O977" s="114" t="str">
        <f aca="false">IF($E977="","",COUNTIF($E$5:$E977,$E977))</f>
        <v/>
      </c>
      <c r="P977" s="114" t="str">
        <f aca="false">IF($E977="","",$E977*100+$O977)</f>
        <v/>
      </c>
      <c r="Q977" s="114" t="str">
        <f aca="false">IF($L977="Atrasado",$E977*10000+$A977,"")</f>
        <v/>
      </c>
    </row>
    <row r="978" customFormat="false" ht="15" hidden="false" customHeight="false" outlineLevel="0" collapsed="false">
      <c r="A978" s="114" t="n">
        <f aca="false">ROW()-4</f>
        <v>974</v>
      </c>
      <c r="B978" s="114" t="str">
        <f aca="false">IF(A978&lt;=Config!$E$27*Config!$E$28,"Tema","Avulso")</f>
        <v>Tema</v>
      </c>
      <c r="C978" s="114" t="n">
        <f aca="false">IF(B978="Tema",INT((A978-1)/Config!$E$28)+1,A978-Config!$E$27*Config!$E$28)</f>
        <v>163</v>
      </c>
      <c r="D978" s="114" t="n">
        <f aca="false">IF(B978="Tema",MOD(A978-1,Config!$E$28)+1,"")</f>
        <v>2</v>
      </c>
      <c r="E978" s="115" t="str">
        <f aca="false">IF($B978="Tema",IF(ISNUMBER(INDEX(Temas!$E$6:$P$305,$C978,2*$D978-1)),INDEX(Temas!$E$6:$P$305,$C978,2*$D978-1),""),IF(ISNUMBER(INDEX(Avulsos!$B$6:$B$205,$C978)),INDEX(Avulsos!$B$6:$B$205,$C978),""))</f>
        <v/>
      </c>
      <c r="F978" s="114" t="str">
        <f aca="false">IF($E978="","",IF($B978="Tema",INDEX(Temas!$B$6:$B$305,$C978)&amp;"",INDEX(Avulsos!$C$6:$C$205,$C978)&amp;""))</f>
        <v/>
      </c>
      <c r="G978" s="114" t="str">
        <f aca="false">IF($E978="","",IF($B978="Tema",INDEX(Config!$C$6:$C$11,$D978),"Evento avulso"))</f>
        <v/>
      </c>
      <c r="H978" s="114" t="str">
        <f aca="false">IF($E978="","",IF($B978="Tema",INDEX(Config!$D$6:$D$11,$D978),IFERROR(INDEX(Config!$E$15:$E$19,MATCH($I978,Config!$C$15:$C$19,0)),"•")))</f>
        <v/>
      </c>
      <c r="I978" s="114" t="str">
        <f aca="false">IF($E978="","",IF($B978="Tema",INDEX(Config!$E$6:$E$11,$D978),IF(INDEX(Avulsos!$D$6:$D$205,$C978)&amp;""="","Outro",INDEX(Avulsos!$D$6:$D$205,$C978))))</f>
        <v/>
      </c>
      <c r="J978" s="114" t="str">
        <f aca="false">IF($E978="","",IF($B978="Tema",INDEX(Temas!$C$6:$C$305,$C978)&amp;"",INDEX(Avulsos!$E$6:$E$205,$C978)&amp;""))</f>
        <v/>
      </c>
      <c r="K978" s="114" t="str">
        <f aca="false">IF($E978="","",IF(IF($B978="Tema",INDEX(Temas!$E$6:$P$305,$C978,2*$D978),INDEX(Avulsos!$F$6:$F$205,$C978))&amp;""="","","✓"))</f>
        <v/>
      </c>
      <c r="L978" s="114" t="str">
        <f aca="true">IF($E978="","",IF($K978="✓","Concluído",IF($E978&lt;TODAY(),"Atrasado",IF($E978=TODAY(),"Hoje","Pendente"))))</f>
        <v/>
      </c>
      <c r="M978" s="114" t="str">
        <f aca="false">IF($E978="","",IF($K978="✓","✓ ","")&amp;IF(Config!$E$22="Sim",$H978&amp;" · ","")&amp;$F978)</f>
        <v/>
      </c>
      <c r="N978" s="114" t="str">
        <f aca="false">IF($E978="","",IFERROR(INDEX(Config!$D$15:$D$19,MATCH($I978,Config!$C$15:$C$19,0)),"OUT")&amp;IF($K978="✓","x",""))</f>
        <v/>
      </c>
      <c r="O978" s="114" t="str">
        <f aca="false">IF($E978="","",COUNTIF($E$5:$E978,$E978))</f>
        <v/>
      </c>
      <c r="P978" s="114" t="str">
        <f aca="false">IF($E978="","",$E978*100+$O978)</f>
        <v/>
      </c>
      <c r="Q978" s="114" t="str">
        <f aca="false">IF($L978="Atrasado",$E978*10000+$A978,"")</f>
        <v/>
      </c>
    </row>
    <row r="979" customFormat="false" ht="15" hidden="false" customHeight="false" outlineLevel="0" collapsed="false">
      <c r="A979" s="114" t="n">
        <f aca="false">ROW()-4</f>
        <v>975</v>
      </c>
      <c r="B979" s="114" t="str">
        <f aca="false">IF(A979&lt;=Config!$E$27*Config!$E$28,"Tema","Avulso")</f>
        <v>Tema</v>
      </c>
      <c r="C979" s="114" t="n">
        <f aca="false">IF(B979="Tema",INT((A979-1)/Config!$E$28)+1,A979-Config!$E$27*Config!$E$28)</f>
        <v>163</v>
      </c>
      <c r="D979" s="114" t="n">
        <f aca="false">IF(B979="Tema",MOD(A979-1,Config!$E$28)+1,"")</f>
        <v>3</v>
      </c>
      <c r="E979" s="115" t="str">
        <f aca="false">IF($B979="Tema",IF(ISNUMBER(INDEX(Temas!$E$6:$P$305,$C979,2*$D979-1)),INDEX(Temas!$E$6:$P$305,$C979,2*$D979-1),""),IF(ISNUMBER(INDEX(Avulsos!$B$6:$B$205,$C979)),INDEX(Avulsos!$B$6:$B$205,$C979),""))</f>
        <v/>
      </c>
      <c r="F979" s="114" t="str">
        <f aca="false">IF($E979="","",IF($B979="Tema",INDEX(Temas!$B$6:$B$305,$C979)&amp;"",INDEX(Avulsos!$C$6:$C$205,$C979)&amp;""))</f>
        <v/>
      </c>
      <c r="G979" s="114" t="str">
        <f aca="false">IF($E979="","",IF($B979="Tema",INDEX(Config!$C$6:$C$11,$D979),"Evento avulso"))</f>
        <v/>
      </c>
      <c r="H979" s="114" t="str">
        <f aca="false">IF($E979="","",IF($B979="Tema",INDEX(Config!$D$6:$D$11,$D979),IFERROR(INDEX(Config!$E$15:$E$19,MATCH($I979,Config!$C$15:$C$19,0)),"•")))</f>
        <v/>
      </c>
      <c r="I979" s="114" t="str">
        <f aca="false">IF($E979="","",IF($B979="Tema",INDEX(Config!$E$6:$E$11,$D979),IF(INDEX(Avulsos!$D$6:$D$205,$C979)&amp;""="","Outro",INDEX(Avulsos!$D$6:$D$205,$C979))))</f>
        <v/>
      </c>
      <c r="J979" s="114" t="str">
        <f aca="false">IF($E979="","",IF($B979="Tema",INDEX(Temas!$C$6:$C$305,$C979)&amp;"",INDEX(Avulsos!$E$6:$E$205,$C979)&amp;""))</f>
        <v/>
      </c>
      <c r="K979" s="114" t="str">
        <f aca="false">IF($E979="","",IF(IF($B979="Tema",INDEX(Temas!$E$6:$P$305,$C979,2*$D979),INDEX(Avulsos!$F$6:$F$205,$C979))&amp;""="","","✓"))</f>
        <v/>
      </c>
      <c r="L979" s="114" t="str">
        <f aca="true">IF($E979="","",IF($K979="✓","Concluído",IF($E979&lt;TODAY(),"Atrasado",IF($E979=TODAY(),"Hoje","Pendente"))))</f>
        <v/>
      </c>
      <c r="M979" s="114" t="str">
        <f aca="false">IF($E979="","",IF($K979="✓","✓ ","")&amp;IF(Config!$E$22="Sim",$H979&amp;" · ","")&amp;$F979)</f>
        <v/>
      </c>
      <c r="N979" s="114" t="str">
        <f aca="false">IF($E979="","",IFERROR(INDEX(Config!$D$15:$D$19,MATCH($I979,Config!$C$15:$C$19,0)),"OUT")&amp;IF($K979="✓","x",""))</f>
        <v/>
      </c>
      <c r="O979" s="114" t="str">
        <f aca="false">IF($E979="","",COUNTIF($E$5:$E979,$E979))</f>
        <v/>
      </c>
      <c r="P979" s="114" t="str">
        <f aca="false">IF($E979="","",$E979*100+$O979)</f>
        <v/>
      </c>
      <c r="Q979" s="114" t="str">
        <f aca="false">IF($L979="Atrasado",$E979*10000+$A979,"")</f>
        <v/>
      </c>
    </row>
    <row r="980" customFormat="false" ht="15" hidden="false" customHeight="false" outlineLevel="0" collapsed="false">
      <c r="A980" s="114" t="n">
        <f aca="false">ROW()-4</f>
        <v>976</v>
      </c>
      <c r="B980" s="114" t="str">
        <f aca="false">IF(A980&lt;=Config!$E$27*Config!$E$28,"Tema","Avulso")</f>
        <v>Tema</v>
      </c>
      <c r="C980" s="114" t="n">
        <f aca="false">IF(B980="Tema",INT((A980-1)/Config!$E$28)+1,A980-Config!$E$27*Config!$E$28)</f>
        <v>163</v>
      </c>
      <c r="D980" s="114" t="n">
        <f aca="false">IF(B980="Tema",MOD(A980-1,Config!$E$28)+1,"")</f>
        <v>4</v>
      </c>
      <c r="E980" s="115" t="str">
        <f aca="false">IF($B980="Tema",IF(ISNUMBER(INDEX(Temas!$E$6:$P$305,$C980,2*$D980-1)),INDEX(Temas!$E$6:$P$305,$C980,2*$D980-1),""),IF(ISNUMBER(INDEX(Avulsos!$B$6:$B$205,$C980)),INDEX(Avulsos!$B$6:$B$205,$C980),""))</f>
        <v/>
      </c>
      <c r="F980" s="114" t="str">
        <f aca="false">IF($E980="","",IF($B980="Tema",INDEX(Temas!$B$6:$B$305,$C980)&amp;"",INDEX(Avulsos!$C$6:$C$205,$C980)&amp;""))</f>
        <v/>
      </c>
      <c r="G980" s="114" t="str">
        <f aca="false">IF($E980="","",IF($B980="Tema",INDEX(Config!$C$6:$C$11,$D980),"Evento avulso"))</f>
        <v/>
      </c>
      <c r="H980" s="114" t="str">
        <f aca="false">IF($E980="","",IF($B980="Tema",INDEX(Config!$D$6:$D$11,$D980),IFERROR(INDEX(Config!$E$15:$E$19,MATCH($I980,Config!$C$15:$C$19,0)),"•")))</f>
        <v/>
      </c>
      <c r="I980" s="114" t="str">
        <f aca="false">IF($E980="","",IF($B980="Tema",INDEX(Config!$E$6:$E$11,$D980),IF(INDEX(Avulsos!$D$6:$D$205,$C980)&amp;""="","Outro",INDEX(Avulsos!$D$6:$D$205,$C980))))</f>
        <v/>
      </c>
      <c r="J980" s="114" t="str">
        <f aca="false">IF($E980="","",IF($B980="Tema",INDEX(Temas!$C$6:$C$305,$C980)&amp;"",INDEX(Avulsos!$E$6:$E$205,$C980)&amp;""))</f>
        <v/>
      </c>
      <c r="K980" s="114" t="str">
        <f aca="false">IF($E980="","",IF(IF($B980="Tema",INDEX(Temas!$E$6:$P$305,$C980,2*$D980),INDEX(Avulsos!$F$6:$F$205,$C980))&amp;""="","","✓"))</f>
        <v/>
      </c>
      <c r="L980" s="114" t="str">
        <f aca="true">IF($E980="","",IF($K980="✓","Concluído",IF($E980&lt;TODAY(),"Atrasado",IF($E980=TODAY(),"Hoje","Pendente"))))</f>
        <v/>
      </c>
      <c r="M980" s="114" t="str">
        <f aca="false">IF($E980="","",IF($K980="✓","✓ ","")&amp;IF(Config!$E$22="Sim",$H980&amp;" · ","")&amp;$F980)</f>
        <v/>
      </c>
      <c r="N980" s="114" t="str">
        <f aca="false">IF($E980="","",IFERROR(INDEX(Config!$D$15:$D$19,MATCH($I980,Config!$C$15:$C$19,0)),"OUT")&amp;IF($K980="✓","x",""))</f>
        <v/>
      </c>
      <c r="O980" s="114" t="str">
        <f aca="false">IF($E980="","",COUNTIF($E$5:$E980,$E980))</f>
        <v/>
      </c>
      <c r="P980" s="114" t="str">
        <f aca="false">IF($E980="","",$E980*100+$O980)</f>
        <v/>
      </c>
      <c r="Q980" s="114" t="str">
        <f aca="false">IF($L980="Atrasado",$E980*10000+$A980,"")</f>
        <v/>
      </c>
    </row>
    <row r="981" customFormat="false" ht="15" hidden="false" customHeight="false" outlineLevel="0" collapsed="false">
      <c r="A981" s="114" t="n">
        <f aca="false">ROW()-4</f>
        <v>977</v>
      </c>
      <c r="B981" s="114" t="str">
        <f aca="false">IF(A981&lt;=Config!$E$27*Config!$E$28,"Tema","Avulso")</f>
        <v>Tema</v>
      </c>
      <c r="C981" s="114" t="n">
        <f aca="false">IF(B981="Tema",INT((A981-1)/Config!$E$28)+1,A981-Config!$E$27*Config!$E$28)</f>
        <v>163</v>
      </c>
      <c r="D981" s="114" t="n">
        <f aca="false">IF(B981="Tema",MOD(A981-1,Config!$E$28)+1,"")</f>
        <v>5</v>
      </c>
      <c r="E981" s="115" t="str">
        <f aca="false">IF($B981="Tema",IF(ISNUMBER(INDEX(Temas!$E$6:$P$305,$C981,2*$D981-1)),INDEX(Temas!$E$6:$P$305,$C981,2*$D981-1),""),IF(ISNUMBER(INDEX(Avulsos!$B$6:$B$205,$C981)),INDEX(Avulsos!$B$6:$B$205,$C981),""))</f>
        <v/>
      </c>
      <c r="F981" s="114" t="str">
        <f aca="false">IF($E981="","",IF($B981="Tema",INDEX(Temas!$B$6:$B$305,$C981)&amp;"",INDEX(Avulsos!$C$6:$C$205,$C981)&amp;""))</f>
        <v/>
      </c>
      <c r="G981" s="114" t="str">
        <f aca="false">IF($E981="","",IF($B981="Tema",INDEX(Config!$C$6:$C$11,$D981),"Evento avulso"))</f>
        <v/>
      </c>
      <c r="H981" s="114" t="str">
        <f aca="false">IF($E981="","",IF($B981="Tema",INDEX(Config!$D$6:$D$11,$D981),IFERROR(INDEX(Config!$E$15:$E$19,MATCH($I981,Config!$C$15:$C$19,0)),"•")))</f>
        <v/>
      </c>
      <c r="I981" s="114" t="str">
        <f aca="false">IF($E981="","",IF($B981="Tema",INDEX(Config!$E$6:$E$11,$D981),IF(INDEX(Avulsos!$D$6:$D$205,$C981)&amp;""="","Outro",INDEX(Avulsos!$D$6:$D$205,$C981))))</f>
        <v/>
      </c>
      <c r="J981" s="114" t="str">
        <f aca="false">IF($E981="","",IF($B981="Tema",INDEX(Temas!$C$6:$C$305,$C981)&amp;"",INDEX(Avulsos!$E$6:$E$205,$C981)&amp;""))</f>
        <v/>
      </c>
      <c r="K981" s="114" t="str">
        <f aca="false">IF($E981="","",IF(IF($B981="Tema",INDEX(Temas!$E$6:$P$305,$C981,2*$D981),INDEX(Avulsos!$F$6:$F$205,$C981))&amp;""="","","✓"))</f>
        <v/>
      </c>
      <c r="L981" s="114" t="str">
        <f aca="true">IF($E981="","",IF($K981="✓","Concluído",IF($E981&lt;TODAY(),"Atrasado",IF($E981=TODAY(),"Hoje","Pendente"))))</f>
        <v/>
      </c>
      <c r="M981" s="114" t="str">
        <f aca="false">IF($E981="","",IF($K981="✓","✓ ","")&amp;IF(Config!$E$22="Sim",$H981&amp;" · ","")&amp;$F981)</f>
        <v/>
      </c>
      <c r="N981" s="114" t="str">
        <f aca="false">IF($E981="","",IFERROR(INDEX(Config!$D$15:$D$19,MATCH($I981,Config!$C$15:$C$19,0)),"OUT")&amp;IF($K981="✓","x",""))</f>
        <v/>
      </c>
      <c r="O981" s="114" t="str">
        <f aca="false">IF($E981="","",COUNTIF($E$5:$E981,$E981))</f>
        <v/>
      </c>
      <c r="P981" s="114" t="str">
        <f aca="false">IF($E981="","",$E981*100+$O981)</f>
        <v/>
      </c>
      <c r="Q981" s="114" t="str">
        <f aca="false">IF($L981="Atrasado",$E981*10000+$A981,"")</f>
        <v/>
      </c>
    </row>
    <row r="982" customFormat="false" ht="15" hidden="false" customHeight="false" outlineLevel="0" collapsed="false">
      <c r="A982" s="114" t="n">
        <f aca="false">ROW()-4</f>
        <v>978</v>
      </c>
      <c r="B982" s="114" t="str">
        <f aca="false">IF(A982&lt;=Config!$E$27*Config!$E$28,"Tema","Avulso")</f>
        <v>Tema</v>
      </c>
      <c r="C982" s="114" t="n">
        <f aca="false">IF(B982="Tema",INT((A982-1)/Config!$E$28)+1,A982-Config!$E$27*Config!$E$28)</f>
        <v>163</v>
      </c>
      <c r="D982" s="114" t="n">
        <f aca="false">IF(B982="Tema",MOD(A982-1,Config!$E$28)+1,"")</f>
        <v>6</v>
      </c>
      <c r="E982" s="115" t="str">
        <f aca="false">IF($B982="Tema",IF(ISNUMBER(INDEX(Temas!$E$6:$P$305,$C982,2*$D982-1)),INDEX(Temas!$E$6:$P$305,$C982,2*$D982-1),""),IF(ISNUMBER(INDEX(Avulsos!$B$6:$B$205,$C982)),INDEX(Avulsos!$B$6:$B$205,$C982),""))</f>
        <v/>
      </c>
      <c r="F982" s="114" t="str">
        <f aca="false">IF($E982="","",IF($B982="Tema",INDEX(Temas!$B$6:$B$305,$C982)&amp;"",INDEX(Avulsos!$C$6:$C$205,$C982)&amp;""))</f>
        <v/>
      </c>
      <c r="G982" s="114" t="str">
        <f aca="false">IF($E982="","",IF($B982="Tema",INDEX(Config!$C$6:$C$11,$D982),"Evento avulso"))</f>
        <v/>
      </c>
      <c r="H982" s="114" t="str">
        <f aca="false">IF($E982="","",IF($B982="Tema",INDEX(Config!$D$6:$D$11,$D982),IFERROR(INDEX(Config!$E$15:$E$19,MATCH($I982,Config!$C$15:$C$19,0)),"•")))</f>
        <v/>
      </c>
      <c r="I982" s="114" t="str">
        <f aca="false">IF($E982="","",IF($B982="Tema",INDEX(Config!$E$6:$E$11,$D982),IF(INDEX(Avulsos!$D$6:$D$205,$C982)&amp;""="","Outro",INDEX(Avulsos!$D$6:$D$205,$C982))))</f>
        <v/>
      </c>
      <c r="J982" s="114" t="str">
        <f aca="false">IF($E982="","",IF($B982="Tema",INDEX(Temas!$C$6:$C$305,$C982)&amp;"",INDEX(Avulsos!$E$6:$E$205,$C982)&amp;""))</f>
        <v/>
      </c>
      <c r="K982" s="114" t="str">
        <f aca="false">IF($E982="","",IF(IF($B982="Tema",INDEX(Temas!$E$6:$P$305,$C982,2*$D982),INDEX(Avulsos!$F$6:$F$205,$C982))&amp;""="","","✓"))</f>
        <v/>
      </c>
      <c r="L982" s="114" t="str">
        <f aca="true">IF($E982="","",IF($K982="✓","Concluído",IF($E982&lt;TODAY(),"Atrasado",IF($E982=TODAY(),"Hoje","Pendente"))))</f>
        <v/>
      </c>
      <c r="M982" s="114" t="str">
        <f aca="false">IF($E982="","",IF($K982="✓","✓ ","")&amp;IF(Config!$E$22="Sim",$H982&amp;" · ","")&amp;$F982)</f>
        <v/>
      </c>
      <c r="N982" s="114" t="str">
        <f aca="false">IF($E982="","",IFERROR(INDEX(Config!$D$15:$D$19,MATCH($I982,Config!$C$15:$C$19,0)),"OUT")&amp;IF($K982="✓","x",""))</f>
        <v/>
      </c>
      <c r="O982" s="114" t="str">
        <f aca="false">IF($E982="","",COUNTIF($E$5:$E982,$E982))</f>
        <v/>
      </c>
      <c r="P982" s="114" t="str">
        <f aca="false">IF($E982="","",$E982*100+$O982)</f>
        <v/>
      </c>
      <c r="Q982" s="114" t="str">
        <f aca="false">IF($L982="Atrasado",$E982*10000+$A982,"")</f>
        <v/>
      </c>
    </row>
    <row r="983" customFormat="false" ht="15" hidden="false" customHeight="false" outlineLevel="0" collapsed="false">
      <c r="A983" s="114" t="n">
        <f aca="false">ROW()-4</f>
        <v>979</v>
      </c>
      <c r="B983" s="114" t="str">
        <f aca="false">IF(A983&lt;=Config!$E$27*Config!$E$28,"Tema","Avulso")</f>
        <v>Tema</v>
      </c>
      <c r="C983" s="114" t="n">
        <f aca="false">IF(B983="Tema",INT((A983-1)/Config!$E$28)+1,A983-Config!$E$27*Config!$E$28)</f>
        <v>164</v>
      </c>
      <c r="D983" s="114" t="n">
        <f aca="false">IF(B983="Tema",MOD(A983-1,Config!$E$28)+1,"")</f>
        <v>1</v>
      </c>
      <c r="E983" s="115" t="str">
        <f aca="false">IF($B983="Tema",IF(ISNUMBER(INDEX(Temas!$E$6:$P$305,$C983,2*$D983-1)),INDEX(Temas!$E$6:$P$305,$C983,2*$D983-1),""),IF(ISNUMBER(INDEX(Avulsos!$B$6:$B$205,$C983)),INDEX(Avulsos!$B$6:$B$205,$C983),""))</f>
        <v/>
      </c>
      <c r="F983" s="114" t="str">
        <f aca="false">IF($E983="","",IF($B983="Tema",INDEX(Temas!$B$6:$B$305,$C983)&amp;"",INDEX(Avulsos!$C$6:$C$205,$C983)&amp;""))</f>
        <v/>
      </c>
      <c r="G983" s="114" t="str">
        <f aca="false">IF($E983="","",IF($B983="Tema",INDEX(Config!$C$6:$C$11,$D983),"Evento avulso"))</f>
        <v/>
      </c>
      <c r="H983" s="114" t="str">
        <f aca="false">IF($E983="","",IF($B983="Tema",INDEX(Config!$D$6:$D$11,$D983),IFERROR(INDEX(Config!$E$15:$E$19,MATCH($I983,Config!$C$15:$C$19,0)),"•")))</f>
        <v/>
      </c>
      <c r="I983" s="114" t="str">
        <f aca="false">IF($E983="","",IF($B983="Tema",INDEX(Config!$E$6:$E$11,$D983),IF(INDEX(Avulsos!$D$6:$D$205,$C983)&amp;""="","Outro",INDEX(Avulsos!$D$6:$D$205,$C983))))</f>
        <v/>
      </c>
      <c r="J983" s="114" t="str">
        <f aca="false">IF($E983="","",IF($B983="Tema",INDEX(Temas!$C$6:$C$305,$C983)&amp;"",INDEX(Avulsos!$E$6:$E$205,$C983)&amp;""))</f>
        <v/>
      </c>
      <c r="K983" s="114" t="str">
        <f aca="false">IF($E983="","",IF(IF($B983="Tema",INDEX(Temas!$E$6:$P$305,$C983,2*$D983),INDEX(Avulsos!$F$6:$F$205,$C983))&amp;""="","","✓"))</f>
        <v/>
      </c>
      <c r="L983" s="114" t="str">
        <f aca="true">IF($E983="","",IF($K983="✓","Concluído",IF($E983&lt;TODAY(),"Atrasado",IF($E983=TODAY(),"Hoje","Pendente"))))</f>
        <v/>
      </c>
      <c r="M983" s="114" t="str">
        <f aca="false">IF($E983="","",IF($K983="✓","✓ ","")&amp;IF(Config!$E$22="Sim",$H983&amp;" · ","")&amp;$F983)</f>
        <v/>
      </c>
      <c r="N983" s="114" t="str">
        <f aca="false">IF($E983="","",IFERROR(INDEX(Config!$D$15:$D$19,MATCH($I983,Config!$C$15:$C$19,0)),"OUT")&amp;IF($K983="✓","x",""))</f>
        <v/>
      </c>
      <c r="O983" s="114" t="str">
        <f aca="false">IF($E983="","",COUNTIF($E$5:$E983,$E983))</f>
        <v/>
      </c>
      <c r="P983" s="114" t="str">
        <f aca="false">IF($E983="","",$E983*100+$O983)</f>
        <v/>
      </c>
      <c r="Q983" s="114" t="str">
        <f aca="false">IF($L983="Atrasado",$E983*10000+$A983,"")</f>
        <v/>
      </c>
    </row>
    <row r="984" customFormat="false" ht="15" hidden="false" customHeight="false" outlineLevel="0" collapsed="false">
      <c r="A984" s="114" t="n">
        <f aca="false">ROW()-4</f>
        <v>980</v>
      </c>
      <c r="B984" s="114" t="str">
        <f aca="false">IF(A984&lt;=Config!$E$27*Config!$E$28,"Tema","Avulso")</f>
        <v>Tema</v>
      </c>
      <c r="C984" s="114" t="n">
        <f aca="false">IF(B984="Tema",INT((A984-1)/Config!$E$28)+1,A984-Config!$E$27*Config!$E$28)</f>
        <v>164</v>
      </c>
      <c r="D984" s="114" t="n">
        <f aca="false">IF(B984="Tema",MOD(A984-1,Config!$E$28)+1,"")</f>
        <v>2</v>
      </c>
      <c r="E984" s="115" t="str">
        <f aca="false">IF($B984="Tema",IF(ISNUMBER(INDEX(Temas!$E$6:$P$305,$C984,2*$D984-1)),INDEX(Temas!$E$6:$P$305,$C984,2*$D984-1),""),IF(ISNUMBER(INDEX(Avulsos!$B$6:$B$205,$C984)),INDEX(Avulsos!$B$6:$B$205,$C984),""))</f>
        <v/>
      </c>
      <c r="F984" s="114" t="str">
        <f aca="false">IF($E984="","",IF($B984="Tema",INDEX(Temas!$B$6:$B$305,$C984)&amp;"",INDEX(Avulsos!$C$6:$C$205,$C984)&amp;""))</f>
        <v/>
      </c>
      <c r="G984" s="114" t="str">
        <f aca="false">IF($E984="","",IF($B984="Tema",INDEX(Config!$C$6:$C$11,$D984),"Evento avulso"))</f>
        <v/>
      </c>
      <c r="H984" s="114" t="str">
        <f aca="false">IF($E984="","",IF($B984="Tema",INDEX(Config!$D$6:$D$11,$D984),IFERROR(INDEX(Config!$E$15:$E$19,MATCH($I984,Config!$C$15:$C$19,0)),"•")))</f>
        <v/>
      </c>
      <c r="I984" s="114" t="str">
        <f aca="false">IF($E984="","",IF($B984="Tema",INDEX(Config!$E$6:$E$11,$D984),IF(INDEX(Avulsos!$D$6:$D$205,$C984)&amp;""="","Outro",INDEX(Avulsos!$D$6:$D$205,$C984))))</f>
        <v/>
      </c>
      <c r="J984" s="114" t="str">
        <f aca="false">IF($E984="","",IF($B984="Tema",INDEX(Temas!$C$6:$C$305,$C984)&amp;"",INDEX(Avulsos!$E$6:$E$205,$C984)&amp;""))</f>
        <v/>
      </c>
      <c r="K984" s="114" t="str">
        <f aca="false">IF($E984="","",IF(IF($B984="Tema",INDEX(Temas!$E$6:$P$305,$C984,2*$D984),INDEX(Avulsos!$F$6:$F$205,$C984))&amp;""="","","✓"))</f>
        <v/>
      </c>
      <c r="L984" s="114" t="str">
        <f aca="true">IF($E984="","",IF($K984="✓","Concluído",IF($E984&lt;TODAY(),"Atrasado",IF($E984=TODAY(),"Hoje","Pendente"))))</f>
        <v/>
      </c>
      <c r="M984" s="114" t="str">
        <f aca="false">IF($E984="","",IF($K984="✓","✓ ","")&amp;IF(Config!$E$22="Sim",$H984&amp;" · ","")&amp;$F984)</f>
        <v/>
      </c>
      <c r="N984" s="114" t="str">
        <f aca="false">IF($E984="","",IFERROR(INDEX(Config!$D$15:$D$19,MATCH($I984,Config!$C$15:$C$19,0)),"OUT")&amp;IF($K984="✓","x",""))</f>
        <v/>
      </c>
      <c r="O984" s="114" t="str">
        <f aca="false">IF($E984="","",COUNTIF($E$5:$E984,$E984))</f>
        <v/>
      </c>
      <c r="P984" s="114" t="str">
        <f aca="false">IF($E984="","",$E984*100+$O984)</f>
        <v/>
      </c>
      <c r="Q984" s="114" t="str">
        <f aca="false">IF($L984="Atrasado",$E984*10000+$A984,"")</f>
        <v/>
      </c>
    </row>
    <row r="985" customFormat="false" ht="15" hidden="false" customHeight="false" outlineLevel="0" collapsed="false">
      <c r="A985" s="114" t="n">
        <f aca="false">ROW()-4</f>
        <v>981</v>
      </c>
      <c r="B985" s="114" t="str">
        <f aca="false">IF(A985&lt;=Config!$E$27*Config!$E$28,"Tema","Avulso")</f>
        <v>Tema</v>
      </c>
      <c r="C985" s="114" t="n">
        <f aca="false">IF(B985="Tema",INT((A985-1)/Config!$E$28)+1,A985-Config!$E$27*Config!$E$28)</f>
        <v>164</v>
      </c>
      <c r="D985" s="114" t="n">
        <f aca="false">IF(B985="Tema",MOD(A985-1,Config!$E$28)+1,"")</f>
        <v>3</v>
      </c>
      <c r="E985" s="115" t="str">
        <f aca="false">IF($B985="Tema",IF(ISNUMBER(INDEX(Temas!$E$6:$P$305,$C985,2*$D985-1)),INDEX(Temas!$E$6:$P$305,$C985,2*$D985-1),""),IF(ISNUMBER(INDEX(Avulsos!$B$6:$B$205,$C985)),INDEX(Avulsos!$B$6:$B$205,$C985),""))</f>
        <v/>
      </c>
      <c r="F985" s="114" t="str">
        <f aca="false">IF($E985="","",IF($B985="Tema",INDEX(Temas!$B$6:$B$305,$C985)&amp;"",INDEX(Avulsos!$C$6:$C$205,$C985)&amp;""))</f>
        <v/>
      </c>
      <c r="G985" s="114" t="str">
        <f aca="false">IF($E985="","",IF($B985="Tema",INDEX(Config!$C$6:$C$11,$D985),"Evento avulso"))</f>
        <v/>
      </c>
      <c r="H985" s="114" t="str">
        <f aca="false">IF($E985="","",IF($B985="Tema",INDEX(Config!$D$6:$D$11,$D985),IFERROR(INDEX(Config!$E$15:$E$19,MATCH($I985,Config!$C$15:$C$19,0)),"•")))</f>
        <v/>
      </c>
      <c r="I985" s="114" t="str">
        <f aca="false">IF($E985="","",IF($B985="Tema",INDEX(Config!$E$6:$E$11,$D985),IF(INDEX(Avulsos!$D$6:$D$205,$C985)&amp;""="","Outro",INDEX(Avulsos!$D$6:$D$205,$C985))))</f>
        <v/>
      </c>
      <c r="J985" s="114" t="str">
        <f aca="false">IF($E985="","",IF($B985="Tema",INDEX(Temas!$C$6:$C$305,$C985)&amp;"",INDEX(Avulsos!$E$6:$E$205,$C985)&amp;""))</f>
        <v/>
      </c>
      <c r="K985" s="114" t="str">
        <f aca="false">IF($E985="","",IF(IF($B985="Tema",INDEX(Temas!$E$6:$P$305,$C985,2*$D985),INDEX(Avulsos!$F$6:$F$205,$C985))&amp;""="","","✓"))</f>
        <v/>
      </c>
      <c r="L985" s="114" t="str">
        <f aca="true">IF($E985="","",IF($K985="✓","Concluído",IF($E985&lt;TODAY(),"Atrasado",IF($E985=TODAY(),"Hoje","Pendente"))))</f>
        <v/>
      </c>
      <c r="M985" s="114" t="str">
        <f aca="false">IF($E985="","",IF($K985="✓","✓ ","")&amp;IF(Config!$E$22="Sim",$H985&amp;" · ","")&amp;$F985)</f>
        <v/>
      </c>
      <c r="N985" s="114" t="str">
        <f aca="false">IF($E985="","",IFERROR(INDEX(Config!$D$15:$D$19,MATCH($I985,Config!$C$15:$C$19,0)),"OUT")&amp;IF($K985="✓","x",""))</f>
        <v/>
      </c>
      <c r="O985" s="114" t="str">
        <f aca="false">IF($E985="","",COUNTIF($E$5:$E985,$E985))</f>
        <v/>
      </c>
      <c r="P985" s="114" t="str">
        <f aca="false">IF($E985="","",$E985*100+$O985)</f>
        <v/>
      </c>
      <c r="Q985" s="114" t="str">
        <f aca="false">IF($L985="Atrasado",$E985*10000+$A985,"")</f>
        <v/>
      </c>
    </row>
    <row r="986" customFormat="false" ht="15" hidden="false" customHeight="false" outlineLevel="0" collapsed="false">
      <c r="A986" s="114" t="n">
        <f aca="false">ROW()-4</f>
        <v>982</v>
      </c>
      <c r="B986" s="114" t="str">
        <f aca="false">IF(A986&lt;=Config!$E$27*Config!$E$28,"Tema","Avulso")</f>
        <v>Tema</v>
      </c>
      <c r="C986" s="114" t="n">
        <f aca="false">IF(B986="Tema",INT((A986-1)/Config!$E$28)+1,A986-Config!$E$27*Config!$E$28)</f>
        <v>164</v>
      </c>
      <c r="D986" s="114" t="n">
        <f aca="false">IF(B986="Tema",MOD(A986-1,Config!$E$28)+1,"")</f>
        <v>4</v>
      </c>
      <c r="E986" s="115" t="str">
        <f aca="false">IF($B986="Tema",IF(ISNUMBER(INDEX(Temas!$E$6:$P$305,$C986,2*$D986-1)),INDEX(Temas!$E$6:$P$305,$C986,2*$D986-1),""),IF(ISNUMBER(INDEX(Avulsos!$B$6:$B$205,$C986)),INDEX(Avulsos!$B$6:$B$205,$C986),""))</f>
        <v/>
      </c>
      <c r="F986" s="114" t="str">
        <f aca="false">IF($E986="","",IF($B986="Tema",INDEX(Temas!$B$6:$B$305,$C986)&amp;"",INDEX(Avulsos!$C$6:$C$205,$C986)&amp;""))</f>
        <v/>
      </c>
      <c r="G986" s="114" t="str">
        <f aca="false">IF($E986="","",IF($B986="Tema",INDEX(Config!$C$6:$C$11,$D986),"Evento avulso"))</f>
        <v/>
      </c>
      <c r="H986" s="114" t="str">
        <f aca="false">IF($E986="","",IF($B986="Tema",INDEX(Config!$D$6:$D$11,$D986),IFERROR(INDEX(Config!$E$15:$E$19,MATCH($I986,Config!$C$15:$C$19,0)),"•")))</f>
        <v/>
      </c>
      <c r="I986" s="114" t="str">
        <f aca="false">IF($E986="","",IF($B986="Tema",INDEX(Config!$E$6:$E$11,$D986),IF(INDEX(Avulsos!$D$6:$D$205,$C986)&amp;""="","Outro",INDEX(Avulsos!$D$6:$D$205,$C986))))</f>
        <v/>
      </c>
      <c r="J986" s="114" t="str">
        <f aca="false">IF($E986="","",IF($B986="Tema",INDEX(Temas!$C$6:$C$305,$C986)&amp;"",INDEX(Avulsos!$E$6:$E$205,$C986)&amp;""))</f>
        <v/>
      </c>
      <c r="K986" s="114" t="str">
        <f aca="false">IF($E986="","",IF(IF($B986="Tema",INDEX(Temas!$E$6:$P$305,$C986,2*$D986),INDEX(Avulsos!$F$6:$F$205,$C986))&amp;""="","","✓"))</f>
        <v/>
      </c>
      <c r="L986" s="114" t="str">
        <f aca="true">IF($E986="","",IF($K986="✓","Concluído",IF($E986&lt;TODAY(),"Atrasado",IF($E986=TODAY(),"Hoje","Pendente"))))</f>
        <v/>
      </c>
      <c r="M986" s="114" t="str">
        <f aca="false">IF($E986="","",IF($K986="✓","✓ ","")&amp;IF(Config!$E$22="Sim",$H986&amp;" · ","")&amp;$F986)</f>
        <v/>
      </c>
      <c r="N986" s="114" t="str">
        <f aca="false">IF($E986="","",IFERROR(INDEX(Config!$D$15:$D$19,MATCH($I986,Config!$C$15:$C$19,0)),"OUT")&amp;IF($K986="✓","x",""))</f>
        <v/>
      </c>
      <c r="O986" s="114" t="str">
        <f aca="false">IF($E986="","",COUNTIF($E$5:$E986,$E986))</f>
        <v/>
      </c>
      <c r="P986" s="114" t="str">
        <f aca="false">IF($E986="","",$E986*100+$O986)</f>
        <v/>
      </c>
      <c r="Q986" s="114" t="str">
        <f aca="false">IF($L986="Atrasado",$E986*10000+$A986,"")</f>
        <v/>
      </c>
    </row>
    <row r="987" customFormat="false" ht="15" hidden="false" customHeight="false" outlineLevel="0" collapsed="false">
      <c r="A987" s="114" t="n">
        <f aca="false">ROW()-4</f>
        <v>983</v>
      </c>
      <c r="B987" s="114" t="str">
        <f aca="false">IF(A987&lt;=Config!$E$27*Config!$E$28,"Tema","Avulso")</f>
        <v>Tema</v>
      </c>
      <c r="C987" s="114" t="n">
        <f aca="false">IF(B987="Tema",INT((A987-1)/Config!$E$28)+1,A987-Config!$E$27*Config!$E$28)</f>
        <v>164</v>
      </c>
      <c r="D987" s="114" t="n">
        <f aca="false">IF(B987="Tema",MOD(A987-1,Config!$E$28)+1,"")</f>
        <v>5</v>
      </c>
      <c r="E987" s="115" t="str">
        <f aca="false">IF($B987="Tema",IF(ISNUMBER(INDEX(Temas!$E$6:$P$305,$C987,2*$D987-1)),INDEX(Temas!$E$6:$P$305,$C987,2*$D987-1),""),IF(ISNUMBER(INDEX(Avulsos!$B$6:$B$205,$C987)),INDEX(Avulsos!$B$6:$B$205,$C987),""))</f>
        <v/>
      </c>
      <c r="F987" s="114" t="str">
        <f aca="false">IF($E987="","",IF($B987="Tema",INDEX(Temas!$B$6:$B$305,$C987)&amp;"",INDEX(Avulsos!$C$6:$C$205,$C987)&amp;""))</f>
        <v/>
      </c>
      <c r="G987" s="114" t="str">
        <f aca="false">IF($E987="","",IF($B987="Tema",INDEX(Config!$C$6:$C$11,$D987),"Evento avulso"))</f>
        <v/>
      </c>
      <c r="H987" s="114" t="str">
        <f aca="false">IF($E987="","",IF($B987="Tema",INDEX(Config!$D$6:$D$11,$D987),IFERROR(INDEX(Config!$E$15:$E$19,MATCH($I987,Config!$C$15:$C$19,0)),"•")))</f>
        <v/>
      </c>
      <c r="I987" s="114" t="str">
        <f aca="false">IF($E987="","",IF($B987="Tema",INDEX(Config!$E$6:$E$11,$D987),IF(INDEX(Avulsos!$D$6:$D$205,$C987)&amp;""="","Outro",INDEX(Avulsos!$D$6:$D$205,$C987))))</f>
        <v/>
      </c>
      <c r="J987" s="114" t="str">
        <f aca="false">IF($E987="","",IF($B987="Tema",INDEX(Temas!$C$6:$C$305,$C987)&amp;"",INDEX(Avulsos!$E$6:$E$205,$C987)&amp;""))</f>
        <v/>
      </c>
      <c r="K987" s="114" t="str">
        <f aca="false">IF($E987="","",IF(IF($B987="Tema",INDEX(Temas!$E$6:$P$305,$C987,2*$D987),INDEX(Avulsos!$F$6:$F$205,$C987))&amp;""="","","✓"))</f>
        <v/>
      </c>
      <c r="L987" s="114" t="str">
        <f aca="true">IF($E987="","",IF($K987="✓","Concluído",IF($E987&lt;TODAY(),"Atrasado",IF($E987=TODAY(),"Hoje","Pendente"))))</f>
        <v/>
      </c>
      <c r="M987" s="114" t="str">
        <f aca="false">IF($E987="","",IF($K987="✓","✓ ","")&amp;IF(Config!$E$22="Sim",$H987&amp;" · ","")&amp;$F987)</f>
        <v/>
      </c>
      <c r="N987" s="114" t="str">
        <f aca="false">IF($E987="","",IFERROR(INDEX(Config!$D$15:$D$19,MATCH($I987,Config!$C$15:$C$19,0)),"OUT")&amp;IF($K987="✓","x",""))</f>
        <v/>
      </c>
      <c r="O987" s="114" t="str">
        <f aca="false">IF($E987="","",COUNTIF($E$5:$E987,$E987))</f>
        <v/>
      </c>
      <c r="P987" s="114" t="str">
        <f aca="false">IF($E987="","",$E987*100+$O987)</f>
        <v/>
      </c>
      <c r="Q987" s="114" t="str">
        <f aca="false">IF($L987="Atrasado",$E987*10000+$A987,"")</f>
        <v/>
      </c>
    </row>
    <row r="988" customFormat="false" ht="15" hidden="false" customHeight="false" outlineLevel="0" collapsed="false">
      <c r="A988" s="114" t="n">
        <f aca="false">ROW()-4</f>
        <v>984</v>
      </c>
      <c r="B988" s="114" t="str">
        <f aca="false">IF(A988&lt;=Config!$E$27*Config!$E$28,"Tema","Avulso")</f>
        <v>Tema</v>
      </c>
      <c r="C988" s="114" t="n">
        <f aca="false">IF(B988="Tema",INT((A988-1)/Config!$E$28)+1,A988-Config!$E$27*Config!$E$28)</f>
        <v>164</v>
      </c>
      <c r="D988" s="114" t="n">
        <f aca="false">IF(B988="Tema",MOD(A988-1,Config!$E$28)+1,"")</f>
        <v>6</v>
      </c>
      <c r="E988" s="115" t="str">
        <f aca="false">IF($B988="Tema",IF(ISNUMBER(INDEX(Temas!$E$6:$P$305,$C988,2*$D988-1)),INDEX(Temas!$E$6:$P$305,$C988,2*$D988-1),""),IF(ISNUMBER(INDEX(Avulsos!$B$6:$B$205,$C988)),INDEX(Avulsos!$B$6:$B$205,$C988),""))</f>
        <v/>
      </c>
      <c r="F988" s="114" t="str">
        <f aca="false">IF($E988="","",IF($B988="Tema",INDEX(Temas!$B$6:$B$305,$C988)&amp;"",INDEX(Avulsos!$C$6:$C$205,$C988)&amp;""))</f>
        <v/>
      </c>
      <c r="G988" s="114" t="str">
        <f aca="false">IF($E988="","",IF($B988="Tema",INDEX(Config!$C$6:$C$11,$D988),"Evento avulso"))</f>
        <v/>
      </c>
      <c r="H988" s="114" t="str">
        <f aca="false">IF($E988="","",IF($B988="Tema",INDEX(Config!$D$6:$D$11,$D988),IFERROR(INDEX(Config!$E$15:$E$19,MATCH($I988,Config!$C$15:$C$19,0)),"•")))</f>
        <v/>
      </c>
      <c r="I988" s="114" t="str">
        <f aca="false">IF($E988="","",IF($B988="Tema",INDEX(Config!$E$6:$E$11,$D988),IF(INDEX(Avulsos!$D$6:$D$205,$C988)&amp;""="","Outro",INDEX(Avulsos!$D$6:$D$205,$C988))))</f>
        <v/>
      </c>
      <c r="J988" s="114" t="str">
        <f aca="false">IF($E988="","",IF($B988="Tema",INDEX(Temas!$C$6:$C$305,$C988)&amp;"",INDEX(Avulsos!$E$6:$E$205,$C988)&amp;""))</f>
        <v/>
      </c>
      <c r="K988" s="114" t="str">
        <f aca="false">IF($E988="","",IF(IF($B988="Tema",INDEX(Temas!$E$6:$P$305,$C988,2*$D988),INDEX(Avulsos!$F$6:$F$205,$C988))&amp;""="","","✓"))</f>
        <v/>
      </c>
      <c r="L988" s="114" t="str">
        <f aca="true">IF($E988="","",IF($K988="✓","Concluído",IF($E988&lt;TODAY(),"Atrasado",IF($E988=TODAY(),"Hoje","Pendente"))))</f>
        <v/>
      </c>
      <c r="M988" s="114" t="str">
        <f aca="false">IF($E988="","",IF($K988="✓","✓ ","")&amp;IF(Config!$E$22="Sim",$H988&amp;" · ","")&amp;$F988)</f>
        <v/>
      </c>
      <c r="N988" s="114" t="str">
        <f aca="false">IF($E988="","",IFERROR(INDEX(Config!$D$15:$D$19,MATCH($I988,Config!$C$15:$C$19,0)),"OUT")&amp;IF($K988="✓","x",""))</f>
        <v/>
      </c>
      <c r="O988" s="114" t="str">
        <f aca="false">IF($E988="","",COUNTIF($E$5:$E988,$E988))</f>
        <v/>
      </c>
      <c r="P988" s="114" t="str">
        <f aca="false">IF($E988="","",$E988*100+$O988)</f>
        <v/>
      </c>
      <c r="Q988" s="114" t="str">
        <f aca="false">IF($L988="Atrasado",$E988*10000+$A988,"")</f>
        <v/>
      </c>
    </row>
    <row r="989" customFormat="false" ht="15" hidden="false" customHeight="false" outlineLevel="0" collapsed="false">
      <c r="A989" s="114" t="n">
        <f aca="false">ROW()-4</f>
        <v>985</v>
      </c>
      <c r="B989" s="114" t="str">
        <f aca="false">IF(A989&lt;=Config!$E$27*Config!$E$28,"Tema","Avulso")</f>
        <v>Tema</v>
      </c>
      <c r="C989" s="114" t="n">
        <f aca="false">IF(B989="Tema",INT((A989-1)/Config!$E$28)+1,A989-Config!$E$27*Config!$E$28)</f>
        <v>165</v>
      </c>
      <c r="D989" s="114" t="n">
        <f aca="false">IF(B989="Tema",MOD(A989-1,Config!$E$28)+1,"")</f>
        <v>1</v>
      </c>
      <c r="E989" s="115" t="str">
        <f aca="false">IF($B989="Tema",IF(ISNUMBER(INDEX(Temas!$E$6:$P$305,$C989,2*$D989-1)),INDEX(Temas!$E$6:$P$305,$C989,2*$D989-1),""),IF(ISNUMBER(INDEX(Avulsos!$B$6:$B$205,$C989)),INDEX(Avulsos!$B$6:$B$205,$C989),""))</f>
        <v/>
      </c>
      <c r="F989" s="114" t="str">
        <f aca="false">IF($E989="","",IF($B989="Tema",INDEX(Temas!$B$6:$B$305,$C989)&amp;"",INDEX(Avulsos!$C$6:$C$205,$C989)&amp;""))</f>
        <v/>
      </c>
      <c r="G989" s="114" t="str">
        <f aca="false">IF($E989="","",IF($B989="Tema",INDEX(Config!$C$6:$C$11,$D989),"Evento avulso"))</f>
        <v/>
      </c>
      <c r="H989" s="114" t="str">
        <f aca="false">IF($E989="","",IF($B989="Tema",INDEX(Config!$D$6:$D$11,$D989),IFERROR(INDEX(Config!$E$15:$E$19,MATCH($I989,Config!$C$15:$C$19,0)),"•")))</f>
        <v/>
      </c>
      <c r="I989" s="114" t="str">
        <f aca="false">IF($E989="","",IF($B989="Tema",INDEX(Config!$E$6:$E$11,$D989),IF(INDEX(Avulsos!$D$6:$D$205,$C989)&amp;""="","Outro",INDEX(Avulsos!$D$6:$D$205,$C989))))</f>
        <v/>
      </c>
      <c r="J989" s="114" t="str">
        <f aca="false">IF($E989="","",IF($B989="Tema",INDEX(Temas!$C$6:$C$305,$C989)&amp;"",INDEX(Avulsos!$E$6:$E$205,$C989)&amp;""))</f>
        <v/>
      </c>
      <c r="K989" s="114" t="str">
        <f aca="false">IF($E989="","",IF(IF($B989="Tema",INDEX(Temas!$E$6:$P$305,$C989,2*$D989),INDEX(Avulsos!$F$6:$F$205,$C989))&amp;""="","","✓"))</f>
        <v/>
      </c>
      <c r="L989" s="114" t="str">
        <f aca="true">IF($E989="","",IF($K989="✓","Concluído",IF($E989&lt;TODAY(),"Atrasado",IF($E989=TODAY(),"Hoje","Pendente"))))</f>
        <v/>
      </c>
      <c r="M989" s="114" t="str">
        <f aca="false">IF($E989="","",IF($K989="✓","✓ ","")&amp;IF(Config!$E$22="Sim",$H989&amp;" · ","")&amp;$F989)</f>
        <v/>
      </c>
      <c r="N989" s="114" t="str">
        <f aca="false">IF($E989="","",IFERROR(INDEX(Config!$D$15:$D$19,MATCH($I989,Config!$C$15:$C$19,0)),"OUT")&amp;IF($K989="✓","x",""))</f>
        <v/>
      </c>
      <c r="O989" s="114" t="str">
        <f aca="false">IF($E989="","",COUNTIF($E$5:$E989,$E989))</f>
        <v/>
      </c>
      <c r="P989" s="114" t="str">
        <f aca="false">IF($E989="","",$E989*100+$O989)</f>
        <v/>
      </c>
      <c r="Q989" s="114" t="str">
        <f aca="false">IF($L989="Atrasado",$E989*10000+$A989,"")</f>
        <v/>
      </c>
    </row>
    <row r="990" customFormat="false" ht="15" hidden="false" customHeight="false" outlineLevel="0" collapsed="false">
      <c r="A990" s="114" t="n">
        <f aca="false">ROW()-4</f>
        <v>986</v>
      </c>
      <c r="B990" s="114" t="str">
        <f aca="false">IF(A990&lt;=Config!$E$27*Config!$E$28,"Tema","Avulso")</f>
        <v>Tema</v>
      </c>
      <c r="C990" s="114" t="n">
        <f aca="false">IF(B990="Tema",INT((A990-1)/Config!$E$28)+1,A990-Config!$E$27*Config!$E$28)</f>
        <v>165</v>
      </c>
      <c r="D990" s="114" t="n">
        <f aca="false">IF(B990="Tema",MOD(A990-1,Config!$E$28)+1,"")</f>
        <v>2</v>
      </c>
      <c r="E990" s="115" t="str">
        <f aca="false">IF($B990="Tema",IF(ISNUMBER(INDEX(Temas!$E$6:$P$305,$C990,2*$D990-1)),INDEX(Temas!$E$6:$P$305,$C990,2*$D990-1),""),IF(ISNUMBER(INDEX(Avulsos!$B$6:$B$205,$C990)),INDEX(Avulsos!$B$6:$B$205,$C990),""))</f>
        <v/>
      </c>
      <c r="F990" s="114" t="str">
        <f aca="false">IF($E990="","",IF($B990="Tema",INDEX(Temas!$B$6:$B$305,$C990)&amp;"",INDEX(Avulsos!$C$6:$C$205,$C990)&amp;""))</f>
        <v/>
      </c>
      <c r="G990" s="114" t="str">
        <f aca="false">IF($E990="","",IF($B990="Tema",INDEX(Config!$C$6:$C$11,$D990),"Evento avulso"))</f>
        <v/>
      </c>
      <c r="H990" s="114" t="str">
        <f aca="false">IF($E990="","",IF($B990="Tema",INDEX(Config!$D$6:$D$11,$D990),IFERROR(INDEX(Config!$E$15:$E$19,MATCH($I990,Config!$C$15:$C$19,0)),"•")))</f>
        <v/>
      </c>
      <c r="I990" s="114" t="str">
        <f aca="false">IF($E990="","",IF($B990="Tema",INDEX(Config!$E$6:$E$11,$D990),IF(INDEX(Avulsos!$D$6:$D$205,$C990)&amp;""="","Outro",INDEX(Avulsos!$D$6:$D$205,$C990))))</f>
        <v/>
      </c>
      <c r="J990" s="114" t="str">
        <f aca="false">IF($E990="","",IF($B990="Tema",INDEX(Temas!$C$6:$C$305,$C990)&amp;"",INDEX(Avulsos!$E$6:$E$205,$C990)&amp;""))</f>
        <v/>
      </c>
      <c r="K990" s="114" t="str">
        <f aca="false">IF($E990="","",IF(IF($B990="Tema",INDEX(Temas!$E$6:$P$305,$C990,2*$D990),INDEX(Avulsos!$F$6:$F$205,$C990))&amp;""="","","✓"))</f>
        <v/>
      </c>
      <c r="L990" s="114" t="str">
        <f aca="true">IF($E990="","",IF($K990="✓","Concluído",IF($E990&lt;TODAY(),"Atrasado",IF($E990=TODAY(),"Hoje","Pendente"))))</f>
        <v/>
      </c>
      <c r="M990" s="114" t="str">
        <f aca="false">IF($E990="","",IF($K990="✓","✓ ","")&amp;IF(Config!$E$22="Sim",$H990&amp;" · ","")&amp;$F990)</f>
        <v/>
      </c>
      <c r="N990" s="114" t="str">
        <f aca="false">IF($E990="","",IFERROR(INDEX(Config!$D$15:$D$19,MATCH($I990,Config!$C$15:$C$19,0)),"OUT")&amp;IF($K990="✓","x",""))</f>
        <v/>
      </c>
      <c r="O990" s="114" t="str">
        <f aca="false">IF($E990="","",COUNTIF($E$5:$E990,$E990))</f>
        <v/>
      </c>
      <c r="P990" s="114" t="str">
        <f aca="false">IF($E990="","",$E990*100+$O990)</f>
        <v/>
      </c>
      <c r="Q990" s="114" t="str">
        <f aca="false">IF($L990="Atrasado",$E990*10000+$A990,"")</f>
        <v/>
      </c>
    </row>
    <row r="991" customFormat="false" ht="15" hidden="false" customHeight="false" outlineLevel="0" collapsed="false">
      <c r="A991" s="114" t="n">
        <f aca="false">ROW()-4</f>
        <v>987</v>
      </c>
      <c r="B991" s="114" t="str">
        <f aca="false">IF(A991&lt;=Config!$E$27*Config!$E$28,"Tema","Avulso")</f>
        <v>Tema</v>
      </c>
      <c r="C991" s="114" t="n">
        <f aca="false">IF(B991="Tema",INT((A991-1)/Config!$E$28)+1,A991-Config!$E$27*Config!$E$28)</f>
        <v>165</v>
      </c>
      <c r="D991" s="114" t="n">
        <f aca="false">IF(B991="Tema",MOD(A991-1,Config!$E$28)+1,"")</f>
        <v>3</v>
      </c>
      <c r="E991" s="115" t="str">
        <f aca="false">IF($B991="Tema",IF(ISNUMBER(INDEX(Temas!$E$6:$P$305,$C991,2*$D991-1)),INDEX(Temas!$E$6:$P$305,$C991,2*$D991-1),""),IF(ISNUMBER(INDEX(Avulsos!$B$6:$B$205,$C991)),INDEX(Avulsos!$B$6:$B$205,$C991),""))</f>
        <v/>
      </c>
      <c r="F991" s="114" t="str">
        <f aca="false">IF($E991="","",IF($B991="Tema",INDEX(Temas!$B$6:$B$305,$C991)&amp;"",INDEX(Avulsos!$C$6:$C$205,$C991)&amp;""))</f>
        <v/>
      </c>
      <c r="G991" s="114" t="str">
        <f aca="false">IF($E991="","",IF($B991="Tema",INDEX(Config!$C$6:$C$11,$D991),"Evento avulso"))</f>
        <v/>
      </c>
      <c r="H991" s="114" t="str">
        <f aca="false">IF($E991="","",IF($B991="Tema",INDEX(Config!$D$6:$D$11,$D991),IFERROR(INDEX(Config!$E$15:$E$19,MATCH($I991,Config!$C$15:$C$19,0)),"•")))</f>
        <v/>
      </c>
      <c r="I991" s="114" t="str">
        <f aca="false">IF($E991="","",IF($B991="Tema",INDEX(Config!$E$6:$E$11,$D991),IF(INDEX(Avulsos!$D$6:$D$205,$C991)&amp;""="","Outro",INDEX(Avulsos!$D$6:$D$205,$C991))))</f>
        <v/>
      </c>
      <c r="J991" s="114" t="str">
        <f aca="false">IF($E991="","",IF($B991="Tema",INDEX(Temas!$C$6:$C$305,$C991)&amp;"",INDEX(Avulsos!$E$6:$E$205,$C991)&amp;""))</f>
        <v/>
      </c>
      <c r="K991" s="114" t="str">
        <f aca="false">IF($E991="","",IF(IF($B991="Tema",INDEX(Temas!$E$6:$P$305,$C991,2*$D991),INDEX(Avulsos!$F$6:$F$205,$C991))&amp;""="","","✓"))</f>
        <v/>
      </c>
      <c r="L991" s="114" t="str">
        <f aca="true">IF($E991="","",IF($K991="✓","Concluído",IF($E991&lt;TODAY(),"Atrasado",IF($E991=TODAY(),"Hoje","Pendente"))))</f>
        <v/>
      </c>
      <c r="M991" s="114" t="str">
        <f aca="false">IF($E991="","",IF($K991="✓","✓ ","")&amp;IF(Config!$E$22="Sim",$H991&amp;" · ","")&amp;$F991)</f>
        <v/>
      </c>
      <c r="N991" s="114" t="str">
        <f aca="false">IF($E991="","",IFERROR(INDEX(Config!$D$15:$D$19,MATCH($I991,Config!$C$15:$C$19,0)),"OUT")&amp;IF($K991="✓","x",""))</f>
        <v/>
      </c>
      <c r="O991" s="114" t="str">
        <f aca="false">IF($E991="","",COUNTIF($E$5:$E991,$E991))</f>
        <v/>
      </c>
      <c r="P991" s="114" t="str">
        <f aca="false">IF($E991="","",$E991*100+$O991)</f>
        <v/>
      </c>
      <c r="Q991" s="114" t="str">
        <f aca="false">IF($L991="Atrasado",$E991*10000+$A991,"")</f>
        <v/>
      </c>
    </row>
    <row r="992" customFormat="false" ht="15" hidden="false" customHeight="false" outlineLevel="0" collapsed="false">
      <c r="A992" s="114" t="n">
        <f aca="false">ROW()-4</f>
        <v>988</v>
      </c>
      <c r="B992" s="114" t="str">
        <f aca="false">IF(A992&lt;=Config!$E$27*Config!$E$28,"Tema","Avulso")</f>
        <v>Tema</v>
      </c>
      <c r="C992" s="114" t="n">
        <f aca="false">IF(B992="Tema",INT((A992-1)/Config!$E$28)+1,A992-Config!$E$27*Config!$E$28)</f>
        <v>165</v>
      </c>
      <c r="D992" s="114" t="n">
        <f aca="false">IF(B992="Tema",MOD(A992-1,Config!$E$28)+1,"")</f>
        <v>4</v>
      </c>
      <c r="E992" s="115" t="str">
        <f aca="false">IF($B992="Tema",IF(ISNUMBER(INDEX(Temas!$E$6:$P$305,$C992,2*$D992-1)),INDEX(Temas!$E$6:$P$305,$C992,2*$D992-1),""),IF(ISNUMBER(INDEX(Avulsos!$B$6:$B$205,$C992)),INDEX(Avulsos!$B$6:$B$205,$C992),""))</f>
        <v/>
      </c>
      <c r="F992" s="114" t="str">
        <f aca="false">IF($E992="","",IF($B992="Tema",INDEX(Temas!$B$6:$B$305,$C992)&amp;"",INDEX(Avulsos!$C$6:$C$205,$C992)&amp;""))</f>
        <v/>
      </c>
      <c r="G992" s="114" t="str">
        <f aca="false">IF($E992="","",IF($B992="Tema",INDEX(Config!$C$6:$C$11,$D992),"Evento avulso"))</f>
        <v/>
      </c>
      <c r="H992" s="114" t="str">
        <f aca="false">IF($E992="","",IF($B992="Tema",INDEX(Config!$D$6:$D$11,$D992),IFERROR(INDEX(Config!$E$15:$E$19,MATCH($I992,Config!$C$15:$C$19,0)),"•")))</f>
        <v/>
      </c>
      <c r="I992" s="114" t="str">
        <f aca="false">IF($E992="","",IF($B992="Tema",INDEX(Config!$E$6:$E$11,$D992),IF(INDEX(Avulsos!$D$6:$D$205,$C992)&amp;""="","Outro",INDEX(Avulsos!$D$6:$D$205,$C992))))</f>
        <v/>
      </c>
      <c r="J992" s="114" t="str">
        <f aca="false">IF($E992="","",IF($B992="Tema",INDEX(Temas!$C$6:$C$305,$C992)&amp;"",INDEX(Avulsos!$E$6:$E$205,$C992)&amp;""))</f>
        <v/>
      </c>
      <c r="K992" s="114" t="str">
        <f aca="false">IF($E992="","",IF(IF($B992="Tema",INDEX(Temas!$E$6:$P$305,$C992,2*$D992),INDEX(Avulsos!$F$6:$F$205,$C992))&amp;""="","","✓"))</f>
        <v/>
      </c>
      <c r="L992" s="114" t="str">
        <f aca="true">IF($E992="","",IF($K992="✓","Concluído",IF($E992&lt;TODAY(),"Atrasado",IF($E992=TODAY(),"Hoje","Pendente"))))</f>
        <v/>
      </c>
      <c r="M992" s="114" t="str">
        <f aca="false">IF($E992="","",IF($K992="✓","✓ ","")&amp;IF(Config!$E$22="Sim",$H992&amp;" · ","")&amp;$F992)</f>
        <v/>
      </c>
      <c r="N992" s="114" t="str">
        <f aca="false">IF($E992="","",IFERROR(INDEX(Config!$D$15:$D$19,MATCH($I992,Config!$C$15:$C$19,0)),"OUT")&amp;IF($K992="✓","x",""))</f>
        <v/>
      </c>
      <c r="O992" s="114" t="str">
        <f aca="false">IF($E992="","",COUNTIF($E$5:$E992,$E992))</f>
        <v/>
      </c>
      <c r="P992" s="114" t="str">
        <f aca="false">IF($E992="","",$E992*100+$O992)</f>
        <v/>
      </c>
      <c r="Q992" s="114" t="str">
        <f aca="false">IF($L992="Atrasado",$E992*10000+$A992,"")</f>
        <v/>
      </c>
    </row>
    <row r="993" customFormat="false" ht="15" hidden="false" customHeight="false" outlineLevel="0" collapsed="false">
      <c r="A993" s="114" t="n">
        <f aca="false">ROW()-4</f>
        <v>989</v>
      </c>
      <c r="B993" s="114" t="str">
        <f aca="false">IF(A993&lt;=Config!$E$27*Config!$E$28,"Tema","Avulso")</f>
        <v>Tema</v>
      </c>
      <c r="C993" s="114" t="n">
        <f aca="false">IF(B993="Tema",INT((A993-1)/Config!$E$28)+1,A993-Config!$E$27*Config!$E$28)</f>
        <v>165</v>
      </c>
      <c r="D993" s="114" t="n">
        <f aca="false">IF(B993="Tema",MOD(A993-1,Config!$E$28)+1,"")</f>
        <v>5</v>
      </c>
      <c r="E993" s="115" t="str">
        <f aca="false">IF($B993="Tema",IF(ISNUMBER(INDEX(Temas!$E$6:$P$305,$C993,2*$D993-1)),INDEX(Temas!$E$6:$P$305,$C993,2*$D993-1),""),IF(ISNUMBER(INDEX(Avulsos!$B$6:$B$205,$C993)),INDEX(Avulsos!$B$6:$B$205,$C993),""))</f>
        <v/>
      </c>
      <c r="F993" s="114" t="str">
        <f aca="false">IF($E993="","",IF($B993="Tema",INDEX(Temas!$B$6:$B$305,$C993)&amp;"",INDEX(Avulsos!$C$6:$C$205,$C993)&amp;""))</f>
        <v/>
      </c>
      <c r="G993" s="114" t="str">
        <f aca="false">IF($E993="","",IF($B993="Tema",INDEX(Config!$C$6:$C$11,$D993),"Evento avulso"))</f>
        <v/>
      </c>
      <c r="H993" s="114" t="str">
        <f aca="false">IF($E993="","",IF($B993="Tema",INDEX(Config!$D$6:$D$11,$D993),IFERROR(INDEX(Config!$E$15:$E$19,MATCH($I993,Config!$C$15:$C$19,0)),"•")))</f>
        <v/>
      </c>
      <c r="I993" s="114" t="str">
        <f aca="false">IF($E993="","",IF($B993="Tema",INDEX(Config!$E$6:$E$11,$D993),IF(INDEX(Avulsos!$D$6:$D$205,$C993)&amp;""="","Outro",INDEX(Avulsos!$D$6:$D$205,$C993))))</f>
        <v/>
      </c>
      <c r="J993" s="114" t="str">
        <f aca="false">IF($E993="","",IF($B993="Tema",INDEX(Temas!$C$6:$C$305,$C993)&amp;"",INDEX(Avulsos!$E$6:$E$205,$C993)&amp;""))</f>
        <v/>
      </c>
      <c r="K993" s="114" t="str">
        <f aca="false">IF($E993="","",IF(IF($B993="Tema",INDEX(Temas!$E$6:$P$305,$C993,2*$D993),INDEX(Avulsos!$F$6:$F$205,$C993))&amp;""="","","✓"))</f>
        <v/>
      </c>
      <c r="L993" s="114" t="str">
        <f aca="true">IF($E993="","",IF($K993="✓","Concluído",IF($E993&lt;TODAY(),"Atrasado",IF($E993=TODAY(),"Hoje","Pendente"))))</f>
        <v/>
      </c>
      <c r="M993" s="114" t="str">
        <f aca="false">IF($E993="","",IF($K993="✓","✓ ","")&amp;IF(Config!$E$22="Sim",$H993&amp;" · ","")&amp;$F993)</f>
        <v/>
      </c>
      <c r="N993" s="114" t="str">
        <f aca="false">IF($E993="","",IFERROR(INDEX(Config!$D$15:$D$19,MATCH($I993,Config!$C$15:$C$19,0)),"OUT")&amp;IF($K993="✓","x",""))</f>
        <v/>
      </c>
      <c r="O993" s="114" t="str">
        <f aca="false">IF($E993="","",COUNTIF($E$5:$E993,$E993))</f>
        <v/>
      </c>
      <c r="P993" s="114" t="str">
        <f aca="false">IF($E993="","",$E993*100+$O993)</f>
        <v/>
      </c>
      <c r="Q993" s="114" t="str">
        <f aca="false">IF($L993="Atrasado",$E993*10000+$A993,"")</f>
        <v/>
      </c>
    </row>
    <row r="994" customFormat="false" ht="15" hidden="false" customHeight="false" outlineLevel="0" collapsed="false">
      <c r="A994" s="114" t="n">
        <f aca="false">ROW()-4</f>
        <v>990</v>
      </c>
      <c r="B994" s="114" t="str">
        <f aca="false">IF(A994&lt;=Config!$E$27*Config!$E$28,"Tema","Avulso")</f>
        <v>Tema</v>
      </c>
      <c r="C994" s="114" t="n">
        <f aca="false">IF(B994="Tema",INT((A994-1)/Config!$E$28)+1,A994-Config!$E$27*Config!$E$28)</f>
        <v>165</v>
      </c>
      <c r="D994" s="114" t="n">
        <f aca="false">IF(B994="Tema",MOD(A994-1,Config!$E$28)+1,"")</f>
        <v>6</v>
      </c>
      <c r="E994" s="115" t="str">
        <f aca="false">IF($B994="Tema",IF(ISNUMBER(INDEX(Temas!$E$6:$P$305,$C994,2*$D994-1)),INDEX(Temas!$E$6:$P$305,$C994,2*$D994-1),""),IF(ISNUMBER(INDEX(Avulsos!$B$6:$B$205,$C994)),INDEX(Avulsos!$B$6:$B$205,$C994),""))</f>
        <v/>
      </c>
      <c r="F994" s="114" t="str">
        <f aca="false">IF($E994="","",IF($B994="Tema",INDEX(Temas!$B$6:$B$305,$C994)&amp;"",INDEX(Avulsos!$C$6:$C$205,$C994)&amp;""))</f>
        <v/>
      </c>
      <c r="G994" s="114" t="str">
        <f aca="false">IF($E994="","",IF($B994="Tema",INDEX(Config!$C$6:$C$11,$D994),"Evento avulso"))</f>
        <v/>
      </c>
      <c r="H994" s="114" t="str">
        <f aca="false">IF($E994="","",IF($B994="Tema",INDEX(Config!$D$6:$D$11,$D994),IFERROR(INDEX(Config!$E$15:$E$19,MATCH($I994,Config!$C$15:$C$19,0)),"•")))</f>
        <v/>
      </c>
      <c r="I994" s="114" t="str">
        <f aca="false">IF($E994="","",IF($B994="Tema",INDEX(Config!$E$6:$E$11,$D994),IF(INDEX(Avulsos!$D$6:$D$205,$C994)&amp;""="","Outro",INDEX(Avulsos!$D$6:$D$205,$C994))))</f>
        <v/>
      </c>
      <c r="J994" s="114" t="str">
        <f aca="false">IF($E994="","",IF($B994="Tema",INDEX(Temas!$C$6:$C$305,$C994)&amp;"",INDEX(Avulsos!$E$6:$E$205,$C994)&amp;""))</f>
        <v/>
      </c>
      <c r="K994" s="114" t="str">
        <f aca="false">IF($E994="","",IF(IF($B994="Tema",INDEX(Temas!$E$6:$P$305,$C994,2*$D994),INDEX(Avulsos!$F$6:$F$205,$C994))&amp;""="","","✓"))</f>
        <v/>
      </c>
      <c r="L994" s="114" t="str">
        <f aca="true">IF($E994="","",IF($K994="✓","Concluído",IF($E994&lt;TODAY(),"Atrasado",IF($E994=TODAY(),"Hoje","Pendente"))))</f>
        <v/>
      </c>
      <c r="M994" s="114" t="str">
        <f aca="false">IF($E994="","",IF($K994="✓","✓ ","")&amp;IF(Config!$E$22="Sim",$H994&amp;" · ","")&amp;$F994)</f>
        <v/>
      </c>
      <c r="N994" s="114" t="str">
        <f aca="false">IF($E994="","",IFERROR(INDEX(Config!$D$15:$D$19,MATCH($I994,Config!$C$15:$C$19,0)),"OUT")&amp;IF($K994="✓","x",""))</f>
        <v/>
      </c>
      <c r="O994" s="114" t="str">
        <f aca="false">IF($E994="","",COUNTIF($E$5:$E994,$E994))</f>
        <v/>
      </c>
      <c r="P994" s="114" t="str">
        <f aca="false">IF($E994="","",$E994*100+$O994)</f>
        <v/>
      </c>
      <c r="Q994" s="114" t="str">
        <f aca="false">IF($L994="Atrasado",$E994*10000+$A994,"")</f>
        <v/>
      </c>
    </row>
    <row r="995" customFormat="false" ht="15" hidden="false" customHeight="false" outlineLevel="0" collapsed="false">
      <c r="A995" s="114" t="n">
        <f aca="false">ROW()-4</f>
        <v>991</v>
      </c>
      <c r="B995" s="114" t="str">
        <f aca="false">IF(A995&lt;=Config!$E$27*Config!$E$28,"Tema","Avulso")</f>
        <v>Tema</v>
      </c>
      <c r="C995" s="114" t="n">
        <f aca="false">IF(B995="Tema",INT((A995-1)/Config!$E$28)+1,A995-Config!$E$27*Config!$E$28)</f>
        <v>166</v>
      </c>
      <c r="D995" s="114" t="n">
        <f aca="false">IF(B995="Tema",MOD(A995-1,Config!$E$28)+1,"")</f>
        <v>1</v>
      </c>
      <c r="E995" s="115" t="str">
        <f aca="false">IF($B995="Tema",IF(ISNUMBER(INDEX(Temas!$E$6:$P$305,$C995,2*$D995-1)),INDEX(Temas!$E$6:$P$305,$C995,2*$D995-1),""),IF(ISNUMBER(INDEX(Avulsos!$B$6:$B$205,$C995)),INDEX(Avulsos!$B$6:$B$205,$C995),""))</f>
        <v/>
      </c>
      <c r="F995" s="114" t="str">
        <f aca="false">IF($E995="","",IF($B995="Tema",INDEX(Temas!$B$6:$B$305,$C995)&amp;"",INDEX(Avulsos!$C$6:$C$205,$C995)&amp;""))</f>
        <v/>
      </c>
      <c r="G995" s="114" t="str">
        <f aca="false">IF($E995="","",IF($B995="Tema",INDEX(Config!$C$6:$C$11,$D995),"Evento avulso"))</f>
        <v/>
      </c>
      <c r="H995" s="114" t="str">
        <f aca="false">IF($E995="","",IF($B995="Tema",INDEX(Config!$D$6:$D$11,$D995),IFERROR(INDEX(Config!$E$15:$E$19,MATCH($I995,Config!$C$15:$C$19,0)),"•")))</f>
        <v/>
      </c>
      <c r="I995" s="114" t="str">
        <f aca="false">IF($E995="","",IF($B995="Tema",INDEX(Config!$E$6:$E$11,$D995),IF(INDEX(Avulsos!$D$6:$D$205,$C995)&amp;""="","Outro",INDEX(Avulsos!$D$6:$D$205,$C995))))</f>
        <v/>
      </c>
      <c r="J995" s="114" t="str">
        <f aca="false">IF($E995="","",IF($B995="Tema",INDEX(Temas!$C$6:$C$305,$C995)&amp;"",INDEX(Avulsos!$E$6:$E$205,$C995)&amp;""))</f>
        <v/>
      </c>
      <c r="K995" s="114" t="str">
        <f aca="false">IF($E995="","",IF(IF($B995="Tema",INDEX(Temas!$E$6:$P$305,$C995,2*$D995),INDEX(Avulsos!$F$6:$F$205,$C995))&amp;""="","","✓"))</f>
        <v/>
      </c>
      <c r="L995" s="114" t="str">
        <f aca="true">IF($E995="","",IF($K995="✓","Concluído",IF($E995&lt;TODAY(),"Atrasado",IF($E995=TODAY(),"Hoje","Pendente"))))</f>
        <v/>
      </c>
      <c r="M995" s="114" t="str">
        <f aca="false">IF($E995="","",IF($K995="✓","✓ ","")&amp;IF(Config!$E$22="Sim",$H995&amp;" · ","")&amp;$F995)</f>
        <v/>
      </c>
      <c r="N995" s="114" t="str">
        <f aca="false">IF($E995="","",IFERROR(INDEX(Config!$D$15:$D$19,MATCH($I995,Config!$C$15:$C$19,0)),"OUT")&amp;IF($K995="✓","x",""))</f>
        <v/>
      </c>
      <c r="O995" s="114" t="str">
        <f aca="false">IF($E995="","",COUNTIF($E$5:$E995,$E995))</f>
        <v/>
      </c>
      <c r="P995" s="114" t="str">
        <f aca="false">IF($E995="","",$E995*100+$O995)</f>
        <v/>
      </c>
      <c r="Q995" s="114" t="str">
        <f aca="false">IF($L995="Atrasado",$E995*10000+$A995,"")</f>
        <v/>
      </c>
    </row>
    <row r="996" customFormat="false" ht="15" hidden="false" customHeight="false" outlineLevel="0" collapsed="false">
      <c r="A996" s="114" t="n">
        <f aca="false">ROW()-4</f>
        <v>992</v>
      </c>
      <c r="B996" s="114" t="str">
        <f aca="false">IF(A996&lt;=Config!$E$27*Config!$E$28,"Tema","Avulso")</f>
        <v>Tema</v>
      </c>
      <c r="C996" s="114" t="n">
        <f aca="false">IF(B996="Tema",INT((A996-1)/Config!$E$28)+1,A996-Config!$E$27*Config!$E$28)</f>
        <v>166</v>
      </c>
      <c r="D996" s="114" t="n">
        <f aca="false">IF(B996="Tema",MOD(A996-1,Config!$E$28)+1,"")</f>
        <v>2</v>
      </c>
      <c r="E996" s="115" t="str">
        <f aca="false">IF($B996="Tema",IF(ISNUMBER(INDEX(Temas!$E$6:$P$305,$C996,2*$D996-1)),INDEX(Temas!$E$6:$P$305,$C996,2*$D996-1),""),IF(ISNUMBER(INDEX(Avulsos!$B$6:$B$205,$C996)),INDEX(Avulsos!$B$6:$B$205,$C996),""))</f>
        <v/>
      </c>
      <c r="F996" s="114" t="str">
        <f aca="false">IF($E996="","",IF($B996="Tema",INDEX(Temas!$B$6:$B$305,$C996)&amp;"",INDEX(Avulsos!$C$6:$C$205,$C996)&amp;""))</f>
        <v/>
      </c>
      <c r="G996" s="114" t="str">
        <f aca="false">IF($E996="","",IF($B996="Tema",INDEX(Config!$C$6:$C$11,$D996),"Evento avulso"))</f>
        <v/>
      </c>
      <c r="H996" s="114" t="str">
        <f aca="false">IF($E996="","",IF($B996="Tema",INDEX(Config!$D$6:$D$11,$D996),IFERROR(INDEX(Config!$E$15:$E$19,MATCH($I996,Config!$C$15:$C$19,0)),"•")))</f>
        <v/>
      </c>
      <c r="I996" s="114" t="str">
        <f aca="false">IF($E996="","",IF($B996="Tema",INDEX(Config!$E$6:$E$11,$D996),IF(INDEX(Avulsos!$D$6:$D$205,$C996)&amp;""="","Outro",INDEX(Avulsos!$D$6:$D$205,$C996))))</f>
        <v/>
      </c>
      <c r="J996" s="114" t="str">
        <f aca="false">IF($E996="","",IF($B996="Tema",INDEX(Temas!$C$6:$C$305,$C996)&amp;"",INDEX(Avulsos!$E$6:$E$205,$C996)&amp;""))</f>
        <v/>
      </c>
      <c r="K996" s="114" t="str">
        <f aca="false">IF($E996="","",IF(IF($B996="Tema",INDEX(Temas!$E$6:$P$305,$C996,2*$D996),INDEX(Avulsos!$F$6:$F$205,$C996))&amp;""="","","✓"))</f>
        <v/>
      </c>
      <c r="L996" s="114" t="str">
        <f aca="true">IF($E996="","",IF($K996="✓","Concluído",IF($E996&lt;TODAY(),"Atrasado",IF($E996=TODAY(),"Hoje","Pendente"))))</f>
        <v/>
      </c>
      <c r="M996" s="114" t="str">
        <f aca="false">IF($E996="","",IF($K996="✓","✓ ","")&amp;IF(Config!$E$22="Sim",$H996&amp;" · ","")&amp;$F996)</f>
        <v/>
      </c>
      <c r="N996" s="114" t="str">
        <f aca="false">IF($E996="","",IFERROR(INDEX(Config!$D$15:$D$19,MATCH($I996,Config!$C$15:$C$19,0)),"OUT")&amp;IF($K996="✓","x",""))</f>
        <v/>
      </c>
      <c r="O996" s="114" t="str">
        <f aca="false">IF($E996="","",COUNTIF($E$5:$E996,$E996))</f>
        <v/>
      </c>
      <c r="P996" s="114" t="str">
        <f aca="false">IF($E996="","",$E996*100+$O996)</f>
        <v/>
      </c>
      <c r="Q996" s="114" t="str">
        <f aca="false">IF($L996="Atrasado",$E996*10000+$A996,"")</f>
        <v/>
      </c>
    </row>
    <row r="997" customFormat="false" ht="15" hidden="false" customHeight="false" outlineLevel="0" collapsed="false">
      <c r="A997" s="114" t="n">
        <f aca="false">ROW()-4</f>
        <v>993</v>
      </c>
      <c r="B997" s="114" t="str">
        <f aca="false">IF(A997&lt;=Config!$E$27*Config!$E$28,"Tema","Avulso")</f>
        <v>Tema</v>
      </c>
      <c r="C997" s="114" t="n">
        <f aca="false">IF(B997="Tema",INT((A997-1)/Config!$E$28)+1,A997-Config!$E$27*Config!$E$28)</f>
        <v>166</v>
      </c>
      <c r="D997" s="114" t="n">
        <f aca="false">IF(B997="Tema",MOD(A997-1,Config!$E$28)+1,"")</f>
        <v>3</v>
      </c>
      <c r="E997" s="115" t="str">
        <f aca="false">IF($B997="Tema",IF(ISNUMBER(INDEX(Temas!$E$6:$P$305,$C997,2*$D997-1)),INDEX(Temas!$E$6:$P$305,$C997,2*$D997-1),""),IF(ISNUMBER(INDEX(Avulsos!$B$6:$B$205,$C997)),INDEX(Avulsos!$B$6:$B$205,$C997),""))</f>
        <v/>
      </c>
      <c r="F997" s="114" t="str">
        <f aca="false">IF($E997="","",IF($B997="Tema",INDEX(Temas!$B$6:$B$305,$C997)&amp;"",INDEX(Avulsos!$C$6:$C$205,$C997)&amp;""))</f>
        <v/>
      </c>
      <c r="G997" s="114" t="str">
        <f aca="false">IF($E997="","",IF($B997="Tema",INDEX(Config!$C$6:$C$11,$D997),"Evento avulso"))</f>
        <v/>
      </c>
      <c r="H997" s="114" t="str">
        <f aca="false">IF($E997="","",IF($B997="Tema",INDEX(Config!$D$6:$D$11,$D997),IFERROR(INDEX(Config!$E$15:$E$19,MATCH($I997,Config!$C$15:$C$19,0)),"•")))</f>
        <v/>
      </c>
      <c r="I997" s="114" t="str">
        <f aca="false">IF($E997="","",IF($B997="Tema",INDEX(Config!$E$6:$E$11,$D997),IF(INDEX(Avulsos!$D$6:$D$205,$C997)&amp;""="","Outro",INDEX(Avulsos!$D$6:$D$205,$C997))))</f>
        <v/>
      </c>
      <c r="J997" s="114" t="str">
        <f aca="false">IF($E997="","",IF($B997="Tema",INDEX(Temas!$C$6:$C$305,$C997)&amp;"",INDEX(Avulsos!$E$6:$E$205,$C997)&amp;""))</f>
        <v/>
      </c>
      <c r="K997" s="114" t="str">
        <f aca="false">IF($E997="","",IF(IF($B997="Tema",INDEX(Temas!$E$6:$P$305,$C997,2*$D997),INDEX(Avulsos!$F$6:$F$205,$C997))&amp;""="","","✓"))</f>
        <v/>
      </c>
      <c r="L997" s="114" t="str">
        <f aca="true">IF($E997="","",IF($K997="✓","Concluído",IF($E997&lt;TODAY(),"Atrasado",IF($E997=TODAY(),"Hoje","Pendente"))))</f>
        <v/>
      </c>
      <c r="M997" s="114" t="str">
        <f aca="false">IF($E997="","",IF($K997="✓","✓ ","")&amp;IF(Config!$E$22="Sim",$H997&amp;" · ","")&amp;$F997)</f>
        <v/>
      </c>
      <c r="N997" s="114" t="str">
        <f aca="false">IF($E997="","",IFERROR(INDEX(Config!$D$15:$D$19,MATCH($I997,Config!$C$15:$C$19,0)),"OUT")&amp;IF($K997="✓","x",""))</f>
        <v/>
      </c>
      <c r="O997" s="114" t="str">
        <f aca="false">IF($E997="","",COUNTIF($E$5:$E997,$E997))</f>
        <v/>
      </c>
      <c r="P997" s="114" t="str">
        <f aca="false">IF($E997="","",$E997*100+$O997)</f>
        <v/>
      </c>
      <c r="Q997" s="114" t="str">
        <f aca="false">IF($L997="Atrasado",$E997*10000+$A997,"")</f>
        <v/>
      </c>
    </row>
    <row r="998" customFormat="false" ht="15" hidden="false" customHeight="false" outlineLevel="0" collapsed="false">
      <c r="A998" s="114" t="n">
        <f aca="false">ROW()-4</f>
        <v>994</v>
      </c>
      <c r="B998" s="114" t="str">
        <f aca="false">IF(A998&lt;=Config!$E$27*Config!$E$28,"Tema","Avulso")</f>
        <v>Tema</v>
      </c>
      <c r="C998" s="114" t="n">
        <f aca="false">IF(B998="Tema",INT((A998-1)/Config!$E$28)+1,A998-Config!$E$27*Config!$E$28)</f>
        <v>166</v>
      </c>
      <c r="D998" s="114" t="n">
        <f aca="false">IF(B998="Tema",MOD(A998-1,Config!$E$28)+1,"")</f>
        <v>4</v>
      </c>
      <c r="E998" s="115" t="str">
        <f aca="false">IF($B998="Tema",IF(ISNUMBER(INDEX(Temas!$E$6:$P$305,$C998,2*$D998-1)),INDEX(Temas!$E$6:$P$305,$C998,2*$D998-1),""),IF(ISNUMBER(INDEX(Avulsos!$B$6:$B$205,$C998)),INDEX(Avulsos!$B$6:$B$205,$C998),""))</f>
        <v/>
      </c>
      <c r="F998" s="114" t="str">
        <f aca="false">IF($E998="","",IF($B998="Tema",INDEX(Temas!$B$6:$B$305,$C998)&amp;"",INDEX(Avulsos!$C$6:$C$205,$C998)&amp;""))</f>
        <v/>
      </c>
      <c r="G998" s="114" t="str">
        <f aca="false">IF($E998="","",IF($B998="Tema",INDEX(Config!$C$6:$C$11,$D998),"Evento avulso"))</f>
        <v/>
      </c>
      <c r="H998" s="114" t="str">
        <f aca="false">IF($E998="","",IF($B998="Tema",INDEX(Config!$D$6:$D$11,$D998),IFERROR(INDEX(Config!$E$15:$E$19,MATCH($I998,Config!$C$15:$C$19,0)),"•")))</f>
        <v/>
      </c>
      <c r="I998" s="114" t="str">
        <f aca="false">IF($E998="","",IF($B998="Tema",INDEX(Config!$E$6:$E$11,$D998),IF(INDEX(Avulsos!$D$6:$D$205,$C998)&amp;""="","Outro",INDEX(Avulsos!$D$6:$D$205,$C998))))</f>
        <v/>
      </c>
      <c r="J998" s="114" t="str">
        <f aca="false">IF($E998="","",IF($B998="Tema",INDEX(Temas!$C$6:$C$305,$C998)&amp;"",INDEX(Avulsos!$E$6:$E$205,$C998)&amp;""))</f>
        <v/>
      </c>
      <c r="K998" s="114" t="str">
        <f aca="false">IF($E998="","",IF(IF($B998="Tema",INDEX(Temas!$E$6:$P$305,$C998,2*$D998),INDEX(Avulsos!$F$6:$F$205,$C998))&amp;""="","","✓"))</f>
        <v/>
      </c>
      <c r="L998" s="114" t="str">
        <f aca="true">IF($E998="","",IF($K998="✓","Concluído",IF($E998&lt;TODAY(),"Atrasado",IF($E998=TODAY(),"Hoje","Pendente"))))</f>
        <v/>
      </c>
      <c r="M998" s="114" t="str">
        <f aca="false">IF($E998="","",IF($K998="✓","✓ ","")&amp;IF(Config!$E$22="Sim",$H998&amp;" · ","")&amp;$F998)</f>
        <v/>
      </c>
      <c r="N998" s="114" t="str">
        <f aca="false">IF($E998="","",IFERROR(INDEX(Config!$D$15:$D$19,MATCH($I998,Config!$C$15:$C$19,0)),"OUT")&amp;IF($K998="✓","x",""))</f>
        <v/>
      </c>
      <c r="O998" s="114" t="str">
        <f aca="false">IF($E998="","",COUNTIF($E$5:$E998,$E998))</f>
        <v/>
      </c>
      <c r="P998" s="114" t="str">
        <f aca="false">IF($E998="","",$E998*100+$O998)</f>
        <v/>
      </c>
      <c r="Q998" s="114" t="str">
        <f aca="false">IF($L998="Atrasado",$E998*10000+$A998,"")</f>
        <v/>
      </c>
    </row>
    <row r="999" customFormat="false" ht="15" hidden="false" customHeight="false" outlineLevel="0" collapsed="false">
      <c r="A999" s="114" t="n">
        <f aca="false">ROW()-4</f>
        <v>995</v>
      </c>
      <c r="B999" s="114" t="str">
        <f aca="false">IF(A999&lt;=Config!$E$27*Config!$E$28,"Tema","Avulso")</f>
        <v>Tema</v>
      </c>
      <c r="C999" s="114" t="n">
        <f aca="false">IF(B999="Tema",INT((A999-1)/Config!$E$28)+1,A999-Config!$E$27*Config!$E$28)</f>
        <v>166</v>
      </c>
      <c r="D999" s="114" t="n">
        <f aca="false">IF(B999="Tema",MOD(A999-1,Config!$E$28)+1,"")</f>
        <v>5</v>
      </c>
      <c r="E999" s="115" t="str">
        <f aca="false">IF($B999="Tema",IF(ISNUMBER(INDEX(Temas!$E$6:$P$305,$C999,2*$D999-1)),INDEX(Temas!$E$6:$P$305,$C999,2*$D999-1),""),IF(ISNUMBER(INDEX(Avulsos!$B$6:$B$205,$C999)),INDEX(Avulsos!$B$6:$B$205,$C999),""))</f>
        <v/>
      </c>
      <c r="F999" s="114" t="str">
        <f aca="false">IF($E999="","",IF($B999="Tema",INDEX(Temas!$B$6:$B$305,$C999)&amp;"",INDEX(Avulsos!$C$6:$C$205,$C999)&amp;""))</f>
        <v/>
      </c>
      <c r="G999" s="114" t="str">
        <f aca="false">IF($E999="","",IF($B999="Tema",INDEX(Config!$C$6:$C$11,$D999),"Evento avulso"))</f>
        <v/>
      </c>
      <c r="H999" s="114" t="str">
        <f aca="false">IF($E999="","",IF($B999="Tema",INDEX(Config!$D$6:$D$11,$D999),IFERROR(INDEX(Config!$E$15:$E$19,MATCH($I999,Config!$C$15:$C$19,0)),"•")))</f>
        <v/>
      </c>
      <c r="I999" s="114" t="str">
        <f aca="false">IF($E999="","",IF($B999="Tema",INDEX(Config!$E$6:$E$11,$D999),IF(INDEX(Avulsos!$D$6:$D$205,$C999)&amp;""="","Outro",INDEX(Avulsos!$D$6:$D$205,$C999))))</f>
        <v/>
      </c>
      <c r="J999" s="114" t="str">
        <f aca="false">IF($E999="","",IF($B999="Tema",INDEX(Temas!$C$6:$C$305,$C999)&amp;"",INDEX(Avulsos!$E$6:$E$205,$C999)&amp;""))</f>
        <v/>
      </c>
      <c r="K999" s="114" t="str">
        <f aca="false">IF($E999="","",IF(IF($B999="Tema",INDEX(Temas!$E$6:$P$305,$C999,2*$D999),INDEX(Avulsos!$F$6:$F$205,$C999))&amp;""="","","✓"))</f>
        <v/>
      </c>
      <c r="L999" s="114" t="str">
        <f aca="true">IF($E999="","",IF($K999="✓","Concluído",IF($E999&lt;TODAY(),"Atrasado",IF($E999=TODAY(),"Hoje","Pendente"))))</f>
        <v/>
      </c>
      <c r="M999" s="114" t="str">
        <f aca="false">IF($E999="","",IF($K999="✓","✓ ","")&amp;IF(Config!$E$22="Sim",$H999&amp;" · ","")&amp;$F999)</f>
        <v/>
      </c>
      <c r="N999" s="114" t="str">
        <f aca="false">IF($E999="","",IFERROR(INDEX(Config!$D$15:$D$19,MATCH($I999,Config!$C$15:$C$19,0)),"OUT")&amp;IF($K999="✓","x",""))</f>
        <v/>
      </c>
      <c r="O999" s="114" t="str">
        <f aca="false">IF($E999="","",COUNTIF($E$5:$E999,$E999))</f>
        <v/>
      </c>
      <c r="P999" s="114" t="str">
        <f aca="false">IF($E999="","",$E999*100+$O999)</f>
        <v/>
      </c>
      <c r="Q999" s="114" t="str">
        <f aca="false">IF($L999="Atrasado",$E999*10000+$A999,"")</f>
        <v/>
      </c>
    </row>
    <row r="1000" customFormat="false" ht="15" hidden="false" customHeight="false" outlineLevel="0" collapsed="false">
      <c r="A1000" s="114" t="n">
        <f aca="false">ROW()-4</f>
        <v>996</v>
      </c>
      <c r="B1000" s="114" t="str">
        <f aca="false">IF(A1000&lt;=Config!$E$27*Config!$E$28,"Tema","Avulso")</f>
        <v>Tema</v>
      </c>
      <c r="C1000" s="114" t="n">
        <f aca="false">IF(B1000="Tema",INT((A1000-1)/Config!$E$28)+1,A1000-Config!$E$27*Config!$E$28)</f>
        <v>166</v>
      </c>
      <c r="D1000" s="114" t="n">
        <f aca="false">IF(B1000="Tema",MOD(A1000-1,Config!$E$28)+1,"")</f>
        <v>6</v>
      </c>
      <c r="E1000" s="115" t="str">
        <f aca="false">IF($B1000="Tema",IF(ISNUMBER(INDEX(Temas!$E$6:$P$305,$C1000,2*$D1000-1)),INDEX(Temas!$E$6:$P$305,$C1000,2*$D1000-1),""),IF(ISNUMBER(INDEX(Avulsos!$B$6:$B$205,$C1000)),INDEX(Avulsos!$B$6:$B$205,$C1000),""))</f>
        <v/>
      </c>
      <c r="F1000" s="114" t="str">
        <f aca="false">IF($E1000="","",IF($B1000="Tema",INDEX(Temas!$B$6:$B$305,$C1000)&amp;"",INDEX(Avulsos!$C$6:$C$205,$C1000)&amp;""))</f>
        <v/>
      </c>
      <c r="G1000" s="114" t="str">
        <f aca="false">IF($E1000="","",IF($B1000="Tema",INDEX(Config!$C$6:$C$11,$D1000),"Evento avulso"))</f>
        <v/>
      </c>
      <c r="H1000" s="114" t="str">
        <f aca="false">IF($E1000="","",IF($B1000="Tema",INDEX(Config!$D$6:$D$11,$D1000),IFERROR(INDEX(Config!$E$15:$E$19,MATCH($I1000,Config!$C$15:$C$19,0)),"•")))</f>
        <v/>
      </c>
      <c r="I1000" s="114" t="str">
        <f aca="false">IF($E1000="","",IF($B1000="Tema",INDEX(Config!$E$6:$E$11,$D1000),IF(INDEX(Avulsos!$D$6:$D$205,$C1000)&amp;""="","Outro",INDEX(Avulsos!$D$6:$D$205,$C1000))))</f>
        <v/>
      </c>
      <c r="J1000" s="114" t="str">
        <f aca="false">IF($E1000="","",IF($B1000="Tema",INDEX(Temas!$C$6:$C$305,$C1000)&amp;"",INDEX(Avulsos!$E$6:$E$205,$C1000)&amp;""))</f>
        <v/>
      </c>
      <c r="K1000" s="114" t="str">
        <f aca="false">IF($E1000="","",IF(IF($B1000="Tema",INDEX(Temas!$E$6:$P$305,$C1000,2*$D1000),INDEX(Avulsos!$F$6:$F$205,$C1000))&amp;""="","","✓"))</f>
        <v/>
      </c>
      <c r="L1000" s="114" t="str">
        <f aca="true">IF($E1000="","",IF($K1000="✓","Concluído",IF($E1000&lt;TODAY(),"Atrasado",IF($E1000=TODAY(),"Hoje","Pendente"))))</f>
        <v/>
      </c>
      <c r="M1000" s="114" t="str">
        <f aca="false">IF($E1000="","",IF($K1000="✓","✓ ","")&amp;IF(Config!$E$22="Sim",$H1000&amp;" · ","")&amp;$F1000)</f>
        <v/>
      </c>
      <c r="N1000" s="114" t="str">
        <f aca="false">IF($E1000="","",IFERROR(INDEX(Config!$D$15:$D$19,MATCH($I1000,Config!$C$15:$C$19,0)),"OUT")&amp;IF($K1000="✓","x",""))</f>
        <v/>
      </c>
      <c r="O1000" s="114" t="str">
        <f aca="false">IF($E1000="","",COUNTIF($E$5:$E1000,$E1000))</f>
        <v/>
      </c>
      <c r="P1000" s="114" t="str">
        <f aca="false">IF($E1000="","",$E1000*100+$O1000)</f>
        <v/>
      </c>
      <c r="Q1000" s="114" t="str">
        <f aca="false">IF($L1000="Atrasado",$E1000*10000+$A1000,"")</f>
        <v/>
      </c>
    </row>
    <row r="1001" customFormat="false" ht="15" hidden="false" customHeight="false" outlineLevel="0" collapsed="false">
      <c r="A1001" s="114" t="n">
        <f aca="false">ROW()-4</f>
        <v>997</v>
      </c>
      <c r="B1001" s="114" t="str">
        <f aca="false">IF(A1001&lt;=Config!$E$27*Config!$E$28,"Tema","Avulso")</f>
        <v>Tema</v>
      </c>
      <c r="C1001" s="114" t="n">
        <f aca="false">IF(B1001="Tema",INT((A1001-1)/Config!$E$28)+1,A1001-Config!$E$27*Config!$E$28)</f>
        <v>167</v>
      </c>
      <c r="D1001" s="114" t="n">
        <f aca="false">IF(B1001="Tema",MOD(A1001-1,Config!$E$28)+1,"")</f>
        <v>1</v>
      </c>
      <c r="E1001" s="115" t="str">
        <f aca="false">IF($B1001="Tema",IF(ISNUMBER(INDEX(Temas!$E$6:$P$305,$C1001,2*$D1001-1)),INDEX(Temas!$E$6:$P$305,$C1001,2*$D1001-1),""),IF(ISNUMBER(INDEX(Avulsos!$B$6:$B$205,$C1001)),INDEX(Avulsos!$B$6:$B$205,$C1001),""))</f>
        <v/>
      </c>
      <c r="F1001" s="114" t="str">
        <f aca="false">IF($E1001="","",IF($B1001="Tema",INDEX(Temas!$B$6:$B$305,$C1001)&amp;"",INDEX(Avulsos!$C$6:$C$205,$C1001)&amp;""))</f>
        <v/>
      </c>
      <c r="G1001" s="114" t="str">
        <f aca="false">IF($E1001="","",IF($B1001="Tema",INDEX(Config!$C$6:$C$11,$D1001),"Evento avulso"))</f>
        <v/>
      </c>
      <c r="H1001" s="114" t="str">
        <f aca="false">IF($E1001="","",IF($B1001="Tema",INDEX(Config!$D$6:$D$11,$D1001),IFERROR(INDEX(Config!$E$15:$E$19,MATCH($I1001,Config!$C$15:$C$19,0)),"•")))</f>
        <v/>
      </c>
      <c r="I1001" s="114" t="str">
        <f aca="false">IF($E1001="","",IF($B1001="Tema",INDEX(Config!$E$6:$E$11,$D1001),IF(INDEX(Avulsos!$D$6:$D$205,$C1001)&amp;""="","Outro",INDEX(Avulsos!$D$6:$D$205,$C1001))))</f>
        <v/>
      </c>
      <c r="J1001" s="114" t="str">
        <f aca="false">IF($E1001="","",IF($B1001="Tema",INDEX(Temas!$C$6:$C$305,$C1001)&amp;"",INDEX(Avulsos!$E$6:$E$205,$C1001)&amp;""))</f>
        <v/>
      </c>
      <c r="K1001" s="114" t="str">
        <f aca="false">IF($E1001="","",IF(IF($B1001="Tema",INDEX(Temas!$E$6:$P$305,$C1001,2*$D1001),INDEX(Avulsos!$F$6:$F$205,$C1001))&amp;""="","","✓"))</f>
        <v/>
      </c>
      <c r="L1001" s="114" t="str">
        <f aca="true">IF($E1001="","",IF($K1001="✓","Concluído",IF($E1001&lt;TODAY(),"Atrasado",IF($E1001=TODAY(),"Hoje","Pendente"))))</f>
        <v/>
      </c>
      <c r="M1001" s="114" t="str">
        <f aca="false">IF($E1001="","",IF($K1001="✓","✓ ","")&amp;IF(Config!$E$22="Sim",$H1001&amp;" · ","")&amp;$F1001)</f>
        <v/>
      </c>
      <c r="N1001" s="114" t="str">
        <f aca="false">IF($E1001="","",IFERROR(INDEX(Config!$D$15:$D$19,MATCH($I1001,Config!$C$15:$C$19,0)),"OUT")&amp;IF($K1001="✓","x",""))</f>
        <v/>
      </c>
      <c r="O1001" s="114" t="str">
        <f aca="false">IF($E1001="","",COUNTIF($E$5:$E1001,$E1001))</f>
        <v/>
      </c>
      <c r="P1001" s="114" t="str">
        <f aca="false">IF($E1001="","",$E1001*100+$O1001)</f>
        <v/>
      </c>
      <c r="Q1001" s="114" t="str">
        <f aca="false">IF($L1001="Atrasado",$E1001*10000+$A1001,"")</f>
        <v/>
      </c>
    </row>
    <row r="1002" customFormat="false" ht="15" hidden="false" customHeight="false" outlineLevel="0" collapsed="false">
      <c r="A1002" s="114" t="n">
        <f aca="false">ROW()-4</f>
        <v>998</v>
      </c>
      <c r="B1002" s="114" t="str">
        <f aca="false">IF(A1002&lt;=Config!$E$27*Config!$E$28,"Tema","Avulso")</f>
        <v>Tema</v>
      </c>
      <c r="C1002" s="114" t="n">
        <f aca="false">IF(B1002="Tema",INT((A1002-1)/Config!$E$28)+1,A1002-Config!$E$27*Config!$E$28)</f>
        <v>167</v>
      </c>
      <c r="D1002" s="114" t="n">
        <f aca="false">IF(B1002="Tema",MOD(A1002-1,Config!$E$28)+1,"")</f>
        <v>2</v>
      </c>
      <c r="E1002" s="115" t="str">
        <f aca="false">IF($B1002="Tema",IF(ISNUMBER(INDEX(Temas!$E$6:$P$305,$C1002,2*$D1002-1)),INDEX(Temas!$E$6:$P$305,$C1002,2*$D1002-1),""),IF(ISNUMBER(INDEX(Avulsos!$B$6:$B$205,$C1002)),INDEX(Avulsos!$B$6:$B$205,$C1002),""))</f>
        <v/>
      </c>
      <c r="F1002" s="114" t="str">
        <f aca="false">IF($E1002="","",IF($B1002="Tema",INDEX(Temas!$B$6:$B$305,$C1002)&amp;"",INDEX(Avulsos!$C$6:$C$205,$C1002)&amp;""))</f>
        <v/>
      </c>
      <c r="G1002" s="114" t="str">
        <f aca="false">IF($E1002="","",IF($B1002="Tema",INDEX(Config!$C$6:$C$11,$D1002),"Evento avulso"))</f>
        <v/>
      </c>
      <c r="H1002" s="114" t="str">
        <f aca="false">IF($E1002="","",IF($B1002="Tema",INDEX(Config!$D$6:$D$11,$D1002),IFERROR(INDEX(Config!$E$15:$E$19,MATCH($I1002,Config!$C$15:$C$19,0)),"•")))</f>
        <v/>
      </c>
      <c r="I1002" s="114" t="str">
        <f aca="false">IF($E1002="","",IF($B1002="Tema",INDEX(Config!$E$6:$E$11,$D1002),IF(INDEX(Avulsos!$D$6:$D$205,$C1002)&amp;""="","Outro",INDEX(Avulsos!$D$6:$D$205,$C1002))))</f>
        <v/>
      </c>
      <c r="J1002" s="114" t="str">
        <f aca="false">IF($E1002="","",IF($B1002="Tema",INDEX(Temas!$C$6:$C$305,$C1002)&amp;"",INDEX(Avulsos!$E$6:$E$205,$C1002)&amp;""))</f>
        <v/>
      </c>
      <c r="K1002" s="114" t="str">
        <f aca="false">IF($E1002="","",IF(IF($B1002="Tema",INDEX(Temas!$E$6:$P$305,$C1002,2*$D1002),INDEX(Avulsos!$F$6:$F$205,$C1002))&amp;""="","","✓"))</f>
        <v/>
      </c>
      <c r="L1002" s="114" t="str">
        <f aca="true">IF($E1002="","",IF($K1002="✓","Concluído",IF($E1002&lt;TODAY(),"Atrasado",IF($E1002=TODAY(),"Hoje","Pendente"))))</f>
        <v/>
      </c>
      <c r="M1002" s="114" t="str">
        <f aca="false">IF($E1002="","",IF($K1002="✓","✓ ","")&amp;IF(Config!$E$22="Sim",$H1002&amp;" · ","")&amp;$F1002)</f>
        <v/>
      </c>
      <c r="N1002" s="114" t="str">
        <f aca="false">IF($E1002="","",IFERROR(INDEX(Config!$D$15:$D$19,MATCH($I1002,Config!$C$15:$C$19,0)),"OUT")&amp;IF($K1002="✓","x",""))</f>
        <v/>
      </c>
      <c r="O1002" s="114" t="str">
        <f aca="false">IF($E1002="","",COUNTIF($E$5:$E1002,$E1002))</f>
        <v/>
      </c>
      <c r="P1002" s="114" t="str">
        <f aca="false">IF($E1002="","",$E1002*100+$O1002)</f>
        <v/>
      </c>
      <c r="Q1002" s="114" t="str">
        <f aca="false">IF($L1002="Atrasado",$E1002*10000+$A1002,"")</f>
        <v/>
      </c>
    </row>
    <row r="1003" customFormat="false" ht="15" hidden="false" customHeight="false" outlineLevel="0" collapsed="false">
      <c r="A1003" s="114" t="n">
        <f aca="false">ROW()-4</f>
        <v>999</v>
      </c>
      <c r="B1003" s="114" t="str">
        <f aca="false">IF(A1003&lt;=Config!$E$27*Config!$E$28,"Tema","Avulso")</f>
        <v>Tema</v>
      </c>
      <c r="C1003" s="114" t="n">
        <f aca="false">IF(B1003="Tema",INT((A1003-1)/Config!$E$28)+1,A1003-Config!$E$27*Config!$E$28)</f>
        <v>167</v>
      </c>
      <c r="D1003" s="114" t="n">
        <f aca="false">IF(B1003="Tema",MOD(A1003-1,Config!$E$28)+1,"")</f>
        <v>3</v>
      </c>
      <c r="E1003" s="115" t="str">
        <f aca="false">IF($B1003="Tema",IF(ISNUMBER(INDEX(Temas!$E$6:$P$305,$C1003,2*$D1003-1)),INDEX(Temas!$E$6:$P$305,$C1003,2*$D1003-1),""),IF(ISNUMBER(INDEX(Avulsos!$B$6:$B$205,$C1003)),INDEX(Avulsos!$B$6:$B$205,$C1003),""))</f>
        <v/>
      </c>
      <c r="F1003" s="114" t="str">
        <f aca="false">IF($E1003="","",IF($B1003="Tema",INDEX(Temas!$B$6:$B$305,$C1003)&amp;"",INDEX(Avulsos!$C$6:$C$205,$C1003)&amp;""))</f>
        <v/>
      </c>
      <c r="G1003" s="114" t="str">
        <f aca="false">IF($E1003="","",IF($B1003="Tema",INDEX(Config!$C$6:$C$11,$D1003),"Evento avulso"))</f>
        <v/>
      </c>
      <c r="H1003" s="114" t="str">
        <f aca="false">IF($E1003="","",IF($B1003="Tema",INDEX(Config!$D$6:$D$11,$D1003),IFERROR(INDEX(Config!$E$15:$E$19,MATCH($I1003,Config!$C$15:$C$19,0)),"•")))</f>
        <v/>
      </c>
      <c r="I1003" s="114" t="str">
        <f aca="false">IF($E1003="","",IF($B1003="Tema",INDEX(Config!$E$6:$E$11,$D1003),IF(INDEX(Avulsos!$D$6:$D$205,$C1003)&amp;""="","Outro",INDEX(Avulsos!$D$6:$D$205,$C1003))))</f>
        <v/>
      </c>
      <c r="J1003" s="114" t="str">
        <f aca="false">IF($E1003="","",IF($B1003="Tema",INDEX(Temas!$C$6:$C$305,$C1003)&amp;"",INDEX(Avulsos!$E$6:$E$205,$C1003)&amp;""))</f>
        <v/>
      </c>
      <c r="K1003" s="114" t="str">
        <f aca="false">IF($E1003="","",IF(IF($B1003="Tema",INDEX(Temas!$E$6:$P$305,$C1003,2*$D1003),INDEX(Avulsos!$F$6:$F$205,$C1003))&amp;""="","","✓"))</f>
        <v/>
      </c>
      <c r="L1003" s="114" t="str">
        <f aca="true">IF($E1003="","",IF($K1003="✓","Concluído",IF($E1003&lt;TODAY(),"Atrasado",IF($E1003=TODAY(),"Hoje","Pendente"))))</f>
        <v/>
      </c>
      <c r="M1003" s="114" t="str">
        <f aca="false">IF($E1003="","",IF($K1003="✓","✓ ","")&amp;IF(Config!$E$22="Sim",$H1003&amp;" · ","")&amp;$F1003)</f>
        <v/>
      </c>
      <c r="N1003" s="114" t="str">
        <f aca="false">IF($E1003="","",IFERROR(INDEX(Config!$D$15:$D$19,MATCH($I1003,Config!$C$15:$C$19,0)),"OUT")&amp;IF($K1003="✓","x",""))</f>
        <v/>
      </c>
      <c r="O1003" s="114" t="str">
        <f aca="false">IF($E1003="","",COUNTIF($E$5:$E1003,$E1003))</f>
        <v/>
      </c>
      <c r="P1003" s="114" t="str">
        <f aca="false">IF($E1003="","",$E1003*100+$O1003)</f>
        <v/>
      </c>
      <c r="Q1003" s="114" t="str">
        <f aca="false">IF($L1003="Atrasado",$E1003*10000+$A1003,"")</f>
        <v/>
      </c>
    </row>
    <row r="1004" customFormat="false" ht="15" hidden="false" customHeight="false" outlineLevel="0" collapsed="false">
      <c r="A1004" s="114" t="n">
        <f aca="false">ROW()-4</f>
        <v>1000</v>
      </c>
      <c r="B1004" s="114" t="str">
        <f aca="false">IF(A1004&lt;=Config!$E$27*Config!$E$28,"Tema","Avulso")</f>
        <v>Tema</v>
      </c>
      <c r="C1004" s="114" t="n">
        <f aca="false">IF(B1004="Tema",INT((A1004-1)/Config!$E$28)+1,A1004-Config!$E$27*Config!$E$28)</f>
        <v>167</v>
      </c>
      <c r="D1004" s="114" t="n">
        <f aca="false">IF(B1004="Tema",MOD(A1004-1,Config!$E$28)+1,"")</f>
        <v>4</v>
      </c>
      <c r="E1004" s="115" t="str">
        <f aca="false">IF($B1004="Tema",IF(ISNUMBER(INDEX(Temas!$E$6:$P$305,$C1004,2*$D1004-1)),INDEX(Temas!$E$6:$P$305,$C1004,2*$D1004-1),""),IF(ISNUMBER(INDEX(Avulsos!$B$6:$B$205,$C1004)),INDEX(Avulsos!$B$6:$B$205,$C1004),""))</f>
        <v/>
      </c>
      <c r="F1004" s="114" t="str">
        <f aca="false">IF($E1004="","",IF($B1004="Tema",INDEX(Temas!$B$6:$B$305,$C1004)&amp;"",INDEX(Avulsos!$C$6:$C$205,$C1004)&amp;""))</f>
        <v/>
      </c>
      <c r="G1004" s="114" t="str">
        <f aca="false">IF($E1004="","",IF($B1004="Tema",INDEX(Config!$C$6:$C$11,$D1004),"Evento avulso"))</f>
        <v/>
      </c>
      <c r="H1004" s="114" t="str">
        <f aca="false">IF($E1004="","",IF($B1004="Tema",INDEX(Config!$D$6:$D$11,$D1004),IFERROR(INDEX(Config!$E$15:$E$19,MATCH($I1004,Config!$C$15:$C$19,0)),"•")))</f>
        <v/>
      </c>
      <c r="I1004" s="114" t="str">
        <f aca="false">IF($E1004="","",IF($B1004="Tema",INDEX(Config!$E$6:$E$11,$D1004),IF(INDEX(Avulsos!$D$6:$D$205,$C1004)&amp;""="","Outro",INDEX(Avulsos!$D$6:$D$205,$C1004))))</f>
        <v/>
      </c>
      <c r="J1004" s="114" t="str">
        <f aca="false">IF($E1004="","",IF($B1004="Tema",INDEX(Temas!$C$6:$C$305,$C1004)&amp;"",INDEX(Avulsos!$E$6:$E$205,$C1004)&amp;""))</f>
        <v/>
      </c>
      <c r="K1004" s="114" t="str">
        <f aca="false">IF($E1004="","",IF(IF($B1004="Tema",INDEX(Temas!$E$6:$P$305,$C1004,2*$D1004),INDEX(Avulsos!$F$6:$F$205,$C1004))&amp;""="","","✓"))</f>
        <v/>
      </c>
      <c r="L1004" s="114" t="str">
        <f aca="true">IF($E1004="","",IF($K1004="✓","Concluído",IF($E1004&lt;TODAY(),"Atrasado",IF($E1004=TODAY(),"Hoje","Pendente"))))</f>
        <v/>
      </c>
      <c r="M1004" s="114" t="str">
        <f aca="false">IF($E1004="","",IF($K1004="✓","✓ ","")&amp;IF(Config!$E$22="Sim",$H1004&amp;" · ","")&amp;$F1004)</f>
        <v/>
      </c>
      <c r="N1004" s="114" t="str">
        <f aca="false">IF($E1004="","",IFERROR(INDEX(Config!$D$15:$D$19,MATCH($I1004,Config!$C$15:$C$19,0)),"OUT")&amp;IF($K1004="✓","x",""))</f>
        <v/>
      </c>
      <c r="O1004" s="114" t="str">
        <f aca="false">IF($E1004="","",COUNTIF($E$5:$E1004,$E1004))</f>
        <v/>
      </c>
      <c r="P1004" s="114" t="str">
        <f aca="false">IF($E1004="","",$E1004*100+$O1004)</f>
        <v/>
      </c>
      <c r="Q1004" s="114" t="str">
        <f aca="false">IF($L1004="Atrasado",$E1004*10000+$A1004,"")</f>
        <v/>
      </c>
    </row>
    <row r="1005" customFormat="false" ht="15" hidden="false" customHeight="false" outlineLevel="0" collapsed="false">
      <c r="A1005" s="114" t="n">
        <f aca="false">ROW()-4</f>
        <v>1001</v>
      </c>
      <c r="B1005" s="114" t="str">
        <f aca="false">IF(A1005&lt;=Config!$E$27*Config!$E$28,"Tema","Avulso")</f>
        <v>Tema</v>
      </c>
      <c r="C1005" s="114" t="n">
        <f aca="false">IF(B1005="Tema",INT((A1005-1)/Config!$E$28)+1,A1005-Config!$E$27*Config!$E$28)</f>
        <v>167</v>
      </c>
      <c r="D1005" s="114" t="n">
        <f aca="false">IF(B1005="Tema",MOD(A1005-1,Config!$E$28)+1,"")</f>
        <v>5</v>
      </c>
      <c r="E1005" s="115" t="str">
        <f aca="false">IF($B1005="Tema",IF(ISNUMBER(INDEX(Temas!$E$6:$P$305,$C1005,2*$D1005-1)),INDEX(Temas!$E$6:$P$305,$C1005,2*$D1005-1),""),IF(ISNUMBER(INDEX(Avulsos!$B$6:$B$205,$C1005)),INDEX(Avulsos!$B$6:$B$205,$C1005),""))</f>
        <v/>
      </c>
      <c r="F1005" s="114" t="str">
        <f aca="false">IF($E1005="","",IF($B1005="Tema",INDEX(Temas!$B$6:$B$305,$C1005)&amp;"",INDEX(Avulsos!$C$6:$C$205,$C1005)&amp;""))</f>
        <v/>
      </c>
      <c r="G1005" s="114" t="str">
        <f aca="false">IF($E1005="","",IF($B1005="Tema",INDEX(Config!$C$6:$C$11,$D1005),"Evento avulso"))</f>
        <v/>
      </c>
      <c r="H1005" s="114" t="str">
        <f aca="false">IF($E1005="","",IF($B1005="Tema",INDEX(Config!$D$6:$D$11,$D1005),IFERROR(INDEX(Config!$E$15:$E$19,MATCH($I1005,Config!$C$15:$C$19,0)),"•")))</f>
        <v/>
      </c>
      <c r="I1005" s="114" t="str">
        <f aca="false">IF($E1005="","",IF($B1005="Tema",INDEX(Config!$E$6:$E$11,$D1005),IF(INDEX(Avulsos!$D$6:$D$205,$C1005)&amp;""="","Outro",INDEX(Avulsos!$D$6:$D$205,$C1005))))</f>
        <v/>
      </c>
      <c r="J1005" s="114" t="str">
        <f aca="false">IF($E1005="","",IF($B1005="Tema",INDEX(Temas!$C$6:$C$305,$C1005)&amp;"",INDEX(Avulsos!$E$6:$E$205,$C1005)&amp;""))</f>
        <v/>
      </c>
      <c r="K1005" s="114" t="str">
        <f aca="false">IF($E1005="","",IF(IF($B1005="Tema",INDEX(Temas!$E$6:$P$305,$C1005,2*$D1005),INDEX(Avulsos!$F$6:$F$205,$C1005))&amp;""="","","✓"))</f>
        <v/>
      </c>
      <c r="L1005" s="114" t="str">
        <f aca="true">IF($E1005="","",IF($K1005="✓","Concluído",IF($E1005&lt;TODAY(),"Atrasado",IF($E1005=TODAY(),"Hoje","Pendente"))))</f>
        <v/>
      </c>
      <c r="M1005" s="114" t="str">
        <f aca="false">IF($E1005="","",IF($K1005="✓","✓ ","")&amp;IF(Config!$E$22="Sim",$H1005&amp;" · ","")&amp;$F1005)</f>
        <v/>
      </c>
      <c r="N1005" s="114" t="str">
        <f aca="false">IF($E1005="","",IFERROR(INDEX(Config!$D$15:$D$19,MATCH($I1005,Config!$C$15:$C$19,0)),"OUT")&amp;IF($K1005="✓","x",""))</f>
        <v/>
      </c>
      <c r="O1005" s="114" t="str">
        <f aca="false">IF($E1005="","",COUNTIF($E$5:$E1005,$E1005))</f>
        <v/>
      </c>
      <c r="P1005" s="114" t="str">
        <f aca="false">IF($E1005="","",$E1005*100+$O1005)</f>
        <v/>
      </c>
      <c r="Q1005" s="114" t="str">
        <f aca="false">IF($L1005="Atrasado",$E1005*10000+$A1005,"")</f>
        <v/>
      </c>
    </row>
    <row r="1006" customFormat="false" ht="15" hidden="false" customHeight="false" outlineLevel="0" collapsed="false">
      <c r="A1006" s="114" t="n">
        <f aca="false">ROW()-4</f>
        <v>1002</v>
      </c>
      <c r="B1006" s="114" t="str">
        <f aca="false">IF(A1006&lt;=Config!$E$27*Config!$E$28,"Tema","Avulso")</f>
        <v>Tema</v>
      </c>
      <c r="C1006" s="114" t="n">
        <f aca="false">IF(B1006="Tema",INT((A1006-1)/Config!$E$28)+1,A1006-Config!$E$27*Config!$E$28)</f>
        <v>167</v>
      </c>
      <c r="D1006" s="114" t="n">
        <f aca="false">IF(B1006="Tema",MOD(A1006-1,Config!$E$28)+1,"")</f>
        <v>6</v>
      </c>
      <c r="E1006" s="115" t="str">
        <f aca="false">IF($B1006="Tema",IF(ISNUMBER(INDEX(Temas!$E$6:$P$305,$C1006,2*$D1006-1)),INDEX(Temas!$E$6:$P$305,$C1006,2*$D1006-1),""),IF(ISNUMBER(INDEX(Avulsos!$B$6:$B$205,$C1006)),INDEX(Avulsos!$B$6:$B$205,$C1006),""))</f>
        <v/>
      </c>
      <c r="F1006" s="114" t="str">
        <f aca="false">IF($E1006="","",IF($B1006="Tema",INDEX(Temas!$B$6:$B$305,$C1006)&amp;"",INDEX(Avulsos!$C$6:$C$205,$C1006)&amp;""))</f>
        <v/>
      </c>
      <c r="G1006" s="114" t="str">
        <f aca="false">IF($E1006="","",IF($B1006="Tema",INDEX(Config!$C$6:$C$11,$D1006),"Evento avulso"))</f>
        <v/>
      </c>
      <c r="H1006" s="114" t="str">
        <f aca="false">IF($E1006="","",IF($B1006="Tema",INDEX(Config!$D$6:$D$11,$D1006),IFERROR(INDEX(Config!$E$15:$E$19,MATCH($I1006,Config!$C$15:$C$19,0)),"•")))</f>
        <v/>
      </c>
      <c r="I1006" s="114" t="str">
        <f aca="false">IF($E1006="","",IF($B1006="Tema",INDEX(Config!$E$6:$E$11,$D1006),IF(INDEX(Avulsos!$D$6:$D$205,$C1006)&amp;""="","Outro",INDEX(Avulsos!$D$6:$D$205,$C1006))))</f>
        <v/>
      </c>
      <c r="J1006" s="114" t="str">
        <f aca="false">IF($E1006="","",IF($B1006="Tema",INDEX(Temas!$C$6:$C$305,$C1006)&amp;"",INDEX(Avulsos!$E$6:$E$205,$C1006)&amp;""))</f>
        <v/>
      </c>
      <c r="K1006" s="114" t="str">
        <f aca="false">IF($E1006="","",IF(IF($B1006="Tema",INDEX(Temas!$E$6:$P$305,$C1006,2*$D1006),INDEX(Avulsos!$F$6:$F$205,$C1006))&amp;""="","","✓"))</f>
        <v/>
      </c>
      <c r="L1006" s="114" t="str">
        <f aca="true">IF($E1006="","",IF($K1006="✓","Concluído",IF($E1006&lt;TODAY(),"Atrasado",IF($E1006=TODAY(),"Hoje","Pendente"))))</f>
        <v/>
      </c>
      <c r="M1006" s="114" t="str">
        <f aca="false">IF($E1006="","",IF($K1006="✓","✓ ","")&amp;IF(Config!$E$22="Sim",$H1006&amp;" · ","")&amp;$F1006)</f>
        <v/>
      </c>
      <c r="N1006" s="114" t="str">
        <f aca="false">IF($E1006="","",IFERROR(INDEX(Config!$D$15:$D$19,MATCH($I1006,Config!$C$15:$C$19,0)),"OUT")&amp;IF($K1006="✓","x",""))</f>
        <v/>
      </c>
      <c r="O1006" s="114" t="str">
        <f aca="false">IF($E1006="","",COUNTIF($E$5:$E1006,$E1006))</f>
        <v/>
      </c>
      <c r="P1006" s="114" t="str">
        <f aca="false">IF($E1006="","",$E1006*100+$O1006)</f>
        <v/>
      </c>
      <c r="Q1006" s="114" t="str">
        <f aca="false">IF($L1006="Atrasado",$E1006*10000+$A1006,"")</f>
        <v/>
      </c>
    </row>
    <row r="1007" customFormat="false" ht="15" hidden="false" customHeight="false" outlineLevel="0" collapsed="false">
      <c r="A1007" s="114" t="n">
        <f aca="false">ROW()-4</f>
        <v>1003</v>
      </c>
      <c r="B1007" s="114" t="str">
        <f aca="false">IF(A1007&lt;=Config!$E$27*Config!$E$28,"Tema","Avulso")</f>
        <v>Tema</v>
      </c>
      <c r="C1007" s="114" t="n">
        <f aca="false">IF(B1007="Tema",INT((A1007-1)/Config!$E$28)+1,A1007-Config!$E$27*Config!$E$28)</f>
        <v>168</v>
      </c>
      <c r="D1007" s="114" t="n">
        <f aca="false">IF(B1007="Tema",MOD(A1007-1,Config!$E$28)+1,"")</f>
        <v>1</v>
      </c>
      <c r="E1007" s="115" t="str">
        <f aca="false">IF($B1007="Tema",IF(ISNUMBER(INDEX(Temas!$E$6:$P$305,$C1007,2*$D1007-1)),INDEX(Temas!$E$6:$P$305,$C1007,2*$D1007-1),""),IF(ISNUMBER(INDEX(Avulsos!$B$6:$B$205,$C1007)),INDEX(Avulsos!$B$6:$B$205,$C1007),""))</f>
        <v/>
      </c>
      <c r="F1007" s="114" t="str">
        <f aca="false">IF($E1007="","",IF($B1007="Tema",INDEX(Temas!$B$6:$B$305,$C1007)&amp;"",INDEX(Avulsos!$C$6:$C$205,$C1007)&amp;""))</f>
        <v/>
      </c>
      <c r="G1007" s="114" t="str">
        <f aca="false">IF($E1007="","",IF($B1007="Tema",INDEX(Config!$C$6:$C$11,$D1007),"Evento avulso"))</f>
        <v/>
      </c>
      <c r="H1007" s="114" t="str">
        <f aca="false">IF($E1007="","",IF($B1007="Tema",INDEX(Config!$D$6:$D$11,$D1007),IFERROR(INDEX(Config!$E$15:$E$19,MATCH($I1007,Config!$C$15:$C$19,0)),"•")))</f>
        <v/>
      </c>
      <c r="I1007" s="114" t="str">
        <f aca="false">IF($E1007="","",IF($B1007="Tema",INDEX(Config!$E$6:$E$11,$D1007),IF(INDEX(Avulsos!$D$6:$D$205,$C1007)&amp;""="","Outro",INDEX(Avulsos!$D$6:$D$205,$C1007))))</f>
        <v/>
      </c>
      <c r="J1007" s="114" t="str">
        <f aca="false">IF($E1007="","",IF($B1007="Tema",INDEX(Temas!$C$6:$C$305,$C1007)&amp;"",INDEX(Avulsos!$E$6:$E$205,$C1007)&amp;""))</f>
        <v/>
      </c>
      <c r="K1007" s="114" t="str">
        <f aca="false">IF($E1007="","",IF(IF($B1007="Tema",INDEX(Temas!$E$6:$P$305,$C1007,2*$D1007),INDEX(Avulsos!$F$6:$F$205,$C1007))&amp;""="","","✓"))</f>
        <v/>
      </c>
      <c r="L1007" s="114" t="str">
        <f aca="true">IF($E1007="","",IF($K1007="✓","Concluído",IF($E1007&lt;TODAY(),"Atrasado",IF($E1007=TODAY(),"Hoje","Pendente"))))</f>
        <v/>
      </c>
      <c r="M1007" s="114" t="str">
        <f aca="false">IF($E1007="","",IF($K1007="✓","✓ ","")&amp;IF(Config!$E$22="Sim",$H1007&amp;" · ","")&amp;$F1007)</f>
        <v/>
      </c>
      <c r="N1007" s="114" t="str">
        <f aca="false">IF($E1007="","",IFERROR(INDEX(Config!$D$15:$D$19,MATCH($I1007,Config!$C$15:$C$19,0)),"OUT")&amp;IF($K1007="✓","x",""))</f>
        <v/>
      </c>
      <c r="O1007" s="114" t="str">
        <f aca="false">IF($E1007="","",COUNTIF($E$5:$E1007,$E1007))</f>
        <v/>
      </c>
      <c r="P1007" s="114" t="str">
        <f aca="false">IF($E1007="","",$E1007*100+$O1007)</f>
        <v/>
      </c>
      <c r="Q1007" s="114" t="str">
        <f aca="false">IF($L1007="Atrasado",$E1007*10000+$A1007,"")</f>
        <v/>
      </c>
    </row>
    <row r="1008" customFormat="false" ht="15" hidden="false" customHeight="false" outlineLevel="0" collapsed="false">
      <c r="A1008" s="114" t="n">
        <f aca="false">ROW()-4</f>
        <v>1004</v>
      </c>
      <c r="B1008" s="114" t="str">
        <f aca="false">IF(A1008&lt;=Config!$E$27*Config!$E$28,"Tema","Avulso")</f>
        <v>Tema</v>
      </c>
      <c r="C1008" s="114" t="n">
        <f aca="false">IF(B1008="Tema",INT((A1008-1)/Config!$E$28)+1,A1008-Config!$E$27*Config!$E$28)</f>
        <v>168</v>
      </c>
      <c r="D1008" s="114" t="n">
        <f aca="false">IF(B1008="Tema",MOD(A1008-1,Config!$E$28)+1,"")</f>
        <v>2</v>
      </c>
      <c r="E1008" s="115" t="str">
        <f aca="false">IF($B1008="Tema",IF(ISNUMBER(INDEX(Temas!$E$6:$P$305,$C1008,2*$D1008-1)),INDEX(Temas!$E$6:$P$305,$C1008,2*$D1008-1),""),IF(ISNUMBER(INDEX(Avulsos!$B$6:$B$205,$C1008)),INDEX(Avulsos!$B$6:$B$205,$C1008),""))</f>
        <v/>
      </c>
      <c r="F1008" s="114" t="str">
        <f aca="false">IF($E1008="","",IF($B1008="Tema",INDEX(Temas!$B$6:$B$305,$C1008)&amp;"",INDEX(Avulsos!$C$6:$C$205,$C1008)&amp;""))</f>
        <v/>
      </c>
      <c r="G1008" s="114" t="str">
        <f aca="false">IF($E1008="","",IF($B1008="Tema",INDEX(Config!$C$6:$C$11,$D1008),"Evento avulso"))</f>
        <v/>
      </c>
      <c r="H1008" s="114" t="str">
        <f aca="false">IF($E1008="","",IF($B1008="Tema",INDEX(Config!$D$6:$D$11,$D1008),IFERROR(INDEX(Config!$E$15:$E$19,MATCH($I1008,Config!$C$15:$C$19,0)),"•")))</f>
        <v/>
      </c>
      <c r="I1008" s="114" t="str">
        <f aca="false">IF($E1008="","",IF($B1008="Tema",INDEX(Config!$E$6:$E$11,$D1008),IF(INDEX(Avulsos!$D$6:$D$205,$C1008)&amp;""="","Outro",INDEX(Avulsos!$D$6:$D$205,$C1008))))</f>
        <v/>
      </c>
      <c r="J1008" s="114" t="str">
        <f aca="false">IF($E1008="","",IF($B1008="Tema",INDEX(Temas!$C$6:$C$305,$C1008)&amp;"",INDEX(Avulsos!$E$6:$E$205,$C1008)&amp;""))</f>
        <v/>
      </c>
      <c r="K1008" s="114" t="str">
        <f aca="false">IF($E1008="","",IF(IF($B1008="Tema",INDEX(Temas!$E$6:$P$305,$C1008,2*$D1008),INDEX(Avulsos!$F$6:$F$205,$C1008))&amp;""="","","✓"))</f>
        <v/>
      </c>
      <c r="L1008" s="114" t="str">
        <f aca="true">IF($E1008="","",IF($K1008="✓","Concluído",IF($E1008&lt;TODAY(),"Atrasado",IF($E1008=TODAY(),"Hoje","Pendente"))))</f>
        <v/>
      </c>
      <c r="M1008" s="114" t="str">
        <f aca="false">IF($E1008="","",IF($K1008="✓","✓ ","")&amp;IF(Config!$E$22="Sim",$H1008&amp;" · ","")&amp;$F1008)</f>
        <v/>
      </c>
      <c r="N1008" s="114" t="str">
        <f aca="false">IF($E1008="","",IFERROR(INDEX(Config!$D$15:$D$19,MATCH($I1008,Config!$C$15:$C$19,0)),"OUT")&amp;IF($K1008="✓","x",""))</f>
        <v/>
      </c>
      <c r="O1008" s="114" t="str">
        <f aca="false">IF($E1008="","",COUNTIF($E$5:$E1008,$E1008))</f>
        <v/>
      </c>
      <c r="P1008" s="114" t="str">
        <f aca="false">IF($E1008="","",$E1008*100+$O1008)</f>
        <v/>
      </c>
      <c r="Q1008" s="114" t="str">
        <f aca="false">IF($L1008="Atrasado",$E1008*10000+$A1008,"")</f>
        <v/>
      </c>
    </row>
    <row r="1009" customFormat="false" ht="15" hidden="false" customHeight="false" outlineLevel="0" collapsed="false">
      <c r="A1009" s="114" t="n">
        <f aca="false">ROW()-4</f>
        <v>1005</v>
      </c>
      <c r="B1009" s="114" t="str">
        <f aca="false">IF(A1009&lt;=Config!$E$27*Config!$E$28,"Tema","Avulso")</f>
        <v>Tema</v>
      </c>
      <c r="C1009" s="114" t="n">
        <f aca="false">IF(B1009="Tema",INT((A1009-1)/Config!$E$28)+1,A1009-Config!$E$27*Config!$E$28)</f>
        <v>168</v>
      </c>
      <c r="D1009" s="114" t="n">
        <f aca="false">IF(B1009="Tema",MOD(A1009-1,Config!$E$28)+1,"")</f>
        <v>3</v>
      </c>
      <c r="E1009" s="115" t="str">
        <f aca="false">IF($B1009="Tema",IF(ISNUMBER(INDEX(Temas!$E$6:$P$305,$C1009,2*$D1009-1)),INDEX(Temas!$E$6:$P$305,$C1009,2*$D1009-1),""),IF(ISNUMBER(INDEX(Avulsos!$B$6:$B$205,$C1009)),INDEX(Avulsos!$B$6:$B$205,$C1009),""))</f>
        <v/>
      </c>
      <c r="F1009" s="114" t="str">
        <f aca="false">IF($E1009="","",IF($B1009="Tema",INDEX(Temas!$B$6:$B$305,$C1009)&amp;"",INDEX(Avulsos!$C$6:$C$205,$C1009)&amp;""))</f>
        <v/>
      </c>
      <c r="G1009" s="114" t="str">
        <f aca="false">IF($E1009="","",IF($B1009="Tema",INDEX(Config!$C$6:$C$11,$D1009),"Evento avulso"))</f>
        <v/>
      </c>
      <c r="H1009" s="114" t="str">
        <f aca="false">IF($E1009="","",IF($B1009="Tema",INDEX(Config!$D$6:$D$11,$D1009),IFERROR(INDEX(Config!$E$15:$E$19,MATCH($I1009,Config!$C$15:$C$19,0)),"•")))</f>
        <v/>
      </c>
      <c r="I1009" s="114" t="str">
        <f aca="false">IF($E1009="","",IF($B1009="Tema",INDEX(Config!$E$6:$E$11,$D1009),IF(INDEX(Avulsos!$D$6:$D$205,$C1009)&amp;""="","Outro",INDEX(Avulsos!$D$6:$D$205,$C1009))))</f>
        <v/>
      </c>
      <c r="J1009" s="114" t="str">
        <f aca="false">IF($E1009="","",IF($B1009="Tema",INDEX(Temas!$C$6:$C$305,$C1009)&amp;"",INDEX(Avulsos!$E$6:$E$205,$C1009)&amp;""))</f>
        <v/>
      </c>
      <c r="K1009" s="114" t="str">
        <f aca="false">IF($E1009="","",IF(IF($B1009="Tema",INDEX(Temas!$E$6:$P$305,$C1009,2*$D1009),INDEX(Avulsos!$F$6:$F$205,$C1009))&amp;""="","","✓"))</f>
        <v/>
      </c>
      <c r="L1009" s="114" t="str">
        <f aca="true">IF($E1009="","",IF($K1009="✓","Concluído",IF($E1009&lt;TODAY(),"Atrasado",IF($E1009=TODAY(),"Hoje","Pendente"))))</f>
        <v/>
      </c>
      <c r="M1009" s="114" t="str">
        <f aca="false">IF($E1009="","",IF($K1009="✓","✓ ","")&amp;IF(Config!$E$22="Sim",$H1009&amp;" · ","")&amp;$F1009)</f>
        <v/>
      </c>
      <c r="N1009" s="114" t="str">
        <f aca="false">IF($E1009="","",IFERROR(INDEX(Config!$D$15:$D$19,MATCH($I1009,Config!$C$15:$C$19,0)),"OUT")&amp;IF($K1009="✓","x",""))</f>
        <v/>
      </c>
      <c r="O1009" s="114" t="str">
        <f aca="false">IF($E1009="","",COUNTIF($E$5:$E1009,$E1009))</f>
        <v/>
      </c>
      <c r="P1009" s="114" t="str">
        <f aca="false">IF($E1009="","",$E1009*100+$O1009)</f>
        <v/>
      </c>
      <c r="Q1009" s="114" t="str">
        <f aca="false">IF($L1009="Atrasado",$E1009*10000+$A1009,"")</f>
        <v/>
      </c>
    </row>
    <row r="1010" customFormat="false" ht="15" hidden="false" customHeight="false" outlineLevel="0" collapsed="false">
      <c r="A1010" s="114" t="n">
        <f aca="false">ROW()-4</f>
        <v>1006</v>
      </c>
      <c r="B1010" s="114" t="str">
        <f aca="false">IF(A1010&lt;=Config!$E$27*Config!$E$28,"Tema","Avulso")</f>
        <v>Tema</v>
      </c>
      <c r="C1010" s="114" t="n">
        <f aca="false">IF(B1010="Tema",INT((A1010-1)/Config!$E$28)+1,A1010-Config!$E$27*Config!$E$28)</f>
        <v>168</v>
      </c>
      <c r="D1010" s="114" t="n">
        <f aca="false">IF(B1010="Tema",MOD(A1010-1,Config!$E$28)+1,"")</f>
        <v>4</v>
      </c>
      <c r="E1010" s="115" t="str">
        <f aca="false">IF($B1010="Tema",IF(ISNUMBER(INDEX(Temas!$E$6:$P$305,$C1010,2*$D1010-1)),INDEX(Temas!$E$6:$P$305,$C1010,2*$D1010-1),""),IF(ISNUMBER(INDEX(Avulsos!$B$6:$B$205,$C1010)),INDEX(Avulsos!$B$6:$B$205,$C1010),""))</f>
        <v/>
      </c>
      <c r="F1010" s="114" t="str">
        <f aca="false">IF($E1010="","",IF($B1010="Tema",INDEX(Temas!$B$6:$B$305,$C1010)&amp;"",INDEX(Avulsos!$C$6:$C$205,$C1010)&amp;""))</f>
        <v/>
      </c>
      <c r="G1010" s="114" t="str">
        <f aca="false">IF($E1010="","",IF($B1010="Tema",INDEX(Config!$C$6:$C$11,$D1010),"Evento avulso"))</f>
        <v/>
      </c>
      <c r="H1010" s="114" t="str">
        <f aca="false">IF($E1010="","",IF($B1010="Tema",INDEX(Config!$D$6:$D$11,$D1010),IFERROR(INDEX(Config!$E$15:$E$19,MATCH($I1010,Config!$C$15:$C$19,0)),"•")))</f>
        <v/>
      </c>
      <c r="I1010" s="114" t="str">
        <f aca="false">IF($E1010="","",IF($B1010="Tema",INDEX(Config!$E$6:$E$11,$D1010),IF(INDEX(Avulsos!$D$6:$D$205,$C1010)&amp;""="","Outro",INDEX(Avulsos!$D$6:$D$205,$C1010))))</f>
        <v/>
      </c>
      <c r="J1010" s="114" t="str">
        <f aca="false">IF($E1010="","",IF($B1010="Tema",INDEX(Temas!$C$6:$C$305,$C1010)&amp;"",INDEX(Avulsos!$E$6:$E$205,$C1010)&amp;""))</f>
        <v/>
      </c>
      <c r="K1010" s="114" t="str">
        <f aca="false">IF($E1010="","",IF(IF($B1010="Tema",INDEX(Temas!$E$6:$P$305,$C1010,2*$D1010),INDEX(Avulsos!$F$6:$F$205,$C1010))&amp;""="","","✓"))</f>
        <v/>
      </c>
      <c r="L1010" s="114" t="str">
        <f aca="true">IF($E1010="","",IF($K1010="✓","Concluído",IF($E1010&lt;TODAY(),"Atrasado",IF($E1010=TODAY(),"Hoje","Pendente"))))</f>
        <v/>
      </c>
      <c r="M1010" s="114" t="str">
        <f aca="false">IF($E1010="","",IF($K1010="✓","✓ ","")&amp;IF(Config!$E$22="Sim",$H1010&amp;" · ","")&amp;$F1010)</f>
        <v/>
      </c>
      <c r="N1010" s="114" t="str">
        <f aca="false">IF($E1010="","",IFERROR(INDEX(Config!$D$15:$D$19,MATCH($I1010,Config!$C$15:$C$19,0)),"OUT")&amp;IF($K1010="✓","x",""))</f>
        <v/>
      </c>
      <c r="O1010" s="114" t="str">
        <f aca="false">IF($E1010="","",COUNTIF($E$5:$E1010,$E1010))</f>
        <v/>
      </c>
      <c r="P1010" s="114" t="str">
        <f aca="false">IF($E1010="","",$E1010*100+$O1010)</f>
        <v/>
      </c>
      <c r="Q1010" s="114" t="str">
        <f aca="false">IF($L1010="Atrasado",$E1010*10000+$A1010,"")</f>
        <v/>
      </c>
    </row>
    <row r="1011" customFormat="false" ht="15" hidden="false" customHeight="false" outlineLevel="0" collapsed="false">
      <c r="A1011" s="114" t="n">
        <f aca="false">ROW()-4</f>
        <v>1007</v>
      </c>
      <c r="B1011" s="114" t="str">
        <f aca="false">IF(A1011&lt;=Config!$E$27*Config!$E$28,"Tema","Avulso")</f>
        <v>Tema</v>
      </c>
      <c r="C1011" s="114" t="n">
        <f aca="false">IF(B1011="Tema",INT((A1011-1)/Config!$E$28)+1,A1011-Config!$E$27*Config!$E$28)</f>
        <v>168</v>
      </c>
      <c r="D1011" s="114" t="n">
        <f aca="false">IF(B1011="Tema",MOD(A1011-1,Config!$E$28)+1,"")</f>
        <v>5</v>
      </c>
      <c r="E1011" s="115" t="str">
        <f aca="false">IF($B1011="Tema",IF(ISNUMBER(INDEX(Temas!$E$6:$P$305,$C1011,2*$D1011-1)),INDEX(Temas!$E$6:$P$305,$C1011,2*$D1011-1),""),IF(ISNUMBER(INDEX(Avulsos!$B$6:$B$205,$C1011)),INDEX(Avulsos!$B$6:$B$205,$C1011),""))</f>
        <v/>
      </c>
      <c r="F1011" s="114" t="str">
        <f aca="false">IF($E1011="","",IF($B1011="Tema",INDEX(Temas!$B$6:$B$305,$C1011)&amp;"",INDEX(Avulsos!$C$6:$C$205,$C1011)&amp;""))</f>
        <v/>
      </c>
      <c r="G1011" s="114" t="str">
        <f aca="false">IF($E1011="","",IF($B1011="Tema",INDEX(Config!$C$6:$C$11,$D1011),"Evento avulso"))</f>
        <v/>
      </c>
      <c r="H1011" s="114" t="str">
        <f aca="false">IF($E1011="","",IF($B1011="Tema",INDEX(Config!$D$6:$D$11,$D1011),IFERROR(INDEX(Config!$E$15:$E$19,MATCH($I1011,Config!$C$15:$C$19,0)),"•")))</f>
        <v/>
      </c>
      <c r="I1011" s="114" t="str">
        <f aca="false">IF($E1011="","",IF($B1011="Tema",INDEX(Config!$E$6:$E$11,$D1011),IF(INDEX(Avulsos!$D$6:$D$205,$C1011)&amp;""="","Outro",INDEX(Avulsos!$D$6:$D$205,$C1011))))</f>
        <v/>
      </c>
      <c r="J1011" s="114" t="str">
        <f aca="false">IF($E1011="","",IF($B1011="Tema",INDEX(Temas!$C$6:$C$305,$C1011)&amp;"",INDEX(Avulsos!$E$6:$E$205,$C1011)&amp;""))</f>
        <v/>
      </c>
      <c r="K1011" s="114" t="str">
        <f aca="false">IF($E1011="","",IF(IF($B1011="Tema",INDEX(Temas!$E$6:$P$305,$C1011,2*$D1011),INDEX(Avulsos!$F$6:$F$205,$C1011))&amp;""="","","✓"))</f>
        <v/>
      </c>
      <c r="L1011" s="114" t="str">
        <f aca="true">IF($E1011="","",IF($K1011="✓","Concluído",IF($E1011&lt;TODAY(),"Atrasado",IF($E1011=TODAY(),"Hoje","Pendente"))))</f>
        <v/>
      </c>
      <c r="M1011" s="114" t="str">
        <f aca="false">IF($E1011="","",IF($K1011="✓","✓ ","")&amp;IF(Config!$E$22="Sim",$H1011&amp;" · ","")&amp;$F1011)</f>
        <v/>
      </c>
      <c r="N1011" s="114" t="str">
        <f aca="false">IF($E1011="","",IFERROR(INDEX(Config!$D$15:$D$19,MATCH($I1011,Config!$C$15:$C$19,0)),"OUT")&amp;IF($K1011="✓","x",""))</f>
        <v/>
      </c>
      <c r="O1011" s="114" t="str">
        <f aca="false">IF($E1011="","",COUNTIF($E$5:$E1011,$E1011))</f>
        <v/>
      </c>
      <c r="P1011" s="114" t="str">
        <f aca="false">IF($E1011="","",$E1011*100+$O1011)</f>
        <v/>
      </c>
      <c r="Q1011" s="114" t="str">
        <f aca="false">IF($L1011="Atrasado",$E1011*10000+$A1011,"")</f>
        <v/>
      </c>
    </row>
    <row r="1012" customFormat="false" ht="15" hidden="false" customHeight="false" outlineLevel="0" collapsed="false">
      <c r="A1012" s="114" t="n">
        <f aca="false">ROW()-4</f>
        <v>1008</v>
      </c>
      <c r="B1012" s="114" t="str">
        <f aca="false">IF(A1012&lt;=Config!$E$27*Config!$E$28,"Tema","Avulso")</f>
        <v>Tema</v>
      </c>
      <c r="C1012" s="114" t="n">
        <f aca="false">IF(B1012="Tema",INT((A1012-1)/Config!$E$28)+1,A1012-Config!$E$27*Config!$E$28)</f>
        <v>168</v>
      </c>
      <c r="D1012" s="114" t="n">
        <f aca="false">IF(B1012="Tema",MOD(A1012-1,Config!$E$28)+1,"")</f>
        <v>6</v>
      </c>
      <c r="E1012" s="115" t="str">
        <f aca="false">IF($B1012="Tema",IF(ISNUMBER(INDEX(Temas!$E$6:$P$305,$C1012,2*$D1012-1)),INDEX(Temas!$E$6:$P$305,$C1012,2*$D1012-1),""),IF(ISNUMBER(INDEX(Avulsos!$B$6:$B$205,$C1012)),INDEX(Avulsos!$B$6:$B$205,$C1012),""))</f>
        <v/>
      </c>
      <c r="F1012" s="114" t="str">
        <f aca="false">IF($E1012="","",IF($B1012="Tema",INDEX(Temas!$B$6:$B$305,$C1012)&amp;"",INDEX(Avulsos!$C$6:$C$205,$C1012)&amp;""))</f>
        <v/>
      </c>
      <c r="G1012" s="114" t="str">
        <f aca="false">IF($E1012="","",IF($B1012="Tema",INDEX(Config!$C$6:$C$11,$D1012),"Evento avulso"))</f>
        <v/>
      </c>
      <c r="H1012" s="114" t="str">
        <f aca="false">IF($E1012="","",IF($B1012="Tema",INDEX(Config!$D$6:$D$11,$D1012),IFERROR(INDEX(Config!$E$15:$E$19,MATCH($I1012,Config!$C$15:$C$19,0)),"•")))</f>
        <v/>
      </c>
      <c r="I1012" s="114" t="str">
        <f aca="false">IF($E1012="","",IF($B1012="Tema",INDEX(Config!$E$6:$E$11,$D1012),IF(INDEX(Avulsos!$D$6:$D$205,$C1012)&amp;""="","Outro",INDEX(Avulsos!$D$6:$D$205,$C1012))))</f>
        <v/>
      </c>
      <c r="J1012" s="114" t="str">
        <f aca="false">IF($E1012="","",IF($B1012="Tema",INDEX(Temas!$C$6:$C$305,$C1012)&amp;"",INDEX(Avulsos!$E$6:$E$205,$C1012)&amp;""))</f>
        <v/>
      </c>
      <c r="K1012" s="114" t="str">
        <f aca="false">IF($E1012="","",IF(IF($B1012="Tema",INDEX(Temas!$E$6:$P$305,$C1012,2*$D1012),INDEX(Avulsos!$F$6:$F$205,$C1012))&amp;""="","","✓"))</f>
        <v/>
      </c>
      <c r="L1012" s="114" t="str">
        <f aca="true">IF($E1012="","",IF($K1012="✓","Concluído",IF($E1012&lt;TODAY(),"Atrasado",IF($E1012=TODAY(),"Hoje","Pendente"))))</f>
        <v/>
      </c>
      <c r="M1012" s="114" t="str">
        <f aca="false">IF($E1012="","",IF($K1012="✓","✓ ","")&amp;IF(Config!$E$22="Sim",$H1012&amp;" · ","")&amp;$F1012)</f>
        <v/>
      </c>
      <c r="N1012" s="114" t="str">
        <f aca="false">IF($E1012="","",IFERROR(INDEX(Config!$D$15:$D$19,MATCH($I1012,Config!$C$15:$C$19,0)),"OUT")&amp;IF($K1012="✓","x",""))</f>
        <v/>
      </c>
      <c r="O1012" s="114" t="str">
        <f aca="false">IF($E1012="","",COUNTIF($E$5:$E1012,$E1012))</f>
        <v/>
      </c>
      <c r="P1012" s="114" t="str">
        <f aca="false">IF($E1012="","",$E1012*100+$O1012)</f>
        <v/>
      </c>
      <c r="Q1012" s="114" t="str">
        <f aca="false">IF($L1012="Atrasado",$E1012*10000+$A1012,"")</f>
        <v/>
      </c>
    </row>
    <row r="1013" customFormat="false" ht="15" hidden="false" customHeight="false" outlineLevel="0" collapsed="false">
      <c r="A1013" s="114" t="n">
        <f aca="false">ROW()-4</f>
        <v>1009</v>
      </c>
      <c r="B1013" s="114" t="str">
        <f aca="false">IF(A1013&lt;=Config!$E$27*Config!$E$28,"Tema","Avulso")</f>
        <v>Tema</v>
      </c>
      <c r="C1013" s="114" t="n">
        <f aca="false">IF(B1013="Tema",INT((A1013-1)/Config!$E$28)+1,A1013-Config!$E$27*Config!$E$28)</f>
        <v>169</v>
      </c>
      <c r="D1013" s="114" t="n">
        <f aca="false">IF(B1013="Tema",MOD(A1013-1,Config!$E$28)+1,"")</f>
        <v>1</v>
      </c>
      <c r="E1013" s="115" t="str">
        <f aca="false">IF($B1013="Tema",IF(ISNUMBER(INDEX(Temas!$E$6:$P$305,$C1013,2*$D1013-1)),INDEX(Temas!$E$6:$P$305,$C1013,2*$D1013-1),""),IF(ISNUMBER(INDEX(Avulsos!$B$6:$B$205,$C1013)),INDEX(Avulsos!$B$6:$B$205,$C1013),""))</f>
        <v/>
      </c>
      <c r="F1013" s="114" t="str">
        <f aca="false">IF($E1013="","",IF($B1013="Tema",INDEX(Temas!$B$6:$B$305,$C1013)&amp;"",INDEX(Avulsos!$C$6:$C$205,$C1013)&amp;""))</f>
        <v/>
      </c>
      <c r="G1013" s="114" t="str">
        <f aca="false">IF($E1013="","",IF($B1013="Tema",INDEX(Config!$C$6:$C$11,$D1013),"Evento avulso"))</f>
        <v/>
      </c>
      <c r="H1013" s="114" t="str">
        <f aca="false">IF($E1013="","",IF($B1013="Tema",INDEX(Config!$D$6:$D$11,$D1013),IFERROR(INDEX(Config!$E$15:$E$19,MATCH($I1013,Config!$C$15:$C$19,0)),"•")))</f>
        <v/>
      </c>
      <c r="I1013" s="114" t="str">
        <f aca="false">IF($E1013="","",IF($B1013="Tema",INDEX(Config!$E$6:$E$11,$D1013),IF(INDEX(Avulsos!$D$6:$D$205,$C1013)&amp;""="","Outro",INDEX(Avulsos!$D$6:$D$205,$C1013))))</f>
        <v/>
      </c>
      <c r="J1013" s="114" t="str">
        <f aca="false">IF($E1013="","",IF($B1013="Tema",INDEX(Temas!$C$6:$C$305,$C1013)&amp;"",INDEX(Avulsos!$E$6:$E$205,$C1013)&amp;""))</f>
        <v/>
      </c>
      <c r="K1013" s="114" t="str">
        <f aca="false">IF($E1013="","",IF(IF($B1013="Tema",INDEX(Temas!$E$6:$P$305,$C1013,2*$D1013),INDEX(Avulsos!$F$6:$F$205,$C1013))&amp;""="","","✓"))</f>
        <v/>
      </c>
      <c r="L1013" s="114" t="str">
        <f aca="true">IF($E1013="","",IF($K1013="✓","Concluído",IF($E1013&lt;TODAY(),"Atrasado",IF($E1013=TODAY(),"Hoje","Pendente"))))</f>
        <v/>
      </c>
      <c r="M1013" s="114" t="str">
        <f aca="false">IF($E1013="","",IF($K1013="✓","✓ ","")&amp;IF(Config!$E$22="Sim",$H1013&amp;" · ","")&amp;$F1013)</f>
        <v/>
      </c>
      <c r="N1013" s="114" t="str">
        <f aca="false">IF($E1013="","",IFERROR(INDEX(Config!$D$15:$D$19,MATCH($I1013,Config!$C$15:$C$19,0)),"OUT")&amp;IF($K1013="✓","x",""))</f>
        <v/>
      </c>
      <c r="O1013" s="114" t="str">
        <f aca="false">IF($E1013="","",COUNTIF($E$5:$E1013,$E1013))</f>
        <v/>
      </c>
      <c r="P1013" s="114" t="str">
        <f aca="false">IF($E1013="","",$E1013*100+$O1013)</f>
        <v/>
      </c>
      <c r="Q1013" s="114" t="str">
        <f aca="false">IF($L1013="Atrasado",$E1013*10000+$A1013,"")</f>
        <v/>
      </c>
    </row>
    <row r="1014" customFormat="false" ht="15" hidden="false" customHeight="false" outlineLevel="0" collapsed="false">
      <c r="A1014" s="114" t="n">
        <f aca="false">ROW()-4</f>
        <v>1010</v>
      </c>
      <c r="B1014" s="114" t="str">
        <f aca="false">IF(A1014&lt;=Config!$E$27*Config!$E$28,"Tema","Avulso")</f>
        <v>Tema</v>
      </c>
      <c r="C1014" s="114" t="n">
        <f aca="false">IF(B1014="Tema",INT((A1014-1)/Config!$E$28)+1,A1014-Config!$E$27*Config!$E$28)</f>
        <v>169</v>
      </c>
      <c r="D1014" s="114" t="n">
        <f aca="false">IF(B1014="Tema",MOD(A1014-1,Config!$E$28)+1,"")</f>
        <v>2</v>
      </c>
      <c r="E1014" s="115" t="str">
        <f aca="false">IF($B1014="Tema",IF(ISNUMBER(INDEX(Temas!$E$6:$P$305,$C1014,2*$D1014-1)),INDEX(Temas!$E$6:$P$305,$C1014,2*$D1014-1),""),IF(ISNUMBER(INDEX(Avulsos!$B$6:$B$205,$C1014)),INDEX(Avulsos!$B$6:$B$205,$C1014),""))</f>
        <v/>
      </c>
      <c r="F1014" s="114" t="str">
        <f aca="false">IF($E1014="","",IF($B1014="Tema",INDEX(Temas!$B$6:$B$305,$C1014)&amp;"",INDEX(Avulsos!$C$6:$C$205,$C1014)&amp;""))</f>
        <v/>
      </c>
      <c r="G1014" s="114" t="str">
        <f aca="false">IF($E1014="","",IF($B1014="Tema",INDEX(Config!$C$6:$C$11,$D1014),"Evento avulso"))</f>
        <v/>
      </c>
      <c r="H1014" s="114" t="str">
        <f aca="false">IF($E1014="","",IF($B1014="Tema",INDEX(Config!$D$6:$D$11,$D1014),IFERROR(INDEX(Config!$E$15:$E$19,MATCH($I1014,Config!$C$15:$C$19,0)),"•")))</f>
        <v/>
      </c>
      <c r="I1014" s="114" t="str">
        <f aca="false">IF($E1014="","",IF($B1014="Tema",INDEX(Config!$E$6:$E$11,$D1014),IF(INDEX(Avulsos!$D$6:$D$205,$C1014)&amp;""="","Outro",INDEX(Avulsos!$D$6:$D$205,$C1014))))</f>
        <v/>
      </c>
      <c r="J1014" s="114" t="str">
        <f aca="false">IF($E1014="","",IF($B1014="Tema",INDEX(Temas!$C$6:$C$305,$C1014)&amp;"",INDEX(Avulsos!$E$6:$E$205,$C1014)&amp;""))</f>
        <v/>
      </c>
      <c r="K1014" s="114" t="str">
        <f aca="false">IF($E1014="","",IF(IF($B1014="Tema",INDEX(Temas!$E$6:$P$305,$C1014,2*$D1014),INDEX(Avulsos!$F$6:$F$205,$C1014))&amp;""="","","✓"))</f>
        <v/>
      </c>
      <c r="L1014" s="114" t="str">
        <f aca="true">IF($E1014="","",IF($K1014="✓","Concluído",IF($E1014&lt;TODAY(),"Atrasado",IF($E1014=TODAY(),"Hoje","Pendente"))))</f>
        <v/>
      </c>
      <c r="M1014" s="114" t="str">
        <f aca="false">IF($E1014="","",IF($K1014="✓","✓ ","")&amp;IF(Config!$E$22="Sim",$H1014&amp;" · ","")&amp;$F1014)</f>
        <v/>
      </c>
      <c r="N1014" s="114" t="str">
        <f aca="false">IF($E1014="","",IFERROR(INDEX(Config!$D$15:$D$19,MATCH($I1014,Config!$C$15:$C$19,0)),"OUT")&amp;IF($K1014="✓","x",""))</f>
        <v/>
      </c>
      <c r="O1014" s="114" t="str">
        <f aca="false">IF($E1014="","",COUNTIF($E$5:$E1014,$E1014))</f>
        <v/>
      </c>
      <c r="P1014" s="114" t="str">
        <f aca="false">IF($E1014="","",$E1014*100+$O1014)</f>
        <v/>
      </c>
      <c r="Q1014" s="114" t="str">
        <f aca="false">IF($L1014="Atrasado",$E1014*10000+$A1014,"")</f>
        <v/>
      </c>
    </row>
    <row r="1015" customFormat="false" ht="15" hidden="false" customHeight="false" outlineLevel="0" collapsed="false">
      <c r="A1015" s="114" t="n">
        <f aca="false">ROW()-4</f>
        <v>1011</v>
      </c>
      <c r="B1015" s="114" t="str">
        <f aca="false">IF(A1015&lt;=Config!$E$27*Config!$E$28,"Tema","Avulso")</f>
        <v>Tema</v>
      </c>
      <c r="C1015" s="114" t="n">
        <f aca="false">IF(B1015="Tema",INT((A1015-1)/Config!$E$28)+1,A1015-Config!$E$27*Config!$E$28)</f>
        <v>169</v>
      </c>
      <c r="D1015" s="114" t="n">
        <f aca="false">IF(B1015="Tema",MOD(A1015-1,Config!$E$28)+1,"")</f>
        <v>3</v>
      </c>
      <c r="E1015" s="115" t="str">
        <f aca="false">IF($B1015="Tema",IF(ISNUMBER(INDEX(Temas!$E$6:$P$305,$C1015,2*$D1015-1)),INDEX(Temas!$E$6:$P$305,$C1015,2*$D1015-1),""),IF(ISNUMBER(INDEX(Avulsos!$B$6:$B$205,$C1015)),INDEX(Avulsos!$B$6:$B$205,$C1015),""))</f>
        <v/>
      </c>
      <c r="F1015" s="114" t="str">
        <f aca="false">IF($E1015="","",IF($B1015="Tema",INDEX(Temas!$B$6:$B$305,$C1015)&amp;"",INDEX(Avulsos!$C$6:$C$205,$C1015)&amp;""))</f>
        <v/>
      </c>
      <c r="G1015" s="114" t="str">
        <f aca="false">IF($E1015="","",IF($B1015="Tema",INDEX(Config!$C$6:$C$11,$D1015),"Evento avulso"))</f>
        <v/>
      </c>
      <c r="H1015" s="114" t="str">
        <f aca="false">IF($E1015="","",IF($B1015="Tema",INDEX(Config!$D$6:$D$11,$D1015),IFERROR(INDEX(Config!$E$15:$E$19,MATCH($I1015,Config!$C$15:$C$19,0)),"•")))</f>
        <v/>
      </c>
      <c r="I1015" s="114" t="str">
        <f aca="false">IF($E1015="","",IF($B1015="Tema",INDEX(Config!$E$6:$E$11,$D1015),IF(INDEX(Avulsos!$D$6:$D$205,$C1015)&amp;""="","Outro",INDEX(Avulsos!$D$6:$D$205,$C1015))))</f>
        <v/>
      </c>
      <c r="J1015" s="114" t="str">
        <f aca="false">IF($E1015="","",IF($B1015="Tema",INDEX(Temas!$C$6:$C$305,$C1015)&amp;"",INDEX(Avulsos!$E$6:$E$205,$C1015)&amp;""))</f>
        <v/>
      </c>
      <c r="K1015" s="114" t="str">
        <f aca="false">IF($E1015="","",IF(IF($B1015="Tema",INDEX(Temas!$E$6:$P$305,$C1015,2*$D1015),INDEX(Avulsos!$F$6:$F$205,$C1015))&amp;""="","","✓"))</f>
        <v/>
      </c>
      <c r="L1015" s="114" t="str">
        <f aca="true">IF($E1015="","",IF($K1015="✓","Concluído",IF($E1015&lt;TODAY(),"Atrasado",IF($E1015=TODAY(),"Hoje","Pendente"))))</f>
        <v/>
      </c>
      <c r="M1015" s="114" t="str">
        <f aca="false">IF($E1015="","",IF($K1015="✓","✓ ","")&amp;IF(Config!$E$22="Sim",$H1015&amp;" · ","")&amp;$F1015)</f>
        <v/>
      </c>
      <c r="N1015" s="114" t="str">
        <f aca="false">IF($E1015="","",IFERROR(INDEX(Config!$D$15:$D$19,MATCH($I1015,Config!$C$15:$C$19,0)),"OUT")&amp;IF($K1015="✓","x",""))</f>
        <v/>
      </c>
      <c r="O1015" s="114" t="str">
        <f aca="false">IF($E1015="","",COUNTIF($E$5:$E1015,$E1015))</f>
        <v/>
      </c>
      <c r="P1015" s="114" t="str">
        <f aca="false">IF($E1015="","",$E1015*100+$O1015)</f>
        <v/>
      </c>
      <c r="Q1015" s="114" t="str">
        <f aca="false">IF($L1015="Atrasado",$E1015*10000+$A1015,"")</f>
        <v/>
      </c>
    </row>
    <row r="1016" customFormat="false" ht="15" hidden="false" customHeight="false" outlineLevel="0" collapsed="false">
      <c r="A1016" s="114" t="n">
        <f aca="false">ROW()-4</f>
        <v>1012</v>
      </c>
      <c r="B1016" s="114" t="str">
        <f aca="false">IF(A1016&lt;=Config!$E$27*Config!$E$28,"Tema","Avulso")</f>
        <v>Tema</v>
      </c>
      <c r="C1016" s="114" t="n">
        <f aca="false">IF(B1016="Tema",INT((A1016-1)/Config!$E$28)+1,A1016-Config!$E$27*Config!$E$28)</f>
        <v>169</v>
      </c>
      <c r="D1016" s="114" t="n">
        <f aca="false">IF(B1016="Tema",MOD(A1016-1,Config!$E$28)+1,"")</f>
        <v>4</v>
      </c>
      <c r="E1016" s="115" t="str">
        <f aca="false">IF($B1016="Tema",IF(ISNUMBER(INDEX(Temas!$E$6:$P$305,$C1016,2*$D1016-1)),INDEX(Temas!$E$6:$P$305,$C1016,2*$D1016-1),""),IF(ISNUMBER(INDEX(Avulsos!$B$6:$B$205,$C1016)),INDEX(Avulsos!$B$6:$B$205,$C1016),""))</f>
        <v/>
      </c>
      <c r="F1016" s="114" t="str">
        <f aca="false">IF($E1016="","",IF($B1016="Tema",INDEX(Temas!$B$6:$B$305,$C1016)&amp;"",INDEX(Avulsos!$C$6:$C$205,$C1016)&amp;""))</f>
        <v/>
      </c>
      <c r="G1016" s="114" t="str">
        <f aca="false">IF($E1016="","",IF($B1016="Tema",INDEX(Config!$C$6:$C$11,$D1016),"Evento avulso"))</f>
        <v/>
      </c>
      <c r="H1016" s="114" t="str">
        <f aca="false">IF($E1016="","",IF($B1016="Tema",INDEX(Config!$D$6:$D$11,$D1016),IFERROR(INDEX(Config!$E$15:$E$19,MATCH($I1016,Config!$C$15:$C$19,0)),"•")))</f>
        <v/>
      </c>
      <c r="I1016" s="114" t="str">
        <f aca="false">IF($E1016="","",IF($B1016="Tema",INDEX(Config!$E$6:$E$11,$D1016),IF(INDEX(Avulsos!$D$6:$D$205,$C1016)&amp;""="","Outro",INDEX(Avulsos!$D$6:$D$205,$C1016))))</f>
        <v/>
      </c>
      <c r="J1016" s="114" t="str">
        <f aca="false">IF($E1016="","",IF($B1016="Tema",INDEX(Temas!$C$6:$C$305,$C1016)&amp;"",INDEX(Avulsos!$E$6:$E$205,$C1016)&amp;""))</f>
        <v/>
      </c>
      <c r="K1016" s="114" t="str">
        <f aca="false">IF($E1016="","",IF(IF($B1016="Tema",INDEX(Temas!$E$6:$P$305,$C1016,2*$D1016),INDEX(Avulsos!$F$6:$F$205,$C1016))&amp;""="","","✓"))</f>
        <v/>
      </c>
      <c r="L1016" s="114" t="str">
        <f aca="true">IF($E1016="","",IF($K1016="✓","Concluído",IF($E1016&lt;TODAY(),"Atrasado",IF($E1016=TODAY(),"Hoje","Pendente"))))</f>
        <v/>
      </c>
      <c r="M1016" s="114" t="str">
        <f aca="false">IF($E1016="","",IF($K1016="✓","✓ ","")&amp;IF(Config!$E$22="Sim",$H1016&amp;" · ","")&amp;$F1016)</f>
        <v/>
      </c>
      <c r="N1016" s="114" t="str">
        <f aca="false">IF($E1016="","",IFERROR(INDEX(Config!$D$15:$D$19,MATCH($I1016,Config!$C$15:$C$19,0)),"OUT")&amp;IF($K1016="✓","x",""))</f>
        <v/>
      </c>
      <c r="O1016" s="114" t="str">
        <f aca="false">IF($E1016="","",COUNTIF($E$5:$E1016,$E1016))</f>
        <v/>
      </c>
      <c r="P1016" s="114" t="str">
        <f aca="false">IF($E1016="","",$E1016*100+$O1016)</f>
        <v/>
      </c>
      <c r="Q1016" s="114" t="str">
        <f aca="false">IF($L1016="Atrasado",$E1016*10000+$A1016,"")</f>
        <v/>
      </c>
    </row>
    <row r="1017" customFormat="false" ht="15" hidden="false" customHeight="false" outlineLevel="0" collapsed="false">
      <c r="A1017" s="114" t="n">
        <f aca="false">ROW()-4</f>
        <v>1013</v>
      </c>
      <c r="B1017" s="114" t="str">
        <f aca="false">IF(A1017&lt;=Config!$E$27*Config!$E$28,"Tema","Avulso")</f>
        <v>Tema</v>
      </c>
      <c r="C1017" s="114" t="n">
        <f aca="false">IF(B1017="Tema",INT((A1017-1)/Config!$E$28)+1,A1017-Config!$E$27*Config!$E$28)</f>
        <v>169</v>
      </c>
      <c r="D1017" s="114" t="n">
        <f aca="false">IF(B1017="Tema",MOD(A1017-1,Config!$E$28)+1,"")</f>
        <v>5</v>
      </c>
      <c r="E1017" s="115" t="str">
        <f aca="false">IF($B1017="Tema",IF(ISNUMBER(INDEX(Temas!$E$6:$P$305,$C1017,2*$D1017-1)),INDEX(Temas!$E$6:$P$305,$C1017,2*$D1017-1),""),IF(ISNUMBER(INDEX(Avulsos!$B$6:$B$205,$C1017)),INDEX(Avulsos!$B$6:$B$205,$C1017),""))</f>
        <v/>
      </c>
      <c r="F1017" s="114" t="str">
        <f aca="false">IF($E1017="","",IF($B1017="Tema",INDEX(Temas!$B$6:$B$305,$C1017)&amp;"",INDEX(Avulsos!$C$6:$C$205,$C1017)&amp;""))</f>
        <v/>
      </c>
      <c r="G1017" s="114" t="str">
        <f aca="false">IF($E1017="","",IF($B1017="Tema",INDEX(Config!$C$6:$C$11,$D1017),"Evento avulso"))</f>
        <v/>
      </c>
      <c r="H1017" s="114" t="str">
        <f aca="false">IF($E1017="","",IF($B1017="Tema",INDEX(Config!$D$6:$D$11,$D1017),IFERROR(INDEX(Config!$E$15:$E$19,MATCH($I1017,Config!$C$15:$C$19,0)),"•")))</f>
        <v/>
      </c>
      <c r="I1017" s="114" t="str">
        <f aca="false">IF($E1017="","",IF($B1017="Tema",INDEX(Config!$E$6:$E$11,$D1017),IF(INDEX(Avulsos!$D$6:$D$205,$C1017)&amp;""="","Outro",INDEX(Avulsos!$D$6:$D$205,$C1017))))</f>
        <v/>
      </c>
      <c r="J1017" s="114" t="str">
        <f aca="false">IF($E1017="","",IF($B1017="Tema",INDEX(Temas!$C$6:$C$305,$C1017)&amp;"",INDEX(Avulsos!$E$6:$E$205,$C1017)&amp;""))</f>
        <v/>
      </c>
      <c r="K1017" s="114" t="str">
        <f aca="false">IF($E1017="","",IF(IF($B1017="Tema",INDEX(Temas!$E$6:$P$305,$C1017,2*$D1017),INDEX(Avulsos!$F$6:$F$205,$C1017))&amp;""="","","✓"))</f>
        <v/>
      </c>
      <c r="L1017" s="114" t="str">
        <f aca="true">IF($E1017="","",IF($K1017="✓","Concluído",IF($E1017&lt;TODAY(),"Atrasado",IF($E1017=TODAY(),"Hoje","Pendente"))))</f>
        <v/>
      </c>
      <c r="M1017" s="114" t="str">
        <f aca="false">IF($E1017="","",IF($K1017="✓","✓ ","")&amp;IF(Config!$E$22="Sim",$H1017&amp;" · ","")&amp;$F1017)</f>
        <v/>
      </c>
      <c r="N1017" s="114" t="str">
        <f aca="false">IF($E1017="","",IFERROR(INDEX(Config!$D$15:$D$19,MATCH($I1017,Config!$C$15:$C$19,0)),"OUT")&amp;IF($K1017="✓","x",""))</f>
        <v/>
      </c>
      <c r="O1017" s="114" t="str">
        <f aca="false">IF($E1017="","",COUNTIF($E$5:$E1017,$E1017))</f>
        <v/>
      </c>
      <c r="P1017" s="114" t="str">
        <f aca="false">IF($E1017="","",$E1017*100+$O1017)</f>
        <v/>
      </c>
      <c r="Q1017" s="114" t="str">
        <f aca="false">IF($L1017="Atrasado",$E1017*10000+$A1017,"")</f>
        <v/>
      </c>
    </row>
    <row r="1018" customFormat="false" ht="15" hidden="false" customHeight="false" outlineLevel="0" collapsed="false">
      <c r="A1018" s="114" t="n">
        <f aca="false">ROW()-4</f>
        <v>1014</v>
      </c>
      <c r="B1018" s="114" t="str">
        <f aca="false">IF(A1018&lt;=Config!$E$27*Config!$E$28,"Tema","Avulso")</f>
        <v>Tema</v>
      </c>
      <c r="C1018" s="114" t="n">
        <f aca="false">IF(B1018="Tema",INT((A1018-1)/Config!$E$28)+1,A1018-Config!$E$27*Config!$E$28)</f>
        <v>169</v>
      </c>
      <c r="D1018" s="114" t="n">
        <f aca="false">IF(B1018="Tema",MOD(A1018-1,Config!$E$28)+1,"")</f>
        <v>6</v>
      </c>
      <c r="E1018" s="115" t="str">
        <f aca="false">IF($B1018="Tema",IF(ISNUMBER(INDEX(Temas!$E$6:$P$305,$C1018,2*$D1018-1)),INDEX(Temas!$E$6:$P$305,$C1018,2*$D1018-1),""),IF(ISNUMBER(INDEX(Avulsos!$B$6:$B$205,$C1018)),INDEX(Avulsos!$B$6:$B$205,$C1018),""))</f>
        <v/>
      </c>
      <c r="F1018" s="114" t="str">
        <f aca="false">IF($E1018="","",IF($B1018="Tema",INDEX(Temas!$B$6:$B$305,$C1018)&amp;"",INDEX(Avulsos!$C$6:$C$205,$C1018)&amp;""))</f>
        <v/>
      </c>
      <c r="G1018" s="114" t="str">
        <f aca="false">IF($E1018="","",IF($B1018="Tema",INDEX(Config!$C$6:$C$11,$D1018),"Evento avulso"))</f>
        <v/>
      </c>
      <c r="H1018" s="114" t="str">
        <f aca="false">IF($E1018="","",IF($B1018="Tema",INDEX(Config!$D$6:$D$11,$D1018),IFERROR(INDEX(Config!$E$15:$E$19,MATCH($I1018,Config!$C$15:$C$19,0)),"•")))</f>
        <v/>
      </c>
      <c r="I1018" s="114" t="str">
        <f aca="false">IF($E1018="","",IF($B1018="Tema",INDEX(Config!$E$6:$E$11,$D1018),IF(INDEX(Avulsos!$D$6:$D$205,$C1018)&amp;""="","Outro",INDEX(Avulsos!$D$6:$D$205,$C1018))))</f>
        <v/>
      </c>
      <c r="J1018" s="114" t="str">
        <f aca="false">IF($E1018="","",IF($B1018="Tema",INDEX(Temas!$C$6:$C$305,$C1018)&amp;"",INDEX(Avulsos!$E$6:$E$205,$C1018)&amp;""))</f>
        <v/>
      </c>
      <c r="K1018" s="114" t="str">
        <f aca="false">IF($E1018="","",IF(IF($B1018="Tema",INDEX(Temas!$E$6:$P$305,$C1018,2*$D1018),INDEX(Avulsos!$F$6:$F$205,$C1018))&amp;""="","","✓"))</f>
        <v/>
      </c>
      <c r="L1018" s="114" t="str">
        <f aca="true">IF($E1018="","",IF($K1018="✓","Concluído",IF($E1018&lt;TODAY(),"Atrasado",IF($E1018=TODAY(),"Hoje","Pendente"))))</f>
        <v/>
      </c>
      <c r="M1018" s="114" t="str">
        <f aca="false">IF($E1018="","",IF($K1018="✓","✓ ","")&amp;IF(Config!$E$22="Sim",$H1018&amp;" · ","")&amp;$F1018)</f>
        <v/>
      </c>
      <c r="N1018" s="114" t="str">
        <f aca="false">IF($E1018="","",IFERROR(INDEX(Config!$D$15:$D$19,MATCH($I1018,Config!$C$15:$C$19,0)),"OUT")&amp;IF($K1018="✓","x",""))</f>
        <v/>
      </c>
      <c r="O1018" s="114" t="str">
        <f aca="false">IF($E1018="","",COUNTIF($E$5:$E1018,$E1018))</f>
        <v/>
      </c>
      <c r="P1018" s="114" t="str">
        <f aca="false">IF($E1018="","",$E1018*100+$O1018)</f>
        <v/>
      </c>
      <c r="Q1018" s="114" t="str">
        <f aca="false">IF($L1018="Atrasado",$E1018*10000+$A1018,"")</f>
        <v/>
      </c>
    </row>
    <row r="1019" customFormat="false" ht="15" hidden="false" customHeight="false" outlineLevel="0" collapsed="false">
      <c r="A1019" s="114" t="n">
        <f aca="false">ROW()-4</f>
        <v>1015</v>
      </c>
      <c r="B1019" s="114" t="str">
        <f aca="false">IF(A1019&lt;=Config!$E$27*Config!$E$28,"Tema","Avulso")</f>
        <v>Tema</v>
      </c>
      <c r="C1019" s="114" t="n">
        <f aca="false">IF(B1019="Tema",INT((A1019-1)/Config!$E$28)+1,A1019-Config!$E$27*Config!$E$28)</f>
        <v>170</v>
      </c>
      <c r="D1019" s="114" t="n">
        <f aca="false">IF(B1019="Tema",MOD(A1019-1,Config!$E$28)+1,"")</f>
        <v>1</v>
      </c>
      <c r="E1019" s="115" t="str">
        <f aca="false">IF($B1019="Tema",IF(ISNUMBER(INDEX(Temas!$E$6:$P$305,$C1019,2*$D1019-1)),INDEX(Temas!$E$6:$P$305,$C1019,2*$D1019-1),""),IF(ISNUMBER(INDEX(Avulsos!$B$6:$B$205,$C1019)),INDEX(Avulsos!$B$6:$B$205,$C1019),""))</f>
        <v/>
      </c>
      <c r="F1019" s="114" t="str">
        <f aca="false">IF($E1019="","",IF($B1019="Tema",INDEX(Temas!$B$6:$B$305,$C1019)&amp;"",INDEX(Avulsos!$C$6:$C$205,$C1019)&amp;""))</f>
        <v/>
      </c>
      <c r="G1019" s="114" t="str">
        <f aca="false">IF($E1019="","",IF($B1019="Tema",INDEX(Config!$C$6:$C$11,$D1019),"Evento avulso"))</f>
        <v/>
      </c>
      <c r="H1019" s="114" t="str">
        <f aca="false">IF($E1019="","",IF($B1019="Tema",INDEX(Config!$D$6:$D$11,$D1019),IFERROR(INDEX(Config!$E$15:$E$19,MATCH($I1019,Config!$C$15:$C$19,0)),"•")))</f>
        <v/>
      </c>
      <c r="I1019" s="114" t="str">
        <f aca="false">IF($E1019="","",IF($B1019="Tema",INDEX(Config!$E$6:$E$11,$D1019),IF(INDEX(Avulsos!$D$6:$D$205,$C1019)&amp;""="","Outro",INDEX(Avulsos!$D$6:$D$205,$C1019))))</f>
        <v/>
      </c>
      <c r="J1019" s="114" t="str">
        <f aca="false">IF($E1019="","",IF($B1019="Tema",INDEX(Temas!$C$6:$C$305,$C1019)&amp;"",INDEX(Avulsos!$E$6:$E$205,$C1019)&amp;""))</f>
        <v/>
      </c>
      <c r="K1019" s="114" t="str">
        <f aca="false">IF($E1019="","",IF(IF($B1019="Tema",INDEX(Temas!$E$6:$P$305,$C1019,2*$D1019),INDEX(Avulsos!$F$6:$F$205,$C1019))&amp;""="","","✓"))</f>
        <v/>
      </c>
      <c r="L1019" s="114" t="str">
        <f aca="true">IF($E1019="","",IF($K1019="✓","Concluído",IF($E1019&lt;TODAY(),"Atrasado",IF($E1019=TODAY(),"Hoje","Pendente"))))</f>
        <v/>
      </c>
      <c r="M1019" s="114" t="str">
        <f aca="false">IF($E1019="","",IF($K1019="✓","✓ ","")&amp;IF(Config!$E$22="Sim",$H1019&amp;" · ","")&amp;$F1019)</f>
        <v/>
      </c>
      <c r="N1019" s="114" t="str">
        <f aca="false">IF($E1019="","",IFERROR(INDEX(Config!$D$15:$D$19,MATCH($I1019,Config!$C$15:$C$19,0)),"OUT")&amp;IF($K1019="✓","x",""))</f>
        <v/>
      </c>
      <c r="O1019" s="114" t="str">
        <f aca="false">IF($E1019="","",COUNTIF($E$5:$E1019,$E1019))</f>
        <v/>
      </c>
      <c r="P1019" s="114" t="str">
        <f aca="false">IF($E1019="","",$E1019*100+$O1019)</f>
        <v/>
      </c>
      <c r="Q1019" s="114" t="str">
        <f aca="false">IF($L1019="Atrasado",$E1019*10000+$A1019,"")</f>
        <v/>
      </c>
    </row>
    <row r="1020" customFormat="false" ht="15" hidden="false" customHeight="false" outlineLevel="0" collapsed="false">
      <c r="A1020" s="114" t="n">
        <f aca="false">ROW()-4</f>
        <v>1016</v>
      </c>
      <c r="B1020" s="114" t="str">
        <f aca="false">IF(A1020&lt;=Config!$E$27*Config!$E$28,"Tema","Avulso")</f>
        <v>Tema</v>
      </c>
      <c r="C1020" s="114" t="n">
        <f aca="false">IF(B1020="Tema",INT((A1020-1)/Config!$E$28)+1,A1020-Config!$E$27*Config!$E$28)</f>
        <v>170</v>
      </c>
      <c r="D1020" s="114" t="n">
        <f aca="false">IF(B1020="Tema",MOD(A1020-1,Config!$E$28)+1,"")</f>
        <v>2</v>
      </c>
      <c r="E1020" s="115" t="str">
        <f aca="false">IF($B1020="Tema",IF(ISNUMBER(INDEX(Temas!$E$6:$P$305,$C1020,2*$D1020-1)),INDEX(Temas!$E$6:$P$305,$C1020,2*$D1020-1),""),IF(ISNUMBER(INDEX(Avulsos!$B$6:$B$205,$C1020)),INDEX(Avulsos!$B$6:$B$205,$C1020),""))</f>
        <v/>
      </c>
      <c r="F1020" s="114" t="str">
        <f aca="false">IF($E1020="","",IF($B1020="Tema",INDEX(Temas!$B$6:$B$305,$C1020)&amp;"",INDEX(Avulsos!$C$6:$C$205,$C1020)&amp;""))</f>
        <v/>
      </c>
      <c r="G1020" s="114" t="str">
        <f aca="false">IF($E1020="","",IF($B1020="Tema",INDEX(Config!$C$6:$C$11,$D1020),"Evento avulso"))</f>
        <v/>
      </c>
      <c r="H1020" s="114" t="str">
        <f aca="false">IF($E1020="","",IF($B1020="Tema",INDEX(Config!$D$6:$D$11,$D1020),IFERROR(INDEX(Config!$E$15:$E$19,MATCH($I1020,Config!$C$15:$C$19,0)),"•")))</f>
        <v/>
      </c>
      <c r="I1020" s="114" t="str">
        <f aca="false">IF($E1020="","",IF($B1020="Tema",INDEX(Config!$E$6:$E$11,$D1020),IF(INDEX(Avulsos!$D$6:$D$205,$C1020)&amp;""="","Outro",INDEX(Avulsos!$D$6:$D$205,$C1020))))</f>
        <v/>
      </c>
      <c r="J1020" s="114" t="str">
        <f aca="false">IF($E1020="","",IF($B1020="Tema",INDEX(Temas!$C$6:$C$305,$C1020)&amp;"",INDEX(Avulsos!$E$6:$E$205,$C1020)&amp;""))</f>
        <v/>
      </c>
      <c r="K1020" s="114" t="str">
        <f aca="false">IF($E1020="","",IF(IF($B1020="Tema",INDEX(Temas!$E$6:$P$305,$C1020,2*$D1020),INDEX(Avulsos!$F$6:$F$205,$C1020))&amp;""="","","✓"))</f>
        <v/>
      </c>
      <c r="L1020" s="114" t="str">
        <f aca="true">IF($E1020="","",IF($K1020="✓","Concluído",IF($E1020&lt;TODAY(),"Atrasado",IF($E1020=TODAY(),"Hoje","Pendente"))))</f>
        <v/>
      </c>
      <c r="M1020" s="114" t="str">
        <f aca="false">IF($E1020="","",IF($K1020="✓","✓ ","")&amp;IF(Config!$E$22="Sim",$H1020&amp;" · ","")&amp;$F1020)</f>
        <v/>
      </c>
      <c r="N1020" s="114" t="str">
        <f aca="false">IF($E1020="","",IFERROR(INDEX(Config!$D$15:$D$19,MATCH($I1020,Config!$C$15:$C$19,0)),"OUT")&amp;IF($K1020="✓","x",""))</f>
        <v/>
      </c>
      <c r="O1020" s="114" t="str">
        <f aca="false">IF($E1020="","",COUNTIF($E$5:$E1020,$E1020))</f>
        <v/>
      </c>
      <c r="P1020" s="114" t="str">
        <f aca="false">IF($E1020="","",$E1020*100+$O1020)</f>
        <v/>
      </c>
      <c r="Q1020" s="114" t="str">
        <f aca="false">IF($L1020="Atrasado",$E1020*10000+$A1020,"")</f>
        <v/>
      </c>
    </row>
    <row r="1021" customFormat="false" ht="15" hidden="false" customHeight="false" outlineLevel="0" collapsed="false">
      <c r="A1021" s="114" t="n">
        <f aca="false">ROW()-4</f>
        <v>1017</v>
      </c>
      <c r="B1021" s="114" t="str">
        <f aca="false">IF(A1021&lt;=Config!$E$27*Config!$E$28,"Tema","Avulso")</f>
        <v>Tema</v>
      </c>
      <c r="C1021" s="114" t="n">
        <f aca="false">IF(B1021="Tema",INT((A1021-1)/Config!$E$28)+1,A1021-Config!$E$27*Config!$E$28)</f>
        <v>170</v>
      </c>
      <c r="D1021" s="114" t="n">
        <f aca="false">IF(B1021="Tema",MOD(A1021-1,Config!$E$28)+1,"")</f>
        <v>3</v>
      </c>
      <c r="E1021" s="115" t="str">
        <f aca="false">IF($B1021="Tema",IF(ISNUMBER(INDEX(Temas!$E$6:$P$305,$C1021,2*$D1021-1)),INDEX(Temas!$E$6:$P$305,$C1021,2*$D1021-1),""),IF(ISNUMBER(INDEX(Avulsos!$B$6:$B$205,$C1021)),INDEX(Avulsos!$B$6:$B$205,$C1021),""))</f>
        <v/>
      </c>
      <c r="F1021" s="114" t="str">
        <f aca="false">IF($E1021="","",IF($B1021="Tema",INDEX(Temas!$B$6:$B$305,$C1021)&amp;"",INDEX(Avulsos!$C$6:$C$205,$C1021)&amp;""))</f>
        <v/>
      </c>
      <c r="G1021" s="114" t="str">
        <f aca="false">IF($E1021="","",IF($B1021="Tema",INDEX(Config!$C$6:$C$11,$D1021),"Evento avulso"))</f>
        <v/>
      </c>
      <c r="H1021" s="114" t="str">
        <f aca="false">IF($E1021="","",IF($B1021="Tema",INDEX(Config!$D$6:$D$11,$D1021),IFERROR(INDEX(Config!$E$15:$E$19,MATCH($I1021,Config!$C$15:$C$19,0)),"•")))</f>
        <v/>
      </c>
      <c r="I1021" s="114" t="str">
        <f aca="false">IF($E1021="","",IF($B1021="Tema",INDEX(Config!$E$6:$E$11,$D1021),IF(INDEX(Avulsos!$D$6:$D$205,$C1021)&amp;""="","Outro",INDEX(Avulsos!$D$6:$D$205,$C1021))))</f>
        <v/>
      </c>
      <c r="J1021" s="114" t="str">
        <f aca="false">IF($E1021="","",IF($B1021="Tema",INDEX(Temas!$C$6:$C$305,$C1021)&amp;"",INDEX(Avulsos!$E$6:$E$205,$C1021)&amp;""))</f>
        <v/>
      </c>
      <c r="K1021" s="114" t="str">
        <f aca="false">IF($E1021="","",IF(IF($B1021="Tema",INDEX(Temas!$E$6:$P$305,$C1021,2*$D1021),INDEX(Avulsos!$F$6:$F$205,$C1021))&amp;""="","","✓"))</f>
        <v/>
      </c>
      <c r="L1021" s="114" t="str">
        <f aca="true">IF($E1021="","",IF($K1021="✓","Concluído",IF($E1021&lt;TODAY(),"Atrasado",IF($E1021=TODAY(),"Hoje","Pendente"))))</f>
        <v/>
      </c>
      <c r="M1021" s="114" t="str">
        <f aca="false">IF($E1021="","",IF($K1021="✓","✓ ","")&amp;IF(Config!$E$22="Sim",$H1021&amp;" · ","")&amp;$F1021)</f>
        <v/>
      </c>
      <c r="N1021" s="114" t="str">
        <f aca="false">IF($E1021="","",IFERROR(INDEX(Config!$D$15:$D$19,MATCH($I1021,Config!$C$15:$C$19,0)),"OUT")&amp;IF($K1021="✓","x",""))</f>
        <v/>
      </c>
      <c r="O1021" s="114" t="str">
        <f aca="false">IF($E1021="","",COUNTIF($E$5:$E1021,$E1021))</f>
        <v/>
      </c>
      <c r="P1021" s="114" t="str">
        <f aca="false">IF($E1021="","",$E1021*100+$O1021)</f>
        <v/>
      </c>
      <c r="Q1021" s="114" t="str">
        <f aca="false">IF($L1021="Atrasado",$E1021*10000+$A1021,"")</f>
        <v/>
      </c>
    </row>
    <row r="1022" customFormat="false" ht="15" hidden="false" customHeight="false" outlineLevel="0" collapsed="false">
      <c r="A1022" s="114" t="n">
        <f aca="false">ROW()-4</f>
        <v>1018</v>
      </c>
      <c r="B1022" s="114" t="str">
        <f aca="false">IF(A1022&lt;=Config!$E$27*Config!$E$28,"Tema","Avulso")</f>
        <v>Tema</v>
      </c>
      <c r="C1022" s="114" t="n">
        <f aca="false">IF(B1022="Tema",INT((A1022-1)/Config!$E$28)+1,A1022-Config!$E$27*Config!$E$28)</f>
        <v>170</v>
      </c>
      <c r="D1022" s="114" t="n">
        <f aca="false">IF(B1022="Tema",MOD(A1022-1,Config!$E$28)+1,"")</f>
        <v>4</v>
      </c>
      <c r="E1022" s="115" t="str">
        <f aca="false">IF($B1022="Tema",IF(ISNUMBER(INDEX(Temas!$E$6:$P$305,$C1022,2*$D1022-1)),INDEX(Temas!$E$6:$P$305,$C1022,2*$D1022-1),""),IF(ISNUMBER(INDEX(Avulsos!$B$6:$B$205,$C1022)),INDEX(Avulsos!$B$6:$B$205,$C1022),""))</f>
        <v/>
      </c>
      <c r="F1022" s="114" t="str">
        <f aca="false">IF($E1022="","",IF($B1022="Tema",INDEX(Temas!$B$6:$B$305,$C1022)&amp;"",INDEX(Avulsos!$C$6:$C$205,$C1022)&amp;""))</f>
        <v/>
      </c>
      <c r="G1022" s="114" t="str">
        <f aca="false">IF($E1022="","",IF($B1022="Tema",INDEX(Config!$C$6:$C$11,$D1022),"Evento avulso"))</f>
        <v/>
      </c>
      <c r="H1022" s="114" t="str">
        <f aca="false">IF($E1022="","",IF($B1022="Tema",INDEX(Config!$D$6:$D$11,$D1022),IFERROR(INDEX(Config!$E$15:$E$19,MATCH($I1022,Config!$C$15:$C$19,0)),"•")))</f>
        <v/>
      </c>
      <c r="I1022" s="114" t="str">
        <f aca="false">IF($E1022="","",IF($B1022="Tema",INDEX(Config!$E$6:$E$11,$D1022),IF(INDEX(Avulsos!$D$6:$D$205,$C1022)&amp;""="","Outro",INDEX(Avulsos!$D$6:$D$205,$C1022))))</f>
        <v/>
      </c>
      <c r="J1022" s="114" t="str">
        <f aca="false">IF($E1022="","",IF($B1022="Tema",INDEX(Temas!$C$6:$C$305,$C1022)&amp;"",INDEX(Avulsos!$E$6:$E$205,$C1022)&amp;""))</f>
        <v/>
      </c>
      <c r="K1022" s="114" t="str">
        <f aca="false">IF($E1022="","",IF(IF($B1022="Tema",INDEX(Temas!$E$6:$P$305,$C1022,2*$D1022),INDEX(Avulsos!$F$6:$F$205,$C1022))&amp;""="","","✓"))</f>
        <v/>
      </c>
      <c r="L1022" s="114" t="str">
        <f aca="true">IF($E1022="","",IF($K1022="✓","Concluído",IF($E1022&lt;TODAY(),"Atrasado",IF($E1022=TODAY(),"Hoje","Pendente"))))</f>
        <v/>
      </c>
      <c r="M1022" s="114" t="str">
        <f aca="false">IF($E1022="","",IF($K1022="✓","✓ ","")&amp;IF(Config!$E$22="Sim",$H1022&amp;" · ","")&amp;$F1022)</f>
        <v/>
      </c>
      <c r="N1022" s="114" t="str">
        <f aca="false">IF($E1022="","",IFERROR(INDEX(Config!$D$15:$D$19,MATCH($I1022,Config!$C$15:$C$19,0)),"OUT")&amp;IF($K1022="✓","x",""))</f>
        <v/>
      </c>
      <c r="O1022" s="114" t="str">
        <f aca="false">IF($E1022="","",COUNTIF($E$5:$E1022,$E1022))</f>
        <v/>
      </c>
      <c r="P1022" s="114" t="str">
        <f aca="false">IF($E1022="","",$E1022*100+$O1022)</f>
        <v/>
      </c>
      <c r="Q1022" s="114" t="str">
        <f aca="false">IF($L1022="Atrasado",$E1022*10000+$A1022,"")</f>
        <v/>
      </c>
    </row>
    <row r="1023" customFormat="false" ht="15" hidden="false" customHeight="false" outlineLevel="0" collapsed="false">
      <c r="A1023" s="114" t="n">
        <f aca="false">ROW()-4</f>
        <v>1019</v>
      </c>
      <c r="B1023" s="114" t="str">
        <f aca="false">IF(A1023&lt;=Config!$E$27*Config!$E$28,"Tema","Avulso")</f>
        <v>Tema</v>
      </c>
      <c r="C1023" s="114" t="n">
        <f aca="false">IF(B1023="Tema",INT((A1023-1)/Config!$E$28)+1,A1023-Config!$E$27*Config!$E$28)</f>
        <v>170</v>
      </c>
      <c r="D1023" s="114" t="n">
        <f aca="false">IF(B1023="Tema",MOD(A1023-1,Config!$E$28)+1,"")</f>
        <v>5</v>
      </c>
      <c r="E1023" s="115" t="str">
        <f aca="false">IF($B1023="Tema",IF(ISNUMBER(INDEX(Temas!$E$6:$P$305,$C1023,2*$D1023-1)),INDEX(Temas!$E$6:$P$305,$C1023,2*$D1023-1),""),IF(ISNUMBER(INDEX(Avulsos!$B$6:$B$205,$C1023)),INDEX(Avulsos!$B$6:$B$205,$C1023),""))</f>
        <v/>
      </c>
      <c r="F1023" s="114" t="str">
        <f aca="false">IF($E1023="","",IF($B1023="Tema",INDEX(Temas!$B$6:$B$305,$C1023)&amp;"",INDEX(Avulsos!$C$6:$C$205,$C1023)&amp;""))</f>
        <v/>
      </c>
      <c r="G1023" s="114" t="str">
        <f aca="false">IF($E1023="","",IF($B1023="Tema",INDEX(Config!$C$6:$C$11,$D1023),"Evento avulso"))</f>
        <v/>
      </c>
      <c r="H1023" s="114" t="str">
        <f aca="false">IF($E1023="","",IF($B1023="Tema",INDEX(Config!$D$6:$D$11,$D1023),IFERROR(INDEX(Config!$E$15:$E$19,MATCH($I1023,Config!$C$15:$C$19,0)),"•")))</f>
        <v/>
      </c>
      <c r="I1023" s="114" t="str">
        <f aca="false">IF($E1023="","",IF($B1023="Tema",INDEX(Config!$E$6:$E$11,$D1023),IF(INDEX(Avulsos!$D$6:$D$205,$C1023)&amp;""="","Outro",INDEX(Avulsos!$D$6:$D$205,$C1023))))</f>
        <v/>
      </c>
      <c r="J1023" s="114" t="str">
        <f aca="false">IF($E1023="","",IF($B1023="Tema",INDEX(Temas!$C$6:$C$305,$C1023)&amp;"",INDEX(Avulsos!$E$6:$E$205,$C1023)&amp;""))</f>
        <v/>
      </c>
      <c r="K1023" s="114" t="str">
        <f aca="false">IF($E1023="","",IF(IF($B1023="Tema",INDEX(Temas!$E$6:$P$305,$C1023,2*$D1023),INDEX(Avulsos!$F$6:$F$205,$C1023))&amp;""="","","✓"))</f>
        <v/>
      </c>
      <c r="L1023" s="114" t="str">
        <f aca="true">IF($E1023="","",IF($K1023="✓","Concluído",IF($E1023&lt;TODAY(),"Atrasado",IF($E1023=TODAY(),"Hoje","Pendente"))))</f>
        <v/>
      </c>
      <c r="M1023" s="114" t="str">
        <f aca="false">IF($E1023="","",IF($K1023="✓","✓ ","")&amp;IF(Config!$E$22="Sim",$H1023&amp;" · ","")&amp;$F1023)</f>
        <v/>
      </c>
      <c r="N1023" s="114" t="str">
        <f aca="false">IF($E1023="","",IFERROR(INDEX(Config!$D$15:$D$19,MATCH($I1023,Config!$C$15:$C$19,0)),"OUT")&amp;IF($K1023="✓","x",""))</f>
        <v/>
      </c>
      <c r="O1023" s="114" t="str">
        <f aca="false">IF($E1023="","",COUNTIF($E$5:$E1023,$E1023))</f>
        <v/>
      </c>
      <c r="P1023" s="114" t="str">
        <f aca="false">IF($E1023="","",$E1023*100+$O1023)</f>
        <v/>
      </c>
      <c r="Q1023" s="114" t="str">
        <f aca="false">IF($L1023="Atrasado",$E1023*10000+$A1023,"")</f>
        <v/>
      </c>
    </row>
    <row r="1024" customFormat="false" ht="15" hidden="false" customHeight="false" outlineLevel="0" collapsed="false">
      <c r="A1024" s="114" t="n">
        <f aca="false">ROW()-4</f>
        <v>1020</v>
      </c>
      <c r="B1024" s="114" t="str">
        <f aca="false">IF(A1024&lt;=Config!$E$27*Config!$E$28,"Tema","Avulso")</f>
        <v>Tema</v>
      </c>
      <c r="C1024" s="114" t="n">
        <f aca="false">IF(B1024="Tema",INT((A1024-1)/Config!$E$28)+1,A1024-Config!$E$27*Config!$E$28)</f>
        <v>170</v>
      </c>
      <c r="D1024" s="114" t="n">
        <f aca="false">IF(B1024="Tema",MOD(A1024-1,Config!$E$28)+1,"")</f>
        <v>6</v>
      </c>
      <c r="E1024" s="115" t="str">
        <f aca="false">IF($B1024="Tema",IF(ISNUMBER(INDEX(Temas!$E$6:$P$305,$C1024,2*$D1024-1)),INDEX(Temas!$E$6:$P$305,$C1024,2*$D1024-1),""),IF(ISNUMBER(INDEX(Avulsos!$B$6:$B$205,$C1024)),INDEX(Avulsos!$B$6:$B$205,$C1024),""))</f>
        <v/>
      </c>
      <c r="F1024" s="114" t="str">
        <f aca="false">IF($E1024="","",IF($B1024="Tema",INDEX(Temas!$B$6:$B$305,$C1024)&amp;"",INDEX(Avulsos!$C$6:$C$205,$C1024)&amp;""))</f>
        <v/>
      </c>
      <c r="G1024" s="114" t="str">
        <f aca="false">IF($E1024="","",IF($B1024="Tema",INDEX(Config!$C$6:$C$11,$D1024),"Evento avulso"))</f>
        <v/>
      </c>
      <c r="H1024" s="114" t="str">
        <f aca="false">IF($E1024="","",IF($B1024="Tema",INDEX(Config!$D$6:$D$11,$D1024),IFERROR(INDEX(Config!$E$15:$E$19,MATCH($I1024,Config!$C$15:$C$19,0)),"•")))</f>
        <v/>
      </c>
      <c r="I1024" s="114" t="str">
        <f aca="false">IF($E1024="","",IF($B1024="Tema",INDEX(Config!$E$6:$E$11,$D1024),IF(INDEX(Avulsos!$D$6:$D$205,$C1024)&amp;""="","Outro",INDEX(Avulsos!$D$6:$D$205,$C1024))))</f>
        <v/>
      </c>
      <c r="J1024" s="114" t="str">
        <f aca="false">IF($E1024="","",IF($B1024="Tema",INDEX(Temas!$C$6:$C$305,$C1024)&amp;"",INDEX(Avulsos!$E$6:$E$205,$C1024)&amp;""))</f>
        <v/>
      </c>
      <c r="K1024" s="114" t="str">
        <f aca="false">IF($E1024="","",IF(IF($B1024="Tema",INDEX(Temas!$E$6:$P$305,$C1024,2*$D1024),INDEX(Avulsos!$F$6:$F$205,$C1024))&amp;""="","","✓"))</f>
        <v/>
      </c>
      <c r="L1024" s="114" t="str">
        <f aca="true">IF($E1024="","",IF($K1024="✓","Concluído",IF($E1024&lt;TODAY(),"Atrasado",IF($E1024=TODAY(),"Hoje","Pendente"))))</f>
        <v/>
      </c>
      <c r="M1024" s="114" t="str">
        <f aca="false">IF($E1024="","",IF($K1024="✓","✓ ","")&amp;IF(Config!$E$22="Sim",$H1024&amp;" · ","")&amp;$F1024)</f>
        <v/>
      </c>
      <c r="N1024" s="114" t="str">
        <f aca="false">IF($E1024="","",IFERROR(INDEX(Config!$D$15:$D$19,MATCH($I1024,Config!$C$15:$C$19,0)),"OUT")&amp;IF($K1024="✓","x",""))</f>
        <v/>
      </c>
      <c r="O1024" s="114" t="str">
        <f aca="false">IF($E1024="","",COUNTIF($E$5:$E1024,$E1024))</f>
        <v/>
      </c>
      <c r="P1024" s="114" t="str">
        <f aca="false">IF($E1024="","",$E1024*100+$O1024)</f>
        <v/>
      </c>
      <c r="Q1024" s="114" t="str">
        <f aca="false">IF($L1024="Atrasado",$E1024*10000+$A1024,"")</f>
        <v/>
      </c>
    </row>
    <row r="1025" customFormat="false" ht="15" hidden="false" customHeight="false" outlineLevel="0" collapsed="false">
      <c r="A1025" s="114" t="n">
        <f aca="false">ROW()-4</f>
        <v>1021</v>
      </c>
      <c r="B1025" s="114" t="str">
        <f aca="false">IF(A1025&lt;=Config!$E$27*Config!$E$28,"Tema","Avulso")</f>
        <v>Tema</v>
      </c>
      <c r="C1025" s="114" t="n">
        <f aca="false">IF(B1025="Tema",INT((A1025-1)/Config!$E$28)+1,A1025-Config!$E$27*Config!$E$28)</f>
        <v>171</v>
      </c>
      <c r="D1025" s="114" t="n">
        <f aca="false">IF(B1025="Tema",MOD(A1025-1,Config!$E$28)+1,"")</f>
        <v>1</v>
      </c>
      <c r="E1025" s="115" t="str">
        <f aca="false">IF($B1025="Tema",IF(ISNUMBER(INDEX(Temas!$E$6:$P$305,$C1025,2*$D1025-1)),INDEX(Temas!$E$6:$P$305,$C1025,2*$D1025-1),""),IF(ISNUMBER(INDEX(Avulsos!$B$6:$B$205,$C1025)),INDEX(Avulsos!$B$6:$B$205,$C1025),""))</f>
        <v/>
      </c>
      <c r="F1025" s="114" t="str">
        <f aca="false">IF($E1025="","",IF($B1025="Tema",INDEX(Temas!$B$6:$B$305,$C1025)&amp;"",INDEX(Avulsos!$C$6:$C$205,$C1025)&amp;""))</f>
        <v/>
      </c>
      <c r="G1025" s="114" t="str">
        <f aca="false">IF($E1025="","",IF($B1025="Tema",INDEX(Config!$C$6:$C$11,$D1025),"Evento avulso"))</f>
        <v/>
      </c>
      <c r="H1025" s="114" t="str">
        <f aca="false">IF($E1025="","",IF($B1025="Tema",INDEX(Config!$D$6:$D$11,$D1025),IFERROR(INDEX(Config!$E$15:$E$19,MATCH($I1025,Config!$C$15:$C$19,0)),"•")))</f>
        <v/>
      </c>
      <c r="I1025" s="114" t="str">
        <f aca="false">IF($E1025="","",IF($B1025="Tema",INDEX(Config!$E$6:$E$11,$D1025),IF(INDEX(Avulsos!$D$6:$D$205,$C1025)&amp;""="","Outro",INDEX(Avulsos!$D$6:$D$205,$C1025))))</f>
        <v/>
      </c>
      <c r="J1025" s="114" t="str">
        <f aca="false">IF($E1025="","",IF($B1025="Tema",INDEX(Temas!$C$6:$C$305,$C1025)&amp;"",INDEX(Avulsos!$E$6:$E$205,$C1025)&amp;""))</f>
        <v/>
      </c>
      <c r="K1025" s="114" t="str">
        <f aca="false">IF($E1025="","",IF(IF($B1025="Tema",INDEX(Temas!$E$6:$P$305,$C1025,2*$D1025),INDEX(Avulsos!$F$6:$F$205,$C1025))&amp;""="","","✓"))</f>
        <v/>
      </c>
      <c r="L1025" s="114" t="str">
        <f aca="true">IF($E1025="","",IF($K1025="✓","Concluído",IF($E1025&lt;TODAY(),"Atrasado",IF($E1025=TODAY(),"Hoje","Pendente"))))</f>
        <v/>
      </c>
      <c r="M1025" s="114" t="str">
        <f aca="false">IF($E1025="","",IF($K1025="✓","✓ ","")&amp;IF(Config!$E$22="Sim",$H1025&amp;" · ","")&amp;$F1025)</f>
        <v/>
      </c>
      <c r="N1025" s="114" t="str">
        <f aca="false">IF($E1025="","",IFERROR(INDEX(Config!$D$15:$D$19,MATCH($I1025,Config!$C$15:$C$19,0)),"OUT")&amp;IF($K1025="✓","x",""))</f>
        <v/>
      </c>
      <c r="O1025" s="114" t="str">
        <f aca="false">IF($E1025="","",COUNTIF($E$5:$E1025,$E1025))</f>
        <v/>
      </c>
      <c r="P1025" s="114" t="str">
        <f aca="false">IF($E1025="","",$E1025*100+$O1025)</f>
        <v/>
      </c>
      <c r="Q1025" s="114" t="str">
        <f aca="false">IF($L1025="Atrasado",$E1025*10000+$A1025,"")</f>
        <v/>
      </c>
    </row>
    <row r="1026" customFormat="false" ht="15" hidden="false" customHeight="false" outlineLevel="0" collapsed="false">
      <c r="A1026" s="114" t="n">
        <f aca="false">ROW()-4</f>
        <v>1022</v>
      </c>
      <c r="B1026" s="114" t="str">
        <f aca="false">IF(A1026&lt;=Config!$E$27*Config!$E$28,"Tema","Avulso")</f>
        <v>Tema</v>
      </c>
      <c r="C1026" s="114" t="n">
        <f aca="false">IF(B1026="Tema",INT((A1026-1)/Config!$E$28)+1,A1026-Config!$E$27*Config!$E$28)</f>
        <v>171</v>
      </c>
      <c r="D1026" s="114" t="n">
        <f aca="false">IF(B1026="Tema",MOD(A1026-1,Config!$E$28)+1,"")</f>
        <v>2</v>
      </c>
      <c r="E1026" s="115" t="str">
        <f aca="false">IF($B1026="Tema",IF(ISNUMBER(INDEX(Temas!$E$6:$P$305,$C1026,2*$D1026-1)),INDEX(Temas!$E$6:$P$305,$C1026,2*$D1026-1),""),IF(ISNUMBER(INDEX(Avulsos!$B$6:$B$205,$C1026)),INDEX(Avulsos!$B$6:$B$205,$C1026),""))</f>
        <v/>
      </c>
      <c r="F1026" s="114" t="str">
        <f aca="false">IF($E1026="","",IF($B1026="Tema",INDEX(Temas!$B$6:$B$305,$C1026)&amp;"",INDEX(Avulsos!$C$6:$C$205,$C1026)&amp;""))</f>
        <v/>
      </c>
      <c r="G1026" s="114" t="str">
        <f aca="false">IF($E1026="","",IF($B1026="Tema",INDEX(Config!$C$6:$C$11,$D1026),"Evento avulso"))</f>
        <v/>
      </c>
      <c r="H1026" s="114" t="str">
        <f aca="false">IF($E1026="","",IF($B1026="Tema",INDEX(Config!$D$6:$D$11,$D1026),IFERROR(INDEX(Config!$E$15:$E$19,MATCH($I1026,Config!$C$15:$C$19,0)),"•")))</f>
        <v/>
      </c>
      <c r="I1026" s="114" t="str">
        <f aca="false">IF($E1026="","",IF($B1026="Tema",INDEX(Config!$E$6:$E$11,$D1026),IF(INDEX(Avulsos!$D$6:$D$205,$C1026)&amp;""="","Outro",INDEX(Avulsos!$D$6:$D$205,$C1026))))</f>
        <v/>
      </c>
      <c r="J1026" s="114" t="str">
        <f aca="false">IF($E1026="","",IF($B1026="Tema",INDEX(Temas!$C$6:$C$305,$C1026)&amp;"",INDEX(Avulsos!$E$6:$E$205,$C1026)&amp;""))</f>
        <v/>
      </c>
      <c r="K1026" s="114" t="str">
        <f aca="false">IF($E1026="","",IF(IF($B1026="Tema",INDEX(Temas!$E$6:$P$305,$C1026,2*$D1026),INDEX(Avulsos!$F$6:$F$205,$C1026))&amp;""="","","✓"))</f>
        <v/>
      </c>
      <c r="L1026" s="114" t="str">
        <f aca="true">IF($E1026="","",IF($K1026="✓","Concluído",IF($E1026&lt;TODAY(),"Atrasado",IF($E1026=TODAY(),"Hoje","Pendente"))))</f>
        <v/>
      </c>
      <c r="M1026" s="114" t="str">
        <f aca="false">IF($E1026="","",IF($K1026="✓","✓ ","")&amp;IF(Config!$E$22="Sim",$H1026&amp;" · ","")&amp;$F1026)</f>
        <v/>
      </c>
      <c r="N1026" s="114" t="str">
        <f aca="false">IF($E1026="","",IFERROR(INDEX(Config!$D$15:$D$19,MATCH($I1026,Config!$C$15:$C$19,0)),"OUT")&amp;IF($K1026="✓","x",""))</f>
        <v/>
      </c>
      <c r="O1026" s="114" t="str">
        <f aca="false">IF($E1026="","",COUNTIF($E$5:$E1026,$E1026))</f>
        <v/>
      </c>
      <c r="P1026" s="114" t="str">
        <f aca="false">IF($E1026="","",$E1026*100+$O1026)</f>
        <v/>
      </c>
      <c r="Q1026" s="114" t="str">
        <f aca="false">IF($L1026="Atrasado",$E1026*10000+$A1026,"")</f>
        <v/>
      </c>
    </row>
    <row r="1027" customFormat="false" ht="15" hidden="false" customHeight="false" outlineLevel="0" collapsed="false">
      <c r="A1027" s="114" t="n">
        <f aca="false">ROW()-4</f>
        <v>1023</v>
      </c>
      <c r="B1027" s="114" t="str">
        <f aca="false">IF(A1027&lt;=Config!$E$27*Config!$E$28,"Tema","Avulso")</f>
        <v>Tema</v>
      </c>
      <c r="C1027" s="114" t="n">
        <f aca="false">IF(B1027="Tema",INT((A1027-1)/Config!$E$28)+1,A1027-Config!$E$27*Config!$E$28)</f>
        <v>171</v>
      </c>
      <c r="D1027" s="114" t="n">
        <f aca="false">IF(B1027="Tema",MOD(A1027-1,Config!$E$28)+1,"")</f>
        <v>3</v>
      </c>
      <c r="E1027" s="115" t="str">
        <f aca="false">IF($B1027="Tema",IF(ISNUMBER(INDEX(Temas!$E$6:$P$305,$C1027,2*$D1027-1)),INDEX(Temas!$E$6:$P$305,$C1027,2*$D1027-1),""),IF(ISNUMBER(INDEX(Avulsos!$B$6:$B$205,$C1027)),INDEX(Avulsos!$B$6:$B$205,$C1027),""))</f>
        <v/>
      </c>
      <c r="F1027" s="114" t="str">
        <f aca="false">IF($E1027="","",IF($B1027="Tema",INDEX(Temas!$B$6:$B$305,$C1027)&amp;"",INDEX(Avulsos!$C$6:$C$205,$C1027)&amp;""))</f>
        <v/>
      </c>
      <c r="G1027" s="114" t="str">
        <f aca="false">IF($E1027="","",IF($B1027="Tema",INDEX(Config!$C$6:$C$11,$D1027),"Evento avulso"))</f>
        <v/>
      </c>
      <c r="H1027" s="114" t="str">
        <f aca="false">IF($E1027="","",IF($B1027="Tema",INDEX(Config!$D$6:$D$11,$D1027),IFERROR(INDEX(Config!$E$15:$E$19,MATCH($I1027,Config!$C$15:$C$19,0)),"•")))</f>
        <v/>
      </c>
      <c r="I1027" s="114" t="str">
        <f aca="false">IF($E1027="","",IF($B1027="Tema",INDEX(Config!$E$6:$E$11,$D1027),IF(INDEX(Avulsos!$D$6:$D$205,$C1027)&amp;""="","Outro",INDEX(Avulsos!$D$6:$D$205,$C1027))))</f>
        <v/>
      </c>
      <c r="J1027" s="114" t="str">
        <f aca="false">IF($E1027="","",IF($B1027="Tema",INDEX(Temas!$C$6:$C$305,$C1027)&amp;"",INDEX(Avulsos!$E$6:$E$205,$C1027)&amp;""))</f>
        <v/>
      </c>
      <c r="K1027" s="114" t="str">
        <f aca="false">IF($E1027="","",IF(IF($B1027="Tema",INDEX(Temas!$E$6:$P$305,$C1027,2*$D1027),INDEX(Avulsos!$F$6:$F$205,$C1027))&amp;""="","","✓"))</f>
        <v/>
      </c>
      <c r="L1027" s="114" t="str">
        <f aca="true">IF($E1027="","",IF($K1027="✓","Concluído",IF($E1027&lt;TODAY(),"Atrasado",IF($E1027=TODAY(),"Hoje","Pendente"))))</f>
        <v/>
      </c>
      <c r="M1027" s="114" t="str">
        <f aca="false">IF($E1027="","",IF($K1027="✓","✓ ","")&amp;IF(Config!$E$22="Sim",$H1027&amp;" · ","")&amp;$F1027)</f>
        <v/>
      </c>
      <c r="N1027" s="114" t="str">
        <f aca="false">IF($E1027="","",IFERROR(INDEX(Config!$D$15:$D$19,MATCH($I1027,Config!$C$15:$C$19,0)),"OUT")&amp;IF($K1027="✓","x",""))</f>
        <v/>
      </c>
      <c r="O1027" s="114" t="str">
        <f aca="false">IF($E1027="","",COUNTIF($E$5:$E1027,$E1027))</f>
        <v/>
      </c>
      <c r="P1027" s="114" t="str">
        <f aca="false">IF($E1027="","",$E1027*100+$O1027)</f>
        <v/>
      </c>
      <c r="Q1027" s="114" t="str">
        <f aca="false">IF($L1027="Atrasado",$E1027*10000+$A1027,"")</f>
        <v/>
      </c>
    </row>
    <row r="1028" customFormat="false" ht="15" hidden="false" customHeight="false" outlineLevel="0" collapsed="false">
      <c r="A1028" s="114" t="n">
        <f aca="false">ROW()-4</f>
        <v>1024</v>
      </c>
      <c r="B1028" s="114" t="str">
        <f aca="false">IF(A1028&lt;=Config!$E$27*Config!$E$28,"Tema","Avulso")</f>
        <v>Tema</v>
      </c>
      <c r="C1028" s="114" t="n">
        <f aca="false">IF(B1028="Tema",INT((A1028-1)/Config!$E$28)+1,A1028-Config!$E$27*Config!$E$28)</f>
        <v>171</v>
      </c>
      <c r="D1028" s="114" t="n">
        <f aca="false">IF(B1028="Tema",MOD(A1028-1,Config!$E$28)+1,"")</f>
        <v>4</v>
      </c>
      <c r="E1028" s="115" t="str">
        <f aca="false">IF($B1028="Tema",IF(ISNUMBER(INDEX(Temas!$E$6:$P$305,$C1028,2*$D1028-1)),INDEX(Temas!$E$6:$P$305,$C1028,2*$D1028-1),""),IF(ISNUMBER(INDEX(Avulsos!$B$6:$B$205,$C1028)),INDEX(Avulsos!$B$6:$B$205,$C1028),""))</f>
        <v/>
      </c>
      <c r="F1028" s="114" t="str">
        <f aca="false">IF($E1028="","",IF($B1028="Tema",INDEX(Temas!$B$6:$B$305,$C1028)&amp;"",INDEX(Avulsos!$C$6:$C$205,$C1028)&amp;""))</f>
        <v/>
      </c>
      <c r="G1028" s="114" t="str">
        <f aca="false">IF($E1028="","",IF($B1028="Tema",INDEX(Config!$C$6:$C$11,$D1028),"Evento avulso"))</f>
        <v/>
      </c>
      <c r="H1028" s="114" t="str">
        <f aca="false">IF($E1028="","",IF($B1028="Tema",INDEX(Config!$D$6:$D$11,$D1028),IFERROR(INDEX(Config!$E$15:$E$19,MATCH($I1028,Config!$C$15:$C$19,0)),"•")))</f>
        <v/>
      </c>
      <c r="I1028" s="114" t="str">
        <f aca="false">IF($E1028="","",IF($B1028="Tema",INDEX(Config!$E$6:$E$11,$D1028),IF(INDEX(Avulsos!$D$6:$D$205,$C1028)&amp;""="","Outro",INDEX(Avulsos!$D$6:$D$205,$C1028))))</f>
        <v/>
      </c>
      <c r="J1028" s="114" t="str">
        <f aca="false">IF($E1028="","",IF($B1028="Tema",INDEX(Temas!$C$6:$C$305,$C1028)&amp;"",INDEX(Avulsos!$E$6:$E$205,$C1028)&amp;""))</f>
        <v/>
      </c>
      <c r="K1028" s="114" t="str">
        <f aca="false">IF($E1028="","",IF(IF($B1028="Tema",INDEX(Temas!$E$6:$P$305,$C1028,2*$D1028),INDEX(Avulsos!$F$6:$F$205,$C1028))&amp;""="","","✓"))</f>
        <v/>
      </c>
      <c r="L1028" s="114" t="str">
        <f aca="true">IF($E1028="","",IF($K1028="✓","Concluído",IF($E1028&lt;TODAY(),"Atrasado",IF($E1028=TODAY(),"Hoje","Pendente"))))</f>
        <v/>
      </c>
      <c r="M1028" s="114" t="str">
        <f aca="false">IF($E1028="","",IF($K1028="✓","✓ ","")&amp;IF(Config!$E$22="Sim",$H1028&amp;" · ","")&amp;$F1028)</f>
        <v/>
      </c>
      <c r="N1028" s="114" t="str">
        <f aca="false">IF($E1028="","",IFERROR(INDEX(Config!$D$15:$D$19,MATCH($I1028,Config!$C$15:$C$19,0)),"OUT")&amp;IF($K1028="✓","x",""))</f>
        <v/>
      </c>
      <c r="O1028" s="114" t="str">
        <f aca="false">IF($E1028="","",COUNTIF($E$5:$E1028,$E1028))</f>
        <v/>
      </c>
      <c r="P1028" s="114" t="str">
        <f aca="false">IF($E1028="","",$E1028*100+$O1028)</f>
        <v/>
      </c>
      <c r="Q1028" s="114" t="str">
        <f aca="false">IF($L1028="Atrasado",$E1028*10000+$A1028,"")</f>
        <v/>
      </c>
    </row>
    <row r="1029" customFormat="false" ht="15" hidden="false" customHeight="false" outlineLevel="0" collapsed="false">
      <c r="A1029" s="114" t="n">
        <f aca="false">ROW()-4</f>
        <v>1025</v>
      </c>
      <c r="B1029" s="114" t="str">
        <f aca="false">IF(A1029&lt;=Config!$E$27*Config!$E$28,"Tema","Avulso")</f>
        <v>Tema</v>
      </c>
      <c r="C1029" s="114" t="n">
        <f aca="false">IF(B1029="Tema",INT((A1029-1)/Config!$E$28)+1,A1029-Config!$E$27*Config!$E$28)</f>
        <v>171</v>
      </c>
      <c r="D1029" s="114" t="n">
        <f aca="false">IF(B1029="Tema",MOD(A1029-1,Config!$E$28)+1,"")</f>
        <v>5</v>
      </c>
      <c r="E1029" s="115" t="str">
        <f aca="false">IF($B1029="Tema",IF(ISNUMBER(INDEX(Temas!$E$6:$P$305,$C1029,2*$D1029-1)),INDEX(Temas!$E$6:$P$305,$C1029,2*$D1029-1),""),IF(ISNUMBER(INDEX(Avulsos!$B$6:$B$205,$C1029)),INDEX(Avulsos!$B$6:$B$205,$C1029),""))</f>
        <v/>
      </c>
      <c r="F1029" s="114" t="str">
        <f aca="false">IF($E1029="","",IF($B1029="Tema",INDEX(Temas!$B$6:$B$305,$C1029)&amp;"",INDEX(Avulsos!$C$6:$C$205,$C1029)&amp;""))</f>
        <v/>
      </c>
      <c r="G1029" s="114" t="str">
        <f aca="false">IF($E1029="","",IF($B1029="Tema",INDEX(Config!$C$6:$C$11,$D1029),"Evento avulso"))</f>
        <v/>
      </c>
      <c r="H1029" s="114" t="str">
        <f aca="false">IF($E1029="","",IF($B1029="Tema",INDEX(Config!$D$6:$D$11,$D1029),IFERROR(INDEX(Config!$E$15:$E$19,MATCH($I1029,Config!$C$15:$C$19,0)),"•")))</f>
        <v/>
      </c>
      <c r="I1029" s="114" t="str">
        <f aca="false">IF($E1029="","",IF($B1029="Tema",INDEX(Config!$E$6:$E$11,$D1029),IF(INDEX(Avulsos!$D$6:$D$205,$C1029)&amp;""="","Outro",INDEX(Avulsos!$D$6:$D$205,$C1029))))</f>
        <v/>
      </c>
      <c r="J1029" s="114" t="str">
        <f aca="false">IF($E1029="","",IF($B1029="Tema",INDEX(Temas!$C$6:$C$305,$C1029)&amp;"",INDEX(Avulsos!$E$6:$E$205,$C1029)&amp;""))</f>
        <v/>
      </c>
      <c r="K1029" s="114" t="str">
        <f aca="false">IF($E1029="","",IF(IF($B1029="Tema",INDEX(Temas!$E$6:$P$305,$C1029,2*$D1029),INDEX(Avulsos!$F$6:$F$205,$C1029))&amp;""="","","✓"))</f>
        <v/>
      </c>
      <c r="L1029" s="114" t="str">
        <f aca="true">IF($E1029="","",IF($K1029="✓","Concluído",IF($E1029&lt;TODAY(),"Atrasado",IF($E1029=TODAY(),"Hoje","Pendente"))))</f>
        <v/>
      </c>
      <c r="M1029" s="114" t="str">
        <f aca="false">IF($E1029="","",IF($K1029="✓","✓ ","")&amp;IF(Config!$E$22="Sim",$H1029&amp;" · ","")&amp;$F1029)</f>
        <v/>
      </c>
      <c r="N1029" s="114" t="str">
        <f aca="false">IF($E1029="","",IFERROR(INDEX(Config!$D$15:$D$19,MATCH($I1029,Config!$C$15:$C$19,0)),"OUT")&amp;IF($K1029="✓","x",""))</f>
        <v/>
      </c>
      <c r="O1029" s="114" t="str">
        <f aca="false">IF($E1029="","",COUNTIF($E$5:$E1029,$E1029))</f>
        <v/>
      </c>
      <c r="P1029" s="114" t="str">
        <f aca="false">IF($E1029="","",$E1029*100+$O1029)</f>
        <v/>
      </c>
      <c r="Q1029" s="114" t="str">
        <f aca="false">IF($L1029="Atrasado",$E1029*10000+$A1029,"")</f>
        <v/>
      </c>
    </row>
    <row r="1030" customFormat="false" ht="15" hidden="false" customHeight="false" outlineLevel="0" collapsed="false">
      <c r="A1030" s="114" t="n">
        <f aca="false">ROW()-4</f>
        <v>1026</v>
      </c>
      <c r="B1030" s="114" t="str">
        <f aca="false">IF(A1030&lt;=Config!$E$27*Config!$E$28,"Tema","Avulso")</f>
        <v>Tema</v>
      </c>
      <c r="C1030" s="114" t="n">
        <f aca="false">IF(B1030="Tema",INT((A1030-1)/Config!$E$28)+1,A1030-Config!$E$27*Config!$E$28)</f>
        <v>171</v>
      </c>
      <c r="D1030" s="114" t="n">
        <f aca="false">IF(B1030="Tema",MOD(A1030-1,Config!$E$28)+1,"")</f>
        <v>6</v>
      </c>
      <c r="E1030" s="115" t="str">
        <f aca="false">IF($B1030="Tema",IF(ISNUMBER(INDEX(Temas!$E$6:$P$305,$C1030,2*$D1030-1)),INDEX(Temas!$E$6:$P$305,$C1030,2*$D1030-1),""),IF(ISNUMBER(INDEX(Avulsos!$B$6:$B$205,$C1030)),INDEX(Avulsos!$B$6:$B$205,$C1030),""))</f>
        <v/>
      </c>
      <c r="F1030" s="114" t="str">
        <f aca="false">IF($E1030="","",IF($B1030="Tema",INDEX(Temas!$B$6:$B$305,$C1030)&amp;"",INDEX(Avulsos!$C$6:$C$205,$C1030)&amp;""))</f>
        <v/>
      </c>
      <c r="G1030" s="114" t="str">
        <f aca="false">IF($E1030="","",IF($B1030="Tema",INDEX(Config!$C$6:$C$11,$D1030),"Evento avulso"))</f>
        <v/>
      </c>
      <c r="H1030" s="114" t="str">
        <f aca="false">IF($E1030="","",IF($B1030="Tema",INDEX(Config!$D$6:$D$11,$D1030),IFERROR(INDEX(Config!$E$15:$E$19,MATCH($I1030,Config!$C$15:$C$19,0)),"•")))</f>
        <v/>
      </c>
      <c r="I1030" s="114" t="str">
        <f aca="false">IF($E1030="","",IF($B1030="Tema",INDEX(Config!$E$6:$E$11,$D1030),IF(INDEX(Avulsos!$D$6:$D$205,$C1030)&amp;""="","Outro",INDEX(Avulsos!$D$6:$D$205,$C1030))))</f>
        <v/>
      </c>
      <c r="J1030" s="114" t="str">
        <f aca="false">IF($E1030="","",IF($B1030="Tema",INDEX(Temas!$C$6:$C$305,$C1030)&amp;"",INDEX(Avulsos!$E$6:$E$205,$C1030)&amp;""))</f>
        <v/>
      </c>
      <c r="K1030" s="114" t="str">
        <f aca="false">IF($E1030="","",IF(IF($B1030="Tema",INDEX(Temas!$E$6:$P$305,$C1030,2*$D1030),INDEX(Avulsos!$F$6:$F$205,$C1030))&amp;""="","","✓"))</f>
        <v/>
      </c>
      <c r="L1030" s="114" t="str">
        <f aca="true">IF($E1030="","",IF($K1030="✓","Concluído",IF($E1030&lt;TODAY(),"Atrasado",IF($E1030=TODAY(),"Hoje","Pendente"))))</f>
        <v/>
      </c>
      <c r="M1030" s="114" t="str">
        <f aca="false">IF($E1030="","",IF($K1030="✓","✓ ","")&amp;IF(Config!$E$22="Sim",$H1030&amp;" · ","")&amp;$F1030)</f>
        <v/>
      </c>
      <c r="N1030" s="114" t="str">
        <f aca="false">IF($E1030="","",IFERROR(INDEX(Config!$D$15:$D$19,MATCH($I1030,Config!$C$15:$C$19,0)),"OUT")&amp;IF($K1030="✓","x",""))</f>
        <v/>
      </c>
      <c r="O1030" s="114" t="str">
        <f aca="false">IF($E1030="","",COUNTIF($E$5:$E1030,$E1030))</f>
        <v/>
      </c>
      <c r="P1030" s="114" t="str">
        <f aca="false">IF($E1030="","",$E1030*100+$O1030)</f>
        <v/>
      </c>
      <c r="Q1030" s="114" t="str">
        <f aca="false">IF($L1030="Atrasado",$E1030*10000+$A1030,"")</f>
        <v/>
      </c>
    </row>
    <row r="1031" customFormat="false" ht="15" hidden="false" customHeight="false" outlineLevel="0" collapsed="false">
      <c r="A1031" s="114" t="n">
        <f aca="false">ROW()-4</f>
        <v>1027</v>
      </c>
      <c r="B1031" s="114" t="str">
        <f aca="false">IF(A1031&lt;=Config!$E$27*Config!$E$28,"Tema","Avulso")</f>
        <v>Tema</v>
      </c>
      <c r="C1031" s="114" t="n">
        <f aca="false">IF(B1031="Tema",INT((A1031-1)/Config!$E$28)+1,A1031-Config!$E$27*Config!$E$28)</f>
        <v>172</v>
      </c>
      <c r="D1031" s="114" t="n">
        <f aca="false">IF(B1031="Tema",MOD(A1031-1,Config!$E$28)+1,"")</f>
        <v>1</v>
      </c>
      <c r="E1031" s="115" t="str">
        <f aca="false">IF($B1031="Tema",IF(ISNUMBER(INDEX(Temas!$E$6:$P$305,$C1031,2*$D1031-1)),INDEX(Temas!$E$6:$P$305,$C1031,2*$D1031-1),""),IF(ISNUMBER(INDEX(Avulsos!$B$6:$B$205,$C1031)),INDEX(Avulsos!$B$6:$B$205,$C1031),""))</f>
        <v/>
      </c>
      <c r="F1031" s="114" t="str">
        <f aca="false">IF($E1031="","",IF($B1031="Tema",INDEX(Temas!$B$6:$B$305,$C1031)&amp;"",INDEX(Avulsos!$C$6:$C$205,$C1031)&amp;""))</f>
        <v/>
      </c>
      <c r="G1031" s="114" t="str">
        <f aca="false">IF($E1031="","",IF($B1031="Tema",INDEX(Config!$C$6:$C$11,$D1031),"Evento avulso"))</f>
        <v/>
      </c>
      <c r="H1031" s="114" t="str">
        <f aca="false">IF($E1031="","",IF($B1031="Tema",INDEX(Config!$D$6:$D$11,$D1031),IFERROR(INDEX(Config!$E$15:$E$19,MATCH($I1031,Config!$C$15:$C$19,0)),"•")))</f>
        <v/>
      </c>
      <c r="I1031" s="114" t="str">
        <f aca="false">IF($E1031="","",IF($B1031="Tema",INDEX(Config!$E$6:$E$11,$D1031),IF(INDEX(Avulsos!$D$6:$D$205,$C1031)&amp;""="","Outro",INDEX(Avulsos!$D$6:$D$205,$C1031))))</f>
        <v/>
      </c>
      <c r="J1031" s="114" t="str">
        <f aca="false">IF($E1031="","",IF($B1031="Tema",INDEX(Temas!$C$6:$C$305,$C1031)&amp;"",INDEX(Avulsos!$E$6:$E$205,$C1031)&amp;""))</f>
        <v/>
      </c>
      <c r="K1031" s="114" t="str">
        <f aca="false">IF($E1031="","",IF(IF($B1031="Tema",INDEX(Temas!$E$6:$P$305,$C1031,2*$D1031),INDEX(Avulsos!$F$6:$F$205,$C1031))&amp;""="","","✓"))</f>
        <v/>
      </c>
      <c r="L1031" s="114" t="str">
        <f aca="true">IF($E1031="","",IF($K1031="✓","Concluído",IF($E1031&lt;TODAY(),"Atrasado",IF($E1031=TODAY(),"Hoje","Pendente"))))</f>
        <v/>
      </c>
      <c r="M1031" s="114" t="str">
        <f aca="false">IF($E1031="","",IF($K1031="✓","✓ ","")&amp;IF(Config!$E$22="Sim",$H1031&amp;" · ","")&amp;$F1031)</f>
        <v/>
      </c>
      <c r="N1031" s="114" t="str">
        <f aca="false">IF($E1031="","",IFERROR(INDEX(Config!$D$15:$D$19,MATCH($I1031,Config!$C$15:$C$19,0)),"OUT")&amp;IF($K1031="✓","x",""))</f>
        <v/>
      </c>
      <c r="O1031" s="114" t="str">
        <f aca="false">IF($E1031="","",COUNTIF($E$5:$E1031,$E1031))</f>
        <v/>
      </c>
      <c r="P1031" s="114" t="str">
        <f aca="false">IF($E1031="","",$E1031*100+$O1031)</f>
        <v/>
      </c>
      <c r="Q1031" s="114" t="str">
        <f aca="false">IF($L1031="Atrasado",$E1031*10000+$A1031,"")</f>
        <v/>
      </c>
    </row>
    <row r="1032" customFormat="false" ht="15" hidden="false" customHeight="false" outlineLevel="0" collapsed="false">
      <c r="A1032" s="114" t="n">
        <f aca="false">ROW()-4</f>
        <v>1028</v>
      </c>
      <c r="B1032" s="114" t="str">
        <f aca="false">IF(A1032&lt;=Config!$E$27*Config!$E$28,"Tema","Avulso")</f>
        <v>Tema</v>
      </c>
      <c r="C1032" s="114" t="n">
        <f aca="false">IF(B1032="Tema",INT((A1032-1)/Config!$E$28)+1,A1032-Config!$E$27*Config!$E$28)</f>
        <v>172</v>
      </c>
      <c r="D1032" s="114" t="n">
        <f aca="false">IF(B1032="Tema",MOD(A1032-1,Config!$E$28)+1,"")</f>
        <v>2</v>
      </c>
      <c r="E1032" s="115" t="str">
        <f aca="false">IF($B1032="Tema",IF(ISNUMBER(INDEX(Temas!$E$6:$P$305,$C1032,2*$D1032-1)),INDEX(Temas!$E$6:$P$305,$C1032,2*$D1032-1),""),IF(ISNUMBER(INDEX(Avulsos!$B$6:$B$205,$C1032)),INDEX(Avulsos!$B$6:$B$205,$C1032),""))</f>
        <v/>
      </c>
      <c r="F1032" s="114" t="str">
        <f aca="false">IF($E1032="","",IF($B1032="Tema",INDEX(Temas!$B$6:$B$305,$C1032)&amp;"",INDEX(Avulsos!$C$6:$C$205,$C1032)&amp;""))</f>
        <v/>
      </c>
      <c r="G1032" s="114" t="str">
        <f aca="false">IF($E1032="","",IF($B1032="Tema",INDEX(Config!$C$6:$C$11,$D1032),"Evento avulso"))</f>
        <v/>
      </c>
      <c r="H1032" s="114" t="str">
        <f aca="false">IF($E1032="","",IF($B1032="Tema",INDEX(Config!$D$6:$D$11,$D1032),IFERROR(INDEX(Config!$E$15:$E$19,MATCH($I1032,Config!$C$15:$C$19,0)),"•")))</f>
        <v/>
      </c>
      <c r="I1032" s="114" t="str">
        <f aca="false">IF($E1032="","",IF($B1032="Tema",INDEX(Config!$E$6:$E$11,$D1032),IF(INDEX(Avulsos!$D$6:$D$205,$C1032)&amp;""="","Outro",INDEX(Avulsos!$D$6:$D$205,$C1032))))</f>
        <v/>
      </c>
      <c r="J1032" s="114" t="str">
        <f aca="false">IF($E1032="","",IF($B1032="Tema",INDEX(Temas!$C$6:$C$305,$C1032)&amp;"",INDEX(Avulsos!$E$6:$E$205,$C1032)&amp;""))</f>
        <v/>
      </c>
      <c r="K1032" s="114" t="str">
        <f aca="false">IF($E1032="","",IF(IF($B1032="Tema",INDEX(Temas!$E$6:$P$305,$C1032,2*$D1032),INDEX(Avulsos!$F$6:$F$205,$C1032))&amp;""="","","✓"))</f>
        <v/>
      </c>
      <c r="L1032" s="114" t="str">
        <f aca="true">IF($E1032="","",IF($K1032="✓","Concluído",IF($E1032&lt;TODAY(),"Atrasado",IF($E1032=TODAY(),"Hoje","Pendente"))))</f>
        <v/>
      </c>
      <c r="M1032" s="114" t="str">
        <f aca="false">IF($E1032="","",IF($K1032="✓","✓ ","")&amp;IF(Config!$E$22="Sim",$H1032&amp;" · ","")&amp;$F1032)</f>
        <v/>
      </c>
      <c r="N1032" s="114" t="str">
        <f aca="false">IF($E1032="","",IFERROR(INDEX(Config!$D$15:$D$19,MATCH($I1032,Config!$C$15:$C$19,0)),"OUT")&amp;IF($K1032="✓","x",""))</f>
        <v/>
      </c>
      <c r="O1032" s="114" t="str">
        <f aca="false">IF($E1032="","",COUNTIF($E$5:$E1032,$E1032))</f>
        <v/>
      </c>
      <c r="P1032" s="114" t="str">
        <f aca="false">IF($E1032="","",$E1032*100+$O1032)</f>
        <v/>
      </c>
      <c r="Q1032" s="114" t="str">
        <f aca="false">IF($L1032="Atrasado",$E1032*10000+$A1032,"")</f>
        <v/>
      </c>
    </row>
    <row r="1033" customFormat="false" ht="15" hidden="false" customHeight="false" outlineLevel="0" collapsed="false">
      <c r="A1033" s="114" t="n">
        <f aca="false">ROW()-4</f>
        <v>1029</v>
      </c>
      <c r="B1033" s="114" t="str">
        <f aca="false">IF(A1033&lt;=Config!$E$27*Config!$E$28,"Tema","Avulso")</f>
        <v>Tema</v>
      </c>
      <c r="C1033" s="114" t="n">
        <f aca="false">IF(B1033="Tema",INT((A1033-1)/Config!$E$28)+1,A1033-Config!$E$27*Config!$E$28)</f>
        <v>172</v>
      </c>
      <c r="D1033" s="114" t="n">
        <f aca="false">IF(B1033="Tema",MOD(A1033-1,Config!$E$28)+1,"")</f>
        <v>3</v>
      </c>
      <c r="E1033" s="115" t="str">
        <f aca="false">IF($B1033="Tema",IF(ISNUMBER(INDEX(Temas!$E$6:$P$305,$C1033,2*$D1033-1)),INDEX(Temas!$E$6:$P$305,$C1033,2*$D1033-1),""),IF(ISNUMBER(INDEX(Avulsos!$B$6:$B$205,$C1033)),INDEX(Avulsos!$B$6:$B$205,$C1033),""))</f>
        <v/>
      </c>
      <c r="F1033" s="114" t="str">
        <f aca="false">IF($E1033="","",IF($B1033="Tema",INDEX(Temas!$B$6:$B$305,$C1033)&amp;"",INDEX(Avulsos!$C$6:$C$205,$C1033)&amp;""))</f>
        <v/>
      </c>
      <c r="G1033" s="114" t="str">
        <f aca="false">IF($E1033="","",IF($B1033="Tema",INDEX(Config!$C$6:$C$11,$D1033),"Evento avulso"))</f>
        <v/>
      </c>
      <c r="H1033" s="114" t="str">
        <f aca="false">IF($E1033="","",IF($B1033="Tema",INDEX(Config!$D$6:$D$11,$D1033),IFERROR(INDEX(Config!$E$15:$E$19,MATCH($I1033,Config!$C$15:$C$19,0)),"•")))</f>
        <v/>
      </c>
      <c r="I1033" s="114" t="str">
        <f aca="false">IF($E1033="","",IF($B1033="Tema",INDEX(Config!$E$6:$E$11,$D1033),IF(INDEX(Avulsos!$D$6:$D$205,$C1033)&amp;""="","Outro",INDEX(Avulsos!$D$6:$D$205,$C1033))))</f>
        <v/>
      </c>
      <c r="J1033" s="114" t="str">
        <f aca="false">IF($E1033="","",IF($B1033="Tema",INDEX(Temas!$C$6:$C$305,$C1033)&amp;"",INDEX(Avulsos!$E$6:$E$205,$C1033)&amp;""))</f>
        <v/>
      </c>
      <c r="K1033" s="114" t="str">
        <f aca="false">IF($E1033="","",IF(IF($B1033="Tema",INDEX(Temas!$E$6:$P$305,$C1033,2*$D1033),INDEX(Avulsos!$F$6:$F$205,$C1033))&amp;""="","","✓"))</f>
        <v/>
      </c>
      <c r="L1033" s="114" t="str">
        <f aca="true">IF($E1033="","",IF($K1033="✓","Concluído",IF($E1033&lt;TODAY(),"Atrasado",IF($E1033=TODAY(),"Hoje","Pendente"))))</f>
        <v/>
      </c>
      <c r="M1033" s="114" t="str">
        <f aca="false">IF($E1033="","",IF($K1033="✓","✓ ","")&amp;IF(Config!$E$22="Sim",$H1033&amp;" · ","")&amp;$F1033)</f>
        <v/>
      </c>
      <c r="N1033" s="114" t="str">
        <f aca="false">IF($E1033="","",IFERROR(INDEX(Config!$D$15:$D$19,MATCH($I1033,Config!$C$15:$C$19,0)),"OUT")&amp;IF($K1033="✓","x",""))</f>
        <v/>
      </c>
      <c r="O1033" s="114" t="str">
        <f aca="false">IF($E1033="","",COUNTIF($E$5:$E1033,$E1033))</f>
        <v/>
      </c>
      <c r="P1033" s="114" t="str">
        <f aca="false">IF($E1033="","",$E1033*100+$O1033)</f>
        <v/>
      </c>
      <c r="Q1033" s="114" t="str">
        <f aca="false">IF($L1033="Atrasado",$E1033*10000+$A1033,"")</f>
        <v/>
      </c>
    </row>
    <row r="1034" customFormat="false" ht="15" hidden="false" customHeight="false" outlineLevel="0" collapsed="false">
      <c r="A1034" s="114" t="n">
        <f aca="false">ROW()-4</f>
        <v>1030</v>
      </c>
      <c r="B1034" s="114" t="str">
        <f aca="false">IF(A1034&lt;=Config!$E$27*Config!$E$28,"Tema","Avulso")</f>
        <v>Tema</v>
      </c>
      <c r="C1034" s="114" t="n">
        <f aca="false">IF(B1034="Tema",INT((A1034-1)/Config!$E$28)+1,A1034-Config!$E$27*Config!$E$28)</f>
        <v>172</v>
      </c>
      <c r="D1034" s="114" t="n">
        <f aca="false">IF(B1034="Tema",MOD(A1034-1,Config!$E$28)+1,"")</f>
        <v>4</v>
      </c>
      <c r="E1034" s="115" t="str">
        <f aca="false">IF($B1034="Tema",IF(ISNUMBER(INDEX(Temas!$E$6:$P$305,$C1034,2*$D1034-1)),INDEX(Temas!$E$6:$P$305,$C1034,2*$D1034-1),""),IF(ISNUMBER(INDEX(Avulsos!$B$6:$B$205,$C1034)),INDEX(Avulsos!$B$6:$B$205,$C1034),""))</f>
        <v/>
      </c>
      <c r="F1034" s="114" t="str">
        <f aca="false">IF($E1034="","",IF($B1034="Tema",INDEX(Temas!$B$6:$B$305,$C1034)&amp;"",INDEX(Avulsos!$C$6:$C$205,$C1034)&amp;""))</f>
        <v/>
      </c>
      <c r="G1034" s="114" t="str">
        <f aca="false">IF($E1034="","",IF($B1034="Tema",INDEX(Config!$C$6:$C$11,$D1034),"Evento avulso"))</f>
        <v/>
      </c>
      <c r="H1034" s="114" t="str">
        <f aca="false">IF($E1034="","",IF($B1034="Tema",INDEX(Config!$D$6:$D$11,$D1034),IFERROR(INDEX(Config!$E$15:$E$19,MATCH($I1034,Config!$C$15:$C$19,0)),"•")))</f>
        <v/>
      </c>
      <c r="I1034" s="114" t="str">
        <f aca="false">IF($E1034="","",IF($B1034="Tema",INDEX(Config!$E$6:$E$11,$D1034),IF(INDEX(Avulsos!$D$6:$D$205,$C1034)&amp;""="","Outro",INDEX(Avulsos!$D$6:$D$205,$C1034))))</f>
        <v/>
      </c>
      <c r="J1034" s="114" t="str">
        <f aca="false">IF($E1034="","",IF($B1034="Tema",INDEX(Temas!$C$6:$C$305,$C1034)&amp;"",INDEX(Avulsos!$E$6:$E$205,$C1034)&amp;""))</f>
        <v/>
      </c>
      <c r="K1034" s="114" t="str">
        <f aca="false">IF($E1034="","",IF(IF($B1034="Tema",INDEX(Temas!$E$6:$P$305,$C1034,2*$D1034),INDEX(Avulsos!$F$6:$F$205,$C1034))&amp;""="","","✓"))</f>
        <v/>
      </c>
      <c r="L1034" s="114" t="str">
        <f aca="true">IF($E1034="","",IF($K1034="✓","Concluído",IF($E1034&lt;TODAY(),"Atrasado",IF($E1034=TODAY(),"Hoje","Pendente"))))</f>
        <v/>
      </c>
      <c r="M1034" s="114" t="str">
        <f aca="false">IF($E1034="","",IF($K1034="✓","✓ ","")&amp;IF(Config!$E$22="Sim",$H1034&amp;" · ","")&amp;$F1034)</f>
        <v/>
      </c>
      <c r="N1034" s="114" t="str">
        <f aca="false">IF($E1034="","",IFERROR(INDEX(Config!$D$15:$D$19,MATCH($I1034,Config!$C$15:$C$19,0)),"OUT")&amp;IF($K1034="✓","x",""))</f>
        <v/>
      </c>
      <c r="O1034" s="114" t="str">
        <f aca="false">IF($E1034="","",COUNTIF($E$5:$E1034,$E1034))</f>
        <v/>
      </c>
      <c r="P1034" s="114" t="str">
        <f aca="false">IF($E1034="","",$E1034*100+$O1034)</f>
        <v/>
      </c>
      <c r="Q1034" s="114" t="str">
        <f aca="false">IF($L1034="Atrasado",$E1034*10000+$A1034,"")</f>
        <v/>
      </c>
    </row>
    <row r="1035" customFormat="false" ht="15" hidden="false" customHeight="false" outlineLevel="0" collapsed="false">
      <c r="A1035" s="114" t="n">
        <f aca="false">ROW()-4</f>
        <v>1031</v>
      </c>
      <c r="B1035" s="114" t="str">
        <f aca="false">IF(A1035&lt;=Config!$E$27*Config!$E$28,"Tema","Avulso")</f>
        <v>Tema</v>
      </c>
      <c r="C1035" s="114" t="n">
        <f aca="false">IF(B1035="Tema",INT((A1035-1)/Config!$E$28)+1,A1035-Config!$E$27*Config!$E$28)</f>
        <v>172</v>
      </c>
      <c r="D1035" s="114" t="n">
        <f aca="false">IF(B1035="Tema",MOD(A1035-1,Config!$E$28)+1,"")</f>
        <v>5</v>
      </c>
      <c r="E1035" s="115" t="str">
        <f aca="false">IF($B1035="Tema",IF(ISNUMBER(INDEX(Temas!$E$6:$P$305,$C1035,2*$D1035-1)),INDEX(Temas!$E$6:$P$305,$C1035,2*$D1035-1),""),IF(ISNUMBER(INDEX(Avulsos!$B$6:$B$205,$C1035)),INDEX(Avulsos!$B$6:$B$205,$C1035),""))</f>
        <v/>
      </c>
      <c r="F1035" s="114" t="str">
        <f aca="false">IF($E1035="","",IF($B1035="Tema",INDEX(Temas!$B$6:$B$305,$C1035)&amp;"",INDEX(Avulsos!$C$6:$C$205,$C1035)&amp;""))</f>
        <v/>
      </c>
      <c r="G1035" s="114" t="str">
        <f aca="false">IF($E1035="","",IF($B1035="Tema",INDEX(Config!$C$6:$C$11,$D1035),"Evento avulso"))</f>
        <v/>
      </c>
      <c r="H1035" s="114" t="str">
        <f aca="false">IF($E1035="","",IF($B1035="Tema",INDEX(Config!$D$6:$D$11,$D1035),IFERROR(INDEX(Config!$E$15:$E$19,MATCH($I1035,Config!$C$15:$C$19,0)),"•")))</f>
        <v/>
      </c>
      <c r="I1035" s="114" t="str">
        <f aca="false">IF($E1035="","",IF($B1035="Tema",INDEX(Config!$E$6:$E$11,$D1035),IF(INDEX(Avulsos!$D$6:$D$205,$C1035)&amp;""="","Outro",INDEX(Avulsos!$D$6:$D$205,$C1035))))</f>
        <v/>
      </c>
      <c r="J1035" s="114" t="str">
        <f aca="false">IF($E1035="","",IF($B1035="Tema",INDEX(Temas!$C$6:$C$305,$C1035)&amp;"",INDEX(Avulsos!$E$6:$E$205,$C1035)&amp;""))</f>
        <v/>
      </c>
      <c r="K1035" s="114" t="str">
        <f aca="false">IF($E1035="","",IF(IF($B1035="Tema",INDEX(Temas!$E$6:$P$305,$C1035,2*$D1035),INDEX(Avulsos!$F$6:$F$205,$C1035))&amp;""="","","✓"))</f>
        <v/>
      </c>
      <c r="L1035" s="114" t="str">
        <f aca="true">IF($E1035="","",IF($K1035="✓","Concluído",IF($E1035&lt;TODAY(),"Atrasado",IF($E1035=TODAY(),"Hoje","Pendente"))))</f>
        <v/>
      </c>
      <c r="M1035" s="114" t="str">
        <f aca="false">IF($E1035="","",IF($K1035="✓","✓ ","")&amp;IF(Config!$E$22="Sim",$H1035&amp;" · ","")&amp;$F1035)</f>
        <v/>
      </c>
      <c r="N1035" s="114" t="str">
        <f aca="false">IF($E1035="","",IFERROR(INDEX(Config!$D$15:$D$19,MATCH($I1035,Config!$C$15:$C$19,0)),"OUT")&amp;IF($K1035="✓","x",""))</f>
        <v/>
      </c>
      <c r="O1035" s="114" t="str">
        <f aca="false">IF($E1035="","",COUNTIF($E$5:$E1035,$E1035))</f>
        <v/>
      </c>
      <c r="P1035" s="114" t="str">
        <f aca="false">IF($E1035="","",$E1035*100+$O1035)</f>
        <v/>
      </c>
      <c r="Q1035" s="114" t="str">
        <f aca="false">IF($L1035="Atrasado",$E1035*10000+$A1035,"")</f>
        <v/>
      </c>
    </row>
    <row r="1036" customFormat="false" ht="15" hidden="false" customHeight="false" outlineLevel="0" collapsed="false">
      <c r="A1036" s="114" t="n">
        <f aca="false">ROW()-4</f>
        <v>1032</v>
      </c>
      <c r="B1036" s="114" t="str">
        <f aca="false">IF(A1036&lt;=Config!$E$27*Config!$E$28,"Tema","Avulso")</f>
        <v>Tema</v>
      </c>
      <c r="C1036" s="114" t="n">
        <f aca="false">IF(B1036="Tema",INT((A1036-1)/Config!$E$28)+1,A1036-Config!$E$27*Config!$E$28)</f>
        <v>172</v>
      </c>
      <c r="D1036" s="114" t="n">
        <f aca="false">IF(B1036="Tema",MOD(A1036-1,Config!$E$28)+1,"")</f>
        <v>6</v>
      </c>
      <c r="E1036" s="115" t="str">
        <f aca="false">IF($B1036="Tema",IF(ISNUMBER(INDEX(Temas!$E$6:$P$305,$C1036,2*$D1036-1)),INDEX(Temas!$E$6:$P$305,$C1036,2*$D1036-1),""),IF(ISNUMBER(INDEX(Avulsos!$B$6:$B$205,$C1036)),INDEX(Avulsos!$B$6:$B$205,$C1036),""))</f>
        <v/>
      </c>
      <c r="F1036" s="114" t="str">
        <f aca="false">IF($E1036="","",IF($B1036="Tema",INDEX(Temas!$B$6:$B$305,$C1036)&amp;"",INDEX(Avulsos!$C$6:$C$205,$C1036)&amp;""))</f>
        <v/>
      </c>
      <c r="G1036" s="114" t="str">
        <f aca="false">IF($E1036="","",IF($B1036="Tema",INDEX(Config!$C$6:$C$11,$D1036),"Evento avulso"))</f>
        <v/>
      </c>
      <c r="H1036" s="114" t="str">
        <f aca="false">IF($E1036="","",IF($B1036="Tema",INDEX(Config!$D$6:$D$11,$D1036),IFERROR(INDEX(Config!$E$15:$E$19,MATCH($I1036,Config!$C$15:$C$19,0)),"•")))</f>
        <v/>
      </c>
      <c r="I1036" s="114" t="str">
        <f aca="false">IF($E1036="","",IF($B1036="Tema",INDEX(Config!$E$6:$E$11,$D1036),IF(INDEX(Avulsos!$D$6:$D$205,$C1036)&amp;""="","Outro",INDEX(Avulsos!$D$6:$D$205,$C1036))))</f>
        <v/>
      </c>
      <c r="J1036" s="114" t="str">
        <f aca="false">IF($E1036="","",IF($B1036="Tema",INDEX(Temas!$C$6:$C$305,$C1036)&amp;"",INDEX(Avulsos!$E$6:$E$205,$C1036)&amp;""))</f>
        <v/>
      </c>
      <c r="K1036" s="114" t="str">
        <f aca="false">IF($E1036="","",IF(IF($B1036="Tema",INDEX(Temas!$E$6:$P$305,$C1036,2*$D1036),INDEX(Avulsos!$F$6:$F$205,$C1036))&amp;""="","","✓"))</f>
        <v/>
      </c>
      <c r="L1036" s="114" t="str">
        <f aca="true">IF($E1036="","",IF($K1036="✓","Concluído",IF($E1036&lt;TODAY(),"Atrasado",IF($E1036=TODAY(),"Hoje","Pendente"))))</f>
        <v/>
      </c>
      <c r="M1036" s="114" t="str">
        <f aca="false">IF($E1036="","",IF($K1036="✓","✓ ","")&amp;IF(Config!$E$22="Sim",$H1036&amp;" · ","")&amp;$F1036)</f>
        <v/>
      </c>
      <c r="N1036" s="114" t="str">
        <f aca="false">IF($E1036="","",IFERROR(INDEX(Config!$D$15:$D$19,MATCH($I1036,Config!$C$15:$C$19,0)),"OUT")&amp;IF($K1036="✓","x",""))</f>
        <v/>
      </c>
      <c r="O1036" s="114" t="str">
        <f aca="false">IF($E1036="","",COUNTIF($E$5:$E1036,$E1036))</f>
        <v/>
      </c>
      <c r="P1036" s="114" t="str">
        <f aca="false">IF($E1036="","",$E1036*100+$O1036)</f>
        <v/>
      </c>
      <c r="Q1036" s="114" t="str">
        <f aca="false">IF($L1036="Atrasado",$E1036*10000+$A1036,"")</f>
        <v/>
      </c>
    </row>
    <row r="1037" customFormat="false" ht="15" hidden="false" customHeight="false" outlineLevel="0" collapsed="false">
      <c r="A1037" s="114" t="n">
        <f aca="false">ROW()-4</f>
        <v>1033</v>
      </c>
      <c r="B1037" s="114" t="str">
        <f aca="false">IF(A1037&lt;=Config!$E$27*Config!$E$28,"Tema","Avulso")</f>
        <v>Tema</v>
      </c>
      <c r="C1037" s="114" t="n">
        <f aca="false">IF(B1037="Tema",INT((A1037-1)/Config!$E$28)+1,A1037-Config!$E$27*Config!$E$28)</f>
        <v>173</v>
      </c>
      <c r="D1037" s="114" t="n">
        <f aca="false">IF(B1037="Tema",MOD(A1037-1,Config!$E$28)+1,"")</f>
        <v>1</v>
      </c>
      <c r="E1037" s="115" t="str">
        <f aca="false">IF($B1037="Tema",IF(ISNUMBER(INDEX(Temas!$E$6:$P$305,$C1037,2*$D1037-1)),INDEX(Temas!$E$6:$P$305,$C1037,2*$D1037-1),""),IF(ISNUMBER(INDEX(Avulsos!$B$6:$B$205,$C1037)),INDEX(Avulsos!$B$6:$B$205,$C1037),""))</f>
        <v/>
      </c>
      <c r="F1037" s="114" t="str">
        <f aca="false">IF($E1037="","",IF($B1037="Tema",INDEX(Temas!$B$6:$B$305,$C1037)&amp;"",INDEX(Avulsos!$C$6:$C$205,$C1037)&amp;""))</f>
        <v/>
      </c>
      <c r="G1037" s="114" t="str">
        <f aca="false">IF($E1037="","",IF($B1037="Tema",INDEX(Config!$C$6:$C$11,$D1037),"Evento avulso"))</f>
        <v/>
      </c>
      <c r="H1037" s="114" t="str">
        <f aca="false">IF($E1037="","",IF($B1037="Tema",INDEX(Config!$D$6:$D$11,$D1037),IFERROR(INDEX(Config!$E$15:$E$19,MATCH($I1037,Config!$C$15:$C$19,0)),"•")))</f>
        <v/>
      </c>
      <c r="I1037" s="114" t="str">
        <f aca="false">IF($E1037="","",IF($B1037="Tema",INDEX(Config!$E$6:$E$11,$D1037),IF(INDEX(Avulsos!$D$6:$D$205,$C1037)&amp;""="","Outro",INDEX(Avulsos!$D$6:$D$205,$C1037))))</f>
        <v/>
      </c>
      <c r="J1037" s="114" t="str">
        <f aca="false">IF($E1037="","",IF($B1037="Tema",INDEX(Temas!$C$6:$C$305,$C1037)&amp;"",INDEX(Avulsos!$E$6:$E$205,$C1037)&amp;""))</f>
        <v/>
      </c>
      <c r="K1037" s="114" t="str">
        <f aca="false">IF($E1037="","",IF(IF($B1037="Tema",INDEX(Temas!$E$6:$P$305,$C1037,2*$D1037),INDEX(Avulsos!$F$6:$F$205,$C1037))&amp;""="","","✓"))</f>
        <v/>
      </c>
      <c r="L1037" s="114" t="str">
        <f aca="true">IF($E1037="","",IF($K1037="✓","Concluído",IF($E1037&lt;TODAY(),"Atrasado",IF($E1037=TODAY(),"Hoje","Pendente"))))</f>
        <v/>
      </c>
      <c r="M1037" s="114" t="str">
        <f aca="false">IF($E1037="","",IF($K1037="✓","✓ ","")&amp;IF(Config!$E$22="Sim",$H1037&amp;" · ","")&amp;$F1037)</f>
        <v/>
      </c>
      <c r="N1037" s="114" t="str">
        <f aca="false">IF($E1037="","",IFERROR(INDEX(Config!$D$15:$D$19,MATCH($I1037,Config!$C$15:$C$19,0)),"OUT")&amp;IF($K1037="✓","x",""))</f>
        <v/>
      </c>
      <c r="O1037" s="114" t="str">
        <f aca="false">IF($E1037="","",COUNTIF($E$5:$E1037,$E1037))</f>
        <v/>
      </c>
      <c r="P1037" s="114" t="str">
        <f aca="false">IF($E1037="","",$E1037*100+$O1037)</f>
        <v/>
      </c>
      <c r="Q1037" s="114" t="str">
        <f aca="false">IF($L1037="Atrasado",$E1037*10000+$A1037,"")</f>
        <v/>
      </c>
    </row>
    <row r="1038" customFormat="false" ht="15" hidden="false" customHeight="false" outlineLevel="0" collapsed="false">
      <c r="A1038" s="114" t="n">
        <f aca="false">ROW()-4</f>
        <v>1034</v>
      </c>
      <c r="B1038" s="114" t="str">
        <f aca="false">IF(A1038&lt;=Config!$E$27*Config!$E$28,"Tema","Avulso")</f>
        <v>Tema</v>
      </c>
      <c r="C1038" s="114" t="n">
        <f aca="false">IF(B1038="Tema",INT((A1038-1)/Config!$E$28)+1,A1038-Config!$E$27*Config!$E$28)</f>
        <v>173</v>
      </c>
      <c r="D1038" s="114" t="n">
        <f aca="false">IF(B1038="Tema",MOD(A1038-1,Config!$E$28)+1,"")</f>
        <v>2</v>
      </c>
      <c r="E1038" s="115" t="str">
        <f aca="false">IF($B1038="Tema",IF(ISNUMBER(INDEX(Temas!$E$6:$P$305,$C1038,2*$D1038-1)),INDEX(Temas!$E$6:$P$305,$C1038,2*$D1038-1),""),IF(ISNUMBER(INDEX(Avulsos!$B$6:$B$205,$C1038)),INDEX(Avulsos!$B$6:$B$205,$C1038),""))</f>
        <v/>
      </c>
      <c r="F1038" s="114" t="str">
        <f aca="false">IF($E1038="","",IF($B1038="Tema",INDEX(Temas!$B$6:$B$305,$C1038)&amp;"",INDEX(Avulsos!$C$6:$C$205,$C1038)&amp;""))</f>
        <v/>
      </c>
      <c r="G1038" s="114" t="str">
        <f aca="false">IF($E1038="","",IF($B1038="Tema",INDEX(Config!$C$6:$C$11,$D1038),"Evento avulso"))</f>
        <v/>
      </c>
      <c r="H1038" s="114" t="str">
        <f aca="false">IF($E1038="","",IF($B1038="Tema",INDEX(Config!$D$6:$D$11,$D1038),IFERROR(INDEX(Config!$E$15:$E$19,MATCH($I1038,Config!$C$15:$C$19,0)),"•")))</f>
        <v/>
      </c>
      <c r="I1038" s="114" t="str">
        <f aca="false">IF($E1038="","",IF($B1038="Tema",INDEX(Config!$E$6:$E$11,$D1038),IF(INDEX(Avulsos!$D$6:$D$205,$C1038)&amp;""="","Outro",INDEX(Avulsos!$D$6:$D$205,$C1038))))</f>
        <v/>
      </c>
      <c r="J1038" s="114" t="str">
        <f aca="false">IF($E1038="","",IF($B1038="Tema",INDEX(Temas!$C$6:$C$305,$C1038)&amp;"",INDEX(Avulsos!$E$6:$E$205,$C1038)&amp;""))</f>
        <v/>
      </c>
      <c r="K1038" s="114" t="str">
        <f aca="false">IF($E1038="","",IF(IF($B1038="Tema",INDEX(Temas!$E$6:$P$305,$C1038,2*$D1038),INDEX(Avulsos!$F$6:$F$205,$C1038))&amp;""="","","✓"))</f>
        <v/>
      </c>
      <c r="L1038" s="114" t="str">
        <f aca="true">IF($E1038="","",IF($K1038="✓","Concluído",IF($E1038&lt;TODAY(),"Atrasado",IF($E1038=TODAY(),"Hoje","Pendente"))))</f>
        <v/>
      </c>
      <c r="M1038" s="114" t="str">
        <f aca="false">IF($E1038="","",IF($K1038="✓","✓ ","")&amp;IF(Config!$E$22="Sim",$H1038&amp;" · ","")&amp;$F1038)</f>
        <v/>
      </c>
      <c r="N1038" s="114" t="str">
        <f aca="false">IF($E1038="","",IFERROR(INDEX(Config!$D$15:$D$19,MATCH($I1038,Config!$C$15:$C$19,0)),"OUT")&amp;IF($K1038="✓","x",""))</f>
        <v/>
      </c>
      <c r="O1038" s="114" t="str">
        <f aca="false">IF($E1038="","",COUNTIF($E$5:$E1038,$E1038))</f>
        <v/>
      </c>
      <c r="P1038" s="114" t="str">
        <f aca="false">IF($E1038="","",$E1038*100+$O1038)</f>
        <v/>
      </c>
      <c r="Q1038" s="114" t="str">
        <f aca="false">IF($L1038="Atrasado",$E1038*10000+$A1038,"")</f>
        <v/>
      </c>
    </row>
    <row r="1039" customFormat="false" ht="15" hidden="false" customHeight="false" outlineLevel="0" collapsed="false">
      <c r="A1039" s="114" t="n">
        <f aca="false">ROW()-4</f>
        <v>1035</v>
      </c>
      <c r="B1039" s="114" t="str">
        <f aca="false">IF(A1039&lt;=Config!$E$27*Config!$E$28,"Tema","Avulso")</f>
        <v>Tema</v>
      </c>
      <c r="C1039" s="114" t="n">
        <f aca="false">IF(B1039="Tema",INT((A1039-1)/Config!$E$28)+1,A1039-Config!$E$27*Config!$E$28)</f>
        <v>173</v>
      </c>
      <c r="D1039" s="114" t="n">
        <f aca="false">IF(B1039="Tema",MOD(A1039-1,Config!$E$28)+1,"")</f>
        <v>3</v>
      </c>
      <c r="E1039" s="115" t="str">
        <f aca="false">IF($B1039="Tema",IF(ISNUMBER(INDEX(Temas!$E$6:$P$305,$C1039,2*$D1039-1)),INDEX(Temas!$E$6:$P$305,$C1039,2*$D1039-1),""),IF(ISNUMBER(INDEX(Avulsos!$B$6:$B$205,$C1039)),INDEX(Avulsos!$B$6:$B$205,$C1039),""))</f>
        <v/>
      </c>
      <c r="F1039" s="114" t="str">
        <f aca="false">IF($E1039="","",IF($B1039="Tema",INDEX(Temas!$B$6:$B$305,$C1039)&amp;"",INDEX(Avulsos!$C$6:$C$205,$C1039)&amp;""))</f>
        <v/>
      </c>
      <c r="G1039" s="114" t="str">
        <f aca="false">IF($E1039="","",IF($B1039="Tema",INDEX(Config!$C$6:$C$11,$D1039),"Evento avulso"))</f>
        <v/>
      </c>
      <c r="H1039" s="114" t="str">
        <f aca="false">IF($E1039="","",IF($B1039="Tema",INDEX(Config!$D$6:$D$11,$D1039),IFERROR(INDEX(Config!$E$15:$E$19,MATCH($I1039,Config!$C$15:$C$19,0)),"•")))</f>
        <v/>
      </c>
      <c r="I1039" s="114" t="str">
        <f aca="false">IF($E1039="","",IF($B1039="Tema",INDEX(Config!$E$6:$E$11,$D1039),IF(INDEX(Avulsos!$D$6:$D$205,$C1039)&amp;""="","Outro",INDEX(Avulsos!$D$6:$D$205,$C1039))))</f>
        <v/>
      </c>
      <c r="J1039" s="114" t="str">
        <f aca="false">IF($E1039="","",IF($B1039="Tema",INDEX(Temas!$C$6:$C$305,$C1039)&amp;"",INDEX(Avulsos!$E$6:$E$205,$C1039)&amp;""))</f>
        <v/>
      </c>
      <c r="K1039" s="114" t="str">
        <f aca="false">IF($E1039="","",IF(IF($B1039="Tema",INDEX(Temas!$E$6:$P$305,$C1039,2*$D1039),INDEX(Avulsos!$F$6:$F$205,$C1039))&amp;""="","","✓"))</f>
        <v/>
      </c>
      <c r="L1039" s="114" t="str">
        <f aca="true">IF($E1039="","",IF($K1039="✓","Concluído",IF($E1039&lt;TODAY(),"Atrasado",IF($E1039=TODAY(),"Hoje","Pendente"))))</f>
        <v/>
      </c>
      <c r="M1039" s="114" t="str">
        <f aca="false">IF($E1039="","",IF($K1039="✓","✓ ","")&amp;IF(Config!$E$22="Sim",$H1039&amp;" · ","")&amp;$F1039)</f>
        <v/>
      </c>
      <c r="N1039" s="114" t="str">
        <f aca="false">IF($E1039="","",IFERROR(INDEX(Config!$D$15:$D$19,MATCH($I1039,Config!$C$15:$C$19,0)),"OUT")&amp;IF($K1039="✓","x",""))</f>
        <v/>
      </c>
      <c r="O1039" s="114" t="str">
        <f aca="false">IF($E1039="","",COUNTIF($E$5:$E1039,$E1039))</f>
        <v/>
      </c>
      <c r="P1039" s="114" t="str">
        <f aca="false">IF($E1039="","",$E1039*100+$O1039)</f>
        <v/>
      </c>
      <c r="Q1039" s="114" t="str">
        <f aca="false">IF($L1039="Atrasado",$E1039*10000+$A1039,"")</f>
        <v/>
      </c>
    </row>
    <row r="1040" customFormat="false" ht="15" hidden="false" customHeight="false" outlineLevel="0" collapsed="false">
      <c r="A1040" s="114" t="n">
        <f aca="false">ROW()-4</f>
        <v>1036</v>
      </c>
      <c r="B1040" s="114" t="str">
        <f aca="false">IF(A1040&lt;=Config!$E$27*Config!$E$28,"Tema","Avulso")</f>
        <v>Tema</v>
      </c>
      <c r="C1040" s="114" t="n">
        <f aca="false">IF(B1040="Tema",INT((A1040-1)/Config!$E$28)+1,A1040-Config!$E$27*Config!$E$28)</f>
        <v>173</v>
      </c>
      <c r="D1040" s="114" t="n">
        <f aca="false">IF(B1040="Tema",MOD(A1040-1,Config!$E$28)+1,"")</f>
        <v>4</v>
      </c>
      <c r="E1040" s="115" t="str">
        <f aca="false">IF($B1040="Tema",IF(ISNUMBER(INDEX(Temas!$E$6:$P$305,$C1040,2*$D1040-1)),INDEX(Temas!$E$6:$P$305,$C1040,2*$D1040-1),""),IF(ISNUMBER(INDEX(Avulsos!$B$6:$B$205,$C1040)),INDEX(Avulsos!$B$6:$B$205,$C1040),""))</f>
        <v/>
      </c>
      <c r="F1040" s="114" t="str">
        <f aca="false">IF($E1040="","",IF($B1040="Tema",INDEX(Temas!$B$6:$B$305,$C1040)&amp;"",INDEX(Avulsos!$C$6:$C$205,$C1040)&amp;""))</f>
        <v/>
      </c>
      <c r="G1040" s="114" t="str">
        <f aca="false">IF($E1040="","",IF($B1040="Tema",INDEX(Config!$C$6:$C$11,$D1040),"Evento avulso"))</f>
        <v/>
      </c>
      <c r="H1040" s="114" t="str">
        <f aca="false">IF($E1040="","",IF($B1040="Tema",INDEX(Config!$D$6:$D$11,$D1040),IFERROR(INDEX(Config!$E$15:$E$19,MATCH($I1040,Config!$C$15:$C$19,0)),"•")))</f>
        <v/>
      </c>
      <c r="I1040" s="114" t="str">
        <f aca="false">IF($E1040="","",IF($B1040="Tema",INDEX(Config!$E$6:$E$11,$D1040),IF(INDEX(Avulsos!$D$6:$D$205,$C1040)&amp;""="","Outro",INDEX(Avulsos!$D$6:$D$205,$C1040))))</f>
        <v/>
      </c>
      <c r="J1040" s="114" t="str">
        <f aca="false">IF($E1040="","",IF($B1040="Tema",INDEX(Temas!$C$6:$C$305,$C1040)&amp;"",INDEX(Avulsos!$E$6:$E$205,$C1040)&amp;""))</f>
        <v/>
      </c>
      <c r="K1040" s="114" t="str">
        <f aca="false">IF($E1040="","",IF(IF($B1040="Tema",INDEX(Temas!$E$6:$P$305,$C1040,2*$D1040),INDEX(Avulsos!$F$6:$F$205,$C1040))&amp;""="","","✓"))</f>
        <v/>
      </c>
      <c r="L1040" s="114" t="str">
        <f aca="true">IF($E1040="","",IF($K1040="✓","Concluído",IF($E1040&lt;TODAY(),"Atrasado",IF($E1040=TODAY(),"Hoje","Pendente"))))</f>
        <v/>
      </c>
      <c r="M1040" s="114" t="str">
        <f aca="false">IF($E1040="","",IF($K1040="✓","✓ ","")&amp;IF(Config!$E$22="Sim",$H1040&amp;" · ","")&amp;$F1040)</f>
        <v/>
      </c>
      <c r="N1040" s="114" t="str">
        <f aca="false">IF($E1040="","",IFERROR(INDEX(Config!$D$15:$D$19,MATCH($I1040,Config!$C$15:$C$19,0)),"OUT")&amp;IF($K1040="✓","x",""))</f>
        <v/>
      </c>
      <c r="O1040" s="114" t="str">
        <f aca="false">IF($E1040="","",COUNTIF($E$5:$E1040,$E1040))</f>
        <v/>
      </c>
      <c r="P1040" s="114" t="str">
        <f aca="false">IF($E1040="","",$E1040*100+$O1040)</f>
        <v/>
      </c>
      <c r="Q1040" s="114" t="str">
        <f aca="false">IF($L1040="Atrasado",$E1040*10000+$A1040,"")</f>
        <v/>
      </c>
    </row>
    <row r="1041" customFormat="false" ht="15" hidden="false" customHeight="false" outlineLevel="0" collapsed="false">
      <c r="A1041" s="114" t="n">
        <f aca="false">ROW()-4</f>
        <v>1037</v>
      </c>
      <c r="B1041" s="114" t="str">
        <f aca="false">IF(A1041&lt;=Config!$E$27*Config!$E$28,"Tema","Avulso")</f>
        <v>Tema</v>
      </c>
      <c r="C1041" s="114" t="n">
        <f aca="false">IF(B1041="Tema",INT((A1041-1)/Config!$E$28)+1,A1041-Config!$E$27*Config!$E$28)</f>
        <v>173</v>
      </c>
      <c r="D1041" s="114" t="n">
        <f aca="false">IF(B1041="Tema",MOD(A1041-1,Config!$E$28)+1,"")</f>
        <v>5</v>
      </c>
      <c r="E1041" s="115" t="str">
        <f aca="false">IF($B1041="Tema",IF(ISNUMBER(INDEX(Temas!$E$6:$P$305,$C1041,2*$D1041-1)),INDEX(Temas!$E$6:$P$305,$C1041,2*$D1041-1),""),IF(ISNUMBER(INDEX(Avulsos!$B$6:$B$205,$C1041)),INDEX(Avulsos!$B$6:$B$205,$C1041),""))</f>
        <v/>
      </c>
      <c r="F1041" s="114" t="str">
        <f aca="false">IF($E1041="","",IF($B1041="Tema",INDEX(Temas!$B$6:$B$305,$C1041)&amp;"",INDEX(Avulsos!$C$6:$C$205,$C1041)&amp;""))</f>
        <v/>
      </c>
      <c r="G1041" s="114" t="str">
        <f aca="false">IF($E1041="","",IF($B1041="Tema",INDEX(Config!$C$6:$C$11,$D1041),"Evento avulso"))</f>
        <v/>
      </c>
      <c r="H1041" s="114" t="str">
        <f aca="false">IF($E1041="","",IF($B1041="Tema",INDEX(Config!$D$6:$D$11,$D1041),IFERROR(INDEX(Config!$E$15:$E$19,MATCH($I1041,Config!$C$15:$C$19,0)),"•")))</f>
        <v/>
      </c>
      <c r="I1041" s="114" t="str">
        <f aca="false">IF($E1041="","",IF($B1041="Tema",INDEX(Config!$E$6:$E$11,$D1041),IF(INDEX(Avulsos!$D$6:$D$205,$C1041)&amp;""="","Outro",INDEX(Avulsos!$D$6:$D$205,$C1041))))</f>
        <v/>
      </c>
      <c r="J1041" s="114" t="str">
        <f aca="false">IF($E1041="","",IF($B1041="Tema",INDEX(Temas!$C$6:$C$305,$C1041)&amp;"",INDEX(Avulsos!$E$6:$E$205,$C1041)&amp;""))</f>
        <v/>
      </c>
      <c r="K1041" s="114" t="str">
        <f aca="false">IF($E1041="","",IF(IF($B1041="Tema",INDEX(Temas!$E$6:$P$305,$C1041,2*$D1041),INDEX(Avulsos!$F$6:$F$205,$C1041))&amp;""="","","✓"))</f>
        <v/>
      </c>
      <c r="L1041" s="114" t="str">
        <f aca="true">IF($E1041="","",IF($K1041="✓","Concluído",IF($E1041&lt;TODAY(),"Atrasado",IF($E1041=TODAY(),"Hoje","Pendente"))))</f>
        <v/>
      </c>
      <c r="M1041" s="114" t="str">
        <f aca="false">IF($E1041="","",IF($K1041="✓","✓ ","")&amp;IF(Config!$E$22="Sim",$H1041&amp;" · ","")&amp;$F1041)</f>
        <v/>
      </c>
      <c r="N1041" s="114" t="str">
        <f aca="false">IF($E1041="","",IFERROR(INDEX(Config!$D$15:$D$19,MATCH($I1041,Config!$C$15:$C$19,0)),"OUT")&amp;IF($K1041="✓","x",""))</f>
        <v/>
      </c>
      <c r="O1041" s="114" t="str">
        <f aca="false">IF($E1041="","",COUNTIF($E$5:$E1041,$E1041))</f>
        <v/>
      </c>
      <c r="P1041" s="114" t="str">
        <f aca="false">IF($E1041="","",$E1041*100+$O1041)</f>
        <v/>
      </c>
      <c r="Q1041" s="114" t="str">
        <f aca="false">IF($L1041="Atrasado",$E1041*10000+$A1041,"")</f>
        <v/>
      </c>
    </row>
    <row r="1042" customFormat="false" ht="15" hidden="false" customHeight="false" outlineLevel="0" collapsed="false">
      <c r="A1042" s="114" t="n">
        <f aca="false">ROW()-4</f>
        <v>1038</v>
      </c>
      <c r="B1042" s="114" t="str">
        <f aca="false">IF(A1042&lt;=Config!$E$27*Config!$E$28,"Tema","Avulso")</f>
        <v>Tema</v>
      </c>
      <c r="C1042" s="114" t="n">
        <f aca="false">IF(B1042="Tema",INT((A1042-1)/Config!$E$28)+1,A1042-Config!$E$27*Config!$E$28)</f>
        <v>173</v>
      </c>
      <c r="D1042" s="114" t="n">
        <f aca="false">IF(B1042="Tema",MOD(A1042-1,Config!$E$28)+1,"")</f>
        <v>6</v>
      </c>
      <c r="E1042" s="115" t="str">
        <f aca="false">IF($B1042="Tema",IF(ISNUMBER(INDEX(Temas!$E$6:$P$305,$C1042,2*$D1042-1)),INDEX(Temas!$E$6:$P$305,$C1042,2*$D1042-1),""),IF(ISNUMBER(INDEX(Avulsos!$B$6:$B$205,$C1042)),INDEX(Avulsos!$B$6:$B$205,$C1042),""))</f>
        <v/>
      </c>
      <c r="F1042" s="114" t="str">
        <f aca="false">IF($E1042="","",IF($B1042="Tema",INDEX(Temas!$B$6:$B$305,$C1042)&amp;"",INDEX(Avulsos!$C$6:$C$205,$C1042)&amp;""))</f>
        <v/>
      </c>
      <c r="G1042" s="114" t="str">
        <f aca="false">IF($E1042="","",IF($B1042="Tema",INDEX(Config!$C$6:$C$11,$D1042),"Evento avulso"))</f>
        <v/>
      </c>
      <c r="H1042" s="114" t="str">
        <f aca="false">IF($E1042="","",IF($B1042="Tema",INDEX(Config!$D$6:$D$11,$D1042),IFERROR(INDEX(Config!$E$15:$E$19,MATCH($I1042,Config!$C$15:$C$19,0)),"•")))</f>
        <v/>
      </c>
      <c r="I1042" s="114" t="str">
        <f aca="false">IF($E1042="","",IF($B1042="Tema",INDEX(Config!$E$6:$E$11,$D1042),IF(INDEX(Avulsos!$D$6:$D$205,$C1042)&amp;""="","Outro",INDEX(Avulsos!$D$6:$D$205,$C1042))))</f>
        <v/>
      </c>
      <c r="J1042" s="114" t="str">
        <f aca="false">IF($E1042="","",IF($B1042="Tema",INDEX(Temas!$C$6:$C$305,$C1042)&amp;"",INDEX(Avulsos!$E$6:$E$205,$C1042)&amp;""))</f>
        <v/>
      </c>
      <c r="K1042" s="114" t="str">
        <f aca="false">IF($E1042="","",IF(IF($B1042="Tema",INDEX(Temas!$E$6:$P$305,$C1042,2*$D1042),INDEX(Avulsos!$F$6:$F$205,$C1042))&amp;""="","","✓"))</f>
        <v/>
      </c>
      <c r="L1042" s="114" t="str">
        <f aca="true">IF($E1042="","",IF($K1042="✓","Concluído",IF($E1042&lt;TODAY(),"Atrasado",IF($E1042=TODAY(),"Hoje","Pendente"))))</f>
        <v/>
      </c>
      <c r="M1042" s="114" t="str">
        <f aca="false">IF($E1042="","",IF($K1042="✓","✓ ","")&amp;IF(Config!$E$22="Sim",$H1042&amp;" · ","")&amp;$F1042)</f>
        <v/>
      </c>
      <c r="N1042" s="114" t="str">
        <f aca="false">IF($E1042="","",IFERROR(INDEX(Config!$D$15:$D$19,MATCH($I1042,Config!$C$15:$C$19,0)),"OUT")&amp;IF($K1042="✓","x",""))</f>
        <v/>
      </c>
      <c r="O1042" s="114" t="str">
        <f aca="false">IF($E1042="","",COUNTIF($E$5:$E1042,$E1042))</f>
        <v/>
      </c>
      <c r="P1042" s="114" t="str">
        <f aca="false">IF($E1042="","",$E1042*100+$O1042)</f>
        <v/>
      </c>
      <c r="Q1042" s="114" t="str">
        <f aca="false">IF($L1042="Atrasado",$E1042*10000+$A1042,"")</f>
        <v/>
      </c>
    </row>
    <row r="1043" customFormat="false" ht="15" hidden="false" customHeight="false" outlineLevel="0" collapsed="false">
      <c r="A1043" s="114" t="n">
        <f aca="false">ROW()-4</f>
        <v>1039</v>
      </c>
      <c r="B1043" s="114" t="str">
        <f aca="false">IF(A1043&lt;=Config!$E$27*Config!$E$28,"Tema","Avulso")</f>
        <v>Tema</v>
      </c>
      <c r="C1043" s="114" t="n">
        <f aca="false">IF(B1043="Tema",INT((A1043-1)/Config!$E$28)+1,A1043-Config!$E$27*Config!$E$28)</f>
        <v>174</v>
      </c>
      <c r="D1043" s="114" t="n">
        <f aca="false">IF(B1043="Tema",MOD(A1043-1,Config!$E$28)+1,"")</f>
        <v>1</v>
      </c>
      <c r="E1043" s="115" t="str">
        <f aca="false">IF($B1043="Tema",IF(ISNUMBER(INDEX(Temas!$E$6:$P$305,$C1043,2*$D1043-1)),INDEX(Temas!$E$6:$P$305,$C1043,2*$D1043-1),""),IF(ISNUMBER(INDEX(Avulsos!$B$6:$B$205,$C1043)),INDEX(Avulsos!$B$6:$B$205,$C1043),""))</f>
        <v/>
      </c>
      <c r="F1043" s="114" t="str">
        <f aca="false">IF($E1043="","",IF($B1043="Tema",INDEX(Temas!$B$6:$B$305,$C1043)&amp;"",INDEX(Avulsos!$C$6:$C$205,$C1043)&amp;""))</f>
        <v/>
      </c>
      <c r="G1043" s="114" t="str">
        <f aca="false">IF($E1043="","",IF($B1043="Tema",INDEX(Config!$C$6:$C$11,$D1043),"Evento avulso"))</f>
        <v/>
      </c>
      <c r="H1043" s="114" t="str">
        <f aca="false">IF($E1043="","",IF($B1043="Tema",INDEX(Config!$D$6:$D$11,$D1043),IFERROR(INDEX(Config!$E$15:$E$19,MATCH($I1043,Config!$C$15:$C$19,0)),"•")))</f>
        <v/>
      </c>
      <c r="I1043" s="114" t="str">
        <f aca="false">IF($E1043="","",IF($B1043="Tema",INDEX(Config!$E$6:$E$11,$D1043),IF(INDEX(Avulsos!$D$6:$D$205,$C1043)&amp;""="","Outro",INDEX(Avulsos!$D$6:$D$205,$C1043))))</f>
        <v/>
      </c>
      <c r="J1043" s="114" t="str">
        <f aca="false">IF($E1043="","",IF($B1043="Tema",INDEX(Temas!$C$6:$C$305,$C1043)&amp;"",INDEX(Avulsos!$E$6:$E$205,$C1043)&amp;""))</f>
        <v/>
      </c>
      <c r="K1043" s="114" t="str">
        <f aca="false">IF($E1043="","",IF(IF($B1043="Tema",INDEX(Temas!$E$6:$P$305,$C1043,2*$D1043),INDEX(Avulsos!$F$6:$F$205,$C1043))&amp;""="","","✓"))</f>
        <v/>
      </c>
      <c r="L1043" s="114" t="str">
        <f aca="true">IF($E1043="","",IF($K1043="✓","Concluído",IF($E1043&lt;TODAY(),"Atrasado",IF($E1043=TODAY(),"Hoje","Pendente"))))</f>
        <v/>
      </c>
      <c r="M1043" s="114" t="str">
        <f aca="false">IF($E1043="","",IF($K1043="✓","✓ ","")&amp;IF(Config!$E$22="Sim",$H1043&amp;" · ","")&amp;$F1043)</f>
        <v/>
      </c>
      <c r="N1043" s="114" t="str">
        <f aca="false">IF($E1043="","",IFERROR(INDEX(Config!$D$15:$D$19,MATCH($I1043,Config!$C$15:$C$19,0)),"OUT")&amp;IF($K1043="✓","x",""))</f>
        <v/>
      </c>
      <c r="O1043" s="114" t="str">
        <f aca="false">IF($E1043="","",COUNTIF($E$5:$E1043,$E1043))</f>
        <v/>
      </c>
      <c r="P1043" s="114" t="str">
        <f aca="false">IF($E1043="","",$E1043*100+$O1043)</f>
        <v/>
      </c>
      <c r="Q1043" s="114" t="str">
        <f aca="false">IF($L1043="Atrasado",$E1043*10000+$A1043,"")</f>
        <v/>
      </c>
    </row>
    <row r="1044" customFormat="false" ht="15" hidden="false" customHeight="false" outlineLevel="0" collapsed="false">
      <c r="A1044" s="114" t="n">
        <f aca="false">ROW()-4</f>
        <v>1040</v>
      </c>
      <c r="B1044" s="114" t="str">
        <f aca="false">IF(A1044&lt;=Config!$E$27*Config!$E$28,"Tema","Avulso")</f>
        <v>Tema</v>
      </c>
      <c r="C1044" s="114" t="n">
        <f aca="false">IF(B1044="Tema",INT((A1044-1)/Config!$E$28)+1,A1044-Config!$E$27*Config!$E$28)</f>
        <v>174</v>
      </c>
      <c r="D1044" s="114" t="n">
        <f aca="false">IF(B1044="Tema",MOD(A1044-1,Config!$E$28)+1,"")</f>
        <v>2</v>
      </c>
      <c r="E1044" s="115" t="str">
        <f aca="false">IF($B1044="Tema",IF(ISNUMBER(INDEX(Temas!$E$6:$P$305,$C1044,2*$D1044-1)),INDEX(Temas!$E$6:$P$305,$C1044,2*$D1044-1),""),IF(ISNUMBER(INDEX(Avulsos!$B$6:$B$205,$C1044)),INDEX(Avulsos!$B$6:$B$205,$C1044),""))</f>
        <v/>
      </c>
      <c r="F1044" s="114" t="str">
        <f aca="false">IF($E1044="","",IF($B1044="Tema",INDEX(Temas!$B$6:$B$305,$C1044)&amp;"",INDEX(Avulsos!$C$6:$C$205,$C1044)&amp;""))</f>
        <v/>
      </c>
      <c r="G1044" s="114" t="str">
        <f aca="false">IF($E1044="","",IF($B1044="Tema",INDEX(Config!$C$6:$C$11,$D1044),"Evento avulso"))</f>
        <v/>
      </c>
      <c r="H1044" s="114" t="str">
        <f aca="false">IF($E1044="","",IF($B1044="Tema",INDEX(Config!$D$6:$D$11,$D1044),IFERROR(INDEX(Config!$E$15:$E$19,MATCH($I1044,Config!$C$15:$C$19,0)),"•")))</f>
        <v/>
      </c>
      <c r="I1044" s="114" t="str">
        <f aca="false">IF($E1044="","",IF($B1044="Tema",INDEX(Config!$E$6:$E$11,$D1044),IF(INDEX(Avulsos!$D$6:$D$205,$C1044)&amp;""="","Outro",INDEX(Avulsos!$D$6:$D$205,$C1044))))</f>
        <v/>
      </c>
      <c r="J1044" s="114" t="str">
        <f aca="false">IF($E1044="","",IF($B1044="Tema",INDEX(Temas!$C$6:$C$305,$C1044)&amp;"",INDEX(Avulsos!$E$6:$E$205,$C1044)&amp;""))</f>
        <v/>
      </c>
      <c r="K1044" s="114" t="str">
        <f aca="false">IF($E1044="","",IF(IF($B1044="Tema",INDEX(Temas!$E$6:$P$305,$C1044,2*$D1044),INDEX(Avulsos!$F$6:$F$205,$C1044))&amp;""="","","✓"))</f>
        <v/>
      </c>
      <c r="L1044" s="114" t="str">
        <f aca="true">IF($E1044="","",IF($K1044="✓","Concluído",IF($E1044&lt;TODAY(),"Atrasado",IF($E1044=TODAY(),"Hoje","Pendente"))))</f>
        <v/>
      </c>
      <c r="M1044" s="114" t="str">
        <f aca="false">IF($E1044="","",IF($K1044="✓","✓ ","")&amp;IF(Config!$E$22="Sim",$H1044&amp;" · ","")&amp;$F1044)</f>
        <v/>
      </c>
      <c r="N1044" s="114" t="str">
        <f aca="false">IF($E1044="","",IFERROR(INDEX(Config!$D$15:$D$19,MATCH($I1044,Config!$C$15:$C$19,0)),"OUT")&amp;IF($K1044="✓","x",""))</f>
        <v/>
      </c>
      <c r="O1044" s="114" t="str">
        <f aca="false">IF($E1044="","",COUNTIF($E$5:$E1044,$E1044))</f>
        <v/>
      </c>
      <c r="P1044" s="114" t="str">
        <f aca="false">IF($E1044="","",$E1044*100+$O1044)</f>
        <v/>
      </c>
      <c r="Q1044" s="114" t="str">
        <f aca="false">IF($L1044="Atrasado",$E1044*10000+$A1044,"")</f>
        <v/>
      </c>
    </row>
    <row r="1045" customFormat="false" ht="15" hidden="false" customHeight="false" outlineLevel="0" collapsed="false">
      <c r="A1045" s="114" t="n">
        <f aca="false">ROW()-4</f>
        <v>1041</v>
      </c>
      <c r="B1045" s="114" t="str">
        <f aca="false">IF(A1045&lt;=Config!$E$27*Config!$E$28,"Tema","Avulso")</f>
        <v>Tema</v>
      </c>
      <c r="C1045" s="114" t="n">
        <f aca="false">IF(B1045="Tema",INT((A1045-1)/Config!$E$28)+1,A1045-Config!$E$27*Config!$E$28)</f>
        <v>174</v>
      </c>
      <c r="D1045" s="114" t="n">
        <f aca="false">IF(B1045="Tema",MOD(A1045-1,Config!$E$28)+1,"")</f>
        <v>3</v>
      </c>
      <c r="E1045" s="115" t="str">
        <f aca="false">IF($B1045="Tema",IF(ISNUMBER(INDEX(Temas!$E$6:$P$305,$C1045,2*$D1045-1)),INDEX(Temas!$E$6:$P$305,$C1045,2*$D1045-1),""),IF(ISNUMBER(INDEX(Avulsos!$B$6:$B$205,$C1045)),INDEX(Avulsos!$B$6:$B$205,$C1045),""))</f>
        <v/>
      </c>
      <c r="F1045" s="114" t="str">
        <f aca="false">IF($E1045="","",IF($B1045="Tema",INDEX(Temas!$B$6:$B$305,$C1045)&amp;"",INDEX(Avulsos!$C$6:$C$205,$C1045)&amp;""))</f>
        <v/>
      </c>
      <c r="G1045" s="114" t="str">
        <f aca="false">IF($E1045="","",IF($B1045="Tema",INDEX(Config!$C$6:$C$11,$D1045),"Evento avulso"))</f>
        <v/>
      </c>
      <c r="H1045" s="114" t="str">
        <f aca="false">IF($E1045="","",IF($B1045="Tema",INDEX(Config!$D$6:$D$11,$D1045),IFERROR(INDEX(Config!$E$15:$E$19,MATCH($I1045,Config!$C$15:$C$19,0)),"•")))</f>
        <v/>
      </c>
      <c r="I1045" s="114" t="str">
        <f aca="false">IF($E1045="","",IF($B1045="Tema",INDEX(Config!$E$6:$E$11,$D1045),IF(INDEX(Avulsos!$D$6:$D$205,$C1045)&amp;""="","Outro",INDEX(Avulsos!$D$6:$D$205,$C1045))))</f>
        <v/>
      </c>
      <c r="J1045" s="114" t="str">
        <f aca="false">IF($E1045="","",IF($B1045="Tema",INDEX(Temas!$C$6:$C$305,$C1045)&amp;"",INDEX(Avulsos!$E$6:$E$205,$C1045)&amp;""))</f>
        <v/>
      </c>
      <c r="K1045" s="114" t="str">
        <f aca="false">IF($E1045="","",IF(IF($B1045="Tema",INDEX(Temas!$E$6:$P$305,$C1045,2*$D1045),INDEX(Avulsos!$F$6:$F$205,$C1045))&amp;""="","","✓"))</f>
        <v/>
      </c>
      <c r="L1045" s="114" t="str">
        <f aca="true">IF($E1045="","",IF($K1045="✓","Concluído",IF($E1045&lt;TODAY(),"Atrasado",IF($E1045=TODAY(),"Hoje","Pendente"))))</f>
        <v/>
      </c>
      <c r="M1045" s="114" t="str">
        <f aca="false">IF($E1045="","",IF($K1045="✓","✓ ","")&amp;IF(Config!$E$22="Sim",$H1045&amp;" · ","")&amp;$F1045)</f>
        <v/>
      </c>
      <c r="N1045" s="114" t="str">
        <f aca="false">IF($E1045="","",IFERROR(INDEX(Config!$D$15:$D$19,MATCH($I1045,Config!$C$15:$C$19,0)),"OUT")&amp;IF($K1045="✓","x",""))</f>
        <v/>
      </c>
      <c r="O1045" s="114" t="str">
        <f aca="false">IF($E1045="","",COUNTIF($E$5:$E1045,$E1045))</f>
        <v/>
      </c>
      <c r="P1045" s="114" t="str">
        <f aca="false">IF($E1045="","",$E1045*100+$O1045)</f>
        <v/>
      </c>
      <c r="Q1045" s="114" t="str">
        <f aca="false">IF($L1045="Atrasado",$E1045*10000+$A1045,"")</f>
        <v/>
      </c>
    </row>
    <row r="1046" customFormat="false" ht="15" hidden="false" customHeight="false" outlineLevel="0" collapsed="false">
      <c r="A1046" s="114" t="n">
        <f aca="false">ROW()-4</f>
        <v>1042</v>
      </c>
      <c r="B1046" s="114" t="str">
        <f aca="false">IF(A1046&lt;=Config!$E$27*Config!$E$28,"Tema","Avulso")</f>
        <v>Tema</v>
      </c>
      <c r="C1046" s="114" t="n">
        <f aca="false">IF(B1046="Tema",INT((A1046-1)/Config!$E$28)+1,A1046-Config!$E$27*Config!$E$28)</f>
        <v>174</v>
      </c>
      <c r="D1046" s="114" t="n">
        <f aca="false">IF(B1046="Tema",MOD(A1046-1,Config!$E$28)+1,"")</f>
        <v>4</v>
      </c>
      <c r="E1046" s="115" t="str">
        <f aca="false">IF($B1046="Tema",IF(ISNUMBER(INDEX(Temas!$E$6:$P$305,$C1046,2*$D1046-1)),INDEX(Temas!$E$6:$P$305,$C1046,2*$D1046-1),""),IF(ISNUMBER(INDEX(Avulsos!$B$6:$B$205,$C1046)),INDEX(Avulsos!$B$6:$B$205,$C1046),""))</f>
        <v/>
      </c>
      <c r="F1046" s="114" t="str">
        <f aca="false">IF($E1046="","",IF($B1046="Tema",INDEX(Temas!$B$6:$B$305,$C1046)&amp;"",INDEX(Avulsos!$C$6:$C$205,$C1046)&amp;""))</f>
        <v/>
      </c>
      <c r="G1046" s="114" t="str">
        <f aca="false">IF($E1046="","",IF($B1046="Tema",INDEX(Config!$C$6:$C$11,$D1046),"Evento avulso"))</f>
        <v/>
      </c>
      <c r="H1046" s="114" t="str">
        <f aca="false">IF($E1046="","",IF($B1046="Tema",INDEX(Config!$D$6:$D$11,$D1046),IFERROR(INDEX(Config!$E$15:$E$19,MATCH($I1046,Config!$C$15:$C$19,0)),"•")))</f>
        <v/>
      </c>
      <c r="I1046" s="114" t="str">
        <f aca="false">IF($E1046="","",IF($B1046="Tema",INDEX(Config!$E$6:$E$11,$D1046),IF(INDEX(Avulsos!$D$6:$D$205,$C1046)&amp;""="","Outro",INDEX(Avulsos!$D$6:$D$205,$C1046))))</f>
        <v/>
      </c>
      <c r="J1046" s="114" t="str">
        <f aca="false">IF($E1046="","",IF($B1046="Tema",INDEX(Temas!$C$6:$C$305,$C1046)&amp;"",INDEX(Avulsos!$E$6:$E$205,$C1046)&amp;""))</f>
        <v/>
      </c>
      <c r="K1046" s="114" t="str">
        <f aca="false">IF($E1046="","",IF(IF($B1046="Tema",INDEX(Temas!$E$6:$P$305,$C1046,2*$D1046),INDEX(Avulsos!$F$6:$F$205,$C1046))&amp;""="","","✓"))</f>
        <v/>
      </c>
      <c r="L1046" s="114" t="str">
        <f aca="true">IF($E1046="","",IF($K1046="✓","Concluído",IF($E1046&lt;TODAY(),"Atrasado",IF($E1046=TODAY(),"Hoje","Pendente"))))</f>
        <v/>
      </c>
      <c r="M1046" s="114" t="str">
        <f aca="false">IF($E1046="","",IF($K1046="✓","✓ ","")&amp;IF(Config!$E$22="Sim",$H1046&amp;" · ","")&amp;$F1046)</f>
        <v/>
      </c>
      <c r="N1046" s="114" t="str">
        <f aca="false">IF($E1046="","",IFERROR(INDEX(Config!$D$15:$D$19,MATCH($I1046,Config!$C$15:$C$19,0)),"OUT")&amp;IF($K1046="✓","x",""))</f>
        <v/>
      </c>
      <c r="O1046" s="114" t="str">
        <f aca="false">IF($E1046="","",COUNTIF($E$5:$E1046,$E1046))</f>
        <v/>
      </c>
      <c r="P1046" s="114" t="str">
        <f aca="false">IF($E1046="","",$E1046*100+$O1046)</f>
        <v/>
      </c>
      <c r="Q1046" s="114" t="str">
        <f aca="false">IF($L1046="Atrasado",$E1046*10000+$A1046,"")</f>
        <v/>
      </c>
    </row>
    <row r="1047" customFormat="false" ht="15" hidden="false" customHeight="false" outlineLevel="0" collapsed="false">
      <c r="A1047" s="114" t="n">
        <f aca="false">ROW()-4</f>
        <v>1043</v>
      </c>
      <c r="B1047" s="114" t="str">
        <f aca="false">IF(A1047&lt;=Config!$E$27*Config!$E$28,"Tema","Avulso")</f>
        <v>Tema</v>
      </c>
      <c r="C1047" s="114" t="n">
        <f aca="false">IF(B1047="Tema",INT((A1047-1)/Config!$E$28)+1,A1047-Config!$E$27*Config!$E$28)</f>
        <v>174</v>
      </c>
      <c r="D1047" s="114" t="n">
        <f aca="false">IF(B1047="Tema",MOD(A1047-1,Config!$E$28)+1,"")</f>
        <v>5</v>
      </c>
      <c r="E1047" s="115" t="str">
        <f aca="false">IF($B1047="Tema",IF(ISNUMBER(INDEX(Temas!$E$6:$P$305,$C1047,2*$D1047-1)),INDEX(Temas!$E$6:$P$305,$C1047,2*$D1047-1),""),IF(ISNUMBER(INDEX(Avulsos!$B$6:$B$205,$C1047)),INDEX(Avulsos!$B$6:$B$205,$C1047),""))</f>
        <v/>
      </c>
      <c r="F1047" s="114" t="str">
        <f aca="false">IF($E1047="","",IF($B1047="Tema",INDEX(Temas!$B$6:$B$305,$C1047)&amp;"",INDEX(Avulsos!$C$6:$C$205,$C1047)&amp;""))</f>
        <v/>
      </c>
      <c r="G1047" s="114" t="str">
        <f aca="false">IF($E1047="","",IF($B1047="Tema",INDEX(Config!$C$6:$C$11,$D1047),"Evento avulso"))</f>
        <v/>
      </c>
      <c r="H1047" s="114" t="str">
        <f aca="false">IF($E1047="","",IF($B1047="Tema",INDEX(Config!$D$6:$D$11,$D1047),IFERROR(INDEX(Config!$E$15:$E$19,MATCH($I1047,Config!$C$15:$C$19,0)),"•")))</f>
        <v/>
      </c>
      <c r="I1047" s="114" t="str">
        <f aca="false">IF($E1047="","",IF($B1047="Tema",INDEX(Config!$E$6:$E$11,$D1047),IF(INDEX(Avulsos!$D$6:$D$205,$C1047)&amp;""="","Outro",INDEX(Avulsos!$D$6:$D$205,$C1047))))</f>
        <v/>
      </c>
      <c r="J1047" s="114" t="str">
        <f aca="false">IF($E1047="","",IF($B1047="Tema",INDEX(Temas!$C$6:$C$305,$C1047)&amp;"",INDEX(Avulsos!$E$6:$E$205,$C1047)&amp;""))</f>
        <v/>
      </c>
      <c r="K1047" s="114" t="str">
        <f aca="false">IF($E1047="","",IF(IF($B1047="Tema",INDEX(Temas!$E$6:$P$305,$C1047,2*$D1047),INDEX(Avulsos!$F$6:$F$205,$C1047))&amp;""="","","✓"))</f>
        <v/>
      </c>
      <c r="L1047" s="114" t="str">
        <f aca="true">IF($E1047="","",IF($K1047="✓","Concluído",IF($E1047&lt;TODAY(),"Atrasado",IF($E1047=TODAY(),"Hoje","Pendente"))))</f>
        <v/>
      </c>
      <c r="M1047" s="114" t="str">
        <f aca="false">IF($E1047="","",IF($K1047="✓","✓ ","")&amp;IF(Config!$E$22="Sim",$H1047&amp;" · ","")&amp;$F1047)</f>
        <v/>
      </c>
      <c r="N1047" s="114" t="str">
        <f aca="false">IF($E1047="","",IFERROR(INDEX(Config!$D$15:$D$19,MATCH($I1047,Config!$C$15:$C$19,0)),"OUT")&amp;IF($K1047="✓","x",""))</f>
        <v/>
      </c>
      <c r="O1047" s="114" t="str">
        <f aca="false">IF($E1047="","",COUNTIF($E$5:$E1047,$E1047))</f>
        <v/>
      </c>
      <c r="P1047" s="114" t="str">
        <f aca="false">IF($E1047="","",$E1047*100+$O1047)</f>
        <v/>
      </c>
      <c r="Q1047" s="114" t="str">
        <f aca="false">IF($L1047="Atrasado",$E1047*10000+$A1047,"")</f>
        <v/>
      </c>
    </row>
    <row r="1048" customFormat="false" ht="15" hidden="false" customHeight="false" outlineLevel="0" collapsed="false">
      <c r="A1048" s="114" t="n">
        <f aca="false">ROW()-4</f>
        <v>1044</v>
      </c>
      <c r="B1048" s="114" t="str">
        <f aca="false">IF(A1048&lt;=Config!$E$27*Config!$E$28,"Tema","Avulso")</f>
        <v>Tema</v>
      </c>
      <c r="C1048" s="114" t="n">
        <f aca="false">IF(B1048="Tema",INT((A1048-1)/Config!$E$28)+1,A1048-Config!$E$27*Config!$E$28)</f>
        <v>174</v>
      </c>
      <c r="D1048" s="114" t="n">
        <f aca="false">IF(B1048="Tema",MOD(A1048-1,Config!$E$28)+1,"")</f>
        <v>6</v>
      </c>
      <c r="E1048" s="115" t="str">
        <f aca="false">IF($B1048="Tema",IF(ISNUMBER(INDEX(Temas!$E$6:$P$305,$C1048,2*$D1048-1)),INDEX(Temas!$E$6:$P$305,$C1048,2*$D1048-1),""),IF(ISNUMBER(INDEX(Avulsos!$B$6:$B$205,$C1048)),INDEX(Avulsos!$B$6:$B$205,$C1048),""))</f>
        <v/>
      </c>
      <c r="F1048" s="114" t="str">
        <f aca="false">IF($E1048="","",IF($B1048="Tema",INDEX(Temas!$B$6:$B$305,$C1048)&amp;"",INDEX(Avulsos!$C$6:$C$205,$C1048)&amp;""))</f>
        <v/>
      </c>
      <c r="G1048" s="114" t="str">
        <f aca="false">IF($E1048="","",IF($B1048="Tema",INDEX(Config!$C$6:$C$11,$D1048),"Evento avulso"))</f>
        <v/>
      </c>
      <c r="H1048" s="114" t="str">
        <f aca="false">IF($E1048="","",IF($B1048="Tema",INDEX(Config!$D$6:$D$11,$D1048),IFERROR(INDEX(Config!$E$15:$E$19,MATCH($I1048,Config!$C$15:$C$19,0)),"•")))</f>
        <v/>
      </c>
      <c r="I1048" s="114" t="str">
        <f aca="false">IF($E1048="","",IF($B1048="Tema",INDEX(Config!$E$6:$E$11,$D1048),IF(INDEX(Avulsos!$D$6:$D$205,$C1048)&amp;""="","Outro",INDEX(Avulsos!$D$6:$D$205,$C1048))))</f>
        <v/>
      </c>
      <c r="J1048" s="114" t="str">
        <f aca="false">IF($E1048="","",IF($B1048="Tema",INDEX(Temas!$C$6:$C$305,$C1048)&amp;"",INDEX(Avulsos!$E$6:$E$205,$C1048)&amp;""))</f>
        <v/>
      </c>
      <c r="K1048" s="114" t="str">
        <f aca="false">IF($E1048="","",IF(IF($B1048="Tema",INDEX(Temas!$E$6:$P$305,$C1048,2*$D1048),INDEX(Avulsos!$F$6:$F$205,$C1048))&amp;""="","","✓"))</f>
        <v/>
      </c>
      <c r="L1048" s="114" t="str">
        <f aca="true">IF($E1048="","",IF($K1048="✓","Concluído",IF($E1048&lt;TODAY(),"Atrasado",IF($E1048=TODAY(),"Hoje","Pendente"))))</f>
        <v/>
      </c>
      <c r="M1048" s="114" t="str">
        <f aca="false">IF($E1048="","",IF($K1048="✓","✓ ","")&amp;IF(Config!$E$22="Sim",$H1048&amp;" · ","")&amp;$F1048)</f>
        <v/>
      </c>
      <c r="N1048" s="114" t="str">
        <f aca="false">IF($E1048="","",IFERROR(INDEX(Config!$D$15:$D$19,MATCH($I1048,Config!$C$15:$C$19,0)),"OUT")&amp;IF($K1048="✓","x",""))</f>
        <v/>
      </c>
      <c r="O1048" s="114" t="str">
        <f aca="false">IF($E1048="","",COUNTIF($E$5:$E1048,$E1048))</f>
        <v/>
      </c>
      <c r="P1048" s="114" t="str">
        <f aca="false">IF($E1048="","",$E1048*100+$O1048)</f>
        <v/>
      </c>
      <c r="Q1048" s="114" t="str">
        <f aca="false">IF($L1048="Atrasado",$E1048*10000+$A1048,"")</f>
        <v/>
      </c>
    </row>
    <row r="1049" customFormat="false" ht="15" hidden="false" customHeight="false" outlineLevel="0" collapsed="false">
      <c r="A1049" s="114" t="n">
        <f aca="false">ROW()-4</f>
        <v>1045</v>
      </c>
      <c r="B1049" s="114" t="str">
        <f aca="false">IF(A1049&lt;=Config!$E$27*Config!$E$28,"Tema","Avulso")</f>
        <v>Tema</v>
      </c>
      <c r="C1049" s="114" t="n">
        <f aca="false">IF(B1049="Tema",INT((A1049-1)/Config!$E$28)+1,A1049-Config!$E$27*Config!$E$28)</f>
        <v>175</v>
      </c>
      <c r="D1049" s="114" t="n">
        <f aca="false">IF(B1049="Tema",MOD(A1049-1,Config!$E$28)+1,"")</f>
        <v>1</v>
      </c>
      <c r="E1049" s="115" t="str">
        <f aca="false">IF($B1049="Tema",IF(ISNUMBER(INDEX(Temas!$E$6:$P$305,$C1049,2*$D1049-1)),INDEX(Temas!$E$6:$P$305,$C1049,2*$D1049-1),""),IF(ISNUMBER(INDEX(Avulsos!$B$6:$B$205,$C1049)),INDEX(Avulsos!$B$6:$B$205,$C1049),""))</f>
        <v/>
      </c>
      <c r="F1049" s="114" t="str">
        <f aca="false">IF($E1049="","",IF($B1049="Tema",INDEX(Temas!$B$6:$B$305,$C1049)&amp;"",INDEX(Avulsos!$C$6:$C$205,$C1049)&amp;""))</f>
        <v/>
      </c>
      <c r="G1049" s="114" t="str">
        <f aca="false">IF($E1049="","",IF($B1049="Tema",INDEX(Config!$C$6:$C$11,$D1049),"Evento avulso"))</f>
        <v/>
      </c>
      <c r="H1049" s="114" t="str">
        <f aca="false">IF($E1049="","",IF($B1049="Tema",INDEX(Config!$D$6:$D$11,$D1049),IFERROR(INDEX(Config!$E$15:$E$19,MATCH($I1049,Config!$C$15:$C$19,0)),"•")))</f>
        <v/>
      </c>
      <c r="I1049" s="114" t="str">
        <f aca="false">IF($E1049="","",IF($B1049="Tema",INDEX(Config!$E$6:$E$11,$D1049),IF(INDEX(Avulsos!$D$6:$D$205,$C1049)&amp;""="","Outro",INDEX(Avulsos!$D$6:$D$205,$C1049))))</f>
        <v/>
      </c>
      <c r="J1049" s="114" t="str">
        <f aca="false">IF($E1049="","",IF($B1049="Tema",INDEX(Temas!$C$6:$C$305,$C1049)&amp;"",INDEX(Avulsos!$E$6:$E$205,$C1049)&amp;""))</f>
        <v/>
      </c>
      <c r="K1049" s="114" t="str">
        <f aca="false">IF($E1049="","",IF(IF($B1049="Tema",INDEX(Temas!$E$6:$P$305,$C1049,2*$D1049),INDEX(Avulsos!$F$6:$F$205,$C1049))&amp;""="","","✓"))</f>
        <v/>
      </c>
      <c r="L1049" s="114" t="str">
        <f aca="true">IF($E1049="","",IF($K1049="✓","Concluído",IF($E1049&lt;TODAY(),"Atrasado",IF($E1049=TODAY(),"Hoje","Pendente"))))</f>
        <v/>
      </c>
      <c r="M1049" s="114" t="str">
        <f aca="false">IF($E1049="","",IF($K1049="✓","✓ ","")&amp;IF(Config!$E$22="Sim",$H1049&amp;" · ","")&amp;$F1049)</f>
        <v/>
      </c>
      <c r="N1049" s="114" t="str">
        <f aca="false">IF($E1049="","",IFERROR(INDEX(Config!$D$15:$D$19,MATCH($I1049,Config!$C$15:$C$19,0)),"OUT")&amp;IF($K1049="✓","x",""))</f>
        <v/>
      </c>
      <c r="O1049" s="114" t="str">
        <f aca="false">IF($E1049="","",COUNTIF($E$5:$E1049,$E1049))</f>
        <v/>
      </c>
      <c r="P1049" s="114" t="str">
        <f aca="false">IF($E1049="","",$E1049*100+$O1049)</f>
        <v/>
      </c>
      <c r="Q1049" s="114" t="str">
        <f aca="false">IF($L1049="Atrasado",$E1049*10000+$A1049,"")</f>
        <v/>
      </c>
    </row>
    <row r="1050" customFormat="false" ht="15" hidden="false" customHeight="false" outlineLevel="0" collapsed="false">
      <c r="A1050" s="114" t="n">
        <f aca="false">ROW()-4</f>
        <v>1046</v>
      </c>
      <c r="B1050" s="114" t="str">
        <f aca="false">IF(A1050&lt;=Config!$E$27*Config!$E$28,"Tema","Avulso")</f>
        <v>Tema</v>
      </c>
      <c r="C1050" s="114" t="n">
        <f aca="false">IF(B1050="Tema",INT((A1050-1)/Config!$E$28)+1,A1050-Config!$E$27*Config!$E$28)</f>
        <v>175</v>
      </c>
      <c r="D1050" s="114" t="n">
        <f aca="false">IF(B1050="Tema",MOD(A1050-1,Config!$E$28)+1,"")</f>
        <v>2</v>
      </c>
      <c r="E1050" s="115" t="str">
        <f aca="false">IF($B1050="Tema",IF(ISNUMBER(INDEX(Temas!$E$6:$P$305,$C1050,2*$D1050-1)),INDEX(Temas!$E$6:$P$305,$C1050,2*$D1050-1),""),IF(ISNUMBER(INDEX(Avulsos!$B$6:$B$205,$C1050)),INDEX(Avulsos!$B$6:$B$205,$C1050),""))</f>
        <v/>
      </c>
      <c r="F1050" s="114" t="str">
        <f aca="false">IF($E1050="","",IF($B1050="Tema",INDEX(Temas!$B$6:$B$305,$C1050)&amp;"",INDEX(Avulsos!$C$6:$C$205,$C1050)&amp;""))</f>
        <v/>
      </c>
      <c r="G1050" s="114" t="str">
        <f aca="false">IF($E1050="","",IF($B1050="Tema",INDEX(Config!$C$6:$C$11,$D1050),"Evento avulso"))</f>
        <v/>
      </c>
      <c r="H1050" s="114" t="str">
        <f aca="false">IF($E1050="","",IF($B1050="Tema",INDEX(Config!$D$6:$D$11,$D1050),IFERROR(INDEX(Config!$E$15:$E$19,MATCH($I1050,Config!$C$15:$C$19,0)),"•")))</f>
        <v/>
      </c>
      <c r="I1050" s="114" t="str">
        <f aca="false">IF($E1050="","",IF($B1050="Tema",INDEX(Config!$E$6:$E$11,$D1050),IF(INDEX(Avulsos!$D$6:$D$205,$C1050)&amp;""="","Outro",INDEX(Avulsos!$D$6:$D$205,$C1050))))</f>
        <v/>
      </c>
      <c r="J1050" s="114" t="str">
        <f aca="false">IF($E1050="","",IF($B1050="Tema",INDEX(Temas!$C$6:$C$305,$C1050)&amp;"",INDEX(Avulsos!$E$6:$E$205,$C1050)&amp;""))</f>
        <v/>
      </c>
      <c r="K1050" s="114" t="str">
        <f aca="false">IF($E1050="","",IF(IF($B1050="Tema",INDEX(Temas!$E$6:$P$305,$C1050,2*$D1050),INDEX(Avulsos!$F$6:$F$205,$C1050))&amp;""="","","✓"))</f>
        <v/>
      </c>
      <c r="L1050" s="114" t="str">
        <f aca="true">IF($E1050="","",IF($K1050="✓","Concluído",IF($E1050&lt;TODAY(),"Atrasado",IF($E1050=TODAY(),"Hoje","Pendente"))))</f>
        <v/>
      </c>
      <c r="M1050" s="114" t="str">
        <f aca="false">IF($E1050="","",IF($K1050="✓","✓ ","")&amp;IF(Config!$E$22="Sim",$H1050&amp;" · ","")&amp;$F1050)</f>
        <v/>
      </c>
      <c r="N1050" s="114" t="str">
        <f aca="false">IF($E1050="","",IFERROR(INDEX(Config!$D$15:$D$19,MATCH($I1050,Config!$C$15:$C$19,0)),"OUT")&amp;IF($K1050="✓","x",""))</f>
        <v/>
      </c>
      <c r="O1050" s="114" t="str">
        <f aca="false">IF($E1050="","",COUNTIF($E$5:$E1050,$E1050))</f>
        <v/>
      </c>
      <c r="P1050" s="114" t="str">
        <f aca="false">IF($E1050="","",$E1050*100+$O1050)</f>
        <v/>
      </c>
      <c r="Q1050" s="114" t="str">
        <f aca="false">IF($L1050="Atrasado",$E1050*10000+$A1050,"")</f>
        <v/>
      </c>
    </row>
    <row r="1051" customFormat="false" ht="15" hidden="false" customHeight="false" outlineLevel="0" collapsed="false">
      <c r="A1051" s="114" t="n">
        <f aca="false">ROW()-4</f>
        <v>1047</v>
      </c>
      <c r="B1051" s="114" t="str">
        <f aca="false">IF(A1051&lt;=Config!$E$27*Config!$E$28,"Tema","Avulso")</f>
        <v>Tema</v>
      </c>
      <c r="C1051" s="114" t="n">
        <f aca="false">IF(B1051="Tema",INT((A1051-1)/Config!$E$28)+1,A1051-Config!$E$27*Config!$E$28)</f>
        <v>175</v>
      </c>
      <c r="D1051" s="114" t="n">
        <f aca="false">IF(B1051="Tema",MOD(A1051-1,Config!$E$28)+1,"")</f>
        <v>3</v>
      </c>
      <c r="E1051" s="115" t="str">
        <f aca="false">IF($B1051="Tema",IF(ISNUMBER(INDEX(Temas!$E$6:$P$305,$C1051,2*$D1051-1)),INDEX(Temas!$E$6:$P$305,$C1051,2*$D1051-1),""),IF(ISNUMBER(INDEX(Avulsos!$B$6:$B$205,$C1051)),INDEX(Avulsos!$B$6:$B$205,$C1051),""))</f>
        <v/>
      </c>
      <c r="F1051" s="114" t="str">
        <f aca="false">IF($E1051="","",IF($B1051="Tema",INDEX(Temas!$B$6:$B$305,$C1051)&amp;"",INDEX(Avulsos!$C$6:$C$205,$C1051)&amp;""))</f>
        <v/>
      </c>
      <c r="G1051" s="114" t="str">
        <f aca="false">IF($E1051="","",IF($B1051="Tema",INDEX(Config!$C$6:$C$11,$D1051),"Evento avulso"))</f>
        <v/>
      </c>
      <c r="H1051" s="114" t="str">
        <f aca="false">IF($E1051="","",IF($B1051="Tema",INDEX(Config!$D$6:$D$11,$D1051),IFERROR(INDEX(Config!$E$15:$E$19,MATCH($I1051,Config!$C$15:$C$19,0)),"•")))</f>
        <v/>
      </c>
      <c r="I1051" s="114" t="str">
        <f aca="false">IF($E1051="","",IF($B1051="Tema",INDEX(Config!$E$6:$E$11,$D1051),IF(INDEX(Avulsos!$D$6:$D$205,$C1051)&amp;""="","Outro",INDEX(Avulsos!$D$6:$D$205,$C1051))))</f>
        <v/>
      </c>
      <c r="J1051" s="114" t="str">
        <f aca="false">IF($E1051="","",IF($B1051="Tema",INDEX(Temas!$C$6:$C$305,$C1051)&amp;"",INDEX(Avulsos!$E$6:$E$205,$C1051)&amp;""))</f>
        <v/>
      </c>
      <c r="K1051" s="114" t="str">
        <f aca="false">IF($E1051="","",IF(IF($B1051="Tema",INDEX(Temas!$E$6:$P$305,$C1051,2*$D1051),INDEX(Avulsos!$F$6:$F$205,$C1051))&amp;""="","","✓"))</f>
        <v/>
      </c>
      <c r="L1051" s="114" t="str">
        <f aca="true">IF($E1051="","",IF($K1051="✓","Concluído",IF($E1051&lt;TODAY(),"Atrasado",IF($E1051=TODAY(),"Hoje","Pendente"))))</f>
        <v/>
      </c>
      <c r="M1051" s="114" t="str">
        <f aca="false">IF($E1051="","",IF($K1051="✓","✓ ","")&amp;IF(Config!$E$22="Sim",$H1051&amp;" · ","")&amp;$F1051)</f>
        <v/>
      </c>
      <c r="N1051" s="114" t="str">
        <f aca="false">IF($E1051="","",IFERROR(INDEX(Config!$D$15:$D$19,MATCH($I1051,Config!$C$15:$C$19,0)),"OUT")&amp;IF($K1051="✓","x",""))</f>
        <v/>
      </c>
      <c r="O1051" s="114" t="str">
        <f aca="false">IF($E1051="","",COUNTIF($E$5:$E1051,$E1051))</f>
        <v/>
      </c>
      <c r="P1051" s="114" t="str">
        <f aca="false">IF($E1051="","",$E1051*100+$O1051)</f>
        <v/>
      </c>
      <c r="Q1051" s="114" t="str">
        <f aca="false">IF($L1051="Atrasado",$E1051*10000+$A1051,"")</f>
        <v/>
      </c>
    </row>
    <row r="1052" customFormat="false" ht="15" hidden="false" customHeight="false" outlineLevel="0" collapsed="false">
      <c r="A1052" s="114" t="n">
        <f aca="false">ROW()-4</f>
        <v>1048</v>
      </c>
      <c r="B1052" s="114" t="str">
        <f aca="false">IF(A1052&lt;=Config!$E$27*Config!$E$28,"Tema","Avulso")</f>
        <v>Tema</v>
      </c>
      <c r="C1052" s="114" t="n">
        <f aca="false">IF(B1052="Tema",INT((A1052-1)/Config!$E$28)+1,A1052-Config!$E$27*Config!$E$28)</f>
        <v>175</v>
      </c>
      <c r="D1052" s="114" t="n">
        <f aca="false">IF(B1052="Tema",MOD(A1052-1,Config!$E$28)+1,"")</f>
        <v>4</v>
      </c>
      <c r="E1052" s="115" t="str">
        <f aca="false">IF($B1052="Tema",IF(ISNUMBER(INDEX(Temas!$E$6:$P$305,$C1052,2*$D1052-1)),INDEX(Temas!$E$6:$P$305,$C1052,2*$D1052-1),""),IF(ISNUMBER(INDEX(Avulsos!$B$6:$B$205,$C1052)),INDEX(Avulsos!$B$6:$B$205,$C1052),""))</f>
        <v/>
      </c>
      <c r="F1052" s="114" t="str">
        <f aca="false">IF($E1052="","",IF($B1052="Tema",INDEX(Temas!$B$6:$B$305,$C1052)&amp;"",INDEX(Avulsos!$C$6:$C$205,$C1052)&amp;""))</f>
        <v/>
      </c>
      <c r="G1052" s="114" t="str">
        <f aca="false">IF($E1052="","",IF($B1052="Tema",INDEX(Config!$C$6:$C$11,$D1052),"Evento avulso"))</f>
        <v/>
      </c>
      <c r="H1052" s="114" t="str">
        <f aca="false">IF($E1052="","",IF($B1052="Tema",INDEX(Config!$D$6:$D$11,$D1052),IFERROR(INDEX(Config!$E$15:$E$19,MATCH($I1052,Config!$C$15:$C$19,0)),"•")))</f>
        <v/>
      </c>
      <c r="I1052" s="114" t="str">
        <f aca="false">IF($E1052="","",IF($B1052="Tema",INDEX(Config!$E$6:$E$11,$D1052),IF(INDEX(Avulsos!$D$6:$D$205,$C1052)&amp;""="","Outro",INDEX(Avulsos!$D$6:$D$205,$C1052))))</f>
        <v/>
      </c>
      <c r="J1052" s="114" t="str">
        <f aca="false">IF($E1052="","",IF($B1052="Tema",INDEX(Temas!$C$6:$C$305,$C1052)&amp;"",INDEX(Avulsos!$E$6:$E$205,$C1052)&amp;""))</f>
        <v/>
      </c>
      <c r="K1052" s="114" t="str">
        <f aca="false">IF($E1052="","",IF(IF($B1052="Tema",INDEX(Temas!$E$6:$P$305,$C1052,2*$D1052),INDEX(Avulsos!$F$6:$F$205,$C1052))&amp;""="","","✓"))</f>
        <v/>
      </c>
      <c r="L1052" s="114" t="str">
        <f aca="true">IF($E1052="","",IF($K1052="✓","Concluído",IF($E1052&lt;TODAY(),"Atrasado",IF($E1052=TODAY(),"Hoje","Pendente"))))</f>
        <v/>
      </c>
      <c r="M1052" s="114" t="str">
        <f aca="false">IF($E1052="","",IF($K1052="✓","✓ ","")&amp;IF(Config!$E$22="Sim",$H1052&amp;" · ","")&amp;$F1052)</f>
        <v/>
      </c>
      <c r="N1052" s="114" t="str">
        <f aca="false">IF($E1052="","",IFERROR(INDEX(Config!$D$15:$D$19,MATCH($I1052,Config!$C$15:$C$19,0)),"OUT")&amp;IF($K1052="✓","x",""))</f>
        <v/>
      </c>
      <c r="O1052" s="114" t="str">
        <f aca="false">IF($E1052="","",COUNTIF($E$5:$E1052,$E1052))</f>
        <v/>
      </c>
      <c r="P1052" s="114" t="str">
        <f aca="false">IF($E1052="","",$E1052*100+$O1052)</f>
        <v/>
      </c>
      <c r="Q1052" s="114" t="str">
        <f aca="false">IF($L1052="Atrasado",$E1052*10000+$A1052,"")</f>
        <v/>
      </c>
    </row>
    <row r="1053" customFormat="false" ht="15" hidden="false" customHeight="false" outlineLevel="0" collapsed="false">
      <c r="A1053" s="114" t="n">
        <f aca="false">ROW()-4</f>
        <v>1049</v>
      </c>
      <c r="B1053" s="114" t="str">
        <f aca="false">IF(A1053&lt;=Config!$E$27*Config!$E$28,"Tema","Avulso")</f>
        <v>Tema</v>
      </c>
      <c r="C1053" s="114" t="n">
        <f aca="false">IF(B1053="Tema",INT((A1053-1)/Config!$E$28)+1,A1053-Config!$E$27*Config!$E$28)</f>
        <v>175</v>
      </c>
      <c r="D1053" s="114" t="n">
        <f aca="false">IF(B1053="Tema",MOD(A1053-1,Config!$E$28)+1,"")</f>
        <v>5</v>
      </c>
      <c r="E1053" s="115" t="str">
        <f aca="false">IF($B1053="Tema",IF(ISNUMBER(INDEX(Temas!$E$6:$P$305,$C1053,2*$D1053-1)),INDEX(Temas!$E$6:$P$305,$C1053,2*$D1053-1),""),IF(ISNUMBER(INDEX(Avulsos!$B$6:$B$205,$C1053)),INDEX(Avulsos!$B$6:$B$205,$C1053),""))</f>
        <v/>
      </c>
      <c r="F1053" s="114" t="str">
        <f aca="false">IF($E1053="","",IF($B1053="Tema",INDEX(Temas!$B$6:$B$305,$C1053)&amp;"",INDEX(Avulsos!$C$6:$C$205,$C1053)&amp;""))</f>
        <v/>
      </c>
      <c r="G1053" s="114" t="str">
        <f aca="false">IF($E1053="","",IF($B1053="Tema",INDEX(Config!$C$6:$C$11,$D1053),"Evento avulso"))</f>
        <v/>
      </c>
      <c r="H1053" s="114" t="str">
        <f aca="false">IF($E1053="","",IF($B1053="Tema",INDEX(Config!$D$6:$D$11,$D1053),IFERROR(INDEX(Config!$E$15:$E$19,MATCH($I1053,Config!$C$15:$C$19,0)),"•")))</f>
        <v/>
      </c>
      <c r="I1053" s="114" t="str">
        <f aca="false">IF($E1053="","",IF($B1053="Tema",INDEX(Config!$E$6:$E$11,$D1053),IF(INDEX(Avulsos!$D$6:$D$205,$C1053)&amp;""="","Outro",INDEX(Avulsos!$D$6:$D$205,$C1053))))</f>
        <v/>
      </c>
      <c r="J1053" s="114" t="str">
        <f aca="false">IF($E1053="","",IF($B1053="Tema",INDEX(Temas!$C$6:$C$305,$C1053)&amp;"",INDEX(Avulsos!$E$6:$E$205,$C1053)&amp;""))</f>
        <v/>
      </c>
      <c r="K1053" s="114" t="str">
        <f aca="false">IF($E1053="","",IF(IF($B1053="Tema",INDEX(Temas!$E$6:$P$305,$C1053,2*$D1053),INDEX(Avulsos!$F$6:$F$205,$C1053))&amp;""="","","✓"))</f>
        <v/>
      </c>
      <c r="L1053" s="114" t="str">
        <f aca="true">IF($E1053="","",IF($K1053="✓","Concluído",IF($E1053&lt;TODAY(),"Atrasado",IF($E1053=TODAY(),"Hoje","Pendente"))))</f>
        <v/>
      </c>
      <c r="M1053" s="114" t="str">
        <f aca="false">IF($E1053="","",IF($K1053="✓","✓ ","")&amp;IF(Config!$E$22="Sim",$H1053&amp;" · ","")&amp;$F1053)</f>
        <v/>
      </c>
      <c r="N1053" s="114" t="str">
        <f aca="false">IF($E1053="","",IFERROR(INDEX(Config!$D$15:$D$19,MATCH($I1053,Config!$C$15:$C$19,0)),"OUT")&amp;IF($K1053="✓","x",""))</f>
        <v/>
      </c>
      <c r="O1053" s="114" t="str">
        <f aca="false">IF($E1053="","",COUNTIF($E$5:$E1053,$E1053))</f>
        <v/>
      </c>
      <c r="P1053" s="114" t="str">
        <f aca="false">IF($E1053="","",$E1053*100+$O1053)</f>
        <v/>
      </c>
      <c r="Q1053" s="114" t="str">
        <f aca="false">IF($L1053="Atrasado",$E1053*10000+$A1053,"")</f>
        <v/>
      </c>
    </row>
    <row r="1054" customFormat="false" ht="15" hidden="false" customHeight="false" outlineLevel="0" collapsed="false">
      <c r="A1054" s="114" t="n">
        <f aca="false">ROW()-4</f>
        <v>1050</v>
      </c>
      <c r="B1054" s="114" t="str">
        <f aca="false">IF(A1054&lt;=Config!$E$27*Config!$E$28,"Tema","Avulso")</f>
        <v>Tema</v>
      </c>
      <c r="C1054" s="114" t="n">
        <f aca="false">IF(B1054="Tema",INT((A1054-1)/Config!$E$28)+1,A1054-Config!$E$27*Config!$E$28)</f>
        <v>175</v>
      </c>
      <c r="D1054" s="114" t="n">
        <f aca="false">IF(B1054="Tema",MOD(A1054-1,Config!$E$28)+1,"")</f>
        <v>6</v>
      </c>
      <c r="E1054" s="115" t="str">
        <f aca="false">IF($B1054="Tema",IF(ISNUMBER(INDEX(Temas!$E$6:$P$305,$C1054,2*$D1054-1)),INDEX(Temas!$E$6:$P$305,$C1054,2*$D1054-1),""),IF(ISNUMBER(INDEX(Avulsos!$B$6:$B$205,$C1054)),INDEX(Avulsos!$B$6:$B$205,$C1054),""))</f>
        <v/>
      </c>
      <c r="F1054" s="114" t="str">
        <f aca="false">IF($E1054="","",IF($B1054="Tema",INDEX(Temas!$B$6:$B$305,$C1054)&amp;"",INDEX(Avulsos!$C$6:$C$205,$C1054)&amp;""))</f>
        <v/>
      </c>
      <c r="G1054" s="114" t="str">
        <f aca="false">IF($E1054="","",IF($B1054="Tema",INDEX(Config!$C$6:$C$11,$D1054),"Evento avulso"))</f>
        <v/>
      </c>
      <c r="H1054" s="114" t="str">
        <f aca="false">IF($E1054="","",IF($B1054="Tema",INDEX(Config!$D$6:$D$11,$D1054),IFERROR(INDEX(Config!$E$15:$E$19,MATCH($I1054,Config!$C$15:$C$19,0)),"•")))</f>
        <v/>
      </c>
      <c r="I1054" s="114" t="str">
        <f aca="false">IF($E1054="","",IF($B1054="Tema",INDEX(Config!$E$6:$E$11,$D1054),IF(INDEX(Avulsos!$D$6:$D$205,$C1054)&amp;""="","Outro",INDEX(Avulsos!$D$6:$D$205,$C1054))))</f>
        <v/>
      </c>
      <c r="J1054" s="114" t="str">
        <f aca="false">IF($E1054="","",IF($B1054="Tema",INDEX(Temas!$C$6:$C$305,$C1054)&amp;"",INDEX(Avulsos!$E$6:$E$205,$C1054)&amp;""))</f>
        <v/>
      </c>
      <c r="K1054" s="114" t="str">
        <f aca="false">IF($E1054="","",IF(IF($B1054="Tema",INDEX(Temas!$E$6:$P$305,$C1054,2*$D1054),INDEX(Avulsos!$F$6:$F$205,$C1054))&amp;""="","","✓"))</f>
        <v/>
      </c>
      <c r="L1054" s="114" t="str">
        <f aca="true">IF($E1054="","",IF($K1054="✓","Concluído",IF($E1054&lt;TODAY(),"Atrasado",IF($E1054=TODAY(),"Hoje","Pendente"))))</f>
        <v/>
      </c>
      <c r="M1054" s="114" t="str">
        <f aca="false">IF($E1054="","",IF($K1054="✓","✓ ","")&amp;IF(Config!$E$22="Sim",$H1054&amp;" · ","")&amp;$F1054)</f>
        <v/>
      </c>
      <c r="N1054" s="114" t="str">
        <f aca="false">IF($E1054="","",IFERROR(INDEX(Config!$D$15:$D$19,MATCH($I1054,Config!$C$15:$C$19,0)),"OUT")&amp;IF($K1054="✓","x",""))</f>
        <v/>
      </c>
      <c r="O1054" s="114" t="str">
        <f aca="false">IF($E1054="","",COUNTIF($E$5:$E1054,$E1054))</f>
        <v/>
      </c>
      <c r="P1054" s="114" t="str">
        <f aca="false">IF($E1054="","",$E1054*100+$O1054)</f>
        <v/>
      </c>
      <c r="Q1054" s="114" t="str">
        <f aca="false">IF($L1054="Atrasado",$E1054*10000+$A1054,"")</f>
        <v/>
      </c>
    </row>
    <row r="1055" customFormat="false" ht="15" hidden="false" customHeight="false" outlineLevel="0" collapsed="false">
      <c r="A1055" s="114" t="n">
        <f aca="false">ROW()-4</f>
        <v>1051</v>
      </c>
      <c r="B1055" s="114" t="str">
        <f aca="false">IF(A1055&lt;=Config!$E$27*Config!$E$28,"Tema","Avulso")</f>
        <v>Tema</v>
      </c>
      <c r="C1055" s="114" t="n">
        <f aca="false">IF(B1055="Tema",INT((A1055-1)/Config!$E$28)+1,A1055-Config!$E$27*Config!$E$28)</f>
        <v>176</v>
      </c>
      <c r="D1055" s="114" t="n">
        <f aca="false">IF(B1055="Tema",MOD(A1055-1,Config!$E$28)+1,"")</f>
        <v>1</v>
      </c>
      <c r="E1055" s="115" t="str">
        <f aca="false">IF($B1055="Tema",IF(ISNUMBER(INDEX(Temas!$E$6:$P$305,$C1055,2*$D1055-1)),INDEX(Temas!$E$6:$P$305,$C1055,2*$D1055-1),""),IF(ISNUMBER(INDEX(Avulsos!$B$6:$B$205,$C1055)),INDEX(Avulsos!$B$6:$B$205,$C1055),""))</f>
        <v/>
      </c>
      <c r="F1055" s="114" t="str">
        <f aca="false">IF($E1055="","",IF($B1055="Tema",INDEX(Temas!$B$6:$B$305,$C1055)&amp;"",INDEX(Avulsos!$C$6:$C$205,$C1055)&amp;""))</f>
        <v/>
      </c>
      <c r="G1055" s="114" t="str">
        <f aca="false">IF($E1055="","",IF($B1055="Tema",INDEX(Config!$C$6:$C$11,$D1055),"Evento avulso"))</f>
        <v/>
      </c>
      <c r="H1055" s="114" t="str">
        <f aca="false">IF($E1055="","",IF($B1055="Tema",INDEX(Config!$D$6:$D$11,$D1055),IFERROR(INDEX(Config!$E$15:$E$19,MATCH($I1055,Config!$C$15:$C$19,0)),"•")))</f>
        <v/>
      </c>
      <c r="I1055" s="114" t="str">
        <f aca="false">IF($E1055="","",IF($B1055="Tema",INDEX(Config!$E$6:$E$11,$D1055),IF(INDEX(Avulsos!$D$6:$D$205,$C1055)&amp;""="","Outro",INDEX(Avulsos!$D$6:$D$205,$C1055))))</f>
        <v/>
      </c>
      <c r="J1055" s="114" t="str">
        <f aca="false">IF($E1055="","",IF($B1055="Tema",INDEX(Temas!$C$6:$C$305,$C1055)&amp;"",INDEX(Avulsos!$E$6:$E$205,$C1055)&amp;""))</f>
        <v/>
      </c>
      <c r="K1055" s="114" t="str">
        <f aca="false">IF($E1055="","",IF(IF($B1055="Tema",INDEX(Temas!$E$6:$P$305,$C1055,2*$D1055),INDEX(Avulsos!$F$6:$F$205,$C1055))&amp;""="","","✓"))</f>
        <v/>
      </c>
      <c r="L1055" s="114" t="str">
        <f aca="true">IF($E1055="","",IF($K1055="✓","Concluído",IF($E1055&lt;TODAY(),"Atrasado",IF($E1055=TODAY(),"Hoje","Pendente"))))</f>
        <v/>
      </c>
      <c r="M1055" s="114" t="str">
        <f aca="false">IF($E1055="","",IF($K1055="✓","✓ ","")&amp;IF(Config!$E$22="Sim",$H1055&amp;" · ","")&amp;$F1055)</f>
        <v/>
      </c>
      <c r="N1055" s="114" t="str">
        <f aca="false">IF($E1055="","",IFERROR(INDEX(Config!$D$15:$D$19,MATCH($I1055,Config!$C$15:$C$19,0)),"OUT")&amp;IF($K1055="✓","x",""))</f>
        <v/>
      </c>
      <c r="O1055" s="114" t="str">
        <f aca="false">IF($E1055="","",COUNTIF($E$5:$E1055,$E1055))</f>
        <v/>
      </c>
      <c r="P1055" s="114" t="str">
        <f aca="false">IF($E1055="","",$E1055*100+$O1055)</f>
        <v/>
      </c>
      <c r="Q1055" s="114" t="str">
        <f aca="false">IF($L1055="Atrasado",$E1055*10000+$A1055,"")</f>
        <v/>
      </c>
    </row>
    <row r="1056" customFormat="false" ht="15" hidden="false" customHeight="false" outlineLevel="0" collapsed="false">
      <c r="A1056" s="114" t="n">
        <f aca="false">ROW()-4</f>
        <v>1052</v>
      </c>
      <c r="B1056" s="114" t="str">
        <f aca="false">IF(A1056&lt;=Config!$E$27*Config!$E$28,"Tema","Avulso")</f>
        <v>Tema</v>
      </c>
      <c r="C1056" s="114" t="n">
        <f aca="false">IF(B1056="Tema",INT((A1056-1)/Config!$E$28)+1,A1056-Config!$E$27*Config!$E$28)</f>
        <v>176</v>
      </c>
      <c r="D1056" s="114" t="n">
        <f aca="false">IF(B1056="Tema",MOD(A1056-1,Config!$E$28)+1,"")</f>
        <v>2</v>
      </c>
      <c r="E1056" s="115" t="str">
        <f aca="false">IF($B1056="Tema",IF(ISNUMBER(INDEX(Temas!$E$6:$P$305,$C1056,2*$D1056-1)),INDEX(Temas!$E$6:$P$305,$C1056,2*$D1056-1),""),IF(ISNUMBER(INDEX(Avulsos!$B$6:$B$205,$C1056)),INDEX(Avulsos!$B$6:$B$205,$C1056),""))</f>
        <v/>
      </c>
      <c r="F1056" s="114" t="str">
        <f aca="false">IF($E1056="","",IF($B1056="Tema",INDEX(Temas!$B$6:$B$305,$C1056)&amp;"",INDEX(Avulsos!$C$6:$C$205,$C1056)&amp;""))</f>
        <v/>
      </c>
      <c r="G1056" s="114" t="str">
        <f aca="false">IF($E1056="","",IF($B1056="Tema",INDEX(Config!$C$6:$C$11,$D1056),"Evento avulso"))</f>
        <v/>
      </c>
      <c r="H1056" s="114" t="str">
        <f aca="false">IF($E1056="","",IF($B1056="Tema",INDEX(Config!$D$6:$D$11,$D1056),IFERROR(INDEX(Config!$E$15:$E$19,MATCH($I1056,Config!$C$15:$C$19,0)),"•")))</f>
        <v/>
      </c>
      <c r="I1056" s="114" t="str">
        <f aca="false">IF($E1056="","",IF($B1056="Tema",INDEX(Config!$E$6:$E$11,$D1056),IF(INDEX(Avulsos!$D$6:$D$205,$C1056)&amp;""="","Outro",INDEX(Avulsos!$D$6:$D$205,$C1056))))</f>
        <v/>
      </c>
      <c r="J1056" s="114" t="str">
        <f aca="false">IF($E1056="","",IF($B1056="Tema",INDEX(Temas!$C$6:$C$305,$C1056)&amp;"",INDEX(Avulsos!$E$6:$E$205,$C1056)&amp;""))</f>
        <v/>
      </c>
      <c r="K1056" s="114" t="str">
        <f aca="false">IF($E1056="","",IF(IF($B1056="Tema",INDEX(Temas!$E$6:$P$305,$C1056,2*$D1056),INDEX(Avulsos!$F$6:$F$205,$C1056))&amp;""="","","✓"))</f>
        <v/>
      </c>
      <c r="L1056" s="114" t="str">
        <f aca="true">IF($E1056="","",IF($K1056="✓","Concluído",IF($E1056&lt;TODAY(),"Atrasado",IF($E1056=TODAY(),"Hoje","Pendente"))))</f>
        <v/>
      </c>
      <c r="M1056" s="114" t="str">
        <f aca="false">IF($E1056="","",IF($K1056="✓","✓ ","")&amp;IF(Config!$E$22="Sim",$H1056&amp;" · ","")&amp;$F1056)</f>
        <v/>
      </c>
      <c r="N1056" s="114" t="str">
        <f aca="false">IF($E1056="","",IFERROR(INDEX(Config!$D$15:$D$19,MATCH($I1056,Config!$C$15:$C$19,0)),"OUT")&amp;IF($K1056="✓","x",""))</f>
        <v/>
      </c>
      <c r="O1056" s="114" t="str">
        <f aca="false">IF($E1056="","",COUNTIF($E$5:$E1056,$E1056))</f>
        <v/>
      </c>
      <c r="P1056" s="114" t="str">
        <f aca="false">IF($E1056="","",$E1056*100+$O1056)</f>
        <v/>
      </c>
      <c r="Q1056" s="114" t="str">
        <f aca="false">IF($L1056="Atrasado",$E1056*10000+$A1056,"")</f>
        <v/>
      </c>
    </row>
    <row r="1057" customFormat="false" ht="15" hidden="false" customHeight="false" outlineLevel="0" collapsed="false">
      <c r="A1057" s="114" t="n">
        <f aca="false">ROW()-4</f>
        <v>1053</v>
      </c>
      <c r="B1057" s="114" t="str">
        <f aca="false">IF(A1057&lt;=Config!$E$27*Config!$E$28,"Tema","Avulso")</f>
        <v>Tema</v>
      </c>
      <c r="C1057" s="114" t="n">
        <f aca="false">IF(B1057="Tema",INT((A1057-1)/Config!$E$28)+1,A1057-Config!$E$27*Config!$E$28)</f>
        <v>176</v>
      </c>
      <c r="D1057" s="114" t="n">
        <f aca="false">IF(B1057="Tema",MOD(A1057-1,Config!$E$28)+1,"")</f>
        <v>3</v>
      </c>
      <c r="E1057" s="115" t="str">
        <f aca="false">IF($B1057="Tema",IF(ISNUMBER(INDEX(Temas!$E$6:$P$305,$C1057,2*$D1057-1)),INDEX(Temas!$E$6:$P$305,$C1057,2*$D1057-1),""),IF(ISNUMBER(INDEX(Avulsos!$B$6:$B$205,$C1057)),INDEX(Avulsos!$B$6:$B$205,$C1057),""))</f>
        <v/>
      </c>
      <c r="F1057" s="114" t="str">
        <f aca="false">IF($E1057="","",IF($B1057="Tema",INDEX(Temas!$B$6:$B$305,$C1057)&amp;"",INDEX(Avulsos!$C$6:$C$205,$C1057)&amp;""))</f>
        <v/>
      </c>
      <c r="G1057" s="114" t="str">
        <f aca="false">IF($E1057="","",IF($B1057="Tema",INDEX(Config!$C$6:$C$11,$D1057),"Evento avulso"))</f>
        <v/>
      </c>
      <c r="H1057" s="114" t="str">
        <f aca="false">IF($E1057="","",IF($B1057="Tema",INDEX(Config!$D$6:$D$11,$D1057),IFERROR(INDEX(Config!$E$15:$E$19,MATCH($I1057,Config!$C$15:$C$19,0)),"•")))</f>
        <v/>
      </c>
      <c r="I1057" s="114" t="str">
        <f aca="false">IF($E1057="","",IF($B1057="Tema",INDEX(Config!$E$6:$E$11,$D1057),IF(INDEX(Avulsos!$D$6:$D$205,$C1057)&amp;""="","Outro",INDEX(Avulsos!$D$6:$D$205,$C1057))))</f>
        <v/>
      </c>
      <c r="J1057" s="114" t="str">
        <f aca="false">IF($E1057="","",IF($B1057="Tema",INDEX(Temas!$C$6:$C$305,$C1057)&amp;"",INDEX(Avulsos!$E$6:$E$205,$C1057)&amp;""))</f>
        <v/>
      </c>
      <c r="K1057" s="114" t="str">
        <f aca="false">IF($E1057="","",IF(IF($B1057="Tema",INDEX(Temas!$E$6:$P$305,$C1057,2*$D1057),INDEX(Avulsos!$F$6:$F$205,$C1057))&amp;""="","","✓"))</f>
        <v/>
      </c>
      <c r="L1057" s="114" t="str">
        <f aca="true">IF($E1057="","",IF($K1057="✓","Concluído",IF($E1057&lt;TODAY(),"Atrasado",IF($E1057=TODAY(),"Hoje","Pendente"))))</f>
        <v/>
      </c>
      <c r="M1057" s="114" t="str">
        <f aca="false">IF($E1057="","",IF($K1057="✓","✓ ","")&amp;IF(Config!$E$22="Sim",$H1057&amp;" · ","")&amp;$F1057)</f>
        <v/>
      </c>
      <c r="N1057" s="114" t="str">
        <f aca="false">IF($E1057="","",IFERROR(INDEX(Config!$D$15:$D$19,MATCH($I1057,Config!$C$15:$C$19,0)),"OUT")&amp;IF($K1057="✓","x",""))</f>
        <v/>
      </c>
      <c r="O1057" s="114" t="str">
        <f aca="false">IF($E1057="","",COUNTIF($E$5:$E1057,$E1057))</f>
        <v/>
      </c>
      <c r="P1057" s="114" t="str">
        <f aca="false">IF($E1057="","",$E1057*100+$O1057)</f>
        <v/>
      </c>
      <c r="Q1057" s="114" t="str">
        <f aca="false">IF($L1057="Atrasado",$E1057*10000+$A1057,"")</f>
        <v/>
      </c>
    </row>
    <row r="1058" customFormat="false" ht="15" hidden="false" customHeight="false" outlineLevel="0" collapsed="false">
      <c r="A1058" s="114" t="n">
        <f aca="false">ROW()-4</f>
        <v>1054</v>
      </c>
      <c r="B1058" s="114" t="str">
        <f aca="false">IF(A1058&lt;=Config!$E$27*Config!$E$28,"Tema","Avulso")</f>
        <v>Tema</v>
      </c>
      <c r="C1058" s="114" t="n">
        <f aca="false">IF(B1058="Tema",INT((A1058-1)/Config!$E$28)+1,A1058-Config!$E$27*Config!$E$28)</f>
        <v>176</v>
      </c>
      <c r="D1058" s="114" t="n">
        <f aca="false">IF(B1058="Tema",MOD(A1058-1,Config!$E$28)+1,"")</f>
        <v>4</v>
      </c>
      <c r="E1058" s="115" t="str">
        <f aca="false">IF($B1058="Tema",IF(ISNUMBER(INDEX(Temas!$E$6:$P$305,$C1058,2*$D1058-1)),INDEX(Temas!$E$6:$P$305,$C1058,2*$D1058-1),""),IF(ISNUMBER(INDEX(Avulsos!$B$6:$B$205,$C1058)),INDEX(Avulsos!$B$6:$B$205,$C1058),""))</f>
        <v/>
      </c>
      <c r="F1058" s="114" t="str">
        <f aca="false">IF($E1058="","",IF($B1058="Tema",INDEX(Temas!$B$6:$B$305,$C1058)&amp;"",INDEX(Avulsos!$C$6:$C$205,$C1058)&amp;""))</f>
        <v/>
      </c>
      <c r="G1058" s="114" t="str">
        <f aca="false">IF($E1058="","",IF($B1058="Tema",INDEX(Config!$C$6:$C$11,$D1058),"Evento avulso"))</f>
        <v/>
      </c>
      <c r="H1058" s="114" t="str">
        <f aca="false">IF($E1058="","",IF($B1058="Tema",INDEX(Config!$D$6:$D$11,$D1058),IFERROR(INDEX(Config!$E$15:$E$19,MATCH($I1058,Config!$C$15:$C$19,0)),"•")))</f>
        <v/>
      </c>
      <c r="I1058" s="114" t="str">
        <f aca="false">IF($E1058="","",IF($B1058="Tema",INDEX(Config!$E$6:$E$11,$D1058),IF(INDEX(Avulsos!$D$6:$D$205,$C1058)&amp;""="","Outro",INDEX(Avulsos!$D$6:$D$205,$C1058))))</f>
        <v/>
      </c>
      <c r="J1058" s="114" t="str">
        <f aca="false">IF($E1058="","",IF($B1058="Tema",INDEX(Temas!$C$6:$C$305,$C1058)&amp;"",INDEX(Avulsos!$E$6:$E$205,$C1058)&amp;""))</f>
        <v/>
      </c>
      <c r="K1058" s="114" t="str">
        <f aca="false">IF($E1058="","",IF(IF($B1058="Tema",INDEX(Temas!$E$6:$P$305,$C1058,2*$D1058),INDEX(Avulsos!$F$6:$F$205,$C1058))&amp;""="","","✓"))</f>
        <v/>
      </c>
      <c r="L1058" s="114" t="str">
        <f aca="true">IF($E1058="","",IF($K1058="✓","Concluído",IF($E1058&lt;TODAY(),"Atrasado",IF($E1058=TODAY(),"Hoje","Pendente"))))</f>
        <v/>
      </c>
      <c r="M1058" s="114" t="str">
        <f aca="false">IF($E1058="","",IF($K1058="✓","✓ ","")&amp;IF(Config!$E$22="Sim",$H1058&amp;" · ","")&amp;$F1058)</f>
        <v/>
      </c>
      <c r="N1058" s="114" t="str">
        <f aca="false">IF($E1058="","",IFERROR(INDEX(Config!$D$15:$D$19,MATCH($I1058,Config!$C$15:$C$19,0)),"OUT")&amp;IF($K1058="✓","x",""))</f>
        <v/>
      </c>
      <c r="O1058" s="114" t="str">
        <f aca="false">IF($E1058="","",COUNTIF($E$5:$E1058,$E1058))</f>
        <v/>
      </c>
      <c r="P1058" s="114" t="str">
        <f aca="false">IF($E1058="","",$E1058*100+$O1058)</f>
        <v/>
      </c>
      <c r="Q1058" s="114" t="str">
        <f aca="false">IF($L1058="Atrasado",$E1058*10000+$A1058,"")</f>
        <v/>
      </c>
    </row>
    <row r="1059" customFormat="false" ht="15" hidden="false" customHeight="false" outlineLevel="0" collapsed="false">
      <c r="A1059" s="114" t="n">
        <f aca="false">ROW()-4</f>
        <v>1055</v>
      </c>
      <c r="B1059" s="114" t="str">
        <f aca="false">IF(A1059&lt;=Config!$E$27*Config!$E$28,"Tema","Avulso")</f>
        <v>Tema</v>
      </c>
      <c r="C1059" s="114" t="n">
        <f aca="false">IF(B1059="Tema",INT((A1059-1)/Config!$E$28)+1,A1059-Config!$E$27*Config!$E$28)</f>
        <v>176</v>
      </c>
      <c r="D1059" s="114" t="n">
        <f aca="false">IF(B1059="Tema",MOD(A1059-1,Config!$E$28)+1,"")</f>
        <v>5</v>
      </c>
      <c r="E1059" s="115" t="str">
        <f aca="false">IF($B1059="Tema",IF(ISNUMBER(INDEX(Temas!$E$6:$P$305,$C1059,2*$D1059-1)),INDEX(Temas!$E$6:$P$305,$C1059,2*$D1059-1),""),IF(ISNUMBER(INDEX(Avulsos!$B$6:$B$205,$C1059)),INDEX(Avulsos!$B$6:$B$205,$C1059),""))</f>
        <v/>
      </c>
      <c r="F1059" s="114" t="str">
        <f aca="false">IF($E1059="","",IF($B1059="Tema",INDEX(Temas!$B$6:$B$305,$C1059)&amp;"",INDEX(Avulsos!$C$6:$C$205,$C1059)&amp;""))</f>
        <v/>
      </c>
      <c r="G1059" s="114" t="str">
        <f aca="false">IF($E1059="","",IF($B1059="Tema",INDEX(Config!$C$6:$C$11,$D1059),"Evento avulso"))</f>
        <v/>
      </c>
      <c r="H1059" s="114" t="str">
        <f aca="false">IF($E1059="","",IF($B1059="Tema",INDEX(Config!$D$6:$D$11,$D1059),IFERROR(INDEX(Config!$E$15:$E$19,MATCH($I1059,Config!$C$15:$C$19,0)),"•")))</f>
        <v/>
      </c>
      <c r="I1059" s="114" t="str">
        <f aca="false">IF($E1059="","",IF($B1059="Tema",INDEX(Config!$E$6:$E$11,$D1059),IF(INDEX(Avulsos!$D$6:$D$205,$C1059)&amp;""="","Outro",INDEX(Avulsos!$D$6:$D$205,$C1059))))</f>
        <v/>
      </c>
      <c r="J1059" s="114" t="str">
        <f aca="false">IF($E1059="","",IF($B1059="Tema",INDEX(Temas!$C$6:$C$305,$C1059)&amp;"",INDEX(Avulsos!$E$6:$E$205,$C1059)&amp;""))</f>
        <v/>
      </c>
      <c r="K1059" s="114" t="str">
        <f aca="false">IF($E1059="","",IF(IF($B1059="Tema",INDEX(Temas!$E$6:$P$305,$C1059,2*$D1059),INDEX(Avulsos!$F$6:$F$205,$C1059))&amp;""="","","✓"))</f>
        <v/>
      </c>
      <c r="L1059" s="114" t="str">
        <f aca="true">IF($E1059="","",IF($K1059="✓","Concluído",IF($E1059&lt;TODAY(),"Atrasado",IF($E1059=TODAY(),"Hoje","Pendente"))))</f>
        <v/>
      </c>
      <c r="M1059" s="114" t="str">
        <f aca="false">IF($E1059="","",IF($K1059="✓","✓ ","")&amp;IF(Config!$E$22="Sim",$H1059&amp;" · ","")&amp;$F1059)</f>
        <v/>
      </c>
      <c r="N1059" s="114" t="str">
        <f aca="false">IF($E1059="","",IFERROR(INDEX(Config!$D$15:$D$19,MATCH($I1059,Config!$C$15:$C$19,0)),"OUT")&amp;IF($K1059="✓","x",""))</f>
        <v/>
      </c>
      <c r="O1059" s="114" t="str">
        <f aca="false">IF($E1059="","",COUNTIF($E$5:$E1059,$E1059))</f>
        <v/>
      </c>
      <c r="P1059" s="114" t="str">
        <f aca="false">IF($E1059="","",$E1059*100+$O1059)</f>
        <v/>
      </c>
      <c r="Q1059" s="114" t="str">
        <f aca="false">IF($L1059="Atrasado",$E1059*10000+$A1059,"")</f>
        <v/>
      </c>
    </row>
    <row r="1060" customFormat="false" ht="15" hidden="false" customHeight="false" outlineLevel="0" collapsed="false">
      <c r="A1060" s="114" t="n">
        <f aca="false">ROW()-4</f>
        <v>1056</v>
      </c>
      <c r="B1060" s="114" t="str">
        <f aca="false">IF(A1060&lt;=Config!$E$27*Config!$E$28,"Tema","Avulso")</f>
        <v>Tema</v>
      </c>
      <c r="C1060" s="114" t="n">
        <f aca="false">IF(B1060="Tema",INT((A1060-1)/Config!$E$28)+1,A1060-Config!$E$27*Config!$E$28)</f>
        <v>176</v>
      </c>
      <c r="D1060" s="114" t="n">
        <f aca="false">IF(B1060="Tema",MOD(A1060-1,Config!$E$28)+1,"")</f>
        <v>6</v>
      </c>
      <c r="E1060" s="115" t="str">
        <f aca="false">IF($B1060="Tema",IF(ISNUMBER(INDEX(Temas!$E$6:$P$305,$C1060,2*$D1060-1)),INDEX(Temas!$E$6:$P$305,$C1060,2*$D1060-1),""),IF(ISNUMBER(INDEX(Avulsos!$B$6:$B$205,$C1060)),INDEX(Avulsos!$B$6:$B$205,$C1060),""))</f>
        <v/>
      </c>
      <c r="F1060" s="114" t="str">
        <f aca="false">IF($E1060="","",IF($B1060="Tema",INDEX(Temas!$B$6:$B$305,$C1060)&amp;"",INDEX(Avulsos!$C$6:$C$205,$C1060)&amp;""))</f>
        <v/>
      </c>
      <c r="G1060" s="114" t="str">
        <f aca="false">IF($E1060="","",IF($B1060="Tema",INDEX(Config!$C$6:$C$11,$D1060),"Evento avulso"))</f>
        <v/>
      </c>
      <c r="H1060" s="114" t="str">
        <f aca="false">IF($E1060="","",IF($B1060="Tema",INDEX(Config!$D$6:$D$11,$D1060),IFERROR(INDEX(Config!$E$15:$E$19,MATCH($I1060,Config!$C$15:$C$19,0)),"•")))</f>
        <v/>
      </c>
      <c r="I1060" s="114" t="str">
        <f aca="false">IF($E1060="","",IF($B1060="Tema",INDEX(Config!$E$6:$E$11,$D1060),IF(INDEX(Avulsos!$D$6:$D$205,$C1060)&amp;""="","Outro",INDEX(Avulsos!$D$6:$D$205,$C1060))))</f>
        <v/>
      </c>
      <c r="J1060" s="114" t="str">
        <f aca="false">IF($E1060="","",IF($B1060="Tema",INDEX(Temas!$C$6:$C$305,$C1060)&amp;"",INDEX(Avulsos!$E$6:$E$205,$C1060)&amp;""))</f>
        <v/>
      </c>
      <c r="K1060" s="114" t="str">
        <f aca="false">IF($E1060="","",IF(IF($B1060="Tema",INDEX(Temas!$E$6:$P$305,$C1060,2*$D1060),INDEX(Avulsos!$F$6:$F$205,$C1060))&amp;""="","","✓"))</f>
        <v/>
      </c>
      <c r="L1060" s="114" t="str">
        <f aca="true">IF($E1060="","",IF($K1060="✓","Concluído",IF($E1060&lt;TODAY(),"Atrasado",IF($E1060=TODAY(),"Hoje","Pendente"))))</f>
        <v/>
      </c>
      <c r="M1060" s="114" t="str">
        <f aca="false">IF($E1060="","",IF($K1060="✓","✓ ","")&amp;IF(Config!$E$22="Sim",$H1060&amp;" · ","")&amp;$F1060)</f>
        <v/>
      </c>
      <c r="N1060" s="114" t="str">
        <f aca="false">IF($E1060="","",IFERROR(INDEX(Config!$D$15:$D$19,MATCH($I1060,Config!$C$15:$C$19,0)),"OUT")&amp;IF($K1060="✓","x",""))</f>
        <v/>
      </c>
      <c r="O1060" s="114" t="str">
        <f aca="false">IF($E1060="","",COUNTIF($E$5:$E1060,$E1060))</f>
        <v/>
      </c>
      <c r="P1060" s="114" t="str">
        <f aca="false">IF($E1060="","",$E1060*100+$O1060)</f>
        <v/>
      </c>
      <c r="Q1060" s="114" t="str">
        <f aca="false">IF($L1060="Atrasado",$E1060*10000+$A1060,"")</f>
        <v/>
      </c>
    </row>
    <row r="1061" customFormat="false" ht="15" hidden="false" customHeight="false" outlineLevel="0" collapsed="false">
      <c r="A1061" s="114" t="n">
        <f aca="false">ROW()-4</f>
        <v>1057</v>
      </c>
      <c r="B1061" s="114" t="str">
        <f aca="false">IF(A1061&lt;=Config!$E$27*Config!$E$28,"Tema","Avulso")</f>
        <v>Tema</v>
      </c>
      <c r="C1061" s="114" t="n">
        <f aca="false">IF(B1061="Tema",INT((A1061-1)/Config!$E$28)+1,A1061-Config!$E$27*Config!$E$28)</f>
        <v>177</v>
      </c>
      <c r="D1061" s="114" t="n">
        <f aca="false">IF(B1061="Tema",MOD(A1061-1,Config!$E$28)+1,"")</f>
        <v>1</v>
      </c>
      <c r="E1061" s="115" t="str">
        <f aca="false">IF($B1061="Tema",IF(ISNUMBER(INDEX(Temas!$E$6:$P$305,$C1061,2*$D1061-1)),INDEX(Temas!$E$6:$P$305,$C1061,2*$D1061-1),""),IF(ISNUMBER(INDEX(Avulsos!$B$6:$B$205,$C1061)),INDEX(Avulsos!$B$6:$B$205,$C1061),""))</f>
        <v/>
      </c>
      <c r="F1061" s="114" t="str">
        <f aca="false">IF($E1061="","",IF($B1061="Tema",INDEX(Temas!$B$6:$B$305,$C1061)&amp;"",INDEX(Avulsos!$C$6:$C$205,$C1061)&amp;""))</f>
        <v/>
      </c>
      <c r="G1061" s="114" t="str">
        <f aca="false">IF($E1061="","",IF($B1061="Tema",INDEX(Config!$C$6:$C$11,$D1061),"Evento avulso"))</f>
        <v/>
      </c>
      <c r="H1061" s="114" t="str">
        <f aca="false">IF($E1061="","",IF($B1061="Tema",INDEX(Config!$D$6:$D$11,$D1061),IFERROR(INDEX(Config!$E$15:$E$19,MATCH($I1061,Config!$C$15:$C$19,0)),"•")))</f>
        <v/>
      </c>
      <c r="I1061" s="114" t="str">
        <f aca="false">IF($E1061="","",IF($B1061="Tema",INDEX(Config!$E$6:$E$11,$D1061),IF(INDEX(Avulsos!$D$6:$D$205,$C1061)&amp;""="","Outro",INDEX(Avulsos!$D$6:$D$205,$C1061))))</f>
        <v/>
      </c>
      <c r="J1061" s="114" t="str">
        <f aca="false">IF($E1061="","",IF($B1061="Tema",INDEX(Temas!$C$6:$C$305,$C1061)&amp;"",INDEX(Avulsos!$E$6:$E$205,$C1061)&amp;""))</f>
        <v/>
      </c>
      <c r="K1061" s="114" t="str">
        <f aca="false">IF($E1061="","",IF(IF($B1061="Tema",INDEX(Temas!$E$6:$P$305,$C1061,2*$D1061),INDEX(Avulsos!$F$6:$F$205,$C1061))&amp;""="","","✓"))</f>
        <v/>
      </c>
      <c r="L1061" s="114" t="str">
        <f aca="true">IF($E1061="","",IF($K1061="✓","Concluído",IF($E1061&lt;TODAY(),"Atrasado",IF($E1061=TODAY(),"Hoje","Pendente"))))</f>
        <v/>
      </c>
      <c r="M1061" s="114" t="str">
        <f aca="false">IF($E1061="","",IF($K1061="✓","✓ ","")&amp;IF(Config!$E$22="Sim",$H1061&amp;" · ","")&amp;$F1061)</f>
        <v/>
      </c>
      <c r="N1061" s="114" t="str">
        <f aca="false">IF($E1061="","",IFERROR(INDEX(Config!$D$15:$D$19,MATCH($I1061,Config!$C$15:$C$19,0)),"OUT")&amp;IF($K1061="✓","x",""))</f>
        <v/>
      </c>
      <c r="O1061" s="114" t="str">
        <f aca="false">IF($E1061="","",COUNTIF($E$5:$E1061,$E1061))</f>
        <v/>
      </c>
      <c r="P1061" s="114" t="str">
        <f aca="false">IF($E1061="","",$E1061*100+$O1061)</f>
        <v/>
      </c>
      <c r="Q1061" s="114" t="str">
        <f aca="false">IF($L1061="Atrasado",$E1061*10000+$A1061,"")</f>
        <v/>
      </c>
    </row>
    <row r="1062" customFormat="false" ht="15" hidden="false" customHeight="false" outlineLevel="0" collapsed="false">
      <c r="A1062" s="114" t="n">
        <f aca="false">ROW()-4</f>
        <v>1058</v>
      </c>
      <c r="B1062" s="114" t="str">
        <f aca="false">IF(A1062&lt;=Config!$E$27*Config!$E$28,"Tema","Avulso")</f>
        <v>Tema</v>
      </c>
      <c r="C1062" s="114" t="n">
        <f aca="false">IF(B1062="Tema",INT((A1062-1)/Config!$E$28)+1,A1062-Config!$E$27*Config!$E$28)</f>
        <v>177</v>
      </c>
      <c r="D1062" s="114" t="n">
        <f aca="false">IF(B1062="Tema",MOD(A1062-1,Config!$E$28)+1,"")</f>
        <v>2</v>
      </c>
      <c r="E1062" s="115" t="str">
        <f aca="false">IF($B1062="Tema",IF(ISNUMBER(INDEX(Temas!$E$6:$P$305,$C1062,2*$D1062-1)),INDEX(Temas!$E$6:$P$305,$C1062,2*$D1062-1),""),IF(ISNUMBER(INDEX(Avulsos!$B$6:$B$205,$C1062)),INDEX(Avulsos!$B$6:$B$205,$C1062),""))</f>
        <v/>
      </c>
      <c r="F1062" s="114" t="str">
        <f aca="false">IF($E1062="","",IF($B1062="Tema",INDEX(Temas!$B$6:$B$305,$C1062)&amp;"",INDEX(Avulsos!$C$6:$C$205,$C1062)&amp;""))</f>
        <v/>
      </c>
      <c r="G1062" s="114" t="str">
        <f aca="false">IF($E1062="","",IF($B1062="Tema",INDEX(Config!$C$6:$C$11,$D1062),"Evento avulso"))</f>
        <v/>
      </c>
      <c r="H1062" s="114" t="str">
        <f aca="false">IF($E1062="","",IF($B1062="Tema",INDEX(Config!$D$6:$D$11,$D1062),IFERROR(INDEX(Config!$E$15:$E$19,MATCH($I1062,Config!$C$15:$C$19,0)),"•")))</f>
        <v/>
      </c>
      <c r="I1062" s="114" t="str">
        <f aca="false">IF($E1062="","",IF($B1062="Tema",INDEX(Config!$E$6:$E$11,$D1062),IF(INDEX(Avulsos!$D$6:$D$205,$C1062)&amp;""="","Outro",INDEX(Avulsos!$D$6:$D$205,$C1062))))</f>
        <v/>
      </c>
      <c r="J1062" s="114" t="str">
        <f aca="false">IF($E1062="","",IF($B1062="Tema",INDEX(Temas!$C$6:$C$305,$C1062)&amp;"",INDEX(Avulsos!$E$6:$E$205,$C1062)&amp;""))</f>
        <v/>
      </c>
      <c r="K1062" s="114" t="str">
        <f aca="false">IF($E1062="","",IF(IF($B1062="Tema",INDEX(Temas!$E$6:$P$305,$C1062,2*$D1062),INDEX(Avulsos!$F$6:$F$205,$C1062))&amp;""="","","✓"))</f>
        <v/>
      </c>
      <c r="L1062" s="114" t="str">
        <f aca="true">IF($E1062="","",IF($K1062="✓","Concluído",IF($E1062&lt;TODAY(),"Atrasado",IF($E1062=TODAY(),"Hoje","Pendente"))))</f>
        <v/>
      </c>
      <c r="M1062" s="114" t="str">
        <f aca="false">IF($E1062="","",IF($K1062="✓","✓ ","")&amp;IF(Config!$E$22="Sim",$H1062&amp;" · ","")&amp;$F1062)</f>
        <v/>
      </c>
      <c r="N1062" s="114" t="str">
        <f aca="false">IF($E1062="","",IFERROR(INDEX(Config!$D$15:$D$19,MATCH($I1062,Config!$C$15:$C$19,0)),"OUT")&amp;IF($K1062="✓","x",""))</f>
        <v/>
      </c>
      <c r="O1062" s="114" t="str">
        <f aca="false">IF($E1062="","",COUNTIF($E$5:$E1062,$E1062))</f>
        <v/>
      </c>
      <c r="P1062" s="114" t="str">
        <f aca="false">IF($E1062="","",$E1062*100+$O1062)</f>
        <v/>
      </c>
      <c r="Q1062" s="114" t="str">
        <f aca="false">IF($L1062="Atrasado",$E1062*10000+$A1062,"")</f>
        <v/>
      </c>
    </row>
    <row r="1063" customFormat="false" ht="15" hidden="false" customHeight="false" outlineLevel="0" collapsed="false">
      <c r="A1063" s="114" t="n">
        <f aca="false">ROW()-4</f>
        <v>1059</v>
      </c>
      <c r="B1063" s="114" t="str">
        <f aca="false">IF(A1063&lt;=Config!$E$27*Config!$E$28,"Tema","Avulso")</f>
        <v>Tema</v>
      </c>
      <c r="C1063" s="114" t="n">
        <f aca="false">IF(B1063="Tema",INT((A1063-1)/Config!$E$28)+1,A1063-Config!$E$27*Config!$E$28)</f>
        <v>177</v>
      </c>
      <c r="D1063" s="114" t="n">
        <f aca="false">IF(B1063="Tema",MOD(A1063-1,Config!$E$28)+1,"")</f>
        <v>3</v>
      </c>
      <c r="E1063" s="115" t="str">
        <f aca="false">IF($B1063="Tema",IF(ISNUMBER(INDEX(Temas!$E$6:$P$305,$C1063,2*$D1063-1)),INDEX(Temas!$E$6:$P$305,$C1063,2*$D1063-1),""),IF(ISNUMBER(INDEX(Avulsos!$B$6:$B$205,$C1063)),INDEX(Avulsos!$B$6:$B$205,$C1063),""))</f>
        <v/>
      </c>
      <c r="F1063" s="114" t="str">
        <f aca="false">IF($E1063="","",IF($B1063="Tema",INDEX(Temas!$B$6:$B$305,$C1063)&amp;"",INDEX(Avulsos!$C$6:$C$205,$C1063)&amp;""))</f>
        <v/>
      </c>
      <c r="G1063" s="114" t="str">
        <f aca="false">IF($E1063="","",IF($B1063="Tema",INDEX(Config!$C$6:$C$11,$D1063),"Evento avulso"))</f>
        <v/>
      </c>
      <c r="H1063" s="114" t="str">
        <f aca="false">IF($E1063="","",IF($B1063="Tema",INDEX(Config!$D$6:$D$11,$D1063),IFERROR(INDEX(Config!$E$15:$E$19,MATCH($I1063,Config!$C$15:$C$19,0)),"•")))</f>
        <v/>
      </c>
      <c r="I1063" s="114" t="str">
        <f aca="false">IF($E1063="","",IF($B1063="Tema",INDEX(Config!$E$6:$E$11,$D1063),IF(INDEX(Avulsos!$D$6:$D$205,$C1063)&amp;""="","Outro",INDEX(Avulsos!$D$6:$D$205,$C1063))))</f>
        <v/>
      </c>
      <c r="J1063" s="114" t="str">
        <f aca="false">IF($E1063="","",IF($B1063="Tema",INDEX(Temas!$C$6:$C$305,$C1063)&amp;"",INDEX(Avulsos!$E$6:$E$205,$C1063)&amp;""))</f>
        <v/>
      </c>
      <c r="K1063" s="114" t="str">
        <f aca="false">IF($E1063="","",IF(IF($B1063="Tema",INDEX(Temas!$E$6:$P$305,$C1063,2*$D1063),INDEX(Avulsos!$F$6:$F$205,$C1063))&amp;""="","","✓"))</f>
        <v/>
      </c>
      <c r="L1063" s="114" t="str">
        <f aca="true">IF($E1063="","",IF($K1063="✓","Concluído",IF($E1063&lt;TODAY(),"Atrasado",IF($E1063=TODAY(),"Hoje","Pendente"))))</f>
        <v/>
      </c>
      <c r="M1063" s="114" t="str">
        <f aca="false">IF($E1063="","",IF($K1063="✓","✓ ","")&amp;IF(Config!$E$22="Sim",$H1063&amp;" · ","")&amp;$F1063)</f>
        <v/>
      </c>
      <c r="N1063" s="114" t="str">
        <f aca="false">IF($E1063="","",IFERROR(INDEX(Config!$D$15:$D$19,MATCH($I1063,Config!$C$15:$C$19,0)),"OUT")&amp;IF($K1063="✓","x",""))</f>
        <v/>
      </c>
      <c r="O1063" s="114" t="str">
        <f aca="false">IF($E1063="","",COUNTIF($E$5:$E1063,$E1063))</f>
        <v/>
      </c>
      <c r="P1063" s="114" t="str">
        <f aca="false">IF($E1063="","",$E1063*100+$O1063)</f>
        <v/>
      </c>
      <c r="Q1063" s="114" t="str">
        <f aca="false">IF($L1063="Atrasado",$E1063*10000+$A1063,"")</f>
        <v/>
      </c>
    </row>
    <row r="1064" customFormat="false" ht="15" hidden="false" customHeight="false" outlineLevel="0" collapsed="false">
      <c r="A1064" s="114" t="n">
        <f aca="false">ROW()-4</f>
        <v>1060</v>
      </c>
      <c r="B1064" s="114" t="str">
        <f aca="false">IF(A1064&lt;=Config!$E$27*Config!$E$28,"Tema","Avulso")</f>
        <v>Tema</v>
      </c>
      <c r="C1064" s="114" t="n">
        <f aca="false">IF(B1064="Tema",INT((A1064-1)/Config!$E$28)+1,A1064-Config!$E$27*Config!$E$28)</f>
        <v>177</v>
      </c>
      <c r="D1064" s="114" t="n">
        <f aca="false">IF(B1064="Tema",MOD(A1064-1,Config!$E$28)+1,"")</f>
        <v>4</v>
      </c>
      <c r="E1064" s="115" t="str">
        <f aca="false">IF($B1064="Tema",IF(ISNUMBER(INDEX(Temas!$E$6:$P$305,$C1064,2*$D1064-1)),INDEX(Temas!$E$6:$P$305,$C1064,2*$D1064-1),""),IF(ISNUMBER(INDEX(Avulsos!$B$6:$B$205,$C1064)),INDEX(Avulsos!$B$6:$B$205,$C1064),""))</f>
        <v/>
      </c>
      <c r="F1064" s="114" t="str">
        <f aca="false">IF($E1064="","",IF($B1064="Tema",INDEX(Temas!$B$6:$B$305,$C1064)&amp;"",INDEX(Avulsos!$C$6:$C$205,$C1064)&amp;""))</f>
        <v/>
      </c>
      <c r="G1064" s="114" t="str">
        <f aca="false">IF($E1064="","",IF($B1064="Tema",INDEX(Config!$C$6:$C$11,$D1064),"Evento avulso"))</f>
        <v/>
      </c>
      <c r="H1064" s="114" t="str">
        <f aca="false">IF($E1064="","",IF($B1064="Tema",INDEX(Config!$D$6:$D$11,$D1064),IFERROR(INDEX(Config!$E$15:$E$19,MATCH($I1064,Config!$C$15:$C$19,0)),"•")))</f>
        <v/>
      </c>
      <c r="I1064" s="114" t="str">
        <f aca="false">IF($E1064="","",IF($B1064="Tema",INDEX(Config!$E$6:$E$11,$D1064),IF(INDEX(Avulsos!$D$6:$D$205,$C1064)&amp;""="","Outro",INDEX(Avulsos!$D$6:$D$205,$C1064))))</f>
        <v/>
      </c>
      <c r="J1064" s="114" t="str">
        <f aca="false">IF($E1064="","",IF($B1064="Tema",INDEX(Temas!$C$6:$C$305,$C1064)&amp;"",INDEX(Avulsos!$E$6:$E$205,$C1064)&amp;""))</f>
        <v/>
      </c>
      <c r="K1064" s="114" t="str">
        <f aca="false">IF($E1064="","",IF(IF($B1064="Tema",INDEX(Temas!$E$6:$P$305,$C1064,2*$D1064),INDEX(Avulsos!$F$6:$F$205,$C1064))&amp;""="","","✓"))</f>
        <v/>
      </c>
      <c r="L1064" s="114" t="str">
        <f aca="true">IF($E1064="","",IF($K1064="✓","Concluído",IF($E1064&lt;TODAY(),"Atrasado",IF($E1064=TODAY(),"Hoje","Pendente"))))</f>
        <v/>
      </c>
      <c r="M1064" s="114" t="str">
        <f aca="false">IF($E1064="","",IF($K1064="✓","✓ ","")&amp;IF(Config!$E$22="Sim",$H1064&amp;" · ","")&amp;$F1064)</f>
        <v/>
      </c>
      <c r="N1064" s="114" t="str">
        <f aca="false">IF($E1064="","",IFERROR(INDEX(Config!$D$15:$D$19,MATCH($I1064,Config!$C$15:$C$19,0)),"OUT")&amp;IF($K1064="✓","x",""))</f>
        <v/>
      </c>
      <c r="O1064" s="114" t="str">
        <f aca="false">IF($E1064="","",COUNTIF($E$5:$E1064,$E1064))</f>
        <v/>
      </c>
      <c r="P1064" s="114" t="str">
        <f aca="false">IF($E1064="","",$E1064*100+$O1064)</f>
        <v/>
      </c>
      <c r="Q1064" s="114" t="str">
        <f aca="false">IF($L1064="Atrasado",$E1064*10000+$A1064,"")</f>
        <v/>
      </c>
    </row>
    <row r="1065" customFormat="false" ht="15" hidden="false" customHeight="false" outlineLevel="0" collapsed="false">
      <c r="A1065" s="114" t="n">
        <f aca="false">ROW()-4</f>
        <v>1061</v>
      </c>
      <c r="B1065" s="114" t="str">
        <f aca="false">IF(A1065&lt;=Config!$E$27*Config!$E$28,"Tema","Avulso")</f>
        <v>Tema</v>
      </c>
      <c r="C1065" s="114" t="n">
        <f aca="false">IF(B1065="Tema",INT((A1065-1)/Config!$E$28)+1,A1065-Config!$E$27*Config!$E$28)</f>
        <v>177</v>
      </c>
      <c r="D1065" s="114" t="n">
        <f aca="false">IF(B1065="Tema",MOD(A1065-1,Config!$E$28)+1,"")</f>
        <v>5</v>
      </c>
      <c r="E1065" s="115" t="str">
        <f aca="false">IF($B1065="Tema",IF(ISNUMBER(INDEX(Temas!$E$6:$P$305,$C1065,2*$D1065-1)),INDEX(Temas!$E$6:$P$305,$C1065,2*$D1065-1),""),IF(ISNUMBER(INDEX(Avulsos!$B$6:$B$205,$C1065)),INDEX(Avulsos!$B$6:$B$205,$C1065),""))</f>
        <v/>
      </c>
      <c r="F1065" s="114" t="str">
        <f aca="false">IF($E1065="","",IF($B1065="Tema",INDEX(Temas!$B$6:$B$305,$C1065)&amp;"",INDEX(Avulsos!$C$6:$C$205,$C1065)&amp;""))</f>
        <v/>
      </c>
      <c r="G1065" s="114" t="str">
        <f aca="false">IF($E1065="","",IF($B1065="Tema",INDEX(Config!$C$6:$C$11,$D1065),"Evento avulso"))</f>
        <v/>
      </c>
      <c r="H1065" s="114" t="str">
        <f aca="false">IF($E1065="","",IF($B1065="Tema",INDEX(Config!$D$6:$D$11,$D1065),IFERROR(INDEX(Config!$E$15:$E$19,MATCH($I1065,Config!$C$15:$C$19,0)),"•")))</f>
        <v/>
      </c>
      <c r="I1065" s="114" t="str">
        <f aca="false">IF($E1065="","",IF($B1065="Tema",INDEX(Config!$E$6:$E$11,$D1065),IF(INDEX(Avulsos!$D$6:$D$205,$C1065)&amp;""="","Outro",INDEX(Avulsos!$D$6:$D$205,$C1065))))</f>
        <v/>
      </c>
      <c r="J1065" s="114" t="str">
        <f aca="false">IF($E1065="","",IF($B1065="Tema",INDEX(Temas!$C$6:$C$305,$C1065)&amp;"",INDEX(Avulsos!$E$6:$E$205,$C1065)&amp;""))</f>
        <v/>
      </c>
      <c r="K1065" s="114" t="str">
        <f aca="false">IF($E1065="","",IF(IF($B1065="Tema",INDEX(Temas!$E$6:$P$305,$C1065,2*$D1065),INDEX(Avulsos!$F$6:$F$205,$C1065))&amp;""="","","✓"))</f>
        <v/>
      </c>
      <c r="L1065" s="114" t="str">
        <f aca="true">IF($E1065="","",IF($K1065="✓","Concluído",IF($E1065&lt;TODAY(),"Atrasado",IF($E1065=TODAY(),"Hoje","Pendente"))))</f>
        <v/>
      </c>
      <c r="M1065" s="114" t="str">
        <f aca="false">IF($E1065="","",IF($K1065="✓","✓ ","")&amp;IF(Config!$E$22="Sim",$H1065&amp;" · ","")&amp;$F1065)</f>
        <v/>
      </c>
      <c r="N1065" s="114" t="str">
        <f aca="false">IF($E1065="","",IFERROR(INDEX(Config!$D$15:$D$19,MATCH($I1065,Config!$C$15:$C$19,0)),"OUT")&amp;IF($K1065="✓","x",""))</f>
        <v/>
      </c>
      <c r="O1065" s="114" t="str">
        <f aca="false">IF($E1065="","",COUNTIF($E$5:$E1065,$E1065))</f>
        <v/>
      </c>
      <c r="P1065" s="114" t="str">
        <f aca="false">IF($E1065="","",$E1065*100+$O1065)</f>
        <v/>
      </c>
      <c r="Q1065" s="114" t="str">
        <f aca="false">IF($L1065="Atrasado",$E1065*10000+$A1065,"")</f>
        <v/>
      </c>
    </row>
    <row r="1066" customFormat="false" ht="15" hidden="false" customHeight="false" outlineLevel="0" collapsed="false">
      <c r="A1066" s="114" t="n">
        <f aca="false">ROW()-4</f>
        <v>1062</v>
      </c>
      <c r="B1066" s="114" t="str">
        <f aca="false">IF(A1066&lt;=Config!$E$27*Config!$E$28,"Tema","Avulso")</f>
        <v>Tema</v>
      </c>
      <c r="C1066" s="114" t="n">
        <f aca="false">IF(B1066="Tema",INT((A1066-1)/Config!$E$28)+1,A1066-Config!$E$27*Config!$E$28)</f>
        <v>177</v>
      </c>
      <c r="D1066" s="114" t="n">
        <f aca="false">IF(B1066="Tema",MOD(A1066-1,Config!$E$28)+1,"")</f>
        <v>6</v>
      </c>
      <c r="E1066" s="115" t="str">
        <f aca="false">IF($B1066="Tema",IF(ISNUMBER(INDEX(Temas!$E$6:$P$305,$C1066,2*$D1066-1)),INDEX(Temas!$E$6:$P$305,$C1066,2*$D1066-1),""),IF(ISNUMBER(INDEX(Avulsos!$B$6:$B$205,$C1066)),INDEX(Avulsos!$B$6:$B$205,$C1066),""))</f>
        <v/>
      </c>
      <c r="F1066" s="114" t="str">
        <f aca="false">IF($E1066="","",IF($B1066="Tema",INDEX(Temas!$B$6:$B$305,$C1066)&amp;"",INDEX(Avulsos!$C$6:$C$205,$C1066)&amp;""))</f>
        <v/>
      </c>
      <c r="G1066" s="114" t="str">
        <f aca="false">IF($E1066="","",IF($B1066="Tema",INDEX(Config!$C$6:$C$11,$D1066),"Evento avulso"))</f>
        <v/>
      </c>
      <c r="H1066" s="114" t="str">
        <f aca="false">IF($E1066="","",IF($B1066="Tema",INDEX(Config!$D$6:$D$11,$D1066),IFERROR(INDEX(Config!$E$15:$E$19,MATCH($I1066,Config!$C$15:$C$19,0)),"•")))</f>
        <v/>
      </c>
      <c r="I1066" s="114" t="str">
        <f aca="false">IF($E1066="","",IF($B1066="Tema",INDEX(Config!$E$6:$E$11,$D1066),IF(INDEX(Avulsos!$D$6:$D$205,$C1066)&amp;""="","Outro",INDEX(Avulsos!$D$6:$D$205,$C1066))))</f>
        <v/>
      </c>
      <c r="J1066" s="114" t="str">
        <f aca="false">IF($E1066="","",IF($B1066="Tema",INDEX(Temas!$C$6:$C$305,$C1066)&amp;"",INDEX(Avulsos!$E$6:$E$205,$C1066)&amp;""))</f>
        <v/>
      </c>
      <c r="K1066" s="114" t="str">
        <f aca="false">IF($E1066="","",IF(IF($B1066="Tema",INDEX(Temas!$E$6:$P$305,$C1066,2*$D1066),INDEX(Avulsos!$F$6:$F$205,$C1066))&amp;""="","","✓"))</f>
        <v/>
      </c>
      <c r="L1066" s="114" t="str">
        <f aca="true">IF($E1066="","",IF($K1066="✓","Concluído",IF($E1066&lt;TODAY(),"Atrasado",IF($E1066=TODAY(),"Hoje","Pendente"))))</f>
        <v/>
      </c>
      <c r="M1066" s="114" t="str">
        <f aca="false">IF($E1066="","",IF($K1066="✓","✓ ","")&amp;IF(Config!$E$22="Sim",$H1066&amp;" · ","")&amp;$F1066)</f>
        <v/>
      </c>
      <c r="N1066" s="114" t="str">
        <f aca="false">IF($E1066="","",IFERROR(INDEX(Config!$D$15:$D$19,MATCH($I1066,Config!$C$15:$C$19,0)),"OUT")&amp;IF($K1066="✓","x",""))</f>
        <v/>
      </c>
      <c r="O1066" s="114" t="str">
        <f aca="false">IF($E1066="","",COUNTIF($E$5:$E1066,$E1066))</f>
        <v/>
      </c>
      <c r="P1066" s="114" t="str">
        <f aca="false">IF($E1066="","",$E1066*100+$O1066)</f>
        <v/>
      </c>
      <c r="Q1066" s="114" t="str">
        <f aca="false">IF($L1066="Atrasado",$E1066*10000+$A1066,"")</f>
        <v/>
      </c>
    </row>
    <row r="1067" customFormat="false" ht="15" hidden="false" customHeight="false" outlineLevel="0" collapsed="false">
      <c r="A1067" s="114" t="n">
        <f aca="false">ROW()-4</f>
        <v>1063</v>
      </c>
      <c r="B1067" s="114" t="str">
        <f aca="false">IF(A1067&lt;=Config!$E$27*Config!$E$28,"Tema","Avulso")</f>
        <v>Tema</v>
      </c>
      <c r="C1067" s="114" t="n">
        <f aca="false">IF(B1067="Tema",INT((A1067-1)/Config!$E$28)+1,A1067-Config!$E$27*Config!$E$28)</f>
        <v>178</v>
      </c>
      <c r="D1067" s="114" t="n">
        <f aca="false">IF(B1067="Tema",MOD(A1067-1,Config!$E$28)+1,"")</f>
        <v>1</v>
      </c>
      <c r="E1067" s="115" t="str">
        <f aca="false">IF($B1067="Tema",IF(ISNUMBER(INDEX(Temas!$E$6:$P$305,$C1067,2*$D1067-1)),INDEX(Temas!$E$6:$P$305,$C1067,2*$D1067-1),""),IF(ISNUMBER(INDEX(Avulsos!$B$6:$B$205,$C1067)),INDEX(Avulsos!$B$6:$B$205,$C1067),""))</f>
        <v/>
      </c>
      <c r="F1067" s="114" t="str">
        <f aca="false">IF($E1067="","",IF($B1067="Tema",INDEX(Temas!$B$6:$B$305,$C1067)&amp;"",INDEX(Avulsos!$C$6:$C$205,$C1067)&amp;""))</f>
        <v/>
      </c>
      <c r="G1067" s="114" t="str">
        <f aca="false">IF($E1067="","",IF($B1067="Tema",INDEX(Config!$C$6:$C$11,$D1067),"Evento avulso"))</f>
        <v/>
      </c>
      <c r="H1067" s="114" t="str">
        <f aca="false">IF($E1067="","",IF($B1067="Tema",INDEX(Config!$D$6:$D$11,$D1067),IFERROR(INDEX(Config!$E$15:$E$19,MATCH($I1067,Config!$C$15:$C$19,0)),"•")))</f>
        <v/>
      </c>
      <c r="I1067" s="114" t="str">
        <f aca="false">IF($E1067="","",IF($B1067="Tema",INDEX(Config!$E$6:$E$11,$D1067),IF(INDEX(Avulsos!$D$6:$D$205,$C1067)&amp;""="","Outro",INDEX(Avulsos!$D$6:$D$205,$C1067))))</f>
        <v/>
      </c>
      <c r="J1067" s="114" t="str">
        <f aca="false">IF($E1067="","",IF($B1067="Tema",INDEX(Temas!$C$6:$C$305,$C1067)&amp;"",INDEX(Avulsos!$E$6:$E$205,$C1067)&amp;""))</f>
        <v/>
      </c>
      <c r="K1067" s="114" t="str">
        <f aca="false">IF($E1067="","",IF(IF($B1067="Tema",INDEX(Temas!$E$6:$P$305,$C1067,2*$D1067),INDEX(Avulsos!$F$6:$F$205,$C1067))&amp;""="","","✓"))</f>
        <v/>
      </c>
      <c r="L1067" s="114" t="str">
        <f aca="true">IF($E1067="","",IF($K1067="✓","Concluído",IF($E1067&lt;TODAY(),"Atrasado",IF($E1067=TODAY(),"Hoje","Pendente"))))</f>
        <v/>
      </c>
      <c r="M1067" s="114" t="str">
        <f aca="false">IF($E1067="","",IF($K1067="✓","✓ ","")&amp;IF(Config!$E$22="Sim",$H1067&amp;" · ","")&amp;$F1067)</f>
        <v/>
      </c>
      <c r="N1067" s="114" t="str">
        <f aca="false">IF($E1067="","",IFERROR(INDEX(Config!$D$15:$D$19,MATCH($I1067,Config!$C$15:$C$19,0)),"OUT")&amp;IF($K1067="✓","x",""))</f>
        <v/>
      </c>
      <c r="O1067" s="114" t="str">
        <f aca="false">IF($E1067="","",COUNTIF($E$5:$E1067,$E1067))</f>
        <v/>
      </c>
      <c r="P1067" s="114" t="str">
        <f aca="false">IF($E1067="","",$E1067*100+$O1067)</f>
        <v/>
      </c>
      <c r="Q1067" s="114" t="str">
        <f aca="false">IF($L1067="Atrasado",$E1067*10000+$A1067,"")</f>
        <v/>
      </c>
    </row>
    <row r="1068" customFormat="false" ht="15" hidden="false" customHeight="false" outlineLevel="0" collapsed="false">
      <c r="A1068" s="114" t="n">
        <f aca="false">ROW()-4</f>
        <v>1064</v>
      </c>
      <c r="B1068" s="114" t="str">
        <f aca="false">IF(A1068&lt;=Config!$E$27*Config!$E$28,"Tema","Avulso")</f>
        <v>Tema</v>
      </c>
      <c r="C1068" s="114" t="n">
        <f aca="false">IF(B1068="Tema",INT((A1068-1)/Config!$E$28)+1,A1068-Config!$E$27*Config!$E$28)</f>
        <v>178</v>
      </c>
      <c r="D1068" s="114" t="n">
        <f aca="false">IF(B1068="Tema",MOD(A1068-1,Config!$E$28)+1,"")</f>
        <v>2</v>
      </c>
      <c r="E1068" s="115" t="str">
        <f aca="false">IF($B1068="Tema",IF(ISNUMBER(INDEX(Temas!$E$6:$P$305,$C1068,2*$D1068-1)),INDEX(Temas!$E$6:$P$305,$C1068,2*$D1068-1),""),IF(ISNUMBER(INDEX(Avulsos!$B$6:$B$205,$C1068)),INDEX(Avulsos!$B$6:$B$205,$C1068),""))</f>
        <v/>
      </c>
      <c r="F1068" s="114" t="str">
        <f aca="false">IF($E1068="","",IF($B1068="Tema",INDEX(Temas!$B$6:$B$305,$C1068)&amp;"",INDEX(Avulsos!$C$6:$C$205,$C1068)&amp;""))</f>
        <v/>
      </c>
      <c r="G1068" s="114" t="str">
        <f aca="false">IF($E1068="","",IF($B1068="Tema",INDEX(Config!$C$6:$C$11,$D1068),"Evento avulso"))</f>
        <v/>
      </c>
      <c r="H1068" s="114" t="str">
        <f aca="false">IF($E1068="","",IF($B1068="Tema",INDEX(Config!$D$6:$D$11,$D1068),IFERROR(INDEX(Config!$E$15:$E$19,MATCH($I1068,Config!$C$15:$C$19,0)),"•")))</f>
        <v/>
      </c>
      <c r="I1068" s="114" t="str">
        <f aca="false">IF($E1068="","",IF($B1068="Tema",INDEX(Config!$E$6:$E$11,$D1068),IF(INDEX(Avulsos!$D$6:$D$205,$C1068)&amp;""="","Outro",INDEX(Avulsos!$D$6:$D$205,$C1068))))</f>
        <v/>
      </c>
      <c r="J1068" s="114" t="str">
        <f aca="false">IF($E1068="","",IF($B1068="Tema",INDEX(Temas!$C$6:$C$305,$C1068)&amp;"",INDEX(Avulsos!$E$6:$E$205,$C1068)&amp;""))</f>
        <v/>
      </c>
      <c r="K1068" s="114" t="str">
        <f aca="false">IF($E1068="","",IF(IF($B1068="Tema",INDEX(Temas!$E$6:$P$305,$C1068,2*$D1068),INDEX(Avulsos!$F$6:$F$205,$C1068))&amp;""="","","✓"))</f>
        <v/>
      </c>
      <c r="L1068" s="114" t="str">
        <f aca="true">IF($E1068="","",IF($K1068="✓","Concluído",IF($E1068&lt;TODAY(),"Atrasado",IF($E1068=TODAY(),"Hoje","Pendente"))))</f>
        <v/>
      </c>
      <c r="M1068" s="114" t="str">
        <f aca="false">IF($E1068="","",IF($K1068="✓","✓ ","")&amp;IF(Config!$E$22="Sim",$H1068&amp;" · ","")&amp;$F1068)</f>
        <v/>
      </c>
      <c r="N1068" s="114" t="str">
        <f aca="false">IF($E1068="","",IFERROR(INDEX(Config!$D$15:$D$19,MATCH($I1068,Config!$C$15:$C$19,0)),"OUT")&amp;IF($K1068="✓","x",""))</f>
        <v/>
      </c>
      <c r="O1068" s="114" t="str">
        <f aca="false">IF($E1068="","",COUNTIF($E$5:$E1068,$E1068))</f>
        <v/>
      </c>
      <c r="P1068" s="114" t="str">
        <f aca="false">IF($E1068="","",$E1068*100+$O1068)</f>
        <v/>
      </c>
      <c r="Q1068" s="114" t="str">
        <f aca="false">IF($L1068="Atrasado",$E1068*10000+$A1068,"")</f>
        <v/>
      </c>
    </row>
    <row r="1069" customFormat="false" ht="15" hidden="false" customHeight="false" outlineLevel="0" collapsed="false">
      <c r="A1069" s="114" t="n">
        <f aca="false">ROW()-4</f>
        <v>1065</v>
      </c>
      <c r="B1069" s="114" t="str">
        <f aca="false">IF(A1069&lt;=Config!$E$27*Config!$E$28,"Tema","Avulso")</f>
        <v>Tema</v>
      </c>
      <c r="C1069" s="114" t="n">
        <f aca="false">IF(B1069="Tema",INT((A1069-1)/Config!$E$28)+1,A1069-Config!$E$27*Config!$E$28)</f>
        <v>178</v>
      </c>
      <c r="D1069" s="114" t="n">
        <f aca="false">IF(B1069="Tema",MOD(A1069-1,Config!$E$28)+1,"")</f>
        <v>3</v>
      </c>
      <c r="E1069" s="115" t="str">
        <f aca="false">IF($B1069="Tema",IF(ISNUMBER(INDEX(Temas!$E$6:$P$305,$C1069,2*$D1069-1)),INDEX(Temas!$E$6:$P$305,$C1069,2*$D1069-1),""),IF(ISNUMBER(INDEX(Avulsos!$B$6:$B$205,$C1069)),INDEX(Avulsos!$B$6:$B$205,$C1069),""))</f>
        <v/>
      </c>
      <c r="F1069" s="114" t="str">
        <f aca="false">IF($E1069="","",IF($B1069="Tema",INDEX(Temas!$B$6:$B$305,$C1069)&amp;"",INDEX(Avulsos!$C$6:$C$205,$C1069)&amp;""))</f>
        <v/>
      </c>
      <c r="G1069" s="114" t="str">
        <f aca="false">IF($E1069="","",IF($B1069="Tema",INDEX(Config!$C$6:$C$11,$D1069),"Evento avulso"))</f>
        <v/>
      </c>
      <c r="H1069" s="114" t="str">
        <f aca="false">IF($E1069="","",IF($B1069="Tema",INDEX(Config!$D$6:$D$11,$D1069),IFERROR(INDEX(Config!$E$15:$E$19,MATCH($I1069,Config!$C$15:$C$19,0)),"•")))</f>
        <v/>
      </c>
      <c r="I1069" s="114" t="str">
        <f aca="false">IF($E1069="","",IF($B1069="Tema",INDEX(Config!$E$6:$E$11,$D1069),IF(INDEX(Avulsos!$D$6:$D$205,$C1069)&amp;""="","Outro",INDEX(Avulsos!$D$6:$D$205,$C1069))))</f>
        <v/>
      </c>
      <c r="J1069" s="114" t="str">
        <f aca="false">IF($E1069="","",IF($B1069="Tema",INDEX(Temas!$C$6:$C$305,$C1069)&amp;"",INDEX(Avulsos!$E$6:$E$205,$C1069)&amp;""))</f>
        <v/>
      </c>
      <c r="K1069" s="114" t="str">
        <f aca="false">IF($E1069="","",IF(IF($B1069="Tema",INDEX(Temas!$E$6:$P$305,$C1069,2*$D1069),INDEX(Avulsos!$F$6:$F$205,$C1069))&amp;""="","","✓"))</f>
        <v/>
      </c>
      <c r="L1069" s="114" t="str">
        <f aca="true">IF($E1069="","",IF($K1069="✓","Concluído",IF($E1069&lt;TODAY(),"Atrasado",IF($E1069=TODAY(),"Hoje","Pendente"))))</f>
        <v/>
      </c>
      <c r="M1069" s="114" t="str">
        <f aca="false">IF($E1069="","",IF($K1069="✓","✓ ","")&amp;IF(Config!$E$22="Sim",$H1069&amp;" · ","")&amp;$F1069)</f>
        <v/>
      </c>
      <c r="N1069" s="114" t="str">
        <f aca="false">IF($E1069="","",IFERROR(INDEX(Config!$D$15:$D$19,MATCH($I1069,Config!$C$15:$C$19,0)),"OUT")&amp;IF($K1069="✓","x",""))</f>
        <v/>
      </c>
      <c r="O1069" s="114" t="str">
        <f aca="false">IF($E1069="","",COUNTIF($E$5:$E1069,$E1069))</f>
        <v/>
      </c>
      <c r="P1069" s="114" t="str">
        <f aca="false">IF($E1069="","",$E1069*100+$O1069)</f>
        <v/>
      </c>
      <c r="Q1069" s="114" t="str">
        <f aca="false">IF($L1069="Atrasado",$E1069*10000+$A1069,"")</f>
        <v/>
      </c>
    </row>
    <row r="1070" customFormat="false" ht="15" hidden="false" customHeight="false" outlineLevel="0" collapsed="false">
      <c r="A1070" s="114" t="n">
        <f aca="false">ROW()-4</f>
        <v>1066</v>
      </c>
      <c r="B1070" s="114" t="str">
        <f aca="false">IF(A1070&lt;=Config!$E$27*Config!$E$28,"Tema","Avulso")</f>
        <v>Tema</v>
      </c>
      <c r="C1070" s="114" t="n">
        <f aca="false">IF(B1070="Tema",INT((A1070-1)/Config!$E$28)+1,A1070-Config!$E$27*Config!$E$28)</f>
        <v>178</v>
      </c>
      <c r="D1070" s="114" t="n">
        <f aca="false">IF(B1070="Tema",MOD(A1070-1,Config!$E$28)+1,"")</f>
        <v>4</v>
      </c>
      <c r="E1070" s="115" t="str">
        <f aca="false">IF($B1070="Tema",IF(ISNUMBER(INDEX(Temas!$E$6:$P$305,$C1070,2*$D1070-1)),INDEX(Temas!$E$6:$P$305,$C1070,2*$D1070-1),""),IF(ISNUMBER(INDEX(Avulsos!$B$6:$B$205,$C1070)),INDEX(Avulsos!$B$6:$B$205,$C1070),""))</f>
        <v/>
      </c>
      <c r="F1070" s="114" t="str">
        <f aca="false">IF($E1070="","",IF($B1070="Tema",INDEX(Temas!$B$6:$B$305,$C1070)&amp;"",INDEX(Avulsos!$C$6:$C$205,$C1070)&amp;""))</f>
        <v/>
      </c>
      <c r="G1070" s="114" t="str">
        <f aca="false">IF($E1070="","",IF($B1070="Tema",INDEX(Config!$C$6:$C$11,$D1070),"Evento avulso"))</f>
        <v/>
      </c>
      <c r="H1070" s="114" t="str">
        <f aca="false">IF($E1070="","",IF($B1070="Tema",INDEX(Config!$D$6:$D$11,$D1070),IFERROR(INDEX(Config!$E$15:$E$19,MATCH($I1070,Config!$C$15:$C$19,0)),"•")))</f>
        <v/>
      </c>
      <c r="I1070" s="114" t="str">
        <f aca="false">IF($E1070="","",IF($B1070="Tema",INDEX(Config!$E$6:$E$11,$D1070),IF(INDEX(Avulsos!$D$6:$D$205,$C1070)&amp;""="","Outro",INDEX(Avulsos!$D$6:$D$205,$C1070))))</f>
        <v/>
      </c>
      <c r="J1070" s="114" t="str">
        <f aca="false">IF($E1070="","",IF($B1070="Tema",INDEX(Temas!$C$6:$C$305,$C1070)&amp;"",INDEX(Avulsos!$E$6:$E$205,$C1070)&amp;""))</f>
        <v/>
      </c>
      <c r="K1070" s="114" t="str">
        <f aca="false">IF($E1070="","",IF(IF($B1070="Tema",INDEX(Temas!$E$6:$P$305,$C1070,2*$D1070),INDEX(Avulsos!$F$6:$F$205,$C1070))&amp;""="","","✓"))</f>
        <v/>
      </c>
      <c r="L1070" s="114" t="str">
        <f aca="true">IF($E1070="","",IF($K1070="✓","Concluído",IF($E1070&lt;TODAY(),"Atrasado",IF($E1070=TODAY(),"Hoje","Pendente"))))</f>
        <v/>
      </c>
      <c r="M1070" s="114" t="str">
        <f aca="false">IF($E1070="","",IF($K1070="✓","✓ ","")&amp;IF(Config!$E$22="Sim",$H1070&amp;" · ","")&amp;$F1070)</f>
        <v/>
      </c>
      <c r="N1070" s="114" t="str">
        <f aca="false">IF($E1070="","",IFERROR(INDEX(Config!$D$15:$D$19,MATCH($I1070,Config!$C$15:$C$19,0)),"OUT")&amp;IF($K1070="✓","x",""))</f>
        <v/>
      </c>
      <c r="O1070" s="114" t="str">
        <f aca="false">IF($E1070="","",COUNTIF($E$5:$E1070,$E1070))</f>
        <v/>
      </c>
      <c r="P1070" s="114" t="str">
        <f aca="false">IF($E1070="","",$E1070*100+$O1070)</f>
        <v/>
      </c>
      <c r="Q1070" s="114" t="str">
        <f aca="false">IF($L1070="Atrasado",$E1070*10000+$A1070,"")</f>
        <v/>
      </c>
    </row>
    <row r="1071" customFormat="false" ht="15" hidden="false" customHeight="false" outlineLevel="0" collapsed="false">
      <c r="A1071" s="114" t="n">
        <f aca="false">ROW()-4</f>
        <v>1067</v>
      </c>
      <c r="B1071" s="114" t="str">
        <f aca="false">IF(A1071&lt;=Config!$E$27*Config!$E$28,"Tema","Avulso")</f>
        <v>Tema</v>
      </c>
      <c r="C1071" s="114" t="n">
        <f aca="false">IF(B1071="Tema",INT((A1071-1)/Config!$E$28)+1,A1071-Config!$E$27*Config!$E$28)</f>
        <v>178</v>
      </c>
      <c r="D1071" s="114" t="n">
        <f aca="false">IF(B1071="Tema",MOD(A1071-1,Config!$E$28)+1,"")</f>
        <v>5</v>
      </c>
      <c r="E1071" s="115" t="str">
        <f aca="false">IF($B1071="Tema",IF(ISNUMBER(INDEX(Temas!$E$6:$P$305,$C1071,2*$D1071-1)),INDEX(Temas!$E$6:$P$305,$C1071,2*$D1071-1),""),IF(ISNUMBER(INDEX(Avulsos!$B$6:$B$205,$C1071)),INDEX(Avulsos!$B$6:$B$205,$C1071),""))</f>
        <v/>
      </c>
      <c r="F1071" s="114" t="str">
        <f aca="false">IF($E1071="","",IF($B1071="Tema",INDEX(Temas!$B$6:$B$305,$C1071)&amp;"",INDEX(Avulsos!$C$6:$C$205,$C1071)&amp;""))</f>
        <v/>
      </c>
      <c r="G1071" s="114" t="str">
        <f aca="false">IF($E1071="","",IF($B1071="Tema",INDEX(Config!$C$6:$C$11,$D1071),"Evento avulso"))</f>
        <v/>
      </c>
      <c r="H1071" s="114" t="str">
        <f aca="false">IF($E1071="","",IF($B1071="Tema",INDEX(Config!$D$6:$D$11,$D1071),IFERROR(INDEX(Config!$E$15:$E$19,MATCH($I1071,Config!$C$15:$C$19,0)),"•")))</f>
        <v/>
      </c>
      <c r="I1071" s="114" t="str">
        <f aca="false">IF($E1071="","",IF($B1071="Tema",INDEX(Config!$E$6:$E$11,$D1071),IF(INDEX(Avulsos!$D$6:$D$205,$C1071)&amp;""="","Outro",INDEX(Avulsos!$D$6:$D$205,$C1071))))</f>
        <v/>
      </c>
      <c r="J1071" s="114" t="str">
        <f aca="false">IF($E1071="","",IF($B1071="Tema",INDEX(Temas!$C$6:$C$305,$C1071)&amp;"",INDEX(Avulsos!$E$6:$E$205,$C1071)&amp;""))</f>
        <v/>
      </c>
      <c r="K1071" s="114" t="str">
        <f aca="false">IF($E1071="","",IF(IF($B1071="Tema",INDEX(Temas!$E$6:$P$305,$C1071,2*$D1071),INDEX(Avulsos!$F$6:$F$205,$C1071))&amp;""="","","✓"))</f>
        <v/>
      </c>
      <c r="L1071" s="114" t="str">
        <f aca="true">IF($E1071="","",IF($K1071="✓","Concluído",IF($E1071&lt;TODAY(),"Atrasado",IF($E1071=TODAY(),"Hoje","Pendente"))))</f>
        <v/>
      </c>
      <c r="M1071" s="114" t="str">
        <f aca="false">IF($E1071="","",IF($K1071="✓","✓ ","")&amp;IF(Config!$E$22="Sim",$H1071&amp;" · ","")&amp;$F1071)</f>
        <v/>
      </c>
      <c r="N1071" s="114" t="str">
        <f aca="false">IF($E1071="","",IFERROR(INDEX(Config!$D$15:$D$19,MATCH($I1071,Config!$C$15:$C$19,0)),"OUT")&amp;IF($K1071="✓","x",""))</f>
        <v/>
      </c>
      <c r="O1071" s="114" t="str">
        <f aca="false">IF($E1071="","",COUNTIF($E$5:$E1071,$E1071))</f>
        <v/>
      </c>
      <c r="P1071" s="114" t="str">
        <f aca="false">IF($E1071="","",$E1071*100+$O1071)</f>
        <v/>
      </c>
      <c r="Q1071" s="114" t="str">
        <f aca="false">IF($L1071="Atrasado",$E1071*10000+$A1071,"")</f>
        <v/>
      </c>
    </row>
    <row r="1072" customFormat="false" ht="15" hidden="false" customHeight="false" outlineLevel="0" collapsed="false">
      <c r="A1072" s="114" t="n">
        <f aca="false">ROW()-4</f>
        <v>1068</v>
      </c>
      <c r="B1072" s="114" t="str">
        <f aca="false">IF(A1072&lt;=Config!$E$27*Config!$E$28,"Tema","Avulso")</f>
        <v>Tema</v>
      </c>
      <c r="C1072" s="114" t="n">
        <f aca="false">IF(B1072="Tema",INT((A1072-1)/Config!$E$28)+1,A1072-Config!$E$27*Config!$E$28)</f>
        <v>178</v>
      </c>
      <c r="D1072" s="114" t="n">
        <f aca="false">IF(B1072="Tema",MOD(A1072-1,Config!$E$28)+1,"")</f>
        <v>6</v>
      </c>
      <c r="E1072" s="115" t="str">
        <f aca="false">IF($B1072="Tema",IF(ISNUMBER(INDEX(Temas!$E$6:$P$305,$C1072,2*$D1072-1)),INDEX(Temas!$E$6:$P$305,$C1072,2*$D1072-1),""),IF(ISNUMBER(INDEX(Avulsos!$B$6:$B$205,$C1072)),INDEX(Avulsos!$B$6:$B$205,$C1072),""))</f>
        <v/>
      </c>
      <c r="F1072" s="114" t="str">
        <f aca="false">IF($E1072="","",IF($B1072="Tema",INDEX(Temas!$B$6:$B$305,$C1072)&amp;"",INDEX(Avulsos!$C$6:$C$205,$C1072)&amp;""))</f>
        <v/>
      </c>
      <c r="G1072" s="114" t="str">
        <f aca="false">IF($E1072="","",IF($B1072="Tema",INDEX(Config!$C$6:$C$11,$D1072),"Evento avulso"))</f>
        <v/>
      </c>
      <c r="H1072" s="114" t="str">
        <f aca="false">IF($E1072="","",IF($B1072="Tema",INDEX(Config!$D$6:$D$11,$D1072),IFERROR(INDEX(Config!$E$15:$E$19,MATCH($I1072,Config!$C$15:$C$19,0)),"•")))</f>
        <v/>
      </c>
      <c r="I1072" s="114" t="str">
        <f aca="false">IF($E1072="","",IF($B1072="Tema",INDEX(Config!$E$6:$E$11,$D1072),IF(INDEX(Avulsos!$D$6:$D$205,$C1072)&amp;""="","Outro",INDEX(Avulsos!$D$6:$D$205,$C1072))))</f>
        <v/>
      </c>
      <c r="J1072" s="114" t="str">
        <f aca="false">IF($E1072="","",IF($B1072="Tema",INDEX(Temas!$C$6:$C$305,$C1072)&amp;"",INDEX(Avulsos!$E$6:$E$205,$C1072)&amp;""))</f>
        <v/>
      </c>
      <c r="K1072" s="114" t="str">
        <f aca="false">IF($E1072="","",IF(IF($B1072="Tema",INDEX(Temas!$E$6:$P$305,$C1072,2*$D1072),INDEX(Avulsos!$F$6:$F$205,$C1072))&amp;""="","","✓"))</f>
        <v/>
      </c>
      <c r="L1072" s="114" t="str">
        <f aca="true">IF($E1072="","",IF($K1072="✓","Concluído",IF($E1072&lt;TODAY(),"Atrasado",IF($E1072=TODAY(),"Hoje","Pendente"))))</f>
        <v/>
      </c>
      <c r="M1072" s="114" t="str">
        <f aca="false">IF($E1072="","",IF($K1072="✓","✓ ","")&amp;IF(Config!$E$22="Sim",$H1072&amp;" · ","")&amp;$F1072)</f>
        <v/>
      </c>
      <c r="N1072" s="114" t="str">
        <f aca="false">IF($E1072="","",IFERROR(INDEX(Config!$D$15:$D$19,MATCH($I1072,Config!$C$15:$C$19,0)),"OUT")&amp;IF($K1072="✓","x",""))</f>
        <v/>
      </c>
      <c r="O1072" s="114" t="str">
        <f aca="false">IF($E1072="","",COUNTIF($E$5:$E1072,$E1072))</f>
        <v/>
      </c>
      <c r="P1072" s="114" t="str">
        <f aca="false">IF($E1072="","",$E1072*100+$O1072)</f>
        <v/>
      </c>
      <c r="Q1072" s="114" t="str">
        <f aca="false">IF($L1072="Atrasado",$E1072*10000+$A1072,"")</f>
        <v/>
      </c>
    </row>
    <row r="1073" customFormat="false" ht="15" hidden="false" customHeight="false" outlineLevel="0" collapsed="false">
      <c r="A1073" s="114" t="n">
        <f aca="false">ROW()-4</f>
        <v>1069</v>
      </c>
      <c r="B1073" s="114" t="str">
        <f aca="false">IF(A1073&lt;=Config!$E$27*Config!$E$28,"Tema","Avulso")</f>
        <v>Tema</v>
      </c>
      <c r="C1073" s="114" t="n">
        <f aca="false">IF(B1073="Tema",INT((A1073-1)/Config!$E$28)+1,A1073-Config!$E$27*Config!$E$28)</f>
        <v>179</v>
      </c>
      <c r="D1073" s="114" t="n">
        <f aca="false">IF(B1073="Tema",MOD(A1073-1,Config!$E$28)+1,"")</f>
        <v>1</v>
      </c>
      <c r="E1073" s="115" t="str">
        <f aca="false">IF($B1073="Tema",IF(ISNUMBER(INDEX(Temas!$E$6:$P$305,$C1073,2*$D1073-1)),INDEX(Temas!$E$6:$P$305,$C1073,2*$D1073-1),""),IF(ISNUMBER(INDEX(Avulsos!$B$6:$B$205,$C1073)),INDEX(Avulsos!$B$6:$B$205,$C1073),""))</f>
        <v/>
      </c>
      <c r="F1073" s="114" t="str">
        <f aca="false">IF($E1073="","",IF($B1073="Tema",INDEX(Temas!$B$6:$B$305,$C1073)&amp;"",INDEX(Avulsos!$C$6:$C$205,$C1073)&amp;""))</f>
        <v/>
      </c>
      <c r="G1073" s="114" t="str">
        <f aca="false">IF($E1073="","",IF($B1073="Tema",INDEX(Config!$C$6:$C$11,$D1073),"Evento avulso"))</f>
        <v/>
      </c>
      <c r="H1073" s="114" t="str">
        <f aca="false">IF($E1073="","",IF($B1073="Tema",INDEX(Config!$D$6:$D$11,$D1073),IFERROR(INDEX(Config!$E$15:$E$19,MATCH($I1073,Config!$C$15:$C$19,0)),"•")))</f>
        <v/>
      </c>
      <c r="I1073" s="114" t="str">
        <f aca="false">IF($E1073="","",IF($B1073="Tema",INDEX(Config!$E$6:$E$11,$D1073),IF(INDEX(Avulsos!$D$6:$D$205,$C1073)&amp;""="","Outro",INDEX(Avulsos!$D$6:$D$205,$C1073))))</f>
        <v/>
      </c>
      <c r="J1073" s="114" t="str">
        <f aca="false">IF($E1073="","",IF($B1073="Tema",INDEX(Temas!$C$6:$C$305,$C1073)&amp;"",INDEX(Avulsos!$E$6:$E$205,$C1073)&amp;""))</f>
        <v/>
      </c>
      <c r="K1073" s="114" t="str">
        <f aca="false">IF($E1073="","",IF(IF($B1073="Tema",INDEX(Temas!$E$6:$P$305,$C1073,2*$D1073),INDEX(Avulsos!$F$6:$F$205,$C1073))&amp;""="","","✓"))</f>
        <v/>
      </c>
      <c r="L1073" s="114" t="str">
        <f aca="true">IF($E1073="","",IF($K1073="✓","Concluído",IF($E1073&lt;TODAY(),"Atrasado",IF($E1073=TODAY(),"Hoje","Pendente"))))</f>
        <v/>
      </c>
      <c r="M1073" s="114" t="str">
        <f aca="false">IF($E1073="","",IF($K1073="✓","✓ ","")&amp;IF(Config!$E$22="Sim",$H1073&amp;" · ","")&amp;$F1073)</f>
        <v/>
      </c>
      <c r="N1073" s="114" t="str">
        <f aca="false">IF($E1073="","",IFERROR(INDEX(Config!$D$15:$D$19,MATCH($I1073,Config!$C$15:$C$19,0)),"OUT")&amp;IF($K1073="✓","x",""))</f>
        <v/>
      </c>
      <c r="O1073" s="114" t="str">
        <f aca="false">IF($E1073="","",COUNTIF($E$5:$E1073,$E1073))</f>
        <v/>
      </c>
      <c r="P1073" s="114" t="str">
        <f aca="false">IF($E1073="","",$E1073*100+$O1073)</f>
        <v/>
      </c>
      <c r="Q1073" s="114" t="str">
        <f aca="false">IF($L1073="Atrasado",$E1073*10000+$A1073,"")</f>
        <v/>
      </c>
    </row>
    <row r="1074" customFormat="false" ht="15" hidden="false" customHeight="false" outlineLevel="0" collapsed="false">
      <c r="A1074" s="114" t="n">
        <f aca="false">ROW()-4</f>
        <v>1070</v>
      </c>
      <c r="B1074" s="114" t="str">
        <f aca="false">IF(A1074&lt;=Config!$E$27*Config!$E$28,"Tema","Avulso")</f>
        <v>Tema</v>
      </c>
      <c r="C1074" s="114" t="n">
        <f aca="false">IF(B1074="Tema",INT((A1074-1)/Config!$E$28)+1,A1074-Config!$E$27*Config!$E$28)</f>
        <v>179</v>
      </c>
      <c r="D1074" s="114" t="n">
        <f aca="false">IF(B1074="Tema",MOD(A1074-1,Config!$E$28)+1,"")</f>
        <v>2</v>
      </c>
      <c r="E1074" s="115" t="str">
        <f aca="false">IF($B1074="Tema",IF(ISNUMBER(INDEX(Temas!$E$6:$P$305,$C1074,2*$D1074-1)),INDEX(Temas!$E$6:$P$305,$C1074,2*$D1074-1),""),IF(ISNUMBER(INDEX(Avulsos!$B$6:$B$205,$C1074)),INDEX(Avulsos!$B$6:$B$205,$C1074),""))</f>
        <v/>
      </c>
      <c r="F1074" s="114" t="str">
        <f aca="false">IF($E1074="","",IF($B1074="Tema",INDEX(Temas!$B$6:$B$305,$C1074)&amp;"",INDEX(Avulsos!$C$6:$C$205,$C1074)&amp;""))</f>
        <v/>
      </c>
      <c r="G1074" s="114" t="str">
        <f aca="false">IF($E1074="","",IF($B1074="Tema",INDEX(Config!$C$6:$C$11,$D1074),"Evento avulso"))</f>
        <v/>
      </c>
      <c r="H1074" s="114" t="str">
        <f aca="false">IF($E1074="","",IF($B1074="Tema",INDEX(Config!$D$6:$D$11,$D1074),IFERROR(INDEX(Config!$E$15:$E$19,MATCH($I1074,Config!$C$15:$C$19,0)),"•")))</f>
        <v/>
      </c>
      <c r="I1074" s="114" t="str">
        <f aca="false">IF($E1074="","",IF($B1074="Tema",INDEX(Config!$E$6:$E$11,$D1074),IF(INDEX(Avulsos!$D$6:$D$205,$C1074)&amp;""="","Outro",INDEX(Avulsos!$D$6:$D$205,$C1074))))</f>
        <v/>
      </c>
      <c r="J1074" s="114" t="str">
        <f aca="false">IF($E1074="","",IF($B1074="Tema",INDEX(Temas!$C$6:$C$305,$C1074)&amp;"",INDEX(Avulsos!$E$6:$E$205,$C1074)&amp;""))</f>
        <v/>
      </c>
      <c r="K1074" s="114" t="str">
        <f aca="false">IF($E1074="","",IF(IF($B1074="Tema",INDEX(Temas!$E$6:$P$305,$C1074,2*$D1074),INDEX(Avulsos!$F$6:$F$205,$C1074))&amp;""="","","✓"))</f>
        <v/>
      </c>
      <c r="L1074" s="114" t="str">
        <f aca="true">IF($E1074="","",IF($K1074="✓","Concluído",IF($E1074&lt;TODAY(),"Atrasado",IF($E1074=TODAY(),"Hoje","Pendente"))))</f>
        <v/>
      </c>
      <c r="M1074" s="114" t="str">
        <f aca="false">IF($E1074="","",IF($K1074="✓","✓ ","")&amp;IF(Config!$E$22="Sim",$H1074&amp;" · ","")&amp;$F1074)</f>
        <v/>
      </c>
      <c r="N1074" s="114" t="str">
        <f aca="false">IF($E1074="","",IFERROR(INDEX(Config!$D$15:$D$19,MATCH($I1074,Config!$C$15:$C$19,0)),"OUT")&amp;IF($K1074="✓","x",""))</f>
        <v/>
      </c>
      <c r="O1074" s="114" t="str">
        <f aca="false">IF($E1074="","",COUNTIF($E$5:$E1074,$E1074))</f>
        <v/>
      </c>
      <c r="P1074" s="114" t="str">
        <f aca="false">IF($E1074="","",$E1074*100+$O1074)</f>
        <v/>
      </c>
      <c r="Q1074" s="114" t="str">
        <f aca="false">IF($L1074="Atrasado",$E1074*10000+$A1074,"")</f>
        <v/>
      </c>
    </row>
    <row r="1075" customFormat="false" ht="15" hidden="false" customHeight="false" outlineLevel="0" collapsed="false">
      <c r="A1075" s="114" t="n">
        <f aca="false">ROW()-4</f>
        <v>1071</v>
      </c>
      <c r="B1075" s="114" t="str">
        <f aca="false">IF(A1075&lt;=Config!$E$27*Config!$E$28,"Tema","Avulso")</f>
        <v>Tema</v>
      </c>
      <c r="C1075" s="114" t="n">
        <f aca="false">IF(B1075="Tema",INT((A1075-1)/Config!$E$28)+1,A1075-Config!$E$27*Config!$E$28)</f>
        <v>179</v>
      </c>
      <c r="D1075" s="114" t="n">
        <f aca="false">IF(B1075="Tema",MOD(A1075-1,Config!$E$28)+1,"")</f>
        <v>3</v>
      </c>
      <c r="E1075" s="115" t="str">
        <f aca="false">IF($B1075="Tema",IF(ISNUMBER(INDEX(Temas!$E$6:$P$305,$C1075,2*$D1075-1)),INDEX(Temas!$E$6:$P$305,$C1075,2*$D1075-1),""),IF(ISNUMBER(INDEX(Avulsos!$B$6:$B$205,$C1075)),INDEX(Avulsos!$B$6:$B$205,$C1075),""))</f>
        <v/>
      </c>
      <c r="F1075" s="114" t="str">
        <f aca="false">IF($E1075="","",IF($B1075="Tema",INDEX(Temas!$B$6:$B$305,$C1075)&amp;"",INDEX(Avulsos!$C$6:$C$205,$C1075)&amp;""))</f>
        <v/>
      </c>
      <c r="G1075" s="114" t="str">
        <f aca="false">IF($E1075="","",IF($B1075="Tema",INDEX(Config!$C$6:$C$11,$D1075),"Evento avulso"))</f>
        <v/>
      </c>
      <c r="H1075" s="114" t="str">
        <f aca="false">IF($E1075="","",IF($B1075="Tema",INDEX(Config!$D$6:$D$11,$D1075),IFERROR(INDEX(Config!$E$15:$E$19,MATCH($I1075,Config!$C$15:$C$19,0)),"•")))</f>
        <v/>
      </c>
      <c r="I1075" s="114" t="str">
        <f aca="false">IF($E1075="","",IF($B1075="Tema",INDEX(Config!$E$6:$E$11,$D1075),IF(INDEX(Avulsos!$D$6:$D$205,$C1075)&amp;""="","Outro",INDEX(Avulsos!$D$6:$D$205,$C1075))))</f>
        <v/>
      </c>
      <c r="J1075" s="114" t="str">
        <f aca="false">IF($E1075="","",IF($B1075="Tema",INDEX(Temas!$C$6:$C$305,$C1075)&amp;"",INDEX(Avulsos!$E$6:$E$205,$C1075)&amp;""))</f>
        <v/>
      </c>
      <c r="K1075" s="114" t="str">
        <f aca="false">IF($E1075="","",IF(IF($B1075="Tema",INDEX(Temas!$E$6:$P$305,$C1075,2*$D1075),INDEX(Avulsos!$F$6:$F$205,$C1075))&amp;""="","","✓"))</f>
        <v/>
      </c>
      <c r="L1075" s="114" t="str">
        <f aca="true">IF($E1075="","",IF($K1075="✓","Concluído",IF($E1075&lt;TODAY(),"Atrasado",IF($E1075=TODAY(),"Hoje","Pendente"))))</f>
        <v/>
      </c>
      <c r="M1075" s="114" t="str">
        <f aca="false">IF($E1075="","",IF($K1075="✓","✓ ","")&amp;IF(Config!$E$22="Sim",$H1075&amp;" · ","")&amp;$F1075)</f>
        <v/>
      </c>
      <c r="N1075" s="114" t="str">
        <f aca="false">IF($E1075="","",IFERROR(INDEX(Config!$D$15:$D$19,MATCH($I1075,Config!$C$15:$C$19,0)),"OUT")&amp;IF($K1075="✓","x",""))</f>
        <v/>
      </c>
      <c r="O1075" s="114" t="str">
        <f aca="false">IF($E1075="","",COUNTIF($E$5:$E1075,$E1075))</f>
        <v/>
      </c>
      <c r="P1075" s="114" t="str">
        <f aca="false">IF($E1075="","",$E1075*100+$O1075)</f>
        <v/>
      </c>
      <c r="Q1075" s="114" t="str">
        <f aca="false">IF($L1075="Atrasado",$E1075*10000+$A1075,"")</f>
        <v/>
      </c>
    </row>
    <row r="1076" customFormat="false" ht="15" hidden="false" customHeight="false" outlineLevel="0" collapsed="false">
      <c r="A1076" s="114" t="n">
        <f aca="false">ROW()-4</f>
        <v>1072</v>
      </c>
      <c r="B1076" s="114" t="str">
        <f aca="false">IF(A1076&lt;=Config!$E$27*Config!$E$28,"Tema","Avulso")</f>
        <v>Tema</v>
      </c>
      <c r="C1076" s="114" t="n">
        <f aca="false">IF(B1076="Tema",INT((A1076-1)/Config!$E$28)+1,A1076-Config!$E$27*Config!$E$28)</f>
        <v>179</v>
      </c>
      <c r="D1076" s="114" t="n">
        <f aca="false">IF(B1076="Tema",MOD(A1076-1,Config!$E$28)+1,"")</f>
        <v>4</v>
      </c>
      <c r="E1076" s="115" t="str">
        <f aca="false">IF($B1076="Tema",IF(ISNUMBER(INDEX(Temas!$E$6:$P$305,$C1076,2*$D1076-1)),INDEX(Temas!$E$6:$P$305,$C1076,2*$D1076-1),""),IF(ISNUMBER(INDEX(Avulsos!$B$6:$B$205,$C1076)),INDEX(Avulsos!$B$6:$B$205,$C1076),""))</f>
        <v/>
      </c>
      <c r="F1076" s="114" t="str">
        <f aca="false">IF($E1076="","",IF($B1076="Tema",INDEX(Temas!$B$6:$B$305,$C1076)&amp;"",INDEX(Avulsos!$C$6:$C$205,$C1076)&amp;""))</f>
        <v/>
      </c>
      <c r="G1076" s="114" t="str">
        <f aca="false">IF($E1076="","",IF($B1076="Tema",INDEX(Config!$C$6:$C$11,$D1076),"Evento avulso"))</f>
        <v/>
      </c>
      <c r="H1076" s="114" t="str">
        <f aca="false">IF($E1076="","",IF($B1076="Tema",INDEX(Config!$D$6:$D$11,$D1076),IFERROR(INDEX(Config!$E$15:$E$19,MATCH($I1076,Config!$C$15:$C$19,0)),"•")))</f>
        <v/>
      </c>
      <c r="I1076" s="114" t="str">
        <f aca="false">IF($E1076="","",IF($B1076="Tema",INDEX(Config!$E$6:$E$11,$D1076),IF(INDEX(Avulsos!$D$6:$D$205,$C1076)&amp;""="","Outro",INDEX(Avulsos!$D$6:$D$205,$C1076))))</f>
        <v/>
      </c>
      <c r="J1076" s="114" t="str">
        <f aca="false">IF($E1076="","",IF($B1076="Tema",INDEX(Temas!$C$6:$C$305,$C1076)&amp;"",INDEX(Avulsos!$E$6:$E$205,$C1076)&amp;""))</f>
        <v/>
      </c>
      <c r="K1076" s="114" t="str">
        <f aca="false">IF($E1076="","",IF(IF($B1076="Tema",INDEX(Temas!$E$6:$P$305,$C1076,2*$D1076),INDEX(Avulsos!$F$6:$F$205,$C1076))&amp;""="","","✓"))</f>
        <v/>
      </c>
      <c r="L1076" s="114" t="str">
        <f aca="true">IF($E1076="","",IF($K1076="✓","Concluído",IF($E1076&lt;TODAY(),"Atrasado",IF($E1076=TODAY(),"Hoje","Pendente"))))</f>
        <v/>
      </c>
      <c r="M1076" s="114" t="str">
        <f aca="false">IF($E1076="","",IF($K1076="✓","✓ ","")&amp;IF(Config!$E$22="Sim",$H1076&amp;" · ","")&amp;$F1076)</f>
        <v/>
      </c>
      <c r="N1076" s="114" t="str">
        <f aca="false">IF($E1076="","",IFERROR(INDEX(Config!$D$15:$D$19,MATCH($I1076,Config!$C$15:$C$19,0)),"OUT")&amp;IF($K1076="✓","x",""))</f>
        <v/>
      </c>
      <c r="O1076" s="114" t="str">
        <f aca="false">IF($E1076="","",COUNTIF($E$5:$E1076,$E1076))</f>
        <v/>
      </c>
      <c r="P1076" s="114" t="str">
        <f aca="false">IF($E1076="","",$E1076*100+$O1076)</f>
        <v/>
      </c>
      <c r="Q1076" s="114" t="str">
        <f aca="false">IF($L1076="Atrasado",$E1076*10000+$A1076,"")</f>
        <v/>
      </c>
    </row>
    <row r="1077" customFormat="false" ht="15" hidden="false" customHeight="false" outlineLevel="0" collapsed="false">
      <c r="A1077" s="114" t="n">
        <f aca="false">ROW()-4</f>
        <v>1073</v>
      </c>
      <c r="B1077" s="114" t="str">
        <f aca="false">IF(A1077&lt;=Config!$E$27*Config!$E$28,"Tema","Avulso")</f>
        <v>Tema</v>
      </c>
      <c r="C1077" s="114" t="n">
        <f aca="false">IF(B1077="Tema",INT((A1077-1)/Config!$E$28)+1,A1077-Config!$E$27*Config!$E$28)</f>
        <v>179</v>
      </c>
      <c r="D1077" s="114" t="n">
        <f aca="false">IF(B1077="Tema",MOD(A1077-1,Config!$E$28)+1,"")</f>
        <v>5</v>
      </c>
      <c r="E1077" s="115" t="str">
        <f aca="false">IF($B1077="Tema",IF(ISNUMBER(INDEX(Temas!$E$6:$P$305,$C1077,2*$D1077-1)),INDEX(Temas!$E$6:$P$305,$C1077,2*$D1077-1),""),IF(ISNUMBER(INDEX(Avulsos!$B$6:$B$205,$C1077)),INDEX(Avulsos!$B$6:$B$205,$C1077),""))</f>
        <v/>
      </c>
      <c r="F1077" s="114" t="str">
        <f aca="false">IF($E1077="","",IF($B1077="Tema",INDEX(Temas!$B$6:$B$305,$C1077)&amp;"",INDEX(Avulsos!$C$6:$C$205,$C1077)&amp;""))</f>
        <v/>
      </c>
      <c r="G1077" s="114" t="str">
        <f aca="false">IF($E1077="","",IF($B1077="Tema",INDEX(Config!$C$6:$C$11,$D1077),"Evento avulso"))</f>
        <v/>
      </c>
      <c r="H1077" s="114" t="str">
        <f aca="false">IF($E1077="","",IF($B1077="Tema",INDEX(Config!$D$6:$D$11,$D1077),IFERROR(INDEX(Config!$E$15:$E$19,MATCH($I1077,Config!$C$15:$C$19,0)),"•")))</f>
        <v/>
      </c>
      <c r="I1077" s="114" t="str">
        <f aca="false">IF($E1077="","",IF($B1077="Tema",INDEX(Config!$E$6:$E$11,$D1077),IF(INDEX(Avulsos!$D$6:$D$205,$C1077)&amp;""="","Outro",INDEX(Avulsos!$D$6:$D$205,$C1077))))</f>
        <v/>
      </c>
      <c r="J1077" s="114" t="str">
        <f aca="false">IF($E1077="","",IF($B1077="Tema",INDEX(Temas!$C$6:$C$305,$C1077)&amp;"",INDEX(Avulsos!$E$6:$E$205,$C1077)&amp;""))</f>
        <v/>
      </c>
      <c r="K1077" s="114" t="str">
        <f aca="false">IF($E1077="","",IF(IF($B1077="Tema",INDEX(Temas!$E$6:$P$305,$C1077,2*$D1077),INDEX(Avulsos!$F$6:$F$205,$C1077))&amp;""="","","✓"))</f>
        <v/>
      </c>
      <c r="L1077" s="114" t="str">
        <f aca="true">IF($E1077="","",IF($K1077="✓","Concluído",IF($E1077&lt;TODAY(),"Atrasado",IF($E1077=TODAY(),"Hoje","Pendente"))))</f>
        <v/>
      </c>
      <c r="M1077" s="114" t="str">
        <f aca="false">IF($E1077="","",IF($K1077="✓","✓ ","")&amp;IF(Config!$E$22="Sim",$H1077&amp;" · ","")&amp;$F1077)</f>
        <v/>
      </c>
      <c r="N1077" s="114" t="str">
        <f aca="false">IF($E1077="","",IFERROR(INDEX(Config!$D$15:$D$19,MATCH($I1077,Config!$C$15:$C$19,0)),"OUT")&amp;IF($K1077="✓","x",""))</f>
        <v/>
      </c>
      <c r="O1077" s="114" t="str">
        <f aca="false">IF($E1077="","",COUNTIF($E$5:$E1077,$E1077))</f>
        <v/>
      </c>
      <c r="P1077" s="114" t="str">
        <f aca="false">IF($E1077="","",$E1077*100+$O1077)</f>
        <v/>
      </c>
      <c r="Q1077" s="114" t="str">
        <f aca="false">IF($L1077="Atrasado",$E1077*10000+$A1077,"")</f>
        <v/>
      </c>
    </row>
    <row r="1078" customFormat="false" ht="15" hidden="false" customHeight="false" outlineLevel="0" collapsed="false">
      <c r="A1078" s="114" t="n">
        <f aca="false">ROW()-4</f>
        <v>1074</v>
      </c>
      <c r="B1078" s="114" t="str">
        <f aca="false">IF(A1078&lt;=Config!$E$27*Config!$E$28,"Tema","Avulso")</f>
        <v>Tema</v>
      </c>
      <c r="C1078" s="114" t="n">
        <f aca="false">IF(B1078="Tema",INT((A1078-1)/Config!$E$28)+1,A1078-Config!$E$27*Config!$E$28)</f>
        <v>179</v>
      </c>
      <c r="D1078" s="114" t="n">
        <f aca="false">IF(B1078="Tema",MOD(A1078-1,Config!$E$28)+1,"")</f>
        <v>6</v>
      </c>
      <c r="E1078" s="115" t="str">
        <f aca="false">IF($B1078="Tema",IF(ISNUMBER(INDEX(Temas!$E$6:$P$305,$C1078,2*$D1078-1)),INDEX(Temas!$E$6:$P$305,$C1078,2*$D1078-1),""),IF(ISNUMBER(INDEX(Avulsos!$B$6:$B$205,$C1078)),INDEX(Avulsos!$B$6:$B$205,$C1078),""))</f>
        <v/>
      </c>
      <c r="F1078" s="114" t="str">
        <f aca="false">IF($E1078="","",IF($B1078="Tema",INDEX(Temas!$B$6:$B$305,$C1078)&amp;"",INDEX(Avulsos!$C$6:$C$205,$C1078)&amp;""))</f>
        <v/>
      </c>
      <c r="G1078" s="114" t="str">
        <f aca="false">IF($E1078="","",IF($B1078="Tema",INDEX(Config!$C$6:$C$11,$D1078),"Evento avulso"))</f>
        <v/>
      </c>
      <c r="H1078" s="114" t="str">
        <f aca="false">IF($E1078="","",IF($B1078="Tema",INDEX(Config!$D$6:$D$11,$D1078),IFERROR(INDEX(Config!$E$15:$E$19,MATCH($I1078,Config!$C$15:$C$19,0)),"•")))</f>
        <v/>
      </c>
      <c r="I1078" s="114" t="str">
        <f aca="false">IF($E1078="","",IF($B1078="Tema",INDEX(Config!$E$6:$E$11,$D1078),IF(INDEX(Avulsos!$D$6:$D$205,$C1078)&amp;""="","Outro",INDEX(Avulsos!$D$6:$D$205,$C1078))))</f>
        <v/>
      </c>
      <c r="J1078" s="114" t="str">
        <f aca="false">IF($E1078="","",IF($B1078="Tema",INDEX(Temas!$C$6:$C$305,$C1078)&amp;"",INDEX(Avulsos!$E$6:$E$205,$C1078)&amp;""))</f>
        <v/>
      </c>
      <c r="K1078" s="114" t="str">
        <f aca="false">IF($E1078="","",IF(IF($B1078="Tema",INDEX(Temas!$E$6:$P$305,$C1078,2*$D1078),INDEX(Avulsos!$F$6:$F$205,$C1078))&amp;""="","","✓"))</f>
        <v/>
      </c>
      <c r="L1078" s="114" t="str">
        <f aca="true">IF($E1078="","",IF($K1078="✓","Concluído",IF($E1078&lt;TODAY(),"Atrasado",IF($E1078=TODAY(),"Hoje","Pendente"))))</f>
        <v/>
      </c>
      <c r="M1078" s="114" t="str">
        <f aca="false">IF($E1078="","",IF($K1078="✓","✓ ","")&amp;IF(Config!$E$22="Sim",$H1078&amp;" · ","")&amp;$F1078)</f>
        <v/>
      </c>
      <c r="N1078" s="114" t="str">
        <f aca="false">IF($E1078="","",IFERROR(INDEX(Config!$D$15:$D$19,MATCH($I1078,Config!$C$15:$C$19,0)),"OUT")&amp;IF($K1078="✓","x",""))</f>
        <v/>
      </c>
      <c r="O1078" s="114" t="str">
        <f aca="false">IF($E1078="","",COUNTIF($E$5:$E1078,$E1078))</f>
        <v/>
      </c>
      <c r="P1078" s="114" t="str">
        <f aca="false">IF($E1078="","",$E1078*100+$O1078)</f>
        <v/>
      </c>
      <c r="Q1078" s="114" t="str">
        <f aca="false">IF($L1078="Atrasado",$E1078*10000+$A1078,"")</f>
        <v/>
      </c>
    </row>
    <row r="1079" customFormat="false" ht="15" hidden="false" customHeight="false" outlineLevel="0" collapsed="false">
      <c r="A1079" s="114" t="n">
        <f aca="false">ROW()-4</f>
        <v>1075</v>
      </c>
      <c r="B1079" s="114" t="str">
        <f aca="false">IF(A1079&lt;=Config!$E$27*Config!$E$28,"Tema","Avulso")</f>
        <v>Tema</v>
      </c>
      <c r="C1079" s="114" t="n">
        <f aca="false">IF(B1079="Tema",INT((A1079-1)/Config!$E$28)+1,A1079-Config!$E$27*Config!$E$28)</f>
        <v>180</v>
      </c>
      <c r="D1079" s="114" t="n">
        <f aca="false">IF(B1079="Tema",MOD(A1079-1,Config!$E$28)+1,"")</f>
        <v>1</v>
      </c>
      <c r="E1079" s="115" t="str">
        <f aca="false">IF($B1079="Tema",IF(ISNUMBER(INDEX(Temas!$E$6:$P$305,$C1079,2*$D1079-1)),INDEX(Temas!$E$6:$P$305,$C1079,2*$D1079-1),""),IF(ISNUMBER(INDEX(Avulsos!$B$6:$B$205,$C1079)),INDEX(Avulsos!$B$6:$B$205,$C1079),""))</f>
        <v/>
      </c>
      <c r="F1079" s="114" t="str">
        <f aca="false">IF($E1079="","",IF($B1079="Tema",INDEX(Temas!$B$6:$B$305,$C1079)&amp;"",INDEX(Avulsos!$C$6:$C$205,$C1079)&amp;""))</f>
        <v/>
      </c>
      <c r="G1079" s="114" t="str">
        <f aca="false">IF($E1079="","",IF($B1079="Tema",INDEX(Config!$C$6:$C$11,$D1079),"Evento avulso"))</f>
        <v/>
      </c>
      <c r="H1079" s="114" t="str">
        <f aca="false">IF($E1079="","",IF($B1079="Tema",INDEX(Config!$D$6:$D$11,$D1079),IFERROR(INDEX(Config!$E$15:$E$19,MATCH($I1079,Config!$C$15:$C$19,0)),"•")))</f>
        <v/>
      </c>
      <c r="I1079" s="114" t="str">
        <f aca="false">IF($E1079="","",IF($B1079="Tema",INDEX(Config!$E$6:$E$11,$D1079),IF(INDEX(Avulsos!$D$6:$D$205,$C1079)&amp;""="","Outro",INDEX(Avulsos!$D$6:$D$205,$C1079))))</f>
        <v/>
      </c>
      <c r="J1079" s="114" t="str">
        <f aca="false">IF($E1079="","",IF($B1079="Tema",INDEX(Temas!$C$6:$C$305,$C1079)&amp;"",INDEX(Avulsos!$E$6:$E$205,$C1079)&amp;""))</f>
        <v/>
      </c>
      <c r="K1079" s="114" t="str">
        <f aca="false">IF($E1079="","",IF(IF($B1079="Tema",INDEX(Temas!$E$6:$P$305,$C1079,2*$D1079),INDEX(Avulsos!$F$6:$F$205,$C1079))&amp;""="","","✓"))</f>
        <v/>
      </c>
      <c r="L1079" s="114" t="str">
        <f aca="true">IF($E1079="","",IF($K1079="✓","Concluído",IF($E1079&lt;TODAY(),"Atrasado",IF($E1079=TODAY(),"Hoje","Pendente"))))</f>
        <v/>
      </c>
      <c r="M1079" s="114" t="str">
        <f aca="false">IF($E1079="","",IF($K1079="✓","✓ ","")&amp;IF(Config!$E$22="Sim",$H1079&amp;" · ","")&amp;$F1079)</f>
        <v/>
      </c>
      <c r="N1079" s="114" t="str">
        <f aca="false">IF($E1079="","",IFERROR(INDEX(Config!$D$15:$D$19,MATCH($I1079,Config!$C$15:$C$19,0)),"OUT")&amp;IF($K1079="✓","x",""))</f>
        <v/>
      </c>
      <c r="O1079" s="114" t="str">
        <f aca="false">IF($E1079="","",COUNTIF($E$5:$E1079,$E1079))</f>
        <v/>
      </c>
      <c r="P1079" s="114" t="str">
        <f aca="false">IF($E1079="","",$E1079*100+$O1079)</f>
        <v/>
      </c>
      <c r="Q1079" s="114" t="str">
        <f aca="false">IF($L1079="Atrasado",$E1079*10000+$A1079,"")</f>
        <v/>
      </c>
    </row>
    <row r="1080" customFormat="false" ht="15" hidden="false" customHeight="false" outlineLevel="0" collapsed="false">
      <c r="A1080" s="114" t="n">
        <f aca="false">ROW()-4</f>
        <v>1076</v>
      </c>
      <c r="B1080" s="114" t="str">
        <f aca="false">IF(A1080&lt;=Config!$E$27*Config!$E$28,"Tema","Avulso")</f>
        <v>Tema</v>
      </c>
      <c r="C1080" s="114" t="n">
        <f aca="false">IF(B1080="Tema",INT((A1080-1)/Config!$E$28)+1,A1080-Config!$E$27*Config!$E$28)</f>
        <v>180</v>
      </c>
      <c r="D1080" s="114" t="n">
        <f aca="false">IF(B1080="Tema",MOD(A1080-1,Config!$E$28)+1,"")</f>
        <v>2</v>
      </c>
      <c r="E1080" s="115" t="str">
        <f aca="false">IF($B1080="Tema",IF(ISNUMBER(INDEX(Temas!$E$6:$P$305,$C1080,2*$D1080-1)),INDEX(Temas!$E$6:$P$305,$C1080,2*$D1080-1),""),IF(ISNUMBER(INDEX(Avulsos!$B$6:$B$205,$C1080)),INDEX(Avulsos!$B$6:$B$205,$C1080),""))</f>
        <v/>
      </c>
      <c r="F1080" s="114" t="str">
        <f aca="false">IF($E1080="","",IF($B1080="Tema",INDEX(Temas!$B$6:$B$305,$C1080)&amp;"",INDEX(Avulsos!$C$6:$C$205,$C1080)&amp;""))</f>
        <v/>
      </c>
      <c r="G1080" s="114" t="str">
        <f aca="false">IF($E1080="","",IF($B1080="Tema",INDEX(Config!$C$6:$C$11,$D1080),"Evento avulso"))</f>
        <v/>
      </c>
      <c r="H1080" s="114" t="str">
        <f aca="false">IF($E1080="","",IF($B1080="Tema",INDEX(Config!$D$6:$D$11,$D1080),IFERROR(INDEX(Config!$E$15:$E$19,MATCH($I1080,Config!$C$15:$C$19,0)),"•")))</f>
        <v/>
      </c>
      <c r="I1080" s="114" t="str">
        <f aca="false">IF($E1080="","",IF($B1080="Tema",INDEX(Config!$E$6:$E$11,$D1080),IF(INDEX(Avulsos!$D$6:$D$205,$C1080)&amp;""="","Outro",INDEX(Avulsos!$D$6:$D$205,$C1080))))</f>
        <v/>
      </c>
      <c r="J1080" s="114" t="str">
        <f aca="false">IF($E1080="","",IF($B1080="Tema",INDEX(Temas!$C$6:$C$305,$C1080)&amp;"",INDEX(Avulsos!$E$6:$E$205,$C1080)&amp;""))</f>
        <v/>
      </c>
      <c r="K1080" s="114" t="str">
        <f aca="false">IF($E1080="","",IF(IF($B1080="Tema",INDEX(Temas!$E$6:$P$305,$C1080,2*$D1080),INDEX(Avulsos!$F$6:$F$205,$C1080))&amp;""="","","✓"))</f>
        <v/>
      </c>
      <c r="L1080" s="114" t="str">
        <f aca="true">IF($E1080="","",IF($K1080="✓","Concluído",IF($E1080&lt;TODAY(),"Atrasado",IF($E1080=TODAY(),"Hoje","Pendente"))))</f>
        <v/>
      </c>
      <c r="M1080" s="114" t="str">
        <f aca="false">IF($E1080="","",IF($K1080="✓","✓ ","")&amp;IF(Config!$E$22="Sim",$H1080&amp;" · ","")&amp;$F1080)</f>
        <v/>
      </c>
      <c r="N1080" s="114" t="str">
        <f aca="false">IF($E1080="","",IFERROR(INDEX(Config!$D$15:$D$19,MATCH($I1080,Config!$C$15:$C$19,0)),"OUT")&amp;IF($K1080="✓","x",""))</f>
        <v/>
      </c>
      <c r="O1080" s="114" t="str">
        <f aca="false">IF($E1080="","",COUNTIF($E$5:$E1080,$E1080))</f>
        <v/>
      </c>
      <c r="P1080" s="114" t="str">
        <f aca="false">IF($E1080="","",$E1080*100+$O1080)</f>
        <v/>
      </c>
      <c r="Q1080" s="114" t="str">
        <f aca="false">IF($L1080="Atrasado",$E1080*10000+$A1080,"")</f>
        <v/>
      </c>
    </row>
    <row r="1081" customFormat="false" ht="15" hidden="false" customHeight="false" outlineLevel="0" collapsed="false">
      <c r="A1081" s="114" t="n">
        <f aca="false">ROW()-4</f>
        <v>1077</v>
      </c>
      <c r="B1081" s="114" t="str">
        <f aca="false">IF(A1081&lt;=Config!$E$27*Config!$E$28,"Tema","Avulso")</f>
        <v>Tema</v>
      </c>
      <c r="C1081" s="114" t="n">
        <f aca="false">IF(B1081="Tema",INT((A1081-1)/Config!$E$28)+1,A1081-Config!$E$27*Config!$E$28)</f>
        <v>180</v>
      </c>
      <c r="D1081" s="114" t="n">
        <f aca="false">IF(B1081="Tema",MOD(A1081-1,Config!$E$28)+1,"")</f>
        <v>3</v>
      </c>
      <c r="E1081" s="115" t="str">
        <f aca="false">IF($B1081="Tema",IF(ISNUMBER(INDEX(Temas!$E$6:$P$305,$C1081,2*$D1081-1)),INDEX(Temas!$E$6:$P$305,$C1081,2*$D1081-1),""),IF(ISNUMBER(INDEX(Avulsos!$B$6:$B$205,$C1081)),INDEX(Avulsos!$B$6:$B$205,$C1081),""))</f>
        <v/>
      </c>
      <c r="F1081" s="114" t="str">
        <f aca="false">IF($E1081="","",IF($B1081="Tema",INDEX(Temas!$B$6:$B$305,$C1081)&amp;"",INDEX(Avulsos!$C$6:$C$205,$C1081)&amp;""))</f>
        <v/>
      </c>
      <c r="G1081" s="114" t="str">
        <f aca="false">IF($E1081="","",IF($B1081="Tema",INDEX(Config!$C$6:$C$11,$D1081),"Evento avulso"))</f>
        <v/>
      </c>
      <c r="H1081" s="114" t="str">
        <f aca="false">IF($E1081="","",IF($B1081="Tema",INDEX(Config!$D$6:$D$11,$D1081),IFERROR(INDEX(Config!$E$15:$E$19,MATCH($I1081,Config!$C$15:$C$19,0)),"•")))</f>
        <v/>
      </c>
      <c r="I1081" s="114" t="str">
        <f aca="false">IF($E1081="","",IF($B1081="Tema",INDEX(Config!$E$6:$E$11,$D1081),IF(INDEX(Avulsos!$D$6:$D$205,$C1081)&amp;""="","Outro",INDEX(Avulsos!$D$6:$D$205,$C1081))))</f>
        <v/>
      </c>
      <c r="J1081" s="114" t="str">
        <f aca="false">IF($E1081="","",IF($B1081="Tema",INDEX(Temas!$C$6:$C$305,$C1081)&amp;"",INDEX(Avulsos!$E$6:$E$205,$C1081)&amp;""))</f>
        <v/>
      </c>
      <c r="K1081" s="114" t="str">
        <f aca="false">IF($E1081="","",IF(IF($B1081="Tema",INDEX(Temas!$E$6:$P$305,$C1081,2*$D1081),INDEX(Avulsos!$F$6:$F$205,$C1081))&amp;""="","","✓"))</f>
        <v/>
      </c>
      <c r="L1081" s="114" t="str">
        <f aca="true">IF($E1081="","",IF($K1081="✓","Concluído",IF($E1081&lt;TODAY(),"Atrasado",IF($E1081=TODAY(),"Hoje","Pendente"))))</f>
        <v/>
      </c>
      <c r="M1081" s="114" t="str">
        <f aca="false">IF($E1081="","",IF($K1081="✓","✓ ","")&amp;IF(Config!$E$22="Sim",$H1081&amp;" · ","")&amp;$F1081)</f>
        <v/>
      </c>
      <c r="N1081" s="114" t="str">
        <f aca="false">IF($E1081="","",IFERROR(INDEX(Config!$D$15:$D$19,MATCH($I1081,Config!$C$15:$C$19,0)),"OUT")&amp;IF($K1081="✓","x",""))</f>
        <v/>
      </c>
      <c r="O1081" s="114" t="str">
        <f aca="false">IF($E1081="","",COUNTIF($E$5:$E1081,$E1081))</f>
        <v/>
      </c>
      <c r="P1081" s="114" t="str">
        <f aca="false">IF($E1081="","",$E1081*100+$O1081)</f>
        <v/>
      </c>
      <c r="Q1081" s="114" t="str">
        <f aca="false">IF($L1081="Atrasado",$E1081*10000+$A1081,"")</f>
        <v/>
      </c>
    </row>
    <row r="1082" customFormat="false" ht="15" hidden="false" customHeight="false" outlineLevel="0" collapsed="false">
      <c r="A1082" s="114" t="n">
        <f aca="false">ROW()-4</f>
        <v>1078</v>
      </c>
      <c r="B1082" s="114" t="str">
        <f aca="false">IF(A1082&lt;=Config!$E$27*Config!$E$28,"Tema","Avulso")</f>
        <v>Tema</v>
      </c>
      <c r="C1082" s="114" t="n">
        <f aca="false">IF(B1082="Tema",INT((A1082-1)/Config!$E$28)+1,A1082-Config!$E$27*Config!$E$28)</f>
        <v>180</v>
      </c>
      <c r="D1082" s="114" t="n">
        <f aca="false">IF(B1082="Tema",MOD(A1082-1,Config!$E$28)+1,"")</f>
        <v>4</v>
      </c>
      <c r="E1082" s="115" t="str">
        <f aca="false">IF($B1082="Tema",IF(ISNUMBER(INDEX(Temas!$E$6:$P$305,$C1082,2*$D1082-1)),INDEX(Temas!$E$6:$P$305,$C1082,2*$D1082-1),""),IF(ISNUMBER(INDEX(Avulsos!$B$6:$B$205,$C1082)),INDEX(Avulsos!$B$6:$B$205,$C1082),""))</f>
        <v/>
      </c>
      <c r="F1082" s="114" t="str">
        <f aca="false">IF($E1082="","",IF($B1082="Tema",INDEX(Temas!$B$6:$B$305,$C1082)&amp;"",INDEX(Avulsos!$C$6:$C$205,$C1082)&amp;""))</f>
        <v/>
      </c>
      <c r="G1082" s="114" t="str">
        <f aca="false">IF($E1082="","",IF($B1082="Tema",INDEX(Config!$C$6:$C$11,$D1082),"Evento avulso"))</f>
        <v/>
      </c>
      <c r="H1082" s="114" t="str">
        <f aca="false">IF($E1082="","",IF($B1082="Tema",INDEX(Config!$D$6:$D$11,$D1082),IFERROR(INDEX(Config!$E$15:$E$19,MATCH($I1082,Config!$C$15:$C$19,0)),"•")))</f>
        <v/>
      </c>
      <c r="I1082" s="114" t="str">
        <f aca="false">IF($E1082="","",IF($B1082="Tema",INDEX(Config!$E$6:$E$11,$D1082),IF(INDEX(Avulsos!$D$6:$D$205,$C1082)&amp;""="","Outro",INDEX(Avulsos!$D$6:$D$205,$C1082))))</f>
        <v/>
      </c>
      <c r="J1082" s="114" t="str">
        <f aca="false">IF($E1082="","",IF($B1082="Tema",INDEX(Temas!$C$6:$C$305,$C1082)&amp;"",INDEX(Avulsos!$E$6:$E$205,$C1082)&amp;""))</f>
        <v/>
      </c>
      <c r="K1082" s="114" t="str">
        <f aca="false">IF($E1082="","",IF(IF($B1082="Tema",INDEX(Temas!$E$6:$P$305,$C1082,2*$D1082),INDEX(Avulsos!$F$6:$F$205,$C1082))&amp;""="","","✓"))</f>
        <v/>
      </c>
      <c r="L1082" s="114" t="str">
        <f aca="true">IF($E1082="","",IF($K1082="✓","Concluído",IF($E1082&lt;TODAY(),"Atrasado",IF($E1082=TODAY(),"Hoje","Pendente"))))</f>
        <v/>
      </c>
      <c r="M1082" s="114" t="str">
        <f aca="false">IF($E1082="","",IF($K1082="✓","✓ ","")&amp;IF(Config!$E$22="Sim",$H1082&amp;" · ","")&amp;$F1082)</f>
        <v/>
      </c>
      <c r="N1082" s="114" t="str">
        <f aca="false">IF($E1082="","",IFERROR(INDEX(Config!$D$15:$D$19,MATCH($I1082,Config!$C$15:$C$19,0)),"OUT")&amp;IF($K1082="✓","x",""))</f>
        <v/>
      </c>
      <c r="O1082" s="114" t="str">
        <f aca="false">IF($E1082="","",COUNTIF($E$5:$E1082,$E1082))</f>
        <v/>
      </c>
      <c r="P1082" s="114" t="str">
        <f aca="false">IF($E1082="","",$E1082*100+$O1082)</f>
        <v/>
      </c>
      <c r="Q1082" s="114" t="str">
        <f aca="false">IF($L1082="Atrasado",$E1082*10000+$A1082,"")</f>
        <v/>
      </c>
    </row>
    <row r="1083" customFormat="false" ht="15" hidden="false" customHeight="false" outlineLevel="0" collapsed="false">
      <c r="A1083" s="114" t="n">
        <f aca="false">ROW()-4</f>
        <v>1079</v>
      </c>
      <c r="B1083" s="114" t="str">
        <f aca="false">IF(A1083&lt;=Config!$E$27*Config!$E$28,"Tema","Avulso")</f>
        <v>Tema</v>
      </c>
      <c r="C1083" s="114" t="n">
        <f aca="false">IF(B1083="Tema",INT((A1083-1)/Config!$E$28)+1,A1083-Config!$E$27*Config!$E$28)</f>
        <v>180</v>
      </c>
      <c r="D1083" s="114" t="n">
        <f aca="false">IF(B1083="Tema",MOD(A1083-1,Config!$E$28)+1,"")</f>
        <v>5</v>
      </c>
      <c r="E1083" s="115" t="str">
        <f aca="false">IF($B1083="Tema",IF(ISNUMBER(INDEX(Temas!$E$6:$P$305,$C1083,2*$D1083-1)),INDEX(Temas!$E$6:$P$305,$C1083,2*$D1083-1),""),IF(ISNUMBER(INDEX(Avulsos!$B$6:$B$205,$C1083)),INDEX(Avulsos!$B$6:$B$205,$C1083),""))</f>
        <v/>
      </c>
      <c r="F1083" s="114" t="str">
        <f aca="false">IF($E1083="","",IF($B1083="Tema",INDEX(Temas!$B$6:$B$305,$C1083)&amp;"",INDEX(Avulsos!$C$6:$C$205,$C1083)&amp;""))</f>
        <v/>
      </c>
      <c r="G1083" s="114" t="str">
        <f aca="false">IF($E1083="","",IF($B1083="Tema",INDEX(Config!$C$6:$C$11,$D1083),"Evento avulso"))</f>
        <v/>
      </c>
      <c r="H1083" s="114" t="str">
        <f aca="false">IF($E1083="","",IF($B1083="Tema",INDEX(Config!$D$6:$D$11,$D1083),IFERROR(INDEX(Config!$E$15:$E$19,MATCH($I1083,Config!$C$15:$C$19,0)),"•")))</f>
        <v/>
      </c>
      <c r="I1083" s="114" t="str">
        <f aca="false">IF($E1083="","",IF($B1083="Tema",INDEX(Config!$E$6:$E$11,$D1083),IF(INDEX(Avulsos!$D$6:$D$205,$C1083)&amp;""="","Outro",INDEX(Avulsos!$D$6:$D$205,$C1083))))</f>
        <v/>
      </c>
      <c r="J1083" s="114" t="str">
        <f aca="false">IF($E1083="","",IF($B1083="Tema",INDEX(Temas!$C$6:$C$305,$C1083)&amp;"",INDEX(Avulsos!$E$6:$E$205,$C1083)&amp;""))</f>
        <v/>
      </c>
      <c r="K1083" s="114" t="str">
        <f aca="false">IF($E1083="","",IF(IF($B1083="Tema",INDEX(Temas!$E$6:$P$305,$C1083,2*$D1083),INDEX(Avulsos!$F$6:$F$205,$C1083))&amp;""="","","✓"))</f>
        <v/>
      </c>
      <c r="L1083" s="114" t="str">
        <f aca="true">IF($E1083="","",IF($K1083="✓","Concluído",IF($E1083&lt;TODAY(),"Atrasado",IF($E1083=TODAY(),"Hoje","Pendente"))))</f>
        <v/>
      </c>
      <c r="M1083" s="114" t="str">
        <f aca="false">IF($E1083="","",IF($K1083="✓","✓ ","")&amp;IF(Config!$E$22="Sim",$H1083&amp;" · ","")&amp;$F1083)</f>
        <v/>
      </c>
      <c r="N1083" s="114" t="str">
        <f aca="false">IF($E1083="","",IFERROR(INDEX(Config!$D$15:$D$19,MATCH($I1083,Config!$C$15:$C$19,0)),"OUT")&amp;IF($K1083="✓","x",""))</f>
        <v/>
      </c>
      <c r="O1083" s="114" t="str">
        <f aca="false">IF($E1083="","",COUNTIF($E$5:$E1083,$E1083))</f>
        <v/>
      </c>
      <c r="P1083" s="114" t="str">
        <f aca="false">IF($E1083="","",$E1083*100+$O1083)</f>
        <v/>
      </c>
      <c r="Q1083" s="114" t="str">
        <f aca="false">IF($L1083="Atrasado",$E1083*10000+$A1083,"")</f>
        <v/>
      </c>
    </row>
    <row r="1084" customFormat="false" ht="15" hidden="false" customHeight="false" outlineLevel="0" collapsed="false">
      <c r="A1084" s="114" t="n">
        <f aca="false">ROW()-4</f>
        <v>1080</v>
      </c>
      <c r="B1084" s="114" t="str">
        <f aca="false">IF(A1084&lt;=Config!$E$27*Config!$E$28,"Tema","Avulso")</f>
        <v>Tema</v>
      </c>
      <c r="C1084" s="114" t="n">
        <f aca="false">IF(B1084="Tema",INT((A1084-1)/Config!$E$28)+1,A1084-Config!$E$27*Config!$E$28)</f>
        <v>180</v>
      </c>
      <c r="D1084" s="114" t="n">
        <f aca="false">IF(B1084="Tema",MOD(A1084-1,Config!$E$28)+1,"")</f>
        <v>6</v>
      </c>
      <c r="E1084" s="115" t="str">
        <f aca="false">IF($B1084="Tema",IF(ISNUMBER(INDEX(Temas!$E$6:$P$305,$C1084,2*$D1084-1)),INDEX(Temas!$E$6:$P$305,$C1084,2*$D1084-1),""),IF(ISNUMBER(INDEX(Avulsos!$B$6:$B$205,$C1084)),INDEX(Avulsos!$B$6:$B$205,$C1084),""))</f>
        <v/>
      </c>
      <c r="F1084" s="114" t="str">
        <f aca="false">IF($E1084="","",IF($B1084="Tema",INDEX(Temas!$B$6:$B$305,$C1084)&amp;"",INDEX(Avulsos!$C$6:$C$205,$C1084)&amp;""))</f>
        <v/>
      </c>
      <c r="G1084" s="114" t="str">
        <f aca="false">IF($E1084="","",IF($B1084="Tema",INDEX(Config!$C$6:$C$11,$D1084),"Evento avulso"))</f>
        <v/>
      </c>
      <c r="H1084" s="114" t="str">
        <f aca="false">IF($E1084="","",IF($B1084="Tema",INDEX(Config!$D$6:$D$11,$D1084),IFERROR(INDEX(Config!$E$15:$E$19,MATCH($I1084,Config!$C$15:$C$19,0)),"•")))</f>
        <v/>
      </c>
      <c r="I1084" s="114" t="str">
        <f aca="false">IF($E1084="","",IF($B1084="Tema",INDEX(Config!$E$6:$E$11,$D1084),IF(INDEX(Avulsos!$D$6:$D$205,$C1084)&amp;""="","Outro",INDEX(Avulsos!$D$6:$D$205,$C1084))))</f>
        <v/>
      </c>
      <c r="J1084" s="114" t="str">
        <f aca="false">IF($E1084="","",IF($B1084="Tema",INDEX(Temas!$C$6:$C$305,$C1084)&amp;"",INDEX(Avulsos!$E$6:$E$205,$C1084)&amp;""))</f>
        <v/>
      </c>
      <c r="K1084" s="114" t="str">
        <f aca="false">IF($E1084="","",IF(IF($B1084="Tema",INDEX(Temas!$E$6:$P$305,$C1084,2*$D1084),INDEX(Avulsos!$F$6:$F$205,$C1084))&amp;""="","","✓"))</f>
        <v/>
      </c>
      <c r="L1084" s="114" t="str">
        <f aca="true">IF($E1084="","",IF($K1084="✓","Concluído",IF($E1084&lt;TODAY(),"Atrasado",IF($E1084=TODAY(),"Hoje","Pendente"))))</f>
        <v/>
      </c>
      <c r="M1084" s="114" t="str">
        <f aca="false">IF($E1084="","",IF($K1084="✓","✓ ","")&amp;IF(Config!$E$22="Sim",$H1084&amp;" · ","")&amp;$F1084)</f>
        <v/>
      </c>
      <c r="N1084" s="114" t="str">
        <f aca="false">IF($E1084="","",IFERROR(INDEX(Config!$D$15:$D$19,MATCH($I1084,Config!$C$15:$C$19,0)),"OUT")&amp;IF($K1084="✓","x",""))</f>
        <v/>
      </c>
      <c r="O1084" s="114" t="str">
        <f aca="false">IF($E1084="","",COUNTIF($E$5:$E1084,$E1084))</f>
        <v/>
      </c>
      <c r="P1084" s="114" t="str">
        <f aca="false">IF($E1084="","",$E1084*100+$O1084)</f>
        <v/>
      </c>
      <c r="Q1084" s="114" t="str">
        <f aca="false">IF($L1084="Atrasado",$E1084*10000+$A1084,"")</f>
        <v/>
      </c>
    </row>
    <row r="1085" customFormat="false" ht="15" hidden="false" customHeight="false" outlineLevel="0" collapsed="false">
      <c r="A1085" s="114" t="n">
        <f aca="false">ROW()-4</f>
        <v>1081</v>
      </c>
      <c r="B1085" s="114" t="str">
        <f aca="false">IF(A1085&lt;=Config!$E$27*Config!$E$28,"Tema","Avulso")</f>
        <v>Tema</v>
      </c>
      <c r="C1085" s="114" t="n">
        <f aca="false">IF(B1085="Tema",INT((A1085-1)/Config!$E$28)+1,A1085-Config!$E$27*Config!$E$28)</f>
        <v>181</v>
      </c>
      <c r="D1085" s="114" t="n">
        <f aca="false">IF(B1085="Tema",MOD(A1085-1,Config!$E$28)+1,"")</f>
        <v>1</v>
      </c>
      <c r="E1085" s="115" t="str">
        <f aca="false">IF($B1085="Tema",IF(ISNUMBER(INDEX(Temas!$E$6:$P$305,$C1085,2*$D1085-1)),INDEX(Temas!$E$6:$P$305,$C1085,2*$D1085-1),""),IF(ISNUMBER(INDEX(Avulsos!$B$6:$B$205,$C1085)),INDEX(Avulsos!$B$6:$B$205,$C1085),""))</f>
        <v/>
      </c>
      <c r="F1085" s="114" t="str">
        <f aca="false">IF($E1085="","",IF($B1085="Tema",INDEX(Temas!$B$6:$B$305,$C1085)&amp;"",INDEX(Avulsos!$C$6:$C$205,$C1085)&amp;""))</f>
        <v/>
      </c>
      <c r="G1085" s="114" t="str">
        <f aca="false">IF($E1085="","",IF($B1085="Tema",INDEX(Config!$C$6:$C$11,$D1085),"Evento avulso"))</f>
        <v/>
      </c>
      <c r="H1085" s="114" t="str">
        <f aca="false">IF($E1085="","",IF($B1085="Tema",INDEX(Config!$D$6:$D$11,$D1085),IFERROR(INDEX(Config!$E$15:$E$19,MATCH($I1085,Config!$C$15:$C$19,0)),"•")))</f>
        <v/>
      </c>
      <c r="I1085" s="114" t="str">
        <f aca="false">IF($E1085="","",IF($B1085="Tema",INDEX(Config!$E$6:$E$11,$D1085),IF(INDEX(Avulsos!$D$6:$D$205,$C1085)&amp;""="","Outro",INDEX(Avulsos!$D$6:$D$205,$C1085))))</f>
        <v/>
      </c>
      <c r="J1085" s="114" t="str">
        <f aca="false">IF($E1085="","",IF($B1085="Tema",INDEX(Temas!$C$6:$C$305,$C1085)&amp;"",INDEX(Avulsos!$E$6:$E$205,$C1085)&amp;""))</f>
        <v/>
      </c>
      <c r="K1085" s="114" t="str">
        <f aca="false">IF($E1085="","",IF(IF($B1085="Tema",INDEX(Temas!$E$6:$P$305,$C1085,2*$D1085),INDEX(Avulsos!$F$6:$F$205,$C1085))&amp;""="","","✓"))</f>
        <v/>
      </c>
      <c r="L1085" s="114" t="str">
        <f aca="true">IF($E1085="","",IF($K1085="✓","Concluído",IF($E1085&lt;TODAY(),"Atrasado",IF($E1085=TODAY(),"Hoje","Pendente"))))</f>
        <v/>
      </c>
      <c r="M1085" s="114" t="str">
        <f aca="false">IF($E1085="","",IF($K1085="✓","✓ ","")&amp;IF(Config!$E$22="Sim",$H1085&amp;" · ","")&amp;$F1085)</f>
        <v/>
      </c>
      <c r="N1085" s="114" t="str">
        <f aca="false">IF($E1085="","",IFERROR(INDEX(Config!$D$15:$D$19,MATCH($I1085,Config!$C$15:$C$19,0)),"OUT")&amp;IF($K1085="✓","x",""))</f>
        <v/>
      </c>
      <c r="O1085" s="114" t="str">
        <f aca="false">IF($E1085="","",COUNTIF($E$5:$E1085,$E1085))</f>
        <v/>
      </c>
      <c r="P1085" s="114" t="str">
        <f aca="false">IF($E1085="","",$E1085*100+$O1085)</f>
        <v/>
      </c>
      <c r="Q1085" s="114" t="str">
        <f aca="false">IF($L1085="Atrasado",$E1085*10000+$A1085,"")</f>
        <v/>
      </c>
    </row>
    <row r="1086" customFormat="false" ht="15" hidden="false" customHeight="false" outlineLevel="0" collapsed="false">
      <c r="A1086" s="114" t="n">
        <f aca="false">ROW()-4</f>
        <v>1082</v>
      </c>
      <c r="B1086" s="114" t="str">
        <f aca="false">IF(A1086&lt;=Config!$E$27*Config!$E$28,"Tema","Avulso")</f>
        <v>Tema</v>
      </c>
      <c r="C1086" s="114" t="n">
        <f aca="false">IF(B1086="Tema",INT((A1086-1)/Config!$E$28)+1,A1086-Config!$E$27*Config!$E$28)</f>
        <v>181</v>
      </c>
      <c r="D1086" s="114" t="n">
        <f aca="false">IF(B1086="Tema",MOD(A1086-1,Config!$E$28)+1,"")</f>
        <v>2</v>
      </c>
      <c r="E1086" s="115" t="str">
        <f aca="false">IF($B1086="Tema",IF(ISNUMBER(INDEX(Temas!$E$6:$P$305,$C1086,2*$D1086-1)),INDEX(Temas!$E$6:$P$305,$C1086,2*$D1086-1),""),IF(ISNUMBER(INDEX(Avulsos!$B$6:$B$205,$C1086)),INDEX(Avulsos!$B$6:$B$205,$C1086),""))</f>
        <v/>
      </c>
      <c r="F1086" s="114" t="str">
        <f aca="false">IF($E1086="","",IF($B1086="Tema",INDEX(Temas!$B$6:$B$305,$C1086)&amp;"",INDEX(Avulsos!$C$6:$C$205,$C1086)&amp;""))</f>
        <v/>
      </c>
      <c r="G1086" s="114" t="str">
        <f aca="false">IF($E1086="","",IF($B1086="Tema",INDEX(Config!$C$6:$C$11,$D1086),"Evento avulso"))</f>
        <v/>
      </c>
      <c r="H1086" s="114" t="str">
        <f aca="false">IF($E1086="","",IF($B1086="Tema",INDEX(Config!$D$6:$D$11,$D1086),IFERROR(INDEX(Config!$E$15:$E$19,MATCH($I1086,Config!$C$15:$C$19,0)),"•")))</f>
        <v/>
      </c>
      <c r="I1086" s="114" t="str">
        <f aca="false">IF($E1086="","",IF($B1086="Tema",INDEX(Config!$E$6:$E$11,$D1086),IF(INDEX(Avulsos!$D$6:$D$205,$C1086)&amp;""="","Outro",INDEX(Avulsos!$D$6:$D$205,$C1086))))</f>
        <v/>
      </c>
      <c r="J1086" s="114" t="str">
        <f aca="false">IF($E1086="","",IF($B1086="Tema",INDEX(Temas!$C$6:$C$305,$C1086)&amp;"",INDEX(Avulsos!$E$6:$E$205,$C1086)&amp;""))</f>
        <v/>
      </c>
      <c r="K1086" s="114" t="str">
        <f aca="false">IF($E1086="","",IF(IF($B1086="Tema",INDEX(Temas!$E$6:$P$305,$C1086,2*$D1086),INDEX(Avulsos!$F$6:$F$205,$C1086))&amp;""="","","✓"))</f>
        <v/>
      </c>
      <c r="L1086" s="114" t="str">
        <f aca="true">IF($E1086="","",IF($K1086="✓","Concluído",IF($E1086&lt;TODAY(),"Atrasado",IF($E1086=TODAY(),"Hoje","Pendente"))))</f>
        <v/>
      </c>
      <c r="M1086" s="114" t="str">
        <f aca="false">IF($E1086="","",IF($K1086="✓","✓ ","")&amp;IF(Config!$E$22="Sim",$H1086&amp;" · ","")&amp;$F1086)</f>
        <v/>
      </c>
      <c r="N1086" s="114" t="str">
        <f aca="false">IF($E1086="","",IFERROR(INDEX(Config!$D$15:$D$19,MATCH($I1086,Config!$C$15:$C$19,0)),"OUT")&amp;IF($K1086="✓","x",""))</f>
        <v/>
      </c>
      <c r="O1086" s="114" t="str">
        <f aca="false">IF($E1086="","",COUNTIF($E$5:$E1086,$E1086))</f>
        <v/>
      </c>
      <c r="P1086" s="114" t="str">
        <f aca="false">IF($E1086="","",$E1086*100+$O1086)</f>
        <v/>
      </c>
      <c r="Q1086" s="114" t="str">
        <f aca="false">IF($L1086="Atrasado",$E1086*10000+$A1086,"")</f>
        <v/>
      </c>
    </row>
    <row r="1087" customFormat="false" ht="15" hidden="false" customHeight="false" outlineLevel="0" collapsed="false">
      <c r="A1087" s="114" t="n">
        <f aca="false">ROW()-4</f>
        <v>1083</v>
      </c>
      <c r="B1087" s="114" t="str">
        <f aca="false">IF(A1087&lt;=Config!$E$27*Config!$E$28,"Tema","Avulso")</f>
        <v>Tema</v>
      </c>
      <c r="C1087" s="114" t="n">
        <f aca="false">IF(B1087="Tema",INT((A1087-1)/Config!$E$28)+1,A1087-Config!$E$27*Config!$E$28)</f>
        <v>181</v>
      </c>
      <c r="D1087" s="114" t="n">
        <f aca="false">IF(B1087="Tema",MOD(A1087-1,Config!$E$28)+1,"")</f>
        <v>3</v>
      </c>
      <c r="E1087" s="115" t="str">
        <f aca="false">IF($B1087="Tema",IF(ISNUMBER(INDEX(Temas!$E$6:$P$305,$C1087,2*$D1087-1)),INDEX(Temas!$E$6:$P$305,$C1087,2*$D1087-1),""),IF(ISNUMBER(INDEX(Avulsos!$B$6:$B$205,$C1087)),INDEX(Avulsos!$B$6:$B$205,$C1087),""))</f>
        <v/>
      </c>
      <c r="F1087" s="114" t="str">
        <f aca="false">IF($E1087="","",IF($B1087="Tema",INDEX(Temas!$B$6:$B$305,$C1087)&amp;"",INDEX(Avulsos!$C$6:$C$205,$C1087)&amp;""))</f>
        <v/>
      </c>
      <c r="G1087" s="114" t="str">
        <f aca="false">IF($E1087="","",IF($B1087="Tema",INDEX(Config!$C$6:$C$11,$D1087),"Evento avulso"))</f>
        <v/>
      </c>
      <c r="H1087" s="114" t="str">
        <f aca="false">IF($E1087="","",IF($B1087="Tema",INDEX(Config!$D$6:$D$11,$D1087),IFERROR(INDEX(Config!$E$15:$E$19,MATCH($I1087,Config!$C$15:$C$19,0)),"•")))</f>
        <v/>
      </c>
      <c r="I1087" s="114" t="str">
        <f aca="false">IF($E1087="","",IF($B1087="Tema",INDEX(Config!$E$6:$E$11,$D1087),IF(INDEX(Avulsos!$D$6:$D$205,$C1087)&amp;""="","Outro",INDEX(Avulsos!$D$6:$D$205,$C1087))))</f>
        <v/>
      </c>
      <c r="J1087" s="114" t="str">
        <f aca="false">IF($E1087="","",IF($B1087="Tema",INDEX(Temas!$C$6:$C$305,$C1087)&amp;"",INDEX(Avulsos!$E$6:$E$205,$C1087)&amp;""))</f>
        <v/>
      </c>
      <c r="K1087" s="114" t="str">
        <f aca="false">IF($E1087="","",IF(IF($B1087="Tema",INDEX(Temas!$E$6:$P$305,$C1087,2*$D1087),INDEX(Avulsos!$F$6:$F$205,$C1087))&amp;""="","","✓"))</f>
        <v/>
      </c>
      <c r="L1087" s="114" t="str">
        <f aca="true">IF($E1087="","",IF($K1087="✓","Concluído",IF($E1087&lt;TODAY(),"Atrasado",IF($E1087=TODAY(),"Hoje","Pendente"))))</f>
        <v/>
      </c>
      <c r="M1087" s="114" t="str">
        <f aca="false">IF($E1087="","",IF($K1087="✓","✓ ","")&amp;IF(Config!$E$22="Sim",$H1087&amp;" · ","")&amp;$F1087)</f>
        <v/>
      </c>
      <c r="N1087" s="114" t="str">
        <f aca="false">IF($E1087="","",IFERROR(INDEX(Config!$D$15:$D$19,MATCH($I1087,Config!$C$15:$C$19,0)),"OUT")&amp;IF($K1087="✓","x",""))</f>
        <v/>
      </c>
      <c r="O1087" s="114" t="str">
        <f aca="false">IF($E1087="","",COUNTIF($E$5:$E1087,$E1087))</f>
        <v/>
      </c>
      <c r="P1087" s="114" t="str">
        <f aca="false">IF($E1087="","",$E1087*100+$O1087)</f>
        <v/>
      </c>
      <c r="Q1087" s="114" t="str">
        <f aca="false">IF($L1087="Atrasado",$E1087*10000+$A1087,"")</f>
        <v/>
      </c>
    </row>
    <row r="1088" customFormat="false" ht="15" hidden="false" customHeight="false" outlineLevel="0" collapsed="false">
      <c r="A1088" s="114" t="n">
        <f aca="false">ROW()-4</f>
        <v>1084</v>
      </c>
      <c r="B1088" s="114" t="str">
        <f aca="false">IF(A1088&lt;=Config!$E$27*Config!$E$28,"Tema","Avulso")</f>
        <v>Tema</v>
      </c>
      <c r="C1088" s="114" t="n">
        <f aca="false">IF(B1088="Tema",INT((A1088-1)/Config!$E$28)+1,A1088-Config!$E$27*Config!$E$28)</f>
        <v>181</v>
      </c>
      <c r="D1088" s="114" t="n">
        <f aca="false">IF(B1088="Tema",MOD(A1088-1,Config!$E$28)+1,"")</f>
        <v>4</v>
      </c>
      <c r="E1088" s="115" t="str">
        <f aca="false">IF($B1088="Tema",IF(ISNUMBER(INDEX(Temas!$E$6:$P$305,$C1088,2*$D1088-1)),INDEX(Temas!$E$6:$P$305,$C1088,2*$D1088-1),""),IF(ISNUMBER(INDEX(Avulsos!$B$6:$B$205,$C1088)),INDEX(Avulsos!$B$6:$B$205,$C1088),""))</f>
        <v/>
      </c>
      <c r="F1088" s="114" t="str">
        <f aca="false">IF($E1088="","",IF($B1088="Tema",INDEX(Temas!$B$6:$B$305,$C1088)&amp;"",INDEX(Avulsos!$C$6:$C$205,$C1088)&amp;""))</f>
        <v/>
      </c>
      <c r="G1088" s="114" t="str">
        <f aca="false">IF($E1088="","",IF($B1088="Tema",INDEX(Config!$C$6:$C$11,$D1088),"Evento avulso"))</f>
        <v/>
      </c>
      <c r="H1088" s="114" t="str">
        <f aca="false">IF($E1088="","",IF($B1088="Tema",INDEX(Config!$D$6:$D$11,$D1088),IFERROR(INDEX(Config!$E$15:$E$19,MATCH($I1088,Config!$C$15:$C$19,0)),"•")))</f>
        <v/>
      </c>
      <c r="I1088" s="114" t="str">
        <f aca="false">IF($E1088="","",IF($B1088="Tema",INDEX(Config!$E$6:$E$11,$D1088),IF(INDEX(Avulsos!$D$6:$D$205,$C1088)&amp;""="","Outro",INDEX(Avulsos!$D$6:$D$205,$C1088))))</f>
        <v/>
      </c>
      <c r="J1088" s="114" t="str">
        <f aca="false">IF($E1088="","",IF($B1088="Tema",INDEX(Temas!$C$6:$C$305,$C1088)&amp;"",INDEX(Avulsos!$E$6:$E$205,$C1088)&amp;""))</f>
        <v/>
      </c>
      <c r="K1088" s="114" t="str">
        <f aca="false">IF($E1088="","",IF(IF($B1088="Tema",INDEX(Temas!$E$6:$P$305,$C1088,2*$D1088),INDEX(Avulsos!$F$6:$F$205,$C1088))&amp;""="","","✓"))</f>
        <v/>
      </c>
      <c r="L1088" s="114" t="str">
        <f aca="true">IF($E1088="","",IF($K1088="✓","Concluído",IF($E1088&lt;TODAY(),"Atrasado",IF($E1088=TODAY(),"Hoje","Pendente"))))</f>
        <v/>
      </c>
      <c r="M1088" s="114" t="str">
        <f aca="false">IF($E1088="","",IF($K1088="✓","✓ ","")&amp;IF(Config!$E$22="Sim",$H1088&amp;" · ","")&amp;$F1088)</f>
        <v/>
      </c>
      <c r="N1088" s="114" t="str">
        <f aca="false">IF($E1088="","",IFERROR(INDEX(Config!$D$15:$D$19,MATCH($I1088,Config!$C$15:$C$19,0)),"OUT")&amp;IF($K1088="✓","x",""))</f>
        <v/>
      </c>
      <c r="O1088" s="114" t="str">
        <f aca="false">IF($E1088="","",COUNTIF($E$5:$E1088,$E1088))</f>
        <v/>
      </c>
      <c r="P1088" s="114" t="str">
        <f aca="false">IF($E1088="","",$E1088*100+$O1088)</f>
        <v/>
      </c>
      <c r="Q1088" s="114" t="str">
        <f aca="false">IF($L1088="Atrasado",$E1088*10000+$A1088,"")</f>
        <v/>
      </c>
    </row>
    <row r="1089" customFormat="false" ht="15" hidden="false" customHeight="false" outlineLevel="0" collapsed="false">
      <c r="A1089" s="114" t="n">
        <f aca="false">ROW()-4</f>
        <v>1085</v>
      </c>
      <c r="B1089" s="114" t="str">
        <f aca="false">IF(A1089&lt;=Config!$E$27*Config!$E$28,"Tema","Avulso")</f>
        <v>Tema</v>
      </c>
      <c r="C1089" s="114" t="n">
        <f aca="false">IF(B1089="Tema",INT((A1089-1)/Config!$E$28)+1,A1089-Config!$E$27*Config!$E$28)</f>
        <v>181</v>
      </c>
      <c r="D1089" s="114" t="n">
        <f aca="false">IF(B1089="Tema",MOD(A1089-1,Config!$E$28)+1,"")</f>
        <v>5</v>
      </c>
      <c r="E1089" s="115" t="str">
        <f aca="false">IF($B1089="Tema",IF(ISNUMBER(INDEX(Temas!$E$6:$P$305,$C1089,2*$D1089-1)),INDEX(Temas!$E$6:$P$305,$C1089,2*$D1089-1),""),IF(ISNUMBER(INDEX(Avulsos!$B$6:$B$205,$C1089)),INDEX(Avulsos!$B$6:$B$205,$C1089),""))</f>
        <v/>
      </c>
      <c r="F1089" s="114" t="str">
        <f aca="false">IF($E1089="","",IF($B1089="Tema",INDEX(Temas!$B$6:$B$305,$C1089)&amp;"",INDEX(Avulsos!$C$6:$C$205,$C1089)&amp;""))</f>
        <v/>
      </c>
      <c r="G1089" s="114" t="str">
        <f aca="false">IF($E1089="","",IF($B1089="Tema",INDEX(Config!$C$6:$C$11,$D1089),"Evento avulso"))</f>
        <v/>
      </c>
      <c r="H1089" s="114" t="str">
        <f aca="false">IF($E1089="","",IF($B1089="Tema",INDEX(Config!$D$6:$D$11,$D1089),IFERROR(INDEX(Config!$E$15:$E$19,MATCH($I1089,Config!$C$15:$C$19,0)),"•")))</f>
        <v/>
      </c>
      <c r="I1089" s="114" t="str">
        <f aca="false">IF($E1089="","",IF($B1089="Tema",INDEX(Config!$E$6:$E$11,$D1089),IF(INDEX(Avulsos!$D$6:$D$205,$C1089)&amp;""="","Outro",INDEX(Avulsos!$D$6:$D$205,$C1089))))</f>
        <v/>
      </c>
      <c r="J1089" s="114" t="str">
        <f aca="false">IF($E1089="","",IF($B1089="Tema",INDEX(Temas!$C$6:$C$305,$C1089)&amp;"",INDEX(Avulsos!$E$6:$E$205,$C1089)&amp;""))</f>
        <v/>
      </c>
      <c r="K1089" s="114" t="str">
        <f aca="false">IF($E1089="","",IF(IF($B1089="Tema",INDEX(Temas!$E$6:$P$305,$C1089,2*$D1089),INDEX(Avulsos!$F$6:$F$205,$C1089))&amp;""="","","✓"))</f>
        <v/>
      </c>
      <c r="L1089" s="114" t="str">
        <f aca="true">IF($E1089="","",IF($K1089="✓","Concluído",IF($E1089&lt;TODAY(),"Atrasado",IF($E1089=TODAY(),"Hoje","Pendente"))))</f>
        <v/>
      </c>
      <c r="M1089" s="114" t="str">
        <f aca="false">IF($E1089="","",IF($K1089="✓","✓ ","")&amp;IF(Config!$E$22="Sim",$H1089&amp;" · ","")&amp;$F1089)</f>
        <v/>
      </c>
      <c r="N1089" s="114" t="str">
        <f aca="false">IF($E1089="","",IFERROR(INDEX(Config!$D$15:$D$19,MATCH($I1089,Config!$C$15:$C$19,0)),"OUT")&amp;IF($K1089="✓","x",""))</f>
        <v/>
      </c>
      <c r="O1089" s="114" t="str">
        <f aca="false">IF($E1089="","",COUNTIF($E$5:$E1089,$E1089))</f>
        <v/>
      </c>
      <c r="P1089" s="114" t="str">
        <f aca="false">IF($E1089="","",$E1089*100+$O1089)</f>
        <v/>
      </c>
      <c r="Q1089" s="114" t="str">
        <f aca="false">IF($L1089="Atrasado",$E1089*10000+$A1089,"")</f>
        <v/>
      </c>
    </row>
    <row r="1090" customFormat="false" ht="15" hidden="false" customHeight="false" outlineLevel="0" collapsed="false">
      <c r="A1090" s="114" t="n">
        <f aca="false">ROW()-4</f>
        <v>1086</v>
      </c>
      <c r="B1090" s="114" t="str">
        <f aca="false">IF(A1090&lt;=Config!$E$27*Config!$E$28,"Tema","Avulso")</f>
        <v>Tema</v>
      </c>
      <c r="C1090" s="114" t="n">
        <f aca="false">IF(B1090="Tema",INT((A1090-1)/Config!$E$28)+1,A1090-Config!$E$27*Config!$E$28)</f>
        <v>181</v>
      </c>
      <c r="D1090" s="114" t="n">
        <f aca="false">IF(B1090="Tema",MOD(A1090-1,Config!$E$28)+1,"")</f>
        <v>6</v>
      </c>
      <c r="E1090" s="115" t="str">
        <f aca="false">IF($B1090="Tema",IF(ISNUMBER(INDEX(Temas!$E$6:$P$305,$C1090,2*$D1090-1)),INDEX(Temas!$E$6:$P$305,$C1090,2*$D1090-1),""),IF(ISNUMBER(INDEX(Avulsos!$B$6:$B$205,$C1090)),INDEX(Avulsos!$B$6:$B$205,$C1090),""))</f>
        <v/>
      </c>
      <c r="F1090" s="114" t="str">
        <f aca="false">IF($E1090="","",IF($B1090="Tema",INDEX(Temas!$B$6:$B$305,$C1090)&amp;"",INDEX(Avulsos!$C$6:$C$205,$C1090)&amp;""))</f>
        <v/>
      </c>
      <c r="G1090" s="114" t="str">
        <f aca="false">IF($E1090="","",IF($B1090="Tema",INDEX(Config!$C$6:$C$11,$D1090),"Evento avulso"))</f>
        <v/>
      </c>
      <c r="H1090" s="114" t="str">
        <f aca="false">IF($E1090="","",IF($B1090="Tema",INDEX(Config!$D$6:$D$11,$D1090),IFERROR(INDEX(Config!$E$15:$E$19,MATCH($I1090,Config!$C$15:$C$19,0)),"•")))</f>
        <v/>
      </c>
      <c r="I1090" s="114" t="str">
        <f aca="false">IF($E1090="","",IF($B1090="Tema",INDEX(Config!$E$6:$E$11,$D1090),IF(INDEX(Avulsos!$D$6:$D$205,$C1090)&amp;""="","Outro",INDEX(Avulsos!$D$6:$D$205,$C1090))))</f>
        <v/>
      </c>
      <c r="J1090" s="114" t="str">
        <f aca="false">IF($E1090="","",IF($B1090="Tema",INDEX(Temas!$C$6:$C$305,$C1090)&amp;"",INDEX(Avulsos!$E$6:$E$205,$C1090)&amp;""))</f>
        <v/>
      </c>
      <c r="K1090" s="114" t="str">
        <f aca="false">IF($E1090="","",IF(IF($B1090="Tema",INDEX(Temas!$E$6:$P$305,$C1090,2*$D1090),INDEX(Avulsos!$F$6:$F$205,$C1090))&amp;""="","","✓"))</f>
        <v/>
      </c>
      <c r="L1090" s="114" t="str">
        <f aca="true">IF($E1090="","",IF($K1090="✓","Concluído",IF($E1090&lt;TODAY(),"Atrasado",IF($E1090=TODAY(),"Hoje","Pendente"))))</f>
        <v/>
      </c>
      <c r="M1090" s="114" t="str">
        <f aca="false">IF($E1090="","",IF($K1090="✓","✓ ","")&amp;IF(Config!$E$22="Sim",$H1090&amp;" · ","")&amp;$F1090)</f>
        <v/>
      </c>
      <c r="N1090" s="114" t="str">
        <f aca="false">IF($E1090="","",IFERROR(INDEX(Config!$D$15:$D$19,MATCH($I1090,Config!$C$15:$C$19,0)),"OUT")&amp;IF($K1090="✓","x",""))</f>
        <v/>
      </c>
      <c r="O1090" s="114" t="str">
        <f aca="false">IF($E1090="","",COUNTIF($E$5:$E1090,$E1090))</f>
        <v/>
      </c>
      <c r="P1090" s="114" t="str">
        <f aca="false">IF($E1090="","",$E1090*100+$O1090)</f>
        <v/>
      </c>
      <c r="Q1090" s="114" t="str">
        <f aca="false">IF($L1090="Atrasado",$E1090*10000+$A1090,"")</f>
        <v/>
      </c>
    </row>
    <row r="1091" customFormat="false" ht="15" hidden="false" customHeight="false" outlineLevel="0" collapsed="false">
      <c r="A1091" s="114" t="n">
        <f aca="false">ROW()-4</f>
        <v>1087</v>
      </c>
      <c r="B1091" s="114" t="str">
        <f aca="false">IF(A1091&lt;=Config!$E$27*Config!$E$28,"Tema","Avulso")</f>
        <v>Tema</v>
      </c>
      <c r="C1091" s="114" t="n">
        <f aca="false">IF(B1091="Tema",INT((A1091-1)/Config!$E$28)+1,A1091-Config!$E$27*Config!$E$28)</f>
        <v>182</v>
      </c>
      <c r="D1091" s="114" t="n">
        <f aca="false">IF(B1091="Tema",MOD(A1091-1,Config!$E$28)+1,"")</f>
        <v>1</v>
      </c>
      <c r="E1091" s="115" t="str">
        <f aca="false">IF($B1091="Tema",IF(ISNUMBER(INDEX(Temas!$E$6:$P$305,$C1091,2*$D1091-1)),INDEX(Temas!$E$6:$P$305,$C1091,2*$D1091-1),""),IF(ISNUMBER(INDEX(Avulsos!$B$6:$B$205,$C1091)),INDEX(Avulsos!$B$6:$B$205,$C1091),""))</f>
        <v/>
      </c>
      <c r="F1091" s="114" t="str">
        <f aca="false">IF($E1091="","",IF($B1091="Tema",INDEX(Temas!$B$6:$B$305,$C1091)&amp;"",INDEX(Avulsos!$C$6:$C$205,$C1091)&amp;""))</f>
        <v/>
      </c>
      <c r="G1091" s="114" t="str">
        <f aca="false">IF($E1091="","",IF($B1091="Tema",INDEX(Config!$C$6:$C$11,$D1091),"Evento avulso"))</f>
        <v/>
      </c>
      <c r="H1091" s="114" t="str">
        <f aca="false">IF($E1091="","",IF($B1091="Tema",INDEX(Config!$D$6:$D$11,$D1091),IFERROR(INDEX(Config!$E$15:$E$19,MATCH($I1091,Config!$C$15:$C$19,0)),"•")))</f>
        <v/>
      </c>
      <c r="I1091" s="114" t="str">
        <f aca="false">IF($E1091="","",IF($B1091="Tema",INDEX(Config!$E$6:$E$11,$D1091),IF(INDEX(Avulsos!$D$6:$D$205,$C1091)&amp;""="","Outro",INDEX(Avulsos!$D$6:$D$205,$C1091))))</f>
        <v/>
      </c>
      <c r="J1091" s="114" t="str">
        <f aca="false">IF($E1091="","",IF($B1091="Tema",INDEX(Temas!$C$6:$C$305,$C1091)&amp;"",INDEX(Avulsos!$E$6:$E$205,$C1091)&amp;""))</f>
        <v/>
      </c>
      <c r="K1091" s="114" t="str">
        <f aca="false">IF($E1091="","",IF(IF($B1091="Tema",INDEX(Temas!$E$6:$P$305,$C1091,2*$D1091),INDEX(Avulsos!$F$6:$F$205,$C1091))&amp;""="","","✓"))</f>
        <v/>
      </c>
      <c r="L1091" s="114" t="str">
        <f aca="true">IF($E1091="","",IF($K1091="✓","Concluído",IF($E1091&lt;TODAY(),"Atrasado",IF($E1091=TODAY(),"Hoje","Pendente"))))</f>
        <v/>
      </c>
      <c r="M1091" s="114" t="str">
        <f aca="false">IF($E1091="","",IF($K1091="✓","✓ ","")&amp;IF(Config!$E$22="Sim",$H1091&amp;" · ","")&amp;$F1091)</f>
        <v/>
      </c>
      <c r="N1091" s="114" t="str">
        <f aca="false">IF($E1091="","",IFERROR(INDEX(Config!$D$15:$D$19,MATCH($I1091,Config!$C$15:$C$19,0)),"OUT")&amp;IF($K1091="✓","x",""))</f>
        <v/>
      </c>
      <c r="O1091" s="114" t="str">
        <f aca="false">IF($E1091="","",COUNTIF($E$5:$E1091,$E1091))</f>
        <v/>
      </c>
      <c r="P1091" s="114" t="str">
        <f aca="false">IF($E1091="","",$E1091*100+$O1091)</f>
        <v/>
      </c>
      <c r="Q1091" s="114" t="str">
        <f aca="false">IF($L1091="Atrasado",$E1091*10000+$A1091,"")</f>
        <v/>
      </c>
    </row>
    <row r="1092" customFormat="false" ht="15" hidden="false" customHeight="false" outlineLevel="0" collapsed="false">
      <c r="A1092" s="114" t="n">
        <f aca="false">ROW()-4</f>
        <v>1088</v>
      </c>
      <c r="B1092" s="114" t="str">
        <f aca="false">IF(A1092&lt;=Config!$E$27*Config!$E$28,"Tema","Avulso")</f>
        <v>Tema</v>
      </c>
      <c r="C1092" s="114" t="n">
        <f aca="false">IF(B1092="Tema",INT((A1092-1)/Config!$E$28)+1,A1092-Config!$E$27*Config!$E$28)</f>
        <v>182</v>
      </c>
      <c r="D1092" s="114" t="n">
        <f aca="false">IF(B1092="Tema",MOD(A1092-1,Config!$E$28)+1,"")</f>
        <v>2</v>
      </c>
      <c r="E1092" s="115" t="str">
        <f aca="false">IF($B1092="Tema",IF(ISNUMBER(INDEX(Temas!$E$6:$P$305,$C1092,2*$D1092-1)),INDEX(Temas!$E$6:$P$305,$C1092,2*$D1092-1),""),IF(ISNUMBER(INDEX(Avulsos!$B$6:$B$205,$C1092)),INDEX(Avulsos!$B$6:$B$205,$C1092),""))</f>
        <v/>
      </c>
      <c r="F1092" s="114" t="str">
        <f aca="false">IF($E1092="","",IF($B1092="Tema",INDEX(Temas!$B$6:$B$305,$C1092)&amp;"",INDEX(Avulsos!$C$6:$C$205,$C1092)&amp;""))</f>
        <v/>
      </c>
      <c r="G1092" s="114" t="str">
        <f aca="false">IF($E1092="","",IF($B1092="Tema",INDEX(Config!$C$6:$C$11,$D1092),"Evento avulso"))</f>
        <v/>
      </c>
      <c r="H1092" s="114" t="str">
        <f aca="false">IF($E1092="","",IF($B1092="Tema",INDEX(Config!$D$6:$D$11,$D1092),IFERROR(INDEX(Config!$E$15:$E$19,MATCH($I1092,Config!$C$15:$C$19,0)),"•")))</f>
        <v/>
      </c>
      <c r="I1092" s="114" t="str">
        <f aca="false">IF($E1092="","",IF($B1092="Tema",INDEX(Config!$E$6:$E$11,$D1092),IF(INDEX(Avulsos!$D$6:$D$205,$C1092)&amp;""="","Outro",INDEX(Avulsos!$D$6:$D$205,$C1092))))</f>
        <v/>
      </c>
      <c r="J1092" s="114" t="str">
        <f aca="false">IF($E1092="","",IF($B1092="Tema",INDEX(Temas!$C$6:$C$305,$C1092)&amp;"",INDEX(Avulsos!$E$6:$E$205,$C1092)&amp;""))</f>
        <v/>
      </c>
      <c r="K1092" s="114" t="str">
        <f aca="false">IF($E1092="","",IF(IF($B1092="Tema",INDEX(Temas!$E$6:$P$305,$C1092,2*$D1092),INDEX(Avulsos!$F$6:$F$205,$C1092))&amp;""="","","✓"))</f>
        <v/>
      </c>
      <c r="L1092" s="114" t="str">
        <f aca="true">IF($E1092="","",IF($K1092="✓","Concluído",IF($E1092&lt;TODAY(),"Atrasado",IF($E1092=TODAY(),"Hoje","Pendente"))))</f>
        <v/>
      </c>
      <c r="M1092" s="114" t="str">
        <f aca="false">IF($E1092="","",IF($K1092="✓","✓ ","")&amp;IF(Config!$E$22="Sim",$H1092&amp;" · ","")&amp;$F1092)</f>
        <v/>
      </c>
      <c r="N1092" s="114" t="str">
        <f aca="false">IF($E1092="","",IFERROR(INDEX(Config!$D$15:$D$19,MATCH($I1092,Config!$C$15:$C$19,0)),"OUT")&amp;IF($K1092="✓","x",""))</f>
        <v/>
      </c>
      <c r="O1092" s="114" t="str">
        <f aca="false">IF($E1092="","",COUNTIF($E$5:$E1092,$E1092))</f>
        <v/>
      </c>
      <c r="P1092" s="114" t="str">
        <f aca="false">IF($E1092="","",$E1092*100+$O1092)</f>
        <v/>
      </c>
      <c r="Q1092" s="114" t="str">
        <f aca="false">IF($L1092="Atrasado",$E1092*10000+$A1092,"")</f>
        <v/>
      </c>
    </row>
    <row r="1093" customFormat="false" ht="15" hidden="false" customHeight="false" outlineLevel="0" collapsed="false">
      <c r="A1093" s="114" t="n">
        <f aca="false">ROW()-4</f>
        <v>1089</v>
      </c>
      <c r="B1093" s="114" t="str">
        <f aca="false">IF(A1093&lt;=Config!$E$27*Config!$E$28,"Tema","Avulso")</f>
        <v>Tema</v>
      </c>
      <c r="C1093" s="114" t="n">
        <f aca="false">IF(B1093="Tema",INT((A1093-1)/Config!$E$28)+1,A1093-Config!$E$27*Config!$E$28)</f>
        <v>182</v>
      </c>
      <c r="D1093" s="114" t="n">
        <f aca="false">IF(B1093="Tema",MOD(A1093-1,Config!$E$28)+1,"")</f>
        <v>3</v>
      </c>
      <c r="E1093" s="115" t="str">
        <f aca="false">IF($B1093="Tema",IF(ISNUMBER(INDEX(Temas!$E$6:$P$305,$C1093,2*$D1093-1)),INDEX(Temas!$E$6:$P$305,$C1093,2*$D1093-1),""),IF(ISNUMBER(INDEX(Avulsos!$B$6:$B$205,$C1093)),INDEX(Avulsos!$B$6:$B$205,$C1093),""))</f>
        <v/>
      </c>
      <c r="F1093" s="114" t="str">
        <f aca="false">IF($E1093="","",IF($B1093="Tema",INDEX(Temas!$B$6:$B$305,$C1093)&amp;"",INDEX(Avulsos!$C$6:$C$205,$C1093)&amp;""))</f>
        <v/>
      </c>
      <c r="G1093" s="114" t="str">
        <f aca="false">IF($E1093="","",IF($B1093="Tema",INDEX(Config!$C$6:$C$11,$D1093),"Evento avulso"))</f>
        <v/>
      </c>
      <c r="H1093" s="114" t="str">
        <f aca="false">IF($E1093="","",IF($B1093="Tema",INDEX(Config!$D$6:$D$11,$D1093),IFERROR(INDEX(Config!$E$15:$E$19,MATCH($I1093,Config!$C$15:$C$19,0)),"•")))</f>
        <v/>
      </c>
      <c r="I1093" s="114" t="str">
        <f aca="false">IF($E1093="","",IF($B1093="Tema",INDEX(Config!$E$6:$E$11,$D1093),IF(INDEX(Avulsos!$D$6:$D$205,$C1093)&amp;""="","Outro",INDEX(Avulsos!$D$6:$D$205,$C1093))))</f>
        <v/>
      </c>
      <c r="J1093" s="114" t="str">
        <f aca="false">IF($E1093="","",IF($B1093="Tema",INDEX(Temas!$C$6:$C$305,$C1093)&amp;"",INDEX(Avulsos!$E$6:$E$205,$C1093)&amp;""))</f>
        <v/>
      </c>
      <c r="K1093" s="114" t="str">
        <f aca="false">IF($E1093="","",IF(IF($B1093="Tema",INDEX(Temas!$E$6:$P$305,$C1093,2*$D1093),INDEX(Avulsos!$F$6:$F$205,$C1093))&amp;""="","","✓"))</f>
        <v/>
      </c>
      <c r="L1093" s="114" t="str">
        <f aca="true">IF($E1093="","",IF($K1093="✓","Concluído",IF($E1093&lt;TODAY(),"Atrasado",IF($E1093=TODAY(),"Hoje","Pendente"))))</f>
        <v/>
      </c>
      <c r="M1093" s="114" t="str">
        <f aca="false">IF($E1093="","",IF($K1093="✓","✓ ","")&amp;IF(Config!$E$22="Sim",$H1093&amp;" · ","")&amp;$F1093)</f>
        <v/>
      </c>
      <c r="N1093" s="114" t="str">
        <f aca="false">IF($E1093="","",IFERROR(INDEX(Config!$D$15:$D$19,MATCH($I1093,Config!$C$15:$C$19,0)),"OUT")&amp;IF($K1093="✓","x",""))</f>
        <v/>
      </c>
      <c r="O1093" s="114" t="str">
        <f aca="false">IF($E1093="","",COUNTIF($E$5:$E1093,$E1093))</f>
        <v/>
      </c>
      <c r="P1093" s="114" t="str">
        <f aca="false">IF($E1093="","",$E1093*100+$O1093)</f>
        <v/>
      </c>
      <c r="Q1093" s="114" t="str">
        <f aca="false">IF($L1093="Atrasado",$E1093*10000+$A1093,"")</f>
        <v/>
      </c>
    </row>
    <row r="1094" customFormat="false" ht="15" hidden="false" customHeight="false" outlineLevel="0" collapsed="false">
      <c r="A1094" s="114" t="n">
        <f aca="false">ROW()-4</f>
        <v>1090</v>
      </c>
      <c r="B1094" s="114" t="str">
        <f aca="false">IF(A1094&lt;=Config!$E$27*Config!$E$28,"Tema","Avulso")</f>
        <v>Tema</v>
      </c>
      <c r="C1094" s="114" t="n">
        <f aca="false">IF(B1094="Tema",INT((A1094-1)/Config!$E$28)+1,A1094-Config!$E$27*Config!$E$28)</f>
        <v>182</v>
      </c>
      <c r="D1094" s="114" t="n">
        <f aca="false">IF(B1094="Tema",MOD(A1094-1,Config!$E$28)+1,"")</f>
        <v>4</v>
      </c>
      <c r="E1094" s="115" t="str">
        <f aca="false">IF($B1094="Tema",IF(ISNUMBER(INDEX(Temas!$E$6:$P$305,$C1094,2*$D1094-1)),INDEX(Temas!$E$6:$P$305,$C1094,2*$D1094-1),""),IF(ISNUMBER(INDEX(Avulsos!$B$6:$B$205,$C1094)),INDEX(Avulsos!$B$6:$B$205,$C1094),""))</f>
        <v/>
      </c>
      <c r="F1094" s="114" t="str">
        <f aca="false">IF($E1094="","",IF($B1094="Tema",INDEX(Temas!$B$6:$B$305,$C1094)&amp;"",INDEX(Avulsos!$C$6:$C$205,$C1094)&amp;""))</f>
        <v/>
      </c>
      <c r="G1094" s="114" t="str">
        <f aca="false">IF($E1094="","",IF($B1094="Tema",INDEX(Config!$C$6:$C$11,$D1094),"Evento avulso"))</f>
        <v/>
      </c>
      <c r="H1094" s="114" t="str">
        <f aca="false">IF($E1094="","",IF($B1094="Tema",INDEX(Config!$D$6:$D$11,$D1094),IFERROR(INDEX(Config!$E$15:$E$19,MATCH($I1094,Config!$C$15:$C$19,0)),"•")))</f>
        <v/>
      </c>
      <c r="I1094" s="114" t="str">
        <f aca="false">IF($E1094="","",IF($B1094="Tema",INDEX(Config!$E$6:$E$11,$D1094),IF(INDEX(Avulsos!$D$6:$D$205,$C1094)&amp;""="","Outro",INDEX(Avulsos!$D$6:$D$205,$C1094))))</f>
        <v/>
      </c>
      <c r="J1094" s="114" t="str">
        <f aca="false">IF($E1094="","",IF($B1094="Tema",INDEX(Temas!$C$6:$C$305,$C1094)&amp;"",INDEX(Avulsos!$E$6:$E$205,$C1094)&amp;""))</f>
        <v/>
      </c>
      <c r="K1094" s="114" t="str">
        <f aca="false">IF($E1094="","",IF(IF($B1094="Tema",INDEX(Temas!$E$6:$P$305,$C1094,2*$D1094),INDEX(Avulsos!$F$6:$F$205,$C1094))&amp;""="","","✓"))</f>
        <v/>
      </c>
      <c r="L1094" s="114" t="str">
        <f aca="true">IF($E1094="","",IF($K1094="✓","Concluído",IF($E1094&lt;TODAY(),"Atrasado",IF($E1094=TODAY(),"Hoje","Pendente"))))</f>
        <v/>
      </c>
      <c r="M1094" s="114" t="str">
        <f aca="false">IF($E1094="","",IF($K1094="✓","✓ ","")&amp;IF(Config!$E$22="Sim",$H1094&amp;" · ","")&amp;$F1094)</f>
        <v/>
      </c>
      <c r="N1094" s="114" t="str">
        <f aca="false">IF($E1094="","",IFERROR(INDEX(Config!$D$15:$D$19,MATCH($I1094,Config!$C$15:$C$19,0)),"OUT")&amp;IF($K1094="✓","x",""))</f>
        <v/>
      </c>
      <c r="O1094" s="114" t="str">
        <f aca="false">IF($E1094="","",COUNTIF($E$5:$E1094,$E1094))</f>
        <v/>
      </c>
      <c r="P1094" s="114" t="str">
        <f aca="false">IF($E1094="","",$E1094*100+$O1094)</f>
        <v/>
      </c>
      <c r="Q1094" s="114" t="str">
        <f aca="false">IF($L1094="Atrasado",$E1094*10000+$A1094,"")</f>
        <v/>
      </c>
    </row>
    <row r="1095" customFormat="false" ht="15" hidden="false" customHeight="false" outlineLevel="0" collapsed="false">
      <c r="A1095" s="114" t="n">
        <f aca="false">ROW()-4</f>
        <v>1091</v>
      </c>
      <c r="B1095" s="114" t="str">
        <f aca="false">IF(A1095&lt;=Config!$E$27*Config!$E$28,"Tema","Avulso")</f>
        <v>Tema</v>
      </c>
      <c r="C1095" s="114" t="n">
        <f aca="false">IF(B1095="Tema",INT((A1095-1)/Config!$E$28)+1,A1095-Config!$E$27*Config!$E$28)</f>
        <v>182</v>
      </c>
      <c r="D1095" s="114" t="n">
        <f aca="false">IF(B1095="Tema",MOD(A1095-1,Config!$E$28)+1,"")</f>
        <v>5</v>
      </c>
      <c r="E1095" s="115" t="str">
        <f aca="false">IF($B1095="Tema",IF(ISNUMBER(INDEX(Temas!$E$6:$P$305,$C1095,2*$D1095-1)),INDEX(Temas!$E$6:$P$305,$C1095,2*$D1095-1),""),IF(ISNUMBER(INDEX(Avulsos!$B$6:$B$205,$C1095)),INDEX(Avulsos!$B$6:$B$205,$C1095),""))</f>
        <v/>
      </c>
      <c r="F1095" s="114" t="str">
        <f aca="false">IF($E1095="","",IF($B1095="Tema",INDEX(Temas!$B$6:$B$305,$C1095)&amp;"",INDEX(Avulsos!$C$6:$C$205,$C1095)&amp;""))</f>
        <v/>
      </c>
      <c r="G1095" s="114" t="str">
        <f aca="false">IF($E1095="","",IF($B1095="Tema",INDEX(Config!$C$6:$C$11,$D1095),"Evento avulso"))</f>
        <v/>
      </c>
      <c r="H1095" s="114" t="str">
        <f aca="false">IF($E1095="","",IF($B1095="Tema",INDEX(Config!$D$6:$D$11,$D1095),IFERROR(INDEX(Config!$E$15:$E$19,MATCH($I1095,Config!$C$15:$C$19,0)),"•")))</f>
        <v/>
      </c>
      <c r="I1095" s="114" t="str">
        <f aca="false">IF($E1095="","",IF($B1095="Tema",INDEX(Config!$E$6:$E$11,$D1095),IF(INDEX(Avulsos!$D$6:$D$205,$C1095)&amp;""="","Outro",INDEX(Avulsos!$D$6:$D$205,$C1095))))</f>
        <v/>
      </c>
      <c r="J1095" s="114" t="str">
        <f aca="false">IF($E1095="","",IF($B1095="Tema",INDEX(Temas!$C$6:$C$305,$C1095)&amp;"",INDEX(Avulsos!$E$6:$E$205,$C1095)&amp;""))</f>
        <v/>
      </c>
      <c r="K1095" s="114" t="str">
        <f aca="false">IF($E1095="","",IF(IF($B1095="Tema",INDEX(Temas!$E$6:$P$305,$C1095,2*$D1095),INDEX(Avulsos!$F$6:$F$205,$C1095))&amp;""="","","✓"))</f>
        <v/>
      </c>
      <c r="L1095" s="114" t="str">
        <f aca="true">IF($E1095="","",IF($K1095="✓","Concluído",IF($E1095&lt;TODAY(),"Atrasado",IF($E1095=TODAY(),"Hoje","Pendente"))))</f>
        <v/>
      </c>
      <c r="M1095" s="114" t="str">
        <f aca="false">IF($E1095="","",IF($K1095="✓","✓ ","")&amp;IF(Config!$E$22="Sim",$H1095&amp;" · ","")&amp;$F1095)</f>
        <v/>
      </c>
      <c r="N1095" s="114" t="str">
        <f aca="false">IF($E1095="","",IFERROR(INDEX(Config!$D$15:$D$19,MATCH($I1095,Config!$C$15:$C$19,0)),"OUT")&amp;IF($K1095="✓","x",""))</f>
        <v/>
      </c>
      <c r="O1095" s="114" t="str">
        <f aca="false">IF($E1095="","",COUNTIF($E$5:$E1095,$E1095))</f>
        <v/>
      </c>
      <c r="P1095" s="114" t="str">
        <f aca="false">IF($E1095="","",$E1095*100+$O1095)</f>
        <v/>
      </c>
      <c r="Q1095" s="114" t="str">
        <f aca="false">IF($L1095="Atrasado",$E1095*10000+$A1095,"")</f>
        <v/>
      </c>
    </row>
    <row r="1096" customFormat="false" ht="15" hidden="false" customHeight="false" outlineLevel="0" collapsed="false">
      <c r="A1096" s="114" t="n">
        <f aca="false">ROW()-4</f>
        <v>1092</v>
      </c>
      <c r="B1096" s="114" t="str">
        <f aca="false">IF(A1096&lt;=Config!$E$27*Config!$E$28,"Tema","Avulso")</f>
        <v>Tema</v>
      </c>
      <c r="C1096" s="114" t="n">
        <f aca="false">IF(B1096="Tema",INT((A1096-1)/Config!$E$28)+1,A1096-Config!$E$27*Config!$E$28)</f>
        <v>182</v>
      </c>
      <c r="D1096" s="114" t="n">
        <f aca="false">IF(B1096="Tema",MOD(A1096-1,Config!$E$28)+1,"")</f>
        <v>6</v>
      </c>
      <c r="E1096" s="115" t="str">
        <f aca="false">IF($B1096="Tema",IF(ISNUMBER(INDEX(Temas!$E$6:$P$305,$C1096,2*$D1096-1)),INDEX(Temas!$E$6:$P$305,$C1096,2*$D1096-1),""),IF(ISNUMBER(INDEX(Avulsos!$B$6:$B$205,$C1096)),INDEX(Avulsos!$B$6:$B$205,$C1096),""))</f>
        <v/>
      </c>
      <c r="F1096" s="114" t="str">
        <f aca="false">IF($E1096="","",IF($B1096="Tema",INDEX(Temas!$B$6:$B$305,$C1096)&amp;"",INDEX(Avulsos!$C$6:$C$205,$C1096)&amp;""))</f>
        <v/>
      </c>
      <c r="G1096" s="114" t="str">
        <f aca="false">IF($E1096="","",IF($B1096="Tema",INDEX(Config!$C$6:$C$11,$D1096),"Evento avulso"))</f>
        <v/>
      </c>
      <c r="H1096" s="114" t="str">
        <f aca="false">IF($E1096="","",IF($B1096="Tema",INDEX(Config!$D$6:$D$11,$D1096),IFERROR(INDEX(Config!$E$15:$E$19,MATCH($I1096,Config!$C$15:$C$19,0)),"•")))</f>
        <v/>
      </c>
      <c r="I1096" s="114" t="str">
        <f aca="false">IF($E1096="","",IF($B1096="Tema",INDEX(Config!$E$6:$E$11,$D1096),IF(INDEX(Avulsos!$D$6:$D$205,$C1096)&amp;""="","Outro",INDEX(Avulsos!$D$6:$D$205,$C1096))))</f>
        <v/>
      </c>
      <c r="J1096" s="114" t="str">
        <f aca="false">IF($E1096="","",IF($B1096="Tema",INDEX(Temas!$C$6:$C$305,$C1096)&amp;"",INDEX(Avulsos!$E$6:$E$205,$C1096)&amp;""))</f>
        <v/>
      </c>
      <c r="K1096" s="114" t="str">
        <f aca="false">IF($E1096="","",IF(IF($B1096="Tema",INDEX(Temas!$E$6:$P$305,$C1096,2*$D1096),INDEX(Avulsos!$F$6:$F$205,$C1096))&amp;""="","","✓"))</f>
        <v/>
      </c>
      <c r="L1096" s="114" t="str">
        <f aca="true">IF($E1096="","",IF($K1096="✓","Concluído",IF($E1096&lt;TODAY(),"Atrasado",IF($E1096=TODAY(),"Hoje","Pendente"))))</f>
        <v/>
      </c>
      <c r="M1096" s="114" t="str">
        <f aca="false">IF($E1096="","",IF($K1096="✓","✓ ","")&amp;IF(Config!$E$22="Sim",$H1096&amp;" · ","")&amp;$F1096)</f>
        <v/>
      </c>
      <c r="N1096" s="114" t="str">
        <f aca="false">IF($E1096="","",IFERROR(INDEX(Config!$D$15:$D$19,MATCH($I1096,Config!$C$15:$C$19,0)),"OUT")&amp;IF($K1096="✓","x",""))</f>
        <v/>
      </c>
      <c r="O1096" s="114" t="str">
        <f aca="false">IF($E1096="","",COUNTIF($E$5:$E1096,$E1096))</f>
        <v/>
      </c>
      <c r="P1096" s="114" t="str">
        <f aca="false">IF($E1096="","",$E1096*100+$O1096)</f>
        <v/>
      </c>
      <c r="Q1096" s="114" t="str">
        <f aca="false">IF($L1096="Atrasado",$E1096*10000+$A1096,"")</f>
        <v/>
      </c>
    </row>
    <row r="1097" customFormat="false" ht="15" hidden="false" customHeight="false" outlineLevel="0" collapsed="false">
      <c r="A1097" s="114" t="n">
        <f aca="false">ROW()-4</f>
        <v>1093</v>
      </c>
      <c r="B1097" s="114" t="str">
        <f aca="false">IF(A1097&lt;=Config!$E$27*Config!$E$28,"Tema","Avulso")</f>
        <v>Tema</v>
      </c>
      <c r="C1097" s="114" t="n">
        <f aca="false">IF(B1097="Tema",INT((A1097-1)/Config!$E$28)+1,A1097-Config!$E$27*Config!$E$28)</f>
        <v>183</v>
      </c>
      <c r="D1097" s="114" t="n">
        <f aca="false">IF(B1097="Tema",MOD(A1097-1,Config!$E$28)+1,"")</f>
        <v>1</v>
      </c>
      <c r="E1097" s="115" t="str">
        <f aca="false">IF($B1097="Tema",IF(ISNUMBER(INDEX(Temas!$E$6:$P$305,$C1097,2*$D1097-1)),INDEX(Temas!$E$6:$P$305,$C1097,2*$D1097-1),""),IF(ISNUMBER(INDEX(Avulsos!$B$6:$B$205,$C1097)),INDEX(Avulsos!$B$6:$B$205,$C1097),""))</f>
        <v/>
      </c>
      <c r="F1097" s="114" t="str">
        <f aca="false">IF($E1097="","",IF($B1097="Tema",INDEX(Temas!$B$6:$B$305,$C1097)&amp;"",INDEX(Avulsos!$C$6:$C$205,$C1097)&amp;""))</f>
        <v/>
      </c>
      <c r="G1097" s="114" t="str">
        <f aca="false">IF($E1097="","",IF($B1097="Tema",INDEX(Config!$C$6:$C$11,$D1097),"Evento avulso"))</f>
        <v/>
      </c>
      <c r="H1097" s="114" t="str">
        <f aca="false">IF($E1097="","",IF($B1097="Tema",INDEX(Config!$D$6:$D$11,$D1097),IFERROR(INDEX(Config!$E$15:$E$19,MATCH($I1097,Config!$C$15:$C$19,0)),"•")))</f>
        <v/>
      </c>
      <c r="I1097" s="114" t="str">
        <f aca="false">IF($E1097="","",IF($B1097="Tema",INDEX(Config!$E$6:$E$11,$D1097),IF(INDEX(Avulsos!$D$6:$D$205,$C1097)&amp;""="","Outro",INDEX(Avulsos!$D$6:$D$205,$C1097))))</f>
        <v/>
      </c>
      <c r="J1097" s="114" t="str">
        <f aca="false">IF($E1097="","",IF($B1097="Tema",INDEX(Temas!$C$6:$C$305,$C1097)&amp;"",INDEX(Avulsos!$E$6:$E$205,$C1097)&amp;""))</f>
        <v/>
      </c>
      <c r="K1097" s="114" t="str">
        <f aca="false">IF($E1097="","",IF(IF($B1097="Tema",INDEX(Temas!$E$6:$P$305,$C1097,2*$D1097),INDEX(Avulsos!$F$6:$F$205,$C1097))&amp;""="","","✓"))</f>
        <v/>
      </c>
      <c r="L1097" s="114" t="str">
        <f aca="true">IF($E1097="","",IF($K1097="✓","Concluído",IF($E1097&lt;TODAY(),"Atrasado",IF($E1097=TODAY(),"Hoje","Pendente"))))</f>
        <v/>
      </c>
      <c r="M1097" s="114" t="str">
        <f aca="false">IF($E1097="","",IF($K1097="✓","✓ ","")&amp;IF(Config!$E$22="Sim",$H1097&amp;" · ","")&amp;$F1097)</f>
        <v/>
      </c>
      <c r="N1097" s="114" t="str">
        <f aca="false">IF($E1097="","",IFERROR(INDEX(Config!$D$15:$D$19,MATCH($I1097,Config!$C$15:$C$19,0)),"OUT")&amp;IF($K1097="✓","x",""))</f>
        <v/>
      </c>
      <c r="O1097" s="114" t="str">
        <f aca="false">IF($E1097="","",COUNTIF($E$5:$E1097,$E1097))</f>
        <v/>
      </c>
      <c r="P1097" s="114" t="str">
        <f aca="false">IF($E1097="","",$E1097*100+$O1097)</f>
        <v/>
      </c>
      <c r="Q1097" s="114" t="str">
        <f aca="false">IF($L1097="Atrasado",$E1097*10000+$A1097,"")</f>
        <v/>
      </c>
    </row>
    <row r="1098" customFormat="false" ht="15" hidden="false" customHeight="false" outlineLevel="0" collapsed="false">
      <c r="A1098" s="114" t="n">
        <f aca="false">ROW()-4</f>
        <v>1094</v>
      </c>
      <c r="B1098" s="114" t="str">
        <f aca="false">IF(A1098&lt;=Config!$E$27*Config!$E$28,"Tema","Avulso")</f>
        <v>Tema</v>
      </c>
      <c r="C1098" s="114" t="n">
        <f aca="false">IF(B1098="Tema",INT((A1098-1)/Config!$E$28)+1,A1098-Config!$E$27*Config!$E$28)</f>
        <v>183</v>
      </c>
      <c r="D1098" s="114" t="n">
        <f aca="false">IF(B1098="Tema",MOD(A1098-1,Config!$E$28)+1,"")</f>
        <v>2</v>
      </c>
      <c r="E1098" s="115" t="str">
        <f aca="false">IF($B1098="Tema",IF(ISNUMBER(INDEX(Temas!$E$6:$P$305,$C1098,2*$D1098-1)),INDEX(Temas!$E$6:$P$305,$C1098,2*$D1098-1),""),IF(ISNUMBER(INDEX(Avulsos!$B$6:$B$205,$C1098)),INDEX(Avulsos!$B$6:$B$205,$C1098),""))</f>
        <v/>
      </c>
      <c r="F1098" s="114" t="str">
        <f aca="false">IF($E1098="","",IF($B1098="Tema",INDEX(Temas!$B$6:$B$305,$C1098)&amp;"",INDEX(Avulsos!$C$6:$C$205,$C1098)&amp;""))</f>
        <v/>
      </c>
      <c r="G1098" s="114" t="str">
        <f aca="false">IF($E1098="","",IF($B1098="Tema",INDEX(Config!$C$6:$C$11,$D1098),"Evento avulso"))</f>
        <v/>
      </c>
      <c r="H1098" s="114" t="str">
        <f aca="false">IF($E1098="","",IF($B1098="Tema",INDEX(Config!$D$6:$D$11,$D1098),IFERROR(INDEX(Config!$E$15:$E$19,MATCH($I1098,Config!$C$15:$C$19,0)),"•")))</f>
        <v/>
      </c>
      <c r="I1098" s="114" t="str">
        <f aca="false">IF($E1098="","",IF($B1098="Tema",INDEX(Config!$E$6:$E$11,$D1098),IF(INDEX(Avulsos!$D$6:$D$205,$C1098)&amp;""="","Outro",INDEX(Avulsos!$D$6:$D$205,$C1098))))</f>
        <v/>
      </c>
      <c r="J1098" s="114" t="str">
        <f aca="false">IF($E1098="","",IF($B1098="Tema",INDEX(Temas!$C$6:$C$305,$C1098)&amp;"",INDEX(Avulsos!$E$6:$E$205,$C1098)&amp;""))</f>
        <v/>
      </c>
      <c r="K1098" s="114" t="str">
        <f aca="false">IF($E1098="","",IF(IF($B1098="Tema",INDEX(Temas!$E$6:$P$305,$C1098,2*$D1098),INDEX(Avulsos!$F$6:$F$205,$C1098))&amp;""="","","✓"))</f>
        <v/>
      </c>
      <c r="L1098" s="114" t="str">
        <f aca="true">IF($E1098="","",IF($K1098="✓","Concluído",IF($E1098&lt;TODAY(),"Atrasado",IF($E1098=TODAY(),"Hoje","Pendente"))))</f>
        <v/>
      </c>
      <c r="M1098" s="114" t="str">
        <f aca="false">IF($E1098="","",IF($K1098="✓","✓ ","")&amp;IF(Config!$E$22="Sim",$H1098&amp;" · ","")&amp;$F1098)</f>
        <v/>
      </c>
      <c r="N1098" s="114" t="str">
        <f aca="false">IF($E1098="","",IFERROR(INDEX(Config!$D$15:$D$19,MATCH($I1098,Config!$C$15:$C$19,0)),"OUT")&amp;IF($K1098="✓","x",""))</f>
        <v/>
      </c>
      <c r="O1098" s="114" t="str">
        <f aca="false">IF($E1098="","",COUNTIF($E$5:$E1098,$E1098))</f>
        <v/>
      </c>
      <c r="P1098" s="114" t="str">
        <f aca="false">IF($E1098="","",$E1098*100+$O1098)</f>
        <v/>
      </c>
      <c r="Q1098" s="114" t="str">
        <f aca="false">IF($L1098="Atrasado",$E1098*10000+$A1098,"")</f>
        <v/>
      </c>
    </row>
    <row r="1099" customFormat="false" ht="15" hidden="false" customHeight="false" outlineLevel="0" collapsed="false">
      <c r="A1099" s="114" t="n">
        <f aca="false">ROW()-4</f>
        <v>1095</v>
      </c>
      <c r="B1099" s="114" t="str">
        <f aca="false">IF(A1099&lt;=Config!$E$27*Config!$E$28,"Tema","Avulso")</f>
        <v>Tema</v>
      </c>
      <c r="C1099" s="114" t="n">
        <f aca="false">IF(B1099="Tema",INT((A1099-1)/Config!$E$28)+1,A1099-Config!$E$27*Config!$E$28)</f>
        <v>183</v>
      </c>
      <c r="D1099" s="114" t="n">
        <f aca="false">IF(B1099="Tema",MOD(A1099-1,Config!$E$28)+1,"")</f>
        <v>3</v>
      </c>
      <c r="E1099" s="115" t="str">
        <f aca="false">IF($B1099="Tema",IF(ISNUMBER(INDEX(Temas!$E$6:$P$305,$C1099,2*$D1099-1)),INDEX(Temas!$E$6:$P$305,$C1099,2*$D1099-1),""),IF(ISNUMBER(INDEX(Avulsos!$B$6:$B$205,$C1099)),INDEX(Avulsos!$B$6:$B$205,$C1099),""))</f>
        <v/>
      </c>
      <c r="F1099" s="114" t="str">
        <f aca="false">IF($E1099="","",IF($B1099="Tema",INDEX(Temas!$B$6:$B$305,$C1099)&amp;"",INDEX(Avulsos!$C$6:$C$205,$C1099)&amp;""))</f>
        <v/>
      </c>
      <c r="G1099" s="114" t="str">
        <f aca="false">IF($E1099="","",IF($B1099="Tema",INDEX(Config!$C$6:$C$11,$D1099),"Evento avulso"))</f>
        <v/>
      </c>
      <c r="H1099" s="114" t="str">
        <f aca="false">IF($E1099="","",IF($B1099="Tema",INDEX(Config!$D$6:$D$11,$D1099),IFERROR(INDEX(Config!$E$15:$E$19,MATCH($I1099,Config!$C$15:$C$19,0)),"•")))</f>
        <v/>
      </c>
      <c r="I1099" s="114" t="str">
        <f aca="false">IF($E1099="","",IF($B1099="Tema",INDEX(Config!$E$6:$E$11,$D1099),IF(INDEX(Avulsos!$D$6:$D$205,$C1099)&amp;""="","Outro",INDEX(Avulsos!$D$6:$D$205,$C1099))))</f>
        <v/>
      </c>
      <c r="J1099" s="114" t="str">
        <f aca="false">IF($E1099="","",IF($B1099="Tema",INDEX(Temas!$C$6:$C$305,$C1099)&amp;"",INDEX(Avulsos!$E$6:$E$205,$C1099)&amp;""))</f>
        <v/>
      </c>
      <c r="K1099" s="114" t="str">
        <f aca="false">IF($E1099="","",IF(IF($B1099="Tema",INDEX(Temas!$E$6:$P$305,$C1099,2*$D1099),INDEX(Avulsos!$F$6:$F$205,$C1099))&amp;""="","","✓"))</f>
        <v/>
      </c>
      <c r="L1099" s="114" t="str">
        <f aca="true">IF($E1099="","",IF($K1099="✓","Concluído",IF($E1099&lt;TODAY(),"Atrasado",IF($E1099=TODAY(),"Hoje","Pendente"))))</f>
        <v/>
      </c>
      <c r="M1099" s="114" t="str">
        <f aca="false">IF($E1099="","",IF($K1099="✓","✓ ","")&amp;IF(Config!$E$22="Sim",$H1099&amp;" · ","")&amp;$F1099)</f>
        <v/>
      </c>
      <c r="N1099" s="114" t="str">
        <f aca="false">IF($E1099="","",IFERROR(INDEX(Config!$D$15:$D$19,MATCH($I1099,Config!$C$15:$C$19,0)),"OUT")&amp;IF($K1099="✓","x",""))</f>
        <v/>
      </c>
      <c r="O1099" s="114" t="str">
        <f aca="false">IF($E1099="","",COUNTIF($E$5:$E1099,$E1099))</f>
        <v/>
      </c>
      <c r="P1099" s="114" t="str">
        <f aca="false">IF($E1099="","",$E1099*100+$O1099)</f>
        <v/>
      </c>
      <c r="Q1099" s="114" t="str">
        <f aca="false">IF($L1099="Atrasado",$E1099*10000+$A1099,"")</f>
        <v/>
      </c>
    </row>
    <row r="1100" customFormat="false" ht="15" hidden="false" customHeight="false" outlineLevel="0" collapsed="false">
      <c r="A1100" s="114" t="n">
        <f aca="false">ROW()-4</f>
        <v>1096</v>
      </c>
      <c r="B1100" s="114" t="str">
        <f aca="false">IF(A1100&lt;=Config!$E$27*Config!$E$28,"Tema","Avulso")</f>
        <v>Tema</v>
      </c>
      <c r="C1100" s="114" t="n">
        <f aca="false">IF(B1100="Tema",INT((A1100-1)/Config!$E$28)+1,A1100-Config!$E$27*Config!$E$28)</f>
        <v>183</v>
      </c>
      <c r="D1100" s="114" t="n">
        <f aca="false">IF(B1100="Tema",MOD(A1100-1,Config!$E$28)+1,"")</f>
        <v>4</v>
      </c>
      <c r="E1100" s="115" t="str">
        <f aca="false">IF($B1100="Tema",IF(ISNUMBER(INDEX(Temas!$E$6:$P$305,$C1100,2*$D1100-1)),INDEX(Temas!$E$6:$P$305,$C1100,2*$D1100-1),""),IF(ISNUMBER(INDEX(Avulsos!$B$6:$B$205,$C1100)),INDEX(Avulsos!$B$6:$B$205,$C1100),""))</f>
        <v/>
      </c>
      <c r="F1100" s="114" t="str">
        <f aca="false">IF($E1100="","",IF($B1100="Tema",INDEX(Temas!$B$6:$B$305,$C1100)&amp;"",INDEX(Avulsos!$C$6:$C$205,$C1100)&amp;""))</f>
        <v/>
      </c>
      <c r="G1100" s="114" t="str">
        <f aca="false">IF($E1100="","",IF($B1100="Tema",INDEX(Config!$C$6:$C$11,$D1100),"Evento avulso"))</f>
        <v/>
      </c>
      <c r="H1100" s="114" t="str">
        <f aca="false">IF($E1100="","",IF($B1100="Tema",INDEX(Config!$D$6:$D$11,$D1100),IFERROR(INDEX(Config!$E$15:$E$19,MATCH($I1100,Config!$C$15:$C$19,0)),"•")))</f>
        <v/>
      </c>
      <c r="I1100" s="114" t="str">
        <f aca="false">IF($E1100="","",IF($B1100="Tema",INDEX(Config!$E$6:$E$11,$D1100),IF(INDEX(Avulsos!$D$6:$D$205,$C1100)&amp;""="","Outro",INDEX(Avulsos!$D$6:$D$205,$C1100))))</f>
        <v/>
      </c>
      <c r="J1100" s="114" t="str">
        <f aca="false">IF($E1100="","",IF($B1100="Tema",INDEX(Temas!$C$6:$C$305,$C1100)&amp;"",INDEX(Avulsos!$E$6:$E$205,$C1100)&amp;""))</f>
        <v/>
      </c>
      <c r="K1100" s="114" t="str">
        <f aca="false">IF($E1100="","",IF(IF($B1100="Tema",INDEX(Temas!$E$6:$P$305,$C1100,2*$D1100),INDEX(Avulsos!$F$6:$F$205,$C1100))&amp;""="","","✓"))</f>
        <v/>
      </c>
      <c r="L1100" s="114" t="str">
        <f aca="true">IF($E1100="","",IF($K1100="✓","Concluído",IF($E1100&lt;TODAY(),"Atrasado",IF($E1100=TODAY(),"Hoje","Pendente"))))</f>
        <v/>
      </c>
      <c r="M1100" s="114" t="str">
        <f aca="false">IF($E1100="","",IF($K1100="✓","✓ ","")&amp;IF(Config!$E$22="Sim",$H1100&amp;" · ","")&amp;$F1100)</f>
        <v/>
      </c>
      <c r="N1100" s="114" t="str">
        <f aca="false">IF($E1100="","",IFERROR(INDEX(Config!$D$15:$D$19,MATCH($I1100,Config!$C$15:$C$19,0)),"OUT")&amp;IF($K1100="✓","x",""))</f>
        <v/>
      </c>
      <c r="O1100" s="114" t="str">
        <f aca="false">IF($E1100="","",COUNTIF($E$5:$E1100,$E1100))</f>
        <v/>
      </c>
      <c r="P1100" s="114" t="str">
        <f aca="false">IF($E1100="","",$E1100*100+$O1100)</f>
        <v/>
      </c>
      <c r="Q1100" s="114" t="str">
        <f aca="false">IF($L1100="Atrasado",$E1100*10000+$A1100,"")</f>
        <v/>
      </c>
    </row>
    <row r="1101" customFormat="false" ht="15" hidden="false" customHeight="false" outlineLevel="0" collapsed="false">
      <c r="A1101" s="114" t="n">
        <f aca="false">ROW()-4</f>
        <v>1097</v>
      </c>
      <c r="B1101" s="114" t="str">
        <f aca="false">IF(A1101&lt;=Config!$E$27*Config!$E$28,"Tema","Avulso")</f>
        <v>Tema</v>
      </c>
      <c r="C1101" s="114" t="n">
        <f aca="false">IF(B1101="Tema",INT((A1101-1)/Config!$E$28)+1,A1101-Config!$E$27*Config!$E$28)</f>
        <v>183</v>
      </c>
      <c r="D1101" s="114" t="n">
        <f aca="false">IF(B1101="Tema",MOD(A1101-1,Config!$E$28)+1,"")</f>
        <v>5</v>
      </c>
      <c r="E1101" s="115" t="str">
        <f aca="false">IF($B1101="Tema",IF(ISNUMBER(INDEX(Temas!$E$6:$P$305,$C1101,2*$D1101-1)),INDEX(Temas!$E$6:$P$305,$C1101,2*$D1101-1),""),IF(ISNUMBER(INDEX(Avulsos!$B$6:$B$205,$C1101)),INDEX(Avulsos!$B$6:$B$205,$C1101),""))</f>
        <v/>
      </c>
      <c r="F1101" s="114" t="str">
        <f aca="false">IF($E1101="","",IF($B1101="Tema",INDEX(Temas!$B$6:$B$305,$C1101)&amp;"",INDEX(Avulsos!$C$6:$C$205,$C1101)&amp;""))</f>
        <v/>
      </c>
      <c r="G1101" s="114" t="str">
        <f aca="false">IF($E1101="","",IF($B1101="Tema",INDEX(Config!$C$6:$C$11,$D1101),"Evento avulso"))</f>
        <v/>
      </c>
      <c r="H1101" s="114" t="str">
        <f aca="false">IF($E1101="","",IF($B1101="Tema",INDEX(Config!$D$6:$D$11,$D1101),IFERROR(INDEX(Config!$E$15:$E$19,MATCH($I1101,Config!$C$15:$C$19,0)),"•")))</f>
        <v/>
      </c>
      <c r="I1101" s="114" t="str">
        <f aca="false">IF($E1101="","",IF($B1101="Tema",INDEX(Config!$E$6:$E$11,$D1101),IF(INDEX(Avulsos!$D$6:$D$205,$C1101)&amp;""="","Outro",INDEX(Avulsos!$D$6:$D$205,$C1101))))</f>
        <v/>
      </c>
      <c r="J1101" s="114" t="str">
        <f aca="false">IF($E1101="","",IF($B1101="Tema",INDEX(Temas!$C$6:$C$305,$C1101)&amp;"",INDEX(Avulsos!$E$6:$E$205,$C1101)&amp;""))</f>
        <v/>
      </c>
      <c r="K1101" s="114" t="str">
        <f aca="false">IF($E1101="","",IF(IF($B1101="Tema",INDEX(Temas!$E$6:$P$305,$C1101,2*$D1101),INDEX(Avulsos!$F$6:$F$205,$C1101))&amp;""="","","✓"))</f>
        <v/>
      </c>
      <c r="L1101" s="114" t="str">
        <f aca="true">IF($E1101="","",IF($K1101="✓","Concluído",IF($E1101&lt;TODAY(),"Atrasado",IF($E1101=TODAY(),"Hoje","Pendente"))))</f>
        <v/>
      </c>
      <c r="M1101" s="114" t="str">
        <f aca="false">IF($E1101="","",IF($K1101="✓","✓ ","")&amp;IF(Config!$E$22="Sim",$H1101&amp;" · ","")&amp;$F1101)</f>
        <v/>
      </c>
      <c r="N1101" s="114" t="str">
        <f aca="false">IF($E1101="","",IFERROR(INDEX(Config!$D$15:$D$19,MATCH($I1101,Config!$C$15:$C$19,0)),"OUT")&amp;IF($K1101="✓","x",""))</f>
        <v/>
      </c>
      <c r="O1101" s="114" t="str">
        <f aca="false">IF($E1101="","",COUNTIF($E$5:$E1101,$E1101))</f>
        <v/>
      </c>
      <c r="P1101" s="114" t="str">
        <f aca="false">IF($E1101="","",$E1101*100+$O1101)</f>
        <v/>
      </c>
      <c r="Q1101" s="114" t="str">
        <f aca="false">IF($L1101="Atrasado",$E1101*10000+$A1101,"")</f>
        <v/>
      </c>
    </row>
    <row r="1102" customFormat="false" ht="15" hidden="false" customHeight="false" outlineLevel="0" collapsed="false">
      <c r="A1102" s="114" t="n">
        <f aca="false">ROW()-4</f>
        <v>1098</v>
      </c>
      <c r="B1102" s="114" t="str">
        <f aca="false">IF(A1102&lt;=Config!$E$27*Config!$E$28,"Tema","Avulso")</f>
        <v>Tema</v>
      </c>
      <c r="C1102" s="114" t="n">
        <f aca="false">IF(B1102="Tema",INT((A1102-1)/Config!$E$28)+1,A1102-Config!$E$27*Config!$E$28)</f>
        <v>183</v>
      </c>
      <c r="D1102" s="114" t="n">
        <f aca="false">IF(B1102="Tema",MOD(A1102-1,Config!$E$28)+1,"")</f>
        <v>6</v>
      </c>
      <c r="E1102" s="115" t="str">
        <f aca="false">IF($B1102="Tema",IF(ISNUMBER(INDEX(Temas!$E$6:$P$305,$C1102,2*$D1102-1)),INDEX(Temas!$E$6:$P$305,$C1102,2*$D1102-1),""),IF(ISNUMBER(INDEX(Avulsos!$B$6:$B$205,$C1102)),INDEX(Avulsos!$B$6:$B$205,$C1102),""))</f>
        <v/>
      </c>
      <c r="F1102" s="114" t="str">
        <f aca="false">IF($E1102="","",IF($B1102="Tema",INDEX(Temas!$B$6:$B$305,$C1102)&amp;"",INDEX(Avulsos!$C$6:$C$205,$C1102)&amp;""))</f>
        <v/>
      </c>
      <c r="G1102" s="114" t="str">
        <f aca="false">IF($E1102="","",IF($B1102="Tema",INDEX(Config!$C$6:$C$11,$D1102),"Evento avulso"))</f>
        <v/>
      </c>
      <c r="H1102" s="114" t="str">
        <f aca="false">IF($E1102="","",IF($B1102="Tema",INDEX(Config!$D$6:$D$11,$D1102),IFERROR(INDEX(Config!$E$15:$E$19,MATCH($I1102,Config!$C$15:$C$19,0)),"•")))</f>
        <v/>
      </c>
      <c r="I1102" s="114" t="str">
        <f aca="false">IF($E1102="","",IF($B1102="Tema",INDEX(Config!$E$6:$E$11,$D1102),IF(INDEX(Avulsos!$D$6:$D$205,$C1102)&amp;""="","Outro",INDEX(Avulsos!$D$6:$D$205,$C1102))))</f>
        <v/>
      </c>
      <c r="J1102" s="114" t="str">
        <f aca="false">IF($E1102="","",IF($B1102="Tema",INDEX(Temas!$C$6:$C$305,$C1102)&amp;"",INDEX(Avulsos!$E$6:$E$205,$C1102)&amp;""))</f>
        <v/>
      </c>
      <c r="K1102" s="114" t="str">
        <f aca="false">IF($E1102="","",IF(IF($B1102="Tema",INDEX(Temas!$E$6:$P$305,$C1102,2*$D1102),INDEX(Avulsos!$F$6:$F$205,$C1102))&amp;""="","","✓"))</f>
        <v/>
      </c>
      <c r="L1102" s="114" t="str">
        <f aca="true">IF($E1102="","",IF($K1102="✓","Concluído",IF($E1102&lt;TODAY(),"Atrasado",IF($E1102=TODAY(),"Hoje","Pendente"))))</f>
        <v/>
      </c>
      <c r="M1102" s="114" t="str">
        <f aca="false">IF($E1102="","",IF($K1102="✓","✓ ","")&amp;IF(Config!$E$22="Sim",$H1102&amp;" · ","")&amp;$F1102)</f>
        <v/>
      </c>
      <c r="N1102" s="114" t="str">
        <f aca="false">IF($E1102="","",IFERROR(INDEX(Config!$D$15:$D$19,MATCH($I1102,Config!$C$15:$C$19,0)),"OUT")&amp;IF($K1102="✓","x",""))</f>
        <v/>
      </c>
      <c r="O1102" s="114" t="str">
        <f aca="false">IF($E1102="","",COUNTIF($E$5:$E1102,$E1102))</f>
        <v/>
      </c>
      <c r="P1102" s="114" t="str">
        <f aca="false">IF($E1102="","",$E1102*100+$O1102)</f>
        <v/>
      </c>
      <c r="Q1102" s="114" t="str">
        <f aca="false">IF($L1102="Atrasado",$E1102*10000+$A1102,"")</f>
        <v/>
      </c>
    </row>
    <row r="1103" customFormat="false" ht="15" hidden="false" customHeight="false" outlineLevel="0" collapsed="false">
      <c r="A1103" s="114" t="n">
        <f aca="false">ROW()-4</f>
        <v>1099</v>
      </c>
      <c r="B1103" s="114" t="str">
        <f aca="false">IF(A1103&lt;=Config!$E$27*Config!$E$28,"Tema","Avulso")</f>
        <v>Tema</v>
      </c>
      <c r="C1103" s="114" t="n">
        <f aca="false">IF(B1103="Tema",INT((A1103-1)/Config!$E$28)+1,A1103-Config!$E$27*Config!$E$28)</f>
        <v>184</v>
      </c>
      <c r="D1103" s="114" t="n">
        <f aca="false">IF(B1103="Tema",MOD(A1103-1,Config!$E$28)+1,"")</f>
        <v>1</v>
      </c>
      <c r="E1103" s="115" t="str">
        <f aca="false">IF($B1103="Tema",IF(ISNUMBER(INDEX(Temas!$E$6:$P$305,$C1103,2*$D1103-1)),INDEX(Temas!$E$6:$P$305,$C1103,2*$D1103-1),""),IF(ISNUMBER(INDEX(Avulsos!$B$6:$B$205,$C1103)),INDEX(Avulsos!$B$6:$B$205,$C1103),""))</f>
        <v/>
      </c>
      <c r="F1103" s="114" t="str">
        <f aca="false">IF($E1103="","",IF($B1103="Tema",INDEX(Temas!$B$6:$B$305,$C1103)&amp;"",INDEX(Avulsos!$C$6:$C$205,$C1103)&amp;""))</f>
        <v/>
      </c>
      <c r="G1103" s="114" t="str">
        <f aca="false">IF($E1103="","",IF($B1103="Tema",INDEX(Config!$C$6:$C$11,$D1103),"Evento avulso"))</f>
        <v/>
      </c>
      <c r="H1103" s="114" t="str">
        <f aca="false">IF($E1103="","",IF($B1103="Tema",INDEX(Config!$D$6:$D$11,$D1103),IFERROR(INDEX(Config!$E$15:$E$19,MATCH($I1103,Config!$C$15:$C$19,0)),"•")))</f>
        <v/>
      </c>
      <c r="I1103" s="114" t="str">
        <f aca="false">IF($E1103="","",IF($B1103="Tema",INDEX(Config!$E$6:$E$11,$D1103),IF(INDEX(Avulsos!$D$6:$D$205,$C1103)&amp;""="","Outro",INDEX(Avulsos!$D$6:$D$205,$C1103))))</f>
        <v/>
      </c>
      <c r="J1103" s="114" t="str">
        <f aca="false">IF($E1103="","",IF($B1103="Tema",INDEX(Temas!$C$6:$C$305,$C1103)&amp;"",INDEX(Avulsos!$E$6:$E$205,$C1103)&amp;""))</f>
        <v/>
      </c>
      <c r="K1103" s="114" t="str">
        <f aca="false">IF($E1103="","",IF(IF($B1103="Tema",INDEX(Temas!$E$6:$P$305,$C1103,2*$D1103),INDEX(Avulsos!$F$6:$F$205,$C1103))&amp;""="","","✓"))</f>
        <v/>
      </c>
      <c r="L1103" s="114" t="str">
        <f aca="true">IF($E1103="","",IF($K1103="✓","Concluído",IF($E1103&lt;TODAY(),"Atrasado",IF($E1103=TODAY(),"Hoje","Pendente"))))</f>
        <v/>
      </c>
      <c r="M1103" s="114" t="str">
        <f aca="false">IF($E1103="","",IF($K1103="✓","✓ ","")&amp;IF(Config!$E$22="Sim",$H1103&amp;" · ","")&amp;$F1103)</f>
        <v/>
      </c>
      <c r="N1103" s="114" t="str">
        <f aca="false">IF($E1103="","",IFERROR(INDEX(Config!$D$15:$D$19,MATCH($I1103,Config!$C$15:$C$19,0)),"OUT")&amp;IF($K1103="✓","x",""))</f>
        <v/>
      </c>
      <c r="O1103" s="114" t="str">
        <f aca="false">IF($E1103="","",COUNTIF($E$5:$E1103,$E1103))</f>
        <v/>
      </c>
      <c r="P1103" s="114" t="str">
        <f aca="false">IF($E1103="","",$E1103*100+$O1103)</f>
        <v/>
      </c>
      <c r="Q1103" s="114" t="str">
        <f aca="false">IF($L1103="Atrasado",$E1103*10000+$A1103,"")</f>
        <v/>
      </c>
    </row>
    <row r="1104" customFormat="false" ht="15" hidden="false" customHeight="false" outlineLevel="0" collapsed="false">
      <c r="A1104" s="114" t="n">
        <f aca="false">ROW()-4</f>
        <v>1100</v>
      </c>
      <c r="B1104" s="114" t="str">
        <f aca="false">IF(A1104&lt;=Config!$E$27*Config!$E$28,"Tema","Avulso")</f>
        <v>Tema</v>
      </c>
      <c r="C1104" s="114" t="n">
        <f aca="false">IF(B1104="Tema",INT((A1104-1)/Config!$E$28)+1,A1104-Config!$E$27*Config!$E$28)</f>
        <v>184</v>
      </c>
      <c r="D1104" s="114" t="n">
        <f aca="false">IF(B1104="Tema",MOD(A1104-1,Config!$E$28)+1,"")</f>
        <v>2</v>
      </c>
      <c r="E1104" s="115" t="str">
        <f aca="false">IF($B1104="Tema",IF(ISNUMBER(INDEX(Temas!$E$6:$P$305,$C1104,2*$D1104-1)),INDEX(Temas!$E$6:$P$305,$C1104,2*$D1104-1),""),IF(ISNUMBER(INDEX(Avulsos!$B$6:$B$205,$C1104)),INDEX(Avulsos!$B$6:$B$205,$C1104),""))</f>
        <v/>
      </c>
      <c r="F1104" s="114" t="str">
        <f aca="false">IF($E1104="","",IF($B1104="Tema",INDEX(Temas!$B$6:$B$305,$C1104)&amp;"",INDEX(Avulsos!$C$6:$C$205,$C1104)&amp;""))</f>
        <v/>
      </c>
      <c r="G1104" s="114" t="str">
        <f aca="false">IF($E1104="","",IF($B1104="Tema",INDEX(Config!$C$6:$C$11,$D1104),"Evento avulso"))</f>
        <v/>
      </c>
      <c r="H1104" s="114" t="str">
        <f aca="false">IF($E1104="","",IF($B1104="Tema",INDEX(Config!$D$6:$D$11,$D1104),IFERROR(INDEX(Config!$E$15:$E$19,MATCH($I1104,Config!$C$15:$C$19,0)),"•")))</f>
        <v/>
      </c>
      <c r="I1104" s="114" t="str">
        <f aca="false">IF($E1104="","",IF($B1104="Tema",INDEX(Config!$E$6:$E$11,$D1104),IF(INDEX(Avulsos!$D$6:$D$205,$C1104)&amp;""="","Outro",INDEX(Avulsos!$D$6:$D$205,$C1104))))</f>
        <v/>
      </c>
      <c r="J1104" s="114" t="str">
        <f aca="false">IF($E1104="","",IF($B1104="Tema",INDEX(Temas!$C$6:$C$305,$C1104)&amp;"",INDEX(Avulsos!$E$6:$E$205,$C1104)&amp;""))</f>
        <v/>
      </c>
      <c r="K1104" s="114" t="str">
        <f aca="false">IF($E1104="","",IF(IF($B1104="Tema",INDEX(Temas!$E$6:$P$305,$C1104,2*$D1104),INDEX(Avulsos!$F$6:$F$205,$C1104))&amp;""="","","✓"))</f>
        <v/>
      </c>
      <c r="L1104" s="114" t="str">
        <f aca="true">IF($E1104="","",IF($K1104="✓","Concluído",IF($E1104&lt;TODAY(),"Atrasado",IF($E1104=TODAY(),"Hoje","Pendente"))))</f>
        <v/>
      </c>
      <c r="M1104" s="114" t="str">
        <f aca="false">IF($E1104="","",IF($K1104="✓","✓ ","")&amp;IF(Config!$E$22="Sim",$H1104&amp;" · ","")&amp;$F1104)</f>
        <v/>
      </c>
      <c r="N1104" s="114" t="str">
        <f aca="false">IF($E1104="","",IFERROR(INDEX(Config!$D$15:$D$19,MATCH($I1104,Config!$C$15:$C$19,0)),"OUT")&amp;IF($K1104="✓","x",""))</f>
        <v/>
      </c>
      <c r="O1104" s="114" t="str">
        <f aca="false">IF($E1104="","",COUNTIF($E$5:$E1104,$E1104))</f>
        <v/>
      </c>
      <c r="P1104" s="114" t="str">
        <f aca="false">IF($E1104="","",$E1104*100+$O1104)</f>
        <v/>
      </c>
      <c r="Q1104" s="114" t="str">
        <f aca="false">IF($L1104="Atrasado",$E1104*10000+$A1104,"")</f>
        <v/>
      </c>
    </row>
    <row r="1105" customFormat="false" ht="15" hidden="false" customHeight="false" outlineLevel="0" collapsed="false">
      <c r="A1105" s="114" t="n">
        <f aca="false">ROW()-4</f>
        <v>1101</v>
      </c>
      <c r="B1105" s="114" t="str">
        <f aca="false">IF(A1105&lt;=Config!$E$27*Config!$E$28,"Tema","Avulso")</f>
        <v>Tema</v>
      </c>
      <c r="C1105" s="114" t="n">
        <f aca="false">IF(B1105="Tema",INT((A1105-1)/Config!$E$28)+1,A1105-Config!$E$27*Config!$E$28)</f>
        <v>184</v>
      </c>
      <c r="D1105" s="114" t="n">
        <f aca="false">IF(B1105="Tema",MOD(A1105-1,Config!$E$28)+1,"")</f>
        <v>3</v>
      </c>
      <c r="E1105" s="115" t="str">
        <f aca="false">IF($B1105="Tema",IF(ISNUMBER(INDEX(Temas!$E$6:$P$305,$C1105,2*$D1105-1)),INDEX(Temas!$E$6:$P$305,$C1105,2*$D1105-1),""),IF(ISNUMBER(INDEX(Avulsos!$B$6:$B$205,$C1105)),INDEX(Avulsos!$B$6:$B$205,$C1105),""))</f>
        <v/>
      </c>
      <c r="F1105" s="114" t="str">
        <f aca="false">IF($E1105="","",IF($B1105="Tema",INDEX(Temas!$B$6:$B$305,$C1105)&amp;"",INDEX(Avulsos!$C$6:$C$205,$C1105)&amp;""))</f>
        <v/>
      </c>
      <c r="G1105" s="114" t="str">
        <f aca="false">IF($E1105="","",IF($B1105="Tema",INDEX(Config!$C$6:$C$11,$D1105),"Evento avulso"))</f>
        <v/>
      </c>
      <c r="H1105" s="114" t="str">
        <f aca="false">IF($E1105="","",IF($B1105="Tema",INDEX(Config!$D$6:$D$11,$D1105),IFERROR(INDEX(Config!$E$15:$E$19,MATCH($I1105,Config!$C$15:$C$19,0)),"•")))</f>
        <v/>
      </c>
      <c r="I1105" s="114" t="str">
        <f aca="false">IF($E1105="","",IF($B1105="Tema",INDEX(Config!$E$6:$E$11,$D1105),IF(INDEX(Avulsos!$D$6:$D$205,$C1105)&amp;""="","Outro",INDEX(Avulsos!$D$6:$D$205,$C1105))))</f>
        <v/>
      </c>
      <c r="J1105" s="114" t="str">
        <f aca="false">IF($E1105="","",IF($B1105="Tema",INDEX(Temas!$C$6:$C$305,$C1105)&amp;"",INDEX(Avulsos!$E$6:$E$205,$C1105)&amp;""))</f>
        <v/>
      </c>
      <c r="K1105" s="114" t="str">
        <f aca="false">IF($E1105="","",IF(IF($B1105="Tema",INDEX(Temas!$E$6:$P$305,$C1105,2*$D1105),INDEX(Avulsos!$F$6:$F$205,$C1105))&amp;""="","","✓"))</f>
        <v/>
      </c>
      <c r="L1105" s="114" t="str">
        <f aca="true">IF($E1105="","",IF($K1105="✓","Concluído",IF($E1105&lt;TODAY(),"Atrasado",IF($E1105=TODAY(),"Hoje","Pendente"))))</f>
        <v/>
      </c>
      <c r="M1105" s="114" t="str">
        <f aca="false">IF($E1105="","",IF($K1105="✓","✓ ","")&amp;IF(Config!$E$22="Sim",$H1105&amp;" · ","")&amp;$F1105)</f>
        <v/>
      </c>
      <c r="N1105" s="114" t="str">
        <f aca="false">IF($E1105="","",IFERROR(INDEX(Config!$D$15:$D$19,MATCH($I1105,Config!$C$15:$C$19,0)),"OUT")&amp;IF($K1105="✓","x",""))</f>
        <v/>
      </c>
      <c r="O1105" s="114" t="str">
        <f aca="false">IF($E1105="","",COUNTIF($E$5:$E1105,$E1105))</f>
        <v/>
      </c>
      <c r="P1105" s="114" t="str">
        <f aca="false">IF($E1105="","",$E1105*100+$O1105)</f>
        <v/>
      </c>
      <c r="Q1105" s="114" t="str">
        <f aca="false">IF($L1105="Atrasado",$E1105*10000+$A1105,"")</f>
        <v/>
      </c>
    </row>
    <row r="1106" customFormat="false" ht="15" hidden="false" customHeight="false" outlineLevel="0" collapsed="false">
      <c r="A1106" s="114" t="n">
        <f aca="false">ROW()-4</f>
        <v>1102</v>
      </c>
      <c r="B1106" s="114" t="str">
        <f aca="false">IF(A1106&lt;=Config!$E$27*Config!$E$28,"Tema","Avulso")</f>
        <v>Tema</v>
      </c>
      <c r="C1106" s="114" t="n">
        <f aca="false">IF(B1106="Tema",INT((A1106-1)/Config!$E$28)+1,A1106-Config!$E$27*Config!$E$28)</f>
        <v>184</v>
      </c>
      <c r="D1106" s="114" t="n">
        <f aca="false">IF(B1106="Tema",MOD(A1106-1,Config!$E$28)+1,"")</f>
        <v>4</v>
      </c>
      <c r="E1106" s="115" t="str">
        <f aca="false">IF($B1106="Tema",IF(ISNUMBER(INDEX(Temas!$E$6:$P$305,$C1106,2*$D1106-1)),INDEX(Temas!$E$6:$P$305,$C1106,2*$D1106-1),""),IF(ISNUMBER(INDEX(Avulsos!$B$6:$B$205,$C1106)),INDEX(Avulsos!$B$6:$B$205,$C1106),""))</f>
        <v/>
      </c>
      <c r="F1106" s="114" t="str">
        <f aca="false">IF($E1106="","",IF($B1106="Tema",INDEX(Temas!$B$6:$B$305,$C1106)&amp;"",INDEX(Avulsos!$C$6:$C$205,$C1106)&amp;""))</f>
        <v/>
      </c>
      <c r="G1106" s="114" t="str">
        <f aca="false">IF($E1106="","",IF($B1106="Tema",INDEX(Config!$C$6:$C$11,$D1106),"Evento avulso"))</f>
        <v/>
      </c>
      <c r="H1106" s="114" t="str">
        <f aca="false">IF($E1106="","",IF($B1106="Tema",INDEX(Config!$D$6:$D$11,$D1106),IFERROR(INDEX(Config!$E$15:$E$19,MATCH($I1106,Config!$C$15:$C$19,0)),"•")))</f>
        <v/>
      </c>
      <c r="I1106" s="114" t="str">
        <f aca="false">IF($E1106="","",IF($B1106="Tema",INDEX(Config!$E$6:$E$11,$D1106),IF(INDEX(Avulsos!$D$6:$D$205,$C1106)&amp;""="","Outro",INDEX(Avulsos!$D$6:$D$205,$C1106))))</f>
        <v/>
      </c>
      <c r="J1106" s="114" t="str">
        <f aca="false">IF($E1106="","",IF($B1106="Tema",INDEX(Temas!$C$6:$C$305,$C1106)&amp;"",INDEX(Avulsos!$E$6:$E$205,$C1106)&amp;""))</f>
        <v/>
      </c>
      <c r="K1106" s="114" t="str">
        <f aca="false">IF($E1106="","",IF(IF($B1106="Tema",INDEX(Temas!$E$6:$P$305,$C1106,2*$D1106),INDEX(Avulsos!$F$6:$F$205,$C1106))&amp;""="","","✓"))</f>
        <v/>
      </c>
      <c r="L1106" s="114" t="str">
        <f aca="true">IF($E1106="","",IF($K1106="✓","Concluído",IF($E1106&lt;TODAY(),"Atrasado",IF($E1106=TODAY(),"Hoje","Pendente"))))</f>
        <v/>
      </c>
      <c r="M1106" s="114" t="str">
        <f aca="false">IF($E1106="","",IF($K1106="✓","✓ ","")&amp;IF(Config!$E$22="Sim",$H1106&amp;" · ","")&amp;$F1106)</f>
        <v/>
      </c>
      <c r="N1106" s="114" t="str">
        <f aca="false">IF($E1106="","",IFERROR(INDEX(Config!$D$15:$D$19,MATCH($I1106,Config!$C$15:$C$19,0)),"OUT")&amp;IF($K1106="✓","x",""))</f>
        <v/>
      </c>
      <c r="O1106" s="114" t="str">
        <f aca="false">IF($E1106="","",COUNTIF($E$5:$E1106,$E1106))</f>
        <v/>
      </c>
      <c r="P1106" s="114" t="str">
        <f aca="false">IF($E1106="","",$E1106*100+$O1106)</f>
        <v/>
      </c>
      <c r="Q1106" s="114" t="str">
        <f aca="false">IF($L1106="Atrasado",$E1106*10000+$A1106,"")</f>
        <v/>
      </c>
    </row>
    <row r="1107" customFormat="false" ht="15" hidden="false" customHeight="false" outlineLevel="0" collapsed="false">
      <c r="A1107" s="114" t="n">
        <f aca="false">ROW()-4</f>
        <v>1103</v>
      </c>
      <c r="B1107" s="114" t="str">
        <f aca="false">IF(A1107&lt;=Config!$E$27*Config!$E$28,"Tema","Avulso")</f>
        <v>Tema</v>
      </c>
      <c r="C1107" s="114" t="n">
        <f aca="false">IF(B1107="Tema",INT((A1107-1)/Config!$E$28)+1,A1107-Config!$E$27*Config!$E$28)</f>
        <v>184</v>
      </c>
      <c r="D1107" s="114" t="n">
        <f aca="false">IF(B1107="Tema",MOD(A1107-1,Config!$E$28)+1,"")</f>
        <v>5</v>
      </c>
      <c r="E1107" s="115" t="str">
        <f aca="false">IF($B1107="Tema",IF(ISNUMBER(INDEX(Temas!$E$6:$P$305,$C1107,2*$D1107-1)),INDEX(Temas!$E$6:$P$305,$C1107,2*$D1107-1),""),IF(ISNUMBER(INDEX(Avulsos!$B$6:$B$205,$C1107)),INDEX(Avulsos!$B$6:$B$205,$C1107),""))</f>
        <v/>
      </c>
      <c r="F1107" s="114" t="str">
        <f aca="false">IF($E1107="","",IF($B1107="Tema",INDEX(Temas!$B$6:$B$305,$C1107)&amp;"",INDEX(Avulsos!$C$6:$C$205,$C1107)&amp;""))</f>
        <v/>
      </c>
      <c r="G1107" s="114" t="str">
        <f aca="false">IF($E1107="","",IF($B1107="Tema",INDEX(Config!$C$6:$C$11,$D1107),"Evento avulso"))</f>
        <v/>
      </c>
      <c r="H1107" s="114" t="str">
        <f aca="false">IF($E1107="","",IF($B1107="Tema",INDEX(Config!$D$6:$D$11,$D1107),IFERROR(INDEX(Config!$E$15:$E$19,MATCH($I1107,Config!$C$15:$C$19,0)),"•")))</f>
        <v/>
      </c>
      <c r="I1107" s="114" t="str">
        <f aca="false">IF($E1107="","",IF($B1107="Tema",INDEX(Config!$E$6:$E$11,$D1107),IF(INDEX(Avulsos!$D$6:$D$205,$C1107)&amp;""="","Outro",INDEX(Avulsos!$D$6:$D$205,$C1107))))</f>
        <v/>
      </c>
      <c r="J1107" s="114" t="str">
        <f aca="false">IF($E1107="","",IF($B1107="Tema",INDEX(Temas!$C$6:$C$305,$C1107)&amp;"",INDEX(Avulsos!$E$6:$E$205,$C1107)&amp;""))</f>
        <v/>
      </c>
      <c r="K1107" s="114" t="str">
        <f aca="false">IF($E1107="","",IF(IF($B1107="Tema",INDEX(Temas!$E$6:$P$305,$C1107,2*$D1107),INDEX(Avulsos!$F$6:$F$205,$C1107))&amp;""="","","✓"))</f>
        <v/>
      </c>
      <c r="L1107" s="114" t="str">
        <f aca="true">IF($E1107="","",IF($K1107="✓","Concluído",IF($E1107&lt;TODAY(),"Atrasado",IF($E1107=TODAY(),"Hoje","Pendente"))))</f>
        <v/>
      </c>
      <c r="M1107" s="114" t="str">
        <f aca="false">IF($E1107="","",IF($K1107="✓","✓ ","")&amp;IF(Config!$E$22="Sim",$H1107&amp;" · ","")&amp;$F1107)</f>
        <v/>
      </c>
      <c r="N1107" s="114" t="str">
        <f aca="false">IF($E1107="","",IFERROR(INDEX(Config!$D$15:$D$19,MATCH($I1107,Config!$C$15:$C$19,0)),"OUT")&amp;IF($K1107="✓","x",""))</f>
        <v/>
      </c>
      <c r="O1107" s="114" t="str">
        <f aca="false">IF($E1107="","",COUNTIF($E$5:$E1107,$E1107))</f>
        <v/>
      </c>
      <c r="P1107" s="114" t="str">
        <f aca="false">IF($E1107="","",$E1107*100+$O1107)</f>
        <v/>
      </c>
      <c r="Q1107" s="114" t="str">
        <f aca="false">IF($L1107="Atrasado",$E1107*10000+$A1107,"")</f>
        <v/>
      </c>
    </row>
    <row r="1108" customFormat="false" ht="15" hidden="false" customHeight="false" outlineLevel="0" collapsed="false">
      <c r="A1108" s="114" t="n">
        <f aca="false">ROW()-4</f>
        <v>1104</v>
      </c>
      <c r="B1108" s="114" t="str">
        <f aca="false">IF(A1108&lt;=Config!$E$27*Config!$E$28,"Tema","Avulso")</f>
        <v>Tema</v>
      </c>
      <c r="C1108" s="114" t="n">
        <f aca="false">IF(B1108="Tema",INT((A1108-1)/Config!$E$28)+1,A1108-Config!$E$27*Config!$E$28)</f>
        <v>184</v>
      </c>
      <c r="D1108" s="114" t="n">
        <f aca="false">IF(B1108="Tema",MOD(A1108-1,Config!$E$28)+1,"")</f>
        <v>6</v>
      </c>
      <c r="E1108" s="115" t="str">
        <f aca="false">IF($B1108="Tema",IF(ISNUMBER(INDEX(Temas!$E$6:$P$305,$C1108,2*$D1108-1)),INDEX(Temas!$E$6:$P$305,$C1108,2*$D1108-1),""),IF(ISNUMBER(INDEX(Avulsos!$B$6:$B$205,$C1108)),INDEX(Avulsos!$B$6:$B$205,$C1108),""))</f>
        <v/>
      </c>
      <c r="F1108" s="114" t="str">
        <f aca="false">IF($E1108="","",IF($B1108="Tema",INDEX(Temas!$B$6:$B$305,$C1108)&amp;"",INDEX(Avulsos!$C$6:$C$205,$C1108)&amp;""))</f>
        <v/>
      </c>
      <c r="G1108" s="114" t="str">
        <f aca="false">IF($E1108="","",IF($B1108="Tema",INDEX(Config!$C$6:$C$11,$D1108),"Evento avulso"))</f>
        <v/>
      </c>
      <c r="H1108" s="114" t="str">
        <f aca="false">IF($E1108="","",IF($B1108="Tema",INDEX(Config!$D$6:$D$11,$D1108),IFERROR(INDEX(Config!$E$15:$E$19,MATCH($I1108,Config!$C$15:$C$19,0)),"•")))</f>
        <v/>
      </c>
      <c r="I1108" s="114" t="str">
        <f aca="false">IF($E1108="","",IF($B1108="Tema",INDEX(Config!$E$6:$E$11,$D1108),IF(INDEX(Avulsos!$D$6:$D$205,$C1108)&amp;""="","Outro",INDEX(Avulsos!$D$6:$D$205,$C1108))))</f>
        <v/>
      </c>
      <c r="J1108" s="114" t="str">
        <f aca="false">IF($E1108="","",IF($B1108="Tema",INDEX(Temas!$C$6:$C$305,$C1108)&amp;"",INDEX(Avulsos!$E$6:$E$205,$C1108)&amp;""))</f>
        <v/>
      </c>
      <c r="K1108" s="114" t="str">
        <f aca="false">IF($E1108="","",IF(IF($B1108="Tema",INDEX(Temas!$E$6:$P$305,$C1108,2*$D1108),INDEX(Avulsos!$F$6:$F$205,$C1108))&amp;""="","","✓"))</f>
        <v/>
      </c>
      <c r="L1108" s="114" t="str">
        <f aca="true">IF($E1108="","",IF($K1108="✓","Concluído",IF($E1108&lt;TODAY(),"Atrasado",IF($E1108=TODAY(),"Hoje","Pendente"))))</f>
        <v/>
      </c>
      <c r="M1108" s="114" t="str">
        <f aca="false">IF($E1108="","",IF($K1108="✓","✓ ","")&amp;IF(Config!$E$22="Sim",$H1108&amp;" · ","")&amp;$F1108)</f>
        <v/>
      </c>
      <c r="N1108" s="114" t="str">
        <f aca="false">IF($E1108="","",IFERROR(INDEX(Config!$D$15:$D$19,MATCH($I1108,Config!$C$15:$C$19,0)),"OUT")&amp;IF($K1108="✓","x",""))</f>
        <v/>
      </c>
      <c r="O1108" s="114" t="str">
        <f aca="false">IF($E1108="","",COUNTIF($E$5:$E1108,$E1108))</f>
        <v/>
      </c>
      <c r="P1108" s="114" t="str">
        <f aca="false">IF($E1108="","",$E1108*100+$O1108)</f>
        <v/>
      </c>
      <c r="Q1108" s="114" t="str">
        <f aca="false">IF($L1108="Atrasado",$E1108*10000+$A1108,"")</f>
        <v/>
      </c>
    </row>
    <row r="1109" customFormat="false" ht="15" hidden="false" customHeight="false" outlineLevel="0" collapsed="false">
      <c r="A1109" s="114" t="n">
        <f aca="false">ROW()-4</f>
        <v>1105</v>
      </c>
      <c r="B1109" s="114" t="str">
        <f aca="false">IF(A1109&lt;=Config!$E$27*Config!$E$28,"Tema","Avulso")</f>
        <v>Tema</v>
      </c>
      <c r="C1109" s="114" t="n">
        <f aca="false">IF(B1109="Tema",INT((A1109-1)/Config!$E$28)+1,A1109-Config!$E$27*Config!$E$28)</f>
        <v>185</v>
      </c>
      <c r="D1109" s="114" t="n">
        <f aca="false">IF(B1109="Tema",MOD(A1109-1,Config!$E$28)+1,"")</f>
        <v>1</v>
      </c>
      <c r="E1109" s="115" t="str">
        <f aca="false">IF($B1109="Tema",IF(ISNUMBER(INDEX(Temas!$E$6:$P$305,$C1109,2*$D1109-1)),INDEX(Temas!$E$6:$P$305,$C1109,2*$D1109-1),""),IF(ISNUMBER(INDEX(Avulsos!$B$6:$B$205,$C1109)),INDEX(Avulsos!$B$6:$B$205,$C1109),""))</f>
        <v/>
      </c>
      <c r="F1109" s="114" t="str">
        <f aca="false">IF($E1109="","",IF($B1109="Tema",INDEX(Temas!$B$6:$B$305,$C1109)&amp;"",INDEX(Avulsos!$C$6:$C$205,$C1109)&amp;""))</f>
        <v/>
      </c>
      <c r="G1109" s="114" t="str">
        <f aca="false">IF($E1109="","",IF($B1109="Tema",INDEX(Config!$C$6:$C$11,$D1109),"Evento avulso"))</f>
        <v/>
      </c>
      <c r="H1109" s="114" t="str">
        <f aca="false">IF($E1109="","",IF($B1109="Tema",INDEX(Config!$D$6:$D$11,$D1109),IFERROR(INDEX(Config!$E$15:$E$19,MATCH($I1109,Config!$C$15:$C$19,0)),"•")))</f>
        <v/>
      </c>
      <c r="I1109" s="114" t="str">
        <f aca="false">IF($E1109="","",IF($B1109="Tema",INDEX(Config!$E$6:$E$11,$D1109),IF(INDEX(Avulsos!$D$6:$D$205,$C1109)&amp;""="","Outro",INDEX(Avulsos!$D$6:$D$205,$C1109))))</f>
        <v/>
      </c>
      <c r="J1109" s="114" t="str">
        <f aca="false">IF($E1109="","",IF($B1109="Tema",INDEX(Temas!$C$6:$C$305,$C1109)&amp;"",INDEX(Avulsos!$E$6:$E$205,$C1109)&amp;""))</f>
        <v/>
      </c>
      <c r="K1109" s="114" t="str">
        <f aca="false">IF($E1109="","",IF(IF($B1109="Tema",INDEX(Temas!$E$6:$P$305,$C1109,2*$D1109),INDEX(Avulsos!$F$6:$F$205,$C1109))&amp;""="","","✓"))</f>
        <v/>
      </c>
      <c r="L1109" s="114" t="str">
        <f aca="true">IF($E1109="","",IF($K1109="✓","Concluído",IF($E1109&lt;TODAY(),"Atrasado",IF($E1109=TODAY(),"Hoje","Pendente"))))</f>
        <v/>
      </c>
      <c r="M1109" s="114" t="str">
        <f aca="false">IF($E1109="","",IF($K1109="✓","✓ ","")&amp;IF(Config!$E$22="Sim",$H1109&amp;" · ","")&amp;$F1109)</f>
        <v/>
      </c>
      <c r="N1109" s="114" t="str">
        <f aca="false">IF($E1109="","",IFERROR(INDEX(Config!$D$15:$D$19,MATCH($I1109,Config!$C$15:$C$19,0)),"OUT")&amp;IF($K1109="✓","x",""))</f>
        <v/>
      </c>
      <c r="O1109" s="114" t="str">
        <f aca="false">IF($E1109="","",COUNTIF($E$5:$E1109,$E1109))</f>
        <v/>
      </c>
      <c r="P1109" s="114" t="str">
        <f aca="false">IF($E1109="","",$E1109*100+$O1109)</f>
        <v/>
      </c>
      <c r="Q1109" s="114" t="str">
        <f aca="false">IF($L1109="Atrasado",$E1109*10000+$A1109,"")</f>
        <v/>
      </c>
    </row>
    <row r="1110" customFormat="false" ht="15" hidden="false" customHeight="false" outlineLevel="0" collapsed="false">
      <c r="A1110" s="114" t="n">
        <f aca="false">ROW()-4</f>
        <v>1106</v>
      </c>
      <c r="B1110" s="114" t="str">
        <f aca="false">IF(A1110&lt;=Config!$E$27*Config!$E$28,"Tema","Avulso")</f>
        <v>Tema</v>
      </c>
      <c r="C1110" s="114" t="n">
        <f aca="false">IF(B1110="Tema",INT((A1110-1)/Config!$E$28)+1,A1110-Config!$E$27*Config!$E$28)</f>
        <v>185</v>
      </c>
      <c r="D1110" s="114" t="n">
        <f aca="false">IF(B1110="Tema",MOD(A1110-1,Config!$E$28)+1,"")</f>
        <v>2</v>
      </c>
      <c r="E1110" s="115" t="str">
        <f aca="false">IF($B1110="Tema",IF(ISNUMBER(INDEX(Temas!$E$6:$P$305,$C1110,2*$D1110-1)),INDEX(Temas!$E$6:$P$305,$C1110,2*$D1110-1),""),IF(ISNUMBER(INDEX(Avulsos!$B$6:$B$205,$C1110)),INDEX(Avulsos!$B$6:$B$205,$C1110),""))</f>
        <v/>
      </c>
      <c r="F1110" s="114" t="str">
        <f aca="false">IF($E1110="","",IF($B1110="Tema",INDEX(Temas!$B$6:$B$305,$C1110)&amp;"",INDEX(Avulsos!$C$6:$C$205,$C1110)&amp;""))</f>
        <v/>
      </c>
      <c r="G1110" s="114" t="str">
        <f aca="false">IF($E1110="","",IF($B1110="Tema",INDEX(Config!$C$6:$C$11,$D1110),"Evento avulso"))</f>
        <v/>
      </c>
      <c r="H1110" s="114" t="str">
        <f aca="false">IF($E1110="","",IF($B1110="Tema",INDEX(Config!$D$6:$D$11,$D1110),IFERROR(INDEX(Config!$E$15:$E$19,MATCH($I1110,Config!$C$15:$C$19,0)),"•")))</f>
        <v/>
      </c>
      <c r="I1110" s="114" t="str">
        <f aca="false">IF($E1110="","",IF($B1110="Tema",INDEX(Config!$E$6:$E$11,$D1110),IF(INDEX(Avulsos!$D$6:$D$205,$C1110)&amp;""="","Outro",INDEX(Avulsos!$D$6:$D$205,$C1110))))</f>
        <v/>
      </c>
      <c r="J1110" s="114" t="str">
        <f aca="false">IF($E1110="","",IF($B1110="Tema",INDEX(Temas!$C$6:$C$305,$C1110)&amp;"",INDEX(Avulsos!$E$6:$E$205,$C1110)&amp;""))</f>
        <v/>
      </c>
      <c r="K1110" s="114" t="str">
        <f aca="false">IF($E1110="","",IF(IF($B1110="Tema",INDEX(Temas!$E$6:$P$305,$C1110,2*$D1110),INDEX(Avulsos!$F$6:$F$205,$C1110))&amp;""="","","✓"))</f>
        <v/>
      </c>
      <c r="L1110" s="114" t="str">
        <f aca="true">IF($E1110="","",IF($K1110="✓","Concluído",IF($E1110&lt;TODAY(),"Atrasado",IF($E1110=TODAY(),"Hoje","Pendente"))))</f>
        <v/>
      </c>
      <c r="M1110" s="114" t="str">
        <f aca="false">IF($E1110="","",IF($K1110="✓","✓ ","")&amp;IF(Config!$E$22="Sim",$H1110&amp;" · ","")&amp;$F1110)</f>
        <v/>
      </c>
      <c r="N1110" s="114" t="str">
        <f aca="false">IF($E1110="","",IFERROR(INDEX(Config!$D$15:$D$19,MATCH($I1110,Config!$C$15:$C$19,0)),"OUT")&amp;IF($K1110="✓","x",""))</f>
        <v/>
      </c>
      <c r="O1110" s="114" t="str">
        <f aca="false">IF($E1110="","",COUNTIF($E$5:$E1110,$E1110))</f>
        <v/>
      </c>
      <c r="P1110" s="114" t="str">
        <f aca="false">IF($E1110="","",$E1110*100+$O1110)</f>
        <v/>
      </c>
      <c r="Q1110" s="114" t="str">
        <f aca="false">IF($L1110="Atrasado",$E1110*10000+$A1110,"")</f>
        <v/>
      </c>
    </row>
    <row r="1111" customFormat="false" ht="15" hidden="false" customHeight="false" outlineLevel="0" collapsed="false">
      <c r="A1111" s="114" t="n">
        <f aca="false">ROW()-4</f>
        <v>1107</v>
      </c>
      <c r="B1111" s="114" t="str">
        <f aca="false">IF(A1111&lt;=Config!$E$27*Config!$E$28,"Tema","Avulso")</f>
        <v>Tema</v>
      </c>
      <c r="C1111" s="114" t="n">
        <f aca="false">IF(B1111="Tema",INT((A1111-1)/Config!$E$28)+1,A1111-Config!$E$27*Config!$E$28)</f>
        <v>185</v>
      </c>
      <c r="D1111" s="114" t="n">
        <f aca="false">IF(B1111="Tema",MOD(A1111-1,Config!$E$28)+1,"")</f>
        <v>3</v>
      </c>
      <c r="E1111" s="115" t="str">
        <f aca="false">IF($B1111="Tema",IF(ISNUMBER(INDEX(Temas!$E$6:$P$305,$C1111,2*$D1111-1)),INDEX(Temas!$E$6:$P$305,$C1111,2*$D1111-1),""),IF(ISNUMBER(INDEX(Avulsos!$B$6:$B$205,$C1111)),INDEX(Avulsos!$B$6:$B$205,$C1111),""))</f>
        <v/>
      </c>
      <c r="F1111" s="114" t="str">
        <f aca="false">IF($E1111="","",IF($B1111="Tema",INDEX(Temas!$B$6:$B$305,$C1111)&amp;"",INDEX(Avulsos!$C$6:$C$205,$C1111)&amp;""))</f>
        <v/>
      </c>
      <c r="G1111" s="114" t="str">
        <f aca="false">IF($E1111="","",IF($B1111="Tema",INDEX(Config!$C$6:$C$11,$D1111),"Evento avulso"))</f>
        <v/>
      </c>
      <c r="H1111" s="114" t="str">
        <f aca="false">IF($E1111="","",IF($B1111="Tema",INDEX(Config!$D$6:$D$11,$D1111),IFERROR(INDEX(Config!$E$15:$E$19,MATCH($I1111,Config!$C$15:$C$19,0)),"•")))</f>
        <v/>
      </c>
      <c r="I1111" s="114" t="str">
        <f aca="false">IF($E1111="","",IF($B1111="Tema",INDEX(Config!$E$6:$E$11,$D1111),IF(INDEX(Avulsos!$D$6:$D$205,$C1111)&amp;""="","Outro",INDEX(Avulsos!$D$6:$D$205,$C1111))))</f>
        <v/>
      </c>
      <c r="J1111" s="114" t="str">
        <f aca="false">IF($E1111="","",IF($B1111="Tema",INDEX(Temas!$C$6:$C$305,$C1111)&amp;"",INDEX(Avulsos!$E$6:$E$205,$C1111)&amp;""))</f>
        <v/>
      </c>
      <c r="K1111" s="114" t="str">
        <f aca="false">IF($E1111="","",IF(IF($B1111="Tema",INDEX(Temas!$E$6:$P$305,$C1111,2*$D1111),INDEX(Avulsos!$F$6:$F$205,$C1111))&amp;""="","","✓"))</f>
        <v/>
      </c>
      <c r="L1111" s="114" t="str">
        <f aca="true">IF($E1111="","",IF($K1111="✓","Concluído",IF($E1111&lt;TODAY(),"Atrasado",IF($E1111=TODAY(),"Hoje","Pendente"))))</f>
        <v/>
      </c>
      <c r="M1111" s="114" t="str">
        <f aca="false">IF($E1111="","",IF($K1111="✓","✓ ","")&amp;IF(Config!$E$22="Sim",$H1111&amp;" · ","")&amp;$F1111)</f>
        <v/>
      </c>
      <c r="N1111" s="114" t="str">
        <f aca="false">IF($E1111="","",IFERROR(INDEX(Config!$D$15:$D$19,MATCH($I1111,Config!$C$15:$C$19,0)),"OUT")&amp;IF($K1111="✓","x",""))</f>
        <v/>
      </c>
      <c r="O1111" s="114" t="str">
        <f aca="false">IF($E1111="","",COUNTIF($E$5:$E1111,$E1111))</f>
        <v/>
      </c>
      <c r="P1111" s="114" t="str">
        <f aca="false">IF($E1111="","",$E1111*100+$O1111)</f>
        <v/>
      </c>
      <c r="Q1111" s="114" t="str">
        <f aca="false">IF($L1111="Atrasado",$E1111*10000+$A1111,"")</f>
        <v/>
      </c>
    </row>
    <row r="1112" customFormat="false" ht="15" hidden="false" customHeight="false" outlineLevel="0" collapsed="false">
      <c r="A1112" s="114" t="n">
        <f aca="false">ROW()-4</f>
        <v>1108</v>
      </c>
      <c r="B1112" s="114" t="str">
        <f aca="false">IF(A1112&lt;=Config!$E$27*Config!$E$28,"Tema","Avulso")</f>
        <v>Tema</v>
      </c>
      <c r="C1112" s="114" t="n">
        <f aca="false">IF(B1112="Tema",INT((A1112-1)/Config!$E$28)+1,A1112-Config!$E$27*Config!$E$28)</f>
        <v>185</v>
      </c>
      <c r="D1112" s="114" t="n">
        <f aca="false">IF(B1112="Tema",MOD(A1112-1,Config!$E$28)+1,"")</f>
        <v>4</v>
      </c>
      <c r="E1112" s="115" t="str">
        <f aca="false">IF($B1112="Tema",IF(ISNUMBER(INDEX(Temas!$E$6:$P$305,$C1112,2*$D1112-1)),INDEX(Temas!$E$6:$P$305,$C1112,2*$D1112-1),""),IF(ISNUMBER(INDEX(Avulsos!$B$6:$B$205,$C1112)),INDEX(Avulsos!$B$6:$B$205,$C1112),""))</f>
        <v/>
      </c>
      <c r="F1112" s="114" t="str">
        <f aca="false">IF($E1112="","",IF($B1112="Tema",INDEX(Temas!$B$6:$B$305,$C1112)&amp;"",INDEX(Avulsos!$C$6:$C$205,$C1112)&amp;""))</f>
        <v/>
      </c>
      <c r="G1112" s="114" t="str">
        <f aca="false">IF($E1112="","",IF($B1112="Tema",INDEX(Config!$C$6:$C$11,$D1112),"Evento avulso"))</f>
        <v/>
      </c>
      <c r="H1112" s="114" t="str">
        <f aca="false">IF($E1112="","",IF($B1112="Tema",INDEX(Config!$D$6:$D$11,$D1112),IFERROR(INDEX(Config!$E$15:$E$19,MATCH($I1112,Config!$C$15:$C$19,0)),"•")))</f>
        <v/>
      </c>
      <c r="I1112" s="114" t="str">
        <f aca="false">IF($E1112="","",IF($B1112="Tema",INDEX(Config!$E$6:$E$11,$D1112),IF(INDEX(Avulsos!$D$6:$D$205,$C1112)&amp;""="","Outro",INDEX(Avulsos!$D$6:$D$205,$C1112))))</f>
        <v/>
      </c>
      <c r="J1112" s="114" t="str">
        <f aca="false">IF($E1112="","",IF($B1112="Tema",INDEX(Temas!$C$6:$C$305,$C1112)&amp;"",INDEX(Avulsos!$E$6:$E$205,$C1112)&amp;""))</f>
        <v/>
      </c>
      <c r="K1112" s="114" t="str">
        <f aca="false">IF($E1112="","",IF(IF($B1112="Tema",INDEX(Temas!$E$6:$P$305,$C1112,2*$D1112),INDEX(Avulsos!$F$6:$F$205,$C1112))&amp;""="","","✓"))</f>
        <v/>
      </c>
      <c r="L1112" s="114" t="str">
        <f aca="true">IF($E1112="","",IF($K1112="✓","Concluído",IF($E1112&lt;TODAY(),"Atrasado",IF($E1112=TODAY(),"Hoje","Pendente"))))</f>
        <v/>
      </c>
      <c r="M1112" s="114" t="str">
        <f aca="false">IF($E1112="","",IF($K1112="✓","✓ ","")&amp;IF(Config!$E$22="Sim",$H1112&amp;" · ","")&amp;$F1112)</f>
        <v/>
      </c>
      <c r="N1112" s="114" t="str">
        <f aca="false">IF($E1112="","",IFERROR(INDEX(Config!$D$15:$D$19,MATCH($I1112,Config!$C$15:$C$19,0)),"OUT")&amp;IF($K1112="✓","x",""))</f>
        <v/>
      </c>
      <c r="O1112" s="114" t="str">
        <f aca="false">IF($E1112="","",COUNTIF($E$5:$E1112,$E1112))</f>
        <v/>
      </c>
      <c r="P1112" s="114" t="str">
        <f aca="false">IF($E1112="","",$E1112*100+$O1112)</f>
        <v/>
      </c>
      <c r="Q1112" s="114" t="str">
        <f aca="false">IF($L1112="Atrasado",$E1112*10000+$A1112,"")</f>
        <v/>
      </c>
    </row>
    <row r="1113" customFormat="false" ht="15" hidden="false" customHeight="false" outlineLevel="0" collapsed="false">
      <c r="A1113" s="114" t="n">
        <f aca="false">ROW()-4</f>
        <v>1109</v>
      </c>
      <c r="B1113" s="114" t="str">
        <f aca="false">IF(A1113&lt;=Config!$E$27*Config!$E$28,"Tema","Avulso")</f>
        <v>Tema</v>
      </c>
      <c r="C1113" s="114" t="n">
        <f aca="false">IF(B1113="Tema",INT((A1113-1)/Config!$E$28)+1,A1113-Config!$E$27*Config!$E$28)</f>
        <v>185</v>
      </c>
      <c r="D1113" s="114" t="n">
        <f aca="false">IF(B1113="Tema",MOD(A1113-1,Config!$E$28)+1,"")</f>
        <v>5</v>
      </c>
      <c r="E1113" s="115" t="str">
        <f aca="false">IF($B1113="Tema",IF(ISNUMBER(INDEX(Temas!$E$6:$P$305,$C1113,2*$D1113-1)),INDEX(Temas!$E$6:$P$305,$C1113,2*$D1113-1),""),IF(ISNUMBER(INDEX(Avulsos!$B$6:$B$205,$C1113)),INDEX(Avulsos!$B$6:$B$205,$C1113),""))</f>
        <v/>
      </c>
      <c r="F1113" s="114" t="str">
        <f aca="false">IF($E1113="","",IF($B1113="Tema",INDEX(Temas!$B$6:$B$305,$C1113)&amp;"",INDEX(Avulsos!$C$6:$C$205,$C1113)&amp;""))</f>
        <v/>
      </c>
      <c r="G1113" s="114" t="str">
        <f aca="false">IF($E1113="","",IF($B1113="Tema",INDEX(Config!$C$6:$C$11,$D1113),"Evento avulso"))</f>
        <v/>
      </c>
      <c r="H1113" s="114" t="str">
        <f aca="false">IF($E1113="","",IF($B1113="Tema",INDEX(Config!$D$6:$D$11,$D1113),IFERROR(INDEX(Config!$E$15:$E$19,MATCH($I1113,Config!$C$15:$C$19,0)),"•")))</f>
        <v/>
      </c>
      <c r="I1113" s="114" t="str">
        <f aca="false">IF($E1113="","",IF($B1113="Tema",INDEX(Config!$E$6:$E$11,$D1113),IF(INDEX(Avulsos!$D$6:$D$205,$C1113)&amp;""="","Outro",INDEX(Avulsos!$D$6:$D$205,$C1113))))</f>
        <v/>
      </c>
      <c r="J1113" s="114" t="str">
        <f aca="false">IF($E1113="","",IF($B1113="Tema",INDEX(Temas!$C$6:$C$305,$C1113)&amp;"",INDEX(Avulsos!$E$6:$E$205,$C1113)&amp;""))</f>
        <v/>
      </c>
      <c r="K1113" s="114" t="str">
        <f aca="false">IF($E1113="","",IF(IF($B1113="Tema",INDEX(Temas!$E$6:$P$305,$C1113,2*$D1113),INDEX(Avulsos!$F$6:$F$205,$C1113))&amp;""="","","✓"))</f>
        <v/>
      </c>
      <c r="L1113" s="114" t="str">
        <f aca="true">IF($E1113="","",IF($K1113="✓","Concluído",IF($E1113&lt;TODAY(),"Atrasado",IF($E1113=TODAY(),"Hoje","Pendente"))))</f>
        <v/>
      </c>
      <c r="M1113" s="114" t="str">
        <f aca="false">IF($E1113="","",IF($K1113="✓","✓ ","")&amp;IF(Config!$E$22="Sim",$H1113&amp;" · ","")&amp;$F1113)</f>
        <v/>
      </c>
      <c r="N1113" s="114" t="str">
        <f aca="false">IF($E1113="","",IFERROR(INDEX(Config!$D$15:$D$19,MATCH($I1113,Config!$C$15:$C$19,0)),"OUT")&amp;IF($K1113="✓","x",""))</f>
        <v/>
      </c>
      <c r="O1113" s="114" t="str">
        <f aca="false">IF($E1113="","",COUNTIF($E$5:$E1113,$E1113))</f>
        <v/>
      </c>
      <c r="P1113" s="114" t="str">
        <f aca="false">IF($E1113="","",$E1113*100+$O1113)</f>
        <v/>
      </c>
      <c r="Q1113" s="114" t="str">
        <f aca="false">IF($L1113="Atrasado",$E1113*10000+$A1113,"")</f>
        <v/>
      </c>
    </row>
    <row r="1114" customFormat="false" ht="15" hidden="false" customHeight="false" outlineLevel="0" collapsed="false">
      <c r="A1114" s="114" t="n">
        <f aca="false">ROW()-4</f>
        <v>1110</v>
      </c>
      <c r="B1114" s="114" t="str">
        <f aca="false">IF(A1114&lt;=Config!$E$27*Config!$E$28,"Tema","Avulso")</f>
        <v>Tema</v>
      </c>
      <c r="C1114" s="114" t="n">
        <f aca="false">IF(B1114="Tema",INT((A1114-1)/Config!$E$28)+1,A1114-Config!$E$27*Config!$E$28)</f>
        <v>185</v>
      </c>
      <c r="D1114" s="114" t="n">
        <f aca="false">IF(B1114="Tema",MOD(A1114-1,Config!$E$28)+1,"")</f>
        <v>6</v>
      </c>
      <c r="E1114" s="115" t="str">
        <f aca="false">IF($B1114="Tema",IF(ISNUMBER(INDEX(Temas!$E$6:$P$305,$C1114,2*$D1114-1)),INDEX(Temas!$E$6:$P$305,$C1114,2*$D1114-1),""),IF(ISNUMBER(INDEX(Avulsos!$B$6:$B$205,$C1114)),INDEX(Avulsos!$B$6:$B$205,$C1114),""))</f>
        <v/>
      </c>
      <c r="F1114" s="114" t="str">
        <f aca="false">IF($E1114="","",IF($B1114="Tema",INDEX(Temas!$B$6:$B$305,$C1114)&amp;"",INDEX(Avulsos!$C$6:$C$205,$C1114)&amp;""))</f>
        <v/>
      </c>
      <c r="G1114" s="114" t="str">
        <f aca="false">IF($E1114="","",IF($B1114="Tema",INDEX(Config!$C$6:$C$11,$D1114),"Evento avulso"))</f>
        <v/>
      </c>
      <c r="H1114" s="114" t="str">
        <f aca="false">IF($E1114="","",IF($B1114="Tema",INDEX(Config!$D$6:$D$11,$D1114),IFERROR(INDEX(Config!$E$15:$E$19,MATCH($I1114,Config!$C$15:$C$19,0)),"•")))</f>
        <v/>
      </c>
      <c r="I1114" s="114" t="str">
        <f aca="false">IF($E1114="","",IF($B1114="Tema",INDEX(Config!$E$6:$E$11,$D1114),IF(INDEX(Avulsos!$D$6:$D$205,$C1114)&amp;""="","Outro",INDEX(Avulsos!$D$6:$D$205,$C1114))))</f>
        <v/>
      </c>
      <c r="J1114" s="114" t="str">
        <f aca="false">IF($E1114="","",IF($B1114="Tema",INDEX(Temas!$C$6:$C$305,$C1114)&amp;"",INDEX(Avulsos!$E$6:$E$205,$C1114)&amp;""))</f>
        <v/>
      </c>
      <c r="K1114" s="114" t="str">
        <f aca="false">IF($E1114="","",IF(IF($B1114="Tema",INDEX(Temas!$E$6:$P$305,$C1114,2*$D1114),INDEX(Avulsos!$F$6:$F$205,$C1114))&amp;""="","","✓"))</f>
        <v/>
      </c>
      <c r="L1114" s="114" t="str">
        <f aca="true">IF($E1114="","",IF($K1114="✓","Concluído",IF($E1114&lt;TODAY(),"Atrasado",IF($E1114=TODAY(),"Hoje","Pendente"))))</f>
        <v/>
      </c>
      <c r="M1114" s="114" t="str">
        <f aca="false">IF($E1114="","",IF($K1114="✓","✓ ","")&amp;IF(Config!$E$22="Sim",$H1114&amp;" · ","")&amp;$F1114)</f>
        <v/>
      </c>
      <c r="N1114" s="114" t="str">
        <f aca="false">IF($E1114="","",IFERROR(INDEX(Config!$D$15:$D$19,MATCH($I1114,Config!$C$15:$C$19,0)),"OUT")&amp;IF($K1114="✓","x",""))</f>
        <v/>
      </c>
      <c r="O1114" s="114" t="str">
        <f aca="false">IF($E1114="","",COUNTIF($E$5:$E1114,$E1114))</f>
        <v/>
      </c>
      <c r="P1114" s="114" t="str">
        <f aca="false">IF($E1114="","",$E1114*100+$O1114)</f>
        <v/>
      </c>
      <c r="Q1114" s="114" t="str">
        <f aca="false">IF($L1114="Atrasado",$E1114*10000+$A1114,"")</f>
        <v/>
      </c>
    </row>
    <row r="1115" customFormat="false" ht="15" hidden="false" customHeight="false" outlineLevel="0" collapsed="false">
      <c r="A1115" s="114" t="n">
        <f aca="false">ROW()-4</f>
        <v>1111</v>
      </c>
      <c r="B1115" s="114" t="str">
        <f aca="false">IF(A1115&lt;=Config!$E$27*Config!$E$28,"Tema","Avulso")</f>
        <v>Tema</v>
      </c>
      <c r="C1115" s="114" t="n">
        <f aca="false">IF(B1115="Tema",INT((A1115-1)/Config!$E$28)+1,A1115-Config!$E$27*Config!$E$28)</f>
        <v>186</v>
      </c>
      <c r="D1115" s="114" t="n">
        <f aca="false">IF(B1115="Tema",MOD(A1115-1,Config!$E$28)+1,"")</f>
        <v>1</v>
      </c>
      <c r="E1115" s="115" t="str">
        <f aca="false">IF($B1115="Tema",IF(ISNUMBER(INDEX(Temas!$E$6:$P$305,$C1115,2*$D1115-1)),INDEX(Temas!$E$6:$P$305,$C1115,2*$D1115-1),""),IF(ISNUMBER(INDEX(Avulsos!$B$6:$B$205,$C1115)),INDEX(Avulsos!$B$6:$B$205,$C1115),""))</f>
        <v/>
      </c>
      <c r="F1115" s="114" t="str">
        <f aca="false">IF($E1115="","",IF($B1115="Tema",INDEX(Temas!$B$6:$B$305,$C1115)&amp;"",INDEX(Avulsos!$C$6:$C$205,$C1115)&amp;""))</f>
        <v/>
      </c>
      <c r="G1115" s="114" t="str">
        <f aca="false">IF($E1115="","",IF($B1115="Tema",INDEX(Config!$C$6:$C$11,$D1115),"Evento avulso"))</f>
        <v/>
      </c>
      <c r="H1115" s="114" t="str">
        <f aca="false">IF($E1115="","",IF($B1115="Tema",INDEX(Config!$D$6:$D$11,$D1115),IFERROR(INDEX(Config!$E$15:$E$19,MATCH($I1115,Config!$C$15:$C$19,0)),"•")))</f>
        <v/>
      </c>
      <c r="I1115" s="114" t="str">
        <f aca="false">IF($E1115="","",IF($B1115="Tema",INDEX(Config!$E$6:$E$11,$D1115),IF(INDEX(Avulsos!$D$6:$D$205,$C1115)&amp;""="","Outro",INDEX(Avulsos!$D$6:$D$205,$C1115))))</f>
        <v/>
      </c>
      <c r="J1115" s="114" t="str">
        <f aca="false">IF($E1115="","",IF($B1115="Tema",INDEX(Temas!$C$6:$C$305,$C1115)&amp;"",INDEX(Avulsos!$E$6:$E$205,$C1115)&amp;""))</f>
        <v/>
      </c>
      <c r="K1115" s="114" t="str">
        <f aca="false">IF($E1115="","",IF(IF($B1115="Tema",INDEX(Temas!$E$6:$P$305,$C1115,2*$D1115),INDEX(Avulsos!$F$6:$F$205,$C1115))&amp;""="","","✓"))</f>
        <v/>
      </c>
      <c r="L1115" s="114" t="str">
        <f aca="true">IF($E1115="","",IF($K1115="✓","Concluído",IF($E1115&lt;TODAY(),"Atrasado",IF($E1115=TODAY(),"Hoje","Pendente"))))</f>
        <v/>
      </c>
      <c r="M1115" s="114" t="str">
        <f aca="false">IF($E1115="","",IF($K1115="✓","✓ ","")&amp;IF(Config!$E$22="Sim",$H1115&amp;" · ","")&amp;$F1115)</f>
        <v/>
      </c>
      <c r="N1115" s="114" t="str">
        <f aca="false">IF($E1115="","",IFERROR(INDEX(Config!$D$15:$D$19,MATCH($I1115,Config!$C$15:$C$19,0)),"OUT")&amp;IF($K1115="✓","x",""))</f>
        <v/>
      </c>
      <c r="O1115" s="114" t="str">
        <f aca="false">IF($E1115="","",COUNTIF($E$5:$E1115,$E1115))</f>
        <v/>
      </c>
      <c r="P1115" s="114" t="str">
        <f aca="false">IF($E1115="","",$E1115*100+$O1115)</f>
        <v/>
      </c>
      <c r="Q1115" s="114" t="str">
        <f aca="false">IF($L1115="Atrasado",$E1115*10000+$A1115,"")</f>
        <v/>
      </c>
    </row>
    <row r="1116" customFormat="false" ht="15" hidden="false" customHeight="false" outlineLevel="0" collapsed="false">
      <c r="A1116" s="114" t="n">
        <f aca="false">ROW()-4</f>
        <v>1112</v>
      </c>
      <c r="B1116" s="114" t="str">
        <f aca="false">IF(A1116&lt;=Config!$E$27*Config!$E$28,"Tema","Avulso")</f>
        <v>Tema</v>
      </c>
      <c r="C1116" s="114" t="n">
        <f aca="false">IF(B1116="Tema",INT((A1116-1)/Config!$E$28)+1,A1116-Config!$E$27*Config!$E$28)</f>
        <v>186</v>
      </c>
      <c r="D1116" s="114" t="n">
        <f aca="false">IF(B1116="Tema",MOD(A1116-1,Config!$E$28)+1,"")</f>
        <v>2</v>
      </c>
      <c r="E1116" s="115" t="str">
        <f aca="false">IF($B1116="Tema",IF(ISNUMBER(INDEX(Temas!$E$6:$P$305,$C1116,2*$D1116-1)),INDEX(Temas!$E$6:$P$305,$C1116,2*$D1116-1),""),IF(ISNUMBER(INDEX(Avulsos!$B$6:$B$205,$C1116)),INDEX(Avulsos!$B$6:$B$205,$C1116),""))</f>
        <v/>
      </c>
      <c r="F1116" s="114" t="str">
        <f aca="false">IF($E1116="","",IF($B1116="Tema",INDEX(Temas!$B$6:$B$305,$C1116)&amp;"",INDEX(Avulsos!$C$6:$C$205,$C1116)&amp;""))</f>
        <v/>
      </c>
      <c r="G1116" s="114" t="str">
        <f aca="false">IF($E1116="","",IF($B1116="Tema",INDEX(Config!$C$6:$C$11,$D1116),"Evento avulso"))</f>
        <v/>
      </c>
      <c r="H1116" s="114" t="str">
        <f aca="false">IF($E1116="","",IF($B1116="Tema",INDEX(Config!$D$6:$D$11,$D1116),IFERROR(INDEX(Config!$E$15:$E$19,MATCH($I1116,Config!$C$15:$C$19,0)),"•")))</f>
        <v/>
      </c>
      <c r="I1116" s="114" t="str">
        <f aca="false">IF($E1116="","",IF($B1116="Tema",INDEX(Config!$E$6:$E$11,$D1116),IF(INDEX(Avulsos!$D$6:$D$205,$C1116)&amp;""="","Outro",INDEX(Avulsos!$D$6:$D$205,$C1116))))</f>
        <v/>
      </c>
      <c r="J1116" s="114" t="str">
        <f aca="false">IF($E1116="","",IF($B1116="Tema",INDEX(Temas!$C$6:$C$305,$C1116)&amp;"",INDEX(Avulsos!$E$6:$E$205,$C1116)&amp;""))</f>
        <v/>
      </c>
      <c r="K1116" s="114" t="str">
        <f aca="false">IF($E1116="","",IF(IF($B1116="Tema",INDEX(Temas!$E$6:$P$305,$C1116,2*$D1116),INDEX(Avulsos!$F$6:$F$205,$C1116))&amp;""="","","✓"))</f>
        <v/>
      </c>
      <c r="L1116" s="114" t="str">
        <f aca="true">IF($E1116="","",IF($K1116="✓","Concluído",IF($E1116&lt;TODAY(),"Atrasado",IF($E1116=TODAY(),"Hoje","Pendente"))))</f>
        <v/>
      </c>
      <c r="M1116" s="114" t="str">
        <f aca="false">IF($E1116="","",IF($K1116="✓","✓ ","")&amp;IF(Config!$E$22="Sim",$H1116&amp;" · ","")&amp;$F1116)</f>
        <v/>
      </c>
      <c r="N1116" s="114" t="str">
        <f aca="false">IF($E1116="","",IFERROR(INDEX(Config!$D$15:$D$19,MATCH($I1116,Config!$C$15:$C$19,0)),"OUT")&amp;IF($K1116="✓","x",""))</f>
        <v/>
      </c>
      <c r="O1116" s="114" t="str">
        <f aca="false">IF($E1116="","",COUNTIF($E$5:$E1116,$E1116))</f>
        <v/>
      </c>
      <c r="P1116" s="114" t="str">
        <f aca="false">IF($E1116="","",$E1116*100+$O1116)</f>
        <v/>
      </c>
      <c r="Q1116" s="114" t="str">
        <f aca="false">IF($L1116="Atrasado",$E1116*10000+$A1116,"")</f>
        <v/>
      </c>
    </row>
    <row r="1117" customFormat="false" ht="15" hidden="false" customHeight="false" outlineLevel="0" collapsed="false">
      <c r="A1117" s="114" t="n">
        <f aca="false">ROW()-4</f>
        <v>1113</v>
      </c>
      <c r="B1117" s="114" t="str">
        <f aca="false">IF(A1117&lt;=Config!$E$27*Config!$E$28,"Tema","Avulso")</f>
        <v>Tema</v>
      </c>
      <c r="C1117" s="114" t="n">
        <f aca="false">IF(B1117="Tema",INT((A1117-1)/Config!$E$28)+1,A1117-Config!$E$27*Config!$E$28)</f>
        <v>186</v>
      </c>
      <c r="D1117" s="114" t="n">
        <f aca="false">IF(B1117="Tema",MOD(A1117-1,Config!$E$28)+1,"")</f>
        <v>3</v>
      </c>
      <c r="E1117" s="115" t="str">
        <f aca="false">IF($B1117="Tema",IF(ISNUMBER(INDEX(Temas!$E$6:$P$305,$C1117,2*$D1117-1)),INDEX(Temas!$E$6:$P$305,$C1117,2*$D1117-1),""),IF(ISNUMBER(INDEX(Avulsos!$B$6:$B$205,$C1117)),INDEX(Avulsos!$B$6:$B$205,$C1117),""))</f>
        <v/>
      </c>
      <c r="F1117" s="114" t="str">
        <f aca="false">IF($E1117="","",IF($B1117="Tema",INDEX(Temas!$B$6:$B$305,$C1117)&amp;"",INDEX(Avulsos!$C$6:$C$205,$C1117)&amp;""))</f>
        <v/>
      </c>
      <c r="G1117" s="114" t="str">
        <f aca="false">IF($E1117="","",IF($B1117="Tema",INDEX(Config!$C$6:$C$11,$D1117),"Evento avulso"))</f>
        <v/>
      </c>
      <c r="H1117" s="114" t="str">
        <f aca="false">IF($E1117="","",IF($B1117="Tema",INDEX(Config!$D$6:$D$11,$D1117),IFERROR(INDEX(Config!$E$15:$E$19,MATCH($I1117,Config!$C$15:$C$19,0)),"•")))</f>
        <v/>
      </c>
      <c r="I1117" s="114" t="str">
        <f aca="false">IF($E1117="","",IF($B1117="Tema",INDEX(Config!$E$6:$E$11,$D1117),IF(INDEX(Avulsos!$D$6:$D$205,$C1117)&amp;""="","Outro",INDEX(Avulsos!$D$6:$D$205,$C1117))))</f>
        <v/>
      </c>
      <c r="J1117" s="114" t="str">
        <f aca="false">IF($E1117="","",IF($B1117="Tema",INDEX(Temas!$C$6:$C$305,$C1117)&amp;"",INDEX(Avulsos!$E$6:$E$205,$C1117)&amp;""))</f>
        <v/>
      </c>
      <c r="K1117" s="114" t="str">
        <f aca="false">IF($E1117="","",IF(IF($B1117="Tema",INDEX(Temas!$E$6:$P$305,$C1117,2*$D1117),INDEX(Avulsos!$F$6:$F$205,$C1117))&amp;""="","","✓"))</f>
        <v/>
      </c>
      <c r="L1117" s="114" t="str">
        <f aca="true">IF($E1117="","",IF($K1117="✓","Concluído",IF($E1117&lt;TODAY(),"Atrasado",IF($E1117=TODAY(),"Hoje","Pendente"))))</f>
        <v/>
      </c>
      <c r="M1117" s="114" t="str">
        <f aca="false">IF($E1117="","",IF($K1117="✓","✓ ","")&amp;IF(Config!$E$22="Sim",$H1117&amp;" · ","")&amp;$F1117)</f>
        <v/>
      </c>
      <c r="N1117" s="114" t="str">
        <f aca="false">IF($E1117="","",IFERROR(INDEX(Config!$D$15:$D$19,MATCH($I1117,Config!$C$15:$C$19,0)),"OUT")&amp;IF($K1117="✓","x",""))</f>
        <v/>
      </c>
      <c r="O1117" s="114" t="str">
        <f aca="false">IF($E1117="","",COUNTIF($E$5:$E1117,$E1117))</f>
        <v/>
      </c>
      <c r="P1117" s="114" t="str">
        <f aca="false">IF($E1117="","",$E1117*100+$O1117)</f>
        <v/>
      </c>
      <c r="Q1117" s="114" t="str">
        <f aca="false">IF($L1117="Atrasado",$E1117*10000+$A1117,"")</f>
        <v/>
      </c>
    </row>
    <row r="1118" customFormat="false" ht="15" hidden="false" customHeight="false" outlineLevel="0" collapsed="false">
      <c r="A1118" s="114" t="n">
        <f aca="false">ROW()-4</f>
        <v>1114</v>
      </c>
      <c r="B1118" s="114" t="str">
        <f aca="false">IF(A1118&lt;=Config!$E$27*Config!$E$28,"Tema","Avulso")</f>
        <v>Tema</v>
      </c>
      <c r="C1118" s="114" t="n">
        <f aca="false">IF(B1118="Tema",INT((A1118-1)/Config!$E$28)+1,A1118-Config!$E$27*Config!$E$28)</f>
        <v>186</v>
      </c>
      <c r="D1118" s="114" t="n">
        <f aca="false">IF(B1118="Tema",MOD(A1118-1,Config!$E$28)+1,"")</f>
        <v>4</v>
      </c>
      <c r="E1118" s="115" t="str">
        <f aca="false">IF($B1118="Tema",IF(ISNUMBER(INDEX(Temas!$E$6:$P$305,$C1118,2*$D1118-1)),INDEX(Temas!$E$6:$P$305,$C1118,2*$D1118-1),""),IF(ISNUMBER(INDEX(Avulsos!$B$6:$B$205,$C1118)),INDEX(Avulsos!$B$6:$B$205,$C1118),""))</f>
        <v/>
      </c>
      <c r="F1118" s="114" t="str">
        <f aca="false">IF($E1118="","",IF($B1118="Tema",INDEX(Temas!$B$6:$B$305,$C1118)&amp;"",INDEX(Avulsos!$C$6:$C$205,$C1118)&amp;""))</f>
        <v/>
      </c>
      <c r="G1118" s="114" t="str">
        <f aca="false">IF($E1118="","",IF($B1118="Tema",INDEX(Config!$C$6:$C$11,$D1118),"Evento avulso"))</f>
        <v/>
      </c>
      <c r="H1118" s="114" t="str">
        <f aca="false">IF($E1118="","",IF($B1118="Tema",INDEX(Config!$D$6:$D$11,$D1118),IFERROR(INDEX(Config!$E$15:$E$19,MATCH($I1118,Config!$C$15:$C$19,0)),"•")))</f>
        <v/>
      </c>
      <c r="I1118" s="114" t="str">
        <f aca="false">IF($E1118="","",IF($B1118="Tema",INDEX(Config!$E$6:$E$11,$D1118),IF(INDEX(Avulsos!$D$6:$D$205,$C1118)&amp;""="","Outro",INDEX(Avulsos!$D$6:$D$205,$C1118))))</f>
        <v/>
      </c>
      <c r="J1118" s="114" t="str">
        <f aca="false">IF($E1118="","",IF($B1118="Tema",INDEX(Temas!$C$6:$C$305,$C1118)&amp;"",INDEX(Avulsos!$E$6:$E$205,$C1118)&amp;""))</f>
        <v/>
      </c>
      <c r="K1118" s="114" t="str">
        <f aca="false">IF($E1118="","",IF(IF($B1118="Tema",INDEX(Temas!$E$6:$P$305,$C1118,2*$D1118),INDEX(Avulsos!$F$6:$F$205,$C1118))&amp;""="","","✓"))</f>
        <v/>
      </c>
      <c r="L1118" s="114" t="str">
        <f aca="true">IF($E1118="","",IF($K1118="✓","Concluído",IF($E1118&lt;TODAY(),"Atrasado",IF($E1118=TODAY(),"Hoje","Pendente"))))</f>
        <v/>
      </c>
      <c r="M1118" s="114" t="str">
        <f aca="false">IF($E1118="","",IF($K1118="✓","✓ ","")&amp;IF(Config!$E$22="Sim",$H1118&amp;" · ","")&amp;$F1118)</f>
        <v/>
      </c>
      <c r="N1118" s="114" t="str">
        <f aca="false">IF($E1118="","",IFERROR(INDEX(Config!$D$15:$D$19,MATCH($I1118,Config!$C$15:$C$19,0)),"OUT")&amp;IF($K1118="✓","x",""))</f>
        <v/>
      </c>
      <c r="O1118" s="114" t="str">
        <f aca="false">IF($E1118="","",COUNTIF($E$5:$E1118,$E1118))</f>
        <v/>
      </c>
      <c r="P1118" s="114" t="str">
        <f aca="false">IF($E1118="","",$E1118*100+$O1118)</f>
        <v/>
      </c>
      <c r="Q1118" s="114" t="str">
        <f aca="false">IF($L1118="Atrasado",$E1118*10000+$A1118,"")</f>
        <v/>
      </c>
    </row>
    <row r="1119" customFormat="false" ht="15" hidden="false" customHeight="false" outlineLevel="0" collapsed="false">
      <c r="A1119" s="114" t="n">
        <f aca="false">ROW()-4</f>
        <v>1115</v>
      </c>
      <c r="B1119" s="114" t="str">
        <f aca="false">IF(A1119&lt;=Config!$E$27*Config!$E$28,"Tema","Avulso")</f>
        <v>Tema</v>
      </c>
      <c r="C1119" s="114" t="n">
        <f aca="false">IF(B1119="Tema",INT((A1119-1)/Config!$E$28)+1,A1119-Config!$E$27*Config!$E$28)</f>
        <v>186</v>
      </c>
      <c r="D1119" s="114" t="n">
        <f aca="false">IF(B1119="Tema",MOD(A1119-1,Config!$E$28)+1,"")</f>
        <v>5</v>
      </c>
      <c r="E1119" s="115" t="str">
        <f aca="false">IF($B1119="Tema",IF(ISNUMBER(INDEX(Temas!$E$6:$P$305,$C1119,2*$D1119-1)),INDEX(Temas!$E$6:$P$305,$C1119,2*$D1119-1),""),IF(ISNUMBER(INDEX(Avulsos!$B$6:$B$205,$C1119)),INDEX(Avulsos!$B$6:$B$205,$C1119),""))</f>
        <v/>
      </c>
      <c r="F1119" s="114" t="str">
        <f aca="false">IF($E1119="","",IF($B1119="Tema",INDEX(Temas!$B$6:$B$305,$C1119)&amp;"",INDEX(Avulsos!$C$6:$C$205,$C1119)&amp;""))</f>
        <v/>
      </c>
      <c r="G1119" s="114" t="str">
        <f aca="false">IF($E1119="","",IF($B1119="Tema",INDEX(Config!$C$6:$C$11,$D1119),"Evento avulso"))</f>
        <v/>
      </c>
      <c r="H1119" s="114" t="str">
        <f aca="false">IF($E1119="","",IF($B1119="Tema",INDEX(Config!$D$6:$D$11,$D1119),IFERROR(INDEX(Config!$E$15:$E$19,MATCH($I1119,Config!$C$15:$C$19,0)),"•")))</f>
        <v/>
      </c>
      <c r="I1119" s="114" t="str">
        <f aca="false">IF($E1119="","",IF($B1119="Tema",INDEX(Config!$E$6:$E$11,$D1119),IF(INDEX(Avulsos!$D$6:$D$205,$C1119)&amp;""="","Outro",INDEX(Avulsos!$D$6:$D$205,$C1119))))</f>
        <v/>
      </c>
      <c r="J1119" s="114" t="str">
        <f aca="false">IF($E1119="","",IF($B1119="Tema",INDEX(Temas!$C$6:$C$305,$C1119)&amp;"",INDEX(Avulsos!$E$6:$E$205,$C1119)&amp;""))</f>
        <v/>
      </c>
      <c r="K1119" s="114" t="str">
        <f aca="false">IF($E1119="","",IF(IF($B1119="Tema",INDEX(Temas!$E$6:$P$305,$C1119,2*$D1119),INDEX(Avulsos!$F$6:$F$205,$C1119))&amp;""="","","✓"))</f>
        <v/>
      </c>
      <c r="L1119" s="114" t="str">
        <f aca="true">IF($E1119="","",IF($K1119="✓","Concluído",IF($E1119&lt;TODAY(),"Atrasado",IF($E1119=TODAY(),"Hoje","Pendente"))))</f>
        <v/>
      </c>
      <c r="M1119" s="114" t="str">
        <f aca="false">IF($E1119="","",IF($K1119="✓","✓ ","")&amp;IF(Config!$E$22="Sim",$H1119&amp;" · ","")&amp;$F1119)</f>
        <v/>
      </c>
      <c r="N1119" s="114" t="str">
        <f aca="false">IF($E1119="","",IFERROR(INDEX(Config!$D$15:$D$19,MATCH($I1119,Config!$C$15:$C$19,0)),"OUT")&amp;IF($K1119="✓","x",""))</f>
        <v/>
      </c>
      <c r="O1119" s="114" t="str">
        <f aca="false">IF($E1119="","",COUNTIF($E$5:$E1119,$E1119))</f>
        <v/>
      </c>
      <c r="P1119" s="114" t="str">
        <f aca="false">IF($E1119="","",$E1119*100+$O1119)</f>
        <v/>
      </c>
      <c r="Q1119" s="114" t="str">
        <f aca="false">IF($L1119="Atrasado",$E1119*10000+$A1119,"")</f>
        <v/>
      </c>
    </row>
    <row r="1120" customFormat="false" ht="15" hidden="false" customHeight="false" outlineLevel="0" collapsed="false">
      <c r="A1120" s="114" t="n">
        <f aca="false">ROW()-4</f>
        <v>1116</v>
      </c>
      <c r="B1120" s="114" t="str">
        <f aca="false">IF(A1120&lt;=Config!$E$27*Config!$E$28,"Tema","Avulso")</f>
        <v>Tema</v>
      </c>
      <c r="C1120" s="114" t="n">
        <f aca="false">IF(B1120="Tema",INT((A1120-1)/Config!$E$28)+1,A1120-Config!$E$27*Config!$E$28)</f>
        <v>186</v>
      </c>
      <c r="D1120" s="114" t="n">
        <f aca="false">IF(B1120="Tema",MOD(A1120-1,Config!$E$28)+1,"")</f>
        <v>6</v>
      </c>
      <c r="E1120" s="115" t="str">
        <f aca="false">IF($B1120="Tema",IF(ISNUMBER(INDEX(Temas!$E$6:$P$305,$C1120,2*$D1120-1)),INDEX(Temas!$E$6:$P$305,$C1120,2*$D1120-1),""),IF(ISNUMBER(INDEX(Avulsos!$B$6:$B$205,$C1120)),INDEX(Avulsos!$B$6:$B$205,$C1120),""))</f>
        <v/>
      </c>
      <c r="F1120" s="114" t="str">
        <f aca="false">IF($E1120="","",IF($B1120="Tema",INDEX(Temas!$B$6:$B$305,$C1120)&amp;"",INDEX(Avulsos!$C$6:$C$205,$C1120)&amp;""))</f>
        <v/>
      </c>
      <c r="G1120" s="114" t="str">
        <f aca="false">IF($E1120="","",IF($B1120="Tema",INDEX(Config!$C$6:$C$11,$D1120),"Evento avulso"))</f>
        <v/>
      </c>
      <c r="H1120" s="114" t="str">
        <f aca="false">IF($E1120="","",IF($B1120="Tema",INDEX(Config!$D$6:$D$11,$D1120),IFERROR(INDEX(Config!$E$15:$E$19,MATCH($I1120,Config!$C$15:$C$19,0)),"•")))</f>
        <v/>
      </c>
      <c r="I1120" s="114" t="str">
        <f aca="false">IF($E1120="","",IF($B1120="Tema",INDEX(Config!$E$6:$E$11,$D1120),IF(INDEX(Avulsos!$D$6:$D$205,$C1120)&amp;""="","Outro",INDEX(Avulsos!$D$6:$D$205,$C1120))))</f>
        <v/>
      </c>
      <c r="J1120" s="114" t="str">
        <f aca="false">IF($E1120="","",IF($B1120="Tema",INDEX(Temas!$C$6:$C$305,$C1120)&amp;"",INDEX(Avulsos!$E$6:$E$205,$C1120)&amp;""))</f>
        <v/>
      </c>
      <c r="K1120" s="114" t="str">
        <f aca="false">IF($E1120="","",IF(IF($B1120="Tema",INDEX(Temas!$E$6:$P$305,$C1120,2*$D1120),INDEX(Avulsos!$F$6:$F$205,$C1120))&amp;""="","","✓"))</f>
        <v/>
      </c>
      <c r="L1120" s="114" t="str">
        <f aca="true">IF($E1120="","",IF($K1120="✓","Concluído",IF($E1120&lt;TODAY(),"Atrasado",IF($E1120=TODAY(),"Hoje","Pendente"))))</f>
        <v/>
      </c>
      <c r="M1120" s="114" t="str">
        <f aca="false">IF($E1120="","",IF($K1120="✓","✓ ","")&amp;IF(Config!$E$22="Sim",$H1120&amp;" · ","")&amp;$F1120)</f>
        <v/>
      </c>
      <c r="N1120" s="114" t="str">
        <f aca="false">IF($E1120="","",IFERROR(INDEX(Config!$D$15:$D$19,MATCH($I1120,Config!$C$15:$C$19,0)),"OUT")&amp;IF($K1120="✓","x",""))</f>
        <v/>
      </c>
      <c r="O1120" s="114" t="str">
        <f aca="false">IF($E1120="","",COUNTIF($E$5:$E1120,$E1120))</f>
        <v/>
      </c>
      <c r="P1120" s="114" t="str">
        <f aca="false">IF($E1120="","",$E1120*100+$O1120)</f>
        <v/>
      </c>
      <c r="Q1120" s="114" t="str">
        <f aca="false">IF($L1120="Atrasado",$E1120*10000+$A1120,"")</f>
        <v/>
      </c>
    </row>
    <row r="1121" customFormat="false" ht="15" hidden="false" customHeight="false" outlineLevel="0" collapsed="false">
      <c r="A1121" s="114" t="n">
        <f aca="false">ROW()-4</f>
        <v>1117</v>
      </c>
      <c r="B1121" s="114" t="str">
        <f aca="false">IF(A1121&lt;=Config!$E$27*Config!$E$28,"Tema","Avulso")</f>
        <v>Tema</v>
      </c>
      <c r="C1121" s="114" t="n">
        <f aca="false">IF(B1121="Tema",INT((A1121-1)/Config!$E$28)+1,A1121-Config!$E$27*Config!$E$28)</f>
        <v>187</v>
      </c>
      <c r="D1121" s="114" t="n">
        <f aca="false">IF(B1121="Tema",MOD(A1121-1,Config!$E$28)+1,"")</f>
        <v>1</v>
      </c>
      <c r="E1121" s="115" t="str">
        <f aca="false">IF($B1121="Tema",IF(ISNUMBER(INDEX(Temas!$E$6:$P$305,$C1121,2*$D1121-1)),INDEX(Temas!$E$6:$P$305,$C1121,2*$D1121-1),""),IF(ISNUMBER(INDEX(Avulsos!$B$6:$B$205,$C1121)),INDEX(Avulsos!$B$6:$B$205,$C1121),""))</f>
        <v/>
      </c>
      <c r="F1121" s="114" t="str">
        <f aca="false">IF($E1121="","",IF($B1121="Tema",INDEX(Temas!$B$6:$B$305,$C1121)&amp;"",INDEX(Avulsos!$C$6:$C$205,$C1121)&amp;""))</f>
        <v/>
      </c>
      <c r="G1121" s="114" t="str">
        <f aca="false">IF($E1121="","",IF($B1121="Tema",INDEX(Config!$C$6:$C$11,$D1121),"Evento avulso"))</f>
        <v/>
      </c>
      <c r="H1121" s="114" t="str">
        <f aca="false">IF($E1121="","",IF($B1121="Tema",INDEX(Config!$D$6:$D$11,$D1121),IFERROR(INDEX(Config!$E$15:$E$19,MATCH($I1121,Config!$C$15:$C$19,0)),"•")))</f>
        <v/>
      </c>
      <c r="I1121" s="114" t="str">
        <f aca="false">IF($E1121="","",IF($B1121="Tema",INDEX(Config!$E$6:$E$11,$D1121),IF(INDEX(Avulsos!$D$6:$D$205,$C1121)&amp;""="","Outro",INDEX(Avulsos!$D$6:$D$205,$C1121))))</f>
        <v/>
      </c>
      <c r="J1121" s="114" t="str">
        <f aca="false">IF($E1121="","",IF($B1121="Tema",INDEX(Temas!$C$6:$C$305,$C1121)&amp;"",INDEX(Avulsos!$E$6:$E$205,$C1121)&amp;""))</f>
        <v/>
      </c>
      <c r="K1121" s="114" t="str">
        <f aca="false">IF($E1121="","",IF(IF($B1121="Tema",INDEX(Temas!$E$6:$P$305,$C1121,2*$D1121),INDEX(Avulsos!$F$6:$F$205,$C1121))&amp;""="","","✓"))</f>
        <v/>
      </c>
      <c r="L1121" s="114" t="str">
        <f aca="true">IF($E1121="","",IF($K1121="✓","Concluído",IF($E1121&lt;TODAY(),"Atrasado",IF($E1121=TODAY(),"Hoje","Pendente"))))</f>
        <v/>
      </c>
      <c r="M1121" s="114" t="str">
        <f aca="false">IF($E1121="","",IF($K1121="✓","✓ ","")&amp;IF(Config!$E$22="Sim",$H1121&amp;" · ","")&amp;$F1121)</f>
        <v/>
      </c>
      <c r="N1121" s="114" t="str">
        <f aca="false">IF($E1121="","",IFERROR(INDEX(Config!$D$15:$D$19,MATCH($I1121,Config!$C$15:$C$19,0)),"OUT")&amp;IF($K1121="✓","x",""))</f>
        <v/>
      </c>
      <c r="O1121" s="114" t="str">
        <f aca="false">IF($E1121="","",COUNTIF($E$5:$E1121,$E1121))</f>
        <v/>
      </c>
      <c r="P1121" s="114" t="str">
        <f aca="false">IF($E1121="","",$E1121*100+$O1121)</f>
        <v/>
      </c>
      <c r="Q1121" s="114" t="str">
        <f aca="false">IF($L1121="Atrasado",$E1121*10000+$A1121,"")</f>
        <v/>
      </c>
    </row>
    <row r="1122" customFormat="false" ht="15" hidden="false" customHeight="false" outlineLevel="0" collapsed="false">
      <c r="A1122" s="114" t="n">
        <f aca="false">ROW()-4</f>
        <v>1118</v>
      </c>
      <c r="B1122" s="114" t="str">
        <f aca="false">IF(A1122&lt;=Config!$E$27*Config!$E$28,"Tema","Avulso")</f>
        <v>Tema</v>
      </c>
      <c r="C1122" s="114" t="n">
        <f aca="false">IF(B1122="Tema",INT((A1122-1)/Config!$E$28)+1,A1122-Config!$E$27*Config!$E$28)</f>
        <v>187</v>
      </c>
      <c r="D1122" s="114" t="n">
        <f aca="false">IF(B1122="Tema",MOD(A1122-1,Config!$E$28)+1,"")</f>
        <v>2</v>
      </c>
      <c r="E1122" s="115" t="str">
        <f aca="false">IF($B1122="Tema",IF(ISNUMBER(INDEX(Temas!$E$6:$P$305,$C1122,2*$D1122-1)),INDEX(Temas!$E$6:$P$305,$C1122,2*$D1122-1),""),IF(ISNUMBER(INDEX(Avulsos!$B$6:$B$205,$C1122)),INDEX(Avulsos!$B$6:$B$205,$C1122),""))</f>
        <v/>
      </c>
      <c r="F1122" s="114" t="str">
        <f aca="false">IF($E1122="","",IF($B1122="Tema",INDEX(Temas!$B$6:$B$305,$C1122)&amp;"",INDEX(Avulsos!$C$6:$C$205,$C1122)&amp;""))</f>
        <v/>
      </c>
      <c r="G1122" s="114" t="str">
        <f aca="false">IF($E1122="","",IF($B1122="Tema",INDEX(Config!$C$6:$C$11,$D1122),"Evento avulso"))</f>
        <v/>
      </c>
      <c r="H1122" s="114" t="str">
        <f aca="false">IF($E1122="","",IF($B1122="Tema",INDEX(Config!$D$6:$D$11,$D1122),IFERROR(INDEX(Config!$E$15:$E$19,MATCH($I1122,Config!$C$15:$C$19,0)),"•")))</f>
        <v/>
      </c>
      <c r="I1122" s="114" t="str">
        <f aca="false">IF($E1122="","",IF($B1122="Tema",INDEX(Config!$E$6:$E$11,$D1122),IF(INDEX(Avulsos!$D$6:$D$205,$C1122)&amp;""="","Outro",INDEX(Avulsos!$D$6:$D$205,$C1122))))</f>
        <v/>
      </c>
      <c r="J1122" s="114" t="str">
        <f aca="false">IF($E1122="","",IF($B1122="Tema",INDEX(Temas!$C$6:$C$305,$C1122)&amp;"",INDEX(Avulsos!$E$6:$E$205,$C1122)&amp;""))</f>
        <v/>
      </c>
      <c r="K1122" s="114" t="str">
        <f aca="false">IF($E1122="","",IF(IF($B1122="Tema",INDEX(Temas!$E$6:$P$305,$C1122,2*$D1122),INDEX(Avulsos!$F$6:$F$205,$C1122))&amp;""="","","✓"))</f>
        <v/>
      </c>
      <c r="L1122" s="114" t="str">
        <f aca="true">IF($E1122="","",IF($K1122="✓","Concluído",IF($E1122&lt;TODAY(),"Atrasado",IF($E1122=TODAY(),"Hoje","Pendente"))))</f>
        <v/>
      </c>
      <c r="M1122" s="114" t="str">
        <f aca="false">IF($E1122="","",IF($K1122="✓","✓ ","")&amp;IF(Config!$E$22="Sim",$H1122&amp;" · ","")&amp;$F1122)</f>
        <v/>
      </c>
      <c r="N1122" s="114" t="str">
        <f aca="false">IF($E1122="","",IFERROR(INDEX(Config!$D$15:$D$19,MATCH($I1122,Config!$C$15:$C$19,0)),"OUT")&amp;IF($K1122="✓","x",""))</f>
        <v/>
      </c>
      <c r="O1122" s="114" t="str">
        <f aca="false">IF($E1122="","",COUNTIF($E$5:$E1122,$E1122))</f>
        <v/>
      </c>
      <c r="P1122" s="114" t="str">
        <f aca="false">IF($E1122="","",$E1122*100+$O1122)</f>
        <v/>
      </c>
      <c r="Q1122" s="114" t="str">
        <f aca="false">IF($L1122="Atrasado",$E1122*10000+$A1122,"")</f>
        <v/>
      </c>
    </row>
    <row r="1123" customFormat="false" ht="15" hidden="false" customHeight="false" outlineLevel="0" collapsed="false">
      <c r="A1123" s="114" t="n">
        <f aca="false">ROW()-4</f>
        <v>1119</v>
      </c>
      <c r="B1123" s="114" t="str">
        <f aca="false">IF(A1123&lt;=Config!$E$27*Config!$E$28,"Tema","Avulso")</f>
        <v>Tema</v>
      </c>
      <c r="C1123" s="114" t="n">
        <f aca="false">IF(B1123="Tema",INT((A1123-1)/Config!$E$28)+1,A1123-Config!$E$27*Config!$E$28)</f>
        <v>187</v>
      </c>
      <c r="D1123" s="114" t="n">
        <f aca="false">IF(B1123="Tema",MOD(A1123-1,Config!$E$28)+1,"")</f>
        <v>3</v>
      </c>
      <c r="E1123" s="115" t="str">
        <f aca="false">IF($B1123="Tema",IF(ISNUMBER(INDEX(Temas!$E$6:$P$305,$C1123,2*$D1123-1)),INDEX(Temas!$E$6:$P$305,$C1123,2*$D1123-1),""),IF(ISNUMBER(INDEX(Avulsos!$B$6:$B$205,$C1123)),INDEX(Avulsos!$B$6:$B$205,$C1123),""))</f>
        <v/>
      </c>
      <c r="F1123" s="114" t="str">
        <f aca="false">IF($E1123="","",IF($B1123="Tema",INDEX(Temas!$B$6:$B$305,$C1123)&amp;"",INDEX(Avulsos!$C$6:$C$205,$C1123)&amp;""))</f>
        <v/>
      </c>
      <c r="G1123" s="114" t="str">
        <f aca="false">IF($E1123="","",IF($B1123="Tema",INDEX(Config!$C$6:$C$11,$D1123),"Evento avulso"))</f>
        <v/>
      </c>
      <c r="H1123" s="114" t="str">
        <f aca="false">IF($E1123="","",IF($B1123="Tema",INDEX(Config!$D$6:$D$11,$D1123),IFERROR(INDEX(Config!$E$15:$E$19,MATCH($I1123,Config!$C$15:$C$19,0)),"•")))</f>
        <v/>
      </c>
      <c r="I1123" s="114" t="str">
        <f aca="false">IF($E1123="","",IF($B1123="Tema",INDEX(Config!$E$6:$E$11,$D1123),IF(INDEX(Avulsos!$D$6:$D$205,$C1123)&amp;""="","Outro",INDEX(Avulsos!$D$6:$D$205,$C1123))))</f>
        <v/>
      </c>
      <c r="J1123" s="114" t="str">
        <f aca="false">IF($E1123="","",IF($B1123="Tema",INDEX(Temas!$C$6:$C$305,$C1123)&amp;"",INDEX(Avulsos!$E$6:$E$205,$C1123)&amp;""))</f>
        <v/>
      </c>
      <c r="K1123" s="114" t="str">
        <f aca="false">IF($E1123="","",IF(IF($B1123="Tema",INDEX(Temas!$E$6:$P$305,$C1123,2*$D1123),INDEX(Avulsos!$F$6:$F$205,$C1123))&amp;""="","","✓"))</f>
        <v/>
      </c>
      <c r="L1123" s="114" t="str">
        <f aca="true">IF($E1123="","",IF($K1123="✓","Concluído",IF($E1123&lt;TODAY(),"Atrasado",IF($E1123=TODAY(),"Hoje","Pendente"))))</f>
        <v/>
      </c>
      <c r="M1123" s="114" t="str">
        <f aca="false">IF($E1123="","",IF($K1123="✓","✓ ","")&amp;IF(Config!$E$22="Sim",$H1123&amp;" · ","")&amp;$F1123)</f>
        <v/>
      </c>
      <c r="N1123" s="114" t="str">
        <f aca="false">IF($E1123="","",IFERROR(INDEX(Config!$D$15:$D$19,MATCH($I1123,Config!$C$15:$C$19,0)),"OUT")&amp;IF($K1123="✓","x",""))</f>
        <v/>
      </c>
      <c r="O1123" s="114" t="str">
        <f aca="false">IF($E1123="","",COUNTIF($E$5:$E1123,$E1123))</f>
        <v/>
      </c>
      <c r="P1123" s="114" t="str">
        <f aca="false">IF($E1123="","",$E1123*100+$O1123)</f>
        <v/>
      </c>
      <c r="Q1123" s="114" t="str">
        <f aca="false">IF($L1123="Atrasado",$E1123*10000+$A1123,"")</f>
        <v/>
      </c>
    </row>
    <row r="1124" customFormat="false" ht="15" hidden="false" customHeight="false" outlineLevel="0" collapsed="false">
      <c r="A1124" s="114" t="n">
        <f aca="false">ROW()-4</f>
        <v>1120</v>
      </c>
      <c r="B1124" s="114" t="str">
        <f aca="false">IF(A1124&lt;=Config!$E$27*Config!$E$28,"Tema","Avulso")</f>
        <v>Tema</v>
      </c>
      <c r="C1124" s="114" t="n">
        <f aca="false">IF(B1124="Tema",INT((A1124-1)/Config!$E$28)+1,A1124-Config!$E$27*Config!$E$28)</f>
        <v>187</v>
      </c>
      <c r="D1124" s="114" t="n">
        <f aca="false">IF(B1124="Tema",MOD(A1124-1,Config!$E$28)+1,"")</f>
        <v>4</v>
      </c>
      <c r="E1124" s="115" t="str">
        <f aca="false">IF($B1124="Tema",IF(ISNUMBER(INDEX(Temas!$E$6:$P$305,$C1124,2*$D1124-1)),INDEX(Temas!$E$6:$P$305,$C1124,2*$D1124-1),""),IF(ISNUMBER(INDEX(Avulsos!$B$6:$B$205,$C1124)),INDEX(Avulsos!$B$6:$B$205,$C1124),""))</f>
        <v/>
      </c>
      <c r="F1124" s="114" t="str">
        <f aca="false">IF($E1124="","",IF($B1124="Tema",INDEX(Temas!$B$6:$B$305,$C1124)&amp;"",INDEX(Avulsos!$C$6:$C$205,$C1124)&amp;""))</f>
        <v/>
      </c>
      <c r="G1124" s="114" t="str">
        <f aca="false">IF($E1124="","",IF($B1124="Tema",INDEX(Config!$C$6:$C$11,$D1124),"Evento avulso"))</f>
        <v/>
      </c>
      <c r="H1124" s="114" t="str">
        <f aca="false">IF($E1124="","",IF($B1124="Tema",INDEX(Config!$D$6:$D$11,$D1124),IFERROR(INDEX(Config!$E$15:$E$19,MATCH($I1124,Config!$C$15:$C$19,0)),"•")))</f>
        <v/>
      </c>
      <c r="I1124" s="114" t="str">
        <f aca="false">IF($E1124="","",IF($B1124="Tema",INDEX(Config!$E$6:$E$11,$D1124),IF(INDEX(Avulsos!$D$6:$D$205,$C1124)&amp;""="","Outro",INDEX(Avulsos!$D$6:$D$205,$C1124))))</f>
        <v/>
      </c>
      <c r="J1124" s="114" t="str">
        <f aca="false">IF($E1124="","",IF($B1124="Tema",INDEX(Temas!$C$6:$C$305,$C1124)&amp;"",INDEX(Avulsos!$E$6:$E$205,$C1124)&amp;""))</f>
        <v/>
      </c>
      <c r="K1124" s="114" t="str">
        <f aca="false">IF($E1124="","",IF(IF($B1124="Tema",INDEX(Temas!$E$6:$P$305,$C1124,2*$D1124),INDEX(Avulsos!$F$6:$F$205,$C1124))&amp;""="","","✓"))</f>
        <v/>
      </c>
      <c r="L1124" s="114" t="str">
        <f aca="true">IF($E1124="","",IF($K1124="✓","Concluído",IF($E1124&lt;TODAY(),"Atrasado",IF($E1124=TODAY(),"Hoje","Pendente"))))</f>
        <v/>
      </c>
      <c r="M1124" s="114" t="str">
        <f aca="false">IF($E1124="","",IF($K1124="✓","✓ ","")&amp;IF(Config!$E$22="Sim",$H1124&amp;" · ","")&amp;$F1124)</f>
        <v/>
      </c>
      <c r="N1124" s="114" t="str">
        <f aca="false">IF($E1124="","",IFERROR(INDEX(Config!$D$15:$D$19,MATCH($I1124,Config!$C$15:$C$19,0)),"OUT")&amp;IF($K1124="✓","x",""))</f>
        <v/>
      </c>
      <c r="O1124" s="114" t="str">
        <f aca="false">IF($E1124="","",COUNTIF($E$5:$E1124,$E1124))</f>
        <v/>
      </c>
      <c r="P1124" s="114" t="str">
        <f aca="false">IF($E1124="","",$E1124*100+$O1124)</f>
        <v/>
      </c>
      <c r="Q1124" s="114" t="str">
        <f aca="false">IF($L1124="Atrasado",$E1124*10000+$A1124,"")</f>
        <v/>
      </c>
    </row>
    <row r="1125" customFormat="false" ht="15" hidden="false" customHeight="false" outlineLevel="0" collapsed="false">
      <c r="A1125" s="114" t="n">
        <f aca="false">ROW()-4</f>
        <v>1121</v>
      </c>
      <c r="B1125" s="114" t="str">
        <f aca="false">IF(A1125&lt;=Config!$E$27*Config!$E$28,"Tema","Avulso")</f>
        <v>Tema</v>
      </c>
      <c r="C1125" s="114" t="n">
        <f aca="false">IF(B1125="Tema",INT((A1125-1)/Config!$E$28)+1,A1125-Config!$E$27*Config!$E$28)</f>
        <v>187</v>
      </c>
      <c r="D1125" s="114" t="n">
        <f aca="false">IF(B1125="Tema",MOD(A1125-1,Config!$E$28)+1,"")</f>
        <v>5</v>
      </c>
      <c r="E1125" s="115" t="str">
        <f aca="false">IF($B1125="Tema",IF(ISNUMBER(INDEX(Temas!$E$6:$P$305,$C1125,2*$D1125-1)),INDEX(Temas!$E$6:$P$305,$C1125,2*$D1125-1),""),IF(ISNUMBER(INDEX(Avulsos!$B$6:$B$205,$C1125)),INDEX(Avulsos!$B$6:$B$205,$C1125),""))</f>
        <v/>
      </c>
      <c r="F1125" s="114" t="str">
        <f aca="false">IF($E1125="","",IF($B1125="Tema",INDEX(Temas!$B$6:$B$305,$C1125)&amp;"",INDEX(Avulsos!$C$6:$C$205,$C1125)&amp;""))</f>
        <v/>
      </c>
      <c r="G1125" s="114" t="str">
        <f aca="false">IF($E1125="","",IF($B1125="Tema",INDEX(Config!$C$6:$C$11,$D1125),"Evento avulso"))</f>
        <v/>
      </c>
      <c r="H1125" s="114" t="str">
        <f aca="false">IF($E1125="","",IF($B1125="Tema",INDEX(Config!$D$6:$D$11,$D1125),IFERROR(INDEX(Config!$E$15:$E$19,MATCH($I1125,Config!$C$15:$C$19,0)),"•")))</f>
        <v/>
      </c>
      <c r="I1125" s="114" t="str">
        <f aca="false">IF($E1125="","",IF($B1125="Tema",INDEX(Config!$E$6:$E$11,$D1125),IF(INDEX(Avulsos!$D$6:$D$205,$C1125)&amp;""="","Outro",INDEX(Avulsos!$D$6:$D$205,$C1125))))</f>
        <v/>
      </c>
      <c r="J1125" s="114" t="str">
        <f aca="false">IF($E1125="","",IF($B1125="Tema",INDEX(Temas!$C$6:$C$305,$C1125)&amp;"",INDEX(Avulsos!$E$6:$E$205,$C1125)&amp;""))</f>
        <v/>
      </c>
      <c r="K1125" s="114" t="str">
        <f aca="false">IF($E1125="","",IF(IF($B1125="Tema",INDEX(Temas!$E$6:$P$305,$C1125,2*$D1125),INDEX(Avulsos!$F$6:$F$205,$C1125))&amp;""="","","✓"))</f>
        <v/>
      </c>
      <c r="L1125" s="114" t="str">
        <f aca="true">IF($E1125="","",IF($K1125="✓","Concluído",IF($E1125&lt;TODAY(),"Atrasado",IF($E1125=TODAY(),"Hoje","Pendente"))))</f>
        <v/>
      </c>
      <c r="M1125" s="114" t="str">
        <f aca="false">IF($E1125="","",IF($K1125="✓","✓ ","")&amp;IF(Config!$E$22="Sim",$H1125&amp;" · ","")&amp;$F1125)</f>
        <v/>
      </c>
      <c r="N1125" s="114" t="str">
        <f aca="false">IF($E1125="","",IFERROR(INDEX(Config!$D$15:$D$19,MATCH($I1125,Config!$C$15:$C$19,0)),"OUT")&amp;IF($K1125="✓","x",""))</f>
        <v/>
      </c>
      <c r="O1125" s="114" t="str">
        <f aca="false">IF($E1125="","",COUNTIF($E$5:$E1125,$E1125))</f>
        <v/>
      </c>
      <c r="P1125" s="114" t="str">
        <f aca="false">IF($E1125="","",$E1125*100+$O1125)</f>
        <v/>
      </c>
      <c r="Q1125" s="114" t="str">
        <f aca="false">IF($L1125="Atrasado",$E1125*10000+$A1125,"")</f>
        <v/>
      </c>
    </row>
    <row r="1126" customFormat="false" ht="15" hidden="false" customHeight="false" outlineLevel="0" collapsed="false">
      <c r="A1126" s="114" t="n">
        <f aca="false">ROW()-4</f>
        <v>1122</v>
      </c>
      <c r="B1126" s="114" t="str">
        <f aca="false">IF(A1126&lt;=Config!$E$27*Config!$E$28,"Tema","Avulso")</f>
        <v>Tema</v>
      </c>
      <c r="C1126" s="114" t="n">
        <f aca="false">IF(B1126="Tema",INT((A1126-1)/Config!$E$28)+1,A1126-Config!$E$27*Config!$E$28)</f>
        <v>187</v>
      </c>
      <c r="D1126" s="114" t="n">
        <f aca="false">IF(B1126="Tema",MOD(A1126-1,Config!$E$28)+1,"")</f>
        <v>6</v>
      </c>
      <c r="E1126" s="115" t="str">
        <f aca="false">IF($B1126="Tema",IF(ISNUMBER(INDEX(Temas!$E$6:$P$305,$C1126,2*$D1126-1)),INDEX(Temas!$E$6:$P$305,$C1126,2*$D1126-1),""),IF(ISNUMBER(INDEX(Avulsos!$B$6:$B$205,$C1126)),INDEX(Avulsos!$B$6:$B$205,$C1126),""))</f>
        <v/>
      </c>
      <c r="F1126" s="114" t="str">
        <f aca="false">IF($E1126="","",IF($B1126="Tema",INDEX(Temas!$B$6:$B$305,$C1126)&amp;"",INDEX(Avulsos!$C$6:$C$205,$C1126)&amp;""))</f>
        <v/>
      </c>
      <c r="G1126" s="114" t="str">
        <f aca="false">IF($E1126="","",IF($B1126="Tema",INDEX(Config!$C$6:$C$11,$D1126),"Evento avulso"))</f>
        <v/>
      </c>
      <c r="H1126" s="114" t="str">
        <f aca="false">IF($E1126="","",IF($B1126="Tema",INDEX(Config!$D$6:$D$11,$D1126),IFERROR(INDEX(Config!$E$15:$E$19,MATCH($I1126,Config!$C$15:$C$19,0)),"•")))</f>
        <v/>
      </c>
      <c r="I1126" s="114" t="str">
        <f aca="false">IF($E1126="","",IF($B1126="Tema",INDEX(Config!$E$6:$E$11,$D1126),IF(INDEX(Avulsos!$D$6:$D$205,$C1126)&amp;""="","Outro",INDEX(Avulsos!$D$6:$D$205,$C1126))))</f>
        <v/>
      </c>
      <c r="J1126" s="114" t="str">
        <f aca="false">IF($E1126="","",IF($B1126="Tema",INDEX(Temas!$C$6:$C$305,$C1126)&amp;"",INDEX(Avulsos!$E$6:$E$205,$C1126)&amp;""))</f>
        <v/>
      </c>
      <c r="K1126" s="114" t="str">
        <f aca="false">IF($E1126="","",IF(IF($B1126="Tema",INDEX(Temas!$E$6:$P$305,$C1126,2*$D1126),INDEX(Avulsos!$F$6:$F$205,$C1126))&amp;""="","","✓"))</f>
        <v/>
      </c>
      <c r="L1126" s="114" t="str">
        <f aca="true">IF($E1126="","",IF($K1126="✓","Concluído",IF($E1126&lt;TODAY(),"Atrasado",IF($E1126=TODAY(),"Hoje","Pendente"))))</f>
        <v/>
      </c>
      <c r="M1126" s="114" t="str">
        <f aca="false">IF($E1126="","",IF($K1126="✓","✓ ","")&amp;IF(Config!$E$22="Sim",$H1126&amp;" · ","")&amp;$F1126)</f>
        <v/>
      </c>
      <c r="N1126" s="114" t="str">
        <f aca="false">IF($E1126="","",IFERROR(INDEX(Config!$D$15:$D$19,MATCH($I1126,Config!$C$15:$C$19,0)),"OUT")&amp;IF($K1126="✓","x",""))</f>
        <v/>
      </c>
      <c r="O1126" s="114" t="str">
        <f aca="false">IF($E1126="","",COUNTIF($E$5:$E1126,$E1126))</f>
        <v/>
      </c>
      <c r="P1126" s="114" t="str">
        <f aca="false">IF($E1126="","",$E1126*100+$O1126)</f>
        <v/>
      </c>
      <c r="Q1126" s="114" t="str">
        <f aca="false">IF($L1126="Atrasado",$E1126*10000+$A1126,"")</f>
        <v/>
      </c>
    </row>
    <row r="1127" customFormat="false" ht="15" hidden="false" customHeight="false" outlineLevel="0" collapsed="false">
      <c r="A1127" s="114" t="n">
        <f aca="false">ROW()-4</f>
        <v>1123</v>
      </c>
      <c r="B1127" s="114" t="str">
        <f aca="false">IF(A1127&lt;=Config!$E$27*Config!$E$28,"Tema","Avulso")</f>
        <v>Tema</v>
      </c>
      <c r="C1127" s="114" t="n">
        <f aca="false">IF(B1127="Tema",INT((A1127-1)/Config!$E$28)+1,A1127-Config!$E$27*Config!$E$28)</f>
        <v>188</v>
      </c>
      <c r="D1127" s="114" t="n">
        <f aca="false">IF(B1127="Tema",MOD(A1127-1,Config!$E$28)+1,"")</f>
        <v>1</v>
      </c>
      <c r="E1127" s="115" t="str">
        <f aca="false">IF($B1127="Tema",IF(ISNUMBER(INDEX(Temas!$E$6:$P$305,$C1127,2*$D1127-1)),INDEX(Temas!$E$6:$P$305,$C1127,2*$D1127-1),""),IF(ISNUMBER(INDEX(Avulsos!$B$6:$B$205,$C1127)),INDEX(Avulsos!$B$6:$B$205,$C1127),""))</f>
        <v/>
      </c>
      <c r="F1127" s="114" t="str">
        <f aca="false">IF($E1127="","",IF($B1127="Tema",INDEX(Temas!$B$6:$B$305,$C1127)&amp;"",INDEX(Avulsos!$C$6:$C$205,$C1127)&amp;""))</f>
        <v/>
      </c>
      <c r="G1127" s="114" t="str">
        <f aca="false">IF($E1127="","",IF($B1127="Tema",INDEX(Config!$C$6:$C$11,$D1127),"Evento avulso"))</f>
        <v/>
      </c>
      <c r="H1127" s="114" t="str">
        <f aca="false">IF($E1127="","",IF($B1127="Tema",INDEX(Config!$D$6:$D$11,$D1127),IFERROR(INDEX(Config!$E$15:$E$19,MATCH($I1127,Config!$C$15:$C$19,0)),"•")))</f>
        <v/>
      </c>
      <c r="I1127" s="114" t="str">
        <f aca="false">IF($E1127="","",IF($B1127="Tema",INDEX(Config!$E$6:$E$11,$D1127),IF(INDEX(Avulsos!$D$6:$D$205,$C1127)&amp;""="","Outro",INDEX(Avulsos!$D$6:$D$205,$C1127))))</f>
        <v/>
      </c>
      <c r="J1127" s="114" t="str">
        <f aca="false">IF($E1127="","",IF($B1127="Tema",INDEX(Temas!$C$6:$C$305,$C1127)&amp;"",INDEX(Avulsos!$E$6:$E$205,$C1127)&amp;""))</f>
        <v/>
      </c>
      <c r="K1127" s="114" t="str">
        <f aca="false">IF($E1127="","",IF(IF($B1127="Tema",INDEX(Temas!$E$6:$P$305,$C1127,2*$D1127),INDEX(Avulsos!$F$6:$F$205,$C1127))&amp;""="","","✓"))</f>
        <v/>
      </c>
      <c r="L1127" s="114" t="str">
        <f aca="true">IF($E1127="","",IF($K1127="✓","Concluído",IF($E1127&lt;TODAY(),"Atrasado",IF($E1127=TODAY(),"Hoje","Pendente"))))</f>
        <v/>
      </c>
      <c r="M1127" s="114" t="str">
        <f aca="false">IF($E1127="","",IF($K1127="✓","✓ ","")&amp;IF(Config!$E$22="Sim",$H1127&amp;" · ","")&amp;$F1127)</f>
        <v/>
      </c>
      <c r="N1127" s="114" t="str">
        <f aca="false">IF($E1127="","",IFERROR(INDEX(Config!$D$15:$D$19,MATCH($I1127,Config!$C$15:$C$19,0)),"OUT")&amp;IF($K1127="✓","x",""))</f>
        <v/>
      </c>
      <c r="O1127" s="114" t="str">
        <f aca="false">IF($E1127="","",COUNTIF($E$5:$E1127,$E1127))</f>
        <v/>
      </c>
      <c r="P1127" s="114" t="str">
        <f aca="false">IF($E1127="","",$E1127*100+$O1127)</f>
        <v/>
      </c>
      <c r="Q1127" s="114" t="str">
        <f aca="false">IF($L1127="Atrasado",$E1127*10000+$A1127,"")</f>
        <v/>
      </c>
    </row>
    <row r="1128" customFormat="false" ht="15" hidden="false" customHeight="false" outlineLevel="0" collapsed="false">
      <c r="A1128" s="114" t="n">
        <f aca="false">ROW()-4</f>
        <v>1124</v>
      </c>
      <c r="B1128" s="114" t="str">
        <f aca="false">IF(A1128&lt;=Config!$E$27*Config!$E$28,"Tema","Avulso")</f>
        <v>Tema</v>
      </c>
      <c r="C1128" s="114" t="n">
        <f aca="false">IF(B1128="Tema",INT((A1128-1)/Config!$E$28)+1,A1128-Config!$E$27*Config!$E$28)</f>
        <v>188</v>
      </c>
      <c r="D1128" s="114" t="n">
        <f aca="false">IF(B1128="Tema",MOD(A1128-1,Config!$E$28)+1,"")</f>
        <v>2</v>
      </c>
      <c r="E1128" s="115" t="str">
        <f aca="false">IF($B1128="Tema",IF(ISNUMBER(INDEX(Temas!$E$6:$P$305,$C1128,2*$D1128-1)),INDEX(Temas!$E$6:$P$305,$C1128,2*$D1128-1),""),IF(ISNUMBER(INDEX(Avulsos!$B$6:$B$205,$C1128)),INDEX(Avulsos!$B$6:$B$205,$C1128),""))</f>
        <v/>
      </c>
      <c r="F1128" s="114" t="str">
        <f aca="false">IF($E1128="","",IF($B1128="Tema",INDEX(Temas!$B$6:$B$305,$C1128)&amp;"",INDEX(Avulsos!$C$6:$C$205,$C1128)&amp;""))</f>
        <v/>
      </c>
      <c r="G1128" s="114" t="str">
        <f aca="false">IF($E1128="","",IF($B1128="Tema",INDEX(Config!$C$6:$C$11,$D1128),"Evento avulso"))</f>
        <v/>
      </c>
      <c r="H1128" s="114" t="str">
        <f aca="false">IF($E1128="","",IF($B1128="Tema",INDEX(Config!$D$6:$D$11,$D1128),IFERROR(INDEX(Config!$E$15:$E$19,MATCH($I1128,Config!$C$15:$C$19,0)),"•")))</f>
        <v/>
      </c>
      <c r="I1128" s="114" t="str">
        <f aca="false">IF($E1128="","",IF($B1128="Tema",INDEX(Config!$E$6:$E$11,$D1128),IF(INDEX(Avulsos!$D$6:$D$205,$C1128)&amp;""="","Outro",INDEX(Avulsos!$D$6:$D$205,$C1128))))</f>
        <v/>
      </c>
      <c r="J1128" s="114" t="str">
        <f aca="false">IF($E1128="","",IF($B1128="Tema",INDEX(Temas!$C$6:$C$305,$C1128)&amp;"",INDEX(Avulsos!$E$6:$E$205,$C1128)&amp;""))</f>
        <v/>
      </c>
      <c r="K1128" s="114" t="str">
        <f aca="false">IF($E1128="","",IF(IF($B1128="Tema",INDEX(Temas!$E$6:$P$305,$C1128,2*$D1128),INDEX(Avulsos!$F$6:$F$205,$C1128))&amp;""="","","✓"))</f>
        <v/>
      </c>
      <c r="L1128" s="114" t="str">
        <f aca="true">IF($E1128="","",IF($K1128="✓","Concluído",IF($E1128&lt;TODAY(),"Atrasado",IF($E1128=TODAY(),"Hoje","Pendente"))))</f>
        <v/>
      </c>
      <c r="M1128" s="114" t="str">
        <f aca="false">IF($E1128="","",IF($K1128="✓","✓ ","")&amp;IF(Config!$E$22="Sim",$H1128&amp;" · ","")&amp;$F1128)</f>
        <v/>
      </c>
      <c r="N1128" s="114" t="str">
        <f aca="false">IF($E1128="","",IFERROR(INDEX(Config!$D$15:$D$19,MATCH($I1128,Config!$C$15:$C$19,0)),"OUT")&amp;IF($K1128="✓","x",""))</f>
        <v/>
      </c>
      <c r="O1128" s="114" t="str">
        <f aca="false">IF($E1128="","",COUNTIF($E$5:$E1128,$E1128))</f>
        <v/>
      </c>
      <c r="P1128" s="114" t="str">
        <f aca="false">IF($E1128="","",$E1128*100+$O1128)</f>
        <v/>
      </c>
      <c r="Q1128" s="114" t="str">
        <f aca="false">IF($L1128="Atrasado",$E1128*10000+$A1128,"")</f>
        <v/>
      </c>
    </row>
    <row r="1129" customFormat="false" ht="15" hidden="false" customHeight="false" outlineLevel="0" collapsed="false">
      <c r="A1129" s="114" t="n">
        <f aca="false">ROW()-4</f>
        <v>1125</v>
      </c>
      <c r="B1129" s="114" t="str">
        <f aca="false">IF(A1129&lt;=Config!$E$27*Config!$E$28,"Tema","Avulso")</f>
        <v>Tema</v>
      </c>
      <c r="C1129" s="114" t="n">
        <f aca="false">IF(B1129="Tema",INT((A1129-1)/Config!$E$28)+1,A1129-Config!$E$27*Config!$E$28)</f>
        <v>188</v>
      </c>
      <c r="D1129" s="114" t="n">
        <f aca="false">IF(B1129="Tema",MOD(A1129-1,Config!$E$28)+1,"")</f>
        <v>3</v>
      </c>
      <c r="E1129" s="115" t="str">
        <f aca="false">IF($B1129="Tema",IF(ISNUMBER(INDEX(Temas!$E$6:$P$305,$C1129,2*$D1129-1)),INDEX(Temas!$E$6:$P$305,$C1129,2*$D1129-1),""),IF(ISNUMBER(INDEX(Avulsos!$B$6:$B$205,$C1129)),INDEX(Avulsos!$B$6:$B$205,$C1129),""))</f>
        <v/>
      </c>
      <c r="F1129" s="114" t="str">
        <f aca="false">IF($E1129="","",IF($B1129="Tema",INDEX(Temas!$B$6:$B$305,$C1129)&amp;"",INDEX(Avulsos!$C$6:$C$205,$C1129)&amp;""))</f>
        <v/>
      </c>
      <c r="G1129" s="114" t="str">
        <f aca="false">IF($E1129="","",IF($B1129="Tema",INDEX(Config!$C$6:$C$11,$D1129),"Evento avulso"))</f>
        <v/>
      </c>
      <c r="H1129" s="114" t="str">
        <f aca="false">IF($E1129="","",IF($B1129="Tema",INDEX(Config!$D$6:$D$11,$D1129),IFERROR(INDEX(Config!$E$15:$E$19,MATCH($I1129,Config!$C$15:$C$19,0)),"•")))</f>
        <v/>
      </c>
      <c r="I1129" s="114" t="str">
        <f aca="false">IF($E1129="","",IF($B1129="Tema",INDEX(Config!$E$6:$E$11,$D1129),IF(INDEX(Avulsos!$D$6:$D$205,$C1129)&amp;""="","Outro",INDEX(Avulsos!$D$6:$D$205,$C1129))))</f>
        <v/>
      </c>
      <c r="J1129" s="114" t="str">
        <f aca="false">IF($E1129="","",IF($B1129="Tema",INDEX(Temas!$C$6:$C$305,$C1129)&amp;"",INDEX(Avulsos!$E$6:$E$205,$C1129)&amp;""))</f>
        <v/>
      </c>
      <c r="K1129" s="114" t="str">
        <f aca="false">IF($E1129="","",IF(IF($B1129="Tema",INDEX(Temas!$E$6:$P$305,$C1129,2*$D1129),INDEX(Avulsos!$F$6:$F$205,$C1129))&amp;""="","","✓"))</f>
        <v/>
      </c>
      <c r="L1129" s="114" t="str">
        <f aca="true">IF($E1129="","",IF($K1129="✓","Concluído",IF($E1129&lt;TODAY(),"Atrasado",IF($E1129=TODAY(),"Hoje","Pendente"))))</f>
        <v/>
      </c>
      <c r="M1129" s="114" t="str">
        <f aca="false">IF($E1129="","",IF($K1129="✓","✓ ","")&amp;IF(Config!$E$22="Sim",$H1129&amp;" · ","")&amp;$F1129)</f>
        <v/>
      </c>
      <c r="N1129" s="114" t="str">
        <f aca="false">IF($E1129="","",IFERROR(INDEX(Config!$D$15:$D$19,MATCH($I1129,Config!$C$15:$C$19,0)),"OUT")&amp;IF($K1129="✓","x",""))</f>
        <v/>
      </c>
      <c r="O1129" s="114" t="str">
        <f aca="false">IF($E1129="","",COUNTIF($E$5:$E1129,$E1129))</f>
        <v/>
      </c>
      <c r="P1129" s="114" t="str">
        <f aca="false">IF($E1129="","",$E1129*100+$O1129)</f>
        <v/>
      </c>
      <c r="Q1129" s="114" t="str">
        <f aca="false">IF($L1129="Atrasado",$E1129*10000+$A1129,"")</f>
        <v/>
      </c>
    </row>
    <row r="1130" customFormat="false" ht="15" hidden="false" customHeight="false" outlineLevel="0" collapsed="false">
      <c r="A1130" s="114" t="n">
        <f aca="false">ROW()-4</f>
        <v>1126</v>
      </c>
      <c r="B1130" s="114" t="str">
        <f aca="false">IF(A1130&lt;=Config!$E$27*Config!$E$28,"Tema","Avulso")</f>
        <v>Tema</v>
      </c>
      <c r="C1130" s="114" t="n">
        <f aca="false">IF(B1130="Tema",INT((A1130-1)/Config!$E$28)+1,A1130-Config!$E$27*Config!$E$28)</f>
        <v>188</v>
      </c>
      <c r="D1130" s="114" t="n">
        <f aca="false">IF(B1130="Tema",MOD(A1130-1,Config!$E$28)+1,"")</f>
        <v>4</v>
      </c>
      <c r="E1130" s="115" t="str">
        <f aca="false">IF($B1130="Tema",IF(ISNUMBER(INDEX(Temas!$E$6:$P$305,$C1130,2*$D1130-1)),INDEX(Temas!$E$6:$P$305,$C1130,2*$D1130-1),""),IF(ISNUMBER(INDEX(Avulsos!$B$6:$B$205,$C1130)),INDEX(Avulsos!$B$6:$B$205,$C1130),""))</f>
        <v/>
      </c>
      <c r="F1130" s="114" t="str">
        <f aca="false">IF($E1130="","",IF($B1130="Tema",INDEX(Temas!$B$6:$B$305,$C1130)&amp;"",INDEX(Avulsos!$C$6:$C$205,$C1130)&amp;""))</f>
        <v/>
      </c>
      <c r="G1130" s="114" t="str">
        <f aca="false">IF($E1130="","",IF($B1130="Tema",INDEX(Config!$C$6:$C$11,$D1130),"Evento avulso"))</f>
        <v/>
      </c>
      <c r="H1130" s="114" t="str">
        <f aca="false">IF($E1130="","",IF($B1130="Tema",INDEX(Config!$D$6:$D$11,$D1130),IFERROR(INDEX(Config!$E$15:$E$19,MATCH($I1130,Config!$C$15:$C$19,0)),"•")))</f>
        <v/>
      </c>
      <c r="I1130" s="114" t="str">
        <f aca="false">IF($E1130="","",IF($B1130="Tema",INDEX(Config!$E$6:$E$11,$D1130),IF(INDEX(Avulsos!$D$6:$D$205,$C1130)&amp;""="","Outro",INDEX(Avulsos!$D$6:$D$205,$C1130))))</f>
        <v/>
      </c>
      <c r="J1130" s="114" t="str">
        <f aca="false">IF($E1130="","",IF($B1130="Tema",INDEX(Temas!$C$6:$C$305,$C1130)&amp;"",INDEX(Avulsos!$E$6:$E$205,$C1130)&amp;""))</f>
        <v/>
      </c>
      <c r="K1130" s="114" t="str">
        <f aca="false">IF($E1130="","",IF(IF($B1130="Tema",INDEX(Temas!$E$6:$P$305,$C1130,2*$D1130),INDEX(Avulsos!$F$6:$F$205,$C1130))&amp;""="","","✓"))</f>
        <v/>
      </c>
      <c r="L1130" s="114" t="str">
        <f aca="true">IF($E1130="","",IF($K1130="✓","Concluído",IF($E1130&lt;TODAY(),"Atrasado",IF($E1130=TODAY(),"Hoje","Pendente"))))</f>
        <v/>
      </c>
      <c r="M1130" s="114" t="str">
        <f aca="false">IF($E1130="","",IF($K1130="✓","✓ ","")&amp;IF(Config!$E$22="Sim",$H1130&amp;" · ","")&amp;$F1130)</f>
        <v/>
      </c>
      <c r="N1130" s="114" t="str">
        <f aca="false">IF($E1130="","",IFERROR(INDEX(Config!$D$15:$D$19,MATCH($I1130,Config!$C$15:$C$19,0)),"OUT")&amp;IF($K1130="✓","x",""))</f>
        <v/>
      </c>
      <c r="O1130" s="114" t="str">
        <f aca="false">IF($E1130="","",COUNTIF($E$5:$E1130,$E1130))</f>
        <v/>
      </c>
      <c r="P1130" s="114" t="str">
        <f aca="false">IF($E1130="","",$E1130*100+$O1130)</f>
        <v/>
      </c>
      <c r="Q1130" s="114" t="str">
        <f aca="false">IF($L1130="Atrasado",$E1130*10000+$A1130,"")</f>
        <v/>
      </c>
    </row>
    <row r="1131" customFormat="false" ht="15" hidden="false" customHeight="false" outlineLevel="0" collapsed="false">
      <c r="A1131" s="114" t="n">
        <f aca="false">ROW()-4</f>
        <v>1127</v>
      </c>
      <c r="B1131" s="114" t="str">
        <f aca="false">IF(A1131&lt;=Config!$E$27*Config!$E$28,"Tema","Avulso")</f>
        <v>Tema</v>
      </c>
      <c r="C1131" s="114" t="n">
        <f aca="false">IF(B1131="Tema",INT((A1131-1)/Config!$E$28)+1,A1131-Config!$E$27*Config!$E$28)</f>
        <v>188</v>
      </c>
      <c r="D1131" s="114" t="n">
        <f aca="false">IF(B1131="Tema",MOD(A1131-1,Config!$E$28)+1,"")</f>
        <v>5</v>
      </c>
      <c r="E1131" s="115" t="str">
        <f aca="false">IF($B1131="Tema",IF(ISNUMBER(INDEX(Temas!$E$6:$P$305,$C1131,2*$D1131-1)),INDEX(Temas!$E$6:$P$305,$C1131,2*$D1131-1),""),IF(ISNUMBER(INDEX(Avulsos!$B$6:$B$205,$C1131)),INDEX(Avulsos!$B$6:$B$205,$C1131),""))</f>
        <v/>
      </c>
      <c r="F1131" s="114" t="str">
        <f aca="false">IF($E1131="","",IF($B1131="Tema",INDEX(Temas!$B$6:$B$305,$C1131)&amp;"",INDEX(Avulsos!$C$6:$C$205,$C1131)&amp;""))</f>
        <v/>
      </c>
      <c r="G1131" s="114" t="str">
        <f aca="false">IF($E1131="","",IF($B1131="Tema",INDEX(Config!$C$6:$C$11,$D1131),"Evento avulso"))</f>
        <v/>
      </c>
      <c r="H1131" s="114" t="str">
        <f aca="false">IF($E1131="","",IF($B1131="Tema",INDEX(Config!$D$6:$D$11,$D1131),IFERROR(INDEX(Config!$E$15:$E$19,MATCH($I1131,Config!$C$15:$C$19,0)),"•")))</f>
        <v/>
      </c>
      <c r="I1131" s="114" t="str">
        <f aca="false">IF($E1131="","",IF($B1131="Tema",INDEX(Config!$E$6:$E$11,$D1131),IF(INDEX(Avulsos!$D$6:$D$205,$C1131)&amp;""="","Outro",INDEX(Avulsos!$D$6:$D$205,$C1131))))</f>
        <v/>
      </c>
      <c r="J1131" s="114" t="str">
        <f aca="false">IF($E1131="","",IF($B1131="Tema",INDEX(Temas!$C$6:$C$305,$C1131)&amp;"",INDEX(Avulsos!$E$6:$E$205,$C1131)&amp;""))</f>
        <v/>
      </c>
      <c r="K1131" s="114" t="str">
        <f aca="false">IF($E1131="","",IF(IF($B1131="Tema",INDEX(Temas!$E$6:$P$305,$C1131,2*$D1131),INDEX(Avulsos!$F$6:$F$205,$C1131))&amp;""="","","✓"))</f>
        <v/>
      </c>
      <c r="L1131" s="114" t="str">
        <f aca="true">IF($E1131="","",IF($K1131="✓","Concluído",IF($E1131&lt;TODAY(),"Atrasado",IF($E1131=TODAY(),"Hoje","Pendente"))))</f>
        <v/>
      </c>
      <c r="M1131" s="114" t="str">
        <f aca="false">IF($E1131="","",IF($K1131="✓","✓ ","")&amp;IF(Config!$E$22="Sim",$H1131&amp;" · ","")&amp;$F1131)</f>
        <v/>
      </c>
      <c r="N1131" s="114" t="str">
        <f aca="false">IF($E1131="","",IFERROR(INDEX(Config!$D$15:$D$19,MATCH($I1131,Config!$C$15:$C$19,0)),"OUT")&amp;IF($K1131="✓","x",""))</f>
        <v/>
      </c>
      <c r="O1131" s="114" t="str">
        <f aca="false">IF($E1131="","",COUNTIF($E$5:$E1131,$E1131))</f>
        <v/>
      </c>
      <c r="P1131" s="114" t="str">
        <f aca="false">IF($E1131="","",$E1131*100+$O1131)</f>
        <v/>
      </c>
      <c r="Q1131" s="114" t="str">
        <f aca="false">IF($L1131="Atrasado",$E1131*10000+$A1131,"")</f>
        <v/>
      </c>
    </row>
    <row r="1132" customFormat="false" ht="15" hidden="false" customHeight="false" outlineLevel="0" collapsed="false">
      <c r="A1132" s="114" t="n">
        <f aca="false">ROW()-4</f>
        <v>1128</v>
      </c>
      <c r="B1132" s="114" t="str">
        <f aca="false">IF(A1132&lt;=Config!$E$27*Config!$E$28,"Tema","Avulso")</f>
        <v>Tema</v>
      </c>
      <c r="C1132" s="114" t="n">
        <f aca="false">IF(B1132="Tema",INT((A1132-1)/Config!$E$28)+1,A1132-Config!$E$27*Config!$E$28)</f>
        <v>188</v>
      </c>
      <c r="D1132" s="114" t="n">
        <f aca="false">IF(B1132="Tema",MOD(A1132-1,Config!$E$28)+1,"")</f>
        <v>6</v>
      </c>
      <c r="E1132" s="115" t="str">
        <f aca="false">IF($B1132="Tema",IF(ISNUMBER(INDEX(Temas!$E$6:$P$305,$C1132,2*$D1132-1)),INDEX(Temas!$E$6:$P$305,$C1132,2*$D1132-1),""),IF(ISNUMBER(INDEX(Avulsos!$B$6:$B$205,$C1132)),INDEX(Avulsos!$B$6:$B$205,$C1132),""))</f>
        <v/>
      </c>
      <c r="F1132" s="114" t="str">
        <f aca="false">IF($E1132="","",IF($B1132="Tema",INDEX(Temas!$B$6:$B$305,$C1132)&amp;"",INDEX(Avulsos!$C$6:$C$205,$C1132)&amp;""))</f>
        <v/>
      </c>
      <c r="G1132" s="114" t="str">
        <f aca="false">IF($E1132="","",IF($B1132="Tema",INDEX(Config!$C$6:$C$11,$D1132),"Evento avulso"))</f>
        <v/>
      </c>
      <c r="H1132" s="114" t="str">
        <f aca="false">IF($E1132="","",IF($B1132="Tema",INDEX(Config!$D$6:$D$11,$D1132),IFERROR(INDEX(Config!$E$15:$E$19,MATCH($I1132,Config!$C$15:$C$19,0)),"•")))</f>
        <v/>
      </c>
      <c r="I1132" s="114" t="str">
        <f aca="false">IF($E1132="","",IF($B1132="Tema",INDEX(Config!$E$6:$E$11,$D1132),IF(INDEX(Avulsos!$D$6:$D$205,$C1132)&amp;""="","Outro",INDEX(Avulsos!$D$6:$D$205,$C1132))))</f>
        <v/>
      </c>
      <c r="J1132" s="114" t="str">
        <f aca="false">IF($E1132="","",IF($B1132="Tema",INDEX(Temas!$C$6:$C$305,$C1132)&amp;"",INDEX(Avulsos!$E$6:$E$205,$C1132)&amp;""))</f>
        <v/>
      </c>
      <c r="K1132" s="114" t="str">
        <f aca="false">IF($E1132="","",IF(IF($B1132="Tema",INDEX(Temas!$E$6:$P$305,$C1132,2*$D1132),INDEX(Avulsos!$F$6:$F$205,$C1132))&amp;""="","","✓"))</f>
        <v/>
      </c>
      <c r="L1132" s="114" t="str">
        <f aca="true">IF($E1132="","",IF($K1132="✓","Concluído",IF($E1132&lt;TODAY(),"Atrasado",IF($E1132=TODAY(),"Hoje","Pendente"))))</f>
        <v/>
      </c>
      <c r="M1132" s="114" t="str">
        <f aca="false">IF($E1132="","",IF($K1132="✓","✓ ","")&amp;IF(Config!$E$22="Sim",$H1132&amp;" · ","")&amp;$F1132)</f>
        <v/>
      </c>
      <c r="N1132" s="114" t="str">
        <f aca="false">IF($E1132="","",IFERROR(INDEX(Config!$D$15:$D$19,MATCH($I1132,Config!$C$15:$C$19,0)),"OUT")&amp;IF($K1132="✓","x",""))</f>
        <v/>
      </c>
      <c r="O1132" s="114" t="str">
        <f aca="false">IF($E1132="","",COUNTIF($E$5:$E1132,$E1132))</f>
        <v/>
      </c>
      <c r="P1132" s="114" t="str">
        <f aca="false">IF($E1132="","",$E1132*100+$O1132)</f>
        <v/>
      </c>
      <c r="Q1132" s="114" t="str">
        <f aca="false">IF($L1132="Atrasado",$E1132*10000+$A1132,"")</f>
        <v/>
      </c>
    </row>
    <row r="1133" customFormat="false" ht="15" hidden="false" customHeight="false" outlineLevel="0" collapsed="false">
      <c r="A1133" s="114" t="n">
        <f aca="false">ROW()-4</f>
        <v>1129</v>
      </c>
      <c r="B1133" s="114" t="str">
        <f aca="false">IF(A1133&lt;=Config!$E$27*Config!$E$28,"Tema","Avulso")</f>
        <v>Tema</v>
      </c>
      <c r="C1133" s="114" t="n">
        <f aca="false">IF(B1133="Tema",INT((A1133-1)/Config!$E$28)+1,A1133-Config!$E$27*Config!$E$28)</f>
        <v>189</v>
      </c>
      <c r="D1133" s="114" t="n">
        <f aca="false">IF(B1133="Tema",MOD(A1133-1,Config!$E$28)+1,"")</f>
        <v>1</v>
      </c>
      <c r="E1133" s="115" t="str">
        <f aca="false">IF($B1133="Tema",IF(ISNUMBER(INDEX(Temas!$E$6:$P$305,$C1133,2*$D1133-1)),INDEX(Temas!$E$6:$P$305,$C1133,2*$D1133-1),""),IF(ISNUMBER(INDEX(Avulsos!$B$6:$B$205,$C1133)),INDEX(Avulsos!$B$6:$B$205,$C1133),""))</f>
        <v/>
      </c>
      <c r="F1133" s="114" t="str">
        <f aca="false">IF($E1133="","",IF($B1133="Tema",INDEX(Temas!$B$6:$B$305,$C1133)&amp;"",INDEX(Avulsos!$C$6:$C$205,$C1133)&amp;""))</f>
        <v/>
      </c>
      <c r="G1133" s="114" t="str">
        <f aca="false">IF($E1133="","",IF($B1133="Tema",INDEX(Config!$C$6:$C$11,$D1133),"Evento avulso"))</f>
        <v/>
      </c>
      <c r="H1133" s="114" t="str">
        <f aca="false">IF($E1133="","",IF($B1133="Tema",INDEX(Config!$D$6:$D$11,$D1133),IFERROR(INDEX(Config!$E$15:$E$19,MATCH($I1133,Config!$C$15:$C$19,0)),"•")))</f>
        <v/>
      </c>
      <c r="I1133" s="114" t="str">
        <f aca="false">IF($E1133="","",IF($B1133="Tema",INDEX(Config!$E$6:$E$11,$D1133),IF(INDEX(Avulsos!$D$6:$D$205,$C1133)&amp;""="","Outro",INDEX(Avulsos!$D$6:$D$205,$C1133))))</f>
        <v/>
      </c>
      <c r="J1133" s="114" t="str">
        <f aca="false">IF($E1133="","",IF($B1133="Tema",INDEX(Temas!$C$6:$C$305,$C1133)&amp;"",INDEX(Avulsos!$E$6:$E$205,$C1133)&amp;""))</f>
        <v/>
      </c>
      <c r="K1133" s="114" t="str">
        <f aca="false">IF($E1133="","",IF(IF($B1133="Tema",INDEX(Temas!$E$6:$P$305,$C1133,2*$D1133),INDEX(Avulsos!$F$6:$F$205,$C1133))&amp;""="","","✓"))</f>
        <v/>
      </c>
      <c r="L1133" s="114" t="str">
        <f aca="true">IF($E1133="","",IF($K1133="✓","Concluído",IF($E1133&lt;TODAY(),"Atrasado",IF($E1133=TODAY(),"Hoje","Pendente"))))</f>
        <v/>
      </c>
      <c r="M1133" s="114" t="str">
        <f aca="false">IF($E1133="","",IF($K1133="✓","✓ ","")&amp;IF(Config!$E$22="Sim",$H1133&amp;" · ","")&amp;$F1133)</f>
        <v/>
      </c>
      <c r="N1133" s="114" t="str">
        <f aca="false">IF($E1133="","",IFERROR(INDEX(Config!$D$15:$D$19,MATCH($I1133,Config!$C$15:$C$19,0)),"OUT")&amp;IF($K1133="✓","x",""))</f>
        <v/>
      </c>
      <c r="O1133" s="114" t="str">
        <f aca="false">IF($E1133="","",COUNTIF($E$5:$E1133,$E1133))</f>
        <v/>
      </c>
      <c r="P1133" s="114" t="str">
        <f aca="false">IF($E1133="","",$E1133*100+$O1133)</f>
        <v/>
      </c>
      <c r="Q1133" s="114" t="str">
        <f aca="false">IF($L1133="Atrasado",$E1133*10000+$A1133,"")</f>
        <v/>
      </c>
    </row>
    <row r="1134" customFormat="false" ht="15" hidden="false" customHeight="false" outlineLevel="0" collapsed="false">
      <c r="A1134" s="114" t="n">
        <f aca="false">ROW()-4</f>
        <v>1130</v>
      </c>
      <c r="B1134" s="114" t="str">
        <f aca="false">IF(A1134&lt;=Config!$E$27*Config!$E$28,"Tema","Avulso")</f>
        <v>Tema</v>
      </c>
      <c r="C1134" s="114" t="n">
        <f aca="false">IF(B1134="Tema",INT((A1134-1)/Config!$E$28)+1,A1134-Config!$E$27*Config!$E$28)</f>
        <v>189</v>
      </c>
      <c r="D1134" s="114" t="n">
        <f aca="false">IF(B1134="Tema",MOD(A1134-1,Config!$E$28)+1,"")</f>
        <v>2</v>
      </c>
      <c r="E1134" s="115" t="str">
        <f aca="false">IF($B1134="Tema",IF(ISNUMBER(INDEX(Temas!$E$6:$P$305,$C1134,2*$D1134-1)),INDEX(Temas!$E$6:$P$305,$C1134,2*$D1134-1),""),IF(ISNUMBER(INDEX(Avulsos!$B$6:$B$205,$C1134)),INDEX(Avulsos!$B$6:$B$205,$C1134),""))</f>
        <v/>
      </c>
      <c r="F1134" s="114" t="str">
        <f aca="false">IF($E1134="","",IF($B1134="Tema",INDEX(Temas!$B$6:$B$305,$C1134)&amp;"",INDEX(Avulsos!$C$6:$C$205,$C1134)&amp;""))</f>
        <v/>
      </c>
      <c r="G1134" s="114" t="str">
        <f aca="false">IF($E1134="","",IF($B1134="Tema",INDEX(Config!$C$6:$C$11,$D1134),"Evento avulso"))</f>
        <v/>
      </c>
      <c r="H1134" s="114" t="str">
        <f aca="false">IF($E1134="","",IF($B1134="Tema",INDEX(Config!$D$6:$D$11,$D1134),IFERROR(INDEX(Config!$E$15:$E$19,MATCH($I1134,Config!$C$15:$C$19,0)),"•")))</f>
        <v/>
      </c>
      <c r="I1134" s="114" t="str">
        <f aca="false">IF($E1134="","",IF($B1134="Tema",INDEX(Config!$E$6:$E$11,$D1134),IF(INDEX(Avulsos!$D$6:$D$205,$C1134)&amp;""="","Outro",INDEX(Avulsos!$D$6:$D$205,$C1134))))</f>
        <v/>
      </c>
      <c r="J1134" s="114" t="str">
        <f aca="false">IF($E1134="","",IF($B1134="Tema",INDEX(Temas!$C$6:$C$305,$C1134)&amp;"",INDEX(Avulsos!$E$6:$E$205,$C1134)&amp;""))</f>
        <v/>
      </c>
      <c r="K1134" s="114" t="str">
        <f aca="false">IF($E1134="","",IF(IF($B1134="Tema",INDEX(Temas!$E$6:$P$305,$C1134,2*$D1134),INDEX(Avulsos!$F$6:$F$205,$C1134))&amp;""="","","✓"))</f>
        <v/>
      </c>
      <c r="L1134" s="114" t="str">
        <f aca="true">IF($E1134="","",IF($K1134="✓","Concluído",IF($E1134&lt;TODAY(),"Atrasado",IF($E1134=TODAY(),"Hoje","Pendente"))))</f>
        <v/>
      </c>
      <c r="M1134" s="114" t="str">
        <f aca="false">IF($E1134="","",IF($K1134="✓","✓ ","")&amp;IF(Config!$E$22="Sim",$H1134&amp;" · ","")&amp;$F1134)</f>
        <v/>
      </c>
      <c r="N1134" s="114" t="str">
        <f aca="false">IF($E1134="","",IFERROR(INDEX(Config!$D$15:$D$19,MATCH($I1134,Config!$C$15:$C$19,0)),"OUT")&amp;IF($K1134="✓","x",""))</f>
        <v/>
      </c>
      <c r="O1134" s="114" t="str">
        <f aca="false">IF($E1134="","",COUNTIF($E$5:$E1134,$E1134))</f>
        <v/>
      </c>
      <c r="P1134" s="114" t="str">
        <f aca="false">IF($E1134="","",$E1134*100+$O1134)</f>
        <v/>
      </c>
      <c r="Q1134" s="114" t="str">
        <f aca="false">IF($L1134="Atrasado",$E1134*10000+$A1134,"")</f>
        <v/>
      </c>
    </row>
    <row r="1135" customFormat="false" ht="15" hidden="false" customHeight="false" outlineLevel="0" collapsed="false">
      <c r="A1135" s="114" t="n">
        <f aca="false">ROW()-4</f>
        <v>1131</v>
      </c>
      <c r="B1135" s="114" t="str">
        <f aca="false">IF(A1135&lt;=Config!$E$27*Config!$E$28,"Tema","Avulso")</f>
        <v>Tema</v>
      </c>
      <c r="C1135" s="114" t="n">
        <f aca="false">IF(B1135="Tema",INT((A1135-1)/Config!$E$28)+1,A1135-Config!$E$27*Config!$E$28)</f>
        <v>189</v>
      </c>
      <c r="D1135" s="114" t="n">
        <f aca="false">IF(B1135="Tema",MOD(A1135-1,Config!$E$28)+1,"")</f>
        <v>3</v>
      </c>
      <c r="E1135" s="115" t="str">
        <f aca="false">IF($B1135="Tema",IF(ISNUMBER(INDEX(Temas!$E$6:$P$305,$C1135,2*$D1135-1)),INDEX(Temas!$E$6:$P$305,$C1135,2*$D1135-1),""),IF(ISNUMBER(INDEX(Avulsos!$B$6:$B$205,$C1135)),INDEX(Avulsos!$B$6:$B$205,$C1135),""))</f>
        <v/>
      </c>
      <c r="F1135" s="114" t="str">
        <f aca="false">IF($E1135="","",IF($B1135="Tema",INDEX(Temas!$B$6:$B$305,$C1135)&amp;"",INDEX(Avulsos!$C$6:$C$205,$C1135)&amp;""))</f>
        <v/>
      </c>
      <c r="G1135" s="114" t="str">
        <f aca="false">IF($E1135="","",IF($B1135="Tema",INDEX(Config!$C$6:$C$11,$D1135),"Evento avulso"))</f>
        <v/>
      </c>
      <c r="H1135" s="114" t="str">
        <f aca="false">IF($E1135="","",IF($B1135="Tema",INDEX(Config!$D$6:$D$11,$D1135),IFERROR(INDEX(Config!$E$15:$E$19,MATCH($I1135,Config!$C$15:$C$19,0)),"•")))</f>
        <v/>
      </c>
      <c r="I1135" s="114" t="str">
        <f aca="false">IF($E1135="","",IF($B1135="Tema",INDEX(Config!$E$6:$E$11,$D1135),IF(INDEX(Avulsos!$D$6:$D$205,$C1135)&amp;""="","Outro",INDEX(Avulsos!$D$6:$D$205,$C1135))))</f>
        <v/>
      </c>
      <c r="J1135" s="114" t="str">
        <f aca="false">IF($E1135="","",IF($B1135="Tema",INDEX(Temas!$C$6:$C$305,$C1135)&amp;"",INDEX(Avulsos!$E$6:$E$205,$C1135)&amp;""))</f>
        <v/>
      </c>
      <c r="K1135" s="114" t="str">
        <f aca="false">IF($E1135="","",IF(IF($B1135="Tema",INDEX(Temas!$E$6:$P$305,$C1135,2*$D1135),INDEX(Avulsos!$F$6:$F$205,$C1135))&amp;""="","","✓"))</f>
        <v/>
      </c>
      <c r="L1135" s="114" t="str">
        <f aca="true">IF($E1135="","",IF($K1135="✓","Concluído",IF($E1135&lt;TODAY(),"Atrasado",IF($E1135=TODAY(),"Hoje","Pendente"))))</f>
        <v/>
      </c>
      <c r="M1135" s="114" t="str">
        <f aca="false">IF($E1135="","",IF($K1135="✓","✓ ","")&amp;IF(Config!$E$22="Sim",$H1135&amp;" · ","")&amp;$F1135)</f>
        <v/>
      </c>
      <c r="N1135" s="114" t="str">
        <f aca="false">IF($E1135="","",IFERROR(INDEX(Config!$D$15:$D$19,MATCH($I1135,Config!$C$15:$C$19,0)),"OUT")&amp;IF($K1135="✓","x",""))</f>
        <v/>
      </c>
      <c r="O1135" s="114" t="str">
        <f aca="false">IF($E1135="","",COUNTIF($E$5:$E1135,$E1135))</f>
        <v/>
      </c>
      <c r="P1135" s="114" t="str">
        <f aca="false">IF($E1135="","",$E1135*100+$O1135)</f>
        <v/>
      </c>
      <c r="Q1135" s="114" t="str">
        <f aca="false">IF($L1135="Atrasado",$E1135*10000+$A1135,"")</f>
        <v/>
      </c>
    </row>
    <row r="1136" customFormat="false" ht="15" hidden="false" customHeight="false" outlineLevel="0" collapsed="false">
      <c r="A1136" s="114" t="n">
        <f aca="false">ROW()-4</f>
        <v>1132</v>
      </c>
      <c r="B1136" s="114" t="str">
        <f aca="false">IF(A1136&lt;=Config!$E$27*Config!$E$28,"Tema","Avulso")</f>
        <v>Tema</v>
      </c>
      <c r="C1136" s="114" t="n">
        <f aca="false">IF(B1136="Tema",INT((A1136-1)/Config!$E$28)+1,A1136-Config!$E$27*Config!$E$28)</f>
        <v>189</v>
      </c>
      <c r="D1136" s="114" t="n">
        <f aca="false">IF(B1136="Tema",MOD(A1136-1,Config!$E$28)+1,"")</f>
        <v>4</v>
      </c>
      <c r="E1136" s="115" t="str">
        <f aca="false">IF($B1136="Tema",IF(ISNUMBER(INDEX(Temas!$E$6:$P$305,$C1136,2*$D1136-1)),INDEX(Temas!$E$6:$P$305,$C1136,2*$D1136-1),""),IF(ISNUMBER(INDEX(Avulsos!$B$6:$B$205,$C1136)),INDEX(Avulsos!$B$6:$B$205,$C1136),""))</f>
        <v/>
      </c>
      <c r="F1136" s="114" t="str">
        <f aca="false">IF($E1136="","",IF($B1136="Tema",INDEX(Temas!$B$6:$B$305,$C1136)&amp;"",INDEX(Avulsos!$C$6:$C$205,$C1136)&amp;""))</f>
        <v/>
      </c>
      <c r="G1136" s="114" t="str">
        <f aca="false">IF($E1136="","",IF($B1136="Tema",INDEX(Config!$C$6:$C$11,$D1136),"Evento avulso"))</f>
        <v/>
      </c>
      <c r="H1136" s="114" t="str">
        <f aca="false">IF($E1136="","",IF($B1136="Tema",INDEX(Config!$D$6:$D$11,$D1136),IFERROR(INDEX(Config!$E$15:$E$19,MATCH($I1136,Config!$C$15:$C$19,0)),"•")))</f>
        <v/>
      </c>
      <c r="I1136" s="114" t="str">
        <f aca="false">IF($E1136="","",IF($B1136="Tema",INDEX(Config!$E$6:$E$11,$D1136),IF(INDEX(Avulsos!$D$6:$D$205,$C1136)&amp;""="","Outro",INDEX(Avulsos!$D$6:$D$205,$C1136))))</f>
        <v/>
      </c>
      <c r="J1136" s="114" t="str">
        <f aca="false">IF($E1136="","",IF($B1136="Tema",INDEX(Temas!$C$6:$C$305,$C1136)&amp;"",INDEX(Avulsos!$E$6:$E$205,$C1136)&amp;""))</f>
        <v/>
      </c>
      <c r="K1136" s="114" t="str">
        <f aca="false">IF($E1136="","",IF(IF($B1136="Tema",INDEX(Temas!$E$6:$P$305,$C1136,2*$D1136),INDEX(Avulsos!$F$6:$F$205,$C1136))&amp;""="","","✓"))</f>
        <v/>
      </c>
      <c r="L1136" s="114" t="str">
        <f aca="true">IF($E1136="","",IF($K1136="✓","Concluído",IF($E1136&lt;TODAY(),"Atrasado",IF($E1136=TODAY(),"Hoje","Pendente"))))</f>
        <v/>
      </c>
      <c r="M1136" s="114" t="str">
        <f aca="false">IF($E1136="","",IF($K1136="✓","✓ ","")&amp;IF(Config!$E$22="Sim",$H1136&amp;" · ","")&amp;$F1136)</f>
        <v/>
      </c>
      <c r="N1136" s="114" t="str">
        <f aca="false">IF($E1136="","",IFERROR(INDEX(Config!$D$15:$D$19,MATCH($I1136,Config!$C$15:$C$19,0)),"OUT")&amp;IF($K1136="✓","x",""))</f>
        <v/>
      </c>
      <c r="O1136" s="114" t="str">
        <f aca="false">IF($E1136="","",COUNTIF($E$5:$E1136,$E1136))</f>
        <v/>
      </c>
      <c r="P1136" s="114" t="str">
        <f aca="false">IF($E1136="","",$E1136*100+$O1136)</f>
        <v/>
      </c>
      <c r="Q1136" s="114" t="str">
        <f aca="false">IF($L1136="Atrasado",$E1136*10000+$A1136,"")</f>
        <v/>
      </c>
    </row>
    <row r="1137" customFormat="false" ht="15" hidden="false" customHeight="false" outlineLevel="0" collapsed="false">
      <c r="A1137" s="114" t="n">
        <f aca="false">ROW()-4</f>
        <v>1133</v>
      </c>
      <c r="B1137" s="114" t="str">
        <f aca="false">IF(A1137&lt;=Config!$E$27*Config!$E$28,"Tema","Avulso")</f>
        <v>Tema</v>
      </c>
      <c r="C1137" s="114" t="n">
        <f aca="false">IF(B1137="Tema",INT((A1137-1)/Config!$E$28)+1,A1137-Config!$E$27*Config!$E$28)</f>
        <v>189</v>
      </c>
      <c r="D1137" s="114" t="n">
        <f aca="false">IF(B1137="Tema",MOD(A1137-1,Config!$E$28)+1,"")</f>
        <v>5</v>
      </c>
      <c r="E1137" s="115" t="str">
        <f aca="false">IF($B1137="Tema",IF(ISNUMBER(INDEX(Temas!$E$6:$P$305,$C1137,2*$D1137-1)),INDEX(Temas!$E$6:$P$305,$C1137,2*$D1137-1),""),IF(ISNUMBER(INDEX(Avulsos!$B$6:$B$205,$C1137)),INDEX(Avulsos!$B$6:$B$205,$C1137),""))</f>
        <v/>
      </c>
      <c r="F1137" s="114" t="str">
        <f aca="false">IF($E1137="","",IF($B1137="Tema",INDEX(Temas!$B$6:$B$305,$C1137)&amp;"",INDEX(Avulsos!$C$6:$C$205,$C1137)&amp;""))</f>
        <v/>
      </c>
      <c r="G1137" s="114" t="str">
        <f aca="false">IF($E1137="","",IF($B1137="Tema",INDEX(Config!$C$6:$C$11,$D1137),"Evento avulso"))</f>
        <v/>
      </c>
      <c r="H1137" s="114" t="str">
        <f aca="false">IF($E1137="","",IF($B1137="Tema",INDEX(Config!$D$6:$D$11,$D1137),IFERROR(INDEX(Config!$E$15:$E$19,MATCH($I1137,Config!$C$15:$C$19,0)),"•")))</f>
        <v/>
      </c>
      <c r="I1137" s="114" t="str">
        <f aca="false">IF($E1137="","",IF($B1137="Tema",INDEX(Config!$E$6:$E$11,$D1137),IF(INDEX(Avulsos!$D$6:$D$205,$C1137)&amp;""="","Outro",INDEX(Avulsos!$D$6:$D$205,$C1137))))</f>
        <v/>
      </c>
      <c r="J1137" s="114" t="str">
        <f aca="false">IF($E1137="","",IF($B1137="Tema",INDEX(Temas!$C$6:$C$305,$C1137)&amp;"",INDEX(Avulsos!$E$6:$E$205,$C1137)&amp;""))</f>
        <v/>
      </c>
      <c r="K1137" s="114" t="str">
        <f aca="false">IF($E1137="","",IF(IF($B1137="Tema",INDEX(Temas!$E$6:$P$305,$C1137,2*$D1137),INDEX(Avulsos!$F$6:$F$205,$C1137))&amp;""="","","✓"))</f>
        <v/>
      </c>
      <c r="L1137" s="114" t="str">
        <f aca="true">IF($E1137="","",IF($K1137="✓","Concluído",IF($E1137&lt;TODAY(),"Atrasado",IF($E1137=TODAY(),"Hoje","Pendente"))))</f>
        <v/>
      </c>
      <c r="M1137" s="114" t="str">
        <f aca="false">IF($E1137="","",IF($K1137="✓","✓ ","")&amp;IF(Config!$E$22="Sim",$H1137&amp;" · ","")&amp;$F1137)</f>
        <v/>
      </c>
      <c r="N1137" s="114" t="str">
        <f aca="false">IF($E1137="","",IFERROR(INDEX(Config!$D$15:$D$19,MATCH($I1137,Config!$C$15:$C$19,0)),"OUT")&amp;IF($K1137="✓","x",""))</f>
        <v/>
      </c>
      <c r="O1137" s="114" t="str">
        <f aca="false">IF($E1137="","",COUNTIF($E$5:$E1137,$E1137))</f>
        <v/>
      </c>
      <c r="P1137" s="114" t="str">
        <f aca="false">IF($E1137="","",$E1137*100+$O1137)</f>
        <v/>
      </c>
      <c r="Q1137" s="114" t="str">
        <f aca="false">IF($L1137="Atrasado",$E1137*10000+$A1137,"")</f>
        <v/>
      </c>
    </row>
    <row r="1138" customFormat="false" ht="15" hidden="false" customHeight="false" outlineLevel="0" collapsed="false">
      <c r="A1138" s="114" t="n">
        <f aca="false">ROW()-4</f>
        <v>1134</v>
      </c>
      <c r="B1138" s="114" t="str">
        <f aca="false">IF(A1138&lt;=Config!$E$27*Config!$E$28,"Tema","Avulso")</f>
        <v>Tema</v>
      </c>
      <c r="C1138" s="114" t="n">
        <f aca="false">IF(B1138="Tema",INT((A1138-1)/Config!$E$28)+1,A1138-Config!$E$27*Config!$E$28)</f>
        <v>189</v>
      </c>
      <c r="D1138" s="114" t="n">
        <f aca="false">IF(B1138="Tema",MOD(A1138-1,Config!$E$28)+1,"")</f>
        <v>6</v>
      </c>
      <c r="E1138" s="115" t="str">
        <f aca="false">IF($B1138="Tema",IF(ISNUMBER(INDEX(Temas!$E$6:$P$305,$C1138,2*$D1138-1)),INDEX(Temas!$E$6:$P$305,$C1138,2*$D1138-1),""),IF(ISNUMBER(INDEX(Avulsos!$B$6:$B$205,$C1138)),INDEX(Avulsos!$B$6:$B$205,$C1138),""))</f>
        <v/>
      </c>
      <c r="F1138" s="114" t="str">
        <f aca="false">IF($E1138="","",IF($B1138="Tema",INDEX(Temas!$B$6:$B$305,$C1138)&amp;"",INDEX(Avulsos!$C$6:$C$205,$C1138)&amp;""))</f>
        <v/>
      </c>
      <c r="G1138" s="114" t="str">
        <f aca="false">IF($E1138="","",IF($B1138="Tema",INDEX(Config!$C$6:$C$11,$D1138),"Evento avulso"))</f>
        <v/>
      </c>
      <c r="H1138" s="114" t="str">
        <f aca="false">IF($E1138="","",IF($B1138="Tema",INDEX(Config!$D$6:$D$11,$D1138),IFERROR(INDEX(Config!$E$15:$E$19,MATCH($I1138,Config!$C$15:$C$19,0)),"•")))</f>
        <v/>
      </c>
      <c r="I1138" s="114" t="str">
        <f aca="false">IF($E1138="","",IF($B1138="Tema",INDEX(Config!$E$6:$E$11,$D1138),IF(INDEX(Avulsos!$D$6:$D$205,$C1138)&amp;""="","Outro",INDEX(Avulsos!$D$6:$D$205,$C1138))))</f>
        <v/>
      </c>
      <c r="J1138" s="114" t="str">
        <f aca="false">IF($E1138="","",IF($B1138="Tema",INDEX(Temas!$C$6:$C$305,$C1138)&amp;"",INDEX(Avulsos!$E$6:$E$205,$C1138)&amp;""))</f>
        <v/>
      </c>
      <c r="K1138" s="114" t="str">
        <f aca="false">IF($E1138="","",IF(IF($B1138="Tema",INDEX(Temas!$E$6:$P$305,$C1138,2*$D1138),INDEX(Avulsos!$F$6:$F$205,$C1138))&amp;""="","","✓"))</f>
        <v/>
      </c>
      <c r="L1138" s="114" t="str">
        <f aca="true">IF($E1138="","",IF($K1138="✓","Concluído",IF($E1138&lt;TODAY(),"Atrasado",IF($E1138=TODAY(),"Hoje","Pendente"))))</f>
        <v/>
      </c>
      <c r="M1138" s="114" t="str">
        <f aca="false">IF($E1138="","",IF($K1138="✓","✓ ","")&amp;IF(Config!$E$22="Sim",$H1138&amp;" · ","")&amp;$F1138)</f>
        <v/>
      </c>
      <c r="N1138" s="114" t="str">
        <f aca="false">IF($E1138="","",IFERROR(INDEX(Config!$D$15:$D$19,MATCH($I1138,Config!$C$15:$C$19,0)),"OUT")&amp;IF($K1138="✓","x",""))</f>
        <v/>
      </c>
      <c r="O1138" s="114" t="str">
        <f aca="false">IF($E1138="","",COUNTIF($E$5:$E1138,$E1138))</f>
        <v/>
      </c>
      <c r="P1138" s="114" t="str">
        <f aca="false">IF($E1138="","",$E1138*100+$O1138)</f>
        <v/>
      </c>
      <c r="Q1138" s="114" t="str">
        <f aca="false">IF($L1138="Atrasado",$E1138*10000+$A1138,"")</f>
        <v/>
      </c>
    </row>
    <row r="1139" customFormat="false" ht="15" hidden="false" customHeight="false" outlineLevel="0" collapsed="false">
      <c r="A1139" s="114" t="n">
        <f aca="false">ROW()-4</f>
        <v>1135</v>
      </c>
      <c r="B1139" s="114" t="str">
        <f aca="false">IF(A1139&lt;=Config!$E$27*Config!$E$28,"Tema","Avulso")</f>
        <v>Tema</v>
      </c>
      <c r="C1139" s="114" t="n">
        <f aca="false">IF(B1139="Tema",INT((A1139-1)/Config!$E$28)+1,A1139-Config!$E$27*Config!$E$28)</f>
        <v>190</v>
      </c>
      <c r="D1139" s="114" t="n">
        <f aca="false">IF(B1139="Tema",MOD(A1139-1,Config!$E$28)+1,"")</f>
        <v>1</v>
      </c>
      <c r="E1139" s="115" t="str">
        <f aca="false">IF($B1139="Tema",IF(ISNUMBER(INDEX(Temas!$E$6:$P$305,$C1139,2*$D1139-1)),INDEX(Temas!$E$6:$P$305,$C1139,2*$D1139-1),""),IF(ISNUMBER(INDEX(Avulsos!$B$6:$B$205,$C1139)),INDEX(Avulsos!$B$6:$B$205,$C1139),""))</f>
        <v/>
      </c>
      <c r="F1139" s="114" t="str">
        <f aca="false">IF($E1139="","",IF($B1139="Tema",INDEX(Temas!$B$6:$B$305,$C1139)&amp;"",INDEX(Avulsos!$C$6:$C$205,$C1139)&amp;""))</f>
        <v/>
      </c>
      <c r="G1139" s="114" t="str">
        <f aca="false">IF($E1139="","",IF($B1139="Tema",INDEX(Config!$C$6:$C$11,$D1139),"Evento avulso"))</f>
        <v/>
      </c>
      <c r="H1139" s="114" t="str">
        <f aca="false">IF($E1139="","",IF($B1139="Tema",INDEX(Config!$D$6:$D$11,$D1139),IFERROR(INDEX(Config!$E$15:$E$19,MATCH($I1139,Config!$C$15:$C$19,0)),"•")))</f>
        <v/>
      </c>
      <c r="I1139" s="114" t="str">
        <f aca="false">IF($E1139="","",IF($B1139="Tema",INDEX(Config!$E$6:$E$11,$D1139),IF(INDEX(Avulsos!$D$6:$D$205,$C1139)&amp;""="","Outro",INDEX(Avulsos!$D$6:$D$205,$C1139))))</f>
        <v/>
      </c>
      <c r="J1139" s="114" t="str">
        <f aca="false">IF($E1139="","",IF($B1139="Tema",INDEX(Temas!$C$6:$C$305,$C1139)&amp;"",INDEX(Avulsos!$E$6:$E$205,$C1139)&amp;""))</f>
        <v/>
      </c>
      <c r="K1139" s="114" t="str">
        <f aca="false">IF($E1139="","",IF(IF($B1139="Tema",INDEX(Temas!$E$6:$P$305,$C1139,2*$D1139),INDEX(Avulsos!$F$6:$F$205,$C1139))&amp;""="","","✓"))</f>
        <v/>
      </c>
      <c r="L1139" s="114" t="str">
        <f aca="true">IF($E1139="","",IF($K1139="✓","Concluído",IF($E1139&lt;TODAY(),"Atrasado",IF($E1139=TODAY(),"Hoje","Pendente"))))</f>
        <v/>
      </c>
      <c r="M1139" s="114" t="str">
        <f aca="false">IF($E1139="","",IF($K1139="✓","✓ ","")&amp;IF(Config!$E$22="Sim",$H1139&amp;" · ","")&amp;$F1139)</f>
        <v/>
      </c>
      <c r="N1139" s="114" t="str">
        <f aca="false">IF($E1139="","",IFERROR(INDEX(Config!$D$15:$D$19,MATCH($I1139,Config!$C$15:$C$19,0)),"OUT")&amp;IF($K1139="✓","x",""))</f>
        <v/>
      </c>
      <c r="O1139" s="114" t="str">
        <f aca="false">IF($E1139="","",COUNTIF($E$5:$E1139,$E1139))</f>
        <v/>
      </c>
      <c r="P1139" s="114" t="str">
        <f aca="false">IF($E1139="","",$E1139*100+$O1139)</f>
        <v/>
      </c>
      <c r="Q1139" s="114" t="str">
        <f aca="false">IF($L1139="Atrasado",$E1139*10000+$A1139,"")</f>
        <v/>
      </c>
    </row>
    <row r="1140" customFormat="false" ht="15" hidden="false" customHeight="false" outlineLevel="0" collapsed="false">
      <c r="A1140" s="114" t="n">
        <f aca="false">ROW()-4</f>
        <v>1136</v>
      </c>
      <c r="B1140" s="114" t="str">
        <f aca="false">IF(A1140&lt;=Config!$E$27*Config!$E$28,"Tema","Avulso")</f>
        <v>Tema</v>
      </c>
      <c r="C1140" s="114" t="n">
        <f aca="false">IF(B1140="Tema",INT((A1140-1)/Config!$E$28)+1,A1140-Config!$E$27*Config!$E$28)</f>
        <v>190</v>
      </c>
      <c r="D1140" s="114" t="n">
        <f aca="false">IF(B1140="Tema",MOD(A1140-1,Config!$E$28)+1,"")</f>
        <v>2</v>
      </c>
      <c r="E1140" s="115" t="str">
        <f aca="false">IF($B1140="Tema",IF(ISNUMBER(INDEX(Temas!$E$6:$P$305,$C1140,2*$D1140-1)),INDEX(Temas!$E$6:$P$305,$C1140,2*$D1140-1),""),IF(ISNUMBER(INDEX(Avulsos!$B$6:$B$205,$C1140)),INDEX(Avulsos!$B$6:$B$205,$C1140),""))</f>
        <v/>
      </c>
      <c r="F1140" s="114" t="str">
        <f aca="false">IF($E1140="","",IF($B1140="Tema",INDEX(Temas!$B$6:$B$305,$C1140)&amp;"",INDEX(Avulsos!$C$6:$C$205,$C1140)&amp;""))</f>
        <v/>
      </c>
      <c r="G1140" s="114" t="str">
        <f aca="false">IF($E1140="","",IF($B1140="Tema",INDEX(Config!$C$6:$C$11,$D1140),"Evento avulso"))</f>
        <v/>
      </c>
      <c r="H1140" s="114" t="str">
        <f aca="false">IF($E1140="","",IF($B1140="Tema",INDEX(Config!$D$6:$D$11,$D1140),IFERROR(INDEX(Config!$E$15:$E$19,MATCH($I1140,Config!$C$15:$C$19,0)),"•")))</f>
        <v/>
      </c>
      <c r="I1140" s="114" t="str">
        <f aca="false">IF($E1140="","",IF($B1140="Tema",INDEX(Config!$E$6:$E$11,$D1140),IF(INDEX(Avulsos!$D$6:$D$205,$C1140)&amp;""="","Outro",INDEX(Avulsos!$D$6:$D$205,$C1140))))</f>
        <v/>
      </c>
      <c r="J1140" s="114" t="str">
        <f aca="false">IF($E1140="","",IF($B1140="Tema",INDEX(Temas!$C$6:$C$305,$C1140)&amp;"",INDEX(Avulsos!$E$6:$E$205,$C1140)&amp;""))</f>
        <v/>
      </c>
      <c r="K1140" s="114" t="str">
        <f aca="false">IF($E1140="","",IF(IF($B1140="Tema",INDEX(Temas!$E$6:$P$305,$C1140,2*$D1140),INDEX(Avulsos!$F$6:$F$205,$C1140))&amp;""="","","✓"))</f>
        <v/>
      </c>
      <c r="L1140" s="114" t="str">
        <f aca="true">IF($E1140="","",IF($K1140="✓","Concluído",IF($E1140&lt;TODAY(),"Atrasado",IF($E1140=TODAY(),"Hoje","Pendente"))))</f>
        <v/>
      </c>
      <c r="M1140" s="114" t="str">
        <f aca="false">IF($E1140="","",IF($K1140="✓","✓ ","")&amp;IF(Config!$E$22="Sim",$H1140&amp;" · ","")&amp;$F1140)</f>
        <v/>
      </c>
      <c r="N1140" s="114" t="str">
        <f aca="false">IF($E1140="","",IFERROR(INDEX(Config!$D$15:$D$19,MATCH($I1140,Config!$C$15:$C$19,0)),"OUT")&amp;IF($K1140="✓","x",""))</f>
        <v/>
      </c>
      <c r="O1140" s="114" t="str">
        <f aca="false">IF($E1140="","",COUNTIF($E$5:$E1140,$E1140))</f>
        <v/>
      </c>
      <c r="P1140" s="114" t="str">
        <f aca="false">IF($E1140="","",$E1140*100+$O1140)</f>
        <v/>
      </c>
      <c r="Q1140" s="114" t="str">
        <f aca="false">IF($L1140="Atrasado",$E1140*10000+$A1140,"")</f>
        <v/>
      </c>
    </row>
    <row r="1141" customFormat="false" ht="15" hidden="false" customHeight="false" outlineLevel="0" collapsed="false">
      <c r="A1141" s="114" t="n">
        <f aca="false">ROW()-4</f>
        <v>1137</v>
      </c>
      <c r="B1141" s="114" t="str">
        <f aca="false">IF(A1141&lt;=Config!$E$27*Config!$E$28,"Tema","Avulso")</f>
        <v>Tema</v>
      </c>
      <c r="C1141" s="114" t="n">
        <f aca="false">IF(B1141="Tema",INT((A1141-1)/Config!$E$28)+1,A1141-Config!$E$27*Config!$E$28)</f>
        <v>190</v>
      </c>
      <c r="D1141" s="114" t="n">
        <f aca="false">IF(B1141="Tema",MOD(A1141-1,Config!$E$28)+1,"")</f>
        <v>3</v>
      </c>
      <c r="E1141" s="115" t="str">
        <f aca="false">IF($B1141="Tema",IF(ISNUMBER(INDEX(Temas!$E$6:$P$305,$C1141,2*$D1141-1)),INDEX(Temas!$E$6:$P$305,$C1141,2*$D1141-1),""),IF(ISNUMBER(INDEX(Avulsos!$B$6:$B$205,$C1141)),INDEX(Avulsos!$B$6:$B$205,$C1141),""))</f>
        <v/>
      </c>
      <c r="F1141" s="114" t="str">
        <f aca="false">IF($E1141="","",IF($B1141="Tema",INDEX(Temas!$B$6:$B$305,$C1141)&amp;"",INDEX(Avulsos!$C$6:$C$205,$C1141)&amp;""))</f>
        <v/>
      </c>
      <c r="G1141" s="114" t="str">
        <f aca="false">IF($E1141="","",IF($B1141="Tema",INDEX(Config!$C$6:$C$11,$D1141),"Evento avulso"))</f>
        <v/>
      </c>
      <c r="H1141" s="114" t="str">
        <f aca="false">IF($E1141="","",IF($B1141="Tema",INDEX(Config!$D$6:$D$11,$D1141),IFERROR(INDEX(Config!$E$15:$E$19,MATCH($I1141,Config!$C$15:$C$19,0)),"•")))</f>
        <v/>
      </c>
      <c r="I1141" s="114" t="str">
        <f aca="false">IF($E1141="","",IF($B1141="Tema",INDEX(Config!$E$6:$E$11,$D1141),IF(INDEX(Avulsos!$D$6:$D$205,$C1141)&amp;""="","Outro",INDEX(Avulsos!$D$6:$D$205,$C1141))))</f>
        <v/>
      </c>
      <c r="J1141" s="114" t="str">
        <f aca="false">IF($E1141="","",IF($B1141="Tema",INDEX(Temas!$C$6:$C$305,$C1141)&amp;"",INDEX(Avulsos!$E$6:$E$205,$C1141)&amp;""))</f>
        <v/>
      </c>
      <c r="K1141" s="114" t="str">
        <f aca="false">IF($E1141="","",IF(IF($B1141="Tema",INDEX(Temas!$E$6:$P$305,$C1141,2*$D1141),INDEX(Avulsos!$F$6:$F$205,$C1141))&amp;""="","","✓"))</f>
        <v/>
      </c>
      <c r="L1141" s="114" t="str">
        <f aca="true">IF($E1141="","",IF($K1141="✓","Concluído",IF($E1141&lt;TODAY(),"Atrasado",IF($E1141=TODAY(),"Hoje","Pendente"))))</f>
        <v/>
      </c>
      <c r="M1141" s="114" t="str">
        <f aca="false">IF($E1141="","",IF($K1141="✓","✓ ","")&amp;IF(Config!$E$22="Sim",$H1141&amp;" · ","")&amp;$F1141)</f>
        <v/>
      </c>
      <c r="N1141" s="114" t="str">
        <f aca="false">IF($E1141="","",IFERROR(INDEX(Config!$D$15:$D$19,MATCH($I1141,Config!$C$15:$C$19,0)),"OUT")&amp;IF($K1141="✓","x",""))</f>
        <v/>
      </c>
      <c r="O1141" s="114" t="str">
        <f aca="false">IF($E1141="","",COUNTIF($E$5:$E1141,$E1141))</f>
        <v/>
      </c>
      <c r="P1141" s="114" t="str">
        <f aca="false">IF($E1141="","",$E1141*100+$O1141)</f>
        <v/>
      </c>
      <c r="Q1141" s="114" t="str">
        <f aca="false">IF($L1141="Atrasado",$E1141*10000+$A1141,"")</f>
        <v/>
      </c>
    </row>
    <row r="1142" customFormat="false" ht="15" hidden="false" customHeight="false" outlineLevel="0" collapsed="false">
      <c r="A1142" s="114" t="n">
        <f aca="false">ROW()-4</f>
        <v>1138</v>
      </c>
      <c r="B1142" s="114" t="str">
        <f aca="false">IF(A1142&lt;=Config!$E$27*Config!$E$28,"Tema","Avulso")</f>
        <v>Tema</v>
      </c>
      <c r="C1142" s="114" t="n">
        <f aca="false">IF(B1142="Tema",INT((A1142-1)/Config!$E$28)+1,A1142-Config!$E$27*Config!$E$28)</f>
        <v>190</v>
      </c>
      <c r="D1142" s="114" t="n">
        <f aca="false">IF(B1142="Tema",MOD(A1142-1,Config!$E$28)+1,"")</f>
        <v>4</v>
      </c>
      <c r="E1142" s="115" t="str">
        <f aca="false">IF($B1142="Tema",IF(ISNUMBER(INDEX(Temas!$E$6:$P$305,$C1142,2*$D1142-1)),INDEX(Temas!$E$6:$P$305,$C1142,2*$D1142-1),""),IF(ISNUMBER(INDEX(Avulsos!$B$6:$B$205,$C1142)),INDEX(Avulsos!$B$6:$B$205,$C1142),""))</f>
        <v/>
      </c>
      <c r="F1142" s="114" t="str">
        <f aca="false">IF($E1142="","",IF($B1142="Tema",INDEX(Temas!$B$6:$B$305,$C1142)&amp;"",INDEX(Avulsos!$C$6:$C$205,$C1142)&amp;""))</f>
        <v/>
      </c>
      <c r="G1142" s="114" t="str">
        <f aca="false">IF($E1142="","",IF($B1142="Tema",INDEX(Config!$C$6:$C$11,$D1142),"Evento avulso"))</f>
        <v/>
      </c>
      <c r="H1142" s="114" t="str">
        <f aca="false">IF($E1142="","",IF($B1142="Tema",INDEX(Config!$D$6:$D$11,$D1142),IFERROR(INDEX(Config!$E$15:$E$19,MATCH($I1142,Config!$C$15:$C$19,0)),"•")))</f>
        <v/>
      </c>
      <c r="I1142" s="114" t="str">
        <f aca="false">IF($E1142="","",IF($B1142="Tema",INDEX(Config!$E$6:$E$11,$D1142),IF(INDEX(Avulsos!$D$6:$D$205,$C1142)&amp;""="","Outro",INDEX(Avulsos!$D$6:$D$205,$C1142))))</f>
        <v/>
      </c>
      <c r="J1142" s="114" t="str">
        <f aca="false">IF($E1142="","",IF($B1142="Tema",INDEX(Temas!$C$6:$C$305,$C1142)&amp;"",INDEX(Avulsos!$E$6:$E$205,$C1142)&amp;""))</f>
        <v/>
      </c>
      <c r="K1142" s="114" t="str">
        <f aca="false">IF($E1142="","",IF(IF($B1142="Tema",INDEX(Temas!$E$6:$P$305,$C1142,2*$D1142),INDEX(Avulsos!$F$6:$F$205,$C1142))&amp;""="","","✓"))</f>
        <v/>
      </c>
      <c r="L1142" s="114" t="str">
        <f aca="true">IF($E1142="","",IF($K1142="✓","Concluído",IF($E1142&lt;TODAY(),"Atrasado",IF($E1142=TODAY(),"Hoje","Pendente"))))</f>
        <v/>
      </c>
      <c r="M1142" s="114" t="str">
        <f aca="false">IF($E1142="","",IF($K1142="✓","✓ ","")&amp;IF(Config!$E$22="Sim",$H1142&amp;" · ","")&amp;$F1142)</f>
        <v/>
      </c>
      <c r="N1142" s="114" t="str">
        <f aca="false">IF($E1142="","",IFERROR(INDEX(Config!$D$15:$D$19,MATCH($I1142,Config!$C$15:$C$19,0)),"OUT")&amp;IF($K1142="✓","x",""))</f>
        <v/>
      </c>
      <c r="O1142" s="114" t="str">
        <f aca="false">IF($E1142="","",COUNTIF($E$5:$E1142,$E1142))</f>
        <v/>
      </c>
      <c r="P1142" s="114" t="str">
        <f aca="false">IF($E1142="","",$E1142*100+$O1142)</f>
        <v/>
      </c>
      <c r="Q1142" s="114" t="str">
        <f aca="false">IF($L1142="Atrasado",$E1142*10000+$A1142,"")</f>
        <v/>
      </c>
    </row>
    <row r="1143" customFormat="false" ht="15" hidden="false" customHeight="false" outlineLevel="0" collapsed="false">
      <c r="A1143" s="114" t="n">
        <f aca="false">ROW()-4</f>
        <v>1139</v>
      </c>
      <c r="B1143" s="114" t="str">
        <f aca="false">IF(A1143&lt;=Config!$E$27*Config!$E$28,"Tema","Avulso")</f>
        <v>Tema</v>
      </c>
      <c r="C1143" s="114" t="n">
        <f aca="false">IF(B1143="Tema",INT((A1143-1)/Config!$E$28)+1,A1143-Config!$E$27*Config!$E$28)</f>
        <v>190</v>
      </c>
      <c r="D1143" s="114" t="n">
        <f aca="false">IF(B1143="Tema",MOD(A1143-1,Config!$E$28)+1,"")</f>
        <v>5</v>
      </c>
      <c r="E1143" s="115" t="str">
        <f aca="false">IF($B1143="Tema",IF(ISNUMBER(INDEX(Temas!$E$6:$P$305,$C1143,2*$D1143-1)),INDEX(Temas!$E$6:$P$305,$C1143,2*$D1143-1),""),IF(ISNUMBER(INDEX(Avulsos!$B$6:$B$205,$C1143)),INDEX(Avulsos!$B$6:$B$205,$C1143),""))</f>
        <v/>
      </c>
      <c r="F1143" s="114" t="str">
        <f aca="false">IF($E1143="","",IF($B1143="Tema",INDEX(Temas!$B$6:$B$305,$C1143)&amp;"",INDEX(Avulsos!$C$6:$C$205,$C1143)&amp;""))</f>
        <v/>
      </c>
      <c r="G1143" s="114" t="str">
        <f aca="false">IF($E1143="","",IF($B1143="Tema",INDEX(Config!$C$6:$C$11,$D1143),"Evento avulso"))</f>
        <v/>
      </c>
      <c r="H1143" s="114" t="str">
        <f aca="false">IF($E1143="","",IF($B1143="Tema",INDEX(Config!$D$6:$D$11,$D1143),IFERROR(INDEX(Config!$E$15:$E$19,MATCH($I1143,Config!$C$15:$C$19,0)),"•")))</f>
        <v/>
      </c>
      <c r="I1143" s="114" t="str">
        <f aca="false">IF($E1143="","",IF($B1143="Tema",INDEX(Config!$E$6:$E$11,$D1143),IF(INDEX(Avulsos!$D$6:$D$205,$C1143)&amp;""="","Outro",INDEX(Avulsos!$D$6:$D$205,$C1143))))</f>
        <v/>
      </c>
      <c r="J1143" s="114" t="str">
        <f aca="false">IF($E1143="","",IF($B1143="Tema",INDEX(Temas!$C$6:$C$305,$C1143)&amp;"",INDEX(Avulsos!$E$6:$E$205,$C1143)&amp;""))</f>
        <v/>
      </c>
      <c r="K1143" s="114" t="str">
        <f aca="false">IF($E1143="","",IF(IF($B1143="Tema",INDEX(Temas!$E$6:$P$305,$C1143,2*$D1143),INDEX(Avulsos!$F$6:$F$205,$C1143))&amp;""="","","✓"))</f>
        <v/>
      </c>
      <c r="L1143" s="114" t="str">
        <f aca="true">IF($E1143="","",IF($K1143="✓","Concluído",IF($E1143&lt;TODAY(),"Atrasado",IF($E1143=TODAY(),"Hoje","Pendente"))))</f>
        <v/>
      </c>
      <c r="M1143" s="114" t="str">
        <f aca="false">IF($E1143="","",IF($K1143="✓","✓ ","")&amp;IF(Config!$E$22="Sim",$H1143&amp;" · ","")&amp;$F1143)</f>
        <v/>
      </c>
      <c r="N1143" s="114" t="str">
        <f aca="false">IF($E1143="","",IFERROR(INDEX(Config!$D$15:$D$19,MATCH($I1143,Config!$C$15:$C$19,0)),"OUT")&amp;IF($K1143="✓","x",""))</f>
        <v/>
      </c>
      <c r="O1143" s="114" t="str">
        <f aca="false">IF($E1143="","",COUNTIF($E$5:$E1143,$E1143))</f>
        <v/>
      </c>
      <c r="P1143" s="114" t="str">
        <f aca="false">IF($E1143="","",$E1143*100+$O1143)</f>
        <v/>
      </c>
      <c r="Q1143" s="114" t="str">
        <f aca="false">IF($L1143="Atrasado",$E1143*10000+$A1143,"")</f>
        <v/>
      </c>
    </row>
    <row r="1144" customFormat="false" ht="15" hidden="false" customHeight="false" outlineLevel="0" collapsed="false">
      <c r="A1144" s="114" t="n">
        <f aca="false">ROW()-4</f>
        <v>1140</v>
      </c>
      <c r="B1144" s="114" t="str">
        <f aca="false">IF(A1144&lt;=Config!$E$27*Config!$E$28,"Tema","Avulso")</f>
        <v>Tema</v>
      </c>
      <c r="C1144" s="114" t="n">
        <f aca="false">IF(B1144="Tema",INT((A1144-1)/Config!$E$28)+1,A1144-Config!$E$27*Config!$E$28)</f>
        <v>190</v>
      </c>
      <c r="D1144" s="114" t="n">
        <f aca="false">IF(B1144="Tema",MOD(A1144-1,Config!$E$28)+1,"")</f>
        <v>6</v>
      </c>
      <c r="E1144" s="115" t="str">
        <f aca="false">IF($B1144="Tema",IF(ISNUMBER(INDEX(Temas!$E$6:$P$305,$C1144,2*$D1144-1)),INDEX(Temas!$E$6:$P$305,$C1144,2*$D1144-1),""),IF(ISNUMBER(INDEX(Avulsos!$B$6:$B$205,$C1144)),INDEX(Avulsos!$B$6:$B$205,$C1144),""))</f>
        <v/>
      </c>
      <c r="F1144" s="114" t="str">
        <f aca="false">IF($E1144="","",IF($B1144="Tema",INDEX(Temas!$B$6:$B$305,$C1144)&amp;"",INDEX(Avulsos!$C$6:$C$205,$C1144)&amp;""))</f>
        <v/>
      </c>
      <c r="G1144" s="114" t="str">
        <f aca="false">IF($E1144="","",IF($B1144="Tema",INDEX(Config!$C$6:$C$11,$D1144),"Evento avulso"))</f>
        <v/>
      </c>
      <c r="H1144" s="114" t="str">
        <f aca="false">IF($E1144="","",IF($B1144="Tema",INDEX(Config!$D$6:$D$11,$D1144),IFERROR(INDEX(Config!$E$15:$E$19,MATCH($I1144,Config!$C$15:$C$19,0)),"•")))</f>
        <v/>
      </c>
      <c r="I1144" s="114" t="str">
        <f aca="false">IF($E1144="","",IF($B1144="Tema",INDEX(Config!$E$6:$E$11,$D1144),IF(INDEX(Avulsos!$D$6:$D$205,$C1144)&amp;""="","Outro",INDEX(Avulsos!$D$6:$D$205,$C1144))))</f>
        <v/>
      </c>
      <c r="J1144" s="114" t="str">
        <f aca="false">IF($E1144="","",IF($B1144="Tema",INDEX(Temas!$C$6:$C$305,$C1144)&amp;"",INDEX(Avulsos!$E$6:$E$205,$C1144)&amp;""))</f>
        <v/>
      </c>
      <c r="K1144" s="114" t="str">
        <f aca="false">IF($E1144="","",IF(IF($B1144="Tema",INDEX(Temas!$E$6:$P$305,$C1144,2*$D1144),INDEX(Avulsos!$F$6:$F$205,$C1144))&amp;""="","","✓"))</f>
        <v/>
      </c>
      <c r="L1144" s="114" t="str">
        <f aca="true">IF($E1144="","",IF($K1144="✓","Concluído",IF($E1144&lt;TODAY(),"Atrasado",IF($E1144=TODAY(),"Hoje","Pendente"))))</f>
        <v/>
      </c>
      <c r="M1144" s="114" t="str">
        <f aca="false">IF($E1144="","",IF($K1144="✓","✓ ","")&amp;IF(Config!$E$22="Sim",$H1144&amp;" · ","")&amp;$F1144)</f>
        <v/>
      </c>
      <c r="N1144" s="114" t="str">
        <f aca="false">IF($E1144="","",IFERROR(INDEX(Config!$D$15:$D$19,MATCH($I1144,Config!$C$15:$C$19,0)),"OUT")&amp;IF($K1144="✓","x",""))</f>
        <v/>
      </c>
      <c r="O1144" s="114" t="str">
        <f aca="false">IF($E1144="","",COUNTIF($E$5:$E1144,$E1144))</f>
        <v/>
      </c>
      <c r="P1144" s="114" t="str">
        <f aca="false">IF($E1144="","",$E1144*100+$O1144)</f>
        <v/>
      </c>
      <c r="Q1144" s="114" t="str">
        <f aca="false">IF($L1144="Atrasado",$E1144*10000+$A1144,"")</f>
        <v/>
      </c>
    </row>
    <row r="1145" customFormat="false" ht="15" hidden="false" customHeight="false" outlineLevel="0" collapsed="false">
      <c r="A1145" s="114" t="n">
        <f aca="false">ROW()-4</f>
        <v>1141</v>
      </c>
      <c r="B1145" s="114" t="str">
        <f aca="false">IF(A1145&lt;=Config!$E$27*Config!$E$28,"Tema","Avulso")</f>
        <v>Tema</v>
      </c>
      <c r="C1145" s="114" t="n">
        <f aca="false">IF(B1145="Tema",INT((A1145-1)/Config!$E$28)+1,A1145-Config!$E$27*Config!$E$28)</f>
        <v>191</v>
      </c>
      <c r="D1145" s="114" t="n">
        <f aca="false">IF(B1145="Tema",MOD(A1145-1,Config!$E$28)+1,"")</f>
        <v>1</v>
      </c>
      <c r="E1145" s="115" t="str">
        <f aca="false">IF($B1145="Tema",IF(ISNUMBER(INDEX(Temas!$E$6:$P$305,$C1145,2*$D1145-1)),INDEX(Temas!$E$6:$P$305,$C1145,2*$D1145-1),""),IF(ISNUMBER(INDEX(Avulsos!$B$6:$B$205,$C1145)),INDEX(Avulsos!$B$6:$B$205,$C1145),""))</f>
        <v/>
      </c>
      <c r="F1145" s="114" t="str">
        <f aca="false">IF($E1145="","",IF($B1145="Tema",INDEX(Temas!$B$6:$B$305,$C1145)&amp;"",INDEX(Avulsos!$C$6:$C$205,$C1145)&amp;""))</f>
        <v/>
      </c>
      <c r="G1145" s="114" t="str">
        <f aca="false">IF($E1145="","",IF($B1145="Tema",INDEX(Config!$C$6:$C$11,$D1145),"Evento avulso"))</f>
        <v/>
      </c>
      <c r="H1145" s="114" t="str">
        <f aca="false">IF($E1145="","",IF($B1145="Tema",INDEX(Config!$D$6:$D$11,$D1145),IFERROR(INDEX(Config!$E$15:$E$19,MATCH($I1145,Config!$C$15:$C$19,0)),"•")))</f>
        <v/>
      </c>
      <c r="I1145" s="114" t="str">
        <f aca="false">IF($E1145="","",IF($B1145="Tema",INDEX(Config!$E$6:$E$11,$D1145),IF(INDEX(Avulsos!$D$6:$D$205,$C1145)&amp;""="","Outro",INDEX(Avulsos!$D$6:$D$205,$C1145))))</f>
        <v/>
      </c>
      <c r="J1145" s="114" t="str">
        <f aca="false">IF($E1145="","",IF($B1145="Tema",INDEX(Temas!$C$6:$C$305,$C1145)&amp;"",INDEX(Avulsos!$E$6:$E$205,$C1145)&amp;""))</f>
        <v/>
      </c>
      <c r="K1145" s="114" t="str">
        <f aca="false">IF($E1145="","",IF(IF($B1145="Tema",INDEX(Temas!$E$6:$P$305,$C1145,2*$D1145),INDEX(Avulsos!$F$6:$F$205,$C1145))&amp;""="","","✓"))</f>
        <v/>
      </c>
      <c r="L1145" s="114" t="str">
        <f aca="true">IF($E1145="","",IF($K1145="✓","Concluído",IF($E1145&lt;TODAY(),"Atrasado",IF($E1145=TODAY(),"Hoje","Pendente"))))</f>
        <v/>
      </c>
      <c r="M1145" s="114" t="str">
        <f aca="false">IF($E1145="","",IF($K1145="✓","✓ ","")&amp;IF(Config!$E$22="Sim",$H1145&amp;" · ","")&amp;$F1145)</f>
        <v/>
      </c>
      <c r="N1145" s="114" t="str">
        <f aca="false">IF($E1145="","",IFERROR(INDEX(Config!$D$15:$D$19,MATCH($I1145,Config!$C$15:$C$19,0)),"OUT")&amp;IF($K1145="✓","x",""))</f>
        <v/>
      </c>
      <c r="O1145" s="114" t="str">
        <f aca="false">IF($E1145="","",COUNTIF($E$5:$E1145,$E1145))</f>
        <v/>
      </c>
      <c r="P1145" s="114" t="str">
        <f aca="false">IF($E1145="","",$E1145*100+$O1145)</f>
        <v/>
      </c>
      <c r="Q1145" s="114" t="str">
        <f aca="false">IF($L1145="Atrasado",$E1145*10000+$A1145,"")</f>
        <v/>
      </c>
    </row>
    <row r="1146" customFormat="false" ht="15" hidden="false" customHeight="false" outlineLevel="0" collapsed="false">
      <c r="A1146" s="114" t="n">
        <f aca="false">ROW()-4</f>
        <v>1142</v>
      </c>
      <c r="B1146" s="114" t="str">
        <f aca="false">IF(A1146&lt;=Config!$E$27*Config!$E$28,"Tema","Avulso")</f>
        <v>Tema</v>
      </c>
      <c r="C1146" s="114" t="n">
        <f aca="false">IF(B1146="Tema",INT((A1146-1)/Config!$E$28)+1,A1146-Config!$E$27*Config!$E$28)</f>
        <v>191</v>
      </c>
      <c r="D1146" s="114" t="n">
        <f aca="false">IF(B1146="Tema",MOD(A1146-1,Config!$E$28)+1,"")</f>
        <v>2</v>
      </c>
      <c r="E1146" s="115" t="str">
        <f aca="false">IF($B1146="Tema",IF(ISNUMBER(INDEX(Temas!$E$6:$P$305,$C1146,2*$D1146-1)),INDEX(Temas!$E$6:$P$305,$C1146,2*$D1146-1),""),IF(ISNUMBER(INDEX(Avulsos!$B$6:$B$205,$C1146)),INDEX(Avulsos!$B$6:$B$205,$C1146),""))</f>
        <v/>
      </c>
      <c r="F1146" s="114" t="str">
        <f aca="false">IF($E1146="","",IF($B1146="Tema",INDEX(Temas!$B$6:$B$305,$C1146)&amp;"",INDEX(Avulsos!$C$6:$C$205,$C1146)&amp;""))</f>
        <v/>
      </c>
      <c r="G1146" s="114" t="str">
        <f aca="false">IF($E1146="","",IF($B1146="Tema",INDEX(Config!$C$6:$C$11,$D1146),"Evento avulso"))</f>
        <v/>
      </c>
      <c r="H1146" s="114" t="str">
        <f aca="false">IF($E1146="","",IF($B1146="Tema",INDEX(Config!$D$6:$D$11,$D1146),IFERROR(INDEX(Config!$E$15:$E$19,MATCH($I1146,Config!$C$15:$C$19,0)),"•")))</f>
        <v/>
      </c>
      <c r="I1146" s="114" t="str">
        <f aca="false">IF($E1146="","",IF($B1146="Tema",INDEX(Config!$E$6:$E$11,$D1146),IF(INDEX(Avulsos!$D$6:$D$205,$C1146)&amp;""="","Outro",INDEX(Avulsos!$D$6:$D$205,$C1146))))</f>
        <v/>
      </c>
      <c r="J1146" s="114" t="str">
        <f aca="false">IF($E1146="","",IF($B1146="Tema",INDEX(Temas!$C$6:$C$305,$C1146)&amp;"",INDEX(Avulsos!$E$6:$E$205,$C1146)&amp;""))</f>
        <v/>
      </c>
      <c r="K1146" s="114" t="str">
        <f aca="false">IF($E1146="","",IF(IF($B1146="Tema",INDEX(Temas!$E$6:$P$305,$C1146,2*$D1146),INDEX(Avulsos!$F$6:$F$205,$C1146))&amp;""="","","✓"))</f>
        <v/>
      </c>
      <c r="L1146" s="114" t="str">
        <f aca="true">IF($E1146="","",IF($K1146="✓","Concluído",IF($E1146&lt;TODAY(),"Atrasado",IF($E1146=TODAY(),"Hoje","Pendente"))))</f>
        <v/>
      </c>
      <c r="M1146" s="114" t="str">
        <f aca="false">IF($E1146="","",IF($K1146="✓","✓ ","")&amp;IF(Config!$E$22="Sim",$H1146&amp;" · ","")&amp;$F1146)</f>
        <v/>
      </c>
      <c r="N1146" s="114" t="str">
        <f aca="false">IF($E1146="","",IFERROR(INDEX(Config!$D$15:$D$19,MATCH($I1146,Config!$C$15:$C$19,0)),"OUT")&amp;IF($K1146="✓","x",""))</f>
        <v/>
      </c>
      <c r="O1146" s="114" t="str">
        <f aca="false">IF($E1146="","",COUNTIF($E$5:$E1146,$E1146))</f>
        <v/>
      </c>
      <c r="P1146" s="114" t="str">
        <f aca="false">IF($E1146="","",$E1146*100+$O1146)</f>
        <v/>
      </c>
      <c r="Q1146" s="114" t="str">
        <f aca="false">IF($L1146="Atrasado",$E1146*10000+$A1146,"")</f>
        <v/>
      </c>
    </row>
    <row r="1147" customFormat="false" ht="15" hidden="false" customHeight="false" outlineLevel="0" collapsed="false">
      <c r="A1147" s="114" t="n">
        <f aca="false">ROW()-4</f>
        <v>1143</v>
      </c>
      <c r="B1147" s="114" t="str">
        <f aca="false">IF(A1147&lt;=Config!$E$27*Config!$E$28,"Tema","Avulso")</f>
        <v>Tema</v>
      </c>
      <c r="C1147" s="114" t="n">
        <f aca="false">IF(B1147="Tema",INT((A1147-1)/Config!$E$28)+1,A1147-Config!$E$27*Config!$E$28)</f>
        <v>191</v>
      </c>
      <c r="D1147" s="114" t="n">
        <f aca="false">IF(B1147="Tema",MOD(A1147-1,Config!$E$28)+1,"")</f>
        <v>3</v>
      </c>
      <c r="E1147" s="115" t="str">
        <f aca="false">IF($B1147="Tema",IF(ISNUMBER(INDEX(Temas!$E$6:$P$305,$C1147,2*$D1147-1)),INDEX(Temas!$E$6:$P$305,$C1147,2*$D1147-1),""),IF(ISNUMBER(INDEX(Avulsos!$B$6:$B$205,$C1147)),INDEX(Avulsos!$B$6:$B$205,$C1147),""))</f>
        <v/>
      </c>
      <c r="F1147" s="114" t="str">
        <f aca="false">IF($E1147="","",IF($B1147="Tema",INDEX(Temas!$B$6:$B$305,$C1147)&amp;"",INDEX(Avulsos!$C$6:$C$205,$C1147)&amp;""))</f>
        <v/>
      </c>
      <c r="G1147" s="114" t="str">
        <f aca="false">IF($E1147="","",IF($B1147="Tema",INDEX(Config!$C$6:$C$11,$D1147),"Evento avulso"))</f>
        <v/>
      </c>
      <c r="H1147" s="114" t="str">
        <f aca="false">IF($E1147="","",IF($B1147="Tema",INDEX(Config!$D$6:$D$11,$D1147),IFERROR(INDEX(Config!$E$15:$E$19,MATCH($I1147,Config!$C$15:$C$19,0)),"•")))</f>
        <v/>
      </c>
      <c r="I1147" s="114" t="str">
        <f aca="false">IF($E1147="","",IF($B1147="Tema",INDEX(Config!$E$6:$E$11,$D1147),IF(INDEX(Avulsos!$D$6:$D$205,$C1147)&amp;""="","Outro",INDEX(Avulsos!$D$6:$D$205,$C1147))))</f>
        <v/>
      </c>
      <c r="J1147" s="114" t="str">
        <f aca="false">IF($E1147="","",IF($B1147="Tema",INDEX(Temas!$C$6:$C$305,$C1147)&amp;"",INDEX(Avulsos!$E$6:$E$205,$C1147)&amp;""))</f>
        <v/>
      </c>
      <c r="K1147" s="114" t="str">
        <f aca="false">IF($E1147="","",IF(IF($B1147="Tema",INDEX(Temas!$E$6:$P$305,$C1147,2*$D1147),INDEX(Avulsos!$F$6:$F$205,$C1147))&amp;""="","","✓"))</f>
        <v/>
      </c>
      <c r="L1147" s="114" t="str">
        <f aca="true">IF($E1147="","",IF($K1147="✓","Concluído",IF($E1147&lt;TODAY(),"Atrasado",IF($E1147=TODAY(),"Hoje","Pendente"))))</f>
        <v/>
      </c>
      <c r="M1147" s="114" t="str">
        <f aca="false">IF($E1147="","",IF($K1147="✓","✓ ","")&amp;IF(Config!$E$22="Sim",$H1147&amp;" · ","")&amp;$F1147)</f>
        <v/>
      </c>
      <c r="N1147" s="114" t="str">
        <f aca="false">IF($E1147="","",IFERROR(INDEX(Config!$D$15:$D$19,MATCH($I1147,Config!$C$15:$C$19,0)),"OUT")&amp;IF($K1147="✓","x",""))</f>
        <v/>
      </c>
      <c r="O1147" s="114" t="str">
        <f aca="false">IF($E1147="","",COUNTIF($E$5:$E1147,$E1147))</f>
        <v/>
      </c>
      <c r="P1147" s="114" t="str">
        <f aca="false">IF($E1147="","",$E1147*100+$O1147)</f>
        <v/>
      </c>
      <c r="Q1147" s="114" t="str">
        <f aca="false">IF($L1147="Atrasado",$E1147*10000+$A1147,"")</f>
        <v/>
      </c>
    </row>
    <row r="1148" customFormat="false" ht="15" hidden="false" customHeight="false" outlineLevel="0" collapsed="false">
      <c r="A1148" s="114" t="n">
        <f aca="false">ROW()-4</f>
        <v>1144</v>
      </c>
      <c r="B1148" s="114" t="str">
        <f aca="false">IF(A1148&lt;=Config!$E$27*Config!$E$28,"Tema","Avulso")</f>
        <v>Tema</v>
      </c>
      <c r="C1148" s="114" t="n">
        <f aca="false">IF(B1148="Tema",INT((A1148-1)/Config!$E$28)+1,A1148-Config!$E$27*Config!$E$28)</f>
        <v>191</v>
      </c>
      <c r="D1148" s="114" t="n">
        <f aca="false">IF(B1148="Tema",MOD(A1148-1,Config!$E$28)+1,"")</f>
        <v>4</v>
      </c>
      <c r="E1148" s="115" t="str">
        <f aca="false">IF($B1148="Tema",IF(ISNUMBER(INDEX(Temas!$E$6:$P$305,$C1148,2*$D1148-1)),INDEX(Temas!$E$6:$P$305,$C1148,2*$D1148-1),""),IF(ISNUMBER(INDEX(Avulsos!$B$6:$B$205,$C1148)),INDEX(Avulsos!$B$6:$B$205,$C1148),""))</f>
        <v/>
      </c>
      <c r="F1148" s="114" t="str">
        <f aca="false">IF($E1148="","",IF($B1148="Tema",INDEX(Temas!$B$6:$B$305,$C1148)&amp;"",INDEX(Avulsos!$C$6:$C$205,$C1148)&amp;""))</f>
        <v/>
      </c>
      <c r="G1148" s="114" t="str">
        <f aca="false">IF($E1148="","",IF($B1148="Tema",INDEX(Config!$C$6:$C$11,$D1148),"Evento avulso"))</f>
        <v/>
      </c>
      <c r="H1148" s="114" t="str">
        <f aca="false">IF($E1148="","",IF($B1148="Tema",INDEX(Config!$D$6:$D$11,$D1148),IFERROR(INDEX(Config!$E$15:$E$19,MATCH($I1148,Config!$C$15:$C$19,0)),"•")))</f>
        <v/>
      </c>
      <c r="I1148" s="114" t="str">
        <f aca="false">IF($E1148="","",IF($B1148="Tema",INDEX(Config!$E$6:$E$11,$D1148),IF(INDEX(Avulsos!$D$6:$D$205,$C1148)&amp;""="","Outro",INDEX(Avulsos!$D$6:$D$205,$C1148))))</f>
        <v/>
      </c>
      <c r="J1148" s="114" t="str">
        <f aca="false">IF($E1148="","",IF($B1148="Tema",INDEX(Temas!$C$6:$C$305,$C1148)&amp;"",INDEX(Avulsos!$E$6:$E$205,$C1148)&amp;""))</f>
        <v/>
      </c>
      <c r="K1148" s="114" t="str">
        <f aca="false">IF($E1148="","",IF(IF($B1148="Tema",INDEX(Temas!$E$6:$P$305,$C1148,2*$D1148),INDEX(Avulsos!$F$6:$F$205,$C1148))&amp;""="","","✓"))</f>
        <v/>
      </c>
      <c r="L1148" s="114" t="str">
        <f aca="true">IF($E1148="","",IF($K1148="✓","Concluído",IF($E1148&lt;TODAY(),"Atrasado",IF($E1148=TODAY(),"Hoje","Pendente"))))</f>
        <v/>
      </c>
      <c r="M1148" s="114" t="str">
        <f aca="false">IF($E1148="","",IF($K1148="✓","✓ ","")&amp;IF(Config!$E$22="Sim",$H1148&amp;" · ","")&amp;$F1148)</f>
        <v/>
      </c>
      <c r="N1148" s="114" t="str">
        <f aca="false">IF($E1148="","",IFERROR(INDEX(Config!$D$15:$D$19,MATCH($I1148,Config!$C$15:$C$19,0)),"OUT")&amp;IF($K1148="✓","x",""))</f>
        <v/>
      </c>
      <c r="O1148" s="114" t="str">
        <f aca="false">IF($E1148="","",COUNTIF($E$5:$E1148,$E1148))</f>
        <v/>
      </c>
      <c r="P1148" s="114" t="str">
        <f aca="false">IF($E1148="","",$E1148*100+$O1148)</f>
        <v/>
      </c>
      <c r="Q1148" s="114" t="str">
        <f aca="false">IF($L1148="Atrasado",$E1148*10000+$A1148,"")</f>
        <v/>
      </c>
    </row>
    <row r="1149" customFormat="false" ht="15" hidden="false" customHeight="false" outlineLevel="0" collapsed="false">
      <c r="A1149" s="114" t="n">
        <f aca="false">ROW()-4</f>
        <v>1145</v>
      </c>
      <c r="B1149" s="114" t="str">
        <f aca="false">IF(A1149&lt;=Config!$E$27*Config!$E$28,"Tema","Avulso")</f>
        <v>Tema</v>
      </c>
      <c r="C1149" s="114" t="n">
        <f aca="false">IF(B1149="Tema",INT((A1149-1)/Config!$E$28)+1,A1149-Config!$E$27*Config!$E$28)</f>
        <v>191</v>
      </c>
      <c r="D1149" s="114" t="n">
        <f aca="false">IF(B1149="Tema",MOD(A1149-1,Config!$E$28)+1,"")</f>
        <v>5</v>
      </c>
      <c r="E1149" s="115" t="str">
        <f aca="false">IF($B1149="Tema",IF(ISNUMBER(INDEX(Temas!$E$6:$P$305,$C1149,2*$D1149-1)),INDEX(Temas!$E$6:$P$305,$C1149,2*$D1149-1),""),IF(ISNUMBER(INDEX(Avulsos!$B$6:$B$205,$C1149)),INDEX(Avulsos!$B$6:$B$205,$C1149),""))</f>
        <v/>
      </c>
      <c r="F1149" s="114" t="str">
        <f aca="false">IF($E1149="","",IF($B1149="Tema",INDEX(Temas!$B$6:$B$305,$C1149)&amp;"",INDEX(Avulsos!$C$6:$C$205,$C1149)&amp;""))</f>
        <v/>
      </c>
      <c r="G1149" s="114" t="str">
        <f aca="false">IF($E1149="","",IF($B1149="Tema",INDEX(Config!$C$6:$C$11,$D1149),"Evento avulso"))</f>
        <v/>
      </c>
      <c r="H1149" s="114" t="str">
        <f aca="false">IF($E1149="","",IF($B1149="Tema",INDEX(Config!$D$6:$D$11,$D1149),IFERROR(INDEX(Config!$E$15:$E$19,MATCH($I1149,Config!$C$15:$C$19,0)),"•")))</f>
        <v/>
      </c>
      <c r="I1149" s="114" t="str">
        <f aca="false">IF($E1149="","",IF($B1149="Tema",INDEX(Config!$E$6:$E$11,$D1149),IF(INDEX(Avulsos!$D$6:$D$205,$C1149)&amp;""="","Outro",INDEX(Avulsos!$D$6:$D$205,$C1149))))</f>
        <v/>
      </c>
      <c r="J1149" s="114" t="str">
        <f aca="false">IF($E1149="","",IF($B1149="Tema",INDEX(Temas!$C$6:$C$305,$C1149)&amp;"",INDEX(Avulsos!$E$6:$E$205,$C1149)&amp;""))</f>
        <v/>
      </c>
      <c r="K1149" s="114" t="str">
        <f aca="false">IF($E1149="","",IF(IF($B1149="Tema",INDEX(Temas!$E$6:$P$305,$C1149,2*$D1149),INDEX(Avulsos!$F$6:$F$205,$C1149))&amp;""="","","✓"))</f>
        <v/>
      </c>
      <c r="L1149" s="114" t="str">
        <f aca="true">IF($E1149="","",IF($K1149="✓","Concluído",IF($E1149&lt;TODAY(),"Atrasado",IF($E1149=TODAY(),"Hoje","Pendente"))))</f>
        <v/>
      </c>
      <c r="M1149" s="114" t="str">
        <f aca="false">IF($E1149="","",IF($K1149="✓","✓ ","")&amp;IF(Config!$E$22="Sim",$H1149&amp;" · ","")&amp;$F1149)</f>
        <v/>
      </c>
      <c r="N1149" s="114" t="str">
        <f aca="false">IF($E1149="","",IFERROR(INDEX(Config!$D$15:$D$19,MATCH($I1149,Config!$C$15:$C$19,0)),"OUT")&amp;IF($K1149="✓","x",""))</f>
        <v/>
      </c>
      <c r="O1149" s="114" t="str">
        <f aca="false">IF($E1149="","",COUNTIF($E$5:$E1149,$E1149))</f>
        <v/>
      </c>
      <c r="P1149" s="114" t="str">
        <f aca="false">IF($E1149="","",$E1149*100+$O1149)</f>
        <v/>
      </c>
      <c r="Q1149" s="114" t="str">
        <f aca="false">IF($L1149="Atrasado",$E1149*10000+$A1149,"")</f>
        <v/>
      </c>
    </row>
    <row r="1150" customFormat="false" ht="15" hidden="false" customHeight="false" outlineLevel="0" collapsed="false">
      <c r="A1150" s="114" t="n">
        <f aca="false">ROW()-4</f>
        <v>1146</v>
      </c>
      <c r="B1150" s="114" t="str">
        <f aca="false">IF(A1150&lt;=Config!$E$27*Config!$E$28,"Tema","Avulso")</f>
        <v>Tema</v>
      </c>
      <c r="C1150" s="114" t="n">
        <f aca="false">IF(B1150="Tema",INT((A1150-1)/Config!$E$28)+1,A1150-Config!$E$27*Config!$E$28)</f>
        <v>191</v>
      </c>
      <c r="D1150" s="114" t="n">
        <f aca="false">IF(B1150="Tema",MOD(A1150-1,Config!$E$28)+1,"")</f>
        <v>6</v>
      </c>
      <c r="E1150" s="115" t="str">
        <f aca="false">IF($B1150="Tema",IF(ISNUMBER(INDEX(Temas!$E$6:$P$305,$C1150,2*$D1150-1)),INDEX(Temas!$E$6:$P$305,$C1150,2*$D1150-1),""),IF(ISNUMBER(INDEX(Avulsos!$B$6:$B$205,$C1150)),INDEX(Avulsos!$B$6:$B$205,$C1150),""))</f>
        <v/>
      </c>
      <c r="F1150" s="114" t="str">
        <f aca="false">IF($E1150="","",IF($B1150="Tema",INDEX(Temas!$B$6:$B$305,$C1150)&amp;"",INDEX(Avulsos!$C$6:$C$205,$C1150)&amp;""))</f>
        <v/>
      </c>
      <c r="G1150" s="114" t="str">
        <f aca="false">IF($E1150="","",IF($B1150="Tema",INDEX(Config!$C$6:$C$11,$D1150),"Evento avulso"))</f>
        <v/>
      </c>
      <c r="H1150" s="114" t="str">
        <f aca="false">IF($E1150="","",IF($B1150="Tema",INDEX(Config!$D$6:$D$11,$D1150),IFERROR(INDEX(Config!$E$15:$E$19,MATCH($I1150,Config!$C$15:$C$19,0)),"•")))</f>
        <v/>
      </c>
      <c r="I1150" s="114" t="str">
        <f aca="false">IF($E1150="","",IF($B1150="Tema",INDEX(Config!$E$6:$E$11,$D1150),IF(INDEX(Avulsos!$D$6:$D$205,$C1150)&amp;""="","Outro",INDEX(Avulsos!$D$6:$D$205,$C1150))))</f>
        <v/>
      </c>
      <c r="J1150" s="114" t="str">
        <f aca="false">IF($E1150="","",IF($B1150="Tema",INDEX(Temas!$C$6:$C$305,$C1150)&amp;"",INDEX(Avulsos!$E$6:$E$205,$C1150)&amp;""))</f>
        <v/>
      </c>
      <c r="K1150" s="114" t="str">
        <f aca="false">IF($E1150="","",IF(IF($B1150="Tema",INDEX(Temas!$E$6:$P$305,$C1150,2*$D1150),INDEX(Avulsos!$F$6:$F$205,$C1150))&amp;""="","","✓"))</f>
        <v/>
      </c>
      <c r="L1150" s="114" t="str">
        <f aca="true">IF($E1150="","",IF($K1150="✓","Concluído",IF($E1150&lt;TODAY(),"Atrasado",IF($E1150=TODAY(),"Hoje","Pendente"))))</f>
        <v/>
      </c>
      <c r="M1150" s="114" t="str">
        <f aca="false">IF($E1150="","",IF($K1150="✓","✓ ","")&amp;IF(Config!$E$22="Sim",$H1150&amp;" · ","")&amp;$F1150)</f>
        <v/>
      </c>
      <c r="N1150" s="114" t="str">
        <f aca="false">IF($E1150="","",IFERROR(INDEX(Config!$D$15:$D$19,MATCH($I1150,Config!$C$15:$C$19,0)),"OUT")&amp;IF($K1150="✓","x",""))</f>
        <v/>
      </c>
      <c r="O1150" s="114" t="str">
        <f aca="false">IF($E1150="","",COUNTIF($E$5:$E1150,$E1150))</f>
        <v/>
      </c>
      <c r="P1150" s="114" t="str">
        <f aca="false">IF($E1150="","",$E1150*100+$O1150)</f>
        <v/>
      </c>
      <c r="Q1150" s="114" t="str">
        <f aca="false">IF($L1150="Atrasado",$E1150*10000+$A1150,"")</f>
        <v/>
      </c>
    </row>
    <row r="1151" customFormat="false" ht="15" hidden="false" customHeight="false" outlineLevel="0" collapsed="false">
      <c r="A1151" s="114" t="n">
        <f aca="false">ROW()-4</f>
        <v>1147</v>
      </c>
      <c r="B1151" s="114" t="str">
        <f aca="false">IF(A1151&lt;=Config!$E$27*Config!$E$28,"Tema","Avulso")</f>
        <v>Tema</v>
      </c>
      <c r="C1151" s="114" t="n">
        <f aca="false">IF(B1151="Tema",INT((A1151-1)/Config!$E$28)+1,A1151-Config!$E$27*Config!$E$28)</f>
        <v>192</v>
      </c>
      <c r="D1151" s="114" t="n">
        <f aca="false">IF(B1151="Tema",MOD(A1151-1,Config!$E$28)+1,"")</f>
        <v>1</v>
      </c>
      <c r="E1151" s="115" t="str">
        <f aca="false">IF($B1151="Tema",IF(ISNUMBER(INDEX(Temas!$E$6:$P$305,$C1151,2*$D1151-1)),INDEX(Temas!$E$6:$P$305,$C1151,2*$D1151-1),""),IF(ISNUMBER(INDEX(Avulsos!$B$6:$B$205,$C1151)),INDEX(Avulsos!$B$6:$B$205,$C1151),""))</f>
        <v/>
      </c>
      <c r="F1151" s="114" t="str">
        <f aca="false">IF($E1151="","",IF($B1151="Tema",INDEX(Temas!$B$6:$B$305,$C1151)&amp;"",INDEX(Avulsos!$C$6:$C$205,$C1151)&amp;""))</f>
        <v/>
      </c>
      <c r="G1151" s="114" t="str">
        <f aca="false">IF($E1151="","",IF($B1151="Tema",INDEX(Config!$C$6:$C$11,$D1151),"Evento avulso"))</f>
        <v/>
      </c>
      <c r="H1151" s="114" t="str">
        <f aca="false">IF($E1151="","",IF($B1151="Tema",INDEX(Config!$D$6:$D$11,$D1151),IFERROR(INDEX(Config!$E$15:$E$19,MATCH($I1151,Config!$C$15:$C$19,0)),"•")))</f>
        <v/>
      </c>
      <c r="I1151" s="114" t="str">
        <f aca="false">IF($E1151="","",IF($B1151="Tema",INDEX(Config!$E$6:$E$11,$D1151),IF(INDEX(Avulsos!$D$6:$D$205,$C1151)&amp;""="","Outro",INDEX(Avulsos!$D$6:$D$205,$C1151))))</f>
        <v/>
      </c>
      <c r="J1151" s="114" t="str">
        <f aca="false">IF($E1151="","",IF($B1151="Tema",INDEX(Temas!$C$6:$C$305,$C1151)&amp;"",INDEX(Avulsos!$E$6:$E$205,$C1151)&amp;""))</f>
        <v/>
      </c>
      <c r="K1151" s="114" t="str">
        <f aca="false">IF($E1151="","",IF(IF($B1151="Tema",INDEX(Temas!$E$6:$P$305,$C1151,2*$D1151),INDEX(Avulsos!$F$6:$F$205,$C1151))&amp;""="","","✓"))</f>
        <v/>
      </c>
      <c r="L1151" s="114" t="str">
        <f aca="true">IF($E1151="","",IF($K1151="✓","Concluído",IF($E1151&lt;TODAY(),"Atrasado",IF($E1151=TODAY(),"Hoje","Pendente"))))</f>
        <v/>
      </c>
      <c r="M1151" s="114" t="str">
        <f aca="false">IF($E1151="","",IF($K1151="✓","✓ ","")&amp;IF(Config!$E$22="Sim",$H1151&amp;" · ","")&amp;$F1151)</f>
        <v/>
      </c>
      <c r="N1151" s="114" t="str">
        <f aca="false">IF($E1151="","",IFERROR(INDEX(Config!$D$15:$D$19,MATCH($I1151,Config!$C$15:$C$19,0)),"OUT")&amp;IF($K1151="✓","x",""))</f>
        <v/>
      </c>
      <c r="O1151" s="114" t="str">
        <f aca="false">IF($E1151="","",COUNTIF($E$5:$E1151,$E1151))</f>
        <v/>
      </c>
      <c r="P1151" s="114" t="str">
        <f aca="false">IF($E1151="","",$E1151*100+$O1151)</f>
        <v/>
      </c>
      <c r="Q1151" s="114" t="str">
        <f aca="false">IF($L1151="Atrasado",$E1151*10000+$A1151,"")</f>
        <v/>
      </c>
    </row>
    <row r="1152" customFormat="false" ht="15" hidden="false" customHeight="false" outlineLevel="0" collapsed="false">
      <c r="A1152" s="114" t="n">
        <f aca="false">ROW()-4</f>
        <v>1148</v>
      </c>
      <c r="B1152" s="114" t="str">
        <f aca="false">IF(A1152&lt;=Config!$E$27*Config!$E$28,"Tema","Avulso")</f>
        <v>Tema</v>
      </c>
      <c r="C1152" s="114" t="n">
        <f aca="false">IF(B1152="Tema",INT((A1152-1)/Config!$E$28)+1,A1152-Config!$E$27*Config!$E$28)</f>
        <v>192</v>
      </c>
      <c r="D1152" s="114" t="n">
        <f aca="false">IF(B1152="Tema",MOD(A1152-1,Config!$E$28)+1,"")</f>
        <v>2</v>
      </c>
      <c r="E1152" s="115" t="str">
        <f aca="false">IF($B1152="Tema",IF(ISNUMBER(INDEX(Temas!$E$6:$P$305,$C1152,2*$D1152-1)),INDEX(Temas!$E$6:$P$305,$C1152,2*$D1152-1),""),IF(ISNUMBER(INDEX(Avulsos!$B$6:$B$205,$C1152)),INDEX(Avulsos!$B$6:$B$205,$C1152),""))</f>
        <v/>
      </c>
      <c r="F1152" s="114" t="str">
        <f aca="false">IF($E1152="","",IF($B1152="Tema",INDEX(Temas!$B$6:$B$305,$C1152)&amp;"",INDEX(Avulsos!$C$6:$C$205,$C1152)&amp;""))</f>
        <v/>
      </c>
      <c r="G1152" s="114" t="str">
        <f aca="false">IF($E1152="","",IF($B1152="Tema",INDEX(Config!$C$6:$C$11,$D1152),"Evento avulso"))</f>
        <v/>
      </c>
      <c r="H1152" s="114" t="str">
        <f aca="false">IF($E1152="","",IF($B1152="Tema",INDEX(Config!$D$6:$D$11,$D1152),IFERROR(INDEX(Config!$E$15:$E$19,MATCH($I1152,Config!$C$15:$C$19,0)),"•")))</f>
        <v/>
      </c>
      <c r="I1152" s="114" t="str">
        <f aca="false">IF($E1152="","",IF($B1152="Tema",INDEX(Config!$E$6:$E$11,$D1152),IF(INDEX(Avulsos!$D$6:$D$205,$C1152)&amp;""="","Outro",INDEX(Avulsos!$D$6:$D$205,$C1152))))</f>
        <v/>
      </c>
      <c r="J1152" s="114" t="str">
        <f aca="false">IF($E1152="","",IF($B1152="Tema",INDEX(Temas!$C$6:$C$305,$C1152)&amp;"",INDEX(Avulsos!$E$6:$E$205,$C1152)&amp;""))</f>
        <v/>
      </c>
      <c r="K1152" s="114" t="str">
        <f aca="false">IF($E1152="","",IF(IF($B1152="Tema",INDEX(Temas!$E$6:$P$305,$C1152,2*$D1152),INDEX(Avulsos!$F$6:$F$205,$C1152))&amp;""="","","✓"))</f>
        <v/>
      </c>
      <c r="L1152" s="114" t="str">
        <f aca="true">IF($E1152="","",IF($K1152="✓","Concluído",IF($E1152&lt;TODAY(),"Atrasado",IF($E1152=TODAY(),"Hoje","Pendente"))))</f>
        <v/>
      </c>
      <c r="M1152" s="114" t="str">
        <f aca="false">IF($E1152="","",IF($K1152="✓","✓ ","")&amp;IF(Config!$E$22="Sim",$H1152&amp;" · ","")&amp;$F1152)</f>
        <v/>
      </c>
      <c r="N1152" s="114" t="str">
        <f aca="false">IF($E1152="","",IFERROR(INDEX(Config!$D$15:$D$19,MATCH($I1152,Config!$C$15:$C$19,0)),"OUT")&amp;IF($K1152="✓","x",""))</f>
        <v/>
      </c>
      <c r="O1152" s="114" t="str">
        <f aca="false">IF($E1152="","",COUNTIF($E$5:$E1152,$E1152))</f>
        <v/>
      </c>
      <c r="P1152" s="114" t="str">
        <f aca="false">IF($E1152="","",$E1152*100+$O1152)</f>
        <v/>
      </c>
      <c r="Q1152" s="114" t="str">
        <f aca="false">IF($L1152="Atrasado",$E1152*10000+$A1152,"")</f>
        <v/>
      </c>
    </row>
    <row r="1153" customFormat="false" ht="15" hidden="false" customHeight="false" outlineLevel="0" collapsed="false">
      <c r="A1153" s="114" t="n">
        <f aca="false">ROW()-4</f>
        <v>1149</v>
      </c>
      <c r="B1153" s="114" t="str">
        <f aca="false">IF(A1153&lt;=Config!$E$27*Config!$E$28,"Tema","Avulso")</f>
        <v>Tema</v>
      </c>
      <c r="C1153" s="114" t="n">
        <f aca="false">IF(B1153="Tema",INT((A1153-1)/Config!$E$28)+1,A1153-Config!$E$27*Config!$E$28)</f>
        <v>192</v>
      </c>
      <c r="D1153" s="114" t="n">
        <f aca="false">IF(B1153="Tema",MOD(A1153-1,Config!$E$28)+1,"")</f>
        <v>3</v>
      </c>
      <c r="E1153" s="115" t="str">
        <f aca="false">IF($B1153="Tema",IF(ISNUMBER(INDEX(Temas!$E$6:$P$305,$C1153,2*$D1153-1)),INDEX(Temas!$E$6:$P$305,$C1153,2*$D1153-1),""),IF(ISNUMBER(INDEX(Avulsos!$B$6:$B$205,$C1153)),INDEX(Avulsos!$B$6:$B$205,$C1153),""))</f>
        <v/>
      </c>
      <c r="F1153" s="114" t="str">
        <f aca="false">IF($E1153="","",IF($B1153="Tema",INDEX(Temas!$B$6:$B$305,$C1153)&amp;"",INDEX(Avulsos!$C$6:$C$205,$C1153)&amp;""))</f>
        <v/>
      </c>
      <c r="G1153" s="114" t="str">
        <f aca="false">IF($E1153="","",IF($B1153="Tema",INDEX(Config!$C$6:$C$11,$D1153),"Evento avulso"))</f>
        <v/>
      </c>
      <c r="H1153" s="114" t="str">
        <f aca="false">IF($E1153="","",IF($B1153="Tema",INDEX(Config!$D$6:$D$11,$D1153),IFERROR(INDEX(Config!$E$15:$E$19,MATCH($I1153,Config!$C$15:$C$19,0)),"•")))</f>
        <v/>
      </c>
      <c r="I1153" s="114" t="str">
        <f aca="false">IF($E1153="","",IF($B1153="Tema",INDEX(Config!$E$6:$E$11,$D1153),IF(INDEX(Avulsos!$D$6:$D$205,$C1153)&amp;""="","Outro",INDEX(Avulsos!$D$6:$D$205,$C1153))))</f>
        <v/>
      </c>
      <c r="J1153" s="114" t="str">
        <f aca="false">IF($E1153="","",IF($B1153="Tema",INDEX(Temas!$C$6:$C$305,$C1153)&amp;"",INDEX(Avulsos!$E$6:$E$205,$C1153)&amp;""))</f>
        <v/>
      </c>
      <c r="K1153" s="114" t="str">
        <f aca="false">IF($E1153="","",IF(IF($B1153="Tema",INDEX(Temas!$E$6:$P$305,$C1153,2*$D1153),INDEX(Avulsos!$F$6:$F$205,$C1153))&amp;""="","","✓"))</f>
        <v/>
      </c>
      <c r="L1153" s="114" t="str">
        <f aca="true">IF($E1153="","",IF($K1153="✓","Concluído",IF($E1153&lt;TODAY(),"Atrasado",IF($E1153=TODAY(),"Hoje","Pendente"))))</f>
        <v/>
      </c>
      <c r="M1153" s="114" t="str">
        <f aca="false">IF($E1153="","",IF($K1153="✓","✓ ","")&amp;IF(Config!$E$22="Sim",$H1153&amp;" · ","")&amp;$F1153)</f>
        <v/>
      </c>
      <c r="N1153" s="114" t="str">
        <f aca="false">IF($E1153="","",IFERROR(INDEX(Config!$D$15:$D$19,MATCH($I1153,Config!$C$15:$C$19,0)),"OUT")&amp;IF($K1153="✓","x",""))</f>
        <v/>
      </c>
      <c r="O1153" s="114" t="str">
        <f aca="false">IF($E1153="","",COUNTIF($E$5:$E1153,$E1153))</f>
        <v/>
      </c>
      <c r="P1153" s="114" t="str">
        <f aca="false">IF($E1153="","",$E1153*100+$O1153)</f>
        <v/>
      </c>
      <c r="Q1153" s="114" t="str">
        <f aca="false">IF($L1153="Atrasado",$E1153*10000+$A1153,"")</f>
        <v/>
      </c>
    </row>
    <row r="1154" customFormat="false" ht="15" hidden="false" customHeight="false" outlineLevel="0" collapsed="false">
      <c r="A1154" s="114" t="n">
        <f aca="false">ROW()-4</f>
        <v>1150</v>
      </c>
      <c r="B1154" s="114" t="str">
        <f aca="false">IF(A1154&lt;=Config!$E$27*Config!$E$28,"Tema","Avulso")</f>
        <v>Tema</v>
      </c>
      <c r="C1154" s="114" t="n">
        <f aca="false">IF(B1154="Tema",INT((A1154-1)/Config!$E$28)+1,A1154-Config!$E$27*Config!$E$28)</f>
        <v>192</v>
      </c>
      <c r="D1154" s="114" t="n">
        <f aca="false">IF(B1154="Tema",MOD(A1154-1,Config!$E$28)+1,"")</f>
        <v>4</v>
      </c>
      <c r="E1154" s="115" t="str">
        <f aca="false">IF($B1154="Tema",IF(ISNUMBER(INDEX(Temas!$E$6:$P$305,$C1154,2*$D1154-1)),INDEX(Temas!$E$6:$P$305,$C1154,2*$D1154-1),""),IF(ISNUMBER(INDEX(Avulsos!$B$6:$B$205,$C1154)),INDEX(Avulsos!$B$6:$B$205,$C1154),""))</f>
        <v/>
      </c>
      <c r="F1154" s="114" t="str">
        <f aca="false">IF($E1154="","",IF($B1154="Tema",INDEX(Temas!$B$6:$B$305,$C1154)&amp;"",INDEX(Avulsos!$C$6:$C$205,$C1154)&amp;""))</f>
        <v/>
      </c>
      <c r="G1154" s="114" t="str">
        <f aca="false">IF($E1154="","",IF($B1154="Tema",INDEX(Config!$C$6:$C$11,$D1154),"Evento avulso"))</f>
        <v/>
      </c>
      <c r="H1154" s="114" t="str">
        <f aca="false">IF($E1154="","",IF($B1154="Tema",INDEX(Config!$D$6:$D$11,$D1154),IFERROR(INDEX(Config!$E$15:$E$19,MATCH($I1154,Config!$C$15:$C$19,0)),"•")))</f>
        <v/>
      </c>
      <c r="I1154" s="114" t="str">
        <f aca="false">IF($E1154="","",IF($B1154="Tema",INDEX(Config!$E$6:$E$11,$D1154),IF(INDEX(Avulsos!$D$6:$D$205,$C1154)&amp;""="","Outro",INDEX(Avulsos!$D$6:$D$205,$C1154))))</f>
        <v/>
      </c>
      <c r="J1154" s="114" t="str">
        <f aca="false">IF($E1154="","",IF($B1154="Tema",INDEX(Temas!$C$6:$C$305,$C1154)&amp;"",INDEX(Avulsos!$E$6:$E$205,$C1154)&amp;""))</f>
        <v/>
      </c>
      <c r="K1154" s="114" t="str">
        <f aca="false">IF($E1154="","",IF(IF($B1154="Tema",INDEX(Temas!$E$6:$P$305,$C1154,2*$D1154),INDEX(Avulsos!$F$6:$F$205,$C1154))&amp;""="","","✓"))</f>
        <v/>
      </c>
      <c r="L1154" s="114" t="str">
        <f aca="true">IF($E1154="","",IF($K1154="✓","Concluído",IF($E1154&lt;TODAY(),"Atrasado",IF($E1154=TODAY(),"Hoje","Pendente"))))</f>
        <v/>
      </c>
      <c r="M1154" s="114" t="str">
        <f aca="false">IF($E1154="","",IF($K1154="✓","✓ ","")&amp;IF(Config!$E$22="Sim",$H1154&amp;" · ","")&amp;$F1154)</f>
        <v/>
      </c>
      <c r="N1154" s="114" t="str">
        <f aca="false">IF($E1154="","",IFERROR(INDEX(Config!$D$15:$D$19,MATCH($I1154,Config!$C$15:$C$19,0)),"OUT")&amp;IF($K1154="✓","x",""))</f>
        <v/>
      </c>
      <c r="O1154" s="114" t="str">
        <f aca="false">IF($E1154="","",COUNTIF($E$5:$E1154,$E1154))</f>
        <v/>
      </c>
      <c r="P1154" s="114" t="str">
        <f aca="false">IF($E1154="","",$E1154*100+$O1154)</f>
        <v/>
      </c>
      <c r="Q1154" s="114" t="str">
        <f aca="false">IF($L1154="Atrasado",$E1154*10000+$A1154,"")</f>
        <v/>
      </c>
    </row>
    <row r="1155" customFormat="false" ht="15" hidden="false" customHeight="false" outlineLevel="0" collapsed="false">
      <c r="A1155" s="114" t="n">
        <f aca="false">ROW()-4</f>
        <v>1151</v>
      </c>
      <c r="B1155" s="114" t="str">
        <f aca="false">IF(A1155&lt;=Config!$E$27*Config!$E$28,"Tema","Avulso")</f>
        <v>Tema</v>
      </c>
      <c r="C1155" s="114" t="n">
        <f aca="false">IF(B1155="Tema",INT((A1155-1)/Config!$E$28)+1,A1155-Config!$E$27*Config!$E$28)</f>
        <v>192</v>
      </c>
      <c r="D1155" s="114" t="n">
        <f aca="false">IF(B1155="Tema",MOD(A1155-1,Config!$E$28)+1,"")</f>
        <v>5</v>
      </c>
      <c r="E1155" s="115" t="str">
        <f aca="false">IF($B1155="Tema",IF(ISNUMBER(INDEX(Temas!$E$6:$P$305,$C1155,2*$D1155-1)),INDEX(Temas!$E$6:$P$305,$C1155,2*$D1155-1),""),IF(ISNUMBER(INDEX(Avulsos!$B$6:$B$205,$C1155)),INDEX(Avulsos!$B$6:$B$205,$C1155),""))</f>
        <v/>
      </c>
      <c r="F1155" s="114" t="str">
        <f aca="false">IF($E1155="","",IF($B1155="Tema",INDEX(Temas!$B$6:$B$305,$C1155)&amp;"",INDEX(Avulsos!$C$6:$C$205,$C1155)&amp;""))</f>
        <v/>
      </c>
      <c r="G1155" s="114" t="str">
        <f aca="false">IF($E1155="","",IF($B1155="Tema",INDEX(Config!$C$6:$C$11,$D1155),"Evento avulso"))</f>
        <v/>
      </c>
      <c r="H1155" s="114" t="str">
        <f aca="false">IF($E1155="","",IF($B1155="Tema",INDEX(Config!$D$6:$D$11,$D1155),IFERROR(INDEX(Config!$E$15:$E$19,MATCH($I1155,Config!$C$15:$C$19,0)),"•")))</f>
        <v/>
      </c>
      <c r="I1155" s="114" t="str">
        <f aca="false">IF($E1155="","",IF($B1155="Tema",INDEX(Config!$E$6:$E$11,$D1155),IF(INDEX(Avulsos!$D$6:$D$205,$C1155)&amp;""="","Outro",INDEX(Avulsos!$D$6:$D$205,$C1155))))</f>
        <v/>
      </c>
      <c r="J1155" s="114" t="str">
        <f aca="false">IF($E1155="","",IF($B1155="Tema",INDEX(Temas!$C$6:$C$305,$C1155)&amp;"",INDEX(Avulsos!$E$6:$E$205,$C1155)&amp;""))</f>
        <v/>
      </c>
      <c r="K1155" s="114" t="str">
        <f aca="false">IF($E1155="","",IF(IF($B1155="Tema",INDEX(Temas!$E$6:$P$305,$C1155,2*$D1155),INDEX(Avulsos!$F$6:$F$205,$C1155))&amp;""="","","✓"))</f>
        <v/>
      </c>
      <c r="L1155" s="114" t="str">
        <f aca="true">IF($E1155="","",IF($K1155="✓","Concluído",IF($E1155&lt;TODAY(),"Atrasado",IF($E1155=TODAY(),"Hoje","Pendente"))))</f>
        <v/>
      </c>
      <c r="M1155" s="114" t="str">
        <f aca="false">IF($E1155="","",IF($K1155="✓","✓ ","")&amp;IF(Config!$E$22="Sim",$H1155&amp;" · ","")&amp;$F1155)</f>
        <v/>
      </c>
      <c r="N1155" s="114" t="str">
        <f aca="false">IF($E1155="","",IFERROR(INDEX(Config!$D$15:$D$19,MATCH($I1155,Config!$C$15:$C$19,0)),"OUT")&amp;IF($K1155="✓","x",""))</f>
        <v/>
      </c>
      <c r="O1155" s="114" t="str">
        <f aca="false">IF($E1155="","",COUNTIF($E$5:$E1155,$E1155))</f>
        <v/>
      </c>
      <c r="P1155" s="114" t="str">
        <f aca="false">IF($E1155="","",$E1155*100+$O1155)</f>
        <v/>
      </c>
      <c r="Q1155" s="114" t="str">
        <f aca="false">IF($L1155="Atrasado",$E1155*10000+$A1155,"")</f>
        <v/>
      </c>
    </row>
    <row r="1156" customFormat="false" ht="15" hidden="false" customHeight="false" outlineLevel="0" collapsed="false">
      <c r="A1156" s="114" t="n">
        <f aca="false">ROW()-4</f>
        <v>1152</v>
      </c>
      <c r="B1156" s="114" t="str">
        <f aca="false">IF(A1156&lt;=Config!$E$27*Config!$E$28,"Tema","Avulso")</f>
        <v>Tema</v>
      </c>
      <c r="C1156" s="114" t="n">
        <f aca="false">IF(B1156="Tema",INT((A1156-1)/Config!$E$28)+1,A1156-Config!$E$27*Config!$E$28)</f>
        <v>192</v>
      </c>
      <c r="D1156" s="114" t="n">
        <f aca="false">IF(B1156="Tema",MOD(A1156-1,Config!$E$28)+1,"")</f>
        <v>6</v>
      </c>
      <c r="E1156" s="115" t="str">
        <f aca="false">IF($B1156="Tema",IF(ISNUMBER(INDEX(Temas!$E$6:$P$305,$C1156,2*$D1156-1)),INDEX(Temas!$E$6:$P$305,$C1156,2*$D1156-1),""),IF(ISNUMBER(INDEX(Avulsos!$B$6:$B$205,$C1156)),INDEX(Avulsos!$B$6:$B$205,$C1156),""))</f>
        <v/>
      </c>
      <c r="F1156" s="114" t="str">
        <f aca="false">IF($E1156="","",IF($B1156="Tema",INDEX(Temas!$B$6:$B$305,$C1156)&amp;"",INDEX(Avulsos!$C$6:$C$205,$C1156)&amp;""))</f>
        <v/>
      </c>
      <c r="G1156" s="114" t="str">
        <f aca="false">IF($E1156="","",IF($B1156="Tema",INDEX(Config!$C$6:$C$11,$D1156),"Evento avulso"))</f>
        <v/>
      </c>
      <c r="H1156" s="114" t="str">
        <f aca="false">IF($E1156="","",IF($B1156="Tema",INDEX(Config!$D$6:$D$11,$D1156),IFERROR(INDEX(Config!$E$15:$E$19,MATCH($I1156,Config!$C$15:$C$19,0)),"•")))</f>
        <v/>
      </c>
      <c r="I1156" s="114" t="str">
        <f aca="false">IF($E1156="","",IF($B1156="Tema",INDEX(Config!$E$6:$E$11,$D1156),IF(INDEX(Avulsos!$D$6:$D$205,$C1156)&amp;""="","Outro",INDEX(Avulsos!$D$6:$D$205,$C1156))))</f>
        <v/>
      </c>
      <c r="J1156" s="114" t="str">
        <f aca="false">IF($E1156="","",IF($B1156="Tema",INDEX(Temas!$C$6:$C$305,$C1156)&amp;"",INDEX(Avulsos!$E$6:$E$205,$C1156)&amp;""))</f>
        <v/>
      </c>
      <c r="K1156" s="114" t="str">
        <f aca="false">IF($E1156="","",IF(IF($B1156="Tema",INDEX(Temas!$E$6:$P$305,$C1156,2*$D1156),INDEX(Avulsos!$F$6:$F$205,$C1156))&amp;""="","","✓"))</f>
        <v/>
      </c>
      <c r="L1156" s="114" t="str">
        <f aca="true">IF($E1156="","",IF($K1156="✓","Concluído",IF($E1156&lt;TODAY(),"Atrasado",IF($E1156=TODAY(),"Hoje","Pendente"))))</f>
        <v/>
      </c>
      <c r="M1156" s="114" t="str">
        <f aca="false">IF($E1156="","",IF($K1156="✓","✓ ","")&amp;IF(Config!$E$22="Sim",$H1156&amp;" · ","")&amp;$F1156)</f>
        <v/>
      </c>
      <c r="N1156" s="114" t="str">
        <f aca="false">IF($E1156="","",IFERROR(INDEX(Config!$D$15:$D$19,MATCH($I1156,Config!$C$15:$C$19,0)),"OUT")&amp;IF($K1156="✓","x",""))</f>
        <v/>
      </c>
      <c r="O1156" s="114" t="str">
        <f aca="false">IF($E1156="","",COUNTIF($E$5:$E1156,$E1156))</f>
        <v/>
      </c>
      <c r="P1156" s="114" t="str">
        <f aca="false">IF($E1156="","",$E1156*100+$O1156)</f>
        <v/>
      </c>
      <c r="Q1156" s="114" t="str">
        <f aca="false">IF($L1156="Atrasado",$E1156*10000+$A1156,"")</f>
        <v/>
      </c>
    </row>
    <row r="1157" customFormat="false" ht="15" hidden="false" customHeight="false" outlineLevel="0" collapsed="false">
      <c r="A1157" s="114" t="n">
        <f aca="false">ROW()-4</f>
        <v>1153</v>
      </c>
      <c r="B1157" s="114" t="str">
        <f aca="false">IF(A1157&lt;=Config!$E$27*Config!$E$28,"Tema","Avulso")</f>
        <v>Tema</v>
      </c>
      <c r="C1157" s="114" t="n">
        <f aca="false">IF(B1157="Tema",INT((A1157-1)/Config!$E$28)+1,A1157-Config!$E$27*Config!$E$28)</f>
        <v>193</v>
      </c>
      <c r="D1157" s="114" t="n">
        <f aca="false">IF(B1157="Tema",MOD(A1157-1,Config!$E$28)+1,"")</f>
        <v>1</v>
      </c>
      <c r="E1157" s="115" t="str">
        <f aca="false">IF($B1157="Tema",IF(ISNUMBER(INDEX(Temas!$E$6:$P$305,$C1157,2*$D1157-1)),INDEX(Temas!$E$6:$P$305,$C1157,2*$D1157-1),""),IF(ISNUMBER(INDEX(Avulsos!$B$6:$B$205,$C1157)),INDEX(Avulsos!$B$6:$B$205,$C1157),""))</f>
        <v/>
      </c>
      <c r="F1157" s="114" t="str">
        <f aca="false">IF($E1157="","",IF($B1157="Tema",INDEX(Temas!$B$6:$B$305,$C1157)&amp;"",INDEX(Avulsos!$C$6:$C$205,$C1157)&amp;""))</f>
        <v/>
      </c>
      <c r="G1157" s="114" t="str">
        <f aca="false">IF($E1157="","",IF($B1157="Tema",INDEX(Config!$C$6:$C$11,$D1157),"Evento avulso"))</f>
        <v/>
      </c>
      <c r="H1157" s="114" t="str">
        <f aca="false">IF($E1157="","",IF($B1157="Tema",INDEX(Config!$D$6:$D$11,$D1157),IFERROR(INDEX(Config!$E$15:$E$19,MATCH($I1157,Config!$C$15:$C$19,0)),"•")))</f>
        <v/>
      </c>
      <c r="I1157" s="114" t="str">
        <f aca="false">IF($E1157="","",IF($B1157="Tema",INDEX(Config!$E$6:$E$11,$D1157),IF(INDEX(Avulsos!$D$6:$D$205,$C1157)&amp;""="","Outro",INDEX(Avulsos!$D$6:$D$205,$C1157))))</f>
        <v/>
      </c>
      <c r="J1157" s="114" t="str">
        <f aca="false">IF($E1157="","",IF($B1157="Tema",INDEX(Temas!$C$6:$C$305,$C1157)&amp;"",INDEX(Avulsos!$E$6:$E$205,$C1157)&amp;""))</f>
        <v/>
      </c>
      <c r="K1157" s="114" t="str">
        <f aca="false">IF($E1157="","",IF(IF($B1157="Tema",INDEX(Temas!$E$6:$P$305,$C1157,2*$D1157),INDEX(Avulsos!$F$6:$F$205,$C1157))&amp;""="","","✓"))</f>
        <v/>
      </c>
      <c r="L1157" s="114" t="str">
        <f aca="true">IF($E1157="","",IF($K1157="✓","Concluído",IF($E1157&lt;TODAY(),"Atrasado",IF($E1157=TODAY(),"Hoje","Pendente"))))</f>
        <v/>
      </c>
      <c r="M1157" s="114" t="str">
        <f aca="false">IF($E1157="","",IF($K1157="✓","✓ ","")&amp;IF(Config!$E$22="Sim",$H1157&amp;" · ","")&amp;$F1157)</f>
        <v/>
      </c>
      <c r="N1157" s="114" t="str">
        <f aca="false">IF($E1157="","",IFERROR(INDEX(Config!$D$15:$D$19,MATCH($I1157,Config!$C$15:$C$19,0)),"OUT")&amp;IF($K1157="✓","x",""))</f>
        <v/>
      </c>
      <c r="O1157" s="114" t="str">
        <f aca="false">IF($E1157="","",COUNTIF($E$5:$E1157,$E1157))</f>
        <v/>
      </c>
      <c r="P1157" s="114" t="str">
        <f aca="false">IF($E1157="","",$E1157*100+$O1157)</f>
        <v/>
      </c>
      <c r="Q1157" s="114" t="str">
        <f aca="false">IF($L1157="Atrasado",$E1157*10000+$A1157,"")</f>
        <v/>
      </c>
    </row>
    <row r="1158" customFormat="false" ht="15" hidden="false" customHeight="false" outlineLevel="0" collapsed="false">
      <c r="A1158" s="114" t="n">
        <f aca="false">ROW()-4</f>
        <v>1154</v>
      </c>
      <c r="B1158" s="114" t="str">
        <f aca="false">IF(A1158&lt;=Config!$E$27*Config!$E$28,"Tema","Avulso")</f>
        <v>Tema</v>
      </c>
      <c r="C1158" s="114" t="n">
        <f aca="false">IF(B1158="Tema",INT((A1158-1)/Config!$E$28)+1,A1158-Config!$E$27*Config!$E$28)</f>
        <v>193</v>
      </c>
      <c r="D1158" s="114" t="n">
        <f aca="false">IF(B1158="Tema",MOD(A1158-1,Config!$E$28)+1,"")</f>
        <v>2</v>
      </c>
      <c r="E1158" s="115" t="str">
        <f aca="false">IF($B1158="Tema",IF(ISNUMBER(INDEX(Temas!$E$6:$P$305,$C1158,2*$D1158-1)),INDEX(Temas!$E$6:$P$305,$C1158,2*$D1158-1),""),IF(ISNUMBER(INDEX(Avulsos!$B$6:$B$205,$C1158)),INDEX(Avulsos!$B$6:$B$205,$C1158),""))</f>
        <v/>
      </c>
      <c r="F1158" s="114" t="str">
        <f aca="false">IF($E1158="","",IF($B1158="Tema",INDEX(Temas!$B$6:$B$305,$C1158)&amp;"",INDEX(Avulsos!$C$6:$C$205,$C1158)&amp;""))</f>
        <v/>
      </c>
      <c r="G1158" s="114" t="str">
        <f aca="false">IF($E1158="","",IF($B1158="Tema",INDEX(Config!$C$6:$C$11,$D1158),"Evento avulso"))</f>
        <v/>
      </c>
      <c r="H1158" s="114" t="str">
        <f aca="false">IF($E1158="","",IF($B1158="Tema",INDEX(Config!$D$6:$D$11,$D1158),IFERROR(INDEX(Config!$E$15:$E$19,MATCH($I1158,Config!$C$15:$C$19,0)),"•")))</f>
        <v/>
      </c>
      <c r="I1158" s="114" t="str">
        <f aca="false">IF($E1158="","",IF($B1158="Tema",INDEX(Config!$E$6:$E$11,$D1158),IF(INDEX(Avulsos!$D$6:$D$205,$C1158)&amp;""="","Outro",INDEX(Avulsos!$D$6:$D$205,$C1158))))</f>
        <v/>
      </c>
      <c r="J1158" s="114" t="str">
        <f aca="false">IF($E1158="","",IF($B1158="Tema",INDEX(Temas!$C$6:$C$305,$C1158)&amp;"",INDEX(Avulsos!$E$6:$E$205,$C1158)&amp;""))</f>
        <v/>
      </c>
      <c r="K1158" s="114" t="str">
        <f aca="false">IF($E1158="","",IF(IF($B1158="Tema",INDEX(Temas!$E$6:$P$305,$C1158,2*$D1158),INDEX(Avulsos!$F$6:$F$205,$C1158))&amp;""="","","✓"))</f>
        <v/>
      </c>
      <c r="L1158" s="114" t="str">
        <f aca="true">IF($E1158="","",IF($K1158="✓","Concluído",IF($E1158&lt;TODAY(),"Atrasado",IF($E1158=TODAY(),"Hoje","Pendente"))))</f>
        <v/>
      </c>
      <c r="M1158" s="114" t="str">
        <f aca="false">IF($E1158="","",IF($K1158="✓","✓ ","")&amp;IF(Config!$E$22="Sim",$H1158&amp;" · ","")&amp;$F1158)</f>
        <v/>
      </c>
      <c r="N1158" s="114" t="str">
        <f aca="false">IF($E1158="","",IFERROR(INDEX(Config!$D$15:$D$19,MATCH($I1158,Config!$C$15:$C$19,0)),"OUT")&amp;IF($K1158="✓","x",""))</f>
        <v/>
      </c>
      <c r="O1158" s="114" t="str">
        <f aca="false">IF($E1158="","",COUNTIF($E$5:$E1158,$E1158))</f>
        <v/>
      </c>
      <c r="P1158" s="114" t="str">
        <f aca="false">IF($E1158="","",$E1158*100+$O1158)</f>
        <v/>
      </c>
      <c r="Q1158" s="114" t="str">
        <f aca="false">IF($L1158="Atrasado",$E1158*10000+$A1158,"")</f>
        <v/>
      </c>
    </row>
    <row r="1159" customFormat="false" ht="15" hidden="false" customHeight="false" outlineLevel="0" collapsed="false">
      <c r="A1159" s="114" t="n">
        <f aca="false">ROW()-4</f>
        <v>1155</v>
      </c>
      <c r="B1159" s="114" t="str">
        <f aca="false">IF(A1159&lt;=Config!$E$27*Config!$E$28,"Tema","Avulso")</f>
        <v>Tema</v>
      </c>
      <c r="C1159" s="114" t="n">
        <f aca="false">IF(B1159="Tema",INT((A1159-1)/Config!$E$28)+1,A1159-Config!$E$27*Config!$E$28)</f>
        <v>193</v>
      </c>
      <c r="D1159" s="114" t="n">
        <f aca="false">IF(B1159="Tema",MOD(A1159-1,Config!$E$28)+1,"")</f>
        <v>3</v>
      </c>
      <c r="E1159" s="115" t="str">
        <f aca="false">IF($B1159="Tema",IF(ISNUMBER(INDEX(Temas!$E$6:$P$305,$C1159,2*$D1159-1)),INDEX(Temas!$E$6:$P$305,$C1159,2*$D1159-1),""),IF(ISNUMBER(INDEX(Avulsos!$B$6:$B$205,$C1159)),INDEX(Avulsos!$B$6:$B$205,$C1159),""))</f>
        <v/>
      </c>
      <c r="F1159" s="114" t="str">
        <f aca="false">IF($E1159="","",IF($B1159="Tema",INDEX(Temas!$B$6:$B$305,$C1159)&amp;"",INDEX(Avulsos!$C$6:$C$205,$C1159)&amp;""))</f>
        <v/>
      </c>
      <c r="G1159" s="114" t="str">
        <f aca="false">IF($E1159="","",IF($B1159="Tema",INDEX(Config!$C$6:$C$11,$D1159),"Evento avulso"))</f>
        <v/>
      </c>
      <c r="H1159" s="114" t="str">
        <f aca="false">IF($E1159="","",IF($B1159="Tema",INDEX(Config!$D$6:$D$11,$D1159),IFERROR(INDEX(Config!$E$15:$E$19,MATCH($I1159,Config!$C$15:$C$19,0)),"•")))</f>
        <v/>
      </c>
      <c r="I1159" s="114" t="str">
        <f aca="false">IF($E1159="","",IF($B1159="Tema",INDEX(Config!$E$6:$E$11,$D1159),IF(INDEX(Avulsos!$D$6:$D$205,$C1159)&amp;""="","Outro",INDEX(Avulsos!$D$6:$D$205,$C1159))))</f>
        <v/>
      </c>
      <c r="J1159" s="114" t="str">
        <f aca="false">IF($E1159="","",IF($B1159="Tema",INDEX(Temas!$C$6:$C$305,$C1159)&amp;"",INDEX(Avulsos!$E$6:$E$205,$C1159)&amp;""))</f>
        <v/>
      </c>
      <c r="K1159" s="114" t="str">
        <f aca="false">IF($E1159="","",IF(IF($B1159="Tema",INDEX(Temas!$E$6:$P$305,$C1159,2*$D1159),INDEX(Avulsos!$F$6:$F$205,$C1159))&amp;""="","","✓"))</f>
        <v/>
      </c>
      <c r="L1159" s="114" t="str">
        <f aca="true">IF($E1159="","",IF($K1159="✓","Concluído",IF($E1159&lt;TODAY(),"Atrasado",IF($E1159=TODAY(),"Hoje","Pendente"))))</f>
        <v/>
      </c>
      <c r="M1159" s="114" t="str">
        <f aca="false">IF($E1159="","",IF($K1159="✓","✓ ","")&amp;IF(Config!$E$22="Sim",$H1159&amp;" · ","")&amp;$F1159)</f>
        <v/>
      </c>
      <c r="N1159" s="114" t="str">
        <f aca="false">IF($E1159="","",IFERROR(INDEX(Config!$D$15:$D$19,MATCH($I1159,Config!$C$15:$C$19,0)),"OUT")&amp;IF($K1159="✓","x",""))</f>
        <v/>
      </c>
      <c r="O1159" s="114" t="str">
        <f aca="false">IF($E1159="","",COUNTIF($E$5:$E1159,$E1159))</f>
        <v/>
      </c>
      <c r="P1159" s="114" t="str">
        <f aca="false">IF($E1159="","",$E1159*100+$O1159)</f>
        <v/>
      </c>
      <c r="Q1159" s="114" t="str">
        <f aca="false">IF($L1159="Atrasado",$E1159*10000+$A1159,"")</f>
        <v/>
      </c>
    </row>
    <row r="1160" customFormat="false" ht="15" hidden="false" customHeight="false" outlineLevel="0" collapsed="false">
      <c r="A1160" s="114" t="n">
        <f aca="false">ROW()-4</f>
        <v>1156</v>
      </c>
      <c r="B1160" s="114" t="str">
        <f aca="false">IF(A1160&lt;=Config!$E$27*Config!$E$28,"Tema","Avulso")</f>
        <v>Tema</v>
      </c>
      <c r="C1160" s="114" t="n">
        <f aca="false">IF(B1160="Tema",INT((A1160-1)/Config!$E$28)+1,A1160-Config!$E$27*Config!$E$28)</f>
        <v>193</v>
      </c>
      <c r="D1160" s="114" t="n">
        <f aca="false">IF(B1160="Tema",MOD(A1160-1,Config!$E$28)+1,"")</f>
        <v>4</v>
      </c>
      <c r="E1160" s="115" t="str">
        <f aca="false">IF($B1160="Tema",IF(ISNUMBER(INDEX(Temas!$E$6:$P$305,$C1160,2*$D1160-1)),INDEX(Temas!$E$6:$P$305,$C1160,2*$D1160-1),""),IF(ISNUMBER(INDEX(Avulsos!$B$6:$B$205,$C1160)),INDEX(Avulsos!$B$6:$B$205,$C1160),""))</f>
        <v/>
      </c>
      <c r="F1160" s="114" t="str">
        <f aca="false">IF($E1160="","",IF($B1160="Tema",INDEX(Temas!$B$6:$B$305,$C1160)&amp;"",INDEX(Avulsos!$C$6:$C$205,$C1160)&amp;""))</f>
        <v/>
      </c>
      <c r="G1160" s="114" t="str">
        <f aca="false">IF($E1160="","",IF($B1160="Tema",INDEX(Config!$C$6:$C$11,$D1160),"Evento avulso"))</f>
        <v/>
      </c>
      <c r="H1160" s="114" t="str">
        <f aca="false">IF($E1160="","",IF($B1160="Tema",INDEX(Config!$D$6:$D$11,$D1160),IFERROR(INDEX(Config!$E$15:$E$19,MATCH($I1160,Config!$C$15:$C$19,0)),"•")))</f>
        <v/>
      </c>
      <c r="I1160" s="114" t="str">
        <f aca="false">IF($E1160="","",IF($B1160="Tema",INDEX(Config!$E$6:$E$11,$D1160),IF(INDEX(Avulsos!$D$6:$D$205,$C1160)&amp;""="","Outro",INDEX(Avulsos!$D$6:$D$205,$C1160))))</f>
        <v/>
      </c>
      <c r="J1160" s="114" t="str">
        <f aca="false">IF($E1160="","",IF($B1160="Tema",INDEX(Temas!$C$6:$C$305,$C1160)&amp;"",INDEX(Avulsos!$E$6:$E$205,$C1160)&amp;""))</f>
        <v/>
      </c>
      <c r="K1160" s="114" t="str">
        <f aca="false">IF($E1160="","",IF(IF($B1160="Tema",INDEX(Temas!$E$6:$P$305,$C1160,2*$D1160),INDEX(Avulsos!$F$6:$F$205,$C1160))&amp;""="","","✓"))</f>
        <v/>
      </c>
      <c r="L1160" s="114" t="str">
        <f aca="true">IF($E1160="","",IF($K1160="✓","Concluído",IF($E1160&lt;TODAY(),"Atrasado",IF($E1160=TODAY(),"Hoje","Pendente"))))</f>
        <v/>
      </c>
      <c r="M1160" s="114" t="str">
        <f aca="false">IF($E1160="","",IF($K1160="✓","✓ ","")&amp;IF(Config!$E$22="Sim",$H1160&amp;" · ","")&amp;$F1160)</f>
        <v/>
      </c>
      <c r="N1160" s="114" t="str">
        <f aca="false">IF($E1160="","",IFERROR(INDEX(Config!$D$15:$D$19,MATCH($I1160,Config!$C$15:$C$19,0)),"OUT")&amp;IF($K1160="✓","x",""))</f>
        <v/>
      </c>
      <c r="O1160" s="114" t="str">
        <f aca="false">IF($E1160="","",COUNTIF($E$5:$E1160,$E1160))</f>
        <v/>
      </c>
      <c r="P1160" s="114" t="str">
        <f aca="false">IF($E1160="","",$E1160*100+$O1160)</f>
        <v/>
      </c>
      <c r="Q1160" s="114" t="str">
        <f aca="false">IF($L1160="Atrasado",$E1160*10000+$A1160,"")</f>
        <v/>
      </c>
    </row>
    <row r="1161" customFormat="false" ht="15" hidden="false" customHeight="false" outlineLevel="0" collapsed="false">
      <c r="A1161" s="114" t="n">
        <f aca="false">ROW()-4</f>
        <v>1157</v>
      </c>
      <c r="B1161" s="114" t="str">
        <f aca="false">IF(A1161&lt;=Config!$E$27*Config!$E$28,"Tema","Avulso")</f>
        <v>Tema</v>
      </c>
      <c r="C1161" s="114" t="n">
        <f aca="false">IF(B1161="Tema",INT((A1161-1)/Config!$E$28)+1,A1161-Config!$E$27*Config!$E$28)</f>
        <v>193</v>
      </c>
      <c r="D1161" s="114" t="n">
        <f aca="false">IF(B1161="Tema",MOD(A1161-1,Config!$E$28)+1,"")</f>
        <v>5</v>
      </c>
      <c r="E1161" s="115" t="str">
        <f aca="false">IF($B1161="Tema",IF(ISNUMBER(INDEX(Temas!$E$6:$P$305,$C1161,2*$D1161-1)),INDEX(Temas!$E$6:$P$305,$C1161,2*$D1161-1),""),IF(ISNUMBER(INDEX(Avulsos!$B$6:$B$205,$C1161)),INDEX(Avulsos!$B$6:$B$205,$C1161),""))</f>
        <v/>
      </c>
      <c r="F1161" s="114" t="str">
        <f aca="false">IF($E1161="","",IF($B1161="Tema",INDEX(Temas!$B$6:$B$305,$C1161)&amp;"",INDEX(Avulsos!$C$6:$C$205,$C1161)&amp;""))</f>
        <v/>
      </c>
      <c r="G1161" s="114" t="str">
        <f aca="false">IF($E1161="","",IF($B1161="Tema",INDEX(Config!$C$6:$C$11,$D1161),"Evento avulso"))</f>
        <v/>
      </c>
      <c r="H1161" s="114" t="str">
        <f aca="false">IF($E1161="","",IF($B1161="Tema",INDEX(Config!$D$6:$D$11,$D1161),IFERROR(INDEX(Config!$E$15:$E$19,MATCH($I1161,Config!$C$15:$C$19,0)),"•")))</f>
        <v/>
      </c>
      <c r="I1161" s="114" t="str">
        <f aca="false">IF($E1161="","",IF($B1161="Tema",INDEX(Config!$E$6:$E$11,$D1161),IF(INDEX(Avulsos!$D$6:$D$205,$C1161)&amp;""="","Outro",INDEX(Avulsos!$D$6:$D$205,$C1161))))</f>
        <v/>
      </c>
      <c r="J1161" s="114" t="str">
        <f aca="false">IF($E1161="","",IF($B1161="Tema",INDEX(Temas!$C$6:$C$305,$C1161)&amp;"",INDEX(Avulsos!$E$6:$E$205,$C1161)&amp;""))</f>
        <v/>
      </c>
      <c r="K1161" s="114" t="str">
        <f aca="false">IF($E1161="","",IF(IF($B1161="Tema",INDEX(Temas!$E$6:$P$305,$C1161,2*$D1161),INDEX(Avulsos!$F$6:$F$205,$C1161))&amp;""="","","✓"))</f>
        <v/>
      </c>
      <c r="L1161" s="114" t="str">
        <f aca="true">IF($E1161="","",IF($K1161="✓","Concluído",IF($E1161&lt;TODAY(),"Atrasado",IF($E1161=TODAY(),"Hoje","Pendente"))))</f>
        <v/>
      </c>
      <c r="M1161" s="114" t="str">
        <f aca="false">IF($E1161="","",IF($K1161="✓","✓ ","")&amp;IF(Config!$E$22="Sim",$H1161&amp;" · ","")&amp;$F1161)</f>
        <v/>
      </c>
      <c r="N1161" s="114" t="str">
        <f aca="false">IF($E1161="","",IFERROR(INDEX(Config!$D$15:$D$19,MATCH($I1161,Config!$C$15:$C$19,0)),"OUT")&amp;IF($K1161="✓","x",""))</f>
        <v/>
      </c>
      <c r="O1161" s="114" t="str">
        <f aca="false">IF($E1161="","",COUNTIF($E$5:$E1161,$E1161))</f>
        <v/>
      </c>
      <c r="P1161" s="114" t="str">
        <f aca="false">IF($E1161="","",$E1161*100+$O1161)</f>
        <v/>
      </c>
      <c r="Q1161" s="114" t="str">
        <f aca="false">IF($L1161="Atrasado",$E1161*10000+$A1161,"")</f>
        <v/>
      </c>
    </row>
    <row r="1162" customFormat="false" ht="15" hidden="false" customHeight="false" outlineLevel="0" collapsed="false">
      <c r="A1162" s="114" t="n">
        <f aca="false">ROW()-4</f>
        <v>1158</v>
      </c>
      <c r="B1162" s="114" t="str">
        <f aca="false">IF(A1162&lt;=Config!$E$27*Config!$E$28,"Tema","Avulso")</f>
        <v>Tema</v>
      </c>
      <c r="C1162" s="114" t="n">
        <f aca="false">IF(B1162="Tema",INT((A1162-1)/Config!$E$28)+1,A1162-Config!$E$27*Config!$E$28)</f>
        <v>193</v>
      </c>
      <c r="D1162" s="114" t="n">
        <f aca="false">IF(B1162="Tema",MOD(A1162-1,Config!$E$28)+1,"")</f>
        <v>6</v>
      </c>
      <c r="E1162" s="115" t="str">
        <f aca="false">IF($B1162="Tema",IF(ISNUMBER(INDEX(Temas!$E$6:$P$305,$C1162,2*$D1162-1)),INDEX(Temas!$E$6:$P$305,$C1162,2*$D1162-1),""),IF(ISNUMBER(INDEX(Avulsos!$B$6:$B$205,$C1162)),INDEX(Avulsos!$B$6:$B$205,$C1162),""))</f>
        <v/>
      </c>
      <c r="F1162" s="114" t="str">
        <f aca="false">IF($E1162="","",IF($B1162="Tema",INDEX(Temas!$B$6:$B$305,$C1162)&amp;"",INDEX(Avulsos!$C$6:$C$205,$C1162)&amp;""))</f>
        <v/>
      </c>
      <c r="G1162" s="114" t="str">
        <f aca="false">IF($E1162="","",IF($B1162="Tema",INDEX(Config!$C$6:$C$11,$D1162),"Evento avulso"))</f>
        <v/>
      </c>
      <c r="H1162" s="114" t="str">
        <f aca="false">IF($E1162="","",IF($B1162="Tema",INDEX(Config!$D$6:$D$11,$D1162),IFERROR(INDEX(Config!$E$15:$E$19,MATCH($I1162,Config!$C$15:$C$19,0)),"•")))</f>
        <v/>
      </c>
      <c r="I1162" s="114" t="str">
        <f aca="false">IF($E1162="","",IF($B1162="Tema",INDEX(Config!$E$6:$E$11,$D1162),IF(INDEX(Avulsos!$D$6:$D$205,$C1162)&amp;""="","Outro",INDEX(Avulsos!$D$6:$D$205,$C1162))))</f>
        <v/>
      </c>
      <c r="J1162" s="114" t="str">
        <f aca="false">IF($E1162="","",IF($B1162="Tema",INDEX(Temas!$C$6:$C$305,$C1162)&amp;"",INDEX(Avulsos!$E$6:$E$205,$C1162)&amp;""))</f>
        <v/>
      </c>
      <c r="K1162" s="114" t="str">
        <f aca="false">IF($E1162="","",IF(IF($B1162="Tema",INDEX(Temas!$E$6:$P$305,$C1162,2*$D1162),INDEX(Avulsos!$F$6:$F$205,$C1162))&amp;""="","","✓"))</f>
        <v/>
      </c>
      <c r="L1162" s="114" t="str">
        <f aca="true">IF($E1162="","",IF($K1162="✓","Concluído",IF($E1162&lt;TODAY(),"Atrasado",IF($E1162=TODAY(),"Hoje","Pendente"))))</f>
        <v/>
      </c>
      <c r="M1162" s="114" t="str">
        <f aca="false">IF($E1162="","",IF($K1162="✓","✓ ","")&amp;IF(Config!$E$22="Sim",$H1162&amp;" · ","")&amp;$F1162)</f>
        <v/>
      </c>
      <c r="N1162" s="114" t="str">
        <f aca="false">IF($E1162="","",IFERROR(INDEX(Config!$D$15:$D$19,MATCH($I1162,Config!$C$15:$C$19,0)),"OUT")&amp;IF($K1162="✓","x",""))</f>
        <v/>
      </c>
      <c r="O1162" s="114" t="str">
        <f aca="false">IF($E1162="","",COUNTIF($E$5:$E1162,$E1162))</f>
        <v/>
      </c>
      <c r="P1162" s="114" t="str">
        <f aca="false">IF($E1162="","",$E1162*100+$O1162)</f>
        <v/>
      </c>
      <c r="Q1162" s="114" t="str">
        <f aca="false">IF($L1162="Atrasado",$E1162*10000+$A1162,"")</f>
        <v/>
      </c>
    </row>
    <row r="1163" customFormat="false" ht="15" hidden="false" customHeight="false" outlineLevel="0" collapsed="false">
      <c r="A1163" s="114" t="n">
        <f aca="false">ROW()-4</f>
        <v>1159</v>
      </c>
      <c r="B1163" s="114" t="str">
        <f aca="false">IF(A1163&lt;=Config!$E$27*Config!$E$28,"Tema","Avulso")</f>
        <v>Tema</v>
      </c>
      <c r="C1163" s="114" t="n">
        <f aca="false">IF(B1163="Tema",INT((A1163-1)/Config!$E$28)+1,A1163-Config!$E$27*Config!$E$28)</f>
        <v>194</v>
      </c>
      <c r="D1163" s="114" t="n">
        <f aca="false">IF(B1163="Tema",MOD(A1163-1,Config!$E$28)+1,"")</f>
        <v>1</v>
      </c>
      <c r="E1163" s="115" t="str">
        <f aca="false">IF($B1163="Tema",IF(ISNUMBER(INDEX(Temas!$E$6:$P$305,$C1163,2*$D1163-1)),INDEX(Temas!$E$6:$P$305,$C1163,2*$D1163-1),""),IF(ISNUMBER(INDEX(Avulsos!$B$6:$B$205,$C1163)),INDEX(Avulsos!$B$6:$B$205,$C1163),""))</f>
        <v/>
      </c>
      <c r="F1163" s="114" t="str">
        <f aca="false">IF($E1163="","",IF($B1163="Tema",INDEX(Temas!$B$6:$B$305,$C1163)&amp;"",INDEX(Avulsos!$C$6:$C$205,$C1163)&amp;""))</f>
        <v/>
      </c>
      <c r="G1163" s="114" t="str">
        <f aca="false">IF($E1163="","",IF($B1163="Tema",INDEX(Config!$C$6:$C$11,$D1163),"Evento avulso"))</f>
        <v/>
      </c>
      <c r="H1163" s="114" t="str">
        <f aca="false">IF($E1163="","",IF($B1163="Tema",INDEX(Config!$D$6:$D$11,$D1163),IFERROR(INDEX(Config!$E$15:$E$19,MATCH($I1163,Config!$C$15:$C$19,0)),"•")))</f>
        <v/>
      </c>
      <c r="I1163" s="114" t="str">
        <f aca="false">IF($E1163="","",IF($B1163="Tema",INDEX(Config!$E$6:$E$11,$D1163),IF(INDEX(Avulsos!$D$6:$D$205,$C1163)&amp;""="","Outro",INDEX(Avulsos!$D$6:$D$205,$C1163))))</f>
        <v/>
      </c>
      <c r="J1163" s="114" t="str">
        <f aca="false">IF($E1163="","",IF($B1163="Tema",INDEX(Temas!$C$6:$C$305,$C1163)&amp;"",INDEX(Avulsos!$E$6:$E$205,$C1163)&amp;""))</f>
        <v/>
      </c>
      <c r="K1163" s="114" t="str">
        <f aca="false">IF($E1163="","",IF(IF($B1163="Tema",INDEX(Temas!$E$6:$P$305,$C1163,2*$D1163),INDEX(Avulsos!$F$6:$F$205,$C1163))&amp;""="","","✓"))</f>
        <v/>
      </c>
      <c r="L1163" s="114" t="str">
        <f aca="true">IF($E1163="","",IF($K1163="✓","Concluído",IF($E1163&lt;TODAY(),"Atrasado",IF($E1163=TODAY(),"Hoje","Pendente"))))</f>
        <v/>
      </c>
      <c r="M1163" s="114" t="str">
        <f aca="false">IF($E1163="","",IF($K1163="✓","✓ ","")&amp;IF(Config!$E$22="Sim",$H1163&amp;" · ","")&amp;$F1163)</f>
        <v/>
      </c>
      <c r="N1163" s="114" t="str">
        <f aca="false">IF($E1163="","",IFERROR(INDEX(Config!$D$15:$D$19,MATCH($I1163,Config!$C$15:$C$19,0)),"OUT")&amp;IF($K1163="✓","x",""))</f>
        <v/>
      </c>
      <c r="O1163" s="114" t="str">
        <f aca="false">IF($E1163="","",COUNTIF($E$5:$E1163,$E1163))</f>
        <v/>
      </c>
      <c r="P1163" s="114" t="str">
        <f aca="false">IF($E1163="","",$E1163*100+$O1163)</f>
        <v/>
      </c>
      <c r="Q1163" s="114" t="str">
        <f aca="false">IF($L1163="Atrasado",$E1163*10000+$A1163,"")</f>
        <v/>
      </c>
    </row>
    <row r="1164" customFormat="false" ht="15" hidden="false" customHeight="false" outlineLevel="0" collapsed="false">
      <c r="A1164" s="114" t="n">
        <f aca="false">ROW()-4</f>
        <v>1160</v>
      </c>
      <c r="B1164" s="114" t="str">
        <f aca="false">IF(A1164&lt;=Config!$E$27*Config!$E$28,"Tema","Avulso")</f>
        <v>Tema</v>
      </c>
      <c r="C1164" s="114" t="n">
        <f aca="false">IF(B1164="Tema",INT((A1164-1)/Config!$E$28)+1,A1164-Config!$E$27*Config!$E$28)</f>
        <v>194</v>
      </c>
      <c r="D1164" s="114" t="n">
        <f aca="false">IF(B1164="Tema",MOD(A1164-1,Config!$E$28)+1,"")</f>
        <v>2</v>
      </c>
      <c r="E1164" s="115" t="str">
        <f aca="false">IF($B1164="Tema",IF(ISNUMBER(INDEX(Temas!$E$6:$P$305,$C1164,2*$D1164-1)),INDEX(Temas!$E$6:$P$305,$C1164,2*$D1164-1),""),IF(ISNUMBER(INDEX(Avulsos!$B$6:$B$205,$C1164)),INDEX(Avulsos!$B$6:$B$205,$C1164),""))</f>
        <v/>
      </c>
      <c r="F1164" s="114" t="str">
        <f aca="false">IF($E1164="","",IF($B1164="Tema",INDEX(Temas!$B$6:$B$305,$C1164)&amp;"",INDEX(Avulsos!$C$6:$C$205,$C1164)&amp;""))</f>
        <v/>
      </c>
      <c r="G1164" s="114" t="str">
        <f aca="false">IF($E1164="","",IF($B1164="Tema",INDEX(Config!$C$6:$C$11,$D1164),"Evento avulso"))</f>
        <v/>
      </c>
      <c r="H1164" s="114" t="str">
        <f aca="false">IF($E1164="","",IF($B1164="Tema",INDEX(Config!$D$6:$D$11,$D1164),IFERROR(INDEX(Config!$E$15:$E$19,MATCH($I1164,Config!$C$15:$C$19,0)),"•")))</f>
        <v/>
      </c>
      <c r="I1164" s="114" t="str">
        <f aca="false">IF($E1164="","",IF($B1164="Tema",INDEX(Config!$E$6:$E$11,$D1164),IF(INDEX(Avulsos!$D$6:$D$205,$C1164)&amp;""="","Outro",INDEX(Avulsos!$D$6:$D$205,$C1164))))</f>
        <v/>
      </c>
      <c r="J1164" s="114" t="str">
        <f aca="false">IF($E1164="","",IF($B1164="Tema",INDEX(Temas!$C$6:$C$305,$C1164)&amp;"",INDEX(Avulsos!$E$6:$E$205,$C1164)&amp;""))</f>
        <v/>
      </c>
      <c r="K1164" s="114" t="str">
        <f aca="false">IF($E1164="","",IF(IF($B1164="Tema",INDEX(Temas!$E$6:$P$305,$C1164,2*$D1164),INDEX(Avulsos!$F$6:$F$205,$C1164))&amp;""="","","✓"))</f>
        <v/>
      </c>
      <c r="L1164" s="114" t="str">
        <f aca="true">IF($E1164="","",IF($K1164="✓","Concluído",IF($E1164&lt;TODAY(),"Atrasado",IF($E1164=TODAY(),"Hoje","Pendente"))))</f>
        <v/>
      </c>
      <c r="M1164" s="114" t="str">
        <f aca="false">IF($E1164="","",IF($K1164="✓","✓ ","")&amp;IF(Config!$E$22="Sim",$H1164&amp;" · ","")&amp;$F1164)</f>
        <v/>
      </c>
      <c r="N1164" s="114" t="str">
        <f aca="false">IF($E1164="","",IFERROR(INDEX(Config!$D$15:$D$19,MATCH($I1164,Config!$C$15:$C$19,0)),"OUT")&amp;IF($K1164="✓","x",""))</f>
        <v/>
      </c>
      <c r="O1164" s="114" t="str">
        <f aca="false">IF($E1164="","",COUNTIF($E$5:$E1164,$E1164))</f>
        <v/>
      </c>
      <c r="P1164" s="114" t="str">
        <f aca="false">IF($E1164="","",$E1164*100+$O1164)</f>
        <v/>
      </c>
      <c r="Q1164" s="114" t="str">
        <f aca="false">IF($L1164="Atrasado",$E1164*10000+$A1164,"")</f>
        <v/>
      </c>
    </row>
    <row r="1165" customFormat="false" ht="15" hidden="false" customHeight="false" outlineLevel="0" collapsed="false">
      <c r="A1165" s="114" t="n">
        <f aca="false">ROW()-4</f>
        <v>1161</v>
      </c>
      <c r="B1165" s="114" t="str">
        <f aca="false">IF(A1165&lt;=Config!$E$27*Config!$E$28,"Tema","Avulso")</f>
        <v>Tema</v>
      </c>
      <c r="C1165" s="114" t="n">
        <f aca="false">IF(B1165="Tema",INT((A1165-1)/Config!$E$28)+1,A1165-Config!$E$27*Config!$E$28)</f>
        <v>194</v>
      </c>
      <c r="D1165" s="114" t="n">
        <f aca="false">IF(B1165="Tema",MOD(A1165-1,Config!$E$28)+1,"")</f>
        <v>3</v>
      </c>
      <c r="E1165" s="115" t="str">
        <f aca="false">IF($B1165="Tema",IF(ISNUMBER(INDEX(Temas!$E$6:$P$305,$C1165,2*$D1165-1)),INDEX(Temas!$E$6:$P$305,$C1165,2*$D1165-1),""),IF(ISNUMBER(INDEX(Avulsos!$B$6:$B$205,$C1165)),INDEX(Avulsos!$B$6:$B$205,$C1165),""))</f>
        <v/>
      </c>
      <c r="F1165" s="114" t="str">
        <f aca="false">IF($E1165="","",IF($B1165="Tema",INDEX(Temas!$B$6:$B$305,$C1165)&amp;"",INDEX(Avulsos!$C$6:$C$205,$C1165)&amp;""))</f>
        <v/>
      </c>
      <c r="G1165" s="114" t="str">
        <f aca="false">IF($E1165="","",IF($B1165="Tema",INDEX(Config!$C$6:$C$11,$D1165),"Evento avulso"))</f>
        <v/>
      </c>
      <c r="H1165" s="114" t="str">
        <f aca="false">IF($E1165="","",IF($B1165="Tema",INDEX(Config!$D$6:$D$11,$D1165),IFERROR(INDEX(Config!$E$15:$E$19,MATCH($I1165,Config!$C$15:$C$19,0)),"•")))</f>
        <v/>
      </c>
      <c r="I1165" s="114" t="str">
        <f aca="false">IF($E1165="","",IF($B1165="Tema",INDEX(Config!$E$6:$E$11,$D1165),IF(INDEX(Avulsos!$D$6:$D$205,$C1165)&amp;""="","Outro",INDEX(Avulsos!$D$6:$D$205,$C1165))))</f>
        <v/>
      </c>
      <c r="J1165" s="114" t="str">
        <f aca="false">IF($E1165="","",IF($B1165="Tema",INDEX(Temas!$C$6:$C$305,$C1165)&amp;"",INDEX(Avulsos!$E$6:$E$205,$C1165)&amp;""))</f>
        <v/>
      </c>
      <c r="K1165" s="114" t="str">
        <f aca="false">IF($E1165="","",IF(IF($B1165="Tema",INDEX(Temas!$E$6:$P$305,$C1165,2*$D1165),INDEX(Avulsos!$F$6:$F$205,$C1165))&amp;""="","","✓"))</f>
        <v/>
      </c>
      <c r="L1165" s="114" t="str">
        <f aca="true">IF($E1165="","",IF($K1165="✓","Concluído",IF($E1165&lt;TODAY(),"Atrasado",IF($E1165=TODAY(),"Hoje","Pendente"))))</f>
        <v/>
      </c>
      <c r="M1165" s="114" t="str">
        <f aca="false">IF($E1165="","",IF($K1165="✓","✓ ","")&amp;IF(Config!$E$22="Sim",$H1165&amp;" · ","")&amp;$F1165)</f>
        <v/>
      </c>
      <c r="N1165" s="114" t="str">
        <f aca="false">IF($E1165="","",IFERROR(INDEX(Config!$D$15:$D$19,MATCH($I1165,Config!$C$15:$C$19,0)),"OUT")&amp;IF($K1165="✓","x",""))</f>
        <v/>
      </c>
      <c r="O1165" s="114" t="str">
        <f aca="false">IF($E1165="","",COUNTIF($E$5:$E1165,$E1165))</f>
        <v/>
      </c>
      <c r="P1165" s="114" t="str">
        <f aca="false">IF($E1165="","",$E1165*100+$O1165)</f>
        <v/>
      </c>
      <c r="Q1165" s="114" t="str">
        <f aca="false">IF($L1165="Atrasado",$E1165*10000+$A1165,"")</f>
        <v/>
      </c>
    </row>
    <row r="1166" customFormat="false" ht="15" hidden="false" customHeight="false" outlineLevel="0" collapsed="false">
      <c r="A1166" s="114" t="n">
        <f aca="false">ROW()-4</f>
        <v>1162</v>
      </c>
      <c r="B1166" s="114" t="str">
        <f aca="false">IF(A1166&lt;=Config!$E$27*Config!$E$28,"Tema","Avulso")</f>
        <v>Tema</v>
      </c>
      <c r="C1166" s="114" t="n">
        <f aca="false">IF(B1166="Tema",INT((A1166-1)/Config!$E$28)+1,A1166-Config!$E$27*Config!$E$28)</f>
        <v>194</v>
      </c>
      <c r="D1166" s="114" t="n">
        <f aca="false">IF(B1166="Tema",MOD(A1166-1,Config!$E$28)+1,"")</f>
        <v>4</v>
      </c>
      <c r="E1166" s="115" t="str">
        <f aca="false">IF($B1166="Tema",IF(ISNUMBER(INDEX(Temas!$E$6:$P$305,$C1166,2*$D1166-1)),INDEX(Temas!$E$6:$P$305,$C1166,2*$D1166-1),""),IF(ISNUMBER(INDEX(Avulsos!$B$6:$B$205,$C1166)),INDEX(Avulsos!$B$6:$B$205,$C1166),""))</f>
        <v/>
      </c>
      <c r="F1166" s="114" t="str">
        <f aca="false">IF($E1166="","",IF($B1166="Tema",INDEX(Temas!$B$6:$B$305,$C1166)&amp;"",INDEX(Avulsos!$C$6:$C$205,$C1166)&amp;""))</f>
        <v/>
      </c>
      <c r="G1166" s="114" t="str">
        <f aca="false">IF($E1166="","",IF($B1166="Tema",INDEX(Config!$C$6:$C$11,$D1166),"Evento avulso"))</f>
        <v/>
      </c>
      <c r="H1166" s="114" t="str">
        <f aca="false">IF($E1166="","",IF($B1166="Tema",INDEX(Config!$D$6:$D$11,$D1166),IFERROR(INDEX(Config!$E$15:$E$19,MATCH($I1166,Config!$C$15:$C$19,0)),"•")))</f>
        <v/>
      </c>
      <c r="I1166" s="114" t="str">
        <f aca="false">IF($E1166="","",IF($B1166="Tema",INDEX(Config!$E$6:$E$11,$D1166),IF(INDEX(Avulsos!$D$6:$D$205,$C1166)&amp;""="","Outro",INDEX(Avulsos!$D$6:$D$205,$C1166))))</f>
        <v/>
      </c>
      <c r="J1166" s="114" t="str">
        <f aca="false">IF($E1166="","",IF($B1166="Tema",INDEX(Temas!$C$6:$C$305,$C1166)&amp;"",INDEX(Avulsos!$E$6:$E$205,$C1166)&amp;""))</f>
        <v/>
      </c>
      <c r="K1166" s="114" t="str">
        <f aca="false">IF($E1166="","",IF(IF($B1166="Tema",INDEX(Temas!$E$6:$P$305,$C1166,2*$D1166),INDEX(Avulsos!$F$6:$F$205,$C1166))&amp;""="","","✓"))</f>
        <v/>
      </c>
      <c r="L1166" s="114" t="str">
        <f aca="true">IF($E1166="","",IF($K1166="✓","Concluído",IF($E1166&lt;TODAY(),"Atrasado",IF($E1166=TODAY(),"Hoje","Pendente"))))</f>
        <v/>
      </c>
      <c r="M1166" s="114" t="str">
        <f aca="false">IF($E1166="","",IF($K1166="✓","✓ ","")&amp;IF(Config!$E$22="Sim",$H1166&amp;" · ","")&amp;$F1166)</f>
        <v/>
      </c>
      <c r="N1166" s="114" t="str">
        <f aca="false">IF($E1166="","",IFERROR(INDEX(Config!$D$15:$D$19,MATCH($I1166,Config!$C$15:$C$19,0)),"OUT")&amp;IF($K1166="✓","x",""))</f>
        <v/>
      </c>
      <c r="O1166" s="114" t="str">
        <f aca="false">IF($E1166="","",COUNTIF($E$5:$E1166,$E1166))</f>
        <v/>
      </c>
      <c r="P1166" s="114" t="str">
        <f aca="false">IF($E1166="","",$E1166*100+$O1166)</f>
        <v/>
      </c>
      <c r="Q1166" s="114" t="str">
        <f aca="false">IF($L1166="Atrasado",$E1166*10000+$A1166,"")</f>
        <v/>
      </c>
    </row>
    <row r="1167" customFormat="false" ht="15" hidden="false" customHeight="false" outlineLevel="0" collapsed="false">
      <c r="A1167" s="114" t="n">
        <f aca="false">ROW()-4</f>
        <v>1163</v>
      </c>
      <c r="B1167" s="114" t="str">
        <f aca="false">IF(A1167&lt;=Config!$E$27*Config!$E$28,"Tema","Avulso")</f>
        <v>Tema</v>
      </c>
      <c r="C1167" s="114" t="n">
        <f aca="false">IF(B1167="Tema",INT((A1167-1)/Config!$E$28)+1,A1167-Config!$E$27*Config!$E$28)</f>
        <v>194</v>
      </c>
      <c r="D1167" s="114" t="n">
        <f aca="false">IF(B1167="Tema",MOD(A1167-1,Config!$E$28)+1,"")</f>
        <v>5</v>
      </c>
      <c r="E1167" s="115" t="str">
        <f aca="false">IF($B1167="Tema",IF(ISNUMBER(INDEX(Temas!$E$6:$P$305,$C1167,2*$D1167-1)),INDEX(Temas!$E$6:$P$305,$C1167,2*$D1167-1),""),IF(ISNUMBER(INDEX(Avulsos!$B$6:$B$205,$C1167)),INDEX(Avulsos!$B$6:$B$205,$C1167),""))</f>
        <v/>
      </c>
      <c r="F1167" s="114" t="str">
        <f aca="false">IF($E1167="","",IF($B1167="Tema",INDEX(Temas!$B$6:$B$305,$C1167)&amp;"",INDEX(Avulsos!$C$6:$C$205,$C1167)&amp;""))</f>
        <v/>
      </c>
      <c r="G1167" s="114" t="str">
        <f aca="false">IF($E1167="","",IF($B1167="Tema",INDEX(Config!$C$6:$C$11,$D1167),"Evento avulso"))</f>
        <v/>
      </c>
      <c r="H1167" s="114" t="str">
        <f aca="false">IF($E1167="","",IF($B1167="Tema",INDEX(Config!$D$6:$D$11,$D1167),IFERROR(INDEX(Config!$E$15:$E$19,MATCH($I1167,Config!$C$15:$C$19,0)),"•")))</f>
        <v/>
      </c>
      <c r="I1167" s="114" t="str">
        <f aca="false">IF($E1167="","",IF($B1167="Tema",INDEX(Config!$E$6:$E$11,$D1167),IF(INDEX(Avulsos!$D$6:$D$205,$C1167)&amp;""="","Outro",INDEX(Avulsos!$D$6:$D$205,$C1167))))</f>
        <v/>
      </c>
      <c r="J1167" s="114" t="str">
        <f aca="false">IF($E1167="","",IF($B1167="Tema",INDEX(Temas!$C$6:$C$305,$C1167)&amp;"",INDEX(Avulsos!$E$6:$E$205,$C1167)&amp;""))</f>
        <v/>
      </c>
      <c r="K1167" s="114" t="str">
        <f aca="false">IF($E1167="","",IF(IF($B1167="Tema",INDEX(Temas!$E$6:$P$305,$C1167,2*$D1167),INDEX(Avulsos!$F$6:$F$205,$C1167))&amp;""="","","✓"))</f>
        <v/>
      </c>
      <c r="L1167" s="114" t="str">
        <f aca="true">IF($E1167="","",IF($K1167="✓","Concluído",IF($E1167&lt;TODAY(),"Atrasado",IF($E1167=TODAY(),"Hoje","Pendente"))))</f>
        <v/>
      </c>
      <c r="M1167" s="114" t="str">
        <f aca="false">IF($E1167="","",IF($K1167="✓","✓ ","")&amp;IF(Config!$E$22="Sim",$H1167&amp;" · ","")&amp;$F1167)</f>
        <v/>
      </c>
      <c r="N1167" s="114" t="str">
        <f aca="false">IF($E1167="","",IFERROR(INDEX(Config!$D$15:$D$19,MATCH($I1167,Config!$C$15:$C$19,0)),"OUT")&amp;IF($K1167="✓","x",""))</f>
        <v/>
      </c>
      <c r="O1167" s="114" t="str">
        <f aca="false">IF($E1167="","",COUNTIF($E$5:$E1167,$E1167))</f>
        <v/>
      </c>
      <c r="P1167" s="114" t="str">
        <f aca="false">IF($E1167="","",$E1167*100+$O1167)</f>
        <v/>
      </c>
      <c r="Q1167" s="114" t="str">
        <f aca="false">IF($L1167="Atrasado",$E1167*10000+$A1167,"")</f>
        <v/>
      </c>
    </row>
    <row r="1168" customFormat="false" ht="15" hidden="false" customHeight="false" outlineLevel="0" collapsed="false">
      <c r="A1168" s="114" t="n">
        <f aca="false">ROW()-4</f>
        <v>1164</v>
      </c>
      <c r="B1168" s="114" t="str">
        <f aca="false">IF(A1168&lt;=Config!$E$27*Config!$E$28,"Tema","Avulso")</f>
        <v>Tema</v>
      </c>
      <c r="C1168" s="114" t="n">
        <f aca="false">IF(B1168="Tema",INT((A1168-1)/Config!$E$28)+1,A1168-Config!$E$27*Config!$E$28)</f>
        <v>194</v>
      </c>
      <c r="D1168" s="114" t="n">
        <f aca="false">IF(B1168="Tema",MOD(A1168-1,Config!$E$28)+1,"")</f>
        <v>6</v>
      </c>
      <c r="E1168" s="115" t="str">
        <f aca="false">IF($B1168="Tema",IF(ISNUMBER(INDEX(Temas!$E$6:$P$305,$C1168,2*$D1168-1)),INDEX(Temas!$E$6:$P$305,$C1168,2*$D1168-1),""),IF(ISNUMBER(INDEX(Avulsos!$B$6:$B$205,$C1168)),INDEX(Avulsos!$B$6:$B$205,$C1168),""))</f>
        <v/>
      </c>
      <c r="F1168" s="114" t="str">
        <f aca="false">IF($E1168="","",IF($B1168="Tema",INDEX(Temas!$B$6:$B$305,$C1168)&amp;"",INDEX(Avulsos!$C$6:$C$205,$C1168)&amp;""))</f>
        <v/>
      </c>
      <c r="G1168" s="114" t="str">
        <f aca="false">IF($E1168="","",IF($B1168="Tema",INDEX(Config!$C$6:$C$11,$D1168),"Evento avulso"))</f>
        <v/>
      </c>
      <c r="H1168" s="114" t="str">
        <f aca="false">IF($E1168="","",IF($B1168="Tema",INDEX(Config!$D$6:$D$11,$D1168),IFERROR(INDEX(Config!$E$15:$E$19,MATCH($I1168,Config!$C$15:$C$19,0)),"•")))</f>
        <v/>
      </c>
      <c r="I1168" s="114" t="str">
        <f aca="false">IF($E1168="","",IF($B1168="Tema",INDEX(Config!$E$6:$E$11,$D1168),IF(INDEX(Avulsos!$D$6:$D$205,$C1168)&amp;""="","Outro",INDEX(Avulsos!$D$6:$D$205,$C1168))))</f>
        <v/>
      </c>
      <c r="J1168" s="114" t="str">
        <f aca="false">IF($E1168="","",IF($B1168="Tema",INDEX(Temas!$C$6:$C$305,$C1168)&amp;"",INDEX(Avulsos!$E$6:$E$205,$C1168)&amp;""))</f>
        <v/>
      </c>
      <c r="K1168" s="114" t="str">
        <f aca="false">IF($E1168="","",IF(IF($B1168="Tema",INDEX(Temas!$E$6:$P$305,$C1168,2*$D1168),INDEX(Avulsos!$F$6:$F$205,$C1168))&amp;""="","","✓"))</f>
        <v/>
      </c>
      <c r="L1168" s="114" t="str">
        <f aca="true">IF($E1168="","",IF($K1168="✓","Concluído",IF($E1168&lt;TODAY(),"Atrasado",IF($E1168=TODAY(),"Hoje","Pendente"))))</f>
        <v/>
      </c>
      <c r="M1168" s="114" t="str">
        <f aca="false">IF($E1168="","",IF($K1168="✓","✓ ","")&amp;IF(Config!$E$22="Sim",$H1168&amp;" · ","")&amp;$F1168)</f>
        <v/>
      </c>
      <c r="N1168" s="114" t="str">
        <f aca="false">IF($E1168="","",IFERROR(INDEX(Config!$D$15:$D$19,MATCH($I1168,Config!$C$15:$C$19,0)),"OUT")&amp;IF($K1168="✓","x",""))</f>
        <v/>
      </c>
      <c r="O1168" s="114" t="str">
        <f aca="false">IF($E1168="","",COUNTIF($E$5:$E1168,$E1168))</f>
        <v/>
      </c>
      <c r="P1168" s="114" t="str">
        <f aca="false">IF($E1168="","",$E1168*100+$O1168)</f>
        <v/>
      </c>
      <c r="Q1168" s="114" t="str">
        <f aca="false">IF($L1168="Atrasado",$E1168*10000+$A1168,"")</f>
        <v/>
      </c>
    </row>
    <row r="1169" customFormat="false" ht="15" hidden="false" customHeight="false" outlineLevel="0" collapsed="false">
      <c r="A1169" s="114" t="n">
        <f aca="false">ROW()-4</f>
        <v>1165</v>
      </c>
      <c r="B1169" s="114" t="str">
        <f aca="false">IF(A1169&lt;=Config!$E$27*Config!$E$28,"Tema","Avulso")</f>
        <v>Tema</v>
      </c>
      <c r="C1169" s="114" t="n">
        <f aca="false">IF(B1169="Tema",INT((A1169-1)/Config!$E$28)+1,A1169-Config!$E$27*Config!$E$28)</f>
        <v>195</v>
      </c>
      <c r="D1169" s="114" t="n">
        <f aca="false">IF(B1169="Tema",MOD(A1169-1,Config!$E$28)+1,"")</f>
        <v>1</v>
      </c>
      <c r="E1169" s="115" t="str">
        <f aca="false">IF($B1169="Tema",IF(ISNUMBER(INDEX(Temas!$E$6:$P$305,$C1169,2*$D1169-1)),INDEX(Temas!$E$6:$P$305,$C1169,2*$D1169-1),""),IF(ISNUMBER(INDEX(Avulsos!$B$6:$B$205,$C1169)),INDEX(Avulsos!$B$6:$B$205,$C1169),""))</f>
        <v/>
      </c>
      <c r="F1169" s="114" t="str">
        <f aca="false">IF($E1169="","",IF($B1169="Tema",INDEX(Temas!$B$6:$B$305,$C1169)&amp;"",INDEX(Avulsos!$C$6:$C$205,$C1169)&amp;""))</f>
        <v/>
      </c>
      <c r="G1169" s="114" t="str">
        <f aca="false">IF($E1169="","",IF($B1169="Tema",INDEX(Config!$C$6:$C$11,$D1169),"Evento avulso"))</f>
        <v/>
      </c>
      <c r="H1169" s="114" t="str">
        <f aca="false">IF($E1169="","",IF($B1169="Tema",INDEX(Config!$D$6:$D$11,$D1169),IFERROR(INDEX(Config!$E$15:$E$19,MATCH($I1169,Config!$C$15:$C$19,0)),"•")))</f>
        <v/>
      </c>
      <c r="I1169" s="114" t="str">
        <f aca="false">IF($E1169="","",IF($B1169="Tema",INDEX(Config!$E$6:$E$11,$D1169),IF(INDEX(Avulsos!$D$6:$D$205,$C1169)&amp;""="","Outro",INDEX(Avulsos!$D$6:$D$205,$C1169))))</f>
        <v/>
      </c>
      <c r="J1169" s="114" t="str">
        <f aca="false">IF($E1169="","",IF($B1169="Tema",INDEX(Temas!$C$6:$C$305,$C1169)&amp;"",INDEX(Avulsos!$E$6:$E$205,$C1169)&amp;""))</f>
        <v/>
      </c>
      <c r="K1169" s="114" t="str">
        <f aca="false">IF($E1169="","",IF(IF($B1169="Tema",INDEX(Temas!$E$6:$P$305,$C1169,2*$D1169),INDEX(Avulsos!$F$6:$F$205,$C1169))&amp;""="","","✓"))</f>
        <v/>
      </c>
      <c r="L1169" s="114" t="str">
        <f aca="true">IF($E1169="","",IF($K1169="✓","Concluído",IF($E1169&lt;TODAY(),"Atrasado",IF($E1169=TODAY(),"Hoje","Pendente"))))</f>
        <v/>
      </c>
      <c r="M1169" s="114" t="str">
        <f aca="false">IF($E1169="","",IF($K1169="✓","✓ ","")&amp;IF(Config!$E$22="Sim",$H1169&amp;" · ","")&amp;$F1169)</f>
        <v/>
      </c>
      <c r="N1169" s="114" t="str">
        <f aca="false">IF($E1169="","",IFERROR(INDEX(Config!$D$15:$D$19,MATCH($I1169,Config!$C$15:$C$19,0)),"OUT")&amp;IF($K1169="✓","x",""))</f>
        <v/>
      </c>
      <c r="O1169" s="114" t="str">
        <f aca="false">IF($E1169="","",COUNTIF($E$5:$E1169,$E1169))</f>
        <v/>
      </c>
      <c r="P1169" s="114" t="str">
        <f aca="false">IF($E1169="","",$E1169*100+$O1169)</f>
        <v/>
      </c>
      <c r="Q1169" s="114" t="str">
        <f aca="false">IF($L1169="Atrasado",$E1169*10000+$A1169,"")</f>
        <v/>
      </c>
    </row>
    <row r="1170" customFormat="false" ht="15" hidden="false" customHeight="false" outlineLevel="0" collapsed="false">
      <c r="A1170" s="114" t="n">
        <f aca="false">ROW()-4</f>
        <v>1166</v>
      </c>
      <c r="B1170" s="114" t="str">
        <f aca="false">IF(A1170&lt;=Config!$E$27*Config!$E$28,"Tema","Avulso")</f>
        <v>Tema</v>
      </c>
      <c r="C1170" s="114" t="n">
        <f aca="false">IF(B1170="Tema",INT((A1170-1)/Config!$E$28)+1,A1170-Config!$E$27*Config!$E$28)</f>
        <v>195</v>
      </c>
      <c r="D1170" s="114" t="n">
        <f aca="false">IF(B1170="Tema",MOD(A1170-1,Config!$E$28)+1,"")</f>
        <v>2</v>
      </c>
      <c r="E1170" s="115" t="str">
        <f aca="false">IF($B1170="Tema",IF(ISNUMBER(INDEX(Temas!$E$6:$P$305,$C1170,2*$D1170-1)),INDEX(Temas!$E$6:$P$305,$C1170,2*$D1170-1),""),IF(ISNUMBER(INDEX(Avulsos!$B$6:$B$205,$C1170)),INDEX(Avulsos!$B$6:$B$205,$C1170),""))</f>
        <v/>
      </c>
      <c r="F1170" s="114" t="str">
        <f aca="false">IF($E1170="","",IF($B1170="Tema",INDEX(Temas!$B$6:$B$305,$C1170)&amp;"",INDEX(Avulsos!$C$6:$C$205,$C1170)&amp;""))</f>
        <v/>
      </c>
      <c r="G1170" s="114" t="str">
        <f aca="false">IF($E1170="","",IF($B1170="Tema",INDEX(Config!$C$6:$C$11,$D1170),"Evento avulso"))</f>
        <v/>
      </c>
      <c r="H1170" s="114" t="str">
        <f aca="false">IF($E1170="","",IF($B1170="Tema",INDEX(Config!$D$6:$D$11,$D1170),IFERROR(INDEX(Config!$E$15:$E$19,MATCH($I1170,Config!$C$15:$C$19,0)),"•")))</f>
        <v/>
      </c>
      <c r="I1170" s="114" t="str">
        <f aca="false">IF($E1170="","",IF($B1170="Tema",INDEX(Config!$E$6:$E$11,$D1170),IF(INDEX(Avulsos!$D$6:$D$205,$C1170)&amp;""="","Outro",INDEX(Avulsos!$D$6:$D$205,$C1170))))</f>
        <v/>
      </c>
      <c r="J1170" s="114" t="str">
        <f aca="false">IF($E1170="","",IF($B1170="Tema",INDEX(Temas!$C$6:$C$305,$C1170)&amp;"",INDEX(Avulsos!$E$6:$E$205,$C1170)&amp;""))</f>
        <v/>
      </c>
      <c r="K1170" s="114" t="str">
        <f aca="false">IF($E1170="","",IF(IF($B1170="Tema",INDEX(Temas!$E$6:$P$305,$C1170,2*$D1170),INDEX(Avulsos!$F$6:$F$205,$C1170))&amp;""="","","✓"))</f>
        <v/>
      </c>
      <c r="L1170" s="114" t="str">
        <f aca="true">IF($E1170="","",IF($K1170="✓","Concluído",IF($E1170&lt;TODAY(),"Atrasado",IF($E1170=TODAY(),"Hoje","Pendente"))))</f>
        <v/>
      </c>
      <c r="M1170" s="114" t="str">
        <f aca="false">IF($E1170="","",IF($K1170="✓","✓ ","")&amp;IF(Config!$E$22="Sim",$H1170&amp;" · ","")&amp;$F1170)</f>
        <v/>
      </c>
      <c r="N1170" s="114" t="str">
        <f aca="false">IF($E1170="","",IFERROR(INDEX(Config!$D$15:$D$19,MATCH($I1170,Config!$C$15:$C$19,0)),"OUT")&amp;IF($K1170="✓","x",""))</f>
        <v/>
      </c>
      <c r="O1170" s="114" t="str">
        <f aca="false">IF($E1170="","",COUNTIF($E$5:$E1170,$E1170))</f>
        <v/>
      </c>
      <c r="P1170" s="114" t="str">
        <f aca="false">IF($E1170="","",$E1170*100+$O1170)</f>
        <v/>
      </c>
      <c r="Q1170" s="114" t="str">
        <f aca="false">IF($L1170="Atrasado",$E1170*10000+$A1170,"")</f>
        <v/>
      </c>
    </row>
    <row r="1171" customFormat="false" ht="15" hidden="false" customHeight="false" outlineLevel="0" collapsed="false">
      <c r="A1171" s="114" t="n">
        <f aca="false">ROW()-4</f>
        <v>1167</v>
      </c>
      <c r="B1171" s="114" t="str">
        <f aca="false">IF(A1171&lt;=Config!$E$27*Config!$E$28,"Tema","Avulso")</f>
        <v>Tema</v>
      </c>
      <c r="C1171" s="114" t="n">
        <f aca="false">IF(B1171="Tema",INT((A1171-1)/Config!$E$28)+1,A1171-Config!$E$27*Config!$E$28)</f>
        <v>195</v>
      </c>
      <c r="D1171" s="114" t="n">
        <f aca="false">IF(B1171="Tema",MOD(A1171-1,Config!$E$28)+1,"")</f>
        <v>3</v>
      </c>
      <c r="E1171" s="115" t="str">
        <f aca="false">IF($B1171="Tema",IF(ISNUMBER(INDEX(Temas!$E$6:$P$305,$C1171,2*$D1171-1)),INDEX(Temas!$E$6:$P$305,$C1171,2*$D1171-1),""),IF(ISNUMBER(INDEX(Avulsos!$B$6:$B$205,$C1171)),INDEX(Avulsos!$B$6:$B$205,$C1171),""))</f>
        <v/>
      </c>
      <c r="F1171" s="114" t="str">
        <f aca="false">IF($E1171="","",IF($B1171="Tema",INDEX(Temas!$B$6:$B$305,$C1171)&amp;"",INDEX(Avulsos!$C$6:$C$205,$C1171)&amp;""))</f>
        <v/>
      </c>
      <c r="G1171" s="114" t="str">
        <f aca="false">IF($E1171="","",IF($B1171="Tema",INDEX(Config!$C$6:$C$11,$D1171),"Evento avulso"))</f>
        <v/>
      </c>
      <c r="H1171" s="114" t="str">
        <f aca="false">IF($E1171="","",IF($B1171="Tema",INDEX(Config!$D$6:$D$11,$D1171),IFERROR(INDEX(Config!$E$15:$E$19,MATCH($I1171,Config!$C$15:$C$19,0)),"•")))</f>
        <v/>
      </c>
      <c r="I1171" s="114" t="str">
        <f aca="false">IF($E1171="","",IF($B1171="Tema",INDEX(Config!$E$6:$E$11,$D1171),IF(INDEX(Avulsos!$D$6:$D$205,$C1171)&amp;""="","Outro",INDEX(Avulsos!$D$6:$D$205,$C1171))))</f>
        <v/>
      </c>
      <c r="J1171" s="114" t="str">
        <f aca="false">IF($E1171="","",IF($B1171="Tema",INDEX(Temas!$C$6:$C$305,$C1171)&amp;"",INDEX(Avulsos!$E$6:$E$205,$C1171)&amp;""))</f>
        <v/>
      </c>
      <c r="K1171" s="114" t="str">
        <f aca="false">IF($E1171="","",IF(IF($B1171="Tema",INDEX(Temas!$E$6:$P$305,$C1171,2*$D1171),INDEX(Avulsos!$F$6:$F$205,$C1171))&amp;""="","","✓"))</f>
        <v/>
      </c>
      <c r="L1171" s="114" t="str">
        <f aca="true">IF($E1171="","",IF($K1171="✓","Concluído",IF($E1171&lt;TODAY(),"Atrasado",IF($E1171=TODAY(),"Hoje","Pendente"))))</f>
        <v/>
      </c>
      <c r="M1171" s="114" t="str">
        <f aca="false">IF($E1171="","",IF($K1171="✓","✓ ","")&amp;IF(Config!$E$22="Sim",$H1171&amp;" · ","")&amp;$F1171)</f>
        <v/>
      </c>
      <c r="N1171" s="114" t="str">
        <f aca="false">IF($E1171="","",IFERROR(INDEX(Config!$D$15:$D$19,MATCH($I1171,Config!$C$15:$C$19,0)),"OUT")&amp;IF($K1171="✓","x",""))</f>
        <v/>
      </c>
      <c r="O1171" s="114" t="str">
        <f aca="false">IF($E1171="","",COUNTIF($E$5:$E1171,$E1171))</f>
        <v/>
      </c>
      <c r="P1171" s="114" t="str">
        <f aca="false">IF($E1171="","",$E1171*100+$O1171)</f>
        <v/>
      </c>
      <c r="Q1171" s="114" t="str">
        <f aca="false">IF($L1171="Atrasado",$E1171*10000+$A1171,"")</f>
        <v/>
      </c>
    </row>
    <row r="1172" customFormat="false" ht="15" hidden="false" customHeight="false" outlineLevel="0" collapsed="false">
      <c r="A1172" s="114" t="n">
        <f aca="false">ROW()-4</f>
        <v>1168</v>
      </c>
      <c r="B1172" s="114" t="str">
        <f aca="false">IF(A1172&lt;=Config!$E$27*Config!$E$28,"Tema","Avulso")</f>
        <v>Tema</v>
      </c>
      <c r="C1172" s="114" t="n">
        <f aca="false">IF(B1172="Tema",INT((A1172-1)/Config!$E$28)+1,A1172-Config!$E$27*Config!$E$28)</f>
        <v>195</v>
      </c>
      <c r="D1172" s="114" t="n">
        <f aca="false">IF(B1172="Tema",MOD(A1172-1,Config!$E$28)+1,"")</f>
        <v>4</v>
      </c>
      <c r="E1172" s="115" t="str">
        <f aca="false">IF($B1172="Tema",IF(ISNUMBER(INDEX(Temas!$E$6:$P$305,$C1172,2*$D1172-1)),INDEX(Temas!$E$6:$P$305,$C1172,2*$D1172-1),""),IF(ISNUMBER(INDEX(Avulsos!$B$6:$B$205,$C1172)),INDEX(Avulsos!$B$6:$B$205,$C1172),""))</f>
        <v/>
      </c>
      <c r="F1172" s="114" t="str">
        <f aca="false">IF($E1172="","",IF($B1172="Tema",INDEX(Temas!$B$6:$B$305,$C1172)&amp;"",INDEX(Avulsos!$C$6:$C$205,$C1172)&amp;""))</f>
        <v/>
      </c>
      <c r="G1172" s="114" t="str">
        <f aca="false">IF($E1172="","",IF($B1172="Tema",INDEX(Config!$C$6:$C$11,$D1172),"Evento avulso"))</f>
        <v/>
      </c>
      <c r="H1172" s="114" t="str">
        <f aca="false">IF($E1172="","",IF($B1172="Tema",INDEX(Config!$D$6:$D$11,$D1172),IFERROR(INDEX(Config!$E$15:$E$19,MATCH($I1172,Config!$C$15:$C$19,0)),"•")))</f>
        <v/>
      </c>
      <c r="I1172" s="114" t="str">
        <f aca="false">IF($E1172="","",IF($B1172="Tema",INDEX(Config!$E$6:$E$11,$D1172),IF(INDEX(Avulsos!$D$6:$D$205,$C1172)&amp;""="","Outro",INDEX(Avulsos!$D$6:$D$205,$C1172))))</f>
        <v/>
      </c>
      <c r="J1172" s="114" t="str">
        <f aca="false">IF($E1172="","",IF($B1172="Tema",INDEX(Temas!$C$6:$C$305,$C1172)&amp;"",INDEX(Avulsos!$E$6:$E$205,$C1172)&amp;""))</f>
        <v/>
      </c>
      <c r="K1172" s="114" t="str">
        <f aca="false">IF($E1172="","",IF(IF($B1172="Tema",INDEX(Temas!$E$6:$P$305,$C1172,2*$D1172),INDEX(Avulsos!$F$6:$F$205,$C1172))&amp;""="","","✓"))</f>
        <v/>
      </c>
      <c r="L1172" s="114" t="str">
        <f aca="true">IF($E1172="","",IF($K1172="✓","Concluído",IF($E1172&lt;TODAY(),"Atrasado",IF($E1172=TODAY(),"Hoje","Pendente"))))</f>
        <v/>
      </c>
      <c r="M1172" s="114" t="str">
        <f aca="false">IF($E1172="","",IF($K1172="✓","✓ ","")&amp;IF(Config!$E$22="Sim",$H1172&amp;" · ","")&amp;$F1172)</f>
        <v/>
      </c>
      <c r="N1172" s="114" t="str">
        <f aca="false">IF($E1172="","",IFERROR(INDEX(Config!$D$15:$D$19,MATCH($I1172,Config!$C$15:$C$19,0)),"OUT")&amp;IF($K1172="✓","x",""))</f>
        <v/>
      </c>
      <c r="O1172" s="114" t="str">
        <f aca="false">IF($E1172="","",COUNTIF($E$5:$E1172,$E1172))</f>
        <v/>
      </c>
      <c r="P1172" s="114" t="str">
        <f aca="false">IF($E1172="","",$E1172*100+$O1172)</f>
        <v/>
      </c>
      <c r="Q1172" s="114" t="str">
        <f aca="false">IF($L1172="Atrasado",$E1172*10000+$A1172,"")</f>
        <v/>
      </c>
    </row>
    <row r="1173" customFormat="false" ht="15" hidden="false" customHeight="false" outlineLevel="0" collapsed="false">
      <c r="A1173" s="114" t="n">
        <f aca="false">ROW()-4</f>
        <v>1169</v>
      </c>
      <c r="B1173" s="114" t="str">
        <f aca="false">IF(A1173&lt;=Config!$E$27*Config!$E$28,"Tema","Avulso")</f>
        <v>Tema</v>
      </c>
      <c r="C1173" s="114" t="n">
        <f aca="false">IF(B1173="Tema",INT((A1173-1)/Config!$E$28)+1,A1173-Config!$E$27*Config!$E$28)</f>
        <v>195</v>
      </c>
      <c r="D1173" s="114" t="n">
        <f aca="false">IF(B1173="Tema",MOD(A1173-1,Config!$E$28)+1,"")</f>
        <v>5</v>
      </c>
      <c r="E1173" s="115" t="str">
        <f aca="false">IF($B1173="Tema",IF(ISNUMBER(INDEX(Temas!$E$6:$P$305,$C1173,2*$D1173-1)),INDEX(Temas!$E$6:$P$305,$C1173,2*$D1173-1),""),IF(ISNUMBER(INDEX(Avulsos!$B$6:$B$205,$C1173)),INDEX(Avulsos!$B$6:$B$205,$C1173),""))</f>
        <v/>
      </c>
      <c r="F1173" s="114" t="str">
        <f aca="false">IF($E1173="","",IF($B1173="Tema",INDEX(Temas!$B$6:$B$305,$C1173)&amp;"",INDEX(Avulsos!$C$6:$C$205,$C1173)&amp;""))</f>
        <v/>
      </c>
      <c r="G1173" s="114" t="str">
        <f aca="false">IF($E1173="","",IF($B1173="Tema",INDEX(Config!$C$6:$C$11,$D1173),"Evento avulso"))</f>
        <v/>
      </c>
      <c r="H1173" s="114" t="str">
        <f aca="false">IF($E1173="","",IF($B1173="Tema",INDEX(Config!$D$6:$D$11,$D1173),IFERROR(INDEX(Config!$E$15:$E$19,MATCH($I1173,Config!$C$15:$C$19,0)),"•")))</f>
        <v/>
      </c>
      <c r="I1173" s="114" t="str">
        <f aca="false">IF($E1173="","",IF($B1173="Tema",INDEX(Config!$E$6:$E$11,$D1173),IF(INDEX(Avulsos!$D$6:$D$205,$C1173)&amp;""="","Outro",INDEX(Avulsos!$D$6:$D$205,$C1173))))</f>
        <v/>
      </c>
      <c r="J1173" s="114" t="str">
        <f aca="false">IF($E1173="","",IF($B1173="Tema",INDEX(Temas!$C$6:$C$305,$C1173)&amp;"",INDEX(Avulsos!$E$6:$E$205,$C1173)&amp;""))</f>
        <v/>
      </c>
      <c r="K1173" s="114" t="str">
        <f aca="false">IF($E1173="","",IF(IF($B1173="Tema",INDEX(Temas!$E$6:$P$305,$C1173,2*$D1173),INDEX(Avulsos!$F$6:$F$205,$C1173))&amp;""="","","✓"))</f>
        <v/>
      </c>
      <c r="L1173" s="114" t="str">
        <f aca="true">IF($E1173="","",IF($K1173="✓","Concluído",IF($E1173&lt;TODAY(),"Atrasado",IF($E1173=TODAY(),"Hoje","Pendente"))))</f>
        <v/>
      </c>
      <c r="M1173" s="114" t="str">
        <f aca="false">IF($E1173="","",IF($K1173="✓","✓ ","")&amp;IF(Config!$E$22="Sim",$H1173&amp;" · ","")&amp;$F1173)</f>
        <v/>
      </c>
      <c r="N1173" s="114" t="str">
        <f aca="false">IF($E1173="","",IFERROR(INDEX(Config!$D$15:$D$19,MATCH($I1173,Config!$C$15:$C$19,0)),"OUT")&amp;IF($K1173="✓","x",""))</f>
        <v/>
      </c>
      <c r="O1173" s="114" t="str">
        <f aca="false">IF($E1173="","",COUNTIF($E$5:$E1173,$E1173))</f>
        <v/>
      </c>
      <c r="P1173" s="114" t="str">
        <f aca="false">IF($E1173="","",$E1173*100+$O1173)</f>
        <v/>
      </c>
      <c r="Q1173" s="114" t="str">
        <f aca="false">IF($L1173="Atrasado",$E1173*10000+$A1173,"")</f>
        <v/>
      </c>
    </row>
    <row r="1174" customFormat="false" ht="15" hidden="false" customHeight="false" outlineLevel="0" collapsed="false">
      <c r="A1174" s="114" t="n">
        <f aca="false">ROW()-4</f>
        <v>1170</v>
      </c>
      <c r="B1174" s="114" t="str">
        <f aca="false">IF(A1174&lt;=Config!$E$27*Config!$E$28,"Tema","Avulso")</f>
        <v>Tema</v>
      </c>
      <c r="C1174" s="114" t="n">
        <f aca="false">IF(B1174="Tema",INT((A1174-1)/Config!$E$28)+1,A1174-Config!$E$27*Config!$E$28)</f>
        <v>195</v>
      </c>
      <c r="D1174" s="114" t="n">
        <f aca="false">IF(B1174="Tema",MOD(A1174-1,Config!$E$28)+1,"")</f>
        <v>6</v>
      </c>
      <c r="E1174" s="115" t="str">
        <f aca="false">IF($B1174="Tema",IF(ISNUMBER(INDEX(Temas!$E$6:$P$305,$C1174,2*$D1174-1)),INDEX(Temas!$E$6:$P$305,$C1174,2*$D1174-1),""),IF(ISNUMBER(INDEX(Avulsos!$B$6:$B$205,$C1174)),INDEX(Avulsos!$B$6:$B$205,$C1174),""))</f>
        <v/>
      </c>
      <c r="F1174" s="114" t="str">
        <f aca="false">IF($E1174="","",IF($B1174="Tema",INDEX(Temas!$B$6:$B$305,$C1174)&amp;"",INDEX(Avulsos!$C$6:$C$205,$C1174)&amp;""))</f>
        <v/>
      </c>
      <c r="G1174" s="114" t="str">
        <f aca="false">IF($E1174="","",IF($B1174="Tema",INDEX(Config!$C$6:$C$11,$D1174),"Evento avulso"))</f>
        <v/>
      </c>
      <c r="H1174" s="114" t="str">
        <f aca="false">IF($E1174="","",IF($B1174="Tema",INDEX(Config!$D$6:$D$11,$D1174),IFERROR(INDEX(Config!$E$15:$E$19,MATCH($I1174,Config!$C$15:$C$19,0)),"•")))</f>
        <v/>
      </c>
      <c r="I1174" s="114" t="str">
        <f aca="false">IF($E1174="","",IF($B1174="Tema",INDEX(Config!$E$6:$E$11,$D1174),IF(INDEX(Avulsos!$D$6:$D$205,$C1174)&amp;""="","Outro",INDEX(Avulsos!$D$6:$D$205,$C1174))))</f>
        <v/>
      </c>
      <c r="J1174" s="114" t="str">
        <f aca="false">IF($E1174="","",IF($B1174="Tema",INDEX(Temas!$C$6:$C$305,$C1174)&amp;"",INDEX(Avulsos!$E$6:$E$205,$C1174)&amp;""))</f>
        <v/>
      </c>
      <c r="K1174" s="114" t="str">
        <f aca="false">IF($E1174="","",IF(IF($B1174="Tema",INDEX(Temas!$E$6:$P$305,$C1174,2*$D1174),INDEX(Avulsos!$F$6:$F$205,$C1174))&amp;""="","","✓"))</f>
        <v/>
      </c>
      <c r="L1174" s="114" t="str">
        <f aca="true">IF($E1174="","",IF($K1174="✓","Concluído",IF($E1174&lt;TODAY(),"Atrasado",IF($E1174=TODAY(),"Hoje","Pendente"))))</f>
        <v/>
      </c>
      <c r="M1174" s="114" t="str">
        <f aca="false">IF($E1174="","",IF($K1174="✓","✓ ","")&amp;IF(Config!$E$22="Sim",$H1174&amp;" · ","")&amp;$F1174)</f>
        <v/>
      </c>
      <c r="N1174" s="114" t="str">
        <f aca="false">IF($E1174="","",IFERROR(INDEX(Config!$D$15:$D$19,MATCH($I1174,Config!$C$15:$C$19,0)),"OUT")&amp;IF($K1174="✓","x",""))</f>
        <v/>
      </c>
      <c r="O1174" s="114" t="str">
        <f aca="false">IF($E1174="","",COUNTIF($E$5:$E1174,$E1174))</f>
        <v/>
      </c>
      <c r="P1174" s="114" t="str">
        <f aca="false">IF($E1174="","",$E1174*100+$O1174)</f>
        <v/>
      </c>
      <c r="Q1174" s="114" t="str">
        <f aca="false">IF($L1174="Atrasado",$E1174*10000+$A1174,"")</f>
        <v/>
      </c>
    </row>
    <row r="1175" customFormat="false" ht="15" hidden="false" customHeight="false" outlineLevel="0" collapsed="false">
      <c r="A1175" s="114" t="n">
        <f aca="false">ROW()-4</f>
        <v>1171</v>
      </c>
      <c r="B1175" s="114" t="str">
        <f aca="false">IF(A1175&lt;=Config!$E$27*Config!$E$28,"Tema","Avulso")</f>
        <v>Tema</v>
      </c>
      <c r="C1175" s="114" t="n">
        <f aca="false">IF(B1175="Tema",INT((A1175-1)/Config!$E$28)+1,A1175-Config!$E$27*Config!$E$28)</f>
        <v>196</v>
      </c>
      <c r="D1175" s="114" t="n">
        <f aca="false">IF(B1175="Tema",MOD(A1175-1,Config!$E$28)+1,"")</f>
        <v>1</v>
      </c>
      <c r="E1175" s="115" t="str">
        <f aca="false">IF($B1175="Tema",IF(ISNUMBER(INDEX(Temas!$E$6:$P$305,$C1175,2*$D1175-1)),INDEX(Temas!$E$6:$P$305,$C1175,2*$D1175-1),""),IF(ISNUMBER(INDEX(Avulsos!$B$6:$B$205,$C1175)),INDEX(Avulsos!$B$6:$B$205,$C1175),""))</f>
        <v/>
      </c>
      <c r="F1175" s="114" t="str">
        <f aca="false">IF($E1175="","",IF($B1175="Tema",INDEX(Temas!$B$6:$B$305,$C1175)&amp;"",INDEX(Avulsos!$C$6:$C$205,$C1175)&amp;""))</f>
        <v/>
      </c>
      <c r="G1175" s="114" t="str">
        <f aca="false">IF($E1175="","",IF($B1175="Tema",INDEX(Config!$C$6:$C$11,$D1175),"Evento avulso"))</f>
        <v/>
      </c>
      <c r="H1175" s="114" t="str">
        <f aca="false">IF($E1175="","",IF($B1175="Tema",INDEX(Config!$D$6:$D$11,$D1175),IFERROR(INDEX(Config!$E$15:$E$19,MATCH($I1175,Config!$C$15:$C$19,0)),"•")))</f>
        <v/>
      </c>
      <c r="I1175" s="114" t="str">
        <f aca="false">IF($E1175="","",IF($B1175="Tema",INDEX(Config!$E$6:$E$11,$D1175),IF(INDEX(Avulsos!$D$6:$D$205,$C1175)&amp;""="","Outro",INDEX(Avulsos!$D$6:$D$205,$C1175))))</f>
        <v/>
      </c>
      <c r="J1175" s="114" t="str">
        <f aca="false">IF($E1175="","",IF($B1175="Tema",INDEX(Temas!$C$6:$C$305,$C1175)&amp;"",INDEX(Avulsos!$E$6:$E$205,$C1175)&amp;""))</f>
        <v/>
      </c>
      <c r="K1175" s="114" t="str">
        <f aca="false">IF($E1175="","",IF(IF($B1175="Tema",INDEX(Temas!$E$6:$P$305,$C1175,2*$D1175),INDEX(Avulsos!$F$6:$F$205,$C1175))&amp;""="","","✓"))</f>
        <v/>
      </c>
      <c r="L1175" s="114" t="str">
        <f aca="true">IF($E1175="","",IF($K1175="✓","Concluído",IF($E1175&lt;TODAY(),"Atrasado",IF($E1175=TODAY(),"Hoje","Pendente"))))</f>
        <v/>
      </c>
      <c r="M1175" s="114" t="str">
        <f aca="false">IF($E1175="","",IF($K1175="✓","✓ ","")&amp;IF(Config!$E$22="Sim",$H1175&amp;" · ","")&amp;$F1175)</f>
        <v/>
      </c>
      <c r="N1175" s="114" t="str">
        <f aca="false">IF($E1175="","",IFERROR(INDEX(Config!$D$15:$D$19,MATCH($I1175,Config!$C$15:$C$19,0)),"OUT")&amp;IF($K1175="✓","x",""))</f>
        <v/>
      </c>
      <c r="O1175" s="114" t="str">
        <f aca="false">IF($E1175="","",COUNTIF($E$5:$E1175,$E1175))</f>
        <v/>
      </c>
      <c r="P1175" s="114" t="str">
        <f aca="false">IF($E1175="","",$E1175*100+$O1175)</f>
        <v/>
      </c>
      <c r="Q1175" s="114" t="str">
        <f aca="false">IF($L1175="Atrasado",$E1175*10000+$A1175,"")</f>
        <v/>
      </c>
    </row>
    <row r="1176" customFormat="false" ht="15" hidden="false" customHeight="false" outlineLevel="0" collapsed="false">
      <c r="A1176" s="114" t="n">
        <f aca="false">ROW()-4</f>
        <v>1172</v>
      </c>
      <c r="B1176" s="114" t="str">
        <f aca="false">IF(A1176&lt;=Config!$E$27*Config!$E$28,"Tema","Avulso")</f>
        <v>Tema</v>
      </c>
      <c r="C1176" s="114" t="n">
        <f aca="false">IF(B1176="Tema",INT((A1176-1)/Config!$E$28)+1,A1176-Config!$E$27*Config!$E$28)</f>
        <v>196</v>
      </c>
      <c r="D1176" s="114" t="n">
        <f aca="false">IF(B1176="Tema",MOD(A1176-1,Config!$E$28)+1,"")</f>
        <v>2</v>
      </c>
      <c r="E1176" s="115" t="str">
        <f aca="false">IF($B1176="Tema",IF(ISNUMBER(INDEX(Temas!$E$6:$P$305,$C1176,2*$D1176-1)),INDEX(Temas!$E$6:$P$305,$C1176,2*$D1176-1),""),IF(ISNUMBER(INDEX(Avulsos!$B$6:$B$205,$C1176)),INDEX(Avulsos!$B$6:$B$205,$C1176),""))</f>
        <v/>
      </c>
      <c r="F1176" s="114" t="str">
        <f aca="false">IF($E1176="","",IF($B1176="Tema",INDEX(Temas!$B$6:$B$305,$C1176)&amp;"",INDEX(Avulsos!$C$6:$C$205,$C1176)&amp;""))</f>
        <v/>
      </c>
      <c r="G1176" s="114" t="str">
        <f aca="false">IF($E1176="","",IF($B1176="Tema",INDEX(Config!$C$6:$C$11,$D1176),"Evento avulso"))</f>
        <v/>
      </c>
      <c r="H1176" s="114" t="str">
        <f aca="false">IF($E1176="","",IF($B1176="Tema",INDEX(Config!$D$6:$D$11,$D1176),IFERROR(INDEX(Config!$E$15:$E$19,MATCH($I1176,Config!$C$15:$C$19,0)),"•")))</f>
        <v/>
      </c>
      <c r="I1176" s="114" t="str">
        <f aca="false">IF($E1176="","",IF($B1176="Tema",INDEX(Config!$E$6:$E$11,$D1176),IF(INDEX(Avulsos!$D$6:$D$205,$C1176)&amp;""="","Outro",INDEX(Avulsos!$D$6:$D$205,$C1176))))</f>
        <v/>
      </c>
      <c r="J1176" s="114" t="str">
        <f aca="false">IF($E1176="","",IF($B1176="Tema",INDEX(Temas!$C$6:$C$305,$C1176)&amp;"",INDEX(Avulsos!$E$6:$E$205,$C1176)&amp;""))</f>
        <v/>
      </c>
      <c r="K1176" s="114" t="str">
        <f aca="false">IF($E1176="","",IF(IF($B1176="Tema",INDEX(Temas!$E$6:$P$305,$C1176,2*$D1176),INDEX(Avulsos!$F$6:$F$205,$C1176))&amp;""="","","✓"))</f>
        <v/>
      </c>
      <c r="L1176" s="114" t="str">
        <f aca="true">IF($E1176="","",IF($K1176="✓","Concluído",IF($E1176&lt;TODAY(),"Atrasado",IF($E1176=TODAY(),"Hoje","Pendente"))))</f>
        <v/>
      </c>
      <c r="M1176" s="114" t="str">
        <f aca="false">IF($E1176="","",IF($K1176="✓","✓ ","")&amp;IF(Config!$E$22="Sim",$H1176&amp;" · ","")&amp;$F1176)</f>
        <v/>
      </c>
      <c r="N1176" s="114" t="str">
        <f aca="false">IF($E1176="","",IFERROR(INDEX(Config!$D$15:$D$19,MATCH($I1176,Config!$C$15:$C$19,0)),"OUT")&amp;IF($K1176="✓","x",""))</f>
        <v/>
      </c>
      <c r="O1176" s="114" t="str">
        <f aca="false">IF($E1176="","",COUNTIF($E$5:$E1176,$E1176))</f>
        <v/>
      </c>
      <c r="P1176" s="114" t="str">
        <f aca="false">IF($E1176="","",$E1176*100+$O1176)</f>
        <v/>
      </c>
      <c r="Q1176" s="114" t="str">
        <f aca="false">IF($L1176="Atrasado",$E1176*10000+$A1176,"")</f>
        <v/>
      </c>
    </row>
    <row r="1177" customFormat="false" ht="15" hidden="false" customHeight="false" outlineLevel="0" collapsed="false">
      <c r="A1177" s="114" t="n">
        <f aca="false">ROW()-4</f>
        <v>1173</v>
      </c>
      <c r="B1177" s="114" t="str">
        <f aca="false">IF(A1177&lt;=Config!$E$27*Config!$E$28,"Tema","Avulso")</f>
        <v>Tema</v>
      </c>
      <c r="C1177" s="114" t="n">
        <f aca="false">IF(B1177="Tema",INT((A1177-1)/Config!$E$28)+1,A1177-Config!$E$27*Config!$E$28)</f>
        <v>196</v>
      </c>
      <c r="D1177" s="114" t="n">
        <f aca="false">IF(B1177="Tema",MOD(A1177-1,Config!$E$28)+1,"")</f>
        <v>3</v>
      </c>
      <c r="E1177" s="115" t="str">
        <f aca="false">IF($B1177="Tema",IF(ISNUMBER(INDEX(Temas!$E$6:$P$305,$C1177,2*$D1177-1)),INDEX(Temas!$E$6:$P$305,$C1177,2*$D1177-1),""),IF(ISNUMBER(INDEX(Avulsos!$B$6:$B$205,$C1177)),INDEX(Avulsos!$B$6:$B$205,$C1177),""))</f>
        <v/>
      </c>
      <c r="F1177" s="114" t="str">
        <f aca="false">IF($E1177="","",IF($B1177="Tema",INDEX(Temas!$B$6:$B$305,$C1177)&amp;"",INDEX(Avulsos!$C$6:$C$205,$C1177)&amp;""))</f>
        <v/>
      </c>
      <c r="G1177" s="114" t="str">
        <f aca="false">IF($E1177="","",IF($B1177="Tema",INDEX(Config!$C$6:$C$11,$D1177),"Evento avulso"))</f>
        <v/>
      </c>
      <c r="H1177" s="114" t="str">
        <f aca="false">IF($E1177="","",IF($B1177="Tema",INDEX(Config!$D$6:$D$11,$D1177),IFERROR(INDEX(Config!$E$15:$E$19,MATCH($I1177,Config!$C$15:$C$19,0)),"•")))</f>
        <v/>
      </c>
      <c r="I1177" s="114" t="str">
        <f aca="false">IF($E1177="","",IF($B1177="Tema",INDEX(Config!$E$6:$E$11,$D1177),IF(INDEX(Avulsos!$D$6:$D$205,$C1177)&amp;""="","Outro",INDEX(Avulsos!$D$6:$D$205,$C1177))))</f>
        <v/>
      </c>
      <c r="J1177" s="114" t="str">
        <f aca="false">IF($E1177="","",IF($B1177="Tema",INDEX(Temas!$C$6:$C$305,$C1177)&amp;"",INDEX(Avulsos!$E$6:$E$205,$C1177)&amp;""))</f>
        <v/>
      </c>
      <c r="K1177" s="114" t="str">
        <f aca="false">IF($E1177="","",IF(IF($B1177="Tema",INDEX(Temas!$E$6:$P$305,$C1177,2*$D1177),INDEX(Avulsos!$F$6:$F$205,$C1177))&amp;""="","","✓"))</f>
        <v/>
      </c>
      <c r="L1177" s="114" t="str">
        <f aca="true">IF($E1177="","",IF($K1177="✓","Concluído",IF($E1177&lt;TODAY(),"Atrasado",IF($E1177=TODAY(),"Hoje","Pendente"))))</f>
        <v/>
      </c>
      <c r="M1177" s="114" t="str">
        <f aca="false">IF($E1177="","",IF($K1177="✓","✓ ","")&amp;IF(Config!$E$22="Sim",$H1177&amp;" · ","")&amp;$F1177)</f>
        <v/>
      </c>
      <c r="N1177" s="114" t="str">
        <f aca="false">IF($E1177="","",IFERROR(INDEX(Config!$D$15:$D$19,MATCH($I1177,Config!$C$15:$C$19,0)),"OUT")&amp;IF($K1177="✓","x",""))</f>
        <v/>
      </c>
      <c r="O1177" s="114" t="str">
        <f aca="false">IF($E1177="","",COUNTIF($E$5:$E1177,$E1177))</f>
        <v/>
      </c>
      <c r="P1177" s="114" t="str">
        <f aca="false">IF($E1177="","",$E1177*100+$O1177)</f>
        <v/>
      </c>
      <c r="Q1177" s="114" t="str">
        <f aca="false">IF($L1177="Atrasado",$E1177*10000+$A1177,"")</f>
        <v/>
      </c>
    </row>
    <row r="1178" customFormat="false" ht="15" hidden="false" customHeight="false" outlineLevel="0" collapsed="false">
      <c r="A1178" s="114" t="n">
        <f aca="false">ROW()-4</f>
        <v>1174</v>
      </c>
      <c r="B1178" s="114" t="str">
        <f aca="false">IF(A1178&lt;=Config!$E$27*Config!$E$28,"Tema","Avulso")</f>
        <v>Tema</v>
      </c>
      <c r="C1178" s="114" t="n">
        <f aca="false">IF(B1178="Tema",INT((A1178-1)/Config!$E$28)+1,A1178-Config!$E$27*Config!$E$28)</f>
        <v>196</v>
      </c>
      <c r="D1178" s="114" t="n">
        <f aca="false">IF(B1178="Tema",MOD(A1178-1,Config!$E$28)+1,"")</f>
        <v>4</v>
      </c>
      <c r="E1178" s="115" t="str">
        <f aca="false">IF($B1178="Tema",IF(ISNUMBER(INDEX(Temas!$E$6:$P$305,$C1178,2*$D1178-1)),INDEX(Temas!$E$6:$P$305,$C1178,2*$D1178-1),""),IF(ISNUMBER(INDEX(Avulsos!$B$6:$B$205,$C1178)),INDEX(Avulsos!$B$6:$B$205,$C1178),""))</f>
        <v/>
      </c>
      <c r="F1178" s="114" t="str">
        <f aca="false">IF($E1178="","",IF($B1178="Tema",INDEX(Temas!$B$6:$B$305,$C1178)&amp;"",INDEX(Avulsos!$C$6:$C$205,$C1178)&amp;""))</f>
        <v/>
      </c>
      <c r="G1178" s="114" t="str">
        <f aca="false">IF($E1178="","",IF($B1178="Tema",INDEX(Config!$C$6:$C$11,$D1178),"Evento avulso"))</f>
        <v/>
      </c>
      <c r="H1178" s="114" t="str">
        <f aca="false">IF($E1178="","",IF($B1178="Tema",INDEX(Config!$D$6:$D$11,$D1178),IFERROR(INDEX(Config!$E$15:$E$19,MATCH($I1178,Config!$C$15:$C$19,0)),"•")))</f>
        <v/>
      </c>
      <c r="I1178" s="114" t="str">
        <f aca="false">IF($E1178="","",IF($B1178="Tema",INDEX(Config!$E$6:$E$11,$D1178),IF(INDEX(Avulsos!$D$6:$D$205,$C1178)&amp;""="","Outro",INDEX(Avulsos!$D$6:$D$205,$C1178))))</f>
        <v/>
      </c>
      <c r="J1178" s="114" t="str">
        <f aca="false">IF($E1178="","",IF($B1178="Tema",INDEX(Temas!$C$6:$C$305,$C1178)&amp;"",INDEX(Avulsos!$E$6:$E$205,$C1178)&amp;""))</f>
        <v/>
      </c>
      <c r="K1178" s="114" t="str">
        <f aca="false">IF($E1178="","",IF(IF($B1178="Tema",INDEX(Temas!$E$6:$P$305,$C1178,2*$D1178),INDEX(Avulsos!$F$6:$F$205,$C1178))&amp;""="","","✓"))</f>
        <v/>
      </c>
      <c r="L1178" s="114" t="str">
        <f aca="true">IF($E1178="","",IF($K1178="✓","Concluído",IF($E1178&lt;TODAY(),"Atrasado",IF($E1178=TODAY(),"Hoje","Pendente"))))</f>
        <v/>
      </c>
      <c r="M1178" s="114" t="str">
        <f aca="false">IF($E1178="","",IF($K1178="✓","✓ ","")&amp;IF(Config!$E$22="Sim",$H1178&amp;" · ","")&amp;$F1178)</f>
        <v/>
      </c>
      <c r="N1178" s="114" t="str">
        <f aca="false">IF($E1178="","",IFERROR(INDEX(Config!$D$15:$D$19,MATCH($I1178,Config!$C$15:$C$19,0)),"OUT")&amp;IF($K1178="✓","x",""))</f>
        <v/>
      </c>
      <c r="O1178" s="114" t="str">
        <f aca="false">IF($E1178="","",COUNTIF($E$5:$E1178,$E1178))</f>
        <v/>
      </c>
      <c r="P1178" s="114" t="str">
        <f aca="false">IF($E1178="","",$E1178*100+$O1178)</f>
        <v/>
      </c>
      <c r="Q1178" s="114" t="str">
        <f aca="false">IF($L1178="Atrasado",$E1178*10000+$A1178,"")</f>
        <v/>
      </c>
    </row>
    <row r="1179" customFormat="false" ht="15" hidden="false" customHeight="false" outlineLevel="0" collapsed="false">
      <c r="A1179" s="114" t="n">
        <f aca="false">ROW()-4</f>
        <v>1175</v>
      </c>
      <c r="B1179" s="114" t="str">
        <f aca="false">IF(A1179&lt;=Config!$E$27*Config!$E$28,"Tema","Avulso")</f>
        <v>Tema</v>
      </c>
      <c r="C1179" s="114" t="n">
        <f aca="false">IF(B1179="Tema",INT((A1179-1)/Config!$E$28)+1,A1179-Config!$E$27*Config!$E$28)</f>
        <v>196</v>
      </c>
      <c r="D1179" s="114" t="n">
        <f aca="false">IF(B1179="Tema",MOD(A1179-1,Config!$E$28)+1,"")</f>
        <v>5</v>
      </c>
      <c r="E1179" s="115" t="str">
        <f aca="false">IF($B1179="Tema",IF(ISNUMBER(INDEX(Temas!$E$6:$P$305,$C1179,2*$D1179-1)),INDEX(Temas!$E$6:$P$305,$C1179,2*$D1179-1),""),IF(ISNUMBER(INDEX(Avulsos!$B$6:$B$205,$C1179)),INDEX(Avulsos!$B$6:$B$205,$C1179),""))</f>
        <v/>
      </c>
      <c r="F1179" s="114" t="str">
        <f aca="false">IF($E1179="","",IF($B1179="Tema",INDEX(Temas!$B$6:$B$305,$C1179)&amp;"",INDEX(Avulsos!$C$6:$C$205,$C1179)&amp;""))</f>
        <v/>
      </c>
      <c r="G1179" s="114" t="str">
        <f aca="false">IF($E1179="","",IF($B1179="Tema",INDEX(Config!$C$6:$C$11,$D1179),"Evento avulso"))</f>
        <v/>
      </c>
      <c r="H1179" s="114" t="str">
        <f aca="false">IF($E1179="","",IF($B1179="Tema",INDEX(Config!$D$6:$D$11,$D1179),IFERROR(INDEX(Config!$E$15:$E$19,MATCH($I1179,Config!$C$15:$C$19,0)),"•")))</f>
        <v/>
      </c>
      <c r="I1179" s="114" t="str">
        <f aca="false">IF($E1179="","",IF($B1179="Tema",INDEX(Config!$E$6:$E$11,$D1179),IF(INDEX(Avulsos!$D$6:$D$205,$C1179)&amp;""="","Outro",INDEX(Avulsos!$D$6:$D$205,$C1179))))</f>
        <v/>
      </c>
      <c r="J1179" s="114" t="str">
        <f aca="false">IF($E1179="","",IF($B1179="Tema",INDEX(Temas!$C$6:$C$305,$C1179)&amp;"",INDEX(Avulsos!$E$6:$E$205,$C1179)&amp;""))</f>
        <v/>
      </c>
      <c r="K1179" s="114" t="str">
        <f aca="false">IF($E1179="","",IF(IF($B1179="Tema",INDEX(Temas!$E$6:$P$305,$C1179,2*$D1179),INDEX(Avulsos!$F$6:$F$205,$C1179))&amp;""="","","✓"))</f>
        <v/>
      </c>
      <c r="L1179" s="114" t="str">
        <f aca="true">IF($E1179="","",IF($K1179="✓","Concluído",IF($E1179&lt;TODAY(),"Atrasado",IF($E1179=TODAY(),"Hoje","Pendente"))))</f>
        <v/>
      </c>
      <c r="M1179" s="114" t="str">
        <f aca="false">IF($E1179="","",IF($K1179="✓","✓ ","")&amp;IF(Config!$E$22="Sim",$H1179&amp;" · ","")&amp;$F1179)</f>
        <v/>
      </c>
      <c r="N1179" s="114" t="str">
        <f aca="false">IF($E1179="","",IFERROR(INDEX(Config!$D$15:$D$19,MATCH($I1179,Config!$C$15:$C$19,0)),"OUT")&amp;IF($K1179="✓","x",""))</f>
        <v/>
      </c>
      <c r="O1179" s="114" t="str">
        <f aca="false">IF($E1179="","",COUNTIF($E$5:$E1179,$E1179))</f>
        <v/>
      </c>
      <c r="P1179" s="114" t="str">
        <f aca="false">IF($E1179="","",$E1179*100+$O1179)</f>
        <v/>
      </c>
      <c r="Q1179" s="114" t="str">
        <f aca="false">IF($L1179="Atrasado",$E1179*10000+$A1179,"")</f>
        <v/>
      </c>
    </row>
    <row r="1180" customFormat="false" ht="15" hidden="false" customHeight="false" outlineLevel="0" collapsed="false">
      <c r="A1180" s="114" t="n">
        <f aca="false">ROW()-4</f>
        <v>1176</v>
      </c>
      <c r="B1180" s="114" t="str">
        <f aca="false">IF(A1180&lt;=Config!$E$27*Config!$E$28,"Tema","Avulso")</f>
        <v>Tema</v>
      </c>
      <c r="C1180" s="114" t="n">
        <f aca="false">IF(B1180="Tema",INT((A1180-1)/Config!$E$28)+1,A1180-Config!$E$27*Config!$E$28)</f>
        <v>196</v>
      </c>
      <c r="D1180" s="114" t="n">
        <f aca="false">IF(B1180="Tema",MOD(A1180-1,Config!$E$28)+1,"")</f>
        <v>6</v>
      </c>
      <c r="E1180" s="115" t="str">
        <f aca="false">IF($B1180="Tema",IF(ISNUMBER(INDEX(Temas!$E$6:$P$305,$C1180,2*$D1180-1)),INDEX(Temas!$E$6:$P$305,$C1180,2*$D1180-1),""),IF(ISNUMBER(INDEX(Avulsos!$B$6:$B$205,$C1180)),INDEX(Avulsos!$B$6:$B$205,$C1180),""))</f>
        <v/>
      </c>
      <c r="F1180" s="114" t="str">
        <f aca="false">IF($E1180="","",IF($B1180="Tema",INDEX(Temas!$B$6:$B$305,$C1180)&amp;"",INDEX(Avulsos!$C$6:$C$205,$C1180)&amp;""))</f>
        <v/>
      </c>
      <c r="G1180" s="114" t="str">
        <f aca="false">IF($E1180="","",IF($B1180="Tema",INDEX(Config!$C$6:$C$11,$D1180),"Evento avulso"))</f>
        <v/>
      </c>
      <c r="H1180" s="114" t="str">
        <f aca="false">IF($E1180="","",IF($B1180="Tema",INDEX(Config!$D$6:$D$11,$D1180),IFERROR(INDEX(Config!$E$15:$E$19,MATCH($I1180,Config!$C$15:$C$19,0)),"•")))</f>
        <v/>
      </c>
      <c r="I1180" s="114" t="str">
        <f aca="false">IF($E1180="","",IF($B1180="Tema",INDEX(Config!$E$6:$E$11,$D1180),IF(INDEX(Avulsos!$D$6:$D$205,$C1180)&amp;""="","Outro",INDEX(Avulsos!$D$6:$D$205,$C1180))))</f>
        <v/>
      </c>
      <c r="J1180" s="114" t="str">
        <f aca="false">IF($E1180="","",IF($B1180="Tema",INDEX(Temas!$C$6:$C$305,$C1180)&amp;"",INDEX(Avulsos!$E$6:$E$205,$C1180)&amp;""))</f>
        <v/>
      </c>
      <c r="K1180" s="114" t="str">
        <f aca="false">IF($E1180="","",IF(IF($B1180="Tema",INDEX(Temas!$E$6:$P$305,$C1180,2*$D1180),INDEX(Avulsos!$F$6:$F$205,$C1180))&amp;""="","","✓"))</f>
        <v/>
      </c>
      <c r="L1180" s="114" t="str">
        <f aca="true">IF($E1180="","",IF($K1180="✓","Concluído",IF($E1180&lt;TODAY(),"Atrasado",IF($E1180=TODAY(),"Hoje","Pendente"))))</f>
        <v/>
      </c>
      <c r="M1180" s="114" t="str">
        <f aca="false">IF($E1180="","",IF($K1180="✓","✓ ","")&amp;IF(Config!$E$22="Sim",$H1180&amp;" · ","")&amp;$F1180)</f>
        <v/>
      </c>
      <c r="N1180" s="114" t="str">
        <f aca="false">IF($E1180="","",IFERROR(INDEX(Config!$D$15:$D$19,MATCH($I1180,Config!$C$15:$C$19,0)),"OUT")&amp;IF($K1180="✓","x",""))</f>
        <v/>
      </c>
      <c r="O1180" s="114" t="str">
        <f aca="false">IF($E1180="","",COUNTIF($E$5:$E1180,$E1180))</f>
        <v/>
      </c>
      <c r="P1180" s="114" t="str">
        <f aca="false">IF($E1180="","",$E1180*100+$O1180)</f>
        <v/>
      </c>
      <c r="Q1180" s="114" t="str">
        <f aca="false">IF($L1180="Atrasado",$E1180*10000+$A1180,"")</f>
        <v/>
      </c>
    </row>
    <row r="1181" customFormat="false" ht="15" hidden="false" customHeight="false" outlineLevel="0" collapsed="false">
      <c r="A1181" s="114" t="n">
        <f aca="false">ROW()-4</f>
        <v>1177</v>
      </c>
      <c r="B1181" s="114" t="str">
        <f aca="false">IF(A1181&lt;=Config!$E$27*Config!$E$28,"Tema","Avulso")</f>
        <v>Tema</v>
      </c>
      <c r="C1181" s="114" t="n">
        <f aca="false">IF(B1181="Tema",INT((A1181-1)/Config!$E$28)+1,A1181-Config!$E$27*Config!$E$28)</f>
        <v>197</v>
      </c>
      <c r="D1181" s="114" t="n">
        <f aca="false">IF(B1181="Tema",MOD(A1181-1,Config!$E$28)+1,"")</f>
        <v>1</v>
      </c>
      <c r="E1181" s="115" t="str">
        <f aca="false">IF($B1181="Tema",IF(ISNUMBER(INDEX(Temas!$E$6:$P$305,$C1181,2*$D1181-1)),INDEX(Temas!$E$6:$P$305,$C1181,2*$D1181-1),""),IF(ISNUMBER(INDEX(Avulsos!$B$6:$B$205,$C1181)),INDEX(Avulsos!$B$6:$B$205,$C1181),""))</f>
        <v/>
      </c>
      <c r="F1181" s="114" t="str">
        <f aca="false">IF($E1181="","",IF($B1181="Tema",INDEX(Temas!$B$6:$B$305,$C1181)&amp;"",INDEX(Avulsos!$C$6:$C$205,$C1181)&amp;""))</f>
        <v/>
      </c>
      <c r="G1181" s="114" t="str">
        <f aca="false">IF($E1181="","",IF($B1181="Tema",INDEX(Config!$C$6:$C$11,$D1181),"Evento avulso"))</f>
        <v/>
      </c>
      <c r="H1181" s="114" t="str">
        <f aca="false">IF($E1181="","",IF($B1181="Tema",INDEX(Config!$D$6:$D$11,$D1181),IFERROR(INDEX(Config!$E$15:$E$19,MATCH($I1181,Config!$C$15:$C$19,0)),"•")))</f>
        <v/>
      </c>
      <c r="I1181" s="114" t="str">
        <f aca="false">IF($E1181="","",IF($B1181="Tema",INDEX(Config!$E$6:$E$11,$D1181),IF(INDEX(Avulsos!$D$6:$D$205,$C1181)&amp;""="","Outro",INDEX(Avulsos!$D$6:$D$205,$C1181))))</f>
        <v/>
      </c>
      <c r="J1181" s="114" t="str">
        <f aca="false">IF($E1181="","",IF($B1181="Tema",INDEX(Temas!$C$6:$C$305,$C1181)&amp;"",INDEX(Avulsos!$E$6:$E$205,$C1181)&amp;""))</f>
        <v/>
      </c>
      <c r="K1181" s="114" t="str">
        <f aca="false">IF($E1181="","",IF(IF($B1181="Tema",INDEX(Temas!$E$6:$P$305,$C1181,2*$D1181),INDEX(Avulsos!$F$6:$F$205,$C1181))&amp;""="","","✓"))</f>
        <v/>
      </c>
      <c r="L1181" s="114" t="str">
        <f aca="true">IF($E1181="","",IF($K1181="✓","Concluído",IF($E1181&lt;TODAY(),"Atrasado",IF($E1181=TODAY(),"Hoje","Pendente"))))</f>
        <v/>
      </c>
      <c r="M1181" s="114" t="str">
        <f aca="false">IF($E1181="","",IF($K1181="✓","✓ ","")&amp;IF(Config!$E$22="Sim",$H1181&amp;" · ","")&amp;$F1181)</f>
        <v/>
      </c>
      <c r="N1181" s="114" t="str">
        <f aca="false">IF($E1181="","",IFERROR(INDEX(Config!$D$15:$D$19,MATCH($I1181,Config!$C$15:$C$19,0)),"OUT")&amp;IF($K1181="✓","x",""))</f>
        <v/>
      </c>
      <c r="O1181" s="114" t="str">
        <f aca="false">IF($E1181="","",COUNTIF($E$5:$E1181,$E1181))</f>
        <v/>
      </c>
      <c r="P1181" s="114" t="str">
        <f aca="false">IF($E1181="","",$E1181*100+$O1181)</f>
        <v/>
      </c>
      <c r="Q1181" s="114" t="str">
        <f aca="false">IF($L1181="Atrasado",$E1181*10000+$A1181,"")</f>
        <v/>
      </c>
    </row>
    <row r="1182" customFormat="false" ht="15" hidden="false" customHeight="false" outlineLevel="0" collapsed="false">
      <c r="A1182" s="114" t="n">
        <f aca="false">ROW()-4</f>
        <v>1178</v>
      </c>
      <c r="B1182" s="114" t="str">
        <f aca="false">IF(A1182&lt;=Config!$E$27*Config!$E$28,"Tema","Avulso")</f>
        <v>Tema</v>
      </c>
      <c r="C1182" s="114" t="n">
        <f aca="false">IF(B1182="Tema",INT((A1182-1)/Config!$E$28)+1,A1182-Config!$E$27*Config!$E$28)</f>
        <v>197</v>
      </c>
      <c r="D1182" s="114" t="n">
        <f aca="false">IF(B1182="Tema",MOD(A1182-1,Config!$E$28)+1,"")</f>
        <v>2</v>
      </c>
      <c r="E1182" s="115" t="str">
        <f aca="false">IF($B1182="Tema",IF(ISNUMBER(INDEX(Temas!$E$6:$P$305,$C1182,2*$D1182-1)),INDEX(Temas!$E$6:$P$305,$C1182,2*$D1182-1),""),IF(ISNUMBER(INDEX(Avulsos!$B$6:$B$205,$C1182)),INDEX(Avulsos!$B$6:$B$205,$C1182),""))</f>
        <v/>
      </c>
      <c r="F1182" s="114" t="str">
        <f aca="false">IF($E1182="","",IF($B1182="Tema",INDEX(Temas!$B$6:$B$305,$C1182)&amp;"",INDEX(Avulsos!$C$6:$C$205,$C1182)&amp;""))</f>
        <v/>
      </c>
      <c r="G1182" s="114" t="str">
        <f aca="false">IF($E1182="","",IF($B1182="Tema",INDEX(Config!$C$6:$C$11,$D1182),"Evento avulso"))</f>
        <v/>
      </c>
      <c r="H1182" s="114" t="str">
        <f aca="false">IF($E1182="","",IF($B1182="Tema",INDEX(Config!$D$6:$D$11,$D1182),IFERROR(INDEX(Config!$E$15:$E$19,MATCH($I1182,Config!$C$15:$C$19,0)),"•")))</f>
        <v/>
      </c>
      <c r="I1182" s="114" t="str">
        <f aca="false">IF($E1182="","",IF($B1182="Tema",INDEX(Config!$E$6:$E$11,$D1182),IF(INDEX(Avulsos!$D$6:$D$205,$C1182)&amp;""="","Outro",INDEX(Avulsos!$D$6:$D$205,$C1182))))</f>
        <v/>
      </c>
      <c r="J1182" s="114" t="str">
        <f aca="false">IF($E1182="","",IF($B1182="Tema",INDEX(Temas!$C$6:$C$305,$C1182)&amp;"",INDEX(Avulsos!$E$6:$E$205,$C1182)&amp;""))</f>
        <v/>
      </c>
      <c r="K1182" s="114" t="str">
        <f aca="false">IF($E1182="","",IF(IF($B1182="Tema",INDEX(Temas!$E$6:$P$305,$C1182,2*$D1182),INDEX(Avulsos!$F$6:$F$205,$C1182))&amp;""="","","✓"))</f>
        <v/>
      </c>
      <c r="L1182" s="114" t="str">
        <f aca="true">IF($E1182="","",IF($K1182="✓","Concluído",IF($E1182&lt;TODAY(),"Atrasado",IF($E1182=TODAY(),"Hoje","Pendente"))))</f>
        <v/>
      </c>
      <c r="M1182" s="114" t="str">
        <f aca="false">IF($E1182="","",IF($K1182="✓","✓ ","")&amp;IF(Config!$E$22="Sim",$H1182&amp;" · ","")&amp;$F1182)</f>
        <v/>
      </c>
      <c r="N1182" s="114" t="str">
        <f aca="false">IF($E1182="","",IFERROR(INDEX(Config!$D$15:$D$19,MATCH($I1182,Config!$C$15:$C$19,0)),"OUT")&amp;IF($K1182="✓","x",""))</f>
        <v/>
      </c>
      <c r="O1182" s="114" t="str">
        <f aca="false">IF($E1182="","",COUNTIF($E$5:$E1182,$E1182))</f>
        <v/>
      </c>
      <c r="P1182" s="114" t="str">
        <f aca="false">IF($E1182="","",$E1182*100+$O1182)</f>
        <v/>
      </c>
      <c r="Q1182" s="114" t="str">
        <f aca="false">IF($L1182="Atrasado",$E1182*10000+$A1182,"")</f>
        <v/>
      </c>
    </row>
    <row r="1183" customFormat="false" ht="15" hidden="false" customHeight="false" outlineLevel="0" collapsed="false">
      <c r="A1183" s="114" t="n">
        <f aca="false">ROW()-4</f>
        <v>1179</v>
      </c>
      <c r="B1183" s="114" t="str">
        <f aca="false">IF(A1183&lt;=Config!$E$27*Config!$E$28,"Tema","Avulso")</f>
        <v>Tema</v>
      </c>
      <c r="C1183" s="114" t="n">
        <f aca="false">IF(B1183="Tema",INT((A1183-1)/Config!$E$28)+1,A1183-Config!$E$27*Config!$E$28)</f>
        <v>197</v>
      </c>
      <c r="D1183" s="114" t="n">
        <f aca="false">IF(B1183="Tema",MOD(A1183-1,Config!$E$28)+1,"")</f>
        <v>3</v>
      </c>
      <c r="E1183" s="115" t="str">
        <f aca="false">IF($B1183="Tema",IF(ISNUMBER(INDEX(Temas!$E$6:$P$305,$C1183,2*$D1183-1)),INDEX(Temas!$E$6:$P$305,$C1183,2*$D1183-1),""),IF(ISNUMBER(INDEX(Avulsos!$B$6:$B$205,$C1183)),INDEX(Avulsos!$B$6:$B$205,$C1183),""))</f>
        <v/>
      </c>
      <c r="F1183" s="114" t="str">
        <f aca="false">IF($E1183="","",IF($B1183="Tema",INDEX(Temas!$B$6:$B$305,$C1183)&amp;"",INDEX(Avulsos!$C$6:$C$205,$C1183)&amp;""))</f>
        <v/>
      </c>
      <c r="G1183" s="114" t="str">
        <f aca="false">IF($E1183="","",IF($B1183="Tema",INDEX(Config!$C$6:$C$11,$D1183),"Evento avulso"))</f>
        <v/>
      </c>
      <c r="H1183" s="114" t="str">
        <f aca="false">IF($E1183="","",IF($B1183="Tema",INDEX(Config!$D$6:$D$11,$D1183),IFERROR(INDEX(Config!$E$15:$E$19,MATCH($I1183,Config!$C$15:$C$19,0)),"•")))</f>
        <v/>
      </c>
      <c r="I1183" s="114" t="str">
        <f aca="false">IF($E1183="","",IF($B1183="Tema",INDEX(Config!$E$6:$E$11,$D1183),IF(INDEX(Avulsos!$D$6:$D$205,$C1183)&amp;""="","Outro",INDEX(Avulsos!$D$6:$D$205,$C1183))))</f>
        <v/>
      </c>
      <c r="J1183" s="114" t="str">
        <f aca="false">IF($E1183="","",IF($B1183="Tema",INDEX(Temas!$C$6:$C$305,$C1183)&amp;"",INDEX(Avulsos!$E$6:$E$205,$C1183)&amp;""))</f>
        <v/>
      </c>
      <c r="K1183" s="114" t="str">
        <f aca="false">IF($E1183="","",IF(IF($B1183="Tema",INDEX(Temas!$E$6:$P$305,$C1183,2*$D1183),INDEX(Avulsos!$F$6:$F$205,$C1183))&amp;""="","","✓"))</f>
        <v/>
      </c>
      <c r="L1183" s="114" t="str">
        <f aca="true">IF($E1183="","",IF($K1183="✓","Concluído",IF($E1183&lt;TODAY(),"Atrasado",IF($E1183=TODAY(),"Hoje","Pendente"))))</f>
        <v/>
      </c>
      <c r="M1183" s="114" t="str">
        <f aca="false">IF($E1183="","",IF($K1183="✓","✓ ","")&amp;IF(Config!$E$22="Sim",$H1183&amp;" · ","")&amp;$F1183)</f>
        <v/>
      </c>
      <c r="N1183" s="114" t="str">
        <f aca="false">IF($E1183="","",IFERROR(INDEX(Config!$D$15:$D$19,MATCH($I1183,Config!$C$15:$C$19,0)),"OUT")&amp;IF($K1183="✓","x",""))</f>
        <v/>
      </c>
      <c r="O1183" s="114" t="str">
        <f aca="false">IF($E1183="","",COUNTIF($E$5:$E1183,$E1183))</f>
        <v/>
      </c>
      <c r="P1183" s="114" t="str">
        <f aca="false">IF($E1183="","",$E1183*100+$O1183)</f>
        <v/>
      </c>
      <c r="Q1183" s="114" t="str">
        <f aca="false">IF($L1183="Atrasado",$E1183*10000+$A1183,"")</f>
        <v/>
      </c>
    </row>
    <row r="1184" customFormat="false" ht="15" hidden="false" customHeight="false" outlineLevel="0" collapsed="false">
      <c r="A1184" s="114" t="n">
        <f aca="false">ROW()-4</f>
        <v>1180</v>
      </c>
      <c r="B1184" s="114" t="str">
        <f aca="false">IF(A1184&lt;=Config!$E$27*Config!$E$28,"Tema","Avulso")</f>
        <v>Tema</v>
      </c>
      <c r="C1184" s="114" t="n">
        <f aca="false">IF(B1184="Tema",INT((A1184-1)/Config!$E$28)+1,A1184-Config!$E$27*Config!$E$28)</f>
        <v>197</v>
      </c>
      <c r="D1184" s="114" t="n">
        <f aca="false">IF(B1184="Tema",MOD(A1184-1,Config!$E$28)+1,"")</f>
        <v>4</v>
      </c>
      <c r="E1184" s="115" t="str">
        <f aca="false">IF($B1184="Tema",IF(ISNUMBER(INDEX(Temas!$E$6:$P$305,$C1184,2*$D1184-1)),INDEX(Temas!$E$6:$P$305,$C1184,2*$D1184-1),""),IF(ISNUMBER(INDEX(Avulsos!$B$6:$B$205,$C1184)),INDEX(Avulsos!$B$6:$B$205,$C1184),""))</f>
        <v/>
      </c>
      <c r="F1184" s="114" t="str">
        <f aca="false">IF($E1184="","",IF($B1184="Tema",INDEX(Temas!$B$6:$B$305,$C1184)&amp;"",INDEX(Avulsos!$C$6:$C$205,$C1184)&amp;""))</f>
        <v/>
      </c>
      <c r="G1184" s="114" t="str">
        <f aca="false">IF($E1184="","",IF($B1184="Tema",INDEX(Config!$C$6:$C$11,$D1184),"Evento avulso"))</f>
        <v/>
      </c>
      <c r="H1184" s="114" t="str">
        <f aca="false">IF($E1184="","",IF($B1184="Tema",INDEX(Config!$D$6:$D$11,$D1184),IFERROR(INDEX(Config!$E$15:$E$19,MATCH($I1184,Config!$C$15:$C$19,0)),"•")))</f>
        <v/>
      </c>
      <c r="I1184" s="114" t="str">
        <f aca="false">IF($E1184="","",IF($B1184="Tema",INDEX(Config!$E$6:$E$11,$D1184),IF(INDEX(Avulsos!$D$6:$D$205,$C1184)&amp;""="","Outro",INDEX(Avulsos!$D$6:$D$205,$C1184))))</f>
        <v/>
      </c>
      <c r="J1184" s="114" t="str">
        <f aca="false">IF($E1184="","",IF($B1184="Tema",INDEX(Temas!$C$6:$C$305,$C1184)&amp;"",INDEX(Avulsos!$E$6:$E$205,$C1184)&amp;""))</f>
        <v/>
      </c>
      <c r="K1184" s="114" t="str">
        <f aca="false">IF($E1184="","",IF(IF($B1184="Tema",INDEX(Temas!$E$6:$P$305,$C1184,2*$D1184),INDEX(Avulsos!$F$6:$F$205,$C1184))&amp;""="","","✓"))</f>
        <v/>
      </c>
      <c r="L1184" s="114" t="str">
        <f aca="true">IF($E1184="","",IF($K1184="✓","Concluído",IF($E1184&lt;TODAY(),"Atrasado",IF($E1184=TODAY(),"Hoje","Pendente"))))</f>
        <v/>
      </c>
      <c r="M1184" s="114" t="str">
        <f aca="false">IF($E1184="","",IF($K1184="✓","✓ ","")&amp;IF(Config!$E$22="Sim",$H1184&amp;" · ","")&amp;$F1184)</f>
        <v/>
      </c>
      <c r="N1184" s="114" t="str">
        <f aca="false">IF($E1184="","",IFERROR(INDEX(Config!$D$15:$D$19,MATCH($I1184,Config!$C$15:$C$19,0)),"OUT")&amp;IF($K1184="✓","x",""))</f>
        <v/>
      </c>
      <c r="O1184" s="114" t="str">
        <f aca="false">IF($E1184="","",COUNTIF($E$5:$E1184,$E1184))</f>
        <v/>
      </c>
      <c r="P1184" s="114" t="str">
        <f aca="false">IF($E1184="","",$E1184*100+$O1184)</f>
        <v/>
      </c>
      <c r="Q1184" s="114" t="str">
        <f aca="false">IF($L1184="Atrasado",$E1184*10000+$A1184,"")</f>
        <v/>
      </c>
    </row>
    <row r="1185" customFormat="false" ht="15" hidden="false" customHeight="false" outlineLevel="0" collapsed="false">
      <c r="A1185" s="114" t="n">
        <f aca="false">ROW()-4</f>
        <v>1181</v>
      </c>
      <c r="B1185" s="114" t="str">
        <f aca="false">IF(A1185&lt;=Config!$E$27*Config!$E$28,"Tema","Avulso")</f>
        <v>Tema</v>
      </c>
      <c r="C1185" s="114" t="n">
        <f aca="false">IF(B1185="Tema",INT((A1185-1)/Config!$E$28)+1,A1185-Config!$E$27*Config!$E$28)</f>
        <v>197</v>
      </c>
      <c r="D1185" s="114" t="n">
        <f aca="false">IF(B1185="Tema",MOD(A1185-1,Config!$E$28)+1,"")</f>
        <v>5</v>
      </c>
      <c r="E1185" s="115" t="str">
        <f aca="false">IF($B1185="Tema",IF(ISNUMBER(INDEX(Temas!$E$6:$P$305,$C1185,2*$D1185-1)),INDEX(Temas!$E$6:$P$305,$C1185,2*$D1185-1),""),IF(ISNUMBER(INDEX(Avulsos!$B$6:$B$205,$C1185)),INDEX(Avulsos!$B$6:$B$205,$C1185),""))</f>
        <v/>
      </c>
      <c r="F1185" s="114" t="str">
        <f aca="false">IF($E1185="","",IF($B1185="Tema",INDEX(Temas!$B$6:$B$305,$C1185)&amp;"",INDEX(Avulsos!$C$6:$C$205,$C1185)&amp;""))</f>
        <v/>
      </c>
      <c r="G1185" s="114" t="str">
        <f aca="false">IF($E1185="","",IF($B1185="Tema",INDEX(Config!$C$6:$C$11,$D1185),"Evento avulso"))</f>
        <v/>
      </c>
      <c r="H1185" s="114" t="str">
        <f aca="false">IF($E1185="","",IF($B1185="Tema",INDEX(Config!$D$6:$D$11,$D1185),IFERROR(INDEX(Config!$E$15:$E$19,MATCH($I1185,Config!$C$15:$C$19,0)),"•")))</f>
        <v/>
      </c>
      <c r="I1185" s="114" t="str">
        <f aca="false">IF($E1185="","",IF($B1185="Tema",INDEX(Config!$E$6:$E$11,$D1185),IF(INDEX(Avulsos!$D$6:$D$205,$C1185)&amp;""="","Outro",INDEX(Avulsos!$D$6:$D$205,$C1185))))</f>
        <v/>
      </c>
      <c r="J1185" s="114" t="str">
        <f aca="false">IF($E1185="","",IF($B1185="Tema",INDEX(Temas!$C$6:$C$305,$C1185)&amp;"",INDEX(Avulsos!$E$6:$E$205,$C1185)&amp;""))</f>
        <v/>
      </c>
      <c r="K1185" s="114" t="str">
        <f aca="false">IF($E1185="","",IF(IF($B1185="Tema",INDEX(Temas!$E$6:$P$305,$C1185,2*$D1185),INDEX(Avulsos!$F$6:$F$205,$C1185))&amp;""="","","✓"))</f>
        <v/>
      </c>
      <c r="L1185" s="114" t="str">
        <f aca="true">IF($E1185="","",IF($K1185="✓","Concluído",IF($E1185&lt;TODAY(),"Atrasado",IF($E1185=TODAY(),"Hoje","Pendente"))))</f>
        <v/>
      </c>
      <c r="M1185" s="114" t="str">
        <f aca="false">IF($E1185="","",IF($K1185="✓","✓ ","")&amp;IF(Config!$E$22="Sim",$H1185&amp;" · ","")&amp;$F1185)</f>
        <v/>
      </c>
      <c r="N1185" s="114" t="str">
        <f aca="false">IF($E1185="","",IFERROR(INDEX(Config!$D$15:$D$19,MATCH($I1185,Config!$C$15:$C$19,0)),"OUT")&amp;IF($K1185="✓","x",""))</f>
        <v/>
      </c>
      <c r="O1185" s="114" t="str">
        <f aca="false">IF($E1185="","",COUNTIF($E$5:$E1185,$E1185))</f>
        <v/>
      </c>
      <c r="P1185" s="114" t="str">
        <f aca="false">IF($E1185="","",$E1185*100+$O1185)</f>
        <v/>
      </c>
      <c r="Q1185" s="114" t="str">
        <f aca="false">IF($L1185="Atrasado",$E1185*10000+$A1185,"")</f>
        <v/>
      </c>
    </row>
    <row r="1186" customFormat="false" ht="15" hidden="false" customHeight="false" outlineLevel="0" collapsed="false">
      <c r="A1186" s="114" t="n">
        <f aca="false">ROW()-4</f>
        <v>1182</v>
      </c>
      <c r="B1186" s="114" t="str">
        <f aca="false">IF(A1186&lt;=Config!$E$27*Config!$E$28,"Tema","Avulso")</f>
        <v>Tema</v>
      </c>
      <c r="C1186" s="114" t="n">
        <f aca="false">IF(B1186="Tema",INT((A1186-1)/Config!$E$28)+1,A1186-Config!$E$27*Config!$E$28)</f>
        <v>197</v>
      </c>
      <c r="D1186" s="114" t="n">
        <f aca="false">IF(B1186="Tema",MOD(A1186-1,Config!$E$28)+1,"")</f>
        <v>6</v>
      </c>
      <c r="E1186" s="115" t="str">
        <f aca="false">IF($B1186="Tema",IF(ISNUMBER(INDEX(Temas!$E$6:$P$305,$C1186,2*$D1186-1)),INDEX(Temas!$E$6:$P$305,$C1186,2*$D1186-1),""),IF(ISNUMBER(INDEX(Avulsos!$B$6:$B$205,$C1186)),INDEX(Avulsos!$B$6:$B$205,$C1186),""))</f>
        <v/>
      </c>
      <c r="F1186" s="114" t="str">
        <f aca="false">IF($E1186="","",IF($B1186="Tema",INDEX(Temas!$B$6:$B$305,$C1186)&amp;"",INDEX(Avulsos!$C$6:$C$205,$C1186)&amp;""))</f>
        <v/>
      </c>
      <c r="G1186" s="114" t="str">
        <f aca="false">IF($E1186="","",IF($B1186="Tema",INDEX(Config!$C$6:$C$11,$D1186),"Evento avulso"))</f>
        <v/>
      </c>
      <c r="H1186" s="114" t="str">
        <f aca="false">IF($E1186="","",IF($B1186="Tema",INDEX(Config!$D$6:$D$11,$D1186),IFERROR(INDEX(Config!$E$15:$E$19,MATCH($I1186,Config!$C$15:$C$19,0)),"•")))</f>
        <v/>
      </c>
      <c r="I1186" s="114" t="str">
        <f aca="false">IF($E1186="","",IF($B1186="Tema",INDEX(Config!$E$6:$E$11,$D1186),IF(INDEX(Avulsos!$D$6:$D$205,$C1186)&amp;""="","Outro",INDEX(Avulsos!$D$6:$D$205,$C1186))))</f>
        <v/>
      </c>
      <c r="J1186" s="114" t="str">
        <f aca="false">IF($E1186="","",IF($B1186="Tema",INDEX(Temas!$C$6:$C$305,$C1186)&amp;"",INDEX(Avulsos!$E$6:$E$205,$C1186)&amp;""))</f>
        <v/>
      </c>
      <c r="K1186" s="114" t="str">
        <f aca="false">IF($E1186="","",IF(IF($B1186="Tema",INDEX(Temas!$E$6:$P$305,$C1186,2*$D1186),INDEX(Avulsos!$F$6:$F$205,$C1186))&amp;""="","","✓"))</f>
        <v/>
      </c>
      <c r="L1186" s="114" t="str">
        <f aca="true">IF($E1186="","",IF($K1186="✓","Concluído",IF($E1186&lt;TODAY(),"Atrasado",IF($E1186=TODAY(),"Hoje","Pendente"))))</f>
        <v/>
      </c>
      <c r="M1186" s="114" t="str">
        <f aca="false">IF($E1186="","",IF($K1186="✓","✓ ","")&amp;IF(Config!$E$22="Sim",$H1186&amp;" · ","")&amp;$F1186)</f>
        <v/>
      </c>
      <c r="N1186" s="114" t="str">
        <f aca="false">IF($E1186="","",IFERROR(INDEX(Config!$D$15:$D$19,MATCH($I1186,Config!$C$15:$C$19,0)),"OUT")&amp;IF($K1186="✓","x",""))</f>
        <v/>
      </c>
      <c r="O1186" s="114" t="str">
        <f aca="false">IF($E1186="","",COUNTIF($E$5:$E1186,$E1186))</f>
        <v/>
      </c>
      <c r="P1186" s="114" t="str">
        <f aca="false">IF($E1186="","",$E1186*100+$O1186)</f>
        <v/>
      </c>
      <c r="Q1186" s="114" t="str">
        <f aca="false">IF($L1186="Atrasado",$E1186*10000+$A1186,"")</f>
        <v/>
      </c>
    </row>
    <row r="1187" customFormat="false" ht="15" hidden="false" customHeight="false" outlineLevel="0" collapsed="false">
      <c r="A1187" s="114" t="n">
        <f aca="false">ROW()-4</f>
        <v>1183</v>
      </c>
      <c r="B1187" s="114" t="str">
        <f aca="false">IF(A1187&lt;=Config!$E$27*Config!$E$28,"Tema","Avulso")</f>
        <v>Tema</v>
      </c>
      <c r="C1187" s="114" t="n">
        <f aca="false">IF(B1187="Tema",INT((A1187-1)/Config!$E$28)+1,A1187-Config!$E$27*Config!$E$28)</f>
        <v>198</v>
      </c>
      <c r="D1187" s="114" t="n">
        <f aca="false">IF(B1187="Tema",MOD(A1187-1,Config!$E$28)+1,"")</f>
        <v>1</v>
      </c>
      <c r="E1187" s="115" t="str">
        <f aca="false">IF($B1187="Tema",IF(ISNUMBER(INDEX(Temas!$E$6:$P$305,$C1187,2*$D1187-1)),INDEX(Temas!$E$6:$P$305,$C1187,2*$D1187-1),""),IF(ISNUMBER(INDEX(Avulsos!$B$6:$B$205,$C1187)),INDEX(Avulsos!$B$6:$B$205,$C1187),""))</f>
        <v/>
      </c>
      <c r="F1187" s="114" t="str">
        <f aca="false">IF($E1187="","",IF($B1187="Tema",INDEX(Temas!$B$6:$B$305,$C1187)&amp;"",INDEX(Avulsos!$C$6:$C$205,$C1187)&amp;""))</f>
        <v/>
      </c>
      <c r="G1187" s="114" t="str">
        <f aca="false">IF($E1187="","",IF($B1187="Tema",INDEX(Config!$C$6:$C$11,$D1187),"Evento avulso"))</f>
        <v/>
      </c>
      <c r="H1187" s="114" t="str">
        <f aca="false">IF($E1187="","",IF($B1187="Tema",INDEX(Config!$D$6:$D$11,$D1187),IFERROR(INDEX(Config!$E$15:$E$19,MATCH($I1187,Config!$C$15:$C$19,0)),"•")))</f>
        <v/>
      </c>
      <c r="I1187" s="114" t="str">
        <f aca="false">IF($E1187="","",IF($B1187="Tema",INDEX(Config!$E$6:$E$11,$D1187),IF(INDEX(Avulsos!$D$6:$D$205,$C1187)&amp;""="","Outro",INDEX(Avulsos!$D$6:$D$205,$C1187))))</f>
        <v/>
      </c>
      <c r="J1187" s="114" t="str">
        <f aca="false">IF($E1187="","",IF($B1187="Tema",INDEX(Temas!$C$6:$C$305,$C1187)&amp;"",INDEX(Avulsos!$E$6:$E$205,$C1187)&amp;""))</f>
        <v/>
      </c>
      <c r="K1187" s="114" t="str">
        <f aca="false">IF($E1187="","",IF(IF($B1187="Tema",INDEX(Temas!$E$6:$P$305,$C1187,2*$D1187),INDEX(Avulsos!$F$6:$F$205,$C1187))&amp;""="","","✓"))</f>
        <v/>
      </c>
      <c r="L1187" s="114" t="str">
        <f aca="true">IF($E1187="","",IF($K1187="✓","Concluído",IF($E1187&lt;TODAY(),"Atrasado",IF($E1187=TODAY(),"Hoje","Pendente"))))</f>
        <v/>
      </c>
      <c r="M1187" s="114" t="str">
        <f aca="false">IF($E1187="","",IF($K1187="✓","✓ ","")&amp;IF(Config!$E$22="Sim",$H1187&amp;" · ","")&amp;$F1187)</f>
        <v/>
      </c>
      <c r="N1187" s="114" t="str">
        <f aca="false">IF($E1187="","",IFERROR(INDEX(Config!$D$15:$D$19,MATCH($I1187,Config!$C$15:$C$19,0)),"OUT")&amp;IF($K1187="✓","x",""))</f>
        <v/>
      </c>
      <c r="O1187" s="114" t="str">
        <f aca="false">IF($E1187="","",COUNTIF($E$5:$E1187,$E1187))</f>
        <v/>
      </c>
      <c r="P1187" s="114" t="str">
        <f aca="false">IF($E1187="","",$E1187*100+$O1187)</f>
        <v/>
      </c>
      <c r="Q1187" s="114" t="str">
        <f aca="false">IF($L1187="Atrasado",$E1187*10000+$A1187,"")</f>
        <v/>
      </c>
    </row>
    <row r="1188" customFormat="false" ht="15" hidden="false" customHeight="false" outlineLevel="0" collapsed="false">
      <c r="A1188" s="114" t="n">
        <f aca="false">ROW()-4</f>
        <v>1184</v>
      </c>
      <c r="B1188" s="114" t="str">
        <f aca="false">IF(A1188&lt;=Config!$E$27*Config!$E$28,"Tema","Avulso")</f>
        <v>Tema</v>
      </c>
      <c r="C1188" s="114" t="n">
        <f aca="false">IF(B1188="Tema",INT((A1188-1)/Config!$E$28)+1,A1188-Config!$E$27*Config!$E$28)</f>
        <v>198</v>
      </c>
      <c r="D1188" s="114" t="n">
        <f aca="false">IF(B1188="Tema",MOD(A1188-1,Config!$E$28)+1,"")</f>
        <v>2</v>
      </c>
      <c r="E1188" s="115" t="str">
        <f aca="false">IF($B1188="Tema",IF(ISNUMBER(INDEX(Temas!$E$6:$P$305,$C1188,2*$D1188-1)),INDEX(Temas!$E$6:$P$305,$C1188,2*$D1188-1),""),IF(ISNUMBER(INDEX(Avulsos!$B$6:$B$205,$C1188)),INDEX(Avulsos!$B$6:$B$205,$C1188),""))</f>
        <v/>
      </c>
      <c r="F1188" s="114" t="str">
        <f aca="false">IF($E1188="","",IF($B1188="Tema",INDEX(Temas!$B$6:$B$305,$C1188)&amp;"",INDEX(Avulsos!$C$6:$C$205,$C1188)&amp;""))</f>
        <v/>
      </c>
      <c r="G1188" s="114" t="str">
        <f aca="false">IF($E1188="","",IF($B1188="Tema",INDEX(Config!$C$6:$C$11,$D1188),"Evento avulso"))</f>
        <v/>
      </c>
      <c r="H1188" s="114" t="str">
        <f aca="false">IF($E1188="","",IF($B1188="Tema",INDEX(Config!$D$6:$D$11,$D1188),IFERROR(INDEX(Config!$E$15:$E$19,MATCH($I1188,Config!$C$15:$C$19,0)),"•")))</f>
        <v/>
      </c>
      <c r="I1188" s="114" t="str">
        <f aca="false">IF($E1188="","",IF($B1188="Tema",INDEX(Config!$E$6:$E$11,$D1188),IF(INDEX(Avulsos!$D$6:$D$205,$C1188)&amp;""="","Outro",INDEX(Avulsos!$D$6:$D$205,$C1188))))</f>
        <v/>
      </c>
      <c r="J1188" s="114" t="str">
        <f aca="false">IF($E1188="","",IF($B1188="Tema",INDEX(Temas!$C$6:$C$305,$C1188)&amp;"",INDEX(Avulsos!$E$6:$E$205,$C1188)&amp;""))</f>
        <v/>
      </c>
      <c r="K1188" s="114" t="str">
        <f aca="false">IF($E1188="","",IF(IF($B1188="Tema",INDEX(Temas!$E$6:$P$305,$C1188,2*$D1188),INDEX(Avulsos!$F$6:$F$205,$C1188))&amp;""="","","✓"))</f>
        <v/>
      </c>
      <c r="L1188" s="114" t="str">
        <f aca="true">IF($E1188="","",IF($K1188="✓","Concluído",IF($E1188&lt;TODAY(),"Atrasado",IF($E1188=TODAY(),"Hoje","Pendente"))))</f>
        <v/>
      </c>
      <c r="M1188" s="114" t="str">
        <f aca="false">IF($E1188="","",IF($K1188="✓","✓ ","")&amp;IF(Config!$E$22="Sim",$H1188&amp;" · ","")&amp;$F1188)</f>
        <v/>
      </c>
      <c r="N1188" s="114" t="str">
        <f aca="false">IF($E1188="","",IFERROR(INDEX(Config!$D$15:$D$19,MATCH($I1188,Config!$C$15:$C$19,0)),"OUT")&amp;IF($K1188="✓","x",""))</f>
        <v/>
      </c>
      <c r="O1188" s="114" t="str">
        <f aca="false">IF($E1188="","",COUNTIF($E$5:$E1188,$E1188))</f>
        <v/>
      </c>
      <c r="P1188" s="114" t="str">
        <f aca="false">IF($E1188="","",$E1188*100+$O1188)</f>
        <v/>
      </c>
      <c r="Q1188" s="114" t="str">
        <f aca="false">IF($L1188="Atrasado",$E1188*10000+$A1188,"")</f>
        <v/>
      </c>
    </row>
    <row r="1189" customFormat="false" ht="15" hidden="false" customHeight="false" outlineLevel="0" collapsed="false">
      <c r="A1189" s="114" t="n">
        <f aca="false">ROW()-4</f>
        <v>1185</v>
      </c>
      <c r="B1189" s="114" t="str">
        <f aca="false">IF(A1189&lt;=Config!$E$27*Config!$E$28,"Tema","Avulso")</f>
        <v>Tema</v>
      </c>
      <c r="C1189" s="114" t="n">
        <f aca="false">IF(B1189="Tema",INT((A1189-1)/Config!$E$28)+1,A1189-Config!$E$27*Config!$E$28)</f>
        <v>198</v>
      </c>
      <c r="D1189" s="114" t="n">
        <f aca="false">IF(B1189="Tema",MOD(A1189-1,Config!$E$28)+1,"")</f>
        <v>3</v>
      </c>
      <c r="E1189" s="115" t="str">
        <f aca="false">IF($B1189="Tema",IF(ISNUMBER(INDEX(Temas!$E$6:$P$305,$C1189,2*$D1189-1)),INDEX(Temas!$E$6:$P$305,$C1189,2*$D1189-1),""),IF(ISNUMBER(INDEX(Avulsos!$B$6:$B$205,$C1189)),INDEX(Avulsos!$B$6:$B$205,$C1189),""))</f>
        <v/>
      </c>
      <c r="F1189" s="114" t="str">
        <f aca="false">IF($E1189="","",IF($B1189="Tema",INDEX(Temas!$B$6:$B$305,$C1189)&amp;"",INDEX(Avulsos!$C$6:$C$205,$C1189)&amp;""))</f>
        <v/>
      </c>
      <c r="G1189" s="114" t="str">
        <f aca="false">IF($E1189="","",IF($B1189="Tema",INDEX(Config!$C$6:$C$11,$D1189),"Evento avulso"))</f>
        <v/>
      </c>
      <c r="H1189" s="114" t="str">
        <f aca="false">IF($E1189="","",IF($B1189="Tema",INDEX(Config!$D$6:$D$11,$D1189),IFERROR(INDEX(Config!$E$15:$E$19,MATCH($I1189,Config!$C$15:$C$19,0)),"•")))</f>
        <v/>
      </c>
      <c r="I1189" s="114" t="str">
        <f aca="false">IF($E1189="","",IF($B1189="Tema",INDEX(Config!$E$6:$E$11,$D1189),IF(INDEX(Avulsos!$D$6:$D$205,$C1189)&amp;""="","Outro",INDEX(Avulsos!$D$6:$D$205,$C1189))))</f>
        <v/>
      </c>
      <c r="J1189" s="114" t="str">
        <f aca="false">IF($E1189="","",IF($B1189="Tema",INDEX(Temas!$C$6:$C$305,$C1189)&amp;"",INDEX(Avulsos!$E$6:$E$205,$C1189)&amp;""))</f>
        <v/>
      </c>
      <c r="K1189" s="114" t="str">
        <f aca="false">IF($E1189="","",IF(IF($B1189="Tema",INDEX(Temas!$E$6:$P$305,$C1189,2*$D1189),INDEX(Avulsos!$F$6:$F$205,$C1189))&amp;""="","","✓"))</f>
        <v/>
      </c>
      <c r="L1189" s="114" t="str">
        <f aca="true">IF($E1189="","",IF($K1189="✓","Concluído",IF($E1189&lt;TODAY(),"Atrasado",IF($E1189=TODAY(),"Hoje","Pendente"))))</f>
        <v/>
      </c>
      <c r="M1189" s="114" t="str">
        <f aca="false">IF($E1189="","",IF($K1189="✓","✓ ","")&amp;IF(Config!$E$22="Sim",$H1189&amp;" · ","")&amp;$F1189)</f>
        <v/>
      </c>
      <c r="N1189" s="114" t="str">
        <f aca="false">IF($E1189="","",IFERROR(INDEX(Config!$D$15:$D$19,MATCH($I1189,Config!$C$15:$C$19,0)),"OUT")&amp;IF($K1189="✓","x",""))</f>
        <v/>
      </c>
      <c r="O1189" s="114" t="str">
        <f aca="false">IF($E1189="","",COUNTIF($E$5:$E1189,$E1189))</f>
        <v/>
      </c>
      <c r="P1189" s="114" t="str">
        <f aca="false">IF($E1189="","",$E1189*100+$O1189)</f>
        <v/>
      </c>
      <c r="Q1189" s="114" t="str">
        <f aca="false">IF($L1189="Atrasado",$E1189*10000+$A1189,"")</f>
        <v/>
      </c>
    </row>
    <row r="1190" customFormat="false" ht="15" hidden="false" customHeight="false" outlineLevel="0" collapsed="false">
      <c r="A1190" s="114" t="n">
        <f aca="false">ROW()-4</f>
        <v>1186</v>
      </c>
      <c r="B1190" s="114" t="str">
        <f aca="false">IF(A1190&lt;=Config!$E$27*Config!$E$28,"Tema","Avulso")</f>
        <v>Tema</v>
      </c>
      <c r="C1190" s="114" t="n">
        <f aca="false">IF(B1190="Tema",INT((A1190-1)/Config!$E$28)+1,A1190-Config!$E$27*Config!$E$28)</f>
        <v>198</v>
      </c>
      <c r="D1190" s="114" t="n">
        <f aca="false">IF(B1190="Tema",MOD(A1190-1,Config!$E$28)+1,"")</f>
        <v>4</v>
      </c>
      <c r="E1190" s="115" t="str">
        <f aca="false">IF($B1190="Tema",IF(ISNUMBER(INDEX(Temas!$E$6:$P$305,$C1190,2*$D1190-1)),INDEX(Temas!$E$6:$P$305,$C1190,2*$D1190-1),""),IF(ISNUMBER(INDEX(Avulsos!$B$6:$B$205,$C1190)),INDEX(Avulsos!$B$6:$B$205,$C1190),""))</f>
        <v/>
      </c>
      <c r="F1190" s="114" t="str">
        <f aca="false">IF($E1190="","",IF($B1190="Tema",INDEX(Temas!$B$6:$B$305,$C1190)&amp;"",INDEX(Avulsos!$C$6:$C$205,$C1190)&amp;""))</f>
        <v/>
      </c>
      <c r="G1190" s="114" t="str">
        <f aca="false">IF($E1190="","",IF($B1190="Tema",INDEX(Config!$C$6:$C$11,$D1190),"Evento avulso"))</f>
        <v/>
      </c>
      <c r="H1190" s="114" t="str">
        <f aca="false">IF($E1190="","",IF($B1190="Tema",INDEX(Config!$D$6:$D$11,$D1190),IFERROR(INDEX(Config!$E$15:$E$19,MATCH($I1190,Config!$C$15:$C$19,0)),"•")))</f>
        <v/>
      </c>
      <c r="I1190" s="114" t="str">
        <f aca="false">IF($E1190="","",IF($B1190="Tema",INDEX(Config!$E$6:$E$11,$D1190),IF(INDEX(Avulsos!$D$6:$D$205,$C1190)&amp;""="","Outro",INDEX(Avulsos!$D$6:$D$205,$C1190))))</f>
        <v/>
      </c>
      <c r="J1190" s="114" t="str">
        <f aca="false">IF($E1190="","",IF($B1190="Tema",INDEX(Temas!$C$6:$C$305,$C1190)&amp;"",INDEX(Avulsos!$E$6:$E$205,$C1190)&amp;""))</f>
        <v/>
      </c>
      <c r="K1190" s="114" t="str">
        <f aca="false">IF($E1190="","",IF(IF($B1190="Tema",INDEX(Temas!$E$6:$P$305,$C1190,2*$D1190),INDEX(Avulsos!$F$6:$F$205,$C1190))&amp;""="","","✓"))</f>
        <v/>
      </c>
      <c r="L1190" s="114" t="str">
        <f aca="true">IF($E1190="","",IF($K1190="✓","Concluído",IF($E1190&lt;TODAY(),"Atrasado",IF($E1190=TODAY(),"Hoje","Pendente"))))</f>
        <v/>
      </c>
      <c r="M1190" s="114" t="str">
        <f aca="false">IF($E1190="","",IF($K1190="✓","✓ ","")&amp;IF(Config!$E$22="Sim",$H1190&amp;" · ","")&amp;$F1190)</f>
        <v/>
      </c>
      <c r="N1190" s="114" t="str">
        <f aca="false">IF($E1190="","",IFERROR(INDEX(Config!$D$15:$D$19,MATCH($I1190,Config!$C$15:$C$19,0)),"OUT")&amp;IF($K1190="✓","x",""))</f>
        <v/>
      </c>
      <c r="O1190" s="114" t="str">
        <f aca="false">IF($E1190="","",COUNTIF($E$5:$E1190,$E1190))</f>
        <v/>
      </c>
      <c r="P1190" s="114" t="str">
        <f aca="false">IF($E1190="","",$E1190*100+$O1190)</f>
        <v/>
      </c>
      <c r="Q1190" s="114" t="str">
        <f aca="false">IF($L1190="Atrasado",$E1190*10000+$A1190,"")</f>
        <v/>
      </c>
    </row>
    <row r="1191" customFormat="false" ht="15" hidden="false" customHeight="false" outlineLevel="0" collapsed="false">
      <c r="A1191" s="114" t="n">
        <f aca="false">ROW()-4</f>
        <v>1187</v>
      </c>
      <c r="B1191" s="114" t="str">
        <f aca="false">IF(A1191&lt;=Config!$E$27*Config!$E$28,"Tema","Avulso")</f>
        <v>Tema</v>
      </c>
      <c r="C1191" s="114" t="n">
        <f aca="false">IF(B1191="Tema",INT((A1191-1)/Config!$E$28)+1,A1191-Config!$E$27*Config!$E$28)</f>
        <v>198</v>
      </c>
      <c r="D1191" s="114" t="n">
        <f aca="false">IF(B1191="Tema",MOD(A1191-1,Config!$E$28)+1,"")</f>
        <v>5</v>
      </c>
      <c r="E1191" s="115" t="str">
        <f aca="false">IF($B1191="Tema",IF(ISNUMBER(INDEX(Temas!$E$6:$P$305,$C1191,2*$D1191-1)),INDEX(Temas!$E$6:$P$305,$C1191,2*$D1191-1),""),IF(ISNUMBER(INDEX(Avulsos!$B$6:$B$205,$C1191)),INDEX(Avulsos!$B$6:$B$205,$C1191),""))</f>
        <v/>
      </c>
      <c r="F1191" s="114" t="str">
        <f aca="false">IF($E1191="","",IF($B1191="Tema",INDEX(Temas!$B$6:$B$305,$C1191)&amp;"",INDEX(Avulsos!$C$6:$C$205,$C1191)&amp;""))</f>
        <v/>
      </c>
      <c r="G1191" s="114" t="str">
        <f aca="false">IF($E1191="","",IF($B1191="Tema",INDEX(Config!$C$6:$C$11,$D1191),"Evento avulso"))</f>
        <v/>
      </c>
      <c r="H1191" s="114" t="str">
        <f aca="false">IF($E1191="","",IF($B1191="Tema",INDEX(Config!$D$6:$D$11,$D1191),IFERROR(INDEX(Config!$E$15:$E$19,MATCH($I1191,Config!$C$15:$C$19,0)),"•")))</f>
        <v/>
      </c>
      <c r="I1191" s="114" t="str">
        <f aca="false">IF($E1191="","",IF($B1191="Tema",INDEX(Config!$E$6:$E$11,$D1191),IF(INDEX(Avulsos!$D$6:$D$205,$C1191)&amp;""="","Outro",INDEX(Avulsos!$D$6:$D$205,$C1191))))</f>
        <v/>
      </c>
      <c r="J1191" s="114" t="str">
        <f aca="false">IF($E1191="","",IF($B1191="Tema",INDEX(Temas!$C$6:$C$305,$C1191)&amp;"",INDEX(Avulsos!$E$6:$E$205,$C1191)&amp;""))</f>
        <v/>
      </c>
      <c r="K1191" s="114" t="str">
        <f aca="false">IF($E1191="","",IF(IF($B1191="Tema",INDEX(Temas!$E$6:$P$305,$C1191,2*$D1191),INDEX(Avulsos!$F$6:$F$205,$C1191))&amp;""="","","✓"))</f>
        <v/>
      </c>
      <c r="L1191" s="114" t="str">
        <f aca="true">IF($E1191="","",IF($K1191="✓","Concluído",IF($E1191&lt;TODAY(),"Atrasado",IF($E1191=TODAY(),"Hoje","Pendente"))))</f>
        <v/>
      </c>
      <c r="M1191" s="114" t="str">
        <f aca="false">IF($E1191="","",IF($K1191="✓","✓ ","")&amp;IF(Config!$E$22="Sim",$H1191&amp;" · ","")&amp;$F1191)</f>
        <v/>
      </c>
      <c r="N1191" s="114" t="str">
        <f aca="false">IF($E1191="","",IFERROR(INDEX(Config!$D$15:$D$19,MATCH($I1191,Config!$C$15:$C$19,0)),"OUT")&amp;IF($K1191="✓","x",""))</f>
        <v/>
      </c>
      <c r="O1191" s="114" t="str">
        <f aca="false">IF($E1191="","",COUNTIF($E$5:$E1191,$E1191))</f>
        <v/>
      </c>
      <c r="P1191" s="114" t="str">
        <f aca="false">IF($E1191="","",$E1191*100+$O1191)</f>
        <v/>
      </c>
      <c r="Q1191" s="114" t="str">
        <f aca="false">IF($L1191="Atrasado",$E1191*10000+$A1191,"")</f>
        <v/>
      </c>
    </row>
    <row r="1192" customFormat="false" ht="15" hidden="false" customHeight="false" outlineLevel="0" collapsed="false">
      <c r="A1192" s="114" t="n">
        <f aca="false">ROW()-4</f>
        <v>1188</v>
      </c>
      <c r="B1192" s="114" t="str">
        <f aca="false">IF(A1192&lt;=Config!$E$27*Config!$E$28,"Tema","Avulso")</f>
        <v>Tema</v>
      </c>
      <c r="C1192" s="114" t="n">
        <f aca="false">IF(B1192="Tema",INT((A1192-1)/Config!$E$28)+1,A1192-Config!$E$27*Config!$E$28)</f>
        <v>198</v>
      </c>
      <c r="D1192" s="114" t="n">
        <f aca="false">IF(B1192="Tema",MOD(A1192-1,Config!$E$28)+1,"")</f>
        <v>6</v>
      </c>
      <c r="E1192" s="115" t="str">
        <f aca="false">IF($B1192="Tema",IF(ISNUMBER(INDEX(Temas!$E$6:$P$305,$C1192,2*$D1192-1)),INDEX(Temas!$E$6:$P$305,$C1192,2*$D1192-1),""),IF(ISNUMBER(INDEX(Avulsos!$B$6:$B$205,$C1192)),INDEX(Avulsos!$B$6:$B$205,$C1192),""))</f>
        <v/>
      </c>
      <c r="F1192" s="114" t="str">
        <f aca="false">IF($E1192="","",IF($B1192="Tema",INDEX(Temas!$B$6:$B$305,$C1192)&amp;"",INDEX(Avulsos!$C$6:$C$205,$C1192)&amp;""))</f>
        <v/>
      </c>
      <c r="G1192" s="114" t="str">
        <f aca="false">IF($E1192="","",IF($B1192="Tema",INDEX(Config!$C$6:$C$11,$D1192),"Evento avulso"))</f>
        <v/>
      </c>
      <c r="H1192" s="114" t="str">
        <f aca="false">IF($E1192="","",IF($B1192="Tema",INDEX(Config!$D$6:$D$11,$D1192),IFERROR(INDEX(Config!$E$15:$E$19,MATCH($I1192,Config!$C$15:$C$19,0)),"•")))</f>
        <v/>
      </c>
      <c r="I1192" s="114" t="str">
        <f aca="false">IF($E1192="","",IF($B1192="Tema",INDEX(Config!$E$6:$E$11,$D1192),IF(INDEX(Avulsos!$D$6:$D$205,$C1192)&amp;""="","Outro",INDEX(Avulsos!$D$6:$D$205,$C1192))))</f>
        <v/>
      </c>
      <c r="J1192" s="114" t="str">
        <f aca="false">IF($E1192="","",IF($B1192="Tema",INDEX(Temas!$C$6:$C$305,$C1192)&amp;"",INDEX(Avulsos!$E$6:$E$205,$C1192)&amp;""))</f>
        <v/>
      </c>
      <c r="K1192" s="114" t="str">
        <f aca="false">IF($E1192="","",IF(IF($B1192="Tema",INDEX(Temas!$E$6:$P$305,$C1192,2*$D1192),INDEX(Avulsos!$F$6:$F$205,$C1192))&amp;""="","","✓"))</f>
        <v/>
      </c>
      <c r="L1192" s="114" t="str">
        <f aca="true">IF($E1192="","",IF($K1192="✓","Concluído",IF($E1192&lt;TODAY(),"Atrasado",IF($E1192=TODAY(),"Hoje","Pendente"))))</f>
        <v/>
      </c>
      <c r="M1192" s="114" t="str">
        <f aca="false">IF($E1192="","",IF($K1192="✓","✓ ","")&amp;IF(Config!$E$22="Sim",$H1192&amp;" · ","")&amp;$F1192)</f>
        <v/>
      </c>
      <c r="N1192" s="114" t="str">
        <f aca="false">IF($E1192="","",IFERROR(INDEX(Config!$D$15:$D$19,MATCH($I1192,Config!$C$15:$C$19,0)),"OUT")&amp;IF($K1192="✓","x",""))</f>
        <v/>
      </c>
      <c r="O1192" s="114" t="str">
        <f aca="false">IF($E1192="","",COUNTIF($E$5:$E1192,$E1192))</f>
        <v/>
      </c>
      <c r="P1192" s="114" t="str">
        <f aca="false">IF($E1192="","",$E1192*100+$O1192)</f>
        <v/>
      </c>
      <c r="Q1192" s="114" t="str">
        <f aca="false">IF($L1192="Atrasado",$E1192*10000+$A1192,"")</f>
        <v/>
      </c>
    </row>
    <row r="1193" customFormat="false" ht="15" hidden="false" customHeight="false" outlineLevel="0" collapsed="false">
      <c r="A1193" s="114" t="n">
        <f aca="false">ROW()-4</f>
        <v>1189</v>
      </c>
      <c r="B1193" s="114" t="str">
        <f aca="false">IF(A1193&lt;=Config!$E$27*Config!$E$28,"Tema","Avulso")</f>
        <v>Tema</v>
      </c>
      <c r="C1193" s="114" t="n">
        <f aca="false">IF(B1193="Tema",INT((A1193-1)/Config!$E$28)+1,A1193-Config!$E$27*Config!$E$28)</f>
        <v>199</v>
      </c>
      <c r="D1193" s="114" t="n">
        <f aca="false">IF(B1193="Tema",MOD(A1193-1,Config!$E$28)+1,"")</f>
        <v>1</v>
      </c>
      <c r="E1193" s="115" t="str">
        <f aca="false">IF($B1193="Tema",IF(ISNUMBER(INDEX(Temas!$E$6:$P$305,$C1193,2*$D1193-1)),INDEX(Temas!$E$6:$P$305,$C1193,2*$D1193-1),""),IF(ISNUMBER(INDEX(Avulsos!$B$6:$B$205,$C1193)),INDEX(Avulsos!$B$6:$B$205,$C1193),""))</f>
        <v/>
      </c>
      <c r="F1193" s="114" t="str">
        <f aca="false">IF($E1193="","",IF($B1193="Tema",INDEX(Temas!$B$6:$B$305,$C1193)&amp;"",INDEX(Avulsos!$C$6:$C$205,$C1193)&amp;""))</f>
        <v/>
      </c>
      <c r="G1193" s="114" t="str">
        <f aca="false">IF($E1193="","",IF($B1193="Tema",INDEX(Config!$C$6:$C$11,$D1193),"Evento avulso"))</f>
        <v/>
      </c>
      <c r="H1193" s="114" t="str">
        <f aca="false">IF($E1193="","",IF($B1193="Tema",INDEX(Config!$D$6:$D$11,$D1193),IFERROR(INDEX(Config!$E$15:$E$19,MATCH($I1193,Config!$C$15:$C$19,0)),"•")))</f>
        <v/>
      </c>
      <c r="I1193" s="114" t="str">
        <f aca="false">IF($E1193="","",IF($B1193="Tema",INDEX(Config!$E$6:$E$11,$D1193),IF(INDEX(Avulsos!$D$6:$D$205,$C1193)&amp;""="","Outro",INDEX(Avulsos!$D$6:$D$205,$C1193))))</f>
        <v/>
      </c>
      <c r="J1193" s="114" t="str">
        <f aca="false">IF($E1193="","",IF($B1193="Tema",INDEX(Temas!$C$6:$C$305,$C1193)&amp;"",INDEX(Avulsos!$E$6:$E$205,$C1193)&amp;""))</f>
        <v/>
      </c>
      <c r="K1193" s="114" t="str">
        <f aca="false">IF($E1193="","",IF(IF($B1193="Tema",INDEX(Temas!$E$6:$P$305,$C1193,2*$D1193),INDEX(Avulsos!$F$6:$F$205,$C1193))&amp;""="","","✓"))</f>
        <v/>
      </c>
      <c r="L1193" s="114" t="str">
        <f aca="true">IF($E1193="","",IF($K1193="✓","Concluído",IF($E1193&lt;TODAY(),"Atrasado",IF($E1193=TODAY(),"Hoje","Pendente"))))</f>
        <v/>
      </c>
      <c r="M1193" s="114" t="str">
        <f aca="false">IF($E1193="","",IF($K1193="✓","✓ ","")&amp;IF(Config!$E$22="Sim",$H1193&amp;" · ","")&amp;$F1193)</f>
        <v/>
      </c>
      <c r="N1193" s="114" t="str">
        <f aca="false">IF($E1193="","",IFERROR(INDEX(Config!$D$15:$D$19,MATCH($I1193,Config!$C$15:$C$19,0)),"OUT")&amp;IF($K1193="✓","x",""))</f>
        <v/>
      </c>
      <c r="O1193" s="114" t="str">
        <f aca="false">IF($E1193="","",COUNTIF($E$5:$E1193,$E1193))</f>
        <v/>
      </c>
      <c r="P1193" s="114" t="str">
        <f aca="false">IF($E1193="","",$E1193*100+$O1193)</f>
        <v/>
      </c>
      <c r="Q1193" s="114" t="str">
        <f aca="false">IF($L1193="Atrasado",$E1193*10000+$A1193,"")</f>
        <v/>
      </c>
    </row>
    <row r="1194" customFormat="false" ht="15" hidden="false" customHeight="false" outlineLevel="0" collapsed="false">
      <c r="A1194" s="114" t="n">
        <f aca="false">ROW()-4</f>
        <v>1190</v>
      </c>
      <c r="B1194" s="114" t="str">
        <f aca="false">IF(A1194&lt;=Config!$E$27*Config!$E$28,"Tema","Avulso")</f>
        <v>Tema</v>
      </c>
      <c r="C1194" s="114" t="n">
        <f aca="false">IF(B1194="Tema",INT((A1194-1)/Config!$E$28)+1,A1194-Config!$E$27*Config!$E$28)</f>
        <v>199</v>
      </c>
      <c r="D1194" s="114" t="n">
        <f aca="false">IF(B1194="Tema",MOD(A1194-1,Config!$E$28)+1,"")</f>
        <v>2</v>
      </c>
      <c r="E1194" s="115" t="str">
        <f aca="false">IF($B1194="Tema",IF(ISNUMBER(INDEX(Temas!$E$6:$P$305,$C1194,2*$D1194-1)),INDEX(Temas!$E$6:$P$305,$C1194,2*$D1194-1),""),IF(ISNUMBER(INDEX(Avulsos!$B$6:$B$205,$C1194)),INDEX(Avulsos!$B$6:$B$205,$C1194),""))</f>
        <v/>
      </c>
      <c r="F1194" s="114" t="str">
        <f aca="false">IF($E1194="","",IF($B1194="Tema",INDEX(Temas!$B$6:$B$305,$C1194)&amp;"",INDEX(Avulsos!$C$6:$C$205,$C1194)&amp;""))</f>
        <v/>
      </c>
      <c r="G1194" s="114" t="str">
        <f aca="false">IF($E1194="","",IF($B1194="Tema",INDEX(Config!$C$6:$C$11,$D1194),"Evento avulso"))</f>
        <v/>
      </c>
      <c r="H1194" s="114" t="str">
        <f aca="false">IF($E1194="","",IF($B1194="Tema",INDEX(Config!$D$6:$D$11,$D1194),IFERROR(INDEX(Config!$E$15:$E$19,MATCH($I1194,Config!$C$15:$C$19,0)),"•")))</f>
        <v/>
      </c>
      <c r="I1194" s="114" t="str">
        <f aca="false">IF($E1194="","",IF($B1194="Tema",INDEX(Config!$E$6:$E$11,$D1194),IF(INDEX(Avulsos!$D$6:$D$205,$C1194)&amp;""="","Outro",INDEX(Avulsos!$D$6:$D$205,$C1194))))</f>
        <v/>
      </c>
      <c r="J1194" s="114" t="str">
        <f aca="false">IF($E1194="","",IF($B1194="Tema",INDEX(Temas!$C$6:$C$305,$C1194)&amp;"",INDEX(Avulsos!$E$6:$E$205,$C1194)&amp;""))</f>
        <v/>
      </c>
      <c r="K1194" s="114" t="str">
        <f aca="false">IF($E1194="","",IF(IF($B1194="Tema",INDEX(Temas!$E$6:$P$305,$C1194,2*$D1194),INDEX(Avulsos!$F$6:$F$205,$C1194))&amp;""="","","✓"))</f>
        <v/>
      </c>
      <c r="L1194" s="114" t="str">
        <f aca="true">IF($E1194="","",IF($K1194="✓","Concluído",IF($E1194&lt;TODAY(),"Atrasado",IF($E1194=TODAY(),"Hoje","Pendente"))))</f>
        <v/>
      </c>
      <c r="M1194" s="114" t="str">
        <f aca="false">IF($E1194="","",IF($K1194="✓","✓ ","")&amp;IF(Config!$E$22="Sim",$H1194&amp;" · ","")&amp;$F1194)</f>
        <v/>
      </c>
      <c r="N1194" s="114" t="str">
        <f aca="false">IF($E1194="","",IFERROR(INDEX(Config!$D$15:$D$19,MATCH($I1194,Config!$C$15:$C$19,0)),"OUT")&amp;IF($K1194="✓","x",""))</f>
        <v/>
      </c>
      <c r="O1194" s="114" t="str">
        <f aca="false">IF($E1194="","",COUNTIF($E$5:$E1194,$E1194))</f>
        <v/>
      </c>
      <c r="P1194" s="114" t="str">
        <f aca="false">IF($E1194="","",$E1194*100+$O1194)</f>
        <v/>
      </c>
      <c r="Q1194" s="114" t="str">
        <f aca="false">IF($L1194="Atrasado",$E1194*10000+$A1194,"")</f>
        <v/>
      </c>
    </row>
    <row r="1195" customFormat="false" ht="15" hidden="false" customHeight="false" outlineLevel="0" collapsed="false">
      <c r="A1195" s="114" t="n">
        <f aca="false">ROW()-4</f>
        <v>1191</v>
      </c>
      <c r="B1195" s="114" t="str">
        <f aca="false">IF(A1195&lt;=Config!$E$27*Config!$E$28,"Tema","Avulso")</f>
        <v>Tema</v>
      </c>
      <c r="C1195" s="114" t="n">
        <f aca="false">IF(B1195="Tema",INT((A1195-1)/Config!$E$28)+1,A1195-Config!$E$27*Config!$E$28)</f>
        <v>199</v>
      </c>
      <c r="D1195" s="114" t="n">
        <f aca="false">IF(B1195="Tema",MOD(A1195-1,Config!$E$28)+1,"")</f>
        <v>3</v>
      </c>
      <c r="E1195" s="115" t="str">
        <f aca="false">IF($B1195="Tema",IF(ISNUMBER(INDEX(Temas!$E$6:$P$305,$C1195,2*$D1195-1)),INDEX(Temas!$E$6:$P$305,$C1195,2*$D1195-1),""),IF(ISNUMBER(INDEX(Avulsos!$B$6:$B$205,$C1195)),INDEX(Avulsos!$B$6:$B$205,$C1195),""))</f>
        <v/>
      </c>
      <c r="F1195" s="114" t="str">
        <f aca="false">IF($E1195="","",IF($B1195="Tema",INDEX(Temas!$B$6:$B$305,$C1195)&amp;"",INDEX(Avulsos!$C$6:$C$205,$C1195)&amp;""))</f>
        <v/>
      </c>
      <c r="G1195" s="114" t="str">
        <f aca="false">IF($E1195="","",IF($B1195="Tema",INDEX(Config!$C$6:$C$11,$D1195),"Evento avulso"))</f>
        <v/>
      </c>
      <c r="H1195" s="114" t="str">
        <f aca="false">IF($E1195="","",IF($B1195="Tema",INDEX(Config!$D$6:$D$11,$D1195),IFERROR(INDEX(Config!$E$15:$E$19,MATCH($I1195,Config!$C$15:$C$19,0)),"•")))</f>
        <v/>
      </c>
      <c r="I1195" s="114" t="str">
        <f aca="false">IF($E1195="","",IF($B1195="Tema",INDEX(Config!$E$6:$E$11,$D1195),IF(INDEX(Avulsos!$D$6:$D$205,$C1195)&amp;""="","Outro",INDEX(Avulsos!$D$6:$D$205,$C1195))))</f>
        <v/>
      </c>
      <c r="J1195" s="114" t="str">
        <f aca="false">IF($E1195="","",IF($B1195="Tema",INDEX(Temas!$C$6:$C$305,$C1195)&amp;"",INDEX(Avulsos!$E$6:$E$205,$C1195)&amp;""))</f>
        <v/>
      </c>
      <c r="K1195" s="114" t="str">
        <f aca="false">IF($E1195="","",IF(IF($B1195="Tema",INDEX(Temas!$E$6:$P$305,$C1195,2*$D1195),INDEX(Avulsos!$F$6:$F$205,$C1195))&amp;""="","","✓"))</f>
        <v/>
      </c>
      <c r="L1195" s="114" t="str">
        <f aca="true">IF($E1195="","",IF($K1195="✓","Concluído",IF($E1195&lt;TODAY(),"Atrasado",IF($E1195=TODAY(),"Hoje","Pendente"))))</f>
        <v/>
      </c>
      <c r="M1195" s="114" t="str">
        <f aca="false">IF($E1195="","",IF($K1195="✓","✓ ","")&amp;IF(Config!$E$22="Sim",$H1195&amp;" · ","")&amp;$F1195)</f>
        <v/>
      </c>
      <c r="N1195" s="114" t="str">
        <f aca="false">IF($E1195="","",IFERROR(INDEX(Config!$D$15:$D$19,MATCH($I1195,Config!$C$15:$C$19,0)),"OUT")&amp;IF($K1195="✓","x",""))</f>
        <v/>
      </c>
      <c r="O1195" s="114" t="str">
        <f aca="false">IF($E1195="","",COUNTIF($E$5:$E1195,$E1195))</f>
        <v/>
      </c>
      <c r="P1195" s="114" t="str">
        <f aca="false">IF($E1195="","",$E1195*100+$O1195)</f>
        <v/>
      </c>
      <c r="Q1195" s="114" t="str">
        <f aca="false">IF($L1195="Atrasado",$E1195*10000+$A1195,"")</f>
        <v/>
      </c>
    </row>
    <row r="1196" customFormat="false" ht="15" hidden="false" customHeight="false" outlineLevel="0" collapsed="false">
      <c r="A1196" s="114" t="n">
        <f aca="false">ROW()-4</f>
        <v>1192</v>
      </c>
      <c r="B1196" s="114" t="str">
        <f aca="false">IF(A1196&lt;=Config!$E$27*Config!$E$28,"Tema","Avulso")</f>
        <v>Tema</v>
      </c>
      <c r="C1196" s="114" t="n">
        <f aca="false">IF(B1196="Tema",INT((A1196-1)/Config!$E$28)+1,A1196-Config!$E$27*Config!$E$28)</f>
        <v>199</v>
      </c>
      <c r="D1196" s="114" t="n">
        <f aca="false">IF(B1196="Tema",MOD(A1196-1,Config!$E$28)+1,"")</f>
        <v>4</v>
      </c>
      <c r="E1196" s="115" t="str">
        <f aca="false">IF($B1196="Tema",IF(ISNUMBER(INDEX(Temas!$E$6:$P$305,$C1196,2*$D1196-1)),INDEX(Temas!$E$6:$P$305,$C1196,2*$D1196-1),""),IF(ISNUMBER(INDEX(Avulsos!$B$6:$B$205,$C1196)),INDEX(Avulsos!$B$6:$B$205,$C1196),""))</f>
        <v/>
      </c>
      <c r="F1196" s="114" t="str">
        <f aca="false">IF($E1196="","",IF($B1196="Tema",INDEX(Temas!$B$6:$B$305,$C1196)&amp;"",INDEX(Avulsos!$C$6:$C$205,$C1196)&amp;""))</f>
        <v/>
      </c>
      <c r="G1196" s="114" t="str">
        <f aca="false">IF($E1196="","",IF($B1196="Tema",INDEX(Config!$C$6:$C$11,$D1196),"Evento avulso"))</f>
        <v/>
      </c>
      <c r="H1196" s="114" t="str">
        <f aca="false">IF($E1196="","",IF($B1196="Tema",INDEX(Config!$D$6:$D$11,$D1196),IFERROR(INDEX(Config!$E$15:$E$19,MATCH($I1196,Config!$C$15:$C$19,0)),"•")))</f>
        <v/>
      </c>
      <c r="I1196" s="114" t="str">
        <f aca="false">IF($E1196="","",IF($B1196="Tema",INDEX(Config!$E$6:$E$11,$D1196),IF(INDEX(Avulsos!$D$6:$D$205,$C1196)&amp;""="","Outro",INDEX(Avulsos!$D$6:$D$205,$C1196))))</f>
        <v/>
      </c>
      <c r="J1196" s="114" t="str">
        <f aca="false">IF($E1196="","",IF($B1196="Tema",INDEX(Temas!$C$6:$C$305,$C1196)&amp;"",INDEX(Avulsos!$E$6:$E$205,$C1196)&amp;""))</f>
        <v/>
      </c>
      <c r="K1196" s="114" t="str">
        <f aca="false">IF($E1196="","",IF(IF($B1196="Tema",INDEX(Temas!$E$6:$P$305,$C1196,2*$D1196),INDEX(Avulsos!$F$6:$F$205,$C1196))&amp;""="","","✓"))</f>
        <v/>
      </c>
      <c r="L1196" s="114" t="str">
        <f aca="true">IF($E1196="","",IF($K1196="✓","Concluído",IF($E1196&lt;TODAY(),"Atrasado",IF($E1196=TODAY(),"Hoje","Pendente"))))</f>
        <v/>
      </c>
      <c r="M1196" s="114" t="str">
        <f aca="false">IF($E1196="","",IF($K1196="✓","✓ ","")&amp;IF(Config!$E$22="Sim",$H1196&amp;" · ","")&amp;$F1196)</f>
        <v/>
      </c>
      <c r="N1196" s="114" t="str">
        <f aca="false">IF($E1196="","",IFERROR(INDEX(Config!$D$15:$D$19,MATCH($I1196,Config!$C$15:$C$19,0)),"OUT")&amp;IF($K1196="✓","x",""))</f>
        <v/>
      </c>
      <c r="O1196" s="114" t="str">
        <f aca="false">IF($E1196="","",COUNTIF($E$5:$E1196,$E1196))</f>
        <v/>
      </c>
      <c r="P1196" s="114" t="str">
        <f aca="false">IF($E1196="","",$E1196*100+$O1196)</f>
        <v/>
      </c>
      <c r="Q1196" s="114" t="str">
        <f aca="false">IF($L1196="Atrasado",$E1196*10000+$A1196,"")</f>
        <v/>
      </c>
    </row>
    <row r="1197" customFormat="false" ht="15" hidden="false" customHeight="false" outlineLevel="0" collapsed="false">
      <c r="A1197" s="114" t="n">
        <f aca="false">ROW()-4</f>
        <v>1193</v>
      </c>
      <c r="B1197" s="114" t="str">
        <f aca="false">IF(A1197&lt;=Config!$E$27*Config!$E$28,"Tema","Avulso")</f>
        <v>Tema</v>
      </c>
      <c r="C1197" s="114" t="n">
        <f aca="false">IF(B1197="Tema",INT((A1197-1)/Config!$E$28)+1,A1197-Config!$E$27*Config!$E$28)</f>
        <v>199</v>
      </c>
      <c r="D1197" s="114" t="n">
        <f aca="false">IF(B1197="Tema",MOD(A1197-1,Config!$E$28)+1,"")</f>
        <v>5</v>
      </c>
      <c r="E1197" s="115" t="str">
        <f aca="false">IF($B1197="Tema",IF(ISNUMBER(INDEX(Temas!$E$6:$P$305,$C1197,2*$D1197-1)),INDEX(Temas!$E$6:$P$305,$C1197,2*$D1197-1),""),IF(ISNUMBER(INDEX(Avulsos!$B$6:$B$205,$C1197)),INDEX(Avulsos!$B$6:$B$205,$C1197),""))</f>
        <v/>
      </c>
      <c r="F1197" s="114" t="str">
        <f aca="false">IF($E1197="","",IF($B1197="Tema",INDEX(Temas!$B$6:$B$305,$C1197)&amp;"",INDEX(Avulsos!$C$6:$C$205,$C1197)&amp;""))</f>
        <v/>
      </c>
      <c r="G1197" s="114" t="str">
        <f aca="false">IF($E1197="","",IF($B1197="Tema",INDEX(Config!$C$6:$C$11,$D1197),"Evento avulso"))</f>
        <v/>
      </c>
      <c r="H1197" s="114" t="str">
        <f aca="false">IF($E1197="","",IF($B1197="Tema",INDEX(Config!$D$6:$D$11,$D1197),IFERROR(INDEX(Config!$E$15:$E$19,MATCH($I1197,Config!$C$15:$C$19,0)),"•")))</f>
        <v/>
      </c>
      <c r="I1197" s="114" t="str">
        <f aca="false">IF($E1197="","",IF($B1197="Tema",INDEX(Config!$E$6:$E$11,$D1197),IF(INDEX(Avulsos!$D$6:$D$205,$C1197)&amp;""="","Outro",INDEX(Avulsos!$D$6:$D$205,$C1197))))</f>
        <v/>
      </c>
      <c r="J1197" s="114" t="str">
        <f aca="false">IF($E1197="","",IF($B1197="Tema",INDEX(Temas!$C$6:$C$305,$C1197)&amp;"",INDEX(Avulsos!$E$6:$E$205,$C1197)&amp;""))</f>
        <v/>
      </c>
      <c r="K1197" s="114" t="str">
        <f aca="false">IF($E1197="","",IF(IF($B1197="Tema",INDEX(Temas!$E$6:$P$305,$C1197,2*$D1197),INDEX(Avulsos!$F$6:$F$205,$C1197))&amp;""="","","✓"))</f>
        <v/>
      </c>
      <c r="L1197" s="114" t="str">
        <f aca="true">IF($E1197="","",IF($K1197="✓","Concluído",IF($E1197&lt;TODAY(),"Atrasado",IF($E1197=TODAY(),"Hoje","Pendente"))))</f>
        <v/>
      </c>
      <c r="M1197" s="114" t="str">
        <f aca="false">IF($E1197="","",IF($K1197="✓","✓ ","")&amp;IF(Config!$E$22="Sim",$H1197&amp;" · ","")&amp;$F1197)</f>
        <v/>
      </c>
      <c r="N1197" s="114" t="str">
        <f aca="false">IF($E1197="","",IFERROR(INDEX(Config!$D$15:$D$19,MATCH($I1197,Config!$C$15:$C$19,0)),"OUT")&amp;IF($K1197="✓","x",""))</f>
        <v/>
      </c>
      <c r="O1197" s="114" t="str">
        <f aca="false">IF($E1197="","",COUNTIF($E$5:$E1197,$E1197))</f>
        <v/>
      </c>
      <c r="P1197" s="114" t="str">
        <f aca="false">IF($E1197="","",$E1197*100+$O1197)</f>
        <v/>
      </c>
      <c r="Q1197" s="114" t="str">
        <f aca="false">IF($L1197="Atrasado",$E1197*10000+$A1197,"")</f>
        <v/>
      </c>
    </row>
    <row r="1198" customFormat="false" ht="15" hidden="false" customHeight="false" outlineLevel="0" collapsed="false">
      <c r="A1198" s="114" t="n">
        <f aca="false">ROW()-4</f>
        <v>1194</v>
      </c>
      <c r="B1198" s="114" t="str">
        <f aca="false">IF(A1198&lt;=Config!$E$27*Config!$E$28,"Tema","Avulso")</f>
        <v>Tema</v>
      </c>
      <c r="C1198" s="114" t="n">
        <f aca="false">IF(B1198="Tema",INT((A1198-1)/Config!$E$28)+1,A1198-Config!$E$27*Config!$E$28)</f>
        <v>199</v>
      </c>
      <c r="D1198" s="114" t="n">
        <f aca="false">IF(B1198="Tema",MOD(A1198-1,Config!$E$28)+1,"")</f>
        <v>6</v>
      </c>
      <c r="E1198" s="115" t="str">
        <f aca="false">IF($B1198="Tema",IF(ISNUMBER(INDEX(Temas!$E$6:$P$305,$C1198,2*$D1198-1)),INDEX(Temas!$E$6:$P$305,$C1198,2*$D1198-1),""),IF(ISNUMBER(INDEX(Avulsos!$B$6:$B$205,$C1198)),INDEX(Avulsos!$B$6:$B$205,$C1198),""))</f>
        <v/>
      </c>
      <c r="F1198" s="114" t="str">
        <f aca="false">IF($E1198="","",IF($B1198="Tema",INDEX(Temas!$B$6:$B$305,$C1198)&amp;"",INDEX(Avulsos!$C$6:$C$205,$C1198)&amp;""))</f>
        <v/>
      </c>
      <c r="G1198" s="114" t="str">
        <f aca="false">IF($E1198="","",IF($B1198="Tema",INDEX(Config!$C$6:$C$11,$D1198),"Evento avulso"))</f>
        <v/>
      </c>
      <c r="H1198" s="114" t="str">
        <f aca="false">IF($E1198="","",IF($B1198="Tema",INDEX(Config!$D$6:$D$11,$D1198),IFERROR(INDEX(Config!$E$15:$E$19,MATCH($I1198,Config!$C$15:$C$19,0)),"•")))</f>
        <v/>
      </c>
      <c r="I1198" s="114" t="str">
        <f aca="false">IF($E1198="","",IF($B1198="Tema",INDEX(Config!$E$6:$E$11,$D1198),IF(INDEX(Avulsos!$D$6:$D$205,$C1198)&amp;""="","Outro",INDEX(Avulsos!$D$6:$D$205,$C1198))))</f>
        <v/>
      </c>
      <c r="J1198" s="114" t="str">
        <f aca="false">IF($E1198="","",IF($B1198="Tema",INDEX(Temas!$C$6:$C$305,$C1198)&amp;"",INDEX(Avulsos!$E$6:$E$205,$C1198)&amp;""))</f>
        <v/>
      </c>
      <c r="K1198" s="114" t="str">
        <f aca="false">IF($E1198="","",IF(IF($B1198="Tema",INDEX(Temas!$E$6:$P$305,$C1198,2*$D1198),INDEX(Avulsos!$F$6:$F$205,$C1198))&amp;""="","","✓"))</f>
        <v/>
      </c>
      <c r="L1198" s="114" t="str">
        <f aca="true">IF($E1198="","",IF($K1198="✓","Concluído",IF($E1198&lt;TODAY(),"Atrasado",IF($E1198=TODAY(),"Hoje","Pendente"))))</f>
        <v/>
      </c>
      <c r="M1198" s="114" t="str">
        <f aca="false">IF($E1198="","",IF($K1198="✓","✓ ","")&amp;IF(Config!$E$22="Sim",$H1198&amp;" · ","")&amp;$F1198)</f>
        <v/>
      </c>
      <c r="N1198" s="114" t="str">
        <f aca="false">IF($E1198="","",IFERROR(INDEX(Config!$D$15:$D$19,MATCH($I1198,Config!$C$15:$C$19,0)),"OUT")&amp;IF($K1198="✓","x",""))</f>
        <v/>
      </c>
      <c r="O1198" s="114" t="str">
        <f aca="false">IF($E1198="","",COUNTIF($E$5:$E1198,$E1198))</f>
        <v/>
      </c>
      <c r="P1198" s="114" t="str">
        <f aca="false">IF($E1198="","",$E1198*100+$O1198)</f>
        <v/>
      </c>
      <c r="Q1198" s="114" t="str">
        <f aca="false">IF($L1198="Atrasado",$E1198*10000+$A1198,"")</f>
        <v/>
      </c>
    </row>
    <row r="1199" customFormat="false" ht="15" hidden="false" customHeight="false" outlineLevel="0" collapsed="false">
      <c r="A1199" s="114" t="n">
        <f aca="false">ROW()-4</f>
        <v>1195</v>
      </c>
      <c r="B1199" s="114" t="str">
        <f aca="false">IF(A1199&lt;=Config!$E$27*Config!$E$28,"Tema","Avulso")</f>
        <v>Tema</v>
      </c>
      <c r="C1199" s="114" t="n">
        <f aca="false">IF(B1199="Tema",INT((A1199-1)/Config!$E$28)+1,A1199-Config!$E$27*Config!$E$28)</f>
        <v>200</v>
      </c>
      <c r="D1199" s="114" t="n">
        <f aca="false">IF(B1199="Tema",MOD(A1199-1,Config!$E$28)+1,"")</f>
        <v>1</v>
      </c>
      <c r="E1199" s="115" t="str">
        <f aca="false">IF($B1199="Tema",IF(ISNUMBER(INDEX(Temas!$E$6:$P$305,$C1199,2*$D1199-1)),INDEX(Temas!$E$6:$P$305,$C1199,2*$D1199-1),""),IF(ISNUMBER(INDEX(Avulsos!$B$6:$B$205,$C1199)),INDEX(Avulsos!$B$6:$B$205,$C1199),""))</f>
        <v/>
      </c>
      <c r="F1199" s="114" t="str">
        <f aca="false">IF($E1199="","",IF($B1199="Tema",INDEX(Temas!$B$6:$B$305,$C1199)&amp;"",INDEX(Avulsos!$C$6:$C$205,$C1199)&amp;""))</f>
        <v/>
      </c>
      <c r="G1199" s="114" t="str">
        <f aca="false">IF($E1199="","",IF($B1199="Tema",INDEX(Config!$C$6:$C$11,$D1199),"Evento avulso"))</f>
        <v/>
      </c>
      <c r="H1199" s="114" t="str">
        <f aca="false">IF($E1199="","",IF($B1199="Tema",INDEX(Config!$D$6:$D$11,$D1199),IFERROR(INDEX(Config!$E$15:$E$19,MATCH($I1199,Config!$C$15:$C$19,0)),"•")))</f>
        <v/>
      </c>
      <c r="I1199" s="114" t="str">
        <f aca="false">IF($E1199="","",IF($B1199="Tema",INDEX(Config!$E$6:$E$11,$D1199),IF(INDEX(Avulsos!$D$6:$D$205,$C1199)&amp;""="","Outro",INDEX(Avulsos!$D$6:$D$205,$C1199))))</f>
        <v/>
      </c>
      <c r="J1199" s="114" t="str">
        <f aca="false">IF($E1199="","",IF($B1199="Tema",INDEX(Temas!$C$6:$C$305,$C1199)&amp;"",INDEX(Avulsos!$E$6:$E$205,$C1199)&amp;""))</f>
        <v/>
      </c>
      <c r="K1199" s="114" t="str">
        <f aca="false">IF($E1199="","",IF(IF($B1199="Tema",INDEX(Temas!$E$6:$P$305,$C1199,2*$D1199),INDEX(Avulsos!$F$6:$F$205,$C1199))&amp;""="","","✓"))</f>
        <v/>
      </c>
      <c r="L1199" s="114" t="str">
        <f aca="true">IF($E1199="","",IF($K1199="✓","Concluído",IF($E1199&lt;TODAY(),"Atrasado",IF($E1199=TODAY(),"Hoje","Pendente"))))</f>
        <v/>
      </c>
      <c r="M1199" s="114" t="str">
        <f aca="false">IF($E1199="","",IF($K1199="✓","✓ ","")&amp;IF(Config!$E$22="Sim",$H1199&amp;" · ","")&amp;$F1199)</f>
        <v/>
      </c>
      <c r="N1199" s="114" t="str">
        <f aca="false">IF($E1199="","",IFERROR(INDEX(Config!$D$15:$D$19,MATCH($I1199,Config!$C$15:$C$19,0)),"OUT")&amp;IF($K1199="✓","x",""))</f>
        <v/>
      </c>
      <c r="O1199" s="114" t="str">
        <f aca="false">IF($E1199="","",COUNTIF($E$5:$E1199,$E1199))</f>
        <v/>
      </c>
      <c r="P1199" s="114" t="str">
        <f aca="false">IF($E1199="","",$E1199*100+$O1199)</f>
        <v/>
      </c>
      <c r="Q1199" s="114" t="str">
        <f aca="false">IF($L1199="Atrasado",$E1199*10000+$A1199,"")</f>
        <v/>
      </c>
    </row>
    <row r="1200" customFormat="false" ht="15" hidden="false" customHeight="false" outlineLevel="0" collapsed="false">
      <c r="A1200" s="114" t="n">
        <f aca="false">ROW()-4</f>
        <v>1196</v>
      </c>
      <c r="B1200" s="114" t="str">
        <f aca="false">IF(A1200&lt;=Config!$E$27*Config!$E$28,"Tema","Avulso")</f>
        <v>Tema</v>
      </c>
      <c r="C1200" s="114" t="n">
        <f aca="false">IF(B1200="Tema",INT((A1200-1)/Config!$E$28)+1,A1200-Config!$E$27*Config!$E$28)</f>
        <v>200</v>
      </c>
      <c r="D1200" s="114" t="n">
        <f aca="false">IF(B1200="Tema",MOD(A1200-1,Config!$E$28)+1,"")</f>
        <v>2</v>
      </c>
      <c r="E1200" s="115" t="str">
        <f aca="false">IF($B1200="Tema",IF(ISNUMBER(INDEX(Temas!$E$6:$P$305,$C1200,2*$D1200-1)),INDEX(Temas!$E$6:$P$305,$C1200,2*$D1200-1),""),IF(ISNUMBER(INDEX(Avulsos!$B$6:$B$205,$C1200)),INDEX(Avulsos!$B$6:$B$205,$C1200),""))</f>
        <v/>
      </c>
      <c r="F1200" s="114" t="str">
        <f aca="false">IF($E1200="","",IF($B1200="Tema",INDEX(Temas!$B$6:$B$305,$C1200)&amp;"",INDEX(Avulsos!$C$6:$C$205,$C1200)&amp;""))</f>
        <v/>
      </c>
      <c r="G1200" s="114" t="str">
        <f aca="false">IF($E1200="","",IF($B1200="Tema",INDEX(Config!$C$6:$C$11,$D1200),"Evento avulso"))</f>
        <v/>
      </c>
      <c r="H1200" s="114" t="str">
        <f aca="false">IF($E1200="","",IF($B1200="Tema",INDEX(Config!$D$6:$D$11,$D1200),IFERROR(INDEX(Config!$E$15:$E$19,MATCH($I1200,Config!$C$15:$C$19,0)),"•")))</f>
        <v/>
      </c>
      <c r="I1200" s="114" t="str">
        <f aca="false">IF($E1200="","",IF($B1200="Tema",INDEX(Config!$E$6:$E$11,$D1200),IF(INDEX(Avulsos!$D$6:$D$205,$C1200)&amp;""="","Outro",INDEX(Avulsos!$D$6:$D$205,$C1200))))</f>
        <v/>
      </c>
      <c r="J1200" s="114" t="str">
        <f aca="false">IF($E1200="","",IF($B1200="Tema",INDEX(Temas!$C$6:$C$305,$C1200)&amp;"",INDEX(Avulsos!$E$6:$E$205,$C1200)&amp;""))</f>
        <v/>
      </c>
      <c r="K1200" s="114" t="str">
        <f aca="false">IF($E1200="","",IF(IF($B1200="Tema",INDEX(Temas!$E$6:$P$305,$C1200,2*$D1200),INDEX(Avulsos!$F$6:$F$205,$C1200))&amp;""="","","✓"))</f>
        <v/>
      </c>
      <c r="L1200" s="114" t="str">
        <f aca="true">IF($E1200="","",IF($K1200="✓","Concluído",IF($E1200&lt;TODAY(),"Atrasado",IF($E1200=TODAY(),"Hoje","Pendente"))))</f>
        <v/>
      </c>
      <c r="M1200" s="114" t="str">
        <f aca="false">IF($E1200="","",IF($K1200="✓","✓ ","")&amp;IF(Config!$E$22="Sim",$H1200&amp;" · ","")&amp;$F1200)</f>
        <v/>
      </c>
      <c r="N1200" s="114" t="str">
        <f aca="false">IF($E1200="","",IFERROR(INDEX(Config!$D$15:$D$19,MATCH($I1200,Config!$C$15:$C$19,0)),"OUT")&amp;IF($K1200="✓","x",""))</f>
        <v/>
      </c>
      <c r="O1200" s="114" t="str">
        <f aca="false">IF($E1200="","",COUNTIF($E$5:$E1200,$E1200))</f>
        <v/>
      </c>
      <c r="P1200" s="114" t="str">
        <f aca="false">IF($E1200="","",$E1200*100+$O1200)</f>
        <v/>
      </c>
      <c r="Q1200" s="114" t="str">
        <f aca="false">IF($L1200="Atrasado",$E1200*10000+$A1200,"")</f>
        <v/>
      </c>
    </row>
    <row r="1201" customFormat="false" ht="15" hidden="false" customHeight="false" outlineLevel="0" collapsed="false">
      <c r="A1201" s="114" t="n">
        <f aca="false">ROW()-4</f>
        <v>1197</v>
      </c>
      <c r="B1201" s="114" t="str">
        <f aca="false">IF(A1201&lt;=Config!$E$27*Config!$E$28,"Tema","Avulso")</f>
        <v>Tema</v>
      </c>
      <c r="C1201" s="114" t="n">
        <f aca="false">IF(B1201="Tema",INT((A1201-1)/Config!$E$28)+1,A1201-Config!$E$27*Config!$E$28)</f>
        <v>200</v>
      </c>
      <c r="D1201" s="114" t="n">
        <f aca="false">IF(B1201="Tema",MOD(A1201-1,Config!$E$28)+1,"")</f>
        <v>3</v>
      </c>
      <c r="E1201" s="115" t="str">
        <f aca="false">IF($B1201="Tema",IF(ISNUMBER(INDEX(Temas!$E$6:$P$305,$C1201,2*$D1201-1)),INDEX(Temas!$E$6:$P$305,$C1201,2*$D1201-1),""),IF(ISNUMBER(INDEX(Avulsos!$B$6:$B$205,$C1201)),INDEX(Avulsos!$B$6:$B$205,$C1201),""))</f>
        <v/>
      </c>
      <c r="F1201" s="114" t="str">
        <f aca="false">IF($E1201="","",IF($B1201="Tema",INDEX(Temas!$B$6:$B$305,$C1201)&amp;"",INDEX(Avulsos!$C$6:$C$205,$C1201)&amp;""))</f>
        <v/>
      </c>
      <c r="G1201" s="114" t="str">
        <f aca="false">IF($E1201="","",IF($B1201="Tema",INDEX(Config!$C$6:$C$11,$D1201),"Evento avulso"))</f>
        <v/>
      </c>
      <c r="H1201" s="114" t="str">
        <f aca="false">IF($E1201="","",IF($B1201="Tema",INDEX(Config!$D$6:$D$11,$D1201),IFERROR(INDEX(Config!$E$15:$E$19,MATCH($I1201,Config!$C$15:$C$19,0)),"•")))</f>
        <v/>
      </c>
      <c r="I1201" s="114" t="str">
        <f aca="false">IF($E1201="","",IF($B1201="Tema",INDEX(Config!$E$6:$E$11,$D1201),IF(INDEX(Avulsos!$D$6:$D$205,$C1201)&amp;""="","Outro",INDEX(Avulsos!$D$6:$D$205,$C1201))))</f>
        <v/>
      </c>
      <c r="J1201" s="114" t="str">
        <f aca="false">IF($E1201="","",IF($B1201="Tema",INDEX(Temas!$C$6:$C$305,$C1201)&amp;"",INDEX(Avulsos!$E$6:$E$205,$C1201)&amp;""))</f>
        <v/>
      </c>
      <c r="K1201" s="114" t="str">
        <f aca="false">IF($E1201="","",IF(IF($B1201="Tema",INDEX(Temas!$E$6:$P$305,$C1201,2*$D1201),INDEX(Avulsos!$F$6:$F$205,$C1201))&amp;""="","","✓"))</f>
        <v/>
      </c>
      <c r="L1201" s="114" t="str">
        <f aca="true">IF($E1201="","",IF($K1201="✓","Concluído",IF($E1201&lt;TODAY(),"Atrasado",IF($E1201=TODAY(),"Hoje","Pendente"))))</f>
        <v/>
      </c>
      <c r="M1201" s="114" t="str">
        <f aca="false">IF($E1201="","",IF($K1201="✓","✓ ","")&amp;IF(Config!$E$22="Sim",$H1201&amp;" · ","")&amp;$F1201)</f>
        <v/>
      </c>
      <c r="N1201" s="114" t="str">
        <f aca="false">IF($E1201="","",IFERROR(INDEX(Config!$D$15:$D$19,MATCH($I1201,Config!$C$15:$C$19,0)),"OUT")&amp;IF($K1201="✓","x",""))</f>
        <v/>
      </c>
      <c r="O1201" s="114" t="str">
        <f aca="false">IF($E1201="","",COUNTIF($E$5:$E1201,$E1201))</f>
        <v/>
      </c>
      <c r="P1201" s="114" t="str">
        <f aca="false">IF($E1201="","",$E1201*100+$O1201)</f>
        <v/>
      </c>
      <c r="Q1201" s="114" t="str">
        <f aca="false">IF($L1201="Atrasado",$E1201*10000+$A1201,"")</f>
        <v/>
      </c>
    </row>
    <row r="1202" customFormat="false" ht="15" hidden="false" customHeight="false" outlineLevel="0" collapsed="false">
      <c r="A1202" s="114" t="n">
        <f aca="false">ROW()-4</f>
        <v>1198</v>
      </c>
      <c r="B1202" s="114" t="str">
        <f aca="false">IF(A1202&lt;=Config!$E$27*Config!$E$28,"Tema","Avulso")</f>
        <v>Tema</v>
      </c>
      <c r="C1202" s="114" t="n">
        <f aca="false">IF(B1202="Tema",INT((A1202-1)/Config!$E$28)+1,A1202-Config!$E$27*Config!$E$28)</f>
        <v>200</v>
      </c>
      <c r="D1202" s="114" t="n">
        <f aca="false">IF(B1202="Tema",MOD(A1202-1,Config!$E$28)+1,"")</f>
        <v>4</v>
      </c>
      <c r="E1202" s="115" t="str">
        <f aca="false">IF($B1202="Tema",IF(ISNUMBER(INDEX(Temas!$E$6:$P$305,$C1202,2*$D1202-1)),INDEX(Temas!$E$6:$P$305,$C1202,2*$D1202-1),""),IF(ISNUMBER(INDEX(Avulsos!$B$6:$B$205,$C1202)),INDEX(Avulsos!$B$6:$B$205,$C1202),""))</f>
        <v/>
      </c>
      <c r="F1202" s="114" t="str">
        <f aca="false">IF($E1202="","",IF($B1202="Tema",INDEX(Temas!$B$6:$B$305,$C1202)&amp;"",INDEX(Avulsos!$C$6:$C$205,$C1202)&amp;""))</f>
        <v/>
      </c>
      <c r="G1202" s="114" t="str">
        <f aca="false">IF($E1202="","",IF($B1202="Tema",INDEX(Config!$C$6:$C$11,$D1202),"Evento avulso"))</f>
        <v/>
      </c>
      <c r="H1202" s="114" t="str">
        <f aca="false">IF($E1202="","",IF($B1202="Tema",INDEX(Config!$D$6:$D$11,$D1202),IFERROR(INDEX(Config!$E$15:$E$19,MATCH($I1202,Config!$C$15:$C$19,0)),"•")))</f>
        <v/>
      </c>
      <c r="I1202" s="114" t="str">
        <f aca="false">IF($E1202="","",IF($B1202="Tema",INDEX(Config!$E$6:$E$11,$D1202),IF(INDEX(Avulsos!$D$6:$D$205,$C1202)&amp;""="","Outro",INDEX(Avulsos!$D$6:$D$205,$C1202))))</f>
        <v/>
      </c>
      <c r="J1202" s="114" t="str">
        <f aca="false">IF($E1202="","",IF($B1202="Tema",INDEX(Temas!$C$6:$C$305,$C1202)&amp;"",INDEX(Avulsos!$E$6:$E$205,$C1202)&amp;""))</f>
        <v/>
      </c>
      <c r="K1202" s="114" t="str">
        <f aca="false">IF($E1202="","",IF(IF($B1202="Tema",INDEX(Temas!$E$6:$P$305,$C1202,2*$D1202),INDEX(Avulsos!$F$6:$F$205,$C1202))&amp;""="","","✓"))</f>
        <v/>
      </c>
      <c r="L1202" s="114" t="str">
        <f aca="true">IF($E1202="","",IF($K1202="✓","Concluído",IF($E1202&lt;TODAY(),"Atrasado",IF($E1202=TODAY(),"Hoje","Pendente"))))</f>
        <v/>
      </c>
      <c r="M1202" s="114" t="str">
        <f aca="false">IF($E1202="","",IF($K1202="✓","✓ ","")&amp;IF(Config!$E$22="Sim",$H1202&amp;" · ","")&amp;$F1202)</f>
        <v/>
      </c>
      <c r="N1202" s="114" t="str">
        <f aca="false">IF($E1202="","",IFERROR(INDEX(Config!$D$15:$D$19,MATCH($I1202,Config!$C$15:$C$19,0)),"OUT")&amp;IF($K1202="✓","x",""))</f>
        <v/>
      </c>
      <c r="O1202" s="114" t="str">
        <f aca="false">IF($E1202="","",COUNTIF($E$5:$E1202,$E1202))</f>
        <v/>
      </c>
      <c r="P1202" s="114" t="str">
        <f aca="false">IF($E1202="","",$E1202*100+$O1202)</f>
        <v/>
      </c>
      <c r="Q1202" s="114" t="str">
        <f aca="false">IF($L1202="Atrasado",$E1202*10000+$A1202,"")</f>
        <v/>
      </c>
    </row>
    <row r="1203" customFormat="false" ht="15" hidden="false" customHeight="false" outlineLevel="0" collapsed="false">
      <c r="A1203" s="114" t="n">
        <f aca="false">ROW()-4</f>
        <v>1199</v>
      </c>
      <c r="B1203" s="114" t="str">
        <f aca="false">IF(A1203&lt;=Config!$E$27*Config!$E$28,"Tema","Avulso")</f>
        <v>Tema</v>
      </c>
      <c r="C1203" s="114" t="n">
        <f aca="false">IF(B1203="Tema",INT((A1203-1)/Config!$E$28)+1,A1203-Config!$E$27*Config!$E$28)</f>
        <v>200</v>
      </c>
      <c r="D1203" s="114" t="n">
        <f aca="false">IF(B1203="Tema",MOD(A1203-1,Config!$E$28)+1,"")</f>
        <v>5</v>
      </c>
      <c r="E1203" s="115" t="str">
        <f aca="false">IF($B1203="Tema",IF(ISNUMBER(INDEX(Temas!$E$6:$P$305,$C1203,2*$D1203-1)),INDEX(Temas!$E$6:$P$305,$C1203,2*$D1203-1),""),IF(ISNUMBER(INDEX(Avulsos!$B$6:$B$205,$C1203)),INDEX(Avulsos!$B$6:$B$205,$C1203),""))</f>
        <v/>
      </c>
      <c r="F1203" s="114" t="str">
        <f aca="false">IF($E1203="","",IF($B1203="Tema",INDEX(Temas!$B$6:$B$305,$C1203)&amp;"",INDEX(Avulsos!$C$6:$C$205,$C1203)&amp;""))</f>
        <v/>
      </c>
      <c r="G1203" s="114" t="str">
        <f aca="false">IF($E1203="","",IF($B1203="Tema",INDEX(Config!$C$6:$C$11,$D1203),"Evento avulso"))</f>
        <v/>
      </c>
      <c r="H1203" s="114" t="str">
        <f aca="false">IF($E1203="","",IF($B1203="Tema",INDEX(Config!$D$6:$D$11,$D1203),IFERROR(INDEX(Config!$E$15:$E$19,MATCH($I1203,Config!$C$15:$C$19,0)),"•")))</f>
        <v/>
      </c>
      <c r="I1203" s="114" t="str">
        <f aca="false">IF($E1203="","",IF($B1203="Tema",INDEX(Config!$E$6:$E$11,$D1203),IF(INDEX(Avulsos!$D$6:$D$205,$C1203)&amp;""="","Outro",INDEX(Avulsos!$D$6:$D$205,$C1203))))</f>
        <v/>
      </c>
      <c r="J1203" s="114" t="str">
        <f aca="false">IF($E1203="","",IF($B1203="Tema",INDEX(Temas!$C$6:$C$305,$C1203)&amp;"",INDEX(Avulsos!$E$6:$E$205,$C1203)&amp;""))</f>
        <v/>
      </c>
      <c r="K1203" s="114" t="str">
        <f aca="false">IF($E1203="","",IF(IF($B1203="Tema",INDEX(Temas!$E$6:$P$305,$C1203,2*$D1203),INDEX(Avulsos!$F$6:$F$205,$C1203))&amp;""="","","✓"))</f>
        <v/>
      </c>
      <c r="L1203" s="114" t="str">
        <f aca="true">IF($E1203="","",IF($K1203="✓","Concluído",IF($E1203&lt;TODAY(),"Atrasado",IF($E1203=TODAY(),"Hoje","Pendente"))))</f>
        <v/>
      </c>
      <c r="M1203" s="114" t="str">
        <f aca="false">IF($E1203="","",IF($K1203="✓","✓ ","")&amp;IF(Config!$E$22="Sim",$H1203&amp;" · ","")&amp;$F1203)</f>
        <v/>
      </c>
      <c r="N1203" s="114" t="str">
        <f aca="false">IF($E1203="","",IFERROR(INDEX(Config!$D$15:$D$19,MATCH($I1203,Config!$C$15:$C$19,0)),"OUT")&amp;IF($K1203="✓","x",""))</f>
        <v/>
      </c>
      <c r="O1203" s="114" t="str">
        <f aca="false">IF($E1203="","",COUNTIF($E$5:$E1203,$E1203))</f>
        <v/>
      </c>
      <c r="P1203" s="114" t="str">
        <f aca="false">IF($E1203="","",$E1203*100+$O1203)</f>
        <v/>
      </c>
      <c r="Q1203" s="114" t="str">
        <f aca="false">IF($L1203="Atrasado",$E1203*10000+$A1203,"")</f>
        <v/>
      </c>
    </row>
    <row r="1204" customFormat="false" ht="15" hidden="false" customHeight="false" outlineLevel="0" collapsed="false">
      <c r="A1204" s="114" t="n">
        <f aca="false">ROW()-4</f>
        <v>1200</v>
      </c>
      <c r="B1204" s="114" t="str">
        <f aca="false">IF(A1204&lt;=Config!$E$27*Config!$E$28,"Tema","Avulso")</f>
        <v>Tema</v>
      </c>
      <c r="C1204" s="114" t="n">
        <f aca="false">IF(B1204="Tema",INT((A1204-1)/Config!$E$28)+1,A1204-Config!$E$27*Config!$E$28)</f>
        <v>200</v>
      </c>
      <c r="D1204" s="114" t="n">
        <f aca="false">IF(B1204="Tema",MOD(A1204-1,Config!$E$28)+1,"")</f>
        <v>6</v>
      </c>
      <c r="E1204" s="115" t="str">
        <f aca="false">IF($B1204="Tema",IF(ISNUMBER(INDEX(Temas!$E$6:$P$305,$C1204,2*$D1204-1)),INDEX(Temas!$E$6:$P$305,$C1204,2*$D1204-1),""),IF(ISNUMBER(INDEX(Avulsos!$B$6:$B$205,$C1204)),INDEX(Avulsos!$B$6:$B$205,$C1204),""))</f>
        <v/>
      </c>
      <c r="F1204" s="114" t="str">
        <f aca="false">IF($E1204="","",IF($B1204="Tema",INDEX(Temas!$B$6:$B$305,$C1204)&amp;"",INDEX(Avulsos!$C$6:$C$205,$C1204)&amp;""))</f>
        <v/>
      </c>
      <c r="G1204" s="114" t="str">
        <f aca="false">IF($E1204="","",IF($B1204="Tema",INDEX(Config!$C$6:$C$11,$D1204),"Evento avulso"))</f>
        <v/>
      </c>
      <c r="H1204" s="114" t="str">
        <f aca="false">IF($E1204="","",IF($B1204="Tema",INDEX(Config!$D$6:$D$11,$D1204),IFERROR(INDEX(Config!$E$15:$E$19,MATCH($I1204,Config!$C$15:$C$19,0)),"•")))</f>
        <v/>
      </c>
      <c r="I1204" s="114" t="str">
        <f aca="false">IF($E1204="","",IF($B1204="Tema",INDEX(Config!$E$6:$E$11,$D1204),IF(INDEX(Avulsos!$D$6:$D$205,$C1204)&amp;""="","Outro",INDEX(Avulsos!$D$6:$D$205,$C1204))))</f>
        <v/>
      </c>
      <c r="J1204" s="114" t="str">
        <f aca="false">IF($E1204="","",IF($B1204="Tema",INDEX(Temas!$C$6:$C$305,$C1204)&amp;"",INDEX(Avulsos!$E$6:$E$205,$C1204)&amp;""))</f>
        <v/>
      </c>
      <c r="K1204" s="114" t="str">
        <f aca="false">IF($E1204="","",IF(IF($B1204="Tema",INDEX(Temas!$E$6:$P$305,$C1204,2*$D1204),INDEX(Avulsos!$F$6:$F$205,$C1204))&amp;""="","","✓"))</f>
        <v/>
      </c>
      <c r="L1204" s="114" t="str">
        <f aca="true">IF($E1204="","",IF($K1204="✓","Concluído",IF($E1204&lt;TODAY(),"Atrasado",IF($E1204=TODAY(),"Hoje","Pendente"))))</f>
        <v/>
      </c>
      <c r="M1204" s="114" t="str">
        <f aca="false">IF($E1204="","",IF($K1204="✓","✓ ","")&amp;IF(Config!$E$22="Sim",$H1204&amp;" · ","")&amp;$F1204)</f>
        <v/>
      </c>
      <c r="N1204" s="114" t="str">
        <f aca="false">IF($E1204="","",IFERROR(INDEX(Config!$D$15:$D$19,MATCH($I1204,Config!$C$15:$C$19,0)),"OUT")&amp;IF($K1204="✓","x",""))</f>
        <v/>
      </c>
      <c r="O1204" s="114" t="str">
        <f aca="false">IF($E1204="","",COUNTIF($E$5:$E1204,$E1204))</f>
        <v/>
      </c>
      <c r="P1204" s="114" t="str">
        <f aca="false">IF($E1204="","",$E1204*100+$O1204)</f>
        <v/>
      </c>
      <c r="Q1204" s="114" t="str">
        <f aca="false">IF($L1204="Atrasado",$E1204*10000+$A1204,"")</f>
        <v/>
      </c>
    </row>
    <row r="1205" customFormat="false" ht="15" hidden="false" customHeight="false" outlineLevel="0" collapsed="false">
      <c r="A1205" s="114" t="n">
        <f aca="false">ROW()-4</f>
        <v>1201</v>
      </c>
      <c r="B1205" s="114" t="str">
        <f aca="false">IF(A1205&lt;=Config!$E$27*Config!$E$28,"Tema","Avulso")</f>
        <v>Tema</v>
      </c>
      <c r="C1205" s="114" t="n">
        <f aca="false">IF(B1205="Tema",INT((A1205-1)/Config!$E$28)+1,A1205-Config!$E$27*Config!$E$28)</f>
        <v>201</v>
      </c>
      <c r="D1205" s="114" t="n">
        <f aca="false">IF(B1205="Tema",MOD(A1205-1,Config!$E$28)+1,"")</f>
        <v>1</v>
      </c>
      <c r="E1205" s="115" t="str">
        <f aca="false">IF($B1205="Tema",IF(ISNUMBER(INDEX(Temas!$E$6:$P$305,$C1205,2*$D1205-1)),INDEX(Temas!$E$6:$P$305,$C1205,2*$D1205-1),""),IF(ISNUMBER(INDEX(Avulsos!$B$6:$B$205,$C1205)),INDEX(Avulsos!$B$6:$B$205,$C1205),""))</f>
        <v/>
      </c>
      <c r="F1205" s="114" t="str">
        <f aca="false">IF($E1205="","",IF($B1205="Tema",INDEX(Temas!$B$6:$B$305,$C1205)&amp;"",INDEX(Avulsos!$C$6:$C$205,$C1205)&amp;""))</f>
        <v/>
      </c>
      <c r="G1205" s="114" t="str">
        <f aca="false">IF($E1205="","",IF($B1205="Tema",INDEX(Config!$C$6:$C$11,$D1205),"Evento avulso"))</f>
        <v/>
      </c>
      <c r="H1205" s="114" t="str">
        <f aca="false">IF($E1205="","",IF($B1205="Tema",INDEX(Config!$D$6:$D$11,$D1205),IFERROR(INDEX(Config!$E$15:$E$19,MATCH($I1205,Config!$C$15:$C$19,0)),"•")))</f>
        <v/>
      </c>
      <c r="I1205" s="114" t="str">
        <f aca="false">IF($E1205="","",IF($B1205="Tema",INDEX(Config!$E$6:$E$11,$D1205),IF(INDEX(Avulsos!$D$6:$D$205,$C1205)&amp;""="","Outro",INDEX(Avulsos!$D$6:$D$205,$C1205))))</f>
        <v/>
      </c>
      <c r="J1205" s="114" t="str">
        <f aca="false">IF($E1205="","",IF($B1205="Tema",INDEX(Temas!$C$6:$C$305,$C1205)&amp;"",INDEX(Avulsos!$E$6:$E$205,$C1205)&amp;""))</f>
        <v/>
      </c>
      <c r="K1205" s="114" t="str">
        <f aca="false">IF($E1205="","",IF(IF($B1205="Tema",INDEX(Temas!$E$6:$P$305,$C1205,2*$D1205),INDEX(Avulsos!$F$6:$F$205,$C1205))&amp;""="","","✓"))</f>
        <v/>
      </c>
      <c r="L1205" s="114" t="str">
        <f aca="true">IF($E1205="","",IF($K1205="✓","Concluído",IF($E1205&lt;TODAY(),"Atrasado",IF($E1205=TODAY(),"Hoje","Pendente"))))</f>
        <v/>
      </c>
      <c r="M1205" s="114" t="str">
        <f aca="false">IF($E1205="","",IF($K1205="✓","✓ ","")&amp;IF(Config!$E$22="Sim",$H1205&amp;" · ","")&amp;$F1205)</f>
        <v/>
      </c>
      <c r="N1205" s="114" t="str">
        <f aca="false">IF($E1205="","",IFERROR(INDEX(Config!$D$15:$D$19,MATCH($I1205,Config!$C$15:$C$19,0)),"OUT")&amp;IF($K1205="✓","x",""))</f>
        <v/>
      </c>
      <c r="O1205" s="114" t="str">
        <f aca="false">IF($E1205="","",COUNTIF($E$5:$E1205,$E1205))</f>
        <v/>
      </c>
      <c r="P1205" s="114" t="str">
        <f aca="false">IF($E1205="","",$E1205*100+$O1205)</f>
        <v/>
      </c>
      <c r="Q1205" s="114" t="str">
        <f aca="false">IF($L1205="Atrasado",$E1205*10000+$A1205,"")</f>
        <v/>
      </c>
    </row>
    <row r="1206" customFormat="false" ht="15" hidden="false" customHeight="false" outlineLevel="0" collapsed="false">
      <c r="A1206" s="114" t="n">
        <f aca="false">ROW()-4</f>
        <v>1202</v>
      </c>
      <c r="B1206" s="114" t="str">
        <f aca="false">IF(A1206&lt;=Config!$E$27*Config!$E$28,"Tema","Avulso")</f>
        <v>Tema</v>
      </c>
      <c r="C1206" s="114" t="n">
        <f aca="false">IF(B1206="Tema",INT((A1206-1)/Config!$E$28)+1,A1206-Config!$E$27*Config!$E$28)</f>
        <v>201</v>
      </c>
      <c r="D1206" s="114" t="n">
        <f aca="false">IF(B1206="Tema",MOD(A1206-1,Config!$E$28)+1,"")</f>
        <v>2</v>
      </c>
      <c r="E1206" s="115" t="str">
        <f aca="false">IF($B1206="Tema",IF(ISNUMBER(INDEX(Temas!$E$6:$P$305,$C1206,2*$D1206-1)),INDEX(Temas!$E$6:$P$305,$C1206,2*$D1206-1),""),IF(ISNUMBER(INDEX(Avulsos!$B$6:$B$205,$C1206)),INDEX(Avulsos!$B$6:$B$205,$C1206),""))</f>
        <v/>
      </c>
      <c r="F1206" s="114" t="str">
        <f aca="false">IF($E1206="","",IF($B1206="Tema",INDEX(Temas!$B$6:$B$305,$C1206)&amp;"",INDEX(Avulsos!$C$6:$C$205,$C1206)&amp;""))</f>
        <v/>
      </c>
      <c r="G1206" s="114" t="str">
        <f aca="false">IF($E1206="","",IF($B1206="Tema",INDEX(Config!$C$6:$C$11,$D1206),"Evento avulso"))</f>
        <v/>
      </c>
      <c r="H1206" s="114" t="str">
        <f aca="false">IF($E1206="","",IF($B1206="Tema",INDEX(Config!$D$6:$D$11,$D1206),IFERROR(INDEX(Config!$E$15:$E$19,MATCH($I1206,Config!$C$15:$C$19,0)),"•")))</f>
        <v/>
      </c>
      <c r="I1206" s="114" t="str">
        <f aca="false">IF($E1206="","",IF($B1206="Tema",INDEX(Config!$E$6:$E$11,$D1206),IF(INDEX(Avulsos!$D$6:$D$205,$C1206)&amp;""="","Outro",INDEX(Avulsos!$D$6:$D$205,$C1206))))</f>
        <v/>
      </c>
      <c r="J1206" s="114" t="str">
        <f aca="false">IF($E1206="","",IF($B1206="Tema",INDEX(Temas!$C$6:$C$305,$C1206)&amp;"",INDEX(Avulsos!$E$6:$E$205,$C1206)&amp;""))</f>
        <v/>
      </c>
      <c r="K1206" s="114" t="str">
        <f aca="false">IF($E1206="","",IF(IF($B1206="Tema",INDEX(Temas!$E$6:$P$305,$C1206,2*$D1206),INDEX(Avulsos!$F$6:$F$205,$C1206))&amp;""="","","✓"))</f>
        <v/>
      </c>
      <c r="L1206" s="114" t="str">
        <f aca="true">IF($E1206="","",IF($K1206="✓","Concluído",IF($E1206&lt;TODAY(),"Atrasado",IF($E1206=TODAY(),"Hoje","Pendente"))))</f>
        <v/>
      </c>
      <c r="M1206" s="114" t="str">
        <f aca="false">IF($E1206="","",IF($K1206="✓","✓ ","")&amp;IF(Config!$E$22="Sim",$H1206&amp;" · ","")&amp;$F1206)</f>
        <v/>
      </c>
      <c r="N1206" s="114" t="str">
        <f aca="false">IF($E1206="","",IFERROR(INDEX(Config!$D$15:$D$19,MATCH($I1206,Config!$C$15:$C$19,0)),"OUT")&amp;IF($K1206="✓","x",""))</f>
        <v/>
      </c>
      <c r="O1206" s="114" t="str">
        <f aca="false">IF($E1206="","",COUNTIF($E$5:$E1206,$E1206))</f>
        <v/>
      </c>
      <c r="P1206" s="114" t="str">
        <f aca="false">IF($E1206="","",$E1206*100+$O1206)</f>
        <v/>
      </c>
      <c r="Q1206" s="114" t="str">
        <f aca="false">IF($L1206="Atrasado",$E1206*10000+$A1206,"")</f>
        <v/>
      </c>
    </row>
    <row r="1207" customFormat="false" ht="15" hidden="false" customHeight="false" outlineLevel="0" collapsed="false">
      <c r="A1207" s="114" t="n">
        <f aca="false">ROW()-4</f>
        <v>1203</v>
      </c>
      <c r="B1207" s="114" t="str">
        <f aca="false">IF(A1207&lt;=Config!$E$27*Config!$E$28,"Tema","Avulso")</f>
        <v>Tema</v>
      </c>
      <c r="C1207" s="114" t="n">
        <f aca="false">IF(B1207="Tema",INT((A1207-1)/Config!$E$28)+1,A1207-Config!$E$27*Config!$E$28)</f>
        <v>201</v>
      </c>
      <c r="D1207" s="114" t="n">
        <f aca="false">IF(B1207="Tema",MOD(A1207-1,Config!$E$28)+1,"")</f>
        <v>3</v>
      </c>
      <c r="E1207" s="115" t="str">
        <f aca="false">IF($B1207="Tema",IF(ISNUMBER(INDEX(Temas!$E$6:$P$305,$C1207,2*$D1207-1)),INDEX(Temas!$E$6:$P$305,$C1207,2*$D1207-1),""),IF(ISNUMBER(INDEX(Avulsos!$B$6:$B$205,$C1207)),INDEX(Avulsos!$B$6:$B$205,$C1207),""))</f>
        <v/>
      </c>
      <c r="F1207" s="114" t="str">
        <f aca="false">IF($E1207="","",IF($B1207="Tema",INDEX(Temas!$B$6:$B$305,$C1207)&amp;"",INDEX(Avulsos!$C$6:$C$205,$C1207)&amp;""))</f>
        <v/>
      </c>
      <c r="G1207" s="114" t="str">
        <f aca="false">IF($E1207="","",IF($B1207="Tema",INDEX(Config!$C$6:$C$11,$D1207),"Evento avulso"))</f>
        <v/>
      </c>
      <c r="H1207" s="114" t="str">
        <f aca="false">IF($E1207="","",IF($B1207="Tema",INDEX(Config!$D$6:$D$11,$D1207),IFERROR(INDEX(Config!$E$15:$E$19,MATCH($I1207,Config!$C$15:$C$19,0)),"•")))</f>
        <v/>
      </c>
      <c r="I1207" s="114" t="str">
        <f aca="false">IF($E1207="","",IF($B1207="Tema",INDEX(Config!$E$6:$E$11,$D1207),IF(INDEX(Avulsos!$D$6:$D$205,$C1207)&amp;""="","Outro",INDEX(Avulsos!$D$6:$D$205,$C1207))))</f>
        <v/>
      </c>
      <c r="J1207" s="114" t="str">
        <f aca="false">IF($E1207="","",IF($B1207="Tema",INDEX(Temas!$C$6:$C$305,$C1207)&amp;"",INDEX(Avulsos!$E$6:$E$205,$C1207)&amp;""))</f>
        <v/>
      </c>
      <c r="K1207" s="114" t="str">
        <f aca="false">IF($E1207="","",IF(IF($B1207="Tema",INDEX(Temas!$E$6:$P$305,$C1207,2*$D1207),INDEX(Avulsos!$F$6:$F$205,$C1207))&amp;""="","","✓"))</f>
        <v/>
      </c>
      <c r="L1207" s="114" t="str">
        <f aca="true">IF($E1207="","",IF($K1207="✓","Concluído",IF($E1207&lt;TODAY(),"Atrasado",IF($E1207=TODAY(),"Hoje","Pendente"))))</f>
        <v/>
      </c>
      <c r="M1207" s="114" t="str">
        <f aca="false">IF($E1207="","",IF($K1207="✓","✓ ","")&amp;IF(Config!$E$22="Sim",$H1207&amp;" · ","")&amp;$F1207)</f>
        <v/>
      </c>
      <c r="N1207" s="114" t="str">
        <f aca="false">IF($E1207="","",IFERROR(INDEX(Config!$D$15:$D$19,MATCH($I1207,Config!$C$15:$C$19,0)),"OUT")&amp;IF($K1207="✓","x",""))</f>
        <v/>
      </c>
      <c r="O1207" s="114" t="str">
        <f aca="false">IF($E1207="","",COUNTIF($E$5:$E1207,$E1207))</f>
        <v/>
      </c>
      <c r="P1207" s="114" t="str">
        <f aca="false">IF($E1207="","",$E1207*100+$O1207)</f>
        <v/>
      </c>
      <c r="Q1207" s="114" t="str">
        <f aca="false">IF($L1207="Atrasado",$E1207*10000+$A1207,"")</f>
        <v/>
      </c>
    </row>
    <row r="1208" customFormat="false" ht="15" hidden="false" customHeight="false" outlineLevel="0" collapsed="false">
      <c r="A1208" s="114" t="n">
        <f aca="false">ROW()-4</f>
        <v>1204</v>
      </c>
      <c r="B1208" s="114" t="str">
        <f aca="false">IF(A1208&lt;=Config!$E$27*Config!$E$28,"Tema","Avulso")</f>
        <v>Tema</v>
      </c>
      <c r="C1208" s="114" t="n">
        <f aca="false">IF(B1208="Tema",INT((A1208-1)/Config!$E$28)+1,A1208-Config!$E$27*Config!$E$28)</f>
        <v>201</v>
      </c>
      <c r="D1208" s="114" t="n">
        <f aca="false">IF(B1208="Tema",MOD(A1208-1,Config!$E$28)+1,"")</f>
        <v>4</v>
      </c>
      <c r="E1208" s="115" t="str">
        <f aca="false">IF($B1208="Tema",IF(ISNUMBER(INDEX(Temas!$E$6:$P$305,$C1208,2*$D1208-1)),INDEX(Temas!$E$6:$P$305,$C1208,2*$D1208-1),""),IF(ISNUMBER(INDEX(Avulsos!$B$6:$B$205,$C1208)),INDEX(Avulsos!$B$6:$B$205,$C1208),""))</f>
        <v/>
      </c>
      <c r="F1208" s="114" t="str">
        <f aca="false">IF($E1208="","",IF($B1208="Tema",INDEX(Temas!$B$6:$B$305,$C1208)&amp;"",INDEX(Avulsos!$C$6:$C$205,$C1208)&amp;""))</f>
        <v/>
      </c>
      <c r="G1208" s="114" t="str">
        <f aca="false">IF($E1208="","",IF($B1208="Tema",INDEX(Config!$C$6:$C$11,$D1208),"Evento avulso"))</f>
        <v/>
      </c>
      <c r="H1208" s="114" t="str">
        <f aca="false">IF($E1208="","",IF($B1208="Tema",INDEX(Config!$D$6:$D$11,$D1208),IFERROR(INDEX(Config!$E$15:$E$19,MATCH($I1208,Config!$C$15:$C$19,0)),"•")))</f>
        <v/>
      </c>
      <c r="I1208" s="114" t="str">
        <f aca="false">IF($E1208="","",IF($B1208="Tema",INDEX(Config!$E$6:$E$11,$D1208),IF(INDEX(Avulsos!$D$6:$D$205,$C1208)&amp;""="","Outro",INDEX(Avulsos!$D$6:$D$205,$C1208))))</f>
        <v/>
      </c>
      <c r="J1208" s="114" t="str">
        <f aca="false">IF($E1208="","",IF($B1208="Tema",INDEX(Temas!$C$6:$C$305,$C1208)&amp;"",INDEX(Avulsos!$E$6:$E$205,$C1208)&amp;""))</f>
        <v/>
      </c>
      <c r="K1208" s="114" t="str">
        <f aca="false">IF($E1208="","",IF(IF($B1208="Tema",INDEX(Temas!$E$6:$P$305,$C1208,2*$D1208),INDEX(Avulsos!$F$6:$F$205,$C1208))&amp;""="","","✓"))</f>
        <v/>
      </c>
      <c r="L1208" s="114" t="str">
        <f aca="true">IF($E1208="","",IF($K1208="✓","Concluído",IF($E1208&lt;TODAY(),"Atrasado",IF($E1208=TODAY(),"Hoje","Pendente"))))</f>
        <v/>
      </c>
      <c r="M1208" s="114" t="str">
        <f aca="false">IF($E1208="","",IF($K1208="✓","✓ ","")&amp;IF(Config!$E$22="Sim",$H1208&amp;" · ","")&amp;$F1208)</f>
        <v/>
      </c>
      <c r="N1208" s="114" t="str">
        <f aca="false">IF($E1208="","",IFERROR(INDEX(Config!$D$15:$D$19,MATCH($I1208,Config!$C$15:$C$19,0)),"OUT")&amp;IF($K1208="✓","x",""))</f>
        <v/>
      </c>
      <c r="O1208" s="114" t="str">
        <f aca="false">IF($E1208="","",COUNTIF($E$5:$E1208,$E1208))</f>
        <v/>
      </c>
      <c r="P1208" s="114" t="str">
        <f aca="false">IF($E1208="","",$E1208*100+$O1208)</f>
        <v/>
      </c>
      <c r="Q1208" s="114" t="str">
        <f aca="false">IF($L1208="Atrasado",$E1208*10000+$A1208,"")</f>
        <v/>
      </c>
    </row>
    <row r="1209" customFormat="false" ht="15" hidden="false" customHeight="false" outlineLevel="0" collapsed="false">
      <c r="A1209" s="114" t="n">
        <f aca="false">ROW()-4</f>
        <v>1205</v>
      </c>
      <c r="B1209" s="114" t="str">
        <f aca="false">IF(A1209&lt;=Config!$E$27*Config!$E$28,"Tema","Avulso")</f>
        <v>Tema</v>
      </c>
      <c r="C1209" s="114" t="n">
        <f aca="false">IF(B1209="Tema",INT((A1209-1)/Config!$E$28)+1,A1209-Config!$E$27*Config!$E$28)</f>
        <v>201</v>
      </c>
      <c r="D1209" s="114" t="n">
        <f aca="false">IF(B1209="Tema",MOD(A1209-1,Config!$E$28)+1,"")</f>
        <v>5</v>
      </c>
      <c r="E1209" s="115" t="str">
        <f aca="false">IF($B1209="Tema",IF(ISNUMBER(INDEX(Temas!$E$6:$P$305,$C1209,2*$D1209-1)),INDEX(Temas!$E$6:$P$305,$C1209,2*$D1209-1),""),IF(ISNUMBER(INDEX(Avulsos!$B$6:$B$205,$C1209)),INDEX(Avulsos!$B$6:$B$205,$C1209),""))</f>
        <v/>
      </c>
      <c r="F1209" s="114" t="str">
        <f aca="false">IF($E1209="","",IF($B1209="Tema",INDEX(Temas!$B$6:$B$305,$C1209)&amp;"",INDEX(Avulsos!$C$6:$C$205,$C1209)&amp;""))</f>
        <v/>
      </c>
      <c r="G1209" s="114" t="str">
        <f aca="false">IF($E1209="","",IF($B1209="Tema",INDEX(Config!$C$6:$C$11,$D1209),"Evento avulso"))</f>
        <v/>
      </c>
      <c r="H1209" s="114" t="str">
        <f aca="false">IF($E1209="","",IF($B1209="Tema",INDEX(Config!$D$6:$D$11,$D1209),IFERROR(INDEX(Config!$E$15:$E$19,MATCH($I1209,Config!$C$15:$C$19,0)),"•")))</f>
        <v/>
      </c>
      <c r="I1209" s="114" t="str">
        <f aca="false">IF($E1209="","",IF($B1209="Tema",INDEX(Config!$E$6:$E$11,$D1209),IF(INDEX(Avulsos!$D$6:$D$205,$C1209)&amp;""="","Outro",INDEX(Avulsos!$D$6:$D$205,$C1209))))</f>
        <v/>
      </c>
      <c r="J1209" s="114" t="str">
        <f aca="false">IF($E1209="","",IF($B1209="Tema",INDEX(Temas!$C$6:$C$305,$C1209)&amp;"",INDEX(Avulsos!$E$6:$E$205,$C1209)&amp;""))</f>
        <v/>
      </c>
      <c r="K1209" s="114" t="str">
        <f aca="false">IF($E1209="","",IF(IF($B1209="Tema",INDEX(Temas!$E$6:$P$305,$C1209,2*$D1209),INDEX(Avulsos!$F$6:$F$205,$C1209))&amp;""="","","✓"))</f>
        <v/>
      </c>
      <c r="L1209" s="114" t="str">
        <f aca="true">IF($E1209="","",IF($K1209="✓","Concluído",IF($E1209&lt;TODAY(),"Atrasado",IF($E1209=TODAY(),"Hoje","Pendente"))))</f>
        <v/>
      </c>
      <c r="M1209" s="114" t="str">
        <f aca="false">IF($E1209="","",IF($K1209="✓","✓ ","")&amp;IF(Config!$E$22="Sim",$H1209&amp;" · ","")&amp;$F1209)</f>
        <v/>
      </c>
      <c r="N1209" s="114" t="str">
        <f aca="false">IF($E1209="","",IFERROR(INDEX(Config!$D$15:$D$19,MATCH($I1209,Config!$C$15:$C$19,0)),"OUT")&amp;IF($K1209="✓","x",""))</f>
        <v/>
      </c>
      <c r="O1209" s="114" t="str">
        <f aca="false">IF($E1209="","",COUNTIF($E$5:$E1209,$E1209))</f>
        <v/>
      </c>
      <c r="P1209" s="114" t="str">
        <f aca="false">IF($E1209="","",$E1209*100+$O1209)</f>
        <v/>
      </c>
      <c r="Q1209" s="114" t="str">
        <f aca="false">IF($L1209="Atrasado",$E1209*10000+$A1209,"")</f>
        <v/>
      </c>
    </row>
    <row r="1210" customFormat="false" ht="15" hidden="false" customHeight="false" outlineLevel="0" collapsed="false">
      <c r="A1210" s="114" t="n">
        <f aca="false">ROW()-4</f>
        <v>1206</v>
      </c>
      <c r="B1210" s="114" t="str">
        <f aca="false">IF(A1210&lt;=Config!$E$27*Config!$E$28,"Tema","Avulso")</f>
        <v>Tema</v>
      </c>
      <c r="C1210" s="114" t="n">
        <f aca="false">IF(B1210="Tema",INT((A1210-1)/Config!$E$28)+1,A1210-Config!$E$27*Config!$E$28)</f>
        <v>201</v>
      </c>
      <c r="D1210" s="114" t="n">
        <f aca="false">IF(B1210="Tema",MOD(A1210-1,Config!$E$28)+1,"")</f>
        <v>6</v>
      </c>
      <c r="E1210" s="115" t="str">
        <f aca="false">IF($B1210="Tema",IF(ISNUMBER(INDEX(Temas!$E$6:$P$305,$C1210,2*$D1210-1)),INDEX(Temas!$E$6:$P$305,$C1210,2*$D1210-1),""),IF(ISNUMBER(INDEX(Avulsos!$B$6:$B$205,$C1210)),INDEX(Avulsos!$B$6:$B$205,$C1210),""))</f>
        <v/>
      </c>
      <c r="F1210" s="114" t="str">
        <f aca="false">IF($E1210="","",IF($B1210="Tema",INDEX(Temas!$B$6:$B$305,$C1210)&amp;"",INDEX(Avulsos!$C$6:$C$205,$C1210)&amp;""))</f>
        <v/>
      </c>
      <c r="G1210" s="114" t="str">
        <f aca="false">IF($E1210="","",IF($B1210="Tema",INDEX(Config!$C$6:$C$11,$D1210),"Evento avulso"))</f>
        <v/>
      </c>
      <c r="H1210" s="114" t="str">
        <f aca="false">IF($E1210="","",IF($B1210="Tema",INDEX(Config!$D$6:$D$11,$D1210),IFERROR(INDEX(Config!$E$15:$E$19,MATCH($I1210,Config!$C$15:$C$19,0)),"•")))</f>
        <v/>
      </c>
      <c r="I1210" s="114" t="str">
        <f aca="false">IF($E1210="","",IF($B1210="Tema",INDEX(Config!$E$6:$E$11,$D1210),IF(INDEX(Avulsos!$D$6:$D$205,$C1210)&amp;""="","Outro",INDEX(Avulsos!$D$6:$D$205,$C1210))))</f>
        <v/>
      </c>
      <c r="J1210" s="114" t="str">
        <f aca="false">IF($E1210="","",IF($B1210="Tema",INDEX(Temas!$C$6:$C$305,$C1210)&amp;"",INDEX(Avulsos!$E$6:$E$205,$C1210)&amp;""))</f>
        <v/>
      </c>
      <c r="K1210" s="114" t="str">
        <f aca="false">IF($E1210="","",IF(IF($B1210="Tema",INDEX(Temas!$E$6:$P$305,$C1210,2*$D1210),INDEX(Avulsos!$F$6:$F$205,$C1210))&amp;""="","","✓"))</f>
        <v/>
      </c>
      <c r="L1210" s="114" t="str">
        <f aca="true">IF($E1210="","",IF($K1210="✓","Concluído",IF($E1210&lt;TODAY(),"Atrasado",IF($E1210=TODAY(),"Hoje","Pendente"))))</f>
        <v/>
      </c>
      <c r="M1210" s="114" t="str">
        <f aca="false">IF($E1210="","",IF($K1210="✓","✓ ","")&amp;IF(Config!$E$22="Sim",$H1210&amp;" · ","")&amp;$F1210)</f>
        <v/>
      </c>
      <c r="N1210" s="114" t="str">
        <f aca="false">IF($E1210="","",IFERROR(INDEX(Config!$D$15:$D$19,MATCH($I1210,Config!$C$15:$C$19,0)),"OUT")&amp;IF($K1210="✓","x",""))</f>
        <v/>
      </c>
      <c r="O1210" s="114" t="str">
        <f aca="false">IF($E1210="","",COUNTIF($E$5:$E1210,$E1210))</f>
        <v/>
      </c>
      <c r="P1210" s="114" t="str">
        <f aca="false">IF($E1210="","",$E1210*100+$O1210)</f>
        <v/>
      </c>
      <c r="Q1210" s="114" t="str">
        <f aca="false">IF($L1210="Atrasado",$E1210*10000+$A1210,"")</f>
        <v/>
      </c>
    </row>
    <row r="1211" customFormat="false" ht="15" hidden="false" customHeight="false" outlineLevel="0" collapsed="false">
      <c r="A1211" s="114" t="n">
        <f aca="false">ROW()-4</f>
        <v>1207</v>
      </c>
      <c r="B1211" s="114" t="str">
        <f aca="false">IF(A1211&lt;=Config!$E$27*Config!$E$28,"Tema","Avulso")</f>
        <v>Tema</v>
      </c>
      <c r="C1211" s="114" t="n">
        <f aca="false">IF(B1211="Tema",INT((A1211-1)/Config!$E$28)+1,A1211-Config!$E$27*Config!$E$28)</f>
        <v>202</v>
      </c>
      <c r="D1211" s="114" t="n">
        <f aca="false">IF(B1211="Tema",MOD(A1211-1,Config!$E$28)+1,"")</f>
        <v>1</v>
      </c>
      <c r="E1211" s="115" t="str">
        <f aca="false">IF($B1211="Tema",IF(ISNUMBER(INDEX(Temas!$E$6:$P$305,$C1211,2*$D1211-1)),INDEX(Temas!$E$6:$P$305,$C1211,2*$D1211-1),""),IF(ISNUMBER(INDEX(Avulsos!$B$6:$B$205,$C1211)),INDEX(Avulsos!$B$6:$B$205,$C1211),""))</f>
        <v/>
      </c>
      <c r="F1211" s="114" t="str">
        <f aca="false">IF($E1211="","",IF($B1211="Tema",INDEX(Temas!$B$6:$B$305,$C1211)&amp;"",INDEX(Avulsos!$C$6:$C$205,$C1211)&amp;""))</f>
        <v/>
      </c>
      <c r="G1211" s="114" t="str">
        <f aca="false">IF($E1211="","",IF($B1211="Tema",INDEX(Config!$C$6:$C$11,$D1211),"Evento avulso"))</f>
        <v/>
      </c>
      <c r="H1211" s="114" t="str">
        <f aca="false">IF($E1211="","",IF($B1211="Tema",INDEX(Config!$D$6:$D$11,$D1211),IFERROR(INDEX(Config!$E$15:$E$19,MATCH($I1211,Config!$C$15:$C$19,0)),"•")))</f>
        <v/>
      </c>
      <c r="I1211" s="114" t="str">
        <f aca="false">IF($E1211="","",IF($B1211="Tema",INDEX(Config!$E$6:$E$11,$D1211),IF(INDEX(Avulsos!$D$6:$D$205,$C1211)&amp;""="","Outro",INDEX(Avulsos!$D$6:$D$205,$C1211))))</f>
        <v/>
      </c>
      <c r="J1211" s="114" t="str">
        <f aca="false">IF($E1211="","",IF($B1211="Tema",INDEX(Temas!$C$6:$C$305,$C1211)&amp;"",INDEX(Avulsos!$E$6:$E$205,$C1211)&amp;""))</f>
        <v/>
      </c>
      <c r="K1211" s="114" t="str">
        <f aca="false">IF($E1211="","",IF(IF($B1211="Tema",INDEX(Temas!$E$6:$P$305,$C1211,2*$D1211),INDEX(Avulsos!$F$6:$F$205,$C1211))&amp;""="","","✓"))</f>
        <v/>
      </c>
      <c r="L1211" s="114" t="str">
        <f aca="true">IF($E1211="","",IF($K1211="✓","Concluído",IF($E1211&lt;TODAY(),"Atrasado",IF($E1211=TODAY(),"Hoje","Pendente"))))</f>
        <v/>
      </c>
      <c r="M1211" s="114" t="str">
        <f aca="false">IF($E1211="","",IF($K1211="✓","✓ ","")&amp;IF(Config!$E$22="Sim",$H1211&amp;" · ","")&amp;$F1211)</f>
        <v/>
      </c>
      <c r="N1211" s="114" t="str">
        <f aca="false">IF($E1211="","",IFERROR(INDEX(Config!$D$15:$D$19,MATCH($I1211,Config!$C$15:$C$19,0)),"OUT")&amp;IF($K1211="✓","x",""))</f>
        <v/>
      </c>
      <c r="O1211" s="114" t="str">
        <f aca="false">IF($E1211="","",COUNTIF($E$5:$E1211,$E1211))</f>
        <v/>
      </c>
      <c r="P1211" s="114" t="str">
        <f aca="false">IF($E1211="","",$E1211*100+$O1211)</f>
        <v/>
      </c>
      <c r="Q1211" s="114" t="str">
        <f aca="false">IF($L1211="Atrasado",$E1211*10000+$A1211,"")</f>
        <v/>
      </c>
    </row>
    <row r="1212" customFormat="false" ht="15" hidden="false" customHeight="false" outlineLevel="0" collapsed="false">
      <c r="A1212" s="114" t="n">
        <f aca="false">ROW()-4</f>
        <v>1208</v>
      </c>
      <c r="B1212" s="114" t="str">
        <f aca="false">IF(A1212&lt;=Config!$E$27*Config!$E$28,"Tema","Avulso")</f>
        <v>Tema</v>
      </c>
      <c r="C1212" s="114" t="n">
        <f aca="false">IF(B1212="Tema",INT((A1212-1)/Config!$E$28)+1,A1212-Config!$E$27*Config!$E$28)</f>
        <v>202</v>
      </c>
      <c r="D1212" s="114" t="n">
        <f aca="false">IF(B1212="Tema",MOD(A1212-1,Config!$E$28)+1,"")</f>
        <v>2</v>
      </c>
      <c r="E1212" s="115" t="str">
        <f aca="false">IF($B1212="Tema",IF(ISNUMBER(INDEX(Temas!$E$6:$P$305,$C1212,2*$D1212-1)),INDEX(Temas!$E$6:$P$305,$C1212,2*$D1212-1),""),IF(ISNUMBER(INDEX(Avulsos!$B$6:$B$205,$C1212)),INDEX(Avulsos!$B$6:$B$205,$C1212),""))</f>
        <v/>
      </c>
      <c r="F1212" s="114" t="str">
        <f aca="false">IF($E1212="","",IF($B1212="Tema",INDEX(Temas!$B$6:$B$305,$C1212)&amp;"",INDEX(Avulsos!$C$6:$C$205,$C1212)&amp;""))</f>
        <v/>
      </c>
      <c r="G1212" s="114" t="str">
        <f aca="false">IF($E1212="","",IF($B1212="Tema",INDEX(Config!$C$6:$C$11,$D1212),"Evento avulso"))</f>
        <v/>
      </c>
      <c r="H1212" s="114" t="str">
        <f aca="false">IF($E1212="","",IF($B1212="Tema",INDEX(Config!$D$6:$D$11,$D1212),IFERROR(INDEX(Config!$E$15:$E$19,MATCH($I1212,Config!$C$15:$C$19,0)),"•")))</f>
        <v/>
      </c>
      <c r="I1212" s="114" t="str">
        <f aca="false">IF($E1212="","",IF($B1212="Tema",INDEX(Config!$E$6:$E$11,$D1212),IF(INDEX(Avulsos!$D$6:$D$205,$C1212)&amp;""="","Outro",INDEX(Avulsos!$D$6:$D$205,$C1212))))</f>
        <v/>
      </c>
      <c r="J1212" s="114" t="str">
        <f aca="false">IF($E1212="","",IF($B1212="Tema",INDEX(Temas!$C$6:$C$305,$C1212)&amp;"",INDEX(Avulsos!$E$6:$E$205,$C1212)&amp;""))</f>
        <v/>
      </c>
      <c r="K1212" s="114" t="str">
        <f aca="false">IF($E1212="","",IF(IF($B1212="Tema",INDEX(Temas!$E$6:$P$305,$C1212,2*$D1212),INDEX(Avulsos!$F$6:$F$205,$C1212))&amp;""="","","✓"))</f>
        <v/>
      </c>
      <c r="L1212" s="114" t="str">
        <f aca="true">IF($E1212="","",IF($K1212="✓","Concluído",IF($E1212&lt;TODAY(),"Atrasado",IF($E1212=TODAY(),"Hoje","Pendente"))))</f>
        <v/>
      </c>
      <c r="M1212" s="114" t="str">
        <f aca="false">IF($E1212="","",IF($K1212="✓","✓ ","")&amp;IF(Config!$E$22="Sim",$H1212&amp;" · ","")&amp;$F1212)</f>
        <v/>
      </c>
      <c r="N1212" s="114" t="str">
        <f aca="false">IF($E1212="","",IFERROR(INDEX(Config!$D$15:$D$19,MATCH($I1212,Config!$C$15:$C$19,0)),"OUT")&amp;IF($K1212="✓","x",""))</f>
        <v/>
      </c>
      <c r="O1212" s="114" t="str">
        <f aca="false">IF($E1212="","",COUNTIF($E$5:$E1212,$E1212))</f>
        <v/>
      </c>
      <c r="P1212" s="114" t="str">
        <f aca="false">IF($E1212="","",$E1212*100+$O1212)</f>
        <v/>
      </c>
      <c r="Q1212" s="114" t="str">
        <f aca="false">IF($L1212="Atrasado",$E1212*10000+$A1212,"")</f>
        <v/>
      </c>
    </row>
    <row r="1213" customFormat="false" ht="15" hidden="false" customHeight="false" outlineLevel="0" collapsed="false">
      <c r="A1213" s="114" t="n">
        <f aca="false">ROW()-4</f>
        <v>1209</v>
      </c>
      <c r="B1213" s="114" t="str">
        <f aca="false">IF(A1213&lt;=Config!$E$27*Config!$E$28,"Tema","Avulso")</f>
        <v>Tema</v>
      </c>
      <c r="C1213" s="114" t="n">
        <f aca="false">IF(B1213="Tema",INT((A1213-1)/Config!$E$28)+1,A1213-Config!$E$27*Config!$E$28)</f>
        <v>202</v>
      </c>
      <c r="D1213" s="114" t="n">
        <f aca="false">IF(B1213="Tema",MOD(A1213-1,Config!$E$28)+1,"")</f>
        <v>3</v>
      </c>
      <c r="E1213" s="115" t="str">
        <f aca="false">IF($B1213="Tema",IF(ISNUMBER(INDEX(Temas!$E$6:$P$305,$C1213,2*$D1213-1)),INDEX(Temas!$E$6:$P$305,$C1213,2*$D1213-1),""),IF(ISNUMBER(INDEX(Avulsos!$B$6:$B$205,$C1213)),INDEX(Avulsos!$B$6:$B$205,$C1213),""))</f>
        <v/>
      </c>
      <c r="F1213" s="114" t="str">
        <f aca="false">IF($E1213="","",IF($B1213="Tema",INDEX(Temas!$B$6:$B$305,$C1213)&amp;"",INDEX(Avulsos!$C$6:$C$205,$C1213)&amp;""))</f>
        <v/>
      </c>
      <c r="G1213" s="114" t="str">
        <f aca="false">IF($E1213="","",IF($B1213="Tema",INDEX(Config!$C$6:$C$11,$D1213),"Evento avulso"))</f>
        <v/>
      </c>
      <c r="H1213" s="114" t="str">
        <f aca="false">IF($E1213="","",IF($B1213="Tema",INDEX(Config!$D$6:$D$11,$D1213),IFERROR(INDEX(Config!$E$15:$E$19,MATCH($I1213,Config!$C$15:$C$19,0)),"•")))</f>
        <v/>
      </c>
      <c r="I1213" s="114" t="str">
        <f aca="false">IF($E1213="","",IF($B1213="Tema",INDEX(Config!$E$6:$E$11,$D1213),IF(INDEX(Avulsos!$D$6:$D$205,$C1213)&amp;""="","Outro",INDEX(Avulsos!$D$6:$D$205,$C1213))))</f>
        <v/>
      </c>
      <c r="J1213" s="114" t="str">
        <f aca="false">IF($E1213="","",IF($B1213="Tema",INDEX(Temas!$C$6:$C$305,$C1213)&amp;"",INDEX(Avulsos!$E$6:$E$205,$C1213)&amp;""))</f>
        <v/>
      </c>
      <c r="K1213" s="114" t="str">
        <f aca="false">IF($E1213="","",IF(IF($B1213="Tema",INDEX(Temas!$E$6:$P$305,$C1213,2*$D1213),INDEX(Avulsos!$F$6:$F$205,$C1213))&amp;""="","","✓"))</f>
        <v/>
      </c>
      <c r="L1213" s="114" t="str">
        <f aca="true">IF($E1213="","",IF($K1213="✓","Concluído",IF($E1213&lt;TODAY(),"Atrasado",IF($E1213=TODAY(),"Hoje","Pendente"))))</f>
        <v/>
      </c>
      <c r="M1213" s="114" t="str">
        <f aca="false">IF($E1213="","",IF($K1213="✓","✓ ","")&amp;IF(Config!$E$22="Sim",$H1213&amp;" · ","")&amp;$F1213)</f>
        <v/>
      </c>
      <c r="N1213" s="114" t="str">
        <f aca="false">IF($E1213="","",IFERROR(INDEX(Config!$D$15:$D$19,MATCH($I1213,Config!$C$15:$C$19,0)),"OUT")&amp;IF($K1213="✓","x",""))</f>
        <v/>
      </c>
      <c r="O1213" s="114" t="str">
        <f aca="false">IF($E1213="","",COUNTIF($E$5:$E1213,$E1213))</f>
        <v/>
      </c>
      <c r="P1213" s="114" t="str">
        <f aca="false">IF($E1213="","",$E1213*100+$O1213)</f>
        <v/>
      </c>
      <c r="Q1213" s="114" t="str">
        <f aca="false">IF($L1213="Atrasado",$E1213*10000+$A1213,"")</f>
        <v/>
      </c>
    </row>
    <row r="1214" customFormat="false" ht="15" hidden="false" customHeight="false" outlineLevel="0" collapsed="false">
      <c r="A1214" s="114" t="n">
        <f aca="false">ROW()-4</f>
        <v>1210</v>
      </c>
      <c r="B1214" s="114" t="str">
        <f aca="false">IF(A1214&lt;=Config!$E$27*Config!$E$28,"Tema","Avulso")</f>
        <v>Tema</v>
      </c>
      <c r="C1214" s="114" t="n">
        <f aca="false">IF(B1214="Tema",INT((A1214-1)/Config!$E$28)+1,A1214-Config!$E$27*Config!$E$28)</f>
        <v>202</v>
      </c>
      <c r="D1214" s="114" t="n">
        <f aca="false">IF(B1214="Tema",MOD(A1214-1,Config!$E$28)+1,"")</f>
        <v>4</v>
      </c>
      <c r="E1214" s="115" t="str">
        <f aca="false">IF($B1214="Tema",IF(ISNUMBER(INDEX(Temas!$E$6:$P$305,$C1214,2*$D1214-1)),INDEX(Temas!$E$6:$P$305,$C1214,2*$D1214-1),""),IF(ISNUMBER(INDEX(Avulsos!$B$6:$B$205,$C1214)),INDEX(Avulsos!$B$6:$B$205,$C1214),""))</f>
        <v/>
      </c>
      <c r="F1214" s="114" t="str">
        <f aca="false">IF($E1214="","",IF($B1214="Tema",INDEX(Temas!$B$6:$B$305,$C1214)&amp;"",INDEX(Avulsos!$C$6:$C$205,$C1214)&amp;""))</f>
        <v/>
      </c>
      <c r="G1214" s="114" t="str">
        <f aca="false">IF($E1214="","",IF($B1214="Tema",INDEX(Config!$C$6:$C$11,$D1214),"Evento avulso"))</f>
        <v/>
      </c>
      <c r="H1214" s="114" t="str">
        <f aca="false">IF($E1214="","",IF($B1214="Tema",INDEX(Config!$D$6:$D$11,$D1214),IFERROR(INDEX(Config!$E$15:$E$19,MATCH($I1214,Config!$C$15:$C$19,0)),"•")))</f>
        <v/>
      </c>
      <c r="I1214" s="114" t="str">
        <f aca="false">IF($E1214="","",IF($B1214="Tema",INDEX(Config!$E$6:$E$11,$D1214),IF(INDEX(Avulsos!$D$6:$D$205,$C1214)&amp;""="","Outro",INDEX(Avulsos!$D$6:$D$205,$C1214))))</f>
        <v/>
      </c>
      <c r="J1214" s="114" t="str">
        <f aca="false">IF($E1214="","",IF($B1214="Tema",INDEX(Temas!$C$6:$C$305,$C1214)&amp;"",INDEX(Avulsos!$E$6:$E$205,$C1214)&amp;""))</f>
        <v/>
      </c>
      <c r="K1214" s="114" t="str">
        <f aca="false">IF($E1214="","",IF(IF($B1214="Tema",INDEX(Temas!$E$6:$P$305,$C1214,2*$D1214),INDEX(Avulsos!$F$6:$F$205,$C1214))&amp;""="","","✓"))</f>
        <v/>
      </c>
      <c r="L1214" s="114" t="str">
        <f aca="true">IF($E1214="","",IF($K1214="✓","Concluído",IF($E1214&lt;TODAY(),"Atrasado",IF($E1214=TODAY(),"Hoje","Pendente"))))</f>
        <v/>
      </c>
      <c r="M1214" s="114" t="str">
        <f aca="false">IF($E1214="","",IF($K1214="✓","✓ ","")&amp;IF(Config!$E$22="Sim",$H1214&amp;" · ","")&amp;$F1214)</f>
        <v/>
      </c>
      <c r="N1214" s="114" t="str">
        <f aca="false">IF($E1214="","",IFERROR(INDEX(Config!$D$15:$D$19,MATCH($I1214,Config!$C$15:$C$19,0)),"OUT")&amp;IF($K1214="✓","x",""))</f>
        <v/>
      </c>
      <c r="O1214" s="114" t="str">
        <f aca="false">IF($E1214="","",COUNTIF($E$5:$E1214,$E1214))</f>
        <v/>
      </c>
      <c r="P1214" s="114" t="str">
        <f aca="false">IF($E1214="","",$E1214*100+$O1214)</f>
        <v/>
      </c>
      <c r="Q1214" s="114" t="str">
        <f aca="false">IF($L1214="Atrasado",$E1214*10000+$A1214,"")</f>
        <v/>
      </c>
    </row>
    <row r="1215" customFormat="false" ht="15" hidden="false" customHeight="false" outlineLevel="0" collapsed="false">
      <c r="A1215" s="114" t="n">
        <f aca="false">ROW()-4</f>
        <v>1211</v>
      </c>
      <c r="B1215" s="114" t="str">
        <f aca="false">IF(A1215&lt;=Config!$E$27*Config!$E$28,"Tema","Avulso")</f>
        <v>Tema</v>
      </c>
      <c r="C1215" s="114" t="n">
        <f aca="false">IF(B1215="Tema",INT((A1215-1)/Config!$E$28)+1,A1215-Config!$E$27*Config!$E$28)</f>
        <v>202</v>
      </c>
      <c r="D1215" s="114" t="n">
        <f aca="false">IF(B1215="Tema",MOD(A1215-1,Config!$E$28)+1,"")</f>
        <v>5</v>
      </c>
      <c r="E1215" s="115" t="str">
        <f aca="false">IF($B1215="Tema",IF(ISNUMBER(INDEX(Temas!$E$6:$P$305,$C1215,2*$D1215-1)),INDEX(Temas!$E$6:$P$305,$C1215,2*$D1215-1),""),IF(ISNUMBER(INDEX(Avulsos!$B$6:$B$205,$C1215)),INDEX(Avulsos!$B$6:$B$205,$C1215),""))</f>
        <v/>
      </c>
      <c r="F1215" s="114" t="str">
        <f aca="false">IF($E1215="","",IF($B1215="Tema",INDEX(Temas!$B$6:$B$305,$C1215)&amp;"",INDEX(Avulsos!$C$6:$C$205,$C1215)&amp;""))</f>
        <v/>
      </c>
      <c r="G1215" s="114" t="str">
        <f aca="false">IF($E1215="","",IF($B1215="Tema",INDEX(Config!$C$6:$C$11,$D1215),"Evento avulso"))</f>
        <v/>
      </c>
      <c r="H1215" s="114" t="str">
        <f aca="false">IF($E1215="","",IF($B1215="Tema",INDEX(Config!$D$6:$D$11,$D1215),IFERROR(INDEX(Config!$E$15:$E$19,MATCH($I1215,Config!$C$15:$C$19,0)),"•")))</f>
        <v/>
      </c>
      <c r="I1215" s="114" t="str">
        <f aca="false">IF($E1215="","",IF($B1215="Tema",INDEX(Config!$E$6:$E$11,$D1215),IF(INDEX(Avulsos!$D$6:$D$205,$C1215)&amp;""="","Outro",INDEX(Avulsos!$D$6:$D$205,$C1215))))</f>
        <v/>
      </c>
      <c r="J1215" s="114" t="str">
        <f aca="false">IF($E1215="","",IF($B1215="Tema",INDEX(Temas!$C$6:$C$305,$C1215)&amp;"",INDEX(Avulsos!$E$6:$E$205,$C1215)&amp;""))</f>
        <v/>
      </c>
      <c r="K1215" s="114" t="str">
        <f aca="false">IF($E1215="","",IF(IF($B1215="Tema",INDEX(Temas!$E$6:$P$305,$C1215,2*$D1215),INDEX(Avulsos!$F$6:$F$205,$C1215))&amp;""="","","✓"))</f>
        <v/>
      </c>
      <c r="L1215" s="114" t="str">
        <f aca="true">IF($E1215="","",IF($K1215="✓","Concluído",IF($E1215&lt;TODAY(),"Atrasado",IF($E1215=TODAY(),"Hoje","Pendente"))))</f>
        <v/>
      </c>
      <c r="M1215" s="114" t="str">
        <f aca="false">IF($E1215="","",IF($K1215="✓","✓ ","")&amp;IF(Config!$E$22="Sim",$H1215&amp;" · ","")&amp;$F1215)</f>
        <v/>
      </c>
      <c r="N1215" s="114" t="str">
        <f aca="false">IF($E1215="","",IFERROR(INDEX(Config!$D$15:$D$19,MATCH($I1215,Config!$C$15:$C$19,0)),"OUT")&amp;IF($K1215="✓","x",""))</f>
        <v/>
      </c>
      <c r="O1215" s="114" t="str">
        <f aca="false">IF($E1215="","",COUNTIF($E$5:$E1215,$E1215))</f>
        <v/>
      </c>
      <c r="P1215" s="114" t="str">
        <f aca="false">IF($E1215="","",$E1215*100+$O1215)</f>
        <v/>
      </c>
      <c r="Q1215" s="114" t="str">
        <f aca="false">IF($L1215="Atrasado",$E1215*10000+$A1215,"")</f>
        <v/>
      </c>
    </row>
    <row r="1216" customFormat="false" ht="15" hidden="false" customHeight="false" outlineLevel="0" collapsed="false">
      <c r="A1216" s="114" t="n">
        <f aca="false">ROW()-4</f>
        <v>1212</v>
      </c>
      <c r="B1216" s="114" t="str">
        <f aca="false">IF(A1216&lt;=Config!$E$27*Config!$E$28,"Tema","Avulso")</f>
        <v>Tema</v>
      </c>
      <c r="C1216" s="114" t="n">
        <f aca="false">IF(B1216="Tema",INT((A1216-1)/Config!$E$28)+1,A1216-Config!$E$27*Config!$E$28)</f>
        <v>202</v>
      </c>
      <c r="D1216" s="114" t="n">
        <f aca="false">IF(B1216="Tema",MOD(A1216-1,Config!$E$28)+1,"")</f>
        <v>6</v>
      </c>
      <c r="E1216" s="115" t="str">
        <f aca="false">IF($B1216="Tema",IF(ISNUMBER(INDEX(Temas!$E$6:$P$305,$C1216,2*$D1216-1)),INDEX(Temas!$E$6:$P$305,$C1216,2*$D1216-1),""),IF(ISNUMBER(INDEX(Avulsos!$B$6:$B$205,$C1216)),INDEX(Avulsos!$B$6:$B$205,$C1216),""))</f>
        <v/>
      </c>
      <c r="F1216" s="114" t="str">
        <f aca="false">IF($E1216="","",IF($B1216="Tema",INDEX(Temas!$B$6:$B$305,$C1216)&amp;"",INDEX(Avulsos!$C$6:$C$205,$C1216)&amp;""))</f>
        <v/>
      </c>
      <c r="G1216" s="114" t="str">
        <f aca="false">IF($E1216="","",IF($B1216="Tema",INDEX(Config!$C$6:$C$11,$D1216),"Evento avulso"))</f>
        <v/>
      </c>
      <c r="H1216" s="114" t="str">
        <f aca="false">IF($E1216="","",IF($B1216="Tema",INDEX(Config!$D$6:$D$11,$D1216),IFERROR(INDEX(Config!$E$15:$E$19,MATCH($I1216,Config!$C$15:$C$19,0)),"•")))</f>
        <v/>
      </c>
      <c r="I1216" s="114" t="str">
        <f aca="false">IF($E1216="","",IF($B1216="Tema",INDEX(Config!$E$6:$E$11,$D1216),IF(INDEX(Avulsos!$D$6:$D$205,$C1216)&amp;""="","Outro",INDEX(Avulsos!$D$6:$D$205,$C1216))))</f>
        <v/>
      </c>
      <c r="J1216" s="114" t="str">
        <f aca="false">IF($E1216="","",IF($B1216="Tema",INDEX(Temas!$C$6:$C$305,$C1216)&amp;"",INDEX(Avulsos!$E$6:$E$205,$C1216)&amp;""))</f>
        <v/>
      </c>
      <c r="K1216" s="114" t="str">
        <f aca="false">IF($E1216="","",IF(IF($B1216="Tema",INDEX(Temas!$E$6:$P$305,$C1216,2*$D1216),INDEX(Avulsos!$F$6:$F$205,$C1216))&amp;""="","","✓"))</f>
        <v/>
      </c>
      <c r="L1216" s="114" t="str">
        <f aca="true">IF($E1216="","",IF($K1216="✓","Concluído",IF($E1216&lt;TODAY(),"Atrasado",IF($E1216=TODAY(),"Hoje","Pendente"))))</f>
        <v/>
      </c>
      <c r="M1216" s="114" t="str">
        <f aca="false">IF($E1216="","",IF($K1216="✓","✓ ","")&amp;IF(Config!$E$22="Sim",$H1216&amp;" · ","")&amp;$F1216)</f>
        <v/>
      </c>
      <c r="N1216" s="114" t="str">
        <f aca="false">IF($E1216="","",IFERROR(INDEX(Config!$D$15:$D$19,MATCH($I1216,Config!$C$15:$C$19,0)),"OUT")&amp;IF($K1216="✓","x",""))</f>
        <v/>
      </c>
      <c r="O1216" s="114" t="str">
        <f aca="false">IF($E1216="","",COUNTIF($E$5:$E1216,$E1216))</f>
        <v/>
      </c>
      <c r="P1216" s="114" t="str">
        <f aca="false">IF($E1216="","",$E1216*100+$O1216)</f>
        <v/>
      </c>
      <c r="Q1216" s="114" t="str">
        <f aca="false">IF($L1216="Atrasado",$E1216*10000+$A1216,"")</f>
        <v/>
      </c>
    </row>
    <row r="1217" customFormat="false" ht="15" hidden="false" customHeight="false" outlineLevel="0" collapsed="false">
      <c r="A1217" s="114" t="n">
        <f aca="false">ROW()-4</f>
        <v>1213</v>
      </c>
      <c r="B1217" s="114" t="str">
        <f aca="false">IF(A1217&lt;=Config!$E$27*Config!$E$28,"Tema","Avulso")</f>
        <v>Tema</v>
      </c>
      <c r="C1217" s="114" t="n">
        <f aca="false">IF(B1217="Tema",INT((A1217-1)/Config!$E$28)+1,A1217-Config!$E$27*Config!$E$28)</f>
        <v>203</v>
      </c>
      <c r="D1217" s="114" t="n">
        <f aca="false">IF(B1217="Tema",MOD(A1217-1,Config!$E$28)+1,"")</f>
        <v>1</v>
      </c>
      <c r="E1217" s="115" t="str">
        <f aca="false">IF($B1217="Tema",IF(ISNUMBER(INDEX(Temas!$E$6:$P$305,$C1217,2*$D1217-1)),INDEX(Temas!$E$6:$P$305,$C1217,2*$D1217-1),""),IF(ISNUMBER(INDEX(Avulsos!$B$6:$B$205,$C1217)),INDEX(Avulsos!$B$6:$B$205,$C1217),""))</f>
        <v/>
      </c>
      <c r="F1217" s="114" t="str">
        <f aca="false">IF($E1217="","",IF($B1217="Tema",INDEX(Temas!$B$6:$B$305,$C1217)&amp;"",INDEX(Avulsos!$C$6:$C$205,$C1217)&amp;""))</f>
        <v/>
      </c>
      <c r="G1217" s="114" t="str">
        <f aca="false">IF($E1217="","",IF($B1217="Tema",INDEX(Config!$C$6:$C$11,$D1217),"Evento avulso"))</f>
        <v/>
      </c>
      <c r="H1217" s="114" t="str">
        <f aca="false">IF($E1217="","",IF($B1217="Tema",INDEX(Config!$D$6:$D$11,$D1217),IFERROR(INDEX(Config!$E$15:$E$19,MATCH($I1217,Config!$C$15:$C$19,0)),"•")))</f>
        <v/>
      </c>
      <c r="I1217" s="114" t="str">
        <f aca="false">IF($E1217="","",IF($B1217="Tema",INDEX(Config!$E$6:$E$11,$D1217),IF(INDEX(Avulsos!$D$6:$D$205,$C1217)&amp;""="","Outro",INDEX(Avulsos!$D$6:$D$205,$C1217))))</f>
        <v/>
      </c>
      <c r="J1217" s="114" t="str">
        <f aca="false">IF($E1217="","",IF($B1217="Tema",INDEX(Temas!$C$6:$C$305,$C1217)&amp;"",INDEX(Avulsos!$E$6:$E$205,$C1217)&amp;""))</f>
        <v/>
      </c>
      <c r="K1217" s="114" t="str">
        <f aca="false">IF($E1217="","",IF(IF($B1217="Tema",INDEX(Temas!$E$6:$P$305,$C1217,2*$D1217),INDEX(Avulsos!$F$6:$F$205,$C1217))&amp;""="","","✓"))</f>
        <v/>
      </c>
      <c r="L1217" s="114" t="str">
        <f aca="true">IF($E1217="","",IF($K1217="✓","Concluído",IF($E1217&lt;TODAY(),"Atrasado",IF($E1217=TODAY(),"Hoje","Pendente"))))</f>
        <v/>
      </c>
      <c r="M1217" s="114" t="str">
        <f aca="false">IF($E1217="","",IF($K1217="✓","✓ ","")&amp;IF(Config!$E$22="Sim",$H1217&amp;" · ","")&amp;$F1217)</f>
        <v/>
      </c>
      <c r="N1217" s="114" t="str">
        <f aca="false">IF($E1217="","",IFERROR(INDEX(Config!$D$15:$D$19,MATCH($I1217,Config!$C$15:$C$19,0)),"OUT")&amp;IF($K1217="✓","x",""))</f>
        <v/>
      </c>
      <c r="O1217" s="114" t="str">
        <f aca="false">IF($E1217="","",COUNTIF($E$5:$E1217,$E1217))</f>
        <v/>
      </c>
      <c r="P1217" s="114" t="str">
        <f aca="false">IF($E1217="","",$E1217*100+$O1217)</f>
        <v/>
      </c>
      <c r="Q1217" s="114" t="str">
        <f aca="false">IF($L1217="Atrasado",$E1217*10000+$A1217,"")</f>
        <v/>
      </c>
    </row>
    <row r="1218" customFormat="false" ht="15" hidden="false" customHeight="false" outlineLevel="0" collapsed="false">
      <c r="A1218" s="114" t="n">
        <f aca="false">ROW()-4</f>
        <v>1214</v>
      </c>
      <c r="B1218" s="114" t="str">
        <f aca="false">IF(A1218&lt;=Config!$E$27*Config!$E$28,"Tema","Avulso")</f>
        <v>Tema</v>
      </c>
      <c r="C1218" s="114" t="n">
        <f aca="false">IF(B1218="Tema",INT((A1218-1)/Config!$E$28)+1,A1218-Config!$E$27*Config!$E$28)</f>
        <v>203</v>
      </c>
      <c r="D1218" s="114" t="n">
        <f aca="false">IF(B1218="Tema",MOD(A1218-1,Config!$E$28)+1,"")</f>
        <v>2</v>
      </c>
      <c r="E1218" s="115" t="str">
        <f aca="false">IF($B1218="Tema",IF(ISNUMBER(INDEX(Temas!$E$6:$P$305,$C1218,2*$D1218-1)),INDEX(Temas!$E$6:$P$305,$C1218,2*$D1218-1),""),IF(ISNUMBER(INDEX(Avulsos!$B$6:$B$205,$C1218)),INDEX(Avulsos!$B$6:$B$205,$C1218),""))</f>
        <v/>
      </c>
      <c r="F1218" s="114" t="str">
        <f aca="false">IF($E1218="","",IF($B1218="Tema",INDEX(Temas!$B$6:$B$305,$C1218)&amp;"",INDEX(Avulsos!$C$6:$C$205,$C1218)&amp;""))</f>
        <v/>
      </c>
      <c r="G1218" s="114" t="str">
        <f aca="false">IF($E1218="","",IF($B1218="Tema",INDEX(Config!$C$6:$C$11,$D1218),"Evento avulso"))</f>
        <v/>
      </c>
      <c r="H1218" s="114" t="str">
        <f aca="false">IF($E1218="","",IF($B1218="Tema",INDEX(Config!$D$6:$D$11,$D1218),IFERROR(INDEX(Config!$E$15:$E$19,MATCH($I1218,Config!$C$15:$C$19,0)),"•")))</f>
        <v/>
      </c>
      <c r="I1218" s="114" t="str">
        <f aca="false">IF($E1218="","",IF($B1218="Tema",INDEX(Config!$E$6:$E$11,$D1218),IF(INDEX(Avulsos!$D$6:$D$205,$C1218)&amp;""="","Outro",INDEX(Avulsos!$D$6:$D$205,$C1218))))</f>
        <v/>
      </c>
      <c r="J1218" s="114" t="str">
        <f aca="false">IF($E1218="","",IF($B1218="Tema",INDEX(Temas!$C$6:$C$305,$C1218)&amp;"",INDEX(Avulsos!$E$6:$E$205,$C1218)&amp;""))</f>
        <v/>
      </c>
      <c r="K1218" s="114" t="str">
        <f aca="false">IF($E1218="","",IF(IF($B1218="Tema",INDEX(Temas!$E$6:$P$305,$C1218,2*$D1218),INDEX(Avulsos!$F$6:$F$205,$C1218))&amp;""="","","✓"))</f>
        <v/>
      </c>
      <c r="L1218" s="114" t="str">
        <f aca="true">IF($E1218="","",IF($K1218="✓","Concluído",IF($E1218&lt;TODAY(),"Atrasado",IF($E1218=TODAY(),"Hoje","Pendente"))))</f>
        <v/>
      </c>
      <c r="M1218" s="114" t="str">
        <f aca="false">IF($E1218="","",IF($K1218="✓","✓ ","")&amp;IF(Config!$E$22="Sim",$H1218&amp;" · ","")&amp;$F1218)</f>
        <v/>
      </c>
      <c r="N1218" s="114" t="str">
        <f aca="false">IF($E1218="","",IFERROR(INDEX(Config!$D$15:$D$19,MATCH($I1218,Config!$C$15:$C$19,0)),"OUT")&amp;IF($K1218="✓","x",""))</f>
        <v/>
      </c>
      <c r="O1218" s="114" t="str">
        <f aca="false">IF($E1218="","",COUNTIF($E$5:$E1218,$E1218))</f>
        <v/>
      </c>
      <c r="P1218" s="114" t="str">
        <f aca="false">IF($E1218="","",$E1218*100+$O1218)</f>
        <v/>
      </c>
      <c r="Q1218" s="114" t="str">
        <f aca="false">IF($L1218="Atrasado",$E1218*10000+$A1218,"")</f>
        <v/>
      </c>
    </row>
    <row r="1219" customFormat="false" ht="15" hidden="false" customHeight="false" outlineLevel="0" collapsed="false">
      <c r="A1219" s="114" t="n">
        <f aca="false">ROW()-4</f>
        <v>1215</v>
      </c>
      <c r="B1219" s="114" t="str">
        <f aca="false">IF(A1219&lt;=Config!$E$27*Config!$E$28,"Tema","Avulso")</f>
        <v>Tema</v>
      </c>
      <c r="C1219" s="114" t="n">
        <f aca="false">IF(B1219="Tema",INT((A1219-1)/Config!$E$28)+1,A1219-Config!$E$27*Config!$E$28)</f>
        <v>203</v>
      </c>
      <c r="D1219" s="114" t="n">
        <f aca="false">IF(B1219="Tema",MOD(A1219-1,Config!$E$28)+1,"")</f>
        <v>3</v>
      </c>
      <c r="E1219" s="115" t="str">
        <f aca="false">IF($B1219="Tema",IF(ISNUMBER(INDEX(Temas!$E$6:$P$305,$C1219,2*$D1219-1)),INDEX(Temas!$E$6:$P$305,$C1219,2*$D1219-1),""),IF(ISNUMBER(INDEX(Avulsos!$B$6:$B$205,$C1219)),INDEX(Avulsos!$B$6:$B$205,$C1219),""))</f>
        <v/>
      </c>
      <c r="F1219" s="114" t="str">
        <f aca="false">IF($E1219="","",IF($B1219="Tema",INDEX(Temas!$B$6:$B$305,$C1219)&amp;"",INDEX(Avulsos!$C$6:$C$205,$C1219)&amp;""))</f>
        <v/>
      </c>
      <c r="G1219" s="114" t="str">
        <f aca="false">IF($E1219="","",IF($B1219="Tema",INDEX(Config!$C$6:$C$11,$D1219),"Evento avulso"))</f>
        <v/>
      </c>
      <c r="H1219" s="114" t="str">
        <f aca="false">IF($E1219="","",IF($B1219="Tema",INDEX(Config!$D$6:$D$11,$D1219),IFERROR(INDEX(Config!$E$15:$E$19,MATCH($I1219,Config!$C$15:$C$19,0)),"•")))</f>
        <v/>
      </c>
      <c r="I1219" s="114" t="str">
        <f aca="false">IF($E1219="","",IF($B1219="Tema",INDEX(Config!$E$6:$E$11,$D1219),IF(INDEX(Avulsos!$D$6:$D$205,$C1219)&amp;""="","Outro",INDEX(Avulsos!$D$6:$D$205,$C1219))))</f>
        <v/>
      </c>
      <c r="J1219" s="114" t="str">
        <f aca="false">IF($E1219="","",IF($B1219="Tema",INDEX(Temas!$C$6:$C$305,$C1219)&amp;"",INDEX(Avulsos!$E$6:$E$205,$C1219)&amp;""))</f>
        <v/>
      </c>
      <c r="K1219" s="114" t="str">
        <f aca="false">IF($E1219="","",IF(IF($B1219="Tema",INDEX(Temas!$E$6:$P$305,$C1219,2*$D1219),INDEX(Avulsos!$F$6:$F$205,$C1219))&amp;""="","","✓"))</f>
        <v/>
      </c>
      <c r="L1219" s="114" t="str">
        <f aca="true">IF($E1219="","",IF($K1219="✓","Concluído",IF($E1219&lt;TODAY(),"Atrasado",IF($E1219=TODAY(),"Hoje","Pendente"))))</f>
        <v/>
      </c>
      <c r="M1219" s="114" t="str">
        <f aca="false">IF($E1219="","",IF($K1219="✓","✓ ","")&amp;IF(Config!$E$22="Sim",$H1219&amp;" · ","")&amp;$F1219)</f>
        <v/>
      </c>
      <c r="N1219" s="114" t="str">
        <f aca="false">IF($E1219="","",IFERROR(INDEX(Config!$D$15:$D$19,MATCH($I1219,Config!$C$15:$C$19,0)),"OUT")&amp;IF($K1219="✓","x",""))</f>
        <v/>
      </c>
      <c r="O1219" s="114" t="str">
        <f aca="false">IF($E1219="","",COUNTIF($E$5:$E1219,$E1219))</f>
        <v/>
      </c>
      <c r="P1219" s="114" t="str">
        <f aca="false">IF($E1219="","",$E1219*100+$O1219)</f>
        <v/>
      </c>
      <c r="Q1219" s="114" t="str">
        <f aca="false">IF($L1219="Atrasado",$E1219*10000+$A1219,"")</f>
        <v/>
      </c>
    </row>
    <row r="1220" customFormat="false" ht="15" hidden="false" customHeight="false" outlineLevel="0" collapsed="false">
      <c r="A1220" s="114" t="n">
        <f aca="false">ROW()-4</f>
        <v>1216</v>
      </c>
      <c r="B1220" s="114" t="str">
        <f aca="false">IF(A1220&lt;=Config!$E$27*Config!$E$28,"Tema","Avulso")</f>
        <v>Tema</v>
      </c>
      <c r="C1220" s="114" t="n">
        <f aca="false">IF(B1220="Tema",INT((A1220-1)/Config!$E$28)+1,A1220-Config!$E$27*Config!$E$28)</f>
        <v>203</v>
      </c>
      <c r="D1220" s="114" t="n">
        <f aca="false">IF(B1220="Tema",MOD(A1220-1,Config!$E$28)+1,"")</f>
        <v>4</v>
      </c>
      <c r="E1220" s="115" t="str">
        <f aca="false">IF($B1220="Tema",IF(ISNUMBER(INDEX(Temas!$E$6:$P$305,$C1220,2*$D1220-1)),INDEX(Temas!$E$6:$P$305,$C1220,2*$D1220-1),""),IF(ISNUMBER(INDEX(Avulsos!$B$6:$B$205,$C1220)),INDEX(Avulsos!$B$6:$B$205,$C1220),""))</f>
        <v/>
      </c>
      <c r="F1220" s="114" t="str">
        <f aca="false">IF($E1220="","",IF($B1220="Tema",INDEX(Temas!$B$6:$B$305,$C1220)&amp;"",INDEX(Avulsos!$C$6:$C$205,$C1220)&amp;""))</f>
        <v/>
      </c>
      <c r="G1220" s="114" t="str">
        <f aca="false">IF($E1220="","",IF($B1220="Tema",INDEX(Config!$C$6:$C$11,$D1220),"Evento avulso"))</f>
        <v/>
      </c>
      <c r="H1220" s="114" t="str">
        <f aca="false">IF($E1220="","",IF($B1220="Tema",INDEX(Config!$D$6:$D$11,$D1220),IFERROR(INDEX(Config!$E$15:$E$19,MATCH($I1220,Config!$C$15:$C$19,0)),"•")))</f>
        <v/>
      </c>
      <c r="I1220" s="114" t="str">
        <f aca="false">IF($E1220="","",IF($B1220="Tema",INDEX(Config!$E$6:$E$11,$D1220),IF(INDEX(Avulsos!$D$6:$D$205,$C1220)&amp;""="","Outro",INDEX(Avulsos!$D$6:$D$205,$C1220))))</f>
        <v/>
      </c>
      <c r="J1220" s="114" t="str">
        <f aca="false">IF($E1220="","",IF($B1220="Tema",INDEX(Temas!$C$6:$C$305,$C1220)&amp;"",INDEX(Avulsos!$E$6:$E$205,$C1220)&amp;""))</f>
        <v/>
      </c>
      <c r="K1220" s="114" t="str">
        <f aca="false">IF($E1220="","",IF(IF($B1220="Tema",INDEX(Temas!$E$6:$P$305,$C1220,2*$D1220),INDEX(Avulsos!$F$6:$F$205,$C1220))&amp;""="","","✓"))</f>
        <v/>
      </c>
      <c r="L1220" s="114" t="str">
        <f aca="true">IF($E1220="","",IF($K1220="✓","Concluído",IF($E1220&lt;TODAY(),"Atrasado",IF($E1220=TODAY(),"Hoje","Pendente"))))</f>
        <v/>
      </c>
      <c r="M1220" s="114" t="str">
        <f aca="false">IF($E1220="","",IF($K1220="✓","✓ ","")&amp;IF(Config!$E$22="Sim",$H1220&amp;" · ","")&amp;$F1220)</f>
        <v/>
      </c>
      <c r="N1220" s="114" t="str">
        <f aca="false">IF($E1220="","",IFERROR(INDEX(Config!$D$15:$D$19,MATCH($I1220,Config!$C$15:$C$19,0)),"OUT")&amp;IF($K1220="✓","x",""))</f>
        <v/>
      </c>
      <c r="O1220" s="114" t="str">
        <f aca="false">IF($E1220="","",COUNTIF($E$5:$E1220,$E1220))</f>
        <v/>
      </c>
      <c r="P1220" s="114" t="str">
        <f aca="false">IF($E1220="","",$E1220*100+$O1220)</f>
        <v/>
      </c>
      <c r="Q1220" s="114" t="str">
        <f aca="false">IF($L1220="Atrasado",$E1220*10000+$A1220,"")</f>
        <v/>
      </c>
    </row>
    <row r="1221" customFormat="false" ht="15" hidden="false" customHeight="false" outlineLevel="0" collapsed="false">
      <c r="A1221" s="114" t="n">
        <f aca="false">ROW()-4</f>
        <v>1217</v>
      </c>
      <c r="B1221" s="114" t="str">
        <f aca="false">IF(A1221&lt;=Config!$E$27*Config!$E$28,"Tema","Avulso")</f>
        <v>Tema</v>
      </c>
      <c r="C1221" s="114" t="n">
        <f aca="false">IF(B1221="Tema",INT((A1221-1)/Config!$E$28)+1,A1221-Config!$E$27*Config!$E$28)</f>
        <v>203</v>
      </c>
      <c r="D1221" s="114" t="n">
        <f aca="false">IF(B1221="Tema",MOD(A1221-1,Config!$E$28)+1,"")</f>
        <v>5</v>
      </c>
      <c r="E1221" s="115" t="str">
        <f aca="false">IF($B1221="Tema",IF(ISNUMBER(INDEX(Temas!$E$6:$P$305,$C1221,2*$D1221-1)),INDEX(Temas!$E$6:$P$305,$C1221,2*$D1221-1),""),IF(ISNUMBER(INDEX(Avulsos!$B$6:$B$205,$C1221)),INDEX(Avulsos!$B$6:$B$205,$C1221),""))</f>
        <v/>
      </c>
      <c r="F1221" s="114" t="str">
        <f aca="false">IF($E1221="","",IF($B1221="Tema",INDEX(Temas!$B$6:$B$305,$C1221)&amp;"",INDEX(Avulsos!$C$6:$C$205,$C1221)&amp;""))</f>
        <v/>
      </c>
      <c r="G1221" s="114" t="str">
        <f aca="false">IF($E1221="","",IF($B1221="Tema",INDEX(Config!$C$6:$C$11,$D1221),"Evento avulso"))</f>
        <v/>
      </c>
      <c r="H1221" s="114" t="str">
        <f aca="false">IF($E1221="","",IF($B1221="Tema",INDEX(Config!$D$6:$D$11,$D1221),IFERROR(INDEX(Config!$E$15:$E$19,MATCH($I1221,Config!$C$15:$C$19,0)),"•")))</f>
        <v/>
      </c>
      <c r="I1221" s="114" t="str">
        <f aca="false">IF($E1221="","",IF($B1221="Tema",INDEX(Config!$E$6:$E$11,$D1221),IF(INDEX(Avulsos!$D$6:$D$205,$C1221)&amp;""="","Outro",INDEX(Avulsos!$D$6:$D$205,$C1221))))</f>
        <v/>
      </c>
      <c r="J1221" s="114" t="str">
        <f aca="false">IF($E1221="","",IF($B1221="Tema",INDEX(Temas!$C$6:$C$305,$C1221)&amp;"",INDEX(Avulsos!$E$6:$E$205,$C1221)&amp;""))</f>
        <v/>
      </c>
      <c r="K1221" s="114" t="str">
        <f aca="false">IF($E1221="","",IF(IF($B1221="Tema",INDEX(Temas!$E$6:$P$305,$C1221,2*$D1221),INDEX(Avulsos!$F$6:$F$205,$C1221))&amp;""="","","✓"))</f>
        <v/>
      </c>
      <c r="L1221" s="114" t="str">
        <f aca="true">IF($E1221="","",IF($K1221="✓","Concluído",IF($E1221&lt;TODAY(),"Atrasado",IF($E1221=TODAY(),"Hoje","Pendente"))))</f>
        <v/>
      </c>
      <c r="M1221" s="114" t="str">
        <f aca="false">IF($E1221="","",IF($K1221="✓","✓ ","")&amp;IF(Config!$E$22="Sim",$H1221&amp;" · ","")&amp;$F1221)</f>
        <v/>
      </c>
      <c r="N1221" s="114" t="str">
        <f aca="false">IF($E1221="","",IFERROR(INDEX(Config!$D$15:$D$19,MATCH($I1221,Config!$C$15:$C$19,0)),"OUT")&amp;IF($K1221="✓","x",""))</f>
        <v/>
      </c>
      <c r="O1221" s="114" t="str">
        <f aca="false">IF($E1221="","",COUNTIF($E$5:$E1221,$E1221))</f>
        <v/>
      </c>
      <c r="P1221" s="114" t="str">
        <f aca="false">IF($E1221="","",$E1221*100+$O1221)</f>
        <v/>
      </c>
      <c r="Q1221" s="114" t="str">
        <f aca="false">IF($L1221="Atrasado",$E1221*10000+$A1221,"")</f>
        <v/>
      </c>
    </row>
    <row r="1222" customFormat="false" ht="15" hidden="false" customHeight="false" outlineLevel="0" collapsed="false">
      <c r="A1222" s="114" t="n">
        <f aca="false">ROW()-4</f>
        <v>1218</v>
      </c>
      <c r="B1222" s="114" t="str">
        <f aca="false">IF(A1222&lt;=Config!$E$27*Config!$E$28,"Tema","Avulso")</f>
        <v>Tema</v>
      </c>
      <c r="C1222" s="114" t="n">
        <f aca="false">IF(B1222="Tema",INT((A1222-1)/Config!$E$28)+1,A1222-Config!$E$27*Config!$E$28)</f>
        <v>203</v>
      </c>
      <c r="D1222" s="114" t="n">
        <f aca="false">IF(B1222="Tema",MOD(A1222-1,Config!$E$28)+1,"")</f>
        <v>6</v>
      </c>
      <c r="E1222" s="115" t="str">
        <f aca="false">IF($B1222="Tema",IF(ISNUMBER(INDEX(Temas!$E$6:$P$305,$C1222,2*$D1222-1)),INDEX(Temas!$E$6:$P$305,$C1222,2*$D1222-1),""),IF(ISNUMBER(INDEX(Avulsos!$B$6:$B$205,$C1222)),INDEX(Avulsos!$B$6:$B$205,$C1222),""))</f>
        <v/>
      </c>
      <c r="F1222" s="114" t="str">
        <f aca="false">IF($E1222="","",IF($B1222="Tema",INDEX(Temas!$B$6:$B$305,$C1222)&amp;"",INDEX(Avulsos!$C$6:$C$205,$C1222)&amp;""))</f>
        <v/>
      </c>
      <c r="G1222" s="114" t="str">
        <f aca="false">IF($E1222="","",IF($B1222="Tema",INDEX(Config!$C$6:$C$11,$D1222),"Evento avulso"))</f>
        <v/>
      </c>
      <c r="H1222" s="114" t="str">
        <f aca="false">IF($E1222="","",IF($B1222="Tema",INDEX(Config!$D$6:$D$11,$D1222),IFERROR(INDEX(Config!$E$15:$E$19,MATCH($I1222,Config!$C$15:$C$19,0)),"•")))</f>
        <v/>
      </c>
      <c r="I1222" s="114" t="str">
        <f aca="false">IF($E1222="","",IF($B1222="Tema",INDEX(Config!$E$6:$E$11,$D1222),IF(INDEX(Avulsos!$D$6:$D$205,$C1222)&amp;""="","Outro",INDEX(Avulsos!$D$6:$D$205,$C1222))))</f>
        <v/>
      </c>
      <c r="J1222" s="114" t="str">
        <f aca="false">IF($E1222="","",IF($B1222="Tema",INDEX(Temas!$C$6:$C$305,$C1222)&amp;"",INDEX(Avulsos!$E$6:$E$205,$C1222)&amp;""))</f>
        <v/>
      </c>
      <c r="K1222" s="114" t="str">
        <f aca="false">IF($E1222="","",IF(IF($B1222="Tema",INDEX(Temas!$E$6:$P$305,$C1222,2*$D1222),INDEX(Avulsos!$F$6:$F$205,$C1222))&amp;""="","","✓"))</f>
        <v/>
      </c>
      <c r="L1222" s="114" t="str">
        <f aca="true">IF($E1222="","",IF($K1222="✓","Concluído",IF($E1222&lt;TODAY(),"Atrasado",IF($E1222=TODAY(),"Hoje","Pendente"))))</f>
        <v/>
      </c>
      <c r="M1222" s="114" t="str">
        <f aca="false">IF($E1222="","",IF($K1222="✓","✓ ","")&amp;IF(Config!$E$22="Sim",$H1222&amp;" · ","")&amp;$F1222)</f>
        <v/>
      </c>
      <c r="N1222" s="114" t="str">
        <f aca="false">IF($E1222="","",IFERROR(INDEX(Config!$D$15:$D$19,MATCH($I1222,Config!$C$15:$C$19,0)),"OUT")&amp;IF($K1222="✓","x",""))</f>
        <v/>
      </c>
      <c r="O1222" s="114" t="str">
        <f aca="false">IF($E1222="","",COUNTIF($E$5:$E1222,$E1222))</f>
        <v/>
      </c>
      <c r="P1222" s="114" t="str">
        <f aca="false">IF($E1222="","",$E1222*100+$O1222)</f>
        <v/>
      </c>
      <c r="Q1222" s="114" t="str">
        <f aca="false">IF($L1222="Atrasado",$E1222*10000+$A1222,"")</f>
        <v/>
      </c>
    </row>
    <row r="1223" customFormat="false" ht="15" hidden="false" customHeight="false" outlineLevel="0" collapsed="false">
      <c r="A1223" s="114" t="n">
        <f aca="false">ROW()-4</f>
        <v>1219</v>
      </c>
      <c r="B1223" s="114" t="str">
        <f aca="false">IF(A1223&lt;=Config!$E$27*Config!$E$28,"Tema","Avulso")</f>
        <v>Tema</v>
      </c>
      <c r="C1223" s="114" t="n">
        <f aca="false">IF(B1223="Tema",INT((A1223-1)/Config!$E$28)+1,A1223-Config!$E$27*Config!$E$28)</f>
        <v>204</v>
      </c>
      <c r="D1223" s="114" t="n">
        <f aca="false">IF(B1223="Tema",MOD(A1223-1,Config!$E$28)+1,"")</f>
        <v>1</v>
      </c>
      <c r="E1223" s="115" t="str">
        <f aca="false">IF($B1223="Tema",IF(ISNUMBER(INDEX(Temas!$E$6:$P$305,$C1223,2*$D1223-1)),INDEX(Temas!$E$6:$P$305,$C1223,2*$D1223-1),""),IF(ISNUMBER(INDEX(Avulsos!$B$6:$B$205,$C1223)),INDEX(Avulsos!$B$6:$B$205,$C1223),""))</f>
        <v/>
      </c>
      <c r="F1223" s="114" t="str">
        <f aca="false">IF($E1223="","",IF($B1223="Tema",INDEX(Temas!$B$6:$B$305,$C1223)&amp;"",INDEX(Avulsos!$C$6:$C$205,$C1223)&amp;""))</f>
        <v/>
      </c>
      <c r="G1223" s="114" t="str">
        <f aca="false">IF($E1223="","",IF($B1223="Tema",INDEX(Config!$C$6:$C$11,$D1223),"Evento avulso"))</f>
        <v/>
      </c>
      <c r="H1223" s="114" t="str">
        <f aca="false">IF($E1223="","",IF($B1223="Tema",INDEX(Config!$D$6:$D$11,$D1223),IFERROR(INDEX(Config!$E$15:$E$19,MATCH($I1223,Config!$C$15:$C$19,0)),"•")))</f>
        <v/>
      </c>
      <c r="I1223" s="114" t="str">
        <f aca="false">IF($E1223="","",IF($B1223="Tema",INDEX(Config!$E$6:$E$11,$D1223),IF(INDEX(Avulsos!$D$6:$D$205,$C1223)&amp;""="","Outro",INDEX(Avulsos!$D$6:$D$205,$C1223))))</f>
        <v/>
      </c>
      <c r="J1223" s="114" t="str">
        <f aca="false">IF($E1223="","",IF($B1223="Tema",INDEX(Temas!$C$6:$C$305,$C1223)&amp;"",INDEX(Avulsos!$E$6:$E$205,$C1223)&amp;""))</f>
        <v/>
      </c>
      <c r="K1223" s="114" t="str">
        <f aca="false">IF($E1223="","",IF(IF($B1223="Tema",INDEX(Temas!$E$6:$P$305,$C1223,2*$D1223),INDEX(Avulsos!$F$6:$F$205,$C1223))&amp;""="","","✓"))</f>
        <v/>
      </c>
      <c r="L1223" s="114" t="str">
        <f aca="true">IF($E1223="","",IF($K1223="✓","Concluído",IF($E1223&lt;TODAY(),"Atrasado",IF($E1223=TODAY(),"Hoje","Pendente"))))</f>
        <v/>
      </c>
      <c r="M1223" s="114" t="str">
        <f aca="false">IF($E1223="","",IF($K1223="✓","✓ ","")&amp;IF(Config!$E$22="Sim",$H1223&amp;" · ","")&amp;$F1223)</f>
        <v/>
      </c>
      <c r="N1223" s="114" t="str">
        <f aca="false">IF($E1223="","",IFERROR(INDEX(Config!$D$15:$D$19,MATCH($I1223,Config!$C$15:$C$19,0)),"OUT")&amp;IF($K1223="✓","x",""))</f>
        <v/>
      </c>
      <c r="O1223" s="114" t="str">
        <f aca="false">IF($E1223="","",COUNTIF($E$5:$E1223,$E1223))</f>
        <v/>
      </c>
      <c r="P1223" s="114" t="str">
        <f aca="false">IF($E1223="","",$E1223*100+$O1223)</f>
        <v/>
      </c>
      <c r="Q1223" s="114" t="str">
        <f aca="false">IF($L1223="Atrasado",$E1223*10000+$A1223,"")</f>
        <v/>
      </c>
    </row>
    <row r="1224" customFormat="false" ht="15" hidden="false" customHeight="false" outlineLevel="0" collapsed="false">
      <c r="A1224" s="114" t="n">
        <f aca="false">ROW()-4</f>
        <v>1220</v>
      </c>
      <c r="B1224" s="114" t="str">
        <f aca="false">IF(A1224&lt;=Config!$E$27*Config!$E$28,"Tema","Avulso")</f>
        <v>Tema</v>
      </c>
      <c r="C1224" s="114" t="n">
        <f aca="false">IF(B1224="Tema",INT((A1224-1)/Config!$E$28)+1,A1224-Config!$E$27*Config!$E$28)</f>
        <v>204</v>
      </c>
      <c r="D1224" s="114" t="n">
        <f aca="false">IF(B1224="Tema",MOD(A1224-1,Config!$E$28)+1,"")</f>
        <v>2</v>
      </c>
      <c r="E1224" s="115" t="str">
        <f aca="false">IF($B1224="Tema",IF(ISNUMBER(INDEX(Temas!$E$6:$P$305,$C1224,2*$D1224-1)),INDEX(Temas!$E$6:$P$305,$C1224,2*$D1224-1),""),IF(ISNUMBER(INDEX(Avulsos!$B$6:$B$205,$C1224)),INDEX(Avulsos!$B$6:$B$205,$C1224),""))</f>
        <v/>
      </c>
      <c r="F1224" s="114" t="str">
        <f aca="false">IF($E1224="","",IF($B1224="Tema",INDEX(Temas!$B$6:$B$305,$C1224)&amp;"",INDEX(Avulsos!$C$6:$C$205,$C1224)&amp;""))</f>
        <v/>
      </c>
      <c r="G1224" s="114" t="str">
        <f aca="false">IF($E1224="","",IF($B1224="Tema",INDEX(Config!$C$6:$C$11,$D1224),"Evento avulso"))</f>
        <v/>
      </c>
      <c r="H1224" s="114" t="str">
        <f aca="false">IF($E1224="","",IF($B1224="Tema",INDEX(Config!$D$6:$D$11,$D1224),IFERROR(INDEX(Config!$E$15:$E$19,MATCH($I1224,Config!$C$15:$C$19,0)),"•")))</f>
        <v/>
      </c>
      <c r="I1224" s="114" t="str">
        <f aca="false">IF($E1224="","",IF($B1224="Tema",INDEX(Config!$E$6:$E$11,$D1224),IF(INDEX(Avulsos!$D$6:$D$205,$C1224)&amp;""="","Outro",INDEX(Avulsos!$D$6:$D$205,$C1224))))</f>
        <v/>
      </c>
      <c r="J1224" s="114" t="str">
        <f aca="false">IF($E1224="","",IF($B1224="Tema",INDEX(Temas!$C$6:$C$305,$C1224)&amp;"",INDEX(Avulsos!$E$6:$E$205,$C1224)&amp;""))</f>
        <v/>
      </c>
      <c r="K1224" s="114" t="str">
        <f aca="false">IF($E1224="","",IF(IF($B1224="Tema",INDEX(Temas!$E$6:$P$305,$C1224,2*$D1224),INDEX(Avulsos!$F$6:$F$205,$C1224))&amp;""="","","✓"))</f>
        <v/>
      </c>
      <c r="L1224" s="114" t="str">
        <f aca="true">IF($E1224="","",IF($K1224="✓","Concluído",IF($E1224&lt;TODAY(),"Atrasado",IF($E1224=TODAY(),"Hoje","Pendente"))))</f>
        <v/>
      </c>
      <c r="M1224" s="114" t="str">
        <f aca="false">IF($E1224="","",IF($K1224="✓","✓ ","")&amp;IF(Config!$E$22="Sim",$H1224&amp;" · ","")&amp;$F1224)</f>
        <v/>
      </c>
      <c r="N1224" s="114" t="str">
        <f aca="false">IF($E1224="","",IFERROR(INDEX(Config!$D$15:$D$19,MATCH($I1224,Config!$C$15:$C$19,0)),"OUT")&amp;IF($K1224="✓","x",""))</f>
        <v/>
      </c>
      <c r="O1224" s="114" t="str">
        <f aca="false">IF($E1224="","",COUNTIF($E$5:$E1224,$E1224))</f>
        <v/>
      </c>
      <c r="P1224" s="114" t="str">
        <f aca="false">IF($E1224="","",$E1224*100+$O1224)</f>
        <v/>
      </c>
      <c r="Q1224" s="114" t="str">
        <f aca="false">IF($L1224="Atrasado",$E1224*10000+$A1224,"")</f>
        <v/>
      </c>
    </row>
    <row r="1225" customFormat="false" ht="15" hidden="false" customHeight="false" outlineLevel="0" collapsed="false">
      <c r="A1225" s="114" t="n">
        <f aca="false">ROW()-4</f>
        <v>1221</v>
      </c>
      <c r="B1225" s="114" t="str">
        <f aca="false">IF(A1225&lt;=Config!$E$27*Config!$E$28,"Tema","Avulso")</f>
        <v>Tema</v>
      </c>
      <c r="C1225" s="114" t="n">
        <f aca="false">IF(B1225="Tema",INT((A1225-1)/Config!$E$28)+1,A1225-Config!$E$27*Config!$E$28)</f>
        <v>204</v>
      </c>
      <c r="D1225" s="114" t="n">
        <f aca="false">IF(B1225="Tema",MOD(A1225-1,Config!$E$28)+1,"")</f>
        <v>3</v>
      </c>
      <c r="E1225" s="115" t="str">
        <f aca="false">IF($B1225="Tema",IF(ISNUMBER(INDEX(Temas!$E$6:$P$305,$C1225,2*$D1225-1)),INDEX(Temas!$E$6:$P$305,$C1225,2*$D1225-1),""),IF(ISNUMBER(INDEX(Avulsos!$B$6:$B$205,$C1225)),INDEX(Avulsos!$B$6:$B$205,$C1225),""))</f>
        <v/>
      </c>
      <c r="F1225" s="114" t="str">
        <f aca="false">IF($E1225="","",IF($B1225="Tema",INDEX(Temas!$B$6:$B$305,$C1225)&amp;"",INDEX(Avulsos!$C$6:$C$205,$C1225)&amp;""))</f>
        <v/>
      </c>
      <c r="G1225" s="114" t="str">
        <f aca="false">IF($E1225="","",IF($B1225="Tema",INDEX(Config!$C$6:$C$11,$D1225),"Evento avulso"))</f>
        <v/>
      </c>
      <c r="H1225" s="114" t="str">
        <f aca="false">IF($E1225="","",IF($B1225="Tema",INDEX(Config!$D$6:$D$11,$D1225),IFERROR(INDEX(Config!$E$15:$E$19,MATCH($I1225,Config!$C$15:$C$19,0)),"•")))</f>
        <v/>
      </c>
      <c r="I1225" s="114" t="str">
        <f aca="false">IF($E1225="","",IF($B1225="Tema",INDEX(Config!$E$6:$E$11,$D1225),IF(INDEX(Avulsos!$D$6:$D$205,$C1225)&amp;""="","Outro",INDEX(Avulsos!$D$6:$D$205,$C1225))))</f>
        <v/>
      </c>
      <c r="J1225" s="114" t="str">
        <f aca="false">IF($E1225="","",IF($B1225="Tema",INDEX(Temas!$C$6:$C$305,$C1225)&amp;"",INDEX(Avulsos!$E$6:$E$205,$C1225)&amp;""))</f>
        <v/>
      </c>
      <c r="K1225" s="114" t="str">
        <f aca="false">IF($E1225="","",IF(IF($B1225="Tema",INDEX(Temas!$E$6:$P$305,$C1225,2*$D1225),INDEX(Avulsos!$F$6:$F$205,$C1225))&amp;""="","","✓"))</f>
        <v/>
      </c>
      <c r="L1225" s="114" t="str">
        <f aca="true">IF($E1225="","",IF($K1225="✓","Concluído",IF($E1225&lt;TODAY(),"Atrasado",IF($E1225=TODAY(),"Hoje","Pendente"))))</f>
        <v/>
      </c>
      <c r="M1225" s="114" t="str">
        <f aca="false">IF($E1225="","",IF($K1225="✓","✓ ","")&amp;IF(Config!$E$22="Sim",$H1225&amp;" · ","")&amp;$F1225)</f>
        <v/>
      </c>
      <c r="N1225" s="114" t="str">
        <f aca="false">IF($E1225="","",IFERROR(INDEX(Config!$D$15:$D$19,MATCH($I1225,Config!$C$15:$C$19,0)),"OUT")&amp;IF($K1225="✓","x",""))</f>
        <v/>
      </c>
      <c r="O1225" s="114" t="str">
        <f aca="false">IF($E1225="","",COUNTIF($E$5:$E1225,$E1225))</f>
        <v/>
      </c>
      <c r="P1225" s="114" t="str">
        <f aca="false">IF($E1225="","",$E1225*100+$O1225)</f>
        <v/>
      </c>
      <c r="Q1225" s="114" t="str">
        <f aca="false">IF($L1225="Atrasado",$E1225*10000+$A1225,"")</f>
        <v/>
      </c>
    </row>
    <row r="1226" customFormat="false" ht="15" hidden="false" customHeight="false" outlineLevel="0" collapsed="false">
      <c r="A1226" s="114" t="n">
        <f aca="false">ROW()-4</f>
        <v>1222</v>
      </c>
      <c r="B1226" s="114" t="str">
        <f aca="false">IF(A1226&lt;=Config!$E$27*Config!$E$28,"Tema","Avulso")</f>
        <v>Tema</v>
      </c>
      <c r="C1226" s="114" t="n">
        <f aca="false">IF(B1226="Tema",INT((A1226-1)/Config!$E$28)+1,A1226-Config!$E$27*Config!$E$28)</f>
        <v>204</v>
      </c>
      <c r="D1226" s="114" t="n">
        <f aca="false">IF(B1226="Tema",MOD(A1226-1,Config!$E$28)+1,"")</f>
        <v>4</v>
      </c>
      <c r="E1226" s="115" t="str">
        <f aca="false">IF($B1226="Tema",IF(ISNUMBER(INDEX(Temas!$E$6:$P$305,$C1226,2*$D1226-1)),INDEX(Temas!$E$6:$P$305,$C1226,2*$D1226-1),""),IF(ISNUMBER(INDEX(Avulsos!$B$6:$B$205,$C1226)),INDEX(Avulsos!$B$6:$B$205,$C1226),""))</f>
        <v/>
      </c>
      <c r="F1226" s="114" t="str">
        <f aca="false">IF($E1226="","",IF($B1226="Tema",INDEX(Temas!$B$6:$B$305,$C1226)&amp;"",INDEX(Avulsos!$C$6:$C$205,$C1226)&amp;""))</f>
        <v/>
      </c>
      <c r="G1226" s="114" t="str">
        <f aca="false">IF($E1226="","",IF($B1226="Tema",INDEX(Config!$C$6:$C$11,$D1226),"Evento avulso"))</f>
        <v/>
      </c>
      <c r="H1226" s="114" t="str">
        <f aca="false">IF($E1226="","",IF($B1226="Tema",INDEX(Config!$D$6:$D$11,$D1226),IFERROR(INDEX(Config!$E$15:$E$19,MATCH($I1226,Config!$C$15:$C$19,0)),"•")))</f>
        <v/>
      </c>
      <c r="I1226" s="114" t="str">
        <f aca="false">IF($E1226="","",IF($B1226="Tema",INDEX(Config!$E$6:$E$11,$D1226),IF(INDEX(Avulsos!$D$6:$D$205,$C1226)&amp;""="","Outro",INDEX(Avulsos!$D$6:$D$205,$C1226))))</f>
        <v/>
      </c>
      <c r="J1226" s="114" t="str">
        <f aca="false">IF($E1226="","",IF($B1226="Tema",INDEX(Temas!$C$6:$C$305,$C1226)&amp;"",INDEX(Avulsos!$E$6:$E$205,$C1226)&amp;""))</f>
        <v/>
      </c>
      <c r="K1226" s="114" t="str">
        <f aca="false">IF($E1226="","",IF(IF($B1226="Tema",INDEX(Temas!$E$6:$P$305,$C1226,2*$D1226),INDEX(Avulsos!$F$6:$F$205,$C1226))&amp;""="","","✓"))</f>
        <v/>
      </c>
      <c r="L1226" s="114" t="str">
        <f aca="true">IF($E1226="","",IF($K1226="✓","Concluído",IF($E1226&lt;TODAY(),"Atrasado",IF($E1226=TODAY(),"Hoje","Pendente"))))</f>
        <v/>
      </c>
      <c r="M1226" s="114" t="str">
        <f aca="false">IF($E1226="","",IF($K1226="✓","✓ ","")&amp;IF(Config!$E$22="Sim",$H1226&amp;" · ","")&amp;$F1226)</f>
        <v/>
      </c>
      <c r="N1226" s="114" t="str">
        <f aca="false">IF($E1226="","",IFERROR(INDEX(Config!$D$15:$D$19,MATCH($I1226,Config!$C$15:$C$19,0)),"OUT")&amp;IF($K1226="✓","x",""))</f>
        <v/>
      </c>
      <c r="O1226" s="114" t="str">
        <f aca="false">IF($E1226="","",COUNTIF($E$5:$E1226,$E1226))</f>
        <v/>
      </c>
      <c r="P1226" s="114" t="str">
        <f aca="false">IF($E1226="","",$E1226*100+$O1226)</f>
        <v/>
      </c>
      <c r="Q1226" s="114" t="str">
        <f aca="false">IF($L1226="Atrasado",$E1226*10000+$A1226,"")</f>
        <v/>
      </c>
    </row>
    <row r="1227" customFormat="false" ht="15" hidden="false" customHeight="false" outlineLevel="0" collapsed="false">
      <c r="A1227" s="114" t="n">
        <f aca="false">ROW()-4</f>
        <v>1223</v>
      </c>
      <c r="B1227" s="114" t="str">
        <f aca="false">IF(A1227&lt;=Config!$E$27*Config!$E$28,"Tema","Avulso")</f>
        <v>Tema</v>
      </c>
      <c r="C1227" s="114" t="n">
        <f aca="false">IF(B1227="Tema",INT((A1227-1)/Config!$E$28)+1,A1227-Config!$E$27*Config!$E$28)</f>
        <v>204</v>
      </c>
      <c r="D1227" s="114" t="n">
        <f aca="false">IF(B1227="Tema",MOD(A1227-1,Config!$E$28)+1,"")</f>
        <v>5</v>
      </c>
      <c r="E1227" s="115" t="str">
        <f aca="false">IF($B1227="Tema",IF(ISNUMBER(INDEX(Temas!$E$6:$P$305,$C1227,2*$D1227-1)),INDEX(Temas!$E$6:$P$305,$C1227,2*$D1227-1),""),IF(ISNUMBER(INDEX(Avulsos!$B$6:$B$205,$C1227)),INDEX(Avulsos!$B$6:$B$205,$C1227),""))</f>
        <v/>
      </c>
      <c r="F1227" s="114" t="str">
        <f aca="false">IF($E1227="","",IF($B1227="Tema",INDEX(Temas!$B$6:$B$305,$C1227)&amp;"",INDEX(Avulsos!$C$6:$C$205,$C1227)&amp;""))</f>
        <v/>
      </c>
      <c r="G1227" s="114" t="str">
        <f aca="false">IF($E1227="","",IF($B1227="Tema",INDEX(Config!$C$6:$C$11,$D1227),"Evento avulso"))</f>
        <v/>
      </c>
      <c r="H1227" s="114" t="str">
        <f aca="false">IF($E1227="","",IF($B1227="Tema",INDEX(Config!$D$6:$D$11,$D1227),IFERROR(INDEX(Config!$E$15:$E$19,MATCH($I1227,Config!$C$15:$C$19,0)),"•")))</f>
        <v/>
      </c>
      <c r="I1227" s="114" t="str">
        <f aca="false">IF($E1227="","",IF($B1227="Tema",INDEX(Config!$E$6:$E$11,$D1227),IF(INDEX(Avulsos!$D$6:$D$205,$C1227)&amp;""="","Outro",INDEX(Avulsos!$D$6:$D$205,$C1227))))</f>
        <v/>
      </c>
      <c r="J1227" s="114" t="str">
        <f aca="false">IF($E1227="","",IF($B1227="Tema",INDEX(Temas!$C$6:$C$305,$C1227)&amp;"",INDEX(Avulsos!$E$6:$E$205,$C1227)&amp;""))</f>
        <v/>
      </c>
      <c r="K1227" s="114" t="str">
        <f aca="false">IF($E1227="","",IF(IF($B1227="Tema",INDEX(Temas!$E$6:$P$305,$C1227,2*$D1227),INDEX(Avulsos!$F$6:$F$205,$C1227))&amp;""="","","✓"))</f>
        <v/>
      </c>
      <c r="L1227" s="114" t="str">
        <f aca="true">IF($E1227="","",IF($K1227="✓","Concluído",IF($E1227&lt;TODAY(),"Atrasado",IF($E1227=TODAY(),"Hoje","Pendente"))))</f>
        <v/>
      </c>
      <c r="M1227" s="114" t="str">
        <f aca="false">IF($E1227="","",IF($K1227="✓","✓ ","")&amp;IF(Config!$E$22="Sim",$H1227&amp;" · ","")&amp;$F1227)</f>
        <v/>
      </c>
      <c r="N1227" s="114" t="str">
        <f aca="false">IF($E1227="","",IFERROR(INDEX(Config!$D$15:$D$19,MATCH($I1227,Config!$C$15:$C$19,0)),"OUT")&amp;IF($K1227="✓","x",""))</f>
        <v/>
      </c>
      <c r="O1227" s="114" t="str">
        <f aca="false">IF($E1227="","",COUNTIF($E$5:$E1227,$E1227))</f>
        <v/>
      </c>
      <c r="P1227" s="114" t="str">
        <f aca="false">IF($E1227="","",$E1227*100+$O1227)</f>
        <v/>
      </c>
      <c r="Q1227" s="114" t="str">
        <f aca="false">IF($L1227="Atrasado",$E1227*10000+$A1227,"")</f>
        <v/>
      </c>
    </row>
    <row r="1228" customFormat="false" ht="15" hidden="false" customHeight="false" outlineLevel="0" collapsed="false">
      <c r="A1228" s="114" t="n">
        <f aca="false">ROW()-4</f>
        <v>1224</v>
      </c>
      <c r="B1228" s="114" t="str">
        <f aca="false">IF(A1228&lt;=Config!$E$27*Config!$E$28,"Tema","Avulso")</f>
        <v>Tema</v>
      </c>
      <c r="C1228" s="114" t="n">
        <f aca="false">IF(B1228="Tema",INT((A1228-1)/Config!$E$28)+1,A1228-Config!$E$27*Config!$E$28)</f>
        <v>204</v>
      </c>
      <c r="D1228" s="114" t="n">
        <f aca="false">IF(B1228="Tema",MOD(A1228-1,Config!$E$28)+1,"")</f>
        <v>6</v>
      </c>
      <c r="E1228" s="115" t="str">
        <f aca="false">IF($B1228="Tema",IF(ISNUMBER(INDEX(Temas!$E$6:$P$305,$C1228,2*$D1228-1)),INDEX(Temas!$E$6:$P$305,$C1228,2*$D1228-1),""),IF(ISNUMBER(INDEX(Avulsos!$B$6:$B$205,$C1228)),INDEX(Avulsos!$B$6:$B$205,$C1228),""))</f>
        <v/>
      </c>
      <c r="F1228" s="114" t="str">
        <f aca="false">IF($E1228="","",IF($B1228="Tema",INDEX(Temas!$B$6:$B$305,$C1228)&amp;"",INDEX(Avulsos!$C$6:$C$205,$C1228)&amp;""))</f>
        <v/>
      </c>
      <c r="G1228" s="114" t="str">
        <f aca="false">IF($E1228="","",IF($B1228="Tema",INDEX(Config!$C$6:$C$11,$D1228),"Evento avulso"))</f>
        <v/>
      </c>
      <c r="H1228" s="114" t="str">
        <f aca="false">IF($E1228="","",IF($B1228="Tema",INDEX(Config!$D$6:$D$11,$D1228),IFERROR(INDEX(Config!$E$15:$E$19,MATCH($I1228,Config!$C$15:$C$19,0)),"•")))</f>
        <v/>
      </c>
      <c r="I1228" s="114" t="str">
        <f aca="false">IF($E1228="","",IF($B1228="Tema",INDEX(Config!$E$6:$E$11,$D1228),IF(INDEX(Avulsos!$D$6:$D$205,$C1228)&amp;""="","Outro",INDEX(Avulsos!$D$6:$D$205,$C1228))))</f>
        <v/>
      </c>
      <c r="J1228" s="114" t="str">
        <f aca="false">IF($E1228="","",IF($B1228="Tema",INDEX(Temas!$C$6:$C$305,$C1228)&amp;"",INDEX(Avulsos!$E$6:$E$205,$C1228)&amp;""))</f>
        <v/>
      </c>
      <c r="K1228" s="114" t="str">
        <f aca="false">IF($E1228="","",IF(IF($B1228="Tema",INDEX(Temas!$E$6:$P$305,$C1228,2*$D1228),INDEX(Avulsos!$F$6:$F$205,$C1228))&amp;""="","","✓"))</f>
        <v/>
      </c>
      <c r="L1228" s="114" t="str">
        <f aca="true">IF($E1228="","",IF($K1228="✓","Concluído",IF($E1228&lt;TODAY(),"Atrasado",IF($E1228=TODAY(),"Hoje","Pendente"))))</f>
        <v/>
      </c>
      <c r="M1228" s="114" t="str">
        <f aca="false">IF($E1228="","",IF($K1228="✓","✓ ","")&amp;IF(Config!$E$22="Sim",$H1228&amp;" · ","")&amp;$F1228)</f>
        <v/>
      </c>
      <c r="N1228" s="114" t="str">
        <f aca="false">IF($E1228="","",IFERROR(INDEX(Config!$D$15:$D$19,MATCH($I1228,Config!$C$15:$C$19,0)),"OUT")&amp;IF($K1228="✓","x",""))</f>
        <v/>
      </c>
      <c r="O1228" s="114" t="str">
        <f aca="false">IF($E1228="","",COUNTIF($E$5:$E1228,$E1228))</f>
        <v/>
      </c>
      <c r="P1228" s="114" t="str">
        <f aca="false">IF($E1228="","",$E1228*100+$O1228)</f>
        <v/>
      </c>
      <c r="Q1228" s="114" t="str">
        <f aca="false">IF($L1228="Atrasado",$E1228*10000+$A1228,"")</f>
        <v/>
      </c>
    </row>
    <row r="1229" customFormat="false" ht="15" hidden="false" customHeight="false" outlineLevel="0" collapsed="false">
      <c r="A1229" s="114" t="n">
        <f aca="false">ROW()-4</f>
        <v>1225</v>
      </c>
      <c r="B1229" s="114" t="str">
        <f aca="false">IF(A1229&lt;=Config!$E$27*Config!$E$28,"Tema","Avulso")</f>
        <v>Tema</v>
      </c>
      <c r="C1229" s="114" t="n">
        <f aca="false">IF(B1229="Tema",INT((A1229-1)/Config!$E$28)+1,A1229-Config!$E$27*Config!$E$28)</f>
        <v>205</v>
      </c>
      <c r="D1229" s="114" t="n">
        <f aca="false">IF(B1229="Tema",MOD(A1229-1,Config!$E$28)+1,"")</f>
        <v>1</v>
      </c>
      <c r="E1229" s="115" t="str">
        <f aca="false">IF($B1229="Tema",IF(ISNUMBER(INDEX(Temas!$E$6:$P$305,$C1229,2*$D1229-1)),INDEX(Temas!$E$6:$P$305,$C1229,2*$D1229-1),""),IF(ISNUMBER(INDEX(Avulsos!$B$6:$B$205,$C1229)),INDEX(Avulsos!$B$6:$B$205,$C1229),""))</f>
        <v/>
      </c>
      <c r="F1229" s="114" t="str">
        <f aca="false">IF($E1229="","",IF($B1229="Tema",INDEX(Temas!$B$6:$B$305,$C1229)&amp;"",INDEX(Avulsos!$C$6:$C$205,$C1229)&amp;""))</f>
        <v/>
      </c>
      <c r="G1229" s="114" t="str">
        <f aca="false">IF($E1229="","",IF($B1229="Tema",INDEX(Config!$C$6:$C$11,$D1229),"Evento avulso"))</f>
        <v/>
      </c>
      <c r="H1229" s="114" t="str">
        <f aca="false">IF($E1229="","",IF($B1229="Tema",INDEX(Config!$D$6:$D$11,$D1229),IFERROR(INDEX(Config!$E$15:$E$19,MATCH($I1229,Config!$C$15:$C$19,0)),"•")))</f>
        <v/>
      </c>
      <c r="I1229" s="114" t="str">
        <f aca="false">IF($E1229="","",IF($B1229="Tema",INDEX(Config!$E$6:$E$11,$D1229),IF(INDEX(Avulsos!$D$6:$D$205,$C1229)&amp;""="","Outro",INDEX(Avulsos!$D$6:$D$205,$C1229))))</f>
        <v/>
      </c>
      <c r="J1229" s="114" t="str">
        <f aca="false">IF($E1229="","",IF($B1229="Tema",INDEX(Temas!$C$6:$C$305,$C1229)&amp;"",INDEX(Avulsos!$E$6:$E$205,$C1229)&amp;""))</f>
        <v/>
      </c>
      <c r="K1229" s="114" t="str">
        <f aca="false">IF($E1229="","",IF(IF($B1229="Tema",INDEX(Temas!$E$6:$P$305,$C1229,2*$D1229),INDEX(Avulsos!$F$6:$F$205,$C1229))&amp;""="","","✓"))</f>
        <v/>
      </c>
      <c r="L1229" s="114" t="str">
        <f aca="true">IF($E1229="","",IF($K1229="✓","Concluído",IF($E1229&lt;TODAY(),"Atrasado",IF($E1229=TODAY(),"Hoje","Pendente"))))</f>
        <v/>
      </c>
      <c r="M1229" s="114" t="str">
        <f aca="false">IF($E1229="","",IF($K1229="✓","✓ ","")&amp;IF(Config!$E$22="Sim",$H1229&amp;" · ","")&amp;$F1229)</f>
        <v/>
      </c>
      <c r="N1229" s="114" t="str">
        <f aca="false">IF($E1229="","",IFERROR(INDEX(Config!$D$15:$D$19,MATCH($I1229,Config!$C$15:$C$19,0)),"OUT")&amp;IF($K1229="✓","x",""))</f>
        <v/>
      </c>
      <c r="O1229" s="114" t="str">
        <f aca="false">IF($E1229="","",COUNTIF($E$5:$E1229,$E1229))</f>
        <v/>
      </c>
      <c r="P1229" s="114" t="str">
        <f aca="false">IF($E1229="","",$E1229*100+$O1229)</f>
        <v/>
      </c>
      <c r="Q1229" s="114" t="str">
        <f aca="false">IF($L1229="Atrasado",$E1229*10000+$A1229,"")</f>
        <v/>
      </c>
    </row>
    <row r="1230" customFormat="false" ht="15" hidden="false" customHeight="false" outlineLevel="0" collapsed="false">
      <c r="A1230" s="114" t="n">
        <f aca="false">ROW()-4</f>
        <v>1226</v>
      </c>
      <c r="B1230" s="114" t="str">
        <f aca="false">IF(A1230&lt;=Config!$E$27*Config!$E$28,"Tema","Avulso")</f>
        <v>Tema</v>
      </c>
      <c r="C1230" s="114" t="n">
        <f aca="false">IF(B1230="Tema",INT((A1230-1)/Config!$E$28)+1,A1230-Config!$E$27*Config!$E$28)</f>
        <v>205</v>
      </c>
      <c r="D1230" s="114" t="n">
        <f aca="false">IF(B1230="Tema",MOD(A1230-1,Config!$E$28)+1,"")</f>
        <v>2</v>
      </c>
      <c r="E1230" s="115" t="str">
        <f aca="false">IF($B1230="Tema",IF(ISNUMBER(INDEX(Temas!$E$6:$P$305,$C1230,2*$D1230-1)),INDEX(Temas!$E$6:$P$305,$C1230,2*$D1230-1),""),IF(ISNUMBER(INDEX(Avulsos!$B$6:$B$205,$C1230)),INDEX(Avulsos!$B$6:$B$205,$C1230),""))</f>
        <v/>
      </c>
      <c r="F1230" s="114" t="str">
        <f aca="false">IF($E1230="","",IF($B1230="Tema",INDEX(Temas!$B$6:$B$305,$C1230)&amp;"",INDEX(Avulsos!$C$6:$C$205,$C1230)&amp;""))</f>
        <v/>
      </c>
      <c r="G1230" s="114" t="str">
        <f aca="false">IF($E1230="","",IF($B1230="Tema",INDEX(Config!$C$6:$C$11,$D1230),"Evento avulso"))</f>
        <v/>
      </c>
      <c r="H1230" s="114" t="str">
        <f aca="false">IF($E1230="","",IF($B1230="Tema",INDEX(Config!$D$6:$D$11,$D1230),IFERROR(INDEX(Config!$E$15:$E$19,MATCH($I1230,Config!$C$15:$C$19,0)),"•")))</f>
        <v/>
      </c>
      <c r="I1230" s="114" t="str">
        <f aca="false">IF($E1230="","",IF($B1230="Tema",INDEX(Config!$E$6:$E$11,$D1230),IF(INDEX(Avulsos!$D$6:$D$205,$C1230)&amp;""="","Outro",INDEX(Avulsos!$D$6:$D$205,$C1230))))</f>
        <v/>
      </c>
      <c r="J1230" s="114" t="str">
        <f aca="false">IF($E1230="","",IF($B1230="Tema",INDEX(Temas!$C$6:$C$305,$C1230)&amp;"",INDEX(Avulsos!$E$6:$E$205,$C1230)&amp;""))</f>
        <v/>
      </c>
      <c r="K1230" s="114" t="str">
        <f aca="false">IF($E1230="","",IF(IF($B1230="Tema",INDEX(Temas!$E$6:$P$305,$C1230,2*$D1230),INDEX(Avulsos!$F$6:$F$205,$C1230))&amp;""="","","✓"))</f>
        <v/>
      </c>
      <c r="L1230" s="114" t="str">
        <f aca="true">IF($E1230="","",IF($K1230="✓","Concluído",IF($E1230&lt;TODAY(),"Atrasado",IF($E1230=TODAY(),"Hoje","Pendente"))))</f>
        <v/>
      </c>
      <c r="M1230" s="114" t="str">
        <f aca="false">IF($E1230="","",IF($K1230="✓","✓ ","")&amp;IF(Config!$E$22="Sim",$H1230&amp;" · ","")&amp;$F1230)</f>
        <v/>
      </c>
      <c r="N1230" s="114" t="str">
        <f aca="false">IF($E1230="","",IFERROR(INDEX(Config!$D$15:$D$19,MATCH($I1230,Config!$C$15:$C$19,0)),"OUT")&amp;IF($K1230="✓","x",""))</f>
        <v/>
      </c>
      <c r="O1230" s="114" t="str">
        <f aca="false">IF($E1230="","",COUNTIF($E$5:$E1230,$E1230))</f>
        <v/>
      </c>
      <c r="P1230" s="114" t="str">
        <f aca="false">IF($E1230="","",$E1230*100+$O1230)</f>
        <v/>
      </c>
      <c r="Q1230" s="114" t="str">
        <f aca="false">IF($L1230="Atrasado",$E1230*10000+$A1230,"")</f>
        <v/>
      </c>
    </row>
    <row r="1231" customFormat="false" ht="15" hidden="false" customHeight="false" outlineLevel="0" collapsed="false">
      <c r="A1231" s="114" t="n">
        <f aca="false">ROW()-4</f>
        <v>1227</v>
      </c>
      <c r="B1231" s="114" t="str">
        <f aca="false">IF(A1231&lt;=Config!$E$27*Config!$E$28,"Tema","Avulso")</f>
        <v>Tema</v>
      </c>
      <c r="C1231" s="114" t="n">
        <f aca="false">IF(B1231="Tema",INT((A1231-1)/Config!$E$28)+1,A1231-Config!$E$27*Config!$E$28)</f>
        <v>205</v>
      </c>
      <c r="D1231" s="114" t="n">
        <f aca="false">IF(B1231="Tema",MOD(A1231-1,Config!$E$28)+1,"")</f>
        <v>3</v>
      </c>
      <c r="E1231" s="115" t="str">
        <f aca="false">IF($B1231="Tema",IF(ISNUMBER(INDEX(Temas!$E$6:$P$305,$C1231,2*$D1231-1)),INDEX(Temas!$E$6:$P$305,$C1231,2*$D1231-1),""),IF(ISNUMBER(INDEX(Avulsos!$B$6:$B$205,$C1231)),INDEX(Avulsos!$B$6:$B$205,$C1231),""))</f>
        <v/>
      </c>
      <c r="F1231" s="114" t="str">
        <f aca="false">IF($E1231="","",IF($B1231="Tema",INDEX(Temas!$B$6:$B$305,$C1231)&amp;"",INDEX(Avulsos!$C$6:$C$205,$C1231)&amp;""))</f>
        <v/>
      </c>
      <c r="G1231" s="114" t="str">
        <f aca="false">IF($E1231="","",IF($B1231="Tema",INDEX(Config!$C$6:$C$11,$D1231),"Evento avulso"))</f>
        <v/>
      </c>
      <c r="H1231" s="114" t="str">
        <f aca="false">IF($E1231="","",IF($B1231="Tema",INDEX(Config!$D$6:$D$11,$D1231),IFERROR(INDEX(Config!$E$15:$E$19,MATCH($I1231,Config!$C$15:$C$19,0)),"•")))</f>
        <v/>
      </c>
      <c r="I1231" s="114" t="str">
        <f aca="false">IF($E1231="","",IF($B1231="Tema",INDEX(Config!$E$6:$E$11,$D1231),IF(INDEX(Avulsos!$D$6:$D$205,$C1231)&amp;""="","Outro",INDEX(Avulsos!$D$6:$D$205,$C1231))))</f>
        <v/>
      </c>
      <c r="J1231" s="114" t="str">
        <f aca="false">IF($E1231="","",IF($B1231="Tema",INDEX(Temas!$C$6:$C$305,$C1231)&amp;"",INDEX(Avulsos!$E$6:$E$205,$C1231)&amp;""))</f>
        <v/>
      </c>
      <c r="K1231" s="114" t="str">
        <f aca="false">IF($E1231="","",IF(IF($B1231="Tema",INDEX(Temas!$E$6:$P$305,$C1231,2*$D1231),INDEX(Avulsos!$F$6:$F$205,$C1231))&amp;""="","","✓"))</f>
        <v/>
      </c>
      <c r="L1231" s="114" t="str">
        <f aca="true">IF($E1231="","",IF($K1231="✓","Concluído",IF($E1231&lt;TODAY(),"Atrasado",IF($E1231=TODAY(),"Hoje","Pendente"))))</f>
        <v/>
      </c>
      <c r="M1231" s="114" t="str">
        <f aca="false">IF($E1231="","",IF($K1231="✓","✓ ","")&amp;IF(Config!$E$22="Sim",$H1231&amp;" · ","")&amp;$F1231)</f>
        <v/>
      </c>
      <c r="N1231" s="114" t="str">
        <f aca="false">IF($E1231="","",IFERROR(INDEX(Config!$D$15:$D$19,MATCH($I1231,Config!$C$15:$C$19,0)),"OUT")&amp;IF($K1231="✓","x",""))</f>
        <v/>
      </c>
      <c r="O1231" s="114" t="str">
        <f aca="false">IF($E1231="","",COUNTIF($E$5:$E1231,$E1231))</f>
        <v/>
      </c>
      <c r="P1231" s="114" t="str">
        <f aca="false">IF($E1231="","",$E1231*100+$O1231)</f>
        <v/>
      </c>
      <c r="Q1231" s="114" t="str">
        <f aca="false">IF($L1231="Atrasado",$E1231*10000+$A1231,"")</f>
        <v/>
      </c>
    </row>
    <row r="1232" customFormat="false" ht="15" hidden="false" customHeight="false" outlineLevel="0" collapsed="false">
      <c r="A1232" s="114" t="n">
        <f aca="false">ROW()-4</f>
        <v>1228</v>
      </c>
      <c r="B1232" s="114" t="str">
        <f aca="false">IF(A1232&lt;=Config!$E$27*Config!$E$28,"Tema","Avulso")</f>
        <v>Tema</v>
      </c>
      <c r="C1232" s="114" t="n">
        <f aca="false">IF(B1232="Tema",INT((A1232-1)/Config!$E$28)+1,A1232-Config!$E$27*Config!$E$28)</f>
        <v>205</v>
      </c>
      <c r="D1232" s="114" t="n">
        <f aca="false">IF(B1232="Tema",MOD(A1232-1,Config!$E$28)+1,"")</f>
        <v>4</v>
      </c>
      <c r="E1232" s="115" t="str">
        <f aca="false">IF($B1232="Tema",IF(ISNUMBER(INDEX(Temas!$E$6:$P$305,$C1232,2*$D1232-1)),INDEX(Temas!$E$6:$P$305,$C1232,2*$D1232-1),""),IF(ISNUMBER(INDEX(Avulsos!$B$6:$B$205,$C1232)),INDEX(Avulsos!$B$6:$B$205,$C1232),""))</f>
        <v/>
      </c>
      <c r="F1232" s="114" t="str">
        <f aca="false">IF($E1232="","",IF($B1232="Tema",INDEX(Temas!$B$6:$B$305,$C1232)&amp;"",INDEX(Avulsos!$C$6:$C$205,$C1232)&amp;""))</f>
        <v/>
      </c>
      <c r="G1232" s="114" t="str">
        <f aca="false">IF($E1232="","",IF($B1232="Tema",INDEX(Config!$C$6:$C$11,$D1232),"Evento avulso"))</f>
        <v/>
      </c>
      <c r="H1232" s="114" t="str">
        <f aca="false">IF($E1232="","",IF($B1232="Tema",INDEX(Config!$D$6:$D$11,$D1232),IFERROR(INDEX(Config!$E$15:$E$19,MATCH($I1232,Config!$C$15:$C$19,0)),"•")))</f>
        <v/>
      </c>
      <c r="I1232" s="114" t="str">
        <f aca="false">IF($E1232="","",IF($B1232="Tema",INDEX(Config!$E$6:$E$11,$D1232),IF(INDEX(Avulsos!$D$6:$D$205,$C1232)&amp;""="","Outro",INDEX(Avulsos!$D$6:$D$205,$C1232))))</f>
        <v/>
      </c>
      <c r="J1232" s="114" t="str">
        <f aca="false">IF($E1232="","",IF($B1232="Tema",INDEX(Temas!$C$6:$C$305,$C1232)&amp;"",INDEX(Avulsos!$E$6:$E$205,$C1232)&amp;""))</f>
        <v/>
      </c>
      <c r="K1232" s="114" t="str">
        <f aca="false">IF($E1232="","",IF(IF($B1232="Tema",INDEX(Temas!$E$6:$P$305,$C1232,2*$D1232),INDEX(Avulsos!$F$6:$F$205,$C1232))&amp;""="","","✓"))</f>
        <v/>
      </c>
      <c r="L1232" s="114" t="str">
        <f aca="true">IF($E1232="","",IF($K1232="✓","Concluído",IF($E1232&lt;TODAY(),"Atrasado",IF($E1232=TODAY(),"Hoje","Pendente"))))</f>
        <v/>
      </c>
      <c r="M1232" s="114" t="str">
        <f aca="false">IF($E1232="","",IF($K1232="✓","✓ ","")&amp;IF(Config!$E$22="Sim",$H1232&amp;" · ","")&amp;$F1232)</f>
        <v/>
      </c>
      <c r="N1232" s="114" t="str">
        <f aca="false">IF($E1232="","",IFERROR(INDEX(Config!$D$15:$D$19,MATCH($I1232,Config!$C$15:$C$19,0)),"OUT")&amp;IF($K1232="✓","x",""))</f>
        <v/>
      </c>
      <c r="O1232" s="114" t="str">
        <f aca="false">IF($E1232="","",COUNTIF($E$5:$E1232,$E1232))</f>
        <v/>
      </c>
      <c r="P1232" s="114" t="str">
        <f aca="false">IF($E1232="","",$E1232*100+$O1232)</f>
        <v/>
      </c>
      <c r="Q1232" s="114" t="str">
        <f aca="false">IF($L1232="Atrasado",$E1232*10000+$A1232,"")</f>
        <v/>
      </c>
    </row>
    <row r="1233" customFormat="false" ht="15" hidden="false" customHeight="false" outlineLevel="0" collapsed="false">
      <c r="A1233" s="114" t="n">
        <f aca="false">ROW()-4</f>
        <v>1229</v>
      </c>
      <c r="B1233" s="114" t="str">
        <f aca="false">IF(A1233&lt;=Config!$E$27*Config!$E$28,"Tema","Avulso")</f>
        <v>Tema</v>
      </c>
      <c r="C1233" s="114" t="n">
        <f aca="false">IF(B1233="Tema",INT((A1233-1)/Config!$E$28)+1,A1233-Config!$E$27*Config!$E$28)</f>
        <v>205</v>
      </c>
      <c r="D1233" s="114" t="n">
        <f aca="false">IF(B1233="Tema",MOD(A1233-1,Config!$E$28)+1,"")</f>
        <v>5</v>
      </c>
      <c r="E1233" s="115" t="str">
        <f aca="false">IF($B1233="Tema",IF(ISNUMBER(INDEX(Temas!$E$6:$P$305,$C1233,2*$D1233-1)),INDEX(Temas!$E$6:$P$305,$C1233,2*$D1233-1),""),IF(ISNUMBER(INDEX(Avulsos!$B$6:$B$205,$C1233)),INDEX(Avulsos!$B$6:$B$205,$C1233),""))</f>
        <v/>
      </c>
      <c r="F1233" s="114" t="str">
        <f aca="false">IF($E1233="","",IF($B1233="Tema",INDEX(Temas!$B$6:$B$305,$C1233)&amp;"",INDEX(Avulsos!$C$6:$C$205,$C1233)&amp;""))</f>
        <v/>
      </c>
      <c r="G1233" s="114" t="str">
        <f aca="false">IF($E1233="","",IF($B1233="Tema",INDEX(Config!$C$6:$C$11,$D1233),"Evento avulso"))</f>
        <v/>
      </c>
      <c r="H1233" s="114" t="str">
        <f aca="false">IF($E1233="","",IF($B1233="Tema",INDEX(Config!$D$6:$D$11,$D1233),IFERROR(INDEX(Config!$E$15:$E$19,MATCH($I1233,Config!$C$15:$C$19,0)),"•")))</f>
        <v/>
      </c>
      <c r="I1233" s="114" t="str">
        <f aca="false">IF($E1233="","",IF($B1233="Tema",INDEX(Config!$E$6:$E$11,$D1233),IF(INDEX(Avulsos!$D$6:$D$205,$C1233)&amp;""="","Outro",INDEX(Avulsos!$D$6:$D$205,$C1233))))</f>
        <v/>
      </c>
      <c r="J1233" s="114" t="str">
        <f aca="false">IF($E1233="","",IF($B1233="Tema",INDEX(Temas!$C$6:$C$305,$C1233)&amp;"",INDEX(Avulsos!$E$6:$E$205,$C1233)&amp;""))</f>
        <v/>
      </c>
      <c r="K1233" s="114" t="str">
        <f aca="false">IF($E1233="","",IF(IF($B1233="Tema",INDEX(Temas!$E$6:$P$305,$C1233,2*$D1233),INDEX(Avulsos!$F$6:$F$205,$C1233))&amp;""="","","✓"))</f>
        <v/>
      </c>
      <c r="L1233" s="114" t="str">
        <f aca="true">IF($E1233="","",IF($K1233="✓","Concluído",IF($E1233&lt;TODAY(),"Atrasado",IF($E1233=TODAY(),"Hoje","Pendente"))))</f>
        <v/>
      </c>
      <c r="M1233" s="114" t="str">
        <f aca="false">IF($E1233="","",IF($K1233="✓","✓ ","")&amp;IF(Config!$E$22="Sim",$H1233&amp;" · ","")&amp;$F1233)</f>
        <v/>
      </c>
      <c r="N1233" s="114" t="str">
        <f aca="false">IF($E1233="","",IFERROR(INDEX(Config!$D$15:$D$19,MATCH($I1233,Config!$C$15:$C$19,0)),"OUT")&amp;IF($K1233="✓","x",""))</f>
        <v/>
      </c>
      <c r="O1233" s="114" t="str">
        <f aca="false">IF($E1233="","",COUNTIF($E$5:$E1233,$E1233))</f>
        <v/>
      </c>
      <c r="P1233" s="114" t="str">
        <f aca="false">IF($E1233="","",$E1233*100+$O1233)</f>
        <v/>
      </c>
      <c r="Q1233" s="114" t="str">
        <f aca="false">IF($L1233="Atrasado",$E1233*10000+$A1233,"")</f>
        <v/>
      </c>
    </row>
    <row r="1234" customFormat="false" ht="15" hidden="false" customHeight="false" outlineLevel="0" collapsed="false">
      <c r="A1234" s="114" t="n">
        <f aca="false">ROW()-4</f>
        <v>1230</v>
      </c>
      <c r="B1234" s="114" t="str">
        <f aca="false">IF(A1234&lt;=Config!$E$27*Config!$E$28,"Tema","Avulso")</f>
        <v>Tema</v>
      </c>
      <c r="C1234" s="114" t="n">
        <f aca="false">IF(B1234="Tema",INT((A1234-1)/Config!$E$28)+1,A1234-Config!$E$27*Config!$E$28)</f>
        <v>205</v>
      </c>
      <c r="D1234" s="114" t="n">
        <f aca="false">IF(B1234="Tema",MOD(A1234-1,Config!$E$28)+1,"")</f>
        <v>6</v>
      </c>
      <c r="E1234" s="115" t="str">
        <f aca="false">IF($B1234="Tema",IF(ISNUMBER(INDEX(Temas!$E$6:$P$305,$C1234,2*$D1234-1)),INDEX(Temas!$E$6:$P$305,$C1234,2*$D1234-1),""),IF(ISNUMBER(INDEX(Avulsos!$B$6:$B$205,$C1234)),INDEX(Avulsos!$B$6:$B$205,$C1234),""))</f>
        <v/>
      </c>
      <c r="F1234" s="114" t="str">
        <f aca="false">IF($E1234="","",IF($B1234="Tema",INDEX(Temas!$B$6:$B$305,$C1234)&amp;"",INDEX(Avulsos!$C$6:$C$205,$C1234)&amp;""))</f>
        <v/>
      </c>
      <c r="G1234" s="114" t="str">
        <f aca="false">IF($E1234="","",IF($B1234="Tema",INDEX(Config!$C$6:$C$11,$D1234),"Evento avulso"))</f>
        <v/>
      </c>
      <c r="H1234" s="114" t="str">
        <f aca="false">IF($E1234="","",IF($B1234="Tema",INDEX(Config!$D$6:$D$11,$D1234),IFERROR(INDEX(Config!$E$15:$E$19,MATCH($I1234,Config!$C$15:$C$19,0)),"•")))</f>
        <v/>
      </c>
      <c r="I1234" s="114" t="str">
        <f aca="false">IF($E1234="","",IF($B1234="Tema",INDEX(Config!$E$6:$E$11,$D1234),IF(INDEX(Avulsos!$D$6:$D$205,$C1234)&amp;""="","Outro",INDEX(Avulsos!$D$6:$D$205,$C1234))))</f>
        <v/>
      </c>
      <c r="J1234" s="114" t="str">
        <f aca="false">IF($E1234="","",IF($B1234="Tema",INDEX(Temas!$C$6:$C$305,$C1234)&amp;"",INDEX(Avulsos!$E$6:$E$205,$C1234)&amp;""))</f>
        <v/>
      </c>
      <c r="K1234" s="114" t="str">
        <f aca="false">IF($E1234="","",IF(IF($B1234="Tema",INDEX(Temas!$E$6:$P$305,$C1234,2*$D1234),INDEX(Avulsos!$F$6:$F$205,$C1234))&amp;""="","","✓"))</f>
        <v/>
      </c>
      <c r="L1234" s="114" t="str">
        <f aca="true">IF($E1234="","",IF($K1234="✓","Concluído",IF($E1234&lt;TODAY(),"Atrasado",IF($E1234=TODAY(),"Hoje","Pendente"))))</f>
        <v/>
      </c>
      <c r="M1234" s="114" t="str">
        <f aca="false">IF($E1234="","",IF($K1234="✓","✓ ","")&amp;IF(Config!$E$22="Sim",$H1234&amp;" · ","")&amp;$F1234)</f>
        <v/>
      </c>
      <c r="N1234" s="114" t="str">
        <f aca="false">IF($E1234="","",IFERROR(INDEX(Config!$D$15:$D$19,MATCH($I1234,Config!$C$15:$C$19,0)),"OUT")&amp;IF($K1234="✓","x",""))</f>
        <v/>
      </c>
      <c r="O1234" s="114" t="str">
        <f aca="false">IF($E1234="","",COUNTIF($E$5:$E1234,$E1234))</f>
        <v/>
      </c>
      <c r="P1234" s="114" t="str">
        <f aca="false">IF($E1234="","",$E1234*100+$O1234)</f>
        <v/>
      </c>
      <c r="Q1234" s="114" t="str">
        <f aca="false">IF($L1234="Atrasado",$E1234*10000+$A1234,"")</f>
        <v/>
      </c>
    </row>
    <row r="1235" customFormat="false" ht="15" hidden="false" customHeight="false" outlineLevel="0" collapsed="false">
      <c r="A1235" s="114" t="n">
        <f aca="false">ROW()-4</f>
        <v>1231</v>
      </c>
      <c r="B1235" s="114" t="str">
        <f aca="false">IF(A1235&lt;=Config!$E$27*Config!$E$28,"Tema","Avulso")</f>
        <v>Tema</v>
      </c>
      <c r="C1235" s="114" t="n">
        <f aca="false">IF(B1235="Tema",INT((A1235-1)/Config!$E$28)+1,A1235-Config!$E$27*Config!$E$28)</f>
        <v>206</v>
      </c>
      <c r="D1235" s="114" t="n">
        <f aca="false">IF(B1235="Tema",MOD(A1235-1,Config!$E$28)+1,"")</f>
        <v>1</v>
      </c>
      <c r="E1235" s="115" t="str">
        <f aca="false">IF($B1235="Tema",IF(ISNUMBER(INDEX(Temas!$E$6:$P$305,$C1235,2*$D1235-1)),INDEX(Temas!$E$6:$P$305,$C1235,2*$D1235-1),""),IF(ISNUMBER(INDEX(Avulsos!$B$6:$B$205,$C1235)),INDEX(Avulsos!$B$6:$B$205,$C1235),""))</f>
        <v/>
      </c>
      <c r="F1235" s="114" t="str">
        <f aca="false">IF($E1235="","",IF($B1235="Tema",INDEX(Temas!$B$6:$B$305,$C1235)&amp;"",INDEX(Avulsos!$C$6:$C$205,$C1235)&amp;""))</f>
        <v/>
      </c>
      <c r="G1235" s="114" t="str">
        <f aca="false">IF($E1235="","",IF($B1235="Tema",INDEX(Config!$C$6:$C$11,$D1235),"Evento avulso"))</f>
        <v/>
      </c>
      <c r="H1235" s="114" t="str">
        <f aca="false">IF($E1235="","",IF($B1235="Tema",INDEX(Config!$D$6:$D$11,$D1235),IFERROR(INDEX(Config!$E$15:$E$19,MATCH($I1235,Config!$C$15:$C$19,0)),"•")))</f>
        <v/>
      </c>
      <c r="I1235" s="114" t="str">
        <f aca="false">IF($E1235="","",IF($B1235="Tema",INDEX(Config!$E$6:$E$11,$D1235),IF(INDEX(Avulsos!$D$6:$D$205,$C1235)&amp;""="","Outro",INDEX(Avulsos!$D$6:$D$205,$C1235))))</f>
        <v/>
      </c>
      <c r="J1235" s="114" t="str">
        <f aca="false">IF($E1235="","",IF($B1235="Tema",INDEX(Temas!$C$6:$C$305,$C1235)&amp;"",INDEX(Avulsos!$E$6:$E$205,$C1235)&amp;""))</f>
        <v/>
      </c>
      <c r="K1235" s="114" t="str">
        <f aca="false">IF($E1235="","",IF(IF($B1235="Tema",INDEX(Temas!$E$6:$P$305,$C1235,2*$D1235),INDEX(Avulsos!$F$6:$F$205,$C1235))&amp;""="","","✓"))</f>
        <v/>
      </c>
      <c r="L1235" s="114" t="str">
        <f aca="true">IF($E1235="","",IF($K1235="✓","Concluído",IF($E1235&lt;TODAY(),"Atrasado",IF($E1235=TODAY(),"Hoje","Pendente"))))</f>
        <v/>
      </c>
      <c r="M1235" s="114" t="str">
        <f aca="false">IF($E1235="","",IF($K1235="✓","✓ ","")&amp;IF(Config!$E$22="Sim",$H1235&amp;" · ","")&amp;$F1235)</f>
        <v/>
      </c>
      <c r="N1235" s="114" t="str">
        <f aca="false">IF($E1235="","",IFERROR(INDEX(Config!$D$15:$D$19,MATCH($I1235,Config!$C$15:$C$19,0)),"OUT")&amp;IF($K1235="✓","x",""))</f>
        <v/>
      </c>
      <c r="O1235" s="114" t="str">
        <f aca="false">IF($E1235="","",COUNTIF($E$5:$E1235,$E1235))</f>
        <v/>
      </c>
      <c r="P1235" s="114" t="str">
        <f aca="false">IF($E1235="","",$E1235*100+$O1235)</f>
        <v/>
      </c>
      <c r="Q1235" s="114" t="str">
        <f aca="false">IF($L1235="Atrasado",$E1235*10000+$A1235,"")</f>
        <v/>
      </c>
    </row>
    <row r="1236" customFormat="false" ht="15" hidden="false" customHeight="false" outlineLevel="0" collapsed="false">
      <c r="A1236" s="114" t="n">
        <f aca="false">ROW()-4</f>
        <v>1232</v>
      </c>
      <c r="B1236" s="114" t="str">
        <f aca="false">IF(A1236&lt;=Config!$E$27*Config!$E$28,"Tema","Avulso")</f>
        <v>Tema</v>
      </c>
      <c r="C1236" s="114" t="n">
        <f aca="false">IF(B1236="Tema",INT((A1236-1)/Config!$E$28)+1,A1236-Config!$E$27*Config!$E$28)</f>
        <v>206</v>
      </c>
      <c r="D1236" s="114" t="n">
        <f aca="false">IF(B1236="Tema",MOD(A1236-1,Config!$E$28)+1,"")</f>
        <v>2</v>
      </c>
      <c r="E1236" s="115" t="str">
        <f aca="false">IF($B1236="Tema",IF(ISNUMBER(INDEX(Temas!$E$6:$P$305,$C1236,2*$D1236-1)),INDEX(Temas!$E$6:$P$305,$C1236,2*$D1236-1),""),IF(ISNUMBER(INDEX(Avulsos!$B$6:$B$205,$C1236)),INDEX(Avulsos!$B$6:$B$205,$C1236),""))</f>
        <v/>
      </c>
      <c r="F1236" s="114" t="str">
        <f aca="false">IF($E1236="","",IF($B1236="Tema",INDEX(Temas!$B$6:$B$305,$C1236)&amp;"",INDEX(Avulsos!$C$6:$C$205,$C1236)&amp;""))</f>
        <v/>
      </c>
      <c r="G1236" s="114" t="str">
        <f aca="false">IF($E1236="","",IF($B1236="Tema",INDEX(Config!$C$6:$C$11,$D1236),"Evento avulso"))</f>
        <v/>
      </c>
      <c r="H1236" s="114" t="str">
        <f aca="false">IF($E1236="","",IF($B1236="Tema",INDEX(Config!$D$6:$D$11,$D1236),IFERROR(INDEX(Config!$E$15:$E$19,MATCH($I1236,Config!$C$15:$C$19,0)),"•")))</f>
        <v/>
      </c>
      <c r="I1236" s="114" t="str">
        <f aca="false">IF($E1236="","",IF($B1236="Tema",INDEX(Config!$E$6:$E$11,$D1236),IF(INDEX(Avulsos!$D$6:$D$205,$C1236)&amp;""="","Outro",INDEX(Avulsos!$D$6:$D$205,$C1236))))</f>
        <v/>
      </c>
      <c r="J1236" s="114" t="str">
        <f aca="false">IF($E1236="","",IF($B1236="Tema",INDEX(Temas!$C$6:$C$305,$C1236)&amp;"",INDEX(Avulsos!$E$6:$E$205,$C1236)&amp;""))</f>
        <v/>
      </c>
      <c r="K1236" s="114" t="str">
        <f aca="false">IF($E1236="","",IF(IF($B1236="Tema",INDEX(Temas!$E$6:$P$305,$C1236,2*$D1236),INDEX(Avulsos!$F$6:$F$205,$C1236))&amp;""="","","✓"))</f>
        <v/>
      </c>
      <c r="L1236" s="114" t="str">
        <f aca="true">IF($E1236="","",IF($K1236="✓","Concluído",IF($E1236&lt;TODAY(),"Atrasado",IF($E1236=TODAY(),"Hoje","Pendente"))))</f>
        <v/>
      </c>
      <c r="M1236" s="114" t="str">
        <f aca="false">IF($E1236="","",IF($K1236="✓","✓ ","")&amp;IF(Config!$E$22="Sim",$H1236&amp;" · ","")&amp;$F1236)</f>
        <v/>
      </c>
      <c r="N1236" s="114" t="str">
        <f aca="false">IF($E1236="","",IFERROR(INDEX(Config!$D$15:$D$19,MATCH($I1236,Config!$C$15:$C$19,0)),"OUT")&amp;IF($K1236="✓","x",""))</f>
        <v/>
      </c>
      <c r="O1236" s="114" t="str">
        <f aca="false">IF($E1236="","",COUNTIF($E$5:$E1236,$E1236))</f>
        <v/>
      </c>
      <c r="P1236" s="114" t="str">
        <f aca="false">IF($E1236="","",$E1236*100+$O1236)</f>
        <v/>
      </c>
      <c r="Q1236" s="114" t="str">
        <f aca="false">IF($L1236="Atrasado",$E1236*10000+$A1236,"")</f>
        <v/>
      </c>
    </row>
    <row r="1237" customFormat="false" ht="15" hidden="false" customHeight="false" outlineLevel="0" collapsed="false">
      <c r="A1237" s="114" t="n">
        <f aca="false">ROW()-4</f>
        <v>1233</v>
      </c>
      <c r="B1237" s="114" t="str">
        <f aca="false">IF(A1237&lt;=Config!$E$27*Config!$E$28,"Tema","Avulso")</f>
        <v>Tema</v>
      </c>
      <c r="C1237" s="114" t="n">
        <f aca="false">IF(B1237="Tema",INT((A1237-1)/Config!$E$28)+1,A1237-Config!$E$27*Config!$E$28)</f>
        <v>206</v>
      </c>
      <c r="D1237" s="114" t="n">
        <f aca="false">IF(B1237="Tema",MOD(A1237-1,Config!$E$28)+1,"")</f>
        <v>3</v>
      </c>
      <c r="E1237" s="115" t="str">
        <f aca="false">IF($B1237="Tema",IF(ISNUMBER(INDEX(Temas!$E$6:$P$305,$C1237,2*$D1237-1)),INDEX(Temas!$E$6:$P$305,$C1237,2*$D1237-1),""),IF(ISNUMBER(INDEX(Avulsos!$B$6:$B$205,$C1237)),INDEX(Avulsos!$B$6:$B$205,$C1237),""))</f>
        <v/>
      </c>
      <c r="F1237" s="114" t="str">
        <f aca="false">IF($E1237="","",IF($B1237="Tema",INDEX(Temas!$B$6:$B$305,$C1237)&amp;"",INDEX(Avulsos!$C$6:$C$205,$C1237)&amp;""))</f>
        <v/>
      </c>
      <c r="G1237" s="114" t="str">
        <f aca="false">IF($E1237="","",IF($B1237="Tema",INDEX(Config!$C$6:$C$11,$D1237),"Evento avulso"))</f>
        <v/>
      </c>
      <c r="H1237" s="114" t="str">
        <f aca="false">IF($E1237="","",IF($B1237="Tema",INDEX(Config!$D$6:$D$11,$D1237),IFERROR(INDEX(Config!$E$15:$E$19,MATCH($I1237,Config!$C$15:$C$19,0)),"•")))</f>
        <v/>
      </c>
      <c r="I1237" s="114" t="str">
        <f aca="false">IF($E1237="","",IF($B1237="Tema",INDEX(Config!$E$6:$E$11,$D1237),IF(INDEX(Avulsos!$D$6:$D$205,$C1237)&amp;""="","Outro",INDEX(Avulsos!$D$6:$D$205,$C1237))))</f>
        <v/>
      </c>
      <c r="J1237" s="114" t="str">
        <f aca="false">IF($E1237="","",IF($B1237="Tema",INDEX(Temas!$C$6:$C$305,$C1237)&amp;"",INDEX(Avulsos!$E$6:$E$205,$C1237)&amp;""))</f>
        <v/>
      </c>
      <c r="K1237" s="114" t="str">
        <f aca="false">IF($E1237="","",IF(IF($B1237="Tema",INDEX(Temas!$E$6:$P$305,$C1237,2*$D1237),INDEX(Avulsos!$F$6:$F$205,$C1237))&amp;""="","","✓"))</f>
        <v/>
      </c>
      <c r="L1237" s="114" t="str">
        <f aca="true">IF($E1237="","",IF($K1237="✓","Concluído",IF($E1237&lt;TODAY(),"Atrasado",IF($E1237=TODAY(),"Hoje","Pendente"))))</f>
        <v/>
      </c>
      <c r="M1237" s="114" t="str">
        <f aca="false">IF($E1237="","",IF($K1237="✓","✓ ","")&amp;IF(Config!$E$22="Sim",$H1237&amp;" · ","")&amp;$F1237)</f>
        <v/>
      </c>
      <c r="N1237" s="114" t="str">
        <f aca="false">IF($E1237="","",IFERROR(INDEX(Config!$D$15:$D$19,MATCH($I1237,Config!$C$15:$C$19,0)),"OUT")&amp;IF($K1237="✓","x",""))</f>
        <v/>
      </c>
      <c r="O1237" s="114" t="str">
        <f aca="false">IF($E1237="","",COUNTIF($E$5:$E1237,$E1237))</f>
        <v/>
      </c>
      <c r="P1237" s="114" t="str">
        <f aca="false">IF($E1237="","",$E1237*100+$O1237)</f>
        <v/>
      </c>
      <c r="Q1237" s="114" t="str">
        <f aca="false">IF($L1237="Atrasado",$E1237*10000+$A1237,"")</f>
        <v/>
      </c>
    </row>
    <row r="1238" customFormat="false" ht="15" hidden="false" customHeight="false" outlineLevel="0" collapsed="false">
      <c r="A1238" s="114" t="n">
        <f aca="false">ROW()-4</f>
        <v>1234</v>
      </c>
      <c r="B1238" s="114" t="str">
        <f aca="false">IF(A1238&lt;=Config!$E$27*Config!$E$28,"Tema","Avulso")</f>
        <v>Tema</v>
      </c>
      <c r="C1238" s="114" t="n">
        <f aca="false">IF(B1238="Tema",INT((A1238-1)/Config!$E$28)+1,A1238-Config!$E$27*Config!$E$28)</f>
        <v>206</v>
      </c>
      <c r="D1238" s="114" t="n">
        <f aca="false">IF(B1238="Tema",MOD(A1238-1,Config!$E$28)+1,"")</f>
        <v>4</v>
      </c>
      <c r="E1238" s="115" t="str">
        <f aca="false">IF($B1238="Tema",IF(ISNUMBER(INDEX(Temas!$E$6:$P$305,$C1238,2*$D1238-1)),INDEX(Temas!$E$6:$P$305,$C1238,2*$D1238-1),""),IF(ISNUMBER(INDEX(Avulsos!$B$6:$B$205,$C1238)),INDEX(Avulsos!$B$6:$B$205,$C1238),""))</f>
        <v/>
      </c>
      <c r="F1238" s="114" t="str">
        <f aca="false">IF($E1238="","",IF($B1238="Tema",INDEX(Temas!$B$6:$B$305,$C1238)&amp;"",INDEX(Avulsos!$C$6:$C$205,$C1238)&amp;""))</f>
        <v/>
      </c>
      <c r="G1238" s="114" t="str">
        <f aca="false">IF($E1238="","",IF($B1238="Tema",INDEX(Config!$C$6:$C$11,$D1238),"Evento avulso"))</f>
        <v/>
      </c>
      <c r="H1238" s="114" t="str">
        <f aca="false">IF($E1238="","",IF($B1238="Tema",INDEX(Config!$D$6:$D$11,$D1238),IFERROR(INDEX(Config!$E$15:$E$19,MATCH($I1238,Config!$C$15:$C$19,0)),"•")))</f>
        <v/>
      </c>
      <c r="I1238" s="114" t="str">
        <f aca="false">IF($E1238="","",IF($B1238="Tema",INDEX(Config!$E$6:$E$11,$D1238),IF(INDEX(Avulsos!$D$6:$D$205,$C1238)&amp;""="","Outro",INDEX(Avulsos!$D$6:$D$205,$C1238))))</f>
        <v/>
      </c>
      <c r="J1238" s="114" t="str">
        <f aca="false">IF($E1238="","",IF($B1238="Tema",INDEX(Temas!$C$6:$C$305,$C1238)&amp;"",INDEX(Avulsos!$E$6:$E$205,$C1238)&amp;""))</f>
        <v/>
      </c>
      <c r="K1238" s="114" t="str">
        <f aca="false">IF($E1238="","",IF(IF($B1238="Tema",INDEX(Temas!$E$6:$P$305,$C1238,2*$D1238),INDEX(Avulsos!$F$6:$F$205,$C1238))&amp;""="","","✓"))</f>
        <v/>
      </c>
      <c r="L1238" s="114" t="str">
        <f aca="true">IF($E1238="","",IF($K1238="✓","Concluído",IF($E1238&lt;TODAY(),"Atrasado",IF($E1238=TODAY(),"Hoje","Pendente"))))</f>
        <v/>
      </c>
      <c r="M1238" s="114" t="str">
        <f aca="false">IF($E1238="","",IF($K1238="✓","✓ ","")&amp;IF(Config!$E$22="Sim",$H1238&amp;" · ","")&amp;$F1238)</f>
        <v/>
      </c>
      <c r="N1238" s="114" t="str">
        <f aca="false">IF($E1238="","",IFERROR(INDEX(Config!$D$15:$D$19,MATCH($I1238,Config!$C$15:$C$19,0)),"OUT")&amp;IF($K1238="✓","x",""))</f>
        <v/>
      </c>
      <c r="O1238" s="114" t="str">
        <f aca="false">IF($E1238="","",COUNTIF($E$5:$E1238,$E1238))</f>
        <v/>
      </c>
      <c r="P1238" s="114" t="str">
        <f aca="false">IF($E1238="","",$E1238*100+$O1238)</f>
        <v/>
      </c>
      <c r="Q1238" s="114" t="str">
        <f aca="false">IF($L1238="Atrasado",$E1238*10000+$A1238,"")</f>
        <v/>
      </c>
    </row>
    <row r="1239" customFormat="false" ht="15" hidden="false" customHeight="false" outlineLevel="0" collapsed="false">
      <c r="A1239" s="114" t="n">
        <f aca="false">ROW()-4</f>
        <v>1235</v>
      </c>
      <c r="B1239" s="114" t="str">
        <f aca="false">IF(A1239&lt;=Config!$E$27*Config!$E$28,"Tema","Avulso")</f>
        <v>Tema</v>
      </c>
      <c r="C1239" s="114" t="n">
        <f aca="false">IF(B1239="Tema",INT((A1239-1)/Config!$E$28)+1,A1239-Config!$E$27*Config!$E$28)</f>
        <v>206</v>
      </c>
      <c r="D1239" s="114" t="n">
        <f aca="false">IF(B1239="Tema",MOD(A1239-1,Config!$E$28)+1,"")</f>
        <v>5</v>
      </c>
      <c r="E1239" s="115" t="str">
        <f aca="false">IF($B1239="Tema",IF(ISNUMBER(INDEX(Temas!$E$6:$P$305,$C1239,2*$D1239-1)),INDEX(Temas!$E$6:$P$305,$C1239,2*$D1239-1),""),IF(ISNUMBER(INDEX(Avulsos!$B$6:$B$205,$C1239)),INDEX(Avulsos!$B$6:$B$205,$C1239),""))</f>
        <v/>
      </c>
      <c r="F1239" s="114" t="str">
        <f aca="false">IF($E1239="","",IF($B1239="Tema",INDEX(Temas!$B$6:$B$305,$C1239)&amp;"",INDEX(Avulsos!$C$6:$C$205,$C1239)&amp;""))</f>
        <v/>
      </c>
      <c r="G1239" s="114" t="str">
        <f aca="false">IF($E1239="","",IF($B1239="Tema",INDEX(Config!$C$6:$C$11,$D1239),"Evento avulso"))</f>
        <v/>
      </c>
      <c r="H1239" s="114" t="str">
        <f aca="false">IF($E1239="","",IF($B1239="Tema",INDEX(Config!$D$6:$D$11,$D1239),IFERROR(INDEX(Config!$E$15:$E$19,MATCH($I1239,Config!$C$15:$C$19,0)),"•")))</f>
        <v/>
      </c>
      <c r="I1239" s="114" t="str">
        <f aca="false">IF($E1239="","",IF($B1239="Tema",INDEX(Config!$E$6:$E$11,$D1239),IF(INDEX(Avulsos!$D$6:$D$205,$C1239)&amp;""="","Outro",INDEX(Avulsos!$D$6:$D$205,$C1239))))</f>
        <v/>
      </c>
      <c r="J1239" s="114" t="str">
        <f aca="false">IF($E1239="","",IF($B1239="Tema",INDEX(Temas!$C$6:$C$305,$C1239)&amp;"",INDEX(Avulsos!$E$6:$E$205,$C1239)&amp;""))</f>
        <v/>
      </c>
      <c r="K1239" s="114" t="str">
        <f aca="false">IF($E1239="","",IF(IF($B1239="Tema",INDEX(Temas!$E$6:$P$305,$C1239,2*$D1239),INDEX(Avulsos!$F$6:$F$205,$C1239))&amp;""="","","✓"))</f>
        <v/>
      </c>
      <c r="L1239" s="114" t="str">
        <f aca="true">IF($E1239="","",IF($K1239="✓","Concluído",IF($E1239&lt;TODAY(),"Atrasado",IF($E1239=TODAY(),"Hoje","Pendente"))))</f>
        <v/>
      </c>
      <c r="M1239" s="114" t="str">
        <f aca="false">IF($E1239="","",IF($K1239="✓","✓ ","")&amp;IF(Config!$E$22="Sim",$H1239&amp;" · ","")&amp;$F1239)</f>
        <v/>
      </c>
      <c r="N1239" s="114" t="str">
        <f aca="false">IF($E1239="","",IFERROR(INDEX(Config!$D$15:$D$19,MATCH($I1239,Config!$C$15:$C$19,0)),"OUT")&amp;IF($K1239="✓","x",""))</f>
        <v/>
      </c>
      <c r="O1239" s="114" t="str">
        <f aca="false">IF($E1239="","",COUNTIF($E$5:$E1239,$E1239))</f>
        <v/>
      </c>
      <c r="P1239" s="114" t="str">
        <f aca="false">IF($E1239="","",$E1239*100+$O1239)</f>
        <v/>
      </c>
      <c r="Q1239" s="114" t="str">
        <f aca="false">IF($L1239="Atrasado",$E1239*10000+$A1239,"")</f>
        <v/>
      </c>
    </row>
    <row r="1240" customFormat="false" ht="15" hidden="false" customHeight="false" outlineLevel="0" collapsed="false">
      <c r="A1240" s="114" t="n">
        <f aca="false">ROW()-4</f>
        <v>1236</v>
      </c>
      <c r="B1240" s="114" t="str">
        <f aca="false">IF(A1240&lt;=Config!$E$27*Config!$E$28,"Tema","Avulso")</f>
        <v>Tema</v>
      </c>
      <c r="C1240" s="114" t="n">
        <f aca="false">IF(B1240="Tema",INT((A1240-1)/Config!$E$28)+1,A1240-Config!$E$27*Config!$E$28)</f>
        <v>206</v>
      </c>
      <c r="D1240" s="114" t="n">
        <f aca="false">IF(B1240="Tema",MOD(A1240-1,Config!$E$28)+1,"")</f>
        <v>6</v>
      </c>
      <c r="E1240" s="115" t="str">
        <f aca="false">IF($B1240="Tema",IF(ISNUMBER(INDEX(Temas!$E$6:$P$305,$C1240,2*$D1240-1)),INDEX(Temas!$E$6:$P$305,$C1240,2*$D1240-1),""),IF(ISNUMBER(INDEX(Avulsos!$B$6:$B$205,$C1240)),INDEX(Avulsos!$B$6:$B$205,$C1240),""))</f>
        <v/>
      </c>
      <c r="F1240" s="114" t="str">
        <f aca="false">IF($E1240="","",IF($B1240="Tema",INDEX(Temas!$B$6:$B$305,$C1240)&amp;"",INDEX(Avulsos!$C$6:$C$205,$C1240)&amp;""))</f>
        <v/>
      </c>
      <c r="G1240" s="114" t="str">
        <f aca="false">IF($E1240="","",IF($B1240="Tema",INDEX(Config!$C$6:$C$11,$D1240),"Evento avulso"))</f>
        <v/>
      </c>
      <c r="H1240" s="114" t="str">
        <f aca="false">IF($E1240="","",IF($B1240="Tema",INDEX(Config!$D$6:$D$11,$D1240),IFERROR(INDEX(Config!$E$15:$E$19,MATCH($I1240,Config!$C$15:$C$19,0)),"•")))</f>
        <v/>
      </c>
      <c r="I1240" s="114" t="str">
        <f aca="false">IF($E1240="","",IF($B1240="Tema",INDEX(Config!$E$6:$E$11,$D1240),IF(INDEX(Avulsos!$D$6:$D$205,$C1240)&amp;""="","Outro",INDEX(Avulsos!$D$6:$D$205,$C1240))))</f>
        <v/>
      </c>
      <c r="J1240" s="114" t="str">
        <f aca="false">IF($E1240="","",IF($B1240="Tema",INDEX(Temas!$C$6:$C$305,$C1240)&amp;"",INDEX(Avulsos!$E$6:$E$205,$C1240)&amp;""))</f>
        <v/>
      </c>
      <c r="K1240" s="114" t="str">
        <f aca="false">IF($E1240="","",IF(IF($B1240="Tema",INDEX(Temas!$E$6:$P$305,$C1240,2*$D1240),INDEX(Avulsos!$F$6:$F$205,$C1240))&amp;""="","","✓"))</f>
        <v/>
      </c>
      <c r="L1240" s="114" t="str">
        <f aca="true">IF($E1240="","",IF($K1240="✓","Concluído",IF($E1240&lt;TODAY(),"Atrasado",IF($E1240=TODAY(),"Hoje","Pendente"))))</f>
        <v/>
      </c>
      <c r="M1240" s="114" t="str">
        <f aca="false">IF($E1240="","",IF($K1240="✓","✓ ","")&amp;IF(Config!$E$22="Sim",$H1240&amp;" · ","")&amp;$F1240)</f>
        <v/>
      </c>
      <c r="N1240" s="114" t="str">
        <f aca="false">IF($E1240="","",IFERROR(INDEX(Config!$D$15:$D$19,MATCH($I1240,Config!$C$15:$C$19,0)),"OUT")&amp;IF($K1240="✓","x",""))</f>
        <v/>
      </c>
      <c r="O1240" s="114" t="str">
        <f aca="false">IF($E1240="","",COUNTIF($E$5:$E1240,$E1240))</f>
        <v/>
      </c>
      <c r="P1240" s="114" t="str">
        <f aca="false">IF($E1240="","",$E1240*100+$O1240)</f>
        <v/>
      </c>
      <c r="Q1240" s="114" t="str">
        <f aca="false">IF($L1240="Atrasado",$E1240*10000+$A1240,"")</f>
        <v/>
      </c>
    </row>
    <row r="1241" customFormat="false" ht="15" hidden="false" customHeight="false" outlineLevel="0" collapsed="false">
      <c r="A1241" s="114" t="n">
        <f aca="false">ROW()-4</f>
        <v>1237</v>
      </c>
      <c r="B1241" s="114" t="str">
        <f aca="false">IF(A1241&lt;=Config!$E$27*Config!$E$28,"Tema","Avulso")</f>
        <v>Tema</v>
      </c>
      <c r="C1241" s="114" t="n">
        <f aca="false">IF(B1241="Tema",INT((A1241-1)/Config!$E$28)+1,A1241-Config!$E$27*Config!$E$28)</f>
        <v>207</v>
      </c>
      <c r="D1241" s="114" t="n">
        <f aca="false">IF(B1241="Tema",MOD(A1241-1,Config!$E$28)+1,"")</f>
        <v>1</v>
      </c>
      <c r="E1241" s="115" t="str">
        <f aca="false">IF($B1241="Tema",IF(ISNUMBER(INDEX(Temas!$E$6:$P$305,$C1241,2*$D1241-1)),INDEX(Temas!$E$6:$P$305,$C1241,2*$D1241-1),""),IF(ISNUMBER(INDEX(Avulsos!$B$6:$B$205,$C1241)),INDEX(Avulsos!$B$6:$B$205,$C1241),""))</f>
        <v/>
      </c>
      <c r="F1241" s="114" t="str">
        <f aca="false">IF($E1241="","",IF($B1241="Tema",INDEX(Temas!$B$6:$B$305,$C1241)&amp;"",INDEX(Avulsos!$C$6:$C$205,$C1241)&amp;""))</f>
        <v/>
      </c>
      <c r="G1241" s="114" t="str">
        <f aca="false">IF($E1241="","",IF($B1241="Tema",INDEX(Config!$C$6:$C$11,$D1241),"Evento avulso"))</f>
        <v/>
      </c>
      <c r="H1241" s="114" t="str">
        <f aca="false">IF($E1241="","",IF($B1241="Tema",INDEX(Config!$D$6:$D$11,$D1241),IFERROR(INDEX(Config!$E$15:$E$19,MATCH($I1241,Config!$C$15:$C$19,0)),"•")))</f>
        <v/>
      </c>
      <c r="I1241" s="114" t="str">
        <f aca="false">IF($E1241="","",IF($B1241="Tema",INDEX(Config!$E$6:$E$11,$D1241),IF(INDEX(Avulsos!$D$6:$D$205,$C1241)&amp;""="","Outro",INDEX(Avulsos!$D$6:$D$205,$C1241))))</f>
        <v/>
      </c>
      <c r="J1241" s="114" t="str">
        <f aca="false">IF($E1241="","",IF($B1241="Tema",INDEX(Temas!$C$6:$C$305,$C1241)&amp;"",INDEX(Avulsos!$E$6:$E$205,$C1241)&amp;""))</f>
        <v/>
      </c>
      <c r="K1241" s="114" t="str">
        <f aca="false">IF($E1241="","",IF(IF($B1241="Tema",INDEX(Temas!$E$6:$P$305,$C1241,2*$D1241),INDEX(Avulsos!$F$6:$F$205,$C1241))&amp;""="","","✓"))</f>
        <v/>
      </c>
      <c r="L1241" s="114" t="str">
        <f aca="true">IF($E1241="","",IF($K1241="✓","Concluído",IF($E1241&lt;TODAY(),"Atrasado",IF($E1241=TODAY(),"Hoje","Pendente"))))</f>
        <v/>
      </c>
      <c r="M1241" s="114" t="str">
        <f aca="false">IF($E1241="","",IF($K1241="✓","✓ ","")&amp;IF(Config!$E$22="Sim",$H1241&amp;" · ","")&amp;$F1241)</f>
        <v/>
      </c>
      <c r="N1241" s="114" t="str">
        <f aca="false">IF($E1241="","",IFERROR(INDEX(Config!$D$15:$D$19,MATCH($I1241,Config!$C$15:$C$19,0)),"OUT")&amp;IF($K1241="✓","x",""))</f>
        <v/>
      </c>
      <c r="O1241" s="114" t="str">
        <f aca="false">IF($E1241="","",COUNTIF($E$5:$E1241,$E1241))</f>
        <v/>
      </c>
      <c r="P1241" s="114" t="str">
        <f aca="false">IF($E1241="","",$E1241*100+$O1241)</f>
        <v/>
      </c>
      <c r="Q1241" s="114" t="str">
        <f aca="false">IF($L1241="Atrasado",$E1241*10000+$A1241,"")</f>
        <v/>
      </c>
    </row>
    <row r="1242" customFormat="false" ht="15" hidden="false" customHeight="false" outlineLevel="0" collapsed="false">
      <c r="A1242" s="114" t="n">
        <f aca="false">ROW()-4</f>
        <v>1238</v>
      </c>
      <c r="B1242" s="114" t="str">
        <f aca="false">IF(A1242&lt;=Config!$E$27*Config!$E$28,"Tema","Avulso")</f>
        <v>Tema</v>
      </c>
      <c r="C1242" s="114" t="n">
        <f aca="false">IF(B1242="Tema",INT((A1242-1)/Config!$E$28)+1,A1242-Config!$E$27*Config!$E$28)</f>
        <v>207</v>
      </c>
      <c r="D1242" s="114" t="n">
        <f aca="false">IF(B1242="Tema",MOD(A1242-1,Config!$E$28)+1,"")</f>
        <v>2</v>
      </c>
      <c r="E1242" s="115" t="str">
        <f aca="false">IF($B1242="Tema",IF(ISNUMBER(INDEX(Temas!$E$6:$P$305,$C1242,2*$D1242-1)),INDEX(Temas!$E$6:$P$305,$C1242,2*$D1242-1),""),IF(ISNUMBER(INDEX(Avulsos!$B$6:$B$205,$C1242)),INDEX(Avulsos!$B$6:$B$205,$C1242),""))</f>
        <v/>
      </c>
      <c r="F1242" s="114" t="str">
        <f aca="false">IF($E1242="","",IF($B1242="Tema",INDEX(Temas!$B$6:$B$305,$C1242)&amp;"",INDEX(Avulsos!$C$6:$C$205,$C1242)&amp;""))</f>
        <v/>
      </c>
      <c r="G1242" s="114" t="str">
        <f aca="false">IF($E1242="","",IF($B1242="Tema",INDEX(Config!$C$6:$C$11,$D1242),"Evento avulso"))</f>
        <v/>
      </c>
      <c r="H1242" s="114" t="str">
        <f aca="false">IF($E1242="","",IF($B1242="Tema",INDEX(Config!$D$6:$D$11,$D1242),IFERROR(INDEX(Config!$E$15:$E$19,MATCH($I1242,Config!$C$15:$C$19,0)),"•")))</f>
        <v/>
      </c>
      <c r="I1242" s="114" t="str">
        <f aca="false">IF($E1242="","",IF($B1242="Tema",INDEX(Config!$E$6:$E$11,$D1242),IF(INDEX(Avulsos!$D$6:$D$205,$C1242)&amp;""="","Outro",INDEX(Avulsos!$D$6:$D$205,$C1242))))</f>
        <v/>
      </c>
      <c r="J1242" s="114" t="str">
        <f aca="false">IF($E1242="","",IF($B1242="Tema",INDEX(Temas!$C$6:$C$305,$C1242)&amp;"",INDEX(Avulsos!$E$6:$E$205,$C1242)&amp;""))</f>
        <v/>
      </c>
      <c r="K1242" s="114" t="str">
        <f aca="false">IF($E1242="","",IF(IF($B1242="Tema",INDEX(Temas!$E$6:$P$305,$C1242,2*$D1242),INDEX(Avulsos!$F$6:$F$205,$C1242))&amp;""="","","✓"))</f>
        <v/>
      </c>
      <c r="L1242" s="114" t="str">
        <f aca="true">IF($E1242="","",IF($K1242="✓","Concluído",IF($E1242&lt;TODAY(),"Atrasado",IF($E1242=TODAY(),"Hoje","Pendente"))))</f>
        <v/>
      </c>
      <c r="M1242" s="114" t="str">
        <f aca="false">IF($E1242="","",IF($K1242="✓","✓ ","")&amp;IF(Config!$E$22="Sim",$H1242&amp;" · ","")&amp;$F1242)</f>
        <v/>
      </c>
      <c r="N1242" s="114" t="str">
        <f aca="false">IF($E1242="","",IFERROR(INDEX(Config!$D$15:$D$19,MATCH($I1242,Config!$C$15:$C$19,0)),"OUT")&amp;IF($K1242="✓","x",""))</f>
        <v/>
      </c>
      <c r="O1242" s="114" t="str">
        <f aca="false">IF($E1242="","",COUNTIF($E$5:$E1242,$E1242))</f>
        <v/>
      </c>
      <c r="P1242" s="114" t="str">
        <f aca="false">IF($E1242="","",$E1242*100+$O1242)</f>
        <v/>
      </c>
      <c r="Q1242" s="114" t="str">
        <f aca="false">IF($L1242="Atrasado",$E1242*10000+$A1242,"")</f>
        <v/>
      </c>
    </row>
    <row r="1243" customFormat="false" ht="15" hidden="false" customHeight="false" outlineLevel="0" collapsed="false">
      <c r="A1243" s="114" t="n">
        <f aca="false">ROW()-4</f>
        <v>1239</v>
      </c>
      <c r="B1243" s="114" t="str">
        <f aca="false">IF(A1243&lt;=Config!$E$27*Config!$E$28,"Tema","Avulso")</f>
        <v>Tema</v>
      </c>
      <c r="C1243" s="114" t="n">
        <f aca="false">IF(B1243="Tema",INT((A1243-1)/Config!$E$28)+1,A1243-Config!$E$27*Config!$E$28)</f>
        <v>207</v>
      </c>
      <c r="D1243" s="114" t="n">
        <f aca="false">IF(B1243="Tema",MOD(A1243-1,Config!$E$28)+1,"")</f>
        <v>3</v>
      </c>
      <c r="E1243" s="115" t="str">
        <f aca="false">IF($B1243="Tema",IF(ISNUMBER(INDEX(Temas!$E$6:$P$305,$C1243,2*$D1243-1)),INDEX(Temas!$E$6:$P$305,$C1243,2*$D1243-1),""),IF(ISNUMBER(INDEX(Avulsos!$B$6:$B$205,$C1243)),INDEX(Avulsos!$B$6:$B$205,$C1243),""))</f>
        <v/>
      </c>
      <c r="F1243" s="114" t="str">
        <f aca="false">IF($E1243="","",IF($B1243="Tema",INDEX(Temas!$B$6:$B$305,$C1243)&amp;"",INDEX(Avulsos!$C$6:$C$205,$C1243)&amp;""))</f>
        <v/>
      </c>
      <c r="G1243" s="114" t="str">
        <f aca="false">IF($E1243="","",IF($B1243="Tema",INDEX(Config!$C$6:$C$11,$D1243),"Evento avulso"))</f>
        <v/>
      </c>
      <c r="H1243" s="114" t="str">
        <f aca="false">IF($E1243="","",IF($B1243="Tema",INDEX(Config!$D$6:$D$11,$D1243),IFERROR(INDEX(Config!$E$15:$E$19,MATCH($I1243,Config!$C$15:$C$19,0)),"•")))</f>
        <v/>
      </c>
      <c r="I1243" s="114" t="str">
        <f aca="false">IF($E1243="","",IF($B1243="Tema",INDEX(Config!$E$6:$E$11,$D1243),IF(INDEX(Avulsos!$D$6:$D$205,$C1243)&amp;""="","Outro",INDEX(Avulsos!$D$6:$D$205,$C1243))))</f>
        <v/>
      </c>
      <c r="J1243" s="114" t="str">
        <f aca="false">IF($E1243="","",IF($B1243="Tema",INDEX(Temas!$C$6:$C$305,$C1243)&amp;"",INDEX(Avulsos!$E$6:$E$205,$C1243)&amp;""))</f>
        <v/>
      </c>
      <c r="K1243" s="114" t="str">
        <f aca="false">IF($E1243="","",IF(IF($B1243="Tema",INDEX(Temas!$E$6:$P$305,$C1243,2*$D1243),INDEX(Avulsos!$F$6:$F$205,$C1243))&amp;""="","","✓"))</f>
        <v/>
      </c>
      <c r="L1243" s="114" t="str">
        <f aca="true">IF($E1243="","",IF($K1243="✓","Concluído",IF($E1243&lt;TODAY(),"Atrasado",IF($E1243=TODAY(),"Hoje","Pendente"))))</f>
        <v/>
      </c>
      <c r="M1243" s="114" t="str">
        <f aca="false">IF($E1243="","",IF($K1243="✓","✓ ","")&amp;IF(Config!$E$22="Sim",$H1243&amp;" · ","")&amp;$F1243)</f>
        <v/>
      </c>
      <c r="N1243" s="114" t="str">
        <f aca="false">IF($E1243="","",IFERROR(INDEX(Config!$D$15:$D$19,MATCH($I1243,Config!$C$15:$C$19,0)),"OUT")&amp;IF($K1243="✓","x",""))</f>
        <v/>
      </c>
      <c r="O1243" s="114" t="str">
        <f aca="false">IF($E1243="","",COUNTIF($E$5:$E1243,$E1243))</f>
        <v/>
      </c>
      <c r="P1243" s="114" t="str">
        <f aca="false">IF($E1243="","",$E1243*100+$O1243)</f>
        <v/>
      </c>
      <c r="Q1243" s="114" t="str">
        <f aca="false">IF($L1243="Atrasado",$E1243*10000+$A1243,"")</f>
        <v/>
      </c>
    </row>
    <row r="1244" customFormat="false" ht="15" hidden="false" customHeight="false" outlineLevel="0" collapsed="false">
      <c r="A1244" s="114" t="n">
        <f aca="false">ROW()-4</f>
        <v>1240</v>
      </c>
      <c r="B1244" s="114" t="str">
        <f aca="false">IF(A1244&lt;=Config!$E$27*Config!$E$28,"Tema","Avulso")</f>
        <v>Tema</v>
      </c>
      <c r="C1244" s="114" t="n">
        <f aca="false">IF(B1244="Tema",INT((A1244-1)/Config!$E$28)+1,A1244-Config!$E$27*Config!$E$28)</f>
        <v>207</v>
      </c>
      <c r="D1244" s="114" t="n">
        <f aca="false">IF(B1244="Tema",MOD(A1244-1,Config!$E$28)+1,"")</f>
        <v>4</v>
      </c>
      <c r="E1244" s="115" t="str">
        <f aca="false">IF($B1244="Tema",IF(ISNUMBER(INDEX(Temas!$E$6:$P$305,$C1244,2*$D1244-1)),INDEX(Temas!$E$6:$P$305,$C1244,2*$D1244-1),""),IF(ISNUMBER(INDEX(Avulsos!$B$6:$B$205,$C1244)),INDEX(Avulsos!$B$6:$B$205,$C1244),""))</f>
        <v/>
      </c>
      <c r="F1244" s="114" t="str">
        <f aca="false">IF($E1244="","",IF($B1244="Tema",INDEX(Temas!$B$6:$B$305,$C1244)&amp;"",INDEX(Avulsos!$C$6:$C$205,$C1244)&amp;""))</f>
        <v/>
      </c>
      <c r="G1244" s="114" t="str">
        <f aca="false">IF($E1244="","",IF($B1244="Tema",INDEX(Config!$C$6:$C$11,$D1244),"Evento avulso"))</f>
        <v/>
      </c>
      <c r="H1244" s="114" t="str">
        <f aca="false">IF($E1244="","",IF($B1244="Tema",INDEX(Config!$D$6:$D$11,$D1244),IFERROR(INDEX(Config!$E$15:$E$19,MATCH($I1244,Config!$C$15:$C$19,0)),"•")))</f>
        <v/>
      </c>
      <c r="I1244" s="114" t="str">
        <f aca="false">IF($E1244="","",IF($B1244="Tema",INDEX(Config!$E$6:$E$11,$D1244),IF(INDEX(Avulsos!$D$6:$D$205,$C1244)&amp;""="","Outro",INDEX(Avulsos!$D$6:$D$205,$C1244))))</f>
        <v/>
      </c>
      <c r="J1244" s="114" t="str">
        <f aca="false">IF($E1244="","",IF($B1244="Tema",INDEX(Temas!$C$6:$C$305,$C1244)&amp;"",INDEX(Avulsos!$E$6:$E$205,$C1244)&amp;""))</f>
        <v/>
      </c>
      <c r="K1244" s="114" t="str">
        <f aca="false">IF($E1244="","",IF(IF($B1244="Tema",INDEX(Temas!$E$6:$P$305,$C1244,2*$D1244),INDEX(Avulsos!$F$6:$F$205,$C1244))&amp;""="","","✓"))</f>
        <v/>
      </c>
      <c r="L1244" s="114" t="str">
        <f aca="true">IF($E1244="","",IF($K1244="✓","Concluído",IF($E1244&lt;TODAY(),"Atrasado",IF($E1244=TODAY(),"Hoje","Pendente"))))</f>
        <v/>
      </c>
      <c r="M1244" s="114" t="str">
        <f aca="false">IF($E1244="","",IF($K1244="✓","✓ ","")&amp;IF(Config!$E$22="Sim",$H1244&amp;" · ","")&amp;$F1244)</f>
        <v/>
      </c>
      <c r="N1244" s="114" t="str">
        <f aca="false">IF($E1244="","",IFERROR(INDEX(Config!$D$15:$D$19,MATCH($I1244,Config!$C$15:$C$19,0)),"OUT")&amp;IF($K1244="✓","x",""))</f>
        <v/>
      </c>
      <c r="O1244" s="114" t="str">
        <f aca="false">IF($E1244="","",COUNTIF($E$5:$E1244,$E1244))</f>
        <v/>
      </c>
      <c r="P1244" s="114" t="str">
        <f aca="false">IF($E1244="","",$E1244*100+$O1244)</f>
        <v/>
      </c>
      <c r="Q1244" s="114" t="str">
        <f aca="false">IF($L1244="Atrasado",$E1244*10000+$A1244,"")</f>
        <v/>
      </c>
    </row>
    <row r="1245" customFormat="false" ht="15" hidden="false" customHeight="false" outlineLevel="0" collapsed="false">
      <c r="A1245" s="114" t="n">
        <f aca="false">ROW()-4</f>
        <v>1241</v>
      </c>
      <c r="B1245" s="114" t="str">
        <f aca="false">IF(A1245&lt;=Config!$E$27*Config!$E$28,"Tema","Avulso")</f>
        <v>Tema</v>
      </c>
      <c r="C1245" s="114" t="n">
        <f aca="false">IF(B1245="Tema",INT((A1245-1)/Config!$E$28)+1,A1245-Config!$E$27*Config!$E$28)</f>
        <v>207</v>
      </c>
      <c r="D1245" s="114" t="n">
        <f aca="false">IF(B1245="Tema",MOD(A1245-1,Config!$E$28)+1,"")</f>
        <v>5</v>
      </c>
      <c r="E1245" s="115" t="str">
        <f aca="false">IF($B1245="Tema",IF(ISNUMBER(INDEX(Temas!$E$6:$P$305,$C1245,2*$D1245-1)),INDEX(Temas!$E$6:$P$305,$C1245,2*$D1245-1),""),IF(ISNUMBER(INDEX(Avulsos!$B$6:$B$205,$C1245)),INDEX(Avulsos!$B$6:$B$205,$C1245),""))</f>
        <v/>
      </c>
      <c r="F1245" s="114" t="str">
        <f aca="false">IF($E1245="","",IF($B1245="Tema",INDEX(Temas!$B$6:$B$305,$C1245)&amp;"",INDEX(Avulsos!$C$6:$C$205,$C1245)&amp;""))</f>
        <v/>
      </c>
      <c r="G1245" s="114" t="str">
        <f aca="false">IF($E1245="","",IF($B1245="Tema",INDEX(Config!$C$6:$C$11,$D1245),"Evento avulso"))</f>
        <v/>
      </c>
      <c r="H1245" s="114" t="str">
        <f aca="false">IF($E1245="","",IF($B1245="Tema",INDEX(Config!$D$6:$D$11,$D1245),IFERROR(INDEX(Config!$E$15:$E$19,MATCH($I1245,Config!$C$15:$C$19,0)),"•")))</f>
        <v/>
      </c>
      <c r="I1245" s="114" t="str">
        <f aca="false">IF($E1245="","",IF($B1245="Tema",INDEX(Config!$E$6:$E$11,$D1245),IF(INDEX(Avulsos!$D$6:$D$205,$C1245)&amp;""="","Outro",INDEX(Avulsos!$D$6:$D$205,$C1245))))</f>
        <v/>
      </c>
      <c r="J1245" s="114" t="str">
        <f aca="false">IF($E1245="","",IF($B1245="Tema",INDEX(Temas!$C$6:$C$305,$C1245)&amp;"",INDEX(Avulsos!$E$6:$E$205,$C1245)&amp;""))</f>
        <v/>
      </c>
      <c r="K1245" s="114" t="str">
        <f aca="false">IF($E1245="","",IF(IF($B1245="Tema",INDEX(Temas!$E$6:$P$305,$C1245,2*$D1245),INDEX(Avulsos!$F$6:$F$205,$C1245))&amp;""="","","✓"))</f>
        <v/>
      </c>
      <c r="L1245" s="114" t="str">
        <f aca="true">IF($E1245="","",IF($K1245="✓","Concluído",IF($E1245&lt;TODAY(),"Atrasado",IF($E1245=TODAY(),"Hoje","Pendente"))))</f>
        <v/>
      </c>
      <c r="M1245" s="114" t="str">
        <f aca="false">IF($E1245="","",IF($K1245="✓","✓ ","")&amp;IF(Config!$E$22="Sim",$H1245&amp;" · ","")&amp;$F1245)</f>
        <v/>
      </c>
      <c r="N1245" s="114" t="str">
        <f aca="false">IF($E1245="","",IFERROR(INDEX(Config!$D$15:$D$19,MATCH($I1245,Config!$C$15:$C$19,0)),"OUT")&amp;IF($K1245="✓","x",""))</f>
        <v/>
      </c>
      <c r="O1245" s="114" t="str">
        <f aca="false">IF($E1245="","",COUNTIF($E$5:$E1245,$E1245))</f>
        <v/>
      </c>
      <c r="P1245" s="114" t="str">
        <f aca="false">IF($E1245="","",$E1245*100+$O1245)</f>
        <v/>
      </c>
      <c r="Q1245" s="114" t="str">
        <f aca="false">IF($L1245="Atrasado",$E1245*10000+$A1245,"")</f>
        <v/>
      </c>
    </row>
    <row r="1246" customFormat="false" ht="15" hidden="false" customHeight="false" outlineLevel="0" collapsed="false">
      <c r="A1246" s="114" t="n">
        <f aca="false">ROW()-4</f>
        <v>1242</v>
      </c>
      <c r="B1246" s="114" t="str">
        <f aca="false">IF(A1246&lt;=Config!$E$27*Config!$E$28,"Tema","Avulso")</f>
        <v>Tema</v>
      </c>
      <c r="C1246" s="114" t="n">
        <f aca="false">IF(B1246="Tema",INT((A1246-1)/Config!$E$28)+1,A1246-Config!$E$27*Config!$E$28)</f>
        <v>207</v>
      </c>
      <c r="D1246" s="114" t="n">
        <f aca="false">IF(B1246="Tema",MOD(A1246-1,Config!$E$28)+1,"")</f>
        <v>6</v>
      </c>
      <c r="E1246" s="115" t="str">
        <f aca="false">IF($B1246="Tema",IF(ISNUMBER(INDEX(Temas!$E$6:$P$305,$C1246,2*$D1246-1)),INDEX(Temas!$E$6:$P$305,$C1246,2*$D1246-1),""),IF(ISNUMBER(INDEX(Avulsos!$B$6:$B$205,$C1246)),INDEX(Avulsos!$B$6:$B$205,$C1246),""))</f>
        <v/>
      </c>
      <c r="F1246" s="114" t="str">
        <f aca="false">IF($E1246="","",IF($B1246="Tema",INDEX(Temas!$B$6:$B$305,$C1246)&amp;"",INDEX(Avulsos!$C$6:$C$205,$C1246)&amp;""))</f>
        <v/>
      </c>
      <c r="G1246" s="114" t="str">
        <f aca="false">IF($E1246="","",IF($B1246="Tema",INDEX(Config!$C$6:$C$11,$D1246),"Evento avulso"))</f>
        <v/>
      </c>
      <c r="H1246" s="114" t="str">
        <f aca="false">IF($E1246="","",IF($B1246="Tema",INDEX(Config!$D$6:$D$11,$D1246),IFERROR(INDEX(Config!$E$15:$E$19,MATCH($I1246,Config!$C$15:$C$19,0)),"•")))</f>
        <v/>
      </c>
      <c r="I1246" s="114" t="str">
        <f aca="false">IF($E1246="","",IF($B1246="Tema",INDEX(Config!$E$6:$E$11,$D1246),IF(INDEX(Avulsos!$D$6:$D$205,$C1246)&amp;""="","Outro",INDEX(Avulsos!$D$6:$D$205,$C1246))))</f>
        <v/>
      </c>
      <c r="J1246" s="114" t="str">
        <f aca="false">IF($E1246="","",IF($B1246="Tema",INDEX(Temas!$C$6:$C$305,$C1246)&amp;"",INDEX(Avulsos!$E$6:$E$205,$C1246)&amp;""))</f>
        <v/>
      </c>
      <c r="K1246" s="114" t="str">
        <f aca="false">IF($E1246="","",IF(IF($B1246="Tema",INDEX(Temas!$E$6:$P$305,$C1246,2*$D1246),INDEX(Avulsos!$F$6:$F$205,$C1246))&amp;""="","","✓"))</f>
        <v/>
      </c>
      <c r="L1246" s="114" t="str">
        <f aca="true">IF($E1246="","",IF($K1246="✓","Concluído",IF($E1246&lt;TODAY(),"Atrasado",IF($E1246=TODAY(),"Hoje","Pendente"))))</f>
        <v/>
      </c>
      <c r="M1246" s="114" t="str">
        <f aca="false">IF($E1246="","",IF($K1246="✓","✓ ","")&amp;IF(Config!$E$22="Sim",$H1246&amp;" · ","")&amp;$F1246)</f>
        <v/>
      </c>
      <c r="N1246" s="114" t="str">
        <f aca="false">IF($E1246="","",IFERROR(INDEX(Config!$D$15:$D$19,MATCH($I1246,Config!$C$15:$C$19,0)),"OUT")&amp;IF($K1246="✓","x",""))</f>
        <v/>
      </c>
      <c r="O1246" s="114" t="str">
        <f aca="false">IF($E1246="","",COUNTIF($E$5:$E1246,$E1246))</f>
        <v/>
      </c>
      <c r="P1246" s="114" t="str">
        <f aca="false">IF($E1246="","",$E1246*100+$O1246)</f>
        <v/>
      </c>
      <c r="Q1246" s="114" t="str">
        <f aca="false">IF($L1246="Atrasado",$E1246*10000+$A1246,"")</f>
        <v/>
      </c>
    </row>
    <row r="1247" customFormat="false" ht="15" hidden="false" customHeight="false" outlineLevel="0" collapsed="false">
      <c r="A1247" s="114" t="n">
        <f aca="false">ROW()-4</f>
        <v>1243</v>
      </c>
      <c r="B1247" s="114" t="str">
        <f aca="false">IF(A1247&lt;=Config!$E$27*Config!$E$28,"Tema","Avulso")</f>
        <v>Tema</v>
      </c>
      <c r="C1247" s="114" t="n">
        <f aca="false">IF(B1247="Tema",INT((A1247-1)/Config!$E$28)+1,A1247-Config!$E$27*Config!$E$28)</f>
        <v>208</v>
      </c>
      <c r="D1247" s="114" t="n">
        <f aca="false">IF(B1247="Tema",MOD(A1247-1,Config!$E$28)+1,"")</f>
        <v>1</v>
      </c>
      <c r="E1247" s="115" t="str">
        <f aca="false">IF($B1247="Tema",IF(ISNUMBER(INDEX(Temas!$E$6:$P$305,$C1247,2*$D1247-1)),INDEX(Temas!$E$6:$P$305,$C1247,2*$D1247-1),""),IF(ISNUMBER(INDEX(Avulsos!$B$6:$B$205,$C1247)),INDEX(Avulsos!$B$6:$B$205,$C1247),""))</f>
        <v/>
      </c>
      <c r="F1247" s="114" t="str">
        <f aca="false">IF($E1247="","",IF($B1247="Tema",INDEX(Temas!$B$6:$B$305,$C1247)&amp;"",INDEX(Avulsos!$C$6:$C$205,$C1247)&amp;""))</f>
        <v/>
      </c>
      <c r="G1247" s="114" t="str">
        <f aca="false">IF($E1247="","",IF($B1247="Tema",INDEX(Config!$C$6:$C$11,$D1247),"Evento avulso"))</f>
        <v/>
      </c>
      <c r="H1247" s="114" t="str">
        <f aca="false">IF($E1247="","",IF($B1247="Tema",INDEX(Config!$D$6:$D$11,$D1247),IFERROR(INDEX(Config!$E$15:$E$19,MATCH($I1247,Config!$C$15:$C$19,0)),"•")))</f>
        <v/>
      </c>
      <c r="I1247" s="114" t="str">
        <f aca="false">IF($E1247="","",IF($B1247="Tema",INDEX(Config!$E$6:$E$11,$D1247),IF(INDEX(Avulsos!$D$6:$D$205,$C1247)&amp;""="","Outro",INDEX(Avulsos!$D$6:$D$205,$C1247))))</f>
        <v/>
      </c>
      <c r="J1247" s="114" t="str">
        <f aca="false">IF($E1247="","",IF($B1247="Tema",INDEX(Temas!$C$6:$C$305,$C1247)&amp;"",INDEX(Avulsos!$E$6:$E$205,$C1247)&amp;""))</f>
        <v/>
      </c>
      <c r="K1247" s="114" t="str">
        <f aca="false">IF($E1247="","",IF(IF($B1247="Tema",INDEX(Temas!$E$6:$P$305,$C1247,2*$D1247),INDEX(Avulsos!$F$6:$F$205,$C1247))&amp;""="","","✓"))</f>
        <v/>
      </c>
      <c r="L1247" s="114" t="str">
        <f aca="true">IF($E1247="","",IF($K1247="✓","Concluído",IF($E1247&lt;TODAY(),"Atrasado",IF($E1247=TODAY(),"Hoje","Pendente"))))</f>
        <v/>
      </c>
      <c r="M1247" s="114" t="str">
        <f aca="false">IF($E1247="","",IF($K1247="✓","✓ ","")&amp;IF(Config!$E$22="Sim",$H1247&amp;" · ","")&amp;$F1247)</f>
        <v/>
      </c>
      <c r="N1247" s="114" t="str">
        <f aca="false">IF($E1247="","",IFERROR(INDEX(Config!$D$15:$D$19,MATCH($I1247,Config!$C$15:$C$19,0)),"OUT")&amp;IF($K1247="✓","x",""))</f>
        <v/>
      </c>
      <c r="O1247" s="114" t="str">
        <f aca="false">IF($E1247="","",COUNTIF($E$5:$E1247,$E1247))</f>
        <v/>
      </c>
      <c r="P1247" s="114" t="str">
        <f aca="false">IF($E1247="","",$E1247*100+$O1247)</f>
        <v/>
      </c>
      <c r="Q1247" s="114" t="str">
        <f aca="false">IF($L1247="Atrasado",$E1247*10000+$A1247,"")</f>
        <v/>
      </c>
    </row>
    <row r="1248" customFormat="false" ht="15" hidden="false" customHeight="false" outlineLevel="0" collapsed="false">
      <c r="A1248" s="114" t="n">
        <f aca="false">ROW()-4</f>
        <v>1244</v>
      </c>
      <c r="B1248" s="114" t="str">
        <f aca="false">IF(A1248&lt;=Config!$E$27*Config!$E$28,"Tema","Avulso")</f>
        <v>Tema</v>
      </c>
      <c r="C1248" s="114" t="n">
        <f aca="false">IF(B1248="Tema",INT((A1248-1)/Config!$E$28)+1,A1248-Config!$E$27*Config!$E$28)</f>
        <v>208</v>
      </c>
      <c r="D1248" s="114" t="n">
        <f aca="false">IF(B1248="Tema",MOD(A1248-1,Config!$E$28)+1,"")</f>
        <v>2</v>
      </c>
      <c r="E1248" s="115" t="str">
        <f aca="false">IF($B1248="Tema",IF(ISNUMBER(INDEX(Temas!$E$6:$P$305,$C1248,2*$D1248-1)),INDEX(Temas!$E$6:$P$305,$C1248,2*$D1248-1),""),IF(ISNUMBER(INDEX(Avulsos!$B$6:$B$205,$C1248)),INDEX(Avulsos!$B$6:$B$205,$C1248),""))</f>
        <v/>
      </c>
      <c r="F1248" s="114" t="str">
        <f aca="false">IF($E1248="","",IF($B1248="Tema",INDEX(Temas!$B$6:$B$305,$C1248)&amp;"",INDEX(Avulsos!$C$6:$C$205,$C1248)&amp;""))</f>
        <v/>
      </c>
      <c r="G1248" s="114" t="str">
        <f aca="false">IF($E1248="","",IF($B1248="Tema",INDEX(Config!$C$6:$C$11,$D1248),"Evento avulso"))</f>
        <v/>
      </c>
      <c r="H1248" s="114" t="str">
        <f aca="false">IF($E1248="","",IF($B1248="Tema",INDEX(Config!$D$6:$D$11,$D1248),IFERROR(INDEX(Config!$E$15:$E$19,MATCH($I1248,Config!$C$15:$C$19,0)),"•")))</f>
        <v/>
      </c>
      <c r="I1248" s="114" t="str">
        <f aca="false">IF($E1248="","",IF($B1248="Tema",INDEX(Config!$E$6:$E$11,$D1248),IF(INDEX(Avulsos!$D$6:$D$205,$C1248)&amp;""="","Outro",INDEX(Avulsos!$D$6:$D$205,$C1248))))</f>
        <v/>
      </c>
      <c r="J1248" s="114" t="str">
        <f aca="false">IF($E1248="","",IF($B1248="Tema",INDEX(Temas!$C$6:$C$305,$C1248)&amp;"",INDEX(Avulsos!$E$6:$E$205,$C1248)&amp;""))</f>
        <v/>
      </c>
      <c r="K1248" s="114" t="str">
        <f aca="false">IF($E1248="","",IF(IF($B1248="Tema",INDEX(Temas!$E$6:$P$305,$C1248,2*$D1248),INDEX(Avulsos!$F$6:$F$205,$C1248))&amp;""="","","✓"))</f>
        <v/>
      </c>
      <c r="L1248" s="114" t="str">
        <f aca="true">IF($E1248="","",IF($K1248="✓","Concluído",IF($E1248&lt;TODAY(),"Atrasado",IF($E1248=TODAY(),"Hoje","Pendente"))))</f>
        <v/>
      </c>
      <c r="M1248" s="114" t="str">
        <f aca="false">IF($E1248="","",IF($K1248="✓","✓ ","")&amp;IF(Config!$E$22="Sim",$H1248&amp;" · ","")&amp;$F1248)</f>
        <v/>
      </c>
      <c r="N1248" s="114" t="str">
        <f aca="false">IF($E1248="","",IFERROR(INDEX(Config!$D$15:$D$19,MATCH($I1248,Config!$C$15:$C$19,0)),"OUT")&amp;IF($K1248="✓","x",""))</f>
        <v/>
      </c>
      <c r="O1248" s="114" t="str">
        <f aca="false">IF($E1248="","",COUNTIF($E$5:$E1248,$E1248))</f>
        <v/>
      </c>
      <c r="P1248" s="114" t="str">
        <f aca="false">IF($E1248="","",$E1248*100+$O1248)</f>
        <v/>
      </c>
      <c r="Q1248" s="114" t="str">
        <f aca="false">IF($L1248="Atrasado",$E1248*10000+$A1248,"")</f>
        <v/>
      </c>
    </row>
    <row r="1249" customFormat="false" ht="15" hidden="false" customHeight="false" outlineLevel="0" collapsed="false">
      <c r="A1249" s="114" t="n">
        <f aca="false">ROW()-4</f>
        <v>1245</v>
      </c>
      <c r="B1249" s="114" t="str">
        <f aca="false">IF(A1249&lt;=Config!$E$27*Config!$E$28,"Tema","Avulso")</f>
        <v>Tema</v>
      </c>
      <c r="C1249" s="114" t="n">
        <f aca="false">IF(B1249="Tema",INT((A1249-1)/Config!$E$28)+1,A1249-Config!$E$27*Config!$E$28)</f>
        <v>208</v>
      </c>
      <c r="D1249" s="114" t="n">
        <f aca="false">IF(B1249="Tema",MOD(A1249-1,Config!$E$28)+1,"")</f>
        <v>3</v>
      </c>
      <c r="E1249" s="115" t="str">
        <f aca="false">IF($B1249="Tema",IF(ISNUMBER(INDEX(Temas!$E$6:$P$305,$C1249,2*$D1249-1)),INDEX(Temas!$E$6:$P$305,$C1249,2*$D1249-1),""),IF(ISNUMBER(INDEX(Avulsos!$B$6:$B$205,$C1249)),INDEX(Avulsos!$B$6:$B$205,$C1249),""))</f>
        <v/>
      </c>
      <c r="F1249" s="114" t="str">
        <f aca="false">IF($E1249="","",IF($B1249="Tema",INDEX(Temas!$B$6:$B$305,$C1249)&amp;"",INDEX(Avulsos!$C$6:$C$205,$C1249)&amp;""))</f>
        <v/>
      </c>
      <c r="G1249" s="114" t="str">
        <f aca="false">IF($E1249="","",IF($B1249="Tema",INDEX(Config!$C$6:$C$11,$D1249),"Evento avulso"))</f>
        <v/>
      </c>
      <c r="H1249" s="114" t="str">
        <f aca="false">IF($E1249="","",IF($B1249="Tema",INDEX(Config!$D$6:$D$11,$D1249),IFERROR(INDEX(Config!$E$15:$E$19,MATCH($I1249,Config!$C$15:$C$19,0)),"•")))</f>
        <v/>
      </c>
      <c r="I1249" s="114" t="str">
        <f aca="false">IF($E1249="","",IF($B1249="Tema",INDEX(Config!$E$6:$E$11,$D1249),IF(INDEX(Avulsos!$D$6:$D$205,$C1249)&amp;""="","Outro",INDEX(Avulsos!$D$6:$D$205,$C1249))))</f>
        <v/>
      </c>
      <c r="J1249" s="114" t="str">
        <f aca="false">IF($E1249="","",IF($B1249="Tema",INDEX(Temas!$C$6:$C$305,$C1249)&amp;"",INDEX(Avulsos!$E$6:$E$205,$C1249)&amp;""))</f>
        <v/>
      </c>
      <c r="K1249" s="114" t="str">
        <f aca="false">IF($E1249="","",IF(IF($B1249="Tema",INDEX(Temas!$E$6:$P$305,$C1249,2*$D1249),INDEX(Avulsos!$F$6:$F$205,$C1249))&amp;""="","","✓"))</f>
        <v/>
      </c>
      <c r="L1249" s="114" t="str">
        <f aca="true">IF($E1249="","",IF($K1249="✓","Concluído",IF($E1249&lt;TODAY(),"Atrasado",IF($E1249=TODAY(),"Hoje","Pendente"))))</f>
        <v/>
      </c>
      <c r="M1249" s="114" t="str">
        <f aca="false">IF($E1249="","",IF($K1249="✓","✓ ","")&amp;IF(Config!$E$22="Sim",$H1249&amp;" · ","")&amp;$F1249)</f>
        <v/>
      </c>
      <c r="N1249" s="114" t="str">
        <f aca="false">IF($E1249="","",IFERROR(INDEX(Config!$D$15:$D$19,MATCH($I1249,Config!$C$15:$C$19,0)),"OUT")&amp;IF($K1249="✓","x",""))</f>
        <v/>
      </c>
      <c r="O1249" s="114" t="str">
        <f aca="false">IF($E1249="","",COUNTIF($E$5:$E1249,$E1249))</f>
        <v/>
      </c>
      <c r="P1249" s="114" t="str">
        <f aca="false">IF($E1249="","",$E1249*100+$O1249)</f>
        <v/>
      </c>
      <c r="Q1249" s="114" t="str">
        <f aca="false">IF($L1249="Atrasado",$E1249*10000+$A1249,"")</f>
        <v/>
      </c>
    </row>
    <row r="1250" customFormat="false" ht="15" hidden="false" customHeight="false" outlineLevel="0" collapsed="false">
      <c r="A1250" s="114" t="n">
        <f aca="false">ROW()-4</f>
        <v>1246</v>
      </c>
      <c r="B1250" s="114" t="str">
        <f aca="false">IF(A1250&lt;=Config!$E$27*Config!$E$28,"Tema","Avulso")</f>
        <v>Tema</v>
      </c>
      <c r="C1250" s="114" t="n">
        <f aca="false">IF(B1250="Tema",INT((A1250-1)/Config!$E$28)+1,A1250-Config!$E$27*Config!$E$28)</f>
        <v>208</v>
      </c>
      <c r="D1250" s="114" t="n">
        <f aca="false">IF(B1250="Tema",MOD(A1250-1,Config!$E$28)+1,"")</f>
        <v>4</v>
      </c>
      <c r="E1250" s="115" t="str">
        <f aca="false">IF($B1250="Tema",IF(ISNUMBER(INDEX(Temas!$E$6:$P$305,$C1250,2*$D1250-1)),INDEX(Temas!$E$6:$P$305,$C1250,2*$D1250-1),""),IF(ISNUMBER(INDEX(Avulsos!$B$6:$B$205,$C1250)),INDEX(Avulsos!$B$6:$B$205,$C1250),""))</f>
        <v/>
      </c>
      <c r="F1250" s="114" t="str">
        <f aca="false">IF($E1250="","",IF($B1250="Tema",INDEX(Temas!$B$6:$B$305,$C1250)&amp;"",INDEX(Avulsos!$C$6:$C$205,$C1250)&amp;""))</f>
        <v/>
      </c>
      <c r="G1250" s="114" t="str">
        <f aca="false">IF($E1250="","",IF($B1250="Tema",INDEX(Config!$C$6:$C$11,$D1250),"Evento avulso"))</f>
        <v/>
      </c>
      <c r="H1250" s="114" t="str">
        <f aca="false">IF($E1250="","",IF($B1250="Tema",INDEX(Config!$D$6:$D$11,$D1250),IFERROR(INDEX(Config!$E$15:$E$19,MATCH($I1250,Config!$C$15:$C$19,0)),"•")))</f>
        <v/>
      </c>
      <c r="I1250" s="114" t="str">
        <f aca="false">IF($E1250="","",IF($B1250="Tema",INDEX(Config!$E$6:$E$11,$D1250),IF(INDEX(Avulsos!$D$6:$D$205,$C1250)&amp;""="","Outro",INDEX(Avulsos!$D$6:$D$205,$C1250))))</f>
        <v/>
      </c>
      <c r="J1250" s="114" t="str">
        <f aca="false">IF($E1250="","",IF($B1250="Tema",INDEX(Temas!$C$6:$C$305,$C1250)&amp;"",INDEX(Avulsos!$E$6:$E$205,$C1250)&amp;""))</f>
        <v/>
      </c>
      <c r="K1250" s="114" t="str">
        <f aca="false">IF($E1250="","",IF(IF($B1250="Tema",INDEX(Temas!$E$6:$P$305,$C1250,2*$D1250),INDEX(Avulsos!$F$6:$F$205,$C1250))&amp;""="","","✓"))</f>
        <v/>
      </c>
      <c r="L1250" s="114" t="str">
        <f aca="true">IF($E1250="","",IF($K1250="✓","Concluído",IF($E1250&lt;TODAY(),"Atrasado",IF($E1250=TODAY(),"Hoje","Pendente"))))</f>
        <v/>
      </c>
      <c r="M1250" s="114" t="str">
        <f aca="false">IF($E1250="","",IF($K1250="✓","✓ ","")&amp;IF(Config!$E$22="Sim",$H1250&amp;" · ","")&amp;$F1250)</f>
        <v/>
      </c>
      <c r="N1250" s="114" t="str">
        <f aca="false">IF($E1250="","",IFERROR(INDEX(Config!$D$15:$D$19,MATCH($I1250,Config!$C$15:$C$19,0)),"OUT")&amp;IF($K1250="✓","x",""))</f>
        <v/>
      </c>
      <c r="O1250" s="114" t="str">
        <f aca="false">IF($E1250="","",COUNTIF($E$5:$E1250,$E1250))</f>
        <v/>
      </c>
      <c r="P1250" s="114" t="str">
        <f aca="false">IF($E1250="","",$E1250*100+$O1250)</f>
        <v/>
      </c>
      <c r="Q1250" s="114" t="str">
        <f aca="false">IF($L1250="Atrasado",$E1250*10000+$A1250,"")</f>
        <v/>
      </c>
    </row>
    <row r="1251" customFormat="false" ht="15" hidden="false" customHeight="false" outlineLevel="0" collapsed="false">
      <c r="A1251" s="114" t="n">
        <f aca="false">ROW()-4</f>
        <v>1247</v>
      </c>
      <c r="B1251" s="114" t="str">
        <f aca="false">IF(A1251&lt;=Config!$E$27*Config!$E$28,"Tema","Avulso")</f>
        <v>Tema</v>
      </c>
      <c r="C1251" s="114" t="n">
        <f aca="false">IF(B1251="Tema",INT((A1251-1)/Config!$E$28)+1,A1251-Config!$E$27*Config!$E$28)</f>
        <v>208</v>
      </c>
      <c r="D1251" s="114" t="n">
        <f aca="false">IF(B1251="Tema",MOD(A1251-1,Config!$E$28)+1,"")</f>
        <v>5</v>
      </c>
      <c r="E1251" s="115" t="str">
        <f aca="false">IF($B1251="Tema",IF(ISNUMBER(INDEX(Temas!$E$6:$P$305,$C1251,2*$D1251-1)),INDEX(Temas!$E$6:$P$305,$C1251,2*$D1251-1),""),IF(ISNUMBER(INDEX(Avulsos!$B$6:$B$205,$C1251)),INDEX(Avulsos!$B$6:$B$205,$C1251),""))</f>
        <v/>
      </c>
      <c r="F1251" s="114" t="str">
        <f aca="false">IF($E1251="","",IF($B1251="Tema",INDEX(Temas!$B$6:$B$305,$C1251)&amp;"",INDEX(Avulsos!$C$6:$C$205,$C1251)&amp;""))</f>
        <v/>
      </c>
      <c r="G1251" s="114" t="str">
        <f aca="false">IF($E1251="","",IF($B1251="Tema",INDEX(Config!$C$6:$C$11,$D1251),"Evento avulso"))</f>
        <v/>
      </c>
      <c r="H1251" s="114" t="str">
        <f aca="false">IF($E1251="","",IF($B1251="Tema",INDEX(Config!$D$6:$D$11,$D1251),IFERROR(INDEX(Config!$E$15:$E$19,MATCH($I1251,Config!$C$15:$C$19,0)),"•")))</f>
        <v/>
      </c>
      <c r="I1251" s="114" t="str">
        <f aca="false">IF($E1251="","",IF($B1251="Tema",INDEX(Config!$E$6:$E$11,$D1251),IF(INDEX(Avulsos!$D$6:$D$205,$C1251)&amp;""="","Outro",INDEX(Avulsos!$D$6:$D$205,$C1251))))</f>
        <v/>
      </c>
      <c r="J1251" s="114" t="str">
        <f aca="false">IF($E1251="","",IF($B1251="Tema",INDEX(Temas!$C$6:$C$305,$C1251)&amp;"",INDEX(Avulsos!$E$6:$E$205,$C1251)&amp;""))</f>
        <v/>
      </c>
      <c r="K1251" s="114" t="str">
        <f aca="false">IF($E1251="","",IF(IF($B1251="Tema",INDEX(Temas!$E$6:$P$305,$C1251,2*$D1251),INDEX(Avulsos!$F$6:$F$205,$C1251))&amp;""="","","✓"))</f>
        <v/>
      </c>
      <c r="L1251" s="114" t="str">
        <f aca="true">IF($E1251="","",IF($K1251="✓","Concluído",IF($E1251&lt;TODAY(),"Atrasado",IF($E1251=TODAY(),"Hoje","Pendente"))))</f>
        <v/>
      </c>
      <c r="M1251" s="114" t="str">
        <f aca="false">IF($E1251="","",IF($K1251="✓","✓ ","")&amp;IF(Config!$E$22="Sim",$H1251&amp;" · ","")&amp;$F1251)</f>
        <v/>
      </c>
      <c r="N1251" s="114" t="str">
        <f aca="false">IF($E1251="","",IFERROR(INDEX(Config!$D$15:$D$19,MATCH($I1251,Config!$C$15:$C$19,0)),"OUT")&amp;IF($K1251="✓","x",""))</f>
        <v/>
      </c>
      <c r="O1251" s="114" t="str">
        <f aca="false">IF($E1251="","",COUNTIF($E$5:$E1251,$E1251))</f>
        <v/>
      </c>
      <c r="P1251" s="114" t="str">
        <f aca="false">IF($E1251="","",$E1251*100+$O1251)</f>
        <v/>
      </c>
      <c r="Q1251" s="114" t="str">
        <f aca="false">IF($L1251="Atrasado",$E1251*10000+$A1251,"")</f>
        <v/>
      </c>
    </row>
    <row r="1252" customFormat="false" ht="15" hidden="false" customHeight="false" outlineLevel="0" collapsed="false">
      <c r="A1252" s="114" t="n">
        <f aca="false">ROW()-4</f>
        <v>1248</v>
      </c>
      <c r="B1252" s="114" t="str">
        <f aca="false">IF(A1252&lt;=Config!$E$27*Config!$E$28,"Tema","Avulso")</f>
        <v>Tema</v>
      </c>
      <c r="C1252" s="114" t="n">
        <f aca="false">IF(B1252="Tema",INT((A1252-1)/Config!$E$28)+1,A1252-Config!$E$27*Config!$E$28)</f>
        <v>208</v>
      </c>
      <c r="D1252" s="114" t="n">
        <f aca="false">IF(B1252="Tema",MOD(A1252-1,Config!$E$28)+1,"")</f>
        <v>6</v>
      </c>
      <c r="E1252" s="115" t="str">
        <f aca="false">IF($B1252="Tema",IF(ISNUMBER(INDEX(Temas!$E$6:$P$305,$C1252,2*$D1252-1)),INDEX(Temas!$E$6:$P$305,$C1252,2*$D1252-1),""),IF(ISNUMBER(INDEX(Avulsos!$B$6:$B$205,$C1252)),INDEX(Avulsos!$B$6:$B$205,$C1252),""))</f>
        <v/>
      </c>
      <c r="F1252" s="114" t="str">
        <f aca="false">IF($E1252="","",IF($B1252="Tema",INDEX(Temas!$B$6:$B$305,$C1252)&amp;"",INDEX(Avulsos!$C$6:$C$205,$C1252)&amp;""))</f>
        <v/>
      </c>
      <c r="G1252" s="114" t="str">
        <f aca="false">IF($E1252="","",IF($B1252="Tema",INDEX(Config!$C$6:$C$11,$D1252),"Evento avulso"))</f>
        <v/>
      </c>
      <c r="H1252" s="114" t="str">
        <f aca="false">IF($E1252="","",IF($B1252="Tema",INDEX(Config!$D$6:$D$11,$D1252),IFERROR(INDEX(Config!$E$15:$E$19,MATCH($I1252,Config!$C$15:$C$19,0)),"•")))</f>
        <v/>
      </c>
      <c r="I1252" s="114" t="str">
        <f aca="false">IF($E1252="","",IF($B1252="Tema",INDEX(Config!$E$6:$E$11,$D1252),IF(INDEX(Avulsos!$D$6:$D$205,$C1252)&amp;""="","Outro",INDEX(Avulsos!$D$6:$D$205,$C1252))))</f>
        <v/>
      </c>
      <c r="J1252" s="114" t="str">
        <f aca="false">IF($E1252="","",IF($B1252="Tema",INDEX(Temas!$C$6:$C$305,$C1252)&amp;"",INDEX(Avulsos!$E$6:$E$205,$C1252)&amp;""))</f>
        <v/>
      </c>
      <c r="K1252" s="114" t="str">
        <f aca="false">IF($E1252="","",IF(IF($B1252="Tema",INDEX(Temas!$E$6:$P$305,$C1252,2*$D1252),INDEX(Avulsos!$F$6:$F$205,$C1252))&amp;""="","","✓"))</f>
        <v/>
      </c>
      <c r="L1252" s="114" t="str">
        <f aca="true">IF($E1252="","",IF($K1252="✓","Concluído",IF($E1252&lt;TODAY(),"Atrasado",IF($E1252=TODAY(),"Hoje","Pendente"))))</f>
        <v/>
      </c>
      <c r="M1252" s="114" t="str">
        <f aca="false">IF($E1252="","",IF($K1252="✓","✓ ","")&amp;IF(Config!$E$22="Sim",$H1252&amp;" · ","")&amp;$F1252)</f>
        <v/>
      </c>
      <c r="N1252" s="114" t="str">
        <f aca="false">IF($E1252="","",IFERROR(INDEX(Config!$D$15:$D$19,MATCH($I1252,Config!$C$15:$C$19,0)),"OUT")&amp;IF($K1252="✓","x",""))</f>
        <v/>
      </c>
      <c r="O1252" s="114" t="str">
        <f aca="false">IF($E1252="","",COUNTIF($E$5:$E1252,$E1252))</f>
        <v/>
      </c>
      <c r="P1252" s="114" t="str">
        <f aca="false">IF($E1252="","",$E1252*100+$O1252)</f>
        <v/>
      </c>
      <c r="Q1252" s="114" t="str">
        <f aca="false">IF($L1252="Atrasado",$E1252*10000+$A1252,"")</f>
        <v/>
      </c>
    </row>
    <row r="1253" customFormat="false" ht="15" hidden="false" customHeight="false" outlineLevel="0" collapsed="false">
      <c r="A1253" s="114" t="n">
        <f aca="false">ROW()-4</f>
        <v>1249</v>
      </c>
      <c r="B1253" s="114" t="str">
        <f aca="false">IF(A1253&lt;=Config!$E$27*Config!$E$28,"Tema","Avulso")</f>
        <v>Tema</v>
      </c>
      <c r="C1253" s="114" t="n">
        <f aca="false">IF(B1253="Tema",INT((A1253-1)/Config!$E$28)+1,A1253-Config!$E$27*Config!$E$28)</f>
        <v>209</v>
      </c>
      <c r="D1253" s="114" t="n">
        <f aca="false">IF(B1253="Tema",MOD(A1253-1,Config!$E$28)+1,"")</f>
        <v>1</v>
      </c>
      <c r="E1253" s="115" t="str">
        <f aca="false">IF($B1253="Tema",IF(ISNUMBER(INDEX(Temas!$E$6:$P$305,$C1253,2*$D1253-1)),INDEX(Temas!$E$6:$P$305,$C1253,2*$D1253-1),""),IF(ISNUMBER(INDEX(Avulsos!$B$6:$B$205,$C1253)),INDEX(Avulsos!$B$6:$B$205,$C1253),""))</f>
        <v/>
      </c>
      <c r="F1253" s="114" t="str">
        <f aca="false">IF($E1253="","",IF($B1253="Tema",INDEX(Temas!$B$6:$B$305,$C1253)&amp;"",INDEX(Avulsos!$C$6:$C$205,$C1253)&amp;""))</f>
        <v/>
      </c>
      <c r="G1253" s="114" t="str">
        <f aca="false">IF($E1253="","",IF($B1253="Tema",INDEX(Config!$C$6:$C$11,$D1253),"Evento avulso"))</f>
        <v/>
      </c>
      <c r="H1253" s="114" t="str">
        <f aca="false">IF($E1253="","",IF($B1253="Tema",INDEX(Config!$D$6:$D$11,$D1253),IFERROR(INDEX(Config!$E$15:$E$19,MATCH($I1253,Config!$C$15:$C$19,0)),"•")))</f>
        <v/>
      </c>
      <c r="I1253" s="114" t="str">
        <f aca="false">IF($E1253="","",IF($B1253="Tema",INDEX(Config!$E$6:$E$11,$D1253),IF(INDEX(Avulsos!$D$6:$D$205,$C1253)&amp;""="","Outro",INDEX(Avulsos!$D$6:$D$205,$C1253))))</f>
        <v/>
      </c>
      <c r="J1253" s="114" t="str">
        <f aca="false">IF($E1253="","",IF($B1253="Tema",INDEX(Temas!$C$6:$C$305,$C1253)&amp;"",INDEX(Avulsos!$E$6:$E$205,$C1253)&amp;""))</f>
        <v/>
      </c>
      <c r="K1253" s="114" t="str">
        <f aca="false">IF($E1253="","",IF(IF($B1253="Tema",INDEX(Temas!$E$6:$P$305,$C1253,2*$D1253),INDEX(Avulsos!$F$6:$F$205,$C1253))&amp;""="","","✓"))</f>
        <v/>
      </c>
      <c r="L1253" s="114" t="str">
        <f aca="true">IF($E1253="","",IF($K1253="✓","Concluído",IF($E1253&lt;TODAY(),"Atrasado",IF($E1253=TODAY(),"Hoje","Pendente"))))</f>
        <v/>
      </c>
      <c r="M1253" s="114" t="str">
        <f aca="false">IF($E1253="","",IF($K1253="✓","✓ ","")&amp;IF(Config!$E$22="Sim",$H1253&amp;" · ","")&amp;$F1253)</f>
        <v/>
      </c>
      <c r="N1253" s="114" t="str">
        <f aca="false">IF($E1253="","",IFERROR(INDEX(Config!$D$15:$D$19,MATCH($I1253,Config!$C$15:$C$19,0)),"OUT")&amp;IF($K1253="✓","x",""))</f>
        <v/>
      </c>
      <c r="O1253" s="114" t="str">
        <f aca="false">IF($E1253="","",COUNTIF($E$5:$E1253,$E1253))</f>
        <v/>
      </c>
      <c r="P1253" s="114" t="str">
        <f aca="false">IF($E1253="","",$E1253*100+$O1253)</f>
        <v/>
      </c>
      <c r="Q1253" s="114" t="str">
        <f aca="false">IF($L1253="Atrasado",$E1253*10000+$A1253,"")</f>
        <v/>
      </c>
    </row>
    <row r="1254" customFormat="false" ht="15" hidden="false" customHeight="false" outlineLevel="0" collapsed="false">
      <c r="A1254" s="114" t="n">
        <f aca="false">ROW()-4</f>
        <v>1250</v>
      </c>
      <c r="B1254" s="114" t="str">
        <f aca="false">IF(A1254&lt;=Config!$E$27*Config!$E$28,"Tema","Avulso")</f>
        <v>Tema</v>
      </c>
      <c r="C1254" s="114" t="n">
        <f aca="false">IF(B1254="Tema",INT((A1254-1)/Config!$E$28)+1,A1254-Config!$E$27*Config!$E$28)</f>
        <v>209</v>
      </c>
      <c r="D1254" s="114" t="n">
        <f aca="false">IF(B1254="Tema",MOD(A1254-1,Config!$E$28)+1,"")</f>
        <v>2</v>
      </c>
      <c r="E1254" s="115" t="str">
        <f aca="false">IF($B1254="Tema",IF(ISNUMBER(INDEX(Temas!$E$6:$P$305,$C1254,2*$D1254-1)),INDEX(Temas!$E$6:$P$305,$C1254,2*$D1254-1),""),IF(ISNUMBER(INDEX(Avulsos!$B$6:$B$205,$C1254)),INDEX(Avulsos!$B$6:$B$205,$C1254),""))</f>
        <v/>
      </c>
      <c r="F1254" s="114" t="str">
        <f aca="false">IF($E1254="","",IF($B1254="Tema",INDEX(Temas!$B$6:$B$305,$C1254)&amp;"",INDEX(Avulsos!$C$6:$C$205,$C1254)&amp;""))</f>
        <v/>
      </c>
      <c r="G1254" s="114" t="str">
        <f aca="false">IF($E1254="","",IF($B1254="Tema",INDEX(Config!$C$6:$C$11,$D1254),"Evento avulso"))</f>
        <v/>
      </c>
      <c r="H1254" s="114" t="str">
        <f aca="false">IF($E1254="","",IF($B1254="Tema",INDEX(Config!$D$6:$D$11,$D1254),IFERROR(INDEX(Config!$E$15:$E$19,MATCH($I1254,Config!$C$15:$C$19,0)),"•")))</f>
        <v/>
      </c>
      <c r="I1254" s="114" t="str">
        <f aca="false">IF($E1254="","",IF($B1254="Tema",INDEX(Config!$E$6:$E$11,$D1254),IF(INDEX(Avulsos!$D$6:$D$205,$C1254)&amp;""="","Outro",INDEX(Avulsos!$D$6:$D$205,$C1254))))</f>
        <v/>
      </c>
      <c r="J1254" s="114" t="str">
        <f aca="false">IF($E1254="","",IF($B1254="Tema",INDEX(Temas!$C$6:$C$305,$C1254)&amp;"",INDEX(Avulsos!$E$6:$E$205,$C1254)&amp;""))</f>
        <v/>
      </c>
      <c r="K1254" s="114" t="str">
        <f aca="false">IF($E1254="","",IF(IF($B1254="Tema",INDEX(Temas!$E$6:$P$305,$C1254,2*$D1254),INDEX(Avulsos!$F$6:$F$205,$C1254))&amp;""="","","✓"))</f>
        <v/>
      </c>
      <c r="L1254" s="114" t="str">
        <f aca="true">IF($E1254="","",IF($K1254="✓","Concluído",IF($E1254&lt;TODAY(),"Atrasado",IF($E1254=TODAY(),"Hoje","Pendente"))))</f>
        <v/>
      </c>
      <c r="M1254" s="114" t="str">
        <f aca="false">IF($E1254="","",IF($K1254="✓","✓ ","")&amp;IF(Config!$E$22="Sim",$H1254&amp;" · ","")&amp;$F1254)</f>
        <v/>
      </c>
      <c r="N1254" s="114" t="str">
        <f aca="false">IF($E1254="","",IFERROR(INDEX(Config!$D$15:$D$19,MATCH($I1254,Config!$C$15:$C$19,0)),"OUT")&amp;IF($K1254="✓","x",""))</f>
        <v/>
      </c>
      <c r="O1254" s="114" t="str">
        <f aca="false">IF($E1254="","",COUNTIF($E$5:$E1254,$E1254))</f>
        <v/>
      </c>
      <c r="P1254" s="114" t="str">
        <f aca="false">IF($E1254="","",$E1254*100+$O1254)</f>
        <v/>
      </c>
      <c r="Q1254" s="114" t="str">
        <f aca="false">IF($L1254="Atrasado",$E1254*10000+$A1254,"")</f>
        <v/>
      </c>
    </row>
    <row r="1255" customFormat="false" ht="15" hidden="false" customHeight="false" outlineLevel="0" collapsed="false">
      <c r="A1255" s="114" t="n">
        <f aca="false">ROW()-4</f>
        <v>1251</v>
      </c>
      <c r="B1255" s="114" t="str">
        <f aca="false">IF(A1255&lt;=Config!$E$27*Config!$E$28,"Tema","Avulso")</f>
        <v>Tema</v>
      </c>
      <c r="C1255" s="114" t="n">
        <f aca="false">IF(B1255="Tema",INT((A1255-1)/Config!$E$28)+1,A1255-Config!$E$27*Config!$E$28)</f>
        <v>209</v>
      </c>
      <c r="D1255" s="114" t="n">
        <f aca="false">IF(B1255="Tema",MOD(A1255-1,Config!$E$28)+1,"")</f>
        <v>3</v>
      </c>
      <c r="E1255" s="115" t="str">
        <f aca="false">IF($B1255="Tema",IF(ISNUMBER(INDEX(Temas!$E$6:$P$305,$C1255,2*$D1255-1)),INDEX(Temas!$E$6:$P$305,$C1255,2*$D1255-1),""),IF(ISNUMBER(INDEX(Avulsos!$B$6:$B$205,$C1255)),INDEX(Avulsos!$B$6:$B$205,$C1255),""))</f>
        <v/>
      </c>
      <c r="F1255" s="114" t="str">
        <f aca="false">IF($E1255="","",IF($B1255="Tema",INDEX(Temas!$B$6:$B$305,$C1255)&amp;"",INDEX(Avulsos!$C$6:$C$205,$C1255)&amp;""))</f>
        <v/>
      </c>
      <c r="G1255" s="114" t="str">
        <f aca="false">IF($E1255="","",IF($B1255="Tema",INDEX(Config!$C$6:$C$11,$D1255),"Evento avulso"))</f>
        <v/>
      </c>
      <c r="H1255" s="114" t="str">
        <f aca="false">IF($E1255="","",IF($B1255="Tema",INDEX(Config!$D$6:$D$11,$D1255),IFERROR(INDEX(Config!$E$15:$E$19,MATCH($I1255,Config!$C$15:$C$19,0)),"•")))</f>
        <v/>
      </c>
      <c r="I1255" s="114" t="str">
        <f aca="false">IF($E1255="","",IF($B1255="Tema",INDEX(Config!$E$6:$E$11,$D1255),IF(INDEX(Avulsos!$D$6:$D$205,$C1255)&amp;""="","Outro",INDEX(Avulsos!$D$6:$D$205,$C1255))))</f>
        <v/>
      </c>
      <c r="J1255" s="114" t="str">
        <f aca="false">IF($E1255="","",IF($B1255="Tema",INDEX(Temas!$C$6:$C$305,$C1255)&amp;"",INDEX(Avulsos!$E$6:$E$205,$C1255)&amp;""))</f>
        <v/>
      </c>
      <c r="K1255" s="114" t="str">
        <f aca="false">IF($E1255="","",IF(IF($B1255="Tema",INDEX(Temas!$E$6:$P$305,$C1255,2*$D1255),INDEX(Avulsos!$F$6:$F$205,$C1255))&amp;""="","","✓"))</f>
        <v/>
      </c>
      <c r="L1255" s="114" t="str">
        <f aca="true">IF($E1255="","",IF($K1255="✓","Concluído",IF($E1255&lt;TODAY(),"Atrasado",IF($E1255=TODAY(),"Hoje","Pendente"))))</f>
        <v/>
      </c>
      <c r="M1255" s="114" t="str">
        <f aca="false">IF($E1255="","",IF($K1255="✓","✓ ","")&amp;IF(Config!$E$22="Sim",$H1255&amp;" · ","")&amp;$F1255)</f>
        <v/>
      </c>
      <c r="N1255" s="114" t="str">
        <f aca="false">IF($E1255="","",IFERROR(INDEX(Config!$D$15:$D$19,MATCH($I1255,Config!$C$15:$C$19,0)),"OUT")&amp;IF($K1255="✓","x",""))</f>
        <v/>
      </c>
      <c r="O1255" s="114" t="str">
        <f aca="false">IF($E1255="","",COUNTIF($E$5:$E1255,$E1255))</f>
        <v/>
      </c>
      <c r="P1255" s="114" t="str">
        <f aca="false">IF($E1255="","",$E1255*100+$O1255)</f>
        <v/>
      </c>
      <c r="Q1255" s="114" t="str">
        <f aca="false">IF($L1255="Atrasado",$E1255*10000+$A1255,"")</f>
        <v/>
      </c>
    </row>
    <row r="1256" customFormat="false" ht="15" hidden="false" customHeight="false" outlineLevel="0" collapsed="false">
      <c r="A1256" s="114" t="n">
        <f aca="false">ROW()-4</f>
        <v>1252</v>
      </c>
      <c r="B1256" s="114" t="str">
        <f aca="false">IF(A1256&lt;=Config!$E$27*Config!$E$28,"Tema","Avulso")</f>
        <v>Tema</v>
      </c>
      <c r="C1256" s="114" t="n">
        <f aca="false">IF(B1256="Tema",INT((A1256-1)/Config!$E$28)+1,A1256-Config!$E$27*Config!$E$28)</f>
        <v>209</v>
      </c>
      <c r="D1256" s="114" t="n">
        <f aca="false">IF(B1256="Tema",MOD(A1256-1,Config!$E$28)+1,"")</f>
        <v>4</v>
      </c>
      <c r="E1256" s="115" t="str">
        <f aca="false">IF($B1256="Tema",IF(ISNUMBER(INDEX(Temas!$E$6:$P$305,$C1256,2*$D1256-1)),INDEX(Temas!$E$6:$P$305,$C1256,2*$D1256-1),""),IF(ISNUMBER(INDEX(Avulsos!$B$6:$B$205,$C1256)),INDEX(Avulsos!$B$6:$B$205,$C1256),""))</f>
        <v/>
      </c>
      <c r="F1256" s="114" t="str">
        <f aca="false">IF($E1256="","",IF($B1256="Tema",INDEX(Temas!$B$6:$B$305,$C1256)&amp;"",INDEX(Avulsos!$C$6:$C$205,$C1256)&amp;""))</f>
        <v/>
      </c>
      <c r="G1256" s="114" t="str">
        <f aca="false">IF($E1256="","",IF($B1256="Tema",INDEX(Config!$C$6:$C$11,$D1256),"Evento avulso"))</f>
        <v/>
      </c>
      <c r="H1256" s="114" t="str">
        <f aca="false">IF($E1256="","",IF($B1256="Tema",INDEX(Config!$D$6:$D$11,$D1256),IFERROR(INDEX(Config!$E$15:$E$19,MATCH($I1256,Config!$C$15:$C$19,0)),"•")))</f>
        <v/>
      </c>
      <c r="I1256" s="114" t="str">
        <f aca="false">IF($E1256="","",IF($B1256="Tema",INDEX(Config!$E$6:$E$11,$D1256),IF(INDEX(Avulsos!$D$6:$D$205,$C1256)&amp;""="","Outro",INDEX(Avulsos!$D$6:$D$205,$C1256))))</f>
        <v/>
      </c>
      <c r="J1256" s="114" t="str">
        <f aca="false">IF($E1256="","",IF($B1256="Tema",INDEX(Temas!$C$6:$C$305,$C1256)&amp;"",INDEX(Avulsos!$E$6:$E$205,$C1256)&amp;""))</f>
        <v/>
      </c>
      <c r="K1256" s="114" t="str">
        <f aca="false">IF($E1256="","",IF(IF($B1256="Tema",INDEX(Temas!$E$6:$P$305,$C1256,2*$D1256),INDEX(Avulsos!$F$6:$F$205,$C1256))&amp;""="","","✓"))</f>
        <v/>
      </c>
      <c r="L1256" s="114" t="str">
        <f aca="true">IF($E1256="","",IF($K1256="✓","Concluído",IF($E1256&lt;TODAY(),"Atrasado",IF($E1256=TODAY(),"Hoje","Pendente"))))</f>
        <v/>
      </c>
      <c r="M1256" s="114" t="str">
        <f aca="false">IF($E1256="","",IF($K1256="✓","✓ ","")&amp;IF(Config!$E$22="Sim",$H1256&amp;" · ","")&amp;$F1256)</f>
        <v/>
      </c>
      <c r="N1256" s="114" t="str">
        <f aca="false">IF($E1256="","",IFERROR(INDEX(Config!$D$15:$D$19,MATCH($I1256,Config!$C$15:$C$19,0)),"OUT")&amp;IF($K1256="✓","x",""))</f>
        <v/>
      </c>
      <c r="O1256" s="114" t="str">
        <f aca="false">IF($E1256="","",COUNTIF($E$5:$E1256,$E1256))</f>
        <v/>
      </c>
      <c r="P1256" s="114" t="str">
        <f aca="false">IF($E1256="","",$E1256*100+$O1256)</f>
        <v/>
      </c>
      <c r="Q1256" s="114" t="str">
        <f aca="false">IF($L1256="Atrasado",$E1256*10000+$A1256,"")</f>
        <v/>
      </c>
    </row>
    <row r="1257" customFormat="false" ht="15" hidden="false" customHeight="false" outlineLevel="0" collapsed="false">
      <c r="A1257" s="114" t="n">
        <f aca="false">ROW()-4</f>
        <v>1253</v>
      </c>
      <c r="B1257" s="114" t="str">
        <f aca="false">IF(A1257&lt;=Config!$E$27*Config!$E$28,"Tema","Avulso")</f>
        <v>Tema</v>
      </c>
      <c r="C1257" s="114" t="n">
        <f aca="false">IF(B1257="Tema",INT((A1257-1)/Config!$E$28)+1,A1257-Config!$E$27*Config!$E$28)</f>
        <v>209</v>
      </c>
      <c r="D1257" s="114" t="n">
        <f aca="false">IF(B1257="Tema",MOD(A1257-1,Config!$E$28)+1,"")</f>
        <v>5</v>
      </c>
      <c r="E1257" s="115" t="str">
        <f aca="false">IF($B1257="Tema",IF(ISNUMBER(INDEX(Temas!$E$6:$P$305,$C1257,2*$D1257-1)),INDEX(Temas!$E$6:$P$305,$C1257,2*$D1257-1),""),IF(ISNUMBER(INDEX(Avulsos!$B$6:$B$205,$C1257)),INDEX(Avulsos!$B$6:$B$205,$C1257),""))</f>
        <v/>
      </c>
      <c r="F1257" s="114" t="str">
        <f aca="false">IF($E1257="","",IF($B1257="Tema",INDEX(Temas!$B$6:$B$305,$C1257)&amp;"",INDEX(Avulsos!$C$6:$C$205,$C1257)&amp;""))</f>
        <v/>
      </c>
      <c r="G1257" s="114" t="str">
        <f aca="false">IF($E1257="","",IF($B1257="Tema",INDEX(Config!$C$6:$C$11,$D1257),"Evento avulso"))</f>
        <v/>
      </c>
      <c r="H1257" s="114" t="str">
        <f aca="false">IF($E1257="","",IF($B1257="Tema",INDEX(Config!$D$6:$D$11,$D1257),IFERROR(INDEX(Config!$E$15:$E$19,MATCH($I1257,Config!$C$15:$C$19,0)),"•")))</f>
        <v/>
      </c>
      <c r="I1257" s="114" t="str">
        <f aca="false">IF($E1257="","",IF($B1257="Tema",INDEX(Config!$E$6:$E$11,$D1257),IF(INDEX(Avulsos!$D$6:$D$205,$C1257)&amp;""="","Outro",INDEX(Avulsos!$D$6:$D$205,$C1257))))</f>
        <v/>
      </c>
      <c r="J1257" s="114" t="str">
        <f aca="false">IF($E1257="","",IF($B1257="Tema",INDEX(Temas!$C$6:$C$305,$C1257)&amp;"",INDEX(Avulsos!$E$6:$E$205,$C1257)&amp;""))</f>
        <v/>
      </c>
      <c r="K1257" s="114" t="str">
        <f aca="false">IF($E1257="","",IF(IF($B1257="Tema",INDEX(Temas!$E$6:$P$305,$C1257,2*$D1257),INDEX(Avulsos!$F$6:$F$205,$C1257))&amp;""="","","✓"))</f>
        <v/>
      </c>
      <c r="L1257" s="114" t="str">
        <f aca="true">IF($E1257="","",IF($K1257="✓","Concluído",IF($E1257&lt;TODAY(),"Atrasado",IF($E1257=TODAY(),"Hoje","Pendente"))))</f>
        <v/>
      </c>
      <c r="M1257" s="114" t="str">
        <f aca="false">IF($E1257="","",IF($K1257="✓","✓ ","")&amp;IF(Config!$E$22="Sim",$H1257&amp;" · ","")&amp;$F1257)</f>
        <v/>
      </c>
      <c r="N1257" s="114" t="str">
        <f aca="false">IF($E1257="","",IFERROR(INDEX(Config!$D$15:$D$19,MATCH($I1257,Config!$C$15:$C$19,0)),"OUT")&amp;IF($K1257="✓","x",""))</f>
        <v/>
      </c>
      <c r="O1257" s="114" t="str">
        <f aca="false">IF($E1257="","",COUNTIF($E$5:$E1257,$E1257))</f>
        <v/>
      </c>
      <c r="P1257" s="114" t="str">
        <f aca="false">IF($E1257="","",$E1257*100+$O1257)</f>
        <v/>
      </c>
      <c r="Q1257" s="114" t="str">
        <f aca="false">IF($L1257="Atrasado",$E1257*10000+$A1257,"")</f>
        <v/>
      </c>
    </row>
    <row r="1258" customFormat="false" ht="15" hidden="false" customHeight="false" outlineLevel="0" collapsed="false">
      <c r="A1258" s="114" t="n">
        <f aca="false">ROW()-4</f>
        <v>1254</v>
      </c>
      <c r="B1258" s="114" t="str">
        <f aca="false">IF(A1258&lt;=Config!$E$27*Config!$E$28,"Tema","Avulso")</f>
        <v>Tema</v>
      </c>
      <c r="C1258" s="114" t="n">
        <f aca="false">IF(B1258="Tema",INT((A1258-1)/Config!$E$28)+1,A1258-Config!$E$27*Config!$E$28)</f>
        <v>209</v>
      </c>
      <c r="D1258" s="114" t="n">
        <f aca="false">IF(B1258="Tema",MOD(A1258-1,Config!$E$28)+1,"")</f>
        <v>6</v>
      </c>
      <c r="E1258" s="115" t="str">
        <f aca="false">IF($B1258="Tema",IF(ISNUMBER(INDEX(Temas!$E$6:$P$305,$C1258,2*$D1258-1)),INDEX(Temas!$E$6:$P$305,$C1258,2*$D1258-1),""),IF(ISNUMBER(INDEX(Avulsos!$B$6:$B$205,$C1258)),INDEX(Avulsos!$B$6:$B$205,$C1258),""))</f>
        <v/>
      </c>
      <c r="F1258" s="114" t="str">
        <f aca="false">IF($E1258="","",IF($B1258="Tema",INDEX(Temas!$B$6:$B$305,$C1258)&amp;"",INDEX(Avulsos!$C$6:$C$205,$C1258)&amp;""))</f>
        <v/>
      </c>
      <c r="G1258" s="114" t="str">
        <f aca="false">IF($E1258="","",IF($B1258="Tema",INDEX(Config!$C$6:$C$11,$D1258),"Evento avulso"))</f>
        <v/>
      </c>
      <c r="H1258" s="114" t="str">
        <f aca="false">IF($E1258="","",IF($B1258="Tema",INDEX(Config!$D$6:$D$11,$D1258),IFERROR(INDEX(Config!$E$15:$E$19,MATCH($I1258,Config!$C$15:$C$19,0)),"•")))</f>
        <v/>
      </c>
      <c r="I1258" s="114" t="str">
        <f aca="false">IF($E1258="","",IF($B1258="Tema",INDEX(Config!$E$6:$E$11,$D1258),IF(INDEX(Avulsos!$D$6:$D$205,$C1258)&amp;""="","Outro",INDEX(Avulsos!$D$6:$D$205,$C1258))))</f>
        <v/>
      </c>
      <c r="J1258" s="114" t="str">
        <f aca="false">IF($E1258="","",IF($B1258="Tema",INDEX(Temas!$C$6:$C$305,$C1258)&amp;"",INDEX(Avulsos!$E$6:$E$205,$C1258)&amp;""))</f>
        <v/>
      </c>
      <c r="K1258" s="114" t="str">
        <f aca="false">IF($E1258="","",IF(IF($B1258="Tema",INDEX(Temas!$E$6:$P$305,$C1258,2*$D1258),INDEX(Avulsos!$F$6:$F$205,$C1258))&amp;""="","","✓"))</f>
        <v/>
      </c>
      <c r="L1258" s="114" t="str">
        <f aca="true">IF($E1258="","",IF($K1258="✓","Concluído",IF($E1258&lt;TODAY(),"Atrasado",IF($E1258=TODAY(),"Hoje","Pendente"))))</f>
        <v/>
      </c>
      <c r="M1258" s="114" t="str">
        <f aca="false">IF($E1258="","",IF($K1258="✓","✓ ","")&amp;IF(Config!$E$22="Sim",$H1258&amp;" · ","")&amp;$F1258)</f>
        <v/>
      </c>
      <c r="N1258" s="114" t="str">
        <f aca="false">IF($E1258="","",IFERROR(INDEX(Config!$D$15:$D$19,MATCH($I1258,Config!$C$15:$C$19,0)),"OUT")&amp;IF($K1258="✓","x",""))</f>
        <v/>
      </c>
      <c r="O1258" s="114" t="str">
        <f aca="false">IF($E1258="","",COUNTIF($E$5:$E1258,$E1258))</f>
        <v/>
      </c>
      <c r="P1258" s="114" t="str">
        <f aca="false">IF($E1258="","",$E1258*100+$O1258)</f>
        <v/>
      </c>
      <c r="Q1258" s="114" t="str">
        <f aca="false">IF($L1258="Atrasado",$E1258*10000+$A1258,"")</f>
        <v/>
      </c>
    </row>
    <row r="1259" customFormat="false" ht="15" hidden="false" customHeight="false" outlineLevel="0" collapsed="false">
      <c r="A1259" s="114" t="n">
        <f aca="false">ROW()-4</f>
        <v>1255</v>
      </c>
      <c r="B1259" s="114" t="str">
        <f aca="false">IF(A1259&lt;=Config!$E$27*Config!$E$28,"Tema","Avulso")</f>
        <v>Tema</v>
      </c>
      <c r="C1259" s="114" t="n">
        <f aca="false">IF(B1259="Tema",INT((A1259-1)/Config!$E$28)+1,A1259-Config!$E$27*Config!$E$28)</f>
        <v>210</v>
      </c>
      <c r="D1259" s="114" t="n">
        <f aca="false">IF(B1259="Tema",MOD(A1259-1,Config!$E$28)+1,"")</f>
        <v>1</v>
      </c>
      <c r="E1259" s="115" t="str">
        <f aca="false">IF($B1259="Tema",IF(ISNUMBER(INDEX(Temas!$E$6:$P$305,$C1259,2*$D1259-1)),INDEX(Temas!$E$6:$P$305,$C1259,2*$D1259-1),""),IF(ISNUMBER(INDEX(Avulsos!$B$6:$B$205,$C1259)),INDEX(Avulsos!$B$6:$B$205,$C1259),""))</f>
        <v/>
      </c>
      <c r="F1259" s="114" t="str">
        <f aca="false">IF($E1259="","",IF($B1259="Tema",INDEX(Temas!$B$6:$B$305,$C1259)&amp;"",INDEX(Avulsos!$C$6:$C$205,$C1259)&amp;""))</f>
        <v/>
      </c>
      <c r="G1259" s="114" t="str">
        <f aca="false">IF($E1259="","",IF($B1259="Tema",INDEX(Config!$C$6:$C$11,$D1259),"Evento avulso"))</f>
        <v/>
      </c>
      <c r="H1259" s="114" t="str">
        <f aca="false">IF($E1259="","",IF($B1259="Tema",INDEX(Config!$D$6:$D$11,$D1259),IFERROR(INDEX(Config!$E$15:$E$19,MATCH($I1259,Config!$C$15:$C$19,0)),"•")))</f>
        <v/>
      </c>
      <c r="I1259" s="114" t="str">
        <f aca="false">IF($E1259="","",IF($B1259="Tema",INDEX(Config!$E$6:$E$11,$D1259),IF(INDEX(Avulsos!$D$6:$D$205,$C1259)&amp;""="","Outro",INDEX(Avulsos!$D$6:$D$205,$C1259))))</f>
        <v/>
      </c>
      <c r="J1259" s="114" t="str">
        <f aca="false">IF($E1259="","",IF($B1259="Tema",INDEX(Temas!$C$6:$C$305,$C1259)&amp;"",INDEX(Avulsos!$E$6:$E$205,$C1259)&amp;""))</f>
        <v/>
      </c>
      <c r="K1259" s="114" t="str">
        <f aca="false">IF($E1259="","",IF(IF($B1259="Tema",INDEX(Temas!$E$6:$P$305,$C1259,2*$D1259),INDEX(Avulsos!$F$6:$F$205,$C1259))&amp;""="","","✓"))</f>
        <v/>
      </c>
      <c r="L1259" s="114" t="str">
        <f aca="true">IF($E1259="","",IF($K1259="✓","Concluído",IF($E1259&lt;TODAY(),"Atrasado",IF($E1259=TODAY(),"Hoje","Pendente"))))</f>
        <v/>
      </c>
      <c r="M1259" s="114" t="str">
        <f aca="false">IF($E1259="","",IF($K1259="✓","✓ ","")&amp;IF(Config!$E$22="Sim",$H1259&amp;" · ","")&amp;$F1259)</f>
        <v/>
      </c>
      <c r="N1259" s="114" t="str">
        <f aca="false">IF($E1259="","",IFERROR(INDEX(Config!$D$15:$D$19,MATCH($I1259,Config!$C$15:$C$19,0)),"OUT")&amp;IF($K1259="✓","x",""))</f>
        <v/>
      </c>
      <c r="O1259" s="114" t="str">
        <f aca="false">IF($E1259="","",COUNTIF($E$5:$E1259,$E1259))</f>
        <v/>
      </c>
      <c r="P1259" s="114" t="str">
        <f aca="false">IF($E1259="","",$E1259*100+$O1259)</f>
        <v/>
      </c>
      <c r="Q1259" s="114" t="str">
        <f aca="false">IF($L1259="Atrasado",$E1259*10000+$A1259,"")</f>
        <v/>
      </c>
    </row>
    <row r="1260" customFormat="false" ht="15" hidden="false" customHeight="false" outlineLevel="0" collapsed="false">
      <c r="A1260" s="114" t="n">
        <f aca="false">ROW()-4</f>
        <v>1256</v>
      </c>
      <c r="B1260" s="114" t="str">
        <f aca="false">IF(A1260&lt;=Config!$E$27*Config!$E$28,"Tema","Avulso")</f>
        <v>Tema</v>
      </c>
      <c r="C1260" s="114" t="n">
        <f aca="false">IF(B1260="Tema",INT((A1260-1)/Config!$E$28)+1,A1260-Config!$E$27*Config!$E$28)</f>
        <v>210</v>
      </c>
      <c r="D1260" s="114" t="n">
        <f aca="false">IF(B1260="Tema",MOD(A1260-1,Config!$E$28)+1,"")</f>
        <v>2</v>
      </c>
      <c r="E1260" s="115" t="str">
        <f aca="false">IF($B1260="Tema",IF(ISNUMBER(INDEX(Temas!$E$6:$P$305,$C1260,2*$D1260-1)),INDEX(Temas!$E$6:$P$305,$C1260,2*$D1260-1),""),IF(ISNUMBER(INDEX(Avulsos!$B$6:$B$205,$C1260)),INDEX(Avulsos!$B$6:$B$205,$C1260),""))</f>
        <v/>
      </c>
      <c r="F1260" s="114" t="str">
        <f aca="false">IF($E1260="","",IF($B1260="Tema",INDEX(Temas!$B$6:$B$305,$C1260)&amp;"",INDEX(Avulsos!$C$6:$C$205,$C1260)&amp;""))</f>
        <v/>
      </c>
      <c r="G1260" s="114" t="str">
        <f aca="false">IF($E1260="","",IF($B1260="Tema",INDEX(Config!$C$6:$C$11,$D1260),"Evento avulso"))</f>
        <v/>
      </c>
      <c r="H1260" s="114" t="str">
        <f aca="false">IF($E1260="","",IF($B1260="Tema",INDEX(Config!$D$6:$D$11,$D1260),IFERROR(INDEX(Config!$E$15:$E$19,MATCH($I1260,Config!$C$15:$C$19,0)),"•")))</f>
        <v/>
      </c>
      <c r="I1260" s="114" t="str">
        <f aca="false">IF($E1260="","",IF($B1260="Tema",INDEX(Config!$E$6:$E$11,$D1260),IF(INDEX(Avulsos!$D$6:$D$205,$C1260)&amp;""="","Outro",INDEX(Avulsos!$D$6:$D$205,$C1260))))</f>
        <v/>
      </c>
      <c r="J1260" s="114" t="str">
        <f aca="false">IF($E1260="","",IF($B1260="Tema",INDEX(Temas!$C$6:$C$305,$C1260)&amp;"",INDEX(Avulsos!$E$6:$E$205,$C1260)&amp;""))</f>
        <v/>
      </c>
      <c r="K1260" s="114" t="str">
        <f aca="false">IF($E1260="","",IF(IF($B1260="Tema",INDEX(Temas!$E$6:$P$305,$C1260,2*$D1260),INDEX(Avulsos!$F$6:$F$205,$C1260))&amp;""="","","✓"))</f>
        <v/>
      </c>
      <c r="L1260" s="114" t="str">
        <f aca="true">IF($E1260="","",IF($K1260="✓","Concluído",IF($E1260&lt;TODAY(),"Atrasado",IF($E1260=TODAY(),"Hoje","Pendente"))))</f>
        <v/>
      </c>
      <c r="M1260" s="114" t="str">
        <f aca="false">IF($E1260="","",IF($K1260="✓","✓ ","")&amp;IF(Config!$E$22="Sim",$H1260&amp;" · ","")&amp;$F1260)</f>
        <v/>
      </c>
      <c r="N1260" s="114" t="str">
        <f aca="false">IF($E1260="","",IFERROR(INDEX(Config!$D$15:$D$19,MATCH($I1260,Config!$C$15:$C$19,0)),"OUT")&amp;IF($K1260="✓","x",""))</f>
        <v/>
      </c>
      <c r="O1260" s="114" t="str">
        <f aca="false">IF($E1260="","",COUNTIF($E$5:$E1260,$E1260))</f>
        <v/>
      </c>
      <c r="P1260" s="114" t="str">
        <f aca="false">IF($E1260="","",$E1260*100+$O1260)</f>
        <v/>
      </c>
      <c r="Q1260" s="114" t="str">
        <f aca="false">IF($L1260="Atrasado",$E1260*10000+$A1260,"")</f>
        <v/>
      </c>
    </row>
    <row r="1261" customFormat="false" ht="15" hidden="false" customHeight="false" outlineLevel="0" collapsed="false">
      <c r="A1261" s="114" t="n">
        <f aca="false">ROW()-4</f>
        <v>1257</v>
      </c>
      <c r="B1261" s="114" t="str">
        <f aca="false">IF(A1261&lt;=Config!$E$27*Config!$E$28,"Tema","Avulso")</f>
        <v>Tema</v>
      </c>
      <c r="C1261" s="114" t="n">
        <f aca="false">IF(B1261="Tema",INT((A1261-1)/Config!$E$28)+1,A1261-Config!$E$27*Config!$E$28)</f>
        <v>210</v>
      </c>
      <c r="D1261" s="114" t="n">
        <f aca="false">IF(B1261="Tema",MOD(A1261-1,Config!$E$28)+1,"")</f>
        <v>3</v>
      </c>
      <c r="E1261" s="115" t="str">
        <f aca="false">IF($B1261="Tema",IF(ISNUMBER(INDEX(Temas!$E$6:$P$305,$C1261,2*$D1261-1)),INDEX(Temas!$E$6:$P$305,$C1261,2*$D1261-1),""),IF(ISNUMBER(INDEX(Avulsos!$B$6:$B$205,$C1261)),INDEX(Avulsos!$B$6:$B$205,$C1261),""))</f>
        <v/>
      </c>
      <c r="F1261" s="114" t="str">
        <f aca="false">IF($E1261="","",IF($B1261="Tema",INDEX(Temas!$B$6:$B$305,$C1261)&amp;"",INDEX(Avulsos!$C$6:$C$205,$C1261)&amp;""))</f>
        <v/>
      </c>
      <c r="G1261" s="114" t="str">
        <f aca="false">IF($E1261="","",IF($B1261="Tema",INDEX(Config!$C$6:$C$11,$D1261),"Evento avulso"))</f>
        <v/>
      </c>
      <c r="H1261" s="114" t="str">
        <f aca="false">IF($E1261="","",IF($B1261="Tema",INDEX(Config!$D$6:$D$11,$D1261),IFERROR(INDEX(Config!$E$15:$E$19,MATCH($I1261,Config!$C$15:$C$19,0)),"•")))</f>
        <v/>
      </c>
      <c r="I1261" s="114" t="str">
        <f aca="false">IF($E1261="","",IF($B1261="Tema",INDEX(Config!$E$6:$E$11,$D1261),IF(INDEX(Avulsos!$D$6:$D$205,$C1261)&amp;""="","Outro",INDEX(Avulsos!$D$6:$D$205,$C1261))))</f>
        <v/>
      </c>
      <c r="J1261" s="114" t="str">
        <f aca="false">IF($E1261="","",IF($B1261="Tema",INDEX(Temas!$C$6:$C$305,$C1261)&amp;"",INDEX(Avulsos!$E$6:$E$205,$C1261)&amp;""))</f>
        <v/>
      </c>
      <c r="K1261" s="114" t="str">
        <f aca="false">IF($E1261="","",IF(IF($B1261="Tema",INDEX(Temas!$E$6:$P$305,$C1261,2*$D1261),INDEX(Avulsos!$F$6:$F$205,$C1261))&amp;""="","","✓"))</f>
        <v/>
      </c>
      <c r="L1261" s="114" t="str">
        <f aca="true">IF($E1261="","",IF($K1261="✓","Concluído",IF($E1261&lt;TODAY(),"Atrasado",IF($E1261=TODAY(),"Hoje","Pendente"))))</f>
        <v/>
      </c>
      <c r="M1261" s="114" t="str">
        <f aca="false">IF($E1261="","",IF($K1261="✓","✓ ","")&amp;IF(Config!$E$22="Sim",$H1261&amp;" · ","")&amp;$F1261)</f>
        <v/>
      </c>
      <c r="N1261" s="114" t="str">
        <f aca="false">IF($E1261="","",IFERROR(INDEX(Config!$D$15:$D$19,MATCH($I1261,Config!$C$15:$C$19,0)),"OUT")&amp;IF($K1261="✓","x",""))</f>
        <v/>
      </c>
      <c r="O1261" s="114" t="str">
        <f aca="false">IF($E1261="","",COUNTIF($E$5:$E1261,$E1261))</f>
        <v/>
      </c>
      <c r="P1261" s="114" t="str">
        <f aca="false">IF($E1261="","",$E1261*100+$O1261)</f>
        <v/>
      </c>
      <c r="Q1261" s="114" t="str">
        <f aca="false">IF($L1261="Atrasado",$E1261*10000+$A1261,"")</f>
        <v/>
      </c>
    </row>
    <row r="1262" customFormat="false" ht="15" hidden="false" customHeight="false" outlineLevel="0" collapsed="false">
      <c r="A1262" s="114" t="n">
        <f aca="false">ROW()-4</f>
        <v>1258</v>
      </c>
      <c r="B1262" s="114" t="str">
        <f aca="false">IF(A1262&lt;=Config!$E$27*Config!$E$28,"Tema","Avulso")</f>
        <v>Tema</v>
      </c>
      <c r="C1262" s="114" t="n">
        <f aca="false">IF(B1262="Tema",INT((A1262-1)/Config!$E$28)+1,A1262-Config!$E$27*Config!$E$28)</f>
        <v>210</v>
      </c>
      <c r="D1262" s="114" t="n">
        <f aca="false">IF(B1262="Tema",MOD(A1262-1,Config!$E$28)+1,"")</f>
        <v>4</v>
      </c>
      <c r="E1262" s="115" t="str">
        <f aca="false">IF($B1262="Tema",IF(ISNUMBER(INDEX(Temas!$E$6:$P$305,$C1262,2*$D1262-1)),INDEX(Temas!$E$6:$P$305,$C1262,2*$D1262-1),""),IF(ISNUMBER(INDEX(Avulsos!$B$6:$B$205,$C1262)),INDEX(Avulsos!$B$6:$B$205,$C1262),""))</f>
        <v/>
      </c>
      <c r="F1262" s="114" t="str">
        <f aca="false">IF($E1262="","",IF($B1262="Tema",INDEX(Temas!$B$6:$B$305,$C1262)&amp;"",INDEX(Avulsos!$C$6:$C$205,$C1262)&amp;""))</f>
        <v/>
      </c>
      <c r="G1262" s="114" t="str">
        <f aca="false">IF($E1262="","",IF($B1262="Tema",INDEX(Config!$C$6:$C$11,$D1262),"Evento avulso"))</f>
        <v/>
      </c>
      <c r="H1262" s="114" t="str">
        <f aca="false">IF($E1262="","",IF($B1262="Tema",INDEX(Config!$D$6:$D$11,$D1262),IFERROR(INDEX(Config!$E$15:$E$19,MATCH($I1262,Config!$C$15:$C$19,0)),"•")))</f>
        <v/>
      </c>
      <c r="I1262" s="114" t="str">
        <f aca="false">IF($E1262="","",IF($B1262="Tema",INDEX(Config!$E$6:$E$11,$D1262),IF(INDEX(Avulsos!$D$6:$D$205,$C1262)&amp;""="","Outro",INDEX(Avulsos!$D$6:$D$205,$C1262))))</f>
        <v/>
      </c>
      <c r="J1262" s="114" t="str">
        <f aca="false">IF($E1262="","",IF($B1262="Tema",INDEX(Temas!$C$6:$C$305,$C1262)&amp;"",INDEX(Avulsos!$E$6:$E$205,$C1262)&amp;""))</f>
        <v/>
      </c>
      <c r="K1262" s="114" t="str">
        <f aca="false">IF($E1262="","",IF(IF($B1262="Tema",INDEX(Temas!$E$6:$P$305,$C1262,2*$D1262),INDEX(Avulsos!$F$6:$F$205,$C1262))&amp;""="","","✓"))</f>
        <v/>
      </c>
      <c r="L1262" s="114" t="str">
        <f aca="true">IF($E1262="","",IF($K1262="✓","Concluído",IF($E1262&lt;TODAY(),"Atrasado",IF($E1262=TODAY(),"Hoje","Pendente"))))</f>
        <v/>
      </c>
      <c r="M1262" s="114" t="str">
        <f aca="false">IF($E1262="","",IF($K1262="✓","✓ ","")&amp;IF(Config!$E$22="Sim",$H1262&amp;" · ","")&amp;$F1262)</f>
        <v/>
      </c>
      <c r="N1262" s="114" t="str">
        <f aca="false">IF($E1262="","",IFERROR(INDEX(Config!$D$15:$D$19,MATCH($I1262,Config!$C$15:$C$19,0)),"OUT")&amp;IF($K1262="✓","x",""))</f>
        <v/>
      </c>
      <c r="O1262" s="114" t="str">
        <f aca="false">IF($E1262="","",COUNTIF($E$5:$E1262,$E1262))</f>
        <v/>
      </c>
      <c r="P1262" s="114" t="str">
        <f aca="false">IF($E1262="","",$E1262*100+$O1262)</f>
        <v/>
      </c>
      <c r="Q1262" s="114" t="str">
        <f aca="false">IF($L1262="Atrasado",$E1262*10000+$A1262,"")</f>
        <v/>
      </c>
    </row>
    <row r="1263" customFormat="false" ht="15" hidden="false" customHeight="false" outlineLevel="0" collapsed="false">
      <c r="A1263" s="114" t="n">
        <f aca="false">ROW()-4</f>
        <v>1259</v>
      </c>
      <c r="B1263" s="114" t="str">
        <f aca="false">IF(A1263&lt;=Config!$E$27*Config!$E$28,"Tema","Avulso")</f>
        <v>Tema</v>
      </c>
      <c r="C1263" s="114" t="n">
        <f aca="false">IF(B1263="Tema",INT((A1263-1)/Config!$E$28)+1,A1263-Config!$E$27*Config!$E$28)</f>
        <v>210</v>
      </c>
      <c r="D1263" s="114" t="n">
        <f aca="false">IF(B1263="Tema",MOD(A1263-1,Config!$E$28)+1,"")</f>
        <v>5</v>
      </c>
      <c r="E1263" s="115" t="str">
        <f aca="false">IF($B1263="Tema",IF(ISNUMBER(INDEX(Temas!$E$6:$P$305,$C1263,2*$D1263-1)),INDEX(Temas!$E$6:$P$305,$C1263,2*$D1263-1),""),IF(ISNUMBER(INDEX(Avulsos!$B$6:$B$205,$C1263)),INDEX(Avulsos!$B$6:$B$205,$C1263),""))</f>
        <v/>
      </c>
      <c r="F1263" s="114" t="str">
        <f aca="false">IF($E1263="","",IF($B1263="Tema",INDEX(Temas!$B$6:$B$305,$C1263)&amp;"",INDEX(Avulsos!$C$6:$C$205,$C1263)&amp;""))</f>
        <v/>
      </c>
      <c r="G1263" s="114" t="str">
        <f aca="false">IF($E1263="","",IF($B1263="Tema",INDEX(Config!$C$6:$C$11,$D1263),"Evento avulso"))</f>
        <v/>
      </c>
      <c r="H1263" s="114" t="str">
        <f aca="false">IF($E1263="","",IF($B1263="Tema",INDEX(Config!$D$6:$D$11,$D1263),IFERROR(INDEX(Config!$E$15:$E$19,MATCH($I1263,Config!$C$15:$C$19,0)),"•")))</f>
        <v/>
      </c>
      <c r="I1263" s="114" t="str">
        <f aca="false">IF($E1263="","",IF($B1263="Tema",INDEX(Config!$E$6:$E$11,$D1263),IF(INDEX(Avulsos!$D$6:$D$205,$C1263)&amp;""="","Outro",INDEX(Avulsos!$D$6:$D$205,$C1263))))</f>
        <v/>
      </c>
      <c r="J1263" s="114" t="str">
        <f aca="false">IF($E1263="","",IF($B1263="Tema",INDEX(Temas!$C$6:$C$305,$C1263)&amp;"",INDEX(Avulsos!$E$6:$E$205,$C1263)&amp;""))</f>
        <v/>
      </c>
      <c r="K1263" s="114" t="str">
        <f aca="false">IF($E1263="","",IF(IF($B1263="Tema",INDEX(Temas!$E$6:$P$305,$C1263,2*$D1263),INDEX(Avulsos!$F$6:$F$205,$C1263))&amp;""="","","✓"))</f>
        <v/>
      </c>
      <c r="L1263" s="114" t="str">
        <f aca="true">IF($E1263="","",IF($K1263="✓","Concluído",IF($E1263&lt;TODAY(),"Atrasado",IF($E1263=TODAY(),"Hoje","Pendente"))))</f>
        <v/>
      </c>
      <c r="M1263" s="114" t="str">
        <f aca="false">IF($E1263="","",IF($K1263="✓","✓ ","")&amp;IF(Config!$E$22="Sim",$H1263&amp;" · ","")&amp;$F1263)</f>
        <v/>
      </c>
      <c r="N1263" s="114" t="str">
        <f aca="false">IF($E1263="","",IFERROR(INDEX(Config!$D$15:$D$19,MATCH($I1263,Config!$C$15:$C$19,0)),"OUT")&amp;IF($K1263="✓","x",""))</f>
        <v/>
      </c>
      <c r="O1263" s="114" t="str">
        <f aca="false">IF($E1263="","",COUNTIF($E$5:$E1263,$E1263))</f>
        <v/>
      </c>
      <c r="P1263" s="114" t="str">
        <f aca="false">IF($E1263="","",$E1263*100+$O1263)</f>
        <v/>
      </c>
      <c r="Q1263" s="114" t="str">
        <f aca="false">IF($L1263="Atrasado",$E1263*10000+$A1263,"")</f>
        <v/>
      </c>
    </row>
    <row r="1264" customFormat="false" ht="15" hidden="false" customHeight="false" outlineLevel="0" collapsed="false">
      <c r="A1264" s="114" t="n">
        <f aca="false">ROW()-4</f>
        <v>1260</v>
      </c>
      <c r="B1264" s="114" t="str">
        <f aca="false">IF(A1264&lt;=Config!$E$27*Config!$E$28,"Tema","Avulso")</f>
        <v>Tema</v>
      </c>
      <c r="C1264" s="114" t="n">
        <f aca="false">IF(B1264="Tema",INT((A1264-1)/Config!$E$28)+1,A1264-Config!$E$27*Config!$E$28)</f>
        <v>210</v>
      </c>
      <c r="D1264" s="114" t="n">
        <f aca="false">IF(B1264="Tema",MOD(A1264-1,Config!$E$28)+1,"")</f>
        <v>6</v>
      </c>
      <c r="E1264" s="115" t="str">
        <f aca="false">IF($B1264="Tema",IF(ISNUMBER(INDEX(Temas!$E$6:$P$305,$C1264,2*$D1264-1)),INDEX(Temas!$E$6:$P$305,$C1264,2*$D1264-1),""),IF(ISNUMBER(INDEX(Avulsos!$B$6:$B$205,$C1264)),INDEX(Avulsos!$B$6:$B$205,$C1264),""))</f>
        <v/>
      </c>
      <c r="F1264" s="114" t="str">
        <f aca="false">IF($E1264="","",IF($B1264="Tema",INDEX(Temas!$B$6:$B$305,$C1264)&amp;"",INDEX(Avulsos!$C$6:$C$205,$C1264)&amp;""))</f>
        <v/>
      </c>
      <c r="G1264" s="114" t="str">
        <f aca="false">IF($E1264="","",IF($B1264="Tema",INDEX(Config!$C$6:$C$11,$D1264),"Evento avulso"))</f>
        <v/>
      </c>
      <c r="H1264" s="114" t="str">
        <f aca="false">IF($E1264="","",IF($B1264="Tema",INDEX(Config!$D$6:$D$11,$D1264),IFERROR(INDEX(Config!$E$15:$E$19,MATCH($I1264,Config!$C$15:$C$19,0)),"•")))</f>
        <v/>
      </c>
      <c r="I1264" s="114" t="str">
        <f aca="false">IF($E1264="","",IF($B1264="Tema",INDEX(Config!$E$6:$E$11,$D1264),IF(INDEX(Avulsos!$D$6:$D$205,$C1264)&amp;""="","Outro",INDEX(Avulsos!$D$6:$D$205,$C1264))))</f>
        <v/>
      </c>
      <c r="J1264" s="114" t="str">
        <f aca="false">IF($E1264="","",IF($B1264="Tema",INDEX(Temas!$C$6:$C$305,$C1264)&amp;"",INDEX(Avulsos!$E$6:$E$205,$C1264)&amp;""))</f>
        <v/>
      </c>
      <c r="K1264" s="114" t="str">
        <f aca="false">IF($E1264="","",IF(IF($B1264="Tema",INDEX(Temas!$E$6:$P$305,$C1264,2*$D1264),INDEX(Avulsos!$F$6:$F$205,$C1264))&amp;""="","","✓"))</f>
        <v/>
      </c>
      <c r="L1264" s="114" t="str">
        <f aca="true">IF($E1264="","",IF($K1264="✓","Concluído",IF($E1264&lt;TODAY(),"Atrasado",IF($E1264=TODAY(),"Hoje","Pendente"))))</f>
        <v/>
      </c>
      <c r="M1264" s="114" t="str">
        <f aca="false">IF($E1264="","",IF($K1264="✓","✓ ","")&amp;IF(Config!$E$22="Sim",$H1264&amp;" · ","")&amp;$F1264)</f>
        <v/>
      </c>
      <c r="N1264" s="114" t="str">
        <f aca="false">IF($E1264="","",IFERROR(INDEX(Config!$D$15:$D$19,MATCH($I1264,Config!$C$15:$C$19,0)),"OUT")&amp;IF($K1264="✓","x",""))</f>
        <v/>
      </c>
      <c r="O1264" s="114" t="str">
        <f aca="false">IF($E1264="","",COUNTIF($E$5:$E1264,$E1264))</f>
        <v/>
      </c>
      <c r="P1264" s="114" t="str">
        <f aca="false">IF($E1264="","",$E1264*100+$O1264)</f>
        <v/>
      </c>
      <c r="Q1264" s="114" t="str">
        <f aca="false">IF($L1264="Atrasado",$E1264*10000+$A1264,"")</f>
        <v/>
      </c>
    </row>
    <row r="1265" customFormat="false" ht="15" hidden="false" customHeight="false" outlineLevel="0" collapsed="false">
      <c r="A1265" s="114" t="n">
        <f aca="false">ROW()-4</f>
        <v>1261</v>
      </c>
      <c r="B1265" s="114" t="str">
        <f aca="false">IF(A1265&lt;=Config!$E$27*Config!$E$28,"Tema","Avulso")</f>
        <v>Tema</v>
      </c>
      <c r="C1265" s="114" t="n">
        <f aca="false">IF(B1265="Tema",INT((A1265-1)/Config!$E$28)+1,A1265-Config!$E$27*Config!$E$28)</f>
        <v>211</v>
      </c>
      <c r="D1265" s="114" t="n">
        <f aca="false">IF(B1265="Tema",MOD(A1265-1,Config!$E$28)+1,"")</f>
        <v>1</v>
      </c>
      <c r="E1265" s="115" t="str">
        <f aca="false">IF($B1265="Tema",IF(ISNUMBER(INDEX(Temas!$E$6:$P$305,$C1265,2*$D1265-1)),INDEX(Temas!$E$6:$P$305,$C1265,2*$D1265-1),""),IF(ISNUMBER(INDEX(Avulsos!$B$6:$B$205,$C1265)),INDEX(Avulsos!$B$6:$B$205,$C1265),""))</f>
        <v/>
      </c>
      <c r="F1265" s="114" t="str">
        <f aca="false">IF($E1265="","",IF($B1265="Tema",INDEX(Temas!$B$6:$B$305,$C1265)&amp;"",INDEX(Avulsos!$C$6:$C$205,$C1265)&amp;""))</f>
        <v/>
      </c>
      <c r="G1265" s="114" t="str">
        <f aca="false">IF($E1265="","",IF($B1265="Tema",INDEX(Config!$C$6:$C$11,$D1265),"Evento avulso"))</f>
        <v/>
      </c>
      <c r="H1265" s="114" t="str">
        <f aca="false">IF($E1265="","",IF($B1265="Tema",INDEX(Config!$D$6:$D$11,$D1265),IFERROR(INDEX(Config!$E$15:$E$19,MATCH($I1265,Config!$C$15:$C$19,0)),"•")))</f>
        <v/>
      </c>
      <c r="I1265" s="114" t="str">
        <f aca="false">IF($E1265="","",IF($B1265="Tema",INDEX(Config!$E$6:$E$11,$D1265),IF(INDEX(Avulsos!$D$6:$D$205,$C1265)&amp;""="","Outro",INDEX(Avulsos!$D$6:$D$205,$C1265))))</f>
        <v/>
      </c>
      <c r="J1265" s="114" t="str">
        <f aca="false">IF($E1265="","",IF($B1265="Tema",INDEX(Temas!$C$6:$C$305,$C1265)&amp;"",INDEX(Avulsos!$E$6:$E$205,$C1265)&amp;""))</f>
        <v/>
      </c>
      <c r="K1265" s="114" t="str">
        <f aca="false">IF($E1265="","",IF(IF($B1265="Tema",INDEX(Temas!$E$6:$P$305,$C1265,2*$D1265),INDEX(Avulsos!$F$6:$F$205,$C1265))&amp;""="","","✓"))</f>
        <v/>
      </c>
      <c r="L1265" s="114" t="str">
        <f aca="true">IF($E1265="","",IF($K1265="✓","Concluído",IF($E1265&lt;TODAY(),"Atrasado",IF($E1265=TODAY(),"Hoje","Pendente"))))</f>
        <v/>
      </c>
      <c r="M1265" s="114" t="str">
        <f aca="false">IF($E1265="","",IF($K1265="✓","✓ ","")&amp;IF(Config!$E$22="Sim",$H1265&amp;" · ","")&amp;$F1265)</f>
        <v/>
      </c>
      <c r="N1265" s="114" t="str">
        <f aca="false">IF($E1265="","",IFERROR(INDEX(Config!$D$15:$D$19,MATCH($I1265,Config!$C$15:$C$19,0)),"OUT")&amp;IF($K1265="✓","x",""))</f>
        <v/>
      </c>
      <c r="O1265" s="114" t="str">
        <f aca="false">IF($E1265="","",COUNTIF($E$5:$E1265,$E1265))</f>
        <v/>
      </c>
      <c r="P1265" s="114" t="str">
        <f aca="false">IF($E1265="","",$E1265*100+$O1265)</f>
        <v/>
      </c>
      <c r="Q1265" s="114" t="str">
        <f aca="false">IF($L1265="Atrasado",$E1265*10000+$A1265,"")</f>
        <v/>
      </c>
    </row>
    <row r="1266" customFormat="false" ht="15" hidden="false" customHeight="false" outlineLevel="0" collapsed="false">
      <c r="A1266" s="114" t="n">
        <f aca="false">ROW()-4</f>
        <v>1262</v>
      </c>
      <c r="B1266" s="114" t="str">
        <f aca="false">IF(A1266&lt;=Config!$E$27*Config!$E$28,"Tema","Avulso")</f>
        <v>Tema</v>
      </c>
      <c r="C1266" s="114" t="n">
        <f aca="false">IF(B1266="Tema",INT((A1266-1)/Config!$E$28)+1,A1266-Config!$E$27*Config!$E$28)</f>
        <v>211</v>
      </c>
      <c r="D1266" s="114" t="n">
        <f aca="false">IF(B1266="Tema",MOD(A1266-1,Config!$E$28)+1,"")</f>
        <v>2</v>
      </c>
      <c r="E1266" s="115" t="str">
        <f aca="false">IF($B1266="Tema",IF(ISNUMBER(INDEX(Temas!$E$6:$P$305,$C1266,2*$D1266-1)),INDEX(Temas!$E$6:$P$305,$C1266,2*$D1266-1),""),IF(ISNUMBER(INDEX(Avulsos!$B$6:$B$205,$C1266)),INDEX(Avulsos!$B$6:$B$205,$C1266),""))</f>
        <v/>
      </c>
      <c r="F1266" s="114" t="str">
        <f aca="false">IF($E1266="","",IF($B1266="Tema",INDEX(Temas!$B$6:$B$305,$C1266)&amp;"",INDEX(Avulsos!$C$6:$C$205,$C1266)&amp;""))</f>
        <v/>
      </c>
      <c r="G1266" s="114" t="str">
        <f aca="false">IF($E1266="","",IF($B1266="Tema",INDEX(Config!$C$6:$C$11,$D1266),"Evento avulso"))</f>
        <v/>
      </c>
      <c r="H1266" s="114" t="str">
        <f aca="false">IF($E1266="","",IF($B1266="Tema",INDEX(Config!$D$6:$D$11,$D1266),IFERROR(INDEX(Config!$E$15:$E$19,MATCH($I1266,Config!$C$15:$C$19,0)),"•")))</f>
        <v/>
      </c>
      <c r="I1266" s="114" t="str">
        <f aca="false">IF($E1266="","",IF($B1266="Tema",INDEX(Config!$E$6:$E$11,$D1266),IF(INDEX(Avulsos!$D$6:$D$205,$C1266)&amp;""="","Outro",INDEX(Avulsos!$D$6:$D$205,$C1266))))</f>
        <v/>
      </c>
      <c r="J1266" s="114" t="str">
        <f aca="false">IF($E1266="","",IF($B1266="Tema",INDEX(Temas!$C$6:$C$305,$C1266)&amp;"",INDEX(Avulsos!$E$6:$E$205,$C1266)&amp;""))</f>
        <v/>
      </c>
      <c r="K1266" s="114" t="str">
        <f aca="false">IF($E1266="","",IF(IF($B1266="Tema",INDEX(Temas!$E$6:$P$305,$C1266,2*$D1266),INDEX(Avulsos!$F$6:$F$205,$C1266))&amp;""="","","✓"))</f>
        <v/>
      </c>
      <c r="L1266" s="114" t="str">
        <f aca="true">IF($E1266="","",IF($K1266="✓","Concluído",IF($E1266&lt;TODAY(),"Atrasado",IF($E1266=TODAY(),"Hoje","Pendente"))))</f>
        <v/>
      </c>
      <c r="M1266" s="114" t="str">
        <f aca="false">IF($E1266="","",IF($K1266="✓","✓ ","")&amp;IF(Config!$E$22="Sim",$H1266&amp;" · ","")&amp;$F1266)</f>
        <v/>
      </c>
      <c r="N1266" s="114" t="str">
        <f aca="false">IF($E1266="","",IFERROR(INDEX(Config!$D$15:$D$19,MATCH($I1266,Config!$C$15:$C$19,0)),"OUT")&amp;IF($K1266="✓","x",""))</f>
        <v/>
      </c>
      <c r="O1266" s="114" t="str">
        <f aca="false">IF($E1266="","",COUNTIF($E$5:$E1266,$E1266))</f>
        <v/>
      </c>
      <c r="P1266" s="114" t="str">
        <f aca="false">IF($E1266="","",$E1266*100+$O1266)</f>
        <v/>
      </c>
      <c r="Q1266" s="114" t="str">
        <f aca="false">IF($L1266="Atrasado",$E1266*10000+$A1266,"")</f>
        <v/>
      </c>
    </row>
    <row r="1267" customFormat="false" ht="15" hidden="false" customHeight="false" outlineLevel="0" collapsed="false">
      <c r="A1267" s="114" t="n">
        <f aca="false">ROW()-4</f>
        <v>1263</v>
      </c>
      <c r="B1267" s="114" t="str">
        <f aca="false">IF(A1267&lt;=Config!$E$27*Config!$E$28,"Tema","Avulso")</f>
        <v>Tema</v>
      </c>
      <c r="C1267" s="114" t="n">
        <f aca="false">IF(B1267="Tema",INT((A1267-1)/Config!$E$28)+1,A1267-Config!$E$27*Config!$E$28)</f>
        <v>211</v>
      </c>
      <c r="D1267" s="114" t="n">
        <f aca="false">IF(B1267="Tema",MOD(A1267-1,Config!$E$28)+1,"")</f>
        <v>3</v>
      </c>
      <c r="E1267" s="115" t="str">
        <f aca="false">IF($B1267="Tema",IF(ISNUMBER(INDEX(Temas!$E$6:$P$305,$C1267,2*$D1267-1)),INDEX(Temas!$E$6:$P$305,$C1267,2*$D1267-1),""),IF(ISNUMBER(INDEX(Avulsos!$B$6:$B$205,$C1267)),INDEX(Avulsos!$B$6:$B$205,$C1267),""))</f>
        <v/>
      </c>
      <c r="F1267" s="114" t="str">
        <f aca="false">IF($E1267="","",IF($B1267="Tema",INDEX(Temas!$B$6:$B$305,$C1267)&amp;"",INDEX(Avulsos!$C$6:$C$205,$C1267)&amp;""))</f>
        <v/>
      </c>
      <c r="G1267" s="114" t="str">
        <f aca="false">IF($E1267="","",IF($B1267="Tema",INDEX(Config!$C$6:$C$11,$D1267),"Evento avulso"))</f>
        <v/>
      </c>
      <c r="H1267" s="114" t="str">
        <f aca="false">IF($E1267="","",IF($B1267="Tema",INDEX(Config!$D$6:$D$11,$D1267),IFERROR(INDEX(Config!$E$15:$E$19,MATCH($I1267,Config!$C$15:$C$19,0)),"•")))</f>
        <v/>
      </c>
      <c r="I1267" s="114" t="str">
        <f aca="false">IF($E1267="","",IF($B1267="Tema",INDEX(Config!$E$6:$E$11,$D1267),IF(INDEX(Avulsos!$D$6:$D$205,$C1267)&amp;""="","Outro",INDEX(Avulsos!$D$6:$D$205,$C1267))))</f>
        <v/>
      </c>
      <c r="J1267" s="114" t="str">
        <f aca="false">IF($E1267="","",IF($B1267="Tema",INDEX(Temas!$C$6:$C$305,$C1267)&amp;"",INDEX(Avulsos!$E$6:$E$205,$C1267)&amp;""))</f>
        <v/>
      </c>
      <c r="K1267" s="114" t="str">
        <f aca="false">IF($E1267="","",IF(IF($B1267="Tema",INDEX(Temas!$E$6:$P$305,$C1267,2*$D1267),INDEX(Avulsos!$F$6:$F$205,$C1267))&amp;""="","","✓"))</f>
        <v/>
      </c>
      <c r="L1267" s="114" t="str">
        <f aca="true">IF($E1267="","",IF($K1267="✓","Concluído",IF($E1267&lt;TODAY(),"Atrasado",IF($E1267=TODAY(),"Hoje","Pendente"))))</f>
        <v/>
      </c>
      <c r="M1267" s="114" t="str">
        <f aca="false">IF($E1267="","",IF($K1267="✓","✓ ","")&amp;IF(Config!$E$22="Sim",$H1267&amp;" · ","")&amp;$F1267)</f>
        <v/>
      </c>
      <c r="N1267" s="114" t="str">
        <f aca="false">IF($E1267="","",IFERROR(INDEX(Config!$D$15:$D$19,MATCH($I1267,Config!$C$15:$C$19,0)),"OUT")&amp;IF($K1267="✓","x",""))</f>
        <v/>
      </c>
      <c r="O1267" s="114" t="str">
        <f aca="false">IF($E1267="","",COUNTIF($E$5:$E1267,$E1267))</f>
        <v/>
      </c>
      <c r="P1267" s="114" t="str">
        <f aca="false">IF($E1267="","",$E1267*100+$O1267)</f>
        <v/>
      </c>
      <c r="Q1267" s="114" t="str">
        <f aca="false">IF($L1267="Atrasado",$E1267*10000+$A1267,"")</f>
        <v/>
      </c>
    </row>
    <row r="1268" customFormat="false" ht="15" hidden="false" customHeight="false" outlineLevel="0" collapsed="false">
      <c r="A1268" s="114" t="n">
        <f aca="false">ROW()-4</f>
        <v>1264</v>
      </c>
      <c r="B1268" s="114" t="str">
        <f aca="false">IF(A1268&lt;=Config!$E$27*Config!$E$28,"Tema","Avulso")</f>
        <v>Tema</v>
      </c>
      <c r="C1268" s="114" t="n">
        <f aca="false">IF(B1268="Tema",INT((A1268-1)/Config!$E$28)+1,A1268-Config!$E$27*Config!$E$28)</f>
        <v>211</v>
      </c>
      <c r="D1268" s="114" t="n">
        <f aca="false">IF(B1268="Tema",MOD(A1268-1,Config!$E$28)+1,"")</f>
        <v>4</v>
      </c>
      <c r="E1268" s="115" t="str">
        <f aca="false">IF($B1268="Tema",IF(ISNUMBER(INDEX(Temas!$E$6:$P$305,$C1268,2*$D1268-1)),INDEX(Temas!$E$6:$P$305,$C1268,2*$D1268-1),""),IF(ISNUMBER(INDEX(Avulsos!$B$6:$B$205,$C1268)),INDEX(Avulsos!$B$6:$B$205,$C1268),""))</f>
        <v/>
      </c>
      <c r="F1268" s="114" t="str">
        <f aca="false">IF($E1268="","",IF($B1268="Tema",INDEX(Temas!$B$6:$B$305,$C1268)&amp;"",INDEX(Avulsos!$C$6:$C$205,$C1268)&amp;""))</f>
        <v/>
      </c>
      <c r="G1268" s="114" t="str">
        <f aca="false">IF($E1268="","",IF($B1268="Tema",INDEX(Config!$C$6:$C$11,$D1268),"Evento avulso"))</f>
        <v/>
      </c>
      <c r="H1268" s="114" t="str">
        <f aca="false">IF($E1268="","",IF($B1268="Tema",INDEX(Config!$D$6:$D$11,$D1268),IFERROR(INDEX(Config!$E$15:$E$19,MATCH($I1268,Config!$C$15:$C$19,0)),"•")))</f>
        <v/>
      </c>
      <c r="I1268" s="114" t="str">
        <f aca="false">IF($E1268="","",IF($B1268="Tema",INDEX(Config!$E$6:$E$11,$D1268),IF(INDEX(Avulsos!$D$6:$D$205,$C1268)&amp;""="","Outro",INDEX(Avulsos!$D$6:$D$205,$C1268))))</f>
        <v/>
      </c>
      <c r="J1268" s="114" t="str">
        <f aca="false">IF($E1268="","",IF($B1268="Tema",INDEX(Temas!$C$6:$C$305,$C1268)&amp;"",INDEX(Avulsos!$E$6:$E$205,$C1268)&amp;""))</f>
        <v/>
      </c>
      <c r="K1268" s="114" t="str">
        <f aca="false">IF($E1268="","",IF(IF($B1268="Tema",INDEX(Temas!$E$6:$P$305,$C1268,2*$D1268),INDEX(Avulsos!$F$6:$F$205,$C1268))&amp;""="","","✓"))</f>
        <v/>
      </c>
      <c r="L1268" s="114" t="str">
        <f aca="true">IF($E1268="","",IF($K1268="✓","Concluído",IF($E1268&lt;TODAY(),"Atrasado",IF($E1268=TODAY(),"Hoje","Pendente"))))</f>
        <v/>
      </c>
      <c r="M1268" s="114" t="str">
        <f aca="false">IF($E1268="","",IF($K1268="✓","✓ ","")&amp;IF(Config!$E$22="Sim",$H1268&amp;" · ","")&amp;$F1268)</f>
        <v/>
      </c>
      <c r="N1268" s="114" t="str">
        <f aca="false">IF($E1268="","",IFERROR(INDEX(Config!$D$15:$D$19,MATCH($I1268,Config!$C$15:$C$19,0)),"OUT")&amp;IF($K1268="✓","x",""))</f>
        <v/>
      </c>
      <c r="O1268" s="114" t="str">
        <f aca="false">IF($E1268="","",COUNTIF($E$5:$E1268,$E1268))</f>
        <v/>
      </c>
      <c r="P1268" s="114" t="str">
        <f aca="false">IF($E1268="","",$E1268*100+$O1268)</f>
        <v/>
      </c>
      <c r="Q1268" s="114" t="str">
        <f aca="false">IF($L1268="Atrasado",$E1268*10000+$A1268,"")</f>
        <v/>
      </c>
    </row>
    <row r="1269" customFormat="false" ht="15" hidden="false" customHeight="false" outlineLevel="0" collapsed="false">
      <c r="A1269" s="114" t="n">
        <f aca="false">ROW()-4</f>
        <v>1265</v>
      </c>
      <c r="B1269" s="114" t="str">
        <f aca="false">IF(A1269&lt;=Config!$E$27*Config!$E$28,"Tema","Avulso")</f>
        <v>Tema</v>
      </c>
      <c r="C1269" s="114" t="n">
        <f aca="false">IF(B1269="Tema",INT((A1269-1)/Config!$E$28)+1,A1269-Config!$E$27*Config!$E$28)</f>
        <v>211</v>
      </c>
      <c r="D1269" s="114" t="n">
        <f aca="false">IF(B1269="Tema",MOD(A1269-1,Config!$E$28)+1,"")</f>
        <v>5</v>
      </c>
      <c r="E1269" s="115" t="str">
        <f aca="false">IF($B1269="Tema",IF(ISNUMBER(INDEX(Temas!$E$6:$P$305,$C1269,2*$D1269-1)),INDEX(Temas!$E$6:$P$305,$C1269,2*$D1269-1),""),IF(ISNUMBER(INDEX(Avulsos!$B$6:$B$205,$C1269)),INDEX(Avulsos!$B$6:$B$205,$C1269),""))</f>
        <v/>
      </c>
      <c r="F1269" s="114" t="str">
        <f aca="false">IF($E1269="","",IF($B1269="Tema",INDEX(Temas!$B$6:$B$305,$C1269)&amp;"",INDEX(Avulsos!$C$6:$C$205,$C1269)&amp;""))</f>
        <v/>
      </c>
      <c r="G1269" s="114" t="str">
        <f aca="false">IF($E1269="","",IF($B1269="Tema",INDEX(Config!$C$6:$C$11,$D1269),"Evento avulso"))</f>
        <v/>
      </c>
      <c r="H1269" s="114" t="str">
        <f aca="false">IF($E1269="","",IF($B1269="Tema",INDEX(Config!$D$6:$D$11,$D1269),IFERROR(INDEX(Config!$E$15:$E$19,MATCH($I1269,Config!$C$15:$C$19,0)),"•")))</f>
        <v/>
      </c>
      <c r="I1269" s="114" t="str">
        <f aca="false">IF($E1269="","",IF($B1269="Tema",INDEX(Config!$E$6:$E$11,$D1269),IF(INDEX(Avulsos!$D$6:$D$205,$C1269)&amp;""="","Outro",INDEX(Avulsos!$D$6:$D$205,$C1269))))</f>
        <v/>
      </c>
      <c r="J1269" s="114" t="str">
        <f aca="false">IF($E1269="","",IF($B1269="Tema",INDEX(Temas!$C$6:$C$305,$C1269)&amp;"",INDEX(Avulsos!$E$6:$E$205,$C1269)&amp;""))</f>
        <v/>
      </c>
      <c r="K1269" s="114" t="str">
        <f aca="false">IF($E1269="","",IF(IF($B1269="Tema",INDEX(Temas!$E$6:$P$305,$C1269,2*$D1269),INDEX(Avulsos!$F$6:$F$205,$C1269))&amp;""="","","✓"))</f>
        <v/>
      </c>
      <c r="L1269" s="114" t="str">
        <f aca="true">IF($E1269="","",IF($K1269="✓","Concluído",IF($E1269&lt;TODAY(),"Atrasado",IF($E1269=TODAY(),"Hoje","Pendente"))))</f>
        <v/>
      </c>
      <c r="M1269" s="114" t="str">
        <f aca="false">IF($E1269="","",IF($K1269="✓","✓ ","")&amp;IF(Config!$E$22="Sim",$H1269&amp;" · ","")&amp;$F1269)</f>
        <v/>
      </c>
      <c r="N1269" s="114" t="str">
        <f aca="false">IF($E1269="","",IFERROR(INDEX(Config!$D$15:$D$19,MATCH($I1269,Config!$C$15:$C$19,0)),"OUT")&amp;IF($K1269="✓","x",""))</f>
        <v/>
      </c>
      <c r="O1269" s="114" t="str">
        <f aca="false">IF($E1269="","",COUNTIF($E$5:$E1269,$E1269))</f>
        <v/>
      </c>
      <c r="P1269" s="114" t="str">
        <f aca="false">IF($E1269="","",$E1269*100+$O1269)</f>
        <v/>
      </c>
      <c r="Q1269" s="114" t="str">
        <f aca="false">IF($L1269="Atrasado",$E1269*10000+$A1269,"")</f>
        <v/>
      </c>
    </row>
    <row r="1270" customFormat="false" ht="15" hidden="false" customHeight="false" outlineLevel="0" collapsed="false">
      <c r="A1270" s="114" t="n">
        <f aca="false">ROW()-4</f>
        <v>1266</v>
      </c>
      <c r="B1270" s="114" t="str">
        <f aca="false">IF(A1270&lt;=Config!$E$27*Config!$E$28,"Tema","Avulso")</f>
        <v>Tema</v>
      </c>
      <c r="C1270" s="114" t="n">
        <f aca="false">IF(B1270="Tema",INT((A1270-1)/Config!$E$28)+1,A1270-Config!$E$27*Config!$E$28)</f>
        <v>211</v>
      </c>
      <c r="D1270" s="114" t="n">
        <f aca="false">IF(B1270="Tema",MOD(A1270-1,Config!$E$28)+1,"")</f>
        <v>6</v>
      </c>
      <c r="E1270" s="115" t="str">
        <f aca="false">IF($B1270="Tema",IF(ISNUMBER(INDEX(Temas!$E$6:$P$305,$C1270,2*$D1270-1)),INDEX(Temas!$E$6:$P$305,$C1270,2*$D1270-1),""),IF(ISNUMBER(INDEX(Avulsos!$B$6:$B$205,$C1270)),INDEX(Avulsos!$B$6:$B$205,$C1270),""))</f>
        <v/>
      </c>
      <c r="F1270" s="114" t="str">
        <f aca="false">IF($E1270="","",IF($B1270="Tema",INDEX(Temas!$B$6:$B$305,$C1270)&amp;"",INDEX(Avulsos!$C$6:$C$205,$C1270)&amp;""))</f>
        <v/>
      </c>
      <c r="G1270" s="114" t="str">
        <f aca="false">IF($E1270="","",IF($B1270="Tema",INDEX(Config!$C$6:$C$11,$D1270),"Evento avulso"))</f>
        <v/>
      </c>
      <c r="H1270" s="114" t="str">
        <f aca="false">IF($E1270="","",IF($B1270="Tema",INDEX(Config!$D$6:$D$11,$D1270),IFERROR(INDEX(Config!$E$15:$E$19,MATCH($I1270,Config!$C$15:$C$19,0)),"•")))</f>
        <v/>
      </c>
      <c r="I1270" s="114" t="str">
        <f aca="false">IF($E1270="","",IF($B1270="Tema",INDEX(Config!$E$6:$E$11,$D1270),IF(INDEX(Avulsos!$D$6:$D$205,$C1270)&amp;""="","Outro",INDEX(Avulsos!$D$6:$D$205,$C1270))))</f>
        <v/>
      </c>
      <c r="J1270" s="114" t="str">
        <f aca="false">IF($E1270="","",IF($B1270="Tema",INDEX(Temas!$C$6:$C$305,$C1270)&amp;"",INDEX(Avulsos!$E$6:$E$205,$C1270)&amp;""))</f>
        <v/>
      </c>
      <c r="K1270" s="114" t="str">
        <f aca="false">IF($E1270="","",IF(IF($B1270="Tema",INDEX(Temas!$E$6:$P$305,$C1270,2*$D1270),INDEX(Avulsos!$F$6:$F$205,$C1270))&amp;""="","","✓"))</f>
        <v/>
      </c>
      <c r="L1270" s="114" t="str">
        <f aca="true">IF($E1270="","",IF($K1270="✓","Concluído",IF($E1270&lt;TODAY(),"Atrasado",IF($E1270=TODAY(),"Hoje","Pendente"))))</f>
        <v/>
      </c>
      <c r="M1270" s="114" t="str">
        <f aca="false">IF($E1270="","",IF($K1270="✓","✓ ","")&amp;IF(Config!$E$22="Sim",$H1270&amp;" · ","")&amp;$F1270)</f>
        <v/>
      </c>
      <c r="N1270" s="114" t="str">
        <f aca="false">IF($E1270="","",IFERROR(INDEX(Config!$D$15:$D$19,MATCH($I1270,Config!$C$15:$C$19,0)),"OUT")&amp;IF($K1270="✓","x",""))</f>
        <v/>
      </c>
      <c r="O1270" s="114" t="str">
        <f aca="false">IF($E1270="","",COUNTIF($E$5:$E1270,$E1270))</f>
        <v/>
      </c>
      <c r="P1270" s="114" t="str">
        <f aca="false">IF($E1270="","",$E1270*100+$O1270)</f>
        <v/>
      </c>
      <c r="Q1270" s="114" t="str">
        <f aca="false">IF($L1270="Atrasado",$E1270*10000+$A1270,"")</f>
        <v/>
      </c>
    </row>
    <row r="1271" customFormat="false" ht="15" hidden="false" customHeight="false" outlineLevel="0" collapsed="false">
      <c r="A1271" s="114" t="n">
        <f aca="false">ROW()-4</f>
        <v>1267</v>
      </c>
      <c r="B1271" s="114" t="str">
        <f aca="false">IF(A1271&lt;=Config!$E$27*Config!$E$28,"Tema","Avulso")</f>
        <v>Tema</v>
      </c>
      <c r="C1271" s="114" t="n">
        <f aca="false">IF(B1271="Tema",INT((A1271-1)/Config!$E$28)+1,A1271-Config!$E$27*Config!$E$28)</f>
        <v>212</v>
      </c>
      <c r="D1271" s="114" t="n">
        <f aca="false">IF(B1271="Tema",MOD(A1271-1,Config!$E$28)+1,"")</f>
        <v>1</v>
      </c>
      <c r="E1271" s="115" t="str">
        <f aca="false">IF($B1271="Tema",IF(ISNUMBER(INDEX(Temas!$E$6:$P$305,$C1271,2*$D1271-1)),INDEX(Temas!$E$6:$P$305,$C1271,2*$D1271-1),""),IF(ISNUMBER(INDEX(Avulsos!$B$6:$B$205,$C1271)),INDEX(Avulsos!$B$6:$B$205,$C1271),""))</f>
        <v/>
      </c>
      <c r="F1271" s="114" t="str">
        <f aca="false">IF($E1271="","",IF($B1271="Tema",INDEX(Temas!$B$6:$B$305,$C1271)&amp;"",INDEX(Avulsos!$C$6:$C$205,$C1271)&amp;""))</f>
        <v/>
      </c>
      <c r="G1271" s="114" t="str">
        <f aca="false">IF($E1271="","",IF($B1271="Tema",INDEX(Config!$C$6:$C$11,$D1271),"Evento avulso"))</f>
        <v/>
      </c>
      <c r="H1271" s="114" t="str">
        <f aca="false">IF($E1271="","",IF($B1271="Tema",INDEX(Config!$D$6:$D$11,$D1271),IFERROR(INDEX(Config!$E$15:$E$19,MATCH($I1271,Config!$C$15:$C$19,0)),"•")))</f>
        <v/>
      </c>
      <c r="I1271" s="114" t="str">
        <f aca="false">IF($E1271="","",IF($B1271="Tema",INDEX(Config!$E$6:$E$11,$D1271),IF(INDEX(Avulsos!$D$6:$D$205,$C1271)&amp;""="","Outro",INDEX(Avulsos!$D$6:$D$205,$C1271))))</f>
        <v/>
      </c>
      <c r="J1271" s="114" t="str">
        <f aca="false">IF($E1271="","",IF($B1271="Tema",INDEX(Temas!$C$6:$C$305,$C1271)&amp;"",INDEX(Avulsos!$E$6:$E$205,$C1271)&amp;""))</f>
        <v/>
      </c>
      <c r="K1271" s="114" t="str">
        <f aca="false">IF($E1271="","",IF(IF($B1271="Tema",INDEX(Temas!$E$6:$P$305,$C1271,2*$D1271),INDEX(Avulsos!$F$6:$F$205,$C1271))&amp;""="","","✓"))</f>
        <v/>
      </c>
      <c r="L1271" s="114" t="str">
        <f aca="true">IF($E1271="","",IF($K1271="✓","Concluído",IF($E1271&lt;TODAY(),"Atrasado",IF($E1271=TODAY(),"Hoje","Pendente"))))</f>
        <v/>
      </c>
      <c r="M1271" s="114" t="str">
        <f aca="false">IF($E1271="","",IF($K1271="✓","✓ ","")&amp;IF(Config!$E$22="Sim",$H1271&amp;" · ","")&amp;$F1271)</f>
        <v/>
      </c>
      <c r="N1271" s="114" t="str">
        <f aca="false">IF($E1271="","",IFERROR(INDEX(Config!$D$15:$D$19,MATCH($I1271,Config!$C$15:$C$19,0)),"OUT")&amp;IF($K1271="✓","x",""))</f>
        <v/>
      </c>
      <c r="O1271" s="114" t="str">
        <f aca="false">IF($E1271="","",COUNTIF($E$5:$E1271,$E1271))</f>
        <v/>
      </c>
      <c r="P1271" s="114" t="str">
        <f aca="false">IF($E1271="","",$E1271*100+$O1271)</f>
        <v/>
      </c>
      <c r="Q1271" s="114" t="str">
        <f aca="false">IF($L1271="Atrasado",$E1271*10000+$A1271,"")</f>
        <v/>
      </c>
    </row>
    <row r="1272" customFormat="false" ht="15" hidden="false" customHeight="false" outlineLevel="0" collapsed="false">
      <c r="A1272" s="114" t="n">
        <f aca="false">ROW()-4</f>
        <v>1268</v>
      </c>
      <c r="B1272" s="114" t="str">
        <f aca="false">IF(A1272&lt;=Config!$E$27*Config!$E$28,"Tema","Avulso")</f>
        <v>Tema</v>
      </c>
      <c r="C1272" s="114" t="n">
        <f aca="false">IF(B1272="Tema",INT((A1272-1)/Config!$E$28)+1,A1272-Config!$E$27*Config!$E$28)</f>
        <v>212</v>
      </c>
      <c r="D1272" s="114" t="n">
        <f aca="false">IF(B1272="Tema",MOD(A1272-1,Config!$E$28)+1,"")</f>
        <v>2</v>
      </c>
      <c r="E1272" s="115" t="str">
        <f aca="false">IF($B1272="Tema",IF(ISNUMBER(INDEX(Temas!$E$6:$P$305,$C1272,2*$D1272-1)),INDEX(Temas!$E$6:$P$305,$C1272,2*$D1272-1),""),IF(ISNUMBER(INDEX(Avulsos!$B$6:$B$205,$C1272)),INDEX(Avulsos!$B$6:$B$205,$C1272),""))</f>
        <v/>
      </c>
      <c r="F1272" s="114" t="str">
        <f aca="false">IF($E1272="","",IF($B1272="Tema",INDEX(Temas!$B$6:$B$305,$C1272)&amp;"",INDEX(Avulsos!$C$6:$C$205,$C1272)&amp;""))</f>
        <v/>
      </c>
      <c r="G1272" s="114" t="str">
        <f aca="false">IF($E1272="","",IF($B1272="Tema",INDEX(Config!$C$6:$C$11,$D1272),"Evento avulso"))</f>
        <v/>
      </c>
      <c r="H1272" s="114" t="str">
        <f aca="false">IF($E1272="","",IF($B1272="Tema",INDEX(Config!$D$6:$D$11,$D1272),IFERROR(INDEX(Config!$E$15:$E$19,MATCH($I1272,Config!$C$15:$C$19,0)),"•")))</f>
        <v/>
      </c>
      <c r="I1272" s="114" t="str">
        <f aca="false">IF($E1272="","",IF($B1272="Tema",INDEX(Config!$E$6:$E$11,$D1272),IF(INDEX(Avulsos!$D$6:$D$205,$C1272)&amp;""="","Outro",INDEX(Avulsos!$D$6:$D$205,$C1272))))</f>
        <v/>
      </c>
      <c r="J1272" s="114" t="str">
        <f aca="false">IF($E1272="","",IF($B1272="Tema",INDEX(Temas!$C$6:$C$305,$C1272)&amp;"",INDEX(Avulsos!$E$6:$E$205,$C1272)&amp;""))</f>
        <v/>
      </c>
      <c r="K1272" s="114" t="str">
        <f aca="false">IF($E1272="","",IF(IF($B1272="Tema",INDEX(Temas!$E$6:$P$305,$C1272,2*$D1272),INDEX(Avulsos!$F$6:$F$205,$C1272))&amp;""="","","✓"))</f>
        <v/>
      </c>
      <c r="L1272" s="114" t="str">
        <f aca="true">IF($E1272="","",IF($K1272="✓","Concluído",IF($E1272&lt;TODAY(),"Atrasado",IF($E1272=TODAY(),"Hoje","Pendente"))))</f>
        <v/>
      </c>
      <c r="M1272" s="114" t="str">
        <f aca="false">IF($E1272="","",IF($K1272="✓","✓ ","")&amp;IF(Config!$E$22="Sim",$H1272&amp;" · ","")&amp;$F1272)</f>
        <v/>
      </c>
      <c r="N1272" s="114" t="str">
        <f aca="false">IF($E1272="","",IFERROR(INDEX(Config!$D$15:$D$19,MATCH($I1272,Config!$C$15:$C$19,0)),"OUT")&amp;IF($K1272="✓","x",""))</f>
        <v/>
      </c>
      <c r="O1272" s="114" t="str">
        <f aca="false">IF($E1272="","",COUNTIF($E$5:$E1272,$E1272))</f>
        <v/>
      </c>
      <c r="P1272" s="114" t="str">
        <f aca="false">IF($E1272="","",$E1272*100+$O1272)</f>
        <v/>
      </c>
      <c r="Q1272" s="114" t="str">
        <f aca="false">IF($L1272="Atrasado",$E1272*10000+$A1272,"")</f>
        <v/>
      </c>
    </row>
    <row r="1273" customFormat="false" ht="15" hidden="false" customHeight="false" outlineLevel="0" collapsed="false">
      <c r="A1273" s="114" t="n">
        <f aca="false">ROW()-4</f>
        <v>1269</v>
      </c>
      <c r="B1273" s="114" t="str">
        <f aca="false">IF(A1273&lt;=Config!$E$27*Config!$E$28,"Tema","Avulso")</f>
        <v>Tema</v>
      </c>
      <c r="C1273" s="114" t="n">
        <f aca="false">IF(B1273="Tema",INT((A1273-1)/Config!$E$28)+1,A1273-Config!$E$27*Config!$E$28)</f>
        <v>212</v>
      </c>
      <c r="D1273" s="114" t="n">
        <f aca="false">IF(B1273="Tema",MOD(A1273-1,Config!$E$28)+1,"")</f>
        <v>3</v>
      </c>
      <c r="E1273" s="115" t="str">
        <f aca="false">IF($B1273="Tema",IF(ISNUMBER(INDEX(Temas!$E$6:$P$305,$C1273,2*$D1273-1)),INDEX(Temas!$E$6:$P$305,$C1273,2*$D1273-1),""),IF(ISNUMBER(INDEX(Avulsos!$B$6:$B$205,$C1273)),INDEX(Avulsos!$B$6:$B$205,$C1273),""))</f>
        <v/>
      </c>
      <c r="F1273" s="114" t="str">
        <f aca="false">IF($E1273="","",IF($B1273="Tema",INDEX(Temas!$B$6:$B$305,$C1273)&amp;"",INDEX(Avulsos!$C$6:$C$205,$C1273)&amp;""))</f>
        <v/>
      </c>
      <c r="G1273" s="114" t="str">
        <f aca="false">IF($E1273="","",IF($B1273="Tema",INDEX(Config!$C$6:$C$11,$D1273),"Evento avulso"))</f>
        <v/>
      </c>
      <c r="H1273" s="114" t="str">
        <f aca="false">IF($E1273="","",IF($B1273="Tema",INDEX(Config!$D$6:$D$11,$D1273),IFERROR(INDEX(Config!$E$15:$E$19,MATCH($I1273,Config!$C$15:$C$19,0)),"•")))</f>
        <v/>
      </c>
      <c r="I1273" s="114" t="str">
        <f aca="false">IF($E1273="","",IF($B1273="Tema",INDEX(Config!$E$6:$E$11,$D1273),IF(INDEX(Avulsos!$D$6:$D$205,$C1273)&amp;""="","Outro",INDEX(Avulsos!$D$6:$D$205,$C1273))))</f>
        <v/>
      </c>
      <c r="J1273" s="114" t="str">
        <f aca="false">IF($E1273="","",IF($B1273="Tema",INDEX(Temas!$C$6:$C$305,$C1273)&amp;"",INDEX(Avulsos!$E$6:$E$205,$C1273)&amp;""))</f>
        <v/>
      </c>
      <c r="K1273" s="114" t="str">
        <f aca="false">IF($E1273="","",IF(IF($B1273="Tema",INDEX(Temas!$E$6:$P$305,$C1273,2*$D1273),INDEX(Avulsos!$F$6:$F$205,$C1273))&amp;""="","","✓"))</f>
        <v/>
      </c>
      <c r="L1273" s="114" t="str">
        <f aca="true">IF($E1273="","",IF($K1273="✓","Concluído",IF($E1273&lt;TODAY(),"Atrasado",IF($E1273=TODAY(),"Hoje","Pendente"))))</f>
        <v/>
      </c>
      <c r="M1273" s="114" t="str">
        <f aca="false">IF($E1273="","",IF($K1273="✓","✓ ","")&amp;IF(Config!$E$22="Sim",$H1273&amp;" · ","")&amp;$F1273)</f>
        <v/>
      </c>
      <c r="N1273" s="114" t="str">
        <f aca="false">IF($E1273="","",IFERROR(INDEX(Config!$D$15:$D$19,MATCH($I1273,Config!$C$15:$C$19,0)),"OUT")&amp;IF($K1273="✓","x",""))</f>
        <v/>
      </c>
      <c r="O1273" s="114" t="str">
        <f aca="false">IF($E1273="","",COUNTIF($E$5:$E1273,$E1273))</f>
        <v/>
      </c>
      <c r="P1273" s="114" t="str">
        <f aca="false">IF($E1273="","",$E1273*100+$O1273)</f>
        <v/>
      </c>
      <c r="Q1273" s="114" t="str">
        <f aca="false">IF($L1273="Atrasado",$E1273*10000+$A1273,"")</f>
        <v/>
      </c>
    </row>
    <row r="1274" customFormat="false" ht="15" hidden="false" customHeight="false" outlineLevel="0" collapsed="false">
      <c r="A1274" s="114" t="n">
        <f aca="false">ROW()-4</f>
        <v>1270</v>
      </c>
      <c r="B1274" s="114" t="str">
        <f aca="false">IF(A1274&lt;=Config!$E$27*Config!$E$28,"Tema","Avulso")</f>
        <v>Tema</v>
      </c>
      <c r="C1274" s="114" t="n">
        <f aca="false">IF(B1274="Tema",INT((A1274-1)/Config!$E$28)+1,A1274-Config!$E$27*Config!$E$28)</f>
        <v>212</v>
      </c>
      <c r="D1274" s="114" t="n">
        <f aca="false">IF(B1274="Tema",MOD(A1274-1,Config!$E$28)+1,"")</f>
        <v>4</v>
      </c>
      <c r="E1274" s="115" t="str">
        <f aca="false">IF($B1274="Tema",IF(ISNUMBER(INDEX(Temas!$E$6:$P$305,$C1274,2*$D1274-1)),INDEX(Temas!$E$6:$P$305,$C1274,2*$D1274-1),""),IF(ISNUMBER(INDEX(Avulsos!$B$6:$B$205,$C1274)),INDEX(Avulsos!$B$6:$B$205,$C1274),""))</f>
        <v/>
      </c>
      <c r="F1274" s="114" t="str">
        <f aca="false">IF($E1274="","",IF($B1274="Tema",INDEX(Temas!$B$6:$B$305,$C1274)&amp;"",INDEX(Avulsos!$C$6:$C$205,$C1274)&amp;""))</f>
        <v/>
      </c>
      <c r="G1274" s="114" t="str">
        <f aca="false">IF($E1274="","",IF($B1274="Tema",INDEX(Config!$C$6:$C$11,$D1274),"Evento avulso"))</f>
        <v/>
      </c>
      <c r="H1274" s="114" t="str">
        <f aca="false">IF($E1274="","",IF($B1274="Tema",INDEX(Config!$D$6:$D$11,$D1274),IFERROR(INDEX(Config!$E$15:$E$19,MATCH($I1274,Config!$C$15:$C$19,0)),"•")))</f>
        <v/>
      </c>
      <c r="I1274" s="114" t="str">
        <f aca="false">IF($E1274="","",IF($B1274="Tema",INDEX(Config!$E$6:$E$11,$D1274),IF(INDEX(Avulsos!$D$6:$D$205,$C1274)&amp;""="","Outro",INDEX(Avulsos!$D$6:$D$205,$C1274))))</f>
        <v/>
      </c>
      <c r="J1274" s="114" t="str">
        <f aca="false">IF($E1274="","",IF($B1274="Tema",INDEX(Temas!$C$6:$C$305,$C1274)&amp;"",INDEX(Avulsos!$E$6:$E$205,$C1274)&amp;""))</f>
        <v/>
      </c>
      <c r="K1274" s="114" t="str">
        <f aca="false">IF($E1274="","",IF(IF($B1274="Tema",INDEX(Temas!$E$6:$P$305,$C1274,2*$D1274),INDEX(Avulsos!$F$6:$F$205,$C1274))&amp;""="","","✓"))</f>
        <v/>
      </c>
      <c r="L1274" s="114" t="str">
        <f aca="true">IF($E1274="","",IF($K1274="✓","Concluído",IF($E1274&lt;TODAY(),"Atrasado",IF($E1274=TODAY(),"Hoje","Pendente"))))</f>
        <v/>
      </c>
      <c r="M1274" s="114" t="str">
        <f aca="false">IF($E1274="","",IF($K1274="✓","✓ ","")&amp;IF(Config!$E$22="Sim",$H1274&amp;" · ","")&amp;$F1274)</f>
        <v/>
      </c>
      <c r="N1274" s="114" t="str">
        <f aca="false">IF($E1274="","",IFERROR(INDEX(Config!$D$15:$D$19,MATCH($I1274,Config!$C$15:$C$19,0)),"OUT")&amp;IF($K1274="✓","x",""))</f>
        <v/>
      </c>
      <c r="O1274" s="114" t="str">
        <f aca="false">IF($E1274="","",COUNTIF($E$5:$E1274,$E1274))</f>
        <v/>
      </c>
      <c r="P1274" s="114" t="str">
        <f aca="false">IF($E1274="","",$E1274*100+$O1274)</f>
        <v/>
      </c>
      <c r="Q1274" s="114" t="str">
        <f aca="false">IF($L1274="Atrasado",$E1274*10000+$A1274,"")</f>
        <v/>
      </c>
    </row>
    <row r="1275" customFormat="false" ht="15" hidden="false" customHeight="false" outlineLevel="0" collapsed="false">
      <c r="A1275" s="114" t="n">
        <f aca="false">ROW()-4</f>
        <v>1271</v>
      </c>
      <c r="B1275" s="114" t="str">
        <f aca="false">IF(A1275&lt;=Config!$E$27*Config!$E$28,"Tema","Avulso")</f>
        <v>Tema</v>
      </c>
      <c r="C1275" s="114" t="n">
        <f aca="false">IF(B1275="Tema",INT((A1275-1)/Config!$E$28)+1,A1275-Config!$E$27*Config!$E$28)</f>
        <v>212</v>
      </c>
      <c r="D1275" s="114" t="n">
        <f aca="false">IF(B1275="Tema",MOD(A1275-1,Config!$E$28)+1,"")</f>
        <v>5</v>
      </c>
      <c r="E1275" s="115" t="str">
        <f aca="false">IF($B1275="Tema",IF(ISNUMBER(INDEX(Temas!$E$6:$P$305,$C1275,2*$D1275-1)),INDEX(Temas!$E$6:$P$305,$C1275,2*$D1275-1),""),IF(ISNUMBER(INDEX(Avulsos!$B$6:$B$205,$C1275)),INDEX(Avulsos!$B$6:$B$205,$C1275),""))</f>
        <v/>
      </c>
      <c r="F1275" s="114" t="str">
        <f aca="false">IF($E1275="","",IF($B1275="Tema",INDEX(Temas!$B$6:$B$305,$C1275)&amp;"",INDEX(Avulsos!$C$6:$C$205,$C1275)&amp;""))</f>
        <v/>
      </c>
      <c r="G1275" s="114" t="str">
        <f aca="false">IF($E1275="","",IF($B1275="Tema",INDEX(Config!$C$6:$C$11,$D1275),"Evento avulso"))</f>
        <v/>
      </c>
      <c r="H1275" s="114" t="str">
        <f aca="false">IF($E1275="","",IF($B1275="Tema",INDEX(Config!$D$6:$D$11,$D1275),IFERROR(INDEX(Config!$E$15:$E$19,MATCH($I1275,Config!$C$15:$C$19,0)),"•")))</f>
        <v/>
      </c>
      <c r="I1275" s="114" t="str">
        <f aca="false">IF($E1275="","",IF($B1275="Tema",INDEX(Config!$E$6:$E$11,$D1275),IF(INDEX(Avulsos!$D$6:$D$205,$C1275)&amp;""="","Outro",INDEX(Avulsos!$D$6:$D$205,$C1275))))</f>
        <v/>
      </c>
      <c r="J1275" s="114" t="str">
        <f aca="false">IF($E1275="","",IF($B1275="Tema",INDEX(Temas!$C$6:$C$305,$C1275)&amp;"",INDEX(Avulsos!$E$6:$E$205,$C1275)&amp;""))</f>
        <v/>
      </c>
      <c r="K1275" s="114" t="str">
        <f aca="false">IF($E1275="","",IF(IF($B1275="Tema",INDEX(Temas!$E$6:$P$305,$C1275,2*$D1275),INDEX(Avulsos!$F$6:$F$205,$C1275))&amp;""="","","✓"))</f>
        <v/>
      </c>
      <c r="L1275" s="114" t="str">
        <f aca="true">IF($E1275="","",IF($K1275="✓","Concluído",IF($E1275&lt;TODAY(),"Atrasado",IF($E1275=TODAY(),"Hoje","Pendente"))))</f>
        <v/>
      </c>
      <c r="M1275" s="114" t="str">
        <f aca="false">IF($E1275="","",IF($K1275="✓","✓ ","")&amp;IF(Config!$E$22="Sim",$H1275&amp;" · ","")&amp;$F1275)</f>
        <v/>
      </c>
      <c r="N1275" s="114" t="str">
        <f aca="false">IF($E1275="","",IFERROR(INDEX(Config!$D$15:$D$19,MATCH($I1275,Config!$C$15:$C$19,0)),"OUT")&amp;IF($K1275="✓","x",""))</f>
        <v/>
      </c>
      <c r="O1275" s="114" t="str">
        <f aca="false">IF($E1275="","",COUNTIF($E$5:$E1275,$E1275))</f>
        <v/>
      </c>
      <c r="P1275" s="114" t="str">
        <f aca="false">IF($E1275="","",$E1275*100+$O1275)</f>
        <v/>
      </c>
      <c r="Q1275" s="114" t="str">
        <f aca="false">IF($L1275="Atrasado",$E1275*10000+$A1275,"")</f>
        <v/>
      </c>
    </row>
    <row r="1276" customFormat="false" ht="15" hidden="false" customHeight="false" outlineLevel="0" collapsed="false">
      <c r="A1276" s="114" t="n">
        <f aca="false">ROW()-4</f>
        <v>1272</v>
      </c>
      <c r="B1276" s="114" t="str">
        <f aca="false">IF(A1276&lt;=Config!$E$27*Config!$E$28,"Tema","Avulso")</f>
        <v>Tema</v>
      </c>
      <c r="C1276" s="114" t="n">
        <f aca="false">IF(B1276="Tema",INT((A1276-1)/Config!$E$28)+1,A1276-Config!$E$27*Config!$E$28)</f>
        <v>212</v>
      </c>
      <c r="D1276" s="114" t="n">
        <f aca="false">IF(B1276="Tema",MOD(A1276-1,Config!$E$28)+1,"")</f>
        <v>6</v>
      </c>
      <c r="E1276" s="115" t="str">
        <f aca="false">IF($B1276="Tema",IF(ISNUMBER(INDEX(Temas!$E$6:$P$305,$C1276,2*$D1276-1)),INDEX(Temas!$E$6:$P$305,$C1276,2*$D1276-1),""),IF(ISNUMBER(INDEX(Avulsos!$B$6:$B$205,$C1276)),INDEX(Avulsos!$B$6:$B$205,$C1276),""))</f>
        <v/>
      </c>
      <c r="F1276" s="114" t="str">
        <f aca="false">IF($E1276="","",IF($B1276="Tema",INDEX(Temas!$B$6:$B$305,$C1276)&amp;"",INDEX(Avulsos!$C$6:$C$205,$C1276)&amp;""))</f>
        <v/>
      </c>
      <c r="G1276" s="114" t="str">
        <f aca="false">IF($E1276="","",IF($B1276="Tema",INDEX(Config!$C$6:$C$11,$D1276),"Evento avulso"))</f>
        <v/>
      </c>
      <c r="H1276" s="114" t="str">
        <f aca="false">IF($E1276="","",IF($B1276="Tema",INDEX(Config!$D$6:$D$11,$D1276),IFERROR(INDEX(Config!$E$15:$E$19,MATCH($I1276,Config!$C$15:$C$19,0)),"•")))</f>
        <v/>
      </c>
      <c r="I1276" s="114" t="str">
        <f aca="false">IF($E1276="","",IF($B1276="Tema",INDEX(Config!$E$6:$E$11,$D1276),IF(INDEX(Avulsos!$D$6:$D$205,$C1276)&amp;""="","Outro",INDEX(Avulsos!$D$6:$D$205,$C1276))))</f>
        <v/>
      </c>
      <c r="J1276" s="114" t="str">
        <f aca="false">IF($E1276="","",IF($B1276="Tema",INDEX(Temas!$C$6:$C$305,$C1276)&amp;"",INDEX(Avulsos!$E$6:$E$205,$C1276)&amp;""))</f>
        <v/>
      </c>
      <c r="K1276" s="114" t="str">
        <f aca="false">IF($E1276="","",IF(IF($B1276="Tema",INDEX(Temas!$E$6:$P$305,$C1276,2*$D1276),INDEX(Avulsos!$F$6:$F$205,$C1276))&amp;""="","","✓"))</f>
        <v/>
      </c>
      <c r="L1276" s="114" t="str">
        <f aca="true">IF($E1276="","",IF($K1276="✓","Concluído",IF($E1276&lt;TODAY(),"Atrasado",IF($E1276=TODAY(),"Hoje","Pendente"))))</f>
        <v/>
      </c>
      <c r="M1276" s="114" t="str">
        <f aca="false">IF($E1276="","",IF($K1276="✓","✓ ","")&amp;IF(Config!$E$22="Sim",$H1276&amp;" · ","")&amp;$F1276)</f>
        <v/>
      </c>
      <c r="N1276" s="114" t="str">
        <f aca="false">IF($E1276="","",IFERROR(INDEX(Config!$D$15:$D$19,MATCH($I1276,Config!$C$15:$C$19,0)),"OUT")&amp;IF($K1276="✓","x",""))</f>
        <v/>
      </c>
      <c r="O1276" s="114" t="str">
        <f aca="false">IF($E1276="","",COUNTIF($E$5:$E1276,$E1276))</f>
        <v/>
      </c>
      <c r="P1276" s="114" t="str">
        <f aca="false">IF($E1276="","",$E1276*100+$O1276)</f>
        <v/>
      </c>
      <c r="Q1276" s="114" t="str">
        <f aca="false">IF($L1276="Atrasado",$E1276*10000+$A1276,"")</f>
        <v/>
      </c>
    </row>
    <row r="1277" customFormat="false" ht="15" hidden="false" customHeight="false" outlineLevel="0" collapsed="false">
      <c r="A1277" s="114" t="n">
        <f aca="false">ROW()-4</f>
        <v>1273</v>
      </c>
      <c r="B1277" s="114" t="str">
        <f aca="false">IF(A1277&lt;=Config!$E$27*Config!$E$28,"Tema","Avulso")</f>
        <v>Tema</v>
      </c>
      <c r="C1277" s="114" t="n">
        <f aca="false">IF(B1277="Tema",INT((A1277-1)/Config!$E$28)+1,A1277-Config!$E$27*Config!$E$28)</f>
        <v>213</v>
      </c>
      <c r="D1277" s="114" t="n">
        <f aca="false">IF(B1277="Tema",MOD(A1277-1,Config!$E$28)+1,"")</f>
        <v>1</v>
      </c>
      <c r="E1277" s="115" t="str">
        <f aca="false">IF($B1277="Tema",IF(ISNUMBER(INDEX(Temas!$E$6:$P$305,$C1277,2*$D1277-1)),INDEX(Temas!$E$6:$P$305,$C1277,2*$D1277-1),""),IF(ISNUMBER(INDEX(Avulsos!$B$6:$B$205,$C1277)),INDEX(Avulsos!$B$6:$B$205,$C1277),""))</f>
        <v/>
      </c>
      <c r="F1277" s="114" t="str">
        <f aca="false">IF($E1277="","",IF($B1277="Tema",INDEX(Temas!$B$6:$B$305,$C1277)&amp;"",INDEX(Avulsos!$C$6:$C$205,$C1277)&amp;""))</f>
        <v/>
      </c>
      <c r="G1277" s="114" t="str">
        <f aca="false">IF($E1277="","",IF($B1277="Tema",INDEX(Config!$C$6:$C$11,$D1277),"Evento avulso"))</f>
        <v/>
      </c>
      <c r="H1277" s="114" t="str">
        <f aca="false">IF($E1277="","",IF($B1277="Tema",INDEX(Config!$D$6:$D$11,$D1277),IFERROR(INDEX(Config!$E$15:$E$19,MATCH($I1277,Config!$C$15:$C$19,0)),"•")))</f>
        <v/>
      </c>
      <c r="I1277" s="114" t="str">
        <f aca="false">IF($E1277="","",IF($B1277="Tema",INDEX(Config!$E$6:$E$11,$D1277),IF(INDEX(Avulsos!$D$6:$D$205,$C1277)&amp;""="","Outro",INDEX(Avulsos!$D$6:$D$205,$C1277))))</f>
        <v/>
      </c>
      <c r="J1277" s="114" t="str">
        <f aca="false">IF($E1277="","",IF($B1277="Tema",INDEX(Temas!$C$6:$C$305,$C1277)&amp;"",INDEX(Avulsos!$E$6:$E$205,$C1277)&amp;""))</f>
        <v/>
      </c>
      <c r="K1277" s="114" t="str">
        <f aca="false">IF($E1277="","",IF(IF($B1277="Tema",INDEX(Temas!$E$6:$P$305,$C1277,2*$D1277),INDEX(Avulsos!$F$6:$F$205,$C1277))&amp;""="","","✓"))</f>
        <v/>
      </c>
      <c r="L1277" s="114" t="str">
        <f aca="true">IF($E1277="","",IF($K1277="✓","Concluído",IF($E1277&lt;TODAY(),"Atrasado",IF($E1277=TODAY(),"Hoje","Pendente"))))</f>
        <v/>
      </c>
      <c r="M1277" s="114" t="str">
        <f aca="false">IF($E1277="","",IF($K1277="✓","✓ ","")&amp;IF(Config!$E$22="Sim",$H1277&amp;" · ","")&amp;$F1277)</f>
        <v/>
      </c>
      <c r="N1277" s="114" t="str">
        <f aca="false">IF($E1277="","",IFERROR(INDEX(Config!$D$15:$D$19,MATCH($I1277,Config!$C$15:$C$19,0)),"OUT")&amp;IF($K1277="✓","x",""))</f>
        <v/>
      </c>
      <c r="O1277" s="114" t="str">
        <f aca="false">IF($E1277="","",COUNTIF($E$5:$E1277,$E1277))</f>
        <v/>
      </c>
      <c r="P1277" s="114" t="str">
        <f aca="false">IF($E1277="","",$E1277*100+$O1277)</f>
        <v/>
      </c>
      <c r="Q1277" s="114" t="str">
        <f aca="false">IF($L1277="Atrasado",$E1277*10000+$A1277,"")</f>
        <v/>
      </c>
    </row>
    <row r="1278" customFormat="false" ht="15" hidden="false" customHeight="false" outlineLevel="0" collapsed="false">
      <c r="A1278" s="114" t="n">
        <f aca="false">ROW()-4</f>
        <v>1274</v>
      </c>
      <c r="B1278" s="114" t="str">
        <f aca="false">IF(A1278&lt;=Config!$E$27*Config!$E$28,"Tema","Avulso")</f>
        <v>Tema</v>
      </c>
      <c r="C1278" s="114" t="n">
        <f aca="false">IF(B1278="Tema",INT((A1278-1)/Config!$E$28)+1,A1278-Config!$E$27*Config!$E$28)</f>
        <v>213</v>
      </c>
      <c r="D1278" s="114" t="n">
        <f aca="false">IF(B1278="Tema",MOD(A1278-1,Config!$E$28)+1,"")</f>
        <v>2</v>
      </c>
      <c r="E1278" s="115" t="str">
        <f aca="false">IF($B1278="Tema",IF(ISNUMBER(INDEX(Temas!$E$6:$P$305,$C1278,2*$D1278-1)),INDEX(Temas!$E$6:$P$305,$C1278,2*$D1278-1),""),IF(ISNUMBER(INDEX(Avulsos!$B$6:$B$205,$C1278)),INDEX(Avulsos!$B$6:$B$205,$C1278),""))</f>
        <v/>
      </c>
      <c r="F1278" s="114" t="str">
        <f aca="false">IF($E1278="","",IF($B1278="Tema",INDEX(Temas!$B$6:$B$305,$C1278)&amp;"",INDEX(Avulsos!$C$6:$C$205,$C1278)&amp;""))</f>
        <v/>
      </c>
      <c r="G1278" s="114" t="str">
        <f aca="false">IF($E1278="","",IF($B1278="Tema",INDEX(Config!$C$6:$C$11,$D1278),"Evento avulso"))</f>
        <v/>
      </c>
      <c r="H1278" s="114" t="str">
        <f aca="false">IF($E1278="","",IF($B1278="Tema",INDEX(Config!$D$6:$D$11,$D1278),IFERROR(INDEX(Config!$E$15:$E$19,MATCH($I1278,Config!$C$15:$C$19,0)),"•")))</f>
        <v/>
      </c>
      <c r="I1278" s="114" t="str">
        <f aca="false">IF($E1278="","",IF($B1278="Tema",INDEX(Config!$E$6:$E$11,$D1278),IF(INDEX(Avulsos!$D$6:$D$205,$C1278)&amp;""="","Outro",INDEX(Avulsos!$D$6:$D$205,$C1278))))</f>
        <v/>
      </c>
      <c r="J1278" s="114" t="str">
        <f aca="false">IF($E1278="","",IF($B1278="Tema",INDEX(Temas!$C$6:$C$305,$C1278)&amp;"",INDEX(Avulsos!$E$6:$E$205,$C1278)&amp;""))</f>
        <v/>
      </c>
      <c r="K1278" s="114" t="str">
        <f aca="false">IF($E1278="","",IF(IF($B1278="Tema",INDEX(Temas!$E$6:$P$305,$C1278,2*$D1278),INDEX(Avulsos!$F$6:$F$205,$C1278))&amp;""="","","✓"))</f>
        <v/>
      </c>
      <c r="L1278" s="114" t="str">
        <f aca="true">IF($E1278="","",IF($K1278="✓","Concluído",IF($E1278&lt;TODAY(),"Atrasado",IF($E1278=TODAY(),"Hoje","Pendente"))))</f>
        <v/>
      </c>
      <c r="M1278" s="114" t="str">
        <f aca="false">IF($E1278="","",IF($K1278="✓","✓ ","")&amp;IF(Config!$E$22="Sim",$H1278&amp;" · ","")&amp;$F1278)</f>
        <v/>
      </c>
      <c r="N1278" s="114" t="str">
        <f aca="false">IF($E1278="","",IFERROR(INDEX(Config!$D$15:$D$19,MATCH($I1278,Config!$C$15:$C$19,0)),"OUT")&amp;IF($K1278="✓","x",""))</f>
        <v/>
      </c>
      <c r="O1278" s="114" t="str">
        <f aca="false">IF($E1278="","",COUNTIF($E$5:$E1278,$E1278))</f>
        <v/>
      </c>
      <c r="P1278" s="114" t="str">
        <f aca="false">IF($E1278="","",$E1278*100+$O1278)</f>
        <v/>
      </c>
      <c r="Q1278" s="114" t="str">
        <f aca="false">IF($L1278="Atrasado",$E1278*10000+$A1278,"")</f>
        <v/>
      </c>
    </row>
    <row r="1279" customFormat="false" ht="15" hidden="false" customHeight="false" outlineLevel="0" collapsed="false">
      <c r="A1279" s="114" t="n">
        <f aca="false">ROW()-4</f>
        <v>1275</v>
      </c>
      <c r="B1279" s="114" t="str">
        <f aca="false">IF(A1279&lt;=Config!$E$27*Config!$E$28,"Tema","Avulso")</f>
        <v>Tema</v>
      </c>
      <c r="C1279" s="114" t="n">
        <f aca="false">IF(B1279="Tema",INT((A1279-1)/Config!$E$28)+1,A1279-Config!$E$27*Config!$E$28)</f>
        <v>213</v>
      </c>
      <c r="D1279" s="114" t="n">
        <f aca="false">IF(B1279="Tema",MOD(A1279-1,Config!$E$28)+1,"")</f>
        <v>3</v>
      </c>
      <c r="E1279" s="115" t="str">
        <f aca="false">IF($B1279="Tema",IF(ISNUMBER(INDEX(Temas!$E$6:$P$305,$C1279,2*$D1279-1)),INDEX(Temas!$E$6:$P$305,$C1279,2*$D1279-1),""),IF(ISNUMBER(INDEX(Avulsos!$B$6:$B$205,$C1279)),INDEX(Avulsos!$B$6:$B$205,$C1279),""))</f>
        <v/>
      </c>
      <c r="F1279" s="114" t="str">
        <f aca="false">IF($E1279="","",IF($B1279="Tema",INDEX(Temas!$B$6:$B$305,$C1279)&amp;"",INDEX(Avulsos!$C$6:$C$205,$C1279)&amp;""))</f>
        <v/>
      </c>
      <c r="G1279" s="114" t="str">
        <f aca="false">IF($E1279="","",IF($B1279="Tema",INDEX(Config!$C$6:$C$11,$D1279),"Evento avulso"))</f>
        <v/>
      </c>
      <c r="H1279" s="114" t="str">
        <f aca="false">IF($E1279="","",IF($B1279="Tema",INDEX(Config!$D$6:$D$11,$D1279),IFERROR(INDEX(Config!$E$15:$E$19,MATCH($I1279,Config!$C$15:$C$19,0)),"•")))</f>
        <v/>
      </c>
      <c r="I1279" s="114" t="str">
        <f aca="false">IF($E1279="","",IF($B1279="Tema",INDEX(Config!$E$6:$E$11,$D1279),IF(INDEX(Avulsos!$D$6:$D$205,$C1279)&amp;""="","Outro",INDEX(Avulsos!$D$6:$D$205,$C1279))))</f>
        <v/>
      </c>
      <c r="J1279" s="114" t="str">
        <f aca="false">IF($E1279="","",IF($B1279="Tema",INDEX(Temas!$C$6:$C$305,$C1279)&amp;"",INDEX(Avulsos!$E$6:$E$205,$C1279)&amp;""))</f>
        <v/>
      </c>
      <c r="K1279" s="114" t="str">
        <f aca="false">IF($E1279="","",IF(IF($B1279="Tema",INDEX(Temas!$E$6:$P$305,$C1279,2*$D1279),INDEX(Avulsos!$F$6:$F$205,$C1279))&amp;""="","","✓"))</f>
        <v/>
      </c>
      <c r="L1279" s="114" t="str">
        <f aca="true">IF($E1279="","",IF($K1279="✓","Concluído",IF($E1279&lt;TODAY(),"Atrasado",IF($E1279=TODAY(),"Hoje","Pendente"))))</f>
        <v/>
      </c>
      <c r="M1279" s="114" t="str">
        <f aca="false">IF($E1279="","",IF($K1279="✓","✓ ","")&amp;IF(Config!$E$22="Sim",$H1279&amp;" · ","")&amp;$F1279)</f>
        <v/>
      </c>
      <c r="N1279" s="114" t="str">
        <f aca="false">IF($E1279="","",IFERROR(INDEX(Config!$D$15:$D$19,MATCH($I1279,Config!$C$15:$C$19,0)),"OUT")&amp;IF($K1279="✓","x",""))</f>
        <v/>
      </c>
      <c r="O1279" s="114" t="str">
        <f aca="false">IF($E1279="","",COUNTIF($E$5:$E1279,$E1279))</f>
        <v/>
      </c>
      <c r="P1279" s="114" t="str">
        <f aca="false">IF($E1279="","",$E1279*100+$O1279)</f>
        <v/>
      </c>
      <c r="Q1279" s="114" t="str">
        <f aca="false">IF($L1279="Atrasado",$E1279*10000+$A1279,"")</f>
        <v/>
      </c>
    </row>
    <row r="1280" customFormat="false" ht="15" hidden="false" customHeight="false" outlineLevel="0" collapsed="false">
      <c r="A1280" s="114" t="n">
        <f aca="false">ROW()-4</f>
        <v>1276</v>
      </c>
      <c r="B1280" s="114" t="str">
        <f aca="false">IF(A1280&lt;=Config!$E$27*Config!$E$28,"Tema","Avulso")</f>
        <v>Tema</v>
      </c>
      <c r="C1280" s="114" t="n">
        <f aca="false">IF(B1280="Tema",INT((A1280-1)/Config!$E$28)+1,A1280-Config!$E$27*Config!$E$28)</f>
        <v>213</v>
      </c>
      <c r="D1280" s="114" t="n">
        <f aca="false">IF(B1280="Tema",MOD(A1280-1,Config!$E$28)+1,"")</f>
        <v>4</v>
      </c>
      <c r="E1280" s="115" t="str">
        <f aca="false">IF($B1280="Tema",IF(ISNUMBER(INDEX(Temas!$E$6:$P$305,$C1280,2*$D1280-1)),INDEX(Temas!$E$6:$P$305,$C1280,2*$D1280-1),""),IF(ISNUMBER(INDEX(Avulsos!$B$6:$B$205,$C1280)),INDEX(Avulsos!$B$6:$B$205,$C1280),""))</f>
        <v/>
      </c>
      <c r="F1280" s="114" t="str">
        <f aca="false">IF($E1280="","",IF($B1280="Tema",INDEX(Temas!$B$6:$B$305,$C1280)&amp;"",INDEX(Avulsos!$C$6:$C$205,$C1280)&amp;""))</f>
        <v/>
      </c>
      <c r="G1280" s="114" t="str">
        <f aca="false">IF($E1280="","",IF($B1280="Tema",INDEX(Config!$C$6:$C$11,$D1280),"Evento avulso"))</f>
        <v/>
      </c>
      <c r="H1280" s="114" t="str">
        <f aca="false">IF($E1280="","",IF($B1280="Tema",INDEX(Config!$D$6:$D$11,$D1280),IFERROR(INDEX(Config!$E$15:$E$19,MATCH($I1280,Config!$C$15:$C$19,0)),"•")))</f>
        <v/>
      </c>
      <c r="I1280" s="114" t="str">
        <f aca="false">IF($E1280="","",IF($B1280="Tema",INDEX(Config!$E$6:$E$11,$D1280),IF(INDEX(Avulsos!$D$6:$D$205,$C1280)&amp;""="","Outro",INDEX(Avulsos!$D$6:$D$205,$C1280))))</f>
        <v/>
      </c>
      <c r="J1280" s="114" t="str">
        <f aca="false">IF($E1280="","",IF($B1280="Tema",INDEX(Temas!$C$6:$C$305,$C1280)&amp;"",INDEX(Avulsos!$E$6:$E$205,$C1280)&amp;""))</f>
        <v/>
      </c>
      <c r="K1280" s="114" t="str">
        <f aca="false">IF($E1280="","",IF(IF($B1280="Tema",INDEX(Temas!$E$6:$P$305,$C1280,2*$D1280),INDEX(Avulsos!$F$6:$F$205,$C1280))&amp;""="","","✓"))</f>
        <v/>
      </c>
      <c r="L1280" s="114" t="str">
        <f aca="true">IF($E1280="","",IF($K1280="✓","Concluído",IF($E1280&lt;TODAY(),"Atrasado",IF($E1280=TODAY(),"Hoje","Pendente"))))</f>
        <v/>
      </c>
      <c r="M1280" s="114" t="str">
        <f aca="false">IF($E1280="","",IF($K1280="✓","✓ ","")&amp;IF(Config!$E$22="Sim",$H1280&amp;" · ","")&amp;$F1280)</f>
        <v/>
      </c>
      <c r="N1280" s="114" t="str">
        <f aca="false">IF($E1280="","",IFERROR(INDEX(Config!$D$15:$D$19,MATCH($I1280,Config!$C$15:$C$19,0)),"OUT")&amp;IF($K1280="✓","x",""))</f>
        <v/>
      </c>
      <c r="O1280" s="114" t="str">
        <f aca="false">IF($E1280="","",COUNTIF($E$5:$E1280,$E1280))</f>
        <v/>
      </c>
      <c r="P1280" s="114" t="str">
        <f aca="false">IF($E1280="","",$E1280*100+$O1280)</f>
        <v/>
      </c>
      <c r="Q1280" s="114" t="str">
        <f aca="false">IF($L1280="Atrasado",$E1280*10000+$A1280,"")</f>
        <v/>
      </c>
    </row>
    <row r="1281" customFormat="false" ht="15" hidden="false" customHeight="false" outlineLevel="0" collapsed="false">
      <c r="A1281" s="114" t="n">
        <f aca="false">ROW()-4</f>
        <v>1277</v>
      </c>
      <c r="B1281" s="114" t="str">
        <f aca="false">IF(A1281&lt;=Config!$E$27*Config!$E$28,"Tema","Avulso")</f>
        <v>Tema</v>
      </c>
      <c r="C1281" s="114" t="n">
        <f aca="false">IF(B1281="Tema",INT((A1281-1)/Config!$E$28)+1,A1281-Config!$E$27*Config!$E$28)</f>
        <v>213</v>
      </c>
      <c r="D1281" s="114" t="n">
        <f aca="false">IF(B1281="Tema",MOD(A1281-1,Config!$E$28)+1,"")</f>
        <v>5</v>
      </c>
      <c r="E1281" s="115" t="str">
        <f aca="false">IF($B1281="Tema",IF(ISNUMBER(INDEX(Temas!$E$6:$P$305,$C1281,2*$D1281-1)),INDEX(Temas!$E$6:$P$305,$C1281,2*$D1281-1),""),IF(ISNUMBER(INDEX(Avulsos!$B$6:$B$205,$C1281)),INDEX(Avulsos!$B$6:$B$205,$C1281),""))</f>
        <v/>
      </c>
      <c r="F1281" s="114" t="str">
        <f aca="false">IF($E1281="","",IF($B1281="Tema",INDEX(Temas!$B$6:$B$305,$C1281)&amp;"",INDEX(Avulsos!$C$6:$C$205,$C1281)&amp;""))</f>
        <v/>
      </c>
      <c r="G1281" s="114" t="str">
        <f aca="false">IF($E1281="","",IF($B1281="Tema",INDEX(Config!$C$6:$C$11,$D1281),"Evento avulso"))</f>
        <v/>
      </c>
      <c r="H1281" s="114" t="str">
        <f aca="false">IF($E1281="","",IF($B1281="Tema",INDEX(Config!$D$6:$D$11,$D1281),IFERROR(INDEX(Config!$E$15:$E$19,MATCH($I1281,Config!$C$15:$C$19,0)),"•")))</f>
        <v/>
      </c>
      <c r="I1281" s="114" t="str">
        <f aca="false">IF($E1281="","",IF($B1281="Tema",INDEX(Config!$E$6:$E$11,$D1281),IF(INDEX(Avulsos!$D$6:$D$205,$C1281)&amp;""="","Outro",INDEX(Avulsos!$D$6:$D$205,$C1281))))</f>
        <v/>
      </c>
      <c r="J1281" s="114" t="str">
        <f aca="false">IF($E1281="","",IF($B1281="Tema",INDEX(Temas!$C$6:$C$305,$C1281)&amp;"",INDEX(Avulsos!$E$6:$E$205,$C1281)&amp;""))</f>
        <v/>
      </c>
      <c r="K1281" s="114" t="str">
        <f aca="false">IF($E1281="","",IF(IF($B1281="Tema",INDEX(Temas!$E$6:$P$305,$C1281,2*$D1281),INDEX(Avulsos!$F$6:$F$205,$C1281))&amp;""="","","✓"))</f>
        <v/>
      </c>
      <c r="L1281" s="114" t="str">
        <f aca="true">IF($E1281="","",IF($K1281="✓","Concluído",IF($E1281&lt;TODAY(),"Atrasado",IF($E1281=TODAY(),"Hoje","Pendente"))))</f>
        <v/>
      </c>
      <c r="M1281" s="114" t="str">
        <f aca="false">IF($E1281="","",IF($K1281="✓","✓ ","")&amp;IF(Config!$E$22="Sim",$H1281&amp;" · ","")&amp;$F1281)</f>
        <v/>
      </c>
      <c r="N1281" s="114" t="str">
        <f aca="false">IF($E1281="","",IFERROR(INDEX(Config!$D$15:$D$19,MATCH($I1281,Config!$C$15:$C$19,0)),"OUT")&amp;IF($K1281="✓","x",""))</f>
        <v/>
      </c>
      <c r="O1281" s="114" t="str">
        <f aca="false">IF($E1281="","",COUNTIF($E$5:$E1281,$E1281))</f>
        <v/>
      </c>
      <c r="P1281" s="114" t="str">
        <f aca="false">IF($E1281="","",$E1281*100+$O1281)</f>
        <v/>
      </c>
      <c r="Q1281" s="114" t="str">
        <f aca="false">IF($L1281="Atrasado",$E1281*10000+$A1281,"")</f>
        <v/>
      </c>
    </row>
    <row r="1282" customFormat="false" ht="15" hidden="false" customHeight="false" outlineLevel="0" collapsed="false">
      <c r="A1282" s="114" t="n">
        <f aca="false">ROW()-4</f>
        <v>1278</v>
      </c>
      <c r="B1282" s="114" t="str">
        <f aca="false">IF(A1282&lt;=Config!$E$27*Config!$E$28,"Tema","Avulso")</f>
        <v>Tema</v>
      </c>
      <c r="C1282" s="114" t="n">
        <f aca="false">IF(B1282="Tema",INT((A1282-1)/Config!$E$28)+1,A1282-Config!$E$27*Config!$E$28)</f>
        <v>213</v>
      </c>
      <c r="D1282" s="114" t="n">
        <f aca="false">IF(B1282="Tema",MOD(A1282-1,Config!$E$28)+1,"")</f>
        <v>6</v>
      </c>
      <c r="E1282" s="115" t="str">
        <f aca="false">IF($B1282="Tema",IF(ISNUMBER(INDEX(Temas!$E$6:$P$305,$C1282,2*$D1282-1)),INDEX(Temas!$E$6:$P$305,$C1282,2*$D1282-1),""),IF(ISNUMBER(INDEX(Avulsos!$B$6:$B$205,$C1282)),INDEX(Avulsos!$B$6:$B$205,$C1282),""))</f>
        <v/>
      </c>
      <c r="F1282" s="114" t="str">
        <f aca="false">IF($E1282="","",IF($B1282="Tema",INDEX(Temas!$B$6:$B$305,$C1282)&amp;"",INDEX(Avulsos!$C$6:$C$205,$C1282)&amp;""))</f>
        <v/>
      </c>
      <c r="G1282" s="114" t="str">
        <f aca="false">IF($E1282="","",IF($B1282="Tema",INDEX(Config!$C$6:$C$11,$D1282),"Evento avulso"))</f>
        <v/>
      </c>
      <c r="H1282" s="114" t="str">
        <f aca="false">IF($E1282="","",IF($B1282="Tema",INDEX(Config!$D$6:$D$11,$D1282),IFERROR(INDEX(Config!$E$15:$E$19,MATCH($I1282,Config!$C$15:$C$19,0)),"•")))</f>
        <v/>
      </c>
      <c r="I1282" s="114" t="str">
        <f aca="false">IF($E1282="","",IF($B1282="Tema",INDEX(Config!$E$6:$E$11,$D1282),IF(INDEX(Avulsos!$D$6:$D$205,$C1282)&amp;""="","Outro",INDEX(Avulsos!$D$6:$D$205,$C1282))))</f>
        <v/>
      </c>
      <c r="J1282" s="114" t="str">
        <f aca="false">IF($E1282="","",IF($B1282="Tema",INDEX(Temas!$C$6:$C$305,$C1282)&amp;"",INDEX(Avulsos!$E$6:$E$205,$C1282)&amp;""))</f>
        <v/>
      </c>
      <c r="K1282" s="114" t="str">
        <f aca="false">IF($E1282="","",IF(IF($B1282="Tema",INDEX(Temas!$E$6:$P$305,$C1282,2*$D1282),INDEX(Avulsos!$F$6:$F$205,$C1282))&amp;""="","","✓"))</f>
        <v/>
      </c>
      <c r="L1282" s="114" t="str">
        <f aca="true">IF($E1282="","",IF($K1282="✓","Concluído",IF($E1282&lt;TODAY(),"Atrasado",IF($E1282=TODAY(),"Hoje","Pendente"))))</f>
        <v/>
      </c>
      <c r="M1282" s="114" t="str">
        <f aca="false">IF($E1282="","",IF($K1282="✓","✓ ","")&amp;IF(Config!$E$22="Sim",$H1282&amp;" · ","")&amp;$F1282)</f>
        <v/>
      </c>
      <c r="N1282" s="114" t="str">
        <f aca="false">IF($E1282="","",IFERROR(INDEX(Config!$D$15:$D$19,MATCH($I1282,Config!$C$15:$C$19,0)),"OUT")&amp;IF($K1282="✓","x",""))</f>
        <v/>
      </c>
      <c r="O1282" s="114" t="str">
        <f aca="false">IF($E1282="","",COUNTIF($E$5:$E1282,$E1282))</f>
        <v/>
      </c>
      <c r="P1282" s="114" t="str">
        <f aca="false">IF($E1282="","",$E1282*100+$O1282)</f>
        <v/>
      </c>
      <c r="Q1282" s="114" t="str">
        <f aca="false">IF($L1282="Atrasado",$E1282*10000+$A1282,"")</f>
        <v/>
      </c>
    </row>
    <row r="1283" customFormat="false" ht="15" hidden="false" customHeight="false" outlineLevel="0" collapsed="false">
      <c r="A1283" s="114" t="n">
        <f aca="false">ROW()-4</f>
        <v>1279</v>
      </c>
      <c r="B1283" s="114" t="str">
        <f aca="false">IF(A1283&lt;=Config!$E$27*Config!$E$28,"Tema","Avulso")</f>
        <v>Tema</v>
      </c>
      <c r="C1283" s="114" t="n">
        <f aca="false">IF(B1283="Tema",INT((A1283-1)/Config!$E$28)+1,A1283-Config!$E$27*Config!$E$28)</f>
        <v>214</v>
      </c>
      <c r="D1283" s="114" t="n">
        <f aca="false">IF(B1283="Tema",MOD(A1283-1,Config!$E$28)+1,"")</f>
        <v>1</v>
      </c>
      <c r="E1283" s="115" t="str">
        <f aca="false">IF($B1283="Tema",IF(ISNUMBER(INDEX(Temas!$E$6:$P$305,$C1283,2*$D1283-1)),INDEX(Temas!$E$6:$P$305,$C1283,2*$D1283-1),""),IF(ISNUMBER(INDEX(Avulsos!$B$6:$B$205,$C1283)),INDEX(Avulsos!$B$6:$B$205,$C1283),""))</f>
        <v/>
      </c>
      <c r="F1283" s="114" t="str">
        <f aca="false">IF($E1283="","",IF($B1283="Tema",INDEX(Temas!$B$6:$B$305,$C1283)&amp;"",INDEX(Avulsos!$C$6:$C$205,$C1283)&amp;""))</f>
        <v/>
      </c>
      <c r="G1283" s="114" t="str">
        <f aca="false">IF($E1283="","",IF($B1283="Tema",INDEX(Config!$C$6:$C$11,$D1283),"Evento avulso"))</f>
        <v/>
      </c>
      <c r="H1283" s="114" t="str">
        <f aca="false">IF($E1283="","",IF($B1283="Tema",INDEX(Config!$D$6:$D$11,$D1283),IFERROR(INDEX(Config!$E$15:$E$19,MATCH($I1283,Config!$C$15:$C$19,0)),"•")))</f>
        <v/>
      </c>
      <c r="I1283" s="114" t="str">
        <f aca="false">IF($E1283="","",IF($B1283="Tema",INDEX(Config!$E$6:$E$11,$D1283),IF(INDEX(Avulsos!$D$6:$D$205,$C1283)&amp;""="","Outro",INDEX(Avulsos!$D$6:$D$205,$C1283))))</f>
        <v/>
      </c>
      <c r="J1283" s="114" t="str">
        <f aca="false">IF($E1283="","",IF($B1283="Tema",INDEX(Temas!$C$6:$C$305,$C1283)&amp;"",INDEX(Avulsos!$E$6:$E$205,$C1283)&amp;""))</f>
        <v/>
      </c>
      <c r="K1283" s="114" t="str">
        <f aca="false">IF($E1283="","",IF(IF($B1283="Tema",INDEX(Temas!$E$6:$P$305,$C1283,2*$D1283),INDEX(Avulsos!$F$6:$F$205,$C1283))&amp;""="","","✓"))</f>
        <v/>
      </c>
      <c r="L1283" s="114" t="str">
        <f aca="true">IF($E1283="","",IF($K1283="✓","Concluído",IF($E1283&lt;TODAY(),"Atrasado",IF($E1283=TODAY(),"Hoje","Pendente"))))</f>
        <v/>
      </c>
      <c r="M1283" s="114" t="str">
        <f aca="false">IF($E1283="","",IF($K1283="✓","✓ ","")&amp;IF(Config!$E$22="Sim",$H1283&amp;" · ","")&amp;$F1283)</f>
        <v/>
      </c>
      <c r="N1283" s="114" t="str">
        <f aca="false">IF($E1283="","",IFERROR(INDEX(Config!$D$15:$D$19,MATCH($I1283,Config!$C$15:$C$19,0)),"OUT")&amp;IF($K1283="✓","x",""))</f>
        <v/>
      </c>
      <c r="O1283" s="114" t="str">
        <f aca="false">IF($E1283="","",COUNTIF($E$5:$E1283,$E1283))</f>
        <v/>
      </c>
      <c r="P1283" s="114" t="str">
        <f aca="false">IF($E1283="","",$E1283*100+$O1283)</f>
        <v/>
      </c>
      <c r="Q1283" s="114" t="str">
        <f aca="false">IF($L1283="Atrasado",$E1283*10000+$A1283,"")</f>
        <v/>
      </c>
    </row>
    <row r="1284" customFormat="false" ht="15" hidden="false" customHeight="false" outlineLevel="0" collapsed="false">
      <c r="A1284" s="114" t="n">
        <f aca="false">ROW()-4</f>
        <v>1280</v>
      </c>
      <c r="B1284" s="114" t="str">
        <f aca="false">IF(A1284&lt;=Config!$E$27*Config!$E$28,"Tema","Avulso")</f>
        <v>Tema</v>
      </c>
      <c r="C1284" s="114" t="n">
        <f aca="false">IF(B1284="Tema",INT((A1284-1)/Config!$E$28)+1,A1284-Config!$E$27*Config!$E$28)</f>
        <v>214</v>
      </c>
      <c r="D1284" s="114" t="n">
        <f aca="false">IF(B1284="Tema",MOD(A1284-1,Config!$E$28)+1,"")</f>
        <v>2</v>
      </c>
      <c r="E1284" s="115" t="str">
        <f aca="false">IF($B1284="Tema",IF(ISNUMBER(INDEX(Temas!$E$6:$P$305,$C1284,2*$D1284-1)),INDEX(Temas!$E$6:$P$305,$C1284,2*$D1284-1),""),IF(ISNUMBER(INDEX(Avulsos!$B$6:$B$205,$C1284)),INDEX(Avulsos!$B$6:$B$205,$C1284),""))</f>
        <v/>
      </c>
      <c r="F1284" s="114" t="str">
        <f aca="false">IF($E1284="","",IF($B1284="Tema",INDEX(Temas!$B$6:$B$305,$C1284)&amp;"",INDEX(Avulsos!$C$6:$C$205,$C1284)&amp;""))</f>
        <v/>
      </c>
      <c r="G1284" s="114" t="str">
        <f aca="false">IF($E1284="","",IF($B1284="Tema",INDEX(Config!$C$6:$C$11,$D1284),"Evento avulso"))</f>
        <v/>
      </c>
      <c r="H1284" s="114" t="str">
        <f aca="false">IF($E1284="","",IF($B1284="Tema",INDEX(Config!$D$6:$D$11,$D1284),IFERROR(INDEX(Config!$E$15:$E$19,MATCH($I1284,Config!$C$15:$C$19,0)),"•")))</f>
        <v/>
      </c>
      <c r="I1284" s="114" t="str">
        <f aca="false">IF($E1284="","",IF($B1284="Tema",INDEX(Config!$E$6:$E$11,$D1284),IF(INDEX(Avulsos!$D$6:$D$205,$C1284)&amp;""="","Outro",INDEX(Avulsos!$D$6:$D$205,$C1284))))</f>
        <v/>
      </c>
      <c r="J1284" s="114" t="str">
        <f aca="false">IF($E1284="","",IF($B1284="Tema",INDEX(Temas!$C$6:$C$305,$C1284)&amp;"",INDEX(Avulsos!$E$6:$E$205,$C1284)&amp;""))</f>
        <v/>
      </c>
      <c r="K1284" s="114" t="str">
        <f aca="false">IF($E1284="","",IF(IF($B1284="Tema",INDEX(Temas!$E$6:$P$305,$C1284,2*$D1284),INDEX(Avulsos!$F$6:$F$205,$C1284))&amp;""="","","✓"))</f>
        <v/>
      </c>
      <c r="L1284" s="114" t="str">
        <f aca="true">IF($E1284="","",IF($K1284="✓","Concluído",IF($E1284&lt;TODAY(),"Atrasado",IF($E1284=TODAY(),"Hoje","Pendente"))))</f>
        <v/>
      </c>
      <c r="M1284" s="114" t="str">
        <f aca="false">IF($E1284="","",IF($K1284="✓","✓ ","")&amp;IF(Config!$E$22="Sim",$H1284&amp;" · ","")&amp;$F1284)</f>
        <v/>
      </c>
      <c r="N1284" s="114" t="str">
        <f aca="false">IF($E1284="","",IFERROR(INDEX(Config!$D$15:$D$19,MATCH($I1284,Config!$C$15:$C$19,0)),"OUT")&amp;IF($K1284="✓","x",""))</f>
        <v/>
      </c>
      <c r="O1284" s="114" t="str">
        <f aca="false">IF($E1284="","",COUNTIF($E$5:$E1284,$E1284))</f>
        <v/>
      </c>
      <c r="P1284" s="114" t="str">
        <f aca="false">IF($E1284="","",$E1284*100+$O1284)</f>
        <v/>
      </c>
      <c r="Q1284" s="114" t="str">
        <f aca="false">IF($L1284="Atrasado",$E1284*10000+$A1284,"")</f>
        <v/>
      </c>
    </row>
    <row r="1285" customFormat="false" ht="15" hidden="false" customHeight="false" outlineLevel="0" collapsed="false">
      <c r="A1285" s="114" t="n">
        <f aca="false">ROW()-4</f>
        <v>1281</v>
      </c>
      <c r="B1285" s="114" t="str">
        <f aca="false">IF(A1285&lt;=Config!$E$27*Config!$E$28,"Tema","Avulso")</f>
        <v>Tema</v>
      </c>
      <c r="C1285" s="114" t="n">
        <f aca="false">IF(B1285="Tema",INT((A1285-1)/Config!$E$28)+1,A1285-Config!$E$27*Config!$E$28)</f>
        <v>214</v>
      </c>
      <c r="D1285" s="114" t="n">
        <f aca="false">IF(B1285="Tema",MOD(A1285-1,Config!$E$28)+1,"")</f>
        <v>3</v>
      </c>
      <c r="E1285" s="115" t="str">
        <f aca="false">IF($B1285="Tema",IF(ISNUMBER(INDEX(Temas!$E$6:$P$305,$C1285,2*$D1285-1)),INDEX(Temas!$E$6:$P$305,$C1285,2*$D1285-1),""),IF(ISNUMBER(INDEX(Avulsos!$B$6:$B$205,$C1285)),INDEX(Avulsos!$B$6:$B$205,$C1285),""))</f>
        <v/>
      </c>
      <c r="F1285" s="114" t="str">
        <f aca="false">IF($E1285="","",IF($B1285="Tema",INDEX(Temas!$B$6:$B$305,$C1285)&amp;"",INDEX(Avulsos!$C$6:$C$205,$C1285)&amp;""))</f>
        <v/>
      </c>
      <c r="G1285" s="114" t="str">
        <f aca="false">IF($E1285="","",IF($B1285="Tema",INDEX(Config!$C$6:$C$11,$D1285),"Evento avulso"))</f>
        <v/>
      </c>
      <c r="H1285" s="114" t="str">
        <f aca="false">IF($E1285="","",IF($B1285="Tema",INDEX(Config!$D$6:$D$11,$D1285),IFERROR(INDEX(Config!$E$15:$E$19,MATCH($I1285,Config!$C$15:$C$19,0)),"•")))</f>
        <v/>
      </c>
      <c r="I1285" s="114" t="str">
        <f aca="false">IF($E1285="","",IF($B1285="Tema",INDEX(Config!$E$6:$E$11,$D1285),IF(INDEX(Avulsos!$D$6:$D$205,$C1285)&amp;""="","Outro",INDEX(Avulsos!$D$6:$D$205,$C1285))))</f>
        <v/>
      </c>
      <c r="J1285" s="114" t="str">
        <f aca="false">IF($E1285="","",IF($B1285="Tema",INDEX(Temas!$C$6:$C$305,$C1285)&amp;"",INDEX(Avulsos!$E$6:$E$205,$C1285)&amp;""))</f>
        <v/>
      </c>
      <c r="K1285" s="114" t="str">
        <f aca="false">IF($E1285="","",IF(IF($B1285="Tema",INDEX(Temas!$E$6:$P$305,$C1285,2*$D1285),INDEX(Avulsos!$F$6:$F$205,$C1285))&amp;""="","","✓"))</f>
        <v/>
      </c>
      <c r="L1285" s="114" t="str">
        <f aca="true">IF($E1285="","",IF($K1285="✓","Concluído",IF($E1285&lt;TODAY(),"Atrasado",IF($E1285=TODAY(),"Hoje","Pendente"))))</f>
        <v/>
      </c>
      <c r="M1285" s="114" t="str">
        <f aca="false">IF($E1285="","",IF($K1285="✓","✓ ","")&amp;IF(Config!$E$22="Sim",$H1285&amp;" · ","")&amp;$F1285)</f>
        <v/>
      </c>
      <c r="N1285" s="114" t="str">
        <f aca="false">IF($E1285="","",IFERROR(INDEX(Config!$D$15:$D$19,MATCH($I1285,Config!$C$15:$C$19,0)),"OUT")&amp;IF($K1285="✓","x",""))</f>
        <v/>
      </c>
      <c r="O1285" s="114" t="str">
        <f aca="false">IF($E1285="","",COUNTIF($E$5:$E1285,$E1285))</f>
        <v/>
      </c>
      <c r="P1285" s="114" t="str">
        <f aca="false">IF($E1285="","",$E1285*100+$O1285)</f>
        <v/>
      </c>
      <c r="Q1285" s="114" t="str">
        <f aca="false">IF($L1285="Atrasado",$E1285*10000+$A1285,"")</f>
        <v/>
      </c>
    </row>
    <row r="1286" customFormat="false" ht="15" hidden="false" customHeight="false" outlineLevel="0" collapsed="false">
      <c r="A1286" s="114" t="n">
        <f aca="false">ROW()-4</f>
        <v>1282</v>
      </c>
      <c r="B1286" s="114" t="str">
        <f aca="false">IF(A1286&lt;=Config!$E$27*Config!$E$28,"Tema","Avulso")</f>
        <v>Tema</v>
      </c>
      <c r="C1286" s="114" t="n">
        <f aca="false">IF(B1286="Tema",INT((A1286-1)/Config!$E$28)+1,A1286-Config!$E$27*Config!$E$28)</f>
        <v>214</v>
      </c>
      <c r="D1286" s="114" t="n">
        <f aca="false">IF(B1286="Tema",MOD(A1286-1,Config!$E$28)+1,"")</f>
        <v>4</v>
      </c>
      <c r="E1286" s="115" t="str">
        <f aca="false">IF($B1286="Tema",IF(ISNUMBER(INDEX(Temas!$E$6:$P$305,$C1286,2*$D1286-1)),INDEX(Temas!$E$6:$P$305,$C1286,2*$D1286-1),""),IF(ISNUMBER(INDEX(Avulsos!$B$6:$B$205,$C1286)),INDEX(Avulsos!$B$6:$B$205,$C1286),""))</f>
        <v/>
      </c>
      <c r="F1286" s="114" t="str">
        <f aca="false">IF($E1286="","",IF($B1286="Tema",INDEX(Temas!$B$6:$B$305,$C1286)&amp;"",INDEX(Avulsos!$C$6:$C$205,$C1286)&amp;""))</f>
        <v/>
      </c>
      <c r="G1286" s="114" t="str">
        <f aca="false">IF($E1286="","",IF($B1286="Tema",INDEX(Config!$C$6:$C$11,$D1286),"Evento avulso"))</f>
        <v/>
      </c>
      <c r="H1286" s="114" t="str">
        <f aca="false">IF($E1286="","",IF($B1286="Tema",INDEX(Config!$D$6:$D$11,$D1286),IFERROR(INDEX(Config!$E$15:$E$19,MATCH($I1286,Config!$C$15:$C$19,0)),"•")))</f>
        <v/>
      </c>
      <c r="I1286" s="114" t="str">
        <f aca="false">IF($E1286="","",IF($B1286="Tema",INDEX(Config!$E$6:$E$11,$D1286),IF(INDEX(Avulsos!$D$6:$D$205,$C1286)&amp;""="","Outro",INDEX(Avulsos!$D$6:$D$205,$C1286))))</f>
        <v/>
      </c>
      <c r="J1286" s="114" t="str">
        <f aca="false">IF($E1286="","",IF($B1286="Tema",INDEX(Temas!$C$6:$C$305,$C1286)&amp;"",INDEX(Avulsos!$E$6:$E$205,$C1286)&amp;""))</f>
        <v/>
      </c>
      <c r="K1286" s="114" t="str">
        <f aca="false">IF($E1286="","",IF(IF($B1286="Tema",INDEX(Temas!$E$6:$P$305,$C1286,2*$D1286),INDEX(Avulsos!$F$6:$F$205,$C1286))&amp;""="","","✓"))</f>
        <v/>
      </c>
      <c r="L1286" s="114" t="str">
        <f aca="true">IF($E1286="","",IF($K1286="✓","Concluído",IF($E1286&lt;TODAY(),"Atrasado",IF($E1286=TODAY(),"Hoje","Pendente"))))</f>
        <v/>
      </c>
      <c r="M1286" s="114" t="str">
        <f aca="false">IF($E1286="","",IF($K1286="✓","✓ ","")&amp;IF(Config!$E$22="Sim",$H1286&amp;" · ","")&amp;$F1286)</f>
        <v/>
      </c>
      <c r="N1286" s="114" t="str">
        <f aca="false">IF($E1286="","",IFERROR(INDEX(Config!$D$15:$D$19,MATCH($I1286,Config!$C$15:$C$19,0)),"OUT")&amp;IF($K1286="✓","x",""))</f>
        <v/>
      </c>
      <c r="O1286" s="114" t="str">
        <f aca="false">IF($E1286="","",COUNTIF($E$5:$E1286,$E1286))</f>
        <v/>
      </c>
      <c r="P1286" s="114" t="str">
        <f aca="false">IF($E1286="","",$E1286*100+$O1286)</f>
        <v/>
      </c>
      <c r="Q1286" s="114" t="str">
        <f aca="false">IF($L1286="Atrasado",$E1286*10000+$A1286,"")</f>
        <v/>
      </c>
    </row>
    <row r="1287" customFormat="false" ht="15" hidden="false" customHeight="false" outlineLevel="0" collapsed="false">
      <c r="A1287" s="114" t="n">
        <f aca="false">ROW()-4</f>
        <v>1283</v>
      </c>
      <c r="B1287" s="114" t="str">
        <f aca="false">IF(A1287&lt;=Config!$E$27*Config!$E$28,"Tema","Avulso")</f>
        <v>Tema</v>
      </c>
      <c r="C1287" s="114" t="n">
        <f aca="false">IF(B1287="Tema",INT((A1287-1)/Config!$E$28)+1,A1287-Config!$E$27*Config!$E$28)</f>
        <v>214</v>
      </c>
      <c r="D1287" s="114" t="n">
        <f aca="false">IF(B1287="Tema",MOD(A1287-1,Config!$E$28)+1,"")</f>
        <v>5</v>
      </c>
      <c r="E1287" s="115" t="str">
        <f aca="false">IF($B1287="Tema",IF(ISNUMBER(INDEX(Temas!$E$6:$P$305,$C1287,2*$D1287-1)),INDEX(Temas!$E$6:$P$305,$C1287,2*$D1287-1),""),IF(ISNUMBER(INDEX(Avulsos!$B$6:$B$205,$C1287)),INDEX(Avulsos!$B$6:$B$205,$C1287),""))</f>
        <v/>
      </c>
      <c r="F1287" s="114" t="str">
        <f aca="false">IF($E1287="","",IF($B1287="Tema",INDEX(Temas!$B$6:$B$305,$C1287)&amp;"",INDEX(Avulsos!$C$6:$C$205,$C1287)&amp;""))</f>
        <v/>
      </c>
      <c r="G1287" s="114" t="str">
        <f aca="false">IF($E1287="","",IF($B1287="Tema",INDEX(Config!$C$6:$C$11,$D1287),"Evento avulso"))</f>
        <v/>
      </c>
      <c r="H1287" s="114" t="str">
        <f aca="false">IF($E1287="","",IF($B1287="Tema",INDEX(Config!$D$6:$D$11,$D1287),IFERROR(INDEX(Config!$E$15:$E$19,MATCH($I1287,Config!$C$15:$C$19,0)),"•")))</f>
        <v/>
      </c>
      <c r="I1287" s="114" t="str">
        <f aca="false">IF($E1287="","",IF($B1287="Tema",INDEX(Config!$E$6:$E$11,$D1287),IF(INDEX(Avulsos!$D$6:$D$205,$C1287)&amp;""="","Outro",INDEX(Avulsos!$D$6:$D$205,$C1287))))</f>
        <v/>
      </c>
      <c r="J1287" s="114" t="str">
        <f aca="false">IF($E1287="","",IF($B1287="Tema",INDEX(Temas!$C$6:$C$305,$C1287)&amp;"",INDEX(Avulsos!$E$6:$E$205,$C1287)&amp;""))</f>
        <v/>
      </c>
      <c r="K1287" s="114" t="str">
        <f aca="false">IF($E1287="","",IF(IF($B1287="Tema",INDEX(Temas!$E$6:$P$305,$C1287,2*$D1287),INDEX(Avulsos!$F$6:$F$205,$C1287))&amp;""="","","✓"))</f>
        <v/>
      </c>
      <c r="L1287" s="114" t="str">
        <f aca="true">IF($E1287="","",IF($K1287="✓","Concluído",IF($E1287&lt;TODAY(),"Atrasado",IF($E1287=TODAY(),"Hoje","Pendente"))))</f>
        <v/>
      </c>
      <c r="M1287" s="114" t="str">
        <f aca="false">IF($E1287="","",IF($K1287="✓","✓ ","")&amp;IF(Config!$E$22="Sim",$H1287&amp;" · ","")&amp;$F1287)</f>
        <v/>
      </c>
      <c r="N1287" s="114" t="str">
        <f aca="false">IF($E1287="","",IFERROR(INDEX(Config!$D$15:$D$19,MATCH($I1287,Config!$C$15:$C$19,0)),"OUT")&amp;IF($K1287="✓","x",""))</f>
        <v/>
      </c>
      <c r="O1287" s="114" t="str">
        <f aca="false">IF($E1287="","",COUNTIF($E$5:$E1287,$E1287))</f>
        <v/>
      </c>
      <c r="P1287" s="114" t="str">
        <f aca="false">IF($E1287="","",$E1287*100+$O1287)</f>
        <v/>
      </c>
      <c r="Q1287" s="114" t="str">
        <f aca="false">IF($L1287="Atrasado",$E1287*10000+$A1287,"")</f>
        <v/>
      </c>
    </row>
    <row r="1288" customFormat="false" ht="15" hidden="false" customHeight="false" outlineLevel="0" collapsed="false">
      <c r="A1288" s="114" t="n">
        <f aca="false">ROW()-4</f>
        <v>1284</v>
      </c>
      <c r="B1288" s="114" t="str">
        <f aca="false">IF(A1288&lt;=Config!$E$27*Config!$E$28,"Tema","Avulso")</f>
        <v>Tema</v>
      </c>
      <c r="C1288" s="114" t="n">
        <f aca="false">IF(B1288="Tema",INT((A1288-1)/Config!$E$28)+1,A1288-Config!$E$27*Config!$E$28)</f>
        <v>214</v>
      </c>
      <c r="D1288" s="114" t="n">
        <f aca="false">IF(B1288="Tema",MOD(A1288-1,Config!$E$28)+1,"")</f>
        <v>6</v>
      </c>
      <c r="E1288" s="115" t="str">
        <f aca="false">IF($B1288="Tema",IF(ISNUMBER(INDEX(Temas!$E$6:$P$305,$C1288,2*$D1288-1)),INDEX(Temas!$E$6:$P$305,$C1288,2*$D1288-1),""),IF(ISNUMBER(INDEX(Avulsos!$B$6:$B$205,$C1288)),INDEX(Avulsos!$B$6:$B$205,$C1288),""))</f>
        <v/>
      </c>
      <c r="F1288" s="114" t="str">
        <f aca="false">IF($E1288="","",IF($B1288="Tema",INDEX(Temas!$B$6:$B$305,$C1288)&amp;"",INDEX(Avulsos!$C$6:$C$205,$C1288)&amp;""))</f>
        <v/>
      </c>
      <c r="G1288" s="114" t="str">
        <f aca="false">IF($E1288="","",IF($B1288="Tema",INDEX(Config!$C$6:$C$11,$D1288),"Evento avulso"))</f>
        <v/>
      </c>
      <c r="H1288" s="114" t="str">
        <f aca="false">IF($E1288="","",IF($B1288="Tema",INDEX(Config!$D$6:$D$11,$D1288),IFERROR(INDEX(Config!$E$15:$E$19,MATCH($I1288,Config!$C$15:$C$19,0)),"•")))</f>
        <v/>
      </c>
      <c r="I1288" s="114" t="str">
        <f aca="false">IF($E1288="","",IF($B1288="Tema",INDEX(Config!$E$6:$E$11,$D1288),IF(INDEX(Avulsos!$D$6:$D$205,$C1288)&amp;""="","Outro",INDEX(Avulsos!$D$6:$D$205,$C1288))))</f>
        <v/>
      </c>
      <c r="J1288" s="114" t="str">
        <f aca="false">IF($E1288="","",IF($B1288="Tema",INDEX(Temas!$C$6:$C$305,$C1288)&amp;"",INDEX(Avulsos!$E$6:$E$205,$C1288)&amp;""))</f>
        <v/>
      </c>
      <c r="K1288" s="114" t="str">
        <f aca="false">IF($E1288="","",IF(IF($B1288="Tema",INDEX(Temas!$E$6:$P$305,$C1288,2*$D1288),INDEX(Avulsos!$F$6:$F$205,$C1288))&amp;""="","","✓"))</f>
        <v/>
      </c>
      <c r="L1288" s="114" t="str">
        <f aca="true">IF($E1288="","",IF($K1288="✓","Concluído",IF($E1288&lt;TODAY(),"Atrasado",IF($E1288=TODAY(),"Hoje","Pendente"))))</f>
        <v/>
      </c>
      <c r="M1288" s="114" t="str">
        <f aca="false">IF($E1288="","",IF($K1288="✓","✓ ","")&amp;IF(Config!$E$22="Sim",$H1288&amp;" · ","")&amp;$F1288)</f>
        <v/>
      </c>
      <c r="N1288" s="114" t="str">
        <f aca="false">IF($E1288="","",IFERROR(INDEX(Config!$D$15:$D$19,MATCH($I1288,Config!$C$15:$C$19,0)),"OUT")&amp;IF($K1288="✓","x",""))</f>
        <v/>
      </c>
      <c r="O1288" s="114" t="str">
        <f aca="false">IF($E1288="","",COUNTIF($E$5:$E1288,$E1288))</f>
        <v/>
      </c>
      <c r="P1288" s="114" t="str">
        <f aca="false">IF($E1288="","",$E1288*100+$O1288)</f>
        <v/>
      </c>
      <c r="Q1288" s="114" t="str">
        <f aca="false">IF($L1288="Atrasado",$E1288*10000+$A1288,"")</f>
        <v/>
      </c>
    </row>
    <row r="1289" customFormat="false" ht="15" hidden="false" customHeight="false" outlineLevel="0" collapsed="false">
      <c r="A1289" s="114" t="n">
        <f aca="false">ROW()-4</f>
        <v>1285</v>
      </c>
      <c r="B1289" s="114" t="str">
        <f aca="false">IF(A1289&lt;=Config!$E$27*Config!$E$28,"Tema","Avulso")</f>
        <v>Tema</v>
      </c>
      <c r="C1289" s="114" t="n">
        <f aca="false">IF(B1289="Tema",INT((A1289-1)/Config!$E$28)+1,A1289-Config!$E$27*Config!$E$28)</f>
        <v>215</v>
      </c>
      <c r="D1289" s="114" t="n">
        <f aca="false">IF(B1289="Tema",MOD(A1289-1,Config!$E$28)+1,"")</f>
        <v>1</v>
      </c>
      <c r="E1289" s="115" t="str">
        <f aca="false">IF($B1289="Tema",IF(ISNUMBER(INDEX(Temas!$E$6:$P$305,$C1289,2*$D1289-1)),INDEX(Temas!$E$6:$P$305,$C1289,2*$D1289-1),""),IF(ISNUMBER(INDEX(Avulsos!$B$6:$B$205,$C1289)),INDEX(Avulsos!$B$6:$B$205,$C1289),""))</f>
        <v/>
      </c>
      <c r="F1289" s="114" t="str">
        <f aca="false">IF($E1289="","",IF($B1289="Tema",INDEX(Temas!$B$6:$B$305,$C1289)&amp;"",INDEX(Avulsos!$C$6:$C$205,$C1289)&amp;""))</f>
        <v/>
      </c>
      <c r="G1289" s="114" t="str">
        <f aca="false">IF($E1289="","",IF($B1289="Tema",INDEX(Config!$C$6:$C$11,$D1289),"Evento avulso"))</f>
        <v/>
      </c>
      <c r="H1289" s="114" t="str">
        <f aca="false">IF($E1289="","",IF($B1289="Tema",INDEX(Config!$D$6:$D$11,$D1289),IFERROR(INDEX(Config!$E$15:$E$19,MATCH($I1289,Config!$C$15:$C$19,0)),"•")))</f>
        <v/>
      </c>
      <c r="I1289" s="114" t="str">
        <f aca="false">IF($E1289="","",IF($B1289="Tema",INDEX(Config!$E$6:$E$11,$D1289),IF(INDEX(Avulsos!$D$6:$D$205,$C1289)&amp;""="","Outro",INDEX(Avulsos!$D$6:$D$205,$C1289))))</f>
        <v/>
      </c>
      <c r="J1289" s="114" t="str">
        <f aca="false">IF($E1289="","",IF($B1289="Tema",INDEX(Temas!$C$6:$C$305,$C1289)&amp;"",INDEX(Avulsos!$E$6:$E$205,$C1289)&amp;""))</f>
        <v/>
      </c>
      <c r="K1289" s="114" t="str">
        <f aca="false">IF($E1289="","",IF(IF($B1289="Tema",INDEX(Temas!$E$6:$P$305,$C1289,2*$D1289),INDEX(Avulsos!$F$6:$F$205,$C1289))&amp;""="","","✓"))</f>
        <v/>
      </c>
      <c r="L1289" s="114" t="str">
        <f aca="true">IF($E1289="","",IF($K1289="✓","Concluído",IF($E1289&lt;TODAY(),"Atrasado",IF($E1289=TODAY(),"Hoje","Pendente"))))</f>
        <v/>
      </c>
      <c r="M1289" s="114" t="str">
        <f aca="false">IF($E1289="","",IF($K1289="✓","✓ ","")&amp;IF(Config!$E$22="Sim",$H1289&amp;" · ","")&amp;$F1289)</f>
        <v/>
      </c>
      <c r="N1289" s="114" t="str">
        <f aca="false">IF($E1289="","",IFERROR(INDEX(Config!$D$15:$D$19,MATCH($I1289,Config!$C$15:$C$19,0)),"OUT")&amp;IF($K1289="✓","x",""))</f>
        <v/>
      </c>
      <c r="O1289" s="114" t="str">
        <f aca="false">IF($E1289="","",COUNTIF($E$5:$E1289,$E1289))</f>
        <v/>
      </c>
      <c r="P1289" s="114" t="str">
        <f aca="false">IF($E1289="","",$E1289*100+$O1289)</f>
        <v/>
      </c>
      <c r="Q1289" s="114" t="str">
        <f aca="false">IF($L1289="Atrasado",$E1289*10000+$A1289,"")</f>
        <v/>
      </c>
    </row>
    <row r="1290" customFormat="false" ht="15" hidden="false" customHeight="false" outlineLevel="0" collapsed="false">
      <c r="A1290" s="114" t="n">
        <f aca="false">ROW()-4</f>
        <v>1286</v>
      </c>
      <c r="B1290" s="114" t="str">
        <f aca="false">IF(A1290&lt;=Config!$E$27*Config!$E$28,"Tema","Avulso")</f>
        <v>Tema</v>
      </c>
      <c r="C1290" s="114" t="n">
        <f aca="false">IF(B1290="Tema",INT((A1290-1)/Config!$E$28)+1,A1290-Config!$E$27*Config!$E$28)</f>
        <v>215</v>
      </c>
      <c r="D1290" s="114" t="n">
        <f aca="false">IF(B1290="Tema",MOD(A1290-1,Config!$E$28)+1,"")</f>
        <v>2</v>
      </c>
      <c r="E1290" s="115" t="str">
        <f aca="false">IF($B1290="Tema",IF(ISNUMBER(INDEX(Temas!$E$6:$P$305,$C1290,2*$D1290-1)),INDEX(Temas!$E$6:$P$305,$C1290,2*$D1290-1),""),IF(ISNUMBER(INDEX(Avulsos!$B$6:$B$205,$C1290)),INDEX(Avulsos!$B$6:$B$205,$C1290),""))</f>
        <v/>
      </c>
      <c r="F1290" s="114" t="str">
        <f aca="false">IF($E1290="","",IF($B1290="Tema",INDEX(Temas!$B$6:$B$305,$C1290)&amp;"",INDEX(Avulsos!$C$6:$C$205,$C1290)&amp;""))</f>
        <v/>
      </c>
      <c r="G1290" s="114" t="str">
        <f aca="false">IF($E1290="","",IF($B1290="Tema",INDEX(Config!$C$6:$C$11,$D1290),"Evento avulso"))</f>
        <v/>
      </c>
      <c r="H1290" s="114" t="str">
        <f aca="false">IF($E1290="","",IF($B1290="Tema",INDEX(Config!$D$6:$D$11,$D1290),IFERROR(INDEX(Config!$E$15:$E$19,MATCH($I1290,Config!$C$15:$C$19,0)),"•")))</f>
        <v/>
      </c>
      <c r="I1290" s="114" t="str">
        <f aca="false">IF($E1290="","",IF($B1290="Tema",INDEX(Config!$E$6:$E$11,$D1290),IF(INDEX(Avulsos!$D$6:$D$205,$C1290)&amp;""="","Outro",INDEX(Avulsos!$D$6:$D$205,$C1290))))</f>
        <v/>
      </c>
      <c r="J1290" s="114" t="str">
        <f aca="false">IF($E1290="","",IF($B1290="Tema",INDEX(Temas!$C$6:$C$305,$C1290)&amp;"",INDEX(Avulsos!$E$6:$E$205,$C1290)&amp;""))</f>
        <v/>
      </c>
      <c r="K1290" s="114" t="str">
        <f aca="false">IF($E1290="","",IF(IF($B1290="Tema",INDEX(Temas!$E$6:$P$305,$C1290,2*$D1290),INDEX(Avulsos!$F$6:$F$205,$C1290))&amp;""="","","✓"))</f>
        <v/>
      </c>
      <c r="L1290" s="114" t="str">
        <f aca="true">IF($E1290="","",IF($K1290="✓","Concluído",IF($E1290&lt;TODAY(),"Atrasado",IF($E1290=TODAY(),"Hoje","Pendente"))))</f>
        <v/>
      </c>
      <c r="M1290" s="114" t="str">
        <f aca="false">IF($E1290="","",IF($K1290="✓","✓ ","")&amp;IF(Config!$E$22="Sim",$H1290&amp;" · ","")&amp;$F1290)</f>
        <v/>
      </c>
      <c r="N1290" s="114" t="str">
        <f aca="false">IF($E1290="","",IFERROR(INDEX(Config!$D$15:$D$19,MATCH($I1290,Config!$C$15:$C$19,0)),"OUT")&amp;IF($K1290="✓","x",""))</f>
        <v/>
      </c>
      <c r="O1290" s="114" t="str">
        <f aca="false">IF($E1290="","",COUNTIF($E$5:$E1290,$E1290))</f>
        <v/>
      </c>
      <c r="P1290" s="114" t="str">
        <f aca="false">IF($E1290="","",$E1290*100+$O1290)</f>
        <v/>
      </c>
      <c r="Q1290" s="114" t="str">
        <f aca="false">IF($L1290="Atrasado",$E1290*10000+$A1290,"")</f>
        <v/>
      </c>
    </row>
    <row r="1291" customFormat="false" ht="15" hidden="false" customHeight="false" outlineLevel="0" collapsed="false">
      <c r="A1291" s="114" t="n">
        <f aca="false">ROW()-4</f>
        <v>1287</v>
      </c>
      <c r="B1291" s="114" t="str">
        <f aca="false">IF(A1291&lt;=Config!$E$27*Config!$E$28,"Tema","Avulso")</f>
        <v>Tema</v>
      </c>
      <c r="C1291" s="114" t="n">
        <f aca="false">IF(B1291="Tema",INT((A1291-1)/Config!$E$28)+1,A1291-Config!$E$27*Config!$E$28)</f>
        <v>215</v>
      </c>
      <c r="D1291" s="114" t="n">
        <f aca="false">IF(B1291="Tema",MOD(A1291-1,Config!$E$28)+1,"")</f>
        <v>3</v>
      </c>
      <c r="E1291" s="115" t="str">
        <f aca="false">IF($B1291="Tema",IF(ISNUMBER(INDEX(Temas!$E$6:$P$305,$C1291,2*$D1291-1)),INDEX(Temas!$E$6:$P$305,$C1291,2*$D1291-1),""),IF(ISNUMBER(INDEX(Avulsos!$B$6:$B$205,$C1291)),INDEX(Avulsos!$B$6:$B$205,$C1291),""))</f>
        <v/>
      </c>
      <c r="F1291" s="114" t="str">
        <f aca="false">IF($E1291="","",IF($B1291="Tema",INDEX(Temas!$B$6:$B$305,$C1291)&amp;"",INDEX(Avulsos!$C$6:$C$205,$C1291)&amp;""))</f>
        <v/>
      </c>
      <c r="G1291" s="114" t="str">
        <f aca="false">IF($E1291="","",IF($B1291="Tema",INDEX(Config!$C$6:$C$11,$D1291),"Evento avulso"))</f>
        <v/>
      </c>
      <c r="H1291" s="114" t="str">
        <f aca="false">IF($E1291="","",IF($B1291="Tema",INDEX(Config!$D$6:$D$11,$D1291),IFERROR(INDEX(Config!$E$15:$E$19,MATCH($I1291,Config!$C$15:$C$19,0)),"•")))</f>
        <v/>
      </c>
      <c r="I1291" s="114" t="str">
        <f aca="false">IF($E1291="","",IF($B1291="Tema",INDEX(Config!$E$6:$E$11,$D1291),IF(INDEX(Avulsos!$D$6:$D$205,$C1291)&amp;""="","Outro",INDEX(Avulsos!$D$6:$D$205,$C1291))))</f>
        <v/>
      </c>
      <c r="J1291" s="114" t="str">
        <f aca="false">IF($E1291="","",IF($B1291="Tema",INDEX(Temas!$C$6:$C$305,$C1291)&amp;"",INDEX(Avulsos!$E$6:$E$205,$C1291)&amp;""))</f>
        <v/>
      </c>
      <c r="K1291" s="114" t="str">
        <f aca="false">IF($E1291="","",IF(IF($B1291="Tema",INDEX(Temas!$E$6:$P$305,$C1291,2*$D1291),INDEX(Avulsos!$F$6:$F$205,$C1291))&amp;""="","","✓"))</f>
        <v/>
      </c>
      <c r="L1291" s="114" t="str">
        <f aca="true">IF($E1291="","",IF($K1291="✓","Concluído",IF($E1291&lt;TODAY(),"Atrasado",IF($E1291=TODAY(),"Hoje","Pendente"))))</f>
        <v/>
      </c>
      <c r="M1291" s="114" t="str">
        <f aca="false">IF($E1291="","",IF($K1291="✓","✓ ","")&amp;IF(Config!$E$22="Sim",$H1291&amp;" · ","")&amp;$F1291)</f>
        <v/>
      </c>
      <c r="N1291" s="114" t="str">
        <f aca="false">IF($E1291="","",IFERROR(INDEX(Config!$D$15:$D$19,MATCH($I1291,Config!$C$15:$C$19,0)),"OUT")&amp;IF($K1291="✓","x",""))</f>
        <v/>
      </c>
      <c r="O1291" s="114" t="str">
        <f aca="false">IF($E1291="","",COUNTIF($E$5:$E1291,$E1291))</f>
        <v/>
      </c>
      <c r="P1291" s="114" t="str">
        <f aca="false">IF($E1291="","",$E1291*100+$O1291)</f>
        <v/>
      </c>
      <c r="Q1291" s="114" t="str">
        <f aca="false">IF($L1291="Atrasado",$E1291*10000+$A1291,"")</f>
        <v/>
      </c>
    </row>
    <row r="1292" customFormat="false" ht="15" hidden="false" customHeight="false" outlineLevel="0" collapsed="false">
      <c r="A1292" s="114" t="n">
        <f aca="false">ROW()-4</f>
        <v>1288</v>
      </c>
      <c r="B1292" s="114" t="str">
        <f aca="false">IF(A1292&lt;=Config!$E$27*Config!$E$28,"Tema","Avulso")</f>
        <v>Tema</v>
      </c>
      <c r="C1292" s="114" t="n">
        <f aca="false">IF(B1292="Tema",INT((A1292-1)/Config!$E$28)+1,A1292-Config!$E$27*Config!$E$28)</f>
        <v>215</v>
      </c>
      <c r="D1292" s="114" t="n">
        <f aca="false">IF(B1292="Tema",MOD(A1292-1,Config!$E$28)+1,"")</f>
        <v>4</v>
      </c>
      <c r="E1292" s="115" t="str">
        <f aca="false">IF($B1292="Tema",IF(ISNUMBER(INDEX(Temas!$E$6:$P$305,$C1292,2*$D1292-1)),INDEX(Temas!$E$6:$P$305,$C1292,2*$D1292-1),""),IF(ISNUMBER(INDEX(Avulsos!$B$6:$B$205,$C1292)),INDEX(Avulsos!$B$6:$B$205,$C1292),""))</f>
        <v/>
      </c>
      <c r="F1292" s="114" t="str">
        <f aca="false">IF($E1292="","",IF($B1292="Tema",INDEX(Temas!$B$6:$B$305,$C1292)&amp;"",INDEX(Avulsos!$C$6:$C$205,$C1292)&amp;""))</f>
        <v/>
      </c>
      <c r="G1292" s="114" t="str">
        <f aca="false">IF($E1292="","",IF($B1292="Tema",INDEX(Config!$C$6:$C$11,$D1292),"Evento avulso"))</f>
        <v/>
      </c>
      <c r="H1292" s="114" t="str">
        <f aca="false">IF($E1292="","",IF($B1292="Tema",INDEX(Config!$D$6:$D$11,$D1292),IFERROR(INDEX(Config!$E$15:$E$19,MATCH($I1292,Config!$C$15:$C$19,0)),"•")))</f>
        <v/>
      </c>
      <c r="I1292" s="114" t="str">
        <f aca="false">IF($E1292="","",IF($B1292="Tema",INDEX(Config!$E$6:$E$11,$D1292),IF(INDEX(Avulsos!$D$6:$D$205,$C1292)&amp;""="","Outro",INDEX(Avulsos!$D$6:$D$205,$C1292))))</f>
        <v/>
      </c>
      <c r="J1292" s="114" t="str">
        <f aca="false">IF($E1292="","",IF($B1292="Tema",INDEX(Temas!$C$6:$C$305,$C1292)&amp;"",INDEX(Avulsos!$E$6:$E$205,$C1292)&amp;""))</f>
        <v/>
      </c>
      <c r="K1292" s="114" t="str">
        <f aca="false">IF($E1292="","",IF(IF($B1292="Tema",INDEX(Temas!$E$6:$P$305,$C1292,2*$D1292),INDEX(Avulsos!$F$6:$F$205,$C1292))&amp;""="","","✓"))</f>
        <v/>
      </c>
      <c r="L1292" s="114" t="str">
        <f aca="true">IF($E1292="","",IF($K1292="✓","Concluído",IF($E1292&lt;TODAY(),"Atrasado",IF($E1292=TODAY(),"Hoje","Pendente"))))</f>
        <v/>
      </c>
      <c r="M1292" s="114" t="str">
        <f aca="false">IF($E1292="","",IF($K1292="✓","✓ ","")&amp;IF(Config!$E$22="Sim",$H1292&amp;" · ","")&amp;$F1292)</f>
        <v/>
      </c>
      <c r="N1292" s="114" t="str">
        <f aca="false">IF($E1292="","",IFERROR(INDEX(Config!$D$15:$D$19,MATCH($I1292,Config!$C$15:$C$19,0)),"OUT")&amp;IF($K1292="✓","x",""))</f>
        <v/>
      </c>
      <c r="O1292" s="114" t="str">
        <f aca="false">IF($E1292="","",COUNTIF($E$5:$E1292,$E1292))</f>
        <v/>
      </c>
      <c r="P1292" s="114" t="str">
        <f aca="false">IF($E1292="","",$E1292*100+$O1292)</f>
        <v/>
      </c>
      <c r="Q1292" s="114" t="str">
        <f aca="false">IF($L1292="Atrasado",$E1292*10000+$A1292,"")</f>
        <v/>
      </c>
    </row>
    <row r="1293" customFormat="false" ht="15" hidden="false" customHeight="false" outlineLevel="0" collapsed="false">
      <c r="A1293" s="114" t="n">
        <f aca="false">ROW()-4</f>
        <v>1289</v>
      </c>
      <c r="B1293" s="114" t="str">
        <f aca="false">IF(A1293&lt;=Config!$E$27*Config!$E$28,"Tema","Avulso")</f>
        <v>Tema</v>
      </c>
      <c r="C1293" s="114" t="n">
        <f aca="false">IF(B1293="Tema",INT((A1293-1)/Config!$E$28)+1,A1293-Config!$E$27*Config!$E$28)</f>
        <v>215</v>
      </c>
      <c r="D1293" s="114" t="n">
        <f aca="false">IF(B1293="Tema",MOD(A1293-1,Config!$E$28)+1,"")</f>
        <v>5</v>
      </c>
      <c r="E1293" s="115" t="str">
        <f aca="false">IF($B1293="Tema",IF(ISNUMBER(INDEX(Temas!$E$6:$P$305,$C1293,2*$D1293-1)),INDEX(Temas!$E$6:$P$305,$C1293,2*$D1293-1),""),IF(ISNUMBER(INDEX(Avulsos!$B$6:$B$205,$C1293)),INDEX(Avulsos!$B$6:$B$205,$C1293),""))</f>
        <v/>
      </c>
      <c r="F1293" s="114" t="str">
        <f aca="false">IF($E1293="","",IF($B1293="Tema",INDEX(Temas!$B$6:$B$305,$C1293)&amp;"",INDEX(Avulsos!$C$6:$C$205,$C1293)&amp;""))</f>
        <v/>
      </c>
      <c r="G1293" s="114" t="str">
        <f aca="false">IF($E1293="","",IF($B1293="Tema",INDEX(Config!$C$6:$C$11,$D1293),"Evento avulso"))</f>
        <v/>
      </c>
      <c r="H1293" s="114" t="str">
        <f aca="false">IF($E1293="","",IF($B1293="Tema",INDEX(Config!$D$6:$D$11,$D1293),IFERROR(INDEX(Config!$E$15:$E$19,MATCH($I1293,Config!$C$15:$C$19,0)),"•")))</f>
        <v/>
      </c>
      <c r="I1293" s="114" t="str">
        <f aca="false">IF($E1293="","",IF($B1293="Tema",INDEX(Config!$E$6:$E$11,$D1293),IF(INDEX(Avulsos!$D$6:$D$205,$C1293)&amp;""="","Outro",INDEX(Avulsos!$D$6:$D$205,$C1293))))</f>
        <v/>
      </c>
      <c r="J1293" s="114" t="str">
        <f aca="false">IF($E1293="","",IF($B1293="Tema",INDEX(Temas!$C$6:$C$305,$C1293)&amp;"",INDEX(Avulsos!$E$6:$E$205,$C1293)&amp;""))</f>
        <v/>
      </c>
      <c r="K1293" s="114" t="str">
        <f aca="false">IF($E1293="","",IF(IF($B1293="Tema",INDEX(Temas!$E$6:$P$305,$C1293,2*$D1293),INDEX(Avulsos!$F$6:$F$205,$C1293))&amp;""="","","✓"))</f>
        <v/>
      </c>
      <c r="L1293" s="114" t="str">
        <f aca="true">IF($E1293="","",IF($K1293="✓","Concluído",IF($E1293&lt;TODAY(),"Atrasado",IF($E1293=TODAY(),"Hoje","Pendente"))))</f>
        <v/>
      </c>
      <c r="M1293" s="114" t="str">
        <f aca="false">IF($E1293="","",IF($K1293="✓","✓ ","")&amp;IF(Config!$E$22="Sim",$H1293&amp;" · ","")&amp;$F1293)</f>
        <v/>
      </c>
      <c r="N1293" s="114" t="str">
        <f aca="false">IF($E1293="","",IFERROR(INDEX(Config!$D$15:$D$19,MATCH($I1293,Config!$C$15:$C$19,0)),"OUT")&amp;IF($K1293="✓","x",""))</f>
        <v/>
      </c>
      <c r="O1293" s="114" t="str">
        <f aca="false">IF($E1293="","",COUNTIF($E$5:$E1293,$E1293))</f>
        <v/>
      </c>
      <c r="P1293" s="114" t="str">
        <f aca="false">IF($E1293="","",$E1293*100+$O1293)</f>
        <v/>
      </c>
      <c r="Q1293" s="114" t="str">
        <f aca="false">IF($L1293="Atrasado",$E1293*10000+$A1293,"")</f>
        <v/>
      </c>
    </row>
    <row r="1294" customFormat="false" ht="15" hidden="false" customHeight="false" outlineLevel="0" collapsed="false">
      <c r="A1294" s="114" t="n">
        <f aca="false">ROW()-4</f>
        <v>1290</v>
      </c>
      <c r="B1294" s="114" t="str">
        <f aca="false">IF(A1294&lt;=Config!$E$27*Config!$E$28,"Tema","Avulso")</f>
        <v>Tema</v>
      </c>
      <c r="C1294" s="114" t="n">
        <f aca="false">IF(B1294="Tema",INT((A1294-1)/Config!$E$28)+1,A1294-Config!$E$27*Config!$E$28)</f>
        <v>215</v>
      </c>
      <c r="D1294" s="114" t="n">
        <f aca="false">IF(B1294="Tema",MOD(A1294-1,Config!$E$28)+1,"")</f>
        <v>6</v>
      </c>
      <c r="E1294" s="115" t="str">
        <f aca="false">IF($B1294="Tema",IF(ISNUMBER(INDEX(Temas!$E$6:$P$305,$C1294,2*$D1294-1)),INDEX(Temas!$E$6:$P$305,$C1294,2*$D1294-1),""),IF(ISNUMBER(INDEX(Avulsos!$B$6:$B$205,$C1294)),INDEX(Avulsos!$B$6:$B$205,$C1294),""))</f>
        <v/>
      </c>
      <c r="F1294" s="114" t="str">
        <f aca="false">IF($E1294="","",IF($B1294="Tema",INDEX(Temas!$B$6:$B$305,$C1294)&amp;"",INDEX(Avulsos!$C$6:$C$205,$C1294)&amp;""))</f>
        <v/>
      </c>
      <c r="G1294" s="114" t="str">
        <f aca="false">IF($E1294="","",IF($B1294="Tema",INDEX(Config!$C$6:$C$11,$D1294),"Evento avulso"))</f>
        <v/>
      </c>
      <c r="H1294" s="114" t="str">
        <f aca="false">IF($E1294="","",IF($B1294="Tema",INDEX(Config!$D$6:$D$11,$D1294),IFERROR(INDEX(Config!$E$15:$E$19,MATCH($I1294,Config!$C$15:$C$19,0)),"•")))</f>
        <v/>
      </c>
      <c r="I1294" s="114" t="str">
        <f aca="false">IF($E1294="","",IF($B1294="Tema",INDEX(Config!$E$6:$E$11,$D1294),IF(INDEX(Avulsos!$D$6:$D$205,$C1294)&amp;""="","Outro",INDEX(Avulsos!$D$6:$D$205,$C1294))))</f>
        <v/>
      </c>
      <c r="J1294" s="114" t="str">
        <f aca="false">IF($E1294="","",IF($B1294="Tema",INDEX(Temas!$C$6:$C$305,$C1294)&amp;"",INDEX(Avulsos!$E$6:$E$205,$C1294)&amp;""))</f>
        <v/>
      </c>
      <c r="K1294" s="114" t="str">
        <f aca="false">IF($E1294="","",IF(IF($B1294="Tema",INDEX(Temas!$E$6:$P$305,$C1294,2*$D1294),INDEX(Avulsos!$F$6:$F$205,$C1294))&amp;""="","","✓"))</f>
        <v/>
      </c>
      <c r="L1294" s="114" t="str">
        <f aca="true">IF($E1294="","",IF($K1294="✓","Concluído",IF($E1294&lt;TODAY(),"Atrasado",IF($E1294=TODAY(),"Hoje","Pendente"))))</f>
        <v/>
      </c>
      <c r="M1294" s="114" t="str">
        <f aca="false">IF($E1294="","",IF($K1294="✓","✓ ","")&amp;IF(Config!$E$22="Sim",$H1294&amp;" · ","")&amp;$F1294)</f>
        <v/>
      </c>
      <c r="N1294" s="114" t="str">
        <f aca="false">IF($E1294="","",IFERROR(INDEX(Config!$D$15:$D$19,MATCH($I1294,Config!$C$15:$C$19,0)),"OUT")&amp;IF($K1294="✓","x",""))</f>
        <v/>
      </c>
      <c r="O1294" s="114" t="str">
        <f aca="false">IF($E1294="","",COUNTIF($E$5:$E1294,$E1294))</f>
        <v/>
      </c>
      <c r="P1294" s="114" t="str">
        <f aca="false">IF($E1294="","",$E1294*100+$O1294)</f>
        <v/>
      </c>
      <c r="Q1294" s="114" t="str">
        <f aca="false">IF($L1294="Atrasado",$E1294*10000+$A1294,"")</f>
        <v/>
      </c>
    </row>
    <row r="1295" customFormat="false" ht="15" hidden="false" customHeight="false" outlineLevel="0" collapsed="false">
      <c r="A1295" s="114" t="n">
        <f aca="false">ROW()-4</f>
        <v>1291</v>
      </c>
      <c r="B1295" s="114" t="str">
        <f aca="false">IF(A1295&lt;=Config!$E$27*Config!$E$28,"Tema","Avulso")</f>
        <v>Tema</v>
      </c>
      <c r="C1295" s="114" t="n">
        <f aca="false">IF(B1295="Tema",INT((A1295-1)/Config!$E$28)+1,A1295-Config!$E$27*Config!$E$28)</f>
        <v>216</v>
      </c>
      <c r="D1295" s="114" t="n">
        <f aca="false">IF(B1295="Tema",MOD(A1295-1,Config!$E$28)+1,"")</f>
        <v>1</v>
      </c>
      <c r="E1295" s="115" t="str">
        <f aca="false">IF($B1295="Tema",IF(ISNUMBER(INDEX(Temas!$E$6:$P$305,$C1295,2*$D1295-1)),INDEX(Temas!$E$6:$P$305,$C1295,2*$D1295-1),""),IF(ISNUMBER(INDEX(Avulsos!$B$6:$B$205,$C1295)),INDEX(Avulsos!$B$6:$B$205,$C1295),""))</f>
        <v/>
      </c>
      <c r="F1295" s="114" t="str">
        <f aca="false">IF($E1295="","",IF($B1295="Tema",INDEX(Temas!$B$6:$B$305,$C1295)&amp;"",INDEX(Avulsos!$C$6:$C$205,$C1295)&amp;""))</f>
        <v/>
      </c>
      <c r="G1295" s="114" t="str">
        <f aca="false">IF($E1295="","",IF($B1295="Tema",INDEX(Config!$C$6:$C$11,$D1295),"Evento avulso"))</f>
        <v/>
      </c>
      <c r="H1295" s="114" t="str">
        <f aca="false">IF($E1295="","",IF($B1295="Tema",INDEX(Config!$D$6:$D$11,$D1295),IFERROR(INDEX(Config!$E$15:$E$19,MATCH($I1295,Config!$C$15:$C$19,0)),"•")))</f>
        <v/>
      </c>
      <c r="I1295" s="114" t="str">
        <f aca="false">IF($E1295="","",IF($B1295="Tema",INDEX(Config!$E$6:$E$11,$D1295),IF(INDEX(Avulsos!$D$6:$D$205,$C1295)&amp;""="","Outro",INDEX(Avulsos!$D$6:$D$205,$C1295))))</f>
        <v/>
      </c>
      <c r="J1295" s="114" t="str">
        <f aca="false">IF($E1295="","",IF($B1295="Tema",INDEX(Temas!$C$6:$C$305,$C1295)&amp;"",INDEX(Avulsos!$E$6:$E$205,$C1295)&amp;""))</f>
        <v/>
      </c>
      <c r="K1295" s="114" t="str">
        <f aca="false">IF($E1295="","",IF(IF($B1295="Tema",INDEX(Temas!$E$6:$P$305,$C1295,2*$D1295),INDEX(Avulsos!$F$6:$F$205,$C1295))&amp;""="","","✓"))</f>
        <v/>
      </c>
      <c r="L1295" s="114" t="str">
        <f aca="true">IF($E1295="","",IF($K1295="✓","Concluído",IF($E1295&lt;TODAY(),"Atrasado",IF($E1295=TODAY(),"Hoje","Pendente"))))</f>
        <v/>
      </c>
      <c r="M1295" s="114" t="str">
        <f aca="false">IF($E1295="","",IF($K1295="✓","✓ ","")&amp;IF(Config!$E$22="Sim",$H1295&amp;" · ","")&amp;$F1295)</f>
        <v/>
      </c>
      <c r="N1295" s="114" t="str">
        <f aca="false">IF($E1295="","",IFERROR(INDEX(Config!$D$15:$D$19,MATCH($I1295,Config!$C$15:$C$19,0)),"OUT")&amp;IF($K1295="✓","x",""))</f>
        <v/>
      </c>
      <c r="O1295" s="114" t="str">
        <f aca="false">IF($E1295="","",COUNTIF($E$5:$E1295,$E1295))</f>
        <v/>
      </c>
      <c r="P1295" s="114" t="str">
        <f aca="false">IF($E1295="","",$E1295*100+$O1295)</f>
        <v/>
      </c>
      <c r="Q1295" s="114" t="str">
        <f aca="false">IF($L1295="Atrasado",$E1295*10000+$A1295,"")</f>
        <v/>
      </c>
    </row>
    <row r="1296" customFormat="false" ht="15" hidden="false" customHeight="false" outlineLevel="0" collapsed="false">
      <c r="A1296" s="114" t="n">
        <f aca="false">ROW()-4</f>
        <v>1292</v>
      </c>
      <c r="B1296" s="114" t="str">
        <f aca="false">IF(A1296&lt;=Config!$E$27*Config!$E$28,"Tema","Avulso")</f>
        <v>Tema</v>
      </c>
      <c r="C1296" s="114" t="n">
        <f aca="false">IF(B1296="Tema",INT((A1296-1)/Config!$E$28)+1,A1296-Config!$E$27*Config!$E$28)</f>
        <v>216</v>
      </c>
      <c r="D1296" s="114" t="n">
        <f aca="false">IF(B1296="Tema",MOD(A1296-1,Config!$E$28)+1,"")</f>
        <v>2</v>
      </c>
      <c r="E1296" s="115" t="str">
        <f aca="false">IF($B1296="Tema",IF(ISNUMBER(INDEX(Temas!$E$6:$P$305,$C1296,2*$D1296-1)),INDEX(Temas!$E$6:$P$305,$C1296,2*$D1296-1),""),IF(ISNUMBER(INDEX(Avulsos!$B$6:$B$205,$C1296)),INDEX(Avulsos!$B$6:$B$205,$C1296),""))</f>
        <v/>
      </c>
      <c r="F1296" s="114" t="str">
        <f aca="false">IF($E1296="","",IF($B1296="Tema",INDEX(Temas!$B$6:$B$305,$C1296)&amp;"",INDEX(Avulsos!$C$6:$C$205,$C1296)&amp;""))</f>
        <v/>
      </c>
      <c r="G1296" s="114" t="str">
        <f aca="false">IF($E1296="","",IF($B1296="Tema",INDEX(Config!$C$6:$C$11,$D1296),"Evento avulso"))</f>
        <v/>
      </c>
      <c r="H1296" s="114" t="str">
        <f aca="false">IF($E1296="","",IF($B1296="Tema",INDEX(Config!$D$6:$D$11,$D1296),IFERROR(INDEX(Config!$E$15:$E$19,MATCH($I1296,Config!$C$15:$C$19,0)),"•")))</f>
        <v/>
      </c>
      <c r="I1296" s="114" t="str">
        <f aca="false">IF($E1296="","",IF($B1296="Tema",INDEX(Config!$E$6:$E$11,$D1296),IF(INDEX(Avulsos!$D$6:$D$205,$C1296)&amp;""="","Outro",INDEX(Avulsos!$D$6:$D$205,$C1296))))</f>
        <v/>
      </c>
      <c r="J1296" s="114" t="str">
        <f aca="false">IF($E1296="","",IF($B1296="Tema",INDEX(Temas!$C$6:$C$305,$C1296)&amp;"",INDEX(Avulsos!$E$6:$E$205,$C1296)&amp;""))</f>
        <v/>
      </c>
      <c r="K1296" s="114" t="str">
        <f aca="false">IF($E1296="","",IF(IF($B1296="Tema",INDEX(Temas!$E$6:$P$305,$C1296,2*$D1296),INDEX(Avulsos!$F$6:$F$205,$C1296))&amp;""="","","✓"))</f>
        <v/>
      </c>
      <c r="L1296" s="114" t="str">
        <f aca="true">IF($E1296="","",IF($K1296="✓","Concluído",IF($E1296&lt;TODAY(),"Atrasado",IF($E1296=TODAY(),"Hoje","Pendente"))))</f>
        <v/>
      </c>
      <c r="M1296" s="114" t="str">
        <f aca="false">IF($E1296="","",IF($K1296="✓","✓ ","")&amp;IF(Config!$E$22="Sim",$H1296&amp;" · ","")&amp;$F1296)</f>
        <v/>
      </c>
      <c r="N1296" s="114" t="str">
        <f aca="false">IF($E1296="","",IFERROR(INDEX(Config!$D$15:$D$19,MATCH($I1296,Config!$C$15:$C$19,0)),"OUT")&amp;IF($K1296="✓","x",""))</f>
        <v/>
      </c>
      <c r="O1296" s="114" t="str">
        <f aca="false">IF($E1296="","",COUNTIF($E$5:$E1296,$E1296))</f>
        <v/>
      </c>
      <c r="P1296" s="114" t="str">
        <f aca="false">IF($E1296="","",$E1296*100+$O1296)</f>
        <v/>
      </c>
      <c r="Q1296" s="114" t="str">
        <f aca="false">IF($L1296="Atrasado",$E1296*10000+$A1296,"")</f>
        <v/>
      </c>
    </row>
    <row r="1297" customFormat="false" ht="15" hidden="false" customHeight="false" outlineLevel="0" collapsed="false">
      <c r="A1297" s="114" t="n">
        <f aca="false">ROW()-4</f>
        <v>1293</v>
      </c>
      <c r="B1297" s="114" t="str">
        <f aca="false">IF(A1297&lt;=Config!$E$27*Config!$E$28,"Tema","Avulso")</f>
        <v>Tema</v>
      </c>
      <c r="C1297" s="114" t="n">
        <f aca="false">IF(B1297="Tema",INT((A1297-1)/Config!$E$28)+1,A1297-Config!$E$27*Config!$E$28)</f>
        <v>216</v>
      </c>
      <c r="D1297" s="114" t="n">
        <f aca="false">IF(B1297="Tema",MOD(A1297-1,Config!$E$28)+1,"")</f>
        <v>3</v>
      </c>
      <c r="E1297" s="115" t="str">
        <f aca="false">IF($B1297="Tema",IF(ISNUMBER(INDEX(Temas!$E$6:$P$305,$C1297,2*$D1297-1)),INDEX(Temas!$E$6:$P$305,$C1297,2*$D1297-1),""),IF(ISNUMBER(INDEX(Avulsos!$B$6:$B$205,$C1297)),INDEX(Avulsos!$B$6:$B$205,$C1297),""))</f>
        <v/>
      </c>
      <c r="F1297" s="114" t="str">
        <f aca="false">IF($E1297="","",IF($B1297="Tema",INDEX(Temas!$B$6:$B$305,$C1297)&amp;"",INDEX(Avulsos!$C$6:$C$205,$C1297)&amp;""))</f>
        <v/>
      </c>
      <c r="G1297" s="114" t="str">
        <f aca="false">IF($E1297="","",IF($B1297="Tema",INDEX(Config!$C$6:$C$11,$D1297),"Evento avulso"))</f>
        <v/>
      </c>
      <c r="H1297" s="114" t="str">
        <f aca="false">IF($E1297="","",IF($B1297="Tema",INDEX(Config!$D$6:$D$11,$D1297),IFERROR(INDEX(Config!$E$15:$E$19,MATCH($I1297,Config!$C$15:$C$19,0)),"•")))</f>
        <v/>
      </c>
      <c r="I1297" s="114" t="str">
        <f aca="false">IF($E1297="","",IF($B1297="Tema",INDEX(Config!$E$6:$E$11,$D1297),IF(INDEX(Avulsos!$D$6:$D$205,$C1297)&amp;""="","Outro",INDEX(Avulsos!$D$6:$D$205,$C1297))))</f>
        <v/>
      </c>
      <c r="J1297" s="114" t="str">
        <f aca="false">IF($E1297="","",IF($B1297="Tema",INDEX(Temas!$C$6:$C$305,$C1297)&amp;"",INDEX(Avulsos!$E$6:$E$205,$C1297)&amp;""))</f>
        <v/>
      </c>
      <c r="K1297" s="114" t="str">
        <f aca="false">IF($E1297="","",IF(IF($B1297="Tema",INDEX(Temas!$E$6:$P$305,$C1297,2*$D1297),INDEX(Avulsos!$F$6:$F$205,$C1297))&amp;""="","","✓"))</f>
        <v/>
      </c>
      <c r="L1297" s="114" t="str">
        <f aca="true">IF($E1297="","",IF($K1297="✓","Concluído",IF($E1297&lt;TODAY(),"Atrasado",IF($E1297=TODAY(),"Hoje","Pendente"))))</f>
        <v/>
      </c>
      <c r="M1297" s="114" t="str">
        <f aca="false">IF($E1297="","",IF($K1297="✓","✓ ","")&amp;IF(Config!$E$22="Sim",$H1297&amp;" · ","")&amp;$F1297)</f>
        <v/>
      </c>
      <c r="N1297" s="114" t="str">
        <f aca="false">IF($E1297="","",IFERROR(INDEX(Config!$D$15:$D$19,MATCH($I1297,Config!$C$15:$C$19,0)),"OUT")&amp;IF($K1297="✓","x",""))</f>
        <v/>
      </c>
      <c r="O1297" s="114" t="str">
        <f aca="false">IF($E1297="","",COUNTIF($E$5:$E1297,$E1297))</f>
        <v/>
      </c>
      <c r="P1297" s="114" t="str">
        <f aca="false">IF($E1297="","",$E1297*100+$O1297)</f>
        <v/>
      </c>
      <c r="Q1297" s="114" t="str">
        <f aca="false">IF($L1297="Atrasado",$E1297*10000+$A1297,"")</f>
        <v/>
      </c>
    </row>
    <row r="1298" customFormat="false" ht="15" hidden="false" customHeight="false" outlineLevel="0" collapsed="false">
      <c r="A1298" s="114" t="n">
        <f aca="false">ROW()-4</f>
        <v>1294</v>
      </c>
      <c r="B1298" s="114" t="str">
        <f aca="false">IF(A1298&lt;=Config!$E$27*Config!$E$28,"Tema","Avulso")</f>
        <v>Tema</v>
      </c>
      <c r="C1298" s="114" t="n">
        <f aca="false">IF(B1298="Tema",INT((A1298-1)/Config!$E$28)+1,A1298-Config!$E$27*Config!$E$28)</f>
        <v>216</v>
      </c>
      <c r="D1298" s="114" t="n">
        <f aca="false">IF(B1298="Tema",MOD(A1298-1,Config!$E$28)+1,"")</f>
        <v>4</v>
      </c>
      <c r="E1298" s="115" t="str">
        <f aca="false">IF($B1298="Tema",IF(ISNUMBER(INDEX(Temas!$E$6:$P$305,$C1298,2*$D1298-1)),INDEX(Temas!$E$6:$P$305,$C1298,2*$D1298-1),""),IF(ISNUMBER(INDEX(Avulsos!$B$6:$B$205,$C1298)),INDEX(Avulsos!$B$6:$B$205,$C1298),""))</f>
        <v/>
      </c>
      <c r="F1298" s="114" t="str">
        <f aca="false">IF($E1298="","",IF($B1298="Tema",INDEX(Temas!$B$6:$B$305,$C1298)&amp;"",INDEX(Avulsos!$C$6:$C$205,$C1298)&amp;""))</f>
        <v/>
      </c>
      <c r="G1298" s="114" t="str">
        <f aca="false">IF($E1298="","",IF($B1298="Tema",INDEX(Config!$C$6:$C$11,$D1298),"Evento avulso"))</f>
        <v/>
      </c>
      <c r="H1298" s="114" t="str">
        <f aca="false">IF($E1298="","",IF($B1298="Tema",INDEX(Config!$D$6:$D$11,$D1298),IFERROR(INDEX(Config!$E$15:$E$19,MATCH($I1298,Config!$C$15:$C$19,0)),"•")))</f>
        <v/>
      </c>
      <c r="I1298" s="114" t="str">
        <f aca="false">IF($E1298="","",IF($B1298="Tema",INDEX(Config!$E$6:$E$11,$D1298),IF(INDEX(Avulsos!$D$6:$D$205,$C1298)&amp;""="","Outro",INDEX(Avulsos!$D$6:$D$205,$C1298))))</f>
        <v/>
      </c>
      <c r="J1298" s="114" t="str">
        <f aca="false">IF($E1298="","",IF($B1298="Tema",INDEX(Temas!$C$6:$C$305,$C1298)&amp;"",INDEX(Avulsos!$E$6:$E$205,$C1298)&amp;""))</f>
        <v/>
      </c>
      <c r="K1298" s="114" t="str">
        <f aca="false">IF($E1298="","",IF(IF($B1298="Tema",INDEX(Temas!$E$6:$P$305,$C1298,2*$D1298),INDEX(Avulsos!$F$6:$F$205,$C1298))&amp;""="","","✓"))</f>
        <v/>
      </c>
      <c r="L1298" s="114" t="str">
        <f aca="true">IF($E1298="","",IF($K1298="✓","Concluído",IF($E1298&lt;TODAY(),"Atrasado",IF($E1298=TODAY(),"Hoje","Pendente"))))</f>
        <v/>
      </c>
      <c r="M1298" s="114" t="str">
        <f aca="false">IF($E1298="","",IF($K1298="✓","✓ ","")&amp;IF(Config!$E$22="Sim",$H1298&amp;" · ","")&amp;$F1298)</f>
        <v/>
      </c>
      <c r="N1298" s="114" t="str">
        <f aca="false">IF($E1298="","",IFERROR(INDEX(Config!$D$15:$D$19,MATCH($I1298,Config!$C$15:$C$19,0)),"OUT")&amp;IF($K1298="✓","x",""))</f>
        <v/>
      </c>
      <c r="O1298" s="114" t="str">
        <f aca="false">IF($E1298="","",COUNTIF($E$5:$E1298,$E1298))</f>
        <v/>
      </c>
      <c r="P1298" s="114" t="str">
        <f aca="false">IF($E1298="","",$E1298*100+$O1298)</f>
        <v/>
      </c>
      <c r="Q1298" s="114" t="str">
        <f aca="false">IF($L1298="Atrasado",$E1298*10000+$A1298,"")</f>
        <v/>
      </c>
    </row>
    <row r="1299" customFormat="false" ht="15" hidden="false" customHeight="false" outlineLevel="0" collapsed="false">
      <c r="A1299" s="114" t="n">
        <f aca="false">ROW()-4</f>
        <v>1295</v>
      </c>
      <c r="B1299" s="114" t="str">
        <f aca="false">IF(A1299&lt;=Config!$E$27*Config!$E$28,"Tema","Avulso")</f>
        <v>Tema</v>
      </c>
      <c r="C1299" s="114" t="n">
        <f aca="false">IF(B1299="Tema",INT((A1299-1)/Config!$E$28)+1,A1299-Config!$E$27*Config!$E$28)</f>
        <v>216</v>
      </c>
      <c r="D1299" s="114" t="n">
        <f aca="false">IF(B1299="Tema",MOD(A1299-1,Config!$E$28)+1,"")</f>
        <v>5</v>
      </c>
      <c r="E1299" s="115" t="str">
        <f aca="false">IF($B1299="Tema",IF(ISNUMBER(INDEX(Temas!$E$6:$P$305,$C1299,2*$D1299-1)),INDEX(Temas!$E$6:$P$305,$C1299,2*$D1299-1),""),IF(ISNUMBER(INDEX(Avulsos!$B$6:$B$205,$C1299)),INDEX(Avulsos!$B$6:$B$205,$C1299),""))</f>
        <v/>
      </c>
      <c r="F1299" s="114" t="str">
        <f aca="false">IF($E1299="","",IF($B1299="Tema",INDEX(Temas!$B$6:$B$305,$C1299)&amp;"",INDEX(Avulsos!$C$6:$C$205,$C1299)&amp;""))</f>
        <v/>
      </c>
      <c r="G1299" s="114" t="str">
        <f aca="false">IF($E1299="","",IF($B1299="Tema",INDEX(Config!$C$6:$C$11,$D1299),"Evento avulso"))</f>
        <v/>
      </c>
      <c r="H1299" s="114" t="str">
        <f aca="false">IF($E1299="","",IF($B1299="Tema",INDEX(Config!$D$6:$D$11,$D1299),IFERROR(INDEX(Config!$E$15:$E$19,MATCH($I1299,Config!$C$15:$C$19,0)),"•")))</f>
        <v/>
      </c>
      <c r="I1299" s="114" t="str">
        <f aca="false">IF($E1299="","",IF($B1299="Tema",INDEX(Config!$E$6:$E$11,$D1299),IF(INDEX(Avulsos!$D$6:$D$205,$C1299)&amp;""="","Outro",INDEX(Avulsos!$D$6:$D$205,$C1299))))</f>
        <v/>
      </c>
      <c r="J1299" s="114" t="str">
        <f aca="false">IF($E1299="","",IF($B1299="Tema",INDEX(Temas!$C$6:$C$305,$C1299)&amp;"",INDEX(Avulsos!$E$6:$E$205,$C1299)&amp;""))</f>
        <v/>
      </c>
      <c r="K1299" s="114" t="str">
        <f aca="false">IF($E1299="","",IF(IF($B1299="Tema",INDEX(Temas!$E$6:$P$305,$C1299,2*$D1299),INDEX(Avulsos!$F$6:$F$205,$C1299))&amp;""="","","✓"))</f>
        <v/>
      </c>
      <c r="L1299" s="114" t="str">
        <f aca="true">IF($E1299="","",IF($K1299="✓","Concluído",IF($E1299&lt;TODAY(),"Atrasado",IF($E1299=TODAY(),"Hoje","Pendente"))))</f>
        <v/>
      </c>
      <c r="M1299" s="114" t="str">
        <f aca="false">IF($E1299="","",IF($K1299="✓","✓ ","")&amp;IF(Config!$E$22="Sim",$H1299&amp;" · ","")&amp;$F1299)</f>
        <v/>
      </c>
      <c r="N1299" s="114" t="str">
        <f aca="false">IF($E1299="","",IFERROR(INDEX(Config!$D$15:$D$19,MATCH($I1299,Config!$C$15:$C$19,0)),"OUT")&amp;IF($K1299="✓","x",""))</f>
        <v/>
      </c>
      <c r="O1299" s="114" t="str">
        <f aca="false">IF($E1299="","",COUNTIF($E$5:$E1299,$E1299))</f>
        <v/>
      </c>
      <c r="P1299" s="114" t="str">
        <f aca="false">IF($E1299="","",$E1299*100+$O1299)</f>
        <v/>
      </c>
      <c r="Q1299" s="114" t="str">
        <f aca="false">IF($L1299="Atrasado",$E1299*10000+$A1299,"")</f>
        <v/>
      </c>
    </row>
    <row r="1300" customFormat="false" ht="15" hidden="false" customHeight="false" outlineLevel="0" collapsed="false">
      <c r="A1300" s="114" t="n">
        <f aca="false">ROW()-4</f>
        <v>1296</v>
      </c>
      <c r="B1300" s="114" t="str">
        <f aca="false">IF(A1300&lt;=Config!$E$27*Config!$E$28,"Tema","Avulso")</f>
        <v>Tema</v>
      </c>
      <c r="C1300" s="114" t="n">
        <f aca="false">IF(B1300="Tema",INT((A1300-1)/Config!$E$28)+1,A1300-Config!$E$27*Config!$E$28)</f>
        <v>216</v>
      </c>
      <c r="D1300" s="114" t="n">
        <f aca="false">IF(B1300="Tema",MOD(A1300-1,Config!$E$28)+1,"")</f>
        <v>6</v>
      </c>
      <c r="E1300" s="115" t="str">
        <f aca="false">IF($B1300="Tema",IF(ISNUMBER(INDEX(Temas!$E$6:$P$305,$C1300,2*$D1300-1)),INDEX(Temas!$E$6:$P$305,$C1300,2*$D1300-1),""),IF(ISNUMBER(INDEX(Avulsos!$B$6:$B$205,$C1300)),INDEX(Avulsos!$B$6:$B$205,$C1300),""))</f>
        <v/>
      </c>
      <c r="F1300" s="114" t="str">
        <f aca="false">IF($E1300="","",IF($B1300="Tema",INDEX(Temas!$B$6:$B$305,$C1300)&amp;"",INDEX(Avulsos!$C$6:$C$205,$C1300)&amp;""))</f>
        <v/>
      </c>
      <c r="G1300" s="114" t="str">
        <f aca="false">IF($E1300="","",IF($B1300="Tema",INDEX(Config!$C$6:$C$11,$D1300),"Evento avulso"))</f>
        <v/>
      </c>
      <c r="H1300" s="114" t="str">
        <f aca="false">IF($E1300="","",IF($B1300="Tema",INDEX(Config!$D$6:$D$11,$D1300),IFERROR(INDEX(Config!$E$15:$E$19,MATCH($I1300,Config!$C$15:$C$19,0)),"•")))</f>
        <v/>
      </c>
      <c r="I1300" s="114" t="str">
        <f aca="false">IF($E1300="","",IF($B1300="Tema",INDEX(Config!$E$6:$E$11,$D1300),IF(INDEX(Avulsos!$D$6:$D$205,$C1300)&amp;""="","Outro",INDEX(Avulsos!$D$6:$D$205,$C1300))))</f>
        <v/>
      </c>
      <c r="J1300" s="114" t="str">
        <f aca="false">IF($E1300="","",IF($B1300="Tema",INDEX(Temas!$C$6:$C$305,$C1300)&amp;"",INDEX(Avulsos!$E$6:$E$205,$C1300)&amp;""))</f>
        <v/>
      </c>
      <c r="K1300" s="114" t="str">
        <f aca="false">IF($E1300="","",IF(IF($B1300="Tema",INDEX(Temas!$E$6:$P$305,$C1300,2*$D1300),INDEX(Avulsos!$F$6:$F$205,$C1300))&amp;""="","","✓"))</f>
        <v/>
      </c>
      <c r="L1300" s="114" t="str">
        <f aca="true">IF($E1300="","",IF($K1300="✓","Concluído",IF($E1300&lt;TODAY(),"Atrasado",IF($E1300=TODAY(),"Hoje","Pendente"))))</f>
        <v/>
      </c>
      <c r="M1300" s="114" t="str">
        <f aca="false">IF($E1300="","",IF($K1300="✓","✓ ","")&amp;IF(Config!$E$22="Sim",$H1300&amp;" · ","")&amp;$F1300)</f>
        <v/>
      </c>
      <c r="N1300" s="114" t="str">
        <f aca="false">IF($E1300="","",IFERROR(INDEX(Config!$D$15:$D$19,MATCH($I1300,Config!$C$15:$C$19,0)),"OUT")&amp;IF($K1300="✓","x",""))</f>
        <v/>
      </c>
      <c r="O1300" s="114" t="str">
        <f aca="false">IF($E1300="","",COUNTIF($E$5:$E1300,$E1300))</f>
        <v/>
      </c>
      <c r="P1300" s="114" t="str">
        <f aca="false">IF($E1300="","",$E1300*100+$O1300)</f>
        <v/>
      </c>
      <c r="Q1300" s="114" t="str">
        <f aca="false">IF($L1300="Atrasado",$E1300*10000+$A1300,"")</f>
        <v/>
      </c>
    </row>
    <row r="1301" customFormat="false" ht="15" hidden="false" customHeight="false" outlineLevel="0" collapsed="false">
      <c r="A1301" s="114" t="n">
        <f aca="false">ROW()-4</f>
        <v>1297</v>
      </c>
      <c r="B1301" s="114" t="str">
        <f aca="false">IF(A1301&lt;=Config!$E$27*Config!$E$28,"Tema","Avulso")</f>
        <v>Tema</v>
      </c>
      <c r="C1301" s="114" t="n">
        <f aca="false">IF(B1301="Tema",INT((A1301-1)/Config!$E$28)+1,A1301-Config!$E$27*Config!$E$28)</f>
        <v>217</v>
      </c>
      <c r="D1301" s="114" t="n">
        <f aca="false">IF(B1301="Tema",MOD(A1301-1,Config!$E$28)+1,"")</f>
        <v>1</v>
      </c>
      <c r="E1301" s="115" t="str">
        <f aca="false">IF($B1301="Tema",IF(ISNUMBER(INDEX(Temas!$E$6:$P$305,$C1301,2*$D1301-1)),INDEX(Temas!$E$6:$P$305,$C1301,2*$D1301-1),""),IF(ISNUMBER(INDEX(Avulsos!$B$6:$B$205,$C1301)),INDEX(Avulsos!$B$6:$B$205,$C1301),""))</f>
        <v/>
      </c>
      <c r="F1301" s="114" t="str">
        <f aca="false">IF($E1301="","",IF($B1301="Tema",INDEX(Temas!$B$6:$B$305,$C1301)&amp;"",INDEX(Avulsos!$C$6:$C$205,$C1301)&amp;""))</f>
        <v/>
      </c>
      <c r="G1301" s="114" t="str">
        <f aca="false">IF($E1301="","",IF($B1301="Tema",INDEX(Config!$C$6:$C$11,$D1301),"Evento avulso"))</f>
        <v/>
      </c>
      <c r="H1301" s="114" t="str">
        <f aca="false">IF($E1301="","",IF($B1301="Tema",INDEX(Config!$D$6:$D$11,$D1301),IFERROR(INDEX(Config!$E$15:$E$19,MATCH($I1301,Config!$C$15:$C$19,0)),"•")))</f>
        <v/>
      </c>
      <c r="I1301" s="114" t="str">
        <f aca="false">IF($E1301="","",IF($B1301="Tema",INDEX(Config!$E$6:$E$11,$D1301),IF(INDEX(Avulsos!$D$6:$D$205,$C1301)&amp;""="","Outro",INDEX(Avulsos!$D$6:$D$205,$C1301))))</f>
        <v/>
      </c>
      <c r="J1301" s="114" t="str">
        <f aca="false">IF($E1301="","",IF($B1301="Tema",INDEX(Temas!$C$6:$C$305,$C1301)&amp;"",INDEX(Avulsos!$E$6:$E$205,$C1301)&amp;""))</f>
        <v/>
      </c>
      <c r="K1301" s="114" t="str">
        <f aca="false">IF($E1301="","",IF(IF($B1301="Tema",INDEX(Temas!$E$6:$P$305,$C1301,2*$D1301),INDEX(Avulsos!$F$6:$F$205,$C1301))&amp;""="","","✓"))</f>
        <v/>
      </c>
      <c r="L1301" s="114" t="str">
        <f aca="true">IF($E1301="","",IF($K1301="✓","Concluído",IF($E1301&lt;TODAY(),"Atrasado",IF($E1301=TODAY(),"Hoje","Pendente"))))</f>
        <v/>
      </c>
      <c r="M1301" s="114" t="str">
        <f aca="false">IF($E1301="","",IF($K1301="✓","✓ ","")&amp;IF(Config!$E$22="Sim",$H1301&amp;" · ","")&amp;$F1301)</f>
        <v/>
      </c>
      <c r="N1301" s="114" t="str">
        <f aca="false">IF($E1301="","",IFERROR(INDEX(Config!$D$15:$D$19,MATCH($I1301,Config!$C$15:$C$19,0)),"OUT")&amp;IF($K1301="✓","x",""))</f>
        <v/>
      </c>
      <c r="O1301" s="114" t="str">
        <f aca="false">IF($E1301="","",COUNTIF($E$5:$E1301,$E1301))</f>
        <v/>
      </c>
      <c r="P1301" s="114" t="str">
        <f aca="false">IF($E1301="","",$E1301*100+$O1301)</f>
        <v/>
      </c>
      <c r="Q1301" s="114" t="str">
        <f aca="false">IF($L1301="Atrasado",$E1301*10000+$A1301,"")</f>
        <v/>
      </c>
    </row>
    <row r="1302" customFormat="false" ht="15" hidden="false" customHeight="false" outlineLevel="0" collapsed="false">
      <c r="A1302" s="114" t="n">
        <f aca="false">ROW()-4</f>
        <v>1298</v>
      </c>
      <c r="B1302" s="114" t="str">
        <f aca="false">IF(A1302&lt;=Config!$E$27*Config!$E$28,"Tema","Avulso")</f>
        <v>Tema</v>
      </c>
      <c r="C1302" s="114" t="n">
        <f aca="false">IF(B1302="Tema",INT((A1302-1)/Config!$E$28)+1,A1302-Config!$E$27*Config!$E$28)</f>
        <v>217</v>
      </c>
      <c r="D1302" s="114" t="n">
        <f aca="false">IF(B1302="Tema",MOD(A1302-1,Config!$E$28)+1,"")</f>
        <v>2</v>
      </c>
      <c r="E1302" s="115" t="str">
        <f aca="false">IF($B1302="Tema",IF(ISNUMBER(INDEX(Temas!$E$6:$P$305,$C1302,2*$D1302-1)),INDEX(Temas!$E$6:$P$305,$C1302,2*$D1302-1),""),IF(ISNUMBER(INDEX(Avulsos!$B$6:$B$205,$C1302)),INDEX(Avulsos!$B$6:$B$205,$C1302),""))</f>
        <v/>
      </c>
      <c r="F1302" s="114" t="str">
        <f aca="false">IF($E1302="","",IF($B1302="Tema",INDEX(Temas!$B$6:$B$305,$C1302)&amp;"",INDEX(Avulsos!$C$6:$C$205,$C1302)&amp;""))</f>
        <v/>
      </c>
      <c r="G1302" s="114" t="str">
        <f aca="false">IF($E1302="","",IF($B1302="Tema",INDEX(Config!$C$6:$C$11,$D1302),"Evento avulso"))</f>
        <v/>
      </c>
      <c r="H1302" s="114" t="str">
        <f aca="false">IF($E1302="","",IF($B1302="Tema",INDEX(Config!$D$6:$D$11,$D1302),IFERROR(INDEX(Config!$E$15:$E$19,MATCH($I1302,Config!$C$15:$C$19,0)),"•")))</f>
        <v/>
      </c>
      <c r="I1302" s="114" t="str">
        <f aca="false">IF($E1302="","",IF($B1302="Tema",INDEX(Config!$E$6:$E$11,$D1302),IF(INDEX(Avulsos!$D$6:$D$205,$C1302)&amp;""="","Outro",INDEX(Avulsos!$D$6:$D$205,$C1302))))</f>
        <v/>
      </c>
      <c r="J1302" s="114" t="str">
        <f aca="false">IF($E1302="","",IF($B1302="Tema",INDEX(Temas!$C$6:$C$305,$C1302)&amp;"",INDEX(Avulsos!$E$6:$E$205,$C1302)&amp;""))</f>
        <v/>
      </c>
      <c r="K1302" s="114" t="str">
        <f aca="false">IF($E1302="","",IF(IF($B1302="Tema",INDEX(Temas!$E$6:$P$305,$C1302,2*$D1302),INDEX(Avulsos!$F$6:$F$205,$C1302))&amp;""="","","✓"))</f>
        <v/>
      </c>
      <c r="L1302" s="114" t="str">
        <f aca="true">IF($E1302="","",IF($K1302="✓","Concluído",IF($E1302&lt;TODAY(),"Atrasado",IF($E1302=TODAY(),"Hoje","Pendente"))))</f>
        <v/>
      </c>
      <c r="M1302" s="114" t="str">
        <f aca="false">IF($E1302="","",IF($K1302="✓","✓ ","")&amp;IF(Config!$E$22="Sim",$H1302&amp;" · ","")&amp;$F1302)</f>
        <v/>
      </c>
      <c r="N1302" s="114" t="str">
        <f aca="false">IF($E1302="","",IFERROR(INDEX(Config!$D$15:$D$19,MATCH($I1302,Config!$C$15:$C$19,0)),"OUT")&amp;IF($K1302="✓","x",""))</f>
        <v/>
      </c>
      <c r="O1302" s="114" t="str">
        <f aca="false">IF($E1302="","",COUNTIF($E$5:$E1302,$E1302))</f>
        <v/>
      </c>
      <c r="P1302" s="114" t="str">
        <f aca="false">IF($E1302="","",$E1302*100+$O1302)</f>
        <v/>
      </c>
      <c r="Q1302" s="114" t="str">
        <f aca="false">IF($L1302="Atrasado",$E1302*10000+$A1302,"")</f>
        <v/>
      </c>
    </row>
    <row r="1303" customFormat="false" ht="15" hidden="false" customHeight="false" outlineLevel="0" collapsed="false">
      <c r="A1303" s="114" t="n">
        <f aca="false">ROW()-4</f>
        <v>1299</v>
      </c>
      <c r="B1303" s="114" t="str">
        <f aca="false">IF(A1303&lt;=Config!$E$27*Config!$E$28,"Tema","Avulso")</f>
        <v>Tema</v>
      </c>
      <c r="C1303" s="114" t="n">
        <f aca="false">IF(B1303="Tema",INT((A1303-1)/Config!$E$28)+1,A1303-Config!$E$27*Config!$E$28)</f>
        <v>217</v>
      </c>
      <c r="D1303" s="114" t="n">
        <f aca="false">IF(B1303="Tema",MOD(A1303-1,Config!$E$28)+1,"")</f>
        <v>3</v>
      </c>
      <c r="E1303" s="115" t="str">
        <f aca="false">IF($B1303="Tema",IF(ISNUMBER(INDEX(Temas!$E$6:$P$305,$C1303,2*$D1303-1)),INDEX(Temas!$E$6:$P$305,$C1303,2*$D1303-1),""),IF(ISNUMBER(INDEX(Avulsos!$B$6:$B$205,$C1303)),INDEX(Avulsos!$B$6:$B$205,$C1303),""))</f>
        <v/>
      </c>
      <c r="F1303" s="114" t="str">
        <f aca="false">IF($E1303="","",IF($B1303="Tema",INDEX(Temas!$B$6:$B$305,$C1303)&amp;"",INDEX(Avulsos!$C$6:$C$205,$C1303)&amp;""))</f>
        <v/>
      </c>
      <c r="G1303" s="114" t="str">
        <f aca="false">IF($E1303="","",IF($B1303="Tema",INDEX(Config!$C$6:$C$11,$D1303),"Evento avulso"))</f>
        <v/>
      </c>
      <c r="H1303" s="114" t="str">
        <f aca="false">IF($E1303="","",IF($B1303="Tema",INDEX(Config!$D$6:$D$11,$D1303),IFERROR(INDEX(Config!$E$15:$E$19,MATCH($I1303,Config!$C$15:$C$19,0)),"•")))</f>
        <v/>
      </c>
      <c r="I1303" s="114" t="str">
        <f aca="false">IF($E1303="","",IF($B1303="Tema",INDEX(Config!$E$6:$E$11,$D1303),IF(INDEX(Avulsos!$D$6:$D$205,$C1303)&amp;""="","Outro",INDEX(Avulsos!$D$6:$D$205,$C1303))))</f>
        <v/>
      </c>
      <c r="J1303" s="114" t="str">
        <f aca="false">IF($E1303="","",IF($B1303="Tema",INDEX(Temas!$C$6:$C$305,$C1303)&amp;"",INDEX(Avulsos!$E$6:$E$205,$C1303)&amp;""))</f>
        <v/>
      </c>
      <c r="K1303" s="114" t="str">
        <f aca="false">IF($E1303="","",IF(IF($B1303="Tema",INDEX(Temas!$E$6:$P$305,$C1303,2*$D1303),INDEX(Avulsos!$F$6:$F$205,$C1303))&amp;""="","","✓"))</f>
        <v/>
      </c>
      <c r="L1303" s="114" t="str">
        <f aca="true">IF($E1303="","",IF($K1303="✓","Concluído",IF($E1303&lt;TODAY(),"Atrasado",IF($E1303=TODAY(),"Hoje","Pendente"))))</f>
        <v/>
      </c>
      <c r="M1303" s="114" t="str">
        <f aca="false">IF($E1303="","",IF($K1303="✓","✓ ","")&amp;IF(Config!$E$22="Sim",$H1303&amp;" · ","")&amp;$F1303)</f>
        <v/>
      </c>
      <c r="N1303" s="114" t="str">
        <f aca="false">IF($E1303="","",IFERROR(INDEX(Config!$D$15:$D$19,MATCH($I1303,Config!$C$15:$C$19,0)),"OUT")&amp;IF($K1303="✓","x",""))</f>
        <v/>
      </c>
      <c r="O1303" s="114" t="str">
        <f aca="false">IF($E1303="","",COUNTIF($E$5:$E1303,$E1303))</f>
        <v/>
      </c>
      <c r="P1303" s="114" t="str">
        <f aca="false">IF($E1303="","",$E1303*100+$O1303)</f>
        <v/>
      </c>
      <c r="Q1303" s="114" t="str">
        <f aca="false">IF($L1303="Atrasado",$E1303*10000+$A1303,"")</f>
        <v/>
      </c>
    </row>
    <row r="1304" customFormat="false" ht="15" hidden="false" customHeight="false" outlineLevel="0" collapsed="false">
      <c r="A1304" s="114" t="n">
        <f aca="false">ROW()-4</f>
        <v>1300</v>
      </c>
      <c r="B1304" s="114" t="str">
        <f aca="false">IF(A1304&lt;=Config!$E$27*Config!$E$28,"Tema","Avulso")</f>
        <v>Tema</v>
      </c>
      <c r="C1304" s="114" t="n">
        <f aca="false">IF(B1304="Tema",INT((A1304-1)/Config!$E$28)+1,A1304-Config!$E$27*Config!$E$28)</f>
        <v>217</v>
      </c>
      <c r="D1304" s="114" t="n">
        <f aca="false">IF(B1304="Tema",MOD(A1304-1,Config!$E$28)+1,"")</f>
        <v>4</v>
      </c>
      <c r="E1304" s="115" t="str">
        <f aca="false">IF($B1304="Tema",IF(ISNUMBER(INDEX(Temas!$E$6:$P$305,$C1304,2*$D1304-1)),INDEX(Temas!$E$6:$P$305,$C1304,2*$D1304-1),""),IF(ISNUMBER(INDEX(Avulsos!$B$6:$B$205,$C1304)),INDEX(Avulsos!$B$6:$B$205,$C1304),""))</f>
        <v/>
      </c>
      <c r="F1304" s="114" t="str">
        <f aca="false">IF($E1304="","",IF($B1304="Tema",INDEX(Temas!$B$6:$B$305,$C1304)&amp;"",INDEX(Avulsos!$C$6:$C$205,$C1304)&amp;""))</f>
        <v/>
      </c>
      <c r="G1304" s="114" t="str">
        <f aca="false">IF($E1304="","",IF($B1304="Tema",INDEX(Config!$C$6:$C$11,$D1304),"Evento avulso"))</f>
        <v/>
      </c>
      <c r="H1304" s="114" t="str">
        <f aca="false">IF($E1304="","",IF($B1304="Tema",INDEX(Config!$D$6:$D$11,$D1304),IFERROR(INDEX(Config!$E$15:$E$19,MATCH($I1304,Config!$C$15:$C$19,0)),"•")))</f>
        <v/>
      </c>
      <c r="I1304" s="114" t="str">
        <f aca="false">IF($E1304="","",IF($B1304="Tema",INDEX(Config!$E$6:$E$11,$D1304),IF(INDEX(Avulsos!$D$6:$D$205,$C1304)&amp;""="","Outro",INDEX(Avulsos!$D$6:$D$205,$C1304))))</f>
        <v/>
      </c>
      <c r="J1304" s="114" t="str">
        <f aca="false">IF($E1304="","",IF($B1304="Tema",INDEX(Temas!$C$6:$C$305,$C1304)&amp;"",INDEX(Avulsos!$E$6:$E$205,$C1304)&amp;""))</f>
        <v/>
      </c>
      <c r="K1304" s="114" t="str">
        <f aca="false">IF($E1304="","",IF(IF($B1304="Tema",INDEX(Temas!$E$6:$P$305,$C1304,2*$D1304),INDEX(Avulsos!$F$6:$F$205,$C1304))&amp;""="","","✓"))</f>
        <v/>
      </c>
      <c r="L1304" s="114" t="str">
        <f aca="true">IF($E1304="","",IF($K1304="✓","Concluído",IF($E1304&lt;TODAY(),"Atrasado",IF($E1304=TODAY(),"Hoje","Pendente"))))</f>
        <v/>
      </c>
      <c r="M1304" s="114" t="str">
        <f aca="false">IF($E1304="","",IF($K1304="✓","✓ ","")&amp;IF(Config!$E$22="Sim",$H1304&amp;" · ","")&amp;$F1304)</f>
        <v/>
      </c>
      <c r="N1304" s="114" t="str">
        <f aca="false">IF($E1304="","",IFERROR(INDEX(Config!$D$15:$D$19,MATCH($I1304,Config!$C$15:$C$19,0)),"OUT")&amp;IF($K1304="✓","x",""))</f>
        <v/>
      </c>
      <c r="O1304" s="114" t="str">
        <f aca="false">IF($E1304="","",COUNTIF($E$5:$E1304,$E1304))</f>
        <v/>
      </c>
      <c r="P1304" s="114" t="str">
        <f aca="false">IF($E1304="","",$E1304*100+$O1304)</f>
        <v/>
      </c>
      <c r="Q1304" s="114" t="str">
        <f aca="false">IF($L1304="Atrasado",$E1304*10000+$A1304,"")</f>
        <v/>
      </c>
    </row>
    <row r="1305" customFormat="false" ht="15" hidden="false" customHeight="false" outlineLevel="0" collapsed="false">
      <c r="A1305" s="114" t="n">
        <f aca="false">ROW()-4</f>
        <v>1301</v>
      </c>
      <c r="B1305" s="114" t="str">
        <f aca="false">IF(A1305&lt;=Config!$E$27*Config!$E$28,"Tema","Avulso")</f>
        <v>Tema</v>
      </c>
      <c r="C1305" s="114" t="n">
        <f aca="false">IF(B1305="Tema",INT((A1305-1)/Config!$E$28)+1,A1305-Config!$E$27*Config!$E$28)</f>
        <v>217</v>
      </c>
      <c r="D1305" s="114" t="n">
        <f aca="false">IF(B1305="Tema",MOD(A1305-1,Config!$E$28)+1,"")</f>
        <v>5</v>
      </c>
      <c r="E1305" s="115" t="str">
        <f aca="false">IF($B1305="Tema",IF(ISNUMBER(INDEX(Temas!$E$6:$P$305,$C1305,2*$D1305-1)),INDEX(Temas!$E$6:$P$305,$C1305,2*$D1305-1),""),IF(ISNUMBER(INDEX(Avulsos!$B$6:$B$205,$C1305)),INDEX(Avulsos!$B$6:$B$205,$C1305),""))</f>
        <v/>
      </c>
      <c r="F1305" s="114" t="str">
        <f aca="false">IF($E1305="","",IF($B1305="Tema",INDEX(Temas!$B$6:$B$305,$C1305)&amp;"",INDEX(Avulsos!$C$6:$C$205,$C1305)&amp;""))</f>
        <v/>
      </c>
      <c r="G1305" s="114" t="str">
        <f aca="false">IF($E1305="","",IF($B1305="Tema",INDEX(Config!$C$6:$C$11,$D1305),"Evento avulso"))</f>
        <v/>
      </c>
      <c r="H1305" s="114" t="str">
        <f aca="false">IF($E1305="","",IF($B1305="Tema",INDEX(Config!$D$6:$D$11,$D1305),IFERROR(INDEX(Config!$E$15:$E$19,MATCH($I1305,Config!$C$15:$C$19,0)),"•")))</f>
        <v/>
      </c>
      <c r="I1305" s="114" t="str">
        <f aca="false">IF($E1305="","",IF($B1305="Tema",INDEX(Config!$E$6:$E$11,$D1305),IF(INDEX(Avulsos!$D$6:$D$205,$C1305)&amp;""="","Outro",INDEX(Avulsos!$D$6:$D$205,$C1305))))</f>
        <v/>
      </c>
      <c r="J1305" s="114" t="str">
        <f aca="false">IF($E1305="","",IF($B1305="Tema",INDEX(Temas!$C$6:$C$305,$C1305)&amp;"",INDEX(Avulsos!$E$6:$E$205,$C1305)&amp;""))</f>
        <v/>
      </c>
      <c r="K1305" s="114" t="str">
        <f aca="false">IF($E1305="","",IF(IF($B1305="Tema",INDEX(Temas!$E$6:$P$305,$C1305,2*$D1305),INDEX(Avulsos!$F$6:$F$205,$C1305))&amp;""="","","✓"))</f>
        <v/>
      </c>
      <c r="L1305" s="114" t="str">
        <f aca="true">IF($E1305="","",IF($K1305="✓","Concluído",IF($E1305&lt;TODAY(),"Atrasado",IF($E1305=TODAY(),"Hoje","Pendente"))))</f>
        <v/>
      </c>
      <c r="M1305" s="114" t="str">
        <f aca="false">IF($E1305="","",IF($K1305="✓","✓ ","")&amp;IF(Config!$E$22="Sim",$H1305&amp;" · ","")&amp;$F1305)</f>
        <v/>
      </c>
      <c r="N1305" s="114" t="str">
        <f aca="false">IF($E1305="","",IFERROR(INDEX(Config!$D$15:$D$19,MATCH($I1305,Config!$C$15:$C$19,0)),"OUT")&amp;IF($K1305="✓","x",""))</f>
        <v/>
      </c>
      <c r="O1305" s="114" t="str">
        <f aca="false">IF($E1305="","",COUNTIF($E$5:$E1305,$E1305))</f>
        <v/>
      </c>
      <c r="P1305" s="114" t="str">
        <f aca="false">IF($E1305="","",$E1305*100+$O1305)</f>
        <v/>
      </c>
      <c r="Q1305" s="114" t="str">
        <f aca="false">IF($L1305="Atrasado",$E1305*10000+$A1305,"")</f>
        <v/>
      </c>
    </row>
    <row r="1306" customFormat="false" ht="15" hidden="false" customHeight="false" outlineLevel="0" collapsed="false">
      <c r="A1306" s="114" t="n">
        <f aca="false">ROW()-4</f>
        <v>1302</v>
      </c>
      <c r="B1306" s="114" t="str">
        <f aca="false">IF(A1306&lt;=Config!$E$27*Config!$E$28,"Tema","Avulso")</f>
        <v>Tema</v>
      </c>
      <c r="C1306" s="114" t="n">
        <f aca="false">IF(B1306="Tema",INT((A1306-1)/Config!$E$28)+1,A1306-Config!$E$27*Config!$E$28)</f>
        <v>217</v>
      </c>
      <c r="D1306" s="114" t="n">
        <f aca="false">IF(B1306="Tema",MOD(A1306-1,Config!$E$28)+1,"")</f>
        <v>6</v>
      </c>
      <c r="E1306" s="115" t="str">
        <f aca="false">IF($B1306="Tema",IF(ISNUMBER(INDEX(Temas!$E$6:$P$305,$C1306,2*$D1306-1)),INDEX(Temas!$E$6:$P$305,$C1306,2*$D1306-1),""),IF(ISNUMBER(INDEX(Avulsos!$B$6:$B$205,$C1306)),INDEX(Avulsos!$B$6:$B$205,$C1306),""))</f>
        <v/>
      </c>
      <c r="F1306" s="114" t="str">
        <f aca="false">IF($E1306="","",IF($B1306="Tema",INDEX(Temas!$B$6:$B$305,$C1306)&amp;"",INDEX(Avulsos!$C$6:$C$205,$C1306)&amp;""))</f>
        <v/>
      </c>
      <c r="G1306" s="114" t="str">
        <f aca="false">IF($E1306="","",IF($B1306="Tema",INDEX(Config!$C$6:$C$11,$D1306),"Evento avulso"))</f>
        <v/>
      </c>
      <c r="H1306" s="114" t="str">
        <f aca="false">IF($E1306="","",IF($B1306="Tema",INDEX(Config!$D$6:$D$11,$D1306),IFERROR(INDEX(Config!$E$15:$E$19,MATCH($I1306,Config!$C$15:$C$19,0)),"•")))</f>
        <v/>
      </c>
      <c r="I1306" s="114" t="str">
        <f aca="false">IF($E1306="","",IF($B1306="Tema",INDEX(Config!$E$6:$E$11,$D1306),IF(INDEX(Avulsos!$D$6:$D$205,$C1306)&amp;""="","Outro",INDEX(Avulsos!$D$6:$D$205,$C1306))))</f>
        <v/>
      </c>
      <c r="J1306" s="114" t="str">
        <f aca="false">IF($E1306="","",IF($B1306="Tema",INDEX(Temas!$C$6:$C$305,$C1306)&amp;"",INDEX(Avulsos!$E$6:$E$205,$C1306)&amp;""))</f>
        <v/>
      </c>
      <c r="K1306" s="114" t="str">
        <f aca="false">IF($E1306="","",IF(IF($B1306="Tema",INDEX(Temas!$E$6:$P$305,$C1306,2*$D1306),INDEX(Avulsos!$F$6:$F$205,$C1306))&amp;""="","","✓"))</f>
        <v/>
      </c>
      <c r="L1306" s="114" t="str">
        <f aca="true">IF($E1306="","",IF($K1306="✓","Concluído",IF($E1306&lt;TODAY(),"Atrasado",IF($E1306=TODAY(),"Hoje","Pendente"))))</f>
        <v/>
      </c>
      <c r="M1306" s="114" t="str">
        <f aca="false">IF($E1306="","",IF($K1306="✓","✓ ","")&amp;IF(Config!$E$22="Sim",$H1306&amp;" · ","")&amp;$F1306)</f>
        <v/>
      </c>
      <c r="N1306" s="114" t="str">
        <f aca="false">IF($E1306="","",IFERROR(INDEX(Config!$D$15:$D$19,MATCH($I1306,Config!$C$15:$C$19,0)),"OUT")&amp;IF($K1306="✓","x",""))</f>
        <v/>
      </c>
      <c r="O1306" s="114" t="str">
        <f aca="false">IF($E1306="","",COUNTIF($E$5:$E1306,$E1306))</f>
        <v/>
      </c>
      <c r="P1306" s="114" t="str">
        <f aca="false">IF($E1306="","",$E1306*100+$O1306)</f>
        <v/>
      </c>
      <c r="Q1306" s="114" t="str">
        <f aca="false">IF($L1306="Atrasado",$E1306*10000+$A1306,"")</f>
        <v/>
      </c>
    </row>
    <row r="1307" customFormat="false" ht="15" hidden="false" customHeight="false" outlineLevel="0" collapsed="false">
      <c r="A1307" s="114" t="n">
        <f aca="false">ROW()-4</f>
        <v>1303</v>
      </c>
      <c r="B1307" s="114" t="str">
        <f aca="false">IF(A1307&lt;=Config!$E$27*Config!$E$28,"Tema","Avulso")</f>
        <v>Tema</v>
      </c>
      <c r="C1307" s="114" t="n">
        <f aca="false">IF(B1307="Tema",INT((A1307-1)/Config!$E$28)+1,A1307-Config!$E$27*Config!$E$28)</f>
        <v>218</v>
      </c>
      <c r="D1307" s="114" t="n">
        <f aca="false">IF(B1307="Tema",MOD(A1307-1,Config!$E$28)+1,"")</f>
        <v>1</v>
      </c>
      <c r="E1307" s="115" t="str">
        <f aca="false">IF($B1307="Tema",IF(ISNUMBER(INDEX(Temas!$E$6:$P$305,$C1307,2*$D1307-1)),INDEX(Temas!$E$6:$P$305,$C1307,2*$D1307-1),""),IF(ISNUMBER(INDEX(Avulsos!$B$6:$B$205,$C1307)),INDEX(Avulsos!$B$6:$B$205,$C1307),""))</f>
        <v/>
      </c>
      <c r="F1307" s="114" t="str">
        <f aca="false">IF($E1307="","",IF($B1307="Tema",INDEX(Temas!$B$6:$B$305,$C1307)&amp;"",INDEX(Avulsos!$C$6:$C$205,$C1307)&amp;""))</f>
        <v/>
      </c>
      <c r="G1307" s="114" t="str">
        <f aca="false">IF($E1307="","",IF($B1307="Tema",INDEX(Config!$C$6:$C$11,$D1307),"Evento avulso"))</f>
        <v/>
      </c>
      <c r="H1307" s="114" t="str">
        <f aca="false">IF($E1307="","",IF($B1307="Tema",INDEX(Config!$D$6:$D$11,$D1307),IFERROR(INDEX(Config!$E$15:$E$19,MATCH($I1307,Config!$C$15:$C$19,0)),"•")))</f>
        <v/>
      </c>
      <c r="I1307" s="114" t="str">
        <f aca="false">IF($E1307="","",IF($B1307="Tema",INDEX(Config!$E$6:$E$11,$D1307),IF(INDEX(Avulsos!$D$6:$D$205,$C1307)&amp;""="","Outro",INDEX(Avulsos!$D$6:$D$205,$C1307))))</f>
        <v/>
      </c>
      <c r="J1307" s="114" t="str">
        <f aca="false">IF($E1307="","",IF($B1307="Tema",INDEX(Temas!$C$6:$C$305,$C1307)&amp;"",INDEX(Avulsos!$E$6:$E$205,$C1307)&amp;""))</f>
        <v/>
      </c>
      <c r="K1307" s="114" t="str">
        <f aca="false">IF($E1307="","",IF(IF($B1307="Tema",INDEX(Temas!$E$6:$P$305,$C1307,2*$D1307),INDEX(Avulsos!$F$6:$F$205,$C1307))&amp;""="","","✓"))</f>
        <v/>
      </c>
      <c r="L1307" s="114" t="str">
        <f aca="true">IF($E1307="","",IF($K1307="✓","Concluído",IF($E1307&lt;TODAY(),"Atrasado",IF($E1307=TODAY(),"Hoje","Pendente"))))</f>
        <v/>
      </c>
      <c r="M1307" s="114" t="str">
        <f aca="false">IF($E1307="","",IF($K1307="✓","✓ ","")&amp;IF(Config!$E$22="Sim",$H1307&amp;" · ","")&amp;$F1307)</f>
        <v/>
      </c>
      <c r="N1307" s="114" t="str">
        <f aca="false">IF($E1307="","",IFERROR(INDEX(Config!$D$15:$D$19,MATCH($I1307,Config!$C$15:$C$19,0)),"OUT")&amp;IF($K1307="✓","x",""))</f>
        <v/>
      </c>
      <c r="O1307" s="114" t="str">
        <f aca="false">IF($E1307="","",COUNTIF($E$5:$E1307,$E1307))</f>
        <v/>
      </c>
      <c r="P1307" s="114" t="str">
        <f aca="false">IF($E1307="","",$E1307*100+$O1307)</f>
        <v/>
      </c>
      <c r="Q1307" s="114" t="str">
        <f aca="false">IF($L1307="Atrasado",$E1307*10000+$A1307,"")</f>
        <v/>
      </c>
    </row>
    <row r="1308" customFormat="false" ht="15" hidden="false" customHeight="false" outlineLevel="0" collapsed="false">
      <c r="A1308" s="114" t="n">
        <f aca="false">ROW()-4</f>
        <v>1304</v>
      </c>
      <c r="B1308" s="114" t="str">
        <f aca="false">IF(A1308&lt;=Config!$E$27*Config!$E$28,"Tema","Avulso")</f>
        <v>Tema</v>
      </c>
      <c r="C1308" s="114" t="n">
        <f aca="false">IF(B1308="Tema",INT((A1308-1)/Config!$E$28)+1,A1308-Config!$E$27*Config!$E$28)</f>
        <v>218</v>
      </c>
      <c r="D1308" s="114" t="n">
        <f aca="false">IF(B1308="Tema",MOD(A1308-1,Config!$E$28)+1,"")</f>
        <v>2</v>
      </c>
      <c r="E1308" s="115" t="str">
        <f aca="false">IF($B1308="Tema",IF(ISNUMBER(INDEX(Temas!$E$6:$P$305,$C1308,2*$D1308-1)),INDEX(Temas!$E$6:$P$305,$C1308,2*$D1308-1),""),IF(ISNUMBER(INDEX(Avulsos!$B$6:$B$205,$C1308)),INDEX(Avulsos!$B$6:$B$205,$C1308),""))</f>
        <v/>
      </c>
      <c r="F1308" s="114" t="str">
        <f aca="false">IF($E1308="","",IF($B1308="Tema",INDEX(Temas!$B$6:$B$305,$C1308)&amp;"",INDEX(Avulsos!$C$6:$C$205,$C1308)&amp;""))</f>
        <v/>
      </c>
      <c r="G1308" s="114" t="str">
        <f aca="false">IF($E1308="","",IF($B1308="Tema",INDEX(Config!$C$6:$C$11,$D1308),"Evento avulso"))</f>
        <v/>
      </c>
      <c r="H1308" s="114" t="str">
        <f aca="false">IF($E1308="","",IF($B1308="Tema",INDEX(Config!$D$6:$D$11,$D1308),IFERROR(INDEX(Config!$E$15:$E$19,MATCH($I1308,Config!$C$15:$C$19,0)),"•")))</f>
        <v/>
      </c>
      <c r="I1308" s="114" t="str">
        <f aca="false">IF($E1308="","",IF($B1308="Tema",INDEX(Config!$E$6:$E$11,$D1308),IF(INDEX(Avulsos!$D$6:$D$205,$C1308)&amp;""="","Outro",INDEX(Avulsos!$D$6:$D$205,$C1308))))</f>
        <v/>
      </c>
      <c r="J1308" s="114" t="str">
        <f aca="false">IF($E1308="","",IF($B1308="Tema",INDEX(Temas!$C$6:$C$305,$C1308)&amp;"",INDEX(Avulsos!$E$6:$E$205,$C1308)&amp;""))</f>
        <v/>
      </c>
      <c r="K1308" s="114" t="str">
        <f aca="false">IF($E1308="","",IF(IF($B1308="Tema",INDEX(Temas!$E$6:$P$305,$C1308,2*$D1308),INDEX(Avulsos!$F$6:$F$205,$C1308))&amp;""="","","✓"))</f>
        <v/>
      </c>
      <c r="L1308" s="114" t="str">
        <f aca="true">IF($E1308="","",IF($K1308="✓","Concluído",IF($E1308&lt;TODAY(),"Atrasado",IF($E1308=TODAY(),"Hoje","Pendente"))))</f>
        <v/>
      </c>
      <c r="M1308" s="114" t="str">
        <f aca="false">IF($E1308="","",IF($K1308="✓","✓ ","")&amp;IF(Config!$E$22="Sim",$H1308&amp;" · ","")&amp;$F1308)</f>
        <v/>
      </c>
      <c r="N1308" s="114" t="str">
        <f aca="false">IF($E1308="","",IFERROR(INDEX(Config!$D$15:$D$19,MATCH($I1308,Config!$C$15:$C$19,0)),"OUT")&amp;IF($K1308="✓","x",""))</f>
        <v/>
      </c>
      <c r="O1308" s="114" t="str">
        <f aca="false">IF($E1308="","",COUNTIF($E$5:$E1308,$E1308))</f>
        <v/>
      </c>
      <c r="P1308" s="114" t="str">
        <f aca="false">IF($E1308="","",$E1308*100+$O1308)</f>
        <v/>
      </c>
      <c r="Q1308" s="114" t="str">
        <f aca="false">IF($L1308="Atrasado",$E1308*10000+$A1308,"")</f>
        <v/>
      </c>
    </row>
    <row r="1309" customFormat="false" ht="15" hidden="false" customHeight="false" outlineLevel="0" collapsed="false">
      <c r="A1309" s="114" t="n">
        <f aca="false">ROW()-4</f>
        <v>1305</v>
      </c>
      <c r="B1309" s="114" t="str">
        <f aca="false">IF(A1309&lt;=Config!$E$27*Config!$E$28,"Tema","Avulso")</f>
        <v>Tema</v>
      </c>
      <c r="C1309" s="114" t="n">
        <f aca="false">IF(B1309="Tema",INT((A1309-1)/Config!$E$28)+1,A1309-Config!$E$27*Config!$E$28)</f>
        <v>218</v>
      </c>
      <c r="D1309" s="114" t="n">
        <f aca="false">IF(B1309="Tema",MOD(A1309-1,Config!$E$28)+1,"")</f>
        <v>3</v>
      </c>
      <c r="E1309" s="115" t="str">
        <f aca="false">IF($B1309="Tema",IF(ISNUMBER(INDEX(Temas!$E$6:$P$305,$C1309,2*$D1309-1)),INDEX(Temas!$E$6:$P$305,$C1309,2*$D1309-1),""),IF(ISNUMBER(INDEX(Avulsos!$B$6:$B$205,$C1309)),INDEX(Avulsos!$B$6:$B$205,$C1309),""))</f>
        <v/>
      </c>
      <c r="F1309" s="114" t="str">
        <f aca="false">IF($E1309="","",IF($B1309="Tema",INDEX(Temas!$B$6:$B$305,$C1309)&amp;"",INDEX(Avulsos!$C$6:$C$205,$C1309)&amp;""))</f>
        <v/>
      </c>
      <c r="G1309" s="114" t="str">
        <f aca="false">IF($E1309="","",IF($B1309="Tema",INDEX(Config!$C$6:$C$11,$D1309),"Evento avulso"))</f>
        <v/>
      </c>
      <c r="H1309" s="114" t="str">
        <f aca="false">IF($E1309="","",IF($B1309="Tema",INDEX(Config!$D$6:$D$11,$D1309),IFERROR(INDEX(Config!$E$15:$E$19,MATCH($I1309,Config!$C$15:$C$19,0)),"•")))</f>
        <v/>
      </c>
      <c r="I1309" s="114" t="str">
        <f aca="false">IF($E1309="","",IF($B1309="Tema",INDEX(Config!$E$6:$E$11,$D1309),IF(INDEX(Avulsos!$D$6:$D$205,$C1309)&amp;""="","Outro",INDEX(Avulsos!$D$6:$D$205,$C1309))))</f>
        <v/>
      </c>
      <c r="J1309" s="114" t="str">
        <f aca="false">IF($E1309="","",IF($B1309="Tema",INDEX(Temas!$C$6:$C$305,$C1309)&amp;"",INDEX(Avulsos!$E$6:$E$205,$C1309)&amp;""))</f>
        <v/>
      </c>
      <c r="K1309" s="114" t="str">
        <f aca="false">IF($E1309="","",IF(IF($B1309="Tema",INDEX(Temas!$E$6:$P$305,$C1309,2*$D1309),INDEX(Avulsos!$F$6:$F$205,$C1309))&amp;""="","","✓"))</f>
        <v/>
      </c>
      <c r="L1309" s="114" t="str">
        <f aca="true">IF($E1309="","",IF($K1309="✓","Concluído",IF($E1309&lt;TODAY(),"Atrasado",IF($E1309=TODAY(),"Hoje","Pendente"))))</f>
        <v/>
      </c>
      <c r="M1309" s="114" t="str">
        <f aca="false">IF($E1309="","",IF($K1309="✓","✓ ","")&amp;IF(Config!$E$22="Sim",$H1309&amp;" · ","")&amp;$F1309)</f>
        <v/>
      </c>
      <c r="N1309" s="114" t="str">
        <f aca="false">IF($E1309="","",IFERROR(INDEX(Config!$D$15:$D$19,MATCH($I1309,Config!$C$15:$C$19,0)),"OUT")&amp;IF($K1309="✓","x",""))</f>
        <v/>
      </c>
      <c r="O1309" s="114" t="str">
        <f aca="false">IF($E1309="","",COUNTIF($E$5:$E1309,$E1309))</f>
        <v/>
      </c>
      <c r="P1309" s="114" t="str">
        <f aca="false">IF($E1309="","",$E1309*100+$O1309)</f>
        <v/>
      </c>
      <c r="Q1309" s="114" t="str">
        <f aca="false">IF($L1309="Atrasado",$E1309*10000+$A1309,"")</f>
        <v/>
      </c>
    </row>
    <row r="1310" customFormat="false" ht="15" hidden="false" customHeight="false" outlineLevel="0" collapsed="false">
      <c r="A1310" s="114" t="n">
        <f aca="false">ROW()-4</f>
        <v>1306</v>
      </c>
      <c r="B1310" s="114" t="str">
        <f aca="false">IF(A1310&lt;=Config!$E$27*Config!$E$28,"Tema","Avulso")</f>
        <v>Tema</v>
      </c>
      <c r="C1310" s="114" t="n">
        <f aca="false">IF(B1310="Tema",INT((A1310-1)/Config!$E$28)+1,A1310-Config!$E$27*Config!$E$28)</f>
        <v>218</v>
      </c>
      <c r="D1310" s="114" t="n">
        <f aca="false">IF(B1310="Tema",MOD(A1310-1,Config!$E$28)+1,"")</f>
        <v>4</v>
      </c>
      <c r="E1310" s="115" t="str">
        <f aca="false">IF($B1310="Tema",IF(ISNUMBER(INDEX(Temas!$E$6:$P$305,$C1310,2*$D1310-1)),INDEX(Temas!$E$6:$P$305,$C1310,2*$D1310-1),""),IF(ISNUMBER(INDEX(Avulsos!$B$6:$B$205,$C1310)),INDEX(Avulsos!$B$6:$B$205,$C1310),""))</f>
        <v/>
      </c>
      <c r="F1310" s="114" t="str">
        <f aca="false">IF($E1310="","",IF($B1310="Tema",INDEX(Temas!$B$6:$B$305,$C1310)&amp;"",INDEX(Avulsos!$C$6:$C$205,$C1310)&amp;""))</f>
        <v/>
      </c>
      <c r="G1310" s="114" t="str">
        <f aca="false">IF($E1310="","",IF($B1310="Tema",INDEX(Config!$C$6:$C$11,$D1310),"Evento avulso"))</f>
        <v/>
      </c>
      <c r="H1310" s="114" t="str">
        <f aca="false">IF($E1310="","",IF($B1310="Tema",INDEX(Config!$D$6:$D$11,$D1310),IFERROR(INDEX(Config!$E$15:$E$19,MATCH($I1310,Config!$C$15:$C$19,0)),"•")))</f>
        <v/>
      </c>
      <c r="I1310" s="114" t="str">
        <f aca="false">IF($E1310="","",IF($B1310="Tema",INDEX(Config!$E$6:$E$11,$D1310),IF(INDEX(Avulsos!$D$6:$D$205,$C1310)&amp;""="","Outro",INDEX(Avulsos!$D$6:$D$205,$C1310))))</f>
        <v/>
      </c>
      <c r="J1310" s="114" t="str">
        <f aca="false">IF($E1310="","",IF($B1310="Tema",INDEX(Temas!$C$6:$C$305,$C1310)&amp;"",INDEX(Avulsos!$E$6:$E$205,$C1310)&amp;""))</f>
        <v/>
      </c>
      <c r="K1310" s="114" t="str">
        <f aca="false">IF($E1310="","",IF(IF($B1310="Tema",INDEX(Temas!$E$6:$P$305,$C1310,2*$D1310),INDEX(Avulsos!$F$6:$F$205,$C1310))&amp;""="","","✓"))</f>
        <v/>
      </c>
      <c r="L1310" s="114" t="str">
        <f aca="true">IF($E1310="","",IF($K1310="✓","Concluído",IF($E1310&lt;TODAY(),"Atrasado",IF($E1310=TODAY(),"Hoje","Pendente"))))</f>
        <v/>
      </c>
      <c r="M1310" s="114" t="str">
        <f aca="false">IF($E1310="","",IF($K1310="✓","✓ ","")&amp;IF(Config!$E$22="Sim",$H1310&amp;" · ","")&amp;$F1310)</f>
        <v/>
      </c>
      <c r="N1310" s="114" t="str">
        <f aca="false">IF($E1310="","",IFERROR(INDEX(Config!$D$15:$D$19,MATCH($I1310,Config!$C$15:$C$19,0)),"OUT")&amp;IF($K1310="✓","x",""))</f>
        <v/>
      </c>
      <c r="O1310" s="114" t="str">
        <f aca="false">IF($E1310="","",COUNTIF($E$5:$E1310,$E1310))</f>
        <v/>
      </c>
      <c r="P1310" s="114" t="str">
        <f aca="false">IF($E1310="","",$E1310*100+$O1310)</f>
        <v/>
      </c>
      <c r="Q1310" s="114" t="str">
        <f aca="false">IF($L1310="Atrasado",$E1310*10000+$A1310,"")</f>
        <v/>
      </c>
    </row>
    <row r="1311" customFormat="false" ht="15" hidden="false" customHeight="false" outlineLevel="0" collapsed="false">
      <c r="A1311" s="114" t="n">
        <f aca="false">ROW()-4</f>
        <v>1307</v>
      </c>
      <c r="B1311" s="114" t="str">
        <f aca="false">IF(A1311&lt;=Config!$E$27*Config!$E$28,"Tema","Avulso")</f>
        <v>Tema</v>
      </c>
      <c r="C1311" s="114" t="n">
        <f aca="false">IF(B1311="Tema",INT((A1311-1)/Config!$E$28)+1,A1311-Config!$E$27*Config!$E$28)</f>
        <v>218</v>
      </c>
      <c r="D1311" s="114" t="n">
        <f aca="false">IF(B1311="Tema",MOD(A1311-1,Config!$E$28)+1,"")</f>
        <v>5</v>
      </c>
      <c r="E1311" s="115" t="str">
        <f aca="false">IF($B1311="Tema",IF(ISNUMBER(INDEX(Temas!$E$6:$P$305,$C1311,2*$D1311-1)),INDEX(Temas!$E$6:$P$305,$C1311,2*$D1311-1),""),IF(ISNUMBER(INDEX(Avulsos!$B$6:$B$205,$C1311)),INDEX(Avulsos!$B$6:$B$205,$C1311),""))</f>
        <v/>
      </c>
      <c r="F1311" s="114" t="str">
        <f aca="false">IF($E1311="","",IF($B1311="Tema",INDEX(Temas!$B$6:$B$305,$C1311)&amp;"",INDEX(Avulsos!$C$6:$C$205,$C1311)&amp;""))</f>
        <v/>
      </c>
      <c r="G1311" s="114" t="str">
        <f aca="false">IF($E1311="","",IF($B1311="Tema",INDEX(Config!$C$6:$C$11,$D1311),"Evento avulso"))</f>
        <v/>
      </c>
      <c r="H1311" s="114" t="str">
        <f aca="false">IF($E1311="","",IF($B1311="Tema",INDEX(Config!$D$6:$D$11,$D1311),IFERROR(INDEX(Config!$E$15:$E$19,MATCH($I1311,Config!$C$15:$C$19,0)),"•")))</f>
        <v/>
      </c>
      <c r="I1311" s="114" t="str">
        <f aca="false">IF($E1311="","",IF($B1311="Tema",INDEX(Config!$E$6:$E$11,$D1311),IF(INDEX(Avulsos!$D$6:$D$205,$C1311)&amp;""="","Outro",INDEX(Avulsos!$D$6:$D$205,$C1311))))</f>
        <v/>
      </c>
      <c r="J1311" s="114" t="str">
        <f aca="false">IF($E1311="","",IF($B1311="Tema",INDEX(Temas!$C$6:$C$305,$C1311)&amp;"",INDEX(Avulsos!$E$6:$E$205,$C1311)&amp;""))</f>
        <v/>
      </c>
      <c r="K1311" s="114" t="str">
        <f aca="false">IF($E1311="","",IF(IF($B1311="Tema",INDEX(Temas!$E$6:$P$305,$C1311,2*$D1311),INDEX(Avulsos!$F$6:$F$205,$C1311))&amp;""="","","✓"))</f>
        <v/>
      </c>
      <c r="L1311" s="114" t="str">
        <f aca="true">IF($E1311="","",IF($K1311="✓","Concluído",IF($E1311&lt;TODAY(),"Atrasado",IF($E1311=TODAY(),"Hoje","Pendente"))))</f>
        <v/>
      </c>
      <c r="M1311" s="114" t="str">
        <f aca="false">IF($E1311="","",IF($K1311="✓","✓ ","")&amp;IF(Config!$E$22="Sim",$H1311&amp;" · ","")&amp;$F1311)</f>
        <v/>
      </c>
      <c r="N1311" s="114" t="str">
        <f aca="false">IF($E1311="","",IFERROR(INDEX(Config!$D$15:$D$19,MATCH($I1311,Config!$C$15:$C$19,0)),"OUT")&amp;IF($K1311="✓","x",""))</f>
        <v/>
      </c>
      <c r="O1311" s="114" t="str">
        <f aca="false">IF($E1311="","",COUNTIF($E$5:$E1311,$E1311))</f>
        <v/>
      </c>
      <c r="P1311" s="114" t="str">
        <f aca="false">IF($E1311="","",$E1311*100+$O1311)</f>
        <v/>
      </c>
      <c r="Q1311" s="114" t="str">
        <f aca="false">IF($L1311="Atrasado",$E1311*10000+$A1311,"")</f>
        <v/>
      </c>
    </row>
    <row r="1312" customFormat="false" ht="15" hidden="false" customHeight="false" outlineLevel="0" collapsed="false">
      <c r="A1312" s="114" t="n">
        <f aca="false">ROW()-4</f>
        <v>1308</v>
      </c>
      <c r="B1312" s="114" t="str">
        <f aca="false">IF(A1312&lt;=Config!$E$27*Config!$E$28,"Tema","Avulso")</f>
        <v>Tema</v>
      </c>
      <c r="C1312" s="114" t="n">
        <f aca="false">IF(B1312="Tema",INT((A1312-1)/Config!$E$28)+1,A1312-Config!$E$27*Config!$E$28)</f>
        <v>218</v>
      </c>
      <c r="D1312" s="114" t="n">
        <f aca="false">IF(B1312="Tema",MOD(A1312-1,Config!$E$28)+1,"")</f>
        <v>6</v>
      </c>
      <c r="E1312" s="115" t="str">
        <f aca="false">IF($B1312="Tema",IF(ISNUMBER(INDEX(Temas!$E$6:$P$305,$C1312,2*$D1312-1)),INDEX(Temas!$E$6:$P$305,$C1312,2*$D1312-1),""),IF(ISNUMBER(INDEX(Avulsos!$B$6:$B$205,$C1312)),INDEX(Avulsos!$B$6:$B$205,$C1312),""))</f>
        <v/>
      </c>
      <c r="F1312" s="114" t="str">
        <f aca="false">IF($E1312="","",IF($B1312="Tema",INDEX(Temas!$B$6:$B$305,$C1312)&amp;"",INDEX(Avulsos!$C$6:$C$205,$C1312)&amp;""))</f>
        <v/>
      </c>
      <c r="G1312" s="114" t="str">
        <f aca="false">IF($E1312="","",IF($B1312="Tema",INDEX(Config!$C$6:$C$11,$D1312),"Evento avulso"))</f>
        <v/>
      </c>
      <c r="H1312" s="114" t="str">
        <f aca="false">IF($E1312="","",IF($B1312="Tema",INDEX(Config!$D$6:$D$11,$D1312),IFERROR(INDEX(Config!$E$15:$E$19,MATCH($I1312,Config!$C$15:$C$19,0)),"•")))</f>
        <v/>
      </c>
      <c r="I1312" s="114" t="str">
        <f aca="false">IF($E1312="","",IF($B1312="Tema",INDEX(Config!$E$6:$E$11,$D1312),IF(INDEX(Avulsos!$D$6:$D$205,$C1312)&amp;""="","Outro",INDEX(Avulsos!$D$6:$D$205,$C1312))))</f>
        <v/>
      </c>
      <c r="J1312" s="114" t="str">
        <f aca="false">IF($E1312="","",IF($B1312="Tema",INDEX(Temas!$C$6:$C$305,$C1312)&amp;"",INDEX(Avulsos!$E$6:$E$205,$C1312)&amp;""))</f>
        <v/>
      </c>
      <c r="K1312" s="114" t="str">
        <f aca="false">IF($E1312="","",IF(IF($B1312="Tema",INDEX(Temas!$E$6:$P$305,$C1312,2*$D1312),INDEX(Avulsos!$F$6:$F$205,$C1312))&amp;""="","","✓"))</f>
        <v/>
      </c>
      <c r="L1312" s="114" t="str">
        <f aca="true">IF($E1312="","",IF($K1312="✓","Concluído",IF($E1312&lt;TODAY(),"Atrasado",IF($E1312=TODAY(),"Hoje","Pendente"))))</f>
        <v/>
      </c>
      <c r="M1312" s="114" t="str">
        <f aca="false">IF($E1312="","",IF($K1312="✓","✓ ","")&amp;IF(Config!$E$22="Sim",$H1312&amp;" · ","")&amp;$F1312)</f>
        <v/>
      </c>
      <c r="N1312" s="114" t="str">
        <f aca="false">IF($E1312="","",IFERROR(INDEX(Config!$D$15:$D$19,MATCH($I1312,Config!$C$15:$C$19,0)),"OUT")&amp;IF($K1312="✓","x",""))</f>
        <v/>
      </c>
      <c r="O1312" s="114" t="str">
        <f aca="false">IF($E1312="","",COUNTIF($E$5:$E1312,$E1312))</f>
        <v/>
      </c>
      <c r="P1312" s="114" t="str">
        <f aca="false">IF($E1312="","",$E1312*100+$O1312)</f>
        <v/>
      </c>
      <c r="Q1312" s="114" t="str">
        <f aca="false">IF($L1312="Atrasado",$E1312*10000+$A1312,"")</f>
        <v/>
      </c>
    </row>
    <row r="1313" customFormat="false" ht="15" hidden="false" customHeight="false" outlineLevel="0" collapsed="false">
      <c r="A1313" s="114" t="n">
        <f aca="false">ROW()-4</f>
        <v>1309</v>
      </c>
      <c r="B1313" s="114" t="str">
        <f aca="false">IF(A1313&lt;=Config!$E$27*Config!$E$28,"Tema","Avulso")</f>
        <v>Tema</v>
      </c>
      <c r="C1313" s="114" t="n">
        <f aca="false">IF(B1313="Tema",INT((A1313-1)/Config!$E$28)+1,A1313-Config!$E$27*Config!$E$28)</f>
        <v>219</v>
      </c>
      <c r="D1313" s="114" t="n">
        <f aca="false">IF(B1313="Tema",MOD(A1313-1,Config!$E$28)+1,"")</f>
        <v>1</v>
      </c>
      <c r="E1313" s="115" t="str">
        <f aca="false">IF($B1313="Tema",IF(ISNUMBER(INDEX(Temas!$E$6:$P$305,$C1313,2*$D1313-1)),INDEX(Temas!$E$6:$P$305,$C1313,2*$D1313-1),""),IF(ISNUMBER(INDEX(Avulsos!$B$6:$B$205,$C1313)),INDEX(Avulsos!$B$6:$B$205,$C1313),""))</f>
        <v/>
      </c>
      <c r="F1313" s="114" t="str">
        <f aca="false">IF($E1313="","",IF($B1313="Tema",INDEX(Temas!$B$6:$B$305,$C1313)&amp;"",INDEX(Avulsos!$C$6:$C$205,$C1313)&amp;""))</f>
        <v/>
      </c>
      <c r="G1313" s="114" t="str">
        <f aca="false">IF($E1313="","",IF($B1313="Tema",INDEX(Config!$C$6:$C$11,$D1313),"Evento avulso"))</f>
        <v/>
      </c>
      <c r="H1313" s="114" t="str">
        <f aca="false">IF($E1313="","",IF($B1313="Tema",INDEX(Config!$D$6:$D$11,$D1313),IFERROR(INDEX(Config!$E$15:$E$19,MATCH($I1313,Config!$C$15:$C$19,0)),"•")))</f>
        <v/>
      </c>
      <c r="I1313" s="114" t="str">
        <f aca="false">IF($E1313="","",IF($B1313="Tema",INDEX(Config!$E$6:$E$11,$D1313),IF(INDEX(Avulsos!$D$6:$D$205,$C1313)&amp;""="","Outro",INDEX(Avulsos!$D$6:$D$205,$C1313))))</f>
        <v/>
      </c>
      <c r="J1313" s="114" t="str">
        <f aca="false">IF($E1313="","",IF($B1313="Tema",INDEX(Temas!$C$6:$C$305,$C1313)&amp;"",INDEX(Avulsos!$E$6:$E$205,$C1313)&amp;""))</f>
        <v/>
      </c>
      <c r="K1313" s="114" t="str">
        <f aca="false">IF($E1313="","",IF(IF($B1313="Tema",INDEX(Temas!$E$6:$P$305,$C1313,2*$D1313),INDEX(Avulsos!$F$6:$F$205,$C1313))&amp;""="","","✓"))</f>
        <v/>
      </c>
      <c r="L1313" s="114" t="str">
        <f aca="true">IF($E1313="","",IF($K1313="✓","Concluído",IF($E1313&lt;TODAY(),"Atrasado",IF($E1313=TODAY(),"Hoje","Pendente"))))</f>
        <v/>
      </c>
      <c r="M1313" s="114" t="str">
        <f aca="false">IF($E1313="","",IF($K1313="✓","✓ ","")&amp;IF(Config!$E$22="Sim",$H1313&amp;" · ","")&amp;$F1313)</f>
        <v/>
      </c>
      <c r="N1313" s="114" t="str">
        <f aca="false">IF($E1313="","",IFERROR(INDEX(Config!$D$15:$D$19,MATCH($I1313,Config!$C$15:$C$19,0)),"OUT")&amp;IF($K1313="✓","x",""))</f>
        <v/>
      </c>
      <c r="O1313" s="114" t="str">
        <f aca="false">IF($E1313="","",COUNTIF($E$5:$E1313,$E1313))</f>
        <v/>
      </c>
      <c r="P1313" s="114" t="str">
        <f aca="false">IF($E1313="","",$E1313*100+$O1313)</f>
        <v/>
      </c>
      <c r="Q1313" s="114" t="str">
        <f aca="false">IF($L1313="Atrasado",$E1313*10000+$A1313,"")</f>
        <v/>
      </c>
    </row>
    <row r="1314" customFormat="false" ht="15" hidden="false" customHeight="false" outlineLevel="0" collapsed="false">
      <c r="A1314" s="114" t="n">
        <f aca="false">ROW()-4</f>
        <v>1310</v>
      </c>
      <c r="B1314" s="114" t="str">
        <f aca="false">IF(A1314&lt;=Config!$E$27*Config!$E$28,"Tema","Avulso")</f>
        <v>Tema</v>
      </c>
      <c r="C1314" s="114" t="n">
        <f aca="false">IF(B1314="Tema",INT((A1314-1)/Config!$E$28)+1,A1314-Config!$E$27*Config!$E$28)</f>
        <v>219</v>
      </c>
      <c r="D1314" s="114" t="n">
        <f aca="false">IF(B1314="Tema",MOD(A1314-1,Config!$E$28)+1,"")</f>
        <v>2</v>
      </c>
      <c r="E1314" s="115" t="str">
        <f aca="false">IF($B1314="Tema",IF(ISNUMBER(INDEX(Temas!$E$6:$P$305,$C1314,2*$D1314-1)),INDEX(Temas!$E$6:$P$305,$C1314,2*$D1314-1),""),IF(ISNUMBER(INDEX(Avulsos!$B$6:$B$205,$C1314)),INDEX(Avulsos!$B$6:$B$205,$C1314),""))</f>
        <v/>
      </c>
      <c r="F1314" s="114" t="str">
        <f aca="false">IF($E1314="","",IF($B1314="Tema",INDEX(Temas!$B$6:$B$305,$C1314)&amp;"",INDEX(Avulsos!$C$6:$C$205,$C1314)&amp;""))</f>
        <v/>
      </c>
      <c r="G1314" s="114" t="str">
        <f aca="false">IF($E1314="","",IF($B1314="Tema",INDEX(Config!$C$6:$C$11,$D1314),"Evento avulso"))</f>
        <v/>
      </c>
      <c r="H1314" s="114" t="str">
        <f aca="false">IF($E1314="","",IF($B1314="Tema",INDEX(Config!$D$6:$D$11,$D1314),IFERROR(INDEX(Config!$E$15:$E$19,MATCH($I1314,Config!$C$15:$C$19,0)),"•")))</f>
        <v/>
      </c>
      <c r="I1314" s="114" t="str">
        <f aca="false">IF($E1314="","",IF($B1314="Tema",INDEX(Config!$E$6:$E$11,$D1314),IF(INDEX(Avulsos!$D$6:$D$205,$C1314)&amp;""="","Outro",INDEX(Avulsos!$D$6:$D$205,$C1314))))</f>
        <v/>
      </c>
      <c r="J1314" s="114" t="str">
        <f aca="false">IF($E1314="","",IF($B1314="Tema",INDEX(Temas!$C$6:$C$305,$C1314)&amp;"",INDEX(Avulsos!$E$6:$E$205,$C1314)&amp;""))</f>
        <v/>
      </c>
      <c r="K1314" s="114" t="str">
        <f aca="false">IF($E1314="","",IF(IF($B1314="Tema",INDEX(Temas!$E$6:$P$305,$C1314,2*$D1314),INDEX(Avulsos!$F$6:$F$205,$C1314))&amp;""="","","✓"))</f>
        <v/>
      </c>
      <c r="L1314" s="114" t="str">
        <f aca="true">IF($E1314="","",IF($K1314="✓","Concluído",IF($E1314&lt;TODAY(),"Atrasado",IF($E1314=TODAY(),"Hoje","Pendente"))))</f>
        <v/>
      </c>
      <c r="M1314" s="114" t="str">
        <f aca="false">IF($E1314="","",IF($K1314="✓","✓ ","")&amp;IF(Config!$E$22="Sim",$H1314&amp;" · ","")&amp;$F1314)</f>
        <v/>
      </c>
      <c r="N1314" s="114" t="str">
        <f aca="false">IF($E1314="","",IFERROR(INDEX(Config!$D$15:$D$19,MATCH($I1314,Config!$C$15:$C$19,0)),"OUT")&amp;IF($K1314="✓","x",""))</f>
        <v/>
      </c>
      <c r="O1314" s="114" t="str">
        <f aca="false">IF($E1314="","",COUNTIF($E$5:$E1314,$E1314))</f>
        <v/>
      </c>
      <c r="P1314" s="114" t="str">
        <f aca="false">IF($E1314="","",$E1314*100+$O1314)</f>
        <v/>
      </c>
      <c r="Q1314" s="114" t="str">
        <f aca="false">IF($L1314="Atrasado",$E1314*10000+$A1314,"")</f>
        <v/>
      </c>
    </row>
    <row r="1315" customFormat="false" ht="15" hidden="false" customHeight="false" outlineLevel="0" collapsed="false">
      <c r="A1315" s="114" t="n">
        <f aca="false">ROW()-4</f>
        <v>1311</v>
      </c>
      <c r="B1315" s="114" t="str">
        <f aca="false">IF(A1315&lt;=Config!$E$27*Config!$E$28,"Tema","Avulso")</f>
        <v>Tema</v>
      </c>
      <c r="C1315" s="114" t="n">
        <f aca="false">IF(B1315="Tema",INT((A1315-1)/Config!$E$28)+1,A1315-Config!$E$27*Config!$E$28)</f>
        <v>219</v>
      </c>
      <c r="D1315" s="114" t="n">
        <f aca="false">IF(B1315="Tema",MOD(A1315-1,Config!$E$28)+1,"")</f>
        <v>3</v>
      </c>
      <c r="E1315" s="115" t="str">
        <f aca="false">IF($B1315="Tema",IF(ISNUMBER(INDEX(Temas!$E$6:$P$305,$C1315,2*$D1315-1)),INDEX(Temas!$E$6:$P$305,$C1315,2*$D1315-1),""),IF(ISNUMBER(INDEX(Avulsos!$B$6:$B$205,$C1315)),INDEX(Avulsos!$B$6:$B$205,$C1315),""))</f>
        <v/>
      </c>
      <c r="F1315" s="114" t="str">
        <f aca="false">IF($E1315="","",IF($B1315="Tema",INDEX(Temas!$B$6:$B$305,$C1315)&amp;"",INDEX(Avulsos!$C$6:$C$205,$C1315)&amp;""))</f>
        <v/>
      </c>
      <c r="G1315" s="114" t="str">
        <f aca="false">IF($E1315="","",IF($B1315="Tema",INDEX(Config!$C$6:$C$11,$D1315),"Evento avulso"))</f>
        <v/>
      </c>
      <c r="H1315" s="114" t="str">
        <f aca="false">IF($E1315="","",IF($B1315="Tema",INDEX(Config!$D$6:$D$11,$D1315),IFERROR(INDEX(Config!$E$15:$E$19,MATCH($I1315,Config!$C$15:$C$19,0)),"•")))</f>
        <v/>
      </c>
      <c r="I1315" s="114" t="str">
        <f aca="false">IF($E1315="","",IF($B1315="Tema",INDEX(Config!$E$6:$E$11,$D1315),IF(INDEX(Avulsos!$D$6:$D$205,$C1315)&amp;""="","Outro",INDEX(Avulsos!$D$6:$D$205,$C1315))))</f>
        <v/>
      </c>
      <c r="J1315" s="114" t="str">
        <f aca="false">IF($E1315="","",IF($B1315="Tema",INDEX(Temas!$C$6:$C$305,$C1315)&amp;"",INDEX(Avulsos!$E$6:$E$205,$C1315)&amp;""))</f>
        <v/>
      </c>
      <c r="K1315" s="114" t="str">
        <f aca="false">IF($E1315="","",IF(IF($B1315="Tema",INDEX(Temas!$E$6:$P$305,$C1315,2*$D1315),INDEX(Avulsos!$F$6:$F$205,$C1315))&amp;""="","","✓"))</f>
        <v/>
      </c>
      <c r="L1315" s="114" t="str">
        <f aca="true">IF($E1315="","",IF($K1315="✓","Concluído",IF($E1315&lt;TODAY(),"Atrasado",IF($E1315=TODAY(),"Hoje","Pendente"))))</f>
        <v/>
      </c>
      <c r="M1315" s="114" t="str">
        <f aca="false">IF($E1315="","",IF($K1315="✓","✓ ","")&amp;IF(Config!$E$22="Sim",$H1315&amp;" · ","")&amp;$F1315)</f>
        <v/>
      </c>
      <c r="N1315" s="114" t="str">
        <f aca="false">IF($E1315="","",IFERROR(INDEX(Config!$D$15:$D$19,MATCH($I1315,Config!$C$15:$C$19,0)),"OUT")&amp;IF($K1315="✓","x",""))</f>
        <v/>
      </c>
      <c r="O1315" s="114" t="str">
        <f aca="false">IF($E1315="","",COUNTIF($E$5:$E1315,$E1315))</f>
        <v/>
      </c>
      <c r="P1315" s="114" t="str">
        <f aca="false">IF($E1315="","",$E1315*100+$O1315)</f>
        <v/>
      </c>
      <c r="Q1315" s="114" t="str">
        <f aca="false">IF($L1315="Atrasado",$E1315*10000+$A1315,"")</f>
        <v/>
      </c>
    </row>
    <row r="1316" customFormat="false" ht="15" hidden="false" customHeight="false" outlineLevel="0" collapsed="false">
      <c r="A1316" s="114" t="n">
        <f aca="false">ROW()-4</f>
        <v>1312</v>
      </c>
      <c r="B1316" s="114" t="str">
        <f aca="false">IF(A1316&lt;=Config!$E$27*Config!$E$28,"Tema","Avulso")</f>
        <v>Tema</v>
      </c>
      <c r="C1316" s="114" t="n">
        <f aca="false">IF(B1316="Tema",INT((A1316-1)/Config!$E$28)+1,A1316-Config!$E$27*Config!$E$28)</f>
        <v>219</v>
      </c>
      <c r="D1316" s="114" t="n">
        <f aca="false">IF(B1316="Tema",MOD(A1316-1,Config!$E$28)+1,"")</f>
        <v>4</v>
      </c>
      <c r="E1316" s="115" t="str">
        <f aca="false">IF($B1316="Tema",IF(ISNUMBER(INDEX(Temas!$E$6:$P$305,$C1316,2*$D1316-1)),INDEX(Temas!$E$6:$P$305,$C1316,2*$D1316-1),""),IF(ISNUMBER(INDEX(Avulsos!$B$6:$B$205,$C1316)),INDEX(Avulsos!$B$6:$B$205,$C1316),""))</f>
        <v/>
      </c>
      <c r="F1316" s="114" t="str">
        <f aca="false">IF($E1316="","",IF($B1316="Tema",INDEX(Temas!$B$6:$B$305,$C1316)&amp;"",INDEX(Avulsos!$C$6:$C$205,$C1316)&amp;""))</f>
        <v/>
      </c>
      <c r="G1316" s="114" t="str">
        <f aca="false">IF($E1316="","",IF($B1316="Tema",INDEX(Config!$C$6:$C$11,$D1316),"Evento avulso"))</f>
        <v/>
      </c>
      <c r="H1316" s="114" t="str">
        <f aca="false">IF($E1316="","",IF($B1316="Tema",INDEX(Config!$D$6:$D$11,$D1316),IFERROR(INDEX(Config!$E$15:$E$19,MATCH($I1316,Config!$C$15:$C$19,0)),"•")))</f>
        <v/>
      </c>
      <c r="I1316" s="114" t="str">
        <f aca="false">IF($E1316="","",IF($B1316="Tema",INDEX(Config!$E$6:$E$11,$D1316),IF(INDEX(Avulsos!$D$6:$D$205,$C1316)&amp;""="","Outro",INDEX(Avulsos!$D$6:$D$205,$C1316))))</f>
        <v/>
      </c>
      <c r="J1316" s="114" t="str">
        <f aca="false">IF($E1316="","",IF($B1316="Tema",INDEX(Temas!$C$6:$C$305,$C1316)&amp;"",INDEX(Avulsos!$E$6:$E$205,$C1316)&amp;""))</f>
        <v/>
      </c>
      <c r="K1316" s="114" t="str">
        <f aca="false">IF($E1316="","",IF(IF($B1316="Tema",INDEX(Temas!$E$6:$P$305,$C1316,2*$D1316),INDEX(Avulsos!$F$6:$F$205,$C1316))&amp;""="","","✓"))</f>
        <v/>
      </c>
      <c r="L1316" s="114" t="str">
        <f aca="true">IF($E1316="","",IF($K1316="✓","Concluído",IF($E1316&lt;TODAY(),"Atrasado",IF($E1316=TODAY(),"Hoje","Pendente"))))</f>
        <v/>
      </c>
      <c r="M1316" s="114" t="str">
        <f aca="false">IF($E1316="","",IF($K1316="✓","✓ ","")&amp;IF(Config!$E$22="Sim",$H1316&amp;" · ","")&amp;$F1316)</f>
        <v/>
      </c>
      <c r="N1316" s="114" t="str">
        <f aca="false">IF($E1316="","",IFERROR(INDEX(Config!$D$15:$D$19,MATCH($I1316,Config!$C$15:$C$19,0)),"OUT")&amp;IF($K1316="✓","x",""))</f>
        <v/>
      </c>
      <c r="O1316" s="114" t="str">
        <f aca="false">IF($E1316="","",COUNTIF($E$5:$E1316,$E1316))</f>
        <v/>
      </c>
      <c r="P1316" s="114" t="str">
        <f aca="false">IF($E1316="","",$E1316*100+$O1316)</f>
        <v/>
      </c>
      <c r="Q1316" s="114" t="str">
        <f aca="false">IF($L1316="Atrasado",$E1316*10000+$A1316,"")</f>
        <v/>
      </c>
    </row>
    <row r="1317" customFormat="false" ht="15" hidden="false" customHeight="false" outlineLevel="0" collapsed="false">
      <c r="A1317" s="114" t="n">
        <f aca="false">ROW()-4</f>
        <v>1313</v>
      </c>
      <c r="B1317" s="114" t="str">
        <f aca="false">IF(A1317&lt;=Config!$E$27*Config!$E$28,"Tema","Avulso")</f>
        <v>Tema</v>
      </c>
      <c r="C1317" s="114" t="n">
        <f aca="false">IF(B1317="Tema",INT((A1317-1)/Config!$E$28)+1,A1317-Config!$E$27*Config!$E$28)</f>
        <v>219</v>
      </c>
      <c r="D1317" s="114" t="n">
        <f aca="false">IF(B1317="Tema",MOD(A1317-1,Config!$E$28)+1,"")</f>
        <v>5</v>
      </c>
      <c r="E1317" s="115" t="str">
        <f aca="false">IF($B1317="Tema",IF(ISNUMBER(INDEX(Temas!$E$6:$P$305,$C1317,2*$D1317-1)),INDEX(Temas!$E$6:$P$305,$C1317,2*$D1317-1),""),IF(ISNUMBER(INDEX(Avulsos!$B$6:$B$205,$C1317)),INDEX(Avulsos!$B$6:$B$205,$C1317),""))</f>
        <v/>
      </c>
      <c r="F1317" s="114" t="str">
        <f aca="false">IF($E1317="","",IF($B1317="Tema",INDEX(Temas!$B$6:$B$305,$C1317)&amp;"",INDEX(Avulsos!$C$6:$C$205,$C1317)&amp;""))</f>
        <v/>
      </c>
      <c r="G1317" s="114" t="str">
        <f aca="false">IF($E1317="","",IF($B1317="Tema",INDEX(Config!$C$6:$C$11,$D1317),"Evento avulso"))</f>
        <v/>
      </c>
      <c r="H1317" s="114" t="str">
        <f aca="false">IF($E1317="","",IF($B1317="Tema",INDEX(Config!$D$6:$D$11,$D1317),IFERROR(INDEX(Config!$E$15:$E$19,MATCH($I1317,Config!$C$15:$C$19,0)),"•")))</f>
        <v/>
      </c>
      <c r="I1317" s="114" t="str">
        <f aca="false">IF($E1317="","",IF($B1317="Tema",INDEX(Config!$E$6:$E$11,$D1317),IF(INDEX(Avulsos!$D$6:$D$205,$C1317)&amp;""="","Outro",INDEX(Avulsos!$D$6:$D$205,$C1317))))</f>
        <v/>
      </c>
      <c r="J1317" s="114" t="str">
        <f aca="false">IF($E1317="","",IF($B1317="Tema",INDEX(Temas!$C$6:$C$305,$C1317)&amp;"",INDEX(Avulsos!$E$6:$E$205,$C1317)&amp;""))</f>
        <v/>
      </c>
      <c r="K1317" s="114" t="str">
        <f aca="false">IF($E1317="","",IF(IF($B1317="Tema",INDEX(Temas!$E$6:$P$305,$C1317,2*$D1317),INDEX(Avulsos!$F$6:$F$205,$C1317))&amp;""="","","✓"))</f>
        <v/>
      </c>
      <c r="L1317" s="114" t="str">
        <f aca="true">IF($E1317="","",IF($K1317="✓","Concluído",IF($E1317&lt;TODAY(),"Atrasado",IF($E1317=TODAY(),"Hoje","Pendente"))))</f>
        <v/>
      </c>
      <c r="M1317" s="114" t="str">
        <f aca="false">IF($E1317="","",IF($K1317="✓","✓ ","")&amp;IF(Config!$E$22="Sim",$H1317&amp;" · ","")&amp;$F1317)</f>
        <v/>
      </c>
      <c r="N1317" s="114" t="str">
        <f aca="false">IF($E1317="","",IFERROR(INDEX(Config!$D$15:$D$19,MATCH($I1317,Config!$C$15:$C$19,0)),"OUT")&amp;IF($K1317="✓","x",""))</f>
        <v/>
      </c>
      <c r="O1317" s="114" t="str">
        <f aca="false">IF($E1317="","",COUNTIF($E$5:$E1317,$E1317))</f>
        <v/>
      </c>
      <c r="P1317" s="114" t="str">
        <f aca="false">IF($E1317="","",$E1317*100+$O1317)</f>
        <v/>
      </c>
      <c r="Q1317" s="114" t="str">
        <f aca="false">IF($L1317="Atrasado",$E1317*10000+$A1317,"")</f>
        <v/>
      </c>
    </row>
    <row r="1318" customFormat="false" ht="15" hidden="false" customHeight="false" outlineLevel="0" collapsed="false">
      <c r="A1318" s="114" t="n">
        <f aca="false">ROW()-4</f>
        <v>1314</v>
      </c>
      <c r="B1318" s="114" t="str">
        <f aca="false">IF(A1318&lt;=Config!$E$27*Config!$E$28,"Tema","Avulso")</f>
        <v>Tema</v>
      </c>
      <c r="C1318" s="114" t="n">
        <f aca="false">IF(B1318="Tema",INT((A1318-1)/Config!$E$28)+1,A1318-Config!$E$27*Config!$E$28)</f>
        <v>219</v>
      </c>
      <c r="D1318" s="114" t="n">
        <f aca="false">IF(B1318="Tema",MOD(A1318-1,Config!$E$28)+1,"")</f>
        <v>6</v>
      </c>
      <c r="E1318" s="115" t="str">
        <f aca="false">IF($B1318="Tema",IF(ISNUMBER(INDEX(Temas!$E$6:$P$305,$C1318,2*$D1318-1)),INDEX(Temas!$E$6:$P$305,$C1318,2*$D1318-1),""),IF(ISNUMBER(INDEX(Avulsos!$B$6:$B$205,$C1318)),INDEX(Avulsos!$B$6:$B$205,$C1318),""))</f>
        <v/>
      </c>
      <c r="F1318" s="114" t="str">
        <f aca="false">IF($E1318="","",IF($B1318="Tema",INDEX(Temas!$B$6:$B$305,$C1318)&amp;"",INDEX(Avulsos!$C$6:$C$205,$C1318)&amp;""))</f>
        <v/>
      </c>
      <c r="G1318" s="114" t="str">
        <f aca="false">IF($E1318="","",IF($B1318="Tema",INDEX(Config!$C$6:$C$11,$D1318),"Evento avulso"))</f>
        <v/>
      </c>
      <c r="H1318" s="114" t="str">
        <f aca="false">IF($E1318="","",IF($B1318="Tema",INDEX(Config!$D$6:$D$11,$D1318),IFERROR(INDEX(Config!$E$15:$E$19,MATCH($I1318,Config!$C$15:$C$19,0)),"•")))</f>
        <v/>
      </c>
      <c r="I1318" s="114" t="str">
        <f aca="false">IF($E1318="","",IF($B1318="Tema",INDEX(Config!$E$6:$E$11,$D1318),IF(INDEX(Avulsos!$D$6:$D$205,$C1318)&amp;""="","Outro",INDEX(Avulsos!$D$6:$D$205,$C1318))))</f>
        <v/>
      </c>
      <c r="J1318" s="114" t="str">
        <f aca="false">IF($E1318="","",IF($B1318="Tema",INDEX(Temas!$C$6:$C$305,$C1318)&amp;"",INDEX(Avulsos!$E$6:$E$205,$C1318)&amp;""))</f>
        <v/>
      </c>
      <c r="K1318" s="114" t="str">
        <f aca="false">IF($E1318="","",IF(IF($B1318="Tema",INDEX(Temas!$E$6:$P$305,$C1318,2*$D1318),INDEX(Avulsos!$F$6:$F$205,$C1318))&amp;""="","","✓"))</f>
        <v/>
      </c>
      <c r="L1318" s="114" t="str">
        <f aca="true">IF($E1318="","",IF($K1318="✓","Concluído",IF($E1318&lt;TODAY(),"Atrasado",IF($E1318=TODAY(),"Hoje","Pendente"))))</f>
        <v/>
      </c>
      <c r="M1318" s="114" t="str">
        <f aca="false">IF($E1318="","",IF($K1318="✓","✓ ","")&amp;IF(Config!$E$22="Sim",$H1318&amp;" · ","")&amp;$F1318)</f>
        <v/>
      </c>
      <c r="N1318" s="114" t="str">
        <f aca="false">IF($E1318="","",IFERROR(INDEX(Config!$D$15:$D$19,MATCH($I1318,Config!$C$15:$C$19,0)),"OUT")&amp;IF($K1318="✓","x",""))</f>
        <v/>
      </c>
      <c r="O1318" s="114" t="str">
        <f aca="false">IF($E1318="","",COUNTIF($E$5:$E1318,$E1318))</f>
        <v/>
      </c>
      <c r="P1318" s="114" t="str">
        <f aca="false">IF($E1318="","",$E1318*100+$O1318)</f>
        <v/>
      </c>
      <c r="Q1318" s="114" t="str">
        <f aca="false">IF($L1318="Atrasado",$E1318*10000+$A1318,"")</f>
        <v/>
      </c>
    </row>
    <row r="1319" customFormat="false" ht="15" hidden="false" customHeight="false" outlineLevel="0" collapsed="false">
      <c r="A1319" s="114" t="n">
        <f aca="false">ROW()-4</f>
        <v>1315</v>
      </c>
      <c r="B1319" s="114" t="str">
        <f aca="false">IF(A1319&lt;=Config!$E$27*Config!$E$28,"Tema","Avulso")</f>
        <v>Tema</v>
      </c>
      <c r="C1319" s="114" t="n">
        <f aca="false">IF(B1319="Tema",INT((A1319-1)/Config!$E$28)+1,A1319-Config!$E$27*Config!$E$28)</f>
        <v>220</v>
      </c>
      <c r="D1319" s="114" t="n">
        <f aca="false">IF(B1319="Tema",MOD(A1319-1,Config!$E$28)+1,"")</f>
        <v>1</v>
      </c>
      <c r="E1319" s="115" t="str">
        <f aca="false">IF($B1319="Tema",IF(ISNUMBER(INDEX(Temas!$E$6:$P$305,$C1319,2*$D1319-1)),INDEX(Temas!$E$6:$P$305,$C1319,2*$D1319-1),""),IF(ISNUMBER(INDEX(Avulsos!$B$6:$B$205,$C1319)),INDEX(Avulsos!$B$6:$B$205,$C1319),""))</f>
        <v/>
      </c>
      <c r="F1319" s="114" t="str">
        <f aca="false">IF($E1319="","",IF($B1319="Tema",INDEX(Temas!$B$6:$B$305,$C1319)&amp;"",INDEX(Avulsos!$C$6:$C$205,$C1319)&amp;""))</f>
        <v/>
      </c>
      <c r="G1319" s="114" t="str">
        <f aca="false">IF($E1319="","",IF($B1319="Tema",INDEX(Config!$C$6:$C$11,$D1319),"Evento avulso"))</f>
        <v/>
      </c>
      <c r="H1319" s="114" t="str">
        <f aca="false">IF($E1319="","",IF($B1319="Tema",INDEX(Config!$D$6:$D$11,$D1319),IFERROR(INDEX(Config!$E$15:$E$19,MATCH($I1319,Config!$C$15:$C$19,0)),"•")))</f>
        <v/>
      </c>
      <c r="I1319" s="114" t="str">
        <f aca="false">IF($E1319="","",IF($B1319="Tema",INDEX(Config!$E$6:$E$11,$D1319),IF(INDEX(Avulsos!$D$6:$D$205,$C1319)&amp;""="","Outro",INDEX(Avulsos!$D$6:$D$205,$C1319))))</f>
        <v/>
      </c>
      <c r="J1319" s="114" t="str">
        <f aca="false">IF($E1319="","",IF($B1319="Tema",INDEX(Temas!$C$6:$C$305,$C1319)&amp;"",INDEX(Avulsos!$E$6:$E$205,$C1319)&amp;""))</f>
        <v/>
      </c>
      <c r="K1319" s="114" t="str">
        <f aca="false">IF($E1319="","",IF(IF($B1319="Tema",INDEX(Temas!$E$6:$P$305,$C1319,2*$D1319),INDEX(Avulsos!$F$6:$F$205,$C1319))&amp;""="","","✓"))</f>
        <v/>
      </c>
      <c r="L1319" s="114" t="str">
        <f aca="true">IF($E1319="","",IF($K1319="✓","Concluído",IF($E1319&lt;TODAY(),"Atrasado",IF($E1319=TODAY(),"Hoje","Pendente"))))</f>
        <v/>
      </c>
      <c r="M1319" s="114" t="str">
        <f aca="false">IF($E1319="","",IF($K1319="✓","✓ ","")&amp;IF(Config!$E$22="Sim",$H1319&amp;" · ","")&amp;$F1319)</f>
        <v/>
      </c>
      <c r="N1319" s="114" t="str">
        <f aca="false">IF($E1319="","",IFERROR(INDEX(Config!$D$15:$D$19,MATCH($I1319,Config!$C$15:$C$19,0)),"OUT")&amp;IF($K1319="✓","x",""))</f>
        <v/>
      </c>
      <c r="O1319" s="114" t="str">
        <f aca="false">IF($E1319="","",COUNTIF($E$5:$E1319,$E1319))</f>
        <v/>
      </c>
      <c r="P1319" s="114" t="str">
        <f aca="false">IF($E1319="","",$E1319*100+$O1319)</f>
        <v/>
      </c>
      <c r="Q1319" s="114" t="str">
        <f aca="false">IF($L1319="Atrasado",$E1319*10000+$A1319,"")</f>
        <v/>
      </c>
    </row>
    <row r="1320" customFormat="false" ht="15" hidden="false" customHeight="false" outlineLevel="0" collapsed="false">
      <c r="A1320" s="114" t="n">
        <f aca="false">ROW()-4</f>
        <v>1316</v>
      </c>
      <c r="B1320" s="114" t="str">
        <f aca="false">IF(A1320&lt;=Config!$E$27*Config!$E$28,"Tema","Avulso")</f>
        <v>Tema</v>
      </c>
      <c r="C1320" s="114" t="n">
        <f aca="false">IF(B1320="Tema",INT((A1320-1)/Config!$E$28)+1,A1320-Config!$E$27*Config!$E$28)</f>
        <v>220</v>
      </c>
      <c r="D1320" s="114" t="n">
        <f aca="false">IF(B1320="Tema",MOD(A1320-1,Config!$E$28)+1,"")</f>
        <v>2</v>
      </c>
      <c r="E1320" s="115" t="str">
        <f aca="false">IF($B1320="Tema",IF(ISNUMBER(INDEX(Temas!$E$6:$P$305,$C1320,2*$D1320-1)),INDEX(Temas!$E$6:$P$305,$C1320,2*$D1320-1),""),IF(ISNUMBER(INDEX(Avulsos!$B$6:$B$205,$C1320)),INDEX(Avulsos!$B$6:$B$205,$C1320),""))</f>
        <v/>
      </c>
      <c r="F1320" s="114" t="str">
        <f aca="false">IF($E1320="","",IF($B1320="Tema",INDEX(Temas!$B$6:$B$305,$C1320)&amp;"",INDEX(Avulsos!$C$6:$C$205,$C1320)&amp;""))</f>
        <v/>
      </c>
      <c r="G1320" s="114" t="str">
        <f aca="false">IF($E1320="","",IF($B1320="Tema",INDEX(Config!$C$6:$C$11,$D1320),"Evento avulso"))</f>
        <v/>
      </c>
      <c r="H1320" s="114" t="str">
        <f aca="false">IF($E1320="","",IF($B1320="Tema",INDEX(Config!$D$6:$D$11,$D1320),IFERROR(INDEX(Config!$E$15:$E$19,MATCH($I1320,Config!$C$15:$C$19,0)),"•")))</f>
        <v/>
      </c>
      <c r="I1320" s="114" t="str">
        <f aca="false">IF($E1320="","",IF($B1320="Tema",INDEX(Config!$E$6:$E$11,$D1320),IF(INDEX(Avulsos!$D$6:$D$205,$C1320)&amp;""="","Outro",INDEX(Avulsos!$D$6:$D$205,$C1320))))</f>
        <v/>
      </c>
      <c r="J1320" s="114" t="str">
        <f aca="false">IF($E1320="","",IF($B1320="Tema",INDEX(Temas!$C$6:$C$305,$C1320)&amp;"",INDEX(Avulsos!$E$6:$E$205,$C1320)&amp;""))</f>
        <v/>
      </c>
      <c r="K1320" s="114" t="str">
        <f aca="false">IF($E1320="","",IF(IF($B1320="Tema",INDEX(Temas!$E$6:$P$305,$C1320,2*$D1320),INDEX(Avulsos!$F$6:$F$205,$C1320))&amp;""="","","✓"))</f>
        <v/>
      </c>
      <c r="L1320" s="114" t="str">
        <f aca="true">IF($E1320="","",IF($K1320="✓","Concluído",IF($E1320&lt;TODAY(),"Atrasado",IF($E1320=TODAY(),"Hoje","Pendente"))))</f>
        <v/>
      </c>
      <c r="M1320" s="114" t="str">
        <f aca="false">IF($E1320="","",IF($K1320="✓","✓ ","")&amp;IF(Config!$E$22="Sim",$H1320&amp;" · ","")&amp;$F1320)</f>
        <v/>
      </c>
      <c r="N1320" s="114" t="str">
        <f aca="false">IF($E1320="","",IFERROR(INDEX(Config!$D$15:$D$19,MATCH($I1320,Config!$C$15:$C$19,0)),"OUT")&amp;IF($K1320="✓","x",""))</f>
        <v/>
      </c>
      <c r="O1320" s="114" t="str">
        <f aca="false">IF($E1320="","",COUNTIF($E$5:$E1320,$E1320))</f>
        <v/>
      </c>
      <c r="P1320" s="114" t="str">
        <f aca="false">IF($E1320="","",$E1320*100+$O1320)</f>
        <v/>
      </c>
      <c r="Q1320" s="114" t="str">
        <f aca="false">IF($L1320="Atrasado",$E1320*10000+$A1320,"")</f>
        <v/>
      </c>
    </row>
    <row r="1321" customFormat="false" ht="15" hidden="false" customHeight="false" outlineLevel="0" collapsed="false">
      <c r="A1321" s="114" t="n">
        <f aca="false">ROW()-4</f>
        <v>1317</v>
      </c>
      <c r="B1321" s="114" t="str">
        <f aca="false">IF(A1321&lt;=Config!$E$27*Config!$E$28,"Tema","Avulso")</f>
        <v>Tema</v>
      </c>
      <c r="C1321" s="114" t="n">
        <f aca="false">IF(B1321="Tema",INT((A1321-1)/Config!$E$28)+1,A1321-Config!$E$27*Config!$E$28)</f>
        <v>220</v>
      </c>
      <c r="D1321" s="114" t="n">
        <f aca="false">IF(B1321="Tema",MOD(A1321-1,Config!$E$28)+1,"")</f>
        <v>3</v>
      </c>
      <c r="E1321" s="115" t="str">
        <f aca="false">IF($B1321="Tema",IF(ISNUMBER(INDEX(Temas!$E$6:$P$305,$C1321,2*$D1321-1)),INDEX(Temas!$E$6:$P$305,$C1321,2*$D1321-1),""),IF(ISNUMBER(INDEX(Avulsos!$B$6:$B$205,$C1321)),INDEX(Avulsos!$B$6:$B$205,$C1321),""))</f>
        <v/>
      </c>
      <c r="F1321" s="114" t="str">
        <f aca="false">IF($E1321="","",IF($B1321="Tema",INDEX(Temas!$B$6:$B$305,$C1321)&amp;"",INDEX(Avulsos!$C$6:$C$205,$C1321)&amp;""))</f>
        <v/>
      </c>
      <c r="G1321" s="114" t="str">
        <f aca="false">IF($E1321="","",IF($B1321="Tema",INDEX(Config!$C$6:$C$11,$D1321),"Evento avulso"))</f>
        <v/>
      </c>
      <c r="H1321" s="114" t="str">
        <f aca="false">IF($E1321="","",IF($B1321="Tema",INDEX(Config!$D$6:$D$11,$D1321),IFERROR(INDEX(Config!$E$15:$E$19,MATCH($I1321,Config!$C$15:$C$19,0)),"•")))</f>
        <v/>
      </c>
      <c r="I1321" s="114" t="str">
        <f aca="false">IF($E1321="","",IF($B1321="Tema",INDEX(Config!$E$6:$E$11,$D1321),IF(INDEX(Avulsos!$D$6:$D$205,$C1321)&amp;""="","Outro",INDEX(Avulsos!$D$6:$D$205,$C1321))))</f>
        <v/>
      </c>
      <c r="J1321" s="114" t="str">
        <f aca="false">IF($E1321="","",IF($B1321="Tema",INDEX(Temas!$C$6:$C$305,$C1321)&amp;"",INDEX(Avulsos!$E$6:$E$205,$C1321)&amp;""))</f>
        <v/>
      </c>
      <c r="K1321" s="114" t="str">
        <f aca="false">IF($E1321="","",IF(IF($B1321="Tema",INDEX(Temas!$E$6:$P$305,$C1321,2*$D1321),INDEX(Avulsos!$F$6:$F$205,$C1321))&amp;""="","","✓"))</f>
        <v/>
      </c>
      <c r="L1321" s="114" t="str">
        <f aca="true">IF($E1321="","",IF($K1321="✓","Concluído",IF($E1321&lt;TODAY(),"Atrasado",IF($E1321=TODAY(),"Hoje","Pendente"))))</f>
        <v/>
      </c>
      <c r="M1321" s="114" t="str">
        <f aca="false">IF($E1321="","",IF($K1321="✓","✓ ","")&amp;IF(Config!$E$22="Sim",$H1321&amp;" · ","")&amp;$F1321)</f>
        <v/>
      </c>
      <c r="N1321" s="114" t="str">
        <f aca="false">IF($E1321="","",IFERROR(INDEX(Config!$D$15:$D$19,MATCH($I1321,Config!$C$15:$C$19,0)),"OUT")&amp;IF($K1321="✓","x",""))</f>
        <v/>
      </c>
      <c r="O1321" s="114" t="str">
        <f aca="false">IF($E1321="","",COUNTIF($E$5:$E1321,$E1321))</f>
        <v/>
      </c>
      <c r="P1321" s="114" t="str">
        <f aca="false">IF($E1321="","",$E1321*100+$O1321)</f>
        <v/>
      </c>
      <c r="Q1321" s="114" t="str">
        <f aca="false">IF($L1321="Atrasado",$E1321*10000+$A1321,"")</f>
        <v/>
      </c>
    </row>
    <row r="1322" customFormat="false" ht="15" hidden="false" customHeight="false" outlineLevel="0" collapsed="false">
      <c r="A1322" s="114" t="n">
        <f aca="false">ROW()-4</f>
        <v>1318</v>
      </c>
      <c r="B1322" s="114" t="str">
        <f aca="false">IF(A1322&lt;=Config!$E$27*Config!$E$28,"Tema","Avulso")</f>
        <v>Tema</v>
      </c>
      <c r="C1322" s="114" t="n">
        <f aca="false">IF(B1322="Tema",INT((A1322-1)/Config!$E$28)+1,A1322-Config!$E$27*Config!$E$28)</f>
        <v>220</v>
      </c>
      <c r="D1322" s="114" t="n">
        <f aca="false">IF(B1322="Tema",MOD(A1322-1,Config!$E$28)+1,"")</f>
        <v>4</v>
      </c>
      <c r="E1322" s="115" t="str">
        <f aca="false">IF($B1322="Tema",IF(ISNUMBER(INDEX(Temas!$E$6:$P$305,$C1322,2*$D1322-1)),INDEX(Temas!$E$6:$P$305,$C1322,2*$D1322-1),""),IF(ISNUMBER(INDEX(Avulsos!$B$6:$B$205,$C1322)),INDEX(Avulsos!$B$6:$B$205,$C1322),""))</f>
        <v/>
      </c>
      <c r="F1322" s="114" t="str">
        <f aca="false">IF($E1322="","",IF($B1322="Tema",INDEX(Temas!$B$6:$B$305,$C1322)&amp;"",INDEX(Avulsos!$C$6:$C$205,$C1322)&amp;""))</f>
        <v/>
      </c>
      <c r="G1322" s="114" t="str">
        <f aca="false">IF($E1322="","",IF($B1322="Tema",INDEX(Config!$C$6:$C$11,$D1322),"Evento avulso"))</f>
        <v/>
      </c>
      <c r="H1322" s="114" t="str">
        <f aca="false">IF($E1322="","",IF($B1322="Tema",INDEX(Config!$D$6:$D$11,$D1322),IFERROR(INDEX(Config!$E$15:$E$19,MATCH($I1322,Config!$C$15:$C$19,0)),"•")))</f>
        <v/>
      </c>
      <c r="I1322" s="114" t="str">
        <f aca="false">IF($E1322="","",IF($B1322="Tema",INDEX(Config!$E$6:$E$11,$D1322),IF(INDEX(Avulsos!$D$6:$D$205,$C1322)&amp;""="","Outro",INDEX(Avulsos!$D$6:$D$205,$C1322))))</f>
        <v/>
      </c>
      <c r="J1322" s="114" t="str">
        <f aca="false">IF($E1322="","",IF($B1322="Tema",INDEX(Temas!$C$6:$C$305,$C1322)&amp;"",INDEX(Avulsos!$E$6:$E$205,$C1322)&amp;""))</f>
        <v/>
      </c>
      <c r="K1322" s="114" t="str">
        <f aca="false">IF($E1322="","",IF(IF($B1322="Tema",INDEX(Temas!$E$6:$P$305,$C1322,2*$D1322),INDEX(Avulsos!$F$6:$F$205,$C1322))&amp;""="","","✓"))</f>
        <v/>
      </c>
      <c r="L1322" s="114" t="str">
        <f aca="true">IF($E1322="","",IF($K1322="✓","Concluído",IF($E1322&lt;TODAY(),"Atrasado",IF($E1322=TODAY(),"Hoje","Pendente"))))</f>
        <v/>
      </c>
      <c r="M1322" s="114" t="str">
        <f aca="false">IF($E1322="","",IF($K1322="✓","✓ ","")&amp;IF(Config!$E$22="Sim",$H1322&amp;" · ","")&amp;$F1322)</f>
        <v/>
      </c>
      <c r="N1322" s="114" t="str">
        <f aca="false">IF($E1322="","",IFERROR(INDEX(Config!$D$15:$D$19,MATCH($I1322,Config!$C$15:$C$19,0)),"OUT")&amp;IF($K1322="✓","x",""))</f>
        <v/>
      </c>
      <c r="O1322" s="114" t="str">
        <f aca="false">IF($E1322="","",COUNTIF($E$5:$E1322,$E1322))</f>
        <v/>
      </c>
      <c r="P1322" s="114" t="str">
        <f aca="false">IF($E1322="","",$E1322*100+$O1322)</f>
        <v/>
      </c>
      <c r="Q1322" s="114" t="str">
        <f aca="false">IF($L1322="Atrasado",$E1322*10000+$A1322,"")</f>
        <v/>
      </c>
    </row>
    <row r="1323" customFormat="false" ht="15" hidden="false" customHeight="false" outlineLevel="0" collapsed="false">
      <c r="A1323" s="114" t="n">
        <f aca="false">ROW()-4</f>
        <v>1319</v>
      </c>
      <c r="B1323" s="114" t="str">
        <f aca="false">IF(A1323&lt;=Config!$E$27*Config!$E$28,"Tema","Avulso")</f>
        <v>Tema</v>
      </c>
      <c r="C1323" s="114" t="n">
        <f aca="false">IF(B1323="Tema",INT((A1323-1)/Config!$E$28)+1,A1323-Config!$E$27*Config!$E$28)</f>
        <v>220</v>
      </c>
      <c r="D1323" s="114" t="n">
        <f aca="false">IF(B1323="Tema",MOD(A1323-1,Config!$E$28)+1,"")</f>
        <v>5</v>
      </c>
      <c r="E1323" s="115" t="str">
        <f aca="false">IF($B1323="Tema",IF(ISNUMBER(INDEX(Temas!$E$6:$P$305,$C1323,2*$D1323-1)),INDEX(Temas!$E$6:$P$305,$C1323,2*$D1323-1),""),IF(ISNUMBER(INDEX(Avulsos!$B$6:$B$205,$C1323)),INDEX(Avulsos!$B$6:$B$205,$C1323),""))</f>
        <v/>
      </c>
      <c r="F1323" s="114" t="str">
        <f aca="false">IF($E1323="","",IF($B1323="Tema",INDEX(Temas!$B$6:$B$305,$C1323)&amp;"",INDEX(Avulsos!$C$6:$C$205,$C1323)&amp;""))</f>
        <v/>
      </c>
      <c r="G1323" s="114" t="str">
        <f aca="false">IF($E1323="","",IF($B1323="Tema",INDEX(Config!$C$6:$C$11,$D1323),"Evento avulso"))</f>
        <v/>
      </c>
      <c r="H1323" s="114" t="str">
        <f aca="false">IF($E1323="","",IF($B1323="Tema",INDEX(Config!$D$6:$D$11,$D1323),IFERROR(INDEX(Config!$E$15:$E$19,MATCH($I1323,Config!$C$15:$C$19,0)),"•")))</f>
        <v/>
      </c>
      <c r="I1323" s="114" t="str">
        <f aca="false">IF($E1323="","",IF($B1323="Tema",INDEX(Config!$E$6:$E$11,$D1323),IF(INDEX(Avulsos!$D$6:$D$205,$C1323)&amp;""="","Outro",INDEX(Avulsos!$D$6:$D$205,$C1323))))</f>
        <v/>
      </c>
      <c r="J1323" s="114" t="str">
        <f aca="false">IF($E1323="","",IF($B1323="Tema",INDEX(Temas!$C$6:$C$305,$C1323)&amp;"",INDEX(Avulsos!$E$6:$E$205,$C1323)&amp;""))</f>
        <v/>
      </c>
      <c r="K1323" s="114" t="str">
        <f aca="false">IF($E1323="","",IF(IF($B1323="Tema",INDEX(Temas!$E$6:$P$305,$C1323,2*$D1323),INDEX(Avulsos!$F$6:$F$205,$C1323))&amp;""="","","✓"))</f>
        <v/>
      </c>
      <c r="L1323" s="114" t="str">
        <f aca="true">IF($E1323="","",IF($K1323="✓","Concluído",IF($E1323&lt;TODAY(),"Atrasado",IF($E1323=TODAY(),"Hoje","Pendente"))))</f>
        <v/>
      </c>
      <c r="M1323" s="114" t="str">
        <f aca="false">IF($E1323="","",IF($K1323="✓","✓ ","")&amp;IF(Config!$E$22="Sim",$H1323&amp;" · ","")&amp;$F1323)</f>
        <v/>
      </c>
      <c r="N1323" s="114" t="str">
        <f aca="false">IF($E1323="","",IFERROR(INDEX(Config!$D$15:$D$19,MATCH($I1323,Config!$C$15:$C$19,0)),"OUT")&amp;IF($K1323="✓","x",""))</f>
        <v/>
      </c>
      <c r="O1323" s="114" t="str">
        <f aca="false">IF($E1323="","",COUNTIF($E$5:$E1323,$E1323))</f>
        <v/>
      </c>
      <c r="P1323" s="114" t="str">
        <f aca="false">IF($E1323="","",$E1323*100+$O1323)</f>
        <v/>
      </c>
      <c r="Q1323" s="114" t="str">
        <f aca="false">IF($L1323="Atrasado",$E1323*10000+$A1323,"")</f>
        <v/>
      </c>
    </row>
    <row r="1324" customFormat="false" ht="15" hidden="false" customHeight="false" outlineLevel="0" collapsed="false">
      <c r="A1324" s="114" t="n">
        <f aca="false">ROW()-4</f>
        <v>1320</v>
      </c>
      <c r="B1324" s="114" t="str">
        <f aca="false">IF(A1324&lt;=Config!$E$27*Config!$E$28,"Tema","Avulso")</f>
        <v>Tema</v>
      </c>
      <c r="C1324" s="114" t="n">
        <f aca="false">IF(B1324="Tema",INT((A1324-1)/Config!$E$28)+1,A1324-Config!$E$27*Config!$E$28)</f>
        <v>220</v>
      </c>
      <c r="D1324" s="114" t="n">
        <f aca="false">IF(B1324="Tema",MOD(A1324-1,Config!$E$28)+1,"")</f>
        <v>6</v>
      </c>
      <c r="E1324" s="115" t="str">
        <f aca="false">IF($B1324="Tema",IF(ISNUMBER(INDEX(Temas!$E$6:$P$305,$C1324,2*$D1324-1)),INDEX(Temas!$E$6:$P$305,$C1324,2*$D1324-1),""),IF(ISNUMBER(INDEX(Avulsos!$B$6:$B$205,$C1324)),INDEX(Avulsos!$B$6:$B$205,$C1324),""))</f>
        <v/>
      </c>
      <c r="F1324" s="114" t="str">
        <f aca="false">IF($E1324="","",IF($B1324="Tema",INDEX(Temas!$B$6:$B$305,$C1324)&amp;"",INDEX(Avulsos!$C$6:$C$205,$C1324)&amp;""))</f>
        <v/>
      </c>
      <c r="G1324" s="114" t="str">
        <f aca="false">IF($E1324="","",IF($B1324="Tema",INDEX(Config!$C$6:$C$11,$D1324),"Evento avulso"))</f>
        <v/>
      </c>
      <c r="H1324" s="114" t="str">
        <f aca="false">IF($E1324="","",IF($B1324="Tema",INDEX(Config!$D$6:$D$11,$D1324),IFERROR(INDEX(Config!$E$15:$E$19,MATCH($I1324,Config!$C$15:$C$19,0)),"•")))</f>
        <v/>
      </c>
      <c r="I1324" s="114" t="str">
        <f aca="false">IF($E1324="","",IF($B1324="Tema",INDEX(Config!$E$6:$E$11,$D1324),IF(INDEX(Avulsos!$D$6:$D$205,$C1324)&amp;""="","Outro",INDEX(Avulsos!$D$6:$D$205,$C1324))))</f>
        <v/>
      </c>
      <c r="J1324" s="114" t="str">
        <f aca="false">IF($E1324="","",IF($B1324="Tema",INDEX(Temas!$C$6:$C$305,$C1324)&amp;"",INDEX(Avulsos!$E$6:$E$205,$C1324)&amp;""))</f>
        <v/>
      </c>
      <c r="K1324" s="114" t="str">
        <f aca="false">IF($E1324="","",IF(IF($B1324="Tema",INDEX(Temas!$E$6:$P$305,$C1324,2*$D1324),INDEX(Avulsos!$F$6:$F$205,$C1324))&amp;""="","","✓"))</f>
        <v/>
      </c>
      <c r="L1324" s="114" t="str">
        <f aca="true">IF($E1324="","",IF($K1324="✓","Concluído",IF($E1324&lt;TODAY(),"Atrasado",IF($E1324=TODAY(),"Hoje","Pendente"))))</f>
        <v/>
      </c>
      <c r="M1324" s="114" t="str">
        <f aca="false">IF($E1324="","",IF($K1324="✓","✓ ","")&amp;IF(Config!$E$22="Sim",$H1324&amp;" · ","")&amp;$F1324)</f>
        <v/>
      </c>
      <c r="N1324" s="114" t="str">
        <f aca="false">IF($E1324="","",IFERROR(INDEX(Config!$D$15:$D$19,MATCH($I1324,Config!$C$15:$C$19,0)),"OUT")&amp;IF($K1324="✓","x",""))</f>
        <v/>
      </c>
      <c r="O1324" s="114" t="str">
        <f aca="false">IF($E1324="","",COUNTIF($E$5:$E1324,$E1324))</f>
        <v/>
      </c>
      <c r="P1324" s="114" t="str">
        <f aca="false">IF($E1324="","",$E1324*100+$O1324)</f>
        <v/>
      </c>
      <c r="Q1324" s="114" t="str">
        <f aca="false">IF($L1324="Atrasado",$E1324*10000+$A1324,"")</f>
        <v/>
      </c>
    </row>
    <row r="1325" customFormat="false" ht="15" hidden="false" customHeight="false" outlineLevel="0" collapsed="false">
      <c r="A1325" s="114" t="n">
        <f aca="false">ROW()-4</f>
        <v>1321</v>
      </c>
      <c r="B1325" s="114" t="str">
        <f aca="false">IF(A1325&lt;=Config!$E$27*Config!$E$28,"Tema","Avulso")</f>
        <v>Tema</v>
      </c>
      <c r="C1325" s="114" t="n">
        <f aca="false">IF(B1325="Tema",INT((A1325-1)/Config!$E$28)+1,A1325-Config!$E$27*Config!$E$28)</f>
        <v>221</v>
      </c>
      <c r="D1325" s="114" t="n">
        <f aca="false">IF(B1325="Tema",MOD(A1325-1,Config!$E$28)+1,"")</f>
        <v>1</v>
      </c>
      <c r="E1325" s="115" t="str">
        <f aca="false">IF($B1325="Tema",IF(ISNUMBER(INDEX(Temas!$E$6:$P$305,$C1325,2*$D1325-1)),INDEX(Temas!$E$6:$P$305,$C1325,2*$D1325-1),""),IF(ISNUMBER(INDEX(Avulsos!$B$6:$B$205,$C1325)),INDEX(Avulsos!$B$6:$B$205,$C1325),""))</f>
        <v/>
      </c>
      <c r="F1325" s="114" t="str">
        <f aca="false">IF($E1325="","",IF($B1325="Tema",INDEX(Temas!$B$6:$B$305,$C1325)&amp;"",INDEX(Avulsos!$C$6:$C$205,$C1325)&amp;""))</f>
        <v/>
      </c>
      <c r="G1325" s="114" t="str">
        <f aca="false">IF($E1325="","",IF($B1325="Tema",INDEX(Config!$C$6:$C$11,$D1325),"Evento avulso"))</f>
        <v/>
      </c>
      <c r="H1325" s="114" t="str">
        <f aca="false">IF($E1325="","",IF($B1325="Tema",INDEX(Config!$D$6:$D$11,$D1325),IFERROR(INDEX(Config!$E$15:$E$19,MATCH($I1325,Config!$C$15:$C$19,0)),"•")))</f>
        <v/>
      </c>
      <c r="I1325" s="114" t="str">
        <f aca="false">IF($E1325="","",IF($B1325="Tema",INDEX(Config!$E$6:$E$11,$D1325),IF(INDEX(Avulsos!$D$6:$D$205,$C1325)&amp;""="","Outro",INDEX(Avulsos!$D$6:$D$205,$C1325))))</f>
        <v/>
      </c>
      <c r="J1325" s="114" t="str">
        <f aca="false">IF($E1325="","",IF($B1325="Tema",INDEX(Temas!$C$6:$C$305,$C1325)&amp;"",INDEX(Avulsos!$E$6:$E$205,$C1325)&amp;""))</f>
        <v/>
      </c>
      <c r="K1325" s="114" t="str">
        <f aca="false">IF($E1325="","",IF(IF($B1325="Tema",INDEX(Temas!$E$6:$P$305,$C1325,2*$D1325),INDEX(Avulsos!$F$6:$F$205,$C1325))&amp;""="","","✓"))</f>
        <v/>
      </c>
      <c r="L1325" s="114" t="str">
        <f aca="true">IF($E1325="","",IF($K1325="✓","Concluído",IF($E1325&lt;TODAY(),"Atrasado",IF($E1325=TODAY(),"Hoje","Pendente"))))</f>
        <v/>
      </c>
      <c r="M1325" s="114" t="str">
        <f aca="false">IF($E1325="","",IF($K1325="✓","✓ ","")&amp;IF(Config!$E$22="Sim",$H1325&amp;" · ","")&amp;$F1325)</f>
        <v/>
      </c>
      <c r="N1325" s="114" t="str">
        <f aca="false">IF($E1325="","",IFERROR(INDEX(Config!$D$15:$D$19,MATCH($I1325,Config!$C$15:$C$19,0)),"OUT")&amp;IF($K1325="✓","x",""))</f>
        <v/>
      </c>
      <c r="O1325" s="114" t="str">
        <f aca="false">IF($E1325="","",COUNTIF($E$5:$E1325,$E1325))</f>
        <v/>
      </c>
      <c r="P1325" s="114" t="str">
        <f aca="false">IF($E1325="","",$E1325*100+$O1325)</f>
        <v/>
      </c>
      <c r="Q1325" s="114" t="str">
        <f aca="false">IF($L1325="Atrasado",$E1325*10000+$A1325,"")</f>
        <v/>
      </c>
    </row>
    <row r="1326" customFormat="false" ht="15" hidden="false" customHeight="false" outlineLevel="0" collapsed="false">
      <c r="A1326" s="114" t="n">
        <f aca="false">ROW()-4</f>
        <v>1322</v>
      </c>
      <c r="B1326" s="114" t="str">
        <f aca="false">IF(A1326&lt;=Config!$E$27*Config!$E$28,"Tema","Avulso")</f>
        <v>Tema</v>
      </c>
      <c r="C1326" s="114" t="n">
        <f aca="false">IF(B1326="Tema",INT((A1326-1)/Config!$E$28)+1,A1326-Config!$E$27*Config!$E$28)</f>
        <v>221</v>
      </c>
      <c r="D1326" s="114" t="n">
        <f aca="false">IF(B1326="Tema",MOD(A1326-1,Config!$E$28)+1,"")</f>
        <v>2</v>
      </c>
      <c r="E1326" s="115" t="str">
        <f aca="false">IF($B1326="Tema",IF(ISNUMBER(INDEX(Temas!$E$6:$P$305,$C1326,2*$D1326-1)),INDEX(Temas!$E$6:$P$305,$C1326,2*$D1326-1),""),IF(ISNUMBER(INDEX(Avulsos!$B$6:$B$205,$C1326)),INDEX(Avulsos!$B$6:$B$205,$C1326),""))</f>
        <v/>
      </c>
      <c r="F1326" s="114" t="str">
        <f aca="false">IF($E1326="","",IF($B1326="Tema",INDEX(Temas!$B$6:$B$305,$C1326)&amp;"",INDEX(Avulsos!$C$6:$C$205,$C1326)&amp;""))</f>
        <v/>
      </c>
      <c r="G1326" s="114" t="str">
        <f aca="false">IF($E1326="","",IF($B1326="Tema",INDEX(Config!$C$6:$C$11,$D1326),"Evento avulso"))</f>
        <v/>
      </c>
      <c r="H1326" s="114" t="str">
        <f aca="false">IF($E1326="","",IF($B1326="Tema",INDEX(Config!$D$6:$D$11,$D1326),IFERROR(INDEX(Config!$E$15:$E$19,MATCH($I1326,Config!$C$15:$C$19,0)),"•")))</f>
        <v/>
      </c>
      <c r="I1326" s="114" t="str">
        <f aca="false">IF($E1326="","",IF($B1326="Tema",INDEX(Config!$E$6:$E$11,$D1326),IF(INDEX(Avulsos!$D$6:$D$205,$C1326)&amp;""="","Outro",INDEX(Avulsos!$D$6:$D$205,$C1326))))</f>
        <v/>
      </c>
      <c r="J1326" s="114" t="str">
        <f aca="false">IF($E1326="","",IF($B1326="Tema",INDEX(Temas!$C$6:$C$305,$C1326)&amp;"",INDEX(Avulsos!$E$6:$E$205,$C1326)&amp;""))</f>
        <v/>
      </c>
      <c r="K1326" s="114" t="str">
        <f aca="false">IF($E1326="","",IF(IF($B1326="Tema",INDEX(Temas!$E$6:$P$305,$C1326,2*$D1326),INDEX(Avulsos!$F$6:$F$205,$C1326))&amp;""="","","✓"))</f>
        <v/>
      </c>
      <c r="L1326" s="114" t="str">
        <f aca="true">IF($E1326="","",IF($K1326="✓","Concluído",IF($E1326&lt;TODAY(),"Atrasado",IF($E1326=TODAY(),"Hoje","Pendente"))))</f>
        <v/>
      </c>
      <c r="M1326" s="114" t="str">
        <f aca="false">IF($E1326="","",IF($K1326="✓","✓ ","")&amp;IF(Config!$E$22="Sim",$H1326&amp;" · ","")&amp;$F1326)</f>
        <v/>
      </c>
      <c r="N1326" s="114" t="str">
        <f aca="false">IF($E1326="","",IFERROR(INDEX(Config!$D$15:$D$19,MATCH($I1326,Config!$C$15:$C$19,0)),"OUT")&amp;IF($K1326="✓","x",""))</f>
        <v/>
      </c>
      <c r="O1326" s="114" t="str">
        <f aca="false">IF($E1326="","",COUNTIF($E$5:$E1326,$E1326))</f>
        <v/>
      </c>
      <c r="P1326" s="114" t="str">
        <f aca="false">IF($E1326="","",$E1326*100+$O1326)</f>
        <v/>
      </c>
      <c r="Q1326" s="114" t="str">
        <f aca="false">IF($L1326="Atrasado",$E1326*10000+$A1326,"")</f>
        <v/>
      </c>
    </row>
    <row r="1327" customFormat="false" ht="15" hidden="false" customHeight="false" outlineLevel="0" collapsed="false">
      <c r="A1327" s="114" t="n">
        <f aca="false">ROW()-4</f>
        <v>1323</v>
      </c>
      <c r="B1327" s="114" t="str">
        <f aca="false">IF(A1327&lt;=Config!$E$27*Config!$E$28,"Tema","Avulso")</f>
        <v>Tema</v>
      </c>
      <c r="C1327" s="114" t="n">
        <f aca="false">IF(B1327="Tema",INT((A1327-1)/Config!$E$28)+1,A1327-Config!$E$27*Config!$E$28)</f>
        <v>221</v>
      </c>
      <c r="D1327" s="114" t="n">
        <f aca="false">IF(B1327="Tema",MOD(A1327-1,Config!$E$28)+1,"")</f>
        <v>3</v>
      </c>
      <c r="E1327" s="115" t="str">
        <f aca="false">IF($B1327="Tema",IF(ISNUMBER(INDEX(Temas!$E$6:$P$305,$C1327,2*$D1327-1)),INDEX(Temas!$E$6:$P$305,$C1327,2*$D1327-1),""),IF(ISNUMBER(INDEX(Avulsos!$B$6:$B$205,$C1327)),INDEX(Avulsos!$B$6:$B$205,$C1327),""))</f>
        <v/>
      </c>
      <c r="F1327" s="114" t="str">
        <f aca="false">IF($E1327="","",IF($B1327="Tema",INDEX(Temas!$B$6:$B$305,$C1327)&amp;"",INDEX(Avulsos!$C$6:$C$205,$C1327)&amp;""))</f>
        <v/>
      </c>
      <c r="G1327" s="114" t="str">
        <f aca="false">IF($E1327="","",IF($B1327="Tema",INDEX(Config!$C$6:$C$11,$D1327),"Evento avulso"))</f>
        <v/>
      </c>
      <c r="H1327" s="114" t="str">
        <f aca="false">IF($E1327="","",IF($B1327="Tema",INDEX(Config!$D$6:$D$11,$D1327),IFERROR(INDEX(Config!$E$15:$E$19,MATCH($I1327,Config!$C$15:$C$19,0)),"•")))</f>
        <v/>
      </c>
      <c r="I1327" s="114" t="str">
        <f aca="false">IF($E1327="","",IF($B1327="Tema",INDEX(Config!$E$6:$E$11,$D1327),IF(INDEX(Avulsos!$D$6:$D$205,$C1327)&amp;""="","Outro",INDEX(Avulsos!$D$6:$D$205,$C1327))))</f>
        <v/>
      </c>
      <c r="J1327" s="114" t="str">
        <f aca="false">IF($E1327="","",IF($B1327="Tema",INDEX(Temas!$C$6:$C$305,$C1327)&amp;"",INDEX(Avulsos!$E$6:$E$205,$C1327)&amp;""))</f>
        <v/>
      </c>
      <c r="K1327" s="114" t="str">
        <f aca="false">IF($E1327="","",IF(IF($B1327="Tema",INDEX(Temas!$E$6:$P$305,$C1327,2*$D1327),INDEX(Avulsos!$F$6:$F$205,$C1327))&amp;""="","","✓"))</f>
        <v/>
      </c>
      <c r="L1327" s="114" t="str">
        <f aca="true">IF($E1327="","",IF($K1327="✓","Concluído",IF($E1327&lt;TODAY(),"Atrasado",IF($E1327=TODAY(),"Hoje","Pendente"))))</f>
        <v/>
      </c>
      <c r="M1327" s="114" t="str">
        <f aca="false">IF($E1327="","",IF($K1327="✓","✓ ","")&amp;IF(Config!$E$22="Sim",$H1327&amp;" · ","")&amp;$F1327)</f>
        <v/>
      </c>
      <c r="N1327" s="114" t="str">
        <f aca="false">IF($E1327="","",IFERROR(INDEX(Config!$D$15:$D$19,MATCH($I1327,Config!$C$15:$C$19,0)),"OUT")&amp;IF($K1327="✓","x",""))</f>
        <v/>
      </c>
      <c r="O1327" s="114" t="str">
        <f aca="false">IF($E1327="","",COUNTIF($E$5:$E1327,$E1327))</f>
        <v/>
      </c>
      <c r="P1327" s="114" t="str">
        <f aca="false">IF($E1327="","",$E1327*100+$O1327)</f>
        <v/>
      </c>
      <c r="Q1327" s="114" t="str">
        <f aca="false">IF($L1327="Atrasado",$E1327*10000+$A1327,"")</f>
        <v/>
      </c>
    </row>
    <row r="1328" customFormat="false" ht="15" hidden="false" customHeight="false" outlineLevel="0" collapsed="false">
      <c r="A1328" s="114" t="n">
        <f aca="false">ROW()-4</f>
        <v>1324</v>
      </c>
      <c r="B1328" s="114" t="str">
        <f aca="false">IF(A1328&lt;=Config!$E$27*Config!$E$28,"Tema","Avulso")</f>
        <v>Tema</v>
      </c>
      <c r="C1328" s="114" t="n">
        <f aca="false">IF(B1328="Tema",INT((A1328-1)/Config!$E$28)+1,A1328-Config!$E$27*Config!$E$28)</f>
        <v>221</v>
      </c>
      <c r="D1328" s="114" t="n">
        <f aca="false">IF(B1328="Tema",MOD(A1328-1,Config!$E$28)+1,"")</f>
        <v>4</v>
      </c>
      <c r="E1328" s="115" t="str">
        <f aca="false">IF($B1328="Tema",IF(ISNUMBER(INDEX(Temas!$E$6:$P$305,$C1328,2*$D1328-1)),INDEX(Temas!$E$6:$P$305,$C1328,2*$D1328-1),""),IF(ISNUMBER(INDEX(Avulsos!$B$6:$B$205,$C1328)),INDEX(Avulsos!$B$6:$B$205,$C1328),""))</f>
        <v/>
      </c>
      <c r="F1328" s="114" t="str">
        <f aca="false">IF($E1328="","",IF($B1328="Tema",INDEX(Temas!$B$6:$B$305,$C1328)&amp;"",INDEX(Avulsos!$C$6:$C$205,$C1328)&amp;""))</f>
        <v/>
      </c>
      <c r="G1328" s="114" t="str">
        <f aca="false">IF($E1328="","",IF($B1328="Tema",INDEX(Config!$C$6:$C$11,$D1328),"Evento avulso"))</f>
        <v/>
      </c>
      <c r="H1328" s="114" t="str">
        <f aca="false">IF($E1328="","",IF($B1328="Tema",INDEX(Config!$D$6:$D$11,$D1328),IFERROR(INDEX(Config!$E$15:$E$19,MATCH($I1328,Config!$C$15:$C$19,0)),"•")))</f>
        <v/>
      </c>
      <c r="I1328" s="114" t="str">
        <f aca="false">IF($E1328="","",IF($B1328="Tema",INDEX(Config!$E$6:$E$11,$D1328),IF(INDEX(Avulsos!$D$6:$D$205,$C1328)&amp;""="","Outro",INDEX(Avulsos!$D$6:$D$205,$C1328))))</f>
        <v/>
      </c>
      <c r="J1328" s="114" t="str">
        <f aca="false">IF($E1328="","",IF($B1328="Tema",INDEX(Temas!$C$6:$C$305,$C1328)&amp;"",INDEX(Avulsos!$E$6:$E$205,$C1328)&amp;""))</f>
        <v/>
      </c>
      <c r="K1328" s="114" t="str">
        <f aca="false">IF($E1328="","",IF(IF($B1328="Tema",INDEX(Temas!$E$6:$P$305,$C1328,2*$D1328),INDEX(Avulsos!$F$6:$F$205,$C1328))&amp;""="","","✓"))</f>
        <v/>
      </c>
      <c r="L1328" s="114" t="str">
        <f aca="true">IF($E1328="","",IF($K1328="✓","Concluído",IF($E1328&lt;TODAY(),"Atrasado",IF($E1328=TODAY(),"Hoje","Pendente"))))</f>
        <v/>
      </c>
      <c r="M1328" s="114" t="str">
        <f aca="false">IF($E1328="","",IF($K1328="✓","✓ ","")&amp;IF(Config!$E$22="Sim",$H1328&amp;" · ","")&amp;$F1328)</f>
        <v/>
      </c>
      <c r="N1328" s="114" t="str">
        <f aca="false">IF($E1328="","",IFERROR(INDEX(Config!$D$15:$D$19,MATCH($I1328,Config!$C$15:$C$19,0)),"OUT")&amp;IF($K1328="✓","x",""))</f>
        <v/>
      </c>
      <c r="O1328" s="114" t="str">
        <f aca="false">IF($E1328="","",COUNTIF($E$5:$E1328,$E1328))</f>
        <v/>
      </c>
      <c r="P1328" s="114" t="str">
        <f aca="false">IF($E1328="","",$E1328*100+$O1328)</f>
        <v/>
      </c>
      <c r="Q1328" s="114" t="str">
        <f aca="false">IF($L1328="Atrasado",$E1328*10000+$A1328,"")</f>
        <v/>
      </c>
    </row>
    <row r="1329" customFormat="false" ht="15" hidden="false" customHeight="false" outlineLevel="0" collapsed="false">
      <c r="A1329" s="114" t="n">
        <f aca="false">ROW()-4</f>
        <v>1325</v>
      </c>
      <c r="B1329" s="114" t="str">
        <f aca="false">IF(A1329&lt;=Config!$E$27*Config!$E$28,"Tema","Avulso")</f>
        <v>Tema</v>
      </c>
      <c r="C1329" s="114" t="n">
        <f aca="false">IF(B1329="Tema",INT((A1329-1)/Config!$E$28)+1,A1329-Config!$E$27*Config!$E$28)</f>
        <v>221</v>
      </c>
      <c r="D1329" s="114" t="n">
        <f aca="false">IF(B1329="Tema",MOD(A1329-1,Config!$E$28)+1,"")</f>
        <v>5</v>
      </c>
      <c r="E1329" s="115" t="str">
        <f aca="false">IF($B1329="Tema",IF(ISNUMBER(INDEX(Temas!$E$6:$P$305,$C1329,2*$D1329-1)),INDEX(Temas!$E$6:$P$305,$C1329,2*$D1329-1),""),IF(ISNUMBER(INDEX(Avulsos!$B$6:$B$205,$C1329)),INDEX(Avulsos!$B$6:$B$205,$C1329),""))</f>
        <v/>
      </c>
      <c r="F1329" s="114" t="str">
        <f aca="false">IF($E1329="","",IF($B1329="Tema",INDEX(Temas!$B$6:$B$305,$C1329)&amp;"",INDEX(Avulsos!$C$6:$C$205,$C1329)&amp;""))</f>
        <v/>
      </c>
      <c r="G1329" s="114" t="str">
        <f aca="false">IF($E1329="","",IF($B1329="Tema",INDEX(Config!$C$6:$C$11,$D1329),"Evento avulso"))</f>
        <v/>
      </c>
      <c r="H1329" s="114" t="str">
        <f aca="false">IF($E1329="","",IF($B1329="Tema",INDEX(Config!$D$6:$D$11,$D1329),IFERROR(INDEX(Config!$E$15:$E$19,MATCH($I1329,Config!$C$15:$C$19,0)),"•")))</f>
        <v/>
      </c>
      <c r="I1329" s="114" t="str">
        <f aca="false">IF($E1329="","",IF($B1329="Tema",INDEX(Config!$E$6:$E$11,$D1329),IF(INDEX(Avulsos!$D$6:$D$205,$C1329)&amp;""="","Outro",INDEX(Avulsos!$D$6:$D$205,$C1329))))</f>
        <v/>
      </c>
      <c r="J1329" s="114" t="str">
        <f aca="false">IF($E1329="","",IF($B1329="Tema",INDEX(Temas!$C$6:$C$305,$C1329)&amp;"",INDEX(Avulsos!$E$6:$E$205,$C1329)&amp;""))</f>
        <v/>
      </c>
      <c r="K1329" s="114" t="str">
        <f aca="false">IF($E1329="","",IF(IF($B1329="Tema",INDEX(Temas!$E$6:$P$305,$C1329,2*$D1329),INDEX(Avulsos!$F$6:$F$205,$C1329))&amp;""="","","✓"))</f>
        <v/>
      </c>
      <c r="L1329" s="114" t="str">
        <f aca="true">IF($E1329="","",IF($K1329="✓","Concluído",IF($E1329&lt;TODAY(),"Atrasado",IF($E1329=TODAY(),"Hoje","Pendente"))))</f>
        <v/>
      </c>
      <c r="M1329" s="114" t="str">
        <f aca="false">IF($E1329="","",IF($K1329="✓","✓ ","")&amp;IF(Config!$E$22="Sim",$H1329&amp;" · ","")&amp;$F1329)</f>
        <v/>
      </c>
      <c r="N1329" s="114" t="str">
        <f aca="false">IF($E1329="","",IFERROR(INDEX(Config!$D$15:$D$19,MATCH($I1329,Config!$C$15:$C$19,0)),"OUT")&amp;IF($K1329="✓","x",""))</f>
        <v/>
      </c>
      <c r="O1329" s="114" t="str">
        <f aca="false">IF($E1329="","",COUNTIF($E$5:$E1329,$E1329))</f>
        <v/>
      </c>
      <c r="P1329" s="114" t="str">
        <f aca="false">IF($E1329="","",$E1329*100+$O1329)</f>
        <v/>
      </c>
      <c r="Q1329" s="114" t="str">
        <f aca="false">IF($L1329="Atrasado",$E1329*10000+$A1329,"")</f>
        <v/>
      </c>
    </row>
    <row r="1330" customFormat="false" ht="15" hidden="false" customHeight="false" outlineLevel="0" collapsed="false">
      <c r="A1330" s="114" t="n">
        <f aca="false">ROW()-4</f>
        <v>1326</v>
      </c>
      <c r="B1330" s="114" t="str">
        <f aca="false">IF(A1330&lt;=Config!$E$27*Config!$E$28,"Tema","Avulso")</f>
        <v>Tema</v>
      </c>
      <c r="C1330" s="114" t="n">
        <f aca="false">IF(B1330="Tema",INT((A1330-1)/Config!$E$28)+1,A1330-Config!$E$27*Config!$E$28)</f>
        <v>221</v>
      </c>
      <c r="D1330" s="114" t="n">
        <f aca="false">IF(B1330="Tema",MOD(A1330-1,Config!$E$28)+1,"")</f>
        <v>6</v>
      </c>
      <c r="E1330" s="115" t="str">
        <f aca="false">IF($B1330="Tema",IF(ISNUMBER(INDEX(Temas!$E$6:$P$305,$C1330,2*$D1330-1)),INDEX(Temas!$E$6:$P$305,$C1330,2*$D1330-1),""),IF(ISNUMBER(INDEX(Avulsos!$B$6:$B$205,$C1330)),INDEX(Avulsos!$B$6:$B$205,$C1330),""))</f>
        <v/>
      </c>
      <c r="F1330" s="114" t="str">
        <f aca="false">IF($E1330="","",IF($B1330="Tema",INDEX(Temas!$B$6:$B$305,$C1330)&amp;"",INDEX(Avulsos!$C$6:$C$205,$C1330)&amp;""))</f>
        <v/>
      </c>
      <c r="G1330" s="114" t="str">
        <f aca="false">IF($E1330="","",IF($B1330="Tema",INDEX(Config!$C$6:$C$11,$D1330),"Evento avulso"))</f>
        <v/>
      </c>
      <c r="H1330" s="114" t="str">
        <f aca="false">IF($E1330="","",IF($B1330="Tema",INDEX(Config!$D$6:$D$11,$D1330),IFERROR(INDEX(Config!$E$15:$E$19,MATCH($I1330,Config!$C$15:$C$19,0)),"•")))</f>
        <v/>
      </c>
      <c r="I1330" s="114" t="str">
        <f aca="false">IF($E1330="","",IF($B1330="Tema",INDEX(Config!$E$6:$E$11,$D1330),IF(INDEX(Avulsos!$D$6:$D$205,$C1330)&amp;""="","Outro",INDEX(Avulsos!$D$6:$D$205,$C1330))))</f>
        <v/>
      </c>
      <c r="J1330" s="114" t="str">
        <f aca="false">IF($E1330="","",IF($B1330="Tema",INDEX(Temas!$C$6:$C$305,$C1330)&amp;"",INDEX(Avulsos!$E$6:$E$205,$C1330)&amp;""))</f>
        <v/>
      </c>
      <c r="K1330" s="114" t="str">
        <f aca="false">IF($E1330="","",IF(IF($B1330="Tema",INDEX(Temas!$E$6:$P$305,$C1330,2*$D1330),INDEX(Avulsos!$F$6:$F$205,$C1330))&amp;""="","","✓"))</f>
        <v/>
      </c>
      <c r="L1330" s="114" t="str">
        <f aca="true">IF($E1330="","",IF($K1330="✓","Concluído",IF($E1330&lt;TODAY(),"Atrasado",IF($E1330=TODAY(),"Hoje","Pendente"))))</f>
        <v/>
      </c>
      <c r="M1330" s="114" t="str">
        <f aca="false">IF($E1330="","",IF($K1330="✓","✓ ","")&amp;IF(Config!$E$22="Sim",$H1330&amp;" · ","")&amp;$F1330)</f>
        <v/>
      </c>
      <c r="N1330" s="114" t="str">
        <f aca="false">IF($E1330="","",IFERROR(INDEX(Config!$D$15:$D$19,MATCH($I1330,Config!$C$15:$C$19,0)),"OUT")&amp;IF($K1330="✓","x",""))</f>
        <v/>
      </c>
      <c r="O1330" s="114" t="str">
        <f aca="false">IF($E1330="","",COUNTIF($E$5:$E1330,$E1330))</f>
        <v/>
      </c>
      <c r="P1330" s="114" t="str">
        <f aca="false">IF($E1330="","",$E1330*100+$O1330)</f>
        <v/>
      </c>
      <c r="Q1330" s="114" t="str">
        <f aca="false">IF($L1330="Atrasado",$E1330*10000+$A1330,"")</f>
        <v/>
      </c>
    </row>
    <row r="1331" customFormat="false" ht="15" hidden="false" customHeight="false" outlineLevel="0" collapsed="false">
      <c r="A1331" s="114" t="n">
        <f aca="false">ROW()-4</f>
        <v>1327</v>
      </c>
      <c r="B1331" s="114" t="str">
        <f aca="false">IF(A1331&lt;=Config!$E$27*Config!$E$28,"Tema","Avulso")</f>
        <v>Tema</v>
      </c>
      <c r="C1331" s="114" t="n">
        <f aca="false">IF(B1331="Tema",INT((A1331-1)/Config!$E$28)+1,A1331-Config!$E$27*Config!$E$28)</f>
        <v>222</v>
      </c>
      <c r="D1331" s="114" t="n">
        <f aca="false">IF(B1331="Tema",MOD(A1331-1,Config!$E$28)+1,"")</f>
        <v>1</v>
      </c>
      <c r="E1331" s="115" t="str">
        <f aca="false">IF($B1331="Tema",IF(ISNUMBER(INDEX(Temas!$E$6:$P$305,$C1331,2*$D1331-1)),INDEX(Temas!$E$6:$P$305,$C1331,2*$D1331-1),""),IF(ISNUMBER(INDEX(Avulsos!$B$6:$B$205,$C1331)),INDEX(Avulsos!$B$6:$B$205,$C1331),""))</f>
        <v/>
      </c>
      <c r="F1331" s="114" t="str">
        <f aca="false">IF($E1331="","",IF($B1331="Tema",INDEX(Temas!$B$6:$B$305,$C1331)&amp;"",INDEX(Avulsos!$C$6:$C$205,$C1331)&amp;""))</f>
        <v/>
      </c>
      <c r="G1331" s="114" t="str">
        <f aca="false">IF($E1331="","",IF($B1331="Tema",INDEX(Config!$C$6:$C$11,$D1331),"Evento avulso"))</f>
        <v/>
      </c>
      <c r="H1331" s="114" t="str">
        <f aca="false">IF($E1331="","",IF($B1331="Tema",INDEX(Config!$D$6:$D$11,$D1331),IFERROR(INDEX(Config!$E$15:$E$19,MATCH($I1331,Config!$C$15:$C$19,0)),"•")))</f>
        <v/>
      </c>
      <c r="I1331" s="114" t="str">
        <f aca="false">IF($E1331="","",IF($B1331="Tema",INDEX(Config!$E$6:$E$11,$D1331),IF(INDEX(Avulsos!$D$6:$D$205,$C1331)&amp;""="","Outro",INDEX(Avulsos!$D$6:$D$205,$C1331))))</f>
        <v/>
      </c>
      <c r="J1331" s="114" t="str">
        <f aca="false">IF($E1331="","",IF($B1331="Tema",INDEX(Temas!$C$6:$C$305,$C1331)&amp;"",INDEX(Avulsos!$E$6:$E$205,$C1331)&amp;""))</f>
        <v/>
      </c>
      <c r="K1331" s="114" t="str">
        <f aca="false">IF($E1331="","",IF(IF($B1331="Tema",INDEX(Temas!$E$6:$P$305,$C1331,2*$D1331),INDEX(Avulsos!$F$6:$F$205,$C1331))&amp;""="","","✓"))</f>
        <v/>
      </c>
      <c r="L1331" s="114" t="str">
        <f aca="true">IF($E1331="","",IF($K1331="✓","Concluído",IF($E1331&lt;TODAY(),"Atrasado",IF($E1331=TODAY(),"Hoje","Pendente"))))</f>
        <v/>
      </c>
      <c r="M1331" s="114" t="str">
        <f aca="false">IF($E1331="","",IF($K1331="✓","✓ ","")&amp;IF(Config!$E$22="Sim",$H1331&amp;" · ","")&amp;$F1331)</f>
        <v/>
      </c>
      <c r="N1331" s="114" t="str">
        <f aca="false">IF($E1331="","",IFERROR(INDEX(Config!$D$15:$D$19,MATCH($I1331,Config!$C$15:$C$19,0)),"OUT")&amp;IF($K1331="✓","x",""))</f>
        <v/>
      </c>
      <c r="O1331" s="114" t="str">
        <f aca="false">IF($E1331="","",COUNTIF($E$5:$E1331,$E1331))</f>
        <v/>
      </c>
      <c r="P1331" s="114" t="str">
        <f aca="false">IF($E1331="","",$E1331*100+$O1331)</f>
        <v/>
      </c>
      <c r="Q1331" s="114" t="str">
        <f aca="false">IF($L1331="Atrasado",$E1331*10000+$A1331,"")</f>
        <v/>
      </c>
    </row>
    <row r="1332" customFormat="false" ht="15" hidden="false" customHeight="false" outlineLevel="0" collapsed="false">
      <c r="A1332" s="114" t="n">
        <f aca="false">ROW()-4</f>
        <v>1328</v>
      </c>
      <c r="B1332" s="114" t="str">
        <f aca="false">IF(A1332&lt;=Config!$E$27*Config!$E$28,"Tema","Avulso")</f>
        <v>Tema</v>
      </c>
      <c r="C1332" s="114" t="n">
        <f aca="false">IF(B1332="Tema",INT((A1332-1)/Config!$E$28)+1,A1332-Config!$E$27*Config!$E$28)</f>
        <v>222</v>
      </c>
      <c r="D1332" s="114" t="n">
        <f aca="false">IF(B1332="Tema",MOD(A1332-1,Config!$E$28)+1,"")</f>
        <v>2</v>
      </c>
      <c r="E1332" s="115" t="str">
        <f aca="false">IF($B1332="Tema",IF(ISNUMBER(INDEX(Temas!$E$6:$P$305,$C1332,2*$D1332-1)),INDEX(Temas!$E$6:$P$305,$C1332,2*$D1332-1),""),IF(ISNUMBER(INDEX(Avulsos!$B$6:$B$205,$C1332)),INDEX(Avulsos!$B$6:$B$205,$C1332),""))</f>
        <v/>
      </c>
      <c r="F1332" s="114" t="str">
        <f aca="false">IF($E1332="","",IF($B1332="Tema",INDEX(Temas!$B$6:$B$305,$C1332)&amp;"",INDEX(Avulsos!$C$6:$C$205,$C1332)&amp;""))</f>
        <v/>
      </c>
      <c r="G1332" s="114" t="str">
        <f aca="false">IF($E1332="","",IF($B1332="Tema",INDEX(Config!$C$6:$C$11,$D1332),"Evento avulso"))</f>
        <v/>
      </c>
      <c r="H1332" s="114" t="str">
        <f aca="false">IF($E1332="","",IF($B1332="Tema",INDEX(Config!$D$6:$D$11,$D1332),IFERROR(INDEX(Config!$E$15:$E$19,MATCH($I1332,Config!$C$15:$C$19,0)),"•")))</f>
        <v/>
      </c>
      <c r="I1332" s="114" t="str">
        <f aca="false">IF($E1332="","",IF($B1332="Tema",INDEX(Config!$E$6:$E$11,$D1332),IF(INDEX(Avulsos!$D$6:$D$205,$C1332)&amp;""="","Outro",INDEX(Avulsos!$D$6:$D$205,$C1332))))</f>
        <v/>
      </c>
      <c r="J1332" s="114" t="str">
        <f aca="false">IF($E1332="","",IF($B1332="Tema",INDEX(Temas!$C$6:$C$305,$C1332)&amp;"",INDEX(Avulsos!$E$6:$E$205,$C1332)&amp;""))</f>
        <v/>
      </c>
      <c r="K1332" s="114" t="str">
        <f aca="false">IF($E1332="","",IF(IF($B1332="Tema",INDEX(Temas!$E$6:$P$305,$C1332,2*$D1332),INDEX(Avulsos!$F$6:$F$205,$C1332))&amp;""="","","✓"))</f>
        <v/>
      </c>
      <c r="L1332" s="114" t="str">
        <f aca="true">IF($E1332="","",IF($K1332="✓","Concluído",IF($E1332&lt;TODAY(),"Atrasado",IF($E1332=TODAY(),"Hoje","Pendente"))))</f>
        <v/>
      </c>
      <c r="M1332" s="114" t="str">
        <f aca="false">IF($E1332="","",IF($K1332="✓","✓ ","")&amp;IF(Config!$E$22="Sim",$H1332&amp;" · ","")&amp;$F1332)</f>
        <v/>
      </c>
      <c r="N1332" s="114" t="str">
        <f aca="false">IF($E1332="","",IFERROR(INDEX(Config!$D$15:$D$19,MATCH($I1332,Config!$C$15:$C$19,0)),"OUT")&amp;IF($K1332="✓","x",""))</f>
        <v/>
      </c>
      <c r="O1332" s="114" t="str">
        <f aca="false">IF($E1332="","",COUNTIF($E$5:$E1332,$E1332))</f>
        <v/>
      </c>
      <c r="P1332" s="114" t="str">
        <f aca="false">IF($E1332="","",$E1332*100+$O1332)</f>
        <v/>
      </c>
      <c r="Q1332" s="114" t="str">
        <f aca="false">IF($L1332="Atrasado",$E1332*10000+$A1332,"")</f>
        <v/>
      </c>
    </row>
    <row r="1333" customFormat="false" ht="15" hidden="false" customHeight="false" outlineLevel="0" collapsed="false">
      <c r="A1333" s="114" t="n">
        <f aca="false">ROW()-4</f>
        <v>1329</v>
      </c>
      <c r="B1333" s="114" t="str">
        <f aca="false">IF(A1333&lt;=Config!$E$27*Config!$E$28,"Tema","Avulso")</f>
        <v>Tema</v>
      </c>
      <c r="C1333" s="114" t="n">
        <f aca="false">IF(B1333="Tema",INT((A1333-1)/Config!$E$28)+1,A1333-Config!$E$27*Config!$E$28)</f>
        <v>222</v>
      </c>
      <c r="D1333" s="114" t="n">
        <f aca="false">IF(B1333="Tema",MOD(A1333-1,Config!$E$28)+1,"")</f>
        <v>3</v>
      </c>
      <c r="E1333" s="115" t="str">
        <f aca="false">IF($B1333="Tema",IF(ISNUMBER(INDEX(Temas!$E$6:$P$305,$C1333,2*$D1333-1)),INDEX(Temas!$E$6:$P$305,$C1333,2*$D1333-1),""),IF(ISNUMBER(INDEX(Avulsos!$B$6:$B$205,$C1333)),INDEX(Avulsos!$B$6:$B$205,$C1333),""))</f>
        <v/>
      </c>
      <c r="F1333" s="114" t="str">
        <f aca="false">IF($E1333="","",IF($B1333="Tema",INDEX(Temas!$B$6:$B$305,$C1333)&amp;"",INDEX(Avulsos!$C$6:$C$205,$C1333)&amp;""))</f>
        <v/>
      </c>
      <c r="G1333" s="114" t="str">
        <f aca="false">IF($E1333="","",IF($B1333="Tema",INDEX(Config!$C$6:$C$11,$D1333),"Evento avulso"))</f>
        <v/>
      </c>
      <c r="H1333" s="114" t="str">
        <f aca="false">IF($E1333="","",IF($B1333="Tema",INDEX(Config!$D$6:$D$11,$D1333),IFERROR(INDEX(Config!$E$15:$E$19,MATCH($I1333,Config!$C$15:$C$19,0)),"•")))</f>
        <v/>
      </c>
      <c r="I1333" s="114" t="str">
        <f aca="false">IF($E1333="","",IF($B1333="Tema",INDEX(Config!$E$6:$E$11,$D1333),IF(INDEX(Avulsos!$D$6:$D$205,$C1333)&amp;""="","Outro",INDEX(Avulsos!$D$6:$D$205,$C1333))))</f>
        <v/>
      </c>
      <c r="J1333" s="114" t="str">
        <f aca="false">IF($E1333="","",IF($B1333="Tema",INDEX(Temas!$C$6:$C$305,$C1333)&amp;"",INDEX(Avulsos!$E$6:$E$205,$C1333)&amp;""))</f>
        <v/>
      </c>
      <c r="K1333" s="114" t="str">
        <f aca="false">IF($E1333="","",IF(IF($B1333="Tema",INDEX(Temas!$E$6:$P$305,$C1333,2*$D1333),INDEX(Avulsos!$F$6:$F$205,$C1333))&amp;""="","","✓"))</f>
        <v/>
      </c>
      <c r="L1333" s="114" t="str">
        <f aca="true">IF($E1333="","",IF($K1333="✓","Concluído",IF($E1333&lt;TODAY(),"Atrasado",IF($E1333=TODAY(),"Hoje","Pendente"))))</f>
        <v/>
      </c>
      <c r="M1333" s="114" t="str">
        <f aca="false">IF($E1333="","",IF($K1333="✓","✓ ","")&amp;IF(Config!$E$22="Sim",$H1333&amp;" · ","")&amp;$F1333)</f>
        <v/>
      </c>
      <c r="N1333" s="114" t="str">
        <f aca="false">IF($E1333="","",IFERROR(INDEX(Config!$D$15:$D$19,MATCH($I1333,Config!$C$15:$C$19,0)),"OUT")&amp;IF($K1333="✓","x",""))</f>
        <v/>
      </c>
      <c r="O1333" s="114" t="str">
        <f aca="false">IF($E1333="","",COUNTIF($E$5:$E1333,$E1333))</f>
        <v/>
      </c>
      <c r="P1333" s="114" t="str">
        <f aca="false">IF($E1333="","",$E1333*100+$O1333)</f>
        <v/>
      </c>
      <c r="Q1333" s="114" t="str">
        <f aca="false">IF($L1333="Atrasado",$E1333*10000+$A1333,"")</f>
        <v/>
      </c>
    </row>
    <row r="1334" customFormat="false" ht="15" hidden="false" customHeight="false" outlineLevel="0" collapsed="false">
      <c r="A1334" s="114" t="n">
        <f aca="false">ROW()-4</f>
        <v>1330</v>
      </c>
      <c r="B1334" s="114" t="str">
        <f aca="false">IF(A1334&lt;=Config!$E$27*Config!$E$28,"Tema","Avulso")</f>
        <v>Tema</v>
      </c>
      <c r="C1334" s="114" t="n">
        <f aca="false">IF(B1334="Tema",INT((A1334-1)/Config!$E$28)+1,A1334-Config!$E$27*Config!$E$28)</f>
        <v>222</v>
      </c>
      <c r="D1334" s="114" t="n">
        <f aca="false">IF(B1334="Tema",MOD(A1334-1,Config!$E$28)+1,"")</f>
        <v>4</v>
      </c>
      <c r="E1334" s="115" t="str">
        <f aca="false">IF($B1334="Tema",IF(ISNUMBER(INDEX(Temas!$E$6:$P$305,$C1334,2*$D1334-1)),INDEX(Temas!$E$6:$P$305,$C1334,2*$D1334-1),""),IF(ISNUMBER(INDEX(Avulsos!$B$6:$B$205,$C1334)),INDEX(Avulsos!$B$6:$B$205,$C1334),""))</f>
        <v/>
      </c>
      <c r="F1334" s="114" t="str">
        <f aca="false">IF($E1334="","",IF($B1334="Tema",INDEX(Temas!$B$6:$B$305,$C1334)&amp;"",INDEX(Avulsos!$C$6:$C$205,$C1334)&amp;""))</f>
        <v/>
      </c>
      <c r="G1334" s="114" t="str">
        <f aca="false">IF($E1334="","",IF($B1334="Tema",INDEX(Config!$C$6:$C$11,$D1334),"Evento avulso"))</f>
        <v/>
      </c>
      <c r="H1334" s="114" t="str">
        <f aca="false">IF($E1334="","",IF($B1334="Tema",INDEX(Config!$D$6:$D$11,$D1334),IFERROR(INDEX(Config!$E$15:$E$19,MATCH($I1334,Config!$C$15:$C$19,0)),"•")))</f>
        <v/>
      </c>
      <c r="I1334" s="114" t="str">
        <f aca="false">IF($E1334="","",IF($B1334="Tema",INDEX(Config!$E$6:$E$11,$D1334),IF(INDEX(Avulsos!$D$6:$D$205,$C1334)&amp;""="","Outro",INDEX(Avulsos!$D$6:$D$205,$C1334))))</f>
        <v/>
      </c>
      <c r="J1334" s="114" t="str">
        <f aca="false">IF($E1334="","",IF($B1334="Tema",INDEX(Temas!$C$6:$C$305,$C1334)&amp;"",INDEX(Avulsos!$E$6:$E$205,$C1334)&amp;""))</f>
        <v/>
      </c>
      <c r="K1334" s="114" t="str">
        <f aca="false">IF($E1334="","",IF(IF($B1334="Tema",INDEX(Temas!$E$6:$P$305,$C1334,2*$D1334),INDEX(Avulsos!$F$6:$F$205,$C1334))&amp;""="","","✓"))</f>
        <v/>
      </c>
      <c r="L1334" s="114" t="str">
        <f aca="true">IF($E1334="","",IF($K1334="✓","Concluído",IF($E1334&lt;TODAY(),"Atrasado",IF($E1334=TODAY(),"Hoje","Pendente"))))</f>
        <v/>
      </c>
      <c r="M1334" s="114" t="str">
        <f aca="false">IF($E1334="","",IF($K1334="✓","✓ ","")&amp;IF(Config!$E$22="Sim",$H1334&amp;" · ","")&amp;$F1334)</f>
        <v/>
      </c>
      <c r="N1334" s="114" t="str">
        <f aca="false">IF($E1334="","",IFERROR(INDEX(Config!$D$15:$D$19,MATCH($I1334,Config!$C$15:$C$19,0)),"OUT")&amp;IF($K1334="✓","x",""))</f>
        <v/>
      </c>
      <c r="O1334" s="114" t="str">
        <f aca="false">IF($E1334="","",COUNTIF($E$5:$E1334,$E1334))</f>
        <v/>
      </c>
      <c r="P1334" s="114" t="str">
        <f aca="false">IF($E1334="","",$E1334*100+$O1334)</f>
        <v/>
      </c>
      <c r="Q1334" s="114" t="str">
        <f aca="false">IF($L1334="Atrasado",$E1334*10000+$A1334,"")</f>
        <v/>
      </c>
    </row>
    <row r="1335" customFormat="false" ht="15" hidden="false" customHeight="false" outlineLevel="0" collapsed="false">
      <c r="A1335" s="114" t="n">
        <f aca="false">ROW()-4</f>
        <v>1331</v>
      </c>
      <c r="B1335" s="114" t="str">
        <f aca="false">IF(A1335&lt;=Config!$E$27*Config!$E$28,"Tema","Avulso")</f>
        <v>Tema</v>
      </c>
      <c r="C1335" s="114" t="n">
        <f aca="false">IF(B1335="Tema",INT((A1335-1)/Config!$E$28)+1,A1335-Config!$E$27*Config!$E$28)</f>
        <v>222</v>
      </c>
      <c r="D1335" s="114" t="n">
        <f aca="false">IF(B1335="Tema",MOD(A1335-1,Config!$E$28)+1,"")</f>
        <v>5</v>
      </c>
      <c r="E1335" s="115" t="str">
        <f aca="false">IF($B1335="Tema",IF(ISNUMBER(INDEX(Temas!$E$6:$P$305,$C1335,2*$D1335-1)),INDEX(Temas!$E$6:$P$305,$C1335,2*$D1335-1),""),IF(ISNUMBER(INDEX(Avulsos!$B$6:$B$205,$C1335)),INDEX(Avulsos!$B$6:$B$205,$C1335),""))</f>
        <v/>
      </c>
      <c r="F1335" s="114" t="str">
        <f aca="false">IF($E1335="","",IF($B1335="Tema",INDEX(Temas!$B$6:$B$305,$C1335)&amp;"",INDEX(Avulsos!$C$6:$C$205,$C1335)&amp;""))</f>
        <v/>
      </c>
      <c r="G1335" s="114" t="str">
        <f aca="false">IF($E1335="","",IF($B1335="Tema",INDEX(Config!$C$6:$C$11,$D1335),"Evento avulso"))</f>
        <v/>
      </c>
      <c r="H1335" s="114" t="str">
        <f aca="false">IF($E1335="","",IF($B1335="Tema",INDEX(Config!$D$6:$D$11,$D1335),IFERROR(INDEX(Config!$E$15:$E$19,MATCH($I1335,Config!$C$15:$C$19,0)),"•")))</f>
        <v/>
      </c>
      <c r="I1335" s="114" t="str">
        <f aca="false">IF($E1335="","",IF($B1335="Tema",INDEX(Config!$E$6:$E$11,$D1335),IF(INDEX(Avulsos!$D$6:$D$205,$C1335)&amp;""="","Outro",INDEX(Avulsos!$D$6:$D$205,$C1335))))</f>
        <v/>
      </c>
      <c r="J1335" s="114" t="str">
        <f aca="false">IF($E1335="","",IF($B1335="Tema",INDEX(Temas!$C$6:$C$305,$C1335)&amp;"",INDEX(Avulsos!$E$6:$E$205,$C1335)&amp;""))</f>
        <v/>
      </c>
      <c r="K1335" s="114" t="str">
        <f aca="false">IF($E1335="","",IF(IF($B1335="Tema",INDEX(Temas!$E$6:$P$305,$C1335,2*$D1335),INDEX(Avulsos!$F$6:$F$205,$C1335))&amp;""="","","✓"))</f>
        <v/>
      </c>
      <c r="L1335" s="114" t="str">
        <f aca="true">IF($E1335="","",IF($K1335="✓","Concluído",IF($E1335&lt;TODAY(),"Atrasado",IF($E1335=TODAY(),"Hoje","Pendente"))))</f>
        <v/>
      </c>
      <c r="M1335" s="114" t="str">
        <f aca="false">IF($E1335="","",IF($K1335="✓","✓ ","")&amp;IF(Config!$E$22="Sim",$H1335&amp;" · ","")&amp;$F1335)</f>
        <v/>
      </c>
      <c r="N1335" s="114" t="str">
        <f aca="false">IF($E1335="","",IFERROR(INDEX(Config!$D$15:$D$19,MATCH($I1335,Config!$C$15:$C$19,0)),"OUT")&amp;IF($K1335="✓","x",""))</f>
        <v/>
      </c>
      <c r="O1335" s="114" t="str">
        <f aca="false">IF($E1335="","",COUNTIF($E$5:$E1335,$E1335))</f>
        <v/>
      </c>
      <c r="P1335" s="114" t="str">
        <f aca="false">IF($E1335="","",$E1335*100+$O1335)</f>
        <v/>
      </c>
      <c r="Q1335" s="114" t="str">
        <f aca="false">IF($L1335="Atrasado",$E1335*10000+$A1335,"")</f>
        <v/>
      </c>
    </row>
    <row r="1336" customFormat="false" ht="15" hidden="false" customHeight="false" outlineLevel="0" collapsed="false">
      <c r="A1336" s="114" t="n">
        <f aca="false">ROW()-4</f>
        <v>1332</v>
      </c>
      <c r="B1336" s="114" t="str">
        <f aca="false">IF(A1336&lt;=Config!$E$27*Config!$E$28,"Tema","Avulso")</f>
        <v>Tema</v>
      </c>
      <c r="C1336" s="114" t="n">
        <f aca="false">IF(B1336="Tema",INT((A1336-1)/Config!$E$28)+1,A1336-Config!$E$27*Config!$E$28)</f>
        <v>222</v>
      </c>
      <c r="D1336" s="114" t="n">
        <f aca="false">IF(B1336="Tema",MOD(A1336-1,Config!$E$28)+1,"")</f>
        <v>6</v>
      </c>
      <c r="E1336" s="115" t="str">
        <f aca="false">IF($B1336="Tema",IF(ISNUMBER(INDEX(Temas!$E$6:$P$305,$C1336,2*$D1336-1)),INDEX(Temas!$E$6:$P$305,$C1336,2*$D1336-1),""),IF(ISNUMBER(INDEX(Avulsos!$B$6:$B$205,$C1336)),INDEX(Avulsos!$B$6:$B$205,$C1336),""))</f>
        <v/>
      </c>
      <c r="F1336" s="114" t="str">
        <f aca="false">IF($E1336="","",IF($B1336="Tema",INDEX(Temas!$B$6:$B$305,$C1336)&amp;"",INDEX(Avulsos!$C$6:$C$205,$C1336)&amp;""))</f>
        <v/>
      </c>
      <c r="G1336" s="114" t="str">
        <f aca="false">IF($E1336="","",IF($B1336="Tema",INDEX(Config!$C$6:$C$11,$D1336),"Evento avulso"))</f>
        <v/>
      </c>
      <c r="H1336" s="114" t="str">
        <f aca="false">IF($E1336="","",IF($B1336="Tema",INDEX(Config!$D$6:$D$11,$D1336),IFERROR(INDEX(Config!$E$15:$E$19,MATCH($I1336,Config!$C$15:$C$19,0)),"•")))</f>
        <v/>
      </c>
      <c r="I1336" s="114" t="str">
        <f aca="false">IF($E1336="","",IF($B1336="Tema",INDEX(Config!$E$6:$E$11,$D1336),IF(INDEX(Avulsos!$D$6:$D$205,$C1336)&amp;""="","Outro",INDEX(Avulsos!$D$6:$D$205,$C1336))))</f>
        <v/>
      </c>
      <c r="J1336" s="114" t="str">
        <f aca="false">IF($E1336="","",IF($B1336="Tema",INDEX(Temas!$C$6:$C$305,$C1336)&amp;"",INDEX(Avulsos!$E$6:$E$205,$C1336)&amp;""))</f>
        <v/>
      </c>
      <c r="K1336" s="114" t="str">
        <f aca="false">IF($E1336="","",IF(IF($B1336="Tema",INDEX(Temas!$E$6:$P$305,$C1336,2*$D1336),INDEX(Avulsos!$F$6:$F$205,$C1336))&amp;""="","","✓"))</f>
        <v/>
      </c>
      <c r="L1336" s="114" t="str">
        <f aca="true">IF($E1336="","",IF($K1336="✓","Concluído",IF($E1336&lt;TODAY(),"Atrasado",IF($E1336=TODAY(),"Hoje","Pendente"))))</f>
        <v/>
      </c>
      <c r="M1336" s="114" t="str">
        <f aca="false">IF($E1336="","",IF($K1336="✓","✓ ","")&amp;IF(Config!$E$22="Sim",$H1336&amp;" · ","")&amp;$F1336)</f>
        <v/>
      </c>
      <c r="N1336" s="114" t="str">
        <f aca="false">IF($E1336="","",IFERROR(INDEX(Config!$D$15:$D$19,MATCH($I1336,Config!$C$15:$C$19,0)),"OUT")&amp;IF($K1336="✓","x",""))</f>
        <v/>
      </c>
      <c r="O1336" s="114" t="str">
        <f aca="false">IF($E1336="","",COUNTIF($E$5:$E1336,$E1336))</f>
        <v/>
      </c>
      <c r="P1336" s="114" t="str">
        <f aca="false">IF($E1336="","",$E1336*100+$O1336)</f>
        <v/>
      </c>
      <c r="Q1336" s="114" t="str">
        <f aca="false">IF($L1336="Atrasado",$E1336*10000+$A1336,"")</f>
        <v/>
      </c>
    </row>
    <row r="1337" customFormat="false" ht="15" hidden="false" customHeight="false" outlineLevel="0" collapsed="false">
      <c r="A1337" s="114" t="n">
        <f aca="false">ROW()-4</f>
        <v>1333</v>
      </c>
      <c r="B1337" s="114" t="str">
        <f aca="false">IF(A1337&lt;=Config!$E$27*Config!$E$28,"Tema","Avulso")</f>
        <v>Tema</v>
      </c>
      <c r="C1337" s="114" t="n">
        <f aca="false">IF(B1337="Tema",INT((A1337-1)/Config!$E$28)+1,A1337-Config!$E$27*Config!$E$28)</f>
        <v>223</v>
      </c>
      <c r="D1337" s="114" t="n">
        <f aca="false">IF(B1337="Tema",MOD(A1337-1,Config!$E$28)+1,"")</f>
        <v>1</v>
      </c>
      <c r="E1337" s="115" t="str">
        <f aca="false">IF($B1337="Tema",IF(ISNUMBER(INDEX(Temas!$E$6:$P$305,$C1337,2*$D1337-1)),INDEX(Temas!$E$6:$P$305,$C1337,2*$D1337-1),""),IF(ISNUMBER(INDEX(Avulsos!$B$6:$B$205,$C1337)),INDEX(Avulsos!$B$6:$B$205,$C1337),""))</f>
        <v/>
      </c>
      <c r="F1337" s="114" t="str">
        <f aca="false">IF($E1337="","",IF($B1337="Tema",INDEX(Temas!$B$6:$B$305,$C1337)&amp;"",INDEX(Avulsos!$C$6:$C$205,$C1337)&amp;""))</f>
        <v/>
      </c>
      <c r="G1337" s="114" t="str">
        <f aca="false">IF($E1337="","",IF($B1337="Tema",INDEX(Config!$C$6:$C$11,$D1337),"Evento avulso"))</f>
        <v/>
      </c>
      <c r="H1337" s="114" t="str">
        <f aca="false">IF($E1337="","",IF($B1337="Tema",INDEX(Config!$D$6:$D$11,$D1337),IFERROR(INDEX(Config!$E$15:$E$19,MATCH($I1337,Config!$C$15:$C$19,0)),"•")))</f>
        <v/>
      </c>
      <c r="I1337" s="114" t="str">
        <f aca="false">IF($E1337="","",IF($B1337="Tema",INDEX(Config!$E$6:$E$11,$D1337),IF(INDEX(Avulsos!$D$6:$D$205,$C1337)&amp;""="","Outro",INDEX(Avulsos!$D$6:$D$205,$C1337))))</f>
        <v/>
      </c>
      <c r="J1337" s="114" t="str">
        <f aca="false">IF($E1337="","",IF($B1337="Tema",INDEX(Temas!$C$6:$C$305,$C1337)&amp;"",INDEX(Avulsos!$E$6:$E$205,$C1337)&amp;""))</f>
        <v/>
      </c>
      <c r="K1337" s="114" t="str">
        <f aca="false">IF($E1337="","",IF(IF($B1337="Tema",INDEX(Temas!$E$6:$P$305,$C1337,2*$D1337),INDEX(Avulsos!$F$6:$F$205,$C1337))&amp;""="","","✓"))</f>
        <v/>
      </c>
      <c r="L1337" s="114" t="str">
        <f aca="true">IF($E1337="","",IF($K1337="✓","Concluído",IF($E1337&lt;TODAY(),"Atrasado",IF($E1337=TODAY(),"Hoje","Pendente"))))</f>
        <v/>
      </c>
      <c r="M1337" s="114" t="str">
        <f aca="false">IF($E1337="","",IF($K1337="✓","✓ ","")&amp;IF(Config!$E$22="Sim",$H1337&amp;" · ","")&amp;$F1337)</f>
        <v/>
      </c>
      <c r="N1337" s="114" t="str">
        <f aca="false">IF($E1337="","",IFERROR(INDEX(Config!$D$15:$D$19,MATCH($I1337,Config!$C$15:$C$19,0)),"OUT")&amp;IF($K1337="✓","x",""))</f>
        <v/>
      </c>
      <c r="O1337" s="114" t="str">
        <f aca="false">IF($E1337="","",COUNTIF($E$5:$E1337,$E1337))</f>
        <v/>
      </c>
      <c r="P1337" s="114" t="str">
        <f aca="false">IF($E1337="","",$E1337*100+$O1337)</f>
        <v/>
      </c>
      <c r="Q1337" s="114" t="str">
        <f aca="false">IF($L1337="Atrasado",$E1337*10000+$A1337,"")</f>
        <v/>
      </c>
    </row>
    <row r="1338" customFormat="false" ht="15" hidden="false" customHeight="false" outlineLevel="0" collapsed="false">
      <c r="A1338" s="114" t="n">
        <f aca="false">ROW()-4</f>
        <v>1334</v>
      </c>
      <c r="B1338" s="114" t="str">
        <f aca="false">IF(A1338&lt;=Config!$E$27*Config!$E$28,"Tema","Avulso")</f>
        <v>Tema</v>
      </c>
      <c r="C1338" s="114" t="n">
        <f aca="false">IF(B1338="Tema",INT((A1338-1)/Config!$E$28)+1,A1338-Config!$E$27*Config!$E$28)</f>
        <v>223</v>
      </c>
      <c r="D1338" s="114" t="n">
        <f aca="false">IF(B1338="Tema",MOD(A1338-1,Config!$E$28)+1,"")</f>
        <v>2</v>
      </c>
      <c r="E1338" s="115" t="str">
        <f aca="false">IF($B1338="Tema",IF(ISNUMBER(INDEX(Temas!$E$6:$P$305,$C1338,2*$D1338-1)),INDEX(Temas!$E$6:$P$305,$C1338,2*$D1338-1),""),IF(ISNUMBER(INDEX(Avulsos!$B$6:$B$205,$C1338)),INDEX(Avulsos!$B$6:$B$205,$C1338),""))</f>
        <v/>
      </c>
      <c r="F1338" s="114" t="str">
        <f aca="false">IF($E1338="","",IF($B1338="Tema",INDEX(Temas!$B$6:$B$305,$C1338)&amp;"",INDEX(Avulsos!$C$6:$C$205,$C1338)&amp;""))</f>
        <v/>
      </c>
      <c r="G1338" s="114" t="str">
        <f aca="false">IF($E1338="","",IF($B1338="Tema",INDEX(Config!$C$6:$C$11,$D1338),"Evento avulso"))</f>
        <v/>
      </c>
      <c r="H1338" s="114" t="str">
        <f aca="false">IF($E1338="","",IF($B1338="Tema",INDEX(Config!$D$6:$D$11,$D1338),IFERROR(INDEX(Config!$E$15:$E$19,MATCH($I1338,Config!$C$15:$C$19,0)),"•")))</f>
        <v/>
      </c>
      <c r="I1338" s="114" t="str">
        <f aca="false">IF($E1338="","",IF($B1338="Tema",INDEX(Config!$E$6:$E$11,$D1338),IF(INDEX(Avulsos!$D$6:$D$205,$C1338)&amp;""="","Outro",INDEX(Avulsos!$D$6:$D$205,$C1338))))</f>
        <v/>
      </c>
      <c r="J1338" s="114" t="str">
        <f aca="false">IF($E1338="","",IF($B1338="Tema",INDEX(Temas!$C$6:$C$305,$C1338)&amp;"",INDEX(Avulsos!$E$6:$E$205,$C1338)&amp;""))</f>
        <v/>
      </c>
      <c r="K1338" s="114" t="str">
        <f aca="false">IF($E1338="","",IF(IF($B1338="Tema",INDEX(Temas!$E$6:$P$305,$C1338,2*$D1338),INDEX(Avulsos!$F$6:$F$205,$C1338))&amp;""="","","✓"))</f>
        <v/>
      </c>
      <c r="L1338" s="114" t="str">
        <f aca="true">IF($E1338="","",IF($K1338="✓","Concluído",IF($E1338&lt;TODAY(),"Atrasado",IF($E1338=TODAY(),"Hoje","Pendente"))))</f>
        <v/>
      </c>
      <c r="M1338" s="114" t="str">
        <f aca="false">IF($E1338="","",IF($K1338="✓","✓ ","")&amp;IF(Config!$E$22="Sim",$H1338&amp;" · ","")&amp;$F1338)</f>
        <v/>
      </c>
      <c r="N1338" s="114" t="str">
        <f aca="false">IF($E1338="","",IFERROR(INDEX(Config!$D$15:$D$19,MATCH($I1338,Config!$C$15:$C$19,0)),"OUT")&amp;IF($K1338="✓","x",""))</f>
        <v/>
      </c>
      <c r="O1338" s="114" t="str">
        <f aca="false">IF($E1338="","",COUNTIF($E$5:$E1338,$E1338))</f>
        <v/>
      </c>
      <c r="P1338" s="114" t="str">
        <f aca="false">IF($E1338="","",$E1338*100+$O1338)</f>
        <v/>
      </c>
      <c r="Q1338" s="114" t="str">
        <f aca="false">IF($L1338="Atrasado",$E1338*10000+$A1338,"")</f>
        <v/>
      </c>
    </row>
    <row r="1339" customFormat="false" ht="15" hidden="false" customHeight="false" outlineLevel="0" collapsed="false">
      <c r="A1339" s="114" t="n">
        <f aca="false">ROW()-4</f>
        <v>1335</v>
      </c>
      <c r="B1339" s="114" t="str">
        <f aca="false">IF(A1339&lt;=Config!$E$27*Config!$E$28,"Tema","Avulso")</f>
        <v>Tema</v>
      </c>
      <c r="C1339" s="114" t="n">
        <f aca="false">IF(B1339="Tema",INT((A1339-1)/Config!$E$28)+1,A1339-Config!$E$27*Config!$E$28)</f>
        <v>223</v>
      </c>
      <c r="D1339" s="114" t="n">
        <f aca="false">IF(B1339="Tema",MOD(A1339-1,Config!$E$28)+1,"")</f>
        <v>3</v>
      </c>
      <c r="E1339" s="115" t="str">
        <f aca="false">IF($B1339="Tema",IF(ISNUMBER(INDEX(Temas!$E$6:$P$305,$C1339,2*$D1339-1)),INDEX(Temas!$E$6:$P$305,$C1339,2*$D1339-1),""),IF(ISNUMBER(INDEX(Avulsos!$B$6:$B$205,$C1339)),INDEX(Avulsos!$B$6:$B$205,$C1339),""))</f>
        <v/>
      </c>
      <c r="F1339" s="114" t="str">
        <f aca="false">IF($E1339="","",IF($B1339="Tema",INDEX(Temas!$B$6:$B$305,$C1339)&amp;"",INDEX(Avulsos!$C$6:$C$205,$C1339)&amp;""))</f>
        <v/>
      </c>
      <c r="G1339" s="114" t="str">
        <f aca="false">IF($E1339="","",IF($B1339="Tema",INDEX(Config!$C$6:$C$11,$D1339),"Evento avulso"))</f>
        <v/>
      </c>
      <c r="H1339" s="114" t="str">
        <f aca="false">IF($E1339="","",IF($B1339="Tema",INDEX(Config!$D$6:$D$11,$D1339),IFERROR(INDEX(Config!$E$15:$E$19,MATCH($I1339,Config!$C$15:$C$19,0)),"•")))</f>
        <v/>
      </c>
      <c r="I1339" s="114" t="str">
        <f aca="false">IF($E1339="","",IF($B1339="Tema",INDEX(Config!$E$6:$E$11,$D1339),IF(INDEX(Avulsos!$D$6:$D$205,$C1339)&amp;""="","Outro",INDEX(Avulsos!$D$6:$D$205,$C1339))))</f>
        <v/>
      </c>
      <c r="J1339" s="114" t="str">
        <f aca="false">IF($E1339="","",IF($B1339="Tema",INDEX(Temas!$C$6:$C$305,$C1339)&amp;"",INDEX(Avulsos!$E$6:$E$205,$C1339)&amp;""))</f>
        <v/>
      </c>
      <c r="K1339" s="114" t="str">
        <f aca="false">IF($E1339="","",IF(IF($B1339="Tema",INDEX(Temas!$E$6:$P$305,$C1339,2*$D1339),INDEX(Avulsos!$F$6:$F$205,$C1339))&amp;""="","","✓"))</f>
        <v/>
      </c>
      <c r="L1339" s="114" t="str">
        <f aca="true">IF($E1339="","",IF($K1339="✓","Concluído",IF($E1339&lt;TODAY(),"Atrasado",IF($E1339=TODAY(),"Hoje","Pendente"))))</f>
        <v/>
      </c>
      <c r="M1339" s="114" t="str">
        <f aca="false">IF($E1339="","",IF($K1339="✓","✓ ","")&amp;IF(Config!$E$22="Sim",$H1339&amp;" · ","")&amp;$F1339)</f>
        <v/>
      </c>
      <c r="N1339" s="114" t="str">
        <f aca="false">IF($E1339="","",IFERROR(INDEX(Config!$D$15:$D$19,MATCH($I1339,Config!$C$15:$C$19,0)),"OUT")&amp;IF($K1339="✓","x",""))</f>
        <v/>
      </c>
      <c r="O1339" s="114" t="str">
        <f aca="false">IF($E1339="","",COUNTIF($E$5:$E1339,$E1339))</f>
        <v/>
      </c>
      <c r="P1339" s="114" t="str">
        <f aca="false">IF($E1339="","",$E1339*100+$O1339)</f>
        <v/>
      </c>
      <c r="Q1339" s="114" t="str">
        <f aca="false">IF($L1339="Atrasado",$E1339*10000+$A1339,"")</f>
        <v/>
      </c>
    </row>
    <row r="1340" customFormat="false" ht="15" hidden="false" customHeight="false" outlineLevel="0" collapsed="false">
      <c r="A1340" s="114" t="n">
        <f aca="false">ROW()-4</f>
        <v>1336</v>
      </c>
      <c r="B1340" s="114" t="str">
        <f aca="false">IF(A1340&lt;=Config!$E$27*Config!$E$28,"Tema","Avulso")</f>
        <v>Tema</v>
      </c>
      <c r="C1340" s="114" t="n">
        <f aca="false">IF(B1340="Tema",INT((A1340-1)/Config!$E$28)+1,A1340-Config!$E$27*Config!$E$28)</f>
        <v>223</v>
      </c>
      <c r="D1340" s="114" t="n">
        <f aca="false">IF(B1340="Tema",MOD(A1340-1,Config!$E$28)+1,"")</f>
        <v>4</v>
      </c>
      <c r="E1340" s="115" t="str">
        <f aca="false">IF($B1340="Tema",IF(ISNUMBER(INDEX(Temas!$E$6:$P$305,$C1340,2*$D1340-1)),INDEX(Temas!$E$6:$P$305,$C1340,2*$D1340-1),""),IF(ISNUMBER(INDEX(Avulsos!$B$6:$B$205,$C1340)),INDEX(Avulsos!$B$6:$B$205,$C1340),""))</f>
        <v/>
      </c>
      <c r="F1340" s="114" t="str">
        <f aca="false">IF($E1340="","",IF($B1340="Tema",INDEX(Temas!$B$6:$B$305,$C1340)&amp;"",INDEX(Avulsos!$C$6:$C$205,$C1340)&amp;""))</f>
        <v/>
      </c>
      <c r="G1340" s="114" t="str">
        <f aca="false">IF($E1340="","",IF($B1340="Tema",INDEX(Config!$C$6:$C$11,$D1340),"Evento avulso"))</f>
        <v/>
      </c>
      <c r="H1340" s="114" t="str">
        <f aca="false">IF($E1340="","",IF($B1340="Tema",INDEX(Config!$D$6:$D$11,$D1340),IFERROR(INDEX(Config!$E$15:$E$19,MATCH($I1340,Config!$C$15:$C$19,0)),"•")))</f>
        <v/>
      </c>
      <c r="I1340" s="114" t="str">
        <f aca="false">IF($E1340="","",IF($B1340="Tema",INDEX(Config!$E$6:$E$11,$D1340),IF(INDEX(Avulsos!$D$6:$D$205,$C1340)&amp;""="","Outro",INDEX(Avulsos!$D$6:$D$205,$C1340))))</f>
        <v/>
      </c>
      <c r="J1340" s="114" t="str">
        <f aca="false">IF($E1340="","",IF($B1340="Tema",INDEX(Temas!$C$6:$C$305,$C1340)&amp;"",INDEX(Avulsos!$E$6:$E$205,$C1340)&amp;""))</f>
        <v/>
      </c>
      <c r="K1340" s="114" t="str">
        <f aca="false">IF($E1340="","",IF(IF($B1340="Tema",INDEX(Temas!$E$6:$P$305,$C1340,2*$D1340),INDEX(Avulsos!$F$6:$F$205,$C1340))&amp;""="","","✓"))</f>
        <v/>
      </c>
      <c r="L1340" s="114" t="str">
        <f aca="true">IF($E1340="","",IF($K1340="✓","Concluído",IF($E1340&lt;TODAY(),"Atrasado",IF($E1340=TODAY(),"Hoje","Pendente"))))</f>
        <v/>
      </c>
      <c r="M1340" s="114" t="str">
        <f aca="false">IF($E1340="","",IF($K1340="✓","✓ ","")&amp;IF(Config!$E$22="Sim",$H1340&amp;" · ","")&amp;$F1340)</f>
        <v/>
      </c>
      <c r="N1340" s="114" t="str">
        <f aca="false">IF($E1340="","",IFERROR(INDEX(Config!$D$15:$D$19,MATCH($I1340,Config!$C$15:$C$19,0)),"OUT")&amp;IF($K1340="✓","x",""))</f>
        <v/>
      </c>
      <c r="O1340" s="114" t="str">
        <f aca="false">IF($E1340="","",COUNTIF($E$5:$E1340,$E1340))</f>
        <v/>
      </c>
      <c r="P1340" s="114" t="str">
        <f aca="false">IF($E1340="","",$E1340*100+$O1340)</f>
        <v/>
      </c>
      <c r="Q1340" s="114" t="str">
        <f aca="false">IF($L1340="Atrasado",$E1340*10000+$A1340,"")</f>
        <v/>
      </c>
    </row>
    <row r="1341" customFormat="false" ht="15" hidden="false" customHeight="false" outlineLevel="0" collapsed="false">
      <c r="A1341" s="114" t="n">
        <f aca="false">ROW()-4</f>
        <v>1337</v>
      </c>
      <c r="B1341" s="114" t="str">
        <f aca="false">IF(A1341&lt;=Config!$E$27*Config!$E$28,"Tema","Avulso")</f>
        <v>Tema</v>
      </c>
      <c r="C1341" s="114" t="n">
        <f aca="false">IF(B1341="Tema",INT((A1341-1)/Config!$E$28)+1,A1341-Config!$E$27*Config!$E$28)</f>
        <v>223</v>
      </c>
      <c r="D1341" s="114" t="n">
        <f aca="false">IF(B1341="Tema",MOD(A1341-1,Config!$E$28)+1,"")</f>
        <v>5</v>
      </c>
      <c r="E1341" s="115" t="str">
        <f aca="false">IF($B1341="Tema",IF(ISNUMBER(INDEX(Temas!$E$6:$P$305,$C1341,2*$D1341-1)),INDEX(Temas!$E$6:$P$305,$C1341,2*$D1341-1),""),IF(ISNUMBER(INDEX(Avulsos!$B$6:$B$205,$C1341)),INDEX(Avulsos!$B$6:$B$205,$C1341),""))</f>
        <v/>
      </c>
      <c r="F1341" s="114" t="str">
        <f aca="false">IF($E1341="","",IF($B1341="Tema",INDEX(Temas!$B$6:$B$305,$C1341)&amp;"",INDEX(Avulsos!$C$6:$C$205,$C1341)&amp;""))</f>
        <v/>
      </c>
      <c r="G1341" s="114" t="str">
        <f aca="false">IF($E1341="","",IF($B1341="Tema",INDEX(Config!$C$6:$C$11,$D1341),"Evento avulso"))</f>
        <v/>
      </c>
      <c r="H1341" s="114" t="str">
        <f aca="false">IF($E1341="","",IF($B1341="Tema",INDEX(Config!$D$6:$D$11,$D1341),IFERROR(INDEX(Config!$E$15:$E$19,MATCH($I1341,Config!$C$15:$C$19,0)),"•")))</f>
        <v/>
      </c>
      <c r="I1341" s="114" t="str">
        <f aca="false">IF($E1341="","",IF($B1341="Tema",INDEX(Config!$E$6:$E$11,$D1341),IF(INDEX(Avulsos!$D$6:$D$205,$C1341)&amp;""="","Outro",INDEX(Avulsos!$D$6:$D$205,$C1341))))</f>
        <v/>
      </c>
      <c r="J1341" s="114" t="str">
        <f aca="false">IF($E1341="","",IF($B1341="Tema",INDEX(Temas!$C$6:$C$305,$C1341)&amp;"",INDEX(Avulsos!$E$6:$E$205,$C1341)&amp;""))</f>
        <v/>
      </c>
      <c r="K1341" s="114" t="str">
        <f aca="false">IF($E1341="","",IF(IF($B1341="Tema",INDEX(Temas!$E$6:$P$305,$C1341,2*$D1341),INDEX(Avulsos!$F$6:$F$205,$C1341))&amp;""="","","✓"))</f>
        <v/>
      </c>
      <c r="L1341" s="114" t="str">
        <f aca="true">IF($E1341="","",IF($K1341="✓","Concluído",IF($E1341&lt;TODAY(),"Atrasado",IF($E1341=TODAY(),"Hoje","Pendente"))))</f>
        <v/>
      </c>
      <c r="M1341" s="114" t="str">
        <f aca="false">IF($E1341="","",IF($K1341="✓","✓ ","")&amp;IF(Config!$E$22="Sim",$H1341&amp;" · ","")&amp;$F1341)</f>
        <v/>
      </c>
      <c r="N1341" s="114" t="str">
        <f aca="false">IF($E1341="","",IFERROR(INDEX(Config!$D$15:$D$19,MATCH($I1341,Config!$C$15:$C$19,0)),"OUT")&amp;IF($K1341="✓","x",""))</f>
        <v/>
      </c>
      <c r="O1341" s="114" t="str">
        <f aca="false">IF($E1341="","",COUNTIF($E$5:$E1341,$E1341))</f>
        <v/>
      </c>
      <c r="P1341" s="114" t="str">
        <f aca="false">IF($E1341="","",$E1341*100+$O1341)</f>
        <v/>
      </c>
      <c r="Q1341" s="114" t="str">
        <f aca="false">IF($L1341="Atrasado",$E1341*10000+$A1341,"")</f>
        <v/>
      </c>
    </row>
    <row r="1342" customFormat="false" ht="15" hidden="false" customHeight="false" outlineLevel="0" collapsed="false">
      <c r="A1342" s="114" t="n">
        <f aca="false">ROW()-4</f>
        <v>1338</v>
      </c>
      <c r="B1342" s="114" t="str">
        <f aca="false">IF(A1342&lt;=Config!$E$27*Config!$E$28,"Tema","Avulso")</f>
        <v>Tema</v>
      </c>
      <c r="C1342" s="114" t="n">
        <f aca="false">IF(B1342="Tema",INT((A1342-1)/Config!$E$28)+1,A1342-Config!$E$27*Config!$E$28)</f>
        <v>223</v>
      </c>
      <c r="D1342" s="114" t="n">
        <f aca="false">IF(B1342="Tema",MOD(A1342-1,Config!$E$28)+1,"")</f>
        <v>6</v>
      </c>
      <c r="E1342" s="115" t="str">
        <f aca="false">IF($B1342="Tema",IF(ISNUMBER(INDEX(Temas!$E$6:$P$305,$C1342,2*$D1342-1)),INDEX(Temas!$E$6:$P$305,$C1342,2*$D1342-1),""),IF(ISNUMBER(INDEX(Avulsos!$B$6:$B$205,$C1342)),INDEX(Avulsos!$B$6:$B$205,$C1342),""))</f>
        <v/>
      </c>
      <c r="F1342" s="114" t="str">
        <f aca="false">IF($E1342="","",IF($B1342="Tema",INDEX(Temas!$B$6:$B$305,$C1342)&amp;"",INDEX(Avulsos!$C$6:$C$205,$C1342)&amp;""))</f>
        <v/>
      </c>
      <c r="G1342" s="114" t="str">
        <f aca="false">IF($E1342="","",IF($B1342="Tema",INDEX(Config!$C$6:$C$11,$D1342),"Evento avulso"))</f>
        <v/>
      </c>
      <c r="H1342" s="114" t="str">
        <f aca="false">IF($E1342="","",IF($B1342="Tema",INDEX(Config!$D$6:$D$11,$D1342),IFERROR(INDEX(Config!$E$15:$E$19,MATCH($I1342,Config!$C$15:$C$19,0)),"•")))</f>
        <v/>
      </c>
      <c r="I1342" s="114" t="str">
        <f aca="false">IF($E1342="","",IF($B1342="Tema",INDEX(Config!$E$6:$E$11,$D1342),IF(INDEX(Avulsos!$D$6:$D$205,$C1342)&amp;""="","Outro",INDEX(Avulsos!$D$6:$D$205,$C1342))))</f>
        <v/>
      </c>
      <c r="J1342" s="114" t="str">
        <f aca="false">IF($E1342="","",IF($B1342="Tema",INDEX(Temas!$C$6:$C$305,$C1342)&amp;"",INDEX(Avulsos!$E$6:$E$205,$C1342)&amp;""))</f>
        <v/>
      </c>
      <c r="K1342" s="114" t="str">
        <f aca="false">IF($E1342="","",IF(IF($B1342="Tema",INDEX(Temas!$E$6:$P$305,$C1342,2*$D1342),INDEX(Avulsos!$F$6:$F$205,$C1342))&amp;""="","","✓"))</f>
        <v/>
      </c>
      <c r="L1342" s="114" t="str">
        <f aca="true">IF($E1342="","",IF($K1342="✓","Concluído",IF($E1342&lt;TODAY(),"Atrasado",IF($E1342=TODAY(),"Hoje","Pendente"))))</f>
        <v/>
      </c>
      <c r="M1342" s="114" t="str">
        <f aca="false">IF($E1342="","",IF($K1342="✓","✓ ","")&amp;IF(Config!$E$22="Sim",$H1342&amp;" · ","")&amp;$F1342)</f>
        <v/>
      </c>
      <c r="N1342" s="114" t="str">
        <f aca="false">IF($E1342="","",IFERROR(INDEX(Config!$D$15:$D$19,MATCH($I1342,Config!$C$15:$C$19,0)),"OUT")&amp;IF($K1342="✓","x",""))</f>
        <v/>
      </c>
      <c r="O1342" s="114" t="str">
        <f aca="false">IF($E1342="","",COUNTIF($E$5:$E1342,$E1342))</f>
        <v/>
      </c>
      <c r="P1342" s="114" t="str">
        <f aca="false">IF($E1342="","",$E1342*100+$O1342)</f>
        <v/>
      </c>
      <c r="Q1342" s="114" t="str">
        <f aca="false">IF($L1342="Atrasado",$E1342*10000+$A1342,"")</f>
        <v/>
      </c>
    </row>
    <row r="1343" customFormat="false" ht="15" hidden="false" customHeight="false" outlineLevel="0" collapsed="false">
      <c r="A1343" s="114" t="n">
        <f aca="false">ROW()-4</f>
        <v>1339</v>
      </c>
      <c r="B1343" s="114" t="str">
        <f aca="false">IF(A1343&lt;=Config!$E$27*Config!$E$28,"Tema","Avulso")</f>
        <v>Tema</v>
      </c>
      <c r="C1343" s="114" t="n">
        <f aca="false">IF(B1343="Tema",INT((A1343-1)/Config!$E$28)+1,A1343-Config!$E$27*Config!$E$28)</f>
        <v>224</v>
      </c>
      <c r="D1343" s="114" t="n">
        <f aca="false">IF(B1343="Tema",MOD(A1343-1,Config!$E$28)+1,"")</f>
        <v>1</v>
      </c>
      <c r="E1343" s="115" t="str">
        <f aca="false">IF($B1343="Tema",IF(ISNUMBER(INDEX(Temas!$E$6:$P$305,$C1343,2*$D1343-1)),INDEX(Temas!$E$6:$P$305,$C1343,2*$D1343-1),""),IF(ISNUMBER(INDEX(Avulsos!$B$6:$B$205,$C1343)),INDEX(Avulsos!$B$6:$B$205,$C1343),""))</f>
        <v/>
      </c>
      <c r="F1343" s="114" t="str">
        <f aca="false">IF($E1343="","",IF($B1343="Tema",INDEX(Temas!$B$6:$B$305,$C1343)&amp;"",INDEX(Avulsos!$C$6:$C$205,$C1343)&amp;""))</f>
        <v/>
      </c>
      <c r="G1343" s="114" t="str">
        <f aca="false">IF($E1343="","",IF($B1343="Tema",INDEX(Config!$C$6:$C$11,$D1343),"Evento avulso"))</f>
        <v/>
      </c>
      <c r="H1343" s="114" t="str">
        <f aca="false">IF($E1343="","",IF($B1343="Tema",INDEX(Config!$D$6:$D$11,$D1343),IFERROR(INDEX(Config!$E$15:$E$19,MATCH($I1343,Config!$C$15:$C$19,0)),"•")))</f>
        <v/>
      </c>
      <c r="I1343" s="114" t="str">
        <f aca="false">IF($E1343="","",IF($B1343="Tema",INDEX(Config!$E$6:$E$11,$D1343),IF(INDEX(Avulsos!$D$6:$D$205,$C1343)&amp;""="","Outro",INDEX(Avulsos!$D$6:$D$205,$C1343))))</f>
        <v/>
      </c>
      <c r="J1343" s="114" t="str">
        <f aca="false">IF($E1343="","",IF($B1343="Tema",INDEX(Temas!$C$6:$C$305,$C1343)&amp;"",INDEX(Avulsos!$E$6:$E$205,$C1343)&amp;""))</f>
        <v/>
      </c>
      <c r="K1343" s="114" t="str">
        <f aca="false">IF($E1343="","",IF(IF($B1343="Tema",INDEX(Temas!$E$6:$P$305,$C1343,2*$D1343),INDEX(Avulsos!$F$6:$F$205,$C1343))&amp;""="","","✓"))</f>
        <v/>
      </c>
      <c r="L1343" s="114" t="str">
        <f aca="true">IF($E1343="","",IF($K1343="✓","Concluído",IF($E1343&lt;TODAY(),"Atrasado",IF($E1343=TODAY(),"Hoje","Pendente"))))</f>
        <v/>
      </c>
      <c r="M1343" s="114" t="str">
        <f aca="false">IF($E1343="","",IF($K1343="✓","✓ ","")&amp;IF(Config!$E$22="Sim",$H1343&amp;" · ","")&amp;$F1343)</f>
        <v/>
      </c>
      <c r="N1343" s="114" t="str">
        <f aca="false">IF($E1343="","",IFERROR(INDEX(Config!$D$15:$D$19,MATCH($I1343,Config!$C$15:$C$19,0)),"OUT")&amp;IF($K1343="✓","x",""))</f>
        <v/>
      </c>
      <c r="O1343" s="114" t="str">
        <f aca="false">IF($E1343="","",COUNTIF($E$5:$E1343,$E1343))</f>
        <v/>
      </c>
      <c r="P1343" s="114" t="str">
        <f aca="false">IF($E1343="","",$E1343*100+$O1343)</f>
        <v/>
      </c>
      <c r="Q1343" s="114" t="str">
        <f aca="false">IF($L1343="Atrasado",$E1343*10000+$A1343,"")</f>
        <v/>
      </c>
    </row>
    <row r="1344" customFormat="false" ht="15" hidden="false" customHeight="false" outlineLevel="0" collapsed="false">
      <c r="A1344" s="114" t="n">
        <f aca="false">ROW()-4</f>
        <v>1340</v>
      </c>
      <c r="B1344" s="114" t="str">
        <f aca="false">IF(A1344&lt;=Config!$E$27*Config!$E$28,"Tema","Avulso")</f>
        <v>Tema</v>
      </c>
      <c r="C1344" s="114" t="n">
        <f aca="false">IF(B1344="Tema",INT((A1344-1)/Config!$E$28)+1,A1344-Config!$E$27*Config!$E$28)</f>
        <v>224</v>
      </c>
      <c r="D1344" s="114" t="n">
        <f aca="false">IF(B1344="Tema",MOD(A1344-1,Config!$E$28)+1,"")</f>
        <v>2</v>
      </c>
      <c r="E1344" s="115" t="str">
        <f aca="false">IF($B1344="Tema",IF(ISNUMBER(INDEX(Temas!$E$6:$P$305,$C1344,2*$D1344-1)),INDEX(Temas!$E$6:$P$305,$C1344,2*$D1344-1),""),IF(ISNUMBER(INDEX(Avulsos!$B$6:$B$205,$C1344)),INDEX(Avulsos!$B$6:$B$205,$C1344),""))</f>
        <v/>
      </c>
      <c r="F1344" s="114" t="str">
        <f aca="false">IF($E1344="","",IF($B1344="Tema",INDEX(Temas!$B$6:$B$305,$C1344)&amp;"",INDEX(Avulsos!$C$6:$C$205,$C1344)&amp;""))</f>
        <v/>
      </c>
      <c r="G1344" s="114" t="str">
        <f aca="false">IF($E1344="","",IF($B1344="Tema",INDEX(Config!$C$6:$C$11,$D1344),"Evento avulso"))</f>
        <v/>
      </c>
      <c r="H1344" s="114" t="str">
        <f aca="false">IF($E1344="","",IF($B1344="Tema",INDEX(Config!$D$6:$D$11,$D1344),IFERROR(INDEX(Config!$E$15:$E$19,MATCH($I1344,Config!$C$15:$C$19,0)),"•")))</f>
        <v/>
      </c>
      <c r="I1344" s="114" t="str">
        <f aca="false">IF($E1344="","",IF($B1344="Tema",INDEX(Config!$E$6:$E$11,$D1344),IF(INDEX(Avulsos!$D$6:$D$205,$C1344)&amp;""="","Outro",INDEX(Avulsos!$D$6:$D$205,$C1344))))</f>
        <v/>
      </c>
      <c r="J1344" s="114" t="str">
        <f aca="false">IF($E1344="","",IF($B1344="Tema",INDEX(Temas!$C$6:$C$305,$C1344)&amp;"",INDEX(Avulsos!$E$6:$E$205,$C1344)&amp;""))</f>
        <v/>
      </c>
      <c r="K1344" s="114" t="str">
        <f aca="false">IF($E1344="","",IF(IF($B1344="Tema",INDEX(Temas!$E$6:$P$305,$C1344,2*$D1344),INDEX(Avulsos!$F$6:$F$205,$C1344))&amp;""="","","✓"))</f>
        <v/>
      </c>
      <c r="L1344" s="114" t="str">
        <f aca="true">IF($E1344="","",IF($K1344="✓","Concluído",IF($E1344&lt;TODAY(),"Atrasado",IF($E1344=TODAY(),"Hoje","Pendente"))))</f>
        <v/>
      </c>
      <c r="M1344" s="114" t="str">
        <f aca="false">IF($E1344="","",IF($K1344="✓","✓ ","")&amp;IF(Config!$E$22="Sim",$H1344&amp;" · ","")&amp;$F1344)</f>
        <v/>
      </c>
      <c r="N1344" s="114" t="str">
        <f aca="false">IF($E1344="","",IFERROR(INDEX(Config!$D$15:$D$19,MATCH($I1344,Config!$C$15:$C$19,0)),"OUT")&amp;IF($K1344="✓","x",""))</f>
        <v/>
      </c>
      <c r="O1344" s="114" t="str">
        <f aca="false">IF($E1344="","",COUNTIF($E$5:$E1344,$E1344))</f>
        <v/>
      </c>
      <c r="P1344" s="114" t="str">
        <f aca="false">IF($E1344="","",$E1344*100+$O1344)</f>
        <v/>
      </c>
      <c r="Q1344" s="114" t="str">
        <f aca="false">IF($L1344="Atrasado",$E1344*10000+$A1344,"")</f>
        <v/>
      </c>
    </row>
    <row r="1345" customFormat="false" ht="15" hidden="false" customHeight="false" outlineLevel="0" collapsed="false">
      <c r="A1345" s="114" t="n">
        <f aca="false">ROW()-4</f>
        <v>1341</v>
      </c>
      <c r="B1345" s="114" t="str">
        <f aca="false">IF(A1345&lt;=Config!$E$27*Config!$E$28,"Tema","Avulso")</f>
        <v>Tema</v>
      </c>
      <c r="C1345" s="114" t="n">
        <f aca="false">IF(B1345="Tema",INT((A1345-1)/Config!$E$28)+1,A1345-Config!$E$27*Config!$E$28)</f>
        <v>224</v>
      </c>
      <c r="D1345" s="114" t="n">
        <f aca="false">IF(B1345="Tema",MOD(A1345-1,Config!$E$28)+1,"")</f>
        <v>3</v>
      </c>
      <c r="E1345" s="115" t="str">
        <f aca="false">IF($B1345="Tema",IF(ISNUMBER(INDEX(Temas!$E$6:$P$305,$C1345,2*$D1345-1)),INDEX(Temas!$E$6:$P$305,$C1345,2*$D1345-1),""),IF(ISNUMBER(INDEX(Avulsos!$B$6:$B$205,$C1345)),INDEX(Avulsos!$B$6:$B$205,$C1345),""))</f>
        <v/>
      </c>
      <c r="F1345" s="114" t="str">
        <f aca="false">IF($E1345="","",IF($B1345="Tema",INDEX(Temas!$B$6:$B$305,$C1345)&amp;"",INDEX(Avulsos!$C$6:$C$205,$C1345)&amp;""))</f>
        <v/>
      </c>
      <c r="G1345" s="114" t="str">
        <f aca="false">IF($E1345="","",IF($B1345="Tema",INDEX(Config!$C$6:$C$11,$D1345),"Evento avulso"))</f>
        <v/>
      </c>
      <c r="H1345" s="114" t="str">
        <f aca="false">IF($E1345="","",IF($B1345="Tema",INDEX(Config!$D$6:$D$11,$D1345),IFERROR(INDEX(Config!$E$15:$E$19,MATCH($I1345,Config!$C$15:$C$19,0)),"•")))</f>
        <v/>
      </c>
      <c r="I1345" s="114" t="str">
        <f aca="false">IF($E1345="","",IF($B1345="Tema",INDEX(Config!$E$6:$E$11,$D1345),IF(INDEX(Avulsos!$D$6:$D$205,$C1345)&amp;""="","Outro",INDEX(Avulsos!$D$6:$D$205,$C1345))))</f>
        <v/>
      </c>
      <c r="J1345" s="114" t="str">
        <f aca="false">IF($E1345="","",IF($B1345="Tema",INDEX(Temas!$C$6:$C$305,$C1345)&amp;"",INDEX(Avulsos!$E$6:$E$205,$C1345)&amp;""))</f>
        <v/>
      </c>
      <c r="K1345" s="114" t="str">
        <f aca="false">IF($E1345="","",IF(IF($B1345="Tema",INDEX(Temas!$E$6:$P$305,$C1345,2*$D1345),INDEX(Avulsos!$F$6:$F$205,$C1345))&amp;""="","","✓"))</f>
        <v/>
      </c>
      <c r="L1345" s="114" t="str">
        <f aca="true">IF($E1345="","",IF($K1345="✓","Concluído",IF($E1345&lt;TODAY(),"Atrasado",IF($E1345=TODAY(),"Hoje","Pendente"))))</f>
        <v/>
      </c>
      <c r="M1345" s="114" t="str">
        <f aca="false">IF($E1345="","",IF($K1345="✓","✓ ","")&amp;IF(Config!$E$22="Sim",$H1345&amp;" · ","")&amp;$F1345)</f>
        <v/>
      </c>
      <c r="N1345" s="114" t="str">
        <f aca="false">IF($E1345="","",IFERROR(INDEX(Config!$D$15:$D$19,MATCH($I1345,Config!$C$15:$C$19,0)),"OUT")&amp;IF($K1345="✓","x",""))</f>
        <v/>
      </c>
      <c r="O1345" s="114" t="str">
        <f aca="false">IF($E1345="","",COUNTIF($E$5:$E1345,$E1345))</f>
        <v/>
      </c>
      <c r="P1345" s="114" t="str">
        <f aca="false">IF($E1345="","",$E1345*100+$O1345)</f>
        <v/>
      </c>
      <c r="Q1345" s="114" t="str">
        <f aca="false">IF($L1345="Atrasado",$E1345*10000+$A1345,"")</f>
        <v/>
      </c>
    </row>
    <row r="1346" customFormat="false" ht="15" hidden="false" customHeight="false" outlineLevel="0" collapsed="false">
      <c r="A1346" s="114" t="n">
        <f aca="false">ROW()-4</f>
        <v>1342</v>
      </c>
      <c r="B1346" s="114" t="str">
        <f aca="false">IF(A1346&lt;=Config!$E$27*Config!$E$28,"Tema","Avulso")</f>
        <v>Tema</v>
      </c>
      <c r="C1346" s="114" t="n">
        <f aca="false">IF(B1346="Tema",INT((A1346-1)/Config!$E$28)+1,A1346-Config!$E$27*Config!$E$28)</f>
        <v>224</v>
      </c>
      <c r="D1346" s="114" t="n">
        <f aca="false">IF(B1346="Tema",MOD(A1346-1,Config!$E$28)+1,"")</f>
        <v>4</v>
      </c>
      <c r="E1346" s="115" t="str">
        <f aca="false">IF($B1346="Tema",IF(ISNUMBER(INDEX(Temas!$E$6:$P$305,$C1346,2*$D1346-1)),INDEX(Temas!$E$6:$P$305,$C1346,2*$D1346-1),""),IF(ISNUMBER(INDEX(Avulsos!$B$6:$B$205,$C1346)),INDEX(Avulsos!$B$6:$B$205,$C1346),""))</f>
        <v/>
      </c>
      <c r="F1346" s="114" t="str">
        <f aca="false">IF($E1346="","",IF($B1346="Tema",INDEX(Temas!$B$6:$B$305,$C1346)&amp;"",INDEX(Avulsos!$C$6:$C$205,$C1346)&amp;""))</f>
        <v/>
      </c>
      <c r="G1346" s="114" t="str">
        <f aca="false">IF($E1346="","",IF($B1346="Tema",INDEX(Config!$C$6:$C$11,$D1346),"Evento avulso"))</f>
        <v/>
      </c>
      <c r="H1346" s="114" t="str">
        <f aca="false">IF($E1346="","",IF($B1346="Tema",INDEX(Config!$D$6:$D$11,$D1346),IFERROR(INDEX(Config!$E$15:$E$19,MATCH($I1346,Config!$C$15:$C$19,0)),"•")))</f>
        <v/>
      </c>
      <c r="I1346" s="114" t="str">
        <f aca="false">IF($E1346="","",IF($B1346="Tema",INDEX(Config!$E$6:$E$11,$D1346),IF(INDEX(Avulsos!$D$6:$D$205,$C1346)&amp;""="","Outro",INDEX(Avulsos!$D$6:$D$205,$C1346))))</f>
        <v/>
      </c>
      <c r="J1346" s="114" t="str">
        <f aca="false">IF($E1346="","",IF($B1346="Tema",INDEX(Temas!$C$6:$C$305,$C1346)&amp;"",INDEX(Avulsos!$E$6:$E$205,$C1346)&amp;""))</f>
        <v/>
      </c>
      <c r="K1346" s="114" t="str">
        <f aca="false">IF($E1346="","",IF(IF($B1346="Tema",INDEX(Temas!$E$6:$P$305,$C1346,2*$D1346),INDEX(Avulsos!$F$6:$F$205,$C1346))&amp;""="","","✓"))</f>
        <v/>
      </c>
      <c r="L1346" s="114" t="str">
        <f aca="true">IF($E1346="","",IF($K1346="✓","Concluído",IF($E1346&lt;TODAY(),"Atrasado",IF($E1346=TODAY(),"Hoje","Pendente"))))</f>
        <v/>
      </c>
      <c r="M1346" s="114" t="str">
        <f aca="false">IF($E1346="","",IF($K1346="✓","✓ ","")&amp;IF(Config!$E$22="Sim",$H1346&amp;" · ","")&amp;$F1346)</f>
        <v/>
      </c>
      <c r="N1346" s="114" t="str">
        <f aca="false">IF($E1346="","",IFERROR(INDEX(Config!$D$15:$D$19,MATCH($I1346,Config!$C$15:$C$19,0)),"OUT")&amp;IF($K1346="✓","x",""))</f>
        <v/>
      </c>
      <c r="O1346" s="114" t="str">
        <f aca="false">IF($E1346="","",COUNTIF($E$5:$E1346,$E1346))</f>
        <v/>
      </c>
      <c r="P1346" s="114" t="str">
        <f aca="false">IF($E1346="","",$E1346*100+$O1346)</f>
        <v/>
      </c>
      <c r="Q1346" s="114" t="str">
        <f aca="false">IF($L1346="Atrasado",$E1346*10000+$A1346,"")</f>
        <v/>
      </c>
    </row>
    <row r="1347" customFormat="false" ht="15" hidden="false" customHeight="false" outlineLevel="0" collapsed="false">
      <c r="A1347" s="114" t="n">
        <f aca="false">ROW()-4</f>
        <v>1343</v>
      </c>
      <c r="B1347" s="114" t="str">
        <f aca="false">IF(A1347&lt;=Config!$E$27*Config!$E$28,"Tema","Avulso")</f>
        <v>Tema</v>
      </c>
      <c r="C1347" s="114" t="n">
        <f aca="false">IF(B1347="Tema",INT((A1347-1)/Config!$E$28)+1,A1347-Config!$E$27*Config!$E$28)</f>
        <v>224</v>
      </c>
      <c r="D1347" s="114" t="n">
        <f aca="false">IF(B1347="Tema",MOD(A1347-1,Config!$E$28)+1,"")</f>
        <v>5</v>
      </c>
      <c r="E1347" s="115" t="str">
        <f aca="false">IF($B1347="Tema",IF(ISNUMBER(INDEX(Temas!$E$6:$P$305,$C1347,2*$D1347-1)),INDEX(Temas!$E$6:$P$305,$C1347,2*$D1347-1),""),IF(ISNUMBER(INDEX(Avulsos!$B$6:$B$205,$C1347)),INDEX(Avulsos!$B$6:$B$205,$C1347),""))</f>
        <v/>
      </c>
      <c r="F1347" s="114" t="str">
        <f aca="false">IF($E1347="","",IF($B1347="Tema",INDEX(Temas!$B$6:$B$305,$C1347)&amp;"",INDEX(Avulsos!$C$6:$C$205,$C1347)&amp;""))</f>
        <v/>
      </c>
      <c r="G1347" s="114" t="str">
        <f aca="false">IF($E1347="","",IF($B1347="Tema",INDEX(Config!$C$6:$C$11,$D1347),"Evento avulso"))</f>
        <v/>
      </c>
      <c r="H1347" s="114" t="str">
        <f aca="false">IF($E1347="","",IF($B1347="Tema",INDEX(Config!$D$6:$D$11,$D1347),IFERROR(INDEX(Config!$E$15:$E$19,MATCH($I1347,Config!$C$15:$C$19,0)),"•")))</f>
        <v/>
      </c>
      <c r="I1347" s="114" t="str">
        <f aca="false">IF($E1347="","",IF($B1347="Tema",INDEX(Config!$E$6:$E$11,$D1347),IF(INDEX(Avulsos!$D$6:$D$205,$C1347)&amp;""="","Outro",INDEX(Avulsos!$D$6:$D$205,$C1347))))</f>
        <v/>
      </c>
      <c r="J1347" s="114" t="str">
        <f aca="false">IF($E1347="","",IF($B1347="Tema",INDEX(Temas!$C$6:$C$305,$C1347)&amp;"",INDEX(Avulsos!$E$6:$E$205,$C1347)&amp;""))</f>
        <v/>
      </c>
      <c r="K1347" s="114" t="str">
        <f aca="false">IF($E1347="","",IF(IF($B1347="Tema",INDEX(Temas!$E$6:$P$305,$C1347,2*$D1347),INDEX(Avulsos!$F$6:$F$205,$C1347))&amp;""="","","✓"))</f>
        <v/>
      </c>
      <c r="L1347" s="114" t="str">
        <f aca="true">IF($E1347="","",IF($K1347="✓","Concluído",IF($E1347&lt;TODAY(),"Atrasado",IF($E1347=TODAY(),"Hoje","Pendente"))))</f>
        <v/>
      </c>
      <c r="M1347" s="114" t="str">
        <f aca="false">IF($E1347="","",IF($K1347="✓","✓ ","")&amp;IF(Config!$E$22="Sim",$H1347&amp;" · ","")&amp;$F1347)</f>
        <v/>
      </c>
      <c r="N1347" s="114" t="str">
        <f aca="false">IF($E1347="","",IFERROR(INDEX(Config!$D$15:$D$19,MATCH($I1347,Config!$C$15:$C$19,0)),"OUT")&amp;IF($K1347="✓","x",""))</f>
        <v/>
      </c>
      <c r="O1347" s="114" t="str">
        <f aca="false">IF($E1347="","",COUNTIF($E$5:$E1347,$E1347))</f>
        <v/>
      </c>
      <c r="P1347" s="114" t="str">
        <f aca="false">IF($E1347="","",$E1347*100+$O1347)</f>
        <v/>
      </c>
      <c r="Q1347" s="114" t="str">
        <f aca="false">IF($L1347="Atrasado",$E1347*10000+$A1347,"")</f>
        <v/>
      </c>
    </row>
    <row r="1348" customFormat="false" ht="15" hidden="false" customHeight="false" outlineLevel="0" collapsed="false">
      <c r="A1348" s="114" t="n">
        <f aca="false">ROW()-4</f>
        <v>1344</v>
      </c>
      <c r="B1348" s="114" t="str">
        <f aca="false">IF(A1348&lt;=Config!$E$27*Config!$E$28,"Tema","Avulso")</f>
        <v>Tema</v>
      </c>
      <c r="C1348" s="114" t="n">
        <f aca="false">IF(B1348="Tema",INT((A1348-1)/Config!$E$28)+1,A1348-Config!$E$27*Config!$E$28)</f>
        <v>224</v>
      </c>
      <c r="D1348" s="114" t="n">
        <f aca="false">IF(B1348="Tema",MOD(A1348-1,Config!$E$28)+1,"")</f>
        <v>6</v>
      </c>
      <c r="E1348" s="115" t="str">
        <f aca="false">IF($B1348="Tema",IF(ISNUMBER(INDEX(Temas!$E$6:$P$305,$C1348,2*$D1348-1)),INDEX(Temas!$E$6:$P$305,$C1348,2*$D1348-1),""),IF(ISNUMBER(INDEX(Avulsos!$B$6:$B$205,$C1348)),INDEX(Avulsos!$B$6:$B$205,$C1348),""))</f>
        <v/>
      </c>
      <c r="F1348" s="114" t="str">
        <f aca="false">IF($E1348="","",IF($B1348="Tema",INDEX(Temas!$B$6:$B$305,$C1348)&amp;"",INDEX(Avulsos!$C$6:$C$205,$C1348)&amp;""))</f>
        <v/>
      </c>
      <c r="G1348" s="114" t="str">
        <f aca="false">IF($E1348="","",IF($B1348="Tema",INDEX(Config!$C$6:$C$11,$D1348),"Evento avulso"))</f>
        <v/>
      </c>
      <c r="H1348" s="114" t="str">
        <f aca="false">IF($E1348="","",IF($B1348="Tema",INDEX(Config!$D$6:$D$11,$D1348),IFERROR(INDEX(Config!$E$15:$E$19,MATCH($I1348,Config!$C$15:$C$19,0)),"•")))</f>
        <v/>
      </c>
      <c r="I1348" s="114" t="str">
        <f aca="false">IF($E1348="","",IF($B1348="Tema",INDEX(Config!$E$6:$E$11,$D1348),IF(INDEX(Avulsos!$D$6:$D$205,$C1348)&amp;""="","Outro",INDEX(Avulsos!$D$6:$D$205,$C1348))))</f>
        <v/>
      </c>
      <c r="J1348" s="114" t="str">
        <f aca="false">IF($E1348="","",IF($B1348="Tema",INDEX(Temas!$C$6:$C$305,$C1348)&amp;"",INDEX(Avulsos!$E$6:$E$205,$C1348)&amp;""))</f>
        <v/>
      </c>
      <c r="K1348" s="114" t="str">
        <f aca="false">IF($E1348="","",IF(IF($B1348="Tema",INDEX(Temas!$E$6:$P$305,$C1348,2*$D1348),INDEX(Avulsos!$F$6:$F$205,$C1348))&amp;""="","","✓"))</f>
        <v/>
      </c>
      <c r="L1348" s="114" t="str">
        <f aca="true">IF($E1348="","",IF($K1348="✓","Concluído",IF($E1348&lt;TODAY(),"Atrasado",IF($E1348=TODAY(),"Hoje","Pendente"))))</f>
        <v/>
      </c>
      <c r="M1348" s="114" t="str">
        <f aca="false">IF($E1348="","",IF($K1348="✓","✓ ","")&amp;IF(Config!$E$22="Sim",$H1348&amp;" · ","")&amp;$F1348)</f>
        <v/>
      </c>
      <c r="N1348" s="114" t="str">
        <f aca="false">IF($E1348="","",IFERROR(INDEX(Config!$D$15:$D$19,MATCH($I1348,Config!$C$15:$C$19,0)),"OUT")&amp;IF($K1348="✓","x",""))</f>
        <v/>
      </c>
      <c r="O1348" s="114" t="str">
        <f aca="false">IF($E1348="","",COUNTIF($E$5:$E1348,$E1348))</f>
        <v/>
      </c>
      <c r="P1348" s="114" t="str">
        <f aca="false">IF($E1348="","",$E1348*100+$O1348)</f>
        <v/>
      </c>
      <c r="Q1348" s="114" t="str">
        <f aca="false">IF($L1348="Atrasado",$E1348*10000+$A1348,"")</f>
        <v/>
      </c>
    </row>
    <row r="1349" customFormat="false" ht="15" hidden="false" customHeight="false" outlineLevel="0" collapsed="false">
      <c r="A1349" s="114" t="n">
        <f aca="false">ROW()-4</f>
        <v>1345</v>
      </c>
      <c r="B1349" s="114" t="str">
        <f aca="false">IF(A1349&lt;=Config!$E$27*Config!$E$28,"Tema","Avulso")</f>
        <v>Tema</v>
      </c>
      <c r="C1349" s="114" t="n">
        <f aca="false">IF(B1349="Tema",INT((A1349-1)/Config!$E$28)+1,A1349-Config!$E$27*Config!$E$28)</f>
        <v>225</v>
      </c>
      <c r="D1349" s="114" t="n">
        <f aca="false">IF(B1349="Tema",MOD(A1349-1,Config!$E$28)+1,"")</f>
        <v>1</v>
      </c>
      <c r="E1349" s="115" t="str">
        <f aca="false">IF($B1349="Tema",IF(ISNUMBER(INDEX(Temas!$E$6:$P$305,$C1349,2*$D1349-1)),INDEX(Temas!$E$6:$P$305,$C1349,2*$D1349-1),""),IF(ISNUMBER(INDEX(Avulsos!$B$6:$B$205,$C1349)),INDEX(Avulsos!$B$6:$B$205,$C1349),""))</f>
        <v/>
      </c>
      <c r="F1349" s="114" t="str">
        <f aca="false">IF($E1349="","",IF($B1349="Tema",INDEX(Temas!$B$6:$B$305,$C1349)&amp;"",INDEX(Avulsos!$C$6:$C$205,$C1349)&amp;""))</f>
        <v/>
      </c>
      <c r="G1349" s="114" t="str">
        <f aca="false">IF($E1349="","",IF($B1349="Tema",INDEX(Config!$C$6:$C$11,$D1349),"Evento avulso"))</f>
        <v/>
      </c>
      <c r="H1349" s="114" t="str">
        <f aca="false">IF($E1349="","",IF($B1349="Tema",INDEX(Config!$D$6:$D$11,$D1349),IFERROR(INDEX(Config!$E$15:$E$19,MATCH($I1349,Config!$C$15:$C$19,0)),"•")))</f>
        <v/>
      </c>
      <c r="I1349" s="114" t="str">
        <f aca="false">IF($E1349="","",IF($B1349="Tema",INDEX(Config!$E$6:$E$11,$D1349),IF(INDEX(Avulsos!$D$6:$D$205,$C1349)&amp;""="","Outro",INDEX(Avulsos!$D$6:$D$205,$C1349))))</f>
        <v/>
      </c>
      <c r="J1349" s="114" t="str">
        <f aca="false">IF($E1349="","",IF($B1349="Tema",INDEX(Temas!$C$6:$C$305,$C1349)&amp;"",INDEX(Avulsos!$E$6:$E$205,$C1349)&amp;""))</f>
        <v/>
      </c>
      <c r="K1349" s="114" t="str">
        <f aca="false">IF($E1349="","",IF(IF($B1349="Tema",INDEX(Temas!$E$6:$P$305,$C1349,2*$D1349),INDEX(Avulsos!$F$6:$F$205,$C1349))&amp;""="","","✓"))</f>
        <v/>
      </c>
      <c r="L1349" s="114" t="str">
        <f aca="true">IF($E1349="","",IF($K1349="✓","Concluído",IF($E1349&lt;TODAY(),"Atrasado",IF($E1349=TODAY(),"Hoje","Pendente"))))</f>
        <v/>
      </c>
      <c r="M1349" s="114" t="str">
        <f aca="false">IF($E1349="","",IF($K1349="✓","✓ ","")&amp;IF(Config!$E$22="Sim",$H1349&amp;" · ","")&amp;$F1349)</f>
        <v/>
      </c>
      <c r="N1349" s="114" t="str">
        <f aca="false">IF($E1349="","",IFERROR(INDEX(Config!$D$15:$D$19,MATCH($I1349,Config!$C$15:$C$19,0)),"OUT")&amp;IF($K1349="✓","x",""))</f>
        <v/>
      </c>
      <c r="O1349" s="114" t="str">
        <f aca="false">IF($E1349="","",COUNTIF($E$5:$E1349,$E1349))</f>
        <v/>
      </c>
      <c r="P1349" s="114" t="str">
        <f aca="false">IF($E1349="","",$E1349*100+$O1349)</f>
        <v/>
      </c>
      <c r="Q1349" s="114" t="str">
        <f aca="false">IF($L1349="Atrasado",$E1349*10000+$A1349,"")</f>
        <v/>
      </c>
    </row>
    <row r="1350" customFormat="false" ht="15" hidden="false" customHeight="false" outlineLevel="0" collapsed="false">
      <c r="A1350" s="114" t="n">
        <f aca="false">ROW()-4</f>
        <v>1346</v>
      </c>
      <c r="B1350" s="114" t="str">
        <f aca="false">IF(A1350&lt;=Config!$E$27*Config!$E$28,"Tema","Avulso")</f>
        <v>Tema</v>
      </c>
      <c r="C1350" s="114" t="n">
        <f aca="false">IF(B1350="Tema",INT((A1350-1)/Config!$E$28)+1,A1350-Config!$E$27*Config!$E$28)</f>
        <v>225</v>
      </c>
      <c r="D1350" s="114" t="n">
        <f aca="false">IF(B1350="Tema",MOD(A1350-1,Config!$E$28)+1,"")</f>
        <v>2</v>
      </c>
      <c r="E1350" s="115" t="str">
        <f aca="false">IF($B1350="Tema",IF(ISNUMBER(INDEX(Temas!$E$6:$P$305,$C1350,2*$D1350-1)),INDEX(Temas!$E$6:$P$305,$C1350,2*$D1350-1),""),IF(ISNUMBER(INDEX(Avulsos!$B$6:$B$205,$C1350)),INDEX(Avulsos!$B$6:$B$205,$C1350),""))</f>
        <v/>
      </c>
      <c r="F1350" s="114" t="str">
        <f aca="false">IF($E1350="","",IF($B1350="Tema",INDEX(Temas!$B$6:$B$305,$C1350)&amp;"",INDEX(Avulsos!$C$6:$C$205,$C1350)&amp;""))</f>
        <v/>
      </c>
      <c r="G1350" s="114" t="str">
        <f aca="false">IF($E1350="","",IF($B1350="Tema",INDEX(Config!$C$6:$C$11,$D1350),"Evento avulso"))</f>
        <v/>
      </c>
      <c r="H1350" s="114" t="str">
        <f aca="false">IF($E1350="","",IF($B1350="Tema",INDEX(Config!$D$6:$D$11,$D1350),IFERROR(INDEX(Config!$E$15:$E$19,MATCH($I1350,Config!$C$15:$C$19,0)),"•")))</f>
        <v/>
      </c>
      <c r="I1350" s="114" t="str">
        <f aca="false">IF($E1350="","",IF($B1350="Tema",INDEX(Config!$E$6:$E$11,$D1350),IF(INDEX(Avulsos!$D$6:$D$205,$C1350)&amp;""="","Outro",INDEX(Avulsos!$D$6:$D$205,$C1350))))</f>
        <v/>
      </c>
      <c r="J1350" s="114" t="str">
        <f aca="false">IF($E1350="","",IF($B1350="Tema",INDEX(Temas!$C$6:$C$305,$C1350)&amp;"",INDEX(Avulsos!$E$6:$E$205,$C1350)&amp;""))</f>
        <v/>
      </c>
      <c r="K1350" s="114" t="str">
        <f aca="false">IF($E1350="","",IF(IF($B1350="Tema",INDEX(Temas!$E$6:$P$305,$C1350,2*$D1350),INDEX(Avulsos!$F$6:$F$205,$C1350))&amp;""="","","✓"))</f>
        <v/>
      </c>
      <c r="L1350" s="114" t="str">
        <f aca="true">IF($E1350="","",IF($K1350="✓","Concluído",IF($E1350&lt;TODAY(),"Atrasado",IF($E1350=TODAY(),"Hoje","Pendente"))))</f>
        <v/>
      </c>
      <c r="M1350" s="114" t="str">
        <f aca="false">IF($E1350="","",IF($K1350="✓","✓ ","")&amp;IF(Config!$E$22="Sim",$H1350&amp;" · ","")&amp;$F1350)</f>
        <v/>
      </c>
      <c r="N1350" s="114" t="str">
        <f aca="false">IF($E1350="","",IFERROR(INDEX(Config!$D$15:$D$19,MATCH($I1350,Config!$C$15:$C$19,0)),"OUT")&amp;IF($K1350="✓","x",""))</f>
        <v/>
      </c>
      <c r="O1350" s="114" t="str">
        <f aca="false">IF($E1350="","",COUNTIF($E$5:$E1350,$E1350))</f>
        <v/>
      </c>
      <c r="P1350" s="114" t="str">
        <f aca="false">IF($E1350="","",$E1350*100+$O1350)</f>
        <v/>
      </c>
      <c r="Q1350" s="114" t="str">
        <f aca="false">IF($L1350="Atrasado",$E1350*10000+$A1350,"")</f>
        <v/>
      </c>
    </row>
    <row r="1351" customFormat="false" ht="15" hidden="false" customHeight="false" outlineLevel="0" collapsed="false">
      <c r="A1351" s="114" t="n">
        <f aca="false">ROW()-4</f>
        <v>1347</v>
      </c>
      <c r="B1351" s="114" t="str">
        <f aca="false">IF(A1351&lt;=Config!$E$27*Config!$E$28,"Tema","Avulso")</f>
        <v>Tema</v>
      </c>
      <c r="C1351" s="114" t="n">
        <f aca="false">IF(B1351="Tema",INT((A1351-1)/Config!$E$28)+1,A1351-Config!$E$27*Config!$E$28)</f>
        <v>225</v>
      </c>
      <c r="D1351" s="114" t="n">
        <f aca="false">IF(B1351="Tema",MOD(A1351-1,Config!$E$28)+1,"")</f>
        <v>3</v>
      </c>
      <c r="E1351" s="115" t="str">
        <f aca="false">IF($B1351="Tema",IF(ISNUMBER(INDEX(Temas!$E$6:$P$305,$C1351,2*$D1351-1)),INDEX(Temas!$E$6:$P$305,$C1351,2*$D1351-1),""),IF(ISNUMBER(INDEX(Avulsos!$B$6:$B$205,$C1351)),INDEX(Avulsos!$B$6:$B$205,$C1351),""))</f>
        <v/>
      </c>
      <c r="F1351" s="114" t="str">
        <f aca="false">IF($E1351="","",IF($B1351="Tema",INDEX(Temas!$B$6:$B$305,$C1351)&amp;"",INDEX(Avulsos!$C$6:$C$205,$C1351)&amp;""))</f>
        <v/>
      </c>
      <c r="G1351" s="114" t="str">
        <f aca="false">IF($E1351="","",IF($B1351="Tema",INDEX(Config!$C$6:$C$11,$D1351),"Evento avulso"))</f>
        <v/>
      </c>
      <c r="H1351" s="114" t="str">
        <f aca="false">IF($E1351="","",IF($B1351="Tema",INDEX(Config!$D$6:$D$11,$D1351),IFERROR(INDEX(Config!$E$15:$E$19,MATCH($I1351,Config!$C$15:$C$19,0)),"•")))</f>
        <v/>
      </c>
      <c r="I1351" s="114" t="str">
        <f aca="false">IF($E1351="","",IF($B1351="Tema",INDEX(Config!$E$6:$E$11,$D1351),IF(INDEX(Avulsos!$D$6:$D$205,$C1351)&amp;""="","Outro",INDEX(Avulsos!$D$6:$D$205,$C1351))))</f>
        <v/>
      </c>
      <c r="J1351" s="114" t="str">
        <f aca="false">IF($E1351="","",IF($B1351="Tema",INDEX(Temas!$C$6:$C$305,$C1351)&amp;"",INDEX(Avulsos!$E$6:$E$205,$C1351)&amp;""))</f>
        <v/>
      </c>
      <c r="K1351" s="114" t="str">
        <f aca="false">IF($E1351="","",IF(IF($B1351="Tema",INDEX(Temas!$E$6:$P$305,$C1351,2*$D1351),INDEX(Avulsos!$F$6:$F$205,$C1351))&amp;""="","","✓"))</f>
        <v/>
      </c>
      <c r="L1351" s="114" t="str">
        <f aca="true">IF($E1351="","",IF($K1351="✓","Concluído",IF($E1351&lt;TODAY(),"Atrasado",IF($E1351=TODAY(),"Hoje","Pendente"))))</f>
        <v/>
      </c>
      <c r="M1351" s="114" t="str">
        <f aca="false">IF($E1351="","",IF($K1351="✓","✓ ","")&amp;IF(Config!$E$22="Sim",$H1351&amp;" · ","")&amp;$F1351)</f>
        <v/>
      </c>
      <c r="N1351" s="114" t="str">
        <f aca="false">IF($E1351="","",IFERROR(INDEX(Config!$D$15:$D$19,MATCH($I1351,Config!$C$15:$C$19,0)),"OUT")&amp;IF($K1351="✓","x",""))</f>
        <v/>
      </c>
      <c r="O1351" s="114" t="str">
        <f aca="false">IF($E1351="","",COUNTIF($E$5:$E1351,$E1351))</f>
        <v/>
      </c>
      <c r="P1351" s="114" t="str">
        <f aca="false">IF($E1351="","",$E1351*100+$O1351)</f>
        <v/>
      </c>
      <c r="Q1351" s="114" t="str">
        <f aca="false">IF($L1351="Atrasado",$E1351*10000+$A1351,"")</f>
        <v/>
      </c>
    </row>
    <row r="1352" customFormat="false" ht="15" hidden="false" customHeight="false" outlineLevel="0" collapsed="false">
      <c r="A1352" s="114" t="n">
        <f aca="false">ROW()-4</f>
        <v>1348</v>
      </c>
      <c r="B1352" s="114" t="str">
        <f aca="false">IF(A1352&lt;=Config!$E$27*Config!$E$28,"Tema","Avulso")</f>
        <v>Tema</v>
      </c>
      <c r="C1352" s="114" t="n">
        <f aca="false">IF(B1352="Tema",INT((A1352-1)/Config!$E$28)+1,A1352-Config!$E$27*Config!$E$28)</f>
        <v>225</v>
      </c>
      <c r="D1352" s="114" t="n">
        <f aca="false">IF(B1352="Tema",MOD(A1352-1,Config!$E$28)+1,"")</f>
        <v>4</v>
      </c>
      <c r="E1352" s="115" t="str">
        <f aca="false">IF($B1352="Tema",IF(ISNUMBER(INDEX(Temas!$E$6:$P$305,$C1352,2*$D1352-1)),INDEX(Temas!$E$6:$P$305,$C1352,2*$D1352-1),""),IF(ISNUMBER(INDEX(Avulsos!$B$6:$B$205,$C1352)),INDEX(Avulsos!$B$6:$B$205,$C1352),""))</f>
        <v/>
      </c>
      <c r="F1352" s="114" t="str">
        <f aca="false">IF($E1352="","",IF($B1352="Tema",INDEX(Temas!$B$6:$B$305,$C1352)&amp;"",INDEX(Avulsos!$C$6:$C$205,$C1352)&amp;""))</f>
        <v/>
      </c>
      <c r="G1352" s="114" t="str">
        <f aca="false">IF($E1352="","",IF($B1352="Tema",INDEX(Config!$C$6:$C$11,$D1352),"Evento avulso"))</f>
        <v/>
      </c>
      <c r="H1352" s="114" t="str">
        <f aca="false">IF($E1352="","",IF($B1352="Tema",INDEX(Config!$D$6:$D$11,$D1352),IFERROR(INDEX(Config!$E$15:$E$19,MATCH($I1352,Config!$C$15:$C$19,0)),"•")))</f>
        <v/>
      </c>
      <c r="I1352" s="114" t="str">
        <f aca="false">IF($E1352="","",IF($B1352="Tema",INDEX(Config!$E$6:$E$11,$D1352),IF(INDEX(Avulsos!$D$6:$D$205,$C1352)&amp;""="","Outro",INDEX(Avulsos!$D$6:$D$205,$C1352))))</f>
        <v/>
      </c>
      <c r="J1352" s="114" t="str">
        <f aca="false">IF($E1352="","",IF($B1352="Tema",INDEX(Temas!$C$6:$C$305,$C1352)&amp;"",INDEX(Avulsos!$E$6:$E$205,$C1352)&amp;""))</f>
        <v/>
      </c>
      <c r="K1352" s="114" t="str">
        <f aca="false">IF($E1352="","",IF(IF($B1352="Tema",INDEX(Temas!$E$6:$P$305,$C1352,2*$D1352),INDEX(Avulsos!$F$6:$F$205,$C1352))&amp;""="","","✓"))</f>
        <v/>
      </c>
      <c r="L1352" s="114" t="str">
        <f aca="true">IF($E1352="","",IF($K1352="✓","Concluído",IF($E1352&lt;TODAY(),"Atrasado",IF($E1352=TODAY(),"Hoje","Pendente"))))</f>
        <v/>
      </c>
      <c r="M1352" s="114" t="str">
        <f aca="false">IF($E1352="","",IF($K1352="✓","✓ ","")&amp;IF(Config!$E$22="Sim",$H1352&amp;" · ","")&amp;$F1352)</f>
        <v/>
      </c>
      <c r="N1352" s="114" t="str">
        <f aca="false">IF($E1352="","",IFERROR(INDEX(Config!$D$15:$D$19,MATCH($I1352,Config!$C$15:$C$19,0)),"OUT")&amp;IF($K1352="✓","x",""))</f>
        <v/>
      </c>
      <c r="O1352" s="114" t="str">
        <f aca="false">IF($E1352="","",COUNTIF($E$5:$E1352,$E1352))</f>
        <v/>
      </c>
      <c r="P1352" s="114" t="str">
        <f aca="false">IF($E1352="","",$E1352*100+$O1352)</f>
        <v/>
      </c>
      <c r="Q1352" s="114" t="str">
        <f aca="false">IF($L1352="Atrasado",$E1352*10000+$A1352,"")</f>
        <v/>
      </c>
    </row>
    <row r="1353" customFormat="false" ht="15" hidden="false" customHeight="false" outlineLevel="0" collapsed="false">
      <c r="A1353" s="114" t="n">
        <f aca="false">ROW()-4</f>
        <v>1349</v>
      </c>
      <c r="B1353" s="114" t="str">
        <f aca="false">IF(A1353&lt;=Config!$E$27*Config!$E$28,"Tema","Avulso")</f>
        <v>Tema</v>
      </c>
      <c r="C1353" s="114" t="n">
        <f aca="false">IF(B1353="Tema",INT((A1353-1)/Config!$E$28)+1,A1353-Config!$E$27*Config!$E$28)</f>
        <v>225</v>
      </c>
      <c r="D1353" s="114" t="n">
        <f aca="false">IF(B1353="Tema",MOD(A1353-1,Config!$E$28)+1,"")</f>
        <v>5</v>
      </c>
      <c r="E1353" s="115" t="str">
        <f aca="false">IF($B1353="Tema",IF(ISNUMBER(INDEX(Temas!$E$6:$P$305,$C1353,2*$D1353-1)),INDEX(Temas!$E$6:$P$305,$C1353,2*$D1353-1),""),IF(ISNUMBER(INDEX(Avulsos!$B$6:$B$205,$C1353)),INDEX(Avulsos!$B$6:$B$205,$C1353),""))</f>
        <v/>
      </c>
      <c r="F1353" s="114" t="str">
        <f aca="false">IF($E1353="","",IF($B1353="Tema",INDEX(Temas!$B$6:$B$305,$C1353)&amp;"",INDEX(Avulsos!$C$6:$C$205,$C1353)&amp;""))</f>
        <v/>
      </c>
      <c r="G1353" s="114" t="str">
        <f aca="false">IF($E1353="","",IF($B1353="Tema",INDEX(Config!$C$6:$C$11,$D1353),"Evento avulso"))</f>
        <v/>
      </c>
      <c r="H1353" s="114" t="str">
        <f aca="false">IF($E1353="","",IF($B1353="Tema",INDEX(Config!$D$6:$D$11,$D1353),IFERROR(INDEX(Config!$E$15:$E$19,MATCH($I1353,Config!$C$15:$C$19,0)),"•")))</f>
        <v/>
      </c>
      <c r="I1353" s="114" t="str">
        <f aca="false">IF($E1353="","",IF($B1353="Tema",INDEX(Config!$E$6:$E$11,$D1353),IF(INDEX(Avulsos!$D$6:$D$205,$C1353)&amp;""="","Outro",INDEX(Avulsos!$D$6:$D$205,$C1353))))</f>
        <v/>
      </c>
      <c r="J1353" s="114" t="str">
        <f aca="false">IF($E1353="","",IF($B1353="Tema",INDEX(Temas!$C$6:$C$305,$C1353)&amp;"",INDEX(Avulsos!$E$6:$E$205,$C1353)&amp;""))</f>
        <v/>
      </c>
      <c r="K1353" s="114" t="str">
        <f aca="false">IF($E1353="","",IF(IF($B1353="Tema",INDEX(Temas!$E$6:$P$305,$C1353,2*$D1353),INDEX(Avulsos!$F$6:$F$205,$C1353))&amp;""="","","✓"))</f>
        <v/>
      </c>
      <c r="L1353" s="114" t="str">
        <f aca="true">IF($E1353="","",IF($K1353="✓","Concluído",IF($E1353&lt;TODAY(),"Atrasado",IF($E1353=TODAY(),"Hoje","Pendente"))))</f>
        <v/>
      </c>
      <c r="M1353" s="114" t="str">
        <f aca="false">IF($E1353="","",IF($K1353="✓","✓ ","")&amp;IF(Config!$E$22="Sim",$H1353&amp;" · ","")&amp;$F1353)</f>
        <v/>
      </c>
      <c r="N1353" s="114" t="str">
        <f aca="false">IF($E1353="","",IFERROR(INDEX(Config!$D$15:$D$19,MATCH($I1353,Config!$C$15:$C$19,0)),"OUT")&amp;IF($K1353="✓","x",""))</f>
        <v/>
      </c>
      <c r="O1353" s="114" t="str">
        <f aca="false">IF($E1353="","",COUNTIF($E$5:$E1353,$E1353))</f>
        <v/>
      </c>
      <c r="P1353" s="114" t="str">
        <f aca="false">IF($E1353="","",$E1353*100+$O1353)</f>
        <v/>
      </c>
      <c r="Q1353" s="114" t="str">
        <f aca="false">IF($L1353="Atrasado",$E1353*10000+$A1353,"")</f>
        <v/>
      </c>
    </row>
    <row r="1354" customFormat="false" ht="15" hidden="false" customHeight="false" outlineLevel="0" collapsed="false">
      <c r="A1354" s="114" t="n">
        <f aca="false">ROW()-4</f>
        <v>1350</v>
      </c>
      <c r="B1354" s="114" t="str">
        <f aca="false">IF(A1354&lt;=Config!$E$27*Config!$E$28,"Tema","Avulso")</f>
        <v>Tema</v>
      </c>
      <c r="C1354" s="114" t="n">
        <f aca="false">IF(B1354="Tema",INT((A1354-1)/Config!$E$28)+1,A1354-Config!$E$27*Config!$E$28)</f>
        <v>225</v>
      </c>
      <c r="D1354" s="114" t="n">
        <f aca="false">IF(B1354="Tema",MOD(A1354-1,Config!$E$28)+1,"")</f>
        <v>6</v>
      </c>
      <c r="E1354" s="115" t="str">
        <f aca="false">IF($B1354="Tema",IF(ISNUMBER(INDEX(Temas!$E$6:$P$305,$C1354,2*$D1354-1)),INDEX(Temas!$E$6:$P$305,$C1354,2*$D1354-1),""),IF(ISNUMBER(INDEX(Avulsos!$B$6:$B$205,$C1354)),INDEX(Avulsos!$B$6:$B$205,$C1354),""))</f>
        <v/>
      </c>
      <c r="F1354" s="114" t="str">
        <f aca="false">IF($E1354="","",IF($B1354="Tema",INDEX(Temas!$B$6:$B$305,$C1354)&amp;"",INDEX(Avulsos!$C$6:$C$205,$C1354)&amp;""))</f>
        <v/>
      </c>
      <c r="G1354" s="114" t="str">
        <f aca="false">IF($E1354="","",IF($B1354="Tema",INDEX(Config!$C$6:$C$11,$D1354),"Evento avulso"))</f>
        <v/>
      </c>
      <c r="H1354" s="114" t="str">
        <f aca="false">IF($E1354="","",IF($B1354="Tema",INDEX(Config!$D$6:$D$11,$D1354),IFERROR(INDEX(Config!$E$15:$E$19,MATCH($I1354,Config!$C$15:$C$19,0)),"•")))</f>
        <v/>
      </c>
      <c r="I1354" s="114" t="str">
        <f aca="false">IF($E1354="","",IF($B1354="Tema",INDEX(Config!$E$6:$E$11,$D1354),IF(INDEX(Avulsos!$D$6:$D$205,$C1354)&amp;""="","Outro",INDEX(Avulsos!$D$6:$D$205,$C1354))))</f>
        <v/>
      </c>
      <c r="J1354" s="114" t="str">
        <f aca="false">IF($E1354="","",IF($B1354="Tema",INDEX(Temas!$C$6:$C$305,$C1354)&amp;"",INDEX(Avulsos!$E$6:$E$205,$C1354)&amp;""))</f>
        <v/>
      </c>
      <c r="K1354" s="114" t="str">
        <f aca="false">IF($E1354="","",IF(IF($B1354="Tema",INDEX(Temas!$E$6:$P$305,$C1354,2*$D1354),INDEX(Avulsos!$F$6:$F$205,$C1354))&amp;""="","","✓"))</f>
        <v/>
      </c>
      <c r="L1354" s="114" t="str">
        <f aca="true">IF($E1354="","",IF($K1354="✓","Concluído",IF($E1354&lt;TODAY(),"Atrasado",IF($E1354=TODAY(),"Hoje","Pendente"))))</f>
        <v/>
      </c>
      <c r="M1354" s="114" t="str">
        <f aca="false">IF($E1354="","",IF($K1354="✓","✓ ","")&amp;IF(Config!$E$22="Sim",$H1354&amp;" · ","")&amp;$F1354)</f>
        <v/>
      </c>
      <c r="N1354" s="114" t="str">
        <f aca="false">IF($E1354="","",IFERROR(INDEX(Config!$D$15:$D$19,MATCH($I1354,Config!$C$15:$C$19,0)),"OUT")&amp;IF($K1354="✓","x",""))</f>
        <v/>
      </c>
      <c r="O1354" s="114" t="str">
        <f aca="false">IF($E1354="","",COUNTIF($E$5:$E1354,$E1354))</f>
        <v/>
      </c>
      <c r="P1354" s="114" t="str">
        <f aca="false">IF($E1354="","",$E1354*100+$O1354)</f>
        <v/>
      </c>
      <c r="Q1354" s="114" t="str">
        <f aca="false">IF($L1354="Atrasado",$E1354*10000+$A1354,"")</f>
        <v/>
      </c>
    </row>
    <row r="1355" customFormat="false" ht="15" hidden="false" customHeight="false" outlineLevel="0" collapsed="false">
      <c r="A1355" s="114" t="n">
        <f aca="false">ROW()-4</f>
        <v>1351</v>
      </c>
      <c r="B1355" s="114" t="str">
        <f aca="false">IF(A1355&lt;=Config!$E$27*Config!$E$28,"Tema","Avulso")</f>
        <v>Tema</v>
      </c>
      <c r="C1355" s="114" t="n">
        <f aca="false">IF(B1355="Tema",INT((A1355-1)/Config!$E$28)+1,A1355-Config!$E$27*Config!$E$28)</f>
        <v>226</v>
      </c>
      <c r="D1355" s="114" t="n">
        <f aca="false">IF(B1355="Tema",MOD(A1355-1,Config!$E$28)+1,"")</f>
        <v>1</v>
      </c>
      <c r="E1355" s="115" t="str">
        <f aca="false">IF($B1355="Tema",IF(ISNUMBER(INDEX(Temas!$E$6:$P$305,$C1355,2*$D1355-1)),INDEX(Temas!$E$6:$P$305,$C1355,2*$D1355-1),""),IF(ISNUMBER(INDEX(Avulsos!$B$6:$B$205,$C1355)),INDEX(Avulsos!$B$6:$B$205,$C1355),""))</f>
        <v/>
      </c>
      <c r="F1355" s="114" t="str">
        <f aca="false">IF($E1355="","",IF($B1355="Tema",INDEX(Temas!$B$6:$B$305,$C1355)&amp;"",INDEX(Avulsos!$C$6:$C$205,$C1355)&amp;""))</f>
        <v/>
      </c>
      <c r="G1355" s="114" t="str">
        <f aca="false">IF($E1355="","",IF($B1355="Tema",INDEX(Config!$C$6:$C$11,$D1355),"Evento avulso"))</f>
        <v/>
      </c>
      <c r="H1355" s="114" t="str">
        <f aca="false">IF($E1355="","",IF($B1355="Tema",INDEX(Config!$D$6:$D$11,$D1355),IFERROR(INDEX(Config!$E$15:$E$19,MATCH($I1355,Config!$C$15:$C$19,0)),"•")))</f>
        <v/>
      </c>
      <c r="I1355" s="114" t="str">
        <f aca="false">IF($E1355="","",IF($B1355="Tema",INDEX(Config!$E$6:$E$11,$D1355),IF(INDEX(Avulsos!$D$6:$D$205,$C1355)&amp;""="","Outro",INDEX(Avulsos!$D$6:$D$205,$C1355))))</f>
        <v/>
      </c>
      <c r="J1355" s="114" t="str">
        <f aca="false">IF($E1355="","",IF($B1355="Tema",INDEX(Temas!$C$6:$C$305,$C1355)&amp;"",INDEX(Avulsos!$E$6:$E$205,$C1355)&amp;""))</f>
        <v/>
      </c>
      <c r="K1355" s="114" t="str">
        <f aca="false">IF($E1355="","",IF(IF($B1355="Tema",INDEX(Temas!$E$6:$P$305,$C1355,2*$D1355),INDEX(Avulsos!$F$6:$F$205,$C1355))&amp;""="","","✓"))</f>
        <v/>
      </c>
      <c r="L1355" s="114" t="str">
        <f aca="true">IF($E1355="","",IF($K1355="✓","Concluído",IF($E1355&lt;TODAY(),"Atrasado",IF($E1355=TODAY(),"Hoje","Pendente"))))</f>
        <v/>
      </c>
      <c r="M1355" s="114" t="str">
        <f aca="false">IF($E1355="","",IF($K1355="✓","✓ ","")&amp;IF(Config!$E$22="Sim",$H1355&amp;" · ","")&amp;$F1355)</f>
        <v/>
      </c>
      <c r="N1355" s="114" t="str">
        <f aca="false">IF($E1355="","",IFERROR(INDEX(Config!$D$15:$D$19,MATCH($I1355,Config!$C$15:$C$19,0)),"OUT")&amp;IF($K1355="✓","x",""))</f>
        <v/>
      </c>
      <c r="O1355" s="114" t="str">
        <f aca="false">IF($E1355="","",COUNTIF($E$5:$E1355,$E1355))</f>
        <v/>
      </c>
      <c r="P1355" s="114" t="str">
        <f aca="false">IF($E1355="","",$E1355*100+$O1355)</f>
        <v/>
      </c>
      <c r="Q1355" s="114" t="str">
        <f aca="false">IF($L1355="Atrasado",$E1355*10000+$A1355,"")</f>
        <v/>
      </c>
    </row>
    <row r="1356" customFormat="false" ht="15" hidden="false" customHeight="false" outlineLevel="0" collapsed="false">
      <c r="A1356" s="114" t="n">
        <f aca="false">ROW()-4</f>
        <v>1352</v>
      </c>
      <c r="B1356" s="114" t="str">
        <f aca="false">IF(A1356&lt;=Config!$E$27*Config!$E$28,"Tema","Avulso")</f>
        <v>Tema</v>
      </c>
      <c r="C1356" s="114" t="n">
        <f aca="false">IF(B1356="Tema",INT((A1356-1)/Config!$E$28)+1,A1356-Config!$E$27*Config!$E$28)</f>
        <v>226</v>
      </c>
      <c r="D1356" s="114" t="n">
        <f aca="false">IF(B1356="Tema",MOD(A1356-1,Config!$E$28)+1,"")</f>
        <v>2</v>
      </c>
      <c r="E1356" s="115" t="str">
        <f aca="false">IF($B1356="Tema",IF(ISNUMBER(INDEX(Temas!$E$6:$P$305,$C1356,2*$D1356-1)),INDEX(Temas!$E$6:$P$305,$C1356,2*$D1356-1),""),IF(ISNUMBER(INDEX(Avulsos!$B$6:$B$205,$C1356)),INDEX(Avulsos!$B$6:$B$205,$C1356),""))</f>
        <v/>
      </c>
      <c r="F1356" s="114" t="str">
        <f aca="false">IF($E1356="","",IF($B1356="Tema",INDEX(Temas!$B$6:$B$305,$C1356)&amp;"",INDEX(Avulsos!$C$6:$C$205,$C1356)&amp;""))</f>
        <v/>
      </c>
      <c r="G1356" s="114" t="str">
        <f aca="false">IF($E1356="","",IF($B1356="Tema",INDEX(Config!$C$6:$C$11,$D1356),"Evento avulso"))</f>
        <v/>
      </c>
      <c r="H1356" s="114" t="str">
        <f aca="false">IF($E1356="","",IF($B1356="Tema",INDEX(Config!$D$6:$D$11,$D1356),IFERROR(INDEX(Config!$E$15:$E$19,MATCH($I1356,Config!$C$15:$C$19,0)),"•")))</f>
        <v/>
      </c>
      <c r="I1356" s="114" t="str">
        <f aca="false">IF($E1356="","",IF($B1356="Tema",INDEX(Config!$E$6:$E$11,$D1356),IF(INDEX(Avulsos!$D$6:$D$205,$C1356)&amp;""="","Outro",INDEX(Avulsos!$D$6:$D$205,$C1356))))</f>
        <v/>
      </c>
      <c r="J1356" s="114" t="str">
        <f aca="false">IF($E1356="","",IF($B1356="Tema",INDEX(Temas!$C$6:$C$305,$C1356)&amp;"",INDEX(Avulsos!$E$6:$E$205,$C1356)&amp;""))</f>
        <v/>
      </c>
      <c r="K1356" s="114" t="str">
        <f aca="false">IF($E1356="","",IF(IF($B1356="Tema",INDEX(Temas!$E$6:$P$305,$C1356,2*$D1356),INDEX(Avulsos!$F$6:$F$205,$C1356))&amp;""="","","✓"))</f>
        <v/>
      </c>
      <c r="L1356" s="114" t="str">
        <f aca="true">IF($E1356="","",IF($K1356="✓","Concluído",IF($E1356&lt;TODAY(),"Atrasado",IF($E1356=TODAY(),"Hoje","Pendente"))))</f>
        <v/>
      </c>
      <c r="M1356" s="114" t="str">
        <f aca="false">IF($E1356="","",IF($K1356="✓","✓ ","")&amp;IF(Config!$E$22="Sim",$H1356&amp;" · ","")&amp;$F1356)</f>
        <v/>
      </c>
      <c r="N1356" s="114" t="str">
        <f aca="false">IF($E1356="","",IFERROR(INDEX(Config!$D$15:$D$19,MATCH($I1356,Config!$C$15:$C$19,0)),"OUT")&amp;IF($K1356="✓","x",""))</f>
        <v/>
      </c>
      <c r="O1356" s="114" t="str">
        <f aca="false">IF($E1356="","",COUNTIF($E$5:$E1356,$E1356))</f>
        <v/>
      </c>
      <c r="P1356" s="114" t="str">
        <f aca="false">IF($E1356="","",$E1356*100+$O1356)</f>
        <v/>
      </c>
      <c r="Q1356" s="114" t="str">
        <f aca="false">IF($L1356="Atrasado",$E1356*10000+$A1356,"")</f>
        <v/>
      </c>
    </row>
    <row r="1357" customFormat="false" ht="15" hidden="false" customHeight="false" outlineLevel="0" collapsed="false">
      <c r="A1357" s="114" t="n">
        <f aca="false">ROW()-4</f>
        <v>1353</v>
      </c>
      <c r="B1357" s="114" t="str">
        <f aca="false">IF(A1357&lt;=Config!$E$27*Config!$E$28,"Tema","Avulso")</f>
        <v>Tema</v>
      </c>
      <c r="C1357" s="114" t="n">
        <f aca="false">IF(B1357="Tema",INT((A1357-1)/Config!$E$28)+1,A1357-Config!$E$27*Config!$E$28)</f>
        <v>226</v>
      </c>
      <c r="D1357" s="114" t="n">
        <f aca="false">IF(B1357="Tema",MOD(A1357-1,Config!$E$28)+1,"")</f>
        <v>3</v>
      </c>
      <c r="E1357" s="115" t="str">
        <f aca="false">IF($B1357="Tema",IF(ISNUMBER(INDEX(Temas!$E$6:$P$305,$C1357,2*$D1357-1)),INDEX(Temas!$E$6:$P$305,$C1357,2*$D1357-1),""),IF(ISNUMBER(INDEX(Avulsos!$B$6:$B$205,$C1357)),INDEX(Avulsos!$B$6:$B$205,$C1357),""))</f>
        <v/>
      </c>
      <c r="F1357" s="114" t="str">
        <f aca="false">IF($E1357="","",IF($B1357="Tema",INDEX(Temas!$B$6:$B$305,$C1357)&amp;"",INDEX(Avulsos!$C$6:$C$205,$C1357)&amp;""))</f>
        <v/>
      </c>
      <c r="G1357" s="114" t="str">
        <f aca="false">IF($E1357="","",IF($B1357="Tema",INDEX(Config!$C$6:$C$11,$D1357),"Evento avulso"))</f>
        <v/>
      </c>
      <c r="H1357" s="114" t="str">
        <f aca="false">IF($E1357="","",IF($B1357="Tema",INDEX(Config!$D$6:$D$11,$D1357),IFERROR(INDEX(Config!$E$15:$E$19,MATCH($I1357,Config!$C$15:$C$19,0)),"•")))</f>
        <v/>
      </c>
      <c r="I1357" s="114" t="str">
        <f aca="false">IF($E1357="","",IF($B1357="Tema",INDEX(Config!$E$6:$E$11,$D1357),IF(INDEX(Avulsos!$D$6:$D$205,$C1357)&amp;""="","Outro",INDEX(Avulsos!$D$6:$D$205,$C1357))))</f>
        <v/>
      </c>
      <c r="J1357" s="114" t="str">
        <f aca="false">IF($E1357="","",IF($B1357="Tema",INDEX(Temas!$C$6:$C$305,$C1357)&amp;"",INDEX(Avulsos!$E$6:$E$205,$C1357)&amp;""))</f>
        <v/>
      </c>
      <c r="K1357" s="114" t="str">
        <f aca="false">IF($E1357="","",IF(IF($B1357="Tema",INDEX(Temas!$E$6:$P$305,$C1357,2*$D1357),INDEX(Avulsos!$F$6:$F$205,$C1357))&amp;""="","","✓"))</f>
        <v/>
      </c>
      <c r="L1357" s="114" t="str">
        <f aca="true">IF($E1357="","",IF($K1357="✓","Concluído",IF($E1357&lt;TODAY(),"Atrasado",IF($E1357=TODAY(),"Hoje","Pendente"))))</f>
        <v/>
      </c>
      <c r="M1357" s="114" t="str">
        <f aca="false">IF($E1357="","",IF($K1357="✓","✓ ","")&amp;IF(Config!$E$22="Sim",$H1357&amp;" · ","")&amp;$F1357)</f>
        <v/>
      </c>
      <c r="N1357" s="114" t="str">
        <f aca="false">IF($E1357="","",IFERROR(INDEX(Config!$D$15:$D$19,MATCH($I1357,Config!$C$15:$C$19,0)),"OUT")&amp;IF($K1357="✓","x",""))</f>
        <v/>
      </c>
      <c r="O1357" s="114" t="str">
        <f aca="false">IF($E1357="","",COUNTIF($E$5:$E1357,$E1357))</f>
        <v/>
      </c>
      <c r="P1357" s="114" t="str">
        <f aca="false">IF($E1357="","",$E1357*100+$O1357)</f>
        <v/>
      </c>
      <c r="Q1357" s="114" t="str">
        <f aca="false">IF($L1357="Atrasado",$E1357*10000+$A1357,"")</f>
        <v/>
      </c>
    </row>
    <row r="1358" customFormat="false" ht="15" hidden="false" customHeight="false" outlineLevel="0" collapsed="false">
      <c r="A1358" s="114" t="n">
        <f aca="false">ROW()-4</f>
        <v>1354</v>
      </c>
      <c r="B1358" s="114" t="str">
        <f aca="false">IF(A1358&lt;=Config!$E$27*Config!$E$28,"Tema","Avulso")</f>
        <v>Tema</v>
      </c>
      <c r="C1358" s="114" t="n">
        <f aca="false">IF(B1358="Tema",INT((A1358-1)/Config!$E$28)+1,A1358-Config!$E$27*Config!$E$28)</f>
        <v>226</v>
      </c>
      <c r="D1358" s="114" t="n">
        <f aca="false">IF(B1358="Tema",MOD(A1358-1,Config!$E$28)+1,"")</f>
        <v>4</v>
      </c>
      <c r="E1358" s="115" t="str">
        <f aca="false">IF($B1358="Tema",IF(ISNUMBER(INDEX(Temas!$E$6:$P$305,$C1358,2*$D1358-1)),INDEX(Temas!$E$6:$P$305,$C1358,2*$D1358-1),""),IF(ISNUMBER(INDEX(Avulsos!$B$6:$B$205,$C1358)),INDEX(Avulsos!$B$6:$B$205,$C1358),""))</f>
        <v/>
      </c>
      <c r="F1358" s="114" t="str">
        <f aca="false">IF($E1358="","",IF($B1358="Tema",INDEX(Temas!$B$6:$B$305,$C1358)&amp;"",INDEX(Avulsos!$C$6:$C$205,$C1358)&amp;""))</f>
        <v/>
      </c>
      <c r="G1358" s="114" t="str">
        <f aca="false">IF($E1358="","",IF($B1358="Tema",INDEX(Config!$C$6:$C$11,$D1358),"Evento avulso"))</f>
        <v/>
      </c>
      <c r="H1358" s="114" t="str">
        <f aca="false">IF($E1358="","",IF($B1358="Tema",INDEX(Config!$D$6:$D$11,$D1358),IFERROR(INDEX(Config!$E$15:$E$19,MATCH($I1358,Config!$C$15:$C$19,0)),"•")))</f>
        <v/>
      </c>
      <c r="I1358" s="114" t="str">
        <f aca="false">IF($E1358="","",IF($B1358="Tema",INDEX(Config!$E$6:$E$11,$D1358),IF(INDEX(Avulsos!$D$6:$D$205,$C1358)&amp;""="","Outro",INDEX(Avulsos!$D$6:$D$205,$C1358))))</f>
        <v/>
      </c>
      <c r="J1358" s="114" t="str">
        <f aca="false">IF($E1358="","",IF($B1358="Tema",INDEX(Temas!$C$6:$C$305,$C1358)&amp;"",INDEX(Avulsos!$E$6:$E$205,$C1358)&amp;""))</f>
        <v/>
      </c>
      <c r="K1358" s="114" t="str">
        <f aca="false">IF($E1358="","",IF(IF($B1358="Tema",INDEX(Temas!$E$6:$P$305,$C1358,2*$D1358),INDEX(Avulsos!$F$6:$F$205,$C1358))&amp;""="","","✓"))</f>
        <v/>
      </c>
      <c r="L1358" s="114" t="str">
        <f aca="true">IF($E1358="","",IF($K1358="✓","Concluído",IF($E1358&lt;TODAY(),"Atrasado",IF($E1358=TODAY(),"Hoje","Pendente"))))</f>
        <v/>
      </c>
      <c r="M1358" s="114" t="str">
        <f aca="false">IF($E1358="","",IF($K1358="✓","✓ ","")&amp;IF(Config!$E$22="Sim",$H1358&amp;" · ","")&amp;$F1358)</f>
        <v/>
      </c>
      <c r="N1358" s="114" t="str">
        <f aca="false">IF($E1358="","",IFERROR(INDEX(Config!$D$15:$D$19,MATCH($I1358,Config!$C$15:$C$19,0)),"OUT")&amp;IF($K1358="✓","x",""))</f>
        <v/>
      </c>
      <c r="O1358" s="114" t="str">
        <f aca="false">IF($E1358="","",COUNTIF($E$5:$E1358,$E1358))</f>
        <v/>
      </c>
      <c r="P1358" s="114" t="str">
        <f aca="false">IF($E1358="","",$E1358*100+$O1358)</f>
        <v/>
      </c>
      <c r="Q1358" s="114" t="str">
        <f aca="false">IF($L1358="Atrasado",$E1358*10000+$A1358,"")</f>
        <v/>
      </c>
    </row>
    <row r="1359" customFormat="false" ht="15" hidden="false" customHeight="false" outlineLevel="0" collapsed="false">
      <c r="A1359" s="114" t="n">
        <f aca="false">ROW()-4</f>
        <v>1355</v>
      </c>
      <c r="B1359" s="114" t="str">
        <f aca="false">IF(A1359&lt;=Config!$E$27*Config!$E$28,"Tema","Avulso")</f>
        <v>Tema</v>
      </c>
      <c r="C1359" s="114" t="n">
        <f aca="false">IF(B1359="Tema",INT((A1359-1)/Config!$E$28)+1,A1359-Config!$E$27*Config!$E$28)</f>
        <v>226</v>
      </c>
      <c r="D1359" s="114" t="n">
        <f aca="false">IF(B1359="Tema",MOD(A1359-1,Config!$E$28)+1,"")</f>
        <v>5</v>
      </c>
      <c r="E1359" s="115" t="str">
        <f aca="false">IF($B1359="Tema",IF(ISNUMBER(INDEX(Temas!$E$6:$P$305,$C1359,2*$D1359-1)),INDEX(Temas!$E$6:$P$305,$C1359,2*$D1359-1),""),IF(ISNUMBER(INDEX(Avulsos!$B$6:$B$205,$C1359)),INDEX(Avulsos!$B$6:$B$205,$C1359),""))</f>
        <v/>
      </c>
      <c r="F1359" s="114" t="str">
        <f aca="false">IF($E1359="","",IF($B1359="Tema",INDEX(Temas!$B$6:$B$305,$C1359)&amp;"",INDEX(Avulsos!$C$6:$C$205,$C1359)&amp;""))</f>
        <v/>
      </c>
      <c r="G1359" s="114" t="str">
        <f aca="false">IF($E1359="","",IF($B1359="Tema",INDEX(Config!$C$6:$C$11,$D1359),"Evento avulso"))</f>
        <v/>
      </c>
      <c r="H1359" s="114" t="str">
        <f aca="false">IF($E1359="","",IF($B1359="Tema",INDEX(Config!$D$6:$D$11,$D1359),IFERROR(INDEX(Config!$E$15:$E$19,MATCH($I1359,Config!$C$15:$C$19,0)),"•")))</f>
        <v/>
      </c>
      <c r="I1359" s="114" t="str">
        <f aca="false">IF($E1359="","",IF($B1359="Tema",INDEX(Config!$E$6:$E$11,$D1359),IF(INDEX(Avulsos!$D$6:$D$205,$C1359)&amp;""="","Outro",INDEX(Avulsos!$D$6:$D$205,$C1359))))</f>
        <v/>
      </c>
      <c r="J1359" s="114" t="str">
        <f aca="false">IF($E1359="","",IF($B1359="Tema",INDEX(Temas!$C$6:$C$305,$C1359)&amp;"",INDEX(Avulsos!$E$6:$E$205,$C1359)&amp;""))</f>
        <v/>
      </c>
      <c r="K1359" s="114" t="str">
        <f aca="false">IF($E1359="","",IF(IF($B1359="Tema",INDEX(Temas!$E$6:$P$305,$C1359,2*$D1359),INDEX(Avulsos!$F$6:$F$205,$C1359))&amp;""="","","✓"))</f>
        <v/>
      </c>
      <c r="L1359" s="114" t="str">
        <f aca="true">IF($E1359="","",IF($K1359="✓","Concluído",IF($E1359&lt;TODAY(),"Atrasado",IF($E1359=TODAY(),"Hoje","Pendente"))))</f>
        <v/>
      </c>
      <c r="M1359" s="114" t="str">
        <f aca="false">IF($E1359="","",IF($K1359="✓","✓ ","")&amp;IF(Config!$E$22="Sim",$H1359&amp;" · ","")&amp;$F1359)</f>
        <v/>
      </c>
      <c r="N1359" s="114" t="str">
        <f aca="false">IF($E1359="","",IFERROR(INDEX(Config!$D$15:$D$19,MATCH($I1359,Config!$C$15:$C$19,0)),"OUT")&amp;IF($K1359="✓","x",""))</f>
        <v/>
      </c>
      <c r="O1359" s="114" t="str">
        <f aca="false">IF($E1359="","",COUNTIF($E$5:$E1359,$E1359))</f>
        <v/>
      </c>
      <c r="P1359" s="114" t="str">
        <f aca="false">IF($E1359="","",$E1359*100+$O1359)</f>
        <v/>
      </c>
      <c r="Q1359" s="114" t="str">
        <f aca="false">IF($L1359="Atrasado",$E1359*10000+$A1359,"")</f>
        <v/>
      </c>
    </row>
    <row r="1360" customFormat="false" ht="15" hidden="false" customHeight="false" outlineLevel="0" collapsed="false">
      <c r="A1360" s="114" t="n">
        <f aca="false">ROW()-4</f>
        <v>1356</v>
      </c>
      <c r="B1360" s="114" t="str">
        <f aca="false">IF(A1360&lt;=Config!$E$27*Config!$E$28,"Tema","Avulso")</f>
        <v>Tema</v>
      </c>
      <c r="C1360" s="114" t="n">
        <f aca="false">IF(B1360="Tema",INT((A1360-1)/Config!$E$28)+1,A1360-Config!$E$27*Config!$E$28)</f>
        <v>226</v>
      </c>
      <c r="D1360" s="114" t="n">
        <f aca="false">IF(B1360="Tema",MOD(A1360-1,Config!$E$28)+1,"")</f>
        <v>6</v>
      </c>
      <c r="E1360" s="115" t="str">
        <f aca="false">IF($B1360="Tema",IF(ISNUMBER(INDEX(Temas!$E$6:$P$305,$C1360,2*$D1360-1)),INDEX(Temas!$E$6:$P$305,$C1360,2*$D1360-1),""),IF(ISNUMBER(INDEX(Avulsos!$B$6:$B$205,$C1360)),INDEX(Avulsos!$B$6:$B$205,$C1360),""))</f>
        <v/>
      </c>
      <c r="F1360" s="114" t="str">
        <f aca="false">IF($E1360="","",IF($B1360="Tema",INDEX(Temas!$B$6:$B$305,$C1360)&amp;"",INDEX(Avulsos!$C$6:$C$205,$C1360)&amp;""))</f>
        <v/>
      </c>
      <c r="G1360" s="114" t="str">
        <f aca="false">IF($E1360="","",IF($B1360="Tema",INDEX(Config!$C$6:$C$11,$D1360),"Evento avulso"))</f>
        <v/>
      </c>
      <c r="H1360" s="114" t="str">
        <f aca="false">IF($E1360="","",IF($B1360="Tema",INDEX(Config!$D$6:$D$11,$D1360),IFERROR(INDEX(Config!$E$15:$E$19,MATCH($I1360,Config!$C$15:$C$19,0)),"•")))</f>
        <v/>
      </c>
      <c r="I1360" s="114" t="str">
        <f aca="false">IF($E1360="","",IF($B1360="Tema",INDEX(Config!$E$6:$E$11,$D1360),IF(INDEX(Avulsos!$D$6:$D$205,$C1360)&amp;""="","Outro",INDEX(Avulsos!$D$6:$D$205,$C1360))))</f>
        <v/>
      </c>
      <c r="J1360" s="114" t="str">
        <f aca="false">IF($E1360="","",IF($B1360="Tema",INDEX(Temas!$C$6:$C$305,$C1360)&amp;"",INDEX(Avulsos!$E$6:$E$205,$C1360)&amp;""))</f>
        <v/>
      </c>
      <c r="K1360" s="114" t="str">
        <f aca="false">IF($E1360="","",IF(IF($B1360="Tema",INDEX(Temas!$E$6:$P$305,$C1360,2*$D1360),INDEX(Avulsos!$F$6:$F$205,$C1360))&amp;""="","","✓"))</f>
        <v/>
      </c>
      <c r="L1360" s="114" t="str">
        <f aca="true">IF($E1360="","",IF($K1360="✓","Concluído",IF($E1360&lt;TODAY(),"Atrasado",IF($E1360=TODAY(),"Hoje","Pendente"))))</f>
        <v/>
      </c>
      <c r="M1360" s="114" t="str">
        <f aca="false">IF($E1360="","",IF($K1360="✓","✓ ","")&amp;IF(Config!$E$22="Sim",$H1360&amp;" · ","")&amp;$F1360)</f>
        <v/>
      </c>
      <c r="N1360" s="114" t="str">
        <f aca="false">IF($E1360="","",IFERROR(INDEX(Config!$D$15:$D$19,MATCH($I1360,Config!$C$15:$C$19,0)),"OUT")&amp;IF($K1360="✓","x",""))</f>
        <v/>
      </c>
      <c r="O1360" s="114" t="str">
        <f aca="false">IF($E1360="","",COUNTIF($E$5:$E1360,$E1360))</f>
        <v/>
      </c>
      <c r="P1360" s="114" t="str">
        <f aca="false">IF($E1360="","",$E1360*100+$O1360)</f>
        <v/>
      </c>
      <c r="Q1360" s="114" t="str">
        <f aca="false">IF($L1360="Atrasado",$E1360*10000+$A1360,"")</f>
        <v/>
      </c>
    </row>
    <row r="1361" customFormat="false" ht="15" hidden="false" customHeight="false" outlineLevel="0" collapsed="false">
      <c r="A1361" s="114" t="n">
        <f aca="false">ROW()-4</f>
        <v>1357</v>
      </c>
      <c r="B1361" s="114" t="str">
        <f aca="false">IF(A1361&lt;=Config!$E$27*Config!$E$28,"Tema","Avulso")</f>
        <v>Tema</v>
      </c>
      <c r="C1361" s="114" t="n">
        <f aca="false">IF(B1361="Tema",INT((A1361-1)/Config!$E$28)+1,A1361-Config!$E$27*Config!$E$28)</f>
        <v>227</v>
      </c>
      <c r="D1361" s="114" t="n">
        <f aca="false">IF(B1361="Tema",MOD(A1361-1,Config!$E$28)+1,"")</f>
        <v>1</v>
      </c>
      <c r="E1361" s="115" t="str">
        <f aca="false">IF($B1361="Tema",IF(ISNUMBER(INDEX(Temas!$E$6:$P$305,$C1361,2*$D1361-1)),INDEX(Temas!$E$6:$P$305,$C1361,2*$D1361-1),""),IF(ISNUMBER(INDEX(Avulsos!$B$6:$B$205,$C1361)),INDEX(Avulsos!$B$6:$B$205,$C1361),""))</f>
        <v/>
      </c>
      <c r="F1361" s="114" t="str">
        <f aca="false">IF($E1361="","",IF($B1361="Tema",INDEX(Temas!$B$6:$B$305,$C1361)&amp;"",INDEX(Avulsos!$C$6:$C$205,$C1361)&amp;""))</f>
        <v/>
      </c>
      <c r="G1361" s="114" t="str">
        <f aca="false">IF($E1361="","",IF($B1361="Tema",INDEX(Config!$C$6:$C$11,$D1361),"Evento avulso"))</f>
        <v/>
      </c>
      <c r="H1361" s="114" t="str">
        <f aca="false">IF($E1361="","",IF($B1361="Tema",INDEX(Config!$D$6:$D$11,$D1361),IFERROR(INDEX(Config!$E$15:$E$19,MATCH($I1361,Config!$C$15:$C$19,0)),"•")))</f>
        <v/>
      </c>
      <c r="I1361" s="114" t="str">
        <f aca="false">IF($E1361="","",IF($B1361="Tema",INDEX(Config!$E$6:$E$11,$D1361),IF(INDEX(Avulsos!$D$6:$D$205,$C1361)&amp;""="","Outro",INDEX(Avulsos!$D$6:$D$205,$C1361))))</f>
        <v/>
      </c>
      <c r="J1361" s="114" t="str">
        <f aca="false">IF($E1361="","",IF($B1361="Tema",INDEX(Temas!$C$6:$C$305,$C1361)&amp;"",INDEX(Avulsos!$E$6:$E$205,$C1361)&amp;""))</f>
        <v/>
      </c>
      <c r="K1361" s="114" t="str">
        <f aca="false">IF($E1361="","",IF(IF($B1361="Tema",INDEX(Temas!$E$6:$P$305,$C1361,2*$D1361),INDEX(Avulsos!$F$6:$F$205,$C1361))&amp;""="","","✓"))</f>
        <v/>
      </c>
      <c r="L1361" s="114" t="str">
        <f aca="true">IF($E1361="","",IF($K1361="✓","Concluído",IF($E1361&lt;TODAY(),"Atrasado",IF($E1361=TODAY(),"Hoje","Pendente"))))</f>
        <v/>
      </c>
      <c r="M1361" s="114" t="str">
        <f aca="false">IF($E1361="","",IF($K1361="✓","✓ ","")&amp;IF(Config!$E$22="Sim",$H1361&amp;" · ","")&amp;$F1361)</f>
        <v/>
      </c>
      <c r="N1361" s="114" t="str">
        <f aca="false">IF($E1361="","",IFERROR(INDEX(Config!$D$15:$D$19,MATCH($I1361,Config!$C$15:$C$19,0)),"OUT")&amp;IF($K1361="✓","x",""))</f>
        <v/>
      </c>
      <c r="O1361" s="114" t="str">
        <f aca="false">IF($E1361="","",COUNTIF($E$5:$E1361,$E1361))</f>
        <v/>
      </c>
      <c r="P1361" s="114" t="str">
        <f aca="false">IF($E1361="","",$E1361*100+$O1361)</f>
        <v/>
      </c>
      <c r="Q1361" s="114" t="str">
        <f aca="false">IF($L1361="Atrasado",$E1361*10000+$A1361,"")</f>
        <v/>
      </c>
    </row>
    <row r="1362" customFormat="false" ht="15" hidden="false" customHeight="false" outlineLevel="0" collapsed="false">
      <c r="A1362" s="114" t="n">
        <f aca="false">ROW()-4</f>
        <v>1358</v>
      </c>
      <c r="B1362" s="114" t="str">
        <f aca="false">IF(A1362&lt;=Config!$E$27*Config!$E$28,"Tema","Avulso")</f>
        <v>Tema</v>
      </c>
      <c r="C1362" s="114" t="n">
        <f aca="false">IF(B1362="Tema",INT((A1362-1)/Config!$E$28)+1,A1362-Config!$E$27*Config!$E$28)</f>
        <v>227</v>
      </c>
      <c r="D1362" s="114" t="n">
        <f aca="false">IF(B1362="Tema",MOD(A1362-1,Config!$E$28)+1,"")</f>
        <v>2</v>
      </c>
      <c r="E1362" s="115" t="str">
        <f aca="false">IF($B1362="Tema",IF(ISNUMBER(INDEX(Temas!$E$6:$P$305,$C1362,2*$D1362-1)),INDEX(Temas!$E$6:$P$305,$C1362,2*$D1362-1),""),IF(ISNUMBER(INDEX(Avulsos!$B$6:$B$205,$C1362)),INDEX(Avulsos!$B$6:$B$205,$C1362),""))</f>
        <v/>
      </c>
      <c r="F1362" s="114" t="str">
        <f aca="false">IF($E1362="","",IF($B1362="Tema",INDEX(Temas!$B$6:$B$305,$C1362)&amp;"",INDEX(Avulsos!$C$6:$C$205,$C1362)&amp;""))</f>
        <v/>
      </c>
      <c r="G1362" s="114" t="str">
        <f aca="false">IF($E1362="","",IF($B1362="Tema",INDEX(Config!$C$6:$C$11,$D1362),"Evento avulso"))</f>
        <v/>
      </c>
      <c r="H1362" s="114" t="str">
        <f aca="false">IF($E1362="","",IF($B1362="Tema",INDEX(Config!$D$6:$D$11,$D1362),IFERROR(INDEX(Config!$E$15:$E$19,MATCH($I1362,Config!$C$15:$C$19,0)),"•")))</f>
        <v/>
      </c>
      <c r="I1362" s="114" t="str">
        <f aca="false">IF($E1362="","",IF($B1362="Tema",INDEX(Config!$E$6:$E$11,$D1362),IF(INDEX(Avulsos!$D$6:$D$205,$C1362)&amp;""="","Outro",INDEX(Avulsos!$D$6:$D$205,$C1362))))</f>
        <v/>
      </c>
      <c r="J1362" s="114" t="str">
        <f aca="false">IF($E1362="","",IF($B1362="Tema",INDEX(Temas!$C$6:$C$305,$C1362)&amp;"",INDEX(Avulsos!$E$6:$E$205,$C1362)&amp;""))</f>
        <v/>
      </c>
      <c r="K1362" s="114" t="str">
        <f aca="false">IF($E1362="","",IF(IF($B1362="Tema",INDEX(Temas!$E$6:$P$305,$C1362,2*$D1362),INDEX(Avulsos!$F$6:$F$205,$C1362))&amp;""="","","✓"))</f>
        <v/>
      </c>
      <c r="L1362" s="114" t="str">
        <f aca="true">IF($E1362="","",IF($K1362="✓","Concluído",IF($E1362&lt;TODAY(),"Atrasado",IF($E1362=TODAY(),"Hoje","Pendente"))))</f>
        <v/>
      </c>
      <c r="M1362" s="114" t="str">
        <f aca="false">IF($E1362="","",IF($K1362="✓","✓ ","")&amp;IF(Config!$E$22="Sim",$H1362&amp;" · ","")&amp;$F1362)</f>
        <v/>
      </c>
      <c r="N1362" s="114" t="str">
        <f aca="false">IF($E1362="","",IFERROR(INDEX(Config!$D$15:$D$19,MATCH($I1362,Config!$C$15:$C$19,0)),"OUT")&amp;IF($K1362="✓","x",""))</f>
        <v/>
      </c>
      <c r="O1362" s="114" t="str">
        <f aca="false">IF($E1362="","",COUNTIF($E$5:$E1362,$E1362))</f>
        <v/>
      </c>
      <c r="P1362" s="114" t="str">
        <f aca="false">IF($E1362="","",$E1362*100+$O1362)</f>
        <v/>
      </c>
      <c r="Q1362" s="114" t="str">
        <f aca="false">IF($L1362="Atrasado",$E1362*10000+$A1362,"")</f>
        <v/>
      </c>
    </row>
    <row r="1363" customFormat="false" ht="15" hidden="false" customHeight="false" outlineLevel="0" collapsed="false">
      <c r="A1363" s="114" t="n">
        <f aca="false">ROW()-4</f>
        <v>1359</v>
      </c>
      <c r="B1363" s="114" t="str">
        <f aca="false">IF(A1363&lt;=Config!$E$27*Config!$E$28,"Tema","Avulso")</f>
        <v>Tema</v>
      </c>
      <c r="C1363" s="114" t="n">
        <f aca="false">IF(B1363="Tema",INT((A1363-1)/Config!$E$28)+1,A1363-Config!$E$27*Config!$E$28)</f>
        <v>227</v>
      </c>
      <c r="D1363" s="114" t="n">
        <f aca="false">IF(B1363="Tema",MOD(A1363-1,Config!$E$28)+1,"")</f>
        <v>3</v>
      </c>
      <c r="E1363" s="115" t="str">
        <f aca="false">IF($B1363="Tema",IF(ISNUMBER(INDEX(Temas!$E$6:$P$305,$C1363,2*$D1363-1)),INDEX(Temas!$E$6:$P$305,$C1363,2*$D1363-1),""),IF(ISNUMBER(INDEX(Avulsos!$B$6:$B$205,$C1363)),INDEX(Avulsos!$B$6:$B$205,$C1363),""))</f>
        <v/>
      </c>
      <c r="F1363" s="114" t="str">
        <f aca="false">IF($E1363="","",IF($B1363="Tema",INDEX(Temas!$B$6:$B$305,$C1363)&amp;"",INDEX(Avulsos!$C$6:$C$205,$C1363)&amp;""))</f>
        <v/>
      </c>
      <c r="G1363" s="114" t="str">
        <f aca="false">IF($E1363="","",IF($B1363="Tema",INDEX(Config!$C$6:$C$11,$D1363),"Evento avulso"))</f>
        <v/>
      </c>
      <c r="H1363" s="114" t="str">
        <f aca="false">IF($E1363="","",IF($B1363="Tema",INDEX(Config!$D$6:$D$11,$D1363),IFERROR(INDEX(Config!$E$15:$E$19,MATCH($I1363,Config!$C$15:$C$19,0)),"•")))</f>
        <v/>
      </c>
      <c r="I1363" s="114" t="str">
        <f aca="false">IF($E1363="","",IF($B1363="Tema",INDEX(Config!$E$6:$E$11,$D1363),IF(INDEX(Avulsos!$D$6:$D$205,$C1363)&amp;""="","Outro",INDEX(Avulsos!$D$6:$D$205,$C1363))))</f>
        <v/>
      </c>
      <c r="J1363" s="114" t="str">
        <f aca="false">IF($E1363="","",IF($B1363="Tema",INDEX(Temas!$C$6:$C$305,$C1363)&amp;"",INDEX(Avulsos!$E$6:$E$205,$C1363)&amp;""))</f>
        <v/>
      </c>
      <c r="K1363" s="114" t="str">
        <f aca="false">IF($E1363="","",IF(IF($B1363="Tema",INDEX(Temas!$E$6:$P$305,$C1363,2*$D1363),INDEX(Avulsos!$F$6:$F$205,$C1363))&amp;""="","","✓"))</f>
        <v/>
      </c>
      <c r="L1363" s="114" t="str">
        <f aca="true">IF($E1363="","",IF($K1363="✓","Concluído",IF($E1363&lt;TODAY(),"Atrasado",IF($E1363=TODAY(),"Hoje","Pendente"))))</f>
        <v/>
      </c>
      <c r="M1363" s="114" t="str">
        <f aca="false">IF($E1363="","",IF($K1363="✓","✓ ","")&amp;IF(Config!$E$22="Sim",$H1363&amp;" · ","")&amp;$F1363)</f>
        <v/>
      </c>
      <c r="N1363" s="114" t="str">
        <f aca="false">IF($E1363="","",IFERROR(INDEX(Config!$D$15:$D$19,MATCH($I1363,Config!$C$15:$C$19,0)),"OUT")&amp;IF($K1363="✓","x",""))</f>
        <v/>
      </c>
      <c r="O1363" s="114" t="str">
        <f aca="false">IF($E1363="","",COUNTIF($E$5:$E1363,$E1363))</f>
        <v/>
      </c>
      <c r="P1363" s="114" t="str">
        <f aca="false">IF($E1363="","",$E1363*100+$O1363)</f>
        <v/>
      </c>
      <c r="Q1363" s="114" t="str">
        <f aca="false">IF($L1363="Atrasado",$E1363*10000+$A1363,"")</f>
        <v/>
      </c>
    </row>
    <row r="1364" customFormat="false" ht="15" hidden="false" customHeight="false" outlineLevel="0" collapsed="false">
      <c r="A1364" s="114" t="n">
        <f aca="false">ROW()-4</f>
        <v>1360</v>
      </c>
      <c r="B1364" s="114" t="str">
        <f aca="false">IF(A1364&lt;=Config!$E$27*Config!$E$28,"Tema","Avulso")</f>
        <v>Tema</v>
      </c>
      <c r="C1364" s="114" t="n">
        <f aca="false">IF(B1364="Tema",INT((A1364-1)/Config!$E$28)+1,A1364-Config!$E$27*Config!$E$28)</f>
        <v>227</v>
      </c>
      <c r="D1364" s="114" t="n">
        <f aca="false">IF(B1364="Tema",MOD(A1364-1,Config!$E$28)+1,"")</f>
        <v>4</v>
      </c>
      <c r="E1364" s="115" t="str">
        <f aca="false">IF($B1364="Tema",IF(ISNUMBER(INDEX(Temas!$E$6:$P$305,$C1364,2*$D1364-1)),INDEX(Temas!$E$6:$P$305,$C1364,2*$D1364-1),""),IF(ISNUMBER(INDEX(Avulsos!$B$6:$B$205,$C1364)),INDEX(Avulsos!$B$6:$B$205,$C1364),""))</f>
        <v/>
      </c>
      <c r="F1364" s="114" t="str">
        <f aca="false">IF($E1364="","",IF($B1364="Tema",INDEX(Temas!$B$6:$B$305,$C1364)&amp;"",INDEX(Avulsos!$C$6:$C$205,$C1364)&amp;""))</f>
        <v/>
      </c>
      <c r="G1364" s="114" t="str">
        <f aca="false">IF($E1364="","",IF($B1364="Tema",INDEX(Config!$C$6:$C$11,$D1364),"Evento avulso"))</f>
        <v/>
      </c>
      <c r="H1364" s="114" t="str">
        <f aca="false">IF($E1364="","",IF($B1364="Tema",INDEX(Config!$D$6:$D$11,$D1364),IFERROR(INDEX(Config!$E$15:$E$19,MATCH($I1364,Config!$C$15:$C$19,0)),"•")))</f>
        <v/>
      </c>
      <c r="I1364" s="114" t="str">
        <f aca="false">IF($E1364="","",IF($B1364="Tema",INDEX(Config!$E$6:$E$11,$D1364),IF(INDEX(Avulsos!$D$6:$D$205,$C1364)&amp;""="","Outro",INDEX(Avulsos!$D$6:$D$205,$C1364))))</f>
        <v/>
      </c>
      <c r="J1364" s="114" t="str">
        <f aca="false">IF($E1364="","",IF($B1364="Tema",INDEX(Temas!$C$6:$C$305,$C1364)&amp;"",INDEX(Avulsos!$E$6:$E$205,$C1364)&amp;""))</f>
        <v/>
      </c>
      <c r="K1364" s="114" t="str">
        <f aca="false">IF($E1364="","",IF(IF($B1364="Tema",INDEX(Temas!$E$6:$P$305,$C1364,2*$D1364),INDEX(Avulsos!$F$6:$F$205,$C1364))&amp;""="","","✓"))</f>
        <v/>
      </c>
      <c r="L1364" s="114" t="str">
        <f aca="true">IF($E1364="","",IF($K1364="✓","Concluído",IF($E1364&lt;TODAY(),"Atrasado",IF($E1364=TODAY(),"Hoje","Pendente"))))</f>
        <v/>
      </c>
      <c r="M1364" s="114" t="str">
        <f aca="false">IF($E1364="","",IF($K1364="✓","✓ ","")&amp;IF(Config!$E$22="Sim",$H1364&amp;" · ","")&amp;$F1364)</f>
        <v/>
      </c>
      <c r="N1364" s="114" t="str">
        <f aca="false">IF($E1364="","",IFERROR(INDEX(Config!$D$15:$D$19,MATCH($I1364,Config!$C$15:$C$19,0)),"OUT")&amp;IF($K1364="✓","x",""))</f>
        <v/>
      </c>
      <c r="O1364" s="114" t="str">
        <f aca="false">IF($E1364="","",COUNTIF($E$5:$E1364,$E1364))</f>
        <v/>
      </c>
      <c r="P1364" s="114" t="str">
        <f aca="false">IF($E1364="","",$E1364*100+$O1364)</f>
        <v/>
      </c>
      <c r="Q1364" s="114" t="str">
        <f aca="false">IF($L1364="Atrasado",$E1364*10000+$A1364,"")</f>
        <v/>
      </c>
    </row>
    <row r="1365" customFormat="false" ht="15" hidden="false" customHeight="false" outlineLevel="0" collapsed="false">
      <c r="A1365" s="114" t="n">
        <f aca="false">ROW()-4</f>
        <v>1361</v>
      </c>
      <c r="B1365" s="114" t="str">
        <f aca="false">IF(A1365&lt;=Config!$E$27*Config!$E$28,"Tema","Avulso")</f>
        <v>Tema</v>
      </c>
      <c r="C1365" s="114" t="n">
        <f aca="false">IF(B1365="Tema",INT((A1365-1)/Config!$E$28)+1,A1365-Config!$E$27*Config!$E$28)</f>
        <v>227</v>
      </c>
      <c r="D1365" s="114" t="n">
        <f aca="false">IF(B1365="Tema",MOD(A1365-1,Config!$E$28)+1,"")</f>
        <v>5</v>
      </c>
      <c r="E1365" s="115" t="str">
        <f aca="false">IF($B1365="Tema",IF(ISNUMBER(INDEX(Temas!$E$6:$P$305,$C1365,2*$D1365-1)),INDEX(Temas!$E$6:$P$305,$C1365,2*$D1365-1),""),IF(ISNUMBER(INDEX(Avulsos!$B$6:$B$205,$C1365)),INDEX(Avulsos!$B$6:$B$205,$C1365),""))</f>
        <v/>
      </c>
      <c r="F1365" s="114" t="str">
        <f aca="false">IF($E1365="","",IF($B1365="Tema",INDEX(Temas!$B$6:$B$305,$C1365)&amp;"",INDEX(Avulsos!$C$6:$C$205,$C1365)&amp;""))</f>
        <v/>
      </c>
      <c r="G1365" s="114" t="str">
        <f aca="false">IF($E1365="","",IF($B1365="Tema",INDEX(Config!$C$6:$C$11,$D1365),"Evento avulso"))</f>
        <v/>
      </c>
      <c r="H1365" s="114" t="str">
        <f aca="false">IF($E1365="","",IF($B1365="Tema",INDEX(Config!$D$6:$D$11,$D1365),IFERROR(INDEX(Config!$E$15:$E$19,MATCH($I1365,Config!$C$15:$C$19,0)),"•")))</f>
        <v/>
      </c>
      <c r="I1365" s="114" t="str">
        <f aca="false">IF($E1365="","",IF($B1365="Tema",INDEX(Config!$E$6:$E$11,$D1365),IF(INDEX(Avulsos!$D$6:$D$205,$C1365)&amp;""="","Outro",INDEX(Avulsos!$D$6:$D$205,$C1365))))</f>
        <v/>
      </c>
      <c r="J1365" s="114" t="str">
        <f aca="false">IF($E1365="","",IF($B1365="Tema",INDEX(Temas!$C$6:$C$305,$C1365)&amp;"",INDEX(Avulsos!$E$6:$E$205,$C1365)&amp;""))</f>
        <v/>
      </c>
      <c r="K1365" s="114" t="str">
        <f aca="false">IF($E1365="","",IF(IF($B1365="Tema",INDEX(Temas!$E$6:$P$305,$C1365,2*$D1365),INDEX(Avulsos!$F$6:$F$205,$C1365))&amp;""="","","✓"))</f>
        <v/>
      </c>
      <c r="L1365" s="114" t="str">
        <f aca="true">IF($E1365="","",IF($K1365="✓","Concluído",IF($E1365&lt;TODAY(),"Atrasado",IF($E1365=TODAY(),"Hoje","Pendente"))))</f>
        <v/>
      </c>
      <c r="M1365" s="114" t="str">
        <f aca="false">IF($E1365="","",IF($K1365="✓","✓ ","")&amp;IF(Config!$E$22="Sim",$H1365&amp;" · ","")&amp;$F1365)</f>
        <v/>
      </c>
      <c r="N1365" s="114" t="str">
        <f aca="false">IF($E1365="","",IFERROR(INDEX(Config!$D$15:$D$19,MATCH($I1365,Config!$C$15:$C$19,0)),"OUT")&amp;IF($K1365="✓","x",""))</f>
        <v/>
      </c>
      <c r="O1365" s="114" t="str">
        <f aca="false">IF($E1365="","",COUNTIF($E$5:$E1365,$E1365))</f>
        <v/>
      </c>
      <c r="P1365" s="114" t="str">
        <f aca="false">IF($E1365="","",$E1365*100+$O1365)</f>
        <v/>
      </c>
      <c r="Q1365" s="114" t="str">
        <f aca="false">IF($L1365="Atrasado",$E1365*10000+$A1365,"")</f>
        <v/>
      </c>
    </row>
    <row r="1366" customFormat="false" ht="15" hidden="false" customHeight="false" outlineLevel="0" collapsed="false">
      <c r="A1366" s="114" t="n">
        <f aca="false">ROW()-4</f>
        <v>1362</v>
      </c>
      <c r="B1366" s="114" t="str">
        <f aca="false">IF(A1366&lt;=Config!$E$27*Config!$E$28,"Tema","Avulso")</f>
        <v>Tema</v>
      </c>
      <c r="C1366" s="114" t="n">
        <f aca="false">IF(B1366="Tema",INT((A1366-1)/Config!$E$28)+1,A1366-Config!$E$27*Config!$E$28)</f>
        <v>227</v>
      </c>
      <c r="D1366" s="114" t="n">
        <f aca="false">IF(B1366="Tema",MOD(A1366-1,Config!$E$28)+1,"")</f>
        <v>6</v>
      </c>
      <c r="E1366" s="115" t="str">
        <f aca="false">IF($B1366="Tema",IF(ISNUMBER(INDEX(Temas!$E$6:$P$305,$C1366,2*$D1366-1)),INDEX(Temas!$E$6:$P$305,$C1366,2*$D1366-1),""),IF(ISNUMBER(INDEX(Avulsos!$B$6:$B$205,$C1366)),INDEX(Avulsos!$B$6:$B$205,$C1366),""))</f>
        <v/>
      </c>
      <c r="F1366" s="114" t="str">
        <f aca="false">IF($E1366="","",IF($B1366="Tema",INDEX(Temas!$B$6:$B$305,$C1366)&amp;"",INDEX(Avulsos!$C$6:$C$205,$C1366)&amp;""))</f>
        <v/>
      </c>
      <c r="G1366" s="114" t="str">
        <f aca="false">IF($E1366="","",IF($B1366="Tema",INDEX(Config!$C$6:$C$11,$D1366),"Evento avulso"))</f>
        <v/>
      </c>
      <c r="H1366" s="114" t="str">
        <f aca="false">IF($E1366="","",IF($B1366="Tema",INDEX(Config!$D$6:$D$11,$D1366),IFERROR(INDEX(Config!$E$15:$E$19,MATCH($I1366,Config!$C$15:$C$19,0)),"•")))</f>
        <v/>
      </c>
      <c r="I1366" s="114" t="str">
        <f aca="false">IF($E1366="","",IF($B1366="Tema",INDEX(Config!$E$6:$E$11,$D1366),IF(INDEX(Avulsos!$D$6:$D$205,$C1366)&amp;""="","Outro",INDEX(Avulsos!$D$6:$D$205,$C1366))))</f>
        <v/>
      </c>
      <c r="J1366" s="114" t="str">
        <f aca="false">IF($E1366="","",IF($B1366="Tema",INDEX(Temas!$C$6:$C$305,$C1366)&amp;"",INDEX(Avulsos!$E$6:$E$205,$C1366)&amp;""))</f>
        <v/>
      </c>
      <c r="K1366" s="114" t="str">
        <f aca="false">IF($E1366="","",IF(IF($B1366="Tema",INDEX(Temas!$E$6:$P$305,$C1366,2*$D1366),INDEX(Avulsos!$F$6:$F$205,$C1366))&amp;""="","","✓"))</f>
        <v/>
      </c>
      <c r="L1366" s="114" t="str">
        <f aca="true">IF($E1366="","",IF($K1366="✓","Concluído",IF($E1366&lt;TODAY(),"Atrasado",IF($E1366=TODAY(),"Hoje","Pendente"))))</f>
        <v/>
      </c>
      <c r="M1366" s="114" t="str">
        <f aca="false">IF($E1366="","",IF($K1366="✓","✓ ","")&amp;IF(Config!$E$22="Sim",$H1366&amp;" · ","")&amp;$F1366)</f>
        <v/>
      </c>
      <c r="N1366" s="114" t="str">
        <f aca="false">IF($E1366="","",IFERROR(INDEX(Config!$D$15:$D$19,MATCH($I1366,Config!$C$15:$C$19,0)),"OUT")&amp;IF($K1366="✓","x",""))</f>
        <v/>
      </c>
      <c r="O1366" s="114" t="str">
        <f aca="false">IF($E1366="","",COUNTIF($E$5:$E1366,$E1366))</f>
        <v/>
      </c>
      <c r="P1366" s="114" t="str">
        <f aca="false">IF($E1366="","",$E1366*100+$O1366)</f>
        <v/>
      </c>
      <c r="Q1366" s="114" t="str">
        <f aca="false">IF($L1366="Atrasado",$E1366*10000+$A1366,"")</f>
        <v/>
      </c>
    </row>
    <row r="1367" customFormat="false" ht="15" hidden="false" customHeight="false" outlineLevel="0" collapsed="false">
      <c r="A1367" s="114" t="n">
        <f aca="false">ROW()-4</f>
        <v>1363</v>
      </c>
      <c r="B1367" s="114" t="str">
        <f aca="false">IF(A1367&lt;=Config!$E$27*Config!$E$28,"Tema","Avulso")</f>
        <v>Tema</v>
      </c>
      <c r="C1367" s="114" t="n">
        <f aca="false">IF(B1367="Tema",INT((A1367-1)/Config!$E$28)+1,A1367-Config!$E$27*Config!$E$28)</f>
        <v>228</v>
      </c>
      <c r="D1367" s="114" t="n">
        <f aca="false">IF(B1367="Tema",MOD(A1367-1,Config!$E$28)+1,"")</f>
        <v>1</v>
      </c>
      <c r="E1367" s="115" t="str">
        <f aca="false">IF($B1367="Tema",IF(ISNUMBER(INDEX(Temas!$E$6:$P$305,$C1367,2*$D1367-1)),INDEX(Temas!$E$6:$P$305,$C1367,2*$D1367-1),""),IF(ISNUMBER(INDEX(Avulsos!$B$6:$B$205,$C1367)),INDEX(Avulsos!$B$6:$B$205,$C1367),""))</f>
        <v/>
      </c>
      <c r="F1367" s="114" t="str">
        <f aca="false">IF($E1367="","",IF($B1367="Tema",INDEX(Temas!$B$6:$B$305,$C1367)&amp;"",INDEX(Avulsos!$C$6:$C$205,$C1367)&amp;""))</f>
        <v/>
      </c>
      <c r="G1367" s="114" t="str">
        <f aca="false">IF($E1367="","",IF($B1367="Tema",INDEX(Config!$C$6:$C$11,$D1367),"Evento avulso"))</f>
        <v/>
      </c>
      <c r="H1367" s="114" t="str">
        <f aca="false">IF($E1367="","",IF($B1367="Tema",INDEX(Config!$D$6:$D$11,$D1367),IFERROR(INDEX(Config!$E$15:$E$19,MATCH($I1367,Config!$C$15:$C$19,0)),"•")))</f>
        <v/>
      </c>
      <c r="I1367" s="114" t="str">
        <f aca="false">IF($E1367="","",IF($B1367="Tema",INDEX(Config!$E$6:$E$11,$D1367),IF(INDEX(Avulsos!$D$6:$D$205,$C1367)&amp;""="","Outro",INDEX(Avulsos!$D$6:$D$205,$C1367))))</f>
        <v/>
      </c>
      <c r="J1367" s="114" t="str">
        <f aca="false">IF($E1367="","",IF($B1367="Tema",INDEX(Temas!$C$6:$C$305,$C1367)&amp;"",INDEX(Avulsos!$E$6:$E$205,$C1367)&amp;""))</f>
        <v/>
      </c>
      <c r="K1367" s="114" t="str">
        <f aca="false">IF($E1367="","",IF(IF($B1367="Tema",INDEX(Temas!$E$6:$P$305,$C1367,2*$D1367),INDEX(Avulsos!$F$6:$F$205,$C1367))&amp;""="","","✓"))</f>
        <v/>
      </c>
      <c r="L1367" s="114" t="str">
        <f aca="true">IF($E1367="","",IF($K1367="✓","Concluído",IF($E1367&lt;TODAY(),"Atrasado",IF($E1367=TODAY(),"Hoje","Pendente"))))</f>
        <v/>
      </c>
      <c r="M1367" s="114" t="str">
        <f aca="false">IF($E1367="","",IF($K1367="✓","✓ ","")&amp;IF(Config!$E$22="Sim",$H1367&amp;" · ","")&amp;$F1367)</f>
        <v/>
      </c>
      <c r="N1367" s="114" t="str">
        <f aca="false">IF($E1367="","",IFERROR(INDEX(Config!$D$15:$D$19,MATCH($I1367,Config!$C$15:$C$19,0)),"OUT")&amp;IF($K1367="✓","x",""))</f>
        <v/>
      </c>
      <c r="O1367" s="114" t="str">
        <f aca="false">IF($E1367="","",COUNTIF($E$5:$E1367,$E1367))</f>
        <v/>
      </c>
      <c r="P1367" s="114" t="str">
        <f aca="false">IF($E1367="","",$E1367*100+$O1367)</f>
        <v/>
      </c>
      <c r="Q1367" s="114" t="str">
        <f aca="false">IF($L1367="Atrasado",$E1367*10000+$A1367,"")</f>
        <v/>
      </c>
    </row>
    <row r="1368" customFormat="false" ht="15" hidden="false" customHeight="false" outlineLevel="0" collapsed="false">
      <c r="A1368" s="114" t="n">
        <f aca="false">ROW()-4</f>
        <v>1364</v>
      </c>
      <c r="B1368" s="114" t="str">
        <f aca="false">IF(A1368&lt;=Config!$E$27*Config!$E$28,"Tema","Avulso")</f>
        <v>Tema</v>
      </c>
      <c r="C1368" s="114" t="n">
        <f aca="false">IF(B1368="Tema",INT((A1368-1)/Config!$E$28)+1,A1368-Config!$E$27*Config!$E$28)</f>
        <v>228</v>
      </c>
      <c r="D1368" s="114" t="n">
        <f aca="false">IF(B1368="Tema",MOD(A1368-1,Config!$E$28)+1,"")</f>
        <v>2</v>
      </c>
      <c r="E1368" s="115" t="str">
        <f aca="false">IF($B1368="Tema",IF(ISNUMBER(INDEX(Temas!$E$6:$P$305,$C1368,2*$D1368-1)),INDEX(Temas!$E$6:$P$305,$C1368,2*$D1368-1),""),IF(ISNUMBER(INDEX(Avulsos!$B$6:$B$205,$C1368)),INDEX(Avulsos!$B$6:$B$205,$C1368),""))</f>
        <v/>
      </c>
      <c r="F1368" s="114" t="str">
        <f aca="false">IF($E1368="","",IF($B1368="Tema",INDEX(Temas!$B$6:$B$305,$C1368)&amp;"",INDEX(Avulsos!$C$6:$C$205,$C1368)&amp;""))</f>
        <v/>
      </c>
      <c r="G1368" s="114" t="str">
        <f aca="false">IF($E1368="","",IF($B1368="Tema",INDEX(Config!$C$6:$C$11,$D1368),"Evento avulso"))</f>
        <v/>
      </c>
      <c r="H1368" s="114" t="str">
        <f aca="false">IF($E1368="","",IF($B1368="Tema",INDEX(Config!$D$6:$D$11,$D1368),IFERROR(INDEX(Config!$E$15:$E$19,MATCH($I1368,Config!$C$15:$C$19,0)),"•")))</f>
        <v/>
      </c>
      <c r="I1368" s="114" t="str">
        <f aca="false">IF($E1368="","",IF($B1368="Tema",INDEX(Config!$E$6:$E$11,$D1368),IF(INDEX(Avulsos!$D$6:$D$205,$C1368)&amp;""="","Outro",INDEX(Avulsos!$D$6:$D$205,$C1368))))</f>
        <v/>
      </c>
      <c r="J1368" s="114" t="str">
        <f aca="false">IF($E1368="","",IF($B1368="Tema",INDEX(Temas!$C$6:$C$305,$C1368)&amp;"",INDEX(Avulsos!$E$6:$E$205,$C1368)&amp;""))</f>
        <v/>
      </c>
      <c r="K1368" s="114" t="str">
        <f aca="false">IF($E1368="","",IF(IF($B1368="Tema",INDEX(Temas!$E$6:$P$305,$C1368,2*$D1368),INDEX(Avulsos!$F$6:$F$205,$C1368))&amp;""="","","✓"))</f>
        <v/>
      </c>
      <c r="L1368" s="114" t="str">
        <f aca="true">IF($E1368="","",IF($K1368="✓","Concluído",IF($E1368&lt;TODAY(),"Atrasado",IF($E1368=TODAY(),"Hoje","Pendente"))))</f>
        <v/>
      </c>
      <c r="M1368" s="114" t="str">
        <f aca="false">IF($E1368="","",IF($K1368="✓","✓ ","")&amp;IF(Config!$E$22="Sim",$H1368&amp;" · ","")&amp;$F1368)</f>
        <v/>
      </c>
      <c r="N1368" s="114" t="str">
        <f aca="false">IF($E1368="","",IFERROR(INDEX(Config!$D$15:$D$19,MATCH($I1368,Config!$C$15:$C$19,0)),"OUT")&amp;IF($K1368="✓","x",""))</f>
        <v/>
      </c>
      <c r="O1368" s="114" t="str">
        <f aca="false">IF($E1368="","",COUNTIF($E$5:$E1368,$E1368))</f>
        <v/>
      </c>
      <c r="P1368" s="114" t="str">
        <f aca="false">IF($E1368="","",$E1368*100+$O1368)</f>
        <v/>
      </c>
      <c r="Q1368" s="114" t="str">
        <f aca="false">IF($L1368="Atrasado",$E1368*10000+$A1368,"")</f>
        <v/>
      </c>
    </row>
    <row r="1369" customFormat="false" ht="15" hidden="false" customHeight="false" outlineLevel="0" collapsed="false">
      <c r="A1369" s="114" t="n">
        <f aca="false">ROW()-4</f>
        <v>1365</v>
      </c>
      <c r="B1369" s="114" t="str">
        <f aca="false">IF(A1369&lt;=Config!$E$27*Config!$E$28,"Tema","Avulso")</f>
        <v>Tema</v>
      </c>
      <c r="C1369" s="114" t="n">
        <f aca="false">IF(B1369="Tema",INT((A1369-1)/Config!$E$28)+1,A1369-Config!$E$27*Config!$E$28)</f>
        <v>228</v>
      </c>
      <c r="D1369" s="114" t="n">
        <f aca="false">IF(B1369="Tema",MOD(A1369-1,Config!$E$28)+1,"")</f>
        <v>3</v>
      </c>
      <c r="E1369" s="115" t="str">
        <f aca="false">IF($B1369="Tema",IF(ISNUMBER(INDEX(Temas!$E$6:$P$305,$C1369,2*$D1369-1)),INDEX(Temas!$E$6:$P$305,$C1369,2*$D1369-1),""),IF(ISNUMBER(INDEX(Avulsos!$B$6:$B$205,$C1369)),INDEX(Avulsos!$B$6:$B$205,$C1369),""))</f>
        <v/>
      </c>
      <c r="F1369" s="114" t="str">
        <f aca="false">IF($E1369="","",IF($B1369="Tema",INDEX(Temas!$B$6:$B$305,$C1369)&amp;"",INDEX(Avulsos!$C$6:$C$205,$C1369)&amp;""))</f>
        <v/>
      </c>
      <c r="G1369" s="114" t="str">
        <f aca="false">IF($E1369="","",IF($B1369="Tema",INDEX(Config!$C$6:$C$11,$D1369),"Evento avulso"))</f>
        <v/>
      </c>
      <c r="H1369" s="114" t="str">
        <f aca="false">IF($E1369="","",IF($B1369="Tema",INDEX(Config!$D$6:$D$11,$D1369),IFERROR(INDEX(Config!$E$15:$E$19,MATCH($I1369,Config!$C$15:$C$19,0)),"•")))</f>
        <v/>
      </c>
      <c r="I1369" s="114" t="str">
        <f aca="false">IF($E1369="","",IF($B1369="Tema",INDEX(Config!$E$6:$E$11,$D1369),IF(INDEX(Avulsos!$D$6:$D$205,$C1369)&amp;""="","Outro",INDEX(Avulsos!$D$6:$D$205,$C1369))))</f>
        <v/>
      </c>
      <c r="J1369" s="114" t="str">
        <f aca="false">IF($E1369="","",IF($B1369="Tema",INDEX(Temas!$C$6:$C$305,$C1369)&amp;"",INDEX(Avulsos!$E$6:$E$205,$C1369)&amp;""))</f>
        <v/>
      </c>
      <c r="K1369" s="114" t="str">
        <f aca="false">IF($E1369="","",IF(IF($B1369="Tema",INDEX(Temas!$E$6:$P$305,$C1369,2*$D1369),INDEX(Avulsos!$F$6:$F$205,$C1369))&amp;""="","","✓"))</f>
        <v/>
      </c>
      <c r="L1369" s="114" t="str">
        <f aca="true">IF($E1369="","",IF($K1369="✓","Concluído",IF($E1369&lt;TODAY(),"Atrasado",IF($E1369=TODAY(),"Hoje","Pendente"))))</f>
        <v/>
      </c>
      <c r="M1369" s="114" t="str">
        <f aca="false">IF($E1369="","",IF($K1369="✓","✓ ","")&amp;IF(Config!$E$22="Sim",$H1369&amp;" · ","")&amp;$F1369)</f>
        <v/>
      </c>
      <c r="N1369" s="114" t="str">
        <f aca="false">IF($E1369="","",IFERROR(INDEX(Config!$D$15:$D$19,MATCH($I1369,Config!$C$15:$C$19,0)),"OUT")&amp;IF($K1369="✓","x",""))</f>
        <v/>
      </c>
      <c r="O1369" s="114" t="str">
        <f aca="false">IF($E1369="","",COUNTIF($E$5:$E1369,$E1369))</f>
        <v/>
      </c>
      <c r="P1369" s="114" t="str">
        <f aca="false">IF($E1369="","",$E1369*100+$O1369)</f>
        <v/>
      </c>
      <c r="Q1369" s="114" t="str">
        <f aca="false">IF($L1369="Atrasado",$E1369*10000+$A1369,"")</f>
        <v/>
      </c>
    </row>
    <row r="1370" customFormat="false" ht="15" hidden="false" customHeight="false" outlineLevel="0" collapsed="false">
      <c r="A1370" s="114" t="n">
        <f aca="false">ROW()-4</f>
        <v>1366</v>
      </c>
      <c r="B1370" s="114" t="str">
        <f aca="false">IF(A1370&lt;=Config!$E$27*Config!$E$28,"Tema","Avulso")</f>
        <v>Tema</v>
      </c>
      <c r="C1370" s="114" t="n">
        <f aca="false">IF(B1370="Tema",INT((A1370-1)/Config!$E$28)+1,A1370-Config!$E$27*Config!$E$28)</f>
        <v>228</v>
      </c>
      <c r="D1370" s="114" t="n">
        <f aca="false">IF(B1370="Tema",MOD(A1370-1,Config!$E$28)+1,"")</f>
        <v>4</v>
      </c>
      <c r="E1370" s="115" t="str">
        <f aca="false">IF($B1370="Tema",IF(ISNUMBER(INDEX(Temas!$E$6:$P$305,$C1370,2*$D1370-1)),INDEX(Temas!$E$6:$P$305,$C1370,2*$D1370-1),""),IF(ISNUMBER(INDEX(Avulsos!$B$6:$B$205,$C1370)),INDEX(Avulsos!$B$6:$B$205,$C1370),""))</f>
        <v/>
      </c>
      <c r="F1370" s="114" t="str">
        <f aca="false">IF($E1370="","",IF($B1370="Tema",INDEX(Temas!$B$6:$B$305,$C1370)&amp;"",INDEX(Avulsos!$C$6:$C$205,$C1370)&amp;""))</f>
        <v/>
      </c>
      <c r="G1370" s="114" t="str">
        <f aca="false">IF($E1370="","",IF($B1370="Tema",INDEX(Config!$C$6:$C$11,$D1370),"Evento avulso"))</f>
        <v/>
      </c>
      <c r="H1370" s="114" t="str">
        <f aca="false">IF($E1370="","",IF($B1370="Tema",INDEX(Config!$D$6:$D$11,$D1370),IFERROR(INDEX(Config!$E$15:$E$19,MATCH($I1370,Config!$C$15:$C$19,0)),"•")))</f>
        <v/>
      </c>
      <c r="I1370" s="114" t="str">
        <f aca="false">IF($E1370="","",IF($B1370="Tema",INDEX(Config!$E$6:$E$11,$D1370),IF(INDEX(Avulsos!$D$6:$D$205,$C1370)&amp;""="","Outro",INDEX(Avulsos!$D$6:$D$205,$C1370))))</f>
        <v/>
      </c>
      <c r="J1370" s="114" t="str">
        <f aca="false">IF($E1370="","",IF($B1370="Tema",INDEX(Temas!$C$6:$C$305,$C1370)&amp;"",INDEX(Avulsos!$E$6:$E$205,$C1370)&amp;""))</f>
        <v/>
      </c>
      <c r="K1370" s="114" t="str">
        <f aca="false">IF($E1370="","",IF(IF($B1370="Tema",INDEX(Temas!$E$6:$P$305,$C1370,2*$D1370),INDEX(Avulsos!$F$6:$F$205,$C1370))&amp;""="","","✓"))</f>
        <v/>
      </c>
      <c r="L1370" s="114" t="str">
        <f aca="true">IF($E1370="","",IF($K1370="✓","Concluído",IF($E1370&lt;TODAY(),"Atrasado",IF($E1370=TODAY(),"Hoje","Pendente"))))</f>
        <v/>
      </c>
      <c r="M1370" s="114" t="str">
        <f aca="false">IF($E1370="","",IF($K1370="✓","✓ ","")&amp;IF(Config!$E$22="Sim",$H1370&amp;" · ","")&amp;$F1370)</f>
        <v/>
      </c>
      <c r="N1370" s="114" t="str">
        <f aca="false">IF($E1370="","",IFERROR(INDEX(Config!$D$15:$D$19,MATCH($I1370,Config!$C$15:$C$19,0)),"OUT")&amp;IF($K1370="✓","x",""))</f>
        <v/>
      </c>
      <c r="O1370" s="114" t="str">
        <f aca="false">IF($E1370="","",COUNTIF($E$5:$E1370,$E1370))</f>
        <v/>
      </c>
      <c r="P1370" s="114" t="str">
        <f aca="false">IF($E1370="","",$E1370*100+$O1370)</f>
        <v/>
      </c>
      <c r="Q1370" s="114" t="str">
        <f aca="false">IF($L1370="Atrasado",$E1370*10000+$A1370,"")</f>
        <v/>
      </c>
    </row>
    <row r="1371" customFormat="false" ht="15" hidden="false" customHeight="false" outlineLevel="0" collapsed="false">
      <c r="A1371" s="114" t="n">
        <f aca="false">ROW()-4</f>
        <v>1367</v>
      </c>
      <c r="B1371" s="114" t="str">
        <f aca="false">IF(A1371&lt;=Config!$E$27*Config!$E$28,"Tema","Avulso")</f>
        <v>Tema</v>
      </c>
      <c r="C1371" s="114" t="n">
        <f aca="false">IF(B1371="Tema",INT((A1371-1)/Config!$E$28)+1,A1371-Config!$E$27*Config!$E$28)</f>
        <v>228</v>
      </c>
      <c r="D1371" s="114" t="n">
        <f aca="false">IF(B1371="Tema",MOD(A1371-1,Config!$E$28)+1,"")</f>
        <v>5</v>
      </c>
      <c r="E1371" s="115" t="str">
        <f aca="false">IF($B1371="Tema",IF(ISNUMBER(INDEX(Temas!$E$6:$P$305,$C1371,2*$D1371-1)),INDEX(Temas!$E$6:$P$305,$C1371,2*$D1371-1),""),IF(ISNUMBER(INDEX(Avulsos!$B$6:$B$205,$C1371)),INDEX(Avulsos!$B$6:$B$205,$C1371),""))</f>
        <v/>
      </c>
      <c r="F1371" s="114" t="str">
        <f aca="false">IF($E1371="","",IF($B1371="Tema",INDEX(Temas!$B$6:$B$305,$C1371)&amp;"",INDEX(Avulsos!$C$6:$C$205,$C1371)&amp;""))</f>
        <v/>
      </c>
      <c r="G1371" s="114" t="str">
        <f aca="false">IF($E1371="","",IF($B1371="Tema",INDEX(Config!$C$6:$C$11,$D1371),"Evento avulso"))</f>
        <v/>
      </c>
      <c r="H1371" s="114" t="str">
        <f aca="false">IF($E1371="","",IF($B1371="Tema",INDEX(Config!$D$6:$D$11,$D1371),IFERROR(INDEX(Config!$E$15:$E$19,MATCH($I1371,Config!$C$15:$C$19,0)),"•")))</f>
        <v/>
      </c>
      <c r="I1371" s="114" t="str">
        <f aca="false">IF($E1371="","",IF($B1371="Tema",INDEX(Config!$E$6:$E$11,$D1371),IF(INDEX(Avulsos!$D$6:$D$205,$C1371)&amp;""="","Outro",INDEX(Avulsos!$D$6:$D$205,$C1371))))</f>
        <v/>
      </c>
      <c r="J1371" s="114" t="str">
        <f aca="false">IF($E1371="","",IF($B1371="Tema",INDEX(Temas!$C$6:$C$305,$C1371)&amp;"",INDEX(Avulsos!$E$6:$E$205,$C1371)&amp;""))</f>
        <v/>
      </c>
      <c r="K1371" s="114" t="str">
        <f aca="false">IF($E1371="","",IF(IF($B1371="Tema",INDEX(Temas!$E$6:$P$305,$C1371,2*$D1371),INDEX(Avulsos!$F$6:$F$205,$C1371))&amp;""="","","✓"))</f>
        <v/>
      </c>
      <c r="L1371" s="114" t="str">
        <f aca="true">IF($E1371="","",IF($K1371="✓","Concluído",IF($E1371&lt;TODAY(),"Atrasado",IF($E1371=TODAY(),"Hoje","Pendente"))))</f>
        <v/>
      </c>
      <c r="M1371" s="114" t="str">
        <f aca="false">IF($E1371="","",IF($K1371="✓","✓ ","")&amp;IF(Config!$E$22="Sim",$H1371&amp;" · ","")&amp;$F1371)</f>
        <v/>
      </c>
      <c r="N1371" s="114" t="str">
        <f aca="false">IF($E1371="","",IFERROR(INDEX(Config!$D$15:$D$19,MATCH($I1371,Config!$C$15:$C$19,0)),"OUT")&amp;IF($K1371="✓","x",""))</f>
        <v/>
      </c>
      <c r="O1371" s="114" t="str">
        <f aca="false">IF($E1371="","",COUNTIF($E$5:$E1371,$E1371))</f>
        <v/>
      </c>
      <c r="P1371" s="114" t="str">
        <f aca="false">IF($E1371="","",$E1371*100+$O1371)</f>
        <v/>
      </c>
      <c r="Q1371" s="114" t="str">
        <f aca="false">IF($L1371="Atrasado",$E1371*10000+$A1371,"")</f>
        <v/>
      </c>
    </row>
    <row r="1372" customFormat="false" ht="15" hidden="false" customHeight="false" outlineLevel="0" collapsed="false">
      <c r="A1372" s="114" t="n">
        <f aca="false">ROW()-4</f>
        <v>1368</v>
      </c>
      <c r="B1372" s="114" t="str">
        <f aca="false">IF(A1372&lt;=Config!$E$27*Config!$E$28,"Tema","Avulso")</f>
        <v>Tema</v>
      </c>
      <c r="C1372" s="114" t="n">
        <f aca="false">IF(B1372="Tema",INT((A1372-1)/Config!$E$28)+1,A1372-Config!$E$27*Config!$E$28)</f>
        <v>228</v>
      </c>
      <c r="D1372" s="114" t="n">
        <f aca="false">IF(B1372="Tema",MOD(A1372-1,Config!$E$28)+1,"")</f>
        <v>6</v>
      </c>
      <c r="E1372" s="115" t="str">
        <f aca="false">IF($B1372="Tema",IF(ISNUMBER(INDEX(Temas!$E$6:$P$305,$C1372,2*$D1372-1)),INDEX(Temas!$E$6:$P$305,$C1372,2*$D1372-1),""),IF(ISNUMBER(INDEX(Avulsos!$B$6:$B$205,$C1372)),INDEX(Avulsos!$B$6:$B$205,$C1372),""))</f>
        <v/>
      </c>
      <c r="F1372" s="114" t="str">
        <f aca="false">IF($E1372="","",IF($B1372="Tema",INDEX(Temas!$B$6:$B$305,$C1372)&amp;"",INDEX(Avulsos!$C$6:$C$205,$C1372)&amp;""))</f>
        <v/>
      </c>
      <c r="G1372" s="114" t="str">
        <f aca="false">IF($E1372="","",IF($B1372="Tema",INDEX(Config!$C$6:$C$11,$D1372),"Evento avulso"))</f>
        <v/>
      </c>
      <c r="H1372" s="114" t="str">
        <f aca="false">IF($E1372="","",IF($B1372="Tema",INDEX(Config!$D$6:$D$11,$D1372),IFERROR(INDEX(Config!$E$15:$E$19,MATCH($I1372,Config!$C$15:$C$19,0)),"•")))</f>
        <v/>
      </c>
      <c r="I1372" s="114" t="str">
        <f aca="false">IF($E1372="","",IF($B1372="Tema",INDEX(Config!$E$6:$E$11,$D1372),IF(INDEX(Avulsos!$D$6:$D$205,$C1372)&amp;""="","Outro",INDEX(Avulsos!$D$6:$D$205,$C1372))))</f>
        <v/>
      </c>
      <c r="J1372" s="114" t="str">
        <f aca="false">IF($E1372="","",IF($B1372="Tema",INDEX(Temas!$C$6:$C$305,$C1372)&amp;"",INDEX(Avulsos!$E$6:$E$205,$C1372)&amp;""))</f>
        <v/>
      </c>
      <c r="K1372" s="114" t="str">
        <f aca="false">IF($E1372="","",IF(IF($B1372="Tema",INDEX(Temas!$E$6:$P$305,$C1372,2*$D1372),INDEX(Avulsos!$F$6:$F$205,$C1372))&amp;""="","","✓"))</f>
        <v/>
      </c>
      <c r="L1372" s="114" t="str">
        <f aca="true">IF($E1372="","",IF($K1372="✓","Concluído",IF($E1372&lt;TODAY(),"Atrasado",IF($E1372=TODAY(),"Hoje","Pendente"))))</f>
        <v/>
      </c>
      <c r="M1372" s="114" t="str">
        <f aca="false">IF($E1372="","",IF($K1372="✓","✓ ","")&amp;IF(Config!$E$22="Sim",$H1372&amp;" · ","")&amp;$F1372)</f>
        <v/>
      </c>
      <c r="N1372" s="114" t="str">
        <f aca="false">IF($E1372="","",IFERROR(INDEX(Config!$D$15:$D$19,MATCH($I1372,Config!$C$15:$C$19,0)),"OUT")&amp;IF($K1372="✓","x",""))</f>
        <v/>
      </c>
      <c r="O1372" s="114" t="str">
        <f aca="false">IF($E1372="","",COUNTIF($E$5:$E1372,$E1372))</f>
        <v/>
      </c>
      <c r="P1372" s="114" t="str">
        <f aca="false">IF($E1372="","",$E1372*100+$O1372)</f>
        <v/>
      </c>
      <c r="Q1372" s="114" t="str">
        <f aca="false">IF($L1372="Atrasado",$E1372*10000+$A1372,"")</f>
        <v/>
      </c>
    </row>
    <row r="1373" customFormat="false" ht="15" hidden="false" customHeight="false" outlineLevel="0" collapsed="false">
      <c r="A1373" s="114" t="n">
        <f aca="false">ROW()-4</f>
        <v>1369</v>
      </c>
      <c r="B1373" s="114" t="str">
        <f aca="false">IF(A1373&lt;=Config!$E$27*Config!$E$28,"Tema","Avulso")</f>
        <v>Tema</v>
      </c>
      <c r="C1373" s="114" t="n">
        <f aca="false">IF(B1373="Tema",INT((A1373-1)/Config!$E$28)+1,A1373-Config!$E$27*Config!$E$28)</f>
        <v>229</v>
      </c>
      <c r="D1373" s="114" t="n">
        <f aca="false">IF(B1373="Tema",MOD(A1373-1,Config!$E$28)+1,"")</f>
        <v>1</v>
      </c>
      <c r="E1373" s="115" t="str">
        <f aca="false">IF($B1373="Tema",IF(ISNUMBER(INDEX(Temas!$E$6:$P$305,$C1373,2*$D1373-1)),INDEX(Temas!$E$6:$P$305,$C1373,2*$D1373-1),""),IF(ISNUMBER(INDEX(Avulsos!$B$6:$B$205,$C1373)),INDEX(Avulsos!$B$6:$B$205,$C1373),""))</f>
        <v/>
      </c>
      <c r="F1373" s="114" t="str">
        <f aca="false">IF($E1373="","",IF($B1373="Tema",INDEX(Temas!$B$6:$B$305,$C1373)&amp;"",INDEX(Avulsos!$C$6:$C$205,$C1373)&amp;""))</f>
        <v/>
      </c>
      <c r="G1373" s="114" t="str">
        <f aca="false">IF($E1373="","",IF($B1373="Tema",INDEX(Config!$C$6:$C$11,$D1373),"Evento avulso"))</f>
        <v/>
      </c>
      <c r="H1373" s="114" t="str">
        <f aca="false">IF($E1373="","",IF($B1373="Tema",INDEX(Config!$D$6:$D$11,$D1373),IFERROR(INDEX(Config!$E$15:$E$19,MATCH($I1373,Config!$C$15:$C$19,0)),"•")))</f>
        <v/>
      </c>
      <c r="I1373" s="114" t="str">
        <f aca="false">IF($E1373="","",IF($B1373="Tema",INDEX(Config!$E$6:$E$11,$D1373),IF(INDEX(Avulsos!$D$6:$D$205,$C1373)&amp;""="","Outro",INDEX(Avulsos!$D$6:$D$205,$C1373))))</f>
        <v/>
      </c>
      <c r="J1373" s="114" t="str">
        <f aca="false">IF($E1373="","",IF($B1373="Tema",INDEX(Temas!$C$6:$C$305,$C1373)&amp;"",INDEX(Avulsos!$E$6:$E$205,$C1373)&amp;""))</f>
        <v/>
      </c>
      <c r="K1373" s="114" t="str">
        <f aca="false">IF($E1373="","",IF(IF($B1373="Tema",INDEX(Temas!$E$6:$P$305,$C1373,2*$D1373),INDEX(Avulsos!$F$6:$F$205,$C1373))&amp;""="","","✓"))</f>
        <v/>
      </c>
      <c r="L1373" s="114" t="str">
        <f aca="true">IF($E1373="","",IF($K1373="✓","Concluído",IF($E1373&lt;TODAY(),"Atrasado",IF($E1373=TODAY(),"Hoje","Pendente"))))</f>
        <v/>
      </c>
      <c r="M1373" s="114" t="str">
        <f aca="false">IF($E1373="","",IF($K1373="✓","✓ ","")&amp;IF(Config!$E$22="Sim",$H1373&amp;" · ","")&amp;$F1373)</f>
        <v/>
      </c>
      <c r="N1373" s="114" t="str">
        <f aca="false">IF($E1373="","",IFERROR(INDEX(Config!$D$15:$D$19,MATCH($I1373,Config!$C$15:$C$19,0)),"OUT")&amp;IF($K1373="✓","x",""))</f>
        <v/>
      </c>
      <c r="O1373" s="114" t="str">
        <f aca="false">IF($E1373="","",COUNTIF($E$5:$E1373,$E1373))</f>
        <v/>
      </c>
      <c r="P1373" s="114" t="str">
        <f aca="false">IF($E1373="","",$E1373*100+$O1373)</f>
        <v/>
      </c>
      <c r="Q1373" s="114" t="str">
        <f aca="false">IF($L1373="Atrasado",$E1373*10000+$A1373,"")</f>
        <v/>
      </c>
    </row>
    <row r="1374" customFormat="false" ht="15" hidden="false" customHeight="false" outlineLevel="0" collapsed="false">
      <c r="A1374" s="114" t="n">
        <f aca="false">ROW()-4</f>
        <v>1370</v>
      </c>
      <c r="B1374" s="114" t="str">
        <f aca="false">IF(A1374&lt;=Config!$E$27*Config!$E$28,"Tema","Avulso")</f>
        <v>Tema</v>
      </c>
      <c r="C1374" s="114" t="n">
        <f aca="false">IF(B1374="Tema",INT((A1374-1)/Config!$E$28)+1,A1374-Config!$E$27*Config!$E$28)</f>
        <v>229</v>
      </c>
      <c r="D1374" s="114" t="n">
        <f aca="false">IF(B1374="Tema",MOD(A1374-1,Config!$E$28)+1,"")</f>
        <v>2</v>
      </c>
      <c r="E1374" s="115" t="str">
        <f aca="false">IF($B1374="Tema",IF(ISNUMBER(INDEX(Temas!$E$6:$P$305,$C1374,2*$D1374-1)),INDEX(Temas!$E$6:$P$305,$C1374,2*$D1374-1),""),IF(ISNUMBER(INDEX(Avulsos!$B$6:$B$205,$C1374)),INDEX(Avulsos!$B$6:$B$205,$C1374),""))</f>
        <v/>
      </c>
      <c r="F1374" s="114" t="str">
        <f aca="false">IF($E1374="","",IF($B1374="Tema",INDEX(Temas!$B$6:$B$305,$C1374)&amp;"",INDEX(Avulsos!$C$6:$C$205,$C1374)&amp;""))</f>
        <v/>
      </c>
      <c r="G1374" s="114" t="str">
        <f aca="false">IF($E1374="","",IF($B1374="Tema",INDEX(Config!$C$6:$C$11,$D1374),"Evento avulso"))</f>
        <v/>
      </c>
      <c r="H1374" s="114" t="str">
        <f aca="false">IF($E1374="","",IF($B1374="Tema",INDEX(Config!$D$6:$D$11,$D1374),IFERROR(INDEX(Config!$E$15:$E$19,MATCH($I1374,Config!$C$15:$C$19,0)),"•")))</f>
        <v/>
      </c>
      <c r="I1374" s="114" t="str">
        <f aca="false">IF($E1374="","",IF($B1374="Tema",INDEX(Config!$E$6:$E$11,$D1374),IF(INDEX(Avulsos!$D$6:$D$205,$C1374)&amp;""="","Outro",INDEX(Avulsos!$D$6:$D$205,$C1374))))</f>
        <v/>
      </c>
      <c r="J1374" s="114" t="str">
        <f aca="false">IF($E1374="","",IF($B1374="Tema",INDEX(Temas!$C$6:$C$305,$C1374)&amp;"",INDEX(Avulsos!$E$6:$E$205,$C1374)&amp;""))</f>
        <v/>
      </c>
      <c r="K1374" s="114" t="str">
        <f aca="false">IF($E1374="","",IF(IF($B1374="Tema",INDEX(Temas!$E$6:$P$305,$C1374,2*$D1374),INDEX(Avulsos!$F$6:$F$205,$C1374))&amp;""="","","✓"))</f>
        <v/>
      </c>
      <c r="L1374" s="114" t="str">
        <f aca="true">IF($E1374="","",IF($K1374="✓","Concluído",IF($E1374&lt;TODAY(),"Atrasado",IF($E1374=TODAY(),"Hoje","Pendente"))))</f>
        <v/>
      </c>
      <c r="M1374" s="114" t="str">
        <f aca="false">IF($E1374="","",IF($K1374="✓","✓ ","")&amp;IF(Config!$E$22="Sim",$H1374&amp;" · ","")&amp;$F1374)</f>
        <v/>
      </c>
      <c r="N1374" s="114" t="str">
        <f aca="false">IF($E1374="","",IFERROR(INDEX(Config!$D$15:$D$19,MATCH($I1374,Config!$C$15:$C$19,0)),"OUT")&amp;IF($K1374="✓","x",""))</f>
        <v/>
      </c>
      <c r="O1374" s="114" t="str">
        <f aca="false">IF($E1374="","",COUNTIF($E$5:$E1374,$E1374))</f>
        <v/>
      </c>
      <c r="P1374" s="114" t="str">
        <f aca="false">IF($E1374="","",$E1374*100+$O1374)</f>
        <v/>
      </c>
      <c r="Q1374" s="114" t="str">
        <f aca="false">IF($L1374="Atrasado",$E1374*10000+$A1374,"")</f>
        <v/>
      </c>
    </row>
    <row r="1375" customFormat="false" ht="15" hidden="false" customHeight="false" outlineLevel="0" collapsed="false">
      <c r="A1375" s="114" t="n">
        <f aca="false">ROW()-4</f>
        <v>1371</v>
      </c>
      <c r="B1375" s="114" t="str">
        <f aca="false">IF(A1375&lt;=Config!$E$27*Config!$E$28,"Tema","Avulso")</f>
        <v>Tema</v>
      </c>
      <c r="C1375" s="114" t="n">
        <f aca="false">IF(B1375="Tema",INT((A1375-1)/Config!$E$28)+1,A1375-Config!$E$27*Config!$E$28)</f>
        <v>229</v>
      </c>
      <c r="D1375" s="114" t="n">
        <f aca="false">IF(B1375="Tema",MOD(A1375-1,Config!$E$28)+1,"")</f>
        <v>3</v>
      </c>
      <c r="E1375" s="115" t="str">
        <f aca="false">IF($B1375="Tema",IF(ISNUMBER(INDEX(Temas!$E$6:$P$305,$C1375,2*$D1375-1)),INDEX(Temas!$E$6:$P$305,$C1375,2*$D1375-1),""),IF(ISNUMBER(INDEX(Avulsos!$B$6:$B$205,$C1375)),INDEX(Avulsos!$B$6:$B$205,$C1375),""))</f>
        <v/>
      </c>
      <c r="F1375" s="114" t="str">
        <f aca="false">IF($E1375="","",IF($B1375="Tema",INDEX(Temas!$B$6:$B$305,$C1375)&amp;"",INDEX(Avulsos!$C$6:$C$205,$C1375)&amp;""))</f>
        <v/>
      </c>
      <c r="G1375" s="114" t="str">
        <f aca="false">IF($E1375="","",IF($B1375="Tema",INDEX(Config!$C$6:$C$11,$D1375),"Evento avulso"))</f>
        <v/>
      </c>
      <c r="H1375" s="114" t="str">
        <f aca="false">IF($E1375="","",IF($B1375="Tema",INDEX(Config!$D$6:$D$11,$D1375),IFERROR(INDEX(Config!$E$15:$E$19,MATCH($I1375,Config!$C$15:$C$19,0)),"•")))</f>
        <v/>
      </c>
      <c r="I1375" s="114" t="str">
        <f aca="false">IF($E1375="","",IF($B1375="Tema",INDEX(Config!$E$6:$E$11,$D1375),IF(INDEX(Avulsos!$D$6:$D$205,$C1375)&amp;""="","Outro",INDEX(Avulsos!$D$6:$D$205,$C1375))))</f>
        <v/>
      </c>
      <c r="J1375" s="114" t="str">
        <f aca="false">IF($E1375="","",IF($B1375="Tema",INDEX(Temas!$C$6:$C$305,$C1375)&amp;"",INDEX(Avulsos!$E$6:$E$205,$C1375)&amp;""))</f>
        <v/>
      </c>
      <c r="K1375" s="114" t="str">
        <f aca="false">IF($E1375="","",IF(IF($B1375="Tema",INDEX(Temas!$E$6:$P$305,$C1375,2*$D1375),INDEX(Avulsos!$F$6:$F$205,$C1375))&amp;""="","","✓"))</f>
        <v/>
      </c>
      <c r="L1375" s="114" t="str">
        <f aca="true">IF($E1375="","",IF($K1375="✓","Concluído",IF($E1375&lt;TODAY(),"Atrasado",IF($E1375=TODAY(),"Hoje","Pendente"))))</f>
        <v/>
      </c>
      <c r="M1375" s="114" t="str">
        <f aca="false">IF($E1375="","",IF($K1375="✓","✓ ","")&amp;IF(Config!$E$22="Sim",$H1375&amp;" · ","")&amp;$F1375)</f>
        <v/>
      </c>
      <c r="N1375" s="114" t="str">
        <f aca="false">IF($E1375="","",IFERROR(INDEX(Config!$D$15:$D$19,MATCH($I1375,Config!$C$15:$C$19,0)),"OUT")&amp;IF($K1375="✓","x",""))</f>
        <v/>
      </c>
      <c r="O1375" s="114" t="str">
        <f aca="false">IF($E1375="","",COUNTIF($E$5:$E1375,$E1375))</f>
        <v/>
      </c>
      <c r="P1375" s="114" t="str">
        <f aca="false">IF($E1375="","",$E1375*100+$O1375)</f>
        <v/>
      </c>
      <c r="Q1375" s="114" t="str">
        <f aca="false">IF($L1375="Atrasado",$E1375*10000+$A1375,"")</f>
        <v/>
      </c>
    </row>
    <row r="1376" customFormat="false" ht="15" hidden="false" customHeight="false" outlineLevel="0" collapsed="false">
      <c r="A1376" s="114" t="n">
        <f aca="false">ROW()-4</f>
        <v>1372</v>
      </c>
      <c r="B1376" s="114" t="str">
        <f aca="false">IF(A1376&lt;=Config!$E$27*Config!$E$28,"Tema","Avulso")</f>
        <v>Tema</v>
      </c>
      <c r="C1376" s="114" t="n">
        <f aca="false">IF(B1376="Tema",INT((A1376-1)/Config!$E$28)+1,A1376-Config!$E$27*Config!$E$28)</f>
        <v>229</v>
      </c>
      <c r="D1376" s="114" t="n">
        <f aca="false">IF(B1376="Tema",MOD(A1376-1,Config!$E$28)+1,"")</f>
        <v>4</v>
      </c>
      <c r="E1376" s="115" t="str">
        <f aca="false">IF($B1376="Tema",IF(ISNUMBER(INDEX(Temas!$E$6:$P$305,$C1376,2*$D1376-1)),INDEX(Temas!$E$6:$P$305,$C1376,2*$D1376-1),""),IF(ISNUMBER(INDEX(Avulsos!$B$6:$B$205,$C1376)),INDEX(Avulsos!$B$6:$B$205,$C1376),""))</f>
        <v/>
      </c>
      <c r="F1376" s="114" t="str">
        <f aca="false">IF($E1376="","",IF($B1376="Tema",INDEX(Temas!$B$6:$B$305,$C1376)&amp;"",INDEX(Avulsos!$C$6:$C$205,$C1376)&amp;""))</f>
        <v/>
      </c>
      <c r="G1376" s="114" t="str">
        <f aca="false">IF($E1376="","",IF($B1376="Tema",INDEX(Config!$C$6:$C$11,$D1376),"Evento avulso"))</f>
        <v/>
      </c>
      <c r="H1376" s="114" t="str">
        <f aca="false">IF($E1376="","",IF($B1376="Tema",INDEX(Config!$D$6:$D$11,$D1376),IFERROR(INDEX(Config!$E$15:$E$19,MATCH($I1376,Config!$C$15:$C$19,0)),"•")))</f>
        <v/>
      </c>
      <c r="I1376" s="114" t="str">
        <f aca="false">IF($E1376="","",IF($B1376="Tema",INDEX(Config!$E$6:$E$11,$D1376),IF(INDEX(Avulsos!$D$6:$D$205,$C1376)&amp;""="","Outro",INDEX(Avulsos!$D$6:$D$205,$C1376))))</f>
        <v/>
      </c>
      <c r="J1376" s="114" t="str">
        <f aca="false">IF($E1376="","",IF($B1376="Tema",INDEX(Temas!$C$6:$C$305,$C1376)&amp;"",INDEX(Avulsos!$E$6:$E$205,$C1376)&amp;""))</f>
        <v/>
      </c>
      <c r="K1376" s="114" t="str">
        <f aca="false">IF($E1376="","",IF(IF($B1376="Tema",INDEX(Temas!$E$6:$P$305,$C1376,2*$D1376),INDEX(Avulsos!$F$6:$F$205,$C1376))&amp;""="","","✓"))</f>
        <v/>
      </c>
      <c r="L1376" s="114" t="str">
        <f aca="true">IF($E1376="","",IF($K1376="✓","Concluído",IF($E1376&lt;TODAY(),"Atrasado",IF($E1376=TODAY(),"Hoje","Pendente"))))</f>
        <v/>
      </c>
      <c r="M1376" s="114" t="str">
        <f aca="false">IF($E1376="","",IF($K1376="✓","✓ ","")&amp;IF(Config!$E$22="Sim",$H1376&amp;" · ","")&amp;$F1376)</f>
        <v/>
      </c>
      <c r="N1376" s="114" t="str">
        <f aca="false">IF($E1376="","",IFERROR(INDEX(Config!$D$15:$D$19,MATCH($I1376,Config!$C$15:$C$19,0)),"OUT")&amp;IF($K1376="✓","x",""))</f>
        <v/>
      </c>
      <c r="O1376" s="114" t="str">
        <f aca="false">IF($E1376="","",COUNTIF($E$5:$E1376,$E1376))</f>
        <v/>
      </c>
      <c r="P1376" s="114" t="str">
        <f aca="false">IF($E1376="","",$E1376*100+$O1376)</f>
        <v/>
      </c>
      <c r="Q1376" s="114" t="str">
        <f aca="false">IF($L1376="Atrasado",$E1376*10000+$A1376,"")</f>
        <v/>
      </c>
    </row>
    <row r="1377" customFormat="false" ht="15" hidden="false" customHeight="false" outlineLevel="0" collapsed="false">
      <c r="A1377" s="114" t="n">
        <f aca="false">ROW()-4</f>
        <v>1373</v>
      </c>
      <c r="B1377" s="114" t="str">
        <f aca="false">IF(A1377&lt;=Config!$E$27*Config!$E$28,"Tema","Avulso")</f>
        <v>Tema</v>
      </c>
      <c r="C1377" s="114" t="n">
        <f aca="false">IF(B1377="Tema",INT((A1377-1)/Config!$E$28)+1,A1377-Config!$E$27*Config!$E$28)</f>
        <v>229</v>
      </c>
      <c r="D1377" s="114" t="n">
        <f aca="false">IF(B1377="Tema",MOD(A1377-1,Config!$E$28)+1,"")</f>
        <v>5</v>
      </c>
      <c r="E1377" s="115" t="str">
        <f aca="false">IF($B1377="Tema",IF(ISNUMBER(INDEX(Temas!$E$6:$P$305,$C1377,2*$D1377-1)),INDEX(Temas!$E$6:$P$305,$C1377,2*$D1377-1),""),IF(ISNUMBER(INDEX(Avulsos!$B$6:$B$205,$C1377)),INDEX(Avulsos!$B$6:$B$205,$C1377),""))</f>
        <v/>
      </c>
      <c r="F1377" s="114" t="str">
        <f aca="false">IF($E1377="","",IF($B1377="Tema",INDEX(Temas!$B$6:$B$305,$C1377)&amp;"",INDEX(Avulsos!$C$6:$C$205,$C1377)&amp;""))</f>
        <v/>
      </c>
      <c r="G1377" s="114" t="str">
        <f aca="false">IF($E1377="","",IF($B1377="Tema",INDEX(Config!$C$6:$C$11,$D1377),"Evento avulso"))</f>
        <v/>
      </c>
      <c r="H1377" s="114" t="str">
        <f aca="false">IF($E1377="","",IF($B1377="Tema",INDEX(Config!$D$6:$D$11,$D1377),IFERROR(INDEX(Config!$E$15:$E$19,MATCH($I1377,Config!$C$15:$C$19,0)),"•")))</f>
        <v/>
      </c>
      <c r="I1377" s="114" t="str">
        <f aca="false">IF($E1377="","",IF($B1377="Tema",INDEX(Config!$E$6:$E$11,$D1377),IF(INDEX(Avulsos!$D$6:$D$205,$C1377)&amp;""="","Outro",INDEX(Avulsos!$D$6:$D$205,$C1377))))</f>
        <v/>
      </c>
      <c r="J1377" s="114" t="str">
        <f aca="false">IF($E1377="","",IF($B1377="Tema",INDEX(Temas!$C$6:$C$305,$C1377)&amp;"",INDEX(Avulsos!$E$6:$E$205,$C1377)&amp;""))</f>
        <v/>
      </c>
      <c r="K1377" s="114" t="str">
        <f aca="false">IF($E1377="","",IF(IF($B1377="Tema",INDEX(Temas!$E$6:$P$305,$C1377,2*$D1377),INDEX(Avulsos!$F$6:$F$205,$C1377))&amp;""="","","✓"))</f>
        <v/>
      </c>
      <c r="L1377" s="114" t="str">
        <f aca="true">IF($E1377="","",IF($K1377="✓","Concluído",IF($E1377&lt;TODAY(),"Atrasado",IF($E1377=TODAY(),"Hoje","Pendente"))))</f>
        <v/>
      </c>
      <c r="M1377" s="114" t="str">
        <f aca="false">IF($E1377="","",IF($K1377="✓","✓ ","")&amp;IF(Config!$E$22="Sim",$H1377&amp;" · ","")&amp;$F1377)</f>
        <v/>
      </c>
      <c r="N1377" s="114" t="str">
        <f aca="false">IF($E1377="","",IFERROR(INDEX(Config!$D$15:$D$19,MATCH($I1377,Config!$C$15:$C$19,0)),"OUT")&amp;IF($K1377="✓","x",""))</f>
        <v/>
      </c>
      <c r="O1377" s="114" t="str">
        <f aca="false">IF($E1377="","",COUNTIF($E$5:$E1377,$E1377))</f>
        <v/>
      </c>
      <c r="P1377" s="114" t="str">
        <f aca="false">IF($E1377="","",$E1377*100+$O1377)</f>
        <v/>
      </c>
      <c r="Q1377" s="114" t="str">
        <f aca="false">IF($L1377="Atrasado",$E1377*10000+$A1377,"")</f>
        <v/>
      </c>
    </row>
    <row r="1378" customFormat="false" ht="15" hidden="false" customHeight="false" outlineLevel="0" collapsed="false">
      <c r="A1378" s="114" t="n">
        <f aca="false">ROW()-4</f>
        <v>1374</v>
      </c>
      <c r="B1378" s="114" t="str">
        <f aca="false">IF(A1378&lt;=Config!$E$27*Config!$E$28,"Tema","Avulso")</f>
        <v>Tema</v>
      </c>
      <c r="C1378" s="114" t="n">
        <f aca="false">IF(B1378="Tema",INT((A1378-1)/Config!$E$28)+1,A1378-Config!$E$27*Config!$E$28)</f>
        <v>229</v>
      </c>
      <c r="D1378" s="114" t="n">
        <f aca="false">IF(B1378="Tema",MOD(A1378-1,Config!$E$28)+1,"")</f>
        <v>6</v>
      </c>
      <c r="E1378" s="115" t="str">
        <f aca="false">IF($B1378="Tema",IF(ISNUMBER(INDEX(Temas!$E$6:$P$305,$C1378,2*$D1378-1)),INDEX(Temas!$E$6:$P$305,$C1378,2*$D1378-1),""),IF(ISNUMBER(INDEX(Avulsos!$B$6:$B$205,$C1378)),INDEX(Avulsos!$B$6:$B$205,$C1378),""))</f>
        <v/>
      </c>
      <c r="F1378" s="114" t="str">
        <f aca="false">IF($E1378="","",IF($B1378="Tema",INDEX(Temas!$B$6:$B$305,$C1378)&amp;"",INDEX(Avulsos!$C$6:$C$205,$C1378)&amp;""))</f>
        <v/>
      </c>
      <c r="G1378" s="114" t="str">
        <f aca="false">IF($E1378="","",IF($B1378="Tema",INDEX(Config!$C$6:$C$11,$D1378),"Evento avulso"))</f>
        <v/>
      </c>
      <c r="H1378" s="114" t="str">
        <f aca="false">IF($E1378="","",IF($B1378="Tema",INDEX(Config!$D$6:$D$11,$D1378),IFERROR(INDEX(Config!$E$15:$E$19,MATCH($I1378,Config!$C$15:$C$19,0)),"•")))</f>
        <v/>
      </c>
      <c r="I1378" s="114" t="str">
        <f aca="false">IF($E1378="","",IF($B1378="Tema",INDEX(Config!$E$6:$E$11,$D1378),IF(INDEX(Avulsos!$D$6:$D$205,$C1378)&amp;""="","Outro",INDEX(Avulsos!$D$6:$D$205,$C1378))))</f>
        <v/>
      </c>
      <c r="J1378" s="114" t="str">
        <f aca="false">IF($E1378="","",IF($B1378="Tema",INDEX(Temas!$C$6:$C$305,$C1378)&amp;"",INDEX(Avulsos!$E$6:$E$205,$C1378)&amp;""))</f>
        <v/>
      </c>
      <c r="K1378" s="114" t="str">
        <f aca="false">IF($E1378="","",IF(IF($B1378="Tema",INDEX(Temas!$E$6:$P$305,$C1378,2*$D1378),INDEX(Avulsos!$F$6:$F$205,$C1378))&amp;""="","","✓"))</f>
        <v/>
      </c>
      <c r="L1378" s="114" t="str">
        <f aca="true">IF($E1378="","",IF($K1378="✓","Concluído",IF($E1378&lt;TODAY(),"Atrasado",IF($E1378=TODAY(),"Hoje","Pendente"))))</f>
        <v/>
      </c>
      <c r="M1378" s="114" t="str">
        <f aca="false">IF($E1378="","",IF($K1378="✓","✓ ","")&amp;IF(Config!$E$22="Sim",$H1378&amp;" · ","")&amp;$F1378)</f>
        <v/>
      </c>
      <c r="N1378" s="114" t="str">
        <f aca="false">IF($E1378="","",IFERROR(INDEX(Config!$D$15:$D$19,MATCH($I1378,Config!$C$15:$C$19,0)),"OUT")&amp;IF($K1378="✓","x",""))</f>
        <v/>
      </c>
      <c r="O1378" s="114" t="str">
        <f aca="false">IF($E1378="","",COUNTIF($E$5:$E1378,$E1378))</f>
        <v/>
      </c>
      <c r="P1378" s="114" t="str">
        <f aca="false">IF($E1378="","",$E1378*100+$O1378)</f>
        <v/>
      </c>
      <c r="Q1378" s="114" t="str">
        <f aca="false">IF($L1378="Atrasado",$E1378*10000+$A1378,"")</f>
        <v/>
      </c>
    </row>
    <row r="1379" customFormat="false" ht="15" hidden="false" customHeight="false" outlineLevel="0" collapsed="false">
      <c r="A1379" s="114" t="n">
        <f aca="false">ROW()-4</f>
        <v>1375</v>
      </c>
      <c r="B1379" s="114" t="str">
        <f aca="false">IF(A1379&lt;=Config!$E$27*Config!$E$28,"Tema","Avulso")</f>
        <v>Tema</v>
      </c>
      <c r="C1379" s="114" t="n">
        <f aca="false">IF(B1379="Tema",INT((A1379-1)/Config!$E$28)+1,A1379-Config!$E$27*Config!$E$28)</f>
        <v>230</v>
      </c>
      <c r="D1379" s="114" t="n">
        <f aca="false">IF(B1379="Tema",MOD(A1379-1,Config!$E$28)+1,"")</f>
        <v>1</v>
      </c>
      <c r="E1379" s="115" t="str">
        <f aca="false">IF($B1379="Tema",IF(ISNUMBER(INDEX(Temas!$E$6:$P$305,$C1379,2*$D1379-1)),INDEX(Temas!$E$6:$P$305,$C1379,2*$D1379-1),""),IF(ISNUMBER(INDEX(Avulsos!$B$6:$B$205,$C1379)),INDEX(Avulsos!$B$6:$B$205,$C1379),""))</f>
        <v/>
      </c>
      <c r="F1379" s="114" t="str">
        <f aca="false">IF($E1379="","",IF($B1379="Tema",INDEX(Temas!$B$6:$B$305,$C1379)&amp;"",INDEX(Avulsos!$C$6:$C$205,$C1379)&amp;""))</f>
        <v/>
      </c>
      <c r="G1379" s="114" t="str">
        <f aca="false">IF($E1379="","",IF($B1379="Tema",INDEX(Config!$C$6:$C$11,$D1379),"Evento avulso"))</f>
        <v/>
      </c>
      <c r="H1379" s="114" t="str">
        <f aca="false">IF($E1379="","",IF($B1379="Tema",INDEX(Config!$D$6:$D$11,$D1379),IFERROR(INDEX(Config!$E$15:$E$19,MATCH($I1379,Config!$C$15:$C$19,0)),"•")))</f>
        <v/>
      </c>
      <c r="I1379" s="114" t="str">
        <f aca="false">IF($E1379="","",IF($B1379="Tema",INDEX(Config!$E$6:$E$11,$D1379),IF(INDEX(Avulsos!$D$6:$D$205,$C1379)&amp;""="","Outro",INDEX(Avulsos!$D$6:$D$205,$C1379))))</f>
        <v/>
      </c>
      <c r="J1379" s="114" t="str">
        <f aca="false">IF($E1379="","",IF($B1379="Tema",INDEX(Temas!$C$6:$C$305,$C1379)&amp;"",INDEX(Avulsos!$E$6:$E$205,$C1379)&amp;""))</f>
        <v/>
      </c>
      <c r="K1379" s="114" t="str">
        <f aca="false">IF($E1379="","",IF(IF($B1379="Tema",INDEX(Temas!$E$6:$P$305,$C1379,2*$D1379),INDEX(Avulsos!$F$6:$F$205,$C1379))&amp;""="","","✓"))</f>
        <v/>
      </c>
      <c r="L1379" s="114" t="str">
        <f aca="true">IF($E1379="","",IF($K1379="✓","Concluído",IF($E1379&lt;TODAY(),"Atrasado",IF($E1379=TODAY(),"Hoje","Pendente"))))</f>
        <v/>
      </c>
      <c r="M1379" s="114" t="str">
        <f aca="false">IF($E1379="","",IF($K1379="✓","✓ ","")&amp;IF(Config!$E$22="Sim",$H1379&amp;" · ","")&amp;$F1379)</f>
        <v/>
      </c>
      <c r="N1379" s="114" t="str">
        <f aca="false">IF($E1379="","",IFERROR(INDEX(Config!$D$15:$D$19,MATCH($I1379,Config!$C$15:$C$19,0)),"OUT")&amp;IF($K1379="✓","x",""))</f>
        <v/>
      </c>
      <c r="O1379" s="114" t="str">
        <f aca="false">IF($E1379="","",COUNTIF($E$5:$E1379,$E1379))</f>
        <v/>
      </c>
      <c r="P1379" s="114" t="str">
        <f aca="false">IF($E1379="","",$E1379*100+$O1379)</f>
        <v/>
      </c>
      <c r="Q1379" s="114" t="str">
        <f aca="false">IF($L1379="Atrasado",$E1379*10000+$A1379,"")</f>
        <v/>
      </c>
    </row>
    <row r="1380" customFormat="false" ht="15" hidden="false" customHeight="false" outlineLevel="0" collapsed="false">
      <c r="A1380" s="114" t="n">
        <f aca="false">ROW()-4</f>
        <v>1376</v>
      </c>
      <c r="B1380" s="114" t="str">
        <f aca="false">IF(A1380&lt;=Config!$E$27*Config!$E$28,"Tema","Avulso")</f>
        <v>Tema</v>
      </c>
      <c r="C1380" s="114" t="n">
        <f aca="false">IF(B1380="Tema",INT((A1380-1)/Config!$E$28)+1,A1380-Config!$E$27*Config!$E$28)</f>
        <v>230</v>
      </c>
      <c r="D1380" s="114" t="n">
        <f aca="false">IF(B1380="Tema",MOD(A1380-1,Config!$E$28)+1,"")</f>
        <v>2</v>
      </c>
      <c r="E1380" s="115" t="str">
        <f aca="false">IF($B1380="Tema",IF(ISNUMBER(INDEX(Temas!$E$6:$P$305,$C1380,2*$D1380-1)),INDEX(Temas!$E$6:$P$305,$C1380,2*$D1380-1),""),IF(ISNUMBER(INDEX(Avulsos!$B$6:$B$205,$C1380)),INDEX(Avulsos!$B$6:$B$205,$C1380),""))</f>
        <v/>
      </c>
      <c r="F1380" s="114" t="str">
        <f aca="false">IF($E1380="","",IF($B1380="Tema",INDEX(Temas!$B$6:$B$305,$C1380)&amp;"",INDEX(Avulsos!$C$6:$C$205,$C1380)&amp;""))</f>
        <v/>
      </c>
      <c r="G1380" s="114" t="str">
        <f aca="false">IF($E1380="","",IF($B1380="Tema",INDEX(Config!$C$6:$C$11,$D1380),"Evento avulso"))</f>
        <v/>
      </c>
      <c r="H1380" s="114" t="str">
        <f aca="false">IF($E1380="","",IF($B1380="Tema",INDEX(Config!$D$6:$D$11,$D1380),IFERROR(INDEX(Config!$E$15:$E$19,MATCH($I1380,Config!$C$15:$C$19,0)),"•")))</f>
        <v/>
      </c>
      <c r="I1380" s="114" t="str">
        <f aca="false">IF($E1380="","",IF($B1380="Tema",INDEX(Config!$E$6:$E$11,$D1380),IF(INDEX(Avulsos!$D$6:$D$205,$C1380)&amp;""="","Outro",INDEX(Avulsos!$D$6:$D$205,$C1380))))</f>
        <v/>
      </c>
      <c r="J1380" s="114" t="str">
        <f aca="false">IF($E1380="","",IF($B1380="Tema",INDEX(Temas!$C$6:$C$305,$C1380)&amp;"",INDEX(Avulsos!$E$6:$E$205,$C1380)&amp;""))</f>
        <v/>
      </c>
      <c r="K1380" s="114" t="str">
        <f aca="false">IF($E1380="","",IF(IF($B1380="Tema",INDEX(Temas!$E$6:$P$305,$C1380,2*$D1380),INDEX(Avulsos!$F$6:$F$205,$C1380))&amp;""="","","✓"))</f>
        <v/>
      </c>
      <c r="L1380" s="114" t="str">
        <f aca="true">IF($E1380="","",IF($K1380="✓","Concluído",IF($E1380&lt;TODAY(),"Atrasado",IF($E1380=TODAY(),"Hoje","Pendente"))))</f>
        <v/>
      </c>
      <c r="M1380" s="114" t="str">
        <f aca="false">IF($E1380="","",IF($K1380="✓","✓ ","")&amp;IF(Config!$E$22="Sim",$H1380&amp;" · ","")&amp;$F1380)</f>
        <v/>
      </c>
      <c r="N1380" s="114" t="str">
        <f aca="false">IF($E1380="","",IFERROR(INDEX(Config!$D$15:$D$19,MATCH($I1380,Config!$C$15:$C$19,0)),"OUT")&amp;IF($K1380="✓","x",""))</f>
        <v/>
      </c>
      <c r="O1380" s="114" t="str">
        <f aca="false">IF($E1380="","",COUNTIF($E$5:$E1380,$E1380))</f>
        <v/>
      </c>
      <c r="P1380" s="114" t="str">
        <f aca="false">IF($E1380="","",$E1380*100+$O1380)</f>
        <v/>
      </c>
      <c r="Q1380" s="114" t="str">
        <f aca="false">IF($L1380="Atrasado",$E1380*10000+$A1380,"")</f>
        <v/>
      </c>
    </row>
    <row r="1381" customFormat="false" ht="15" hidden="false" customHeight="false" outlineLevel="0" collapsed="false">
      <c r="A1381" s="114" t="n">
        <f aca="false">ROW()-4</f>
        <v>1377</v>
      </c>
      <c r="B1381" s="114" t="str">
        <f aca="false">IF(A1381&lt;=Config!$E$27*Config!$E$28,"Tema","Avulso")</f>
        <v>Tema</v>
      </c>
      <c r="C1381" s="114" t="n">
        <f aca="false">IF(B1381="Tema",INT((A1381-1)/Config!$E$28)+1,A1381-Config!$E$27*Config!$E$28)</f>
        <v>230</v>
      </c>
      <c r="D1381" s="114" t="n">
        <f aca="false">IF(B1381="Tema",MOD(A1381-1,Config!$E$28)+1,"")</f>
        <v>3</v>
      </c>
      <c r="E1381" s="115" t="str">
        <f aca="false">IF($B1381="Tema",IF(ISNUMBER(INDEX(Temas!$E$6:$P$305,$C1381,2*$D1381-1)),INDEX(Temas!$E$6:$P$305,$C1381,2*$D1381-1),""),IF(ISNUMBER(INDEX(Avulsos!$B$6:$B$205,$C1381)),INDEX(Avulsos!$B$6:$B$205,$C1381),""))</f>
        <v/>
      </c>
      <c r="F1381" s="114" t="str">
        <f aca="false">IF($E1381="","",IF($B1381="Tema",INDEX(Temas!$B$6:$B$305,$C1381)&amp;"",INDEX(Avulsos!$C$6:$C$205,$C1381)&amp;""))</f>
        <v/>
      </c>
      <c r="G1381" s="114" t="str">
        <f aca="false">IF($E1381="","",IF($B1381="Tema",INDEX(Config!$C$6:$C$11,$D1381),"Evento avulso"))</f>
        <v/>
      </c>
      <c r="H1381" s="114" t="str">
        <f aca="false">IF($E1381="","",IF($B1381="Tema",INDEX(Config!$D$6:$D$11,$D1381),IFERROR(INDEX(Config!$E$15:$E$19,MATCH($I1381,Config!$C$15:$C$19,0)),"•")))</f>
        <v/>
      </c>
      <c r="I1381" s="114" t="str">
        <f aca="false">IF($E1381="","",IF($B1381="Tema",INDEX(Config!$E$6:$E$11,$D1381),IF(INDEX(Avulsos!$D$6:$D$205,$C1381)&amp;""="","Outro",INDEX(Avulsos!$D$6:$D$205,$C1381))))</f>
        <v/>
      </c>
      <c r="J1381" s="114" t="str">
        <f aca="false">IF($E1381="","",IF($B1381="Tema",INDEX(Temas!$C$6:$C$305,$C1381)&amp;"",INDEX(Avulsos!$E$6:$E$205,$C1381)&amp;""))</f>
        <v/>
      </c>
      <c r="K1381" s="114" t="str">
        <f aca="false">IF($E1381="","",IF(IF($B1381="Tema",INDEX(Temas!$E$6:$P$305,$C1381,2*$D1381),INDEX(Avulsos!$F$6:$F$205,$C1381))&amp;""="","","✓"))</f>
        <v/>
      </c>
      <c r="L1381" s="114" t="str">
        <f aca="true">IF($E1381="","",IF($K1381="✓","Concluído",IF($E1381&lt;TODAY(),"Atrasado",IF($E1381=TODAY(),"Hoje","Pendente"))))</f>
        <v/>
      </c>
      <c r="M1381" s="114" t="str">
        <f aca="false">IF($E1381="","",IF($K1381="✓","✓ ","")&amp;IF(Config!$E$22="Sim",$H1381&amp;" · ","")&amp;$F1381)</f>
        <v/>
      </c>
      <c r="N1381" s="114" t="str">
        <f aca="false">IF($E1381="","",IFERROR(INDEX(Config!$D$15:$D$19,MATCH($I1381,Config!$C$15:$C$19,0)),"OUT")&amp;IF($K1381="✓","x",""))</f>
        <v/>
      </c>
      <c r="O1381" s="114" t="str">
        <f aca="false">IF($E1381="","",COUNTIF($E$5:$E1381,$E1381))</f>
        <v/>
      </c>
      <c r="P1381" s="114" t="str">
        <f aca="false">IF($E1381="","",$E1381*100+$O1381)</f>
        <v/>
      </c>
      <c r="Q1381" s="114" t="str">
        <f aca="false">IF($L1381="Atrasado",$E1381*10000+$A1381,"")</f>
        <v/>
      </c>
    </row>
    <row r="1382" customFormat="false" ht="15" hidden="false" customHeight="false" outlineLevel="0" collapsed="false">
      <c r="A1382" s="114" t="n">
        <f aca="false">ROW()-4</f>
        <v>1378</v>
      </c>
      <c r="B1382" s="114" t="str">
        <f aca="false">IF(A1382&lt;=Config!$E$27*Config!$E$28,"Tema","Avulso")</f>
        <v>Tema</v>
      </c>
      <c r="C1382" s="114" t="n">
        <f aca="false">IF(B1382="Tema",INT((A1382-1)/Config!$E$28)+1,A1382-Config!$E$27*Config!$E$28)</f>
        <v>230</v>
      </c>
      <c r="D1382" s="114" t="n">
        <f aca="false">IF(B1382="Tema",MOD(A1382-1,Config!$E$28)+1,"")</f>
        <v>4</v>
      </c>
      <c r="E1382" s="115" t="str">
        <f aca="false">IF($B1382="Tema",IF(ISNUMBER(INDEX(Temas!$E$6:$P$305,$C1382,2*$D1382-1)),INDEX(Temas!$E$6:$P$305,$C1382,2*$D1382-1),""),IF(ISNUMBER(INDEX(Avulsos!$B$6:$B$205,$C1382)),INDEX(Avulsos!$B$6:$B$205,$C1382),""))</f>
        <v/>
      </c>
      <c r="F1382" s="114" t="str">
        <f aca="false">IF($E1382="","",IF($B1382="Tema",INDEX(Temas!$B$6:$B$305,$C1382)&amp;"",INDEX(Avulsos!$C$6:$C$205,$C1382)&amp;""))</f>
        <v/>
      </c>
      <c r="G1382" s="114" t="str">
        <f aca="false">IF($E1382="","",IF($B1382="Tema",INDEX(Config!$C$6:$C$11,$D1382),"Evento avulso"))</f>
        <v/>
      </c>
      <c r="H1382" s="114" t="str">
        <f aca="false">IF($E1382="","",IF($B1382="Tema",INDEX(Config!$D$6:$D$11,$D1382),IFERROR(INDEX(Config!$E$15:$E$19,MATCH($I1382,Config!$C$15:$C$19,0)),"•")))</f>
        <v/>
      </c>
      <c r="I1382" s="114" t="str">
        <f aca="false">IF($E1382="","",IF($B1382="Tema",INDEX(Config!$E$6:$E$11,$D1382),IF(INDEX(Avulsos!$D$6:$D$205,$C1382)&amp;""="","Outro",INDEX(Avulsos!$D$6:$D$205,$C1382))))</f>
        <v/>
      </c>
      <c r="J1382" s="114" t="str">
        <f aca="false">IF($E1382="","",IF($B1382="Tema",INDEX(Temas!$C$6:$C$305,$C1382)&amp;"",INDEX(Avulsos!$E$6:$E$205,$C1382)&amp;""))</f>
        <v/>
      </c>
      <c r="K1382" s="114" t="str">
        <f aca="false">IF($E1382="","",IF(IF($B1382="Tema",INDEX(Temas!$E$6:$P$305,$C1382,2*$D1382),INDEX(Avulsos!$F$6:$F$205,$C1382))&amp;""="","","✓"))</f>
        <v/>
      </c>
      <c r="L1382" s="114" t="str">
        <f aca="true">IF($E1382="","",IF($K1382="✓","Concluído",IF($E1382&lt;TODAY(),"Atrasado",IF($E1382=TODAY(),"Hoje","Pendente"))))</f>
        <v/>
      </c>
      <c r="M1382" s="114" t="str">
        <f aca="false">IF($E1382="","",IF($K1382="✓","✓ ","")&amp;IF(Config!$E$22="Sim",$H1382&amp;" · ","")&amp;$F1382)</f>
        <v/>
      </c>
      <c r="N1382" s="114" t="str">
        <f aca="false">IF($E1382="","",IFERROR(INDEX(Config!$D$15:$D$19,MATCH($I1382,Config!$C$15:$C$19,0)),"OUT")&amp;IF($K1382="✓","x",""))</f>
        <v/>
      </c>
      <c r="O1382" s="114" t="str">
        <f aca="false">IF($E1382="","",COUNTIF($E$5:$E1382,$E1382))</f>
        <v/>
      </c>
      <c r="P1382" s="114" t="str">
        <f aca="false">IF($E1382="","",$E1382*100+$O1382)</f>
        <v/>
      </c>
      <c r="Q1382" s="114" t="str">
        <f aca="false">IF($L1382="Atrasado",$E1382*10000+$A1382,"")</f>
        <v/>
      </c>
    </row>
    <row r="1383" customFormat="false" ht="15" hidden="false" customHeight="false" outlineLevel="0" collapsed="false">
      <c r="A1383" s="114" t="n">
        <f aca="false">ROW()-4</f>
        <v>1379</v>
      </c>
      <c r="B1383" s="114" t="str">
        <f aca="false">IF(A1383&lt;=Config!$E$27*Config!$E$28,"Tema","Avulso")</f>
        <v>Tema</v>
      </c>
      <c r="C1383" s="114" t="n">
        <f aca="false">IF(B1383="Tema",INT((A1383-1)/Config!$E$28)+1,A1383-Config!$E$27*Config!$E$28)</f>
        <v>230</v>
      </c>
      <c r="D1383" s="114" t="n">
        <f aca="false">IF(B1383="Tema",MOD(A1383-1,Config!$E$28)+1,"")</f>
        <v>5</v>
      </c>
      <c r="E1383" s="115" t="str">
        <f aca="false">IF($B1383="Tema",IF(ISNUMBER(INDEX(Temas!$E$6:$P$305,$C1383,2*$D1383-1)),INDEX(Temas!$E$6:$P$305,$C1383,2*$D1383-1),""),IF(ISNUMBER(INDEX(Avulsos!$B$6:$B$205,$C1383)),INDEX(Avulsos!$B$6:$B$205,$C1383),""))</f>
        <v/>
      </c>
      <c r="F1383" s="114" t="str">
        <f aca="false">IF($E1383="","",IF($B1383="Tema",INDEX(Temas!$B$6:$B$305,$C1383)&amp;"",INDEX(Avulsos!$C$6:$C$205,$C1383)&amp;""))</f>
        <v/>
      </c>
      <c r="G1383" s="114" t="str">
        <f aca="false">IF($E1383="","",IF($B1383="Tema",INDEX(Config!$C$6:$C$11,$D1383),"Evento avulso"))</f>
        <v/>
      </c>
      <c r="H1383" s="114" t="str">
        <f aca="false">IF($E1383="","",IF($B1383="Tema",INDEX(Config!$D$6:$D$11,$D1383),IFERROR(INDEX(Config!$E$15:$E$19,MATCH($I1383,Config!$C$15:$C$19,0)),"•")))</f>
        <v/>
      </c>
      <c r="I1383" s="114" t="str">
        <f aca="false">IF($E1383="","",IF($B1383="Tema",INDEX(Config!$E$6:$E$11,$D1383),IF(INDEX(Avulsos!$D$6:$D$205,$C1383)&amp;""="","Outro",INDEX(Avulsos!$D$6:$D$205,$C1383))))</f>
        <v/>
      </c>
      <c r="J1383" s="114" t="str">
        <f aca="false">IF($E1383="","",IF($B1383="Tema",INDEX(Temas!$C$6:$C$305,$C1383)&amp;"",INDEX(Avulsos!$E$6:$E$205,$C1383)&amp;""))</f>
        <v/>
      </c>
      <c r="K1383" s="114" t="str">
        <f aca="false">IF($E1383="","",IF(IF($B1383="Tema",INDEX(Temas!$E$6:$P$305,$C1383,2*$D1383),INDEX(Avulsos!$F$6:$F$205,$C1383))&amp;""="","","✓"))</f>
        <v/>
      </c>
      <c r="L1383" s="114" t="str">
        <f aca="true">IF($E1383="","",IF($K1383="✓","Concluído",IF($E1383&lt;TODAY(),"Atrasado",IF($E1383=TODAY(),"Hoje","Pendente"))))</f>
        <v/>
      </c>
      <c r="M1383" s="114" t="str">
        <f aca="false">IF($E1383="","",IF($K1383="✓","✓ ","")&amp;IF(Config!$E$22="Sim",$H1383&amp;" · ","")&amp;$F1383)</f>
        <v/>
      </c>
      <c r="N1383" s="114" t="str">
        <f aca="false">IF($E1383="","",IFERROR(INDEX(Config!$D$15:$D$19,MATCH($I1383,Config!$C$15:$C$19,0)),"OUT")&amp;IF($K1383="✓","x",""))</f>
        <v/>
      </c>
      <c r="O1383" s="114" t="str">
        <f aca="false">IF($E1383="","",COUNTIF($E$5:$E1383,$E1383))</f>
        <v/>
      </c>
      <c r="P1383" s="114" t="str">
        <f aca="false">IF($E1383="","",$E1383*100+$O1383)</f>
        <v/>
      </c>
      <c r="Q1383" s="114" t="str">
        <f aca="false">IF($L1383="Atrasado",$E1383*10000+$A1383,"")</f>
        <v/>
      </c>
    </row>
    <row r="1384" customFormat="false" ht="15" hidden="false" customHeight="false" outlineLevel="0" collapsed="false">
      <c r="A1384" s="114" t="n">
        <f aca="false">ROW()-4</f>
        <v>1380</v>
      </c>
      <c r="B1384" s="114" t="str">
        <f aca="false">IF(A1384&lt;=Config!$E$27*Config!$E$28,"Tema","Avulso")</f>
        <v>Tema</v>
      </c>
      <c r="C1384" s="114" t="n">
        <f aca="false">IF(B1384="Tema",INT((A1384-1)/Config!$E$28)+1,A1384-Config!$E$27*Config!$E$28)</f>
        <v>230</v>
      </c>
      <c r="D1384" s="114" t="n">
        <f aca="false">IF(B1384="Tema",MOD(A1384-1,Config!$E$28)+1,"")</f>
        <v>6</v>
      </c>
      <c r="E1384" s="115" t="str">
        <f aca="false">IF($B1384="Tema",IF(ISNUMBER(INDEX(Temas!$E$6:$P$305,$C1384,2*$D1384-1)),INDEX(Temas!$E$6:$P$305,$C1384,2*$D1384-1),""),IF(ISNUMBER(INDEX(Avulsos!$B$6:$B$205,$C1384)),INDEX(Avulsos!$B$6:$B$205,$C1384),""))</f>
        <v/>
      </c>
      <c r="F1384" s="114" t="str">
        <f aca="false">IF($E1384="","",IF($B1384="Tema",INDEX(Temas!$B$6:$B$305,$C1384)&amp;"",INDEX(Avulsos!$C$6:$C$205,$C1384)&amp;""))</f>
        <v/>
      </c>
      <c r="G1384" s="114" t="str">
        <f aca="false">IF($E1384="","",IF($B1384="Tema",INDEX(Config!$C$6:$C$11,$D1384),"Evento avulso"))</f>
        <v/>
      </c>
      <c r="H1384" s="114" t="str">
        <f aca="false">IF($E1384="","",IF($B1384="Tema",INDEX(Config!$D$6:$D$11,$D1384),IFERROR(INDEX(Config!$E$15:$E$19,MATCH($I1384,Config!$C$15:$C$19,0)),"•")))</f>
        <v/>
      </c>
      <c r="I1384" s="114" t="str">
        <f aca="false">IF($E1384="","",IF($B1384="Tema",INDEX(Config!$E$6:$E$11,$D1384),IF(INDEX(Avulsos!$D$6:$D$205,$C1384)&amp;""="","Outro",INDEX(Avulsos!$D$6:$D$205,$C1384))))</f>
        <v/>
      </c>
      <c r="J1384" s="114" t="str">
        <f aca="false">IF($E1384="","",IF($B1384="Tema",INDEX(Temas!$C$6:$C$305,$C1384)&amp;"",INDEX(Avulsos!$E$6:$E$205,$C1384)&amp;""))</f>
        <v/>
      </c>
      <c r="K1384" s="114" t="str">
        <f aca="false">IF($E1384="","",IF(IF($B1384="Tema",INDEX(Temas!$E$6:$P$305,$C1384,2*$D1384),INDEX(Avulsos!$F$6:$F$205,$C1384))&amp;""="","","✓"))</f>
        <v/>
      </c>
      <c r="L1384" s="114" t="str">
        <f aca="true">IF($E1384="","",IF($K1384="✓","Concluído",IF($E1384&lt;TODAY(),"Atrasado",IF($E1384=TODAY(),"Hoje","Pendente"))))</f>
        <v/>
      </c>
      <c r="M1384" s="114" t="str">
        <f aca="false">IF($E1384="","",IF($K1384="✓","✓ ","")&amp;IF(Config!$E$22="Sim",$H1384&amp;" · ","")&amp;$F1384)</f>
        <v/>
      </c>
      <c r="N1384" s="114" t="str">
        <f aca="false">IF($E1384="","",IFERROR(INDEX(Config!$D$15:$D$19,MATCH($I1384,Config!$C$15:$C$19,0)),"OUT")&amp;IF($K1384="✓","x",""))</f>
        <v/>
      </c>
      <c r="O1384" s="114" t="str">
        <f aca="false">IF($E1384="","",COUNTIF($E$5:$E1384,$E1384))</f>
        <v/>
      </c>
      <c r="P1384" s="114" t="str">
        <f aca="false">IF($E1384="","",$E1384*100+$O1384)</f>
        <v/>
      </c>
      <c r="Q1384" s="114" t="str">
        <f aca="false">IF($L1384="Atrasado",$E1384*10000+$A1384,"")</f>
        <v/>
      </c>
    </row>
    <row r="1385" customFormat="false" ht="15" hidden="false" customHeight="false" outlineLevel="0" collapsed="false">
      <c r="A1385" s="114" t="n">
        <f aca="false">ROW()-4</f>
        <v>1381</v>
      </c>
      <c r="B1385" s="114" t="str">
        <f aca="false">IF(A1385&lt;=Config!$E$27*Config!$E$28,"Tema","Avulso")</f>
        <v>Tema</v>
      </c>
      <c r="C1385" s="114" t="n">
        <f aca="false">IF(B1385="Tema",INT((A1385-1)/Config!$E$28)+1,A1385-Config!$E$27*Config!$E$28)</f>
        <v>231</v>
      </c>
      <c r="D1385" s="114" t="n">
        <f aca="false">IF(B1385="Tema",MOD(A1385-1,Config!$E$28)+1,"")</f>
        <v>1</v>
      </c>
      <c r="E1385" s="115" t="str">
        <f aca="false">IF($B1385="Tema",IF(ISNUMBER(INDEX(Temas!$E$6:$P$305,$C1385,2*$D1385-1)),INDEX(Temas!$E$6:$P$305,$C1385,2*$D1385-1),""),IF(ISNUMBER(INDEX(Avulsos!$B$6:$B$205,$C1385)),INDEX(Avulsos!$B$6:$B$205,$C1385),""))</f>
        <v/>
      </c>
      <c r="F1385" s="114" t="str">
        <f aca="false">IF($E1385="","",IF($B1385="Tema",INDEX(Temas!$B$6:$B$305,$C1385)&amp;"",INDEX(Avulsos!$C$6:$C$205,$C1385)&amp;""))</f>
        <v/>
      </c>
      <c r="G1385" s="114" t="str">
        <f aca="false">IF($E1385="","",IF($B1385="Tema",INDEX(Config!$C$6:$C$11,$D1385),"Evento avulso"))</f>
        <v/>
      </c>
      <c r="H1385" s="114" t="str">
        <f aca="false">IF($E1385="","",IF($B1385="Tema",INDEX(Config!$D$6:$D$11,$D1385),IFERROR(INDEX(Config!$E$15:$E$19,MATCH($I1385,Config!$C$15:$C$19,0)),"•")))</f>
        <v/>
      </c>
      <c r="I1385" s="114" t="str">
        <f aca="false">IF($E1385="","",IF($B1385="Tema",INDEX(Config!$E$6:$E$11,$D1385),IF(INDEX(Avulsos!$D$6:$D$205,$C1385)&amp;""="","Outro",INDEX(Avulsos!$D$6:$D$205,$C1385))))</f>
        <v/>
      </c>
      <c r="J1385" s="114" t="str">
        <f aca="false">IF($E1385="","",IF($B1385="Tema",INDEX(Temas!$C$6:$C$305,$C1385)&amp;"",INDEX(Avulsos!$E$6:$E$205,$C1385)&amp;""))</f>
        <v/>
      </c>
      <c r="K1385" s="114" t="str">
        <f aca="false">IF($E1385="","",IF(IF($B1385="Tema",INDEX(Temas!$E$6:$P$305,$C1385,2*$D1385),INDEX(Avulsos!$F$6:$F$205,$C1385))&amp;""="","","✓"))</f>
        <v/>
      </c>
      <c r="L1385" s="114" t="str">
        <f aca="true">IF($E1385="","",IF($K1385="✓","Concluído",IF($E1385&lt;TODAY(),"Atrasado",IF($E1385=TODAY(),"Hoje","Pendente"))))</f>
        <v/>
      </c>
      <c r="M1385" s="114" t="str">
        <f aca="false">IF($E1385="","",IF($K1385="✓","✓ ","")&amp;IF(Config!$E$22="Sim",$H1385&amp;" · ","")&amp;$F1385)</f>
        <v/>
      </c>
      <c r="N1385" s="114" t="str">
        <f aca="false">IF($E1385="","",IFERROR(INDEX(Config!$D$15:$D$19,MATCH($I1385,Config!$C$15:$C$19,0)),"OUT")&amp;IF($K1385="✓","x",""))</f>
        <v/>
      </c>
      <c r="O1385" s="114" t="str">
        <f aca="false">IF($E1385="","",COUNTIF($E$5:$E1385,$E1385))</f>
        <v/>
      </c>
      <c r="P1385" s="114" t="str">
        <f aca="false">IF($E1385="","",$E1385*100+$O1385)</f>
        <v/>
      </c>
      <c r="Q1385" s="114" t="str">
        <f aca="false">IF($L1385="Atrasado",$E1385*10000+$A1385,"")</f>
        <v/>
      </c>
    </row>
    <row r="1386" customFormat="false" ht="15" hidden="false" customHeight="false" outlineLevel="0" collapsed="false">
      <c r="A1386" s="114" t="n">
        <f aca="false">ROW()-4</f>
        <v>1382</v>
      </c>
      <c r="B1386" s="114" t="str">
        <f aca="false">IF(A1386&lt;=Config!$E$27*Config!$E$28,"Tema","Avulso")</f>
        <v>Tema</v>
      </c>
      <c r="C1386" s="114" t="n">
        <f aca="false">IF(B1386="Tema",INT((A1386-1)/Config!$E$28)+1,A1386-Config!$E$27*Config!$E$28)</f>
        <v>231</v>
      </c>
      <c r="D1386" s="114" t="n">
        <f aca="false">IF(B1386="Tema",MOD(A1386-1,Config!$E$28)+1,"")</f>
        <v>2</v>
      </c>
      <c r="E1386" s="115" t="str">
        <f aca="false">IF($B1386="Tema",IF(ISNUMBER(INDEX(Temas!$E$6:$P$305,$C1386,2*$D1386-1)),INDEX(Temas!$E$6:$P$305,$C1386,2*$D1386-1),""),IF(ISNUMBER(INDEX(Avulsos!$B$6:$B$205,$C1386)),INDEX(Avulsos!$B$6:$B$205,$C1386),""))</f>
        <v/>
      </c>
      <c r="F1386" s="114" t="str">
        <f aca="false">IF($E1386="","",IF($B1386="Tema",INDEX(Temas!$B$6:$B$305,$C1386)&amp;"",INDEX(Avulsos!$C$6:$C$205,$C1386)&amp;""))</f>
        <v/>
      </c>
      <c r="G1386" s="114" t="str">
        <f aca="false">IF($E1386="","",IF($B1386="Tema",INDEX(Config!$C$6:$C$11,$D1386),"Evento avulso"))</f>
        <v/>
      </c>
      <c r="H1386" s="114" t="str">
        <f aca="false">IF($E1386="","",IF($B1386="Tema",INDEX(Config!$D$6:$D$11,$D1386),IFERROR(INDEX(Config!$E$15:$E$19,MATCH($I1386,Config!$C$15:$C$19,0)),"•")))</f>
        <v/>
      </c>
      <c r="I1386" s="114" t="str">
        <f aca="false">IF($E1386="","",IF($B1386="Tema",INDEX(Config!$E$6:$E$11,$D1386),IF(INDEX(Avulsos!$D$6:$D$205,$C1386)&amp;""="","Outro",INDEX(Avulsos!$D$6:$D$205,$C1386))))</f>
        <v/>
      </c>
      <c r="J1386" s="114" t="str">
        <f aca="false">IF($E1386="","",IF($B1386="Tema",INDEX(Temas!$C$6:$C$305,$C1386)&amp;"",INDEX(Avulsos!$E$6:$E$205,$C1386)&amp;""))</f>
        <v/>
      </c>
      <c r="K1386" s="114" t="str">
        <f aca="false">IF($E1386="","",IF(IF($B1386="Tema",INDEX(Temas!$E$6:$P$305,$C1386,2*$D1386),INDEX(Avulsos!$F$6:$F$205,$C1386))&amp;""="","","✓"))</f>
        <v/>
      </c>
      <c r="L1386" s="114" t="str">
        <f aca="true">IF($E1386="","",IF($K1386="✓","Concluído",IF($E1386&lt;TODAY(),"Atrasado",IF($E1386=TODAY(),"Hoje","Pendente"))))</f>
        <v/>
      </c>
      <c r="M1386" s="114" t="str">
        <f aca="false">IF($E1386="","",IF($K1386="✓","✓ ","")&amp;IF(Config!$E$22="Sim",$H1386&amp;" · ","")&amp;$F1386)</f>
        <v/>
      </c>
      <c r="N1386" s="114" t="str">
        <f aca="false">IF($E1386="","",IFERROR(INDEX(Config!$D$15:$D$19,MATCH($I1386,Config!$C$15:$C$19,0)),"OUT")&amp;IF($K1386="✓","x",""))</f>
        <v/>
      </c>
      <c r="O1386" s="114" t="str">
        <f aca="false">IF($E1386="","",COUNTIF($E$5:$E1386,$E1386))</f>
        <v/>
      </c>
      <c r="P1386" s="114" t="str">
        <f aca="false">IF($E1386="","",$E1386*100+$O1386)</f>
        <v/>
      </c>
      <c r="Q1386" s="114" t="str">
        <f aca="false">IF($L1386="Atrasado",$E1386*10000+$A1386,"")</f>
        <v/>
      </c>
    </row>
    <row r="1387" customFormat="false" ht="15" hidden="false" customHeight="false" outlineLevel="0" collapsed="false">
      <c r="A1387" s="114" t="n">
        <f aca="false">ROW()-4</f>
        <v>1383</v>
      </c>
      <c r="B1387" s="114" t="str">
        <f aca="false">IF(A1387&lt;=Config!$E$27*Config!$E$28,"Tema","Avulso")</f>
        <v>Tema</v>
      </c>
      <c r="C1387" s="114" t="n">
        <f aca="false">IF(B1387="Tema",INT((A1387-1)/Config!$E$28)+1,A1387-Config!$E$27*Config!$E$28)</f>
        <v>231</v>
      </c>
      <c r="D1387" s="114" t="n">
        <f aca="false">IF(B1387="Tema",MOD(A1387-1,Config!$E$28)+1,"")</f>
        <v>3</v>
      </c>
      <c r="E1387" s="115" t="str">
        <f aca="false">IF($B1387="Tema",IF(ISNUMBER(INDEX(Temas!$E$6:$P$305,$C1387,2*$D1387-1)),INDEX(Temas!$E$6:$P$305,$C1387,2*$D1387-1),""),IF(ISNUMBER(INDEX(Avulsos!$B$6:$B$205,$C1387)),INDEX(Avulsos!$B$6:$B$205,$C1387),""))</f>
        <v/>
      </c>
      <c r="F1387" s="114" t="str">
        <f aca="false">IF($E1387="","",IF($B1387="Tema",INDEX(Temas!$B$6:$B$305,$C1387)&amp;"",INDEX(Avulsos!$C$6:$C$205,$C1387)&amp;""))</f>
        <v/>
      </c>
      <c r="G1387" s="114" t="str">
        <f aca="false">IF($E1387="","",IF($B1387="Tema",INDEX(Config!$C$6:$C$11,$D1387),"Evento avulso"))</f>
        <v/>
      </c>
      <c r="H1387" s="114" t="str">
        <f aca="false">IF($E1387="","",IF($B1387="Tema",INDEX(Config!$D$6:$D$11,$D1387),IFERROR(INDEX(Config!$E$15:$E$19,MATCH($I1387,Config!$C$15:$C$19,0)),"•")))</f>
        <v/>
      </c>
      <c r="I1387" s="114" t="str">
        <f aca="false">IF($E1387="","",IF($B1387="Tema",INDEX(Config!$E$6:$E$11,$D1387),IF(INDEX(Avulsos!$D$6:$D$205,$C1387)&amp;""="","Outro",INDEX(Avulsos!$D$6:$D$205,$C1387))))</f>
        <v/>
      </c>
      <c r="J1387" s="114" t="str">
        <f aca="false">IF($E1387="","",IF($B1387="Tema",INDEX(Temas!$C$6:$C$305,$C1387)&amp;"",INDEX(Avulsos!$E$6:$E$205,$C1387)&amp;""))</f>
        <v/>
      </c>
      <c r="K1387" s="114" t="str">
        <f aca="false">IF($E1387="","",IF(IF($B1387="Tema",INDEX(Temas!$E$6:$P$305,$C1387,2*$D1387),INDEX(Avulsos!$F$6:$F$205,$C1387))&amp;""="","","✓"))</f>
        <v/>
      </c>
      <c r="L1387" s="114" t="str">
        <f aca="true">IF($E1387="","",IF($K1387="✓","Concluído",IF($E1387&lt;TODAY(),"Atrasado",IF($E1387=TODAY(),"Hoje","Pendente"))))</f>
        <v/>
      </c>
      <c r="M1387" s="114" t="str">
        <f aca="false">IF($E1387="","",IF($K1387="✓","✓ ","")&amp;IF(Config!$E$22="Sim",$H1387&amp;" · ","")&amp;$F1387)</f>
        <v/>
      </c>
      <c r="N1387" s="114" t="str">
        <f aca="false">IF($E1387="","",IFERROR(INDEX(Config!$D$15:$D$19,MATCH($I1387,Config!$C$15:$C$19,0)),"OUT")&amp;IF($K1387="✓","x",""))</f>
        <v/>
      </c>
      <c r="O1387" s="114" t="str">
        <f aca="false">IF($E1387="","",COUNTIF($E$5:$E1387,$E1387))</f>
        <v/>
      </c>
      <c r="P1387" s="114" t="str">
        <f aca="false">IF($E1387="","",$E1387*100+$O1387)</f>
        <v/>
      </c>
      <c r="Q1387" s="114" t="str">
        <f aca="false">IF($L1387="Atrasado",$E1387*10000+$A1387,"")</f>
        <v/>
      </c>
    </row>
    <row r="1388" customFormat="false" ht="15" hidden="false" customHeight="false" outlineLevel="0" collapsed="false">
      <c r="A1388" s="114" t="n">
        <f aca="false">ROW()-4</f>
        <v>1384</v>
      </c>
      <c r="B1388" s="114" t="str">
        <f aca="false">IF(A1388&lt;=Config!$E$27*Config!$E$28,"Tema","Avulso")</f>
        <v>Tema</v>
      </c>
      <c r="C1388" s="114" t="n">
        <f aca="false">IF(B1388="Tema",INT((A1388-1)/Config!$E$28)+1,A1388-Config!$E$27*Config!$E$28)</f>
        <v>231</v>
      </c>
      <c r="D1388" s="114" t="n">
        <f aca="false">IF(B1388="Tema",MOD(A1388-1,Config!$E$28)+1,"")</f>
        <v>4</v>
      </c>
      <c r="E1388" s="115" t="str">
        <f aca="false">IF($B1388="Tema",IF(ISNUMBER(INDEX(Temas!$E$6:$P$305,$C1388,2*$D1388-1)),INDEX(Temas!$E$6:$P$305,$C1388,2*$D1388-1),""),IF(ISNUMBER(INDEX(Avulsos!$B$6:$B$205,$C1388)),INDEX(Avulsos!$B$6:$B$205,$C1388),""))</f>
        <v/>
      </c>
      <c r="F1388" s="114" t="str">
        <f aca="false">IF($E1388="","",IF($B1388="Tema",INDEX(Temas!$B$6:$B$305,$C1388)&amp;"",INDEX(Avulsos!$C$6:$C$205,$C1388)&amp;""))</f>
        <v/>
      </c>
      <c r="G1388" s="114" t="str">
        <f aca="false">IF($E1388="","",IF($B1388="Tema",INDEX(Config!$C$6:$C$11,$D1388),"Evento avulso"))</f>
        <v/>
      </c>
      <c r="H1388" s="114" t="str">
        <f aca="false">IF($E1388="","",IF($B1388="Tema",INDEX(Config!$D$6:$D$11,$D1388),IFERROR(INDEX(Config!$E$15:$E$19,MATCH($I1388,Config!$C$15:$C$19,0)),"•")))</f>
        <v/>
      </c>
      <c r="I1388" s="114" t="str">
        <f aca="false">IF($E1388="","",IF($B1388="Tema",INDEX(Config!$E$6:$E$11,$D1388),IF(INDEX(Avulsos!$D$6:$D$205,$C1388)&amp;""="","Outro",INDEX(Avulsos!$D$6:$D$205,$C1388))))</f>
        <v/>
      </c>
      <c r="J1388" s="114" t="str">
        <f aca="false">IF($E1388="","",IF($B1388="Tema",INDEX(Temas!$C$6:$C$305,$C1388)&amp;"",INDEX(Avulsos!$E$6:$E$205,$C1388)&amp;""))</f>
        <v/>
      </c>
      <c r="K1388" s="114" t="str">
        <f aca="false">IF($E1388="","",IF(IF($B1388="Tema",INDEX(Temas!$E$6:$P$305,$C1388,2*$D1388),INDEX(Avulsos!$F$6:$F$205,$C1388))&amp;""="","","✓"))</f>
        <v/>
      </c>
      <c r="L1388" s="114" t="str">
        <f aca="true">IF($E1388="","",IF($K1388="✓","Concluído",IF($E1388&lt;TODAY(),"Atrasado",IF($E1388=TODAY(),"Hoje","Pendente"))))</f>
        <v/>
      </c>
      <c r="M1388" s="114" t="str">
        <f aca="false">IF($E1388="","",IF($K1388="✓","✓ ","")&amp;IF(Config!$E$22="Sim",$H1388&amp;" · ","")&amp;$F1388)</f>
        <v/>
      </c>
      <c r="N1388" s="114" t="str">
        <f aca="false">IF($E1388="","",IFERROR(INDEX(Config!$D$15:$D$19,MATCH($I1388,Config!$C$15:$C$19,0)),"OUT")&amp;IF($K1388="✓","x",""))</f>
        <v/>
      </c>
      <c r="O1388" s="114" t="str">
        <f aca="false">IF($E1388="","",COUNTIF($E$5:$E1388,$E1388))</f>
        <v/>
      </c>
      <c r="P1388" s="114" t="str">
        <f aca="false">IF($E1388="","",$E1388*100+$O1388)</f>
        <v/>
      </c>
      <c r="Q1388" s="114" t="str">
        <f aca="false">IF($L1388="Atrasado",$E1388*10000+$A1388,"")</f>
        <v/>
      </c>
    </row>
    <row r="1389" customFormat="false" ht="15" hidden="false" customHeight="false" outlineLevel="0" collapsed="false">
      <c r="A1389" s="114" t="n">
        <f aca="false">ROW()-4</f>
        <v>1385</v>
      </c>
      <c r="B1389" s="114" t="str">
        <f aca="false">IF(A1389&lt;=Config!$E$27*Config!$E$28,"Tema","Avulso")</f>
        <v>Tema</v>
      </c>
      <c r="C1389" s="114" t="n">
        <f aca="false">IF(B1389="Tema",INT((A1389-1)/Config!$E$28)+1,A1389-Config!$E$27*Config!$E$28)</f>
        <v>231</v>
      </c>
      <c r="D1389" s="114" t="n">
        <f aca="false">IF(B1389="Tema",MOD(A1389-1,Config!$E$28)+1,"")</f>
        <v>5</v>
      </c>
      <c r="E1389" s="115" t="str">
        <f aca="false">IF($B1389="Tema",IF(ISNUMBER(INDEX(Temas!$E$6:$P$305,$C1389,2*$D1389-1)),INDEX(Temas!$E$6:$P$305,$C1389,2*$D1389-1),""),IF(ISNUMBER(INDEX(Avulsos!$B$6:$B$205,$C1389)),INDEX(Avulsos!$B$6:$B$205,$C1389),""))</f>
        <v/>
      </c>
      <c r="F1389" s="114" t="str">
        <f aca="false">IF($E1389="","",IF($B1389="Tema",INDEX(Temas!$B$6:$B$305,$C1389)&amp;"",INDEX(Avulsos!$C$6:$C$205,$C1389)&amp;""))</f>
        <v/>
      </c>
      <c r="G1389" s="114" t="str">
        <f aca="false">IF($E1389="","",IF($B1389="Tema",INDEX(Config!$C$6:$C$11,$D1389),"Evento avulso"))</f>
        <v/>
      </c>
      <c r="H1389" s="114" t="str">
        <f aca="false">IF($E1389="","",IF($B1389="Tema",INDEX(Config!$D$6:$D$11,$D1389),IFERROR(INDEX(Config!$E$15:$E$19,MATCH($I1389,Config!$C$15:$C$19,0)),"•")))</f>
        <v/>
      </c>
      <c r="I1389" s="114" t="str">
        <f aca="false">IF($E1389="","",IF($B1389="Tema",INDEX(Config!$E$6:$E$11,$D1389),IF(INDEX(Avulsos!$D$6:$D$205,$C1389)&amp;""="","Outro",INDEX(Avulsos!$D$6:$D$205,$C1389))))</f>
        <v/>
      </c>
      <c r="J1389" s="114" t="str">
        <f aca="false">IF($E1389="","",IF($B1389="Tema",INDEX(Temas!$C$6:$C$305,$C1389)&amp;"",INDEX(Avulsos!$E$6:$E$205,$C1389)&amp;""))</f>
        <v/>
      </c>
      <c r="K1389" s="114" t="str">
        <f aca="false">IF($E1389="","",IF(IF($B1389="Tema",INDEX(Temas!$E$6:$P$305,$C1389,2*$D1389),INDEX(Avulsos!$F$6:$F$205,$C1389))&amp;""="","","✓"))</f>
        <v/>
      </c>
      <c r="L1389" s="114" t="str">
        <f aca="true">IF($E1389="","",IF($K1389="✓","Concluído",IF($E1389&lt;TODAY(),"Atrasado",IF($E1389=TODAY(),"Hoje","Pendente"))))</f>
        <v/>
      </c>
      <c r="M1389" s="114" t="str">
        <f aca="false">IF($E1389="","",IF($K1389="✓","✓ ","")&amp;IF(Config!$E$22="Sim",$H1389&amp;" · ","")&amp;$F1389)</f>
        <v/>
      </c>
      <c r="N1389" s="114" t="str">
        <f aca="false">IF($E1389="","",IFERROR(INDEX(Config!$D$15:$D$19,MATCH($I1389,Config!$C$15:$C$19,0)),"OUT")&amp;IF($K1389="✓","x",""))</f>
        <v/>
      </c>
      <c r="O1389" s="114" t="str">
        <f aca="false">IF($E1389="","",COUNTIF($E$5:$E1389,$E1389))</f>
        <v/>
      </c>
      <c r="P1389" s="114" t="str">
        <f aca="false">IF($E1389="","",$E1389*100+$O1389)</f>
        <v/>
      </c>
      <c r="Q1389" s="114" t="str">
        <f aca="false">IF($L1389="Atrasado",$E1389*10000+$A1389,"")</f>
        <v/>
      </c>
    </row>
    <row r="1390" customFormat="false" ht="15" hidden="false" customHeight="false" outlineLevel="0" collapsed="false">
      <c r="A1390" s="114" t="n">
        <f aca="false">ROW()-4</f>
        <v>1386</v>
      </c>
      <c r="B1390" s="114" t="str">
        <f aca="false">IF(A1390&lt;=Config!$E$27*Config!$E$28,"Tema","Avulso")</f>
        <v>Tema</v>
      </c>
      <c r="C1390" s="114" t="n">
        <f aca="false">IF(B1390="Tema",INT((A1390-1)/Config!$E$28)+1,A1390-Config!$E$27*Config!$E$28)</f>
        <v>231</v>
      </c>
      <c r="D1390" s="114" t="n">
        <f aca="false">IF(B1390="Tema",MOD(A1390-1,Config!$E$28)+1,"")</f>
        <v>6</v>
      </c>
      <c r="E1390" s="115" t="str">
        <f aca="false">IF($B1390="Tema",IF(ISNUMBER(INDEX(Temas!$E$6:$P$305,$C1390,2*$D1390-1)),INDEX(Temas!$E$6:$P$305,$C1390,2*$D1390-1),""),IF(ISNUMBER(INDEX(Avulsos!$B$6:$B$205,$C1390)),INDEX(Avulsos!$B$6:$B$205,$C1390),""))</f>
        <v/>
      </c>
      <c r="F1390" s="114" t="str">
        <f aca="false">IF($E1390="","",IF($B1390="Tema",INDEX(Temas!$B$6:$B$305,$C1390)&amp;"",INDEX(Avulsos!$C$6:$C$205,$C1390)&amp;""))</f>
        <v/>
      </c>
      <c r="G1390" s="114" t="str">
        <f aca="false">IF($E1390="","",IF($B1390="Tema",INDEX(Config!$C$6:$C$11,$D1390),"Evento avulso"))</f>
        <v/>
      </c>
      <c r="H1390" s="114" t="str">
        <f aca="false">IF($E1390="","",IF($B1390="Tema",INDEX(Config!$D$6:$D$11,$D1390),IFERROR(INDEX(Config!$E$15:$E$19,MATCH($I1390,Config!$C$15:$C$19,0)),"•")))</f>
        <v/>
      </c>
      <c r="I1390" s="114" t="str">
        <f aca="false">IF($E1390="","",IF($B1390="Tema",INDEX(Config!$E$6:$E$11,$D1390),IF(INDEX(Avulsos!$D$6:$D$205,$C1390)&amp;""="","Outro",INDEX(Avulsos!$D$6:$D$205,$C1390))))</f>
        <v/>
      </c>
      <c r="J1390" s="114" t="str">
        <f aca="false">IF($E1390="","",IF($B1390="Tema",INDEX(Temas!$C$6:$C$305,$C1390)&amp;"",INDEX(Avulsos!$E$6:$E$205,$C1390)&amp;""))</f>
        <v/>
      </c>
      <c r="K1390" s="114" t="str">
        <f aca="false">IF($E1390="","",IF(IF($B1390="Tema",INDEX(Temas!$E$6:$P$305,$C1390,2*$D1390),INDEX(Avulsos!$F$6:$F$205,$C1390))&amp;""="","","✓"))</f>
        <v/>
      </c>
      <c r="L1390" s="114" t="str">
        <f aca="true">IF($E1390="","",IF($K1390="✓","Concluído",IF($E1390&lt;TODAY(),"Atrasado",IF($E1390=TODAY(),"Hoje","Pendente"))))</f>
        <v/>
      </c>
      <c r="M1390" s="114" t="str">
        <f aca="false">IF($E1390="","",IF($K1390="✓","✓ ","")&amp;IF(Config!$E$22="Sim",$H1390&amp;" · ","")&amp;$F1390)</f>
        <v/>
      </c>
      <c r="N1390" s="114" t="str">
        <f aca="false">IF($E1390="","",IFERROR(INDEX(Config!$D$15:$D$19,MATCH($I1390,Config!$C$15:$C$19,0)),"OUT")&amp;IF($K1390="✓","x",""))</f>
        <v/>
      </c>
      <c r="O1390" s="114" t="str">
        <f aca="false">IF($E1390="","",COUNTIF($E$5:$E1390,$E1390))</f>
        <v/>
      </c>
      <c r="P1390" s="114" t="str">
        <f aca="false">IF($E1390="","",$E1390*100+$O1390)</f>
        <v/>
      </c>
      <c r="Q1390" s="114" t="str">
        <f aca="false">IF($L1390="Atrasado",$E1390*10000+$A1390,"")</f>
        <v/>
      </c>
    </row>
    <row r="1391" customFormat="false" ht="15" hidden="false" customHeight="false" outlineLevel="0" collapsed="false">
      <c r="A1391" s="114" t="n">
        <f aca="false">ROW()-4</f>
        <v>1387</v>
      </c>
      <c r="B1391" s="114" t="str">
        <f aca="false">IF(A1391&lt;=Config!$E$27*Config!$E$28,"Tema","Avulso")</f>
        <v>Tema</v>
      </c>
      <c r="C1391" s="114" t="n">
        <f aca="false">IF(B1391="Tema",INT((A1391-1)/Config!$E$28)+1,A1391-Config!$E$27*Config!$E$28)</f>
        <v>232</v>
      </c>
      <c r="D1391" s="114" t="n">
        <f aca="false">IF(B1391="Tema",MOD(A1391-1,Config!$E$28)+1,"")</f>
        <v>1</v>
      </c>
      <c r="E1391" s="115" t="str">
        <f aca="false">IF($B1391="Tema",IF(ISNUMBER(INDEX(Temas!$E$6:$P$305,$C1391,2*$D1391-1)),INDEX(Temas!$E$6:$P$305,$C1391,2*$D1391-1),""),IF(ISNUMBER(INDEX(Avulsos!$B$6:$B$205,$C1391)),INDEX(Avulsos!$B$6:$B$205,$C1391),""))</f>
        <v/>
      </c>
      <c r="F1391" s="114" t="str">
        <f aca="false">IF($E1391="","",IF($B1391="Tema",INDEX(Temas!$B$6:$B$305,$C1391)&amp;"",INDEX(Avulsos!$C$6:$C$205,$C1391)&amp;""))</f>
        <v/>
      </c>
      <c r="G1391" s="114" t="str">
        <f aca="false">IF($E1391="","",IF($B1391="Tema",INDEX(Config!$C$6:$C$11,$D1391),"Evento avulso"))</f>
        <v/>
      </c>
      <c r="H1391" s="114" t="str">
        <f aca="false">IF($E1391="","",IF($B1391="Tema",INDEX(Config!$D$6:$D$11,$D1391),IFERROR(INDEX(Config!$E$15:$E$19,MATCH($I1391,Config!$C$15:$C$19,0)),"•")))</f>
        <v/>
      </c>
      <c r="I1391" s="114" t="str">
        <f aca="false">IF($E1391="","",IF($B1391="Tema",INDEX(Config!$E$6:$E$11,$D1391),IF(INDEX(Avulsos!$D$6:$D$205,$C1391)&amp;""="","Outro",INDEX(Avulsos!$D$6:$D$205,$C1391))))</f>
        <v/>
      </c>
      <c r="J1391" s="114" t="str">
        <f aca="false">IF($E1391="","",IF($B1391="Tema",INDEX(Temas!$C$6:$C$305,$C1391)&amp;"",INDEX(Avulsos!$E$6:$E$205,$C1391)&amp;""))</f>
        <v/>
      </c>
      <c r="K1391" s="114" t="str">
        <f aca="false">IF($E1391="","",IF(IF($B1391="Tema",INDEX(Temas!$E$6:$P$305,$C1391,2*$D1391),INDEX(Avulsos!$F$6:$F$205,$C1391))&amp;""="","","✓"))</f>
        <v/>
      </c>
      <c r="L1391" s="114" t="str">
        <f aca="true">IF($E1391="","",IF($K1391="✓","Concluído",IF($E1391&lt;TODAY(),"Atrasado",IF($E1391=TODAY(),"Hoje","Pendente"))))</f>
        <v/>
      </c>
      <c r="M1391" s="114" t="str">
        <f aca="false">IF($E1391="","",IF($K1391="✓","✓ ","")&amp;IF(Config!$E$22="Sim",$H1391&amp;" · ","")&amp;$F1391)</f>
        <v/>
      </c>
      <c r="N1391" s="114" t="str">
        <f aca="false">IF($E1391="","",IFERROR(INDEX(Config!$D$15:$D$19,MATCH($I1391,Config!$C$15:$C$19,0)),"OUT")&amp;IF($K1391="✓","x",""))</f>
        <v/>
      </c>
      <c r="O1391" s="114" t="str">
        <f aca="false">IF($E1391="","",COUNTIF($E$5:$E1391,$E1391))</f>
        <v/>
      </c>
      <c r="P1391" s="114" t="str">
        <f aca="false">IF($E1391="","",$E1391*100+$O1391)</f>
        <v/>
      </c>
      <c r="Q1391" s="114" t="str">
        <f aca="false">IF($L1391="Atrasado",$E1391*10000+$A1391,"")</f>
        <v/>
      </c>
    </row>
    <row r="1392" customFormat="false" ht="15" hidden="false" customHeight="false" outlineLevel="0" collapsed="false">
      <c r="A1392" s="114" t="n">
        <f aca="false">ROW()-4</f>
        <v>1388</v>
      </c>
      <c r="B1392" s="114" t="str">
        <f aca="false">IF(A1392&lt;=Config!$E$27*Config!$E$28,"Tema","Avulso")</f>
        <v>Tema</v>
      </c>
      <c r="C1392" s="114" t="n">
        <f aca="false">IF(B1392="Tema",INT((A1392-1)/Config!$E$28)+1,A1392-Config!$E$27*Config!$E$28)</f>
        <v>232</v>
      </c>
      <c r="D1392" s="114" t="n">
        <f aca="false">IF(B1392="Tema",MOD(A1392-1,Config!$E$28)+1,"")</f>
        <v>2</v>
      </c>
      <c r="E1392" s="115" t="str">
        <f aca="false">IF($B1392="Tema",IF(ISNUMBER(INDEX(Temas!$E$6:$P$305,$C1392,2*$D1392-1)),INDEX(Temas!$E$6:$P$305,$C1392,2*$D1392-1),""),IF(ISNUMBER(INDEX(Avulsos!$B$6:$B$205,$C1392)),INDEX(Avulsos!$B$6:$B$205,$C1392),""))</f>
        <v/>
      </c>
      <c r="F1392" s="114" t="str">
        <f aca="false">IF($E1392="","",IF($B1392="Tema",INDEX(Temas!$B$6:$B$305,$C1392)&amp;"",INDEX(Avulsos!$C$6:$C$205,$C1392)&amp;""))</f>
        <v/>
      </c>
      <c r="G1392" s="114" t="str">
        <f aca="false">IF($E1392="","",IF($B1392="Tema",INDEX(Config!$C$6:$C$11,$D1392),"Evento avulso"))</f>
        <v/>
      </c>
      <c r="H1392" s="114" t="str">
        <f aca="false">IF($E1392="","",IF($B1392="Tema",INDEX(Config!$D$6:$D$11,$D1392),IFERROR(INDEX(Config!$E$15:$E$19,MATCH($I1392,Config!$C$15:$C$19,0)),"•")))</f>
        <v/>
      </c>
      <c r="I1392" s="114" t="str">
        <f aca="false">IF($E1392="","",IF($B1392="Tema",INDEX(Config!$E$6:$E$11,$D1392),IF(INDEX(Avulsos!$D$6:$D$205,$C1392)&amp;""="","Outro",INDEX(Avulsos!$D$6:$D$205,$C1392))))</f>
        <v/>
      </c>
      <c r="J1392" s="114" t="str">
        <f aca="false">IF($E1392="","",IF($B1392="Tema",INDEX(Temas!$C$6:$C$305,$C1392)&amp;"",INDEX(Avulsos!$E$6:$E$205,$C1392)&amp;""))</f>
        <v/>
      </c>
      <c r="K1392" s="114" t="str">
        <f aca="false">IF($E1392="","",IF(IF($B1392="Tema",INDEX(Temas!$E$6:$P$305,$C1392,2*$D1392),INDEX(Avulsos!$F$6:$F$205,$C1392))&amp;""="","","✓"))</f>
        <v/>
      </c>
      <c r="L1392" s="114" t="str">
        <f aca="true">IF($E1392="","",IF($K1392="✓","Concluído",IF($E1392&lt;TODAY(),"Atrasado",IF($E1392=TODAY(),"Hoje","Pendente"))))</f>
        <v/>
      </c>
      <c r="M1392" s="114" t="str">
        <f aca="false">IF($E1392="","",IF($K1392="✓","✓ ","")&amp;IF(Config!$E$22="Sim",$H1392&amp;" · ","")&amp;$F1392)</f>
        <v/>
      </c>
      <c r="N1392" s="114" t="str">
        <f aca="false">IF($E1392="","",IFERROR(INDEX(Config!$D$15:$D$19,MATCH($I1392,Config!$C$15:$C$19,0)),"OUT")&amp;IF($K1392="✓","x",""))</f>
        <v/>
      </c>
      <c r="O1392" s="114" t="str">
        <f aca="false">IF($E1392="","",COUNTIF($E$5:$E1392,$E1392))</f>
        <v/>
      </c>
      <c r="P1392" s="114" t="str">
        <f aca="false">IF($E1392="","",$E1392*100+$O1392)</f>
        <v/>
      </c>
      <c r="Q1392" s="114" t="str">
        <f aca="false">IF($L1392="Atrasado",$E1392*10000+$A1392,"")</f>
        <v/>
      </c>
    </row>
    <row r="1393" customFormat="false" ht="15" hidden="false" customHeight="false" outlineLevel="0" collapsed="false">
      <c r="A1393" s="114" t="n">
        <f aca="false">ROW()-4</f>
        <v>1389</v>
      </c>
      <c r="B1393" s="114" t="str">
        <f aca="false">IF(A1393&lt;=Config!$E$27*Config!$E$28,"Tema","Avulso")</f>
        <v>Tema</v>
      </c>
      <c r="C1393" s="114" t="n">
        <f aca="false">IF(B1393="Tema",INT((A1393-1)/Config!$E$28)+1,A1393-Config!$E$27*Config!$E$28)</f>
        <v>232</v>
      </c>
      <c r="D1393" s="114" t="n">
        <f aca="false">IF(B1393="Tema",MOD(A1393-1,Config!$E$28)+1,"")</f>
        <v>3</v>
      </c>
      <c r="E1393" s="115" t="str">
        <f aca="false">IF($B1393="Tema",IF(ISNUMBER(INDEX(Temas!$E$6:$P$305,$C1393,2*$D1393-1)),INDEX(Temas!$E$6:$P$305,$C1393,2*$D1393-1),""),IF(ISNUMBER(INDEX(Avulsos!$B$6:$B$205,$C1393)),INDEX(Avulsos!$B$6:$B$205,$C1393),""))</f>
        <v/>
      </c>
      <c r="F1393" s="114" t="str">
        <f aca="false">IF($E1393="","",IF($B1393="Tema",INDEX(Temas!$B$6:$B$305,$C1393)&amp;"",INDEX(Avulsos!$C$6:$C$205,$C1393)&amp;""))</f>
        <v/>
      </c>
      <c r="G1393" s="114" t="str">
        <f aca="false">IF($E1393="","",IF($B1393="Tema",INDEX(Config!$C$6:$C$11,$D1393),"Evento avulso"))</f>
        <v/>
      </c>
      <c r="H1393" s="114" t="str">
        <f aca="false">IF($E1393="","",IF($B1393="Tema",INDEX(Config!$D$6:$D$11,$D1393),IFERROR(INDEX(Config!$E$15:$E$19,MATCH($I1393,Config!$C$15:$C$19,0)),"•")))</f>
        <v/>
      </c>
      <c r="I1393" s="114" t="str">
        <f aca="false">IF($E1393="","",IF($B1393="Tema",INDEX(Config!$E$6:$E$11,$D1393),IF(INDEX(Avulsos!$D$6:$D$205,$C1393)&amp;""="","Outro",INDEX(Avulsos!$D$6:$D$205,$C1393))))</f>
        <v/>
      </c>
      <c r="J1393" s="114" t="str">
        <f aca="false">IF($E1393="","",IF($B1393="Tema",INDEX(Temas!$C$6:$C$305,$C1393)&amp;"",INDEX(Avulsos!$E$6:$E$205,$C1393)&amp;""))</f>
        <v/>
      </c>
      <c r="K1393" s="114" t="str">
        <f aca="false">IF($E1393="","",IF(IF($B1393="Tema",INDEX(Temas!$E$6:$P$305,$C1393,2*$D1393),INDEX(Avulsos!$F$6:$F$205,$C1393))&amp;""="","","✓"))</f>
        <v/>
      </c>
      <c r="L1393" s="114" t="str">
        <f aca="true">IF($E1393="","",IF($K1393="✓","Concluído",IF($E1393&lt;TODAY(),"Atrasado",IF($E1393=TODAY(),"Hoje","Pendente"))))</f>
        <v/>
      </c>
      <c r="M1393" s="114" t="str">
        <f aca="false">IF($E1393="","",IF($K1393="✓","✓ ","")&amp;IF(Config!$E$22="Sim",$H1393&amp;" · ","")&amp;$F1393)</f>
        <v/>
      </c>
      <c r="N1393" s="114" t="str">
        <f aca="false">IF($E1393="","",IFERROR(INDEX(Config!$D$15:$D$19,MATCH($I1393,Config!$C$15:$C$19,0)),"OUT")&amp;IF($K1393="✓","x",""))</f>
        <v/>
      </c>
      <c r="O1393" s="114" t="str">
        <f aca="false">IF($E1393="","",COUNTIF($E$5:$E1393,$E1393))</f>
        <v/>
      </c>
      <c r="P1393" s="114" t="str">
        <f aca="false">IF($E1393="","",$E1393*100+$O1393)</f>
        <v/>
      </c>
      <c r="Q1393" s="114" t="str">
        <f aca="false">IF($L1393="Atrasado",$E1393*10000+$A1393,"")</f>
        <v/>
      </c>
    </row>
    <row r="1394" customFormat="false" ht="15" hidden="false" customHeight="false" outlineLevel="0" collapsed="false">
      <c r="A1394" s="114" t="n">
        <f aca="false">ROW()-4</f>
        <v>1390</v>
      </c>
      <c r="B1394" s="114" t="str">
        <f aca="false">IF(A1394&lt;=Config!$E$27*Config!$E$28,"Tema","Avulso")</f>
        <v>Tema</v>
      </c>
      <c r="C1394" s="114" t="n">
        <f aca="false">IF(B1394="Tema",INT((A1394-1)/Config!$E$28)+1,A1394-Config!$E$27*Config!$E$28)</f>
        <v>232</v>
      </c>
      <c r="D1394" s="114" t="n">
        <f aca="false">IF(B1394="Tema",MOD(A1394-1,Config!$E$28)+1,"")</f>
        <v>4</v>
      </c>
      <c r="E1394" s="115" t="str">
        <f aca="false">IF($B1394="Tema",IF(ISNUMBER(INDEX(Temas!$E$6:$P$305,$C1394,2*$D1394-1)),INDEX(Temas!$E$6:$P$305,$C1394,2*$D1394-1),""),IF(ISNUMBER(INDEX(Avulsos!$B$6:$B$205,$C1394)),INDEX(Avulsos!$B$6:$B$205,$C1394),""))</f>
        <v/>
      </c>
      <c r="F1394" s="114" t="str">
        <f aca="false">IF($E1394="","",IF($B1394="Tema",INDEX(Temas!$B$6:$B$305,$C1394)&amp;"",INDEX(Avulsos!$C$6:$C$205,$C1394)&amp;""))</f>
        <v/>
      </c>
      <c r="G1394" s="114" t="str">
        <f aca="false">IF($E1394="","",IF($B1394="Tema",INDEX(Config!$C$6:$C$11,$D1394),"Evento avulso"))</f>
        <v/>
      </c>
      <c r="H1394" s="114" t="str">
        <f aca="false">IF($E1394="","",IF($B1394="Tema",INDEX(Config!$D$6:$D$11,$D1394),IFERROR(INDEX(Config!$E$15:$E$19,MATCH($I1394,Config!$C$15:$C$19,0)),"•")))</f>
        <v/>
      </c>
      <c r="I1394" s="114" t="str">
        <f aca="false">IF($E1394="","",IF($B1394="Tema",INDEX(Config!$E$6:$E$11,$D1394),IF(INDEX(Avulsos!$D$6:$D$205,$C1394)&amp;""="","Outro",INDEX(Avulsos!$D$6:$D$205,$C1394))))</f>
        <v/>
      </c>
      <c r="J1394" s="114" t="str">
        <f aca="false">IF($E1394="","",IF($B1394="Tema",INDEX(Temas!$C$6:$C$305,$C1394)&amp;"",INDEX(Avulsos!$E$6:$E$205,$C1394)&amp;""))</f>
        <v/>
      </c>
      <c r="K1394" s="114" t="str">
        <f aca="false">IF($E1394="","",IF(IF($B1394="Tema",INDEX(Temas!$E$6:$P$305,$C1394,2*$D1394),INDEX(Avulsos!$F$6:$F$205,$C1394))&amp;""="","","✓"))</f>
        <v/>
      </c>
      <c r="L1394" s="114" t="str">
        <f aca="true">IF($E1394="","",IF($K1394="✓","Concluído",IF($E1394&lt;TODAY(),"Atrasado",IF($E1394=TODAY(),"Hoje","Pendente"))))</f>
        <v/>
      </c>
      <c r="M1394" s="114" t="str">
        <f aca="false">IF($E1394="","",IF($K1394="✓","✓ ","")&amp;IF(Config!$E$22="Sim",$H1394&amp;" · ","")&amp;$F1394)</f>
        <v/>
      </c>
      <c r="N1394" s="114" t="str">
        <f aca="false">IF($E1394="","",IFERROR(INDEX(Config!$D$15:$D$19,MATCH($I1394,Config!$C$15:$C$19,0)),"OUT")&amp;IF($K1394="✓","x",""))</f>
        <v/>
      </c>
      <c r="O1394" s="114" t="str">
        <f aca="false">IF($E1394="","",COUNTIF($E$5:$E1394,$E1394))</f>
        <v/>
      </c>
      <c r="P1394" s="114" t="str">
        <f aca="false">IF($E1394="","",$E1394*100+$O1394)</f>
        <v/>
      </c>
      <c r="Q1394" s="114" t="str">
        <f aca="false">IF($L1394="Atrasado",$E1394*10000+$A1394,"")</f>
        <v/>
      </c>
    </row>
    <row r="1395" customFormat="false" ht="15" hidden="false" customHeight="false" outlineLevel="0" collapsed="false">
      <c r="A1395" s="114" t="n">
        <f aca="false">ROW()-4</f>
        <v>1391</v>
      </c>
      <c r="B1395" s="114" t="str">
        <f aca="false">IF(A1395&lt;=Config!$E$27*Config!$E$28,"Tema","Avulso")</f>
        <v>Tema</v>
      </c>
      <c r="C1395" s="114" t="n">
        <f aca="false">IF(B1395="Tema",INT((A1395-1)/Config!$E$28)+1,A1395-Config!$E$27*Config!$E$28)</f>
        <v>232</v>
      </c>
      <c r="D1395" s="114" t="n">
        <f aca="false">IF(B1395="Tema",MOD(A1395-1,Config!$E$28)+1,"")</f>
        <v>5</v>
      </c>
      <c r="E1395" s="115" t="str">
        <f aca="false">IF($B1395="Tema",IF(ISNUMBER(INDEX(Temas!$E$6:$P$305,$C1395,2*$D1395-1)),INDEX(Temas!$E$6:$P$305,$C1395,2*$D1395-1),""),IF(ISNUMBER(INDEX(Avulsos!$B$6:$B$205,$C1395)),INDEX(Avulsos!$B$6:$B$205,$C1395),""))</f>
        <v/>
      </c>
      <c r="F1395" s="114" t="str">
        <f aca="false">IF($E1395="","",IF($B1395="Tema",INDEX(Temas!$B$6:$B$305,$C1395)&amp;"",INDEX(Avulsos!$C$6:$C$205,$C1395)&amp;""))</f>
        <v/>
      </c>
      <c r="G1395" s="114" t="str">
        <f aca="false">IF($E1395="","",IF($B1395="Tema",INDEX(Config!$C$6:$C$11,$D1395),"Evento avulso"))</f>
        <v/>
      </c>
      <c r="H1395" s="114" t="str">
        <f aca="false">IF($E1395="","",IF($B1395="Tema",INDEX(Config!$D$6:$D$11,$D1395),IFERROR(INDEX(Config!$E$15:$E$19,MATCH($I1395,Config!$C$15:$C$19,0)),"•")))</f>
        <v/>
      </c>
      <c r="I1395" s="114" t="str">
        <f aca="false">IF($E1395="","",IF($B1395="Tema",INDEX(Config!$E$6:$E$11,$D1395),IF(INDEX(Avulsos!$D$6:$D$205,$C1395)&amp;""="","Outro",INDEX(Avulsos!$D$6:$D$205,$C1395))))</f>
        <v/>
      </c>
      <c r="J1395" s="114" t="str">
        <f aca="false">IF($E1395="","",IF($B1395="Tema",INDEX(Temas!$C$6:$C$305,$C1395)&amp;"",INDEX(Avulsos!$E$6:$E$205,$C1395)&amp;""))</f>
        <v/>
      </c>
      <c r="K1395" s="114" t="str">
        <f aca="false">IF($E1395="","",IF(IF($B1395="Tema",INDEX(Temas!$E$6:$P$305,$C1395,2*$D1395),INDEX(Avulsos!$F$6:$F$205,$C1395))&amp;""="","","✓"))</f>
        <v/>
      </c>
      <c r="L1395" s="114" t="str">
        <f aca="true">IF($E1395="","",IF($K1395="✓","Concluído",IF($E1395&lt;TODAY(),"Atrasado",IF($E1395=TODAY(),"Hoje","Pendente"))))</f>
        <v/>
      </c>
      <c r="M1395" s="114" t="str">
        <f aca="false">IF($E1395="","",IF($K1395="✓","✓ ","")&amp;IF(Config!$E$22="Sim",$H1395&amp;" · ","")&amp;$F1395)</f>
        <v/>
      </c>
      <c r="N1395" s="114" t="str">
        <f aca="false">IF($E1395="","",IFERROR(INDEX(Config!$D$15:$D$19,MATCH($I1395,Config!$C$15:$C$19,0)),"OUT")&amp;IF($K1395="✓","x",""))</f>
        <v/>
      </c>
      <c r="O1395" s="114" t="str">
        <f aca="false">IF($E1395="","",COUNTIF($E$5:$E1395,$E1395))</f>
        <v/>
      </c>
      <c r="P1395" s="114" t="str">
        <f aca="false">IF($E1395="","",$E1395*100+$O1395)</f>
        <v/>
      </c>
      <c r="Q1395" s="114" t="str">
        <f aca="false">IF($L1395="Atrasado",$E1395*10000+$A1395,"")</f>
        <v/>
      </c>
    </row>
    <row r="1396" customFormat="false" ht="15" hidden="false" customHeight="false" outlineLevel="0" collapsed="false">
      <c r="A1396" s="114" t="n">
        <f aca="false">ROW()-4</f>
        <v>1392</v>
      </c>
      <c r="B1396" s="114" t="str">
        <f aca="false">IF(A1396&lt;=Config!$E$27*Config!$E$28,"Tema","Avulso")</f>
        <v>Tema</v>
      </c>
      <c r="C1396" s="114" t="n">
        <f aca="false">IF(B1396="Tema",INT((A1396-1)/Config!$E$28)+1,A1396-Config!$E$27*Config!$E$28)</f>
        <v>232</v>
      </c>
      <c r="D1396" s="114" t="n">
        <f aca="false">IF(B1396="Tema",MOD(A1396-1,Config!$E$28)+1,"")</f>
        <v>6</v>
      </c>
      <c r="E1396" s="115" t="str">
        <f aca="false">IF($B1396="Tema",IF(ISNUMBER(INDEX(Temas!$E$6:$P$305,$C1396,2*$D1396-1)),INDEX(Temas!$E$6:$P$305,$C1396,2*$D1396-1),""),IF(ISNUMBER(INDEX(Avulsos!$B$6:$B$205,$C1396)),INDEX(Avulsos!$B$6:$B$205,$C1396),""))</f>
        <v/>
      </c>
      <c r="F1396" s="114" t="str">
        <f aca="false">IF($E1396="","",IF($B1396="Tema",INDEX(Temas!$B$6:$B$305,$C1396)&amp;"",INDEX(Avulsos!$C$6:$C$205,$C1396)&amp;""))</f>
        <v/>
      </c>
      <c r="G1396" s="114" t="str">
        <f aca="false">IF($E1396="","",IF($B1396="Tema",INDEX(Config!$C$6:$C$11,$D1396),"Evento avulso"))</f>
        <v/>
      </c>
      <c r="H1396" s="114" t="str">
        <f aca="false">IF($E1396="","",IF($B1396="Tema",INDEX(Config!$D$6:$D$11,$D1396),IFERROR(INDEX(Config!$E$15:$E$19,MATCH($I1396,Config!$C$15:$C$19,0)),"•")))</f>
        <v/>
      </c>
      <c r="I1396" s="114" t="str">
        <f aca="false">IF($E1396="","",IF($B1396="Tema",INDEX(Config!$E$6:$E$11,$D1396),IF(INDEX(Avulsos!$D$6:$D$205,$C1396)&amp;""="","Outro",INDEX(Avulsos!$D$6:$D$205,$C1396))))</f>
        <v/>
      </c>
      <c r="J1396" s="114" t="str">
        <f aca="false">IF($E1396="","",IF($B1396="Tema",INDEX(Temas!$C$6:$C$305,$C1396)&amp;"",INDEX(Avulsos!$E$6:$E$205,$C1396)&amp;""))</f>
        <v/>
      </c>
      <c r="K1396" s="114" t="str">
        <f aca="false">IF($E1396="","",IF(IF($B1396="Tema",INDEX(Temas!$E$6:$P$305,$C1396,2*$D1396),INDEX(Avulsos!$F$6:$F$205,$C1396))&amp;""="","","✓"))</f>
        <v/>
      </c>
      <c r="L1396" s="114" t="str">
        <f aca="true">IF($E1396="","",IF($K1396="✓","Concluído",IF($E1396&lt;TODAY(),"Atrasado",IF($E1396=TODAY(),"Hoje","Pendente"))))</f>
        <v/>
      </c>
      <c r="M1396" s="114" t="str">
        <f aca="false">IF($E1396="","",IF($K1396="✓","✓ ","")&amp;IF(Config!$E$22="Sim",$H1396&amp;" · ","")&amp;$F1396)</f>
        <v/>
      </c>
      <c r="N1396" s="114" t="str">
        <f aca="false">IF($E1396="","",IFERROR(INDEX(Config!$D$15:$D$19,MATCH($I1396,Config!$C$15:$C$19,0)),"OUT")&amp;IF($K1396="✓","x",""))</f>
        <v/>
      </c>
      <c r="O1396" s="114" t="str">
        <f aca="false">IF($E1396="","",COUNTIF($E$5:$E1396,$E1396))</f>
        <v/>
      </c>
      <c r="P1396" s="114" t="str">
        <f aca="false">IF($E1396="","",$E1396*100+$O1396)</f>
        <v/>
      </c>
      <c r="Q1396" s="114" t="str">
        <f aca="false">IF($L1396="Atrasado",$E1396*10000+$A1396,"")</f>
        <v/>
      </c>
    </row>
    <row r="1397" customFormat="false" ht="15" hidden="false" customHeight="false" outlineLevel="0" collapsed="false">
      <c r="A1397" s="114" t="n">
        <f aca="false">ROW()-4</f>
        <v>1393</v>
      </c>
      <c r="B1397" s="114" t="str">
        <f aca="false">IF(A1397&lt;=Config!$E$27*Config!$E$28,"Tema","Avulso")</f>
        <v>Tema</v>
      </c>
      <c r="C1397" s="114" t="n">
        <f aca="false">IF(B1397="Tema",INT((A1397-1)/Config!$E$28)+1,A1397-Config!$E$27*Config!$E$28)</f>
        <v>233</v>
      </c>
      <c r="D1397" s="114" t="n">
        <f aca="false">IF(B1397="Tema",MOD(A1397-1,Config!$E$28)+1,"")</f>
        <v>1</v>
      </c>
      <c r="E1397" s="115" t="str">
        <f aca="false">IF($B1397="Tema",IF(ISNUMBER(INDEX(Temas!$E$6:$P$305,$C1397,2*$D1397-1)),INDEX(Temas!$E$6:$P$305,$C1397,2*$D1397-1),""),IF(ISNUMBER(INDEX(Avulsos!$B$6:$B$205,$C1397)),INDEX(Avulsos!$B$6:$B$205,$C1397),""))</f>
        <v/>
      </c>
      <c r="F1397" s="114" t="str">
        <f aca="false">IF($E1397="","",IF($B1397="Tema",INDEX(Temas!$B$6:$B$305,$C1397)&amp;"",INDEX(Avulsos!$C$6:$C$205,$C1397)&amp;""))</f>
        <v/>
      </c>
      <c r="G1397" s="114" t="str">
        <f aca="false">IF($E1397="","",IF($B1397="Tema",INDEX(Config!$C$6:$C$11,$D1397),"Evento avulso"))</f>
        <v/>
      </c>
      <c r="H1397" s="114" t="str">
        <f aca="false">IF($E1397="","",IF($B1397="Tema",INDEX(Config!$D$6:$D$11,$D1397),IFERROR(INDEX(Config!$E$15:$E$19,MATCH($I1397,Config!$C$15:$C$19,0)),"•")))</f>
        <v/>
      </c>
      <c r="I1397" s="114" t="str">
        <f aca="false">IF($E1397="","",IF($B1397="Tema",INDEX(Config!$E$6:$E$11,$D1397),IF(INDEX(Avulsos!$D$6:$D$205,$C1397)&amp;""="","Outro",INDEX(Avulsos!$D$6:$D$205,$C1397))))</f>
        <v/>
      </c>
      <c r="J1397" s="114" t="str">
        <f aca="false">IF($E1397="","",IF($B1397="Tema",INDEX(Temas!$C$6:$C$305,$C1397)&amp;"",INDEX(Avulsos!$E$6:$E$205,$C1397)&amp;""))</f>
        <v/>
      </c>
      <c r="K1397" s="114" t="str">
        <f aca="false">IF($E1397="","",IF(IF($B1397="Tema",INDEX(Temas!$E$6:$P$305,$C1397,2*$D1397),INDEX(Avulsos!$F$6:$F$205,$C1397))&amp;""="","","✓"))</f>
        <v/>
      </c>
      <c r="L1397" s="114" t="str">
        <f aca="true">IF($E1397="","",IF($K1397="✓","Concluído",IF($E1397&lt;TODAY(),"Atrasado",IF($E1397=TODAY(),"Hoje","Pendente"))))</f>
        <v/>
      </c>
      <c r="M1397" s="114" t="str">
        <f aca="false">IF($E1397="","",IF($K1397="✓","✓ ","")&amp;IF(Config!$E$22="Sim",$H1397&amp;" · ","")&amp;$F1397)</f>
        <v/>
      </c>
      <c r="N1397" s="114" t="str">
        <f aca="false">IF($E1397="","",IFERROR(INDEX(Config!$D$15:$D$19,MATCH($I1397,Config!$C$15:$C$19,0)),"OUT")&amp;IF($K1397="✓","x",""))</f>
        <v/>
      </c>
      <c r="O1397" s="114" t="str">
        <f aca="false">IF($E1397="","",COUNTIF($E$5:$E1397,$E1397))</f>
        <v/>
      </c>
      <c r="P1397" s="114" t="str">
        <f aca="false">IF($E1397="","",$E1397*100+$O1397)</f>
        <v/>
      </c>
      <c r="Q1397" s="114" t="str">
        <f aca="false">IF($L1397="Atrasado",$E1397*10000+$A1397,"")</f>
        <v/>
      </c>
    </row>
    <row r="1398" customFormat="false" ht="15" hidden="false" customHeight="false" outlineLevel="0" collapsed="false">
      <c r="A1398" s="114" t="n">
        <f aca="false">ROW()-4</f>
        <v>1394</v>
      </c>
      <c r="B1398" s="114" t="str">
        <f aca="false">IF(A1398&lt;=Config!$E$27*Config!$E$28,"Tema","Avulso")</f>
        <v>Tema</v>
      </c>
      <c r="C1398" s="114" t="n">
        <f aca="false">IF(B1398="Tema",INT((A1398-1)/Config!$E$28)+1,A1398-Config!$E$27*Config!$E$28)</f>
        <v>233</v>
      </c>
      <c r="D1398" s="114" t="n">
        <f aca="false">IF(B1398="Tema",MOD(A1398-1,Config!$E$28)+1,"")</f>
        <v>2</v>
      </c>
      <c r="E1398" s="115" t="str">
        <f aca="false">IF($B1398="Tema",IF(ISNUMBER(INDEX(Temas!$E$6:$P$305,$C1398,2*$D1398-1)),INDEX(Temas!$E$6:$P$305,$C1398,2*$D1398-1),""),IF(ISNUMBER(INDEX(Avulsos!$B$6:$B$205,$C1398)),INDEX(Avulsos!$B$6:$B$205,$C1398),""))</f>
        <v/>
      </c>
      <c r="F1398" s="114" t="str">
        <f aca="false">IF($E1398="","",IF($B1398="Tema",INDEX(Temas!$B$6:$B$305,$C1398)&amp;"",INDEX(Avulsos!$C$6:$C$205,$C1398)&amp;""))</f>
        <v/>
      </c>
      <c r="G1398" s="114" t="str">
        <f aca="false">IF($E1398="","",IF($B1398="Tema",INDEX(Config!$C$6:$C$11,$D1398),"Evento avulso"))</f>
        <v/>
      </c>
      <c r="H1398" s="114" t="str">
        <f aca="false">IF($E1398="","",IF($B1398="Tema",INDEX(Config!$D$6:$D$11,$D1398),IFERROR(INDEX(Config!$E$15:$E$19,MATCH($I1398,Config!$C$15:$C$19,0)),"•")))</f>
        <v/>
      </c>
      <c r="I1398" s="114" t="str">
        <f aca="false">IF($E1398="","",IF($B1398="Tema",INDEX(Config!$E$6:$E$11,$D1398),IF(INDEX(Avulsos!$D$6:$D$205,$C1398)&amp;""="","Outro",INDEX(Avulsos!$D$6:$D$205,$C1398))))</f>
        <v/>
      </c>
      <c r="J1398" s="114" t="str">
        <f aca="false">IF($E1398="","",IF($B1398="Tema",INDEX(Temas!$C$6:$C$305,$C1398)&amp;"",INDEX(Avulsos!$E$6:$E$205,$C1398)&amp;""))</f>
        <v/>
      </c>
      <c r="K1398" s="114" t="str">
        <f aca="false">IF($E1398="","",IF(IF($B1398="Tema",INDEX(Temas!$E$6:$P$305,$C1398,2*$D1398),INDEX(Avulsos!$F$6:$F$205,$C1398))&amp;""="","","✓"))</f>
        <v/>
      </c>
      <c r="L1398" s="114" t="str">
        <f aca="true">IF($E1398="","",IF($K1398="✓","Concluído",IF($E1398&lt;TODAY(),"Atrasado",IF($E1398=TODAY(),"Hoje","Pendente"))))</f>
        <v/>
      </c>
      <c r="M1398" s="114" t="str">
        <f aca="false">IF($E1398="","",IF($K1398="✓","✓ ","")&amp;IF(Config!$E$22="Sim",$H1398&amp;" · ","")&amp;$F1398)</f>
        <v/>
      </c>
      <c r="N1398" s="114" t="str">
        <f aca="false">IF($E1398="","",IFERROR(INDEX(Config!$D$15:$D$19,MATCH($I1398,Config!$C$15:$C$19,0)),"OUT")&amp;IF($K1398="✓","x",""))</f>
        <v/>
      </c>
      <c r="O1398" s="114" t="str">
        <f aca="false">IF($E1398="","",COUNTIF($E$5:$E1398,$E1398))</f>
        <v/>
      </c>
      <c r="P1398" s="114" t="str">
        <f aca="false">IF($E1398="","",$E1398*100+$O1398)</f>
        <v/>
      </c>
      <c r="Q1398" s="114" t="str">
        <f aca="false">IF($L1398="Atrasado",$E1398*10000+$A1398,"")</f>
        <v/>
      </c>
    </row>
    <row r="1399" customFormat="false" ht="15" hidden="false" customHeight="false" outlineLevel="0" collapsed="false">
      <c r="A1399" s="114" t="n">
        <f aca="false">ROW()-4</f>
        <v>1395</v>
      </c>
      <c r="B1399" s="114" t="str">
        <f aca="false">IF(A1399&lt;=Config!$E$27*Config!$E$28,"Tema","Avulso")</f>
        <v>Tema</v>
      </c>
      <c r="C1399" s="114" t="n">
        <f aca="false">IF(B1399="Tema",INT((A1399-1)/Config!$E$28)+1,A1399-Config!$E$27*Config!$E$28)</f>
        <v>233</v>
      </c>
      <c r="D1399" s="114" t="n">
        <f aca="false">IF(B1399="Tema",MOD(A1399-1,Config!$E$28)+1,"")</f>
        <v>3</v>
      </c>
      <c r="E1399" s="115" t="str">
        <f aca="false">IF($B1399="Tema",IF(ISNUMBER(INDEX(Temas!$E$6:$P$305,$C1399,2*$D1399-1)),INDEX(Temas!$E$6:$P$305,$C1399,2*$D1399-1),""),IF(ISNUMBER(INDEX(Avulsos!$B$6:$B$205,$C1399)),INDEX(Avulsos!$B$6:$B$205,$C1399),""))</f>
        <v/>
      </c>
      <c r="F1399" s="114" t="str">
        <f aca="false">IF($E1399="","",IF($B1399="Tema",INDEX(Temas!$B$6:$B$305,$C1399)&amp;"",INDEX(Avulsos!$C$6:$C$205,$C1399)&amp;""))</f>
        <v/>
      </c>
      <c r="G1399" s="114" t="str">
        <f aca="false">IF($E1399="","",IF($B1399="Tema",INDEX(Config!$C$6:$C$11,$D1399),"Evento avulso"))</f>
        <v/>
      </c>
      <c r="H1399" s="114" t="str">
        <f aca="false">IF($E1399="","",IF($B1399="Tema",INDEX(Config!$D$6:$D$11,$D1399),IFERROR(INDEX(Config!$E$15:$E$19,MATCH($I1399,Config!$C$15:$C$19,0)),"•")))</f>
        <v/>
      </c>
      <c r="I1399" s="114" t="str">
        <f aca="false">IF($E1399="","",IF($B1399="Tema",INDEX(Config!$E$6:$E$11,$D1399),IF(INDEX(Avulsos!$D$6:$D$205,$C1399)&amp;""="","Outro",INDEX(Avulsos!$D$6:$D$205,$C1399))))</f>
        <v/>
      </c>
      <c r="J1399" s="114" t="str">
        <f aca="false">IF($E1399="","",IF($B1399="Tema",INDEX(Temas!$C$6:$C$305,$C1399)&amp;"",INDEX(Avulsos!$E$6:$E$205,$C1399)&amp;""))</f>
        <v/>
      </c>
      <c r="K1399" s="114" t="str">
        <f aca="false">IF($E1399="","",IF(IF($B1399="Tema",INDEX(Temas!$E$6:$P$305,$C1399,2*$D1399),INDEX(Avulsos!$F$6:$F$205,$C1399))&amp;""="","","✓"))</f>
        <v/>
      </c>
      <c r="L1399" s="114" t="str">
        <f aca="true">IF($E1399="","",IF($K1399="✓","Concluído",IF($E1399&lt;TODAY(),"Atrasado",IF($E1399=TODAY(),"Hoje","Pendente"))))</f>
        <v/>
      </c>
      <c r="M1399" s="114" t="str">
        <f aca="false">IF($E1399="","",IF($K1399="✓","✓ ","")&amp;IF(Config!$E$22="Sim",$H1399&amp;" · ","")&amp;$F1399)</f>
        <v/>
      </c>
      <c r="N1399" s="114" t="str">
        <f aca="false">IF($E1399="","",IFERROR(INDEX(Config!$D$15:$D$19,MATCH($I1399,Config!$C$15:$C$19,0)),"OUT")&amp;IF($K1399="✓","x",""))</f>
        <v/>
      </c>
      <c r="O1399" s="114" t="str">
        <f aca="false">IF($E1399="","",COUNTIF($E$5:$E1399,$E1399))</f>
        <v/>
      </c>
      <c r="P1399" s="114" t="str">
        <f aca="false">IF($E1399="","",$E1399*100+$O1399)</f>
        <v/>
      </c>
      <c r="Q1399" s="114" t="str">
        <f aca="false">IF($L1399="Atrasado",$E1399*10000+$A1399,"")</f>
        <v/>
      </c>
    </row>
    <row r="1400" customFormat="false" ht="15" hidden="false" customHeight="false" outlineLevel="0" collapsed="false">
      <c r="A1400" s="114" t="n">
        <f aca="false">ROW()-4</f>
        <v>1396</v>
      </c>
      <c r="B1400" s="114" t="str">
        <f aca="false">IF(A1400&lt;=Config!$E$27*Config!$E$28,"Tema","Avulso")</f>
        <v>Tema</v>
      </c>
      <c r="C1400" s="114" t="n">
        <f aca="false">IF(B1400="Tema",INT((A1400-1)/Config!$E$28)+1,A1400-Config!$E$27*Config!$E$28)</f>
        <v>233</v>
      </c>
      <c r="D1400" s="114" t="n">
        <f aca="false">IF(B1400="Tema",MOD(A1400-1,Config!$E$28)+1,"")</f>
        <v>4</v>
      </c>
      <c r="E1400" s="115" t="str">
        <f aca="false">IF($B1400="Tema",IF(ISNUMBER(INDEX(Temas!$E$6:$P$305,$C1400,2*$D1400-1)),INDEX(Temas!$E$6:$P$305,$C1400,2*$D1400-1),""),IF(ISNUMBER(INDEX(Avulsos!$B$6:$B$205,$C1400)),INDEX(Avulsos!$B$6:$B$205,$C1400),""))</f>
        <v/>
      </c>
      <c r="F1400" s="114" t="str">
        <f aca="false">IF($E1400="","",IF($B1400="Tema",INDEX(Temas!$B$6:$B$305,$C1400)&amp;"",INDEX(Avulsos!$C$6:$C$205,$C1400)&amp;""))</f>
        <v/>
      </c>
      <c r="G1400" s="114" t="str">
        <f aca="false">IF($E1400="","",IF($B1400="Tema",INDEX(Config!$C$6:$C$11,$D1400),"Evento avulso"))</f>
        <v/>
      </c>
      <c r="H1400" s="114" t="str">
        <f aca="false">IF($E1400="","",IF($B1400="Tema",INDEX(Config!$D$6:$D$11,$D1400),IFERROR(INDEX(Config!$E$15:$E$19,MATCH($I1400,Config!$C$15:$C$19,0)),"•")))</f>
        <v/>
      </c>
      <c r="I1400" s="114" t="str">
        <f aca="false">IF($E1400="","",IF($B1400="Tema",INDEX(Config!$E$6:$E$11,$D1400),IF(INDEX(Avulsos!$D$6:$D$205,$C1400)&amp;""="","Outro",INDEX(Avulsos!$D$6:$D$205,$C1400))))</f>
        <v/>
      </c>
      <c r="J1400" s="114" t="str">
        <f aca="false">IF($E1400="","",IF($B1400="Tema",INDEX(Temas!$C$6:$C$305,$C1400)&amp;"",INDEX(Avulsos!$E$6:$E$205,$C1400)&amp;""))</f>
        <v/>
      </c>
      <c r="K1400" s="114" t="str">
        <f aca="false">IF($E1400="","",IF(IF($B1400="Tema",INDEX(Temas!$E$6:$P$305,$C1400,2*$D1400),INDEX(Avulsos!$F$6:$F$205,$C1400))&amp;""="","","✓"))</f>
        <v/>
      </c>
      <c r="L1400" s="114" t="str">
        <f aca="true">IF($E1400="","",IF($K1400="✓","Concluído",IF($E1400&lt;TODAY(),"Atrasado",IF($E1400=TODAY(),"Hoje","Pendente"))))</f>
        <v/>
      </c>
      <c r="M1400" s="114" t="str">
        <f aca="false">IF($E1400="","",IF($K1400="✓","✓ ","")&amp;IF(Config!$E$22="Sim",$H1400&amp;" · ","")&amp;$F1400)</f>
        <v/>
      </c>
      <c r="N1400" s="114" t="str">
        <f aca="false">IF($E1400="","",IFERROR(INDEX(Config!$D$15:$D$19,MATCH($I1400,Config!$C$15:$C$19,0)),"OUT")&amp;IF($K1400="✓","x",""))</f>
        <v/>
      </c>
      <c r="O1400" s="114" t="str">
        <f aca="false">IF($E1400="","",COUNTIF($E$5:$E1400,$E1400))</f>
        <v/>
      </c>
      <c r="P1400" s="114" t="str">
        <f aca="false">IF($E1400="","",$E1400*100+$O1400)</f>
        <v/>
      </c>
      <c r="Q1400" s="114" t="str">
        <f aca="false">IF($L1400="Atrasado",$E1400*10000+$A1400,"")</f>
        <v/>
      </c>
    </row>
    <row r="1401" customFormat="false" ht="15" hidden="false" customHeight="false" outlineLevel="0" collapsed="false">
      <c r="A1401" s="114" t="n">
        <f aca="false">ROW()-4</f>
        <v>1397</v>
      </c>
      <c r="B1401" s="114" t="str">
        <f aca="false">IF(A1401&lt;=Config!$E$27*Config!$E$28,"Tema","Avulso")</f>
        <v>Tema</v>
      </c>
      <c r="C1401" s="114" t="n">
        <f aca="false">IF(B1401="Tema",INT((A1401-1)/Config!$E$28)+1,A1401-Config!$E$27*Config!$E$28)</f>
        <v>233</v>
      </c>
      <c r="D1401" s="114" t="n">
        <f aca="false">IF(B1401="Tema",MOD(A1401-1,Config!$E$28)+1,"")</f>
        <v>5</v>
      </c>
      <c r="E1401" s="115" t="str">
        <f aca="false">IF($B1401="Tema",IF(ISNUMBER(INDEX(Temas!$E$6:$P$305,$C1401,2*$D1401-1)),INDEX(Temas!$E$6:$P$305,$C1401,2*$D1401-1),""),IF(ISNUMBER(INDEX(Avulsos!$B$6:$B$205,$C1401)),INDEX(Avulsos!$B$6:$B$205,$C1401),""))</f>
        <v/>
      </c>
      <c r="F1401" s="114" t="str">
        <f aca="false">IF($E1401="","",IF($B1401="Tema",INDEX(Temas!$B$6:$B$305,$C1401)&amp;"",INDEX(Avulsos!$C$6:$C$205,$C1401)&amp;""))</f>
        <v/>
      </c>
      <c r="G1401" s="114" t="str">
        <f aca="false">IF($E1401="","",IF($B1401="Tema",INDEX(Config!$C$6:$C$11,$D1401),"Evento avulso"))</f>
        <v/>
      </c>
      <c r="H1401" s="114" t="str">
        <f aca="false">IF($E1401="","",IF($B1401="Tema",INDEX(Config!$D$6:$D$11,$D1401),IFERROR(INDEX(Config!$E$15:$E$19,MATCH($I1401,Config!$C$15:$C$19,0)),"•")))</f>
        <v/>
      </c>
      <c r="I1401" s="114" t="str">
        <f aca="false">IF($E1401="","",IF($B1401="Tema",INDEX(Config!$E$6:$E$11,$D1401),IF(INDEX(Avulsos!$D$6:$D$205,$C1401)&amp;""="","Outro",INDEX(Avulsos!$D$6:$D$205,$C1401))))</f>
        <v/>
      </c>
      <c r="J1401" s="114" t="str">
        <f aca="false">IF($E1401="","",IF($B1401="Tema",INDEX(Temas!$C$6:$C$305,$C1401)&amp;"",INDEX(Avulsos!$E$6:$E$205,$C1401)&amp;""))</f>
        <v/>
      </c>
      <c r="K1401" s="114" t="str">
        <f aca="false">IF($E1401="","",IF(IF($B1401="Tema",INDEX(Temas!$E$6:$P$305,$C1401,2*$D1401),INDEX(Avulsos!$F$6:$F$205,$C1401))&amp;""="","","✓"))</f>
        <v/>
      </c>
      <c r="L1401" s="114" t="str">
        <f aca="true">IF($E1401="","",IF($K1401="✓","Concluído",IF($E1401&lt;TODAY(),"Atrasado",IF($E1401=TODAY(),"Hoje","Pendente"))))</f>
        <v/>
      </c>
      <c r="M1401" s="114" t="str">
        <f aca="false">IF($E1401="","",IF($K1401="✓","✓ ","")&amp;IF(Config!$E$22="Sim",$H1401&amp;" · ","")&amp;$F1401)</f>
        <v/>
      </c>
      <c r="N1401" s="114" t="str">
        <f aca="false">IF($E1401="","",IFERROR(INDEX(Config!$D$15:$D$19,MATCH($I1401,Config!$C$15:$C$19,0)),"OUT")&amp;IF($K1401="✓","x",""))</f>
        <v/>
      </c>
      <c r="O1401" s="114" t="str">
        <f aca="false">IF($E1401="","",COUNTIF($E$5:$E1401,$E1401))</f>
        <v/>
      </c>
      <c r="P1401" s="114" t="str">
        <f aca="false">IF($E1401="","",$E1401*100+$O1401)</f>
        <v/>
      </c>
      <c r="Q1401" s="114" t="str">
        <f aca="false">IF($L1401="Atrasado",$E1401*10000+$A1401,"")</f>
        <v/>
      </c>
    </row>
    <row r="1402" customFormat="false" ht="15" hidden="false" customHeight="false" outlineLevel="0" collapsed="false">
      <c r="A1402" s="114" t="n">
        <f aca="false">ROW()-4</f>
        <v>1398</v>
      </c>
      <c r="B1402" s="114" t="str">
        <f aca="false">IF(A1402&lt;=Config!$E$27*Config!$E$28,"Tema","Avulso")</f>
        <v>Tema</v>
      </c>
      <c r="C1402" s="114" t="n">
        <f aca="false">IF(B1402="Tema",INT((A1402-1)/Config!$E$28)+1,A1402-Config!$E$27*Config!$E$28)</f>
        <v>233</v>
      </c>
      <c r="D1402" s="114" t="n">
        <f aca="false">IF(B1402="Tema",MOD(A1402-1,Config!$E$28)+1,"")</f>
        <v>6</v>
      </c>
      <c r="E1402" s="115" t="str">
        <f aca="false">IF($B1402="Tema",IF(ISNUMBER(INDEX(Temas!$E$6:$P$305,$C1402,2*$D1402-1)),INDEX(Temas!$E$6:$P$305,$C1402,2*$D1402-1),""),IF(ISNUMBER(INDEX(Avulsos!$B$6:$B$205,$C1402)),INDEX(Avulsos!$B$6:$B$205,$C1402),""))</f>
        <v/>
      </c>
      <c r="F1402" s="114" t="str">
        <f aca="false">IF($E1402="","",IF($B1402="Tema",INDEX(Temas!$B$6:$B$305,$C1402)&amp;"",INDEX(Avulsos!$C$6:$C$205,$C1402)&amp;""))</f>
        <v/>
      </c>
      <c r="G1402" s="114" t="str">
        <f aca="false">IF($E1402="","",IF($B1402="Tema",INDEX(Config!$C$6:$C$11,$D1402),"Evento avulso"))</f>
        <v/>
      </c>
      <c r="H1402" s="114" t="str">
        <f aca="false">IF($E1402="","",IF($B1402="Tema",INDEX(Config!$D$6:$D$11,$D1402),IFERROR(INDEX(Config!$E$15:$E$19,MATCH($I1402,Config!$C$15:$C$19,0)),"•")))</f>
        <v/>
      </c>
      <c r="I1402" s="114" t="str">
        <f aca="false">IF($E1402="","",IF($B1402="Tema",INDEX(Config!$E$6:$E$11,$D1402),IF(INDEX(Avulsos!$D$6:$D$205,$C1402)&amp;""="","Outro",INDEX(Avulsos!$D$6:$D$205,$C1402))))</f>
        <v/>
      </c>
      <c r="J1402" s="114" t="str">
        <f aca="false">IF($E1402="","",IF($B1402="Tema",INDEX(Temas!$C$6:$C$305,$C1402)&amp;"",INDEX(Avulsos!$E$6:$E$205,$C1402)&amp;""))</f>
        <v/>
      </c>
      <c r="K1402" s="114" t="str">
        <f aca="false">IF($E1402="","",IF(IF($B1402="Tema",INDEX(Temas!$E$6:$P$305,$C1402,2*$D1402),INDEX(Avulsos!$F$6:$F$205,$C1402))&amp;""="","","✓"))</f>
        <v/>
      </c>
      <c r="L1402" s="114" t="str">
        <f aca="true">IF($E1402="","",IF($K1402="✓","Concluído",IF($E1402&lt;TODAY(),"Atrasado",IF($E1402=TODAY(),"Hoje","Pendente"))))</f>
        <v/>
      </c>
      <c r="M1402" s="114" t="str">
        <f aca="false">IF($E1402="","",IF($K1402="✓","✓ ","")&amp;IF(Config!$E$22="Sim",$H1402&amp;" · ","")&amp;$F1402)</f>
        <v/>
      </c>
      <c r="N1402" s="114" t="str">
        <f aca="false">IF($E1402="","",IFERROR(INDEX(Config!$D$15:$D$19,MATCH($I1402,Config!$C$15:$C$19,0)),"OUT")&amp;IF($K1402="✓","x",""))</f>
        <v/>
      </c>
      <c r="O1402" s="114" t="str">
        <f aca="false">IF($E1402="","",COUNTIF($E$5:$E1402,$E1402))</f>
        <v/>
      </c>
      <c r="P1402" s="114" t="str">
        <f aca="false">IF($E1402="","",$E1402*100+$O1402)</f>
        <v/>
      </c>
      <c r="Q1402" s="114" t="str">
        <f aca="false">IF($L1402="Atrasado",$E1402*10000+$A1402,"")</f>
        <v/>
      </c>
    </row>
    <row r="1403" customFormat="false" ht="15" hidden="false" customHeight="false" outlineLevel="0" collapsed="false">
      <c r="A1403" s="114" t="n">
        <f aca="false">ROW()-4</f>
        <v>1399</v>
      </c>
      <c r="B1403" s="114" t="str">
        <f aca="false">IF(A1403&lt;=Config!$E$27*Config!$E$28,"Tema","Avulso")</f>
        <v>Tema</v>
      </c>
      <c r="C1403" s="114" t="n">
        <f aca="false">IF(B1403="Tema",INT((A1403-1)/Config!$E$28)+1,A1403-Config!$E$27*Config!$E$28)</f>
        <v>234</v>
      </c>
      <c r="D1403" s="114" t="n">
        <f aca="false">IF(B1403="Tema",MOD(A1403-1,Config!$E$28)+1,"")</f>
        <v>1</v>
      </c>
      <c r="E1403" s="115" t="str">
        <f aca="false">IF($B1403="Tema",IF(ISNUMBER(INDEX(Temas!$E$6:$P$305,$C1403,2*$D1403-1)),INDEX(Temas!$E$6:$P$305,$C1403,2*$D1403-1),""),IF(ISNUMBER(INDEX(Avulsos!$B$6:$B$205,$C1403)),INDEX(Avulsos!$B$6:$B$205,$C1403),""))</f>
        <v/>
      </c>
      <c r="F1403" s="114" t="str">
        <f aca="false">IF($E1403="","",IF($B1403="Tema",INDEX(Temas!$B$6:$B$305,$C1403)&amp;"",INDEX(Avulsos!$C$6:$C$205,$C1403)&amp;""))</f>
        <v/>
      </c>
      <c r="G1403" s="114" t="str">
        <f aca="false">IF($E1403="","",IF($B1403="Tema",INDEX(Config!$C$6:$C$11,$D1403),"Evento avulso"))</f>
        <v/>
      </c>
      <c r="H1403" s="114" t="str">
        <f aca="false">IF($E1403="","",IF($B1403="Tema",INDEX(Config!$D$6:$D$11,$D1403),IFERROR(INDEX(Config!$E$15:$E$19,MATCH($I1403,Config!$C$15:$C$19,0)),"•")))</f>
        <v/>
      </c>
      <c r="I1403" s="114" t="str">
        <f aca="false">IF($E1403="","",IF($B1403="Tema",INDEX(Config!$E$6:$E$11,$D1403),IF(INDEX(Avulsos!$D$6:$D$205,$C1403)&amp;""="","Outro",INDEX(Avulsos!$D$6:$D$205,$C1403))))</f>
        <v/>
      </c>
      <c r="J1403" s="114" t="str">
        <f aca="false">IF($E1403="","",IF($B1403="Tema",INDEX(Temas!$C$6:$C$305,$C1403)&amp;"",INDEX(Avulsos!$E$6:$E$205,$C1403)&amp;""))</f>
        <v/>
      </c>
      <c r="K1403" s="114" t="str">
        <f aca="false">IF($E1403="","",IF(IF($B1403="Tema",INDEX(Temas!$E$6:$P$305,$C1403,2*$D1403),INDEX(Avulsos!$F$6:$F$205,$C1403))&amp;""="","","✓"))</f>
        <v/>
      </c>
      <c r="L1403" s="114" t="str">
        <f aca="true">IF($E1403="","",IF($K1403="✓","Concluído",IF($E1403&lt;TODAY(),"Atrasado",IF($E1403=TODAY(),"Hoje","Pendente"))))</f>
        <v/>
      </c>
      <c r="M1403" s="114" t="str">
        <f aca="false">IF($E1403="","",IF($K1403="✓","✓ ","")&amp;IF(Config!$E$22="Sim",$H1403&amp;" · ","")&amp;$F1403)</f>
        <v/>
      </c>
      <c r="N1403" s="114" t="str">
        <f aca="false">IF($E1403="","",IFERROR(INDEX(Config!$D$15:$D$19,MATCH($I1403,Config!$C$15:$C$19,0)),"OUT")&amp;IF($K1403="✓","x",""))</f>
        <v/>
      </c>
      <c r="O1403" s="114" t="str">
        <f aca="false">IF($E1403="","",COUNTIF($E$5:$E1403,$E1403))</f>
        <v/>
      </c>
      <c r="P1403" s="114" t="str">
        <f aca="false">IF($E1403="","",$E1403*100+$O1403)</f>
        <v/>
      </c>
      <c r="Q1403" s="114" t="str">
        <f aca="false">IF($L1403="Atrasado",$E1403*10000+$A1403,"")</f>
        <v/>
      </c>
    </row>
    <row r="1404" customFormat="false" ht="15" hidden="false" customHeight="false" outlineLevel="0" collapsed="false">
      <c r="A1404" s="114" t="n">
        <f aca="false">ROW()-4</f>
        <v>1400</v>
      </c>
      <c r="B1404" s="114" t="str">
        <f aca="false">IF(A1404&lt;=Config!$E$27*Config!$E$28,"Tema","Avulso")</f>
        <v>Tema</v>
      </c>
      <c r="C1404" s="114" t="n">
        <f aca="false">IF(B1404="Tema",INT((A1404-1)/Config!$E$28)+1,A1404-Config!$E$27*Config!$E$28)</f>
        <v>234</v>
      </c>
      <c r="D1404" s="114" t="n">
        <f aca="false">IF(B1404="Tema",MOD(A1404-1,Config!$E$28)+1,"")</f>
        <v>2</v>
      </c>
      <c r="E1404" s="115" t="str">
        <f aca="false">IF($B1404="Tema",IF(ISNUMBER(INDEX(Temas!$E$6:$P$305,$C1404,2*$D1404-1)),INDEX(Temas!$E$6:$P$305,$C1404,2*$D1404-1),""),IF(ISNUMBER(INDEX(Avulsos!$B$6:$B$205,$C1404)),INDEX(Avulsos!$B$6:$B$205,$C1404),""))</f>
        <v/>
      </c>
      <c r="F1404" s="114" t="str">
        <f aca="false">IF($E1404="","",IF($B1404="Tema",INDEX(Temas!$B$6:$B$305,$C1404)&amp;"",INDEX(Avulsos!$C$6:$C$205,$C1404)&amp;""))</f>
        <v/>
      </c>
      <c r="G1404" s="114" t="str">
        <f aca="false">IF($E1404="","",IF($B1404="Tema",INDEX(Config!$C$6:$C$11,$D1404),"Evento avulso"))</f>
        <v/>
      </c>
      <c r="H1404" s="114" t="str">
        <f aca="false">IF($E1404="","",IF($B1404="Tema",INDEX(Config!$D$6:$D$11,$D1404),IFERROR(INDEX(Config!$E$15:$E$19,MATCH($I1404,Config!$C$15:$C$19,0)),"•")))</f>
        <v/>
      </c>
      <c r="I1404" s="114" t="str">
        <f aca="false">IF($E1404="","",IF($B1404="Tema",INDEX(Config!$E$6:$E$11,$D1404),IF(INDEX(Avulsos!$D$6:$D$205,$C1404)&amp;""="","Outro",INDEX(Avulsos!$D$6:$D$205,$C1404))))</f>
        <v/>
      </c>
      <c r="J1404" s="114" t="str">
        <f aca="false">IF($E1404="","",IF($B1404="Tema",INDEX(Temas!$C$6:$C$305,$C1404)&amp;"",INDEX(Avulsos!$E$6:$E$205,$C1404)&amp;""))</f>
        <v/>
      </c>
      <c r="K1404" s="114" t="str">
        <f aca="false">IF($E1404="","",IF(IF($B1404="Tema",INDEX(Temas!$E$6:$P$305,$C1404,2*$D1404),INDEX(Avulsos!$F$6:$F$205,$C1404))&amp;""="","","✓"))</f>
        <v/>
      </c>
      <c r="L1404" s="114" t="str">
        <f aca="true">IF($E1404="","",IF($K1404="✓","Concluído",IF($E1404&lt;TODAY(),"Atrasado",IF($E1404=TODAY(),"Hoje","Pendente"))))</f>
        <v/>
      </c>
      <c r="M1404" s="114" t="str">
        <f aca="false">IF($E1404="","",IF($K1404="✓","✓ ","")&amp;IF(Config!$E$22="Sim",$H1404&amp;" · ","")&amp;$F1404)</f>
        <v/>
      </c>
      <c r="N1404" s="114" t="str">
        <f aca="false">IF($E1404="","",IFERROR(INDEX(Config!$D$15:$D$19,MATCH($I1404,Config!$C$15:$C$19,0)),"OUT")&amp;IF($K1404="✓","x",""))</f>
        <v/>
      </c>
      <c r="O1404" s="114" t="str">
        <f aca="false">IF($E1404="","",COUNTIF($E$5:$E1404,$E1404))</f>
        <v/>
      </c>
      <c r="P1404" s="114" t="str">
        <f aca="false">IF($E1404="","",$E1404*100+$O1404)</f>
        <v/>
      </c>
      <c r="Q1404" s="114" t="str">
        <f aca="false">IF($L1404="Atrasado",$E1404*10000+$A1404,"")</f>
        <v/>
      </c>
    </row>
    <row r="1405" customFormat="false" ht="15" hidden="false" customHeight="false" outlineLevel="0" collapsed="false">
      <c r="A1405" s="114" t="n">
        <f aca="false">ROW()-4</f>
        <v>1401</v>
      </c>
      <c r="B1405" s="114" t="str">
        <f aca="false">IF(A1405&lt;=Config!$E$27*Config!$E$28,"Tema","Avulso")</f>
        <v>Tema</v>
      </c>
      <c r="C1405" s="114" t="n">
        <f aca="false">IF(B1405="Tema",INT((A1405-1)/Config!$E$28)+1,A1405-Config!$E$27*Config!$E$28)</f>
        <v>234</v>
      </c>
      <c r="D1405" s="114" t="n">
        <f aca="false">IF(B1405="Tema",MOD(A1405-1,Config!$E$28)+1,"")</f>
        <v>3</v>
      </c>
      <c r="E1405" s="115" t="str">
        <f aca="false">IF($B1405="Tema",IF(ISNUMBER(INDEX(Temas!$E$6:$P$305,$C1405,2*$D1405-1)),INDEX(Temas!$E$6:$P$305,$C1405,2*$D1405-1),""),IF(ISNUMBER(INDEX(Avulsos!$B$6:$B$205,$C1405)),INDEX(Avulsos!$B$6:$B$205,$C1405),""))</f>
        <v/>
      </c>
      <c r="F1405" s="114" t="str">
        <f aca="false">IF($E1405="","",IF($B1405="Tema",INDEX(Temas!$B$6:$B$305,$C1405)&amp;"",INDEX(Avulsos!$C$6:$C$205,$C1405)&amp;""))</f>
        <v/>
      </c>
      <c r="G1405" s="114" t="str">
        <f aca="false">IF($E1405="","",IF($B1405="Tema",INDEX(Config!$C$6:$C$11,$D1405),"Evento avulso"))</f>
        <v/>
      </c>
      <c r="H1405" s="114" t="str">
        <f aca="false">IF($E1405="","",IF($B1405="Tema",INDEX(Config!$D$6:$D$11,$D1405),IFERROR(INDEX(Config!$E$15:$E$19,MATCH($I1405,Config!$C$15:$C$19,0)),"•")))</f>
        <v/>
      </c>
      <c r="I1405" s="114" t="str">
        <f aca="false">IF($E1405="","",IF($B1405="Tema",INDEX(Config!$E$6:$E$11,$D1405),IF(INDEX(Avulsos!$D$6:$D$205,$C1405)&amp;""="","Outro",INDEX(Avulsos!$D$6:$D$205,$C1405))))</f>
        <v/>
      </c>
      <c r="J1405" s="114" t="str">
        <f aca="false">IF($E1405="","",IF($B1405="Tema",INDEX(Temas!$C$6:$C$305,$C1405)&amp;"",INDEX(Avulsos!$E$6:$E$205,$C1405)&amp;""))</f>
        <v/>
      </c>
      <c r="K1405" s="114" t="str">
        <f aca="false">IF($E1405="","",IF(IF($B1405="Tema",INDEX(Temas!$E$6:$P$305,$C1405,2*$D1405),INDEX(Avulsos!$F$6:$F$205,$C1405))&amp;""="","","✓"))</f>
        <v/>
      </c>
      <c r="L1405" s="114" t="str">
        <f aca="true">IF($E1405="","",IF($K1405="✓","Concluído",IF($E1405&lt;TODAY(),"Atrasado",IF($E1405=TODAY(),"Hoje","Pendente"))))</f>
        <v/>
      </c>
      <c r="M1405" s="114" t="str">
        <f aca="false">IF($E1405="","",IF($K1405="✓","✓ ","")&amp;IF(Config!$E$22="Sim",$H1405&amp;" · ","")&amp;$F1405)</f>
        <v/>
      </c>
      <c r="N1405" s="114" t="str">
        <f aca="false">IF($E1405="","",IFERROR(INDEX(Config!$D$15:$D$19,MATCH($I1405,Config!$C$15:$C$19,0)),"OUT")&amp;IF($K1405="✓","x",""))</f>
        <v/>
      </c>
      <c r="O1405" s="114" t="str">
        <f aca="false">IF($E1405="","",COUNTIF($E$5:$E1405,$E1405))</f>
        <v/>
      </c>
      <c r="P1405" s="114" t="str">
        <f aca="false">IF($E1405="","",$E1405*100+$O1405)</f>
        <v/>
      </c>
      <c r="Q1405" s="114" t="str">
        <f aca="false">IF($L1405="Atrasado",$E1405*10000+$A1405,"")</f>
        <v/>
      </c>
    </row>
    <row r="1406" customFormat="false" ht="15" hidden="false" customHeight="false" outlineLevel="0" collapsed="false">
      <c r="A1406" s="114" t="n">
        <f aca="false">ROW()-4</f>
        <v>1402</v>
      </c>
      <c r="B1406" s="114" t="str">
        <f aca="false">IF(A1406&lt;=Config!$E$27*Config!$E$28,"Tema","Avulso")</f>
        <v>Tema</v>
      </c>
      <c r="C1406" s="114" t="n">
        <f aca="false">IF(B1406="Tema",INT((A1406-1)/Config!$E$28)+1,A1406-Config!$E$27*Config!$E$28)</f>
        <v>234</v>
      </c>
      <c r="D1406" s="114" t="n">
        <f aca="false">IF(B1406="Tema",MOD(A1406-1,Config!$E$28)+1,"")</f>
        <v>4</v>
      </c>
      <c r="E1406" s="115" t="str">
        <f aca="false">IF($B1406="Tema",IF(ISNUMBER(INDEX(Temas!$E$6:$P$305,$C1406,2*$D1406-1)),INDEX(Temas!$E$6:$P$305,$C1406,2*$D1406-1),""),IF(ISNUMBER(INDEX(Avulsos!$B$6:$B$205,$C1406)),INDEX(Avulsos!$B$6:$B$205,$C1406),""))</f>
        <v/>
      </c>
      <c r="F1406" s="114" t="str">
        <f aca="false">IF($E1406="","",IF($B1406="Tema",INDEX(Temas!$B$6:$B$305,$C1406)&amp;"",INDEX(Avulsos!$C$6:$C$205,$C1406)&amp;""))</f>
        <v/>
      </c>
      <c r="G1406" s="114" t="str">
        <f aca="false">IF($E1406="","",IF($B1406="Tema",INDEX(Config!$C$6:$C$11,$D1406),"Evento avulso"))</f>
        <v/>
      </c>
      <c r="H1406" s="114" t="str">
        <f aca="false">IF($E1406="","",IF($B1406="Tema",INDEX(Config!$D$6:$D$11,$D1406),IFERROR(INDEX(Config!$E$15:$E$19,MATCH($I1406,Config!$C$15:$C$19,0)),"•")))</f>
        <v/>
      </c>
      <c r="I1406" s="114" t="str">
        <f aca="false">IF($E1406="","",IF($B1406="Tema",INDEX(Config!$E$6:$E$11,$D1406),IF(INDEX(Avulsos!$D$6:$D$205,$C1406)&amp;""="","Outro",INDEX(Avulsos!$D$6:$D$205,$C1406))))</f>
        <v/>
      </c>
      <c r="J1406" s="114" t="str">
        <f aca="false">IF($E1406="","",IF($B1406="Tema",INDEX(Temas!$C$6:$C$305,$C1406)&amp;"",INDEX(Avulsos!$E$6:$E$205,$C1406)&amp;""))</f>
        <v/>
      </c>
      <c r="K1406" s="114" t="str">
        <f aca="false">IF($E1406="","",IF(IF($B1406="Tema",INDEX(Temas!$E$6:$P$305,$C1406,2*$D1406),INDEX(Avulsos!$F$6:$F$205,$C1406))&amp;""="","","✓"))</f>
        <v/>
      </c>
      <c r="L1406" s="114" t="str">
        <f aca="true">IF($E1406="","",IF($K1406="✓","Concluído",IF($E1406&lt;TODAY(),"Atrasado",IF($E1406=TODAY(),"Hoje","Pendente"))))</f>
        <v/>
      </c>
      <c r="M1406" s="114" t="str">
        <f aca="false">IF($E1406="","",IF($K1406="✓","✓ ","")&amp;IF(Config!$E$22="Sim",$H1406&amp;" · ","")&amp;$F1406)</f>
        <v/>
      </c>
      <c r="N1406" s="114" t="str">
        <f aca="false">IF($E1406="","",IFERROR(INDEX(Config!$D$15:$D$19,MATCH($I1406,Config!$C$15:$C$19,0)),"OUT")&amp;IF($K1406="✓","x",""))</f>
        <v/>
      </c>
      <c r="O1406" s="114" t="str">
        <f aca="false">IF($E1406="","",COUNTIF($E$5:$E1406,$E1406))</f>
        <v/>
      </c>
      <c r="P1406" s="114" t="str">
        <f aca="false">IF($E1406="","",$E1406*100+$O1406)</f>
        <v/>
      </c>
      <c r="Q1406" s="114" t="str">
        <f aca="false">IF($L1406="Atrasado",$E1406*10000+$A1406,"")</f>
        <v/>
      </c>
    </row>
    <row r="1407" customFormat="false" ht="15" hidden="false" customHeight="false" outlineLevel="0" collapsed="false">
      <c r="A1407" s="114" t="n">
        <f aca="false">ROW()-4</f>
        <v>1403</v>
      </c>
      <c r="B1407" s="114" t="str">
        <f aca="false">IF(A1407&lt;=Config!$E$27*Config!$E$28,"Tema","Avulso")</f>
        <v>Tema</v>
      </c>
      <c r="C1407" s="114" t="n">
        <f aca="false">IF(B1407="Tema",INT((A1407-1)/Config!$E$28)+1,A1407-Config!$E$27*Config!$E$28)</f>
        <v>234</v>
      </c>
      <c r="D1407" s="114" t="n">
        <f aca="false">IF(B1407="Tema",MOD(A1407-1,Config!$E$28)+1,"")</f>
        <v>5</v>
      </c>
      <c r="E1407" s="115" t="str">
        <f aca="false">IF($B1407="Tema",IF(ISNUMBER(INDEX(Temas!$E$6:$P$305,$C1407,2*$D1407-1)),INDEX(Temas!$E$6:$P$305,$C1407,2*$D1407-1),""),IF(ISNUMBER(INDEX(Avulsos!$B$6:$B$205,$C1407)),INDEX(Avulsos!$B$6:$B$205,$C1407),""))</f>
        <v/>
      </c>
      <c r="F1407" s="114" t="str">
        <f aca="false">IF($E1407="","",IF($B1407="Tema",INDEX(Temas!$B$6:$B$305,$C1407)&amp;"",INDEX(Avulsos!$C$6:$C$205,$C1407)&amp;""))</f>
        <v/>
      </c>
      <c r="G1407" s="114" t="str">
        <f aca="false">IF($E1407="","",IF($B1407="Tema",INDEX(Config!$C$6:$C$11,$D1407),"Evento avulso"))</f>
        <v/>
      </c>
      <c r="H1407" s="114" t="str">
        <f aca="false">IF($E1407="","",IF($B1407="Tema",INDEX(Config!$D$6:$D$11,$D1407),IFERROR(INDEX(Config!$E$15:$E$19,MATCH($I1407,Config!$C$15:$C$19,0)),"•")))</f>
        <v/>
      </c>
      <c r="I1407" s="114" t="str">
        <f aca="false">IF($E1407="","",IF($B1407="Tema",INDEX(Config!$E$6:$E$11,$D1407),IF(INDEX(Avulsos!$D$6:$D$205,$C1407)&amp;""="","Outro",INDEX(Avulsos!$D$6:$D$205,$C1407))))</f>
        <v/>
      </c>
      <c r="J1407" s="114" t="str">
        <f aca="false">IF($E1407="","",IF($B1407="Tema",INDEX(Temas!$C$6:$C$305,$C1407)&amp;"",INDEX(Avulsos!$E$6:$E$205,$C1407)&amp;""))</f>
        <v/>
      </c>
      <c r="K1407" s="114" t="str">
        <f aca="false">IF($E1407="","",IF(IF($B1407="Tema",INDEX(Temas!$E$6:$P$305,$C1407,2*$D1407),INDEX(Avulsos!$F$6:$F$205,$C1407))&amp;""="","","✓"))</f>
        <v/>
      </c>
      <c r="L1407" s="114" t="str">
        <f aca="true">IF($E1407="","",IF($K1407="✓","Concluído",IF($E1407&lt;TODAY(),"Atrasado",IF($E1407=TODAY(),"Hoje","Pendente"))))</f>
        <v/>
      </c>
      <c r="M1407" s="114" t="str">
        <f aca="false">IF($E1407="","",IF($K1407="✓","✓ ","")&amp;IF(Config!$E$22="Sim",$H1407&amp;" · ","")&amp;$F1407)</f>
        <v/>
      </c>
      <c r="N1407" s="114" t="str">
        <f aca="false">IF($E1407="","",IFERROR(INDEX(Config!$D$15:$D$19,MATCH($I1407,Config!$C$15:$C$19,0)),"OUT")&amp;IF($K1407="✓","x",""))</f>
        <v/>
      </c>
      <c r="O1407" s="114" t="str">
        <f aca="false">IF($E1407="","",COUNTIF($E$5:$E1407,$E1407))</f>
        <v/>
      </c>
      <c r="P1407" s="114" t="str">
        <f aca="false">IF($E1407="","",$E1407*100+$O1407)</f>
        <v/>
      </c>
      <c r="Q1407" s="114" t="str">
        <f aca="false">IF($L1407="Atrasado",$E1407*10000+$A1407,"")</f>
        <v/>
      </c>
    </row>
    <row r="1408" customFormat="false" ht="15" hidden="false" customHeight="false" outlineLevel="0" collapsed="false">
      <c r="A1408" s="114" t="n">
        <f aca="false">ROW()-4</f>
        <v>1404</v>
      </c>
      <c r="B1408" s="114" t="str">
        <f aca="false">IF(A1408&lt;=Config!$E$27*Config!$E$28,"Tema","Avulso")</f>
        <v>Tema</v>
      </c>
      <c r="C1408" s="114" t="n">
        <f aca="false">IF(B1408="Tema",INT((A1408-1)/Config!$E$28)+1,A1408-Config!$E$27*Config!$E$28)</f>
        <v>234</v>
      </c>
      <c r="D1408" s="114" t="n">
        <f aca="false">IF(B1408="Tema",MOD(A1408-1,Config!$E$28)+1,"")</f>
        <v>6</v>
      </c>
      <c r="E1408" s="115" t="str">
        <f aca="false">IF($B1408="Tema",IF(ISNUMBER(INDEX(Temas!$E$6:$P$305,$C1408,2*$D1408-1)),INDEX(Temas!$E$6:$P$305,$C1408,2*$D1408-1),""),IF(ISNUMBER(INDEX(Avulsos!$B$6:$B$205,$C1408)),INDEX(Avulsos!$B$6:$B$205,$C1408),""))</f>
        <v/>
      </c>
      <c r="F1408" s="114" t="str">
        <f aca="false">IF($E1408="","",IF($B1408="Tema",INDEX(Temas!$B$6:$B$305,$C1408)&amp;"",INDEX(Avulsos!$C$6:$C$205,$C1408)&amp;""))</f>
        <v/>
      </c>
      <c r="G1408" s="114" t="str">
        <f aca="false">IF($E1408="","",IF($B1408="Tema",INDEX(Config!$C$6:$C$11,$D1408),"Evento avulso"))</f>
        <v/>
      </c>
      <c r="H1408" s="114" t="str">
        <f aca="false">IF($E1408="","",IF($B1408="Tema",INDEX(Config!$D$6:$D$11,$D1408),IFERROR(INDEX(Config!$E$15:$E$19,MATCH($I1408,Config!$C$15:$C$19,0)),"•")))</f>
        <v/>
      </c>
      <c r="I1408" s="114" t="str">
        <f aca="false">IF($E1408="","",IF($B1408="Tema",INDEX(Config!$E$6:$E$11,$D1408),IF(INDEX(Avulsos!$D$6:$D$205,$C1408)&amp;""="","Outro",INDEX(Avulsos!$D$6:$D$205,$C1408))))</f>
        <v/>
      </c>
      <c r="J1408" s="114" t="str">
        <f aca="false">IF($E1408="","",IF($B1408="Tema",INDEX(Temas!$C$6:$C$305,$C1408)&amp;"",INDEX(Avulsos!$E$6:$E$205,$C1408)&amp;""))</f>
        <v/>
      </c>
      <c r="K1408" s="114" t="str">
        <f aca="false">IF($E1408="","",IF(IF($B1408="Tema",INDEX(Temas!$E$6:$P$305,$C1408,2*$D1408),INDEX(Avulsos!$F$6:$F$205,$C1408))&amp;""="","","✓"))</f>
        <v/>
      </c>
      <c r="L1408" s="114" t="str">
        <f aca="true">IF($E1408="","",IF($K1408="✓","Concluído",IF($E1408&lt;TODAY(),"Atrasado",IF($E1408=TODAY(),"Hoje","Pendente"))))</f>
        <v/>
      </c>
      <c r="M1408" s="114" t="str">
        <f aca="false">IF($E1408="","",IF($K1408="✓","✓ ","")&amp;IF(Config!$E$22="Sim",$H1408&amp;" · ","")&amp;$F1408)</f>
        <v/>
      </c>
      <c r="N1408" s="114" t="str">
        <f aca="false">IF($E1408="","",IFERROR(INDEX(Config!$D$15:$D$19,MATCH($I1408,Config!$C$15:$C$19,0)),"OUT")&amp;IF($K1408="✓","x",""))</f>
        <v/>
      </c>
      <c r="O1408" s="114" t="str">
        <f aca="false">IF($E1408="","",COUNTIF($E$5:$E1408,$E1408))</f>
        <v/>
      </c>
      <c r="P1408" s="114" t="str">
        <f aca="false">IF($E1408="","",$E1408*100+$O1408)</f>
        <v/>
      </c>
      <c r="Q1408" s="114" t="str">
        <f aca="false">IF($L1408="Atrasado",$E1408*10000+$A1408,"")</f>
        <v/>
      </c>
    </row>
    <row r="1409" customFormat="false" ht="15" hidden="false" customHeight="false" outlineLevel="0" collapsed="false">
      <c r="A1409" s="114" t="n">
        <f aca="false">ROW()-4</f>
        <v>1405</v>
      </c>
      <c r="B1409" s="114" t="str">
        <f aca="false">IF(A1409&lt;=Config!$E$27*Config!$E$28,"Tema","Avulso")</f>
        <v>Tema</v>
      </c>
      <c r="C1409" s="114" t="n">
        <f aca="false">IF(B1409="Tema",INT((A1409-1)/Config!$E$28)+1,A1409-Config!$E$27*Config!$E$28)</f>
        <v>235</v>
      </c>
      <c r="D1409" s="114" t="n">
        <f aca="false">IF(B1409="Tema",MOD(A1409-1,Config!$E$28)+1,"")</f>
        <v>1</v>
      </c>
      <c r="E1409" s="115" t="str">
        <f aca="false">IF($B1409="Tema",IF(ISNUMBER(INDEX(Temas!$E$6:$P$305,$C1409,2*$D1409-1)),INDEX(Temas!$E$6:$P$305,$C1409,2*$D1409-1),""),IF(ISNUMBER(INDEX(Avulsos!$B$6:$B$205,$C1409)),INDEX(Avulsos!$B$6:$B$205,$C1409),""))</f>
        <v/>
      </c>
      <c r="F1409" s="114" t="str">
        <f aca="false">IF($E1409="","",IF($B1409="Tema",INDEX(Temas!$B$6:$B$305,$C1409)&amp;"",INDEX(Avulsos!$C$6:$C$205,$C1409)&amp;""))</f>
        <v/>
      </c>
      <c r="G1409" s="114" t="str">
        <f aca="false">IF($E1409="","",IF($B1409="Tema",INDEX(Config!$C$6:$C$11,$D1409),"Evento avulso"))</f>
        <v/>
      </c>
      <c r="H1409" s="114" t="str">
        <f aca="false">IF($E1409="","",IF($B1409="Tema",INDEX(Config!$D$6:$D$11,$D1409),IFERROR(INDEX(Config!$E$15:$E$19,MATCH($I1409,Config!$C$15:$C$19,0)),"•")))</f>
        <v/>
      </c>
      <c r="I1409" s="114" t="str">
        <f aca="false">IF($E1409="","",IF($B1409="Tema",INDEX(Config!$E$6:$E$11,$D1409),IF(INDEX(Avulsos!$D$6:$D$205,$C1409)&amp;""="","Outro",INDEX(Avulsos!$D$6:$D$205,$C1409))))</f>
        <v/>
      </c>
      <c r="J1409" s="114" t="str">
        <f aca="false">IF($E1409="","",IF($B1409="Tema",INDEX(Temas!$C$6:$C$305,$C1409)&amp;"",INDEX(Avulsos!$E$6:$E$205,$C1409)&amp;""))</f>
        <v/>
      </c>
      <c r="K1409" s="114" t="str">
        <f aca="false">IF($E1409="","",IF(IF($B1409="Tema",INDEX(Temas!$E$6:$P$305,$C1409,2*$D1409),INDEX(Avulsos!$F$6:$F$205,$C1409))&amp;""="","","✓"))</f>
        <v/>
      </c>
      <c r="L1409" s="114" t="str">
        <f aca="true">IF($E1409="","",IF($K1409="✓","Concluído",IF($E1409&lt;TODAY(),"Atrasado",IF($E1409=TODAY(),"Hoje","Pendente"))))</f>
        <v/>
      </c>
      <c r="M1409" s="114" t="str">
        <f aca="false">IF($E1409="","",IF($K1409="✓","✓ ","")&amp;IF(Config!$E$22="Sim",$H1409&amp;" · ","")&amp;$F1409)</f>
        <v/>
      </c>
      <c r="N1409" s="114" t="str">
        <f aca="false">IF($E1409="","",IFERROR(INDEX(Config!$D$15:$D$19,MATCH($I1409,Config!$C$15:$C$19,0)),"OUT")&amp;IF($K1409="✓","x",""))</f>
        <v/>
      </c>
      <c r="O1409" s="114" t="str">
        <f aca="false">IF($E1409="","",COUNTIF($E$5:$E1409,$E1409))</f>
        <v/>
      </c>
      <c r="P1409" s="114" t="str">
        <f aca="false">IF($E1409="","",$E1409*100+$O1409)</f>
        <v/>
      </c>
      <c r="Q1409" s="114" t="str">
        <f aca="false">IF($L1409="Atrasado",$E1409*10000+$A1409,"")</f>
        <v/>
      </c>
    </row>
    <row r="1410" customFormat="false" ht="15" hidden="false" customHeight="false" outlineLevel="0" collapsed="false">
      <c r="A1410" s="114" t="n">
        <f aca="false">ROW()-4</f>
        <v>1406</v>
      </c>
      <c r="B1410" s="114" t="str">
        <f aca="false">IF(A1410&lt;=Config!$E$27*Config!$E$28,"Tema","Avulso")</f>
        <v>Tema</v>
      </c>
      <c r="C1410" s="114" t="n">
        <f aca="false">IF(B1410="Tema",INT((A1410-1)/Config!$E$28)+1,A1410-Config!$E$27*Config!$E$28)</f>
        <v>235</v>
      </c>
      <c r="D1410" s="114" t="n">
        <f aca="false">IF(B1410="Tema",MOD(A1410-1,Config!$E$28)+1,"")</f>
        <v>2</v>
      </c>
      <c r="E1410" s="115" t="str">
        <f aca="false">IF($B1410="Tema",IF(ISNUMBER(INDEX(Temas!$E$6:$P$305,$C1410,2*$D1410-1)),INDEX(Temas!$E$6:$P$305,$C1410,2*$D1410-1),""),IF(ISNUMBER(INDEX(Avulsos!$B$6:$B$205,$C1410)),INDEX(Avulsos!$B$6:$B$205,$C1410),""))</f>
        <v/>
      </c>
      <c r="F1410" s="114" t="str">
        <f aca="false">IF($E1410="","",IF($B1410="Tema",INDEX(Temas!$B$6:$B$305,$C1410)&amp;"",INDEX(Avulsos!$C$6:$C$205,$C1410)&amp;""))</f>
        <v/>
      </c>
      <c r="G1410" s="114" t="str">
        <f aca="false">IF($E1410="","",IF($B1410="Tema",INDEX(Config!$C$6:$C$11,$D1410),"Evento avulso"))</f>
        <v/>
      </c>
      <c r="H1410" s="114" t="str">
        <f aca="false">IF($E1410="","",IF($B1410="Tema",INDEX(Config!$D$6:$D$11,$D1410),IFERROR(INDEX(Config!$E$15:$E$19,MATCH($I1410,Config!$C$15:$C$19,0)),"•")))</f>
        <v/>
      </c>
      <c r="I1410" s="114" t="str">
        <f aca="false">IF($E1410="","",IF($B1410="Tema",INDEX(Config!$E$6:$E$11,$D1410),IF(INDEX(Avulsos!$D$6:$D$205,$C1410)&amp;""="","Outro",INDEX(Avulsos!$D$6:$D$205,$C1410))))</f>
        <v/>
      </c>
      <c r="J1410" s="114" t="str">
        <f aca="false">IF($E1410="","",IF($B1410="Tema",INDEX(Temas!$C$6:$C$305,$C1410)&amp;"",INDEX(Avulsos!$E$6:$E$205,$C1410)&amp;""))</f>
        <v/>
      </c>
      <c r="K1410" s="114" t="str">
        <f aca="false">IF($E1410="","",IF(IF($B1410="Tema",INDEX(Temas!$E$6:$P$305,$C1410,2*$D1410),INDEX(Avulsos!$F$6:$F$205,$C1410))&amp;""="","","✓"))</f>
        <v/>
      </c>
      <c r="L1410" s="114" t="str">
        <f aca="true">IF($E1410="","",IF($K1410="✓","Concluído",IF($E1410&lt;TODAY(),"Atrasado",IF($E1410=TODAY(),"Hoje","Pendente"))))</f>
        <v/>
      </c>
      <c r="M1410" s="114" t="str">
        <f aca="false">IF($E1410="","",IF($K1410="✓","✓ ","")&amp;IF(Config!$E$22="Sim",$H1410&amp;" · ","")&amp;$F1410)</f>
        <v/>
      </c>
      <c r="N1410" s="114" t="str">
        <f aca="false">IF($E1410="","",IFERROR(INDEX(Config!$D$15:$D$19,MATCH($I1410,Config!$C$15:$C$19,0)),"OUT")&amp;IF($K1410="✓","x",""))</f>
        <v/>
      </c>
      <c r="O1410" s="114" t="str">
        <f aca="false">IF($E1410="","",COUNTIF($E$5:$E1410,$E1410))</f>
        <v/>
      </c>
      <c r="P1410" s="114" t="str">
        <f aca="false">IF($E1410="","",$E1410*100+$O1410)</f>
        <v/>
      </c>
      <c r="Q1410" s="114" t="str">
        <f aca="false">IF($L1410="Atrasado",$E1410*10000+$A1410,"")</f>
        <v/>
      </c>
    </row>
    <row r="1411" customFormat="false" ht="15" hidden="false" customHeight="false" outlineLevel="0" collapsed="false">
      <c r="A1411" s="114" t="n">
        <f aca="false">ROW()-4</f>
        <v>1407</v>
      </c>
      <c r="B1411" s="114" t="str">
        <f aca="false">IF(A1411&lt;=Config!$E$27*Config!$E$28,"Tema","Avulso")</f>
        <v>Tema</v>
      </c>
      <c r="C1411" s="114" t="n">
        <f aca="false">IF(B1411="Tema",INT((A1411-1)/Config!$E$28)+1,A1411-Config!$E$27*Config!$E$28)</f>
        <v>235</v>
      </c>
      <c r="D1411" s="114" t="n">
        <f aca="false">IF(B1411="Tema",MOD(A1411-1,Config!$E$28)+1,"")</f>
        <v>3</v>
      </c>
      <c r="E1411" s="115" t="str">
        <f aca="false">IF($B1411="Tema",IF(ISNUMBER(INDEX(Temas!$E$6:$P$305,$C1411,2*$D1411-1)),INDEX(Temas!$E$6:$P$305,$C1411,2*$D1411-1),""),IF(ISNUMBER(INDEX(Avulsos!$B$6:$B$205,$C1411)),INDEX(Avulsos!$B$6:$B$205,$C1411),""))</f>
        <v/>
      </c>
      <c r="F1411" s="114" t="str">
        <f aca="false">IF($E1411="","",IF($B1411="Tema",INDEX(Temas!$B$6:$B$305,$C1411)&amp;"",INDEX(Avulsos!$C$6:$C$205,$C1411)&amp;""))</f>
        <v/>
      </c>
      <c r="G1411" s="114" t="str">
        <f aca="false">IF($E1411="","",IF($B1411="Tema",INDEX(Config!$C$6:$C$11,$D1411),"Evento avulso"))</f>
        <v/>
      </c>
      <c r="H1411" s="114" t="str">
        <f aca="false">IF($E1411="","",IF($B1411="Tema",INDEX(Config!$D$6:$D$11,$D1411),IFERROR(INDEX(Config!$E$15:$E$19,MATCH($I1411,Config!$C$15:$C$19,0)),"•")))</f>
        <v/>
      </c>
      <c r="I1411" s="114" t="str">
        <f aca="false">IF($E1411="","",IF($B1411="Tema",INDEX(Config!$E$6:$E$11,$D1411),IF(INDEX(Avulsos!$D$6:$D$205,$C1411)&amp;""="","Outro",INDEX(Avulsos!$D$6:$D$205,$C1411))))</f>
        <v/>
      </c>
      <c r="J1411" s="114" t="str">
        <f aca="false">IF($E1411="","",IF($B1411="Tema",INDEX(Temas!$C$6:$C$305,$C1411)&amp;"",INDEX(Avulsos!$E$6:$E$205,$C1411)&amp;""))</f>
        <v/>
      </c>
      <c r="K1411" s="114" t="str">
        <f aca="false">IF($E1411="","",IF(IF($B1411="Tema",INDEX(Temas!$E$6:$P$305,$C1411,2*$D1411),INDEX(Avulsos!$F$6:$F$205,$C1411))&amp;""="","","✓"))</f>
        <v/>
      </c>
      <c r="L1411" s="114" t="str">
        <f aca="true">IF($E1411="","",IF($K1411="✓","Concluído",IF($E1411&lt;TODAY(),"Atrasado",IF($E1411=TODAY(),"Hoje","Pendente"))))</f>
        <v/>
      </c>
      <c r="M1411" s="114" t="str">
        <f aca="false">IF($E1411="","",IF($K1411="✓","✓ ","")&amp;IF(Config!$E$22="Sim",$H1411&amp;" · ","")&amp;$F1411)</f>
        <v/>
      </c>
      <c r="N1411" s="114" t="str">
        <f aca="false">IF($E1411="","",IFERROR(INDEX(Config!$D$15:$D$19,MATCH($I1411,Config!$C$15:$C$19,0)),"OUT")&amp;IF($K1411="✓","x",""))</f>
        <v/>
      </c>
      <c r="O1411" s="114" t="str">
        <f aca="false">IF($E1411="","",COUNTIF($E$5:$E1411,$E1411))</f>
        <v/>
      </c>
      <c r="P1411" s="114" t="str">
        <f aca="false">IF($E1411="","",$E1411*100+$O1411)</f>
        <v/>
      </c>
      <c r="Q1411" s="114" t="str">
        <f aca="false">IF($L1411="Atrasado",$E1411*10000+$A1411,"")</f>
        <v/>
      </c>
    </row>
    <row r="1412" customFormat="false" ht="15" hidden="false" customHeight="false" outlineLevel="0" collapsed="false">
      <c r="A1412" s="114" t="n">
        <f aca="false">ROW()-4</f>
        <v>1408</v>
      </c>
      <c r="B1412" s="114" t="str">
        <f aca="false">IF(A1412&lt;=Config!$E$27*Config!$E$28,"Tema","Avulso")</f>
        <v>Tema</v>
      </c>
      <c r="C1412" s="114" t="n">
        <f aca="false">IF(B1412="Tema",INT((A1412-1)/Config!$E$28)+1,A1412-Config!$E$27*Config!$E$28)</f>
        <v>235</v>
      </c>
      <c r="D1412" s="114" t="n">
        <f aca="false">IF(B1412="Tema",MOD(A1412-1,Config!$E$28)+1,"")</f>
        <v>4</v>
      </c>
      <c r="E1412" s="115" t="str">
        <f aca="false">IF($B1412="Tema",IF(ISNUMBER(INDEX(Temas!$E$6:$P$305,$C1412,2*$D1412-1)),INDEX(Temas!$E$6:$P$305,$C1412,2*$D1412-1),""),IF(ISNUMBER(INDEX(Avulsos!$B$6:$B$205,$C1412)),INDEX(Avulsos!$B$6:$B$205,$C1412),""))</f>
        <v/>
      </c>
      <c r="F1412" s="114" t="str">
        <f aca="false">IF($E1412="","",IF($B1412="Tema",INDEX(Temas!$B$6:$B$305,$C1412)&amp;"",INDEX(Avulsos!$C$6:$C$205,$C1412)&amp;""))</f>
        <v/>
      </c>
      <c r="G1412" s="114" t="str">
        <f aca="false">IF($E1412="","",IF($B1412="Tema",INDEX(Config!$C$6:$C$11,$D1412),"Evento avulso"))</f>
        <v/>
      </c>
      <c r="H1412" s="114" t="str">
        <f aca="false">IF($E1412="","",IF($B1412="Tema",INDEX(Config!$D$6:$D$11,$D1412),IFERROR(INDEX(Config!$E$15:$E$19,MATCH($I1412,Config!$C$15:$C$19,0)),"•")))</f>
        <v/>
      </c>
      <c r="I1412" s="114" t="str">
        <f aca="false">IF($E1412="","",IF($B1412="Tema",INDEX(Config!$E$6:$E$11,$D1412),IF(INDEX(Avulsos!$D$6:$D$205,$C1412)&amp;""="","Outro",INDEX(Avulsos!$D$6:$D$205,$C1412))))</f>
        <v/>
      </c>
      <c r="J1412" s="114" t="str">
        <f aca="false">IF($E1412="","",IF($B1412="Tema",INDEX(Temas!$C$6:$C$305,$C1412)&amp;"",INDEX(Avulsos!$E$6:$E$205,$C1412)&amp;""))</f>
        <v/>
      </c>
      <c r="K1412" s="114" t="str">
        <f aca="false">IF($E1412="","",IF(IF($B1412="Tema",INDEX(Temas!$E$6:$P$305,$C1412,2*$D1412),INDEX(Avulsos!$F$6:$F$205,$C1412))&amp;""="","","✓"))</f>
        <v/>
      </c>
      <c r="L1412" s="114" t="str">
        <f aca="true">IF($E1412="","",IF($K1412="✓","Concluído",IF($E1412&lt;TODAY(),"Atrasado",IF($E1412=TODAY(),"Hoje","Pendente"))))</f>
        <v/>
      </c>
      <c r="M1412" s="114" t="str">
        <f aca="false">IF($E1412="","",IF($K1412="✓","✓ ","")&amp;IF(Config!$E$22="Sim",$H1412&amp;" · ","")&amp;$F1412)</f>
        <v/>
      </c>
      <c r="N1412" s="114" t="str">
        <f aca="false">IF($E1412="","",IFERROR(INDEX(Config!$D$15:$D$19,MATCH($I1412,Config!$C$15:$C$19,0)),"OUT")&amp;IF($K1412="✓","x",""))</f>
        <v/>
      </c>
      <c r="O1412" s="114" t="str">
        <f aca="false">IF($E1412="","",COUNTIF($E$5:$E1412,$E1412))</f>
        <v/>
      </c>
      <c r="P1412" s="114" t="str">
        <f aca="false">IF($E1412="","",$E1412*100+$O1412)</f>
        <v/>
      </c>
      <c r="Q1412" s="114" t="str">
        <f aca="false">IF($L1412="Atrasado",$E1412*10000+$A1412,"")</f>
        <v/>
      </c>
    </row>
    <row r="1413" customFormat="false" ht="15" hidden="false" customHeight="false" outlineLevel="0" collapsed="false">
      <c r="A1413" s="114" t="n">
        <f aca="false">ROW()-4</f>
        <v>1409</v>
      </c>
      <c r="B1413" s="114" t="str">
        <f aca="false">IF(A1413&lt;=Config!$E$27*Config!$E$28,"Tema","Avulso")</f>
        <v>Tema</v>
      </c>
      <c r="C1413" s="114" t="n">
        <f aca="false">IF(B1413="Tema",INT((A1413-1)/Config!$E$28)+1,A1413-Config!$E$27*Config!$E$28)</f>
        <v>235</v>
      </c>
      <c r="D1413" s="114" t="n">
        <f aca="false">IF(B1413="Tema",MOD(A1413-1,Config!$E$28)+1,"")</f>
        <v>5</v>
      </c>
      <c r="E1413" s="115" t="str">
        <f aca="false">IF($B1413="Tema",IF(ISNUMBER(INDEX(Temas!$E$6:$P$305,$C1413,2*$D1413-1)),INDEX(Temas!$E$6:$P$305,$C1413,2*$D1413-1),""),IF(ISNUMBER(INDEX(Avulsos!$B$6:$B$205,$C1413)),INDEX(Avulsos!$B$6:$B$205,$C1413),""))</f>
        <v/>
      </c>
      <c r="F1413" s="114" t="str">
        <f aca="false">IF($E1413="","",IF($B1413="Tema",INDEX(Temas!$B$6:$B$305,$C1413)&amp;"",INDEX(Avulsos!$C$6:$C$205,$C1413)&amp;""))</f>
        <v/>
      </c>
      <c r="G1413" s="114" t="str">
        <f aca="false">IF($E1413="","",IF($B1413="Tema",INDEX(Config!$C$6:$C$11,$D1413),"Evento avulso"))</f>
        <v/>
      </c>
      <c r="H1413" s="114" t="str">
        <f aca="false">IF($E1413="","",IF($B1413="Tema",INDEX(Config!$D$6:$D$11,$D1413),IFERROR(INDEX(Config!$E$15:$E$19,MATCH($I1413,Config!$C$15:$C$19,0)),"•")))</f>
        <v/>
      </c>
      <c r="I1413" s="114" t="str">
        <f aca="false">IF($E1413="","",IF($B1413="Tema",INDEX(Config!$E$6:$E$11,$D1413),IF(INDEX(Avulsos!$D$6:$D$205,$C1413)&amp;""="","Outro",INDEX(Avulsos!$D$6:$D$205,$C1413))))</f>
        <v/>
      </c>
      <c r="J1413" s="114" t="str">
        <f aca="false">IF($E1413="","",IF($B1413="Tema",INDEX(Temas!$C$6:$C$305,$C1413)&amp;"",INDEX(Avulsos!$E$6:$E$205,$C1413)&amp;""))</f>
        <v/>
      </c>
      <c r="K1413" s="114" t="str">
        <f aca="false">IF($E1413="","",IF(IF($B1413="Tema",INDEX(Temas!$E$6:$P$305,$C1413,2*$D1413),INDEX(Avulsos!$F$6:$F$205,$C1413))&amp;""="","","✓"))</f>
        <v/>
      </c>
      <c r="L1413" s="114" t="str">
        <f aca="true">IF($E1413="","",IF($K1413="✓","Concluído",IF($E1413&lt;TODAY(),"Atrasado",IF($E1413=TODAY(),"Hoje","Pendente"))))</f>
        <v/>
      </c>
      <c r="M1413" s="114" t="str">
        <f aca="false">IF($E1413="","",IF($K1413="✓","✓ ","")&amp;IF(Config!$E$22="Sim",$H1413&amp;" · ","")&amp;$F1413)</f>
        <v/>
      </c>
      <c r="N1413" s="114" t="str">
        <f aca="false">IF($E1413="","",IFERROR(INDEX(Config!$D$15:$D$19,MATCH($I1413,Config!$C$15:$C$19,0)),"OUT")&amp;IF($K1413="✓","x",""))</f>
        <v/>
      </c>
      <c r="O1413" s="114" t="str">
        <f aca="false">IF($E1413="","",COUNTIF($E$5:$E1413,$E1413))</f>
        <v/>
      </c>
      <c r="P1413" s="114" t="str">
        <f aca="false">IF($E1413="","",$E1413*100+$O1413)</f>
        <v/>
      </c>
      <c r="Q1413" s="114" t="str">
        <f aca="false">IF($L1413="Atrasado",$E1413*10000+$A1413,"")</f>
        <v/>
      </c>
    </row>
    <row r="1414" customFormat="false" ht="15" hidden="false" customHeight="false" outlineLevel="0" collapsed="false">
      <c r="A1414" s="114" t="n">
        <f aca="false">ROW()-4</f>
        <v>1410</v>
      </c>
      <c r="B1414" s="114" t="str">
        <f aca="false">IF(A1414&lt;=Config!$E$27*Config!$E$28,"Tema","Avulso")</f>
        <v>Tema</v>
      </c>
      <c r="C1414" s="114" t="n">
        <f aca="false">IF(B1414="Tema",INT((A1414-1)/Config!$E$28)+1,A1414-Config!$E$27*Config!$E$28)</f>
        <v>235</v>
      </c>
      <c r="D1414" s="114" t="n">
        <f aca="false">IF(B1414="Tema",MOD(A1414-1,Config!$E$28)+1,"")</f>
        <v>6</v>
      </c>
      <c r="E1414" s="115" t="str">
        <f aca="false">IF($B1414="Tema",IF(ISNUMBER(INDEX(Temas!$E$6:$P$305,$C1414,2*$D1414-1)),INDEX(Temas!$E$6:$P$305,$C1414,2*$D1414-1),""),IF(ISNUMBER(INDEX(Avulsos!$B$6:$B$205,$C1414)),INDEX(Avulsos!$B$6:$B$205,$C1414),""))</f>
        <v/>
      </c>
      <c r="F1414" s="114" t="str">
        <f aca="false">IF($E1414="","",IF($B1414="Tema",INDEX(Temas!$B$6:$B$305,$C1414)&amp;"",INDEX(Avulsos!$C$6:$C$205,$C1414)&amp;""))</f>
        <v/>
      </c>
      <c r="G1414" s="114" t="str">
        <f aca="false">IF($E1414="","",IF($B1414="Tema",INDEX(Config!$C$6:$C$11,$D1414),"Evento avulso"))</f>
        <v/>
      </c>
      <c r="H1414" s="114" t="str">
        <f aca="false">IF($E1414="","",IF($B1414="Tema",INDEX(Config!$D$6:$D$11,$D1414),IFERROR(INDEX(Config!$E$15:$E$19,MATCH($I1414,Config!$C$15:$C$19,0)),"•")))</f>
        <v/>
      </c>
      <c r="I1414" s="114" t="str">
        <f aca="false">IF($E1414="","",IF($B1414="Tema",INDEX(Config!$E$6:$E$11,$D1414),IF(INDEX(Avulsos!$D$6:$D$205,$C1414)&amp;""="","Outro",INDEX(Avulsos!$D$6:$D$205,$C1414))))</f>
        <v/>
      </c>
      <c r="J1414" s="114" t="str">
        <f aca="false">IF($E1414="","",IF($B1414="Tema",INDEX(Temas!$C$6:$C$305,$C1414)&amp;"",INDEX(Avulsos!$E$6:$E$205,$C1414)&amp;""))</f>
        <v/>
      </c>
      <c r="K1414" s="114" t="str">
        <f aca="false">IF($E1414="","",IF(IF($B1414="Tema",INDEX(Temas!$E$6:$P$305,$C1414,2*$D1414),INDEX(Avulsos!$F$6:$F$205,$C1414))&amp;""="","","✓"))</f>
        <v/>
      </c>
      <c r="L1414" s="114" t="str">
        <f aca="true">IF($E1414="","",IF($K1414="✓","Concluído",IF($E1414&lt;TODAY(),"Atrasado",IF($E1414=TODAY(),"Hoje","Pendente"))))</f>
        <v/>
      </c>
      <c r="M1414" s="114" t="str">
        <f aca="false">IF($E1414="","",IF($K1414="✓","✓ ","")&amp;IF(Config!$E$22="Sim",$H1414&amp;" · ","")&amp;$F1414)</f>
        <v/>
      </c>
      <c r="N1414" s="114" t="str">
        <f aca="false">IF($E1414="","",IFERROR(INDEX(Config!$D$15:$D$19,MATCH($I1414,Config!$C$15:$C$19,0)),"OUT")&amp;IF($K1414="✓","x",""))</f>
        <v/>
      </c>
      <c r="O1414" s="114" t="str">
        <f aca="false">IF($E1414="","",COUNTIF($E$5:$E1414,$E1414))</f>
        <v/>
      </c>
      <c r="P1414" s="114" t="str">
        <f aca="false">IF($E1414="","",$E1414*100+$O1414)</f>
        <v/>
      </c>
      <c r="Q1414" s="114" t="str">
        <f aca="false">IF($L1414="Atrasado",$E1414*10000+$A1414,"")</f>
        <v/>
      </c>
    </row>
    <row r="1415" customFormat="false" ht="15" hidden="false" customHeight="false" outlineLevel="0" collapsed="false">
      <c r="A1415" s="114" t="n">
        <f aca="false">ROW()-4</f>
        <v>1411</v>
      </c>
      <c r="B1415" s="114" t="str">
        <f aca="false">IF(A1415&lt;=Config!$E$27*Config!$E$28,"Tema","Avulso")</f>
        <v>Tema</v>
      </c>
      <c r="C1415" s="114" t="n">
        <f aca="false">IF(B1415="Tema",INT((A1415-1)/Config!$E$28)+1,A1415-Config!$E$27*Config!$E$28)</f>
        <v>236</v>
      </c>
      <c r="D1415" s="114" t="n">
        <f aca="false">IF(B1415="Tema",MOD(A1415-1,Config!$E$28)+1,"")</f>
        <v>1</v>
      </c>
      <c r="E1415" s="115" t="str">
        <f aca="false">IF($B1415="Tema",IF(ISNUMBER(INDEX(Temas!$E$6:$P$305,$C1415,2*$D1415-1)),INDEX(Temas!$E$6:$P$305,$C1415,2*$D1415-1),""),IF(ISNUMBER(INDEX(Avulsos!$B$6:$B$205,$C1415)),INDEX(Avulsos!$B$6:$B$205,$C1415),""))</f>
        <v/>
      </c>
      <c r="F1415" s="114" t="str">
        <f aca="false">IF($E1415="","",IF($B1415="Tema",INDEX(Temas!$B$6:$B$305,$C1415)&amp;"",INDEX(Avulsos!$C$6:$C$205,$C1415)&amp;""))</f>
        <v/>
      </c>
      <c r="G1415" s="114" t="str">
        <f aca="false">IF($E1415="","",IF($B1415="Tema",INDEX(Config!$C$6:$C$11,$D1415),"Evento avulso"))</f>
        <v/>
      </c>
      <c r="H1415" s="114" t="str">
        <f aca="false">IF($E1415="","",IF($B1415="Tema",INDEX(Config!$D$6:$D$11,$D1415),IFERROR(INDEX(Config!$E$15:$E$19,MATCH($I1415,Config!$C$15:$C$19,0)),"•")))</f>
        <v/>
      </c>
      <c r="I1415" s="114" t="str">
        <f aca="false">IF($E1415="","",IF($B1415="Tema",INDEX(Config!$E$6:$E$11,$D1415),IF(INDEX(Avulsos!$D$6:$D$205,$C1415)&amp;""="","Outro",INDEX(Avulsos!$D$6:$D$205,$C1415))))</f>
        <v/>
      </c>
      <c r="J1415" s="114" t="str">
        <f aca="false">IF($E1415="","",IF($B1415="Tema",INDEX(Temas!$C$6:$C$305,$C1415)&amp;"",INDEX(Avulsos!$E$6:$E$205,$C1415)&amp;""))</f>
        <v/>
      </c>
      <c r="K1415" s="114" t="str">
        <f aca="false">IF($E1415="","",IF(IF($B1415="Tema",INDEX(Temas!$E$6:$P$305,$C1415,2*$D1415),INDEX(Avulsos!$F$6:$F$205,$C1415))&amp;""="","","✓"))</f>
        <v/>
      </c>
      <c r="L1415" s="114" t="str">
        <f aca="true">IF($E1415="","",IF($K1415="✓","Concluído",IF($E1415&lt;TODAY(),"Atrasado",IF($E1415=TODAY(),"Hoje","Pendente"))))</f>
        <v/>
      </c>
      <c r="M1415" s="114" t="str">
        <f aca="false">IF($E1415="","",IF($K1415="✓","✓ ","")&amp;IF(Config!$E$22="Sim",$H1415&amp;" · ","")&amp;$F1415)</f>
        <v/>
      </c>
      <c r="N1415" s="114" t="str">
        <f aca="false">IF($E1415="","",IFERROR(INDEX(Config!$D$15:$D$19,MATCH($I1415,Config!$C$15:$C$19,0)),"OUT")&amp;IF($K1415="✓","x",""))</f>
        <v/>
      </c>
      <c r="O1415" s="114" t="str">
        <f aca="false">IF($E1415="","",COUNTIF($E$5:$E1415,$E1415))</f>
        <v/>
      </c>
      <c r="P1415" s="114" t="str">
        <f aca="false">IF($E1415="","",$E1415*100+$O1415)</f>
        <v/>
      </c>
      <c r="Q1415" s="114" t="str">
        <f aca="false">IF($L1415="Atrasado",$E1415*10000+$A1415,"")</f>
        <v/>
      </c>
    </row>
    <row r="1416" customFormat="false" ht="15" hidden="false" customHeight="false" outlineLevel="0" collapsed="false">
      <c r="A1416" s="114" t="n">
        <f aca="false">ROW()-4</f>
        <v>1412</v>
      </c>
      <c r="B1416" s="114" t="str">
        <f aca="false">IF(A1416&lt;=Config!$E$27*Config!$E$28,"Tema","Avulso")</f>
        <v>Tema</v>
      </c>
      <c r="C1416" s="114" t="n">
        <f aca="false">IF(B1416="Tema",INT((A1416-1)/Config!$E$28)+1,A1416-Config!$E$27*Config!$E$28)</f>
        <v>236</v>
      </c>
      <c r="D1416" s="114" t="n">
        <f aca="false">IF(B1416="Tema",MOD(A1416-1,Config!$E$28)+1,"")</f>
        <v>2</v>
      </c>
      <c r="E1416" s="115" t="str">
        <f aca="false">IF($B1416="Tema",IF(ISNUMBER(INDEX(Temas!$E$6:$P$305,$C1416,2*$D1416-1)),INDEX(Temas!$E$6:$P$305,$C1416,2*$D1416-1),""),IF(ISNUMBER(INDEX(Avulsos!$B$6:$B$205,$C1416)),INDEX(Avulsos!$B$6:$B$205,$C1416),""))</f>
        <v/>
      </c>
      <c r="F1416" s="114" t="str">
        <f aca="false">IF($E1416="","",IF($B1416="Tema",INDEX(Temas!$B$6:$B$305,$C1416)&amp;"",INDEX(Avulsos!$C$6:$C$205,$C1416)&amp;""))</f>
        <v/>
      </c>
      <c r="G1416" s="114" t="str">
        <f aca="false">IF($E1416="","",IF($B1416="Tema",INDEX(Config!$C$6:$C$11,$D1416),"Evento avulso"))</f>
        <v/>
      </c>
      <c r="H1416" s="114" t="str">
        <f aca="false">IF($E1416="","",IF($B1416="Tema",INDEX(Config!$D$6:$D$11,$D1416),IFERROR(INDEX(Config!$E$15:$E$19,MATCH($I1416,Config!$C$15:$C$19,0)),"•")))</f>
        <v/>
      </c>
      <c r="I1416" s="114" t="str">
        <f aca="false">IF($E1416="","",IF($B1416="Tema",INDEX(Config!$E$6:$E$11,$D1416),IF(INDEX(Avulsos!$D$6:$D$205,$C1416)&amp;""="","Outro",INDEX(Avulsos!$D$6:$D$205,$C1416))))</f>
        <v/>
      </c>
      <c r="J1416" s="114" t="str">
        <f aca="false">IF($E1416="","",IF($B1416="Tema",INDEX(Temas!$C$6:$C$305,$C1416)&amp;"",INDEX(Avulsos!$E$6:$E$205,$C1416)&amp;""))</f>
        <v/>
      </c>
      <c r="K1416" s="114" t="str">
        <f aca="false">IF($E1416="","",IF(IF($B1416="Tema",INDEX(Temas!$E$6:$P$305,$C1416,2*$D1416),INDEX(Avulsos!$F$6:$F$205,$C1416))&amp;""="","","✓"))</f>
        <v/>
      </c>
      <c r="L1416" s="114" t="str">
        <f aca="true">IF($E1416="","",IF($K1416="✓","Concluído",IF($E1416&lt;TODAY(),"Atrasado",IF($E1416=TODAY(),"Hoje","Pendente"))))</f>
        <v/>
      </c>
      <c r="M1416" s="114" t="str">
        <f aca="false">IF($E1416="","",IF($K1416="✓","✓ ","")&amp;IF(Config!$E$22="Sim",$H1416&amp;" · ","")&amp;$F1416)</f>
        <v/>
      </c>
      <c r="N1416" s="114" t="str">
        <f aca="false">IF($E1416="","",IFERROR(INDEX(Config!$D$15:$D$19,MATCH($I1416,Config!$C$15:$C$19,0)),"OUT")&amp;IF($K1416="✓","x",""))</f>
        <v/>
      </c>
      <c r="O1416" s="114" t="str">
        <f aca="false">IF($E1416="","",COUNTIF($E$5:$E1416,$E1416))</f>
        <v/>
      </c>
      <c r="P1416" s="114" t="str">
        <f aca="false">IF($E1416="","",$E1416*100+$O1416)</f>
        <v/>
      </c>
      <c r="Q1416" s="114" t="str">
        <f aca="false">IF($L1416="Atrasado",$E1416*10000+$A1416,"")</f>
        <v/>
      </c>
    </row>
    <row r="1417" customFormat="false" ht="15" hidden="false" customHeight="false" outlineLevel="0" collapsed="false">
      <c r="A1417" s="114" t="n">
        <f aca="false">ROW()-4</f>
        <v>1413</v>
      </c>
      <c r="B1417" s="114" t="str">
        <f aca="false">IF(A1417&lt;=Config!$E$27*Config!$E$28,"Tema","Avulso")</f>
        <v>Tema</v>
      </c>
      <c r="C1417" s="114" t="n">
        <f aca="false">IF(B1417="Tema",INT((A1417-1)/Config!$E$28)+1,A1417-Config!$E$27*Config!$E$28)</f>
        <v>236</v>
      </c>
      <c r="D1417" s="114" t="n">
        <f aca="false">IF(B1417="Tema",MOD(A1417-1,Config!$E$28)+1,"")</f>
        <v>3</v>
      </c>
      <c r="E1417" s="115" t="str">
        <f aca="false">IF($B1417="Tema",IF(ISNUMBER(INDEX(Temas!$E$6:$P$305,$C1417,2*$D1417-1)),INDEX(Temas!$E$6:$P$305,$C1417,2*$D1417-1),""),IF(ISNUMBER(INDEX(Avulsos!$B$6:$B$205,$C1417)),INDEX(Avulsos!$B$6:$B$205,$C1417),""))</f>
        <v/>
      </c>
      <c r="F1417" s="114" t="str">
        <f aca="false">IF($E1417="","",IF($B1417="Tema",INDEX(Temas!$B$6:$B$305,$C1417)&amp;"",INDEX(Avulsos!$C$6:$C$205,$C1417)&amp;""))</f>
        <v/>
      </c>
      <c r="G1417" s="114" t="str">
        <f aca="false">IF($E1417="","",IF($B1417="Tema",INDEX(Config!$C$6:$C$11,$D1417),"Evento avulso"))</f>
        <v/>
      </c>
      <c r="H1417" s="114" t="str">
        <f aca="false">IF($E1417="","",IF($B1417="Tema",INDEX(Config!$D$6:$D$11,$D1417),IFERROR(INDEX(Config!$E$15:$E$19,MATCH($I1417,Config!$C$15:$C$19,0)),"•")))</f>
        <v/>
      </c>
      <c r="I1417" s="114" t="str">
        <f aca="false">IF($E1417="","",IF($B1417="Tema",INDEX(Config!$E$6:$E$11,$D1417),IF(INDEX(Avulsos!$D$6:$D$205,$C1417)&amp;""="","Outro",INDEX(Avulsos!$D$6:$D$205,$C1417))))</f>
        <v/>
      </c>
      <c r="J1417" s="114" t="str">
        <f aca="false">IF($E1417="","",IF($B1417="Tema",INDEX(Temas!$C$6:$C$305,$C1417)&amp;"",INDEX(Avulsos!$E$6:$E$205,$C1417)&amp;""))</f>
        <v/>
      </c>
      <c r="K1417" s="114" t="str">
        <f aca="false">IF($E1417="","",IF(IF($B1417="Tema",INDEX(Temas!$E$6:$P$305,$C1417,2*$D1417),INDEX(Avulsos!$F$6:$F$205,$C1417))&amp;""="","","✓"))</f>
        <v/>
      </c>
      <c r="L1417" s="114" t="str">
        <f aca="true">IF($E1417="","",IF($K1417="✓","Concluído",IF($E1417&lt;TODAY(),"Atrasado",IF($E1417=TODAY(),"Hoje","Pendente"))))</f>
        <v/>
      </c>
      <c r="M1417" s="114" t="str">
        <f aca="false">IF($E1417="","",IF($K1417="✓","✓ ","")&amp;IF(Config!$E$22="Sim",$H1417&amp;" · ","")&amp;$F1417)</f>
        <v/>
      </c>
      <c r="N1417" s="114" t="str">
        <f aca="false">IF($E1417="","",IFERROR(INDEX(Config!$D$15:$D$19,MATCH($I1417,Config!$C$15:$C$19,0)),"OUT")&amp;IF($K1417="✓","x",""))</f>
        <v/>
      </c>
      <c r="O1417" s="114" t="str">
        <f aca="false">IF($E1417="","",COUNTIF($E$5:$E1417,$E1417))</f>
        <v/>
      </c>
      <c r="P1417" s="114" t="str">
        <f aca="false">IF($E1417="","",$E1417*100+$O1417)</f>
        <v/>
      </c>
      <c r="Q1417" s="114" t="str">
        <f aca="false">IF($L1417="Atrasado",$E1417*10000+$A1417,"")</f>
        <v/>
      </c>
    </row>
    <row r="1418" customFormat="false" ht="15" hidden="false" customHeight="false" outlineLevel="0" collapsed="false">
      <c r="A1418" s="114" t="n">
        <f aca="false">ROW()-4</f>
        <v>1414</v>
      </c>
      <c r="B1418" s="114" t="str">
        <f aca="false">IF(A1418&lt;=Config!$E$27*Config!$E$28,"Tema","Avulso")</f>
        <v>Tema</v>
      </c>
      <c r="C1418" s="114" t="n">
        <f aca="false">IF(B1418="Tema",INT((A1418-1)/Config!$E$28)+1,A1418-Config!$E$27*Config!$E$28)</f>
        <v>236</v>
      </c>
      <c r="D1418" s="114" t="n">
        <f aca="false">IF(B1418="Tema",MOD(A1418-1,Config!$E$28)+1,"")</f>
        <v>4</v>
      </c>
      <c r="E1418" s="115" t="str">
        <f aca="false">IF($B1418="Tema",IF(ISNUMBER(INDEX(Temas!$E$6:$P$305,$C1418,2*$D1418-1)),INDEX(Temas!$E$6:$P$305,$C1418,2*$D1418-1),""),IF(ISNUMBER(INDEX(Avulsos!$B$6:$B$205,$C1418)),INDEX(Avulsos!$B$6:$B$205,$C1418),""))</f>
        <v/>
      </c>
      <c r="F1418" s="114" t="str">
        <f aca="false">IF($E1418="","",IF($B1418="Tema",INDEX(Temas!$B$6:$B$305,$C1418)&amp;"",INDEX(Avulsos!$C$6:$C$205,$C1418)&amp;""))</f>
        <v/>
      </c>
      <c r="G1418" s="114" t="str">
        <f aca="false">IF($E1418="","",IF($B1418="Tema",INDEX(Config!$C$6:$C$11,$D1418),"Evento avulso"))</f>
        <v/>
      </c>
      <c r="H1418" s="114" t="str">
        <f aca="false">IF($E1418="","",IF($B1418="Tema",INDEX(Config!$D$6:$D$11,$D1418),IFERROR(INDEX(Config!$E$15:$E$19,MATCH($I1418,Config!$C$15:$C$19,0)),"•")))</f>
        <v/>
      </c>
      <c r="I1418" s="114" t="str">
        <f aca="false">IF($E1418="","",IF($B1418="Tema",INDEX(Config!$E$6:$E$11,$D1418),IF(INDEX(Avulsos!$D$6:$D$205,$C1418)&amp;""="","Outro",INDEX(Avulsos!$D$6:$D$205,$C1418))))</f>
        <v/>
      </c>
      <c r="J1418" s="114" t="str">
        <f aca="false">IF($E1418="","",IF($B1418="Tema",INDEX(Temas!$C$6:$C$305,$C1418)&amp;"",INDEX(Avulsos!$E$6:$E$205,$C1418)&amp;""))</f>
        <v/>
      </c>
      <c r="K1418" s="114" t="str">
        <f aca="false">IF($E1418="","",IF(IF($B1418="Tema",INDEX(Temas!$E$6:$P$305,$C1418,2*$D1418),INDEX(Avulsos!$F$6:$F$205,$C1418))&amp;""="","","✓"))</f>
        <v/>
      </c>
      <c r="L1418" s="114" t="str">
        <f aca="true">IF($E1418="","",IF($K1418="✓","Concluído",IF($E1418&lt;TODAY(),"Atrasado",IF($E1418=TODAY(),"Hoje","Pendente"))))</f>
        <v/>
      </c>
      <c r="M1418" s="114" t="str">
        <f aca="false">IF($E1418="","",IF($K1418="✓","✓ ","")&amp;IF(Config!$E$22="Sim",$H1418&amp;" · ","")&amp;$F1418)</f>
        <v/>
      </c>
      <c r="N1418" s="114" t="str">
        <f aca="false">IF($E1418="","",IFERROR(INDEX(Config!$D$15:$D$19,MATCH($I1418,Config!$C$15:$C$19,0)),"OUT")&amp;IF($K1418="✓","x",""))</f>
        <v/>
      </c>
      <c r="O1418" s="114" t="str">
        <f aca="false">IF($E1418="","",COUNTIF($E$5:$E1418,$E1418))</f>
        <v/>
      </c>
      <c r="P1418" s="114" t="str">
        <f aca="false">IF($E1418="","",$E1418*100+$O1418)</f>
        <v/>
      </c>
      <c r="Q1418" s="114" t="str">
        <f aca="false">IF($L1418="Atrasado",$E1418*10000+$A1418,"")</f>
        <v/>
      </c>
    </row>
    <row r="1419" customFormat="false" ht="15" hidden="false" customHeight="false" outlineLevel="0" collapsed="false">
      <c r="A1419" s="114" t="n">
        <f aca="false">ROW()-4</f>
        <v>1415</v>
      </c>
      <c r="B1419" s="114" t="str">
        <f aca="false">IF(A1419&lt;=Config!$E$27*Config!$E$28,"Tema","Avulso")</f>
        <v>Tema</v>
      </c>
      <c r="C1419" s="114" t="n">
        <f aca="false">IF(B1419="Tema",INT((A1419-1)/Config!$E$28)+1,A1419-Config!$E$27*Config!$E$28)</f>
        <v>236</v>
      </c>
      <c r="D1419" s="114" t="n">
        <f aca="false">IF(B1419="Tema",MOD(A1419-1,Config!$E$28)+1,"")</f>
        <v>5</v>
      </c>
      <c r="E1419" s="115" t="str">
        <f aca="false">IF($B1419="Tema",IF(ISNUMBER(INDEX(Temas!$E$6:$P$305,$C1419,2*$D1419-1)),INDEX(Temas!$E$6:$P$305,$C1419,2*$D1419-1),""),IF(ISNUMBER(INDEX(Avulsos!$B$6:$B$205,$C1419)),INDEX(Avulsos!$B$6:$B$205,$C1419),""))</f>
        <v/>
      </c>
      <c r="F1419" s="114" t="str">
        <f aca="false">IF($E1419="","",IF($B1419="Tema",INDEX(Temas!$B$6:$B$305,$C1419)&amp;"",INDEX(Avulsos!$C$6:$C$205,$C1419)&amp;""))</f>
        <v/>
      </c>
      <c r="G1419" s="114" t="str">
        <f aca="false">IF($E1419="","",IF($B1419="Tema",INDEX(Config!$C$6:$C$11,$D1419),"Evento avulso"))</f>
        <v/>
      </c>
      <c r="H1419" s="114" t="str">
        <f aca="false">IF($E1419="","",IF($B1419="Tema",INDEX(Config!$D$6:$D$11,$D1419),IFERROR(INDEX(Config!$E$15:$E$19,MATCH($I1419,Config!$C$15:$C$19,0)),"•")))</f>
        <v/>
      </c>
      <c r="I1419" s="114" t="str">
        <f aca="false">IF($E1419="","",IF($B1419="Tema",INDEX(Config!$E$6:$E$11,$D1419),IF(INDEX(Avulsos!$D$6:$D$205,$C1419)&amp;""="","Outro",INDEX(Avulsos!$D$6:$D$205,$C1419))))</f>
        <v/>
      </c>
      <c r="J1419" s="114" t="str">
        <f aca="false">IF($E1419="","",IF($B1419="Tema",INDEX(Temas!$C$6:$C$305,$C1419)&amp;"",INDEX(Avulsos!$E$6:$E$205,$C1419)&amp;""))</f>
        <v/>
      </c>
      <c r="K1419" s="114" t="str">
        <f aca="false">IF($E1419="","",IF(IF($B1419="Tema",INDEX(Temas!$E$6:$P$305,$C1419,2*$D1419),INDEX(Avulsos!$F$6:$F$205,$C1419))&amp;""="","","✓"))</f>
        <v/>
      </c>
      <c r="L1419" s="114" t="str">
        <f aca="true">IF($E1419="","",IF($K1419="✓","Concluído",IF($E1419&lt;TODAY(),"Atrasado",IF($E1419=TODAY(),"Hoje","Pendente"))))</f>
        <v/>
      </c>
      <c r="M1419" s="114" t="str">
        <f aca="false">IF($E1419="","",IF($K1419="✓","✓ ","")&amp;IF(Config!$E$22="Sim",$H1419&amp;" · ","")&amp;$F1419)</f>
        <v/>
      </c>
      <c r="N1419" s="114" t="str">
        <f aca="false">IF($E1419="","",IFERROR(INDEX(Config!$D$15:$D$19,MATCH($I1419,Config!$C$15:$C$19,0)),"OUT")&amp;IF($K1419="✓","x",""))</f>
        <v/>
      </c>
      <c r="O1419" s="114" t="str">
        <f aca="false">IF($E1419="","",COUNTIF($E$5:$E1419,$E1419))</f>
        <v/>
      </c>
      <c r="P1419" s="114" t="str">
        <f aca="false">IF($E1419="","",$E1419*100+$O1419)</f>
        <v/>
      </c>
      <c r="Q1419" s="114" t="str">
        <f aca="false">IF($L1419="Atrasado",$E1419*10000+$A1419,"")</f>
        <v/>
      </c>
    </row>
    <row r="1420" customFormat="false" ht="15" hidden="false" customHeight="false" outlineLevel="0" collapsed="false">
      <c r="A1420" s="114" t="n">
        <f aca="false">ROW()-4</f>
        <v>1416</v>
      </c>
      <c r="B1420" s="114" t="str">
        <f aca="false">IF(A1420&lt;=Config!$E$27*Config!$E$28,"Tema","Avulso")</f>
        <v>Tema</v>
      </c>
      <c r="C1420" s="114" t="n">
        <f aca="false">IF(B1420="Tema",INT((A1420-1)/Config!$E$28)+1,A1420-Config!$E$27*Config!$E$28)</f>
        <v>236</v>
      </c>
      <c r="D1420" s="114" t="n">
        <f aca="false">IF(B1420="Tema",MOD(A1420-1,Config!$E$28)+1,"")</f>
        <v>6</v>
      </c>
      <c r="E1420" s="115" t="str">
        <f aca="false">IF($B1420="Tema",IF(ISNUMBER(INDEX(Temas!$E$6:$P$305,$C1420,2*$D1420-1)),INDEX(Temas!$E$6:$P$305,$C1420,2*$D1420-1),""),IF(ISNUMBER(INDEX(Avulsos!$B$6:$B$205,$C1420)),INDEX(Avulsos!$B$6:$B$205,$C1420),""))</f>
        <v/>
      </c>
      <c r="F1420" s="114" t="str">
        <f aca="false">IF($E1420="","",IF($B1420="Tema",INDEX(Temas!$B$6:$B$305,$C1420)&amp;"",INDEX(Avulsos!$C$6:$C$205,$C1420)&amp;""))</f>
        <v/>
      </c>
      <c r="G1420" s="114" t="str">
        <f aca="false">IF($E1420="","",IF($B1420="Tema",INDEX(Config!$C$6:$C$11,$D1420),"Evento avulso"))</f>
        <v/>
      </c>
      <c r="H1420" s="114" t="str">
        <f aca="false">IF($E1420="","",IF($B1420="Tema",INDEX(Config!$D$6:$D$11,$D1420),IFERROR(INDEX(Config!$E$15:$E$19,MATCH($I1420,Config!$C$15:$C$19,0)),"•")))</f>
        <v/>
      </c>
      <c r="I1420" s="114" t="str">
        <f aca="false">IF($E1420="","",IF($B1420="Tema",INDEX(Config!$E$6:$E$11,$D1420),IF(INDEX(Avulsos!$D$6:$D$205,$C1420)&amp;""="","Outro",INDEX(Avulsos!$D$6:$D$205,$C1420))))</f>
        <v/>
      </c>
      <c r="J1420" s="114" t="str">
        <f aca="false">IF($E1420="","",IF($B1420="Tema",INDEX(Temas!$C$6:$C$305,$C1420)&amp;"",INDEX(Avulsos!$E$6:$E$205,$C1420)&amp;""))</f>
        <v/>
      </c>
      <c r="K1420" s="114" t="str">
        <f aca="false">IF($E1420="","",IF(IF($B1420="Tema",INDEX(Temas!$E$6:$P$305,$C1420,2*$D1420),INDEX(Avulsos!$F$6:$F$205,$C1420))&amp;""="","","✓"))</f>
        <v/>
      </c>
      <c r="L1420" s="114" t="str">
        <f aca="true">IF($E1420="","",IF($K1420="✓","Concluído",IF($E1420&lt;TODAY(),"Atrasado",IF($E1420=TODAY(),"Hoje","Pendente"))))</f>
        <v/>
      </c>
      <c r="M1420" s="114" t="str">
        <f aca="false">IF($E1420="","",IF($K1420="✓","✓ ","")&amp;IF(Config!$E$22="Sim",$H1420&amp;" · ","")&amp;$F1420)</f>
        <v/>
      </c>
      <c r="N1420" s="114" t="str">
        <f aca="false">IF($E1420="","",IFERROR(INDEX(Config!$D$15:$D$19,MATCH($I1420,Config!$C$15:$C$19,0)),"OUT")&amp;IF($K1420="✓","x",""))</f>
        <v/>
      </c>
      <c r="O1420" s="114" t="str">
        <f aca="false">IF($E1420="","",COUNTIF($E$5:$E1420,$E1420))</f>
        <v/>
      </c>
      <c r="P1420" s="114" t="str">
        <f aca="false">IF($E1420="","",$E1420*100+$O1420)</f>
        <v/>
      </c>
      <c r="Q1420" s="114" t="str">
        <f aca="false">IF($L1420="Atrasado",$E1420*10000+$A1420,"")</f>
        <v/>
      </c>
    </row>
    <row r="1421" customFormat="false" ht="15" hidden="false" customHeight="false" outlineLevel="0" collapsed="false">
      <c r="A1421" s="114" t="n">
        <f aca="false">ROW()-4</f>
        <v>1417</v>
      </c>
      <c r="B1421" s="114" t="str">
        <f aca="false">IF(A1421&lt;=Config!$E$27*Config!$E$28,"Tema","Avulso")</f>
        <v>Tema</v>
      </c>
      <c r="C1421" s="114" t="n">
        <f aca="false">IF(B1421="Tema",INT((A1421-1)/Config!$E$28)+1,A1421-Config!$E$27*Config!$E$28)</f>
        <v>237</v>
      </c>
      <c r="D1421" s="114" t="n">
        <f aca="false">IF(B1421="Tema",MOD(A1421-1,Config!$E$28)+1,"")</f>
        <v>1</v>
      </c>
      <c r="E1421" s="115" t="str">
        <f aca="false">IF($B1421="Tema",IF(ISNUMBER(INDEX(Temas!$E$6:$P$305,$C1421,2*$D1421-1)),INDEX(Temas!$E$6:$P$305,$C1421,2*$D1421-1),""),IF(ISNUMBER(INDEX(Avulsos!$B$6:$B$205,$C1421)),INDEX(Avulsos!$B$6:$B$205,$C1421),""))</f>
        <v/>
      </c>
      <c r="F1421" s="114" t="str">
        <f aca="false">IF($E1421="","",IF($B1421="Tema",INDEX(Temas!$B$6:$B$305,$C1421)&amp;"",INDEX(Avulsos!$C$6:$C$205,$C1421)&amp;""))</f>
        <v/>
      </c>
      <c r="G1421" s="114" t="str">
        <f aca="false">IF($E1421="","",IF($B1421="Tema",INDEX(Config!$C$6:$C$11,$D1421),"Evento avulso"))</f>
        <v/>
      </c>
      <c r="H1421" s="114" t="str">
        <f aca="false">IF($E1421="","",IF($B1421="Tema",INDEX(Config!$D$6:$D$11,$D1421),IFERROR(INDEX(Config!$E$15:$E$19,MATCH($I1421,Config!$C$15:$C$19,0)),"•")))</f>
        <v/>
      </c>
      <c r="I1421" s="114" t="str">
        <f aca="false">IF($E1421="","",IF($B1421="Tema",INDEX(Config!$E$6:$E$11,$D1421),IF(INDEX(Avulsos!$D$6:$D$205,$C1421)&amp;""="","Outro",INDEX(Avulsos!$D$6:$D$205,$C1421))))</f>
        <v/>
      </c>
      <c r="J1421" s="114" t="str">
        <f aca="false">IF($E1421="","",IF($B1421="Tema",INDEX(Temas!$C$6:$C$305,$C1421)&amp;"",INDEX(Avulsos!$E$6:$E$205,$C1421)&amp;""))</f>
        <v/>
      </c>
      <c r="K1421" s="114" t="str">
        <f aca="false">IF($E1421="","",IF(IF($B1421="Tema",INDEX(Temas!$E$6:$P$305,$C1421,2*$D1421),INDEX(Avulsos!$F$6:$F$205,$C1421))&amp;""="","","✓"))</f>
        <v/>
      </c>
      <c r="L1421" s="114" t="str">
        <f aca="true">IF($E1421="","",IF($K1421="✓","Concluído",IF($E1421&lt;TODAY(),"Atrasado",IF($E1421=TODAY(),"Hoje","Pendente"))))</f>
        <v/>
      </c>
      <c r="M1421" s="114" t="str">
        <f aca="false">IF($E1421="","",IF($K1421="✓","✓ ","")&amp;IF(Config!$E$22="Sim",$H1421&amp;" · ","")&amp;$F1421)</f>
        <v/>
      </c>
      <c r="N1421" s="114" t="str">
        <f aca="false">IF($E1421="","",IFERROR(INDEX(Config!$D$15:$D$19,MATCH($I1421,Config!$C$15:$C$19,0)),"OUT")&amp;IF($K1421="✓","x",""))</f>
        <v/>
      </c>
      <c r="O1421" s="114" t="str">
        <f aca="false">IF($E1421="","",COUNTIF($E$5:$E1421,$E1421))</f>
        <v/>
      </c>
      <c r="P1421" s="114" t="str">
        <f aca="false">IF($E1421="","",$E1421*100+$O1421)</f>
        <v/>
      </c>
      <c r="Q1421" s="114" t="str">
        <f aca="false">IF($L1421="Atrasado",$E1421*10000+$A1421,"")</f>
        <v/>
      </c>
    </row>
    <row r="1422" customFormat="false" ht="15" hidden="false" customHeight="false" outlineLevel="0" collapsed="false">
      <c r="A1422" s="114" t="n">
        <f aca="false">ROW()-4</f>
        <v>1418</v>
      </c>
      <c r="B1422" s="114" t="str">
        <f aca="false">IF(A1422&lt;=Config!$E$27*Config!$E$28,"Tema","Avulso")</f>
        <v>Tema</v>
      </c>
      <c r="C1422" s="114" t="n">
        <f aca="false">IF(B1422="Tema",INT((A1422-1)/Config!$E$28)+1,A1422-Config!$E$27*Config!$E$28)</f>
        <v>237</v>
      </c>
      <c r="D1422" s="114" t="n">
        <f aca="false">IF(B1422="Tema",MOD(A1422-1,Config!$E$28)+1,"")</f>
        <v>2</v>
      </c>
      <c r="E1422" s="115" t="str">
        <f aca="false">IF($B1422="Tema",IF(ISNUMBER(INDEX(Temas!$E$6:$P$305,$C1422,2*$D1422-1)),INDEX(Temas!$E$6:$P$305,$C1422,2*$D1422-1),""),IF(ISNUMBER(INDEX(Avulsos!$B$6:$B$205,$C1422)),INDEX(Avulsos!$B$6:$B$205,$C1422),""))</f>
        <v/>
      </c>
      <c r="F1422" s="114" t="str">
        <f aca="false">IF($E1422="","",IF($B1422="Tema",INDEX(Temas!$B$6:$B$305,$C1422)&amp;"",INDEX(Avulsos!$C$6:$C$205,$C1422)&amp;""))</f>
        <v/>
      </c>
      <c r="G1422" s="114" t="str">
        <f aca="false">IF($E1422="","",IF($B1422="Tema",INDEX(Config!$C$6:$C$11,$D1422),"Evento avulso"))</f>
        <v/>
      </c>
      <c r="H1422" s="114" t="str">
        <f aca="false">IF($E1422="","",IF($B1422="Tema",INDEX(Config!$D$6:$D$11,$D1422),IFERROR(INDEX(Config!$E$15:$E$19,MATCH($I1422,Config!$C$15:$C$19,0)),"•")))</f>
        <v/>
      </c>
      <c r="I1422" s="114" t="str">
        <f aca="false">IF($E1422="","",IF($B1422="Tema",INDEX(Config!$E$6:$E$11,$D1422),IF(INDEX(Avulsos!$D$6:$D$205,$C1422)&amp;""="","Outro",INDEX(Avulsos!$D$6:$D$205,$C1422))))</f>
        <v/>
      </c>
      <c r="J1422" s="114" t="str">
        <f aca="false">IF($E1422="","",IF($B1422="Tema",INDEX(Temas!$C$6:$C$305,$C1422)&amp;"",INDEX(Avulsos!$E$6:$E$205,$C1422)&amp;""))</f>
        <v/>
      </c>
      <c r="K1422" s="114" t="str">
        <f aca="false">IF($E1422="","",IF(IF($B1422="Tema",INDEX(Temas!$E$6:$P$305,$C1422,2*$D1422),INDEX(Avulsos!$F$6:$F$205,$C1422))&amp;""="","","✓"))</f>
        <v/>
      </c>
      <c r="L1422" s="114" t="str">
        <f aca="true">IF($E1422="","",IF($K1422="✓","Concluído",IF($E1422&lt;TODAY(),"Atrasado",IF($E1422=TODAY(),"Hoje","Pendente"))))</f>
        <v/>
      </c>
      <c r="M1422" s="114" t="str">
        <f aca="false">IF($E1422="","",IF($K1422="✓","✓ ","")&amp;IF(Config!$E$22="Sim",$H1422&amp;" · ","")&amp;$F1422)</f>
        <v/>
      </c>
      <c r="N1422" s="114" t="str">
        <f aca="false">IF($E1422="","",IFERROR(INDEX(Config!$D$15:$D$19,MATCH($I1422,Config!$C$15:$C$19,0)),"OUT")&amp;IF($K1422="✓","x",""))</f>
        <v/>
      </c>
      <c r="O1422" s="114" t="str">
        <f aca="false">IF($E1422="","",COUNTIF($E$5:$E1422,$E1422))</f>
        <v/>
      </c>
      <c r="P1422" s="114" t="str">
        <f aca="false">IF($E1422="","",$E1422*100+$O1422)</f>
        <v/>
      </c>
      <c r="Q1422" s="114" t="str">
        <f aca="false">IF($L1422="Atrasado",$E1422*10000+$A1422,"")</f>
        <v/>
      </c>
    </row>
    <row r="1423" customFormat="false" ht="15" hidden="false" customHeight="false" outlineLevel="0" collapsed="false">
      <c r="A1423" s="114" t="n">
        <f aca="false">ROW()-4</f>
        <v>1419</v>
      </c>
      <c r="B1423" s="114" t="str">
        <f aca="false">IF(A1423&lt;=Config!$E$27*Config!$E$28,"Tema","Avulso")</f>
        <v>Tema</v>
      </c>
      <c r="C1423" s="114" t="n">
        <f aca="false">IF(B1423="Tema",INT((A1423-1)/Config!$E$28)+1,A1423-Config!$E$27*Config!$E$28)</f>
        <v>237</v>
      </c>
      <c r="D1423" s="114" t="n">
        <f aca="false">IF(B1423="Tema",MOD(A1423-1,Config!$E$28)+1,"")</f>
        <v>3</v>
      </c>
      <c r="E1423" s="115" t="str">
        <f aca="false">IF($B1423="Tema",IF(ISNUMBER(INDEX(Temas!$E$6:$P$305,$C1423,2*$D1423-1)),INDEX(Temas!$E$6:$P$305,$C1423,2*$D1423-1),""),IF(ISNUMBER(INDEX(Avulsos!$B$6:$B$205,$C1423)),INDEX(Avulsos!$B$6:$B$205,$C1423),""))</f>
        <v/>
      </c>
      <c r="F1423" s="114" t="str">
        <f aca="false">IF($E1423="","",IF($B1423="Tema",INDEX(Temas!$B$6:$B$305,$C1423)&amp;"",INDEX(Avulsos!$C$6:$C$205,$C1423)&amp;""))</f>
        <v/>
      </c>
      <c r="G1423" s="114" t="str">
        <f aca="false">IF($E1423="","",IF($B1423="Tema",INDEX(Config!$C$6:$C$11,$D1423),"Evento avulso"))</f>
        <v/>
      </c>
      <c r="H1423" s="114" t="str">
        <f aca="false">IF($E1423="","",IF($B1423="Tema",INDEX(Config!$D$6:$D$11,$D1423),IFERROR(INDEX(Config!$E$15:$E$19,MATCH($I1423,Config!$C$15:$C$19,0)),"•")))</f>
        <v/>
      </c>
      <c r="I1423" s="114" t="str">
        <f aca="false">IF($E1423="","",IF($B1423="Tema",INDEX(Config!$E$6:$E$11,$D1423),IF(INDEX(Avulsos!$D$6:$D$205,$C1423)&amp;""="","Outro",INDEX(Avulsos!$D$6:$D$205,$C1423))))</f>
        <v/>
      </c>
      <c r="J1423" s="114" t="str">
        <f aca="false">IF($E1423="","",IF($B1423="Tema",INDEX(Temas!$C$6:$C$305,$C1423)&amp;"",INDEX(Avulsos!$E$6:$E$205,$C1423)&amp;""))</f>
        <v/>
      </c>
      <c r="K1423" s="114" t="str">
        <f aca="false">IF($E1423="","",IF(IF($B1423="Tema",INDEX(Temas!$E$6:$P$305,$C1423,2*$D1423),INDEX(Avulsos!$F$6:$F$205,$C1423))&amp;""="","","✓"))</f>
        <v/>
      </c>
      <c r="L1423" s="114" t="str">
        <f aca="true">IF($E1423="","",IF($K1423="✓","Concluído",IF($E1423&lt;TODAY(),"Atrasado",IF($E1423=TODAY(),"Hoje","Pendente"))))</f>
        <v/>
      </c>
      <c r="M1423" s="114" t="str">
        <f aca="false">IF($E1423="","",IF($K1423="✓","✓ ","")&amp;IF(Config!$E$22="Sim",$H1423&amp;" · ","")&amp;$F1423)</f>
        <v/>
      </c>
      <c r="N1423" s="114" t="str">
        <f aca="false">IF($E1423="","",IFERROR(INDEX(Config!$D$15:$D$19,MATCH($I1423,Config!$C$15:$C$19,0)),"OUT")&amp;IF($K1423="✓","x",""))</f>
        <v/>
      </c>
      <c r="O1423" s="114" t="str">
        <f aca="false">IF($E1423="","",COUNTIF($E$5:$E1423,$E1423))</f>
        <v/>
      </c>
      <c r="P1423" s="114" t="str">
        <f aca="false">IF($E1423="","",$E1423*100+$O1423)</f>
        <v/>
      </c>
      <c r="Q1423" s="114" t="str">
        <f aca="false">IF($L1423="Atrasado",$E1423*10000+$A1423,"")</f>
        <v/>
      </c>
    </row>
    <row r="1424" customFormat="false" ht="15" hidden="false" customHeight="false" outlineLevel="0" collapsed="false">
      <c r="A1424" s="114" t="n">
        <f aca="false">ROW()-4</f>
        <v>1420</v>
      </c>
      <c r="B1424" s="114" t="str">
        <f aca="false">IF(A1424&lt;=Config!$E$27*Config!$E$28,"Tema","Avulso")</f>
        <v>Tema</v>
      </c>
      <c r="C1424" s="114" t="n">
        <f aca="false">IF(B1424="Tema",INT((A1424-1)/Config!$E$28)+1,A1424-Config!$E$27*Config!$E$28)</f>
        <v>237</v>
      </c>
      <c r="D1424" s="114" t="n">
        <f aca="false">IF(B1424="Tema",MOD(A1424-1,Config!$E$28)+1,"")</f>
        <v>4</v>
      </c>
      <c r="E1424" s="115" t="str">
        <f aca="false">IF($B1424="Tema",IF(ISNUMBER(INDEX(Temas!$E$6:$P$305,$C1424,2*$D1424-1)),INDEX(Temas!$E$6:$P$305,$C1424,2*$D1424-1),""),IF(ISNUMBER(INDEX(Avulsos!$B$6:$B$205,$C1424)),INDEX(Avulsos!$B$6:$B$205,$C1424),""))</f>
        <v/>
      </c>
      <c r="F1424" s="114" t="str">
        <f aca="false">IF($E1424="","",IF($B1424="Tema",INDEX(Temas!$B$6:$B$305,$C1424)&amp;"",INDEX(Avulsos!$C$6:$C$205,$C1424)&amp;""))</f>
        <v/>
      </c>
      <c r="G1424" s="114" t="str">
        <f aca="false">IF($E1424="","",IF($B1424="Tema",INDEX(Config!$C$6:$C$11,$D1424),"Evento avulso"))</f>
        <v/>
      </c>
      <c r="H1424" s="114" t="str">
        <f aca="false">IF($E1424="","",IF($B1424="Tema",INDEX(Config!$D$6:$D$11,$D1424),IFERROR(INDEX(Config!$E$15:$E$19,MATCH($I1424,Config!$C$15:$C$19,0)),"•")))</f>
        <v/>
      </c>
      <c r="I1424" s="114" t="str">
        <f aca="false">IF($E1424="","",IF($B1424="Tema",INDEX(Config!$E$6:$E$11,$D1424),IF(INDEX(Avulsos!$D$6:$D$205,$C1424)&amp;""="","Outro",INDEX(Avulsos!$D$6:$D$205,$C1424))))</f>
        <v/>
      </c>
      <c r="J1424" s="114" t="str">
        <f aca="false">IF($E1424="","",IF($B1424="Tema",INDEX(Temas!$C$6:$C$305,$C1424)&amp;"",INDEX(Avulsos!$E$6:$E$205,$C1424)&amp;""))</f>
        <v/>
      </c>
      <c r="K1424" s="114" t="str">
        <f aca="false">IF($E1424="","",IF(IF($B1424="Tema",INDEX(Temas!$E$6:$P$305,$C1424,2*$D1424),INDEX(Avulsos!$F$6:$F$205,$C1424))&amp;""="","","✓"))</f>
        <v/>
      </c>
      <c r="L1424" s="114" t="str">
        <f aca="true">IF($E1424="","",IF($K1424="✓","Concluído",IF($E1424&lt;TODAY(),"Atrasado",IF($E1424=TODAY(),"Hoje","Pendente"))))</f>
        <v/>
      </c>
      <c r="M1424" s="114" t="str">
        <f aca="false">IF($E1424="","",IF($K1424="✓","✓ ","")&amp;IF(Config!$E$22="Sim",$H1424&amp;" · ","")&amp;$F1424)</f>
        <v/>
      </c>
      <c r="N1424" s="114" t="str">
        <f aca="false">IF($E1424="","",IFERROR(INDEX(Config!$D$15:$D$19,MATCH($I1424,Config!$C$15:$C$19,0)),"OUT")&amp;IF($K1424="✓","x",""))</f>
        <v/>
      </c>
      <c r="O1424" s="114" t="str">
        <f aca="false">IF($E1424="","",COUNTIF($E$5:$E1424,$E1424))</f>
        <v/>
      </c>
      <c r="P1424" s="114" t="str">
        <f aca="false">IF($E1424="","",$E1424*100+$O1424)</f>
        <v/>
      </c>
      <c r="Q1424" s="114" t="str">
        <f aca="false">IF($L1424="Atrasado",$E1424*10000+$A1424,"")</f>
        <v/>
      </c>
    </row>
    <row r="1425" customFormat="false" ht="15" hidden="false" customHeight="false" outlineLevel="0" collapsed="false">
      <c r="A1425" s="114" t="n">
        <f aca="false">ROW()-4</f>
        <v>1421</v>
      </c>
      <c r="B1425" s="114" t="str">
        <f aca="false">IF(A1425&lt;=Config!$E$27*Config!$E$28,"Tema","Avulso")</f>
        <v>Tema</v>
      </c>
      <c r="C1425" s="114" t="n">
        <f aca="false">IF(B1425="Tema",INT((A1425-1)/Config!$E$28)+1,A1425-Config!$E$27*Config!$E$28)</f>
        <v>237</v>
      </c>
      <c r="D1425" s="114" t="n">
        <f aca="false">IF(B1425="Tema",MOD(A1425-1,Config!$E$28)+1,"")</f>
        <v>5</v>
      </c>
      <c r="E1425" s="115" t="str">
        <f aca="false">IF($B1425="Tema",IF(ISNUMBER(INDEX(Temas!$E$6:$P$305,$C1425,2*$D1425-1)),INDEX(Temas!$E$6:$P$305,$C1425,2*$D1425-1),""),IF(ISNUMBER(INDEX(Avulsos!$B$6:$B$205,$C1425)),INDEX(Avulsos!$B$6:$B$205,$C1425),""))</f>
        <v/>
      </c>
      <c r="F1425" s="114" t="str">
        <f aca="false">IF($E1425="","",IF($B1425="Tema",INDEX(Temas!$B$6:$B$305,$C1425)&amp;"",INDEX(Avulsos!$C$6:$C$205,$C1425)&amp;""))</f>
        <v/>
      </c>
      <c r="G1425" s="114" t="str">
        <f aca="false">IF($E1425="","",IF($B1425="Tema",INDEX(Config!$C$6:$C$11,$D1425),"Evento avulso"))</f>
        <v/>
      </c>
      <c r="H1425" s="114" t="str">
        <f aca="false">IF($E1425="","",IF($B1425="Tema",INDEX(Config!$D$6:$D$11,$D1425),IFERROR(INDEX(Config!$E$15:$E$19,MATCH($I1425,Config!$C$15:$C$19,0)),"•")))</f>
        <v/>
      </c>
      <c r="I1425" s="114" t="str">
        <f aca="false">IF($E1425="","",IF($B1425="Tema",INDEX(Config!$E$6:$E$11,$D1425),IF(INDEX(Avulsos!$D$6:$D$205,$C1425)&amp;""="","Outro",INDEX(Avulsos!$D$6:$D$205,$C1425))))</f>
        <v/>
      </c>
      <c r="J1425" s="114" t="str">
        <f aca="false">IF($E1425="","",IF($B1425="Tema",INDEX(Temas!$C$6:$C$305,$C1425)&amp;"",INDEX(Avulsos!$E$6:$E$205,$C1425)&amp;""))</f>
        <v/>
      </c>
      <c r="K1425" s="114" t="str">
        <f aca="false">IF($E1425="","",IF(IF($B1425="Tema",INDEX(Temas!$E$6:$P$305,$C1425,2*$D1425),INDEX(Avulsos!$F$6:$F$205,$C1425))&amp;""="","","✓"))</f>
        <v/>
      </c>
      <c r="L1425" s="114" t="str">
        <f aca="true">IF($E1425="","",IF($K1425="✓","Concluído",IF($E1425&lt;TODAY(),"Atrasado",IF($E1425=TODAY(),"Hoje","Pendente"))))</f>
        <v/>
      </c>
      <c r="M1425" s="114" t="str">
        <f aca="false">IF($E1425="","",IF($K1425="✓","✓ ","")&amp;IF(Config!$E$22="Sim",$H1425&amp;" · ","")&amp;$F1425)</f>
        <v/>
      </c>
      <c r="N1425" s="114" t="str">
        <f aca="false">IF($E1425="","",IFERROR(INDEX(Config!$D$15:$D$19,MATCH($I1425,Config!$C$15:$C$19,0)),"OUT")&amp;IF($K1425="✓","x",""))</f>
        <v/>
      </c>
      <c r="O1425" s="114" t="str">
        <f aca="false">IF($E1425="","",COUNTIF($E$5:$E1425,$E1425))</f>
        <v/>
      </c>
      <c r="P1425" s="114" t="str">
        <f aca="false">IF($E1425="","",$E1425*100+$O1425)</f>
        <v/>
      </c>
      <c r="Q1425" s="114" t="str">
        <f aca="false">IF($L1425="Atrasado",$E1425*10000+$A1425,"")</f>
        <v/>
      </c>
    </row>
    <row r="1426" customFormat="false" ht="15" hidden="false" customHeight="false" outlineLevel="0" collapsed="false">
      <c r="A1426" s="114" t="n">
        <f aca="false">ROW()-4</f>
        <v>1422</v>
      </c>
      <c r="B1426" s="114" t="str">
        <f aca="false">IF(A1426&lt;=Config!$E$27*Config!$E$28,"Tema","Avulso")</f>
        <v>Tema</v>
      </c>
      <c r="C1426" s="114" t="n">
        <f aca="false">IF(B1426="Tema",INT((A1426-1)/Config!$E$28)+1,A1426-Config!$E$27*Config!$E$28)</f>
        <v>237</v>
      </c>
      <c r="D1426" s="114" t="n">
        <f aca="false">IF(B1426="Tema",MOD(A1426-1,Config!$E$28)+1,"")</f>
        <v>6</v>
      </c>
      <c r="E1426" s="115" t="str">
        <f aca="false">IF($B1426="Tema",IF(ISNUMBER(INDEX(Temas!$E$6:$P$305,$C1426,2*$D1426-1)),INDEX(Temas!$E$6:$P$305,$C1426,2*$D1426-1),""),IF(ISNUMBER(INDEX(Avulsos!$B$6:$B$205,$C1426)),INDEX(Avulsos!$B$6:$B$205,$C1426),""))</f>
        <v/>
      </c>
      <c r="F1426" s="114" t="str">
        <f aca="false">IF($E1426="","",IF($B1426="Tema",INDEX(Temas!$B$6:$B$305,$C1426)&amp;"",INDEX(Avulsos!$C$6:$C$205,$C1426)&amp;""))</f>
        <v/>
      </c>
      <c r="G1426" s="114" t="str">
        <f aca="false">IF($E1426="","",IF($B1426="Tema",INDEX(Config!$C$6:$C$11,$D1426),"Evento avulso"))</f>
        <v/>
      </c>
      <c r="H1426" s="114" t="str">
        <f aca="false">IF($E1426="","",IF($B1426="Tema",INDEX(Config!$D$6:$D$11,$D1426),IFERROR(INDEX(Config!$E$15:$E$19,MATCH($I1426,Config!$C$15:$C$19,0)),"•")))</f>
        <v/>
      </c>
      <c r="I1426" s="114" t="str">
        <f aca="false">IF($E1426="","",IF($B1426="Tema",INDEX(Config!$E$6:$E$11,$D1426),IF(INDEX(Avulsos!$D$6:$D$205,$C1426)&amp;""="","Outro",INDEX(Avulsos!$D$6:$D$205,$C1426))))</f>
        <v/>
      </c>
      <c r="J1426" s="114" t="str">
        <f aca="false">IF($E1426="","",IF($B1426="Tema",INDEX(Temas!$C$6:$C$305,$C1426)&amp;"",INDEX(Avulsos!$E$6:$E$205,$C1426)&amp;""))</f>
        <v/>
      </c>
      <c r="K1426" s="114" t="str">
        <f aca="false">IF($E1426="","",IF(IF($B1426="Tema",INDEX(Temas!$E$6:$P$305,$C1426,2*$D1426),INDEX(Avulsos!$F$6:$F$205,$C1426))&amp;""="","","✓"))</f>
        <v/>
      </c>
      <c r="L1426" s="114" t="str">
        <f aca="true">IF($E1426="","",IF($K1426="✓","Concluído",IF($E1426&lt;TODAY(),"Atrasado",IF($E1426=TODAY(),"Hoje","Pendente"))))</f>
        <v/>
      </c>
      <c r="M1426" s="114" t="str">
        <f aca="false">IF($E1426="","",IF($K1426="✓","✓ ","")&amp;IF(Config!$E$22="Sim",$H1426&amp;" · ","")&amp;$F1426)</f>
        <v/>
      </c>
      <c r="N1426" s="114" t="str">
        <f aca="false">IF($E1426="","",IFERROR(INDEX(Config!$D$15:$D$19,MATCH($I1426,Config!$C$15:$C$19,0)),"OUT")&amp;IF($K1426="✓","x",""))</f>
        <v/>
      </c>
      <c r="O1426" s="114" t="str">
        <f aca="false">IF($E1426="","",COUNTIF($E$5:$E1426,$E1426))</f>
        <v/>
      </c>
      <c r="P1426" s="114" t="str">
        <f aca="false">IF($E1426="","",$E1426*100+$O1426)</f>
        <v/>
      </c>
      <c r="Q1426" s="114" t="str">
        <f aca="false">IF($L1426="Atrasado",$E1426*10000+$A1426,"")</f>
        <v/>
      </c>
    </row>
    <row r="1427" customFormat="false" ht="15" hidden="false" customHeight="false" outlineLevel="0" collapsed="false">
      <c r="A1427" s="114" t="n">
        <f aca="false">ROW()-4</f>
        <v>1423</v>
      </c>
      <c r="B1427" s="114" t="str">
        <f aca="false">IF(A1427&lt;=Config!$E$27*Config!$E$28,"Tema","Avulso")</f>
        <v>Tema</v>
      </c>
      <c r="C1427" s="114" t="n">
        <f aca="false">IF(B1427="Tema",INT((A1427-1)/Config!$E$28)+1,A1427-Config!$E$27*Config!$E$28)</f>
        <v>238</v>
      </c>
      <c r="D1427" s="114" t="n">
        <f aca="false">IF(B1427="Tema",MOD(A1427-1,Config!$E$28)+1,"")</f>
        <v>1</v>
      </c>
      <c r="E1427" s="115" t="str">
        <f aca="false">IF($B1427="Tema",IF(ISNUMBER(INDEX(Temas!$E$6:$P$305,$C1427,2*$D1427-1)),INDEX(Temas!$E$6:$P$305,$C1427,2*$D1427-1),""),IF(ISNUMBER(INDEX(Avulsos!$B$6:$B$205,$C1427)),INDEX(Avulsos!$B$6:$B$205,$C1427),""))</f>
        <v/>
      </c>
      <c r="F1427" s="114" t="str">
        <f aca="false">IF($E1427="","",IF($B1427="Tema",INDEX(Temas!$B$6:$B$305,$C1427)&amp;"",INDEX(Avulsos!$C$6:$C$205,$C1427)&amp;""))</f>
        <v/>
      </c>
      <c r="G1427" s="114" t="str">
        <f aca="false">IF($E1427="","",IF($B1427="Tema",INDEX(Config!$C$6:$C$11,$D1427),"Evento avulso"))</f>
        <v/>
      </c>
      <c r="H1427" s="114" t="str">
        <f aca="false">IF($E1427="","",IF($B1427="Tema",INDEX(Config!$D$6:$D$11,$D1427),IFERROR(INDEX(Config!$E$15:$E$19,MATCH($I1427,Config!$C$15:$C$19,0)),"•")))</f>
        <v/>
      </c>
      <c r="I1427" s="114" t="str">
        <f aca="false">IF($E1427="","",IF($B1427="Tema",INDEX(Config!$E$6:$E$11,$D1427),IF(INDEX(Avulsos!$D$6:$D$205,$C1427)&amp;""="","Outro",INDEX(Avulsos!$D$6:$D$205,$C1427))))</f>
        <v/>
      </c>
      <c r="J1427" s="114" t="str">
        <f aca="false">IF($E1427="","",IF($B1427="Tema",INDEX(Temas!$C$6:$C$305,$C1427)&amp;"",INDEX(Avulsos!$E$6:$E$205,$C1427)&amp;""))</f>
        <v/>
      </c>
      <c r="K1427" s="114" t="str">
        <f aca="false">IF($E1427="","",IF(IF($B1427="Tema",INDEX(Temas!$E$6:$P$305,$C1427,2*$D1427),INDEX(Avulsos!$F$6:$F$205,$C1427))&amp;""="","","✓"))</f>
        <v/>
      </c>
      <c r="L1427" s="114" t="str">
        <f aca="true">IF($E1427="","",IF($K1427="✓","Concluído",IF($E1427&lt;TODAY(),"Atrasado",IF($E1427=TODAY(),"Hoje","Pendente"))))</f>
        <v/>
      </c>
      <c r="M1427" s="114" t="str">
        <f aca="false">IF($E1427="","",IF($K1427="✓","✓ ","")&amp;IF(Config!$E$22="Sim",$H1427&amp;" · ","")&amp;$F1427)</f>
        <v/>
      </c>
      <c r="N1427" s="114" t="str">
        <f aca="false">IF($E1427="","",IFERROR(INDEX(Config!$D$15:$D$19,MATCH($I1427,Config!$C$15:$C$19,0)),"OUT")&amp;IF($K1427="✓","x",""))</f>
        <v/>
      </c>
      <c r="O1427" s="114" t="str">
        <f aca="false">IF($E1427="","",COUNTIF($E$5:$E1427,$E1427))</f>
        <v/>
      </c>
      <c r="P1427" s="114" t="str">
        <f aca="false">IF($E1427="","",$E1427*100+$O1427)</f>
        <v/>
      </c>
      <c r="Q1427" s="114" t="str">
        <f aca="false">IF($L1427="Atrasado",$E1427*10000+$A1427,"")</f>
        <v/>
      </c>
    </row>
    <row r="1428" customFormat="false" ht="15" hidden="false" customHeight="false" outlineLevel="0" collapsed="false">
      <c r="A1428" s="114" t="n">
        <f aca="false">ROW()-4</f>
        <v>1424</v>
      </c>
      <c r="B1428" s="114" t="str">
        <f aca="false">IF(A1428&lt;=Config!$E$27*Config!$E$28,"Tema","Avulso")</f>
        <v>Tema</v>
      </c>
      <c r="C1428" s="114" t="n">
        <f aca="false">IF(B1428="Tema",INT((A1428-1)/Config!$E$28)+1,A1428-Config!$E$27*Config!$E$28)</f>
        <v>238</v>
      </c>
      <c r="D1428" s="114" t="n">
        <f aca="false">IF(B1428="Tema",MOD(A1428-1,Config!$E$28)+1,"")</f>
        <v>2</v>
      </c>
      <c r="E1428" s="115" t="str">
        <f aca="false">IF($B1428="Tema",IF(ISNUMBER(INDEX(Temas!$E$6:$P$305,$C1428,2*$D1428-1)),INDEX(Temas!$E$6:$P$305,$C1428,2*$D1428-1),""),IF(ISNUMBER(INDEX(Avulsos!$B$6:$B$205,$C1428)),INDEX(Avulsos!$B$6:$B$205,$C1428),""))</f>
        <v/>
      </c>
      <c r="F1428" s="114" t="str">
        <f aca="false">IF($E1428="","",IF($B1428="Tema",INDEX(Temas!$B$6:$B$305,$C1428)&amp;"",INDEX(Avulsos!$C$6:$C$205,$C1428)&amp;""))</f>
        <v/>
      </c>
      <c r="G1428" s="114" t="str">
        <f aca="false">IF($E1428="","",IF($B1428="Tema",INDEX(Config!$C$6:$C$11,$D1428),"Evento avulso"))</f>
        <v/>
      </c>
      <c r="H1428" s="114" t="str">
        <f aca="false">IF($E1428="","",IF($B1428="Tema",INDEX(Config!$D$6:$D$11,$D1428),IFERROR(INDEX(Config!$E$15:$E$19,MATCH($I1428,Config!$C$15:$C$19,0)),"•")))</f>
        <v/>
      </c>
      <c r="I1428" s="114" t="str">
        <f aca="false">IF($E1428="","",IF($B1428="Tema",INDEX(Config!$E$6:$E$11,$D1428),IF(INDEX(Avulsos!$D$6:$D$205,$C1428)&amp;""="","Outro",INDEX(Avulsos!$D$6:$D$205,$C1428))))</f>
        <v/>
      </c>
      <c r="J1428" s="114" t="str">
        <f aca="false">IF($E1428="","",IF($B1428="Tema",INDEX(Temas!$C$6:$C$305,$C1428)&amp;"",INDEX(Avulsos!$E$6:$E$205,$C1428)&amp;""))</f>
        <v/>
      </c>
      <c r="K1428" s="114" t="str">
        <f aca="false">IF($E1428="","",IF(IF($B1428="Tema",INDEX(Temas!$E$6:$P$305,$C1428,2*$D1428),INDEX(Avulsos!$F$6:$F$205,$C1428))&amp;""="","","✓"))</f>
        <v/>
      </c>
      <c r="L1428" s="114" t="str">
        <f aca="true">IF($E1428="","",IF($K1428="✓","Concluído",IF($E1428&lt;TODAY(),"Atrasado",IF($E1428=TODAY(),"Hoje","Pendente"))))</f>
        <v/>
      </c>
      <c r="M1428" s="114" t="str">
        <f aca="false">IF($E1428="","",IF($K1428="✓","✓ ","")&amp;IF(Config!$E$22="Sim",$H1428&amp;" · ","")&amp;$F1428)</f>
        <v/>
      </c>
      <c r="N1428" s="114" t="str">
        <f aca="false">IF($E1428="","",IFERROR(INDEX(Config!$D$15:$D$19,MATCH($I1428,Config!$C$15:$C$19,0)),"OUT")&amp;IF($K1428="✓","x",""))</f>
        <v/>
      </c>
      <c r="O1428" s="114" t="str">
        <f aca="false">IF($E1428="","",COUNTIF($E$5:$E1428,$E1428))</f>
        <v/>
      </c>
      <c r="P1428" s="114" t="str">
        <f aca="false">IF($E1428="","",$E1428*100+$O1428)</f>
        <v/>
      </c>
      <c r="Q1428" s="114" t="str">
        <f aca="false">IF($L1428="Atrasado",$E1428*10000+$A1428,"")</f>
        <v/>
      </c>
    </row>
    <row r="1429" customFormat="false" ht="15" hidden="false" customHeight="false" outlineLevel="0" collapsed="false">
      <c r="A1429" s="114" t="n">
        <f aca="false">ROW()-4</f>
        <v>1425</v>
      </c>
      <c r="B1429" s="114" t="str">
        <f aca="false">IF(A1429&lt;=Config!$E$27*Config!$E$28,"Tema","Avulso")</f>
        <v>Tema</v>
      </c>
      <c r="C1429" s="114" t="n">
        <f aca="false">IF(B1429="Tema",INT((A1429-1)/Config!$E$28)+1,A1429-Config!$E$27*Config!$E$28)</f>
        <v>238</v>
      </c>
      <c r="D1429" s="114" t="n">
        <f aca="false">IF(B1429="Tema",MOD(A1429-1,Config!$E$28)+1,"")</f>
        <v>3</v>
      </c>
      <c r="E1429" s="115" t="str">
        <f aca="false">IF($B1429="Tema",IF(ISNUMBER(INDEX(Temas!$E$6:$P$305,$C1429,2*$D1429-1)),INDEX(Temas!$E$6:$P$305,$C1429,2*$D1429-1),""),IF(ISNUMBER(INDEX(Avulsos!$B$6:$B$205,$C1429)),INDEX(Avulsos!$B$6:$B$205,$C1429),""))</f>
        <v/>
      </c>
      <c r="F1429" s="114" t="str">
        <f aca="false">IF($E1429="","",IF($B1429="Tema",INDEX(Temas!$B$6:$B$305,$C1429)&amp;"",INDEX(Avulsos!$C$6:$C$205,$C1429)&amp;""))</f>
        <v/>
      </c>
      <c r="G1429" s="114" t="str">
        <f aca="false">IF($E1429="","",IF($B1429="Tema",INDEX(Config!$C$6:$C$11,$D1429),"Evento avulso"))</f>
        <v/>
      </c>
      <c r="H1429" s="114" t="str">
        <f aca="false">IF($E1429="","",IF($B1429="Tema",INDEX(Config!$D$6:$D$11,$D1429),IFERROR(INDEX(Config!$E$15:$E$19,MATCH($I1429,Config!$C$15:$C$19,0)),"•")))</f>
        <v/>
      </c>
      <c r="I1429" s="114" t="str">
        <f aca="false">IF($E1429="","",IF($B1429="Tema",INDEX(Config!$E$6:$E$11,$D1429),IF(INDEX(Avulsos!$D$6:$D$205,$C1429)&amp;""="","Outro",INDEX(Avulsos!$D$6:$D$205,$C1429))))</f>
        <v/>
      </c>
      <c r="J1429" s="114" t="str">
        <f aca="false">IF($E1429="","",IF($B1429="Tema",INDEX(Temas!$C$6:$C$305,$C1429)&amp;"",INDEX(Avulsos!$E$6:$E$205,$C1429)&amp;""))</f>
        <v/>
      </c>
      <c r="K1429" s="114" t="str">
        <f aca="false">IF($E1429="","",IF(IF($B1429="Tema",INDEX(Temas!$E$6:$P$305,$C1429,2*$D1429),INDEX(Avulsos!$F$6:$F$205,$C1429))&amp;""="","","✓"))</f>
        <v/>
      </c>
      <c r="L1429" s="114" t="str">
        <f aca="true">IF($E1429="","",IF($K1429="✓","Concluído",IF($E1429&lt;TODAY(),"Atrasado",IF($E1429=TODAY(),"Hoje","Pendente"))))</f>
        <v/>
      </c>
      <c r="M1429" s="114" t="str">
        <f aca="false">IF($E1429="","",IF($K1429="✓","✓ ","")&amp;IF(Config!$E$22="Sim",$H1429&amp;" · ","")&amp;$F1429)</f>
        <v/>
      </c>
      <c r="N1429" s="114" t="str">
        <f aca="false">IF($E1429="","",IFERROR(INDEX(Config!$D$15:$D$19,MATCH($I1429,Config!$C$15:$C$19,0)),"OUT")&amp;IF($K1429="✓","x",""))</f>
        <v/>
      </c>
      <c r="O1429" s="114" t="str">
        <f aca="false">IF($E1429="","",COUNTIF($E$5:$E1429,$E1429))</f>
        <v/>
      </c>
      <c r="P1429" s="114" t="str">
        <f aca="false">IF($E1429="","",$E1429*100+$O1429)</f>
        <v/>
      </c>
      <c r="Q1429" s="114" t="str">
        <f aca="false">IF($L1429="Atrasado",$E1429*10000+$A1429,"")</f>
        <v/>
      </c>
    </row>
    <row r="1430" customFormat="false" ht="15" hidden="false" customHeight="false" outlineLevel="0" collapsed="false">
      <c r="A1430" s="114" t="n">
        <f aca="false">ROW()-4</f>
        <v>1426</v>
      </c>
      <c r="B1430" s="114" t="str">
        <f aca="false">IF(A1430&lt;=Config!$E$27*Config!$E$28,"Tema","Avulso")</f>
        <v>Tema</v>
      </c>
      <c r="C1430" s="114" t="n">
        <f aca="false">IF(B1430="Tema",INT((A1430-1)/Config!$E$28)+1,A1430-Config!$E$27*Config!$E$28)</f>
        <v>238</v>
      </c>
      <c r="D1430" s="114" t="n">
        <f aca="false">IF(B1430="Tema",MOD(A1430-1,Config!$E$28)+1,"")</f>
        <v>4</v>
      </c>
      <c r="E1430" s="115" t="str">
        <f aca="false">IF($B1430="Tema",IF(ISNUMBER(INDEX(Temas!$E$6:$P$305,$C1430,2*$D1430-1)),INDEX(Temas!$E$6:$P$305,$C1430,2*$D1430-1),""),IF(ISNUMBER(INDEX(Avulsos!$B$6:$B$205,$C1430)),INDEX(Avulsos!$B$6:$B$205,$C1430),""))</f>
        <v/>
      </c>
      <c r="F1430" s="114" t="str">
        <f aca="false">IF($E1430="","",IF($B1430="Tema",INDEX(Temas!$B$6:$B$305,$C1430)&amp;"",INDEX(Avulsos!$C$6:$C$205,$C1430)&amp;""))</f>
        <v/>
      </c>
      <c r="G1430" s="114" t="str">
        <f aca="false">IF($E1430="","",IF($B1430="Tema",INDEX(Config!$C$6:$C$11,$D1430),"Evento avulso"))</f>
        <v/>
      </c>
      <c r="H1430" s="114" t="str">
        <f aca="false">IF($E1430="","",IF($B1430="Tema",INDEX(Config!$D$6:$D$11,$D1430),IFERROR(INDEX(Config!$E$15:$E$19,MATCH($I1430,Config!$C$15:$C$19,0)),"•")))</f>
        <v/>
      </c>
      <c r="I1430" s="114" t="str">
        <f aca="false">IF($E1430="","",IF($B1430="Tema",INDEX(Config!$E$6:$E$11,$D1430),IF(INDEX(Avulsos!$D$6:$D$205,$C1430)&amp;""="","Outro",INDEX(Avulsos!$D$6:$D$205,$C1430))))</f>
        <v/>
      </c>
      <c r="J1430" s="114" t="str">
        <f aca="false">IF($E1430="","",IF($B1430="Tema",INDEX(Temas!$C$6:$C$305,$C1430)&amp;"",INDEX(Avulsos!$E$6:$E$205,$C1430)&amp;""))</f>
        <v/>
      </c>
      <c r="K1430" s="114" t="str">
        <f aca="false">IF($E1430="","",IF(IF($B1430="Tema",INDEX(Temas!$E$6:$P$305,$C1430,2*$D1430),INDEX(Avulsos!$F$6:$F$205,$C1430))&amp;""="","","✓"))</f>
        <v/>
      </c>
      <c r="L1430" s="114" t="str">
        <f aca="true">IF($E1430="","",IF($K1430="✓","Concluído",IF($E1430&lt;TODAY(),"Atrasado",IF($E1430=TODAY(),"Hoje","Pendente"))))</f>
        <v/>
      </c>
      <c r="M1430" s="114" t="str">
        <f aca="false">IF($E1430="","",IF($K1430="✓","✓ ","")&amp;IF(Config!$E$22="Sim",$H1430&amp;" · ","")&amp;$F1430)</f>
        <v/>
      </c>
      <c r="N1430" s="114" t="str">
        <f aca="false">IF($E1430="","",IFERROR(INDEX(Config!$D$15:$D$19,MATCH($I1430,Config!$C$15:$C$19,0)),"OUT")&amp;IF($K1430="✓","x",""))</f>
        <v/>
      </c>
      <c r="O1430" s="114" t="str">
        <f aca="false">IF($E1430="","",COUNTIF($E$5:$E1430,$E1430))</f>
        <v/>
      </c>
      <c r="P1430" s="114" t="str">
        <f aca="false">IF($E1430="","",$E1430*100+$O1430)</f>
        <v/>
      </c>
      <c r="Q1430" s="114" t="str">
        <f aca="false">IF($L1430="Atrasado",$E1430*10000+$A1430,"")</f>
        <v/>
      </c>
    </row>
    <row r="1431" customFormat="false" ht="15" hidden="false" customHeight="false" outlineLevel="0" collapsed="false">
      <c r="A1431" s="114" t="n">
        <f aca="false">ROW()-4</f>
        <v>1427</v>
      </c>
      <c r="B1431" s="114" t="str">
        <f aca="false">IF(A1431&lt;=Config!$E$27*Config!$E$28,"Tema","Avulso")</f>
        <v>Tema</v>
      </c>
      <c r="C1431" s="114" t="n">
        <f aca="false">IF(B1431="Tema",INT((A1431-1)/Config!$E$28)+1,A1431-Config!$E$27*Config!$E$28)</f>
        <v>238</v>
      </c>
      <c r="D1431" s="114" t="n">
        <f aca="false">IF(B1431="Tema",MOD(A1431-1,Config!$E$28)+1,"")</f>
        <v>5</v>
      </c>
      <c r="E1431" s="115" t="str">
        <f aca="false">IF($B1431="Tema",IF(ISNUMBER(INDEX(Temas!$E$6:$P$305,$C1431,2*$D1431-1)),INDEX(Temas!$E$6:$P$305,$C1431,2*$D1431-1),""),IF(ISNUMBER(INDEX(Avulsos!$B$6:$B$205,$C1431)),INDEX(Avulsos!$B$6:$B$205,$C1431),""))</f>
        <v/>
      </c>
      <c r="F1431" s="114" t="str">
        <f aca="false">IF($E1431="","",IF($B1431="Tema",INDEX(Temas!$B$6:$B$305,$C1431)&amp;"",INDEX(Avulsos!$C$6:$C$205,$C1431)&amp;""))</f>
        <v/>
      </c>
      <c r="G1431" s="114" t="str">
        <f aca="false">IF($E1431="","",IF($B1431="Tema",INDEX(Config!$C$6:$C$11,$D1431),"Evento avulso"))</f>
        <v/>
      </c>
      <c r="H1431" s="114" t="str">
        <f aca="false">IF($E1431="","",IF($B1431="Tema",INDEX(Config!$D$6:$D$11,$D1431),IFERROR(INDEX(Config!$E$15:$E$19,MATCH($I1431,Config!$C$15:$C$19,0)),"•")))</f>
        <v/>
      </c>
      <c r="I1431" s="114" t="str">
        <f aca="false">IF($E1431="","",IF($B1431="Tema",INDEX(Config!$E$6:$E$11,$D1431),IF(INDEX(Avulsos!$D$6:$D$205,$C1431)&amp;""="","Outro",INDEX(Avulsos!$D$6:$D$205,$C1431))))</f>
        <v/>
      </c>
      <c r="J1431" s="114" t="str">
        <f aca="false">IF($E1431="","",IF($B1431="Tema",INDEX(Temas!$C$6:$C$305,$C1431)&amp;"",INDEX(Avulsos!$E$6:$E$205,$C1431)&amp;""))</f>
        <v/>
      </c>
      <c r="K1431" s="114" t="str">
        <f aca="false">IF($E1431="","",IF(IF($B1431="Tema",INDEX(Temas!$E$6:$P$305,$C1431,2*$D1431),INDEX(Avulsos!$F$6:$F$205,$C1431))&amp;""="","","✓"))</f>
        <v/>
      </c>
      <c r="L1431" s="114" t="str">
        <f aca="true">IF($E1431="","",IF($K1431="✓","Concluído",IF($E1431&lt;TODAY(),"Atrasado",IF($E1431=TODAY(),"Hoje","Pendente"))))</f>
        <v/>
      </c>
      <c r="M1431" s="114" t="str">
        <f aca="false">IF($E1431="","",IF($K1431="✓","✓ ","")&amp;IF(Config!$E$22="Sim",$H1431&amp;" · ","")&amp;$F1431)</f>
        <v/>
      </c>
      <c r="N1431" s="114" t="str">
        <f aca="false">IF($E1431="","",IFERROR(INDEX(Config!$D$15:$D$19,MATCH($I1431,Config!$C$15:$C$19,0)),"OUT")&amp;IF($K1431="✓","x",""))</f>
        <v/>
      </c>
      <c r="O1431" s="114" t="str">
        <f aca="false">IF($E1431="","",COUNTIF($E$5:$E1431,$E1431))</f>
        <v/>
      </c>
      <c r="P1431" s="114" t="str">
        <f aca="false">IF($E1431="","",$E1431*100+$O1431)</f>
        <v/>
      </c>
      <c r="Q1431" s="114" t="str">
        <f aca="false">IF($L1431="Atrasado",$E1431*10000+$A1431,"")</f>
        <v/>
      </c>
    </row>
    <row r="1432" customFormat="false" ht="15" hidden="false" customHeight="false" outlineLevel="0" collapsed="false">
      <c r="A1432" s="114" t="n">
        <f aca="false">ROW()-4</f>
        <v>1428</v>
      </c>
      <c r="B1432" s="114" t="str">
        <f aca="false">IF(A1432&lt;=Config!$E$27*Config!$E$28,"Tema","Avulso")</f>
        <v>Tema</v>
      </c>
      <c r="C1432" s="114" t="n">
        <f aca="false">IF(B1432="Tema",INT((A1432-1)/Config!$E$28)+1,A1432-Config!$E$27*Config!$E$28)</f>
        <v>238</v>
      </c>
      <c r="D1432" s="114" t="n">
        <f aca="false">IF(B1432="Tema",MOD(A1432-1,Config!$E$28)+1,"")</f>
        <v>6</v>
      </c>
      <c r="E1432" s="115" t="str">
        <f aca="false">IF($B1432="Tema",IF(ISNUMBER(INDEX(Temas!$E$6:$P$305,$C1432,2*$D1432-1)),INDEX(Temas!$E$6:$P$305,$C1432,2*$D1432-1),""),IF(ISNUMBER(INDEX(Avulsos!$B$6:$B$205,$C1432)),INDEX(Avulsos!$B$6:$B$205,$C1432),""))</f>
        <v/>
      </c>
      <c r="F1432" s="114" t="str">
        <f aca="false">IF($E1432="","",IF($B1432="Tema",INDEX(Temas!$B$6:$B$305,$C1432)&amp;"",INDEX(Avulsos!$C$6:$C$205,$C1432)&amp;""))</f>
        <v/>
      </c>
      <c r="G1432" s="114" t="str">
        <f aca="false">IF($E1432="","",IF($B1432="Tema",INDEX(Config!$C$6:$C$11,$D1432),"Evento avulso"))</f>
        <v/>
      </c>
      <c r="H1432" s="114" t="str">
        <f aca="false">IF($E1432="","",IF($B1432="Tema",INDEX(Config!$D$6:$D$11,$D1432),IFERROR(INDEX(Config!$E$15:$E$19,MATCH($I1432,Config!$C$15:$C$19,0)),"•")))</f>
        <v/>
      </c>
      <c r="I1432" s="114" t="str">
        <f aca="false">IF($E1432="","",IF($B1432="Tema",INDEX(Config!$E$6:$E$11,$D1432),IF(INDEX(Avulsos!$D$6:$D$205,$C1432)&amp;""="","Outro",INDEX(Avulsos!$D$6:$D$205,$C1432))))</f>
        <v/>
      </c>
      <c r="J1432" s="114" t="str">
        <f aca="false">IF($E1432="","",IF($B1432="Tema",INDEX(Temas!$C$6:$C$305,$C1432)&amp;"",INDEX(Avulsos!$E$6:$E$205,$C1432)&amp;""))</f>
        <v/>
      </c>
      <c r="K1432" s="114" t="str">
        <f aca="false">IF($E1432="","",IF(IF($B1432="Tema",INDEX(Temas!$E$6:$P$305,$C1432,2*$D1432),INDEX(Avulsos!$F$6:$F$205,$C1432))&amp;""="","","✓"))</f>
        <v/>
      </c>
      <c r="L1432" s="114" t="str">
        <f aca="true">IF($E1432="","",IF($K1432="✓","Concluído",IF($E1432&lt;TODAY(),"Atrasado",IF($E1432=TODAY(),"Hoje","Pendente"))))</f>
        <v/>
      </c>
      <c r="M1432" s="114" t="str">
        <f aca="false">IF($E1432="","",IF($K1432="✓","✓ ","")&amp;IF(Config!$E$22="Sim",$H1432&amp;" · ","")&amp;$F1432)</f>
        <v/>
      </c>
      <c r="N1432" s="114" t="str">
        <f aca="false">IF($E1432="","",IFERROR(INDEX(Config!$D$15:$D$19,MATCH($I1432,Config!$C$15:$C$19,0)),"OUT")&amp;IF($K1432="✓","x",""))</f>
        <v/>
      </c>
      <c r="O1432" s="114" t="str">
        <f aca="false">IF($E1432="","",COUNTIF($E$5:$E1432,$E1432))</f>
        <v/>
      </c>
      <c r="P1432" s="114" t="str">
        <f aca="false">IF($E1432="","",$E1432*100+$O1432)</f>
        <v/>
      </c>
      <c r="Q1432" s="114" t="str">
        <f aca="false">IF($L1432="Atrasado",$E1432*10000+$A1432,"")</f>
        <v/>
      </c>
    </row>
    <row r="1433" customFormat="false" ht="15" hidden="false" customHeight="false" outlineLevel="0" collapsed="false">
      <c r="A1433" s="114" t="n">
        <f aca="false">ROW()-4</f>
        <v>1429</v>
      </c>
      <c r="B1433" s="114" t="str">
        <f aca="false">IF(A1433&lt;=Config!$E$27*Config!$E$28,"Tema","Avulso")</f>
        <v>Tema</v>
      </c>
      <c r="C1433" s="114" t="n">
        <f aca="false">IF(B1433="Tema",INT((A1433-1)/Config!$E$28)+1,A1433-Config!$E$27*Config!$E$28)</f>
        <v>239</v>
      </c>
      <c r="D1433" s="114" t="n">
        <f aca="false">IF(B1433="Tema",MOD(A1433-1,Config!$E$28)+1,"")</f>
        <v>1</v>
      </c>
      <c r="E1433" s="115" t="str">
        <f aca="false">IF($B1433="Tema",IF(ISNUMBER(INDEX(Temas!$E$6:$P$305,$C1433,2*$D1433-1)),INDEX(Temas!$E$6:$P$305,$C1433,2*$D1433-1),""),IF(ISNUMBER(INDEX(Avulsos!$B$6:$B$205,$C1433)),INDEX(Avulsos!$B$6:$B$205,$C1433),""))</f>
        <v/>
      </c>
      <c r="F1433" s="114" t="str">
        <f aca="false">IF($E1433="","",IF($B1433="Tema",INDEX(Temas!$B$6:$B$305,$C1433)&amp;"",INDEX(Avulsos!$C$6:$C$205,$C1433)&amp;""))</f>
        <v/>
      </c>
      <c r="G1433" s="114" t="str">
        <f aca="false">IF($E1433="","",IF($B1433="Tema",INDEX(Config!$C$6:$C$11,$D1433),"Evento avulso"))</f>
        <v/>
      </c>
      <c r="H1433" s="114" t="str">
        <f aca="false">IF($E1433="","",IF($B1433="Tema",INDEX(Config!$D$6:$D$11,$D1433),IFERROR(INDEX(Config!$E$15:$E$19,MATCH($I1433,Config!$C$15:$C$19,0)),"•")))</f>
        <v/>
      </c>
      <c r="I1433" s="114" t="str">
        <f aca="false">IF($E1433="","",IF($B1433="Tema",INDEX(Config!$E$6:$E$11,$D1433),IF(INDEX(Avulsos!$D$6:$D$205,$C1433)&amp;""="","Outro",INDEX(Avulsos!$D$6:$D$205,$C1433))))</f>
        <v/>
      </c>
      <c r="J1433" s="114" t="str">
        <f aca="false">IF($E1433="","",IF($B1433="Tema",INDEX(Temas!$C$6:$C$305,$C1433)&amp;"",INDEX(Avulsos!$E$6:$E$205,$C1433)&amp;""))</f>
        <v/>
      </c>
      <c r="K1433" s="114" t="str">
        <f aca="false">IF($E1433="","",IF(IF($B1433="Tema",INDEX(Temas!$E$6:$P$305,$C1433,2*$D1433),INDEX(Avulsos!$F$6:$F$205,$C1433))&amp;""="","","✓"))</f>
        <v/>
      </c>
      <c r="L1433" s="114" t="str">
        <f aca="true">IF($E1433="","",IF($K1433="✓","Concluído",IF($E1433&lt;TODAY(),"Atrasado",IF($E1433=TODAY(),"Hoje","Pendente"))))</f>
        <v/>
      </c>
      <c r="M1433" s="114" t="str">
        <f aca="false">IF($E1433="","",IF($K1433="✓","✓ ","")&amp;IF(Config!$E$22="Sim",$H1433&amp;" · ","")&amp;$F1433)</f>
        <v/>
      </c>
      <c r="N1433" s="114" t="str">
        <f aca="false">IF($E1433="","",IFERROR(INDEX(Config!$D$15:$D$19,MATCH($I1433,Config!$C$15:$C$19,0)),"OUT")&amp;IF($K1433="✓","x",""))</f>
        <v/>
      </c>
      <c r="O1433" s="114" t="str">
        <f aca="false">IF($E1433="","",COUNTIF($E$5:$E1433,$E1433))</f>
        <v/>
      </c>
      <c r="P1433" s="114" t="str">
        <f aca="false">IF($E1433="","",$E1433*100+$O1433)</f>
        <v/>
      </c>
      <c r="Q1433" s="114" t="str">
        <f aca="false">IF($L1433="Atrasado",$E1433*10000+$A1433,"")</f>
        <v/>
      </c>
    </row>
    <row r="1434" customFormat="false" ht="15" hidden="false" customHeight="false" outlineLevel="0" collapsed="false">
      <c r="A1434" s="114" t="n">
        <f aca="false">ROW()-4</f>
        <v>1430</v>
      </c>
      <c r="B1434" s="114" t="str">
        <f aca="false">IF(A1434&lt;=Config!$E$27*Config!$E$28,"Tema","Avulso")</f>
        <v>Tema</v>
      </c>
      <c r="C1434" s="114" t="n">
        <f aca="false">IF(B1434="Tema",INT((A1434-1)/Config!$E$28)+1,A1434-Config!$E$27*Config!$E$28)</f>
        <v>239</v>
      </c>
      <c r="D1434" s="114" t="n">
        <f aca="false">IF(B1434="Tema",MOD(A1434-1,Config!$E$28)+1,"")</f>
        <v>2</v>
      </c>
      <c r="E1434" s="115" t="str">
        <f aca="false">IF($B1434="Tema",IF(ISNUMBER(INDEX(Temas!$E$6:$P$305,$C1434,2*$D1434-1)),INDEX(Temas!$E$6:$P$305,$C1434,2*$D1434-1),""),IF(ISNUMBER(INDEX(Avulsos!$B$6:$B$205,$C1434)),INDEX(Avulsos!$B$6:$B$205,$C1434),""))</f>
        <v/>
      </c>
      <c r="F1434" s="114" t="str">
        <f aca="false">IF($E1434="","",IF($B1434="Tema",INDEX(Temas!$B$6:$B$305,$C1434)&amp;"",INDEX(Avulsos!$C$6:$C$205,$C1434)&amp;""))</f>
        <v/>
      </c>
      <c r="G1434" s="114" t="str">
        <f aca="false">IF($E1434="","",IF($B1434="Tema",INDEX(Config!$C$6:$C$11,$D1434),"Evento avulso"))</f>
        <v/>
      </c>
      <c r="H1434" s="114" t="str">
        <f aca="false">IF($E1434="","",IF($B1434="Tema",INDEX(Config!$D$6:$D$11,$D1434),IFERROR(INDEX(Config!$E$15:$E$19,MATCH($I1434,Config!$C$15:$C$19,0)),"•")))</f>
        <v/>
      </c>
      <c r="I1434" s="114" t="str">
        <f aca="false">IF($E1434="","",IF($B1434="Tema",INDEX(Config!$E$6:$E$11,$D1434),IF(INDEX(Avulsos!$D$6:$D$205,$C1434)&amp;""="","Outro",INDEX(Avulsos!$D$6:$D$205,$C1434))))</f>
        <v/>
      </c>
      <c r="J1434" s="114" t="str">
        <f aca="false">IF($E1434="","",IF($B1434="Tema",INDEX(Temas!$C$6:$C$305,$C1434)&amp;"",INDEX(Avulsos!$E$6:$E$205,$C1434)&amp;""))</f>
        <v/>
      </c>
      <c r="K1434" s="114" t="str">
        <f aca="false">IF($E1434="","",IF(IF($B1434="Tema",INDEX(Temas!$E$6:$P$305,$C1434,2*$D1434),INDEX(Avulsos!$F$6:$F$205,$C1434))&amp;""="","","✓"))</f>
        <v/>
      </c>
      <c r="L1434" s="114" t="str">
        <f aca="true">IF($E1434="","",IF($K1434="✓","Concluído",IF($E1434&lt;TODAY(),"Atrasado",IF($E1434=TODAY(),"Hoje","Pendente"))))</f>
        <v/>
      </c>
      <c r="M1434" s="114" t="str">
        <f aca="false">IF($E1434="","",IF($K1434="✓","✓ ","")&amp;IF(Config!$E$22="Sim",$H1434&amp;" · ","")&amp;$F1434)</f>
        <v/>
      </c>
      <c r="N1434" s="114" t="str">
        <f aca="false">IF($E1434="","",IFERROR(INDEX(Config!$D$15:$D$19,MATCH($I1434,Config!$C$15:$C$19,0)),"OUT")&amp;IF($K1434="✓","x",""))</f>
        <v/>
      </c>
      <c r="O1434" s="114" t="str">
        <f aca="false">IF($E1434="","",COUNTIF($E$5:$E1434,$E1434))</f>
        <v/>
      </c>
      <c r="P1434" s="114" t="str">
        <f aca="false">IF($E1434="","",$E1434*100+$O1434)</f>
        <v/>
      </c>
      <c r="Q1434" s="114" t="str">
        <f aca="false">IF($L1434="Atrasado",$E1434*10000+$A1434,"")</f>
        <v/>
      </c>
    </row>
    <row r="1435" customFormat="false" ht="15" hidden="false" customHeight="false" outlineLevel="0" collapsed="false">
      <c r="A1435" s="114" t="n">
        <f aca="false">ROW()-4</f>
        <v>1431</v>
      </c>
      <c r="B1435" s="114" t="str">
        <f aca="false">IF(A1435&lt;=Config!$E$27*Config!$E$28,"Tema","Avulso")</f>
        <v>Tema</v>
      </c>
      <c r="C1435" s="114" t="n">
        <f aca="false">IF(B1435="Tema",INT((A1435-1)/Config!$E$28)+1,A1435-Config!$E$27*Config!$E$28)</f>
        <v>239</v>
      </c>
      <c r="D1435" s="114" t="n">
        <f aca="false">IF(B1435="Tema",MOD(A1435-1,Config!$E$28)+1,"")</f>
        <v>3</v>
      </c>
      <c r="E1435" s="115" t="str">
        <f aca="false">IF($B1435="Tema",IF(ISNUMBER(INDEX(Temas!$E$6:$P$305,$C1435,2*$D1435-1)),INDEX(Temas!$E$6:$P$305,$C1435,2*$D1435-1),""),IF(ISNUMBER(INDEX(Avulsos!$B$6:$B$205,$C1435)),INDEX(Avulsos!$B$6:$B$205,$C1435),""))</f>
        <v/>
      </c>
      <c r="F1435" s="114" t="str">
        <f aca="false">IF($E1435="","",IF($B1435="Tema",INDEX(Temas!$B$6:$B$305,$C1435)&amp;"",INDEX(Avulsos!$C$6:$C$205,$C1435)&amp;""))</f>
        <v/>
      </c>
      <c r="G1435" s="114" t="str">
        <f aca="false">IF($E1435="","",IF($B1435="Tema",INDEX(Config!$C$6:$C$11,$D1435),"Evento avulso"))</f>
        <v/>
      </c>
      <c r="H1435" s="114" t="str">
        <f aca="false">IF($E1435="","",IF($B1435="Tema",INDEX(Config!$D$6:$D$11,$D1435),IFERROR(INDEX(Config!$E$15:$E$19,MATCH($I1435,Config!$C$15:$C$19,0)),"•")))</f>
        <v/>
      </c>
      <c r="I1435" s="114" t="str">
        <f aca="false">IF($E1435="","",IF($B1435="Tema",INDEX(Config!$E$6:$E$11,$D1435),IF(INDEX(Avulsos!$D$6:$D$205,$C1435)&amp;""="","Outro",INDEX(Avulsos!$D$6:$D$205,$C1435))))</f>
        <v/>
      </c>
      <c r="J1435" s="114" t="str">
        <f aca="false">IF($E1435="","",IF($B1435="Tema",INDEX(Temas!$C$6:$C$305,$C1435)&amp;"",INDEX(Avulsos!$E$6:$E$205,$C1435)&amp;""))</f>
        <v/>
      </c>
      <c r="K1435" s="114" t="str">
        <f aca="false">IF($E1435="","",IF(IF($B1435="Tema",INDEX(Temas!$E$6:$P$305,$C1435,2*$D1435),INDEX(Avulsos!$F$6:$F$205,$C1435))&amp;""="","","✓"))</f>
        <v/>
      </c>
      <c r="L1435" s="114" t="str">
        <f aca="true">IF($E1435="","",IF($K1435="✓","Concluído",IF($E1435&lt;TODAY(),"Atrasado",IF($E1435=TODAY(),"Hoje","Pendente"))))</f>
        <v/>
      </c>
      <c r="M1435" s="114" t="str">
        <f aca="false">IF($E1435="","",IF($K1435="✓","✓ ","")&amp;IF(Config!$E$22="Sim",$H1435&amp;" · ","")&amp;$F1435)</f>
        <v/>
      </c>
      <c r="N1435" s="114" t="str">
        <f aca="false">IF($E1435="","",IFERROR(INDEX(Config!$D$15:$D$19,MATCH($I1435,Config!$C$15:$C$19,0)),"OUT")&amp;IF($K1435="✓","x",""))</f>
        <v/>
      </c>
      <c r="O1435" s="114" t="str">
        <f aca="false">IF($E1435="","",COUNTIF($E$5:$E1435,$E1435))</f>
        <v/>
      </c>
      <c r="P1435" s="114" t="str">
        <f aca="false">IF($E1435="","",$E1435*100+$O1435)</f>
        <v/>
      </c>
      <c r="Q1435" s="114" t="str">
        <f aca="false">IF($L1435="Atrasado",$E1435*10000+$A1435,"")</f>
        <v/>
      </c>
    </row>
    <row r="1436" customFormat="false" ht="15" hidden="false" customHeight="false" outlineLevel="0" collapsed="false">
      <c r="A1436" s="114" t="n">
        <f aca="false">ROW()-4</f>
        <v>1432</v>
      </c>
      <c r="B1436" s="114" t="str">
        <f aca="false">IF(A1436&lt;=Config!$E$27*Config!$E$28,"Tema","Avulso")</f>
        <v>Tema</v>
      </c>
      <c r="C1436" s="114" t="n">
        <f aca="false">IF(B1436="Tema",INT((A1436-1)/Config!$E$28)+1,A1436-Config!$E$27*Config!$E$28)</f>
        <v>239</v>
      </c>
      <c r="D1436" s="114" t="n">
        <f aca="false">IF(B1436="Tema",MOD(A1436-1,Config!$E$28)+1,"")</f>
        <v>4</v>
      </c>
      <c r="E1436" s="115" t="str">
        <f aca="false">IF($B1436="Tema",IF(ISNUMBER(INDEX(Temas!$E$6:$P$305,$C1436,2*$D1436-1)),INDEX(Temas!$E$6:$P$305,$C1436,2*$D1436-1),""),IF(ISNUMBER(INDEX(Avulsos!$B$6:$B$205,$C1436)),INDEX(Avulsos!$B$6:$B$205,$C1436),""))</f>
        <v/>
      </c>
      <c r="F1436" s="114" t="str">
        <f aca="false">IF($E1436="","",IF($B1436="Tema",INDEX(Temas!$B$6:$B$305,$C1436)&amp;"",INDEX(Avulsos!$C$6:$C$205,$C1436)&amp;""))</f>
        <v/>
      </c>
      <c r="G1436" s="114" t="str">
        <f aca="false">IF($E1436="","",IF($B1436="Tema",INDEX(Config!$C$6:$C$11,$D1436),"Evento avulso"))</f>
        <v/>
      </c>
      <c r="H1436" s="114" t="str">
        <f aca="false">IF($E1436="","",IF($B1436="Tema",INDEX(Config!$D$6:$D$11,$D1436),IFERROR(INDEX(Config!$E$15:$E$19,MATCH($I1436,Config!$C$15:$C$19,0)),"•")))</f>
        <v/>
      </c>
      <c r="I1436" s="114" t="str">
        <f aca="false">IF($E1436="","",IF($B1436="Tema",INDEX(Config!$E$6:$E$11,$D1436),IF(INDEX(Avulsos!$D$6:$D$205,$C1436)&amp;""="","Outro",INDEX(Avulsos!$D$6:$D$205,$C1436))))</f>
        <v/>
      </c>
      <c r="J1436" s="114" t="str">
        <f aca="false">IF($E1436="","",IF($B1436="Tema",INDEX(Temas!$C$6:$C$305,$C1436)&amp;"",INDEX(Avulsos!$E$6:$E$205,$C1436)&amp;""))</f>
        <v/>
      </c>
      <c r="K1436" s="114" t="str">
        <f aca="false">IF($E1436="","",IF(IF($B1436="Tema",INDEX(Temas!$E$6:$P$305,$C1436,2*$D1436),INDEX(Avulsos!$F$6:$F$205,$C1436))&amp;""="","","✓"))</f>
        <v/>
      </c>
      <c r="L1436" s="114" t="str">
        <f aca="true">IF($E1436="","",IF($K1436="✓","Concluído",IF($E1436&lt;TODAY(),"Atrasado",IF($E1436=TODAY(),"Hoje","Pendente"))))</f>
        <v/>
      </c>
      <c r="M1436" s="114" t="str">
        <f aca="false">IF($E1436="","",IF($K1436="✓","✓ ","")&amp;IF(Config!$E$22="Sim",$H1436&amp;" · ","")&amp;$F1436)</f>
        <v/>
      </c>
      <c r="N1436" s="114" t="str">
        <f aca="false">IF($E1436="","",IFERROR(INDEX(Config!$D$15:$D$19,MATCH($I1436,Config!$C$15:$C$19,0)),"OUT")&amp;IF($K1436="✓","x",""))</f>
        <v/>
      </c>
      <c r="O1436" s="114" t="str">
        <f aca="false">IF($E1436="","",COUNTIF($E$5:$E1436,$E1436))</f>
        <v/>
      </c>
      <c r="P1436" s="114" t="str">
        <f aca="false">IF($E1436="","",$E1436*100+$O1436)</f>
        <v/>
      </c>
      <c r="Q1436" s="114" t="str">
        <f aca="false">IF($L1436="Atrasado",$E1436*10000+$A1436,"")</f>
        <v/>
      </c>
    </row>
    <row r="1437" customFormat="false" ht="15" hidden="false" customHeight="false" outlineLevel="0" collapsed="false">
      <c r="A1437" s="114" t="n">
        <f aca="false">ROW()-4</f>
        <v>1433</v>
      </c>
      <c r="B1437" s="114" t="str">
        <f aca="false">IF(A1437&lt;=Config!$E$27*Config!$E$28,"Tema","Avulso")</f>
        <v>Tema</v>
      </c>
      <c r="C1437" s="114" t="n">
        <f aca="false">IF(B1437="Tema",INT((A1437-1)/Config!$E$28)+1,A1437-Config!$E$27*Config!$E$28)</f>
        <v>239</v>
      </c>
      <c r="D1437" s="114" t="n">
        <f aca="false">IF(B1437="Tema",MOD(A1437-1,Config!$E$28)+1,"")</f>
        <v>5</v>
      </c>
      <c r="E1437" s="115" t="str">
        <f aca="false">IF($B1437="Tema",IF(ISNUMBER(INDEX(Temas!$E$6:$P$305,$C1437,2*$D1437-1)),INDEX(Temas!$E$6:$P$305,$C1437,2*$D1437-1),""),IF(ISNUMBER(INDEX(Avulsos!$B$6:$B$205,$C1437)),INDEX(Avulsos!$B$6:$B$205,$C1437),""))</f>
        <v/>
      </c>
      <c r="F1437" s="114" t="str">
        <f aca="false">IF($E1437="","",IF($B1437="Tema",INDEX(Temas!$B$6:$B$305,$C1437)&amp;"",INDEX(Avulsos!$C$6:$C$205,$C1437)&amp;""))</f>
        <v/>
      </c>
      <c r="G1437" s="114" t="str">
        <f aca="false">IF($E1437="","",IF($B1437="Tema",INDEX(Config!$C$6:$C$11,$D1437),"Evento avulso"))</f>
        <v/>
      </c>
      <c r="H1437" s="114" t="str">
        <f aca="false">IF($E1437="","",IF($B1437="Tema",INDEX(Config!$D$6:$D$11,$D1437),IFERROR(INDEX(Config!$E$15:$E$19,MATCH($I1437,Config!$C$15:$C$19,0)),"•")))</f>
        <v/>
      </c>
      <c r="I1437" s="114" t="str">
        <f aca="false">IF($E1437="","",IF($B1437="Tema",INDEX(Config!$E$6:$E$11,$D1437),IF(INDEX(Avulsos!$D$6:$D$205,$C1437)&amp;""="","Outro",INDEX(Avulsos!$D$6:$D$205,$C1437))))</f>
        <v/>
      </c>
      <c r="J1437" s="114" t="str">
        <f aca="false">IF($E1437="","",IF($B1437="Tema",INDEX(Temas!$C$6:$C$305,$C1437)&amp;"",INDEX(Avulsos!$E$6:$E$205,$C1437)&amp;""))</f>
        <v/>
      </c>
      <c r="K1437" s="114" t="str">
        <f aca="false">IF($E1437="","",IF(IF($B1437="Tema",INDEX(Temas!$E$6:$P$305,$C1437,2*$D1437),INDEX(Avulsos!$F$6:$F$205,$C1437))&amp;""="","","✓"))</f>
        <v/>
      </c>
      <c r="L1437" s="114" t="str">
        <f aca="true">IF($E1437="","",IF($K1437="✓","Concluído",IF($E1437&lt;TODAY(),"Atrasado",IF($E1437=TODAY(),"Hoje","Pendente"))))</f>
        <v/>
      </c>
      <c r="M1437" s="114" t="str">
        <f aca="false">IF($E1437="","",IF($K1437="✓","✓ ","")&amp;IF(Config!$E$22="Sim",$H1437&amp;" · ","")&amp;$F1437)</f>
        <v/>
      </c>
      <c r="N1437" s="114" t="str">
        <f aca="false">IF($E1437="","",IFERROR(INDEX(Config!$D$15:$D$19,MATCH($I1437,Config!$C$15:$C$19,0)),"OUT")&amp;IF($K1437="✓","x",""))</f>
        <v/>
      </c>
      <c r="O1437" s="114" t="str">
        <f aca="false">IF($E1437="","",COUNTIF($E$5:$E1437,$E1437))</f>
        <v/>
      </c>
      <c r="P1437" s="114" t="str">
        <f aca="false">IF($E1437="","",$E1437*100+$O1437)</f>
        <v/>
      </c>
      <c r="Q1437" s="114" t="str">
        <f aca="false">IF($L1437="Atrasado",$E1437*10000+$A1437,"")</f>
        <v/>
      </c>
    </row>
    <row r="1438" customFormat="false" ht="15" hidden="false" customHeight="false" outlineLevel="0" collapsed="false">
      <c r="A1438" s="114" t="n">
        <f aca="false">ROW()-4</f>
        <v>1434</v>
      </c>
      <c r="B1438" s="114" t="str">
        <f aca="false">IF(A1438&lt;=Config!$E$27*Config!$E$28,"Tema","Avulso")</f>
        <v>Tema</v>
      </c>
      <c r="C1438" s="114" t="n">
        <f aca="false">IF(B1438="Tema",INT((A1438-1)/Config!$E$28)+1,A1438-Config!$E$27*Config!$E$28)</f>
        <v>239</v>
      </c>
      <c r="D1438" s="114" t="n">
        <f aca="false">IF(B1438="Tema",MOD(A1438-1,Config!$E$28)+1,"")</f>
        <v>6</v>
      </c>
      <c r="E1438" s="115" t="str">
        <f aca="false">IF($B1438="Tema",IF(ISNUMBER(INDEX(Temas!$E$6:$P$305,$C1438,2*$D1438-1)),INDEX(Temas!$E$6:$P$305,$C1438,2*$D1438-1),""),IF(ISNUMBER(INDEX(Avulsos!$B$6:$B$205,$C1438)),INDEX(Avulsos!$B$6:$B$205,$C1438),""))</f>
        <v/>
      </c>
      <c r="F1438" s="114" t="str">
        <f aca="false">IF($E1438="","",IF($B1438="Tema",INDEX(Temas!$B$6:$B$305,$C1438)&amp;"",INDEX(Avulsos!$C$6:$C$205,$C1438)&amp;""))</f>
        <v/>
      </c>
      <c r="G1438" s="114" t="str">
        <f aca="false">IF($E1438="","",IF($B1438="Tema",INDEX(Config!$C$6:$C$11,$D1438),"Evento avulso"))</f>
        <v/>
      </c>
      <c r="H1438" s="114" t="str">
        <f aca="false">IF($E1438="","",IF($B1438="Tema",INDEX(Config!$D$6:$D$11,$D1438),IFERROR(INDEX(Config!$E$15:$E$19,MATCH($I1438,Config!$C$15:$C$19,0)),"•")))</f>
        <v/>
      </c>
      <c r="I1438" s="114" t="str">
        <f aca="false">IF($E1438="","",IF($B1438="Tema",INDEX(Config!$E$6:$E$11,$D1438),IF(INDEX(Avulsos!$D$6:$D$205,$C1438)&amp;""="","Outro",INDEX(Avulsos!$D$6:$D$205,$C1438))))</f>
        <v/>
      </c>
      <c r="J1438" s="114" t="str">
        <f aca="false">IF($E1438="","",IF($B1438="Tema",INDEX(Temas!$C$6:$C$305,$C1438)&amp;"",INDEX(Avulsos!$E$6:$E$205,$C1438)&amp;""))</f>
        <v/>
      </c>
      <c r="K1438" s="114" t="str">
        <f aca="false">IF($E1438="","",IF(IF($B1438="Tema",INDEX(Temas!$E$6:$P$305,$C1438,2*$D1438),INDEX(Avulsos!$F$6:$F$205,$C1438))&amp;""="","","✓"))</f>
        <v/>
      </c>
      <c r="L1438" s="114" t="str">
        <f aca="true">IF($E1438="","",IF($K1438="✓","Concluído",IF($E1438&lt;TODAY(),"Atrasado",IF($E1438=TODAY(),"Hoje","Pendente"))))</f>
        <v/>
      </c>
      <c r="M1438" s="114" t="str">
        <f aca="false">IF($E1438="","",IF($K1438="✓","✓ ","")&amp;IF(Config!$E$22="Sim",$H1438&amp;" · ","")&amp;$F1438)</f>
        <v/>
      </c>
      <c r="N1438" s="114" t="str">
        <f aca="false">IF($E1438="","",IFERROR(INDEX(Config!$D$15:$D$19,MATCH($I1438,Config!$C$15:$C$19,0)),"OUT")&amp;IF($K1438="✓","x",""))</f>
        <v/>
      </c>
      <c r="O1438" s="114" t="str">
        <f aca="false">IF($E1438="","",COUNTIF($E$5:$E1438,$E1438))</f>
        <v/>
      </c>
      <c r="P1438" s="114" t="str">
        <f aca="false">IF($E1438="","",$E1438*100+$O1438)</f>
        <v/>
      </c>
      <c r="Q1438" s="114" t="str">
        <f aca="false">IF($L1438="Atrasado",$E1438*10000+$A1438,"")</f>
        <v/>
      </c>
    </row>
    <row r="1439" customFormat="false" ht="15" hidden="false" customHeight="false" outlineLevel="0" collapsed="false">
      <c r="A1439" s="114" t="n">
        <f aca="false">ROW()-4</f>
        <v>1435</v>
      </c>
      <c r="B1439" s="114" t="str">
        <f aca="false">IF(A1439&lt;=Config!$E$27*Config!$E$28,"Tema","Avulso")</f>
        <v>Tema</v>
      </c>
      <c r="C1439" s="114" t="n">
        <f aca="false">IF(B1439="Tema",INT((A1439-1)/Config!$E$28)+1,A1439-Config!$E$27*Config!$E$28)</f>
        <v>240</v>
      </c>
      <c r="D1439" s="114" t="n">
        <f aca="false">IF(B1439="Tema",MOD(A1439-1,Config!$E$28)+1,"")</f>
        <v>1</v>
      </c>
      <c r="E1439" s="115" t="str">
        <f aca="false">IF($B1439="Tema",IF(ISNUMBER(INDEX(Temas!$E$6:$P$305,$C1439,2*$D1439-1)),INDEX(Temas!$E$6:$P$305,$C1439,2*$D1439-1),""),IF(ISNUMBER(INDEX(Avulsos!$B$6:$B$205,$C1439)),INDEX(Avulsos!$B$6:$B$205,$C1439),""))</f>
        <v/>
      </c>
      <c r="F1439" s="114" t="str">
        <f aca="false">IF($E1439="","",IF($B1439="Tema",INDEX(Temas!$B$6:$B$305,$C1439)&amp;"",INDEX(Avulsos!$C$6:$C$205,$C1439)&amp;""))</f>
        <v/>
      </c>
      <c r="G1439" s="114" t="str">
        <f aca="false">IF($E1439="","",IF($B1439="Tema",INDEX(Config!$C$6:$C$11,$D1439),"Evento avulso"))</f>
        <v/>
      </c>
      <c r="H1439" s="114" t="str">
        <f aca="false">IF($E1439="","",IF($B1439="Tema",INDEX(Config!$D$6:$D$11,$D1439),IFERROR(INDEX(Config!$E$15:$E$19,MATCH($I1439,Config!$C$15:$C$19,0)),"•")))</f>
        <v/>
      </c>
      <c r="I1439" s="114" t="str">
        <f aca="false">IF($E1439="","",IF($B1439="Tema",INDEX(Config!$E$6:$E$11,$D1439),IF(INDEX(Avulsos!$D$6:$D$205,$C1439)&amp;""="","Outro",INDEX(Avulsos!$D$6:$D$205,$C1439))))</f>
        <v/>
      </c>
      <c r="J1439" s="114" t="str">
        <f aca="false">IF($E1439="","",IF($B1439="Tema",INDEX(Temas!$C$6:$C$305,$C1439)&amp;"",INDEX(Avulsos!$E$6:$E$205,$C1439)&amp;""))</f>
        <v/>
      </c>
      <c r="K1439" s="114" t="str">
        <f aca="false">IF($E1439="","",IF(IF($B1439="Tema",INDEX(Temas!$E$6:$P$305,$C1439,2*$D1439),INDEX(Avulsos!$F$6:$F$205,$C1439))&amp;""="","","✓"))</f>
        <v/>
      </c>
      <c r="L1439" s="114" t="str">
        <f aca="true">IF($E1439="","",IF($K1439="✓","Concluído",IF($E1439&lt;TODAY(),"Atrasado",IF($E1439=TODAY(),"Hoje","Pendente"))))</f>
        <v/>
      </c>
      <c r="M1439" s="114" t="str">
        <f aca="false">IF($E1439="","",IF($K1439="✓","✓ ","")&amp;IF(Config!$E$22="Sim",$H1439&amp;" · ","")&amp;$F1439)</f>
        <v/>
      </c>
      <c r="N1439" s="114" t="str">
        <f aca="false">IF($E1439="","",IFERROR(INDEX(Config!$D$15:$D$19,MATCH($I1439,Config!$C$15:$C$19,0)),"OUT")&amp;IF($K1439="✓","x",""))</f>
        <v/>
      </c>
      <c r="O1439" s="114" t="str">
        <f aca="false">IF($E1439="","",COUNTIF($E$5:$E1439,$E1439))</f>
        <v/>
      </c>
      <c r="P1439" s="114" t="str">
        <f aca="false">IF($E1439="","",$E1439*100+$O1439)</f>
        <v/>
      </c>
      <c r="Q1439" s="114" t="str">
        <f aca="false">IF($L1439="Atrasado",$E1439*10000+$A1439,"")</f>
        <v/>
      </c>
    </row>
    <row r="1440" customFormat="false" ht="15" hidden="false" customHeight="false" outlineLevel="0" collapsed="false">
      <c r="A1440" s="114" t="n">
        <f aca="false">ROW()-4</f>
        <v>1436</v>
      </c>
      <c r="B1440" s="114" t="str">
        <f aca="false">IF(A1440&lt;=Config!$E$27*Config!$E$28,"Tema","Avulso")</f>
        <v>Tema</v>
      </c>
      <c r="C1440" s="114" t="n">
        <f aca="false">IF(B1440="Tema",INT((A1440-1)/Config!$E$28)+1,A1440-Config!$E$27*Config!$E$28)</f>
        <v>240</v>
      </c>
      <c r="D1440" s="114" t="n">
        <f aca="false">IF(B1440="Tema",MOD(A1440-1,Config!$E$28)+1,"")</f>
        <v>2</v>
      </c>
      <c r="E1440" s="115" t="str">
        <f aca="false">IF($B1440="Tema",IF(ISNUMBER(INDEX(Temas!$E$6:$P$305,$C1440,2*$D1440-1)),INDEX(Temas!$E$6:$P$305,$C1440,2*$D1440-1),""),IF(ISNUMBER(INDEX(Avulsos!$B$6:$B$205,$C1440)),INDEX(Avulsos!$B$6:$B$205,$C1440),""))</f>
        <v/>
      </c>
      <c r="F1440" s="114" t="str">
        <f aca="false">IF($E1440="","",IF($B1440="Tema",INDEX(Temas!$B$6:$B$305,$C1440)&amp;"",INDEX(Avulsos!$C$6:$C$205,$C1440)&amp;""))</f>
        <v/>
      </c>
      <c r="G1440" s="114" t="str">
        <f aca="false">IF($E1440="","",IF($B1440="Tema",INDEX(Config!$C$6:$C$11,$D1440),"Evento avulso"))</f>
        <v/>
      </c>
      <c r="H1440" s="114" t="str">
        <f aca="false">IF($E1440="","",IF($B1440="Tema",INDEX(Config!$D$6:$D$11,$D1440),IFERROR(INDEX(Config!$E$15:$E$19,MATCH($I1440,Config!$C$15:$C$19,0)),"•")))</f>
        <v/>
      </c>
      <c r="I1440" s="114" t="str">
        <f aca="false">IF($E1440="","",IF($B1440="Tema",INDEX(Config!$E$6:$E$11,$D1440),IF(INDEX(Avulsos!$D$6:$D$205,$C1440)&amp;""="","Outro",INDEX(Avulsos!$D$6:$D$205,$C1440))))</f>
        <v/>
      </c>
      <c r="J1440" s="114" t="str">
        <f aca="false">IF($E1440="","",IF($B1440="Tema",INDEX(Temas!$C$6:$C$305,$C1440)&amp;"",INDEX(Avulsos!$E$6:$E$205,$C1440)&amp;""))</f>
        <v/>
      </c>
      <c r="K1440" s="114" t="str">
        <f aca="false">IF($E1440="","",IF(IF($B1440="Tema",INDEX(Temas!$E$6:$P$305,$C1440,2*$D1440),INDEX(Avulsos!$F$6:$F$205,$C1440))&amp;""="","","✓"))</f>
        <v/>
      </c>
      <c r="L1440" s="114" t="str">
        <f aca="true">IF($E1440="","",IF($K1440="✓","Concluído",IF($E1440&lt;TODAY(),"Atrasado",IF($E1440=TODAY(),"Hoje","Pendente"))))</f>
        <v/>
      </c>
      <c r="M1440" s="114" t="str">
        <f aca="false">IF($E1440="","",IF($K1440="✓","✓ ","")&amp;IF(Config!$E$22="Sim",$H1440&amp;" · ","")&amp;$F1440)</f>
        <v/>
      </c>
      <c r="N1440" s="114" t="str">
        <f aca="false">IF($E1440="","",IFERROR(INDEX(Config!$D$15:$D$19,MATCH($I1440,Config!$C$15:$C$19,0)),"OUT")&amp;IF($K1440="✓","x",""))</f>
        <v/>
      </c>
      <c r="O1440" s="114" t="str">
        <f aca="false">IF($E1440="","",COUNTIF($E$5:$E1440,$E1440))</f>
        <v/>
      </c>
      <c r="P1440" s="114" t="str">
        <f aca="false">IF($E1440="","",$E1440*100+$O1440)</f>
        <v/>
      </c>
      <c r="Q1440" s="114" t="str">
        <f aca="false">IF($L1440="Atrasado",$E1440*10000+$A1440,"")</f>
        <v/>
      </c>
    </row>
    <row r="1441" customFormat="false" ht="15" hidden="false" customHeight="false" outlineLevel="0" collapsed="false">
      <c r="A1441" s="114" t="n">
        <f aca="false">ROW()-4</f>
        <v>1437</v>
      </c>
      <c r="B1441" s="114" t="str">
        <f aca="false">IF(A1441&lt;=Config!$E$27*Config!$E$28,"Tema","Avulso")</f>
        <v>Tema</v>
      </c>
      <c r="C1441" s="114" t="n">
        <f aca="false">IF(B1441="Tema",INT((A1441-1)/Config!$E$28)+1,A1441-Config!$E$27*Config!$E$28)</f>
        <v>240</v>
      </c>
      <c r="D1441" s="114" t="n">
        <f aca="false">IF(B1441="Tema",MOD(A1441-1,Config!$E$28)+1,"")</f>
        <v>3</v>
      </c>
      <c r="E1441" s="115" t="str">
        <f aca="false">IF($B1441="Tema",IF(ISNUMBER(INDEX(Temas!$E$6:$P$305,$C1441,2*$D1441-1)),INDEX(Temas!$E$6:$P$305,$C1441,2*$D1441-1),""),IF(ISNUMBER(INDEX(Avulsos!$B$6:$B$205,$C1441)),INDEX(Avulsos!$B$6:$B$205,$C1441),""))</f>
        <v/>
      </c>
      <c r="F1441" s="114" t="str">
        <f aca="false">IF($E1441="","",IF($B1441="Tema",INDEX(Temas!$B$6:$B$305,$C1441)&amp;"",INDEX(Avulsos!$C$6:$C$205,$C1441)&amp;""))</f>
        <v/>
      </c>
      <c r="G1441" s="114" t="str">
        <f aca="false">IF($E1441="","",IF($B1441="Tema",INDEX(Config!$C$6:$C$11,$D1441),"Evento avulso"))</f>
        <v/>
      </c>
      <c r="H1441" s="114" t="str">
        <f aca="false">IF($E1441="","",IF($B1441="Tema",INDEX(Config!$D$6:$D$11,$D1441),IFERROR(INDEX(Config!$E$15:$E$19,MATCH($I1441,Config!$C$15:$C$19,0)),"•")))</f>
        <v/>
      </c>
      <c r="I1441" s="114" t="str">
        <f aca="false">IF($E1441="","",IF($B1441="Tema",INDEX(Config!$E$6:$E$11,$D1441),IF(INDEX(Avulsos!$D$6:$D$205,$C1441)&amp;""="","Outro",INDEX(Avulsos!$D$6:$D$205,$C1441))))</f>
        <v/>
      </c>
      <c r="J1441" s="114" t="str">
        <f aca="false">IF($E1441="","",IF($B1441="Tema",INDEX(Temas!$C$6:$C$305,$C1441)&amp;"",INDEX(Avulsos!$E$6:$E$205,$C1441)&amp;""))</f>
        <v/>
      </c>
      <c r="K1441" s="114" t="str">
        <f aca="false">IF($E1441="","",IF(IF($B1441="Tema",INDEX(Temas!$E$6:$P$305,$C1441,2*$D1441),INDEX(Avulsos!$F$6:$F$205,$C1441))&amp;""="","","✓"))</f>
        <v/>
      </c>
      <c r="L1441" s="114" t="str">
        <f aca="true">IF($E1441="","",IF($K1441="✓","Concluído",IF($E1441&lt;TODAY(),"Atrasado",IF($E1441=TODAY(),"Hoje","Pendente"))))</f>
        <v/>
      </c>
      <c r="M1441" s="114" t="str">
        <f aca="false">IF($E1441="","",IF($K1441="✓","✓ ","")&amp;IF(Config!$E$22="Sim",$H1441&amp;" · ","")&amp;$F1441)</f>
        <v/>
      </c>
      <c r="N1441" s="114" t="str">
        <f aca="false">IF($E1441="","",IFERROR(INDEX(Config!$D$15:$D$19,MATCH($I1441,Config!$C$15:$C$19,0)),"OUT")&amp;IF($K1441="✓","x",""))</f>
        <v/>
      </c>
      <c r="O1441" s="114" t="str">
        <f aca="false">IF($E1441="","",COUNTIF($E$5:$E1441,$E1441))</f>
        <v/>
      </c>
      <c r="P1441" s="114" t="str">
        <f aca="false">IF($E1441="","",$E1441*100+$O1441)</f>
        <v/>
      </c>
      <c r="Q1441" s="114" t="str">
        <f aca="false">IF($L1441="Atrasado",$E1441*10000+$A1441,"")</f>
        <v/>
      </c>
    </row>
    <row r="1442" customFormat="false" ht="15" hidden="false" customHeight="false" outlineLevel="0" collapsed="false">
      <c r="A1442" s="114" t="n">
        <f aca="false">ROW()-4</f>
        <v>1438</v>
      </c>
      <c r="B1442" s="114" t="str">
        <f aca="false">IF(A1442&lt;=Config!$E$27*Config!$E$28,"Tema","Avulso")</f>
        <v>Tema</v>
      </c>
      <c r="C1442" s="114" t="n">
        <f aca="false">IF(B1442="Tema",INT((A1442-1)/Config!$E$28)+1,A1442-Config!$E$27*Config!$E$28)</f>
        <v>240</v>
      </c>
      <c r="D1442" s="114" t="n">
        <f aca="false">IF(B1442="Tema",MOD(A1442-1,Config!$E$28)+1,"")</f>
        <v>4</v>
      </c>
      <c r="E1442" s="115" t="str">
        <f aca="false">IF($B1442="Tema",IF(ISNUMBER(INDEX(Temas!$E$6:$P$305,$C1442,2*$D1442-1)),INDEX(Temas!$E$6:$P$305,$C1442,2*$D1442-1),""),IF(ISNUMBER(INDEX(Avulsos!$B$6:$B$205,$C1442)),INDEX(Avulsos!$B$6:$B$205,$C1442),""))</f>
        <v/>
      </c>
      <c r="F1442" s="114" t="str">
        <f aca="false">IF($E1442="","",IF($B1442="Tema",INDEX(Temas!$B$6:$B$305,$C1442)&amp;"",INDEX(Avulsos!$C$6:$C$205,$C1442)&amp;""))</f>
        <v/>
      </c>
      <c r="G1442" s="114" t="str">
        <f aca="false">IF($E1442="","",IF($B1442="Tema",INDEX(Config!$C$6:$C$11,$D1442),"Evento avulso"))</f>
        <v/>
      </c>
      <c r="H1442" s="114" t="str">
        <f aca="false">IF($E1442="","",IF($B1442="Tema",INDEX(Config!$D$6:$D$11,$D1442),IFERROR(INDEX(Config!$E$15:$E$19,MATCH($I1442,Config!$C$15:$C$19,0)),"•")))</f>
        <v/>
      </c>
      <c r="I1442" s="114" t="str">
        <f aca="false">IF($E1442="","",IF($B1442="Tema",INDEX(Config!$E$6:$E$11,$D1442),IF(INDEX(Avulsos!$D$6:$D$205,$C1442)&amp;""="","Outro",INDEX(Avulsos!$D$6:$D$205,$C1442))))</f>
        <v/>
      </c>
      <c r="J1442" s="114" t="str">
        <f aca="false">IF($E1442="","",IF($B1442="Tema",INDEX(Temas!$C$6:$C$305,$C1442)&amp;"",INDEX(Avulsos!$E$6:$E$205,$C1442)&amp;""))</f>
        <v/>
      </c>
      <c r="K1442" s="114" t="str">
        <f aca="false">IF($E1442="","",IF(IF($B1442="Tema",INDEX(Temas!$E$6:$P$305,$C1442,2*$D1442),INDEX(Avulsos!$F$6:$F$205,$C1442))&amp;""="","","✓"))</f>
        <v/>
      </c>
      <c r="L1442" s="114" t="str">
        <f aca="true">IF($E1442="","",IF($K1442="✓","Concluído",IF($E1442&lt;TODAY(),"Atrasado",IF($E1442=TODAY(),"Hoje","Pendente"))))</f>
        <v/>
      </c>
      <c r="M1442" s="114" t="str">
        <f aca="false">IF($E1442="","",IF($K1442="✓","✓ ","")&amp;IF(Config!$E$22="Sim",$H1442&amp;" · ","")&amp;$F1442)</f>
        <v/>
      </c>
      <c r="N1442" s="114" t="str">
        <f aca="false">IF($E1442="","",IFERROR(INDEX(Config!$D$15:$D$19,MATCH($I1442,Config!$C$15:$C$19,0)),"OUT")&amp;IF($K1442="✓","x",""))</f>
        <v/>
      </c>
      <c r="O1442" s="114" t="str">
        <f aca="false">IF($E1442="","",COUNTIF($E$5:$E1442,$E1442))</f>
        <v/>
      </c>
      <c r="P1442" s="114" t="str">
        <f aca="false">IF($E1442="","",$E1442*100+$O1442)</f>
        <v/>
      </c>
      <c r="Q1442" s="114" t="str">
        <f aca="false">IF($L1442="Atrasado",$E1442*10000+$A1442,"")</f>
        <v/>
      </c>
    </row>
    <row r="1443" customFormat="false" ht="15" hidden="false" customHeight="false" outlineLevel="0" collapsed="false">
      <c r="A1443" s="114" t="n">
        <f aca="false">ROW()-4</f>
        <v>1439</v>
      </c>
      <c r="B1443" s="114" t="str">
        <f aca="false">IF(A1443&lt;=Config!$E$27*Config!$E$28,"Tema","Avulso")</f>
        <v>Tema</v>
      </c>
      <c r="C1443" s="114" t="n">
        <f aca="false">IF(B1443="Tema",INT((A1443-1)/Config!$E$28)+1,A1443-Config!$E$27*Config!$E$28)</f>
        <v>240</v>
      </c>
      <c r="D1443" s="114" t="n">
        <f aca="false">IF(B1443="Tema",MOD(A1443-1,Config!$E$28)+1,"")</f>
        <v>5</v>
      </c>
      <c r="E1443" s="115" t="str">
        <f aca="false">IF($B1443="Tema",IF(ISNUMBER(INDEX(Temas!$E$6:$P$305,$C1443,2*$D1443-1)),INDEX(Temas!$E$6:$P$305,$C1443,2*$D1443-1),""),IF(ISNUMBER(INDEX(Avulsos!$B$6:$B$205,$C1443)),INDEX(Avulsos!$B$6:$B$205,$C1443),""))</f>
        <v/>
      </c>
      <c r="F1443" s="114" t="str">
        <f aca="false">IF($E1443="","",IF($B1443="Tema",INDEX(Temas!$B$6:$B$305,$C1443)&amp;"",INDEX(Avulsos!$C$6:$C$205,$C1443)&amp;""))</f>
        <v/>
      </c>
      <c r="G1443" s="114" t="str">
        <f aca="false">IF($E1443="","",IF($B1443="Tema",INDEX(Config!$C$6:$C$11,$D1443),"Evento avulso"))</f>
        <v/>
      </c>
      <c r="H1443" s="114" t="str">
        <f aca="false">IF($E1443="","",IF($B1443="Tema",INDEX(Config!$D$6:$D$11,$D1443),IFERROR(INDEX(Config!$E$15:$E$19,MATCH($I1443,Config!$C$15:$C$19,0)),"•")))</f>
        <v/>
      </c>
      <c r="I1443" s="114" t="str">
        <f aca="false">IF($E1443="","",IF($B1443="Tema",INDEX(Config!$E$6:$E$11,$D1443),IF(INDEX(Avulsos!$D$6:$D$205,$C1443)&amp;""="","Outro",INDEX(Avulsos!$D$6:$D$205,$C1443))))</f>
        <v/>
      </c>
      <c r="J1443" s="114" t="str">
        <f aca="false">IF($E1443="","",IF($B1443="Tema",INDEX(Temas!$C$6:$C$305,$C1443)&amp;"",INDEX(Avulsos!$E$6:$E$205,$C1443)&amp;""))</f>
        <v/>
      </c>
      <c r="K1443" s="114" t="str">
        <f aca="false">IF($E1443="","",IF(IF($B1443="Tema",INDEX(Temas!$E$6:$P$305,$C1443,2*$D1443),INDEX(Avulsos!$F$6:$F$205,$C1443))&amp;""="","","✓"))</f>
        <v/>
      </c>
      <c r="L1443" s="114" t="str">
        <f aca="true">IF($E1443="","",IF($K1443="✓","Concluído",IF($E1443&lt;TODAY(),"Atrasado",IF($E1443=TODAY(),"Hoje","Pendente"))))</f>
        <v/>
      </c>
      <c r="M1443" s="114" t="str">
        <f aca="false">IF($E1443="","",IF($K1443="✓","✓ ","")&amp;IF(Config!$E$22="Sim",$H1443&amp;" · ","")&amp;$F1443)</f>
        <v/>
      </c>
      <c r="N1443" s="114" t="str">
        <f aca="false">IF($E1443="","",IFERROR(INDEX(Config!$D$15:$D$19,MATCH($I1443,Config!$C$15:$C$19,0)),"OUT")&amp;IF($K1443="✓","x",""))</f>
        <v/>
      </c>
      <c r="O1443" s="114" t="str">
        <f aca="false">IF($E1443="","",COUNTIF($E$5:$E1443,$E1443))</f>
        <v/>
      </c>
      <c r="P1443" s="114" t="str">
        <f aca="false">IF($E1443="","",$E1443*100+$O1443)</f>
        <v/>
      </c>
      <c r="Q1443" s="114" t="str">
        <f aca="false">IF($L1443="Atrasado",$E1443*10000+$A1443,"")</f>
        <v/>
      </c>
    </row>
    <row r="1444" customFormat="false" ht="15" hidden="false" customHeight="false" outlineLevel="0" collapsed="false">
      <c r="A1444" s="114" t="n">
        <f aca="false">ROW()-4</f>
        <v>1440</v>
      </c>
      <c r="B1444" s="114" t="str">
        <f aca="false">IF(A1444&lt;=Config!$E$27*Config!$E$28,"Tema","Avulso")</f>
        <v>Tema</v>
      </c>
      <c r="C1444" s="114" t="n">
        <f aca="false">IF(B1444="Tema",INT((A1444-1)/Config!$E$28)+1,A1444-Config!$E$27*Config!$E$28)</f>
        <v>240</v>
      </c>
      <c r="D1444" s="114" t="n">
        <f aca="false">IF(B1444="Tema",MOD(A1444-1,Config!$E$28)+1,"")</f>
        <v>6</v>
      </c>
      <c r="E1444" s="115" t="str">
        <f aca="false">IF($B1444="Tema",IF(ISNUMBER(INDEX(Temas!$E$6:$P$305,$C1444,2*$D1444-1)),INDEX(Temas!$E$6:$P$305,$C1444,2*$D1444-1),""),IF(ISNUMBER(INDEX(Avulsos!$B$6:$B$205,$C1444)),INDEX(Avulsos!$B$6:$B$205,$C1444),""))</f>
        <v/>
      </c>
      <c r="F1444" s="114" t="str">
        <f aca="false">IF($E1444="","",IF($B1444="Tema",INDEX(Temas!$B$6:$B$305,$C1444)&amp;"",INDEX(Avulsos!$C$6:$C$205,$C1444)&amp;""))</f>
        <v/>
      </c>
      <c r="G1444" s="114" t="str">
        <f aca="false">IF($E1444="","",IF($B1444="Tema",INDEX(Config!$C$6:$C$11,$D1444),"Evento avulso"))</f>
        <v/>
      </c>
      <c r="H1444" s="114" t="str">
        <f aca="false">IF($E1444="","",IF($B1444="Tema",INDEX(Config!$D$6:$D$11,$D1444),IFERROR(INDEX(Config!$E$15:$E$19,MATCH($I1444,Config!$C$15:$C$19,0)),"•")))</f>
        <v/>
      </c>
      <c r="I1444" s="114" t="str">
        <f aca="false">IF($E1444="","",IF($B1444="Tema",INDEX(Config!$E$6:$E$11,$D1444),IF(INDEX(Avulsos!$D$6:$D$205,$C1444)&amp;""="","Outro",INDEX(Avulsos!$D$6:$D$205,$C1444))))</f>
        <v/>
      </c>
      <c r="J1444" s="114" t="str">
        <f aca="false">IF($E1444="","",IF($B1444="Tema",INDEX(Temas!$C$6:$C$305,$C1444)&amp;"",INDEX(Avulsos!$E$6:$E$205,$C1444)&amp;""))</f>
        <v/>
      </c>
      <c r="K1444" s="114" t="str">
        <f aca="false">IF($E1444="","",IF(IF($B1444="Tema",INDEX(Temas!$E$6:$P$305,$C1444,2*$D1444),INDEX(Avulsos!$F$6:$F$205,$C1444))&amp;""="","","✓"))</f>
        <v/>
      </c>
      <c r="L1444" s="114" t="str">
        <f aca="true">IF($E1444="","",IF($K1444="✓","Concluído",IF($E1444&lt;TODAY(),"Atrasado",IF($E1444=TODAY(),"Hoje","Pendente"))))</f>
        <v/>
      </c>
      <c r="M1444" s="114" t="str">
        <f aca="false">IF($E1444="","",IF($K1444="✓","✓ ","")&amp;IF(Config!$E$22="Sim",$H1444&amp;" · ","")&amp;$F1444)</f>
        <v/>
      </c>
      <c r="N1444" s="114" t="str">
        <f aca="false">IF($E1444="","",IFERROR(INDEX(Config!$D$15:$D$19,MATCH($I1444,Config!$C$15:$C$19,0)),"OUT")&amp;IF($K1444="✓","x",""))</f>
        <v/>
      </c>
      <c r="O1444" s="114" t="str">
        <f aca="false">IF($E1444="","",COUNTIF($E$5:$E1444,$E1444))</f>
        <v/>
      </c>
      <c r="P1444" s="114" t="str">
        <f aca="false">IF($E1444="","",$E1444*100+$O1444)</f>
        <v/>
      </c>
      <c r="Q1444" s="114" t="str">
        <f aca="false">IF($L1444="Atrasado",$E1444*10000+$A1444,"")</f>
        <v/>
      </c>
    </row>
    <row r="1445" customFormat="false" ht="15" hidden="false" customHeight="false" outlineLevel="0" collapsed="false">
      <c r="A1445" s="114" t="n">
        <f aca="false">ROW()-4</f>
        <v>1441</v>
      </c>
      <c r="B1445" s="114" t="str">
        <f aca="false">IF(A1445&lt;=Config!$E$27*Config!$E$28,"Tema","Avulso")</f>
        <v>Tema</v>
      </c>
      <c r="C1445" s="114" t="n">
        <f aca="false">IF(B1445="Tema",INT((A1445-1)/Config!$E$28)+1,A1445-Config!$E$27*Config!$E$28)</f>
        <v>241</v>
      </c>
      <c r="D1445" s="114" t="n">
        <f aca="false">IF(B1445="Tema",MOD(A1445-1,Config!$E$28)+1,"")</f>
        <v>1</v>
      </c>
      <c r="E1445" s="115" t="str">
        <f aca="false">IF($B1445="Tema",IF(ISNUMBER(INDEX(Temas!$E$6:$P$305,$C1445,2*$D1445-1)),INDEX(Temas!$E$6:$P$305,$C1445,2*$D1445-1),""),IF(ISNUMBER(INDEX(Avulsos!$B$6:$B$205,$C1445)),INDEX(Avulsos!$B$6:$B$205,$C1445),""))</f>
        <v/>
      </c>
      <c r="F1445" s="114" t="str">
        <f aca="false">IF($E1445="","",IF($B1445="Tema",INDEX(Temas!$B$6:$B$305,$C1445)&amp;"",INDEX(Avulsos!$C$6:$C$205,$C1445)&amp;""))</f>
        <v/>
      </c>
      <c r="G1445" s="114" t="str">
        <f aca="false">IF($E1445="","",IF($B1445="Tema",INDEX(Config!$C$6:$C$11,$D1445),"Evento avulso"))</f>
        <v/>
      </c>
      <c r="H1445" s="114" t="str">
        <f aca="false">IF($E1445="","",IF($B1445="Tema",INDEX(Config!$D$6:$D$11,$D1445),IFERROR(INDEX(Config!$E$15:$E$19,MATCH($I1445,Config!$C$15:$C$19,0)),"•")))</f>
        <v/>
      </c>
      <c r="I1445" s="114" t="str">
        <f aca="false">IF($E1445="","",IF($B1445="Tema",INDEX(Config!$E$6:$E$11,$D1445),IF(INDEX(Avulsos!$D$6:$D$205,$C1445)&amp;""="","Outro",INDEX(Avulsos!$D$6:$D$205,$C1445))))</f>
        <v/>
      </c>
      <c r="J1445" s="114" t="str">
        <f aca="false">IF($E1445="","",IF($B1445="Tema",INDEX(Temas!$C$6:$C$305,$C1445)&amp;"",INDEX(Avulsos!$E$6:$E$205,$C1445)&amp;""))</f>
        <v/>
      </c>
      <c r="K1445" s="114" t="str">
        <f aca="false">IF($E1445="","",IF(IF($B1445="Tema",INDEX(Temas!$E$6:$P$305,$C1445,2*$D1445),INDEX(Avulsos!$F$6:$F$205,$C1445))&amp;""="","","✓"))</f>
        <v/>
      </c>
      <c r="L1445" s="114" t="str">
        <f aca="true">IF($E1445="","",IF($K1445="✓","Concluído",IF($E1445&lt;TODAY(),"Atrasado",IF($E1445=TODAY(),"Hoje","Pendente"))))</f>
        <v/>
      </c>
      <c r="M1445" s="114" t="str">
        <f aca="false">IF($E1445="","",IF($K1445="✓","✓ ","")&amp;IF(Config!$E$22="Sim",$H1445&amp;" · ","")&amp;$F1445)</f>
        <v/>
      </c>
      <c r="N1445" s="114" t="str">
        <f aca="false">IF($E1445="","",IFERROR(INDEX(Config!$D$15:$D$19,MATCH($I1445,Config!$C$15:$C$19,0)),"OUT")&amp;IF($K1445="✓","x",""))</f>
        <v/>
      </c>
      <c r="O1445" s="114" t="str">
        <f aca="false">IF($E1445="","",COUNTIF($E$5:$E1445,$E1445))</f>
        <v/>
      </c>
      <c r="P1445" s="114" t="str">
        <f aca="false">IF($E1445="","",$E1445*100+$O1445)</f>
        <v/>
      </c>
      <c r="Q1445" s="114" t="str">
        <f aca="false">IF($L1445="Atrasado",$E1445*10000+$A1445,"")</f>
        <v/>
      </c>
    </row>
    <row r="1446" customFormat="false" ht="15" hidden="false" customHeight="false" outlineLevel="0" collapsed="false">
      <c r="A1446" s="114" t="n">
        <f aca="false">ROW()-4</f>
        <v>1442</v>
      </c>
      <c r="B1446" s="114" t="str">
        <f aca="false">IF(A1446&lt;=Config!$E$27*Config!$E$28,"Tema","Avulso")</f>
        <v>Tema</v>
      </c>
      <c r="C1446" s="114" t="n">
        <f aca="false">IF(B1446="Tema",INT((A1446-1)/Config!$E$28)+1,A1446-Config!$E$27*Config!$E$28)</f>
        <v>241</v>
      </c>
      <c r="D1446" s="114" t="n">
        <f aca="false">IF(B1446="Tema",MOD(A1446-1,Config!$E$28)+1,"")</f>
        <v>2</v>
      </c>
      <c r="E1446" s="115" t="str">
        <f aca="false">IF($B1446="Tema",IF(ISNUMBER(INDEX(Temas!$E$6:$P$305,$C1446,2*$D1446-1)),INDEX(Temas!$E$6:$P$305,$C1446,2*$D1446-1),""),IF(ISNUMBER(INDEX(Avulsos!$B$6:$B$205,$C1446)),INDEX(Avulsos!$B$6:$B$205,$C1446),""))</f>
        <v/>
      </c>
      <c r="F1446" s="114" t="str">
        <f aca="false">IF($E1446="","",IF($B1446="Tema",INDEX(Temas!$B$6:$B$305,$C1446)&amp;"",INDEX(Avulsos!$C$6:$C$205,$C1446)&amp;""))</f>
        <v/>
      </c>
      <c r="G1446" s="114" t="str">
        <f aca="false">IF($E1446="","",IF($B1446="Tema",INDEX(Config!$C$6:$C$11,$D1446),"Evento avulso"))</f>
        <v/>
      </c>
      <c r="H1446" s="114" t="str">
        <f aca="false">IF($E1446="","",IF($B1446="Tema",INDEX(Config!$D$6:$D$11,$D1446),IFERROR(INDEX(Config!$E$15:$E$19,MATCH($I1446,Config!$C$15:$C$19,0)),"•")))</f>
        <v/>
      </c>
      <c r="I1446" s="114" t="str">
        <f aca="false">IF($E1446="","",IF($B1446="Tema",INDEX(Config!$E$6:$E$11,$D1446),IF(INDEX(Avulsos!$D$6:$D$205,$C1446)&amp;""="","Outro",INDEX(Avulsos!$D$6:$D$205,$C1446))))</f>
        <v/>
      </c>
      <c r="J1446" s="114" t="str">
        <f aca="false">IF($E1446="","",IF($B1446="Tema",INDEX(Temas!$C$6:$C$305,$C1446)&amp;"",INDEX(Avulsos!$E$6:$E$205,$C1446)&amp;""))</f>
        <v/>
      </c>
      <c r="K1446" s="114" t="str">
        <f aca="false">IF($E1446="","",IF(IF($B1446="Tema",INDEX(Temas!$E$6:$P$305,$C1446,2*$D1446),INDEX(Avulsos!$F$6:$F$205,$C1446))&amp;""="","","✓"))</f>
        <v/>
      </c>
      <c r="L1446" s="114" t="str">
        <f aca="true">IF($E1446="","",IF($K1446="✓","Concluído",IF($E1446&lt;TODAY(),"Atrasado",IF($E1446=TODAY(),"Hoje","Pendente"))))</f>
        <v/>
      </c>
      <c r="M1446" s="114" t="str">
        <f aca="false">IF($E1446="","",IF($K1446="✓","✓ ","")&amp;IF(Config!$E$22="Sim",$H1446&amp;" · ","")&amp;$F1446)</f>
        <v/>
      </c>
      <c r="N1446" s="114" t="str">
        <f aca="false">IF($E1446="","",IFERROR(INDEX(Config!$D$15:$D$19,MATCH($I1446,Config!$C$15:$C$19,0)),"OUT")&amp;IF($K1446="✓","x",""))</f>
        <v/>
      </c>
      <c r="O1446" s="114" t="str">
        <f aca="false">IF($E1446="","",COUNTIF($E$5:$E1446,$E1446))</f>
        <v/>
      </c>
      <c r="P1446" s="114" t="str">
        <f aca="false">IF($E1446="","",$E1446*100+$O1446)</f>
        <v/>
      </c>
      <c r="Q1446" s="114" t="str">
        <f aca="false">IF($L1446="Atrasado",$E1446*10000+$A1446,"")</f>
        <v/>
      </c>
    </row>
    <row r="1447" customFormat="false" ht="15" hidden="false" customHeight="false" outlineLevel="0" collapsed="false">
      <c r="A1447" s="114" t="n">
        <f aca="false">ROW()-4</f>
        <v>1443</v>
      </c>
      <c r="B1447" s="114" t="str">
        <f aca="false">IF(A1447&lt;=Config!$E$27*Config!$E$28,"Tema","Avulso")</f>
        <v>Tema</v>
      </c>
      <c r="C1447" s="114" t="n">
        <f aca="false">IF(B1447="Tema",INT((A1447-1)/Config!$E$28)+1,A1447-Config!$E$27*Config!$E$28)</f>
        <v>241</v>
      </c>
      <c r="D1447" s="114" t="n">
        <f aca="false">IF(B1447="Tema",MOD(A1447-1,Config!$E$28)+1,"")</f>
        <v>3</v>
      </c>
      <c r="E1447" s="115" t="str">
        <f aca="false">IF($B1447="Tema",IF(ISNUMBER(INDEX(Temas!$E$6:$P$305,$C1447,2*$D1447-1)),INDEX(Temas!$E$6:$P$305,$C1447,2*$D1447-1),""),IF(ISNUMBER(INDEX(Avulsos!$B$6:$B$205,$C1447)),INDEX(Avulsos!$B$6:$B$205,$C1447),""))</f>
        <v/>
      </c>
      <c r="F1447" s="114" t="str">
        <f aca="false">IF($E1447="","",IF($B1447="Tema",INDEX(Temas!$B$6:$B$305,$C1447)&amp;"",INDEX(Avulsos!$C$6:$C$205,$C1447)&amp;""))</f>
        <v/>
      </c>
      <c r="G1447" s="114" t="str">
        <f aca="false">IF($E1447="","",IF($B1447="Tema",INDEX(Config!$C$6:$C$11,$D1447),"Evento avulso"))</f>
        <v/>
      </c>
      <c r="H1447" s="114" t="str">
        <f aca="false">IF($E1447="","",IF($B1447="Tema",INDEX(Config!$D$6:$D$11,$D1447),IFERROR(INDEX(Config!$E$15:$E$19,MATCH($I1447,Config!$C$15:$C$19,0)),"•")))</f>
        <v/>
      </c>
      <c r="I1447" s="114" t="str">
        <f aca="false">IF($E1447="","",IF($B1447="Tema",INDEX(Config!$E$6:$E$11,$D1447),IF(INDEX(Avulsos!$D$6:$D$205,$C1447)&amp;""="","Outro",INDEX(Avulsos!$D$6:$D$205,$C1447))))</f>
        <v/>
      </c>
      <c r="J1447" s="114" t="str">
        <f aca="false">IF($E1447="","",IF($B1447="Tema",INDEX(Temas!$C$6:$C$305,$C1447)&amp;"",INDEX(Avulsos!$E$6:$E$205,$C1447)&amp;""))</f>
        <v/>
      </c>
      <c r="K1447" s="114" t="str">
        <f aca="false">IF($E1447="","",IF(IF($B1447="Tema",INDEX(Temas!$E$6:$P$305,$C1447,2*$D1447),INDEX(Avulsos!$F$6:$F$205,$C1447))&amp;""="","","✓"))</f>
        <v/>
      </c>
      <c r="L1447" s="114" t="str">
        <f aca="true">IF($E1447="","",IF($K1447="✓","Concluído",IF($E1447&lt;TODAY(),"Atrasado",IF($E1447=TODAY(),"Hoje","Pendente"))))</f>
        <v/>
      </c>
      <c r="M1447" s="114" t="str">
        <f aca="false">IF($E1447="","",IF($K1447="✓","✓ ","")&amp;IF(Config!$E$22="Sim",$H1447&amp;" · ","")&amp;$F1447)</f>
        <v/>
      </c>
      <c r="N1447" s="114" t="str">
        <f aca="false">IF($E1447="","",IFERROR(INDEX(Config!$D$15:$D$19,MATCH($I1447,Config!$C$15:$C$19,0)),"OUT")&amp;IF($K1447="✓","x",""))</f>
        <v/>
      </c>
      <c r="O1447" s="114" t="str">
        <f aca="false">IF($E1447="","",COUNTIF($E$5:$E1447,$E1447))</f>
        <v/>
      </c>
      <c r="P1447" s="114" t="str">
        <f aca="false">IF($E1447="","",$E1447*100+$O1447)</f>
        <v/>
      </c>
      <c r="Q1447" s="114" t="str">
        <f aca="false">IF($L1447="Atrasado",$E1447*10000+$A1447,"")</f>
        <v/>
      </c>
    </row>
    <row r="1448" customFormat="false" ht="15" hidden="false" customHeight="false" outlineLevel="0" collapsed="false">
      <c r="A1448" s="114" t="n">
        <f aca="false">ROW()-4</f>
        <v>1444</v>
      </c>
      <c r="B1448" s="114" t="str">
        <f aca="false">IF(A1448&lt;=Config!$E$27*Config!$E$28,"Tema","Avulso")</f>
        <v>Tema</v>
      </c>
      <c r="C1448" s="114" t="n">
        <f aca="false">IF(B1448="Tema",INT((A1448-1)/Config!$E$28)+1,A1448-Config!$E$27*Config!$E$28)</f>
        <v>241</v>
      </c>
      <c r="D1448" s="114" t="n">
        <f aca="false">IF(B1448="Tema",MOD(A1448-1,Config!$E$28)+1,"")</f>
        <v>4</v>
      </c>
      <c r="E1448" s="115" t="str">
        <f aca="false">IF($B1448="Tema",IF(ISNUMBER(INDEX(Temas!$E$6:$P$305,$C1448,2*$D1448-1)),INDEX(Temas!$E$6:$P$305,$C1448,2*$D1448-1),""),IF(ISNUMBER(INDEX(Avulsos!$B$6:$B$205,$C1448)),INDEX(Avulsos!$B$6:$B$205,$C1448),""))</f>
        <v/>
      </c>
      <c r="F1448" s="114" t="str">
        <f aca="false">IF($E1448="","",IF($B1448="Tema",INDEX(Temas!$B$6:$B$305,$C1448)&amp;"",INDEX(Avulsos!$C$6:$C$205,$C1448)&amp;""))</f>
        <v/>
      </c>
      <c r="G1448" s="114" t="str">
        <f aca="false">IF($E1448="","",IF($B1448="Tema",INDEX(Config!$C$6:$C$11,$D1448),"Evento avulso"))</f>
        <v/>
      </c>
      <c r="H1448" s="114" t="str">
        <f aca="false">IF($E1448="","",IF($B1448="Tema",INDEX(Config!$D$6:$D$11,$D1448),IFERROR(INDEX(Config!$E$15:$E$19,MATCH($I1448,Config!$C$15:$C$19,0)),"•")))</f>
        <v/>
      </c>
      <c r="I1448" s="114" t="str">
        <f aca="false">IF($E1448="","",IF($B1448="Tema",INDEX(Config!$E$6:$E$11,$D1448),IF(INDEX(Avulsos!$D$6:$D$205,$C1448)&amp;""="","Outro",INDEX(Avulsos!$D$6:$D$205,$C1448))))</f>
        <v/>
      </c>
      <c r="J1448" s="114" t="str">
        <f aca="false">IF($E1448="","",IF($B1448="Tema",INDEX(Temas!$C$6:$C$305,$C1448)&amp;"",INDEX(Avulsos!$E$6:$E$205,$C1448)&amp;""))</f>
        <v/>
      </c>
      <c r="K1448" s="114" t="str">
        <f aca="false">IF($E1448="","",IF(IF($B1448="Tema",INDEX(Temas!$E$6:$P$305,$C1448,2*$D1448),INDEX(Avulsos!$F$6:$F$205,$C1448))&amp;""="","","✓"))</f>
        <v/>
      </c>
      <c r="L1448" s="114" t="str">
        <f aca="true">IF($E1448="","",IF($K1448="✓","Concluído",IF($E1448&lt;TODAY(),"Atrasado",IF($E1448=TODAY(),"Hoje","Pendente"))))</f>
        <v/>
      </c>
      <c r="M1448" s="114" t="str">
        <f aca="false">IF($E1448="","",IF($K1448="✓","✓ ","")&amp;IF(Config!$E$22="Sim",$H1448&amp;" · ","")&amp;$F1448)</f>
        <v/>
      </c>
      <c r="N1448" s="114" t="str">
        <f aca="false">IF($E1448="","",IFERROR(INDEX(Config!$D$15:$D$19,MATCH($I1448,Config!$C$15:$C$19,0)),"OUT")&amp;IF($K1448="✓","x",""))</f>
        <v/>
      </c>
      <c r="O1448" s="114" t="str">
        <f aca="false">IF($E1448="","",COUNTIF($E$5:$E1448,$E1448))</f>
        <v/>
      </c>
      <c r="P1448" s="114" t="str">
        <f aca="false">IF($E1448="","",$E1448*100+$O1448)</f>
        <v/>
      </c>
      <c r="Q1448" s="114" t="str">
        <f aca="false">IF($L1448="Atrasado",$E1448*10000+$A1448,"")</f>
        <v/>
      </c>
    </row>
    <row r="1449" customFormat="false" ht="15" hidden="false" customHeight="false" outlineLevel="0" collapsed="false">
      <c r="A1449" s="114" t="n">
        <f aca="false">ROW()-4</f>
        <v>1445</v>
      </c>
      <c r="B1449" s="114" t="str">
        <f aca="false">IF(A1449&lt;=Config!$E$27*Config!$E$28,"Tema","Avulso")</f>
        <v>Tema</v>
      </c>
      <c r="C1449" s="114" t="n">
        <f aca="false">IF(B1449="Tema",INT((A1449-1)/Config!$E$28)+1,A1449-Config!$E$27*Config!$E$28)</f>
        <v>241</v>
      </c>
      <c r="D1449" s="114" t="n">
        <f aca="false">IF(B1449="Tema",MOD(A1449-1,Config!$E$28)+1,"")</f>
        <v>5</v>
      </c>
      <c r="E1449" s="115" t="str">
        <f aca="false">IF($B1449="Tema",IF(ISNUMBER(INDEX(Temas!$E$6:$P$305,$C1449,2*$D1449-1)),INDEX(Temas!$E$6:$P$305,$C1449,2*$D1449-1),""),IF(ISNUMBER(INDEX(Avulsos!$B$6:$B$205,$C1449)),INDEX(Avulsos!$B$6:$B$205,$C1449),""))</f>
        <v/>
      </c>
      <c r="F1449" s="114" t="str">
        <f aca="false">IF($E1449="","",IF($B1449="Tema",INDEX(Temas!$B$6:$B$305,$C1449)&amp;"",INDEX(Avulsos!$C$6:$C$205,$C1449)&amp;""))</f>
        <v/>
      </c>
      <c r="G1449" s="114" t="str">
        <f aca="false">IF($E1449="","",IF($B1449="Tema",INDEX(Config!$C$6:$C$11,$D1449),"Evento avulso"))</f>
        <v/>
      </c>
      <c r="H1449" s="114" t="str">
        <f aca="false">IF($E1449="","",IF($B1449="Tema",INDEX(Config!$D$6:$D$11,$D1449),IFERROR(INDEX(Config!$E$15:$E$19,MATCH($I1449,Config!$C$15:$C$19,0)),"•")))</f>
        <v/>
      </c>
      <c r="I1449" s="114" t="str">
        <f aca="false">IF($E1449="","",IF($B1449="Tema",INDEX(Config!$E$6:$E$11,$D1449),IF(INDEX(Avulsos!$D$6:$D$205,$C1449)&amp;""="","Outro",INDEX(Avulsos!$D$6:$D$205,$C1449))))</f>
        <v/>
      </c>
      <c r="J1449" s="114" t="str">
        <f aca="false">IF($E1449="","",IF($B1449="Tema",INDEX(Temas!$C$6:$C$305,$C1449)&amp;"",INDEX(Avulsos!$E$6:$E$205,$C1449)&amp;""))</f>
        <v/>
      </c>
      <c r="K1449" s="114" t="str">
        <f aca="false">IF($E1449="","",IF(IF($B1449="Tema",INDEX(Temas!$E$6:$P$305,$C1449,2*$D1449),INDEX(Avulsos!$F$6:$F$205,$C1449))&amp;""="","","✓"))</f>
        <v/>
      </c>
      <c r="L1449" s="114" t="str">
        <f aca="true">IF($E1449="","",IF($K1449="✓","Concluído",IF($E1449&lt;TODAY(),"Atrasado",IF($E1449=TODAY(),"Hoje","Pendente"))))</f>
        <v/>
      </c>
      <c r="M1449" s="114" t="str">
        <f aca="false">IF($E1449="","",IF($K1449="✓","✓ ","")&amp;IF(Config!$E$22="Sim",$H1449&amp;" · ","")&amp;$F1449)</f>
        <v/>
      </c>
      <c r="N1449" s="114" t="str">
        <f aca="false">IF($E1449="","",IFERROR(INDEX(Config!$D$15:$D$19,MATCH($I1449,Config!$C$15:$C$19,0)),"OUT")&amp;IF($K1449="✓","x",""))</f>
        <v/>
      </c>
      <c r="O1449" s="114" t="str">
        <f aca="false">IF($E1449="","",COUNTIF($E$5:$E1449,$E1449))</f>
        <v/>
      </c>
      <c r="P1449" s="114" t="str">
        <f aca="false">IF($E1449="","",$E1449*100+$O1449)</f>
        <v/>
      </c>
      <c r="Q1449" s="114" t="str">
        <f aca="false">IF($L1449="Atrasado",$E1449*10000+$A1449,"")</f>
        <v/>
      </c>
    </row>
    <row r="1450" customFormat="false" ht="15" hidden="false" customHeight="false" outlineLevel="0" collapsed="false">
      <c r="A1450" s="114" t="n">
        <f aca="false">ROW()-4</f>
        <v>1446</v>
      </c>
      <c r="B1450" s="114" t="str">
        <f aca="false">IF(A1450&lt;=Config!$E$27*Config!$E$28,"Tema","Avulso")</f>
        <v>Tema</v>
      </c>
      <c r="C1450" s="114" t="n">
        <f aca="false">IF(B1450="Tema",INT((A1450-1)/Config!$E$28)+1,A1450-Config!$E$27*Config!$E$28)</f>
        <v>241</v>
      </c>
      <c r="D1450" s="114" t="n">
        <f aca="false">IF(B1450="Tema",MOD(A1450-1,Config!$E$28)+1,"")</f>
        <v>6</v>
      </c>
      <c r="E1450" s="115" t="str">
        <f aca="false">IF($B1450="Tema",IF(ISNUMBER(INDEX(Temas!$E$6:$P$305,$C1450,2*$D1450-1)),INDEX(Temas!$E$6:$P$305,$C1450,2*$D1450-1),""),IF(ISNUMBER(INDEX(Avulsos!$B$6:$B$205,$C1450)),INDEX(Avulsos!$B$6:$B$205,$C1450),""))</f>
        <v/>
      </c>
      <c r="F1450" s="114" t="str">
        <f aca="false">IF($E1450="","",IF($B1450="Tema",INDEX(Temas!$B$6:$B$305,$C1450)&amp;"",INDEX(Avulsos!$C$6:$C$205,$C1450)&amp;""))</f>
        <v/>
      </c>
      <c r="G1450" s="114" t="str">
        <f aca="false">IF($E1450="","",IF($B1450="Tema",INDEX(Config!$C$6:$C$11,$D1450),"Evento avulso"))</f>
        <v/>
      </c>
      <c r="H1450" s="114" t="str">
        <f aca="false">IF($E1450="","",IF($B1450="Tema",INDEX(Config!$D$6:$D$11,$D1450),IFERROR(INDEX(Config!$E$15:$E$19,MATCH($I1450,Config!$C$15:$C$19,0)),"•")))</f>
        <v/>
      </c>
      <c r="I1450" s="114" t="str">
        <f aca="false">IF($E1450="","",IF($B1450="Tema",INDEX(Config!$E$6:$E$11,$D1450),IF(INDEX(Avulsos!$D$6:$D$205,$C1450)&amp;""="","Outro",INDEX(Avulsos!$D$6:$D$205,$C1450))))</f>
        <v/>
      </c>
      <c r="J1450" s="114" t="str">
        <f aca="false">IF($E1450="","",IF($B1450="Tema",INDEX(Temas!$C$6:$C$305,$C1450)&amp;"",INDEX(Avulsos!$E$6:$E$205,$C1450)&amp;""))</f>
        <v/>
      </c>
      <c r="K1450" s="114" t="str">
        <f aca="false">IF($E1450="","",IF(IF($B1450="Tema",INDEX(Temas!$E$6:$P$305,$C1450,2*$D1450),INDEX(Avulsos!$F$6:$F$205,$C1450))&amp;""="","","✓"))</f>
        <v/>
      </c>
      <c r="L1450" s="114" t="str">
        <f aca="true">IF($E1450="","",IF($K1450="✓","Concluído",IF($E1450&lt;TODAY(),"Atrasado",IF($E1450=TODAY(),"Hoje","Pendente"))))</f>
        <v/>
      </c>
      <c r="M1450" s="114" t="str">
        <f aca="false">IF($E1450="","",IF($K1450="✓","✓ ","")&amp;IF(Config!$E$22="Sim",$H1450&amp;" · ","")&amp;$F1450)</f>
        <v/>
      </c>
      <c r="N1450" s="114" t="str">
        <f aca="false">IF($E1450="","",IFERROR(INDEX(Config!$D$15:$D$19,MATCH($I1450,Config!$C$15:$C$19,0)),"OUT")&amp;IF($K1450="✓","x",""))</f>
        <v/>
      </c>
      <c r="O1450" s="114" t="str">
        <f aca="false">IF($E1450="","",COUNTIF($E$5:$E1450,$E1450))</f>
        <v/>
      </c>
      <c r="P1450" s="114" t="str">
        <f aca="false">IF($E1450="","",$E1450*100+$O1450)</f>
        <v/>
      </c>
      <c r="Q1450" s="114" t="str">
        <f aca="false">IF($L1450="Atrasado",$E1450*10000+$A1450,"")</f>
        <v/>
      </c>
    </row>
    <row r="1451" customFormat="false" ht="15" hidden="false" customHeight="false" outlineLevel="0" collapsed="false">
      <c r="A1451" s="114" t="n">
        <f aca="false">ROW()-4</f>
        <v>1447</v>
      </c>
      <c r="B1451" s="114" t="str">
        <f aca="false">IF(A1451&lt;=Config!$E$27*Config!$E$28,"Tema","Avulso")</f>
        <v>Tema</v>
      </c>
      <c r="C1451" s="114" t="n">
        <f aca="false">IF(B1451="Tema",INT((A1451-1)/Config!$E$28)+1,A1451-Config!$E$27*Config!$E$28)</f>
        <v>242</v>
      </c>
      <c r="D1451" s="114" t="n">
        <f aca="false">IF(B1451="Tema",MOD(A1451-1,Config!$E$28)+1,"")</f>
        <v>1</v>
      </c>
      <c r="E1451" s="115" t="str">
        <f aca="false">IF($B1451="Tema",IF(ISNUMBER(INDEX(Temas!$E$6:$P$305,$C1451,2*$D1451-1)),INDEX(Temas!$E$6:$P$305,$C1451,2*$D1451-1),""),IF(ISNUMBER(INDEX(Avulsos!$B$6:$B$205,$C1451)),INDEX(Avulsos!$B$6:$B$205,$C1451),""))</f>
        <v/>
      </c>
      <c r="F1451" s="114" t="str">
        <f aca="false">IF($E1451="","",IF($B1451="Tema",INDEX(Temas!$B$6:$B$305,$C1451)&amp;"",INDEX(Avulsos!$C$6:$C$205,$C1451)&amp;""))</f>
        <v/>
      </c>
      <c r="G1451" s="114" t="str">
        <f aca="false">IF($E1451="","",IF($B1451="Tema",INDEX(Config!$C$6:$C$11,$D1451),"Evento avulso"))</f>
        <v/>
      </c>
      <c r="H1451" s="114" t="str">
        <f aca="false">IF($E1451="","",IF($B1451="Tema",INDEX(Config!$D$6:$D$11,$D1451),IFERROR(INDEX(Config!$E$15:$E$19,MATCH($I1451,Config!$C$15:$C$19,0)),"•")))</f>
        <v/>
      </c>
      <c r="I1451" s="114" t="str">
        <f aca="false">IF($E1451="","",IF($B1451="Tema",INDEX(Config!$E$6:$E$11,$D1451),IF(INDEX(Avulsos!$D$6:$D$205,$C1451)&amp;""="","Outro",INDEX(Avulsos!$D$6:$D$205,$C1451))))</f>
        <v/>
      </c>
      <c r="J1451" s="114" t="str">
        <f aca="false">IF($E1451="","",IF($B1451="Tema",INDEX(Temas!$C$6:$C$305,$C1451)&amp;"",INDEX(Avulsos!$E$6:$E$205,$C1451)&amp;""))</f>
        <v/>
      </c>
      <c r="K1451" s="114" t="str">
        <f aca="false">IF($E1451="","",IF(IF($B1451="Tema",INDEX(Temas!$E$6:$P$305,$C1451,2*$D1451),INDEX(Avulsos!$F$6:$F$205,$C1451))&amp;""="","","✓"))</f>
        <v/>
      </c>
      <c r="L1451" s="114" t="str">
        <f aca="true">IF($E1451="","",IF($K1451="✓","Concluído",IF($E1451&lt;TODAY(),"Atrasado",IF($E1451=TODAY(),"Hoje","Pendente"))))</f>
        <v/>
      </c>
      <c r="M1451" s="114" t="str">
        <f aca="false">IF($E1451="","",IF($K1451="✓","✓ ","")&amp;IF(Config!$E$22="Sim",$H1451&amp;" · ","")&amp;$F1451)</f>
        <v/>
      </c>
      <c r="N1451" s="114" t="str">
        <f aca="false">IF($E1451="","",IFERROR(INDEX(Config!$D$15:$D$19,MATCH($I1451,Config!$C$15:$C$19,0)),"OUT")&amp;IF($K1451="✓","x",""))</f>
        <v/>
      </c>
      <c r="O1451" s="114" t="str">
        <f aca="false">IF($E1451="","",COUNTIF($E$5:$E1451,$E1451))</f>
        <v/>
      </c>
      <c r="P1451" s="114" t="str">
        <f aca="false">IF($E1451="","",$E1451*100+$O1451)</f>
        <v/>
      </c>
      <c r="Q1451" s="114" t="str">
        <f aca="false">IF($L1451="Atrasado",$E1451*10000+$A1451,"")</f>
        <v/>
      </c>
    </row>
    <row r="1452" customFormat="false" ht="15" hidden="false" customHeight="false" outlineLevel="0" collapsed="false">
      <c r="A1452" s="114" t="n">
        <f aca="false">ROW()-4</f>
        <v>1448</v>
      </c>
      <c r="B1452" s="114" t="str">
        <f aca="false">IF(A1452&lt;=Config!$E$27*Config!$E$28,"Tema","Avulso")</f>
        <v>Tema</v>
      </c>
      <c r="C1452" s="114" t="n">
        <f aca="false">IF(B1452="Tema",INT((A1452-1)/Config!$E$28)+1,A1452-Config!$E$27*Config!$E$28)</f>
        <v>242</v>
      </c>
      <c r="D1452" s="114" t="n">
        <f aca="false">IF(B1452="Tema",MOD(A1452-1,Config!$E$28)+1,"")</f>
        <v>2</v>
      </c>
      <c r="E1452" s="115" t="str">
        <f aca="false">IF($B1452="Tema",IF(ISNUMBER(INDEX(Temas!$E$6:$P$305,$C1452,2*$D1452-1)),INDEX(Temas!$E$6:$P$305,$C1452,2*$D1452-1),""),IF(ISNUMBER(INDEX(Avulsos!$B$6:$B$205,$C1452)),INDEX(Avulsos!$B$6:$B$205,$C1452),""))</f>
        <v/>
      </c>
      <c r="F1452" s="114" t="str">
        <f aca="false">IF($E1452="","",IF($B1452="Tema",INDEX(Temas!$B$6:$B$305,$C1452)&amp;"",INDEX(Avulsos!$C$6:$C$205,$C1452)&amp;""))</f>
        <v/>
      </c>
      <c r="G1452" s="114" t="str">
        <f aca="false">IF($E1452="","",IF($B1452="Tema",INDEX(Config!$C$6:$C$11,$D1452),"Evento avulso"))</f>
        <v/>
      </c>
      <c r="H1452" s="114" t="str">
        <f aca="false">IF($E1452="","",IF($B1452="Tema",INDEX(Config!$D$6:$D$11,$D1452),IFERROR(INDEX(Config!$E$15:$E$19,MATCH($I1452,Config!$C$15:$C$19,0)),"•")))</f>
        <v/>
      </c>
      <c r="I1452" s="114" t="str">
        <f aca="false">IF($E1452="","",IF($B1452="Tema",INDEX(Config!$E$6:$E$11,$D1452),IF(INDEX(Avulsos!$D$6:$D$205,$C1452)&amp;""="","Outro",INDEX(Avulsos!$D$6:$D$205,$C1452))))</f>
        <v/>
      </c>
      <c r="J1452" s="114" t="str">
        <f aca="false">IF($E1452="","",IF($B1452="Tema",INDEX(Temas!$C$6:$C$305,$C1452)&amp;"",INDEX(Avulsos!$E$6:$E$205,$C1452)&amp;""))</f>
        <v/>
      </c>
      <c r="K1452" s="114" t="str">
        <f aca="false">IF($E1452="","",IF(IF($B1452="Tema",INDEX(Temas!$E$6:$P$305,$C1452,2*$D1452),INDEX(Avulsos!$F$6:$F$205,$C1452))&amp;""="","","✓"))</f>
        <v/>
      </c>
      <c r="L1452" s="114" t="str">
        <f aca="true">IF($E1452="","",IF($K1452="✓","Concluído",IF($E1452&lt;TODAY(),"Atrasado",IF($E1452=TODAY(),"Hoje","Pendente"))))</f>
        <v/>
      </c>
      <c r="M1452" s="114" t="str">
        <f aca="false">IF($E1452="","",IF($K1452="✓","✓ ","")&amp;IF(Config!$E$22="Sim",$H1452&amp;" · ","")&amp;$F1452)</f>
        <v/>
      </c>
      <c r="N1452" s="114" t="str">
        <f aca="false">IF($E1452="","",IFERROR(INDEX(Config!$D$15:$D$19,MATCH($I1452,Config!$C$15:$C$19,0)),"OUT")&amp;IF($K1452="✓","x",""))</f>
        <v/>
      </c>
      <c r="O1452" s="114" t="str">
        <f aca="false">IF($E1452="","",COUNTIF($E$5:$E1452,$E1452))</f>
        <v/>
      </c>
      <c r="P1452" s="114" t="str">
        <f aca="false">IF($E1452="","",$E1452*100+$O1452)</f>
        <v/>
      </c>
      <c r="Q1452" s="114" t="str">
        <f aca="false">IF($L1452="Atrasado",$E1452*10000+$A1452,"")</f>
        <v/>
      </c>
    </row>
    <row r="1453" customFormat="false" ht="15" hidden="false" customHeight="false" outlineLevel="0" collapsed="false">
      <c r="A1453" s="114" t="n">
        <f aca="false">ROW()-4</f>
        <v>1449</v>
      </c>
      <c r="B1453" s="114" t="str">
        <f aca="false">IF(A1453&lt;=Config!$E$27*Config!$E$28,"Tema","Avulso")</f>
        <v>Tema</v>
      </c>
      <c r="C1453" s="114" t="n">
        <f aca="false">IF(B1453="Tema",INT((A1453-1)/Config!$E$28)+1,A1453-Config!$E$27*Config!$E$28)</f>
        <v>242</v>
      </c>
      <c r="D1453" s="114" t="n">
        <f aca="false">IF(B1453="Tema",MOD(A1453-1,Config!$E$28)+1,"")</f>
        <v>3</v>
      </c>
      <c r="E1453" s="115" t="str">
        <f aca="false">IF($B1453="Tema",IF(ISNUMBER(INDEX(Temas!$E$6:$P$305,$C1453,2*$D1453-1)),INDEX(Temas!$E$6:$P$305,$C1453,2*$D1453-1),""),IF(ISNUMBER(INDEX(Avulsos!$B$6:$B$205,$C1453)),INDEX(Avulsos!$B$6:$B$205,$C1453),""))</f>
        <v/>
      </c>
      <c r="F1453" s="114" t="str">
        <f aca="false">IF($E1453="","",IF($B1453="Tema",INDEX(Temas!$B$6:$B$305,$C1453)&amp;"",INDEX(Avulsos!$C$6:$C$205,$C1453)&amp;""))</f>
        <v/>
      </c>
      <c r="G1453" s="114" t="str">
        <f aca="false">IF($E1453="","",IF($B1453="Tema",INDEX(Config!$C$6:$C$11,$D1453),"Evento avulso"))</f>
        <v/>
      </c>
      <c r="H1453" s="114" t="str">
        <f aca="false">IF($E1453="","",IF($B1453="Tema",INDEX(Config!$D$6:$D$11,$D1453),IFERROR(INDEX(Config!$E$15:$E$19,MATCH($I1453,Config!$C$15:$C$19,0)),"•")))</f>
        <v/>
      </c>
      <c r="I1453" s="114" t="str">
        <f aca="false">IF($E1453="","",IF($B1453="Tema",INDEX(Config!$E$6:$E$11,$D1453),IF(INDEX(Avulsos!$D$6:$D$205,$C1453)&amp;""="","Outro",INDEX(Avulsos!$D$6:$D$205,$C1453))))</f>
        <v/>
      </c>
      <c r="J1453" s="114" t="str">
        <f aca="false">IF($E1453="","",IF($B1453="Tema",INDEX(Temas!$C$6:$C$305,$C1453)&amp;"",INDEX(Avulsos!$E$6:$E$205,$C1453)&amp;""))</f>
        <v/>
      </c>
      <c r="K1453" s="114" t="str">
        <f aca="false">IF($E1453="","",IF(IF($B1453="Tema",INDEX(Temas!$E$6:$P$305,$C1453,2*$D1453),INDEX(Avulsos!$F$6:$F$205,$C1453))&amp;""="","","✓"))</f>
        <v/>
      </c>
      <c r="L1453" s="114" t="str">
        <f aca="true">IF($E1453="","",IF($K1453="✓","Concluído",IF($E1453&lt;TODAY(),"Atrasado",IF($E1453=TODAY(),"Hoje","Pendente"))))</f>
        <v/>
      </c>
      <c r="M1453" s="114" t="str">
        <f aca="false">IF($E1453="","",IF($K1453="✓","✓ ","")&amp;IF(Config!$E$22="Sim",$H1453&amp;" · ","")&amp;$F1453)</f>
        <v/>
      </c>
      <c r="N1453" s="114" t="str">
        <f aca="false">IF($E1453="","",IFERROR(INDEX(Config!$D$15:$D$19,MATCH($I1453,Config!$C$15:$C$19,0)),"OUT")&amp;IF($K1453="✓","x",""))</f>
        <v/>
      </c>
      <c r="O1453" s="114" t="str">
        <f aca="false">IF($E1453="","",COUNTIF($E$5:$E1453,$E1453))</f>
        <v/>
      </c>
      <c r="P1453" s="114" t="str">
        <f aca="false">IF($E1453="","",$E1453*100+$O1453)</f>
        <v/>
      </c>
      <c r="Q1453" s="114" t="str">
        <f aca="false">IF($L1453="Atrasado",$E1453*10000+$A1453,"")</f>
        <v/>
      </c>
    </row>
    <row r="1454" customFormat="false" ht="15" hidden="false" customHeight="false" outlineLevel="0" collapsed="false">
      <c r="A1454" s="114" t="n">
        <f aca="false">ROW()-4</f>
        <v>1450</v>
      </c>
      <c r="B1454" s="114" t="str">
        <f aca="false">IF(A1454&lt;=Config!$E$27*Config!$E$28,"Tema","Avulso")</f>
        <v>Tema</v>
      </c>
      <c r="C1454" s="114" t="n">
        <f aca="false">IF(B1454="Tema",INT((A1454-1)/Config!$E$28)+1,A1454-Config!$E$27*Config!$E$28)</f>
        <v>242</v>
      </c>
      <c r="D1454" s="114" t="n">
        <f aca="false">IF(B1454="Tema",MOD(A1454-1,Config!$E$28)+1,"")</f>
        <v>4</v>
      </c>
      <c r="E1454" s="115" t="str">
        <f aca="false">IF($B1454="Tema",IF(ISNUMBER(INDEX(Temas!$E$6:$P$305,$C1454,2*$D1454-1)),INDEX(Temas!$E$6:$P$305,$C1454,2*$D1454-1),""),IF(ISNUMBER(INDEX(Avulsos!$B$6:$B$205,$C1454)),INDEX(Avulsos!$B$6:$B$205,$C1454),""))</f>
        <v/>
      </c>
      <c r="F1454" s="114" t="str">
        <f aca="false">IF($E1454="","",IF($B1454="Tema",INDEX(Temas!$B$6:$B$305,$C1454)&amp;"",INDEX(Avulsos!$C$6:$C$205,$C1454)&amp;""))</f>
        <v/>
      </c>
      <c r="G1454" s="114" t="str">
        <f aca="false">IF($E1454="","",IF($B1454="Tema",INDEX(Config!$C$6:$C$11,$D1454),"Evento avulso"))</f>
        <v/>
      </c>
      <c r="H1454" s="114" t="str">
        <f aca="false">IF($E1454="","",IF($B1454="Tema",INDEX(Config!$D$6:$D$11,$D1454),IFERROR(INDEX(Config!$E$15:$E$19,MATCH($I1454,Config!$C$15:$C$19,0)),"•")))</f>
        <v/>
      </c>
      <c r="I1454" s="114" t="str">
        <f aca="false">IF($E1454="","",IF($B1454="Tema",INDEX(Config!$E$6:$E$11,$D1454),IF(INDEX(Avulsos!$D$6:$D$205,$C1454)&amp;""="","Outro",INDEX(Avulsos!$D$6:$D$205,$C1454))))</f>
        <v/>
      </c>
      <c r="J1454" s="114" t="str">
        <f aca="false">IF($E1454="","",IF($B1454="Tema",INDEX(Temas!$C$6:$C$305,$C1454)&amp;"",INDEX(Avulsos!$E$6:$E$205,$C1454)&amp;""))</f>
        <v/>
      </c>
      <c r="K1454" s="114" t="str">
        <f aca="false">IF($E1454="","",IF(IF($B1454="Tema",INDEX(Temas!$E$6:$P$305,$C1454,2*$D1454),INDEX(Avulsos!$F$6:$F$205,$C1454))&amp;""="","","✓"))</f>
        <v/>
      </c>
      <c r="L1454" s="114" t="str">
        <f aca="true">IF($E1454="","",IF($K1454="✓","Concluído",IF($E1454&lt;TODAY(),"Atrasado",IF($E1454=TODAY(),"Hoje","Pendente"))))</f>
        <v/>
      </c>
      <c r="M1454" s="114" t="str">
        <f aca="false">IF($E1454="","",IF($K1454="✓","✓ ","")&amp;IF(Config!$E$22="Sim",$H1454&amp;" · ","")&amp;$F1454)</f>
        <v/>
      </c>
      <c r="N1454" s="114" t="str">
        <f aca="false">IF($E1454="","",IFERROR(INDEX(Config!$D$15:$D$19,MATCH($I1454,Config!$C$15:$C$19,0)),"OUT")&amp;IF($K1454="✓","x",""))</f>
        <v/>
      </c>
      <c r="O1454" s="114" t="str">
        <f aca="false">IF($E1454="","",COUNTIF($E$5:$E1454,$E1454))</f>
        <v/>
      </c>
      <c r="P1454" s="114" t="str">
        <f aca="false">IF($E1454="","",$E1454*100+$O1454)</f>
        <v/>
      </c>
      <c r="Q1454" s="114" t="str">
        <f aca="false">IF($L1454="Atrasado",$E1454*10000+$A1454,"")</f>
        <v/>
      </c>
    </row>
    <row r="1455" customFormat="false" ht="15" hidden="false" customHeight="false" outlineLevel="0" collapsed="false">
      <c r="A1455" s="114" t="n">
        <f aca="false">ROW()-4</f>
        <v>1451</v>
      </c>
      <c r="B1455" s="114" t="str">
        <f aca="false">IF(A1455&lt;=Config!$E$27*Config!$E$28,"Tema","Avulso")</f>
        <v>Tema</v>
      </c>
      <c r="C1455" s="114" t="n">
        <f aca="false">IF(B1455="Tema",INT((A1455-1)/Config!$E$28)+1,A1455-Config!$E$27*Config!$E$28)</f>
        <v>242</v>
      </c>
      <c r="D1455" s="114" t="n">
        <f aca="false">IF(B1455="Tema",MOD(A1455-1,Config!$E$28)+1,"")</f>
        <v>5</v>
      </c>
      <c r="E1455" s="115" t="str">
        <f aca="false">IF($B1455="Tema",IF(ISNUMBER(INDEX(Temas!$E$6:$P$305,$C1455,2*$D1455-1)),INDEX(Temas!$E$6:$P$305,$C1455,2*$D1455-1),""),IF(ISNUMBER(INDEX(Avulsos!$B$6:$B$205,$C1455)),INDEX(Avulsos!$B$6:$B$205,$C1455),""))</f>
        <v/>
      </c>
      <c r="F1455" s="114" t="str">
        <f aca="false">IF($E1455="","",IF($B1455="Tema",INDEX(Temas!$B$6:$B$305,$C1455)&amp;"",INDEX(Avulsos!$C$6:$C$205,$C1455)&amp;""))</f>
        <v/>
      </c>
      <c r="G1455" s="114" t="str">
        <f aca="false">IF($E1455="","",IF($B1455="Tema",INDEX(Config!$C$6:$C$11,$D1455),"Evento avulso"))</f>
        <v/>
      </c>
      <c r="H1455" s="114" t="str">
        <f aca="false">IF($E1455="","",IF($B1455="Tema",INDEX(Config!$D$6:$D$11,$D1455),IFERROR(INDEX(Config!$E$15:$E$19,MATCH($I1455,Config!$C$15:$C$19,0)),"•")))</f>
        <v/>
      </c>
      <c r="I1455" s="114" t="str">
        <f aca="false">IF($E1455="","",IF($B1455="Tema",INDEX(Config!$E$6:$E$11,$D1455),IF(INDEX(Avulsos!$D$6:$D$205,$C1455)&amp;""="","Outro",INDEX(Avulsos!$D$6:$D$205,$C1455))))</f>
        <v/>
      </c>
      <c r="J1455" s="114" t="str">
        <f aca="false">IF($E1455="","",IF($B1455="Tema",INDEX(Temas!$C$6:$C$305,$C1455)&amp;"",INDEX(Avulsos!$E$6:$E$205,$C1455)&amp;""))</f>
        <v/>
      </c>
      <c r="K1455" s="114" t="str">
        <f aca="false">IF($E1455="","",IF(IF($B1455="Tema",INDEX(Temas!$E$6:$P$305,$C1455,2*$D1455),INDEX(Avulsos!$F$6:$F$205,$C1455))&amp;""="","","✓"))</f>
        <v/>
      </c>
      <c r="L1455" s="114" t="str">
        <f aca="true">IF($E1455="","",IF($K1455="✓","Concluído",IF($E1455&lt;TODAY(),"Atrasado",IF($E1455=TODAY(),"Hoje","Pendente"))))</f>
        <v/>
      </c>
      <c r="M1455" s="114" t="str">
        <f aca="false">IF($E1455="","",IF($K1455="✓","✓ ","")&amp;IF(Config!$E$22="Sim",$H1455&amp;" · ","")&amp;$F1455)</f>
        <v/>
      </c>
      <c r="N1455" s="114" t="str">
        <f aca="false">IF($E1455="","",IFERROR(INDEX(Config!$D$15:$D$19,MATCH($I1455,Config!$C$15:$C$19,0)),"OUT")&amp;IF($K1455="✓","x",""))</f>
        <v/>
      </c>
      <c r="O1455" s="114" t="str">
        <f aca="false">IF($E1455="","",COUNTIF($E$5:$E1455,$E1455))</f>
        <v/>
      </c>
      <c r="P1455" s="114" t="str">
        <f aca="false">IF($E1455="","",$E1455*100+$O1455)</f>
        <v/>
      </c>
      <c r="Q1455" s="114" t="str">
        <f aca="false">IF($L1455="Atrasado",$E1455*10000+$A1455,"")</f>
        <v/>
      </c>
    </row>
    <row r="1456" customFormat="false" ht="15" hidden="false" customHeight="false" outlineLevel="0" collapsed="false">
      <c r="A1456" s="114" t="n">
        <f aca="false">ROW()-4</f>
        <v>1452</v>
      </c>
      <c r="B1456" s="114" t="str">
        <f aca="false">IF(A1456&lt;=Config!$E$27*Config!$E$28,"Tema","Avulso")</f>
        <v>Tema</v>
      </c>
      <c r="C1456" s="114" t="n">
        <f aca="false">IF(B1456="Tema",INT((A1456-1)/Config!$E$28)+1,A1456-Config!$E$27*Config!$E$28)</f>
        <v>242</v>
      </c>
      <c r="D1456" s="114" t="n">
        <f aca="false">IF(B1456="Tema",MOD(A1456-1,Config!$E$28)+1,"")</f>
        <v>6</v>
      </c>
      <c r="E1456" s="115" t="str">
        <f aca="false">IF($B1456="Tema",IF(ISNUMBER(INDEX(Temas!$E$6:$P$305,$C1456,2*$D1456-1)),INDEX(Temas!$E$6:$P$305,$C1456,2*$D1456-1),""),IF(ISNUMBER(INDEX(Avulsos!$B$6:$B$205,$C1456)),INDEX(Avulsos!$B$6:$B$205,$C1456),""))</f>
        <v/>
      </c>
      <c r="F1456" s="114" t="str">
        <f aca="false">IF($E1456="","",IF($B1456="Tema",INDEX(Temas!$B$6:$B$305,$C1456)&amp;"",INDEX(Avulsos!$C$6:$C$205,$C1456)&amp;""))</f>
        <v/>
      </c>
      <c r="G1456" s="114" t="str">
        <f aca="false">IF($E1456="","",IF($B1456="Tema",INDEX(Config!$C$6:$C$11,$D1456),"Evento avulso"))</f>
        <v/>
      </c>
      <c r="H1456" s="114" t="str">
        <f aca="false">IF($E1456="","",IF($B1456="Tema",INDEX(Config!$D$6:$D$11,$D1456),IFERROR(INDEX(Config!$E$15:$E$19,MATCH($I1456,Config!$C$15:$C$19,0)),"•")))</f>
        <v/>
      </c>
      <c r="I1456" s="114" t="str">
        <f aca="false">IF($E1456="","",IF($B1456="Tema",INDEX(Config!$E$6:$E$11,$D1456),IF(INDEX(Avulsos!$D$6:$D$205,$C1456)&amp;""="","Outro",INDEX(Avulsos!$D$6:$D$205,$C1456))))</f>
        <v/>
      </c>
      <c r="J1456" s="114" t="str">
        <f aca="false">IF($E1456="","",IF($B1456="Tema",INDEX(Temas!$C$6:$C$305,$C1456)&amp;"",INDEX(Avulsos!$E$6:$E$205,$C1456)&amp;""))</f>
        <v/>
      </c>
      <c r="K1456" s="114" t="str">
        <f aca="false">IF($E1456="","",IF(IF($B1456="Tema",INDEX(Temas!$E$6:$P$305,$C1456,2*$D1456),INDEX(Avulsos!$F$6:$F$205,$C1456))&amp;""="","","✓"))</f>
        <v/>
      </c>
      <c r="L1456" s="114" t="str">
        <f aca="true">IF($E1456="","",IF($K1456="✓","Concluído",IF($E1456&lt;TODAY(),"Atrasado",IF($E1456=TODAY(),"Hoje","Pendente"))))</f>
        <v/>
      </c>
      <c r="M1456" s="114" t="str">
        <f aca="false">IF($E1456="","",IF($K1456="✓","✓ ","")&amp;IF(Config!$E$22="Sim",$H1456&amp;" · ","")&amp;$F1456)</f>
        <v/>
      </c>
      <c r="N1456" s="114" t="str">
        <f aca="false">IF($E1456="","",IFERROR(INDEX(Config!$D$15:$D$19,MATCH($I1456,Config!$C$15:$C$19,0)),"OUT")&amp;IF($K1456="✓","x",""))</f>
        <v/>
      </c>
      <c r="O1456" s="114" t="str">
        <f aca="false">IF($E1456="","",COUNTIF($E$5:$E1456,$E1456))</f>
        <v/>
      </c>
      <c r="P1456" s="114" t="str">
        <f aca="false">IF($E1456="","",$E1456*100+$O1456)</f>
        <v/>
      </c>
      <c r="Q1456" s="114" t="str">
        <f aca="false">IF($L1456="Atrasado",$E1456*10000+$A1456,"")</f>
        <v/>
      </c>
    </row>
    <row r="1457" customFormat="false" ht="15" hidden="false" customHeight="false" outlineLevel="0" collapsed="false">
      <c r="A1457" s="114" t="n">
        <f aca="false">ROW()-4</f>
        <v>1453</v>
      </c>
      <c r="B1457" s="114" t="str">
        <f aca="false">IF(A1457&lt;=Config!$E$27*Config!$E$28,"Tema","Avulso")</f>
        <v>Tema</v>
      </c>
      <c r="C1457" s="114" t="n">
        <f aca="false">IF(B1457="Tema",INT((A1457-1)/Config!$E$28)+1,A1457-Config!$E$27*Config!$E$28)</f>
        <v>243</v>
      </c>
      <c r="D1457" s="114" t="n">
        <f aca="false">IF(B1457="Tema",MOD(A1457-1,Config!$E$28)+1,"")</f>
        <v>1</v>
      </c>
      <c r="E1457" s="115" t="str">
        <f aca="false">IF($B1457="Tema",IF(ISNUMBER(INDEX(Temas!$E$6:$P$305,$C1457,2*$D1457-1)),INDEX(Temas!$E$6:$P$305,$C1457,2*$D1457-1),""),IF(ISNUMBER(INDEX(Avulsos!$B$6:$B$205,$C1457)),INDEX(Avulsos!$B$6:$B$205,$C1457),""))</f>
        <v/>
      </c>
      <c r="F1457" s="114" t="str">
        <f aca="false">IF($E1457="","",IF($B1457="Tema",INDEX(Temas!$B$6:$B$305,$C1457)&amp;"",INDEX(Avulsos!$C$6:$C$205,$C1457)&amp;""))</f>
        <v/>
      </c>
      <c r="G1457" s="114" t="str">
        <f aca="false">IF($E1457="","",IF($B1457="Tema",INDEX(Config!$C$6:$C$11,$D1457),"Evento avulso"))</f>
        <v/>
      </c>
      <c r="H1457" s="114" t="str">
        <f aca="false">IF($E1457="","",IF($B1457="Tema",INDEX(Config!$D$6:$D$11,$D1457),IFERROR(INDEX(Config!$E$15:$E$19,MATCH($I1457,Config!$C$15:$C$19,0)),"•")))</f>
        <v/>
      </c>
      <c r="I1457" s="114" t="str">
        <f aca="false">IF($E1457="","",IF($B1457="Tema",INDEX(Config!$E$6:$E$11,$D1457),IF(INDEX(Avulsos!$D$6:$D$205,$C1457)&amp;""="","Outro",INDEX(Avulsos!$D$6:$D$205,$C1457))))</f>
        <v/>
      </c>
      <c r="J1457" s="114" t="str">
        <f aca="false">IF($E1457="","",IF($B1457="Tema",INDEX(Temas!$C$6:$C$305,$C1457)&amp;"",INDEX(Avulsos!$E$6:$E$205,$C1457)&amp;""))</f>
        <v/>
      </c>
      <c r="K1457" s="114" t="str">
        <f aca="false">IF($E1457="","",IF(IF($B1457="Tema",INDEX(Temas!$E$6:$P$305,$C1457,2*$D1457),INDEX(Avulsos!$F$6:$F$205,$C1457))&amp;""="","","✓"))</f>
        <v/>
      </c>
      <c r="L1457" s="114" t="str">
        <f aca="true">IF($E1457="","",IF($K1457="✓","Concluído",IF($E1457&lt;TODAY(),"Atrasado",IF($E1457=TODAY(),"Hoje","Pendente"))))</f>
        <v/>
      </c>
      <c r="M1457" s="114" t="str">
        <f aca="false">IF($E1457="","",IF($K1457="✓","✓ ","")&amp;IF(Config!$E$22="Sim",$H1457&amp;" · ","")&amp;$F1457)</f>
        <v/>
      </c>
      <c r="N1457" s="114" t="str">
        <f aca="false">IF($E1457="","",IFERROR(INDEX(Config!$D$15:$D$19,MATCH($I1457,Config!$C$15:$C$19,0)),"OUT")&amp;IF($K1457="✓","x",""))</f>
        <v/>
      </c>
      <c r="O1457" s="114" t="str">
        <f aca="false">IF($E1457="","",COUNTIF($E$5:$E1457,$E1457))</f>
        <v/>
      </c>
      <c r="P1457" s="114" t="str">
        <f aca="false">IF($E1457="","",$E1457*100+$O1457)</f>
        <v/>
      </c>
      <c r="Q1457" s="114" t="str">
        <f aca="false">IF($L1457="Atrasado",$E1457*10000+$A1457,"")</f>
        <v/>
      </c>
    </row>
    <row r="1458" customFormat="false" ht="15" hidden="false" customHeight="false" outlineLevel="0" collapsed="false">
      <c r="A1458" s="114" t="n">
        <f aca="false">ROW()-4</f>
        <v>1454</v>
      </c>
      <c r="B1458" s="114" t="str">
        <f aca="false">IF(A1458&lt;=Config!$E$27*Config!$E$28,"Tema","Avulso")</f>
        <v>Tema</v>
      </c>
      <c r="C1458" s="114" t="n">
        <f aca="false">IF(B1458="Tema",INT((A1458-1)/Config!$E$28)+1,A1458-Config!$E$27*Config!$E$28)</f>
        <v>243</v>
      </c>
      <c r="D1458" s="114" t="n">
        <f aca="false">IF(B1458="Tema",MOD(A1458-1,Config!$E$28)+1,"")</f>
        <v>2</v>
      </c>
      <c r="E1458" s="115" t="str">
        <f aca="false">IF($B1458="Tema",IF(ISNUMBER(INDEX(Temas!$E$6:$P$305,$C1458,2*$D1458-1)),INDEX(Temas!$E$6:$P$305,$C1458,2*$D1458-1),""),IF(ISNUMBER(INDEX(Avulsos!$B$6:$B$205,$C1458)),INDEX(Avulsos!$B$6:$B$205,$C1458),""))</f>
        <v/>
      </c>
      <c r="F1458" s="114" t="str">
        <f aca="false">IF($E1458="","",IF($B1458="Tema",INDEX(Temas!$B$6:$B$305,$C1458)&amp;"",INDEX(Avulsos!$C$6:$C$205,$C1458)&amp;""))</f>
        <v/>
      </c>
      <c r="G1458" s="114" t="str">
        <f aca="false">IF($E1458="","",IF($B1458="Tema",INDEX(Config!$C$6:$C$11,$D1458),"Evento avulso"))</f>
        <v/>
      </c>
      <c r="H1458" s="114" t="str">
        <f aca="false">IF($E1458="","",IF($B1458="Tema",INDEX(Config!$D$6:$D$11,$D1458),IFERROR(INDEX(Config!$E$15:$E$19,MATCH($I1458,Config!$C$15:$C$19,0)),"•")))</f>
        <v/>
      </c>
      <c r="I1458" s="114" t="str">
        <f aca="false">IF($E1458="","",IF($B1458="Tema",INDEX(Config!$E$6:$E$11,$D1458),IF(INDEX(Avulsos!$D$6:$D$205,$C1458)&amp;""="","Outro",INDEX(Avulsos!$D$6:$D$205,$C1458))))</f>
        <v/>
      </c>
      <c r="J1458" s="114" t="str">
        <f aca="false">IF($E1458="","",IF($B1458="Tema",INDEX(Temas!$C$6:$C$305,$C1458)&amp;"",INDEX(Avulsos!$E$6:$E$205,$C1458)&amp;""))</f>
        <v/>
      </c>
      <c r="K1458" s="114" t="str">
        <f aca="false">IF($E1458="","",IF(IF($B1458="Tema",INDEX(Temas!$E$6:$P$305,$C1458,2*$D1458),INDEX(Avulsos!$F$6:$F$205,$C1458))&amp;""="","","✓"))</f>
        <v/>
      </c>
      <c r="L1458" s="114" t="str">
        <f aca="true">IF($E1458="","",IF($K1458="✓","Concluído",IF($E1458&lt;TODAY(),"Atrasado",IF($E1458=TODAY(),"Hoje","Pendente"))))</f>
        <v/>
      </c>
      <c r="M1458" s="114" t="str">
        <f aca="false">IF($E1458="","",IF($K1458="✓","✓ ","")&amp;IF(Config!$E$22="Sim",$H1458&amp;" · ","")&amp;$F1458)</f>
        <v/>
      </c>
      <c r="N1458" s="114" t="str">
        <f aca="false">IF($E1458="","",IFERROR(INDEX(Config!$D$15:$D$19,MATCH($I1458,Config!$C$15:$C$19,0)),"OUT")&amp;IF($K1458="✓","x",""))</f>
        <v/>
      </c>
      <c r="O1458" s="114" t="str">
        <f aca="false">IF($E1458="","",COUNTIF($E$5:$E1458,$E1458))</f>
        <v/>
      </c>
      <c r="P1458" s="114" t="str">
        <f aca="false">IF($E1458="","",$E1458*100+$O1458)</f>
        <v/>
      </c>
      <c r="Q1458" s="114" t="str">
        <f aca="false">IF($L1458="Atrasado",$E1458*10000+$A1458,"")</f>
        <v/>
      </c>
    </row>
    <row r="1459" customFormat="false" ht="15" hidden="false" customHeight="false" outlineLevel="0" collapsed="false">
      <c r="A1459" s="114" t="n">
        <f aca="false">ROW()-4</f>
        <v>1455</v>
      </c>
      <c r="B1459" s="114" t="str">
        <f aca="false">IF(A1459&lt;=Config!$E$27*Config!$E$28,"Tema","Avulso")</f>
        <v>Tema</v>
      </c>
      <c r="C1459" s="114" t="n">
        <f aca="false">IF(B1459="Tema",INT((A1459-1)/Config!$E$28)+1,A1459-Config!$E$27*Config!$E$28)</f>
        <v>243</v>
      </c>
      <c r="D1459" s="114" t="n">
        <f aca="false">IF(B1459="Tema",MOD(A1459-1,Config!$E$28)+1,"")</f>
        <v>3</v>
      </c>
      <c r="E1459" s="115" t="str">
        <f aca="false">IF($B1459="Tema",IF(ISNUMBER(INDEX(Temas!$E$6:$P$305,$C1459,2*$D1459-1)),INDEX(Temas!$E$6:$P$305,$C1459,2*$D1459-1),""),IF(ISNUMBER(INDEX(Avulsos!$B$6:$B$205,$C1459)),INDEX(Avulsos!$B$6:$B$205,$C1459),""))</f>
        <v/>
      </c>
      <c r="F1459" s="114" t="str">
        <f aca="false">IF($E1459="","",IF($B1459="Tema",INDEX(Temas!$B$6:$B$305,$C1459)&amp;"",INDEX(Avulsos!$C$6:$C$205,$C1459)&amp;""))</f>
        <v/>
      </c>
      <c r="G1459" s="114" t="str">
        <f aca="false">IF($E1459="","",IF($B1459="Tema",INDEX(Config!$C$6:$C$11,$D1459),"Evento avulso"))</f>
        <v/>
      </c>
      <c r="H1459" s="114" t="str">
        <f aca="false">IF($E1459="","",IF($B1459="Tema",INDEX(Config!$D$6:$D$11,$D1459),IFERROR(INDEX(Config!$E$15:$E$19,MATCH($I1459,Config!$C$15:$C$19,0)),"•")))</f>
        <v/>
      </c>
      <c r="I1459" s="114" t="str">
        <f aca="false">IF($E1459="","",IF($B1459="Tema",INDEX(Config!$E$6:$E$11,$D1459),IF(INDEX(Avulsos!$D$6:$D$205,$C1459)&amp;""="","Outro",INDEX(Avulsos!$D$6:$D$205,$C1459))))</f>
        <v/>
      </c>
      <c r="J1459" s="114" t="str">
        <f aca="false">IF($E1459="","",IF($B1459="Tema",INDEX(Temas!$C$6:$C$305,$C1459)&amp;"",INDEX(Avulsos!$E$6:$E$205,$C1459)&amp;""))</f>
        <v/>
      </c>
      <c r="K1459" s="114" t="str">
        <f aca="false">IF($E1459="","",IF(IF($B1459="Tema",INDEX(Temas!$E$6:$P$305,$C1459,2*$D1459),INDEX(Avulsos!$F$6:$F$205,$C1459))&amp;""="","","✓"))</f>
        <v/>
      </c>
      <c r="L1459" s="114" t="str">
        <f aca="true">IF($E1459="","",IF($K1459="✓","Concluído",IF($E1459&lt;TODAY(),"Atrasado",IF($E1459=TODAY(),"Hoje","Pendente"))))</f>
        <v/>
      </c>
      <c r="M1459" s="114" t="str">
        <f aca="false">IF($E1459="","",IF($K1459="✓","✓ ","")&amp;IF(Config!$E$22="Sim",$H1459&amp;" · ","")&amp;$F1459)</f>
        <v/>
      </c>
      <c r="N1459" s="114" t="str">
        <f aca="false">IF($E1459="","",IFERROR(INDEX(Config!$D$15:$D$19,MATCH($I1459,Config!$C$15:$C$19,0)),"OUT")&amp;IF($K1459="✓","x",""))</f>
        <v/>
      </c>
      <c r="O1459" s="114" t="str">
        <f aca="false">IF($E1459="","",COUNTIF($E$5:$E1459,$E1459))</f>
        <v/>
      </c>
      <c r="P1459" s="114" t="str">
        <f aca="false">IF($E1459="","",$E1459*100+$O1459)</f>
        <v/>
      </c>
      <c r="Q1459" s="114" t="str">
        <f aca="false">IF($L1459="Atrasado",$E1459*10000+$A1459,"")</f>
        <v/>
      </c>
    </row>
    <row r="1460" customFormat="false" ht="15" hidden="false" customHeight="false" outlineLevel="0" collapsed="false">
      <c r="A1460" s="114" t="n">
        <f aca="false">ROW()-4</f>
        <v>1456</v>
      </c>
      <c r="B1460" s="114" t="str">
        <f aca="false">IF(A1460&lt;=Config!$E$27*Config!$E$28,"Tema","Avulso")</f>
        <v>Tema</v>
      </c>
      <c r="C1460" s="114" t="n">
        <f aca="false">IF(B1460="Tema",INT((A1460-1)/Config!$E$28)+1,A1460-Config!$E$27*Config!$E$28)</f>
        <v>243</v>
      </c>
      <c r="D1460" s="114" t="n">
        <f aca="false">IF(B1460="Tema",MOD(A1460-1,Config!$E$28)+1,"")</f>
        <v>4</v>
      </c>
      <c r="E1460" s="115" t="str">
        <f aca="false">IF($B1460="Tema",IF(ISNUMBER(INDEX(Temas!$E$6:$P$305,$C1460,2*$D1460-1)),INDEX(Temas!$E$6:$P$305,$C1460,2*$D1460-1),""),IF(ISNUMBER(INDEX(Avulsos!$B$6:$B$205,$C1460)),INDEX(Avulsos!$B$6:$B$205,$C1460),""))</f>
        <v/>
      </c>
      <c r="F1460" s="114" t="str">
        <f aca="false">IF($E1460="","",IF($B1460="Tema",INDEX(Temas!$B$6:$B$305,$C1460)&amp;"",INDEX(Avulsos!$C$6:$C$205,$C1460)&amp;""))</f>
        <v/>
      </c>
      <c r="G1460" s="114" t="str">
        <f aca="false">IF($E1460="","",IF($B1460="Tema",INDEX(Config!$C$6:$C$11,$D1460),"Evento avulso"))</f>
        <v/>
      </c>
      <c r="H1460" s="114" t="str">
        <f aca="false">IF($E1460="","",IF($B1460="Tema",INDEX(Config!$D$6:$D$11,$D1460),IFERROR(INDEX(Config!$E$15:$E$19,MATCH($I1460,Config!$C$15:$C$19,0)),"•")))</f>
        <v/>
      </c>
      <c r="I1460" s="114" t="str">
        <f aca="false">IF($E1460="","",IF($B1460="Tema",INDEX(Config!$E$6:$E$11,$D1460),IF(INDEX(Avulsos!$D$6:$D$205,$C1460)&amp;""="","Outro",INDEX(Avulsos!$D$6:$D$205,$C1460))))</f>
        <v/>
      </c>
      <c r="J1460" s="114" t="str">
        <f aca="false">IF($E1460="","",IF($B1460="Tema",INDEX(Temas!$C$6:$C$305,$C1460)&amp;"",INDEX(Avulsos!$E$6:$E$205,$C1460)&amp;""))</f>
        <v/>
      </c>
      <c r="K1460" s="114" t="str">
        <f aca="false">IF($E1460="","",IF(IF($B1460="Tema",INDEX(Temas!$E$6:$P$305,$C1460,2*$D1460),INDEX(Avulsos!$F$6:$F$205,$C1460))&amp;""="","","✓"))</f>
        <v/>
      </c>
      <c r="L1460" s="114" t="str">
        <f aca="true">IF($E1460="","",IF($K1460="✓","Concluído",IF($E1460&lt;TODAY(),"Atrasado",IF($E1460=TODAY(),"Hoje","Pendente"))))</f>
        <v/>
      </c>
      <c r="M1460" s="114" t="str">
        <f aca="false">IF($E1460="","",IF($K1460="✓","✓ ","")&amp;IF(Config!$E$22="Sim",$H1460&amp;" · ","")&amp;$F1460)</f>
        <v/>
      </c>
      <c r="N1460" s="114" t="str">
        <f aca="false">IF($E1460="","",IFERROR(INDEX(Config!$D$15:$D$19,MATCH($I1460,Config!$C$15:$C$19,0)),"OUT")&amp;IF($K1460="✓","x",""))</f>
        <v/>
      </c>
      <c r="O1460" s="114" t="str">
        <f aca="false">IF($E1460="","",COUNTIF($E$5:$E1460,$E1460))</f>
        <v/>
      </c>
      <c r="P1460" s="114" t="str">
        <f aca="false">IF($E1460="","",$E1460*100+$O1460)</f>
        <v/>
      </c>
      <c r="Q1460" s="114" t="str">
        <f aca="false">IF($L1460="Atrasado",$E1460*10000+$A1460,"")</f>
        <v/>
      </c>
    </row>
    <row r="1461" customFormat="false" ht="15" hidden="false" customHeight="false" outlineLevel="0" collapsed="false">
      <c r="A1461" s="114" t="n">
        <f aca="false">ROW()-4</f>
        <v>1457</v>
      </c>
      <c r="B1461" s="114" t="str">
        <f aca="false">IF(A1461&lt;=Config!$E$27*Config!$E$28,"Tema","Avulso")</f>
        <v>Tema</v>
      </c>
      <c r="C1461" s="114" t="n">
        <f aca="false">IF(B1461="Tema",INT((A1461-1)/Config!$E$28)+1,A1461-Config!$E$27*Config!$E$28)</f>
        <v>243</v>
      </c>
      <c r="D1461" s="114" t="n">
        <f aca="false">IF(B1461="Tema",MOD(A1461-1,Config!$E$28)+1,"")</f>
        <v>5</v>
      </c>
      <c r="E1461" s="115" t="str">
        <f aca="false">IF($B1461="Tema",IF(ISNUMBER(INDEX(Temas!$E$6:$P$305,$C1461,2*$D1461-1)),INDEX(Temas!$E$6:$P$305,$C1461,2*$D1461-1),""),IF(ISNUMBER(INDEX(Avulsos!$B$6:$B$205,$C1461)),INDEX(Avulsos!$B$6:$B$205,$C1461),""))</f>
        <v/>
      </c>
      <c r="F1461" s="114" t="str">
        <f aca="false">IF($E1461="","",IF($B1461="Tema",INDEX(Temas!$B$6:$B$305,$C1461)&amp;"",INDEX(Avulsos!$C$6:$C$205,$C1461)&amp;""))</f>
        <v/>
      </c>
      <c r="G1461" s="114" t="str">
        <f aca="false">IF($E1461="","",IF($B1461="Tema",INDEX(Config!$C$6:$C$11,$D1461),"Evento avulso"))</f>
        <v/>
      </c>
      <c r="H1461" s="114" t="str">
        <f aca="false">IF($E1461="","",IF($B1461="Tema",INDEX(Config!$D$6:$D$11,$D1461),IFERROR(INDEX(Config!$E$15:$E$19,MATCH($I1461,Config!$C$15:$C$19,0)),"•")))</f>
        <v/>
      </c>
      <c r="I1461" s="114" t="str">
        <f aca="false">IF($E1461="","",IF($B1461="Tema",INDEX(Config!$E$6:$E$11,$D1461),IF(INDEX(Avulsos!$D$6:$D$205,$C1461)&amp;""="","Outro",INDEX(Avulsos!$D$6:$D$205,$C1461))))</f>
        <v/>
      </c>
      <c r="J1461" s="114" t="str">
        <f aca="false">IF($E1461="","",IF($B1461="Tema",INDEX(Temas!$C$6:$C$305,$C1461)&amp;"",INDEX(Avulsos!$E$6:$E$205,$C1461)&amp;""))</f>
        <v/>
      </c>
      <c r="K1461" s="114" t="str">
        <f aca="false">IF($E1461="","",IF(IF($B1461="Tema",INDEX(Temas!$E$6:$P$305,$C1461,2*$D1461),INDEX(Avulsos!$F$6:$F$205,$C1461))&amp;""="","","✓"))</f>
        <v/>
      </c>
      <c r="L1461" s="114" t="str">
        <f aca="true">IF($E1461="","",IF($K1461="✓","Concluído",IF($E1461&lt;TODAY(),"Atrasado",IF($E1461=TODAY(),"Hoje","Pendente"))))</f>
        <v/>
      </c>
      <c r="M1461" s="114" t="str">
        <f aca="false">IF($E1461="","",IF($K1461="✓","✓ ","")&amp;IF(Config!$E$22="Sim",$H1461&amp;" · ","")&amp;$F1461)</f>
        <v/>
      </c>
      <c r="N1461" s="114" t="str">
        <f aca="false">IF($E1461="","",IFERROR(INDEX(Config!$D$15:$D$19,MATCH($I1461,Config!$C$15:$C$19,0)),"OUT")&amp;IF($K1461="✓","x",""))</f>
        <v/>
      </c>
      <c r="O1461" s="114" t="str">
        <f aca="false">IF($E1461="","",COUNTIF($E$5:$E1461,$E1461))</f>
        <v/>
      </c>
      <c r="P1461" s="114" t="str">
        <f aca="false">IF($E1461="","",$E1461*100+$O1461)</f>
        <v/>
      </c>
      <c r="Q1461" s="114" t="str">
        <f aca="false">IF($L1461="Atrasado",$E1461*10000+$A1461,"")</f>
        <v/>
      </c>
    </row>
    <row r="1462" customFormat="false" ht="15" hidden="false" customHeight="false" outlineLevel="0" collapsed="false">
      <c r="A1462" s="114" t="n">
        <f aca="false">ROW()-4</f>
        <v>1458</v>
      </c>
      <c r="B1462" s="114" t="str">
        <f aca="false">IF(A1462&lt;=Config!$E$27*Config!$E$28,"Tema","Avulso")</f>
        <v>Tema</v>
      </c>
      <c r="C1462" s="114" t="n">
        <f aca="false">IF(B1462="Tema",INT((A1462-1)/Config!$E$28)+1,A1462-Config!$E$27*Config!$E$28)</f>
        <v>243</v>
      </c>
      <c r="D1462" s="114" t="n">
        <f aca="false">IF(B1462="Tema",MOD(A1462-1,Config!$E$28)+1,"")</f>
        <v>6</v>
      </c>
      <c r="E1462" s="115" t="str">
        <f aca="false">IF($B1462="Tema",IF(ISNUMBER(INDEX(Temas!$E$6:$P$305,$C1462,2*$D1462-1)),INDEX(Temas!$E$6:$P$305,$C1462,2*$D1462-1),""),IF(ISNUMBER(INDEX(Avulsos!$B$6:$B$205,$C1462)),INDEX(Avulsos!$B$6:$B$205,$C1462),""))</f>
        <v/>
      </c>
      <c r="F1462" s="114" t="str">
        <f aca="false">IF($E1462="","",IF($B1462="Tema",INDEX(Temas!$B$6:$B$305,$C1462)&amp;"",INDEX(Avulsos!$C$6:$C$205,$C1462)&amp;""))</f>
        <v/>
      </c>
      <c r="G1462" s="114" t="str">
        <f aca="false">IF($E1462="","",IF($B1462="Tema",INDEX(Config!$C$6:$C$11,$D1462),"Evento avulso"))</f>
        <v/>
      </c>
      <c r="H1462" s="114" t="str">
        <f aca="false">IF($E1462="","",IF($B1462="Tema",INDEX(Config!$D$6:$D$11,$D1462),IFERROR(INDEX(Config!$E$15:$E$19,MATCH($I1462,Config!$C$15:$C$19,0)),"•")))</f>
        <v/>
      </c>
      <c r="I1462" s="114" t="str">
        <f aca="false">IF($E1462="","",IF($B1462="Tema",INDEX(Config!$E$6:$E$11,$D1462),IF(INDEX(Avulsos!$D$6:$D$205,$C1462)&amp;""="","Outro",INDEX(Avulsos!$D$6:$D$205,$C1462))))</f>
        <v/>
      </c>
      <c r="J1462" s="114" t="str">
        <f aca="false">IF($E1462="","",IF($B1462="Tema",INDEX(Temas!$C$6:$C$305,$C1462)&amp;"",INDEX(Avulsos!$E$6:$E$205,$C1462)&amp;""))</f>
        <v/>
      </c>
      <c r="K1462" s="114" t="str">
        <f aca="false">IF($E1462="","",IF(IF($B1462="Tema",INDEX(Temas!$E$6:$P$305,$C1462,2*$D1462),INDEX(Avulsos!$F$6:$F$205,$C1462))&amp;""="","","✓"))</f>
        <v/>
      </c>
      <c r="L1462" s="114" t="str">
        <f aca="true">IF($E1462="","",IF($K1462="✓","Concluído",IF($E1462&lt;TODAY(),"Atrasado",IF($E1462=TODAY(),"Hoje","Pendente"))))</f>
        <v/>
      </c>
      <c r="M1462" s="114" t="str">
        <f aca="false">IF($E1462="","",IF($K1462="✓","✓ ","")&amp;IF(Config!$E$22="Sim",$H1462&amp;" · ","")&amp;$F1462)</f>
        <v/>
      </c>
      <c r="N1462" s="114" t="str">
        <f aca="false">IF($E1462="","",IFERROR(INDEX(Config!$D$15:$D$19,MATCH($I1462,Config!$C$15:$C$19,0)),"OUT")&amp;IF($K1462="✓","x",""))</f>
        <v/>
      </c>
      <c r="O1462" s="114" t="str">
        <f aca="false">IF($E1462="","",COUNTIF($E$5:$E1462,$E1462))</f>
        <v/>
      </c>
      <c r="P1462" s="114" t="str">
        <f aca="false">IF($E1462="","",$E1462*100+$O1462)</f>
        <v/>
      </c>
      <c r="Q1462" s="114" t="str">
        <f aca="false">IF($L1462="Atrasado",$E1462*10000+$A1462,"")</f>
        <v/>
      </c>
    </row>
    <row r="1463" customFormat="false" ht="15" hidden="false" customHeight="false" outlineLevel="0" collapsed="false">
      <c r="A1463" s="114" t="n">
        <f aca="false">ROW()-4</f>
        <v>1459</v>
      </c>
      <c r="B1463" s="114" t="str">
        <f aca="false">IF(A1463&lt;=Config!$E$27*Config!$E$28,"Tema","Avulso")</f>
        <v>Tema</v>
      </c>
      <c r="C1463" s="114" t="n">
        <f aca="false">IF(B1463="Tema",INT((A1463-1)/Config!$E$28)+1,A1463-Config!$E$27*Config!$E$28)</f>
        <v>244</v>
      </c>
      <c r="D1463" s="114" t="n">
        <f aca="false">IF(B1463="Tema",MOD(A1463-1,Config!$E$28)+1,"")</f>
        <v>1</v>
      </c>
      <c r="E1463" s="115" t="str">
        <f aca="false">IF($B1463="Tema",IF(ISNUMBER(INDEX(Temas!$E$6:$P$305,$C1463,2*$D1463-1)),INDEX(Temas!$E$6:$P$305,$C1463,2*$D1463-1),""),IF(ISNUMBER(INDEX(Avulsos!$B$6:$B$205,$C1463)),INDEX(Avulsos!$B$6:$B$205,$C1463),""))</f>
        <v/>
      </c>
      <c r="F1463" s="114" t="str">
        <f aca="false">IF($E1463="","",IF($B1463="Tema",INDEX(Temas!$B$6:$B$305,$C1463)&amp;"",INDEX(Avulsos!$C$6:$C$205,$C1463)&amp;""))</f>
        <v/>
      </c>
      <c r="G1463" s="114" t="str">
        <f aca="false">IF($E1463="","",IF($B1463="Tema",INDEX(Config!$C$6:$C$11,$D1463),"Evento avulso"))</f>
        <v/>
      </c>
      <c r="H1463" s="114" t="str">
        <f aca="false">IF($E1463="","",IF($B1463="Tema",INDEX(Config!$D$6:$D$11,$D1463),IFERROR(INDEX(Config!$E$15:$E$19,MATCH($I1463,Config!$C$15:$C$19,0)),"•")))</f>
        <v/>
      </c>
      <c r="I1463" s="114" t="str">
        <f aca="false">IF($E1463="","",IF($B1463="Tema",INDEX(Config!$E$6:$E$11,$D1463),IF(INDEX(Avulsos!$D$6:$D$205,$C1463)&amp;""="","Outro",INDEX(Avulsos!$D$6:$D$205,$C1463))))</f>
        <v/>
      </c>
      <c r="J1463" s="114" t="str">
        <f aca="false">IF($E1463="","",IF($B1463="Tema",INDEX(Temas!$C$6:$C$305,$C1463)&amp;"",INDEX(Avulsos!$E$6:$E$205,$C1463)&amp;""))</f>
        <v/>
      </c>
      <c r="K1463" s="114" t="str">
        <f aca="false">IF($E1463="","",IF(IF($B1463="Tema",INDEX(Temas!$E$6:$P$305,$C1463,2*$D1463),INDEX(Avulsos!$F$6:$F$205,$C1463))&amp;""="","","✓"))</f>
        <v/>
      </c>
      <c r="L1463" s="114" t="str">
        <f aca="true">IF($E1463="","",IF($K1463="✓","Concluído",IF($E1463&lt;TODAY(),"Atrasado",IF($E1463=TODAY(),"Hoje","Pendente"))))</f>
        <v/>
      </c>
      <c r="M1463" s="114" t="str">
        <f aca="false">IF($E1463="","",IF($K1463="✓","✓ ","")&amp;IF(Config!$E$22="Sim",$H1463&amp;" · ","")&amp;$F1463)</f>
        <v/>
      </c>
      <c r="N1463" s="114" t="str">
        <f aca="false">IF($E1463="","",IFERROR(INDEX(Config!$D$15:$D$19,MATCH($I1463,Config!$C$15:$C$19,0)),"OUT")&amp;IF($K1463="✓","x",""))</f>
        <v/>
      </c>
      <c r="O1463" s="114" t="str">
        <f aca="false">IF($E1463="","",COUNTIF($E$5:$E1463,$E1463))</f>
        <v/>
      </c>
      <c r="P1463" s="114" t="str">
        <f aca="false">IF($E1463="","",$E1463*100+$O1463)</f>
        <v/>
      </c>
      <c r="Q1463" s="114" t="str">
        <f aca="false">IF($L1463="Atrasado",$E1463*10000+$A1463,"")</f>
        <v/>
      </c>
    </row>
    <row r="1464" customFormat="false" ht="15" hidden="false" customHeight="false" outlineLevel="0" collapsed="false">
      <c r="A1464" s="114" t="n">
        <f aca="false">ROW()-4</f>
        <v>1460</v>
      </c>
      <c r="B1464" s="114" t="str">
        <f aca="false">IF(A1464&lt;=Config!$E$27*Config!$E$28,"Tema","Avulso")</f>
        <v>Tema</v>
      </c>
      <c r="C1464" s="114" t="n">
        <f aca="false">IF(B1464="Tema",INT((A1464-1)/Config!$E$28)+1,A1464-Config!$E$27*Config!$E$28)</f>
        <v>244</v>
      </c>
      <c r="D1464" s="114" t="n">
        <f aca="false">IF(B1464="Tema",MOD(A1464-1,Config!$E$28)+1,"")</f>
        <v>2</v>
      </c>
      <c r="E1464" s="115" t="str">
        <f aca="false">IF($B1464="Tema",IF(ISNUMBER(INDEX(Temas!$E$6:$P$305,$C1464,2*$D1464-1)),INDEX(Temas!$E$6:$P$305,$C1464,2*$D1464-1),""),IF(ISNUMBER(INDEX(Avulsos!$B$6:$B$205,$C1464)),INDEX(Avulsos!$B$6:$B$205,$C1464),""))</f>
        <v/>
      </c>
      <c r="F1464" s="114" t="str">
        <f aca="false">IF($E1464="","",IF($B1464="Tema",INDEX(Temas!$B$6:$B$305,$C1464)&amp;"",INDEX(Avulsos!$C$6:$C$205,$C1464)&amp;""))</f>
        <v/>
      </c>
      <c r="G1464" s="114" t="str">
        <f aca="false">IF($E1464="","",IF($B1464="Tema",INDEX(Config!$C$6:$C$11,$D1464),"Evento avulso"))</f>
        <v/>
      </c>
      <c r="H1464" s="114" t="str">
        <f aca="false">IF($E1464="","",IF($B1464="Tema",INDEX(Config!$D$6:$D$11,$D1464),IFERROR(INDEX(Config!$E$15:$E$19,MATCH($I1464,Config!$C$15:$C$19,0)),"•")))</f>
        <v/>
      </c>
      <c r="I1464" s="114" t="str">
        <f aca="false">IF($E1464="","",IF($B1464="Tema",INDEX(Config!$E$6:$E$11,$D1464),IF(INDEX(Avulsos!$D$6:$D$205,$C1464)&amp;""="","Outro",INDEX(Avulsos!$D$6:$D$205,$C1464))))</f>
        <v/>
      </c>
      <c r="J1464" s="114" t="str">
        <f aca="false">IF($E1464="","",IF($B1464="Tema",INDEX(Temas!$C$6:$C$305,$C1464)&amp;"",INDEX(Avulsos!$E$6:$E$205,$C1464)&amp;""))</f>
        <v/>
      </c>
      <c r="K1464" s="114" t="str">
        <f aca="false">IF($E1464="","",IF(IF($B1464="Tema",INDEX(Temas!$E$6:$P$305,$C1464,2*$D1464),INDEX(Avulsos!$F$6:$F$205,$C1464))&amp;""="","","✓"))</f>
        <v/>
      </c>
      <c r="L1464" s="114" t="str">
        <f aca="true">IF($E1464="","",IF($K1464="✓","Concluído",IF($E1464&lt;TODAY(),"Atrasado",IF($E1464=TODAY(),"Hoje","Pendente"))))</f>
        <v/>
      </c>
      <c r="M1464" s="114" t="str">
        <f aca="false">IF($E1464="","",IF($K1464="✓","✓ ","")&amp;IF(Config!$E$22="Sim",$H1464&amp;" · ","")&amp;$F1464)</f>
        <v/>
      </c>
      <c r="N1464" s="114" t="str">
        <f aca="false">IF($E1464="","",IFERROR(INDEX(Config!$D$15:$D$19,MATCH($I1464,Config!$C$15:$C$19,0)),"OUT")&amp;IF($K1464="✓","x",""))</f>
        <v/>
      </c>
      <c r="O1464" s="114" t="str">
        <f aca="false">IF($E1464="","",COUNTIF($E$5:$E1464,$E1464))</f>
        <v/>
      </c>
      <c r="P1464" s="114" t="str">
        <f aca="false">IF($E1464="","",$E1464*100+$O1464)</f>
        <v/>
      </c>
      <c r="Q1464" s="114" t="str">
        <f aca="false">IF($L1464="Atrasado",$E1464*10000+$A1464,"")</f>
        <v/>
      </c>
    </row>
    <row r="1465" customFormat="false" ht="15" hidden="false" customHeight="false" outlineLevel="0" collapsed="false">
      <c r="A1465" s="114" t="n">
        <f aca="false">ROW()-4</f>
        <v>1461</v>
      </c>
      <c r="B1465" s="114" t="str">
        <f aca="false">IF(A1465&lt;=Config!$E$27*Config!$E$28,"Tema","Avulso")</f>
        <v>Tema</v>
      </c>
      <c r="C1465" s="114" t="n">
        <f aca="false">IF(B1465="Tema",INT((A1465-1)/Config!$E$28)+1,A1465-Config!$E$27*Config!$E$28)</f>
        <v>244</v>
      </c>
      <c r="D1465" s="114" t="n">
        <f aca="false">IF(B1465="Tema",MOD(A1465-1,Config!$E$28)+1,"")</f>
        <v>3</v>
      </c>
      <c r="E1465" s="115" t="str">
        <f aca="false">IF($B1465="Tema",IF(ISNUMBER(INDEX(Temas!$E$6:$P$305,$C1465,2*$D1465-1)),INDEX(Temas!$E$6:$P$305,$C1465,2*$D1465-1),""),IF(ISNUMBER(INDEX(Avulsos!$B$6:$B$205,$C1465)),INDEX(Avulsos!$B$6:$B$205,$C1465),""))</f>
        <v/>
      </c>
      <c r="F1465" s="114" t="str">
        <f aca="false">IF($E1465="","",IF($B1465="Tema",INDEX(Temas!$B$6:$B$305,$C1465)&amp;"",INDEX(Avulsos!$C$6:$C$205,$C1465)&amp;""))</f>
        <v/>
      </c>
      <c r="G1465" s="114" t="str">
        <f aca="false">IF($E1465="","",IF($B1465="Tema",INDEX(Config!$C$6:$C$11,$D1465),"Evento avulso"))</f>
        <v/>
      </c>
      <c r="H1465" s="114" t="str">
        <f aca="false">IF($E1465="","",IF($B1465="Tema",INDEX(Config!$D$6:$D$11,$D1465),IFERROR(INDEX(Config!$E$15:$E$19,MATCH($I1465,Config!$C$15:$C$19,0)),"•")))</f>
        <v/>
      </c>
      <c r="I1465" s="114" t="str">
        <f aca="false">IF($E1465="","",IF($B1465="Tema",INDEX(Config!$E$6:$E$11,$D1465),IF(INDEX(Avulsos!$D$6:$D$205,$C1465)&amp;""="","Outro",INDEX(Avulsos!$D$6:$D$205,$C1465))))</f>
        <v/>
      </c>
      <c r="J1465" s="114" t="str">
        <f aca="false">IF($E1465="","",IF($B1465="Tema",INDEX(Temas!$C$6:$C$305,$C1465)&amp;"",INDEX(Avulsos!$E$6:$E$205,$C1465)&amp;""))</f>
        <v/>
      </c>
      <c r="K1465" s="114" t="str">
        <f aca="false">IF($E1465="","",IF(IF($B1465="Tema",INDEX(Temas!$E$6:$P$305,$C1465,2*$D1465),INDEX(Avulsos!$F$6:$F$205,$C1465))&amp;""="","","✓"))</f>
        <v/>
      </c>
      <c r="L1465" s="114" t="str">
        <f aca="true">IF($E1465="","",IF($K1465="✓","Concluído",IF($E1465&lt;TODAY(),"Atrasado",IF($E1465=TODAY(),"Hoje","Pendente"))))</f>
        <v/>
      </c>
      <c r="M1465" s="114" t="str">
        <f aca="false">IF($E1465="","",IF($K1465="✓","✓ ","")&amp;IF(Config!$E$22="Sim",$H1465&amp;" · ","")&amp;$F1465)</f>
        <v/>
      </c>
      <c r="N1465" s="114" t="str">
        <f aca="false">IF($E1465="","",IFERROR(INDEX(Config!$D$15:$D$19,MATCH($I1465,Config!$C$15:$C$19,0)),"OUT")&amp;IF($K1465="✓","x",""))</f>
        <v/>
      </c>
      <c r="O1465" s="114" t="str">
        <f aca="false">IF($E1465="","",COUNTIF($E$5:$E1465,$E1465))</f>
        <v/>
      </c>
      <c r="P1465" s="114" t="str">
        <f aca="false">IF($E1465="","",$E1465*100+$O1465)</f>
        <v/>
      </c>
      <c r="Q1465" s="114" t="str">
        <f aca="false">IF($L1465="Atrasado",$E1465*10000+$A1465,"")</f>
        <v/>
      </c>
    </row>
    <row r="1466" customFormat="false" ht="15" hidden="false" customHeight="false" outlineLevel="0" collapsed="false">
      <c r="A1466" s="114" t="n">
        <f aca="false">ROW()-4</f>
        <v>1462</v>
      </c>
      <c r="B1466" s="114" t="str">
        <f aca="false">IF(A1466&lt;=Config!$E$27*Config!$E$28,"Tema","Avulso")</f>
        <v>Tema</v>
      </c>
      <c r="C1466" s="114" t="n">
        <f aca="false">IF(B1466="Tema",INT((A1466-1)/Config!$E$28)+1,A1466-Config!$E$27*Config!$E$28)</f>
        <v>244</v>
      </c>
      <c r="D1466" s="114" t="n">
        <f aca="false">IF(B1466="Tema",MOD(A1466-1,Config!$E$28)+1,"")</f>
        <v>4</v>
      </c>
      <c r="E1466" s="115" t="str">
        <f aca="false">IF($B1466="Tema",IF(ISNUMBER(INDEX(Temas!$E$6:$P$305,$C1466,2*$D1466-1)),INDEX(Temas!$E$6:$P$305,$C1466,2*$D1466-1),""),IF(ISNUMBER(INDEX(Avulsos!$B$6:$B$205,$C1466)),INDEX(Avulsos!$B$6:$B$205,$C1466),""))</f>
        <v/>
      </c>
      <c r="F1466" s="114" t="str">
        <f aca="false">IF($E1466="","",IF($B1466="Tema",INDEX(Temas!$B$6:$B$305,$C1466)&amp;"",INDEX(Avulsos!$C$6:$C$205,$C1466)&amp;""))</f>
        <v/>
      </c>
      <c r="G1466" s="114" t="str">
        <f aca="false">IF($E1466="","",IF($B1466="Tema",INDEX(Config!$C$6:$C$11,$D1466),"Evento avulso"))</f>
        <v/>
      </c>
      <c r="H1466" s="114" t="str">
        <f aca="false">IF($E1466="","",IF($B1466="Tema",INDEX(Config!$D$6:$D$11,$D1466),IFERROR(INDEX(Config!$E$15:$E$19,MATCH($I1466,Config!$C$15:$C$19,0)),"•")))</f>
        <v/>
      </c>
      <c r="I1466" s="114" t="str">
        <f aca="false">IF($E1466="","",IF($B1466="Tema",INDEX(Config!$E$6:$E$11,$D1466),IF(INDEX(Avulsos!$D$6:$D$205,$C1466)&amp;""="","Outro",INDEX(Avulsos!$D$6:$D$205,$C1466))))</f>
        <v/>
      </c>
      <c r="J1466" s="114" t="str">
        <f aca="false">IF($E1466="","",IF($B1466="Tema",INDEX(Temas!$C$6:$C$305,$C1466)&amp;"",INDEX(Avulsos!$E$6:$E$205,$C1466)&amp;""))</f>
        <v/>
      </c>
      <c r="K1466" s="114" t="str">
        <f aca="false">IF($E1466="","",IF(IF($B1466="Tema",INDEX(Temas!$E$6:$P$305,$C1466,2*$D1466),INDEX(Avulsos!$F$6:$F$205,$C1466))&amp;""="","","✓"))</f>
        <v/>
      </c>
      <c r="L1466" s="114" t="str">
        <f aca="true">IF($E1466="","",IF($K1466="✓","Concluído",IF($E1466&lt;TODAY(),"Atrasado",IF($E1466=TODAY(),"Hoje","Pendente"))))</f>
        <v/>
      </c>
      <c r="M1466" s="114" t="str">
        <f aca="false">IF($E1466="","",IF($K1466="✓","✓ ","")&amp;IF(Config!$E$22="Sim",$H1466&amp;" · ","")&amp;$F1466)</f>
        <v/>
      </c>
      <c r="N1466" s="114" t="str">
        <f aca="false">IF($E1466="","",IFERROR(INDEX(Config!$D$15:$D$19,MATCH($I1466,Config!$C$15:$C$19,0)),"OUT")&amp;IF($K1466="✓","x",""))</f>
        <v/>
      </c>
      <c r="O1466" s="114" t="str">
        <f aca="false">IF($E1466="","",COUNTIF($E$5:$E1466,$E1466))</f>
        <v/>
      </c>
      <c r="P1466" s="114" t="str">
        <f aca="false">IF($E1466="","",$E1466*100+$O1466)</f>
        <v/>
      </c>
      <c r="Q1466" s="114" t="str">
        <f aca="false">IF($L1466="Atrasado",$E1466*10000+$A1466,"")</f>
        <v/>
      </c>
    </row>
    <row r="1467" customFormat="false" ht="15" hidden="false" customHeight="false" outlineLevel="0" collapsed="false">
      <c r="A1467" s="114" t="n">
        <f aca="false">ROW()-4</f>
        <v>1463</v>
      </c>
      <c r="B1467" s="114" t="str">
        <f aca="false">IF(A1467&lt;=Config!$E$27*Config!$E$28,"Tema","Avulso")</f>
        <v>Tema</v>
      </c>
      <c r="C1467" s="114" t="n">
        <f aca="false">IF(B1467="Tema",INT((A1467-1)/Config!$E$28)+1,A1467-Config!$E$27*Config!$E$28)</f>
        <v>244</v>
      </c>
      <c r="D1467" s="114" t="n">
        <f aca="false">IF(B1467="Tema",MOD(A1467-1,Config!$E$28)+1,"")</f>
        <v>5</v>
      </c>
      <c r="E1467" s="115" t="str">
        <f aca="false">IF($B1467="Tema",IF(ISNUMBER(INDEX(Temas!$E$6:$P$305,$C1467,2*$D1467-1)),INDEX(Temas!$E$6:$P$305,$C1467,2*$D1467-1),""),IF(ISNUMBER(INDEX(Avulsos!$B$6:$B$205,$C1467)),INDEX(Avulsos!$B$6:$B$205,$C1467),""))</f>
        <v/>
      </c>
      <c r="F1467" s="114" t="str">
        <f aca="false">IF($E1467="","",IF($B1467="Tema",INDEX(Temas!$B$6:$B$305,$C1467)&amp;"",INDEX(Avulsos!$C$6:$C$205,$C1467)&amp;""))</f>
        <v/>
      </c>
      <c r="G1467" s="114" t="str">
        <f aca="false">IF($E1467="","",IF($B1467="Tema",INDEX(Config!$C$6:$C$11,$D1467),"Evento avulso"))</f>
        <v/>
      </c>
      <c r="H1467" s="114" t="str">
        <f aca="false">IF($E1467="","",IF($B1467="Tema",INDEX(Config!$D$6:$D$11,$D1467),IFERROR(INDEX(Config!$E$15:$E$19,MATCH($I1467,Config!$C$15:$C$19,0)),"•")))</f>
        <v/>
      </c>
      <c r="I1467" s="114" t="str">
        <f aca="false">IF($E1467="","",IF($B1467="Tema",INDEX(Config!$E$6:$E$11,$D1467),IF(INDEX(Avulsos!$D$6:$D$205,$C1467)&amp;""="","Outro",INDEX(Avulsos!$D$6:$D$205,$C1467))))</f>
        <v/>
      </c>
      <c r="J1467" s="114" t="str">
        <f aca="false">IF($E1467="","",IF($B1467="Tema",INDEX(Temas!$C$6:$C$305,$C1467)&amp;"",INDEX(Avulsos!$E$6:$E$205,$C1467)&amp;""))</f>
        <v/>
      </c>
      <c r="K1467" s="114" t="str">
        <f aca="false">IF($E1467="","",IF(IF($B1467="Tema",INDEX(Temas!$E$6:$P$305,$C1467,2*$D1467),INDEX(Avulsos!$F$6:$F$205,$C1467))&amp;""="","","✓"))</f>
        <v/>
      </c>
      <c r="L1467" s="114" t="str">
        <f aca="true">IF($E1467="","",IF($K1467="✓","Concluído",IF($E1467&lt;TODAY(),"Atrasado",IF($E1467=TODAY(),"Hoje","Pendente"))))</f>
        <v/>
      </c>
      <c r="M1467" s="114" t="str">
        <f aca="false">IF($E1467="","",IF($K1467="✓","✓ ","")&amp;IF(Config!$E$22="Sim",$H1467&amp;" · ","")&amp;$F1467)</f>
        <v/>
      </c>
      <c r="N1467" s="114" t="str">
        <f aca="false">IF($E1467="","",IFERROR(INDEX(Config!$D$15:$D$19,MATCH($I1467,Config!$C$15:$C$19,0)),"OUT")&amp;IF($K1467="✓","x",""))</f>
        <v/>
      </c>
      <c r="O1467" s="114" t="str">
        <f aca="false">IF($E1467="","",COUNTIF($E$5:$E1467,$E1467))</f>
        <v/>
      </c>
      <c r="P1467" s="114" t="str">
        <f aca="false">IF($E1467="","",$E1467*100+$O1467)</f>
        <v/>
      </c>
      <c r="Q1467" s="114" t="str">
        <f aca="false">IF($L1467="Atrasado",$E1467*10000+$A1467,"")</f>
        <v/>
      </c>
    </row>
    <row r="1468" customFormat="false" ht="15" hidden="false" customHeight="false" outlineLevel="0" collapsed="false">
      <c r="A1468" s="114" t="n">
        <f aca="false">ROW()-4</f>
        <v>1464</v>
      </c>
      <c r="B1468" s="114" t="str">
        <f aca="false">IF(A1468&lt;=Config!$E$27*Config!$E$28,"Tema","Avulso")</f>
        <v>Tema</v>
      </c>
      <c r="C1468" s="114" t="n">
        <f aca="false">IF(B1468="Tema",INT((A1468-1)/Config!$E$28)+1,A1468-Config!$E$27*Config!$E$28)</f>
        <v>244</v>
      </c>
      <c r="D1468" s="114" t="n">
        <f aca="false">IF(B1468="Tema",MOD(A1468-1,Config!$E$28)+1,"")</f>
        <v>6</v>
      </c>
      <c r="E1468" s="115" t="str">
        <f aca="false">IF($B1468="Tema",IF(ISNUMBER(INDEX(Temas!$E$6:$P$305,$C1468,2*$D1468-1)),INDEX(Temas!$E$6:$P$305,$C1468,2*$D1468-1),""),IF(ISNUMBER(INDEX(Avulsos!$B$6:$B$205,$C1468)),INDEX(Avulsos!$B$6:$B$205,$C1468),""))</f>
        <v/>
      </c>
      <c r="F1468" s="114" t="str">
        <f aca="false">IF($E1468="","",IF($B1468="Tema",INDEX(Temas!$B$6:$B$305,$C1468)&amp;"",INDEX(Avulsos!$C$6:$C$205,$C1468)&amp;""))</f>
        <v/>
      </c>
      <c r="G1468" s="114" t="str">
        <f aca="false">IF($E1468="","",IF($B1468="Tema",INDEX(Config!$C$6:$C$11,$D1468),"Evento avulso"))</f>
        <v/>
      </c>
      <c r="H1468" s="114" t="str">
        <f aca="false">IF($E1468="","",IF($B1468="Tema",INDEX(Config!$D$6:$D$11,$D1468),IFERROR(INDEX(Config!$E$15:$E$19,MATCH($I1468,Config!$C$15:$C$19,0)),"•")))</f>
        <v/>
      </c>
      <c r="I1468" s="114" t="str">
        <f aca="false">IF($E1468="","",IF($B1468="Tema",INDEX(Config!$E$6:$E$11,$D1468),IF(INDEX(Avulsos!$D$6:$D$205,$C1468)&amp;""="","Outro",INDEX(Avulsos!$D$6:$D$205,$C1468))))</f>
        <v/>
      </c>
      <c r="J1468" s="114" t="str">
        <f aca="false">IF($E1468="","",IF($B1468="Tema",INDEX(Temas!$C$6:$C$305,$C1468)&amp;"",INDEX(Avulsos!$E$6:$E$205,$C1468)&amp;""))</f>
        <v/>
      </c>
      <c r="K1468" s="114" t="str">
        <f aca="false">IF($E1468="","",IF(IF($B1468="Tema",INDEX(Temas!$E$6:$P$305,$C1468,2*$D1468),INDEX(Avulsos!$F$6:$F$205,$C1468))&amp;""="","","✓"))</f>
        <v/>
      </c>
      <c r="L1468" s="114" t="str">
        <f aca="true">IF($E1468="","",IF($K1468="✓","Concluído",IF($E1468&lt;TODAY(),"Atrasado",IF($E1468=TODAY(),"Hoje","Pendente"))))</f>
        <v/>
      </c>
      <c r="M1468" s="114" t="str">
        <f aca="false">IF($E1468="","",IF($K1468="✓","✓ ","")&amp;IF(Config!$E$22="Sim",$H1468&amp;" · ","")&amp;$F1468)</f>
        <v/>
      </c>
      <c r="N1468" s="114" t="str">
        <f aca="false">IF($E1468="","",IFERROR(INDEX(Config!$D$15:$D$19,MATCH($I1468,Config!$C$15:$C$19,0)),"OUT")&amp;IF($K1468="✓","x",""))</f>
        <v/>
      </c>
      <c r="O1468" s="114" t="str">
        <f aca="false">IF($E1468="","",COUNTIF($E$5:$E1468,$E1468))</f>
        <v/>
      </c>
      <c r="P1468" s="114" t="str">
        <f aca="false">IF($E1468="","",$E1468*100+$O1468)</f>
        <v/>
      </c>
      <c r="Q1468" s="114" t="str">
        <f aca="false">IF($L1468="Atrasado",$E1468*10000+$A1468,"")</f>
        <v/>
      </c>
    </row>
    <row r="1469" customFormat="false" ht="15" hidden="false" customHeight="false" outlineLevel="0" collapsed="false">
      <c r="A1469" s="114" t="n">
        <f aca="false">ROW()-4</f>
        <v>1465</v>
      </c>
      <c r="B1469" s="114" t="str">
        <f aca="false">IF(A1469&lt;=Config!$E$27*Config!$E$28,"Tema","Avulso")</f>
        <v>Tema</v>
      </c>
      <c r="C1469" s="114" t="n">
        <f aca="false">IF(B1469="Tema",INT((A1469-1)/Config!$E$28)+1,A1469-Config!$E$27*Config!$E$28)</f>
        <v>245</v>
      </c>
      <c r="D1469" s="114" t="n">
        <f aca="false">IF(B1469="Tema",MOD(A1469-1,Config!$E$28)+1,"")</f>
        <v>1</v>
      </c>
      <c r="E1469" s="115" t="str">
        <f aca="false">IF($B1469="Tema",IF(ISNUMBER(INDEX(Temas!$E$6:$P$305,$C1469,2*$D1469-1)),INDEX(Temas!$E$6:$P$305,$C1469,2*$D1469-1),""),IF(ISNUMBER(INDEX(Avulsos!$B$6:$B$205,$C1469)),INDEX(Avulsos!$B$6:$B$205,$C1469),""))</f>
        <v/>
      </c>
      <c r="F1469" s="114" t="str">
        <f aca="false">IF($E1469="","",IF($B1469="Tema",INDEX(Temas!$B$6:$B$305,$C1469)&amp;"",INDEX(Avulsos!$C$6:$C$205,$C1469)&amp;""))</f>
        <v/>
      </c>
      <c r="G1469" s="114" t="str">
        <f aca="false">IF($E1469="","",IF($B1469="Tema",INDEX(Config!$C$6:$C$11,$D1469),"Evento avulso"))</f>
        <v/>
      </c>
      <c r="H1469" s="114" t="str">
        <f aca="false">IF($E1469="","",IF($B1469="Tema",INDEX(Config!$D$6:$D$11,$D1469),IFERROR(INDEX(Config!$E$15:$E$19,MATCH($I1469,Config!$C$15:$C$19,0)),"•")))</f>
        <v/>
      </c>
      <c r="I1469" s="114" t="str">
        <f aca="false">IF($E1469="","",IF($B1469="Tema",INDEX(Config!$E$6:$E$11,$D1469),IF(INDEX(Avulsos!$D$6:$D$205,$C1469)&amp;""="","Outro",INDEX(Avulsos!$D$6:$D$205,$C1469))))</f>
        <v/>
      </c>
      <c r="J1469" s="114" t="str">
        <f aca="false">IF($E1469="","",IF($B1469="Tema",INDEX(Temas!$C$6:$C$305,$C1469)&amp;"",INDEX(Avulsos!$E$6:$E$205,$C1469)&amp;""))</f>
        <v/>
      </c>
      <c r="K1469" s="114" t="str">
        <f aca="false">IF($E1469="","",IF(IF($B1469="Tema",INDEX(Temas!$E$6:$P$305,$C1469,2*$D1469),INDEX(Avulsos!$F$6:$F$205,$C1469))&amp;""="","","✓"))</f>
        <v/>
      </c>
      <c r="L1469" s="114" t="str">
        <f aca="true">IF($E1469="","",IF($K1469="✓","Concluído",IF($E1469&lt;TODAY(),"Atrasado",IF($E1469=TODAY(),"Hoje","Pendente"))))</f>
        <v/>
      </c>
      <c r="M1469" s="114" t="str">
        <f aca="false">IF($E1469="","",IF($K1469="✓","✓ ","")&amp;IF(Config!$E$22="Sim",$H1469&amp;" · ","")&amp;$F1469)</f>
        <v/>
      </c>
      <c r="N1469" s="114" t="str">
        <f aca="false">IF($E1469="","",IFERROR(INDEX(Config!$D$15:$D$19,MATCH($I1469,Config!$C$15:$C$19,0)),"OUT")&amp;IF($K1469="✓","x",""))</f>
        <v/>
      </c>
      <c r="O1469" s="114" t="str">
        <f aca="false">IF($E1469="","",COUNTIF($E$5:$E1469,$E1469))</f>
        <v/>
      </c>
      <c r="P1469" s="114" t="str">
        <f aca="false">IF($E1469="","",$E1469*100+$O1469)</f>
        <v/>
      </c>
      <c r="Q1469" s="114" t="str">
        <f aca="false">IF($L1469="Atrasado",$E1469*10000+$A1469,"")</f>
        <v/>
      </c>
    </row>
    <row r="1470" customFormat="false" ht="15" hidden="false" customHeight="false" outlineLevel="0" collapsed="false">
      <c r="A1470" s="114" t="n">
        <f aca="false">ROW()-4</f>
        <v>1466</v>
      </c>
      <c r="B1470" s="114" t="str">
        <f aca="false">IF(A1470&lt;=Config!$E$27*Config!$E$28,"Tema","Avulso")</f>
        <v>Tema</v>
      </c>
      <c r="C1470" s="114" t="n">
        <f aca="false">IF(B1470="Tema",INT((A1470-1)/Config!$E$28)+1,A1470-Config!$E$27*Config!$E$28)</f>
        <v>245</v>
      </c>
      <c r="D1470" s="114" t="n">
        <f aca="false">IF(B1470="Tema",MOD(A1470-1,Config!$E$28)+1,"")</f>
        <v>2</v>
      </c>
      <c r="E1470" s="115" t="str">
        <f aca="false">IF($B1470="Tema",IF(ISNUMBER(INDEX(Temas!$E$6:$P$305,$C1470,2*$D1470-1)),INDEX(Temas!$E$6:$P$305,$C1470,2*$D1470-1),""),IF(ISNUMBER(INDEX(Avulsos!$B$6:$B$205,$C1470)),INDEX(Avulsos!$B$6:$B$205,$C1470),""))</f>
        <v/>
      </c>
      <c r="F1470" s="114" t="str">
        <f aca="false">IF($E1470="","",IF($B1470="Tema",INDEX(Temas!$B$6:$B$305,$C1470)&amp;"",INDEX(Avulsos!$C$6:$C$205,$C1470)&amp;""))</f>
        <v/>
      </c>
      <c r="G1470" s="114" t="str">
        <f aca="false">IF($E1470="","",IF($B1470="Tema",INDEX(Config!$C$6:$C$11,$D1470),"Evento avulso"))</f>
        <v/>
      </c>
      <c r="H1470" s="114" t="str">
        <f aca="false">IF($E1470="","",IF($B1470="Tema",INDEX(Config!$D$6:$D$11,$D1470),IFERROR(INDEX(Config!$E$15:$E$19,MATCH($I1470,Config!$C$15:$C$19,0)),"•")))</f>
        <v/>
      </c>
      <c r="I1470" s="114" t="str">
        <f aca="false">IF($E1470="","",IF($B1470="Tema",INDEX(Config!$E$6:$E$11,$D1470),IF(INDEX(Avulsos!$D$6:$D$205,$C1470)&amp;""="","Outro",INDEX(Avulsos!$D$6:$D$205,$C1470))))</f>
        <v/>
      </c>
      <c r="J1470" s="114" t="str">
        <f aca="false">IF($E1470="","",IF($B1470="Tema",INDEX(Temas!$C$6:$C$305,$C1470)&amp;"",INDEX(Avulsos!$E$6:$E$205,$C1470)&amp;""))</f>
        <v/>
      </c>
      <c r="K1470" s="114" t="str">
        <f aca="false">IF($E1470="","",IF(IF($B1470="Tema",INDEX(Temas!$E$6:$P$305,$C1470,2*$D1470),INDEX(Avulsos!$F$6:$F$205,$C1470))&amp;""="","","✓"))</f>
        <v/>
      </c>
      <c r="L1470" s="114" t="str">
        <f aca="true">IF($E1470="","",IF($K1470="✓","Concluído",IF($E1470&lt;TODAY(),"Atrasado",IF($E1470=TODAY(),"Hoje","Pendente"))))</f>
        <v/>
      </c>
      <c r="M1470" s="114" t="str">
        <f aca="false">IF($E1470="","",IF($K1470="✓","✓ ","")&amp;IF(Config!$E$22="Sim",$H1470&amp;" · ","")&amp;$F1470)</f>
        <v/>
      </c>
      <c r="N1470" s="114" t="str">
        <f aca="false">IF($E1470="","",IFERROR(INDEX(Config!$D$15:$D$19,MATCH($I1470,Config!$C$15:$C$19,0)),"OUT")&amp;IF($K1470="✓","x",""))</f>
        <v/>
      </c>
      <c r="O1470" s="114" t="str">
        <f aca="false">IF($E1470="","",COUNTIF($E$5:$E1470,$E1470))</f>
        <v/>
      </c>
      <c r="P1470" s="114" t="str">
        <f aca="false">IF($E1470="","",$E1470*100+$O1470)</f>
        <v/>
      </c>
      <c r="Q1470" s="114" t="str">
        <f aca="false">IF($L1470="Atrasado",$E1470*10000+$A1470,"")</f>
        <v/>
      </c>
    </row>
    <row r="1471" customFormat="false" ht="15" hidden="false" customHeight="false" outlineLevel="0" collapsed="false">
      <c r="A1471" s="114" t="n">
        <f aca="false">ROW()-4</f>
        <v>1467</v>
      </c>
      <c r="B1471" s="114" t="str">
        <f aca="false">IF(A1471&lt;=Config!$E$27*Config!$E$28,"Tema","Avulso")</f>
        <v>Tema</v>
      </c>
      <c r="C1471" s="114" t="n">
        <f aca="false">IF(B1471="Tema",INT((A1471-1)/Config!$E$28)+1,A1471-Config!$E$27*Config!$E$28)</f>
        <v>245</v>
      </c>
      <c r="D1471" s="114" t="n">
        <f aca="false">IF(B1471="Tema",MOD(A1471-1,Config!$E$28)+1,"")</f>
        <v>3</v>
      </c>
      <c r="E1471" s="115" t="str">
        <f aca="false">IF($B1471="Tema",IF(ISNUMBER(INDEX(Temas!$E$6:$P$305,$C1471,2*$D1471-1)),INDEX(Temas!$E$6:$P$305,$C1471,2*$D1471-1),""),IF(ISNUMBER(INDEX(Avulsos!$B$6:$B$205,$C1471)),INDEX(Avulsos!$B$6:$B$205,$C1471),""))</f>
        <v/>
      </c>
      <c r="F1471" s="114" t="str">
        <f aca="false">IF($E1471="","",IF($B1471="Tema",INDEX(Temas!$B$6:$B$305,$C1471)&amp;"",INDEX(Avulsos!$C$6:$C$205,$C1471)&amp;""))</f>
        <v/>
      </c>
      <c r="G1471" s="114" t="str">
        <f aca="false">IF($E1471="","",IF($B1471="Tema",INDEX(Config!$C$6:$C$11,$D1471),"Evento avulso"))</f>
        <v/>
      </c>
      <c r="H1471" s="114" t="str">
        <f aca="false">IF($E1471="","",IF($B1471="Tema",INDEX(Config!$D$6:$D$11,$D1471),IFERROR(INDEX(Config!$E$15:$E$19,MATCH($I1471,Config!$C$15:$C$19,0)),"•")))</f>
        <v/>
      </c>
      <c r="I1471" s="114" t="str">
        <f aca="false">IF($E1471="","",IF($B1471="Tema",INDEX(Config!$E$6:$E$11,$D1471),IF(INDEX(Avulsos!$D$6:$D$205,$C1471)&amp;""="","Outro",INDEX(Avulsos!$D$6:$D$205,$C1471))))</f>
        <v/>
      </c>
      <c r="J1471" s="114" t="str">
        <f aca="false">IF($E1471="","",IF($B1471="Tema",INDEX(Temas!$C$6:$C$305,$C1471)&amp;"",INDEX(Avulsos!$E$6:$E$205,$C1471)&amp;""))</f>
        <v/>
      </c>
      <c r="K1471" s="114" t="str">
        <f aca="false">IF($E1471="","",IF(IF($B1471="Tema",INDEX(Temas!$E$6:$P$305,$C1471,2*$D1471),INDEX(Avulsos!$F$6:$F$205,$C1471))&amp;""="","","✓"))</f>
        <v/>
      </c>
      <c r="L1471" s="114" t="str">
        <f aca="true">IF($E1471="","",IF($K1471="✓","Concluído",IF($E1471&lt;TODAY(),"Atrasado",IF($E1471=TODAY(),"Hoje","Pendente"))))</f>
        <v/>
      </c>
      <c r="M1471" s="114" t="str">
        <f aca="false">IF($E1471="","",IF($K1471="✓","✓ ","")&amp;IF(Config!$E$22="Sim",$H1471&amp;" · ","")&amp;$F1471)</f>
        <v/>
      </c>
      <c r="N1471" s="114" t="str">
        <f aca="false">IF($E1471="","",IFERROR(INDEX(Config!$D$15:$D$19,MATCH($I1471,Config!$C$15:$C$19,0)),"OUT")&amp;IF($K1471="✓","x",""))</f>
        <v/>
      </c>
      <c r="O1471" s="114" t="str">
        <f aca="false">IF($E1471="","",COUNTIF($E$5:$E1471,$E1471))</f>
        <v/>
      </c>
      <c r="P1471" s="114" t="str">
        <f aca="false">IF($E1471="","",$E1471*100+$O1471)</f>
        <v/>
      </c>
      <c r="Q1471" s="114" t="str">
        <f aca="false">IF($L1471="Atrasado",$E1471*10000+$A1471,"")</f>
        <v/>
      </c>
    </row>
    <row r="1472" customFormat="false" ht="15" hidden="false" customHeight="false" outlineLevel="0" collapsed="false">
      <c r="A1472" s="114" t="n">
        <f aca="false">ROW()-4</f>
        <v>1468</v>
      </c>
      <c r="B1472" s="114" t="str">
        <f aca="false">IF(A1472&lt;=Config!$E$27*Config!$E$28,"Tema","Avulso")</f>
        <v>Tema</v>
      </c>
      <c r="C1472" s="114" t="n">
        <f aca="false">IF(B1472="Tema",INT((A1472-1)/Config!$E$28)+1,A1472-Config!$E$27*Config!$E$28)</f>
        <v>245</v>
      </c>
      <c r="D1472" s="114" t="n">
        <f aca="false">IF(B1472="Tema",MOD(A1472-1,Config!$E$28)+1,"")</f>
        <v>4</v>
      </c>
      <c r="E1472" s="115" t="str">
        <f aca="false">IF($B1472="Tema",IF(ISNUMBER(INDEX(Temas!$E$6:$P$305,$C1472,2*$D1472-1)),INDEX(Temas!$E$6:$P$305,$C1472,2*$D1472-1),""),IF(ISNUMBER(INDEX(Avulsos!$B$6:$B$205,$C1472)),INDEX(Avulsos!$B$6:$B$205,$C1472),""))</f>
        <v/>
      </c>
      <c r="F1472" s="114" t="str">
        <f aca="false">IF($E1472="","",IF($B1472="Tema",INDEX(Temas!$B$6:$B$305,$C1472)&amp;"",INDEX(Avulsos!$C$6:$C$205,$C1472)&amp;""))</f>
        <v/>
      </c>
      <c r="G1472" s="114" t="str">
        <f aca="false">IF($E1472="","",IF($B1472="Tema",INDEX(Config!$C$6:$C$11,$D1472),"Evento avulso"))</f>
        <v/>
      </c>
      <c r="H1472" s="114" t="str">
        <f aca="false">IF($E1472="","",IF($B1472="Tema",INDEX(Config!$D$6:$D$11,$D1472),IFERROR(INDEX(Config!$E$15:$E$19,MATCH($I1472,Config!$C$15:$C$19,0)),"•")))</f>
        <v/>
      </c>
      <c r="I1472" s="114" t="str">
        <f aca="false">IF($E1472="","",IF($B1472="Tema",INDEX(Config!$E$6:$E$11,$D1472),IF(INDEX(Avulsos!$D$6:$D$205,$C1472)&amp;""="","Outro",INDEX(Avulsos!$D$6:$D$205,$C1472))))</f>
        <v/>
      </c>
      <c r="J1472" s="114" t="str">
        <f aca="false">IF($E1472="","",IF($B1472="Tema",INDEX(Temas!$C$6:$C$305,$C1472)&amp;"",INDEX(Avulsos!$E$6:$E$205,$C1472)&amp;""))</f>
        <v/>
      </c>
      <c r="K1472" s="114" t="str">
        <f aca="false">IF($E1472="","",IF(IF($B1472="Tema",INDEX(Temas!$E$6:$P$305,$C1472,2*$D1472),INDEX(Avulsos!$F$6:$F$205,$C1472))&amp;""="","","✓"))</f>
        <v/>
      </c>
      <c r="L1472" s="114" t="str">
        <f aca="true">IF($E1472="","",IF($K1472="✓","Concluído",IF($E1472&lt;TODAY(),"Atrasado",IF($E1472=TODAY(),"Hoje","Pendente"))))</f>
        <v/>
      </c>
      <c r="M1472" s="114" t="str">
        <f aca="false">IF($E1472="","",IF($K1472="✓","✓ ","")&amp;IF(Config!$E$22="Sim",$H1472&amp;" · ","")&amp;$F1472)</f>
        <v/>
      </c>
      <c r="N1472" s="114" t="str">
        <f aca="false">IF($E1472="","",IFERROR(INDEX(Config!$D$15:$D$19,MATCH($I1472,Config!$C$15:$C$19,0)),"OUT")&amp;IF($K1472="✓","x",""))</f>
        <v/>
      </c>
      <c r="O1472" s="114" t="str">
        <f aca="false">IF($E1472="","",COUNTIF($E$5:$E1472,$E1472))</f>
        <v/>
      </c>
      <c r="P1472" s="114" t="str">
        <f aca="false">IF($E1472="","",$E1472*100+$O1472)</f>
        <v/>
      </c>
      <c r="Q1472" s="114" t="str">
        <f aca="false">IF($L1472="Atrasado",$E1472*10000+$A1472,"")</f>
        <v/>
      </c>
    </row>
    <row r="1473" customFormat="false" ht="15" hidden="false" customHeight="false" outlineLevel="0" collapsed="false">
      <c r="A1473" s="114" t="n">
        <f aca="false">ROW()-4</f>
        <v>1469</v>
      </c>
      <c r="B1473" s="114" t="str">
        <f aca="false">IF(A1473&lt;=Config!$E$27*Config!$E$28,"Tema","Avulso")</f>
        <v>Tema</v>
      </c>
      <c r="C1473" s="114" t="n">
        <f aca="false">IF(B1473="Tema",INT((A1473-1)/Config!$E$28)+1,A1473-Config!$E$27*Config!$E$28)</f>
        <v>245</v>
      </c>
      <c r="D1473" s="114" t="n">
        <f aca="false">IF(B1473="Tema",MOD(A1473-1,Config!$E$28)+1,"")</f>
        <v>5</v>
      </c>
      <c r="E1473" s="115" t="str">
        <f aca="false">IF($B1473="Tema",IF(ISNUMBER(INDEX(Temas!$E$6:$P$305,$C1473,2*$D1473-1)),INDEX(Temas!$E$6:$P$305,$C1473,2*$D1473-1),""),IF(ISNUMBER(INDEX(Avulsos!$B$6:$B$205,$C1473)),INDEX(Avulsos!$B$6:$B$205,$C1473),""))</f>
        <v/>
      </c>
      <c r="F1473" s="114" t="str">
        <f aca="false">IF($E1473="","",IF($B1473="Tema",INDEX(Temas!$B$6:$B$305,$C1473)&amp;"",INDEX(Avulsos!$C$6:$C$205,$C1473)&amp;""))</f>
        <v/>
      </c>
      <c r="G1473" s="114" t="str">
        <f aca="false">IF($E1473="","",IF($B1473="Tema",INDEX(Config!$C$6:$C$11,$D1473),"Evento avulso"))</f>
        <v/>
      </c>
      <c r="H1473" s="114" t="str">
        <f aca="false">IF($E1473="","",IF($B1473="Tema",INDEX(Config!$D$6:$D$11,$D1473),IFERROR(INDEX(Config!$E$15:$E$19,MATCH($I1473,Config!$C$15:$C$19,0)),"•")))</f>
        <v/>
      </c>
      <c r="I1473" s="114" t="str">
        <f aca="false">IF($E1473="","",IF($B1473="Tema",INDEX(Config!$E$6:$E$11,$D1473),IF(INDEX(Avulsos!$D$6:$D$205,$C1473)&amp;""="","Outro",INDEX(Avulsos!$D$6:$D$205,$C1473))))</f>
        <v/>
      </c>
      <c r="J1473" s="114" t="str">
        <f aca="false">IF($E1473="","",IF($B1473="Tema",INDEX(Temas!$C$6:$C$305,$C1473)&amp;"",INDEX(Avulsos!$E$6:$E$205,$C1473)&amp;""))</f>
        <v/>
      </c>
      <c r="K1473" s="114" t="str">
        <f aca="false">IF($E1473="","",IF(IF($B1473="Tema",INDEX(Temas!$E$6:$P$305,$C1473,2*$D1473),INDEX(Avulsos!$F$6:$F$205,$C1473))&amp;""="","","✓"))</f>
        <v/>
      </c>
      <c r="L1473" s="114" t="str">
        <f aca="true">IF($E1473="","",IF($K1473="✓","Concluído",IF($E1473&lt;TODAY(),"Atrasado",IF($E1473=TODAY(),"Hoje","Pendente"))))</f>
        <v/>
      </c>
      <c r="M1473" s="114" t="str">
        <f aca="false">IF($E1473="","",IF($K1473="✓","✓ ","")&amp;IF(Config!$E$22="Sim",$H1473&amp;" · ","")&amp;$F1473)</f>
        <v/>
      </c>
      <c r="N1473" s="114" t="str">
        <f aca="false">IF($E1473="","",IFERROR(INDEX(Config!$D$15:$D$19,MATCH($I1473,Config!$C$15:$C$19,0)),"OUT")&amp;IF($K1473="✓","x",""))</f>
        <v/>
      </c>
      <c r="O1473" s="114" t="str">
        <f aca="false">IF($E1473="","",COUNTIF($E$5:$E1473,$E1473))</f>
        <v/>
      </c>
      <c r="P1473" s="114" t="str">
        <f aca="false">IF($E1473="","",$E1473*100+$O1473)</f>
        <v/>
      </c>
      <c r="Q1473" s="114" t="str">
        <f aca="false">IF($L1473="Atrasado",$E1473*10000+$A1473,"")</f>
        <v/>
      </c>
    </row>
    <row r="1474" customFormat="false" ht="15" hidden="false" customHeight="false" outlineLevel="0" collapsed="false">
      <c r="A1474" s="114" t="n">
        <f aca="false">ROW()-4</f>
        <v>1470</v>
      </c>
      <c r="B1474" s="114" t="str">
        <f aca="false">IF(A1474&lt;=Config!$E$27*Config!$E$28,"Tema","Avulso")</f>
        <v>Tema</v>
      </c>
      <c r="C1474" s="114" t="n">
        <f aca="false">IF(B1474="Tema",INT((A1474-1)/Config!$E$28)+1,A1474-Config!$E$27*Config!$E$28)</f>
        <v>245</v>
      </c>
      <c r="D1474" s="114" t="n">
        <f aca="false">IF(B1474="Tema",MOD(A1474-1,Config!$E$28)+1,"")</f>
        <v>6</v>
      </c>
      <c r="E1474" s="115" t="str">
        <f aca="false">IF($B1474="Tema",IF(ISNUMBER(INDEX(Temas!$E$6:$P$305,$C1474,2*$D1474-1)),INDEX(Temas!$E$6:$P$305,$C1474,2*$D1474-1),""),IF(ISNUMBER(INDEX(Avulsos!$B$6:$B$205,$C1474)),INDEX(Avulsos!$B$6:$B$205,$C1474),""))</f>
        <v/>
      </c>
      <c r="F1474" s="114" t="str">
        <f aca="false">IF($E1474="","",IF($B1474="Tema",INDEX(Temas!$B$6:$B$305,$C1474)&amp;"",INDEX(Avulsos!$C$6:$C$205,$C1474)&amp;""))</f>
        <v/>
      </c>
      <c r="G1474" s="114" t="str">
        <f aca="false">IF($E1474="","",IF($B1474="Tema",INDEX(Config!$C$6:$C$11,$D1474),"Evento avulso"))</f>
        <v/>
      </c>
      <c r="H1474" s="114" t="str">
        <f aca="false">IF($E1474="","",IF($B1474="Tema",INDEX(Config!$D$6:$D$11,$D1474),IFERROR(INDEX(Config!$E$15:$E$19,MATCH($I1474,Config!$C$15:$C$19,0)),"•")))</f>
        <v/>
      </c>
      <c r="I1474" s="114" t="str">
        <f aca="false">IF($E1474="","",IF($B1474="Tema",INDEX(Config!$E$6:$E$11,$D1474),IF(INDEX(Avulsos!$D$6:$D$205,$C1474)&amp;""="","Outro",INDEX(Avulsos!$D$6:$D$205,$C1474))))</f>
        <v/>
      </c>
      <c r="J1474" s="114" t="str">
        <f aca="false">IF($E1474="","",IF($B1474="Tema",INDEX(Temas!$C$6:$C$305,$C1474)&amp;"",INDEX(Avulsos!$E$6:$E$205,$C1474)&amp;""))</f>
        <v/>
      </c>
      <c r="K1474" s="114" t="str">
        <f aca="false">IF($E1474="","",IF(IF($B1474="Tema",INDEX(Temas!$E$6:$P$305,$C1474,2*$D1474),INDEX(Avulsos!$F$6:$F$205,$C1474))&amp;""="","","✓"))</f>
        <v/>
      </c>
      <c r="L1474" s="114" t="str">
        <f aca="true">IF($E1474="","",IF($K1474="✓","Concluído",IF($E1474&lt;TODAY(),"Atrasado",IF($E1474=TODAY(),"Hoje","Pendente"))))</f>
        <v/>
      </c>
      <c r="M1474" s="114" t="str">
        <f aca="false">IF($E1474="","",IF($K1474="✓","✓ ","")&amp;IF(Config!$E$22="Sim",$H1474&amp;" · ","")&amp;$F1474)</f>
        <v/>
      </c>
      <c r="N1474" s="114" t="str">
        <f aca="false">IF($E1474="","",IFERROR(INDEX(Config!$D$15:$D$19,MATCH($I1474,Config!$C$15:$C$19,0)),"OUT")&amp;IF($K1474="✓","x",""))</f>
        <v/>
      </c>
      <c r="O1474" s="114" t="str">
        <f aca="false">IF($E1474="","",COUNTIF($E$5:$E1474,$E1474))</f>
        <v/>
      </c>
      <c r="P1474" s="114" t="str">
        <f aca="false">IF($E1474="","",$E1474*100+$O1474)</f>
        <v/>
      </c>
      <c r="Q1474" s="114" t="str">
        <f aca="false">IF($L1474="Atrasado",$E1474*10000+$A1474,"")</f>
        <v/>
      </c>
    </row>
    <row r="1475" customFormat="false" ht="15" hidden="false" customHeight="false" outlineLevel="0" collapsed="false">
      <c r="A1475" s="114" t="n">
        <f aca="false">ROW()-4</f>
        <v>1471</v>
      </c>
      <c r="B1475" s="114" t="str">
        <f aca="false">IF(A1475&lt;=Config!$E$27*Config!$E$28,"Tema","Avulso")</f>
        <v>Tema</v>
      </c>
      <c r="C1475" s="114" t="n">
        <f aca="false">IF(B1475="Tema",INT((A1475-1)/Config!$E$28)+1,A1475-Config!$E$27*Config!$E$28)</f>
        <v>246</v>
      </c>
      <c r="D1475" s="114" t="n">
        <f aca="false">IF(B1475="Tema",MOD(A1475-1,Config!$E$28)+1,"")</f>
        <v>1</v>
      </c>
      <c r="E1475" s="115" t="str">
        <f aca="false">IF($B1475="Tema",IF(ISNUMBER(INDEX(Temas!$E$6:$P$305,$C1475,2*$D1475-1)),INDEX(Temas!$E$6:$P$305,$C1475,2*$D1475-1),""),IF(ISNUMBER(INDEX(Avulsos!$B$6:$B$205,$C1475)),INDEX(Avulsos!$B$6:$B$205,$C1475),""))</f>
        <v/>
      </c>
      <c r="F1475" s="114" t="str">
        <f aca="false">IF($E1475="","",IF($B1475="Tema",INDEX(Temas!$B$6:$B$305,$C1475)&amp;"",INDEX(Avulsos!$C$6:$C$205,$C1475)&amp;""))</f>
        <v/>
      </c>
      <c r="G1475" s="114" t="str">
        <f aca="false">IF($E1475="","",IF($B1475="Tema",INDEX(Config!$C$6:$C$11,$D1475),"Evento avulso"))</f>
        <v/>
      </c>
      <c r="H1475" s="114" t="str">
        <f aca="false">IF($E1475="","",IF($B1475="Tema",INDEX(Config!$D$6:$D$11,$D1475),IFERROR(INDEX(Config!$E$15:$E$19,MATCH($I1475,Config!$C$15:$C$19,0)),"•")))</f>
        <v/>
      </c>
      <c r="I1475" s="114" t="str">
        <f aca="false">IF($E1475="","",IF($B1475="Tema",INDEX(Config!$E$6:$E$11,$D1475),IF(INDEX(Avulsos!$D$6:$D$205,$C1475)&amp;""="","Outro",INDEX(Avulsos!$D$6:$D$205,$C1475))))</f>
        <v/>
      </c>
      <c r="J1475" s="114" t="str">
        <f aca="false">IF($E1475="","",IF($B1475="Tema",INDEX(Temas!$C$6:$C$305,$C1475)&amp;"",INDEX(Avulsos!$E$6:$E$205,$C1475)&amp;""))</f>
        <v/>
      </c>
      <c r="K1475" s="114" t="str">
        <f aca="false">IF($E1475="","",IF(IF($B1475="Tema",INDEX(Temas!$E$6:$P$305,$C1475,2*$D1475),INDEX(Avulsos!$F$6:$F$205,$C1475))&amp;""="","","✓"))</f>
        <v/>
      </c>
      <c r="L1475" s="114" t="str">
        <f aca="true">IF($E1475="","",IF($K1475="✓","Concluído",IF($E1475&lt;TODAY(),"Atrasado",IF($E1475=TODAY(),"Hoje","Pendente"))))</f>
        <v/>
      </c>
      <c r="M1475" s="114" t="str">
        <f aca="false">IF($E1475="","",IF($K1475="✓","✓ ","")&amp;IF(Config!$E$22="Sim",$H1475&amp;" · ","")&amp;$F1475)</f>
        <v/>
      </c>
      <c r="N1475" s="114" t="str">
        <f aca="false">IF($E1475="","",IFERROR(INDEX(Config!$D$15:$D$19,MATCH($I1475,Config!$C$15:$C$19,0)),"OUT")&amp;IF($K1475="✓","x",""))</f>
        <v/>
      </c>
      <c r="O1475" s="114" t="str">
        <f aca="false">IF($E1475="","",COUNTIF($E$5:$E1475,$E1475))</f>
        <v/>
      </c>
      <c r="P1475" s="114" t="str">
        <f aca="false">IF($E1475="","",$E1475*100+$O1475)</f>
        <v/>
      </c>
      <c r="Q1475" s="114" t="str">
        <f aca="false">IF($L1475="Atrasado",$E1475*10000+$A1475,"")</f>
        <v/>
      </c>
    </row>
    <row r="1476" customFormat="false" ht="15" hidden="false" customHeight="false" outlineLevel="0" collapsed="false">
      <c r="A1476" s="114" t="n">
        <f aca="false">ROW()-4</f>
        <v>1472</v>
      </c>
      <c r="B1476" s="114" t="str">
        <f aca="false">IF(A1476&lt;=Config!$E$27*Config!$E$28,"Tema","Avulso")</f>
        <v>Tema</v>
      </c>
      <c r="C1476" s="114" t="n">
        <f aca="false">IF(B1476="Tema",INT((A1476-1)/Config!$E$28)+1,A1476-Config!$E$27*Config!$E$28)</f>
        <v>246</v>
      </c>
      <c r="D1476" s="114" t="n">
        <f aca="false">IF(B1476="Tema",MOD(A1476-1,Config!$E$28)+1,"")</f>
        <v>2</v>
      </c>
      <c r="E1476" s="115" t="str">
        <f aca="false">IF($B1476="Tema",IF(ISNUMBER(INDEX(Temas!$E$6:$P$305,$C1476,2*$D1476-1)),INDEX(Temas!$E$6:$P$305,$C1476,2*$D1476-1),""),IF(ISNUMBER(INDEX(Avulsos!$B$6:$B$205,$C1476)),INDEX(Avulsos!$B$6:$B$205,$C1476),""))</f>
        <v/>
      </c>
      <c r="F1476" s="114" t="str">
        <f aca="false">IF($E1476="","",IF($B1476="Tema",INDEX(Temas!$B$6:$B$305,$C1476)&amp;"",INDEX(Avulsos!$C$6:$C$205,$C1476)&amp;""))</f>
        <v/>
      </c>
      <c r="G1476" s="114" t="str">
        <f aca="false">IF($E1476="","",IF($B1476="Tema",INDEX(Config!$C$6:$C$11,$D1476),"Evento avulso"))</f>
        <v/>
      </c>
      <c r="H1476" s="114" t="str">
        <f aca="false">IF($E1476="","",IF($B1476="Tema",INDEX(Config!$D$6:$D$11,$D1476),IFERROR(INDEX(Config!$E$15:$E$19,MATCH($I1476,Config!$C$15:$C$19,0)),"•")))</f>
        <v/>
      </c>
      <c r="I1476" s="114" t="str">
        <f aca="false">IF($E1476="","",IF($B1476="Tema",INDEX(Config!$E$6:$E$11,$D1476),IF(INDEX(Avulsos!$D$6:$D$205,$C1476)&amp;""="","Outro",INDEX(Avulsos!$D$6:$D$205,$C1476))))</f>
        <v/>
      </c>
      <c r="J1476" s="114" t="str">
        <f aca="false">IF($E1476="","",IF($B1476="Tema",INDEX(Temas!$C$6:$C$305,$C1476)&amp;"",INDEX(Avulsos!$E$6:$E$205,$C1476)&amp;""))</f>
        <v/>
      </c>
      <c r="K1476" s="114" t="str">
        <f aca="false">IF($E1476="","",IF(IF($B1476="Tema",INDEX(Temas!$E$6:$P$305,$C1476,2*$D1476),INDEX(Avulsos!$F$6:$F$205,$C1476))&amp;""="","","✓"))</f>
        <v/>
      </c>
      <c r="L1476" s="114" t="str">
        <f aca="true">IF($E1476="","",IF($K1476="✓","Concluído",IF($E1476&lt;TODAY(),"Atrasado",IF($E1476=TODAY(),"Hoje","Pendente"))))</f>
        <v/>
      </c>
      <c r="M1476" s="114" t="str">
        <f aca="false">IF($E1476="","",IF($K1476="✓","✓ ","")&amp;IF(Config!$E$22="Sim",$H1476&amp;" · ","")&amp;$F1476)</f>
        <v/>
      </c>
      <c r="N1476" s="114" t="str">
        <f aca="false">IF($E1476="","",IFERROR(INDEX(Config!$D$15:$D$19,MATCH($I1476,Config!$C$15:$C$19,0)),"OUT")&amp;IF($K1476="✓","x",""))</f>
        <v/>
      </c>
      <c r="O1476" s="114" t="str">
        <f aca="false">IF($E1476="","",COUNTIF($E$5:$E1476,$E1476))</f>
        <v/>
      </c>
      <c r="P1476" s="114" t="str">
        <f aca="false">IF($E1476="","",$E1476*100+$O1476)</f>
        <v/>
      </c>
      <c r="Q1476" s="114" t="str">
        <f aca="false">IF($L1476="Atrasado",$E1476*10000+$A1476,"")</f>
        <v/>
      </c>
    </row>
    <row r="1477" customFormat="false" ht="15" hidden="false" customHeight="false" outlineLevel="0" collapsed="false">
      <c r="A1477" s="114" t="n">
        <f aca="false">ROW()-4</f>
        <v>1473</v>
      </c>
      <c r="B1477" s="114" t="str">
        <f aca="false">IF(A1477&lt;=Config!$E$27*Config!$E$28,"Tema","Avulso")</f>
        <v>Tema</v>
      </c>
      <c r="C1477" s="114" t="n">
        <f aca="false">IF(B1477="Tema",INT((A1477-1)/Config!$E$28)+1,A1477-Config!$E$27*Config!$E$28)</f>
        <v>246</v>
      </c>
      <c r="D1477" s="114" t="n">
        <f aca="false">IF(B1477="Tema",MOD(A1477-1,Config!$E$28)+1,"")</f>
        <v>3</v>
      </c>
      <c r="E1477" s="115" t="str">
        <f aca="false">IF($B1477="Tema",IF(ISNUMBER(INDEX(Temas!$E$6:$P$305,$C1477,2*$D1477-1)),INDEX(Temas!$E$6:$P$305,$C1477,2*$D1477-1),""),IF(ISNUMBER(INDEX(Avulsos!$B$6:$B$205,$C1477)),INDEX(Avulsos!$B$6:$B$205,$C1477),""))</f>
        <v/>
      </c>
      <c r="F1477" s="114" t="str">
        <f aca="false">IF($E1477="","",IF($B1477="Tema",INDEX(Temas!$B$6:$B$305,$C1477)&amp;"",INDEX(Avulsos!$C$6:$C$205,$C1477)&amp;""))</f>
        <v/>
      </c>
      <c r="G1477" s="114" t="str">
        <f aca="false">IF($E1477="","",IF($B1477="Tema",INDEX(Config!$C$6:$C$11,$D1477),"Evento avulso"))</f>
        <v/>
      </c>
      <c r="H1477" s="114" t="str">
        <f aca="false">IF($E1477="","",IF($B1477="Tema",INDEX(Config!$D$6:$D$11,$D1477),IFERROR(INDEX(Config!$E$15:$E$19,MATCH($I1477,Config!$C$15:$C$19,0)),"•")))</f>
        <v/>
      </c>
      <c r="I1477" s="114" t="str">
        <f aca="false">IF($E1477="","",IF($B1477="Tema",INDEX(Config!$E$6:$E$11,$D1477),IF(INDEX(Avulsos!$D$6:$D$205,$C1477)&amp;""="","Outro",INDEX(Avulsos!$D$6:$D$205,$C1477))))</f>
        <v/>
      </c>
      <c r="J1477" s="114" t="str">
        <f aca="false">IF($E1477="","",IF($B1477="Tema",INDEX(Temas!$C$6:$C$305,$C1477)&amp;"",INDEX(Avulsos!$E$6:$E$205,$C1477)&amp;""))</f>
        <v/>
      </c>
      <c r="K1477" s="114" t="str">
        <f aca="false">IF($E1477="","",IF(IF($B1477="Tema",INDEX(Temas!$E$6:$P$305,$C1477,2*$D1477),INDEX(Avulsos!$F$6:$F$205,$C1477))&amp;""="","","✓"))</f>
        <v/>
      </c>
      <c r="L1477" s="114" t="str">
        <f aca="true">IF($E1477="","",IF($K1477="✓","Concluído",IF($E1477&lt;TODAY(),"Atrasado",IF($E1477=TODAY(),"Hoje","Pendente"))))</f>
        <v/>
      </c>
      <c r="M1477" s="114" t="str">
        <f aca="false">IF($E1477="","",IF($K1477="✓","✓ ","")&amp;IF(Config!$E$22="Sim",$H1477&amp;" · ","")&amp;$F1477)</f>
        <v/>
      </c>
      <c r="N1477" s="114" t="str">
        <f aca="false">IF($E1477="","",IFERROR(INDEX(Config!$D$15:$D$19,MATCH($I1477,Config!$C$15:$C$19,0)),"OUT")&amp;IF($K1477="✓","x",""))</f>
        <v/>
      </c>
      <c r="O1477" s="114" t="str">
        <f aca="false">IF($E1477="","",COUNTIF($E$5:$E1477,$E1477))</f>
        <v/>
      </c>
      <c r="P1477" s="114" t="str">
        <f aca="false">IF($E1477="","",$E1477*100+$O1477)</f>
        <v/>
      </c>
      <c r="Q1477" s="114" t="str">
        <f aca="false">IF($L1477="Atrasado",$E1477*10000+$A1477,"")</f>
        <v/>
      </c>
    </row>
    <row r="1478" customFormat="false" ht="15" hidden="false" customHeight="false" outlineLevel="0" collapsed="false">
      <c r="A1478" s="114" t="n">
        <f aca="false">ROW()-4</f>
        <v>1474</v>
      </c>
      <c r="B1478" s="114" t="str">
        <f aca="false">IF(A1478&lt;=Config!$E$27*Config!$E$28,"Tema","Avulso")</f>
        <v>Tema</v>
      </c>
      <c r="C1478" s="114" t="n">
        <f aca="false">IF(B1478="Tema",INT((A1478-1)/Config!$E$28)+1,A1478-Config!$E$27*Config!$E$28)</f>
        <v>246</v>
      </c>
      <c r="D1478" s="114" t="n">
        <f aca="false">IF(B1478="Tema",MOD(A1478-1,Config!$E$28)+1,"")</f>
        <v>4</v>
      </c>
      <c r="E1478" s="115" t="str">
        <f aca="false">IF($B1478="Tema",IF(ISNUMBER(INDEX(Temas!$E$6:$P$305,$C1478,2*$D1478-1)),INDEX(Temas!$E$6:$P$305,$C1478,2*$D1478-1),""),IF(ISNUMBER(INDEX(Avulsos!$B$6:$B$205,$C1478)),INDEX(Avulsos!$B$6:$B$205,$C1478),""))</f>
        <v/>
      </c>
      <c r="F1478" s="114" t="str">
        <f aca="false">IF($E1478="","",IF($B1478="Tema",INDEX(Temas!$B$6:$B$305,$C1478)&amp;"",INDEX(Avulsos!$C$6:$C$205,$C1478)&amp;""))</f>
        <v/>
      </c>
      <c r="G1478" s="114" t="str">
        <f aca="false">IF($E1478="","",IF($B1478="Tema",INDEX(Config!$C$6:$C$11,$D1478),"Evento avulso"))</f>
        <v/>
      </c>
      <c r="H1478" s="114" t="str">
        <f aca="false">IF($E1478="","",IF($B1478="Tema",INDEX(Config!$D$6:$D$11,$D1478),IFERROR(INDEX(Config!$E$15:$E$19,MATCH($I1478,Config!$C$15:$C$19,0)),"•")))</f>
        <v/>
      </c>
      <c r="I1478" s="114" t="str">
        <f aca="false">IF($E1478="","",IF($B1478="Tema",INDEX(Config!$E$6:$E$11,$D1478),IF(INDEX(Avulsos!$D$6:$D$205,$C1478)&amp;""="","Outro",INDEX(Avulsos!$D$6:$D$205,$C1478))))</f>
        <v/>
      </c>
      <c r="J1478" s="114" t="str">
        <f aca="false">IF($E1478="","",IF($B1478="Tema",INDEX(Temas!$C$6:$C$305,$C1478)&amp;"",INDEX(Avulsos!$E$6:$E$205,$C1478)&amp;""))</f>
        <v/>
      </c>
      <c r="K1478" s="114" t="str">
        <f aca="false">IF($E1478="","",IF(IF($B1478="Tema",INDEX(Temas!$E$6:$P$305,$C1478,2*$D1478),INDEX(Avulsos!$F$6:$F$205,$C1478))&amp;""="","","✓"))</f>
        <v/>
      </c>
      <c r="L1478" s="114" t="str">
        <f aca="true">IF($E1478="","",IF($K1478="✓","Concluído",IF($E1478&lt;TODAY(),"Atrasado",IF($E1478=TODAY(),"Hoje","Pendente"))))</f>
        <v/>
      </c>
      <c r="M1478" s="114" t="str">
        <f aca="false">IF($E1478="","",IF($K1478="✓","✓ ","")&amp;IF(Config!$E$22="Sim",$H1478&amp;" · ","")&amp;$F1478)</f>
        <v/>
      </c>
      <c r="N1478" s="114" t="str">
        <f aca="false">IF($E1478="","",IFERROR(INDEX(Config!$D$15:$D$19,MATCH($I1478,Config!$C$15:$C$19,0)),"OUT")&amp;IF($K1478="✓","x",""))</f>
        <v/>
      </c>
      <c r="O1478" s="114" t="str">
        <f aca="false">IF($E1478="","",COUNTIF($E$5:$E1478,$E1478))</f>
        <v/>
      </c>
      <c r="P1478" s="114" t="str">
        <f aca="false">IF($E1478="","",$E1478*100+$O1478)</f>
        <v/>
      </c>
      <c r="Q1478" s="114" t="str">
        <f aca="false">IF($L1478="Atrasado",$E1478*10000+$A1478,"")</f>
        <v/>
      </c>
    </row>
    <row r="1479" customFormat="false" ht="15" hidden="false" customHeight="false" outlineLevel="0" collapsed="false">
      <c r="A1479" s="114" t="n">
        <f aca="false">ROW()-4</f>
        <v>1475</v>
      </c>
      <c r="B1479" s="114" t="str">
        <f aca="false">IF(A1479&lt;=Config!$E$27*Config!$E$28,"Tema","Avulso")</f>
        <v>Tema</v>
      </c>
      <c r="C1479" s="114" t="n">
        <f aca="false">IF(B1479="Tema",INT((A1479-1)/Config!$E$28)+1,A1479-Config!$E$27*Config!$E$28)</f>
        <v>246</v>
      </c>
      <c r="D1479" s="114" t="n">
        <f aca="false">IF(B1479="Tema",MOD(A1479-1,Config!$E$28)+1,"")</f>
        <v>5</v>
      </c>
      <c r="E1479" s="115" t="str">
        <f aca="false">IF($B1479="Tema",IF(ISNUMBER(INDEX(Temas!$E$6:$P$305,$C1479,2*$D1479-1)),INDEX(Temas!$E$6:$P$305,$C1479,2*$D1479-1),""),IF(ISNUMBER(INDEX(Avulsos!$B$6:$B$205,$C1479)),INDEX(Avulsos!$B$6:$B$205,$C1479),""))</f>
        <v/>
      </c>
      <c r="F1479" s="114" t="str">
        <f aca="false">IF($E1479="","",IF($B1479="Tema",INDEX(Temas!$B$6:$B$305,$C1479)&amp;"",INDEX(Avulsos!$C$6:$C$205,$C1479)&amp;""))</f>
        <v/>
      </c>
      <c r="G1479" s="114" t="str">
        <f aca="false">IF($E1479="","",IF($B1479="Tema",INDEX(Config!$C$6:$C$11,$D1479),"Evento avulso"))</f>
        <v/>
      </c>
      <c r="H1479" s="114" t="str">
        <f aca="false">IF($E1479="","",IF($B1479="Tema",INDEX(Config!$D$6:$D$11,$D1479),IFERROR(INDEX(Config!$E$15:$E$19,MATCH($I1479,Config!$C$15:$C$19,0)),"•")))</f>
        <v/>
      </c>
      <c r="I1479" s="114" t="str">
        <f aca="false">IF($E1479="","",IF($B1479="Tema",INDEX(Config!$E$6:$E$11,$D1479),IF(INDEX(Avulsos!$D$6:$D$205,$C1479)&amp;""="","Outro",INDEX(Avulsos!$D$6:$D$205,$C1479))))</f>
        <v/>
      </c>
      <c r="J1479" s="114" t="str">
        <f aca="false">IF($E1479="","",IF($B1479="Tema",INDEX(Temas!$C$6:$C$305,$C1479)&amp;"",INDEX(Avulsos!$E$6:$E$205,$C1479)&amp;""))</f>
        <v/>
      </c>
      <c r="K1479" s="114" t="str">
        <f aca="false">IF($E1479="","",IF(IF($B1479="Tema",INDEX(Temas!$E$6:$P$305,$C1479,2*$D1479),INDEX(Avulsos!$F$6:$F$205,$C1479))&amp;""="","","✓"))</f>
        <v/>
      </c>
      <c r="L1479" s="114" t="str">
        <f aca="true">IF($E1479="","",IF($K1479="✓","Concluído",IF($E1479&lt;TODAY(),"Atrasado",IF($E1479=TODAY(),"Hoje","Pendente"))))</f>
        <v/>
      </c>
      <c r="M1479" s="114" t="str">
        <f aca="false">IF($E1479="","",IF($K1479="✓","✓ ","")&amp;IF(Config!$E$22="Sim",$H1479&amp;" · ","")&amp;$F1479)</f>
        <v/>
      </c>
      <c r="N1479" s="114" t="str">
        <f aca="false">IF($E1479="","",IFERROR(INDEX(Config!$D$15:$D$19,MATCH($I1479,Config!$C$15:$C$19,0)),"OUT")&amp;IF($K1479="✓","x",""))</f>
        <v/>
      </c>
      <c r="O1479" s="114" t="str">
        <f aca="false">IF($E1479="","",COUNTIF($E$5:$E1479,$E1479))</f>
        <v/>
      </c>
      <c r="P1479" s="114" t="str">
        <f aca="false">IF($E1479="","",$E1479*100+$O1479)</f>
        <v/>
      </c>
      <c r="Q1479" s="114" t="str">
        <f aca="false">IF($L1479="Atrasado",$E1479*10000+$A1479,"")</f>
        <v/>
      </c>
    </row>
    <row r="1480" customFormat="false" ht="15" hidden="false" customHeight="false" outlineLevel="0" collapsed="false">
      <c r="A1480" s="114" t="n">
        <f aca="false">ROW()-4</f>
        <v>1476</v>
      </c>
      <c r="B1480" s="114" t="str">
        <f aca="false">IF(A1480&lt;=Config!$E$27*Config!$E$28,"Tema","Avulso")</f>
        <v>Tema</v>
      </c>
      <c r="C1480" s="114" t="n">
        <f aca="false">IF(B1480="Tema",INT((A1480-1)/Config!$E$28)+1,A1480-Config!$E$27*Config!$E$28)</f>
        <v>246</v>
      </c>
      <c r="D1480" s="114" t="n">
        <f aca="false">IF(B1480="Tema",MOD(A1480-1,Config!$E$28)+1,"")</f>
        <v>6</v>
      </c>
      <c r="E1480" s="115" t="str">
        <f aca="false">IF($B1480="Tema",IF(ISNUMBER(INDEX(Temas!$E$6:$P$305,$C1480,2*$D1480-1)),INDEX(Temas!$E$6:$P$305,$C1480,2*$D1480-1),""),IF(ISNUMBER(INDEX(Avulsos!$B$6:$B$205,$C1480)),INDEX(Avulsos!$B$6:$B$205,$C1480),""))</f>
        <v/>
      </c>
      <c r="F1480" s="114" t="str">
        <f aca="false">IF($E1480="","",IF($B1480="Tema",INDEX(Temas!$B$6:$B$305,$C1480)&amp;"",INDEX(Avulsos!$C$6:$C$205,$C1480)&amp;""))</f>
        <v/>
      </c>
      <c r="G1480" s="114" t="str">
        <f aca="false">IF($E1480="","",IF($B1480="Tema",INDEX(Config!$C$6:$C$11,$D1480),"Evento avulso"))</f>
        <v/>
      </c>
      <c r="H1480" s="114" t="str">
        <f aca="false">IF($E1480="","",IF($B1480="Tema",INDEX(Config!$D$6:$D$11,$D1480),IFERROR(INDEX(Config!$E$15:$E$19,MATCH($I1480,Config!$C$15:$C$19,0)),"•")))</f>
        <v/>
      </c>
      <c r="I1480" s="114" t="str">
        <f aca="false">IF($E1480="","",IF($B1480="Tema",INDEX(Config!$E$6:$E$11,$D1480),IF(INDEX(Avulsos!$D$6:$D$205,$C1480)&amp;""="","Outro",INDEX(Avulsos!$D$6:$D$205,$C1480))))</f>
        <v/>
      </c>
      <c r="J1480" s="114" t="str">
        <f aca="false">IF($E1480="","",IF($B1480="Tema",INDEX(Temas!$C$6:$C$305,$C1480)&amp;"",INDEX(Avulsos!$E$6:$E$205,$C1480)&amp;""))</f>
        <v/>
      </c>
      <c r="K1480" s="114" t="str">
        <f aca="false">IF($E1480="","",IF(IF($B1480="Tema",INDEX(Temas!$E$6:$P$305,$C1480,2*$D1480),INDEX(Avulsos!$F$6:$F$205,$C1480))&amp;""="","","✓"))</f>
        <v/>
      </c>
      <c r="L1480" s="114" t="str">
        <f aca="true">IF($E1480="","",IF($K1480="✓","Concluído",IF($E1480&lt;TODAY(),"Atrasado",IF($E1480=TODAY(),"Hoje","Pendente"))))</f>
        <v/>
      </c>
      <c r="M1480" s="114" t="str">
        <f aca="false">IF($E1480="","",IF($K1480="✓","✓ ","")&amp;IF(Config!$E$22="Sim",$H1480&amp;" · ","")&amp;$F1480)</f>
        <v/>
      </c>
      <c r="N1480" s="114" t="str">
        <f aca="false">IF($E1480="","",IFERROR(INDEX(Config!$D$15:$D$19,MATCH($I1480,Config!$C$15:$C$19,0)),"OUT")&amp;IF($K1480="✓","x",""))</f>
        <v/>
      </c>
      <c r="O1480" s="114" t="str">
        <f aca="false">IF($E1480="","",COUNTIF($E$5:$E1480,$E1480))</f>
        <v/>
      </c>
      <c r="P1480" s="114" t="str">
        <f aca="false">IF($E1480="","",$E1480*100+$O1480)</f>
        <v/>
      </c>
      <c r="Q1480" s="114" t="str">
        <f aca="false">IF($L1480="Atrasado",$E1480*10000+$A1480,"")</f>
        <v/>
      </c>
    </row>
    <row r="1481" customFormat="false" ht="15" hidden="false" customHeight="false" outlineLevel="0" collapsed="false">
      <c r="A1481" s="114" t="n">
        <f aca="false">ROW()-4</f>
        <v>1477</v>
      </c>
      <c r="B1481" s="114" t="str">
        <f aca="false">IF(A1481&lt;=Config!$E$27*Config!$E$28,"Tema","Avulso")</f>
        <v>Tema</v>
      </c>
      <c r="C1481" s="114" t="n">
        <f aca="false">IF(B1481="Tema",INT((A1481-1)/Config!$E$28)+1,A1481-Config!$E$27*Config!$E$28)</f>
        <v>247</v>
      </c>
      <c r="D1481" s="114" t="n">
        <f aca="false">IF(B1481="Tema",MOD(A1481-1,Config!$E$28)+1,"")</f>
        <v>1</v>
      </c>
      <c r="E1481" s="115" t="str">
        <f aca="false">IF($B1481="Tema",IF(ISNUMBER(INDEX(Temas!$E$6:$P$305,$C1481,2*$D1481-1)),INDEX(Temas!$E$6:$P$305,$C1481,2*$D1481-1),""),IF(ISNUMBER(INDEX(Avulsos!$B$6:$B$205,$C1481)),INDEX(Avulsos!$B$6:$B$205,$C1481),""))</f>
        <v/>
      </c>
      <c r="F1481" s="114" t="str">
        <f aca="false">IF($E1481="","",IF($B1481="Tema",INDEX(Temas!$B$6:$B$305,$C1481)&amp;"",INDEX(Avulsos!$C$6:$C$205,$C1481)&amp;""))</f>
        <v/>
      </c>
      <c r="G1481" s="114" t="str">
        <f aca="false">IF($E1481="","",IF($B1481="Tema",INDEX(Config!$C$6:$C$11,$D1481),"Evento avulso"))</f>
        <v/>
      </c>
      <c r="H1481" s="114" t="str">
        <f aca="false">IF($E1481="","",IF($B1481="Tema",INDEX(Config!$D$6:$D$11,$D1481),IFERROR(INDEX(Config!$E$15:$E$19,MATCH($I1481,Config!$C$15:$C$19,0)),"•")))</f>
        <v/>
      </c>
      <c r="I1481" s="114" t="str">
        <f aca="false">IF($E1481="","",IF($B1481="Tema",INDEX(Config!$E$6:$E$11,$D1481),IF(INDEX(Avulsos!$D$6:$D$205,$C1481)&amp;""="","Outro",INDEX(Avulsos!$D$6:$D$205,$C1481))))</f>
        <v/>
      </c>
      <c r="J1481" s="114" t="str">
        <f aca="false">IF($E1481="","",IF($B1481="Tema",INDEX(Temas!$C$6:$C$305,$C1481)&amp;"",INDEX(Avulsos!$E$6:$E$205,$C1481)&amp;""))</f>
        <v/>
      </c>
      <c r="K1481" s="114" t="str">
        <f aca="false">IF($E1481="","",IF(IF($B1481="Tema",INDEX(Temas!$E$6:$P$305,$C1481,2*$D1481),INDEX(Avulsos!$F$6:$F$205,$C1481))&amp;""="","","✓"))</f>
        <v/>
      </c>
      <c r="L1481" s="114" t="str">
        <f aca="true">IF($E1481="","",IF($K1481="✓","Concluído",IF($E1481&lt;TODAY(),"Atrasado",IF($E1481=TODAY(),"Hoje","Pendente"))))</f>
        <v/>
      </c>
      <c r="M1481" s="114" t="str">
        <f aca="false">IF($E1481="","",IF($K1481="✓","✓ ","")&amp;IF(Config!$E$22="Sim",$H1481&amp;" · ","")&amp;$F1481)</f>
        <v/>
      </c>
      <c r="N1481" s="114" t="str">
        <f aca="false">IF($E1481="","",IFERROR(INDEX(Config!$D$15:$D$19,MATCH($I1481,Config!$C$15:$C$19,0)),"OUT")&amp;IF($K1481="✓","x",""))</f>
        <v/>
      </c>
      <c r="O1481" s="114" t="str">
        <f aca="false">IF($E1481="","",COUNTIF($E$5:$E1481,$E1481))</f>
        <v/>
      </c>
      <c r="P1481" s="114" t="str">
        <f aca="false">IF($E1481="","",$E1481*100+$O1481)</f>
        <v/>
      </c>
      <c r="Q1481" s="114" t="str">
        <f aca="false">IF($L1481="Atrasado",$E1481*10000+$A1481,"")</f>
        <v/>
      </c>
    </row>
    <row r="1482" customFormat="false" ht="15" hidden="false" customHeight="false" outlineLevel="0" collapsed="false">
      <c r="A1482" s="114" t="n">
        <f aca="false">ROW()-4</f>
        <v>1478</v>
      </c>
      <c r="B1482" s="114" t="str">
        <f aca="false">IF(A1482&lt;=Config!$E$27*Config!$E$28,"Tema","Avulso")</f>
        <v>Tema</v>
      </c>
      <c r="C1482" s="114" t="n">
        <f aca="false">IF(B1482="Tema",INT((A1482-1)/Config!$E$28)+1,A1482-Config!$E$27*Config!$E$28)</f>
        <v>247</v>
      </c>
      <c r="D1482" s="114" t="n">
        <f aca="false">IF(B1482="Tema",MOD(A1482-1,Config!$E$28)+1,"")</f>
        <v>2</v>
      </c>
      <c r="E1482" s="115" t="str">
        <f aca="false">IF($B1482="Tema",IF(ISNUMBER(INDEX(Temas!$E$6:$P$305,$C1482,2*$D1482-1)),INDEX(Temas!$E$6:$P$305,$C1482,2*$D1482-1),""),IF(ISNUMBER(INDEX(Avulsos!$B$6:$B$205,$C1482)),INDEX(Avulsos!$B$6:$B$205,$C1482),""))</f>
        <v/>
      </c>
      <c r="F1482" s="114" t="str">
        <f aca="false">IF($E1482="","",IF($B1482="Tema",INDEX(Temas!$B$6:$B$305,$C1482)&amp;"",INDEX(Avulsos!$C$6:$C$205,$C1482)&amp;""))</f>
        <v/>
      </c>
      <c r="G1482" s="114" t="str">
        <f aca="false">IF($E1482="","",IF($B1482="Tema",INDEX(Config!$C$6:$C$11,$D1482),"Evento avulso"))</f>
        <v/>
      </c>
      <c r="H1482" s="114" t="str">
        <f aca="false">IF($E1482="","",IF($B1482="Tema",INDEX(Config!$D$6:$D$11,$D1482),IFERROR(INDEX(Config!$E$15:$E$19,MATCH($I1482,Config!$C$15:$C$19,0)),"•")))</f>
        <v/>
      </c>
      <c r="I1482" s="114" t="str">
        <f aca="false">IF($E1482="","",IF($B1482="Tema",INDEX(Config!$E$6:$E$11,$D1482),IF(INDEX(Avulsos!$D$6:$D$205,$C1482)&amp;""="","Outro",INDEX(Avulsos!$D$6:$D$205,$C1482))))</f>
        <v/>
      </c>
      <c r="J1482" s="114" t="str">
        <f aca="false">IF($E1482="","",IF($B1482="Tema",INDEX(Temas!$C$6:$C$305,$C1482)&amp;"",INDEX(Avulsos!$E$6:$E$205,$C1482)&amp;""))</f>
        <v/>
      </c>
      <c r="K1482" s="114" t="str">
        <f aca="false">IF($E1482="","",IF(IF($B1482="Tema",INDEX(Temas!$E$6:$P$305,$C1482,2*$D1482),INDEX(Avulsos!$F$6:$F$205,$C1482))&amp;""="","","✓"))</f>
        <v/>
      </c>
      <c r="L1482" s="114" t="str">
        <f aca="true">IF($E1482="","",IF($K1482="✓","Concluído",IF($E1482&lt;TODAY(),"Atrasado",IF($E1482=TODAY(),"Hoje","Pendente"))))</f>
        <v/>
      </c>
      <c r="M1482" s="114" t="str">
        <f aca="false">IF($E1482="","",IF($K1482="✓","✓ ","")&amp;IF(Config!$E$22="Sim",$H1482&amp;" · ","")&amp;$F1482)</f>
        <v/>
      </c>
      <c r="N1482" s="114" t="str">
        <f aca="false">IF($E1482="","",IFERROR(INDEX(Config!$D$15:$D$19,MATCH($I1482,Config!$C$15:$C$19,0)),"OUT")&amp;IF($K1482="✓","x",""))</f>
        <v/>
      </c>
      <c r="O1482" s="114" t="str">
        <f aca="false">IF($E1482="","",COUNTIF($E$5:$E1482,$E1482))</f>
        <v/>
      </c>
      <c r="P1482" s="114" t="str">
        <f aca="false">IF($E1482="","",$E1482*100+$O1482)</f>
        <v/>
      </c>
      <c r="Q1482" s="114" t="str">
        <f aca="false">IF($L1482="Atrasado",$E1482*10000+$A1482,"")</f>
        <v/>
      </c>
    </row>
    <row r="1483" customFormat="false" ht="15" hidden="false" customHeight="false" outlineLevel="0" collapsed="false">
      <c r="A1483" s="114" t="n">
        <f aca="false">ROW()-4</f>
        <v>1479</v>
      </c>
      <c r="B1483" s="114" t="str">
        <f aca="false">IF(A1483&lt;=Config!$E$27*Config!$E$28,"Tema","Avulso")</f>
        <v>Tema</v>
      </c>
      <c r="C1483" s="114" t="n">
        <f aca="false">IF(B1483="Tema",INT((A1483-1)/Config!$E$28)+1,A1483-Config!$E$27*Config!$E$28)</f>
        <v>247</v>
      </c>
      <c r="D1483" s="114" t="n">
        <f aca="false">IF(B1483="Tema",MOD(A1483-1,Config!$E$28)+1,"")</f>
        <v>3</v>
      </c>
      <c r="E1483" s="115" t="str">
        <f aca="false">IF($B1483="Tema",IF(ISNUMBER(INDEX(Temas!$E$6:$P$305,$C1483,2*$D1483-1)),INDEX(Temas!$E$6:$P$305,$C1483,2*$D1483-1),""),IF(ISNUMBER(INDEX(Avulsos!$B$6:$B$205,$C1483)),INDEX(Avulsos!$B$6:$B$205,$C1483),""))</f>
        <v/>
      </c>
      <c r="F1483" s="114" t="str">
        <f aca="false">IF($E1483="","",IF($B1483="Tema",INDEX(Temas!$B$6:$B$305,$C1483)&amp;"",INDEX(Avulsos!$C$6:$C$205,$C1483)&amp;""))</f>
        <v/>
      </c>
      <c r="G1483" s="114" t="str">
        <f aca="false">IF($E1483="","",IF($B1483="Tema",INDEX(Config!$C$6:$C$11,$D1483),"Evento avulso"))</f>
        <v/>
      </c>
      <c r="H1483" s="114" t="str">
        <f aca="false">IF($E1483="","",IF($B1483="Tema",INDEX(Config!$D$6:$D$11,$D1483),IFERROR(INDEX(Config!$E$15:$E$19,MATCH($I1483,Config!$C$15:$C$19,0)),"•")))</f>
        <v/>
      </c>
      <c r="I1483" s="114" t="str">
        <f aca="false">IF($E1483="","",IF($B1483="Tema",INDEX(Config!$E$6:$E$11,$D1483),IF(INDEX(Avulsos!$D$6:$D$205,$C1483)&amp;""="","Outro",INDEX(Avulsos!$D$6:$D$205,$C1483))))</f>
        <v/>
      </c>
      <c r="J1483" s="114" t="str">
        <f aca="false">IF($E1483="","",IF($B1483="Tema",INDEX(Temas!$C$6:$C$305,$C1483)&amp;"",INDEX(Avulsos!$E$6:$E$205,$C1483)&amp;""))</f>
        <v/>
      </c>
      <c r="K1483" s="114" t="str">
        <f aca="false">IF($E1483="","",IF(IF($B1483="Tema",INDEX(Temas!$E$6:$P$305,$C1483,2*$D1483),INDEX(Avulsos!$F$6:$F$205,$C1483))&amp;""="","","✓"))</f>
        <v/>
      </c>
      <c r="L1483" s="114" t="str">
        <f aca="true">IF($E1483="","",IF($K1483="✓","Concluído",IF($E1483&lt;TODAY(),"Atrasado",IF($E1483=TODAY(),"Hoje","Pendente"))))</f>
        <v/>
      </c>
      <c r="M1483" s="114" t="str">
        <f aca="false">IF($E1483="","",IF($K1483="✓","✓ ","")&amp;IF(Config!$E$22="Sim",$H1483&amp;" · ","")&amp;$F1483)</f>
        <v/>
      </c>
      <c r="N1483" s="114" t="str">
        <f aca="false">IF($E1483="","",IFERROR(INDEX(Config!$D$15:$D$19,MATCH($I1483,Config!$C$15:$C$19,0)),"OUT")&amp;IF($K1483="✓","x",""))</f>
        <v/>
      </c>
      <c r="O1483" s="114" t="str">
        <f aca="false">IF($E1483="","",COUNTIF($E$5:$E1483,$E1483))</f>
        <v/>
      </c>
      <c r="P1483" s="114" t="str">
        <f aca="false">IF($E1483="","",$E1483*100+$O1483)</f>
        <v/>
      </c>
      <c r="Q1483" s="114" t="str">
        <f aca="false">IF($L1483="Atrasado",$E1483*10000+$A1483,"")</f>
        <v/>
      </c>
    </row>
    <row r="1484" customFormat="false" ht="15" hidden="false" customHeight="false" outlineLevel="0" collapsed="false">
      <c r="A1484" s="114" t="n">
        <f aca="false">ROW()-4</f>
        <v>1480</v>
      </c>
      <c r="B1484" s="114" t="str">
        <f aca="false">IF(A1484&lt;=Config!$E$27*Config!$E$28,"Tema","Avulso")</f>
        <v>Tema</v>
      </c>
      <c r="C1484" s="114" t="n">
        <f aca="false">IF(B1484="Tema",INT((A1484-1)/Config!$E$28)+1,A1484-Config!$E$27*Config!$E$28)</f>
        <v>247</v>
      </c>
      <c r="D1484" s="114" t="n">
        <f aca="false">IF(B1484="Tema",MOD(A1484-1,Config!$E$28)+1,"")</f>
        <v>4</v>
      </c>
      <c r="E1484" s="115" t="str">
        <f aca="false">IF($B1484="Tema",IF(ISNUMBER(INDEX(Temas!$E$6:$P$305,$C1484,2*$D1484-1)),INDEX(Temas!$E$6:$P$305,$C1484,2*$D1484-1),""),IF(ISNUMBER(INDEX(Avulsos!$B$6:$B$205,$C1484)),INDEX(Avulsos!$B$6:$B$205,$C1484),""))</f>
        <v/>
      </c>
      <c r="F1484" s="114" t="str">
        <f aca="false">IF($E1484="","",IF($B1484="Tema",INDEX(Temas!$B$6:$B$305,$C1484)&amp;"",INDEX(Avulsos!$C$6:$C$205,$C1484)&amp;""))</f>
        <v/>
      </c>
      <c r="G1484" s="114" t="str">
        <f aca="false">IF($E1484="","",IF($B1484="Tema",INDEX(Config!$C$6:$C$11,$D1484),"Evento avulso"))</f>
        <v/>
      </c>
      <c r="H1484" s="114" t="str">
        <f aca="false">IF($E1484="","",IF($B1484="Tema",INDEX(Config!$D$6:$D$11,$D1484),IFERROR(INDEX(Config!$E$15:$E$19,MATCH($I1484,Config!$C$15:$C$19,0)),"•")))</f>
        <v/>
      </c>
      <c r="I1484" s="114" t="str">
        <f aca="false">IF($E1484="","",IF($B1484="Tema",INDEX(Config!$E$6:$E$11,$D1484),IF(INDEX(Avulsos!$D$6:$D$205,$C1484)&amp;""="","Outro",INDEX(Avulsos!$D$6:$D$205,$C1484))))</f>
        <v/>
      </c>
      <c r="J1484" s="114" t="str">
        <f aca="false">IF($E1484="","",IF($B1484="Tema",INDEX(Temas!$C$6:$C$305,$C1484)&amp;"",INDEX(Avulsos!$E$6:$E$205,$C1484)&amp;""))</f>
        <v/>
      </c>
      <c r="K1484" s="114" t="str">
        <f aca="false">IF($E1484="","",IF(IF($B1484="Tema",INDEX(Temas!$E$6:$P$305,$C1484,2*$D1484),INDEX(Avulsos!$F$6:$F$205,$C1484))&amp;""="","","✓"))</f>
        <v/>
      </c>
      <c r="L1484" s="114" t="str">
        <f aca="true">IF($E1484="","",IF($K1484="✓","Concluído",IF($E1484&lt;TODAY(),"Atrasado",IF($E1484=TODAY(),"Hoje","Pendente"))))</f>
        <v/>
      </c>
      <c r="M1484" s="114" t="str">
        <f aca="false">IF($E1484="","",IF($K1484="✓","✓ ","")&amp;IF(Config!$E$22="Sim",$H1484&amp;" · ","")&amp;$F1484)</f>
        <v/>
      </c>
      <c r="N1484" s="114" t="str">
        <f aca="false">IF($E1484="","",IFERROR(INDEX(Config!$D$15:$D$19,MATCH($I1484,Config!$C$15:$C$19,0)),"OUT")&amp;IF($K1484="✓","x",""))</f>
        <v/>
      </c>
      <c r="O1484" s="114" t="str">
        <f aca="false">IF($E1484="","",COUNTIF($E$5:$E1484,$E1484))</f>
        <v/>
      </c>
      <c r="P1484" s="114" t="str">
        <f aca="false">IF($E1484="","",$E1484*100+$O1484)</f>
        <v/>
      </c>
      <c r="Q1484" s="114" t="str">
        <f aca="false">IF($L1484="Atrasado",$E1484*10000+$A1484,"")</f>
        <v/>
      </c>
    </row>
    <row r="1485" customFormat="false" ht="15" hidden="false" customHeight="false" outlineLevel="0" collapsed="false">
      <c r="A1485" s="114" t="n">
        <f aca="false">ROW()-4</f>
        <v>1481</v>
      </c>
      <c r="B1485" s="114" t="str">
        <f aca="false">IF(A1485&lt;=Config!$E$27*Config!$E$28,"Tema","Avulso")</f>
        <v>Tema</v>
      </c>
      <c r="C1485" s="114" t="n">
        <f aca="false">IF(B1485="Tema",INT((A1485-1)/Config!$E$28)+1,A1485-Config!$E$27*Config!$E$28)</f>
        <v>247</v>
      </c>
      <c r="D1485" s="114" t="n">
        <f aca="false">IF(B1485="Tema",MOD(A1485-1,Config!$E$28)+1,"")</f>
        <v>5</v>
      </c>
      <c r="E1485" s="115" t="str">
        <f aca="false">IF($B1485="Tema",IF(ISNUMBER(INDEX(Temas!$E$6:$P$305,$C1485,2*$D1485-1)),INDEX(Temas!$E$6:$P$305,$C1485,2*$D1485-1),""),IF(ISNUMBER(INDEX(Avulsos!$B$6:$B$205,$C1485)),INDEX(Avulsos!$B$6:$B$205,$C1485),""))</f>
        <v/>
      </c>
      <c r="F1485" s="114" t="str">
        <f aca="false">IF($E1485="","",IF($B1485="Tema",INDEX(Temas!$B$6:$B$305,$C1485)&amp;"",INDEX(Avulsos!$C$6:$C$205,$C1485)&amp;""))</f>
        <v/>
      </c>
      <c r="G1485" s="114" t="str">
        <f aca="false">IF($E1485="","",IF($B1485="Tema",INDEX(Config!$C$6:$C$11,$D1485),"Evento avulso"))</f>
        <v/>
      </c>
      <c r="H1485" s="114" t="str">
        <f aca="false">IF($E1485="","",IF($B1485="Tema",INDEX(Config!$D$6:$D$11,$D1485),IFERROR(INDEX(Config!$E$15:$E$19,MATCH($I1485,Config!$C$15:$C$19,0)),"•")))</f>
        <v/>
      </c>
      <c r="I1485" s="114" t="str">
        <f aca="false">IF($E1485="","",IF($B1485="Tema",INDEX(Config!$E$6:$E$11,$D1485),IF(INDEX(Avulsos!$D$6:$D$205,$C1485)&amp;""="","Outro",INDEX(Avulsos!$D$6:$D$205,$C1485))))</f>
        <v/>
      </c>
      <c r="J1485" s="114" t="str">
        <f aca="false">IF($E1485="","",IF($B1485="Tema",INDEX(Temas!$C$6:$C$305,$C1485)&amp;"",INDEX(Avulsos!$E$6:$E$205,$C1485)&amp;""))</f>
        <v/>
      </c>
      <c r="K1485" s="114" t="str">
        <f aca="false">IF($E1485="","",IF(IF($B1485="Tema",INDEX(Temas!$E$6:$P$305,$C1485,2*$D1485),INDEX(Avulsos!$F$6:$F$205,$C1485))&amp;""="","","✓"))</f>
        <v/>
      </c>
      <c r="L1485" s="114" t="str">
        <f aca="true">IF($E1485="","",IF($K1485="✓","Concluído",IF($E1485&lt;TODAY(),"Atrasado",IF($E1485=TODAY(),"Hoje","Pendente"))))</f>
        <v/>
      </c>
      <c r="M1485" s="114" t="str">
        <f aca="false">IF($E1485="","",IF($K1485="✓","✓ ","")&amp;IF(Config!$E$22="Sim",$H1485&amp;" · ","")&amp;$F1485)</f>
        <v/>
      </c>
      <c r="N1485" s="114" t="str">
        <f aca="false">IF($E1485="","",IFERROR(INDEX(Config!$D$15:$D$19,MATCH($I1485,Config!$C$15:$C$19,0)),"OUT")&amp;IF($K1485="✓","x",""))</f>
        <v/>
      </c>
      <c r="O1485" s="114" t="str">
        <f aca="false">IF($E1485="","",COUNTIF($E$5:$E1485,$E1485))</f>
        <v/>
      </c>
      <c r="P1485" s="114" t="str">
        <f aca="false">IF($E1485="","",$E1485*100+$O1485)</f>
        <v/>
      </c>
      <c r="Q1485" s="114" t="str">
        <f aca="false">IF($L1485="Atrasado",$E1485*10000+$A1485,"")</f>
        <v/>
      </c>
    </row>
    <row r="1486" customFormat="false" ht="15" hidden="false" customHeight="false" outlineLevel="0" collapsed="false">
      <c r="A1486" s="114" t="n">
        <f aca="false">ROW()-4</f>
        <v>1482</v>
      </c>
      <c r="B1486" s="114" t="str">
        <f aca="false">IF(A1486&lt;=Config!$E$27*Config!$E$28,"Tema","Avulso")</f>
        <v>Tema</v>
      </c>
      <c r="C1486" s="114" t="n">
        <f aca="false">IF(B1486="Tema",INT((A1486-1)/Config!$E$28)+1,A1486-Config!$E$27*Config!$E$28)</f>
        <v>247</v>
      </c>
      <c r="D1486" s="114" t="n">
        <f aca="false">IF(B1486="Tema",MOD(A1486-1,Config!$E$28)+1,"")</f>
        <v>6</v>
      </c>
      <c r="E1486" s="115" t="str">
        <f aca="false">IF($B1486="Tema",IF(ISNUMBER(INDEX(Temas!$E$6:$P$305,$C1486,2*$D1486-1)),INDEX(Temas!$E$6:$P$305,$C1486,2*$D1486-1),""),IF(ISNUMBER(INDEX(Avulsos!$B$6:$B$205,$C1486)),INDEX(Avulsos!$B$6:$B$205,$C1486),""))</f>
        <v/>
      </c>
      <c r="F1486" s="114" t="str">
        <f aca="false">IF($E1486="","",IF($B1486="Tema",INDEX(Temas!$B$6:$B$305,$C1486)&amp;"",INDEX(Avulsos!$C$6:$C$205,$C1486)&amp;""))</f>
        <v/>
      </c>
      <c r="G1486" s="114" t="str">
        <f aca="false">IF($E1486="","",IF($B1486="Tema",INDEX(Config!$C$6:$C$11,$D1486),"Evento avulso"))</f>
        <v/>
      </c>
      <c r="H1486" s="114" t="str">
        <f aca="false">IF($E1486="","",IF($B1486="Tema",INDEX(Config!$D$6:$D$11,$D1486),IFERROR(INDEX(Config!$E$15:$E$19,MATCH($I1486,Config!$C$15:$C$19,0)),"•")))</f>
        <v/>
      </c>
      <c r="I1486" s="114" t="str">
        <f aca="false">IF($E1486="","",IF($B1486="Tema",INDEX(Config!$E$6:$E$11,$D1486),IF(INDEX(Avulsos!$D$6:$D$205,$C1486)&amp;""="","Outro",INDEX(Avulsos!$D$6:$D$205,$C1486))))</f>
        <v/>
      </c>
      <c r="J1486" s="114" t="str">
        <f aca="false">IF($E1486="","",IF($B1486="Tema",INDEX(Temas!$C$6:$C$305,$C1486)&amp;"",INDEX(Avulsos!$E$6:$E$205,$C1486)&amp;""))</f>
        <v/>
      </c>
      <c r="K1486" s="114" t="str">
        <f aca="false">IF($E1486="","",IF(IF($B1486="Tema",INDEX(Temas!$E$6:$P$305,$C1486,2*$D1486),INDEX(Avulsos!$F$6:$F$205,$C1486))&amp;""="","","✓"))</f>
        <v/>
      </c>
      <c r="L1486" s="114" t="str">
        <f aca="true">IF($E1486="","",IF($K1486="✓","Concluído",IF($E1486&lt;TODAY(),"Atrasado",IF($E1486=TODAY(),"Hoje","Pendente"))))</f>
        <v/>
      </c>
      <c r="M1486" s="114" t="str">
        <f aca="false">IF($E1486="","",IF($K1486="✓","✓ ","")&amp;IF(Config!$E$22="Sim",$H1486&amp;" · ","")&amp;$F1486)</f>
        <v/>
      </c>
      <c r="N1486" s="114" t="str">
        <f aca="false">IF($E1486="","",IFERROR(INDEX(Config!$D$15:$D$19,MATCH($I1486,Config!$C$15:$C$19,0)),"OUT")&amp;IF($K1486="✓","x",""))</f>
        <v/>
      </c>
      <c r="O1486" s="114" t="str">
        <f aca="false">IF($E1486="","",COUNTIF($E$5:$E1486,$E1486))</f>
        <v/>
      </c>
      <c r="P1486" s="114" t="str">
        <f aca="false">IF($E1486="","",$E1486*100+$O1486)</f>
        <v/>
      </c>
      <c r="Q1486" s="114" t="str">
        <f aca="false">IF($L1486="Atrasado",$E1486*10000+$A1486,"")</f>
        <v/>
      </c>
    </row>
    <row r="1487" customFormat="false" ht="15" hidden="false" customHeight="false" outlineLevel="0" collapsed="false">
      <c r="A1487" s="114" t="n">
        <f aca="false">ROW()-4</f>
        <v>1483</v>
      </c>
      <c r="B1487" s="114" t="str">
        <f aca="false">IF(A1487&lt;=Config!$E$27*Config!$E$28,"Tema","Avulso")</f>
        <v>Tema</v>
      </c>
      <c r="C1487" s="114" t="n">
        <f aca="false">IF(B1487="Tema",INT((A1487-1)/Config!$E$28)+1,A1487-Config!$E$27*Config!$E$28)</f>
        <v>248</v>
      </c>
      <c r="D1487" s="114" t="n">
        <f aca="false">IF(B1487="Tema",MOD(A1487-1,Config!$E$28)+1,"")</f>
        <v>1</v>
      </c>
      <c r="E1487" s="115" t="str">
        <f aca="false">IF($B1487="Tema",IF(ISNUMBER(INDEX(Temas!$E$6:$P$305,$C1487,2*$D1487-1)),INDEX(Temas!$E$6:$P$305,$C1487,2*$D1487-1),""),IF(ISNUMBER(INDEX(Avulsos!$B$6:$B$205,$C1487)),INDEX(Avulsos!$B$6:$B$205,$C1487),""))</f>
        <v/>
      </c>
      <c r="F1487" s="114" t="str">
        <f aca="false">IF($E1487="","",IF($B1487="Tema",INDEX(Temas!$B$6:$B$305,$C1487)&amp;"",INDEX(Avulsos!$C$6:$C$205,$C1487)&amp;""))</f>
        <v/>
      </c>
      <c r="G1487" s="114" t="str">
        <f aca="false">IF($E1487="","",IF($B1487="Tema",INDEX(Config!$C$6:$C$11,$D1487),"Evento avulso"))</f>
        <v/>
      </c>
      <c r="H1487" s="114" t="str">
        <f aca="false">IF($E1487="","",IF($B1487="Tema",INDEX(Config!$D$6:$D$11,$D1487),IFERROR(INDEX(Config!$E$15:$E$19,MATCH($I1487,Config!$C$15:$C$19,0)),"•")))</f>
        <v/>
      </c>
      <c r="I1487" s="114" t="str">
        <f aca="false">IF($E1487="","",IF($B1487="Tema",INDEX(Config!$E$6:$E$11,$D1487),IF(INDEX(Avulsos!$D$6:$D$205,$C1487)&amp;""="","Outro",INDEX(Avulsos!$D$6:$D$205,$C1487))))</f>
        <v/>
      </c>
      <c r="J1487" s="114" t="str">
        <f aca="false">IF($E1487="","",IF($B1487="Tema",INDEX(Temas!$C$6:$C$305,$C1487)&amp;"",INDEX(Avulsos!$E$6:$E$205,$C1487)&amp;""))</f>
        <v/>
      </c>
      <c r="K1487" s="114" t="str">
        <f aca="false">IF($E1487="","",IF(IF($B1487="Tema",INDEX(Temas!$E$6:$P$305,$C1487,2*$D1487),INDEX(Avulsos!$F$6:$F$205,$C1487))&amp;""="","","✓"))</f>
        <v/>
      </c>
      <c r="L1487" s="114" t="str">
        <f aca="true">IF($E1487="","",IF($K1487="✓","Concluído",IF($E1487&lt;TODAY(),"Atrasado",IF($E1487=TODAY(),"Hoje","Pendente"))))</f>
        <v/>
      </c>
      <c r="M1487" s="114" t="str">
        <f aca="false">IF($E1487="","",IF($K1487="✓","✓ ","")&amp;IF(Config!$E$22="Sim",$H1487&amp;" · ","")&amp;$F1487)</f>
        <v/>
      </c>
      <c r="N1487" s="114" t="str">
        <f aca="false">IF($E1487="","",IFERROR(INDEX(Config!$D$15:$D$19,MATCH($I1487,Config!$C$15:$C$19,0)),"OUT")&amp;IF($K1487="✓","x",""))</f>
        <v/>
      </c>
      <c r="O1487" s="114" t="str">
        <f aca="false">IF($E1487="","",COUNTIF($E$5:$E1487,$E1487))</f>
        <v/>
      </c>
      <c r="P1487" s="114" t="str">
        <f aca="false">IF($E1487="","",$E1487*100+$O1487)</f>
        <v/>
      </c>
      <c r="Q1487" s="114" t="str">
        <f aca="false">IF($L1487="Atrasado",$E1487*10000+$A1487,"")</f>
        <v/>
      </c>
    </row>
    <row r="1488" customFormat="false" ht="15" hidden="false" customHeight="false" outlineLevel="0" collapsed="false">
      <c r="A1488" s="114" t="n">
        <f aca="false">ROW()-4</f>
        <v>1484</v>
      </c>
      <c r="B1488" s="114" t="str">
        <f aca="false">IF(A1488&lt;=Config!$E$27*Config!$E$28,"Tema","Avulso")</f>
        <v>Tema</v>
      </c>
      <c r="C1488" s="114" t="n">
        <f aca="false">IF(B1488="Tema",INT((A1488-1)/Config!$E$28)+1,A1488-Config!$E$27*Config!$E$28)</f>
        <v>248</v>
      </c>
      <c r="D1488" s="114" t="n">
        <f aca="false">IF(B1488="Tema",MOD(A1488-1,Config!$E$28)+1,"")</f>
        <v>2</v>
      </c>
      <c r="E1488" s="115" t="str">
        <f aca="false">IF($B1488="Tema",IF(ISNUMBER(INDEX(Temas!$E$6:$P$305,$C1488,2*$D1488-1)),INDEX(Temas!$E$6:$P$305,$C1488,2*$D1488-1),""),IF(ISNUMBER(INDEX(Avulsos!$B$6:$B$205,$C1488)),INDEX(Avulsos!$B$6:$B$205,$C1488),""))</f>
        <v/>
      </c>
      <c r="F1488" s="114" t="str">
        <f aca="false">IF($E1488="","",IF($B1488="Tema",INDEX(Temas!$B$6:$B$305,$C1488)&amp;"",INDEX(Avulsos!$C$6:$C$205,$C1488)&amp;""))</f>
        <v/>
      </c>
      <c r="G1488" s="114" t="str">
        <f aca="false">IF($E1488="","",IF($B1488="Tema",INDEX(Config!$C$6:$C$11,$D1488),"Evento avulso"))</f>
        <v/>
      </c>
      <c r="H1488" s="114" t="str">
        <f aca="false">IF($E1488="","",IF($B1488="Tema",INDEX(Config!$D$6:$D$11,$D1488),IFERROR(INDEX(Config!$E$15:$E$19,MATCH($I1488,Config!$C$15:$C$19,0)),"•")))</f>
        <v/>
      </c>
      <c r="I1488" s="114" t="str">
        <f aca="false">IF($E1488="","",IF($B1488="Tema",INDEX(Config!$E$6:$E$11,$D1488),IF(INDEX(Avulsos!$D$6:$D$205,$C1488)&amp;""="","Outro",INDEX(Avulsos!$D$6:$D$205,$C1488))))</f>
        <v/>
      </c>
      <c r="J1488" s="114" t="str">
        <f aca="false">IF($E1488="","",IF($B1488="Tema",INDEX(Temas!$C$6:$C$305,$C1488)&amp;"",INDEX(Avulsos!$E$6:$E$205,$C1488)&amp;""))</f>
        <v/>
      </c>
      <c r="K1488" s="114" t="str">
        <f aca="false">IF($E1488="","",IF(IF($B1488="Tema",INDEX(Temas!$E$6:$P$305,$C1488,2*$D1488),INDEX(Avulsos!$F$6:$F$205,$C1488))&amp;""="","","✓"))</f>
        <v/>
      </c>
      <c r="L1488" s="114" t="str">
        <f aca="true">IF($E1488="","",IF($K1488="✓","Concluído",IF($E1488&lt;TODAY(),"Atrasado",IF($E1488=TODAY(),"Hoje","Pendente"))))</f>
        <v/>
      </c>
      <c r="M1488" s="114" t="str">
        <f aca="false">IF($E1488="","",IF($K1488="✓","✓ ","")&amp;IF(Config!$E$22="Sim",$H1488&amp;" · ","")&amp;$F1488)</f>
        <v/>
      </c>
      <c r="N1488" s="114" t="str">
        <f aca="false">IF($E1488="","",IFERROR(INDEX(Config!$D$15:$D$19,MATCH($I1488,Config!$C$15:$C$19,0)),"OUT")&amp;IF($K1488="✓","x",""))</f>
        <v/>
      </c>
      <c r="O1488" s="114" t="str">
        <f aca="false">IF($E1488="","",COUNTIF($E$5:$E1488,$E1488))</f>
        <v/>
      </c>
      <c r="P1488" s="114" t="str">
        <f aca="false">IF($E1488="","",$E1488*100+$O1488)</f>
        <v/>
      </c>
      <c r="Q1488" s="114" t="str">
        <f aca="false">IF($L1488="Atrasado",$E1488*10000+$A1488,"")</f>
        <v/>
      </c>
    </row>
    <row r="1489" customFormat="false" ht="15" hidden="false" customHeight="false" outlineLevel="0" collapsed="false">
      <c r="A1489" s="114" t="n">
        <f aca="false">ROW()-4</f>
        <v>1485</v>
      </c>
      <c r="B1489" s="114" t="str">
        <f aca="false">IF(A1489&lt;=Config!$E$27*Config!$E$28,"Tema","Avulso")</f>
        <v>Tema</v>
      </c>
      <c r="C1489" s="114" t="n">
        <f aca="false">IF(B1489="Tema",INT((A1489-1)/Config!$E$28)+1,A1489-Config!$E$27*Config!$E$28)</f>
        <v>248</v>
      </c>
      <c r="D1489" s="114" t="n">
        <f aca="false">IF(B1489="Tema",MOD(A1489-1,Config!$E$28)+1,"")</f>
        <v>3</v>
      </c>
      <c r="E1489" s="115" t="str">
        <f aca="false">IF($B1489="Tema",IF(ISNUMBER(INDEX(Temas!$E$6:$P$305,$C1489,2*$D1489-1)),INDEX(Temas!$E$6:$P$305,$C1489,2*$D1489-1),""),IF(ISNUMBER(INDEX(Avulsos!$B$6:$B$205,$C1489)),INDEX(Avulsos!$B$6:$B$205,$C1489),""))</f>
        <v/>
      </c>
      <c r="F1489" s="114" t="str">
        <f aca="false">IF($E1489="","",IF($B1489="Tema",INDEX(Temas!$B$6:$B$305,$C1489)&amp;"",INDEX(Avulsos!$C$6:$C$205,$C1489)&amp;""))</f>
        <v/>
      </c>
      <c r="G1489" s="114" t="str">
        <f aca="false">IF($E1489="","",IF($B1489="Tema",INDEX(Config!$C$6:$C$11,$D1489),"Evento avulso"))</f>
        <v/>
      </c>
      <c r="H1489" s="114" t="str">
        <f aca="false">IF($E1489="","",IF($B1489="Tema",INDEX(Config!$D$6:$D$11,$D1489),IFERROR(INDEX(Config!$E$15:$E$19,MATCH($I1489,Config!$C$15:$C$19,0)),"•")))</f>
        <v/>
      </c>
      <c r="I1489" s="114" t="str">
        <f aca="false">IF($E1489="","",IF($B1489="Tema",INDEX(Config!$E$6:$E$11,$D1489),IF(INDEX(Avulsos!$D$6:$D$205,$C1489)&amp;""="","Outro",INDEX(Avulsos!$D$6:$D$205,$C1489))))</f>
        <v/>
      </c>
      <c r="J1489" s="114" t="str">
        <f aca="false">IF($E1489="","",IF($B1489="Tema",INDEX(Temas!$C$6:$C$305,$C1489)&amp;"",INDEX(Avulsos!$E$6:$E$205,$C1489)&amp;""))</f>
        <v/>
      </c>
      <c r="K1489" s="114" t="str">
        <f aca="false">IF($E1489="","",IF(IF($B1489="Tema",INDEX(Temas!$E$6:$P$305,$C1489,2*$D1489),INDEX(Avulsos!$F$6:$F$205,$C1489))&amp;""="","","✓"))</f>
        <v/>
      </c>
      <c r="L1489" s="114" t="str">
        <f aca="true">IF($E1489="","",IF($K1489="✓","Concluído",IF($E1489&lt;TODAY(),"Atrasado",IF($E1489=TODAY(),"Hoje","Pendente"))))</f>
        <v/>
      </c>
      <c r="M1489" s="114" t="str">
        <f aca="false">IF($E1489="","",IF($K1489="✓","✓ ","")&amp;IF(Config!$E$22="Sim",$H1489&amp;" · ","")&amp;$F1489)</f>
        <v/>
      </c>
      <c r="N1489" s="114" t="str">
        <f aca="false">IF($E1489="","",IFERROR(INDEX(Config!$D$15:$D$19,MATCH($I1489,Config!$C$15:$C$19,0)),"OUT")&amp;IF($K1489="✓","x",""))</f>
        <v/>
      </c>
      <c r="O1489" s="114" t="str">
        <f aca="false">IF($E1489="","",COUNTIF($E$5:$E1489,$E1489))</f>
        <v/>
      </c>
      <c r="P1489" s="114" t="str">
        <f aca="false">IF($E1489="","",$E1489*100+$O1489)</f>
        <v/>
      </c>
      <c r="Q1489" s="114" t="str">
        <f aca="false">IF($L1489="Atrasado",$E1489*10000+$A1489,"")</f>
        <v/>
      </c>
    </row>
    <row r="1490" customFormat="false" ht="15" hidden="false" customHeight="false" outlineLevel="0" collapsed="false">
      <c r="A1490" s="114" t="n">
        <f aca="false">ROW()-4</f>
        <v>1486</v>
      </c>
      <c r="B1490" s="114" t="str">
        <f aca="false">IF(A1490&lt;=Config!$E$27*Config!$E$28,"Tema","Avulso")</f>
        <v>Tema</v>
      </c>
      <c r="C1490" s="114" t="n">
        <f aca="false">IF(B1490="Tema",INT((A1490-1)/Config!$E$28)+1,A1490-Config!$E$27*Config!$E$28)</f>
        <v>248</v>
      </c>
      <c r="D1490" s="114" t="n">
        <f aca="false">IF(B1490="Tema",MOD(A1490-1,Config!$E$28)+1,"")</f>
        <v>4</v>
      </c>
      <c r="E1490" s="115" t="str">
        <f aca="false">IF($B1490="Tema",IF(ISNUMBER(INDEX(Temas!$E$6:$P$305,$C1490,2*$D1490-1)),INDEX(Temas!$E$6:$P$305,$C1490,2*$D1490-1),""),IF(ISNUMBER(INDEX(Avulsos!$B$6:$B$205,$C1490)),INDEX(Avulsos!$B$6:$B$205,$C1490),""))</f>
        <v/>
      </c>
      <c r="F1490" s="114" t="str">
        <f aca="false">IF($E1490="","",IF($B1490="Tema",INDEX(Temas!$B$6:$B$305,$C1490)&amp;"",INDEX(Avulsos!$C$6:$C$205,$C1490)&amp;""))</f>
        <v/>
      </c>
      <c r="G1490" s="114" t="str">
        <f aca="false">IF($E1490="","",IF($B1490="Tema",INDEX(Config!$C$6:$C$11,$D1490),"Evento avulso"))</f>
        <v/>
      </c>
      <c r="H1490" s="114" t="str">
        <f aca="false">IF($E1490="","",IF($B1490="Tema",INDEX(Config!$D$6:$D$11,$D1490),IFERROR(INDEX(Config!$E$15:$E$19,MATCH($I1490,Config!$C$15:$C$19,0)),"•")))</f>
        <v/>
      </c>
      <c r="I1490" s="114" t="str">
        <f aca="false">IF($E1490="","",IF($B1490="Tema",INDEX(Config!$E$6:$E$11,$D1490),IF(INDEX(Avulsos!$D$6:$D$205,$C1490)&amp;""="","Outro",INDEX(Avulsos!$D$6:$D$205,$C1490))))</f>
        <v/>
      </c>
      <c r="J1490" s="114" t="str">
        <f aca="false">IF($E1490="","",IF($B1490="Tema",INDEX(Temas!$C$6:$C$305,$C1490)&amp;"",INDEX(Avulsos!$E$6:$E$205,$C1490)&amp;""))</f>
        <v/>
      </c>
      <c r="K1490" s="114" t="str">
        <f aca="false">IF($E1490="","",IF(IF($B1490="Tema",INDEX(Temas!$E$6:$P$305,$C1490,2*$D1490),INDEX(Avulsos!$F$6:$F$205,$C1490))&amp;""="","","✓"))</f>
        <v/>
      </c>
      <c r="L1490" s="114" t="str">
        <f aca="true">IF($E1490="","",IF($K1490="✓","Concluído",IF($E1490&lt;TODAY(),"Atrasado",IF($E1490=TODAY(),"Hoje","Pendente"))))</f>
        <v/>
      </c>
      <c r="M1490" s="114" t="str">
        <f aca="false">IF($E1490="","",IF($K1490="✓","✓ ","")&amp;IF(Config!$E$22="Sim",$H1490&amp;" · ","")&amp;$F1490)</f>
        <v/>
      </c>
      <c r="N1490" s="114" t="str">
        <f aca="false">IF($E1490="","",IFERROR(INDEX(Config!$D$15:$D$19,MATCH($I1490,Config!$C$15:$C$19,0)),"OUT")&amp;IF($K1490="✓","x",""))</f>
        <v/>
      </c>
      <c r="O1490" s="114" t="str">
        <f aca="false">IF($E1490="","",COUNTIF($E$5:$E1490,$E1490))</f>
        <v/>
      </c>
      <c r="P1490" s="114" t="str">
        <f aca="false">IF($E1490="","",$E1490*100+$O1490)</f>
        <v/>
      </c>
      <c r="Q1490" s="114" t="str">
        <f aca="false">IF($L1490="Atrasado",$E1490*10000+$A1490,"")</f>
        <v/>
      </c>
    </row>
    <row r="1491" customFormat="false" ht="15" hidden="false" customHeight="false" outlineLevel="0" collapsed="false">
      <c r="A1491" s="114" t="n">
        <f aca="false">ROW()-4</f>
        <v>1487</v>
      </c>
      <c r="B1491" s="114" t="str">
        <f aca="false">IF(A1491&lt;=Config!$E$27*Config!$E$28,"Tema","Avulso")</f>
        <v>Tema</v>
      </c>
      <c r="C1491" s="114" t="n">
        <f aca="false">IF(B1491="Tema",INT((A1491-1)/Config!$E$28)+1,A1491-Config!$E$27*Config!$E$28)</f>
        <v>248</v>
      </c>
      <c r="D1491" s="114" t="n">
        <f aca="false">IF(B1491="Tema",MOD(A1491-1,Config!$E$28)+1,"")</f>
        <v>5</v>
      </c>
      <c r="E1491" s="115" t="str">
        <f aca="false">IF($B1491="Tema",IF(ISNUMBER(INDEX(Temas!$E$6:$P$305,$C1491,2*$D1491-1)),INDEX(Temas!$E$6:$P$305,$C1491,2*$D1491-1),""),IF(ISNUMBER(INDEX(Avulsos!$B$6:$B$205,$C1491)),INDEX(Avulsos!$B$6:$B$205,$C1491),""))</f>
        <v/>
      </c>
      <c r="F1491" s="114" t="str">
        <f aca="false">IF($E1491="","",IF($B1491="Tema",INDEX(Temas!$B$6:$B$305,$C1491)&amp;"",INDEX(Avulsos!$C$6:$C$205,$C1491)&amp;""))</f>
        <v/>
      </c>
      <c r="G1491" s="114" t="str">
        <f aca="false">IF($E1491="","",IF($B1491="Tema",INDEX(Config!$C$6:$C$11,$D1491),"Evento avulso"))</f>
        <v/>
      </c>
      <c r="H1491" s="114" t="str">
        <f aca="false">IF($E1491="","",IF($B1491="Tema",INDEX(Config!$D$6:$D$11,$D1491),IFERROR(INDEX(Config!$E$15:$E$19,MATCH($I1491,Config!$C$15:$C$19,0)),"•")))</f>
        <v/>
      </c>
      <c r="I1491" s="114" t="str">
        <f aca="false">IF($E1491="","",IF($B1491="Tema",INDEX(Config!$E$6:$E$11,$D1491),IF(INDEX(Avulsos!$D$6:$D$205,$C1491)&amp;""="","Outro",INDEX(Avulsos!$D$6:$D$205,$C1491))))</f>
        <v/>
      </c>
      <c r="J1491" s="114" t="str">
        <f aca="false">IF($E1491="","",IF($B1491="Tema",INDEX(Temas!$C$6:$C$305,$C1491)&amp;"",INDEX(Avulsos!$E$6:$E$205,$C1491)&amp;""))</f>
        <v/>
      </c>
      <c r="K1491" s="114" t="str">
        <f aca="false">IF($E1491="","",IF(IF($B1491="Tema",INDEX(Temas!$E$6:$P$305,$C1491,2*$D1491),INDEX(Avulsos!$F$6:$F$205,$C1491))&amp;""="","","✓"))</f>
        <v/>
      </c>
      <c r="L1491" s="114" t="str">
        <f aca="true">IF($E1491="","",IF($K1491="✓","Concluído",IF($E1491&lt;TODAY(),"Atrasado",IF($E1491=TODAY(),"Hoje","Pendente"))))</f>
        <v/>
      </c>
      <c r="M1491" s="114" t="str">
        <f aca="false">IF($E1491="","",IF($K1491="✓","✓ ","")&amp;IF(Config!$E$22="Sim",$H1491&amp;" · ","")&amp;$F1491)</f>
        <v/>
      </c>
      <c r="N1491" s="114" t="str">
        <f aca="false">IF($E1491="","",IFERROR(INDEX(Config!$D$15:$D$19,MATCH($I1491,Config!$C$15:$C$19,0)),"OUT")&amp;IF($K1491="✓","x",""))</f>
        <v/>
      </c>
      <c r="O1491" s="114" t="str">
        <f aca="false">IF($E1491="","",COUNTIF($E$5:$E1491,$E1491))</f>
        <v/>
      </c>
      <c r="P1491" s="114" t="str">
        <f aca="false">IF($E1491="","",$E1491*100+$O1491)</f>
        <v/>
      </c>
      <c r="Q1491" s="114" t="str">
        <f aca="false">IF($L1491="Atrasado",$E1491*10000+$A1491,"")</f>
        <v/>
      </c>
    </row>
    <row r="1492" customFormat="false" ht="15" hidden="false" customHeight="false" outlineLevel="0" collapsed="false">
      <c r="A1492" s="114" t="n">
        <f aca="false">ROW()-4</f>
        <v>1488</v>
      </c>
      <c r="B1492" s="114" t="str">
        <f aca="false">IF(A1492&lt;=Config!$E$27*Config!$E$28,"Tema","Avulso")</f>
        <v>Tema</v>
      </c>
      <c r="C1492" s="114" t="n">
        <f aca="false">IF(B1492="Tema",INT((A1492-1)/Config!$E$28)+1,A1492-Config!$E$27*Config!$E$28)</f>
        <v>248</v>
      </c>
      <c r="D1492" s="114" t="n">
        <f aca="false">IF(B1492="Tema",MOD(A1492-1,Config!$E$28)+1,"")</f>
        <v>6</v>
      </c>
      <c r="E1492" s="115" t="str">
        <f aca="false">IF($B1492="Tema",IF(ISNUMBER(INDEX(Temas!$E$6:$P$305,$C1492,2*$D1492-1)),INDEX(Temas!$E$6:$P$305,$C1492,2*$D1492-1),""),IF(ISNUMBER(INDEX(Avulsos!$B$6:$B$205,$C1492)),INDEX(Avulsos!$B$6:$B$205,$C1492),""))</f>
        <v/>
      </c>
      <c r="F1492" s="114" t="str">
        <f aca="false">IF($E1492="","",IF($B1492="Tema",INDEX(Temas!$B$6:$B$305,$C1492)&amp;"",INDEX(Avulsos!$C$6:$C$205,$C1492)&amp;""))</f>
        <v/>
      </c>
      <c r="G1492" s="114" t="str">
        <f aca="false">IF($E1492="","",IF($B1492="Tema",INDEX(Config!$C$6:$C$11,$D1492),"Evento avulso"))</f>
        <v/>
      </c>
      <c r="H1492" s="114" t="str">
        <f aca="false">IF($E1492="","",IF($B1492="Tema",INDEX(Config!$D$6:$D$11,$D1492),IFERROR(INDEX(Config!$E$15:$E$19,MATCH($I1492,Config!$C$15:$C$19,0)),"•")))</f>
        <v/>
      </c>
      <c r="I1492" s="114" t="str">
        <f aca="false">IF($E1492="","",IF($B1492="Tema",INDEX(Config!$E$6:$E$11,$D1492),IF(INDEX(Avulsos!$D$6:$D$205,$C1492)&amp;""="","Outro",INDEX(Avulsos!$D$6:$D$205,$C1492))))</f>
        <v/>
      </c>
      <c r="J1492" s="114" t="str">
        <f aca="false">IF($E1492="","",IF($B1492="Tema",INDEX(Temas!$C$6:$C$305,$C1492)&amp;"",INDEX(Avulsos!$E$6:$E$205,$C1492)&amp;""))</f>
        <v/>
      </c>
      <c r="K1492" s="114" t="str">
        <f aca="false">IF($E1492="","",IF(IF($B1492="Tema",INDEX(Temas!$E$6:$P$305,$C1492,2*$D1492),INDEX(Avulsos!$F$6:$F$205,$C1492))&amp;""="","","✓"))</f>
        <v/>
      </c>
      <c r="L1492" s="114" t="str">
        <f aca="true">IF($E1492="","",IF($K1492="✓","Concluído",IF($E1492&lt;TODAY(),"Atrasado",IF($E1492=TODAY(),"Hoje","Pendente"))))</f>
        <v/>
      </c>
      <c r="M1492" s="114" t="str">
        <f aca="false">IF($E1492="","",IF($K1492="✓","✓ ","")&amp;IF(Config!$E$22="Sim",$H1492&amp;" · ","")&amp;$F1492)</f>
        <v/>
      </c>
      <c r="N1492" s="114" t="str">
        <f aca="false">IF($E1492="","",IFERROR(INDEX(Config!$D$15:$D$19,MATCH($I1492,Config!$C$15:$C$19,0)),"OUT")&amp;IF($K1492="✓","x",""))</f>
        <v/>
      </c>
      <c r="O1492" s="114" t="str">
        <f aca="false">IF($E1492="","",COUNTIF($E$5:$E1492,$E1492))</f>
        <v/>
      </c>
      <c r="P1492" s="114" t="str">
        <f aca="false">IF($E1492="","",$E1492*100+$O1492)</f>
        <v/>
      </c>
      <c r="Q1492" s="114" t="str">
        <f aca="false">IF($L1492="Atrasado",$E1492*10000+$A1492,"")</f>
        <v/>
      </c>
    </row>
    <row r="1493" customFormat="false" ht="15" hidden="false" customHeight="false" outlineLevel="0" collapsed="false">
      <c r="A1493" s="114" t="n">
        <f aca="false">ROW()-4</f>
        <v>1489</v>
      </c>
      <c r="B1493" s="114" t="str">
        <f aca="false">IF(A1493&lt;=Config!$E$27*Config!$E$28,"Tema","Avulso")</f>
        <v>Tema</v>
      </c>
      <c r="C1493" s="114" t="n">
        <f aca="false">IF(B1493="Tema",INT((A1493-1)/Config!$E$28)+1,A1493-Config!$E$27*Config!$E$28)</f>
        <v>249</v>
      </c>
      <c r="D1493" s="114" t="n">
        <f aca="false">IF(B1493="Tema",MOD(A1493-1,Config!$E$28)+1,"")</f>
        <v>1</v>
      </c>
      <c r="E1493" s="115" t="str">
        <f aca="false">IF($B1493="Tema",IF(ISNUMBER(INDEX(Temas!$E$6:$P$305,$C1493,2*$D1493-1)),INDEX(Temas!$E$6:$P$305,$C1493,2*$D1493-1),""),IF(ISNUMBER(INDEX(Avulsos!$B$6:$B$205,$C1493)),INDEX(Avulsos!$B$6:$B$205,$C1493),""))</f>
        <v/>
      </c>
      <c r="F1493" s="114" t="str">
        <f aca="false">IF($E1493="","",IF($B1493="Tema",INDEX(Temas!$B$6:$B$305,$C1493)&amp;"",INDEX(Avulsos!$C$6:$C$205,$C1493)&amp;""))</f>
        <v/>
      </c>
      <c r="G1493" s="114" t="str">
        <f aca="false">IF($E1493="","",IF($B1493="Tema",INDEX(Config!$C$6:$C$11,$D1493),"Evento avulso"))</f>
        <v/>
      </c>
      <c r="H1493" s="114" t="str">
        <f aca="false">IF($E1493="","",IF($B1493="Tema",INDEX(Config!$D$6:$D$11,$D1493),IFERROR(INDEX(Config!$E$15:$E$19,MATCH($I1493,Config!$C$15:$C$19,0)),"•")))</f>
        <v/>
      </c>
      <c r="I1493" s="114" t="str">
        <f aca="false">IF($E1493="","",IF($B1493="Tema",INDEX(Config!$E$6:$E$11,$D1493),IF(INDEX(Avulsos!$D$6:$D$205,$C1493)&amp;""="","Outro",INDEX(Avulsos!$D$6:$D$205,$C1493))))</f>
        <v/>
      </c>
      <c r="J1493" s="114" t="str">
        <f aca="false">IF($E1493="","",IF($B1493="Tema",INDEX(Temas!$C$6:$C$305,$C1493)&amp;"",INDEX(Avulsos!$E$6:$E$205,$C1493)&amp;""))</f>
        <v/>
      </c>
      <c r="K1493" s="114" t="str">
        <f aca="false">IF($E1493="","",IF(IF($B1493="Tema",INDEX(Temas!$E$6:$P$305,$C1493,2*$D1493),INDEX(Avulsos!$F$6:$F$205,$C1493))&amp;""="","","✓"))</f>
        <v/>
      </c>
      <c r="L1493" s="114" t="str">
        <f aca="true">IF($E1493="","",IF($K1493="✓","Concluído",IF($E1493&lt;TODAY(),"Atrasado",IF($E1493=TODAY(),"Hoje","Pendente"))))</f>
        <v/>
      </c>
      <c r="M1493" s="114" t="str">
        <f aca="false">IF($E1493="","",IF($K1493="✓","✓ ","")&amp;IF(Config!$E$22="Sim",$H1493&amp;" · ","")&amp;$F1493)</f>
        <v/>
      </c>
      <c r="N1493" s="114" t="str">
        <f aca="false">IF($E1493="","",IFERROR(INDEX(Config!$D$15:$D$19,MATCH($I1493,Config!$C$15:$C$19,0)),"OUT")&amp;IF($K1493="✓","x",""))</f>
        <v/>
      </c>
      <c r="O1493" s="114" t="str">
        <f aca="false">IF($E1493="","",COUNTIF($E$5:$E1493,$E1493))</f>
        <v/>
      </c>
      <c r="P1493" s="114" t="str">
        <f aca="false">IF($E1493="","",$E1493*100+$O1493)</f>
        <v/>
      </c>
      <c r="Q1493" s="114" t="str">
        <f aca="false">IF($L1493="Atrasado",$E1493*10000+$A1493,"")</f>
        <v/>
      </c>
    </row>
    <row r="1494" customFormat="false" ht="15" hidden="false" customHeight="false" outlineLevel="0" collapsed="false">
      <c r="A1494" s="114" t="n">
        <f aca="false">ROW()-4</f>
        <v>1490</v>
      </c>
      <c r="B1494" s="114" t="str">
        <f aca="false">IF(A1494&lt;=Config!$E$27*Config!$E$28,"Tema","Avulso")</f>
        <v>Tema</v>
      </c>
      <c r="C1494" s="114" t="n">
        <f aca="false">IF(B1494="Tema",INT((A1494-1)/Config!$E$28)+1,A1494-Config!$E$27*Config!$E$28)</f>
        <v>249</v>
      </c>
      <c r="D1494" s="114" t="n">
        <f aca="false">IF(B1494="Tema",MOD(A1494-1,Config!$E$28)+1,"")</f>
        <v>2</v>
      </c>
      <c r="E1494" s="115" t="str">
        <f aca="false">IF($B1494="Tema",IF(ISNUMBER(INDEX(Temas!$E$6:$P$305,$C1494,2*$D1494-1)),INDEX(Temas!$E$6:$P$305,$C1494,2*$D1494-1),""),IF(ISNUMBER(INDEX(Avulsos!$B$6:$B$205,$C1494)),INDEX(Avulsos!$B$6:$B$205,$C1494),""))</f>
        <v/>
      </c>
      <c r="F1494" s="114" t="str">
        <f aca="false">IF($E1494="","",IF($B1494="Tema",INDEX(Temas!$B$6:$B$305,$C1494)&amp;"",INDEX(Avulsos!$C$6:$C$205,$C1494)&amp;""))</f>
        <v/>
      </c>
      <c r="G1494" s="114" t="str">
        <f aca="false">IF($E1494="","",IF($B1494="Tema",INDEX(Config!$C$6:$C$11,$D1494),"Evento avulso"))</f>
        <v/>
      </c>
      <c r="H1494" s="114" t="str">
        <f aca="false">IF($E1494="","",IF($B1494="Tema",INDEX(Config!$D$6:$D$11,$D1494),IFERROR(INDEX(Config!$E$15:$E$19,MATCH($I1494,Config!$C$15:$C$19,0)),"•")))</f>
        <v/>
      </c>
      <c r="I1494" s="114" t="str">
        <f aca="false">IF($E1494="","",IF($B1494="Tema",INDEX(Config!$E$6:$E$11,$D1494),IF(INDEX(Avulsos!$D$6:$D$205,$C1494)&amp;""="","Outro",INDEX(Avulsos!$D$6:$D$205,$C1494))))</f>
        <v/>
      </c>
      <c r="J1494" s="114" t="str">
        <f aca="false">IF($E1494="","",IF($B1494="Tema",INDEX(Temas!$C$6:$C$305,$C1494)&amp;"",INDEX(Avulsos!$E$6:$E$205,$C1494)&amp;""))</f>
        <v/>
      </c>
      <c r="K1494" s="114" t="str">
        <f aca="false">IF($E1494="","",IF(IF($B1494="Tema",INDEX(Temas!$E$6:$P$305,$C1494,2*$D1494),INDEX(Avulsos!$F$6:$F$205,$C1494))&amp;""="","","✓"))</f>
        <v/>
      </c>
      <c r="L1494" s="114" t="str">
        <f aca="true">IF($E1494="","",IF($K1494="✓","Concluído",IF($E1494&lt;TODAY(),"Atrasado",IF($E1494=TODAY(),"Hoje","Pendente"))))</f>
        <v/>
      </c>
      <c r="M1494" s="114" t="str">
        <f aca="false">IF($E1494="","",IF($K1494="✓","✓ ","")&amp;IF(Config!$E$22="Sim",$H1494&amp;" · ","")&amp;$F1494)</f>
        <v/>
      </c>
      <c r="N1494" s="114" t="str">
        <f aca="false">IF($E1494="","",IFERROR(INDEX(Config!$D$15:$D$19,MATCH($I1494,Config!$C$15:$C$19,0)),"OUT")&amp;IF($K1494="✓","x",""))</f>
        <v/>
      </c>
      <c r="O1494" s="114" t="str">
        <f aca="false">IF($E1494="","",COUNTIF($E$5:$E1494,$E1494))</f>
        <v/>
      </c>
      <c r="P1494" s="114" t="str">
        <f aca="false">IF($E1494="","",$E1494*100+$O1494)</f>
        <v/>
      </c>
      <c r="Q1494" s="114" t="str">
        <f aca="false">IF($L1494="Atrasado",$E1494*10000+$A1494,"")</f>
        <v/>
      </c>
    </row>
    <row r="1495" customFormat="false" ht="15" hidden="false" customHeight="false" outlineLevel="0" collapsed="false">
      <c r="A1495" s="114" t="n">
        <f aca="false">ROW()-4</f>
        <v>1491</v>
      </c>
      <c r="B1495" s="114" t="str">
        <f aca="false">IF(A1495&lt;=Config!$E$27*Config!$E$28,"Tema","Avulso")</f>
        <v>Tema</v>
      </c>
      <c r="C1495" s="114" t="n">
        <f aca="false">IF(B1495="Tema",INT((A1495-1)/Config!$E$28)+1,A1495-Config!$E$27*Config!$E$28)</f>
        <v>249</v>
      </c>
      <c r="D1495" s="114" t="n">
        <f aca="false">IF(B1495="Tema",MOD(A1495-1,Config!$E$28)+1,"")</f>
        <v>3</v>
      </c>
      <c r="E1495" s="115" t="str">
        <f aca="false">IF($B1495="Tema",IF(ISNUMBER(INDEX(Temas!$E$6:$P$305,$C1495,2*$D1495-1)),INDEX(Temas!$E$6:$P$305,$C1495,2*$D1495-1),""),IF(ISNUMBER(INDEX(Avulsos!$B$6:$B$205,$C1495)),INDEX(Avulsos!$B$6:$B$205,$C1495),""))</f>
        <v/>
      </c>
      <c r="F1495" s="114" t="str">
        <f aca="false">IF($E1495="","",IF($B1495="Tema",INDEX(Temas!$B$6:$B$305,$C1495)&amp;"",INDEX(Avulsos!$C$6:$C$205,$C1495)&amp;""))</f>
        <v/>
      </c>
      <c r="G1495" s="114" t="str">
        <f aca="false">IF($E1495="","",IF($B1495="Tema",INDEX(Config!$C$6:$C$11,$D1495),"Evento avulso"))</f>
        <v/>
      </c>
      <c r="H1495" s="114" t="str">
        <f aca="false">IF($E1495="","",IF($B1495="Tema",INDEX(Config!$D$6:$D$11,$D1495),IFERROR(INDEX(Config!$E$15:$E$19,MATCH($I1495,Config!$C$15:$C$19,0)),"•")))</f>
        <v/>
      </c>
      <c r="I1495" s="114" t="str">
        <f aca="false">IF($E1495="","",IF($B1495="Tema",INDEX(Config!$E$6:$E$11,$D1495),IF(INDEX(Avulsos!$D$6:$D$205,$C1495)&amp;""="","Outro",INDEX(Avulsos!$D$6:$D$205,$C1495))))</f>
        <v/>
      </c>
      <c r="J1495" s="114" t="str">
        <f aca="false">IF($E1495="","",IF($B1495="Tema",INDEX(Temas!$C$6:$C$305,$C1495)&amp;"",INDEX(Avulsos!$E$6:$E$205,$C1495)&amp;""))</f>
        <v/>
      </c>
      <c r="K1495" s="114" t="str">
        <f aca="false">IF($E1495="","",IF(IF($B1495="Tema",INDEX(Temas!$E$6:$P$305,$C1495,2*$D1495),INDEX(Avulsos!$F$6:$F$205,$C1495))&amp;""="","","✓"))</f>
        <v/>
      </c>
      <c r="L1495" s="114" t="str">
        <f aca="true">IF($E1495="","",IF($K1495="✓","Concluído",IF($E1495&lt;TODAY(),"Atrasado",IF($E1495=TODAY(),"Hoje","Pendente"))))</f>
        <v/>
      </c>
      <c r="M1495" s="114" t="str">
        <f aca="false">IF($E1495="","",IF($K1495="✓","✓ ","")&amp;IF(Config!$E$22="Sim",$H1495&amp;" · ","")&amp;$F1495)</f>
        <v/>
      </c>
      <c r="N1495" s="114" t="str">
        <f aca="false">IF($E1495="","",IFERROR(INDEX(Config!$D$15:$D$19,MATCH($I1495,Config!$C$15:$C$19,0)),"OUT")&amp;IF($K1495="✓","x",""))</f>
        <v/>
      </c>
      <c r="O1495" s="114" t="str">
        <f aca="false">IF($E1495="","",COUNTIF($E$5:$E1495,$E1495))</f>
        <v/>
      </c>
      <c r="P1495" s="114" t="str">
        <f aca="false">IF($E1495="","",$E1495*100+$O1495)</f>
        <v/>
      </c>
      <c r="Q1495" s="114" t="str">
        <f aca="false">IF($L1495="Atrasado",$E1495*10000+$A1495,"")</f>
        <v/>
      </c>
    </row>
    <row r="1496" customFormat="false" ht="15" hidden="false" customHeight="false" outlineLevel="0" collapsed="false">
      <c r="A1496" s="114" t="n">
        <f aca="false">ROW()-4</f>
        <v>1492</v>
      </c>
      <c r="B1496" s="114" t="str">
        <f aca="false">IF(A1496&lt;=Config!$E$27*Config!$E$28,"Tema","Avulso")</f>
        <v>Tema</v>
      </c>
      <c r="C1496" s="114" t="n">
        <f aca="false">IF(B1496="Tema",INT((A1496-1)/Config!$E$28)+1,A1496-Config!$E$27*Config!$E$28)</f>
        <v>249</v>
      </c>
      <c r="D1496" s="114" t="n">
        <f aca="false">IF(B1496="Tema",MOD(A1496-1,Config!$E$28)+1,"")</f>
        <v>4</v>
      </c>
      <c r="E1496" s="115" t="str">
        <f aca="false">IF($B1496="Tema",IF(ISNUMBER(INDEX(Temas!$E$6:$P$305,$C1496,2*$D1496-1)),INDEX(Temas!$E$6:$P$305,$C1496,2*$D1496-1),""),IF(ISNUMBER(INDEX(Avulsos!$B$6:$B$205,$C1496)),INDEX(Avulsos!$B$6:$B$205,$C1496),""))</f>
        <v/>
      </c>
      <c r="F1496" s="114" t="str">
        <f aca="false">IF($E1496="","",IF($B1496="Tema",INDEX(Temas!$B$6:$B$305,$C1496)&amp;"",INDEX(Avulsos!$C$6:$C$205,$C1496)&amp;""))</f>
        <v/>
      </c>
      <c r="G1496" s="114" t="str">
        <f aca="false">IF($E1496="","",IF($B1496="Tema",INDEX(Config!$C$6:$C$11,$D1496),"Evento avulso"))</f>
        <v/>
      </c>
      <c r="H1496" s="114" t="str">
        <f aca="false">IF($E1496="","",IF($B1496="Tema",INDEX(Config!$D$6:$D$11,$D1496),IFERROR(INDEX(Config!$E$15:$E$19,MATCH($I1496,Config!$C$15:$C$19,0)),"•")))</f>
        <v/>
      </c>
      <c r="I1496" s="114" t="str">
        <f aca="false">IF($E1496="","",IF($B1496="Tema",INDEX(Config!$E$6:$E$11,$D1496),IF(INDEX(Avulsos!$D$6:$D$205,$C1496)&amp;""="","Outro",INDEX(Avulsos!$D$6:$D$205,$C1496))))</f>
        <v/>
      </c>
      <c r="J1496" s="114" t="str">
        <f aca="false">IF($E1496="","",IF($B1496="Tema",INDEX(Temas!$C$6:$C$305,$C1496)&amp;"",INDEX(Avulsos!$E$6:$E$205,$C1496)&amp;""))</f>
        <v/>
      </c>
      <c r="K1496" s="114" t="str">
        <f aca="false">IF($E1496="","",IF(IF($B1496="Tema",INDEX(Temas!$E$6:$P$305,$C1496,2*$D1496),INDEX(Avulsos!$F$6:$F$205,$C1496))&amp;""="","","✓"))</f>
        <v/>
      </c>
      <c r="L1496" s="114" t="str">
        <f aca="true">IF($E1496="","",IF($K1496="✓","Concluído",IF($E1496&lt;TODAY(),"Atrasado",IF($E1496=TODAY(),"Hoje","Pendente"))))</f>
        <v/>
      </c>
      <c r="M1496" s="114" t="str">
        <f aca="false">IF($E1496="","",IF($K1496="✓","✓ ","")&amp;IF(Config!$E$22="Sim",$H1496&amp;" · ","")&amp;$F1496)</f>
        <v/>
      </c>
      <c r="N1496" s="114" t="str">
        <f aca="false">IF($E1496="","",IFERROR(INDEX(Config!$D$15:$D$19,MATCH($I1496,Config!$C$15:$C$19,0)),"OUT")&amp;IF($K1496="✓","x",""))</f>
        <v/>
      </c>
      <c r="O1496" s="114" t="str">
        <f aca="false">IF($E1496="","",COUNTIF($E$5:$E1496,$E1496))</f>
        <v/>
      </c>
      <c r="P1496" s="114" t="str">
        <f aca="false">IF($E1496="","",$E1496*100+$O1496)</f>
        <v/>
      </c>
      <c r="Q1496" s="114" t="str">
        <f aca="false">IF($L1496="Atrasado",$E1496*10000+$A1496,"")</f>
        <v/>
      </c>
    </row>
    <row r="1497" customFormat="false" ht="15" hidden="false" customHeight="false" outlineLevel="0" collapsed="false">
      <c r="A1497" s="114" t="n">
        <f aca="false">ROW()-4</f>
        <v>1493</v>
      </c>
      <c r="B1497" s="114" t="str">
        <f aca="false">IF(A1497&lt;=Config!$E$27*Config!$E$28,"Tema","Avulso")</f>
        <v>Tema</v>
      </c>
      <c r="C1497" s="114" t="n">
        <f aca="false">IF(B1497="Tema",INT((A1497-1)/Config!$E$28)+1,A1497-Config!$E$27*Config!$E$28)</f>
        <v>249</v>
      </c>
      <c r="D1497" s="114" t="n">
        <f aca="false">IF(B1497="Tema",MOD(A1497-1,Config!$E$28)+1,"")</f>
        <v>5</v>
      </c>
      <c r="E1497" s="115" t="str">
        <f aca="false">IF($B1497="Tema",IF(ISNUMBER(INDEX(Temas!$E$6:$P$305,$C1497,2*$D1497-1)),INDEX(Temas!$E$6:$P$305,$C1497,2*$D1497-1),""),IF(ISNUMBER(INDEX(Avulsos!$B$6:$B$205,$C1497)),INDEX(Avulsos!$B$6:$B$205,$C1497),""))</f>
        <v/>
      </c>
      <c r="F1497" s="114" t="str">
        <f aca="false">IF($E1497="","",IF($B1497="Tema",INDEX(Temas!$B$6:$B$305,$C1497)&amp;"",INDEX(Avulsos!$C$6:$C$205,$C1497)&amp;""))</f>
        <v/>
      </c>
      <c r="G1497" s="114" t="str">
        <f aca="false">IF($E1497="","",IF($B1497="Tema",INDEX(Config!$C$6:$C$11,$D1497),"Evento avulso"))</f>
        <v/>
      </c>
      <c r="H1497" s="114" t="str">
        <f aca="false">IF($E1497="","",IF($B1497="Tema",INDEX(Config!$D$6:$D$11,$D1497),IFERROR(INDEX(Config!$E$15:$E$19,MATCH($I1497,Config!$C$15:$C$19,0)),"•")))</f>
        <v/>
      </c>
      <c r="I1497" s="114" t="str">
        <f aca="false">IF($E1497="","",IF($B1497="Tema",INDEX(Config!$E$6:$E$11,$D1497),IF(INDEX(Avulsos!$D$6:$D$205,$C1497)&amp;""="","Outro",INDEX(Avulsos!$D$6:$D$205,$C1497))))</f>
        <v/>
      </c>
      <c r="J1497" s="114" t="str">
        <f aca="false">IF($E1497="","",IF($B1497="Tema",INDEX(Temas!$C$6:$C$305,$C1497)&amp;"",INDEX(Avulsos!$E$6:$E$205,$C1497)&amp;""))</f>
        <v/>
      </c>
      <c r="K1497" s="114" t="str">
        <f aca="false">IF($E1497="","",IF(IF($B1497="Tema",INDEX(Temas!$E$6:$P$305,$C1497,2*$D1497),INDEX(Avulsos!$F$6:$F$205,$C1497))&amp;""="","","✓"))</f>
        <v/>
      </c>
      <c r="L1497" s="114" t="str">
        <f aca="true">IF($E1497="","",IF($K1497="✓","Concluído",IF($E1497&lt;TODAY(),"Atrasado",IF($E1497=TODAY(),"Hoje","Pendente"))))</f>
        <v/>
      </c>
      <c r="M1497" s="114" t="str">
        <f aca="false">IF($E1497="","",IF($K1497="✓","✓ ","")&amp;IF(Config!$E$22="Sim",$H1497&amp;" · ","")&amp;$F1497)</f>
        <v/>
      </c>
      <c r="N1497" s="114" t="str">
        <f aca="false">IF($E1497="","",IFERROR(INDEX(Config!$D$15:$D$19,MATCH($I1497,Config!$C$15:$C$19,0)),"OUT")&amp;IF($K1497="✓","x",""))</f>
        <v/>
      </c>
      <c r="O1497" s="114" t="str">
        <f aca="false">IF($E1497="","",COUNTIF($E$5:$E1497,$E1497))</f>
        <v/>
      </c>
      <c r="P1497" s="114" t="str">
        <f aca="false">IF($E1497="","",$E1497*100+$O1497)</f>
        <v/>
      </c>
      <c r="Q1497" s="114" t="str">
        <f aca="false">IF($L1497="Atrasado",$E1497*10000+$A1497,"")</f>
        <v/>
      </c>
    </row>
    <row r="1498" customFormat="false" ht="15" hidden="false" customHeight="false" outlineLevel="0" collapsed="false">
      <c r="A1498" s="114" t="n">
        <f aca="false">ROW()-4</f>
        <v>1494</v>
      </c>
      <c r="B1498" s="114" t="str">
        <f aca="false">IF(A1498&lt;=Config!$E$27*Config!$E$28,"Tema","Avulso")</f>
        <v>Tema</v>
      </c>
      <c r="C1498" s="114" t="n">
        <f aca="false">IF(B1498="Tema",INT((A1498-1)/Config!$E$28)+1,A1498-Config!$E$27*Config!$E$28)</f>
        <v>249</v>
      </c>
      <c r="D1498" s="114" t="n">
        <f aca="false">IF(B1498="Tema",MOD(A1498-1,Config!$E$28)+1,"")</f>
        <v>6</v>
      </c>
      <c r="E1498" s="115" t="str">
        <f aca="false">IF($B1498="Tema",IF(ISNUMBER(INDEX(Temas!$E$6:$P$305,$C1498,2*$D1498-1)),INDEX(Temas!$E$6:$P$305,$C1498,2*$D1498-1),""),IF(ISNUMBER(INDEX(Avulsos!$B$6:$B$205,$C1498)),INDEX(Avulsos!$B$6:$B$205,$C1498),""))</f>
        <v/>
      </c>
      <c r="F1498" s="114" t="str">
        <f aca="false">IF($E1498="","",IF($B1498="Tema",INDEX(Temas!$B$6:$B$305,$C1498)&amp;"",INDEX(Avulsos!$C$6:$C$205,$C1498)&amp;""))</f>
        <v/>
      </c>
      <c r="G1498" s="114" t="str">
        <f aca="false">IF($E1498="","",IF($B1498="Tema",INDEX(Config!$C$6:$C$11,$D1498),"Evento avulso"))</f>
        <v/>
      </c>
      <c r="H1498" s="114" t="str">
        <f aca="false">IF($E1498="","",IF($B1498="Tema",INDEX(Config!$D$6:$D$11,$D1498),IFERROR(INDEX(Config!$E$15:$E$19,MATCH($I1498,Config!$C$15:$C$19,0)),"•")))</f>
        <v/>
      </c>
      <c r="I1498" s="114" t="str">
        <f aca="false">IF($E1498="","",IF($B1498="Tema",INDEX(Config!$E$6:$E$11,$D1498),IF(INDEX(Avulsos!$D$6:$D$205,$C1498)&amp;""="","Outro",INDEX(Avulsos!$D$6:$D$205,$C1498))))</f>
        <v/>
      </c>
      <c r="J1498" s="114" t="str">
        <f aca="false">IF($E1498="","",IF($B1498="Tema",INDEX(Temas!$C$6:$C$305,$C1498)&amp;"",INDEX(Avulsos!$E$6:$E$205,$C1498)&amp;""))</f>
        <v/>
      </c>
      <c r="K1498" s="114" t="str">
        <f aca="false">IF($E1498="","",IF(IF($B1498="Tema",INDEX(Temas!$E$6:$P$305,$C1498,2*$D1498),INDEX(Avulsos!$F$6:$F$205,$C1498))&amp;""="","","✓"))</f>
        <v/>
      </c>
      <c r="L1498" s="114" t="str">
        <f aca="true">IF($E1498="","",IF($K1498="✓","Concluído",IF($E1498&lt;TODAY(),"Atrasado",IF($E1498=TODAY(),"Hoje","Pendente"))))</f>
        <v/>
      </c>
      <c r="M1498" s="114" t="str">
        <f aca="false">IF($E1498="","",IF($K1498="✓","✓ ","")&amp;IF(Config!$E$22="Sim",$H1498&amp;" · ","")&amp;$F1498)</f>
        <v/>
      </c>
      <c r="N1498" s="114" t="str">
        <f aca="false">IF($E1498="","",IFERROR(INDEX(Config!$D$15:$D$19,MATCH($I1498,Config!$C$15:$C$19,0)),"OUT")&amp;IF($K1498="✓","x",""))</f>
        <v/>
      </c>
      <c r="O1498" s="114" t="str">
        <f aca="false">IF($E1498="","",COUNTIF($E$5:$E1498,$E1498))</f>
        <v/>
      </c>
      <c r="P1498" s="114" t="str">
        <f aca="false">IF($E1498="","",$E1498*100+$O1498)</f>
        <v/>
      </c>
      <c r="Q1498" s="114" t="str">
        <f aca="false">IF($L1498="Atrasado",$E1498*10000+$A1498,"")</f>
        <v/>
      </c>
    </row>
    <row r="1499" customFormat="false" ht="15" hidden="false" customHeight="false" outlineLevel="0" collapsed="false">
      <c r="A1499" s="114" t="n">
        <f aca="false">ROW()-4</f>
        <v>1495</v>
      </c>
      <c r="B1499" s="114" t="str">
        <f aca="false">IF(A1499&lt;=Config!$E$27*Config!$E$28,"Tema","Avulso")</f>
        <v>Tema</v>
      </c>
      <c r="C1499" s="114" t="n">
        <f aca="false">IF(B1499="Tema",INT((A1499-1)/Config!$E$28)+1,A1499-Config!$E$27*Config!$E$28)</f>
        <v>250</v>
      </c>
      <c r="D1499" s="114" t="n">
        <f aca="false">IF(B1499="Tema",MOD(A1499-1,Config!$E$28)+1,"")</f>
        <v>1</v>
      </c>
      <c r="E1499" s="115" t="str">
        <f aca="false">IF($B1499="Tema",IF(ISNUMBER(INDEX(Temas!$E$6:$P$305,$C1499,2*$D1499-1)),INDEX(Temas!$E$6:$P$305,$C1499,2*$D1499-1),""),IF(ISNUMBER(INDEX(Avulsos!$B$6:$B$205,$C1499)),INDEX(Avulsos!$B$6:$B$205,$C1499),""))</f>
        <v/>
      </c>
      <c r="F1499" s="114" t="str">
        <f aca="false">IF($E1499="","",IF($B1499="Tema",INDEX(Temas!$B$6:$B$305,$C1499)&amp;"",INDEX(Avulsos!$C$6:$C$205,$C1499)&amp;""))</f>
        <v/>
      </c>
      <c r="G1499" s="114" t="str">
        <f aca="false">IF($E1499="","",IF($B1499="Tema",INDEX(Config!$C$6:$C$11,$D1499),"Evento avulso"))</f>
        <v/>
      </c>
      <c r="H1499" s="114" t="str">
        <f aca="false">IF($E1499="","",IF($B1499="Tema",INDEX(Config!$D$6:$D$11,$D1499),IFERROR(INDEX(Config!$E$15:$E$19,MATCH($I1499,Config!$C$15:$C$19,0)),"•")))</f>
        <v/>
      </c>
      <c r="I1499" s="114" t="str">
        <f aca="false">IF($E1499="","",IF($B1499="Tema",INDEX(Config!$E$6:$E$11,$D1499),IF(INDEX(Avulsos!$D$6:$D$205,$C1499)&amp;""="","Outro",INDEX(Avulsos!$D$6:$D$205,$C1499))))</f>
        <v/>
      </c>
      <c r="J1499" s="114" t="str">
        <f aca="false">IF($E1499="","",IF($B1499="Tema",INDEX(Temas!$C$6:$C$305,$C1499)&amp;"",INDEX(Avulsos!$E$6:$E$205,$C1499)&amp;""))</f>
        <v/>
      </c>
      <c r="K1499" s="114" t="str">
        <f aca="false">IF($E1499="","",IF(IF($B1499="Tema",INDEX(Temas!$E$6:$P$305,$C1499,2*$D1499),INDEX(Avulsos!$F$6:$F$205,$C1499))&amp;""="","","✓"))</f>
        <v/>
      </c>
      <c r="L1499" s="114" t="str">
        <f aca="true">IF($E1499="","",IF($K1499="✓","Concluído",IF($E1499&lt;TODAY(),"Atrasado",IF($E1499=TODAY(),"Hoje","Pendente"))))</f>
        <v/>
      </c>
      <c r="M1499" s="114" t="str">
        <f aca="false">IF($E1499="","",IF($K1499="✓","✓ ","")&amp;IF(Config!$E$22="Sim",$H1499&amp;" · ","")&amp;$F1499)</f>
        <v/>
      </c>
      <c r="N1499" s="114" t="str">
        <f aca="false">IF($E1499="","",IFERROR(INDEX(Config!$D$15:$D$19,MATCH($I1499,Config!$C$15:$C$19,0)),"OUT")&amp;IF($K1499="✓","x",""))</f>
        <v/>
      </c>
      <c r="O1499" s="114" t="str">
        <f aca="false">IF($E1499="","",COUNTIF($E$5:$E1499,$E1499))</f>
        <v/>
      </c>
      <c r="P1499" s="114" t="str">
        <f aca="false">IF($E1499="","",$E1499*100+$O1499)</f>
        <v/>
      </c>
      <c r="Q1499" s="114" t="str">
        <f aca="false">IF($L1499="Atrasado",$E1499*10000+$A1499,"")</f>
        <v/>
      </c>
    </row>
    <row r="1500" customFormat="false" ht="15" hidden="false" customHeight="false" outlineLevel="0" collapsed="false">
      <c r="A1500" s="114" t="n">
        <f aca="false">ROW()-4</f>
        <v>1496</v>
      </c>
      <c r="B1500" s="114" t="str">
        <f aca="false">IF(A1500&lt;=Config!$E$27*Config!$E$28,"Tema","Avulso")</f>
        <v>Tema</v>
      </c>
      <c r="C1500" s="114" t="n">
        <f aca="false">IF(B1500="Tema",INT((A1500-1)/Config!$E$28)+1,A1500-Config!$E$27*Config!$E$28)</f>
        <v>250</v>
      </c>
      <c r="D1500" s="114" t="n">
        <f aca="false">IF(B1500="Tema",MOD(A1500-1,Config!$E$28)+1,"")</f>
        <v>2</v>
      </c>
      <c r="E1500" s="115" t="str">
        <f aca="false">IF($B1500="Tema",IF(ISNUMBER(INDEX(Temas!$E$6:$P$305,$C1500,2*$D1500-1)),INDEX(Temas!$E$6:$P$305,$C1500,2*$D1500-1),""),IF(ISNUMBER(INDEX(Avulsos!$B$6:$B$205,$C1500)),INDEX(Avulsos!$B$6:$B$205,$C1500),""))</f>
        <v/>
      </c>
      <c r="F1500" s="114" t="str">
        <f aca="false">IF($E1500="","",IF($B1500="Tema",INDEX(Temas!$B$6:$B$305,$C1500)&amp;"",INDEX(Avulsos!$C$6:$C$205,$C1500)&amp;""))</f>
        <v/>
      </c>
      <c r="G1500" s="114" t="str">
        <f aca="false">IF($E1500="","",IF($B1500="Tema",INDEX(Config!$C$6:$C$11,$D1500),"Evento avulso"))</f>
        <v/>
      </c>
      <c r="H1500" s="114" t="str">
        <f aca="false">IF($E1500="","",IF($B1500="Tema",INDEX(Config!$D$6:$D$11,$D1500),IFERROR(INDEX(Config!$E$15:$E$19,MATCH($I1500,Config!$C$15:$C$19,0)),"•")))</f>
        <v/>
      </c>
      <c r="I1500" s="114" t="str">
        <f aca="false">IF($E1500="","",IF($B1500="Tema",INDEX(Config!$E$6:$E$11,$D1500),IF(INDEX(Avulsos!$D$6:$D$205,$C1500)&amp;""="","Outro",INDEX(Avulsos!$D$6:$D$205,$C1500))))</f>
        <v/>
      </c>
      <c r="J1500" s="114" t="str">
        <f aca="false">IF($E1500="","",IF($B1500="Tema",INDEX(Temas!$C$6:$C$305,$C1500)&amp;"",INDEX(Avulsos!$E$6:$E$205,$C1500)&amp;""))</f>
        <v/>
      </c>
      <c r="K1500" s="114" t="str">
        <f aca="false">IF($E1500="","",IF(IF($B1500="Tema",INDEX(Temas!$E$6:$P$305,$C1500,2*$D1500),INDEX(Avulsos!$F$6:$F$205,$C1500))&amp;""="","","✓"))</f>
        <v/>
      </c>
      <c r="L1500" s="114" t="str">
        <f aca="true">IF($E1500="","",IF($K1500="✓","Concluído",IF($E1500&lt;TODAY(),"Atrasado",IF($E1500=TODAY(),"Hoje","Pendente"))))</f>
        <v/>
      </c>
      <c r="M1500" s="114" t="str">
        <f aca="false">IF($E1500="","",IF($K1500="✓","✓ ","")&amp;IF(Config!$E$22="Sim",$H1500&amp;" · ","")&amp;$F1500)</f>
        <v/>
      </c>
      <c r="N1500" s="114" t="str">
        <f aca="false">IF($E1500="","",IFERROR(INDEX(Config!$D$15:$D$19,MATCH($I1500,Config!$C$15:$C$19,0)),"OUT")&amp;IF($K1500="✓","x",""))</f>
        <v/>
      </c>
      <c r="O1500" s="114" t="str">
        <f aca="false">IF($E1500="","",COUNTIF($E$5:$E1500,$E1500))</f>
        <v/>
      </c>
      <c r="P1500" s="114" t="str">
        <f aca="false">IF($E1500="","",$E1500*100+$O1500)</f>
        <v/>
      </c>
      <c r="Q1500" s="114" t="str">
        <f aca="false">IF($L1500="Atrasado",$E1500*10000+$A1500,"")</f>
        <v/>
      </c>
    </row>
    <row r="1501" customFormat="false" ht="15" hidden="false" customHeight="false" outlineLevel="0" collapsed="false">
      <c r="A1501" s="114" t="n">
        <f aca="false">ROW()-4</f>
        <v>1497</v>
      </c>
      <c r="B1501" s="114" t="str">
        <f aca="false">IF(A1501&lt;=Config!$E$27*Config!$E$28,"Tema","Avulso")</f>
        <v>Tema</v>
      </c>
      <c r="C1501" s="114" t="n">
        <f aca="false">IF(B1501="Tema",INT((A1501-1)/Config!$E$28)+1,A1501-Config!$E$27*Config!$E$28)</f>
        <v>250</v>
      </c>
      <c r="D1501" s="114" t="n">
        <f aca="false">IF(B1501="Tema",MOD(A1501-1,Config!$E$28)+1,"")</f>
        <v>3</v>
      </c>
      <c r="E1501" s="115" t="str">
        <f aca="false">IF($B1501="Tema",IF(ISNUMBER(INDEX(Temas!$E$6:$P$305,$C1501,2*$D1501-1)),INDEX(Temas!$E$6:$P$305,$C1501,2*$D1501-1),""),IF(ISNUMBER(INDEX(Avulsos!$B$6:$B$205,$C1501)),INDEX(Avulsos!$B$6:$B$205,$C1501),""))</f>
        <v/>
      </c>
      <c r="F1501" s="114" t="str">
        <f aca="false">IF($E1501="","",IF($B1501="Tema",INDEX(Temas!$B$6:$B$305,$C1501)&amp;"",INDEX(Avulsos!$C$6:$C$205,$C1501)&amp;""))</f>
        <v/>
      </c>
      <c r="G1501" s="114" t="str">
        <f aca="false">IF($E1501="","",IF($B1501="Tema",INDEX(Config!$C$6:$C$11,$D1501),"Evento avulso"))</f>
        <v/>
      </c>
      <c r="H1501" s="114" t="str">
        <f aca="false">IF($E1501="","",IF($B1501="Tema",INDEX(Config!$D$6:$D$11,$D1501),IFERROR(INDEX(Config!$E$15:$E$19,MATCH($I1501,Config!$C$15:$C$19,0)),"•")))</f>
        <v/>
      </c>
      <c r="I1501" s="114" t="str">
        <f aca="false">IF($E1501="","",IF($B1501="Tema",INDEX(Config!$E$6:$E$11,$D1501),IF(INDEX(Avulsos!$D$6:$D$205,$C1501)&amp;""="","Outro",INDEX(Avulsos!$D$6:$D$205,$C1501))))</f>
        <v/>
      </c>
      <c r="J1501" s="114" t="str">
        <f aca="false">IF($E1501="","",IF($B1501="Tema",INDEX(Temas!$C$6:$C$305,$C1501)&amp;"",INDEX(Avulsos!$E$6:$E$205,$C1501)&amp;""))</f>
        <v/>
      </c>
      <c r="K1501" s="114" t="str">
        <f aca="false">IF($E1501="","",IF(IF($B1501="Tema",INDEX(Temas!$E$6:$P$305,$C1501,2*$D1501),INDEX(Avulsos!$F$6:$F$205,$C1501))&amp;""="","","✓"))</f>
        <v/>
      </c>
      <c r="L1501" s="114" t="str">
        <f aca="true">IF($E1501="","",IF($K1501="✓","Concluído",IF($E1501&lt;TODAY(),"Atrasado",IF($E1501=TODAY(),"Hoje","Pendente"))))</f>
        <v/>
      </c>
      <c r="M1501" s="114" t="str">
        <f aca="false">IF($E1501="","",IF($K1501="✓","✓ ","")&amp;IF(Config!$E$22="Sim",$H1501&amp;" · ","")&amp;$F1501)</f>
        <v/>
      </c>
      <c r="N1501" s="114" t="str">
        <f aca="false">IF($E1501="","",IFERROR(INDEX(Config!$D$15:$D$19,MATCH($I1501,Config!$C$15:$C$19,0)),"OUT")&amp;IF($K1501="✓","x",""))</f>
        <v/>
      </c>
      <c r="O1501" s="114" t="str">
        <f aca="false">IF($E1501="","",COUNTIF($E$5:$E1501,$E1501))</f>
        <v/>
      </c>
      <c r="P1501" s="114" t="str">
        <f aca="false">IF($E1501="","",$E1501*100+$O1501)</f>
        <v/>
      </c>
      <c r="Q1501" s="114" t="str">
        <f aca="false">IF($L1501="Atrasado",$E1501*10000+$A1501,"")</f>
        <v/>
      </c>
    </row>
    <row r="1502" customFormat="false" ht="15" hidden="false" customHeight="false" outlineLevel="0" collapsed="false">
      <c r="A1502" s="114" t="n">
        <f aca="false">ROW()-4</f>
        <v>1498</v>
      </c>
      <c r="B1502" s="114" t="str">
        <f aca="false">IF(A1502&lt;=Config!$E$27*Config!$E$28,"Tema","Avulso")</f>
        <v>Tema</v>
      </c>
      <c r="C1502" s="114" t="n">
        <f aca="false">IF(B1502="Tema",INT((A1502-1)/Config!$E$28)+1,A1502-Config!$E$27*Config!$E$28)</f>
        <v>250</v>
      </c>
      <c r="D1502" s="114" t="n">
        <f aca="false">IF(B1502="Tema",MOD(A1502-1,Config!$E$28)+1,"")</f>
        <v>4</v>
      </c>
      <c r="E1502" s="115" t="str">
        <f aca="false">IF($B1502="Tema",IF(ISNUMBER(INDEX(Temas!$E$6:$P$305,$C1502,2*$D1502-1)),INDEX(Temas!$E$6:$P$305,$C1502,2*$D1502-1),""),IF(ISNUMBER(INDEX(Avulsos!$B$6:$B$205,$C1502)),INDEX(Avulsos!$B$6:$B$205,$C1502),""))</f>
        <v/>
      </c>
      <c r="F1502" s="114" t="str">
        <f aca="false">IF($E1502="","",IF($B1502="Tema",INDEX(Temas!$B$6:$B$305,$C1502)&amp;"",INDEX(Avulsos!$C$6:$C$205,$C1502)&amp;""))</f>
        <v/>
      </c>
      <c r="G1502" s="114" t="str">
        <f aca="false">IF($E1502="","",IF($B1502="Tema",INDEX(Config!$C$6:$C$11,$D1502),"Evento avulso"))</f>
        <v/>
      </c>
      <c r="H1502" s="114" t="str">
        <f aca="false">IF($E1502="","",IF($B1502="Tema",INDEX(Config!$D$6:$D$11,$D1502),IFERROR(INDEX(Config!$E$15:$E$19,MATCH($I1502,Config!$C$15:$C$19,0)),"•")))</f>
        <v/>
      </c>
      <c r="I1502" s="114" t="str">
        <f aca="false">IF($E1502="","",IF($B1502="Tema",INDEX(Config!$E$6:$E$11,$D1502),IF(INDEX(Avulsos!$D$6:$D$205,$C1502)&amp;""="","Outro",INDEX(Avulsos!$D$6:$D$205,$C1502))))</f>
        <v/>
      </c>
      <c r="J1502" s="114" t="str">
        <f aca="false">IF($E1502="","",IF($B1502="Tema",INDEX(Temas!$C$6:$C$305,$C1502)&amp;"",INDEX(Avulsos!$E$6:$E$205,$C1502)&amp;""))</f>
        <v/>
      </c>
      <c r="K1502" s="114" t="str">
        <f aca="false">IF($E1502="","",IF(IF($B1502="Tema",INDEX(Temas!$E$6:$P$305,$C1502,2*$D1502),INDEX(Avulsos!$F$6:$F$205,$C1502))&amp;""="","","✓"))</f>
        <v/>
      </c>
      <c r="L1502" s="114" t="str">
        <f aca="true">IF($E1502="","",IF($K1502="✓","Concluído",IF($E1502&lt;TODAY(),"Atrasado",IF($E1502=TODAY(),"Hoje","Pendente"))))</f>
        <v/>
      </c>
      <c r="M1502" s="114" t="str">
        <f aca="false">IF($E1502="","",IF($K1502="✓","✓ ","")&amp;IF(Config!$E$22="Sim",$H1502&amp;" · ","")&amp;$F1502)</f>
        <v/>
      </c>
      <c r="N1502" s="114" t="str">
        <f aca="false">IF($E1502="","",IFERROR(INDEX(Config!$D$15:$D$19,MATCH($I1502,Config!$C$15:$C$19,0)),"OUT")&amp;IF($K1502="✓","x",""))</f>
        <v/>
      </c>
      <c r="O1502" s="114" t="str">
        <f aca="false">IF($E1502="","",COUNTIF($E$5:$E1502,$E1502))</f>
        <v/>
      </c>
      <c r="P1502" s="114" t="str">
        <f aca="false">IF($E1502="","",$E1502*100+$O1502)</f>
        <v/>
      </c>
      <c r="Q1502" s="114" t="str">
        <f aca="false">IF($L1502="Atrasado",$E1502*10000+$A1502,"")</f>
        <v/>
      </c>
    </row>
    <row r="1503" customFormat="false" ht="15" hidden="false" customHeight="false" outlineLevel="0" collapsed="false">
      <c r="A1503" s="114" t="n">
        <f aca="false">ROW()-4</f>
        <v>1499</v>
      </c>
      <c r="B1503" s="114" t="str">
        <f aca="false">IF(A1503&lt;=Config!$E$27*Config!$E$28,"Tema","Avulso")</f>
        <v>Tema</v>
      </c>
      <c r="C1503" s="114" t="n">
        <f aca="false">IF(B1503="Tema",INT((A1503-1)/Config!$E$28)+1,A1503-Config!$E$27*Config!$E$28)</f>
        <v>250</v>
      </c>
      <c r="D1503" s="114" t="n">
        <f aca="false">IF(B1503="Tema",MOD(A1503-1,Config!$E$28)+1,"")</f>
        <v>5</v>
      </c>
      <c r="E1503" s="115" t="str">
        <f aca="false">IF($B1503="Tema",IF(ISNUMBER(INDEX(Temas!$E$6:$P$305,$C1503,2*$D1503-1)),INDEX(Temas!$E$6:$P$305,$C1503,2*$D1503-1),""),IF(ISNUMBER(INDEX(Avulsos!$B$6:$B$205,$C1503)),INDEX(Avulsos!$B$6:$B$205,$C1503),""))</f>
        <v/>
      </c>
      <c r="F1503" s="114" t="str">
        <f aca="false">IF($E1503="","",IF($B1503="Tema",INDEX(Temas!$B$6:$B$305,$C1503)&amp;"",INDEX(Avulsos!$C$6:$C$205,$C1503)&amp;""))</f>
        <v/>
      </c>
      <c r="G1503" s="114" t="str">
        <f aca="false">IF($E1503="","",IF($B1503="Tema",INDEX(Config!$C$6:$C$11,$D1503),"Evento avulso"))</f>
        <v/>
      </c>
      <c r="H1503" s="114" t="str">
        <f aca="false">IF($E1503="","",IF($B1503="Tema",INDEX(Config!$D$6:$D$11,$D1503),IFERROR(INDEX(Config!$E$15:$E$19,MATCH($I1503,Config!$C$15:$C$19,0)),"•")))</f>
        <v/>
      </c>
      <c r="I1503" s="114" t="str">
        <f aca="false">IF($E1503="","",IF($B1503="Tema",INDEX(Config!$E$6:$E$11,$D1503),IF(INDEX(Avulsos!$D$6:$D$205,$C1503)&amp;""="","Outro",INDEX(Avulsos!$D$6:$D$205,$C1503))))</f>
        <v/>
      </c>
      <c r="J1503" s="114" t="str">
        <f aca="false">IF($E1503="","",IF($B1503="Tema",INDEX(Temas!$C$6:$C$305,$C1503)&amp;"",INDEX(Avulsos!$E$6:$E$205,$C1503)&amp;""))</f>
        <v/>
      </c>
      <c r="K1503" s="114" t="str">
        <f aca="false">IF($E1503="","",IF(IF($B1503="Tema",INDEX(Temas!$E$6:$P$305,$C1503,2*$D1503),INDEX(Avulsos!$F$6:$F$205,$C1503))&amp;""="","","✓"))</f>
        <v/>
      </c>
      <c r="L1503" s="114" t="str">
        <f aca="true">IF($E1503="","",IF($K1503="✓","Concluído",IF($E1503&lt;TODAY(),"Atrasado",IF($E1503=TODAY(),"Hoje","Pendente"))))</f>
        <v/>
      </c>
      <c r="M1503" s="114" t="str">
        <f aca="false">IF($E1503="","",IF($K1503="✓","✓ ","")&amp;IF(Config!$E$22="Sim",$H1503&amp;" · ","")&amp;$F1503)</f>
        <v/>
      </c>
      <c r="N1503" s="114" t="str">
        <f aca="false">IF($E1503="","",IFERROR(INDEX(Config!$D$15:$D$19,MATCH($I1503,Config!$C$15:$C$19,0)),"OUT")&amp;IF($K1503="✓","x",""))</f>
        <v/>
      </c>
      <c r="O1503" s="114" t="str">
        <f aca="false">IF($E1503="","",COUNTIF($E$5:$E1503,$E1503))</f>
        <v/>
      </c>
      <c r="P1503" s="114" t="str">
        <f aca="false">IF($E1503="","",$E1503*100+$O1503)</f>
        <v/>
      </c>
      <c r="Q1503" s="114" t="str">
        <f aca="false">IF($L1503="Atrasado",$E1503*10000+$A1503,"")</f>
        <v/>
      </c>
    </row>
    <row r="1504" customFormat="false" ht="15" hidden="false" customHeight="false" outlineLevel="0" collapsed="false">
      <c r="A1504" s="114" t="n">
        <f aca="false">ROW()-4</f>
        <v>1500</v>
      </c>
      <c r="B1504" s="114" t="str">
        <f aca="false">IF(A1504&lt;=Config!$E$27*Config!$E$28,"Tema","Avulso")</f>
        <v>Tema</v>
      </c>
      <c r="C1504" s="114" t="n">
        <f aca="false">IF(B1504="Tema",INT((A1504-1)/Config!$E$28)+1,A1504-Config!$E$27*Config!$E$28)</f>
        <v>250</v>
      </c>
      <c r="D1504" s="114" t="n">
        <f aca="false">IF(B1504="Tema",MOD(A1504-1,Config!$E$28)+1,"")</f>
        <v>6</v>
      </c>
      <c r="E1504" s="115" t="str">
        <f aca="false">IF($B1504="Tema",IF(ISNUMBER(INDEX(Temas!$E$6:$P$305,$C1504,2*$D1504-1)),INDEX(Temas!$E$6:$P$305,$C1504,2*$D1504-1),""),IF(ISNUMBER(INDEX(Avulsos!$B$6:$B$205,$C1504)),INDEX(Avulsos!$B$6:$B$205,$C1504),""))</f>
        <v/>
      </c>
      <c r="F1504" s="114" t="str">
        <f aca="false">IF($E1504="","",IF($B1504="Tema",INDEX(Temas!$B$6:$B$305,$C1504)&amp;"",INDEX(Avulsos!$C$6:$C$205,$C1504)&amp;""))</f>
        <v/>
      </c>
      <c r="G1504" s="114" t="str">
        <f aca="false">IF($E1504="","",IF($B1504="Tema",INDEX(Config!$C$6:$C$11,$D1504),"Evento avulso"))</f>
        <v/>
      </c>
      <c r="H1504" s="114" t="str">
        <f aca="false">IF($E1504="","",IF($B1504="Tema",INDEX(Config!$D$6:$D$11,$D1504),IFERROR(INDEX(Config!$E$15:$E$19,MATCH($I1504,Config!$C$15:$C$19,0)),"•")))</f>
        <v/>
      </c>
      <c r="I1504" s="114" t="str">
        <f aca="false">IF($E1504="","",IF($B1504="Tema",INDEX(Config!$E$6:$E$11,$D1504),IF(INDEX(Avulsos!$D$6:$D$205,$C1504)&amp;""="","Outro",INDEX(Avulsos!$D$6:$D$205,$C1504))))</f>
        <v/>
      </c>
      <c r="J1504" s="114" t="str">
        <f aca="false">IF($E1504="","",IF($B1504="Tema",INDEX(Temas!$C$6:$C$305,$C1504)&amp;"",INDEX(Avulsos!$E$6:$E$205,$C1504)&amp;""))</f>
        <v/>
      </c>
      <c r="K1504" s="114" t="str">
        <f aca="false">IF($E1504="","",IF(IF($B1504="Tema",INDEX(Temas!$E$6:$P$305,$C1504,2*$D1504),INDEX(Avulsos!$F$6:$F$205,$C1504))&amp;""="","","✓"))</f>
        <v/>
      </c>
      <c r="L1504" s="114" t="str">
        <f aca="true">IF($E1504="","",IF($K1504="✓","Concluído",IF($E1504&lt;TODAY(),"Atrasado",IF($E1504=TODAY(),"Hoje","Pendente"))))</f>
        <v/>
      </c>
      <c r="M1504" s="114" t="str">
        <f aca="false">IF($E1504="","",IF($K1504="✓","✓ ","")&amp;IF(Config!$E$22="Sim",$H1504&amp;" · ","")&amp;$F1504)</f>
        <v/>
      </c>
      <c r="N1504" s="114" t="str">
        <f aca="false">IF($E1504="","",IFERROR(INDEX(Config!$D$15:$D$19,MATCH($I1504,Config!$C$15:$C$19,0)),"OUT")&amp;IF($K1504="✓","x",""))</f>
        <v/>
      </c>
      <c r="O1504" s="114" t="str">
        <f aca="false">IF($E1504="","",COUNTIF($E$5:$E1504,$E1504))</f>
        <v/>
      </c>
      <c r="P1504" s="114" t="str">
        <f aca="false">IF($E1504="","",$E1504*100+$O1504)</f>
        <v/>
      </c>
      <c r="Q1504" s="114" t="str">
        <f aca="false">IF($L1504="Atrasado",$E1504*10000+$A1504,"")</f>
        <v/>
      </c>
    </row>
    <row r="1505" customFormat="false" ht="15" hidden="false" customHeight="false" outlineLevel="0" collapsed="false">
      <c r="A1505" s="114" t="n">
        <f aca="false">ROW()-4</f>
        <v>1501</v>
      </c>
      <c r="B1505" s="114" t="str">
        <f aca="false">IF(A1505&lt;=Config!$E$27*Config!$E$28,"Tema","Avulso")</f>
        <v>Tema</v>
      </c>
      <c r="C1505" s="114" t="n">
        <f aca="false">IF(B1505="Tema",INT((A1505-1)/Config!$E$28)+1,A1505-Config!$E$27*Config!$E$28)</f>
        <v>251</v>
      </c>
      <c r="D1505" s="114" t="n">
        <f aca="false">IF(B1505="Tema",MOD(A1505-1,Config!$E$28)+1,"")</f>
        <v>1</v>
      </c>
      <c r="E1505" s="115" t="str">
        <f aca="false">IF($B1505="Tema",IF(ISNUMBER(INDEX(Temas!$E$6:$P$305,$C1505,2*$D1505-1)),INDEX(Temas!$E$6:$P$305,$C1505,2*$D1505-1),""),IF(ISNUMBER(INDEX(Avulsos!$B$6:$B$205,$C1505)),INDEX(Avulsos!$B$6:$B$205,$C1505),""))</f>
        <v/>
      </c>
      <c r="F1505" s="114" t="str">
        <f aca="false">IF($E1505="","",IF($B1505="Tema",INDEX(Temas!$B$6:$B$305,$C1505)&amp;"",INDEX(Avulsos!$C$6:$C$205,$C1505)&amp;""))</f>
        <v/>
      </c>
      <c r="G1505" s="114" t="str">
        <f aca="false">IF($E1505="","",IF($B1505="Tema",INDEX(Config!$C$6:$C$11,$D1505),"Evento avulso"))</f>
        <v/>
      </c>
      <c r="H1505" s="114" t="str">
        <f aca="false">IF($E1505="","",IF($B1505="Tema",INDEX(Config!$D$6:$D$11,$D1505),IFERROR(INDEX(Config!$E$15:$E$19,MATCH($I1505,Config!$C$15:$C$19,0)),"•")))</f>
        <v/>
      </c>
      <c r="I1505" s="114" t="str">
        <f aca="false">IF($E1505="","",IF($B1505="Tema",INDEX(Config!$E$6:$E$11,$D1505),IF(INDEX(Avulsos!$D$6:$D$205,$C1505)&amp;""="","Outro",INDEX(Avulsos!$D$6:$D$205,$C1505))))</f>
        <v/>
      </c>
      <c r="J1505" s="114" t="str">
        <f aca="false">IF($E1505="","",IF($B1505="Tema",INDEX(Temas!$C$6:$C$305,$C1505)&amp;"",INDEX(Avulsos!$E$6:$E$205,$C1505)&amp;""))</f>
        <v/>
      </c>
      <c r="K1505" s="114" t="str">
        <f aca="false">IF($E1505="","",IF(IF($B1505="Tema",INDEX(Temas!$E$6:$P$305,$C1505,2*$D1505),INDEX(Avulsos!$F$6:$F$205,$C1505))&amp;""="","","✓"))</f>
        <v/>
      </c>
      <c r="L1505" s="114" t="str">
        <f aca="true">IF($E1505="","",IF($K1505="✓","Concluído",IF($E1505&lt;TODAY(),"Atrasado",IF($E1505=TODAY(),"Hoje","Pendente"))))</f>
        <v/>
      </c>
      <c r="M1505" s="114" t="str">
        <f aca="false">IF($E1505="","",IF($K1505="✓","✓ ","")&amp;IF(Config!$E$22="Sim",$H1505&amp;" · ","")&amp;$F1505)</f>
        <v/>
      </c>
      <c r="N1505" s="114" t="str">
        <f aca="false">IF($E1505="","",IFERROR(INDEX(Config!$D$15:$D$19,MATCH($I1505,Config!$C$15:$C$19,0)),"OUT")&amp;IF($K1505="✓","x",""))</f>
        <v/>
      </c>
      <c r="O1505" s="114" t="str">
        <f aca="false">IF($E1505="","",COUNTIF($E$5:$E1505,$E1505))</f>
        <v/>
      </c>
      <c r="P1505" s="114" t="str">
        <f aca="false">IF($E1505="","",$E1505*100+$O1505)</f>
        <v/>
      </c>
      <c r="Q1505" s="114" t="str">
        <f aca="false">IF($L1505="Atrasado",$E1505*10000+$A1505,"")</f>
        <v/>
      </c>
    </row>
    <row r="1506" customFormat="false" ht="15" hidden="false" customHeight="false" outlineLevel="0" collapsed="false">
      <c r="A1506" s="114" t="n">
        <f aca="false">ROW()-4</f>
        <v>1502</v>
      </c>
      <c r="B1506" s="114" t="str">
        <f aca="false">IF(A1506&lt;=Config!$E$27*Config!$E$28,"Tema","Avulso")</f>
        <v>Tema</v>
      </c>
      <c r="C1506" s="114" t="n">
        <f aca="false">IF(B1506="Tema",INT((A1506-1)/Config!$E$28)+1,A1506-Config!$E$27*Config!$E$28)</f>
        <v>251</v>
      </c>
      <c r="D1506" s="114" t="n">
        <f aca="false">IF(B1506="Tema",MOD(A1506-1,Config!$E$28)+1,"")</f>
        <v>2</v>
      </c>
      <c r="E1506" s="115" t="str">
        <f aca="false">IF($B1506="Tema",IF(ISNUMBER(INDEX(Temas!$E$6:$P$305,$C1506,2*$D1506-1)),INDEX(Temas!$E$6:$P$305,$C1506,2*$D1506-1),""),IF(ISNUMBER(INDEX(Avulsos!$B$6:$B$205,$C1506)),INDEX(Avulsos!$B$6:$B$205,$C1506),""))</f>
        <v/>
      </c>
      <c r="F1506" s="114" t="str">
        <f aca="false">IF($E1506="","",IF($B1506="Tema",INDEX(Temas!$B$6:$B$305,$C1506)&amp;"",INDEX(Avulsos!$C$6:$C$205,$C1506)&amp;""))</f>
        <v/>
      </c>
      <c r="G1506" s="114" t="str">
        <f aca="false">IF($E1506="","",IF($B1506="Tema",INDEX(Config!$C$6:$C$11,$D1506),"Evento avulso"))</f>
        <v/>
      </c>
      <c r="H1506" s="114" t="str">
        <f aca="false">IF($E1506="","",IF($B1506="Tema",INDEX(Config!$D$6:$D$11,$D1506),IFERROR(INDEX(Config!$E$15:$E$19,MATCH($I1506,Config!$C$15:$C$19,0)),"•")))</f>
        <v/>
      </c>
      <c r="I1506" s="114" t="str">
        <f aca="false">IF($E1506="","",IF($B1506="Tema",INDEX(Config!$E$6:$E$11,$D1506),IF(INDEX(Avulsos!$D$6:$D$205,$C1506)&amp;""="","Outro",INDEX(Avulsos!$D$6:$D$205,$C1506))))</f>
        <v/>
      </c>
      <c r="J1506" s="114" t="str">
        <f aca="false">IF($E1506="","",IF($B1506="Tema",INDEX(Temas!$C$6:$C$305,$C1506)&amp;"",INDEX(Avulsos!$E$6:$E$205,$C1506)&amp;""))</f>
        <v/>
      </c>
      <c r="K1506" s="114" t="str">
        <f aca="false">IF($E1506="","",IF(IF($B1506="Tema",INDEX(Temas!$E$6:$P$305,$C1506,2*$D1506),INDEX(Avulsos!$F$6:$F$205,$C1506))&amp;""="","","✓"))</f>
        <v/>
      </c>
      <c r="L1506" s="114" t="str">
        <f aca="true">IF($E1506="","",IF($K1506="✓","Concluído",IF($E1506&lt;TODAY(),"Atrasado",IF($E1506=TODAY(),"Hoje","Pendente"))))</f>
        <v/>
      </c>
      <c r="M1506" s="114" t="str">
        <f aca="false">IF($E1506="","",IF($K1506="✓","✓ ","")&amp;IF(Config!$E$22="Sim",$H1506&amp;" · ","")&amp;$F1506)</f>
        <v/>
      </c>
      <c r="N1506" s="114" t="str">
        <f aca="false">IF($E1506="","",IFERROR(INDEX(Config!$D$15:$D$19,MATCH($I1506,Config!$C$15:$C$19,0)),"OUT")&amp;IF($K1506="✓","x",""))</f>
        <v/>
      </c>
      <c r="O1506" s="114" t="str">
        <f aca="false">IF($E1506="","",COUNTIF($E$5:$E1506,$E1506))</f>
        <v/>
      </c>
      <c r="P1506" s="114" t="str">
        <f aca="false">IF($E1506="","",$E1506*100+$O1506)</f>
        <v/>
      </c>
      <c r="Q1506" s="114" t="str">
        <f aca="false">IF($L1506="Atrasado",$E1506*10000+$A1506,"")</f>
        <v/>
      </c>
    </row>
    <row r="1507" customFormat="false" ht="15" hidden="false" customHeight="false" outlineLevel="0" collapsed="false">
      <c r="A1507" s="114" t="n">
        <f aca="false">ROW()-4</f>
        <v>1503</v>
      </c>
      <c r="B1507" s="114" t="str">
        <f aca="false">IF(A1507&lt;=Config!$E$27*Config!$E$28,"Tema","Avulso")</f>
        <v>Tema</v>
      </c>
      <c r="C1507" s="114" t="n">
        <f aca="false">IF(B1507="Tema",INT((A1507-1)/Config!$E$28)+1,A1507-Config!$E$27*Config!$E$28)</f>
        <v>251</v>
      </c>
      <c r="D1507" s="114" t="n">
        <f aca="false">IF(B1507="Tema",MOD(A1507-1,Config!$E$28)+1,"")</f>
        <v>3</v>
      </c>
      <c r="E1507" s="115" t="str">
        <f aca="false">IF($B1507="Tema",IF(ISNUMBER(INDEX(Temas!$E$6:$P$305,$C1507,2*$D1507-1)),INDEX(Temas!$E$6:$P$305,$C1507,2*$D1507-1),""),IF(ISNUMBER(INDEX(Avulsos!$B$6:$B$205,$C1507)),INDEX(Avulsos!$B$6:$B$205,$C1507),""))</f>
        <v/>
      </c>
      <c r="F1507" s="114" t="str">
        <f aca="false">IF($E1507="","",IF($B1507="Tema",INDEX(Temas!$B$6:$B$305,$C1507)&amp;"",INDEX(Avulsos!$C$6:$C$205,$C1507)&amp;""))</f>
        <v/>
      </c>
      <c r="G1507" s="114" t="str">
        <f aca="false">IF($E1507="","",IF($B1507="Tema",INDEX(Config!$C$6:$C$11,$D1507),"Evento avulso"))</f>
        <v/>
      </c>
      <c r="H1507" s="114" t="str">
        <f aca="false">IF($E1507="","",IF($B1507="Tema",INDEX(Config!$D$6:$D$11,$D1507),IFERROR(INDEX(Config!$E$15:$E$19,MATCH($I1507,Config!$C$15:$C$19,0)),"•")))</f>
        <v/>
      </c>
      <c r="I1507" s="114" t="str">
        <f aca="false">IF($E1507="","",IF($B1507="Tema",INDEX(Config!$E$6:$E$11,$D1507),IF(INDEX(Avulsos!$D$6:$D$205,$C1507)&amp;""="","Outro",INDEX(Avulsos!$D$6:$D$205,$C1507))))</f>
        <v/>
      </c>
      <c r="J1507" s="114" t="str">
        <f aca="false">IF($E1507="","",IF($B1507="Tema",INDEX(Temas!$C$6:$C$305,$C1507)&amp;"",INDEX(Avulsos!$E$6:$E$205,$C1507)&amp;""))</f>
        <v/>
      </c>
      <c r="K1507" s="114" t="str">
        <f aca="false">IF($E1507="","",IF(IF($B1507="Tema",INDEX(Temas!$E$6:$P$305,$C1507,2*$D1507),INDEX(Avulsos!$F$6:$F$205,$C1507))&amp;""="","","✓"))</f>
        <v/>
      </c>
      <c r="L1507" s="114" t="str">
        <f aca="true">IF($E1507="","",IF($K1507="✓","Concluído",IF($E1507&lt;TODAY(),"Atrasado",IF($E1507=TODAY(),"Hoje","Pendente"))))</f>
        <v/>
      </c>
      <c r="M1507" s="114" t="str">
        <f aca="false">IF($E1507="","",IF($K1507="✓","✓ ","")&amp;IF(Config!$E$22="Sim",$H1507&amp;" · ","")&amp;$F1507)</f>
        <v/>
      </c>
      <c r="N1507" s="114" t="str">
        <f aca="false">IF($E1507="","",IFERROR(INDEX(Config!$D$15:$D$19,MATCH($I1507,Config!$C$15:$C$19,0)),"OUT")&amp;IF($K1507="✓","x",""))</f>
        <v/>
      </c>
      <c r="O1507" s="114" t="str">
        <f aca="false">IF($E1507="","",COUNTIF($E$5:$E1507,$E1507))</f>
        <v/>
      </c>
      <c r="P1507" s="114" t="str">
        <f aca="false">IF($E1507="","",$E1507*100+$O1507)</f>
        <v/>
      </c>
      <c r="Q1507" s="114" t="str">
        <f aca="false">IF($L1507="Atrasado",$E1507*10000+$A1507,"")</f>
        <v/>
      </c>
    </row>
    <row r="1508" customFormat="false" ht="15" hidden="false" customHeight="false" outlineLevel="0" collapsed="false">
      <c r="A1508" s="114" t="n">
        <f aca="false">ROW()-4</f>
        <v>1504</v>
      </c>
      <c r="B1508" s="114" t="str">
        <f aca="false">IF(A1508&lt;=Config!$E$27*Config!$E$28,"Tema","Avulso")</f>
        <v>Tema</v>
      </c>
      <c r="C1508" s="114" t="n">
        <f aca="false">IF(B1508="Tema",INT((A1508-1)/Config!$E$28)+1,A1508-Config!$E$27*Config!$E$28)</f>
        <v>251</v>
      </c>
      <c r="D1508" s="114" t="n">
        <f aca="false">IF(B1508="Tema",MOD(A1508-1,Config!$E$28)+1,"")</f>
        <v>4</v>
      </c>
      <c r="E1508" s="115" t="str">
        <f aca="false">IF($B1508="Tema",IF(ISNUMBER(INDEX(Temas!$E$6:$P$305,$C1508,2*$D1508-1)),INDEX(Temas!$E$6:$P$305,$C1508,2*$D1508-1),""),IF(ISNUMBER(INDEX(Avulsos!$B$6:$B$205,$C1508)),INDEX(Avulsos!$B$6:$B$205,$C1508),""))</f>
        <v/>
      </c>
      <c r="F1508" s="114" t="str">
        <f aca="false">IF($E1508="","",IF($B1508="Tema",INDEX(Temas!$B$6:$B$305,$C1508)&amp;"",INDEX(Avulsos!$C$6:$C$205,$C1508)&amp;""))</f>
        <v/>
      </c>
      <c r="G1508" s="114" t="str">
        <f aca="false">IF($E1508="","",IF($B1508="Tema",INDEX(Config!$C$6:$C$11,$D1508),"Evento avulso"))</f>
        <v/>
      </c>
      <c r="H1508" s="114" t="str">
        <f aca="false">IF($E1508="","",IF($B1508="Tema",INDEX(Config!$D$6:$D$11,$D1508),IFERROR(INDEX(Config!$E$15:$E$19,MATCH($I1508,Config!$C$15:$C$19,0)),"•")))</f>
        <v/>
      </c>
      <c r="I1508" s="114" t="str">
        <f aca="false">IF($E1508="","",IF($B1508="Tema",INDEX(Config!$E$6:$E$11,$D1508),IF(INDEX(Avulsos!$D$6:$D$205,$C1508)&amp;""="","Outro",INDEX(Avulsos!$D$6:$D$205,$C1508))))</f>
        <v/>
      </c>
      <c r="J1508" s="114" t="str">
        <f aca="false">IF($E1508="","",IF($B1508="Tema",INDEX(Temas!$C$6:$C$305,$C1508)&amp;"",INDEX(Avulsos!$E$6:$E$205,$C1508)&amp;""))</f>
        <v/>
      </c>
      <c r="K1508" s="114" t="str">
        <f aca="false">IF($E1508="","",IF(IF($B1508="Tema",INDEX(Temas!$E$6:$P$305,$C1508,2*$D1508),INDEX(Avulsos!$F$6:$F$205,$C1508))&amp;""="","","✓"))</f>
        <v/>
      </c>
      <c r="L1508" s="114" t="str">
        <f aca="true">IF($E1508="","",IF($K1508="✓","Concluído",IF($E1508&lt;TODAY(),"Atrasado",IF($E1508=TODAY(),"Hoje","Pendente"))))</f>
        <v/>
      </c>
      <c r="M1508" s="114" t="str">
        <f aca="false">IF($E1508="","",IF($K1508="✓","✓ ","")&amp;IF(Config!$E$22="Sim",$H1508&amp;" · ","")&amp;$F1508)</f>
        <v/>
      </c>
      <c r="N1508" s="114" t="str">
        <f aca="false">IF($E1508="","",IFERROR(INDEX(Config!$D$15:$D$19,MATCH($I1508,Config!$C$15:$C$19,0)),"OUT")&amp;IF($K1508="✓","x",""))</f>
        <v/>
      </c>
      <c r="O1508" s="114" t="str">
        <f aca="false">IF($E1508="","",COUNTIF($E$5:$E1508,$E1508))</f>
        <v/>
      </c>
      <c r="P1508" s="114" t="str">
        <f aca="false">IF($E1508="","",$E1508*100+$O1508)</f>
        <v/>
      </c>
      <c r="Q1508" s="114" t="str">
        <f aca="false">IF($L1508="Atrasado",$E1508*10000+$A1508,"")</f>
        <v/>
      </c>
    </row>
    <row r="1509" customFormat="false" ht="15" hidden="false" customHeight="false" outlineLevel="0" collapsed="false">
      <c r="A1509" s="114" t="n">
        <f aca="false">ROW()-4</f>
        <v>1505</v>
      </c>
      <c r="B1509" s="114" t="str">
        <f aca="false">IF(A1509&lt;=Config!$E$27*Config!$E$28,"Tema","Avulso")</f>
        <v>Tema</v>
      </c>
      <c r="C1509" s="114" t="n">
        <f aca="false">IF(B1509="Tema",INT((A1509-1)/Config!$E$28)+1,A1509-Config!$E$27*Config!$E$28)</f>
        <v>251</v>
      </c>
      <c r="D1509" s="114" t="n">
        <f aca="false">IF(B1509="Tema",MOD(A1509-1,Config!$E$28)+1,"")</f>
        <v>5</v>
      </c>
      <c r="E1509" s="115" t="str">
        <f aca="false">IF($B1509="Tema",IF(ISNUMBER(INDEX(Temas!$E$6:$P$305,$C1509,2*$D1509-1)),INDEX(Temas!$E$6:$P$305,$C1509,2*$D1509-1),""),IF(ISNUMBER(INDEX(Avulsos!$B$6:$B$205,$C1509)),INDEX(Avulsos!$B$6:$B$205,$C1509),""))</f>
        <v/>
      </c>
      <c r="F1509" s="114" t="str">
        <f aca="false">IF($E1509="","",IF($B1509="Tema",INDEX(Temas!$B$6:$B$305,$C1509)&amp;"",INDEX(Avulsos!$C$6:$C$205,$C1509)&amp;""))</f>
        <v/>
      </c>
      <c r="G1509" s="114" t="str">
        <f aca="false">IF($E1509="","",IF($B1509="Tema",INDEX(Config!$C$6:$C$11,$D1509),"Evento avulso"))</f>
        <v/>
      </c>
      <c r="H1509" s="114" t="str">
        <f aca="false">IF($E1509="","",IF($B1509="Tema",INDEX(Config!$D$6:$D$11,$D1509),IFERROR(INDEX(Config!$E$15:$E$19,MATCH($I1509,Config!$C$15:$C$19,0)),"•")))</f>
        <v/>
      </c>
      <c r="I1509" s="114" t="str">
        <f aca="false">IF($E1509="","",IF($B1509="Tema",INDEX(Config!$E$6:$E$11,$D1509),IF(INDEX(Avulsos!$D$6:$D$205,$C1509)&amp;""="","Outro",INDEX(Avulsos!$D$6:$D$205,$C1509))))</f>
        <v/>
      </c>
      <c r="J1509" s="114" t="str">
        <f aca="false">IF($E1509="","",IF($B1509="Tema",INDEX(Temas!$C$6:$C$305,$C1509)&amp;"",INDEX(Avulsos!$E$6:$E$205,$C1509)&amp;""))</f>
        <v/>
      </c>
      <c r="K1509" s="114" t="str">
        <f aca="false">IF($E1509="","",IF(IF($B1509="Tema",INDEX(Temas!$E$6:$P$305,$C1509,2*$D1509),INDEX(Avulsos!$F$6:$F$205,$C1509))&amp;""="","","✓"))</f>
        <v/>
      </c>
      <c r="L1509" s="114" t="str">
        <f aca="true">IF($E1509="","",IF($K1509="✓","Concluído",IF($E1509&lt;TODAY(),"Atrasado",IF($E1509=TODAY(),"Hoje","Pendente"))))</f>
        <v/>
      </c>
      <c r="M1509" s="114" t="str">
        <f aca="false">IF($E1509="","",IF($K1509="✓","✓ ","")&amp;IF(Config!$E$22="Sim",$H1509&amp;" · ","")&amp;$F1509)</f>
        <v/>
      </c>
      <c r="N1509" s="114" t="str">
        <f aca="false">IF($E1509="","",IFERROR(INDEX(Config!$D$15:$D$19,MATCH($I1509,Config!$C$15:$C$19,0)),"OUT")&amp;IF($K1509="✓","x",""))</f>
        <v/>
      </c>
      <c r="O1509" s="114" t="str">
        <f aca="false">IF($E1509="","",COUNTIF($E$5:$E1509,$E1509))</f>
        <v/>
      </c>
      <c r="P1509" s="114" t="str">
        <f aca="false">IF($E1509="","",$E1509*100+$O1509)</f>
        <v/>
      </c>
      <c r="Q1509" s="114" t="str">
        <f aca="false">IF($L1509="Atrasado",$E1509*10000+$A1509,"")</f>
        <v/>
      </c>
    </row>
    <row r="1510" customFormat="false" ht="15" hidden="false" customHeight="false" outlineLevel="0" collapsed="false">
      <c r="A1510" s="114" t="n">
        <f aca="false">ROW()-4</f>
        <v>1506</v>
      </c>
      <c r="B1510" s="114" t="str">
        <f aca="false">IF(A1510&lt;=Config!$E$27*Config!$E$28,"Tema","Avulso")</f>
        <v>Tema</v>
      </c>
      <c r="C1510" s="114" t="n">
        <f aca="false">IF(B1510="Tema",INT((A1510-1)/Config!$E$28)+1,A1510-Config!$E$27*Config!$E$28)</f>
        <v>251</v>
      </c>
      <c r="D1510" s="114" t="n">
        <f aca="false">IF(B1510="Tema",MOD(A1510-1,Config!$E$28)+1,"")</f>
        <v>6</v>
      </c>
      <c r="E1510" s="115" t="str">
        <f aca="false">IF($B1510="Tema",IF(ISNUMBER(INDEX(Temas!$E$6:$P$305,$C1510,2*$D1510-1)),INDEX(Temas!$E$6:$P$305,$C1510,2*$D1510-1),""),IF(ISNUMBER(INDEX(Avulsos!$B$6:$B$205,$C1510)),INDEX(Avulsos!$B$6:$B$205,$C1510),""))</f>
        <v/>
      </c>
      <c r="F1510" s="114" t="str">
        <f aca="false">IF($E1510="","",IF($B1510="Tema",INDEX(Temas!$B$6:$B$305,$C1510)&amp;"",INDEX(Avulsos!$C$6:$C$205,$C1510)&amp;""))</f>
        <v/>
      </c>
      <c r="G1510" s="114" t="str">
        <f aca="false">IF($E1510="","",IF($B1510="Tema",INDEX(Config!$C$6:$C$11,$D1510),"Evento avulso"))</f>
        <v/>
      </c>
      <c r="H1510" s="114" t="str">
        <f aca="false">IF($E1510="","",IF($B1510="Tema",INDEX(Config!$D$6:$D$11,$D1510),IFERROR(INDEX(Config!$E$15:$E$19,MATCH($I1510,Config!$C$15:$C$19,0)),"•")))</f>
        <v/>
      </c>
      <c r="I1510" s="114" t="str">
        <f aca="false">IF($E1510="","",IF($B1510="Tema",INDEX(Config!$E$6:$E$11,$D1510),IF(INDEX(Avulsos!$D$6:$D$205,$C1510)&amp;""="","Outro",INDEX(Avulsos!$D$6:$D$205,$C1510))))</f>
        <v/>
      </c>
      <c r="J1510" s="114" t="str">
        <f aca="false">IF($E1510="","",IF($B1510="Tema",INDEX(Temas!$C$6:$C$305,$C1510)&amp;"",INDEX(Avulsos!$E$6:$E$205,$C1510)&amp;""))</f>
        <v/>
      </c>
      <c r="K1510" s="114" t="str">
        <f aca="false">IF($E1510="","",IF(IF($B1510="Tema",INDEX(Temas!$E$6:$P$305,$C1510,2*$D1510),INDEX(Avulsos!$F$6:$F$205,$C1510))&amp;""="","","✓"))</f>
        <v/>
      </c>
      <c r="L1510" s="114" t="str">
        <f aca="true">IF($E1510="","",IF($K1510="✓","Concluído",IF($E1510&lt;TODAY(),"Atrasado",IF($E1510=TODAY(),"Hoje","Pendente"))))</f>
        <v/>
      </c>
      <c r="M1510" s="114" t="str">
        <f aca="false">IF($E1510="","",IF($K1510="✓","✓ ","")&amp;IF(Config!$E$22="Sim",$H1510&amp;" · ","")&amp;$F1510)</f>
        <v/>
      </c>
      <c r="N1510" s="114" t="str">
        <f aca="false">IF($E1510="","",IFERROR(INDEX(Config!$D$15:$D$19,MATCH($I1510,Config!$C$15:$C$19,0)),"OUT")&amp;IF($K1510="✓","x",""))</f>
        <v/>
      </c>
      <c r="O1510" s="114" t="str">
        <f aca="false">IF($E1510="","",COUNTIF($E$5:$E1510,$E1510))</f>
        <v/>
      </c>
      <c r="P1510" s="114" t="str">
        <f aca="false">IF($E1510="","",$E1510*100+$O1510)</f>
        <v/>
      </c>
      <c r="Q1510" s="114" t="str">
        <f aca="false">IF($L1510="Atrasado",$E1510*10000+$A1510,"")</f>
        <v/>
      </c>
    </row>
    <row r="1511" customFormat="false" ht="15" hidden="false" customHeight="false" outlineLevel="0" collapsed="false">
      <c r="A1511" s="114" t="n">
        <f aca="false">ROW()-4</f>
        <v>1507</v>
      </c>
      <c r="B1511" s="114" t="str">
        <f aca="false">IF(A1511&lt;=Config!$E$27*Config!$E$28,"Tema","Avulso")</f>
        <v>Tema</v>
      </c>
      <c r="C1511" s="114" t="n">
        <f aca="false">IF(B1511="Tema",INT((A1511-1)/Config!$E$28)+1,A1511-Config!$E$27*Config!$E$28)</f>
        <v>252</v>
      </c>
      <c r="D1511" s="114" t="n">
        <f aca="false">IF(B1511="Tema",MOD(A1511-1,Config!$E$28)+1,"")</f>
        <v>1</v>
      </c>
      <c r="E1511" s="115" t="str">
        <f aca="false">IF($B1511="Tema",IF(ISNUMBER(INDEX(Temas!$E$6:$P$305,$C1511,2*$D1511-1)),INDEX(Temas!$E$6:$P$305,$C1511,2*$D1511-1),""),IF(ISNUMBER(INDEX(Avulsos!$B$6:$B$205,$C1511)),INDEX(Avulsos!$B$6:$B$205,$C1511),""))</f>
        <v/>
      </c>
      <c r="F1511" s="114" t="str">
        <f aca="false">IF($E1511="","",IF($B1511="Tema",INDEX(Temas!$B$6:$B$305,$C1511)&amp;"",INDEX(Avulsos!$C$6:$C$205,$C1511)&amp;""))</f>
        <v/>
      </c>
      <c r="G1511" s="114" t="str">
        <f aca="false">IF($E1511="","",IF($B1511="Tema",INDEX(Config!$C$6:$C$11,$D1511),"Evento avulso"))</f>
        <v/>
      </c>
      <c r="H1511" s="114" t="str">
        <f aca="false">IF($E1511="","",IF($B1511="Tema",INDEX(Config!$D$6:$D$11,$D1511),IFERROR(INDEX(Config!$E$15:$E$19,MATCH($I1511,Config!$C$15:$C$19,0)),"•")))</f>
        <v/>
      </c>
      <c r="I1511" s="114" t="str">
        <f aca="false">IF($E1511="","",IF($B1511="Tema",INDEX(Config!$E$6:$E$11,$D1511),IF(INDEX(Avulsos!$D$6:$D$205,$C1511)&amp;""="","Outro",INDEX(Avulsos!$D$6:$D$205,$C1511))))</f>
        <v/>
      </c>
      <c r="J1511" s="114" t="str">
        <f aca="false">IF($E1511="","",IF($B1511="Tema",INDEX(Temas!$C$6:$C$305,$C1511)&amp;"",INDEX(Avulsos!$E$6:$E$205,$C1511)&amp;""))</f>
        <v/>
      </c>
      <c r="K1511" s="114" t="str">
        <f aca="false">IF($E1511="","",IF(IF($B1511="Tema",INDEX(Temas!$E$6:$P$305,$C1511,2*$D1511),INDEX(Avulsos!$F$6:$F$205,$C1511))&amp;""="","","✓"))</f>
        <v/>
      </c>
      <c r="L1511" s="114" t="str">
        <f aca="true">IF($E1511="","",IF($K1511="✓","Concluído",IF($E1511&lt;TODAY(),"Atrasado",IF($E1511=TODAY(),"Hoje","Pendente"))))</f>
        <v/>
      </c>
      <c r="M1511" s="114" t="str">
        <f aca="false">IF($E1511="","",IF($K1511="✓","✓ ","")&amp;IF(Config!$E$22="Sim",$H1511&amp;" · ","")&amp;$F1511)</f>
        <v/>
      </c>
      <c r="N1511" s="114" t="str">
        <f aca="false">IF($E1511="","",IFERROR(INDEX(Config!$D$15:$D$19,MATCH($I1511,Config!$C$15:$C$19,0)),"OUT")&amp;IF($K1511="✓","x",""))</f>
        <v/>
      </c>
      <c r="O1511" s="114" t="str">
        <f aca="false">IF($E1511="","",COUNTIF($E$5:$E1511,$E1511))</f>
        <v/>
      </c>
      <c r="P1511" s="114" t="str">
        <f aca="false">IF($E1511="","",$E1511*100+$O1511)</f>
        <v/>
      </c>
      <c r="Q1511" s="114" t="str">
        <f aca="false">IF($L1511="Atrasado",$E1511*10000+$A1511,"")</f>
        <v/>
      </c>
    </row>
    <row r="1512" customFormat="false" ht="15" hidden="false" customHeight="false" outlineLevel="0" collapsed="false">
      <c r="A1512" s="114" t="n">
        <f aca="false">ROW()-4</f>
        <v>1508</v>
      </c>
      <c r="B1512" s="114" t="str">
        <f aca="false">IF(A1512&lt;=Config!$E$27*Config!$E$28,"Tema","Avulso")</f>
        <v>Tema</v>
      </c>
      <c r="C1512" s="114" t="n">
        <f aca="false">IF(B1512="Tema",INT((A1512-1)/Config!$E$28)+1,A1512-Config!$E$27*Config!$E$28)</f>
        <v>252</v>
      </c>
      <c r="D1512" s="114" t="n">
        <f aca="false">IF(B1512="Tema",MOD(A1512-1,Config!$E$28)+1,"")</f>
        <v>2</v>
      </c>
      <c r="E1512" s="115" t="str">
        <f aca="false">IF($B1512="Tema",IF(ISNUMBER(INDEX(Temas!$E$6:$P$305,$C1512,2*$D1512-1)),INDEX(Temas!$E$6:$P$305,$C1512,2*$D1512-1),""),IF(ISNUMBER(INDEX(Avulsos!$B$6:$B$205,$C1512)),INDEX(Avulsos!$B$6:$B$205,$C1512),""))</f>
        <v/>
      </c>
      <c r="F1512" s="114" t="str">
        <f aca="false">IF($E1512="","",IF($B1512="Tema",INDEX(Temas!$B$6:$B$305,$C1512)&amp;"",INDEX(Avulsos!$C$6:$C$205,$C1512)&amp;""))</f>
        <v/>
      </c>
      <c r="G1512" s="114" t="str">
        <f aca="false">IF($E1512="","",IF($B1512="Tema",INDEX(Config!$C$6:$C$11,$D1512),"Evento avulso"))</f>
        <v/>
      </c>
      <c r="H1512" s="114" t="str">
        <f aca="false">IF($E1512="","",IF($B1512="Tema",INDEX(Config!$D$6:$D$11,$D1512),IFERROR(INDEX(Config!$E$15:$E$19,MATCH($I1512,Config!$C$15:$C$19,0)),"•")))</f>
        <v/>
      </c>
      <c r="I1512" s="114" t="str">
        <f aca="false">IF($E1512="","",IF($B1512="Tema",INDEX(Config!$E$6:$E$11,$D1512),IF(INDEX(Avulsos!$D$6:$D$205,$C1512)&amp;""="","Outro",INDEX(Avulsos!$D$6:$D$205,$C1512))))</f>
        <v/>
      </c>
      <c r="J1512" s="114" t="str">
        <f aca="false">IF($E1512="","",IF($B1512="Tema",INDEX(Temas!$C$6:$C$305,$C1512)&amp;"",INDEX(Avulsos!$E$6:$E$205,$C1512)&amp;""))</f>
        <v/>
      </c>
      <c r="K1512" s="114" t="str">
        <f aca="false">IF($E1512="","",IF(IF($B1512="Tema",INDEX(Temas!$E$6:$P$305,$C1512,2*$D1512),INDEX(Avulsos!$F$6:$F$205,$C1512))&amp;""="","","✓"))</f>
        <v/>
      </c>
      <c r="L1512" s="114" t="str">
        <f aca="true">IF($E1512="","",IF($K1512="✓","Concluído",IF($E1512&lt;TODAY(),"Atrasado",IF($E1512=TODAY(),"Hoje","Pendente"))))</f>
        <v/>
      </c>
      <c r="M1512" s="114" t="str">
        <f aca="false">IF($E1512="","",IF($K1512="✓","✓ ","")&amp;IF(Config!$E$22="Sim",$H1512&amp;" · ","")&amp;$F1512)</f>
        <v/>
      </c>
      <c r="N1512" s="114" t="str">
        <f aca="false">IF($E1512="","",IFERROR(INDEX(Config!$D$15:$D$19,MATCH($I1512,Config!$C$15:$C$19,0)),"OUT")&amp;IF($K1512="✓","x",""))</f>
        <v/>
      </c>
      <c r="O1512" s="114" t="str">
        <f aca="false">IF($E1512="","",COUNTIF($E$5:$E1512,$E1512))</f>
        <v/>
      </c>
      <c r="P1512" s="114" t="str">
        <f aca="false">IF($E1512="","",$E1512*100+$O1512)</f>
        <v/>
      </c>
      <c r="Q1512" s="114" t="str">
        <f aca="false">IF($L1512="Atrasado",$E1512*10000+$A1512,"")</f>
        <v/>
      </c>
    </row>
    <row r="1513" customFormat="false" ht="15" hidden="false" customHeight="false" outlineLevel="0" collapsed="false">
      <c r="A1513" s="114" t="n">
        <f aca="false">ROW()-4</f>
        <v>1509</v>
      </c>
      <c r="B1513" s="114" t="str">
        <f aca="false">IF(A1513&lt;=Config!$E$27*Config!$E$28,"Tema","Avulso")</f>
        <v>Tema</v>
      </c>
      <c r="C1513" s="114" t="n">
        <f aca="false">IF(B1513="Tema",INT((A1513-1)/Config!$E$28)+1,A1513-Config!$E$27*Config!$E$28)</f>
        <v>252</v>
      </c>
      <c r="D1513" s="114" t="n">
        <f aca="false">IF(B1513="Tema",MOD(A1513-1,Config!$E$28)+1,"")</f>
        <v>3</v>
      </c>
      <c r="E1513" s="115" t="str">
        <f aca="false">IF($B1513="Tema",IF(ISNUMBER(INDEX(Temas!$E$6:$P$305,$C1513,2*$D1513-1)),INDEX(Temas!$E$6:$P$305,$C1513,2*$D1513-1),""),IF(ISNUMBER(INDEX(Avulsos!$B$6:$B$205,$C1513)),INDEX(Avulsos!$B$6:$B$205,$C1513),""))</f>
        <v/>
      </c>
      <c r="F1513" s="114" t="str">
        <f aca="false">IF($E1513="","",IF($B1513="Tema",INDEX(Temas!$B$6:$B$305,$C1513)&amp;"",INDEX(Avulsos!$C$6:$C$205,$C1513)&amp;""))</f>
        <v/>
      </c>
      <c r="G1513" s="114" t="str">
        <f aca="false">IF($E1513="","",IF($B1513="Tema",INDEX(Config!$C$6:$C$11,$D1513),"Evento avulso"))</f>
        <v/>
      </c>
      <c r="H1513" s="114" t="str">
        <f aca="false">IF($E1513="","",IF($B1513="Tema",INDEX(Config!$D$6:$D$11,$D1513),IFERROR(INDEX(Config!$E$15:$E$19,MATCH($I1513,Config!$C$15:$C$19,0)),"•")))</f>
        <v/>
      </c>
      <c r="I1513" s="114" t="str">
        <f aca="false">IF($E1513="","",IF($B1513="Tema",INDEX(Config!$E$6:$E$11,$D1513),IF(INDEX(Avulsos!$D$6:$D$205,$C1513)&amp;""="","Outro",INDEX(Avulsos!$D$6:$D$205,$C1513))))</f>
        <v/>
      </c>
      <c r="J1513" s="114" t="str">
        <f aca="false">IF($E1513="","",IF($B1513="Tema",INDEX(Temas!$C$6:$C$305,$C1513)&amp;"",INDEX(Avulsos!$E$6:$E$205,$C1513)&amp;""))</f>
        <v/>
      </c>
      <c r="K1513" s="114" t="str">
        <f aca="false">IF($E1513="","",IF(IF($B1513="Tema",INDEX(Temas!$E$6:$P$305,$C1513,2*$D1513),INDEX(Avulsos!$F$6:$F$205,$C1513))&amp;""="","","✓"))</f>
        <v/>
      </c>
      <c r="L1513" s="114" t="str">
        <f aca="true">IF($E1513="","",IF($K1513="✓","Concluído",IF($E1513&lt;TODAY(),"Atrasado",IF($E1513=TODAY(),"Hoje","Pendente"))))</f>
        <v/>
      </c>
      <c r="M1513" s="114" t="str">
        <f aca="false">IF($E1513="","",IF($K1513="✓","✓ ","")&amp;IF(Config!$E$22="Sim",$H1513&amp;" · ","")&amp;$F1513)</f>
        <v/>
      </c>
      <c r="N1513" s="114" t="str">
        <f aca="false">IF($E1513="","",IFERROR(INDEX(Config!$D$15:$D$19,MATCH($I1513,Config!$C$15:$C$19,0)),"OUT")&amp;IF($K1513="✓","x",""))</f>
        <v/>
      </c>
      <c r="O1513" s="114" t="str">
        <f aca="false">IF($E1513="","",COUNTIF($E$5:$E1513,$E1513))</f>
        <v/>
      </c>
      <c r="P1513" s="114" t="str">
        <f aca="false">IF($E1513="","",$E1513*100+$O1513)</f>
        <v/>
      </c>
      <c r="Q1513" s="114" t="str">
        <f aca="false">IF($L1513="Atrasado",$E1513*10000+$A1513,"")</f>
        <v/>
      </c>
    </row>
    <row r="1514" customFormat="false" ht="15" hidden="false" customHeight="false" outlineLevel="0" collapsed="false">
      <c r="A1514" s="114" t="n">
        <f aca="false">ROW()-4</f>
        <v>1510</v>
      </c>
      <c r="B1514" s="114" t="str">
        <f aca="false">IF(A1514&lt;=Config!$E$27*Config!$E$28,"Tema","Avulso")</f>
        <v>Tema</v>
      </c>
      <c r="C1514" s="114" t="n">
        <f aca="false">IF(B1514="Tema",INT((A1514-1)/Config!$E$28)+1,A1514-Config!$E$27*Config!$E$28)</f>
        <v>252</v>
      </c>
      <c r="D1514" s="114" t="n">
        <f aca="false">IF(B1514="Tema",MOD(A1514-1,Config!$E$28)+1,"")</f>
        <v>4</v>
      </c>
      <c r="E1514" s="115" t="str">
        <f aca="false">IF($B1514="Tema",IF(ISNUMBER(INDEX(Temas!$E$6:$P$305,$C1514,2*$D1514-1)),INDEX(Temas!$E$6:$P$305,$C1514,2*$D1514-1),""),IF(ISNUMBER(INDEX(Avulsos!$B$6:$B$205,$C1514)),INDEX(Avulsos!$B$6:$B$205,$C1514),""))</f>
        <v/>
      </c>
      <c r="F1514" s="114" t="str">
        <f aca="false">IF($E1514="","",IF($B1514="Tema",INDEX(Temas!$B$6:$B$305,$C1514)&amp;"",INDEX(Avulsos!$C$6:$C$205,$C1514)&amp;""))</f>
        <v/>
      </c>
      <c r="G1514" s="114" t="str">
        <f aca="false">IF($E1514="","",IF($B1514="Tema",INDEX(Config!$C$6:$C$11,$D1514),"Evento avulso"))</f>
        <v/>
      </c>
      <c r="H1514" s="114" t="str">
        <f aca="false">IF($E1514="","",IF($B1514="Tema",INDEX(Config!$D$6:$D$11,$D1514),IFERROR(INDEX(Config!$E$15:$E$19,MATCH($I1514,Config!$C$15:$C$19,0)),"•")))</f>
        <v/>
      </c>
      <c r="I1514" s="114" t="str">
        <f aca="false">IF($E1514="","",IF($B1514="Tema",INDEX(Config!$E$6:$E$11,$D1514),IF(INDEX(Avulsos!$D$6:$D$205,$C1514)&amp;""="","Outro",INDEX(Avulsos!$D$6:$D$205,$C1514))))</f>
        <v/>
      </c>
      <c r="J1514" s="114" t="str">
        <f aca="false">IF($E1514="","",IF($B1514="Tema",INDEX(Temas!$C$6:$C$305,$C1514)&amp;"",INDEX(Avulsos!$E$6:$E$205,$C1514)&amp;""))</f>
        <v/>
      </c>
      <c r="K1514" s="114" t="str">
        <f aca="false">IF($E1514="","",IF(IF($B1514="Tema",INDEX(Temas!$E$6:$P$305,$C1514,2*$D1514),INDEX(Avulsos!$F$6:$F$205,$C1514))&amp;""="","","✓"))</f>
        <v/>
      </c>
      <c r="L1514" s="114" t="str">
        <f aca="true">IF($E1514="","",IF($K1514="✓","Concluído",IF($E1514&lt;TODAY(),"Atrasado",IF($E1514=TODAY(),"Hoje","Pendente"))))</f>
        <v/>
      </c>
      <c r="M1514" s="114" t="str">
        <f aca="false">IF($E1514="","",IF($K1514="✓","✓ ","")&amp;IF(Config!$E$22="Sim",$H1514&amp;" · ","")&amp;$F1514)</f>
        <v/>
      </c>
      <c r="N1514" s="114" t="str">
        <f aca="false">IF($E1514="","",IFERROR(INDEX(Config!$D$15:$D$19,MATCH($I1514,Config!$C$15:$C$19,0)),"OUT")&amp;IF($K1514="✓","x",""))</f>
        <v/>
      </c>
      <c r="O1514" s="114" t="str">
        <f aca="false">IF($E1514="","",COUNTIF($E$5:$E1514,$E1514))</f>
        <v/>
      </c>
      <c r="P1514" s="114" t="str">
        <f aca="false">IF($E1514="","",$E1514*100+$O1514)</f>
        <v/>
      </c>
      <c r="Q1514" s="114" t="str">
        <f aca="false">IF($L1514="Atrasado",$E1514*10000+$A1514,"")</f>
        <v/>
      </c>
    </row>
    <row r="1515" customFormat="false" ht="15" hidden="false" customHeight="false" outlineLevel="0" collapsed="false">
      <c r="A1515" s="114" t="n">
        <f aca="false">ROW()-4</f>
        <v>1511</v>
      </c>
      <c r="B1515" s="114" t="str">
        <f aca="false">IF(A1515&lt;=Config!$E$27*Config!$E$28,"Tema","Avulso")</f>
        <v>Tema</v>
      </c>
      <c r="C1515" s="114" t="n">
        <f aca="false">IF(B1515="Tema",INT((A1515-1)/Config!$E$28)+1,A1515-Config!$E$27*Config!$E$28)</f>
        <v>252</v>
      </c>
      <c r="D1515" s="114" t="n">
        <f aca="false">IF(B1515="Tema",MOD(A1515-1,Config!$E$28)+1,"")</f>
        <v>5</v>
      </c>
      <c r="E1515" s="115" t="str">
        <f aca="false">IF($B1515="Tema",IF(ISNUMBER(INDEX(Temas!$E$6:$P$305,$C1515,2*$D1515-1)),INDEX(Temas!$E$6:$P$305,$C1515,2*$D1515-1),""),IF(ISNUMBER(INDEX(Avulsos!$B$6:$B$205,$C1515)),INDEX(Avulsos!$B$6:$B$205,$C1515),""))</f>
        <v/>
      </c>
      <c r="F1515" s="114" t="str">
        <f aca="false">IF($E1515="","",IF($B1515="Tema",INDEX(Temas!$B$6:$B$305,$C1515)&amp;"",INDEX(Avulsos!$C$6:$C$205,$C1515)&amp;""))</f>
        <v/>
      </c>
      <c r="G1515" s="114" t="str">
        <f aca="false">IF($E1515="","",IF($B1515="Tema",INDEX(Config!$C$6:$C$11,$D1515),"Evento avulso"))</f>
        <v/>
      </c>
      <c r="H1515" s="114" t="str">
        <f aca="false">IF($E1515="","",IF($B1515="Tema",INDEX(Config!$D$6:$D$11,$D1515),IFERROR(INDEX(Config!$E$15:$E$19,MATCH($I1515,Config!$C$15:$C$19,0)),"•")))</f>
        <v/>
      </c>
      <c r="I1515" s="114" t="str">
        <f aca="false">IF($E1515="","",IF($B1515="Tema",INDEX(Config!$E$6:$E$11,$D1515),IF(INDEX(Avulsos!$D$6:$D$205,$C1515)&amp;""="","Outro",INDEX(Avulsos!$D$6:$D$205,$C1515))))</f>
        <v/>
      </c>
      <c r="J1515" s="114" t="str">
        <f aca="false">IF($E1515="","",IF($B1515="Tema",INDEX(Temas!$C$6:$C$305,$C1515)&amp;"",INDEX(Avulsos!$E$6:$E$205,$C1515)&amp;""))</f>
        <v/>
      </c>
      <c r="K1515" s="114" t="str">
        <f aca="false">IF($E1515="","",IF(IF($B1515="Tema",INDEX(Temas!$E$6:$P$305,$C1515,2*$D1515),INDEX(Avulsos!$F$6:$F$205,$C1515))&amp;""="","","✓"))</f>
        <v/>
      </c>
      <c r="L1515" s="114" t="str">
        <f aca="true">IF($E1515="","",IF($K1515="✓","Concluído",IF($E1515&lt;TODAY(),"Atrasado",IF($E1515=TODAY(),"Hoje","Pendente"))))</f>
        <v/>
      </c>
      <c r="M1515" s="114" t="str">
        <f aca="false">IF($E1515="","",IF($K1515="✓","✓ ","")&amp;IF(Config!$E$22="Sim",$H1515&amp;" · ","")&amp;$F1515)</f>
        <v/>
      </c>
      <c r="N1515" s="114" t="str">
        <f aca="false">IF($E1515="","",IFERROR(INDEX(Config!$D$15:$D$19,MATCH($I1515,Config!$C$15:$C$19,0)),"OUT")&amp;IF($K1515="✓","x",""))</f>
        <v/>
      </c>
      <c r="O1515" s="114" t="str">
        <f aca="false">IF($E1515="","",COUNTIF($E$5:$E1515,$E1515))</f>
        <v/>
      </c>
      <c r="P1515" s="114" t="str">
        <f aca="false">IF($E1515="","",$E1515*100+$O1515)</f>
        <v/>
      </c>
      <c r="Q1515" s="114" t="str">
        <f aca="false">IF($L1515="Atrasado",$E1515*10000+$A1515,"")</f>
        <v/>
      </c>
    </row>
    <row r="1516" customFormat="false" ht="15" hidden="false" customHeight="false" outlineLevel="0" collapsed="false">
      <c r="A1516" s="114" t="n">
        <f aca="false">ROW()-4</f>
        <v>1512</v>
      </c>
      <c r="B1516" s="114" t="str">
        <f aca="false">IF(A1516&lt;=Config!$E$27*Config!$E$28,"Tema","Avulso")</f>
        <v>Tema</v>
      </c>
      <c r="C1516" s="114" t="n">
        <f aca="false">IF(B1516="Tema",INT((A1516-1)/Config!$E$28)+1,A1516-Config!$E$27*Config!$E$28)</f>
        <v>252</v>
      </c>
      <c r="D1516" s="114" t="n">
        <f aca="false">IF(B1516="Tema",MOD(A1516-1,Config!$E$28)+1,"")</f>
        <v>6</v>
      </c>
      <c r="E1516" s="115" t="str">
        <f aca="false">IF($B1516="Tema",IF(ISNUMBER(INDEX(Temas!$E$6:$P$305,$C1516,2*$D1516-1)),INDEX(Temas!$E$6:$P$305,$C1516,2*$D1516-1),""),IF(ISNUMBER(INDEX(Avulsos!$B$6:$B$205,$C1516)),INDEX(Avulsos!$B$6:$B$205,$C1516),""))</f>
        <v/>
      </c>
      <c r="F1516" s="114" t="str">
        <f aca="false">IF($E1516="","",IF($B1516="Tema",INDEX(Temas!$B$6:$B$305,$C1516)&amp;"",INDEX(Avulsos!$C$6:$C$205,$C1516)&amp;""))</f>
        <v/>
      </c>
      <c r="G1516" s="114" t="str">
        <f aca="false">IF($E1516="","",IF($B1516="Tema",INDEX(Config!$C$6:$C$11,$D1516),"Evento avulso"))</f>
        <v/>
      </c>
      <c r="H1516" s="114" t="str">
        <f aca="false">IF($E1516="","",IF($B1516="Tema",INDEX(Config!$D$6:$D$11,$D1516),IFERROR(INDEX(Config!$E$15:$E$19,MATCH($I1516,Config!$C$15:$C$19,0)),"•")))</f>
        <v/>
      </c>
      <c r="I1516" s="114" t="str">
        <f aca="false">IF($E1516="","",IF($B1516="Tema",INDEX(Config!$E$6:$E$11,$D1516),IF(INDEX(Avulsos!$D$6:$D$205,$C1516)&amp;""="","Outro",INDEX(Avulsos!$D$6:$D$205,$C1516))))</f>
        <v/>
      </c>
      <c r="J1516" s="114" t="str">
        <f aca="false">IF($E1516="","",IF($B1516="Tema",INDEX(Temas!$C$6:$C$305,$C1516)&amp;"",INDEX(Avulsos!$E$6:$E$205,$C1516)&amp;""))</f>
        <v/>
      </c>
      <c r="K1516" s="114" t="str">
        <f aca="false">IF($E1516="","",IF(IF($B1516="Tema",INDEX(Temas!$E$6:$P$305,$C1516,2*$D1516),INDEX(Avulsos!$F$6:$F$205,$C1516))&amp;""="","","✓"))</f>
        <v/>
      </c>
      <c r="L1516" s="114" t="str">
        <f aca="true">IF($E1516="","",IF($K1516="✓","Concluído",IF($E1516&lt;TODAY(),"Atrasado",IF($E1516=TODAY(),"Hoje","Pendente"))))</f>
        <v/>
      </c>
      <c r="M1516" s="114" t="str">
        <f aca="false">IF($E1516="","",IF($K1516="✓","✓ ","")&amp;IF(Config!$E$22="Sim",$H1516&amp;" · ","")&amp;$F1516)</f>
        <v/>
      </c>
      <c r="N1516" s="114" t="str">
        <f aca="false">IF($E1516="","",IFERROR(INDEX(Config!$D$15:$D$19,MATCH($I1516,Config!$C$15:$C$19,0)),"OUT")&amp;IF($K1516="✓","x",""))</f>
        <v/>
      </c>
      <c r="O1516" s="114" t="str">
        <f aca="false">IF($E1516="","",COUNTIF($E$5:$E1516,$E1516))</f>
        <v/>
      </c>
      <c r="P1516" s="114" t="str">
        <f aca="false">IF($E1516="","",$E1516*100+$O1516)</f>
        <v/>
      </c>
      <c r="Q1516" s="114" t="str">
        <f aca="false">IF($L1516="Atrasado",$E1516*10000+$A1516,"")</f>
        <v/>
      </c>
    </row>
    <row r="1517" customFormat="false" ht="15" hidden="false" customHeight="false" outlineLevel="0" collapsed="false">
      <c r="A1517" s="114" t="n">
        <f aca="false">ROW()-4</f>
        <v>1513</v>
      </c>
      <c r="B1517" s="114" t="str">
        <f aca="false">IF(A1517&lt;=Config!$E$27*Config!$E$28,"Tema","Avulso")</f>
        <v>Tema</v>
      </c>
      <c r="C1517" s="114" t="n">
        <f aca="false">IF(B1517="Tema",INT((A1517-1)/Config!$E$28)+1,A1517-Config!$E$27*Config!$E$28)</f>
        <v>253</v>
      </c>
      <c r="D1517" s="114" t="n">
        <f aca="false">IF(B1517="Tema",MOD(A1517-1,Config!$E$28)+1,"")</f>
        <v>1</v>
      </c>
      <c r="E1517" s="115" t="str">
        <f aca="false">IF($B1517="Tema",IF(ISNUMBER(INDEX(Temas!$E$6:$P$305,$C1517,2*$D1517-1)),INDEX(Temas!$E$6:$P$305,$C1517,2*$D1517-1),""),IF(ISNUMBER(INDEX(Avulsos!$B$6:$B$205,$C1517)),INDEX(Avulsos!$B$6:$B$205,$C1517),""))</f>
        <v/>
      </c>
      <c r="F1517" s="114" t="str">
        <f aca="false">IF($E1517="","",IF($B1517="Tema",INDEX(Temas!$B$6:$B$305,$C1517)&amp;"",INDEX(Avulsos!$C$6:$C$205,$C1517)&amp;""))</f>
        <v/>
      </c>
      <c r="G1517" s="114" t="str">
        <f aca="false">IF($E1517="","",IF($B1517="Tema",INDEX(Config!$C$6:$C$11,$D1517),"Evento avulso"))</f>
        <v/>
      </c>
      <c r="H1517" s="114" t="str">
        <f aca="false">IF($E1517="","",IF($B1517="Tema",INDEX(Config!$D$6:$D$11,$D1517),IFERROR(INDEX(Config!$E$15:$E$19,MATCH($I1517,Config!$C$15:$C$19,0)),"•")))</f>
        <v/>
      </c>
      <c r="I1517" s="114" t="str">
        <f aca="false">IF($E1517="","",IF($B1517="Tema",INDEX(Config!$E$6:$E$11,$D1517),IF(INDEX(Avulsos!$D$6:$D$205,$C1517)&amp;""="","Outro",INDEX(Avulsos!$D$6:$D$205,$C1517))))</f>
        <v/>
      </c>
      <c r="J1517" s="114" t="str">
        <f aca="false">IF($E1517="","",IF($B1517="Tema",INDEX(Temas!$C$6:$C$305,$C1517)&amp;"",INDEX(Avulsos!$E$6:$E$205,$C1517)&amp;""))</f>
        <v/>
      </c>
      <c r="K1517" s="114" t="str">
        <f aca="false">IF($E1517="","",IF(IF($B1517="Tema",INDEX(Temas!$E$6:$P$305,$C1517,2*$D1517),INDEX(Avulsos!$F$6:$F$205,$C1517))&amp;""="","","✓"))</f>
        <v/>
      </c>
      <c r="L1517" s="114" t="str">
        <f aca="true">IF($E1517="","",IF($K1517="✓","Concluído",IF($E1517&lt;TODAY(),"Atrasado",IF($E1517=TODAY(),"Hoje","Pendente"))))</f>
        <v/>
      </c>
      <c r="M1517" s="114" t="str">
        <f aca="false">IF($E1517="","",IF($K1517="✓","✓ ","")&amp;IF(Config!$E$22="Sim",$H1517&amp;" · ","")&amp;$F1517)</f>
        <v/>
      </c>
      <c r="N1517" s="114" t="str">
        <f aca="false">IF($E1517="","",IFERROR(INDEX(Config!$D$15:$D$19,MATCH($I1517,Config!$C$15:$C$19,0)),"OUT")&amp;IF($K1517="✓","x",""))</f>
        <v/>
      </c>
      <c r="O1517" s="114" t="str">
        <f aca="false">IF($E1517="","",COUNTIF($E$5:$E1517,$E1517))</f>
        <v/>
      </c>
      <c r="P1517" s="114" t="str">
        <f aca="false">IF($E1517="","",$E1517*100+$O1517)</f>
        <v/>
      </c>
      <c r="Q1517" s="114" t="str">
        <f aca="false">IF($L1517="Atrasado",$E1517*10000+$A1517,"")</f>
        <v/>
      </c>
    </row>
    <row r="1518" customFormat="false" ht="15" hidden="false" customHeight="false" outlineLevel="0" collapsed="false">
      <c r="A1518" s="114" t="n">
        <f aca="false">ROW()-4</f>
        <v>1514</v>
      </c>
      <c r="B1518" s="114" t="str">
        <f aca="false">IF(A1518&lt;=Config!$E$27*Config!$E$28,"Tema","Avulso")</f>
        <v>Tema</v>
      </c>
      <c r="C1518" s="114" t="n">
        <f aca="false">IF(B1518="Tema",INT((A1518-1)/Config!$E$28)+1,A1518-Config!$E$27*Config!$E$28)</f>
        <v>253</v>
      </c>
      <c r="D1518" s="114" t="n">
        <f aca="false">IF(B1518="Tema",MOD(A1518-1,Config!$E$28)+1,"")</f>
        <v>2</v>
      </c>
      <c r="E1518" s="115" t="str">
        <f aca="false">IF($B1518="Tema",IF(ISNUMBER(INDEX(Temas!$E$6:$P$305,$C1518,2*$D1518-1)),INDEX(Temas!$E$6:$P$305,$C1518,2*$D1518-1),""),IF(ISNUMBER(INDEX(Avulsos!$B$6:$B$205,$C1518)),INDEX(Avulsos!$B$6:$B$205,$C1518),""))</f>
        <v/>
      </c>
      <c r="F1518" s="114" t="str">
        <f aca="false">IF($E1518="","",IF($B1518="Tema",INDEX(Temas!$B$6:$B$305,$C1518)&amp;"",INDEX(Avulsos!$C$6:$C$205,$C1518)&amp;""))</f>
        <v/>
      </c>
      <c r="G1518" s="114" t="str">
        <f aca="false">IF($E1518="","",IF($B1518="Tema",INDEX(Config!$C$6:$C$11,$D1518),"Evento avulso"))</f>
        <v/>
      </c>
      <c r="H1518" s="114" t="str">
        <f aca="false">IF($E1518="","",IF($B1518="Tema",INDEX(Config!$D$6:$D$11,$D1518),IFERROR(INDEX(Config!$E$15:$E$19,MATCH($I1518,Config!$C$15:$C$19,0)),"•")))</f>
        <v/>
      </c>
      <c r="I1518" s="114" t="str">
        <f aca="false">IF($E1518="","",IF($B1518="Tema",INDEX(Config!$E$6:$E$11,$D1518),IF(INDEX(Avulsos!$D$6:$D$205,$C1518)&amp;""="","Outro",INDEX(Avulsos!$D$6:$D$205,$C1518))))</f>
        <v/>
      </c>
      <c r="J1518" s="114" t="str">
        <f aca="false">IF($E1518="","",IF($B1518="Tema",INDEX(Temas!$C$6:$C$305,$C1518)&amp;"",INDEX(Avulsos!$E$6:$E$205,$C1518)&amp;""))</f>
        <v/>
      </c>
      <c r="K1518" s="114" t="str">
        <f aca="false">IF($E1518="","",IF(IF($B1518="Tema",INDEX(Temas!$E$6:$P$305,$C1518,2*$D1518),INDEX(Avulsos!$F$6:$F$205,$C1518))&amp;""="","","✓"))</f>
        <v/>
      </c>
      <c r="L1518" s="114" t="str">
        <f aca="true">IF($E1518="","",IF($K1518="✓","Concluído",IF($E1518&lt;TODAY(),"Atrasado",IF($E1518=TODAY(),"Hoje","Pendente"))))</f>
        <v/>
      </c>
      <c r="M1518" s="114" t="str">
        <f aca="false">IF($E1518="","",IF($K1518="✓","✓ ","")&amp;IF(Config!$E$22="Sim",$H1518&amp;" · ","")&amp;$F1518)</f>
        <v/>
      </c>
      <c r="N1518" s="114" t="str">
        <f aca="false">IF($E1518="","",IFERROR(INDEX(Config!$D$15:$D$19,MATCH($I1518,Config!$C$15:$C$19,0)),"OUT")&amp;IF($K1518="✓","x",""))</f>
        <v/>
      </c>
      <c r="O1518" s="114" t="str">
        <f aca="false">IF($E1518="","",COUNTIF($E$5:$E1518,$E1518))</f>
        <v/>
      </c>
      <c r="P1518" s="114" t="str">
        <f aca="false">IF($E1518="","",$E1518*100+$O1518)</f>
        <v/>
      </c>
      <c r="Q1518" s="114" t="str">
        <f aca="false">IF($L1518="Atrasado",$E1518*10000+$A1518,"")</f>
        <v/>
      </c>
    </row>
    <row r="1519" customFormat="false" ht="15" hidden="false" customHeight="false" outlineLevel="0" collapsed="false">
      <c r="A1519" s="114" t="n">
        <f aca="false">ROW()-4</f>
        <v>1515</v>
      </c>
      <c r="B1519" s="114" t="str">
        <f aca="false">IF(A1519&lt;=Config!$E$27*Config!$E$28,"Tema","Avulso")</f>
        <v>Tema</v>
      </c>
      <c r="C1519" s="114" t="n">
        <f aca="false">IF(B1519="Tema",INT((A1519-1)/Config!$E$28)+1,A1519-Config!$E$27*Config!$E$28)</f>
        <v>253</v>
      </c>
      <c r="D1519" s="114" t="n">
        <f aca="false">IF(B1519="Tema",MOD(A1519-1,Config!$E$28)+1,"")</f>
        <v>3</v>
      </c>
      <c r="E1519" s="115" t="str">
        <f aca="false">IF($B1519="Tema",IF(ISNUMBER(INDEX(Temas!$E$6:$P$305,$C1519,2*$D1519-1)),INDEX(Temas!$E$6:$P$305,$C1519,2*$D1519-1),""),IF(ISNUMBER(INDEX(Avulsos!$B$6:$B$205,$C1519)),INDEX(Avulsos!$B$6:$B$205,$C1519),""))</f>
        <v/>
      </c>
      <c r="F1519" s="114" t="str">
        <f aca="false">IF($E1519="","",IF($B1519="Tema",INDEX(Temas!$B$6:$B$305,$C1519)&amp;"",INDEX(Avulsos!$C$6:$C$205,$C1519)&amp;""))</f>
        <v/>
      </c>
      <c r="G1519" s="114" t="str">
        <f aca="false">IF($E1519="","",IF($B1519="Tema",INDEX(Config!$C$6:$C$11,$D1519),"Evento avulso"))</f>
        <v/>
      </c>
      <c r="H1519" s="114" t="str">
        <f aca="false">IF($E1519="","",IF($B1519="Tema",INDEX(Config!$D$6:$D$11,$D1519),IFERROR(INDEX(Config!$E$15:$E$19,MATCH($I1519,Config!$C$15:$C$19,0)),"•")))</f>
        <v/>
      </c>
      <c r="I1519" s="114" t="str">
        <f aca="false">IF($E1519="","",IF($B1519="Tema",INDEX(Config!$E$6:$E$11,$D1519),IF(INDEX(Avulsos!$D$6:$D$205,$C1519)&amp;""="","Outro",INDEX(Avulsos!$D$6:$D$205,$C1519))))</f>
        <v/>
      </c>
      <c r="J1519" s="114" t="str">
        <f aca="false">IF($E1519="","",IF($B1519="Tema",INDEX(Temas!$C$6:$C$305,$C1519)&amp;"",INDEX(Avulsos!$E$6:$E$205,$C1519)&amp;""))</f>
        <v/>
      </c>
      <c r="K1519" s="114" t="str">
        <f aca="false">IF($E1519="","",IF(IF($B1519="Tema",INDEX(Temas!$E$6:$P$305,$C1519,2*$D1519),INDEX(Avulsos!$F$6:$F$205,$C1519))&amp;""="","","✓"))</f>
        <v/>
      </c>
      <c r="L1519" s="114" t="str">
        <f aca="true">IF($E1519="","",IF($K1519="✓","Concluído",IF($E1519&lt;TODAY(),"Atrasado",IF($E1519=TODAY(),"Hoje","Pendente"))))</f>
        <v/>
      </c>
      <c r="M1519" s="114" t="str">
        <f aca="false">IF($E1519="","",IF($K1519="✓","✓ ","")&amp;IF(Config!$E$22="Sim",$H1519&amp;" · ","")&amp;$F1519)</f>
        <v/>
      </c>
      <c r="N1519" s="114" t="str">
        <f aca="false">IF($E1519="","",IFERROR(INDEX(Config!$D$15:$D$19,MATCH($I1519,Config!$C$15:$C$19,0)),"OUT")&amp;IF($K1519="✓","x",""))</f>
        <v/>
      </c>
      <c r="O1519" s="114" t="str">
        <f aca="false">IF($E1519="","",COUNTIF($E$5:$E1519,$E1519))</f>
        <v/>
      </c>
      <c r="P1519" s="114" t="str">
        <f aca="false">IF($E1519="","",$E1519*100+$O1519)</f>
        <v/>
      </c>
      <c r="Q1519" s="114" t="str">
        <f aca="false">IF($L1519="Atrasado",$E1519*10000+$A1519,"")</f>
        <v/>
      </c>
    </row>
    <row r="1520" customFormat="false" ht="15" hidden="false" customHeight="false" outlineLevel="0" collapsed="false">
      <c r="A1520" s="114" t="n">
        <f aca="false">ROW()-4</f>
        <v>1516</v>
      </c>
      <c r="B1520" s="114" t="str">
        <f aca="false">IF(A1520&lt;=Config!$E$27*Config!$E$28,"Tema","Avulso")</f>
        <v>Tema</v>
      </c>
      <c r="C1520" s="114" t="n">
        <f aca="false">IF(B1520="Tema",INT((A1520-1)/Config!$E$28)+1,A1520-Config!$E$27*Config!$E$28)</f>
        <v>253</v>
      </c>
      <c r="D1520" s="114" t="n">
        <f aca="false">IF(B1520="Tema",MOD(A1520-1,Config!$E$28)+1,"")</f>
        <v>4</v>
      </c>
      <c r="E1520" s="115" t="str">
        <f aca="false">IF($B1520="Tema",IF(ISNUMBER(INDEX(Temas!$E$6:$P$305,$C1520,2*$D1520-1)),INDEX(Temas!$E$6:$P$305,$C1520,2*$D1520-1),""),IF(ISNUMBER(INDEX(Avulsos!$B$6:$B$205,$C1520)),INDEX(Avulsos!$B$6:$B$205,$C1520),""))</f>
        <v/>
      </c>
      <c r="F1520" s="114" t="str">
        <f aca="false">IF($E1520="","",IF($B1520="Tema",INDEX(Temas!$B$6:$B$305,$C1520)&amp;"",INDEX(Avulsos!$C$6:$C$205,$C1520)&amp;""))</f>
        <v/>
      </c>
      <c r="G1520" s="114" t="str">
        <f aca="false">IF($E1520="","",IF($B1520="Tema",INDEX(Config!$C$6:$C$11,$D1520),"Evento avulso"))</f>
        <v/>
      </c>
      <c r="H1520" s="114" t="str">
        <f aca="false">IF($E1520="","",IF($B1520="Tema",INDEX(Config!$D$6:$D$11,$D1520),IFERROR(INDEX(Config!$E$15:$E$19,MATCH($I1520,Config!$C$15:$C$19,0)),"•")))</f>
        <v/>
      </c>
      <c r="I1520" s="114" t="str">
        <f aca="false">IF($E1520="","",IF($B1520="Tema",INDEX(Config!$E$6:$E$11,$D1520),IF(INDEX(Avulsos!$D$6:$D$205,$C1520)&amp;""="","Outro",INDEX(Avulsos!$D$6:$D$205,$C1520))))</f>
        <v/>
      </c>
      <c r="J1520" s="114" t="str">
        <f aca="false">IF($E1520="","",IF($B1520="Tema",INDEX(Temas!$C$6:$C$305,$C1520)&amp;"",INDEX(Avulsos!$E$6:$E$205,$C1520)&amp;""))</f>
        <v/>
      </c>
      <c r="K1520" s="114" t="str">
        <f aca="false">IF($E1520="","",IF(IF($B1520="Tema",INDEX(Temas!$E$6:$P$305,$C1520,2*$D1520),INDEX(Avulsos!$F$6:$F$205,$C1520))&amp;""="","","✓"))</f>
        <v/>
      </c>
      <c r="L1520" s="114" t="str">
        <f aca="true">IF($E1520="","",IF($K1520="✓","Concluído",IF($E1520&lt;TODAY(),"Atrasado",IF($E1520=TODAY(),"Hoje","Pendente"))))</f>
        <v/>
      </c>
      <c r="M1520" s="114" t="str">
        <f aca="false">IF($E1520="","",IF($K1520="✓","✓ ","")&amp;IF(Config!$E$22="Sim",$H1520&amp;" · ","")&amp;$F1520)</f>
        <v/>
      </c>
      <c r="N1520" s="114" t="str">
        <f aca="false">IF($E1520="","",IFERROR(INDEX(Config!$D$15:$D$19,MATCH($I1520,Config!$C$15:$C$19,0)),"OUT")&amp;IF($K1520="✓","x",""))</f>
        <v/>
      </c>
      <c r="O1520" s="114" t="str">
        <f aca="false">IF($E1520="","",COUNTIF($E$5:$E1520,$E1520))</f>
        <v/>
      </c>
      <c r="P1520" s="114" t="str">
        <f aca="false">IF($E1520="","",$E1520*100+$O1520)</f>
        <v/>
      </c>
      <c r="Q1520" s="114" t="str">
        <f aca="false">IF($L1520="Atrasado",$E1520*10000+$A1520,"")</f>
        <v/>
      </c>
    </row>
    <row r="1521" customFormat="false" ht="15" hidden="false" customHeight="false" outlineLevel="0" collapsed="false">
      <c r="A1521" s="114" t="n">
        <f aca="false">ROW()-4</f>
        <v>1517</v>
      </c>
      <c r="B1521" s="114" t="str">
        <f aca="false">IF(A1521&lt;=Config!$E$27*Config!$E$28,"Tema","Avulso")</f>
        <v>Tema</v>
      </c>
      <c r="C1521" s="114" t="n">
        <f aca="false">IF(B1521="Tema",INT((A1521-1)/Config!$E$28)+1,A1521-Config!$E$27*Config!$E$28)</f>
        <v>253</v>
      </c>
      <c r="D1521" s="114" t="n">
        <f aca="false">IF(B1521="Tema",MOD(A1521-1,Config!$E$28)+1,"")</f>
        <v>5</v>
      </c>
      <c r="E1521" s="115" t="str">
        <f aca="false">IF($B1521="Tema",IF(ISNUMBER(INDEX(Temas!$E$6:$P$305,$C1521,2*$D1521-1)),INDEX(Temas!$E$6:$P$305,$C1521,2*$D1521-1),""),IF(ISNUMBER(INDEX(Avulsos!$B$6:$B$205,$C1521)),INDEX(Avulsos!$B$6:$B$205,$C1521),""))</f>
        <v/>
      </c>
      <c r="F1521" s="114" t="str">
        <f aca="false">IF($E1521="","",IF($B1521="Tema",INDEX(Temas!$B$6:$B$305,$C1521)&amp;"",INDEX(Avulsos!$C$6:$C$205,$C1521)&amp;""))</f>
        <v/>
      </c>
      <c r="G1521" s="114" t="str">
        <f aca="false">IF($E1521="","",IF($B1521="Tema",INDEX(Config!$C$6:$C$11,$D1521),"Evento avulso"))</f>
        <v/>
      </c>
      <c r="H1521" s="114" t="str">
        <f aca="false">IF($E1521="","",IF($B1521="Tema",INDEX(Config!$D$6:$D$11,$D1521),IFERROR(INDEX(Config!$E$15:$E$19,MATCH($I1521,Config!$C$15:$C$19,0)),"•")))</f>
        <v/>
      </c>
      <c r="I1521" s="114" t="str">
        <f aca="false">IF($E1521="","",IF($B1521="Tema",INDEX(Config!$E$6:$E$11,$D1521),IF(INDEX(Avulsos!$D$6:$D$205,$C1521)&amp;""="","Outro",INDEX(Avulsos!$D$6:$D$205,$C1521))))</f>
        <v/>
      </c>
      <c r="J1521" s="114" t="str">
        <f aca="false">IF($E1521="","",IF($B1521="Tema",INDEX(Temas!$C$6:$C$305,$C1521)&amp;"",INDEX(Avulsos!$E$6:$E$205,$C1521)&amp;""))</f>
        <v/>
      </c>
      <c r="K1521" s="114" t="str">
        <f aca="false">IF($E1521="","",IF(IF($B1521="Tema",INDEX(Temas!$E$6:$P$305,$C1521,2*$D1521),INDEX(Avulsos!$F$6:$F$205,$C1521))&amp;""="","","✓"))</f>
        <v/>
      </c>
      <c r="L1521" s="114" t="str">
        <f aca="true">IF($E1521="","",IF($K1521="✓","Concluído",IF($E1521&lt;TODAY(),"Atrasado",IF($E1521=TODAY(),"Hoje","Pendente"))))</f>
        <v/>
      </c>
      <c r="M1521" s="114" t="str">
        <f aca="false">IF($E1521="","",IF($K1521="✓","✓ ","")&amp;IF(Config!$E$22="Sim",$H1521&amp;" · ","")&amp;$F1521)</f>
        <v/>
      </c>
      <c r="N1521" s="114" t="str">
        <f aca="false">IF($E1521="","",IFERROR(INDEX(Config!$D$15:$D$19,MATCH($I1521,Config!$C$15:$C$19,0)),"OUT")&amp;IF($K1521="✓","x",""))</f>
        <v/>
      </c>
      <c r="O1521" s="114" t="str">
        <f aca="false">IF($E1521="","",COUNTIF($E$5:$E1521,$E1521))</f>
        <v/>
      </c>
      <c r="P1521" s="114" t="str">
        <f aca="false">IF($E1521="","",$E1521*100+$O1521)</f>
        <v/>
      </c>
      <c r="Q1521" s="114" t="str">
        <f aca="false">IF($L1521="Atrasado",$E1521*10000+$A1521,"")</f>
        <v/>
      </c>
    </row>
    <row r="1522" customFormat="false" ht="15" hidden="false" customHeight="false" outlineLevel="0" collapsed="false">
      <c r="A1522" s="114" t="n">
        <f aca="false">ROW()-4</f>
        <v>1518</v>
      </c>
      <c r="B1522" s="114" t="str">
        <f aca="false">IF(A1522&lt;=Config!$E$27*Config!$E$28,"Tema","Avulso")</f>
        <v>Tema</v>
      </c>
      <c r="C1522" s="114" t="n">
        <f aca="false">IF(B1522="Tema",INT((A1522-1)/Config!$E$28)+1,A1522-Config!$E$27*Config!$E$28)</f>
        <v>253</v>
      </c>
      <c r="D1522" s="114" t="n">
        <f aca="false">IF(B1522="Tema",MOD(A1522-1,Config!$E$28)+1,"")</f>
        <v>6</v>
      </c>
      <c r="E1522" s="115" t="str">
        <f aca="false">IF($B1522="Tema",IF(ISNUMBER(INDEX(Temas!$E$6:$P$305,$C1522,2*$D1522-1)),INDEX(Temas!$E$6:$P$305,$C1522,2*$D1522-1),""),IF(ISNUMBER(INDEX(Avulsos!$B$6:$B$205,$C1522)),INDEX(Avulsos!$B$6:$B$205,$C1522),""))</f>
        <v/>
      </c>
      <c r="F1522" s="114" t="str">
        <f aca="false">IF($E1522="","",IF($B1522="Tema",INDEX(Temas!$B$6:$B$305,$C1522)&amp;"",INDEX(Avulsos!$C$6:$C$205,$C1522)&amp;""))</f>
        <v/>
      </c>
      <c r="G1522" s="114" t="str">
        <f aca="false">IF($E1522="","",IF($B1522="Tema",INDEX(Config!$C$6:$C$11,$D1522),"Evento avulso"))</f>
        <v/>
      </c>
      <c r="H1522" s="114" t="str">
        <f aca="false">IF($E1522="","",IF($B1522="Tema",INDEX(Config!$D$6:$D$11,$D1522),IFERROR(INDEX(Config!$E$15:$E$19,MATCH($I1522,Config!$C$15:$C$19,0)),"•")))</f>
        <v/>
      </c>
      <c r="I1522" s="114" t="str">
        <f aca="false">IF($E1522="","",IF($B1522="Tema",INDEX(Config!$E$6:$E$11,$D1522),IF(INDEX(Avulsos!$D$6:$D$205,$C1522)&amp;""="","Outro",INDEX(Avulsos!$D$6:$D$205,$C1522))))</f>
        <v/>
      </c>
      <c r="J1522" s="114" t="str">
        <f aca="false">IF($E1522="","",IF($B1522="Tema",INDEX(Temas!$C$6:$C$305,$C1522)&amp;"",INDEX(Avulsos!$E$6:$E$205,$C1522)&amp;""))</f>
        <v/>
      </c>
      <c r="K1522" s="114" t="str">
        <f aca="false">IF($E1522="","",IF(IF($B1522="Tema",INDEX(Temas!$E$6:$P$305,$C1522,2*$D1522),INDEX(Avulsos!$F$6:$F$205,$C1522))&amp;""="","","✓"))</f>
        <v/>
      </c>
      <c r="L1522" s="114" t="str">
        <f aca="true">IF($E1522="","",IF($K1522="✓","Concluído",IF($E1522&lt;TODAY(),"Atrasado",IF($E1522=TODAY(),"Hoje","Pendente"))))</f>
        <v/>
      </c>
      <c r="M1522" s="114" t="str">
        <f aca="false">IF($E1522="","",IF($K1522="✓","✓ ","")&amp;IF(Config!$E$22="Sim",$H1522&amp;" · ","")&amp;$F1522)</f>
        <v/>
      </c>
      <c r="N1522" s="114" t="str">
        <f aca="false">IF($E1522="","",IFERROR(INDEX(Config!$D$15:$D$19,MATCH($I1522,Config!$C$15:$C$19,0)),"OUT")&amp;IF($K1522="✓","x",""))</f>
        <v/>
      </c>
      <c r="O1522" s="114" t="str">
        <f aca="false">IF($E1522="","",COUNTIF($E$5:$E1522,$E1522))</f>
        <v/>
      </c>
      <c r="P1522" s="114" t="str">
        <f aca="false">IF($E1522="","",$E1522*100+$O1522)</f>
        <v/>
      </c>
      <c r="Q1522" s="114" t="str">
        <f aca="false">IF($L1522="Atrasado",$E1522*10000+$A1522,"")</f>
        <v/>
      </c>
    </row>
    <row r="1523" customFormat="false" ht="15" hidden="false" customHeight="false" outlineLevel="0" collapsed="false">
      <c r="A1523" s="114" t="n">
        <f aca="false">ROW()-4</f>
        <v>1519</v>
      </c>
      <c r="B1523" s="114" t="str">
        <f aca="false">IF(A1523&lt;=Config!$E$27*Config!$E$28,"Tema","Avulso")</f>
        <v>Tema</v>
      </c>
      <c r="C1523" s="114" t="n">
        <f aca="false">IF(B1523="Tema",INT((A1523-1)/Config!$E$28)+1,A1523-Config!$E$27*Config!$E$28)</f>
        <v>254</v>
      </c>
      <c r="D1523" s="114" t="n">
        <f aca="false">IF(B1523="Tema",MOD(A1523-1,Config!$E$28)+1,"")</f>
        <v>1</v>
      </c>
      <c r="E1523" s="115" t="str">
        <f aca="false">IF($B1523="Tema",IF(ISNUMBER(INDEX(Temas!$E$6:$P$305,$C1523,2*$D1523-1)),INDEX(Temas!$E$6:$P$305,$C1523,2*$D1523-1),""),IF(ISNUMBER(INDEX(Avulsos!$B$6:$B$205,$C1523)),INDEX(Avulsos!$B$6:$B$205,$C1523),""))</f>
        <v/>
      </c>
      <c r="F1523" s="114" t="str">
        <f aca="false">IF($E1523="","",IF($B1523="Tema",INDEX(Temas!$B$6:$B$305,$C1523)&amp;"",INDEX(Avulsos!$C$6:$C$205,$C1523)&amp;""))</f>
        <v/>
      </c>
      <c r="G1523" s="114" t="str">
        <f aca="false">IF($E1523="","",IF($B1523="Tema",INDEX(Config!$C$6:$C$11,$D1523),"Evento avulso"))</f>
        <v/>
      </c>
      <c r="H1523" s="114" t="str">
        <f aca="false">IF($E1523="","",IF($B1523="Tema",INDEX(Config!$D$6:$D$11,$D1523),IFERROR(INDEX(Config!$E$15:$E$19,MATCH($I1523,Config!$C$15:$C$19,0)),"•")))</f>
        <v/>
      </c>
      <c r="I1523" s="114" t="str">
        <f aca="false">IF($E1523="","",IF($B1523="Tema",INDEX(Config!$E$6:$E$11,$D1523),IF(INDEX(Avulsos!$D$6:$D$205,$C1523)&amp;""="","Outro",INDEX(Avulsos!$D$6:$D$205,$C1523))))</f>
        <v/>
      </c>
      <c r="J1523" s="114" t="str">
        <f aca="false">IF($E1523="","",IF($B1523="Tema",INDEX(Temas!$C$6:$C$305,$C1523)&amp;"",INDEX(Avulsos!$E$6:$E$205,$C1523)&amp;""))</f>
        <v/>
      </c>
      <c r="K1523" s="114" t="str">
        <f aca="false">IF($E1523="","",IF(IF($B1523="Tema",INDEX(Temas!$E$6:$P$305,$C1523,2*$D1523),INDEX(Avulsos!$F$6:$F$205,$C1523))&amp;""="","","✓"))</f>
        <v/>
      </c>
      <c r="L1523" s="114" t="str">
        <f aca="true">IF($E1523="","",IF($K1523="✓","Concluído",IF($E1523&lt;TODAY(),"Atrasado",IF($E1523=TODAY(),"Hoje","Pendente"))))</f>
        <v/>
      </c>
      <c r="M1523" s="114" t="str">
        <f aca="false">IF($E1523="","",IF($K1523="✓","✓ ","")&amp;IF(Config!$E$22="Sim",$H1523&amp;" · ","")&amp;$F1523)</f>
        <v/>
      </c>
      <c r="N1523" s="114" t="str">
        <f aca="false">IF($E1523="","",IFERROR(INDEX(Config!$D$15:$D$19,MATCH($I1523,Config!$C$15:$C$19,0)),"OUT")&amp;IF($K1523="✓","x",""))</f>
        <v/>
      </c>
      <c r="O1523" s="114" t="str">
        <f aca="false">IF($E1523="","",COUNTIF($E$5:$E1523,$E1523))</f>
        <v/>
      </c>
      <c r="P1523" s="114" t="str">
        <f aca="false">IF($E1523="","",$E1523*100+$O1523)</f>
        <v/>
      </c>
      <c r="Q1523" s="114" t="str">
        <f aca="false">IF($L1523="Atrasado",$E1523*10000+$A1523,"")</f>
        <v/>
      </c>
    </row>
    <row r="1524" customFormat="false" ht="15" hidden="false" customHeight="false" outlineLevel="0" collapsed="false">
      <c r="A1524" s="114" t="n">
        <f aca="false">ROW()-4</f>
        <v>1520</v>
      </c>
      <c r="B1524" s="114" t="str">
        <f aca="false">IF(A1524&lt;=Config!$E$27*Config!$E$28,"Tema","Avulso")</f>
        <v>Tema</v>
      </c>
      <c r="C1524" s="114" t="n">
        <f aca="false">IF(B1524="Tema",INT((A1524-1)/Config!$E$28)+1,A1524-Config!$E$27*Config!$E$28)</f>
        <v>254</v>
      </c>
      <c r="D1524" s="114" t="n">
        <f aca="false">IF(B1524="Tema",MOD(A1524-1,Config!$E$28)+1,"")</f>
        <v>2</v>
      </c>
      <c r="E1524" s="115" t="str">
        <f aca="false">IF($B1524="Tema",IF(ISNUMBER(INDEX(Temas!$E$6:$P$305,$C1524,2*$D1524-1)),INDEX(Temas!$E$6:$P$305,$C1524,2*$D1524-1),""),IF(ISNUMBER(INDEX(Avulsos!$B$6:$B$205,$C1524)),INDEX(Avulsos!$B$6:$B$205,$C1524),""))</f>
        <v/>
      </c>
      <c r="F1524" s="114" t="str">
        <f aca="false">IF($E1524="","",IF($B1524="Tema",INDEX(Temas!$B$6:$B$305,$C1524)&amp;"",INDEX(Avulsos!$C$6:$C$205,$C1524)&amp;""))</f>
        <v/>
      </c>
      <c r="G1524" s="114" t="str">
        <f aca="false">IF($E1524="","",IF($B1524="Tema",INDEX(Config!$C$6:$C$11,$D1524),"Evento avulso"))</f>
        <v/>
      </c>
      <c r="H1524" s="114" t="str">
        <f aca="false">IF($E1524="","",IF($B1524="Tema",INDEX(Config!$D$6:$D$11,$D1524),IFERROR(INDEX(Config!$E$15:$E$19,MATCH($I1524,Config!$C$15:$C$19,0)),"•")))</f>
        <v/>
      </c>
      <c r="I1524" s="114" t="str">
        <f aca="false">IF($E1524="","",IF($B1524="Tema",INDEX(Config!$E$6:$E$11,$D1524),IF(INDEX(Avulsos!$D$6:$D$205,$C1524)&amp;""="","Outro",INDEX(Avulsos!$D$6:$D$205,$C1524))))</f>
        <v/>
      </c>
      <c r="J1524" s="114" t="str">
        <f aca="false">IF($E1524="","",IF($B1524="Tema",INDEX(Temas!$C$6:$C$305,$C1524)&amp;"",INDEX(Avulsos!$E$6:$E$205,$C1524)&amp;""))</f>
        <v/>
      </c>
      <c r="K1524" s="114" t="str">
        <f aca="false">IF($E1524="","",IF(IF($B1524="Tema",INDEX(Temas!$E$6:$P$305,$C1524,2*$D1524),INDEX(Avulsos!$F$6:$F$205,$C1524))&amp;""="","","✓"))</f>
        <v/>
      </c>
      <c r="L1524" s="114" t="str">
        <f aca="true">IF($E1524="","",IF($K1524="✓","Concluído",IF($E1524&lt;TODAY(),"Atrasado",IF($E1524=TODAY(),"Hoje","Pendente"))))</f>
        <v/>
      </c>
      <c r="M1524" s="114" t="str">
        <f aca="false">IF($E1524="","",IF($K1524="✓","✓ ","")&amp;IF(Config!$E$22="Sim",$H1524&amp;" · ","")&amp;$F1524)</f>
        <v/>
      </c>
      <c r="N1524" s="114" t="str">
        <f aca="false">IF($E1524="","",IFERROR(INDEX(Config!$D$15:$D$19,MATCH($I1524,Config!$C$15:$C$19,0)),"OUT")&amp;IF($K1524="✓","x",""))</f>
        <v/>
      </c>
      <c r="O1524" s="114" t="str">
        <f aca="false">IF($E1524="","",COUNTIF($E$5:$E1524,$E1524))</f>
        <v/>
      </c>
      <c r="P1524" s="114" t="str">
        <f aca="false">IF($E1524="","",$E1524*100+$O1524)</f>
        <v/>
      </c>
      <c r="Q1524" s="114" t="str">
        <f aca="false">IF($L1524="Atrasado",$E1524*10000+$A1524,"")</f>
        <v/>
      </c>
    </row>
    <row r="1525" customFormat="false" ht="15" hidden="false" customHeight="false" outlineLevel="0" collapsed="false">
      <c r="A1525" s="114" t="n">
        <f aca="false">ROW()-4</f>
        <v>1521</v>
      </c>
      <c r="B1525" s="114" t="str">
        <f aca="false">IF(A1525&lt;=Config!$E$27*Config!$E$28,"Tema","Avulso")</f>
        <v>Tema</v>
      </c>
      <c r="C1525" s="114" t="n">
        <f aca="false">IF(B1525="Tema",INT((A1525-1)/Config!$E$28)+1,A1525-Config!$E$27*Config!$E$28)</f>
        <v>254</v>
      </c>
      <c r="D1525" s="114" t="n">
        <f aca="false">IF(B1525="Tema",MOD(A1525-1,Config!$E$28)+1,"")</f>
        <v>3</v>
      </c>
      <c r="E1525" s="115" t="str">
        <f aca="false">IF($B1525="Tema",IF(ISNUMBER(INDEX(Temas!$E$6:$P$305,$C1525,2*$D1525-1)),INDEX(Temas!$E$6:$P$305,$C1525,2*$D1525-1),""),IF(ISNUMBER(INDEX(Avulsos!$B$6:$B$205,$C1525)),INDEX(Avulsos!$B$6:$B$205,$C1525),""))</f>
        <v/>
      </c>
      <c r="F1525" s="114" t="str">
        <f aca="false">IF($E1525="","",IF($B1525="Tema",INDEX(Temas!$B$6:$B$305,$C1525)&amp;"",INDEX(Avulsos!$C$6:$C$205,$C1525)&amp;""))</f>
        <v/>
      </c>
      <c r="G1525" s="114" t="str">
        <f aca="false">IF($E1525="","",IF($B1525="Tema",INDEX(Config!$C$6:$C$11,$D1525),"Evento avulso"))</f>
        <v/>
      </c>
      <c r="H1525" s="114" t="str">
        <f aca="false">IF($E1525="","",IF($B1525="Tema",INDEX(Config!$D$6:$D$11,$D1525),IFERROR(INDEX(Config!$E$15:$E$19,MATCH($I1525,Config!$C$15:$C$19,0)),"•")))</f>
        <v/>
      </c>
      <c r="I1525" s="114" t="str">
        <f aca="false">IF($E1525="","",IF($B1525="Tema",INDEX(Config!$E$6:$E$11,$D1525),IF(INDEX(Avulsos!$D$6:$D$205,$C1525)&amp;""="","Outro",INDEX(Avulsos!$D$6:$D$205,$C1525))))</f>
        <v/>
      </c>
      <c r="J1525" s="114" t="str">
        <f aca="false">IF($E1525="","",IF($B1525="Tema",INDEX(Temas!$C$6:$C$305,$C1525)&amp;"",INDEX(Avulsos!$E$6:$E$205,$C1525)&amp;""))</f>
        <v/>
      </c>
      <c r="K1525" s="114" t="str">
        <f aca="false">IF($E1525="","",IF(IF($B1525="Tema",INDEX(Temas!$E$6:$P$305,$C1525,2*$D1525),INDEX(Avulsos!$F$6:$F$205,$C1525))&amp;""="","","✓"))</f>
        <v/>
      </c>
      <c r="L1525" s="114" t="str">
        <f aca="true">IF($E1525="","",IF($K1525="✓","Concluído",IF($E1525&lt;TODAY(),"Atrasado",IF($E1525=TODAY(),"Hoje","Pendente"))))</f>
        <v/>
      </c>
      <c r="M1525" s="114" t="str">
        <f aca="false">IF($E1525="","",IF($K1525="✓","✓ ","")&amp;IF(Config!$E$22="Sim",$H1525&amp;" · ","")&amp;$F1525)</f>
        <v/>
      </c>
      <c r="N1525" s="114" t="str">
        <f aca="false">IF($E1525="","",IFERROR(INDEX(Config!$D$15:$D$19,MATCH($I1525,Config!$C$15:$C$19,0)),"OUT")&amp;IF($K1525="✓","x",""))</f>
        <v/>
      </c>
      <c r="O1525" s="114" t="str">
        <f aca="false">IF($E1525="","",COUNTIF($E$5:$E1525,$E1525))</f>
        <v/>
      </c>
      <c r="P1525" s="114" t="str">
        <f aca="false">IF($E1525="","",$E1525*100+$O1525)</f>
        <v/>
      </c>
      <c r="Q1525" s="114" t="str">
        <f aca="false">IF($L1525="Atrasado",$E1525*10000+$A1525,"")</f>
        <v/>
      </c>
    </row>
    <row r="1526" customFormat="false" ht="15" hidden="false" customHeight="false" outlineLevel="0" collapsed="false">
      <c r="A1526" s="114" t="n">
        <f aca="false">ROW()-4</f>
        <v>1522</v>
      </c>
      <c r="B1526" s="114" t="str">
        <f aca="false">IF(A1526&lt;=Config!$E$27*Config!$E$28,"Tema","Avulso")</f>
        <v>Tema</v>
      </c>
      <c r="C1526" s="114" t="n">
        <f aca="false">IF(B1526="Tema",INT((A1526-1)/Config!$E$28)+1,A1526-Config!$E$27*Config!$E$28)</f>
        <v>254</v>
      </c>
      <c r="D1526" s="114" t="n">
        <f aca="false">IF(B1526="Tema",MOD(A1526-1,Config!$E$28)+1,"")</f>
        <v>4</v>
      </c>
      <c r="E1526" s="115" t="str">
        <f aca="false">IF($B1526="Tema",IF(ISNUMBER(INDEX(Temas!$E$6:$P$305,$C1526,2*$D1526-1)),INDEX(Temas!$E$6:$P$305,$C1526,2*$D1526-1),""),IF(ISNUMBER(INDEX(Avulsos!$B$6:$B$205,$C1526)),INDEX(Avulsos!$B$6:$B$205,$C1526),""))</f>
        <v/>
      </c>
      <c r="F1526" s="114" t="str">
        <f aca="false">IF($E1526="","",IF($B1526="Tema",INDEX(Temas!$B$6:$B$305,$C1526)&amp;"",INDEX(Avulsos!$C$6:$C$205,$C1526)&amp;""))</f>
        <v/>
      </c>
      <c r="G1526" s="114" t="str">
        <f aca="false">IF($E1526="","",IF($B1526="Tema",INDEX(Config!$C$6:$C$11,$D1526),"Evento avulso"))</f>
        <v/>
      </c>
      <c r="H1526" s="114" t="str">
        <f aca="false">IF($E1526="","",IF($B1526="Tema",INDEX(Config!$D$6:$D$11,$D1526),IFERROR(INDEX(Config!$E$15:$E$19,MATCH($I1526,Config!$C$15:$C$19,0)),"•")))</f>
        <v/>
      </c>
      <c r="I1526" s="114" t="str">
        <f aca="false">IF($E1526="","",IF($B1526="Tema",INDEX(Config!$E$6:$E$11,$D1526),IF(INDEX(Avulsos!$D$6:$D$205,$C1526)&amp;""="","Outro",INDEX(Avulsos!$D$6:$D$205,$C1526))))</f>
        <v/>
      </c>
      <c r="J1526" s="114" t="str">
        <f aca="false">IF($E1526="","",IF($B1526="Tema",INDEX(Temas!$C$6:$C$305,$C1526)&amp;"",INDEX(Avulsos!$E$6:$E$205,$C1526)&amp;""))</f>
        <v/>
      </c>
      <c r="K1526" s="114" t="str">
        <f aca="false">IF($E1526="","",IF(IF($B1526="Tema",INDEX(Temas!$E$6:$P$305,$C1526,2*$D1526),INDEX(Avulsos!$F$6:$F$205,$C1526))&amp;""="","","✓"))</f>
        <v/>
      </c>
      <c r="L1526" s="114" t="str">
        <f aca="true">IF($E1526="","",IF($K1526="✓","Concluído",IF($E1526&lt;TODAY(),"Atrasado",IF($E1526=TODAY(),"Hoje","Pendente"))))</f>
        <v/>
      </c>
      <c r="M1526" s="114" t="str">
        <f aca="false">IF($E1526="","",IF($K1526="✓","✓ ","")&amp;IF(Config!$E$22="Sim",$H1526&amp;" · ","")&amp;$F1526)</f>
        <v/>
      </c>
      <c r="N1526" s="114" t="str">
        <f aca="false">IF($E1526="","",IFERROR(INDEX(Config!$D$15:$D$19,MATCH($I1526,Config!$C$15:$C$19,0)),"OUT")&amp;IF($K1526="✓","x",""))</f>
        <v/>
      </c>
      <c r="O1526" s="114" t="str">
        <f aca="false">IF($E1526="","",COUNTIF($E$5:$E1526,$E1526))</f>
        <v/>
      </c>
      <c r="P1526" s="114" t="str">
        <f aca="false">IF($E1526="","",$E1526*100+$O1526)</f>
        <v/>
      </c>
      <c r="Q1526" s="114" t="str">
        <f aca="false">IF($L1526="Atrasado",$E1526*10000+$A1526,"")</f>
        <v/>
      </c>
    </row>
    <row r="1527" customFormat="false" ht="15" hidden="false" customHeight="false" outlineLevel="0" collapsed="false">
      <c r="A1527" s="114" t="n">
        <f aca="false">ROW()-4</f>
        <v>1523</v>
      </c>
      <c r="B1527" s="114" t="str">
        <f aca="false">IF(A1527&lt;=Config!$E$27*Config!$E$28,"Tema","Avulso")</f>
        <v>Tema</v>
      </c>
      <c r="C1527" s="114" t="n">
        <f aca="false">IF(B1527="Tema",INT((A1527-1)/Config!$E$28)+1,A1527-Config!$E$27*Config!$E$28)</f>
        <v>254</v>
      </c>
      <c r="D1527" s="114" t="n">
        <f aca="false">IF(B1527="Tema",MOD(A1527-1,Config!$E$28)+1,"")</f>
        <v>5</v>
      </c>
      <c r="E1527" s="115" t="str">
        <f aca="false">IF($B1527="Tema",IF(ISNUMBER(INDEX(Temas!$E$6:$P$305,$C1527,2*$D1527-1)),INDEX(Temas!$E$6:$P$305,$C1527,2*$D1527-1),""),IF(ISNUMBER(INDEX(Avulsos!$B$6:$B$205,$C1527)),INDEX(Avulsos!$B$6:$B$205,$C1527),""))</f>
        <v/>
      </c>
      <c r="F1527" s="114" t="str">
        <f aca="false">IF($E1527="","",IF($B1527="Tema",INDEX(Temas!$B$6:$B$305,$C1527)&amp;"",INDEX(Avulsos!$C$6:$C$205,$C1527)&amp;""))</f>
        <v/>
      </c>
      <c r="G1527" s="114" t="str">
        <f aca="false">IF($E1527="","",IF($B1527="Tema",INDEX(Config!$C$6:$C$11,$D1527),"Evento avulso"))</f>
        <v/>
      </c>
      <c r="H1527" s="114" t="str">
        <f aca="false">IF($E1527="","",IF($B1527="Tema",INDEX(Config!$D$6:$D$11,$D1527),IFERROR(INDEX(Config!$E$15:$E$19,MATCH($I1527,Config!$C$15:$C$19,0)),"•")))</f>
        <v/>
      </c>
      <c r="I1527" s="114" t="str">
        <f aca="false">IF($E1527="","",IF($B1527="Tema",INDEX(Config!$E$6:$E$11,$D1527),IF(INDEX(Avulsos!$D$6:$D$205,$C1527)&amp;""="","Outro",INDEX(Avulsos!$D$6:$D$205,$C1527))))</f>
        <v/>
      </c>
      <c r="J1527" s="114" t="str">
        <f aca="false">IF($E1527="","",IF($B1527="Tema",INDEX(Temas!$C$6:$C$305,$C1527)&amp;"",INDEX(Avulsos!$E$6:$E$205,$C1527)&amp;""))</f>
        <v/>
      </c>
      <c r="K1527" s="114" t="str">
        <f aca="false">IF($E1527="","",IF(IF($B1527="Tema",INDEX(Temas!$E$6:$P$305,$C1527,2*$D1527),INDEX(Avulsos!$F$6:$F$205,$C1527))&amp;""="","","✓"))</f>
        <v/>
      </c>
      <c r="L1527" s="114" t="str">
        <f aca="true">IF($E1527="","",IF($K1527="✓","Concluído",IF($E1527&lt;TODAY(),"Atrasado",IF($E1527=TODAY(),"Hoje","Pendente"))))</f>
        <v/>
      </c>
      <c r="M1527" s="114" t="str">
        <f aca="false">IF($E1527="","",IF($K1527="✓","✓ ","")&amp;IF(Config!$E$22="Sim",$H1527&amp;" · ","")&amp;$F1527)</f>
        <v/>
      </c>
      <c r="N1527" s="114" t="str">
        <f aca="false">IF($E1527="","",IFERROR(INDEX(Config!$D$15:$D$19,MATCH($I1527,Config!$C$15:$C$19,0)),"OUT")&amp;IF($K1527="✓","x",""))</f>
        <v/>
      </c>
      <c r="O1527" s="114" t="str">
        <f aca="false">IF($E1527="","",COUNTIF($E$5:$E1527,$E1527))</f>
        <v/>
      </c>
      <c r="P1527" s="114" t="str">
        <f aca="false">IF($E1527="","",$E1527*100+$O1527)</f>
        <v/>
      </c>
      <c r="Q1527" s="114" t="str">
        <f aca="false">IF($L1527="Atrasado",$E1527*10000+$A1527,"")</f>
        <v/>
      </c>
    </row>
    <row r="1528" customFormat="false" ht="15" hidden="false" customHeight="false" outlineLevel="0" collapsed="false">
      <c r="A1528" s="114" t="n">
        <f aca="false">ROW()-4</f>
        <v>1524</v>
      </c>
      <c r="B1528" s="114" t="str">
        <f aca="false">IF(A1528&lt;=Config!$E$27*Config!$E$28,"Tema","Avulso")</f>
        <v>Tema</v>
      </c>
      <c r="C1528" s="114" t="n">
        <f aca="false">IF(B1528="Tema",INT((A1528-1)/Config!$E$28)+1,A1528-Config!$E$27*Config!$E$28)</f>
        <v>254</v>
      </c>
      <c r="D1528" s="114" t="n">
        <f aca="false">IF(B1528="Tema",MOD(A1528-1,Config!$E$28)+1,"")</f>
        <v>6</v>
      </c>
      <c r="E1528" s="115" t="str">
        <f aca="false">IF($B1528="Tema",IF(ISNUMBER(INDEX(Temas!$E$6:$P$305,$C1528,2*$D1528-1)),INDEX(Temas!$E$6:$P$305,$C1528,2*$D1528-1),""),IF(ISNUMBER(INDEX(Avulsos!$B$6:$B$205,$C1528)),INDEX(Avulsos!$B$6:$B$205,$C1528),""))</f>
        <v/>
      </c>
      <c r="F1528" s="114" t="str">
        <f aca="false">IF($E1528="","",IF($B1528="Tema",INDEX(Temas!$B$6:$B$305,$C1528)&amp;"",INDEX(Avulsos!$C$6:$C$205,$C1528)&amp;""))</f>
        <v/>
      </c>
      <c r="G1528" s="114" t="str">
        <f aca="false">IF($E1528="","",IF($B1528="Tema",INDEX(Config!$C$6:$C$11,$D1528),"Evento avulso"))</f>
        <v/>
      </c>
      <c r="H1528" s="114" t="str">
        <f aca="false">IF($E1528="","",IF($B1528="Tema",INDEX(Config!$D$6:$D$11,$D1528),IFERROR(INDEX(Config!$E$15:$E$19,MATCH($I1528,Config!$C$15:$C$19,0)),"•")))</f>
        <v/>
      </c>
      <c r="I1528" s="114" t="str">
        <f aca="false">IF($E1528="","",IF($B1528="Tema",INDEX(Config!$E$6:$E$11,$D1528),IF(INDEX(Avulsos!$D$6:$D$205,$C1528)&amp;""="","Outro",INDEX(Avulsos!$D$6:$D$205,$C1528))))</f>
        <v/>
      </c>
      <c r="J1528" s="114" t="str">
        <f aca="false">IF($E1528="","",IF($B1528="Tema",INDEX(Temas!$C$6:$C$305,$C1528)&amp;"",INDEX(Avulsos!$E$6:$E$205,$C1528)&amp;""))</f>
        <v/>
      </c>
      <c r="K1528" s="114" t="str">
        <f aca="false">IF($E1528="","",IF(IF($B1528="Tema",INDEX(Temas!$E$6:$P$305,$C1528,2*$D1528),INDEX(Avulsos!$F$6:$F$205,$C1528))&amp;""="","","✓"))</f>
        <v/>
      </c>
      <c r="L1528" s="114" t="str">
        <f aca="true">IF($E1528="","",IF($K1528="✓","Concluído",IF($E1528&lt;TODAY(),"Atrasado",IF($E1528=TODAY(),"Hoje","Pendente"))))</f>
        <v/>
      </c>
      <c r="M1528" s="114" t="str">
        <f aca="false">IF($E1528="","",IF($K1528="✓","✓ ","")&amp;IF(Config!$E$22="Sim",$H1528&amp;" · ","")&amp;$F1528)</f>
        <v/>
      </c>
      <c r="N1528" s="114" t="str">
        <f aca="false">IF($E1528="","",IFERROR(INDEX(Config!$D$15:$D$19,MATCH($I1528,Config!$C$15:$C$19,0)),"OUT")&amp;IF($K1528="✓","x",""))</f>
        <v/>
      </c>
      <c r="O1528" s="114" t="str">
        <f aca="false">IF($E1528="","",COUNTIF($E$5:$E1528,$E1528))</f>
        <v/>
      </c>
      <c r="P1528" s="114" t="str">
        <f aca="false">IF($E1528="","",$E1528*100+$O1528)</f>
        <v/>
      </c>
      <c r="Q1528" s="114" t="str">
        <f aca="false">IF($L1528="Atrasado",$E1528*10000+$A1528,"")</f>
        <v/>
      </c>
    </row>
    <row r="1529" customFormat="false" ht="15" hidden="false" customHeight="false" outlineLevel="0" collapsed="false">
      <c r="A1529" s="114" t="n">
        <f aca="false">ROW()-4</f>
        <v>1525</v>
      </c>
      <c r="B1529" s="114" t="str">
        <f aca="false">IF(A1529&lt;=Config!$E$27*Config!$E$28,"Tema","Avulso")</f>
        <v>Tema</v>
      </c>
      <c r="C1529" s="114" t="n">
        <f aca="false">IF(B1529="Tema",INT((A1529-1)/Config!$E$28)+1,A1529-Config!$E$27*Config!$E$28)</f>
        <v>255</v>
      </c>
      <c r="D1529" s="114" t="n">
        <f aca="false">IF(B1529="Tema",MOD(A1529-1,Config!$E$28)+1,"")</f>
        <v>1</v>
      </c>
      <c r="E1529" s="115" t="str">
        <f aca="false">IF($B1529="Tema",IF(ISNUMBER(INDEX(Temas!$E$6:$P$305,$C1529,2*$D1529-1)),INDEX(Temas!$E$6:$P$305,$C1529,2*$D1529-1),""),IF(ISNUMBER(INDEX(Avulsos!$B$6:$B$205,$C1529)),INDEX(Avulsos!$B$6:$B$205,$C1529),""))</f>
        <v/>
      </c>
      <c r="F1529" s="114" t="str">
        <f aca="false">IF($E1529="","",IF($B1529="Tema",INDEX(Temas!$B$6:$B$305,$C1529)&amp;"",INDEX(Avulsos!$C$6:$C$205,$C1529)&amp;""))</f>
        <v/>
      </c>
      <c r="G1529" s="114" t="str">
        <f aca="false">IF($E1529="","",IF($B1529="Tema",INDEX(Config!$C$6:$C$11,$D1529),"Evento avulso"))</f>
        <v/>
      </c>
      <c r="H1529" s="114" t="str">
        <f aca="false">IF($E1529="","",IF($B1529="Tema",INDEX(Config!$D$6:$D$11,$D1529),IFERROR(INDEX(Config!$E$15:$E$19,MATCH($I1529,Config!$C$15:$C$19,0)),"•")))</f>
        <v/>
      </c>
      <c r="I1529" s="114" t="str">
        <f aca="false">IF($E1529="","",IF($B1529="Tema",INDEX(Config!$E$6:$E$11,$D1529),IF(INDEX(Avulsos!$D$6:$D$205,$C1529)&amp;""="","Outro",INDEX(Avulsos!$D$6:$D$205,$C1529))))</f>
        <v/>
      </c>
      <c r="J1529" s="114" t="str">
        <f aca="false">IF($E1529="","",IF($B1529="Tema",INDEX(Temas!$C$6:$C$305,$C1529)&amp;"",INDEX(Avulsos!$E$6:$E$205,$C1529)&amp;""))</f>
        <v/>
      </c>
      <c r="K1529" s="114" t="str">
        <f aca="false">IF($E1529="","",IF(IF($B1529="Tema",INDEX(Temas!$E$6:$P$305,$C1529,2*$D1529),INDEX(Avulsos!$F$6:$F$205,$C1529))&amp;""="","","✓"))</f>
        <v/>
      </c>
      <c r="L1529" s="114" t="str">
        <f aca="true">IF($E1529="","",IF($K1529="✓","Concluído",IF($E1529&lt;TODAY(),"Atrasado",IF($E1529=TODAY(),"Hoje","Pendente"))))</f>
        <v/>
      </c>
      <c r="M1529" s="114" t="str">
        <f aca="false">IF($E1529="","",IF($K1529="✓","✓ ","")&amp;IF(Config!$E$22="Sim",$H1529&amp;" · ","")&amp;$F1529)</f>
        <v/>
      </c>
      <c r="N1529" s="114" t="str">
        <f aca="false">IF($E1529="","",IFERROR(INDEX(Config!$D$15:$D$19,MATCH($I1529,Config!$C$15:$C$19,0)),"OUT")&amp;IF($K1529="✓","x",""))</f>
        <v/>
      </c>
      <c r="O1529" s="114" t="str">
        <f aca="false">IF($E1529="","",COUNTIF($E$5:$E1529,$E1529))</f>
        <v/>
      </c>
      <c r="P1529" s="114" t="str">
        <f aca="false">IF($E1529="","",$E1529*100+$O1529)</f>
        <v/>
      </c>
      <c r="Q1529" s="114" t="str">
        <f aca="false">IF($L1529="Atrasado",$E1529*10000+$A1529,"")</f>
        <v/>
      </c>
    </row>
    <row r="1530" customFormat="false" ht="15" hidden="false" customHeight="false" outlineLevel="0" collapsed="false">
      <c r="A1530" s="114" t="n">
        <f aca="false">ROW()-4</f>
        <v>1526</v>
      </c>
      <c r="B1530" s="114" t="str">
        <f aca="false">IF(A1530&lt;=Config!$E$27*Config!$E$28,"Tema","Avulso")</f>
        <v>Tema</v>
      </c>
      <c r="C1530" s="114" t="n">
        <f aca="false">IF(B1530="Tema",INT((A1530-1)/Config!$E$28)+1,A1530-Config!$E$27*Config!$E$28)</f>
        <v>255</v>
      </c>
      <c r="D1530" s="114" t="n">
        <f aca="false">IF(B1530="Tema",MOD(A1530-1,Config!$E$28)+1,"")</f>
        <v>2</v>
      </c>
      <c r="E1530" s="115" t="str">
        <f aca="false">IF($B1530="Tema",IF(ISNUMBER(INDEX(Temas!$E$6:$P$305,$C1530,2*$D1530-1)),INDEX(Temas!$E$6:$P$305,$C1530,2*$D1530-1),""),IF(ISNUMBER(INDEX(Avulsos!$B$6:$B$205,$C1530)),INDEX(Avulsos!$B$6:$B$205,$C1530),""))</f>
        <v/>
      </c>
      <c r="F1530" s="114" t="str">
        <f aca="false">IF($E1530="","",IF($B1530="Tema",INDEX(Temas!$B$6:$B$305,$C1530)&amp;"",INDEX(Avulsos!$C$6:$C$205,$C1530)&amp;""))</f>
        <v/>
      </c>
      <c r="G1530" s="114" t="str">
        <f aca="false">IF($E1530="","",IF($B1530="Tema",INDEX(Config!$C$6:$C$11,$D1530),"Evento avulso"))</f>
        <v/>
      </c>
      <c r="H1530" s="114" t="str">
        <f aca="false">IF($E1530="","",IF($B1530="Tema",INDEX(Config!$D$6:$D$11,$D1530),IFERROR(INDEX(Config!$E$15:$E$19,MATCH($I1530,Config!$C$15:$C$19,0)),"•")))</f>
        <v/>
      </c>
      <c r="I1530" s="114" t="str">
        <f aca="false">IF($E1530="","",IF($B1530="Tema",INDEX(Config!$E$6:$E$11,$D1530),IF(INDEX(Avulsos!$D$6:$D$205,$C1530)&amp;""="","Outro",INDEX(Avulsos!$D$6:$D$205,$C1530))))</f>
        <v/>
      </c>
      <c r="J1530" s="114" t="str">
        <f aca="false">IF($E1530="","",IF($B1530="Tema",INDEX(Temas!$C$6:$C$305,$C1530)&amp;"",INDEX(Avulsos!$E$6:$E$205,$C1530)&amp;""))</f>
        <v/>
      </c>
      <c r="K1530" s="114" t="str">
        <f aca="false">IF($E1530="","",IF(IF($B1530="Tema",INDEX(Temas!$E$6:$P$305,$C1530,2*$D1530),INDEX(Avulsos!$F$6:$F$205,$C1530))&amp;""="","","✓"))</f>
        <v/>
      </c>
      <c r="L1530" s="114" t="str">
        <f aca="true">IF($E1530="","",IF($K1530="✓","Concluído",IF($E1530&lt;TODAY(),"Atrasado",IF($E1530=TODAY(),"Hoje","Pendente"))))</f>
        <v/>
      </c>
      <c r="M1530" s="114" t="str">
        <f aca="false">IF($E1530="","",IF($K1530="✓","✓ ","")&amp;IF(Config!$E$22="Sim",$H1530&amp;" · ","")&amp;$F1530)</f>
        <v/>
      </c>
      <c r="N1530" s="114" t="str">
        <f aca="false">IF($E1530="","",IFERROR(INDEX(Config!$D$15:$D$19,MATCH($I1530,Config!$C$15:$C$19,0)),"OUT")&amp;IF($K1530="✓","x",""))</f>
        <v/>
      </c>
      <c r="O1530" s="114" t="str">
        <f aca="false">IF($E1530="","",COUNTIF($E$5:$E1530,$E1530))</f>
        <v/>
      </c>
      <c r="P1530" s="114" t="str">
        <f aca="false">IF($E1530="","",$E1530*100+$O1530)</f>
        <v/>
      </c>
      <c r="Q1530" s="114" t="str">
        <f aca="false">IF($L1530="Atrasado",$E1530*10000+$A1530,"")</f>
        <v/>
      </c>
    </row>
    <row r="1531" customFormat="false" ht="15" hidden="false" customHeight="false" outlineLevel="0" collapsed="false">
      <c r="A1531" s="114" t="n">
        <f aca="false">ROW()-4</f>
        <v>1527</v>
      </c>
      <c r="B1531" s="114" t="str">
        <f aca="false">IF(A1531&lt;=Config!$E$27*Config!$E$28,"Tema","Avulso")</f>
        <v>Tema</v>
      </c>
      <c r="C1531" s="114" t="n">
        <f aca="false">IF(B1531="Tema",INT((A1531-1)/Config!$E$28)+1,A1531-Config!$E$27*Config!$E$28)</f>
        <v>255</v>
      </c>
      <c r="D1531" s="114" t="n">
        <f aca="false">IF(B1531="Tema",MOD(A1531-1,Config!$E$28)+1,"")</f>
        <v>3</v>
      </c>
      <c r="E1531" s="115" t="str">
        <f aca="false">IF($B1531="Tema",IF(ISNUMBER(INDEX(Temas!$E$6:$P$305,$C1531,2*$D1531-1)),INDEX(Temas!$E$6:$P$305,$C1531,2*$D1531-1),""),IF(ISNUMBER(INDEX(Avulsos!$B$6:$B$205,$C1531)),INDEX(Avulsos!$B$6:$B$205,$C1531),""))</f>
        <v/>
      </c>
      <c r="F1531" s="114" t="str">
        <f aca="false">IF($E1531="","",IF($B1531="Tema",INDEX(Temas!$B$6:$B$305,$C1531)&amp;"",INDEX(Avulsos!$C$6:$C$205,$C1531)&amp;""))</f>
        <v/>
      </c>
      <c r="G1531" s="114" t="str">
        <f aca="false">IF($E1531="","",IF($B1531="Tema",INDEX(Config!$C$6:$C$11,$D1531),"Evento avulso"))</f>
        <v/>
      </c>
      <c r="H1531" s="114" t="str">
        <f aca="false">IF($E1531="","",IF($B1531="Tema",INDEX(Config!$D$6:$D$11,$D1531),IFERROR(INDEX(Config!$E$15:$E$19,MATCH($I1531,Config!$C$15:$C$19,0)),"•")))</f>
        <v/>
      </c>
      <c r="I1531" s="114" t="str">
        <f aca="false">IF($E1531="","",IF($B1531="Tema",INDEX(Config!$E$6:$E$11,$D1531),IF(INDEX(Avulsos!$D$6:$D$205,$C1531)&amp;""="","Outro",INDEX(Avulsos!$D$6:$D$205,$C1531))))</f>
        <v/>
      </c>
      <c r="J1531" s="114" t="str">
        <f aca="false">IF($E1531="","",IF($B1531="Tema",INDEX(Temas!$C$6:$C$305,$C1531)&amp;"",INDEX(Avulsos!$E$6:$E$205,$C1531)&amp;""))</f>
        <v/>
      </c>
      <c r="K1531" s="114" t="str">
        <f aca="false">IF($E1531="","",IF(IF($B1531="Tema",INDEX(Temas!$E$6:$P$305,$C1531,2*$D1531),INDEX(Avulsos!$F$6:$F$205,$C1531))&amp;""="","","✓"))</f>
        <v/>
      </c>
      <c r="L1531" s="114" t="str">
        <f aca="true">IF($E1531="","",IF($K1531="✓","Concluído",IF($E1531&lt;TODAY(),"Atrasado",IF($E1531=TODAY(),"Hoje","Pendente"))))</f>
        <v/>
      </c>
      <c r="M1531" s="114" t="str">
        <f aca="false">IF($E1531="","",IF($K1531="✓","✓ ","")&amp;IF(Config!$E$22="Sim",$H1531&amp;" · ","")&amp;$F1531)</f>
        <v/>
      </c>
      <c r="N1531" s="114" t="str">
        <f aca="false">IF($E1531="","",IFERROR(INDEX(Config!$D$15:$D$19,MATCH($I1531,Config!$C$15:$C$19,0)),"OUT")&amp;IF($K1531="✓","x",""))</f>
        <v/>
      </c>
      <c r="O1531" s="114" t="str">
        <f aca="false">IF($E1531="","",COUNTIF($E$5:$E1531,$E1531))</f>
        <v/>
      </c>
      <c r="P1531" s="114" t="str">
        <f aca="false">IF($E1531="","",$E1531*100+$O1531)</f>
        <v/>
      </c>
      <c r="Q1531" s="114" t="str">
        <f aca="false">IF($L1531="Atrasado",$E1531*10000+$A1531,"")</f>
        <v/>
      </c>
    </row>
    <row r="1532" customFormat="false" ht="15" hidden="false" customHeight="false" outlineLevel="0" collapsed="false">
      <c r="A1532" s="114" t="n">
        <f aca="false">ROW()-4</f>
        <v>1528</v>
      </c>
      <c r="B1532" s="114" t="str">
        <f aca="false">IF(A1532&lt;=Config!$E$27*Config!$E$28,"Tema","Avulso")</f>
        <v>Tema</v>
      </c>
      <c r="C1532" s="114" t="n">
        <f aca="false">IF(B1532="Tema",INT((A1532-1)/Config!$E$28)+1,A1532-Config!$E$27*Config!$E$28)</f>
        <v>255</v>
      </c>
      <c r="D1532" s="114" t="n">
        <f aca="false">IF(B1532="Tema",MOD(A1532-1,Config!$E$28)+1,"")</f>
        <v>4</v>
      </c>
      <c r="E1532" s="115" t="str">
        <f aca="false">IF($B1532="Tema",IF(ISNUMBER(INDEX(Temas!$E$6:$P$305,$C1532,2*$D1532-1)),INDEX(Temas!$E$6:$P$305,$C1532,2*$D1532-1),""),IF(ISNUMBER(INDEX(Avulsos!$B$6:$B$205,$C1532)),INDEX(Avulsos!$B$6:$B$205,$C1532),""))</f>
        <v/>
      </c>
      <c r="F1532" s="114" t="str">
        <f aca="false">IF($E1532="","",IF($B1532="Tema",INDEX(Temas!$B$6:$B$305,$C1532)&amp;"",INDEX(Avulsos!$C$6:$C$205,$C1532)&amp;""))</f>
        <v/>
      </c>
      <c r="G1532" s="114" t="str">
        <f aca="false">IF($E1532="","",IF($B1532="Tema",INDEX(Config!$C$6:$C$11,$D1532),"Evento avulso"))</f>
        <v/>
      </c>
      <c r="H1532" s="114" t="str">
        <f aca="false">IF($E1532="","",IF($B1532="Tema",INDEX(Config!$D$6:$D$11,$D1532),IFERROR(INDEX(Config!$E$15:$E$19,MATCH($I1532,Config!$C$15:$C$19,0)),"•")))</f>
        <v/>
      </c>
      <c r="I1532" s="114" t="str">
        <f aca="false">IF($E1532="","",IF($B1532="Tema",INDEX(Config!$E$6:$E$11,$D1532),IF(INDEX(Avulsos!$D$6:$D$205,$C1532)&amp;""="","Outro",INDEX(Avulsos!$D$6:$D$205,$C1532))))</f>
        <v/>
      </c>
      <c r="J1532" s="114" t="str">
        <f aca="false">IF($E1532="","",IF($B1532="Tema",INDEX(Temas!$C$6:$C$305,$C1532)&amp;"",INDEX(Avulsos!$E$6:$E$205,$C1532)&amp;""))</f>
        <v/>
      </c>
      <c r="K1532" s="114" t="str">
        <f aca="false">IF($E1532="","",IF(IF($B1532="Tema",INDEX(Temas!$E$6:$P$305,$C1532,2*$D1532),INDEX(Avulsos!$F$6:$F$205,$C1532))&amp;""="","","✓"))</f>
        <v/>
      </c>
      <c r="L1532" s="114" t="str">
        <f aca="true">IF($E1532="","",IF($K1532="✓","Concluído",IF($E1532&lt;TODAY(),"Atrasado",IF($E1532=TODAY(),"Hoje","Pendente"))))</f>
        <v/>
      </c>
      <c r="M1532" s="114" t="str">
        <f aca="false">IF($E1532="","",IF($K1532="✓","✓ ","")&amp;IF(Config!$E$22="Sim",$H1532&amp;" · ","")&amp;$F1532)</f>
        <v/>
      </c>
      <c r="N1532" s="114" t="str">
        <f aca="false">IF($E1532="","",IFERROR(INDEX(Config!$D$15:$D$19,MATCH($I1532,Config!$C$15:$C$19,0)),"OUT")&amp;IF($K1532="✓","x",""))</f>
        <v/>
      </c>
      <c r="O1532" s="114" t="str">
        <f aca="false">IF($E1532="","",COUNTIF($E$5:$E1532,$E1532))</f>
        <v/>
      </c>
      <c r="P1532" s="114" t="str">
        <f aca="false">IF($E1532="","",$E1532*100+$O1532)</f>
        <v/>
      </c>
      <c r="Q1532" s="114" t="str">
        <f aca="false">IF($L1532="Atrasado",$E1532*10000+$A1532,"")</f>
        <v/>
      </c>
    </row>
    <row r="1533" customFormat="false" ht="15" hidden="false" customHeight="false" outlineLevel="0" collapsed="false">
      <c r="A1533" s="114" t="n">
        <f aca="false">ROW()-4</f>
        <v>1529</v>
      </c>
      <c r="B1533" s="114" t="str">
        <f aca="false">IF(A1533&lt;=Config!$E$27*Config!$E$28,"Tema","Avulso")</f>
        <v>Tema</v>
      </c>
      <c r="C1533" s="114" t="n">
        <f aca="false">IF(B1533="Tema",INT((A1533-1)/Config!$E$28)+1,A1533-Config!$E$27*Config!$E$28)</f>
        <v>255</v>
      </c>
      <c r="D1533" s="114" t="n">
        <f aca="false">IF(B1533="Tema",MOD(A1533-1,Config!$E$28)+1,"")</f>
        <v>5</v>
      </c>
      <c r="E1533" s="115" t="str">
        <f aca="false">IF($B1533="Tema",IF(ISNUMBER(INDEX(Temas!$E$6:$P$305,$C1533,2*$D1533-1)),INDEX(Temas!$E$6:$P$305,$C1533,2*$D1533-1),""),IF(ISNUMBER(INDEX(Avulsos!$B$6:$B$205,$C1533)),INDEX(Avulsos!$B$6:$B$205,$C1533),""))</f>
        <v/>
      </c>
      <c r="F1533" s="114" t="str">
        <f aca="false">IF($E1533="","",IF($B1533="Tema",INDEX(Temas!$B$6:$B$305,$C1533)&amp;"",INDEX(Avulsos!$C$6:$C$205,$C1533)&amp;""))</f>
        <v/>
      </c>
      <c r="G1533" s="114" t="str">
        <f aca="false">IF($E1533="","",IF($B1533="Tema",INDEX(Config!$C$6:$C$11,$D1533),"Evento avulso"))</f>
        <v/>
      </c>
      <c r="H1533" s="114" t="str">
        <f aca="false">IF($E1533="","",IF($B1533="Tema",INDEX(Config!$D$6:$D$11,$D1533),IFERROR(INDEX(Config!$E$15:$E$19,MATCH($I1533,Config!$C$15:$C$19,0)),"•")))</f>
        <v/>
      </c>
      <c r="I1533" s="114" t="str">
        <f aca="false">IF($E1533="","",IF($B1533="Tema",INDEX(Config!$E$6:$E$11,$D1533),IF(INDEX(Avulsos!$D$6:$D$205,$C1533)&amp;""="","Outro",INDEX(Avulsos!$D$6:$D$205,$C1533))))</f>
        <v/>
      </c>
      <c r="J1533" s="114" t="str">
        <f aca="false">IF($E1533="","",IF($B1533="Tema",INDEX(Temas!$C$6:$C$305,$C1533)&amp;"",INDEX(Avulsos!$E$6:$E$205,$C1533)&amp;""))</f>
        <v/>
      </c>
      <c r="K1533" s="114" t="str">
        <f aca="false">IF($E1533="","",IF(IF($B1533="Tema",INDEX(Temas!$E$6:$P$305,$C1533,2*$D1533),INDEX(Avulsos!$F$6:$F$205,$C1533))&amp;""="","","✓"))</f>
        <v/>
      </c>
      <c r="L1533" s="114" t="str">
        <f aca="true">IF($E1533="","",IF($K1533="✓","Concluído",IF($E1533&lt;TODAY(),"Atrasado",IF($E1533=TODAY(),"Hoje","Pendente"))))</f>
        <v/>
      </c>
      <c r="M1533" s="114" t="str">
        <f aca="false">IF($E1533="","",IF($K1533="✓","✓ ","")&amp;IF(Config!$E$22="Sim",$H1533&amp;" · ","")&amp;$F1533)</f>
        <v/>
      </c>
      <c r="N1533" s="114" t="str">
        <f aca="false">IF($E1533="","",IFERROR(INDEX(Config!$D$15:$D$19,MATCH($I1533,Config!$C$15:$C$19,0)),"OUT")&amp;IF($K1533="✓","x",""))</f>
        <v/>
      </c>
      <c r="O1533" s="114" t="str">
        <f aca="false">IF($E1533="","",COUNTIF($E$5:$E1533,$E1533))</f>
        <v/>
      </c>
      <c r="P1533" s="114" t="str">
        <f aca="false">IF($E1533="","",$E1533*100+$O1533)</f>
        <v/>
      </c>
      <c r="Q1533" s="114" t="str">
        <f aca="false">IF($L1533="Atrasado",$E1533*10000+$A1533,"")</f>
        <v/>
      </c>
    </row>
    <row r="1534" customFormat="false" ht="15" hidden="false" customHeight="false" outlineLevel="0" collapsed="false">
      <c r="A1534" s="114" t="n">
        <f aca="false">ROW()-4</f>
        <v>1530</v>
      </c>
      <c r="B1534" s="114" t="str">
        <f aca="false">IF(A1534&lt;=Config!$E$27*Config!$E$28,"Tema","Avulso")</f>
        <v>Tema</v>
      </c>
      <c r="C1534" s="114" t="n">
        <f aca="false">IF(B1534="Tema",INT((A1534-1)/Config!$E$28)+1,A1534-Config!$E$27*Config!$E$28)</f>
        <v>255</v>
      </c>
      <c r="D1534" s="114" t="n">
        <f aca="false">IF(B1534="Tema",MOD(A1534-1,Config!$E$28)+1,"")</f>
        <v>6</v>
      </c>
      <c r="E1534" s="115" t="str">
        <f aca="false">IF($B1534="Tema",IF(ISNUMBER(INDEX(Temas!$E$6:$P$305,$C1534,2*$D1534-1)),INDEX(Temas!$E$6:$P$305,$C1534,2*$D1534-1),""),IF(ISNUMBER(INDEX(Avulsos!$B$6:$B$205,$C1534)),INDEX(Avulsos!$B$6:$B$205,$C1534),""))</f>
        <v/>
      </c>
      <c r="F1534" s="114" t="str">
        <f aca="false">IF($E1534="","",IF($B1534="Tema",INDEX(Temas!$B$6:$B$305,$C1534)&amp;"",INDEX(Avulsos!$C$6:$C$205,$C1534)&amp;""))</f>
        <v/>
      </c>
      <c r="G1534" s="114" t="str">
        <f aca="false">IF($E1534="","",IF($B1534="Tema",INDEX(Config!$C$6:$C$11,$D1534),"Evento avulso"))</f>
        <v/>
      </c>
      <c r="H1534" s="114" t="str">
        <f aca="false">IF($E1534="","",IF($B1534="Tema",INDEX(Config!$D$6:$D$11,$D1534),IFERROR(INDEX(Config!$E$15:$E$19,MATCH($I1534,Config!$C$15:$C$19,0)),"•")))</f>
        <v/>
      </c>
      <c r="I1534" s="114" t="str">
        <f aca="false">IF($E1534="","",IF($B1534="Tema",INDEX(Config!$E$6:$E$11,$D1534),IF(INDEX(Avulsos!$D$6:$D$205,$C1534)&amp;""="","Outro",INDEX(Avulsos!$D$6:$D$205,$C1534))))</f>
        <v/>
      </c>
      <c r="J1534" s="114" t="str">
        <f aca="false">IF($E1534="","",IF($B1534="Tema",INDEX(Temas!$C$6:$C$305,$C1534)&amp;"",INDEX(Avulsos!$E$6:$E$205,$C1534)&amp;""))</f>
        <v/>
      </c>
      <c r="K1534" s="114" t="str">
        <f aca="false">IF($E1534="","",IF(IF($B1534="Tema",INDEX(Temas!$E$6:$P$305,$C1534,2*$D1534),INDEX(Avulsos!$F$6:$F$205,$C1534))&amp;""="","","✓"))</f>
        <v/>
      </c>
      <c r="L1534" s="114" t="str">
        <f aca="true">IF($E1534="","",IF($K1534="✓","Concluído",IF($E1534&lt;TODAY(),"Atrasado",IF($E1534=TODAY(),"Hoje","Pendente"))))</f>
        <v/>
      </c>
      <c r="M1534" s="114" t="str">
        <f aca="false">IF($E1534="","",IF($K1534="✓","✓ ","")&amp;IF(Config!$E$22="Sim",$H1534&amp;" · ","")&amp;$F1534)</f>
        <v/>
      </c>
      <c r="N1534" s="114" t="str">
        <f aca="false">IF($E1534="","",IFERROR(INDEX(Config!$D$15:$D$19,MATCH($I1534,Config!$C$15:$C$19,0)),"OUT")&amp;IF($K1534="✓","x",""))</f>
        <v/>
      </c>
      <c r="O1534" s="114" t="str">
        <f aca="false">IF($E1534="","",COUNTIF($E$5:$E1534,$E1534))</f>
        <v/>
      </c>
      <c r="P1534" s="114" t="str">
        <f aca="false">IF($E1534="","",$E1534*100+$O1534)</f>
        <v/>
      </c>
      <c r="Q1534" s="114" t="str">
        <f aca="false">IF($L1534="Atrasado",$E1534*10000+$A1534,"")</f>
        <v/>
      </c>
    </row>
    <row r="1535" customFormat="false" ht="15" hidden="false" customHeight="false" outlineLevel="0" collapsed="false">
      <c r="A1535" s="114" t="n">
        <f aca="false">ROW()-4</f>
        <v>1531</v>
      </c>
      <c r="B1535" s="114" t="str">
        <f aca="false">IF(A1535&lt;=Config!$E$27*Config!$E$28,"Tema","Avulso")</f>
        <v>Tema</v>
      </c>
      <c r="C1535" s="114" t="n">
        <f aca="false">IF(B1535="Tema",INT((A1535-1)/Config!$E$28)+1,A1535-Config!$E$27*Config!$E$28)</f>
        <v>256</v>
      </c>
      <c r="D1535" s="114" t="n">
        <f aca="false">IF(B1535="Tema",MOD(A1535-1,Config!$E$28)+1,"")</f>
        <v>1</v>
      </c>
      <c r="E1535" s="115" t="str">
        <f aca="false">IF($B1535="Tema",IF(ISNUMBER(INDEX(Temas!$E$6:$P$305,$C1535,2*$D1535-1)),INDEX(Temas!$E$6:$P$305,$C1535,2*$D1535-1),""),IF(ISNUMBER(INDEX(Avulsos!$B$6:$B$205,$C1535)),INDEX(Avulsos!$B$6:$B$205,$C1535),""))</f>
        <v/>
      </c>
      <c r="F1535" s="114" t="str">
        <f aca="false">IF($E1535="","",IF($B1535="Tema",INDEX(Temas!$B$6:$B$305,$C1535)&amp;"",INDEX(Avulsos!$C$6:$C$205,$C1535)&amp;""))</f>
        <v/>
      </c>
      <c r="G1535" s="114" t="str">
        <f aca="false">IF($E1535="","",IF($B1535="Tema",INDEX(Config!$C$6:$C$11,$D1535),"Evento avulso"))</f>
        <v/>
      </c>
      <c r="H1535" s="114" t="str">
        <f aca="false">IF($E1535="","",IF($B1535="Tema",INDEX(Config!$D$6:$D$11,$D1535),IFERROR(INDEX(Config!$E$15:$E$19,MATCH($I1535,Config!$C$15:$C$19,0)),"•")))</f>
        <v/>
      </c>
      <c r="I1535" s="114" t="str">
        <f aca="false">IF($E1535="","",IF($B1535="Tema",INDEX(Config!$E$6:$E$11,$D1535),IF(INDEX(Avulsos!$D$6:$D$205,$C1535)&amp;""="","Outro",INDEX(Avulsos!$D$6:$D$205,$C1535))))</f>
        <v/>
      </c>
      <c r="J1535" s="114" t="str">
        <f aca="false">IF($E1535="","",IF($B1535="Tema",INDEX(Temas!$C$6:$C$305,$C1535)&amp;"",INDEX(Avulsos!$E$6:$E$205,$C1535)&amp;""))</f>
        <v/>
      </c>
      <c r="K1535" s="114" t="str">
        <f aca="false">IF($E1535="","",IF(IF($B1535="Tema",INDEX(Temas!$E$6:$P$305,$C1535,2*$D1535),INDEX(Avulsos!$F$6:$F$205,$C1535))&amp;""="","","✓"))</f>
        <v/>
      </c>
      <c r="L1535" s="114" t="str">
        <f aca="true">IF($E1535="","",IF($K1535="✓","Concluído",IF($E1535&lt;TODAY(),"Atrasado",IF($E1535=TODAY(),"Hoje","Pendente"))))</f>
        <v/>
      </c>
      <c r="M1535" s="114" t="str">
        <f aca="false">IF($E1535="","",IF($K1535="✓","✓ ","")&amp;IF(Config!$E$22="Sim",$H1535&amp;" · ","")&amp;$F1535)</f>
        <v/>
      </c>
      <c r="N1535" s="114" t="str">
        <f aca="false">IF($E1535="","",IFERROR(INDEX(Config!$D$15:$D$19,MATCH($I1535,Config!$C$15:$C$19,0)),"OUT")&amp;IF($K1535="✓","x",""))</f>
        <v/>
      </c>
      <c r="O1535" s="114" t="str">
        <f aca="false">IF($E1535="","",COUNTIF($E$5:$E1535,$E1535))</f>
        <v/>
      </c>
      <c r="P1535" s="114" t="str">
        <f aca="false">IF($E1535="","",$E1535*100+$O1535)</f>
        <v/>
      </c>
      <c r="Q1535" s="114" t="str">
        <f aca="false">IF($L1535="Atrasado",$E1535*10000+$A1535,"")</f>
        <v/>
      </c>
    </row>
    <row r="1536" customFormat="false" ht="15" hidden="false" customHeight="false" outlineLevel="0" collapsed="false">
      <c r="A1536" s="114" t="n">
        <f aca="false">ROW()-4</f>
        <v>1532</v>
      </c>
      <c r="B1536" s="114" t="str">
        <f aca="false">IF(A1536&lt;=Config!$E$27*Config!$E$28,"Tema","Avulso")</f>
        <v>Tema</v>
      </c>
      <c r="C1536" s="114" t="n">
        <f aca="false">IF(B1536="Tema",INT((A1536-1)/Config!$E$28)+1,A1536-Config!$E$27*Config!$E$28)</f>
        <v>256</v>
      </c>
      <c r="D1536" s="114" t="n">
        <f aca="false">IF(B1536="Tema",MOD(A1536-1,Config!$E$28)+1,"")</f>
        <v>2</v>
      </c>
      <c r="E1536" s="115" t="str">
        <f aca="false">IF($B1536="Tema",IF(ISNUMBER(INDEX(Temas!$E$6:$P$305,$C1536,2*$D1536-1)),INDEX(Temas!$E$6:$P$305,$C1536,2*$D1536-1),""),IF(ISNUMBER(INDEX(Avulsos!$B$6:$B$205,$C1536)),INDEX(Avulsos!$B$6:$B$205,$C1536),""))</f>
        <v/>
      </c>
      <c r="F1536" s="114" t="str">
        <f aca="false">IF($E1536="","",IF($B1536="Tema",INDEX(Temas!$B$6:$B$305,$C1536)&amp;"",INDEX(Avulsos!$C$6:$C$205,$C1536)&amp;""))</f>
        <v/>
      </c>
      <c r="G1536" s="114" t="str">
        <f aca="false">IF($E1536="","",IF($B1536="Tema",INDEX(Config!$C$6:$C$11,$D1536),"Evento avulso"))</f>
        <v/>
      </c>
      <c r="H1536" s="114" t="str">
        <f aca="false">IF($E1536="","",IF($B1536="Tema",INDEX(Config!$D$6:$D$11,$D1536),IFERROR(INDEX(Config!$E$15:$E$19,MATCH($I1536,Config!$C$15:$C$19,0)),"•")))</f>
        <v/>
      </c>
      <c r="I1536" s="114" t="str">
        <f aca="false">IF($E1536="","",IF($B1536="Tema",INDEX(Config!$E$6:$E$11,$D1536),IF(INDEX(Avulsos!$D$6:$D$205,$C1536)&amp;""="","Outro",INDEX(Avulsos!$D$6:$D$205,$C1536))))</f>
        <v/>
      </c>
      <c r="J1536" s="114" t="str">
        <f aca="false">IF($E1536="","",IF($B1536="Tema",INDEX(Temas!$C$6:$C$305,$C1536)&amp;"",INDEX(Avulsos!$E$6:$E$205,$C1536)&amp;""))</f>
        <v/>
      </c>
      <c r="K1536" s="114" t="str">
        <f aca="false">IF($E1536="","",IF(IF($B1536="Tema",INDEX(Temas!$E$6:$P$305,$C1536,2*$D1536),INDEX(Avulsos!$F$6:$F$205,$C1536))&amp;""="","","✓"))</f>
        <v/>
      </c>
      <c r="L1536" s="114" t="str">
        <f aca="true">IF($E1536="","",IF($K1536="✓","Concluído",IF($E1536&lt;TODAY(),"Atrasado",IF($E1536=TODAY(),"Hoje","Pendente"))))</f>
        <v/>
      </c>
      <c r="M1536" s="114" t="str">
        <f aca="false">IF($E1536="","",IF($K1536="✓","✓ ","")&amp;IF(Config!$E$22="Sim",$H1536&amp;" · ","")&amp;$F1536)</f>
        <v/>
      </c>
      <c r="N1536" s="114" t="str">
        <f aca="false">IF($E1536="","",IFERROR(INDEX(Config!$D$15:$D$19,MATCH($I1536,Config!$C$15:$C$19,0)),"OUT")&amp;IF($K1536="✓","x",""))</f>
        <v/>
      </c>
      <c r="O1536" s="114" t="str">
        <f aca="false">IF($E1536="","",COUNTIF($E$5:$E1536,$E1536))</f>
        <v/>
      </c>
      <c r="P1536" s="114" t="str">
        <f aca="false">IF($E1536="","",$E1536*100+$O1536)</f>
        <v/>
      </c>
      <c r="Q1536" s="114" t="str">
        <f aca="false">IF($L1536="Atrasado",$E1536*10000+$A1536,"")</f>
        <v/>
      </c>
    </row>
    <row r="1537" customFormat="false" ht="15" hidden="false" customHeight="false" outlineLevel="0" collapsed="false">
      <c r="A1537" s="114" t="n">
        <f aca="false">ROW()-4</f>
        <v>1533</v>
      </c>
      <c r="B1537" s="114" t="str">
        <f aca="false">IF(A1537&lt;=Config!$E$27*Config!$E$28,"Tema","Avulso")</f>
        <v>Tema</v>
      </c>
      <c r="C1537" s="114" t="n">
        <f aca="false">IF(B1537="Tema",INT((A1537-1)/Config!$E$28)+1,A1537-Config!$E$27*Config!$E$28)</f>
        <v>256</v>
      </c>
      <c r="D1537" s="114" t="n">
        <f aca="false">IF(B1537="Tema",MOD(A1537-1,Config!$E$28)+1,"")</f>
        <v>3</v>
      </c>
      <c r="E1537" s="115" t="str">
        <f aca="false">IF($B1537="Tema",IF(ISNUMBER(INDEX(Temas!$E$6:$P$305,$C1537,2*$D1537-1)),INDEX(Temas!$E$6:$P$305,$C1537,2*$D1537-1),""),IF(ISNUMBER(INDEX(Avulsos!$B$6:$B$205,$C1537)),INDEX(Avulsos!$B$6:$B$205,$C1537),""))</f>
        <v/>
      </c>
      <c r="F1537" s="114" t="str">
        <f aca="false">IF($E1537="","",IF($B1537="Tema",INDEX(Temas!$B$6:$B$305,$C1537)&amp;"",INDEX(Avulsos!$C$6:$C$205,$C1537)&amp;""))</f>
        <v/>
      </c>
      <c r="G1537" s="114" t="str">
        <f aca="false">IF($E1537="","",IF($B1537="Tema",INDEX(Config!$C$6:$C$11,$D1537),"Evento avulso"))</f>
        <v/>
      </c>
      <c r="H1537" s="114" t="str">
        <f aca="false">IF($E1537="","",IF($B1537="Tema",INDEX(Config!$D$6:$D$11,$D1537),IFERROR(INDEX(Config!$E$15:$E$19,MATCH($I1537,Config!$C$15:$C$19,0)),"•")))</f>
        <v/>
      </c>
      <c r="I1537" s="114" t="str">
        <f aca="false">IF($E1537="","",IF($B1537="Tema",INDEX(Config!$E$6:$E$11,$D1537),IF(INDEX(Avulsos!$D$6:$D$205,$C1537)&amp;""="","Outro",INDEX(Avulsos!$D$6:$D$205,$C1537))))</f>
        <v/>
      </c>
      <c r="J1537" s="114" t="str">
        <f aca="false">IF($E1537="","",IF($B1537="Tema",INDEX(Temas!$C$6:$C$305,$C1537)&amp;"",INDEX(Avulsos!$E$6:$E$205,$C1537)&amp;""))</f>
        <v/>
      </c>
      <c r="K1537" s="114" t="str">
        <f aca="false">IF($E1537="","",IF(IF($B1537="Tema",INDEX(Temas!$E$6:$P$305,$C1537,2*$D1537),INDEX(Avulsos!$F$6:$F$205,$C1537))&amp;""="","","✓"))</f>
        <v/>
      </c>
      <c r="L1537" s="114" t="str">
        <f aca="true">IF($E1537="","",IF($K1537="✓","Concluído",IF($E1537&lt;TODAY(),"Atrasado",IF($E1537=TODAY(),"Hoje","Pendente"))))</f>
        <v/>
      </c>
      <c r="M1537" s="114" t="str">
        <f aca="false">IF($E1537="","",IF($K1537="✓","✓ ","")&amp;IF(Config!$E$22="Sim",$H1537&amp;" · ","")&amp;$F1537)</f>
        <v/>
      </c>
      <c r="N1537" s="114" t="str">
        <f aca="false">IF($E1537="","",IFERROR(INDEX(Config!$D$15:$D$19,MATCH($I1537,Config!$C$15:$C$19,0)),"OUT")&amp;IF($K1537="✓","x",""))</f>
        <v/>
      </c>
      <c r="O1537" s="114" t="str">
        <f aca="false">IF($E1537="","",COUNTIF($E$5:$E1537,$E1537))</f>
        <v/>
      </c>
      <c r="P1537" s="114" t="str">
        <f aca="false">IF($E1537="","",$E1537*100+$O1537)</f>
        <v/>
      </c>
      <c r="Q1537" s="114" t="str">
        <f aca="false">IF($L1537="Atrasado",$E1537*10000+$A1537,"")</f>
        <v/>
      </c>
    </row>
    <row r="1538" customFormat="false" ht="15" hidden="false" customHeight="false" outlineLevel="0" collapsed="false">
      <c r="A1538" s="114" t="n">
        <f aca="false">ROW()-4</f>
        <v>1534</v>
      </c>
      <c r="B1538" s="114" t="str">
        <f aca="false">IF(A1538&lt;=Config!$E$27*Config!$E$28,"Tema","Avulso")</f>
        <v>Tema</v>
      </c>
      <c r="C1538" s="114" t="n">
        <f aca="false">IF(B1538="Tema",INT((A1538-1)/Config!$E$28)+1,A1538-Config!$E$27*Config!$E$28)</f>
        <v>256</v>
      </c>
      <c r="D1538" s="114" t="n">
        <f aca="false">IF(B1538="Tema",MOD(A1538-1,Config!$E$28)+1,"")</f>
        <v>4</v>
      </c>
      <c r="E1538" s="115" t="str">
        <f aca="false">IF($B1538="Tema",IF(ISNUMBER(INDEX(Temas!$E$6:$P$305,$C1538,2*$D1538-1)),INDEX(Temas!$E$6:$P$305,$C1538,2*$D1538-1),""),IF(ISNUMBER(INDEX(Avulsos!$B$6:$B$205,$C1538)),INDEX(Avulsos!$B$6:$B$205,$C1538),""))</f>
        <v/>
      </c>
      <c r="F1538" s="114" t="str">
        <f aca="false">IF($E1538="","",IF($B1538="Tema",INDEX(Temas!$B$6:$B$305,$C1538)&amp;"",INDEX(Avulsos!$C$6:$C$205,$C1538)&amp;""))</f>
        <v/>
      </c>
      <c r="G1538" s="114" t="str">
        <f aca="false">IF($E1538="","",IF($B1538="Tema",INDEX(Config!$C$6:$C$11,$D1538),"Evento avulso"))</f>
        <v/>
      </c>
      <c r="H1538" s="114" t="str">
        <f aca="false">IF($E1538="","",IF($B1538="Tema",INDEX(Config!$D$6:$D$11,$D1538),IFERROR(INDEX(Config!$E$15:$E$19,MATCH($I1538,Config!$C$15:$C$19,0)),"•")))</f>
        <v/>
      </c>
      <c r="I1538" s="114" t="str">
        <f aca="false">IF($E1538="","",IF($B1538="Tema",INDEX(Config!$E$6:$E$11,$D1538),IF(INDEX(Avulsos!$D$6:$D$205,$C1538)&amp;""="","Outro",INDEX(Avulsos!$D$6:$D$205,$C1538))))</f>
        <v/>
      </c>
      <c r="J1538" s="114" t="str">
        <f aca="false">IF($E1538="","",IF($B1538="Tema",INDEX(Temas!$C$6:$C$305,$C1538)&amp;"",INDEX(Avulsos!$E$6:$E$205,$C1538)&amp;""))</f>
        <v/>
      </c>
      <c r="K1538" s="114" t="str">
        <f aca="false">IF($E1538="","",IF(IF($B1538="Tema",INDEX(Temas!$E$6:$P$305,$C1538,2*$D1538),INDEX(Avulsos!$F$6:$F$205,$C1538))&amp;""="","","✓"))</f>
        <v/>
      </c>
      <c r="L1538" s="114" t="str">
        <f aca="true">IF($E1538="","",IF($K1538="✓","Concluído",IF($E1538&lt;TODAY(),"Atrasado",IF($E1538=TODAY(),"Hoje","Pendente"))))</f>
        <v/>
      </c>
      <c r="M1538" s="114" t="str">
        <f aca="false">IF($E1538="","",IF($K1538="✓","✓ ","")&amp;IF(Config!$E$22="Sim",$H1538&amp;" · ","")&amp;$F1538)</f>
        <v/>
      </c>
      <c r="N1538" s="114" t="str">
        <f aca="false">IF($E1538="","",IFERROR(INDEX(Config!$D$15:$D$19,MATCH($I1538,Config!$C$15:$C$19,0)),"OUT")&amp;IF($K1538="✓","x",""))</f>
        <v/>
      </c>
      <c r="O1538" s="114" t="str">
        <f aca="false">IF($E1538="","",COUNTIF($E$5:$E1538,$E1538))</f>
        <v/>
      </c>
      <c r="P1538" s="114" t="str">
        <f aca="false">IF($E1538="","",$E1538*100+$O1538)</f>
        <v/>
      </c>
      <c r="Q1538" s="114" t="str">
        <f aca="false">IF($L1538="Atrasado",$E1538*10000+$A1538,"")</f>
        <v/>
      </c>
    </row>
    <row r="1539" customFormat="false" ht="15" hidden="false" customHeight="false" outlineLevel="0" collapsed="false">
      <c r="A1539" s="114" t="n">
        <f aca="false">ROW()-4</f>
        <v>1535</v>
      </c>
      <c r="B1539" s="114" t="str">
        <f aca="false">IF(A1539&lt;=Config!$E$27*Config!$E$28,"Tema","Avulso")</f>
        <v>Tema</v>
      </c>
      <c r="C1539" s="114" t="n">
        <f aca="false">IF(B1539="Tema",INT((A1539-1)/Config!$E$28)+1,A1539-Config!$E$27*Config!$E$28)</f>
        <v>256</v>
      </c>
      <c r="D1539" s="114" t="n">
        <f aca="false">IF(B1539="Tema",MOD(A1539-1,Config!$E$28)+1,"")</f>
        <v>5</v>
      </c>
      <c r="E1539" s="115" t="str">
        <f aca="false">IF($B1539="Tema",IF(ISNUMBER(INDEX(Temas!$E$6:$P$305,$C1539,2*$D1539-1)),INDEX(Temas!$E$6:$P$305,$C1539,2*$D1539-1),""),IF(ISNUMBER(INDEX(Avulsos!$B$6:$B$205,$C1539)),INDEX(Avulsos!$B$6:$B$205,$C1539),""))</f>
        <v/>
      </c>
      <c r="F1539" s="114" t="str">
        <f aca="false">IF($E1539="","",IF($B1539="Tema",INDEX(Temas!$B$6:$B$305,$C1539)&amp;"",INDEX(Avulsos!$C$6:$C$205,$C1539)&amp;""))</f>
        <v/>
      </c>
      <c r="G1539" s="114" t="str">
        <f aca="false">IF($E1539="","",IF($B1539="Tema",INDEX(Config!$C$6:$C$11,$D1539),"Evento avulso"))</f>
        <v/>
      </c>
      <c r="H1539" s="114" t="str">
        <f aca="false">IF($E1539="","",IF($B1539="Tema",INDEX(Config!$D$6:$D$11,$D1539),IFERROR(INDEX(Config!$E$15:$E$19,MATCH($I1539,Config!$C$15:$C$19,0)),"•")))</f>
        <v/>
      </c>
      <c r="I1539" s="114" t="str">
        <f aca="false">IF($E1539="","",IF($B1539="Tema",INDEX(Config!$E$6:$E$11,$D1539),IF(INDEX(Avulsos!$D$6:$D$205,$C1539)&amp;""="","Outro",INDEX(Avulsos!$D$6:$D$205,$C1539))))</f>
        <v/>
      </c>
      <c r="J1539" s="114" t="str">
        <f aca="false">IF($E1539="","",IF($B1539="Tema",INDEX(Temas!$C$6:$C$305,$C1539)&amp;"",INDEX(Avulsos!$E$6:$E$205,$C1539)&amp;""))</f>
        <v/>
      </c>
      <c r="K1539" s="114" t="str">
        <f aca="false">IF($E1539="","",IF(IF($B1539="Tema",INDEX(Temas!$E$6:$P$305,$C1539,2*$D1539),INDEX(Avulsos!$F$6:$F$205,$C1539))&amp;""="","","✓"))</f>
        <v/>
      </c>
      <c r="L1539" s="114" t="str">
        <f aca="true">IF($E1539="","",IF($K1539="✓","Concluído",IF($E1539&lt;TODAY(),"Atrasado",IF($E1539=TODAY(),"Hoje","Pendente"))))</f>
        <v/>
      </c>
      <c r="M1539" s="114" t="str">
        <f aca="false">IF($E1539="","",IF($K1539="✓","✓ ","")&amp;IF(Config!$E$22="Sim",$H1539&amp;" · ","")&amp;$F1539)</f>
        <v/>
      </c>
      <c r="N1539" s="114" t="str">
        <f aca="false">IF($E1539="","",IFERROR(INDEX(Config!$D$15:$D$19,MATCH($I1539,Config!$C$15:$C$19,0)),"OUT")&amp;IF($K1539="✓","x",""))</f>
        <v/>
      </c>
      <c r="O1539" s="114" t="str">
        <f aca="false">IF($E1539="","",COUNTIF($E$5:$E1539,$E1539))</f>
        <v/>
      </c>
      <c r="P1539" s="114" t="str">
        <f aca="false">IF($E1539="","",$E1539*100+$O1539)</f>
        <v/>
      </c>
      <c r="Q1539" s="114" t="str">
        <f aca="false">IF($L1539="Atrasado",$E1539*10000+$A1539,"")</f>
        <v/>
      </c>
    </row>
    <row r="1540" customFormat="false" ht="15" hidden="false" customHeight="false" outlineLevel="0" collapsed="false">
      <c r="A1540" s="114" t="n">
        <f aca="false">ROW()-4</f>
        <v>1536</v>
      </c>
      <c r="B1540" s="114" t="str">
        <f aca="false">IF(A1540&lt;=Config!$E$27*Config!$E$28,"Tema","Avulso")</f>
        <v>Tema</v>
      </c>
      <c r="C1540" s="114" t="n">
        <f aca="false">IF(B1540="Tema",INT((A1540-1)/Config!$E$28)+1,A1540-Config!$E$27*Config!$E$28)</f>
        <v>256</v>
      </c>
      <c r="D1540" s="114" t="n">
        <f aca="false">IF(B1540="Tema",MOD(A1540-1,Config!$E$28)+1,"")</f>
        <v>6</v>
      </c>
      <c r="E1540" s="115" t="str">
        <f aca="false">IF($B1540="Tema",IF(ISNUMBER(INDEX(Temas!$E$6:$P$305,$C1540,2*$D1540-1)),INDEX(Temas!$E$6:$P$305,$C1540,2*$D1540-1),""),IF(ISNUMBER(INDEX(Avulsos!$B$6:$B$205,$C1540)),INDEX(Avulsos!$B$6:$B$205,$C1540),""))</f>
        <v/>
      </c>
      <c r="F1540" s="114" t="str">
        <f aca="false">IF($E1540="","",IF($B1540="Tema",INDEX(Temas!$B$6:$B$305,$C1540)&amp;"",INDEX(Avulsos!$C$6:$C$205,$C1540)&amp;""))</f>
        <v/>
      </c>
      <c r="G1540" s="114" t="str">
        <f aca="false">IF($E1540="","",IF($B1540="Tema",INDEX(Config!$C$6:$C$11,$D1540),"Evento avulso"))</f>
        <v/>
      </c>
      <c r="H1540" s="114" t="str">
        <f aca="false">IF($E1540="","",IF($B1540="Tema",INDEX(Config!$D$6:$D$11,$D1540),IFERROR(INDEX(Config!$E$15:$E$19,MATCH($I1540,Config!$C$15:$C$19,0)),"•")))</f>
        <v/>
      </c>
      <c r="I1540" s="114" t="str">
        <f aca="false">IF($E1540="","",IF($B1540="Tema",INDEX(Config!$E$6:$E$11,$D1540),IF(INDEX(Avulsos!$D$6:$D$205,$C1540)&amp;""="","Outro",INDEX(Avulsos!$D$6:$D$205,$C1540))))</f>
        <v/>
      </c>
      <c r="J1540" s="114" t="str">
        <f aca="false">IF($E1540="","",IF($B1540="Tema",INDEX(Temas!$C$6:$C$305,$C1540)&amp;"",INDEX(Avulsos!$E$6:$E$205,$C1540)&amp;""))</f>
        <v/>
      </c>
      <c r="K1540" s="114" t="str">
        <f aca="false">IF($E1540="","",IF(IF($B1540="Tema",INDEX(Temas!$E$6:$P$305,$C1540,2*$D1540),INDEX(Avulsos!$F$6:$F$205,$C1540))&amp;""="","","✓"))</f>
        <v/>
      </c>
      <c r="L1540" s="114" t="str">
        <f aca="true">IF($E1540="","",IF($K1540="✓","Concluído",IF($E1540&lt;TODAY(),"Atrasado",IF($E1540=TODAY(),"Hoje","Pendente"))))</f>
        <v/>
      </c>
      <c r="M1540" s="114" t="str">
        <f aca="false">IF($E1540="","",IF($K1540="✓","✓ ","")&amp;IF(Config!$E$22="Sim",$H1540&amp;" · ","")&amp;$F1540)</f>
        <v/>
      </c>
      <c r="N1540" s="114" t="str">
        <f aca="false">IF($E1540="","",IFERROR(INDEX(Config!$D$15:$D$19,MATCH($I1540,Config!$C$15:$C$19,0)),"OUT")&amp;IF($K1540="✓","x",""))</f>
        <v/>
      </c>
      <c r="O1540" s="114" t="str">
        <f aca="false">IF($E1540="","",COUNTIF($E$5:$E1540,$E1540))</f>
        <v/>
      </c>
      <c r="P1540" s="114" t="str">
        <f aca="false">IF($E1540="","",$E1540*100+$O1540)</f>
        <v/>
      </c>
      <c r="Q1540" s="114" t="str">
        <f aca="false">IF($L1540="Atrasado",$E1540*10000+$A1540,"")</f>
        <v/>
      </c>
    </row>
    <row r="1541" customFormat="false" ht="15" hidden="false" customHeight="false" outlineLevel="0" collapsed="false">
      <c r="A1541" s="114" t="n">
        <f aca="false">ROW()-4</f>
        <v>1537</v>
      </c>
      <c r="B1541" s="114" t="str">
        <f aca="false">IF(A1541&lt;=Config!$E$27*Config!$E$28,"Tema","Avulso")</f>
        <v>Tema</v>
      </c>
      <c r="C1541" s="114" t="n">
        <f aca="false">IF(B1541="Tema",INT((A1541-1)/Config!$E$28)+1,A1541-Config!$E$27*Config!$E$28)</f>
        <v>257</v>
      </c>
      <c r="D1541" s="114" t="n">
        <f aca="false">IF(B1541="Tema",MOD(A1541-1,Config!$E$28)+1,"")</f>
        <v>1</v>
      </c>
      <c r="E1541" s="115" t="str">
        <f aca="false">IF($B1541="Tema",IF(ISNUMBER(INDEX(Temas!$E$6:$P$305,$C1541,2*$D1541-1)),INDEX(Temas!$E$6:$P$305,$C1541,2*$D1541-1),""),IF(ISNUMBER(INDEX(Avulsos!$B$6:$B$205,$C1541)),INDEX(Avulsos!$B$6:$B$205,$C1541),""))</f>
        <v/>
      </c>
      <c r="F1541" s="114" t="str">
        <f aca="false">IF($E1541="","",IF($B1541="Tema",INDEX(Temas!$B$6:$B$305,$C1541)&amp;"",INDEX(Avulsos!$C$6:$C$205,$C1541)&amp;""))</f>
        <v/>
      </c>
      <c r="G1541" s="114" t="str">
        <f aca="false">IF($E1541="","",IF($B1541="Tema",INDEX(Config!$C$6:$C$11,$D1541),"Evento avulso"))</f>
        <v/>
      </c>
      <c r="H1541" s="114" t="str">
        <f aca="false">IF($E1541="","",IF($B1541="Tema",INDEX(Config!$D$6:$D$11,$D1541),IFERROR(INDEX(Config!$E$15:$E$19,MATCH($I1541,Config!$C$15:$C$19,0)),"•")))</f>
        <v/>
      </c>
      <c r="I1541" s="114" t="str">
        <f aca="false">IF($E1541="","",IF($B1541="Tema",INDEX(Config!$E$6:$E$11,$D1541),IF(INDEX(Avulsos!$D$6:$D$205,$C1541)&amp;""="","Outro",INDEX(Avulsos!$D$6:$D$205,$C1541))))</f>
        <v/>
      </c>
      <c r="J1541" s="114" t="str">
        <f aca="false">IF($E1541="","",IF($B1541="Tema",INDEX(Temas!$C$6:$C$305,$C1541)&amp;"",INDEX(Avulsos!$E$6:$E$205,$C1541)&amp;""))</f>
        <v/>
      </c>
      <c r="K1541" s="114" t="str">
        <f aca="false">IF($E1541="","",IF(IF($B1541="Tema",INDEX(Temas!$E$6:$P$305,$C1541,2*$D1541),INDEX(Avulsos!$F$6:$F$205,$C1541))&amp;""="","","✓"))</f>
        <v/>
      </c>
      <c r="L1541" s="114" t="str">
        <f aca="true">IF($E1541="","",IF($K1541="✓","Concluído",IF($E1541&lt;TODAY(),"Atrasado",IF($E1541=TODAY(),"Hoje","Pendente"))))</f>
        <v/>
      </c>
      <c r="M1541" s="114" t="str">
        <f aca="false">IF($E1541="","",IF($K1541="✓","✓ ","")&amp;IF(Config!$E$22="Sim",$H1541&amp;" · ","")&amp;$F1541)</f>
        <v/>
      </c>
      <c r="N1541" s="114" t="str">
        <f aca="false">IF($E1541="","",IFERROR(INDEX(Config!$D$15:$D$19,MATCH($I1541,Config!$C$15:$C$19,0)),"OUT")&amp;IF($K1541="✓","x",""))</f>
        <v/>
      </c>
      <c r="O1541" s="114" t="str">
        <f aca="false">IF($E1541="","",COUNTIF($E$5:$E1541,$E1541))</f>
        <v/>
      </c>
      <c r="P1541" s="114" t="str">
        <f aca="false">IF($E1541="","",$E1541*100+$O1541)</f>
        <v/>
      </c>
      <c r="Q1541" s="114" t="str">
        <f aca="false">IF($L1541="Atrasado",$E1541*10000+$A1541,"")</f>
        <v/>
      </c>
    </row>
    <row r="1542" customFormat="false" ht="15" hidden="false" customHeight="false" outlineLevel="0" collapsed="false">
      <c r="A1542" s="114" t="n">
        <f aca="false">ROW()-4</f>
        <v>1538</v>
      </c>
      <c r="B1542" s="114" t="str">
        <f aca="false">IF(A1542&lt;=Config!$E$27*Config!$E$28,"Tema","Avulso")</f>
        <v>Tema</v>
      </c>
      <c r="C1542" s="114" t="n">
        <f aca="false">IF(B1542="Tema",INT((A1542-1)/Config!$E$28)+1,A1542-Config!$E$27*Config!$E$28)</f>
        <v>257</v>
      </c>
      <c r="D1542" s="114" t="n">
        <f aca="false">IF(B1542="Tema",MOD(A1542-1,Config!$E$28)+1,"")</f>
        <v>2</v>
      </c>
      <c r="E1542" s="115" t="str">
        <f aca="false">IF($B1542="Tema",IF(ISNUMBER(INDEX(Temas!$E$6:$P$305,$C1542,2*$D1542-1)),INDEX(Temas!$E$6:$P$305,$C1542,2*$D1542-1),""),IF(ISNUMBER(INDEX(Avulsos!$B$6:$B$205,$C1542)),INDEX(Avulsos!$B$6:$B$205,$C1542),""))</f>
        <v/>
      </c>
      <c r="F1542" s="114" t="str">
        <f aca="false">IF($E1542="","",IF($B1542="Tema",INDEX(Temas!$B$6:$B$305,$C1542)&amp;"",INDEX(Avulsos!$C$6:$C$205,$C1542)&amp;""))</f>
        <v/>
      </c>
      <c r="G1542" s="114" t="str">
        <f aca="false">IF($E1542="","",IF($B1542="Tema",INDEX(Config!$C$6:$C$11,$D1542),"Evento avulso"))</f>
        <v/>
      </c>
      <c r="H1542" s="114" t="str">
        <f aca="false">IF($E1542="","",IF($B1542="Tema",INDEX(Config!$D$6:$D$11,$D1542),IFERROR(INDEX(Config!$E$15:$E$19,MATCH($I1542,Config!$C$15:$C$19,0)),"•")))</f>
        <v/>
      </c>
      <c r="I1542" s="114" t="str">
        <f aca="false">IF($E1542="","",IF($B1542="Tema",INDEX(Config!$E$6:$E$11,$D1542),IF(INDEX(Avulsos!$D$6:$D$205,$C1542)&amp;""="","Outro",INDEX(Avulsos!$D$6:$D$205,$C1542))))</f>
        <v/>
      </c>
      <c r="J1542" s="114" t="str">
        <f aca="false">IF($E1542="","",IF($B1542="Tema",INDEX(Temas!$C$6:$C$305,$C1542)&amp;"",INDEX(Avulsos!$E$6:$E$205,$C1542)&amp;""))</f>
        <v/>
      </c>
      <c r="K1542" s="114" t="str">
        <f aca="false">IF($E1542="","",IF(IF($B1542="Tema",INDEX(Temas!$E$6:$P$305,$C1542,2*$D1542),INDEX(Avulsos!$F$6:$F$205,$C1542))&amp;""="","","✓"))</f>
        <v/>
      </c>
      <c r="L1542" s="114" t="str">
        <f aca="true">IF($E1542="","",IF($K1542="✓","Concluído",IF($E1542&lt;TODAY(),"Atrasado",IF($E1542=TODAY(),"Hoje","Pendente"))))</f>
        <v/>
      </c>
      <c r="M1542" s="114" t="str">
        <f aca="false">IF($E1542="","",IF($K1542="✓","✓ ","")&amp;IF(Config!$E$22="Sim",$H1542&amp;" · ","")&amp;$F1542)</f>
        <v/>
      </c>
      <c r="N1542" s="114" t="str">
        <f aca="false">IF($E1542="","",IFERROR(INDEX(Config!$D$15:$D$19,MATCH($I1542,Config!$C$15:$C$19,0)),"OUT")&amp;IF($K1542="✓","x",""))</f>
        <v/>
      </c>
      <c r="O1542" s="114" t="str">
        <f aca="false">IF($E1542="","",COUNTIF($E$5:$E1542,$E1542))</f>
        <v/>
      </c>
      <c r="P1542" s="114" t="str">
        <f aca="false">IF($E1542="","",$E1542*100+$O1542)</f>
        <v/>
      </c>
      <c r="Q1542" s="114" t="str">
        <f aca="false">IF($L1542="Atrasado",$E1542*10000+$A1542,"")</f>
        <v/>
      </c>
    </row>
    <row r="1543" customFormat="false" ht="15" hidden="false" customHeight="false" outlineLevel="0" collapsed="false">
      <c r="A1543" s="114" t="n">
        <f aca="false">ROW()-4</f>
        <v>1539</v>
      </c>
      <c r="B1543" s="114" t="str">
        <f aca="false">IF(A1543&lt;=Config!$E$27*Config!$E$28,"Tema","Avulso")</f>
        <v>Tema</v>
      </c>
      <c r="C1543" s="114" t="n">
        <f aca="false">IF(B1543="Tema",INT((A1543-1)/Config!$E$28)+1,A1543-Config!$E$27*Config!$E$28)</f>
        <v>257</v>
      </c>
      <c r="D1543" s="114" t="n">
        <f aca="false">IF(B1543="Tema",MOD(A1543-1,Config!$E$28)+1,"")</f>
        <v>3</v>
      </c>
      <c r="E1543" s="115" t="str">
        <f aca="false">IF($B1543="Tema",IF(ISNUMBER(INDEX(Temas!$E$6:$P$305,$C1543,2*$D1543-1)),INDEX(Temas!$E$6:$P$305,$C1543,2*$D1543-1),""),IF(ISNUMBER(INDEX(Avulsos!$B$6:$B$205,$C1543)),INDEX(Avulsos!$B$6:$B$205,$C1543),""))</f>
        <v/>
      </c>
      <c r="F1543" s="114" t="str">
        <f aca="false">IF($E1543="","",IF($B1543="Tema",INDEX(Temas!$B$6:$B$305,$C1543)&amp;"",INDEX(Avulsos!$C$6:$C$205,$C1543)&amp;""))</f>
        <v/>
      </c>
      <c r="G1543" s="114" t="str">
        <f aca="false">IF($E1543="","",IF($B1543="Tema",INDEX(Config!$C$6:$C$11,$D1543),"Evento avulso"))</f>
        <v/>
      </c>
      <c r="H1543" s="114" t="str">
        <f aca="false">IF($E1543="","",IF($B1543="Tema",INDEX(Config!$D$6:$D$11,$D1543),IFERROR(INDEX(Config!$E$15:$E$19,MATCH($I1543,Config!$C$15:$C$19,0)),"•")))</f>
        <v/>
      </c>
      <c r="I1543" s="114" t="str">
        <f aca="false">IF($E1543="","",IF($B1543="Tema",INDEX(Config!$E$6:$E$11,$D1543),IF(INDEX(Avulsos!$D$6:$D$205,$C1543)&amp;""="","Outro",INDEX(Avulsos!$D$6:$D$205,$C1543))))</f>
        <v/>
      </c>
      <c r="J1543" s="114" t="str">
        <f aca="false">IF($E1543="","",IF($B1543="Tema",INDEX(Temas!$C$6:$C$305,$C1543)&amp;"",INDEX(Avulsos!$E$6:$E$205,$C1543)&amp;""))</f>
        <v/>
      </c>
      <c r="K1543" s="114" t="str">
        <f aca="false">IF($E1543="","",IF(IF($B1543="Tema",INDEX(Temas!$E$6:$P$305,$C1543,2*$D1543),INDEX(Avulsos!$F$6:$F$205,$C1543))&amp;""="","","✓"))</f>
        <v/>
      </c>
      <c r="L1543" s="114" t="str">
        <f aca="true">IF($E1543="","",IF($K1543="✓","Concluído",IF($E1543&lt;TODAY(),"Atrasado",IF($E1543=TODAY(),"Hoje","Pendente"))))</f>
        <v/>
      </c>
      <c r="M1543" s="114" t="str">
        <f aca="false">IF($E1543="","",IF($K1543="✓","✓ ","")&amp;IF(Config!$E$22="Sim",$H1543&amp;" · ","")&amp;$F1543)</f>
        <v/>
      </c>
      <c r="N1543" s="114" t="str">
        <f aca="false">IF($E1543="","",IFERROR(INDEX(Config!$D$15:$D$19,MATCH($I1543,Config!$C$15:$C$19,0)),"OUT")&amp;IF($K1543="✓","x",""))</f>
        <v/>
      </c>
      <c r="O1543" s="114" t="str">
        <f aca="false">IF($E1543="","",COUNTIF($E$5:$E1543,$E1543))</f>
        <v/>
      </c>
      <c r="P1543" s="114" t="str">
        <f aca="false">IF($E1543="","",$E1543*100+$O1543)</f>
        <v/>
      </c>
      <c r="Q1543" s="114" t="str">
        <f aca="false">IF($L1543="Atrasado",$E1543*10000+$A1543,"")</f>
        <v/>
      </c>
    </row>
    <row r="1544" customFormat="false" ht="15" hidden="false" customHeight="false" outlineLevel="0" collapsed="false">
      <c r="A1544" s="114" t="n">
        <f aca="false">ROW()-4</f>
        <v>1540</v>
      </c>
      <c r="B1544" s="114" t="str">
        <f aca="false">IF(A1544&lt;=Config!$E$27*Config!$E$28,"Tema","Avulso")</f>
        <v>Tema</v>
      </c>
      <c r="C1544" s="114" t="n">
        <f aca="false">IF(B1544="Tema",INT((A1544-1)/Config!$E$28)+1,A1544-Config!$E$27*Config!$E$28)</f>
        <v>257</v>
      </c>
      <c r="D1544" s="114" t="n">
        <f aca="false">IF(B1544="Tema",MOD(A1544-1,Config!$E$28)+1,"")</f>
        <v>4</v>
      </c>
      <c r="E1544" s="115" t="str">
        <f aca="false">IF($B1544="Tema",IF(ISNUMBER(INDEX(Temas!$E$6:$P$305,$C1544,2*$D1544-1)),INDEX(Temas!$E$6:$P$305,$C1544,2*$D1544-1),""),IF(ISNUMBER(INDEX(Avulsos!$B$6:$B$205,$C1544)),INDEX(Avulsos!$B$6:$B$205,$C1544),""))</f>
        <v/>
      </c>
      <c r="F1544" s="114" t="str">
        <f aca="false">IF($E1544="","",IF($B1544="Tema",INDEX(Temas!$B$6:$B$305,$C1544)&amp;"",INDEX(Avulsos!$C$6:$C$205,$C1544)&amp;""))</f>
        <v/>
      </c>
      <c r="G1544" s="114" t="str">
        <f aca="false">IF($E1544="","",IF($B1544="Tema",INDEX(Config!$C$6:$C$11,$D1544),"Evento avulso"))</f>
        <v/>
      </c>
      <c r="H1544" s="114" t="str">
        <f aca="false">IF($E1544="","",IF($B1544="Tema",INDEX(Config!$D$6:$D$11,$D1544),IFERROR(INDEX(Config!$E$15:$E$19,MATCH($I1544,Config!$C$15:$C$19,0)),"•")))</f>
        <v/>
      </c>
      <c r="I1544" s="114" t="str">
        <f aca="false">IF($E1544="","",IF($B1544="Tema",INDEX(Config!$E$6:$E$11,$D1544),IF(INDEX(Avulsos!$D$6:$D$205,$C1544)&amp;""="","Outro",INDEX(Avulsos!$D$6:$D$205,$C1544))))</f>
        <v/>
      </c>
      <c r="J1544" s="114" t="str">
        <f aca="false">IF($E1544="","",IF($B1544="Tema",INDEX(Temas!$C$6:$C$305,$C1544)&amp;"",INDEX(Avulsos!$E$6:$E$205,$C1544)&amp;""))</f>
        <v/>
      </c>
      <c r="K1544" s="114" t="str">
        <f aca="false">IF($E1544="","",IF(IF($B1544="Tema",INDEX(Temas!$E$6:$P$305,$C1544,2*$D1544),INDEX(Avulsos!$F$6:$F$205,$C1544))&amp;""="","","✓"))</f>
        <v/>
      </c>
      <c r="L1544" s="114" t="str">
        <f aca="true">IF($E1544="","",IF($K1544="✓","Concluído",IF($E1544&lt;TODAY(),"Atrasado",IF($E1544=TODAY(),"Hoje","Pendente"))))</f>
        <v/>
      </c>
      <c r="M1544" s="114" t="str">
        <f aca="false">IF($E1544="","",IF($K1544="✓","✓ ","")&amp;IF(Config!$E$22="Sim",$H1544&amp;" · ","")&amp;$F1544)</f>
        <v/>
      </c>
      <c r="N1544" s="114" t="str">
        <f aca="false">IF($E1544="","",IFERROR(INDEX(Config!$D$15:$D$19,MATCH($I1544,Config!$C$15:$C$19,0)),"OUT")&amp;IF($K1544="✓","x",""))</f>
        <v/>
      </c>
      <c r="O1544" s="114" t="str">
        <f aca="false">IF($E1544="","",COUNTIF($E$5:$E1544,$E1544))</f>
        <v/>
      </c>
      <c r="P1544" s="114" t="str">
        <f aca="false">IF($E1544="","",$E1544*100+$O1544)</f>
        <v/>
      </c>
      <c r="Q1544" s="114" t="str">
        <f aca="false">IF($L1544="Atrasado",$E1544*10000+$A1544,"")</f>
        <v/>
      </c>
    </row>
    <row r="1545" customFormat="false" ht="15" hidden="false" customHeight="false" outlineLevel="0" collapsed="false">
      <c r="A1545" s="114" t="n">
        <f aca="false">ROW()-4</f>
        <v>1541</v>
      </c>
      <c r="B1545" s="114" t="str">
        <f aca="false">IF(A1545&lt;=Config!$E$27*Config!$E$28,"Tema","Avulso")</f>
        <v>Tema</v>
      </c>
      <c r="C1545" s="114" t="n">
        <f aca="false">IF(B1545="Tema",INT((A1545-1)/Config!$E$28)+1,A1545-Config!$E$27*Config!$E$28)</f>
        <v>257</v>
      </c>
      <c r="D1545" s="114" t="n">
        <f aca="false">IF(B1545="Tema",MOD(A1545-1,Config!$E$28)+1,"")</f>
        <v>5</v>
      </c>
      <c r="E1545" s="115" t="str">
        <f aca="false">IF($B1545="Tema",IF(ISNUMBER(INDEX(Temas!$E$6:$P$305,$C1545,2*$D1545-1)),INDEX(Temas!$E$6:$P$305,$C1545,2*$D1545-1),""),IF(ISNUMBER(INDEX(Avulsos!$B$6:$B$205,$C1545)),INDEX(Avulsos!$B$6:$B$205,$C1545),""))</f>
        <v/>
      </c>
      <c r="F1545" s="114" t="str">
        <f aca="false">IF($E1545="","",IF($B1545="Tema",INDEX(Temas!$B$6:$B$305,$C1545)&amp;"",INDEX(Avulsos!$C$6:$C$205,$C1545)&amp;""))</f>
        <v/>
      </c>
      <c r="G1545" s="114" t="str">
        <f aca="false">IF($E1545="","",IF($B1545="Tema",INDEX(Config!$C$6:$C$11,$D1545),"Evento avulso"))</f>
        <v/>
      </c>
      <c r="H1545" s="114" t="str">
        <f aca="false">IF($E1545="","",IF($B1545="Tema",INDEX(Config!$D$6:$D$11,$D1545),IFERROR(INDEX(Config!$E$15:$E$19,MATCH($I1545,Config!$C$15:$C$19,0)),"•")))</f>
        <v/>
      </c>
      <c r="I1545" s="114" t="str">
        <f aca="false">IF($E1545="","",IF($B1545="Tema",INDEX(Config!$E$6:$E$11,$D1545),IF(INDEX(Avulsos!$D$6:$D$205,$C1545)&amp;""="","Outro",INDEX(Avulsos!$D$6:$D$205,$C1545))))</f>
        <v/>
      </c>
      <c r="J1545" s="114" t="str">
        <f aca="false">IF($E1545="","",IF($B1545="Tema",INDEX(Temas!$C$6:$C$305,$C1545)&amp;"",INDEX(Avulsos!$E$6:$E$205,$C1545)&amp;""))</f>
        <v/>
      </c>
      <c r="K1545" s="114" t="str">
        <f aca="false">IF($E1545="","",IF(IF($B1545="Tema",INDEX(Temas!$E$6:$P$305,$C1545,2*$D1545),INDEX(Avulsos!$F$6:$F$205,$C1545))&amp;""="","","✓"))</f>
        <v/>
      </c>
      <c r="L1545" s="114" t="str">
        <f aca="true">IF($E1545="","",IF($K1545="✓","Concluído",IF($E1545&lt;TODAY(),"Atrasado",IF($E1545=TODAY(),"Hoje","Pendente"))))</f>
        <v/>
      </c>
      <c r="M1545" s="114" t="str">
        <f aca="false">IF($E1545="","",IF($K1545="✓","✓ ","")&amp;IF(Config!$E$22="Sim",$H1545&amp;" · ","")&amp;$F1545)</f>
        <v/>
      </c>
      <c r="N1545" s="114" t="str">
        <f aca="false">IF($E1545="","",IFERROR(INDEX(Config!$D$15:$D$19,MATCH($I1545,Config!$C$15:$C$19,0)),"OUT")&amp;IF($K1545="✓","x",""))</f>
        <v/>
      </c>
      <c r="O1545" s="114" t="str">
        <f aca="false">IF($E1545="","",COUNTIF($E$5:$E1545,$E1545))</f>
        <v/>
      </c>
      <c r="P1545" s="114" t="str">
        <f aca="false">IF($E1545="","",$E1545*100+$O1545)</f>
        <v/>
      </c>
      <c r="Q1545" s="114" t="str">
        <f aca="false">IF($L1545="Atrasado",$E1545*10000+$A1545,"")</f>
        <v/>
      </c>
    </row>
    <row r="1546" customFormat="false" ht="15" hidden="false" customHeight="false" outlineLevel="0" collapsed="false">
      <c r="A1546" s="114" t="n">
        <f aca="false">ROW()-4</f>
        <v>1542</v>
      </c>
      <c r="B1546" s="114" t="str">
        <f aca="false">IF(A1546&lt;=Config!$E$27*Config!$E$28,"Tema","Avulso")</f>
        <v>Tema</v>
      </c>
      <c r="C1546" s="114" t="n">
        <f aca="false">IF(B1546="Tema",INT((A1546-1)/Config!$E$28)+1,A1546-Config!$E$27*Config!$E$28)</f>
        <v>257</v>
      </c>
      <c r="D1546" s="114" t="n">
        <f aca="false">IF(B1546="Tema",MOD(A1546-1,Config!$E$28)+1,"")</f>
        <v>6</v>
      </c>
      <c r="E1546" s="115" t="str">
        <f aca="false">IF($B1546="Tema",IF(ISNUMBER(INDEX(Temas!$E$6:$P$305,$C1546,2*$D1546-1)),INDEX(Temas!$E$6:$P$305,$C1546,2*$D1546-1),""),IF(ISNUMBER(INDEX(Avulsos!$B$6:$B$205,$C1546)),INDEX(Avulsos!$B$6:$B$205,$C1546),""))</f>
        <v/>
      </c>
      <c r="F1546" s="114" t="str">
        <f aca="false">IF($E1546="","",IF($B1546="Tema",INDEX(Temas!$B$6:$B$305,$C1546)&amp;"",INDEX(Avulsos!$C$6:$C$205,$C1546)&amp;""))</f>
        <v/>
      </c>
      <c r="G1546" s="114" t="str">
        <f aca="false">IF($E1546="","",IF($B1546="Tema",INDEX(Config!$C$6:$C$11,$D1546),"Evento avulso"))</f>
        <v/>
      </c>
      <c r="H1546" s="114" t="str">
        <f aca="false">IF($E1546="","",IF($B1546="Tema",INDEX(Config!$D$6:$D$11,$D1546),IFERROR(INDEX(Config!$E$15:$E$19,MATCH($I1546,Config!$C$15:$C$19,0)),"•")))</f>
        <v/>
      </c>
      <c r="I1546" s="114" t="str">
        <f aca="false">IF($E1546="","",IF($B1546="Tema",INDEX(Config!$E$6:$E$11,$D1546),IF(INDEX(Avulsos!$D$6:$D$205,$C1546)&amp;""="","Outro",INDEX(Avulsos!$D$6:$D$205,$C1546))))</f>
        <v/>
      </c>
      <c r="J1546" s="114" t="str">
        <f aca="false">IF($E1546="","",IF($B1546="Tema",INDEX(Temas!$C$6:$C$305,$C1546)&amp;"",INDEX(Avulsos!$E$6:$E$205,$C1546)&amp;""))</f>
        <v/>
      </c>
      <c r="K1546" s="114" t="str">
        <f aca="false">IF($E1546="","",IF(IF($B1546="Tema",INDEX(Temas!$E$6:$P$305,$C1546,2*$D1546),INDEX(Avulsos!$F$6:$F$205,$C1546))&amp;""="","","✓"))</f>
        <v/>
      </c>
      <c r="L1546" s="114" t="str">
        <f aca="true">IF($E1546="","",IF($K1546="✓","Concluído",IF($E1546&lt;TODAY(),"Atrasado",IF($E1546=TODAY(),"Hoje","Pendente"))))</f>
        <v/>
      </c>
      <c r="M1546" s="114" t="str">
        <f aca="false">IF($E1546="","",IF($K1546="✓","✓ ","")&amp;IF(Config!$E$22="Sim",$H1546&amp;" · ","")&amp;$F1546)</f>
        <v/>
      </c>
      <c r="N1546" s="114" t="str">
        <f aca="false">IF($E1546="","",IFERROR(INDEX(Config!$D$15:$D$19,MATCH($I1546,Config!$C$15:$C$19,0)),"OUT")&amp;IF($K1546="✓","x",""))</f>
        <v/>
      </c>
      <c r="O1546" s="114" t="str">
        <f aca="false">IF($E1546="","",COUNTIF($E$5:$E1546,$E1546))</f>
        <v/>
      </c>
      <c r="P1546" s="114" t="str">
        <f aca="false">IF($E1546="","",$E1546*100+$O1546)</f>
        <v/>
      </c>
      <c r="Q1546" s="114" t="str">
        <f aca="false">IF($L1546="Atrasado",$E1546*10000+$A1546,"")</f>
        <v/>
      </c>
    </row>
    <row r="1547" customFormat="false" ht="15" hidden="false" customHeight="false" outlineLevel="0" collapsed="false">
      <c r="A1547" s="114" t="n">
        <f aca="false">ROW()-4</f>
        <v>1543</v>
      </c>
      <c r="B1547" s="114" t="str">
        <f aca="false">IF(A1547&lt;=Config!$E$27*Config!$E$28,"Tema","Avulso")</f>
        <v>Tema</v>
      </c>
      <c r="C1547" s="114" t="n">
        <f aca="false">IF(B1547="Tema",INT((A1547-1)/Config!$E$28)+1,A1547-Config!$E$27*Config!$E$28)</f>
        <v>258</v>
      </c>
      <c r="D1547" s="114" t="n">
        <f aca="false">IF(B1547="Tema",MOD(A1547-1,Config!$E$28)+1,"")</f>
        <v>1</v>
      </c>
      <c r="E1547" s="115" t="str">
        <f aca="false">IF($B1547="Tema",IF(ISNUMBER(INDEX(Temas!$E$6:$P$305,$C1547,2*$D1547-1)),INDEX(Temas!$E$6:$P$305,$C1547,2*$D1547-1),""),IF(ISNUMBER(INDEX(Avulsos!$B$6:$B$205,$C1547)),INDEX(Avulsos!$B$6:$B$205,$C1547),""))</f>
        <v/>
      </c>
      <c r="F1547" s="114" t="str">
        <f aca="false">IF($E1547="","",IF($B1547="Tema",INDEX(Temas!$B$6:$B$305,$C1547)&amp;"",INDEX(Avulsos!$C$6:$C$205,$C1547)&amp;""))</f>
        <v/>
      </c>
      <c r="G1547" s="114" t="str">
        <f aca="false">IF($E1547="","",IF($B1547="Tema",INDEX(Config!$C$6:$C$11,$D1547),"Evento avulso"))</f>
        <v/>
      </c>
      <c r="H1547" s="114" t="str">
        <f aca="false">IF($E1547="","",IF($B1547="Tema",INDEX(Config!$D$6:$D$11,$D1547),IFERROR(INDEX(Config!$E$15:$E$19,MATCH($I1547,Config!$C$15:$C$19,0)),"•")))</f>
        <v/>
      </c>
      <c r="I1547" s="114" t="str">
        <f aca="false">IF($E1547="","",IF($B1547="Tema",INDEX(Config!$E$6:$E$11,$D1547),IF(INDEX(Avulsos!$D$6:$D$205,$C1547)&amp;""="","Outro",INDEX(Avulsos!$D$6:$D$205,$C1547))))</f>
        <v/>
      </c>
      <c r="J1547" s="114" t="str">
        <f aca="false">IF($E1547="","",IF($B1547="Tema",INDEX(Temas!$C$6:$C$305,$C1547)&amp;"",INDEX(Avulsos!$E$6:$E$205,$C1547)&amp;""))</f>
        <v/>
      </c>
      <c r="K1547" s="114" t="str">
        <f aca="false">IF($E1547="","",IF(IF($B1547="Tema",INDEX(Temas!$E$6:$P$305,$C1547,2*$D1547),INDEX(Avulsos!$F$6:$F$205,$C1547))&amp;""="","","✓"))</f>
        <v/>
      </c>
      <c r="L1547" s="114" t="str">
        <f aca="true">IF($E1547="","",IF($K1547="✓","Concluído",IF($E1547&lt;TODAY(),"Atrasado",IF($E1547=TODAY(),"Hoje","Pendente"))))</f>
        <v/>
      </c>
      <c r="M1547" s="114" t="str">
        <f aca="false">IF($E1547="","",IF($K1547="✓","✓ ","")&amp;IF(Config!$E$22="Sim",$H1547&amp;" · ","")&amp;$F1547)</f>
        <v/>
      </c>
      <c r="N1547" s="114" t="str">
        <f aca="false">IF($E1547="","",IFERROR(INDEX(Config!$D$15:$D$19,MATCH($I1547,Config!$C$15:$C$19,0)),"OUT")&amp;IF($K1547="✓","x",""))</f>
        <v/>
      </c>
      <c r="O1547" s="114" t="str">
        <f aca="false">IF($E1547="","",COUNTIF($E$5:$E1547,$E1547))</f>
        <v/>
      </c>
      <c r="P1547" s="114" t="str">
        <f aca="false">IF($E1547="","",$E1547*100+$O1547)</f>
        <v/>
      </c>
      <c r="Q1547" s="114" t="str">
        <f aca="false">IF($L1547="Atrasado",$E1547*10000+$A1547,"")</f>
        <v/>
      </c>
    </row>
    <row r="1548" customFormat="false" ht="15" hidden="false" customHeight="false" outlineLevel="0" collapsed="false">
      <c r="A1548" s="114" t="n">
        <f aca="false">ROW()-4</f>
        <v>1544</v>
      </c>
      <c r="B1548" s="114" t="str">
        <f aca="false">IF(A1548&lt;=Config!$E$27*Config!$E$28,"Tema","Avulso")</f>
        <v>Tema</v>
      </c>
      <c r="C1548" s="114" t="n">
        <f aca="false">IF(B1548="Tema",INT((A1548-1)/Config!$E$28)+1,A1548-Config!$E$27*Config!$E$28)</f>
        <v>258</v>
      </c>
      <c r="D1548" s="114" t="n">
        <f aca="false">IF(B1548="Tema",MOD(A1548-1,Config!$E$28)+1,"")</f>
        <v>2</v>
      </c>
      <c r="E1548" s="115" t="str">
        <f aca="false">IF($B1548="Tema",IF(ISNUMBER(INDEX(Temas!$E$6:$P$305,$C1548,2*$D1548-1)),INDEX(Temas!$E$6:$P$305,$C1548,2*$D1548-1),""),IF(ISNUMBER(INDEX(Avulsos!$B$6:$B$205,$C1548)),INDEX(Avulsos!$B$6:$B$205,$C1548),""))</f>
        <v/>
      </c>
      <c r="F1548" s="114" t="str">
        <f aca="false">IF($E1548="","",IF($B1548="Tema",INDEX(Temas!$B$6:$B$305,$C1548)&amp;"",INDEX(Avulsos!$C$6:$C$205,$C1548)&amp;""))</f>
        <v/>
      </c>
      <c r="G1548" s="114" t="str">
        <f aca="false">IF($E1548="","",IF($B1548="Tema",INDEX(Config!$C$6:$C$11,$D1548),"Evento avulso"))</f>
        <v/>
      </c>
      <c r="H1548" s="114" t="str">
        <f aca="false">IF($E1548="","",IF($B1548="Tema",INDEX(Config!$D$6:$D$11,$D1548),IFERROR(INDEX(Config!$E$15:$E$19,MATCH($I1548,Config!$C$15:$C$19,0)),"•")))</f>
        <v/>
      </c>
      <c r="I1548" s="114" t="str">
        <f aca="false">IF($E1548="","",IF($B1548="Tema",INDEX(Config!$E$6:$E$11,$D1548),IF(INDEX(Avulsos!$D$6:$D$205,$C1548)&amp;""="","Outro",INDEX(Avulsos!$D$6:$D$205,$C1548))))</f>
        <v/>
      </c>
      <c r="J1548" s="114" t="str">
        <f aca="false">IF($E1548="","",IF($B1548="Tema",INDEX(Temas!$C$6:$C$305,$C1548)&amp;"",INDEX(Avulsos!$E$6:$E$205,$C1548)&amp;""))</f>
        <v/>
      </c>
      <c r="K1548" s="114" t="str">
        <f aca="false">IF($E1548="","",IF(IF($B1548="Tema",INDEX(Temas!$E$6:$P$305,$C1548,2*$D1548),INDEX(Avulsos!$F$6:$F$205,$C1548))&amp;""="","","✓"))</f>
        <v/>
      </c>
      <c r="L1548" s="114" t="str">
        <f aca="true">IF($E1548="","",IF($K1548="✓","Concluído",IF($E1548&lt;TODAY(),"Atrasado",IF($E1548=TODAY(),"Hoje","Pendente"))))</f>
        <v/>
      </c>
      <c r="M1548" s="114" t="str">
        <f aca="false">IF($E1548="","",IF($K1548="✓","✓ ","")&amp;IF(Config!$E$22="Sim",$H1548&amp;" · ","")&amp;$F1548)</f>
        <v/>
      </c>
      <c r="N1548" s="114" t="str">
        <f aca="false">IF($E1548="","",IFERROR(INDEX(Config!$D$15:$D$19,MATCH($I1548,Config!$C$15:$C$19,0)),"OUT")&amp;IF($K1548="✓","x",""))</f>
        <v/>
      </c>
      <c r="O1548" s="114" t="str">
        <f aca="false">IF($E1548="","",COUNTIF($E$5:$E1548,$E1548))</f>
        <v/>
      </c>
      <c r="P1548" s="114" t="str">
        <f aca="false">IF($E1548="","",$E1548*100+$O1548)</f>
        <v/>
      </c>
      <c r="Q1548" s="114" t="str">
        <f aca="false">IF($L1548="Atrasado",$E1548*10000+$A1548,"")</f>
        <v/>
      </c>
    </row>
    <row r="1549" customFormat="false" ht="15" hidden="false" customHeight="false" outlineLevel="0" collapsed="false">
      <c r="A1549" s="114" t="n">
        <f aca="false">ROW()-4</f>
        <v>1545</v>
      </c>
      <c r="B1549" s="114" t="str">
        <f aca="false">IF(A1549&lt;=Config!$E$27*Config!$E$28,"Tema","Avulso")</f>
        <v>Tema</v>
      </c>
      <c r="C1549" s="114" t="n">
        <f aca="false">IF(B1549="Tema",INT((A1549-1)/Config!$E$28)+1,A1549-Config!$E$27*Config!$E$28)</f>
        <v>258</v>
      </c>
      <c r="D1549" s="114" t="n">
        <f aca="false">IF(B1549="Tema",MOD(A1549-1,Config!$E$28)+1,"")</f>
        <v>3</v>
      </c>
      <c r="E1549" s="115" t="str">
        <f aca="false">IF($B1549="Tema",IF(ISNUMBER(INDEX(Temas!$E$6:$P$305,$C1549,2*$D1549-1)),INDEX(Temas!$E$6:$P$305,$C1549,2*$D1549-1),""),IF(ISNUMBER(INDEX(Avulsos!$B$6:$B$205,$C1549)),INDEX(Avulsos!$B$6:$B$205,$C1549),""))</f>
        <v/>
      </c>
      <c r="F1549" s="114" t="str">
        <f aca="false">IF($E1549="","",IF($B1549="Tema",INDEX(Temas!$B$6:$B$305,$C1549)&amp;"",INDEX(Avulsos!$C$6:$C$205,$C1549)&amp;""))</f>
        <v/>
      </c>
      <c r="G1549" s="114" t="str">
        <f aca="false">IF($E1549="","",IF($B1549="Tema",INDEX(Config!$C$6:$C$11,$D1549),"Evento avulso"))</f>
        <v/>
      </c>
      <c r="H1549" s="114" t="str">
        <f aca="false">IF($E1549="","",IF($B1549="Tema",INDEX(Config!$D$6:$D$11,$D1549),IFERROR(INDEX(Config!$E$15:$E$19,MATCH($I1549,Config!$C$15:$C$19,0)),"•")))</f>
        <v/>
      </c>
      <c r="I1549" s="114" t="str">
        <f aca="false">IF($E1549="","",IF($B1549="Tema",INDEX(Config!$E$6:$E$11,$D1549),IF(INDEX(Avulsos!$D$6:$D$205,$C1549)&amp;""="","Outro",INDEX(Avulsos!$D$6:$D$205,$C1549))))</f>
        <v/>
      </c>
      <c r="J1549" s="114" t="str">
        <f aca="false">IF($E1549="","",IF($B1549="Tema",INDEX(Temas!$C$6:$C$305,$C1549)&amp;"",INDEX(Avulsos!$E$6:$E$205,$C1549)&amp;""))</f>
        <v/>
      </c>
      <c r="K1549" s="114" t="str">
        <f aca="false">IF($E1549="","",IF(IF($B1549="Tema",INDEX(Temas!$E$6:$P$305,$C1549,2*$D1549),INDEX(Avulsos!$F$6:$F$205,$C1549))&amp;""="","","✓"))</f>
        <v/>
      </c>
      <c r="L1549" s="114" t="str">
        <f aca="true">IF($E1549="","",IF($K1549="✓","Concluído",IF($E1549&lt;TODAY(),"Atrasado",IF($E1549=TODAY(),"Hoje","Pendente"))))</f>
        <v/>
      </c>
      <c r="M1549" s="114" t="str">
        <f aca="false">IF($E1549="","",IF($K1549="✓","✓ ","")&amp;IF(Config!$E$22="Sim",$H1549&amp;" · ","")&amp;$F1549)</f>
        <v/>
      </c>
      <c r="N1549" s="114" t="str">
        <f aca="false">IF($E1549="","",IFERROR(INDEX(Config!$D$15:$D$19,MATCH($I1549,Config!$C$15:$C$19,0)),"OUT")&amp;IF($K1549="✓","x",""))</f>
        <v/>
      </c>
      <c r="O1549" s="114" t="str">
        <f aca="false">IF($E1549="","",COUNTIF($E$5:$E1549,$E1549))</f>
        <v/>
      </c>
      <c r="P1549" s="114" t="str">
        <f aca="false">IF($E1549="","",$E1549*100+$O1549)</f>
        <v/>
      </c>
      <c r="Q1549" s="114" t="str">
        <f aca="false">IF($L1549="Atrasado",$E1549*10000+$A1549,"")</f>
        <v/>
      </c>
    </row>
    <row r="1550" customFormat="false" ht="15" hidden="false" customHeight="false" outlineLevel="0" collapsed="false">
      <c r="A1550" s="114" t="n">
        <f aca="false">ROW()-4</f>
        <v>1546</v>
      </c>
      <c r="B1550" s="114" t="str">
        <f aca="false">IF(A1550&lt;=Config!$E$27*Config!$E$28,"Tema","Avulso")</f>
        <v>Tema</v>
      </c>
      <c r="C1550" s="114" t="n">
        <f aca="false">IF(B1550="Tema",INT((A1550-1)/Config!$E$28)+1,A1550-Config!$E$27*Config!$E$28)</f>
        <v>258</v>
      </c>
      <c r="D1550" s="114" t="n">
        <f aca="false">IF(B1550="Tema",MOD(A1550-1,Config!$E$28)+1,"")</f>
        <v>4</v>
      </c>
      <c r="E1550" s="115" t="str">
        <f aca="false">IF($B1550="Tema",IF(ISNUMBER(INDEX(Temas!$E$6:$P$305,$C1550,2*$D1550-1)),INDEX(Temas!$E$6:$P$305,$C1550,2*$D1550-1),""),IF(ISNUMBER(INDEX(Avulsos!$B$6:$B$205,$C1550)),INDEX(Avulsos!$B$6:$B$205,$C1550),""))</f>
        <v/>
      </c>
      <c r="F1550" s="114" t="str">
        <f aca="false">IF($E1550="","",IF($B1550="Tema",INDEX(Temas!$B$6:$B$305,$C1550)&amp;"",INDEX(Avulsos!$C$6:$C$205,$C1550)&amp;""))</f>
        <v/>
      </c>
      <c r="G1550" s="114" t="str">
        <f aca="false">IF($E1550="","",IF($B1550="Tema",INDEX(Config!$C$6:$C$11,$D1550),"Evento avulso"))</f>
        <v/>
      </c>
      <c r="H1550" s="114" t="str">
        <f aca="false">IF($E1550="","",IF($B1550="Tema",INDEX(Config!$D$6:$D$11,$D1550),IFERROR(INDEX(Config!$E$15:$E$19,MATCH($I1550,Config!$C$15:$C$19,0)),"•")))</f>
        <v/>
      </c>
      <c r="I1550" s="114" t="str">
        <f aca="false">IF($E1550="","",IF($B1550="Tema",INDEX(Config!$E$6:$E$11,$D1550),IF(INDEX(Avulsos!$D$6:$D$205,$C1550)&amp;""="","Outro",INDEX(Avulsos!$D$6:$D$205,$C1550))))</f>
        <v/>
      </c>
      <c r="J1550" s="114" t="str">
        <f aca="false">IF($E1550="","",IF($B1550="Tema",INDEX(Temas!$C$6:$C$305,$C1550)&amp;"",INDEX(Avulsos!$E$6:$E$205,$C1550)&amp;""))</f>
        <v/>
      </c>
      <c r="K1550" s="114" t="str">
        <f aca="false">IF($E1550="","",IF(IF($B1550="Tema",INDEX(Temas!$E$6:$P$305,$C1550,2*$D1550),INDEX(Avulsos!$F$6:$F$205,$C1550))&amp;""="","","✓"))</f>
        <v/>
      </c>
      <c r="L1550" s="114" t="str">
        <f aca="true">IF($E1550="","",IF($K1550="✓","Concluído",IF($E1550&lt;TODAY(),"Atrasado",IF($E1550=TODAY(),"Hoje","Pendente"))))</f>
        <v/>
      </c>
      <c r="M1550" s="114" t="str">
        <f aca="false">IF($E1550="","",IF($K1550="✓","✓ ","")&amp;IF(Config!$E$22="Sim",$H1550&amp;" · ","")&amp;$F1550)</f>
        <v/>
      </c>
      <c r="N1550" s="114" t="str">
        <f aca="false">IF($E1550="","",IFERROR(INDEX(Config!$D$15:$D$19,MATCH($I1550,Config!$C$15:$C$19,0)),"OUT")&amp;IF($K1550="✓","x",""))</f>
        <v/>
      </c>
      <c r="O1550" s="114" t="str">
        <f aca="false">IF($E1550="","",COUNTIF($E$5:$E1550,$E1550))</f>
        <v/>
      </c>
      <c r="P1550" s="114" t="str">
        <f aca="false">IF($E1550="","",$E1550*100+$O1550)</f>
        <v/>
      </c>
      <c r="Q1550" s="114" t="str">
        <f aca="false">IF($L1550="Atrasado",$E1550*10000+$A1550,"")</f>
        <v/>
      </c>
    </row>
    <row r="1551" customFormat="false" ht="15" hidden="false" customHeight="false" outlineLevel="0" collapsed="false">
      <c r="A1551" s="114" t="n">
        <f aca="false">ROW()-4</f>
        <v>1547</v>
      </c>
      <c r="B1551" s="114" t="str">
        <f aca="false">IF(A1551&lt;=Config!$E$27*Config!$E$28,"Tema","Avulso")</f>
        <v>Tema</v>
      </c>
      <c r="C1551" s="114" t="n">
        <f aca="false">IF(B1551="Tema",INT((A1551-1)/Config!$E$28)+1,A1551-Config!$E$27*Config!$E$28)</f>
        <v>258</v>
      </c>
      <c r="D1551" s="114" t="n">
        <f aca="false">IF(B1551="Tema",MOD(A1551-1,Config!$E$28)+1,"")</f>
        <v>5</v>
      </c>
      <c r="E1551" s="115" t="str">
        <f aca="false">IF($B1551="Tema",IF(ISNUMBER(INDEX(Temas!$E$6:$P$305,$C1551,2*$D1551-1)),INDEX(Temas!$E$6:$P$305,$C1551,2*$D1551-1),""),IF(ISNUMBER(INDEX(Avulsos!$B$6:$B$205,$C1551)),INDEX(Avulsos!$B$6:$B$205,$C1551),""))</f>
        <v/>
      </c>
      <c r="F1551" s="114" t="str">
        <f aca="false">IF($E1551="","",IF($B1551="Tema",INDEX(Temas!$B$6:$B$305,$C1551)&amp;"",INDEX(Avulsos!$C$6:$C$205,$C1551)&amp;""))</f>
        <v/>
      </c>
      <c r="G1551" s="114" t="str">
        <f aca="false">IF($E1551="","",IF($B1551="Tema",INDEX(Config!$C$6:$C$11,$D1551),"Evento avulso"))</f>
        <v/>
      </c>
      <c r="H1551" s="114" t="str">
        <f aca="false">IF($E1551="","",IF($B1551="Tema",INDEX(Config!$D$6:$D$11,$D1551),IFERROR(INDEX(Config!$E$15:$E$19,MATCH($I1551,Config!$C$15:$C$19,0)),"•")))</f>
        <v/>
      </c>
      <c r="I1551" s="114" t="str">
        <f aca="false">IF($E1551="","",IF($B1551="Tema",INDEX(Config!$E$6:$E$11,$D1551),IF(INDEX(Avulsos!$D$6:$D$205,$C1551)&amp;""="","Outro",INDEX(Avulsos!$D$6:$D$205,$C1551))))</f>
        <v/>
      </c>
      <c r="J1551" s="114" t="str">
        <f aca="false">IF($E1551="","",IF($B1551="Tema",INDEX(Temas!$C$6:$C$305,$C1551)&amp;"",INDEX(Avulsos!$E$6:$E$205,$C1551)&amp;""))</f>
        <v/>
      </c>
      <c r="K1551" s="114" t="str">
        <f aca="false">IF($E1551="","",IF(IF($B1551="Tema",INDEX(Temas!$E$6:$P$305,$C1551,2*$D1551),INDEX(Avulsos!$F$6:$F$205,$C1551))&amp;""="","","✓"))</f>
        <v/>
      </c>
      <c r="L1551" s="114" t="str">
        <f aca="true">IF($E1551="","",IF($K1551="✓","Concluído",IF($E1551&lt;TODAY(),"Atrasado",IF($E1551=TODAY(),"Hoje","Pendente"))))</f>
        <v/>
      </c>
      <c r="M1551" s="114" t="str">
        <f aca="false">IF($E1551="","",IF($K1551="✓","✓ ","")&amp;IF(Config!$E$22="Sim",$H1551&amp;" · ","")&amp;$F1551)</f>
        <v/>
      </c>
      <c r="N1551" s="114" t="str">
        <f aca="false">IF($E1551="","",IFERROR(INDEX(Config!$D$15:$D$19,MATCH($I1551,Config!$C$15:$C$19,0)),"OUT")&amp;IF($K1551="✓","x",""))</f>
        <v/>
      </c>
      <c r="O1551" s="114" t="str">
        <f aca="false">IF($E1551="","",COUNTIF($E$5:$E1551,$E1551))</f>
        <v/>
      </c>
      <c r="P1551" s="114" t="str">
        <f aca="false">IF($E1551="","",$E1551*100+$O1551)</f>
        <v/>
      </c>
      <c r="Q1551" s="114" t="str">
        <f aca="false">IF($L1551="Atrasado",$E1551*10000+$A1551,"")</f>
        <v/>
      </c>
    </row>
    <row r="1552" customFormat="false" ht="15" hidden="false" customHeight="false" outlineLevel="0" collapsed="false">
      <c r="A1552" s="114" t="n">
        <f aca="false">ROW()-4</f>
        <v>1548</v>
      </c>
      <c r="B1552" s="114" t="str">
        <f aca="false">IF(A1552&lt;=Config!$E$27*Config!$E$28,"Tema","Avulso")</f>
        <v>Tema</v>
      </c>
      <c r="C1552" s="114" t="n">
        <f aca="false">IF(B1552="Tema",INT((A1552-1)/Config!$E$28)+1,A1552-Config!$E$27*Config!$E$28)</f>
        <v>258</v>
      </c>
      <c r="D1552" s="114" t="n">
        <f aca="false">IF(B1552="Tema",MOD(A1552-1,Config!$E$28)+1,"")</f>
        <v>6</v>
      </c>
      <c r="E1552" s="115" t="str">
        <f aca="false">IF($B1552="Tema",IF(ISNUMBER(INDEX(Temas!$E$6:$P$305,$C1552,2*$D1552-1)),INDEX(Temas!$E$6:$P$305,$C1552,2*$D1552-1),""),IF(ISNUMBER(INDEX(Avulsos!$B$6:$B$205,$C1552)),INDEX(Avulsos!$B$6:$B$205,$C1552),""))</f>
        <v/>
      </c>
      <c r="F1552" s="114" t="str">
        <f aca="false">IF($E1552="","",IF($B1552="Tema",INDEX(Temas!$B$6:$B$305,$C1552)&amp;"",INDEX(Avulsos!$C$6:$C$205,$C1552)&amp;""))</f>
        <v/>
      </c>
      <c r="G1552" s="114" t="str">
        <f aca="false">IF($E1552="","",IF($B1552="Tema",INDEX(Config!$C$6:$C$11,$D1552),"Evento avulso"))</f>
        <v/>
      </c>
      <c r="H1552" s="114" t="str">
        <f aca="false">IF($E1552="","",IF($B1552="Tema",INDEX(Config!$D$6:$D$11,$D1552),IFERROR(INDEX(Config!$E$15:$E$19,MATCH($I1552,Config!$C$15:$C$19,0)),"•")))</f>
        <v/>
      </c>
      <c r="I1552" s="114" t="str">
        <f aca="false">IF($E1552="","",IF($B1552="Tema",INDEX(Config!$E$6:$E$11,$D1552),IF(INDEX(Avulsos!$D$6:$D$205,$C1552)&amp;""="","Outro",INDEX(Avulsos!$D$6:$D$205,$C1552))))</f>
        <v/>
      </c>
      <c r="J1552" s="114" t="str">
        <f aca="false">IF($E1552="","",IF($B1552="Tema",INDEX(Temas!$C$6:$C$305,$C1552)&amp;"",INDEX(Avulsos!$E$6:$E$205,$C1552)&amp;""))</f>
        <v/>
      </c>
      <c r="K1552" s="114" t="str">
        <f aca="false">IF($E1552="","",IF(IF($B1552="Tema",INDEX(Temas!$E$6:$P$305,$C1552,2*$D1552),INDEX(Avulsos!$F$6:$F$205,$C1552))&amp;""="","","✓"))</f>
        <v/>
      </c>
      <c r="L1552" s="114" t="str">
        <f aca="true">IF($E1552="","",IF($K1552="✓","Concluído",IF($E1552&lt;TODAY(),"Atrasado",IF($E1552=TODAY(),"Hoje","Pendente"))))</f>
        <v/>
      </c>
      <c r="M1552" s="114" t="str">
        <f aca="false">IF($E1552="","",IF($K1552="✓","✓ ","")&amp;IF(Config!$E$22="Sim",$H1552&amp;" · ","")&amp;$F1552)</f>
        <v/>
      </c>
      <c r="N1552" s="114" t="str">
        <f aca="false">IF($E1552="","",IFERROR(INDEX(Config!$D$15:$D$19,MATCH($I1552,Config!$C$15:$C$19,0)),"OUT")&amp;IF($K1552="✓","x",""))</f>
        <v/>
      </c>
      <c r="O1552" s="114" t="str">
        <f aca="false">IF($E1552="","",COUNTIF($E$5:$E1552,$E1552))</f>
        <v/>
      </c>
      <c r="P1552" s="114" t="str">
        <f aca="false">IF($E1552="","",$E1552*100+$O1552)</f>
        <v/>
      </c>
      <c r="Q1552" s="114" t="str">
        <f aca="false">IF($L1552="Atrasado",$E1552*10000+$A1552,"")</f>
        <v/>
      </c>
    </row>
    <row r="1553" customFormat="false" ht="15" hidden="false" customHeight="false" outlineLevel="0" collapsed="false">
      <c r="A1553" s="114" t="n">
        <f aca="false">ROW()-4</f>
        <v>1549</v>
      </c>
      <c r="B1553" s="114" t="str">
        <f aca="false">IF(A1553&lt;=Config!$E$27*Config!$E$28,"Tema","Avulso")</f>
        <v>Tema</v>
      </c>
      <c r="C1553" s="114" t="n">
        <f aca="false">IF(B1553="Tema",INT((A1553-1)/Config!$E$28)+1,A1553-Config!$E$27*Config!$E$28)</f>
        <v>259</v>
      </c>
      <c r="D1553" s="114" t="n">
        <f aca="false">IF(B1553="Tema",MOD(A1553-1,Config!$E$28)+1,"")</f>
        <v>1</v>
      </c>
      <c r="E1553" s="115" t="str">
        <f aca="false">IF($B1553="Tema",IF(ISNUMBER(INDEX(Temas!$E$6:$P$305,$C1553,2*$D1553-1)),INDEX(Temas!$E$6:$P$305,$C1553,2*$D1553-1),""),IF(ISNUMBER(INDEX(Avulsos!$B$6:$B$205,$C1553)),INDEX(Avulsos!$B$6:$B$205,$C1553),""))</f>
        <v/>
      </c>
      <c r="F1553" s="114" t="str">
        <f aca="false">IF($E1553="","",IF($B1553="Tema",INDEX(Temas!$B$6:$B$305,$C1553)&amp;"",INDEX(Avulsos!$C$6:$C$205,$C1553)&amp;""))</f>
        <v/>
      </c>
      <c r="G1553" s="114" t="str">
        <f aca="false">IF($E1553="","",IF($B1553="Tema",INDEX(Config!$C$6:$C$11,$D1553),"Evento avulso"))</f>
        <v/>
      </c>
      <c r="H1553" s="114" t="str">
        <f aca="false">IF($E1553="","",IF($B1553="Tema",INDEX(Config!$D$6:$D$11,$D1553),IFERROR(INDEX(Config!$E$15:$E$19,MATCH($I1553,Config!$C$15:$C$19,0)),"•")))</f>
        <v/>
      </c>
      <c r="I1553" s="114" t="str">
        <f aca="false">IF($E1553="","",IF($B1553="Tema",INDEX(Config!$E$6:$E$11,$D1553),IF(INDEX(Avulsos!$D$6:$D$205,$C1553)&amp;""="","Outro",INDEX(Avulsos!$D$6:$D$205,$C1553))))</f>
        <v/>
      </c>
      <c r="J1553" s="114" t="str">
        <f aca="false">IF($E1553="","",IF($B1553="Tema",INDEX(Temas!$C$6:$C$305,$C1553)&amp;"",INDEX(Avulsos!$E$6:$E$205,$C1553)&amp;""))</f>
        <v/>
      </c>
      <c r="K1553" s="114" t="str">
        <f aca="false">IF($E1553="","",IF(IF($B1553="Tema",INDEX(Temas!$E$6:$P$305,$C1553,2*$D1553),INDEX(Avulsos!$F$6:$F$205,$C1553))&amp;""="","","✓"))</f>
        <v/>
      </c>
      <c r="L1553" s="114" t="str">
        <f aca="true">IF($E1553="","",IF($K1553="✓","Concluído",IF($E1553&lt;TODAY(),"Atrasado",IF($E1553=TODAY(),"Hoje","Pendente"))))</f>
        <v/>
      </c>
      <c r="M1553" s="114" t="str">
        <f aca="false">IF($E1553="","",IF($K1553="✓","✓ ","")&amp;IF(Config!$E$22="Sim",$H1553&amp;" · ","")&amp;$F1553)</f>
        <v/>
      </c>
      <c r="N1553" s="114" t="str">
        <f aca="false">IF($E1553="","",IFERROR(INDEX(Config!$D$15:$D$19,MATCH($I1553,Config!$C$15:$C$19,0)),"OUT")&amp;IF($K1553="✓","x",""))</f>
        <v/>
      </c>
      <c r="O1553" s="114" t="str">
        <f aca="false">IF($E1553="","",COUNTIF($E$5:$E1553,$E1553))</f>
        <v/>
      </c>
      <c r="P1553" s="114" t="str">
        <f aca="false">IF($E1553="","",$E1553*100+$O1553)</f>
        <v/>
      </c>
      <c r="Q1553" s="114" t="str">
        <f aca="false">IF($L1553="Atrasado",$E1553*10000+$A1553,"")</f>
        <v/>
      </c>
    </row>
    <row r="1554" customFormat="false" ht="15" hidden="false" customHeight="false" outlineLevel="0" collapsed="false">
      <c r="A1554" s="114" t="n">
        <f aca="false">ROW()-4</f>
        <v>1550</v>
      </c>
      <c r="B1554" s="114" t="str">
        <f aca="false">IF(A1554&lt;=Config!$E$27*Config!$E$28,"Tema","Avulso")</f>
        <v>Tema</v>
      </c>
      <c r="C1554" s="114" t="n">
        <f aca="false">IF(B1554="Tema",INT((A1554-1)/Config!$E$28)+1,A1554-Config!$E$27*Config!$E$28)</f>
        <v>259</v>
      </c>
      <c r="D1554" s="114" t="n">
        <f aca="false">IF(B1554="Tema",MOD(A1554-1,Config!$E$28)+1,"")</f>
        <v>2</v>
      </c>
      <c r="E1554" s="115" t="str">
        <f aca="false">IF($B1554="Tema",IF(ISNUMBER(INDEX(Temas!$E$6:$P$305,$C1554,2*$D1554-1)),INDEX(Temas!$E$6:$P$305,$C1554,2*$D1554-1),""),IF(ISNUMBER(INDEX(Avulsos!$B$6:$B$205,$C1554)),INDEX(Avulsos!$B$6:$B$205,$C1554),""))</f>
        <v/>
      </c>
      <c r="F1554" s="114" t="str">
        <f aca="false">IF($E1554="","",IF($B1554="Tema",INDEX(Temas!$B$6:$B$305,$C1554)&amp;"",INDEX(Avulsos!$C$6:$C$205,$C1554)&amp;""))</f>
        <v/>
      </c>
      <c r="G1554" s="114" t="str">
        <f aca="false">IF($E1554="","",IF($B1554="Tema",INDEX(Config!$C$6:$C$11,$D1554),"Evento avulso"))</f>
        <v/>
      </c>
      <c r="H1554" s="114" t="str">
        <f aca="false">IF($E1554="","",IF($B1554="Tema",INDEX(Config!$D$6:$D$11,$D1554),IFERROR(INDEX(Config!$E$15:$E$19,MATCH($I1554,Config!$C$15:$C$19,0)),"•")))</f>
        <v/>
      </c>
      <c r="I1554" s="114" t="str">
        <f aca="false">IF($E1554="","",IF($B1554="Tema",INDEX(Config!$E$6:$E$11,$D1554),IF(INDEX(Avulsos!$D$6:$D$205,$C1554)&amp;""="","Outro",INDEX(Avulsos!$D$6:$D$205,$C1554))))</f>
        <v/>
      </c>
      <c r="J1554" s="114" t="str">
        <f aca="false">IF($E1554="","",IF($B1554="Tema",INDEX(Temas!$C$6:$C$305,$C1554)&amp;"",INDEX(Avulsos!$E$6:$E$205,$C1554)&amp;""))</f>
        <v/>
      </c>
      <c r="K1554" s="114" t="str">
        <f aca="false">IF($E1554="","",IF(IF($B1554="Tema",INDEX(Temas!$E$6:$P$305,$C1554,2*$D1554),INDEX(Avulsos!$F$6:$F$205,$C1554))&amp;""="","","✓"))</f>
        <v/>
      </c>
      <c r="L1554" s="114" t="str">
        <f aca="true">IF($E1554="","",IF($K1554="✓","Concluído",IF($E1554&lt;TODAY(),"Atrasado",IF($E1554=TODAY(),"Hoje","Pendente"))))</f>
        <v/>
      </c>
      <c r="M1554" s="114" t="str">
        <f aca="false">IF($E1554="","",IF($K1554="✓","✓ ","")&amp;IF(Config!$E$22="Sim",$H1554&amp;" · ","")&amp;$F1554)</f>
        <v/>
      </c>
      <c r="N1554" s="114" t="str">
        <f aca="false">IF($E1554="","",IFERROR(INDEX(Config!$D$15:$D$19,MATCH($I1554,Config!$C$15:$C$19,0)),"OUT")&amp;IF($K1554="✓","x",""))</f>
        <v/>
      </c>
      <c r="O1554" s="114" t="str">
        <f aca="false">IF($E1554="","",COUNTIF($E$5:$E1554,$E1554))</f>
        <v/>
      </c>
      <c r="P1554" s="114" t="str">
        <f aca="false">IF($E1554="","",$E1554*100+$O1554)</f>
        <v/>
      </c>
      <c r="Q1554" s="114" t="str">
        <f aca="false">IF($L1554="Atrasado",$E1554*10000+$A1554,"")</f>
        <v/>
      </c>
    </row>
    <row r="1555" customFormat="false" ht="15" hidden="false" customHeight="false" outlineLevel="0" collapsed="false">
      <c r="A1555" s="114" t="n">
        <f aca="false">ROW()-4</f>
        <v>1551</v>
      </c>
      <c r="B1555" s="114" t="str">
        <f aca="false">IF(A1555&lt;=Config!$E$27*Config!$E$28,"Tema","Avulso")</f>
        <v>Tema</v>
      </c>
      <c r="C1555" s="114" t="n">
        <f aca="false">IF(B1555="Tema",INT((A1555-1)/Config!$E$28)+1,A1555-Config!$E$27*Config!$E$28)</f>
        <v>259</v>
      </c>
      <c r="D1555" s="114" t="n">
        <f aca="false">IF(B1555="Tema",MOD(A1555-1,Config!$E$28)+1,"")</f>
        <v>3</v>
      </c>
      <c r="E1555" s="115" t="str">
        <f aca="false">IF($B1555="Tema",IF(ISNUMBER(INDEX(Temas!$E$6:$P$305,$C1555,2*$D1555-1)),INDEX(Temas!$E$6:$P$305,$C1555,2*$D1555-1),""),IF(ISNUMBER(INDEX(Avulsos!$B$6:$B$205,$C1555)),INDEX(Avulsos!$B$6:$B$205,$C1555),""))</f>
        <v/>
      </c>
      <c r="F1555" s="114" t="str">
        <f aca="false">IF($E1555="","",IF($B1555="Tema",INDEX(Temas!$B$6:$B$305,$C1555)&amp;"",INDEX(Avulsos!$C$6:$C$205,$C1555)&amp;""))</f>
        <v/>
      </c>
      <c r="G1555" s="114" t="str">
        <f aca="false">IF($E1555="","",IF($B1555="Tema",INDEX(Config!$C$6:$C$11,$D1555),"Evento avulso"))</f>
        <v/>
      </c>
      <c r="H1555" s="114" t="str">
        <f aca="false">IF($E1555="","",IF($B1555="Tema",INDEX(Config!$D$6:$D$11,$D1555),IFERROR(INDEX(Config!$E$15:$E$19,MATCH($I1555,Config!$C$15:$C$19,0)),"•")))</f>
        <v/>
      </c>
      <c r="I1555" s="114" t="str">
        <f aca="false">IF($E1555="","",IF($B1555="Tema",INDEX(Config!$E$6:$E$11,$D1555),IF(INDEX(Avulsos!$D$6:$D$205,$C1555)&amp;""="","Outro",INDEX(Avulsos!$D$6:$D$205,$C1555))))</f>
        <v/>
      </c>
      <c r="J1555" s="114" t="str">
        <f aca="false">IF($E1555="","",IF($B1555="Tema",INDEX(Temas!$C$6:$C$305,$C1555)&amp;"",INDEX(Avulsos!$E$6:$E$205,$C1555)&amp;""))</f>
        <v/>
      </c>
      <c r="K1555" s="114" t="str">
        <f aca="false">IF($E1555="","",IF(IF($B1555="Tema",INDEX(Temas!$E$6:$P$305,$C1555,2*$D1555),INDEX(Avulsos!$F$6:$F$205,$C1555))&amp;""="","","✓"))</f>
        <v/>
      </c>
      <c r="L1555" s="114" t="str">
        <f aca="true">IF($E1555="","",IF($K1555="✓","Concluído",IF($E1555&lt;TODAY(),"Atrasado",IF($E1555=TODAY(),"Hoje","Pendente"))))</f>
        <v/>
      </c>
      <c r="M1555" s="114" t="str">
        <f aca="false">IF($E1555="","",IF($K1555="✓","✓ ","")&amp;IF(Config!$E$22="Sim",$H1555&amp;" · ","")&amp;$F1555)</f>
        <v/>
      </c>
      <c r="N1555" s="114" t="str">
        <f aca="false">IF($E1555="","",IFERROR(INDEX(Config!$D$15:$D$19,MATCH($I1555,Config!$C$15:$C$19,0)),"OUT")&amp;IF($K1555="✓","x",""))</f>
        <v/>
      </c>
      <c r="O1555" s="114" t="str">
        <f aca="false">IF($E1555="","",COUNTIF($E$5:$E1555,$E1555))</f>
        <v/>
      </c>
      <c r="P1555" s="114" t="str">
        <f aca="false">IF($E1555="","",$E1555*100+$O1555)</f>
        <v/>
      </c>
      <c r="Q1555" s="114" t="str">
        <f aca="false">IF($L1555="Atrasado",$E1555*10000+$A1555,"")</f>
        <v/>
      </c>
    </row>
    <row r="1556" customFormat="false" ht="15" hidden="false" customHeight="false" outlineLevel="0" collapsed="false">
      <c r="A1556" s="114" t="n">
        <f aca="false">ROW()-4</f>
        <v>1552</v>
      </c>
      <c r="B1556" s="114" t="str">
        <f aca="false">IF(A1556&lt;=Config!$E$27*Config!$E$28,"Tema","Avulso")</f>
        <v>Tema</v>
      </c>
      <c r="C1556" s="114" t="n">
        <f aca="false">IF(B1556="Tema",INT((A1556-1)/Config!$E$28)+1,A1556-Config!$E$27*Config!$E$28)</f>
        <v>259</v>
      </c>
      <c r="D1556" s="114" t="n">
        <f aca="false">IF(B1556="Tema",MOD(A1556-1,Config!$E$28)+1,"")</f>
        <v>4</v>
      </c>
      <c r="E1556" s="115" t="str">
        <f aca="false">IF($B1556="Tema",IF(ISNUMBER(INDEX(Temas!$E$6:$P$305,$C1556,2*$D1556-1)),INDEX(Temas!$E$6:$P$305,$C1556,2*$D1556-1),""),IF(ISNUMBER(INDEX(Avulsos!$B$6:$B$205,$C1556)),INDEX(Avulsos!$B$6:$B$205,$C1556),""))</f>
        <v/>
      </c>
      <c r="F1556" s="114" t="str">
        <f aca="false">IF($E1556="","",IF($B1556="Tema",INDEX(Temas!$B$6:$B$305,$C1556)&amp;"",INDEX(Avulsos!$C$6:$C$205,$C1556)&amp;""))</f>
        <v/>
      </c>
      <c r="G1556" s="114" t="str">
        <f aca="false">IF($E1556="","",IF($B1556="Tema",INDEX(Config!$C$6:$C$11,$D1556),"Evento avulso"))</f>
        <v/>
      </c>
      <c r="H1556" s="114" t="str">
        <f aca="false">IF($E1556="","",IF($B1556="Tema",INDEX(Config!$D$6:$D$11,$D1556),IFERROR(INDEX(Config!$E$15:$E$19,MATCH($I1556,Config!$C$15:$C$19,0)),"•")))</f>
        <v/>
      </c>
      <c r="I1556" s="114" t="str">
        <f aca="false">IF($E1556="","",IF($B1556="Tema",INDEX(Config!$E$6:$E$11,$D1556),IF(INDEX(Avulsos!$D$6:$D$205,$C1556)&amp;""="","Outro",INDEX(Avulsos!$D$6:$D$205,$C1556))))</f>
        <v/>
      </c>
      <c r="J1556" s="114" t="str">
        <f aca="false">IF($E1556="","",IF($B1556="Tema",INDEX(Temas!$C$6:$C$305,$C1556)&amp;"",INDEX(Avulsos!$E$6:$E$205,$C1556)&amp;""))</f>
        <v/>
      </c>
      <c r="K1556" s="114" t="str">
        <f aca="false">IF($E1556="","",IF(IF($B1556="Tema",INDEX(Temas!$E$6:$P$305,$C1556,2*$D1556),INDEX(Avulsos!$F$6:$F$205,$C1556))&amp;""="","","✓"))</f>
        <v/>
      </c>
      <c r="L1556" s="114" t="str">
        <f aca="true">IF($E1556="","",IF($K1556="✓","Concluído",IF($E1556&lt;TODAY(),"Atrasado",IF($E1556=TODAY(),"Hoje","Pendente"))))</f>
        <v/>
      </c>
      <c r="M1556" s="114" t="str">
        <f aca="false">IF($E1556="","",IF($K1556="✓","✓ ","")&amp;IF(Config!$E$22="Sim",$H1556&amp;" · ","")&amp;$F1556)</f>
        <v/>
      </c>
      <c r="N1556" s="114" t="str">
        <f aca="false">IF($E1556="","",IFERROR(INDEX(Config!$D$15:$D$19,MATCH($I1556,Config!$C$15:$C$19,0)),"OUT")&amp;IF($K1556="✓","x",""))</f>
        <v/>
      </c>
      <c r="O1556" s="114" t="str">
        <f aca="false">IF($E1556="","",COUNTIF($E$5:$E1556,$E1556))</f>
        <v/>
      </c>
      <c r="P1556" s="114" t="str">
        <f aca="false">IF($E1556="","",$E1556*100+$O1556)</f>
        <v/>
      </c>
      <c r="Q1556" s="114" t="str">
        <f aca="false">IF($L1556="Atrasado",$E1556*10000+$A1556,"")</f>
        <v/>
      </c>
    </row>
    <row r="1557" customFormat="false" ht="15" hidden="false" customHeight="false" outlineLevel="0" collapsed="false">
      <c r="A1557" s="114" t="n">
        <f aca="false">ROW()-4</f>
        <v>1553</v>
      </c>
      <c r="B1557" s="114" t="str">
        <f aca="false">IF(A1557&lt;=Config!$E$27*Config!$E$28,"Tema","Avulso")</f>
        <v>Tema</v>
      </c>
      <c r="C1557" s="114" t="n">
        <f aca="false">IF(B1557="Tema",INT((A1557-1)/Config!$E$28)+1,A1557-Config!$E$27*Config!$E$28)</f>
        <v>259</v>
      </c>
      <c r="D1557" s="114" t="n">
        <f aca="false">IF(B1557="Tema",MOD(A1557-1,Config!$E$28)+1,"")</f>
        <v>5</v>
      </c>
      <c r="E1557" s="115" t="str">
        <f aca="false">IF($B1557="Tema",IF(ISNUMBER(INDEX(Temas!$E$6:$P$305,$C1557,2*$D1557-1)),INDEX(Temas!$E$6:$P$305,$C1557,2*$D1557-1),""),IF(ISNUMBER(INDEX(Avulsos!$B$6:$B$205,$C1557)),INDEX(Avulsos!$B$6:$B$205,$C1557),""))</f>
        <v/>
      </c>
      <c r="F1557" s="114" t="str">
        <f aca="false">IF($E1557="","",IF($B1557="Tema",INDEX(Temas!$B$6:$B$305,$C1557)&amp;"",INDEX(Avulsos!$C$6:$C$205,$C1557)&amp;""))</f>
        <v/>
      </c>
      <c r="G1557" s="114" t="str">
        <f aca="false">IF($E1557="","",IF($B1557="Tema",INDEX(Config!$C$6:$C$11,$D1557),"Evento avulso"))</f>
        <v/>
      </c>
      <c r="H1557" s="114" t="str">
        <f aca="false">IF($E1557="","",IF($B1557="Tema",INDEX(Config!$D$6:$D$11,$D1557),IFERROR(INDEX(Config!$E$15:$E$19,MATCH($I1557,Config!$C$15:$C$19,0)),"•")))</f>
        <v/>
      </c>
      <c r="I1557" s="114" t="str">
        <f aca="false">IF($E1557="","",IF($B1557="Tema",INDEX(Config!$E$6:$E$11,$D1557),IF(INDEX(Avulsos!$D$6:$D$205,$C1557)&amp;""="","Outro",INDEX(Avulsos!$D$6:$D$205,$C1557))))</f>
        <v/>
      </c>
      <c r="J1557" s="114" t="str">
        <f aca="false">IF($E1557="","",IF($B1557="Tema",INDEX(Temas!$C$6:$C$305,$C1557)&amp;"",INDEX(Avulsos!$E$6:$E$205,$C1557)&amp;""))</f>
        <v/>
      </c>
      <c r="K1557" s="114" t="str">
        <f aca="false">IF($E1557="","",IF(IF($B1557="Tema",INDEX(Temas!$E$6:$P$305,$C1557,2*$D1557),INDEX(Avulsos!$F$6:$F$205,$C1557))&amp;""="","","✓"))</f>
        <v/>
      </c>
      <c r="L1557" s="114" t="str">
        <f aca="true">IF($E1557="","",IF($K1557="✓","Concluído",IF($E1557&lt;TODAY(),"Atrasado",IF($E1557=TODAY(),"Hoje","Pendente"))))</f>
        <v/>
      </c>
      <c r="M1557" s="114" t="str">
        <f aca="false">IF($E1557="","",IF($K1557="✓","✓ ","")&amp;IF(Config!$E$22="Sim",$H1557&amp;" · ","")&amp;$F1557)</f>
        <v/>
      </c>
      <c r="N1557" s="114" t="str">
        <f aca="false">IF($E1557="","",IFERROR(INDEX(Config!$D$15:$D$19,MATCH($I1557,Config!$C$15:$C$19,0)),"OUT")&amp;IF($K1557="✓","x",""))</f>
        <v/>
      </c>
      <c r="O1557" s="114" t="str">
        <f aca="false">IF($E1557="","",COUNTIF($E$5:$E1557,$E1557))</f>
        <v/>
      </c>
      <c r="P1557" s="114" t="str">
        <f aca="false">IF($E1557="","",$E1557*100+$O1557)</f>
        <v/>
      </c>
      <c r="Q1557" s="114" t="str">
        <f aca="false">IF($L1557="Atrasado",$E1557*10000+$A1557,"")</f>
        <v/>
      </c>
    </row>
    <row r="1558" customFormat="false" ht="15" hidden="false" customHeight="false" outlineLevel="0" collapsed="false">
      <c r="A1558" s="114" t="n">
        <f aca="false">ROW()-4</f>
        <v>1554</v>
      </c>
      <c r="B1558" s="114" t="str">
        <f aca="false">IF(A1558&lt;=Config!$E$27*Config!$E$28,"Tema","Avulso")</f>
        <v>Tema</v>
      </c>
      <c r="C1558" s="114" t="n">
        <f aca="false">IF(B1558="Tema",INT((A1558-1)/Config!$E$28)+1,A1558-Config!$E$27*Config!$E$28)</f>
        <v>259</v>
      </c>
      <c r="D1558" s="114" t="n">
        <f aca="false">IF(B1558="Tema",MOD(A1558-1,Config!$E$28)+1,"")</f>
        <v>6</v>
      </c>
      <c r="E1558" s="115" t="str">
        <f aca="false">IF($B1558="Tema",IF(ISNUMBER(INDEX(Temas!$E$6:$P$305,$C1558,2*$D1558-1)),INDEX(Temas!$E$6:$P$305,$C1558,2*$D1558-1),""),IF(ISNUMBER(INDEX(Avulsos!$B$6:$B$205,$C1558)),INDEX(Avulsos!$B$6:$B$205,$C1558),""))</f>
        <v/>
      </c>
      <c r="F1558" s="114" t="str">
        <f aca="false">IF($E1558="","",IF($B1558="Tema",INDEX(Temas!$B$6:$B$305,$C1558)&amp;"",INDEX(Avulsos!$C$6:$C$205,$C1558)&amp;""))</f>
        <v/>
      </c>
      <c r="G1558" s="114" t="str">
        <f aca="false">IF($E1558="","",IF($B1558="Tema",INDEX(Config!$C$6:$C$11,$D1558),"Evento avulso"))</f>
        <v/>
      </c>
      <c r="H1558" s="114" t="str">
        <f aca="false">IF($E1558="","",IF($B1558="Tema",INDEX(Config!$D$6:$D$11,$D1558),IFERROR(INDEX(Config!$E$15:$E$19,MATCH($I1558,Config!$C$15:$C$19,0)),"•")))</f>
        <v/>
      </c>
      <c r="I1558" s="114" t="str">
        <f aca="false">IF($E1558="","",IF($B1558="Tema",INDEX(Config!$E$6:$E$11,$D1558),IF(INDEX(Avulsos!$D$6:$D$205,$C1558)&amp;""="","Outro",INDEX(Avulsos!$D$6:$D$205,$C1558))))</f>
        <v/>
      </c>
      <c r="J1558" s="114" t="str">
        <f aca="false">IF($E1558="","",IF($B1558="Tema",INDEX(Temas!$C$6:$C$305,$C1558)&amp;"",INDEX(Avulsos!$E$6:$E$205,$C1558)&amp;""))</f>
        <v/>
      </c>
      <c r="K1558" s="114" t="str">
        <f aca="false">IF($E1558="","",IF(IF($B1558="Tema",INDEX(Temas!$E$6:$P$305,$C1558,2*$D1558),INDEX(Avulsos!$F$6:$F$205,$C1558))&amp;""="","","✓"))</f>
        <v/>
      </c>
      <c r="L1558" s="114" t="str">
        <f aca="true">IF($E1558="","",IF($K1558="✓","Concluído",IF($E1558&lt;TODAY(),"Atrasado",IF($E1558=TODAY(),"Hoje","Pendente"))))</f>
        <v/>
      </c>
      <c r="M1558" s="114" t="str">
        <f aca="false">IF($E1558="","",IF($K1558="✓","✓ ","")&amp;IF(Config!$E$22="Sim",$H1558&amp;" · ","")&amp;$F1558)</f>
        <v/>
      </c>
      <c r="N1558" s="114" t="str">
        <f aca="false">IF($E1558="","",IFERROR(INDEX(Config!$D$15:$D$19,MATCH($I1558,Config!$C$15:$C$19,0)),"OUT")&amp;IF($K1558="✓","x",""))</f>
        <v/>
      </c>
      <c r="O1558" s="114" t="str">
        <f aca="false">IF($E1558="","",COUNTIF($E$5:$E1558,$E1558))</f>
        <v/>
      </c>
      <c r="P1558" s="114" t="str">
        <f aca="false">IF($E1558="","",$E1558*100+$O1558)</f>
        <v/>
      </c>
      <c r="Q1558" s="114" t="str">
        <f aca="false">IF($L1558="Atrasado",$E1558*10000+$A1558,"")</f>
        <v/>
      </c>
    </row>
    <row r="1559" customFormat="false" ht="15" hidden="false" customHeight="false" outlineLevel="0" collapsed="false">
      <c r="A1559" s="114" t="n">
        <f aca="false">ROW()-4</f>
        <v>1555</v>
      </c>
      <c r="B1559" s="114" t="str">
        <f aca="false">IF(A1559&lt;=Config!$E$27*Config!$E$28,"Tema","Avulso")</f>
        <v>Tema</v>
      </c>
      <c r="C1559" s="114" t="n">
        <f aca="false">IF(B1559="Tema",INT((A1559-1)/Config!$E$28)+1,A1559-Config!$E$27*Config!$E$28)</f>
        <v>260</v>
      </c>
      <c r="D1559" s="114" t="n">
        <f aca="false">IF(B1559="Tema",MOD(A1559-1,Config!$E$28)+1,"")</f>
        <v>1</v>
      </c>
      <c r="E1559" s="115" t="str">
        <f aca="false">IF($B1559="Tema",IF(ISNUMBER(INDEX(Temas!$E$6:$P$305,$C1559,2*$D1559-1)),INDEX(Temas!$E$6:$P$305,$C1559,2*$D1559-1),""),IF(ISNUMBER(INDEX(Avulsos!$B$6:$B$205,$C1559)),INDEX(Avulsos!$B$6:$B$205,$C1559),""))</f>
        <v/>
      </c>
      <c r="F1559" s="114" t="str">
        <f aca="false">IF($E1559="","",IF($B1559="Tema",INDEX(Temas!$B$6:$B$305,$C1559)&amp;"",INDEX(Avulsos!$C$6:$C$205,$C1559)&amp;""))</f>
        <v/>
      </c>
      <c r="G1559" s="114" t="str">
        <f aca="false">IF($E1559="","",IF($B1559="Tema",INDEX(Config!$C$6:$C$11,$D1559),"Evento avulso"))</f>
        <v/>
      </c>
      <c r="H1559" s="114" t="str">
        <f aca="false">IF($E1559="","",IF($B1559="Tema",INDEX(Config!$D$6:$D$11,$D1559),IFERROR(INDEX(Config!$E$15:$E$19,MATCH($I1559,Config!$C$15:$C$19,0)),"•")))</f>
        <v/>
      </c>
      <c r="I1559" s="114" t="str">
        <f aca="false">IF($E1559="","",IF($B1559="Tema",INDEX(Config!$E$6:$E$11,$D1559),IF(INDEX(Avulsos!$D$6:$D$205,$C1559)&amp;""="","Outro",INDEX(Avulsos!$D$6:$D$205,$C1559))))</f>
        <v/>
      </c>
      <c r="J1559" s="114" t="str">
        <f aca="false">IF($E1559="","",IF($B1559="Tema",INDEX(Temas!$C$6:$C$305,$C1559)&amp;"",INDEX(Avulsos!$E$6:$E$205,$C1559)&amp;""))</f>
        <v/>
      </c>
      <c r="K1559" s="114" t="str">
        <f aca="false">IF($E1559="","",IF(IF($B1559="Tema",INDEX(Temas!$E$6:$P$305,$C1559,2*$D1559),INDEX(Avulsos!$F$6:$F$205,$C1559))&amp;""="","","✓"))</f>
        <v/>
      </c>
      <c r="L1559" s="114" t="str">
        <f aca="true">IF($E1559="","",IF($K1559="✓","Concluído",IF($E1559&lt;TODAY(),"Atrasado",IF($E1559=TODAY(),"Hoje","Pendente"))))</f>
        <v/>
      </c>
      <c r="M1559" s="114" t="str">
        <f aca="false">IF($E1559="","",IF($K1559="✓","✓ ","")&amp;IF(Config!$E$22="Sim",$H1559&amp;" · ","")&amp;$F1559)</f>
        <v/>
      </c>
      <c r="N1559" s="114" t="str">
        <f aca="false">IF($E1559="","",IFERROR(INDEX(Config!$D$15:$D$19,MATCH($I1559,Config!$C$15:$C$19,0)),"OUT")&amp;IF($K1559="✓","x",""))</f>
        <v/>
      </c>
      <c r="O1559" s="114" t="str">
        <f aca="false">IF($E1559="","",COUNTIF($E$5:$E1559,$E1559))</f>
        <v/>
      </c>
      <c r="P1559" s="114" t="str">
        <f aca="false">IF($E1559="","",$E1559*100+$O1559)</f>
        <v/>
      </c>
      <c r="Q1559" s="114" t="str">
        <f aca="false">IF($L1559="Atrasado",$E1559*10000+$A1559,"")</f>
        <v/>
      </c>
    </row>
    <row r="1560" customFormat="false" ht="15" hidden="false" customHeight="false" outlineLevel="0" collapsed="false">
      <c r="A1560" s="114" t="n">
        <f aca="false">ROW()-4</f>
        <v>1556</v>
      </c>
      <c r="B1560" s="114" t="str">
        <f aca="false">IF(A1560&lt;=Config!$E$27*Config!$E$28,"Tema","Avulso")</f>
        <v>Tema</v>
      </c>
      <c r="C1560" s="114" t="n">
        <f aca="false">IF(B1560="Tema",INT((A1560-1)/Config!$E$28)+1,A1560-Config!$E$27*Config!$E$28)</f>
        <v>260</v>
      </c>
      <c r="D1560" s="114" t="n">
        <f aca="false">IF(B1560="Tema",MOD(A1560-1,Config!$E$28)+1,"")</f>
        <v>2</v>
      </c>
      <c r="E1560" s="115" t="str">
        <f aca="false">IF($B1560="Tema",IF(ISNUMBER(INDEX(Temas!$E$6:$P$305,$C1560,2*$D1560-1)),INDEX(Temas!$E$6:$P$305,$C1560,2*$D1560-1),""),IF(ISNUMBER(INDEX(Avulsos!$B$6:$B$205,$C1560)),INDEX(Avulsos!$B$6:$B$205,$C1560),""))</f>
        <v/>
      </c>
      <c r="F1560" s="114" t="str">
        <f aca="false">IF($E1560="","",IF($B1560="Tema",INDEX(Temas!$B$6:$B$305,$C1560)&amp;"",INDEX(Avulsos!$C$6:$C$205,$C1560)&amp;""))</f>
        <v/>
      </c>
      <c r="G1560" s="114" t="str">
        <f aca="false">IF($E1560="","",IF($B1560="Tema",INDEX(Config!$C$6:$C$11,$D1560),"Evento avulso"))</f>
        <v/>
      </c>
      <c r="H1560" s="114" t="str">
        <f aca="false">IF($E1560="","",IF($B1560="Tema",INDEX(Config!$D$6:$D$11,$D1560),IFERROR(INDEX(Config!$E$15:$E$19,MATCH($I1560,Config!$C$15:$C$19,0)),"•")))</f>
        <v/>
      </c>
      <c r="I1560" s="114" t="str">
        <f aca="false">IF($E1560="","",IF($B1560="Tema",INDEX(Config!$E$6:$E$11,$D1560),IF(INDEX(Avulsos!$D$6:$D$205,$C1560)&amp;""="","Outro",INDEX(Avulsos!$D$6:$D$205,$C1560))))</f>
        <v/>
      </c>
      <c r="J1560" s="114" t="str">
        <f aca="false">IF($E1560="","",IF($B1560="Tema",INDEX(Temas!$C$6:$C$305,$C1560)&amp;"",INDEX(Avulsos!$E$6:$E$205,$C1560)&amp;""))</f>
        <v/>
      </c>
      <c r="K1560" s="114" t="str">
        <f aca="false">IF($E1560="","",IF(IF($B1560="Tema",INDEX(Temas!$E$6:$P$305,$C1560,2*$D1560),INDEX(Avulsos!$F$6:$F$205,$C1560))&amp;""="","","✓"))</f>
        <v/>
      </c>
      <c r="L1560" s="114" t="str">
        <f aca="true">IF($E1560="","",IF($K1560="✓","Concluído",IF($E1560&lt;TODAY(),"Atrasado",IF($E1560=TODAY(),"Hoje","Pendente"))))</f>
        <v/>
      </c>
      <c r="M1560" s="114" t="str">
        <f aca="false">IF($E1560="","",IF($K1560="✓","✓ ","")&amp;IF(Config!$E$22="Sim",$H1560&amp;" · ","")&amp;$F1560)</f>
        <v/>
      </c>
      <c r="N1560" s="114" t="str">
        <f aca="false">IF($E1560="","",IFERROR(INDEX(Config!$D$15:$D$19,MATCH($I1560,Config!$C$15:$C$19,0)),"OUT")&amp;IF($K1560="✓","x",""))</f>
        <v/>
      </c>
      <c r="O1560" s="114" t="str">
        <f aca="false">IF($E1560="","",COUNTIF($E$5:$E1560,$E1560))</f>
        <v/>
      </c>
      <c r="P1560" s="114" t="str">
        <f aca="false">IF($E1560="","",$E1560*100+$O1560)</f>
        <v/>
      </c>
      <c r="Q1560" s="114" t="str">
        <f aca="false">IF($L1560="Atrasado",$E1560*10000+$A1560,"")</f>
        <v/>
      </c>
    </row>
    <row r="1561" customFormat="false" ht="15" hidden="false" customHeight="false" outlineLevel="0" collapsed="false">
      <c r="A1561" s="114" t="n">
        <f aca="false">ROW()-4</f>
        <v>1557</v>
      </c>
      <c r="B1561" s="114" t="str">
        <f aca="false">IF(A1561&lt;=Config!$E$27*Config!$E$28,"Tema","Avulso")</f>
        <v>Tema</v>
      </c>
      <c r="C1561" s="114" t="n">
        <f aca="false">IF(B1561="Tema",INT((A1561-1)/Config!$E$28)+1,A1561-Config!$E$27*Config!$E$28)</f>
        <v>260</v>
      </c>
      <c r="D1561" s="114" t="n">
        <f aca="false">IF(B1561="Tema",MOD(A1561-1,Config!$E$28)+1,"")</f>
        <v>3</v>
      </c>
      <c r="E1561" s="115" t="str">
        <f aca="false">IF($B1561="Tema",IF(ISNUMBER(INDEX(Temas!$E$6:$P$305,$C1561,2*$D1561-1)),INDEX(Temas!$E$6:$P$305,$C1561,2*$D1561-1),""),IF(ISNUMBER(INDEX(Avulsos!$B$6:$B$205,$C1561)),INDEX(Avulsos!$B$6:$B$205,$C1561),""))</f>
        <v/>
      </c>
      <c r="F1561" s="114" t="str">
        <f aca="false">IF($E1561="","",IF($B1561="Tema",INDEX(Temas!$B$6:$B$305,$C1561)&amp;"",INDEX(Avulsos!$C$6:$C$205,$C1561)&amp;""))</f>
        <v/>
      </c>
      <c r="G1561" s="114" t="str">
        <f aca="false">IF($E1561="","",IF($B1561="Tema",INDEX(Config!$C$6:$C$11,$D1561),"Evento avulso"))</f>
        <v/>
      </c>
      <c r="H1561" s="114" t="str">
        <f aca="false">IF($E1561="","",IF($B1561="Tema",INDEX(Config!$D$6:$D$11,$D1561),IFERROR(INDEX(Config!$E$15:$E$19,MATCH($I1561,Config!$C$15:$C$19,0)),"•")))</f>
        <v/>
      </c>
      <c r="I1561" s="114" t="str">
        <f aca="false">IF($E1561="","",IF($B1561="Tema",INDEX(Config!$E$6:$E$11,$D1561),IF(INDEX(Avulsos!$D$6:$D$205,$C1561)&amp;""="","Outro",INDEX(Avulsos!$D$6:$D$205,$C1561))))</f>
        <v/>
      </c>
      <c r="J1561" s="114" t="str">
        <f aca="false">IF($E1561="","",IF($B1561="Tema",INDEX(Temas!$C$6:$C$305,$C1561)&amp;"",INDEX(Avulsos!$E$6:$E$205,$C1561)&amp;""))</f>
        <v/>
      </c>
      <c r="K1561" s="114" t="str">
        <f aca="false">IF($E1561="","",IF(IF($B1561="Tema",INDEX(Temas!$E$6:$P$305,$C1561,2*$D1561),INDEX(Avulsos!$F$6:$F$205,$C1561))&amp;""="","","✓"))</f>
        <v/>
      </c>
      <c r="L1561" s="114" t="str">
        <f aca="true">IF($E1561="","",IF($K1561="✓","Concluído",IF($E1561&lt;TODAY(),"Atrasado",IF($E1561=TODAY(),"Hoje","Pendente"))))</f>
        <v/>
      </c>
      <c r="M1561" s="114" t="str">
        <f aca="false">IF($E1561="","",IF($K1561="✓","✓ ","")&amp;IF(Config!$E$22="Sim",$H1561&amp;" · ","")&amp;$F1561)</f>
        <v/>
      </c>
      <c r="N1561" s="114" t="str">
        <f aca="false">IF($E1561="","",IFERROR(INDEX(Config!$D$15:$D$19,MATCH($I1561,Config!$C$15:$C$19,0)),"OUT")&amp;IF($K1561="✓","x",""))</f>
        <v/>
      </c>
      <c r="O1561" s="114" t="str">
        <f aca="false">IF($E1561="","",COUNTIF($E$5:$E1561,$E1561))</f>
        <v/>
      </c>
      <c r="P1561" s="114" t="str">
        <f aca="false">IF($E1561="","",$E1561*100+$O1561)</f>
        <v/>
      </c>
      <c r="Q1561" s="114" t="str">
        <f aca="false">IF($L1561="Atrasado",$E1561*10000+$A1561,"")</f>
        <v/>
      </c>
    </row>
    <row r="1562" customFormat="false" ht="15" hidden="false" customHeight="false" outlineLevel="0" collapsed="false">
      <c r="A1562" s="114" t="n">
        <f aca="false">ROW()-4</f>
        <v>1558</v>
      </c>
      <c r="B1562" s="114" t="str">
        <f aca="false">IF(A1562&lt;=Config!$E$27*Config!$E$28,"Tema","Avulso")</f>
        <v>Tema</v>
      </c>
      <c r="C1562" s="114" t="n">
        <f aca="false">IF(B1562="Tema",INT((A1562-1)/Config!$E$28)+1,A1562-Config!$E$27*Config!$E$28)</f>
        <v>260</v>
      </c>
      <c r="D1562" s="114" t="n">
        <f aca="false">IF(B1562="Tema",MOD(A1562-1,Config!$E$28)+1,"")</f>
        <v>4</v>
      </c>
      <c r="E1562" s="115" t="str">
        <f aca="false">IF($B1562="Tema",IF(ISNUMBER(INDEX(Temas!$E$6:$P$305,$C1562,2*$D1562-1)),INDEX(Temas!$E$6:$P$305,$C1562,2*$D1562-1),""),IF(ISNUMBER(INDEX(Avulsos!$B$6:$B$205,$C1562)),INDEX(Avulsos!$B$6:$B$205,$C1562),""))</f>
        <v/>
      </c>
      <c r="F1562" s="114" t="str">
        <f aca="false">IF($E1562="","",IF($B1562="Tema",INDEX(Temas!$B$6:$B$305,$C1562)&amp;"",INDEX(Avulsos!$C$6:$C$205,$C1562)&amp;""))</f>
        <v/>
      </c>
      <c r="G1562" s="114" t="str">
        <f aca="false">IF($E1562="","",IF($B1562="Tema",INDEX(Config!$C$6:$C$11,$D1562),"Evento avulso"))</f>
        <v/>
      </c>
      <c r="H1562" s="114" t="str">
        <f aca="false">IF($E1562="","",IF($B1562="Tema",INDEX(Config!$D$6:$D$11,$D1562),IFERROR(INDEX(Config!$E$15:$E$19,MATCH($I1562,Config!$C$15:$C$19,0)),"•")))</f>
        <v/>
      </c>
      <c r="I1562" s="114" t="str">
        <f aca="false">IF($E1562="","",IF($B1562="Tema",INDEX(Config!$E$6:$E$11,$D1562),IF(INDEX(Avulsos!$D$6:$D$205,$C1562)&amp;""="","Outro",INDEX(Avulsos!$D$6:$D$205,$C1562))))</f>
        <v/>
      </c>
      <c r="J1562" s="114" t="str">
        <f aca="false">IF($E1562="","",IF($B1562="Tema",INDEX(Temas!$C$6:$C$305,$C1562)&amp;"",INDEX(Avulsos!$E$6:$E$205,$C1562)&amp;""))</f>
        <v/>
      </c>
      <c r="K1562" s="114" t="str">
        <f aca="false">IF($E1562="","",IF(IF($B1562="Tema",INDEX(Temas!$E$6:$P$305,$C1562,2*$D1562),INDEX(Avulsos!$F$6:$F$205,$C1562))&amp;""="","","✓"))</f>
        <v/>
      </c>
      <c r="L1562" s="114" t="str">
        <f aca="true">IF($E1562="","",IF($K1562="✓","Concluído",IF($E1562&lt;TODAY(),"Atrasado",IF($E1562=TODAY(),"Hoje","Pendente"))))</f>
        <v/>
      </c>
      <c r="M1562" s="114" t="str">
        <f aca="false">IF($E1562="","",IF($K1562="✓","✓ ","")&amp;IF(Config!$E$22="Sim",$H1562&amp;" · ","")&amp;$F1562)</f>
        <v/>
      </c>
      <c r="N1562" s="114" t="str">
        <f aca="false">IF($E1562="","",IFERROR(INDEX(Config!$D$15:$D$19,MATCH($I1562,Config!$C$15:$C$19,0)),"OUT")&amp;IF($K1562="✓","x",""))</f>
        <v/>
      </c>
      <c r="O1562" s="114" t="str">
        <f aca="false">IF($E1562="","",COUNTIF($E$5:$E1562,$E1562))</f>
        <v/>
      </c>
      <c r="P1562" s="114" t="str">
        <f aca="false">IF($E1562="","",$E1562*100+$O1562)</f>
        <v/>
      </c>
      <c r="Q1562" s="114" t="str">
        <f aca="false">IF($L1562="Atrasado",$E1562*10000+$A1562,"")</f>
        <v/>
      </c>
    </row>
    <row r="1563" customFormat="false" ht="15" hidden="false" customHeight="false" outlineLevel="0" collapsed="false">
      <c r="A1563" s="114" t="n">
        <f aca="false">ROW()-4</f>
        <v>1559</v>
      </c>
      <c r="B1563" s="114" t="str">
        <f aca="false">IF(A1563&lt;=Config!$E$27*Config!$E$28,"Tema","Avulso")</f>
        <v>Tema</v>
      </c>
      <c r="C1563" s="114" t="n">
        <f aca="false">IF(B1563="Tema",INT((A1563-1)/Config!$E$28)+1,A1563-Config!$E$27*Config!$E$28)</f>
        <v>260</v>
      </c>
      <c r="D1563" s="114" t="n">
        <f aca="false">IF(B1563="Tema",MOD(A1563-1,Config!$E$28)+1,"")</f>
        <v>5</v>
      </c>
      <c r="E1563" s="115" t="str">
        <f aca="false">IF($B1563="Tema",IF(ISNUMBER(INDEX(Temas!$E$6:$P$305,$C1563,2*$D1563-1)),INDEX(Temas!$E$6:$P$305,$C1563,2*$D1563-1),""),IF(ISNUMBER(INDEX(Avulsos!$B$6:$B$205,$C1563)),INDEX(Avulsos!$B$6:$B$205,$C1563),""))</f>
        <v/>
      </c>
      <c r="F1563" s="114" t="str">
        <f aca="false">IF($E1563="","",IF($B1563="Tema",INDEX(Temas!$B$6:$B$305,$C1563)&amp;"",INDEX(Avulsos!$C$6:$C$205,$C1563)&amp;""))</f>
        <v/>
      </c>
      <c r="G1563" s="114" t="str">
        <f aca="false">IF($E1563="","",IF($B1563="Tema",INDEX(Config!$C$6:$C$11,$D1563),"Evento avulso"))</f>
        <v/>
      </c>
      <c r="H1563" s="114" t="str">
        <f aca="false">IF($E1563="","",IF($B1563="Tema",INDEX(Config!$D$6:$D$11,$D1563),IFERROR(INDEX(Config!$E$15:$E$19,MATCH($I1563,Config!$C$15:$C$19,0)),"•")))</f>
        <v/>
      </c>
      <c r="I1563" s="114" t="str">
        <f aca="false">IF($E1563="","",IF($B1563="Tema",INDEX(Config!$E$6:$E$11,$D1563),IF(INDEX(Avulsos!$D$6:$D$205,$C1563)&amp;""="","Outro",INDEX(Avulsos!$D$6:$D$205,$C1563))))</f>
        <v/>
      </c>
      <c r="J1563" s="114" t="str">
        <f aca="false">IF($E1563="","",IF($B1563="Tema",INDEX(Temas!$C$6:$C$305,$C1563)&amp;"",INDEX(Avulsos!$E$6:$E$205,$C1563)&amp;""))</f>
        <v/>
      </c>
      <c r="K1563" s="114" t="str">
        <f aca="false">IF($E1563="","",IF(IF($B1563="Tema",INDEX(Temas!$E$6:$P$305,$C1563,2*$D1563),INDEX(Avulsos!$F$6:$F$205,$C1563))&amp;""="","","✓"))</f>
        <v/>
      </c>
      <c r="L1563" s="114" t="str">
        <f aca="true">IF($E1563="","",IF($K1563="✓","Concluído",IF($E1563&lt;TODAY(),"Atrasado",IF($E1563=TODAY(),"Hoje","Pendente"))))</f>
        <v/>
      </c>
      <c r="M1563" s="114" t="str">
        <f aca="false">IF($E1563="","",IF($K1563="✓","✓ ","")&amp;IF(Config!$E$22="Sim",$H1563&amp;" · ","")&amp;$F1563)</f>
        <v/>
      </c>
      <c r="N1563" s="114" t="str">
        <f aca="false">IF($E1563="","",IFERROR(INDEX(Config!$D$15:$D$19,MATCH($I1563,Config!$C$15:$C$19,0)),"OUT")&amp;IF($K1563="✓","x",""))</f>
        <v/>
      </c>
      <c r="O1563" s="114" t="str">
        <f aca="false">IF($E1563="","",COUNTIF($E$5:$E1563,$E1563))</f>
        <v/>
      </c>
      <c r="P1563" s="114" t="str">
        <f aca="false">IF($E1563="","",$E1563*100+$O1563)</f>
        <v/>
      </c>
      <c r="Q1563" s="114" t="str">
        <f aca="false">IF($L1563="Atrasado",$E1563*10000+$A1563,"")</f>
        <v/>
      </c>
    </row>
    <row r="1564" customFormat="false" ht="15" hidden="false" customHeight="false" outlineLevel="0" collapsed="false">
      <c r="A1564" s="114" t="n">
        <f aca="false">ROW()-4</f>
        <v>1560</v>
      </c>
      <c r="B1564" s="114" t="str">
        <f aca="false">IF(A1564&lt;=Config!$E$27*Config!$E$28,"Tema","Avulso")</f>
        <v>Tema</v>
      </c>
      <c r="C1564" s="114" t="n">
        <f aca="false">IF(B1564="Tema",INT((A1564-1)/Config!$E$28)+1,A1564-Config!$E$27*Config!$E$28)</f>
        <v>260</v>
      </c>
      <c r="D1564" s="114" t="n">
        <f aca="false">IF(B1564="Tema",MOD(A1564-1,Config!$E$28)+1,"")</f>
        <v>6</v>
      </c>
      <c r="E1564" s="115" t="str">
        <f aca="false">IF($B1564="Tema",IF(ISNUMBER(INDEX(Temas!$E$6:$P$305,$C1564,2*$D1564-1)),INDEX(Temas!$E$6:$P$305,$C1564,2*$D1564-1),""),IF(ISNUMBER(INDEX(Avulsos!$B$6:$B$205,$C1564)),INDEX(Avulsos!$B$6:$B$205,$C1564),""))</f>
        <v/>
      </c>
      <c r="F1564" s="114" t="str">
        <f aca="false">IF($E1564="","",IF($B1564="Tema",INDEX(Temas!$B$6:$B$305,$C1564)&amp;"",INDEX(Avulsos!$C$6:$C$205,$C1564)&amp;""))</f>
        <v/>
      </c>
      <c r="G1564" s="114" t="str">
        <f aca="false">IF($E1564="","",IF($B1564="Tema",INDEX(Config!$C$6:$C$11,$D1564),"Evento avulso"))</f>
        <v/>
      </c>
      <c r="H1564" s="114" t="str">
        <f aca="false">IF($E1564="","",IF($B1564="Tema",INDEX(Config!$D$6:$D$11,$D1564),IFERROR(INDEX(Config!$E$15:$E$19,MATCH($I1564,Config!$C$15:$C$19,0)),"•")))</f>
        <v/>
      </c>
      <c r="I1564" s="114" t="str">
        <f aca="false">IF($E1564="","",IF($B1564="Tema",INDEX(Config!$E$6:$E$11,$D1564),IF(INDEX(Avulsos!$D$6:$D$205,$C1564)&amp;""="","Outro",INDEX(Avulsos!$D$6:$D$205,$C1564))))</f>
        <v/>
      </c>
      <c r="J1564" s="114" t="str">
        <f aca="false">IF($E1564="","",IF($B1564="Tema",INDEX(Temas!$C$6:$C$305,$C1564)&amp;"",INDEX(Avulsos!$E$6:$E$205,$C1564)&amp;""))</f>
        <v/>
      </c>
      <c r="K1564" s="114" t="str">
        <f aca="false">IF($E1564="","",IF(IF($B1564="Tema",INDEX(Temas!$E$6:$P$305,$C1564,2*$D1564),INDEX(Avulsos!$F$6:$F$205,$C1564))&amp;""="","","✓"))</f>
        <v/>
      </c>
      <c r="L1564" s="114" t="str">
        <f aca="true">IF($E1564="","",IF($K1564="✓","Concluído",IF($E1564&lt;TODAY(),"Atrasado",IF($E1564=TODAY(),"Hoje","Pendente"))))</f>
        <v/>
      </c>
      <c r="M1564" s="114" t="str">
        <f aca="false">IF($E1564="","",IF($K1564="✓","✓ ","")&amp;IF(Config!$E$22="Sim",$H1564&amp;" · ","")&amp;$F1564)</f>
        <v/>
      </c>
      <c r="N1564" s="114" t="str">
        <f aca="false">IF($E1564="","",IFERROR(INDEX(Config!$D$15:$D$19,MATCH($I1564,Config!$C$15:$C$19,0)),"OUT")&amp;IF($K1564="✓","x",""))</f>
        <v/>
      </c>
      <c r="O1564" s="114" t="str">
        <f aca="false">IF($E1564="","",COUNTIF($E$5:$E1564,$E1564))</f>
        <v/>
      </c>
      <c r="P1564" s="114" t="str">
        <f aca="false">IF($E1564="","",$E1564*100+$O1564)</f>
        <v/>
      </c>
      <c r="Q1564" s="114" t="str">
        <f aca="false">IF($L1564="Atrasado",$E1564*10000+$A1564,"")</f>
        <v/>
      </c>
    </row>
    <row r="1565" customFormat="false" ht="15" hidden="false" customHeight="false" outlineLevel="0" collapsed="false">
      <c r="A1565" s="114" t="n">
        <f aca="false">ROW()-4</f>
        <v>1561</v>
      </c>
      <c r="B1565" s="114" t="str">
        <f aca="false">IF(A1565&lt;=Config!$E$27*Config!$E$28,"Tema","Avulso")</f>
        <v>Tema</v>
      </c>
      <c r="C1565" s="114" t="n">
        <f aca="false">IF(B1565="Tema",INT((A1565-1)/Config!$E$28)+1,A1565-Config!$E$27*Config!$E$28)</f>
        <v>261</v>
      </c>
      <c r="D1565" s="114" t="n">
        <f aca="false">IF(B1565="Tema",MOD(A1565-1,Config!$E$28)+1,"")</f>
        <v>1</v>
      </c>
      <c r="E1565" s="115" t="str">
        <f aca="false">IF($B1565="Tema",IF(ISNUMBER(INDEX(Temas!$E$6:$P$305,$C1565,2*$D1565-1)),INDEX(Temas!$E$6:$P$305,$C1565,2*$D1565-1),""),IF(ISNUMBER(INDEX(Avulsos!$B$6:$B$205,$C1565)),INDEX(Avulsos!$B$6:$B$205,$C1565),""))</f>
        <v/>
      </c>
      <c r="F1565" s="114" t="str">
        <f aca="false">IF($E1565="","",IF($B1565="Tema",INDEX(Temas!$B$6:$B$305,$C1565)&amp;"",INDEX(Avulsos!$C$6:$C$205,$C1565)&amp;""))</f>
        <v/>
      </c>
      <c r="G1565" s="114" t="str">
        <f aca="false">IF($E1565="","",IF($B1565="Tema",INDEX(Config!$C$6:$C$11,$D1565),"Evento avulso"))</f>
        <v/>
      </c>
      <c r="H1565" s="114" t="str">
        <f aca="false">IF($E1565="","",IF($B1565="Tema",INDEX(Config!$D$6:$D$11,$D1565),IFERROR(INDEX(Config!$E$15:$E$19,MATCH($I1565,Config!$C$15:$C$19,0)),"•")))</f>
        <v/>
      </c>
      <c r="I1565" s="114" t="str">
        <f aca="false">IF($E1565="","",IF($B1565="Tema",INDEX(Config!$E$6:$E$11,$D1565),IF(INDEX(Avulsos!$D$6:$D$205,$C1565)&amp;""="","Outro",INDEX(Avulsos!$D$6:$D$205,$C1565))))</f>
        <v/>
      </c>
      <c r="J1565" s="114" t="str">
        <f aca="false">IF($E1565="","",IF($B1565="Tema",INDEX(Temas!$C$6:$C$305,$C1565)&amp;"",INDEX(Avulsos!$E$6:$E$205,$C1565)&amp;""))</f>
        <v/>
      </c>
      <c r="K1565" s="114" t="str">
        <f aca="false">IF($E1565="","",IF(IF($B1565="Tema",INDEX(Temas!$E$6:$P$305,$C1565,2*$D1565),INDEX(Avulsos!$F$6:$F$205,$C1565))&amp;""="","","✓"))</f>
        <v/>
      </c>
      <c r="L1565" s="114" t="str">
        <f aca="true">IF($E1565="","",IF($K1565="✓","Concluído",IF($E1565&lt;TODAY(),"Atrasado",IF($E1565=TODAY(),"Hoje","Pendente"))))</f>
        <v/>
      </c>
      <c r="M1565" s="114" t="str">
        <f aca="false">IF($E1565="","",IF($K1565="✓","✓ ","")&amp;IF(Config!$E$22="Sim",$H1565&amp;" · ","")&amp;$F1565)</f>
        <v/>
      </c>
      <c r="N1565" s="114" t="str">
        <f aca="false">IF($E1565="","",IFERROR(INDEX(Config!$D$15:$D$19,MATCH($I1565,Config!$C$15:$C$19,0)),"OUT")&amp;IF($K1565="✓","x",""))</f>
        <v/>
      </c>
      <c r="O1565" s="114" t="str">
        <f aca="false">IF($E1565="","",COUNTIF($E$5:$E1565,$E1565))</f>
        <v/>
      </c>
      <c r="P1565" s="114" t="str">
        <f aca="false">IF($E1565="","",$E1565*100+$O1565)</f>
        <v/>
      </c>
      <c r="Q1565" s="114" t="str">
        <f aca="false">IF($L1565="Atrasado",$E1565*10000+$A1565,"")</f>
        <v/>
      </c>
    </row>
    <row r="1566" customFormat="false" ht="15" hidden="false" customHeight="false" outlineLevel="0" collapsed="false">
      <c r="A1566" s="114" t="n">
        <f aca="false">ROW()-4</f>
        <v>1562</v>
      </c>
      <c r="B1566" s="114" t="str">
        <f aca="false">IF(A1566&lt;=Config!$E$27*Config!$E$28,"Tema","Avulso")</f>
        <v>Tema</v>
      </c>
      <c r="C1566" s="114" t="n">
        <f aca="false">IF(B1566="Tema",INT((A1566-1)/Config!$E$28)+1,A1566-Config!$E$27*Config!$E$28)</f>
        <v>261</v>
      </c>
      <c r="D1566" s="114" t="n">
        <f aca="false">IF(B1566="Tema",MOD(A1566-1,Config!$E$28)+1,"")</f>
        <v>2</v>
      </c>
      <c r="E1566" s="115" t="str">
        <f aca="false">IF($B1566="Tema",IF(ISNUMBER(INDEX(Temas!$E$6:$P$305,$C1566,2*$D1566-1)),INDEX(Temas!$E$6:$P$305,$C1566,2*$D1566-1),""),IF(ISNUMBER(INDEX(Avulsos!$B$6:$B$205,$C1566)),INDEX(Avulsos!$B$6:$B$205,$C1566),""))</f>
        <v/>
      </c>
      <c r="F1566" s="114" t="str">
        <f aca="false">IF($E1566="","",IF($B1566="Tema",INDEX(Temas!$B$6:$B$305,$C1566)&amp;"",INDEX(Avulsos!$C$6:$C$205,$C1566)&amp;""))</f>
        <v/>
      </c>
      <c r="G1566" s="114" t="str">
        <f aca="false">IF($E1566="","",IF($B1566="Tema",INDEX(Config!$C$6:$C$11,$D1566),"Evento avulso"))</f>
        <v/>
      </c>
      <c r="H1566" s="114" t="str">
        <f aca="false">IF($E1566="","",IF($B1566="Tema",INDEX(Config!$D$6:$D$11,$D1566),IFERROR(INDEX(Config!$E$15:$E$19,MATCH($I1566,Config!$C$15:$C$19,0)),"•")))</f>
        <v/>
      </c>
      <c r="I1566" s="114" t="str">
        <f aca="false">IF($E1566="","",IF($B1566="Tema",INDEX(Config!$E$6:$E$11,$D1566),IF(INDEX(Avulsos!$D$6:$D$205,$C1566)&amp;""="","Outro",INDEX(Avulsos!$D$6:$D$205,$C1566))))</f>
        <v/>
      </c>
      <c r="J1566" s="114" t="str">
        <f aca="false">IF($E1566="","",IF($B1566="Tema",INDEX(Temas!$C$6:$C$305,$C1566)&amp;"",INDEX(Avulsos!$E$6:$E$205,$C1566)&amp;""))</f>
        <v/>
      </c>
      <c r="K1566" s="114" t="str">
        <f aca="false">IF($E1566="","",IF(IF($B1566="Tema",INDEX(Temas!$E$6:$P$305,$C1566,2*$D1566),INDEX(Avulsos!$F$6:$F$205,$C1566))&amp;""="","","✓"))</f>
        <v/>
      </c>
      <c r="L1566" s="114" t="str">
        <f aca="true">IF($E1566="","",IF($K1566="✓","Concluído",IF($E1566&lt;TODAY(),"Atrasado",IF($E1566=TODAY(),"Hoje","Pendente"))))</f>
        <v/>
      </c>
      <c r="M1566" s="114" t="str">
        <f aca="false">IF($E1566="","",IF($K1566="✓","✓ ","")&amp;IF(Config!$E$22="Sim",$H1566&amp;" · ","")&amp;$F1566)</f>
        <v/>
      </c>
      <c r="N1566" s="114" t="str">
        <f aca="false">IF($E1566="","",IFERROR(INDEX(Config!$D$15:$D$19,MATCH($I1566,Config!$C$15:$C$19,0)),"OUT")&amp;IF($K1566="✓","x",""))</f>
        <v/>
      </c>
      <c r="O1566" s="114" t="str">
        <f aca="false">IF($E1566="","",COUNTIF($E$5:$E1566,$E1566))</f>
        <v/>
      </c>
      <c r="P1566" s="114" t="str">
        <f aca="false">IF($E1566="","",$E1566*100+$O1566)</f>
        <v/>
      </c>
      <c r="Q1566" s="114" t="str">
        <f aca="false">IF($L1566="Atrasado",$E1566*10000+$A1566,"")</f>
        <v/>
      </c>
    </row>
    <row r="1567" customFormat="false" ht="15" hidden="false" customHeight="false" outlineLevel="0" collapsed="false">
      <c r="A1567" s="114" t="n">
        <f aca="false">ROW()-4</f>
        <v>1563</v>
      </c>
      <c r="B1567" s="114" t="str">
        <f aca="false">IF(A1567&lt;=Config!$E$27*Config!$E$28,"Tema","Avulso")</f>
        <v>Tema</v>
      </c>
      <c r="C1567" s="114" t="n">
        <f aca="false">IF(B1567="Tema",INT((A1567-1)/Config!$E$28)+1,A1567-Config!$E$27*Config!$E$28)</f>
        <v>261</v>
      </c>
      <c r="D1567" s="114" t="n">
        <f aca="false">IF(B1567="Tema",MOD(A1567-1,Config!$E$28)+1,"")</f>
        <v>3</v>
      </c>
      <c r="E1567" s="115" t="str">
        <f aca="false">IF($B1567="Tema",IF(ISNUMBER(INDEX(Temas!$E$6:$P$305,$C1567,2*$D1567-1)),INDEX(Temas!$E$6:$P$305,$C1567,2*$D1567-1),""),IF(ISNUMBER(INDEX(Avulsos!$B$6:$B$205,$C1567)),INDEX(Avulsos!$B$6:$B$205,$C1567),""))</f>
        <v/>
      </c>
      <c r="F1567" s="114" t="str">
        <f aca="false">IF($E1567="","",IF($B1567="Tema",INDEX(Temas!$B$6:$B$305,$C1567)&amp;"",INDEX(Avulsos!$C$6:$C$205,$C1567)&amp;""))</f>
        <v/>
      </c>
      <c r="G1567" s="114" t="str">
        <f aca="false">IF($E1567="","",IF($B1567="Tema",INDEX(Config!$C$6:$C$11,$D1567),"Evento avulso"))</f>
        <v/>
      </c>
      <c r="H1567" s="114" t="str">
        <f aca="false">IF($E1567="","",IF($B1567="Tema",INDEX(Config!$D$6:$D$11,$D1567),IFERROR(INDEX(Config!$E$15:$E$19,MATCH($I1567,Config!$C$15:$C$19,0)),"•")))</f>
        <v/>
      </c>
      <c r="I1567" s="114" t="str">
        <f aca="false">IF($E1567="","",IF($B1567="Tema",INDEX(Config!$E$6:$E$11,$D1567),IF(INDEX(Avulsos!$D$6:$D$205,$C1567)&amp;""="","Outro",INDEX(Avulsos!$D$6:$D$205,$C1567))))</f>
        <v/>
      </c>
      <c r="J1567" s="114" t="str">
        <f aca="false">IF($E1567="","",IF($B1567="Tema",INDEX(Temas!$C$6:$C$305,$C1567)&amp;"",INDEX(Avulsos!$E$6:$E$205,$C1567)&amp;""))</f>
        <v/>
      </c>
      <c r="K1567" s="114" t="str">
        <f aca="false">IF($E1567="","",IF(IF($B1567="Tema",INDEX(Temas!$E$6:$P$305,$C1567,2*$D1567),INDEX(Avulsos!$F$6:$F$205,$C1567))&amp;""="","","✓"))</f>
        <v/>
      </c>
      <c r="L1567" s="114" t="str">
        <f aca="true">IF($E1567="","",IF($K1567="✓","Concluído",IF($E1567&lt;TODAY(),"Atrasado",IF($E1567=TODAY(),"Hoje","Pendente"))))</f>
        <v/>
      </c>
      <c r="M1567" s="114" t="str">
        <f aca="false">IF($E1567="","",IF($K1567="✓","✓ ","")&amp;IF(Config!$E$22="Sim",$H1567&amp;" · ","")&amp;$F1567)</f>
        <v/>
      </c>
      <c r="N1567" s="114" t="str">
        <f aca="false">IF($E1567="","",IFERROR(INDEX(Config!$D$15:$D$19,MATCH($I1567,Config!$C$15:$C$19,0)),"OUT")&amp;IF($K1567="✓","x",""))</f>
        <v/>
      </c>
      <c r="O1567" s="114" t="str">
        <f aca="false">IF($E1567="","",COUNTIF($E$5:$E1567,$E1567))</f>
        <v/>
      </c>
      <c r="P1567" s="114" t="str">
        <f aca="false">IF($E1567="","",$E1567*100+$O1567)</f>
        <v/>
      </c>
      <c r="Q1567" s="114" t="str">
        <f aca="false">IF($L1567="Atrasado",$E1567*10000+$A1567,"")</f>
        <v/>
      </c>
    </row>
    <row r="1568" customFormat="false" ht="15" hidden="false" customHeight="false" outlineLevel="0" collapsed="false">
      <c r="A1568" s="114" t="n">
        <f aca="false">ROW()-4</f>
        <v>1564</v>
      </c>
      <c r="B1568" s="114" t="str">
        <f aca="false">IF(A1568&lt;=Config!$E$27*Config!$E$28,"Tema","Avulso")</f>
        <v>Tema</v>
      </c>
      <c r="C1568" s="114" t="n">
        <f aca="false">IF(B1568="Tema",INT((A1568-1)/Config!$E$28)+1,A1568-Config!$E$27*Config!$E$28)</f>
        <v>261</v>
      </c>
      <c r="D1568" s="114" t="n">
        <f aca="false">IF(B1568="Tema",MOD(A1568-1,Config!$E$28)+1,"")</f>
        <v>4</v>
      </c>
      <c r="E1568" s="115" t="str">
        <f aca="false">IF($B1568="Tema",IF(ISNUMBER(INDEX(Temas!$E$6:$P$305,$C1568,2*$D1568-1)),INDEX(Temas!$E$6:$P$305,$C1568,2*$D1568-1),""),IF(ISNUMBER(INDEX(Avulsos!$B$6:$B$205,$C1568)),INDEX(Avulsos!$B$6:$B$205,$C1568),""))</f>
        <v/>
      </c>
      <c r="F1568" s="114" t="str">
        <f aca="false">IF($E1568="","",IF($B1568="Tema",INDEX(Temas!$B$6:$B$305,$C1568)&amp;"",INDEX(Avulsos!$C$6:$C$205,$C1568)&amp;""))</f>
        <v/>
      </c>
      <c r="G1568" s="114" t="str">
        <f aca="false">IF($E1568="","",IF($B1568="Tema",INDEX(Config!$C$6:$C$11,$D1568),"Evento avulso"))</f>
        <v/>
      </c>
      <c r="H1568" s="114" t="str">
        <f aca="false">IF($E1568="","",IF($B1568="Tema",INDEX(Config!$D$6:$D$11,$D1568),IFERROR(INDEX(Config!$E$15:$E$19,MATCH($I1568,Config!$C$15:$C$19,0)),"•")))</f>
        <v/>
      </c>
      <c r="I1568" s="114" t="str">
        <f aca="false">IF($E1568="","",IF($B1568="Tema",INDEX(Config!$E$6:$E$11,$D1568),IF(INDEX(Avulsos!$D$6:$D$205,$C1568)&amp;""="","Outro",INDEX(Avulsos!$D$6:$D$205,$C1568))))</f>
        <v/>
      </c>
      <c r="J1568" s="114" t="str">
        <f aca="false">IF($E1568="","",IF($B1568="Tema",INDEX(Temas!$C$6:$C$305,$C1568)&amp;"",INDEX(Avulsos!$E$6:$E$205,$C1568)&amp;""))</f>
        <v/>
      </c>
      <c r="K1568" s="114" t="str">
        <f aca="false">IF($E1568="","",IF(IF($B1568="Tema",INDEX(Temas!$E$6:$P$305,$C1568,2*$D1568),INDEX(Avulsos!$F$6:$F$205,$C1568))&amp;""="","","✓"))</f>
        <v/>
      </c>
      <c r="L1568" s="114" t="str">
        <f aca="true">IF($E1568="","",IF($K1568="✓","Concluído",IF($E1568&lt;TODAY(),"Atrasado",IF($E1568=TODAY(),"Hoje","Pendente"))))</f>
        <v/>
      </c>
      <c r="M1568" s="114" t="str">
        <f aca="false">IF($E1568="","",IF($K1568="✓","✓ ","")&amp;IF(Config!$E$22="Sim",$H1568&amp;" · ","")&amp;$F1568)</f>
        <v/>
      </c>
      <c r="N1568" s="114" t="str">
        <f aca="false">IF($E1568="","",IFERROR(INDEX(Config!$D$15:$D$19,MATCH($I1568,Config!$C$15:$C$19,0)),"OUT")&amp;IF($K1568="✓","x",""))</f>
        <v/>
      </c>
      <c r="O1568" s="114" t="str">
        <f aca="false">IF($E1568="","",COUNTIF($E$5:$E1568,$E1568))</f>
        <v/>
      </c>
      <c r="P1568" s="114" t="str">
        <f aca="false">IF($E1568="","",$E1568*100+$O1568)</f>
        <v/>
      </c>
      <c r="Q1568" s="114" t="str">
        <f aca="false">IF($L1568="Atrasado",$E1568*10000+$A1568,"")</f>
        <v/>
      </c>
    </row>
    <row r="1569" customFormat="false" ht="15" hidden="false" customHeight="false" outlineLevel="0" collapsed="false">
      <c r="A1569" s="114" t="n">
        <f aca="false">ROW()-4</f>
        <v>1565</v>
      </c>
      <c r="B1569" s="114" t="str">
        <f aca="false">IF(A1569&lt;=Config!$E$27*Config!$E$28,"Tema","Avulso")</f>
        <v>Tema</v>
      </c>
      <c r="C1569" s="114" t="n">
        <f aca="false">IF(B1569="Tema",INT((A1569-1)/Config!$E$28)+1,A1569-Config!$E$27*Config!$E$28)</f>
        <v>261</v>
      </c>
      <c r="D1569" s="114" t="n">
        <f aca="false">IF(B1569="Tema",MOD(A1569-1,Config!$E$28)+1,"")</f>
        <v>5</v>
      </c>
      <c r="E1569" s="115" t="str">
        <f aca="false">IF($B1569="Tema",IF(ISNUMBER(INDEX(Temas!$E$6:$P$305,$C1569,2*$D1569-1)),INDEX(Temas!$E$6:$P$305,$C1569,2*$D1569-1),""),IF(ISNUMBER(INDEX(Avulsos!$B$6:$B$205,$C1569)),INDEX(Avulsos!$B$6:$B$205,$C1569),""))</f>
        <v/>
      </c>
      <c r="F1569" s="114" t="str">
        <f aca="false">IF($E1569="","",IF($B1569="Tema",INDEX(Temas!$B$6:$B$305,$C1569)&amp;"",INDEX(Avulsos!$C$6:$C$205,$C1569)&amp;""))</f>
        <v/>
      </c>
      <c r="G1569" s="114" t="str">
        <f aca="false">IF($E1569="","",IF($B1569="Tema",INDEX(Config!$C$6:$C$11,$D1569),"Evento avulso"))</f>
        <v/>
      </c>
      <c r="H1569" s="114" t="str">
        <f aca="false">IF($E1569="","",IF($B1569="Tema",INDEX(Config!$D$6:$D$11,$D1569),IFERROR(INDEX(Config!$E$15:$E$19,MATCH($I1569,Config!$C$15:$C$19,0)),"•")))</f>
        <v/>
      </c>
      <c r="I1569" s="114" t="str">
        <f aca="false">IF($E1569="","",IF($B1569="Tema",INDEX(Config!$E$6:$E$11,$D1569),IF(INDEX(Avulsos!$D$6:$D$205,$C1569)&amp;""="","Outro",INDEX(Avulsos!$D$6:$D$205,$C1569))))</f>
        <v/>
      </c>
      <c r="J1569" s="114" t="str">
        <f aca="false">IF($E1569="","",IF($B1569="Tema",INDEX(Temas!$C$6:$C$305,$C1569)&amp;"",INDEX(Avulsos!$E$6:$E$205,$C1569)&amp;""))</f>
        <v/>
      </c>
      <c r="K1569" s="114" t="str">
        <f aca="false">IF($E1569="","",IF(IF($B1569="Tema",INDEX(Temas!$E$6:$P$305,$C1569,2*$D1569),INDEX(Avulsos!$F$6:$F$205,$C1569))&amp;""="","","✓"))</f>
        <v/>
      </c>
      <c r="L1569" s="114" t="str">
        <f aca="true">IF($E1569="","",IF($K1569="✓","Concluído",IF($E1569&lt;TODAY(),"Atrasado",IF($E1569=TODAY(),"Hoje","Pendente"))))</f>
        <v/>
      </c>
      <c r="M1569" s="114" t="str">
        <f aca="false">IF($E1569="","",IF($K1569="✓","✓ ","")&amp;IF(Config!$E$22="Sim",$H1569&amp;" · ","")&amp;$F1569)</f>
        <v/>
      </c>
      <c r="N1569" s="114" t="str">
        <f aca="false">IF($E1569="","",IFERROR(INDEX(Config!$D$15:$D$19,MATCH($I1569,Config!$C$15:$C$19,0)),"OUT")&amp;IF($K1569="✓","x",""))</f>
        <v/>
      </c>
      <c r="O1569" s="114" t="str">
        <f aca="false">IF($E1569="","",COUNTIF($E$5:$E1569,$E1569))</f>
        <v/>
      </c>
      <c r="P1569" s="114" t="str">
        <f aca="false">IF($E1569="","",$E1569*100+$O1569)</f>
        <v/>
      </c>
      <c r="Q1569" s="114" t="str">
        <f aca="false">IF($L1569="Atrasado",$E1569*10000+$A1569,"")</f>
        <v/>
      </c>
    </row>
    <row r="1570" customFormat="false" ht="15" hidden="false" customHeight="false" outlineLevel="0" collapsed="false">
      <c r="A1570" s="114" t="n">
        <f aca="false">ROW()-4</f>
        <v>1566</v>
      </c>
      <c r="B1570" s="114" t="str">
        <f aca="false">IF(A1570&lt;=Config!$E$27*Config!$E$28,"Tema","Avulso")</f>
        <v>Tema</v>
      </c>
      <c r="C1570" s="114" t="n">
        <f aca="false">IF(B1570="Tema",INT((A1570-1)/Config!$E$28)+1,A1570-Config!$E$27*Config!$E$28)</f>
        <v>261</v>
      </c>
      <c r="D1570" s="114" t="n">
        <f aca="false">IF(B1570="Tema",MOD(A1570-1,Config!$E$28)+1,"")</f>
        <v>6</v>
      </c>
      <c r="E1570" s="115" t="str">
        <f aca="false">IF($B1570="Tema",IF(ISNUMBER(INDEX(Temas!$E$6:$P$305,$C1570,2*$D1570-1)),INDEX(Temas!$E$6:$P$305,$C1570,2*$D1570-1),""),IF(ISNUMBER(INDEX(Avulsos!$B$6:$B$205,$C1570)),INDEX(Avulsos!$B$6:$B$205,$C1570),""))</f>
        <v/>
      </c>
      <c r="F1570" s="114" t="str">
        <f aca="false">IF($E1570="","",IF($B1570="Tema",INDEX(Temas!$B$6:$B$305,$C1570)&amp;"",INDEX(Avulsos!$C$6:$C$205,$C1570)&amp;""))</f>
        <v/>
      </c>
      <c r="G1570" s="114" t="str">
        <f aca="false">IF($E1570="","",IF($B1570="Tema",INDEX(Config!$C$6:$C$11,$D1570),"Evento avulso"))</f>
        <v/>
      </c>
      <c r="H1570" s="114" t="str">
        <f aca="false">IF($E1570="","",IF($B1570="Tema",INDEX(Config!$D$6:$D$11,$D1570),IFERROR(INDEX(Config!$E$15:$E$19,MATCH($I1570,Config!$C$15:$C$19,0)),"•")))</f>
        <v/>
      </c>
      <c r="I1570" s="114" t="str">
        <f aca="false">IF($E1570="","",IF($B1570="Tema",INDEX(Config!$E$6:$E$11,$D1570),IF(INDEX(Avulsos!$D$6:$D$205,$C1570)&amp;""="","Outro",INDEX(Avulsos!$D$6:$D$205,$C1570))))</f>
        <v/>
      </c>
      <c r="J1570" s="114" t="str">
        <f aca="false">IF($E1570="","",IF($B1570="Tema",INDEX(Temas!$C$6:$C$305,$C1570)&amp;"",INDEX(Avulsos!$E$6:$E$205,$C1570)&amp;""))</f>
        <v/>
      </c>
      <c r="K1570" s="114" t="str">
        <f aca="false">IF($E1570="","",IF(IF($B1570="Tema",INDEX(Temas!$E$6:$P$305,$C1570,2*$D1570),INDEX(Avulsos!$F$6:$F$205,$C1570))&amp;""="","","✓"))</f>
        <v/>
      </c>
      <c r="L1570" s="114" t="str">
        <f aca="true">IF($E1570="","",IF($K1570="✓","Concluído",IF($E1570&lt;TODAY(),"Atrasado",IF($E1570=TODAY(),"Hoje","Pendente"))))</f>
        <v/>
      </c>
      <c r="M1570" s="114" t="str">
        <f aca="false">IF($E1570="","",IF($K1570="✓","✓ ","")&amp;IF(Config!$E$22="Sim",$H1570&amp;" · ","")&amp;$F1570)</f>
        <v/>
      </c>
      <c r="N1570" s="114" t="str">
        <f aca="false">IF($E1570="","",IFERROR(INDEX(Config!$D$15:$D$19,MATCH($I1570,Config!$C$15:$C$19,0)),"OUT")&amp;IF($K1570="✓","x",""))</f>
        <v/>
      </c>
      <c r="O1570" s="114" t="str">
        <f aca="false">IF($E1570="","",COUNTIF($E$5:$E1570,$E1570))</f>
        <v/>
      </c>
      <c r="P1570" s="114" t="str">
        <f aca="false">IF($E1570="","",$E1570*100+$O1570)</f>
        <v/>
      </c>
      <c r="Q1570" s="114" t="str">
        <f aca="false">IF($L1570="Atrasado",$E1570*10000+$A1570,"")</f>
        <v/>
      </c>
    </row>
    <row r="1571" customFormat="false" ht="15" hidden="false" customHeight="false" outlineLevel="0" collapsed="false">
      <c r="A1571" s="114" t="n">
        <f aca="false">ROW()-4</f>
        <v>1567</v>
      </c>
      <c r="B1571" s="114" t="str">
        <f aca="false">IF(A1571&lt;=Config!$E$27*Config!$E$28,"Tema","Avulso")</f>
        <v>Tema</v>
      </c>
      <c r="C1571" s="114" t="n">
        <f aca="false">IF(B1571="Tema",INT((A1571-1)/Config!$E$28)+1,A1571-Config!$E$27*Config!$E$28)</f>
        <v>262</v>
      </c>
      <c r="D1571" s="114" t="n">
        <f aca="false">IF(B1571="Tema",MOD(A1571-1,Config!$E$28)+1,"")</f>
        <v>1</v>
      </c>
      <c r="E1571" s="115" t="str">
        <f aca="false">IF($B1571="Tema",IF(ISNUMBER(INDEX(Temas!$E$6:$P$305,$C1571,2*$D1571-1)),INDEX(Temas!$E$6:$P$305,$C1571,2*$D1571-1),""),IF(ISNUMBER(INDEX(Avulsos!$B$6:$B$205,$C1571)),INDEX(Avulsos!$B$6:$B$205,$C1571),""))</f>
        <v/>
      </c>
      <c r="F1571" s="114" t="str">
        <f aca="false">IF($E1571="","",IF($B1571="Tema",INDEX(Temas!$B$6:$B$305,$C1571)&amp;"",INDEX(Avulsos!$C$6:$C$205,$C1571)&amp;""))</f>
        <v/>
      </c>
      <c r="G1571" s="114" t="str">
        <f aca="false">IF($E1571="","",IF($B1571="Tema",INDEX(Config!$C$6:$C$11,$D1571),"Evento avulso"))</f>
        <v/>
      </c>
      <c r="H1571" s="114" t="str">
        <f aca="false">IF($E1571="","",IF($B1571="Tema",INDEX(Config!$D$6:$D$11,$D1571),IFERROR(INDEX(Config!$E$15:$E$19,MATCH($I1571,Config!$C$15:$C$19,0)),"•")))</f>
        <v/>
      </c>
      <c r="I1571" s="114" t="str">
        <f aca="false">IF($E1571="","",IF($B1571="Tema",INDEX(Config!$E$6:$E$11,$D1571),IF(INDEX(Avulsos!$D$6:$D$205,$C1571)&amp;""="","Outro",INDEX(Avulsos!$D$6:$D$205,$C1571))))</f>
        <v/>
      </c>
      <c r="J1571" s="114" t="str">
        <f aca="false">IF($E1571="","",IF($B1571="Tema",INDEX(Temas!$C$6:$C$305,$C1571)&amp;"",INDEX(Avulsos!$E$6:$E$205,$C1571)&amp;""))</f>
        <v/>
      </c>
      <c r="K1571" s="114" t="str">
        <f aca="false">IF($E1571="","",IF(IF($B1571="Tema",INDEX(Temas!$E$6:$P$305,$C1571,2*$D1571),INDEX(Avulsos!$F$6:$F$205,$C1571))&amp;""="","","✓"))</f>
        <v/>
      </c>
      <c r="L1571" s="114" t="str">
        <f aca="true">IF($E1571="","",IF($K1571="✓","Concluído",IF($E1571&lt;TODAY(),"Atrasado",IF($E1571=TODAY(),"Hoje","Pendente"))))</f>
        <v/>
      </c>
      <c r="M1571" s="114" t="str">
        <f aca="false">IF($E1571="","",IF($K1571="✓","✓ ","")&amp;IF(Config!$E$22="Sim",$H1571&amp;" · ","")&amp;$F1571)</f>
        <v/>
      </c>
      <c r="N1571" s="114" t="str">
        <f aca="false">IF($E1571="","",IFERROR(INDEX(Config!$D$15:$D$19,MATCH($I1571,Config!$C$15:$C$19,0)),"OUT")&amp;IF($K1571="✓","x",""))</f>
        <v/>
      </c>
      <c r="O1571" s="114" t="str">
        <f aca="false">IF($E1571="","",COUNTIF($E$5:$E1571,$E1571))</f>
        <v/>
      </c>
      <c r="P1571" s="114" t="str">
        <f aca="false">IF($E1571="","",$E1571*100+$O1571)</f>
        <v/>
      </c>
      <c r="Q1571" s="114" t="str">
        <f aca="false">IF($L1571="Atrasado",$E1571*10000+$A1571,"")</f>
        <v/>
      </c>
    </row>
    <row r="1572" customFormat="false" ht="15" hidden="false" customHeight="false" outlineLevel="0" collapsed="false">
      <c r="A1572" s="114" t="n">
        <f aca="false">ROW()-4</f>
        <v>1568</v>
      </c>
      <c r="B1572" s="114" t="str">
        <f aca="false">IF(A1572&lt;=Config!$E$27*Config!$E$28,"Tema","Avulso")</f>
        <v>Tema</v>
      </c>
      <c r="C1572" s="114" t="n">
        <f aca="false">IF(B1572="Tema",INT((A1572-1)/Config!$E$28)+1,A1572-Config!$E$27*Config!$E$28)</f>
        <v>262</v>
      </c>
      <c r="D1572" s="114" t="n">
        <f aca="false">IF(B1572="Tema",MOD(A1572-1,Config!$E$28)+1,"")</f>
        <v>2</v>
      </c>
      <c r="E1572" s="115" t="str">
        <f aca="false">IF($B1572="Tema",IF(ISNUMBER(INDEX(Temas!$E$6:$P$305,$C1572,2*$D1572-1)),INDEX(Temas!$E$6:$P$305,$C1572,2*$D1572-1),""),IF(ISNUMBER(INDEX(Avulsos!$B$6:$B$205,$C1572)),INDEX(Avulsos!$B$6:$B$205,$C1572),""))</f>
        <v/>
      </c>
      <c r="F1572" s="114" t="str">
        <f aca="false">IF($E1572="","",IF($B1572="Tema",INDEX(Temas!$B$6:$B$305,$C1572)&amp;"",INDEX(Avulsos!$C$6:$C$205,$C1572)&amp;""))</f>
        <v/>
      </c>
      <c r="G1572" s="114" t="str">
        <f aca="false">IF($E1572="","",IF($B1572="Tema",INDEX(Config!$C$6:$C$11,$D1572),"Evento avulso"))</f>
        <v/>
      </c>
      <c r="H1572" s="114" t="str">
        <f aca="false">IF($E1572="","",IF($B1572="Tema",INDEX(Config!$D$6:$D$11,$D1572),IFERROR(INDEX(Config!$E$15:$E$19,MATCH($I1572,Config!$C$15:$C$19,0)),"•")))</f>
        <v/>
      </c>
      <c r="I1572" s="114" t="str">
        <f aca="false">IF($E1572="","",IF($B1572="Tema",INDEX(Config!$E$6:$E$11,$D1572),IF(INDEX(Avulsos!$D$6:$D$205,$C1572)&amp;""="","Outro",INDEX(Avulsos!$D$6:$D$205,$C1572))))</f>
        <v/>
      </c>
      <c r="J1572" s="114" t="str">
        <f aca="false">IF($E1572="","",IF($B1572="Tema",INDEX(Temas!$C$6:$C$305,$C1572)&amp;"",INDEX(Avulsos!$E$6:$E$205,$C1572)&amp;""))</f>
        <v/>
      </c>
      <c r="K1572" s="114" t="str">
        <f aca="false">IF($E1572="","",IF(IF($B1572="Tema",INDEX(Temas!$E$6:$P$305,$C1572,2*$D1572),INDEX(Avulsos!$F$6:$F$205,$C1572))&amp;""="","","✓"))</f>
        <v/>
      </c>
      <c r="L1572" s="114" t="str">
        <f aca="true">IF($E1572="","",IF($K1572="✓","Concluído",IF($E1572&lt;TODAY(),"Atrasado",IF($E1572=TODAY(),"Hoje","Pendente"))))</f>
        <v/>
      </c>
      <c r="M1572" s="114" t="str">
        <f aca="false">IF($E1572="","",IF($K1572="✓","✓ ","")&amp;IF(Config!$E$22="Sim",$H1572&amp;" · ","")&amp;$F1572)</f>
        <v/>
      </c>
      <c r="N1572" s="114" t="str">
        <f aca="false">IF($E1572="","",IFERROR(INDEX(Config!$D$15:$D$19,MATCH($I1572,Config!$C$15:$C$19,0)),"OUT")&amp;IF($K1572="✓","x",""))</f>
        <v/>
      </c>
      <c r="O1572" s="114" t="str">
        <f aca="false">IF($E1572="","",COUNTIF($E$5:$E1572,$E1572))</f>
        <v/>
      </c>
      <c r="P1572" s="114" t="str">
        <f aca="false">IF($E1572="","",$E1572*100+$O1572)</f>
        <v/>
      </c>
      <c r="Q1572" s="114" t="str">
        <f aca="false">IF($L1572="Atrasado",$E1572*10000+$A1572,"")</f>
        <v/>
      </c>
    </row>
    <row r="1573" customFormat="false" ht="15" hidden="false" customHeight="false" outlineLevel="0" collapsed="false">
      <c r="A1573" s="114" t="n">
        <f aca="false">ROW()-4</f>
        <v>1569</v>
      </c>
      <c r="B1573" s="114" t="str">
        <f aca="false">IF(A1573&lt;=Config!$E$27*Config!$E$28,"Tema","Avulso")</f>
        <v>Tema</v>
      </c>
      <c r="C1573" s="114" t="n">
        <f aca="false">IF(B1573="Tema",INT((A1573-1)/Config!$E$28)+1,A1573-Config!$E$27*Config!$E$28)</f>
        <v>262</v>
      </c>
      <c r="D1573" s="114" t="n">
        <f aca="false">IF(B1573="Tema",MOD(A1573-1,Config!$E$28)+1,"")</f>
        <v>3</v>
      </c>
      <c r="E1573" s="115" t="str">
        <f aca="false">IF($B1573="Tema",IF(ISNUMBER(INDEX(Temas!$E$6:$P$305,$C1573,2*$D1573-1)),INDEX(Temas!$E$6:$P$305,$C1573,2*$D1573-1),""),IF(ISNUMBER(INDEX(Avulsos!$B$6:$B$205,$C1573)),INDEX(Avulsos!$B$6:$B$205,$C1573),""))</f>
        <v/>
      </c>
      <c r="F1573" s="114" t="str">
        <f aca="false">IF($E1573="","",IF($B1573="Tema",INDEX(Temas!$B$6:$B$305,$C1573)&amp;"",INDEX(Avulsos!$C$6:$C$205,$C1573)&amp;""))</f>
        <v/>
      </c>
      <c r="G1573" s="114" t="str">
        <f aca="false">IF($E1573="","",IF($B1573="Tema",INDEX(Config!$C$6:$C$11,$D1573),"Evento avulso"))</f>
        <v/>
      </c>
      <c r="H1573" s="114" t="str">
        <f aca="false">IF($E1573="","",IF($B1573="Tema",INDEX(Config!$D$6:$D$11,$D1573),IFERROR(INDEX(Config!$E$15:$E$19,MATCH($I1573,Config!$C$15:$C$19,0)),"•")))</f>
        <v/>
      </c>
      <c r="I1573" s="114" t="str">
        <f aca="false">IF($E1573="","",IF($B1573="Tema",INDEX(Config!$E$6:$E$11,$D1573),IF(INDEX(Avulsos!$D$6:$D$205,$C1573)&amp;""="","Outro",INDEX(Avulsos!$D$6:$D$205,$C1573))))</f>
        <v/>
      </c>
      <c r="J1573" s="114" t="str">
        <f aca="false">IF($E1573="","",IF($B1573="Tema",INDEX(Temas!$C$6:$C$305,$C1573)&amp;"",INDEX(Avulsos!$E$6:$E$205,$C1573)&amp;""))</f>
        <v/>
      </c>
      <c r="K1573" s="114" t="str">
        <f aca="false">IF($E1573="","",IF(IF($B1573="Tema",INDEX(Temas!$E$6:$P$305,$C1573,2*$D1573),INDEX(Avulsos!$F$6:$F$205,$C1573))&amp;""="","","✓"))</f>
        <v/>
      </c>
      <c r="L1573" s="114" t="str">
        <f aca="true">IF($E1573="","",IF($K1573="✓","Concluído",IF($E1573&lt;TODAY(),"Atrasado",IF($E1573=TODAY(),"Hoje","Pendente"))))</f>
        <v/>
      </c>
      <c r="M1573" s="114" t="str">
        <f aca="false">IF($E1573="","",IF($K1573="✓","✓ ","")&amp;IF(Config!$E$22="Sim",$H1573&amp;" · ","")&amp;$F1573)</f>
        <v/>
      </c>
      <c r="N1573" s="114" t="str">
        <f aca="false">IF($E1573="","",IFERROR(INDEX(Config!$D$15:$D$19,MATCH($I1573,Config!$C$15:$C$19,0)),"OUT")&amp;IF($K1573="✓","x",""))</f>
        <v/>
      </c>
      <c r="O1573" s="114" t="str">
        <f aca="false">IF($E1573="","",COUNTIF($E$5:$E1573,$E1573))</f>
        <v/>
      </c>
      <c r="P1573" s="114" t="str">
        <f aca="false">IF($E1573="","",$E1573*100+$O1573)</f>
        <v/>
      </c>
      <c r="Q1573" s="114" t="str">
        <f aca="false">IF($L1573="Atrasado",$E1573*10000+$A1573,"")</f>
        <v/>
      </c>
    </row>
    <row r="1574" customFormat="false" ht="15" hidden="false" customHeight="false" outlineLevel="0" collapsed="false">
      <c r="A1574" s="114" t="n">
        <f aca="false">ROW()-4</f>
        <v>1570</v>
      </c>
      <c r="B1574" s="114" t="str">
        <f aca="false">IF(A1574&lt;=Config!$E$27*Config!$E$28,"Tema","Avulso")</f>
        <v>Tema</v>
      </c>
      <c r="C1574" s="114" t="n">
        <f aca="false">IF(B1574="Tema",INT((A1574-1)/Config!$E$28)+1,A1574-Config!$E$27*Config!$E$28)</f>
        <v>262</v>
      </c>
      <c r="D1574" s="114" t="n">
        <f aca="false">IF(B1574="Tema",MOD(A1574-1,Config!$E$28)+1,"")</f>
        <v>4</v>
      </c>
      <c r="E1574" s="115" t="str">
        <f aca="false">IF($B1574="Tema",IF(ISNUMBER(INDEX(Temas!$E$6:$P$305,$C1574,2*$D1574-1)),INDEX(Temas!$E$6:$P$305,$C1574,2*$D1574-1),""),IF(ISNUMBER(INDEX(Avulsos!$B$6:$B$205,$C1574)),INDEX(Avulsos!$B$6:$B$205,$C1574),""))</f>
        <v/>
      </c>
      <c r="F1574" s="114" t="str">
        <f aca="false">IF($E1574="","",IF($B1574="Tema",INDEX(Temas!$B$6:$B$305,$C1574)&amp;"",INDEX(Avulsos!$C$6:$C$205,$C1574)&amp;""))</f>
        <v/>
      </c>
      <c r="G1574" s="114" t="str">
        <f aca="false">IF($E1574="","",IF($B1574="Tema",INDEX(Config!$C$6:$C$11,$D1574),"Evento avulso"))</f>
        <v/>
      </c>
      <c r="H1574" s="114" t="str">
        <f aca="false">IF($E1574="","",IF($B1574="Tema",INDEX(Config!$D$6:$D$11,$D1574),IFERROR(INDEX(Config!$E$15:$E$19,MATCH($I1574,Config!$C$15:$C$19,0)),"•")))</f>
        <v/>
      </c>
      <c r="I1574" s="114" t="str">
        <f aca="false">IF($E1574="","",IF($B1574="Tema",INDEX(Config!$E$6:$E$11,$D1574),IF(INDEX(Avulsos!$D$6:$D$205,$C1574)&amp;""="","Outro",INDEX(Avulsos!$D$6:$D$205,$C1574))))</f>
        <v/>
      </c>
      <c r="J1574" s="114" t="str">
        <f aca="false">IF($E1574="","",IF($B1574="Tema",INDEX(Temas!$C$6:$C$305,$C1574)&amp;"",INDEX(Avulsos!$E$6:$E$205,$C1574)&amp;""))</f>
        <v/>
      </c>
      <c r="K1574" s="114" t="str">
        <f aca="false">IF($E1574="","",IF(IF($B1574="Tema",INDEX(Temas!$E$6:$P$305,$C1574,2*$D1574),INDEX(Avulsos!$F$6:$F$205,$C1574))&amp;""="","","✓"))</f>
        <v/>
      </c>
      <c r="L1574" s="114" t="str">
        <f aca="true">IF($E1574="","",IF($K1574="✓","Concluído",IF($E1574&lt;TODAY(),"Atrasado",IF($E1574=TODAY(),"Hoje","Pendente"))))</f>
        <v/>
      </c>
      <c r="M1574" s="114" t="str">
        <f aca="false">IF($E1574="","",IF($K1574="✓","✓ ","")&amp;IF(Config!$E$22="Sim",$H1574&amp;" · ","")&amp;$F1574)</f>
        <v/>
      </c>
      <c r="N1574" s="114" t="str">
        <f aca="false">IF($E1574="","",IFERROR(INDEX(Config!$D$15:$D$19,MATCH($I1574,Config!$C$15:$C$19,0)),"OUT")&amp;IF($K1574="✓","x",""))</f>
        <v/>
      </c>
      <c r="O1574" s="114" t="str">
        <f aca="false">IF($E1574="","",COUNTIF($E$5:$E1574,$E1574))</f>
        <v/>
      </c>
      <c r="P1574" s="114" t="str">
        <f aca="false">IF($E1574="","",$E1574*100+$O1574)</f>
        <v/>
      </c>
      <c r="Q1574" s="114" t="str">
        <f aca="false">IF($L1574="Atrasado",$E1574*10000+$A1574,"")</f>
        <v/>
      </c>
    </row>
    <row r="1575" customFormat="false" ht="15" hidden="false" customHeight="false" outlineLevel="0" collapsed="false">
      <c r="A1575" s="114" t="n">
        <f aca="false">ROW()-4</f>
        <v>1571</v>
      </c>
      <c r="B1575" s="114" t="str">
        <f aca="false">IF(A1575&lt;=Config!$E$27*Config!$E$28,"Tema","Avulso")</f>
        <v>Tema</v>
      </c>
      <c r="C1575" s="114" t="n">
        <f aca="false">IF(B1575="Tema",INT((A1575-1)/Config!$E$28)+1,A1575-Config!$E$27*Config!$E$28)</f>
        <v>262</v>
      </c>
      <c r="D1575" s="114" t="n">
        <f aca="false">IF(B1575="Tema",MOD(A1575-1,Config!$E$28)+1,"")</f>
        <v>5</v>
      </c>
      <c r="E1575" s="115" t="str">
        <f aca="false">IF($B1575="Tema",IF(ISNUMBER(INDEX(Temas!$E$6:$P$305,$C1575,2*$D1575-1)),INDEX(Temas!$E$6:$P$305,$C1575,2*$D1575-1),""),IF(ISNUMBER(INDEX(Avulsos!$B$6:$B$205,$C1575)),INDEX(Avulsos!$B$6:$B$205,$C1575),""))</f>
        <v/>
      </c>
      <c r="F1575" s="114" t="str">
        <f aca="false">IF($E1575="","",IF($B1575="Tema",INDEX(Temas!$B$6:$B$305,$C1575)&amp;"",INDEX(Avulsos!$C$6:$C$205,$C1575)&amp;""))</f>
        <v/>
      </c>
      <c r="G1575" s="114" t="str">
        <f aca="false">IF($E1575="","",IF($B1575="Tema",INDEX(Config!$C$6:$C$11,$D1575),"Evento avulso"))</f>
        <v/>
      </c>
      <c r="H1575" s="114" t="str">
        <f aca="false">IF($E1575="","",IF($B1575="Tema",INDEX(Config!$D$6:$D$11,$D1575),IFERROR(INDEX(Config!$E$15:$E$19,MATCH($I1575,Config!$C$15:$C$19,0)),"•")))</f>
        <v/>
      </c>
      <c r="I1575" s="114" t="str">
        <f aca="false">IF($E1575="","",IF($B1575="Tema",INDEX(Config!$E$6:$E$11,$D1575),IF(INDEX(Avulsos!$D$6:$D$205,$C1575)&amp;""="","Outro",INDEX(Avulsos!$D$6:$D$205,$C1575))))</f>
        <v/>
      </c>
      <c r="J1575" s="114" t="str">
        <f aca="false">IF($E1575="","",IF($B1575="Tema",INDEX(Temas!$C$6:$C$305,$C1575)&amp;"",INDEX(Avulsos!$E$6:$E$205,$C1575)&amp;""))</f>
        <v/>
      </c>
      <c r="K1575" s="114" t="str">
        <f aca="false">IF($E1575="","",IF(IF($B1575="Tema",INDEX(Temas!$E$6:$P$305,$C1575,2*$D1575),INDEX(Avulsos!$F$6:$F$205,$C1575))&amp;""="","","✓"))</f>
        <v/>
      </c>
      <c r="L1575" s="114" t="str">
        <f aca="true">IF($E1575="","",IF($K1575="✓","Concluído",IF($E1575&lt;TODAY(),"Atrasado",IF($E1575=TODAY(),"Hoje","Pendente"))))</f>
        <v/>
      </c>
      <c r="M1575" s="114" t="str">
        <f aca="false">IF($E1575="","",IF($K1575="✓","✓ ","")&amp;IF(Config!$E$22="Sim",$H1575&amp;" · ","")&amp;$F1575)</f>
        <v/>
      </c>
      <c r="N1575" s="114" t="str">
        <f aca="false">IF($E1575="","",IFERROR(INDEX(Config!$D$15:$D$19,MATCH($I1575,Config!$C$15:$C$19,0)),"OUT")&amp;IF($K1575="✓","x",""))</f>
        <v/>
      </c>
      <c r="O1575" s="114" t="str">
        <f aca="false">IF($E1575="","",COUNTIF($E$5:$E1575,$E1575))</f>
        <v/>
      </c>
      <c r="P1575" s="114" t="str">
        <f aca="false">IF($E1575="","",$E1575*100+$O1575)</f>
        <v/>
      </c>
      <c r="Q1575" s="114" t="str">
        <f aca="false">IF($L1575="Atrasado",$E1575*10000+$A1575,"")</f>
        <v/>
      </c>
    </row>
    <row r="1576" customFormat="false" ht="15" hidden="false" customHeight="false" outlineLevel="0" collapsed="false">
      <c r="A1576" s="114" t="n">
        <f aca="false">ROW()-4</f>
        <v>1572</v>
      </c>
      <c r="B1576" s="114" t="str">
        <f aca="false">IF(A1576&lt;=Config!$E$27*Config!$E$28,"Tema","Avulso")</f>
        <v>Tema</v>
      </c>
      <c r="C1576" s="114" t="n">
        <f aca="false">IF(B1576="Tema",INT((A1576-1)/Config!$E$28)+1,A1576-Config!$E$27*Config!$E$28)</f>
        <v>262</v>
      </c>
      <c r="D1576" s="114" t="n">
        <f aca="false">IF(B1576="Tema",MOD(A1576-1,Config!$E$28)+1,"")</f>
        <v>6</v>
      </c>
      <c r="E1576" s="115" t="str">
        <f aca="false">IF($B1576="Tema",IF(ISNUMBER(INDEX(Temas!$E$6:$P$305,$C1576,2*$D1576-1)),INDEX(Temas!$E$6:$P$305,$C1576,2*$D1576-1),""),IF(ISNUMBER(INDEX(Avulsos!$B$6:$B$205,$C1576)),INDEX(Avulsos!$B$6:$B$205,$C1576),""))</f>
        <v/>
      </c>
      <c r="F1576" s="114" t="str">
        <f aca="false">IF($E1576="","",IF($B1576="Tema",INDEX(Temas!$B$6:$B$305,$C1576)&amp;"",INDEX(Avulsos!$C$6:$C$205,$C1576)&amp;""))</f>
        <v/>
      </c>
      <c r="G1576" s="114" t="str">
        <f aca="false">IF($E1576="","",IF($B1576="Tema",INDEX(Config!$C$6:$C$11,$D1576),"Evento avulso"))</f>
        <v/>
      </c>
      <c r="H1576" s="114" t="str">
        <f aca="false">IF($E1576="","",IF($B1576="Tema",INDEX(Config!$D$6:$D$11,$D1576),IFERROR(INDEX(Config!$E$15:$E$19,MATCH($I1576,Config!$C$15:$C$19,0)),"•")))</f>
        <v/>
      </c>
      <c r="I1576" s="114" t="str">
        <f aca="false">IF($E1576="","",IF($B1576="Tema",INDEX(Config!$E$6:$E$11,$D1576),IF(INDEX(Avulsos!$D$6:$D$205,$C1576)&amp;""="","Outro",INDEX(Avulsos!$D$6:$D$205,$C1576))))</f>
        <v/>
      </c>
      <c r="J1576" s="114" t="str">
        <f aca="false">IF($E1576="","",IF($B1576="Tema",INDEX(Temas!$C$6:$C$305,$C1576)&amp;"",INDEX(Avulsos!$E$6:$E$205,$C1576)&amp;""))</f>
        <v/>
      </c>
      <c r="K1576" s="114" t="str">
        <f aca="false">IF($E1576="","",IF(IF($B1576="Tema",INDEX(Temas!$E$6:$P$305,$C1576,2*$D1576),INDEX(Avulsos!$F$6:$F$205,$C1576))&amp;""="","","✓"))</f>
        <v/>
      </c>
      <c r="L1576" s="114" t="str">
        <f aca="true">IF($E1576="","",IF($K1576="✓","Concluído",IF($E1576&lt;TODAY(),"Atrasado",IF($E1576=TODAY(),"Hoje","Pendente"))))</f>
        <v/>
      </c>
      <c r="M1576" s="114" t="str">
        <f aca="false">IF($E1576="","",IF($K1576="✓","✓ ","")&amp;IF(Config!$E$22="Sim",$H1576&amp;" · ","")&amp;$F1576)</f>
        <v/>
      </c>
      <c r="N1576" s="114" t="str">
        <f aca="false">IF($E1576="","",IFERROR(INDEX(Config!$D$15:$D$19,MATCH($I1576,Config!$C$15:$C$19,0)),"OUT")&amp;IF($K1576="✓","x",""))</f>
        <v/>
      </c>
      <c r="O1576" s="114" t="str">
        <f aca="false">IF($E1576="","",COUNTIF($E$5:$E1576,$E1576))</f>
        <v/>
      </c>
      <c r="P1576" s="114" t="str">
        <f aca="false">IF($E1576="","",$E1576*100+$O1576)</f>
        <v/>
      </c>
      <c r="Q1576" s="114" t="str">
        <f aca="false">IF($L1576="Atrasado",$E1576*10000+$A1576,"")</f>
        <v/>
      </c>
    </row>
    <row r="1577" customFormat="false" ht="15" hidden="false" customHeight="false" outlineLevel="0" collapsed="false">
      <c r="A1577" s="114" t="n">
        <f aca="false">ROW()-4</f>
        <v>1573</v>
      </c>
      <c r="B1577" s="114" t="str">
        <f aca="false">IF(A1577&lt;=Config!$E$27*Config!$E$28,"Tema","Avulso")</f>
        <v>Tema</v>
      </c>
      <c r="C1577" s="114" t="n">
        <f aca="false">IF(B1577="Tema",INT((A1577-1)/Config!$E$28)+1,A1577-Config!$E$27*Config!$E$28)</f>
        <v>263</v>
      </c>
      <c r="D1577" s="114" t="n">
        <f aca="false">IF(B1577="Tema",MOD(A1577-1,Config!$E$28)+1,"")</f>
        <v>1</v>
      </c>
      <c r="E1577" s="115" t="str">
        <f aca="false">IF($B1577="Tema",IF(ISNUMBER(INDEX(Temas!$E$6:$P$305,$C1577,2*$D1577-1)),INDEX(Temas!$E$6:$P$305,$C1577,2*$D1577-1),""),IF(ISNUMBER(INDEX(Avulsos!$B$6:$B$205,$C1577)),INDEX(Avulsos!$B$6:$B$205,$C1577),""))</f>
        <v/>
      </c>
      <c r="F1577" s="114" t="str">
        <f aca="false">IF($E1577="","",IF($B1577="Tema",INDEX(Temas!$B$6:$B$305,$C1577)&amp;"",INDEX(Avulsos!$C$6:$C$205,$C1577)&amp;""))</f>
        <v/>
      </c>
      <c r="G1577" s="114" t="str">
        <f aca="false">IF($E1577="","",IF($B1577="Tema",INDEX(Config!$C$6:$C$11,$D1577),"Evento avulso"))</f>
        <v/>
      </c>
      <c r="H1577" s="114" t="str">
        <f aca="false">IF($E1577="","",IF($B1577="Tema",INDEX(Config!$D$6:$D$11,$D1577),IFERROR(INDEX(Config!$E$15:$E$19,MATCH($I1577,Config!$C$15:$C$19,0)),"•")))</f>
        <v/>
      </c>
      <c r="I1577" s="114" t="str">
        <f aca="false">IF($E1577="","",IF($B1577="Tema",INDEX(Config!$E$6:$E$11,$D1577),IF(INDEX(Avulsos!$D$6:$D$205,$C1577)&amp;""="","Outro",INDEX(Avulsos!$D$6:$D$205,$C1577))))</f>
        <v/>
      </c>
      <c r="J1577" s="114" t="str">
        <f aca="false">IF($E1577="","",IF($B1577="Tema",INDEX(Temas!$C$6:$C$305,$C1577)&amp;"",INDEX(Avulsos!$E$6:$E$205,$C1577)&amp;""))</f>
        <v/>
      </c>
      <c r="K1577" s="114" t="str">
        <f aca="false">IF($E1577="","",IF(IF($B1577="Tema",INDEX(Temas!$E$6:$P$305,$C1577,2*$D1577),INDEX(Avulsos!$F$6:$F$205,$C1577))&amp;""="","","✓"))</f>
        <v/>
      </c>
      <c r="L1577" s="114" t="str">
        <f aca="true">IF($E1577="","",IF($K1577="✓","Concluído",IF($E1577&lt;TODAY(),"Atrasado",IF($E1577=TODAY(),"Hoje","Pendente"))))</f>
        <v/>
      </c>
      <c r="M1577" s="114" t="str">
        <f aca="false">IF($E1577="","",IF($K1577="✓","✓ ","")&amp;IF(Config!$E$22="Sim",$H1577&amp;" · ","")&amp;$F1577)</f>
        <v/>
      </c>
      <c r="N1577" s="114" t="str">
        <f aca="false">IF($E1577="","",IFERROR(INDEX(Config!$D$15:$D$19,MATCH($I1577,Config!$C$15:$C$19,0)),"OUT")&amp;IF($K1577="✓","x",""))</f>
        <v/>
      </c>
      <c r="O1577" s="114" t="str">
        <f aca="false">IF($E1577="","",COUNTIF($E$5:$E1577,$E1577))</f>
        <v/>
      </c>
      <c r="P1577" s="114" t="str">
        <f aca="false">IF($E1577="","",$E1577*100+$O1577)</f>
        <v/>
      </c>
      <c r="Q1577" s="114" t="str">
        <f aca="false">IF($L1577="Atrasado",$E1577*10000+$A1577,"")</f>
        <v/>
      </c>
    </row>
    <row r="1578" customFormat="false" ht="15" hidden="false" customHeight="false" outlineLevel="0" collapsed="false">
      <c r="A1578" s="114" t="n">
        <f aca="false">ROW()-4</f>
        <v>1574</v>
      </c>
      <c r="B1578" s="114" t="str">
        <f aca="false">IF(A1578&lt;=Config!$E$27*Config!$E$28,"Tema","Avulso")</f>
        <v>Tema</v>
      </c>
      <c r="C1578" s="114" t="n">
        <f aca="false">IF(B1578="Tema",INT((A1578-1)/Config!$E$28)+1,A1578-Config!$E$27*Config!$E$28)</f>
        <v>263</v>
      </c>
      <c r="D1578" s="114" t="n">
        <f aca="false">IF(B1578="Tema",MOD(A1578-1,Config!$E$28)+1,"")</f>
        <v>2</v>
      </c>
      <c r="E1578" s="115" t="str">
        <f aca="false">IF($B1578="Tema",IF(ISNUMBER(INDEX(Temas!$E$6:$P$305,$C1578,2*$D1578-1)),INDEX(Temas!$E$6:$P$305,$C1578,2*$D1578-1),""),IF(ISNUMBER(INDEX(Avulsos!$B$6:$B$205,$C1578)),INDEX(Avulsos!$B$6:$B$205,$C1578),""))</f>
        <v/>
      </c>
      <c r="F1578" s="114" t="str">
        <f aca="false">IF($E1578="","",IF($B1578="Tema",INDEX(Temas!$B$6:$B$305,$C1578)&amp;"",INDEX(Avulsos!$C$6:$C$205,$C1578)&amp;""))</f>
        <v/>
      </c>
      <c r="G1578" s="114" t="str">
        <f aca="false">IF($E1578="","",IF($B1578="Tema",INDEX(Config!$C$6:$C$11,$D1578),"Evento avulso"))</f>
        <v/>
      </c>
      <c r="H1578" s="114" t="str">
        <f aca="false">IF($E1578="","",IF($B1578="Tema",INDEX(Config!$D$6:$D$11,$D1578),IFERROR(INDEX(Config!$E$15:$E$19,MATCH($I1578,Config!$C$15:$C$19,0)),"•")))</f>
        <v/>
      </c>
      <c r="I1578" s="114" t="str">
        <f aca="false">IF($E1578="","",IF($B1578="Tema",INDEX(Config!$E$6:$E$11,$D1578),IF(INDEX(Avulsos!$D$6:$D$205,$C1578)&amp;""="","Outro",INDEX(Avulsos!$D$6:$D$205,$C1578))))</f>
        <v/>
      </c>
      <c r="J1578" s="114" t="str">
        <f aca="false">IF($E1578="","",IF($B1578="Tema",INDEX(Temas!$C$6:$C$305,$C1578)&amp;"",INDEX(Avulsos!$E$6:$E$205,$C1578)&amp;""))</f>
        <v/>
      </c>
      <c r="K1578" s="114" t="str">
        <f aca="false">IF($E1578="","",IF(IF($B1578="Tema",INDEX(Temas!$E$6:$P$305,$C1578,2*$D1578),INDEX(Avulsos!$F$6:$F$205,$C1578))&amp;""="","","✓"))</f>
        <v/>
      </c>
      <c r="L1578" s="114" t="str">
        <f aca="true">IF($E1578="","",IF($K1578="✓","Concluído",IF($E1578&lt;TODAY(),"Atrasado",IF($E1578=TODAY(),"Hoje","Pendente"))))</f>
        <v/>
      </c>
      <c r="M1578" s="114" t="str">
        <f aca="false">IF($E1578="","",IF($K1578="✓","✓ ","")&amp;IF(Config!$E$22="Sim",$H1578&amp;" · ","")&amp;$F1578)</f>
        <v/>
      </c>
      <c r="N1578" s="114" t="str">
        <f aca="false">IF($E1578="","",IFERROR(INDEX(Config!$D$15:$D$19,MATCH($I1578,Config!$C$15:$C$19,0)),"OUT")&amp;IF($K1578="✓","x",""))</f>
        <v/>
      </c>
      <c r="O1578" s="114" t="str">
        <f aca="false">IF($E1578="","",COUNTIF($E$5:$E1578,$E1578))</f>
        <v/>
      </c>
      <c r="P1578" s="114" t="str">
        <f aca="false">IF($E1578="","",$E1578*100+$O1578)</f>
        <v/>
      </c>
      <c r="Q1578" s="114" t="str">
        <f aca="false">IF($L1578="Atrasado",$E1578*10000+$A1578,"")</f>
        <v/>
      </c>
    </row>
    <row r="1579" customFormat="false" ht="15" hidden="false" customHeight="false" outlineLevel="0" collapsed="false">
      <c r="A1579" s="114" t="n">
        <f aca="false">ROW()-4</f>
        <v>1575</v>
      </c>
      <c r="B1579" s="114" t="str">
        <f aca="false">IF(A1579&lt;=Config!$E$27*Config!$E$28,"Tema","Avulso")</f>
        <v>Tema</v>
      </c>
      <c r="C1579" s="114" t="n">
        <f aca="false">IF(B1579="Tema",INT((A1579-1)/Config!$E$28)+1,A1579-Config!$E$27*Config!$E$28)</f>
        <v>263</v>
      </c>
      <c r="D1579" s="114" t="n">
        <f aca="false">IF(B1579="Tema",MOD(A1579-1,Config!$E$28)+1,"")</f>
        <v>3</v>
      </c>
      <c r="E1579" s="115" t="str">
        <f aca="false">IF($B1579="Tema",IF(ISNUMBER(INDEX(Temas!$E$6:$P$305,$C1579,2*$D1579-1)),INDEX(Temas!$E$6:$P$305,$C1579,2*$D1579-1),""),IF(ISNUMBER(INDEX(Avulsos!$B$6:$B$205,$C1579)),INDEX(Avulsos!$B$6:$B$205,$C1579),""))</f>
        <v/>
      </c>
      <c r="F1579" s="114" t="str">
        <f aca="false">IF($E1579="","",IF($B1579="Tema",INDEX(Temas!$B$6:$B$305,$C1579)&amp;"",INDEX(Avulsos!$C$6:$C$205,$C1579)&amp;""))</f>
        <v/>
      </c>
      <c r="G1579" s="114" t="str">
        <f aca="false">IF($E1579="","",IF($B1579="Tema",INDEX(Config!$C$6:$C$11,$D1579),"Evento avulso"))</f>
        <v/>
      </c>
      <c r="H1579" s="114" t="str">
        <f aca="false">IF($E1579="","",IF($B1579="Tema",INDEX(Config!$D$6:$D$11,$D1579),IFERROR(INDEX(Config!$E$15:$E$19,MATCH($I1579,Config!$C$15:$C$19,0)),"•")))</f>
        <v/>
      </c>
      <c r="I1579" s="114" t="str">
        <f aca="false">IF($E1579="","",IF($B1579="Tema",INDEX(Config!$E$6:$E$11,$D1579),IF(INDEX(Avulsos!$D$6:$D$205,$C1579)&amp;""="","Outro",INDEX(Avulsos!$D$6:$D$205,$C1579))))</f>
        <v/>
      </c>
      <c r="J1579" s="114" t="str">
        <f aca="false">IF($E1579="","",IF($B1579="Tema",INDEX(Temas!$C$6:$C$305,$C1579)&amp;"",INDEX(Avulsos!$E$6:$E$205,$C1579)&amp;""))</f>
        <v/>
      </c>
      <c r="K1579" s="114" t="str">
        <f aca="false">IF($E1579="","",IF(IF($B1579="Tema",INDEX(Temas!$E$6:$P$305,$C1579,2*$D1579),INDEX(Avulsos!$F$6:$F$205,$C1579))&amp;""="","","✓"))</f>
        <v/>
      </c>
      <c r="L1579" s="114" t="str">
        <f aca="true">IF($E1579="","",IF($K1579="✓","Concluído",IF($E1579&lt;TODAY(),"Atrasado",IF($E1579=TODAY(),"Hoje","Pendente"))))</f>
        <v/>
      </c>
      <c r="M1579" s="114" t="str">
        <f aca="false">IF($E1579="","",IF($K1579="✓","✓ ","")&amp;IF(Config!$E$22="Sim",$H1579&amp;" · ","")&amp;$F1579)</f>
        <v/>
      </c>
      <c r="N1579" s="114" t="str">
        <f aca="false">IF($E1579="","",IFERROR(INDEX(Config!$D$15:$D$19,MATCH($I1579,Config!$C$15:$C$19,0)),"OUT")&amp;IF($K1579="✓","x",""))</f>
        <v/>
      </c>
      <c r="O1579" s="114" t="str">
        <f aca="false">IF($E1579="","",COUNTIF($E$5:$E1579,$E1579))</f>
        <v/>
      </c>
      <c r="P1579" s="114" t="str">
        <f aca="false">IF($E1579="","",$E1579*100+$O1579)</f>
        <v/>
      </c>
      <c r="Q1579" s="114" t="str">
        <f aca="false">IF($L1579="Atrasado",$E1579*10000+$A1579,"")</f>
        <v/>
      </c>
    </row>
    <row r="1580" customFormat="false" ht="15" hidden="false" customHeight="false" outlineLevel="0" collapsed="false">
      <c r="A1580" s="114" t="n">
        <f aca="false">ROW()-4</f>
        <v>1576</v>
      </c>
      <c r="B1580" s="114" t="str">
        <f aca="false">IF(A1580&lt;=Config!$E$27*Config!$E$28,"Tema","Avulso")</f>
        <v>Tema</v>
      </c>
      <c r="C1580" s="114" t="n">
        <f aca="false">IF(B1580="Tema",INT((A1580-1)/Config!$E$28)+1,A1580-Config!$E$27*Config!$E$28)</f>
        <v>263</v>
      </c>
      <c r="D1580" s="114" t="n">
        <f aca="false">IF(B1580="Tema",MOD(A1580-1,Config!$E$28)+1,"")</f>
        <v>4</v>
      </c>
      <c r="E1580" s="115" t="str">
        <f aca="false">IF($B1580="Tema",IF(ISNUMBER(INDEX(Temas!$E$6:$P$305,$C1580,2*$D1580-1)),INDEX(Temas!$E$6:$P$305,$C1580,2*$D1580-1),""),IF(ISNUMBER(INDEX(Avulsos!$B$6:$B$205,$C1580)),INDEX(Avulsos!$B$6:$B$205,$C1580),""))</f>
        <v/>
      </c>
      <c r="F1580" s="114" t="str">
        <f aca="false">IF($E1580="","",IF($B1580="Tema",INDEX(Temas!$B$6:$B$305,$C1580)&amp;"",INDEX(Avulsos!$C$6:$C$205,$C1580)&amp;""))</f>
        <v/>
      </c>
      <c r="G1580" s="114" t="str">
        <f aca="false">IF($E1580="","",IF($B1580="Tema",INDEX(Config!$C$6:$C$11,$D1580),"Evento avulso"))</f>
        <v/>
      </c>
      <c r="H1580" s="114" t="str">
        <f aca="false">IF($E1580="","",IF($B1580="Tema",INDEX(Config!$D$6:$D$11,$D1580),IFERROR(INDEX(Config!$E$15:$E$19,MATCH($I1580,Config!$C$15:$C$19,0)),"•")))</f>
        <v/>
      </c>
      <c r="I1580" s="114" t="str">
        <f aca="false">IF($E1580="","",IF($B1580="Tema",INDEX(Config!$E$6:$E$11,$D1580),IF(INDEX(Avulsos!$D$6:$D$205,$C1580)&amp;""="","Outro",INDEX(Avulsos!$D$6:$D$205,$C1580))))</f>
        <v/>
      </c>
      <c r="J1580" s="114" t="str">
        <f aca="false">IF($E1580="","",IF($B1580="Tema",INDEX(Temas!$C$6:$C$305,$C1580)&amp;"",INDEX(Avulsos!$E$6:$E$205,$C1580)&amp;""))</f>
        <v/>
      </c>
      <c r="K1580" s="114" t="str">
        <f aca="false">IF($E1580="","",IF(IF($B1580="Tema",INDEX(Temas!$E$6:$P$305,$C1580,2*$D1580),INDEX(Avulsos!$F$6:$F$205,$C1580))&amp;""="","","✓"))</f>
        <v/>
      </c>
      <c r="L1580" s="114" t="str">
        <f aca="true">IF($E1580="","",IF($K1580="✓","Concluído",IF($E1580&lt;TODAY(),"Atrasado",IF($E1580=TODAY(),"Hoje","Pendente"))))</f>
        <v/>
      </c>
      <c r="M1580" s="114" t="str">
        <f aca="false">IF($E1580="","",IF($K1580="✓","✓ ","")&amp;IF(Config!$E$22="Sim",$H1580&amp;" · ","")&amp;$F1580)</f>
        <v/>
      </c>
      <c r="N1580" s="114" t="str">
        <f aca="false">IF($E1580="","",IFERROR(INDEX(Config!$D$15:$D$19,MATCH($I1580,Config!$C$15:$C$19,0)),"OUT")&amp;IF($K1580="✓","x",""))</f>
        <v/>
      </c>
      <c r="O1580" s="114" t="str">
        <f aca="false">IF($E1580="","",COUNTIF($E$5:$E1580,$E1580))</f>
        <v/>
      </c>
      <c r="P1580" s="114" t="str">
        <f aca="false">IF($E1580="","",$E1580*100+$O1580)</f>
        <v/>
      </c>
      <c r="Q1580" s="114" t="str">
        <f aca="false">IF($L1580="Atrasado",$E1580*10000+$A1580,"")</f>
        <v/>
      </c>
    </row>
    <row r="1581" customFormat="false" ht="15" hidden="false" customHeight="false" outlineLevel="0" collapsed="false">
      <c r="A1581" s="114" t="n">
        <f aca="false">ROW()-4</f>
        <v>1577</v>
      </c>
      <c r="B1581" s="114" t="str">
        <f aca="false">IF(A1581&lt;=Config!$E$27*Config!$E$28,"Tema","Avulso")</f>
        <v>Tema</v>
      </c>
      <c r="C1581" s="114" t="n">
        <f aca="false">IF(B1581="Tema",INT((A1581-1)/Config!$E$28)+1,A1581-Config!$E$27*Config!$E$28)</f>
        <v>263</v>
      </c>
      <c r="D1581" s="114" t="n">
        <f aca="false">IF(B1581="Tema",MOD(A1581-1,Config!$E$28)+1,"")</f>
        <v>5</v>
      </c>
      <c r="E1581" s="115" t="str">
        <f aca="false">IF($B1581="Tema",IF(ISNUMBER(INDEX(Temas!$E$6:$P$305,$C1581,2*$D1581-1)),INDEX(Temas!$E$6:$P$305,$C1581,2*$D1581-1),""),IF(ISNUMBER(INDEX(Avulsos!$B$6:$B$205,$C1581)),INDEX(Avulsos!$B$6:$B$205,$C1581),""))</f>
        <v/>
      </c>
      <c r="F1581" s="114" t="str">
        <f aca="false">IF($E1581="","",IF($B1581="Tema",INDEX(Temas!$B$6:$B$305,$C1581)&amp;"",INDEX(Avulsos!$C$6:$C$205,$C1581)&amp;""))</f>
        <v/>
      </c>
      <c r="G1581" s="114" t="str">
        <f aca="false">IF($E1581="","",IF($B1581="Tema",INDEX(Config!$C$6:$C$11,$D1581),"Evento avulso"))</f>
        <v/>
      </c>
      <c r="H1581" s="114" t="str">
        <f aca="false">IF($E1581="","",IF($B1581="Tema",INDEX(Config!$D$6:$D$11,$D1581),IFERROR(INDEX(Config!$E$15:$E$19,MATCH($I1581,Config!$C$15:$C$19,0)),"•")))</f>
        <v/>
      </c>
      <c r="I1581" s="114" t="str">
        <f aca="false">IF($E1581="","",IF($B1581="Tema",INDEX(Config!$E$6:$E$11,$D1581),IF(INDEX(Avulsos!$D$6:$D$205,$C1581)&amp;""="","Outro",INDEX(Avulsos!$D$6:$D$205,$C1581))))</f>
        <v/>
      </c>
      <c r="J1581" s="114" t="str">
        <f aca="false">IF($E1581="","",IF($B1581="Tema",INDEX(Temas!$C$6:$C$305,$C1581)&amp;"",INDEX(Avulsos!$E$6:$E$205,$C1581)&amp;""))</f>
        <v/>
      </c>
      <c r="K1581" s="114" t="str">
        <f aca="false">IF($E1581="","",IF(IF($B1581="Tema",INDEX(Temas!$E$6:$P$305,$C1581,2*$D1581),INDEX(Avulsos!$F$6:$F$205,$C1581))&amp;""="","","✓"))</f>
        <v/>
      </c>
      <c r="L1581" s="114" t="str">
        <f aca="true">IF($E1581="","",IF($K1581="✓","Concluído",IF($E1581&lt;TODAY(),"Atrasado",IF($E1581=TODAY(),"Hoje","Pendente"))))</f>
        <v/>
      </c>
      <c r="M1581" s="114" t="str">
        <f aca="false">IF($E1581="","",IF($K1581="✓","✓ ","")&amp;IF(Config!$E$22="Sim",$H1581&amp;" · ","")&amp;$F1581)</f>
        <v/>
      </c>
      <c r="N1581" s="114" t="str">
        <f aca="false">IF($E1581="","",IFERROR(INDEX(Config!$D$15:$D$19,MATCH($I1581,Config!$C$15:$C$19,0)),"OUT")&amp;IF($K1581="✓","x",""))</f>
        <v/>
      </c>
      <c r="O1581" s="114" t="str">
        <f aca="false">IF($E1581="","",COUNTIF($E$5:$E1581,$E1581))</f>
        <v/>
      </c>
      <c r="P1581" s="114" t="str">
        <f aca="false">IF($E1581="","",$E1581*100+$O1581)</f>
        <v/>
      </c>
      <c r="Q1581" s="114" t="str">
        <f aca="false">IF($L1581="Atrasado",$E1581*10000+$A1581,"")</f>
        <v/>
      </c>
    </row>
    <row r="1582" customFormat="false" ht="15" hidden="false" customHeight="false" outlineLevel="0" collapsed="false">
      <c r="A1582" s="114" t="n">
        <f aca="false">ROW()-4</f>
        <v>1578</v>
      </c>
      <c r="B1582" s="114" t="str">
        <f aca="false">IF(A1582&lt;=Config!$E$27*Config!$E$28,"Tema","Avulso")</f>
        <v>Tema</v>
      </c>
      <c r="C1582" s="114" t="n">
        <f aca="false">IF(B1582="Tema",INT((A1582-1)/Config!$E$28)+1,A1582-Config!$E$27*Config!$E$28)</f>
        <v>263</v>
      </c>
      <c r="D1582" s="114" t="n">
        <f aca="false">IF(B1582="Tema",MOD(A1582-1,Config!$E$28)+1,"")</f>
        <v>6</v>
      </c>
      <c r="E1582" s="115" t="str">
        <f aca="false">IF($B1582="Tema",IF(ISNUMBER(INDEX(Temas!$E$6:$P$305,$C1582,2*$D1582-1)),INDEX(Temas!$E$6:$P$305,$C1582,2*$D1582-1),""),IF(ISNUMBER(INDEX(Avulsos!$B$6:$B$205,$C1582)),INDEX(Avulsos!$B$6:$B$205,$C1582),""))</f>
        <v/>
      </c>
      <c r="F1582" s="114" t="str">
        <f aca="false">IF($E1582="","",IF($B1582="Tema",INDEX(Temas!$B$6:$B$305,$C1582)&amp;"",INDEX(Avulsos!$C$6:$C$205,$C1582)&amp;""))</f>
        <v/>
      </c>
      <c r="G1582" s="114" t="str">
        <f aca="false">IF($E1582="","",IF($B1582="Tema",INDEX(Config!$C$6:$C$11,$D1582),"Evento avulso"))</f>
        <v/>
      </c>
      <c r="H1582" s="114" t="str">
        <f aca="false">IF($E1582="","",IF($B1582="Tema",INDEX(Config!$D$6:$D$11,$D1582),IFERROR(INDEX(Config!$E$15:$E$19,MATCH($I1582,Config!$C$15:$C$19,0)),"•")))</f>
        <v/>
      </c>
      <c r="I1582" s="114" t="str">
        <f aca="false">IF($E1582="","",IF($B1582="Tema",INDEX(Config!$E$6:$E$11,$D1582),IF(INDEX(Avulsos!$D$6:$D$205,$C1582)&amp;""="","Outro",INDEX(Avulsos!$D$6:$D$205,$C1582))))</f>
        <v/>
      </c>
      <c r="J1582" s="114" t="str">
        <f aca="false">IF($E1582="","",IF($B1582="Tema",INDEX(Temas!$C$6:$C$305,$C1582)&amp;"",INDEX(Avulsos!$E$6:$E$205,$C1582)&amp;""))</f>
        <v/>
      </c>
      <c r="K1582" s="114" t="str">
        <f aca="false">IF($E1582="","",IF(IF($B1582="Tema",INDEX(Temas!$E$6:$P$305,$C1582,2*$D1582),INDEX(Avulsos!$F$6:$F$205,$C1582))&amp;""="","","✓"))</f>
        <v/>
      </c>
      <c r="L1582" s="114" t="str">
        <f aca="true">IF($E1582="","",IF($K1582="✓","Concluído",IF($E1582&lt;TODAY(),"Atrasado",IF($E1582=TODAY(),"Hoje","Pendente"))))</f>
        <v/>
      </c>
      <c r="M1582" s="114" t="str">
        <f aca="false">IF($E1582="","",IF($K1582="✓","✓ ","")&amp;IF(Config!$E$22="Sim",$H1582&amp;" · ","")&amp;$F1582)</f>
        <v/>
      </c>
      <c r="N1582" s="114" t="str">
        <f aca="false">IF($E1582="","",IFERROR(INDEX(Config!$D$15:$D$19,MATCH($I1582,Config!$C$15:$C$19,0)),"OUT")&amp;IF($K1582="✓","x",""))</f>
        <v/>
      </c>
      <c r="O1582" s="114" t="str">
        <f aca="false">IF($E1582="","",COUNTIF($E$5:$E1582,$E1582))</f>
        <v/>
      </c>
      <c r="P1582" s="114" t="str">
        <f aca="false">IF($E1582="","",$E1582*100+$O1582)</f>
        <v/>
      </c>
      <c r="Q1582" s="114" t="str">
        <f aca="false">IF($L1582="Atrasado",$E1582*10000+$A1582,"")</f>
        <v/>
      </c>
    </row>
    <row r="1583" customFormat="false" ht="15" hidden="false" customHeight="false" outlineLevel="0" collapsed="false">
      <c r="A1583" s="114" t="n">
        <f aca="false">ROW()-4</f>
        <v>1579</v>
      </c>
      <c r="B1583" s="114" t="str">
        <f aca="false">IF(A1583&lt;=Config!$E$27*Config!$E$28,"Tema","Avulso")</f>
        <v>Tema</v>
      </c>
      <c r="C1583" s="114" t="n">
        <f aca="false">IF(B1583="Tema",INT((A1583-1)/Config!$E$28)+1,A1583-Config!$E$27*Config!$E$28)</f>
        <v>264</v>
      </c>
      <c r="D1583" s="114" t="n">
        <f aca="false">IF(B1583="Tema",MOD(A1583-1,Config!$E$28)+1,"")</f>
        <v>1</v>
      </c>
      <c r="E1583" s="115" t="str">
        <f aca="false">IF($B1583="Tema",IF(ISNUMBER(INDEX(Temas!$E$6:$P$305,$C1583,2*$D1583-1)),INDEX(Temas!$E$6:$P$305,$C1583,2*$D1583-1),""),IF(ISNUMBER(INDEX(Avulsos!$B$6:$B$205,$C1583)),INDEX(Avulsos!$B$6:$B$205,$C1583),""))</f>
        <v/>
      </c>
      <c r="F1583" s="114" t="str">
        <f aca="false">IF($E1583="","",IF($B1583="Tema",INDEX(Temas!$B$6:$B$305,$C1583)&amp;"",INDEX(Avulsos!$C$6:$C$205,$C1583)&amp;""))</f>
        <v/>
      </c>
      <c r="G1583" s="114" t="str">
        <f aca="false">IF($E1583="","",IF($B1583="Tema",INDEX(Config!$C$6:$C$11,$D1583),"Evento avulso"))</f>
        <v/>
      </c>
      <c r="H1583" s="114" t="str">
        <f aca="false">IF($E1583="","",IF($B1583="Tema",INDEX(Config!$D$6:$D$11,$D1583),IFERROR(INDEX(Config!$E$15:$E$19,MATCH($I1583,Config!$C$15:$C$19,0)),"•")))</f>
        <v/>
      </c>
      <c r="I1583" s="114" t="str">
        <f aca="false">IF($E1583="","",IF($B1583="Tema",INDEX(Config!$E$6:$E$11,$D1583),IF(INDEX(Avulsos!$D$6:$D$205,$C1583)&amp;""="","Outro",INDEX(Avulsos!$D$6:$D$205,$C1583))))</f>
        <v/>
      </c>
      <c r="J1583" s="114" t="str">
        <f aca="false">IF($E1583="","",IF($B1583="Tema",INDEX(Temas!$C$6:$C$305,$C1583)&amp;"",INDEX(Avulsos!$E$6:$E$205,$C1583)&amp;""))</f>
        <v/>
      </c>
      <c r="K1583" s="114" t="str">
        <f aca="false">IF($E1583="","",IF(IF($B1583="Tema",INDEX(Temas!$E$6:$P$305,$C1583,2*$D1583),INDEX(Avulsos!$F$6:$F$205,$C1583))&amp;""="","","✓"))</f>
        <v/>
      </c>
      <c r="L1583" s="114" t="str">
        <f aca="true">IF($E1583="","",IF($K1583="✓","Concluído",IF($E1583&lt;TODAY(),"Atrasado",IF($E1583=TODAY(),"Hoje","Pendente"))))</f>
        <v/>
      </c>
      <c r="M1583" s="114" t="str">
        <f aca="false">IF($E1583="","",IF($K1583="✓","✓ ","")&amp;IF(Config!$E$22="Sim",$H1583&amp;" · ","")&amp;$F1583)</f>
        <v/>
      </c>
      <c r="N1583" s="114" t="str">
        <f aca="false">IF($E1583="","",IFERROR(INDEX(Config!$D$15:$D$19,MATCH($I1583,Config!$C$15:$C$19,0)),"OUT")&amp;IF($K1583="✓","x",""))</f>
        <v/>
      </c>
      <c r="O1583" s="114" t="str">
        <f aca="false">IF($E1583="","",COUNTIF($E$5:$E1583,$E1583))</f>
        <v/>
      </c>
      <c r="P1583" s="114" t="str">
        <f aca="false">IF($E1583="","",$E1583*100+$O1583)</f>
        <v/>
      </c>
      <c r="Q1583" s="114" t="str">
        <f aca="false">IF($L1583="Atrasado",$E1583*10000+$A1583,"")</f>
        <v/>
      </c>
    </row>
    <row r="1584" customFormat="false" ht="15" hidden="false" customHeight="false" outlineLevel="0" collapsed="false">
      <c r="A1584" s="114" t="n">
        <f aca="false">ROW()-4</f>
        <v>1580</v>
      </c>
      <c r="B1584" s="114" t="str">
        <f aca="false">IF(A1584&lt;=Config!$E$27*Config!$E$28,"Tema","Avulso")</f>
        <v>Tema</v>
      </c>
      <c r="C1584" s="114" t="n">
        <f aca="false">IF(B1584="Tema",INT((A1584-1)/Config!$E$28)+1,A1584-Config!$E$27*Config!$E$28)</f>
        <v>264</v>
      </c>
      <c r="D1584" s="114" t="n">
        <f aca="false">IF(B1584="Tema",MOD(A1584-1,Config!$E$28)+1,"")</f>
        <v>2</v>
      </c>
      <c r="E1584" s="115" t="str">
        <f aca="false">IF($B1584="Tema",IF(ISNUMBER(INDEX(Temas!$E$6:$P$305,$C1584,2*$D1584-1)),INDEX(Temas!$E$6:$P$305,$C1584,2*$D1584-1),""),IF(ISNUMBER(INDEX(Avulsos!$B$6:$B$205,$C1584)),INDEX(Avulsos!$B$6:$B$205,$C1584),""))</f>
        <v/>
      </c>
      <c r="F1584" s="114" t="str">
        <f aca="false">IF($E1584="","",IF($B1584="Tema",INDEX(Temas!$B$6:$B$305,$C1584)&amp;"",INDEX(Avulsos!$C$6:$C$205,$C1584)&amp;""))</f>
        <v/>
      </c>
      <c r="G1584" s="114" t="str">
        <f aca="false">IF($E1584="","",IF($B1584="Tema",INDEX(Config!$C$6:$C$11,$D1584),"Evento avulso"))</f>
        <v/>
      </c>
      <c r="H1584" s="114" t="str">
        <f aca="false">IF($E1584="","",IF($B1584="Tema",INDEX(Config!$D$6:$D$11,$D1584),IFERROR(INDEX(Config!$E$15:$E$19,MATCH($I1584,Config!$C$15:$C$19,0)),"•")))</f>
        <v/>
      </c>
      <c r="I1584" s="114" t="str">
        <f aca="false">IF($E1584="","",IF($B1584="Tema",INDEX(Config!$E$6:$E$11,$D1584),IF(INDEX(Avulsos!$D$6:$D$205,$C1584)&amp;""="","Outro",INDEX(Avulsos!$D$6:$D$205,$C1584))))</f>
        <v/>
      </c>
      <c r="J1584" s="114" t="str">
        <f aca="false">IF($E1584="","",IF($B1584="Tema",INDEX(Temas!$C$6:$C$305,$C1584)&amp;"",INDEX(Avulsos!$E$6:$E$205,$C1584)&amp;""))</f>
        <v/>
      </c>
      <c r="K1584" s="114" t="str">
        <f aca="false">IF($E1584="","",IF(IF($B1584="Tema",INDEX(Temas!$E$6:$P$305,$C1584,2*$D1584),INDEX(Avulsos!$F$6:$F$205,$C1584))&amp;""="","","✓"))</f>
        <v/>
      </c>
      <c r="L1584" s="114" t="str">
        <f aca="true">IF($E1584="","",IF($K1584="✓","Concluído",IF($E1584&lt;TODAY(),"Atrasado",IF($E1584=TODAY(),"Hoje","Pendente"))))</f>
        <v/>
      </c>
      <c r="M1584" s="114" t="str">
        <f aca="false">IF($E1584="","",IF($K1584="✓","✓ ","")&amp;IF(Config!$E$22="Sim",$H1584&amp;" · ","")&amp;$F1584)</f>
        <v/>
      </c>
      <c r="N1584" s="114" t="str">
        <f aca="false">IF($E1584="","",IFERROR(INDEX(Config!$D$15:$D$19,MATCH($I1584,Config!$C$15:$C$19,0)),"OUT")&amp;IF($K1584="✓","x",""))</f>
        <v/>
      </c>
      <c r="O1584" s="114" t="str">
        <f aca="false">IF($E1584="","",COUNTIF($E$5:$E1584,$E1584))</f>
        <v/>
      </c>
      <c r="P1584" s="114" t="str">
        <f aca="false">IF($E1584="","",$E1584*100+$O1584)</f>
        <v/>
      </c>
      <c r="Q1584" s="114" t="str">
        <f aca="false">IF($L1584="Atrasado",$E1584*10000+$A1584,"")</f>
        <v/>
      </c>
    </row>
    <row r="1585" customFormat="false" ht="15" hidden="false" customHeight="false" outlineLevel="0" collapsed="false">
      <c r="A1585" s="114" t="n">
        <f aca="false">ROW()-4</f>
        <v>1581</v>
      </c>
      <c r="B1585" s="114" t="str">
        <f aca="false">IF(A1585&lt;=Config!$E$27*Config!$E$28,"Tema","Avulso")</f>
        <v>Tema</v>
      </c>
      <c r="C1585" s="114" t="n">
        <f aca="false">IF(B1585="Tema",INT((A1585-1)/Config!$E$28)+1,A1585-Config!$E$27*Config!$E$28)</f>
        <v>264</v>
      </c>
      <c r="D1585" s="114" t="n">
        <f aca="false">IF(B1585="Tema",MOD(A1585-1,Config!$E$28)+1,"")</f>
        <v>3</v>
      </c>
      <c r="E1585" s="115" t="str">
        <f aca="false">IF($B1585="Tema",IF(ISNUMBER(INDEX(Temas!$E$6:$P$305,$C1585,2*$D1585-1)),INDEX(Temas!$E$6:$P$305,$C1585,2*$D1585-1),""),IF(ISNUMBER(INDEX(Avulsos!$B$6:$B$205,$C1585)),INDEX(Avulsos!$B$6:$B$205,$C1585),""))</f>
        <v/>
      </c>
      <c r="F1585" s="114" t="str">
        <f aca="false">IF($E1585="","",IF($B1585="Tema",INDEX(Temas!$B$6:$B$305,$C1585)&amp;"",INDEX(Avulsos!$C$6:$C$205,$C1585)&amp;""))</f>
        <v/>
      </c>
      <c r="G1585" s="114" t="str">
        <f aca="false">IF($E1585="","",IF($B1585="Tema",INDEX(Config!$C$6:$C$11,$D1585),"Evento avulso"))</f>
        <v/>
      </c>
      <c r="H1585" s="114" t="str">
        <f aca="false">IF($E1585="","",IF($B1585="Tema",INDEX(Config!$D$6:$D$11,$D1585),IFERROR(INDEX(Config!$E$15:$E$19,MATCH($I1585,Config!$C$15:$C$19,0)),"•")))</f>
        <v/>
      </c>
      <c r="I1585" s="114" t="str">
        <f aca="false">IF($E1585="","",IF($B1585="Tema",INDEX(Config!$E$6:$E$11,$D1585),IF(INDEX(Avulsos!$D$6:$D$205,$C1585)&amp;""="","Outro",INDEX(Avulsos!$D$6:$D$205,$C1585))))</f>
        <v/>
      </c>
      <c r="J1585" s="114" t="str">
        <f aca="false">IF($E1585="","",IF($B1585="Tema",INDEX(Temas!$C$6:$C$305,$C1585)&amp;"",INDEX(Avulsos!$E$6:$E$205,$C1585)&amp;""))</f>
        <v/>
      </c>
      <c r="K1585" s="114" t="str">
        <f aca="false">IF($E1585="","",IF(IF($B1585="Tema",INDEX(Temas!$E$6:$P$305,$C1585,2*$D1585),INDEX(Avulsos!$F$6:$F$205,$C1585))&amp;""="","","✓"))</f>
        <v/>
      </c>
      <c r="L1585" s="114" t="str">
        <f aca="true">IF($E1585="","",IF($K1585="✓","Concluído",IF($E1585&lt;TODAY(),"Atrasado",IF($E1585=TODAY(),"Hoje","Pendente"))))</f>
        <v/>
      </c>
      <c r="M1585" s="114" t="str">
        <f aca="false">IF($E1585="","",IF($K1585="✓","✓ ","")&amp;IF(Config!$E$22="Sim",$H1585&amp;" · ","")&amp;$F1585)</f>
        <v/>
      </c>
      <c r="N1585" s="114" t="str">
        <f aca="false">IF($E1585="","",IFERROR(INDEX(Config!$D$15:$D$19,MATCH($I1585,Config!$C$15:$C$19,0)),"OUT")&amp;IF($K1585="✓","x",""))</f>
        <v/>
      </c>
      <c r="O1585" s="114" t="str">
        <f aca="false">IF($E1585="","",COUNTIF($E$5:$E1585,$E1585))</f>
        <v/>
      </c>
      <c r="P1585" s="114" t="str">
        <f aca="false">IF($E1585="","",$E1585*100+$O1585)</f>
        <v/>
      </c>
      <c r="Q1585" s="114" t="str">
        <f aca="false">IF($L1585="Atrasado",$E1585*10000+$A1585,"")</f>
        <v/>
      </c>
    </row>
    <row r="1586" customFormat="false" ht="15" hidden="false" customHeight="false" outlineLevel="0" collapsed="false">
      <c r="A1586" s="114" t="n">
        <f aca="false">ROW()-4</f>
        <v>1582</v>
      </c>
      <c r="B1586" s="114" t="str">
        <f aca="false">IF(A1586&lt;=Config!$E$27*Config!$E$28,"Tema","Avulso")</f>
        <v>Tema</v>
      </c>
      <c r="C1586" s="114" t="n">
        <f aca="false">IF(B1586="Tema",INT((A1586-1)/Config!$E$28)+1,A1586-Config!$E$27*Config!$E$28)</f>
        <v>264</v>
      </c>
      <c r="D1586" s="114" t="n">
        <f aca="false">IF(B1586="Tema",MOD(A1586-1,Config!$E$28)+1,"")</f>
        <v>4</v>
      </c>
      <c r="E1586" s="115" t="str">
        <f aca="false">IF($B1586="Tema",IF(ISNUMBER(INDEX(Temas!$E$6:$P$305,$C1586,2*$D1586-1)),INDEX(Temas!$E$6:$P$305,$C1586,2*$D1586-1),""),IF(ISNUMBER(INDEX(Avulsos!$B$6:$B$205,$C1586)),INDEX(Avulsos!$B$6:$B$205,$C1586),""))</f>
        <v/>
      </c>
      <c r="F1586" s="114" t="str">
        <f aca="false">IF($E1586="","",IF($B1586="Tema",INDEX(Temas!$B$6:$B$305,$C1586)&amp;"",INDEX(Avulsos!$C$6:$C$205,$C1586)&amp;""))</f>
        <v/>
      </c>
      <c r="G1586" s="114" t="str">
        <f aca="false">IF($E1586="","",IF($B1586="Tema",INDEX(Config!$C$6:$C$11,$D1586),"Evento avulso"))</f>
        <v/>
      </c>
      <c r="H1586" s="114" t="str">
        <f aca="false">IF($E1586="","",IF($B1586="Tema",INDEX(Config!$D$6:$D$11,$D1586),IFERROR(INDEX(Config!$E$15:$E$19,MATCH($I1586,Config!$C$15:$C$19,0)),"•")))</f>
        <v/>
      </c>
      <c r="I1586" s="114" t="str">
        <f aca="false">IF($E1586="","",IF($B1586="Tema",INDEX(Config!$E$6:$E$11,$D1586),IF(INDEX(Avulsos!$D$6:$D$205,$C1586)&amp;""="","Outro",INDEX(Avulsos!$D$6:$D$205,$C1586))))</f>
        <v/>
      </c>
      <c r="J1586" s="114" t="str">
        <f aca="false">IF($E1586="","",IF($B1586="Tema",INDEX(Temas!$C$6:$C$305,$C1586)&amp;"",INDEX(Avulsos!$E$6:$E$205,$C1586)&amp;""))</f>
        <v/>
      </c>
      <c r="K1586" s="114" t="str">
        <f aca="false">IF($E1586="","",IF(IF($B1586="Tema",INDEX(Temas!$E$6:$P$305,$C1586,2*$D1586),INDEX(Avulsos!$F$6:$F$205,$C1586))&amp;""="","","✓"))</f>
        <v/>
      </c>
      <c r="L1586" s="114" t="str">
        <f aca="true">IF($E1586="","",IF($K1586="✓","Concluído",IF($E1586&lt;TODAY(),"Atrasado",IF($E1586=TODAY(),"Hoje","Pendente"))))</f>
        <v/>
      </c>
      <c r="M1586" s="114" t="str">
        <f aca="false">IF($E1586="","",IF($K1586="✓","✓ ","")&amp;IF(Config!$E$22="Sim",$H1586&amp;" · ","")&amp;$F1586)</f>
        <v/>
      </c>
      <c r="N1586" s="114" t="str">
        <f aca="false">IF($E1586="","",IFERROR(INDEX(Config!$D$15:$D$19,MATCH($I1586,Config!$C$15:$C$19,0)),"OUT")&amp;IF($K1586="✓","x",""))</f>
        <v/>
      </c>
      <c r="O1586" s="114" t="str">
        <f aca="false">IF($E1586="","",COUNTIF($E$5:$E1586,$E1586))</f>
        <v/>
      </c>
      <c r="P1586" s="114" t="str">
        <f aca="false">IF($E1586="","",$E1586*100+$O1586)</f>
        <v/>
      </c>
      <c r="Q1586" s="114" t="str">
        <f aca="false">IF($L1586="Atrasado",$E1586*10000+$A1586,"")</f>
        <v/>
      </c>
    </row>
    <row r="1587" customFormat="false" ht="15" hidden="false" customHeight="false" outlineLevel="0" collapsed="false">
      <c r="A1587" s="114" t="n">
        <f aca="false">ROW()-4</f>
        <v>1583</v>
      </c>
      <c r="B1587" s="114" t="str">
        <f aca="false">IF(A1587&lt;=Config!$E$27*Config!$E$28,"Tema","Avulso")</f>
        <v>Tema</v>
      </c>
      <c r="C1587" s="114" t="n">
        <f aca="false">IF(B1587="Tema",INT((A1587-1)/Config!$E$28)+1,A1587-Config!$E$27*Config!$E$28)</f>
        <v>264</v>
      </c>
      <c r="D1587" s="114" t="n">
        <f aca="false">IF(B1587="Tema",MOD(A1587-1,Config!$E$28)+1,"")</f>
        <v>5</v>
      </c>
      <c r="E1587" s="115" t="str">
        <f aca="false">IF($B1587="Tema",IF(ISNUMBER(INDEX(Temas!$E$6:$P$305,$C1587,2*$D1587-1)),INDEX(Temas!$E$6:$P$305,$C1587,2*$D1587-1),""),IF(ISNUMBER(INDEX(Avulsos!$B$6:$B$205,$C1587)),INDEX(Avulsos!$B$6:$B$205,$C1587),""))</f>
        <v/>
      </c>
      <c r="F1587" s="114" t="str">
        <f aca="false">IF($E1587="","",IF($B1587="Tema",INDEX(Temas!$B$6:$B$305,$C1587)&amp;"",INDEX(Avulsos!$C$6:$C$205,$C1587)&amp;""))</f>
        <v/>
      </c>
      <c r="G1587" s="114" t="str">
        <f aca="false">IF($E1587="","",IF($B1587="Tema",INDEX(Config!$C$6:$C$11,$D1587),"Evento avulso"))</f>
        <v/>
      </c>
      <c r="H1587" s="114" t="str">
        <f aca="false">IF($E1587="","",IF($B1587="Tema",INDEX(Config!$D$6:$D$11,$D1587),IFERROR(INDEX(Config!$E$15:$E$19,MATCH($I1587,Config!$C$15:$C$19,0)),"•")))</f>
        <v/>
      </c>
      <c r="I1587" s="114" t="str">
        <f aca="false">IF($E1587="","",IF($B1587="Tema",INDEX(Config!$E$6:$E$11,$D1587),IF(INDEX(Avulsos!$D$6:$D$205,$C1587)&amp;""="","Outro",INDEX(Avulsos!$D$6:$D$205,$C1587))))</f>
        <v/>
      </c>
      <c r="J1587" s="114" t="str">
        <f aca="false">IF($E1587="","",IF($B1587="Tema",INDEX(Temas!$C$6:$C$305,$C1587)&amp;"",INDEX(Avulsos!$E$6:$E$205,$C1587)&amp;""))</f>
        <v/>
      </c>
      <c r="K1587" s="114" t="str">
        <f aca="false">IF($E1587="","",IF(IF($B1587="Tema",INDEX(Temas!$E$6:$P$305,$C1587,2*$D1587),INDEX(Avulsos!$F$6:$F$205,$C1587))&amp;""="","","✓"))</f>
        <v/>
      </c>
      <c r="L1587" s="114" t="str">
        <f aca="true">IF($E1587="","",IF($K1587="✓","Concluído",IF($E1587&lt;TODAY(),"Atrasado",IF($E1587=TODAY(),"Hoje","Pendente"))))</f>
        <v/>
      </c>
      <c r="M1587" s="114" t="str">
        <f aca="false">IF($E1587="","",IF($K1587="✓","✓ ","")&amp;IF(Config!$E$22="Sim",$H1587&amp;" · ","")&amp;$F1587)</f>
        <v/>
      </c>
      <c r="N1587" s="114" t="str">
        <f aca="false">IF($E1587="","",IFERROR(INDEX(Config!$D$15:$D$19,MATCH($I1587,Config!$C$15:$C$19,0)),"OUT")&amp;IF($K1587="✓","x",""))</f>
        <v/>
      </c>
      <c r="O1587" s="114" t="str">
        <f aca="false">IF($E1587="","",COUNTIF($E$5:$E1587,$E1587))</f>
        <v/>
      </c>
      <c r="P1587" s="114" t="str">
        <f aca="false">IF($E1587="","",$E1587*100+$O1587)</f>
        <v/>
      </c>
      <c r="Q1587" s="114" t="str">
        <f aca="false">IF($L1587="Atrasado",$E1587*10000+$A1587,"")</f>
        <v/>
      </c>
    </row>
    <row r="1588" customFormat="false" ht="15" hidden="false" customHeight="false" outlineLevel="0" collapsed="false">
      <c r="A1588" s="114" t="n">
        <f aca="false">ROW()-4</f>
        <v>1584</v>
      </c>
      <c r="B1588" s="114" t="str">
        <f aca="false">IF(A1588&lt;=Config!$E$27*Config!$E$28,"Tema","Avulso")</f>
        <v>Tema</v>
      </c>
      <c r="C1588" s="114" t="n">
        <f aca="false">IF(B1588="Tema",INT((A1588-1)/Config!$E$28)+1,A1588-Config!$E$27*Config!$E$28)</f>
        <v>264</v>
      </c>
      <c r="D1588" s="114" t="n">
        <f aca="false">IF(B1588="Tema",MOD(A1588-1,Config!$E$28)+1,"")</f>
        <v>6</v>
      </c>
      <c r="E1588" s="115" t="str">
        <f aca="false">IF($B1588="Tema",IF(ISNUMBER(INDEX(Temas!$E$6:$P$305,$C1588,2*$D1588-1)),INDEX(Temas!$E$6:$P$305,$C1588,2*$D1588-1),""),IF(ISNUMBER(INDEX(Avulsos!$B$6:$B$205,$C1588)),INDEX(Avulsos!$B$6:$B$205,$C1588),""))</f>
        <v/>
      </c>
      <c r="F1588" s="114" t="str">
        <f aca="false">IF($E1588="","",IF($B1588="Tema",INDEX(Temas!$B$6:$B$305,$C1588)&amp;"",INDEX(Avulsos!$C$6:$C$205,$C1588)&amp;""))</f>
        <v/>
      </c>
      <c r="G1588" s="114" t="str">
        <f aca="false">IF($E1588="","",IF($B1588="Tema",INDEX(Config!$C$6:$C$11,$D1588),"Evento avulso"))</f>
        <v/>
      </c>
      <c r="H1588" s="114" t="str">
        <f aca="false">IF($E1588="","",IF($B1588="Tema",INDEX(Config!$D$6:$D$11,$D1588),IFERROR(INDEX(Config!$E$15:$E$19,MATCH($I1588,Config!$C$15:$C$19,0)),"•")))</f>
        <v/>
      </c>
      <c r="I1588" s="114" t="str">
        <f aca="false">IF($E1588="","",IF($B1588="Tema",INDEX(Config!$E$6:$E$11,$D1588),IF(INDEX(Avulsos!$D$6:$D$205,$C1588)&amp;""="","Outro",INDEX(Avulsos!$D$6:$D$205,$C1588))))</f>
        <v/>
      </c>
      <c r="J1588" s="114" t="str">
        <f aca="false">IF($E1588="","",IF($B1588="Tema",INDEX(Temas!$C$6:$C$305,$C1588)&amp;"",INDEX(Avulsos!$E$6:$E$205,$C1588)&amp;""))</f>
        <v/>
      </c>
      <c r="K1588" s="114" t="str">
        <f aca="false">IF($E1588="","",IF(IF($B1588="Tema",INDEX(Temas!$E$6:$P$305,$C1588,2*$D1588),INDEX(Avulsos!$F$6:$F$205,$C1588))&amp;""="","","✓"))</f>
        <v/>
      </c>
      <c r="L1588" s="114" t="str">
        <f aca="true">IF($E1588="","",IF($K1588="✓","Concluído",IF($E1588&lt;TODAY(),"Atrasado",IF($E1588=TODAY(),"Hoje","Pendente"))))</f>
        <v/>
      </c>
      <c r="M1588" s="114" t="str">
        <f aca="false">IF($E1588="","",IF($K1588="✓","✓ ","")&amp;IF(Config!$E$22="Sim",$H1588&amp;" · ","")&amp;$F1588)</f>
        <v/>
      </c>
      <c r="N1588" s="114" t="str">
        <f aca="false">IF($E1588="","",IFERROR(INDEX(Config!$D$15:$D$19,MATCH($I1588,Config!$C$15:$C$19,0)),"OUT")&amp;IF($K1588="✓","x",""))</f>
        <v/>
      </c>
      <c r="O1588" s="114" t="str">
        <f aca="false">IF($E1588="","",COUNTIF($E$5:$E1588,$E1588))</f>
        <v/>
      </c>
      <c r="P1588" s="114" t="str">
        <f aca="false">IF($E1588="","",$E1588*100+$O1588)</f>
        <v/>
      </c>
      <c r="Q1588" s="114" t="str">
        <f aca="false">IF($L1588="Atrasado",$E1588*10000+$A1588,"")</f>
        <v/>
      </c>
    </row>
    <row r="1589" customFormat="false" ht="15" hidden="false" customHeight="false" outlineLevel="0" collapsed="false">
      <c r="A1589" s="114" t="n">
        <f aca="false">ROW()-4</f>
        <v>1585</v>
      </c>
      <c r="B1589" s="114" t="str">
        <f aca="false">IF(A1589&lt;=Config!$E$27*Config!$E$28,"Tema","Avulso")</f>
        <v>Tema</v>
      </c>
      <c r="C1589" s="114" t="n">
        <f aca="false">IF(B1589="Tema",INT((A1589-1)/Config!$E$28)+1,A1589-Config!$E$27*Config!$E$28)</f>
        <v>265</v>
      </c>
      <c r="D1589" s="114" t="n">
        <f aca="false">IF(B1589="Tema",MOD(A1589-1,Config!$E$28)+1,"")</f>
        <v>1</v>
      </c>
      <c r="E1589" s="115" t="str">
        <f aca="false">IF($B1589="Tema",IF(ISNUMBER(INDEX(Temas!$E$6:$P$305,$C1589,2*$D1589-1)),INDEX(Temas!$E$6:$P$305,$C1589,2*$D1589-1),""),IF(ISNUMBER(INDEX(Avulsos!$B$6:$B$205,$C1589)),INDEX(Avulsos!$B$6:$B$205,$C1589),""))</f>
        <v/>
      </c>
      <c r="F1589" s="114" t="str">
        <f aca="false">IF($E1589="","",IF($B1589="Tema",INDEX(Temas!$B$6:$B$305,$C1589)&amp;"",INDEX(Avulsos!$C$6:$C$205,$C1589)&amp;""))</f>
        <v/>
      </c>
      <c r="G1589" s="114" t="str">
        <f aca="false">IF($E1589="","",IF($B1589="Tema",INDEX(Config!$C$6:$C$11,$D1589),"Evento avulso"))</f>
        <v/>
      </c>
      <c r="H1589" s="114" t="str">
        <f aca="false">IF($E1589="","",IF($B1589="Tema",INDEX(Config!$D$6:$D$11,$D1589),IFERROR(INDEX(Config!$E$15:$E$19,MATCH($I1589,Config!$C$15:$C$19,0)),"•")))</f>
        <v/>
      </c>
      <c r="I1589" s="114" t="str">
        <f aca="false">IF($E1589="","",IF($B1589="Tema",INDEX(Config!$E$6:$E$11,$D1589),IF(INDEX(Avulsos!$D$6:$D$205,$C1589)&amp;""="","Outro",INDEX(Avulsos!$D$6:$D$205,$C1589))))</f>
        <v/>
      </c>
      <c r="J1589" s="114" t="str">
        <f aca="false">IF($E1589="","",IF($B1589="Tema",INDEX(Temas!$C$6:$C$305,$C1589)&amp;"",INDEX(Avulsos!$E$6:$E$205,$C1589)&amp;""))</f>
        <v/>
      </c>
      <c r="K1589" s="114" t="str">
        <f aca="false">IF($E1589="","",IF(IF($B1589="Tema",INDEX(Temas!$E$6:$P$305,$C1589,2*$D1589),INDEX(Avulsos!$F$6:$F$205,$C1589))&amp;""="","","✓"))</f>
        <v/>
      </c>
      <c r="L1589" s="114" t="str">
        <f aca="true">IF($E1589="","",IF($K1589="✓","Concluído",IF($E1589&lt;TODAY(),"Atrasado",IF($E1589=TODAY(),"Hoje","Pendente"))))</f>
        <v/>
      </c>
      <c r="M1589" s="114" t="str">
        <f aca="false">IF($E1589="","",IF($K1589="✓","✓ ","")&amp;IF(Config!$E$22="Sim",$H1589&amp;" · ","")&amp;$F1589)</f>
        <v/>
      </c>
      <c r="N1589" s="114" t="str">
        <f aca="false">IF($E1589="","",IFERROR(INDEX(Config!$D$15:$D$19,MATCH($I1589,Config!$C$15:$C$19,0)),"OUT")&amp;IF($K1589="✓","x",""))</f>
        <v/>
      </c>
      <c r="O1589" s="114" t="str">
        <f aca="false">IF($E1589="","",COUNTIF($E$5:$E1589,$E1589))</f>
        <v/>
      </c>
      <c r="P1589" s="114" t="str">
        <f aca="false">IF($E1589="","",$E1589*100+$O1589)</f>
        <v/>
      </c>
      <c r="Q1589" s="114" t="str">
        <f aca="false">IF($L1589="Atrasado",$E1589*10000+$A1589,"")</f>
        <v/>
      </c>
    </row>
    <row r="1590" customFormat="false" ht="15" hidden="false" customHeight="false" outlineLevel="0" collapsed="false">
      <c r="A1590" s="114" t="n">
        <f aca="false">ROW()-4</f>
        <v>1586</v>
      </c>
      <c r="B1590" s="114" t="str">
        <f aca="false">IF(A1590&lt;=Config!$E$27*Config!$E$28,"Tema","Avulso")</f>
        <v>Tema</v>
      </c>
      <c r="C1590" s="114" t="n">
        <f aca="false">IF(B1590="Tema",INT((A1590-1)/Config!$E$28)+1,A1590-Config!$E$27*Config!$E$28)</f>
        <v>265</v>
      </c>
      <c r="D1590" s="114" t="n">
        <f aca="false">IF(B1590="Tema",MOD(A1590-1,Config!$E$28)+1,"")</f>
        <v>2</v>
      </c>
      <c r="E1590" s="115" t="str">
        <f aca="false">IF($B1590="Tema",IF(ISNUMBER(INDEX(Temas!$E$6:$P$305,$C1590,2*$D1590-1)),INDEX(Temas!$E$6:$P$305,$C1590,2*$D1590-1),""),IF(ISNUMBER(INDEX(Avulsos!$B$6:$B$205,$C1590)),INDEX(Avulsos!$B$6:$B$205,$C1590),""))</f>
        <v/>
      </c>
      <c r="F1590" s="114" t="str">
        <f aca="false">IF($E1590="","",IF($B1590="Tema",INDEX(Temas!$B$6:$B$305,$C1590)&amp;"",INDEX(Avulsos!$C$6:$C$205,$C1590)&amp;""))</f>
        <v/>
      </c>
      <c r="G1590" s="114" t="str">
        <f aca="false">IF($E1590="","",IF($B1590="Tema",INDEX(Config!$C$6:$C$11,$D1590),"Evento avulso"))</f>
        <v/>
      </c>
      <c r="H1590" s="114" t="str">
        <f aca="false">IF($E1590="","",IF($B1590="Tema",INDEX(Config!$D$6:$D$11,$D1590),IFERROR(INDEX(Config!$E$15:$E$19,MATCH($I1590,Config!$C$15:$C$19,0)),"•")))</f>
        <v/>
      </c>
      <c r="I1590" s="114" t="str">
        <f aca="false">IF($E1590="","",IF($B1590="Tema",INDEX(Config!$E$6:$E$11,$D1590),IF(INDEX(Avulsos!$D$6:$D$205,$C1590)&amp;""="","Outro",INDEX(Avulsos!$D$6:$D$205,$C1590))))</f>
        <v/>
      </c>
      <c r="J1590" s="114" t="str">
        <f aca="false">IF($E1590="","",IF($B1590="Tema",INDEX(Temas!$C$6:$C$305,$C1590)&amp;"",INDEX(Avulsos!$E$6:$E$205,$C1590)&amp;""))</f>
        <v/>
      </c>
      <c r="K1590" s="114" t="str">
        <f aca="false">IF($E1590="","",IF(IF($B1590="Tema",INDEX(Temas!$E$6:$P$305,$C1590,2*$D1590),INDEX(Avulsos!$F$6:$F$205,$C1590))&amp;""="","","✓"))</f>
        <v/>
      </c>
      <c r="L1590" s="114" t="str">
        <f aca="true">IF($E1590="","",IF($K1590="✓","Concluído",IF($E1590&lt;TODAY(),"Atrasado",IF($E1590=TODAY(),"Hoje","Pendente"))))</f>
        <v/>
      </c>
      <c r="M1590" s="114" t="str">
        <f aca="false">IF($E1590="","",IF($K1590="✓","✓ ","")&amp;IF(Config!$E$22="Sim",$H1590&amp;" · ","")&amp;$F1590)</f>
        <v/>
      </c>
      <c r="N1590" s="114" t="str">
        <f aca="false">IF($E1590="","",IFERROR(INDEX(Config!$D$15:$D$19,MATCH($I1590,Config!$C$15:$C$19,0)),"OUT")&amp;IF($K1590="✓","x",""))</f>
        <v/>
      </c>
      <c r="O1590" s="114" t="str">
        <f aca="false">IF($E1590="","",COUNTIF($E$5:$E1590,$E1590))</f>
        <v/>
      </c>
      <c r="P1590" s="114" t="str">
        <f aca="false">IF($E1590="","",$E1590*100+$O1590)</f>
        <v/>
      </c>
      <c r="Q1590" s="114" t="str">
        <f aca="false">IF($L1590="Atrasado",$E1590*10000+$A1590,"")</f>
        <v/>
      </c>
    </row>
    <row r="1591" customFormat="false" ht="15" hidden="false" customHeight="false" outlineLevel="0" collapsed="false">
      <c r="A1591" s="114" t="n">
        <f aca="false">ROW()-4</f>
        <v>1587</v>
      </c>
      <c r="B1591" s="114" t="str">
        <f aca="false">IF(A1591&lt;=Config!$E$27*Config!$E$28,"Tema","Avulso")</f>
        <v>Tema</v>
      </c>
      <c r="C1591" s="114" t="n">
        <f aca="false">IF(B1591="Tema",INT((A1591-1)/Config!$E$28)+1,A1591-Config!$E$27*Config!$E$28)</f>
        <v>265</v>
      </c>
      <c r="D1591" s="114" t="n">
        <f aca="false">IF(B1591="Tema",MOD(A1591-1,Config!$E$28)+1,"")</f>
        <v>3</v>
      </c>
      <c r="E1591" s="115" t="str">
        <f aca="false">IF($B1591="Tema",IF(ISNUMBER(INDEX(Temas!$E$6:$P$305,$C1591,2*$D1591-1)),INDEX(Temas!$E$6:$P$305,$C1591,2*$D1591-1),""),IF(ISNUMBER(INDEX(Avulsos!$B$6:$B$205,$C1591)),INDEX(Avulsos!$B$6:$B$205,$C1591),""))</f>
        <v/>
      </c>
      <c r="F1591" s="114" t="str">
        <f aca="false">IF($E1591="","",IF($B1591="Tema",INDEX(Temas!$B$6:$B$305,$C1591)&amp;"",INDEX(Avulsos!$C$6:$C$205,$C1591)&amp;""))</f>
        <v/>
      </c>
      <c r="G1591" s="114" t="str">
        <f aca="false">IF($E1591="","",IF($B1591="Tema",INDEX(Config!$C$6:$C$11,$D1591),"Evento avulso"))</f>
        <v/>
      </c>
      <c r="H1591" s="114" t="str">
        <f aca="false">IF($E1591="","",IF($B1591="Tema",INDEX(Config!$D$6:$D$11,$D1591),IFERROR(INDEX(Config!$E$15:$E$19,MATCH($I1591,Config!$C$15:$C$19,0)),"•")))</f>
        <v/>
      </c>
      <c r="I1591" s="114" t="str">
        <f aca="false">IF($E1591="","",IF($B1591="Tema",INDEX(Config!$E$6:$E$11,$D1591),IF(INDEX(Avulsos!$D$6:$D$205,$C1591)&amp;""="","Outro",INDEX(Avulsos!$D$6:$D$205,$C1591))))</f>
        <v/>
      </c>
      <c r="J1591" s="114" t="str">
        <f aca="false">IF($E1591="","",IF($B1591="Tema",INDEX(Temas!$C$6:$C$305,$C1591)&amp;"",INDEX(Avulsos!$E$6:$E$205,$C1591)&amp;""))</f>
        <v/>
      </c>
      <c r="K1591" s="114" t="str">
        <f aca="false">IF($E1591="","",IF(IF($B1591="Tema",INDEX(Temas!$E$6:$P$305,$C1591,2*$D1591),INDEX(Avulsos!$F$6:$F$205,$C1591))&amp;""="","","✓"))</f>
        <v/>
      </c>
      <c r="L1591" s="114" t="str">
        <f aca="true">IF($E1591="","",IF($K1591="✓","Concluído",IF($E1591&lt;TODAY(),"Atrasado",IF($E1591=TODAY(),"Hoje","Pendente"))))</f>
        <v/>
      </c>
      <c r="M1591" s="114" t="str">
        <f aca="false">IF($E1591="","",IF($K1591="✓","✓ ","")&amp;IF(Config!$E$22="Sim",$H1591&amp;" · ","")&amp;$F1591)</f>
        <v/>
      </c>
      <c r="N1591" s="114" t="str">
        <f aca="false">IF($E1591="","",IFERROR(INDEX(Config!$D$15:$D$19,MATCH($I1591,Config!$C$15:$C$19,0)),"OUT")&amp;IF($K1591="✓","x",""))</f>
        <v/>
      </c>
      <c r="O1591" s="114" t="str">
        <f aca="false">IF($E1591="","",COUNTIF($E$5:$E1591,$E1591))</f>
        <v/>
      </c>
      <c r="P1591" s="114" t="str">
        <f aca="false">IF($E1591="","",$E1591*100+$O1591)</f>
        <v/>
      </c>
      <c r="Q1591" s="114" t="str">
        <f aca="false">IF($L1591="Atrasado",$E1591*10000+$A1591,"")</f>
        <v/>
      </c>
    </row>
    <row r="1592" customFormat="false" ht="15" hidden="false" customHeight="false" outlineLevel="0" collapsed="false">
      <c r="A1592" s="114" t="n">
        <f aca="false">ROW()-4</f>
        <v>1588</v>
      </c>
      <c r="B1592" s="114" t="str">
        <f aca="false">IF(A1592&lt;=Config!$E$27*Config!$E$28,"Tema","Avulso")</f>
        <v>Tema</v>
      </c>
      <c r="C1592" s="114" t="n">
        <f aca="false">IF(B1592="Tema",INT((A1592-1)/Config!$E$28)+1,A1592-Config!$E$27*Config!$E$28)</f>
        <v>265</v>
      </c>
      <c r="D1592" s="114" t="n">
        <f aca="false">IF(B1592="Tema",MOD(A1592-1,Config!$E$28)+1,"")</f>
        <v>4</v>
      </c>
      <c r="E1592" s="115" t="str">
        <f aca="false">IF($B1592="Tema",IF(ISNUMBER(INDEX(Temas!$E$6:$P$305,$C1592,2*$D1592-1)),INDEX(Temas!$E$6:$P$305,$C1592,2*$D1592-1),""),IF(ISNUMBER(INDEX(Avulsos!$B$6:$B$205,$C1592)),INDEX(Avulsos!$B$6:$B$205,$C1592),""))</f>
        <v/>
      </c>
      <c r="F1592" s="114" t="str">
        <f aca="false">IF($E1592="","",IF($B1592="Tema",INDEX(Temas!$B$6:$B$305,$C1592)&amp;"",INDEX(Avulsos!$C$6:$C$205,$C1592)&amp;""))</f>
        <v/>
      </c>
      <c r="G1592" s="114" t="str">
        <f aca="false">IF($E1592="","",IF($B1592="Tema",INDEX(Config!$C$6:$C$11,$D1592),"Evento avulso"))</f>
        <v/>
      </c>
      <c r="H1592" s="114" t="str">
        <f aca="false">IF($E1592="","",IF($B1592="Tema",INDEX(Config!$D$6:$D$11,$D1592),IFERROR(INDEX(Config!$E$15:$E$19,MATCH($I1592,Config!$C$15:$C$19,0)),"•")))</f>
        <v/>
      </c>
      <c r="I1592" s="114" t="str">
        <f aca="false">IF($E1592="","",IF($B1592="Tema",INDEX(Config!$E$6:$E$11,$D1592),IF(INDEX(Avulsos!$D$6:$D$205,$C1592)&amp;""="","Outro",INDEX(Avulsos!$D$6:$D$205,$C1592))))</f>
        <v/>
      </c>
      <c r="J1592" s="114" t="str">
        <f aca="false">IF($E1592="","",IF($B1592="Tema",INDEX(Temas!$C$6:$C$305,$C1592)&amp;"",INDEX(Avulsos!$E$6:$E$205,$C1592)&amp;""))</f>
        <v/>
      </c>
      <c r="K1592" s="114" t="str">
        <f aca="false">IF($E1592="","",IF(IF($B1592="Tema",INDEX(Temas!$E$6:$P$305,$C1592,2*$D1592),INDEX(Avulsos!$F$6:$F$205,$C1592))&amp;""="","","✓"))</f>
        <v/>
      </c>
      <c r="L1592" s="114" t="str">
        <f aca="true">IF($E1592="","",IF($K1592="✓","Concluído",IF($E1592&lt;TODAY(),"Atrasado",IF($E1592=TODAY(),"Hoje","Pendente"))))</f>
        <v/>
      </c>
      <c r="M1592" s="114" t="str">
        <f aca="false">IF($E1592="","",IF($K1592="✓","✓ ","")&amp;IF(Config!$E$22="Sim",$H1592&amp;" · ","")&amp;$F1592)</f>
        <v/>
      </c>
      <c r="N1592" s="114" t="str">
        <f aca="false">IF($E1592="","",IFERROR(INDEX(Config!$D$15:$D$19,MATCH($I1592,Config!$C$15:$C$19,0)),"OUT")&amp;IF($K1592="✓","x",""))</f>
        <v/>
      </c>
      <c r="O1592" s="114" t="str">
        <f aca="false">IF($E1592="","",COUNTIF($E$5:$E1592,$E1592))</f>
        <v/>
      </c>
      <c r="P1592" s="114" t="str">
        <f aca="false">IF($E1592="","",$E1592*100+$O1592)</f>
        <v/>
      </c>
      <c r="Q1592" s="114" t="str">
        <f aca="false">IF($L1592="Atrasado",$E1592*10000+$A1592,"")</f>
        <v/>
      </c>
    </row>
    <row r="1593" customFormat="false" ht="15" hidden="false" customHeight="false" outlineLevel="0" collapsed="false">
      <c r="A1593" s="114" t="n">
        <f aca="false">ROW()-4</f>
        <v>1589</v>
      </c>
      <c r="B1593" s="114" t="str">
        <f aca="false">IF(A1593&lt;=Config!$E$27*Config!$E$28,"Tema","Avulso")</f>
        <v>Tema</v>
      </c>
      <c r="C1593" s="114" t="n">
        <f aca="false">IF(B1593="Tema",INT((A1593-1)/Config!$E$28)+1,A1593-Config!$E$27*Config!$E$28)</f>
        <v>265</v>
      </c>
      <c r="D1593" s="114" t="n">
        <f aca="false">IF(B1593="Tema",MOD(A1593-1,Config!$E$28)+1,"")</f>
        <v>5</v>
      </c>
      <c r="E1593" s="115" t="str">
        <f aca="false">IF($B1593="Tema",IF(ISNUMBER(INDEX(Temas!$E$6:$P$305,$C1593,2*$D1593-1)),INDEX(Temas!$E$6:$P$305,$C1593,2*$D1593-1),""),IF(ISNUMBER(INDEX(Avulsos!$B$6:$B$205,$C1593)),INDEX(Avulsos!$B$6:$B$205,$C1593),""))</f>
        <v/>
      </c>
      <c r="F1593" s="114" t="str">
        <f aca="false">IF($E1593="","",IF($B1593="Tema",INDEX(Temas!$B$6:$B$305,$C1593)&amp;"",INDEX(Avulsos!$C$6:$C$205,$C1593)&amp;""))</f>
        <v/>
      </c>
      <c r="G1593" s="114" t="str">
        <f aca="false">IF($E1593="","",IF($B1593="Tema",INDEX(Config!$C$6:$C$11,$D1593),"Evento avulso"))</f>
        <v/>
      </c>
      <c r="H1593" s="114" t="str">
        <f aca="false">IF($E1593="","",IF($B1593="Tema",INDEX(Config!$D$6:$D$11,$D1593),IFERROR(INDEX(Config!$E$15:$E$19,MATCH($I1593,Config!$C$15:$C$19,0)),"•")))</f>
        <v/>
      </c>
      <c r="I1593" s="114" t="str">
        <f aca="false">IF($E1593="","",IF($B1593="Tema",INDEX(Config!$E$6:$E$11,$D1593),IF(INDEX(Avulsos!$D$6:$D$205,$C1593)&amp;""="","Outro",INDEX(Avulsos!$D$6:$D$205,$C1593))))</f>
        <v/>
      </c>
      <c r="J1593" s="114" t="str">
        <f aca="false">IF($E1593="","",IF($B1593="Tema",INDEX(Temas!$C$6:$C$305,$C1593)&amp;"",INDEX(Avulsos!$E$6:$E$205,$C1593)&amp;""))</f>
        <v/>
      </c>
      <c r="K1593" s="114" t="str">
        <f aca="false">IF($E1593="","",IF(IF($B1593="Tema",INDEX(Temas!$E$6:$P$305,$C1593,2*$D1593),INDEX(Avulsos!$F$6:$F$205,$C1593))&amp;""="","","✓"))</f>
        <v/>
      </c>
      <c r="L1593" s="114" t="str">
        <f aca="true">IF($E1593="","",IF($K1593="✓","Concluído",IF($E1593&lt;TODAY(),"Atrasado",IF($E1593=TODAY(),"Hoje","Pendente"))))</f>
        <v/>
      </c>
      <c r="M1593" s="114" t="str">
        <f aca="false">IF($E1593="","",IF($K1593="✓","✓ ","")&amp;IF(Config!$E$22="Sim",$H1593&amp;" · ","")&amp;$F1593)</f>
        <v/>
      </c>
      <c r="N1593" s="114" t="str">
        <f aca="false">IF($E1593="","",IFERROR(INDEX(Config!$D$15:$D$19,MATCH($I1593,Config!$C$15:$C$19,0)),"OUT")&amp;IF($K1593="✓","x",""))</f>
        <v/>
      </c>
      <c r="O1593" s="114" t="str">
        <f aca="false">IF($E1593="","",COUNTIF($E$5:$E1593,$E1593))</f>
        <v/>
      </c>
      <c r="P1593" s="114" t="str">
        <f aca="false">IF($E1593="","",$E1593*100+$O1593)</f>
        <v/>
      </c>
      <c r="Q1593" s="114" t="str">
        <f aca="false">IF($L1593="Atrasado",$E1593*10000+$A1593,"")</f>
        <v/>
      </c>
    </row>
    <row r="1594" customFormat="false" ht="15" hidden="false" customHeight="false" outlineLevel="0" collapsed="false">
      <c r="A1594" s="114" t="n">
        <f aca="false">ROW()-4</f>
        <v>1590</v>
      </c>
      <c r="B1594" s="114" t="str">
        <f aca="false">IF(A1594&lt;=Config!$E$27*Config!$E$28,"Tema","Avulso")</f>
        <v>Tema</v>
      </c>
      <c r="C1594" s="114" t="n">
        <f aca="false">IF(B1594="Tema",INT((A1594-1)/Config!$E$28)+1,A1594-Config!$E$27*Config!$E$28)</f>
        <v>265</v>
      </c>
      <c r="D1594" s="114" t="n">
        <f aca="false">IF(B1594="Tema",MOD(A1594-1,Config!$E$28)+1,"")</f>
        <v>6</v>
      </c>
      <c r="E1594" s="115" t="str">
        <f aca="false">IF($B1594="Tema",IF(ISNUMBER(INDEX(Temas!$E$6:$P$305,$C1594,2*$D1594-1)),INDEX(Temas!$E$6:$P$305,$C1594,2*$D1594-1),""),IF(ISNUMBER(INDEX(Avulsos!$B$6:$B$205,$C1594)),INDEX(Avulsos!$B$6:$B$205,$C1594),""))</f>
        <v/>
      </c>
      <c r="F1594" s="114" t="str">
        <f aca="false">IF($E1594="","",IF($B1594="Tema",INDEX(Temas!$B$6:$B$305,$C1594)&amp;"",INDEX(Avulsos!$C$6:$C$205,$C1594)&amp;""))</f>
        <v/>
      </c>
      <c r="G1594" s="114" t="str">
        <f aca="false">IF($E1594="","",IF($B1594="Tema",INDEX(Config!$C$6:$C$11,$D1594),"Evento avulso"))</f>
        <v/>
      </c>
      <c r="H1594" s="114" t="str">
        <f aca="false">IF($E1594="","",IF($B1594="Tema",INDEX(Config!$D$6:$D$11,$D1594),IFERROR(INDEX(Config!$E$15:$E$19,MATCH($I1594,Config!$C$15:$C$19,0)),"•")))</f>
        <v/>
      </c>
      <c r="I1594" s="114" t="str">
        <f aca="false">IF($E1594="","",IF($B1594="Tema",INDEX(Config!$E$6:$E$11,$D1594),IF(INDEX(Avulsos!$D$6:$D$205,$C1594)&amp;""="","Outro",INDEX(Avulsos!$D$6:$D$205,$C1594))))</f>
        <v/>
      </c>
      <c r="J1594" s="114" t="str">
        <f aca="false">IF($E1594="","",IF($B1594="Tema",INDEX(Temas!$C$6:$C$305,$C1594)&amp;"",INDEX(Avulsos!$E$6:$E$205,$C1594)&amp;""))</f>
        <v/>
      </c>
      <c r="K1594" s="114" t="str">
        <f aca="false">IF($E1594="","",IF(IF($B1594="Tema",INDEX(Temas!$E$6:$P$305,$C1594,2*$D1594),INDEX(Avulsos!$F$6:$F$205,$C1594))&amp;""="","","✓"))</f>
        <v/>
      </c>
      <c r="L1594" s="114" t="str">
        <f aca="true">IF($E1594="","",IF($K1594="✓","Concluído",IF($E1594&lt;TODAY(),"Atrasado",IF($E1594=TODAY(),"Hoje","Pendente"))))</f>
        <v/>
      </c>
      <c r="M1594" s="114" t="str">
        <f aca="false">IF($E1594="","",IF($K1594="✓","✓ ","")&amp;IF(Config!$E$22="Sim",$H1594&amp;" · ","")&amp;$F1594)</f>
        <v/>
      </c>
      <c r="N1594" s="114" t="str">
        <f aca="false">IF($E1594="","",IFERROR(INDEX(Config!$D$15:$D$19,MATCH($I1594,Config!$C$15:$C$19,0)),"OUT")&amp;IF($K1594="✓","x",""))</f>
        <v/>
      </c>
      <c r="O1594" s="114" t="str">
        <f aca="false">IF($E1594="","",COUNTIF($E$5:$E1594,$E1594))</f>
        <v/>
      </c>
      <c r="P1594" s="114" t="str">
        <f aca="false">IF($E1594="","",$E1594*100+$O1594)</f>
        <v/>
      </c>
      <c r="Q1594" s="114" t="str">
        <f aca="false">IF($L1594="Atrasado",$E1594*10000+$A1594,"")</f>
        <v/>
      </c>
    </row>
    <row r="1595" customFormat="false" ht="15" hidden="false" customHeight="false" outlineLevel="0" collapsed="false">
      <c r="A1595" s="114" t="n">
        <f aca="false">ROW()-4</f>
        <v>1591</v>
      </c>
      <c r="B1595" s="114" t="str">
        <f aca="false">IF(A1595&lt;=Config!$E$27*Config!$E$28,"Tema","Avulso")</f>
        <v>Tema</v>
      </c>
      <c r="C1595" s="114" t="n">
        <f aca="false">IF(B1595="Tema",INT((A1595-1)/Config!$E$28)+1,A1595-Config!$E$27*Config!$E$28)</f>
        <v>266</v>
      </c>
      <c r="D1595" s="114" t="n">
        <f aca="false">IF(B1595="Tema",MOD(A1595-1,Config!$E$28)+1,"")</f>
        <v>1</v>
      </c>
      <c r="E1595" s="115" t="str">
        <f aca="false">IF($B1595="Tema",IF(ISNUMBER(INDEX(Temas!$E$6:$P$305,$C1595,2*$D1595-1)),INDEX(Temas!$E$6:$P$305,$C1595,2*$D1595-1),""),IF(ISNUMBER(INDEX(Avulsos!$B$6:$B$205,$C1595)),INDEX(Avulsos!$B$6:$B$205,$C1595),""))</f>
        <v/>
      </c>
      <c r="F1595" s="114" t="str">
        <f aca="false">IF($E1595="","",IF($B1595="Tema",INDEX(Temas!$B$6:$B$305,$C1595)&amp;"",INDEX(Avulsos!$C$6:$C$205,$C1595)&amp;""))</f>
        <v/>
      </c>
      <c r="G1595" s="114" t="str">
        <f aca="false">IF($E1595="","",IF($B1595="Tema",INDEX(Config!$C$6:$C$11,$D1595),"Evento avulso"))</f>
        <v/>
      </c>
      <c r="H1595" s="114" t="str">
        <f aca="false">IF($E1595="","",IF($B1595="Tema",INDEX(Config!$D$6:$D$11,$D1595),IFERROR(INDEX(Config!$E$15:$E$19,MATCH($I1595,Config!$C$15:$C$19,0)),"•")))</f>
        <v/>
      </c>
      <c r="I1595" s="114" t="str">
        <f aca="false">IF($E1595="","",IF($B1595="Tema",INDEX(Config!$E$6:$E$11,$D1595),IF(INDEX(Avulsos!$D$6:$D$205,$C1595)&amp;""="","Outro",INDEX(Avulsos!$D$6:$D$205,$C1595))))</f>
        <v/>
      </c>
      <c r="J1595" s="114" t="str">
        <f aca="false">IF($E1595="","",IF($B1595="Tema",INDEX(Temas!$C$6:$C$305,$C1595)&amp;"",INDEX(Avulsos!$E$6:$E$205,$C1595)&amp;""))</f>
        <v/>
      </c>
      <c r="K1595" s="114" t="str">
        <f aca="false">IF($E1595="","",IF(IF($B1595="Tema",INDEX(Temas!$E$6:$P$305,$C1595,2*$D1595),INDEX(Avulsos!$F$6:$F$205,$C1595))&amp;""="","","✓"))</f>
        <v/>
      </c>
      <c r="L1595" s="114" t="str">
        <f aca="true">IF($E1595="","",IF($K1595="✓","Concluído",IF($E1595&lt;TODAY(),"Atrasado",IF($E1595=TODAY(),"Hoje","Pendente"))))</f>
        <v/>
      </c>
      <c r="M1595" s="114" t="str">
        <f aca="false">IF($E1595="","",IF($K1595="✓","✓ ","")&amp;IF(Config!$E$22="Sim",$H1595&amp;" · ","")&amp;$F1595)</f>
        <v/>
      </c>
      <c r="N1595" s="114" t="str">
        <f aca="false">IF($E1595="","",IFERROR(INDEX(Config!$D$15:$D$19,MATCH($I1595,Config!$C$15:$C$19,0)),"OUT")&amp;IF($K1595="✓","x",""))</f>
        <v/>
      </c>
      <c r="O1595" s="114" t="str">
        <f aca="false">IF($E1595="","",COUNTIF($E$5:$E1595,$E1595))</f>
        <v/>
      </c>
      <c r="P1595" s="114" t="str">
        <f aca="false">IF($E1595="","",$E1595*100+$O1595)</f>
        <v/>
      </c>
      <c r="Q1595" s="114" t="str">
        <f aca="false">IF($L1595="Atrasado",$E1595*10000+$A1595,"")</f>
        <v/>
      </c>
    </row>
    <row r="1596" customFormat="false" ht="15" hidden="false" customHeight="false" outlineLevel="0" collapsed="false">
      <c r="A1596" s="114" t="n">
        <f aca="false">ROW()-4</f>
        <v>1592</v>
      </c>
      <c r="B1596" s="114" t="str">
        <f aca="false">IF(A1596&lt;=Config!$E$27*Config!$E$28,"Tema","Avulso")</f>
        <v>Tema</v>
      </c>
      <c r="C1596" s="114" t="n">
        <f aca="false">IF(B1596="Tema",INT((A1596-1)/Config!$E$28)+1,A1596-Config!$E$27*Config!$E$28)</f>
        <v>266</v>
      </c>
      <c r="D1596" s="114" t="n">
        <f aca="false">IF(B1596="Tema",MOD(A1596-1,Config!$E$28)+1,"")</f>
        <v>2</v>
      </c>
      <c r="E1596" s="115" t="str">
        <f aca="false">IF($B1596="Tema",IF(ISNUMBER(INDEX(Temas!$E$6:$P$305,$C1596,2*$D1596-1)),INDEX(Temas!$E$6:$P$305,$C1596,2*$D1596-1),""),IF(ISNUMBER(INDEX(Avulsos!$B$6:$B$205,$C1596)),INDEX(Avulsos!$B$6:$B$205,$C1596),""))</f>
        <v/>
      </c>
      <c r="F1596" s="114" t="str">
        <f aca="false">IF($E1596="","",IF($B1596="Tema",INDEX(Temas!$B$6:$B$305,$C1596)&amp;"",INDEX(Avulsos!$C$6:$C$205,$C1596)&amp;""))</f>
        <v/>
      </c>
      <c r="G1596" s="114" t="str">
        <f aca="false">IF($E1596="","",IF($B1596="Tema",INDEX(Config!$C$6:$C$11,$D1596),"Evento avulso"))</f>
        <v/>
      </c>
      <c r="H1596" s="114" t="str">
        <f aca="false">IF($E1596="","",IF($B1596="Tema",INDEX(Config!$D$6:$D$11,$D1596),IFERROR(INDEX(Config!$E$15:$E$19,MATCH($I1596,Config!$C$15:$C$19,0)),"•")))</f>
        <v/>
      </c>
      <c r="I1596" s="114" t="str">
        <f aca="false">IF($E1596="","",IF($B1596="Tema",INDEX(Config!$E$6:$E$11,$D1596),IF(INDEX(Avulsos!$D$6:$D$205,$C1596)&amp;""="","Outro",INDEX(Avulsos!$D$6:$D$205,$C1596))))</f>
        <v/>
      </c>
      <c r="J1596" s="114" t="str">
        <f aca="false">IF($E1596="","",IF($B1596="Tema",INDEX(Temas!$C$6:$C$305,$C1596)&amp;"",INDEX(Avulsos!$E$6:$E$205,$C1596)&amp;""))</f>
        <v/>
      </c>
      <c r="K1596" s="114" t="str">
        <f aca="false">IF($E1596="","",IF(IF($B1596="Tema",INDEX(Temas!$E$6:$P$305,$C1596,2*$D1596),INDEX(Avulsos!$F$6:$F$205,$C1596))&amp;""="","","✓"))</f>
        <v/>
      </c>
      <c r="L1596" s="114" t="str">
        <f aca="true">IF($E1596="","",IF($K1596="✓","Concluído",IF($E1596&lt;TODAY(),"Atrasado",IF($E1596=TODAY(),"Hoje","Pendente"))))</f>
        <v/>
      </c>
      <c r="M1596" s="114" t="str">
        <f aca="false">IF($E1596="","",IF($K1596="✓","✓ ","")&amp;IF(Config!$E$22="Sim",$H1596&amp;" · ","")&amp;$F1596)</f>
        <v/>
      </c>
      <c r="N1596" s="114" t="str">
        <f aca="false">IF($E1596="","",IFERROR(INDEX(Config!$D$15:$D$19,MATCH($I1596,Config!$C$15:$C$19,0)),"OUT")&amp;IF($K1596="✓","x",""))</f>
        <v/>
      </c>
      <c r="O1596" s="114" t="str">
        <f aca="false">IF($E1596="","",COUNTIF($E$5:$E1596,$E1596))</f>
        <v/>
      </c>
      <c r="P1596" s="114" t="str">
        <f aca="false">IF($E1596="","",$E1596*100+$O1596)</f>
        <v/>
      </c>
      <c r="Q1596" s="114" t="str">
        <f aca="false">IF($L1596="Atrasado",$E1596*10000+$A1596,"")</f>
        <v/>
      </c>
    </row>
    <row r="1597" customFormat="false" ht="15" hidden="false" customHeight="false" outlineLevel="0" collapsed="false">
      <c r="A1597" s="114" t="n">
        <f aca="false">ROW()-4</f>
        <v>1593</v>
      </c>
      <c r="B1597" s="114" t="str">
        <f aca="false">IF(A1597&lt;=Config!$E$27*Config!$E$28,"Tema","Avulso")</f>
        <v>Tema</v>
      </c>
      <c r="C1597" s="114" t="n">
        <f aca="false">IF(B1597="Tema",INT((A1597-1)/Config!$E$28)+1,A1597-Config!$E$27*Config!$E$28)</f>
        <v>266</v>
      </c>
      <c r="D1597" s="114" t="n">
        <f aca="false">IF(B1597="Tema",MOD(A1597-1,Config!$E$28)+1,"")</f>
        <v>3</v>
      </c>
      <c r="E1597" s="115" t="str">
        <f aca="false">IF($B1597="Tema",IF(ISNUMBER(INDEX(Temas!$E$6:$P$305,$C1597,2*$D1597-1)),INDEX(Temas!$E$6:$P$305,$C1597,2*$D1597-1),""),IF(ISNUMBER(INDEX(Avulsos!$B$6:$B$205,$C1597)),INDEX(Avulsos!$B$6:$B$205,$C1597),""))</f>
        <v/>
      </c>
      <c r="F1597" s="114" t="str">
        <f aca="false">IF($E1597="","",IF($B1597="Tema",INDEX(Temas!$B$6:$B$305,$C1597)&amp;"",INDEX(Avulsos!$C$6:$C$205,$C1597)&amp;""))</f>
        <v/>
      </c>
      <c r="G1597" s="114" t="str">
        <f aca="false">IF($E1597="","",IF($B1597="Tema",INDEX(Config!$C$6:$C$11,$D1597),"Evento avulso"))</f>
        <v/>
      </c>
      <c r="H1597" s="114" t="str">
        <f aca="false">IF($E1597="","",IF($B1597="Tema",INDEX(Config!$D$6:$D$11,$D1597),IFERROR(INDEX(Config!$E$15:$E$19,MATCH($I1597,Config!$C$15:$C$19,0)),"•")))</f>
        <v/>
      </c>
      <c r="I1597" s="114" t="str">
        <f aca="false">IF($E1597="","",IF($B1597="Tema",INDEX(Config!$E$6:$E$11,$D1597),IF(INDEX(Avulsos!$D$6:$D$205,$C1597)&amp;""="","Outro",INDEX(Avulsos!$D$6:$D$205,$C1597))))</f>
        <v/>
      </c>
      <c r="J1597" s="114" t="str">
        <f aca="false">IF($E1597="","",IF($B1597="Tema",INDEX(Temas!$C$6:$C$305,$C1597)&amp;"",INDEX(Avulsos!$E$6:$E$205,$C1597)&amp;""))</f>
        <v/>
      </c>
      <c r="K1597" s="114" t="str">
        <f aca="false">IF($E1597="","",IF(IF($B1597="Tema",INDEX(Temas!$E$6:$P$305,$C1597,2*$D1597),INDEX(Avulsos!$F$6:$F$205,$C1597))&amp;""="","","✓"))</f>
        <v/>
      </c>
      <c r="L1597" s="114" t="str">
        <f aca="true">IF($E1597="","",IF($K1597="✓","Concluído",IF($E1597&lt;TODAY(),"Atrasado",IF($E1597=TODAY(),"Hoje","Pendente"))))</f>
        <v/>
      </c>
      <c r="M1597" s="114" t="str">
        <f aca="false">IF($E1597="","",IF($K1597="✓","✓ ","")&amp;IF(Config!$E$22="Sim",$H1597&amp;" · ","")&amp;$F1597)</f>
        <v/>
      </c>
      <c r="N1597" s="114" t="str">
        <f aca="false">IF($E1597="","",IFERROR(INDEX(Config!$D$15:$D$19,MATCH($I1597,Config!$C$15:$C$19,0)),"OUT")&amp;IF($K1597="✓","x",""))</f>
        <v/>
      </c>
      <c r="O1597" s="114" t="str">
        <f aca="false">IF($E1597="","",COUNTIF($E$5:$E1597,$E1597))</f>
        <v/>
      </c>
      <c r="P1597" s="114" t="str">
        <f aca="false">IF($E1597="","",$E1597*100+$O1597)</f>
        <v/>
      </c>
      <c r="Q1597" s="114" t="str">
        <f aca="false">IF($L1597="Atrasado",$E1597*10000+$A1597,"")</f>
        <v/>
      </c>
    </row>
    <row r="1598" customFormat="false" ht="15" hidden="false" customHeight="false" outlineLevel="0" collapsed="false">
      <c r="A1598" s="114" t="n">
        <f aca="false">ROW()-4</f>
        <v>1594</v>
      </c>
      <c r="B1598" s="114" t="str">
        <f aca="false">IF(A1598&lt;=Config!$E$27*Config!$E$28,"Tema","Avulso")</f>
        <v>Tema</v>
      </c>
      <c r="C1598" s="114" t="n">
        <f aca="false">IF(B1598="Tema",INT((A1598-1)/Config!$E$28)+1,A1598-Config!$E$27*Config!$E$28)</f>
        <v>266</v>
      </c>
      <c r="D1598" s="114" t="n">
        <f aca="false">IF(B1598="Tema",MOD(A1598-1,Config!$E$28)+1,"")</f>
        <v>4</v>
      </c>
      <c r="E1598" s="115" t="str">
        <f aca="false">IF($B1598="Tema",IF(ISNUMBER(INDEX(Temas!$E$6:$P$305,$C1598,2*$D1598-1)),INDEX(Temas!$E$6:$P$305,$C1598,2*$D1598-1),""),IF(ISNUMBER(INDEX(Avulsos!$B$6:$B$205,$C1598)),INDEX(Avulsos!$B$6:$B$205,$C1598),""))</f>
        <v/>
      </c>
      <c r="F1598" s="114" t="str">
        <f aca="false">IF($E1598="","",IF($B1598="Tema",INDEX(Temas!$B$6:$B$305,$C1598)&amp;"",INDEX(Avulsos!$C$6:$C$205,$C1598)&amp;""))</f>
        <v/>
      </c>
      <c r="G1598" s="114" t="str">
        <f aca="false">IF($E1598="","",IF($B1598="Tema",INDEX(Config!$C$6:$C$11,$D1598),"Evento avulso"))</f>
        <v/>
      </c>
      <c r="H1598" s="114" t="str">
        <f aca="false">IF($E1598="","",IF($B1598="Tema",INDEX(Config!$D$6:$D$11,$D1598),IFERROR(INDEX(Config!$E$15:$E$19,MATCH($I1598,Config!$C$15:$C$19,0)),"•")))</f>
        <v/>
      </c>
      <c r="I1598" s="114" t="str">
        <f aca="false">IF($E1598="","",IF($B1598="Tema",INDEX(Config!$E$6:$E$11,$D1598),IF(INDEX(Avulsos!$D$6:$D$205,$C1598)&amp;""="","Outro",INDEX(Avulsos!$D$6:$D$205,$C1598))))</f>
        <v/>
      </c>
      <c r="J1598" s="114" t="str">
        <f aca="false">IF($E1598="","",IF($B1598="Tema",INDEX(Temas!$C$6:$C$305,$C1598)&amp;"",INDEX(Avulsos!$E$6:$E$205,$C1598)&amp;""))</f>
        <v/>
      </c>
      <c r="K1598" s="114" t="str">
        <f aca="false">IF($E1598="","",IF(IF($B1598="Tema",INDEX(Temas!$E$6:$P$305,$C1598,2*$D1598),INDEX(Avulsos!$F$6:$F$205,$C1598))&amp;""="","","✓"))</f>
        <v/>
      </c>
      <c r="L1598" s="114" t="str">
        <f aca="true">IF($E1598="","",IF($K1598="✓","Concluído",IF($E1598&lt;TODAY(),"Atrasado",IF($E1598=TODAY(),"Hoje","Pendente"))))</f>
        <v/>
      </c>
      <c r="M1598" s="114" t="str">
        <f aca="false">IF($E1598="","",IF($K1598="✓","✓ ","")&amp;IF(Config!$E$22="Sim",$H1598&amp;" · ","")&amp;$F1598)</f>
        <v/>
      </c>
      <c r="N1598" s="114" t="str">
        <f aca="false">IF($E1598="","",IFERROR(INDEX(Config!$D$15:$D$19,MATCH($I1598,Config!$C$15:$C$19,0)),"OUT")&amp;IF($K1598="✓","x",""))</f>
        <v/>
      </c>
      <c r="O1598" s="114" t="str">
        <f aca="false">IF($E1598="","",COUNTIF($E$5:$E1598,$E1598))</f>
        <v/>
      </c>
      <c r="P1598" s="114" t="str">
        <f aca="false">IF($E1598="","",$E1598*100+$O1598)</f>
        <v/>
      </c>
      <c r="Q1598" s="114" t="str">
        <f aca="false">IF($L1598="Atrasado",$E1598*10000+$A1598,"")</f>
        <v/>
      </c>
    </row>
    <row r="1599" customFormat="false" ht="15" hidden="false" customHeight="false" outlineLevel="0" collapsed="false">
      <c r="A1599" s="114" t="n">
        <f aca="false">ROW()-4</f>
        <v>1595</v>
      </c>
      <c r="B1599" s="114" t="str">
        <f aca="false">IF(A1599&lt;=Config!$E$27*Config!$E$28,"Tema","Avulso")</f>
        <v>Tema</v>
      </c>
      <c r="C1599" s="114" t="n">
        <f aca="false">IF(B1599="Tema",INT((A1599-1)/Config!$E$28)+1,A1599-Config!$E$27*Config!$E$28)</f>
        <v>266</v>
      </c>
      <c r="D1599" s="114" t="n">
        <f aca="false">IF(B1599="Tema",MOD(A1599-1,Config!$E$28)+1,"")</f>
        <v>5</v>
      </c>
      <c r="E1599" s="115" t="str">
        <f aca="false">IF($B1599="Tema",IF(ISNUMBER(INDEX(Temas!$E$6:$P$305,$C1599,2*$D1599-1)),INDEX(Temas!$E$6:$P$305,$C1599,2*$D1599-1),""),IF(ISNUMBER(INDEX(Avulsos!$B$6:$B$205,$C1599)),INDEX(Avulsos!$B$6:$B$205,$C1599),""))</f>
        <v/>
      </c>
      <c r="F1599" s="114" t="str">
        <f aca="false">IF($E1599="","",IF($B1599="Tema",INDEX(Temas!$B$6:$B$305,$C1599)&amp;"",INDEX(Avulsos!$C$6:$C$205,$C1599)&amp;""))</f>
        <v/>
      </c>
      <c r="G1599" s="114" t="str">
        <f aca="false">IF($E1599="","",IF($B1599="Tema",INDEX(Config!$C$6:$C$11,$D1599),"Evento avulso"))</f>
        <v/>
      </c>
      <c r="H1599" s="114" t="str">
        <f aca="false">IF($E1599="","",IF($B1599="Tema",INDEX(Config!$D$6:$D$11,$D1599),IFERROR(INDEX(Config!$E$15:$E$19,MATCH($I1599,Config!$C$15:$C$19,0)),"•")))</f>
        <v/>
      </c>
      <c r="I1599" s="114" t="str">
        <f aca="false">IF($E1599="","",IF($B1599="Tema",INDEX(Config!$E$6:$E$11,$D1599),IF(INDEX(Avulsos!$D$6:$D$205,$C1599)&amp;""="","Outro",INDEX(Avulsos!$D$6:$D$205,$C1599))))</f>
        <v/>
      </c>
      <c r="J1599" s="114" t="str">
        <f aca="false">IF($E1599="","",IF($B1599="Tema",INDEX(Temas!$C$6:$C$305,$C1599)&amp;"",INDEX(Avulsos!$E$6:$E$205,$C1599)&amp;""))</f>
        <v/>
      </c>
      <c r="K1599" s="114" t="str">
        <f aca="false">IF($E1599="","",IF(IF($B1599="Tema",INDEX(Temas!$E$6:$P$305,$C1599,2*$D1599),INDEX(Avulsos!$F$6:$F$205,$C1599))&amp;""="","","✓"))</f>
        <v/>
      </c>
      <c r="L1599" s="114" t="str">
        <f aca="true">IF($E1599="","",IF($K1599="✓","Concluído",IF($E1599&lt;TODAY(),"Atrasado",IF($E1599=TODAY(),"Hoje","Pendente"))))</f>
        <v/>
      </c>
      <c r="M1599" s="114" t="str">
        <f aca="false">IF($E1599="","",IF($K1599="✓","✓ ","")&amp;IF(Config!$E$22="Sim",$H1599&amp;" · ","")&amp;$F1599)</f>
        <v/>
      </c>
      <c r="N1599" s="114" t="str">
        <f aca="false">IF($E1599="","",IFERROR(INDEX(Config!$D$15:$D$19,MATCH($I1599,Config!$C$15:$C$19,0)),"OUT")&amp;IF($K1599="✓","x",""))</f>
        <v/>
      </c>
      <c r="O1599" s="114" t="str">
        <f aca="false">IF($E1599="","",COUNTIF($E$5:$E1599,$E1599))</f>
        <v/>
      </c>
      <c r="P1599" s="114" t="str">
        <f aca="false">IF($E1599="","",$E1599*100+$O1599)</f>
        <v/>
      </c>
      <c r="Q1599" s="114" t="str">
        <f aca="false">IF($L1599="Atrasado",$E1599*10000+$A1599,"")</f>
        <v/>
      </c>
    </row>
    <row r="1600" customFormat="false" ht="15" hidden="false" customHeight="false" outlineLevel="0" collapsed="false">
      <c r="A1600" s="114" t="n">
        <f aca="false">ROW()-4</f>
        <v>1596</v>
      </c>
      <c r="B1600" s="114" t="str">
        <f aca="false">IF(A1600&lt;=Config!$E$27*Config!$E$28,"Tema","Avulso")</f>
        <v>Tema</v>
      </c>
      <c r="C1600" s="114" t="n">
        <f aca="false">IF(B1600="Tema",INT((A1600-1)/Config!$E$28)+1,A1600-Config!$E$27*Config!$E$28)</f>
        <v>266</v>
      </c>
      <c r="D1600" s="114" t="n">
        <f aca="false">IF(B1600="Tema",MOD(A1600-1,Config!$E$28)+1,"")</f>
        <v>6</v>
      </c>
      <c r="E1600" s="115" t="str">
        <f aca="false">IF($B1600="Tema",IF(ISNUMBER(INDEX(Temas!$E$6:$P$305,$C1600,2*$D1600-1)),INDEX(Temas!$E$6:$P$305,$C1600,2*$D1600-1),""),IF(ISNUMBER(INDEX(Avulsos!$B$6:$B$205,$C1600)),INDEX(Avulsos!$B$6:$B$205,$C1600),""))</f>
        <v/>
      </c>
      <c r="F1600" s="114" t="str">
        <f aca="false">IF($E1600="","",IF($B1600="Tema",INDEX(Temas!$B$6:$B$305,$C1600)&amp;"",INDEX(Avulsos!$C$6:$C$205,$C1600)&amp;""))</f>
        <v/>
      </c>
      <c r="G1600" s="114" t="str">
        <f aca="false">IF($E1600="","",IF($B1600="Tema",INDEX(Config!$C$6:$C$11,$D1600),"Evento avulso"))</f>
        <v/>
      </c>
      <c r="H1600" s="114" t="str">
        <f aca="false">IF($E1600="","",IF($B1600="Tema",INDEX(Config!$D$6:$D$11,$D1600),IFERROR(INDEX(Config!$E$15:$E$19,MATCH($I1600,Config!$C$15:$C$19,0)),"•")))</f>
        <v/>
      </c>
      <c r="I1600" s="114" t="str">
        <f aca="false">IF($E1600="","",IF($B1600="Tema",INDEX(Config!$E$6:$E$11,$D1600),IF(INDEX(Avulsos!$D$6:$D$205,$C1600)&amp;""="","Outro",INDEX(Avulsos!$D$6:$D$205,$C1600))))</f>
        <v/>
      </c>
      <c r="J1600" s="114" t="str">
        <f aca="false">IF($E1600="","",IF($B1600="Tema",INDEX(Temas!$C$6:$C$305,$C1600)&amp;"",INDEX(Avulsos!$E$6:$E$205,$C1600)&amp;""))</f>
        <v/>
      </c>
      <c r="K1600" s="114" t="str">
        <f aca="false">IF($E1600="","",IF(IF($B1600="Tema",INDEX(Temas!$E$6:$P$305,$C1600,2*$D1600),INDEX(Avulsos!$F$6:$F$205,$C1600))&amp;""="","","✓"))</f>
        <v/>
      </c>
      <c r="L1600" s="114" t="str">
        <f aca="true">IF($E1600="","",IF($K1600="✓","Concluído",IF($E1600&lt;TODAY(),"Atrasado",IF($E1600=TODAY(),"Hoje","Pendente"))))</f>
        <v/>
      </c>
      <c r="M1600" s="114" t="str">
        <f aca="false">IF($E1600="","",IF($K1600="✓","✓ ","")&amp;IF(Config!$E$22="Sim",$H1600&amp;" · ","")&amp;$F1600)</f>
        <v/>
      </c>
      <c r="N1600" s="114" t="str">
        <f aca="false">IF($E1600="","",IFERROR(INDEX(Config!$D$15:$D$19,MATCH($I1600,Config!$C$15:$C$19,0)),"OUT")&amp;IF($K1600="✓","x",""))</f>
        <v/>
      </c>
      <c r="O1600" s="114" t="str">
        <f aca="false">IF($E1600="","",COUNTIF($E$5:$E1600,$E1600))</f>
        <v/>
      </c>
      <c r="P1600" s="114" t="str">
        <f aca="false">IF($E1600="","",$E1600*100+$O1600)</f>
        <v/>
      </c>
      <c r="Q1600" s="114" t="str">
        <f aca="false">IF($L1600="Atrasado",$E1600*10000+$A1600,"")</f>
        <v/>
      </c>
    </row>
    <row r="1601" customFormat="false" ht="15" hidden="false" customHeight="false" outlineLevel="0" collapsed="false">
      <c r="A1601" s="114" t="n">
        <f aca="false">ROW()-4</f>
        <v>1597</v>
      </c>
      <c r="B1601" s="114" t="str">
        <f aca="false">IF(A1601&lt;=Config!$E$27*Config!$E$28,"Tema","Avulso")</f>
        <v>Tema</v>
      </c>
      <c r="C1601" s="114" t="n">
        <f aca="false">IF(B1601="Tema",INT((A1601-1)/Config!$E$28)+1,A1601-Config!$E$27*Config!$E$28)</f>
        <v>267</v>
      </c>
      <c r="D1601" s="114" t="n">
        <f aca="false">IF(B1601="Tema",MOD(A1601-1,Config!$E$28)+1,"")</f>
        <v>1</v>
      </c>
      <c r="E1601" s="115" t="str">
        <f aca="false">IF($B1601="Tema",IF(ISNUMBER(INDEX(Temas!$E$6:$P$305,$C1601,2*$D1601-1)),INDEX(Temas!$E$6:$P$305,$C1601,2*$D1601-1),""),IF(ISNUMBER(INDEX(Avulsos!$B$6:$B$205,$C1601)),INDEX(Avulsos!$B$6:$B$205,$C1601),""))</f>
        <v/>
      </c>
      <c r="F1601" s="114" t="str">
        <f aca="false">IF($E1601="","",IF($B1601="Tema",INDEX(Temas!$B$6:$B$305,$C1601)&amp;"",INDEX(Avulsos!$C$6:$C$205,$C1601)&amp;""))</f>
        <v/>
      </c>
      <c r="G1601" s="114" t="str">
        <f aca="false">IF($E1601="","",IF($B1601="Tema",INDEX(Config!$C$6:$C$11,$D1601),"Evento avulso"))</f>
        <v/>
      </c>
      <c r="H1601" s="114" t="str">
        <f aca="false">IF($E1601="","",IF($B1601="Tema",INDEX(Config!$D$6:$D$11,$D1601),IFERROR(INDEX(Config!$E$15:$E$19,MATCH($I1601,Config!$C$15:$C$19,0)),"•")))</f>
        <v/>
      </c>
      <c r="I1601" s="114" t="str">
        <f aca="false">IF($E1601="","",IF($B1601="Tema",INDEX(Config!$E$6:$E$11,$D1601),IF(INDEX(Avulsos!$D$6:$D$205,$C1601)&amp;""="","Outro",INDEX(Avulsos!$D$6:$D$205,$C1601))))</f>
        <v/>
      </c>
      <c r="J1601" s="114" t="str">
        <f aca="false">IF($E1601="","",IF($B1601="Tema",INDEX(Temas!$C$6:$C$305,$C1601)&amp;"",INDEX(Avulsos!$E$6:$E$205,$C1601)&amp;""))</f>
        <v/>
      </c>
      <c r="K1601" s="114" t="str">
        <f aca="false">IF($E1601="","",IF(IF($B1601="Tema",INDEX(Temas!$E$6:$P$305,$C1601,2*$D1601),INDEX(Avulsos!$F$6:$F$205,$C1601))&amp;""="","","✓"))</f>
        <v/>
      </c>
      <c r="L1601" s="114" t="str">
        <f aca="true">IF($E1601="","",IF($K1601="✓","Concluído",IF($E1601&lt;TODAY(),"Atrasado",IF($E1601=TODAY(),"Hoje","Pendente"))))</f>
        <v/>
      </c>
      <c r="M1601" s="114" t="str">
        <f aca="false">IF($E1601="","",IF($K1601="✓","✓ ","")&amp;IF(Config!$E$22="Sim",$H1601&amp;" · ","")&amp;$F1601)</f>
        <v/>
      </c>
      <c r="N1601" s="114" t="str">
        <f aca="false">IF($E1601="","",IFERROR(INDEX(Config!$D$15:$D$19,MATCH($I1601,Config!$C$15:$C$19,0)),"OUT")&amp;IF($K1601="✓","x",""))</f>
        <v/>
      </c>
      <c r="O1601" s="114" t="str">
        <f aca="false">IF($E1601="","",COUNTIF($E$5:$E1601,$E1601))</f>
        <v/>
      </c>
      <c r="P1601" s="114" t="str">
        <f aca="false">IF($E1601="","",$E1601*100+$O1601)</f>
        <v/>
      </c>
      <c r="Q1601" s="114" t="str">
        <f aca="false">IF($L1601="Atrasado",$E1601*10000+$A1601,"")</f>
        <v/>
      </c>
    </row>
    <row r="1602" customFormat="false" ht="15" hidden="false" customHeight="false" outlineLevel="0" collapsed="false">
      <c r="A1602" s="114" t="n">
        <f aca="false">ROW()-4</f>
        <v>1598</v>
      </c>
      <c r="B1602" s="114" t="str">
        <f aca="false">IF(A1602&lt;=Config!$E$27*Config!$E$28,"Tema","Avulso")</f>
        <v>Tema</v>
      </c>
      <c r="C1602" s="114" t="n">
        <f aca="false">IF(B1602="Tema",INT((A1602-1)/Config!$E$28)+1,A1602-Config!$E$27*Config!$E$28)</f>
        <v>267</v>
      </c>
      <c r="D1602" s="114" t="n">
        <f aca="false">IF(B1602="Tema",MOD(A1602-1,Config!$E$28)+1,"")</f>
        <v>2</v>
      </c>
      <c r="E1602" s="115" t="str">
        <f aca="false">IF($B1602="Tema",IF(ISNUMBER(INDEX(Temas!$E$6:$P$305,$C1602,2*$D1602-1)),INDEX(Temas!$E$6:$P$305,$C1602,2*$D1602-1),""),IF(ISNUMBER(INDEX(Avulsos!$B$6:$B$205,$C1602)),INDEX(Avulsos!$B$6:$B$205,$C1602),""))</f>
        <v/>
      </c>
      <c r="F1602" s="114" t="str">
        <f aca="false">IF($E1602="","",IF($B1602="Tema",INDEX(Temas!$B$6:$B$305,$C1602)&amp;"",INDEX(Avulsos!$C$6:$C$205,$C1602)&amp;""))</f>
        <v/>
      </c>
      <c r="G1602" s="114" t="str">
        <f aca="false">IF($E1602="","",IF($B1602="Tema",INDEX(Config!$C$6:$C$11,$D1602),"Evento avulso"))</f>
        <v/>
      </c>
      <c r="H1602" s="114" t="str">
        <f aca="false">IF($E1602="","",IF($B1602="Tema",INDEX(Config!$D$6:$D$11,$D1602),IFERROR(INDEX(Config!$E$15:$E$19,MATCH($I1602,Config!$C$15:$C$19,0)),"•")))</f>
        <v/>
      </c>
      <c r="I1602" s="114" t="str">
        <f aca="false">IF($E1602="","",IF($B1602="Tema",INDEX(Config!$E$6:$E$11,$D1602),IF(INDEX(Avulsos!$D$6:$D$205,$C1602)&amp;""="","Outro",INDEX(Avulsos!$D$6:$D$205,$C1602))))</f>
        <v/>
      </c>
      <c r="J1602" s="114" t="str">
        <f aca="false">IF($E1602="","",IF($B1602="Tema",INDEX(Temas!$C$6:$C$305,$C1602)&amp;"",INDEX(Avulsos!$E$6:$E$205,$C1602)&amp;""))</f>
        <v/>
      </c>
      <c r="K1602" s="114" t="str">
        <f aca="false">IF($E1602="","",IF(IF($B1602="Tema",INDEX(Temas!$E$6:$P$305,$C1602,2*$D1602),INDEX(Avulsos!$F$6:$F$205,$C1602))&amp;""="","","✓"))</f>
        <v/>
      </c>
      <c r="L1602" s="114" t="str">
        <f aca="true">IF($E1602="","",IF($K1602="✓","Concluído",IF($E1602&lt;TODAY(),"Atrasado",IF($E1602=TODAY(),"Hoje","Pendente"))))</f>
        <v/>
      </c>
      <c r="M1602" s="114" t="str">
        <f aca="false">IF($E1602="","",IF($K1602="✓","✓ ","")&amp;IF(Config!$E$22="Sim",$H1602&amp;" · ","")&amp;$F1602)</f>
        <v/>
      </c>
      <c r="N1602" s="114" t="str">
        <f aca="false">IF($E1602="","",IFERROR(INDEX(Config!$D$15:$D$19,MATCH($I1602,Config!$C$15:$C$19,0)),"OUT")&amp;IF($K1602="✓","x",""))</f>
        <v/>
      </c>
      <c r="O1602" s="114" t="str">
        <f aca="false">IF($E1602="","",COUNTIF($E$5:$E1602,$E1602))</f>
        <v/>
      </c>
      <c r="P1602" s="114" t="str">
        <f aca="false">IF($E1602="","",$E1602*100+$O1602)</f>
        <v/>
      </c>
      <c r="Q1602" s="114" t="str">
        <f aca="false">IF($L1602="Atrasado",$E1602*10000+$A1602,"")</f>
        <v/>
      </c>
    </row>
    <row r="1603" customFormat="false" ht="15" hidden="false" customHeight="false" outlineLevel="0" collapsed="false">
      <c r="A1603" s="114" t="n">
        <f aca="false">ROW()-4</f>
        <v>1599</v>
      </c>
      <c r="B1603" s="114" t="str">
        <f aca="false">IF(A1603&lt;=Config!$E$27*Config!$E$28,"Tema","Avulso")</f>
        <v>Tema</v>
      </c>
      <c r="C1603" s="114" t="n">
        <f aca="false">IF(B1603="Tema",INT((A1603-1)/Config!$E$28)+1,A1603-Config!$E$27*Config!$E$28)</f>
        <v>267</v>
      </c>
      <c r="D1603" s="114" t="n">
        <f aca="false">IF(B1603="Tema",MOD(A1603-1,Config!$E$28)+1,"")</f>
        <v>3</v>
      </c>
      <c r="E1603" s="115" t="str">
        <f aca="false">IF($B1603="Tema",IF(ISNUMBER(INDEX(Temas!$E$6:$P$305,$C1603,2*$D1603-1)),INDEX(Temas!$E$6:$P$305,$C1603,2*$D1603-1),""),IF(ISNUMBER(INDEX(Avulsos!$B$6:$B$205,$C1603)),INDEX(Avulsos!$B$6:$B$205,$C1603),""))</f>
        <v/>
      </c>
      <c r="F1603" s="114" t="str">
        <f aca="false">IF($E1603="","",IF($B1603="Tema",INDEX(Temas!$B$6:$B$305,$C1603)&amp;"",INDEX(Avulsos!$C$6:$C$205,$C1603)&amp;""))</f>
        <v/>
      </c>
      <c r="G1603" s="114" t="str">
        <f aca="false">IF($E1603="","",IF($B1603="Tema",INDEX(Config!$C$6:$C$11,$D1603),"Evento avulso"))</f>
        <v/>
      </c>
      <c r="H1603" s="114" t="str">
        <f aca="false">IF($E1603="","",IF($B1603="Tema",INDEX(Config!$D$6:$D$11,$D1603),IFERROR(INDEX(Config!$E$15:$E$19,MATCH($I1603,Config!$C$15:$C$19,0)),"•")))</f>
        <v/>
      </c>
      <c r="I1603" s="114" t="str">
        <f aca="false">IF($E1603="","",IF($B1603="Tema",INDEX(Config!$E$6:$E$11,$D1603),IF(INDEX(Avulsos!$D$6:$D$205,$C1603)&amp;""="","Outro",INDEX(Avulsos!$D$6:$D$205,$C1603))))</f>
        <v/>
      </c>
      <c r="J1603" s="114" t="str">
        <f aca="false">IF($E1603="","",IF($B1603="Tema",INDEX(Temas!$C$6:$C$305,$C1603)&amp;"",INDEX(Avulsos!$E$6:$E$205,$C1603)&amp;""))</f>
        <v/>
      </c>
      <c r="K1603" s="114" t="str">
        <f aca="false">IF($E1603="","",IF(IF($B1603="Tema",INDEX(Temas!$E$6:$P$305,$C1603,2*$D1603),INDEX(Avulsos!$F$6:$F$205,$C1603))&amp;""="","","✓"))</f>
        <v/>
      </c>
      <c r="L1603" s="114" t="str">
        <f aca="true">IF($E1603="","",IF($K1603="✓","Concluído",IF($E1603&lt;TODAY(),"Atrasado",IF($E1603=TODAY(),"Hoje","Pendente"))))</f>
        <v/>
      </c>
      <c r="M1603" s="114" t="str">
        <f aca="false">IF($E1603="","",IF($K1603="✓","✓ ","")&amp;IF(Config!$E$22="Sim",$H1603&amp;" · ","")&amp;$F1603)</f>
        <v/>
      </c>
      <c r="N1603" s="114" t="str">
        <f aca="false">IF($E1603="","",IFERROR(INDEX(Config!$D$15:$D$19,MATCH($I1603,Config!$C$15:$C$19,0)),"OUT")&amp;IF($K1603="✓","x",""))</f>
        <v/>
      </c>
      <c r="O1603" s="114" t="str">
        <f aca="false">IF($E1603="","",COUNTIF($E$5:$E1603,$E1603))</f>
        <v/>
      </c>
      <c r="P1603" s="114" t="str">
        <f aca="false">IF($E1603="","",$E1603*100+$O1603)</f>
        <v/>
      </c>
      <c r="Q1603" s="114" t="str">
        <f aca="false">IF($L1603="Atrasado",$E1603*10000+$A1603,"")</f>
        <v/>
      </c>
    </row>
    <row r="1604" customFormat="false" ht="15" hidden="false" customHeight="false" outlineLevel="0" collapsed="false">
      <c r="A1604" s="114" t="n">
        <f aca="false">ROW()-4</f>
        <v>1600</v>
      </c>
      <c r="B1604" s="114" t="str">
        <f aca="false">IF(A1604&lt;=Config!$E$27*Config!$E$28,"Tema","Avulso")</f>
        <v>Tema</v>
      </c>
      <c r="C1604" s="114" t="n">
        <f aca="false">IF(B1604="Tema",INT((A1604-1)/Config!$E$28)+1,A1604-Config!$E$27*Config!$E$28)</f>
        <v>267</v>
      </c>
      <c r="D1604" s="114" t="n">
        <f aca="false">IF(B1604="Tema",MOD(A1604-1,Config!$E$28)+1,"")</f>
        <v>4</v>
      </c>
      <c r="E1604" s="115" t="str">
        <f aca="false">IF($B1604="Tema",IF(ISNUMBER(INDEX(Temas!$E$6:$P$305,$C1604,2*$D1604-1)),INDEX(Temas!$E$6:$P$305,$C1604,2*$D1604-1),""),IF(ISNUMBER(INDEX(Avulsos!$B$6:$B$205,$C1604)),INDEX(Avulsos!$B$6:$B$205,$C1604),""))</f>
        <v/>
      </c>
      <c r="F1604" s="114" t="str">
        <f aca="false">IF($E1604="","",IF($B1604="Tema",INDEX(Temas!$B$6:$B$305,$C1604)&amp;"",INDEX(Avulsos!$C$6:$C$205,$C1604)&amp;""))</f>
        <v/>
      </c>
      <c r="G1604" s="114" t="str">
        <f aca="false">IF($E1604="","",IF($B1604="Tema",INDEX(Config!$C$6:$C$11,$D1604),"Evento avulso"))</f>
        <v/>
      </c>
      <c r="H1604" s="114" t="str">
        <f aca="false">IF($E1604="","",IF($B1604="Tema",INDEX(Config!$D$6:$D$11,$D1604),IFERROR(INDEX(Config!$E$15:$E$19,MATCH($I1604,Config!$C$15:$C$19,0)),"•")))</f>
        <v/>
      </c>
      <c r="I1604" s="114" t="str">
        <f aca="false">IF($E1604="","",IF($B1604="Tema",INDEX(Config!$E$6:$E$11,$D1604),IF(INDEX(Avulsos!$D$6:$D$205,$C1604)&amp;""="","Outro",INDEX(Avulsos!$D$6:$D$205,$C1604))))</f>
        <v/>
      </c>
      <c r="J1604" s="114" t="str">
        <f aca="false">IF($E1604="","",IF($B1604="Tema",INDEX(Temas!$C$6:$C$305,$C1604)&amp;"",INDEX(Avulsos!$E$6:$E$205,$C1604)&amp;""))</f>
        <v/>
      </c>
      <c r="K1604" s="114" t="str">
        <f aca="false">IF($E1604="","",IF(IF($B1604="Tema",INDEX(Temas!$E$6:$P$305,$C1604,2*$D1604),INDEX(Avulsos!$F$6:$F$205,$C1604))&amp;""="","","✓"))</f>
        <v/>
      </c>
      <c r="L1604" s="114" t="str">
        <f aca="true">IF($E1604="","",IF($K1604="✓","Concluído",IF($E1604&lt;TODAY(),"Atrasado",IF($E1604=TODAY(),"Hoje","Pendente"))))</f>
        <v/>
      </c>
      <c r="M1604" s="114" t="str">
        <f aca="false">IF($E1604="","",IF($K1604="✓","✓ ","")&amp;IF(Config!$E$22="Sim",$H1604&amp;" · ","")&amp;$F1604)</f>
        <v/>
      </c>
      <c r="N1604" s="114" t="str">
        <f aca="false">IF($E1604="","",IFERROR(INDEX(Config!$D$15:$D$19,MATCH($I1604,Config!$C$15:$C$19,0)),"OUT")&amp;IF($K1604="✓","x",""))</f>
        <v/>
      </c>
      <c r="O1604" s="114" t="str">
        <f aca="false">IF($E1604="","",COUNTIF($E$5:$E1604,$E1604))</f>
        <v/>
      </c>
      <c r="P1604" s="114" t="str">
        <f aca="false">IF($E1604="","",$E1604*100+$O1604)</f>
        <v/>
      </c>
      <c r="Q1604" s="114" t="str">
        <f aca="false">IF($L1604="Atrasado",$E1604*10000+$A1604,"")</f>
        <v/>
      </c>
    </row>
    <row r="1605" customFormat="false" ht="15" hidden="false" customHeight="false" outlineLevel="0" collapsed="false">
      <c r="A1605" s="114" t="n">
        <f aca="false">ROW()-4</f>
        <v>1601</v>
      </c>
      <c r="B1605" s="114" t="str">
        <f aca="false">IF(A1605&lt;=Config!$E$27*Config!$E$28,"Tema","Avulso")</f>
        <v>Tema</v>
      </c>
      <c r="C1605" s="114" t="n">
        <f aca="false">IF(B1605="Tema",INT((A1605-1)/Config!$E$28)+1,A1605-Config!$E$27*Config!$E$28)</f>
        <v>267</v>
      </c>
      <c r="D1605" s="114" t="n">
        <f aca="false">IF(B1605="Tema",MOD(A1605-1,Config!$E$28)+1,"")</f>
        <v>5</v>
      </c>
      <c r="E1605" s="115" t="str">
        <f aca="false">IF($B1605="Tema",IF(ISNUMBER(INDEX(Temas!$E$6:$P$305,$C1605,2*$D1605-1)),INDEX(Temas!$E$6:$P$305,$C1605,2*$D1605-1),""),IF(ISNUMBER(INDEX(Avulsos!$B$6:$B$205,$C1605)),INDEX(Avulsos!$B$6:$B$205,$C1605),""))</f>
        <v/>
      </c>
      <c r="F1605" s="114" t="str">
        <f aca="false">IF($E1605="","",IF($B1605="Tema",INDEX(Temas!$B$6:$B$305,$C1605)&amp;"",INDEX(Avulsos!$C$6:$C$205,$C1605)&amp;""))</f>
        <v/>
      </c>
      <c r="G1605" s="114" t="str">
        <f aca="false">IF($E1605="","",IF($B1605="Tema",INDEX(Config!$C$6:$C$11,$D1605),"Evento avulso"))</f>
        <v/>
      </c>
      <c r="H1605" s="114" t="str">
        <f aca="false">IF($E1605="","",IF($B1605="Tema",INDEX(Config!$D$6:$D$11,$D1605),IFERROR(INDEX(Config!$E$15:$E$19,MATCH($I1605,Config!$C$15:$C$19,0)),"•")))</f>
        <v/>
      </c>
      <c r="I1605" s="114" t="str">
        <f aca="false">IF($E1605="","",IF($B1605="Tema",INDEX(Config!$E$6:$E$11,$D1605),IF(INDEX(Avulsos!$D$6:$D$205,$C1605)&amp;""="","Outro",INDEX(Avulsos!$D$6:$D$205,$C1605))))</f>
        <v/>
      </c>
      <c r="J1605" s="114" t="str">
        <f aca="false">IF($E1605="","",IF($B1605="Tema",INDEX(Temas!$C$6:$C$305,$C1605)&amp;"",INDEX(Avulsos!$E$6:$E$205,$C1605)&amp;""))</f>
        <v/>
      </c>
      <c r="K1605" s="114" t="str">
        <f aca="false">IF($E1605="","",IF(IF($B1605="Tema",INDEX(Temas!$E$6:$P$305,$C1605,2*$D1605),INDEX(Avulsos!$F$6:$F$205,$C1605))&amp;""="","","✓"))</f>
        <v/>
      </c>
      <c r="L1605" s="114" t="str">
        <f aca="true">IF($E1605="","",IF($K1605="✓","Concluído",IF($E1605&lt;TODAY(),"Atrasado",IF($E1605=TODAY(),"Hoje","Pendente"))))</f>
        <v/>
      </c>
      <c r="M1605" s="114" t="str">
        <f aca="false">IF($E1605="","",IF($K1605="✓","✓ ","")&amp;IF(Config!$E$22="Sim",$H1605&amp;" · ","")&amp;$F1605)</f>
        <v/>
      </c>
      <c r="N1605" s="114" t="str">
        <f aca="false">IF($E1605="","",IFERROR(INDEX(Config!$D$15:$D$19,MATCH($I1605,Config!$C$15:$C$19,0)),"OUT")&amp;IF($K1605="✓","x",""))</f>
        <v/>
      </c>
      <c r="O1605" s="114" t="str">
        <f aca="false">IF($E1605="","",COUNTIF($E$5:$E1605,$E1605))</f>
        <v/>
      </c>
      <c r="P1605" s="114" t="str">
        <f aca="false">IF($E1605="","",$E1605*100+$O1605)</f>
        <v/>
      </c>
      <c r="Q1605" s="114" t="str">
        <f aca="false">IF($L1605="Atrasado",$E1605*10000+$A1605,"")</f>
        <v/>
      </c>
    </row>
    <row r="1606" customFormat="false" ht="15" hidden="false" customHeight="false" outlineLevel="0" collapsed="false">
      <c r="A1606" s="114" t="n">
        <f aca="false">ROW()-4</f>
        <v>1602</v>
      </c>
      <c r="B1606" s="114" t="str">
        <f aca="false">IF(A1606&lt;=Config!$E$27*Config!$E$28,"Tema","Avulso")</f>
        <v>Tema</v>
      </c>
      <c r="C1606" s="114" t="n">
        <f aca="false">IF(B1606="Tema",INT((A1606-1)/Config!$E$28)+1,A1606-Config!$E$27*Config!$E$28)</f>
        <v>267</v>
      </c>
      <c r="D1606" s="114" t="n">
        <f aca="false">IF(B1606="Tema",MOD(A1606-1,Config!$E$28)+1,"")</f>
        <v>6</v>
      </c>
      <c r="E1606" s="115" t="str">
        <f aca="false">IF($B1606="Tema",IF(ISNUMBER(INDEX(Temas!$E$6:$P$305,$C1606,2*$D1606-1)),INDEX(Temas!$E$6:$P$305,$C1606,2*$D1606-1),""),IF(ISNUMBER(INDEX(Avulsos!$B$6:$B$205,$C1606)),INDEX(Avulsos!$B$6:$B$205,$C1606),""))</f>
        <v/>
      </c>
      <c r="F1606" s="114" t="str">
        <f aca="false">IF($E1606="","",IF($B1606="Tema",INDEX(Temas!$B$6:$B$305,$C1606)&amp;"",INDEX(Avulsos!$C$6:$C$205,$C1606)&amp;""))</f>
        <v/>
      </c>
      <c r="G1606" s="114" t="str">
        <f aca="false">IF($E1606="","",IF($B1606="Tema",INDEX(Config!$C$6:$C$11,$D1606),"Evento avulso"))</f>
        <v/>
      </c>
      <c r="H1606" s="114" t="str">
        <f aca="false">IF($E1606="","",IF($B1606="Tema",INDEX(Config!$D$6:$D$11,$D1606),IFERROR(INDEX(Config!$E$15:$E$19,MATCH($I1606,Config!$C$15:$C$19,0)),"•")))</f>
        <v/>
      </c>
      <c r="I1606" s="114" t="str">
        <f aca="false">IF($E1606="","",IF($B1606="Tema",INDEX(Config!$E$6:$E$11,$D1606),IF(INDEX(Avulsos!$D$6:$D$205,$C1606)&amp;""="","Outro",INDEX(Avulsos!$D$6:$D$205,$C1606))))</f>
        <v/>
      </c>
      <c r="J1606" s="114" t="str">
        <f aca="false">IF($E1606="","",IF($B1606="Tema",INDEX(Temas!$C$6:$C$305,$C1606)&amp;"",INDEX(Avulsos!$E$6:$E$205,$C1606)&amp;""))</f>
        <v/>
      </c>
      <c r="K1606" s="114" t="str">
        <f aca="false">IF($E1606="","",IF(IF($B1606="Tema",INDEX(Temas!$E$6:$P$305,$C1606,2*$D1606),INDEX(Avulsos!$F$6:$F$205,$C1606))&amp;""="","","✓"))</f>
        <v/>
      </c>
      <c r="L1606" s="114" t="str">
        <f aca="true">IF($E1606="","",IF($K1606="✓","Concluído",IF($E1606&lt;TODAY(),"Atrasado",IF($E1606=TODAY(),"Hoje","Pendente"))))</f>
        <v/>
      </c>
      <c r="M1606" s="114" t="str">
        <f aca="false">IF($E1606="","",IF($K1606="✓","✓ ","")&amp;IF(Config!$E$22="Sim",$H1606&amp;" · ","")&amp;$F1606)</f>
        <v/>
      </c>
      <c r="N1606" s="114" t="str">
        <f aca="false">IF($E1606="","",IFERROR(INDEX(Config!$D$15:$D$19,MATCH($I1606,Config!$C$15:$C$19,0)),"OUT")&amp;IF($K1606="✓","x",""))</f>
        <v/>
      </c>
      <c r="O1606" s="114" t="str">
        <f aca="false">IF($E1606="","",COUNTIF($E$5:$E1606,$E1606))</f>
        <v/>
      </c>
      <c r="P1606" s="114" t="str">
        <f aca="false">IF($E1606="","",$E1606*100+$O1606)</f>
        <v/>
      </c>
      <c r="Q1606" s="114" t="str">
        <f aca="false">IF($L1606="Atrasado",$E1606*10000+$A1606,"")</f>
        <v/>
      </c>
    </row>
    <row r="1607" customFormat="false" ht="15" hidden="false" customHeight="false" outlineLevel="0" collapsed="false">
      <c r="A1607" s="114" t="n">
        <f aca="false">ROW()-4</f>
        <v>1603</v>
      </c>
      <c r="B1607" s="114" t="str">
        <f aca="false">IF(A1607&lt;=Config!$E$27*Config!$E$28,"Tema","Avulso")</f>
        <v>Tema</v>
      </c>
      <c r="C1607" s="114" t="n">
        <f aca="false">IF(B1607="Tema",INT((A1607-1)/Config!$E$28)+1,A1607-Config!$E$27*Config!$E$28)</f>
        <v>268</v>
      </c>
      <c r="D1607" s="114" t="n">
        <f aca="false">IF(B1607="Tema",MOD(A1607-1,Config!$E$28)+1,"")</f>
        <v>1</v>
      </c>
      <c r="E1607" s="115" t="str">
        <f aca="false">IF($B1607="Tema",IF(ISNUMBER(INDEX(Temas!$E$6:$P$305,$C1607,2*$D1607-1)),INDEX(Temas!$E$6:$P$305,$C1607,2*$D1607-1),""),IF(ISNUMBER(INDEX(Avulsos!$B$6:$B$205,$C1607)),INDEX(Avulsos!$B$6:$B$205,$C1607),""))</f>
        <v/>
      </c>
      <c r="F1607" s="114" t="str">
        <f aca="false">IF($E1607="","",IF($B1607="Tema",INDEX(Temas!$B$6:$B$305,$C1607)&amp;"",INDEX(Avulsos!$C$6:$C$205,$C1607)&amp;""))</f>
        <v/>
      </c>
      <c r="G1607" s="114" t="str">
        <f aca="false">IF($E1607="","",IF($B1607="Tema",INDEX(Config!$C$6:$C$11,$D1607),"Evento avulso"))</f>
        <v/>
      </c>
      <c r="H1607" s="114" t="str">
        <f aca="false">IF($E1607="","",IF($B1607="Tema",INDEX(Config!$D$6:$D$11,$D1607),IFERROR(INDEX(Config!$E$15:$E$19,MATCH($I1607,Config!$C$15:$C$19,0)),"•")))</f>
        <v/>
      </c>
      <c r="I1607" s="114" t="str">
        <f aca="false">IF($E1607="","",IF($B1607="Tema",INDEX(Config!$E$6:$E$11,$D1607),IF(INDEX(Avulsos!$D$6:$D$205,$C1607)&amp;""="","Outro",INDEX(Avulsos!$D$6:$D$205,$C1607))))</f>
        <v/>
      </c>
      <c r="J1607" s="114" t="str">
        <f aca="false">IF($E1607="","",IF($B1607="Tema",INDEX(Temas!$C$6:$C$305,$C1607)&amp;"",INDEX(Avulsos!$E$6:$E$205,$C1607)&amp;""))</f>
        <v/>
      </c>
      <c r="K1607" s="114" t="str">
        <f aca="false">IF($E1607="","",IF(IF($B1607="Tema",INDEX(Temas!$E$6:$P$305,$C1607,2*$D1607),INDEX(Avulsos!$F$6:$F$205,$C1607))&amp;""="","","✓"))</f>
        <v/>
      </c>
      <c r="L1607" s="114" t="str">
        <f aca="true">IF($E1607="","",IF($K1607="✓","Concluído",IF($E1607&lt;TODAY(),"Atrasado",IF($E1607=TODAY(),"Hoje","Pendente"))))</f>
        <v/>
      </c>
      <c r="M1607" s="114" t="str">
        <f aca="false">IF($E1607="","",IF($K1607="✓","✓ ","")&amp;IF(Config!$E$22="Sim",$H1607&amp;" · ","")&amp;$F1607)</f>
        <v/>
      </c>
      <c r="N1607" s="114" t="str">
        <f aca="false">IF($E1607="","",IFERROR(INDEX(Config!$D$15:$D$19,MATCH($I1607,Config!$C$15:$C$19,0)),"OUT")&amp;IF($K1607="✓","x",""))</f>
        <v/>
      </c>
      <c r="O1607" s="114" t="str">
        <f aca="false">IF($E1607="","",COUNTIF($E$5:$E1607,$E1607))</f>
        <v/>
      </c>
      <c r="P1607" s="114" t="str">
        <f aca="false">IF($E1607="","",$E1607*100+$O1607)</f>
        <v/>
      </c>
      <c r="Q1607" s="114" t="str">
        <f aca="false">IF($L1607="Atrasado",$E1607*10000+$A1607,"")</f>
        <v/>
      </c>
    </row>
    <row r="1608" customFormat="false" ht="15" hidden="false" customHeight="false" outlineLevel="0" collapsed="false">
      <c r="A1608" s="114" t="n">
        <f aca="false">ROW()-4</f>
        <v>1604</v>
      </c>
      <c r="B1608" s="114" t="str">
        <f aca="false">IF(A1608&lt;=Config!$E$27*Config!$E$28,"Tema","Avulso")</f>
        <v>Tema</v>
      </c>
      <c r="C1608" s="114" t="n">
        <f aca="false">IF(B1608="Tema",INT((A1608-1)/Config!$E$28)+1,A1608-Config!$E$27*Config!$E$28)</f>
        <v>268</v>
      </c>
      <c r="D1608" s="114" t="n">
        <f aca="false">IF(B1608="Tema",MOD(A1608-1,Config!$E$28)+1,"")</f>
        <v>2</v>
      </c>
      <c r="E1608" s="115" t="str">
        <f aca="false">IF($B1608="Tema",IF(ISNUMBER(INDEX(Temas!$E$6:$P$305,$C1608,2*$D1608-1)),INDEX(Temas!$E$6:$P$305,$C1608,2*$D1608-1),""),IF(ISNUMBER(INDEX(Avulsos!$B$6:$B$205,$C1608)),INDEX(Avulsos!$B$6:$B$205,$C1608),""))</f>
        <v/>
      </c>
      <c r="F1608" s="114" t="str">
        <f aca="false">IF($E1608="","",IF($B1608="Tema",INDEX(Temas!$B$6:$B$305,$C1608)&amp;"",INDEX(Avulsos!$C$6:$C$205,$C1608)&amp;""))</f>
        <v/>
      </c>
      <c r="G1608" s="114" t="str">
        <f aca="false">IF($E1608="","",IF($B1608="Tema",INDEX(Config!$C$6:$C$11,$D1608),"Evento avulso"))</f>
        <v/>
      </c>
      <c r="H1608" s="114" t="str">
        <f aca="false">IF($E1608="","",IF($B1608="Tema",INDEX(Config!$D$6:$D$11,$D1608),IFERROR(INDEX(Config!$E$15:$E$19,MATCH($I1608,Config!$C$15:$C$19,0)),"•")))</f>
        <v/>
      </c>
      <c r="I1608" s="114" t="str">
        <f aca="false">IF($E1608="","",IF($B1608="Tema",INDEX(Config!$E$6:$E$11,$D1608),IF(INDEX(Avulsos!$D$6:$D$205,$C1608)&amp;""="","Outro",INDEX(Avulsos!$D$6:$D$205,$C1608))))</f>
        <v/>
      </c>
      <c r="J1608" s="114" t="str">
        <f aca="false">IF($E1608="","",IF($B1608="Tema",INDEX(Temas!$C$6:$C$305,$C1608)&amp;"",INDEX(Avulsos!$E$6:$E$205,$C1608)&amp;""))</f>
        <v/>
      </c>
      <c r="K1608" s="114" t="str">
        <f aca="false">IF($E1608="","",IF(IF($B1608="Tema",INDEX(Temas!$E$6:$P$305,$C1608,2*$D1608),INDEX(Avulsos!$F$6:$F$205,$C1608))&amp;""="","","✓"))</f>
        <v/>
      </c>
      <c r="L1608" s="114" t="str">
        <f aca="true">IF($E1608="","",IF($K1608="✓","Concluído",IF($E1608&lt;TODAY(),"Atrasado",IF($E1608=TODAY(),"Hoje","Pendente"))))</f>
        <v/>
      </c>
      <c r="M1608" s="114" t="str">
        <f aca="false">IF($E1608="","",IF($K1608="✓","✓ ","")&amp;IF(Config!$E$22="Sim",$H1608&amp;" · ","")&amp;$F1608)</f>
        <v/>
      </c>
      <c r="N1608" s="114" t="str">
        <f aca="false">IF($E1608="","",IFERROR(INDEX(Config!$D$15:$D$19,MATCH($I1608,Config!$C$15:$C$19,0)),"OUT")&amp;IF($K1608="✓","x",""))</f>
        <v/>
      </c>
      <c r="O1608" s="114" t="str">
        <f aca="false">IF($E1608="","",COUNTIF($E$5:$E1608,$E1608))</f>
        <v/>
      </c>
      <c r="P1608" s="114" t="str">
        <f aca="false">IF($E1608="","",$E1608*100+$O1608)</f>
        <v/>
      </c>
      <c r="Q1608" s="114" t="str">
        <f aca="false">IF($L1608="Atrasado",$E1608*10000+$A1608,"")</f>
        <v/>
      </c>
    </row>
    <row r="1609" customFormat="false" ht="15" hidden="false" customHeight="false" outlineLevel="0" collapsed="false">
      <c r="A1609" s="114" t="n">
        <f aca="false">ROW()-4</f>
        <v>1605</v>
      </c>
      <c r="B1609" s="114" t="str">
        <f aca="false">IF(A1609&lt;=Config!$E$27*Config!$E$28,"Tema","Avulso")</f>
        <v>Tema</v>
      </c>
      <c r="C1609" s="114" t="n">
        <f aca="false">IF(B1609="Tema",INT((A1609-1)/Config!$E$28)+1,A1609-Config!$E$27*Config!$E$28)</f>
        <v>268</v>
      </c>
      <c r="D1609" s="114" t="n">
        <f aca="false">IF(B1609="Tema",MOD(A1609-1,Config!$E$28)+1,"")</f>
        <v>3</v>
      </c>
      <c r="E1609" s="115" t="str">
        <f aca="false">IF($B1609="Tema",IF(ISNUMBER(INDEX(Temas!$E$6:$P$305,$C1609,2*$D1609-1)),INDEX(Temas!$E$6:$P$305,$C1609,2*$D1609-1),""),IF(ISNUMBER(INDEX(Avulsos!$B$6:$B$205,$C1609)),INDEX(Avulsos!$B$6:$B$205,$C1609),""))</f>
        <v/>
      </c>
      <c r="F1609" s="114" t="str">
        <f aca="false">IF($E1609="","",IF($B1609="Tema",INDEX(Temas!$B$6:$B$305,$C1609)&amp;"",INDEX(Avulsos!$C$6:$C$205,$C1609)&amp;""))</f>
        <v/>
      </c>
      <c r="G1609" s="114" t="str">
        <f aca="false">IF($E1609="","",IF($B1609="Tema",INDEX(Config!$C$6:$C$11,$D1609),"Evento avulso"))</f>
        <v/>
      </c>
      <c r="H1609" s="114" t="str">
        <f aca="false">IF($E1609="","",IF($B1609="Tema",INDEX(Config!$D$6:$D$11,$D1609),IFERROR(INDEX(Config!$E$15:$E$19,MATCH($I1609,Config!$C$15:$C$19,0)),"•")))</f>
        <v/>
      </c>
      <c r="I1609" s="114" t="str">
        <f aca="false">IF($E1609="","",IF($B1609="Tema",INDEX(Config!$E$6:$E$11,$D1609),IF(INDEX(Avulsos!$D$6:$D$205,$C1609)&amp;""="","Outro",INDEX(Avulsos!$D$6:$D$205,$C1609))))</f>
        <v/>
      </c>
      <c r="J1609" s="114" t="str">
        <f aca="false">IF($E1609="","",IF($B1609="Tema",INDEX(Temas!$C$6:$C$305,$C1609)&amp;"",INDEX(Avulsos!$E$6:$E$205,$C1609)&amp;""))</f>
        <v/>
      </c>
      <c r="K1609" s="114" t="str">
        <f aca="false">IF($E1609="","",IF(IF($B1609="Tema",INDEX(Temas!$E$6:$P$305,$C1609,2*$D1609),INDEX(Avulsos!$F$6:$F$205,$C1609))&amp;""="","","✓"))</f>
        <v/>
      </c>
      <c r="L1609" s="114" t="str">
        <f aca="true">IF($E1609="","",IF($K1609="✓","Concluído",IF($E1609&lt;TODAY(),"Atrasado",IF($E1609=TODAY(),"Hoje","Pendente"))))</f>
        <v/>
      </c>
      <c r="M1609" s="114" t="str">
        <f aca="false">IF($E1609="","",IF($K1609="✓","✓ ","")&amp;IF(Config!$E$22="Sim",$H1609&amp;" · ","")&amp;$F1609)</f>
        <v/>
      </c>
      <c r="N1609" s="114" t="str">
        <f aca="false">IF($E1609="","",IFERROR(INDEX(Config!$D$15:$D$19,MATCH($I1609,Config!$C$15:$C$19,0)),"OUT")&amp;IF($K1609="✓","x",""))</f>
        <v/>
      </c>
      <c r="O1609" s="114" t="str">
        <f aca="false">IF($E1609="","",COUNTIF($E$5:$E1609,$E1609))</f>
        <v/>
      </c>
      <c r="P1609" s="114" t="str">
        <f aca="false">IF($E1609="","",$E1609*100+$O1609)</f>
        <v/>
      </c>
      <c r="Q1609" s="114" t="str">
        <f aca="false">IF($L1609="Atrasado",$E1609*10000+$A1609,"")</f>
        <v/>
      </c>
    </row>
    <row r="1610" customFormat="false" ht="15" hidden="false" customHeight="false" outlineLevel="0" collapsed="false">
      <c r="A1610" s="114" t="n">
        <f aca="false">ROW()-4</f>
        <v>1606</v>
      </c>
      <c r="B1610" s="114" t="str">
        <f aca="false">IF(A1610&lt;=Config!$E$27*Config!$E$28,"Tema","Avulso")</f>
        <v>Tema</v>
      </c>
      <c r="C1610" s="114" t="n">
        <f aca="false">IF(B1610="Tema",INT((A1610-1)/Config!$E$28)+1,A1610-Config!$E$27*Config!$E$28)</f>
        <v>268</v>
      </c>
      <c r="D1610" s="114" t="n">
        <f aca="false">IF(B1610="Tema",MOD(A1610-1,Config!$E$28)+1,"")</f>
        <v>4</v>
      </c>
      <c r="E1610" s="115" t="str">
        <f aca="false">IF($B1610="Tema",IF(ISNUMBER(INDEX(Temas!$E$6:$P$305,$C1610,2*$D1610-1)),INDEX(Temas!$E$6:$P$305,$C1610,2*$D1610-1),""),IF(ISNUMBER(INDEX(Avulsos!$B$6:$B$205,$C1610)),INDEX(Avulsos!$B$6:$B$205,$C1610),""))</f>
        <v/>
      </c>
      <c r="F1610" s="114" t="str">
        <f aca="false">IF($E1610="","",IF($B1610="Tema",INDEX(Temas!$B$6:$B$305,$C1610)&amp;"",INDEX(Avulsos!$C$6:$C$205,$C1610)&amp;""))</f>
        <v/>
      </c>
      <c r="G1610" s="114" t="str">
        <f aca="false">IF($E1610="","",IF($B1610="Tema",INDEX(Config!$C$6:$C$11,$D1610),"Evento avulso"))</f>
        <v/>
      </c>
      <c r="H1610" s="114" t="str">
        <f aca="false">IF($E1610="","",IF($B1610="Tema",INDEX(Config!$D$6:$D$11,$D1610),IFERROR(INDEX(Config!$E$15:$E$19,MATCH($I1610,Config!$C$15:$C$19,0)),"•")))</f>
        <v/>
      </c>
      <c r="I1610" s="114" t="str">
        <f aca="false">IF($E1610="","",IF($B1610="Tema",INDEX(Config!$E$6:$E$11,$D1610),IF(INDEX(Avulsos!$D$6:$D$205,$C1610)&amp;""="","Outro",INDEX(Avulsos!$D$6:$D$205,$C1610))))</f>
        <v/>
      </c>
      <c r="J1610" s="114" t="str">
        <f aca="false">IF($E1610="","",IF($B1610="Tema",INDEX(Temas!$C$6:$C$305,$C1610)&amp;"",INDEX(Avulsos!$E$6:$E$205,$C1610)&amp;""))</f>
        <v/>
      </c>
      <c r="K1610" s="114" t="str">
        <f aca="false">IF($E1610="","",IF(IF($B1610="Tema",INDEX(Temas!$E$6:$P$305,$C1610,2*$D1610),INDEX(Avulsos!$F$6:$F$205,$C1610))&amp;""="","","✓"))</f>
        <v/>
      </c>
      <c r="L1610" s="114" t="str">
        <f aca="true">IF($E1610="","",IF($K1610="✓","Concluído",IF($E1610&lt;TODAY(),"Atrasado",IF($E1610=TODAY(),"Hoje","Pendente"))))</f>
        <v/>
      </c>
      <c r="M1610" s="114" t="str">
        <f aca="false">IF($E1610="","",IF($K1610="✓","✓ ","")&amp;IF(Config!$E$22="Sim",$H1610&amp;" · ","")&amp;$F1610)</f>
        <v/>
      </c>
      <c r="N1610" s="114" t="str">
        <f aca="false">IF($E1610="","",IFERROR(INDEX(Config!$D$15:$D$19,MATCH($I1610,Config!$C$15:$C$19,0)),"OUT")&amp;IF($K1610="✓","x",""))</f>
        <v/>
      </c>
      <c r="O1610" s="114" t="str">
        <f aca="false">IF($E1610="","",COUNTIF($E$5:$E1610,$E1610))</f>
        <v/>
      </c>
      <c r="P1610" s="114" t="str">
        <f aca="false">IF($E1610="","",$E1610*100+$O1610)</f>
        <v/>
      </c>
      <c r="Q1610" s="114" t="str">
        <f aca="false">IF($L1610="Atrasado",$E1610*10000+$A1610,"")</f>
        <v/>
      </c>
    </row>
    <row r="1611" customFormat="false" ht="15" hidden="false" customHeight="false" outlineLevel="0" collapsed="false">
      <c r="A1611" s="114" t="n">
        <f aca="false">ROW()-4</f>
        <v>1607</v>
      </c>
      <c r="B1611" s="114" t="str">
        <f aca="false">IF(A1611&lt;=Config!$E$27*Config!$E$28,"Tema","Avulso")</f>
        <v>Tema</v>
      </c>
      <c r="C1611" s="114" t="n">
        <f aca="false">IF(B1611="Tema",INT((A1611-1)/Config!$E$28)+1,A1611-Config!$E$27*Config!$E$28)</f>
        <v>268</v>
      </c>
      <c r="D1611" s="114" t="n">
        <f aca="false">IF(B1611="Tema",MOD(A1611-1,Config!$E$28)+1,"")</f>
        <v>5</v>
      </c>
      <c r="E1611" s="115" t="str">
        <f aca="false">IF($B1611="Tema",IF(ISNUMBER(INDEX(Temas!$E$6:$P$305,$C1611,2*$D1611-1)),INDEX(Temas!$E$6:$P$305,$C1611,2*$D1611-1),""),IF(ISNUMBER(INDEX(Avulsos!$B$6:$B$205,$C1611)),INDEX(Avulsos!$B$6:$B$205,$C1611),""))</f>
        <v/>
      </c>
      <c r="F1611" s="114" t="str">
        <f aca="false">IF($E1611="","",IF($B1611="Tema",INDEX(Temas!$B$6:$B$305,$C1611)&amp;"",INDEX(Avulsos!$C$6:$C$205,$C1611)&amp;""))</f>
        <v/>
      </c>
      <c r="G1611" s="114" t="str">
        <f aca="false">IF($E1611="","",IF($B1611="Tema",INDEX(Config!$C$6:$C$11,$D1611),"Evento avulso"))</f>
        <v/>
      </c>
      <c r="H1611" s="114" t="str">
        <f aca="false">IF($E1611="","",IF($B1611="Tema",INDEX(Config!$D$6:$D$11,$D1611),IFERROR(INDEX(Config!$E$15:$E$19,MATCH($I1611,Config!$C$15:$C$19,0)),"•")))</f>
        <v/>
      </c>
      <c r="I1611" s="114" t="str">
        <f aca="false">IF($E1611="","",IF($B1611="Tema",INDEX(Config!$E$6:$E$11,$D1611),IF(INDEX(Avulsos!$D$6:$D$205,$C1611)&amp;""="","Outro",INDEX(Avulsos!$D$6:$D$205,$C1611))))</f>
        <v/>
      </c>
      <c r="J1611" s="114" t="str">
        <f aca="false">IF($E1611="","",IF($B1611="Tema",INDEX(Temas!$C$6:$C$305,$C1611)&amp;"",INDEX(Avulsos!$E$6:$E$205,$C1611)&amp;""))</f>
        <v/>
      </c>
      <c r="K1611" s="114" t="str">
        <f aca="false">IF($E1611="","",IF(IF($B1611="Tema",INDEX(Temas!$E$6:$P$305,$C1611,2*$D1611),INDEX(Avulsos!$F$6:$F$205,$C1611))&amp;""="","","✓"))</f>
        <v/>
      </c>
      <c r="L1611" s="114" t="str">
        <f aca="true">IF($E1611="","",IF($K1611="✓","Concluído",IF($E1611&lt;TODAY(),"Atrasado",IF($E1611=TODAY(),"Hoje","Pendente"))))</f>
        <v/>
      </c>
      <c r="M1611" s="114" t="str">
        <f aca="false">IF($E1611="","",IF($K1611="✓","✓ ","")&amp;IF(Config!$E$22="Sim",$H1611&amp;" · ","")&amp;$F1611)</f>
        <v/>
      </c>
      <c r="N1611" s="114" t="str">
        <f aca="false">IF($E1611="","",IFERROR(INDEX(Config!$D$15:$D$19,MATCH($I1611,Config!$C$15:$C$19,0)),"OUT")&amp;IF($K1611="✓","x",""))</f>
        <v/>
      </c>
      <c r="O1611" s="114" t="str">
        <f aca="false">IF($E1611="","",COUNTIF($E$5:$E1611,$E1611))</f>
        <v/>
      </c>
      <c r="P1611" s="114" t="str">
        <f aca="false">IF($E1611="","",$E1611*100+$O1611)</f>
        <v/>
      </c>
      <c r="Q1611" s="114" t="str">
        <f aca="false">IF($L1611="Atrasado",$E1611*10000+$A1611,"")</f>
        <v/>
      </c>
    </row>
    <row r="1612" customFormat="false" ht="15" hidden="false" customHeight="false" outlineLevel="0" collapsed="false">
      <c r="A1612" s="114" t="n">
        <f aca="false">ROW()-4</f>
        <v>1608</v>
      </c>
      <c r="B1612" s="114" t="str">
        <f aca="false">IF(A1612&lt;=Config!$E$27*Config!$E$28,"Tema","Avulso")</f>
        <v>Tema</v>
      </c>
      <c r="C1612" s="114" t="n">
        <f aca="false">IF(B1612="Tema",INT((A1612-1)/Config!$E$28)+1,A1612-Config!$E$27*Config!$E$28)</f>
        <v>268</v>
      </c>
      <c r="D1612" s="114" t="n">
        <f aca="false">IF(B1612="Tema",MOD(A1612-1,Config!$E$28)+1,"")</f>
        <v>6</v>
      </c>
      <c r="E1612" s="115" t="str">
        <f aca="false">IF($B1612="Tema",IF(ISNUMBER(INDEX(Temas!$E$6:$P$305,$C1612,2*$D1612-1)),INDEX(Temas!$E$6:$P$305,$C1612,2*$D1612-1),""),IF(ISNUMBER(INDEX(Avulsos!$B$6:$B$205,$C1612)),INDEX(Avulsos!$B$6:$B$205,$C1612),""))</f>
        <v/>
      </c>
      <c r="F1612" s="114" t="str">
        <f aca="false">IF($E1612="","",IF($B1612="Tema",INDEX(Temas!$B$6:$B$305,$C1612)&amp;"",INDEX(Avulsos!$C$6:$C$205,$C1612)&amp;""))</f>
        <v/>
      </c>
      <c r="G1612" s="114" t="str">
        <f aca="false">IF($E1612="","",IF($B1612="Tema",INDEX(Config!$C$6:$C$11,$D1612),"Evento avulso"))</f>
        <v/>
      </c>
      <c r="H1612" s="114" t="str">
        <f aca="false">IF($E1612="","",IF($B1612="Tema",INDEX(Config!$D$6:$D$11,$D1612),IFERROR(INDEX(Config!$E$15:$E$19,MATCH($I1612,Config!$C$15:$C$19,0)),"•")))</f>
        <v/>
      </c>
      <c r="I1612" s="114" t="str">
        <f aca="false">IF($E1612="","",IF($B1612="Tema",INDEX(Config!$E$6:$E$11,$D1612),IF(INDEX(Avulsos!$D$6:$D$205,$C1612)&amp;""="","Outro",INDEX(Avulsos!$D$6:$D$205,$C1612))))</f>
        <v/>
      </c>
      <c r="J1612" s="114" t="str">
        <f aca="false">IF($E1612="","",IF($B1612="Tema",INDEX(Temas!$C$6:$C$305,$C1612)&amp;"",INDEX(Avulsos!$E$6:$E$205,$C1612)&amp;""))</f>
        <v/>
      </c>
      <c r="K1612" s="114" t="str">
        <f aca="false">IF($E1612="","",IF(IF($B1612="Tema",INDEX(Temas!$E$6:$P$305,$C1612,2*$D1612),INDEX(Avulsos!$F$6:$F$205,$C1612))&amp;""="","","✓"))</f>
        <v/>
      </c>
      <c r="L1612" s="114" t="str">
        <f aca="true">IF($E1612="","",IF($K1612="✓","Concluído",IF($E1612&lt;TODAY(),"Atrasado",IF($E1612=TODAY(),"Hoje","Pendente"))))</f>
        <v/>
      </c>
      <c r="M1612" s="114" t="str">
        <f aca="false">IF($E1612="","",IF($K1612="✓","✓ ","")&amp;IF(Config!$E$22="Sim",$H1612&amp;" · ","")&amp;$F1612)</f>
        <v/>
      </c>
      <c r="N1612" s="114" t="str">
        <f aca="false">IF($E1612="","",IFERROR(INDEX(Config!$D$15:$D$19,MATCH($I1612,Config!$C$15:$C$19,0)),"OUT")&amp;IF($K1612="✓","x",""))</f>
        <v/>
      </c>
      <c r="O1612" s="114" t="str">
        <f aca="false">IF($E1612="","",COUNTIF($E$5:$E1612,$E1612))</f>
        <v/>
      </c>
      <c r="P1612" s="114" t="str">
        <f aca="false">IF($E1612="","",$E1612*100+$O1612)</f>
        <v/>
      </c>
      <c r="Q1612" s="114" t="str">
        <f aca="false">IF($L1612="Atrasado",$E1612*10000+$A1612,"")</f>
        <v/>
      </c>
    </row>
    <row r="1613" customFormat="false" ht="15" hidden="false" customHeight="false" outlineLevel="0" collapsed="false">
      <c r="A1613" s="114" t="n">
        <f aca="false">ROW()-4</f>
        <v>1609</v>
      </c>
      <c r="B1613" s="114" t="str">
        <f aca="false">IF(A1613&lt;=Config!$E$27*Config!$E$28,"Tema","Avulso")</f>
        <v>Tema</v>
      </c>
      <c r="C1613" s="114" t="n">
        <f aca="false">IF(B1613="Tema",INT((A1613-1)/Config!$E$28)+1,A1613-Config!$E$27*Config!$E$28)</f>
        <v>269</v>
      </c>
      <c r="D1613" s="114" t="n">
        <f aca="false">IF(B1613="Tema",MOD(A1613-1,Config!$E$28)+1,"")</f>
        <v>1</v>
      </c>
      <c r="E1613" s="115" t="str">
        <f aca="false">IF($B1613="Tema",IF(ISNUMBER(INDEX(Temas!$E$6:$P$305,$C1613,2*$D1613-1)),INDEX(Temas!$E$6:$P$305,$C1613,2*$D1613-1),""),IF(ISNUMBER(INDEX(Avulsos!$B$6:$B$205,$C1613)),INDEX(Avulsos!$B$6:$B$205,$C1613),""))</f>
        <v/>
      </c>
      <c r="F1613" s="114" t="str">
        <f aca="false">IF($E1613="","",IF($B1613="Tema",INDEX(Temas!$B$6:$B$305,$C1613)&amp;"",INDEX(Avulsos!$C$6:$C$205,$C1613)&amp;""))</f>
        <v/>
      </c>
      <c r="G1613" s="114" t="str">
        <f aca="false">IF($E1613="","",IF($B1613="Tema",INDEX(Config!$C$6:$C$11,$D1613),"Evento avulso"))</f>
        <v/>
      </c>
      <c r="H1613" s="114" t="str">
        <f aca="false">IF($E1613="","",IF($B1613="Tema",INDEX(Config!$D$6:$D$11,$D1613),IFERROR(INDEX(Config!$E$15:$E$19,MATCH($I1613,Config!$C$15:$C$19,0)),"•")))</f>
        <v/>
      </c>
      <c r="I1613" s="114" t="str">
        <f aca="false">IF($E1613="","",IF($B1613="Tema",INDEX(Config!$E$6:$E$11,$D1613),IF(INDEX(Avulsos!$D$6:$D$205,$C1613)&amp;""="","Outro",INDEX(Avulsos!$D$6:$D$205,$C1613))))</f>
        <v/>
      </c>
      <c r="J1613" s="114" t="str">
        <f aca="false">IF($E1613="","",IF($B1613="Tema",INDEX(Temas!$C$6:$C$305,$C1613)&amp;"",INDEX(Avulsos!$E$6:$E$205,$C1613)&amp;""))</f>
        <v/>
      </c>
      <c r="K1613" s="114" t="str">
        <f aca="false">IF($E1613="","",IF(IF($B1613="Tema",INDEX(Temas!$E$6:$P$305,$C1613,2*$D1613),INDEX(Avulsos!$F$6:$F$205,$C1613))&amp;""="","","✓"))</f>
        <v/>
      </c>
      <c r="L1613" s="114" t="str">
        <f aca="true">IF($E1613="","",IF($K1613="✓","Concluído",IF($E1613&lt;TODAY(),"Atrasado",IF($E1613=TODAY(),"Hoje","Pendente"))))</f>
        <v/>
      </c>
      <c r="M1613" s="114" t="str">
        <f aca="false">IF($E1613="","",IF($K1613="✓","✓ ","")&amp;IF(Config!$E$22="Sim",$H1613&amp;" · ","")&amp;$F1613)</f>
        <v/>
      </c>
      <c r="N1613" s="114" t="str">
        <f aca="false">IF($E1613="","",IFERROR(INDEX(Config!$D$15:$D$19,MATCH($I1613,Config!$C$15:$C$19,0)),"OUT")&amp;IF($K1613="✓","x",""))</f>
        <v/>
      </c>
      <c r="O1613" s="114" t="str">
        <f aca="false">IF($E1613="","",COUNTIF($E$5:$E1613,$E1613))</f>
        <v/>
      </c>
      <c r="P1613" s="114" t="str">
        <f aca="false">IF($E1613="","",$E1613*100+$O1613)</f>
        <v/>
      </c>
      <c r="Q1613" s="114" t="str">
        <f aca="false">IF($L1613="Atrasado",$E1613*10000+$A1613,"")</f>
        <v/>
      </c>
    </row>
    <row r="1614" customFormat="false" ht="15" hidden="false" customHeight="false" outlineLevel="0" collapsed="false">
      <c r="A1614" s="114" t="n">
        <f aca="false">ROW()-4</f>
        <v>1610</v>
      </c>
      <c r="B1614" s="114" t="str">
        <f aca="false">IF(A1614&lt;=Config!$E$27*Config!$E$28,"Tema","Avulso")</f>
        <v>Tema</v>
      </c>
      <c r="C1614" s="114" t="n">
        <f aca="false">IF(B1614="Tema",INT((A1614-1)/Config!$E$28)+1,A1614-Config!$E$27*Config!$E$28)</f>
        <v>269</v>
      </c>
      <c r="D1614" s="114" t="n">
        <f aca="false">IF(B1614="Tema",MOD(A1614-1,Config!$E$28)+1,"")</f>
        <v>2</v>
      </c>
      <c r="E1614" s="115" t="str">
        <f aca="false">IF($B1614="Tema",IF(ISNUMBER(INDEX(Temas!$E$6:$P$305,$C1614,2*$D1614-1)),INDEX(Temas!$E$6:$P$305,$C1614,2*$D1614-1),""),IF(ISNUMBER(INDEX(Avulsos!$B$6:$B$205,$C1614)),INDEX(Avulsos!$B$6:$B$205,$C1614),""))</f>
        <v/>
      </c>
      <c r="F1614" s="114" t="str">
        <f aca="false">IF($E1614="","",IF($B1614="Tema",INDEX(Temas!$B$6:$B$305,$C1614)&amp;"",INDEX(Avulsos!$C$6:$C$205,$C1614)&amp;""))</f>
        <v/>
      </c>
      <c r="G1614" s="114" t="str">
        <f aca="false">IF($E1614="","",IF($B1614="Tema",INDEX(Config!$C$6:$C$11,$D1614),"Evento avulso"))</f>
        <v/>
      </c>
      <c r="H1614" s="114" t="str">
        <f aca="false">IF($E1614="","",IF($B1614="Tema",INDEX(Config!$D$6:$D$11,$D1614),IFERROR(INDEX(Config!$E$15:$E$19,MATCH($I1614,Config!$C$15:$C$19,0)),"•")))</f>
        <v/>
      </c>
      <c r="I1614" s="114" t="str">
        <f aca="false">IF($E1614="","",IF($B1614="Tema",INDEX(Config!$E$6:$E$11,$D1614),IF(INDEX(Avulsos!$D$6:$D$205,$C1614)&amp;""="","Outro",INDEX(Avulsos!$D$6:$D$205,$C1614))))</f>
        <v/>
      </c>
      <c r="J1614" s="114" t="str">
        <f aca="false">IF($E1614="","",IF($B1614="Tema",INDEX(Temas!$C$6:$C$305,$C1614)&amp;"",INDEX(Avulsos!$E$6:$E$205,$C1614)&amp;""))</f>
        <v/>
      </c>
      <c r="K1614" s="114" t="str">
        <f aca="false">IF($E1614="","",IF(IF($B1614="Tema",INDEX(Temas!$E$6:$P$305,$C1614,2*$D1614),INDEX(Avulsos!$F$6:$F$205,$C1614))&amp;""="","","✓"))</f>
        <v/>
      </c>
      <c r="L1614" s="114" t="str">
        <f aca="true">IF($E1614="","",IF($K1614="✓","Concluído",IF($E1614&lt;TODAY(),"Atrasado",IF($E1614=TODAY(),"Hoje","Pendente"))))</f>
        <v/>
      </c>
      <c r="M1614" s="114" t="str">
        <f aca="false">IF($E1614="","",IF($K1614="✓","✓ ","")&amp;IF(Config!$E$22="Sim",$H1614&amp;" · ","")&amp;$F1614)</f>
        <v/>
      </c>
      <c r="N1614" s="114" t="str">
        <f aca="false">IF($E1614="","",IFERROR(INDEX(Config!$D$15:$D$19,MATCH($I1614,Config!$C$15:$C$19,0)),"OUT")&amp;IF($K1614="✓","x",""))</f>
        <v/>
      </c>
      <c r="O1614" s="114" t="str">
        <f aca="false">IF($E1614="","",COUNTIF($E$5:$E1614,$E1614))</f>
        <v/>
      </c>
      <c r="P1614" s="114" t="str">
        <f aca="false">IF($E1614="","",$E1614*100+$O1614)</f>
        <v/>
      </c>
      <c r="Q1614" s="114" t="str">
        <f aca="false">IF($L1614="Atrasado",$E1614*10000+$A1614,"")</f>
        <v/>
      </c>
    </row>
    <row r="1615" customFormat="false" ht="15" hidden="false" customHeight="false" outlineLevel="0" collapsed="false">
      <c r="A1615" s="114" t="n">
        <f aca="false">ROW()-4</f>
        <v>1611</v>
      </c>
      <c r="B1615" s="114" t="str">
        <f aca="false">IF(A1615&lt;=Config!$E$27*Config!$E$28,"Tema","Avulso")</f>
        <v>Tema</v>
      </c>
      <c r="C1615" s="114" t="n">
        <f aca="false">IF(B1615="Tema",INT((A1615-1)/Config!$E$28)+1,A1615-Config!$E$27*Config!$E$28)</f>
        <v>269</v>
      </c>
      <c r="D1615" s="114" t="n">
        <f aca="false">IF(B1615="Tema",MOD(A1615-1,Config!$E$28)+1,"")</f>
        <v>3</v>
      </c>
      <c r="E1615" s="115" t="str">
        <f aca="false">IF($B1615="Tema",IF(ISNUMBER(INDEX(Temas!$E$6:$P$305,$C1615,2*$D1615-1)),INDEX(Temas!$E$6:$P$305,$C1615,2*$D1615-1),""),IF(ISNUMBER(INDEX(Avulsos!$B$6:$B$205,$C1615)),INDEX(Avulsos!$B$6:$B$205,$C1615),""))</f>
        <v/>
      </c>
      <c r="F1615" s="114" t="str">
        <f aca="false">IF($E1615="","",IF($B1615="Tema",INDEX(Temas!$B$6:$B$305,$C1615)&amp;"",INDEX(Avulsos!$C$6:$C$205,$C1615)&amp;""))</f>
        <v/>
      </c>
      <c r="G1615" s="114" t="str">
        <f aca="false">IF($E1615="","",IF($B1615="Tema",INDEX(Config!$C$6:$C$11,$D1615),"Evento avulso"))</f>
        <v/>
      </c>
      <c r="H1615" s="114" t="str">
        <f aca="false">IF($E1615="","",IF($B1615="Tema",INDEX(Config!$D$6:$D$11,$D1615),IFERROR(INDEX(Config!$E$15:$E$19,MATCH($I1615,Config!$C$15:$C$19,0)),"•")))</f>
        <v/>
      </c>
      <c r="I1615" s="114" t="str">
        <f aca="false">IF($E1615="","",IF($B1615="Tema",INDEX(Config!$E$6:$E$11,$D1615),IF(INDEX(Avulsos!$D$6:$D$205,$C1615)&amp;""="","Outro",INDEX(Avulsos!$D$6:$D$205,$C1615))))</f>
        <v/>
      </c>
      <c r="J1615" s="114" t="str">
        <f aca="false">IF($E1615="","",IF($B1615="Tema",INDEX(Temas!$C$6:$C$305,$C1615)&amp;"",INDEX(Avulsos!$E$6:$E$205,$C1615)&amp;""))</f>
        <v/>
      </c>
      <c r="K1615" s="114" t="str">
        <f aca="false">IF($E1615="","",IF(IF($B1615="Tema",INDEX(Temas!$E$6:$P$305,$C1615,2*$D1615),INDEX(Avulsos!$F$6:$F$205,$C1615))&amp;""="","","✓"))</f>
        <v/>
      </c>
      <c r="L1615" s="114" t="str">
        <f aca="true">IF($E1615="","",IF($K1615="✓","Concluído",IF($E1615&lt;TODAY(),"Atrasado",IF($E1615=TODAY(),"Hoje","Pendente"))))</f>
        <v/>
      </c>
      <c r="M1615" s="114" t="str">
        <f aca="false">IF($E1615="","",IF($K1615="✓","✓ ","")&amp;IF(Config!$E$22="Sim",$H1615&amp;" · ","")&amp;$F1615)</f>
        <v/>
      </c>
      <c r="N1615" s="114" t="str">
        <f aca="false">IF($E1615="","",IFERROR(INDEX(Config!$D$15:$D$19,MATCH($I1615,Config!$C$15:$C$19,0)),"OUT")&amp;IF($K1615="✓","x",""))</f>
        <v/>
      </c>
      <c r="O1615" s="114" t="str">
        <f aca="false">IF($E1615="","",COUNTIF($E$5:$E1615,$E1615))</f>
        <v/>
      </c>
      <c r="P1615" s="114" t="str">
        <f aca="false">IF($E1615="","",$E1615*100+$O1615)</f>
        <v/>
      </c>
      <c r="Q1615" s="114" t="str">
        <f aca="false">IF($L1615="Atrasado",$E1615*10000+$A1615,"")</f>
        <v/>
      </c>
    </row>
    <row r="1616" customFormat="false" ht="15" hidden="false" customHeight="false" outlineLevel="0" collapsed="false">
      <c r="A1616" s="114" t="n">
        <f aca="false">ROW()-4</f>
        <v>1612</v>
      </c>
      <c r="B1616" s="114" t="str">
        <f aca="false">IF(A1616&lt;=Config!$E$27*Config!$E$28,"Tema","Avulso")</f>
        <v>Tema</v>
      </c>
      <c r="C1616" s="114" t="n">
        <f aca="false">IF(B1616="Tema",INT((A1616-1)/Config!$E$28)+1,A1616-Config!$E$27*Config!$E$28)</f>
        <v>269</v>
      </c>
      <c r="D1616" s="114" t="n">
        <f aca="false">IF(B1616="Tema",MOD(A1616-1,Config!$E$28)+1,"")</f>
        <v>4</v>
      </c>
      <c r="E1616" s="115" t="str">
        <f aca="false">IF($B1616="Tema",IF(ISNUMBER(INDEX(Temas!$E$6:$P$305,$C1616,2*$D1616-1)),INDEX(Temas!$E$6:$P$305,$C1616,2*$D1616-1),""),IF(ISNUMBER(INDEX(Avulsos!$B$6:$B$205,$C1616)),INDEX(Avulsos!$B$6:$B$205,$C1616),""))</f>
        <v/>
      </c>
      <c r="F1616" s="114" t="str">
        <f aca="false">IF($E1616="","",IF($B1616="Tema",INDEX(Temas!$B$6:$B$305,$C1616)&amp;"",INDEX(Avulsos!$C$6:$C$205,$C1616)&amp;""))</f>
        <v/>
      </c>
      <c r="G1616" s="114" t="str">
        <f aca="false">IF($E1616="","",IF($B1616="Tema",INDEX(Config!$C$6:$C$11,$D1616),"Evento avulso"))</f>
        <v/>
      </c>
      <c r="H1616" s="114" t="str">
        <f aca="false">IF($E1616="","",IF($B1616="Tema",INDEX(Config!$D$6:$D$11,$D1616),IFERROR(INDEX(Config!$E$15:$E$19,MATCH($I1616,Config!$C$15:$C$19,0)),"•")))</f>
        <v/>
      </c>
      <c r="I1616" s="114" t="str">
        <f aca="false">IF($E1616="","",IF($B1616="Tema",INDEX(Config!$E$6:$E$11,$D1616),IF(INDEX(Avulsos!$D$6:$D$205,$C1616)&amp;""="","Outro",INDEX(Avulsos!$D$6:$D$205,$C1616))))</f>
        <v/>
      </c>
      <c r="J1616" s="114" t="str">
        <f aca="false">IF($E1616="","",IF($B1616="Tema",INDEX(Temas!$C$6:$C$305,$C1616)&amp;"",INDEX(Avulsos!$E$6:$E$205,$C1616)&amp;""))</f>
        <v/>
      </c>
      <c r="K1616" s="114" t="str">
        <f aca="false">IF($E1616="","",IF(IF($B1616="Tema",INDEX(Temas!$E$6:$P$305,$C1616,2*$D1616),INDEX(Avulsos!$F$6:$F$205,$C1616))&amp;""="","","✓"))</f>
        <v/>
      </c>
      <c r="L1616" s="114" t="str">
        <f aca="true">IF($E1616="","",IF($K1616="✓","Concluído",IF($E1616&lt;TODAY(),"Atrasado",IF($E1616=TODAY(),"Hoje","Pendente"))))</f>
        <v/>
      </c>
      <c r="M1616" s="114" t="str">
        <f aca="false">IF($E1616="","",IF($K1616="✓","✓ ","")&amp;IF(Config!$E$22="Sim",$H1616&amp;" · ","")&amp;$F1616)</f>
        <v/>
      </c>
      <c r="N1616" s="114" t="str">
        <f aca="false">IF($E1616="","",IFERROR(INDEX(Config!$D$15:$D$19,MATCH($I1616,Config!$C$15:$C$19,0)),"OUT")&amp;IF($K1616="✓","x",""))</f>
        <v/>
      </c>
      <c r="O1616" s="114" t="str">
        <f aca="false">IF($E1616="","",COUNTIF($E$5:$E1616,$E1616))</f>
        <v/>
      </c>
      <c r="P1616" s="114" t="str">
        <f aca="false">IF($E1616="","",$E1616*100+$O1616)</f>
        <v/>
      </c>
      <c r="Q1616" s="114" t="str">
        <f aca="false">IF($L1616="Atrasado",$E1616*10000+$A1616,"")</f>
        <v/>
      </c>
    </row>
    <row r="1617" customFormat="false" ht="15" hidden="false" customHeight="false" outlineLevel="0" collapsed="false">
      <c r="A1617" s="114" t="n">
        <f aca="false">ROW()-4</f>
        <v>1613</v>
      </c>
      <c r="B1617" s="114" t="str">
        <f aca="false">IF(A1617&lt;=Config!$E$27*Config!$E$28,"Tema","Avulso")</f>
        <v>Tema</v>
      </c>
      <c r="C1617" s="114" t="n">
        <f aca="false">IF(B1617="Tema",INT((A1617-1)/Config!$E$28)+1,A1617-Config!$E$27*Config!$E$28)</f>
        <v>269</v>
      </c>
      <c r="D1617" s="114" t="n">
        <f aca="false">IF(B1617="Tema",MOD(A1617-1,Config!$E$28)+1,"")</f>
        <v>5</v>
      </c>
      <c r="E1617" s="115" t="str">
        <f aca="false">IF($B1617="Tema",IF(ISNUMBER(INDEX(Temas!$E$6:$P$305,$C1617,2*$D1617-1)),INDEX(Temas!$E$6:$P$305,$C1617,2*$D1617-1),""),IF(ISNUMBER(INDEX(Avulsos!$B$6:$B$205,$C1617)),INDEX(Avulsos!$B$6:$B$205,$C1617),""))</f>
        <v/>
      </c>
      <c r="F1617" s="114" t="str">
        <f aca="false">IF($E1617="","",IF($B1617="Tema",INDEX(Temas!$B$6:$B$305,$C1617)&amp;"",INDEX(Avulsos!$C$6:$C$205,$C1617)&amp;""))</f>
        <v/>
      </c>
      <c r="G1617" s="114" t="str">
        <f aca="false">IF($E1617="","",IF($B1617="Tema",INDEX(Config!$C$6:$C$11,$D1617),"Evento avulso"))</f>
        <v/>
      </c>
      <c r="H1617" s="114" t="str">
        <f aca="false">IF($E1617="","",IF($B1617="Tema",INDEX(Config!$D$6:$D$11,$D1617),IFERROR(INDEX(Config!$E$15:$E$19,MATCH($I1617,Config!$C$15:$C$19,0)),"•")))</f>
        <v/>
      </c>
      <c r="I1617" s="114" t="str">
        <f aca="false">IF($E1617="","",IF($B1617="Tema",INDEX(Config!$E$6:$E$11,$D1617),IF(INDEX(Avulsos!$D$6:$D$205,$C1617)&amp;""="","Outro",INDEX(Avulsos!$D$6:$D$205,$C1617))))</f>
        <v/>
      </c>
      <c r="J1617" s="114" t="str">
        <f aca="false">IF($E1617="","",IF($B1617="Tema",INDEX(Temas!$C$6:$C$305,$C1617)&amp;"",INDEX(Avulsos!$E$6:$E$205,$C1617)&amp;""))</f>
        <v/>
      </c>
      <c r="K1617" s="114" t="str">
        <f aca="false">IF($E1617="","",IF(IF($B1617="Tema",INDEX(Temas!$E$6:$P$305,$C1617,2*$D1617),INDEX(Avulsos!$F$6:$F$205,$C1617))&amp;""="","","✓"))</f>
        <v/>
      </c>
      <c r="L1617" s="114" t="str">
        <f aca="true">IF($E1617="","",IF($K1617="✓","Concluído",IF($E1617&lt;TODAY(),"Atrasado",IF($E1617=TODAY(),"Hoje","Pendente"))))</f>
        <v/>
      </c>
      <c r="M1617" s="114" t="str">
        <f aca="false">IF($E1617="","",IF($K1617="✓","✓ ","")&amp;IF(Config!$E$22="Sim",$H1617&amp;" · ","")&amp;$F1617)</f>
        <v/>
      </c>
      <c r="N1617" s="114" t="str">
        <f aca="false">IF($E1617="","",IFERROR(INDEX(Config!$D$15:$D$19,MATCH($I1617,Config!$C$15:$C$19,0)),"OUT")&amp;IF($K1617="✓","x",""))</f>
        <v/>
      </c>
      <c r="O1617" s="114" t="str">
        <f aca="false">IF($E1617="","",COUNTIF($E$5:$E1617,$E1617))</f>
        <v/>
      </c>
      <c r="P1617" s="114" t="str">
        <f aca="false">IF($E1617="","",$E1617*100+$O1617)</f>
        <v/>
      </c>
      <c r="Q1617" s="114" t="str">
        <f aca="false">IF($L1617="Atrasado",$E1617*10000+$A1617,"")</f>
        <v/>
      </c>
    </row>
    <row r="1618" customFormat="false" ht="15" hidden="false" customHeight="false" outlineLevel="0" collapsed="false">
      <c r="A1618" s="114" t="n">
        <f aca="false">ROW()-4</f>
        <v>1614</v>
      </c>
      <c r="B1618" s="114" t="str">
        <f aca="false">IF(A1618&lt;=Config!$E$27*Config!$E$28,"Tema","Avulso")</f>
        <v>Tema</v>
      </c>
      <c r="C1618" s="114" t="n">
        <f aca="false">IF(B1618="Tema",INT((A1618-1)/Config!$E$28)+1,A1618-Config!$E$27*Config!$E$28)</f>
        <v>269</v>
      </c>
      <c r="D1618" s="114" t="n">
        <f aca="false">IF(B1618="Tema",MOD(A1618-1,Config!$E$28)+1,"")</f>
        <v>6</v>
      </c>
      <c r="E1618" s="115" t="str">
        <f aca="false">IF($B1618="Tema",IF(ISNUMBER(INDEX(Temas!$E$6:$P$305,$C1618,2*$D1618-1)),INDEX(Temas!$E$6:$P$305,$C1618,2*$D1618-1),""),IF(ISNUMBER(INDEX(Avulsos!$B$6:$B$205,$C1618)),INDEX(Avulsos!$B$6:$B$205,$C1618),""))</f>
        <v/>
      </c>
      <c r="F1618" s="114" t="str">
        <f aca="false">IF($E1618="","",IF($B1618="Tema",INDEX(Temas!$B$6:$B$305,$C1618)&amp;"",INDEX(Avulsos!$C$6:$C$205,$C1618)&amp;""))</f>
        <v/>
      </c>
      <c r="G1618" s="114" t="str">
        <f aca="false">IF($E1618="","",IF($B1618="Tema",INDEX(Config!$C$6:$C$11,$D1618),"Evento avulso"))</f>
        <v/>
      </c>
      <c r="H1618" s="114" t="str">
        <f aca="false">IF($E1618="","",IF($B1618="Tema",INDEX(Config!$D$6:$D$11,$D1618),IFERROR(INDEX(Config!$E$15:$E$19,MATCH($I1618,Config!$C$15:$C$19,0)),"•")))</f>
        <v/>
      </c>
      <c r="I1618" s="114" t="str">
        <f aca="false">IF($E1618="","",IF($B1618="Tema",INDEX(Config!$E$6:$E$11,$D1618),IF(INDEX(Avulsos!$D$6:$D$205,$C1618)&amp;""="","Outro",INDEX(Avulsos!$D$6:$D$205,$C1618))))</f>
        <v/>
      </c>
      <c r="J1618" s="114" t="str">
        <f aca="false">IF($E1618="","",IF($B1618="Tema",INDEX(Temas!$C$6:$C$305,$C1618)&amp;"",INDEX(Avulsos!$E$6:$E$205,$C1618)&amp;""))</f>
        <v/>
      </c>
      <c r="K1618" s="114" t="str">
        <f aca="false">IF($E1618="","",IF(IF($B1618="Tema",INDEX(Temas!$E$6:$P$305,$C1618,2*$D1618),INDEX(Avulsos!$F$6:$F$205,$C1618))&amp;""="","","✓"))</f>
        <v/>
      </c>
      <c r="L1618" s="114" t="str">
        <f aca="true">IF($E1618="","",IF($K1618="✓","Concluído",IF($E1618&lt;TODAY(),"Atrasado",IF($E1618=TODAY(),"Hoje","Pendente"))))</f>
        <v/>
      </c>
      <c r="M1618" s="114" t="str">
        <f aca="false">IF($E1618="","",IF($K1618="✓","✓ ","")&amp;IF(Config!$E$22="Sim",$H1618&amp;" · ","")&amp;$F1618)</f>
        <v/>
      </c>
      <c r="N1618" s="114" t="str">
        <f aca="false">IF($E1618="","",IFERROR(INDEX(Config!$D$15:$D$19,MATCH($I1618,Config!$C$15:$C$19,0)),"OUT")&amp;IF($K1618="✓","x",""))</f>
        <v/>
      </c>
      <c r="O1618" s="114" t="str">
        <f aca="false">IF($E1618="","",COUNTIF($E$5:$E1618,$E1618))</f>
        <v/>
      </c>
      <c r="P1618" s="114" t="str">
        <f aca="false">IF($E1618="","",$E1618*100+$O1618)</f>
        <v/>
      </c>
      <c r="Q1618" s="114" t="str">
        <f aca="false">IF($L1618="Atrasado",$E1618*10000+$A1618,"")</f>
        <v/>
      </c>
    </row>
    <row r="1619" customFormat="false" ht="15" hidden="false" customHeight="false" outlineLevel="0" collapsed="false">
      <c r="A1619" s="114" t="n">
        <f aca="false">ROW()-4</f>
        <v>1615</v>
      </c>
      <c r="B1619" s="114" t="str">
        <f aca="false">IF(A1619&lt;=Config!$E$27*Config!$E$28,"Tema","Avulso")</f>
        <v>Tema</v>
      </c>
      <c r="C1619" s="114" t="n">
        <f aca="false">IF(B1619="Tema",INT((A1619-1)/Config!$E$28)+1,A1619-Config!$E$27*Config!$E$28)</f>
        <v>270</v>
      </c>
      <c r="D1619" s="114" t="n">
        <f aca="false">IF(B1619="Tema",MOD(A1619-1,Config!$E$28)+1,"")</f>
        <v>1</v>
      </c>
      <c r="E1619" s="115" t="str">
        <f aca="false">IF($B1619="Tema",IF(ISNUMBER(INDEX(Temas!$E$6:$P$305,$C1619,2*$D1619-1)),INDEX(Temas!$E$6:$P$305,$C1619,2*$D1619-1),""),IF(ISNUMBER(INDEX(Avulsos!$B$6:$B$205,$C1619)),INDEX(Avulsos!$B$6:$B$205,$C1619),""))</f>
        <v/>
      </c>
      <c r="F1619" s="114" t="str">
        <f aca="false">IF($E1619="","",IF($B1619="Tema",INDEX(Temas!$B$6:$B$305,$C1619)&amp;"",INDEX(Avulsos!$C$6:$C$205,$C1619)&amp;""))</f>
        <v/>
      </c>
      <c r="G1619" s="114" t="str">
        <f aca="false">IF($E1619="","",IF($B1619="Tema",INDEX(Config!$C$6:$C$11,$D1619),"Evento avulso"))</f>
        <v/>
      </c>
      <c r="H1619" s="114" t="str">
        <f aca="false">IF($E1619="","",IF($B1619="Tema",INDEX(Config!$D$6:$D$11,$D1619),IFERROR(INDEX(Config!$E$15:$E$19,MATCH($I1619,Config!$C$15:$C$19,0)),"•")))</f>
        <v/>
      </c>
      <c r="I1619" s="114" t="str">
        <f aca="false">IF($E1619="","",IF($B1619="Tema",INDEX(Config!$E$6:$E$11,$D1619),IF(INDEX(Avulsos!$D$6:$D$205,$C1619)&amp;""="","Outro",INDEX(Avulsos!$D$6:$D$205,$C1619))))</f>
        <v/>
      </c>
      <c r="J1619" s="114" t="str">
        <f aca="false">IF($E1619="","",IF($B1619="Tema",INDEX(Temas!$C$6:$C$305,$C1619)&amp;"",INDEX(Avulsos!$E$6:$E$205,$C1619)&amp;""))</f>
        <v/>
      </c>
      <c r="K1619" s="114" t="str">
        <f aca="false">IF($E1619="","",IF(IF($B1619="Tema",INDEX(Temas!$E$6:$P$305,$C1619,2*$D1619),INDEX(Avulsos!$F$6:$F$205,$C1619))&amp;""="","","✓"))</f>
        <v/>
      </c>
      <c r="L1619" s="114" t="str">
        <f aca="true">IF($E1619="","",IF($K1619="✓","Concluído",IF($E1619&lt;TODAY(),"Atrasado",IF($E1619=TODAY(),"Hoje","Pendente"))))</f>
        <v/>
      </c>
      <c r="M1619" s="114" t="str">
        <f aca="false">IF($E1619="","",IF($K1619="✓","✓ ","")&amp;IF(Config!$E$22="Sim",$H1619&amp;" · ","")&amp;$F1619)</f>
        <v/>
      </c>
      <c r="N1619" s="114" t="str">
        <f aca="false">IF($E1619="","",IFERROR(INDEX(Config!$D$15:$D$19,MATCH($I1619,Config!$C$15:$C$19,0)),"OUT")&amp;IF($K1619="✓","x",""))</f>
        <v/>
      </c>
      <c r="O1619" s="114" t="str">
        <f aca="false">IF($E1619="","",COUNTIF($E$5:$E1619,$E1619))</f>
        <v/>
      </c>
      <c r="P1619" s="114" t="str">
        <f aca="false">IF($E1619="","",$E1619*100+$O1619)</f>
        <v/>
      </c>
      <c r="Q1619" s="114" t="str">
        <f aca="false">IF($L1619="Atrasado",$E1619*10000+$A1619,"")</f>
        <v/>
      </c>
    </row>
    <row r="1620" customFormat="false" ht="15" hidden="false" customHeight="false" outlineLevel="0" collapsed="false">
      <c r="A1620" s="114" t="n">
        <f aca="false">ROW()-4</f>
        <v>1616</v>
      </c>
      <c r="B1620" s="114" t="str">
        <f aca="false">IF(A1620&lt;=Config!$E$27*Config!$E$28,"Tema","Avulso")</f>
        <v>Tema</v>
      </c>
      <c r="C1620" s="114" t="n">
        <f aca="false">IF(B1620="Tema",INT((A1620-1)/Config!$E$28)+1,A1620-Config!$E$27*Config!$E$28)</f>
        <v>270</v>
      </c>
      <c r="D1620" s="114" t="n">
        <f aca="false">IF(B1620="Tema",MOD(A1620-1,Config!$E$28)+1,"")</f>
        <v>2</v>
      </c>
      <c r="E1620" s="115" t="str">
        <f aca="false">IF($B1620="Tema",IF(ISNUMBER(INDEX(Temas!$E$6:$P$305,$C1620,2*$D1620-1)),INDEX(Temas!$E$6:$P$305,$C1620,2*$D1620-1),""),IF(ISNUMBER(INDEX(Avulsos!$B$6:$B$205,$C1620)),INDEX(Avulsos!$B$6:$B$205,$C1620),""))</f>
        <v/>
      </c>
      <c r="F1620" s="114" t="str">
        <f aca="false">IF($E1620="","",IF($B1620="Tema",INDEX(Temas!$B$6:$B$305,$C1620)&amp;"",INDEX(Avulsos!$C$6:$C$205,$C1620)&amp;""))</f>
        <v/>
      </c>
      <c r="G1620" s="114" t="str">
        <f aca="false">IF($E1620="","",IF($B1620="Tema",INDEX(Config!$C$6:$C$11,$D1620),"Evento avulso"))</f>
        <v/>
      </c>
      <c r="H1620" s="114" t="str">
        <f aca="false">IF($E1620="","",IF($B1620="Tema",INDEX(Config!$D$6:$D$11,$D1620),IFERROR(INDEX(Config!$E$15:$E$19,MATCH($I1620,Config!$C$15:$C$19,0)),"•")))</f>
        <v/>
      </c>
      <c r="I1620" s="114" t="str">
        <f aca="false">IF($E1620="","",IF($B1620="Tema",INDEX(Config!$E$6:$E$11,$D1620),IF(INDEX(Avulsos!$D$6:$D$205,$C1620)&amp;""="","Outro",INDEX(Avulsos!$D$6:$D$205,$C1620))))</f>
        <v/>
      </c>
      <c r="J1620" s="114" t="str">
        <f aca="false">IF($E1620="","",IF($B1620="Tema",INDEX(Temas!$C$6:$C$305,$C1620)&amp;"",INDEX(Avulsos!$E$6:$E$205,$C1620)&amp;""))</f>
        <v/>
      </c>
      <c r="K1620" s="114" t="str">
        <f aca="false">IF($E1620="","",IF(IF($B1620="Tema",INDEX(Temas!$E$6:$P$305,$C1620,2*$D1620),INDEX(Avulsos!$F$6:$F$205,$C1620))&amp;""="","","✓"))</f>
        <v/>
      </c>
      <c r="L1620" s="114" t="str">
        <f aca="true">IF($E1620="","",IF($K1620="✓","Concluído",IF($E1620&lt;TODAY(),"Atrasado",IF($E1620=TODAY(),"Hoje","Pendente"))))</f>
        <v/>
      </c>
      <c r="M1620" s="114" t="str">
        <f aca="false">IF($E1620="","",IF($K1620="✓","✓ ","")&amp;IF(Config!$E$22="Sim",$H1620&amp;" · ","")&amp;$F1620)</f>
        <v/>
      </c>
      <c r="N1620" s="114" t="str">
        <f aca="false">IF($E1620="","",IFERROR(INDEX(Config!$D$15:$D$19,MATCH($I1620,Config!$C$15:$C$19,0)),"OUT")&amp;IF($K1620="✓","x",""))</f>
        <v/>
      </c>
      <c r="O1620" s="114" t="str">
        <f aca="false">IF($E1620="","",COUNTIF($E$5:$E1620,$E1620))</f>
        <v/>
      </c>
      <c r="P1620" s="114" t="str">
        <f aca="false">IF($E1620="","",$E1620*100+$O1620)</f>
        <v/>
      </c>
      <c r="Q1620" s="114" t="str">
        <f aca="false">IF($L1620="Atrasado",$E1620*10000+$A1620,"")</f>
        <v/>
      </c>
    </row>
    <row r="1621" customFormat="false" ht="15" hidden="false" customHeight="false" outlineLevel="0" collapsed="false">
      <c r="A1621" s="114" t="n">
        <f aca="false">ROW()-4</f>
        <v>1617</v>
      </c>
      <c r="B1621" s="114" t="str">
        <f aca="false">IF(A1621&lt;=Config!$E$27*Config!$E$28,"Tema","Avulso")</f>
        <v>Tema</v>
      </c>
      <c r="C1621" s="114" t="n">
        <f aca="false">IF(B1621="Tema",INT((A1621-1)/Config!$E$28)+1,A1621-Config!$E$27*Config!$E$28)</f>
        <v>270</v>
      </c>
      <c r="D1621" s="114" t="n">
        <f aca="false">IF(B1621="Tema",MOD(A1621-1,Config!$E$28)+1,"")</f>
        <v>3</v>
      </c>
      <c r="E1621" s="115" t="str">
        <f aca="false">IF($B1621="Tema",IF(ISNUMBER(INDEX(Temas!$E$6:$P$305,$C1621,2*$D1621-1)),INDEX(Temas!$E$6:$P$305,$C1621,2*$D1621-1),""),IF(ISNUMBER(INDEX(Avulsos!$B$6:$B$205,$C1621)),INDEX(Avulsos!$B$6:$B$205,$C1621),""))</f>
        <v/>
      </c>
      <c r="F1621" s="114" t="str">
        <f aca="false">IF($E1621="","",IF($B1621="Tema",INDEX(Temas!$B$6:$B$305,$C1621)&amp;"",INDEX(Avulsos!$C$6:$C$205,$C1621)&amp;""))</f>
        <v/>
      </c>
      <c r="G1621" s="114" t="str">
        <f aca="false">IF($E1621="","",IF($B1621="Tema",INDEX(Config!$C$6:$C$11,$D1621),"Evento avulso"))</f>
        <v/>
      </c>
      <c r="H1621" s="114" t="str">
        <f aca="false">IF($E1621="","",IF($B1621="Tema",INDEX(Config!$D$6:$D$11,$D1621),IFERROR(INDEX(Config!$E$15:$E$19,MATCH($I1621,Config!$C$15:$C$19,0)),"•")))</f>
        <v/>
      </c>
      <c r="I1621" s="114" t="str">
        <f aca="false">IF($E1621="","",IF($B1621="Tema",INDEX(Config!$E$6:$E$11,$D1621),IF(INDEX(Avulsos!$D$6:$D$205,$C1621)&amp;""="","Outro",INDEX(Avulsos!$D$6:$D$205,$C1621))))</f>
        <v/>
      </c>
      <c r="J1621" s="114" t="str">
        <f aca="false">IF($E1621="","",IF($B1621="Tema",INDEX(Temas!$C$6:$C$305,$C1621)&amp;"",INDEX(Avulsos!$E$6:$E$205,$C1621)&amp;""))</f>
        <v/>
      </c>
      <c r="K1621" s="114" t="str">
        <f aca="false">IF($E1621="","",IF(IF($B1621="Tema",INDEX(Temas!$E$6:$P$305,$C1621,2*$D1621),INDEX(Avulsos!$F$6:$F$205,$C1621))&amp;""="","","✓"))</f>
        <v/>
      </c>
      <c r="L1621" s="114" t="str">
        <f aca="true">IF($E1621="","",IF($K1621="✓","Concluído",IF($E1621&lt;TODAY(),"Atrasado",IF($E1621=TODAY(),"Hoje","Pendente"))))</f>
        <v/>
      </c>
      <c r="M1621" s="114" t="str">
        <f aca="false">IF($E1621="","",IF($K1621="✓","✓ ","")&amp;IF(Config!$E$22="Sim",$H1621&amp;" · ","")&amp;$F1621)</f>
        <v/>
      </c>
      <c r="N1621" s="114" t="str">
        <f aca="false">IF($E1621="","",IFERROR(INDEX(Config!$D$15:$D$19,MATCH($I1621,Config!$C$15:$C$19,0)),"OUT")&amp;IF($K1621="✓","x",""))</f>
        <v/>
      </c>
      <c r="O1621" s="114" t="str">
        <f aca="false">IF($E1621="","",COUNTIF($E$5:$E1621,$E1621))</f>
        <v/>
      </c>
      <c r="P1621" s="114" t="str">
        <f aca="false">IF($E1621="","",$E1621*100+$O1621)</f>
        <v/>
      </c>
      <c r="Q1621" s="114" t="str">
        <f aca="false">IF($L1621="Atrasado",$E1621*10000+$A1621,"")</f>
        <v/>
      </c>
    </row>
    <row r="1622" customFormat="false" ht="15" hidden="false" customHeight="false" outlineLevel="0" collapsed="false">
      <c r="A1622" s="114" t="n">
        <f aca="false">ROW()-4</f>
        <v>1618</v>
      </c>
      <c r="B1622" s="114" t="str">
        <f aca="false">IF(A1622&lt;=Config!$E$27*Config!$E$28,"Tema","Avulso")</f>
        <v>Tema</v>
      </c>
      <c r="C1622" s="114" t="n">
        <f aca="false">IF(B1622="Tema",INT((A1622-1)/Config!$E$28)+1,A1622-Config!$E$27*Config!$E$28)</f>
        <v>270</v>
      </c>
      <c r="D1622" s="114" t="n">
        <f aca="false">IF(B1622="Tema",MOD(A1622-1,Config!$E$28)+1,"")</f>
        <v>4</v>
      </c>
      <c r="E1622" s="115" t="str">
        <f aca="false">IF($B1622="Tema",IF(ISNUMBER(INDEX(Temas!$E$6:$P$305,$C1622,2*$D1622-1)),INDEX(Temas!$E$6:$P$305,$C1622,2*$D1622-1),""),IF(ISNUMBER(INDEX(Avulsos!$B$6:$B$205,$C1622)),INDEX(Avulsos!$B$6:$B$205,$C1622),""))</f>
        <v/>
      </c>
      <c r="F1622" s="114" t="str">
        <f aca="false">IF($E1622="","",IF($B1622="Tema",INDEX(Temas!$B$6:$B$305,$C1622)&amp;"",INDEX(Avulsos!$C$6:$C$205,$C1622)&amp;""))</f>
        <v/>
      </c>
      <c r="G1622" s="114" t="str">
        <f aca="false">IF($E1622="","",IF($B1622="Tema",INDEX(Config!$C$6:$C$11,$D1622),"Evento avulso"))</f>
        <v/>
      </c>
      <c r="H1622" s="114" t="str">
        <f aca="false">IF($E1622="","",IF($B1622="Tema",INDEX(Config!$D$6:$D$11,$D1622),IFERROR(INDEX(Config!$E$15:$E$19,MATCH($I1622,Config!$C$15:$C$19,0)),"•")))</f>
        <v/>
      </c>
      <c r="I1622" s="114" t="str">
        <f aca="false">IF($E1622="","",IF($B1622="Tema",INDEX(Config!$E$6:$E$11,$D1622),IF(INDEX(Avulsos!$D$6:$D$205,$C1622)&amp;""="","Outro",INDEX(Avulsos!$D$6:$D$205,$C1622))))</f>
        <v/>
      </c>
      <c r="J1622" s="114" t="str">
        <f aca="false">IF($E1622="","",IF($B1622="Tema",INDEX(Temas!$C$6:$C$305,$C1622)&amp;"",INDEX(Avulsos!$E$6:$E$205,$C1622)&amp;""))</f>
        <v/>
      </c>
      <c r="K1622" s="114" t="str">
        <f aca="false">IF($E1622="","",IF(IF($B1622="Tema",INDEX(Temas!$E$6:$P$305,$C1622,2*$D1622),INDEX(Avulsos!$F$6:$F$205,$C1622))&amp;""="","","✓"))</f>
        <v/>
      </c>
      <c r="L1622" s="114" t="str">
        <f aca="true">IF($E1622="","",IF($K1622="✓","Concluído",IF($E1622&lt;TODAY(),"Atrasado",IF($E1622=TODAY(),"Hoje","Pendente"))))</f>
        <v/>
      </c>
      <c r="M1622" s="114" t="str">
        <f aca="false">IF($E1622="","",IF($K1622="✓","✓ ","")&amp;IF(Config!$E$22="Sim",$H1622&amp;" · ","")&amp;$F1622)</f>
        <v/>
      </c>
      <c r="N1622" s="114" t="str">
        <f aca="false">IF($E1622="","",IFERROR(INDEX(Config!$D$15:$D$19,MATCH($I1622,Config!$C$15:$C$19,0)),"OUT")&amp;IF($K1622="✓","x",""))</f>
        <v/>
      </c>
      <c r="O1622" s="114" t="str">
        <f aca="false">IF($E1622="","",COUNTIF($E$5:$E1622,$E1622))</f>
        <v/>
      </c>
      <c r="P1622" s="114" t="str">
        <f aca="false">IF($E1622="","",$E1622*100+$O1622)</f>
        <v/>
      </c>
      <c r="Q1622" s="114" t="str">
        <f aca="false">IF($L1622="Atrasado",$E1622*10000+$A1622,"")</f>
        <v/>
      </c>
    </row>
    <row r="1623" customFormat="false" ht="15" hidden="false" customHeight="false" outlineLevel="0" collapsed="false">
      <c r="A1623" s="114" t="n">
        <f aca="false">ROW()-4</f>
        <v>1619</v>
      </c>
      <c r="B1623" s="114" t="str">
        <f aca="false">IF(A1623&lt;=Config!$E$27*Config!$E$28,"Tema","Avulso")</f>
        <v>Tema</v>
      </c>
      <c r="C1623" s="114" t="n">
        <f aca="false">IF(B1623="Tema",INT((A1623-1)/Config!$E$28)+1,A1623-Config!$E$27*Config!$E$28)</f>
        <v>270</v>
      </c>
      <c r="D1623" s="114" t="n">
        <f aca="false">IF(B1623="Tema",MOD(A1623-1,Config!$E$28)+1,"")</f>
        <v>5</v>
      </c>
      <c r="E1623" s="115" t="str">
        <f aca="false">IF($B1623="Tema",IF(ISNUMBER(INDEX(Temas!$E$6:$P$305,$C1623,2*$D1623-1)),INDEX(Temas!$E$6:$P$305,$C1623,2*$D1623-1),""),IF(ISNUMBER(INDEX(Avulsos!$B$6:$B$205,$C1623)),INDEX(Avulsos!$B$6:$B$205,$C1623),""))</f>
        <v/>
      </c>
      <c r="F1623" s="114" t="str">
        <f aca="false">IF($E1623="","",IF($B1623="Tema",INDEX(Temas!$B$6:$B$305,$C1623)&amp;"",INDEX(Avulsos!$C$6:$C$205,$C1623)&amp;""))</f>
        <v/>
      </c>
      <c r="G1623" s="114" t="str">
        <f aca="false">IF($E1623="","",IF($B1623="Tema",INDEX(Config!$C$6:$C$11,$D1623),"Evento avulso"))</f>
        <v/>
      </c>
      <c r="H1623" s="114" t="str">
        <f aca="false">IF($E1623="","",IF($B1623="Tema",INDEX(Config!$D$6:$D$11,$D1623),IFERROR(INDEX(Config!$E$15:$E$19,MATCH($I1623,Config!$C$15:$C$19,0)),"•")))</f>
        <v/>
      </c>
      <c r="I1623" s="114" t="str">
        <f aca="false">IF($E1623="","",IF($B1623="Tema",INDEX(Config!$E$6:$E$11,$D1623),IF(INDEX(Avulsos!$D$6:$D$205,$C1623)&amp;""="","Outro",INDEX(Avulsos!$D$6:$D$205,$C1623))))</f>
        <v/>
      </c>
      <c r="J1623" s="114" t="str">
        <f aca="false">IF($E1623="","",IF($B1623="Tema",INDEX(Temas!$C$6:$C$305,$C1623)&amp;"",INDEX(Avulsos!$E$6:$E$205,$C1623)&amp;""))</f>
        <v/>
      </c>
      <c r="K1623" s="114" t="str">
        <f aca="false">IF($E1623="","",IF(IF($B1623="Tema",INDEX(Temas!$E$6:$P$305,$C1623,2*$D1623),INDEX(Avulsos!$F$6:$F$205,$C1623))&amp;""="","","✓"))</f>
        <v/>
      </c>
      <c r="L1623" s="114" t="str">
        <f aca="true">IF($E1623="","",IF($K1623="✓","Concluído",IF($E1623&lt;TODAY(),"Atrasado",IF($E1623=TODAY(),"Hoje","Pendente"))))</f>
        <v/>
      </c>
      <c r="M1623" s="114" t="str">
        <f aca="false">IF($E1623="","",IF($K1623="✓","✓ ","")&amp;IF(Config!$E$22="Sim",$H1623&amp;" · ","")&amp;$F1623)</f>
        <v/>
      </c>
      <c r="N1623" s="114" t="str">
        <f aca="false">IF($E1623="","",IFERROR(INDEX(Config!$D$15:$D$19,MATCH($I1623,Config!$C$15:$C$19,0)),"OUT")&amp;IF($K1623="✓","x",""))</f>
        <v/>
      </c>
      <c r="O1623" s="114" t="str">
        <f aca="false">IF($E1623="","",COUNTIF($E$5:$E1623,$E1623))</f>
        <v/>
      </c>
      <c r="P1623" s="114" t="str">
        <f aca="false">IF($E1623="","",$E1623*100+$O1623)</f>
        <v/>
      </c>
      <c r="Q1623" s="114" t="str">
        <f aca="false">IF($L1623="Atrasado",$E1623*10000+$A1623,"")</f>
        <v/>
      </c>
    </row>
    <row r="1624" customFormat="false" ht="15" hidden="false" customHeight="false" outlineLevel="0" collapsed="false">
      <c r="A1624" s="114" t="n">
        <f aca="false">ROW()-4</f>
        <v>1620</v>
      </c>
      <c r="B1624" s="114" t="str">
        <f aca="false">IF(A1624&lt;=Config!$E$27*Config!$E$28,"Tema","Avulso")</f>
        <v>Tema</v>
      </c>
      <c r="C1624" s="114" t="n">
        <f aca="false">IF(B1624="Tema",INT((A1624-1)/Config!$E$28)+1,A1624-Config!$E$27*Config!$E$28)</f>
        <v>270</v>
      </c>
      <c r="D1624" s="114" t="n">
        <f aca="false">IF(B1624="Tema",MOD(A1624-1,Config!$E$28)+1,"")</f>
        <v>6</v>
      </c>
      <c r="E1624" s="115" t="str">
        <f aca="false">IF($B1624="Tema",IF(ISNUMBER(INDEX(Temas!$E$6:$P$305,$C1624,2*$D1624-1)),INDEX(Temas!$E$6:$P$305,$C1624,2*$D1624-1),""),IF(ISNUMBER(INDEX(Avulsos!$B$6:$B$205,$C1624)),INDEX(Avulsos!$B$6:$B$205,$C1624),""))</f>
        <v/>
      </c>
      <c r="F1624" s="114" t="str">
        <f aca="false">IF($E1624="","",IF($B1624="Tema",INDEX(Temas!$B$6:$B$305,$C1624)&amp;"",INDEX(Avulsos!$C$6:$C$205,$C1624)&amp;""))</f>
        <v/>
      </c>
      <c r="G1624" s="114" t="str">
        <f aca="false">IF($E1624="","",IF($B1624="Tema",INDEX(Config!$C$6:$C$11,$D1624),"Evento avulso"))</f>
        <v/>
      </c>
      <c r="H1624" s="114" t="str">
        <f aca="false">IF($E1624="","",IF($B1624="Tema",INDEX(Config!$D$6:$D$11,$D1624),IFERROR(INDEX(Config!$E$15:$E$19,MATCH($I1624,Config!$C$15:$C$19,0)),"•")))</f>
        <v/>
      </c>
      <c r="I1624" s="114" t="str">
        <f aca="false">IF($E1624="","",IF($B1624="Tema",INDEX(Config!$E$6:$E$11,$D1624),IF(INDEX(Avulsos!$D$6:$D$205,$C1624)&amp;""="","Outro",INDEX(Avulsos!$D$6:$D$205,$C1624))))</f>
        <v/>
      </c>
      <c r="J1624" s="114" t="str">
        <f aca="false">IF($E1624="","",IF($B1624="Tema",INDEX(Temas!$C$6:$C$305,$C1624)&amp;"",INDEX(Avulsos!$E$6:$E$205,$C1624)&amp;""))</f>
        <v/>
      </c>
      <c r="K1624" s="114" t="str">
        <f aca="false">IF($E1624="","",IF(IF($B1624="Tema",INDEX(Temas!$E$6:$P$305,$C1624,2*$D1624),INDEX(Avulsos!$F$6:$F$205,$C1624))&amp;""="","","✓"))</f>
        <v/>
      </c>
      <c r="L1624" s="114" t="str">
        <f aca="true">IF($E1624="","",IF($K1624="✓","Concluído",IF($E1624&lt;TODAY(),"Atrasado",IF($E1624=TODAY(),"Hoje","Pendente"))))</f>
        <v/>
      </c>
      <c r="M1624" s="114" t="str">
        <f aca="false">IF($E1624="","",IF($K1624="✓","✓ ","")&amp;IF(Config!$E$22="Sim",$H1624&amp;" · ","")&amp;$F1624)</f>
        <v/>
      </c>
      <c r="N1624" s="114" t="str">
        <f aca="false">IF($E1624="","",IFERROR(INDEX(Config!$D$15:$D$19,MATCH($I1624,Config!$C$15:$C$19,0)),"OUT")&amp;IF($K1624="✓","x",""))</f>
        <v/>
      </c>
      <c r="O1624" s="114" t="str">
        <f aca="false">IF($E1624="","",COUNTIF($E$5:$E1624,$E1624))</f>
        <v/>
      </c>
      <c r="P1624" s="114" t="str">
        <f aca="false">IF($E1624="","",$E1624*100+$O1624)</f>
        <v/>
      </c>
      <c r="Q1624" s="114" t="str">
        <f aca="false">IF($L1624="Atrasado",$E1624*10000+$A1624,"")</f>
        <v/>
      </c>
    </row>
    <row r="1625" customFormat="false" ht="15" hidden="false" customHeight="false" outlineLevel="0" collapsed="false">
      <c r="A1625" s="114" t="n">
        <f aca="false">ROW()-4</f>
        <v>1621</v>
      </c>
      <c r="B1625" s="114" t="str">
        <f aca="false">IF(A1625&lt;=Config!$E$27*Config!$E$28,"Tema","Avulso")</f>
        <v>Tema</v>
      </c>
      <c r="C1625" s="114" t="n">
        <f aca="false">IF(B1625="Tema",INT((A1625-1)/Config!$E$28)+1,A1625-Config!$E$27*Config!$E$28)</f>
        <v>271</v>
      </c>
      <c r="D1625" s="114" t="n">
        <f aca="false">IF(B1625="Tema",MOD(A1625-1,Config!$E$28)+1,"")</f>
        <v>1</v>
      </c>
      <c r="E1625" s="115" t="str">
        <f aca="false">IF($B1625="Tema",IF(ISNUMBER(INDEX(Temas!$E$6:$P$305,$C1625,2*$D1625-1)),INDEX(Temas!$E$6:$P$305,$C1625,2*$D1625-1),""),IF(ISNUMBER(INDEX(Avulsos!$B$6:$B$205,$C1625)),INDEX(Avulsos!$B$6:$B$205,$C1625),""))</f>
        <v/>
      </c>
      <c r="F1625" s="114" t="str">
        <f aca="false">IF($E1625="","",IF($B1625="Tema",INDEX(Temas!$B$6:$B$305,$C1625)&amp;"",INDEX(Avulsos!$C$6:$C$205,$C1625)&amp;""))</f>
        <v/>
      </c>
      <c r="G1625" s="114" t="str">
        <f aca="false">IF($E1625="","",IF($B1625="Tema",INDEX(Config!$C$6:$C$11,$D1625),"Evento avulso"))</f>
        <v/>
      </c>
      <c r="H1625" s="114" t="str">
        <f aca="false">IF($E1625="","",IF($B1625="Tema",INDEX(Config!$D$6:$D$11,$D1625),IFERROR(INDEX(Config!$E$15:$E$19,MATCH($I1625,Config!$C$15:$C$19,0)),"•")))</f>
        <v/>
      </c>
      <c r="I1625" s="114" t="str">
        <f aca="false">IF($E1625="","",IF($B1625="Tema",INDEX(Config!$E$6:$E$11,$D1625),IF(INDEX(Avulsos!$D$6:$D$205,$C1625)&amp;""="","Outro",INDEX(Avulsos!$D$6:$D$205,$C1625))))</f>
        <v/>
      </c>
      <c r="J1625" s="114" t="str">
        <f aca="false">IF($E1625="","",IF($B1625="Tema",INDEX(Temas!$C$6:$C$305,$C1625)&amp;"",INDEX(Avulsos!$E$6:$E$205,$C1625)&amp;""))</f>
        <v/>
      </c>
      <c r="K1625" s="114" t="str">
        <f aca="false">IF($E1625="","",IF(IF($B1625="Tema",INDEX(Temas!$E$6:$P$305,$C1625,2*$D1625),INDEX(Avulsos!$F$6:$F$205,$C1625))&amp;""="","","✓"))</f>
        <v/>
      </c>
      <c r="L1625" s="114" t="str">
        <f aca="true">IF($E1625="","",IF($K1625="✓","Concluído",IF($E1625&lt;TODAY(),"Atrasado",IF($E1625=TODAY(),"Hoje","Pendente"))))</f>
        <v/>
      </c>
      <c r="M1625" s="114" t="str">
        <f aca="false">IF($E1625="","",IF($K1625="✓","✓ ","")&amp;IF(Config!$E$22="Sim",$H1625&amp;" · ","")&amp;$F1625)</f>
        <v/>
      </c>
      <c r="N1625" s="114" t="str">
        <f aca="false">IF($E1625="","",IFERROR(INDEX(Config!$D$15:$D$19,MATCH($I1625,Config!$C$15:$C$19,0)),"OUT")&amp;IF($K1625="✓","x",""))</f>
        <v/>
      </c>
      <c r="O1625" s="114" t="str">
        <f aca="false">IF($E1625="","",COUNTIF($E$5:$E1625,$E1625))</f>
        <v/>
      </c>
      <c r="P1625" s="114" t="str">
        <f aca="false">IF($E1625="","",$E1625*100+$O1625)</f>
        <v/>
      </c>
      <c r="Q1625" s="114" t="str">
        <f aca="false">IF($L1625="Atrasado",$E1625*10000+$A1625,"")</f>
        <v/>
      </c>
    </row>
    <row r="1626" customFormat="false" ht="15" hidden="false" customHeight="false" outlineLevel="0" collapsed="false">
      <c r="A1626" s="114" t="n">
        <f aca="false">ROW()-4</f>
        <v>1622</v>
      </c>
      <c r="B1626" s="114" t="str">
        <f aca="false">IF(A1626&lt;=Config!$E$27*Config!$E$28,"Tema","Avulso")</f>
        <v>Tema</v>
      </c>
      <c r="C1626" s="114" t="n">
        <f aca="false">IF(B1626="Tema",INT((A1626-1)/Config!$E$28)+1,A1626-Config!$E$27*Config!$E$28)</f>
        <v>271</v>
      </c>
      <c r="D1626" s="114" t="n">
        <f aca="false">IF(B1626="Tema",MOD(A1626-1,Config!$E$28)+1,"")</f>
        <v>2</v>
      </c>
      <c r="E1626" s="115" t="str">
        <f aca="false">IF($B1626="Tema",IF(ISNUMBER(INDEX(Temas!$E$6:$P$305,$C1626,2*$D1626-1)),INDEX(Temas!$E$6:$P$305,$C1626,2*$D1626-1),""),IF(ISNUMBER(INDEX(Avulsos!$B$6:$B$205,$C1626)),INDEX(Avulsos!$B$6:$B$205,$C1626),""))</f>
        <v/>
      </c>
      <c r="F1626" s="114" t="str">
        <f aca="false">IF($E1626="","",IF($B1626="Tema",INDEX(Temas!$B$6:$B$305,$C1626)&amp;"",INDEX(Avulsos!$C$6:$C$205,$C1626)&amp;""))</f>
        <v/>
      </c>
      <c r="G1626" s="114" t="str">
        <f aca="false">IF($E1626="","",IF($B1626="Tema",INDEX(Config!$C$6:$C$11,$D1626),"Evento avulso"))</f>
        <v/>
      </c>
      <c r="H1626" s="114" t="str">
        <f aca="false">IF($E1626="","",IF($B1626="Tema",INDEX(Config!$D$6:$D$11,$D1626),IFERROR(INDEX(Config!$E$15:$E$19,MATCH($I1626,Config!$C$15:$C$19,0)),"•")))</f>
        <v/>
      </c>
      <c r="I1626" s="114" t="str">
        <f aca="false">IF($E1626="","",IF($B1626="Tema",INDEX(Config!$E$6:$E$11,$D1626),IF(INDEX(Avulsos!$D$6:$D$205,$C1626)&amp;""="","Outro",INDEX(Avulsos!$D$6:$D$205,$C1626))))</f>
        <v/>
      </c>
      <c r="J1626" s="114" t="str">
        <f aca="false">IF($E1626="","",IF($B1626="Tema",INDEX(Temas!$C$6:$C$305,$C1626)&amp;"",INDEX(Avulsos!$E$6:$E$205,$C1626)&amp;""))</f>
        <v/>
      </c>
      <c r="K1626" s="114" t="str">
        <f aca="false">IF($E1626="","",IF(IF($B1626="Tema",INDEX(Temas!$E$6:$P$305,$C1626,2*$D1626),INDEX(Avulsos!$F$6:$F$205,$C1626))&amp;""="","","✓"))</f>
        <v/>
      </c>
      <c r="L1626" s="114" t="str">
        <f aca="true">IF($E1626="","",IF($K1626="✓","Concluído",IF($E1626&lt;TODAY(),"Atrasado",IF($E1626=TODAY(),"Hoje","Pendente"))))</f>
        <v/>
      </c>
      <c r="M1626" s="114" t="str">
        <f aca="false">IF($E1626="","",IF($K1626="✓","✓ ","")&amp;IF(Config!$E$22="Sim",$H1626&amp;" · ","")&amp;$F1626)</f>
        <v/>
      </c>
      <c r="N1626" s="114" t="str">
        <f aca="false">IF($E1626="","",IFERROR(INDEX(Config!$D$15:$D$19,MATCH($I1626,Config!$C$15:$C$19,0)),"OUT")&amp;IF($K1626="✓","x",""))</f>
        <v/>
      </c>
      <c r="O1626" s="114" t="str">
        <f aca="false">IF($E1626="","",COUNTIF($E$5:$E1626,$E1626))</f>
        <v/>
      </c>
      <c r="P1626" s="114" t="str">
        <f aca="false">IF($E1626="","",$E1626*100+$O1626)</f>
        <v/>
      </c>
      <c r="Q1626" s="114" t="str">
        <f aca="false">IF($L1626="Atrasado",$E1626*10000+$A1626,"")</f>
        <v/>
      </c>
    </row>
    <row r="1627" customFormat="false" ht="15" hidden="false" customHeight="false" outlineLevel="0" collapsed="false">
      <c r="A1627" s="114" t="n">
        <f aca="false">ROW()-4</f>
        <v>1623</v>
      </c>
      <c r="B1627" s="114" t="str">
        <f aca="false">IF(A1627&lt;=Config!$E$27*Config!$E$28,"Tema","Avulso")</f>
        <v>Tema</v>
      </c>
      <c r="C1627" s="114" t="n">
        <f aca="false">IF(B1627="Tema",INT((A1627-1)/Config!$E$28)+1,A1627-Config!$E$27*Config!$E$28)</f>
        <v>271</v>
      </c>
      <c r="D1627" s="114" t="n">
        <f aca="false">IF(B1627="Tema",MOD(A1627-1,Config!$E$28)+1,"")</f>
        <v>3</v>
      </c>
      <c r="E1627" s="115" t="str">
        <f aca="false">IF($B1627="Tema",IF(ISNUMBER(INDEX(Temas!$E$6:$P$305,$C1627,2*$D1627-1)),INDEX(Temas!$E$6:$P$305,$C1627,2*$D1627-1),""),IF(ISNUMBER(INDEX(Avulsos!$B$6:$B$205,$C1627)),INDEX(Avulsos!$B$6:$B$205,$C1627),""))</f>
        <v/>
      </c>
      <c r="F1627" s="114" t="str">
        <f aca="false">IF($E1627="","",IF($B1627="Tema",INDEX(Temas!$B$6:$B$305,$C1627)&amp;"",INDEX(Avulsos!$C$6:$C$205,$C1627)&amp;""))</f>
        <v/>
      </c>
      <c r="G1627" s="114" t="str">
        <f aca="false">IF($E1627="","",IF($B1627="Tema",INDEX(Config!$C$6:$C$11,$D1627),"Evento avulso"))</f>
        <v/>
      </c>
      <c r="H1627" s="114" t="str">
        <f aca="false">IF($E1627="","",IF($B1627="Tema",INDEX(Config!$D$6:$D$11,$D1627),IFERROR(INDEX(Config!$E$15:$E$19,MATCH($I1627,Config!$C$15:$C$19,0)),"•")))</f>
        <v/>
      </c>
      <c r="I1627" s="114" t="str">
        <f aca="false">IF($E1627="","",IF($B1627="Tema",INDEX(Config!$E$6:$E$11,$D1627),IF(INDEX(Avulsos!$D$6:$D$205,$C1627)&amp;""="","Outro",INDEX(Avulsos!$D$6:$D$205,$C1627))))</f>
        <v/>
      </c>
      <c r="J1627" s="114" t="str">
        <f aca="false">IF($E1627="","",IF($B1627="Tema",INDEX(Temas!$C$6:$C$305,$C1627)&amp;"",INDEX(Avulsos!$E$6:$E$205,$C1627)&amp;""))</f>
        <v/>
      </c>
      <c r="K1627" s="114" t="str">
        <f aca="false">IF($E1627="","",IF(IF($B1627="Tema",INDEX(Temas!$E$6:$P$305,$C1627,2*$D1627),INDEX(Avulsos!$F$6:$F$205,$C1627))&amp;""="","","✓"))</f>
        <v/>
      </c>
      <c r="L1627" s="114" t="str">
        <f aca="true">IF($E1627="","",IF($K1627="✓","Concluído",IF($E1627&lt;TODAY(),"Atrasado",IF($E1627=TODAY(),"Hoje","Pendente"))))</f>
        <v/>
      </c>
      <c r="M1627" s="114" t="str">
        <f aca="false">IF($E1627="","",IF($K1627="✓","✓ ","")&amp;IF(Config!$E$22="Sim",$H1627&amp;" · ","")&amp;$F1627)</f>
        <v/>
      </c>
      <c r="N1627" s="114" t="str">
        <f aca="false">IF($E1627="","",IFERROR(INDEX(Config!$D$15:$D$19,MATCH($I1627,Config!$C$15:$C$19,0)),"OUT")&amp;IF($K1627="✓","x",""))</f>
        <v/>
      </c>
      <c r="O1627" s="114" t="str">
        <f aca="false">IF($E1627="","",COUNTIF($E$5:$E1627,$E1627))</f>
        <v/>
      </c>
      <c r="P1627" s="114" t="str">
        <f aca="false">IF($E1627="","",$E1627*100+$O1627)</f>
        <v/>
      </c>
      <c r="Q1627" s="114" t="str">
        <f aca="false">IF($L1627="Atrasado",$E1627*10000+$A1627,"")</f>
        <v/>
      </c>
    </row>
    <row r="1628" customFormat="false" ht="15" hidden="false" customHeight="false" outlineLevel="0" collapsed="false">
      <c r="A1628" s="114" t="n">
        <f aca="false">ROW()-4</f>
        <v>1624</v>
      </c>
      <c r="B1628" s="114" t="str">
        <f aca="false">IF(A1628&lt;=Config!$E$27*Config!$E$28,"Tema","Avulso")</f>
        <v>Tema</v>
      </c>
      <c r="C1628" s="114" t="n">
        <f aca="false">IF(B1628="Tema",INT((A1628-1)/Config!$E$28)+1,A1628-Config!$E$27*Config!$E$28)</f>
        <v>271</v>
      </c>
      <c r="D1628" s="114" t="n">
        <f aca="false">IF(B1628="Tema",MOD(A1628-1,Config!$E$28)+1,"")</f>
        <v>4</v>
      </c>
      <c r="E1628" s="115" t="str">
        <f aca="false">IF($B1628="Tema",IF(ISNUMBER(INDEX(Temas!$E$6:$P$305,$C1628,2*$D1628-1)),INDEX(Temas!$E$6:$P$305,$C1628,2*$D1628-1),""),IF(ISNUMBER(INDEX(Avulsos!$B$6:$B$205,$C1628)),INDEX(Avulsos!$B$6:$B$205,$C1628),""))</f>
        <v/>
      </c>
      <c r="F1628" s="114" t="str">
        <f aca="false">IF($E1628="","",IF($B1628="Tema",INDEX(Temas!$B$6:$B$305,$C1628)&amp;"",INDEX(Avulsos!$C$6:$C$205,$C1628)&amp;""))</f>
        <v/>
      </c>
      <c r="G1628" s="114" t="str">
        <f aca="false">IF($E1628="","",IF($B1628="Tema",INDEX(Config!$C$6:$C$11,$D1628),"Evento avulso"))</f>
        <v/>
      </c>
      <c r="H1628" s="114" t="str">
        <f aca="false">IF($E1628="","",IF($B1628="Tema",INDEX(Config!$D$6:$D$11,$D1628),IFERROR(INDEX(Config!$E$15:$E$19,MATCH($I1628,Config!$C$15:$C$19,0)),"•")))</f>
        <v/>
      </c>
      <c r="I1628" s="114" t="str">
        <f aca="false">IF($E1628="","",IF($B1628="Tema",INDEX(Config!$E$6:$E$11,$D1628),IF(INDEX(Avulsos!$D$6:$D$205,$C1628)&amp;""="","Outro",INDEX(Avulsos!$D$6:$D$205,$C1628))))</f>
        <v/>
      </c>
      <c r="J1628" s="114" t="str">
        <f aca="false">IF($E1628="","",IF($B1628="Tema",INDEX(Temas!$C$6:$C$305,$C1628)&amp;"",INDEX(Avulsos!$E$6:$E$205,$C1628)&amp;""))</f>
        <v/>
      </c>
      <c r="K1628" s="114" t="str">
        <f aca="false">IF($E1628="","",IF(IF($B1628="Tema",INDEX(Temas!$E$6:$P$305,$C1628,2*$D1628),INDEX(Avulsos!$F$6:$F$205,$C1628))&amp;""="","","✓"))</f>
        <v/>
      </c>
      <c r="L1628" s="114" t="str">
        <f aca="true">IF($E1628="","",IF($K1628="✓","Concluído",IF($E1628&lt;TODAY(),"Atrasado",IF($E1628=TODAY(),"Hoje","Pendente"))))</f>
        <v/>
      </c>
      <c r="M1628" s="114" t="str">
        <f aca="false">IF($E1628="","",IF($K1628="✓","✓ ","")&amp;IF(Config!$E$22="Sim",$H1628&amp;" · ","")&amp;$F1628)</f>
        <v/>
      </c>
      <c r="N1628" s="114" t="str">
        <f aca="false">IF($E1628="","",IFERROR(INDEX(Config!$D$15:$D$19,MATCH($I1628,Config!$C$15:$C$19,0)),"OUT")&amp;IF($K1628="✓","x",""))</f>
        <v/>
      </c>
      <c r="O1628" s="114" t="str">
        <f aca="false">IF($E1628="","",COUNTIF($E$5:$E1628,$E1628))</f>
        <v/>
      </c>
      <c r="P1628" s="114" t="str">
        <f aca="false">IF($E1628="","",$E1628*100+$O1628)</f>
        <v/>
      </c>
      <c r="Q1628" s="114" t="str">
        <f aca="false">IF($L1628="Atrasado",$E1628*10000+$A1628,"")</f>
        <v/>
      </c>
    </row>
    <row r="1629" customFormat="false" ht="15" hidden="false" customHeight="false" outlineLevel="0" collapsed="false">
      <c r="A1629" s="114" t="n">
        <f aca="false">ROW()-4</f>
        <v>1625</v>
      </c>
      <c r="B1629" s="114" t="str">
        <f aca="false">IF(A1629&lt;=Config!$E$27*Config!$E$28,"Tema","Avulso")</f>
        <v>Tema</v>
      </c>
      <c r="C1629" s="114" t="n">
        <f aca="false">IF(B1629="Tema",INT((A1629-1)/Config!$E$28)+1,A1629-Config!$E$27*Config!$E$28)</f>
        <v>271</v>
      </c>
      <c r="D1629" s="114" t="n">
        <f aca="false">IF(B1629="Tema",MOD(A1629-1,Config!$E$28)+1,"")</f>
        <v>5</v>
      </c>
      <c r="E1629" s="115" t="str">
        <f aca="false">IF($B1629="Tema",IF(ISNUMBER(INDEX(Temas!$E$6:$P$305,$C1629,2*$D1629-1)),INDEX(Temas!$E$6:$P$305,$C1629,2*$D1629-1),""),IF(ISNUMBER(INDEX(Avulsos!$B$6:$B$205,$C1629)),INDEX(Avulsos!$B$6:$B$205,$C1629),""))</f>
        <v/>
      </c>
      <c r="F1629" s="114" t="str">
        <f aca="false">IF($E1629="","",IF($B1629="Tema",INDEX(Temas!$B$6:$B$305,$C1629)&amp;"",INDEX(Avulsos!$C$6:$C$205,$C1629)&amp;""))</f>
        <v/>
      </c>
      <c r="G1629" s="114" t="str">
        <f aca="false">IF($E1629="","",IF($B1629="Tema",INDEX(Config!$C$6:$C$11,$D1629),"Evento avulso"))</f>
        <v/>
      </c>
      <c r="H1629" s="114" t="str">
        <f aca="false">IF($E1629="","",IF($B1629="Tema",INDEX(Config!$D$6:$D$11,$D1629),IFERROR(INDEX(Config!$E$15:$E$19,MATCH($I1629,Config!$C$15:$C$19,0)),"•")))</f>
        <v/>
      </c>
      <c r="I1629" s="114" t="str">
        <f aca="false">IF($E1629="","",IF($B1629="Tema",INDEX(Config!$E$6:$E$11,$D1629),IF(INDEX(Avulsos!$D$6:$D$205,$C1629)&amp;""="","Outro",INDEX(Avulsos!$D$6:$D$205,$C1629))))</f>
        <v/>
      </c>
      <c r="J1629" s="114" t="str">
        <f aca="false">IF($E1629="","",IF($B1629="Tema",INDEX(Temas!$C$6:$C$305,$C1629)&amp;"",INDEX(Avulsos!$E$6:$E$205,$C1629)&amp;""))</f>
        <v/>
      </c>
      <c r="K1629" s="114" t="str">
        <f aca="false">IF($E1629="","",IF(IF($B1629="Tema",INDEX(Temas!$E$6:$P$305,$C1629,2*$D1629),INDEX(Avulsos!$F$6:$F$205,$C1629))&amp;""="","","✓"))</f>
        <v/>
      </c>
      <c r="L1629" s="114" t="str">
        <f aca="true">IF($E1629="","",IF($K1629="✓","Concluído",IF($E1629&lt;TODAY(),"Atrasado",IF($E1629=TODAY(),"Hoje","Pendente"))))</f>
        <v/>
      </c>
      <c r="M1629" s="114" t="str">
        <f aca="false">IF($E1629="","",IF($K1629="✓","✓ ","")&amp;IF(Config!$E$22="Sim",$H1629&amp;" · ","")&amp;$F1629)</f>
        <v/>
      </c>
      <c r="N1629" s="114" t="str">
        <f aca="false">IF($E1629="","",IFERROR(INDEX(Config!$D$15:$D$19,MATCH($I1629,Config!$C$15:$C$19,0)),"OUT")&amp;IF($K1629="✓","x",""))</f>
        <v/>
      </c>
      <c r="O1629" s="114" t="str">
        <f aca="false">IF($E1629="","",COUNTIF($E$5:$E1629,$E1629))</f>
        <v/>
      </c>
      <c r="P1629" s="114" t="str">
        <f aca="false">IF($E1629="","",$E1629*100+$O1629)</f>
        <v/>
      </c>
      <c r="Q1629" s="114" t="str">
        <f aca="false">IF($L1629="Atrasado",$E1629*10000+$A1629,"")</f>
        <v/>
      </c>
    </row>
    <row r="1630" customFormat="false" ht="15" hidden="false" customHeight="false" outlineLevel="0" collapsed="false">
      <c r="A1630" s="114" t="n">
        <f aca="false">ROW()-4</f>
        <v>1626</v>
      </c>
      <c r="B1630" s="114" t="str">
        <f aca="false">IF(A1630&lt;=Config!$E$27*Config!$E$28,"Tema","Avulso")</f>
        <v>Tema</v>
      </c>
      <c r="C1630" s="114" t="n">
        <f aca="false">IF(B1630="Tema",INT((A1630-1)/Config!$E$28)+1,A1630-Config!$E$27*Config!$E$28)</f>
        <v>271</v>
      </c>
      <c r="D1630" s="114" t="n">
        <f aca="false">IF(B1630="Tema",MOD(A1630-1,Config!$E$28)+1,"")</f>
        <v>6</v>
      </c>
      <c r="E1630" s="115" t="str">
        <f aca="false">IF($B1630="Tema",IF(ISNUMBER(INDEX(Temas!$E$6:$P$305,$C1630,2*$D1630-1)),INDEX(Temas!$E$6:$P$305,$C1630,2*$D1630-1),""),IF(ISNUMBER(INDEX(Avulsos!$B$6:$B$205,$C1630)),INDEX(Avulsos!$B$6:$B$205,$C1630),""))</f>
        <v/>
      </c>
      <c r="F1630" s="114" t="str">
        <f aca="false">IF($E1630="","",IF($B1630="Tema",INDEX(Temas!$B$6:$B$305,$C1630)&amp;"",INDEX(Avulsos!$C$6:$C$205,$C1630)&amp;""))</f>
        <v/>
      </c>
      <c r="G1630" s="114" t="str">
        <f aca="false">IF($E1630="","",IF($B1630="Tema",INDEX(Config!$C$6:$C$11,$D1630),"Evento avulso"))</f>
        <v/>
      </c>
      <c r="H1630" s="114" t="str">
        <f aca="false">IF($E1630="","",IF($B1630="Tema",INDEX(Config!$D$6:$D$11,$D1630),IFERROR(INDEX(Config!$E$15:$E$19,MATCH($I1630,Config!$C$15:$C$19,0)),"•")))</f>
        <v/>
      </c>
      <c r="I1630" s="114" t="str">
        <f aca="false">IF($E1630="","",IF($B1630="Tema",INDEX(Config!$E$6:$E$11,$D1630),IF(INDEX(Avulsos!$D$6:$D$205,$C1630)&amp;""="","Outro",INDEX(Avulsos!$D$6:$D$205,$C1630))))</f>
        <v/>
      </c>
      <c r="J1630" s="114" t="str">
        <f aca="false">IF($E1630="","",IF($B1630="Tema",INDEX(Temas!$C$6:$C$305,$C1630)&amp;"",INDEX(Avulsos!$E$6:$E$205,$C1630)&amp;""))</f>
        <v/>
      </c>
      <c r="K1630" s="114" t="str">
        <f aca="false">IF($E1630="","",IF(IF($B1630="Tema",INDEX(Temas!$E$6:$P$305,$C1630,2*$D1630),INDEX(Avulsos!$F$6:$F$205,$C1630))&amp;""="","","✓"))</f>
        <v/>
      </c>
      <c r="L1630" s="114" t="str">
        <f aca="true">IF($E1630="","",IF($K1630="✓","Concluído",IF($E1630&lt;TODAY(),"Atrasado",IF($E1630=TODAY(),"Hoje","Pendente"))))</f>
        <v/>
      </c>
      <c r="M1630" s="114" t="str">
        <f aca="false">IF($E1630="","",IF($K1630="✓","✓ ","")&amp;IF(Config!$E$22="Sim",$H1630&amp;" · ","")&amp;$F1630)</f>
        <v/>
      </c>
      <c r="N1630" s="114" t="str">
        <f aca="false">IF($E1630="","",IFERROR(INDEX(Config!$D$15:$D$19,MATCH($I1630,Config!$C$15:$C$19,0)),"OUT")&amp;IF($K1630="✓","x",""))</f>
        <v/>
      </c>
      <c r="O1630" s="114" t="str">
        <f aca="false">IF($E1630="","",COUNTIF($E$5:$E1630,$E1630))</f>
        <v/>
      </c>
      <c r="P1630" s="114" t="str">
        <f aca="false">IF($E1630="","",$E1630*100+$O1630)</f>
        <v/>
      </c>
      <c r="Q1630" s="114" t="str">
        <f aca="false">IF($L1630="Atrasado",$E1630*10000+$A1630,"")</f>
        <v/>
      </c>
    </row>
    <row r="1631" customFormat="false" ht="15" hidden="false" customHeight="false" outlineLevel="0" collapsed="false">
      <c r="A1631" s="114" t="n">
        <f aca="false">ROW()-4</f>
        <v>1627</v>
      </c>
      <c r="B1631" s="114" t="str">
        <f aca="false">IF(A1631&lt;=Config!$E$27*Config!$E$28,"Tema","Avulso")</f>
        <v>Tema</v>
      </c>
      <c r="C1631" s="114" t="n">
        <f aca="false">IF(B1631="Tema",INT((A1631-1)/Config!$E$28)+1,A1631-Config!$E$27*Config!$E$28)</f>
        <v>272</v>
      </c>
      <c r="D1631" s="114" t="n">
        <f aca="false">IF(B1631="Tema",MOD(A1631-1,Config!$E$28)+1,"")</f>
        <v>1</v>
      </c>
      <c r="E1631" s="115" t="str">
        <f aca="false">IF($B1631="Tema",IF(ISNUMBER(INDEX(Temas!$E$6:$P$305,$C1631,2*$D1631-1)),INDEX(Temas!$E$6:$P$305,$C1631,2*$D1631-1),""),IF(ISNUMBER(INDEX(Avulsos!$B$6:$B$205,$C1631)),INDEX(Avulsos!$B$6:$B$205,$C1631),""))</f>
        <v/>
      </c>
      <c r="F1631" s="114" t="str">
        <f aca="false">IF($E1631="","",IF($B1631="Tema",INDEX(Temas!$B$6:$B$305,$C1631)&amp;"",INDEX(Avulsos!$C$6:$C$205,$C1631)&amp;""))</f>
        <v/>
      </c>
      <c r="G1631" s="114" t="str">
        <f aca="false">IF($E1631="","",IF($B1631="Tema",INDEX(Config!$C$6:$C$11,$D1631),"Evento avulso"))</f>
        <v/>
      </c>
      <c r="H1631" s="114" t="str">
        <f aca="false">IF($E1631="","",IF($B1631="Tema",INDEX(Config!$D$6:$D$11,$D1631),IFERROR(INDEX(Config!$E$15:$E$19,MATCH($I1631,Config!$C$15:$C$19,0)),"•")))</f>
        <v/>
      </c>
      <c r="I1631" s="114" t="str">
        <f aca="false">IF($E1631="","",IF($B1631="Tema",INDEX(Config!$E$6:$E$11,$D1631),IF(INDEX(Avulsos!$D$6:$D$205,$C1631)&amp;""="","Outro",INDEX(Avulsos!$D$6:$D$205,$C1631))))</f>
        <v/>
      </c>
      <c r="J1631" s="114" t="str">
        <f aca="false">IF($E1631="","",IF($B1631="Tema",INDEX(Temas!$C$6:$C$305,$C1631)&amp;"",INDEX(Avulsos!$E$6:$E$205,$C1631)&amp;""))</f>
        <v/>
      </c>
      <c r="K1631" s="114" t="str">
        <f aca="false">IF($E1631="","",IF(IF($B1631="Tema",INDEX(Temas!$E$6:$P$305,$C1631,2*$D1631),INDEX(Avulsos!$F$6:$F$205,$C1631))&amp;""="","","✓"))</f>
        <v/>
      </c>
      <c r="L1631" s="114" t="str">
        <f aca="true">IF($E1631="","",IF($K1631="✓","Concluído",IF($E1631&lt;TODAY(),"Atrasado",IF($E1631=TODAY(),"Hoje","Pendente"))))</f>
        <v/>
      </c>
      <c r="M1631" s="114" t="str">
        <f aca="false">IF($E1631="","",IF($K1631="✓","✓ ","")&amp;IF(Config!$E$22="Sim",$H1631&amp;" · ","")&amp;$F1631)</f>
        <v/>
      </c>
      <c r="N1631" s="114" t="str">
        <f aca="false">IF($E1631="","",IFERROR(INDEX(Config!$D$15:$D$19,MATCH($I1631,Config!$C$15:$C$19,0)),"OUT")&amp;IF($K1631="✓","x",""))</f>
        <v/>
      </c>
      <c r="O1631" s="114" t="str">
        <f aca="false">IF($E1631="","",COUNTIF($E$5:$E1631,$E1631))</f>
        <v/>
      </c>
      <c r="P1631" s="114" t="str">
        <f aca="false">IF($E1631="","",$E1631*100+$O1631)</f>
        <v/>
      </c>
      <c r="Q1631" s="114" t="str">
        <f aca="false">IF($L1631="Atrasado",$E1631*10000+$A1631,"")</f>
        <v/>
      </c>
    </row>
    <row r="1632" customFormat="false" ht="15" hidden="false" customHeight="false" outlineLevel="0" collapsed="false">
      <c r="A1632" s="114" t="n">
        <f aca="false">ROW()-4</f>
        <v>1628</v>
      </c>
      <c r="B1632" s="114" t="str">
        <f aca="false">IF(A1632&lt;=Config!$E$27*Config!$E$28,"Tema","Avulso")</f>
        <v>Tema</v>
      </c>
      <c r="C1632" s="114" t="n">
        <f aca="false">IF(B1632="Tema",INT((A1632-1)/Config!$E$28)+1,A1632-Config!$E$27*Config!$E$28)</f>
        <v>272</v>
      </c>
      <c r="D1632" s="114" t="n">
        <f aca="false">IF(B1632="Tema",MOD(A1632-1,Config!$E$28)+1,"")</f>
        <v>2</v>
      </c>
      <c r="E1632" s="115" t="str">
        <f aca="false">IF($B1632="Tema",IF(ISNUMBER(INDEX(Temas!$E$6:$P$305,$C1632,2*$D1632-1)),INDEX(Temas!$E$6:$P$305,$C1632,2*$D1632-1),""),IF(ISNUMBER(INDEX(Avulsos!$B$6:$B$205,$C1632)),INDEX(Avulsos!$B$6:$B$205,$C1632),""))</f>
        <v/>
      </c>
      <c r="F1632" s="114" t="str">
        <f aca="false">IF($E1632="","",IF($B1632="Tema",INDEX(Temas!$B$6:$B$305,$C1632)&amp;"",INDEX(Avulsos!$C$6:$C$205,$C1632)&amp;""))</f>
        <v/>
      </c>
      <c r="G1632" s="114" t="str">
        <f aca="false">IF($E1632="","",IF($B1632="Tema",INDEX(Config!$C$6:$C$11,$D1632),"Evento avulso"))</f>
        <v/>
      </c>
      <c r="H1632" s="114" t="str">
        <f aca="false">IF($E1632="","",IF($B1632="Tema",INDEX(Config!$D$6:$D$11,$D1632),IFERROR(INDEX(Config!$E$15:$E$19,MATCH($I1632,Config!$C$15:$C$19,0)),"•")))</f>
        <v/>
      </c>
      <c r="I1632" s="114" t="str">
        <f aca="false">IF($E1632="","",IF($B1632="Tema",INDEX(Config!$E$6:$E$11,$D1632),IF(INDEX(Avulsos!$D$6:$D$205,$C1632)&amp;""="","Outro",INDEX(Avulsos!$D$6:$D$205,$C1632))))</f>
        <v/>
      </c>
      <c r="J1632" s="114" t="str">
        <f aca="false">IF($E1632="","",IF($B1632="Tema",INDEX(Temas!$C$6:$C$305,$C1632)&amp;"",INDEX(Avulsos!$E$6:$E$205,$C1632)&amp;""))</f>
        <v/>
      </c>
      <c r="K1632" s="114" t="str">
        <f aca="false">IF($E1632="","",IF(IF($B1632="Tema",INDEX(Temas!$E$6:$P$305,$C1632,2*$D1632),INDEX(Avulsos!$F$6:$F$205,$C1632))&amp;""="","","✓"))</f>
        <v/>
      </c>
      <c r="L1632" s="114" t="str">
        <f aca="true">IF($E1632="","",IF($K1632="✓","Concluído",IF($E1632&lt;TODAY(),"Atrasado",IF($E1632=TODAY(),"Hoje","Pendente"))))</f>
        <v/>
      </c>
      <c r="M1632" s="114" t="str">
        <f aca="false">IF($E1632="","",IF($K1632="✓","✓ ","")&amp;IF(Config!$E$22="Sim",$H1632&amp;" · ","")&amp;$F1632)</f>
        <v/>
      </c>
      <c r="N1632" s="114" t="str">
        <f aca="false">IF($E1632="","",IFERROR(INDEX(Config!$D$15:$D$19,MATCH($I1632,Config!$C$15:$C$19,0)),"OUT")&amp;IF($K1632="✓","x",""))</f>
        <v/>
      </c>
      <c r="O1632" s="114" t="str">
        <f aca="false">IF($E1632="","",COUNTIF($E$5:$E1632,$E1632))</f>
        <v/>
      </c>
      <c r="P1632" s="114" t="str">
        <f aca="false">IF($E1632="","",$E1632*100+$O1632)</f>
        <v/>
      </c>
      <c r="Q1632" s="114" t="str">
        <f aca="false">IF($L1632="Atrasado",$E1632*10000+$A1632,"")</f>
        <v/>
      </c>
    </row>
    <row r="1633" customFormat="false" ht="15" hidden="false" customHeight="false" outlineLevel="0" collapsed="false">
      <c r="A1633" s="114" t="n">
        <f aca="false">ROW()-4</f>
        <v>1629</v>
      </c>
      <c r="B1633" s="114" t="str">
        <f aca="false">IF(A1633&lt;=Config!$E$27*Config!$E$28,"Tema","Avulso")</f>
        <v>Tema</v>
      </c>
      <c r="C1633" s="114" t="n">
        <f aca="false">IF(B1633="Tema",INT((A1633-1)/Config!$E$28)+1,A1633-Config!$E$27*Config!$E$28)</f>
        <v>272</v>
      </c>
      <c r="D1633" s="114" t="n">
        <f aca="false">IF(B1633="Tema",MOD(A1633-1,Config!$E$28)+1,"")</f>
        <v>3</v>
      </c>
      <c r="E1633" s="115" t="str">
        <f aca="false">IF($B1633="Tema",IF(ISNUMBER(INDEX(Temas!$E$6:$P$305,$C1633,2*$D1633-1)),INDEX(Temas!$E$6:$P$305,$C1633,2*$D1633-1),""),IF(ISNUMBER(INDEX(Avulsos!$B$6:$B$205,$C1633)),INDEX(Avulsos!$B$6:$B$205,$C1633),""))</f>
        <v/>
      </c>
      <c r="F1633" s="114" t="str">
        <f aca="false">IF($E1633="","",IF($B1633="Tema",INDEX(Temas!$B$6:$B$305,$C1633)&amp;"",INDEX(Avulsos!$C$6:$C$205,$C1633)&amp;""))</f>
        <v/>
      </c>
      <c r="G1633" s="114" t="str">
        <f aca="false">IF($E1633="","",IF($B1633="Tema",INDEX(Config!$C$6:$C$11,$D1633),"Evento avulso"))</f>
        <v/>
      </c>
      <c r="H1633" s="114" t="str">
        <f aca="false">IF($E1633="","",IF($B1633="Tema",INDEX(Config!$D$6:$D$11,$D1633),IFERROR(INDEX(Config!$E$15:$E$19,MATCH($I1633,Config!$C$15:$C$19,0)),"•")))</f>
        <v/>
      </c>
      <c r="I1633" s="114" t="str">
        <f aca="false">IF($E1633="","",IF($B1633="Tema",INDEX(Config!$E$6:$E$11,$D1633),IF(INDEX(Avulsos!$D$6:$D$205,$C1633)&amp;""="","Outro",INDEX(Avulsos!$D$6:$D$205,$C1633))))</f>
        <v/>
      </c>
      <c r="J1633" s="114" t="str">
        <f aca="false">IF($E1633="","",IF($B1633="Tema",INDEX(Temas!$C$6:$C$305,$C1633)&amp;"",INDEX(Avulsos!$E$6:$E$205,$C1633)&amp;""))</f>
        <v/>
      </c>
      <c r="K1633" s="114" t="str">
        <f aca="false">IF($E1633="","",IF(IF($B1633="Tema",INDEX(Temas!$E$6:$P$305,$C1633,2*$D1633),INDEX(Avulsos!$F$6:$F$205,$C1633))&amp;""="","","✓"))</f>
        <v/>
      </c>
      <c r="L1633" s="114" t="str">
        <f aca="true">IF($E1633="","",IF($K1633="✓","Concluído",IF($E1633&lt;TODAY(),"Atrasado",IF($E1633=TODAY(),"Hoje","Pendente"))))</f>
        <v/>
      </c>
      <c r="M1633" s="114" t="str">
        <f aca="false">IF($E1633="","",IF($K1633="✓","✓ ","")&amp;IF(Config!$E$22="Sim",$H1633&amp;" · ","")&amp;$F1633)</f>
        <v/>
      </c>
      <c r="N1633" s="114" t="str">
        <f aca="false">IF($E1633="","",IFERROR(INDEX(Config!$D$15:$D$19,MATCH($I1633,Config!$C$15:$C$19,0)),"OUT")&amp;IF($K1633="✓","x",""))</f>
        <v/>
      </c>
      <c r="O1633" s="114" t="str">
        <f aca="false">IF($E1633="","",COUNTIF($E$5:$E1633,$E1633))</f>
        <v/>
      </c>
      <c r="P1633" s="114" t="str">
        <f aca="false">IF($E1633="","",$E1633*100+$O1633)</f>
        <v/>
      </c>
      <c r="Q1633" s="114" t="str">
        <f aca="false">IF($L1633="Atrasado",$E1633*10000+$A1633,"")</f>
        <v/>
      </c>
    </row>
    <row r="1634" customFormat="false" ht="15" hidden="false" customHeight="false" outlineLevel="0" collapsed="false">
      <c r="A1634" s="114" t="n">
        <f aca="false">ROW()-4</f>
        <v>1630</v>
      </c>
      <c r="B1634" s="114" t="str">
        <f aca="false">IF(A1634&lt;=Config!$E$27*Config!$E$28,"Tema","Avulso")</f>
        <v>Tema</v>
      </c>
      <c r="C1634" s="114" t="n">
        <f aca="false">IF(B1634="Tema",INT((A1634-1)/Config!$E$28)+1,A1634-Config!$E$27*Config!$E$28)</f>
        <v>272</v>
      </c>
      <c r="D1634" s="114" t="n">
        <f aca="false">IF(B1634="Tema",MOD(A1634-1,Config!$E$28)+1,"")</f>
        <v>4</v>
      </c>
      <c r="E1634" s="115" t="str">
        <f aca="false">IF($B1634="Tema",IF(ISNUMBER(INDEX(Temas!$E$6:$P$305,$C1634,2*$D1634-1)),INDEX(Temas!$E$6:$P$305,$C1634,2*$D1634-1),""),IF(ISNUMBER(INDEX(Avulsos!$B$6:$B$205,$C1634)),INDEX(Avulsos!$B$6:$B$205,$C1634),""))</f>
        <v/>
      </c>
      <c r="F1634" s="114" t="str">
        <f aca="false">IF($E1634="","",IF($B1634="Tema",INDEX(Temas!$B$6:$B$305,$C1634)&amp;"",INDEX(Avulsos!$C$6:$C$205,$C1634)&amp;""))</f>
        <v/>
      </c>
      <c r="G1634" s="114" t="str">
        <f aca="false">IF($E1634="","",IF($B1634="Tema",INDEX(Config!$C$6:$C$11,$D1634),"Evento avulso"))</f>
        <v/>
      </c>
      <c r="H1634" s="114" t="str">
        <f aca="false">IF($E1634="","",IF($B1634="Tema",INDEX(Config!$D$6:$D$11,$D1634),IFERROR(INDEX(Config!$E$15:$E$19,MATCH($I1634,Config!$C$15:$C$19,0)),"•")))</f>
        <v/>
      </c>
      <c r="I1634" s="114" t="str">
        <f aca="false">IF($E1634="","",IF($B1634="Tema",INDEX(Config!$E$6:$E$11,$D1634),IF(INDEX(Avulsos!$D$6:$D$205,$C1634)&amp;""="","Outro",INDEX(Avulsos!$D$6:$D$205,$C1634))))</f>
        <v/>
      </c>
      <c r="J1634" s="114" t="str">
        <f aca="false">IF($E1634="","",IF($B1634="Tema",INDEX(Temas!$C$6:$C$305,$C1634)&amp;"",INDEX(Avulsos!$E$6:$E$205,$C1634)&amp;""))</f>
        <v/>
      </c>
      <c r="K1634" s="114" t="str">
        <f aca="false">IF($E1634="","",IF(IF($B1634="Tema",INDEX(Temas!$E$6:$P$305,$C1634,2*$D1634),INDEX(Avulsos!$F$6:$F$205,$C1634))&amp;""="","","✓"))</f>
        <v/>
      </c>
      <c r="L1634" s="114" t="str">
        <f aca="true">IF($E1634="","",IF($K1634="✓","Concluído",IF($E1634&lt;TODAY(),"Atrasado",IF($E1634=TODAY(),"Hoje","Pendente"))))</f>
        <v/>
      </c>
      <c r="M1634" s="114" t="str">
        <f aca="false">IF($E1634="","",IF($K1634="✓","✓ ","")&amp;IF(Config!$E$22="Sim",$H1634&amp;" · ","")&amp;$F1634)</f>
        <v/>
      </c>
      <c r="N1634" s="114" t="str">
        <f aca="false">IF($E1634="","",IFERROR(INDEX(Config!$D$15:$D$19,MATCH($I1634,Config!$C$15:$C$19,0)),"OUT")&amp;IF($K1634="✓","x",""))</f>
        <v/>
      </c>
      <c r="O1634" s="114" t="str">
        <f aca="false">IF($E1634="","",COUNTIF($E$5:$E1634,$E1634))</f>
        <v/>
      </c>
      <c r="P1634" s="114" t="str">
        <f aca="false">IF($E1634="","",$E1634*100+$O1634)</f>
        <v/>
      </c>
      <c r="Q1634" s="114" t="str">
        <f aca="false">IF($L1634="Atrasado",$E1634*10000+$A1634,"")</f>
        <v/>
      </c>
    </row>
    <row r="1635" customFormat="false" ht="15" hidden="false" customHeight="false" outlineLevel="0" collapsed="false">
      <c r="A1635" s="114" t="n">
        <f aca="false">ROW()-4</f>
        <v>1631</v>
      </c>
      <c r="B1635" s="114" t="str">
        <f aca="false">IF(A1635&lt;=Config!$E$27*Config!$E$28,"Tema","Avulso")</f>
        <v>Tema</v>
      </c>
      <c r="C1635" s="114" t="n">
        <f aca="false">IF(B1635="Tema",INT((A1635-1)/Config!$E$28)+1,A1635-Config!$E$27*Config!$E$28)</f>
        <v>272</v>
      </c>
      <c r="D1635" s="114" t="n">
        <f aca="false">IF(B1635="Tema",MOD(A1635-1,Config!$E$28)+1,"")</f>
        <v>5</v>
      </c>
      <c r="E1635" s="115" t="str">
        <f aca="false">IF($B1635="Tema",IF(ISNUMBER(INDEX(Temas!$E$6:$P$305,$C1635,2*$D1635-1)),INDEX(Temas!$E$6:$P$305,$C1635,2*$D1635-1),""),IF(ISNUMBER(INDEX(Avulsos!$B$6:$B$205,$C1635)),INDEX(Avulsos!$B$6:$B$205,$C1635),""))</f>
        <v/>
      </c>
      <c r="F1635" s="114" t="str">
        <f aca="false">IF($E1635="","",IF($B1635="Tema",INDEX(Temas!$B$6:$B$305,$C1635)&amp;"",INDEX(Avulsos!$C$6:$C$205,$C1635)&amp;""))</f>
        <v/>
      </c>
      <c r="G1635" s="114" t="str">
        <f aca="false">IF($E1635="","",IF($B1635="Tema",INDEX(Config!$C$6:$C$11,$D1635),"Evento avulso"))</f>
        <v/>
      </c>
      <c r="H1635" s="114" t="str">
        <f aca="false">IF($E1635="","",IF($B1635="Tema",INDEX(Config!$D$6:$D$11,$D1635),IFERROR(INDEX(Config!$E$15:$E$19,MATCH($I1635,Config!$C$15:$C$19,0)),"•")))</f>
        <v/>
      </c>
      <c r="I1635" s="114" t="str">
        <f aca="false">IF($E1635="","",IF($B1635="Tema",INDEX(Config!$E$6:$E$11,$D1635),IF(INDEX(Avulsos!$D$6:$D$205,$C1635)&amp;""="","Outro",INDEX(Avulsos!$D$6:$D$205,$C1635))))</f>
        <v/>
      </c>
      <c r="J1635" s="114" t="str">
        <f aca="false">IF($E1635="","",IF($B1635="Tema",INDEX(Temas!$C$6:$C$305,$C1635)&amp;"",INDEX(Avulsos!$E$6:$E$205,$C1635)&amp;""))</f>
        <v/>
      </c>
      <c r="K1635" s="114" t="str">
        <f aca="false">IF($E1635="","",IF(IF($B1635="Tema",INDEX(Temas!$E$6:$P$305,$C1635,2*$D1635),INDEX(Avulsos!$F$6:$F$205,$C1635))&amp;""="","","✓"))</f>
        <v/>
      </c>
      <c r="L1635" s="114" t="str">
        <f aca="true">IF($E1635="","",IF($K1635="✓","Concluído",IF($E1635&lt;TODAY(),"Atrasado",IF($E1635=TODAY(),"Hoje","Pendente"))))</f>
        <v/>
      </c>
      <c r="M1635" s="114" t="str">
        <f aca="false">IF($E1635="","",IF($K1635="✓","✓ ","")&amp;IF(Config!$E$22="Sim",$H1635&amp;" · ","")&amp;$F1635)</f>
        <v/>
      </c>
      <c r="N1635" s="114" t="str">
        <f aca="false">IF($E1635="","",IFERROR(INDEX(Config!$D$15:$D$19,MATCH($I1635,Config!$C$15:$C$19,0)),"OUT")&amp;IF($K1635="✓","x",""))</f>
        <v/>
      </c>
      <c r="O1635" s="114" t="str">
        <f aca="false">IF($E1635="","",COUNTIF($E$5:$E1635,$E1635))</f>
        <v/>
      </c>
      <c r="P1635" s="114" t="str">
        <f aca="false">IF($E1635="","",$E1635*100+$O1635)</f>
        <v/>
      </c>
      <c r="Q1635" s="114" t="str">
        <f aca="false">IF($L1635="Atrasado",$E1635*10000+$A1635,"")</f>
        <v/>
      </c>
    </row>
    <row r="1636" customFormat="false" ht="15" hidden="false" customHeight="false" outlineLevel="0" collapsed="false">
      <c r="A1636" s="114" t="n">
        <f aca="false">ROW()-4</f>
        <v>1632</v>
      </c>
      <c r="B1636" s="114" t="str">
        <f aca="false">IF(A1636&lt;=Config!$E$27*Config!$E$28,"Tema","Avulso")</f>
        <v>Tema</v>
      </c>
      <c r="C1636" s="114" t="n">
        <f aca="false">IF(B1636="Tema",INT((A1636-1)/Config!$E$28)+1,A1636-Config!$E$27*Config!$E$28)</f>
        <v>272</v>
      </c>
      <c r="D1636" s="114" t="n">
        <f aca="false">IF(B1636="Tema",MOD(A1636-1,Config!$E$28)+1,"")</f>
        <v>6</v>
      </c>
      <c r="E1636" s="115" t="str">
        <f aca="false">IF($B1636="Tema",IF(ISNUMBER(INDEX(Temas!$E$6:$P$305,$C1636,2*$D1636-1)),INDEX(Temas!$E$6:$P$305,$C1636,2*$D1636-1),""),IF(ISNUMBER(INDEX(Avulsos!$B$6:$B$205,$C1636)),INDEX(Avulsos!$B$6:$B$205,$C1636),""))</f>
        <v/>
      </c>
      <c r="F1636" s="114" t="str">
        <f aca="false">IF($E1636="","",IF($B1636="Tema",INDEX(Temas!$B$6:$B$305,$C1636)&amp;"",INDEX(Avulsos!$C$6:$C$205,$C1636)&amp;""))</f>
        <v/>
      </c>
      <c r="G1636" s="114" t="str">
        <f aca="false">IF($E1636="","",IF($B1636="Tema",INDEX(Config!$C$6:$C$11,$D1636),"Evento avulso"))</f>
        <v/>
      </c>
      <c r="H1636" s="114" t="str">
        <f aca="false">IF($E1636="","",IF($B1636="Tema",INDEX(Config!$D$6:$D$11,$D1636),IFERROR(INDEX(Config!$E$15:$E$19,MATCH($I1636,Config!$C$15:$C$19,0)),"•")))</f>
        <v/>
      </c>
      <c r="I1636" s="114" t="str">
        <f aca="false">IF($E1636="","",IF($B1636="Tema",INDEX(Config!$E$6:$E$11,$D1636),IF(INDEX(Avulsos!$D$6:$D$205,$C1636)&amp;""="","Outro",INDEX(Avulsos!$D$6:$D$205,$C1636))))</f>
        <v/>
      </c>
      <c r="J1636" s="114" t="str">
        <f aca="false">IF($E1636="","",IF($B1636="Tema",INDEX(Temas!$C$6:$C$305,$C1636)&amp;"",INDEX(Avulsos!$E$6:$E$205,$C1636)&amp;""))</f>
        <v/>
      </c>
      <c r="K1636" s="114" t="str">
        <f aca="false">IF($E1636="","",IF(IF($B1636="Tema",INDEX(Temas!$E$6:$P$305,$C1636,2*$D1636),INDEX(Avulsos!$F$6:$F$205,$C1636))&amp;""="","","✓"))</f>
        <v/>
      </c>
      <c r="L1636" s="114" t="str">
        <f aca="true">IF($E1636="","",IF($K1636="✓","Concluído",IF($E1636&lt;TODAY(),"Atrasado",IF($E1636=TODAY(),"Hoje","Pendente"))))</f>
        <v/>
      </c>
      <c r="M1636" s="114" t="str">
        <f aca="false">IF($E1636="","",IF($K1636="✓","✓ ","")&amp;IF(Config!$E$22="Sim",$H1636&amp;" · ","")&amp;$F1636)</f>
        <v/>
      </c>
      <c r="N1636" s="114" t="str">
        <f aca="false">IF($E1636="","",IFERROR(INDEX(Config!$D$15:$D$19,MATCH($I1636,Config!$C$15:$C$19,0)),"OUT")&amp;IF($K1636="✓","x",""))</f>
        <v/>
      </c>
      <c r="O1636" s="114" t="str">
        <f aca="false">IF($E1636="","",COUNTIF($E$5:$E1636,$E1636))</f>
        <v/>
      </c>
      <c r="P1636" s="114" t="str">
        <f aca="false">IF($E1636="","",$E1636*100+$O1636)</f>
        <v/>
      </c>
      <c r="Q1636" s="114" t="str">
        <f aca="false">IF($L1636="Atrasado",$E1636*10000+$A1636,"")</f>
        <v/>
      </c>
    </row>
    <row r="1637" customFormat="false" ht="15" hidden="false" customHeight="false" outlineLevel="0" collapsed="false">
      <c r="A1637" s="114" t="n">
        <f aca="false">ROW()-4</f>
        <v>1633</v>
      </c>
      <c r="B1637" s="114" t="str">
        <f aca="false">IF(A1637&lt;=Config!$E$27*Config!$E$28,"Tema","Avulso")</f>
        <v>Tema</v>
      </c>
      <c r="C1637" s="114" t="n">
        <f aca="false">IF(B1637="Tema",INT((A1637-1)/Config!$E$28)+1,A1637-Config!$E$27*Config!$E$28)</f>
        <v>273</v>
      </c>
      <c r="D1637" s="114" t="n">
        <f aca="false">IF(B1637="Tema",MOD(A1637-1,Config!$E$28)+1,"")</f>
        <v>1</v>
      </c>
      <c r="E1637" s="115" t="str">
        <f aca="false">IF($B1637="Tema",IF(ISNUMBER(INDEX(Temas!$E$6:$P$305,$C1637,2*$D1637-1)),INDEX(Temas!$E$6:$P$305,$C1637,2*$D1637-1),""),IF(ISNUMBER(INDEX(Avulsos!$B$6:$B$205,$C1637)),INDEX(Avulsos!$B$6:$B$205,$C1637),""))</f>
        <v/>
      </c>
      <c r="F1637" s="114" t="str">
        <f aca="false">IF($E1637="","",IF($B1637="Tema",INDEX(Temas!$B$6:$B$305,$C1637)&amp;"",INDEX(Avulsos!$C$6:$C$205,$C1637)&amp;""))</f>
        <v/>
      </c>
      <c r="G1637" s="114" t="str">
        <f aca="false">IF($E1637="","",IF($B1637="Tema",INDEX(Config!$C$6:$C$11,$D1637),"Evento avulso"))</f>
        <v/>
      </c>
      <c r="H1637" s="114" t="str">
        <f aca="false">IF($E1637="","",IF($B1637="Tema",INDEX(Config!$D$6:$D$11,$D1637),IFERROR(INDEX(Config!$E$15:$E$19,MATCH($I1637,Config!$C$15:$C$19,0)),"•")))</f>
        <v/>
      </c>
      <c r="I1637" s="114" t="str">
        <f aca="false">IF($E1637="","",IF($B1637="Tema",INDEX(Config!$E$6:$E$11,$D1637),IF(INDEX(Avulsos!$D$6:$D$205,$C1637)&amp;""="","Outro",INDEX(Avulsos!$D$6:$D$205,$C1637))))</f>
        <v/>
      </c>
      <c r="J1637" s="114" t="str">
        <f aca="false">IF($E1637="","",IF($B1637="Tema",INDEX(Temas!$C$6:$C$305,$C1637)&amp;"",INDEX(Avulsos!$E$6:$E$205,$C1637)&amp;""))</f>
        <v/>
      </c>
      <c r="K1637" s="114" t="str">
        <f aca="false">IF($E1637="","",IF(IF($B1637="Tema",INDEX(Temas!$E$6:$P$305,$C1637,2*$D1637),INDEX(Avulsos!$F$6:$F$205,$C1637))&amp;""="","","✓"))</f>
        <v/>
      </c>
      <c r="L1637" s="114" t="str">
        <f aca="true">IF($E1637="","",IF($K1637="✓","Concluído",IF($E1637&lt;TODAY(),"Atrasado",IF($E1637=TODAY(),"Hoje","Pendente"))))</f>
        <v/>
      </c>
      <c r="M1637" s="114" t="str">
        <f aca="false">IF($E1637="","",IF($K1637="✓","✓ ","")&amp;IF(Config!$E$22="Sim",$H1637&amp;" · ","")&amp;$F1637)</f>
        <v/>
      </c>
      <c r="N1637" s="114" t="str">
        <f aca="false">IF($E1637="","",IFERROR(INDEX(Config!$D$15:$D$19,MATCH($I1637,Config!$C$15:$C$19,0)),"OUT")&amp;IF($K1637="✓","x",""))</f>
        <v/>
      </c>
      <c r="O1637" s="114" t="str">
        <f aca="false">IF($E1637="","",COUNTIF($E$5:$E1637,$E1637))</f>
        <v/>
      </c>
      <c r="P1637" s="114" t="str">
        <f aca="false">IF($E1637="","",$E1637*100+$O1637)</f>
        <v/>
      </c>
      <c r="Q1637" s="114" t="str">
        <f aca="false">IF($L1637="Atrasado",$E1637*10000+$A1637,"")</f>
        <v/>
      </c>
    </row>
    <row r="1638" customFormat="false" ht="15" hidden="false" customHeight="false" outlineLevel="0" collapsed="false">
      <c r="A1638" s="114" t="n">
        <f aca="false">ROW()-4</f>
        <v>1634</v>
      </c>
      <c r="B1638" s="114" t="str">
        <f aca="false">IF(A1638&lt;=Config!$E$27*Config!$E$28,"Tema","Avulso")</f>
        <v>Tema</v>
      </c>
      <c r="C1638" s="114" t="n">
        <f aca="false">IF(B1638="Tema",INT((A1638-1)/Config!$E$28)+1,A1638-Config!$E$27*Config!$E$28)</f>
        <v>273</v>
      </c>
      <c r="D1638" s="114" t="n">
        <f aca="false">IF(B1638="Tema",MOD(A1638-1,Config!$E$28)+1,"")</f>
        <v>2</v>
      </c>
      <c r="E1638" s="115" t="str">
        <f aca="false">IF($B1638="Tema",IF(ISNUMBER(INDEX(Temas!$E$6:$P$305,$C1638,2*$D1638-1)),INDEX(Temas!$E$6:$P$305,$C1638,2*$D1638-1),""),IF(ISNUMBER(INDEX(Avulsos!$B$6:$B$205,$C1638)),INDEX(Avulsos!$B$6:$B$205,$C1638),""))</f>
        <v/>
      </c>
      <c r="F1638" s="114" t="str">
        <f aca="false">IF($E1638="","",IF($B1638="Tema",INDEX(Temas!$B$6:$B$305,$C1638)&amp;"",INDEX(Avulsos!$C$6:$C$205,$C1638)&amp;""))</f>
        <v/>
      </c>
      <c r="G1638" s="114" t="str">
        <f aca="false">IF($E1638="","",IF($B1638="Tema",INDEX(Config!$C$6:$C$11,$D1638),"Evento avulso"))</f>
        <v/>
      </c>
      <c r="H1638" s="114" t="str">
        <f aca="false">IF($E1638="","",IF($B1638="Tema",INDEX(Config!$D$6:$D$11,$D1638),IFERROR(INDEX(Config!$E$15:$E$19,MATCH($I1638,Config!$C$15:$C$19,0)),"•")))</f>
        <v/>
      </c>
      <c r="I1638" s="114" t="str">
        <f aca="false">IF($E1638="","",IF($B1638="Tema",INDEX(Config!$E$6:$E$11,$D1638),IF(INDEX(Avulsos!$D$6:$D$205,$C1638)&amp;""="","Outro",INDEX(Avulsos!$D$6:$D$205,$C1638))))</f>
        <v/>
      </c>
      <c r="J1638" s="114" t="str">
        <f aca="false">IF($E1638="","",IF($B1638="Tema",INDEX(Temas!$C$6:$C$305,$C1638)&amp;"",INDEX(Avulsos!$E$6:$E$205,$C1638)&amp;""))</f>
        <v/>
      </c>
      <c r="K1638" s="114" t="str">
        <f aca="false">IF($E1638="","",IF(IF($B1638="Tema",INDEX(Temas!$E$6:$P$305,$C1638,2*$D1638),INDEX(Avulsos!$F$6:$F$205,$C1638))&amp;""="","","✓"))</f>
        <v/>
      </c>
      <c r="L1638" s="114" t="str">
        <f aca="true">IF($E1638="","",IF($K1638="✓","Concluído",IF($E1638&lt;TODAY(),"Atrasado",IF($E1638=TODAY(),"Hoje","Pendente"))))</f>
        <v/>
      </c>
      <c r="M1638" s="114" t="str">
        <f aca="false">IF($E1638="","",IF($K1638="✓","✓ ","")&amp;IF(Config!$E$22="Sim",$H1638&amp;" · ","")&amp;$F1638)</f>
        <v/>
      </c>
      <c r="N1638" s="114" t="str">
        <f aca="false">IF($E1638="","",IFERROR(INDEX(Config!$D$15:$D$19,MATCH($I1638,Config!$C$15:$C$19,0)),"OUT")&amp;IF($K1638="✓","x",""))</f>
        <v/>
      </c>
      <c r="O1638" s="114" t="str">
        <f aca="false">IF($E1638="","",COUNTIF($E$5:$E1638,$E1638))</f>
        <v/>
      </c>
      <c r="P1638" s="114" t="str">
        <f aca="false">IF($E1638="","",$E1638*100+$O1638)</f>
        <v/>
      </c>
      <c r="Q1638" s="114" t="str">
        <f aca="false">IF($L1638="Atrasado",$E1638*10000+$A1638,"")</f>
        <v/>
      </c>
    </row>
    <row r="1639" customFormat="false" ht="15" hidden="false" customHeight="false" outlineLevel="0" collapsed="false">
      <c r="A1639" s="114" t="n">
        <f aca="false">ROW()-4</f>
        <v>1635</v>
      </c>
      <c r="B1639" s="114" t="str">
        <f aca="false">IF(A1639&lt;=Config!$E$27*Config!$E$28,"Tema","Avulso")</f>
        <v>Tema</v>
      </c>
      <c r="C1639" s="114" t="n">
        <f aca="false">IF(B1639="Tema",INT((A1639-1)/Config!$E$28)+1,A1639-Config!$E$27*Config!$E$28)</f>
        <v>273</v>
      </c>
      <c r="D1639" s="114" t="n">
        <f aca="false">IF(B1639="Tema",MOD(A1639-1,Config!$E$28)+1,"")</f>
        <v>3</v>
      </c>
      <c r="E1639" s="115" t="str">
        <f aca="false">IF($B1639="Tema",IF(ISNUMBER(INDEX(Temas!$E$6:$P$305,$C1639,2*$D1639-1)),INDEX(Temas!$E$6:$P$305,$C1639,2*$D1639-1),""),IF(ISNUMBER(INDEX(Avulsos!$B$6:$B$205,$C1639)),INDEX(Avulsos!$B$6:$B$205,$C1639),""))</f>
        <v/>
      </c>
      <c r="F1639" s="114" t="str">
        <f aca="false">IF($E1639="","",IF($B1639="Tema",INDEX(Temas!$B$6:$B$305,$C1639)&amp;"",INDEX(Avulsos!$C$6:$C$205,$C1639)&amp;""))</f>
        <v/>
      </c>
      <c r="G1639" s="114" t="str">
        <f aca="false">IF($E1639="","",IF($B1639="Tema",INDEX(Config!$C$6:$C$11,$D1639),"Evento avulso"))</f>
        <v/>
      </c>
      <c r="H1639" s="114" t="str">
        <f aca="false">IF($E1639="","",IF($B1639="Tema",INDEX(Config!$D$6:$D$11,$D1639),IFERROR(INDEX(Config!$E$15:$E$19,MATCH($I1639,Config!$C$15:$C$19,0)),"•")))</f>
        <v/>
      </c>
      <c r="I1639" s="114" t="str">
        <f aca="false">IF($E1639="","",IF($B1639="Tema",INDEX(Config!$E$6:$E$11,$D1639),IF(INDEX(Avulsos!$D$6:$D$205,$C1639)&amp;""="","Outro",INDEX(Avulsos!$D$6:$D$205,$C1639))))</f>
        <v/>
      </c>
      <c r="J1639" s="114" t="str">
        <f aca="false">IF($E1639="","",IF($B1639="Tema",INDEX(Temas!$C$6:$C$305,$C1639)&amp;"",INDEX(Avulsos!$E$6:$E$205,$C1639)&amp;""))</f>
        <v/>
      </c>
      <c r="K1639" s="114" t="str">
        <f aca="false">IF($E1639="","",IF(IF($B1639="Tema",INDEX(Temas!$E$6:$P$305,$C1639,2*$D1639),INDEX(Avulsos!$F$6:$F$205,$C1639))&amp;""="","","✓"))</f>
        <v/>
      </c>
      <c r="L1639" s="114" t="str">
        <f aca="true">IF($E1639="","",IF($K1639="✓","Concluído",IF($E1639&lt;TODAY(),"Atrasado",IF($E1639=TODAY(),"Hoje","Pendente"))))</f>
        <v/>
      </c>
      <c r="M1639" s="114" t="str">
        <f aca="false">IF($E1639="","",IF($K1639="✓","✓ ","")&amp;IF(Config!$E$22="Sim",$H1639&amp;" · ","")&amp;$F1639)</f>
        <v/>
      </c>
      <c r="N1639" s="114" t="str">
        <f aca="false">IF($E1639="","",IFERROR(INDEX(Config!$D$15:$D$19,MATCH($I1639,Config!$C$15:$C$19,0)),"OUT")&amp;IF($K1639="✓","x",""))</f>
        <v/>
      </c>
      <c r="O1639" s="114" t="str">
        <f aca="false">IF($E1639="","",COUNTIF($E$5:$E1639,$E1639))</f>
        <v/>
      </c>
      <c r="P1639" s="114" t="str">
        <f aca="false">IF($E1639="","",$E1639*100+$O1639)</f>
        <v/>
      </c>
      <c r="Q1639" s="114" t="str">
        <f aca="false">IF($L1639="Atrasado",$E1639*10000+$A1639,"")</f>
        <v/>
      </c>
    </row>
    <row r="1640" customFormat="false" ht="15" hidden="false" customHeight="false" outlineLevel="0" collapsed="false">
      <c r="A1640" s="114" t="n">
        <f aca="false">ROW()-4</f>
        <v>1636</v>
      </c>
      <c r="B1640" s="114" t="str">
        <f aca="false">IF(A1640&lt;=Config!$E$27*Config!$E$28,"Tema","Avulso")</f>
        <v>Tema</v>
      </c>
      <c r="C1640" s="114" t="n">
        <f aca="false">IF(B1640="Tema",INT((A1640-1)/Config!$E$28)+1,A1640-Config!$E$27*Config!$E$28)</f>
        <v>273</v>
      </c>
      <c r="D1640" s="114" t="n">
        <f aca="false">IF(B1640="Tema",MOD(A1640-1,Config!$E$28)+1,"")</f>
        <v>4</v>
      </c>
      <c r="E1640" s="115" t="str">
        <f aca="false">IF($B1640="Tema",IF(ISNUMBER(INDEX(Temas!$E$6:$P$305,$C1640,2*$D1640-1)),INDEX(Temas!$E$6:$P$305,$C1640,2*$D1640-1),""),IF(ISNUMBER(INDEX(Avulsos!$B$6:$B$205,$C1640)),INDEX(Avulsos!$B$6:$B$205,$C1640),""))</f>
        <v/>
      </c>
      <c r="F1640" s="114" t="str">
        <f aca="false">IF($E1640="","",IF($B1640="Tema",INDEX(Temas!$B$6:$B$305,$C1640)&amp;"",INDEX(Avulsos!$C$6:$C$205,$C1640)&amp;""))</f>
        <v/>
      </c>
      <c r="G1640" s="114" t="str">
        <f aca="false">IF($E1640="","",IF($B1640="Tema",INDEX(Config!$C$6:$C$11,$D1640),"Evento avulso"))</f>
        <v/>
      </c>
      <c r="H1640" s="114" t="str">
        <f aca="false">IF($E1640="","",IF($B1640="Tema",INDEX(Config!$D$6:$D$11,$D1640),IFERROR(INDEX(Config!$E$15:$E$19,MATCH($I1640,Config!$C$15:$C$19,0)),"•")))</f>
        <v/>
      </c>
      <c r="I1640" s="114" t="str">
        <f aca="false">IF($E1640="","",IF($B1640="Tema",INDEX(Config!$E$6:$E$11,$D1640),IF(INDEX(Avulsos!$D$6:$D$205,$C1640)&amp;""="","Outro",INDEX(Avulsos!$D$6:$D$205,$C1640))))</f>
        <v/>
      </c>
      <c r="J1640" s="114" t="str">
        <f aca="false">IF($E1640="","",IF($B1640="Tema",INDEX(Temas!$C$6:$C$305,$C1640)&amp;"",INDEX(Avulsos!$E$6:$E$205,$C1640)&amp;""))</f>
        <v/>
      </c>
      <c r="K1640" s="114" t="str">
        <f aca="false">IF($E1640="","",IF(IF($B1640="Tema",INDEX(Temas!$E$6:$P$305,$C1640,2*$D1640),INDEX(Avulsos!$F$6:$F$205,$C1640))&amp;""="","","✓"))</f>
        <v/>
      </c>
      <c r="L1640" s="114" t="str">
        <f aca="true">IF($E1640="","",IF($K1640="✓","Concluído",IF($E1640&lt;TODAY(),"Atrasado",IF($E1640=TODAY(),"Hoje","Pendente"))))</f>
        <v/>
      </c>
      <c r="M1640" s="114" t="str">
        <f aca="false">IF($E1640="","",IF($K1640="✓","✓ ","")&amp;IF(Config!$E$22="Sim",$H1640&amp;" · ","")&amp;$F1640)</f>
        <v/>
      </c>
      <c r="N1640" s="114" t="str">
        <f aca="false">IF($E1640="","",IFERROR(INDEX(Config!$D$15:$D$19,MATCH($I1640,Config!$C$15:$C$19,0)),"OUT")&amp;IF($K1640="✓","x",""))</f>
        <v/>
      </c>
      <c r="O1640" s="114" t="str">
        <f aca="false">IF($E1640="","",COUNTIF($E$5:$E1640,$E1640))</f>
        <v/>
      </c>
      <c r="P1640" s="114" t="str">
        <f aca="false">IF($E1640="","",$E1640*100+$O1640)</f>
        <v/>
      </c>
      <c r="Q1640" s="114" t="str">
        <f aca="false">IF($L1640="Atrasado",$E1640*10000+$A1640,"")</f>
        <v/>
      </c>
    </row>
    <row r="1641" customFormat="false" ht="15" hidden="false" customHeight="false" outlineLevel="0" collapsed="false">
      <c r="A1641" s="114" t="n">
        <f aca="false">ROW()-4</f>
        <v>1637</v>
      </c>
      <c r="B1641" s="114" t="str">
        <f aca="false">IF(A1641&lt;=Config!$E$27*Config!$E$28,"Tema","Avulso")</f>
        <v>Tema</v>
      </c>
      <c r="C1641" s="114" t="n">
        <f aca="false">IF(B1641="Tema",INT((A1641-1)/Config!$E$28)+1,A1641-Config!$E$27*Config!$E$28)</f>
        <v>273</v>
      </c>
      <c r="D1641" s="114" t="n">
        <f aca="false">IF(B1641="Tema",MOD(A1641-1,Config!$E$28)+1,"")</f>
        <v>5</v>
      </c>
      <c r="E1641" s="115" t="str">
        <f aca="false">IF($B1641="Tema",IF(ISNUMBER(INDEX(Temas!$E$6:$P$305,$C1641,2*$D1641-1)),INDEX(Temas!$E$6:$P$305,$C1641,2*$D1641-1),""),IF(ISNUMBER(INDEX(Avulsos!$B$6:$B$205,$C1641)),INDEX(Avulsos!$B$6:$B$205,$C1641),""))</f>
        <v/>
      </c>
      <c r="F1641" s="114" t="str">
        <f aca="false">IF($E1641="","",IF($B1641="Tema",INDEX(Temas!$B$6:$B$305,$C1641)&amp;"",INDEX(Avulsos!$C$6:$C$205,$C1641)&amp;""))</f>
        <v/>
      </c>
      <c r="G1641" s="114" t="str">
        <f aca="false">IF($E1641="","",IF($B1641="Tema",INDEX(Config!$C$6:$C$11,$D1641),"Evento avulso"))</f>
        <v/>
      </c>
      <c r="H1641" s="114" t="str">
        <f aca="false">IF($E1641="","",IF($B1641="Tema",INDEX(Config!$D$6:$D$11,$D1641),IFERROR(INDEX(Config!$E$15:$E$19,MATCH($I1641,Config!$C$15:$C$19,0)),"•")))</f>
        <v/>
      </c>
      <c r="I1641" s="114" t="str">
        <f aca="false">IF($E1641="","",IF($B1641="Tema",INDEX(Config!$E$6:$E$11,$D1641),IF(INDEX(Avulsos!$D$6:$D$205,$C1641)&amp;""="","Outro",INDEX(Avulsos!$D$6:$D$205,$C1641))))</f>
        <v/>
      </c>
      <c r="J1641" s="114" t="str">
        <f aca="false">IF($E1641="","",IF($B1641="Tema",INDEX(Temas!$C$6:$C$305,$C1641)&amp;"",INDEX(Avulsos!$E$6:$E$205,$C1641)&amp;""))</f>
        <v/>
      </c>
      <c r="K1641" s="114" t="str">
        <f aca="false">IF($E1641="","",IF(IF($B1641="Tema",INDEX(Temas!$E$6:$P$305,$C1641,2*$D1641),INDEX(Avulsos!$F$6:$F$205,$C1641))&amp;""="","","✓"))</f>
        <v/>
      </c>
      <c r="L1641" s="114" t="str">
        <f aca="true">IF($E1641="","",IF($K1641="✓","Concluído",IF($E1641&lt;TODAY(),"Atrasado",IF($E1641=TODAY(),"Hoje","Pendente"))))</f>
        <v/>
      </c>
      <c r="M1641" s="114" t="str">
        <f aca="false">IF($E1641="","",IF($K1641="✓","✓ ","")&amp;IF(Config!$E$22="Sim",$H1641&amp;" · ","")&amp;$F1641)</f>
        <v/>
      </c>
      <c r="N1641" s="114" t="str">
        <f aca="false">IF($E1641="","",IFERROR(INDEX(Config!$D$15:$D$19,MATCH($I1641,Config!$C$15:$C$19,0)),"OUT")&amp;IF($K1641="✓","x",""))</f>
        <v/>
      </c>
      <c r="O1641" s="114" t="str">
        <f aca="false">IF($E1641="","",COUNTIF($E$5:$E1641,$E1641))</f>
        <v/>
      </c>
      <c r="P1641" s="114" t="str">
        <f aca="false">IF($E1641="","",$E1641*100+$O1641)</f>
        <v/>
      </c>
      <c r="Q1641" s="114" t="str">
        <f aca="false">IF($L1641="Atrasado",$E1641*10000+$A1641,"")</f>
        <v/>
      </c>
    </row>
    <row r="1642" customFormat="false" ht="15" hidden="false" customHeight="false" outlineLevel="0" collapsed="false">
      <c r="A1642" s="114" t="n">
        <f aca="false">ROW()-4</f>
        <v>1638</v>
      </c>
      <c r="B1642" s="114" t="str">
        <f aca="false">IF(A1642&lt;=Config!$E$27*Config!$E$28,"Tema","Avulso")</f>
        <v>Tema</v>
      </c>
      <c r="C1642" s="114" t="n">
        <f aca="false">IF(B1642="Tema",INT((A1642-1)/Config!$E$28)+1,A1642-Config!$E$27*Config!$E$28)</f>
        <v>273</v>
      </c>
      <c r="D1642" s="114" t="n">
        <f aca="false">IF(B1642="Tema",MOD(A1642-1,Config!$E$28)+1,"")</f>
        <v>6</v>
      </c>
      <c r="E1642" s="115" t="str">
        <f aca="false">IF($B1642="Tema",IF(ISNUMBER(INDEX(Temas!$E$6:$P$305,$C1642,2*$D1642-1)),INDEX(Temas!$E$6:$P$305,$C1642,2*$D1642-1),""),IF(ISNUMBER(INDEX(Avulsos!$B$6:$B$205,$C1642)),INDEX(Avulsos!$B$6:$B$205,$C1642),""))</f>
        <v/>
      </c>
      <c r="F1642" s="114" t="str">
        <f aca="false">IF($E1642="","",IF($B1642="Tema",INDEX(Temas!$B$6:$B$305,$C1642)&amp;"",INDEX(Avulsos!$C$6:$C$205,$C1642)&amp;""))</f>
        <v/>
      </c>
      <c r="G1642" s="114" t="str">
        <f aca="false">IF($E1642="","",IF($B1642="Tema",INDEX(Config!$C$6:$C$11,$D1642),"Evento avulso"))</f>
        <v/>
      </c>
      <c r="H1642" s="114" t="str">
        <f aca="false">IF($E1642="","",IF($B1642="Tema",INDEX(Config!$D$6:$D$11,$D1642),IFERROR(INDEX(Config!$E$15:$E$19,MATCH($I1642,Config!$C$15:$C$19,0)),"•")))</f>
        <v/>
      </c>
      <c r="I1642" s="114" t="str">
        <f aca="false">IF($E1642="","",IF($B1642="Tema",INDEX(Config!$E$6:$E$11,$D1642),IF(INDEX(Avulsos!$D$6:$D$205,$C1642)&amp;""="","Outro",INDEX(Avulsos!$D$6:$D$205,$C1642))))</f>
        <v/>
      </c>
      <c r="J1642" s="114" t="str">
        <f aca="false">IF($E1642="","",IF($B1642="Tema",INDEX(Temas!$C$6:$C$305,$C1642)&amp;"",INDEX(Avulsos!$E$6:$E$205,$C1642)&amp;""))</f>
        <v/>
      </c>
      <c r="K1642" s="114" t="str">
        <f aca="false">IF($E1642="","",IF(IF($B1642="Tema",INDEX(Temas!$E$6:$P$305,$C1642,2*$D1642),INDEX(Avulsos!$F$6:$F$205,$C1642))&amp;""="","","✓"))</f>
        <v/>
      </c>
      <c r="L1642" s="114" t="str">
        <f aca="true">IF($E1642="","",IF($K1642="✓","Concluído",IF($E1642&lt;TODAY(),"Atrasado",IF($E1642=TODAY(),"Hoje","Pendente"))))</f>
        <v/>
      </c>
      <c r="M1642" s="114" t="str">
        <f aca="false">IF($E1642="","",IF($K1642="✓","✓ ","")&amp;IF(Config!$E$22="Sim",$H1642&amp;" · ","")&amp;$F1642)</f>
        <v/>
      </c>
      <c r="N1642" s="114" t="str">
        <f aca="false">IF($E1642="","",IFERROR(INDEX(Config!$D$15:$D$19,MATCH($I1642,Config!$C$15:$C$19,0)),"OUT")&amp;IF($K1642="✓","x",""))</f>
        <v/>
      </c>
      <c r="O1642" s="114" t="str">
        <f aca="false">IF($E1642="","",COUNTIF($E$5:$E1642,$E1642))</f>
        <v/>
      </c>
      <c r="P1642" s="114" t="str">
        <f aca="false">IF($E1642="","",$E1642*100+$O1642)</f>
        <v/>
      </c>
      <c r="Q1642" s="114" t="str">
        <f aca="false">IF($L1642="Atrasado",$E1642*10000+$A1642,"")</f>
        <v/>
      </c>
    </row>
    <row r="1643" customFormat="false" ht="15" hidden="false" customHeight="false" outlineLevel="0" collapsed="false">
      <c r="A1643" s="114" t="n">
        <f aca="false">ROW()-4</f>
        <v>1639</v>
      </c>
      <c r="B1643" s="114" t="str">
        <f aca="false">IF(A1643&lt;=Config!$E$27*Config!$E$28,"Tema","Avulso")</f>
        <v>Tema</v>
      </c>
      <c r="C1643" s="114" t="n">
        <f aca="false">IF(B1643="Tema",INT((A1643-1)/Config!$E$28)+1,A1643-Config!$E$27*Config!$E$28)</f>
        <v>274</v>
      </c>
      <c r="D1643" s="114" t="n">
        <f aca="false">IF(B1643="Tema",MOD(A1643-1,Config!$E$28)+1,"")</f>
        <v>1</v>
      </c>
      <c r="E1643" s="115" t="str">
        <f aca="false">IF($B1643="Tema",IF(ISNUMBER(INDEX(Temas!$E$6:$P$305,$C1643,2*$D1643-1)),INDEX(Temas!$E$6:$P$305,$C1643,2*$D1643-1),""),IF(ISNUMBER(INDEX(Avulsos!$B$6:$B$205,$C1643)),INDEX(Avulsos!$B$6:$B$205,$C1643),""))</f>
        <v/>
      </c>
      <c r="F1643" s="114" t="str">
        <f aca="false">IF($E1643="","",IF($B1643="Tema",INDEX(Temas!$B$6:$B$305,$C1643)&amp;"",INDEX(Avulsos!$C$6:$C$205,$C1643)&amp;""))</f>
        <v/>
      </c>
      <c r="G1643" s="114" t="str">
        <f aca="false">IF($E1643="","",IF($B1643="Tema",INDEX(Config!$C$6:$C$11,$D1643),"Evento avulso"))</f>
        <v/>
      </c>
      <c r="H1643" s="114" t="str">
        <f aca="false">IF($E1643="","",IF($B1643="Tema",INDEX(Config!$D$6:$D$11,$D1643),IFERROR(INDEX(Config!$E$15:$E$19,MATCH($I1643,Config!$C$15:$C$19,0)),"•")))</f>
        <v/>
      </c>
      <c r="I1643" s="114" t="str">
        <f aca="false">IF($E1643="","",IF($B1643="Tema",INDEX(Config!$E$6:$E$11,$D1643),IF(INDEX(Avulsos!$D$6:$D$205,$C1643)&amp;""="","Outro",INDEX(Avulsos!$D$6:$D$205,$C1643))))</f>
        <v/>
      </c>
      <c r="J1643" s="114" t="str">
        <f aca="false">IF($E1643="","",IF($B1643="Tema",INDEX(Temas!$C$6:$C$305,$C1643)&amp;"",INDEX(Avulsos!$E$6:$E$205,$C1643)&amp;""))</f>
        <v/>
      </c>
      <c r="K1643" s="114" t="str">
        <f aca="false">IF($E1643="","",IF(IF($B1643="Tema",INDEX(Temas!$E$6:$P$305,$C1643,2*$D1643),INDEX(Avulsos!$F$6:$F$205,$C1643))&amp;""="","","✓"))</f>
        <v/>
      </c>
      <c r="L1643" s="114" t="str">
        <f aca="true">IF($E1643="","",IF($K1643="✓","Concluído",IF($E1643&lt;TODAY(),"Atrasado",IF($E1643=TODAY(),"Hoje","Pendente"))))</f>
        <v/>
      </c>
      <c r="M1643" s="114" t="str">
        <f aca="false">IF($E1643="","",IF($K1643="✓","✓ ","")&amp;IF(Config!$E$22="Sim",$H1643&amp;" · ","")&amp;$F1643)</f>
        <v/>
      </c>
      <c r="N1643" s="114" t="str">
        <f aca="false">IF($E1643="","",IFERROR(INDEX(Config!$D$15:$D$19,MATCH($I1643,Config!$C$15:$C$19,0)),"OUT")&amp;IF($K1643="✓","x",""))</f>
        <v/>
      </c>
      <c r="O1643" s="114" t="str">
        <f aca="false">IF($E1643="","",COUNTIF($E$5:$E1643,$E1643))</f>
        <v/>
      </c>
      <c r="P1643" s="114" t="str">
        <f aca="false">IF($E1643="","",$E1643*100+$O1643)</f>
        <v/>
      </c>
      <c r="Q1643" s="114" t="str">
        <f aca="false">IF($L1643="Atrasado",$E1643*10000+$A1643,"")</f>
        <v/>
      </c>
    </row>
    <row r="1644" customFormat="false" ht="15" hidden="false" customHeight="false" outlineLevel="0" collapsed="false">
      <c r="A1644" s="114" t="n">
        <f aca="false">ROW()-4</f>
        <v>1640</v>
      </c>
      <c r="B1644" s="114" t="str">
        <f aca="false">IF(A1644&lt;=Config!$E$27*Config!$E$28,"Tema","Avulso")</f>
        <v>Tema</v>
      </c>
      <c r="C1644" s="114" t="n">
        <f aca="false">IF(B1644="Tema",INT((A1644-1)/Config!$E$28)+1,A1644-Config!$E$27*Config!$E$28)</f>
        <v>274</v>
      </c>
      <c r="D1644" s="114" t="n">
        <f aca="false">IF(B1644="Tema",MOD(A1644-1,Config!$E$28)+1,"")</f>
        <v>2</v>
      </c>
      <c r="E1644" s="115" t="str">
        <f aca="false">IF($B1644="Tema",IF(ISNUMBER(INDEX(Temas!$E$6:$P$305,$C1644,2*$D1644-1)),INDEX(Temas!$E$6:$P$305,$C1644,2*$D1644-1),""),IF(ISNUMBER(INDEX(Avulsos!$B$6:$B$205,$C1644)),INDEX(Avulsos!$B$6:$B$205,$C1644),""))</f>
        <v/>
      </c>
      <c r="F1644" s="114" t="str">
        <f aca="false">IF($E1644="","",IF($B1644="Tema",INDEX(Temas!$B$6:$B$305,$C1644)&amp;"",INDEX(Avulsos!$C$6:$C$205,$C1644)&amp;""))</f>
        <v/>
      </c>
      <c r="G1644" s="114" t="str">
        <f aca="false">IF($E1644="","",IF($B1644="Tema",INDEX(Config!$C$6:$C$11,$D1644),"Evento avulso"))</f>
        <v/>
      </c>
      <c r="H1644" s="114" t="str">
        <f aca="false">IF($E1644="","",IF($B1644="Tema",INDEX(Config!$D$6:$D$11,$D1644),IFERROR(INDEX(Config!$E$15:$E$19,MATCH($I1644,Config!$C$15:$C$19,0)),"•")))</f>
        <v/>
      </c>
      <c r="I1644" s="114" t="str">
        <f aca="false">IF($E1644="","",IF($B1644="Tema",INDEX(Config!$E$6:$E$11,$D1644),IF(INDEX(Avulsos!$D$6:$D$205,$C1644)&amp;""="","Outro",INDEX(Avulsos!$D$6:$D$205,$C1644))))</f>
        <v/>
      </c>
      <c r="J1644" s="114" t="str">
        <f aca="false">IF($E1644="","",IF($B1644="Tema",INDEX(Temas!$C$6:$C$305,$C1644)&amp;"",INDEX(Avulsos!$E$6:$E$205,$C1644)&amp;""))</f>
        <v/>
      </c>
      <c r="K1644" s="114" t="str">
        <f aca="false">IF($E1644="","",IF(IF($B1644="Tema",INDEX(Temas!$E$6:$P$305,$C1644,2*$D1644),INDEX(Avulsos!$F$6:$F$205,$C1644))&amp;""="","","✓"))</f>
        <v/>
      </c>
      <c r="L1644" s="114" t="str">
        <f aca="true">IF($E1644="","",IF($K1644="✓","Concluído",IF($E1644&lt;TODAY(),"Atrasado",IF($E1644=TODAY(),"Hoje","Pendente"))))</f>
        <v/>
      </c>
      <c r="M1644" s="114" t="str">
        <f aca="false">IF($E1644="","",IF($K1644="✓","✓ ","")&amp;IF(Config!$E$22="Sim",$H1644&amp;" · ","")&amp;$F1644)</f>
        <v/>
      </c>
      <c r="N1644" s="114" t="str">
        <f aca="false">IF($E1644="","",IFERROR(INDEX(Config!$D$15:$D$19,MATCH($I1644,Config!$C$15:$C$19,0)),"OUT")&amp;IF($K1644="✓","x",""))</f>
        <v/>
      </c>
      <c r="O1644" s="114" t="str">
        <f aca="false">IF($E1644="","",COUNTIF($E$5:$E1644,$E1644))</f>
        <v/>
      </c>
      <c r="P1644" s="114" t="str">
        <f aca="false">IF($E1644="","",$E1644*100+$O1644)</f>
        <v/>
      </c>
      <c r="Q1644" s="114" t="str">
        <f aca="false">IF($L1644="Atrasado",$E1644*10000+$A1644,"")</f>
        <v/>
      </c>
    </row>
    <row r="1645" customFormat="false" ht="15" hidden="false" customHeight="false" outlineLevel="0" collapsed="false">
      <c r="A1645" s="114" t="n">
        <f aca="false">ROW()-4</f>
        <v>1641</v>
      </c>
      <c r="B1645" s="114" t="str">
        <f aca="false">IF(A1645&lt;=Config!$E$27*Config!$E$28,"Tema","Avulso")</f>
        <v>Tema</v>
      </c>
      <c r="C1645" s="114" t="n">
        <f aca="false">IF(B1645="Tema",INT((A1645-1)/Config!$E$28)+1,A1645-Config!$E$27*Config!$E$28)</f>
        <v>274</v>
      </c>
      <c r="D1645" s="114" t="n">
        <f aca="false">IF(B1645="Tema",MOD(A1645-1,Config!$E$28)+1,"")</f>
        <v>3</v>
      </c>
      <c r="E1645" s="115" t="str">
        <f aca="false">IF($B1645="Tema",IF(ISNUMBER(INDEX(Temas!$E$6:$P$305,$C1645,2*$D1645-1)),INDEX(Temas!$E$6:$P$305,$C1645,2*$D1645-1),""),IF(ISNUMBER(INDEX(Avulsos!$B$6:$B$205,$C1645)),INDEX(Avulsos!$B$6:$B$205,$C1645),""))</f>
        <v/>
      </c>
      <c r="F1645" s="114" t="str">
        <f aca="false">IF($E1645="","",IF($B1645="Tema",INDEX(Temas!$B$6:$B$305,$C1645)&amp;"",INDEX(Avulsos!$C$6:$C$205,$C1645)&amp;""))</f>
        <v/>
      </c>
      <c r="G1645" s="114" t="str">
        <f aca="false">IF($E1645="","",IF($B1645="Tema",INDEX(Config!$C$6:$C$11,$D1645),"Evento avulso"))</f>
        <v/>
      </c>
      <c r="H1645" s="114" t="str">
        <f aca="false">IF($E1645="","",IF($B1645="Tema",INDEX(Config!$D$6:$D$11,$D1645),IFERROR(INDEX(Config!$E$15:$E$19,MATCH($I1645,Config!$C$15:$C$19,0)),"•")))</f>
        <v/>
      </c>
      <c r="I1645" s="114" t="str">
        <f aca="false">IF($E1645="","",IF($B1645="Tema",INDEX(Config!$E$6:$E$11,$D1645),IF(INDEX(Avulsos!$D$6:$D$205,$C1645)&amp;""="","Outro",INDEX(Avulsos!$D$6:$D$205,$C1645))))</f>
        <v/>
      </c>
      <c r="J1645" s="114" t="str">
        <f aca="false">IF($E1645="","",IF($B1645="Tema",INDEX(Temas!$C$6:$C$305,$C1645)&amp;"",INDEX(Avulsos!$E$6:$E$205,$C1645)&amp;""))</f>
        <v/>
      </c>
      <c r="K1645" s="114" t="str">
        <f aca="false">IF($E1645="","",IF(IF($B1645="Tema",INDEX(Temas!$E$6:$P$305,$C1645,2*$D1645),INDEX(Avulsos!$F$6:$F$205,$C1645))&amp;""="","","✓"))</f>
        <v/>
      </c>
      <c r="L1645" s="114" t="str">
        <f aca="true">IF($E1645="","",IF($K1645="✓","Concluído",IF($E1645&lt;TODAY(),"Atrasado",IF($E1645=TODAY(),"Hoje","Pendente"))))</f>
        <v/>
      </c>
      <c r="M1645" s="114" t="str">
        <f aca="false">IF($E1645="","",IF($K1645="✓","✓ ","")&amp;IF(Config!$E$22="Sim",$H1645&amp;" · ","")&amp;$F1645)</f>
        <v/>
      </c>
      <c r="N1645" s="114" t="str">
        <f aca="false">IF($E1645="","",IFERROR(INDEX(Config!$D$15:$D$19,MATCH($I1645,Config!$C$15:$C$19,0)),"OUT")&amp;IF($K1645="✓","x",""))</f>
        <v/>
      </c>
      <c r="O1645" s="114" t="str">
        <f aca="false">IF($E1645="","",COUNTIF($E$5:$E1645,$E1645))</f>
        <v/>
      </c>
      <c r="P1645" s="114" t="str">
        <f aca="false">IF($E1645="","",$E1645*100+$O1645)</f>
        <v/>
      </c>
      <c r="Q1645" s="114" t="str">
        <f aca="false">IF($L1645="Atrasado",$E1645*10000+$A1645,"")</f>
        <v/>
      </c>
    </row>
    <row r="1646" customFormat="false" ht="15" hidden="false" customHeight="false" outlineLevel="0" collapsed="false">
      <c r="A1646" s="114" t="n">
        <f aca="false">ROW()-4</f>
        <v>1642</v>
      </c>
      <c r="B1646" s="114" t="str">
        <f aca="false">IF(A1646&lt;=Config!$E$27*Config!$E$28,"Tema","Avulso")</f>
        <v>Tema</v>
      </c>
      <c r="C1646" s="114" t="n">
        <f aca="false">IF(B1646="Tema",INT((A1646-1)/Config!$E$28)+1,A1646-Config!$E$27*Config!$E$28)</f>
        <v>274</v>
      </c>
      <c r="D1646" s="114" t="n">
        <f aca="false">IF(B1646="Tema",MOD(A1646-1,Config!$E$28)+1,"")</f>
        <v>4</v>
      </c>
      <c r="E1646" s="115" t="str">
        <f aca="false">IF($B1646="Tema",IF(ISNUMBER(INDEX(Temas!$E$6:$P$305,$C1646,2*$D1646-1)),INDEX(Temas!$E$6:$P$305,$C1646,2*$D1646-1),""),IF(ISNUMBER(INDEX(Avulsos!$B$6:$B$205,$C1646)),INDEX(Avulsos!$B$6:$B$205,$C1646),""))</f>
        <v/>
      </c>
      <c r="F1646" s="114" t="str">
        <f aca="false">IF($E1646="","",IF($B1646="Tema",INDEX(Temas!$B$6:$B$305,$C1646)&amp;"",INDEX(Avulsos!$C$6:$C$205,$C1646)&amp;""))</f>
        <v/>
      </c>
      <c r="G1646" s="114" t="str">
        <f aca="false">IF($E1646="","",IF($B1646="Tema",INDEX(Config!$C$6:$C$11,$D1646),"Evento avulso"))</f>
        <v/>
      </c>
      <c r="H1646" s="114" t="str">
        <f aca="false">IF($E1646="","",IF($B1646="Tema",INDEX(Config!$D$6:$D$11,$D1646),IFERROR(INDEX(Config!$E$15:$E$19,MATCH($I1646,Config!$C$15:$C$19,0)),"•")))</f>
        <v/>
      </c>
      <c r="I1646" s="114" t="str">
        <f aca="false">IF($E1646="","",IF($B1646="Tema",INDEX(Config!$E$6:$E$11,$D1646),IF(INDEX(Avulsos!$D$6:$D$205,$C1646)&amp;""="","Outro",INDEX(Avulsos!$D$6:$D$205,$C1646))))</f>
        <v/>
      </c>
      <c r="J1646" s="114" t="str">
        <f aca="false">IF($E1646="","",IF($B1646="Tema",INDEX(Temas!$C$6:$C$305,$C1646)&amp;"",INDEX(Avulsos!$E$6:$E$205,$C1646)&amp;""))</f>
        <v/>
      </c>
      <c r="K1646" s="114" t="str">
        <f aca="false">IF($E1646="","",IF(IF($B1646="Tema",INDEX(Temas!$E$6:$P$305,$C1646,2*$D1646),INDEX(Avulsos!$F$6:$F$205,$C1646))&amp;""="","","✓"))</f>
        <v/>
      </c>
      <c r="L1646" s="114" t="str">
        <f aca="true">IF($E1646="","",IF($K1646="✓","Concluído",IF($E1646&lt;TODAY(),"Atrasado",IF($E1646=TODAY(),"Hoje","Pendente"))))</f>
        <v/>
      </c>
      <c r="M1646" s="114" t="str">
        <f aca="false">IF($E1646="","",IF($K1646="✓","✓ ","")&amp;IF(Config!$E$22="Sim",$H1646&amp;" · ","")&amp;$F1646)</f>
        <v/>
      </c>
      <c r="N1646" s="114" t="str">
        <f aca="false">IF($E1646="","",IFERROR(INDEX(Config!$D$15:$D$19,MATCH($I1646,Config!$C$15:$C$19,0)),"OUT")&amp;IF($K1646="✓","x",""))</f>
        <v/>
      </c>
      <c r="O1646" s="114" t="str">
        <f aca="false">IF($E1646="","",COUNTIF($E$5:$E1646,$E1646))</f>
        <v/>
      </c>
      <c r="P1646" s="114" t="str">
        <f aca="false">IF($E1646="","",$E1646*100+$O1646)</f>
        <v/>
      </c>
      <c r="Q1646" s="114" t="str">
        <f aca="false">IF($L1646="Atrasado",$E1646*10000+$A1646,"")</f>
        <v/>
      </c>
    </row>
    <row r="1647" customFormat="false" ht="15" hidden="false" customHeight="false" outlineLevel="0" collapsed="false">
      <c r="A1647" s="114" t="n">
        <f aca="false">ROW()-4</f>
        <v>1643</v>
      </c>
      <c r="B1647" s="114" t="str">
        <f aca="false">IF(A1647&lt;=Config!$E$27*Config!$E$28,"Tema","Avulso")</f>
        <v>Tema</v>
      </c>
      <c r="C1647" s="114" t="n">
        <f aca="false">IF(B1647="Tema",INT((A1647-1)/Config!$E$28)+1,A1647-Config!$E$27*Config!$E$28)</f>
        <v>274</v>
      </c>
      <c r="D1647" s="114" t="n">
        <f aca="false">IF(B1647="Tema",MOD(A1647-1,Config!$E$28)+1,"")</f>
        <v>5</v>
      </c>
      <c r="E1647" s="115" t="str">
        <f aca="false">IF($B1647="Tema",IF(ISNUMBER(INDEX(Temas!$E$6:$P$305,$C1647,2*$D1647-1)),INDEX(Temas!$E$6:$P$305,$C1647,2*$D1647-1),""),IF(ISNUMBER(INDEX(Avulsos!$B$6:$B$205,$C1647)),INDEX(Avulsos!$B$6:$B$205,$C1647),""))</f>
        <v/>
      </c>
      <c r="F1647" s="114" t="str">
        <f aca="false">IF($E1647="","",IF($B1647="Tema",INDEX(Temas!$B$6:$B$305,$C1647)&amp;"",INDEX(Avulsos!$C$6:$C$205,$C1647)&amp;""))</f>
        <v/>
      </c>
      <c r="G1647" s="114" t="str">
        <f aca="false">IF($E1647="","",IF($B1647="Tema",INDEX(Config!$C$6:$C$11,$D1647),"Evento avulso"))</f>
        <v/>
      </c>
      <c r="H1647" s="114" t="str">
        <f aca="false">IF($E1647="","",IF($B1647="Tema",INDEX(Config!$D$6:$D$11,$D1647),IFERROR(INDEX(Config!$E$15:$E$19,MATCH($I1647,Config!$C$15:$C$19,0)),"•")))</f>
        <v/>
      </c>
      <c r="I1647" s="114" t="str">
        <f aca="false">IF($E1647="","",IF($B1647="Tema",INDEX(Config!$E$6:$E$11,$D1647),IF(INDEX(Avulsos!$D$6:$D$205,$C1647)&amp;""="","Outro",INDEX(Avulsos!$D$6:$D$205,$C1647))))</f>
        <v/>
      </c>
      <c r="J1647" s="114" t="str">
        <f aca="false">IF($E1647="","",IF($B1647="Tema",INDEX(Temas!$C$6:$C$305,$C1647)&amp;"",INDEX(Avulsos!$E$6:$E$205,$C1647)&amp;""))</f>
        <v/>
      </c>
      <c r="K1647" s="114" t="str">
        <f aca="false">IF($E1647="","",IF(IF($B1647="Tema",INDEX(Temas!$E$6:$P$305,$C1647,2*$D1647),INDEX(Avulsos!$F$6:$F$205,$C1647))&amp;""="","","✓"))</f>
        <v/>
      </c>
      <c r="L1647" s="114" t="str">
        <f aca="true">IF($E1647="","",IF($K1647="✓","Concluído",IF($E1647&lt;TODAY(),"Atrasado",IF($E1647=TODAY(),"Hoje","Pendente"))))</f>
        <v/>
      </c>
      <c r="M1647" s="114" t="str">
        <f aca="false">IF($E1647="","",IF($K1647="✓","✓ ","")&amp;IF(Config!$E$22="Sim",$H1647&amp;" · ","")&amp;$F1647)</f>
        <v/>
      </c>
      <c r="N1647" s="114" t="str">
        <f aca="false">IF($E1647="","",IFERROR(INDEX(Config!$D$15:$D$19,MATCH($I1647,Config!$C$15:$C$19,0)),"OUT")&amp;IF($K1647="✓","x",""))</f>
        <v/>
      </c>
      <c r="O1647" s="114" t="str">
        <f aca="false">IF($E1647="","",COUNTIF($E$5:$E1647,$E1647))</f>
        <v/>
      </c>
      <c r="P1647" s="114" t="str">
        <f aca="false">IF($E1647="","",$E1647*100+$O1647)</f>
        <v/>
      </c>
      <c r="Q1647" s="114" t="str">
        <f aca="false">IF($L1647="Atrasado",$E1647*10000+$A1647,"")</f>
        <v/>
      </c>
    </row>
    <row r="1648" customFormat="false" ht="15" hidden="false" customHeight="false" outlineLevel="0" collapsed="false">
      <c r="A1648" s="114" t="n">
        <f aca="false">ROW()-4</f>
        <v>1644</v>
      </c>
      <c r="B1648" s="114" t="str">
        <f aca="false">IF(A1648&lt;=Config!$E$27*Config!$E$28,"Tema","Avulso")</f>
        <v>Tema</v>
      </c>
      <c r="C1648" s="114" t="n">
        <f aca="false">IF(B1648="Tema",INT((A1648-1)/Config!$E$28)+1,A1648-Config!$E$27*Config!$E$28)</f>
        <v>274</v>
      </c>
      <c r="D1648" s="114" t="n">
        <f aca="false">IF(B1648="Tema",MOD(A1648-1,Config!$E$28)+1,"")</f>
        <v>6</v>
      </c>
      <c r="E1648" s="115" t="str">
        <f aca="false">IF($B1648="Tema",IF(ISNUMBER(INDEX(Temas!$E$6:$P$305,$C1648,2*$D1648-1)),INDEX(Temas!$E$6:$P$305,$C1648,2*$D1648-1),""),IF(ISNUMBER(INDEX(Avulsos!$B$6:$B$205,$C1648)),INDEX(Avulsos!$B$6:$B$205,$C1648),""))</f>
        <v/>
      </c>
      <c r="F1648" s="114" t="str">
        <f aca="false">IF($E1648="","",IF($B1648="Tema",INDEX(Temas!$B$6:$B$305,$C1648)&amp;"",INDEX(Avulsos!$C$6:$C$205,$C1648)&amp;""))</f>
        <v/>
      </c>
      <c r="G1648" s="114" t="str">
        <f aca="false">IF($E1648="","",IF($B1648="Tema",INDEX(Config!$C$6:$C$11,$D1648),"Evento avulso"))</f>
        <v/>
      </c>
      <c r="H1648" s="114" t="str">
        <f aca="false">IF($E1648="","",IF($B1648="Tema",INDEX(Config!$D$6:$D$11,$D1648),IFERROR(INDEX(Config!$E$15:$E$19,MATCH($I1648,Config!$C$15:$C$19,0)),"•")))</f>
        <v/>
      </c>
      <c r="I1648" s="114" t="str">
        <f aca="false">IF($E1648="","",IF($B1648="Tema",INDEX(Config!$E$6:$E$11,$D1648),IF(INDEX(Avulsos!$D$6:$D$205,$C1648)&amp;""="","Outro",INDEX(Avulsos!$D$6:$D$205,$C1648))))</f>
        <v/>
      </c>
      <c r="J1648" s="114" t="str">
        <f aca="false">IF($E1648="","",IF($B1648="Tema",INDEX(Temas!$C$6:$C$305,$C1648)&amp;"",INDEX(Avulsos!$E$6:$E$205,$C1648)&amp;""))</f>
        <v/>
      </c>
      <c r="K1648" s="114" t="str">
        <f aca="false">IF($E1648="","",IF(IF($B1648="Tema",INDEX(Temas!$E$6:$P$305,$C1648,2*$D1648),INDEX(Avulsos!$F$6:$F$205,$C1648))&amp;""="","","✓"))</f>
        <v/>
      </c>
      <c r="L1648" s="114" t="str">
        <f aca="true">IF($E1648="","",IF($K1648="✓","Concluído",IF($E1648&lt;TODAY(),"Atrasado",IF($E1648=TODAY(),"Hoje","Pendente"))))</f>
        <v/>
      </c>
      <c r="M1648" s="114" t="str">
        <f aca="false">IF($E1648="","",IF($K1648="✓","✓ ","")&amp;IF(Config!$E$22="Sim",$H1648&amp;" · ","")&amp;$F1648)</f>
        <v/>
      </c>
      <c r="N1648" s="114" t="str">
        <f aca="false">IF($E1648="","",IFERROR(INDEX(Config!$D$15:$D$19,MATCH($I1648,Config!$C$15:$C$19,0)),"OUT")&amp;IF($K1648="✓","x",""))</f>
        <v/>
      </c>
      <c r="O1648" s="114" t="str">
        <f aca="false">IF($E1648="","",COUNTIF($E$5:$E1648,$E1648))</f>
        <v/>
      </c>
      <c r="P1648" s="114" t="str">
        <f aca="false">IF($E1648="","",$E1648*100+$O1648)</f>
        <v/>
      </c>
      <c r="Q1648" s="114" t="str">
        <f aca="false">IF($L1648="Atrasado",$E1648*10000+$A1648,"")</f>
        <v/>
      </c>
    </row>
    <row r="1649" customFormat="false" ht="15" hidden="false" customHeight="false" outlineLevel="0" collapsed="false">
      <c r="A1649" s="114" t="n">
        <f aca="false">ROW()-4</f>
        <v>1645</v>
      </c>
      <c r="B1649" s="114" t="str">
        <f aca="false">IF(A1649&lt;=Config!$E$27*Config!$E$28,"Tema","Avulso")</f>
        <v>Tema</v>
      </c>
      <c r="C1649" s="114" t="n">
        <f aca="false">IF(B1649="Tema",INT((A1649-1)/Config!$E$28)+1,A1649-Config!$E$27*Config!$E$28)</f>
        <v>275</v>
      </c>
      <c r="D1649" s="114" t="n">
        <f aca="false">IF(B1649="Tema",MOD(A1649-1,Config!$E$28)+1,"")</f>
        <v>1</v>
      </c>
      <c r="E1649" s="115" t="str">
        <f aca="false">IF($B1649="Tema",IF(ISNUMBER(INDEX(Temas!$E$6:$P$305,$C1649,2*$D1649-1)),INDEX(Temas!$E$6:$P$305,$C1649,2*$D1649-1),""),IF(ISNUMBER(INDEX(Avulsos!$B$6:$B$205,$C1649)),INDEX(Avulsos!$B$6:$B$205,$C1649),""))</f>
        <v/>
      </c>
      <c r="F1649" s="114" t="str">
        <f aca="false">IF($E1649="","",IF($B1649="Tema",INDEX(Temas!$B$6:$B$305,$C1649)&amp;"",INDEX(Avulsos!$C$6:$C$205,$C1649)&amp;""))</f>
        <v/>
      </c>
      <c r="G1649" s="114" t="str">
        <f aca="false">IF($E1649="","",IF($B1649="Tema",INDEX(Config!$C$6:$C$11,$D1649),"Evento avulso"))</f>
        <v/>
      </c>
      <c r="H1649" s="114" t="str">
        <f aca="false">IF($E1649="","",IF($B1649="Tema",INDEX(Config!$D$6:$D$11,$D1649),IFERROR(INDEX(Config!$E$15:$E$19,MATCH($I1649,Config!$C$15:$C$19,0)),"•")))</f>
        <v/>
      </c>
      <c r="I1649" s="114" t="str">
        <f aca="false">IF($E1649="","",IF($B1649="Tema",INDEX(Config!$E$6:$E$11,$D1649),IF(INDEX(Avulsos!$D$6:$D$205,$C1649)&amp;""="","Outro",INDEX(Avulsos!$D$6:$D$205,$C1649))))</f>
        <v/>
      </c>
      <c r="J1649" s="114" t="str">
        <f aca="false">IF($E1649="","",IF($B1649="Tema",INDEX(Temas!$C$6:$C$305,$C1649)&amp;"",INDEX(Avulsos!$E$6:$E$205,$C1649)&amp;""))</f>
        <v/>
      </c>
      <c r="K1649" s="114" t="str">
        <f aca="false">IF($E1649="","",IF(IF($B1649="Tema",INDEX(Temas!$E$6:$P$305,$C1649,2*$D1649),INDEX(Avulsos!$F$6:$F$205,$C1649))&amp;""="","","✓"))</f>
        <v/>
      </c>
      <c r="L1649" s="114" t="str">
        <f aca="true">IF($E1649="","",IF($K1649="✓","Concluído",IF($E1649&lt;TODAY(),"Atrasado",IF($E1649=TODAY(),"Hoje","Pendente"))))</f>
        <v/>
      </c>
      <c r="M1649" s="114" t="str">
        <f aca="false">IF($E1649="","",IF($K1649="✓","✓ ","")&amp;IF(Config!$E$22="Sim",$H1649&amp;" · ","")&amp;$F1649)</f>
        <v/>
      </c>
      <c r="N1649" s="114" t="str">
        <f aca="false">IF($E1649="","",IFERROR(INDEX(Config!$D$15:$D$19,MATCH($I1649,Config!$C$15:$C$19,0)),"OUT")&amp;IF($K1649="✓","x",""))</f>
        <v/>
      </c>
      <c r="O1649" s="114" t="str">
        <f aca="false">IF($E1649="","",COUNTIF($E$5:$E1649,$E1649))</f>
        <v/>
      </c>
      <c r="P1649" s="114" t="str">
        <f aca="false">IF($E1649="","",$E1649*100+$O1649)</f>
        <v/>
      </c>
      <c r="Q1649" s="114" t="str">
        <f aca="false">IF($L1649="Atrasado",$E1649*10000+$A1649,"")</f>
        <v/>
      </c>
    </row>
    <row r="1650" customFormat="false" ht="15" hidden="false" customHeight="false" outlineLevel="0" collapsed="false">
      <c r="A1650" s="114" t="n">
        <f aca="false">ROW()-4</f>
        <v>1646</v>
      </c>
      <c r="B1650" s="114" t="str">
        <f aca="false">IF(A1650&lt;=Config!$E$27*Config!$E$28,"Tema","Avulso")</f>
        <v>Tema</v>
      </c>
      <c r="C1650" s="114" t="n">
        <f aca="false">IF(B1650="Tema",INT((A1650-1)/Config!$E$28)+1,A1650-Config!$E$27*Config!$E$28)</f>
        <v>275</v>
      </c>
      <c r="D1650" s="114" t="n">
        <f aca="false">IF(B1650="Tema",MOD(A1650-1,Config!$E$28)+1,"")</f>
        <v>2</v>
      </c>
      <c r="E1650" s="115" t="str">
        <f aca="false">IF($B1650="Tema",IF(ISNUMBER(INDEX(Temas!$E$6:$P$305,$C1650,2*$D1650-1)),INDEX(Temas!$E$6:$P$305,$C1650,2*$D1650-1),""),IF(ISNUMBER(INDEX(Avulsos!$B$6:$B$205,$C1650)),INDEX(Avulsos!$B$6:$B$205,$C1650),""))</f>
        <v/>
      </c>
      <c r="F1650" s="114" t="str">
        <f aca="false">IF($E1650="","",IF($B1650="Tema",INDEX(Temas!$B$6:$B$305,$C1650)&amp;"",INDEX(Avulsos!$C$6:$C$205,$C1650)&amp;""))</f>
        <v/>
      </c>
      <c r="G1650" s="114" t="str">
        <f aca="false">IF($E1650="","",IF($B1650="Tema",INDEX(Config!$C$6:$C$11,$D1650),"Evento avulso"))</f>
        <v/>
      </c>
      <c r="H1650" s="114" t="str">
        <f aca="false">IF($E1650="","",IF($B1650="Tema",INDEX(Config!$D$6:$D$11,$D1650),IFERROR(INDEX(Config!$E$15:$E$19,MATCH($I1650,Config!$C$15:$C$19,0)),"•")))</f>
        <v/>
      </c>
      <c r="I1650" s="114" t="str">
        <f aca="false">IF($E1650="","",IF($B1650="Tema",INDEX(Config!$E$6:$E$11,$D1650),IF(INDEX(Avulsos!$D$6:$D$205,$C1650)&amp;""="","Outro",INDEX(Avulsos!$D$6:$D$205,$C1650))))</f>
        <v/>
      </c>
      <c r="J1650" s="114" t="str">
        <f aca="false">IF($E1650="","",IF($B1650="Tema",INDEX(Temas!$C$6:$C$305,$C1650)&amp;"",INDEX(Avulsos!$E$6:$E$205,$C1650)&amp;""))</f>
        <v/>
      </c>
      <c r="K1650" s="114" t="str">
        <f aca="false">IF($E1650="","",IF(IF($B1650="Tema",INDEX(Temas!$E$6:$P$305,$C1650,2*$D1650),INDEX(Avulsos!$F$6:$F$205,$C1650))&amp;""="","","✓"))</f>
        <v/>
      </c>
      <c r="L1650" s="114" t="str">
        <f aca="true">IF($E1650="","",IF($K1650="✓","Concluído",IF($E1650&lt;TODAY(),"Atrasado",IF($E1650=TODAY(),"Hoje","Pendente"))))</f>
        <v/>
      </c>
      <c r="M1650" s="114" t="str">
        <f aca="false">IF($E1650="","",IF($K1650="✓","✓ ","")&amp;IF(Config!$E$22="Sim",$H1650&amp;" · ","")&amp;$F1650)</f>
        <v/>
      </c>
      <c r="N1650" s="114" t="str">
        <f aca="false">IF($E1650="","",IFERROR(INDEX(Config!$D$15:$D$19,MATCH($I1650,Config!$C$15:$C$19,0)),"OUT")&amp;IF($K1650="✓","x",""))</f>
        <v/>
      </c>
      <c r="O1650" s="114" t="str">
        <f aca="false">IF($E1650="","",COUNTIF($E$5:$E1650,$E1650))</f>
        <v/>
      </c>
      <c r="P1650" s="114" t="str">
        <f aca="false">IF($E1650="","",$E1650*100+$O1650)</f>
        <v/>
      </c>
      <c r="Q1650" s="114" t="str">
        <f aca="false">IF($L1650="Atrasado",$E1650*10000+$A1650,"")</f>
        <v/>
      </c>
    </row>
    <row r="1651" customFormat="false" ht="15" hidden="false" customHeight="false" outlineLevel="0" collapsed="false">
      <c r="A1651" s="114" t="n">
        <f aca="false">ROW()-4</f>
        <v>1647</v>
      </c>
      <c r="B1651" s="114" t="str">
        <f aca="false">IF(A1651&lt;=Config!$E$27*Config!$E$28,"Tema","Avulso")</f>
        <v>Tema</v>
      </c>
      <c r="C1651" s="114" t="n">
        <f aca="false">IF(B1651="Tema",INT((A1651-1)/Config!$E$28)+1,A1651-Config!$E$27*Config!$E$28)</f>
        <v>275</v>
      </c>
      <c r="D1651" s="114" t="n">
        <f aca="false">IF(B1651="Tema",MOD(A1651-1,Config!$E$28)+1,"")</f>
        <v>3</v>
      </c>
      <c r="E1651" s="115" t="str">
        <f aca="false">IF($B1651="Tema",IF(ISNUMBER(INDEX(Temas!$E$6:$P$305,$C1651,2*$D1651-1)),INDEX(Temas!$E$6:$P$305,$C1651,2*$D1651-1),""),IF(ISNUMBER(INDEX(Avulsos!$B$6:$B$205,$C1651)),INDEX(Avulsos!$B$6:$B$205,$C1651),""))</f>
        <v/>
      </c>
      <c r="F1651" s="114" t="str">
        <f aca="false">IF($E1651="","",IF($B1651="Tema",INDEX(Temas!$B$6:$B$305,$C1651)&amp;"",INDEX(Avulsos!$C$6:$C$205,$C1651)&amp;""))</f>
        <v/>
      </c>
      <c r="G1651" s="114" t="str">
        <f aca="false">IF($E1651="","",IF($B1651="Tema",INDEX(Config!$C$6:$C$11,$D1651),"Evento avulso"))</f>
        <v/>
      </c>
      <c r="H1651" s="114" t="str">
        <f aca="false">IF($E1651="","",IF($B1651="Tema",INDEX(Config!$D$6:$D$11,$D1651),IFERROR(INDEX(Config!$E$15:$E$19,MATCH($I1651,Config!$C$15:$C$19,0)),"•")))</f>
        <v/>
      </c>
      <c r="I1651" s="114" t="str">
        <f aca="false">IF($E1651="","",IF($B1651="Tema",INDEX(Config!$E$6:$E$11,$D1651),IF(INDEX(Avulsos!$D$6:$D$205,$C1651)&amp;""="","Outro",INDEX(Avulsos!$D$6:$D$205,$C1651))))</f>
        <v/>
      </c>
      <c r="J1651" s="114" t="str">
        <f aca="false">IF($E1651="","",IF($B1651="Tema",INDEX(Temas!$C$6:$C$305,$C1651)&amp;"",INDEX(Avulsos!$E$6:$E$205,$C1651)&amp;""))</f>
        <v/>
      </c>
      <c r="K1651" s="114" t="str">
        <f aca="false">IF($E1651="","",IF(IF($B1651="Tema",INDEX(Temas!$E$6:$P$305,$C1651,2*$D1651),INDEX(Avulsos!$F$6:$F$205,$C1651))&amp;""="","","✓"))</f>
        <v/>
      </c>
      <c r="L1651" s="114" t="str">
        <f aca="true">IF($E1651="","",IF($K1651="✓","Concluído",IF($E1651&lt;TODAY(),"Atrasado",IF($E1651=TODAY(),"Hoje","Pendente"))))</f>
        <v/>
      </c>
      <c r="M1651" s="114" t="str">
        <f aca="false">IF($E1651="","",IF($K1651="✓","✓ ","")&amp;IF(Config!$E$22="Sim",$H1651&amp;" · ","")&amp;$F1651)</f>
        <v/>
      </c>
      <c r="N1651" s="114" t="str">
        <f aca="false">IF($E1651="","",IFERROR(INDEX(Config!$D$15:$D$19,MATCH($I1651,Config!$C$15:$C$19,0)),"OUT")&amp;IF($K1651="✓","x",""))</f>
        <v/>
      </c>
      <c r="O1651" s="114" t="str">
        <f aca="false">IF($E1651="","",COUNTIF($E$5:$E1651,$E1651))</f>
        <v/>
      </c>
      <c r="P1651" s="114" t="str">
        <f aca="false">IF($E1651="","",$E1651*100+$O1651)</f>
        <v/>
      </c>
      <c r="Q1651" s="114" t="str">
        <f aca="false">IF($L1651="Atrasado",$E1651*10000+$A1651,"")</f>
        <v/>
      </c>
    </row>
    <row r="1652" customFormat="false" ht="15" hidden="false" customHeight="false" outlineLevel="0" collapsed="false">
      <c r="A1652" s="114" t="n">
        <f aca="false">ROW()-4</f>
        <v>1648</v>
      </c>
      <c r="B1652" s="114" t="str">
        <f aca="false">IF(A1652&lt;=Config!$E$27*Config!$E$28,"Tema","Avulso")</f>
        <v>Tema</v>
      </c>
      <c r="C1652" s="114" t="n">
        <f aca="false">IF(B1652="Tema",INT((A1652-1)/Config!$E$28)+1,A1652-Config!$E$27*Config!$E$28)</f>
        <v>275</v>
      </c>
      <c r="D1652" s="114" t="n">
        <f aca="false">IF(B1652="Tema",MOD(A1652-1,Config!$E$28)+1,"")</f>
        <v>4</v>
      </c>
      <c r="E1652" s="115" t="str">
        <f aca="false">IF($B1652="Tema",IF(ISNUMBER(INDEX(Temas!$E$6:$P$305,$C1652,2*$D1652-1)),INDEX(Temas!$E$6:$P$305,$C1652,2*$D1652-1),""),IF(ISNUMBER(INDEX(Avulsos!$B$6:$B$205,$C1652)),INDEX(Avulsos!$B$6:$B$205,$C1652),""))</f>
        <v/>
      </c>
      <c r="F1652" s="114" t="str">
        <f aca="false">IF($E1652="","",IF($B1652="Tema",INDEX(Temas!$B$6:$B$305,$C1652)&amp;"",INDEX(Avulsos!$C$6:$C$205,$C1652)&amp;""))</f>
        <v/>
      </c>
      <c r="G1652" s="114" t="str">
        <f aca="false">IF($E1652="","",IF($B1652="Tema",INDEX(Config!$C$6:$C$11,$D1652),"Evento avulso"))</f>
        <v/>
      </c>
      <c r="H1652" s="114" t="str">
        <f aca="false">IF($E1652="","",IF($B1652="Tema",INDEX(Config!$D$6:$D$11,$D1652),IFERROR(INDEX(Config!$E$15:$E$19,MATCH($I1652,Config!$C$15:$C$19,0)),"•")))</f>
        <v/>
      </c>
      <c r="I1652" s="114" t="str">
        <f aca="false">IF($E1652="","",IF($B1652="Tema",INDEX(Config!$E$6:$E$11,$D1652),IF(INDEX(Avulsos!$D$6:$D$205,$C1652)&amp;""="","Outro",INDEX(Avulsos!$D$6:$D$205,$C1652))))</f>
        <v/>
      </c>
      <c r="J1652" s="114" t="str">
        <f aca="false">IF($E1652="","",IF($B1652="Tema",INDEX(Temas!$C$6:$C$305,$C1652)&amp;"",INDEX(Avulsos!$E$6:$E$205,$C1652)&amp;""))</f>
        <v/>
      </c>
      <c r="K1652" s="114" t="str">
        <f aca="false">IF($E1652="","",IF(IF($B1652="Tema",INDEX(Temas!$E$6:$P$305,$C1652,2*$D1652),INDEX(Avulsos!$F$6:$F$205,$C1652))&amp;""="","","✓"))</f>
        <v/>
      </c>
      <c r="L1652" s="114" t="str">
        <f aca="true">IF($E1652="","",IF($K1652="✓","Concluído",IF($E1652&lt;TODAY(),"Atrasado",IF($E1652=TODAY(),"Hoje","Pendente"))))</f>
        <v/>
      </c>
      <c r="M1652" s="114" t="str">
        <f aca="false">IF($E1652="","",IF($K1652="✓","✓ ","")&amp;IF(Config!$E$22="Sim",$H1652&amp;" · ","")&amp;$F1652)</f>
        <v/>
      </c>
      <c r="N1652" s="114" t="str">
        <f aca="false">IF($E1652="","",IFERROR(INDEX(Config!$D$15:$D$19,MATCH($I1652,Config!$C$15:$C$19,0)),"OUT")&amp;IF($K1652="✓","x",""))</f>
        <v/>
      </c>
      <c r="O1652" s="114" t="str">
        <f aca="false">IF($E1652="","",COUNTIF($E$5:$E1652,$E1652))</f>
        <v/>
      </c>
      <c r="P1652" s="114" t="str">
        <f aca="false">IF($E1652="","",$E1652*100+$O1652)</f>
        <v/>
      </c>
      <c r="Q1652" s="114" t="str">
        <f aca="false">IF($L1652="Atrasado",$E1652*10000+$A1652,"")</f>
        <v/>
      </c>
    </row>
    <row r="1653" customFormat="false" ht="15" hidden="false" customHeight="false" outlineLevel="0" collapsed="false">
      <c r="A1653" s="114" t="n">
        <f aca="false">ROW()-4</f>
        <v>1649</v>
      </c>
      <c r="B1653" s="114" t="str">
        <f aca="false">IF(A1653&lt;=Config!$E$27*Config!$E$28,"Tema","Avulso")</f>
        <v>Tema</v>
      </c>
      <c r="C1653" s="114" t="n">
        <f aca="false">IF(B1653="Tema",INT((A1653-1)/Config!$E$28)+1,A1653-Config!$E$27*Config!$E$28)</f>
        <v>275</v>
      </c>
      <c r="D1653" s="114" t="n">
        <f aca="false">IF(B1653="Tema",MOD(A1653-1,Config!$E$28)+1,"")</f>
        <v>5</v>
      </c>
      <c r="E1653" s="115" t="str">
        <f aca="false">IF($B1653="Tema",IF(ISNUMBER(INDEX(Temas!$E$6:$P$305,$C1653,2*$D1653-1)),INDEX(Temas!$E$6:$P$305,$C1653,2*$D1653-1),""),IF(ISNUMBER(INDEX(Avulsos!$B$6:$B$205,$C1653)),INDEX(Avulsos!$B$6:$B$205,$C1653),""))</f>
        <v/>
      </c>
      <c r="F1653" s="114" t="str">
        <f aca="false">IF($E1653="","",IF($B1653="Tema",INDEX(Temas!$B$6:$B$305,$C1653)&amp;"",INDEX(Avulsos!$C$6:$C$205,$C1653)&amp;""))</f>
        <v/>
      </c>
      <c r="G1653" s="114" t="str">
        <f aca="false">IF($E1653="","",IF($B1653="Tema",INDEX(Config!$C$6:$C$11,$D1653),"Evento avulso"))</f>
        <v/>
      </c>
      <c r="H1653" s="114" t="str">
        <f aca="false">IF($E1653="","",IF($B1653="Tema",INDEX(Config!$D$6:$D$11,$D1653),IFERROR(INDEX(Config!$E$15:$E$19,MATCH($I1653,Config!$C$15:$C$19,0)),"•")))</f>
        <v/>
      </c>
      <c r="I1653" s="114" t="str">
        <f aca="false">IF($E1653="","",IF($B1653="Tema",INDEX(Config!$E$6:$E$11,$D1653),IF(INDEX(Avulsos!$D$6:$D$205,$C1653)&amp;""="","Outro",INDEX(Avulsos!$D$6:$D$205,$C1653))))</f>
        <v/>
      </c>
      <c r="J1653" s="114" t="str">
        <f aca="false">IF($E1653="","",IF($B1653="Tema",INDEX(Temas!$C$6:$C$305,$C1653)&amp;"",INDEX(Avulsos!$E$6:$E$205,$C1653)&amp;""))</f>
        <v/>
      </c>
      <c r="K1653" s="114" t="str">
        <f aca="false">IF($E1653="","",IF(IF($B1653="Tema",INDEX(Temas!$E$6:$P$305,$C1653,2*$D1653),INDEX(Avulsos!$F$6:$F$205,$C1653))&amp;""="","","✓"))</f>
        <v/>
      </c>
      <c r="L1653" s="114" t="str">
        <f aca="true">IF($E1653="","",IF($K1653="✓","Concluído",IF($E1653&lt;TODAY(),"Atrasado",IF($E1653=TODAY(),"Hoje","Pendente"))))</f>
        <v/>
      </c>
      <c r="M1653" s="114" t="str">
        <f aca="false">IF($E1653="","",IF($K1653="✓","✓ ","")&amp;IF(Config!$E$22="Sim",$H1653&amp;" · ","")&amp;$F1653)</f>
        <v/>
      </c>
      <c r="N1653" s="114" t="str">
        <f aca="false">IF($E1653="","",IFERROR(INDEX(Config!$D$15:$D$19,MATCH($I1653,Config!$C$15:$C$19,0)),"OUT")&amp;IF($K1653="✓","x",""))</f>
        <v/>
      </c>
      <c r="O1653" s="114" t="str">
        <f aca="false">IF($E1653="","",COUNTIF($E$5:$E1653,$E1653))</f>
        <v/>
      </c>
      <c r="P1653" s="114" t="str">
        <f aca="false">IF($E1653="","",$E1653*100+$O1653)</f>
        <v/>
      </c>
      <c r="Q1653" s="114" t="str">
        <f aca="false">IF($L1653="Atrasado",$E1653*10000+$A1653,"")</f>
        <v/>
      </c>
    </row>
    <row r="1654" customFormat="false" ht="15" hidden="false" customHeight="false" outlineLevel="0" collapsed="false">
      <c r="A1654" s="114" t="n">
        <f aca="false">ROW()-4</f>
        <v>1650</v>
      </c>
      <c r="B1654" s="114" t="str">
        <f aca="false">IF(A1654&lt;=Config!$E$27*Config!$E$28,"Tema","Avulso")</f>
        <v>Tema</v>
      </c>
      <c r="C1654" s="114" t="n">
        <f aca="false">IF(B1654="Tema",INT((A1654-1)/Config!$E$28)+1,A1654-Config!$E$27*Config!$E$28)</f>
        <v>275</v>
      </c>
      <c r="D1654" s="114" t="n">
        <f aca="false">IF(B1654="Tema",MOD(A1654-1,Config!$E$28)+1,"")</f>
        <v>6</v>
      </c>
      <c r="E1654" s="115" t="str">
        <f aca="false">IF($B1654="Tema",IF(ISNUMBER(INDEX(Temas!$E$6:$P$305,$C1654,2*$D1654-1)),INDEX(Temas!$E$6:$P$305,$C1654,2*$D1654-1),""),IF(ISNUMBER(INDEX(Avulsos!$B$6:$B$205,$C1654)),INDEX(Avulsos!$B$6:$B$205,$C1654),""))</f>
        <v/>
      </c>
      <c r="F1654" s="114" t="str">
        <f aca="false">IF($E1654="","",IF($B1654="Tema",INDEX(Temas!$B$6:$B$305,$C1654)&amp;"",INDEX(Avulsos!$C$6:$C$205,$C1654)&amp;""))</f>
        <v/>
      </c>
      <c r="G1654" s="114" t="str">
        <f aca="false">IF($E1654="","",IF($B1654="Tema",INDEX(Config!$C$6:$C$11,$D1654),"Evento avulso"))</f>
        <v/>
      </c>
      <c r="H1654" s="114" t="str">
        <f aca="false">IF($E1654="","",IF($B1654="Tema",INDEX(Config!$D$6:$D$11,$D1654),IFERROR(INDEX(Config!$E$15:$E$19,MATCH($I1654,Config!$C$15:$C$19,0)),"•")))</f>
        <v/>
      </c>
      <c r="I1654" s="114" t="str">
        <f aca="false">IF($E1654="","",IF($B1654="Tema",INDEX(Config!$E$6:$E$11,$D1654),IF(INDEX(Avulsos!$D$6:$D$205,$C1654)&amp;""="","Outro",INDEX(Avulsos!$D$6:$D$205,$C1654))))</f>
        <v/>
      </c>
      <c r="J1654" s="114" t="str">
        <f aca="false">IF($E1654="","",IF($B1654="Tema",INDEX(Temas!$C$6:$C$305,$C1654)&amp;"",INDEX(Avulsos!$E$6:$E$205,$C1654)&amp;""))</f>
        <v/>
      </c>
      <c r="K1654" s="114" t="str">
        <f aca="false">IF($E1654="","",IF(IF($B1654="Tema",INDEX(Temas!$E$6:$P$305,$C1654,2*$D1654),INDEX(Avulsos!$F$6:$F$205,$C1654))&amp;""="","","✓"))</f>
        <v/>
      </c>
      <c r="L1654" s="114" t="str">
        <f aca="true">IF($E1654="","",IF($K1654="✓","Concluído",IF($E1654&lt;TODAY(),"Atrasado",IF($E1654=TODAY(),"Hoje","Pendente"))))</f>
        <v/>
      </c>
      <c r="M1654" s="114" t="str">
        <f aca="false">IF($E1654="","",IF($K1654="✓","✓ ","")&amp;IF(Config!$E$22="Sim",$H1654&amp;" · ","")&amp;$F1654)</f>
        <v/>
      </c>
      <c r="N1654" s="114" t="str">
        <f aca="false">IF($E1654="","",IFERROR(INDEX(Config!$D$15:$D$19,MATCH($I1654,Config!$C$15:$C$19,0)),"OUT")&amp;IF($K1654="✓","x",""))</f>
        <v/>
      </c>
      <c r="O1654" s="114" t="str">
        <f aca="false">IF($E1654="","",COUNTIF($E$5:$E1654,$E1654))</f>
        <v/>
      </c>
      <c r="P1654" s="114" t="str">
        <f aca="false">IF($E1654="","",$E1654*100+$O1654)</f>
        <v/>
      </c>
      <c r="Q1654" s="114" t="str">
        <f aca="false">IF($L1654="Atrasado",$E1654*10000+$A1654,"")</f>
        <v/>
      </c>
    </row>
    <row r="1655" customFormat="false" ht="15" hidden="false" customHeight="false" outlineLevel="0" collapsed="false">
      <c r="A1655" s="114" t="n">
        <f aca="false">ROW()-4</f>
        <v>1651</v>
      </c>
      <c r="B1655" s="114" t="str">
        <f aca="false">IF(A1655&lt;=Config!$E$27*Config!$E$28,"Tema","Avulso")</f>
        <v>Tema</v>
      </c>
      <c r="C1655" s="114" t="n">
        <f aca="false">IF(B1655="Tema",INT((A1655-1)/Config!$E$28)+1,A1655-Config!$E$27*Config!$E$28)</f>
        <v>276</v>
      </c>
      <c r="D1655" s="114" t="n">
        <f aca="false">IF(B1655="Tema",MOD(A1655-1,Config!$E$28)+1,"")</f>
        <v>1</v>
      </c>
      <c r="E1655" s="115" t="str">
        <f aca="false">IF($B1655="Tema",IF(ISNUMBER(INDEX(Temas!$E$6:$P$305,$C1655,2*$D1655-1)),INDEX(Temas!$E$6:$P$305,$C1655,2*$D1655-1),""),IF(ISNUMBER(INDEX(Avulsos!$B$6:$B$205,$C1655)),INDEX(Avulsos!$B$6:$B$205,$C1655),""))</f>
        <v/>
      </c>
      <c r="F1655" s="114" t="str">
        <f aca="false">IF($E1655="","",IF($B1655="Tema",INDEX(Temas!$B$6:$B$305,$C1655)&amp;"",INDEX(Avulsos!$C$6:$C$205,$C1655)&amp;""))</f>
        <v/>
      </c>
      <c r="G1655" s="114" t="str">
        <f aca="false">IF($E1655="","",IF($B1655="Tema",INDEX(Config!$C$6:$C$11,$D1655),"Evento avulso"))</f>
        <v/>
      </c>
      <c r="H1655" s="114" t="str">
        <f aca="false">IF($E1655="","",IF($B1655="Tema",INDEX(Config!$D$6:$D$11,$D1655),IFERROR(INDEX(Config!$E$15:$E$19,MATCH($I1655,Config!$C$15:$C$19,0)),"•")))</f>
        <v/>
      </c>
      <c r="I1655" s="114" t="str">
        <f aca="false">IF($E1655="","",IF($B1655="Tema",INDEX(Config!$E$6:$E$11,$D1655),IF(INDEX(Avulsos!$D$6:$D$205,$C1655)&amp;""="","Outro",INDEX(Avulsos!$D$6:$D$205,$C1655))))</f>
        <v/>
      </c>
      <c r="J1655" s="114" t="str">
        <f aca="false">IF($E1655="","",IF($B1655="Tema",INDEX(Temas!$C$6:$C$305,$C1655)&amp;"",INDEX(Avulsos!$E$6:$E$205,$C1655)&amp;""))</f>
        <v/>
      </c>
      <c r="K1655" s="114" t="str">
        <f aca="false">IF($E1655="","",IF(IF($B1655="Tema",INDEX(Temas!$E$6:$P$305,$C1655,2*$D1655),INDEX(Avulsos!$F$6:$F$205,$C1655))&amp;""="","","✓"))</f>
        <v/>
      </c>
      <c r="L1655" s="114" t="str">
        <f aca="true">IF($E1655="","",IF($K1655="✓","Concluído",IF($E1655&lt;TODAY(),"Atrasado",IF($E1655=TODAY(),"Hoje","Pendente"))))</f>
        <v/>
      </c>
      <c r="M1655" s="114" t="str">
        <f aca="false">IF($E1655="","",IF($K1655="✓","✓ ","")&amp;IF(Config!$E$22="Sim",$H1655&amp;" · ","")&amp;$F1655)</f>
        <v/>
      </c>
      <c r="N1655" s="114" t="str">
        <f aca="false">IF($E1655="","",IFERROR(INDEX(Config!$D$15:$D$19,MATCH($I1655,Config!$C$15:$C$19,0)),"OUT")&amp;IF($K1655="✓","x",""))</f>
        <v/>
      </c>
      <c r="O1655" s="114" t="str">
        <f aca="false">IF($E1655="","",COUNTIF($E$5:$E1655,$E1655))</f>
        <v/>
      </c>
      <c r="P1655" s="114" t="str">
        <f aca="false">IF($E1655="","",$E1655*100+$O1655)</f>
        <v/>
      </c>
      <c r="Q1655" s="114" t="str">
        <f aca="false">IF($L1655="Atrasado",$E1655*10000+$A1655,"")</f>
        <v/>
      </c>
    </row>
    <row r="1656" customFormat="false" ht="15" hidden="false" customHeight="false" outlineLevel="0" collapsed="false">
      <c r="A1656" s="114" t="n">
        <f aca="false">ROW()-4</f>
        <v>1652</v>
      </c>
      <c r="B1656" s="114" t="str">
        <f aca="false">IF(A1656&lt;=Config!$E$27*Config!$E$28,"Tema","Avulso")</f>
        <v>Tema</v>
      </c>
      <c r="C1656" s="114" t="n">
        <f aca="false">IF(B1656="Tema",INT((A1656-1)/Config!$E$28)+1,A1656-Config!$E$27*Config!$E$28)</f>
        <v>276</v>
      </c>
      <c r="D1656" s="114" t="n">
        <f aca="false">IF(B1656="Tema",MOD(A1656-1,Config!$E$28)+1,"")</f>
        <v>2</v>
      </c>
      <c r="E1656" s="115" t="str">
        <f aca="false">IF($B1656="Tema",IF(ISNUMBER(INDEX(Temas!$E$6:$P$305,$C1656,2*$D1656-1)),INDEX(Temas!$E$6:$P$305,$C1656,2*$D1656-1),""),IF(ISNUMBER(INDEX(Avulsos!$B$6:$B$205,$C1656)),INDEX(Avulsos!$B$6:$B$205,$C1656),""))</f>
        <v/>
      </c>
      <c r="F1656" s="114" t="str">
        <f aca="false">IF($E1656="","",IF($B1656="Tema",INDEX(Temas!$B$6:$B$305,$C1656)&amp;"",INDEX(Avulsos!$C$6:$C$205,$C1656)&amp;""))</f>
        <v/>
      </c>
      <c r="G1656" s="114" t="str">
        <f aca="false">IF($E1656="","",IF($B1656="Tema",INDEX(Config!$C$6:$C$11,$D1656),"Evento avulso"))</f>
        <v/>
      </c>
      <c r="H1656" s="114" t="str">
        <f aca="false">IF($E1656="","",IF($B1656="Tema",INDEX(Config!$D$6:$D$11,$D1656),IFERROR(INDEX(Config!$E$15:$E$19,MATCH($I1656,Config!$C$15:$C$19,0)),"•")))</f>
        <v/>
      </c>
      <c r="I1656" s="114" t="str">
        <f aca="false">IF($E1656="","",IF($B1656="Tema",INDEX(Config!$E$6:$E$11,$D1656),IF(INDEX(Avulsos!$D$6:$D$205,$C1656)&amp;""="","Outro",INDEX(Avulsos!$D$6:$D$205,$C1656))))</f>
        <v/>
      </c>
      <c r="J1656" s="114" t="str">
        <f aca="false">IF($E1656="","",IF($B1656="Tema",INDEX(Temas!$C$6:$C$305,$C1656)&amp;"",INDEX(Avulsos!$E$6:$E$205,$C1656)&amp;""))</f>
        <v/>
      </c>
      <c r="K1656" s="114" t="str">
        <f aca="false">IF($E1656="","",IF(IF($B1656="Tema",INDEX(Temas!$E$6:$P$305,$C1656,2*$D1656),INDEX(Avulsos!$F$6:$F$205,$C1656))&amp;""="","","✓"))</f>
        <v/>
      </c>
      <c r="L1656" s="114" t="str">
        <f aca="true">IF($E1656="","",IF($K1656="✓","Concluído",IF($E1656&lt;TODAY(),"Atrasado",IF($E1656=TODAY(),"Hoje","Pendente"))))</f>
        <v/>
      </c>
      <c r="M1656" s="114" t="str">
        <f aca="false">IF($E1656="","",IF($K1656="✓","✓ ","")&amp;IF(Config!$E$22="Sim",$H1656&amp;" · ","")&amp;$F1656)</f>
        <v/>
      </c>
      <c r="N1656" s="114" t="str">
        <f aca="false">IF($E1656="","",IFERROR(INDEX(Config!$D$15:$D$19,MATCH($I1656,Config!$C$15:$C$19,0)),"OUT")&amp;IF($K1656="✓","x",""))</f>
        <v/>
      </c>
      <c r="O1656" s="114" t="str">
        <f aca="false">IF($E1656="","",COUNTIF($E$5:$E1656,$E1656))</f>
        <v/>
      </c>
      <c r="P1656" s="114" t="str">
        <f aca="false">IF($E1656="","",$E1656*100+$O1656)</f>
        <v/>
      </c>
      <c r="Q1656" s="114" t="str">
        <f aca="false">IF($L1656="Atrasado",$E1656*10000+$A1656,"")</f>
        <v/>
      </c>
    </row>
    <row r="1657" customFormat="false" ht="15" hidden="false" customHeight="false" outlineLevel="0" collapsed="false">
      <c r="A1657" s="114" t="n">
        <f aca="false">ROW()-4</f>
        <v>1653</v>
      </c>
      <c r="B1657" s="114" t="str">
        <f aca="false">IF(A1657&lt;=Config!$E$27*Config!$E$28,"Tema","Avulso")</f>
        <v>Tema</v>
      </c>
      <c r="C1657" s="114" t="n">
        <f aca="false">IF(B1657="Tema",INT((A1657-1)/Config!$E$28)+1,A1657-Config!$E$27*Config!$E$28)</f>
        <v>276</v>
      </c>
      <c r="D1657" s="114" t="n">
        <f aca="false">IF(B1657="Tema",MOD(A1657-1,Config!$E$28)+1,"")</f>
        <v>3</v>
      </c>
      <c r="E1657" s="115" t="str">
        <f aca="false">IF($B1657="Tema",IF(ISNUMBER(INDEX(Temas!$E$6:$P$305,$C1657,2*$D1657-1)),INDEX(Temas!$E$6:$P$305,$C1657,2*$D1657-1),""),IF(ISNUMBER(INDEX(Avulsos!$B$6:$B$205,$C1657)),INDEX(Avulsos!$B$6:$B$205,$C1657),""))</f>
        <v/>
      </c>
      <c r="F1657" s="114" t="str">
        <f aca="false">IF($E1657="","",IF($B1657="Tema",INDEX(Temas!$B$6:$B$305,$C1657)&amp;"",INDEX(Avulsos!$C$6:$C$205,$C1657)&amp;""))</f>
        <v/>
      </c>
      <c r="G1657" s="114" t="str">
        <f aca="false">IF($E1657="","",IF($B1657="Tema",INDEX(Config!$C$6:$C$11,$D1657),"Evento avulso"))</f>
        <v/>
      </c>
      <c r="H1657" s="114" t="str">
        <f aca="false">IF($E1657="","",IF($B1657="Tema",INDEX(Config!$D$6:$D$11,$D1657),IFERROR(INDEX(Config!$E$15:$E$19,MATCH($I1657,Config!$C$15:$C$19,0)),"•")))</f>
        <v/>
      </c>
      <c r="I1657" s="114" t="str">
        <f aca="false">IF($E1657="","",IF($B1657="Tema",INDEX(Config!$E$6:$E$11,$D1657),IF(INDEX(Avulsos!$D$6:$D$205,$C1657)&amp;""="","Outro",INDEX(Avulsos!$D$6:$D$205,$C1657))))</f>
        <v/>
      </c>
      <c r="J1657" s="114" t="str">
        <f aca="false">IF($E1657="","",IF($B1657="Tema",INDEX(Temas!$C$6:$C$305,$C1657)&amp;"",INDEX(Avulsos!$E$6:$E$205,$C1657)&amp;""))</f>
        <v/>
      </c>
      <c r="K1657" s="114" t="str">
        <f aca="false">IF($E1657="","",IF(IF($B1657="Tema",INDEX(Temas!$E$6:$P$305,$C1657,2*$D1657),INDEX(Avulsos!$F$6:$F$205,$C1657))&amp;""="","","✓"))</f>
        <v/>
      </c>
      <c r="L1657" s="114" t="str">
        <f aca="true">IF($E1657="","",IF($K1657="✓","Concluído",IF($E1657&lt;TODAY(),"Atrasado",IF($E1657=TODAY(),"Hoje","Pendente"))))</f>
        <v/>
      </c>
      <c r="M1657" s="114" t="str">
        <f aca="false">IF($E1657="","",IF($K1657="✓","✓ ","")&amp;IF(Config!$E$22="Sim",$H1657&amp;" · ","")&amp;$F1657)</f>
        <v/>
      </c>
      <c r="N1657" s="114" t="str">
        <f aca="false">IF($E1657="","",IFERROR(INDEX(Config!$D$15:$D$19,MATCH($I1657,Config!$C$15:$C$19,0)),"OUT")&amp;IF($K1657="✓","x",""))</f>
        <v/>
      </c>
      <c r="O1657" s="114" t="str">
        <f aca="false">IF($E1657="","",COUNTIF($E$5:$E1657,$E1657))</f>
        <v/>
      </c>
      <c r="P1657" s="114" t="str">
        <f aca="false">IF($E1657="","",$E1657*100+$O1657)</f>
        <v/>
      </c>
      <c r="Q1657" s="114" t="str">
        <f aca="false">IF($L1657="Atrasado",$E1657*10000+$A1657,"")</f>
        <v/>
      </c>
    </row>
    <row r="1658" customFormat="false" ht="15" hidden="false" customHeight="false" outlineLevel="0" collapsed="false">
      <c r="A1658" s="114" t="n">
        <f aca="false">ROW()-4</f>
        <v>1654</v>
      </c>
      <c r="B1658" s="114" t="str">
        <f aca="false">IF(A1658&lt;=Config!$E$27*Config!$E$28,"Tema","Avulso")</f>
        <v>Tema</v>
      </c>
      <c r="C1658" s="114" t="n">
        <f aca="false">IF(B1658="Tema",INT((A1658-1)/Config!$E$28)+1,A1658-Config!$E$27*Config!$E$28)</f>
        <v>276</v>
      </c>
      <c r="D1658" s="114" t="n">
        <f aca="false">IF(B1658="Tema",MOD(A1658-1,Config!$E$28)+1,"")</f>
        <v>4</v>
      </c>
      <c r="E1658" s="115" t="str">
        <f aca="false">IF($B1658="Tema",IF(ISNUMBER(INDEX(Temas!$E$6:$P$305,$C1658,2*$D1658-1)),INDEX(Temas!$E$6:$P$305,$C1658,2*$D1658-1),""),IF(ISNUMBER(INDEX(Avulsos!$B$6:$B$205,$C1658)),INDEX(Avulsos!$B$6:$B$205,$C1658),""))</f>
        <v/>
      </c>
      <c r="F1658" s="114" t="str">
        <f aca="false">IF($E1658="","",IF($B1658="Tema",INDEX(Temas!$B$6:$B$305,$C1658)&amp;"",INDEX(Avulsos!$C$6:$C$205,$C1658)&amp;""))</f>
        <v/>
      </c>
      <c r="G1658" s="114" t="str">
        <f aca="false">IF($E1658="","",IF($B1658="Tema",INDEX(Config!$C$6:$C$11,$D1658),"Evento avulso"))</f>
        <v/>
      </c>
      <c r="H1658" s="114" t="str">
        <f aca="false">IF($E1658="","",IF($B1658="Tema",INDEX(Config!$D$6:$D$11,$D1658),IFERROR(INDEX(Config!$E$15:$E$19,MATCH($I1658,Config!$C$15:$C$19,0)),"•")))</f>
        <v/>
      </c>
      <c r="I1658" s="114" t="str">
        <f aca="false">IF($E1658="","",IF($B1658="Tema",INDEX(Config!$E$6:$E$11,$D1658),IF(INDEX(Avulsos!$D$6:$D$205,$C1658)&amp;""="","Outro",INDEX(Avulsos!$D$6:$D$205,$C1658))))</f>
        <v/>
      </c>
      <c r="J1658" s="114" t="str">
        <f aca="false">IF($E1658="","",IF($B1658="Tema",INDEX(Temas!$C$6:$C$305,$C1658)&amp;"",INDEX(Avulsos!$E$6:$E$205,$C1658)&amp;""))</f>
        <v/>
      </c>
      <c r="K1658" s="114" t="str">
        <f aca="false">IF($E1658="","",IF(IF($B1658="Tema",INDEX(Temas!$E$6:$P$305,$C1658,2*$D1658),INDEX(Avulsos!$F$6:$F$205,$C1658))&amp;""="","","✓"))</f>
        <v/>
      </c>
      <c r="L1658" s="114" t="str">
        <f aca="true">IF($E1658="","",IF($K1658="✓","Concluído",IF($E1658&lt;TODAY(),"Atrasado",IF($E1658=TODAY(),"Hoje","Pendente"))))</f>
        <v/>
      </c>
      <c r="M1658" s="114" t="str">
        <f aca="false">IF($E1658="","",IF($K1658="✓","✓ ","")&amp;IF(Config!$E$22="Sim",$H1658&amp;" · ","")&amp;$F1658)</f>
        <v/>
      </c>
      <c r="N1658" s="114" t="str">
        <f aca="false">IF($E1658="","",IFERROR(INDEX(Config!$D$15:$D$19,MATCH($I1658,Config!$C$15:$C$19,0)),"OUT")&amp;IF($K1658="✓","x",""))</f>
        <v/>
      </c>
      <c r="O1658" s="114" t="str">
        <f aca="false">IF($E1658="","",COUNTIF($E$5:$E1658,$E1658))</f>
        <v/>
      </c>
      <c r="P1658" s="114" t="str">
        <f aca="false">IF($E1658="","",$E1658*100+$O1658)</f>
        <v/>
      </c>
      <c r="Q1658" s="114" t="str">
        <f aca="false">IF($L1658="Atrasado",$E1658*10000+$A1658,"")</f>
        <v/>
      </c>
    </row>
    <row r="1659" customFormat="false" ht="15" hidden="false" customHeight="false" outlineLevel="0" collapsed="false">
      <c r="A1659" s="114" t="n">
        <f aca="false">ROW()-4</f>
        <v>1655</v>
      </c>
      <c r="B1659" s="114" t="str">
        <f aca="false">IF(A1659&lt;=Config!$E$27*Config!$E$28,"Tema","Avulso")</f>
        <v>Tema</v>
      </c>
      <c r="C1659" s="114" t="n">
        <f aca="false">IF(B1659="Tema",INT((A1659-1)/Config!$E$28)+1,A1659-Config!$E$27*Config!$E$28)</f>
        <v>276</v>
      </c>
      <c r="D1659" s="114" t="n">
        <f aca="false">IF(B1659="Tema",MOD(A1659-1,Config!$E$28)+1,"")</f>
        <v>5</v>
      </c>
      <c r="E1659" s="115" t="str">
        <f aca="false">IF($B1659="Tema",IF(ISNUMBER(INDEX(Temas!$E$6:$P$305,$C1659,2*$D1659-1)),INDEX(Temas!$E$6:$P$305,$C1659,2*$D1659-1),""),IF(ISNUMBER(INDEX(Avulsos!$B$6:$B$205,$C1659)),INDEX(Avulsos!$B$6:$B$205,$C1659),""))</f>
        <v/>
      </c>
      <c r="F1659" s="114" t="str">
        <f aca="false">IF($E1659="","",IF($B1659="Tema",INDEX(Temas!$B$6:$B$305,$C1659)&amp;"",INDEX(Avulsos!$C$6:$C$205,$C1659)&amp;""))</f>
        <v/>
      </c>
      <c r="G1659" s="114" t="str">
        <f aca="false">IF($E1659="","",IF($B1659="Tema",INDEX(Config!$C$6:$C$11,$D1659),"Evento avulso"))</f>
        <v/>
      </c>
      <c r="H1659" s="114" t="str">
        <f aca="false">IF($E1659="","",IF($B1659="Tema",INDEX(Config!$D$6:$D$11,$D1659),IFERROR(INDEX(Config!$E$15:$E$19,MATCH($I1659,Config!$C$15:$C$19,0)),"•")))</f>
        <v/>
      </c>
      <c r="I1659" s="114" t="str">
        <f aca="false">IF($E1659="","",IF($B1659="Tema",INDEX(Config!$E$6:$E$11,$D1659),IF(INDEX(Avulsos!$D$6:$D$205,$C1659)&amp;""="","Outro",INDEX(Avulsos!$D$6:$D$205,$C1659))))</f>
        <v/>
      </c>
      <c r="J1659" s="114" t="str">
        <f aca="false">IF($E1659="","",IF($B1659="Tema",INDEX(Temas!$C$6:$C$305,$C1659)&amp;"",INDEX(Avulsos!$E$6:$E$205,$C1659)&amp;""))</f>
        <v/>
      </c>
      <c r="K1659" s="114" t="str">
        <f aca="false">IF($E1659="","",IF(IF($B1659="Tema",INDEX(Temas!$E$6:$P$305,$C1659,2*$D1659),INDEX(Avulsos!$F$6:$F$205,$C1659))&amp;""="","","✓"))</f>
        <v/>
      </c>
      <c r="L1659" s="114" t="str">
        <f aca="true">IF($E1659="","",IF($K1659="✓","Concluído",IF($E1659&lt;TODAY(),"Atrasado",IF($E1659=TODAY(),"Hoje","Pendente"))))</f>
        <v/>
      </c>
      <c r="M1659" s="114" t="str">
        <f aca="false">IF($E1659="","",IF($K1659="✓","✓ ","")&amp;IF(Config!$E$22="Sim",$H1659&amp;" · ","")&amp;$F1659)</f>
        <v/>
      </c>
      <c r="N1659" s="114" t="str">
        <f aca="false">IF($E1659="","",IFERROR(INDEX(Config!$D$15:$D$19,MATCH($I1659,Config!$C$15:$C$19,0)),"OUT")&amp;IF($K1659="✓","x",""))</f>
        <v/>
      </c>
      <c r="O1659" s="114" t="str">
        <f aca="false">IF($E1659="","",COUNTIF($E$5:$E1659,$E1659))</f>
        <v/>
      </c>
      <c r="P1659" s="114" t="str">
        <f aca="false">IF($E1659="","",$E1659*100+$O1659)</f>
        <v/>
      </c>
      <c r="Q1659" s="114" t="str">
        <f aca="false">IF($L1659="Atrasado",$E1659*10000+$A1659,"")</f>
        <v/>
      </c>
    </row>
    <row r="1660" customFormat="false" ht="15" hidden="false" customHeight="false" outlineLevel="0" collapsed="false">
      <c r="A1660" s="114" t="n">
        <f aca="false">ROW()-4</f>
        <v>1656</v>
      </c>
      <c r="B1660" s="114" t="str">
        <f aca="false">IF(A1660&lt;=Config!$E$27*Config!$E$28,"Tema","Avulso")</f>
        <v>Tema</v>
      </c>
      <c r="C1660" s="114" t="n">
        <f aca="false">IF(B1660="Tema",INT((A1660-1)/Config!$E$28)+1,A1660-Config!$E$27*Config!$E$28)</f>
        <v>276</v>
      </c>
      <c r="D1660" s="114" t="n">
        <f aca="false">IF(B1660="Tema",MOD(A1660-1,Config!$E$28)+1,"")</f>
        <v>6</v>
      </c>
      <c r="E1660" s="115" t="str">
        <f aca="false">IF($B1660="Tema",IF(ISNUMBER(INDEX(Temas!$E$6:$P$305,$C1660,2*$D1660-1)),INDEX(Temas!$E$6:$P$305,$C1660,2*$D1660-1),""),IF(ISNUMBER(INDEX(Avulsos!$B$6:$B$205,$C1660)),INDEX(Avulsos!$B$6:$B$205,$C1660),""))</f>
        <v/>
      </c>
      <c r="F1660" s="114" t="str">
        <f aca="false">IF($E1660="","",IF($B1660="Tema",INDEX(Temas!$B$6:$B$305,$C1660)&amp;"",INDEX(Avulsos!$C$6:$C$205,$C1660)&amp;""))</f>
        <v/>
      </c>
      <c r="G1660" s="114" t="str">
        <f aca="false">IF($E1660="","",IF($B1660="Tema",INDEX(Config!$C$6:$C$11,$D1660),"Evento avulso"))</f>
        <v/>
      </c>
      <c r="H1660" s="114" t="str">
        <f aca="false">IF($E1660="","",IF($B1660="Tema",INDEX(Config!$D$6:$D$11,$D1660),IFERROR(INDEX(Config!$E$15:$E$19,MATCH($I1660,Config!$C$15:$C$19,0)),"•")))</f>
        <v/>
      </c>
      <c r="I1660" s="114" t="str">
        <f aca="false">IF($E1660="","",IF($B1660="Tema",INDEX(Config!$E$6:$E$11,$D1660),IF(INDEX(Avulsos!$D$6:$D$205,$C1660)&amp;""="","Outro",INDEX(Avulsos!$D$6:$D$205,$C1660))))</f>
        <v/>
      </c>
      <c r="J1660" s="114" t="str">
        <f aca="false">IF($E1660="","",IF($B1660="Tema",INDEX(Temas!$C$6:$C$305,$C1660)&amp;"",INDEX(Avulsos!$E$6:$E$205,$C1660)&amp;""))</f>
        <v/>
      </c>
      <c r="K1660" s="114" t="str">
        <f aca="false">IF($E1660="","",IF(IF($B1660="Tema",INDEX(Temas!$E$6:$P$305,$C1660,2*$D1660),INDEX(Avulsos!$F$6:$F$205,$C1660))&amp;""="","","✓"))</f>
        <v/>
      </c>
      <c r="L1660" s="114" t="str">
        <f aca="true">IF($E1660="","",IF($K1660="✓","Concluído",IF($E1660&lt;TODAY(),"Atrasado",IF($E1660=TODAY(),"Hoje","Pendente"))))</f>
        <v/>
      </c>
      <c r="M1660" s="114" t="str">
        <f aca="false">IF($E1660="","",IF($K1660="✓","✓ ","")&amp;IF(Config!$E$22="Sim",$H1660&amp;" · ","")&amp;$F1660)</f>
        <v/>
      </c>
      <c r="N1660" s="114" t="str">
        <f aca="false">IF($E1660="","",IFERROR(INDEX(Config!$D$15:$D$19,MATCH($I1660,Config!$C$15:$C$19,0)),"OUT")&amp;IF($K1660="✓","x",""))</f>
        <v/>
      </c>
      <c r="O1660" s="114" t="str">
        <f aca="false">IF($E1660="","",COUNTIF($E$5:$E1660,$E1660))</f>
        <v/>
      </c>
      <c r="P1660" s="114" t="str">
        <f aca="false">IF($E1660="","",$E1660*100+$O1660)</f>
        <v/>
      </c>
      <c r="Q1660" s="114" t="str">
        <f aca="false">IF($L1660="Atrasado",$E1660*10000+$A1660,"")</f>
        <v/>
      </c>
    </row>
    <row r="1661" customFormat="false" ht="15" hidden="false" customHeight="false" outlineLevel="0" collapsed="false">
      <c r="A1661" s="114" t="n">
        <f aca="false">ROW()-4</f>
        <v>1657</v>
      </c>
      <c r="B1661" s="114" t="str">
        <f aca="false">IF(A1661&lt;=Config!$E$27*Config!$E$28,"Tema","Avulso")</f>
        <v>Tema</v>
      </c>
      <c r="C1661" s="114" t="n">
        <f aca="false">IF(B1661="Tema",INT((A1661-1)/Config!$E$28)+1,A1661-Config!$E$27*Config!$E$28)</f>
        <v>277</v>
      </c>
      <c r="D1661" s="114" t="n">
        <f aca="false">IF(B1661="Tema",MOD(A1661-1,Config!$E$28)+1,"")</f>
        <v>1</v>
      </c>
      <c r="E1661" s="115" t="str">
        <f aca="false">IF($B1661="Tema",IF(ISNUMBER(INDEX(Temas!$E$6:$P$305,$C1661,2*$D1661-1)),INDEX(Temas!$E$6:$P$305,$C1661,2*$D1661-1),""),IF(ISNUMBER(INDEX(Avulsos!$B$6:$B$205,$C1661)),INDEX(Avulsos!$B$6:$B$205,$C1661),""))</f>
        <v/>
      </c>
      <c r="F1661" s="114" t="str">
        <f aca="false">IF($E1661="","",IF($B1661="Tema",INDEX(Temas!$B$6:$B$305,$C1661)&amp;"",INDEX(Avulsos!$C$6:$C$205,$C1661)&amp;""))</f>
        <v/>
      </c>
      <c r="G1661" s="114" t="str">
        <f aca="false">IF($E1661="","",IF($B1661="Tema",INDEX(Config!$C$6:$C$11,$D1661),"Evento avulso"))</f>
        <v/>
      </c>
      <c r="H1661" s="114" t="str">
        <f aca="false">IF($E1661="","",IF($B1661="Tema",INDEX(Config!$D$6:$D$11,$D1661),IFERROR(INDEX(Config!$E$15:$E$19,MATCH($I1661,Config!$C$15:$C$19,0)),"•")))</f>
        <v/>
      </c>
      <c r="I1661" s="114" t="str">
        <f aca="false">IF($E1661="","",IF($B1661="Tema",INDEX(Config!$E$6:$E$11,$D1661),IF(INDEX(Avulsos!$D$6:$D$205,$C1661)&amp;""="","Outro",INDEX(Avulsos!$D$6:$D$205,$C1661))))</f>
        <v/>
      </c>
      <c r="J1661" s="114" t="str">
        <f aca="false">IF($E1661="","",IF($B1661="Tema",INDEX(Temas!$C$6:$C$305,$C1661)&amp;"",INDEX(Avulsos!$E$6:$E$205,$C1661)&amp;""))</f>
        <v/>
      </c>
      <c r="K1661" s="114" t="str">
        <f aca="false">IF($E1661="","",IF(IF($B1661="Tema",INDEX(Temas!$E$6:$P$305,$C1661,2*$D1661),INDEX(Avulsos!$F$6:$F$205,$C1661))&amp;""="","","✓"))</f>
        <v/>
      </c>
      <c r="L1661" s="114" t="str">
        <f aca="true">IF($E1661="","",IF($K1661="✓","Concluído",IF($E1661&lt;TODAY(),"Atrasado",IF($E1661=TODAY(),"Hoje","Pendente"))))</f>
        <v/>
      </c>
      <c r="M1661" s="114" t="str">
        <f aca="false">IF($E1661="","",IF($K1661="✓","✓ ","")&amp;IF(Config!$E$22="Sim",$H1661&amp;" · ","")&amp;$F1661)</f>
        <v/>
      </c>
      <c r="N1661" s="114" t="str">
        <f aca="false">IF($E1661="","",IFERROR(INDEX(Config!$D$15:$D$19,MATCH($I1661,Config!$C$15:$C$19,0)),"OUT")&amp;IF($K1661="✓","x",""))</f>
        <v/>
      </c>
      <c r="O1661" s="114" t="str">
        <f aca="false">IF($E1661="","",COUNTIF($E$5:$E1661,$E1661))</f>
        <v/>
      </c>
      <c r="P1661" s="114" t="str">
        <f aca="false">IF($E1661="","",$E1661*100+$O1661)</f>
        <v/>
      </c>
      <c r="Q1661" s="114" t="str">
        <f aca="false">IF($L1661="Atrasado",$E1661*10000+$A1661,"")</f>
        <v/>
      </c>
    </row>
    <row r="1662" customFormat="false" ht="15" hidden="false" customHeight="false" outlineLevel="0" collapsed="false">
      <c r="A1662" s="114" t="n">
        <f aca="false">ROW()-4</f>
        <v>1658</v>
      </c>
      <c r="B1662" s="114" t="str">
        <f aca="false">IF(A1662&lt;=Config!$E$27*Config!$E$28,"Tema","Avulso")</f>
        <v>Tema</v>
      </c>
      <c r="C1662" s="114" t="n">
        <f aca="false">IF(B1662="Tema",INT((A1662-1)/Config!$E$28)+1,A1662-Config!$E$27*Config!$E$28)</f>
        <v>277</v>
      </c>
      <c r="D1662" s="114" t="n">
        <f aca="false">IF(B1662="Tema",MOD(A1662-1,Config!$E$28)+1,"")</f>
        <v>2</v>
      </c>
      <c r="E1662" s="115" t="str">
        <f aca="false">IF($B1662="Tema",IF(ISNUMBER(INDEX(Temas!$E$6:$P$305,$C1662,2*$D1662-1)),INDEX(Temas!$E$6:$P$305,$C1662,2*$D1662-1),""),IF(ISNUMBER(INDEX(Avulsos!$B$6:$B$205,$C1662)),INDEX(Avulsos!$B$6:$B$205,$C1662),""))</f>
        <v/>
      </c>
      <c r="F1662" s="114" t="str">
        <f aca="false">IF($E1662="","",IF($B1662="Tema",INDEX(Temas!$B$6:$B$305,$C1662)&amp;"",INDEX(Avulsos!$C$6:$C$205,$C1662)&amp;""))</f>
        <v/>
      </c>
      <c r="G1662" s="114" t="str">
        <f aca="false">IF($E1662="","",IF($B1662="Tema",INDEX(Config!$C$6:$C$11,$D1662),"Evento avulso"))</f>
        <v/>
      </c>
      <c r="H1662" s="114" t="str">
        <f aca="false">IF($E1662="","",IF($B1662="Tema",INDEX(Config!$D$6:$D$11,$D1662),IFERROR(INDEX(Config!$E$15:$E$19,MATCH($I1662,Config!$C$15:$C$19,0)),"•")))</f>
        <v/>
      </c>
      <c r="I1662" s="114" t="str">
        <f aca="false">IF($E1662="","",IF($B1662="Tema",INDEX(Config!$E$6:$E$11,$D1662),IF(INDEX(Avulsos!$D$6:$D$205,$C1662)&amp;""="","Outro",INDEX(Avulsos!$D$6:$D$205,$C1662))))</f>
        <v/>
      </c>
      <c r="J1662" s="114" t="str">
        <f aca="false">IF($E1662="","",IF($B1662="Tema",INDEX(Temas!$C$6:$C$305,$C1662)&amp;"",INDEX(Avulsos!$E$6:$E$205,$C1662)&amp;""))</f>
        <v/>
      </c>
      <c r="K1662" s="114" t="str">
        <f aca="false">IF($E1662="","",IF(IF($B1662="Tema",INDEX(Temas!$E$6:$P$305,$C1662,2*$D1662),INDEX(Avulsos!$F$6:$F$205,$C1662))&amp;""="","","✓"))</f>
        <v/>
      </c>
      <c r="L1662" s="114" t="str">
        <f aca="true">IF($E1662="","",IF($K1662="✓","Concluído",IF($E1662&lt;TODAY(),"Atrasado",IF($E1662=TODAY(),"Hoje","Pendente"))))</f>
        <v/>
      </c>
      <c r="M1662" s="114" t="str">
        <f aca="false">IF($E1662="","",IF($K1662="✓","✓ ","")&amp;IF(Config!$E$22="Sim",$H1662&amp;" · ","")&amp;$F1662)</f>
        <v/>
      </c>
      <c r="N1662" s="114" t="str">
        <f aca="false">IF($E1662="","",IFERROR(INDEX(Config!$D$15:$D$19,MATCH($I1662,Config!$C$15:$C$19,0)),"OUT")&amp;IF($K1662="✓","x",""))</f>
        <v/>
      </c>
      <c r="O1662" s="114" t="str">
        <f aca="false">IF($E1662="","",COUNTIF($E$5:$E1662,$E1662))</f>
        <v/>
      </c>
      <c r="P1662" s="114" t="str">
        <f aca="false">IF($E1662="","",$E1662*100+$O1662)</f>
        <v/>
      </c>
      <c r="Q1662" s="114" t="str">
        <f aca="false">IF($L1662="Atrasado",$E1662*10000+$A1662,"")</f>
        <v/>
      </c>
    </row>
    <row r="1663" customFormat="false" ht="15" hidden="false" customHeight="false" outlineLevel="0" collapsed="false">
      <c r="A1663" s="114" t="n">
        <f aca="false">ROW()-4</f>
        <v>1659</v>
      </c>
      <c r="B1663" s="114" t="str">
        <f aca="false">IF(A1663&lt;=Config!$E$27*Config!$E$28,"Tema","Avulso")</f>
        <v>Tema</v>
      </c>
      <c r="C1663" s="114" t="n">
        <f aca="false">IF(B1663="Tema",INT((A1663-1)/Config!$E$28)+1,A1663-Config!$E$27*Config!$E$28)</f>
        <v>277</v>
      </c>
      <c r="D1663" s="114" t="n">
        <f aca="false">IF(B1663="Tema",MOD(A1663-1,Config!$E$28)+1,"")</f>
        <v>3</v>
      </c>
      <c r="E1663" s="115" t="str">
        <f aca="false">IF($B1663="Tema",IF(ISNUMBER(INDEX(Temas!$E$6:$P$305,$C1663,2*$D1663-1)),INDEX(Temas!$E$6:$P$305,$C1663,2*$D1663-1),""),IF(ISNUMBER(INDEX(Avulsos!$B$6:$B$205,$C1663)),INDEX(Avulsos!$B$6:$B$205,$C1663),""))</f>
        <v/>
      </c>
      <c r="F1663" s="114" t="str">
        <f aca="false">IF($E1663="","",IF($B1663="Tema",INDEX(Temas!$B$6:$B$305,$C1663)&amp;"",INDEX(Avulsos!$C$6:$C$205,$C1663)&amp;""))</f>
        <v/>
      </c>
      <c r="G1663" s="114" t="str">
        <f aca="false">IF($E1663="","",IF($B1663="Tema",INDEX(Config!$C$6:$C$11,$D1663),"Evento avulso"))</f>
        <v/>
      </c>
      <c r="H1663" s="114" t="str">
        <f aca="false">IF($E1663="","",IF($B1663="Tema",INDEX(Config!$D$6:$D$11,$D1663),IFERROR(INDEX(Config!$E$15:$E$19,MATCH($I1663,Config!$C$15:$C$19,0)),"•")))</f>
        <v/>
      </c>
      <c r="I1663" s="114" t="str">
        <f aca="false">IF($E1663="","",IF($B1663="Tema",INDEX(Config!$E$6:$E$11,$D1663),IF(INDEX(Avulsos!$D$6:$D$205,$C1663)&amp;""="","Outro",INDEX(Avulsos!$D$6:$D$205,$C1663))))</f>
        <v/>
      </c>
      <c r="J1663" s="114" t="str">
        <f aca="false">IF($E1663="","",IF($B1663="Tema",INDEX(Temas!$C$6:$C$305,$C1663)&amp;"",INDEX(Avulsos!$E$6:$E$205,$C1663)&amp;""))</f>
        <v/>
      </c>
      <c r="K1663" s="114" t="str">
        <f aca="false">IF($E1663="","",IF(IF($B1663="Tema",INDEX(Temas!$E$6:$P$305,$C1663,2*$D1663),INDEX(Avulsos!$F$6:$F$205,$C1663))&amp;""="","","✓"))</f>
        <v/>
      </c>
      <c r="L1663" s="114" t="str">
        <f aca="true">IF($E1663="","",IF($K1663="✓","Concluído",IF($E1663&lt;TODAY(),"Atrasado",IF($E1663=TODAY(),"Hoje","Pendente"))))</f>
        <v/>
      </c>
      <c r="M1663" s="114" t="str">
        <f aca="false">IF($E1663="","",IF($K1663="✓","✓ ","")&amp;IF(Config!$E$22="Sim",$H1663&amp;" · ","")&amp;$F1663)</f>
        <v/>
      </c>
      <c r="N1663" s="114" t="str">
        <f aca="false">IF($E1663="","",IFERROR(INDEX(Config!$D$15:$D$19,MATCH($I1663,Config!$C$15:$C$19,0)),"OUT")&amp;IF($K1663="✓","x",""))</f>
        <v/>
      </c>
      <c r="O1663" s="114" t="str">
        <f aca="false">IF($E1663="","",COUNTIF($E$5:$E1663,$E1663))</f>
        <v/>
      </c>
      <c r="P1663" s="114" t="str">
        <f aca="false">IF($E1663="","",$E1663*100+$O1663)</f>
        <v/>
      </c>
      <c r="Q1663" s="114" t="str">
        <f aca="false">IF($L1663="Atrasado",$E1663*10000+$A1663,"")</f>
        <v/>
      </c>
    </row>
    <row r="1664" customFormat="false" ht="15" hidden="false" customHeight="false" outlineLevel="0" collapsed="false">
      <c r="A1664" s="114" t="n">
        <f aca="false">ROW()-4</f>
        <v>1660</v>
      </c>
      <c r="B1664" s="114" t="str">
        <f aca="false">IF(A1664&lt;=Config!$E$27*Config!$E$28,"Tema","Avulso")</f>
        <v>Tema</v>
      </c>
      <c r="C1664" s="114" t="n">
        <f aca="false">IF(B1664="Tema",INT((A1664-1)/Config!$E$28)+1,A1664-Config!$E$27*Config!$E$28)</f>
        <v>277</v>
      </c>
      <c r="D1664" s="114" t="n">
        <f aca="false">IF(B1664="Tema",MOD(A1664-1,Config!$E$28)+1,"")</f>
        <v>4</v>
      </c>
      <c r="E1664" s="115" t="str">
        <f aca="false">IF($B1664="Tema",IF(ISNUMBER(INDEX(Temas!$E$6:$P$305,$C1664,2*$D1664-1)),INDEX(Temas!$E$6:$P$305,$C1664,2*$D1664-1),""),IF(ISNUMBER(INDEX(Avulsos!$B$6:$B$205,$C1664)),INDEX(Avulsos!$B$6:$B$205,$C1664),""))</f>
        <v/>
      </c>
      <c r="F1664" s="114" t="str">
        <f aca="false">IF($E1664="","",IF($B1664="Tema",INDEX(Temas!$B$6:$B$305,$C1664)&amp;"",INDEX(Avulsos!$C$6:$C$205,$C1664)&amp;""))</f>
        <v/>
      </c>
      <c r="G1664" s="114" t="str">
        <f aca="false">IF($E1664="","",IF($B1664="Tema",INDEX(Config!$C$6:$C$11,$D1664),"Evento avulso"))</f>
        <v/>
      </c>
      <c r="H1664" s="114" t="str">
        <f aca="false">IF($E1664="","",IF($B1664="Tema",INDEX(Config!$D$6:$D$11,$D1664),IFERROR(INDEX(Config!$E$15:$E$19,MATCH($I1664,Config!$C$15:$C$19,0)),"•")))</f>
        <v/>
      </c>
      <c r="I1664" s="114" t="str">
        <f aca="false">IF($E1664="","",IF($B1664="Tema",INDEX(Config!$E$6:$E$11,$D1664),IF(INDEX(Avulsos!$D$6:$D$205,$C1664)&amp;""="","Outro",INDEX(Avulsos!$D$6:$D$205,$C1664))))</f>
        <v/>
      </c>
      <c r="J1664" s="114" t="str">
        <f aca="false">IF($E1664="","",IF($B1664="Tema",INDEX(Temas!$C$6:$C$305,$C1664)&amp;"",INDEX(Avulsos!$E$6:$E$205,$C1664)&amp;""))</f>
        <v/>
      </c>
      <c r="K1664" s="114" t="str">
        <f aca="false">IF($E1664="","",IF(IF($B1664="Tema",INDEX(Temas!$E$6:$P$305,$C1664,2*$D1664),INDEX(Avulsos!$F$6:$F$205,$C1664))&amp;""="","","✓"))</f>
        <v/>
      </c>
      <c r="L1664" s="114" t="str">
        <f aca="true">IF($E1664="","",IF($K1664="✓","Concluído",IF($E1664&lt;TODAY(),"Atrasado",IF($E1664=TODAY(),"Hoje","Pendente"))))</f>
        <v/>
      </c>
      <c r="M1664" s="114" t="str">
        <f aca="false">IF($E1664="","",IF($K1664="✓","✓ ","")&amp;IF(Config!$E$22="Sim",$H1664&amp;" · ","")&amp;$F1664)</f>
        <v/>
      </c>
      <c r="N1664" s="114" t="str">
        <f aca="false">IF($E1664="","",IFERROR(INDEX(Config!$D$15:$D$19,MATCH($I1664,Config!$C$15:$C$19,0)),"OUT")&amp;IF($K1664="✓","x",""))</f>
        <v/>
      </c>
      <c r="O1664" s="114" t="str">
        <f aca="false">IF($E1664="","",COUNTIF($E$5:$E1664,$E1664))</f>
        <v/>
      </c>
      <c r="P1664" s="114" t="str">
        <f aca="false">IF($E1664="","",$E1664*100+$O1664)</f>
        <v/>
      </c>
      <c r="Q1664" s="114" t="str">
        <f aca="false">IF($L1664="Atrasado",$E1664*10000+$A1664,"")</f>
        <v/>
      </c>
    </row>
    <row r="1665" customFormat="false" ht="15" hidden="false" customHeight="false" outlineLevel="0" collapsed="false">
      <c r="A1665" s="114" t="n">
        <f aca="false">ROW()-4</f>
        <v>1661</v>
      </c>
      <c r="B1665" s="114" t="str">
        <f aca="false">IF(A1665&lt;=Config!$E$27*Config!$E$28,"Tema","Avulso")</f>
        <v>Tema</v>
      </c>
      <c r="C1665" s="114" t="n">
        <f aca="false">IF(B1665="Tema",INT((A1665-1)/Config!$E$28)+1,A1665-Config!$E$27*Config!$E$28)</f>
        <v>277</v>
      </c>
      <c r="D1665" s="114" t="n">
        <f aca="false">IF(B1665="Tema",MOD(A1665-1,Config!$E$28)+1,"")</f>
        <v>5</v>
      </c>
      <c r="E1665" s="115" t="str">
        <f aca="false">IF($B1665="Tema",IF(ISNUMBER(INDEX(Temas!$E$6:$P$305,$C1665,2*$D1665-1)),INDEX(Temas!$E$6:$P$305,$C1665,2*$D1665-1),""),IF(ISNUMBER(INDEX(Avulsos!$B$6:$B$205,$C1665)),INDEX(Avulsos!$B$6:$B$205,$C1665),""))</f>
        <v/>
      </c>
      <c r="F1665" s="114" t="str">
        <f aca="false">IF($E1665="","",IF($B1665="Tema",INDEX(Temas!$B$6:$B$305,$C1665)&amp;"",INDEX(Avulsos!$C$6:$C$205,$C1665)&amp;""))</f>
        <v/>
      </c>
      <c r="G1665" s="114" t="str">
        <f aca="false">IF($E1665="","",IF($B1665="Tema",INDEX(Config!$C$6:$C$11,$D1665),"Evento avulso"))</f>
        <v/>
      </c>
      <c r="H1665" s="114" t="str">
        <f aca="false">IF($E1665="","",IF($B1665="Tema",INDEX(Config!$D$6:$D$11,$D1665),IFERROR(INDEX(Config!$E$15:$E$19,MATCH($I1665,Config!$C$15:$C$19,0)),"•")))</f>
        <v/>
      </c>
      <c r="I1665" s="114" t="str">
        <f aca="false">IF($E1665="","",IF($B1665="Tema",INDEX(Config!$E$6:$E$11,$D1665),IF(INDEX(Avulsos!$D$6:$D$205,$C1665)&amp;""="","Outro",INDEX(Avulsos!$D$6:$D$205,$C1665))))</f>
        <v/>
      </c>
      <c r="J1665" s="114" t="str">
        <f aca="false">IF($E1665="","",IF($B1665="Tema",INDEX(Temas!$C$6:$C$305,$C1665)&amp;"",INDEX(Avulsos!$E$6:$E$205,$C1665)&amp;""))</f>
        <v/>
      </c>
      <c r="K1665" s="114" t="str">
        <f aca="false">IF($E1665="","",IF(IF($B1665="Tema",INDEX(Temas!$E$6:$P$305,$C1665,2*$D1665),INDEX(Avulsos!$F$6:$F$205,$C1665))&amp;""="","","✓"))</f>
        <v/>
      </c>
      <c r="L1665" s="114" t="str">
        <f aca="true">IF($E1665="","",IF($K1665="✓","Concluído",IF($E1665&lt;TODAY(),"Atrasado",IF($E1665=TODAY(),"Hoje","Pendente"))))</f>
        <v/>
      </c>
      <c r="M1665" s="114" t="str">
        <f aca="false">IF($E1665="","",IF($K1665="✓","✓ ","")&amp;IF(Config!$E$22="Sim",$H1665&amp;" · ","")&amp;$F1665)</f>
        <v/>
      </c>
      <c r="N1665" s="114" t="str">
        <f aca="false">IF($E1665="","",IFERROR(INDEX(Config!$D$15:$D$19,MATCH($I1665,Config!$C$15:$C$19,0)),"OUT")&amp;IF($K1665="✓","x",""))</f>
        <v/>
      </c>
      <c r="O1665" s="114" t="str">
        <f aca="false">IF($E1665="","",COUNTIF($E$5:$E1665,$E1665))</f>
        <v/>
      </c>
      <c r="P1665" s="114" t="str">
        <f aca="false">IF($E1665="","",$E1665*100+$O1665)</f>
        <v/>
      </c>
      <c r="Q1665" s="114" t="str">
        <f aca="false">IF($L1665="Atrasado",$E1665*10000+$A1665,"")</f>
        <v/>
      </c>
    </row>
    <row r="1666" customFormat="false" ht="15" hidden="false" customHeight="false" outlineLevel="0" collapsed="false">
      <c r="A1666" s="114" t="n">
        <f aca="false">ROW()-4</f>
        <v>1662</v>
      </c>
      <c r="B1666" s="114" t="str">
        <f aca="false">IF(A1666&lt;=Config!$E$27*Config!$E$28,"Tema","Avulso")</f>
        <v>Tema</v>
      </c>
      <c r="C1666" s="114" t="n">
        <f aca="false">IF(B1666="Tema",INT((A1666-1)/Config!$E$28)+1,A1666-Config!$E$27*Config!$E$28)</f>
        <v>277</v>
      </c>
      <c r="D1666" s="114" t="n">
        <f aca="false">IF(B1666="Tema",MOD(A1666-1,Config!$E$28)+1,"")</f>
        <v>6</v>
      </c>
      <c r="E1666" s="115" t="str">
        <f aca="false">IF($B1666="Tema",IF(ISNUMBER(INDEX(Temas!$E$6:$P$305,$C1666,2*$D1666-1)),INDEX(Temas!$E$6:$P$305,$C1666,2*$D1666-1),""),IF(ISNUMBER(INDEX(Avulsos!$B$6:$B$205,$C1666)),INDEX(Avulsos!$B$6:$B$205,$C1666),""))</f>
        <v/>
      </c>
      <c r="F1666" s="114" t="str">
        <f aca="false">IF($E1666="","",IF($B1666="Tema",INDEX(Temas!$B$6:$B$305,$C1666)&amp;"",INDEX(Avulsos!$C$6:$C$205,$C1666)&amp;""))</f>
        <v/>
      </c>
      <c r="G1666" s="114" t="str">
        <f aca="false">IF($E1666="","",IF($B1666="Tema",INDEX(Config!$C$6:$C$11,$D1666),"Evento avulso"))</f>
        <v/>
      </c>
      <c r="H1666" s="114" t="str">
        <f aca="false">IF($E1666="","",IF($B1666="Tema",INDEX(Config!$D$6:$D$11,$D1666),IFERROR(INDEX(Config!$E$15:$E$19,MATCH($I1666,Config!$C$15:$C$19,0)),"•")))</f>
        <v/>
      </c>
      <c r="I1666" s="114" t="str">
        <f aca="false">IF($E1666="","",IF($B1666="Tema",INDEX(Config!$E$6:$E$11,$D1666),IF(INDEX(Avulsos!$D$6:$D$205,$C1666)&amp;""="","Outro",INDEX(Avulsos!$D$6:$D$205,$C1666))))</f>
        <v/>
      </c>
      <c r="J1666" s="114" t="str">
        <f aca="false">IF($E1666="","",IF($B1666="Tema",INDEX(Temas!$C$6:$C$305,$C1666)&amp;"",INDEX(Avulsos!$E$6:$E$205,$C1666)&amp;""))</f>
        <v/>
      </c>
      <c r="K1666" s="114" t="str">
        <f aca="false">IF($E1666="","",IF(IF($B1666="Tema",INDEX(Temas!$E$6:$P$305,$C1666,2*$D1666),INDEX(Avulsos!$F$6:$F$205,$C1666))&amp;""="","","✓"))</f>
        <v/>
      </c>
      <c r="L1666" s="114" t="str">
        <f aca="true">IF($E1666="","",IF($K1666="✓","Concluído",IF($E1666&lt;TODAY(),"Atrasado",IF($E1666=TODAY(),"Hoje","Pendente"))))</f>
        <v/>
      </c>
      <c r="M1666" s="114" t="str">
        <f aca="false">IF($E1666="","",IF($K1666="✓","✓ ","")&amp;IF(Config!$E$22="Sim",$H1666&amp;" · ","")&amp;$F1666)</f>
        <v/>
      </c>
      <c r="N1666" s="114" t="str">
        <f aca="false">IF($E1666="","",IFERROR(INDEX(Config!$D$15:$D$19,MATCH($I1666,Config!$C$15:$C$19,0)),"OUT")&amp;IF($K1666="✓","x",""))</f>
        <v/>
      </c>
      <c r="O1666" s="114" t="str">
        <f aca="false">IF($E1666="","",COUNTIF($E$5:$E1666,$E1666))</f>
        <v/>
      </c>
      <c r="P1666" s="114" t="str">
        <f aca="false">IF($E1666="","",$E1666*100+$O1666)</f>
        <v/>
      </c>
      <c r="Q1666" s="114" t="str">
        <f aca="false">IF($L1666="Atrasado",$E1666*10000+$A1666,"")</f>
        <v/>
      </c>
    </row>
    <row r="1667" customFormat="false" ht="15" hidden="false" customHeight="false" outlineLevel="0" collapsed="false">
      <c r="A1667" s="114" t="n">
        <f aca="false">ROW()-4</f>
        <v>1663</v>
      </c>
      <c r="B1667" s="114" t="str">
        <f aca="false">IF(A1667&lt;=Config!$E$27*Config!$E$28,"Tema","Avulso")</f>
        <v>Tema</v>
      </c>
      <c r="C1667" s="114" t="n">
        <f aca="false">IF(B1667="Tema",INT((A1667-1)/Config!$E$28)+1,A1667-Config!$E$27*Config!$E$28)</f>
        <v>278</v>
      </c>
      <c r="D1667" s="114" t="n">
        <f aca="false">IF(B1667="Tema",MOD(A1667-1,Config!$E$28)+1,"")</f>
        <v>1</v>
      </c>
      <c r="E1667" s="115" t="str">
        <f aca="false">IF($B1667="Tema",IF(ISNUMBER(INDEX(Temas!$E$6:$P$305,$C1667,2*$D1667-1)),INDEX(Temas!$E$6:$P$305,$C1667,2*$D1667-1),""),IF(ISNUMBER(INDEX(Avulsos!$B$6:$B$205,$C1667)),INDEX(Avulsos!$B$6:$B$205,$C1667),""))</f>
        <v/>
      </c>
      <c r="F1667" s="114" t="str">
        <f aca="false">IF($E1667="","",IF($B1667="Tema",INDEX(Temas!$B$6:$B$305,$C1667)&amp;"",INDEX(Avulsos!$C$6:$C$205,$C1667)&amp;""))</f>
        <v/>
      </c>
      <c r="G1667" s="114" t="str">
        <f aca="false">IF($E1667="","",IF($B1667="Tema",INDEX(Config!$C$6:$C$11,$D1667),"Evento avulso"))</f>
        <v/>
      </c>
      <c r="H1667" s="114" t="str">
        <f aca="false">IF($E1667="","",IF($B1667="Tema",INDEX(Config!$D$6:$D$11,$D1667),IFERROR(INDEX(Config!$E$15:$E$19,MATCH($I1667,Config!$C$15:$C$19,0)),"•")))</f>
        <v/>
      </c>
      <c r="I1667" s="114" t="str">
        <f aca="false">IF($E1667="","",IF($B1667="Tema",INDEX(Config!$E$6:$E$11,$D1667),IF(INDEX(Avulsos!$D$6:$D$205,$C1667)&amp;""="","Outro",INDEX(Avulsos!$D$6:$D$205,$C1667))))</f>
        <v/>
      </c>
      <c r="J1667" s="114" t="str">
        <f aca="false">IF($E1667="","",IF($B1667="Tema",INDEX(Temas!$C$6:$C$305,$C1667)&amp;"",INDEX(Avulsos!$E$6:$E$205,$C1667)&amp;""))</f>
        <v/>
      </c>
      <c r="K1667" s="114" t="str">
        <f aca="false">IF($E1667="","",IF(IF($B1667="Tema",INDEX(Temas!$E$6:$P$305,$C1667,2*$D1667),INDEX(Avulsos!$F$6:$F$205,$C1667))&amp;""="","","✓"))</f>
        <v/>
      </c>
      <c r="L1667" s="114" t="str">
        <f aca="true">IF($E1667="","",IF($K1667="✓","Concluído",IF($E1667&lt;TODAY(),"Atrasado",IF($E1667=TODAY(),"Hoje","Pendente"))))</f>
        <v/>
      </c>
      <c r="M1667" s="114" t="str">
        <f aca="false">IF($E1667="","",IF($K1667="✓","✓ ","")&amp;IF(Config!$E$22="Sim",$H1667&amp;" · ","")&amp;$F1667)</f>
        <v/>
      </c>
      <c r="N1667" s="114" t="str">
        <f aca="false">IF($E1667="","",IFERROR(INDEX(Config!$D$15:$D$19,MATCH($I1667,Config!$C$15:$C$19,0)),"OUT")&amp;IF($K1667="✓","x",""))</f>
        <v/>
      </c>
      <c r="O1667" s="114" t="str">
        <f aca="false">IF($E1667="","",COUNTIF($E$5:$E1667,$E1667))</f>
        <v/>
      </c>
      <c r="P1667" s="114" t="str">
        <f aca="false">IF($E1667="","",$E1667*100+$O1667)</f>
        <v/>
      </c>
      <c r="Q1667" s="114" t="str">
        <f aca="false">IF($L1667="Atrasado",$E1667*10000+$A1667,"")</f>
        <v/>
      </c>
    </row>
    <row r="1668" customFormat="false" ht="15" hidden="false" customHeight="false" outlineLevel="0" collapsed="false">
      <c r="A1668" s="114" t="n">
        <f aca="false">ROW()-4</f>
        <v>1664</v>
      </c>
      <c r="B1668" s="114" t="str">
        <f aca="false">IF(A1668&lt;=Config!$E$27*Config!$E$28,"Tema","Avulso")</f>
        <v>Tema</v>
      </c>
      <c r="C1668" s="114" t="n">
        <f aca="false">IF(B1668="Tema",INT((A1668-1)/Config!$E$28)+1,A1668-Config!$E$27*Config!$E$28)</f>
        <v>278</v>
      </c>
      <c r="D1668" s="114" t="n">
        <f aca="false">IF(B1668="Tema",MOD(A1668-1,Config!$E$28)+1,"")</f>
        <v>2</v>
      </c>
      <c r="E1668" s="115" t="str">
        <f aca="false">IF($B1668="Tema",IF(ISNUMBER(INDEX(Temas!$E$6:$P$305,$C1668,2*$D1668-1)),INDEX(Temas!$E$6:$P$305,$C1668,2*$D1668-1),""),IF(ISNUMBER(INDEX(Avulsos!$B$6:$B$205,$C1668)),INDEX(Avulsos!$B$6:$B$205,$C1668),""))</f>
        <v/>
      </c>
      <c r="F1668" s="114" t="str">
        <f aca="false">IF($E1668="","",IF($B1668="Tema",INDEX(Temas!$B$6:$B$305,$C1668)&amp;"",INDEX(Avulsos!$C$6:$C$205,$C1668)&amp;""))</f>
        <v/>
      </c>
      <c r="G1668" s="114" t="str">
        <f aca="false">IF($E1668="","",IF($B1668="Tema",INDEX(Config!$C$6:$C$11,$D1668),"Evento avulso"))</f>
        <v/>
      </c>
      <c r="H1668" s="114" t="str">
        <f aca="false">IF($E1668="","",IF($B1668="Tema",INDEX(Config!$D$6:$D$11,$D1668),IFERROR(INDEX(Config!$E$15:$E$19,MATCH($I1668,Config!$C$15:$C$19,0)),"•")))</f>
        <v/>
      </c>
      <c r="I1668" s="114" t="str">
        <f aca="false">IF($E1668="","",IF($B1668="Tema",INDEX(Config!$E$6:$E$11,$D1668),IF(INDEX(Avulsos!$D$6:$D$205,$C1668)&amp;""="","Outro",INDEX(Avulsos!$D$6:$D$205,$C1668))))</f>
        <v/>
      </c>
      <c r="J1668" s="114" t="str">
        <f aca="false">IF($E1668="","",IF($B1668="Tema",INDEX(Temas!$C$6:$C$305,$C1668)&amp;"",INDEX(Avulsos!$E$6:$E$205,$C1668)&amp;""))</f>
        <v/>
      </c>
      <c r="K1668" s="114" t="str">
        <f aca="false">IF($E1668="","",IF(IF($B1668="Tema",INDEX(Temas!$E$6:$P$305,$C1668,2*$D1668),INDEX(Avulsos!$F$6:$F$205,$C1668))&amp;""="","","✓"))</f>
        <v/>
      </c>
      <c r="L1668" s="114" t="str">
        <f aca="true">IF($E1668="","",IF($K1668="✓","Concluído",IF($E1668&lt;TODAY(),"Atrasado",IF($E1668=TODAY(),"Hoje","Pendente"))))</f>
        <v/>
      </c>
      <c r="M1668" s="114" t="str">
        <f aca="false">IF($E1668="","",IF($K1668="✓","✓ ","")&amp;IF(Config!$E$22="Sim",$H1668&amp;" · ","")&amp;$F1668)</f>
        <v/>
      </c>
      <c r="N1668" s="114" t="str">
        <f aca="false">IF($E1668="","",IFERROR(INDEX(Config!$D$15:$D$19,MATCH($I1668,Config!$C$15:$C$19,0)),"OUT")&amp;IF($K1668="✓","x",""))</f>
        <v/>
      </c>
      <c r="O1668" s="114" t="str">
        <f aca="false">IF($E1668="","",COUNTIF($E$5:$E1668,$E1668))</f>
        <v/>
      </c>
      <c r="P1668" s="114" t="str">
        <f aca="false">IF($E1668="","",$E1668*100+$O1668)</f>
        <v/>
      </c>
      <c r="Q1668" s="114" t="str">
        <f aca="false">IF($L1668="Atrasado",$E1668*10000+$A1668,"")</f>
        <v/>
      </c>
    </row>
    <row r="1669" customFormat="false" ht="15" hidden="false" customHeight="false" outlineLevel="0" collapsed="false">
      <c r="A1669" s="114" t="n">
        <f aca="false">ROW()-4</f>
        <v>1665</v>
      </c>
      <c r="B1669" s="114" t="str">
        <f aca="false">IF(A1669&lt;=Config!$E$27*Config!$E$28,"Tema","Avulso")</f>
        <v>Tema</v>
      </c>
      <c r="C1669" s="114" t="n">
        <f aca="false">IF(B1669="Tema",INT((A1669-1)/Config!$E$28)+1,A1669-Config!$E$27*Config!$E$28)</f>
        <v>278</v>
      </c>
      <c r="D1669" s="114" t="n">
        <f aca="false">IF(B1669="Tema",MOD(A1669-1,Config!$E$28)+1,"")</f>
        <v>3</v>
      </c>
      <c r="E1669" s="115" t="str">
        <f aca="false">IF($B1669="Tema",IF(ISNUMBER(INDEX(Temas!$E$6:$P$305,$C1669,2*$D1669-1)),INDEX(Temas!$E$6:$P$305,$C1669,2*$D1669-1),""),IF(ISNUMBER(INDEX(Avulsos!$B$6:$B$205,$C1669)),INDEX(Avulsos!$B$6:$B$205,$C1669),""))</f>
        <v/>
      </c>
      <c r="F1669" s="114" t="str">
        <f aca="false">IF($E1669="","",IF($B1669="Tema",INDEX(Temas!$B$6:$B$305,$C1669)&amp;"",INDEX(Avulsos!$C$6:$C$205,$C1669)&amp;""))</f>
        <v/>
      </c>
      <c r="G1669" s="114" t="str">
        <f aca="false">IF($E1669="","",IF($B1669="Tema",INDEX(Config!$C$6:$C$11,$D1669),"Evento avulso"))</f>
        <v/>
      </c>
      <c r="H1669" s="114" t="str">
        <f aca="false">IF($E1669="","",IF($B1669="Tema",INDEX(Config!$D$6:$D$11,$D1669),IFERROR(INDEX(Config!$E$15:$E$19,MATCH($I1669,Config!$C$15:$C$19,0)),"•")))</f>
        <v/>
      </c>
      <c r="I1669" s="114" t="str">
        <f aca="false">IF($E1669="","",IF($B1669="Tema",INDEX(Config!$E$6:$E$11,$D1669),IF(INDEX(Avulsos!$D$6:$D$205,$C1669)&amp;""="","Outro",INDEX(Avulsos!$D$6:$D$205,$C1669))))</f>
        <v/>
      </c>
      <c r="J1669" s="114" t="str">
        <f aca="false">IF($E1669="","",IF($B1669="Tema",INDEX(Temas!$C$6:$C$305,$C1669)&amp;"",INDEX(Avulsos!$E$6:$E$205,$C1669)&amp;""))</f>
        <v/>
      </c>
      <c r="K1669" s="114" t="str">
        <f aca="false">IF($E1669="","",IF(IF($B1669="Tema",INDEX(Temas!$E$6:$P$305,$C1669,2*$D1669),INDEX(Avulsos!$F$6:$F$205,$C1669))&amp;""="","","✓"))</f>
        <v/>
      </c>
      <c r="L1669" s="114" t="str">
        <f aca="true">IF($E1669="","",IF($K1669="✓","Concluído",IF($E1669&lt;TODAY(),"Atrasado",IF($E1669=TODAY(),"Hoje","Pendente"))))</f>
        <v/>
      </c>
      <c r="M1669" s="114" t="str">
        <f aca="false">IF($E1669="","",IF($K1669="✓","✓ ","")&amp;IF(Config!$E$22="Sim",$H1669&amp;" · ","")&amp;$F1669)</f>
        <v/>
      </c>
      <c r="N1669" s="114" t="str">
        <f aca="false">IF($E1669="","",IFERROR(INDEX(Config!$D$15:$D$19,MATCH($I1669,Config!$C$15:$C$19,0)),"OUT")&amp;IF($K1669="✓","x",""))</f>
        <v/>
      </c>
      <c r="O1669" s="114" t="str">
        <f aca="false">IF($E1669="","",COUNTIF($E$5:$E1669,$E1669))</f>
        <v/>
      </c>
      <c r="P1669" s="114" t="str">
        <f aca="false">IF($E1669="","",$E1669*100+$O1669)</f>
        <v/>
      </c>
      <c r="Q1669" s="114" t="str">
        <f aca="false">IF($L1669="Atrasado",$E1669*10000+$A1669,"")</f>
        <v/>
      </c>
    </row>
    <row r="1670" customFormat="false" ht="15" hidden="false" customHeight="false" outlineLevel="0" collapsed="false">
      <c r="A1670" s="114" t="n">
        <f aca="false">ROW()-4</f>
        <v>1666</v>
      </c>
      <c r="B1670" s="114" t="str">
        <f aca="false">IF(A1670&lt;=Config!$E$27*Config!$E$28,"Tema","Avulso")</f>
        <v>Tema</v>
      </c>
      <c r="C1670" s="114" t="n">
        <f aca="false">IF(B1670="Tema",INT((A1670-1)/Config!$E$28)+1,A1670-Config!$E$27*Config!$E$28)</f>
        <v>278</v>
      </c>
      <c r="D1670" s="114" t="n">
        <f aca="false">IF(B1670="Tema",MOD(A1670-1,Config!$E$28)+1,"")</f>
        <v>4</v>
      </c>
      <c r="E1670" s="115" t="str">
        <f aca="false">IF($B1670="Tema",IF(ISNUMBER(INDEX(Temas!$E$6:$P$305,$C1670,2*$D1670-1)),INDEX(Temas!$E$6:$P$305,$C1670,2*$D1670-1),""),IF(ISNUMBER(INDEX(Avulsos!$B$6:$B$205,$C1670)),INDEX(Avulsos!$B$6:$B$205,$C1670),""))</f>
        <v/>
      </c>
      <c r="F1670" s="114" t="str">
        <f aca="false">IF($E1670="","",IF($B1670="Tema",INDEX(Temas!$B$6:$B$305,$C1670)&amp;"",INDEX(Avulsos!$C$6:$C$205,$C1670)&amp;""))</f>
        <v/>
      </c>
      <c r="G1670" s="114" t="str">
        <f aca="false">IF($E1670="","",IF($B1670="Tema",INDEX(Config!$C$6:$C$11,$D1670),"Evento avulso"))</f>
        <v/>
      </c>
      <c r="H1670" s="114" t="str">
        <f aca="false">IF($E1670="","",IF($B1670="Tema",INDEX(Config!$D$6:$D$11,$D1670),IFERROR(INDEX(Config!$E$15:$E$19,MATCH($I1670,Config!$C$15:$C$19,0)),"•")))</f>
        <v/>
      </c>
      <c r="I1670" s="114" t="str">
        <f aca="false">IF($E1670="","",IF($B1670="Tema",INDEX(Config!$E$6:$E$11,$D1670),IF(INDEX(Avulsos!$D$6:$D$205,$C1670)&amp;""="","Outro",INDEX(Avulsos!$D$6:$D$205,$C1670))))</f>
        <v/>
      </c>
      <c r="J1670" s="114" t="str">
        <f aca="false">IF($E1670="","",IF($B1670="Tema",INDEX(Temas!$C$6:$C$305,$C1670)&amp;"",INDEX(Avulsos!$E$6:$E$205,$C1670)&amp;""))</f>
        <v/>
      </c>
      <c r="K1670" s="114" t="str">
        <f aca="false">IF($E1670="","",IF(IF($B1670="Tema",INDEX(Temas!$E$6:$P$305,$C1670,2*$D1670),INDEX(Avulsos!$F$6:$F$205,$C1670))&amp;""="","","✓"))</f>
        <v/>
      </c>
      <c r="L1670" s="114" t="str">
        <f aca="true">IF($E1670="","",IF($K1670="✓","Concluído",IF($E1670&lt;TODAY(),"Atrasado",IF($E1670=TODAY(),"Hoje","Pendente"))))</f>
        <v/>
      </c>
      <c r="M1670" s="114" t="str">
        <f aca="false">IF($E1670="","",IF($K1670="✓","✓ ","")&amp;IF(Config!$E$22="Sim",$H1670&amp;" · ","")&amp;$F1670)</f>
        <v/>
      </c>
      <c r="N1670" s="114" t="str">
        <f aca="false">IF($E1670="","",IFERROR(INDEX(Config!$D$15:$D$19,MATCH($I1670,Config!$C$15:$C$19,0)),"OUT")&amp;IF($K1670="✓","x",""))</f>
        <v/>
      </c>
      <c r="O1670" s="114" t="str">
        <f aca="false">IF($E1670="","",COUNTIF($E$5:$E1670,$E1670))</f>
        <v/>
      </c>
      <c r="P1670" s="114" t="str">
        <f aca="false">IF($E1670="","",$E1670*100+$O1670)</f>
        <v/>
      </c>
      <c r="Q1670" s="114" t="str">
        <f aca="false">IF($L1670="Atrasado",$E1670*10000+$A1670,"")</f>
        <v/>
      </c>
    </row>
    <row r="1671" customFormat="false" ht="15" hidden="false" customHeight="false" outlineLevel="0" collapsed="false">
      <c r="A1671" s="114" t="n">
        <f aca="false">ROW()-4</f>
        <v>1667</v>
      </c>
      <c r="B1671" s="114" t="str">
        <f aca="false">IF(A1671&lt;=Config!$E$27*Config!$E$28,"Tema","Avulso")</f>
        <v>Tema</v>
      </c>
      <c r="C1671" s="114" t="n">
        <f aca="false">IF(B1671="Tema",INT((A1671-1)/Config!$E$28)+1,A1671-Config!$E$27*Config!$E$28)</f>
        <v>278</v>
      </c>
      <c r="D1671" s="114" t="n">
        <f aca="false">IF(B1671="Tema",MOD(A1671-1,Config!$E$28)+1,"")</f>
        <v>5</v>
      </c>
      <c r="E1671" s="115" t="str">
        <f aca="false">IF($B1671="Tema",IF(ISNUMBER(INDEX(Temas!$E$6:$P$305,$C1671,2*$D1671-1)),INDEX(Temas!$E$6:$P$305,$C1671,2*$D1671-1),""),IF(ISNUMBER(INDEX(Avulsos!$B$6:$B$205,$C1671)),INDEX(Avulsos!$B$6:$B$205,$C1671),""))</f>
        <v/>
      </c>
      <c r="F1671" s="114" t="str">
        <f aca="false">IF($E1671="","",IF($B1671="Tema",INDEX(Temas!$B$6:$B$305,$C1671)&amp;"",INDEX(Avulsos!$C$6:$C$205,$C1671)&amp;""))</f>
        <v/>
      </c>
      <c r="G1671" s="114" t="str">
        <f aca="false">IF($E1671="","",IF($B1671="Tema",INDEX(Config!$C$6:$C$11,$D1671),"Evento avulso"))</f>
        <v/>
      </c>
      <c r="H1671" s="114" t="str">
        <f aca="false">IF($E1671="","",IF($B1671="Tema",INDEX(Config!$D$6:$D$11,$D1671),IFERROR(INDEX(Config!$E$15:$E$19,MATCH($I1671,Config!$C$15:$C$19,0)),"•")))</f>
        <v/>
      </c>
      <c r="I1671" s="114" t="str">
        <f aca="false">IF($E1671="","",IF($B1671="Tema",INDEX(Config!$E$6:$E$11,$D1671),IF(INDEX(Avulsos!$D$6:$D$205,$C1671)&amp;""="","Outro",INDEX(Avulsos!$D$6:$D$205,$C1671))))</f>
        <v/>
      </c>
      <c r="J1671" s="114" t="str">
        <f aca="false">IF($E1671="","",IF($B1671="Tema",INDEX(Temas!$C$6:$C$305,$C1671)&amp;"",INDEX(Avulsos!$E$6:$E$205,$C1671)&amp;""))</f>
        <v/>
      </c>
      <c r="K1671" s="114" t="str">
        <f aca="false">IF($E1671="","",IF(IF($B1671="Tema",INDEX(Temas!$E$6:$P$305,$C1671,2*$D1671),INDEX(Avulsos!$F$6:$F$205,$C1671))&amp;""="","","✓"))</f>
        <v/>
      </c>
      <c r="L1671" s="114" t="str">
        <f aca="true">IF($E1671="","",IF($K1671="✓","Concluído",IF($E1671&lt;TODAY(),"Atrasado",IF($E1671=TODAY(),"Hoje","Pendente"))))</f>
        <v/>
      </c>
      <c r="M1671" s="114" t="str">
        <f aca="false">IF($E1671="","",IF($K1671="✓","✓ ","")&amp;IF(Config!$E$22="Sim",$H1671&amp;" · ","")&amp;$F1671)</f>
        <v/>
      </c>
      <c r="N1671" s="114" t="str">
        <f aca="false">IF($E1671="","",IFERROR(INDEX(Config!$D$15:$D$19,MATCH($I1671,Config!$C$15:$C$19,0)),"OUT")&amp;IF($K1671="✓","x",""))</f>
        <v/>
      </c>
      <c r="O1671" s="114" t="str">
        <f aca="false">IF($E1671="","",COUNTIF($E$5:$E1671,$E1671))</f>
        <v/>
      </c>
      <c r="P1671" s="114" t="str">
        <f aca="false">IF($E1671="","",$E1671*100+$O1671)</f>
        <v/>
      </c>
      <c r="Q1671" s="114" t="str">
        <f aca="false">IF($L1671="Atrasado",$E1671*10000+$A1671,"")</f>
        <v/>
      </c>
    </row>
    <row r="1672" customFormat="false" ht="15" hidden="false" customHeight="false" outlineLevel="0" collapsed="false">
      <c r="A1672" s="114" t="n">
        <f aca="false">ROW()-4</f>
        <v>1668</v>
      </c>
      <c r="B1672" s="114" t="str">
        <f aca="false">IF(A1672&lt;=Config!$E$27*Config!$E$28,"Tema","Avulso")</f>
        <v>Tema</v>
      </c>
      <c r="C1672" s="114" t="n">
        <f aca="false">IF(B1672="Tema",INT((A1672-1)/Config!$E$28)+1,A1672-Config!$E$27*Config!$E$28)</f>
        <v>278</v>
      </c>
      <c r="D1672" s="114" t="n">
        <f aca="false">IF(B1672="Tema",MOD(A1672-1,Config!$E$28)+1,"")</f>
        <v>6</v>
      </c>
      <c r="E1672" s="115" t="str">
        <f aca="false">IF($B1672="Tema",IF(ISNUMBER(INDEX(Temas!$E$6:$P$305,$C1672,2*$D1672-1)),INDEX(Temas!$E$6:$P$305,$C1672,2*$D1672-1),""),IF(ISNUMBER(INDEX(Avulsos!$B$6:$B$205,$C1672)),INDEX(Avulsos!$B$6:$B$205,$C1672),""))</f>
        <v/>
      </c>
      <c r="F1672" s="114" t="str">
        <f aca="false">IF($E1672="","",IF($B1672="Tema",INDEX(Temas!$B$6:$B$305,$C1672)&amp;"",INDEX(Avulsos!$C$6:$C$205,$C1672)&amp;""))</f>
        <v/>
      </c>
      <c r="G1672" s="114" t="str">
        <f aca="false">IF($E1672="","",IF($B1672="Tema",INDEX(Config!$C$6:$C$11,$D1672),"Evento avulso"))</f>
        <v/>
      </c>
      <c r="H1672" s="114" t="str">
        <f aca="false">IF($E1672="","",IF($B1672="Tema",INDEX(Config!$D$6:$D$11,$D1672),IFERROR(INDEX(Config!$E$15:$E$19,MATCH($I1672,Config!$C$15:$C$19,0)),"•")))</f>
        <v/>
      </c>
      <c r="I1672" s="114" t="str">
        <f aca="false">IF($E1672="","",IF($B1672="Tema",INDEX(Config!$E$6:$E$11,$D1672),IF(INDEX(Avulsos!$D$6:$D$205,$C1672)&amp;""="","Outro",INDEX(Avulsos!$D$6:$D$205,$C1672))))</f>
        <v/>
      </c>
      <c r="J1672" s="114" t="str">
        <f aca="false">IF($E1672="","",IF($B1672="Tema",INDEX(Temas!$C$6:$C$305,$C1672)&amp;"",INDEX(Avulsos!$E$6:$E$205,$C1672)&amp;""))</f>
        <v/>
      </c>
      <c r="K1672" s="114" t="str">
        <f aca="false">IF($E1672="","",IF(IF($B1672="Tema",INDEX(Temas!$E$6:$P$305,$C1672,2*$D1672),INDEX(Avulsos!$F$6:$F$205,$C1672))&amp;""="","","✓"))</f>
        <v/>
      </c>
      <c r="L1672" s="114" t="str">
        <f aca="true">IF($E1672="","",IF($K1672="✓","Concluído",IF($E1672&lt;TODAY(),"Atrasado",IF($E1672=TODAY(),"Hoje","Pendente"))))</f>
        <v/>
      </c>
      <c r="M1672" s="114" t="str">
        <f aca="false">IF($E1672="","",IF($K1672="✓","✓ ","")&amp;IF(Config!$E$22="Sim",$H1672&amp;" · ","")&amp;$F1672)</f>
        <v/>
      </c>
      <c r="N1672" s="114" t="str">
        <f aca="false">IF($E1672="","",IFERROR(INDEX(Config!$D$15:$D$19,MATCH($I1672,Config!$C$15:$C$19,0)),"OUT")&amp;IF($K1672="✓","x",""))</f>
        <v/>
      </c>
      <c r="O1672" s="114" t="str">
        <f aca="false">IF($E1672="","",COUNTIF($E$5:$E1672,$E1672))</f>
        <v/>
      </c>
      <c r="P1672" s="114" t="str">
        <f aca="false">IF($E1672="","",$E1672*100+$O1672)</f>
        <v/>
      </c>
      <c r="Q1672" s="114" t="str">
        <f aca="false">IF($L1672="Atrasado",$E1672*10000+$A1672,"")</f>
        <v/>
      </c>
    </row>
    <row r="1673" customFormat="false" ht="15" hidden="false" customHeight="false" outlineLevel="0" collapsed="false">
      <c r="A1673" s="114" t="n">
        <f aca="false">ROW()-4</f>
        <v>1669</v>
      </c>
      <c r="B1673" s="114" t="str">
        <f aca="false">IF(A1673&lt;=Config!$E$27*Config!$E$28,"Tema","Avulso")</f>
        <v>Tema</v>
      </c>
      <c r="C1673" s="114" t="n">
        <f aca="false">IF(B1673="Tema",INT((A1673-1)/Config!$E$28)+1,A1673-Config!$E$27*Config!$E$28)</f>
        <v>279</v>
      </c>
      <c r="D1673" s="114" t="n">
        <f aca="false">IF(B1673="Tema",MOD(A1673-1,Config!$E$28)+1,"")</f>
        <v>1</v>
      </c>
      <c r="E1673" s="115" t="str">
        <f aca="false">IF($B1673="Tema",IF(ISNUMBER(INDEX(Temas!$E$6:$P$305,$C1673,2*$D1673-1)),INDEX(Temas!$E$6:$P$305,$C1673,2*$D1673-1),""),IF(ISNUMBER(INDEX(Avulsos!$B$6:$B$205,$C1673)),INDEX(Avulsos!$B$6:$B$205,$C1673),""))</f>
        <v/>
      </c>
      <c r="F1673" s="114" t="str">
        <f aca="false">IF($E1673="","",IF($B1673="Tema",INDEX(Temas!$B$6:$B$305,$C1673)&amp;"",INDEX(Avulsos!$C$6:$C$205,$C1673)&amp;""))</f>
        <v/>
      </c>
      <c r="G1673" s="114" t="str">
        <f aca="false">IF($E1673="","",IF($B1673="Tema",INDEX(Config!$C$6:$C$11,$D1673),"Evento avulso"))</f>
        <v/>
      </c>
      <c r="H1673" s="114" t="str">
        <f aca="false">IF($E1673="","",IF($B1673="Tema",INDEX(Config!$D$6:$D$11,$D1673),IFERROR(INDEX(Config!$E$15:$E$19,MATCH($I1673,Config!$C$15:$C$19,0)),"•")))</f>
        <v/>
      </c>
      <c r="I1673" s="114" t="str">
        <f aca="false">IF($E1673="","",IF($B1673="Tema",INDEX(Config!$E$6:$E$11,$D1673),IF(INDEX(Avulsos!$D$6:$D$205,$C1673)&amp;""="","Outro",INDEX(Avulsos!$D$6:$D$205,$C1673))))</f>
        <v/>
      </c>
      <c r="J1673" s="114" t="str">
        <f aca="false">IF($E1673="","",IF($B1673="Tema",INDEX(Temas!$C$6:$C$305,$C1673)&amp;"",INDEX(Avulsos!$E$6:$E$205,$C1673)&amp;""))</f>
        <v/>
      </c>
      <c r="K1673" s="114" t="str">
        <f aca="false">IF($E1673="","",IF(IF($B1673="Tema",INDEX(Temas!$E$6:$P$305,$C1673,2*$D1673),INDEX(Avulsos!$F$6:$F$205,$C1673))&amp;""="","","✓"))</f>
        <v/>
      </c>
      <c r="L1673" s="114" t="str">
        <f aca="true">IF($E1673="","",IF($K1673="✓","Concluído",IF($E1673&lt;TODAY(),"Atrasado",IF($E1673=TODAY(),"Hoje","Pendente"))))</f>
        <v/>
      </c>
      <c r="M1673" s="114" t="str">
        <f aca="false">IF($E1673="","",IF($K1673="✓","✓ ","")&amp;IF(Config!$E$22="Sim",$H1673&amp;" · ","")&amp;$F1673)</f>
        <v/>
      </c>
      <c r="N1673" s="114" t="str">
        <f aca="false">IF($E1673="","",IFERROR(INDEX(Config!$D$15:$D$19,MATCH($I1673,Config!$C$15:$C$19,0)),"OUT")&amp;IF($K1673="✓","x",""))</f>
        <v/>
      </c>
      <c r="O1673" s="114" t="str">
        <f aca="false">IF($E1673="","",COUNTIF($E$5:$E1673,$E1673))</f>
        <v/>
      </c>
      <c r="P1673" s="114" t="str">
        <f aca="false">IF($E1673="","",$E1673*100+$O1673)</f>
        <v/>
      </c>
      <c r="Q1673" s="114" t="str">
        <f aca="false">IF($L1673="Atrasado",$E1673*10000+$A1673,"")</f>
        <v/>
      </c>
    </row>
    <row r="1674" customFormat="false" ht="15" hidden="false" customHeight="false" outlineLevel="0" collapsed="false">
      <c r="A1674" s="114" t="n">
        <f aca="false">ROW()-4</f>
        <v>1670</v>
      </c>
      <c r="B1674" s="114" t="str">
        <f aca="false">IF(A1674&lt;=Config!$E$27*Config!$E$28,"Tema","Avulso")</f>
        <v>Tema</v>
      </c>
      <c r="C1674" s="114" t="n">
        <f aca="false">IF(B1674="Tema",INT((A1674-1)/Config!$E$28)+1,A1674-Config!$E$27*Config!$E$28)</f>
        <v>279</v>
      </c>
      <c r="D1674" s="114" t="n">
        <f aca="false">IF(B1674="Tema",MOD(A1674-1,Config!$E$28)+1,"")</f>
        <v>2</v>
      </c>
      <c r="E1674" s="115" t="str">
        <f aca="false">IF($B1674="Tema",IF(ISNUMBER(INDEX(Temas!$E$6:$P$305,$C1674,2*$D1674-1)),INDEX(Temas!$E$6:$P$305,$C1674,2*$D1674-1),""),IF(ISNUMBER(INDEX(Avulsos!$B$6:$B$205,$C1674)),INDEX(Avulsos!$B$6:$B$205,$C1674),""))</f>
        <v/>
      </c>
      <c r="F1674" s="114" t="str">
        <f aca="false">IF($E1674="","",IF($B1674="Tema",INDEX(Temas!$B$6:$B$305,$C1674)&amp;"",INDEX(Avulsos!$C$6:$C$205,$C1674)&amp;""))</f>
        <v/>
      </c>
      <c r="G1674" s="114" t="str">
        <f aca="false">IF($E1674="","",IF($B1674="Tema",INDEX(Config!$C$6:$C$11,$D1674),"Evento avulso"))</f>
        <v/>
      </c>
      <c r="H1674" s="114" t="str">
        <f aca="false">IF($E1674="","",IF($B1674="Tema",INDEX(Config!$D$6:$D$11,$D1674),IFERROR(INDEX(Config!$E$15:$E$19,MATCH($I1674,Config!$C$15:$C$19,0)),"•")))</f>
        <v/>
      </c>
      <c r="I1674" s="114" t="str">
        <f aca="false">IF($E1674="","",IF($B1674="Tema",INDEX(Config!$E$6:$E$11,$D1674),IF(INDEX(Avulsos!$D$6:$D$205,$C1674)&amp;""="","Outro",INDEX(Avulsos!$D$6:$D$205,$C1674))))</f>
        <v/>
      </c>
      <c r="J1674" s="114" t="str">
        <f aca="false">IF($E1674="","",IF($B1674="Tema",INDEX(Temas!$C$6:$C$305,$C1674)&amp;"",INDEX(Avulsos!$E$6:$E$205,$C1674)&amp;""))</f>
        <v/>
      </c>
      <c r="K1674" s="114" t="str">
        <f aca="false">IF($E1674="","",IF(IF($B1674="Tema",INDEX(Temas!$E$6:$P$305,$C1674,2*$D1674),INDEX(Avulsos!$F$6:$F$205,$C1674))&amp;""="","","✓"))</f>
        <v/>
      </c>
      <c r="L1674" s="114" t="str">
        <f aca="true">IF($E1674="","",IF($K1674="✓","Concluído",IF($E1674&lt;TODAY(),"Atrasado",IF($E1674=TODAY(),"Hoje","Pendente"))))</f>
        <v/>
      </c>
      <c r="M1674" s="114" t="str">
        <f aca="false">IF($E1674="","",IF($K1674="✓","✓ ","")&amp;IF(Config!$E$22="Sim",$H1674&amp;" · ","")&amp;$F1674)</f>
        <v/>
      </c>
      <c r="N1674" s="114" t="str">
        <f aca="false">IF($E1674="","",IFERROR(INDEX(Config!$D$15:$D$19,MATCH($I1674,Config!$C$15:$C$19,0)),"OUT")&amp;IF($K1674="✓","x",""))</f>
        <v/>
      </c>
      <c r="O1674" s="114" t="str">
        <f aca="false">IF($E1674="","",COUNTIF($E$5:$E1674,$E1674))</f>
        <v/>
      </c>
      <c r="P1674" s="114" t="str">
        <f aca="false">IF($E1674="","",$E1674*100+$O1674)</f>
        <v/>
      </c>
      <c r="Q1674" s="114" t="str">
        <f aca="false">IF($L1674="Atrasado",$E1674*10000+$A1674,"")</f>
        <v/>
      </c>
    </row>
    <row r="1675" customFormat="false" ht="15" hidden="false" customHeight="false" outlineLevel="0" collapsed="false">
      <c r="A1675" s="114" t="n">
        <f aca="false">ROW()-4</f>
        <v>1671</v>
      </c>
      <c r="B1675" s="114" t="str">
        <f aca="false">IF(A1675&lt;=Config!$E$27*Config!$E$28,"Tema","Avulso")</f>
        <v>Tema</v>
      </c>
      <c r="C1675" s="114" t="n">
        <f aca="false">IF(B1675="Tema",INT((A1675-1)/Config!$E$28)+1,A1675-Config!$E$27*Config!$E$28)</f>
        <v>279</v>
      </c>
      <c r="D1675" s="114" t="n">
        <f aca="false">IF(B1675="Tema",MOD(A1675-1,Config!$E$28)+1,"")</f>
        <v>3</v>
      </c>
      <c r="E1675" s="115" t="str">
        <f aca="false">IF($B1675="Tema",IF(ISNUMBER(INDEX(Temas!$E$6:$P$305,$C1675,2*$D1675-1)),INDEX(Temas!$E$6:$P$305,$C1675,2*$D1675-1),""),IF(ISNUMBER(INDEX(Avulsos!$B$6:$B$205,$C1675)),INDEX(Avulsos!$B$6:$B$205,$C1675),""))</f>
        <v/>
      </c>
      <c r="F1675" s="114" t="str">
        <f aca="false">IF($E1675="","",IF($B1675="Tema",INDEX(Temas!$B$6:$B$305,$C1675)&amp;"",INDEX(Avulsos!$C$6:$C$205,$C1675)&amp;""))</f>
        <v/>
      </c>
      <c r="G1675" s="114" t="str">
        <f aca="false">IF($E1675="","",IF($B1675="Tema",INDEX(Config!$C$6:$C$11,$D1675),"Evento avulso"))</f>
        <v/>
      </c>
      <c r="H1675" s="114" t="str">
        <f aca="false">IF($E1675="","",IF($B1675="Tema",INDEX(Config!$D$6:$D$11,$D1675),IFERROR(INDEX(Config!$E$15:$E$19,MATCH($I1675,Config!$C$15:$C$19,0)),"•")))</f>
        <v/>
      </c>
      <c r="I1675" s="114" t="str">
        <f aca="false">IF($E1675="","",IF($B1675="Tema",INDEX(Config!$E$6:$E$11,$D1675),IF(INDEX(Avulsos!$D$6:$D$205,$C1675)&amp;""="","Outro",INDEX(Avulsos!$D$6:$D$205,$C1675))))</f>
        <v/>
      </c>
      <c r="J1675" s="114" t="str">
        <f aca="false">IF($E1675="","",IF($B1675="Tema",INDEX(Temas!$C$6:$C$305,$C1675)&amp;"",INDEX(Avulsos!$E$6:$E$205,$C1675)&amp;""))</f>
        <v/>
      </c>
      <c r="K1675" s="114" t="str">
        <f aca="false">IF($E1675="","",IF(IF($B1675="Tema",INDEX(Temas!$E$6:$P$305,$C1675,2*$D1675),INDEX(Avulsos!$F$6:$F$205,$C1675))&amp;""="","","✓"))</f>
        <v/>
      </c>
      <c r="L1675" s="114" t="str">
        <f aca="true">IF($E1675="","",IF($K1675="✓","Concluído",IF($E1675&lt;TODAY(),"Atrasado",IF($E1675=TODAY(),"Hoje","Pendente"))))</f>
        <v/>
      </c>
      <c r="M1675" s="114" t="str">
        <f aca="false">IF($E1675="","",IF($K1675="✓","✓ ","")&amp;IF(Config!$E$22="Sim",$H1675&amp;" · ","")&amp;$F1675)</f>
        <v/>
      </c>
      <c r="N1675" s="114" t="str">
        <f aca="false">IF($E1675="","",IFERROR(INDEX(Config!$D$15:$D$19,MATCH($I1675,Config!$C$15:$C$19,0)),"OUT")&amp;IF($K1675="✓","x",""))</f>
        <v/>
      </c>
      <c r="O1675" s="114" t="str">
        <f aca="false">IF($E1675="","",COUNTIF($E$5:$E1675,$E1675))</f>
        <v/>
      </c>
      <c r="P1675" s="114" t="str">
        <f aca="false">IF($E1675="","",$E1675*100+$O1675)</f>
        <v/>
      </c>
      <c r="Q1675" s="114" t="str">
        <f aca="false">IF($L1675="Atrasado",$E1675*10000+$A1675,"")</f>
        <v/>
      </c>
    </row>
    <row r="1676" customFormat="false" ht="15" hidden="false" customHeight="false" outlineLevel="0" collapsed="false">
      <c r="A1676" s="114" t="n">
        <f aca="false">ROW()-4</f>
        <v>1672</v>
      </c>
      <c r="B1676" s="114" t="str">
        <f aca="false">IF(A1676&lt;=Config!$E$27*Config!$E$28,"Tema","Avulso")</f>
        <v>Tema</v>
      </c>
      <c r="C1676" s="114" t="n">
        <f aca="false">IF(B1676="Tema",INT((A1676-1)/Config!$E$28)+1,A1676-Config!$E$27*Config!$E$28)</f>
        <v>279</v>
      </c>
      <c r="D1676" s="114" t="n">
        <f aca="false">IF(B1676="Tema",MOD(A1676-1,Config!$E$28)+1,"")</f>
        <v>4</v>
      </c>
      <c r="E1676" s="115" t="str">
        <f aca="false">IF($B1676="Tema",IF(ISNUMBER(INDEX(Temas!$E$6:$P$305,$C1676,2*$D1676-1)),INDEX(Temas!$E$6:$P$305,$C1676,2*$D1676-1),""),IF(ISNUMBER(INDEX(Avulsos!$B$6:$B$205,$C1676)),INDEX(Avulsos!$B$6:$B$205,$C1676),""))</f>
        <v/>
      </c>
      <c r="F1676" s="114" t="str">
        <f aca="false">IF($E1676="","",IF($B1676="Tema",INDEX(Temas!$B$6:$B$305,$C1676)&amp;"",INDEX(Avulsos!$C$6:$C$205,$C1676)&amp;""))</f>
        <v/>
      </c>
      <c r="G1676" s="114" t="str">
        <f aca="false">IF($E1676="","",IF($B1676="Tema",INDEX(Config!$C$6:$C$11,$D1676),"Evento avulso"))</f>
        <v/>
      </c>
      <c r="H1676" s="114" t="str">
        <f aca="false">IF($E1676="","",IF($B1676="Tema",INDEX(Config!$D$6:$D$11,$D1676),IFERROR(INDEX(Config!$E$15:$E$19,MATCH($I1676,Config!$C$15:$C$19,0)),"•")))</f>
        <v/>
      </c>
      <c r="I1676" s="114" t="str">
        <f aca="false">IF($E1676="","",IF($B1676="Tema",INDEX(Config!$E$6:$E$11,$D1676),IF(INDEX(Avulsos!$D$6:$D$205,$C1676)&amp;""="","Outro",INDEX(Avulsos!$D$6:$D$205,$C1676))))</f>
        <v/>
      </c>
      <c r="J1676" s="114" t="str">
        <f aca="false">IF($E1676="","",IF($B1676="Tema",INDEX(Temas!$C$6:$C$305,$C1676)&amp;"",INDEX(Avulsos!$E$6:$E$205,$C1676)&amp;""))</f>
        <v/>
      </c>
      <c r="K1676" s="114" t="str">
        <f aca="false">IF($E1676="","",IF(IF($B1676="Tema",INDEX(Temas!$E$6:$P$305,$C1676,2*$D1676),INDEX(Avulsos!$F$6:$F$205,$C1676))&amp;""="","","✓"))</f>
        <v/>
      </c>
      <c r="L1676" s="114" t="str">
        <f aca="true">IF($E1676="","",IF($K1676="✓","Concluído",IF($E1676&lt;TODAY(),"Atrasado",IF($E1676=TODAY(),"Hoje","Pendente"))))</f>
        <v/>
      </c>
      <c r="M1676" s="114" t="str">
        <f aca="false">IF($E1676="","",IF($K1676="✓","✓ ","")&amp;IF(Config!$E$22="Sim",$H1676&amp;" · ","")&amp;$F1676)</f>
        <v/>
      </c>
      <c r="N1676" s="114" t="str">
        <f aca="false">IF($E1676="","",IFERROR(INDEX(Config!$D$15:$D$19,MATCH($I1676,Config!$C$15:$C$19,0)),"OUT")&amp;IF($K1676="✓","x",""))</f>
        <v/>
      </c>
      <c r="O1676" s="114" t="str">
        <f aca="false">IF($E1676="","",COUNTIF($E$5:$E1676,$E1676))</f>
        <v/>
      </c>
      <c r="P1676" s="114" t="str">
        <f aca="false">IF($E1676="","",$E1676*100+$O1676)</f>
        <v/>
      </c>
      <c r="Q1676" s="114" t="str">
        <f aca="false">IF($L1676="Atrasado",$E1676*10000+$A1676,"")</f>
        <v/>
      </c>
    </row>
    <row r="1677" customFormat="false" ht="15" hidden="false" customHeight="false" outlineLevel="0" collapsed="false">
      <c r="A1677" s="114" t="n">
        <f aca="false">ROW()-4</f>
        <v>1673</v>
      </c>
      <c r="B1677" s="114" t="str">
        <f aca="false">IF(A1677&lt;=Config!$E$27*Config!$E$28,"Tema","Avulso")</f>
        <v>Tema</v>
      </c>
      <c r="C1677" s="114" t="n">
        <f aca="false">IF(B1677="Tema",INT((A1677-1)/Config!$E$28)+1,A1677-Config!$E$27*Config!$E$28)</f>
        <v>279</v>
      </c>
      <c r="D1677" s="114" t="n">
        <f aca="false">IF(B1677="Tema",MOD(A1677-1,Config!$E$28)+1,"")</f>
        <v>5</v>
      </c>
      <c r="E1677" s="115" t="str">
        <f aca="false">IF($B1677="Tema",IF(ISNUMBER(INDEX(Temas!$E$6:$P$305,$C1677,2*$D1677-1)),INDEX(Temas!$E$6:$P$305,$C1677,2*$D1677-1),""),IF(ISNUMBER(INDEX(Avulsos!$B$6:$B$205,$C1677)),INDEX(Avulsos!$B$6:$B$205,$C1677),""))</f>
        <v/>
      </c>
      <c r="F1677" s="114" t="str">
        <f aca="false">IF($E1677="","",IF($B1677="Tema",INDEX(Temas!$B$6:$B$305,$C1677)&amp;"",INDEX(Avulsos!$C$6:$C$205,$C1677)&amp;""))</f>
        <v/>
      </c>
      <c r="G1677" s="114" t="str">
        <f aca="false">IF($E1677="","",IF($B1677="Tema",INDEX(Config!$C$6:$C$11,$D1677),"Evento avulso"))</f>
        <v/>
      </c>
      <c r="H1677" s="114" t="str">
        <f aca="false">IF($E1677="","",IF($B1677="Tema",INDEX(Config!$D$6:$D$11,$D1677),IFERROR(INDEX(Config!$E$15:$E$19,MATCH($I1677,Config!$C$15:$C$19,0)),"•")))</f>
        <v/>
      </c>
      <c r="I1677" s="114" t="str">
        <f aca="false">IF($E1677="","",IF($B1677="Tema",INDEX(Config!$E$6:$E$11,$D1677),IF(INDEX(Avulsos!$D$6:$D$205,$C1677)&amp;""="","Outro",INDEX(Avulsos!$D$6:$D$205,$C1677))))</f>
        <v/>
      </c>
      <c r="J1677" s="114" t="str">
        <f aca="false">IF($E1677="","",IF($B1677="Tema",INDEX(Temas!$C$6:$C$305,$C1677)&amp;"",INDEX(Avulsos!$E$6:$E$205,$C1677)&amp;""))</f>
        <v/>
      </c>
      <c r="K1677" s="114" t="str">
        <f aca="false">IF($E1677="","",IF(IF($B1677="Tema",INDEX(Temas!$E$6:$P$305,$C1677,2*$D1677),INDEX(Avulsos!$F$6:$F$205,$C1677))&amp;""="","","✓"))</f>
        <v/>
      </c>
      <c r="L1677" s="114" t="str">
        <f aca="true">IF($E1677="","",IF($K1677="✓","Concluído",IF($E1677&lt;TODAY(),"Atrasado",IF($E1677=TODAY(),"Hoje","Pendente"))))</f>
        <v/>
      </c>
      <c r="M1677" s="114" t="str">
        <f aca="false">IF($E1677="","",IF($K1677="✓","✓ ","")&amp;IF(Config!$E$22="Sim",$H1677&amp;" · ","")&amp;$F1677)</f>
        <v/>
      </c>
      <c r="N1677" s="114" t="str">
        <f aca="false">IF($E1677="","",IFERROR(INDEX(Config!$D$15:$D$19,MATCH($I1677,Config!$C$15:$C$19,0)),"OUT")&amp;IF($K1677="✓","x",""))</f>
        <v/>
      </c>
      <c r="O1677" s="114" t="str">
        <f aca="false">IF($E1677="","",COUNTIF($E$5:$E1677,$E1677))</f>
        <v/>
      </c>
      <c r="P1677" s="114" t="str">
        <f aca="false">IF($E1677="","",$E1677*100+$O1677)</f>
        <v/>
      </c>
      <c r="Q1677" s="114" t="str">
        <f aca="false">IF($L1677="Atrasado",$E1677*10000+$A1677,"")</f>
        <v/>
      </c>
    </row>
    <row r="1678" customFormat="false" ht="15" hidden="false" customHeight="false" outlineLevel="0" collapsed="false">
      <c r="A1678" s="114" t="n">
        <f aca="false">ROW()-4</f>
        <v>1674</v>
      </c>
      <c r="B1678" s="114" t="str">
        <f aca="false">IF(A1678&lt;=Config!$E$27*Config!$E$28,"Tema","Avulso")</f>
        <v>Tema</v>
      </c>
      <c r="C1678" s="114" t="n">
        <f aca="false">IF(B1678="Tema",INT((A1678-1)/Config!$E$28)+1,A1678-Config!$E$27*Config!$E$28)</f>
        <v>279</v>
      </c>
      <c r="D1678" s="114" t="n">
        <f aca="false">IF(B1678="Tema",MOD(A1678-1,Config!$E$28)+1,"")</f>
        <v>6</v>
      </c>
      <c r="E1678" s="115" t="str">
        <f aca="false">IF($B1678="Tema",IF(ISNUMBER(INDEX(Temas!$E$6:$P$305,$C1678,2*$D1678-1)),INDEX(Temas!$E$6:$P$305,$C1678,2*$D1678-1),""),IF(ISNUMBER(INDEX(Avulsos!$B$6:$B$205,$C1678)),INDEX(Avulsos!$B$6:$B$205,$C1678),""))</f>
        <v/>
      </c>
      <c r="F1678" s="114" t="str">
        <f aca="false">IF($E1678="","",IF($B1678="Tema",INDEX(Temas!$B$6:$B$305,$C1678)&amp;"",INDEX(Avulsos!$C$6:$C$205,$C1678)&amp;""))</f>
        <v/>
      </c>
      <c r="G1678" s="114" t="str">
        <f aca="false">IF($E1678="","",IF($B1678="Tema",INDEX(Config!$C$6:$C$11,$D1678),"Evento avulso"))</f>
        <v/>
      </c>
      <c r="H1678" s="114" t="str">
        <f aca="false">IF($E1678="","",IF($B1678="Tema",INDEX(Config!$D$6:$D$11,$D1678),IFERROR(INDEX(Config!$E$15:$E$19,MATCH($I1678,Config!$C$15:$C$19,0)),"•")))</f>
        <v/>
      </c>
      <c r="I1678" s="114" t="str">
        <f aca="false">IF($E1678="","",IF($B1678="Tema",INDEX(Config!$E$6:$E$11,$D1678),IF(INDEX(Avulsos!$D$6:$D$205,$C1678)&amp;""="","Outro",INDEX(Avulsos!$D$6:$D$205,$C1678))))</f>
        <v/>
      </c>
      <c r="J1678" s="114" t="str">
        <f aca="false">IF($E1678="","",IF($B1678="Tema",INDEX(Temas!$C$6:$C$305,$C1678)&amp;"",INDEX(Avulsos!$E$6:$E$205,$C1678)&amp;""))</f>
        <v/>
      </c>
      <c r="K1678" s="114" t="str">
        <f aca="false">IF($E1678="","",IF(IF($B1678="Tema",INDEX(Temas!$E$6:$P$305,$C1678,2*$D1678),INDEX(Avulsos!$F$6:$F$205,$C1678))&amp;""="","","✓"))</f>
        <v/>
      </c>
      <c r="L1678" s="114" t="str">
        <f aca="true">IF($E1678="","",IF($K1678="✓","Concluído",IF($E1678&lt;TODAY(),"Atrasado",IF($E1678=TODAY(),"Hoje","Pendente"))))</f>
        <v/>
      </c>
      <c r="M1678" s="114" t="str">
        <f aca="false">IF($E1678="","",IF($K1678="✓","✓ ","")&amp;IF(Config!$E$22="Sim",$H1678&amp;" · ","")&amp;$F1678)</f>
        <v/>
      </c>
      <c r="N1678" s="114" t="str">
        <f aca="false">IF($E1678="","",IFERROR(INDEX(Config!$D$15:$D$19,MATCH($I1678,Config!$C$15:$C$19,0)),"OUT")&amp;IF($K1678="✓","x",""))</f>
        <v/>
      </c>
      <c r="O1678" s="114" t="str">
        <f aca="false">IF($E1678="","",COUNTIF($E$5:$E1678,$E1678))</f>
        <v/>
      </c>
      <c r="P1678" s="114" t="str">
        <f aca="false">IF($E1678="","",$E1678*100+$O1678)</f>
        <v/>
      </c>
      <c r="Q1678" s="114" t="str">
        <f aca="false">IF($L1678="Atrasado",$E1678*10000+$A1678,"")</f>
        <v/>
      </c>
    </row>
    <row r="1679" customFormat="false" ht="15" hidden="false" customHeight="false" outlineLevel="0" collapsed="false">
      <c r="A1679" s="114" t="n">
        <f aca="false">ROW()-4</f>
        <v>1675</v>
      </c>
      <c r="B1679" s="114" t="str">
        <f aca="false">IF(A1679&lt;=Config!$E$27*Config!$E$28,"Tema","Avulso")</f>
        <v>Tema</v>
      </c>
      <c r="C1679" s="114" t="n">
        <f aca="false">IF(B1679="Tema",INT((A1679-1)/Config!$E$28)+1,A1679-Config!$E$27*Config!$E$28)</f>
        <v>280</v>
      </c>
      <c r="D1679" s="114" t="n">
        <f aca="false">IF(B1679="Tema",MOD(A1679-1,Config!$E$28)+1,"")</f>
        <v>1</v>
      </c>
      <c r="E1679" s="115" t="str">
        <f aca="false">IF($B1679="Tema",IF(ISNUMBER(INDEX(Temas!$E$6:$P$305,$C1679,2*$D1679-1)),INDEX(Temas!$E$6:$P$305,$C1679,2*$D1679-1),""),IF(ISNUMBER(INDEX(Avulsos!$B$6:$B$205,$C1679)),INDEX(Avulsos!$B$6:$B$205,$C1679),""))</f>
        <v/>
      </c>
      <c r="F1679" s="114" t="str">
        <f aca="false">IF($E1679="","",IF($B1679="Tema",INDEX(Temas!$B$6:$B$305,$C1679)&amp;"",INDEX(Avulsos!$C$6:$C$205,$C1679)&amp;""))</f>
        <v/>
      </c>
      <c r="G1679" s="114" t="str">
        <f aca="false">IF($E1679="","",IF($B1679="Tema",INDEX(Config!$C$6:$C$11,$D1679),"Evento avulso"))</f>
        <v/>
      </c>
      <c r="H1679" s="114" t="str">
        <f aca="false">IF($E1679="","",IF($B1679="Tema",INDEX(Config!$D$6:$D$11,$D1679),IFERROR(INDEX(Config!$E$15:$E$19,MATCH($I1679,Config!$C$15:$C$19,0)),"•")))</f>
        <v/>
      </c>
      <c r="I1679" s="114" t="str">
        <f aca="false">IF($E1679="","",IF($B1679="Tema",INDEX(Config!$E$6:$E$11,$D1679),IF(INDEX(Avulsos!$D$6:$D$205,$C1679)&amp;""="","Outro",INDEX(Avulsos!$D$6:$D$205,$C1679))))</f>
        <v/>
      </c>
      <c r="J1679" s="114" t="str">
        <f aca="false">IF($E1679="","",IF($B1679="Tema",INDEX(Temas!$C$6:$C$305,$C1679)&amp;"",INDEX(Avulsos!$E$6:$E$205,$C1679)&amp;""))</f>
        <v/>
      </c>
      <c r="K1679" s="114" t="str">
        <f aca="false">IF($E1679="","",IF(IF($B1679="Tema",INDEX(Temas!$E$6:$P$305,$C1679,2*$D1679),INDEX(Avulsos!$F$6:$F$205,$C1679))&amp;""="","","✓"))</f>
        <v/>
      </c>
      <c r="L1679" s="114" t="str">
        <f aca="true">IF($E1679="","",IF($K1679="✓","Concluído",IF($E1679&lt;TODAY(),"Atrasado",IF($E1679=TODAY(),"Hoje","Pendente"))))</f>
        <v/>
      </c>
      <c r="M1679" s="114" t="str">
        <f aca="false">IF($E1679="","",IF($K1679="✓","✓ ","")&amp;IF(Config!$E$22="Sim",$H1679&amp;" · ","")&amp;$F1679)</f>
        <v/>
      </c>
      <c r="N1679" s="114" t="str">
        <f aca="false">IF($E1679="","",IFERROR(INDEX(Config!$D$15:$D$19,MATCH($I1679,Config!$C$15:$C$19,0)),"OUT")&amp;IF($K1679="✓","x",""))</f>
        <v/>
      </c>
      <c r="O1679" s="114" t="str">
        <f aca="false">IF($E1679="","",COUNTIF($E$5:$E1679,$E1679))</f>
        <v/>
      </c>
      <c r="P1679" s="114" t="str">
        <f aca="false">IF($E1679="","",$E1679*100+$O1679)</f>
        <v/>
      </c>
      <c r="Q1679" s="114" t="str">
        <f aca="false">IF($L1679="Atrasado",$E1679*10000+$A1679,"")</f>
        <v/>
      </c>
    </row>
    <row r="1680" customFormat="false" ht="15" hidden="false" customHeight="false" outlineLevel="0" collapsed="false">
      <c r="A1680" s="114" t="n">
        <f aca="false">ROW()-4</f>
        <v>1676</v>
      </c>
      <c r="B1680" s="114" t="str">
        <f aca="false">IF(A1680&lt;=Config!$E$27*Config!$E$28,"Tema","Avulso")</f>
        <v>Tema</v>
      </c>
      <c r="C1680" s="114" t="n">
        <f aca="false">IF(B1680="Tema",INT((A1680-1)/Config!$E$28)+1,A1680-Config!$E$27*Config!$E$28)</f>
        <v>280</v>
      </c>
      <c r="D1680" s="114" t="n">
        <f aca="false">IF(B1680="Tema",MOD(A1680-1,Config!$E$28)+1,"")</f>
        <v>2</v>
      </c>
      <c r="E1680" s="115" t="str">
        <f aca="false">IF($B1680="Tema",IF(ISNUMBER(INDEX(Temas!$E$6:$P$305,$C1680,2*$D1680-1)),INDEX(Temas!$E$6:$P$305,$C1680,2*$D1680-1),""),IF(ISNUMBER(INDEX(Avulsos!$B$6:$B$205,$C1680)),INDEX(Avulsos!$B$6:$B$205,$C1680),""))</f>
        <v/>
      </c>
      <c r="F1680" s="114" t="str">
        <f aca="false">IF($E1680="","",IF($B1680="Tema",INDEX(Temas!$B$6:$B$305,$C1680)&amp;"",INDEX(Avulsos!$C$6:$C$205,$C1680)&amp;""))</f>
        <v/>
      </c>
      <c r="G1680" s="114" t="str">
        <f aca="false">IF($E1680="","",IF($B1680="Tema",INDEX(Config!$C$6:$C$11,$D1680),"Evento avulso"))</f>
        <v/>
      </c>
      <c r="H1680" s="114" t="str">
        <f aca="false">IF($E1680="","",IF($B1680="Tema",INDEX(Config!$D$6:$D$11,$D1680),IFERROR(INDEX(Config!$E$15:$E$19,MATCH($I1680,Config!$C$15:$C$19,0)),"•")))</f>
        <v/>
      </c>
      <c r="I1680" s="114" t="str">
        <f aca="false">IF($E1680="","",IF($B1680="Tema",INDEX(Config!$E$6:$E$11,$D1680),IF(INDEX(Avulsos!$D$6:$D$205,$C1680)&amp;""="","Outro",INDEX(Avulsos!$D$6:$D$205,$C1680))))</f>
        <v/>
      </c>
      <c r="J1680" s="114" t="str">
        <f aca="false">IF($E1680="","",IF($B1680="Tema",INDEX(Temas!$C$6:$C$305,$C1680)&amp;"",INDEX(Avulsos!$E$6:$E$205,$C1680)&amp;""))</f>
        <v/>
      </c>
      <c r="K1680" s="114" t="str">
        <f aca="false">IF($E1680="","",IF(IF($B1680="Tema",INDEX(Temas!$E$6:$P$305,$C1680,2*$D1680),INDEX(Avulsos!$F$6:$F$205,$C1680))&amp;""="","","✓"))</f>
        <v/>
      </c>
      <c r="L1680" s="114" t="str">
        <f aca="true">IF($E1680="","",IF($K1680="✓","Concluído",IF($E1680&lt;TODAY(),"Atrasado",IF($E1680=TODAY(),"Hoje","Pendente"))))</f>
        <v/>
      </c>
      <c r="M1680" s="114" t="str">
        <f aca="false">IF($E1680="","",IF($K1680="✓","✓ ","")&amp;IF(Config!$E$22="Sim",$H1680&amp;" · ","")&amp;$F1680)</f>
        <v/>
      </c>
      <c r="N1680" s="114" t="str">
        <f aca="false">IF($E1680="","",IFERROR(INDEX(Config!$D$15:$D$19,MATCH($I1680,Config!$C$15:$C$19,0)),"OUT")&amp;IF($K1680="✓","x",""))</f>
        <v/>
      </c>
      <c r="O1680" s="114" t="str">
        <f aca="false">IF($E1680="","",COUNTIF($E$5:$E1680,$E1680))</f>
        <v/>
      </c>
      <c r="P1680" s="114" t="str">
        <f aca="false">IF($E1680="","",$E1680*100+$O1680)</f>
        <v/>
      </c>
      <c r="Q1680" s="114" t="str">
        <f aca="false">IF($L1680="Atrasado",$E1680*10000+$A1680,"")</f>
        <v/>
      </c>
    </row>
    <row r="1681" customFormat="false" ht="15" hidden="false" customHeight="false" outlineLevel="0" collapsed="false">
      <c r="A1681" s="114" t="n">
        <f aca="false">ROW()-4</f>
        <v>1677</v>
      </c>
      <c r="B1681" s="114" t="str">
        <f aca="false">IF(A1681&lt;=Config!$E$27*Config!$E$28,"Tema","Avulso")</f>
        <v>Tema</v>
      </c>
      <c r="C1681" s="114" t="n">
        <f aca="false">IF(B1681="Tema",INT((A1681-1)/Config!$E$28)+1,A1681-Config!$E$27*Config!$E$28)</f>
        <v>280</v>
      </c>
      <c r="D1681" s="114" t="n">
        <f aca="false">IF(B1681="Tema",MOD(A1681-1,Config!$E$28)+1,"")</f>
        <v>3</v>
      </c>
      <c r="E1681" s="115" t="str">
        <f aca="false">IF($B1681="Tema",IF(ISNUMBER(INDEX(Temas!$E$6:$P$305,$C1681,2*$D1681-1)),INDEX(Temas!$E$6:$P$305,$C1681,2*$D1681-1),""),IF(ISNUMBER(INDEX(Avulsos!$B$6:$B$205,$C1681)),INDEX(Avulsos!$B$6:$B$205,$C1681),""))</f>
        <v/>
      </c>
      <c r="F1681" s="114" t="str">
        <f aca="false">IF($E1681="","",IF($B1681="Tema",INDEX(Temas!$B$6:$B$305,$C1681)&amp;"",INDEX(Avulsos!$C$6:$C$205,$C1681)&amp;""))</f>
        <v/>
      </c>
      <c r="G1681" s="114" t="str">
        <f aca="false">IF($E1681="","",IF($B1681="Tema",INDEX(Config!$C$6:$C$11,$D1681),"Evento avulso"))</f>
        <v/>
      </c>
      <c r="H1681" s="114" t="str">
        <f aca="false">IF($E1681="","",IF($B1681="Tema",INDEX(Config!$D$6:$D$11,$D1681),IFERROR(INDEX(Config!$E$15:$E$19,MATCH($I1681,Config!$C$15:$C$19,0)),"•")))</f>
        <v/>
      </c>
      <c r="I1681" s="114" t="str">
        <f aca="false">IF($E1681="","",IF($B1681="Tema",INDEX(Config!$E$6:$E$11,$D1681),IF(INDEX(Avulsos!$D$6:$D$205,$C1681)&amp;""="","Outro",INDEX(Avulsos!$D$6:$D$205,$C1681))))</f>
        <v/>
      </c>
      <c r="J1681" s="114" t="str">
        <f aca="false">IF($E1681="","",IF($B1681="Tema",INDEX(Temas!$C$6:$C$305,$C1681)&amp;"",INDEX(Avulsos!$E$6:$E$205,$C1681)&amp;""))</f>
        <v/>
      </c>
      <c r="K1681" s="114" t="str">
        <f aca="false">IF($E1681="","",IF(IF($B1681="Tema",INDEX(Temas!$E$6:$P$305,$C1681,2*$D1681),INDEX(Avulsos!$F$6:$F$205,$C1681))&amp;""="","","✓"))</f>
        <v/>
      </c>
      <c r="L1681" s="114" t="str">
        <f aca="true">IF($E1681="","",IF($K1681="✓","Concluído",IF($E1681&lt;TODAY(),"Atrasado",IF($E1681=TODAY(),"Hoje","Pendente"))))</f>
        <v/>
      </c>
      <c r="M1681" s="114" t="str">
        <f aca="false">IF($E1681="","",IF($K1681="✓","✓ ","")&amp;IF(Config!$E$22="Sim",$H1681&amp;" · ","")&amp;$F1681)</f>
        <v/>
      </c>
      <c r="N1681" s="114" t="str">
        <f aca="false">IF($E1681="","",IFERROR(INDEX(Config!$D$15:$D$19,MATCH($I1681,Config!$C$15:$C$19,0)),"OUT")&amp;IF($K1681="✓","x",""))</f>
        <v/>
      </c>
      <c r="O1681" s="114" t="str">
        <f aca="false">IF($E1681="","",COUNTIF($E$5:$E1681,$E1681))</f>
        <v/>
      </c>
      <c r="P1681" s="114" t="str">
        <f aca="false">IF($E1681="","",$E1681*100+$O1681)</f>
        <v/>
      </c>
      <c r="Q1681" s="114" t="str">
        <f aca="false">IF($L1681="Atrasado",$E1681*10000+$A1681,"")</f>
        <v/>
      </c>
    </row>
    <row r="1682" customFormat="false" ht="15" hidden="false" customHeight="false" outlineLevel="0" collapsed="false">
      <c r="A1682" s="114" t="n">
        <f aca="false">ROW()-4</f>
        <v>1678</v>
      </c>
      <c r="B1682" s="114" t="str">
        <f aca="false">IF(A1682&lt;=Config!$E$27*Config!$E$28,"Tema","Avulso")</f>
        <v>Tema</v>
      </c>
      <c r="C1682" s="114" t="n">
        <f aca="false">IF(B1682="Tema",INT((A1682-1)/Config!$E$28)+1,A1682-Config!$E$27*Config!$E$28)</f>
        <v>280</v>
      </c>
      <c r="D1682" s="114" t="n">
        <f aca="false">IF(B1682="Tema",MOD(A1682-1,Config!$E$28)+1,"")</f>
        <v>4</v>
      </c>
      <c r="E1682" s="115" t="str">
        <f aca="false">IF($B1682="Tema",IF(ISNUMBER(INDEX(Temas!$E$6:$P$305,$C1682,2*$D1682-1)),INDEX(Temas!$E$6:$P$305,$C1682,2*$D1682-1),""),IF(ISNUMBER(INDEX(Avulsos!$B$6:$B$205,$C1682)),INDEX(Avulsos!$B$6:$B$205,$C1682),""))</f>
        <v/>
      </c>
      <c r="F1682" s="114" t="str">
        <f aca="false">IF($E1682="","",IF($B1682="Tema",INDEX(Temas!$B$6:$B$305,$C1682)&amp;"",INDEX(Avulsos!$C$6:$C$205,$C1682)&amp;""))</f>
        <v/>
      </c>
      <c r="G1682" s="114" t="str">
        <f aca="false">IF($E1682="","",IF($B1682="Tema",INDEX(Config!$C$6:$C$11,$D1682),"Evento avulso"))</f>
        <v/>
      </c>
      <c r="H1682" s="114" t="str">
        <f aca="false">IF($E1682="","",IF($B1682="Tema",INDEX(Config!$D$6:$D$11,$D1682),IFERROR(INDEX(Config!$E$15:$E$19,MATCH($I1682,Config!$C$15:$C$19,0)),"•")))</f>
        <v/>
      </c>
      <c r="I1682" s="114" t="str">
        <f aca="false">IF($E1682="","",IF($B1682="Tema",INDEX(Config!$E$6:$E$11,$D1682),IF(INDEX(Avulsos!$D$6:$D$205,$C1682)&amp;""="","Outro",INDEX(Avulsos!$D$6:$D$205,$C1682))))</f>
        <v/>
      </c>
      <c r="J1682" s="114" t="str">
        <f aca="false">IF($E1682="","",IF($B1682="Tema",INDEX(Temas!$C$6:$C$305,$C1682)&amp;"",INDEX(Avulsos!$E$6:$E$205,$C1682)&amp;""))</f>
        <v/>
      </c>
      <c r="K1682" s="114" t="str">
        <f aca="false">IF($E1682="","",IF(IF($B1682="Tema",INDEX(Temas!$E$6:$P$305,$C1682,2*$D1682),INDEX(Avulsos!$F$6:$F$205,$C1682))&amp;""="","","✓"))</f>
        <v/>
      </c>
      <c r="L1682" s="114" t="str">
        <f aca="true">IF($E1682="","",IF($K1682="✓","Concluído",IF($E1682&lt;TODAY(),"Atrasado",IF($E1682=TODAY(),"Hoje","Pendente"))))</f>
        <v/>
      </c>
      <c r="M1682" s="114" t="str">
        <f aca="false">IF($E1682="","",IF($K1682="✓","✓ ","")&amp;IF(Config!$E$22="Sim",$H1682&amp;" · ","")&amp;$F1682)</f>
        <v/>
      </c>
      <c r="N1682" s="114" t="str">
        <f aca="false">IF($E1682="","",IFERROR(INDEX(Config!$D$15:$D$19,MATCH($I1682,Config!$C$15:$C$19,0)),"OUT")&amp;IF($K1682="✓","x",""))</f>
        <v/>
      </c>
      <c r="O1682" s="114" t="str">
        <f aca="false">IF($E1682="","",COUNTIF($E$5:$E1682,$E1682))</f>
        <v/>
      </c>
      <c r="P1682" s="114" t="str">
        <f aca="false">IF($E1682="","",$E1682*100+$O1682)</f>
        <v/>
      </c>
      <c r="Q1682" s="114" t="str">
        <f aca="false">IF($L1682="Atrasado",$E1682*10000+$A1682,"")</f>
        <v/>
      </c>
    </row>
    <row r="1683" customFormat="false" ht="15" hidden="false" customHeight="false" outlineLevel="0" collapsed="false">
      <c r="A1683" s="114" t="n">
        <f aca="false">ROW()-4</f>
        <v>1679</v>
      </c>
      <c r="B1683" s="114" t="str">
        <f aca="false">IF(A1683&lt;=Config!$E$27*Config!$E$28,"Tema","Avulso")</f>
        <v>Tema</v>
      </c>
      <c r="C1683" s="114" t="n">
        <f aca="false">IF(B1683="Tema",INT((A1683-1)/Config!$E$28)+1,A1683-Config!$E$27*Config!$E$28)</f>
        <v>280</v>
      </c>
      <c r="D1683" s="114" t="n">
        <f aca="false">IF(B1683="Tema",MOD(A1683-1,Config!$E$28)+1,"")</f>
        <v>5</v>
      </c>
      <c r="E1683" s="115" t="str">
        <f aca="false">IF($B1683="Tema",IF(ISNUMBER(INDEX(Temas!$E$6:$P$305,$C1683,2*$D1683-1)),INDEX(Temas!$E$6:$P$305,$C1683,2*$D1683-1),""),IF(ISNUMBER(INDEX(Avulsos!$B$6:$B$205,$C1683)),INDEX(Avulsos!$B$6:$B$205,$C1683),""))</f>
        <v/>
      </c>
      <c r="F1683" s="114" t="str">
        <f aca="false">IF($E1683="","",IF($B1683="Tema",INDEX(Temas!$B$6:$B$305,$C1683)&amp;"",INDEX(Avulsos!$C$6:$C$205,$C1683)&amp;""))</f>
        <v/>
      </c>
      <c r="G1683" s="114" t="str">
        <f aca="false">IF($E1683="","",IF($B1683="Tema",INDEX(Config!$C$6:$C$11,$D1683),"Evento avulso"))</f>
        <v/>
      </c>
      <c r="H1683" s="114" t="str">
        <f aca="false">IF($E1683="","",IF($B1683="Tema",INDEX(Config!$D$6:$D$11,$D1683),IFERROR(INDEX(Config!$E$15:$E$19,MATCH($I1683,Config!$C$15:$C$19,0)),"•")))</f>
        <v/>
      </c>
      <c r="I1683" s="114" t="str">
        <f aca="false">IF($E1683="","",IF($B1683="Tema",INDEX(Config!$E$6:$E$11,$D1683),IF(INDEX(Avulsos!$D$6:$D$205,$C1683)&amp;""="","Outro",INDEX(Avulsos!$D$6:$D$205,$C1683))))</f>
        <v/>
      </c>
      <c r="J1683" s="114" t="str">
        <f aca="false">IF($E1683="","",IF($B1683="Tema",INDEX(Temas!$C$6:$C$305,$C1683)&amp;"",INDEX(Avulsos!$E$6:$E$205,$C1683)&amp;""))</f>
        <v/>
      </c>
      <c r="K1683" s="114" t="str">
        <f aca="false">IF($E1683="","",IF(IF($B1683="Tema",INDEX(Temas!$E$6:$P$305,$C1683,2*$D1683),INDEX(Avulsos!$F$6:$F$205,$C1683))&amp;""="","","✓"))</f>
        <v/>
      </c>
      <c r="L1683" s="114" t="str">
        <f aca="true">IF($E1683="","",IF($K1683="✓","Concluído",IF($E1683&lt;TODAY(),"Atrasado",IF($E1683=TODAY(),"Hoje","Pendente"))))</f>
        <v/>
      </c>
      <c r="M1683" s="114" t="str">
        <f aca="false">IF($E1683="","",IF($K1683="✓","✓ ","")&amp;IF(Config!$E$22="Sim",$H1683&amp;" · ","")&amp;$F1683)</f>
        <v/>
      </c>
      <c r="N1683" s="114" t="str">
        <f aca="false">IF($E1683="","",IFERROR(INDEX(Config!$D$15:$D$19,MATCH($I1683,Config!$C$15:$C$19,0)),"OUT")&amp;IF($K1683="✓","x",""))</f>
        <v/>
      </c>
      <c r="O1683" s="114" t="str">
        <f aca="false">IF($E1683="","",COUNTIF($E$5:$E1683,$E1683))</f>
        <v/>
      </c>
      <c r="P1683" s="114" t="str">
        <f aca="false">IF($E1683="","",$E1683*100+$O1683)</f>
        <v/>
      </c>
      <c r="Q1683" s="114" t="str">
        <f aca="false">IF($L1683="Atrasado",$E1683*10000+$A1683,"")</f>
        <v/>
      </c>
    </row>
    <row r="1684" customFormat="false" ht="15" hidden="false" customHeight="false" outlineLevel="0" collapsed="false">
      <c r="A1684" s="114" t="n">
        <f aca="false">ROW()-4</f>
        <v>1680</v>
      </c>
      <c r="B1684" s="114" t="str">
        <f aca="false">IF(A1684&lt;=Config!$E$27*Config!$E$28,"Tema","Avulso")</f>
        <v>Tema</v>
      </c>
      <c r="C1684" s="114" t="n">
        <f aca="false">IF(B1684="Tema",INT((A1684-1)/Config!$E$28)+1,A1684-Config!$E$27*Config!$E$28)</f>
        <v>280</v>
      </c>
      <c r="D1684" s="114" t="n">
        <f aca="false">IF(B1684="Tema",MOD(A1684-1,Config!$E$28)+1,"")</f>
        <v>6</v>
      </c>
      <c r="E1684" s="115" t="str">
        <f aca="false">IF($B1684="Tema",IF(ISNUMBER(INDEX(Temas!$E$6:$P$305,$C1684,2*$D1684-1)),INDEX(Temas!$E$6:$P$305,$C1684,2*$D1684-1),""),IF(ISNUMBER(INDEX(Avulsos!$B$6:$B$205,$C1684)),INDEX(Avulsos!$B$6:$B$205,$C1684),""))</f>
        <v/>
      </c>
      <c r="F1684" s="114" t="str">
        <f aca="false">IF($E1684="","",IF($B1684="Tema",INDEX(Temas!$B$6:$B$305,$C1684)&amp;"",INDEX(Avulsos!$C$6:$C$205,$C1684)&amp;""))</f>
        <v/>
      </c>
      <c r="G1684" s="114" t="str">
        <f aca="false">IF($E1684="","",IF($B1684="Tema",INDEX(Config!$C$6:$C$11,$D1684),"Evento avulso"))</f>
        <v/>
      </c>
      <c r="H1684" s="114" t="str">
        <f aca="false">IF($E1684="","",IF($B1684="Tema",INDEX(Config!$D$6:$D$11,$D1684),IFERROR(INDEX(Config!$E$15:$E$19,MATCH($I1684,Config!$C$15:$C$19,0)),"•")))</f>
        <v/>
      </c>
      <c r="I1684" s="114" t="str">
        <f aca="false">IF($E1684="","",IF($B1684="Tema",INDEX(Config!$E$6:$E$11,$D1684),IF(INDEX(Avulsos!$D$6:$D$205,$C1684)&amp;""="","Outro",INDEX(Avulsos!$D$6:$D$205,$C1684))))</f>
        <v/>
      </c>
      <c r="J1684" s="114" t="str">
        <f aca="false">IF($E1684="","",IF($B1684="Tema",INDEX(Temas!$C$6:$C$305,$C1684)&amp;"",INDEX(Avulsos!$E$6:$E$205,$C1684)&amp;""))</f>
        <v/>
      </c>
      <c r="K1684" s="114" t="str">
        <f aca="false">IF($E1684="","",IF(IF($B1684="Tema",INDEX(Temas!$E$6:$P$305,$C1684,2*$D1684),INDEX(Avulsos!$F$6:$F$205,$C1684))&amp;""="","","✓"))</f>
        <v/>
      </c>
      <c r="L1684" s="114" t="str">
        <f aca="true">IF($E1684="","",IF($K1684="✓","Concluído",IF($E1684&lt;TODAY(),"Atrasado",IF($E1684=TODAY(),"Hoje","Pendente"))))</f>
        <v/>
      </c>
      <c r="M1684" s="114" t="str">
        <f aca="false">IF($E1684="","",IF($K1684="✓","✓ ","")&amp;IF(Config!$E$22="Sim",$H1684&amp;" · ","")&amp;$F1684)</f>
        <v/>
      </c>
      <c r="N1684" s="114" t="str">
        <f aca="false">IF($E1684="","",IFERROR(INDEX(Config!$D$15:$D$19,MATCH($I1684,Config!$C$15:$C$19,0)),"OUT")&amp;IF($K1684="✓","x",""))</f>
        <v/>
      </c>
      <c r="O1684" s="114" t="str">
        <f aca="false">IF($E1684="","",COUNTIF($E$5:$E1684,$E1684))</f>
        <v/>
      </c>
      <c r="P1684" s="114" t="str">
        <f aca="false">IF($E1684="","",$E1684*100+$O1684)</f>
        <v/>
      </c>
      <c r="Q1684" s="114" t="str">
        <f aca="false">IF($L1684="Atrasado",$E1684*10000+$A1684,"")</f>
        <v/>
      </c>
    </row>
    <row r="1685" customFormat="false" ht="15" hidden="false" customHeight="false" outlineLevel="0" collapsed="false">
      <c r="A1685" s="114" t="n">
        <f aca="false">ROW()-4</f>
        <v>1681</v>
      </c>
      <c r="B1685" s="114" t="str">
        <f aca="false">IF(A1685&lt;=Config!$E$27*Config!$E$28,"Tema","Avulso")</f>
        <v>Tema</v>
      </c>
      <c r="C1685" s="114" t="n">
        <f aca="false">IF(B1685="Tema",INT((A1685-1)/Config!$E$28)+1,A1685-Config!$E$27*Config!$E$28)</f>
        <v>281</v>
      </c>
      <c r="D1685" s="114" t="n">
        <f aca="false">IF(B1685="Tema",MOD(A1685-1,Config!$E$28)+1,"")</f>
        <v>1</v>
      </c>
      <c r="E1685" s="115" t="str">
        <f aca="false">IF($B1685="Tema",IF(ISNUMBER(INDEX(Temas!$E$6:$P$305,$C1685,2*$D1685-1)),INDEX(Temas!$E$6:$P$305,$C1685,2*$D1685-1),""),IF(ISNUMBER(INDEX(Avulsos!$B$6:$B$205,$C1685)),INDEX(Avulsos!$B$6:$B$205,$C1685),""))</f>
        <v/>
      </c>
      <c r="F1685" s="114" t="str">
        <f aca="false">IF($E1685="","",IF($B1685="Tema",INDEX(Temas!$B$6:$B$305,$C1685)&amp;"",INDEX(Avulsos!$C$6:$C$205,$C1685)&amp;""))</f>
        <v/>
      </c>
      <c r="G1685" s="114" t="str">
        <f aca="false">IF($E1685="","",IF($B1685="Tema",INDEX(Config!$C$6:$C$11,$D1685),"Evento avulso"))</f>
        <v/>
      </c>
      <c r="H1685" s="114" t="str">
        <f aca="false">IF($E1685="","",IF($B1685="Tema",INDEX(Config!$D$6:$D$11,$D1685),IFERROR(INDEX(Config!$E$15:$E$19,MATCH($I1685,Config!$C$15:$C$19,0)),"•")))</f>
        <v/>
      </c>
      <c r="I1685" s="114" t="str">
        <f aca="false">IF($E1685="","",IF($B1685="Tema",INDEX(Config!$E$6:$E$11,$D1685),IF(INDEX(Avulsos!$D$6:$D$205,$C1685)&amp;""="","Outro",INDEX(Avulsos!$D$6:$D$205,$C1685))))</f>
        <v/>
      </c>
      <c r="J1685" s="114" t="str">
        <f aca="false">IF($E1685="","",IF($B1685="Tema",INDEX(Temas!$C$6:$C$305,$C1685)&amp;"",INDEX(Avulsos!$E$6:$E$205,$C1685)&amp;""))</f>
        <v/>
      </c>
      <c r="K1685" s="114" t="str">
        <f aca="false">IF($E1685="","",IF(IF($B1685="Tema",INDEX(Temas!$E$6:$P$305,$C1685,2*$D1685),INDEX(Avulsos!$F$6:$F$205,$C1685))&amp;""="","","✓"))</f>
        <v/>
      </c>
      <c r="L1685" s="114" t="str">
        <f aca="true">IF($E1685="","",IF($K1685="✓","Concluído",IF($E1685&lt;TODAY(),"Atrasado",IF($E1685=TODAY(),"Hoje","Pendente"))))</f>
        <v/>
      </c>
      <c r="M1685" s="114" t="str">
        <f aca="false">IF($E1685="","",IF($K1685="✓","✓ ","")&amp;IF(Config!$E$22="Sim",$H1685&amp;" · ","")&amp;$F1685)</f>
        <v/>
      </c>
      <c r="N1685" s="114" t="str">
        <f aca="false">IF($E1685="","",IFERROR(INDEX(Config!$D$15:$D$19,MATCH($I1685,Config!$C$15:$C$19,0)),"OUT")&amp;IF($K1685="✓","x",""))</f>
        <v/>
      </c>
      <c r="O1685" s="114" t="str">
        <f aca="false">IF($E1685="","",COUNTIF($E$5:$E1685,$E1685))</f>
        <v/>
      </c>
      <c r="P1685" s="114" t="str">
        <f aca="false">IF($E1685="","",$E1685*100+$O1685)</f>
        <v/>
      </c>
      <c r="Q1685" s="114" t="str">
        <f aca="false">IF($L1685="Atrasado",$E1685*10000+$A1685,"")</f>
        <v/>
      </c>
    </row>
    <row r="1686" customFormat="false" ht="15" hidden="false" customHeight="false" outlineLevel="0" collapsed="false">
      <c r="A1686" s="114" t="n">
        <f aca="false">ROW()-4</f>
        <v>1682</v>
      </c>
      <c r="B1686" s="114" t="str">
        <f aca="false">IF(A1686&lt;=Config!$E$27*Config!$E$28,"Tema","Avulso")</f>
        <v>Tema</v>
      </c>
      <c r="C1686" s="114" t="n">
        <f aca="false">IF(B1686="Tema",INT((A1686-1)/Config!$E$28)+1,A1686-Config!$E$27*Config!$E$28)</f>
        <v>281</v>
      </c>
      <c r="D1686" s="114" t="n">
        <f aca="false">IF(B1686="Tema",MOD(A1686-1,Config!$E$28)+1,"")</f>
        <v>2</v>
      </c>
      <c r="E1686" s="115" t="str">
        <f aca="false">IF($B1686="Tema",IF(ISNUMBER(INDEX(Temas!$E$6:$P$305,$C1686,2*$D1686-1)),INDEX(Temas!$E$6:$P$305,$C1686,2*$D1686-1),""),IF(ISNUMBER(INDEX(Avulsos!$B$6:$B$205,$C1686)),INDEX(Avulsos!$B$6:$B$205,$C1686),""))</f>
        <v/>
      </c>
      <c r="F1686" s="114" t="str">
        <f aca="false">IF($E1686="","",IF($B1686="Tema",INDEX(Temas!$B$6:$B$305,$C1686)&amp;"",INDEX(Avulsos!$C$6:$C$205,$C1686)&amp;""))</f>
        <v/>
      </c>
      <c r="G1686" s="114" t="str">
        <f aca="false">IF($E1686="","",IF($B1686="Tema",INDEX(Config!$C$6:$C$11,$D1686),"Evento avulso"))</f>
        <v/>
      </c>
      <c r="H1686" s="114" t="str">
        <f aca="false">IF($E1686="","",IF($B1686="Tema",INDEX(Config!$D$6:$D$11,$D1686),IFERROR(INDEX(Config!$E$15:$E$19,MATCH($I1686,Config!$C$15:$C$19,0)),"•")))</f>
        <v/>
      </c>
      <c r="I1686" s="114" t="str">
        <f aca="false">IF($E1686="","",IF($B1686="Tema",INDEX(Config!$E$6:$E$11,$D1686),IF(INDEX(Avulsos!$D$6:$D$205,$C1686)&amp;""="","Outro",INDEX(Avulsos!$D$6:$D$205,$C1686))))</f>
        <v/>
      </c>
      <c r="J1686" s="114" t="str">
        <f aca="false">IF($E1686="","",IF($B1686="Tema",INDEX(Temas!$C$6:$C$305,$C1686)&amp;"",INDEX(Avulsos!$E$6:$E$205,$C1686)&amp;""))</f>
        <v/>
      </c>
      <c r="K1686" s="114" t="str">
        <f aca="false">IF($E1686="","",IF(IF($B1686="Tema",INDEX(Temas!$E$6:$P$305,$C1686,2*$D1686),INDEX(Avulsos!$F$6:$F$205,$C1686))&amp;""="","","✓"))</f>
        <v/>
      </c>
      <c r="L1686" s="114" t="str">
        <f aca="true">IF($E1686="","",IF($K1686="✓","Concluído",IF($E1686&lt;TODAY(),"Atrasado",IF($E1686=TODAY(),"Hoje","Pendente"))))</f>
        <v/>
      </c>
      <c r="M1686" s="114" t="str">
        <f aca="false">IF($E1686="","",IF($K1686="✓","✓ ","")&amp;IF(Config!$E$22="Sim",$H1686&amp;" · ","")&amp;$F1686)</f>
        <v/>
      </c>
      <c r="N1686" s="114" t="str">
        <f aca="false">IF($E1686="","",IFERROR(INDEX(Config!$D$15:$D$19,MATCH($I1686,Config!$C$15:$C$19,0)),"OUT")&amp;IF($K1686="✓","x",""))</f>
        <v/>
      </c>
      <c r="O1686" s="114" t="str">
        <f aca="false">IF($E1686="","",COUNTIF($E$5:$E1686,$E1686))</f>
        <v/>
      </c>
      <c r="P1686" s="114" t="str">
        <f aca="false">IF($E1686="","",$E1686*100+$O1686)</f>
        <v/>
      </c>
      <c r="Q1686" s="114" t="str">
        <f aca="false">IF($L1686="Atrasado",$E1686*10000+$A1686,"")</f>
        <v/>
      </c>
    </row>
    <row r="1687" customFormat="false" ht="15" hidden="false" customHeight="false" outlineLevel="0" collapsed="false">
      <c r="A1687" s="114" t="n">
        <f aca="false">ROW()-4</f>
        <v>1683</v>
      </c>
      <c r="B1687" s="114" t="str">
        <f aca="false">IF(A1687&lt;=Config!$E$27*Config!$E$28,"Tema","Avulso")</f>
        <v>Tema</v>
      </c>
      <c r="C1687" s="114" t="n">
        <f aca="false">IF(B1687="Tema",INT((A1687-1)/Config!$E$28)+1,A1687-Config!$E$27*Config!$E$28)</f>
        <v>281</v>
      </c>
      <c r="D1687" s="114" t="n">
        <f aca="false">IF(B1687="Tema",MOD(A1687-1,Config!$E$28)+1,"")</f>
        <v>3</v>
      </c>
      <c r="E1687" s="115" t="str">
        <f aca="false">IF($B1687="Tema",IF(ISNUMBER(INDEX(Temas!$E$6:$P$305,$C1687,2*$D1687-1)),INDEX(Temas!$E$6:$P$305,$C1687,2*$D1687-1),""),IF(ISNUMBER(INDEX(Avulsos!$B$6:$B$205,$C1687)),INDEX(Avulsos!$B$6:$B$205,$C1687),""))</f>
        <v/>
      </c>
      <c r="F1687" s="114" t="str">
        <f aca="false">IF($E1687="","",IF($B1687="Tema",INDEX(Temas!$B$6:$B$305,$C1687)&amp;"",INDEX(Avulsos!$C$6:$C$205,$C1687)&amp;""))</f>
        <v/>
      </c>
      <c r="G1687" s="114" t="str">
        <f aca="false">IF($E1687="","",IF($B1687="Tema",INDEX(Config!$C$6:$C$11,$D1687),"Evento avulso"))</f>
        <v/>
      </c>
      <c r="H1687" s="114" t="str">
        <f aca="false">IF($E1687="","",IF($B1687="Tema",INDEX(Config!$D$6:$D$11,$D1687),IFERROR(INDEX(Config!$E$15:$E$19,MATCH($I1687,Config!$C$15:$C$19,0)),"•")))</f>
        <v/>
      </c>
      <c r="I1687" s="114" t="str">
        <f aca="false">IF($E1687="","",IF($B1687="Tema",INDEX(Config!$E$6:$E$11,$D1687),IF(INDEX(Avulsos!$D$6:$D$205,$C1687)&amp;""="","Outro",INDEX(Avulsos!$D$6:$D$205,$C1687))))</f>
        <v/>
      </c>
      <c r="J1687" s="114" t="str">
        <f aca="false">IF($E1687="","",IF($B1687="Tema",INDEX(Temas!$C$6:$C$305,$C1687)&amp;"",INDEX(Avulsos!$E$6:$E$205,$C1687)&amp;""))</f>
        <v/>
      </c>
      <c r="K1687" s="114" t="str">
        <f aca="false">IF($E1687="","",IF(IF($B1687="Tema",INDEX(Temas!$E$6:$P$305,$C1687,2*$D1687),INDEX(Avulsos!$F$6:$F$205,$C1687))&amp;""="","","✓"))</f>
        <v/>
      </c>
      <c r="L1687" s="114" t="str">
        <f aca="true">IF($E1687="","",IF($K1687="✓","Concluído",IF($E1687&lt;TODAY(),"Atrasado",IF($E1687=TODAY(),"Hoje","Pendente"))))</f>
        <v/>
      </c>
      <c r="M1687" s="114" t="str">
        <f aca="false">IF($E1687="","",IF($K1687="✓","✓ ","")&amp;IF(Config!$E$22="Sim",$H1687&amp;" · ","")&amp;$F1687)</f>
        <v/>
      </c>
      <c r="N1687" s="114" t="str">
        <f aca="false">IF($E1687="","",IFERROR(INDEX(Config!$D$15:$D$19,MATCH($I1687,Config!$C$15:$C$19,0)),"OUT")&amp;IF($K1687="✓","x",""))</f>
        <v/>
      </c>
      <c r="O1687" s="114" t="str">
        <f aca="false">IF($E1687="","",COUNTIF($E$5:$E1687,$E1687))</f>
        <v/>
      </c>
      <c r="P1687" s="114" t="str">
        <f aca="false">IF($E1687="","",$E1687*100+$O1687)</f>
        <v/>
      </c>
      <c r="Q1687" s="114" t="str">
        <f aca="false">IF($L1687="Atrasado",$E1687*10000+$A1687,"")</f>
        <v/>
      </c>
    </row>
    <row r="1688" customFormat="false" ht="15" hidden="false" customHeight="false" outlineLevel="0" collapsed="false">
      <c r="A1688" s="114" t="n">
        <f aca="false">ROW()-4</f>
        <v>1684</v>
      </c>
      <c r="B1688" s="114" t="str">
        <f aca="false">IF(A1688&lt;=Config!$E$27*Config!$E$28,"Tema","Avulso")</f>
        <v>Tema</v>
      </c>
      <c r="C1688" s="114" t="n">
        <f aca="false">IF(B1688="Tema",INT((A1688-1)/Config!$E$28)+1,A1688-Config!$E$27*Config!$E$28)</f>
        <v>281</v>
      </c>
      <c r="D1688" s="114" t="n">
        <f aca="false">IF(B1688="Tema",MOD(A1688-1,Config!$E$28)+1,"")</f>
        <v>4</v>
      </c>
      <c r="E1688" s="115" t="str">
        <f aca="false">IF($B1688="Tema",IF(ISNUMBER(INDEX(Temas!$E$6:$P$305,$C1688,2*$D1688-1)),INDEX(Temas!$E$6:$P$305,$C1688,2*$D1688-1),""),IF(ISNUMBER(INDEX(Avulsos!$B$6:$B$205,$C1688)),INDEX(Avulsos!$B$6:$B$205,$C1688),""))</f>
        <v/>
      </c>
      <c r="F1688" s="114" t="str">
        <f aca="false">IF($E1688="","",IF($B1688="Tema",INDEX(Temas!$B$6:$B$305,$C1688)&amp;"",INDEX(Avulsos!$C$6:$C$205,$C1688)&amp;""))</f>
        <v/>
      </c>
      <c r="G1688" s="114" t="str">
        <f aca="false">IF($E1688="","",IF($B1688="Tema",INDEX(Config!$C$6:$C$11,$D1688),"Evento avulso"))</f>
        <v/>
      </c>
      <c r="H1688" s="114" t="str">
        <f aca="false">IF($E1688="","",IF($B1688="Tema",INDEX(Config!$D$6:$D$11,$D1688),IFERROR(INDEX(Config!$E$15:$E$19,MATCH($I1688,Config!$C$15:$C$19,0)),"•")))</f>
        <v/>
      </c>
      <c r="I1688" s="114" t="str">
        <f aca="false">IF($E1688="","",IF($B1688="Tema",INDEX(Config!$E$6:$E$11,$D1688),IF(INDEX(Avulsos!$D$6:$D$205,$C1688)&amp;""="","Outro",INDEX(Avulsos!$D$6:$D$205,$C1688))))</f>
        <v/>
      </c>
      <c r="J1688" s="114" t="str">
        <f aca="false">IF($E1688="","",IF($B1688="Tema",INDEX(Temas!$C$6:$C$305,$C1688)&amp;"",INDEX(Avulsos!$E$6:$E$205,$C1688)&amp;""))</f>
        <v/>
      </c>
      <c r="K1688" s="114" t="str">
        <f aca="false">IF($E1688="","",IF(IF($B1688="Tema",INDEX(Temas!$E$6:$P$305,$C1688,2*$D1688),INDEX(Avulsos!$F$6:$F$205,$C1688))&amp;""="","","✓"))</f>
        <v/>
      </c>
      <c r="L1688" s="114" t="str">
        <f aca="true">IF($E1688="","",IF($K1688="✓","Concluído",IF($E1688&lt;TODAY(),"Atrasado",IF($E1688=TODAY(),"Hoje","Pendente"))))</f>
        <v/>
      </c>
      <c r="M1688" s="114" t="str">
        <f aca="false">IF($E1688="","",IF($K1688="✓","✓ ","")&amp;IF(Config!$E$22="Sim",$H1688&amp;" · ","")&amp;$F1688)</f>
        <v/>
      </c>
      <c r="N1688" s="114" t="str">
        <f aca="false">IF($E1688="","",IFERROR(INDEX(Config!$D$15:$D$19,MATCH($I1688,Config!$C$15:$C$19,0)),"OUT")&amp;IF($K1688="✓","x",""))</f>
        <v/>
      </c>
      <c r="O1688" s="114" t="str">
        <f aca="false">IF($E1688="","",COUNTIF($E$5:$E1688,$E1688))</f>
        <v/>
      </c>
      <c r="P1688" s="114" t="str">
        <f aca="false">IF($E1688="","",$E1688*100+$O1688)</f>
        <v/>
      </c>
      <c r="Q1688" s="114" t="str">
        <f aca="false">IF($L1688="Atrasado",$E1688*10000+$A1688,"")</f>
        <v/>
      </c>
    </row>
    <row r="1689" customFormat="false" ht="15" hidden="false" customHeight="false" outlineLevel="0" collapsed="false">
      <c r="A1689" s="114" t="n">
        <f aca="false">ROW()-4</f>
        <v>1685</v>
      </c>
      <c r="B1689" s="114" t="str">
        <f aca="false">IF(A1689&lt;=Config!$E$27*Config!$E$28,"Tema","Avulso")</f>
        <v>Tema</v>
      </c>
      <c r="C1689" s="114" t="n">
        <f aca="false">IF(B1689="Tema",INT((A1689-1)/Config!$E$28)+1,A1689-Config!$E$27*Config!$E$28)</f>
        <v>281</v>
      </c>
      <c r="D1689" s="114" t="n">
        <f aca="false">IF(B1689="Tema",MOD(A1689-1,Config!$E$28)+1,"")</f>
        <v>5</v>
      </c>
      <c r="E1689" s="115" t="str">
        <f aca="false">IF($B1689="Tema",IF(ISNUMBER(INDEX(Temas!$E$6:$P$305,$C1689,2*$D1689-1)),INDEX(Temas!$E$6:$P$305,$C1689,2*$D1689-1),""),IF(ISNUMBER(INDEX(Avulsos!$B$6:$B$205,$C1689)),INDEX(Avulsos!$B$6:$B$205,$C1689),""))</f>
        <v/>
      </c>
      <c r="F1689" s="114" t="str">
        <f aca="false">IF($E1689="","",IF($B1689="Tema",INDEX(Temas!$B$6:$B$305,$C1689)&amp;"",INDEX(Avulsos!$C$6:$C$205,$C1689)&amp;""))</f>
        <v/>
      </c>
      <c r="G1689" s="114" t="str">
        <f aca="false">IF($E1689="","",IF($B1689="Tema",INDEX(Config!$C$6:$C$11,$D1689),"Evento avulso"))</f>
        <v/>
      </c>
      <c r="H1689" s="114" t="str">
        <f aca="false">IF($E1689="","",IF($B1689="Tema",INDEX(Config!$D$6:$D$11,$D1689),IFERROR(INDEX(Config!$E$15:$E$19,MATCH($I1689,Config!$C$15:$C$19,0)),"•")))</f>
        <v/>
      </c>
      <c r="I1689" s="114" t="str">
        <f aca="false">IF($E1689="","",IF($B1689="Tema",INDEX(Config!$E$6:$E$11,$D1689),IF(INDEX(Avulsos!$D$6:$D$205,$C1689)&amp;""="","Outro",INDEX(Avulsos!$D$6:$D$205,$C1689))))</f>
        <v/>
      </c>
      <c r="J1689" s="114" t="str">
        <f aca="false">IF($E1689="","",IF($B1689="Tema",INDEX(Temas!$C$6:$C$305,$C1689)&amp;"",INDEX(Avulsos!$E$6:$E$205,$C1689)&amp;""))</f>
        <v/>
      </c>
      <c r="K1689" s="114" t="str">
        <f aca="false">IF($E1689="","",IF(IF($B1689="Tema",INDEX(Temas!$E$6:$P$305,$C1689,2*$D1689),INDEX(Avulsos!$F$6:$F$205,$C1689))&amp;""="","","✓"))</f>
        <v/>
      </c>
      <c r="L1689" s="114" t="str">
        <f aca="true">IF($E1689="","",IF($K1689="✓","Concluído",IF($E1689&lt;TODAY(),"Atrasado",IF($E1689=TODAY(),"Hoje","Pendente"))))</f>
        <v/>
      </c>
      <c r="M1689" s="114" t="str">
        <f aca="false">IF($E1689="","",IF($K1689="✓","✓ ","")&amp;IF(Config!$E$22="Sim",$H1689&amp;" · ","")&amp;$F1689)</f>
        <v/>
      </c>
      <c r="N1689" s="114" t="str">
        <f aca="false">IF($E1689="","",IFERROR(INDEX(Config!$D$15:$D$19,MATCH($I1689,Config!$C$15:$C$19,0)),"OUT")&amp;IF($K1689="✓","x",""))</f>
        <v/>
      </c>
      <c r="O1689" s="114" t="str">
        <f aca="false">IF($E1689="","",COUNTIF($E$5:$E1689,$E1689))</f>
        <v/>
      </c>
      <c r="P1689" s="114" t="str">
        <f aca="false">IF($E1689="","",$E1689*100+$O1689)</f>
        <v/>
      </c>
      <c r="Q1689" s="114" t="str">
        <f aca="false">IF($L1689="Atrasado",$E1689*10000+$A1689,"")</f>
        <v/>
      </c>
    </row>
    <row r="1690" customFormat="false" ht="15" hidden="false" customHeight="false" outlineLevel="0" collapsed="false">
      <c r="A1690" s="114" t="n">
        <f aca="false">ROW()-4</f>
        <v>1686</v>
      </c>
      <c r="B1690" s="114" t="str">
        <f aca="false">IF(A1690&lt;=Config!$E$27*Config!$E$28,"Tema","Avulso")</f>
        <v>Tema</v>
      </c>
      <c r="C1690" s="114" t="n">
        <f aca="false">IF(B1690="Tema",INT((A1690-1)/Config!$E$28)+1,A1690-Config!$E$27*Config!$E$28)</f>
        <v>281</v>
      </c>
      <c r="D1690" s="114" t="n">
        <f aca="false">IF(B1690="Tema",MOD(A1690-1,Config!$E$28)+1,"")</f>
        <v>6</v>
      </c>
      <c r="E1690" s="115" t="str">
        <f aca="false">IF($B1690="Tema",IF(ISNUMBER(INDEX(Temas!$E$6:$P$305,$C1690,2*$D1690-1)),INDEX(Temas!$E$6:$P$305,$C1690,2*$D1690-1),""),IF(ISNUMBER(INDEX(Avulsos!$B$6:$B$205,$C1690)),INDEX(Avulsos!$B$6:$B$205,$C1690),""))</f>
        <v/>
      </c>
      <c r="F1690" s="114" t="str">
        <f aca="false">IF($E1690="","",IF($B1690="Tema",INDEX(Temas!$B$6:$B$305,$C1690)&amp;"",INDEX(Avulsos!$C$6:$C$205,$C1690)&amp;""))</f>
        <v/>
      </c>
      <c r="G1690" s="114" t="str">
        <f aca="false">IF($E1690="","",IF($B1690="Tema",INDEX(Config!$C$6:$C$11,$D1690),"Evento avulso"))</f>
        <v/>
      </c>
      <c r="H1690" s="114" t="str">
        <f aca="false">IF($E1690="","",IF($B1690="Tema",INDEX(Config!$D$6:$D$11,$D1690),IFERROR(INDEX(Config!$E$15:$E$19,MATCH($I1690,Config!$C$15:$C$19,0)),"•")))</f>
        <v/>
      </c>
      <c r="I1690" s="114" t="str">
        <f aca="false">IF($E1690="","",IF($B1690="Tema",INDEX(Config!$E$6:$E$11,$D1690),IF(INDEX(Avulsos!$D$6:$D$205,$C1690)&amp;""="","Outro",INDEX(Avulsos!$D$6:$D$205,$C1690))))</f>
        <v/>
      </c>
      <c r="J1690" s="114" t="str">
        <f aca="false">IF($E1690="","",IF($B1690="Tema",INDEX(Temas!$C$6:$C$305,$C1690)&amp;"",INDEX(Avulsos!$E$6:$E$205,$C1690)&amp;""))</f>
        <v/>
      </c>
      <c r="K1690" s="114" t="str">
        <f aca="false">IF($E1690="","",IF(IF($B1690="Tema",INDEX(Temas!$E$6:$P$305,$C1690,2*$D1690),INDEX(Avulsos!$F$6:$F$205,$C1690))&amp;""="","","✓"))</f>
        <v/>
      </c>
      <c r="L1690" s="114" t="str">
        <f aca="true">IF($E1690="","",IF($K1690="✓","Concluído",IF($E1690&lt;TODAY(),"Atrasado",IF($E1690=TODAY(),"Hoje","Pendente"))))</f>
        <v/>
      </c>
      <c r="M1690" s="114" t="str">
        <f aca="false">IF($E1690="","",IF($K1690="✓","✓ ","")&amp;IF(Config!$E$22="Sim",$H1690&amp;" · ","")&amp;$F1690)</f>
        <v/>
      </c>
      <c r="N1690" s="114" t="str">
        <f aca="false">IF($E1690="","",IFERROR(INDEX(Config!$D$15:$D$19,MATCH($I1690,Config!$C$15:$C$19,0)),"OUT")&amp;IF($K1690="✓","x",""))</f>
        <v/>
      </c>
      <c r="O1690" s="114" t="str">
        <f aca="false">IF($E1690="","",COUNTIF($E$5:$E1690,$E1690))</f>
        <v/>
      </c>
      <c r="P1690" s="114" t="str">
        <f aca="false">IF($E1690="","",$E1690*100+$O1690)</f>
        <v/>
      </c>
      <c r="Q1690" s="114" t="str">
        <f aca="false">IF($L1690="Atrasado",$E1690*10000+$A1690,"")</f>
        <v/>
      </c>
    </row>
    <row r="1691" customFormat="false" ht="15" hidden="false" customHeight="false" outlineLevel="0" collapsed="false">
      <c r="A1691" s="114" t="n">
        <f aca="false">ROW()-4</f>
        <v>1687</v>
      </c>
      <c r="B1691" s="114" t="str">
        <f aca="false">IF(A1691&lt;=Config!$E$27*Config!$E$28,"Tema","Avulso")</f>
        <v>Tema</v>
      </c>
      <c r="C1691" s="114" t="n">
        <f aca="false">IF(B1691="Tema",INT((A1691-1)/Config!$E$28)+1,A1691-Config!$E$27*Config!$E$28)</f>
        <v>282</v>
      </c>
      <c r="D1691" s="114" t="n">
        <f aca="false">IF(B1691="Tema",MOD(A1691-1,Config!$E$28)+1,"")</f>
        <v>1</v>
      </c>
      <c r="E1691" s="115" t="str">
        <f aca="false">IF($B1691="Tema",IF(ISNUMBER(INDEX(Temas!$E$6:$P$305,$C1691,2*$D1691-1)),INDEX(Temas!$E$6:$P$305,$C1691,2*$D1691-1),""),IF(ISNUMBER(INDEX(Avulsos!$B$6:$B$205,$C1691)),INDEX(Avulsos!$B$6:$B$205,$C1691),""))</f>
        <v/>
      </c>
      <c r="F1691" s="114" t="str">
        <f aca="false">IF($E1691="","",IF($B1691="Tema",INDEX(Temas!$B$6:$B$305,$C1691)&amp;"",INDEX(Avulsos!$C$6:$C$205,$C1691)&amp;""))</f>
        <v/>
      </c>
      <c r="G1691" s="114" t="str">
        <f aca="false">IF($E1691="","",IF($B1691="Tema",INDEX(Config!$C$6:$C$11,$D1691),"Evento avulso"))</f>
        <v/>
      </c>
      <c r="H1691" s="114" t="str">
        <f aca="false">IF($E1691="","",IF($B1691="Tema",INDEX(Config!$D$6:$D$11,$D1691),IFERROR(INDEX(Config!$E$15:$E$19,MATCH($I1691,Config!$C$15:$C$19,0)),"•")))</f>
        <v/>
      </c>
      <c r="I1691" s="114" t="str">
        <f aca="false">IF($E1691="","",IF($B1691="Tema",INDEX(Config!$E$6:$E$11,$D1691),IF(INDEX(Avulsos!$D$6:$D$205,$C1691)&amp;""="","Outro",INDEX(Avulsos!$D$6:$D$205,$C1691))))</f>
        <v/>
      </c>
      <c r="J1691" s="114" t="str">
        <f aca="false">IF($E1691="","",IF($B1691="Tema",INDEX(Temas!$C$6:$C$305,$C1691)&amp;"",INDEX(Avulsos!$E$6:$E$205,$C1691)&amp;""))</f>
        <v/>
      </c>
      <c r="K1691" s="114" t="str">
        <f aca="false">IF($E1691="","",IF(IF($B1691="Tema",INDEX(Temas!$E$6:$P$305,$C1691,2*$D1691),INDEX(Avulsos!$F$6:$F$205,$C1691))&amp;""="","","✓"))</f>
        <v/>
      </c>
      <c r="L1691" s="114" t="str">
        <f aca="true">IF($E1691="","",IF($K1691="✓","Concluído",IF($E1691&lt;TODAY(),"Atrasado",IF($E1691=TODAY(),"Hoje","Pendente"))))</f>
        <v/>
      </c>
      <c r="M1691" s="114" t="str">
        <f aca="false">IF($E1691="","",IF($K1691="✓","✓ ","")&amp;IF(Config!$E$22="Sim",$H1691&amp;" · ","")&amp;$F1691)</f>
        <v/>
      </c>
      <c r="N1691" s="114" t="str">
        <f aca="false">IF($E1691="","",IFERROR(INDEX(Config!$D$15:$D$19,MATCH($I1691,Config!$C$15:$C$19,0)),"OUT")&amp;IF($K1691="✓","x",""))</f>
        <v/>
      </c>
      <c r="O1691" s="114" t="str">
        <f aca="false">IF($E1691="","",COUNTIF($E$5:$E1691,$E1691))</f>
        <v/>
      </c>
      <c r="P1691" s="114" t="str">
        <f aca="false">IF($E1691="","",$E1691*100+$O1691)</f>
        <v/>
      </c>
      <c r="Q1691" s="114" t="str">
        <f aca="false">IF($L1691="Atrasado",$E1691*10000+$A1691,"")</f>
        <v/>
      </c>
    </row>
    <row r="1692" customFormat="false" ht="15" hidden="false" customHeight="false" outlineLevel="0" collapsed="false">
      <c r="A1692" s="114" t="n">
        <f aca="false">ROW()-4</f>
        <v>1688</v>
      </c>
      <c r="B1692" s="114" t="str">
        <f aca="false">IF(A1692&lt;=Config!$E$27*Config!$E$28,"Tema","Avulso")</f>
        <v>Tema</v>
      </c>
      <c r="C1692" s="114" t="n">
        <f aca="false">IF(B1692="Tema",INT((A1692-1)/Config!$E$28)+1,A1692-Config!$E$27*Config!$E$28)</f>
        <v>282</v>
      </c>
      <c r="D1692" s="114" t="n">
        <f aca="false">IF(B1692="Tema",MOD(A1692-1,Config!$E$28)+1,"")</f>
        <v>2</v>
      </c>
      <c r="E1692" s="115" t="str">
        <f aca="false">IF($B1692="Tema",IF(ISNUMBER(INDEX(Temas!$E$6:$P$305,$C1692,2*$D1692-1)),INDEX(Temas!$E$6:$P$305,$C1692,2*$D1692-1),""),IF(ISNUMBER(INDEX(Avulsos!$B$6:$B$205,$C1692)),INDEX(Avulsos!$B$6:$B$205,$C1692),""))</f>
        <v/>
      </c>
      <c r="F1692" s="114" t="str">
        <f aca="false">IF($E1692="","",IF($B1692="Tema",INDEX(Temas!$B$6:$B$305,$C1692)&amp;"",INDEX(Avulsos!$C$6:$C$205,$C1692)&amp;""))</f>
        <v/>
      </c>
      <c r="G1692" s="114" t="str">
        <f aca="false">IF($E1692="","",IF($B1692="Tema",INDEX(Config!$C$6:$C$11,$D1692),"Evento avulso"))</f>
        <v/>
      </c>
      <c r="H1692" s="114" t="str">
        <f aca="false">IF($E1692="","",IF($B1692="Tema",INDEX(Config!$D$6:$D$11,$D1692),IFERROR(INDEX(Config!$E$15:$E$19,MATCH($I1692,Config!$C$15:$C$19,0)),"•")))</f>
        <v/>
      </c>
      <c r="I1692" s="114" t="str">
        <f aca="false">IF($E1692="","",IF($B1692="Tema",INDEX(Config!$E$6:$E$11,$D1692),IF(INDEX(Avulsos!$D$6:$D$205,$C1692)&amp;""="","Outro",INDEX(Avulsos!$D$6:$D$205,$C1692))))</f>
        <v/>
      </c>
      <c r="J1692" s="114" t="str">
        <f aca="false">IF($E1692="","",IF($B1692="Tema",INDEX(Temas!$C$6:$C$305,$C1692)&amp;"",INDEX(Avulsos!$E$6:$E$205,$C1692)&amp;""))</f>
        <v/>
      </c>
      <c r="K1692" s="114" t="str">
        <f aca="false">IF($E1692="","",IF(IF($B1692="Tema",INDEX(Temas!$E$6:$P$305,$C1692,2*$D1692),INDEX(Avulsos!$F$6:$F$205,$C1692))&amp;""="","","✓"))</f>
        <v/>
      </c>
      <c r="L1692" s="114" t="str">
        <f aca="true">IF($E1692="","",IF($K1692="✓","Concluído",IF($E1692&lt;TODAY(),"Atrasado",IF($E1692=TODAY(),"Hoje","Pendente"))))</f>
        <v/>
      </c>
      <c r="M1692" s="114" t="str">
        <f aca="false">IF($E1692="","",IF($K1692="✓","✓ ","")&amp;IF(Config!$E$22="Sim",$H1692&amp;" · ","")&amp;$F1692)</f>
        <v/>
      </c>
      <c r="N1692" s="114" t="str">
        <f aca="false">IF($E1692="","",IFERROR(INDEX(Config!$D$15:$D$19,MATCH($I1692,Config!$C$15:$C$19,0)),"OUT")&amp;IF($K1692="✓","x",""))</f>
        <v/>
      </c>
      <c r="O1692" s="114" t="str">
        <f aca="false">IF($E1692="","",COUNTIF($E$5:$E1692,$E1692))</f>
        <v/>
      </c>
      <c r="P1692" s="114" t="str">
        <f aca="false">IF($E1692="","",$E1692*100+$O1692)</f>
        <v/>
      </c>
      <c r="Q1692" s="114" t="str">
        <f aca="false">IF($L1692="Atrasado",$E1692*10000+$A1692,"")</f>
        <v/>
      </c>
    </row>
    <row r="1693" customFormat="false" ht="15" hidden="false" customHeight="false" outlineLevel="0" collapsed="false">
      <c r="A1693" s="114" t="n">
        <f aca="false">ROW()-4</f>
        <v>1689</v>
      </c>
      <c r="B1693" s="114" t="str">
        <f aca="false">IF(A1693&lt;=Config!$E$27*Config!$E$28,"Tema","Avulso")</f>
        <v>Tema</v>
      </c>
      <c r="C1693" s="114" t="n">
        <f aca="false">IF(B1693="Tema",INT((A1693-1)/Config!$E$28)+1,A1693-Config!$E$27*Config!$E$28)</f>
        <v>282</v>
      </c>
      <c r="D1693" s="114" t="n">
        <f aca="false">IF(B1693="Tema",MOD(A1693-1,Config!$E$28)+1,"")</f>
        <v>3</v>
      </c>
      <c r="E1693" s="115" t="str">
        <f aca="false">IF($B1693="Tema",IF(ISNUMBER(INDEX(Temas!$E$6:$P$305,$C1693,2*$D1693-1)),INDEX(Temas!$E$6:$P$305,$C1693,2*$D1693-1),""),IF(ISNUMBER(INDEX(Avulsos!$B$6:$B$205,$C1693)),INDEX(Avulsos!$B$6:$B$205,$C1693),""))</f>
        <v/>
      </c>
      <c r="F1693" s="114" t="str">
        <f aca="false">IF($E1693="","",IF($B1693="Tema",INDEX(Temas!$B$6:$B$305,$C1693)&amp;"",INDEX(Avulsos!$C$6:$C$205,$C1693)&amp;""))</f>
        <v/>
      </c>
      <c r="G1693" s="114" t="str">
        <f aca="false">IF($E1693="","",IF($B1693="Tema",INDEX(Config!$C$6:$C$11,$D1693),"Evento avulso"))</f>
        <v/>
      </c>
      <c r="H1693" s="114" t="str">
        <f aca="false">IF($E1693="","",IF($B1693="Tema",INDEX(Config!$D$6:$D$11,$D1693),IFERROR(INDEX(Config!$E$15:$E$19,MATCH($I1693,Config!$C$15:$C$19,0)),"•")))</f>
        <v/>
      </c>
      <c r="I1693" s="114" t="str">
        <f aca="false">IF($E1693="","",IF($B1693="Tema",INDEX(Config!$E$6:$E$11,$D1693),IF(INDEX(Avulsos!$D$6:$D$205,$C1693)&amp;""="","Outro",INDEX(Avulsos!$D$6:$D$205,$C1693))))</f>
        <v/>
      </c>
      <c r="J1693" s="114" t="str">
        <f aca="false">IF($E1693="","",IF($B1693="Tema",INDEX(Temas!$C$6:$C$305,$C1693)&amp;"",INDEX(Avulsos!$E$6:$E$205,$C1693)&amp;""))</f>
        <v/>
      </c>
      <c r="K1693" s="114" t="str">
        <f aca="false">IF($E1693="","",IF(IF($B1693="Tema",INDEX(Temas!$E$6:$P$305,$C1693,2*$D1693),INDEX(Avulsos!$F$6:$F$205,$C1693))&amp;""="","","✓"))</f>
        <v/>
      </c>
      <c r="L1693" s="114" t="str">
        <f aca="true">IF($E1693="","",IF($K1693="✓","Concluído",IF($E1693&lt;TODAY(),"Atrasado",IF($E1693=TODAY(),"Hoje","Pendente"))))</f>
        <v/>
      </c>
      <c r="M1693" s="114" t="str">
        <f aca="false">IF($E1693="","",IF($K1693="✓","✓ ","")&amp;IF(Config!$E$22="Sim",$H1693&amp;" · ","")&amp;$F1693)</f>
        <v/>
      </c>
      <c r="N1693" s="114" t="str">
        <f aca="false">IF($E1693="","",IFERROR(INDEX(Config!$D$15:$D$19,MATCH($I1693,Config!$C$15:$C$19,0)),"OUT")&amp;IF($K1693="✓","x",""))</f>
        <v/>
      </c>
      <c r="O1693" s="114" t="str">
        <f aca="false">IF($E1693="","",COUNTIF($E$5:$E1693,$E1693))</f>
        <v/>
      </c>
      <c r="P1693" s="114" t="str">
        <f aca="false">IF($E1693="","",$E1693*100+$O1693)</f>
        <v/>
      </c>
      <c r="Q1693" s="114" t="str">
        <f aca="false">IF($L1693="Atrasado",$E1693*10000+$A1693,"")</f>
        <v/>
      </c>
    </row>
    <row r="1694" customFormat="false" ht="15" hidden="false" customHeight="false" outlineLevel="0" collapsed="false">
      <c r="A1694" s="114" t="n">
        <f aca="false">ROW()-4</f>
        <v>1690</v>
      </c>
      <c r="B1694" s="114" t="str">
        <f aca="false">IF(A1694&lt;=Config!$E$27*Config!$E$28,"Tema","Avulso")</f>
        <v>Tema</v>
      </c>
      <c r="C1694" s="114" t="n">
        <f aca="false">IF(B1694="Tema",INT((A1694-1)/Config!$E$28)+1,A1694-Config!$E$27*Config!$E$28)</f>
        <v>282</v>
      </c>
      <c r="D1694" s="114" t="n">
        <f aca="false">IF(B1694="Tema",MOD(A1694-1,Config!$E$28)+1,"")</f>
        <v>4</v>
      </c>
      <c r="E1694" s="115" t="str">
        <f aca="false">IF($B1694="Tema",IF(ISNUMBER(INDEX(Temas!$E$6:$P$305,$C1694,2*$D1694-1)),INDEX(Temas!$E$6:$P$305,$C1694,2*$D1694-1),""),IF(ISNUMBER(INDEX(Avulsos!$B$6:$B$205,$C1694)),INDEX(Avulsos!$B$6:$B$205,$C1694),""))</f>
        <v/>
      </c>
      <c r="F1694" s="114" t="str">
        <f aca="false">IF($E1694="","",IF($B1694="Tema",INDEX(Temas!$B$6:$B$305,$C1694)&amp;"",INDEX(Avulsos!$C$6:$C$205,$C1694)&amp;""))</f>
        <v/>
      </c>
      <c r="G1694" s="114" t="str">
        <f aca="false">IF($E1694="","",IF($B1694="Tema",INDEX(Config!$C$6:$C$11,$D1694),"Evento avulso"))</f>
        <v/>
      </c>
      <c r="H1694" s="114" t="str">
        <f aca="false">IF($E1694="","",IF($B1694="Tema",INDEX(Config!$D$6:$D$11,$D1694),IFERROR(INDEX(Config!$E$15:$E$19,MATCH($I1694,Config!$C$15:$C$19,0)),"•")))</f>
        <v/>
      </c>
      <c r="I1694" s="114" t="str">
        <f aca="false">IF($E1694="","",IF($B1694="Tema",INDEX(Config!$E$6:$E$11,$D1694),IF(INDEX(Avulsos!$D$6:$D$205,$C1694)&amp;""="","Outro",INDEX(Avulsos!$D$6:$D$205,$C1694))))</f>
        <v/>
      </c>
      <c r="J1694" s="114" t="str">
        <f aca="false">IF($E1694="","",IF($B1694="Tema",INDEX(Temas!$C$6:$C$305,$C1694)&amp;"",INDEX(Avulsos!$E$6:$E$205,$C1694)&amp;""))</f>
        <v/>
      </c>
      <c r="K1694" s="114" t="str">
        <f aca="false">IF($E1694="","",IF(IF($B1694="Tema",INDEX(Temas!$E$6:$P$305,$C1694,2*$D1694),INDEX(Avulsos!$F$6:$F$205,$C1694))&amp;""="","","✓"))</f>
        <v/>
      </c>
      <c r="L1694" s="114" t="str">
        <f aca="true">IF($E1694="","",IF($K1694="✓","Concluído",IF($E1694&lt;TODAY(),"Atrasado",IF($E1694=TODAY(),"Hoje","Pendente"))))</f>
        <v/>
      </c>
      <c r="M1694" s="114" t="str">
        <f aca="false">IF($E1694="","",IF($K1694="✓","✓ ","")&amp;IF(Config!$E$22="Sim",$H1694&amp;" · ","")&amp;$F1694)</f>
        <v/>
      </c>
      <c r="N1694" s="114" t="str">
        <f aca="false">IF($E1694="","",IFERROR(INDEX(Config!$D$15:$D$19,MATCH($I1694,Config!$C$15:$C$19,0)),"OUT")&amp;IF($K1694="✓","x",""))</f>
        <v/>
      </c>
      <c r="O1694" s="114" t="str">
        <f aca="false">IF($E1694="","",COUNTIF($E$5:$E1694,$E1694))</f>
        <v/>
      </c>
      <c r="P1694" s="114" t="str">
        <f aca="false">IF($E1694="","",$E1694*100+$O1694)</f>
        <v/>
      </c>
      <c r="Q1694" s="114" t="str">
        <f aca="false">IF($L1694="Atrasado",$E1694*10000+$A1694,"")</f>
        <v/>
      </c>
    </row>
    <row r="1695" customFormat="false" ht="15" hidden="false" customHeight="false" outlineLevel="0" collapsed="false">
      <c r="A1695" s="114" t="n">
        <f aca="false">ROW()-4</f>
        <v>1691</v>
      </c>
      <c r="B1695" s="114" t="str">
        <f aca="false">IF(A1695&lt;=Config!$E$27*Config!$E$28,"Tema","Avulso")</f>
        <v>Tema</v>
      </c>
      <c r="C1695" s="114" t="n">
        <f aca="false">IF(B1695="Tema",INT((A1695-1)/Config!$E$28)+1,A1695-Config!$E$27*Config!$E$28)</f>
        <v>282</v>
      </c>
      <c r="D1695" s="114" t="n">
        <f aca="false">IF(B1695="Tema",MOD(A1695-1,Config!$E$28)+1,"")</f>
        <v>5</v>
      </c>
      <c r="E1695" s="115" t="str">
        <f aca="false">IF($B1695="Tema",IF(ISNUMBER(INDEX(Temas!$E$6:$P$305,$C1695,2*$D1695-1)),INDEX(Temas!$E$6:$P$305,$C1695,2*$D1695-1),""),IF(ISNUMBER(INDEX(Avulsos!$B$6:$B$205,$C1695)),INDEX(Avulsos!$B$6:$B$205,$C1695),""))</f>
        <v/>
      </c>
      <c r="F1695" s="114" t="str">
        <f aca="false">IF($E1695="","",IF($B1695="Tema",INDEX(Temas!$B$6:$B$305,$C1695)&amp;"",INDEX(Avulsos!$C$6:$C$205,$C1695)&amp;""))</f>
        <v/>
      </c>
      <c r="G1695" s="114" t="str">
        <f aca="false">IF($E1695="","",IF($B1695="Tema",INDEX(Config!$C$6:$C$11,$D1695),"Evento avulso"))</f>
        <v/>
      </c>
      <c r="H1695" s="114" t="str">
        <f aca="false">IF($E1695="","",IF($B1695="Tema",INDEX(Config!$D$6:$D$11,$D1695),IFERROR(INDEX(Config!$E$15:$E$19,MATCH($I1695,Config!$C$15:$C$19,0)),"•")))</f>
        <v/>
      </c>
      <c r="I1695" s="114" t="str">
        <f aca="false">IF($E1695="","",IF($B1695="Tema",INDEX(Config!$E$6:$E$11,$D1695),IF(INDEX(Avulsos!$D$6:$D$205,$C1695)&amp;""="","Outro",INDEX(Avulsos!$D$6:$D$205,$C1695))))</f>
        <v/>
      </c>
      <c r="J1695" s="114" t="str">
        <f aca="false">IF($E1695="","",IF($B1695="Tema",INDEX(Temas!$C$6:$C$305,$C1695)&amp;"",INDEX(Avulsos!$E$6:$E$205,$C1695)&amp;""))</f>
        <v/>
      </c>
      <c r="K1695" s="114" t="str">
        <f aca="false">IF($E1695="","",IF(IF($B1695="Tema",INDEX(Temas!$E$6:$P$305,$C1695,2*$D1695),INDEX(Avulsos!$F$6:$F$205,$C1695))&amp;""="","","✓"))</f>
        <v/>
      </c>
      <c r="L1695" s="114" t="str">
        <f aca="true">IF($E1695="","",IF($K1695="✓","Concluído",IF($E1695&lt;TODAY(),"Atrasado",IF($E1695=TODAY(),"Hoje","Pendente"))))</f>
        <v/>
      </c>
      <c r="M1695" s="114" t="str">
        <f aca="false">IF($E1695="","",IF($K1695="✓","✓ ","")&amp;IF(Config!$E$22="Sim",$H1695&amp;" · ","")&amp;$F1695)</f>
        <v/>
      </c>
      <c r="N1695" s="114" t="str">
        <f aca="false">IF($E1695="","",IFERROR(INDEX(Config!$D$15:$D$19,MATCH($I1695,Config!$C$15:$C$19,0)),"OUT")&amp;IF($K1695="✓","x",""))</f>
        <v/>
      </c>
      <c r="O1695" s="114" t="str">
        <f aca="false">IF($E1695="","",COUNTIF($E$5:$E1695,$E1695))</f>
        <v/>
      </c>
      <c r="P1695" s="114" t="str">
        <f aca="false">IF($E1695="","",$E1695*100+$O1695)</f>
        <v/>
      </c>
      <c r="Q1695" s="114" t="str">
        <f aca="false">IF($L1695="Atrasado",$E1695*10000+$A1695,"")</f>
        <v/>
      </c>
    </row>
    <row r="1696" customFormat="false" ht="15" hidden="false" customHeight="false" outlineLevel="0" collapsed="false">
      <c r="A1696" s="114" t="n">
        <f aca="false">ROW()-4</f>
        <v>1692</v>
      </c>
      <c r="B1696" s="114" t="str">
        <f aca="false">IF(A1696&lt;=Config!$E$27*Config!$E$28,"Tema","Avulso")</f>
        <v>Tema</v>
      </c>
      <c r="C1696" s="114" t="n">
        <f aca="false">IF(B1696="Tema",INT((A1696-1)/Config!$E$28)+1,A1696-Config!$E$27*Config!$E$28)</f>
        <v>282</v>
      </c>
      <c r="D1696" s="114" t="n">
        <f aca="false">IF(B1696="Tema",MOD(A1696-1,Config!$E$28)+1,"")</f>
        <v>6</v>
      </c>
      <c r="E1696" s="115" t="str">
        <f aca="false">IF($B1696="Tema",IF(ISNUMBER(INDEX(Temas!$E$6:$P$305,$C1696,2*$D1696-1)),INDEX(Temas!$E$6:$P$305,$C1696,2*$D1696-1),""),IF(ISNUMBER(INDEX(Avulsos!$B$6:$B$205,$C1696)),INDEX(Avulsos!$B$6:$B$205,$C1696),""))</f>
        <v/>
      </c>
      <c r="F1696" s="114" t="str">
        <f aca="false">IF($E1696="","",IF($B1696="Tema",INDEX(Temas!$B$6:$B$305,$C1696)&amp;"",INDEX(Avulsos!$C$6:$C$205,$C1696)&amp;""))</f>
        <v/>
      </c>
      <c r="G1696" s="114" t="str">
        <f aca="false">IF($E1696="","",IF($B1696="Tema",INDEX(Config!$C$6:$C$11,$D1696),"Evento avulso"))</f>
        <v/>
      </c>
      <c r="H1696" s="114" t="str">
        <f aca="false">IF($E1696="","",IF($B1696="Tema",INDEX(Config!$D$6:$D$11,$D1696),IFERROR(INDEX(Config!$E$15:$E$19,MATCH($I1696,Config!$C$15:$C$19,0)),"•")))</f>
        <v/>
      </c>
      <c r="I1696" s="114" t="str">
        <f aca="false">IF($E1696="","",IF($B1696="Tema",INDEX(Config!$E$6:$E$11,$D1696),IF(INDEX(Avulsos!$D$6:$D$205,$C1696)&amp;""="","Outro",INDEX(Avulsos!$D$6:$D$205,$C1696))))</f>
        <v/>
      </c>
      <c r="J1696" s="114" t="str">
        <f aca="false">IF($E1696="","",IF($B1696="Tema",INDEX(Temas!$C$6:$C$305,$C1696)&amp;"",INDEX(Avulsos!$E$6:$E$205,$C1696)&amp;""))</f>
        <v/>
      </c>
      <c r="K1696" s="114" t="str">
        <f aca="false">IF($E1696="","",IF(IF($B1696="Tema",INDEX(Temas!$E$6:$P$305,$C1696,2*$D1696),INDEX(Avulsos!$F$6:$F$205,$C1696))&amp;""="","","✓"))</f>
        <v/>
      </c>
      <c r="L1696" s="114" t="str">
        <f aca="true">IF($E1696="","",IF($K1696="✓","Concluído",IF($E1696&lt;TODAY(),"Atrasado",IF($E1696=TODAY(),"Hoje","Pendente"))))</f>
        <v/>
      </c>
      <c r="M1696" s="114" t="str">
        <f aca="false">IF($E1696="","",IF($K1696="✓","✓ ","")&amp;IF(Config!$E$22="Sim",$H1696&amp;" · ","")&amp;$F1696)</f>
        <v/>
      </c>
      <c r="N1696" s="114" t="str">
        <f aca="false">IF($E1696="","",IFERROR(INDEX(Config!$D$15:$D$19,MATCH($I1696,Config!$C$15:$C$19,0)),"OUT")&amp;IF($K1696="✓","x",""))</f>
        <v/>
      </c>
      <c r="O1696" s="114" t="str">
        <f aca="false">IF($E1696="","",COUNTIF($E$5:$E1696,$E1696))</f>
        <v/>
      </c>
      <c r="P1696" s="114" t="str">
        <f aca="false">IF($E1696="","",$E1696*100+$O1696)</f>
        <v/>
      </c>
      <c r="Q1696" s="114" t="str">
        <f aca="false">IF($L1696="Atrasado",$E1696*10000+$A1696,"")</f>
        <v/>
      </c>
    </row>
    <row r="1697" customFormat="false" ht="15" hidden="false" customHeight="false" outlineLevel="0" collapsed="false">
      <c r="A1697" s="114" t="n">
        <f aca="false">ROW()-4</f>
        <v>1693</v>
      </c>
      <c r="B1697" s="114" t="str">
        <f aca="false">IF(A1697&lt;=Config!$E$27*Config!$E$28,"Tema","Avulso")</f>
        <v>Tema</v>
      </c>
      <c r="C1697" s="114" t="n">
        <f aca="false">IF(B1697="Tema",INT((A1697-1)/Config!$E$28)+1,A1697-Config!$E$27*Config!$E$28)</f>
        <v>283</v>
      </c>
      <c r="D1697" s="114" t="n">
        <f aca="false">IF(B1697="Tema",MOD(A1697-1,Config!$E$28)+1,"")</f>
        <v>1</v>
      </c>
      <c r="E1697" s="115" t="str">
        <f aca="false">IF($B1697="Tema",IF(ISNUMBER(INDEX(Temas!$E$6:$P$305,$C1697,2*$D1697-1)),INDEX(Temas!$E$6:$P$305,$C1697,2*$D1697-1),""),IF(ISNUMBER(INDEX(Avulsos!$B$6:$B$205,$C1697)),INDEX(Avulsos!$B$6:$B$205,$C1697),""))</f>
        <v/>
      </c>
      <c r="F1697" s="114" t="str">
        <f aca="false">IF($E1697="","",IF($B1697="Tema",INDEX(Temas!$B$6:$B$305,$C1697)&amp;"",INDEX(Avulsos!$C$6:$C$205,$C1697)&amp;""))</f>
        <v/>
      </c>
      <c r="G1697" s="114" t="str">
        <f aca="false">IF($E1697="","",IF($B1697="Tema",INDEX(Config!$C$6:$C$11,$D1697),"Evento avulso"))</f>
        <v/>
      </c>
      <c r="H1697" s="114" t="str">
        <f aca="false">IF($E1697="","",IF($B1697="Tema",INDEX(Config!$D$6:$D$11,$D1697),IFERROR(INDEX(Config!$E$15:$E$19,MATCH($I1697,Config!$C$15:$C$19,0)),"•")))</f>
        <v/>
      </c>
      <c r="I1697" s="114" t="str">
        <f aca="false">IF($E1697="","",IF($B1697="Tema",INDEX(Config!$E$6:$E$11,$D1697),IF(INDEX(Avulsos!$D$6:$D$205,$C1697)&amp;""="","Outro",INDEX(Avulsos!$D$6:$D$205,$C1697))))</f>
        <v/>
      </c>
      <c r="J1697" s="114" t="str">
        <f aca="false">IF($E1697="","",IF($B1697="Tema",INDEX(Temas!$C$6:$C$305,$C1697)&amp;"",INDEX(Avulsos!$E$6:$E$205,$C1697)&amp;""))</f>
        <v/>
      </c>
      <c r="K1697" s="114" t="str">
        <f aca="false">IF($E1697="","",IF(IF($B1697="Tema",INDEX(Temas!$E$6:$P$305,$C1697,2*$D1697),INDEX(Avulsos!$F$6:$F$205,$C1697))&amp;""="","","✓"))</f>
        <v/>
      </c>
      <c r="L1697" s="114" t="str">
        <f aca="true">IF($E1697="","",IF($K1697="✓","Concluído",IF($E1697&lt;TODAY(),"Atrasado",IF($E1697=TODAY(),"Hoje","Pendente"))))</f>
        <v/>
      </c>
      <c r="M1697" s="114" t="str">
        <f aca="false">IF($E1697="","",IF($K1697="✓","✓ ","")&amp;IF(Config!$E$22="Sim",$H1697&amp;" · ","")&amp;$F1697)</f>
        <v/>
      </c>
      <c r="N1697" s="114" t="str">
        <f aca="false">IF($E1697="","",IFERROR(INDEX(Config!$D$15:$D$19,MATCH($I1697,Config!$C$15:$C$19,0)),"OUT")&amp;IF($K1697="✓","x",""))</f>
        <v/>
      </c>
      <c r="O1697" s="114" t="str">
        <f aca="false">IF($E1697="","",COUNTIF($E$5:$E1697,$E1697))</f>
        <v/>
      </c>
      <c r="P1697" s="114" t="str">
        <f aca="false">IF($E1697="","",$E1697*100+$O1697)</f>
        <v/>
      </c>
      <c r="Q1697" s="114" t="str">
        <f aca="false">IF($L1697="Atrasado",$E1697*10000+$A1697,"")</f>
        <v/>
      </c>
    </row>
    <row r="1698" customFormat="false" ht="15" hidden="false" customHeight="false" outlineLevel="0" collapsed="false">
      <c r="A1698" s="114" t="n">
        <f aca="false">ROW()-4</f>
        <v>1694</v>
      </c>
      <c r="B1698" s="114" t="str">
        <f aca="false">IF(A1698&lt;=Config!$E$27*Config!$E$28,"Tema","Avulso")</f>
        <v>Tema</v>
      </c>
      <c r="C1698" s="114" t="n">
        <f aca="false">IF(B1698="Tema",INT((A1698-1)/Config!$E$28)+1,A1698-Config!$E$27*Config!$E$28)</f>
        <v>283</v>
      </c>
      <c r="D1698" s="114" t="n">
        <f aca="false">IF(B1698="Tema",MOD(A1698-1,Config!$E$28)+1,"")</f>
        <v>2</v>
      </c>
      <c r="E1698" s="115" t="str">
        <f aca="false">IF($B1698="Tema",IF(ISNUMBER(INDEX(Temas!$E$6:$P$305,$C1698,2*$D1698-1)),INDEX(Temas!$E$6:$P$305,$C1698,2*$D1698-1),""),IF(ISNUMBER(INDEX(Avulsos!$B$6:$B$205,$C1698)),INDEX(Avulsos!$B$6:$B$205,$C1698),""))</f>
        <v/>
      </c>
      <c r="F1698" s="114" t="str">
        <f aca="false">IF($E1698="","",IF($B1698="Tema",INDEX(Temas!$B$6:$B$305,$C1698)&amp;"",INDEX(Avulsos!$C$6:$C$205,$C1698)&amp;""))</f>
        <v/>
      </c>
      <c r="G1698" s="114" t="str">
        <f aca="false">IF($E1698="","",IF($B1698="Tema",INDEX(Config!$C$6:$C$11,$D1698),"Evento avulso"))</f>
        <v/>
      </c>
      <c r="H1698" s="114" t="str">
        <f aca="false">IF($E1698="","",IF($B1698="Tema",INDEX(Config!$D$6:$D$11,$D1698),IFERROR(INDEX(Config!$E$15:$E$19,MATCH($I1698,Config!$C$15:$C$19,0)),"•")))</f>
        <v/>
      </c>
      <c r="I1698" s="114" t="str">
        <f aca="false">IF($E1698="","",IF($B1698="Tema",INDEX(Config!$E$6:$E$11,$D1698),IF(INDEX(Avulsos!$D$6:$D$205,$C1698)&amp;""="","Outro",INDEX(Avulsos!$D$6:$D$205,$C1698))))</f>
        <v/>
      </c>
      <c r="J1698" s="114" t="str">
        <f aca="false">IF($E1698="","",IF($B1698="Tema",INDEX(Temas!$C$6:$C$305,$C1698)&amp;"",INDEX(Avulsos!$E$6:$E$205,$C1698)&amp;""))</f>
        <v/>
      </c>
      <c r="K1698" s="114" t="str">
        <f aca="false">IF($E1698="","",IF(IF($B1698="Tema",INDEX(Temas!$E$6:$P$305,$C1698,2*$D1698),INDEX(Avulsos!$F$6:$F$205,$C1698))&amp;""="","","✓"))</f>
        <v/>
      </c>
      <c r="L1698" s="114" t="str">
        <f aca="true">IF($E1698="","",IF($K1698="✓","Concluído",IF($E1698&lt;TODAY(),"Atrasado",IF($E1698=TODAY(),"Hoje","Pendente"))))</f>
        <v/>
      </c>
      <c r="M1698" s="114" t="str">
        <f aca="false">IF($E1698="","",IF($K1698="✓","✓ ","")&amp;IF(Config!$E$22="Sim",$H1698&amp;" · ","")&amp;$F1698)</f>
        <v/>
      </c>
      <c r="N1698" s="114" t="str">
        <f aca="false">IF($E1698="","",IFERROR(INDEX(Config!$D$15:$D$19,MATCH($I1698,Config!$C$15:$C$19,0)),"OUT")&amp;IF($K1698="✓","x",""))</f>
        <v/>
      </c>
      <c r="O1698" s="114" t="str">
        <f aca="false">IF($E1698="","",COUNTIF($E$5:$E1698,$E1698))</f>
        <v/>
      </c>
      <c r="P1698" s="114" t="str">
        <f aca="false">IF($E1698="","",$E1698*100+$O1698)</f>
        <v/>
      </c>
      <c r="Q1698" s="114" t="str">
        <f aca="false">IF($L1698="Atrasado",$E1698*10000+$A1698,"")</f>
        <v/>
      </c>
    </row>
    <row r="1699" customFormat="false" ht="15" hidden="false" customHeight="false" outlineLevel="0" collapsed="false">
      <c r="A1699" s="114" t="n">
        <f aca="false">ROW()-4</f>
        <v>1695</v>
      </c>
      <c r="B1699" s="114" t="str">
        <f aca="false">IF(A1699&lt;=Config!$E$27*Config!$E$28,"Tema","Avulso")</f>
        <v>Tema</v>
      </c>
      <c r="C1699" s="114" t="n">
        <f aca="false">IF(B1699="Tema",INT((A1699-1)/Config!$E$28)+1,A1699-Config!$E$27*Config!$E$28)</f>
        <v>283</v>
      </c>
      <c r="D1699" s="114" t="n">
        <f aca="false">IF(B1699="Tema",MOD(A1699-1,Config!$E$28)+1,"")</f>
        <v>3</v>
      </c>
      <c r="E1699" s="115" t="str">
        <f aca="false">IF($B1699="Tema",IF(ISNUMBER(INDEX(Temas!$E$6:$P$305,$C1699,2*$D1699-1)),INDEX(Temas!$E$6:$P$305,$C1699,2*$D1699-1),""),IF(ISNUMBER(INDEX(Avulsos!$B$6:$B$205,$C1699)),INDEX(Avulsos!$B$6:$B$205,$C1699),""))</f>
        <v/>
      </c>
      <c r="F1699" s="114" t="str">
        <f aca="false">IF($E1699="","",IF($B1699="Tema",INDEX(Temas!$B$6:$B$305,$C1699)&amp;"",INDEX(Avulsos!$C$6:$C$205,$C1699)&amp;""))</f>
        <v/>
      </c>
      <c r="G1699" s="114" t="str">
        <f aca="false">IF($E1699="","",IF($B1699="Tema",INDEX(Config!$C$6:$C$11,$D1699),"Evento avulso"))</f>
        <v/>
      </c>
      <c r="H1699" s="114" t="str">
        <f aca="false">IF($E1699="","",IF($B1699="Tema",INDEX(Config!$D$6:$D$11,$D1699),IFERROR(INDEX(Config!$E$15:$E$19,MATCH($I1699,Config!$C$15:$C$19,0)),"•")))</f>
        <v/>
      </c>
      <c r="I1699" s="114" t="str">
        <f aca="false">IF($E1699="","",IF($B1699="Tema",INDEX(Config!$E$6:$E$11,$D1699),IF(INDEX(Avulsos!$D$6:$D$205,$C1699)&amp;""="","Outro",INDEX(Avulsos!$D$6:$D$205,$C1699))))</f>
        <v/>
      </c>
      <c r="J1699" s="114" t="str">
        <f aca="false">IF($E1699="","",IF($B1699="Tema",INDEX(Temas!$C$6:$C$305,$C1699)&amp;"",INDEX(Avulsos!$E$6:$E$205,$C1699)&amp;""))</f>
        <v/>
      </c>
      <c r="K1699" s="114" t="str">
        <f aca="false">IF($E1699="","",IF(IF($B1699="Tema",INDEX(Temas!$E$6:$P$305,$C1699,2*$D1699),INDEX(Avulsos!$F$6:$F$205,$C1699))&amp;""="","","✓"))</f>
        <v/>
      </c>
      <c r="L1699" s="114" t="str">
        <f aca="true">IF($E1699="","",IF($K1699="✓","Concluído",IF($E1699&lt;TODAY(),"Atrasado",IF($E1699=TODAY(),"Hoje","Pendente"))))</f>
        <v/>
      </c>
      <c r="M1699" s="114" t="str">
        <f aca="false">IF($E1699="","",IF($K1699="✓","✓ ","")&amp;IF(Config!$E$22="Sim",$H1699&amp;" · ","")&amp;$F1699)</f>
        <v/>
      </c>
      <c r="N1699" s="114" t="str">
        <f aca="false">IF($E1699="","",IFERROR(INDEX(Config!$D$15:$D$19,MATCH($I1699,Config!$C$15:$C$19,0)),"OUT")&amp;IF($K1699="✓","x",""))</f>
        <v/>
      </c>
      <c r="O1699" s="114" t="str">
        <f aca="false">IF($E1699="","",COUNTIF($E$5:$E1699,$E1699))</f>
        <v/>
      </c>
      <c r="P1699" s="114" t="str">
        <f aca="false">IF($E1699="","",$E1699*100+$O1699)</f>
        <v/>
      </c>
      <c r="Q1699" s="114" t="str">
        <f aca="false">IF($L1699="Atrasado",$E1699*10000+$A1699,"")</f>
        <v/>
      </c>
    </row>
    <row r="1700" customFormat="false" ht="15" hidden="false" customHeight="false" outlineLevel="0" collapsed="false">
      <c r="A1700" s="114" t="n">
        <f aca="false">ROW()-4</f>
        <v>1696</v>
      </c>
      <c r="B1700" s="114" t="str">
        <f aca="false">IF(A1700&lt;=Config!$E$27*Config!$E$28,"Tema","Avulso")</f>
        <v>Tema</v>
      </c>
      <c r="C1700" s="114" t="n">
        <f aca="false">IF(B1700="Tema",INT((A1700-1)/Config!$E$28)+1,A1700-Config!$E$27*Config!$E$28)</f>
        <v>283</v>
      </c>
      <c r="D1700" s="114" t="n">
        <f aca="false">IF(B1700="Tema",MOD(A1700-1,Config!$E$28)+1,"")</f>
        <v>4</v>
      </c>
      <c r="E1700" s="115" t="str">
        <f aca="false">IF($B1700="Tema",IF(ISNUMBER(INDEX(Temas!$E$6:$P$305,$C1700,2*$D1700-1)),INDEX(Temas!$E$6:$P$305,$C1700,2*$D1700-1),""),IF(ISNUMBER(INDEX(Avulsos!$B$6:$B$205,$C1700)),INDEX(Avulsos!$B$6:$B$205,$C1700),""))</f>
        <v/>
      </c>
      <c r="F1700" s="114" t="str">
        <f aca="false">IF($E1700="","",IF($B1700="Tema",INDEX(Temas!$B$6:$B$305,$C1700)&amp;"",INDEX(Avulsos!$C$6:$C$205,$C1700)&amp;""))</f>
        <v/>
      </c>
      <c r="G1700" s="114" t="str">
        <f aca="false">IF($E1700="","",IF($B1700="Tema",INDEX(Config!$C$6:$C$11,$D1700),"Evento avulso"))</f>
        <v/>
      </c>
      <c r="H1700" s="114" t="str">
        <f aca="false">IF($E1700="","",IF($B1700="Tema",INDEX(Config!$D$6:$D$11,$D1700),IFERROR(INDEX(Config!$E$15:$E$19,MATCH($I1700,Config!$C$15:$C$19,0)),"•")))</f>
        <v/>
      </c>
      <c r="I1700" s="114" t="str">
        <f aca="false">IF($E1700="","",IF($B1700="Tema",INDEX(Config!$E$6:$E$11,$D1700),IF(INDEX(Avulsos!$D$6:$D$205,$C1700)&amp;""="","Outro",INDEX(Avulsos!$D$6:$D$205,$C1700))))</f>
        <v/>
      </c>
      <c r="J1700" s="114" t="str">
        <f aca="false">IF($E1700="","",IF($B1700="Tema",INDEX(Temas!$C$6:$C$305,$C1700)&amp;"",INDEX(Avulsos!$E$6:$E$205,$C1700)&amp;""))</f>
        <v/>
      </c>
      <c r="K1700" s="114" t="str">
        <f aca="false">IF($E1700="","",IF(IF($B1700="Tema",INDEX(Temas!$E$6:$P$305,$C1700,2*$D1700),INDEX(Avulsos!$F$6:$F$205,$C1700))&amp;""="","","✓"))</f>
        <v/>
      </c>
      <c r="L1700" s="114" t="str">
        <f aca="true">IF($E1700="","",IF($K1700="✓","Concluído",IF($E1700&lt;TODAY(),"Atrasado",IF($E1700=TODAY(),"Hoje","Pendente"))))</f>
        <v/>
      </c>
      <c r="M1700" s="114" t="str">
        <f aca="false">IF($E1700="","",IF($K1700="✓","✓ ","")&amp;IF(Config!$E$22="Sim",$H1700&amp;" · ","")&amp;$F1700)</f>
        <v/>
      </c>
      <c r="N1700" s="114" t="str">
        <f aca="false">IF($E1700="","",IFERROR(INDEX(Config!$D$15:$D$19,MATCH($I1700,Config!$C$15:$C$19,0)),"OUT")&amp;IF($K1700="✓","x",""))</f>
        <v/>
      </c>
      <c r="O1700" s="114" t="str">
        <f aca="false">IF($E1700="","",COUNTIF($E$5:$E1700,$E1700))</f>
        <v/>
      </c>
      <c r="P1700" s="114" t="str">
        <f aca="false">IF($E1700="","",$E1700*100+$O1700)</f>
        <v/>
      </c>
      <c r="Q1700" s="114" t="str">
        <f aca="false">IF($L1700="Atrasado",$E1700*10000+$A1700,"")</f>
        <v/>
      </c>
    </row>
    <row r="1701" customFormat="false" ht="15" hidden="false" customHeight="false" outlineLevel="0" collapsed="false">
      <c r="A1701" s="114" t="n">
        <f aca="false">ROW()-4</f>
        <v>1697</v>
      </c>
      <c r="B1701" s="114" t="str">
        <f aca="false">IF(A1701&lt;=Config!$E$27*Config!$E$28,"Tema","Avulso")</f>
        <v>Tema</v>
      </c>
      <c r="C1701" s="114" t="n">
        <f aca="false">IF(B1701="Tema",INT((A1701-1)/Config!$E$28)+1,A1701-Config!$E$27*Config!$E$28)</f>
        <v>283</v>
      </c>
      <c r="D1701" s="114" t="n">
        <f aca="false">IF(B1701="Tema",MOD(A1701-1,Config!$E$28)+1,"")</f>
        <v>5</v>
      </c>
      <c r="E1701" s="115" t="str">
        <f aca="false">IF($B1701="Tema",IF(ISNUMBER(INDEX(Temas!$E$6:$P$305,$C1701,2*$D1701-1)),INDEX(Temas!$E$6:$P$305,$C1701,2*$D1701-1),""),IF(ISNUMBER(INDEX(Avulsos!$B$6:$B$205,$C1701)),INDEX(Avulsos!$B$6:$B$205,$C1701),""))</f>
        <v/>
      </c>
      <c r="F1701" s="114" t="str">
        <f aca="false">IF($E1701="","",IF($B1701="Tema",INDEX(Temas!$B$6:$B$305,$C1701)&amp;"",INDEX(Avulsos!$C$6:$C$205,$C1701)&amp;""))</f>
        <v/>
      </c>
      <c r="G1701" s="114" t="str">
        <f aca="false">IF($E1701="","",IF($B1701="Tema",INDEX(Config!$C$6:$C$11,$D1701),"Evento avulso"))</f>
        <v/>
      </c>
      <c r="H1701" s="114" t="str">
        <f aca="false">IF($E1701="","",IF($B1701="Tema",INDEX(Config!$D$6:$D$11,$D1701),IFERROR(INDEX(Config!$E$15:$E$19,MATCH($I1701,Config!$C$15:$C$19,0)),"•")))</f>
        <v/>
      </c>
      <c r="I1701" s="114" t="str">
        <f aca="false">IF($E1701="","",IF($B1701="Tema",INDEX(Config!$E$6:$E$11,$D1701),IF(INDEX(Avulsos!$D$6:$D$205,$C1701)&amp;""="","Outro",INDEX(Avulsos!$D$6:$D$205,$C1701))))</f>
        <v/>
      </c>
      <c r="J1701" s="114" t="str">
        <f aca="false">IF($E1701="","",IF($B1701="Tema",INDEX(Temas!$C$6:$C$305,$C1701)&amp;"",INDEX(Avulsos!$E$6:$E$205,$C1701)&amp;""))</f>
        <v/>
      </c>
      <c r="K1701" s="114" t="str">
        <f aca="false">IF($E1701="","",IF(IF($B1701="Tema",INDEX(Temas!$E$6:$P$305,$C1701,2*$D1701),INDEX(Avulsos!$F$6:$F$205,$C1701))&amp;""="","","✓"))</f>
        <v/>
      </c>
      <c r="L1701" s="114" t="str">
        <f aca="true">IF($E1701="","",IF($K1701="✓","Concluído",IF($E1701&lt;TODAY(),"Atrasado",IF($E1701=TODAY(),"Hoje","Pendente"))))</f>
        <v/>
      </c>
      <c r="M1701" s="114" t="str">
        <f aca="false">IF($E1701="","",IF($K1701="✓","✓ ","")&amp;IF(Config!$E$22="Sim",$H1701&amp;" · ","")&amp;$F1701)</f>
        <v/>
      </c>
      <c r="N1701" s="114" t="str">
        <f aca="false">IF($E1701="","",IFERROR(INDEX(Config!$D$15:$D$19,MATCH($I1701,Config!$C$15:$C$19,0)),"OUT")&amp;IF($K1701="✓","x",""))</f>
        <v/>
      </c>
      <c r="O1701" s="114" t="str">
        <f aca="false">IF($E1701="","",COUNTIF($E$5:$E1701,$E1701))</f>
        <v/>
      </c>
      <c r="P1701" s="114" t="str">
        <f aca="false">IF($E1701="","",$E1701*100+$O1701)</f>
        <v/>
      </c>
      <c r="Q1701" s="114" t="str">
        <f aca="false">IF($L1701="Atrasado",$E1701*10000+$A1701,"")</f>
        <v/>
      </c>
    </row>
    <row r="1702" customFormat="false" ht="15" hidden="false" customHeight="false" outlineLevel="0" collapsed="false">
      <c r="A1702" s="114" t="n">
        <f aca="false">ROW()-4</f>
        <v>1698</v>
      </c>
      <c r="B1702" s="114" t="str">
        <f aca="false">IF(A1702&lt;=Config!$E$27*Config!$E$28,"Tema","Avulso")</f>
        <v>Tema</v>
      </c>
      <c r="C1702" s="114" t="n">
        <f aca="false">IF(B1702="Tema",INT((A1702-1)/Config!$E$28)+1,A1702-Config!$E$27*Config!$E$28)</f>
        <v>283</v>
      </c>
      <c r="D1702" s="114" t="n">
        <f aca="false">IF(B1702="Tema",MOD(A1702-1,Config!$E$28)+1,"")</f>
        <v>6</v>
      </c>
      <c r="E1702" s="115" t="str">
        <f aca="false">IF($B1702="Tema",IF(ISNUMBER(INDEX(Temas!$E$6:$P$305,$C1702,2*$D1702-1)),INDEX(Temas!$E$6:$P$305,$C1702,2*$D1702-1),""),IF(ISNUMBER(INDEX(Avulsos!$B$6:$B$205,$C1702)),INDEX(Avulsos!$B$6:$B$205,$C1702),""))</f>
        <v/>
      </c>
      <c r="F1702" s="114" t="str">
        <f aca="false">IF($E1702="","",IF($B1702="Tema",INDEX(Temas!$B$6:$B$305,$C1702)&amp;"",INDEX(Avulsos!$C$6:$C$205,$C1702)&amp;""))</f>
        <v/>
      </c>
      <c r="G1702" s="114" t="str">
        <f aca="false">IF($E1702="","",IF($B1702="Tema",INDEX(Config!$C$6:$C$11,$D1702),"Evento avulso"))</f>
        <v/>
      </c>
      <c r="H1702" s="114" t="str">
        <f aca="false">IF($E1702="","",IF($B1702="Tema",INDEX(Config!$D$6:$D$11,$D1702),IFERROR(INDEX(Config!$E$15:$E$19,MATCH($I1702,Config!$C$15:$C$19,0)),"•")))</f>
        <v/>
      </c>
      <c r="I1702" s="114" t="str">
        <f aca="false">IF($E1702="","",IF($B1702="Tema",INDEX(Config!$E$6:$E$11,$D1702),IF(INDEX(Avulsos!$D$6:$D$205,$C1702)&amp;""="","Outro",INDEX(Avulsos!$D$6:$D$205,$C1702))))</f>
        <v/>
      </c>
      <c r="J1702" s="114" t="str">
        <f aca="false">IF($E1702="","",IF($B1702="Tema",INDEX(Temas!$C$6:$C$305,$C1702)&amp;"",INDEX(Avulsos!$E$6:$E$205,$C1702)&amp;""))</f>
        <v/>
      </c>
      <c r="K1702" s="114" t="str">
        <f aca="false">IF($E1702="","",IF(IF($B1702="Tema",INDEX(Temas!$E$6:$P$305,$C1702,2*$D1702),INDEX(Avulsos!$F$6:$F$205,$C1702))&amp;""="","","✓"))</f>
        <v/>
      </c>
      <c r="L1702" s="114" t="str">
        <f aca="true">IF($E1702="","",IF($K1702="✓","Concluído",IF($E1702&lt;TODAY(),"Atrasado",IF($E1702=TODAY(),"Hoje","Pendente"))))</f>
        <v/>
      </c>
      <c r="M1702" s="114" t="str">
        <f aca="false">IF($E1702="","",IF($K1702="✓","✓ ","")&amp;IF(Config!$E$22="Sim",$H1702&amp;" · ","")&amp;$F1702)</f>
        <v/>
      </c>
      <c r="N1702" s="114" t="str">
        <f aca="false">IF($E1702="","",IFERROR(INDEX(Config!$D$15:$D$19,MATCH($I1702,Config!$C$15:$C$19,0)),"OUT")&amp;IF($K1702="✓","x",""))</f>
        <v/>
      </c>
      <c r="O1702" s="114" t="str">
        <f aca="false">IF($E1702="","",COUNTIF($E$5:$E1702,$E1702))</f>
        <v/>
      </c>
      <c r="P1702" s="114" t="str">
        <f aca="false">IF($E1702="","",$E1702*100+$O1702)</f>
        <v/>
      </c>
      <c r="Q1702" s="114" t="str">
        <f aca="false">IF($L1702="Atrasado",$E1702*10000+$A1702,"")</f>
        <v/>
      </c>
    </row>
    <row r="1703" customFormat="false" ht="15" hidden="false" customHeight="false" outlineLevel="0" collapsed="false">
      <c r="A1703" s="114" t="n">
        <f aca="false">ROW()-4</f>
        <v>1699</v>
      </c>
      <c r="B1703" s="114" t="str">
        <f aca="false">IF(A1703&lt;=Config!$E$27*Config!$E$28,"Tema","Avulso")</f>
        <v>Tema</v>
      </c>
      <c r="C1703" s="114" t="n">
        <f aca="false">IF(B1703="Tema",INT((A1703-1)/Config!$E$28)+1,A1703-Config!$E$27*Config!$E$28)</f>
        <v>284</v>
      </c>
      <c r="D1703" s="114" t="n">
        <f aca="false">IF(B1703="Tema",MOD(A1703-1,Config!$E$28)+1,"")</f>
        <v>1</v>
      </c>
      <c r="E1703" s="115" t="str">
        <f aca="false">IF($B1703="Tema",IF(ISNUMBER(INDEX(Temas!$E$6:$P$305,$C1703,2*$D1703-1)),INDEX(Temas!$E$6:$P$305,$C1703,2*$D1703-1),""),IF(ISNUMBER(INDEX(Avulsos!$B$6:$B$205,$C1703)),INDEX(Avulsos!$B$6:$B$205,$C1703),""))</f>
        <v/>
      </c>
      <c r="F1703" s="114" t="str">
        <f aca="false">IF($E1703="","",IF($B1703="Tema",INDEX(Temas!$B$6:$B$305,$C1703)&amp;"",INDEX(Avulsos!$C$6:$C$205,$C1703)&amp;""))</f>
        <v/>
      </c>
      <c r="G1703" s="114" t="str">
        <f aca="false">IF($E1703="","",IF($B1703="Tema",INDEX(Config!$C$6:$C$11,$D1703),"Evento avulso"))</f>
        <v/>
      </c>
      <c r="H1703" s="114" t="str">
        <f aca="false">IF($E1703="","",IF($B1703="Tema",INDEX(Config!$D$6:$D$11,$D1703),IFERROR(INDEX(Config!$E$15:$E$19,MATCH($I1703,Config!$C$15:$C$19,0)),"•")))</f>
        <v/>
      </c>
      <c r="I1703" s="114" t="str">
        <f aca="false">IF($E1703="","",IF($B1703="Tema",INDEX(Config!$E$6:$E$11,$D1703),IF(INDEX(Avulsos!$D$6:$D$205,$C1703)&amp;""="","Outro",INDEX(Avulsos!$D$6:$D$205,$C1703))))</f>
        <v/>
      </c>
      <c r="J1703" s="114" t="str">
        <f aca="false">IF($E1703="","",IF($B1703="Tema",INDEX(Temas!$C$6:$C$305,$C1703)&amp;"",INDEX(Avulsos!$E$6:$E$205,$C1703)&amp;""))</f>
        <v/>
      </c>
      <c r="K1703" s="114" t="str">
        <f aca="false">IF($E1703="","",IF(IF($B1703="Tema",INDEX(Temas!$E$6:$P$305,$C1703,2*$D1703),INDEX(Avulsos!$F$6:$F$205,$C1703))&amp;""="","","✓"))</f>
        <v/>
      </c>
      <c r="L1703" s="114" t="str">
        <f aca="true">IF($E1703="","",IF($K1703="✓","Concluído",IF($E1703&lt;TODAY(),"Atrasado",IF($E1703=TODAY(),"Hoje","Pendente"))))</f>
        <v/>
      </c>
      <c r="M1703" s="114" t="str">
        <f aca="false">IF($E1703="","",IF($K1703="✓","✓ ","")&amp;IF(Config!$E$22="Sim",$H1703&amp;" · ","")&amp;$F1703)</f>
        <v/>
      </c>
      <c r="N1703" s="114" t="str">
        <f aca="false">IF($E1703="","",IFERROR(INDEX(Config!$D$15:$D$19,MATCH($I1703,Config!$C$15:$C$19,0)),"OUT")&amp;IF($K1703="✓","x",""))</f>
        <v/>
      </c>
      <c r="O1703" s="114" t="str">
        <f aca="false">IF($E1703="","",COUNTIF($E$5:$E1703,$E1703))</f>
        <v/>
      </c>
      <c r="P1703" s="114" t="str">
        <f aca="false">IF($E1703="","",$E1703*100+$O1703)</f>
        <v/>
      </c>
      <c r="Q1703" s="114" t="str">
        <f aca="false">IF($L1703="Atrasado",$E1703*10000+$A1703,"")</f>
        <v/>
      </c>
    </row>
    <row r="1704" customFormat="false" ht="15" hidden="false" customHeight="false" outlineLevel="0" collapsed="false">
      <c r="A1704" s="114" t="n">
        <f aca="false">ROW()-4</f>
        <v>1700</v>
      </c>
      <c r="B1704" s="114" t="str">
        <f aca="false">IF(A1704&lt;=Config!$E$27*Config!$E$28,"Tema","Avulso")</f>
        <v>Tema</v>
      </c>
      <c r="C1704" s="114" t="n">
        <f aca="false">IF(B1704="Tema",INT((A1704-1)/Config!$E$28)+1,A1704-Config!$E$27*Config!$E$28)</f>
        <v>284</v>
      </c>
      <c r="D1704" s="114" t="n">
        <f aca="false">IF(B1704="Tema",MOD(A1704-1,Config!$E$28)+1,"")</f>
        <v>2</v>
      </c>
      <c r="E1704" s="115" t="str">
        <f aca="false">IF($B1704="Tema",IF(ISNUMBER(INDEX(Temas!$E$6:$P$305,$C1704,2*$D1704-1)),INDEX(Temas!$E$6:$P$305,$C1704,2*$D1704-1),""),IF(ISNUMBER(INDEX(Avulsos!$B$6:$B$205,$C1704)),INDEX(Avulsos!$B$6:$B$205,$C1704),""))</f>
        <v/>
      </c>
      <c r="F1704" s="114" t="str">
        <f aca="false">IF($E1704="","",IF($B1704="Tema",INDEX(Temas!$B$6:$B$305,$C1704)&amp;"",INDEX(Avulsos!$C$6:$C$205,$C1704)&amp;""))</f>
        <v/>
      </c>
      <c r="G1704" s="114" t="str">
        <f aca="false">IF($E1704="","",IF($B1704="Tema",INDEX(Config!$C$6:$C$11,$D1704),"Evento avulso"))</f>
        <v/>
      </c>
      <c r="H1704" s="114" t="str">
        <f aca="false">IF($E1704="","",IF($B1704="Tema",INDEX(Config!$D$6:$D$11,$D1704),IFERROR(INDEX(Config!$E$15:$E$19,MATCH($I1704,Config!$C$15:$C$19,0)),"•")))</f>
        <v/>
      </c>
      <c r="I1704" s="114" t="str">
        <f aca="false">IF($E1704="","",IF($B1704="Tema",INDEX(Config!$E$6:$E$11,$D1704),IF(INDEX(Avulsos!$D$6:$D$205,$C1704)&amp;""="","Outro",INDEX(Avulsos!$D$6:$D$205,$C1704))))</f>
        <v/>
      </c>
      <c r="J1704" s="114" t="str">
        <f aca="false">IF($E1704="","",IF($B1704="Tema",INDEX(Temas!$C$6:$C$305,$C1704)&amp;"",INDEX(Avulsos!$E$6:$E$205,$C1704)&amp;""))</f>
        <v/>
      </c>
      <c r="K1704" s="114" t="str">
        <f aca="false">IF($E1704="","",IF(IF($B1704="Tema",INDEX(Temas!$E$6:$P$305,$C1704,2*$D1704),INDEX(Avulsos!$F$6:$F$205,$C1704))&amp;""="","","✓"))</f>
        <v/>
      </c>
      <c r="L1704" s="114" t="str">
        <f aca="true">IF($E1704="","",IF($K1704="✓","Concluído",IF($E1704&lt;TODAY(),"Atrasado",IF($E1704=TODAY(),"Hoje","Pendente"))))</f>
        <v/>
      </c>
      <c r="M1704" s="114" t="str">
        <f aca="false">IF($E1704="","",IF($K1704="✓","✓ ","")&amp;IF(Config!$E$22="Sim",$H1704&amp;" · ","")&amp;$F1704)</f>
        <v/>
      </c>
      <c r="N1704" s="114" t="str">
        <f aca="false">IF($E1704="","",IFERROR(INDEX(Config!$D$15:$D$19,MATCH($I1704,Config!$C$15:$C$19,0)),"OUT")&amp;IF($K1704="✓","x",""))</f>
        <v/>
      </c>
      <c r="O1704" s="114" t="str">
        <f aca="false">IF($E1704="","",COUNTIF($E$5:$E1704,$E1704))</f>
        <v/>
      </c>
      <c r="P1704" s="114" t="str">
        <f aca="false">IF($E1704="","",$E1704*100+$O1704)</f>
        <v/>
      </c>
      <c r="Q1704" s="114" t="str">
        <f aca="false">IF($L1704="Atrasado",$E1704*10000+$A1704,"")</f>
        <v/>
      </c>
    </row>
    <row r="1705" customFormat="false" ht="15" hidden="false" customHeight="false" outlineLevel="0" collapsed="false">
      <c r="A1705" s="114" t="n">
        <f aca="false">ROW()-4</f>
        <v>1701</v>
      </c>
      <c r="B1705" s="114" t="str">
        <f aca="false">IF(A1705&lt;=Config!$E$27*Config!$E$28,"Tema","Avulso")</f>
        <v>Tema</v>
      </c>
      <c r="C1705" s="114" t="n">
        <f aca="false">IF(B1705="Tema",INT((A1705-1)/Config!$E$28)+1,A1705-Config!$E$27*Config!$E$28)</f>
        <v>284</v>
      </c>
      <c r="D1705" s="114" t="n">
        <f aca="false">IF(B1705="Tema",MOD(A1705-1,Config!$E$28)+1,"")</f>
        <v>3</v>
      </c>
      <c r="E1705" s="115" t="str">
        <f aca="false">IF($B1705="Tema",IF(ISNUMBER(INDEX(Temas!$E$6:$P$305,$C1705,2*$D1705-1)),INDEX(Temas!$E$6:$P$305,$C1705,2*$D1705-1),""),IF(ISNUMBER(INDEX(Avulsos!$B$6:$B$205,$C1705)),INDEX(Avulsos!$B$6:$B$205,$C1705),""))</f>
        <v/>
      </c>
      <c r="F1705" s="114" t="str">
        <f aca="false">IF($E1705="","",IF($B1705="Tema",INDEX(Temas!$B$6:$B$305,$C1705)&amp;"",INDEX(Avulsos!$C$6:$C$205,$C1705)&amp;""))</f>
        <v/>
      </c>
      <c r="G1705" s="114" t="str">
        <f aca="false">IF($E1705="","",IF($B1705="Tema",INDEX(Config!$C$6:$C$11,$D1705),"Evento avulso"))</f>
        <v/>
      </c>
      <c r="H1705" s="114" t="str">
        <f aca="false">IF($E1705="","",IF($B1705="Tema",INDEX(Config!$D$6:$D$11,$D1705),IFERROR(INDEX(Config!$E$15:$E$19,MATCH($I1705,Config!$C$15:$C$19,0)),"•")))</f>
        <v/>
      </c>
      <c r="I1705" s="114" t="str">
        <f aca="false">IF($E1705="","",IF($B1705="Tema",INDEX(Config!$E$6:$E$11,$D1705),IF(INDEX(Avulsos!$D$6:$D$205,$C1705)&amp;""="","Outro",INDEX(Avulsos!$D$6:$D$205,$C1705))))</f>
        <v/>
      </c>
      <c r="J1705" s="114" t="str">
        <f aca="false">IF($E1705="","",IF($B1705="Tema",INDEX(Temas!$C$6:$C$305,$C1705)&amp;"",INDEX(Avulsos!$E$6:$E$205,$C1705)&amp;""))</f>
        <v/>
      </c>
      <c r="K1705" s="114" t="str">
        <f aca="false">IF($E1705="","",IF(IF($B1705="Tema",INDEX(Temas!$E$6:$P$305,$C1705,2*$D1705),INDEX(Avulsos!$F$6:$F$205,$C1705))&amp;""="","","✓"))</f>
        <v/>
      </c>
      <c r="L1705" s="114" t="str">
        <f aca="true">IF($E1705="","",IF($K1705="✓","Concluído",IF($E1705&lt;TODAY(),"Atrasado",IF($E1705=TODAY(),"Hoje","Pendente"))))</f>
        <v/>
      </c>
      <c r="M1705" s="114" t="str">
        <f aca="false">IF($E1705="","",IF($K1705="✓","✓ ","")&amp;IF(Config!$E$22="Sim",$H1705&amp;" · ","")&amp;$F1705)</f>
        <v/>
      </c>
      <c r="N1705" s="114" t="str">
        <f aca="false">IF($E1705="","",IFERROR(INDEX(Config!$D$15:$D$19,MATCH($I1705,Config!$C$15:$C$19,0)),"OUT")&amp;IF($K1705="✓","x",""))</f>
        <v/>
      </c>
      <c r="O1705" s="114" t="str">
        <f aca="false">IF($E1705="","",COUNTIF($E$5:$E1705,$E1705))</f>
        <v/>
      </c>
      <c r="P1705" s="114" t="str">
        <f aca="false">IF($E1705="","",$E1705*100+$O1705)</f>
        <v/>
      </c>
      <c r="Q1705" s="114" t="str">
        <f aca="false">IF($L1705="Atrasado",$E1705*10000+$A1705,"")</f>
        <v/>
      </c>
    </row>
    <row r="1706" customFormat="false" ht="15" hidden="false" customHeight="false" outlineLevel="0" collapsed="false">
      <c r="A1706" s="114" t="n">
        <f aca="false">ROW()-4</f>
        <v>1702</v>
      </c>
      <c r="B1706" s="114" t="str">
        <f aca="false">IF(A1706&lt;=Config!$E$27*Config!$E$28,"Tema","Avulso")</f>
        <v>Tema</v>
      </c>
      <c r="C1706" s="114" t="n">
        <f aca="false">IF(B1706="Tema",INT((A1706-1)/Config!$E$28)+1,A1706-Config!$E$27*Config!$E$28)</f>
        <v>284</v>
      </c>
      <c r="D1706" s="114" t="n">
        <f aca="false">IF(B1706="Tema",MOD(A1706-1,Config!$E$28)+1,"")</f>
        <v>4</v>
      </c>
      <c r="E1706" s="115" t="str">
        <f aca="false">IF($B1706="Tema",IF(ISNUMBER(INDEX(Temas!$E$6:$P$305,$C1706,2*$D1706-1)),INDEX(Temas!$E$6:$P$305,$C1706,2*$D1706-1),""),IF(ISNUMBER(INDEX(Avulsos!$B$6:$B$205,$C1706)),INDEX(Avulsos!$B$6:$B$205,$C1706),""))</f>
        <v/>
      </c>
      <c r="F1706" s="114" t="str">
        <f aca="false">IF($E1706="","",IF($B1706="Tema",INDEX(Temas!$B$6:$B$305,$C1706)&amp;"",INDEX(Avulsos!$C$6:$C$205,$C1706)&amp;""))</f>
        <v/>
      </c>
      <c r="G1706" s="114" t="str">
        <f aca="false">IF($E1706="","",IF($B1706="Tema",INDEX(Config!$C$6:$C$11,$D1706),"Evento avulso"))</f>
        <v/>
      </c>
      <c r="H1706" s="114" t="str">
        <f aca="false">IF($E1706="","",IF($B1706="Tema",INDEX(Config!$D$6:$D$11,$D1706),IFERROR(INDEX(Config!$E$15:$E$19,MATCH($I1706,Config!$C$15:$C$19,0)),"•")))</f>
        <v/>
      </c>
      <c r="I1706" s="114" t="str">
        <f aca="false">IF($E1706="","",IF($B1706="Tema",INDEX(Config!$E$6:$E$11,$D1706),IF(INDEX(Avulsos!$D$6:$D$205,$C1706)&amp;""="","Outro",INDEX(Avulsos!$D$6:$D$205,$C1706))))</f>
        <v/>
      </c>
      <c r="J1706" s="114" t="str">
        <f aca="false">IF($E1706="","",IF($B1706="Tema",INDEX(Temas!$C$6:$C$305,$C1706)&amp;"",INDEX(Avulsos!$E$6:$E$205,$C1706)&amp;""))</f>
        <v/>
      </c>
      <c r="K1706" s="114" t="str">
        <f aca="false">IF($E1706="","",IF(IF($B1706="Tema",INDEX(Temas!$E$6:$P$305,$C1706,2*$D1706),INDEX(Avulsos!$F$6:$F$205,$C1706))&amp;""="","","✓"))</f>
        <v/>
      </c>
      <c r="L1706" s="114" t="str">
        <f aca="true">IF($E1706="","",IF($K1706="✓","Concluído",IF($E1706&lt;TODAY(),"Atrasado",IF($E1706=TODAY(),"Hoje","Pendente"))))</f>
        <v/>
      </c>
      <c r="M1706" s="114" t="str">
        <f aca="false">IF($E1706="","",IF($K1706="✓","✓ ","")&amp;IF(Config!$E$22="Sim",$H1706&amp;" · ","")&amp;$F1706)</f>
        <v/>
      </c>
      <c r="N1706" s="114" t="str">
        <f aca="false">IF($E1706="","",IFERROR(INDEX(Config!$D$15:$D$19,MATCH($I1706,Config!$C$15:$C$19,0)),"OUT")&amp;IF($K1706="✓","x",""))</f>
        <v/>
      </c>
      <c r="O1706" s="114" t="str">
        <f aca="false">IF($E1706="","",COUNTIF($E$5:$E1706,$E1706))</f>
        <v/>
      </c>
      <c r="P1706" s="114" t="str">
        <f aca="false">IF($E1706="","",$E1706*100+$O1706)</f>
        <v/>
      </c>
      <c r="Q1706" s="114" t="str">
        <f aca="false">IF($L1706="Atrasado",$E1706*10000+$A1706,"")</f>
        <v/>
      </c>
    </row>
    <row r="1707" customFormat="false" ht="15" hidden="false" customHeight="false" outlineLevel="0" collapsed="false">
      <c r="A1707" s="114" t="n">
        <f aca="false">ROW()-4</f>
        <v>1703</v>
      </c>
      <c r="B1707" s="114" t="str">
        <f aca="false">IF(A1707&lt;=Config!$E$27*Config!$E$28,"Tema","Avulso")</f>
        <v>Tema</v>
      </c>
      <c r="C1707" s="114" t="n">
        <f aca="false">IF(B1707="Tema",INT((A1707-1)/Config!$E$28)+1,A1707-Config!$E$27*Config!$E$28)</f>
        <v>284</v>
      </c>
      <c r="D1707" s="114" t="n">
        <f aca="false">IF(B1707="Tema",MOD(A1707-1,Config!$E$28)+1,"")</f>
        <v>5</v>
      </c>
      <c r="E1707" s="115" t="str">
        <f aca="false">IF($B1707="Tema",IF(ISNUMBER(INDEX(Temas!$E$6:$P$305,$C1707,2*$D1707-1)),INDEX(Temas!$E$6:$P$305,$C1707,2*$D1707-1),""),IF(ISNUMBER(INDEX(Avulsos!$B$6:$B$205,$C1707)),INDEX(Avulsos!$B$6:$B$205,$C1707),""))</f>
        <v/>
      </c>
      <c r="F1707" s="114" t="str">
        <f aca="false">IF($E1707="","",IF($B1707="Tema",INDEX(Temas!$B$6:$B$305,$C1707)&amp;"",INDEX(Avulsos!$C$6:$C$205,$C1707)&amp;""))</f>
        <v/>
      </c>
      <c r="G1707" s="114" t="str">
        <f aca="false">IF($E1707="","",IF($B1707="Tema",INDEX(Config!$C$6:$C$11,$D1707),"Evento avulso"))</f>
        <v/>
      </c>
      <c r="H1707" s="114" t="str">
        <f aca="false">IF($E1707="","",IF($B1707="Tema",INDEX(Config!$D$6:$D$11,$D1707),IFERROR(INDEX(Config!$E$15:$E$19,MATCH($I1707,Config!$C$15:$C$19,0)),"•")))</f>
        <v/>
      </c>
      <c r="I1707" s="114" t="str">
        <f aca="false">IF($E1707="","",IF($B1707="Tema",INDEX(Config!$E$6:$E$11,$D1707),IF(INDEX(Avulsos!$D$6:$D$205,$C1707)&amp;""="","Outro",INDEX(Avulsos!$D$6:$D$205,$C1707))))</f>
        <v/>
      </c>
      <c r="J1707" s="114" t="str">
        <f aca="false">IF($E1707="","",IF($B1707="Tema",INDEX(Temas!$C$6:$C$305,$C1707)&amp;"",INDEX(Avulsos!$E$6:$E$205,$C1707)&amp;""))</f>
        <v/>
      </c>
      <c r="K1707" s="114" t="str">
        <f aca="false">IF($E1707="","",IF(IF($B1707="Tema",INDEX(Temas!$E$6:$P$305,$C1707,2*$D1707),INDEX(Avulsos!$F$6:$F$205,$C1707))&amp;""="","","✓"))</f>
        <v/>
      </c>
      <c r="L1707" s="114" t="str">
        <f aca="true">IF($E1707="","",IF($K1707="✓","Concluído",IF($E1707&lt;TODAY(),"Atrasado",IF($E1707=TODAY(),"Hoje","Pendente"))))</f>
        <v/>
      </c>
      <c r="M1707" s="114" t="str">
        <f aca="false">IF($E1707="","",IF($K1707="✓","✓ ","")&amp;IF(Config!$E$22="Sim",$H1707&amp;" · ","")&amp;$F1707)</f>
        <v/>
      </c>
      <c r="N1707" s="114" t="str">
        <f aca="false">IF($E1707="","",IFERROR(INDEX(Config!$D$15:$D$19,MATCH($I1707,Config!$C$15:$C$19,0)),"OUT")&amp;IF($K1707="✓","x",""))</f>
        <v/>
      </c>
      <c r="O1707" s="114" t="str">
        <f aca="false">IF($E1707="","",COUNTIF($E$5:$E1707,$E1707))</f>
        <v/>
      </c>
      <c r="P1707" s="114" t="str">
        <f aca="false">IF($E1707="","",$E1707*100+$O1707)</f>
        <v/>
      </c>
      <c r="Q1707" s="114" t="str">
        <f aca="false">IF($L1707="Atrasado",$E1707*10000+$A1707,"")</f>
        <v/>
      </c>
    </row>
    <row r="1708" customFormat="false" ht="15" hidden="false" customHeight="false" outlineLevel="0" collapsed="false">
      <c r="A1708" s="114" t="n">
        <f aca="false">ROW()-4</f>
        <v>1704</v>
      </c>
      <c r="B1708" s="114" t="str">
        <f aca="false">IF(A1708&lt;=Config!$E$27*Config!$E$28,"Tema","Avulso")</f>
        <v>Tema</v>
      </c>
      <c r="C1708" s="114" t="n">
        <f aca="false">IF(B1708="Tema",INT((A1708-1)/Config!$E$28)+1,A1708-Config!$E$27*Config!$E$28)</f>
        <v>284</v>
      </c>
      <c r="D1708" s="114" t="n">
        <f aca="false">IF(B1708="Tema",MOD(A1708-1,Config!$E$28)+1,"")</f>
        <v>6</v>
      </c>
      <c r="E1708" s="115" t="str">
        <f aca="false">IF($B1708="Tema",IF(ISNUMBER(INDEX(Temas!$E$6:$P$305,$C1708,2*$D1708-1)),INDEX(Temas!$E$6:$P$305,$C1708,2*$D1708-1),""),IF(ISNUMBER(INDEX(Avulsos!$B$6:$B$205,$C1708)),INDEX(Avulsos!$B$6:$B$205,$C1708),""))</f>
        <v/>
      </c>
      <c r="F1708" s="114" t="str">
        <f aca="false">IF($E1708="","",IF($B1708="Tema",INDEX(Temas!$B$6:$B$305,$C1708)&amp;"",INDEX(Avulsos!$C$6:$C$205,$C1708)&amp;""))</f>
        <v/>
      </c>
      <c r="G1708" s="114" t="str">
        <f aca="false">IF($E1708="","",IF($B1708="Tema",INDEX(Config!$C$6:$C$11,$D1708),"Evento avulso"))</f>
        <v/>
      </c>
      <c r="H1708" s="114" t="str">
        <f aca="false">IF($E1708="","",IF($B1708="Tema",INDEX(Config!$D$6:$D$11,$D1708),IFERROR(INDEX(Config!$E$15:$E$19,MATCH($I1708,Config!$C$15:$C$19,0)),"•")))</f>
        <v/>
      </c>
      <c r="I1708" s="114" t="str">
        <f aca="false">IF($E1708="","",IF($B1708="Tema",INDEX(Config!$E$6:$E$11,$D1708),IF(INDEX(Avulsos!$D$6:$D$205,$C1708)&amp;""="","Outro",INDEX(Avulsos!$D$6:$D$205,$C1708))))</f>
        <v/>
      </c>
      <c r="J1708" s="114" t="str">
        <f aca="false">IF($E1708="","",IF($B1708="Tema",INDEX(Temas!$C$6:$C$305,$C1708)&amp;"",INDEX(Avulsos!$E$6:$E$205,$C1708)&amp;""))</f>
        <v/>
      </c>
      <c r="K1708" s="114" t="str">
        <f aca="false">IF($E1708="","",IF(IF($B1708="Tema",INDEX(Temas!$E$6:$P$305,$C1708,2*$D1708),INDEX(Avulsos!$F$6:$F$205,$C1708))&amp;""="","","✓"))</f>
        <v/>
      </c>
      <c r="L1708" s="114" t="str">
        <f aca="true">IF($E1708="","",IF($K1708="✓","Concluído",IF($E1708&lt;TODAY(),"Atrasado",IF($E1708=TODAY(),"Hoje","Pendente"))))</f>
        <v/>
      </c>
      <c r="M1708" s="114" t="str">
        <f aca="false">IF($E1708="","",IF($K1708="✓","✓ ","")&amp;IF(Config!$E$22="Sim",$H1708&amp;" · ","")&amp;$F1708)</f>
        <v/>
      </c>
      <c r="N1708" s="114" t="str">
        <f aca="false">IF($E1708="","",IFERROR(INDEX(Config!$D$15:$D$19,MATCH($I1708,Config!$C$15:$C$19,0)),"OUT")&amp;IF($K1708="✓","x",""))</f>
        <v/>
      </c>
      <c r="O1708" s="114" t="str">
        <f aca="false">IF($E1708="","",COUNTIF($E$5:$E1708,$E1708))</f>
        <v/>
      </c>
      <c r="P1708" s="114" t="str">
        <f aca="false">IF($E1708="","",$E1708*100+$O1708)</f>
        <v/>
      </c>
      <c r="Q1708" s="114" t="str">
        <f aca="false">IF($L1708="Atrasado",$E1708*10000+$A1708,"")</f>
        <v/>
      </c>
    </row>
    <row r="1709" customFormat="false" ht="15" hidden="false" customHeight="false" outlineLevel="0" collapsed="false">
      <c r="A1709" s="114" t="n">
        <f aca="false">ROW()-4</f>
        <v>1705</v>
      </c>
      <c r="B1709" s="114" t="str">
        <f aca="false">IF(A1709&lt;=Config!$E$27*Config!$E$28,"Tema","Avulso")</f>
        <v>Tema</v>
      </c>
      <c r="C1709" s="114" t="n">
        <f aca="false">IF(B1709="Tema",INT((A1709-1)/Config!$E$28)+1,A1709-Config!$E$27*Config!$E$28)</f>
        <v>285</v>
      </c>
      <c r="D1709" s="114" t="n">
        <f aca="false">IF(B1709="Tema",MOD(A1709-1,Config!$E$28)+1,"")</f>
        <v>1</v>
      </c>
      <c r="E1709" s="115" t="str">
        <f aca="false">IF($B1709="Tema",IF(ISNUMBER(INDEX(Temas!$E$6:$P$305,$C1709,2*$D1709-1)),INDEX(Temas!$E$6:$P$305,$C1709,2*$D1709-1),""),IF(ISNUMBER(INDEX(Avulsos!$B$6:$B$205,$C1709)),INDEX(Avulsos!$B$6:$B$205,$C1709),""))</f>
        <v/>
      </c>
      <c r="F1709" s="114" t="str">
        <f aca="false">IF($E1709="","",IF($B1709="Tema",INDEX(Temas!$B$6:$B$305,$C1709)&amp;"",INDEX(Avulsos!$C$6:$C$205,$C1709)&amp;""))</f>
        <v/>
      </c>
      <c r="G1709" s="114" t="str">
        <f aca="false">IF($E1709="","",IF($B1709="Tema",INDEX(Config!$C$6:$C$11,$D1709),"Evento avulso"))</f>
        <v/>
      </c>
      <c r="H1709" s="114" t="str">
        <f aca="false">IF($E1709="","",IF($B1709="Tema",INDEX(Config!$D$6:$D$11,$D1709),IFERROR(INDEX(Config!$E$15:$E$19,MATCH($I1709,Config!$C$15:$C$19,0)),"•")))</f>
        <v/>
      </c>
      <c r="I1709" s="114" t="str">
        <f aca="false">IF($E1709="","",IF($B1709="Tema",INDEX(Config!$E$6:$E$11,$D1709),IF(INDEX(Avulsos!$D$6:$D$205,$C1709)&amp;""="","Outro",INDEX(Avulsos!$D$6:$D$205,$C1709))))</f>
        <v/>
      </c>
      <c r="J1709" s="114" t="str">
        <f aca="false">IF($E1709="","",IF($B1709="Tema",INDEX(Temas!$C$6:$C$305,$C1709)&amp;"",INDEX(Avulsos!$E$6:$E$205,$C1709)&amp;""))</f>
        <v/>
      </c>
      <c r="K1709" s="114" t="str">
        <f aca="false">IF($E1709="","",IF(IF($B1709="Tema",INDEX(Temas!$E$6:$P$305,$C1709,2*$D1709),INDEX(Avulsos!$F$6:$F$205,$C1709))&amp;""="","","✓"))</f>
        <v/>
      </c>
      <c r="L1709" s="114" t="str">
        <f aca="true">IF($E1709="","",IF($K1709="✓","Concluído",IF($E1709&lt;TODAY(),"Atrasado",IF($E1709=TODAY(),"Hoje","Pendente"))))</f>
        <v/>
      </c>
      <c r="M1709" s="114" t="str">
        <f aca="false">IF($E1709="","",IF($K1709="✓","✓ ","")&amp;IF(Config!$E$22="Sim",$H1709&amp;" · ","")&amp;$F1709)</f>
        <v/>
      </c>
      <c r="N1709" s="114" t="str">
        <f aca="false">IF($E1709="","",IFERROR(INDEX(Config!$D$15:$D$19,MATCH($I1709,Config!$C$15:$C$19,0)),"OUT")&amp;IF($K1709="✓","x",""))</f>
        <v/>
      </c>
      <c r="O1709" s="114" t="str">
        <f aca="false">IF($E1709="","",COUNTIF($E$5:$E1709,$E1709))</f>
        <v/>
      </c>
      <c r="P1709" s="114" t="str">
        <f aca="false">IF($E1709="","",$E1709*100+$O1709)</f>
        <v/>
      </c>
      <c r="Q1709" s="114" t="str">
        <f aca="false">IF($L1709="Atrasado",$E1709*10000+$A1709,"")</f>
        <v/>
      </c>
    </row>
    <row r="1710" customFormat="false" ht="15" hidden="false" customHeight="false" outlineLevel="0" collapsed="false">
      <c r="A1710" s="114" t="n">
        <f aca="false">ROW()-4</f>
        <v>1706</v>
      </c>
      <c r="B1710" s="114" t="str">
        <f aca="false">IF(A1710&lt;=Config!$E$27*Config!$E$28,"Tema","Avulso")</f>
        <v>Tema</v>
      </c>
      <c r="C1710" s="114" t="n">
        <f aca="false">IF(B1710="Tema",INT((A1710-1)/Config!$E$28)+1,A1710-Config!$E$27*Config!$E$28)</f>
        <v>285</v>
      </c>
      <c r="D1710" s="114" t="n">
        <f aca="false">IF(B1710="Tema",MOD(A1710-1,Config!$E$28)+1,"")</f>
        <v>2</v>
      </c>
      <c r="E1710" s="115" t="str">
        <f aca="false">IF($B1710="Tema",IF(ISNUMBER(INDEX(Temas!$E$6:$P$305,$C1710,2*$D1710-1)),INDEX(Temas!$E$6:$P$305,$C1710,2*$D1710-1),""),IF(ISNUMBER(INDEX(Avulsos!$B$6:$B$205,$C1710)),INDEX(Avulsos!$B$6:$B$205,$C1710),""))</f>
        <v/>
      </c>
      <c r="F1710" s="114" t="str">
        <f aca="false">IF($E1710="","",IF($B1710="Tema",INDEX(Temas!$B$6:$B$305,$C1710)&amp;"",INDEX(Avulsos!$C$6:$C$205,$C1710)&amp;""))</f>
        <v/>
      </c>
      <c r="G1710" s="114" t="str">
        <f aca="false">IF($E1710="","",IF($B1710="Tema",INDEX(Config!$C$6:$C$11,$D1710),"Evento avulso"))</f>
        <v/>
      </c>
      <c r="H1710" s="114" t="str">
        <f aca="false">IF($E1710="","",IF($B1710="Tema",INDEX(Config!$D$6:$D$11,$D1710),IFERROR(INDEX(Config!$E$15:$E$19,MATCH($I1710,Config!$C$15:$C$19,0)),"•")))</f>
        <v/>
      </c>
      <c r="I1710" s="114" t="str">
        <f aca="false">IF($E1710="","",IF($B1710="Tema",INDEX(Config!$E$6:$E$11,$D1710),IF(INDEX(Avulsos!$D$6:$D$205,$C1710)&amp;""="","Outro",INDEX(Avulsos!$D$6:$D$205,$C1710))))</f>
        <v/>
      </c>
      <c r="J1710" s="114" t="str">
        <f aca="false">IF($E1710="","",IF($B1710="Tema",INDEX(Temas!$C$6:$C$305,$C1710)&amp;"",INDEX(Avulsos!$E$6:$E$205,$C1710)&amp;""))</f>
        <v/>
      </c>
      <c r="K1710" s="114" t="str">
        <f aca="false">IF($E1710="","",IF(IF($B1710="Tema",INDEX(Temas!$E$6:$P$305,$C1710,2*$D1710),INDEX(Avulsos!$F$6:$F$205,$C1710))&amp;""="","","✓"))</f>
        <v/>
      </c>
      <c r="L1710" s="114" t="str">
        <f aca="true">IF($E1710="","",IF($K1710="✓","Concluído",IF($E1710&lt;TODAY(),"Atrasado",IF($E1710=TODAY(),"Hoje","Pendente"))))</f>
        <v/>
      </c>
      <c r="M1710" s="114" t="str">
        <f aca="false">IF($E1710="","",IF($K1710="✓","✓ ","")&amp;IF(Config!$E$22="Sim",$H1710&amp;" · ","")&amp;$F1710)</f>
        <v/>
      </c>
      <c r="N1710" s="114" t="str">
        <f aca="false">IF($E1710="","",IFERROR(INDEX(Config!$D$15:$D$19,MATCH($I1710,Config!$C$15:$C$19,0)),"OUT")&amp;IF($K1710="✓","x",""))</f>
        <v/>
      </c>
      <c r="O1710" s="114" t="str">
        <f aca="false">IF($E1710="","",COUNTIF($E$5:$E1710,$E1710))</f>
        <v/>
      </c>
      <c r="P1710" s="114" t="str">
        <f aca="false">IF($E1710="","",$E1710*100+$O1710)</f>
        <v/>
      </c>
      <c r="Q1710" s="114" t="str">
        <f aca="false">IF($L1710="Atrasado",$E1710*10000+$A1710,"")</f>
        <v/>
      </c>
    </row>
    <row r="1711" customFormat="false" ht="15" hidden="false" customHeight="false" outlineLevel="0" collapsed="false">
      <c r="A1711" s="114" t="n">
        <f aca="false">ROW()-4</f>
        <v>1707</v>
      </c>
      <c r="B1711" s="114" t="str">
        <f aca="false">IF(A1711&lt;=Config!$E$27*Config!$E$28,"Tema","Avulso")</f>
        <v>Tema</v>
      </c>
      <c r="C1711" s="114" t="n">
        <f aca="false">IF(B1711="Tema",INT((A1711-1)/Config!$E$28)+1,A1711-Config!$E$27*Config!$E$28)</f>
        <v>285</v>
      </c>
      <c r="D1711" s="114" t="n">
        <f aca="false">IF(B1711="Tema",MOD(A1711-1,Config!$E$28)+1,"")</f>
        <v>3</v>
      </c>
      <c r="E1711" s="115" t="str">
        <f aca="false">IF($B1711="Tema",IF(ISNUMBER(INDEX(Temas!$E$6:$P$305,$C1711,2*$D1711-1)),INDEX(Temas!$E$6:$P$305,$C1711,2*$D1711-1),""),IF(ISNUMBER(INDEX(Avulsos!$B$6:$B$205,$C1711)),INDEX(Avulsos!$B$6:$B$205,$C1711),""))</f>
        <v/>
      </c>
      <c r="F1711" s="114" t="str">
        <f aca="false">IF($E1711="","",IF($B1711="Tema",INDEX(Temas!$B$6:$B$305,$C1711)&amp;"",INDEX(Avulsos!$C$6:$C$205,$C1711)&amp;""))</f>
        <v/>
      </c>
      <c r="G1711" s="114" t="str">
        <f aca="false">IF($E1711="","",IF($B1711="Tema",INDEX(Config!$C$6:$C$11,$D1711),"Evento avulso"))</f>
        <v/>
      </c>
      <c r="H1711" s="114" t="str">
        <f aca="false">IF($E1711="","",IF($B1711="Tema",INDEX(Config!$D$6:$D$11,$D1711),IFERROR(INDEX(Config!$E$15:$E$19,MATCH($I1711,Config!$C$15:$C$19,0)),"•")))</f>
        <v/>
      </c>
      <c r="I1711" s="114" t="str">
        <f aca="false">IF($E1711="","",IF($B1711="Tema",INDEX(Config!$E$6:$E$11,$D1711),IF(INDEX(Avulsos!$D$6:$D$205,$C1711)&amp;""="","Outro",INDEX(Avulsos!$D$6:$D$205,$C1711))))</f>
        <v/>
      </c>
      <c r="J1711" s="114" t="str">
        <f aca="false">IF($E1711="","",IF($B1711="Tema",INDEX(Temas!$C$6:$C$305,$C1711)&amp;"",INDEX(Avulsos!$E$6:$E$205,$C1711)&amp;""))</f>
        <v/>
      </c>
      <c r="K1711" s="114" t="str">
        <f aca="false">IF($E1711="","",IF(IF($B1711="Tema",INDEX(Temas!$E$6:$P$305,$C1711,2*$D1711),INDEX(Avulsos!$F$6:$F$205,$C1711))&amp;""="","","✓"))</f>
        <v/>
      </c>
      <c r="L1711" s="114" t="str">
        <f aca="true">IF($E1711="","",IF($K1711="✓","Concluído",IF($E1711&lt;TODAY(),"Atrasado",IF($E1711=TODAY(),"Hoje","Pendente"))))</f>
        <v/>
      </c>
      <c r="M1711" s="114" t="str">
        <f aca="false">IF($E1711="","",IF($K1711="✓","✓ ","")&amp;IF(Config!$E$22="Sim",$H1711&amp;" · ","")&amp;$F1711)</f>
        <v/>
      </c>
      <c r="N1711" s="114" t="str">
        <f aca="false">IF($E1711="","",IFERROR(INDEX(Config!$D$15:$D$19,MATCH($I1711,Config!$C$15:$C$19,0)),"OUT")&amp;IF($K1711="✓","x",""))</f>
        <v/>
      </c>
      <c r="O1711" s="114" t="str">
        <f aca="false">IF($E1711="","",COUNTIF($E$5:$E1711,$E1711))</f>
        <v/>
      </c>
      <c r="P1711" s="114" t="str">
        <f aca="false">IF($E1711="","",$E1711*100+$O1711)</f>
        <v/>
      </c>
      <c r="Q1711" s="114" t="str">
        <f aca="false">IF($L1711="Atrasado",$E1711*10000+$A1711,"")</f>
        <v/>
      </c>
    </row>
    <row r="1712" customFormat="false" ht="15" hidden="false" customHeight="false" outlineLevel="0" collapsed="false">
      <c r="A1712" s="114" t="n">
        <f aca="false">ROW()-4</f>
        <v>1708</v>
      </c>
      <c r="B1712" s="114" t="str">
        <f aca="false">IF(A1712&lt;=Config!$E$27*Config!$E$28,"Tema","Avulso")</f>
        <v>Tema</v>
      </c>
      <c r="C1712" s="114" t="n">
        <f aca="false">IF(B1712="Tema",INT((A1712-1)/Config!$E$28)+1,A1712-Config!$E$27*Config!$E$28)</f>
        <v>285</v>
      </c>
      <c r="D1712" s="114" t="n">
        <f aca="false">IF(B1712="Tema",MOD(A1712-1,Config!$E$28)+1,"")</f>
        <v>4</v>
      </c>
      <c r="E1712" s="115" t="str">
        <f aca="false">IF($B1712="Tema",IF(ISNUMBER(INDEX(Temas!$E$6:$P$305,$C1712,2*$D1712-1)),INDEX(Temas!$E$6:$P$305,$C1712,2*$D1712-1),""),IF(ISNUMBER(INDEX(Avulsos!$B$6:$B$205,$C1712)),INDEX(Avulsos!$B$6:$B$205,$C1712),""))</f>
        <v/>
      </c>
      <c r="F1712" s="114" t="str">
        <f aca="false">IF($E1712="","",IF($B1712="Tema",INDEX(Temas!$B$6:$B$305,$C1712)&amp;"",INDEX(Avulsos!$C$6:$C$205,$C1712)&amp;""))</f>
        <v/>
      </c>
      <c r="G1712" s="114" t="str">
        <f aca="false">IF($E1712="","",IF($B1712="Tema",INDEX(Config!$C$6:$C$11,$D1712),"Evento avulso"))</f>
        <v/>
      </c>
      <c r="H1712" s="114" t="str">
        <f aca="false">IF($E1712="","",IF($B1712="Tema",INDEX(Config!$D$6:$D$11,$D1712),IFERROR(INDEX(Config!$E$15:$E$19,MATCH($I1712,Config!$C$15:$C$19,0)),"•")))</f>
        <v/>
      </c>
      <c r="I1712" s="114" t="str">
        <f aca="false">IF($E1712="","",IF($B1712="Tema",INDEX(Config!$E$6:$E$11,$D1712),IF(INDEX(Avulsos!$D$6:$D$205,$C1712)&amp;""="","Outro",INDEX(Avulsos!$D$6:$D$205,$C1712))))</f>
        <v/>
      </c>
      <c r="J1712" s="114" t="str">
        <f aca="false">IF($E1712="","",IF($B1712="Tema",INDEX(Temas!$C$6:$C$305,$C1712)&amp;"",INDEX(Avulsos!$E$6:$E$205,$C1712)&amp;""))</f>
        <v/>
      </c>
      <c r="K1712" s="114" t="str">
        <f aca="false">IF($E1712="","",IF(IF($B1712="Tema",INDEX(Temas!$E$6:$P$305,$C1712,2*$D1712),INDEX(Avulsos!$F$6:$F$205,$C1712))&amp;""="","","✓"))</f>
        <v/>
      </c>
      <c r="L1712" s="114" t="str">
        <f aca="true">IF($E1712="","",IF($K1712="✓","Concluído",IF($E1712&lt;TODAY(),"Atrasado",IF($E1712=TODAY(),"Hoje","Pendente"))))</f>
        <v/>
      </c>
      <c r="M1712" s="114" t="str">
        <f aca="false">IF($E1712="","",IF($K1712="✓","✓ ","")&amp;IF(Config!$E$22="Sim",$H1712&amp;" · ","")&amp;$F1712)</f>
        <v/>
      </c>
      <c r="N1712" s="114" t="str">
        <f aca="false">IF($E1712="","",IFERROR(INDEX(Config!$D$15:$D$19,MATCH($I1712,Config!$C$15:$C$19,0)),"OUT")&amp;IF($K1712="✓","x",""))</f>
        <v/>
      </c>
      <c r="O1712" s="114" t="str">
        <f aca="false">IF($E1712="","",COUNTIF($E$5:$E1712,$E1712))</f>
        <v/>
      </c>
      <c r="P1712" s="114" t="str">
        <f aca="false">IF($E1712="","",$E1712*100+$O1712)</f>
        <v/>
      </c>
      <c r="Q1712" s="114" t="str">
        <f aca="false">IF($L1712="Atrasado",$E1712*10000+$A1712,"")</f>
        <v/>
      </c>
    </row>
    <row r="1713" customFormat="false" ht="15" hidden="false" customHeight="false" outlineLevel="0" collapsed="false">
      <c r="A1713" s="114" t="n">
        <f aca="false">ROW()-4</f>
        <v>1709</v>
      </c>
      <c r="B1713" s="114" t="str">
        <f aca="false">IF(A1713&lt;=Config!$E$27*Config!$E$28,"Tema","Avulso")</f>
        <v>Tema</v>
      </c>
      <c r="C1713" s="114" t="n">
        <f aca="false">IF(B1713="Tema",INT((A1713-1)/Config!$E$28)+1,A1713-Config!$E$27*Config!$E$28)</f>
        <v>285</v>
      </c>
      <c r="D1713" s="114" t="n">
        <f aca="false">IF(B1713="Tema",MOD(A1713-1,Config!$E$28)+1,"")</f>
        <v>5</v>
      </c>
      <c r="E1713" s="115" t="str">
        <f aca="false">IF($B1713="Tema",IF(ISNUMBER(INDEX(Temas!$E$6:$P$305,$C1713,2*$D1713-1)),INDEX(Temas!$E$6:$P$305,$C1713,2*$D1713-1),""),IF(ISNUMBER(INDEX(Avulsos!$B$6:$B$205,$C1713)),INDEX(Avulsos!$B$6:$B$205,$C1713),""))</f>
        <v/>
      </c>
      <c r="F1713" s="114" t="str">
        <f aca="false">IF($E1713="","",IF($B1713="Tema",INDEX(Temas!$B$6:$B$305,$C1713)&amp;"",INDEX(Avulsos!$C$6:$C$205,$C1713)&amp;""))</f>
        <v/>
      </c>
      <c r="G1713" s="114" t="str">
        <f aca="false">IF($E1713="","",IF($B1713="Tema",INDEX(Config!$C$6:$C$11,$D1713),"Evento avulso"))</f>
        <v/>
      </c>
      <c r="H1713" s="114" t="str">
        <f aca="false">IF($E1713="","",IF($B1713="Tema",INDEX(Config!$D$6:$D$11,$D1713),IFERROR(INDEX(Config!$E$15:$E$19,MATCH($I1713,Config!$C$15:$C$19,0)),"•")))</f>
        <v/>
      </c>
      <c r="I1713" s="114" t="str">
        <f aca="false">IF($E1713="","",IF($B1713="Tema",INDEX(Config!$E$6:$E$11,$D1713),IF(INDEX(Avulsos!$D$6:$D$205,$C1713)&amp;""="","Outro",INDEX(Avulsos!$D$6:$D$205,$C1713))))</f>
        <v/>
      </c>
      <c r="J1713" s="114" t="str">
        <f aca="false">IF($E1713="","",IF($B1713="Tema",INDEX(Temas!$C$6:$C$305,$C1713)&amp;"",INDEX(Avulsos!$E$6:$E$205,$C1713)&amp;""))</f>
        <v/>
      </c>
      <c r="K1713" s="114" t="str">
        <f aca="false">IF($E1713="","",IF(IF($B1713="Tema",INDEX(Temas!$E$6:$P$305,$C1713,2*$D1713),INDEX(Avulsos!$F$6:$F$205,$C1713))&amp;""="","","✓"))</f>
        <v/>
      </c>
      <c r="L1713" s="114" t="str">
        <f aca="true">IF($E1713="","",IF($K1713="✓","Concluído",IF($E1713&lt;TODAY(),"Atrasado",IF($E1713=TODAY(),"Hoje","Pendente"))))</f>
        <v/>
      </c>
      <c r="M1713" s="114" t="str">
        <f aca="false">IF($E1713="","",IF($K1713="✓","✓ ","")&amp;IF(Config!$E$22="Sim",$H1713&amp;" · ","")&amp;$F1713)</f>
        <v/>
      </c>
      <c r="N1713" s="114" t="str">
        <f aca="false">IF($E1713="","",IFERROR(INDEX(Config!$D$15:$D$19,MATCH($I1713,Config!$C$15:$C$19,0)),"OUT")&amp;IF($K1713="✓","x",""))</f>
        <v/>
      </c>
      <c r="O1713" s="114" t="str">
        <f aca="false">IF($E1713="","",COUNTIF($E$5:$E1713,$E1713))</f>
        <v/>
      </c>
      <c r="P1713" s="114" t="str">
        <f aca="false">IF($E1713="","",$E1713*100+$O1713)</f>
        <v/>
      </c>
      <c r="Q1713" s="114" t="str">
        <f aca="false">IF($L1713="Atrasado",$E1713*10000+$A1713,"")</f>
        <v/>
      </c>
    </row>
    <row r="1714" customFormat="false" ht="15" hidden="false" customHeight="false" outlineLevel="0" collapsed="false">
      <c r="A1714" s="114" t="n">
        <f aca="false">ROW()-4</f>
        <v>1710</v>
      </c>
      <c r="B1714" s="114" t="str">
        <f aca="false">IF(A1714&lt;=Config!$E$27*Config!$E$28,"Tema","Avulso")</f>
        <v>Tema</v>
      </c>
      <c r="C1714" s="114" t="n">
        <f aca="false">IF(B1714="Tema",INT((A1714-1)/Config!$E$28)+1,A1714-Config!$E$27*Config!$E$28)</f>
        <v>285</v>
      </c>
      <c r="D1714" s="114" t="n">
        <f aca="false">IF(B1714="Tema",MOD(A1714-1,Config!$E$28)+1,"")</f>
        <v>6</v>
      </c>
      <c r="E1714" s="115" t="str">
        <f aca="false">IF($B1714="Tema",IF(ISNUMBER(INDEX(Temas!$E$6:$P$305,$C1714,2*$D1714-1)),INDEX(Temas!$E$6:$P$305,$C1714,2*$D1714-1),""),IF(ISNUMBER(INDEX(Avulsos!$B$6:$B$205,$C1714)),INDEX(Avulsos!$B$6:$B$205,$C1714),""))</f>
        <v/>
      </c>
      <c r="F1714" s="114" t="str">
        <f aca="false">IF($E1714="","",IF($B1714="Tema",INDEX(Temas!$B$6:$B$305,$C1714)&amp;"",INDEX(Avulsos!$C$6:$C$205,$C1714)&amp;""))</f>
        <v/>
      </c>
      <c r="G1714" s="114" t="str">
        <f aca="false">IF($E1714="","",IF($B1714="Tema",INDEX(Config!$C$6:$C$11,$D1714),"Evento avulso"))</f>
        <v/>
      </c>
      <c r="H1714" s="114" t="str">
        <f aca="false">IF($E1714="","",IF($B1714="Tema",INDEX(Config!$D$6:$D$11,$D1714),IFERROR(INDEX(Config!$E$15:$E$19,MATCH($I1714,Config!$C$15:$C$19,0)),"•")))</f>
        <v/>
      </c>
      <c r="I1714" s="114" t="str">
        <f aca="false">IF($E1714="","",IF($B1714="Tema",INDEX(Config!$E$6:$E$11,$D1714),IF(INDEX(Avulsos!$D$6:$D$205,$C1714)&amp;""="","Outro",INDEX(Avulsos!$D$6:$D$205,$C1714))))</f>
        <v/>
      </c>
      <c r="J1714" s="114" t="str">
        <f aca="false">IF($E1714="","",IF($B1714="Tema",INDEX(Temas!$C$6:$C$305,$C1714)&amp;"",INDEX(Avulsos!$E$6:$E$205,$C1714)&amp;""))</f>
        <v/>
      </c>
      <c r="K1714" s="114" t="str">
        <f aca="false">IF($E1714="","",IF(IF($B1714="Tema",INDEX(Temas!$E$6:$P$305,$C1714,2*$D1714),INDEX(Avulsos!$F$6:$F$205,$C1714))&amp;""="","","✓"))</f>
        <v/>
      </c>
      <c r="L1714" s="114" t="str">
        <f aca="true">IF($E1714="","",IF($K1714="✓","Concluído",IF($E1714&lt;TODAY(),"Atrasado",IF($E1714=TODAY(),"Hoje","Pendente"))))</f>
        <v/>
      </c>
      <c r="M1714" s="114" t="str">
        <f aca="false">IF($E1714="","",IF($K1714="✓","✓ ","")&amp;IF(Config!$E$22="Sim",$H1714&amp;" · ","")&amp;$F1714)</f>
        <v/>
      </c>
      <c r="N1714" s="114" t="str">
        <f aca="false">IF($E1714="","",IFERROR(INDEX(Config!$D$15:$D$19,MATCH($I1714,Config!$C$15:$C$19,0)),"OUT")&amp;IF($K1714="✓","x",""))</f>
        <v/>
      </c>
      <c r="O1714" s="114" t="str">
        <f aca="false">IF($E1714="","",COUNTIF($E$5:$E1714,$E1714))</f>
        <v/>
      </c>
      <c r="P1714" s="114" t="str">
        <f aca="false">IF($E1714="","",$E1714*100+$O1714)</f>
        <v/>
      </c>
      <c r="Q1714" s="114" t="str">
        <f aca="false">IF($L1714="Atrasado",$E1714*10000+$A1714,"")</f>
        <v/>
      </c>
    </row>
    <row r="1715" customFormat="false" ht="15" hidden="false" customHeight="false" outlineLevel="0" collapsed="false">
      <c r="A1715" s="114" t="n">
        <f aca="false">ROW()-4</f>
        <v>1711</v>
      </c>
      <c r="B1715" s="114" t="str">
        <f aca="false">IF(A1715&lt;=Config!$E$27*Config!$E$28,"Tema","Avulso")</f>
        <v>Tema</v>
      </c>
      <c r="C1715" s="114" t="n">
        <f aca="false">IF(B1715="Tema",INT((A1715-1)/Config!$E$28)+1,A1715-Config!$E$27*Config!$E$28)</f>
        <v>286</v>
      </c>
      <c r="D1715" s="114" t="n">
        <f aca="false">IF(B1715="Tema",MOD(A1715-1,Config!$E$28)+1,"")</f>
        <v>1</v>
      </c>
      <c r="E1715" s="115" t="str">
        <f aca="false">IF($B1715="Tema",IF(ISNUMBER(INDEX(Temas!$E$6:$P$305,$C1715,2*$D1715-1)),INDEX(Temas!$E$6:$P$305,$C1715,2*$D1715-1),""),IF(ISNUMBER(INDEX(Avulsos!$B$6:$B$205,$C1715)),INDEX(Avulsos!$B$6:$B$205,$C1715),""))</f>
        <v/>
      </c>
      <c r="F1715" s="114" t="str">
        <f aca="false">IF($E1715="","",IF($B1715="Tema",INDEX(Temas!$B$6:$B$305,$C1715)&amp;"",INDEX(Avulsos!$C$6:$C$205,$C1715)&amp;""))</f>
        <v/>
      </c>
      <c r="G1715" s="114" t="str">
        <f aca="false">IF($E1715="","",IF($B1715="Tema",INDEX(Config!$C$6:$C$11,$D1715),"Evento avulso"))</f>
        <v/>
      </c>
      <c r="H1715" s="114" t="str">
        <f aca="false">IF($E1715="","",IF($B1715="Tema",INDEX(Config!$D$6:$D$11,$D1715),IFERROR(INDEX(Config!$E$15:$E$19,MATCH($I1715,Config!$C$15:$C$19,0)),"•")))</f>
        <v/>
      </c>
      <c r="I1715" s="114" t="str">
        <f aca="false">IF($E1715="","",IF($B1715="Tema",INDEX(Config!$E$6:$E$11,$D1715),IF(INDEX(Avulsos!$D$6:$D$205,$C1715)&amp;""="","Outro",INDEX(Avulsos!$D$6:$D$205,$C1715))))</f>
        <v/>
      </c>
      <c r="J1715" s="114" t="str">
        <f aca="false">IF($E1715="","",IF($B1715="Tema",INDEX(Temas!$C$6:$C$305,$C1715)&amp;"",INDEX(Avulsos!$E$6:$E$205,$C1715)&amp;""))</f>
        <v/>
      </c>
      <c r="K1715" s="114" t="str">
        <f aca="false">IF($E1715="","",IF(IF($B1715="Tema",INDEX(Temas!$E$6:$P$305,$C1715,2*$D1715),INDEX(Avulsos!$F$6:$F$205,$C1715))&amp;""="","","✓"))</f>
        <v/>
      </c>
      <c r="L1715" s="114" t="str">
        <f aca="true">IF($E1715="","",IF($K1715="✓","Concluído",IF($E1715&lt;TODAY(),"Atrasado",IF($E1715=TODAY(),"Hoje","Pendente"))))</f>
        <v/>
      </c>
      <c r="M1715" s="114" t="str">
        <f aca="false">IF($E1715="","",IF($K1715="✓","✓ ","")&amp;IF(Config!$E$22="Sim",$H1715&amp;" · ","")&amp;$F1715)</f>
        <v/>
      </c>
      <c r="N1715" s="114" t="str">
        <f aca="false">IF($E1715="","",IFERROR(INDEX(Config!$D$15:$D$19,MATCH($I1715,Config!$C$15:$C$19,0)),"OUT")&amp;IF($K1715="✓","x",""))</f>
        <v/>
      </c>
      <c r="O1715" s="114" t="str">
        <f aca="false">IF($E1715="","",COUNTIF($E$5:$E1715,$E1715))</f>
        <v/>
      </c>
      <c r="P1715" s="114" t="str">
        <f aca="false">IF($E1715="","",$E1715*100+$O1715)</f>
        <v/>
      </c>
      <c r="Q1715" s="114" t="str">
        <f aca="false">IF($L1715="Atrasado",$E1715*10000+$A1715,"")</f>
        <v/>
      </c>
    </row>
    <row r="1716" customFormat="false" ht="15" hidden="false" customHeight="false" outlineLevel="0" collapsed="false">
      <c r="A1716" s="114" t="n">
        <f aca="false">ROW()-4</f>
        <v>1712</v>
      </c>
      <c r="B1716" s="114" t="str">
        <f aca="false">IF(A1716&lt;=Config!$E$27*Config!$E$28,"Tema","Avulso")</f>
        <v>Tema</v>
      </c>
      <c r="C1716" s="114" t="n">
        <f aca="false">IF(B1716="Tema",INT((A1716-1)/Config!$E$28)+1,A1716-Config!$E$27*Config!$E$28)</f>
        <v>286</v>
      </c>
      <c r="D1716" s="114" t="n">
        <f aca="false">IF(B1716="Tema",MOD(A1716-1,Config!$E$28)+1,"")</f>
        <v>2</v>
      </c>
      <c r="E1716" s="115" t="str">
        <f aca="false">IF($B1716="Tema",IF(ISNUMBER(INDEX(Temas!$E$6:$P$305,$C1716,2*$D1716-1)),INDEX(Temas!$E$6:$P$305,$C1716,2*$D1716-1),""),IF(ISNUMBER(INDEX(Avulsos!$B$6:$B$205,$C1716)),INDEX(Avulsos!$B$6:$B$205,$C1716),""))</f>
        <v/>
      </c>
      <c r="F1716" s="114" t="str">
        <f aca="false">IF($E1716="","",IF($B1716="Tema",INDEX(Temas!$B$6:$B$305,$C1716)&amp;"",INDEX(Avulsos!$C$6:$C$205,$C1716)&amp;""))</f>
        <v/>
      </c>
      <c r="G1716" s="114" t="str">
        <f aca="false">IF($E1716="","",IF($B1716="Tema",INDEX(Config!$C$6:$C$11,$D1716),"Evento avulso"))</f>
        <v/>
      </c>
      <c r="H1716" s="114" t="str">
        <f aca="false">IF($E1716="","",IF($B1716="Tema",INDEX(Config!$D$6:$D$11,$D1716),IFERROR(INDEX(Config!$E$15:$E$19,MATCH($I1716,Config!$C$15:$C$19,0)),"•")))</f>
        <v/>
      </c>
      <c r="I1716" s="114" t="str">
        <f aca="false">IF($E1716="","",IF($B1716="Tema",INDEX(Config!$E$6:$E$11,$D1716),IF(INDEX(Avulsos!$D$6:$D$205,$C1716)&amp;""="","Outro",INDEX(Avulsos!$D$6:$D$205,$C1716))))</f>
        <v/>
      </c>
      <c r="J1716" s="114" t="str">
        <f aca="false">IF($E1716="","",IF($B1716="Tema",INDEX(Temas!$C$6:$C$305,$C1716)&amp;"",INDEX(Avulsos!$E$6:$E$205,$C1716)&amp;""))</f>
        <v/>
      </c>
      <c r="K1716" s="114" t="str">
        <f aca="false">IF($E1716="","",IF(IF($B1716="Tema",INDEX(Temas!$E$6:$P$305,$C1716,2*$D1716),INDEX(Avulsos!$F$6:$F$205,$C1716))&amp;""="","","✓"))</f>
        <v/>
      </c>
      <c r="L1716" s="114" t="str">
        <f aca="true">IF($E1716="","",IF($K1716="✓","Concluído",IF($E1716&lt;TODAY(),"Atrasado",IF($E1716=TODAY(),"Hoje","Pendente"))))</f>
        <v/>
      </c>
      <c r="M1716" s="114" t="str">
        <f aca="false">IF($E1716="","",IF($K1716="✓","✓ ","")&amp;IF(Config!$E$22="Sim",$H1716&amp;" · ","")&amp;$F1716)</f>
        <v/>
      </c>
      <c r="N1716" s="114" t="str">
        <f aca="false">IF($E1716="","",IFERROR(INDEX(Config!$D$15:$D$19,MATCH($I1716,Config!$C$15:$C$19,0)),"OUT")&amp;IF($K1716="✓","x",""))</f>
        <v/>
      </c>
      <c r="O1716" s="114" t="str">
        <f aca="false">IF($E1716="","",COUNTIF($E$5:$E1716,$E1716))</f>
        <v/>
      </c>
      <c r="P1716" s="114" t="str">
        <f aca="false">IF($E1716="","",$E1716*100+$O1716)</f>
        <v/>
      </c>
      <c r="Q1716" s="114" t="str">
        <f aca="false">IF($L1716="Atrasado",$E1716*10000+$A1716,"")</f>
        <v/>
      </c>
    </row>
    <row r="1717" customFormat="false" ht="15" hidden="false" customHeight="false" outlineLevel="0" collapsed="false">
      <c r="A1717" s="114" t="n">
        <f aca="false">ROW()-4</f>
        <v>1713</v>
      </c>
      <c r="B1717" s="114" t="str">
        <f aca="false">IF(A1717&lt;=Config!$E$27*Config!$E$28,"Tema","Avulso")</f>
        <v>Tema</v>
      </c>
      <c r="C1717" s="114" t="n">
        <f aca="false">IF(B1717="Tema",INT((A1717-1)/Config!$E$28)+1,A1717-Config!$E$27*Config!$E$28)</f>
        <v>286</v>
      </c>
      <c r="D1717" s="114" t="n">
        <f aca="false">IF(B1717="Tema",MOD(A1717-1,Config!$E$28)+1,"")</f>
        <v>3</v>
      </c>
      <c r="E1717" s="115" t="str">
        <f aca="false">IF($B1717="Tema",IF(ISNUMBER(INDEX(Temas!$E$6:$P$305,$C1717,2*$D1717-1)),INDEX(Temas!$E$6:$P$305,$C1717,2*$D1717-1),""),IF(ISNUMBER(INDEX(Avulsos!$B$6:$B$205,$C1717)),INDEX(Avulsos!$B$6:$B$205,$C1717),""))</f>
        <v/>
      </c>
      <c r="F1717" s="114" t="str">
        <f aca="false">IF($E1717="","",IF($B1717="Tema",INDEX(Temas!$B$6:$B$305,$C1717)&amp;"",INDEX(Avulsos!$C$6:$C$205,$C1717)&amp;""))</f>
        <v/>
      </c>
      <c r="G1717" s="114" t="str">
        <f aca="false">IF($E1717="","",IF($B1717="Tema",INDEX(Config!$C$6:$C$11,$D1717),"Evento avulso"))</f>
        <v/>
      </c>
      <c r="H1717" s="114" t="str">
        <f aca="false">IF($E1717="","",IF($B1717="Tema",INDEX(Config!$D$6:$D$11,$D1717),IFERROR(INDEX(Config!$E$15:$E$19,MATCH($I1717,Config!$C$15:$C$19,0)),"•")))</f>
        <v/>
      </c>
      <c r="I1717" s="114" t="str">
        <f aca="false">IF($E1717="","",IF($B1717="Tema",INDEX(Config!$E$6:$E$11,$D1717),IF(INDEX(Avulsos!$D$6:$D$205,$C1717)&amp;""="","Outro",INDEX(Avulsos!$D$6:$D$205,$C1717))))</f>
        <v/>
      </c>
      <c r="J1717" s="114" t="str">
        <f aca="false">IF($E1717="","",IF($B1717="Tema",INDEX(Temas!$C$6:$C$305,$C1717)&amp;"",INDEX(Avulsos!$E$6:$E$205,$C1717)&amp;""))</f>
        <v/>
      </c>
      <c r="K1717" s="114" t="str">
        <f aca="false">IF($E1717="","",IF(IF($B1717="Tema",INDEX(Temas!$E$6:$P$305,$C1717,2*$D1717),INDEX(Avulsos!$F$6:$F$205,$C1717))&amp;""="","","✓"))</f>
        <v/>
      </c>
      <c r="L1717" s="114" t="str">
        <f aca="true">IF($E1717="","",IF($K1717="✓","Concluído",IF($E1717&lt;TODAY(),"Atrasado",IF($E1717=TODAY(),"Hoje","Pendente"))))</f>
        <v/>
      </c>
      <c r="M1717" s="114" t="str">
        <f aca="false">IF($E1717="","",IF($K1717="✓","✓ ","")&amp;IF(Config!$E$22="Sim",$H1717&amp;" · ","")&amp;$F1717)</f>
        <v/>
      </c>
      <c r="N1717" s="114" t="str">
        <f aca="false">IF($E1717="","",IFERROR(INDEX(Config!$D$15:$D$19,MATCH($I1717,Config!$C$15:$C$19,0)),"OUT")&amp;IF($K1717="✓","x",""))</f>
        <v/>
      </c>
      <c r="O1717" s="114" t="str">
        <f aca="false">IF($E1717="","",COUNTIF($E$5:$E1717,$E1717))</f>
        <v/>
      </c>
      <c r="P1717" s="114" t="str">
        <f aca="false">IF($E1717="","",$E1717*100+$O1717)</f>
        <v/>
      </c>
      <c r="Q1717" s="114" t="str">
        <f aca="false">IF($L1717="Atrasado",$E1717*10000+$A1717,"")</f>
        <v/>
      </c>
    </row>
    <row r="1718" customFormat="false" ht="15" hidden="false" customHeight="false" outlineLevel="0" collapsed="false">
      <c r="A1718" s="114" t="n">
        <f aca="false">ROW()-4</f>
        <v>1714</v>
      </c>
      <c r="B1718" s="114" t="str">
        <f aca="false">IF(A1718&lt;=Config!$E$27*Config!$E$28,"Tema","Avulso")</f>
        <v>Tema</v>
      </c>
      <c r="C1718" s="114" t="n">
        <f aca="false">IF(B1718="Tema",INT((A1718-1)/Config!$E$28)+1,A1718-Config!$E$27*Config!$E$28)</f>
        <v>286</v>
      </c>
      <c r="D1718" s="114" t="n">
        <f aca="false">IF(B1718="Tema",MOD(A1718-1,Config!$E$28)+1,"")</f>
        <v>4</v>
      </c>
      <c r="E1718" s="115" t="str">
        <f aca="false">IF($B1718="Tema",IF(ISNUMBER(INDEX(Temas!$E$6:$P$305,$C1718,2*$D1718-1)),INDEX(Temas!$E$6:$P$305,$C1718,2*$D1718-1),""),IF(ISNUMBER(INDEX(Avulsos!$B$6:$B$205,$C1718)),INDEX(Avulsos!$B$6:$B$205,$C1718),""))</f>
        <v/>
      </c>
      <c r="F1718" s="114" t="str">
        <f aca="false">IF($E1718="","",IF($B1718="Tema",INDEX(Temas!$B$6:$B$305,$C1718)&amp;"",INDEX(Avulsos!$C$6:$C$205,$C1718)&amp;""))</f>
        <v/>
      </c>
      <c r="G1718" s="114" t="str">
        <f aca="false">IF($E1718="","",IF($B1718="Tema",INDEX(Config!$C$6:$C$11,$D1718),"Evento avulso"))</f>
        <v/>
      </c>
      <c r="H1718" s="114" t="str">
        <f aca="false">IF($E1718="","",IF($B1718="Tema",INDEX(Config!$D$6:$D$11,$D1718),IFERROR(INDEX(Config!$E$15:$E$19,MATCH($I1718,Config!$C$15:$C$19,0)),"•")))</f>
        <v/>
      </c>
      <c r="I1718" s="114" t="str">
        <f aca="false">IF($E1718="","",IF($B1718="Tema",INDEX(Config!$E$6:$E$11,$D1718),IF(INDEX(Avulsos!$D$6:$D$205,$C1718)&amp;""="","Outro",INDEX(Avulsos!$D$6:$D$205,$C1718))))</f>
        <v/>
      </c>
      <c r="J1718" s="114" t="str">
        <f aca="false">IF($E1718="","",IF($B1718="Tema",INDEX(Temas!$C$6:$C$305,$C1718)&amp;"",INDEX(Avulsos!$E$6:$E$205,$C1718)&amp;""))</f>
        <v/>
      </c>
      <c r="K1718" s="114" t="str">
        <f aca="false">IF($E1718="","",IF(IF($B1718="Tema",INDEX(Temas!$E$6:$P$305,$C1718,2*$D1718),INDEX(Avulsos!$F$6:$F$205,$C1718))&amp;""="","","✓"))</f>
        <v/>
      </c>
      <c r="L1718" s="114" t="str">
        <f aca="true">IF($E1718="","",IF($K1718="✓","Concluído",IF($E1718&lt;TODAY(),"Atrasado",IF($E1718=TODAY(),"Hoje","Pendente"))))</f>
        <v/>
      </c>
      <c r="M1718" s="114" t="str">
        <f aca="false">IF($E1718="","",IF($K1718="✓","✓ ","")&amp;IF(Config!$E$22="Sim",$H1718&amp;" · ","")&amp;$F1718)</f>
        <v/>
      </c>
      <c r="N1718" s="114" t="str">
        <f aca="false">IF($E1718="","",IFERROR(INDEX(Config!$D$15:$D$19,MATCH($I1718,Config!$C$15:$C$19,0)),"OUT")&amp;IF($K1718="✓","x",""))</f>
        <v/>
      </c>
      <c r="O1718" s="114" t="str">
        <f aca="false">IF($E1718="","",COUNTIF($E$5:$E1718,$E1718))</f>
        <v/>
      </c>
      <c r="P1718" s="114" t="str">
        <f aca="false">IF($E1718="","",$E1718*100+$O1718)</f>
        <v/>
      </c>
      <c r="Q1718" s="114" t="str">
        <f aca="false">IF($L1718="Atrasado",$E1718*10000+$A1718,"")</f>
        <v/>
      </c>
    </row>
    <row r="1719" customFormat="false" ht="15" hidden="false" customHeight="false" outlineLevel="0" collapsed="false">
      <c r="A1719" s="114" t="n">
        <f aca="false">ROW()-4</f>
        <v>1715</v>
      </c>
      <c r="B1719" s="114" t="str">
        <f aca="false">IF(A1719&lt;=Config!$E$27*Config!$E$28,"Tema","Avulso")</f>
        <v>Tema</v>
      </c>
      <c r="C1719" s="114" t="n">
        <f aca="false">IF(B1719="Tema",INT((A1719-1)/Config!$E$28)+1,A1719-Config!$E$27*Config!$E$28)</f>
        <v>286</v>
      </c>
      <c r="D1719" s="114" t="n">
        <f aca="false">IF(B1719="Tema",MOD(A1719-1,Config!$E$28)+1,"")</f>
        <v>5</v>
      </c>
      <c r="E1719" s="115" t="str">
        <f aca="false">IF($B1719="Tema",IF(ISNUMBER(INDEX(Temas!$E$6:$P$305,$C1719,2*$D1719-1)),INDEX(Temas!$E$6:$P$305,$C1719,2*$D1719-1),""),IF(ISNUMBER(INDEX(Avulsos!$B$6:$B$205,$C1719)),INDEX(Avulsos!$B$6:$B$205,$C1719),""))</f>
        <v/>
      </c>
      <c r="F1719" s="114" t="str">
        <f aca="false">IF($E1719="","",IF($B1719="Tema",INDEX(Temas!$B$6:$B$305,$C1719)&amp;"",INDEX(Avulsos!$C$6:$C$205,$C1719)&amp;""))</f>
        <v/>
      </c>
      <c r="G1719" s="114" t="str">
        <f aca="false">IF($E1719="","",IF($B1719="Tema",INDEX(Config!$C$6:$C$11,$D1719),"Evento avulso"))</f>
        <v/>
      </c>
      <c r="H1719" s="114" t="str">
        <f aca="false">IF($E1719="","",IF($B1719="Tema",INDEX(Config!$D$6:$D$11,$D1719),IFERROR(INDEX(Config!$E$15:$E$19,MATCH($I1719,Config!$C$15:$C$19,0)),"•")))</f>
        <v/>
      </c>
      <c r="I1719" s="114" t="str">
        <f aca="false">IF($E1719="","",IF($B1719="Tema",INDEX(Config!$E$6:$E$11,$D1719),IF(INDEX(Avulsos!$D$6:$D$205,$C1719)&amp;""="","Outro",INDEX(Avulsos!$D$6:$D$205,$C1719))))</f>
        <v/>
      </c>
      <c r="J1719" s="114" t="str">
        <f aca="false">IF($E1719="","",IF($B1719="Tema",INDEX(Temas!$C$6:$C$305,$C1719)&amp;"",INDEX(Avulsos!$E$6:$E$205,$C1719)&amp;""))</f>
        <v/>
      </c>
      <c r="K1719" s="114" t="str">
        <f aca="false">IF($E1719="","",IF(IF($B1719="Tema",INDEX(Temas!$E$6:$P$305,$C1719,2*$D1719),INDEX(Avulsos!$F$6:$F$205,$C1719))&amp;""="","","✓"))</f>
        <v/>
      </c>
      <c r="L1719" s="114" t="str">
        <f aca="true">IF($E1719="","",IF($K1719="✓","Concluído",IF($E1719&lt;TODAY(),"Atrasado",IF($E1719=TODAY(),"Hoje","Pendente"))))</f>
        <v/>
      </c>
      <c r="M1719" s="114" t="str">
        <f aca="false">IF($E1719="","",IF($K1719="✓","✓ ","")&amp;IF(Config!$E$22="Sim",$H1719&amp;" · ","")&amp;$F1719)</f>
        <v/>
      </c>
      <c r="N1719" s="114" t="str">
        <f aca="false">IF($E1719="","",IFERROR(INDEX(Config!$D$15:$D$19,MATCH($I1719,Config!$C$15:$C$19,0)),"OUT")&amp;IF($K1719="✓","x",""))</f>
        <v/>
      </c>
      <c r="O1719" s="114" t="str">
        <f aca="false">IF($E1719="","",COUNTIF($E$5:$E1719,$E1719))</f>
        <v/>
      </c>
      <c r="P1719" s="114" t="str">
        <f aca="false">IF($E1719="","",$E1719*100+$O1719)</f>
        <v/>
      </c>
      <c r="Q1719" s="114" t="str">
        <f aca="false">IF($L1719="Atrasado",$E1719*10000+$A1719,"")</f>
        <v/>
      </c>
    </row>
    <row r="1720" customFormat="false" ht="15" hidden="false" customHeight="false" outlineLevel="0" collapsed="false">
      <c r="A1720" s="114" t="n">
        <f aca="false">ROW()-4</f>
        <v>1716</v>
      </c>
      <c r="B1720" s="114" t="str">
        <f aca="false">IF(A1720&lt;=Config!$E$27*Config!$E$28,"Tema","Avulso")</f>
        <v>Tema</v>
      </c>
      <c r="C1720" s="114" t="n">
        <f aca="false">IF(B1720="Tema",INT((A1720-1)/Config!$E$28)+1,A1720-Config!$E$27*Config!$E$28)</f>
        <v>286</v>
      </c>
      <c r="D1720" s="114" t="n">
        <f aca="false">IF(B1720="Tema",MOD(A1720-1,Config!$E$28)+1,"")</f>
        <v>6</v>
      </c>
      <c r="E1720" s="115" t="str">
        <f aca="false">IF($B1720="Tema",IF(ISNUMBER(INDEX(Temas!$E$6:$P$305,$C1720,2*$D1720-1)),INDEX(Temas!$E$6:$P$305,$C1720,2*$D1720-1),""),IF(ISNUMBER(INDEX(Avulsos!$B$6:$B$205,$C1720)),INDEX(Avulsos!$B$6:$B$205,$C1720),""))</f>
        <v/>
      </c>
      <c r="F1720" s="114" t="str">
        <f aca="false">IF($E1720="","",IF($B1720="Tema",INDEX(Temas!$B$6:$B$305,$C1720)&amp;"",INDEX(Avulsos!$C$6:$C$205,$C1720)&amp;""))</f>
        <v/>
      </c>
      <c r="G1720" s="114" t="str">
        <f aca="false">IF($E1720="","",IF($B1720="Tema",INDEX(Config!$C$6:$C$11,$D1720),"Evento avulso"))</f>
        <v/>
      </c>
      <c r="H1720" s="114" t="str">
        <f aca="false">IF($E1720="","",IF($B1720="Tema",INDEX(Config!$D$6:$D$11,$D1720),IFERROR(INDEX(Config!$E$15:$E$19,MATCH($I1720,Config!$C$15:$C$19,0)),"•")))</f>
        <v/>
      </c>
      <c r="I1720" s="114" t="str">
        <f aca="false">IF($E1720="","",IF($B1720="Tema",INDEX(Config!$E$6:$E$11,$D1720),IF(INDEX(Avulsos!$D$6:$D$205,$C1720)&amp;""="","Outro",INDEX(Avulsos!$D$6:$D$205,$C1720))))</f>
        <v/>
      </c>
      <c r="J1720" s="114" t="str">
        <f aca="false">IF($E1720="","",IF($B1720="Tema",INDEX(Temas!$C$6:$C$305,$C1720)&amp;"",INDEX(Avulsos!$E$6:$E$205,$C1720)&amp;""))</f>
        <v/>
      </c>
      <c r="K1720" s="114" t="str">
        <f aca="false">IF($E1720="","",IF(IF($B1720="Tema",INDEX(Temas!$E$6:$P$305,$C1720,2*$D1720),INDEX(Avulsos!$F$6:$F$205,$C1720))&amp;""="","","✓"))</f>
        <v/>
      </c>
      <c r="L1720" s="114" t="str">
        <f aca="true">IF($E1720="","",IF($K1720="✓","Concluído",IF($E1720&lt;TODAY(),"Atrasado",IF($E1720=TODAY(),"Hoje","Pendente"))))</f>
        <v/>
      </c>
      <c r="M1720" s="114" t="str">
        <f aca="false">IF($E1720="","",IF($K1720="✓","✓ ","")&amp;IF(Config!$E$22="Sim",$H1720&amp;" · ","")&amp;$F1720)</f>
        <v/>
      </c>
      <c r="N1720" s="114" t="str">
        <f aca="false">IF($E1720="","",IFERROR(INDEX(Config!$D$15:$D$19,MATCH($I1720,Config!$C$15:$C$19,0)),"OUT")&amp;IF($K1720="✓","x",""))</f>
        <v/>
      </c>
      <c r="O1720" s="114" t="str">
        <f aca="false">IF($E1720="","",COUNTIF($E$5:$E1720,$E1720))</f>
        <v/>
      </c>
      <c r="P1720" s="114" t="str">
        <f aca="false">IF($E1720="","",$E1720*100+$O1720)</f>
        <v/>
      </c>
      <c r="Q1720" s="114" t="str">
        <f aca="false">IF($L1720="Atrasado",$E1720*10000+$A1720,"")</f>
        <v/>
      </c>
    </row>
    <row r="1721" customFormat="false" ht="15" hidden="false" customHeight="false" outlineLevel="0" collapsed="false">
      <c r="A1721" s="114" t="n">
        <f aca="false">ROW()-4</f>
        <v>1717</v>
      </c>
      <c r="B1721" s="114" t="str">
        <f aca="false">IF(A1721&lt;=Config!$E$27*Config!$E$28,"Tema","Avulso")</f>
        <v>Tema</v>
      </c>
      <c r="C1721" s="114" t="n">
        <f aca="false">IF(B1721="Tema",INT((A1721-1)/Config!$E$28)+1,A1721-Config!$E$27*Config!$E$28)</f>
        <v>287</v>
      </c>
      <c r="D1721" s="114" t="n">
        <f aca="false">IF(B1721="Tema",MOD(A1721-1,Config!$E$28)+1,"")</f>
        <v>1</v>
      </c>
      <c r="E1721" s="115" t="str">
        <f aca="false">IF($B1721="Tema",IF(ISNUMBER(INDEX(Temas!$E$6:$P$305,$C1721,2*$D1721-1)),INDEX(Temas!$E$6:$P$305,$C1721,2*$D1721-1),""),IF(ISNUMBER(INDEX(Avulsos!$B$6:$B$205,$C1721)),INDEX(Avulsos!$B$6:$B$205,$C1721),""))</f>
        <v/>
      </c>
      <c r="F1721" s="114" t="str">
        <f aca="false">IF($E1721="","",IF($B1721="Tema",INDEX(Temas!$B$6:$B$305,$C1721)&amp;"",INDEX(Avulsos!$C$6:$C$205,$C1721)&amp;""))</f>
        <v/>
      </c>
      <c r="G1721" s="114" t="str">
        <f aca="false">IF($E1721="","",IF($B1721="Tema",INDEX(Config!$C$6:$C$11,$D1721),"Evento avulso"))</f>
        <v/>
      </c>
      <c r="H1721" s="114" t="str">
        <f aca="false">IF($E1721="","",IF($B1721="Tema",INDEX(Config!$D$6:$D$11,$D1721),IFERROR(INDEX(Config!$E$15:$E$19,MATCH($I1721,Config!$C$15:$C$19,0)),"•")))</f>
        <v/>
      </c>
      <c r="I1721" s="114" t="str">
        <f aca="false">IF($E1721="","",IF($B1721="Tema",INDEX(Config!$E$6:$E$11,$D1721),IF(INDEX(Avulsos!$D$6:$D$205,$C1721)&amp;""="","Outro",INDEX(Avulsos!$D$6:$D$205,$C1721))))</f>
        <v/>
      </c>
      <c r="J1721" s="114" t="str">
        <f aca="false">IF($E1721="","",IF($B1721="Tema",INDEX(Temas!$C$6:$C$305,$C1721)&amp;"",INDEX(Avulsos!$E$6:$E$205,$C1721)&amp;""))</f>
        <v/>
      </c>
      <c r="K1721" s="114" t="str">
        <f aca="false">IF($E1721="","",IF(IF($B1721="Tema",INDEX(Temas!$E$6:$P$305,$C1721,2*$D1721),INDEX(Avulsos!$F$6:$F$205,$C1721))&amp;""="","","✓"))</f>
        <v/>
      </c>
      <c r="L1721" s="114" t="str">
        <f aca="true">IF($E1721="","",IF($K1721="✓","Concluído",IF($E1721&lt;TODAY(),"Atrasado",IF($E1721=TODAY(),"Hoje","Pendente"))))</f>
        <v/>
      </c>
      <c r="M1721" s="114" t="str">
        <f aca="false">IF($E1721="","",IF($K1721="✓","✓ ","")&amp;IF(Config!$E$22="Sim",$H1721&amp;" · ","")&amp;$F1721)</f>
        <v/>
      </c>
      <c r="N1721" s="114" t="str">
        <f aca="false">IF($E1721="","",IFERROR(INDEX(Config!$D$15:$D$19,MATCH($I1721,Config!$C$15:$C$19,0)),"OUT")&amp;IF($K1721="✓","x",""))</f>
        <v/>
      </c>
      <c r="O1721" s="114" t="str">
        <f aca="false">IF($E1721="","",COUNTIF($E$5:$E1721,$E1721))</f>
        <v/>
      </c>
      <c r="P1721" s="114" t="str">
        <f aca="false">IF($E1721="","",$E1721*100+$O1721)</f>
        <v/>
      </c>
      <c r="Q1721" s="114" t="str">
        <f aca="false">IF($L1721="Atrasado",$E1721*10000+$A1721,"")</f>
        <v/>
      </c>
    </row>
    <row r="1722" customFormat="false" ht="15" hidden="false" customHeight="false" outlineLevel="0" collapsed="false">
      <c r="A1722" s="114" t="n">
        <f aca="false">ROW()-4</f>
        <v>1718</v>
      </c>
      <c r="B1722" s="114" t="str">
        <f aca="false">IF(A1722&lt;=Config!$E$27*Config!$E$28,"Tema","Avulso")</f>
        <v>Tema</v>
      </c>
      <c r="C1722" s="114" t="n">
        <f aca="false">IF(B1722="Tema",INT((A1722-1)/Config!$E$28)+1,A1722-Config!$E$27*Config!$E$28)</f>
        <v>287</v>
      </c>
      <c r="D1722" s="114" t="n">
        <f aca="false">IF(B1722="Tema",MOD(A1722-1,Config!$E$28)+1,"")</f>
        <v>2</v>
      </c>
      <c r="E1722" s="115" t="str">
        <f aca="false">IF($B1722="Tema",IF(ISNUMBER(INDEX(Temas!$E$6:$P$305,$C1722,2*$D1722-1)),INDEX(Temas!$E$6:$P$305,$C1722,2*$D1722-1),""),IF(ISNUMBER(INDEX(Avulsos!$B$6:$B$205,$C1722)),INDEX(Avulsos!$B$6:$B$205,$C1722),""))</f>
        <v/>
      </c>
      <c r="F1722" s="114" t="str">
        <f aca="false">IF($E1722="","",IF($B1722="Tema",INDEX(Temas!$B$6:$B$305,$C1722)&amp;"",INDEX(Avulsos!$C$6:$C$205,$C1722)&amp;""))</f>
        <v/>
      </c>
      <c r="G1722" s="114" t="str">
        <f aca="false">IF($E1722="","",IF($B1722="Tema",INDEX(Config!$C$6:$C$11,$D1722),"Evento avulso"))</f>
        <v/>
      </c>
      <c r="H1722" s="114" t="str">
        <f aca="false">IF($E1722="","",IF($B1722="Tema",INDEX(Config!$D$6:$D$11,$D1722),IFERROR(INDEX(Config!$E$15:$E$19,MATCH($I1722,Config!$C$15:$C$19,0)),"•")))</f>
        <v/>
      </c>
      <c r="I1722" s="114" t="str">
        <f aca="false">IF($E1722="","",IF($B1722="Tema",INDEX(Config!$E$6:$E$11,$D1722),IF(INDEX(Avulsos!$D$6:$D$205,$C1722)&amp;""="","Outro",INDEX(Avulsos!$D$6:$D$205,$C1722))))</f>
        <v/>
      </c>
      <c r="J1722" s="114" t="str">
        <f aca="false">IF($E1722="","",IF($B1722="Tema",INDEX(Temas!$C$6:$C$305,$C1722)&amp;"",INDEX(Avulsos!$E$6:$E$205,$C1722)&amp;""))</f>
        <v/>
      </c>
      <c r="K1722" s="114" t="str">
        <f aca="false">IF($E1722="","",IF(IF($B1722="Tema",INDEX(Temas!$E$6:$P$305,$C1722,2*$D1722),INDEX(Avulsos!$F$6:$F$205,$C1722))&amp;""="","","✓"))</f>
        <v/>
      </c>
      <c r="L1722" s="114" t="str">
        <f aca="true">IF($E1722="","",IF($K1722="✓","Concluído",IF($E1722&lt;TODAY(),"Atrasado",IF($E1722=TODAY(),"Hoje","Pendente"))))</f>
        <v/>
      </c>
      <c r="M1722" s="114" t="str">
        <f aca="false">IF($E1722="","",IF($K1722="✓","✓ ","")&amp;IF(Config!$E$22="Sim",$H1722&amp;" · ","")&amp;$F1722)</f>
        <v/>
      </c>
      <c r="N1722" s="114" t="str">
        <f aca="false">IF($E1722="","",IFERROR(INDEX(Config!$D$15:$D$19,MATCH($I1722,Config!$C$15:$C$19,0)),"OUT")&amp;IF($K1722="✓","x",""))</f>
        <v/>
      </c>
      <c r="O1722" s="114" t="str">
        <f aca="false">IF($E1722="","",COUNTIF($E$5:$E1722,$E1722))</f>
        <v/>
      </c>
      <c r="P1722" s="114" t="str">
        <f aca="false">IF($E1722="","",$E1722*100+$O1722)</f>
        <v/>
      </c>
      <c r="Q1722" s="114" t="str">
        <f aca="false">IF($L1722="Atrasado",$E1722*10000+$A1722,"")</f>
        <v/>
      </c>
    </row>
    <row r="1723" customFormat="false" ht="15" hidden="false" customHeight="false" outlineLevel="0" collapsed="false">
      <c r="A1723" s="114" t="n">
        <f aca="false">ROW()-4</f>
        <v>1719</v>
      </c>
      <c r="B1723" s="114" t="str">
        <f aca="false">IF(A1723&lt;=Config!$E$27*Config!$E$28,"Tema","Avulso")</f>
        <v>Tema</v>
      </c>
      <c r="C1723" s="114" t="n">
        <f aca="false">IF(B1723="Tema",INT((A1723-1)/Config!$E$28)+1,A1723-Config!$E$27*Config!$E$28)</f>
        <v>287</v>
      </c>
      <c r="D1723" s="114" t="n">
        <f aca="false">IF(B1723="Tema",MOD(A1723-1,Config!$E$28)+1,"")</f>
        <v>3</v>
      </c>
      <c r="E1723" s="115" t="str">
        <f aca="false">IF($B1723="Tema",IF(ISNUMBER(INDEX(Temas!$E$6:$P$305,$C1723,2*$D1723-1)),INDEX(Temas!$E$6:$P$305,$C1723,2*$D1723-1),""),IF(ISNUMBER(INDEX(Avulsos!$B$6:$B$205,$C1723)),INDEX(Avulsos!$B$6:$B$205,$C1723),""))</f>
        <v/>
      </c>
      <c r="F1723" s="114" t="str">
        <f aca="false">IF($E1723="","",IF($B1723="Tema",INDEX(Temas!$B$6:$B$305,$C1723)&amp;"",INDEX(Avulsos!$C$6:$C$205,$C1723)&amp;""))</f>
        <v/>
      </c>
      <c r="G1723" s="114" t="str">
        <f aca="false">IF($E1723="","",IF($B1723="Tema",INDEX(Config!$C$6:$C$11,$D1723),"Evento avulso"))</f>
        <v/>
      </c>
      <c r="H1723" s="114" t="str">
        <f aca="false">IF($E1723="","",IF($B1723="Tema",INDEX(Config!$D$6:$D$11,$D1723),IFERROR(INDEX(Config!$E$15:$E$19,MATCH($I1723,Config!$C$15:$C$19,0)),"•")))</f>
        <v/>
      </c>
      <c r="I1723" s="114" t="str">
        <f aca="false">IF($E1723="","",IF($B1723="Tema",INDEX(Config!$E$6:$E$11,$D1723),IF(INDEX(Avulsos!$D$6:$D$205,$C1723)&amp;""="","Outro",INDEX(Avulsos!$D$6:$D$205,$C1723))))</f>
        <v/>
      </c>
      <c r="J1723" s="114" t="str">
        <f aca="false">IF($E1723="","",IF($B1723="Tema",INDEX(Temas!$C$6:$C$305,$C1723)&amp;"",INDEX(Avulsos!$E$6:$E$205,$C1723)&amp;""))</f>
        <v/>
      </c>
      <c r="K1723" s="114" t="str">
        <f aca="false">IF($E1723="","",IF(IF($B1723="Tema",INDEX(Temas!$E$6:$P$305,$C1723,2*$D1723),INDEX(Avulsos!$F$6:$F$205,$C1723))&amp;""="","","✓"))</f>
        <v/>
      </c>
      <c r="L1723" s="114" t="str">
        <f aca="true">IF($E1723="","",IF($K1723="✓","Concluído",IF($E1723&lt;TODAY(),"Atrasado",IF($E1723=TODAY(),"Hoje","Pendente"))))</f>
        <v/>
      </c>
      <c r="M1723" s="114" t="str">
        <f aca="false">IF($E1723="","",IF($K1723="✓","✓ ","")&amp;IF(Config!$E$22="Sim",$H1723&amp;" · ","")&amp;$F1723)</f>
        <v/>
      </c>
      <c r="N1723" s="114" t="str">
        <f aca="false">IF($E1723="","",IFERROR(INDEX(Config!$D$15:$D$19,MATCH($I1723,Config!$C$15:$C$19,0)),"OUT")&amp;IF($K1723="✓","x",""))</f>
        <v/>
      </c>
      <c r="O1723" s="114" t="str">
        <f aca="false">IF($E1723="","",COUNTIF($E$5:$E1723,$E1723))</f>
        <v/>
      </c>
      <c r="P1723" s="114" t="str">
        <f aca="false">IF($E1723="","",$E1723*100+$O1723)</f>
        <v/>
      </c>
      <c r="Q1723" s="114" t="str">
        <f aca="false">IF($L1723="Atrasado",$E1723*10000+$A1723,"")</f>
        <v/>
      </c>
    </row>
    <row r="1724" customFormat="false" ht="15" hidden="false" customHeight="false" outlineLevel="0" collapsed="false">
      <c r="A1724" s="114" t="n">
        <f aca="false">ROW()-4</f>
        <v>1720</v>
      </c>
      <c r="B1724" s="114" t="str">
        <f aca="false">IF(A1724&lt;=Config!$E$27*Config!$E$28,"Tema","Avulso")</f>
        <v>Tema</v>
      </c>
      <c r="C1724" s="114" t="n">
        <f aca="false">IF(B1724="Tema",INT((A1724-1)/Config!$E$28)+1,A1724-Config!$E$27*Config!$E$28)</f>
        <v>287</v>
      </c>
      <c r="D1724" s="114" t="n">
        <f aca="false">IF(B1724="Tema",MOD(A1724-1,Config!$E$28)+1,"")</f>
        <v>4</v>
      </c>
      <c r="E1724" s="115" t="str">
        <f aca="false">IF($B1724="Tema",IF(ISNUMBER(INDEX(Temas!$E$6:$P$305,$C1724,2*$D1724-1)),INDEX(Temas!$E$6:$P$305,$C1724,2*$D1724-1),""),IF(ISNUMBER(INDEX(Avulsos!$B$6:$B$205,$C1724)),INDEX(Avulsos!$B$6:$B$205,$C1724),""))</f>
        <v/>
      </c>
      <c r="F1724" s="114" t="str">
        <f aca="false">IF($E1724="","",IF($B1724="Tema",INDEX(Temas!$B$6:$B$305,$C1724)&amp;"",INDEX(Avulsos!$C$6:$C$205,$C1724)&amp;""))</f>
        <v/>
      </c>
      <c r="G1724" s="114" t="str">
        <f aca="false">IF($E1724="","",IF($B1724="Tema",INDEX(Config!$C$6:$C$11,$D1724),"Evento avulso"))</f>
        <v/>
      </c>
      <c r="H1724" s="114" t="str">
        <f aca="false">IF($E1724="","",IF($B1724="Tema",INDEX(Config!$D$6:$D$11,$D1724),IFERROR(INDEX(Config!$E$15:$E$19,MATCH($I1724,Config!$C$15:$C$19,0)),"•")))</f>
        <v/>
      </c>
      <c r="I1724" s="114" t="str">
        <f aca="false">IF($E1724="","",IF($B1724="Tema",INDEX(Config!$E$6:$E$11,$D1724),IF(INDEX(Avulsos!$D$6:$D$205,$C1724)&amp;""="","Outro",INDEX(Avulsos!$D$6:$D$205,$C1724))))</f>
        <v/>
      </c>
      <c r="J1724" s="114" t="str">
        <f aca="false">IF($E1724="","",IF($B1724="Tema",INDEX(Temas!$C$6:$C$305,$C1724)&amp;"",INDEX(Avulsos!$E$6:$E$205,$C1724)&amp;""))</f>
        <v/>
      </c>
      <c r="K1724" s="114" t="str">
        <f aca="false">IF($E1724="","",IF(IF($B1724="Tema",INDEX(Temas!$E$6:$P$305,$C1724,2*$D1724),INDEX(Avulsos!$F$6:$F$205,$C1724))&amp;""="","","✓"))</f>
        <v/>
      </c>
      <c r="L1724" s="114" t="str">
        <f aca="true">IF($E1724="","",IF($K1724="✓","Concluído",IF($E1724&lt;TODAY(),"Atrasado",IF($E1724=TODAY(),"Hoje","Pendente"))))</f>
        <v/>
      </c>
      <c r="M1724" s="114" t="str">
        <f aca="false">IF($E1724="","",IF($K1724="✓","✓ ","")&amp;IF(Config!$E$22="Sim",$H1724&amp;" · ","")&amp;$F1724)</f>
        <v/>
      </c>
      <c r="N1724" s="114" t="str">
        <f aca="false">IF($E1724="","",IFERROR(INDEX(Config!$D$15:$D$19,MATCH($I1724,Config!$C$15:$C$19,0)),"OUT")&amp;IF($K1724="✓","x",""))</f>
        <v/>
      </c>
      <c r="O1724" s="114" t="str">
        <f aca="false">IF($E1724="","",COUNTIF($E$5:$E1724,$E1724))</f>
        <v/>
      </c>
      <c r="P1724" s="114" t="str">
        <f aca="false">IF($E1724="","",$E1724*100+$O1724)</f>
        <v/>
      </c>
      <c r="Q1724" s="114" t="str">
        <f aca="false">IF($L1724="Atrasado",$E1724*10000+$A1724,"")</f>
        <v/>
      </c>
    </row>
    <row r="1725" customFormat="false" ht="15" hidden="false" customHeight="false" outlineLevel="0" collapsed="false">
      <c r="A1725" s="114" t="n">
        <f aca="false">ROW()-4</f>
        <v>1721</v>
      </c>
      <c r="B1725" s="114" t="str">
        <f aca="false">IF(A1725&lt;=Config!$E$27*Config!$E$28,"Tema","Avulso")</f>
        <v>Tema</v>
      </c>
      <c r="C1725" s="114" t="n">
        <f aca="false">IF(B1725="Tema",INT((A1725-1)/Config!$E$28)+1,A1725-Config!$E$27*Config!$E$28)</f>
        <v>287</v>
      </c>
      <c r="D1725" s="114" t="n">
        <f aca="false">IF(B1725="Tema",MOD(A1725-1,Config!$E$28)+1,"")</f>
        <v>5</v>
      </c>
      <c r="E1725" s="115" t="str">
        <f aca="false">IF($B1725="Tema",IF(ISNUMBER(INDEX(Temas!$E$6:$P$305,$C1725,2*$D1725-1)),INDEX(Temas!$E$6:$P$305,$C1725,2*$D1725-1),""),IF(ISNUMBER(INDEX(Avulsos!$B$6:$B$205,$C1725)),INDEX(Avulsos!$B$6:$B$205,$C1725),""))</f>
        <v/>
      </c>
      <c r="F1725" s="114" t="str">
        <f aca="false">IF($E1725="","",IF($B1725="Tema",INDEX(Temas!$B$6:$B$305,$C1725)&amp;"",INDEX(Avulsos!$C$6:$C$205,$C1725)&amp;""))</f>
        <v/>
      </c>
      <c r="G1725" s="114" t="str">
        <f aca="false">IF($E1725="","",IF($B1725="Tema",INDEX(Config!$C$6:$C$11,$D1725),"Evento avulso"))</f>
        <v/>
      </c>
      <c r="H1725" s="114" t="str">
        <f aca="false">IF($E1725="","",IF($B1725="Tema",INDEX(Config!$D$6:$D$11,$D1725),IFERROR(INDEX(Config!$E$15:$E$19,MATCH($I1725,Config!$C$15:$C$19,0)),"•")))</f>
        <v/>
      </c>
      <c r="I1725" s="114" t="str">
        <f aca="false">IF($E1725="","",IF($B1725="Tema",INDEX(Config!$E$6:$E$11,$D1725),IF(INDEX(Avulsos!$D$6:$D$205,$C1725)&amp;""="","Outro",INDEX(Avulsos!$D$6:$D$205,$C1725))))</f>
        <v/>
      </c>
      <c r="J1725" s="114" t="str">
        <f aca="false">IF($E1725="","",IF($B1725="Tema",INDEX(Temas!$C$6:$C$305,$C1725)&amp;"",INDEX(Avulsos!$E$6:$E$205,$C1725)&amp;""))</f>
        <v/>
      </c>
      <c r="K1725" s="114" t="str">
        <f aca="false">IF($E1725="","",IF(IF($B1725="Tema",INDEX(Temas!$E$6:$P$305,$C1725,2*$D1725),INDEX(Avulsos!$F$6:$F$205,$C1725))&amp;""="","","✓"))</f>
        <v/>
      </c>
      <c r="L1725" s="114" t="str">
        <f aca="true">IF($E1725="","",IF($K1725="✓","Concluído",IF($E1725&lt;TODAY(),"Atrasado",IF($E1725=TODAY(),"Hoje","Pendente"))))</f>
        <v/>
      </c>
      <c r="M1725" s="114" t="str">
        <f aca="false">IF($E1725="","",IF($K1725="✓","✓ ","")&amp;IF(Config!$E$22="Sim",$H1725&amp;" · ","")&amp;$F1725)</f>
        <v/>
      </c>
      <c r="N1725" s="114" t="str">
        <f aca="false">IF($E1725="","",IFERROR(INDEX(Config!$D$15:$D$19,MATCH($I1725,Config!$C$15:$C$19,0)),"OUT")&amp;IF($K1725="✓","x",""))</f>
        <v/>
      </c>
      <c r="O1725" s="114" t="str">
        <f aca="false">IF($E1725="","",COUNTIF($E$5:$E1725,$E1725))</f>
        <v/>
      </c>
      <c r="P1725" s="114" t="str">
        <f aca="false">IF($E1725="","",$E1725*100+$O1725)</f>
        <v/>
      </c>
      <c r="Q1725" s="114" t="str">
        <f aca="false">IF($L1725="Atrasado",$E1725*10000+$A1725,"")</f>
        <v/>
      </c>
    </row>
    <row r="1726" customFormat="false" ht="15" hidden="false" customHeight="false" outlineLevel="0" collapsed="false">
      <c r="A1726" s="114" t="n">
        <f aca="false">ROW()-4</f>
        <v>1722</v>
      </c>
      <c r="B1726" s="114" t="str">
        <f aca="false">IF(A1726&lt;=Config!$E$27*Config!$E$28,"Tema","Avulso")</f>
        <v>Tema</v>
      </c>
      <c r="C1726" s="114" t="n">
        <f aca="false">IF(B1726="Tema",INT((A1726-1)/Config!$E$28)+1,A1726-Config!$E$27*Config!$E$28)</f>
        <v>287</v>
      </c>
      <c r="D1726" s="114" t="n">
        <f aca="false">IF(B1726="Tema",MOD(A1726-1,Config!$E$28)+1,"")</f>
        <v>6</v>
      </c>
      <c r="E1726" s="115" t="str">
        <f aca="false">IF($B1726="Tema",IF(ISNUMBER(INDEX(Temas!$E$6:$P$305,$C1726,2*$D1726-1)),INDEX(Temas!$E$6:$P$305,$C1726,2*$D1726-1),""),IF(ISNUMBER(INDEX(Avulsos!$B$6:$B$205,$C1726)),INDEX(Avulsos!$B$6:$B$205,$C1726),""))</f>
        <v/>
      </c>
      <c r="F1726" s="114" t="str">
        <f aca="false">IF($E1726="","",IF($B1726="Tema",INDEX(Temas!$B$6:$B$305,$C1726)&amp;"",INDEX(Avulsos!$C$6:$C$205,$C1726)&amp;""))</f>
        <v/>
      </c>
      <c r="G1726" s="114" t="str">
        <f aca="false">IF($E1726="","",IF($B1726="Tema",INDEX(Config!$C$6:$C$11,$D1726),"Evento avulso"))</f>
        <v/>
      </c>
      <c r="H1726" s="114" t="str">
        <f aca="false">IF($E1726="","",IF($B1726="Tema",INDEX(Config!$D$6:$D$11,$D1726),IFERROR(INDEX(Config!$E$15:$E$19,MATCH($I1726,Config!$C$15:$C$19,0)),"•")))</f>
        <v/>
      </c>
      <c r="I1726" s="114" t="str">
        <f aca="false">IF($E1726="","",IF($B1726="Tema",INDEX(Config!$E$6:$E$11,$D1726),IF(INDEX(Avulsos!$D$6:$D$205,$C1726)&amp;""="","Outro",INDEX(Avulsos!$D$6:$D$205,$C1726))))</f>
        <v/>
      </c>
      <c r="J1726" s="114" t="str">
        <f aca="false">IF($E1726="","",IF($B1726="Tema",INDEX(Temas!$C$6:$C$305,$C1726)&amp;"",INDEX(Avulsos!$E$6:$E$205,$C1726)&amp;""))</f>
        <v/>
      </c>
      <c r="K1726" s="114" t="str">
        <f aca="false">IF($E1726="","",IF(IF($B1726="Tema",INDEX(Temas!$E$6:$P$305,$C1726,2*$D1726),INDEX(Avulsos!$F$6:$F$205,$C1726))&amp;""="","","✓"))</f>
        <v/>
      </c>
      <c r="L1726" s="114" t="str">
        <f aca="true">IF($E1726="","",IF($K1726="✓","Concluído",IF($E1726&lt;TODAY(),"Atrasado",IF($E1726=TODAY(),"Hoje","Pendente"))))</f>
        <v/>
      </c>
      <c r="M1726" s="114" t="str">
        <f aca="false">IF($E1726="","",IF($K1726="✓","✓ ","")&amp;IF(Config!$E$22="Sim",$H1726&amp;" · ","")&amp;$F1726)</f>
        <v/>
      </c>
      <c r="N1726" s="114" t="str">
        <f aca="false">IF($E1726="","",IFERROR(INDEX(Config!$D$15:$D$19,MATCH($I1726,Config!$C$15:$C$19,0)),"OUT")&amp;IF($K1726="✓","x",""))</f>
        <v/>
      </c>
      <c r="O1726" s="114" t="str">
        <f aca="false">IF($E1726="","",COUNTIF($E$5:$E1726,$E1726))</f>
        <v/>
      </c>
      <c r="P1726" s="114" t="str">
        <f aca="false">IF($E1726="","",$E1726*100+$O1726)</f>
        <v/>
      </c>
      <c r="Q1726" s="114" t="str">
        <f aca="false">IF($L1726="Atrasado",$E1726*10000+$A1726,"")</f>
        <v/>
      </c>
    </row>
    <row r="1727" customFormat="false" ht="15" hidden="false" customHeight="false" outlineLevel="0" collapsed="false">
      <c r="A1727" s="114" t="n">
        <f aca="false">ROW()-4</f>
        <v>1723</v>
      </c>
      <c r="B1727" s="114" t="str">
        <f aca="false">IF(A1727&lt;=Config!$E$27*Config!$E$28,"Tema","Avulso")</f>
        <v>Tema</v>
      </c>
      <c r="C1727" s="114" t="n">
        <f aca="false">IF(B1727="Tema",INT((A1727-1)/Config!$E$28)+1,A1727-Config!$E$27*Config!$E$28)</f>
        <v>288</v>
      </c>
      <c r="D1727" s="114" t="n">
        <f aca="false">IF(B1727="Tema",MOD(A1727-1,Config!$E$28)+1,"")</f>
        <v>1</v>
      </c>
      <c r="E1727" s="115" t="str">
        <f aca="false">IF($B1727="Tema",IF(ISNUMBER(INDEX(Temas!$E$6:$P$305,$C1727,2*$D1727-1)),INDEX(Temas!$E$6:$P$305,$C1727,2*$D1727-1),""),IF(ISNUMBER(INDEX(Avulsos!$B$6:$B$205,$C1727)),INDEX(Avulsos!$B$6:$B$205,$C1727),""))</f>
        <v/>
      </c>
      <c r="F1727" s="114" t="str">
        <f aca="false">IF($E1727="","",IF($B1727="Tema",INDEX(Temas!$B$6:$B$305,$C1727)&amp;"",INDEX(Avulsos!$C$6:$C$205,$C1727)&amp;""))</f>
        <v/>
      </c>
      <c r="G1727" s="114" t="str">
        <f aca="false">IF($E1727="","",IF($B1727="Tema",INDEX(Config!$C$6:$C$11,$D1727),"Evento avulso"))</f>
        <v/>
      </c>
      <c r="H1727" s="114" t="str">
        <f aca="false">IF($E1727="","",IF($B1727="Tema",INDEX(Config!$D$6:$D$11,$D1727),IFERROR(INDEX(Config!$E$15:$E$19,MATCH($I1727,Config!$C$15:$C$19,0)),"•")))</f>
        <v/>
      </c>
      <c r="I1727" s="114" t="str">
        <f aca="false">IF($E1727="","",IF($B1727="Tema",INDEX(Config!$E$6:$E$11,$D1727),IF(INDEX(Avulsos!$D$6:$D$205,$C1727)&amp;""="","Outro",INDEX(Avulsos!$D$6:$D$205,$C1727))))</f>
        <v/>
      </c>
      <c r="J1727" s="114" t="str">
        <f aca="false">IF($E1727="","",IF($B1727="Tema",INDEX(Temas!$C$6:$C$305,$C1727)&amp;"",INDEX(Avulsos!$E$6:$E$205,$C1727)&amp;""))</f>
        <v/>
      </c>
      <c r="K1727" s="114" t="str">
        <f aca="false">IF($E1727="","",IF(IF($B1727="Tema",INDEX(Temas!$E$6:$P$305,$C1727,2*$D1727),INDEX(Avulsos!$F$6:$F$205,$C1727))&amp;""="","","✓"))</f>
        <v/>
      </c>
      <c r="L1727" s="114" t="str">
        <f aca="true">IF($E1727="","",IF($K1727="✓","Concluído",IF($E1727&lt;TODAY(),"Atrasado",IF($E1727=TODAY(),"Hoje","Pendente"))))</f>
        <v/>
      </c>
      <c r="M1727" s="114" t="str">
        <f aca="false">IF($E1727="","",IF($K1727="✓","✓ ","")&amp;IF(Config!$E$22="Sim",$H1727&amp;" · ","")&amp;$F1727)</f>
        <v/>
      </c>
      <c r="N1727" s="114" t="str">
        <f aca="false">IF($E1727="","",IFERROR(INDEX(Config!$D$15:$D$19,MATCH($I1727,Config!$C$15:$C$19,0)),"OUT")&amp;IF($K1727="✓","x",""))</f>
        <v/>
      </c>
      <c r="O1727" s="114" t="str">
        <f aca="false">IF($E1727="","",COUNTIF($E$5:$E1727,$E1727))</f>
        <v/>
      </c>
      <c r="P1727" s="114" t="str">
        <f aca="false">IF($E1727="","",$E1727*100+$O1727)</f>
        <v/>
      </c>
      <c r="Q1727" s="114" t="str">
        <f aca="false">IF($L1727="Atrasado",$E1727*10000+$A1727,"")</f>
        <v/>
      </c>
    </row>
    <row r="1728" customFormat="false" ht="15" hidden="false" customHeight="false" outlineLevel="0" collapsed="false">
      <c r="A1728" s="114" t="n">
        <f aca="false">ROW()-4</f>
        <v>1724</v>
      </c>
      <c r="B1728" s="114" t="str">
        <f aca="false">IF(A1728&lt;=Config!$E$27*Config!$E$28,"Tema","Avulso")</f>
        <v>Tema</v>
      </c>
      <c r="C1728" s="114" t="n">
        <f aca="false">IF(B1728="Tema",INT((A1728-1)/Config!$E$28)+1,A1728-Config!$E$27*Config!$E$28)</f>
        <v>288</v>
      </c>
      <c r="D1728" s="114" t="n">
        <f aca="false">IF(B1728="Tema",MOD(A1728-1,Config!$E$28)+1,"")</f>
        <v>2</v>
      </c>
      <c r="E1728" s="115" t="str">
        <f aca="false">IF($B1728="Tema",IF(ISNUMBER(INDEX(Temas!$E$6:$P$305,$C1728,2*$D1728-1)),INDEX(Temas!$E$6:$P$305,$C1728,2*$D1728-1),""),IF(ISNUMBER(INDEX(Avulsos!$B$6:$B$205,$C1728)),INDEX(Avulsos!$B$6:$B$205,$C1728),""))</f>
        <v/>
      </c>
      <c r="F1728" s="114" t="str">
        <f aca="false">IF($E1728="","",IF($B1728="Tema",INDEX(Temas!$B$6:$B$305,$C1728)&amp;"",INDEX(Avulsos!$C$6:$C$205,$C1728)&amp;""))</f>
        <v/>
      </c>
      <c r="G1728" s="114" t="str">
        <f aca="false">IF($E1728="","",IF($B1728="Tema",INDEX(Config!$C$6:$C$11,$D1728),"Evento avulso"))</f>
        <v/>
      </c>
      <c r="H1728" s="114" t="str">
        <f aca="false">IF($E1728="","",IF($B1728="Tema",INDEX(Config!$D$6:$D$11,$D1728),IFERROR(INDEX(Config!$E$15:$E$19,MATCH($I1728,Config!$C$15:$C$19,0)),"•")))</f>
        <v/>
      </c>
      <c r="I1728" s="114" t="str">
        <f aca="false">IF($E1728="","",IF($B1728="Tema",INDEX(Config!$E$6:$E$11,$D1728),IF(INDEX(Avulsos!$D$6:$D$205,$C1728)&amp;""="","Outro",INDEX(Avulsos!$D$6:$D$205,$C1728))))</f>
        <v/>
      </c>
      <c r="J1728" s="114" t="str">
        <f aca="false">IF($E1728="","",IF($B1728="Tema",INDEX(Temas!$C$6:$C$305,$C1728)&amp;"",INDEX(Avulsos!$E$6:$E$205,$C1728)&amp;""))</f>
        <v/>
      </c>
      <c r="K1728" s="114" t="str">
        <f aca="false">IF($E1728="","",IF(IF($B1728="Tema",INDEX(Temas!$E$6:$P$305,$C1728,2*$D1728),INDEX(Avulsos!$F$6:$F$205,$C1728))&amp;""="","","✓"))</f>
        <v/>
      </c>
      <c r="L1728" s="114" t="str">
        <f aca="true">IF($E1728="","",IF($K1728="✓","Concluído",IF($E1728&lt;TODAY(),"Atrasado",IF($E1728=TODAY(),"Hoje","Pendente"))))</f>
        <v/>
      </c>
      <c r="M1728" s="114" t="str">
        <f aca="false">IF($E1728="","",IF($K1728="✓","✓ ","")&amp;IF(Config!$E$22="Sim",$H1728&amp;" · ","")&amp;$F1728)</f>
        <v/>
      </c>
      <c r="N1728" s="114" t="str">
        <f aca="false">IF($E1728="","",IFERROR(INDEX(Config!$D$15:$D$19,MATCH($I1728,Config!$C$15:$C$19,0)),"OUT")&amp;IF($K1728="✓","x",""))</f>
        <v/>
      </c>
      <c r="O1728" s="114" t="str">
        <f aca="false">IF($E1728="","",COUNTIF($E$5:$E1728,$E1728))</f>
        <v/>
      </c>
      <c r="P1728" s="114" t="str">
        <f aca="false">IF($E1728="","",$E1728*100+$O1728)</f>
        <v/>
      </c>
      <c r="Q1728" s="114" t="str">
        <f aca="false">IF($L1728="Atrasado",$E1728*10000+$A1728,"")</f>
        <v/>
      </c>
    </row>
    <row r="1729" customFormat="false" ht="15" hidden="false" customHeight="false" outlineLevel="0" collapsed="false">
      <c r="A1729" s="114" t="n">
        <f aca="false">ROW()-4</f>
        <v>1725</v>
      </c>
      <c r="B1729" s="114" t="str">
        <f aca="false">IF(A1729&lt;=Config!$E$27*Config!$E$28,"Tema","Avulso")</f>
        <v>Tema</v>
      </c>
      <c r="C1729" s="114" t="n">
        <f aca="false">IF(B1729="Tema",INT((A1729-1)/Config!$E$28)+1,A1729-Config!$E$27*Config!$E$28)</f>
        <v>288</v>
      </c>
      <c r="D1729" s="114" t="n">
        <f aca="false">IF(B1729="Tema",MOD(A1729-1,Config!$E$28)+1,"")</f>
        <v>3</v>
      </c>
      <c r="E1729" s="115" t="str">
        <f aca="false">IF($B1729="Tema",IF(ISNUMBER(INDEX(Temas!$E$6:$P$305,$C1729,2*$D1729-1)),INDEX(Temas!$E$6:$P$305,$C1729,2*$D1729-1),""),IF(ISNUMBER(INDEX(Avulsos!$B$6:$B$205,$C1729)),INDEX(Avulsos!$B$6:$B$205,$C1729),""))</f>
        <v/>
      </c>
      <c r="F1729" s="114" t="str">
        <f aca="false">IF($E1729="","",IF($B1729="Tema",INDEX(Temas!$B$6:$B$305,$C1729)&amp;"",INDEX(Avulsos!$C$6:$C$205,$C1729)&amp;""))</f>
        <v/>
      </c>
      <c r="G1729" s="114" t="str">
        <f aca="false">IF($E1729="","",IF($B1729="Tema",INDEX(Config!$C$6:$C$11,$D1729),"Evento avulso"))</f>
        <v/>
      </c>
      <c r="H1729" s="114" t="str">
        <f aca="false">IF($E1729="","",IF($B1729="Tema",INDEX(Config!$D$6:$D$11,$D1729),IFERROR(INDEX(Config!$E$15:$E$19,MATCH($I1729,Config!$C$15:$C$19,0)),"•")))</f>
        <v/>
      </c>
      <c r="I1729" s="114" t="str">
        <f aca="false">IF($E1729="","",IF($B1729="Tema",INDEX(Config!$E$6:$E$11,$D1729),IF(INDEX(Avulsos!$D$6:$D$205,$C1729)&amp;""="","Outro",INDEX(Avulsos!$D$6:$D$205,$C1729))))</f>
        <v/>
      </c>
      <c r="J1729" s="114" t="str">
        <f aca="false">IF($E1729="","",IF($B1729="Tema",INDEX(Temas!$C$6:$C$305,$C1729)&amp;"",INDEX(Avulsos!$E$6:$E$205,$C1729)&amp;""))</f>
        <v/>
      </c>
      <c r="K1729" s="114" t="str">
        <f aca="false">IF($E1729="","",IF(IF($B1729="Tema",INDEX(Temas!$E$6:$P$305,$C1729,2*$D1729),INDEX(Avulsos!$F$6:$F$205,$C1729))&amp;""="","","✓"))</f>
        <v/>
      </c>
      <c r="L1729" s="114" t="str">
        <f aca="true">IF($E1729="","",IF($K1729="✓","Concluído",IF($E1729&lt;TODAY(),"Atrasado",IF($E1729=TODAY(),"Hoje","Pendente"))))</f>
        <v/>
      </c>
      <c r="M1729" s="114" t="str">
        <f aca="false">IF($E1729="","",IF($K1729="✓","✓ ","")&amp;IF(Config!$E$22="Sim",$H1729&amp;" · ","")&amp;$F1729)</f>
        <v/>
      </c>
      <c r="N1729" s="114" t="str">
        <f aca="false">IF($E1729="","",IFERROR(INDEX(Config!$D$15:$D$19,MATCH($I1729,Config!$C$15:$C$19,0)),"OUT")&amp;IF($K1729="✓","x",""))</f>
        <v/>
      </c>
      <c r="O1729" s="114" t="str">
        <f aca="false">IF($E1729="","",COUNTIF($E$5:$E1729,$E1729))</f>
        <v/>
      </c>
      <c r="P1729" s="114" t="str">
        <f aca="false">IF($E1729="","",$E1729*100+$O1729)</f>
        <v/>
      </c>
      <c r="Q1729" s="114" t="str">
        <f aca="false">IF($L1729="Atrasado",$E1729*10000+$A1729,"")</f>
        <v/>
      </c>
    </row>
    <row r="1730" customFormat="false" ht="15" hidden="false" customHeight="false" outlineLevel="0" collapsed="false">
      <c r="A1730" s="114" t="n">
        <f aca="false">ROW()-4</f>
        <v>1726</v>
      </c>
      <c r="B1730" s="114" t="str">
        <f aca="false">IF(A1730&lt;=Config!$E$27*Config!$E$28,"Tema","Avulso")</f>
        <v>Tema</v>
      </c>
      <c r="C1730" s="114" t="n">
        <f aca="false">IF(B1730="Tema",INT((A1730-1)/Config!$E$28)+1,A1730-Config!$E$27*Config!$E$28)</f>
        <v>288</v>
      </c>
      <c r="D1730" s="114" t="n">
        <f aca="false">IF(B1730="Tema",MOD(A1730-1,Config!$E$28)+1,"")</f>
        <v>4</v>
      </c>
      <c r="E1730" s="115" t="str">
        <f aca="false">IF($B1730="Tema",IF(ISNUMBER(INDEX(Temas!$E$6:$P$305,$C1730,2*$D1730-1)),INDEX(Temas!$E$6:$P$305,$C1730,2*$D1730-1),""),IF(ISNUMBER(INDEX(Avulsos!$B$6:$B$205,$C1730)),INDEX(Avulsos!$B$6:$B$205,$C1730),""))</f>
        <v/>
      </c>
      <c r="F1730" s="114" t="str">
        <f aca="false">IF($E1730="","",IF($B1730="Tema",INDEX(Temas!$B$6:$B$305,$C1730)&amp;"",INDEX(Avulsos!$C$6:$C$205,$C1730)&amp;""))</f>
        <v/>
      </c>
      <c r="G1730" s="114" t="str">
        <f aca="false">IF($E1730="","",IF($B1730="Tema",INDEX(Config!$C$6:$C$11,$D1730),"Evento avulso"))</f>
        <v/>
      </c>
      <c r="H1730" s="114" t="str">
        <f aca="false">IF($E1730="","",IF($B1730="Tema",INDEX(Config!$D$6:$D$11,$D1730),IFERROR(INDEX(Config!$E$15:$E$19,MATCH($I1730,Config!$C$15:$C$19,0)),"•")))</f>
        <v/>
      </c>
      <c r="I1730" s="114" t="str">
        <f aca="false">IF($E1730="","",IF($B1730="Tema",INDEX(Config!$E$6:$E$11,$D1730),IF(INDEX(Avulsos!$D$6:$D$205,$C1730)&amp;""="","Outro",INDEX(Avulsos!$D$6:$D$205,$C1730))))</f>
        <v/>
      </c>
      <c r="J1730" s="114" t="str">
        <f aca="false">IF($E1730="","",IF($B1730="Tema",INDEX(Temas!$C$6:$C$305,$C1730)&amp;"",INDEX(Avulsos!$E$6:$E$205,$C1730)&amp;""))</f>
        <v/>
      </c>
      <c r="K1730" s="114" t="str">
        <f aca="false">IF($E1730="","",IF(IF($B1730="Tema",INDEX(Temas!$E$6:$P$305,$C1730,2*$D1730),INDEX(Avulsos!$F$6:$F$205,$C1730))&amp;""="","","✓"))</f>
        <v/>
      </c>
      <c r="L1730" s="114" t="str">
        <f aca="true">IF($E1730="","",IF($K1730="✓","Concluído",IF($E1730&lt;TODAY(),"Atrasado",IF($E1730=TODAY(),"Hoje","Pendente"))))</f>
        <v/>
      </c>
      <c r="M1730" s="114" t="str">
        <f aca="false">IF($E1730="","",IF($K1730="✓","✓ ","")&amp;IF(Config!$E$22="Sim",$H1730&amp;" · ","")&amp;$F1730)</f>
        <v/>
      </c>
      <c r="N1730" s="114" t="str">
        <f aca="false">IF($E1730="","",IFERROR(INDEX(Config!$D$15:$D$19,MATCH($I1730,Config!$C$15:$C$19,0)),"OUT")&amp;IF($K1730="✓","x",""))</f>
        <v/>
      </c>
      <c r="O1730" s="114" t="str">
        <f aca="false">IF($E1730="","",COUNTIF($E$5:$E1730,$E1730))</f>
        <v/>
      </c>
      <c r="P1730" s="114" t="str">
        <f aca="false">IF($E1730="","",$E1730*100+$O1730)</f>
        <v/>
      </c>
      <c r="Q1730" s="114" t="str">
        <f aca="false">IF($L1730="Atrasado",$E1730*10000+$A1730,"")</f>
        <v/>
      </c>
    </row>
    <row r="1731" customFormat="false" ht="15" hidden="false" customHeight="false" outlineLevel="0" collapsed="false">
      <c r="A1731" s="114" t="n">
        <f aca="false">ROW()-4</f>
        <v>1727</v>
      </c>
      <c r="B1731" s="114" t="str">
        <f aca="false">IF(A1731&lt;=Config!$E$27*Config!$E$28,"Tema","Avulso")</f>
        <v>Tema</v>
      </c>
      <c r="C1731" s="114" t="n">
        <f aca="false">IF(B1731="Tema",INT((A1731-1)/Config!$E$28)+1,A1731-Config!$E$27*Config!$E$28)</f>
        <v>288</v>
      </c>
      <c r="D1731" s="114" t="n">
        <f aca="false">IF(B1731="Tema",MOD(A1731-1,Config!$E$28)+1,"")</f>
        <v>5</v>
      </c>
      <c r="E1731" s="115" t="str">
        <f aca="false">IF($B1731="Tema",IF(ISNUMBER(INDEX(Temas!$E$6:$P$305,$C1731,2*$D1731-1)),INDEX(Temas!$E$6:$P$305,$C1731,2*$D1731-1),""),IF(ISNUMBER(INDEX(Avulsos!$B$6:$B$205,$C1731)),INDEX(Avulsos!$B$6:$B$205,$C1731),""))</f>
        <v/>
      </c>
      <c r="F1731" s="114" t="str">
        <f aca="false">IF($E1731="","",IF($B1731="Tema",INDEX(Temas!$B$6:$B$305,$C1731)&amp;"",INDEX(Avulsos!$C$6:$C$205,$C1731)&amp;""))</f>
        <v/>
      </c>
      <c r="G1731" s="114" t="str">
        <f aca="false">IF($E1731="","",IF($B1731="Tema",INDEX(Config!$C$6:$C$11,$D1731),"Evento avulso"))</f>
        <v/>
      </c>
      <c r="H1731" s="114" t="str">
        <f aca="false">IF($E1731="","",IF($B1731="Tema",INDEX(Config!$D$6:$D$11,$D1731),IFERROR(INDEX(Config!$E$15:$E$19,MATCH($I1731,Config!$C$15:$C$19,0)),"•")))</f>
        <v/>
      </c>
      <c r="I1731" s="114" t="str">
        <f aca="false">IF($E1731="","",IF($B1731="Tema",INDEX(Config!$E$6:$E$11,$D1731),IF(INDEX(Avulsos!$D$6:$D$205,$C1731)&amp;""="","Outro",INDEX(Avulsos!$D$6:$D$205,$C1731))))</f>
        <v/>
      </c>
      <c r="J1731" s="114" t="str">
        <f aca="false">IF($E1731="","",IF($B1731="Tema",INDEX(Temas!$C$6:$C$305,$C1731)&amp;"",INDEX(Avulsos!$E$6:$E$205,$C1731)&amp;""))</f>
        <v/>
      </c>
      <c r="K1731" s="114" t="str">
        <f aca="false">IF($E1731="","",IF(IF($B1731="Tema",INDEX(Temas!$E$6:$P$305,$C1731,2*$D1731),INDEX(Avulsos!$F$6:$F$205,$C1731))&amp;""="","","✓"))</f>
        <v/>
      </c>
      <c r="L1731" s="114" t="str">
        <f aca="true">IF($E1731="","",IF($K1731="✓","Concluído",IF($E1731&lt;TODAY(),"Atrasado",IF($E1731=TODAY(),"Hoje","Pendente"))))</f>
        <v/>
      </c>
      <c r="M1731" s="114" t="str">
        <f aca="false">IF($E1731="","",IF($K1731="✓","✓ ","")&amp;IF(Config!$E$22="Sim",$H1731&amp;" · ","")&amp;$F1731)</f>
        <v/>
      </c>
      <c r="N1731" s="114" t="str">
        <f aca="false">IF($E1731="","",IFERROR(INDEX(Config!$D$15:$D$19,MATCH($I1731,Config!$C$15:$C$19,0)),"OUT")&amp;IF($K1731="✓","x",""))</f>
        <v/>
      </c>
      <c r="O1731" s="114" t="str">
        <f aca="false">IF($E1731="","",COUNTIF($E$5:$E1731,$E1731))</f>
        <v/>
      </c>
      <c r="P1731" s="114" t="str">
        <f aca="false">IF($E1731="","",$E1731*100+$O1731)</f>
        <v/>
      </c>
      <c r="Q1731" s="114" t="str">
        <f aca="false">IF($L1731="Atrasado",$E1731*10000+$A1731,"")</f>
        <v/>
      </c>
    </row>
    <row r="1732" customFormat="false" ht="15" hidden="false" customHeight="false" outlineLevel="0" collapsed="false">
      <c r="A1732" s="114" t="n">
        <f aca="false">ROW()-4</f>
        <v>1728</v>
      </c>
      <c r="B1732" s="114" t="str">
        <f aca="false">IF(A1732&lt;=Config!$E$27*Config!$E$28,"Tema","Avulso")</f>
        <v>Tema</v>
      </c>
      <c r="C1732" s="114" t="n">
        <f aca="false">IF(B1732="Tema",INT((A1732-1)/Config!$E$28)+1,A1732-Config!$E$27*Config!$E$28)</f>
        <v>288</v>
      </c>
      <c r="D1732" s="114" t="n">
        <f aca="false">IF(B1732="Tema",MOD(A1732-1,Config!$E$28)+1,"")</f>
        <v>6</v>
      </c>
      <c r="E1732" s="115" t="str">
        <f aca="false">IF($B1732="Tema",IF(ISNUMBER(INDEX(Temas!$E$6:$P$305,$C1732,2*$D1732-1)),INDEX(Temas!$E$6:$P$305,$C1732,2*$D1732-1),""),IF(ISNUMBER(INDEX(Avulsos!$B$6:$B$205,$C1732)),INDEX(Avulsos!$B$6:$B$205,$C1732),""))</f>
        <v/>
      </c>
      <c r="F1732" s="114" t="str">
        <f aca="false">IF($E1732="","",IF($B1732="Tema",INDEX(Temas!$B$6:$B$305,$C1732)&amp;"",INDEX(Avulsos!$C$6:$C$205,$C1732)&amp;""))</f>
        <v/>
      </c>
      <c r="G1732" s="114" t="str">
        <f aca="false">IF($E1732="","",IF($B1732="Tema",INDEX(Config!$C$6:$C$11,$D1732),"Evento avulso"))</f>
        <v/>
      </c>
      <c r="H1732" s="114" t="str">
        <f aca="false">IF($E1732="","",IF($B1732="Tema",INDEX(Config!$D$6:$D$11,$D1732),IFERROR(INDEX(Config!$E$15:$E$19,MATCH($I1732,Config!$C$15:$C$19,0)),"•")))</f>
        <v/>
      </c>
      <c r="I1732" s="114" t="str">
        <f aca="false">IF($E1732="","",IF($B1732="Tema",INDEX(Config!$E$6:$E$11,$D1732),IF(INDEX(Avulsos!$D$6:$D$205,$C1732)&amp;""="","Outro",INDEX(Avulsos!$D$6:$D$205,$C1732))))</f>
        <v/>
      </c>
      <c r="J1732" s="114" t="str">
        <f aca="false">IF($E1732="","",IF($B1732="Tema",INDEX(Temas!$C$6:$C$305,$C1732)&amp;"",INDEX(Avulsos!$E$6:$E$205,$C1732)&amp;""))</f>
        <v/>
      </c>
      <c r="K1732" s="114" t="str">
        <f aca="false">IF($E1732="","",IF(IF($B1732="Tema",INDEX(Temas!$E$6:$P$305,$C1732,2*$D1732),INDEX(Avulsos!$F$6:$F$205,$C1732))&amp;""="","","✓"))</f>
        <v/>
      </c>
      <c r="L1732" s="114" t="str">
        <f aca="true">IF($E1732="","",IF($K1732="✓","Concluído",IF($E1732&lt;TODAY(),"Atrasado",IF($E1732=TODAY(),"Hoje","Pendente"))))</f>
        <v/>
      </c>
      <c r="M1732" s="114" t="str">
        <f aca="false">IF($E1732="","",IF($K1732="✓","✓ ","")&amp;IF(Config!$E$22="Sim",$H1732&amp;" · ","")&amp;$F1732)</f>
        <v/>
      </c>
      <c r="N1732" s="114" t="str">
        <f aca="false">IF($E1732="","",IFERROR(INDEX(Config!$D$15:$D$19,MATCH($I1732,Config!$C$15:$C$19,0)),"OUT")&amp;IF($K1732="✓","x",""))</f>
        <v/>
      </c>
      <c r="O1732" s="114" t="str">
        <f aca="false">IF($E1732="","",COUNTIF($E$5:$E1732,$E1732))</f>
        <v/>
      </c>
      <c r="P1732" s="114" t="str">
        <f aca="false">IF($E1732="","",$E1732*100+$O1732)</f>
        <v/>
      </c>
      <c r="Q1732" s="114" t="str">
        <f aca="false">IF($L1732="Atrasado",$E1732*10000+$A1732,"")</f>
        <v/>
      </c>
    </row>
    <row r="1733" customFormat="false" ht="15" hidden="false" customHeight="false" outlineLevel="0" collapsed="false">
      <c r="A1733" s="114" t="n">
        <f aca="false">ROW()-4</f>
        <v>1729</v>
      </c>
      <c r="B1733" s="114" t="str">
        <f aca="false">IF(A1733&lt;=Config!$E$27*Config!$E$28,"Tema","Avulso")</f>
        <v>Tema</v>
      </c>
      <c r="C1733" s="114" t="n">
        <f aca="false">IF(B1733="Tema",INT((A1733-1)/Config!$E$28)+1,A1733-Config!$E$27*Config!$E$28)</f>
        <v>289</v>
      </c>
      <c r="D1733" s="114" t="n">
        <f aca="false">IF(B1733="Tema",MOD(A1733-1,Config!$E$28)+1,"")</f>
        <v>1</v>
      </c>
      <c r="E1733" s="115" t="str">
        <f aca="false">IF($B1733="Tema",IF(ISNUMBER(INDEX(Temas!$E$6:$P$305,$C1733,2*$D1733-1)),INDEX(Temas!$E$6:$P$305,$C1733,2*$D1733-1),""),IF(ISNUMBER(INDEX(Avulsos!$B$6:$B$205,$C1733)),INDEX(Avulsos!$B$6:$B$205,$C1733),""))</f>
        <v/>
      </c>
      <c r="F1733" s="114" t="str">
        <f aca="false">IF($E1733="","",IF($B1733="Tema",INDEX(Temas!$B$6:$B$305,$C1733)&amp;"",INDEX(Avulsos!$C$6:$C$205,$C1733)&amp;""))</f>
        <v/>
      </c>
      <c r="G1733" s="114" t="str">
        <f aca="false">IF($E1733="","",IF($B1733="Tema",INDEX(Config!$C$6:$C$11,$D1733),"Evento avulso"))</f>
        <v/>
      </c>
      <c r="H1733" s="114" t="str">
        <f aca="false">IF($E1733="","",IF($B1733="Tema",INDEX(Config!$D$6:$D$11,$D1733),IFERROR(INDEX(Config!$E$15:$E$19,MATCH($I1733,Config!$C$15:$C$19,0)),"•")))</f>
        <v/>
      </c>
      <c r="I1733" s="114" t="str">
        <f aca="false">IF($E1733="","",IF($B1733="Tema",INDEX(Config!$E$6:$E$11,$D1733),IF(INDEX(Avulsos!$D$6:$D$205,$C1733)&amp;""="","Outro",INDEX(Avulsos!$D$6:$D$205,$C1733))))</f>
        <v/>
      </c>
      <c r="J1733" s="114" t="str">
        <f aca="false">IF($E1733="","",IF($B1733="Tema",INDEX(Temas!$C$6:$C$305,$C1733)&amp;"",INDEX(Avulsos!$E$6:$E$205,$C1733)&amp;""))</f>
        <v/>
      </c>
      <c r="K1733" s="114" t="str">
        <f aca="false">IF($E1733="","",IF(IF($B1733="Tema",INDEX(Temas!$E$6:$P$305,$C1733,2*$D1733),INDEX(Avulsos!$F$6:$F$205,$C1733))&amp;""="","","✓"))</f>
        <v/>
      </c>
      <c r="L1733" s="114" t="str">
        <f aca="true">IF($E1733="","",IF($K1733="✓","Concluído",IF($E1733&lt;TODAY(),"Atrasado",IF($E1733=TODAY(),"Hoje","Pendente"))))</f>
        <v/>
      </c>
      <c r="M1733" s="114" t="str">
        <f aca="false">IF($E1733="","",IF($K1733="✓","✓ ","")&amp;IF(Config!$E$22="Sim",$H1733&amp;" · ","")&amp;$F1733)</f>
        <v/>
      </c>
      <c r="N1733" s="114" t="str">
        <f aca="false">IF($E1733="","",IFERROR(INDEX(Config!$D$15:$D$19,MATCH($I1733,Config!$C$15:$C$19,0)),"OUT")&amp;IF($K1733="✓","x",""))</f>
        <v/>
      </c>
      <c r="O1733" s="114" t="str">
        <f aca="false">IF($E1733="","",COUNTIF($E$5:$E1733,$E1733))</f>
        <v/>
      </c>
      <c r="P1733" s="114" t="str">
        <f aca="false">IF($E1733="","",$E1733*100+$O1733)</f>
        <v/>
      </c>
      <c r="Q1733" s="114" t="str">
        <f aca="false">IF($L1733="Atrasado",$E1733*10000+$A1733,"")</f>
        <v/>
      </c>
    </row>
    <row r="1734" customFormat="false" ht="15" hidden="false" customHeight="false" outlineLevel="0" collapsed="false">
      <c r="A1734" s="114" t="n">
        <f aca="false">ROW()-4</f>
        <v>1730</v>
      </c>
      <c r="B1734" s="114" t="str">
        <f aca="false">IF(A1734&lt;=Config!$E$27*Config!$E$28,"Tema","Avulso")</f>
        <v>Tema</v>
      </c>
      <c r="C1734" s="114" t="n">
        <f aca="false">IF(B1734="Tema",INT((A1734-1)/Config!$E$28)+1,A1734-Config!$E$27*Config!$E$28)</f>
        <v>289</v>
      </c>
      <c r="D1734" s="114" t="n">
        <f aca="false">IF(B1734="Tema",MOD(A1734-1,Config!$E$28)+1,"")</f>
        <v>2</v>
      </c>
      <c r="E1734" s="115" t="str">
        <f aca="false">IF($B1734="Tema",IF(ISNUMBER(INDEX(Temas!$E$6:$P$305,$C1734,2*$D1734-1)),INDEX(Temas!$E$6:$P$305,$C1734,2*$D1734-1),""),IF(ISNUMBER(INDEX(Avulsos!$B$6:$B$205,$C1734)),INDEX(Avulsos!$B$6:$B$205,$C1734),""))</f>
        <v/>
      </c>
      <c r="F1734" s="114" t="str">
        <f aca="false">IF($E1734="","",IF($B1734="Tema",INDEX(Temas!$B$6:$B$305,$C1734)&amp;"",INDEX(Avulsos!$C$6:$C$205,$C1734)&amp;""))</f>
        <v/>
      </c>
      <c r="G1734" s="114" t="str">
        <f aca="false">IF($E1734="","",IF($B1734="Tema",INDEX(Config!$C$6:$C$11,$D1734),"Evento avulso"))</f>
        <v/>
      </c>
      <c r="H1734" s="114" t="str">
        <f aca="false">IF($E1734="","",IF($B1734="Tema",INDEX(Config!$D$6:$D$11,$D1734),IFERROR(INDEX(Config!$E$15:$E$19,MATCH($I1734,Config!$C$15:$C$19,0)),"•")))</f>
        <v/>
      </c>
      <c r="I1734" s="114" t="str">
        <f aca="false">IF($E1734="","",IF($B1734="Tema",INDEX(Config!$E$6:$E$11,$D1734),IF(INDEX(Avulsos!$D$6:$D$205,$C1734)&amp;""="","Outro",INDEX(Avulsos!$D$6:$D$205,$C1734))))</f>
        <v/>
      </c>
      <c r="J1734" s="114" t="str">
        <f aca="false">IF($E1734="","",IF($B1734="Tema",INDEX(Temas!$C$6:$C$305,$C1734)&amp;"",INDEX(Avulsos!$E$6:$E$205,$C1734)&amp;""))</f>
        <v/>
      </c>
      <c r="K1734" s="114" t="str">
        <f aca="false">IF($E1734="","",IF(IF($B1734="Tema",INDEX(Temas!$E$6:$P$305,$C1734,2*$D1734),INDEX(Avulsos!$F$6:$F$205,$C1734))&amp;""="","","✓"))</f>
        <v/>
      </c>
      <c r="L1734" s="114" t="str">
        <f aca="true">IF($E1734="","",IF($K1734="✓","Concluído",IF($E1734&lt;TODAY(),"Atrasado",IF($E1734=TODAY(),"Hoje","Pendente"))))</f>
        <v/>
      </c>
      <c r="M1734" s="114" t="str">
        <f aca="false">IF($E1734="","",IF($K1734="✓","✓ ","")&amp;IF(Config!$E$22="Sim",$H1734&amp;" · ","")&amp;$F1734)</f>
        <v/>
      </c>
      <c r="N1734" s="114" t="str">
        <f aca="false">IF($E1734="","",IFERROR(INDEX(Config!$D$15:$D$19,MATCH($I1734,Config!$C$15:$C$19,0)),"OUT")&amp;IF($K1734="✓","x",""))</f>
        <v/>
      </c>
      <c r="O1734" s="114" t="str">
        <f aca="false">IF($E1734="","",COUNTIF($E$5:$E1734,$E1734))</f>
        <v/>
      </c>
      <c r="P1734" s="114" t="str">
        <f aca="false">IF($E1734="","",$E1734*100+$O1734)</f>
        <v/>
      </c>
      <c r="Q1734" s="114" t="str">
        <f aca="false">IF($L1734="Atrasado",$E1734*10000+$A1734,"")</f>
        <v/>
      </c>
    </row>
    <row r="1735" customFormat="false" ht="15" hidden="false" customHeight="false" outlineLevel="0" collapsed="false">
      <c r="A1735" s="114" t="n">
        <f aca="false">ROW()-4</f>
        <v>1731</v>
      </c>
      <c r="B1735" s="114" t="str">
        <f aca="false">IF(A1735&lt;=Config!$E$27*Config!$E$28,"Tema","Avulso")</f>
        <v>Tema</v>
      </c>
      <c r="C1735" s="114" t="n">
        <f aca="false">IF(B1735="Tema",INT((A1735-1)/Config!$E$28)+1,A1735-Config!$E$27*Config!$E$28)</f>
        <v>289</v>
      </c>
      <c r="D1735" s="114" t="n">
        <f aca="false">IF(B1735="Tema",MOD(A1735-1,Config!$E$28)+1,"")</f>
        <v>3</v>
      </c>
      <c r="E1735" s="115" t="str">
        <f aca="false">IF($B1735="Tema",IF(ISNUMBER(INDEX(Temas!$E$6:$P$305,$C1735,2*$D1735-1)),INDEX(Temas!$E$6:$P$305,$C1735,2*$D1735-1),""),IF(ISNUMBER(INDEX(Avulsos!$B$6:$B$205,$C1735)),INDEX(Avulsos!$B$6:$B$205,$C1735),""))</f>
        <v/>
      </c>
      <c r="F1735" s="114" t="str">
        <f aca="false">IF($E1735="","",IF($B1735="Tema",INDEX(Temas!$B$6:$B$305,$C1735)&amp;"",INDEX(Avulsos!$C$6:$C$205,$C1735)&amp;""))</f>
        <v/>
      </c>
      <c r="G1735" s="114" t="str">
        <f aca="false">IF($E1735="","",IF($B1735="Tema",INDEX(Config!$C$6:$C$11,$D1735),"Evento avulso"))</f>
        <v/>
      </c>
      <c r="H1735" s="114" t="str">
        <f aca="false">IF($E1735="","",IF($B1735="Tema",INDEX(Config!$D$6:$D$11,$D1735),IFERROR(INDEX(Config!$E$15:$E$19,MATCH($I1735,Config!$C$15:$C$19,0)),"•")))</f>
        <v/>
      </c>
      <c r="I1735" s="114" t="str">
        <f aca="false">IF($E1735="","",IF($B1735="Tema",INDEX(Config!$E$6:$E$11,$D1735),IF(INDEX(Avulsos!$D$6:$D$205,$C1735)&amp;""="","Outro",INDEX(Avulsos!$D$6:$D$205,$C1735))))</f>
        <v/>
      </c>
      <c r="J1735" s="114" t="str">
        <f aca="false">IF($E1735="","",IF($B1735="Tema",INDEX(Temas!$C$6:$C$305,$C1735)&amp;"",INDEX(Avulsos!$E$6:$E$205,$C1735)&amp;""))</f>
        <v/>
      </c>
      <c r="K1735" s="114" t="str">
        <f aca="false">IF($E1735="","",IF(IF($B1735="Tema",INDEX(Temas!$E$6:$P$305,$C1735,2*$D1735),INDEX(Avulsos!$F$6:$F$205,$C1735))&amp;""="","","✓"))</f>
        <v/>
      </c>
      <c r="L1735" s="114" t="str">
        <f aca="true">IF($E1735="","",IF($K1735="✓","Concluído",IF($E1735&lt;TODAY(),"Atrasado",IF($E1735=TODAY(),"Hoje","Pendente"))))</f>
        <v/>
      </c>
      <c r="M1735" s="114" t="str">
        <f aca="false">IF($E1735="","",IF($K1735="✓","✓ ","")&amp;IF(Config!$E$22="Sim",$H1735&amp;" · ","")&amp;$F1735)</f>
        <v/>
      </c>
      <c r="N1735" s="114" t="str">
        <f aca="false">IF($E1735="","",IFERROR(INDEX(Config!$D$15:$D$19,MATCH($I1735,Config!$C$15:$C$19,0)),"OUT")&amp;IF($K1735="✓","x",""))</f>
        <v/>
      </c>
      <c r="O1735" s="114" t="str">
        <f aca="false">IF($E1735="","",COUNTIF($E$5:$E1735,$E1735))</f>
        <v/>
      </c>
      <c r="P1735" s="114" t="str">
        <f aca="false">IF($E1735="","",$E1735*100+$O1735)</f>
        <v/>
      </c>
      <c r="Q1735" s="114" t="str">
        <f aca="false">IF($L1735="Atrasado",$E1735*10000+$A1735,"")</f>
        <v/>
      </c>
    </row>
    <row r="1736" customFormat="false" ht="15" hidden="false" customHeight="false" outlineLevel="0" collapsed="false">
      <c r="A1736" s="114" t="n">
        <f aca="false">ROW()-4</f>
        <v>1732</v>
      </c>
      <c r="B1736" s="114" t="str">
        <f aca="false">IF(A1736&lt;=Config!$E$27*Config!$E$28,"Tema","Avulso")</f>
        <v>Tema</v>
      </c>
      <c r="C1736" s="114" t="n">
        <f aca="false">IF(B1736="Tema",INT((A1736-1)/Config!$E$28)+1,A1736-Config!$E$27*Config!$E$28)</f>
        <v>289</v>
      </c>
      <c r="D1736" s="114" t="n">
        <f aca="false">IF(B1736="Tema",MOD(A1736-1,Config!$E$28)+1,"")</f>
        <v>4</v>
      </c>
      <c r="E1736" s="115" t="str">
        <f aca="false">IF($B1736="Tema",IF(ISNUMBER(INDEX(Temas!$E$6:$P$305,$C1736,2*$D1736-1)),INDEX(Temas!$E$6:$P$305,$C1736,2*$D1736-1),""),IF(ISNUMBER(INDEX(Avulsos!$B$6:$B$205,$C1736)),INDEX(Avulsos!$B$6:$B$205,$C1736),""))</f>
        <v/>
      </c>
      <c r="F1736" s="114" t="str">
        <f aca="false">IF($E1736="","",IF($B1736="Tema",INDEX(Temas!$B$6:$B$305,$C1736)&amp;"",INDEX(Avulsos!$C$6:$C$205,$C1736)&amp;""))</f>
        <v/>
      </c>
      <c r="G1736" s="114" t="str">
        <f aca="false">IF($E1736="","",IF($B1736="Tema",INDEX(Config!$C$6:$C$11,$D1736),"Evento avulso"))</f>
        <v/>
      </c>
      <c r="H1736" s="114" t="str">
        <f aca="false">IF($E1736="","",IF($B1736="Tema",INDEX(Config!$D$6:$D$11,$D1736),IFERROR(INDEX(Config!$E$15:$E$19,MATCH($I1736,Config!$C$15:$C$19,0)),"•")))</f>
        <v/>
      </c>
      <c r="I1736" s="114" t="str">
        <f aca="false">IF($E1736="","",IF($B1736="Tema",INDEX(Config!$E$6:$E$11,$D1736),IF(INDEX(Avulsos!$D$6:$D$205,$C1736)&amp;""="","Outro",INDEX(Avulsos!$D$6:$D$205,$C1736))))</f>
        <v/>
      </c>
      <c r="J1736" s="114" t="str">
        <f aca="false">IF($E1736="","",IF($B1736="Tema",INDEX(Temas!$C$6:$C$305,$C1736)&amp;"",INDEX(Avulsos!$E$6:$E$205,$C1736)&amp;""))</f>
        <v/>
      </c>
      <c r="K1736" s="114" t="str">
        <f aca="false">IF($E1736="","",IF(IF($B1736="Tema",INDEX(Temas!$E$6:$P$305,$C1736,2*$D1736),INDEX(Avulsos!$F$6:$F$205,$C1736))&amp;""="","","✓"))</f>
        <v/>
      </c>
      <c r="L1736" s="114" t="str">
        <f aca="true">IF($E1736="","",IF($K1736="✓","Concluído",IF($E1736&lt;TODAY(),"Atrasado",IF($E1736=TODAY(),"Hoje","Pendente"))))</f>
        <v/>
      </c>
      <c r="M1736" s="114" t="str">
        <f aca="false">IF($E1736="","",IF($K1736="✓","✓ ","")&amp;IF(Config!$E$22="Sim",$H1736&amp;" · ","")&amp;$F1736)</f>
        <v/>
      </c>
      <c r="N1736" s="114" t="str">
        <f aca="false">IF($E1736="","",IFERROR(INDEX(Config!$D$15:$D$19,MATCH($I1736,Config!$C$15:$C$19,0)),"OUT")&amp;IF($K1736="✓","x",""))</f>
        <v/>
      </c>
      <c r="O1736" s="114" t="str">
        <f aca="false">IF($E1736="","",COUNTIF($E$5:$E1736,$E1736))</f>
        <v/>
      </c>
      <c r="P1736" s="114" t="str">
        <f aca="false">IF($E1736="","",$E1736*100+$O1736)</f>
        <v/>
      </c>
      <c r="Q1736" s="114" t="str">
        <f aca="false">IF($L1736="Atrasado",$E1736*10000+$A1736,"")</f>
        <v/>
      </c>
    </row>
    <row r="1737" customFormat="false" ht="15" hidden="false" customHeight="false" outlineLevel="0" collapsed="false">
      <c r="A1737" s="114" t="n">
        <f aca="false">ROW()-4</f>
        <v>1733</v>
      </c>
      <c r="B1737" s="114" t="str">
        <f aca="false">IF(A1737&lt;=Config!$E$27*Config!$E$28,"Tema","Avulso")</f>
        <v>Tema</v>
      </c>
      <c r="C1737" s="114" t="n">
        <f aca="false">IF(B1737="Tema",INT((A1737-1)/Config!$E$28)+1,A1737-Config!$E$27*Config!$E$28)</f>
        <v>289</v>
      </c>
      <c r="D1737" s="114" t="n">
        <f aca="false">IF(B1737="Tema",MOD(A1737-1,Config!$E$28)+1,"")</f>
        <v>5</v>
      </c>
      <c r="E1737" s="115" t="str">
        <f aca="false">IF($B1737="Tema",IF(ISNUMBER(INDEX(Temas!$E$6:$P$305,$C1737,2*$D1737-1)),INDEX(Temas!$E$6:$P$305,$C1737,2*$D1737-1),""),IF(ISNUMBER(INDEX(Avulsos!$B$6:$B$205,$C1737)),INDEX(Avulsos!$B$6:$B$205,$C1737),""))</f>
        <v/>
      </c>
      <c r="F1737" s="114" t="str">
        <f aca="false">IF($E1737="","",IF($B1737="Tema",INDEX(Temas!$B$6:$B$305,$C1737)&amp;"",INDEX(Avulsos!$C$6:$C$205,$C1737)&amp;""))</f>
        <v/>
      </c>
      <c r="G1737" s="114" t="str">
        <f aca="false">IF($E1737="","",IF($B1737="Tema",INDEX(Config!$C$6:$C$11,$D1737),"Evento avulso"))</f>
        <v/>
      </c>
      <c r="H1737" s="114" t="str">
        <f aca="false">IF($E1737="","",IF($B1737="Tema",INDEX(Config!$D$6:$D$11,$D1737),IFERROR(INDEX(Config!$E$15:$E$19,MATCH($I1737,Config!$C$15:$C$19,0)),"•")))</f>
        <v/>
      </c>
      <c r="I1737" s="114" t="str">
        <f aca="false">IF($E1737="","",IF($B1737="Tema",INDEX(Config!$E$6:$E$11,$D1737),IF(INDEX(Avulsos!$D$6:$D$205,$C1737)&amp;""="","Outro",INDEX(Avulsos!$D$6:$D$205,$C1737))))</f>
        <v/>
      </c>
      <c r="J1737" s="114" t="str">
        <f aca="false">IF($E1737="","",IF($B1737="Tema",INDEX(Temas!$C$6:$C$305,$C1737)&amp;"",INDEX(Avulsos!$E$6:$E$205,$C1737)&amp;""))</f>
        <v/>
      </c>
      <c r="K1737" s="114" t="str">
        <f aca="false">IF($E1737="","",IF(IF($B1737="Tema",INDEX(Temas!$E$6:$P$305,$C1737,2*$D1737),INDEX(Avulsos!$F$6:$F$205,$C1737))&amp;""="","","✓"))</f>
        <v/>
      </c>
      <c r="L1737" s="114" t="str">
        <f aca="true">IF($E1737="","",IF($K1737="✓","Concluído",IF($E1737&lt;TODAY(),"Atrasado",IF($E1737=TODAY(),"Hoje","Pendente"))))</f>
        <v/>
      </c>
      <c r="M1737" s="114" t="str">
        <f aca="false">IF($E1737="","",IF($K1737="✓","✓ ","")&amp;IF(Config!$E$22="Sim",$H1737&amp;" · ","")&amp;$F1737)</f>
        <v/>
      </c>
      <c r="N1737" s="114" t="str">
        <f aca="false">IF($E1737="","",IFERROR(INDEX(Config!$D$15:$D$19,MATCH($I1737,Config!$C$15:$C$19,0)),"OUT")&amp;IF($K1737="✓","x",""))</f>
        <v/>
      </c>
      <c r="O1737" s="114" t="str">
        <f aca="false">IF($E1737="","",COUNTIF($E$5:$E1737,$E1737))</f>
        <v/>
      </c>
      <c r="P1737" s="114" t="str">
        <f aca="false">IF($E1737="","",$E1737*100+$O1737)</f>
        <v/>
      </c>
      <c r="Q1737" s="114" t="str">
        <f aca="false">IF($L1737="Atrasado",$E1737*10000+$A1737,"")</f>
        <v/>
      </c>
    </row>
    <row r="1738" customFormat="false" ht="15" hidden="false" customHeight="false" outlineLevel="0" collapsed="false">
      <c r="A1738" s="114" t="n">
        <f aca="false">ROW()-4</f>
        <v>1734</v>
      </c>
      <c r="B1738" s="114" t="str">
        <f aca="false">IF(A1738&lt;=Config!$E$27*Config!$E$28,"Tema","Avulso")</f>
        <v>Tema</v>
      </c>
      <c r="C1738" s="114" t="n">
        <f aca="false">IF(B1738="Tema",INT((A1738-1)/Config!$E$28)+1,A1738-Config!$E$27*Config!$E$28)</f>
        <v>289</v>
      </c>
      <c r="D1738" s="114" t="n">
        <f aca="false">IF(B1738="Tema",MOD(A1738-1,Config!$E$28)+1,"")</f>
        <v>6</v>
      </c>
      <c r="E1738" s="115" t="str">
        <f aca="false">IF($B1738="Tema",IF(ISNUMBER(INDEX(Temas!$E$6:$P$305,$C1738,2*$D1738-1)),INDEX(Temas!$E$6:$P$305,$C1738,2*$D1738-1),""),IF(ISNUMBER(INDEX(Avulsos!$B$6:$B$205,$C1738)),INDEX(Avulsos!$B$6:$B$205,$C1738),""))</f>
        <v/>
      </c>
      <c r="F1738" s="114" t="str">
        <f aca="false">IF($E1738="","",IF($B1738="Tema",INDEX(Temas!$B$6:$B$305,$C1738)&amp;"",INDEX(Avulsos!$C$6:$C$205,$C1738)&amp;""))</f>
        <v/>
      </c>
      <c r="G1738" s="114" t="str">
        <f aca="false">IF($E1738="","",IF($B1738="Tema",INDEX(Config!$C$6:$C$11,$D1738),"Evento avulso"))</f>
        <v/>
      </c>
      <c r="H1738" s="114" t="str">
        <f aca="false">IF($E1738="","",IF($B1738="Tema",INDEX(Config!$D$6:$D$11,$D1738),IFERROR(INDEX(Config!$E$15:$E$19,MATCH($I1738,Config!$C$15:$C$19,0)),"•")))</f>
        <v/>
      </c>
      <c r="I1738" s="114" t="str">
        <f aca="false">IF($E1738="","",IF($B1738="Tema",INDEX(Config!$E$6:$E$11,$D1738),IF(INDEX(Avulsos!$D$6:$D$205,$C1738)&amp;""="","Outro",INDEX(Avulsos!$D$6:$D$205,$C1738))))</f>
        <v/>
      </c>
      <c r="J1738" s="114" t="str">
        <f aca="false">IF($E1738="","",IF($B1738="Tema",INDEX(Temas!$C$6:$C$305,$C1738)&amp;"",INDEX(Avulsos!$E$6:$E$205,$C1738)&amp;""))</f>
        <v/>
      </c>
      <c r="K1738" s="114" t="str">
        <f aca="false">IF($E1738="","",IF(IF($B1738="Tema",INDEX(Temas!$E$6:$P$305,$C1738,2*$D1738),INDEX(Avulsos!$F$6:$F$205,$C1738))&amp;""="","","✓"))</f>
        <v/>
      </c>
      <c r="L1738" s="114" t="str">
        <f aca="true">IF($E1738="","",IF($K1738="✓","Concluído",IF($E1738&lt;TODAY(),"Atrasado",IF($E1738=TODAY(),"Hoje","Pendente"))))</f>
        <v/>
      </c>
      <c r="M1738" s="114" t="str">
        <f aca="false">IF($E1738="","",IF($K1738="✓","✓ ","")&amp;IF(Config!$E$22="Sim",$H1738&amp;" · ","")&amp;$F1738)</f>
        <v/>
      </c>
      <c r="N1738" s="114" t="str">
        <f aca="false">IF($E1738="","",IFERROR(INDEX(Config!$D$15:$D$19,MATCH($I1738,Config!$C$15:$C$19,0)),"OUT")&amp;IF($K1738="✓","x",""))</f>
        <v/>
      </c>
      <c r="O1738" s="114" t="str">
        <f aca="false">IF($E1738="","",COUNTIF($E$5:$E1738,$E1738))</f>
        <v/>
      </c>
      <c r="P1738" s="114" t="str">
        <f aca="false">IF($E1738="","",$E1738*100+$O1738)</f>
        <v/>
      </c>
      <c r="Q1738" s="114" t="str">
        <f aca="false">IF($L1738="Atrasado",$E1738*10000+$A1738,"")</f>
        <v/>
      </c>
    </row>
    <row r="1739" customFormat="false" ht="15" hidden="false" customHeight="false" outlineLevel="0" collapsed="false">
      <c r="A1739" s="114" t="n">
        <f aca="false">ROW()-4</f>
        <v>1735</v>
      </c>
      <c r="B1739" s="114" t="str">
        <f aca="false">IF(A1739&lt;=Config!$E$27*Config!$E$28,"Tema","Avulso")</f>
        <v>Tema</v>
      </c>
      <c r="C1739" s="114" t="n">
        <f aca="false">IF(B1739="Tema",INT((A1739-1)/Config!$E$28)+1,A1739-Config!$E$27*Config!$E$28)</f>
        <v>290</v>
      </c>
      <c r="D1739" s="114" t="n">
        <f aca="false">IF(B1739="Tema",MOD(A1739-1,Config!$E$28)+1,"")</f>
        <v>1</v>
      </c>
      <c r="E1739" s="115" t="str">
        <f aca="false">IF($B1739="Tema",IF(ISNUMBER(INDEX(Temas!$E$6:$P$305,$C1739,2*$D1739-1)),INDEX(Temas!$E$6:$P$305,$C1739,2*$D1739-1),""),IF(ISNUMBER(INDEX(Avulsos!$B$6:$B$205,$C1739)),INDEX(Avulsos!$B$6:$B$205,$C1739),""))</f>
        <v/>
      </c>
      <c r="F1739" s="114" t="str">
        <f aca="false">IF($E1739="","",IF($B1739="Tema",INDEX(Temas!$B$6:$B$305,$C1739)&amp;"",INDEX(Avulsos!$C$6:$C$205,$C1739)&amp;""))</f>
        <v/>
      </c>
      <c r="G1739" s="114" t="str">
        <f aca="false">IF($E1739="","",IF($B1739="Tema",INDEX(Config!$C$6:$C$11,$D1739),"Evento avulso"))</f>
        <v/>
      </c>
      <c r="H1739" s="114" t="str">
        <f aca="false">IF($E1739="","",IF($B1739="Tema",INDEX(Config!$D$6:$D$11,$D1739),IFERROR(INDEX(Config!$E$15:$E$19,MATCH($I1739,Config!$C$15:$C$19,0)),"•")))</f>
        <v/>
      </c>
      <c r="I1739" s="114" t="str">
        <f aca="false">IF($E1739="","",IF($B1739="Tema",INDEX(Config!$E$6:$E$11,$D1739),IF(INDEX(Avulsos!$D$6:$D$205,$C1739)&amp;""="","Outro",INDEX(Avulsos!$D$6:$D$205,$C1739))))</f>
        <v/>
      </c>
      <c r="J1739" s="114" t="str">
        <f aca="false">IF($E1739="","",IF($B1739="Tema",INDEX(Temas!$C$6:$C$305,$C1739)&amp;"",INDEX(Avulsos!$E$6:$E$205,$C1739)&amp;""))</f>
        <v/>
      </c>
      <c r="K1739" s="114" t="str">
        <f aca="false">IF($E1739="","",IF(IF($B1739="Tema",INDEX(Temas!$E$6:$P$305,$C1739,2*$D1739),INDEX(Avulsos!$F$6:$F$205,$C1739))&amp;""="","","✓"))</f>
        <v/>
      </c>
      <c r="L1739" s="114" t="str">
        <f aca="true">IF($E1739="","",IF($K1739="✓","Concluído",IF($E1739&lt;TODAY(),"Atrasado",IF($E1739=TODAY(),"Hoje","Pendente"))))</f>
        <v/>
      </c>
      <c r="M1739" s="114" t="str">
        <f aca="false">IF($E1739="","",IF($K1739="✓","✓ ","")&amp;IF(Config!$E$22="Sim",$H1739&amp;" · ","")&amp;$F1739)</f>
        <v/>
      </c>
      <c r="N1739" s="114" t="str">
        <f aca="false">IF($E1739="","",IFERROR(INDEX(Config!$D$15:$D$19,MATCH($I1739,Config!$C$15:$C$19,0)),"OUT")&amp;IF($K1739="✓","x",""))</f>
        <v/>
      </c>
      <c r="O1739" s="114" t="str">
        <f aca="false">IF($E1739="","",COUNTIF($E$5:$E1739,$E1739))</f>
        <v/>
      </c>
      <c r="P1739" s="114" t="str">
        <f aca="false">IF($E1739="","",$E1739*100+$O1739)</f>
        <v/>
      </c>
      <c r="Q1739" s="114" t="str">
        <f aca="false">IF($L1739="Atrasado",$E1739*10000+$A1739,"")</f>
        <v/>
      </c>
    </row>
    <row r="1740" customFormat="false" ht="15" hidden="false" customHeight="false" outlineLevel="0" collapsed="false">
      <c r="A1740" s="114" t="n">
        <f aca="false">ROW()-4</f>
        <v>1736</v>
      </c>
      <c r="B1740" s="114" t="str">
        <f aca="false">IF(A1740&lt;=Config!$E$27*Config!$E$28,"Tema","Avulso")</f>
        <v>Tema</v>
      </c>
      <c r="C1740" s="114" t="n">
        <f aca="false">IF(B1740="Tema",INT((A1740-1)/Config!$E$28)+1,A1740-Config!$E$27*Config!$E$28)</f>
        <v>290</v>
      </c>
      <c r="D1740" s="114" t="n">
        <f aca="false">IF(B1740="Tema",MOD(A1740-1,Config!$E$28)+1,"")</f>
        <v>2</v>
      </c>
      <c r="E1740" s="115" t="str">
        <f aca="false">IF($B1740="Tema",IF(ISNUMBER(INDEX(Temas!$E$6:$P$305,$C1740,2*$D1740-1)),INDEX(Temas!$E$6:$P$305,$C1740,2*$D1740-1),""),IF(ISNUMBER(INDEX(Avulsos!$B$6:$B$205,$C1740)),INDEX(Avulsos!$B$6:$B$205,$C1740),""))</f>
        <v/>
      </c>
      <c r="F1740" s="114" t="str">
        <f aca="false">IF($E1740="","",IF($B1740="Tema",INDEX(Temas!$B$6:$B$305,$C1740)&amp;"",INDEX(Avulsos!$C$6:$C$205,$C1740)&amp;""))</f>
        <v/>
      </c>
      <c r="G1740" s="114" t="str">
        <f aca="false">IF($E1740="","",IF($B1740="Tema",INDEX(Config!$C$6:$C$11,$D1740),"Evento avulso"))</f>
        <v/>
      </c>
      <c r="H1740" s="114" t="str">
        <f aca="false">IF($E1740="","",IF($B1740="Tema",INDEX(Config!$D$6:$D$11,$D1740),IFERROR(INDEX(Config!$E$15:$E$19,MATCH($I1740,Config!$C$15:$C$19,0)),"•")))</f>
        <v/>
      </c>
      <c r="I1740" s="114" t="str">
        <f aca="false">IF($E1740="","",IF($B1740="Tema",INDEX(Config!$E$6:$E$11,$D1740),IF(INDEX(Avulsos!$D$6:$D$205,$C1740)&amp;""="","Outro",INDEX(Avulsos!$D$6:$D$205,$C1740))))</f>
        <v/>
      </c>
      <c r="J1740" s="114" t="str">
        <f aca="false">IF($E1740="","",IF($B1740="Tema",INDEX(Temas!$C$6:$C$305,$C1740)&amp;"",INDEX(Avulsos!$E$6:$E$205,$C1740)&amp;""))</f>
        <v/>
      </c>
      <c r="K1740" s="114" t="str">
        <f aca="false">IF($E1740="","",IF(IF($B1740="Tema",INDEX(Temas!$E$6:$P$305,$C1740,2*$D1740),INDEX(Avulsos!$F$6:$F$205,$C1740))&amp;""="","","✓"))</f>
        <v/>
      </c>
      <c r="L1740" s="114" t="str">
        <f aca="true">IF($E1740="","",IF($K1740="✓","Concluído",IF($E1740&lt;TODAY(),"Atrasado",IF($E1740=TODAY(),"Hoje","Pendente"))))</f>
        <v/>
      </c>
      <c r="M1740" s="114" t="str">
        <f aca="false">IF($E1740="","",IF($K1740="✓","✓ ","")&amp;IF(Config!$E$22="Sim",$H1740&amp;" · ","")&amp;$F1740)</f>
        <v/>
      </c>
      <c r="N1740" s="114" t="str">
        <f aca="false">IF($E1740="","",IFERROR(INDEX(Config!$D$15:$D$19,MATCH($I1740,Config!$C$15:$C$19,0)),"OUT")&amp;IF($K1740="✓","x",""))</f>
        <v/>
      </c>
      <c r="O1740" s="114" t="str">
        <f aca="false">IF($E1740="","",COUNTIF($E$5:$E1740,$E1740))</f>
        <v/>
      </c>
      <c r="P1740" s="114" t="str">
        <f aca="false">IF($E1740="","",$E1740*100+$O1740)</f>
        <v/>
      </c>
      <c r="Q1740" s="114" t="str">
        <f aca="false">IF($L1740="Atrasado",$E1740*10000+$A1740,"")</f>
        <v/>
      </c>
    </row>
    <row r="1741" customFormat="false" ht="15" hidden="false" customHeight="false" outlineLevel="0" collapsed="false">
      <c r="A1741" s="114" t="n">
        <f aca="false">ROW()-4</f>
        <v>1737</v>
      </c>
      <c r="B1741" s="114" t="str">
        <f aca="false">IF(A1741&lt;=Config!$E$27*Config!$E$28,"Tema","Avulso")</f>
        <v>Tema</v>
      </c>
      <c r="C1741" s="114" t="n">
        <f aca="false">IF(B1741="Tema",INT((A1741-1)/Config!$E$28)+1,A1741-Config!$E$27*Config!$E$28)</f>
        <v>290</v>
      </c>
      <c r="D1741" s="114" t="n">
        <f aca="false">IF(B1741="Tema",MOD(A1741-1,Config!$E$28)+1,"")</f>
        <v>3</v>
      </c>
      <c r="E1741" s="115" t="str">
        <f aca="false">IF($B1741="Tema",IF(ISNUMBER(INDEX(Temas!$E$6:$P$305,$C1741,2*$D1741-1)),INDEX(Temas!$E$6:$P$305,$C1741,2*$D1741-1),""),IF(ISNUMBER(INDEX(Avulsos!$B$6:$B$205,$C1741)),INDEX(Avulsos!$B$6:$B$205,$C1741),""))</f>
        <v/>
      </c>
      <c r="F1741" s="114" t="str">
        <f aca="false">IF($E1741="","",IF($B1741="Tema",INDEX(Temas!$B$6:$B$305,$C1741)&amp;"",INDEX(Avulsos!$C$6:$C$205,$C1741)&amp;""))</f>
        <v/>
      </c>
      <c r="G1741" s="114" t="str">
        <f aca="false">IF($E1741="","",IF($B1741="Tema",INDEX(Config!$C$6:$C$11,$D1741),"Evento avulso"))</f>
        <v/>
      </c>
      <c r="H1741" s="114" t="str">
        <f aca="false">IF($E1741="","",IF($B1741="Tema",INDEX(Config!$D$6:$D$11,$D1741),IFERROR(INDEX(Config!$E$15:$E$19,MATCH($I1741,Config!$C$15:$C$19,0)),"•")))</f>
        <v/>
      </c>
      <c r="I1741" s="114" t="str">
        <f aca="false">IF($E1741="","",IF($B1741="Tema",INDEX(Config!$E$6:$E$11,$D1741),IF(INDEX(Avulsos!$D$6:$D$205,$C1741)&amp;""="","Outro",INDEX(Avulsos!$D$6:$D$205,$C1741))))</f>
        <v/>
      </c>
      <c r="J1741" s="114" t="str">
        <f aca="false">IF($E1741="","",IF($B1741="Tema",INDEX(Temas!$C$6:$C$305,$C1741)&amp;"",INDEX(Avulsos!$E$6:$E$205,$C1741)&amp;""))</f>
        <v/>
      </c>
      <c r="K1741" s="114" t="str">
        <f aca="false">IF($E1741="","",IF(IF($B1741="Tema",INDEX(Temas!$E$6:$P$305,$C1741,2*$D1741),INDEX(Avulsos!$F$6:$F$205,$C1741))&amp;""="","","✓"))</f>
        <v/>
      </c>
      <c r="L1741" s="114" t="str">
        <f aca="true">IF($E1741="","",IF($K1741="✓","Concluído",IF($E1741&lt;TODAY(),"Atrasado",IF($E1741=TODAY(),"Hoje","Pendente"))))</f>
        <v/>
      </c>
      <c r="M1741" s="114" t="str">
        <f aca="false">IF($E1741="","",IF($K1741="✓","✓ ","")&amp;IF(Config!$E$22="Sim",$H1741&amp;" · ","")&amp;$F1741)</f>
        <v/>
      </c>
      <c r="N1741" s="114" t="str">
        <f aca="false">IF($E1741="","",IFERROR(INDEX(Config!$D$15:$D$19,MATCH($I1741,Config!$C$15:$C$19,0)),"OUT")&amp;IF($K1741="✓","x",""))</f>
        <v/>
      </c>
      <c r="O1741" s="114" t="str">
        <f aca="false">IF($E1741="","",COUNTIF($E$5:$E1741,$E1741))</f>
        <v/>
      </c>
      <c r="P1741" s="114" t="str">
        <f aca="false">IF($E1741="","",$E1741*100+$O1741)</f>
        <v/>
      </c>
      <c r="Q1741" s="114" t="str">
        <f aca="false">IF($L1741="Atrasado",$E1741*10000+$A1741,"")</f>
        <v/>
      </c>
    </row>
    <row r="1742" customFormat="false" ht="15" hidden="false" customHeight="false" outlineLevel="0" collapsed="false">
      <c r="A1742" s="114" t="n">
        <f aca="false">ROW()-4</f>
        <v>1738</v>
      </c>
      <c r="B1742" s="114" t="str">
        <f aca="false">IF(A1742&lt;=Config!$E$27*Config!$E$28,"Tema","Avulso")</f>
        <v>Tema</v>
      </c>
      <c r="C1742" s="114" t="n">
        <f aca="false">IF(B1742="Tema",INT((A1742-1)/Config!$E$28)+1,A1742-Config!$E$27*Config!$E$28)</f>
        <v>290</v>
      </c>
      <c r="D1742" s="114" t="n">
        <f aca="false">IF(B1742="Tema",MOD(A1742-1,Config!$E$28)+1,"")</f>
        <v>4</v>
      </c>
      <c r="E1742" s="115" t="str">
        <f aca="false">IF($B1742="Tema",IF(ISNUMBER(INDEX(Temas!$E$6:$P$305,$C1742,2*$D1742-1)),INDEX(Temas!$E$6:$P$305,$C1742,2*$D1742-1),""),IF(ISNUMBER(INDEX(Avulsos!$B$6:$B$205,$C1742)),INDEX(Avulsos!$B$6:$B$205,$C1742),""))</f>
        <v/>
      </c>
      <c r="F1742" s="114" t="str">
        <f aca="false">IF($E1742="","",IF($B1742="Tema",INDEX(Temas!$B$6:$B$305,$C1742)&amp;"",INDEX(Avulsos!$C$6:$C$205,$C1742)&amp;""))</f>
        <v/>
      </c>
      <c r="G1742" s="114" t="str">
        <f aca="false">IF($E1742="","",IF($B1742="Tema",INDEX(Config!$C$6:$C$11,$D1742),"Evento avulso"))</f>
        <v/>
      </c>
      <c r="H1742" s="114" t="str">
        <f aca="false">IF($E1742="","",IF($B1742="Tema",INDEX(Config!$D$6:$D$11,$D1742),IFERROR(INDEX(Config!$E$15:$E$19,MATCH($I1742,Config!$C$15:$C$19,0)),"•")))</f>
        <v/>
      </c>
      <c r="I1742" s="114" t="str">
        <f aca="false">IF($E1742="","",IF($B1742="Tema",INDEX(Config!$E$6:$E$11,$D1742),IF(INDEX(Avulsos!$D$6:$D$205,$C1742)&amp;""="","Outro",INDEX(Avulsos!$D$6:$D$205,$C1742))))</f>
        <v/>
      </c>
      <c r="J1742" s="114" t="str">
        <f aca="false">IF($E1742="","",IF($B1742="Tema",INDEX(Temas!$C$6:$C$305,$C1742)&amp;"",INDEX(Avulsos!$E$6:$E$205,$C1742)&amp;""))</f>
        <v/>
      </c>
      <c r="K1742" s="114" t="str">
        <f aca="false">IF($E1742="","",IF(IF($B1742="Tema",INDEX(Temas!$E$6:$P$305,$C1742,2*$D1742),INDEX(Avulsos!$F$6:$F$205,$C1742))&amp;""="","","✓"))</f>
        <v/>
      </c>
      <c r="L1742" s="114" t="str">
        <f aca="true">IF($E1742="","",IF($K1742="✓","Concluído",IF($E1742&lt;TODAY(),"Atrasado",IF($E1742=TODAY(),"Hoje","Pendente"))))</f>
        <v/>
      </c>
      <c r="M1742" s="114" t="str">
        <f aca="false">IF($E1742="","",IF($K1742="✓","✓ ","")&amp;IF(Config!$E$22="Sim",$H1742&amp;" · ","")&amp;$F1742)</f>
        <v/>
      </c>
      <c r="N1742" s="114" t="str">
        <f aca="false">IF($E1742="","",IFERROR(INDEX(Config!$D$15:$D$19,MATCH($I1742,Config!$C$15:$C$19,0)),"OUT")&amp;IF($K1742="✓","x",""))</f>
        <v/>
      </c>
      <c r="O1742" s="114" t="str">
        <f aca="false">IF($E1742="","",COUNTIF($E$5:$E1742,$E1742))</f>
        <v/>
      </c>
      <c r="P1742" s="114" t="str">
        <f aca="false">IF($E1742="","",$E1742*100+$O1742)</f>
        <v/>
      </c>
      <c r="Q1742" s="114" t="str">
        <f aca="false">IF($L1742="Atrasado",$E1742*10000+$A1742,"")</f>
        <v/>
      </c>
    </row>
    <row r="1743" customFormat="false" ht="15" hidden="false" customHeight="false" outlineLevel="0" collapsed="false">
      <c r="A1743" s="114" t="n">
        <f aca="false">ROW()-4</f>
        <v>1739</v>
      </c>
      <c r="B1743" s="114" t="str">
        <f aca="false">IF(A1743&lt;=Config!$E$27*Config!$E$28,"Tema","Avulso")</f>
        <v>Tema</v>
      </c>
      <c r="C1743" s="114" t="n">
        <f aca="false">IF(B1743="Tema",INT((A1743-1)/Config!$E$28)+1,A1743-Config!$E$27*Config!$E$28)</f>
        <v>290</v>
      </c>
      <c r="D1743" s="114" t="n">
        <f aca="false">IF(B1743="Tema",MOD(A1743-1,Config!$E$28)+1,"")</f>
        <v>5</v>
      </c>
      <c r="E1743" s="115" t="str">
        <f aca="false">IF($B1743="Tema",IF(ISNUMBER(INDEX(Temas!$E$6:$P$305,$C1743,2*$D1743-1)),INDEX(Temas!$E$6:$P$305,$C1743,2*$D1743-1),""),IF(ISNUMBER(INDEX(Avulsos!$B$6:$B$205,$C1743)),INDEX(Avulsos!$B$6:$B$205,$C1743),""))</f>
        <v/>
      </c>
      <c r="F1743" s="114" t="str">
        <f aca="false">IF($E1743="","",IF($B1743="Tema",INDEX(Temas!$B$6:$B$305,$C1743)&amp;"",INDEX(Avulsos!$C$6:$C$205,$C1743)&amp;""))</f>
        <v/>
      </c>
      <c r="G1743" s="114" t="str">
        <f aca="false">IF($E1743="","",IF($B1743="Tema",INDEX(Config!$C$6:$C$11,$D1743),"Evento avulso"))</f>
        <v/>
      </c>
      <c r="H1743" s="114" t="str">
        <f aca="false">IF($E1743="","",IF($B1743="Tema",INDEX(Config!$D$6:$D$11,$D1743),IFERROR(INDEX(Config!$E$15:$E$19,MATCH($I1743,Config!$C$15:$C$19,0)),"•")))</f>
        <v/>
      </c>
      <c r="I1743" s="114" t="str">
        <f aca="false">IF($E1743="","",IF($B1743="Tema",INDEX(Config!$E$6:$E$11,$D1743),IF(INDEX(Avulsos!$D$6:$D$205,$C1743)&amp;""="","Outro",INDEX(Avulsos!$D$6:$D$205,$C1743))))</f>
        <v/>
      </c>
      <c r="J1743" s="114" t="str">
        <f aca="false">IF($E1743="","",IF($B1743="Tema",INDEX(Temas!$C$6:$C$305,$C1743)&amp;"",INDEX(Avulsos!$E$6:$E$205,$C1743)&amp;""))</f>
        <v/>
      </c>
      <c r="K1743" s="114" t="str">
        <f aca="false">IF($E1743="","",IF(IF($B1743="Tema",INDEX(Temas!$E$6:$P$305,$C1743,2*$D1743),INDEX(Avulsos!$F$6:$F$205,$C1743))&amp;""="","","✓"))</f>
        <v/>
      </c>
      <c r="L1743" s="114" t="str">
        <f aca="true">IF($E1743="","",IF($K1743="✓","Concluído",IF($E1743&lt;TODAY(),"Atrasado",IF($E1743=TODAY(),"Hoje","Pendente"))))</f>
        <v/>
      </c>
      <c r="M1743" s="114" t="str">
        <f aca="false">IF($E1743="","",IF($K1743="✓","✓ ","")&amp;IF(Config!$E$22="Sim",$H1743&amp;" · ","")&amp;$F1743)</f>
        <v/>
      </c>
      <c r="N1743" s="114" t="str">
        <f aca="false">IF($E1743="","",IFERROR(INDEX(Config!$D$15:$D$19,MATCH($I1743,Config!$C$15:$C$19,0)),"OUT")&amp;IF($K1743="✓","x",""))</f>
        <v/>
      </c>
      <c r="O1743" s="114" t="str">
        <f aca="false">IF($E1743="","",COUNTIF($E$5:$E1743,$E1743))</f>
        <v/>
      </c>
      <c r="P1743" s="114" t="str">
        <f aca="false">IF($E1743="","",$E1743*100+$O1743)</f>
        <v/>
      </c>
      <c r="Q1743" s="114" t="str">
        <f aca="false">IF($L1743="Atrasado",$E1743*10000+$A1743,"")</f>
        <v/>
      </c>
    </row>
    <row r="1744" customFormat="false" ht="15" hidden="false" customHeight="false" outlineLevel="0" collapsed="false">
      <c r="A1744" s="114" t="n">
        <f aca="false">ROW()-4</f>
        <v>1740</v>
      </c>
      <c r="B1744" s="114" t="str">
        <f aca="false">IF(A1744&lt;=Config!$E$27*Config!$E$28,"Tema","Avulso")</f>
        <v>Tema</v>
      </c>
      <c r="C1744" s="114" t="n">
        <f aca="false">IF(B1744="Tema",INT((A1744-1)/Config!$E$28)+1,A1744-Config!$E$27*Config!$E$28)</f>
        <v>290</v>
      </c>
      <c r="D1744" s="114" t="n">
        <f aca="false">IF(B1744="Tema",MOD(A1744-1,Config!$E$28)+1,"")</f>
        <v>6</v>
      </c>
      <c r="E1744" s="115" t="str">
        <f aca="false">IF($B1744="Tema",IF(ISNUMBER(INDEX(Temas!$E$6:$P$305,$C1744,2*$D1744-1)),INDEX(Temas!$E$6:$P$305,$C1744,2*$D1744-1),""),IF(ISNUMBER(INDEX(Avulsos!$B$6:$B$205,$C1744)),INDEX(Avulsos!$B$6:$B$205,$C1744),""))</f>
        <v/>
      </c>
      <c r="F1744" s="114" t="str">
        <f aca="false">IF($E1744="","",IF($B1744="Tema",INDEX(Temas!$B$6:$B$305,$C1744)&amp;"",INDEX(Avulsos!$C$6:$C$205,$C1744)&amp;""))</f>
        <v/>
      </c>
      <c r="G1744" s="114" t="str">
        <f aca="false">IF($E1744="","",IF($B1744="Tema",INDEX(Config!$C$6:$C$11,$D1744),"Evento avulso"))</f>
        <v/>
      </c>
      <c r="H1744" s="114" t="str">
        <f aca="false">IF($E1744="","",IF($B1744="Tema",INDEX(Config!$D$6:$D$11,$D1744),IFERROR(INDEX(Config!$E$15:$E$19,MATCH($I1744,Config!$C$15:$C$19,0)),"•")))</f>
        <v/>
      </c>
      <c r="I1744" s="114" t="str">
        <f aca="false">IF($E1744="","",IF($B1744="Tema",INDEX(Config!$E$6:$E$11,$D1744),IF(INDEX(Avulsos!$D$6:$D$205,$C1744)&amp;""="","Outro",INDEX(Avulsos!$D$6:$D$205,$C1744))))</f>
        <v/>
      </c>
      <c r="J1744" s="114" t="str">
        <f aca="false">IF($E1744="","",IF($B1744="Tema",INDEX(Temas!$C$6:$C$305,$C1744)&amp;"",INDEX(Avulsos!$E$6:$E$205,$C1744)&amp;""))</f>
        <v/>
      </c>
      <c r="K1744" s="114" t="str">
        <f aca="false">IF($E1744="","",IF(IF($B1744="Tema",INDEX(Temas!$E$6:$P$305,$C1744,2*$D1744),INDEX(Avulsos!$F$6:$F$205,$C1744))&amp;""="","","✓"))</f>
        <v/>
      </c>
      <c r="L1744" s="114" t="str">
        <f aca="true">IF($E1744="","",IF($K1744="✓","Concluído",IF($E1744&lt;TODAY(),"Atrasado",IF($E1744=TODAY(),"Hoje","Pendente"))))</f>
        <v/>
      </c>
      <c r="M1744" s="114" t="str">
        <f aca="false">IF($E1744="","",IF($K1744="✓","✓ ","")&amp;IF(Config!$E$22="Sim",$H1744&amp;" · ","")&amp;$F1744)</f>
        <v/>
      </c>
      <c r="N1744" s="114" t="str">
        <f aca="false">IF($E1744="","",IFERROR(INDEX(Config!$D$15:$D$19,MATCH($I1744,Config!$C$15:$C$19,0)),"OUT")&amp;IF($K1744="✓","x",""))</f>
        <v/>
      </c>
      <c r="O1744" s="114" t="str">
        <f aca="false">IF($E1744="","",COUNTIF($E$5:$E1744,$E1744))</f>
        <v/>
      </c>
      <c r="P1744" s="114" t="str">
        <f aca="false">IF($E1744="","",$E1744*100+$O1744)</f>
        <v/>
      </c>
      <c r="Q1744" s="114" t="str">
        <f aca="false">IF($L1744="Atrasado",$E1744*10000+$A1744,"")</f>
        <v/>
      </c>
    </row>
    <row r="1745" customFormat="false" ht="15" hidden="false" customHeight="false" outlineLevel="0" collapsed="false">
      <c r="A1745" s="114" t="n">
        <f aca="false">ROW()-4</f>
        <v>1741</v>
      </c>
      <c r="B1745" s="114" t="str">
        <f aca="false">IF(A1745&lt;=Config!$E$27*Config!$E$28,"Tema","Avulso")</f>
        <v>Tema</v>
      </c>
      <c r="C1745" s="114" t="n">
        <f aca="false">IF(B1745="Tema",INT((A1745-1)/Config!$E$28)+1,A1745-Config!$E$27*Config!$E$28)</f>
        <v>291</v>
      </c>
      <c r="D1745" s="114" t="n">
        <f aca="false">IF(B1745="Tema",MOD(A1745-1,Config!$E$28)+1,"")</f>
        <v>1</v>
      </c>
      <c r="E1745" s="115" t="str">
        <f aca="false">IF($B1745="Tema",IF(ISNUMBER(INDEX(Temas!$E$6:$P$305,$C1745,2*$D1745-1)),INDEX(Temas!$E$6:$P$305,$C1745,2*$D1745-1),""),IF(ISNUMBER(INDEX(Avulsos!$B$6:$B$205,$C1745)),INDEX(Avulsos!$B$6:$B$205,$C1745),""))</f>
        <v/>
      </c>
      <c r="F1745" s="114" t="str">
        <f aca="false">IF($E1745="","",IF($B1745="Tema",INDEX(Temas!$B$6:$B$305,$C1745)&amp;"",INDEX(Avulsos!$C$6:$C$205,$C1745)&amp;""))</f>
        <v/>
      </c>
      <c r="G1745" s="114" t="str">
        <f aca="false">IF($E1745="","",IF($B1745="Tema",INDEX(Config!$C$6:$C$11,$D1745),"Evento avulso"))</f>
        <v/>
      </c>
      <c r="H1745" s="114" t="str">
        <f aca="false">IF($E1745="","",IF($B1745="Tema",INDEX(Config!$D$6:$D$11,$D1745),IFERROR(INDEX(Config!$E$15:$E$19,MATCH($I1745,Config!$C$15:$C$19,0)),"•")))</f>
        <v/>
      </c>
      <c r="I1745" s="114" t="str">
        <f aca="false">IF($E1745="","",IF($B1745="Tema",INDEX(Config!$E$6:$E$11,$D1745),IF(INDEX(Avulsos!$D$6:$D$205,$C1745)&amp;""="","Outro",INDEX(Avulsos!$D$6:$D$205,$C1745))))</f>
        <v/>
      </c>
      <c r="J1745" s="114" t="str">
        <f aca="false">IF($E1745="","",IF($B1745="Tema",INDEX(Temas!$C$6:$C$305,$C1745)&amp;"",INDEX(Avulsos!$E$6:$E$205,$C1745)&amp;""))</f>
        <v/>
      </c>
      <c r="K1745" s="114" t="str">
        <f aca="false">IF($E1745="","",IF(IF($B1745="Tema",INDEX(Temas!$E$6:$P$305,$C1745,2*$D1745),INDEX(Avulsos!$F$6:$F$205,$C1745))&amp;""="","","✓"))</f>
        <v/>
      </c>
      <c r="L1745" s="114" t="str">
        <f aca="true">IF($E1745="","",IF($K1745="✓","Concluído",IF($E1745&lt;TODAY(),"Atrasado",IF($E1745=TODAY(),"Hoje","Pendente"))))</f>
        <v/>
      </c>
      <c r="M1745" s="114" t="str">
        <f aca="false">IF($E1745="","",IF($K1745="✓","✓ ","")&amp;IF(Config!$E$22="Sim",$H1745&amp;" · ","")&amp;$F1745)</f>
        <v/>
      </c>
      <c r="N1745" s="114" t="str">
        <f aca="false">IF($E1745="","",IFERROR(INDEX(Config!$D$15:$D$19,MATCH($I1745,Config!$C$15:$C$19,0)),"OUT")&amp;IF($K1745="✓","x",""))</f>
        <v/>
      </c>
      <c r="O1745" s="114" t="str">
        <f aca="false">IF($E1745="","",COUNTIF($E$5:$E1745,$E1745))</f>
        <v/>
      </c>
      <c r="P1745" s="114" t="str">
        <f aca="false">IF($E1745="","",$E1745*100+$O1745)</f>
        <v/>
      </c>
      <c r="Q1745" s="114" t="str">
        <f aca="false">IF($L1745="Atrasado",$E1745*10000+$A1745,"")</f>
        <v/>
      </c>
    </row>
    <row r="1746" customFormat="false" ht="15" hidden="false" customHeight="false" outlineLevel="0" collapsed="false">
      <c r="A1746" s="114" t="n">
        <f aca="false">ROW()-4</f>
        <v>1742</v>
      </c>
      <c r="B1746" s="114" t="str">
        <f aca="false">IF(A1746&lt;=Config!$E$27*Config!$E$28,"Tema","Avulso")</f>
        <v>Tema</v>
      </c>
      <c r="C1746" s="114" t="n">
        <f aca="false">IF(B1746="Tema",INT((A1746-1)/Config!$E$28)+1,A1746-Config!$E$27*Config!$E$28)</f>
        <v>291</v>
      </c>
      <c r="D1746" s="114" t="n">
        <f aca="false">IF(B1746="Tema",MOD(A1746-1,Config!$E$28)+1,"")</f>
        <v>2</v>
      </c>
      <c r="E1746" s="115" t="str">
        <f aca="false">IF($B1746="Tema",IF(ISNUMBER(INDEX(Temas!$E$6:$P$305,$C1746,2*$D1746-1)),INDEX(Temas!$E$6:$P$305,$C1746,2*$D1746-1),""),IF(ISNUMBER(INDEX(Avulsos!$B$6:$B$205,$C1746)),INDEX(Avulsos!$B$6:$B$205,$C1746),""))</f>
        <v/>
      </c>
      <c r="F1746" s="114" t="str">
        <f aca="false">IF($E1746="","",IF($B1746="Tema",INDEX(Temas!$B$6:$B$305,$C1746)&amp;"",INDEX(Avulsos!$C$6:$C$205,$C1746)&amp;""))</f>
        <v/>
      </c>
      <c r="G1746" s="114" t="str">
        <f aca="false">IF($E1746="","",IF($B1746="Tema",INDEX(Config!$C$6:$C$11,$D1746),"Evento avulso"))</f>
        <v/>
      </c>
      <c r="H1746" s="114" t="str">
        <f aca="false">IF($E1746="","",IF($B1746="Tema",INDEX(Config!$D$6:$D$11,$D1746),IFERROR(INDEX(Config!$E$15:$E$19,MATCH($I1746,Config!$C$15:$C$19,0)),"•")))</f>
        <v/>
      </c>
      <c r="I1746" s="114" t="str">
        <f aca="false">IF($E1746="","",IF($B1746="Tema",INDEX(Config!$E$6:$E$11,$D1746),IF(INDEX(Avulsos!$D$6:$D$205,$C1746)&amp;""="","Outro",INDEX(Avulsos!$D$6:$D$205,$C1746))))</f>
        <v/>
      </c>
      <c r="J1746" s="114" t="str">
        <f aca="false">IF($E1746="","",IF($B1746="Tema",INDEX(Temas!$C$6:$C$305,$C1746)&amp;"",INDEX(Avulsos!$E$6:$E$205,$C1746)&amp;""))</f>
        <v/>
      </c>
      <c r="K1746" s="114" t="str">
        <f aca="false">IF($E1746="","",IF(IF($B1746="Tema",INDEX(Temas!$E$6:$P$305,$C1746,2*$D1746),INDEX(Avulsos!$F$6:$F$205,$C1746))&amp;""="","","✓"))</f>
        <v/>
      </c>
      <c r="L1746" s="114" t="str">
        <f aca="true">IF($E1746="","",IF($K1746="✓","Concluído",IF($E1746&lt;TODAY(),"Atrasado",IF($E1746=TODAY(),"Hoje","Pendente"))))</f>
        <v/>
      </c>
      <c r="M1746" s="114" t="str">
        <f aca="false">IF($E1746="","",IF($K1746="✓","✓ ","")&amp;IF(Config!$E$22="Sim",$H1746&amp;" · ","")&amp;$F1746)</f>
        <v/>
      </c>
      <c r="N1746" s="114" t="str">
        <f aca="false">IF($E1746="","",IFERROR(INDEX(Config!$D$15:$D$19,MATCH($I1746,Config!$C$15:$C$19,0)),"OUT")&amp;IF($K1746="✓","x",""))</f>
        <v/>
      </c>
      <c r="O1746" s="114" t="str">
        <f aca="false">IF($E1746="","",COUNTIF($E$5:$E1746,$E1746))</f>
        <v/>
      </c>
      <c r="P1746" s="114" t="str">
        <f aca="false">IF($E1746="","",$E1746*100+$O1746)</f>
        <v/>
      </c>
      <c r="Q1746" s="114" t="str">
        <f aca="false">IF($L1746="Atrasado",$E1746*10000+$A1746,"")</f>
        <v/>
      </c>
    </row>
    <row r="1747" customFormat="false" ht="15" hidden="false" customHeight="false" outlineLevel="0" collapsed="false">
      <c r="A1747" s="114" t="n">
        <f aca="false">ROW()-4</f>
        <v>1743</v>
      </c>
      <c r="B1747" s="114" t="str">
        <f aca="false">IF(A1747&lt;=Config!$E$27*Config!$E$28,"Tema","Avulso")</f>
        <v>Tema</v>
      </c>
      <c r="C1747" s="114" t="n">
        <f aca="false">IF(B1747="Tema",INT((A1747-1)/Config!$E$28)+1,A1747-Config!$E$27*Config!$E$28)</f>
        <v>291</v>
      </c>
      <c r="D1747" s="114" t="n">
        <f aca="false">IF(B1747="Tema",MOD(A1747-1,Config!$E$28)+1,"")</f>
        <v>3</v>
      </c>
      <c r="E1747" s="115" t="str">
        <f aca="false">IF($B1747="Tema",IF(ISNUMBER(INDEX(Temas!$E$6:$P$305,$C1747,2*$D1747-1)),INDEX(Temas!$E$6:$P$305,$C1747,2*$D1747-1),""),IF(ISNUMBER(INDEX(Avulsos!$B$6:$B$205,$C1747)),INDEX(Avulsos!$B$6:$B$205,$C1747),""))</f>
        <v/>
      </c>
      <c r="F1747" s="114" t="str">
        <f aca="false">IF($E1747="","",IF($B1747="Tema",INDEX(Temas!$B$6:$B$305,$C1747)&amp;"",INDEX(Avulsos!$C$6:$C$205,$C1747)&amp;""))</f>
        <v/>
      </c>
      <c r="G1747" s="114" t="str">
        <f aca="false">IF($E1747="","",IF($B1747="Tema",INDEX(Config!$C$6:$C$11,$D1747),"Evento avulso"))</f>
        <v/>
      </c>
      <c r="H1747" s="114" t="str">
        <f aca="false">IF($E1747="","",IF($B1747="Tema",INDEX(Config!$D$6:$D$11,$D1747),IFERROR(INDEX(Config!$E$15:$E$19,MATCH($I1747,Config!$C$15:$C$19,0)),"•")))</f>
        <v/>
      </c>
      <c r="I1747" s="114" t="str">
        <f aca="false">IF($E1747="","",IF($B1747="Tema",INDEX(Config!$E$6:$E$11,$D1747),IF(INDEX(Avulsos!$D$6:$D$205,$C1747)&amp;""="","Outro",INDEX(Avulsos!$D$6:$D$205,$C1747))))</f>
        <v/>
      </c>
      <c r="J1747" s="114" t="str">
        <f aca="false">IF($E1747="","",IF($B1747="Tema",INDEX(Temas!$C$6:$C$305,$C1747)&amp;"",INDEX(Avulsos!$E$6:$E$205,$C1747)&amp;""))</f>
        <v/>
      </c>
      <c r="K1747" s="114" t="str">
        <f aca="false">IF($E1747="","",IF(IF($B1747="Tema",INDEX(Temas!$E$6:$P$305,$C1747,2*$D1747),INDEX(Avulsos!$F$6:$F$205,$C1747))&amp;""="","","✓"))</f>
        <v/>
      </c>
      <c r="L1747" s="114" t="str">
        <f aca="true">IF($E1747="","",IF($K1747="✓","Concluído",IF($E1747&lt;TODAY(),"Atrasado",IF($E1747=TODAY(),"Hoje","Pendente"))))</f>
        <v/>
      </c>
      <c r="M1747" s="114" t="str">
        <f aca="false">IF($E1747="","",IF($K1747="✓","✓ ","")&amp;IF(Config!$E$22="Sim",$H1747&amp;" · ","")&amp;$F1747)</f>
        <v/>
      </c>
      <c r="N1747" s="114" t="str">
        <f aca="false">IF($E1747="","",IFERROR(INDEX(Config!$D$15:$D$19,MATCH($I1747,Config!$C$15:$C$19,0)),"OUT")&amp;IF($K1747="✓","x",""))</f>
        <v/>
      </c>
      <c r="O1747" s="114" t="str">
        <f aca="false">IF($E1747="","",COUNTIF($E$5:$E1747,$E1747))</f>
        <v/>
      </c>
      <c r="P1747" s="114" t="str">
        <f aca="false">IF($E1747="","",$E1747*100+$O1747)</f>
        <v/>
      </c>
      <c r="Q1747" s="114" t="str">
        <f aca="false">IF($L1747="Atrasado",$E1747*10000+$A1747,"")</f>
        <v/>
      </c>
    </row>
    <row r="1748" customFormat="false" ht="15" hidden="false" customHeight="false" outlineLevel="0" collapsed="false">
      <c r="A1748" s="114" t="n">
        <f aca="false">ROW()-4</f>
        <v>1744</v>
      </c>
      <c r="B1748" s="114" t="str">
        <f aca="false">IF(A1748&lt;=Config!$E$27*Config!$E$28,"Tema","Avulso")</f>
        <v>Tema</v>
      </c>
      <c r="C1748" s="114" t="n">
        <f aca="false">IF(B1748="Tema",INT((A1748-1)/Config!$E$28)+1,A1748-Config!$E$27*Config!$E$28)</f>
        <v>291</v>
      </c>
      <c r="D1748" s="114" t="n">
        <f aca="false">IF(B1748="Tema",MOD(A1748-1,Config!$E$28)+1,"")</f>
        <v>4</v>
      </c>
      <c r="E1748" s="115" t="str">
        <f aca="false">IF($B1748="Tema",IF(ISNUMBER(INDEX(Temas!$E$6:$P$305,$C1748,2*$D1748-1)),INDEX(Temas!$E$6:$P$305,$C1748,2*$D1748-1),""),IF(ISNUMBER(INDEX(Avulsos!$B$6:$B$205,$C1748)),INDEX(Avulsos!$B$6:$B$205,$C1748),""))</f>
        <v/>
      </c>
      <c r="F1748" s="114" t="str">
        <f aca="false">IF($E1748="","",IF($B1748="Tema",INDEX(Temas!$B$6:$B$305,$C1748)&amp;"",INDEX(Avulsos!$C$6:$C$205,$C1748)&amp;""))</f>
        <v/>
      </c>
      <c r="G1748" s="114" t="str">
        <f aca="false">IF($E1748="","",IF($B1748="Tema",INDEX(Config!$C$6:$C$11,$D1748),"Evento avulso"))</f>
        <v/>
      </c>
      <c r="H1748" s="114" t="str">
        <f aca="false">IF($E1748="","",IF($B1748="Tema",INDEX(Config!$D$6:$D$11,$D1748),IFERROR(INDEX(Config!$E$15:$E$19,MATCH($I1748,Config!$C$15:$C$19,0)),"•")))</f>
        <v/>
      </c>
      <c r="I1748" s="114" t="str">
        <f aca="false">IF($E1748="","",IF($B1748="Tema",INDEX(Config!$E$6:$E$11,$D1748),IF(INDEX(Avulsos!$D$6:$D$205,$C1748)&amp;""="","Outro",INDEX(Avulsos!$D$6:$D$205,$C1748))))</f>
        <v/>
      </c>
      <c r="J1748" s="114" t="str">
        <f aca="false">IF($E1748="","",IF($B1748="Tema",INDEX(Temas!$C$6:$C$305,$C1748)&amp;"",INDEX(Avulsos!$E$6:$E$205,$C1748)&amp;""))</f>
        <v/>
      </c>
      <c r="K1748" s="114" t="str">
        <f aca="false">IF($E1748="","",IF(IF($B1748="Tema",INDEX(Temas!$E$6:$P$305,$C1748,2*$D1748),INDEX(Avulsos!$F$6:$F$205,$C1748))&amp;""="","","✓"))</f>
        <v/>
      </c>
      <c r="L1748" s="114" t="str">
        <f aca="true">IF($E1748="","",IF($K1748="✓","Concluído",IF($E1748&lt;TODAY(),"Atrasado",IF($E1748=TODAY(),"Hoje","Pendente"))))</f>
        <v/>
      </c>
      <c r="M1748" s="114" t="str">
        <f aca="false">IF($E1748="","",IF($K1748="✓","✓ ","")&amp;IF(Config!$E$22="Sim",$H1748&amp;" · ","")&amp;$F1748)</f>
        <v/>
      </c>
      <c r="N1748" s="114" t="str">
        <f aca="false">IF($E1748="","",IFERROR(INDEX(Config!$D$15:$D$19,MATCH($I1748,Config!$C$15:$C$19,0)),"OUT")&amp;IF($K1748="✓","x",""))</f>
        <v/>
      </c>
      <c r="O1748" s="114" t="str">
        <f aca="false">IF($E1748="","",COUNTIF($E$5:$E1748,$E1748))</f>
        <v/>
      </c>
      <c r="P1748" s="114" t="str">
        <f aca="false">IF($E1748="","",$E1748*100+$O1748)</f>
        <v/>
      </c>
      <c r="Q1748" s="114" t="str">
        <f aca="false">IF($L1748="Atrasado",$E1748*10000+$A1748,"")</f>
        <v/>
      </c>
    </row>
    <row r="1749" customFormat="false" ht="15" hidden="false" customHeight="false" outlineLevel="0" collapsed="false">
      <c r="A1749" s="114" t="n">
        <f aca="false">ROW()-4</f>
        <v>1745</v>
      </c>
      <c r="B1749" s="114" t="str">
        <f aca="false">IF(A1749&lt;=Config!$E$27*Config!$E$28,"Tema","Avulso")</f>
        <v>Tema</v>
      </c>
      <c r="C1749" s="114" t="n">
        <f aca="false">IF(B1749="Tema",INT((A1749-1)/Config!$E$28)+1,A1749-Config!$E$27*Config!$E$28)</f>
        <v>291</v>
      </c>
      <c r="D1749" s="114" t="n">
        <f aca="false">IF(B1749="Tema",MOD(A1749-1,Config!$E$28)+1,"")</f>
        <v>5</v>
      </c>
      <c r="E1749" s="115" t="str">
        <f aca="false">IF($B1749="Tema",IF(ISNUMBER(INDEX(Temas!$E$6:$P$305,$C1749,2*$D1749-1)),INDEX(Temas!$E$6:$P$305,$C1749,2*$D1749-1),""),IF(ISNUMBER(INDEX(Avulsos!$B$6:$B$205,$C1749)),INDEX(Avulsos!$B$6:$B$205,$C1749),""))</f>
        <v/>
      </c>
      <c r="F1749" s="114" t="str">
        <f aca="false">IF($E1749="","",IF($B1749="Tema",INDEX(Temas!$B$6:$B$305,$C1749)&amp;"",INDEX(Avulsos!$C$6:$C$205,$C1749)&amp;""))</f>
        <v/>
      </c>
      <c r="G1749" s="114" t="str">
        <f aca="false">IF($E1749="","",IF($B1749="Tema",INDEX(Config!$C$6:$C$11,$D1749),"Evento avulso"))</f>
        <v/>
      </c>
      <c r="H1749" s="114" t="str">
        <f aca="false">IF($E1749="","",IF($B1749="Tema",INDEX(Config!$D$6:$D$11,$D1749),IFERROR(INDEX(Config!$E$15:$E$19,MATCH($I1749,Config!$C$15:$C$19,0)),"•")))</f>
        <v/>
      </c>
      <c r="I1749" s="114" t="str">
        <f aca="false">IF($E1749="","",IF($B1749="Tema",INDEX(Config!$E$6:$E$11,$D1749),IF(INDEX(Avulsos!$D$6:$D$205,$C1749)&amp;""="","Outro",INDEX(Avulsos!$D$6:$D$205,$C1749))))</f>
        <v/>
      </c>
      <c r="J1749" s="114" t="str">
        <f aca="false">IF($E1749="","",IF($B1749="Tema",INDEX(Temas!$C$6:$C$305,$C1749)&amp;"",INDEX(Avulsos!$E$6:$E$205,$C1749)&amp;""))</f>
        <v/>
      </c>
      <c r="K1749" s="114" t="str">
        <f aca="false">IF($E1749="","",IF(IF($B1749="Tema",INDEX(Temas!$E$6:$P$305,$C1749,2*$D1749),INDEX(Avulsos!$F$6:$F$205,$C1749))&amp;""="","","✓"))</f>
        <v/>
      </c>
      <c r="L1749" s="114" t="str">
        <f aca="true">IF($E1749="","",IF($K1749="✓","Concluído",IF($E1749&lt;TODAY(),"Atrasado",IF($E1749=TODAY(),"Hoje","Pendente"))))</f>
        <v/>
      </c>
      <c r="M1749" s="114" t="str">
        <f aca="false">IF($E1749="","",IF($K1749="✓","✓ ","")&amp;IF(Config!$E$22="Sim",$H1749&amp;" · ","")&amp;$F1749)</f>
        <v/>
      </c>
      <c r="N1749" s="114" t="str">
        <f aca="false">IF($E1749="","",IFERROR(INDEX(Config!$D$15:$D$19,MATCH($I1749,Config!$C$15:$C$19,0)),"OUT")&amp;IF($K1749="✓","x",""))</f>
        <v/>
      </c>
      <c r="O1749" s="114" t="str">
        <f aca="false">IF($E1749="","",COUNTIF($E$5:$E1749,$E1749))</f>
        <v/>
      </c>
      <c r="P1749" s="114" t="str">
        <f aca="false">IF($E1749="","",$E1749*100+$O1749)</f>
        <v/>
      </c>
      <c r="Q1749" s="114" t="str">
        <f aca="false">IF($L1749="Atrasado",$E1749*10000+$A1749,"")</f>
        <v/>
      </c>
    </row>
    <row r="1750" customFormat="false" ht="15" hidden="false" customHeight="false" outlineLevel="0" collapsed="false">
      <c r="A1750" s="114" t="n">
        <f aca="false">ROW()-4</f>
        <v>1746</v>
      </c>
      <c r="B1750" s="114" t="str">
        <f aca="false">IF(A1750&lt;=Config!$E$27*Config!$E$28,"Tema","Avulso")</f>
        <v>Tema</v>
      </c>
      <c r="C1750" s="114" t="n">
        <f aca="false">IF(B1750="Tema",INT((A1750-1)/Config!$E$28)+1,A1750-Config!$E$27*Config!$E$28)</f>
        <v>291</v>
      </c>
      <c r="D1750" s="114" t="n">
        <f aca="false">IF(B1750="Tema",MOD(A1750-1,Config!$E$28)+1,"")</f>
        <v>6</v>
      </c>
      <c r="E1750" s="115" t="str">
        <f aca="false">IF($B1750="Tema",IF(ISNUMBER(INDEX(Temas!$E$6:$P$305,$C1750,2*$D1750-1)),INDEX(Temas!$E$6:$P$305,$C1750,2*$D1750-1),""),IF(ISNUMBER(INDEX(Avulsos!$B$6:$B$205,$C1750)),INDEX(Avulsos!$B$6:$B$205,$C1750),""))</f>
        <v/>
      </c>
      <c r="F1750" s="114" t="str">
        <f aca="false">IF($E1750="","",IF($B1750="Tema",INDEX(Temas!$B$6:$B$305,$C1750)&amp;"",INDEX(Avulsos!$C$6:$C$205,$C1750)&amp;""))</f>
        <v/>
      </c>
      <c r="G1750" s="114" t="str">
        <f aca="false">IF($E1750="","",IF($B1750="Tema",INDEX(Config!$C$6:$C$11,$D1750),"Evento avulso"))</f>
        <v/>
      </c>
      <c r="H1750" s="114" t="str">
        <f aca="false">IF($E1750="","",IF($B1750="Tema",INDEX(Config!$D$6:$D$11,$D1750),IFERROR(INDEX(Config!$E$15:$E$19,MATCH($I1750,Config!$C$15:$C$19,0)),"•")))</f>
        <v/>
      </c>
      <c r="I1750" s="114" t="str">
        <f aca="false">IF($E1750="","",IF($B1750="Tema",INDEX(Config!$E$6:$E$11,$D1750),IF(INDEX(Avulsos!$D$6:$D$205,$C1750)&amp;""="","Outro",INDEX(Avulsos!$D$6:$D$205,$C1750))))</f>
        <v/>
      </c>
      <c r="J1750" s="114" t="str">
        <f aca="false">IF($E1750="","",IF($B1750="Tema",INDEX(Temas!$C$6:$C$305,$C1750)&amp;"",INDEX(Avulsos!$E$6:$E$205,$C1750)&amp;""))</f>
        <v/>
      </c>
      <c r="K1750" s="114" t="str">
        <f aca="false">IF($E1750="","",IF(IF($B1750="Tema",INDEX(Temas!$E$6:$P$305,$C1750,2*$D1750),INDEX(Avulsos!$F$6:$F$205,$C1750))&amp;""="","","✓"))</f>
        <v/>
      </c>
      <c r="L1750" s="114" t="str">
        <f aca="true">IF($E1750="","",IF($K1750="✓","Concluído",IF($E1750&lt;TODAY(),"Atrasado",IF($E1750=TODAY(),"Hoje","Pendente"))))</f>
        <v/>
      </c>
      <c r="M1750" s="114" t="str">
        <f aca="false">IF($E1750="","",IF($K1750="✓","✓ ","")&amp;IF(Config!$E$22="Sim",$H1750&amp;" · ","")&amp;$F1750)</f>
        <v/>
      </c>
      <c r="N1750" s="114" t="str">
        <f aca="false">IF($E1750="","",IFERROR(INDEX(Config!$D$15:$D$19,MATCH($I1750,Config!$C$15:$C$19,0)),"OUT")&amp;IF($K1750="✓","x",""))</f>
        <v/>
      </c>
      <c r="O1750" s="114" t="str">
        <f aca="false">IF($E1750="","",COUNTIF($E$5:$E1750,$E1750))</f>
        <v/>
      </c>
      <c r="P1750" s="114" t="str">
        <f aca="false">IF($E1750="","",$E1750*100+$O1750)</f>
        <v/>
      </c>
      <c r="Q1750" s="114" t="str">
        <f aca="false">IF($L1750="Atrasado",$E1750*10000+$A1750,"")</f>
        <v/>
      </c>
    </row>
    <row r="1751" customFormat="false" ht="15" hidden="false" customHeight="false" outlineLevel="0" collapsed="false">
      <c r="A1751" s="114" t="n">
        <f aca="false">ROW()-4</f>
        <v>1747</v>
      </c>
      <c r="B1751" s="114" t="str">
        <f aca="false">IF(A1751&lt;=Config!$E$27*Config!$E$28,"Tema","Avulso")</f>
        <v>Tema</v>
      </c>
      <c r="C1751" s="114" t="n">
        <f aca="false">IF(B1751="Tema",INT((A1751-1)/Config!$E$28)+1,A1751-Config!$E$27*Config!$E$28)</f>
        <v>292</v>
      </c>
      <c r="D1751" s="114" t="n">
        <f aca="false">IF(B1751="Tema",MOD(A1751-1,Config!$E$28)+1,"")</f>
        <v>1</v>
      </c>
      <c r="E1751" s="115" t="str">
        <f aca="false">IF($B1751="Tema",IF(ISNUMBER(INDEX(Temas!$E$6:$P$305,$C1751,2*$D1751-1)),INDEX(Temas!$E$6:$P$305,$C1751,2*$D1751-1),""),IF(ISNUMBER(INDEX(Avulsos!$B$6:$B$205,$C1751)),INDEX(Avulsos!$B$6:$B$205,$C1751),""))</f>
        <v/>
      </c>
      <c r="F1751" s="114" t="str">
        <f aca="false">IF($E1751="","",IF($B1751="Tema",INDEX(Temas!$B$6:$B$305,$C1751)&amp;"",INDEX(Avulsos!$C$6:$C$205,$C1751)&amp;""))</f>
        <v/>
      </c>
      <c r="G1751" s="114" t="str">
        <f aca="false">IF($E1751="","",IF($B1751="Tema",INDEX(Config!$C$6:$C$11,$D1751),"Evento avulso"))</f>
        <v/>
      </c>
      <c r="H1751" s="114" t="str">
        <f aca="false">IF($E1751="","",IF($B1751="Tema",INDEX(Config!$D$6:$D$11,$D1751),IFERROR(INDEX(Config!$E$15:$E$19,MATCH($I1751,Config!$C$15:$C$19,0)),"•")))</f>
        <v/>
      </c>
      <c r="I1751" s="114" t="str">
        <f aca="false">IF($E1751="","",IF($B1751="Tema",INDEX(Config!$E$6:$E$11,$D1751),IF(INDEX(Avulsos!$D$6:$D$205,$C1751)&amp;""="","Outro",INDEX(Avulsos!$D$6:$D$205,$C1751))))</f>
        <v/>
      </c>
      <c r="J1751" s="114" t="str">
        <f aca="false">IF($E1751="","",IF($B1751="Tema",INDEX(Temas!$C$6:$C$305,$C1751)&amp;"",INDEX(Avulsos!$E$6:$E$205,$C1751)&amp;""))</f>
        <v/>
      </c>
      <c r="K1751" s="114" t="str">
        <f aca="false">IF($E1751="","",IF(IF($B1751="Tema",INDEX(Temas!$E$6:$P$305,$C1751,2*$D1751),INDEX(Avulsos!$F$6:$F$205,$C1751))&amp;""="","","✓"))</f>
        <v/>
      </c>
      <c r="L1751" s="114" t="str">
        <f aca="true">IF($E1751="","",IF($K1751="✓","Concluído",IF($E1751&lt;TODAY(),"Atrasado",IF($E1751=TODAY(),"Hoje","Pendente"))))</f>
        <v/>
      </c>
      <c r="M1751" s="114" t="str">
        <f aca="false">IF($E1751="","",IF($K1751="✓","✓ ","")&amp;IF(Config!$E$22="Sim",$H1751&amp;" · ","")&amp;$F1751)</f>
        <v/>
      </c>
      <c r="N1751" s="114" t="str">
        <f aca="false">IF($E1751="","",IFERROR(INDEX(Config!$D$15:$D$19,MATCH($I1751,Config!$C$15:$C$19,0)),"OUT")&amp;IF($K1751="✓","x",""))</f>
        <v/>
      </c>
      <c r="O1751" s="114" t="str">
        <f aca="false">IF($E1751="","",COUNTIF($E$5:$E1751,$E1751))</f>
        <v/>
      </c>
      <c r="P1751" s="114" t="str">
        <f aca="false">IF($E1751="","",$E1751*100+$O1751)</f>
        <v/>
      </c>
      <c r="Q1751" s="114" t="str">
        <f aca="false">IF($L1751="Atrasado",$E1751*10000+$A1751,"")</f>
        <v/>
      </c>
    </row>
    <row r="1752" customFormat="false" ht="15" hidden="false" customHeight="false" outlineLevel="0" collapsed="false">
      <c r="A1752" s="114" t="n">
        <f aca="false">ROW()-4</f>
        <v>1748</v>
      </c>
      <c r="B1752" s="114" t="str">
        <f aca="false">IF(A1752&lt;=Config!$E$27*Config!$E$28,"Tema","Avulso")</f>
        <v>Tema</v>
      </c>
      <c r="C1752" s="114" t="n">
        <f aca="false">IF(B1752="Tema",INT((A1752-1)/Config!$E$28)+1,A1752-Config!$E$27*Config!$E$28)</f>
        <v>292</v>
      </c>
      <c r="D1752" s="114" t="n">
        <f aca="false">IF(B1752="Tema",MOD(A1752-1,Config!$E$28)+1,"")</f>
        <v>2</v>
      </c>
      <c r="E1752" s="115" t="str">
        <f aca="false">IF($B1752="Tema",IF(ISNUMBER(INDEX(Temas!$E$6:$P$305,$C1752,2*$D1752-1)),INDEX(Temas!$E$6:$P$305,$C1752,2*$D1752-1),""),IF(ISNUMBER(INDEX(Avulsos!$B$6:$B$205,$C1752)),INDEX(Avulsos!$B$6:$B$205,$C1752),""))</f>
        <v/>
      </c>
      <c r="F1752" s="114" t="str">
        <f aca="false">IF($E1752="","",IF($B1752="Tema",INDEX(Temas!$B$6:$B$305,$C1752)&amp;"",INDEX(Avulsos!$C$6:$C$205,$C1752)&amp;""))</f>
        <v/>
      </c>
      <c r="G1752" s="114" t="str">
        <f aca="false">IF($E1752="","",IF($B1752="Tema",INDEX(Config!$C$6:$C$11,$D1752),"Evento avulso"))</f>
        <v/>
      </c>
      <c r="H1752" s="114" t="str">
        <f aca="false">IF($E1752="","",IF($B1752="Tema",INDEX(Config!$D$6:$D$11,$D1752),IFERROR(INDEX(Config!$E$15:$E$19,MATCH($I1752,Config!$C$15:$C$19,0)),"•")))</f>
        <v/>
      </c>
      <c r="I1752" s="114" t="str">
        <f aca="false">IF($E1752="","",IF($B1752="Tema",INDEX(Config!$E$6:$E$11,$D1752),IF(INDEX(Avulsos!$D$6:$D$205,$C1752)&amp;""="","Outro",INDEX(Avulsos!$D$6:$D$205,$C1752))))</f>
        <v/>
      </c>
      <c r="J1752" s="114" t="str">
        <f aca="false">IF($E1752="","",IF($B1752="Tema",INDEX(Temas!$C$6:$C$305,$C1752)&amp;"",INDEX(Avulsos!$E$6:$E$205,$C1752)&amp;""))</f>
        <v/>
      </c>
      <c r="K1752" s="114" t="str">
        <f aca="false">IF($E1752="","",IF(IF($B1752="Tema",INDEX(Temas!$E$6:$P$305,$C1752,2*$D1752),INDEX(Avulsos!$F$6:$F$205,$C1752))&amp;""="","","✓"))</f>
        <v/>
      </c>
      <c r="L1752" s="114" t="str">
        <f aca="true">IF($E1752="","",IF($K1752="✓","Concluído",IF($E1752&lt;TODAY(),"Atrasado",IF($E1752=TODAY(),"Hoje","Pendente"))))</f>
        <v/>
      </c>
      <c r="M1752" s="114" t="str">
        <f aca="false">IF($E1752="","",IF($K1752="✓","✓ ","")&amp;IF(Config!$E$22="Sim",$H1752&amp;" · ","")&amp;$F1752)</f>
        <v/>
      </c>
      <c r="N1752" s="114" t="str">
        <f aca="false">IF($E1752="","",IFERROR(INDEX(Config!$D$15:$D$19,MATCH($I1752,Config!$C$15:$C$19,0)),"OUT")&amp;IF($K1752="✓","x",""))</f>
        <v/>
      </c>
      <c r="O1752" s="114" t="str">
        <f aca="false">IF($E1752="","",COUNTIF($E$5:$E1752,$E1752))</f>
        <v/>
      </c>
      <c r="P1752" s="114" t="str">
        <f aca="false">IF($E1752="","",$E1752*100+$O1752)</f>
        <v/>
      </c>
      <c r="Q1752" s="114" t="str">
        <f aca="false">IF($L1752="Atrasado",$E1752*10000+$A1752,"")</f>
        <v/>
      </c>
    </row>
    <row r="1753" customFormat="false" ht="15" hidden="false" customHeight="false" outlineLevel="0" collapsed="false">
      <c r="A1753" s="114" t="n">
        <f aca="false">ROW()-4</f>
        <v>1749</v>
      </c>
      <c r="B1753" s="114" t="str">
        <f aca="false">IF(A1753&lt;=Config!$E$27*Config!$E$28,"Tema","Avulso")</f>
        <v>Tema</v>
      </c>
      <c r="C1753" s="114" t="n">
        <f aca="false">IF(B1753="Tema",INT((A1753-1)/Config!$E$28)+1,A1753-Config!$E$27*Config!$E$28)</f>
        <v>292</v>
      </c>
      <c r="D1753" s="114" t="n">
        <f aca="false">IF(B1753="Tema",MOD(A1753-1,Config!$E$28)+1,"")</f>
        <v>3</v>
      </c>
      <c r="E1753" s="115" t="str">
        <f aca="false">IF($B1753="Tema",IF(ISNUMBER(INDEX(Temas!$E$6:$P$305,$C1753,2*$D1753-1)),INDEX(Temas!$E$6:$P$305,$C1753,2*$D1753-1),""),IF(ISNUMBER(INDEX(Avulsos!$B$6:$B$205,$C1753)),INDEX(Avulsos!$B$6:$B$205,$C1753),""))</f>
        <v/>
      </c>
      <c r="F1753" s="114" t="str">
        <f aca="false">IF($E1753="","",IF($B1753="Tema",INDEX(Temas!$B$6:$B$305,$C1753)&amp;"",INDEX(Avulsos!$C$6:$C$205,$C1753)&amp;""))</f>
        <v/>
      </c>
      <c r="G1753" s="114" t="str">
        <f aca="false">IF($E1753="","",IF($B1753="Tema",INDEX(Config!$C$6:$C$11,$D1753),"Evento avulso"))</f>
        <v/>
      </c>
      <c r="H1753" s="114" t="str">
        <f aca="false">IF($E1753="","",IF($B1753="Tema",INDEX(Config!$D$6:$D$11,$D1753),IFERROR(INDEX(Config!$E$15:$E$19,MATCH($I1753,Config!$C$15:$C$19,0)),"•")))</f>
        <v/>
      </c>
      <c r="I1753" s="114" t="str">
        <f aca="false">IF($E1753="","",IF($B1753="Tema",INDEX(Config!$E$6:$E$11,$D1753),IF(INDEX(Avulsos!$D$6:$D$205,$C1753)&amp;""="","Outro",INDEX(Avulsos!$D$6:$D$205,$C1753))))</f>
        <v/>
      </c>
      <c r="J1753" s="114" t="str">
        <f aca="false">IF($E1753="","",IF($B1753="Tema",INDEX(Temas!$C$6:$C$305,$C1753)&amp;"",INDEX(Avulsos!$E$6:$E$205,$C1753)&amp;""))</f>
        <v/>
      </c>
      <c r="K1753" s="114" t="str">
        <f aca="false">IF($E1753="","",IF(IF($B1753="Tema",INDEX(Temas!$E$6:$P$305,$C1753,2*$D1753),INDEX(Avulsos!$F$6:$F$205,$C1753))&amp;""="","","✓"))</f>
        <v/>
      </c>
      <c r="L1753" s="114" t="str">
        <f aca="true">IF($E1753="","",IF($K1753="✓","Concluído",IF($E1753&lt;TODAY(),"Atrasado",IF($E1753=TODAY(),"Hoje","Pendente"))))</f>
        <v/>
      </c>
      <c r="M1753" s="114" t="str">
        <f aca="false">IF($E1753="","",IF($K1753="✓","✓ ","")&amp;IF(Config!$E$22="Sim",$H1753&amp;" · ","")&amp;$F1753)</f>
        <v/>
      </c>
      <c r="N1753" s="114" t="str">
        <f aca="false">IF($E1753="","",IFERROR(INDEX(Config!$D$15:$D$19,MATCH($I1753,Config!$C$15:$C$19,0)),"OUT")&amp;IF($K1753="✓","x",""))</f>
        <v/>
      </c>
      <c r="O1753" s="114" t="str">
        <f aca="false">IF($E1753="","",COUNTIF($E$5:$E1753,$E1753))</f>
        <v/>
      </c>
      <c r="P1753" s="114" t="str">
        <f aca="false">IF($E1753="","",$E1753*100+$O1753)</f>
        <v/>
      </c>
      <c r="Q1753" s="114" t="str">
        <f aca="false">IF($L1753="Atrasado",$E1753*10000+$A1753,"")</f>
        <v/>
      </c>
    </row>
    <row r="1754" customFormat="false" ht="15" hidden="false" customHeight="false" outlineLevel="0" collapsed="false">
      <c r="A1754" s="114" t="n">
        <f aca="false">ROW()-4</f>
        <v>1750</v>
      </c>
      <c r="B1754" s="114" t="str">
        <f aca="false">IF(A1754&lt;=Config!$E$27*Config!$E$28,"Tema","Avulso")</f>
        <v>Tema</v>
      </c>
      <c r="C1754" s="114" t="n">
        <f aca="false">IF(B1754="Tema",INT((A1754-1)/Config!$E$28)+1,A1754-Config!$E$27*Config!$E$28)</f>
        <v>292</v>
      </c>
      <c r="D1754" s="114" t="n">
        <f aca="false">IF(B1754="Tema",MOD(A1754-1,Config!$E$28)+1,"")</f>
        <v>4</v>
      </c>
      <c r="E1754" s="115" t="str">
        <f aca="false">IF($B1754="Tema",IF(ISNUMBER(INDEX(Temas!$E$6:$P$305,$C1754,2*$D1754-1)),INDEX(Temas!$E$6:$P$305,$C1754,2*$D1754-1),""),IF(ISNUMBER(INDEX(Avulsos!$B$6:$B$205,$C1754)),INDEX(Avulsos!$B$6:$B$205,$C1754),""))</f>
        <v/>
      </c>
      <c r="F1754" s="114" t="str">
        <f aca="false">IF($E1754="","",IF($B1754="Tema",INDEX(Temas!$B$6:$B$305,$C1754)&amp;"",INDEX(Avulsos!$C$6:$C$205,$C1754)&amp;""))</f>
        <v/>
      </c>
      <c r="G1754" s="114" t="str">
        <f aca="false">IF($E1754="","",IF($B1754="Tema",INDEX(Config!$C$6:$C$11,$D1754),"Evento avulso"))</f>
        <v/>
      </c>
      <c r="H1754" s="114" t="str">
        <f aca="false">IF($E1754="","",IF($B1754="Tema",INDEX(Config!$D$6:$D$11,$D1754),IFERROR(INDEX(Config!$E$15:$E$19,MATCH($I1754,Config!$C$15:$C$19,0)),"•")))</f>
        <v/>
      </c>
      <c r="I1754" s="114" t="str">
        <f aca="false">IF($E1754="","",IF($B1754="Tema",INDEX(Config!$E$6:$E$11,$D1754),IF(INDEX(Avulsos!$D$6:$D$205,$C1754)&amp;""="","Outro",INDEX(Avulsos!$D$6:$D$205,$C1754))))</f>
        <v/>
      </c>
      <c r="J1754" s="114" t="str">
        <f aca="false">IF($E1754="","",IF($B1754="Tema",INDEX(Temas!$C$6:$C$305,$C1754)&amp;"",INDEX(Avulsos!$E$6:$E$205,$C1754)&amp;""))</f>
        <v/>
      </c>
      <c r="K1754" s="114" t="str">
        <f aca="false">IF($E1754="","",IF(IF($B1754="Tema",INDEX(Temas!$E$6:$P$305,$C1754,2*$D1754),INDEX(Avulsos!$F$6:$F$205,$C1754))&amp;""="","","✓"))</f>
        <v/>
      </c>
      <c r="L1754" s="114" t="str">
        <f aca="true">IF($E1754="","",IF($K1754="✓","Concluído",IF($E1754&lt;TODAY(),"Atrasado",IF($E1754=TODAY(),"Hoje","Pendente"))))</f>
        <v/>
      </c>
      <c r="M1754" s="114" t="str">
        <f aca="false">IF($E1754="","",IF($K1754="✓","✓ ","")&amp;IF(Config!$E$22="Sim",$H1754&amp;" · ","")&amp;$F1754)</f>
        <v/>
      </c>
      <c r="N1754" s="114" t="str">
        <f aca="false">IF($E1754="","",IFERROR(INDEX(Config!$D$15:$D$19,MATCH($I1754,Config!$C$15:$C$19,0)),"OUT")&amp;IF($K1754="✓","x",""))</f>
        <v/>
      </c>
      <c r="O1754" s="114" t="str">
        <f aca="false">IF($E1754="","",COUNTIF($E$5:$E1754,$E1754))</f>
        <v/>
      </c>
      <c r="P1754" s="114" t="str">
        <f aca="false">IF($E1754="","",$E1754*100+$O1754)</f>
        <v/>
      </c>
      <c r="Q1754" s="114" t="str">
        <f aca="false">IF($L1754="Atrasado",$E1754*10000+$A1754,"")</f>
        <v/>
      </c>
    </row>
    <row r="1755" customFormat="false" ht="15" hidden="false" customHeight="false" outlineLevel="0" collapsed="false">
      <c r="A1755" s="114" t="n">
        <f aca="false">ROW()-4</f>
        <v>1751</v>
      </c>
      <c r="B1755" s="114" t="str">
        <f aca="false">IF(A1755&lt;=Config!$E$27*Config!$E$28,"Tema","Avulso")</f>
        <v>Tema</v>
      </c>
      <c r="C1755" s="114" t="n">
        <f aca="false">IF(B1755="Tema",INT((A1755-1)/Config!$E$28)+1,A1755-Config!$E$27*Config!$E$28)</f>
        <v>292</v>
      </c>
      <c r="D1755" s="114" t="n">
        <f aca="false">IF(B1755="Tema",MOD(A1755-1,Config!$E$28)+1,"")</f>
        <v>5</v>
      </c>
      <c r="E1755" s="115" t="str">
        <f aca="false">IF($B1755="Tema",IF(ISNUMBER(INDEX(Temas!$E$6:$P$305,$C1755,2*$D1755-1)),INDEX(Temas!$E$6:$P$305,$C1755,2*$D1755-1),""),IF(ISNUMBER(INDEX(Avulsos!$B$6:$B$205,$C1755)),INDEX(Avulsos!$B$6:$B$205,$C1755),""))</f>
        <v/>
      </c>
      <c r="F1755" s="114" t="str">
        <f aca="false">IF($E1755="","",IF($B1755="Tema",INDEX(Temas!$B$6:$B$305,$C1755)&amp;"",INDEX(Avulsos!$C$6:$C$205,$C1755)&amp;""))</f>
        <v/>
      </c>
      <c r="G1755" s="114" t="str">
        <f aca="false">IF($E1755="","",IF($B1755="Tema",INDEX(Config!$C$6:$C$11,$D1755),"Evento avulso"))</f>
        <v/>
      </c>
      <c r="H1755" s="114" t="str">
        <f aca="false">IF($E1755="","",IF($B1755="Tema",INDEX(Config!$D$6:$D$11,$D1755),IFERROR(INDEX(Config!$E$15:$E$19,MATCH($I1755,Config!$C$15:$C$19,0)),"•")))</f>
        <v/>
      </c>
      <c r="I1755" s="114" t="str">
        <f aca="false">IF($E1755="","",IF($B1755="Tema",INDEX(Config!$E$6:$E$11,$D1755),IF(INDEX(Avulsos!$D$6:$D$205,$C1755)&amp;""="","Outro",INDEX(Avulsos!$D$6:$D$205,$C1755))))</f>
        <v/>
      </c>
      <c r="J1755" s="114" t="str">
        <f aca="false">IF($E1755="","",IF($B1755="Tema",INDEX(Temas!$C$6:$C$305,$C1755)&amp;"",INDEX(Avulsos!$E$6:$E$205,$C1755)&amp;""))</f>
        <v/>
      </c>
      <c r="K1755" s="114" t="str">
        <f aca="false">IF($E1755="","",IF(IF($B1755="Tema",INDEX(Temas!$E$6:$P$305,$C1755,2*$D1755),INDEX(Avulsos!$F$6:$F$205,$C1755))&amp;""="","","✓"))</f>
        <v/>
      </c>
      <c r="L1755" s="114" t="str">
        <f aca="true">IF($E1755="","",IF($K1755="✓","Concluído",IF($E1755&lt;TODAY(),"Atrasado",IF($E1755=TODAY(),"Hoje","Pendente"))))</f>
        <v/>
      </c>
      <c r="M1755" s="114" t="str">
        <f aca="false">IF($E1755="","",IF($K1755="✓","✓ ","")&amp;IF(Config!$E$22="Sim",$H1755&amp;" · ","")&amp;$F1755)</f>
        <v/>
      </c>
      <c r="N1755" s="114" t="str">
        <f aca="false">IF($E1755="","",IFERROR(INDEX(Config!$D$15:$D$19,MATCH($I1755,Config!$C$15:$C$19,0)),"OUT")&amp;IF($K1755="✓","x",""))</f>
        <v/>
      </c>
      <c r="O1755" s="114" t="str">
        <f aca="false">IF($E1755="","",COUNTIF($E$5:$E1755,$E1755))</f>
        <v/>
      </c>
      <c r="P1755" s="114" t="str">
        <f aca="false">IF($E1755="","",$E1755*100+$O1755)</f>
        <v/>
      </c>
      <c r="Q1755" s="114" t="str">
        <f aca="false">IF($L1755="Atrasado",$E1755*10000+$A1755,"")</f>
        <v/>
      </c>
    </row>
    <row r="1756" customFormat="false" ht="15" hidden="false" customHeight="false" outlineLevel="0" collapsed="false">
      <c r="A1756" s="114" t="n">
        <f aca="false">ROW()-4</f>
        <v>1752</v>
      </c>
      <c r="B1756" s="114" t="str">
        <f aca="false">IF(A1756&lt;=Config!$E$27*Config!$E$28,"Tema","Avulso")</f>
        <v>Tema</v>
      </c>
      <c r="C1756" s="114" t="n">
        <f aca="false">IF(B1756="Tema",INT((A1756-1)/Config!$E$28)+1,A1756-Config!$E$27*Config!$E$28)</f>
        <v>292</v>
      </c>
      <c r="D1756" s="114" t="n">
        <f aca="false">IF(B1756="Tema",MOD(A1756-1,Config!$E$28)+1,"")</f>
        <v>6</v>
      </c>
      <c r="E1756" s="115" t="str">
        <f aca="false">IF($B1756="Tema",IF(ISNUMBER(INDEX(Temas!$E$6:$P$305,$C1756,2*$D1756-1)),INDEX(Temas!$E$6:$P$305,$C1756,2*$D1756-1),""),IF(ISNUMBER(INDEX(Avulsos!$B$6:$B$205,$C1756)),INDEX(Avulsos!$B$6:$B$205,$C1756),""))</f>
        <v/>
      </c>
      <c r="F1756" s="114" t="str">
        <f aca="false">IF($E1756="","",IF($B1756="Tema",INDEX(Temas!$B$6:$B$305,$C1756)&amp;"",INDEX(Avulsos!$C$6:$C$205,$C1756)&amp;""))</f>
        <v/>
      </c>
      <c r="G1756" s="114" t="str">
        <f aca="false">IF($E1756="","",IF($B1756="Tema",INDEX(Config!$C$6:$C$11,$D1756),"Evento avulso"))</f>
        <v/>
      </c>
      <c r="H1756" s="114" t="str">
        <f aca="false">IF($E1756="","",IF($B1756="Tema",INDEX(Config!$D$6:$D$11,$D1756),IFERROR(INDEX(Config!$E$15:$E$19,MATCH($I1756,Config!$C$15:$C$19,0)),"•")))</f>
        <v/>
      </c>
      <c r="I1756" s="114" t="str">
        <f aca="false">IF($E1756="","",IF($B1756="Tema",INDEX(Config!$E$6:$E$11,$D1756),IF(INDEX(Avulsos!$D$6:$D$205,$C1756)&amp;""="","Outro",INDEX(Avulsos!$D$6:$D$205,$C1756))))</f>
        <v/>
      </c>
      <c r="J1756" s="114" t="str">
        <f aca="false">IF($E1756="","",IF($B1756="Tema",INDEX(Temas!$C$6:$C$305,$C1756)&amp;"",INDEX(Avulsos!$E$6:$E$205,$C1756)&amp;""))</f>
        <v/>
      </c>
      <c r="K1756" s="114" t="str">
        <f aca="false">IF($E1756="","",IF(IF($B1756="Tema",INDEX(Temas!$E$6:$P$305,$C1756,2*$D1756),INDEX(Avulsos!$F$6:$F$205,$C1756))&amp;""="","","✓"))</f>
        <v/>
      </c>
      <c r="L1756" s="114" t="str">
        <f aca="true">IF($E1756="","",IF($K1756="✓","Concluído",IF($E1756&lt;TODAY(),"Atrasado",IF($E1756=TODAY(),"Hoje","Pendente"))))</f>
        <v/>
      </c>
      <c r="M1756" s="114" t="str">
        <f aca="false">IF($E1756="","",IF($K1756="✓","✓ ","")&amp;IF(Config!$E$22="Sim",$H1756&amp;" · ","")&amp;$F1756)</f>
        <v/>
      </c>
      <c r="N1756" s="114" t="str">
        <f aca="false">IF($E1756="","",IFERROR(INDEX(Config!$D$15:$D$19,MATCH($I1756,Config!$C$15:$C$19,0)),"OUT")&amp;IF($K1756="✓","x",""))</f>
        <v/>
      </c>
      <c r="O1756" s="114" t="str">
        <f aca="false">IF($E1756="","",COUNTIF($E$5:$E1756,$E1756))</f>
        <v/>
      </c>
      <c r="P1756" s="114" t="str">
        <f aca="false">IF($E1756="","",$E1756*100+$O1756)</f>
        <v/>
      </c>
      <c r="Q1756" s="114" t="str">
        <f aca="false">IF($L1756="Atrasado",$E1756*10000+$A1756,"")</f>
        <v/>
      </c>
    </row>
    <row r="1757" customFormat="false" ht="15" hidden="false" customHeight="false" outlineLevel="0" collapsed="false">
      <c r="A1757" s="114" t="n">
        <f aca="false">ROW()-4</f>
        <v>1753</v>
      </c>
      <c r="B1757" s="114" t="str">
        <f aca="false">IF(A1757&lt;=Config!$E$27*Config!$E$28,"Tema","Avulso")</f>
        <v>Tema</v>
      </c>
      <c r="C1757" s="114" t="n">
        <f aca="false">IF(B1757="Tema",INT((A1757-1)/Config!$E$28)+1,A1757-Config!$E$27*Config!$E$28)</f>
        <v>293</v>
      </c>
      <c r="D1757" s="114" t="n">
        <f aca="false">IF(B1757="Tema",MOD(A1757-1,Config!$E$28)+1,"")</f>
        <v>1</v>
      </c>
      <c r="E1757" s="115" t="str">
        <f aca="false">IF($B1757="Tema",IF(ISNUMBER(INDEX(Temas!$E$6:$P$305,$C1757,2*$D1757-1)),INDEX(Temas!$E$6:$P$305,$C1757,2*$D1757-1),""),IF(ISNUMBER(INDEX(Avulsos!$B$6:$B$205,$C1757)),INDEX(Avulsos!$B$6:$B$205,$C1757),""))</f>
        <v/>
      </c>
      <c r="F1757" s="114" t="str">
        <f aca="false">IF($E1757="","",IF($B1757="Tema",INDEX(Temas!$B$6:$B$305,$C1757)&amp;"",INDEX(Avulsos!$C$6:$C$205,$C1757)&amp;""))</f>
        <v/>
      </c>
      <c r="G1757" s="114" t="str">
        <f aca="false">IF($E1757="","",IF($B1757="Tema",INDEX(Config!$C$6:$C$11,$D1757),"Evento avulso"))</f>
        <v/>
      </c>
      <c r="H1757" s="114" t="str">
        <f aca="false">IF($E1757="","",IF($B1757="Tema",INDEX(Config!$D$6:$D$11,$D1757),IFERROR(INDEX(Config!$E$15:$E$19,MATCH($I1757,Config!$C$15:$C$19,0)),"•")))</f>
        <v/>
      </c>
      <c r="I1757" s="114" t="str">
        <f aca="false">IF($E1757="","",IF($B1757="Tema",INDEX(Config!$E$6:$E$11,$D1757),IF(INDEX(Avulsos!$D$6:$D$205,$C1757)&amp;""="","Outro",INDEX(Avulsos!$D$6:$D$205,$C1757))))</f>
        <v/>
      </c>
      <c r="J1757" s="114" t="str">
        <f aca="false">IF($E1757="","",IF($B1757="Tema",INDEX(Temas!$C$6:$C$305,$C1757)&amp;"",INDEX(Avulsos!$E$6:$E$205,$C1757)&amp;""))</f>
        <v/>
      </c>
      <c r="K1757" s="114" t="str">
        <f aca="false">IF($E1757="","",IF(IF($B1757="Tema",INDEX(Temas!$E$6:$P$305,$C1757,2*$D1757),INDEX(Avulsos!$F$6:$F$205,$C1757))&amp;""="","","✓"))</f>
        <v/>
      </c>
      <c r="L1757" s="114" t="str">
        <f aca="true">IF($E1757="","",IF($K1757="✓","Concluído",IF($E1757&lt;TODAY(),"Atrasado",IF($E1757=TODAY(),"Hoje","Pendente"))))</f>
        <v/>
      </c>
      <c r="M1757" s="114" t="str">
        <f aca="false">IF($E1757="","",IF($K1757="✓","✓ ","")&amp;IF(Config!$E$22="Sim",$H1757&amp;" · ","")&amp;$F1757)</f>
        <v/>
      </c>
      <c r="N1757" s="114" t="str">
        <f aca="false">IF($E1757="","",IFERROR(INDEX(Config!$D$15:$D$19,MATCH($I1757,Config!$C$15:$C$19,0)),"OUT")&amp;IF($K1757="✓","x",""))</f>
        <v/>
      </c>
      <c r="O1757" s="114" t="str">
        <f aca="false">IF($E1757="","",COUNTIF($E$5:$E1757,$E1757))</f>
        <v/>
      </c>
      <c r="P1757" s="114" t="str">
        <f aca="false">IF($E1757="","",$E1757*100+$O1757)</f>
        <v/>
      </c>
      <c r="Q1757" s="114" t="str">
        <f aca="false">IF($L1757="Atrasado",$E1757*10000+$A1757,"")</f>
        <v/>
      </c>
    </row>
    <row r="1758" customFormat="false" ht="15" hidden="false" customHeight="false" outlineLevel="0" collapsed="false">
      <c r="A1758" s="114" t="n">
        <f aca="false">ROW()-4</f>
        <v>1754</v>
      </c>
      <c r="B1758" s="114" t="str">
        <f aca="false">IF(A1758&lt;=Config!$E$27*Config!$E$28,"Tema","Avulso")</f>
        <v>Tema</v>
      </c>
      <c r="C1758" s="114" t="n">
        <f aca="false">IF(B1758="Tema",INT((A1758-1)/Config!$E$28)+1,A1758-Config!$E$27*Config!$E$28)</f>
        <v>293</v>
      </c>
      <c r="D1758" s="114" t="n">
        <f aca="false">IF(B1758="Tema",MOD(A1758-1,Config!$E$28)+1,"")</f>
        <v>2</v>
      </c>
      <c r="E1758" s="115" t="str">
        <f aca="false">IF($B1758="Tema",IF(ISNUMBER(INDEX(Temas!$E$6:$P$305,$C1758,2*$D1758-1)),INDEX(Temas!$E$6:$P$305,$C1758,2*$D1758-1),""),IF(ISNUMBER(INDEX(Avulsos!$B$6:$B$205,$C1758)),INDEX(Avulsos!$B$6:$B$205,$C1758),""))</f>
        <v/>
      </c>
      <c r="F1758" s="114" t="str">
        <f aca="false">IF($E1758="","",IF($B1758="Tema",INDEX(Temas!$B$6:$B$305,$C1758)&amp;"",INDEX(Avulsos!$C$6:$C$205,$C1758)&amp;""))</f>
        <v/>
      </c>
      <c r="G1758" s="114" t="str">
        <f aca="false">IF($E1758="","",IF($B1758="Tema",INDEX(Config!$C$6:$C$11,$D1758),"Evento avulso"))</f>
        <v/>
      </c>
      <c r="H1758" s="114" t="str">
        <f aca="false">IF($E1758="","",IF($B1758="Tema",INDEX(Config!$D$6:$D$11,$D1758),IFERROR(INDEX(Config!$E$15:$E$19,MATCH($I1758,Config!$C$15:$C$19,0)),"•")))</f>
        <v/>
      </c>
      <c r="I1758" s="114" t="str">
        <f aca="false">IF($E1758="","",IF($B1758="Tema",INDEX(Config!$E$6:$E$11,$D1758),IF(INDEX(Avulsos!$D$6:$D$205,$C1758)&amp;""="","Outro",INDEX(Avulsos!$D$6:$D$205,$C1758))))</f>
        <v/>
      </c>
      <c r="J1758" s="114" t="str">
        <f aca="false">IF($E1758="","",IF($B1758="Tema",INDEX(Temas!$C$6:$C$305,$C1758)&amp;"",INDEX(Avulsos!$E$6:$E$205,$C1758)&amp;""))</f>
        <v/>
      </c>
      <c r="K1758" s="114" t="str">
        <f aca="false">IF($E1758="","",IF(IF($B1758="Tema",INDEX(Temas!$E$6:$P$305,$C1758,2*$D1758),INDEX(Avulsos!$F$6:$F$205,$C1758))&amp;""="","","✓"))</f>
        <v/>
      </c>
      <c r="L1758" s="114" t="str">
        <f aca="true">IF($E1758="","",IF($K1758="✓","Concluído",IF($E1758&lt;TODAY(),"Atrasado",IF($E1758=TODAY(),"Hoje","Pendente"))))</f>
        <v/>
      </c>
      <c r="M1758" s="114" t="str">
        <f aca="false">IF($E1758="","",IF($K1758="✓","✓ ","")&amp;IF(Config!$E$22="Sim",$H1758&amp;" · ","")&amp;$F1758)</f>
        <v/>
      </c>
      <c r="N1758" s="114" t="str">
        <f aca="false">IF($E1758="","",IFERROR(INDEX(Config!$D$15:$D$19,MATCH($I1758,Config!$C$15:$C$19,0)),"OUT")&amp;IF($K1758="✓","x",""))</f>
        <v/>
      </c>
      <c r="O1758" s="114" t="str">
        <f aca="false">IF($E1758="","",COUNTIF($E$5:$E1758,$E1758))</f>
        <v/>
      </c>
      <c r="P1758" s="114" t="str">
        <f aca="false">IF($E1758="","",$E1758*100+$O1758)</f>
        <v/>
      </c>
      <c r="Q1758" s="114" t="str">
        <f aca="false">IF($L1758="Atrasado",$E1758*10000+$A1758,"")</f>
        <v/>
      </c>
    </row>
    <row r="1759" customFormat="false" ht="15" hidden="false" customHeight="false" outlineLevel="0" collapsed="false">
      <c r="A1759" s="114" t="n">
        <f aca="false">ROW()-4</f>
        <v>1755</v>
      </c>
      <c r="B1759" s="114" t="str">
        <f aca="false">IF(A1759&lt;=Config!$E$27*Config!$E$28,"Tema","Avulso")</f>
        <v>Tema</v>
      </c>
      <c r="C1759" s="114" t="n">
        <f aca="false">IF(B1759="Tema",INT((A1759-1)/Config!$E$28)+1,A1759-Config!$E$27*Config!$E$28)</f>
        <v>293</v>
      </c>
      <c r="D1759" s="114" t="n">
        <f aca="false">IF(B1759="Tema",MOD(A1759-1,Config!$E$28)+1,"")</f>
        <v>3</v>
      </c>
      <c r="E1759" s="115" t="str">
        <f aca="false">IF($B1759="Tema",IF(ISNUMBER(INDEX(Temas!$E$6:$P$305,$C1759,2*$D1759-1)),INDEX(Temas!$E$6:$P$305,$C1759,2*$D1759-1),""),IF(ISNUMBER(INDEX(Avulsos!$B$6:$B$205,$C1759)),INDEX(Avulsos!$B$6:$B$205,$C1759),""))</f>
        <v/>
      </c>
      <c r="F1759" s="114" t="str">
        <f aca="false">IF($E1759="","",IF($B1759="Tema",INDEX(Temas!$B$6:$B$305,$C1759)&amp;"",INDEX(Avulsos!$C$6:$C$205,$C1759)&amp;""))</f>
        <v/>
      </c>
      <c r="G1759" s="114" t="str">
        <f aca="false">IF($E1759="","",IF($B1759="Tema",INDEX(Config!$C$6:$C$11,$D1759),"Evento avulso"))</f>
        <v/>
      </c>
      <c r="H1759" s="114" t="str">
        <f aca="false">IF($E1759="","",IF($B1759="Tema",INDEX(Config!$D$6:$D$11,$D1759),IFERROR(INDEX(Config!$E$15:$E$19,MATCH($I1759,Config!$C$15:$C$19,0)),"•")))</f>
        <v/>
      </c>
      <c r="I1759" s="114" t="str">
        <f aca="false">IF($E1759="","",IF($B1759="Tema",INDEX(Config!$E$6:$E$11,$D1759),IF(INDEX(Avulsos!$D$6:$D$205,$C1759)&amp;""="","Outro",INDEX(Avulsos!$D$6:$D$205,$C1759))))</f>
        <v/>
      </c>
      <c r="J1759" s="114" t="str">
        <f aca="false">IF($E1759="","",IF($B1759="Tema",INDEX(Temas!$C$6:$C$305,$C1759)&amp;"",INDEX(Avulsos!$E$6:$E$205,$C1759)&amp;""))</f>
        <v/>
      </c>
      <c r="K1759" s="114" t="str">
        <f aca="false">IF($E1759="","",IF(IF($B1759="Tema",INDEX(Temas!$E$6:$P$305,$C1759,2*$D1759),INDEX(Avulsos!$F$6:$F$205,$C1759))&amp;""="","","✓"))</f>
        <v/>
      </c>
      <c r="L1759" s="114" t="str">
        <f aca="true">IF($E1759="","",IF($K1759="✓","Concluído",IF($E1759&lt;TODAY(),"Atrasado",IF($E1759=TODAY(),"Hoje","Pendente"))))</f>
        <v/>
      </c>
      <c r="M1759" s="114" t="str">
        <f aca="false">IF($E1759="","",IF($K1759="✓","✓ ","")&amp;IF(Config!$E$22="Sim",$H1759&amp;" · ","")&amp;$F1759)</f>
        <v/>
      </c>
      <c r="N1759" s="114" t="str">
        <f aca="false">IF($E1759="","",IFERROR(INDEX(Config!$D$15:$D$19,MATCH($I1759,Config!$C$15:$C$19,0)),"OUT")&amp;IF($K1759="✓","x",""))</f>
        <v/>
      </c>
      <c r="O1759" s="114" t="str">
        <f aca="false">IF($E1759="","",COUNTIF($E$5:$E1759,$E1759))</f>
        <v/>
      </c>
      <c r="P1759" s="114" t="str">
        <f aca="false">IF($E1759="","",$E1759*100+$O1759)</f>
        <v/>
      </c>
      <c r="Q1759" s="114" t="str">
        <f aca="false">IF($L1759="Atrasado",$E1759*10000+$A1759,"")</f>
        <v/>
      </c>
    </row>
    <row r="1760" customFormat="false" ht="15" hidden="false" customHeight="false" outlineLevel="0" collapsed="false">
      <c r="A1760" s="114" t="n">
        <f aca="false">ROW()-4</f>
        <v>1756</v>
      </c>
      <c r="B1760" s="114" t="str">
        <f aca="false">IF(A1760&lt;=Config!$E$27*Config!$E$28,"Tema","Avulso")</f>
        <v>Tema</v>
      </c>
      <c r="C1760" s="114" t="n">
        <f aca="false">IF(B1760="Tema",INT((A1760-1)/Config!$E$28)+1,A1760-Config!$E$27*Config!$E$28)</f>
        <v>293</v>
      </c>
      <c r="D1760" s="114" t="n">
        <f aca="false">IF(B1760="Tema",MOD(A1760-1,Config!$E$28)+1,"")</f>
        <v>4</v>
      </c>
      <c r="E1760" s="115" t="str">
        <f aca="false">IF($B1760="Tema",IF(ISNUMBER(INDEX(Temas!$E$6:$P$305,$C1760,2*$D1760-1)),INDEX(Temas!$E$6:$P$305,$C1760,2*$D1760-1),""),IF(ISNUMBER(INDEX(Avulsos!$B$6:$B$205,$C1760)),INDEX(Avulsos!$B$6:$B$205,$C1760),""))</f>
        <v/>
      </c>
      <c r="F1760" s="114" t="str">
        <f aca="false">IF($E1760="","",IF($B1760="Tema",INDEX(Temas!$B$6:$B$305,$C1760)&amp;"",INDEX(Avulsos!$C$6:$C$205,$C1760)&amp;""))</f>
        <v/>
      </c>
      <c r="G1760" s="114" t="str">
        <f aca="false">IF($E1760="","",IF($B1760="Tema",INDEX(Config!$C$6:$C$11,$D1760),"Evento avulso"))</f>
        <v/>
      </c>
      <c r="H1760" s="114" t="str">
        <f aca="false">IF($E1760="","",IF($B1760="Tema",INDEX(Config!$D$6:$D$11,$D1760),IFERROR(INDEX(Config!$E$15:$E$19,MATCH($I1760,Config!$C$15:$C$19,0)),"•")))</f>
        <v/>
      </c>
      <c r="I1760" s="114" t="str">
        <f aca="false">IF($E1760="","",IF($B1760="Tema",INDEX(Config!$E$6:$E$11,$D1760),IF(INDEX(Avulsos!$D$6:$D$205,$C1760)&amp;""="","Outro",INDEX(Avulsos!$D$6:$D$205,$C1760))))</f>
        <v/>
      </c>
      <c r="J1760" s="114" t="str">
        <f aca="false">IF($E1760="","",IF($B1760="Tema",INDEX(Temas!$C$6:$C$305,$C1760)&amp;"",INDEX(Avulsos!$E$6:$E$205,$C1760)&amp;""))</f>
        <v/>
      </c>
      <c r="K1760" s="114" t="str">
        <f aca="false">IF($E1760="","",IF(IF($B1760="Tema",INDEX(Temas!$E$6:$P$305,$C1760,2*$D1760),INDEX(Avulsos!$F$6:$F$205,$C1760))&amp;""="","","✓"))</f>
        <v/>
      </c>
      <c r="L1760" s="114" t="str">
        <f aca="true">IF($E1760="","",IF($K1760="✓","Concluído",IF($E1760&lt;TODAY(),"Atrasado",IF($E1760=TODAY(),"Hoje","Pendente"))))</f>
        <v/>
      </c>
      <c r="M1760" s="114" t="str">
        <f aca="false">IF($E1760="","",IF($K1760="✓","✓ ","")&amp;IF(Config!$E$22="Sim",$H1760&amp;" · ","")&amp;$F1760)</f>
        <v/>
      </c>
      <c r="N1760" s="114" t="str">
        <f aca="false">IF($E1760="","",IFERROR(INDEX(Config!$D$15:$D$19,MATCH($I1760,Config!$C$15:$C$19,0)),"OUT")&amp;IF($K1760="✓","x",""))</f>
        <v/>
      </c>
      <c r="O1760" s="114" t="str">
        <f aca="false">IF($E1760="","",COUNTIF($E$5:$E1760,$E1760))</f>
        <v/>
      </c>
      <c r="P1760" s="114" t="str">
        <f aca="false">IF($E1760="","",$E1760*100+$O1760)</f>
        <v/>
      </c>
      <c r="Q1760" s="114" t="str">
        <f aca="false">IF($L1760="Atrasado",$E1760*10000+$A1760,"")</f>
        <v/>
      </c>
    </row>
    <row r="1761" customFormat="false" ht="15" hidden="false" customHeight="false" outlineLevel="0" collapsed="false">
      <c r="A1761" s="114" t="n">
        <f aca="false">ROW()-4</f>
        <v>1757</v>
      </c>
      <c r="B1761" s="114" t="str">
        <f aca="false">IF(A1761&lt;=Config!$E$27*Config!$E$28,"Tema","Avulso")</f>
        <v>Tema</v>
      </c>
      <c r="C1761" s="114" t="n">
        <f aca="false">IF(B1761="Tema",INT((A1761-1)/Config!$E$28)+1,A1761-Config!$E$27*Config!$E$28)</f>
        <v>293</v>
      </c>
      <c r="D1761" s="114" t="n">
        <f aca="false">IF(B1761="Tema",MOD(A1761-1,Config!$E$28)+1,"")</f>
        <v>5</v>
      </c>
      <c r="E1761" s="115" t="str">
        <f aca="false">IF($B1761="Tema",IF(ISNUMBER(INDEX(Temas!$E$6:$P$305,$C1761,2*$D1761-1)),INDEX(Temas!$E$6:$P$305,$C1761,2*$D1761-1),""),IF(ISNUMBER(INDEX(Avulsos!$B$6:$B$205,$C1761)),INDEX(Avulsos!$B$6:$B$205,$C1761),""))</f>
        <v/>
      </c>
      <c r="F1761" s="114" t="str">
        <f aca="false">IF($E1761="","",IF($B1761="Tema",INDEX(Temas!$B$6:$B$305,$C1761)&amp;"",INDEX(Avulsos!$C$6:$C$205,$C1761)&amp;""))</f>
        <v/>
      </c>
      <c r="G1761" s="114" t="str">
        <f aca="false">IF($E1761="","",IF($B1761="Tema",INDEX(Config!$C$6:$C$11,$D1761),"Evento avulso"))</f>
        <v/>
      </c>
      <c r="H1761" s="114" t="str">
        <f aca="false">IF($E1761="","",IF($B1761="Tema",INDEX(Config!$D$6:$D$11,$D1761),IFERROR(INDEX(Config!$E$15:$E$19,MATCH($I1761,Config!$C$15:$C$19,0)),"•")))</f>
        <v/>
      </c>
      <c r="I1761" s="114" t="str">
        <f aca="false">IF($E1761="","",IF($B1761="Tema",INDEX(Config!$E$6:$E$11,$D1761),IF(INDEX(Avulsos!$D$6:$D$205,$C1761)&amp;""="","Outro",INDEX(Avulsos!$D$6:$D$205,$C1761))))</f>
        <v/>
      </c>
      <c r="J1761" s="114" t="str">
        <f aca="false">IF($E1761="","",IF($B1761="Tema",INDEX(Temas!$C$6:$C$305,$C1761)&amp;"",INDEX(Avulsos!$E$6:$E$205,$C1761)&amp;""))</f>
        <v/>
      </c>
      <c r="K1761" s="114" t="str">
        <f aca="false">IF($E1761="","",IF(IF($B1761="Tema",INDEX(Temas!$E$6:$P$305,$C1761,2*$D1761),INDEX(Avulsos!$F$6:$F$205,$C1761))&amp;""="","","✓"))</f>
        <v/>
      </c>
      <c r="L1761" s="114" t="str">
        <f aca="true">IF($E1761="","",IF($K1761="✓","Concluído",IF($E1761&lt;TODAY(),"Atrasado",IF($E1761=TODAY(),"Hoje","Pendente"))))</f>
        <v/>
      </c>
      <c r="M1761" s="114" t="str">
        <f aca="false">IF($E1761="","",IF($K1761="✓","✓ ","")&amp;IF(Config!$E$22="Sim",$H1761&amp;" · ","")&amp;$F1761)</f>
        <v/>
      </c>
      <c r="N1761" s="114" t="str">
        <f aca="false">IF($E1761="","",IFERROR(INDEX(Config!$D$15:$D$19,MATCH($I1761,Config!$C$15:$C$19,0)),"OUT")&amp;IF($K1761="✓","x",""))</f>
        <v/>
      </c>
      <c r="O1761" s="114" t="str">
        <f aca="false">IF($E1761="","",COUNTIF($E$5:$E1761,$E1761))</f>
        <v/>
      </c>
      <c r="P1761" s="114" t="str">
        <f aca="false">IF($E1761="","",$E1761*100+$O1761)</f>
        <v/>
      </c>
      <c r="Q1761" s="114" t="str">
        <f aca="false">IF($L1761="Atrasado",$E1761*10000+$A1761,"")</f>
        <v/>
      </c>
    </row>
    <row r="1762" customFormat="false" ht="15" hidden="false" customHeight="false" outlineLevel="0" collapsed="false">
      <c r="A1762" s="114" t="n">
        <f aca="false">ROW()-4</f>
        <v>1758</v>
      </c>
      <c r="B1762" s="114" t="str">
        <f aca="false">IF(A1762&lt;=Config!$E$27*Config!$E$28,"Tema","Avulso")</f>
        <v>Tema</v>
      </c>
      <c r="C1762" s="114" t="n">
        <f aca="false">IF(B1762="Tema",INT((A1762-1)/Config!$E$28)+1,A1762-Config!$E$27*Config!$E$28)</f>
        <v>293</v>
      </c>
      <c r="D1762" s="114" t="n">
        <f aca="false">IF(B1762="Tema",MOD(A1762-1,Config!$E$28)+1,"")</f>
        <v>6</v>
      </c>
      <c r="E1762" s="115" t="str">
        <f aca="false">IF($B1762="Tema",IF(ISNUMBER(INDEX(Temas!$E$6:$P$305,$C1762,2*$D1762-1)),INDEX(Temas!$E$6:$P$305,$C1762,2*$D1762-1),""),IF(ISNUMBER(INDEX(Avulsos!$B$6:$B$205,$C1762)),INDEX(Avulsos!$B$6:$B$205,$C1762),""))</f>
        <v/>
      </c>
      <c r="F1762" s="114" t="str">
        <f aca="false">IF($E1762="","",IF($B1762="Tema",INDEX(Temas!$B$6:$B$305,$C1762)&amp;"",INDEX(Avulsos!$C$6:$C$205,$C1762)&amp;""))</f>
        <v/>
      </c>
      <c r="G1762" s="114" t="str">
        <f aca="false">IF($E1762="","",IF($B1762="Tema",INDEX(Config!$C$6:$C$11,$D1762),"Evento avulso"))</f>
        <v/>
      </c>
      <c r="H1762" s="114" t="str">
        <f aca="false">IF($E1762="","",IF($B1762="Tema",INDEX(Config!$D$6:$D$11,$D1762),IFERROR(INDEX(Config!$E$15:$E$19,MATCH($I1762,Config!$C$15:$C$19,0)),"•")))</f>
        <v/>
      </c>
      <c r="I1762" s="114" t="str">
        <f aca="false">IF($E1762="","",IF($B1762="Tema",INDEX(Config!$E$6:$E$11,$D1762),IF(INDEX(Avulsos!$D$6:$D$205,$C1762)&amp;""="","Outro",INDEX(Avulsos!$D$6:$D$205,$C1762))))</f>
        <v/>
      </c>
      <c r="J1762" s="114" t="str">
        <f aca="false">IF($E1762="","",IF($B1762="Tema",INDEX(Temas!$C$6:$C$305,$C1762)&amp;"",INDEX(Avulsos!$E$6:$E$205,$C1762)&amp;""))</f>
        <v/>
      </c>
      <c r="K1762" s="114" t="str">
        <f aca="false">IF($E1762="","",IF(IF($B1762="Tema",INDEX(Temas!$E$6:$P$305,$C1762,2*$D1762),INDEX(Avulsos!$F$6:$F$205,$C1762))&amp;""="","","✓"))</f>
        <v/>
      </c>
      <c r="L1762" s="114" t="str">
        <f aca="true">IF($E1762="","",IF($K1762="✓","Concluído",IF($E1762&lt;TODAY(),"Atrasado",IF($E1762=TODAY(),"Hoje","Pendente"))))</f>
        <v/>
      </c>
      <c r="M1762" s="114" t="str">
        <f aca="false">IF($E1762="","",IF($K1762="✓","✓ ","")&amp;IF(Config!$E$22="Sim",$H1762&amp;" · ","")&amp;$F1762)</f>
        <v/>
      </c>
      <c r="N1762" s="114" t="str">
        <f aca="false">IF($E1762="","",IFERROR(INDEX(Config!$D$15:$D$19,MATCH($I1762,Config!$C$15:$C$19,0)),"OUT")&amp;IF($K1762="✓","x",""))</f>
        <v/>
      </c>
      <c r="O1762" s="114" t="str">
        <f aca="false">IF($E1762="","",COUNTIF($E$5:$E1762,$E1762))</f>
        <v/>
      </c>
      <c r="P1762" s="114" t="str">
        <f aca="false">IF($E1762="","",$E1762*100+$O1762)</f>
        <v/>
      </c>
      <c r="Q1762" s="114" t="str">
        <f aca="false">IF($L1762="Atrasado",$E1762*10000+$A1762,"")</f>
        <v/>
      </c>
    </row>
    <row r="1763" customFormat="false" ht="15" hidden="false" customHeight="false" outlineLevel="0" collapsed="false">
      <c r="A1763" s="114" t="n">
        <f aca="false">ROW()-4</f>
        <v>1759</v>
      </c>
      <c r="B1763" s="114" t="str">
        <f aca="false">IF(A1763&lt;=Config!$E$27*Config!$E$28,"Tema","Avulso")</f>
        <v>Tema</v>
      </c>
      <c r="C1763" s="114" t="n">
        <f aca="false">IF(B1763="Tema",INT((A1763-1)/Config!$E$28)+1,A1763-Config!$E$27*Config!$E$28)</f>
        <v>294</v>
      </c>
      <c r="D1763" s="114" t="n">
        <f aca="false">IF(B1763="Tema",MOD(A1763-1,Config!$E$28)+1,"")</f>
        <v>1</v>
      </c>
      <c r="E1763" s="115" t="str">
        <f aca="false">IF($B1763="Tema",IF(ISNUMBER(INDEX(Temas!$E$6:$P$305,$C1763,2*$D1763-1)),INDEX(Temas!$E$6:$P$305,$C1763,2*$D1763-1),""),IF(ISNUMBER(INDEX(Avulsos!$B$6:$B$205,$C1763)),INDEX(Avulsos!$B$6:$B$205,$C1763),""))</f>
        <v/>
      </c>
      <c r="F1763" s="114" t="str">
        <f aca="false">IF($E1763="","",IF($B1763="Tema",INDEX(Temas!$B$6:$B$305,$C1763)&amp;"",INDEX(Avulsos!$C$6:$C$205,$C1763)&amp;""))</f>
        <v/>
      </c>
      <c r="G1763" s="114" t="str">
        <f aca="false">IF($E1763="","",IF($B1763="Tema",INDEX(Config!$C$6:$C$11,$D1763),"Evento avulso"))</f>
        <v/>
      </c>
      <c r="H1763" s="114" t="str">
        <f aca="false">IF($E1763="","",IF($B1763="Tema",INDEX(Config!$D$6:$D$11,$D1763),IFERROR(INDEX(Config!$E$15:$E$19,MATCH($I1763,Config!$C$15:$C$19,0)),"•")))</f>
        <v/>
      </c>
      <c r="I1763" s="114" t="str">
        <f aca="false">IF($E1763="","",IF($B1763="Tema",INDEX(Config!$E$6:$E$11,$D1763),IF(INDEX(Avulsos!$D$6:$D$205,$C1763)&amp;""="","Outro",INDEX(Avulsos!$D$6:$D$205,$C1763))))</f>
        <v/>
      </c>
      <c r="J1763" s="114" t="str">
        <f aca="false">IF($E1763="","",IF($B1763="Tema",INDEX(Temas!$C$6:$C$305,$C1763)&amp;"",INDEX(Avulsos!$E$6:$E$205,$C1763)&amp;""))</f>
        <v/>
      </c>
      <c r="K1763" s="114" t="str">
        <f aca="false">IF($E1763="","",IF(IF($B1763="Tema",INDEX(Temas!$E$6:$P$305,$C1763,2*$D1763),INDEX(Avulsos!$F$6:$F$205,$C1763))&amp;""="","","✓"))</f>
        <v/>
      </c>
      <c r="L1763" s="114" t="str">
        <f aca="true">IF($E1763="","",IF($K1763="✓","Concluído",IF($E1763&lt;TODAY(),"Atrasado",IF($E1763=TODAY(),"Hoje","Pendente"))))</f>
        <v/>
      </c>
      <c r="M1763" s="114" t="str">
        <f aca="false">IF($E1763="","",IF($K1763="✓","✓ ","")&amp;IF(Config!$E$22="Sim",$H1763&amp;" · ","")&amp;$F1763)</f>
        <v/>
      </c>
      <c r="N1763" s="114" t="str">
        <f aca="false">IF($E1763="","",IFERROR(INDEX(Config!$D$15:$D$19,MATCH($I1763,Config!$C$15:$C$19,0)),"OUT")&amp;IF($K1763="✓","x",""))</f>
        <v/>
      </c>
      <c r="O1763" s="114" t="str">
        <f aca="false">IF($E1763="","",COUNTIF($E$5:$E1763,$E1763))</f>
        <v/>
      </c>
      <c r="P1763" s="114" t="str">
        <f aca="false">IF($E1763="","",$E1763*100+$O1763)</f>
        <v/>
      </c>
      <c r="Q1763" s="114" t="str">
        <f aca="false">IF($L1763="Atrasado",$E1763*10000+$A1763,"")</f>
        <v/>
      </c>
    </row>
    <row r="1764" customFormat="false" ht="15" hidden="false" customHeight="false" outlineLevel="0" collapsed="false">
      <c r="A1764" s="114" t="n">
        <f aca="false">ROW()-4</f>
        <v>1760</v>
      </c>
      <c r="B1764" s="114" t="str">
        <f aca="false">IF(A1764&lt;=Config!$E$27*Config!$E$28,"Tema","Avulso")</f>
        <v>Tema</v>
      </c>
      <c r="C1764" s="114" t="n">
        <f aca="false">IF(B1764="Tema",INT((A1764-1)/Config!$E$28)+1,A1764-Config!$E$27*Config!$E$28)</f>
        <v>294</v>
      </c>
      <c r="D1764" s="114" t="n">
        <f aca="false">IF(B1764="Tema",MOD(A1764-1,Config!$E$28)+1,"")</f>
        <v>2</v>
      </c>
      <c r="E1764" s="115" t="str">
        <f aca="false">IF($B1764="Tema",IF(ISNUMBER(INDEX(Temas!$E$6:$P$305,$C1764,2*$D1764-1)),INDEX(Temas!$E$6:$P$305,$C1764,2*$D1764-1),""),IF(ISNUMBER(INDEX(Avulsos!$B$6:$B$205,$C1764)),INDEX(Avulsos!$B$6:$B$205,$C1764),""))</f>
        <v/>
      </c>
      <c r="F1764" s="114" t="str">
        <f aca="false">IF($E1764="","",IF($B1764="Tema",INDEX(Temas!$B$6:$B$305,$C1764)&amp;"",INDEX(Avulsos!$C$6:$C$205,$C1764)&amp;""))</f>
        <v/>
      </c>
      <c r="G1764" s="114" t="str">
        <f aca="false">IF($E1764="","",IF($B1764="Tema",INDEX(Config!$C$6:$C$11,$D1764),"Evento avulso"))</f>
        <v/>
      </c>
      <c r="H1764" s="114" t="str">
        <f aca="false">IF($E1764="","",IF($B1764="Tema",INDEX(Config!$D$6:$D$11,$D1764),IFERROR(INDEX(Config!$E$15:$E$19,MATCH($I1764,Config!$C$15:$C$19,0)),"•")))</f>
        <v/>
      </c>
      <c r="I1764" s="114" t="str">
        <f aca="false">IF($E1764="","",IF($B1764="Tema",INDEX(Config!$E$6:$E$11,$D1764),IF(INDEX(Avulsos!$D$6:$D$205,$C1764)&amp;""="","Outro",INDEX(Avulsos!$D$6:$D$205,$C1764))))</f>
        <v/>
      </c>
      <c r="J1764" s="114" t="str">
        <f aca="false">IF($E1764="","",IF($B1764="Tema",INDEX(Temas!$C$6:$C$305,$C1764)&amp;"",INDEX(Avulsos!$E$6:$E$205,$C1764)&amp;""))</f>
        <v/>
      </c>
      <c r="K1764" s="114" t="str">
        <f aca="false">IF($E1764="","",IF(IF($B1764="Tema",INDEX(Temas!$E$6:$P$305,$C1764,2*$D1764),INDEX(Avulsos!$F$6:$F$205,$C1764))&amp;""="","","✓"))</f>
        <v/>
      </c>
      <c r="L1764" s="114" t="str">
        <f aca="true">IF($E1764="","",IF($K1764="✓","Concluído",IF($E1764&lt;TODAY(),"Atrasado",IF($E1764=TODAY(),"Hoje","Pendente"))))</f>
        <v/>
      </c>
      <c r="M1764" s="114" t="str">
        <f aca="false">IF($E1764="","",IF($K1764="✓","✓ ","")&amp;IF(Config!$E$22="Sim",$H1764&amp;" · ","")&amp;$F1764)</f>
        <v/>
      </c>
      <c r="N1764" s="114" t="str">
        <f aca="false">IF($E1764="","",IFERROR(INDEX(Config!$D$15:$D$19,MATCH($I1764,Config!$C$15:$C$19,0)),"OUT")&amp;IF($K1764="✓","x",""))</f>
        <v/>
      </c>
      <c r="O1764" s="114" t="str">
        <f aca="false">IF($E1764="","",COUNTIF($E$5:$E1764,$E1764))</f>
        <v/>
      </c>
      <c r="P1764" s="114" t="str">
        <f aca="false">IF($E1764="","",$E1764*100+$O1764)</f>
        <v/>
      </c>
      <c r="Q1764" s="114" t="str">
        <f aca="false">IF($L1764="Atrasado",$E1764*10000+$A1764,"")</f>
        <v/>
      </c>
    </row>
    <row r="1765" customFormat="false" ht="15" hidden="false" customHeight="false" outlineLevel="0" collapsed="false">
      <c r="A1765" s="114" t="n">
        <f aca="false">ROW()-4</f>
        <v>1761</v>
      </c>
      <c r="B1765" s="114" t="str">
        <f aca="false">IF(A1765&lt;=Config!$E$27*Config!$E$28,"Tema","Avulso")</f>
        <v>Tema</v>
      </c>
      <c r="C1765" s="114" t="n">
        <f aca="false">IF(B1765="Tema",INT((A1765-1)/Config!$E$28)+1,A1765-Config!$E$27*Config!$E$28)</f>
        <v>294</v>
      </c>
      <c r="D1765" s="114" t="n">
        <f aca="false">IF(B1765="Tema",MOD(A1765-1,Config!$E$28)+1,"")</f>
        <v>3</v>
      </c>
      <c r="E1765" s="115" t="str">
        <f aca="false">IF($B1765="Tema",IF(ISNUMBER(INDEX(Temas!$E$6:$P$305,$C1765,2*$D1765-1)),INDEX(Temas!$E$6:$P$305,$C1765,2*$D1765-1),""),IF(ISNUMBER(INDEX(Avulsos!$B$6:$B$205,$C1765)),INDEX(Avulsos!$B$6:$B$205,$C1765),""))</f>
        <v/>
      </c>
      <c r="F1765" s="114" t="str">
        <f aca="false">IF($E1765="","",IF($B1765="Tema",INDEX(Temas!$B$6:$B$305,$C1765)&amp;"",INDEX(Avulsos!$C$6:$C$205,$C1765)&amp;""))</f>
        <v/>
      </c>
      <c r="G1765" s="114" t="str">
        <f aca="false">IF($E1765="","",IF($B1765="Tema",INDEX(Config!$C$6:$C$11,$D1765),"Evento avulso"))</f>
        <v/>
      </c>
      <c r="H1765" s="114" t="str">
        <f aca="false">IF($E1765="","",IF($B1765="Tema",INDEX(Config!$D$6:$D$11,$D1765),IFERROR(INDEX(Config!$E$15:$E$19,MATCH($I1765,Config!$C$15:$C$19,0)),"•")))</f>
        <v/>
      </c>
      <c r="I1765" s="114" t="str">
        <f aca="false">IF($E1765="","",IF($B1765="Tema",INDEX(Config!$E$6:$E$11,$D1765),IF(INDEX(Avulsos!$D$6:$D$205,$C1765)&amp;""="","Outro",INDEX(Avulsos!$D$6:$D$205,$C1765))))</f>
        <v/>
      </c>
      <c r="J1765" s="114" t="str">
        <f aca="false">IF($E1765="","",IF($B1765="Tema",INDEX(Temas!$C$6:$C$305,$C1765)&amp;"",INDEX(Avulsos!$E$6:$E$205,$C1765)&amp;""))</f>
        <v/>
      </c>
      <c r="K1765" s="114" t="str">
        <f aca="false">IF($E1765="","",IF(IF($B1765="Tema",INDEX(Temas!$E$6:$P$305,$C1765,2*$D1765),INDEX(Avulsos!$F$6:$F$205,$C1765))&amp;""="","","✓"))</f>
        <v/>
      </c>
      <c r="L1765" s="114" t="str">
        <f aca="true">IF($E1765="","",IF($K1765="✓","Concluído",IF($E1765&lt;TODAY(),"Atrasado",IF($E1765=TODAY(),"Hoje","Pendente"))))</f>
        <v/>
      </c>
      <c r="M1765" s="114" t="str">
        <f aca="false">IF($E1765="","",IF($K1765="✓","✓ ","")&amp;IF(Config!$E$22="Sim",$H1765&amp;" · ","")&amp;$F1765)</f>
        <v/>
      </c>
      <c r="N1765" s="114" t="str">
        <f aca="false">IF($E1765="","",IFERROR(INDEX(Config!$D$15:$D$19,MATCH($I1765,Config!$C$15:$C$19,0)),"OUT")&amp;IF($K1765="✓","x",""))</f>
        <v/>
      </c>
      <c r="O1765" s="114" t="str">
        <f aca="false">IF($E1765="","",COUNTIF($E$5:$E1765,$E1765))</f>
        <v/>
      </c>
      <c r="P1765" s="114" t="str">
        <f aca="false">IF($E1765="","",$E1765*100+$O1765)</f>
        <v/>
      </c>
      <c r="Q1765" s="114" t="str">
        <f aca="false">IF($L1765="Atrasado",$E1765*10000+$A1765,"")</f>
        <v/>
      </c>
    </row>
    <row r="1766" customFormat="false" ht="15" hidden="false" customHeight="false" outlineLevel="0" collapsed="false">
      <c r="A1766" s="114" t="n">
        <f aca="false">ROW()-4</f>
        <v>1762</v>
      </c>
      <c r="B1766" s="114" t="str">
        <f aca="false">IF(A1766&lt;=Config!$E$27*Config!$E$28,"Tema","Avulso")</f>
        <v>Tema</v>
      </c>
      <c r="C1766" s="114" t="n">
        <f aca="false">IF(B1766="Tema",INT((A1766-1)/Config!$E$28)+1,A1766-Config!$E$27*Config!$E$28)</f>
        <v>294</v>
      </c>
      <c r="D1766" s="114" t="n">
        <f aca="false">IF(B1766="Tema",MOD(A1766-1,Config!$E$28)+1,"")</f>
        <v>4</v>
      </c>
      <c r="E1766" s="115" t="str">
        <f aca="false">IF($B1766="Tema",IF(ISNUMBER(INDEX(Temas!$E$6:$P$305,$C1766,2*$D1766-1)),INDEX(Temas!$E$6:$P$305,$C1766,2*$D1766-1),""),IF(ISNUMBER(INDEX(Avulsos!$B$6:$B$205,$C1766)),INDEX(Avulsos!$B$6:$B$205,$C1766),""))</f>
        <v/>
      </c>
      <c r="F1766" s="114" t="str">
        <f aca="false">IF($E1766="","",IF($B1766="Tema",INDEX(Temas!$B$6:$B$305,$C1766)&amp;"",INDEX(Avulsos!$C$6:$C$205,$C1766)&amp;""))</f>
        <v/>
      </c>
      <c r="G1766" s="114" t="str">
        <f aca="false">IF($E1766="","",IF($B1766="Tema",INDEX(Config!$C$6:$C$11,$D1766),"Evento avulso"))</f>
        <v/>
      </c>
      <c r="H1766" s="114" t="str">
        <f aca="false">IF($E1766="","",IF($B1766="Tema",INDEX(Config!$D$6:$D$11,$D1766),IFERROR(INDEX(Config!$E$15:$E$19,MATCH($I1766,Config!$C$15:$C$19,0)),"•")))</f>
        <v/>
      </c>
      <c r="I1766" s="114" t="str">
        <f aca="false">IF($E1766="","",IF($B1766="Tema",INDEX(Config!$E$6:$E$11,$D1766),IF(INDEX(Avulsos!$D$6:$D$205,$C1766)&amp;""="","Outro",INDEX(Avulsos!$D$6:$D$205,$C1766))))</f>
        <v/>
      </c>
      <c r="J1766" s="114" t="str">
        <f aca="false">IF($E1766="","",IF($B1766="Tema",INDEX(Temas!$C$6:$C$305,$C1766)&amp;"",INDEX(Avulsos!$E$6:$E$205,$C1766)&amp;""))</f>
        <v/>
      </c>
      <c r="K1766" s="114" t="str">
        <f aca="false">IF($E1766="","",IF(IF($B1766="Tema",INDEX(Temas!$E$6:$P$305,$C1766,2*$D1766),INDEX(Avulsos!$F$6:$F$205,$C1766))&amp;""="","","✓"))</f>
        <v/>
      </c>
      <c r="L1766" s="114" t="str">
        <f aca="true">IF($E1766="","",IF($K1766="✓","Concluído",IF($E1766&lt;TODAY(),"Atrasado",IF($E1766=TODAY(),"Hoje","Pendente"))))</f>
        <v/>
      </c>
      <c r="M1766" s="114" t="str">
        <f aca="false">IF($E1766="","",IF($K1766="✓","✓ ","")&amp;IF(Config!$E$22="Sim",$H1766&amp;" · ","")&amp;$F1766)</f>
        <v/>
      </c>
      <c r="N1766" s="114" t="str">
        <f aca="false">IF($E1766="","",IFERROR(INDEX(Config!$D$15:$D$19,MATCH($I1766,Config!$C$15:$C$19,0)),"OUT")&amp;IF($K1766="✓","x",""))</f>
        <v/>
      </c>
      <c r="O1766" s="114" t="str">
        <f aca="false">IF($E1766="","",COUNTIF($E$5:$E1766,$E1766))</f>
        <v/>
      </c>
      <c r="P1766" s="114" t="str">
        <f aca="false">IF($E1766="","",$E1766*100+$O1766)</f>
        <v/>
      </c>
      <c r="Q1766" s="114" t="str">
        <f aca="false">IF($L1766="Atrasado",$E1766*10000+$A1766,"")</f>
        <v/>
      </c>
    </row>
    <row r="1767" customFormat="false" ht="15" hidden="false" customHeight="false" outlineLevel="0" collapsed="false">
      <c r="A1767" s="114" t="n">
        <f aca="false">ROW()-4</f>
        <v>1763</v>
      </c>
      <c r="B1767" s="114" t="str">
        <f aca="false">IF(A1767&lt;=Config!$E$27*Config!$E$28,"Tema","Avulso")</f>
        <v>Tema</v>
      </c>
      <c r="C1767" s="114" t="n">
        <f aca="false">IF(B1767="Tema",INT((A1767-1)/Config!$E$28)+1,A1767-Config!$E$27*Config!$E$28)</f>
        <v>294</v>
      </c>
      <c r="D1767" s="114" t="n">
        <f aca="false">IF(B1767="Tema",MOD(A1767-1,Config!$E$28)+1,"")</f>
        <v>5</v>
      </c>
      <c r="E1767" s="115" t="str">
        <f aca="false">IF($B1767="Tema",IF(ISNUMBER(INDEX(Temas!$E$6:$P$305,$C1767,2*$D1767-1)),INDEX(Temas!$E$6:$P$305,$C1767,2*$D1767-1),""),IF(ISNUMBER(INDEX(Avulsos!$B$6:$B$205,$C1767)),INDEX(Avulsos!$B$6:$B$205,$C1767),""))</f>
        <v/>
      </c>
      <c r="F1767" s="114" t="str">
        <f aca="false">IF($E1767="","",IF($B1767="Tema",INDEX(Temas!$B$6:$B$305,$C1767)&amp;"",INDEX(Avulsos!$C$6:$C$205,$C1767)&amp;""))</f>
        <v/>
      </c>
      <c r="G1767" s="114" t="str">
        <f aca="false">IF($E1767="","",IF($B1767="Tema",INDEX(Config!$C$6:$C$11,$D1767),"Evento avulso"))</f>
        <v/>
      </c>
      <c r="H1767" s="114" t="str">
        <f aca="false">IF($E1767="","",IF($B1767="Tema",INDEX(Config!$D$6:$D$11,$D1767),IFERROR(INDEX(Config!$E$15:$E$19,MATCH($I1767,Config!$C$15:$C$19,0)),"•")))</f>
        <v/>
      </c>
      <c r="I1767" s="114" t="str">
        <f aca="false">IF($E1767="","",IF($B1767="Tema",INDEX(Config!$E$6:$E$11,$D1767),IF(INDEX(Avulsos!$D$6:$D$205,$C1767)&amp;""="","Outro",INDEX(Avulsos!$D$6:$D$205,$C1767))))</f>
        <v/>
      </c>
      <c r="J1767" s="114" t="str">
        <f aca="false">IF($E1767="","",IF($B1767="Tema",INDEX(Temas!$C$6:$C$305,$C1767)&amp;"",INDEX(Avulsos!$E$6:$E$205,$C1767)&amp;""))</f>
        <v/>
      </c>
      <c r="K1767" s="114" t="str">
        <f aca="false">IF($E1767="","",IF(IF($B1767="Tema",INDEX(Temas!$E$6:$P$305,$C1767,2*$D1767),INDEX(Avulsos!$F$6:$F$205,$C1767))&amp;""="","","✓"))</f>
        <v/>
      </c>
      <c r="L1767" s="114" t="str">
        <f aca="true">IF($E1767="","",IF($K1767="✓","Concluído",IF($E1767&lt;TODAY(),"Atrasado",IF($E1767=TODAY(),"Hoje","Pendente"))))</f>
        <v/>
      </c>
      <c r="M1767" s="114" t="str">
        <f aca="false">IF($E1767="","",IF($K1767="✓","✓ ","")&amp;IF(Config!$E$22="Sim",$H1767&amp;" · ","")&amp;$F1767)</f>
        <v/>
      </c>
      <c r="N1767" s="114" t="str">
        <f aca="false">IF($E1767="","",IFERROR(INDEX(Config!$D$15:$D$19,MATCH($I1767,Config!$C$15:$C$19,0)),"OUT")&amp;IF($K1767="✓","x",""))</f>
        <v/>
      </c>
      <c r="O1767" s="114" t="str">
        <f aca="false">IF($E1767="","",COUNTIF($E$5:$E1767,$E1767))</f>
        <v/>
      </c>
      <c r="P1767" s="114" t="str">
        <f aca="false">IF($E1767="","",$E1767*100+$O1767)</f>
        <v/>
      </c>
      <c r="Q1767" s="114" t="str">
        <f aca="false">IF($L1767="Atrasado",$E1767*10000+$A1767,"")</f>
        <v/>
      </c>
    </row>
    <row r="1768" customFormat="false" ht="15" hidden="false" customHeight="false" outlineLevel="0" collapsed="false">
      <c r="A1768" s="114" t="n">
        <f aca="false">ROW()-4</f>
        <v>1764</v>
      </c>
      <c r="B1768" s="114" t="str">
        <f aca="false">IF(A1768&lt;=Config!$E$27*Config!$E$28,"Tema","Avulso")</f>
        <v>Tema</v>
      </c>
      <c r="C1768" s="114" t="n">
        <f aca="false">IF(B1768="Tema",INT((A1768-1)/Config!$E$28)+1,A1768-Config!$E$27*Config!$E$28)</f>
        <v>294</v>
      </c>
      <c r="D1768" s="114" t="n">
        <f aca="false">IF(B1768="Tema",MOD(A1768-1,Config!$E$28)+1,"")</f>
        <v>6</v>
      </c>
      <c r="E1768" s="115" t="str">
        <f aca="false">IF($B1768="Tema",IF(ISNUMBER(INDEX(Temas!$E$6:$P$305,$C1768,2*$D1768-1)),INDEX(Temas!$E$6:$P$305,$C1768,2*$D1768-1),""),IF(ISNUMBER(INDEX(Avulsos!$B$6:$B$205,$C1768)),INDEX(Avulsos!$B$6:$B$205,$C1768),""))</f>
        <v/>
      </c>
      <c r="F1768" s="114" t="str">
        <f aca="false">IF($E1768="","",IF($B1768="Tema",INDEX(Temas!$B$6:$B$305,$C1768)&amp;"",INDEX(Avulsos!$C$6:$C$205,$C1768)&amp;""))</f>
        <v/>
      </c>
      <c r="G1768" s="114" t="str">
        <f aca="false">IF($E1768="","",IF($B1768="Tema",INDEX(Config!$C$6:$C$11,$D1768),"Evento avulso"))</f>
        <v/>
      </c>
      <c r="H1768" s="114" t="str">
        <f aca="false">IF($E1768="","",IF($B1768="Tema",INDEX(Config!$D$6:$D$11,$D1768),IFERROR(INDEX(Config!$E$15:$E$19,MATCH($I1768,Config!$C$15:$C$19,0)),"•")))</f>
        <v/>
      </c>
      <c r="I1768" s="114" t="str">
        <f aca="false">IF($E1768="","",IF($B1768="Tema",INDEX(Config!$E$6:$E$11,$D1768),IF(INDEX(Avulsos!$D$6:$D$205,$C1768)&amp;""="","Outro",INDEX(Avulsos!$D$6:$D$205,$C1768))))</f>
        <v/>
      </c>
      <c r="J1768" s="114" t="str">
        <f aca="false">IF($E1768="","",IF($B1768="Tema",INDEX(Temas!$C$6:$C$305,$C1768)&amp;"",INDEX(Avulsos!$E$6:$E$205,$C1768)&amp;""))</f>
        <v/>
      </c>
      <c r="K1768" s="114" t="str">
        <f aca="false">IF($E1768="","",IF(IF($B1768="Tema",INDEX(Temas!$E$6:$P$305,$C1768,2*$D1768),INDEX(Avulsos!$F$6:$F$205,$C1768))&amp;""="","","✓"))</f>
        <v/>
      </c>
      <c r="L1768" s="114" t="str">
        <f aca="true">IF($E1768="","",IF($K1768="✓","Concluído",IF($E1768&lt;TODAY(),"Atrasado",IF($E1768=TODAY(),"Hoje","Pendente"))))</f>
        <v/>
      </c>
      <c r="M1768" s="114" t="str">
        <f aca="false">IF($E1768="","",IF($K1768="✓","✓ ","")&amp;IF(Config!$E$22="Sim",$H1768&amp;" · ","")&amp;$F1768)</f>
        <v/>
      </c>
      <c r="N1768" s="114" t="str">
        <f aca="false">IF($E1768="","",IFERROR(INDEX(Config!$D$15:$D$19,MATCH($I1768,Config!$C$15:$C$19,0)),"OUT")&amp;IF($K1768="✓","x",""))</f>
        <v/>
      </c>
      <c r="O1768" s="114" t="str">
        <f aca="false">IF($E1768="","",COUNTIF($E$5:$E1768,$E1768))</f>
        <v/>
      </c>
      <c r="P1768" s="114" t="str">
        <f aca="false">IF($E1768="","",$E1768*100+$O1768)</f>
        <v/>
      </c>
      <c r="Q1768" s="114" t="str">
        <f aca="false">IF($L1768="Atrasado",$E1768*10000+$A1768,"")</f>
        <v/>
      </c>
    </row>
    <row r="1769" customFormat="false" ht="15" hidden="false" customHeight="false" outlineLevel="0" collapsed="false">
      <c r="A1769" s="114" t="n">
        <f aca="false">ROW()-4</f>
        <v>1765</v>
      </c>
      <c r="B1769" s="114" t="str">
        <f aca="false">IF(A1769&lt;=Config!$E$27*Config!$E$28,"Tema","Avulso")</f>
        <v>Tema</v>
      </c>
      <c r="C1769" s="114" t="n">
        <f aca="false">IF(B1769="Tema",INT((A1769-1)/Config!$E$28)+1,A1769-Config!$E$27*Config!$E$28)</f>
        <v>295</v>
      </c>
      <c r="D1769" s="114" t="n">
        <f aca="false">IF(B1769="Tema",MOD(A1769-1,Config!$E$28)+1,"")</f>
        <v>1</v>
      </c>
      <c r="E1769" s="115" t="str">
        <f aca="false">IF($B1769="Tema",IF(ISNUMBER(INDEX(Temas!$E$6:$P$305,$C1769,2*$D1769-1)),INDEX(Temas!$E$6:$P$305,$C1769,2*$D1769-1),""),IF(ISNUMBER(INDEX(Avulsos!$B$6:$B$205,$C1769)),INDEX(Avulsos!$B$6:$B$205,$C1769),""))</f>
        <v/>
      </c>
      <c r="F1769" s="114" t="str">
        <f aca="false">IF($E1769="","",IF($B1769="Tema",INDEX(Temas!$B$6:$B$305,$C1769)&amp;"",INDEX(Avulsos!$C$6:$C$205,$C1769)&amp;""))</f>
        <v/>
      </c>
      <c r="G1769" s="114" t="str">
        <f aca="false">IF($E1769="","",IF($B1769="Tema",INDEX(Config!$C$6:$C$11,$D1769),"Evento avulso"))</f>
        <v/>
      </c>
      <c r="H1769" s="114" t="str">
        <f aca="false">IF($E1769="","",IF($B1769="Tema",INDEX(Config!$D$6:$D$11,$D1769),IFERROR(INDEX(Config!$E$15:$E$19,MATCH($I1769,Config!$C$15:$C$19,0)),"•")))</f>
        <v/>
      </c>
      <c r="I1769" s="114" t="str">
        <f aca="false">IF($E1769="","",IF($B1769="Tema",INDEX(Config!$E$6:$E$11,$D1769),IF(INDEX(Avulsos!$D$6:$D$205,$C1769)&amp;""="","Outro",INDEX(Avulsos!$D$6:$D$205,$C1769))))</f>
        <v/>
      </c>
      <c r="J1769" s="114" t="str">
        <f aca="false">IF($E1769="","",IF($B1769="Tema",INDEX(Temas!$C$6:$C$305,$C1769)&amp;"",INDEX(Avulsos!$E$6:$E$205,$C1769)&amp;""))</f>
        <v/>
      </c>
      <c r="K1769" s="114" t="str">
        <f aca="false">IF($E1769="","",IF(IF($B1769="Tema",INDEX(Temas!$E$6:$P$305,$C1769,2*$D1769),INDEX(Avulsos!$F$6:$F$205,$C1769))&amp;""="","","✓"))</f>
        <v/>
      </c>
      <c r="L1769" s="114" t="str">
        <f aca="true">IF($E1769="","",IF($K1769="✓","Concluído",IF($E1769&lt;TODAY(),"Atrasado",IF($E1769=TODAY(),"Hoje","Pendente"))))</f>
        <v/>
      </c>
      <c r="M1769" s="114" t="str">
        <f aca="false">IF($E1769="","",IF($K1769="✓","✓ ","")&amp;IF(Config!$E$22="Sim",$H1769&amp;" · ","")&amp;$F1769)</f>
        <v/>
      </c>
      <c r="N1769" s="114" t="str">
        <f aca="false">IF($E1769="","",IFERROR(INDEX(Config!$D$15:$D$19,MATCH($I1769,Config!$C$15:$C$19,0)),"OUT")&amp;IF($K1769="✓","x",""))</f>
        <v/>
      </c>
      <c r="O1769" s="114" t="str">
        <f aca="false">IF($E1769="","",COUNTIF($E$5:$E1769,$E1769))</f>
        <v/>
      </c>
      <c r="P1769" s="114" t="str">
        <f aca="false">IF($E1769="","",$E1769*100+$O1769)</f>
        <v/>
      </c>
      <c r="Q1769" s="114" t="str">
        <f aca="false">IF($L1769="Atrasado",$E1769*10000+$A1769,"")</f>
        <v/>
      </c>
    </row>
    <row r="1770" customFormat="false" ht="15" hidden="false" customHeight="false" outlineLevel="0" collapsed="false">
      <c r="A1770" s="114" t="n">
        <f aca="false">ROW()-4</f>
        <v>1766</v>
      </c>
      <c r="B1770" s="114" t="str">
        <f aca="false">IF(A1770&lt;=Config!$E$27*Config!$E$28,"Tema","Avulso")</f>
        <v>Tema</v>
      </c>
      <c r="C1770" s="114" t="n">
        <f aca="false">IF(B1770="Tema",INT((A1770-1)/Config!$E$28)+1,A1770-Config!$E$27*Config!$E$28)</f>
        <v>295</v>
      </c>
      <c r="D1770" s="114" t="n">
        <f aca="false">IF(B1770="Tema",MOD(A1770-1,Config!$E$28)+1,"")</f>
        <v>2</v>
      </c>
      <c r="E1770" s="115" t="str">
        <f aca="false">IF($B1770="Tema",IF(ISNUMBER(INDEX(Temas!$E$6:$P$305,$C1770,2*$D1770-1)),INDEX(Temas!$E$6:$P$305,$C1770,2*$D1770-1),""),IF(ISNUMBER(INDEX(Avulsos!$B$6:$B$205,$C1770)),INDEX(Avulsos!$B$6:$B$205,$C1770),""))</f>
        <v/>
      </c>
      <c r="F1770" s="114" t="str">
        <f aca="false">IF($E1770="","",IF($B1770="Tema",INDEX(Temas!$B$6:$B$305,$C1770)&amp;"",INDEX(Avulsos!$C$6:$C$205,$C1770)&amp;""))</f>
        <v/>
      </c>
      <c r="G1770" s="114" t="str">
        <f aca="false">IF($E1770="","",IF($B1770="Tema",INDEX(Config!$C$6:$C$11,$D1770),"Evento avulso"))</f>
        <v/>
      </c>
      <c r="H1770" s="114" t="str">
        <f aca="false">IF($E1770="","",IF($B1770="Tema",INDEX(Config!$D$6:$D$11,$D1770),IFERROR(INDEX(Config!$E$15:$E$19,MATCH($I1770,Config!$C$15:$C$19,0)),"•")))</f>
        <v/>
      </c>
      <c r="I1770" s="114" t="str">
        <f aca="false">IF($E1770="","",IF($B1770="Tema",INDEX(Config!$E$6:$E$11,$D1770),IF(INDEX(Avulsos!$D$6:$D$205,$C1770)&amp;""="","Outro",INDEX(Avulsos!$D$6:$D$205,$C1770))))</f>
        <v/>
      </c>
      <c r="J1770" s="114" t="str">
        <f aca="false">IF($E1770="","",IF($B1770="Tema",INDEX(Temas!$C$6:$C$305,$C1770)&amp;"",INDEX(Avulsos!$E$6:$E$205,$C1770)&amp;""))</f>
        <v/>
      </c>
      <c r="K1770" s="114" t="str">
        <f aca="false">IF($E1770="","",IF(IF($B1770="Tema",INDEX(Temas!$E$6:$P$305,$C1770,2*$D1770),INDEX(Avulsos!$F$6:$F$205,$C1770))&amp;""="","","✓"))</f>
        <v/>
      </c>
      <c r="L1770" s="114" t="str">
        <f aca="true">IF($E1770="","",IF($K1770="✓","Concluído",IF($E1770&lt;TODAY(),"Atrasado",IF($E1770=TODAY(),"Hoje","Pendente"))))</f>
        <v/>
      </c>
      <c r="M1770" s="114" t="str">
        <f aca="false">IF($E1770="","",IF($K1770="✓","✓ ","")&amp;IF(Config!$E$22="Sim",$H1770&amp;" · ","")&amp;$F1770)</f>
        <v/>
      </c>
      <c r="N1770" s="114" t="str">
        <f aca="false">IF($E1770="","",IFERROR(INDEX(Config!$D$15:$D$19,MATCH($I1770,Config!$C$15:$C$19,0)),"OUT")&amp;IF($K1770="✓","x",""))</f>
        <v/>
      </c>
      <c r="O1770" s="114" t="str">
        <f aca="false">IF($E1770="","",COUNTIF($E$5:$E1770,$E1770))</f>
        <v/>
      </c>
      <c r="P1770" s="114" t="str">
        <f aca="false">IF($E1770="","",$E1770*100+$O1770)</f>
        <v/>
      </c>
      <c r="Q1770" s="114" t="str">
        <f aca="false">IF($L1770="Atrasado",$E1770*10000+$A1770,"")</f>
        <v/>
      </c>
    </row>
    <row r="1771" customFormat="false" ht="15" hidden="false" customHeight="false" outlineLevel="0" collapsed="false">
      <c r="A1771" s="114" t="n">
        <f aca="false">ROW()-4</f>
        <v>1767</v>
      </c>
      <c r="B1771" s="114" t="str">
        <f aca="false">IF(A1771&lt;=Config!$E$27*Config!$E$28,"Tema","Avulso")</f>
        <v>Tema</v>
      </c>
      <c r="C1771" s="114" t="n">
        <f aca="false">IF(B1771="Tema",INT((A1771-1)/Config!$E$28)+1,A1771-Config!$E$27*Config!$E$28)</f>
        <v>295</v>
      </c>
      <c r="D1771" s="114" t="n">
        <f aca="false">IF(B1771="Tema",MOD(A1771-1,Config!$E$28)+1,"")</f>
        <v>3</v>
      </c>
      <c r="E1771" s="115" t="str">
        <f aca="false">IF($B1771="Tema",IF(ISNUMBER(INDEX(Temas!$E$6:$P$305,$C1771,2*$D1771-1)),INDEX(Temas!$E$6:$P$305,$C1771,2*$D1771-1),""),IF(ISNUMBER(INDEX(Avulsos!$B$6:$B$205,$C1771)),INDEX(Avulsos!$B$6:$B$205,$C1771),""))</f>
        <v/>
      </c>
      <c r="F1771" s="114" t="str">
        <f aca="false">IF($E1771="","",IF($B1771="Tema",INDEX(Temas!$B$6:$B$305,$C1771)&amp;"",INDEX(Avulsos!$C$6:$C$205,$C1771)&amp;""))</f>
        <v/>
      </c>
      <c r="G1771" s="114" t="str">
        <f aca="false">IF($E1771="","",IF($B1771="Tema",INDEX(Config!$C$6:$C$11,$D1771),"Evento avulso"))</f>
        <v/>
      </c>
      <c r="H1771" s="114" t="str">
        <f aca="false">IF($E1771="","",IF($B1771="Tema",INDEX(Config!$D$6:$D$11,$D1771),IFERROR(INDEX(Config!$E$15:$E$19,MATCH($I1771,Config!$C$15:$C$19,0)),"•")))</f>
        <v/>
      </c>
      <c r="I1771" s="114" t="str">
        <f aca="false">IF($E1771="","",IF($B1771="Tema",INDEX(Config!$E$6:$E$11,$D1771),IF(INDEX(Avulsos!$D$6:$D$205,$C1771)&amp;""="","Outro",INDEX(Avulsos!$D$6:$D$205,$C1771))))</f>
        <v/>
      </c>
      <c r="J1771" s="114" t="str">
        <f aca="false">IF($E1771="","",IF($B1771="Tema",INDEX(Temas!$C$6:$C$305,$C1771)&amp;"",INDEX(Avulsos!$E$6:$E$205,$C1771)&amp;""))</f>
        <v/>
      </c>
      <c r="K1771" s="114" t="str">
        <f aca="false">IF($E1771="","",IF(IF($B1771="Tema",INDEX(Temas!$E$6:$P$305,$C1771,2*$D1771),INDEX(Avulsos!$F$6:$F$205,$C1771))&amp;""="","","✓"))</f>
        <v/>
      </c>
      <c r="L1771" s="114" t="str">
        <f aca="true">IF($E1771="","",IF($K1771="✓","Concluído",IF($E1771&lt;TODAY(),"Atrasado",IF($E1771=TODAY(),"Hoje","Pendente"))))</f>
        <v/>
      </c>
      <c r="M1771" s="114" t="str">
        <f aca="false">IF($E1771="","",IF($K1771="✓","✓ ","")&amp;IF(Config!$E$22="Sim",$H1771&amp;" · ","")&amp;$F1771)</f>
        <v/>
      </c>
      <c r="N1771" s="114" t="str">
        <f aca="false">IF($E1771="","",IFERROR(INDEX(Config!$D$15:$D$19,MATCH($I1771,Config!$C$15:$C$19,0)),"OUT")&amp;IF($K1771="✓","x",""))</f>
        <v/>
      </c>
      <c r="O1771" s="114" t="str">
        <f aca="false">IF($E1771="","",COUNTIF($E$5:$E1771,$E1771))</f>
        <v/>
      </c>
      <c r="P1771" s="114" t="str">
        <f aca="false">IF($E1771="","",$E1771*100+$O1771)</f>
        <v/>
      </c>
      <c r="Q1771" s="114" t="str">
        <f aca="false">IF($L1771="Atrasado",$E1771*10000+$A1771,"")</f>
        <v/>
      </c>
    </row>
    <row r="1772" customFormat="false" ht="15" hidden="false" customHeight="false" outlineLevel="0" collapsed="false">
      <c r="A1772" s="114" t="n">
        <f aca="false">ROW()-4</f>
        <v>1768</v>
      </c>
      <c r="B1772" s="114" t="str">
        <f aca="false">IF(A1772&lt;=Config!$E$27*Config!$E$28,"Tema","Avulso")</f>
        <v>Tema</v>
      </c>
      <c r="C1772" s="114" t="n">
        <f aca="false">IF(B1772="Tema",INT((A1772-1)/Config!$E$28)+1,A1772-Config!$E$27*Config!$E$28)</f>
        <v>295</v>
      </c>
      <c r="D1772" s="114" t="n">
        <f aca="false">IF(B1772="Tema",MOD(A1772-1,Config!$E$28)+1,"")</f>
        <v>4</v>
      </c>
      <c r="E1772" s="115" t="str">
        <f aca="false">IF($B1772="Tema",IF(ISNUMBER(INDEX(Temas!$E$6:$P$305,$C1772,2*$D1772-1)),INDEX(Temas!$E$6:$P$305,$C1772,2*$D1772-1),""),IF(ISNUMBER(INDEX(Avulsos!$B$6:$B$205,$C1772)),INDEX(Avulsos!$B$6:$B$205,$C1772),""))</f>
        <v/>
      </c>
      <c r="F1772" s="114" t="str">
        <f aca="false">IF($E1772="","",IF($B1772="Tema",INDEX(Temas!$B$6:$B$305,$C1772)&amp;"",INDEX(Avulsos!$C$6:$C$205,$C1772)&amp;""))</f>
        <v/>
      </c>
      <c r="G1772" s="114" t="str">
        <f aca="false">IF($E1772="","",IF($B1772="Tema",INDEX(Config!$C$6:$C$11,$D1772),"Evento avulso"))</f>
        <v/>
      </c>
      <c r="H1772" s="114" t="str">
        <f aca="false">IF($E1772="","",IF($B1772="Tema",INDEX(Config!$D$6:$D$11,$D1772),IFERROR(INDEX(Config!$E$15:$E$19,MATCH($I1772,Config!$C$15:$C$19,0)),"•")))</f>
        <v/>
      </c>
      <c r="I1772" s="114" t="str">
        <f aca="false">IF($E1772="","",IF($B1772="Tema",INDEX(Config!$E$6:$E$11,$D1772),IF(INDEX(Avulsos!$D$6:$D$205,$C1772)&amp;""="","Outro",INDEX(Avulsos!$D$6:$D$205,$C1772))))</f>
        <v/>
      </c>
      <c r="J1772" s="114" t="str">
        <f aca="false">IF($E1772="","",IF($B1772="Tema",INDEX(Temas!$C$6:$C$305,$C1772)&amp;"",INDEX(Avulsos!$E$6:$E$205,$C1772)&amp;""))</f>
        <v/>
      </c>
      <c r="K1772" s="114" t="str">
        <f aca="false">IF($E1772="","",IF(IF($B1772="Tema",INDEX(Temas!$E$6:$P$305,$C1772,2*$D1772),INDEX(Avulsos!$F$6:$F$205,$C1772))&amp;""="","","✓"))</f>
        <v/>
      </c>
      <c r="L1772" s="114" t="str">
        <f aca="true">IF($E1772="","",IF($K1772="✓","Concluído",IF($E1772&lt;TODAY(),"Atrasado",IF($E1772=TODAY(),"Hoje","Pendente"))))</f>
        <v/>
      </c>
      <c r="M1772" s="114" t="str">
        <f aca="false">IF($E1772="","",IF($K1772="✓","✓ ","")&amp;IF(Config!$E$22="Sim",$H1772&amp;" · ","")&amp;$F1772)</f>
        <v/>
      </c>
      <c r="N1772" s="114" t="str">
        <f aca="false">IF($E1772="","",IFERROR(INDEX(Config!$D$15:$D$19,MATCH($I1772,Config!$C$15:$C$19,0)),"OUT")&amp;IF($K1772="✓","x",""))</f>
        <v/>
      </c>
      <c r="O1772" s="114" t="str">
        <f aca="false">IF($E1772="","",COUNTIF($E$5:$E1772,$E1772))</f>
        <v/>
      </c>
      <c r="P1772" s="114" t="str">
        <f aca="false">IF($E1772="","",$E1772*100+$O1772)</f>
        <v/>
      </c>
      <c r="Q1772" s="114" t="str">
        <f aca="false">IF($L1772="Atrasado",$E1772*10000+$A1772,"")</f>
        <v/>
      </c>
    </row>
    <row r="1773" customFormat="false" ht="15" hidden="false" customHeight="false" outlineLevel="0" collapsed="false">
      <c r="A1773" s="114" t="n">
        <f aca="false">ROW()-4</f>
        <v>1769</v>
      </c>
      <c r="B1773" s="114" t="str">
        <f aca="false">IF(A1773&lt;=Config!$E$27*Config!$E$28,"Tema","Avulso")</f>
        <v>Tema</v>
      </c>
      <c r="C1773" s="114" t="n">
        <f aca="false">IF(B1773="Tema",INT((A1773-1)/Config!$E$28)+1,A1773-Config!$E$27*Config!$E$28)</f>
        <v>295</v>
      </c>
      <c r="D1773" s="114" t="n">
        <f aca="false">IF(B1773="Tema",MOD(A1773-1,Config!$E$28)+1,"")</f>
        <v>5</v>
      </c>
      <c r="E1773" s="115" t="str">
        <f aca="false">IF($B1773="Tema",IF(ISNUMBER(INDEX(Temas!$E$6:$P$305,$C1773,2*$D1773-1)),INDEX(Temas!$E$6:$P$305,$C1773,2*$D1773-1),""),IF(ISNUMBER(INDEX(Avulsos!$B$6:$B$205,$C1773)),INDEX(Avulsos!$B$6:$B$205,$C1773),""))</f>
        <v/>
      </c>
      <c r="F1773" s="114" t="str">
        <f aca="false">IF($E1773="","",IF($B1773="Tema",INDEX(Temas!$B$6:$B$305,$C1773)&amp;"",INDEX(Avulsos!$C$6:$C$205,$C1773)&amp;""))</f>
        <v/>
      </c>
      <c r="G1773" s="114" t="str">
        <f aca="false">IF($E1773="","",IF($B1773="Tema",INDEX(Config!$C$6:$C$11,$D1773),"Evento avulso"))</f>
        <v/>
      </c>
      <c r="H1773" s="114" t="str">
        <f aca="false">IF($E1773="","",IF($B1773="Tema",INDEX(Config!$D$6:$D$11,$D1773),IFERROR(INDEX(Config!$E$15:$E$19,MATCH($I1773,Config!$C$15:$C$19,0)),"•")))</f>
        <v/>
      </c>
      <c r="I1773" s="114" t="str">
        <f aca="false">IF($E1773="","",IF($B1773="Tema",INDEX(Config!$E$6:$E$11,$D1773),IF(INDEX(Avulsos!$D$6:$D$205,$C1773)&amp;""="","Outro",INDEX(Avulsos!$D$6:$D$205,$C1773))))</f>
        <v/>
      </c>
      <c r="J1773" s="114" t="str">
        <f aca="false">IF($E1773="","",IF($B1773="Tema",INDEX(Temas!$C$6:$C$305,$C1773)&amp;"",INDEX(Avulsos!$E$6:$E$205,$C1773)&amp;""))</f>
        <v/>
      </c>
      <c r="K1773" s="114" t="str">
        <f aca="false">IF($E1773="","",IF(IF($B1773="Tema",INDEX(Temas!$E$6:$P$305,$C1773,2*$D1773),INDEX(Avulsos!$F$6:$F$205,$C1773))&amp;""="","","✓"))</f>
        <v/>
      </c>
      <c r="L1773" s="114" t="str">
        <f aca="true">IF($E1773="","",IF($K1773="✓","Concluído",IF($E1773&lt;TODAY(),"Atrasado",IF($E1773=TODAY(),"Hoje","Pendente"))))</f>
        <v/>
      </c>
      <c r="M1773" s="114" t="str">
        <f aca="false">IF($E1773="","",IF($K1773="✓","✓ ","")&amp;IF(Config!$E$22="Sim",$H1773&amp;" · ","")&amp;$F1773)</f>
        <v/>
      </c>
      <c r="N1773" s="114" t="str">
        <f aca="false">IF($E1773="","",IFERROR(INDEX(Config!$D$15:$D$19,MATCH($I1773,Config!$C$15:$C$19,0)),"OUT")&amp;IF($K1773="✓","x",""))</f>
        <v/>
      </c>
      <c r="O1773" s="114" t="str">
        <f aca="false">IF($E1773="","",COUNTIF($E$5:$E1773,$E1773))</f>
        <v/>
      </c>
      <c r="P1773" s="114" t="str">
        <f aca="false">IF($E1773="","",$E1773*100+$O1773)</f>
        <v/>
      </c>
      <c r="Q1773" s="114" t="str">
        <f aca="false">IF($L1773="Atrasado",$E1773*10000+$A1773,"")</f>
        <v/>
      </c>
    </row>
    <row r="1774" customFormat="false" ht="15" hidden="false" customHeight="false" outlineLevel="0" collapsed="false">
      <c r="A1774" s="114" t="n">
        <f aca="false">ROW()-4</f>
        <v>1770</v>
      </c>
      <c r="B1774" s="114" t="str">
        <f aca="false">IF(A1774&lt;=Config!$E$27*Config!$E$28,"Tema","Avulso")</f>
        <v>Tema</v>
      </c>
      <c r="C1774" s="114" t="n">
        <f aca="false">IF(B1774="Tema",INT((A1774-1)/Config!$E$28)+1,A1774-Config!$E$27*Config!$E$28)</f>
        <v>295</v>
      </c>
      <c r="D1774" s="114" t="n">
        <f aca="false">IF(B1774="Tema",MOD(A1774-1,Config!$E$28)+1,"")</f>
        <v>6</v>
      </c>
      <c r="E1774" s="115" t="str">
        <f aca="false">IF($B1774="Tema",IF(ISNUMBER(INDEX(Temas!$E$6:$P$305,$C1774,2*$D1774-1)),INDEX(Temas!$E$6:$P$305,$C1774,2*$D1774-1),""),IF(ISNUMBER(INDEX(Avulsos!$B$6:$B$205,$C1774)),INDEX(Avulsos!$B$6:$B$205,$C1774),""))</f>
        <v/>
      </c>
      <c r="F1774" s="114" t="str">
        <f aca="false">IF($E1774="","",IF($B1774="Tema",INDEX(Temas!$B$6:$B$305,$C1774)&amp;"",INDEX(Avulsos!$C$6:$C$205,$C1774)&amp;""))</f>
        <v/>
      </c>
      <c r="G1774" s="114" t="str">
        <f aca="false">IF($E1774="","",IF($B1774="Tema",INDEX(Config!$C$6:$C$11,$D1774),"Evento avulso"))</f>
        <v/>
      </c>
      <c r="H1774" s="114" t="str">
        <f aca="false">IF($E1774="","",IF($B1774="Tema",INDEX(Config!$D$6:$D$11,$D1774),IFERROR(INDEX(Config!$E$15:$E$19,MATCH($I1774,Config!$C$15:$C$19,0)),"•")))</f>
        <v/>
      </c>
      <c r="I1774" s="114" t="str">
        <f aca="false">IF($E1774="","",IF($B1774="Tema",INDEX(Config!$E$6:$E$11,$D1774),IF(INDEX(Avulsos!$D$6:$D$205,$C1774)&amp;""="","Outro",INDEX(Avulsos!$D$6:$D$205,$C1774))))</f>
        <v/>
      </c>
      <c r="J1774" s="114" t="str">
        <f aca="false">IF($E1774="","",IF($B1774="Tema",INDEX(Temas!$C$6:$C$305,$C1774)&amp;"",INDEX(Avulsos!$E$6:$E$205,$C1774)&amp;""))</f>
        <v/>
      </c>
      <c r="K1774" s="114" t="str">
        <f aca="false">IF($E1774="","",IF(IF($B1774="Tema",INDEX(Temas!$E$6:$P$305,$C1774,2*$D1774),INDEX(Avulsos!$F$6:$F$205,$C1774))&amp;""="","","✓"))</f>
        <v/>
      </c>
      <c r="L1774" s="114" t="str">
        <f aca="true">IF($E1774="","",IF($K1774="✓","Concluído",IF($E1774&lt;TODAY(),"Atrasado",IF($E1774=TODAY(),"Hoje","Pendente"))))</f>
        <v/>
      </c>
      <c r="M1774" s="114" t="str">
        <f aca="false">IF($E1774="","",IF($K1774="✓","✓ ","")&amp;IF(Config!$E$22="Sim",$H1774&amp;" · ","")&amp;$F1774)</f>
        <v/>
      </c>
      <c r="N1774" s="114" t="str">
        <f aca="false">IF($E1774="","",IFERROR(INDEX(Config!$D$15:$D$19,MATCH($I1774,Config!$C$15:$C$19,0)),"OUT")&amp;IF($K1774="✓","x",""))</f>
        <v/>
      </c>
      <c r="O1774" s="114" t="str">
        <f aca="false">IF($E1774="","",COUNTIF($E$5:$E1774,$E1774))</f>
        <v/>
      </c>
      <c r="P1774" s="114" t="str">
        <f aca="false">IF($E1774="","",$E1774*100+$O1774)</f>
        <v/>
      </c>
      <c r="Q1774" s="114" t="str">
        <f aca="false">IF($L1774="Atrasado",$E1774*10000+$A1774,"")</f>
        <v/>
      </c>
    </row>
    <row r="1775" customFormat="false" ht="15" hidden="false" customHeight="false" outlineLevel="0" collapsed="false">
      <c r="A1775" s="114" t="n">
        <f aca="false">ROW()-4</f>
        <v>1771</v>
      </c>
      <c r="B1775" s="114" t="str">
        <f aca="false">IF(A1775&lt;=Config!$E$27*Config!$E$28,"Tema","Avulso")</f>
        <v>Tema</v>
      </c>
      <c r="C1775" s="114" t="n">
        <f aca="false">IF(B1775="Tema",INT((A1775-1)/Config!$E$28)+1,A1775-Config!$E$27*Config!$E$28)</f>
        <v>296</v>
      </c>
      <c r="D1775" s="114" t="n">
        <f aca="false">IF(B1775="Tema",MOD(A1775-1,Config!$E$28)+1,"")</f>
        <v>1</v>
      </c>
      <c r="E1775" s="115" t="str">
        <f aca="false">IF($B1775="Tema",IF(ISNUMBER(INDEX(Temas!$E$6:$P$305,$C1775,2*$D1775-1)),INDEX(Temas!$E$6:$P$305,$C1775,2*$D1775-1),""),IF(ISNUMBER(INDEX(Avulsos!$B$6:$B$205,$C1775)),INDEX(Avulsos!$B$6:$B$205,$C1775),""))</f>
        <v/>
      </c>
      <c r="F1775" s="114" t="str">
        <f aca="false">IF($E1775="","",IF($B1775="Tema",INDEX(Temas!$B$6:$B$305,$C1775)&amp;"",INDEX(Avulsos!$C$6:$C$205,$C1775)&amp;""))</f>
        <v/>
      </c>
      <c r="G1775" s="114" t="str">
        <f aca="false">IF($E1775="","",IF($B1775="Tema",INDEX(Config!$C$6:$C$11,$D1775),"Evento avulso"))</f>
        <v/>
      </c>
      <c r="H1775" s="114" t="str">
        <f aca="false">IF($E1775="","",IF($B1775="Tema",INDEX(Config!$D$6:$D$11,$D1775),IFERROR(INDEX(Config!$E$15:$E$19,MATCH($I1775,Config!$C$15:$C$19,0)),"•")))</f>
        <v/>
      </c>
      <c r="I1775" s="114" t="str">
        <f aca="false">IF($E1775="","",IF($B1775="Tema",INDEX(Config!$E$6:$E$11,$D1775),IF(INDEX(Avulsos!$D$6:$D$205,$C1775)&amp;""="","Outro",INDEX(Avulsos!$D$6:$D$205,$C1775))))</f>
        <v/>
      </c>
      <c r="J1775" s="114" t="str">
        <f aca="false">IF($E1775="","",IF($B1775="Tema",INDEX(Temas!$C$6:$C$305,$C1775)&amp;"",INDEX(Avulsos!$E$6:$E$205,$C1775)&amp;""))</f>
        <v/>
      </c>
      <c r="K1775" s="114" t="str">
        <f aca="false">IF($E1775="","",IF(IF($B1775="Tema",INDEX(Temas!$E$6:$P$305,$C1775,2*$D1775),INDEX(Avulsos!$F$6:$F$205,$C1775))&amp;""="","","✓"))</f>
        <v/>
      </c>
      <c r="L1775" s="114" t="str">
        <f aca="true">IF($E1775="","",IF($K1775="✓","Concluído",IF($E1775&lt;TODAY(),"Atrasado",IF($E1775=TODAY(),"Hoje","Pendente"))))</f>
        <v/>
      </c>
      <c r="M1775" s="114" t="str">
        <f aca="false">IF($E1775="","",IF($K1775="✓","✓ ","")&amp;IF(Config!$E$22="Sim",$H1775&amp;" · ","")&amp;$F1775)</f>
        <v/>
      </c>
      <c r="N1775" s="114" t="str">
        <f aca="false">IF($E1775="","",IFERROR(INDEX(Config!$D$15:$D$19,MATCH($I1775,Config!$C$15:$C$19,0)),"OUT")&amp;IF($K1775="✓","x",""))</f>
        <v/>
      </c>
      <c r="O1775" s="114" t="str">
        <f aca="false">IF($E1775="","",COUNTIF($E$5:$E1775,$E1775))</f>
        <v/>
      </c>
      <c r="P1775" s="114" t="str">
        <f aca="false">IF($E1775="","",$E1775*100+$O1775)</f>
        <v/>
      </c>
      <c r="Q1775" s="114" t="str">
        <f aca="false">IF($L1775="Atrasado",$E1775*10000+$A1775,"")</f>
        <v/>
      </c>
    </row>
    <row r="1776" customFormat="false" ht="15" hidden="false" customHeight="false" outlineLevel="0" collapsed="false">
      <c r="A1776" s="114" t="n">
        <f aca="false">ROW()-4</f>
        <v>1772</v>
      </c>
      <c r="B1776" s="114" t="str">
        <f aca="false">IF(A1776&lt;=Config!$E$27*Config!$E$28,"Tema","Avulso")</f>
        <v>Tema</v>
      </c>
      <c r="C1776" s="114" t="n">
        <f aca="false">IF(B1776="Tema",INT((A1776-1)/Config!$E$28)+1,A1776-Config!$E$27*Config!$E$28)</f>
        <v>296</v>
      </c>
      <c r="D1776" s="114" t="n">
        <f aca="false">IF(B1776="Tema",MOD(A1776-1,Config!$E$28)+1,"")</f>
        <v>2</v>
      </c>
      <c r="E1776" s="115" t="str">
        <f aca="false">IF($B1776="Tema",IF(ISNUMBER(INDEX(Temas!$E$6:$P$305,$C1776,2*$D1776-1)),INDEX(Temas!$E$6:$P$305,$C1776,2*$D1776-1),""),IF(ISNUMBER(INDEX(Avulsos!$B$6:$B$205,$C1776)),INDEX(Avulsos!$B$6:$B$205,$C1776),""))</f>
        <v/>
      </c>
      <c r="F1776" s="114" t="str">
        <f aca="false">IF($E1776="","",IF($B1776="Tema",INDEX(Temas!$B$6:$B$305,$C1776)&amp;"",INDEX(Avulsos!$C$6:$C$205,$C1776)&amp;""))</f>
        <v/>
      </c>
      <c r="G1776" s="114" t="str">
        <f aca="false">IF($E1776="","",IF($B1776="Tema",INDEX(Config!$C$6:$C$11,$D1776),"Evento avulso"))</f>
        <v/>
      </c>
      <c r="H1776" s="114" t="str">
        <f aca="false">IF($E1776="","",IF($B1776="Tema",INDEX(Config!$D$6:$D$11,$D1776),IFERROR(INDEX(Config!$E$15:$E$19,MATCH($I1776,Config!$C$15:$C$19,0)),"•")))</f>
        <v/>
      </c>
      <c r="I1776" s="114" t="str">
        <f aca="false">IF($E1776="","",IF($B1776="Tema",INDEX(Config!$E$6:$E$11,$D1776),IF(INDEX(Avulsos!$D$6:$D$205,$C1776)&amp;""="","Outro",INDEX(Avulsos!$D$6:$D$205,$C1776))))</f>
        <v/>
      </c>
      <c r="J1776" s="114" t="str">
        <f aca="false">IF($E1776="","",IF($B1776="Tema",INDEX(Temas!$C$6:$C$305,$C1776)&amp;"",INDEX(Avulsos!$E$6:$E$205,$C1776)&amp;""))</f>
        <v/>
      </c>
      <c r="K1776" s="114" t="str">
        <f aca="false">IF($E1776="","",IF(IF($B1776="Tema",INDEX(Temas!$E$6:$P$305,$C1776,2*$D1776),INDEX(Avulsos!$F$6:$F$205,$C1776))&amp;""="","","✓"))</f>
        <v/>
      </c>
      <c r="L1776" s="114" t="str">
        <f aca="true">IF($E1776="","",IF($K1776="✓","Concluído",IF($E1776&lt;TODAY(),"Atrasado",IF($E1776=TODAY(),"Hoje","Pendente"))))</f>
        <v/>
      </c>
      <c r="M1776" s="114" t="str">
        <f aca="false">IF($E1776="","",IF($K1776="✓","✓ ","")&amp;IF(Config!$E$22="Sim",$H1776&amp;" · ","")&amp;$F1776)</f>
        <v/>
      </c>
      <c r="N1776" s="114" t="str">
        <f aca="false">IF($E1776="","",IFERROR(INDEX(Config!$D$15:$D$19,MATCH($I1776,Config!$C$15:$C$19,0)),"OUT")&amp;IF($K1776="✓","x",""))</f>
        <v/>
      </c>
      <c r="O1776" s="114" t="str">
        <f aca="false">IF($E1776="","",COUNTIF($E$5:$E1776,$E1776))</f>
        <v/>
      </c>
      <c r="P1776" s="114" t="str">
        <f aca="false">IF($E1776="","",$E1776*100+$O1776)</f>
        <v/>
      </c>
      <c r="Q1776" s="114" t="str">
        <f aca="false">IF($L1776="Atrasado",$E1776*10000+$A1776,"")</f>
        <v/>
      </c>
    </row>
    <row r="1777" customFormat="false" ht="15" hidden="false" customHeight="false" outlineLevel="0" collapsed="false">
      <c r="A1777" s="114" t="n">
        <f aca="false">ROW()-4</f>
        <v>1773</v>
      </c>
      <c r="B1777" s="114" t="str">
        <f aca="false">IF(A1777&lt;=Config!$E$27*Config!$E$28,"Tema","Avulso")</f>
        <v>Tema</v>
      </c>
      <c r="C1777" s="114" t="n">
        <f aca="false">IF(B1777="Tema",INT((A1777-1)/Config!$E$28)+1,A1777-Config!$E$27*Config!$E$28)</f>
        <v>296</v>
      </c>
      <c r="D1777" s="114" t="n">
        <f aca="false">IF(B1777="Tema",MOD(A1777-1,Config!$E$28)+1,"")</f>
        <v>3</v>
      </c>
      <c r="E1777" s="115" t="str">
        <f aca="false">IF($B1777="Tema",IF(ISNUMBER(INDEX(Temas!$E$6:$P$305,$C1777,2*$D1777-1)),INDEX(Temas!$E$6:$P$305,$C1777,2*$D1777-1),""),IF(ISNUMBER(INDEX(Avulsos!$B$6:$B$205,$C1777)),INDEX(Avulsos!$B$6:$B$205,$C1777),""))</f>
        <v/>
      </c>
      <c r="F1777" s="114" t="str">
        <f aca="false">IF($E1777="","",IF($B1777="Tema",INDEX(Temas!$B$6:$B$305,$C1777)&amp;"",INDEX(Avulsos!$C$6:$C$205,$C1777)&amp;""))</f>
        <v/>
      </c>
      <c r="G1777" s="114" t="str">
        <f aca="false">IF($E1777="","",IF($B1777="Tema",INDEX(Config!$C$6:$C$11,$D1777),"Evento avulso"))</f>
        <v/>
      </c>
      <c r="H1777" s="114" t="str">
        <f aca="false">IF($E1777="","",IF($B1777="Tema",INDEX(Config!$D$6:$D$11,$D1777),IFERROR(INDEX(Config!$E$15:$E$19,MATCH($I1777,Config!$C$15:$C$19,0)),"•")))</f>
        <v/>
      </c>
      <c r="I1777" s="114" t="str">
        <f aca="false">IF($E1777="","",IF($B1777="Tema",INDEX(Config!$E$6:$E$11,$D1777),IF(INDEX(Avulsos!$D$6:$D$205,$C1777)&amp;""="","Outro",INDEX(Avulsos!$D$6:$D$205,$C1777))))</f>
        <v/>
      </c>
      <c r="J1777" s="114" t="str">
        <f aca="false">IF($E1777="","",IF($B1777="Tema",INDEX(Temas!$C$6:$C$305,$C1777)&amp;"",INDEX(Avulsos!$E$6:$E$205,$C1777)&amp;""))</f>
        <v/>
      </c>
      <c r="K1777" s="114" t="str">
        <f aca="false">IF($E1777="","",IF(IF($B1777="Tema",INDEX(Temas!$E$6:$P$305,$C1777,2*$D1777),INDEX(Avulsos!$F$6:$F$205,$C1777))&amp;""="","","✓"))</f>
        <v/>
      </c>
      <c r="L1777" s="114" t="str">
        <f aca="true">IF($E1777="","",IF($K1777="✓","Concluído",IF($E1777&lt;TODAY(),"Atrasado",IF($E1777=TODAY(),"Hoje","Pendente"))))</f>
        <v/>
      </c>
      <c r="M1777" s="114" t="str">
        <f aca="false">IF($E1777="","",IF($K1777="✓","✓ ","")&amp;IF(Config!$E$22="Sim",$H1777&amp;" · ","")&amp;$F1777)</f>
        <v/>
      </c>
      <c r="N1777" s="114" t="str">
        <f aca="false">IF($E1777="","",IFERROR(INDEX(Config!$D$15:$D$19,MATCH($I1777,Config!$C$15:$C$19,0)),"OUT")&amp;IF($K1777="✓","x",""))</f>
        <v/>
      </c>
      <c r="O1777" s="114" t="str">
        <f aca="false">IF($E1777="","",COUNTIF($E$5:$E1777,$E1777))</f>
        <v/>
      </c>
      <c r="P1777" s="114" t="str">
        <f aca="false">IF($E1777="","",$E1777*100+$O1777)</f>
        <v/>
      </c>
      <c r="Q1777" s="114" t="str">
        <f aca="false">IF($L1777="Atrasado",$E1777*10000+$A1777,"")</f>
        <v/>
      </c>
    </row>
    <row r="1778" customFormat="false" ht="15" hidden="false" customHeight="false" outlineLevel="0" collapsed="false">
      <c r="A1778" s="114" t="n">
        <f aca="false">ROW()-4</f>
        <v>1774</v>
      </c>
      <c r="B1778" s="114" t="str">
        <f aca="false">IF(A1778&lt;=Config!$E$27*Config!$E$28,"Tema","Avulso")</f>
        <v>Tema</v>
      </c>
      <c r="C1778" s="114" t="n">
        <f aca="false">IF(B1778="Tema",INT((A1778-1)/Config!$E$28)+1,A1778-Config!$E$27*Config!$E$28)</f>
        <v>296</v>
      </c>
      <c r="D1778" s="114" t="n">
        <f aca="false">IF(B1778="Tema",MOD(A1778-1,Config!$E$28)+1,"")</f>
        <v>4</v>
      </c>
      <c r="E1778" s="115" t="str">
        <f aca="false">IF($B1778="Tema",IF(ISNUMBER(INDEX(Temas!$E$6:$P$305,$C1778,2*$D1778-1)),INDEX(Temas!$E$6:$P$305,$C1778,2*$D1778-1),""),IF(ISNUMBER(INDEX(Avulsos!$B$6:$B$205,$C1778)),INDEX(Avulsos!$B$6:$B$205,$C1778),""))</f>
        <v/>
      </c>
      <c r="F1778" s="114" t="str">
        <f aca="false">IF($E1778="","",IF($B1778="Tema",INDEX(Temas!$B$6:$B$305,$C1778)&amp;"",INDEX(Avulsos!$C$6:$C$205,$C1778)&amp;""))</f>
        <v/>
      </c>
      <c r="G1778" s="114" t="str">
        <f aca="false">IF($E1778="","",IF($B1778="Tema",INDEX(Config!$C$6:$C$11,$D1778),"Evento avulso"))</f>
        <v/>
      </c>
      <c r="H1778" s="114" t="str">
        <f aca="false">IF($E1778="","",IF($B1778="Tema",INDEX(Config!$D$6:$D$11,$D1778),IFERROR(INDEX(Config!$E$15:$E$19,MATCH($I1778,Config!$C$15:$C$19,0)),"•")))</f>
        <v/>
      </c>
      <c r="I1778" s="114" t="str">
        <f aca="false">IF($E1778="","",IF($B1778="Tema",INDEX(Config!$E$6:$E$11,$D1778),IF(INDEX(Avulsos!$D$6:$D$205,$C1778)&amp;""="","Outro",INDEX(Avulsos!$D$6:$D$205,$C1778))))</f>
        <v/>
      </c>
      <c r="J1778" s="114" t="str">
        <f aca="false">IF($E1778="","",IF($B1778="Tema",INDEX(Temas!$C$6:$C$305,$C1778)&amp;"",INDEX(Avulsos!$E$6:$E$205,$C1778)&amp;""))</f>
        <v/>
      </c>
      <c r="K1778" s="114" t="str">
        <f aca="false">IF($E1778="","",IF(IF($B1778="Tema",INDEX(Temas!$E$6:$P$305,$C1778,2*$D1778),INDEX(Avulsos!$F$6:$F$205,$C1778))&amp;""="","","✓"))</f>
        <v/>
      </c>
      <c r="L1778" s="114" t="str">
        <f aca="true">IF($E1778="","",IF($K1778="✓","Concluído",IF($E1778&lt;TODAY(),"Atrasado",IF($E1778=TODAY(),"Hoje","Pendente"))))</f>
        <v/>
      </c>
      <c r="M1778" s="114" t="str">
        <f aca="false">IF($E1778="","",IF($K1778="✓","✓ ","")&amp;IF(Config!$E$22="Sim",$H1778&amp;" · ","")&amp;$F1778)</f>
        <v/>
      </c>
      <c r="N1778" s="114" t="str">
        <f aca="false">IF($E1778="","",IFERROR(INDEX(Config!$D$15:$D$19,MATCH($I1778,Config!$C$15:$C$19,0)),"OUT")&amp;IF($K1778="✓","x",""))</f>
        <v/>
      </c>
      <c r="O1778" s="114" t="str">
        <f aca="false">IF($E1778="","",COUNTIF($E$5:$E1778,$E1778))</f>
        <v/>
      </c>
      <c r="P1778" s="114" t="str">
        <f aca="false">IF($E1778="","",$E1778*100+$O1778)</f>
        <v/>
      </c>
      <c r="Q1778" s="114" t="str">
        <f aca="false">IF($L1778="Atrasado",$E1778*10000+$A1778,"")</f>
        <v/>
      </c>
    </row>
    <row r="1779" customFormat="false" ht="15" hidden="false" customHeight="false" outlineLevel="0" collapsed="false">
      <c r="A1779" s="114" t="n">
        <f aca="false">ROW()-4</f>
        <v>1775</v>
      </c>
      <c r="B1779" s="114" t="str">
        <f aca="false">IF(A1779&lt;=Config!$E$27*Config!$E$28,"Tema","Avulso")</f>
        <v>Tema</v>
      </c>
      <c r="C1779" s="114" t="n">
        <f aca="false">IF(B1779="Tema",INT((A1779-1)/Config!$E$28)+1,A1779-Config!$E$27*Config!$E$28)</f>
        <v>296</v>
      </c>
      <c r="D1779" s="114" t="n">
        <f aca="false">IF(B1779="Tema",MOD(A1779-1,Config!$E$28)+1,"")</f>
        <v>5</v>
      </c>
      <c r="E1779" s="115" t="str">
        <f aca="false">IF($B1779="Tema",IF(ISNUMBER(INDEX(Temas!$E$6:$P$305,$C1779,2*$D1779-1)),INDEX(Temas!$E$6:$P$305,$C1779,2*$D1779-1),""),IF(ISNUMBER(INDEX(Avulsos!$B$6:$B$205,$C1779)),INDEX(Avulsos!$B$6:$B$205,$C1779),""))</f>
        <v/>
      </c>
      <c r="F1779" s="114" t="str">
        <f aca="false">IF($E1779="","",IF($B1779="Tema",INDEX(Temas!$B$6:$B$305,$C1779)&amp;"",INDEX(Avulsos!$C$6:$C$205,$C1779)&amp;""))</f>
        <v/>
      </c>
      <c r="G1779" s="114" t="str">
        <f aca="false">IF($E1779="","",IF($B1779="Tema",INDEX(Config!$C$6:$C$11,$D1779),"Evento avulso"))</f>
        <v/>
      </c>
      <c r="H1779" s="114" t="str">
        <f aca="false">IF($E1779="","",IF($B1779="Tema",INDEX(Config!$D$6:$D$11,$D1779),IFERROR(INDEX(Config!$E$15:$E$19,MATCH($I1779,Config!$C$15:$C$19,0)),"•")))</f>
        <v/>
      </c>
      <c r="I1779" s="114" t="str">
        <f aca="false">IF($E1779="","",IF($B1779="Tema",INDEX(Config!$E$6:$E$11,$D1779),IF(INDEX(Avulsos!$D$6:$D$205,$C1779)&amp;""="","Outro",INDEX(Avulsos!$D$6:$D$205,$C1779))))</f>
        <v/>
      </c>
      <c r="J1779" s="114" t="str">
        <f aca="false">IF($E1779="","",IF($B1779="Tema",INDEX(Temas!$C$6:$C$305,$C1779)&amp;"",INDEX(Avulsos!$E$6:$E$205,$C1779)&amp;""))</f>
        <v/>
      </c>
      <c r="K1779" s="114" t="str">
        <f aca="false">IF($E1779="","",IF(IF($B1779="Tema",INDEX(Temas!$E$6:$P$305,$C1779,2*$D1779),INDEX(Avulsos!$F$6:$F$205,$C1779))&amp;""="","","✓"))</f>
        <v/>
      </c>
      <c r="L1779" s="114" t="str">
        <f aca="true">IF($E1779="","",IF($K1779="✓","Concluído",IF($E1779&lt;TODAY(),"Atrasado",IF($E1779=TODAY(),"Hoje","Pendente"))))</f>
        <v/>
      </c>
      <c r="M1779" s="114" t="str">
        <f aca="false">IF($E1779="","",IF($K1779="✓","✓ ","")&amp;IF(Config!$E$22="Sim",$H1779&amp;" · ","")&amp;$F1779)</f>
        <v/>
      </c>
      <c r="N1779" s="114" t="str">
        <f aca="false">IF($E1779="","",IFERROR(INDEX(Config!$D$15:$D$19,MATCH($I1779,Config!$C$15:$C$19,0)),"OUT")&amp;IF($K1779="✓","x",""))</f>
        <v/>
      </c>
      <c r="O1779" s="114" t="str">
        <f aca="false">IF($E1779="","",COUNTIF($E$5:$E1779,$E1779))</f>
        <v/>
      </c>
      <c r="P1779" s="114" t="str">
        <f aca="false">IF($E1779="","",$E1779*100+$O1779)</f>
        <v/>
      </c>
      <c r="Q1779" s="114" t="str">
        <f aca="false">IF($L1779="Atrasado",$E1779*10000+$A1779,"")</f>
        <v/>
      </c>
    </row>
    <row r="1780" customFormat="false" ht="15" hidden="false" customHeight="false" outlineLevel="0" collapsed="false">
      <c r="A1780" s="114" t="n">
        <f aca="false">ROW()-4</f>
        <v>1776</v>
      </c>
      <c r="B1780" s="114" t="str">
        <f aca="false">IF(A1780&lt;=Config!$E$27*Config!$E$28,"Tema","Avulso")</f>
        <v>Tema</v>
      </c>
      <c r="C1780" s="114" t="n">
        <f aca="false">IF(B1780="Tema",INT((A1780-1)/Config!$E$28)+1,A1780-Config!$E$27*Config!$E$28)</f>
        <v>296</v>
      </c>
      <c r="D1780" s="114" t="n">
        <f aca="false">IF(B1780="Tema",MOD(A1780-1,Config!$E$28)+1,"")</f>
        <v>6</v>
      </c>
      <c r="E1780" s="115" t="str">
        <f aca="false">IF($B1780="Tema",IF(ISNUMBER(INDEX(Temas!$E$6:$P$305,$C1780,2*$D1780-1)),INDEX(Temas!$E$6:$P$305,$C1780,2*$D1780-1),""),IF(ISNUMBER(INDEX(Avulsos!$B$6:$B$205,$C1780)),INDEX(Avulsos!$B$6:$B$205,$C1780),""))</f>
        <v/>
      </c>
      <c r="F1780" s="114" t="str">
        <f aca="false">IF($E1780="","",IF($B1780="Tema",INDEX(Temas!$B$6:$B$305,$C1780)&amp;"",INDEX(Avulsos!$C$6:$C$205,$C1780)&amp;""))</f>
        <v/>
      </c>
      <c r="G1780" s="114" t="str">
        <f aca="false">IF($E1780="","",IF($B1780="Tema",INDEX(Config!$C$6:$C$11,$D1780),"Evento avulso"))</f>
        <v/>
      </c>
      <c r="H1780" s="114" t="str">
        <f aca="false">IF($E1780="","",IF($B1780="Tema",INDEX(Config!$D$6:$D$11,$D1780),IFERROR(INDEX(Config!$E$15:$E$19,MATCH($I1780,Config!$C$15:$C$19,0)),"•")))</f>
        <v/>
      </c>
      <c r="I1780" s="114" t="str">
        <f aca="false">IF($E1780="","",IF($B1780="Tema",INDEX(Config!$E$6:$E$11,$D1780),IF(INDEX(Avulsos!$D$6:$D$205,$C1780)&amp;""="","Outro",INDEX(Avulsos!$D$6:$D$205,$C1780))))</f>
        <v/>
      </c>
      <c r="J1780" s="114" t="str">
        <f aca="false">IF($E1780="","",IF($B1780="Tema",INDEX(Temas!$C$6:$C$305,$C1780)&amp;"",INDEX(Avulsos!$E$6:$E$205,$C1780)&amp;""))</f>
        <v/>
      </c>
      <c r="K1780" s="114" t="str">
        <f aca="false">IF($E1780="","",IF(IF($B1780="Tema",INDEX(Temas!$E$6:$P$305,$C1780,2*$D1780),INDEX(Avulsos!$F$6:$F$205,$C1780))&amp;""="","","✓"))</f>
        <v/>
      </c>
      <c r="L1780" s="114" t="str">
        <f aca="true">IF($E1780="","",IF($K1780="✓","Concluído",IF($E1780&lt;TODAY(),"Atrasado",IF($E1780=TODAY(),"Hoje","Pendente"))))</f>
        <v/>
      </c>
      <c r="M1780" s="114" t="str">
        <f aca="false">IF($E1780="","",IF($K1780="✓","✓ ","")&amp;IF(Config!$E$22="Sim",$H1780&amp;" · ","")&amp;$F1780)</f>
        <v/>
      </c>
      <c r="N1780" s="114" t="str">
        <f aca="false">IF($E1780="","",IFERROR(INDEX(Config!$D$15:$D$19,MATCH($I1780,Config!$C$15:$C$19,0)),"OUT")&amp;IF($K1780="✓","x",""))</f>
        <v/>
      </c>
      <c r="O1780" s="114" t="str">
        <f aca="false">IF($E1780="","",COUNTIF($E$5:$E1780,$E1780))</f>
        <v/>
      </c>
      <c r="P1780" s="114" t="str">
        <f aca="false">IF($E1780="","",$E1780*100+$O1780)</f>
        <v/>
      </c>
      <c r="Q1780" s="114" t="str">
        <f aca="false">IF($L1780="Atrasado",$E1780*10000+$A1780,"")</f>
        <v/>
      </c>
    </row>
    <row r="1781" customFormat="false" ht="15" hidden="false" customHeight="false" outlineLevel="0" collapsed="false">
      <c r="A1781" s="114" t="n">
        <f aca="false">ROW()-4</f>
        <v>1777</v>
      </c>
      <c r="B1781" s="114" t="str">
        <f aca="false">IF(A1781&lt;=Config!$E$27*Config!$E$28,"Tema","Avulso")</f>
        <v>Tema</v>
      </c>
      <c r="C1781" s="114" t="n">
        <f aca="false">IF(B1781="Tema",INT((A1781-1)/Config!$E$28)+1,A1781-Config!$E$27*Config!$E$28)</f>
        <v>297</v>
      </c>
      <c r="D1781" s="114" t="n">
        <f aca="false">IF(B1781="Tema",MOD(A1781-1,Config!$E$28)+1,"")</f>
        <v>1</v>
      </c>
      <c r="E1781" s="115" t="str">
        <f aca="false">IF($B1781="Tema",IF(ISNUMBER(INDEX(Temas!$E$6:$P$305,$C1781,2*$D1781-1)),INDEX(Temas!$E$6:$P$305,$C1781,2*$D1781-1),""),IF(ISNUMBER(INDEX(Avulsos!$B$6:$B$205,$C1781)),INDEX(Avulsos!$B$6:$B$205,$C1781),""))</f>
        <v/>
      </c>
      <c r="F1781" s="114" t="str">
        <f aca="false">IF($E1781="","",IF($B1781="Tema",INDEX(Temas!$B$6:$B$305,$C1781)&amp;"",INDEX(Avulsos!$C$6:$C$205,$C1781)&amp;""))</f>
        <v/>
      </c>
      <c r="G1781" s="114" t="str">
        <f aca="false">IF($E1781="","",IF($B1781="Tema",INDEX(Config!$C$6:$C$11,$D1781),"Evento avulso"))</f>
        <v/>
      </c>
      <c r="H1781" s="114" t="str">
        <f aca="false">IF($E1781="","",IF($B1781="Tema",INDEX(Config!$D$6:$D$11,$D1781),IFERROR(INDEX(Config!$E$15:$E$19,MATCH($I1781,Config!$C$15:$C$19,0)),"•")))</f>
        <v/>
      </c>
      <c r="I1781" s="114" t="str">
        <f aca="false">IF($E1781="","",IF($B1781="Tema",INDEX(Config!$E$6:$E$11,$D1781),IF(INDEX(Avulsos!$D$6:$D$205,$C1781)&amp;""="","Outro",INDEX(Avulsos!$D$6:$D$205,$C1781))))</f>
        <v/>
      </c>
      <c r="J1781" s="114" t="str">
        <f aca="false">IF($E1781="","",IF($B1781="Tema",INDEX(Temas!$C$6:$C$305,$C1781)&amp;"",INDEX(Avulsos!$E$6:$E$205,$C1781)&amp;""))</f>
        <v/>
      </c>
      <c r="K1781" s="114" t="str">
        <f aca="false">IF($E1781="","",IF(IF($B1781="Tema",INDEX(Temas!$E$6:$P$305,$C1781,2*$D1781),INDEX(Avulsos!$F$6:$F$205,$C1781))&amp;""="","","✓"))</f>
        <v/>
      </c>
      <c r="L1781" s="114" t="str">
        <f aca="true">IF($E1781="","",IF($K1781="✓","Concluído",IF($E1781&lt;TODAY(),"Atrasado",IF($E1781=TODAY(),"Hoje","Pendente"))))</f>
        <v/>
      </c>
      <c r="M1781" s="114" t="str">
        <f aca="false">IF($E1781="","",IF($K1781="✓","✓ ","")&amp;IF(Config!$E$22="Sim",$H1781&amp;" · ","")&amp;$F1781)</f>
        <v/>
      </c>
      <c r="N1781" s="114" t="str">
        <f aca="false">IF($E1781="","",IFERROR(INDEX(Config!$D$15:$D$19,MATCH($I1781,Config!$C$15:$C$19,0)),"OUT")&amp;IF($K1781="✓","x",""))</f>
        <v/>
      </c>
      <c r="O1781" s="114" t="str">
        <f aca="false">IF($E1781="","",COUNTIF($E$5:$E1781,$E1781))</f>
        <v/>
      </c>
      <c r="P1781" s="114" t="str">
        <f aca="false">IF($E1781="","",$E1781*100+$O1781)</f>
        <v/>
      </c>
      <c r="Q1781" s="114" t="str">
        <f aca="false">IF($L1781="Atrasado",$E1781*10000+$A1781,"")</f>
        <v/>
      </c>
    </row>
    <row r="1782" customFormat="false" ht="15" hidden="false" customHeight="false" outlineLevel="0" collapsed="false">
      <c r="A1782" s="114" t="n">
        <f aca="false">ROW()-4</f>
        <v>1778</v>
      </c>
      <c r="B1782" s="114" t="str">
        <f aca="false">IF(A1782&lt;=Config!$E$27*Config!$E$28,"Tema","Avulso")</f>
        <v>Tema</v>
      </c>
      <c r="C1782" s="114" t="n">
        <f aca="false">IF(B1782="Tema",INT((A1782-1)/Config!$E$28)+1,A1782-Config!$E$27*Config!$E$28)</f>
        <v>297</v>
      </c>
      <c r="D1782" s="114" t="n">
        <f aca="false">IF(B1782="Tema",MOD(A1782-1,Config!$E$28)+1,"")</f>
        <v>2</v>
      </c>
      <c r="E1782" s="115" t="str">
        <f aca="false">IF($B1782="Tema",IF(ISNUMBER(INDEX(Temas!$E$6:$P$305,$C1782,2*$D1782-1)),INDEX(Temas!$E$6:$P$305,$C1782,2*$D1782-1),""),IF(ISNUMBER(INDEX(Avulsos!$B$6:$B$205,$C1782)),INDEX(Avulsos!$B$6:$B$205,$C1782),""))</f>
        <v/>
      </c>
      <c r="F1782" s="114" t="str">
        <f aca="false">IF($E1782="","",IF($B1782="Tema",INDEX(Temas!$B$6:$B$305,$C1782)&amp;"",INDEX(Avulsos!$C$6:$C$205,$C1782)&amp;""))</f>
        <v/>
      </c>
      <c r="G1782" s="114" t="str">
        <f aca="false">IF($E1782="","",IF($B1782="Tema",INDEX(Config!$C$6:$C$11,$D1782),"Evento avulso"))</f>
        <v/>
      </c>
      <c r="H1782" s="114" t="str">
        <f aca="false">IF($E1782="","",IF($B1782="Tema",INDEX(Config!$D$6:$D$11,$D1782),IFERROR(INDEX(Config!$E$15:$E$19,MATCH($I1782,Config!$C$15:$C$19,0)),"•")))</f>
        <v/>
      </c>
      <c r="I1782" s="114" t="str">
        <f aca="false">IF($E1782="","",IF($B1782="Tema",INDEX(Config!$E$6:$E$11,$D1782),IF(INDEX(Avulsos!$D$6:$D$205,$C1782)&amp;""="","Outro",INDEX(Avulsos!$D$6:$D$205,$C1782))))</f>
        <v/>
      </c>
      <c r="J1782" s="114" t="str">
        <f aca="false">IF($E1782="","",IF($B1782="Tema",INDEX(Temas!$C$6:$C$305,$C1782)&amp;"",INDEX(Avulsos!$E$6:$E$205,$C1782)&amp;""))</f>
        <v/>
      </c>
      <c r="K1782" s="114" t="str">
        <f aca="false">IF($E1782="","",IF(IF($B1782="Tema",INDEX(Temas!$E$6:$P$305,$C1782,2*$D1782),INDEX(Avulsos!$F$6:$F$205,$C1782))&amp;""="","","✓"))</f>
        <v/>
      </c>
      <c r="L1782" s="114" t="str">
        <f aca="true">IF($E1782="","",IF($K1782="✓","Concluído",IF($E1782&lt;TODAY(),"Atrasado",IF($E1782=TODAY(),"Hoje","Pendente"))))</f>
        <v/>
      </c>
      <c r="M1782" s="114" t="str">
        <f aca="false">IF($E1782="","",IF($K1782="✓","✓ ","")&amp;IF(Config!$E$22="Sim",$H1782&amp;" · ","")&amp;$F1782)</f>
        <v/>
      </c>
      <c r="N1782" s="114" t="str">
        <f aca="false">IF($E1782="","",IFERROR(INDEX(Config!$D$15:$D$19,MATCH($I1782,Config!$C$15:$C$19,0)),"OUT")&amp;IF($K1782="✓","x",""))</f>
        <v/>
      </c>
      <c r="O1782" s="114" t="str">
        <f aca="false">IF($E1782="","",COUNTIF($E$5:$E1782,$E1782))</f>
        <v/>
      </c>
      <c r="P1782" s="114" t="str">
        <f aca="false">IF($E1782="","",$E1782*100+$O1782)</f>
        <v/>
      </c>
      <c r="Q1782" s="114" t="str">
        <f aca="false">IF($L1782="Atrasado",$E1782*10000+$A1782,"")</f>
        <v/>
      </c>
    </row>
    <row r="1783" customFormat="false" ht="15" hidden="false" customHeight="false" outlineLevel="0" collapsed="false">
      <c r="A1783" s="114" t="n">
        <f aca="false">ROW()-4</f>
        <v>1779</v>
      </c>
      <c r="B1783" s="114" t="str">
        <f aca="false">IF(A1783&lt;=Config!$E$27*Config!$E$28,"Tema","Avulso")</f>
        <v>Tema</v>
      </c>
      <c r="C1783" s="114" t="n">
        <f aca="false">IF(B1783="Tema",INT((A1783-1)/Config!$E$28)+1,A1783-Config!$E$27*Config!$E$28)</f>
        <v>297</v>
      </c>
      <c r="D1783" s="114" t="n">
        <f aca="false">IF(B1783="Tema",MOD(A1783-1,Config!$E$28)+1,"")</f>
        <v>3</v>
      </c>
      <c r="E1783" s="115" t="str">
        <f aca="false">IF($B1783="Tema",IF(ISNUMBER(INDEX(Temas!$E$6:$P$305,$C1783,2*$D1783-1)),INDEX(Temas!$E$6:$P$305,$C1783,2*$D1783-1),""),IF(ISNUMBER(INDEX(Avulsos!$B$6:$B$205,$C1783)),INDEX(Avulsos!$B$6:$B$205,$C1783),""))</f>
        <v/>
      </c>
      <c r="F1783" s="114" t="str">
        <f aca="false">IF($E1783="","",IF($B1783="Tema",INDEX(Temas!$B$6:$B$305,$C1783)&amp;"",INDEX(Avulsos!$C$6:$C$205,$C1783)&amp;""))</f>
        <v/>
      </c>
      <c r="G1783" s="114" t="str">
        <f aca="false">IF($E1783="","",IF($B1783="Tema",INDEX(Config!$C$6:$C$11,$D1783),"Evento avulso"))</f>
        <v/>
      </c>
      <c r="H1783" s="114" t="str">
        <f aca="false">IF($E1783="","",IF($B1783="Tema",INDEX(Config!$D$6:$D$11,$D1783),IFERROR(INDEX(Config!$E$15:$E$19,MATCH($I1783,Config!$C$15:$C$19,0)),"•")))</f>
        <v/>
      </c>
      <c r="I1783" s="114" t="str">
        <f aca="false">IF($E1783="","",IF($B1783="Tema",INDEX(Config!$E$6:$E$11,$D1783),IF(INDEX(Avulsos!$D$6:$D$205,$C1783)&amp;""="","Outro",INDEX(Avulsos!$D$6:$D$205,$C1783))))</f>
        <v/>
      </c>
      <c r="J1783" s="114" t="str">
        <f aca="false">IF($E1783="","",IF($B1783="Tema",INDEX(Temas!$C$6:$C$305,$C1783)&amp;"",INDEX(Avulsos!$E$6:$E$205,$C1783)&amp;""))</f>
        <v/>
      </c>
      <c r="K1783" s="114" t="str">
        <f aca="false">IF($E1783="","",IF(IF($B1783="Tema",INDEX(Temas!$E$6:$P$305,$C1783,2*$D1783),INDEX(Avulsos!$F$6:$F$205,$C1783))&amp;""="","","✓"))</f>
        <v/>
      </c>
      <c r="L1783" s="114" t="str">
        <f aca="true">IF($E1783="","",IF($K1783="✓","Concluído",IF($E1783&lt;TODAY(),"Atrasado",IF($E1783=TODAY(),"Hoje","Pendente"))))</f>
        <v/>
      </c>
      <c r="M1783" s="114" t="str">
        <f aca="false">IF($E1783="","",IF($K1783="✓","✓ ","")&amp;IF(Config!$E$22="Sim",$H1783&amp;" · ","")&amp;$F1783)</f>
        <v/>
      </c>
      <c r="N1783" s="114" t="str">
        <f aca="false">IF($E1783="","",IFERROR(INDEX(Config!$D$15:$D$19,MATCH($I1783,Config!$C$15:$C$19,0)),"OUT")&amp;IF($K1783="✓","x",""))</f>
        <v/>
      </c>
      <c r="O1783" s="114" t="str">
        <f aca="false">IF($E1783="","",COUNTIF($E$5:$E1783,$E1783))</f>
        <v/>
      </c>
      <c r="P1783" s="114" t="str">
        <f aca="false">IF($E1783="","",$E1783*100+$O1783)</f>
        <v/>
      </c>
      <c r="Q1783" s="114" t="str">
        <f aca="false">IF($L1783="Atrasado",$E1783*10000+$A1783,"")</f>
        <v/>
      </c>
    </row>
    <row r="1784" customFormat="false" ht="15" hidden="false" customHeight="false" outlineLevel="0" collapsed="false">
      <c r="A1784" s="114" t="n">
        <f aca="false">ROW()-4</f>
        <v>1780</v>
      </c>
      <c r="B1784" s="114" t="str">
        <f aca="false">IF(A1784&lt;=Config!$E$27*Config!$E$28,"Tema","Avulso")</f>
        <v>Tema</v>
      </c>
      <c r="C1784" s="114" t="n">
        <f aca="false">IF(B1784="Tema",INT((A1784-1)/Config!$E$28)+1,A1784-Config!$E$27*Config!$E$28)</f>
        <v>297</v>
      </c>
      <c r="D1784" s="114" t="n">
        <f aca="false">IF(B1784="Tema",MOD(A1784-1,Config!$E$28)+1,"")</f>
        <v>4</v>
      </c>
      <c r="E1784" s="115" t="str">
        <f aca="false">IF($B1784="Tema",IF(ISNUMBER(INDEX(Temas!$E$6:$P$305,$C1784,2*$D1784-1)),INDEX(Temas!$E$6:$P$305,$C1784,2*$D1784-1),""),IF(ISNUMBER(INDEX(Avulsos!$B$6:$B$205,$C1784)),INDEX(Avulsos!$B$6:$B$205,$C1784),""))</f>
        <v/>
      </c>
      <c r="F1784" s="114" t="str">
        <f aca="false">IF($E1784="","",IF($B1784="Tema",INDEX(Temas!$B$6:$B$305,$C1784)&amp;"",INDEX(Avulsos!$C$6:$C$205,$C1784)&amp;""))</f>
        <v/>
      </c>
      <c r="G1784" s="114" t="str">
        <f aca="false">IF($E1784="","",IF($B1784="Tema",INDEX(Config!$C$6:$C$11,$D1784),"Evento avulso"))</f>
        <v/>
      </c>
      <c r="H1784" s="114" t="str">
        <f aca="false">IF($E1784="","",IF($B1784="Tema",INDEX(Config!$D$6:$D$11,$D1784),IFERROR(INDEX(Config!$E$15:$E$19,MATCH($I1784,Config!$C$15:$C$19,0)),"•")))</f>
        <v/>
      </c>
      <c r="I1784" s="114" t="str">
        <f aca="false">IF($E1784="","",IF($B1784="Tema",INDEX(Config!$E$6:$E$11,$D1784),IF(INDEX(Avulsos!$D$6:$D$205,$C1784)&amp;""="","Outro",INDEX(Avulsos!$D$6:$D$205,$C1784))))</f>
        <v/>
      </c>
      <c r="J1784" s="114" t="str">
        <f aca="false">IF($E1784="","",IF($B1784="Tema",INDEX(Temas!$C$6:$C$305,$C1784)&amp;"",INDEX(Avulsos!$E$6:$E$205,$C1784)&amp;""))</f>
        <v/>
      </c>
      <c r="K1784" s="114" t="str">
        <f aca="false">IF($E1784="","",IF(IF($B1784="Tema",INDEX(Temas!$E$6:$P$305,$C1784,2*$D1784),INDEX(Avulsos!$F$6:$F$205,$C1784))&amp;""="","","✓"))</f>
        <v/>
      </c>
      <c r="L1784" s="114" t="str">
        <f aca="true">IF($E1784="","",IF($K1784="✓","Concluído",IF($E1784&lt;TODAY(),"Atrasado",IF($E1784=TODAY(),"Hoje","Pendente"))))</f>
        <v/>
      </c>
      <c r="M1784" s="114" t="str">
        <f aca="false">IF($E1784="","",IF($K1784="✓","✓ ","")&amp;IF(Config!$E$22="Sim",$H1784&amp;" · ","")&amp;$F1784)</f>
        <v/>
      </c>
      <c r="N1784" s="114" t="str">
        <f aca="false">IF($E1784="","",IFERROR(INDEX(Config!$D$15:$D$19,MATCH($I1784,Config!$C$15:$C$19,0)),"OUT")&amp;IF($K1784="✓","x",""))</f>
        <v/>
      </c>
      <c r="O1784" s="114" t="str">
        <f aca="false">IF($E1784="","",COUNTIF($E$5:$E1784,$E1784))</f>
        <v/>
      </c>
      <c r="P1784" s="114" t="str">
        <f aca="false">IF($E1784="","",$E1784*100+$O1784)</f>
        <v/>
      </c>
      <c r="Q1784" s="114" t="str">
        <f aca="false">IF($L1784="Atrasado",$E1784*10000+$A1784,"")</f>
        <v/>
      </c>
    </row>
    <row r="1785" customFormat="false" ht="15" hidden="false" customHeight="false" outlineLevel="0" collapsed="false">
      <c r="A1785" s="114" t="n">
        <f aca="false">ROW()-4</f>
        <v>1781</v>
      </c>
      <c r="B1785" s="114" t="str">
        <f aca="false">IF(A1785&lt;=Config!$E$27*Config!$E$28,"Tema","Avulso")</f>
        <v>Tema</v>
      </c>
      <c r="C1785" s="114" t="n">
        <f aca="false">IF(B1785="Tema",INT((A1785-1)/Config!$E$28)+1,A1785-Config!$E$27*Config!$E$28)</f>
        <v>297</v>
      </c>
      <c r="D1785" s="114" t="n">
        <f aca="false">IF(B1785="Tema",MOD(A1785-1,Config!$E$28)+1,"")</f>
        <v>5</v>
      </c>
      <c r="E1785" s="115" t="str">
        <f aca="false">IF($B1785="Tema",IF(ISNUMBER(INDEX(Temas!$E$6:$P$305,$C1785,2*$D1785-1)),INDEX(Temas!$E$6:$P$305,$C1785,2*$D1785-1),""),IF(ISNUMBER(INDEX(Avulsos!$B$6:$B$205,$C1785)),INDEX(Avulsos!$B$6:$B$205,$C1785),""))</f>
        <v/>
      </c>
      <c r="F1785" s="114" t="str">
        <f aca="false">IF($E1785="","",IF($B1785="Tema",INDEX(Temas!$B$6:$B$305,$C1785)&amp;"",INDEX(Avulsos!$C$6:$C$205,$C1785)&amp;""))</f>
        <v/>
      </c>
      <c r="G1785" s="114" t="str">
        <f aca="false">IF($E1785="","",IF($B1785="Tema",INDEX(Config!$C$6:$C$11,$D1785),"Evento avulso"))</f>
        <v/>
      </c>
      <c r="H1785" s="114" t="str">
        <f aca="false">IF($E1785="","",IF($B1785="Tema",INDEX(Config!$D$6:$D$11,$D1785),IFERROR(INDEX(Config!$E$15:$E$19,MATCH($I1785,Config!$C$15:$C$19,0)),"•")))</f>
        <v/>
      </c>
      <c r="I1785" s="114" t="str">
        <f aca="false">IF($E1785="","",IF($B1785="Tema",INDEX(Config!$E$6:$E$11,$D1785),IF(INDEX(Avulsos!$D$6:$D$205,$C1785)&amp;""="","Outro",INDEX(Avulsos!$D$6:$D$205,$C1785))))</f>
        <v/>
      </c>
      <c r="J1785" s="114" t="str">
        <f aca="false">IF($E1785="","",IF($B1785="Tema",INDEX(Temas!$C$6:$C$305,$C1785)&amp;"",INDEX(Avulsos!$E$6:$E$205,$C1785)&amp;""))</f>
        <v/>
      </c>
      <c r="K1785" s="114" t="str">
        <f aca="false">IF($E1785="","",IF(IF($B1785="Tema",INDEX(Temas!$E$6:$P$305,$C1785,2*$D1785),INDEX(Avulsos!$F$6:$F$205,$C1785))&amp;""="","","✓"))</f>
        <v/>
      </c>
      <c r="L1785" s="114" t="str">
        <f aca="true">IF($E1785="","",IF($K1785="✓","Concluído",IF($E1785&lt;TODAY(),"Atrasado",IF($E1785=TODAY(),"Hoje","Pendente"))))</f>
        <v/>
      </c>
      <c r="M1785" s="114" t="str">
        <f aca="false">IF($E1785="","",IF($K1785="✓","✓ ","")&amp;IF(Config!$E$22="Sim",$H1785&amp;" · ","")&amp;$F1785)</f>
        <v/>
      </c>
      <c r="N1785" s="114" t="str">
        <f aca="false">IF($E1785="","",IFERROR(INDEX(Config!$D$15:$D$19,MATCH($I1785,Config!$C$15:$C$19,0)),"OUT")&amp;IF($K1785="✓","x",""))</f>
        <v/>
      </c>
      <c r="O1785" s="114" t="str">
        <f aca="false">IF($E1785="","",COUNTIF($E$5:$E1785,$E1785))</f>
        <v/>
      </c>
      <c r="P1785" s="114" t="str">
        <f aca="false">IF($E1785="","",$E1785*100+$O1785)</f>
        <v/>
      </c>
      <c r="Q1785" s="114" t="str">
        <f aca="false">IF($L1785="Atrasado",$E1785*10000+$A1785,"")</f>
        <v/>
      </c>
    </row>
    <row r="1786" customFormat="false" ht="15" hidden="false" customHeight="false" outlineLevel="0" collapsed="false">
      <c r="A1786" s="114" t="n">
        <f aca="false">ROW()-4</f>
        <v>1782</v>
      </c>
      <c r="B1786" s="114" t="str">
        <f aca="false">IF(A1786&lt;=Config!$E$27*Config!$E$28,"Tema","Avulso")</f>
        <v>Tema</v>
      </c>
      <c r="C1786" s="114" t="n">
        <f aca="false">IF(B1786="Tema",INT((A1786-1)/Config!$E$28)+1,A1786-Config!$E$27*Config!$E$28)</f>
        <v>297</v>
      </c>
      <c r="D1786" s="114" t="n">
        <f aca="false">IF(B1786="Tema",MOD(A1786-1,Config!$E$28)+1,"")</f>
        <v>6</v>
      </c>
      <c r="E1786" s="115" t="str">
        <f aca="false">IF($B1786="Tema",IF(ISNUMBER(INDEX(Temas!$E$6:$P$305,$C1786,2*$D1786-1)),INDEX(Temas!$E$6:$P$305,$C1786,2*$D1786-1),""),IF(ISNUMBER(INDEX(Avulsos!$B$6:$B$205,$C1786)),INDEX(Avulsos!$B$6:$B$205,$C1786),""))</f>
        <v/>
      </c>
      <c r="F1786" s="114" t="str">
        <f aca="false">IF($E1786="","",IF($B1786="Tema",INDEX(Temas!$B$6:$B$305,$C1786)&amp;"",INDEX(Avulsos!$C$6:$C$205,$C1786)&amp;""))</f>
        <v/>
      </c>
      <c r="G1786" s="114" t="str">
        <f aca="false">IF($E1786="","",IF($B1786="Tema",INDEX(Config!$C$6:$C$11,$D1786),"Evento avulso"))</f>
        <v/>
      </c>
      <c r="H1786" s="114" t="str">
        <f aca="false">IF($E1786="","",IF($B1786="Tema",INDEX(Config!$D$6:$D$11,$D1786),IFERROR(INDEX(Config!$E$15:$E$19,MATCH($I1786,Config!$C$15:$C$19,0)),"•")))</f>
        <v/>
      </c>
      <c r="I1786" s="114" t="str">
        <f aca="false">IF($E1786="","",IF($B1786="Tema",INDEX(Config!$E$6:$E$11,$D1786),IF(INDEX(Avulsos!$D$6:$D$205,$C1786)&amp;""="","Outro",INDEX(Avulsos!$D$6:$D$205,$C1786))))</f>
        <v/>
      </c>
      <c r="J1786" s="114" t="str">
        <f aca="false">IF($E1786="","",IF($B1786="Tema",INDEX(Temas!$C$6:$C$305,$C1786)&amp;"",INDEX(Avulsos!$E$6:$E$205,$C1786)&amp;""))</f>
        <v/>
      </c>
      <c r="K1786" s="114" t="str">
        <f aca="false">IF($E1786="","",IF(IF($B1786="Tema",INDEX(Temas!$E$6:$P$305,$C1786,2*$D1786),INDEX(Avulsos!$F$6:$F$205,$C1786))&amp;""="","","✓"))</f>
        <v/>
      </c>
      <c r="L1786" s="114" t="str">
        <f aca="true">IF($E1786="","",IF($K1786="✓","Concluído",IF($E1786&lt;TODAY(),"Atrasado",IF($E1786=TODAY(),"Hoje","Pendente"))))</f>
        <v/>
      </c>
      <c r="M1786" s="114" t="str">
        <f aca="false">IF($E1786="","",IF($K1786="✓","✓ ","")&amp;IF(Config!$E$22="Sim",$H1786&amp;" · ","")&amp;$F1786)</f>
        <v/>
      </c>
      <c r="N1786" s="114" t="str">
        <f aca="false">IF($E1786="","",IFERROR(INDEX(Config!$D$15:$D$19,MATCH($I1786,Config!$C$15:$C$19,0)),"OUT")&amp;IF($K1786="✓","x",""))</f>
        <v/>
      </c>
      <c r="O1786" s="114" t="str">
        <f aca="false">IF($E1786="","",COUNTIF($E$5:$E1786,$E1786))</f>
        <v/>
      </c>
      <c r="P1786" s="114" t="str">
        <f aca="false">IF($E1786="","",$E1786*100+$O1786)</f>
        <v/>
      </c>
      <c r="Q1786" s="114" t="str">
        <f aca="false">IF($L1786="Atrasado",$E1786*10000+$A1786,"")</f>
        <v/>
      </c>
    </row>
    <row r="1787" customFormat="false" ht="15" hidden="false" customHeight="false" outlineLevel="0" collapsed="false">
      <c r="A1787" s="114" t="n">
        <f aca="false">ROW()-4</f>
        <v>1783</v>
      </c>
      <c r="B1787" s="114" t="str">
        <f aca="false">IF(A1787&lt;=Config!$E$27*Config!$E$28,"Tema","Avulso")</f>
        <v>Tema</v>
      </c>
      <c r="C1787" s="114" t="n">
        <f aca="false">IF(B1787="Tema",INT((A1787-1)/Config!$E$28)+1,A1787-Config!$E$27*Config!$E$28)</f>
        <v>298</v>
      </c>
      <c r="D1787" s="114" t="n">
        <f aca="false">IF(B1787="Tema",MOD(A1787-1,Config!$E$28)+1,"")</f>
        <v>1</v>
      </c>
      <c r="E1787" s="115" t="str">
        <f aca="false">IF($B1787="Tema",IF(ISNUMBER(INDEX(Temas!$E$6:$P$305,$C1787,2*$D1787-1)),INDEX(Temas!$E$6:$P$305,$C1787,2*$D1787-1),""),IF(ISNUMBER(INDEX(Avulsos!$B$6:$B$205,$C1787)),INDEX(Avulsos!$B$6:$B$205,$C1787),""))</f>
        <v/>
      </c>
      <c r="F1787" s="114" t="str">
        <f aca="false">IF($E1787="","",IF($B1787="Tema",INDEX(Temas!$B$6:$B$305,$C1787)&amp;"",INDEX(Avulsos!$C$6:$C$205,$C1787)&amp;""))</f>
        <v/>
      </c>
      <c r="G1787" s="114" t="str">
        <f aca="false">IF($E1787="","",IF($B1787="Tema",INDEX(Config!$C$6:$C$11,$D1787),"Evento avulso"))</f>
        <v/>
      </c>
      <c r="H1787" s="114" t="str">
        <f aca="false">IF($E1787="","",IF($B1787="Tema",INDEX(Config!$D$6:$D$11,$D1787),IFERROR(INDEX(Config!$E$15:$E$19,MATCH($I1787,Config!$C$15:$C$19,0)),"•")))</f>
        <v/>
      </c>
      <c r="I1787" s="114" t="str">
        <f aca="false">IF($E1787="","",IF($B1787="Tema",INDEX(Config!$E$6:$E$11,$D1787),IF(INDEX(Avulsos!$D$6:$D$205,$C1787)&amp;""="","Outro",INDEX(Avulsos!$D$6:$D$205,$C1787))))</f>
        <v/>
      </c>
      <c r="J1787" s="114" t="str">
        <f aca="false">IF($E1787="","",IF($B1787="Tema",INDEX(Temas!$C$6:$C$305,$C1787)&amp;"",INDEX(Avulsos!$E$6:$E$205,$C1787)&amp;""))</f>
        <v/>
      </c>
      <c r="K1787" s="114" t="str">
        <f aca="false">IF($E1787="","",IF(IF($B1787="Tema",INDEX(Temas!$E$6:$P$305,$C1787,2*$D1787),INDEX(Avulsos!$F$6:$F$205,$C1787))&amp;""="","","✓"))</f>
        <v/>
      </c>
      <c r="L1787" s="114" t="str">
        <f aca="true">IF($E1787="","",IF($K1787="✓","Concluído",IF($E1787&lt;TODAY(),"Atrasado",IF($E1787=TODAY(),"Hoje","Pendente"))))</f>
        <v/>
      </c>
      <c r="M1787" s="114" t="str">
        <f aca="false">IF($E1787="","",IF($K1787="✓","✓ ","")&amp;IF(Config!$E$22="Sim",$H1787&amp;" · ","")&amp;$F1787)</f>
        <v/>
      </c>
      <c r="N1787" s="114" t="str">
        <f aca="false">IF($E1787="","",IFERROR(INDEX(Config!$D$15:$D$19,MATCH($I1787,Config!$C$15:$C$19,0)),"OUT")&amp;IF($K1787="✓","x",""))</f>
        <v/>
      </c>
      <c r="O1787" s="114" t="str">
        <f aca="false">IF($E1787="","",COUNTIF($E$5:$E1787,$E1787))</f>
        <v/>
      </c>
      <c r="P1787" s="114" t="str">
        <f aca="false">IF($E1787="","",$E1787*100+$O1787)</f>
        <v/>
      </c>
      <c r="Q1787" s="114" t="str">
        <f aca="false">IF($L1787="Atrasado",$E1787*10000+$A1787,"")</f>
        <v/>
      </c>
    </row>
    <row r="1788" customFormat="false" ht="15" hidden="false" customHeight="false" outlineLevel="0" collapsed="false">
      <c r="A1788" s="114" t="n">
        <f aca="false">ROW()-4</f>
        <v>1784</v>
      </c>
      <c r="B1788" s="114" t="str">
        <f aca="false">IF(A1788&lt;=Config!$E$27*Config!$E$28,"Tema","Avulso")</f>
        <v>Tema</v>
      </c>
      <c r="C1788" s="114" t="n">
        <f aca="false">IF(B1788="Tema",INT((A1788-1)/Config!$E$28)+1,A1788-Config!$E$27*Config!$E$28)</f>
        <v>298</v>
      </c>
      <c r="D1788" s="114" t="n">
        <f aca="false">IF(B1788="Tema",MOD(A1788-1,Config!$E$28)+1,"")</f>
        <v>2</v>
      </c>
      <c r="E1788" s="115" t="str">
        <f aca="false">IF($B1788="Tema",IF(ISNUMBER(INDEX(Temas!$E$6:$P$305,$C1788,2*$D1788-1)),INDEX(Temas!$E$6:$P$305,$C1788,2*$D1788-1),""),IF(ISNUMBER(INDEX(Avulsos!$B$6:$B$205,$C1788)),INDEX(Avulsos!$B$6:$B$205,$C1788),""))</f>
        <v/>
      </c>
      <c r="F1788" s="114" t="str">
        <f aca="false">IF($E1788="","",IF($B1788="Tema",INDEX(Temas!$B$6:$B$305,$C1788)&amp;"",INDEX(Avulsos!$C$6:$C$205,$C1788)&amp;""))</f>
        <v/>
      </c>
      <c r="G1788" s="114" t="str">
        <f aca="false">IF($E1788="","",IF($B1788="Tema",INDEX(Config!$C$6:$C$11,$D1788),"Evento avulso"))</f>
        <v/>
      </c>
      <c r="H1788" s="114" t="str">
        <f aca="false">IF($E1788="","",IF($B1788="Tema",INDEX(Config!$D$6:$D$11,$D1788),IFERROR(INDEX(Config!$E$15:$E$19,MATCH($I1788,Config!$C$15:$C$19,0)),"•")))</f>
        <v/>
      </c>
      <c r="I1788" s="114" t="str">
        <f aca="false">IF($E1788="","",IF($B1788="Tema",INDEX(Config!$E$6:$E$11,$D1788),IF(INDEX(Avulsos!$D$6:$D$205,$C1788)&amp;""="","Outro",INDEX(Avulsos!$D$6:$D$205,$C1788))))</f>
        <v/>
      </c>
      <c r="J1788" s="114" t="str">
        <f aca="false">IF($E1788="","",IF($B1788="Tema",INDEX(Temas!$C$6:$C$305,$C1788)&amp;"",INDEX(Avulsos!$E$6:$E$205,$C1788)&amp;""))</f>
        <v/>
      </c>
      <c r="K1788" s="114" t="str">
        <f aca="false">IF($E1788="","",IF(IF($B1788="Tema",INDEX(Temas!$E$6:$P$305,$C1788,2*$D1788),INDEX(Avulsos!$F$6:$F$205,$C1788))&amp;""="","","✓"))</f>
        <v/>
      </c>
      <c r="L1788" s="114" t="str">
        <f aca="true">IF($E1788="","",IF($K1788="✓","Concluído",IF($E1788&lt;TODAY(),"Atrasado",IF($E1788=TODAY(),"Hoje","Pendente"))))</f>
        <v/>
      </c>
      <c r="M1788" s="114" t="str">
        <f aca="false">IF($E1788="","",IF($K1788="✓","✓ ","")&amp;IF(Config!$E$22="Sim",$H1788&amp;" · ","")&amp;$F1788)</f>
        <v/>
      </c>
      <c r="N1788" s="114" t="str">
        <f aca="false">IF($E1788="","",IFERROR(INDEX(Config!$D$15:$D$19,MATCH($I1788,Config!$C$15:$C$19,0)),"OUT")&amp;IF($K1788="✓","x",""))</f>
        <v/>
      </c>
      <c r="O1788" s="114" t="str">
        <f aca="false">IF($E1788="","",COUNTIF($E$5:$E1788,$E1788))</f>
        <v/>
      </c>
      <c r="P1788" s="114" t="str">
        <f aca="false">IF($E1788="","",$E1788*100+$O1788)</f>
        <v/>
      </c>
      <c r="Q1788" s="114" t="str">
        <f aca="false">IF($L1788="Atrasado",$E1788*10000+$A1788,"")</f>
        <v/>
      </c>
    </row>
    <row r="1789" customFormat="false" ht="15" hidden="false" customHeight="false" outlineLevel="0" collapsed="false">
      <c r="A1789" s="114" t="n">
        <f aca="false">ROW()-4</f>
        <v>1785</v>
      </c>
      <c r="B1789" s="114" t="str">
        <f aca="false">IF(A1789&lt;=Config!$E$27*Config!$E$28,"Tema","Avulso")</f>
        <v>Tema</v>
      </c>
      <c r="C1789" s="114" t="n">
        <f aca="false">IF(B1789="Tema",INT((A1789-1)/Config!$E$28)+1,A1789-Config!$E$27*Config!$E$28)</f>
        <v>298</v>
      </c>
      <c r="D1789" s="114" t="n">
        <f aca="false">IF(B1789="Tema",MOD(A1789-1,Config!$E$28)+1,"")</f>
        <v>3</v>
      </c>
      <c r="E1789" s="115" t="str">
        <f aca="false">IF($B1789="Tema",IF(ISNUMBER(INDEX(Temas!$E$6:$P$305,$C1789,2*$D1789-1)),INDEX(Temas!$E$6:$P$305,$C1789,2*$D1789-1),""),IF(ISNUMBER(INDEX(Avulsos!$B$6:$B$205,$C1789)),INDEX(Avulsos!$B$6:$B$205,$C1789),""))</f>
        <v/>
      </c>
      <c r="F1789" s="114" t="str">
        <f aca="false">IF($E1789="","",IF($B1789="Tema",INDEX(Temas!$B$6:$B$305,$C1789)&amp;"",INDEX(Avulsos!$C$6:$C$205,$C1789)&amp;""))</f>
        <v/>
      </c>
      <c r="G1789" s="114" t="str">
        <f aca="false">IF($E1789="","",IF($B1789="Tema",INDEX(Config!$C$6:$C$11,$D1789),"Evento avulso"))</f>
        <v/>
      </c>
      <c r="H1789" s="114" t="str">
        <f aca="false">IF($E1789="","",IF($B1789="Tema",INDEX(Config!$D$6:$D$11,$D1789),IFERROR(INDEX(Config!$E$15:$E$19,MATCH($I1789,Config!$C$15:$C$19,0)),"•")))</f>
        <v/>
      </c>
      <c r="I1789" s="114" t="str">
        <f aca="false">IF($E1789="","",IF($B1789="Tema",INDEX(Config!$E$6:$E$11,$D1789),IF(INDEX(Avulsos!$D$6:$D$205,$C1789)&amp;""="","Outro",INDEX(Avulsos!$D$6:$D$205,$C1789))))</f>
        <v/>
      </c>
      <c r="J1789" s="114" t="str">
        <f aca="false">IF($E1789="","",IF($B1789="Tema",INDEX(Temas!$C$6:$C$305,$C1789)&amp;"",INDEX(Avulsos!$E$6:$E$205,$C1789)&amp;""))</f>
        <v/>
      </c>
      <c r="K1789" s="114" t="str">
        <f aca="false">IF($E1789="","",IF(IF($B1789="Tema",INDEX(Temas!$E$6:$P$305,$C1789,2*$D1789),INDEX(Avulsos!$F$6:$F$205,$C1789))&amp;""="","","✓"))</f>
        <v/>
      </c>
      <c r="L1789" s="114" t="str">
        <f aca="true">IF($E1789="","",IF($K1789="✓","Concluído",IF($E1789&lt;TODAY(),"Atrasado",IF($E1789=TODAY(),"Hoje","Pendente"))))</f>
        <v/>
      </c>
      <c r="M1789" s="114" t="str">
        <f aca="false">IF($E1789="","",IF($K1789="✓","✓ ","")&amp;IF(Config!$E$22="Sim",$H1789&amp;" · ","")&amp;$F1789)</f>
        <v/>
      </c>
      <c r="N1789" s="114" t="str">
        <f aca="false">IF($E1789="","",IFERROR(INDEX(Config!$D$15:$D$19,MATCH($I1789,Config!$C$15:$C$19,0)),"OUT")&amp;IF($K1789="✓","x",""))</f>
        <v/>
      </c>
      <c r="O1789" s="114" t="str">
        <f aca="false">IF($E1789="","",COUNTIF($E$5:$E1789,$E1789))</f>
        <v/>
      </c>
      <c r="P1789" s="114" t="str">
        <f aca="false">IF($E1789="","",$E1789*100+$O1789)</f>
        <v/>
      </c>
      <c r="Q1789" s="114" t="str">
        <f aca="false">IF($L1789="Atrasado",$E1789*10000+$A1789,"")</f>
        <v/>
      </c>
    </row>
    <row r="1790" customFormat="false" ht="15" hidden="false" customHeight="false" outlineLevel="0" collapsed="false">
      <c r="A1790" s="114" t="n">
        <f aca="false">ROW()-4</f>
        <v>1786</v>
      </c>
      <c r="B1790" s="114" t="str">
        <f aca="false">IF(A1790&lt;=Config!$E$27*Config!$E$28,"Tema","Avulso")</f>
        <v>Tema</v>
      </c>
      <c r="C1790" s="114" t="n">
        <f aca="false">IF(B1790="Tema",INT((A1790-1)/Config!$E$28)+1,A1790-Config!$E$27*Config!$E$28)</f>
        <v>298</v>
      </c>
      <c r="D1790" s="114" t="n">
        <f aca="false">IF(B1790="Tema",MOD(A1790-1,Config!$E$28)+1,"")</f>
        <v>4</v>
      </c>
      <c r="E1790" s="115" t="str">
        <f aca="false">IF($B1790="Tema",IF(ISNUMBER(INDEX(Temas!$E$6:$P$305,$C1790,2*$D1790-1)),INDEX(Temas!$E$6:$P$305,$C1790,2*$D1790-1),""),IF(ISNUMBER(INDEX(Avulsos!$B$6:$B$205,$C1790)),INDEX(Avulsos!$B$6:$B$205,$C1790),""))</f>
        <v/>
      </c>
      <c r="F1790" s="114" t="str">
        <f aca="false">IF($E1790="","",IF($B1790="Tema",INDEX(Temas!$B$6:$B$305,$C1790)&amp;"",INDEX(Avulsos!$C$6:$C$205,$C1790)&amp;""))</f>
        <v/>
      </c>
      <c r="G1790" s="114" t="str">
        <f aca="false">IF($E1790="","",IF($B1790="Tema",INDEX(Config!$C$6:$C$11,$D1790),"Evento avulso"))</f>
        <v/>
      </c>
      <c r="H1790" s="114" t="str">
        <f aca="false">IF($E1790="","",IF($B1790="Tema",INDEX(Config!$D$6:$D$11,$D1790),IFERROR(INDEX(Config!$E$15:$E$19,MATCH($I1790,Config!$C$15:$C$19,0)),"•")))</f>
        <v/>
      </c>
      <c r="I1790" s="114" t="str">
        <f aca="false">IF($E1790="","",IF($B1790="Tema",INDEX(Config!$E$6:$E$11,$D1790),IF(INDEX(Avulsos!$D$6:$D$205,$C1790)&amp;""="","Outro",INDEX(Avulsos!$D$6:$D$205,$C1790))))</f>
        <v/>
      </c>
      <c r="J1790" s="114" t="str">
        <f aca="false">IF($E1790="","",IF($B1790="Tema",INDEX(Temas!$C$6:$C$305,$C1790)&amp;"",INDEX(Avulsos!$E$6:$E$205,$C1790)&amp;""))</f>
        <v/>
      </c>
      <c r="K1790" s="114" t="str">
        <f aca="false">IF($E1790="","",IF(IF($B1790="Tema",INDEX(Temas!$E$6:$P$305,$C1790,2*$D1790),INDEX(Avulsos!$F$6:$F$205,$C1790))&amp;""="","","✓"))</f>
        <v/>
      </c>
      <c r="L1790" s="114" t="str">
        <f aca="true">IF($E1790="","",IF($K1790="✓","Concluído",IF($E1790&lt;TODAY(),"Atrasado",IF($E1790=TODAY(),"Hoje","Pendente"))))</f>
        <v/>
      </c>
      <c r="M1790" s="114" t="str">
        <f aca="false">IF($E1790="","",IF($K1790="✓","✓ ","")&amp;IF(Config!$E$22="Sim",$H1790&amp;" · ","")&amp;$F1790)</f>
        <v/>
      </c>
      <c r="N1790" s="114" t="str">
        <f aca="false">IF($E1790="","",IFERROR(INDEX(Config!$D$15:$D$19,MATCH($I1790,Config!$C$15:$C$19,0)),"OUT")&amp;IF($K1790="✓","x",""))</f>
        <v/>
      </c>
      <c r="O1790" s="114" t="str">
        <f aca="false">IF($E1790="","",COUNTIF($E$5:$E1790,$E1790))</f>
        <v/>
      </c>
      <c r="P1790" s="114" t="str">
        <f aca="false">IF($E1790="","",$E1790*100+$O1790)</f>
        <v/>
      </c>
      <c r="Q1790" s="114" t="str">
        <f aca="false">IF($L1790="Atrasado",$E1790*10000+$A1790,"")</f>
        <v/>
      </c>
    </row>
    <row r="1791" customFormat="false" ht="15" hidden="false" customHeight="false" outlineLevel="0" collapsed="false">
      <c r="A1791" s="114" t="n">
        <f aca="false">ROW()-4</f>
        <v>1787</v>
      </c>
      <c r="B1791" s="114" t="str">
        <f aca="false">IF(A1791&lt;=Config!$E$27*Config!$E$28,"Tema","Avulso")</f>
        <v>Tema</v>
      </c>
      <c r="C1791" s="114" t="n">
        <f aca="false">IF(B1791="Tema",INT((A1791-1)/Config!$E$28)+1,A1791-Config!$E$27*Config!$E$28)</f>
        <v>298</v>
      </c>
      <c r="D1791" s="114" t="n">
        <f aca="false">IF(B1791="Tema",MOD(A1791-1,Config!$E$28)+1,"")</f>
        <v>5</v>
      </c>
      <c r="E1791" s="115" t="str">
        <f aca="false">IF($B1791="Tema",IF(ISNUMBER(INDEX(Temas!$E$6:$P$305,$C1791,2*$D1791-1)),INDEX(Temas!$E$6:$P$305,$C1791,2*$D1791-1),""),IF(ISNUMBER(INDEX(Avulsos!$B$6:$B$205,$C1791)),INDEX(Avulsos!$B$6:$B$205,$C1791),""))</f>
        <v/>
      </c>
      <c r="F1791" s="114" t="str">
        <f aca="false">IF($E1791="","",IF($B1791="Tema",INDEX(Temas!$B$6:$B$305,$C1791)&amp;"",INDEX(Avulsos!$C$6:$C$205,$C1791)&amp;""))</f>
        <v/>
      </c>
      <c r="G1791" s="114" t="str">
        <f aca="false">IF($E1791="","",IF($B1791="Tema",INDEX(Config!$C$6:$C$11,$D1791),"Evento avulso"))</f>
        <v/>
      </c>
      <c r="H1791" s="114" t="str">
        <f aca="false">IF($E1791="","",IF($B1791="Tema",INDEX(Config!$D$6:$D$11,$D1791),IFERROR(INDEX(Config!$E$15:$E$19,MATCH($I1791,Config!$C$15:$C$19,0)),"•")))</f>
        <v/>
      </c>
      <c r="I1791" s="114" t="str">
        <f aca="false">IF($E1791="","",IF($B1791="Tema",INDEX(Config!$E$6:$E$11,$D1791),IF(INDEX(Avulsos!$D$6:$D$205,$C1791)&amp;""="","Outro",INDEX(Avulsos!$D$6:$D$205,$C1791))))</f>
        <v/>
      </c>
      <c r="J1791" s="114" t="str">
        <f aca="false">IF($E1791="","",IF($B1791="Tema",INDEX(Temas!$C$6:$C$305,$C1791)&amp;"",INDEX(Avulsos!$E$6:$E$205,$C1791)&amp;""))</f>
        <v/>
      </c>
      <c r="K1791" s="114" t="str">
        <f aca="false">IF($E1791="","",IF(IF($B1791="Tema",INDEX(Temas!$E$6:$P$305,$C1791,2*$D1791),INDEX(Avulsos!$F$6:$F$205,$C1791))&amp;""="","","✓"))</f>
        <v/>
      </c>
      <c r="L1791" s="114" t="str">
        <f aca="true">IF($E1791="","",IF($K1791="✓","Concluído",IF($E1791&lt;TODAY(),"Atrasado",IF($E1791=TODAY(),"Hoje","Pendente"))))</f>
        <v/>
      </c>
      <c r="M1791" s="114" t="str">
        <f aca="false">IF($E1791="","",IF($K1791="✓","✓ ","")&amp;IF(Config!$E$22="Sim",$H1791&amp;" · ","")&amp;$F1791)</f>
        <v/>
      </c>
      <c r="N1791" s="114" t="str">
        <f aca="false">IF($E1791="","",IFERROR(INDEX(Config!$D$15:$D$19,MATCH($I1791,Config!$C$15:$C$19,0)),"OUT")&amp;IF($K1791="✓","x",""))</f>
        <v/>
      </c>
      <c r="O1791" s="114" t="str">
        <f aca="false">IF($E1791="","",COUNTIF($E$5:$E1791,$E1791))</f>
        <v/>
      </c>
      <c r="P1791" s="114" t="str">
        <f aca="false">IF($E1791="","",$E1791*100+$O1791)</f>
        <v/>
      </c>
      <c r="Q1791" s="114" t="str">
        <f aca="false">IF($L1791="Atrasado",$E1791*10000+$A1791,"")</f>
        <v/>
      </c>
    </row>
    <row r="1792" customFormat="false" ht="15" hidden="false" customHeight="false" outlineLevel="0" collapsed="false">
      <c r="A1792" s="114" t="n">
        <f aca="false">ROW()-4</f>
        <v>1788</v>
      </c>
      <c r="B1792" s="114" t="str">
        <f aca="false">IF(A1792&lt;=Config!$E$27*Config!$E$28,"Tema","Avulso")</f>
        <v>Tema</v>
      </c>
      <c r="C1792" s="114" t="n">
        <f aca="false">IF(B1792="Tema",INT((A1792-1)/Config!$E$28)+1,A1792-Config!$E$27*Config!$E$28)</f>
        <v>298</v>
      </c>
      <c r="D1792" s="114" t="n">
        <f aca="false">IF(B1792="Tema",MOD(A1792-1,Config!$E$28)+1,"")</f>
        <v>6</v>
      </c>
      <c r="E1792" s="115" t="str">
        <f aca="false">IF($B1792="Tema",IF(ISNUMBER(INDEX(Temas!$E$6:$P$305,$C1792,2*$D1792-1)),INDEX(Temas!$E$6:$P$305,$C1792,2*$D1792-1),""),IF(ISNUMBER(INDEX(Avulsos!$B$6:$B$205,$C1792)),INDEX(Avulsos!$B$6:$B$205,$C1792),""))</f>
        <v/>
      </c>
      <c r="F1792" s="114" t="str">
        <f aca="false">IF($E1792="","",IF($B1792="Tema",INDEX(Temas!$B$6:$B$305,$C1792)&amp;"",INDEX(Avulsos!$C$6:$C$205,$C1792)&amp;""))</f>
        <v/>
      </c>
      <c r="G1792" s="114" t="str">
        <f aca="false">IF($E1792="","",IF($B1792="Tema",INDEX(Config!$C$6:$C$11,$D1792),"Evento avulso"))</f>
        <v/>
      </c>
      <c r="H1792" s="114" t="str">
        <f aca="false">IF($E1792="","",IF($B1792="Tema",INDEX(Config!$D$6:$D$11,$D1792),IFERROR(INDEX(Config!$E$15:$E$19,MATCH($I1792,Config!$C$15:$C$19,0)),"•")))</f>
        <v/>
      </c>
      <c r="I1792" s="114" t="str">
        <f aca="false">IF($E1792="","",IF($B1792="Tema",INDEX(Config!$E$6:$E$11,$D1792),IF(INDEX(Avulsos!$D$6:$D$205,$C1792)&amp;""="","Outro",INDEX(Avulsos!$D$6:$D$205,$C1792))))</f>
        <v/>
      </c>
      <c r="J1792" s="114" t="str">
        <f aca="false">IF($E1792="","",IF($B1792="Tema",INDEX(Temas!$C$6:$C$305,$C1792)&amp;"",INDEX(Avulsos!$E$6:$E$205,$C1792)&amp;""))</f>
        <v/>
      </c>
      <c r="K1792" s="114" t="str">
        <f aca="false">IF($E1792="","",IF(IF($B1792="Tema",INDEX(Temas!$E$6:$P$305,$C1792,2*$D1792),INDEX(Avulsos!$F$6:$F$205,$C1792))&amp;""="","","✓"))</f>
        <v/>
      </c>
      <c r="L1792" s="114" t="str">
        <f aca="true">IF($E1792="","",IF($K1792="✓","Concluído",IF($E1792&lt;TODAY(),"Atrasado",IF($E1792=TODAY(),"Hoje","Pendente"))))</f>
        <v/>
      </c>
      <c r="M1792" s="114" t="str">
        <f aca="false">IF($E1792="","",IF($K1792="✓","✓ ","")&amp;IF(Config!$E$22="Sim",$H1792&amp;" · ","")&amp;$F1792)</f>
        <v/>
      </c>
      <c r="N1792" s="114" t="str">
        <f aca="false">IF($E1792="","",IFERROR(INDEX(Config!$D$15:$D$19,MATCH($I1792,Config!$C$15:$C$19,0)),"OUT")&amp;IF($K1792="✓","x",""))</f>
        <v/>
      </c>
      <c r="O1792" s="114" t="str">
        <f aca="false">IF($E1792="","",COUNTIF($E$5:$E1792,$E1792))</f>
        <v/>
      </c>
      <c r="P1792" s="114" t="str">
        <f aca="false">IF($E1792="","",$E1792*100+$O1792)</f>
        <v/>
      </c>
      <c r="Q1792" s="114" t="str">
        <f aca="false">IF($L1792="Atrasado",$E1792*10000+$A1792,"")</f>
        <v/>
      </c>
    </row>
    <row r="1793" customFormat="false" ht="15" hidden="false" customHeight="false" outlineLevel="0" collapsed="false">
      <c r="A1793" s="114" t="n">
        <f aca="false">ROW()-4</f>
        <v>1789</v>
      </c>
      <c r="B1793" s="114" t="str">
        <f aca="false">IF(A1793&lt;=Config!$E$27*Config!$E$28,"Tema","Avulso")</f>
        <v>Tema</v>
      </c>
      <c r="C1793" s="114" t="n">
        <f aca="false">IF(B1793="Tema",INT((A1793-1)/Config!$E$28)+1,A1793-Config!$E$27*Config!$E$28)</f>
        <v>299</v>
      </c>
      <c r="D1793" s="114" t="n">
        <f aca="false">IF(B1793="Tema",MOD(A1793-1,Config!$E$28)+1,"")</f>
        <v>1</v>
      </c>
      <c r="E1793" s="115" t="str">
        <f aca="false">IF($B1793="Tema",IF(ISNUMBER(INDEX(Temas!$E$6:$P$305,$C1793,2*$D1793-1)),INDEX(Temas!$E$6:$P$305,$C1793,2*$D1793-1),""),IF(ISNUMBER(INDEX(Avulsos!$B$6:$B$205,$C1793)),INDEX(Avulsos!$B$6:$B$205,$C1793),""))</f>
        <v/>
      </c>
      <c r="F1793" s="114" t="str">
        <f aca="false">IF($E1793="","",IF($B1793="Tema",INDEX(Temas!$B$6:$B$305,$C1793)&amp;"",INDEX(Avulsos!$C$6:$C$205,$C1793)&amp;""))</f>
        <v/>
      </c>
      <c r="G1793" s="114" t="str">
        <f aca="false">IF($E1793="","",IF($B1793="Tema",INDEX(Config!$C$6:$C$11,$D1793),"Evento avulso"))</f>
        <v/>
      </c>
      <c r="H1793" s="114" t="str">
        <f aca="false">IF($E1793="","",IF($B1793="Tema",INDEX(Config!$D$6:$D$11,$D1793),IFERROR(INDEX(Config!$E$15:$E$19,MATCH($I1793,Config!$C$15:$C$19,0)),"•")))</f>
        <v/>
      </c>
      <c r="I1793" s="114" t="str">
        <f aca="false">IF($E1793="","",IF($B1793="Tema",INDEX(Config!$E$6:$E$11,$D1793),IF(INDEX(Avulsos!$D$6:$D$205,$C1793)&amp;""="","Outro",INDEX(Avulsos!$D$6:$D$205,$C1793))))</f>
        <v/>
      </c>
      <c r="J1793" s="114" t="str">
        <f aca="false">IF($E1793="","",IF($B1793="Tema",INDEX(Temas!$C$6:$C$305,$C1793)&amp;"",INDEX(Avulsos!$E$6:$E$205,$C1793)&amp;""))</f>
        <v/>
      </c>
      <c r="K1793" s="114" t="str">
        <f aca="false">IF($E1793="","",IF(IF($B1793="Tema",INDEX(Temas!$E$6:$P$305,$C1793,2*$D1793),INDEX(Avulsos!$F$6:$F$205,$C1793))&amp;""="","","✓"))</f>
        <v/>
      </c>
      <c r="L1793" s="114" t="str">
        <f aca="true">IF($E1793="","",IF($K1793="✓","Concluído",IF($E1793&lt;TODAY(),"Atrasado",IF($E1793=TODAY(),"Hoje","Pendente"))))</f>
        <v/>
      </c>
      <c r="M1793" s="114" t="str">
        <f aca="false">IF($E1793="","",IF($K1793="✓","✓ ","")&amp;IF(Config!$E$22="Sim",$H1793&amp;" · ","")&amp;$F1793)</f>
        <v/>
      </c>
      <c r="N1793" s="114" t="str">
        <f aca="false">IF($E1793="","",IFERROR(INDEX(Config!$D$15:$D$19,MATCH($I1793,Config!$C$15:$C$19,0)),"OUT")&amp;IF($K1793="✓","x",""))</f>
        <v/>
      </c>
      <c r="O1793" s="114" t="str">
        <f aca="false">IF($E1793="","",COUNTIF($E$5:$E1793,$E1793))</f>
        <v/>
      </c>
      <c r="P1793" s="114" t="str">
        <f aca="false">IF($E1793="","",$E1793*100+$O1793)</f>
        <v/>
      </c>
      <c r="Q1793" s="114" t="str">
        <f aca="false">IF($L1793="Atrasado",$E1793*10000+$A1793,"")</f>
        <v/>
      </c>
    </row>
    <row r="1794" customFormat="false" ht="15" hidden="false" customHeight="false" outlineLevel="0" collapsed="false">
      <c r="A1794" s="114" t="n">
        <f aca="false">ROW()-4</f>
        <v>1790</v>
      </c>
      <c r="B1794" s="114" t="str">
        <f aca="false">IF(A1794&lt;=Config!$E$27*Config!$E$28,"Tema","Avulso")</f>
        <v>Tema</v>
      </c>
      <c r="C1794" s="114" t="n">
        <f aca="false">IF(B1794="Tema",INT((A1794-1)/Config!$E$28)+1,A1794-Config!$E$27*Config!$E$28)</f>
        <v>299</v>
      </c>
      <c r="D1794" s="114" t="n">
        <f aca="false">IF(B1794="Tema",MOD(A1794-1,Config!$E$28)+1,"")</f>
        <v>2</v>
      </c>
      <c r="E1794" s="115" t="str">
        <f aca="false">IF($B1794="Tema",IF(ISNUMBER(INDEX(Temas!$E$6:$P$305,$C1794,2*$D1794-1)),INDEX(Temas!$E$6:$P$305,$C1794,2*$D1794-1),""),IF(ISNUMBER(INDEX(Avulsos!$B$6:$B$205,$C1794)),INDEX(Avulsos!$B$6:$B$205,$C1794),""))</f>
        <v/>
      </c>
      <c r="F1794" s="114" t="str">
        <f aca="false">IF($E1794="","",IF($B1794="Tema",INDEX(Temas!$B$6:$B$305,$C1794)&amp;"",INDEX(Avulsos!$C$6:$C$205,$C1794)&amp;""))</f>
        <v/>
      </c>
      <c r="G1794" s="114" t="str">
        <f aca="false">IF($E1794="","",IF($B1794="Tema",INDEX(Config!$C$6:$C$11,$D1794),"Evento avulso"))</f>
        <v/>
      </c>
      <c r="H1794" s="114" t="str">
        <f aca="false">IF($E1794="","",IF($B1794="Tema",INDEX(Config!$D$6:$D$11,$D1794),IFERROR(INDEX(Config!$E$15:$E$19,MATCH($I1794,Config!$C$15:$C$19,0)),"•")))</f>
        <v/>
      </c>
      <c r="I1794" s="114" t="str">
        <f aca="false">IF($E1794="","",IF($B1794="Tema",INDEX(Config!$E$6:$E$11,$D1794),IF(INDEX(Avulsos!$D$6:$D$205,$C1794)&amp;""="","Outro",INDEX(Avulsos!$D$6:$D$205,$C1794))))</f>
        <v/>
      </c>
      <c r="J1794" s="114" t="str">
        <f aca="false">IF($E1794="","",IF($B1794="Tema",INDEX(Temas!$C$6:$C$305,$C1794)&amp;"",INDEX(Avulsos!$E$6:$E$205,$C1794)&amp;""))</f>
        <v/>
      </c>
      <c r="K1794" s="114" t="str">
        <f aca="false">IF($E1794="","",IF(IF($B1794="Tema",INDEX(Temas!$E$6:$P$305,$C1794,2*$D1794),INDEX(Avulsos!$F$6:$F$205,$C1794))&amp;""="","","✓"))</f>
        <v/>
      </c>
      <c r="L1794" s="114" t="str">
        <f aca="true">IF($E1794="","",IF($K1794="✓","Concluído",IF($E1794&lt;TODAY(),"Atrasado",IF($E1794=TODAY(),"Hoje","Pendente"))))</f>
        <v/>
      </c>
      <c r="M1794" s="114" t="str">
        <f aca="false">IF($E1794="","",IF($K1794="✓","✓ ","")&amp;IF(Config!$E$22="Sim",$H1794&amp;" · ","")&amp;$F1794)</f>
        <v/>
      </c>
      <c r="N1794" s="114" t="str">
        <f aca="false">IF($E1794="","",IFERROR(INDEX(Config!$D$15:$D$19,MATCH($I1794,Config!$C$15:$C$19,0)),"OUT")&amp;IF($K1794="✓","x",""))</f>
        <v/>
      </c>
      <c r="O1794" s="114" t="str">
        <f aca="false">IF($E1794="","",COUNTIF($E$5:$E1794,$E1794))</f>
        <v/>
      </c>
      <c r="P1794" s="114" t="str">
        <f aca="false">IF($E1794="","",$E1794*100+$O1794)</f>
        <v/>
      </c>
      <c r="Q1794" s="114" t="str">
        <f aca="false">IF($L1794="Atrasado",$E1794*10000+$A1794,"")</f>
        <v/>
      </c>
    </row>
    <row r="1795" customFormat="false" ht="15" hidden="false" customHeight="false" outlineLevel="0" collapsed="false">
      <c r="A1795" s="114" t="n">
        <f aca="false">ROW()-4</f>
        <v>1791</v>
      </c>
      <c r="B1795" s="114" t="str">
        <f aca="false">IF(A1795&lt;=Config!$E$27*Config!$E$28,"Tema","Avulso")</f>
        <v>Tema</v>
      </c>
      <c r="C1795" s="114" t="n">
        <f aca="false">IF(B1795="Tema",INT((A1795-1)/Config!$E$28)+1,A1795-Config!$E$27*Config!$E$28)</f>
        <v>299</v>
      </c>
      <c r="D1795" s="114" t="n">
        <f aca="false">IF(B1795="Tema",MOD(A1795-1,Config!$E$28)+1,"")</f>
        <v>3</v>
      </c>
      <c r="E1795" s="115" t="str">
        <f aca="false">IF($B1795="Tema",IF(ISNUMBER(INDEX(Temas!$E$6:$P$305,$C1795,2*$D1795-1)),INDEX(Temas!$E$6:$P$305,$C1795,2*$D1795-1),""),IF(ISNUMBER(INDEX(Avulsos!$B$6:$B$205,$C1795)),INDEX(Avulsos!$B$6:$B$205,$C1795),""))</f>
        <v/>
      </c>
      <c r="F1795" s="114" t="str">
        <f aca="false">IF($E1795="","",IF($B1795="Tema",INDEX(Temas!$B$6:$B$305,$C1795)&amp;"",INDEX(Avulsos!$C$6:$C$205,$C1795)&amp;""))</f>
        <v/>
      </c>
      <c r="G1795" s="114" t="str">
        <f aca="false">IF($E1795="","",IF($B1795="Tema",INDEX(Config!$C$6:$C$11,$D1795),"Evento avulso"))</f>
        <v/>
      </c>
      <c r="H1795" s="114" t="str">
        <f aca="false">IF($E1795="","",IF($B1795="Tema",INDEX(Config!$D$6:$D$11,$D1795),IFERROR(INDEX(Config!$E$15:$E$19,MATCH($I1795,Config!$C$15:$C$19,0)),"•")))</f>
        <v/>
      </c>
      <c r="I1795" s="114" t="str">
        <f aca="false">IF($E1795="","",IF($B1795="Tema",INDEX(Config!$E$6:$E$11,$D1795),IF(INDEX(Avulsos!$D$6:$D$205,$C1795)&amp;""="","Outro",INDEX(Avulsos!$D$6:$D$205,$C1795))))</f>
        <v/>
      </c>
      <c r="J1795" s="114" t="str">
        <f aca="false">IF($E1795="","",IF($B1795="Tema",INDEX(Temas!$C$6:$C$305,$C1795)&amp;"",INDEX(Avulsos!$E$6:$E$205,$C1795)&amp;""))</f>
        <v/>
      </c>
      <c r="K1795" s="114" t="str">
        <f aca="false">IF($E1795="","",IF(IF($B1795="Tema",INDEX(Temas!$E$6:$P$305,$C1795,2*$D1795),INDEX(Avulsos!$F$6:$F$205,$C1795))&amp;""="","","✓"))</f>
        <v/>
      </c>
      <c r="L1795" s="114" t="str">
        <f aca="true">IF($E1795="","",IF($K1795="✓","Concluído",IF($E1795&lt;TODAY(),"Atrasado",IF($E1795=TODAY(),"Hoje","Pendente"))))</f>
        <v/>
      </c>
      <c r="M1795" s="114" t="str">
        <f aca="false">IF($E1795="","",IF($K1795="✓","✓ ","")&amp;IF(Config!$E$22="Sim",$H1795&amp;" · ","")&amp;$F1795)</f>
        <v/>
      </c>
      <c r="N1795" s="114" t="str">
        <f aca="false">IF($E1795="","",IFERROR(INDEX(Config!$D$15:$D$19,MATCH($I1795,Config!$C$15:$C$19,0)),"OUT")&amp;IF($K1795="✓","x",""))</f>
        <v/>
      </c>
      <c r="O1795" s="114" t="str">
        <f aca="false">IF($E1795="","",COUNTIF($E$5:$E1795,$E1795))</f>
        <v/>
      </c>
      <c r="P1795" s="114" t="str">
        <f aca="false">IF($E1795="","",$E1795*100+$O1795)</f>
        <v/>
      </c>
      <c r="Q1795" s="114" t="str">
        <f aca="false">IF($L1795="Atrasado",$E1795*10000+$A1795,"")</f>
        <v/>
      </c>
    </row>
    <row r="1796" customFormat="false" ht="15" hidden="false" customHeight="false" outlineLevel="0" collapsed="false">
      <c r="A1796" s="114" t="n">
        <f aca="false">ROW()-4</f>
        <v>1792</v>
      </c>
      <c r="B1796" s="114" t="str">
        <f aca="false">IF(A1796&lt;=Config!$E$27*Config!$E$28,"Tema","Avulso")</f>
        <v>Tema</v>
      </c>
      <c r="C1796" s="114" t="n">
        <f aca="false">IF(B1796="Tema",INT((A1796-1)/Config!$E$28)+1,A1796-Config!$E$27*Config!$E$28)</f>
        <v>299</v>
      </c>
      <c r="D1796" s="114" t="n">
        <f aca="false">IF(B1796="Tema",MOD(A1796-1,Config!$E$28)+1,"")</f>
        <v>4</v>
      </c>
      <c r="E1796" s="115" t="str">
        <f aca="false">IF($B1796="Tema",IF(ISNUMBER(INDEX(Temas!$E$6:$P$305,$C1796,2*$D1796-1)),INDEX(Temas!$E$6:$P$305,$C1796,2*$D1796-1),""),IF(ISNUMBER(INDEX(Avulsos!$B$6:$B$205,$C1796)),INDEX(Avulsos!$B$6:$B$205,$C1796),""))</f>
        <v/>
      </c>
      <c r="F1796" s="114" t="str">
        <f aca="false">IF($E1796="","",IF($B1796="Tema",INDEX(Temas!$B$6:$B$305,$C1796)&amp;"",INDEX(Avulsos!$C$6:$C$205,$C1796)&amp;""))</f>
        <v/>
      </c>
      <c r="G1796" s="114" t="str">
        <f aca="false">IF($E1796="","",IF($B1796="Tema",INDEX(Config!$C$6:$C$11,$D1796),"Evento avulso"))</f>
        <v/>
      </c>
      <c r="H1796" s="114" t="str">
        <f aca="false">IF($E1796="","",IF($B1796="Tema",INDEX(Config!$D$6:$D$11,$D1796),IFERROR(INDEX(Config!$E$15:$E$19,MATCH($I1796,Config!$C$15:$C$19,0)),"•")))</f>
        <v/>
      </c>
      <c r="I1796" s="114" t="str">
        <f aca="false">IF($E1796="","",IF($B1796="Tema",INDEX(Config!$E$6:$E$11,$D1796),IF(INDEX(Avulsos!$D$6:$D$205,$C1796)&amp;""="","Outro",INDEX(Avulsos!$D$6:$D$205,$C1796))))</f>
        <v/>
      </c>
      <c r="J1796" s="114" t="str">
        <f aca="false">IF($E1796="","",IF($B1796="Tema",INDEX(Temas!$C$6:$C$305,$C1796)&amp;"",INDEX(Avulsos!$E$6:$E$205,$C1796)&amp;""))</f>
        <v/>
      </c>
      <c r="K1796" s="114" t="str">
        <f aca="false">IF($E1796="","",IF(IF($B1796="Tema",INDEX(Temas!$E$6:$P$305,$C1796,2*$D1796),INDEX(Avulsos!$F$6:$F$205,$C1796))&amp;""="","","✓"))</f>
        <v/>
      </c>
      <c r="L1796" s="114" t="str">
        <f aca="true">IF($E1796="","",IF($K1796="✓","Concluído",IF($E1796&lt;TODAY(),"Atrasado",IF($E1796=TODAY(),"Hoje","Pendente"))))</f>
        <v/>
      </c>
      <c r="M1796" s="114" t="str">
        <f aca="false">IF($E1796="","",IF($K1796="✓","✓ ","")&amp;IF(Config!$E$22="Sim",$H1796&amp;" · ","")&amp;$F1796)</f>
        <v/>
      </c>
      <c r="N1796" s="114" t="str">
        <f aca="false">IF($E1796="","",IFERROR(INDEX(Config!$D$15:$D$19,MATCH($I1796,Config!$C$15:$C$19,0)),"OUT")&amp;IF($K1796="✓","x",""))</f>
        <v/>
      </c>
      <c r="O1796" s="114" t="str">
        <f aca="false">IF($E1796="","",COUNTIF($E$5:$E1796,$E1796))</f>
        <v/>
      </c>
      <c r="P1796" s="114" t="str">
        <f aca="false">IF($E1796="","",$E1796*100+$O1796)</f>
        <v/>
      </c>
      <c r="Q1796" s="114" t="str">
        <f aca="false">IF($L1796="Atrasado",$E1796*10000+$A1796,"")</f>
        <v/>
      </c>
    </row>
    <row r="1797" customFormat="false" ht="15" hidden="false" customHeight="false" outlineLevel="0" collapsed="false">
      <c r="A1797" s="114" t="n">
        <f aca="false">ROW()-4</f>
        <v>1793</v>
      </c>
      <c r="B1797" s="114" t="str">
        <f aca="false">IF(A1797&lt;=Config!$E$27*Config!$E$28,"Tema","Avulso")</f>
        <v>Tema</v>
      </c>
      <c r="C1797" s="114" t="n">
        <f aca="false">IF(B1797="Tema",INT((A1797-1)/Config!$E$28)+1,A1797-Config!$E$27*Config!$E$28)</f>
        <v>299</v>
      </c>
      <c r="D1797" s="114" t="n">
        <f aca="false">IF(B1797="Tema",MOD(A1797-1,Config!$E$28)+1,"")</f>
        <v>5</v>
      </c>
      <c r="E1797" s="115" t="str">
        <f aca="false">IF($B1797="Tema",IF(ISNUMBER(INDEX(Temas!$E$6:$P$305,$C1797,2*$D1797-1)),INDEX(Temas!$E$6:$P$305,$C1797,2*$D1797-1),""),IF(ISNUMBER(INDEX(Avulsos!$B$6:$B$205,$C1797)),INDEX(Avulsos!$B$6:$B$205,$C1797),""))</f>
        <v/>
      </c>
      <c r="F1797" s="114" t="str">
        <f aca="false">IF($E1797="","",IF($B1797="Tema",INDEX(Temas!$B$6:$B$305,$C1797)&amp;"",INDEX(Avulsos!$C$6:$C$205,$C1797)&amp;""))</f>
        <v/>
      </c>
      <c r="G1797" s="114" t="str">
        <f aca="false">IF($E1797="","",IF($B1797="Tema",INDEX(Config!$C$6:$C$11,$D1797),"Evento avulso"))</f>
        <v/>
      </c>
      <c r="H1797" s="114" t="str">
        <f aca="false">IF($E1797="","",IF($B1797="Tema",INDEX(Config!$D$6:$D$11,$D1797),IFERROR(INDEX(Config!$E$15:$E$19,MATCH($I1797,Config!$C$15:$C$19,0)),"•")))</f>
        <v/>
      </c>
      <c r="I1797" s="114" t="str">
        <f aca="false">IF($E1797="","",IF($B1797="Tema",INDEX(Config!$E$6:$E$11,$D1797),IF(INDEX(Avulsos!$D$6:$D$205,$C1797)&amp;""="","Outro",INDEX(Avulsos!$D$6:$D$205,$C1797))))</f>
        <v/>
      </c>
      <c r="J1797" s="114" t="str">
        <f aca="false">IF($E1797="","",IF($B1797="Tema",INDEX(Temas!$C$6:$C$305,$C1797)&amp;"",INDEX(Avulsos!$E$6:$E$205,$C1797)&amp;""))</f>
        <v/>
      </c>
      <c r="K1797" s="114" t="str">
        <f aca="false">IF($E1797="","",IF(IF($B1797="Tema",INDEX(Temas!$E$6:$P$305,$C1797,2*$D1797),INDEX(Avulsos!$F$6:$F$205,$C1797))&amp;""="","","✓"))</f>
        <v/>
      </c>
      <c r="L1797" s="114" t="str">
        <f aca="true">IF($E1797="","",IF($K1797="✓","Concluído",IF($E1797&lt;TODAY(),"Atrasado",IF($E1797=TODAY(),"Hoje","Pendente"))))</f>
        <v/>
      </c>
      <c r="M1797" s="114" t="str">
        <f aca="false">IF($E1797="","",IF($K1797="✓","✓ ","")&amp;IF(Config!$E$22="Sim",$H1797&amp;" · ","")&amp;$F1797)</f>
        <v/>
      </c>
      <c r="N1797" s="114" t="str">
        <f aca="false">IF($E1797="","",IFERROR(INDEX(Config!$D$15:$D$19,MATCH($I1797,Config!$C$15:$C$19,0)),"OUT")&amp;IF($K1797="✓","x",""))</f>
        <v/>
      </c>
      <c r="O1797" s="114" t="str">
        <f aca="false">IF($E1797="","",COUNTIF($E$5:$E1797,$E1797))</f>
        <v/>
      </c>
      <c r="P1797" s="114" t="str">
        <f aca="false">IF($E1797="","",$E1797*100+$O1797)</f>
        <v/>
      </c>
      <c r="Q1797" s="114" t="str">
        <f aca="false">IF($L1797="Atrasado",$E1797*10000+$A1797,"")</f>
        <v/>
      </c>
    </row>
    <row r="1798" customFormat="false" ht="15" hidden="false" customHeight="false" outlineLevel="0" collapsed="false">
      <c r="A1798" s="114" t="n">
        <f aca="false">ROW()-4</f>
        <v>1794</v>
      </c>
      <c r="B1798" s="114" t="str">
        <f aca="false">IF(A1798&lt;=Config!$E$27*Config!$E$28,"Tema","Avulso")</f>
        <v>Tema</v>
      </c>
      <c r="C1798" s="114" t="n">
        <f aca="false">IF(B1798="Tema",INT((A1798-1)/Config!$E$28)+1,A1798-Config!$E$27*Config!$E$28)</f>
        <v>299</v>
      </c>
      <c r="D1798" s="114" t="n">
        <f aca="false">IF(B1798="Tema",MOD(A1798-1,Config!$E$28)+1,"")</f>
        <v>6</v>
      </c>
      <c r="E1798" s="115" t="str">
        <f aca="false">IF($B1798="Tema",IF(ISNUMBER(INDEX(Temas!$E$6:$P$305,$C1798,2*$D1798-1)),INDEX(Temas!$E$6:$P$305,$C1798,2*$D1798-1),""),IF(ISNUMBER(INDEX(Avulsos!$B$6:$B$205,$C1798)),INDEX(Avulsos!$B$6:$B$205,$C1798),""))</f>
        <v/>
      </c>
      <c r="F1798" s="114" t="str">
        <f aca="false">IF($E1798="","",IF($B1798="Tema",INDEX(Temas!$B$6:$B$305,$C1798)&amp;"",INDEX(Avulsos!$C$6:$C$205,$C1798)&amp;""))</f>
        <v/>
      </c>
      <c r="G1798" s="114" t="str">
        <f aca="false">IF($E1798="","",IF($B1798="Tema",INDEX(Config!$C$6:$C$11,$D1798),"Evento avulso"))</f>
        <v/>
      </c>
      <c r="H1798" s="114" t="str">
        <f aca="false">IF($E1798="","",IF($B1798="Tema",INDEX(Config!$D$6:$D$11,$D1798),IFERROR(INDEX(Config!$E$15:$E$19,MATCH($I1798,Config!$C$15:$C$19,0)),"•")))</f>
        <v/>
      </c>
      <c r="I1798" s="114" t="str">
        <f aca="false">IF($E1798="","",IF($B1798="Tema",INDEX(Config!$E$6:$E$11,$D1798),IF(INDEX(Avulsos!$D$6:$D$205,$C1798)&amp;""="","Outro",INDEX(Avulsos!$D$6:$D$205,$C1798))))</f>
        <v/>
      </c>
      <c r="J1798" s="114" t="str">
        <f aca="false">IF($E1798="","",IF($B1798="Tema",INDEX(Temas!$C$6:$C$305,$C1798)&amp;"",INDEX(Avulsos!$E$6:$E$205,$C1798)&amp;""))</f>
        <v/>
      </c>
      <c r="K1798" s="114" t="str">
        <f aca="false">IF($E1798="","",IF(IF($B1798="Tema",INDEX(Temas!$E$6:$P$305,$C1798,2*$D1798),INDEX(Avulsos!$F$6:$F$205,$C1798))&amp;""="","","✓"))</f>
        <v/>
      </c>
      <c r="L1798" s="114" t="str">
        <f aca="true">IF($E1798="","",IF($K1798="✓","Concluído",IF($E1798&lt;TODAY(),"Atrasado",IF($E1798=TODAY(),"Hoje","Pendente"))))</f>
        <v/>
      </c>
      <c r="M1798" s="114" t="str">
        <f aca="false">IF($E1798="","",IF($K1798="✓","✓ ","")&amp;IF(Config!$E$22="Sim",$H1798&amp;" · ","")&amp;$F1798)</f>
        <v/>
      </c>
      <c r="N1798" s="114" t="str">
        <f aca="false">IF($E1798="","",IFERROR(INDEX(Config!$D$15:$D$19,MATCH($I1798,Config!$C$15:$C$19,0)),"OUT")&amp;IF($K1798="✓","x",""))</f>
        <v/>
      </c>
      <c r="O1798" s="114" t="str">
        <f aca="false">IF($E1798="","",COUNTIF($E$5:$E1798,$E1798))</f>
        <v/>
      </c>
      <c r="P1798" s="114" t="str">
        <f aca="false">IF($E1798="","",$E1798*100+$O1798)</f>
        <v/>
      </c>
      <c r="Q1798" s="114" t="str">
        <f aca="false">IF($L1798="Atrasado",$E1798*10000+$A1798,"")</f>
        <v/>
      </c>
    </row>
    <row r="1799" customFormat="false" ht="15" hidden="false" customHeight="false" outlineLevel="0" collapsed="false">
      <c r="A1799" s="114" t="n">
        <f aca="false">ROW()-4</f>
        <v>1795</v>
      </c>
      <c r="B1799" s="114" t="str">
        <f aca="false">IF(A1799&lt;=Config!$E$27*Config!$E$28,"Tema","Avulso")</f>
        <v>Tema</v>
      </c>
      <c r="C1799" s="114" t="n">
        <f aca="false">IF(B1799="Tema",INT((A1799-1)/Config!$E$28)+1,A1799-Config!$E$27*Config!$E$28)</f>
        <v>300</v>
      </c>
      <c r="D1799" s="114" t="n">
        <f aca="false">IF(B1799="Tema",MOD(A1799-1,Config!$E$28)+1,"")</f>
        <v>1</v>
      </c>
      <c r="E1799" s="115" t="str">
        <f aca="false">IF($B1799="Tema",IF(ISNUMBER(INDEX(Temas!$E$6:$P$305,$C1799,2*$D1799-1)),INDEX(Temas!$E$6:$P$305,$C1799,2*$D1799-1),""),IF(ISNUMBER(INDEX(Avulsos!$B$6:$B$205,$C1799)),INDEX(Avulsos!$B$6:$B$205,$C1799),""))</f>
        <v/>
      </c>
      <c r="F1799" s="114" t="str">
        <f aca="false">IF($E1799="","",IF($B1799="Tema",INDEX(Temas!$B$6:$B$305,$C1799)&amp;"",INDEX(Avulsos!$C$6:$C$205,$C1799)&amp;""))</f>
        <v/>
      </c>
      <c r="G1799" s="114" t="str">
        <f aca="false">IF($E1799="","",IF($B1799="Tema",INDEX(Config!$C$6:$C$11,$D1799),"Evento avulso"))</f>
        <v/>
      </c>
      <c r="H1799" s="114" t="str">
        <f aca="false">IF($E1799="","",IF($B1799="Tema",INDEX(Config!$D$6:$D$11,$D1799),IFERROR(INDEX(Config!$E$15:$E$19,MATCH($I1799,Config!$C$15:$C$19,0)),"•")))</f>
        <v/>
      </c>
      <c r="I1799" s="114" t="str">
        <f aca="false">IF($E1799="","",IF($B1799="Tema",INDEX(Config!$E$6:$E$11,$D1799),IF(INDEX(Avulsos!$D$6:$D$205,$C1799)&amp;""="","Outro",INDEX(Avulsos!$D$6:$D$205,$C1799))))</f>
        <v/>
      </c>
      <c r="J1799" s="114" t="str">
        <f aca="false">IF($E1799="","",IF($B1799="Tema",INDEX(Temas!$C$6:$C$305,$C1799)&amp;"",INDEX(Avulsos!$E$6:$E$205,$C1799)&amp;""))</f>
        <v/>
      </c>
      <c r="K1799" s="114" t="str">
        <f aca="false">IF($E1799="","",IF(IF($B1799="Tema",INDEX(Temas!$E$6:$P$305,$C1799,2*$D1799),INDEX(Avulsos!$F$6:$F$205,$C1799))&amp;""="","","✓"))</f>
        <v/>
      </c>
      <c r="L1799" s="114" t="str">
        <f aca="true">IF($E1799="","",IF($K1799="✓","Concluído",IF($E1799&lt;TODAY(),"Atrasado",IF($E1799=TODAY(),"Hoje","Pendente"))))</f>
        <v/>
      </c>
      <c r="M1799" s="114" t="str">
        <f aca="false">IF($E1799="","",IF($K1799="✓","✓ ","")&amp;IF(Config!$E$22="Sim",$H1799&amp;" · ","")&amp;$F1799)</f>
        <v/>
      </c>
      <c r="N1799" s="114" t="str">
        <f aca="false">IF($E1799="","",IFERROR(INDEX(Config!$D$15:$D$19,MATCH($I1799,Config!$C$15:$C$19,0)),"OUT")&amp;IF($K1799="✓","x",""))</f>
        <v/>
      </c>
      <c r="O1799" s="114" t="str">
        <f aca="false">IF($E1799="","",COUNTIF($E$5:$E1799,$E1799))</f>
        <v/>
      </c>
      <c r="P1799" s="114" t="str">
        <f aca="false">IF($E1799="","",$E1799*100+$O1799)</f>
        <v/>
      </c>
      <c r="Q1799" s="114" t="str">
        <f aca="false">IF($L1799="Atrasado",$E1799*10000+$A1799,"")</f>
        <v/>
      </c>
    </row>
    <row r="1800" customFormat="false" ht="15" hidden="false" customHeight="false" outlineLevel="0" collapsed="false">
      <c r="A1800" s="114" t="n">
        <f aca="false">ROW()-4</f>
        <v>1796</v>
      </c>
      <c r="B1800" s="114" t="str">
        <f aca="false">IF(A1800&lt;=Config!$E$27*Config!$E$28,"Tema","Avulso")</f>
        <v>Tema</v>
      </c>
      <c r="C1800" s="114" t="n">
        <f aca="false">IF(B1800="Tema",INT((A1800-1)/Config!$E$28)+1,A1800-Config!$E$27*Config!$E$28)</f>
        <v>300</v>
      </c>
      <c r="D1800" s="114" t="n">
        <f aca="false">IF(B1800="Tema",MOD(A1800-1,Config!$E$28)+1,"")</f>
        <v>2</v>
      </c>
      <c r="E1800" s="115" t="str">
        <f aca="false">IF($B1800="Tema",IF(ISNUMBER(INDEX(Temas!$E$6:$P$305,$C1800,2*$D1800-1)),INDEX(Temas!$E$6:$P$305,$C1800,2*$D1800-1),""),IF(ISNUMBER(INDEX(Avulsos!$B$6:$B$205,$C1800)),INDEX(Avulsos!$B$6:$B$205,$C1800),""))</f>
        <v/>
      </c>
      <c r="F1800" s="114" t="str">
        <f aca="false">IF($E1800="","",IF($B1800="Tema",INDEX(Temas!$B$6:$B$305,$C1800)&amp;"",INDEX(Avulsos!$C$6:$C$205,$C1800)&amp;""))</f>
        <v/>
      </c>
      <c r="G1800" s="114" t="str">
        <f aca="false">IF($E1800="","",IF($B1800="Tema",INDEX(Config!$C$6:$C$11,$D1800),"Evento avulso"))</f>
        <v/>
      </c>
      <c r="H1800" s="114" t="str">
        <f aca="false">IF($E1800="","",IF($B1800="Tema",INDEX(Config!$D$6:$D$11,$D1800),IFERROR(INDEX(Config!$E$15:$E$19,MATCH($I1800,Config!$C$15:$C$19,0)),"•")))</f>
        <v/>
      </c>
      <c r="I1800" s="114" t="str">
        <f aca="false">IF($E1800="","",IF($B1800="Tema",INDEX(Config!$E$6:$E$11,$D1800),IF(INDEX(Avulsos!$D$6:$D$205,$C1800)&amp;""="","Outro",INDEX(Avulsos!$D$6:$D$205,$C1800))))</f>
        <v/>
      </c>
      <c r="J1800" s="114" t="str">
        <f aca="false">IF($E1800="","",IF($B1800="Tema",INDEX(Temas!$C$6:$C$305,$C1800)&amp;"",INDEX(Avulsos!$E$6:$E$205,$C1800)&amp;""))</f>
        <v/>
      </c>
      <c r="K1800" s="114" t="str">
        <f aca="false">IF($E1800="","",IF(IF($B1800="Tema",INDEX(Temas!$E$6:$P$305,$C1800,2*$D1800),INDEX(Avulsos!$F$6:$F$205,$C1800))&amp;""="","","✓"))</f>
        <v/>
      </c>
      <c r="L1800" s="114" t="str">
        <f aca="true">IF($E1800="","",IF($K1800="✓","Concluído",IF($E1800&lt;TODAY(),"Atrasado",IF($E1800=TODAY(),"Hoje","Pendente"))))</f>
        <v/>
      </c>
      <c r="M1800" s="114" t="str">
        <f aca="false">IF($E1800="","",IF($K1800="✓","✓ ","")&amp;IF(Config!$E$22="Sim",$H1800&amp;" · ","")&amp;$F1800)</f>
        <v/>
      </c>
      <c r="N1800" s="114" t="str">
        <f aca="false">IF($E1800="","",IFERROR(INDEX(Config!$D$15:$D$19,MATCH($I1800,Config!$C$15:$C$19,0)),"OUT")&amp;IF($K1800="✓","x",""))</f>
        <v/>
      </c>
      <c r="O1800" s="114" t="str">
        <f aca="false">IF($E1800="","",COUNTIF($E$5:$E1800,$E1800))</f>
        <v/>
      </c>
      <c r="P1800" s="114" t="str">
        <f aca="false">IF($E1800="","",$E1800*100+$O1800)</f>
        <v/>
      </c>
      <c r="Q1800" s="114" t="str">
        <f aca="false">IF($L1800="Atrasado",$E1800*10000+$A1800,"")</f>
        <v/>
      </c>
    </row>
    <row r="1801" customFormat="false" ht="15" hidden="false" customHeight="false" outlineLevel="0" collapsed="false">
      <c r="A1801" s="114" t="n">
        <f aca="false">ROW()-4</f>
        <v>1797</v>
      </c>
      <c r="B1801" s="114" t="str">
        <f aca="false">IF(A1801&lt;=Config!$E$27*Config!$E$28,"Tema","Avulso")</f>
        <v>Tema</v>
      </c>
      <c r="C1801" s="114" t="n">
        <f aca="false">IF(B1801="Tema",INT((A1801-1)/Config!$E$28)+1,A1801-Config!$E$27*Config!$E$28)</f>
        <v>300</v>
      </c>
      <c r="D1801" s="114" t="n">
        <f aca="false">IF(B1801="Tema",MOD(A1801-1,Config!$E$28)+1,"")</f>
        <v>3</v>
      </c>
      <c r="E1801" s="115" t="str">
        <f aca="false">IF($B1801="Tema",IF(ISNUMBER(INDEX(Temas!$E$6:$P$305,$C1801,2*$D1801-1)),INDEX(Temas!$E$6:$P$305,$C1801,2*$D1801-1),""),IF(ISNUMBER(INDEX(Avulsos!$B$6:$B$205,$C1801)),INDEX(Avulsos!$B$6:$B$205,$C1801),""))</f>
        <v/>
      </c>
      <c r="F1801" s="114" t="str">
        <f aca="false">IF($E1801="","",IF($B1801="Tema",INDEX(Temas!$B$6:$B$305,$C1801)&amp;"",INDEX(Avulsos!$C$6:$C$205,$C1801)&amp;""))</f>
        <v/>
      </c>
      <c r="G1801" s="114" t="str">
        <f aca="false">IF($E1801="","",IF($B1801="Tema",INDEX(Config!$C$6:$C$11,$D1801),"Evento avulso"))</f>
        <v/>
      </c>
      <c r="H1801" s="114" t="str">
        <f aca="false">IF($E1801="","",IF($B1801="Tema",INDEX(Config!$D$6:$D$11,$D1801),IFERROR(INDEX(Config!$E$15:$E$19,MATCH($I1801,Config!$C$15:$C$19,0)),"•")))</f>
        <v/>
      </c>
      <c r="I1801" s="114" t="str">
        <f aca="false">IF($E1801="","",IF($B1801="Tema",INDEX(Config!$E$6:$E$11,$D1801),IF(INDEX(Avulsos!$D$6:$D$205,$C1801)&amp;""="","Outro",INDEX(Avulsos!$D$6:$D$205,$C1801))))</f>
        <v/>
      </c>
      <c r="J1801" s="114" t="str">
        <f aca="false">IF($E1801="","",IF($B1801="Tema",INDEX(Temas!$C$6:$C$305,$C1801)&amp;"",INDEX(Avulsos!$E$6:$E$205,$C1801)&amp;""))</f>
        <v/>
      </c>
      <c r="K1801" s="114" t="str">
        <f aca="false">IF($E1801="","",IF(IF($B1801="Tema",INDEX(Temas!$E$6:$P$305,$C1801,2*$D1801),INDEX(Avulsos!$F$6:$F$205,$C1801))&amp;""="","","✓"))</f>
        <v/>
      </c>
      <c r="L1801" s="114" t="str">
        <f aca="true">IF($E1801="","",IF($K1801="✓","Concluído",IF($E1801&lt;TODAY(),"Atrasado",IF($E1801=TODAY(),"Hoje","Pendente"))))</f>
        <v/>
      </c>
      <c r="M1801" s="114" t="str">
        <f aca="false">IF($E1801="","",IF($K1801="✓","✓ ","")&amp;IF(Config!$E$22="Sim",$H1801&amp;" · ","")&amp;$F1801)</f>
        <v/>
      </c>
      <c r="N1801" s="114" t="str">
        <f aca="false">IF($E1801="","",IFERROR(INDEX(Config!$D$15:$D$19,MATCH($I1801,Config!$C$15:$C$19,0)),"OUT")&amp;IF($K1801="✓","x",""))</f>
        <v/>
      </c>
      <c r="O1801" s="114" t="str">
        <f aca="false">IF($E1801="","",COUNTIF($E$5:$E1801,$E1801))</f>
        <v/>
      </c>
      <c r="P1801" s="114" t="str">
        <f aca="false">IF($E1801="","",$E1801*100+$O1801)</f>
        <v/>
      </c>
      <c r="Q1801" s="114" t="str">
        <f aca="false">IF($L1801="Atrasado",$E1801*10000+$A1801,"")</f>
        <v/>
      </c>
    </row>
    <row r="1802" customFormat="false" ht="15" hidden="false" customHeight="false" outlineLevel="0" collapsed="false">
      <c r="A1802" s="114" t="n">
        <f aca="false">ROW()-4</f>
        <v>1798</v>
      </c>
      <c r="B1802" s="114" t="str">
        <f aca="false">IF(A1802&lt;=Config!$E$27*Config!$E$28,"Tema","Avulso")</f>
        <v>Tema</v>
      </c>
      <c r="C1802" s="114" t="n">
        <f aca="false">IF(B1802="Tema",INT((A1802-1)/Config!$E$28)+1,A1802-Config!$E$27*Config!$E$28)</f>
        <v>300</v>
      </c>
      <c r="D1802" s="114" t="n">
        <f aca="false">IF(B1802="Tema",MOD(A1802-1,Config!$E$28)+1,"")</f>
        <v>4</v>
      </c>
      <c r="E1802" s="115" t="str">
        <f aca="false">IF($B1802="Tema",IF(ISNUMBER(INDEX(Temas!$E$6:$P$305,$C1802,2*$D1802-1)),INDEX(Temas!$E$6:$P$305,$C1802,2*$D1802-1),""),IF(ISNUMBER(INDEX(Avulsos!$B$6:$B$205,$C1802)),INDEX(Avulsos!$B$6:$B$205,$C1802),""))</f>
        <v/>
      </c>
      <c r="F1802" s="114" t="str">
        <f aca="false">IF($E1802="","",IF($B1802="Tema",INDEX(Temas!$B$6:$B$305,$C1802)&amp;"",INDEX(Avulsos!$C$6:$C$205,$C1802)&amp;""))</f>
        <v/>
      </c>
      <c r="G1802" s="114" t="str">
        <f aca="false">IF($E1802="","",IF($B1802="Tema",INDEX(Config!$C$6:$C$11,$D1802),"Evento avulso"))</f>
        <v/>
      </c>
      <c r="H1802" s="114" t="str">
        <f aca="false">IF($E1802="","",IF($B1802="Tema",INDEX(Config!$D$6:$D$11,$D1802),IFERROR(INDEX(Config!$E$15:$E$19,MATCH($I1802,Config!$C$15:$C$19,0)),"•")))</f>
        <v/>
      </c>
      <c r="I1802" s="114" t="str">
        <f aca="false">IF($E1802="","",IF($B1802="Tema",INDEX(Config!$E$6:$E$11,$D1802),IF(INDEX(Avulsos!$D$6:$D$205,$C1802)&amp;""="","Outro",INDEX(Avulsos!$D$6:$D$205,$C1802))))</f>
        <v/>
      </c>
      <c r="J1802" s="114" t="str">
        <f aca="false">IF($E1802="","",IF($B1802="Tema",INDEX(Temas!$C$6:$C$305,$C1802)&amp;"",INDEX(Avulsos!$E$6:$E$205,$C1802)&amp;""))</f>
        <v/>
      </c>
      <c r="K1802" s="114" t="str">
        <f aca="false">IF($E1802="","",IF(IF($B1802="Tema",INDEX(Temas!$E$6:$P$305,$C1802,2*$D1802),INDEX(Avulsos!$F$6:$F$205,$C1802))&amp;""="","","✓"))</f>
        <v/>
      </c>
      <c r="L1802" s="114" t="str">
        <f aca="true">IF($E1802="","",IF($K1802="✓","Concluído",IF($E1802&lt;TODAY(),"Atrasado",IF($E1802=TODAY(),"Hoje","Pendente"))))</f>
        <v/>
      </c>
      <c r="M1802" s="114" t="str">
        <f aca="false">IF($E1802="","",IF($K1802="✓","✓ ","")&amp;IF(Config!$E$22="Sim",$H1802&amp;" · ","")&amp;$F1802)</f>
        <v/>
      </c>
      <c r="N1802" s="114" t="str">
        <f aca="false">IF($E1802="","",IFERROR(INDEX(Config!$D$15:$D$19,MATCH($I1802,Config!$C$15:$C$19,0)),"OUT")&amp;IF($K1802="✓","x",""))</f>
        <v/>
      </c>
      <c r="O1802" s="114" t="str">
        <f aca="false">IF($E1802="","",COUNTIF($E$5:$E1802,$E1802))</f>
        <v/>
      </c>
      <c r="P1802" s="114" t="str">
        <f aca="false">IF($E1802="","",$E1802*100+$O1802)</f>
        <v/>
      </c>
      <c r="Q1802" s="114" t="str">
        <f aca="false">IF($L1802="Atrasado",$E1802*10000+$A1802,"")</f>
        <v/>
      </c>
    </row>
    <row r="1803" customFormat="false" ht="15" hidden="false" customHeight="false" outlineLevel="0" collapsed="false">
      <c r="A1803" s="114" t="n">
        <f aca="false">ROW()-4</f>
        <v>1799</v>
      </c>
      <c r="B1803" s="114" t="str">
        <f aca="false">IF(A1803&lt;=Config!$E$27*Config!$E$28,"Tema","Avulso")</f>
        <v>Tema</v>
      </c>
      <c r="C1803" s="114" t="n">
        <f aca="false">IF(B1803="Tema",INT((A1803-1)/Config!$E$28)+1,A1803-Config!$E$27*Config!$E$28)</f>
        <v>300</v>
      </c>
      <c r="D1803" s="114" t="n">
        <f aca="false">IF(B1803="Tema",MOD(A1803-1,Config!$E$28)+1,"")</f>
        <v>5</v>
      </c>
      <c r="E1803" s="115" t="str">
        <f aca="false">IF($B1803="Tema",IF(ISNUMBER(INDEX(Temas!$E$6:$P$305,$C1803,2*$D1803-1)),INDEX(Temas!$E$6:$P$305,$C1803,2*$D1803-1),""),IF(ISNUMBER(INDEX(Avulsos!$B$6:$B$205,$C1803)),INDEX(Avulsos!$B$6:$B$205,$C1803),""))</f>
        <v/>
      </c>
      <c r="F1803" s="114" t="str">
        <f aca="false">IF($E1803="","",IF($B1803="Tema",INDEX(Temas!$B$6:$B$305,$C1803)&amp;"",INDEX(Avulsos!$C$6:$C$205,$C1803)&amp;""))</f>
        <v/>
      </c>
      <c r="G1803" s="114" t="str">
        <f aca="false">IF($E1803="","",IF($B1803="Tema",INDEX(Config!$C$6:$C$11,$D1803),"Evento avulso"))</f>
        <v/>
      </c>
      <c r="H1803" s="114" t="str">
        <f aca="false">IF($E1803="","",IF($B1803="Tema",INDEX(Config!$D$6:$D$11,$D1803),IFERROR(INDEX(Config!$E$15:$E$19,MATCH($I1803,Config!$C$15:$C$19,0)),"•")))</f>
        <v/>
      </c>
      <c r="I1803" s="114" t="str">
        <f aca="false">IF($E1803="","",IF($B1803="Tema",INDEX(Config!$E$6:$E$11,$D1803),IF(INDEX(Avulsos!$D$6:$D$205,$C1803)&amp;""="","Outro",INDEX(Avulsos!$D$6:$D$205,$C1803))))</f>
        <v/>
      </c>
      <c r="J1803" s="114" t="str">
        <f aca="false">IF($E1803="","",IF($B1803="Tema",INDEX(Temas!$C$6:$C$305,$C1803)&amp;"",INDEX(Avulsos!$E$6:$E$205,$C1803)&amp;""))</f>
        <v/>
      </c>
      <c r="K1803" s="114" t="str">
        <f aca="false">IF($E1803="","",IF(IF($B1803="Tema",INDEX(Temas!$E$6:$P$305,$C1803,2*$D1803),INDEX(Avulsos!$F$6:$F$205,$C1803))&amp;""="","","✓"))</f>
        <v/>
      </c>
      <c r="L1803" s="114" t="str">
        <f aca="true">IF($E1803="","",IF($K1803="✓","Concluído",IF($E1803&lt;TODAY(),"Atrasado",IF($E1803=TODAY(),"Hoje","Pendente"))))</f>
        <v/>
      </c>
      <c r="M1803" s="114" t="str">
        <f aca="false">IF($E1803="","",IF($K1803="✓","✓ ","")&amp;IF(Config!$E$22="Sim",$H1803&amp;" · ","")&amp;$F1803)</f>
        <v/>
      </c>
      <c r="N1803" s="114" t="str">
        <f aca="false">IF($E1803="","",IFERROR(INDEX(Config!$D$15:$D$19,MATCH($I1803,Config!$C$15:$C$19,0)),"OUT")&amp;IF($K1803="✓","x",""))</f>
        <v/>
      </c>
      <c r="O1803" s="114" t="str">
        <f aca="false">IF($E1803="","",COUNTIF($E$5:$E1803,$E1803))</f>
        <v/>
      </c>
      <c r="P1803" s="114" t="str">
        <f aca="false">IF($E1803="","",$E1803*100+$O1803)</f>
        <v/>
      </c>
      <c r="Q1803" s="114" t="str">
        <f aca="false">IF($L1803="Atrasado",$E1803*10000+$A1803,"")</f>
        <v/>
      </c>
    </row>
    <row r="1804" customFormat="false" ht="15" hidden="false" customHeight="false" outlineLevel="0" collapsed="false">
      <c r="A1804" s="114" t="n">
        <f aca="false">ROW()-4</f>
        <v>1800</v>
      </c>
      <c r="B1804" s="114" t="str">
        <f aca="false">IF(A1804&lt;=Config!$E$27*Config!$E$28,"Tema","Avulso")</f>
        <v>Tema</v>
      </c>
      <c r="C1804" s="114" t="n">
        <f aca="false">IF(B1804="Tema",INT((A1804-1)/Config!$E$28)+1,A1804-Config!$E$27*Config!$E$28)</f>
        <v>300</v>
      </c>
      <c r="D1804" s="114" t="n">
        <f aca="false">IF(B1804="Tema",MOD(A1804-1,Config!$E$28)+1,"")</f>
        <v>6</v>
      </c>
      <c r="E1804" s="115" t="str">
        <f aca="false">IF($B1804="Tema",IF(ISNUMBER(INDEX(Temas!$E$6:$P$305,$C1804,2*$D1804-1)),INDEX(Temas!$E$6:$P$305,$C1804,2*$D1804-1),""),IF(ISNUMBER(INDEX(Avulsos!$B$6:$B$205,$C1804)),INDEX(Avulsos!$B$6:$B$205,$C1804),""))</f>
        <v/>
      </c>
      <c r="F1804" s="114" t="str">
        <f aca="false">IF($E1804="","",IF($B1804="Tema",INDEX(Temas!$B$6:$B$305,$C1804)&amp;"",INDEX(Avulsos!$C$6:$C$205,$C1804)&amp;""))</f>
        <v/>
      </c>
      <c r="G1804" s="114" t="str">
        <f aca="false">IF($E1804="","",IF($B1804="Tema",INDEX(Config!$C$6:$C$11,$D1804),"Evento avulso"))</f>
        <v/>
      </c>
      <c r="H1804" s="114" t="str">
        <f aca="false">IF($E1804="","",IF($B1804="Tema",INDEX(Config!$D$6:$D$11,$D1804),IFERROR(INDEX(Config!$E$15:$E$19,MATCH($I1804,Config!$C$15:$C$19,0)),"•")))</f>
        <v/>
      </c>
      <c r="I1804" s="114" t="str">
        <f aca="false">IF($E1804="","",IF($B1804="Tema",INDEX(Config!$E$6:$E$11,$D1804),IF(INDEX(Avulsos!$D$6:$D$205,$C1804)&amp;""="","Outro",INDEX(Avulsos!$D$6:$D$205,$C1804))))</f>
        <v/>
      </c>
      <c r="J1804" s="114" t="str">
        <f aca="false">IF($E1804="","",IF($B1804="Tema",INDEX(Temas!$C$6:$C$305,$C1804)&amp;"",INDEX(Avulsos!$E$6:$E$205,$C1804)&amp;""))</f>
        <v/>
      </c>
      <c r="K1804" s="114" t="str">
        <f aca="false">IF($E1804="","",IF(IF($B1804="Tema",INDEX(Temas!$E$6:$P$305,$C1804,2*$D1804),INDEX(Avulsos!$F$6:$F$205,$C1804))&amp;""="","","✓"))</f>
        <v/>
      </c>
      <c r="L1804" s="114" t="str">
        <f aca="true">IF($E1804="","",IF($K1804="✓","Concluído",IF($E1804&lt;TODAY(),"Atrasado",IF($E1804=TODAY(),"Hoje","Pendente"))))</f>
        <v/>
      </c>
      <c r="M1804" s="114" t="str">
        <f aca="false">IF($E1804="","",IF($K1804="✓","✓ ","")&amp;IF(Config!$E$22="Sim",$H1804&amp;" · ","")&amp;$F1804)</f>
        <v/>
      </c>
      <c r="N1804" s="114" t="str">
        <f aca="false">IF($E1804="","",IFERROR(INDEX(Config!$D$15:$D$19,MATCH($I1804,Config!$C$15:$C$19,0)),"OUT")&amp;IF($K1804="✓","x",""))</f>
        <v/>
      </c>
      <c r="O1804" s="114" t="str">
        <f aca="false">IF($E1804="","",COUNTIF($E$5:$E1804,$E1804))</f>
        <v/>
      </c>
      <c r="P1804" s="114" t="str">
        <f aca="false">IF($E1804="","",$E1804*100+$O1804)</f>
        <v/>
      </c>
      <c r="Q1804" s="114" t="str">
        <f aca="false">IF($L1804="Atrasado",$E1804*10000+$A1804,"")</f>
        <v/>
      </c>
    </row>
    <row r="1805" customFormat="false" ht="15" hidden="false" customHeight="false" outlineLevel="0" collapsed="false">
      <c r="A1805" s="114" t="n">
        <f aca="false">ROW()-4</f>
        <v>1801</v>
      </c>
      <c r="B1805" s="114" t="str">
        <f aca="false">IF(A1805&lt;=Config!$E$27*Config!$E$28,"Tema","Avulso")</f>
        <v>Avulso</v>
      </c>
      <c r="C1805" s="114" t="n">
        <f aca="false">IF(B1805="Tema",INT((A1805-1)/Config!$E$28)+1,A1805-Config!$E$27*Config!$E$28)</f>
        <v>1</v>
      </c>
      <c r="D1805" s="114" t="str">
        <f aca="false">IF(B1805="Tema",MOD(A1805-1,Config!$E$28)+1,"")</f>
        <v/>
      </c>
      <c r="E1805" s="115" t="n">
        <f aca="false">IF($B1805="Tema",IF(ISNUMBER(INDEX(Temas!$E$6:$P$305,$C1805,2*$D1805-1)),INDEX(Temas!$E$6:$P$305,$C1805,2*$D1805-1),""),IF(ISNUMBER(INDEX(Avulsos!$B$6:$B$205,$C1805)),INDEX(Avulsos!$B$6:$B$205,$C1805),""))</f>
        <v>46301</v>
      </c>
      <c r="F1805" s="114" t="str">
        <f aca="false">IF($E1805="","",IF($B1805="Tema",INDEX(Temas!$B$6:$B$305,$C1805)&amp;"",INDEX(Avulsos!$C$6:$C$205,$C1805)&amp;""))</f>
        <v>UFCSPA 2026</v>
      </c>
      <c r="G1805" s="114" t="str">
        <f aca="false">IF($E1805="","",IF($B1805="Tema",INDEX(Config!$C$6:$C$11,$D1805),"Evento avulso"))</f>
        <v>Evento avulso</v>
      </c>
      <c r="H1805" s="114" t="str">
        <f aca="false">IF($E1805="","",IF($B1805="Tema",INDEX(Config!$D$6:$D$11,$D1805),IFERROR(INDEX(Config!$E$15:$E$19,MATCH($I1805,Config!$C$15:$C$19,0)),"•")))</f>
        <v>SIM</v>
      </c>
      <c r="I1805" s="114" t="str">
        <f aca="false">IF($E1805="","",IF($B1805="Tema",INDEX(Config!$E$6:$E$11,$D1805),IF(INDEX(Avulsos!$D$6:$D$205,$C1805)&amp;""="","Outro",INDEX(Avulsos!$D$6:$D$205,$C1805))))</f>
        <v>Simulado</v>
      </c>
      <c r="J1805" s="114" t="str">
        <f aca="false">IF($E1805="","",IF($B1805="Tema",INDEX(Temas!$C$6:$C$305,$C1805)&amp;"",INDEX(Avulsos!$E$6:$E$205,$C1805)&amp;""))</f>
        <v/>
      </c>
      <c r="K1805" s="114" t="str">
        <f aca="false">IF($E1805="","",IF(IF($B1805="Tema",INDEX(Temas!$E$6:$P$305,$C1805,2*$D1805),INDEX(Avulsos!$F$6:$F$205,$C1805))&amp;""="","","✓"))</f>
        <v>✓</v>
      </c>
      <c r="L1805" s="114" t="str">
        <f aca="true">IF($E1805="","",IF($K1805="✓","Concluído",IF($E1805&lt;TODAY(),"Atrasado",IF($E1805=TODAY(),"Hoje","Pendente"))))</f>
        <v>Concluído</v>
      </c>
      <c r="M1805" s="114" t="str">
        <f aca="false">IF($E1805="","",IF($K1805="✓","✓ ","")&amp;IF(Config!$E$22="Sim",$H1805&amp;" · ","")&amp;$F1805)</f>
        <v>✓ SIM · UFCSPA 2026</v>
      </c>
      <c r="N1805" s="114" t="str">
        <f aca="false">IF($E1805="","",IFERROR(INDEX(Config!$D$15:$D$19,MATCH($I1805,Config!$C$15:$C$19,0)),"OUT")&amp;IF($K1805="✓","x",""))</f>
        <v>SIMx</v>
      </c>
      <c r="O1805" s="114" t="n">
        <f aca="false">IF($E1805="","",COUNTIF($E$5:$E1805,$E1805))</f>
        <v>2</v>
      </c>
      <c r="P1805" s="114" t="n">
        <f aca="false">IF($E1805="","",$E1805*100+$O1805)</f>
        <v>4630102</v>
      </c>
      <c r="Q1805" s="114" t="str">
        <f aca="false">IF($L1805="Atrasado",$E1805*10000+$A1805,"")</f>
        <v/>
      </c>
    </row>
    <row r="1806" customFormat="false" ht="15" hidden="false" customHeight="false" outlineLevel="0" collapsed="false">
      <c r="A1806" s="114" t="n">
        <f aca="false">ROW()-4</f>
        <v>1802</v>
      </c>
      <c r="B1806" s="114" t="str">
        <f aca="false">IF(A1806&lt;=Config!$E$27*Config!$E$28,"Tema","Avulso")</f>
        <v>Avulso</v>
      </c>
      <c r="C1806" s="114" t="n">
        <f aca="false">IF(B1806="Tema",INT((A1806-1)/Config!$E$28)+1,A1806-Config!$E$27*Config!$E$28)</f>
        <v>2</v>
      </c>
      <c r="D1806" s="114" t="str">
        <f aca="false">IF(B1806="Tema",MOD(A1806-1,Config!$E$28)+1,"")</f>
        <v/>
      </c>
      <c r="E1806" s="115" t="str">
        <f aca="false">IF($B1806="Tema",IF(ISNUMBER(INDEX(Temas!$E$6:$P$305,$C1806,2*$D1806-1)),INDEX(Temas!$E$6:$P$305,$C1806,2*$D1806-1),""),IF(ISNUMBER(INDEX(Avulsos!$B$6:$B$205,$C1806)),INDEX(Avulsos!$B$6:$B$205,$C1806),""))</f>
        <v/>
      </c>
      <c r="F1806" s="114" t="str">
        <f aca="false">IF($E1806="","",IF($B1806="Tema",INDEX(Temas!$B$6:$B$305,$C1806)&amp;"",INDEX(Avulsos!$C$6:$C$205,$C1806)&amp;""))</f>
        <v/>
      </c>
      <c r="G1806" s="114" t="str">
        <f aca="false">IF($E1806="","",IF($B1806="Tema",INDEX(Config!$C$6:$C$11,$D1806),"Evento avulso"))</f>
        <v/>
      </c>
      <c r="H1806" s="114" t="str">
        <f aca="false">IF($E1806="","",IF($B1806="Tema",INDEX(Config!$D$6:$D$11,$D1806),IFERROR(INDEX(Config!$E$15:$E$19,MATCH($I1806,Config!$C$15:$C$19,0)),"•")))</f>
        <v/>
      </c>
      <c r="I1806" s="114" t="str">
        <f aca="false">IF($E1806="","",IF($B1806="Tema",INDEX(Config!$E$6:$E$11,$D1806),IF(INDEX(Avulsos!$D$6:$D$205,$C1806)&amp;""="","Outro",INDEX(Avulsos!$D$6:$D$205,$C1806))))</f>
        <v/>
      </c>
      <c r="J1806" s="114" t="str">
        <f aca="false">IF($E1806="","",IF($B1806="Tema",INDEX(Temas!$C$6:$C$305,$C1806)&amp;"",INDEX(Avulsos!$E$6:$E$205,$C1806)&amp;""))</f>
        <v/>
      </c>
      <c r="K1806" s="114" t="str">
        <f aca="false">IF($E1806="","",IF(IF($B1806="Tema",INDEX(Temas!$E$6:$P$305,$C1806,2*$D1806),INDEX(Avulsos!$F$6:$F$205,$C1806))&amp;""="","","✓"))</f>
        <v/>
      </c>
      <c r="L1806" s="114" t="str">
        <f aca="true">IF($E1806="","",IF($K1806="✓","Concluído",IF($E1806&lt;TODAY(),"Atrasado",IF($E1806=TODAY(),"Hoje","Pendente"))))</f>
        <v/>
      </c>
      <c r="M1806" s="114" t="str">
        <f aca="false">IF($E1806="","",IF($K1806="✓","✓ ","")&amp;IF(Config!$E$22="Sim",$H1806&amp;" · ","")&amp;$F1806)</f>
        <v/>
      </c>
      <c r="N1806" s="114" t="str">
        <f aca="false">IF($E1806="","",IFERROR(INDEX(Config!$D$15:$D$19,MATCH($I1806,Config!$C$15:$C$19,0)),"OUT")&amp;IF($K1806="✓","x",""))</f>
        <v/>
      </c>
      <c r="O1806" s="114" t="str">
        <f aca="false">IF($E1806="","",COUNTIF($E$5:$E1806,$E1806))</f>
        <v/>
      </c>
      <c r="P1806" s="114" t="str">
        <f aca="false">IF($E1806="","",$E1806*100+$O1806)</f>
        <v/>
      </c>
      <c r="Q1806" s="114" t="str">
        <f aca="false">IF($L1806="Atrasado",$E1806*10000+$A1806,"")</f>
        <v/>
      </c>
    </row>
    <row r="1807" customFormat="false" ht="15" hidden="false" customHeight="false" outlineLevel="0" collapsed="false">
      <c r="A1807" s="114" t="n">
        <f aca="false">ROW()-4</f>
        <v>1803</v>
      </c>
      <c r="B1807" s="114" t="str">
        <f aca="false">IF(A1807&lt;=Config!$E$27*Config!$E$28,"Tema","Avulso")</f>
        <v>Avulso</v>
      </c>
      <c r="C1807" s="114" t="n">
        <f aca="false">IF(B1807="Tema",INT((A1807-1)/Config!$E$28)+1,A1807-Config!$E$27*Config!$E$28)</f>
        <v>3</v>
      </c>
      <c r="D1807" s="114" t="str">
        <f aca="false">IF(B1807="Tema",MOD(A1807-1,Config!$E$28)+1,"")</f>
        <v/>
      </c>
      <c r="E1807" s="115" t="str">
        <f aca="false">IF($B1807="Tema",IF(ISNUMBER(INDEX(Temas!$E$6:$P$305,$C1807,2*$D1807-1)),INDEX(Temas!$E$6:$P$305,$C1807,2*$D1807-1),""),IF(ISNUMBER(INDEX(Avulsos!$B$6:$B$205,$C1807)),INDEX(Avulsos!$B$6:$B$205,$C1807),""))</f>
        <v/>
      </c>
      <c r="F1807" s="114" t="str">
        <f aca="false">IF($E1807="","",IF($B1807="Tema",INDEX(Temas!$B$6:$B$305,$C1807)&amp;"",INDEX(Avulsos!$C$6:$C$205,$C1807)&amp;""))</f>
        <v/>
      </c>
      <c r="G1807" s="114" t="str">
        <f aca="false">IF($E1807="","",IF($B1807="Tema",INDEX(Config!$C$6:$C$11,$D1807),"Evento avulso"))</f>
        <v/>
      </c>
      <c r="H1807" s="114" t="str">
        <f aca="false">IF($E1807="","",IF($B1807="Tema",INDEX(Config!$D$6:$D$11,$D1807),IFERROR(INDEX(Config!$E$15:$E$19,MATCH($I1807,Config!$C$15:$C$19,0)),"•")))</f>
        <v/>
      </c>
      <c r="I1807" s="114" t="str">
        <f aca="false">IF($E1807="","",IF($B1807="Tema",INDEX(Config!$E$6:$E$11,$D1807),IF(INDEX(Avulsos!$D$6:$D$205,$C1807)&amp;""="","Outro",INDEX(Avulsos!$D$6:$D$205,$C1807))))</f>
        <v/>
      </c>
      <c r="J1807" s="114" t="str">
        <f aca="false">IF($E1807="","",IF($B1807="Tema",INDEX(Temas!$C$6:$C$305,$C1807)&amp;"",INDEX(Avulsos!$E$6:$E$205,$C1807)&amp;""))</f>
        <v/>
      </c>
      <c r="K1807" s="114" t="str">
        <f aca="false">IF($E1807="","",IF(IF($B1807="Tema",INDEX(Temas!$E$6:$P$305,$C1807,2*$D1807),INDEX(Avulsos!$F$6:$F$205,$C1807))&amp;""="","","✓"))</f>
        <v/>
      </c>
      <c r="L1807" s="114" t="str">
        <f aca="true">IF($E1807="","",IF($K1807="✓","Concluído",IF($E1807&lt;TODAY(),"Atrasado",IF($E1807=TODAY(),"Hoje","Pendente"))))</f>
        <v/>
      </c>
      <c r="M1807" s="114" t="str">
        <f aca="false">IF($E1807="","",IF($K1807="✓","✓ ","")&amp;IF(Config!$E$22="Sim",$H1807&amp;" · ","")&amp;$F1807)</f>
        <v/>
      </c>
      <c r="N1807" s="114" t="str">
        <f aca="false">IF($E1807="","",IFERROR(INDEX(Config!$D$15:$D$19,MATCH($I1807,Config!$C$15:$C$19,0)),"OUT")&amp;IF($K1807="✓","x",""))</f>
        <v/>
      </c>
      <c r="O1807" s="114" t="str">
        <f aca="false">IF($E1807="","",COUNTIF($E$5:$E1807,$E1807))</f>
        <v/>
      </c>
      <c r="P1807" s="114" t="str">
        <f aca="false">IF($E1807="","",$E1807*100+$O1807)</f>
        <v/>
      </c>
      <c r="Q1807" s="114" t="str">
        <f aca="false">IF($L1807="Atrasado",$E1807*10000+$A1807,"")</f>
        <v/>
      </c>
    </row>
    <row r="1808" customFormat="false" ht="15" hidden="false" customHeight="false" outlineLevel="0" collapsed="false">
      <c r="A1808" s="114" t="n">
        <f aca="false">ROW()-4</f>
        <v>1804</v>
      </c>
      <c r="B1808" s="114" t="str">
        <f aca="false">IF(A1808&lt;=Config!$E$27*Config!$E$28,"Tema","Avulso")</f>
        <v>Avulso</v>
      </c>
      <c r="C1808" s="114" t="n">
        <f aca="false">IF(B1808="Tema",INT((A1808-1)/Config!$E$28)+1,A1808-Config!$E$27*Config!$E$28)</f>
        <v>4</v>
      </c>
      <c r="D1808" s="114" t="str">
        <f aca="false">IF(B1808="Tema",MOD(A1808-1,Config!$E$28)+1,"")</f>
        <v/>
      </c>
      <c r="E1808" s="115" t="str">
        <f aca="false">IF($B1808="Tema",IF(ISNUMBER(INDEX(Temas!$E$6:$P$305,$C1808,2*$D1808-1)),INDEX(Temas!$E$6:$P$305,$C1808,2*$D1808-1),""),IF(ISNUMBER(INDEX(Avulsos!$B$6:$B$205,$C1808)),INDEX(Avulsos!$B$6:$B$205,$C1808),""))</f>
        <v/>
      </c>
      <c r="F1808" s="114" t="str">
        <f aca="false">IF($E1808="","",IF($B1808="Tema",INDEX(Temas!$B$6:$B$305,$C1808)&amp;"",INDEX(Avulsos!$C$6:$C$205,$C1808)&amp;""))</f>
        <v/>
      </c>
      <c r="G1808" s="114" t="str">
        <f aca="false">IF($E1808="","",IF($B1808="Tema",INDEX(Config!$C$6:$C$11,$D1808),"Evento avulso"))</f>
        <v/>
      </c>
      <c r="H1808" s="114" t="str">
        <f aca="false">IF($E1808="","",IF($B1808="Tema",INDEX(Config!$D$6:$D$11,$D1808),IFERROR(INDEX(Config!$E$15:$E$19,MATCH($I1808,Config!$C$15:$C$19,0)),"•")))</f>
        <v/>
      </c>
      <c r="I1808" s="114" t="str">
        <f aca="false">IF($E1808="","",IF($B1808="Tema",INDEX(Config!$E$6:$E$11,$D1808),IF(INDEX(Avulsos!$D$6:$D$205,$C1808)&amp;""="","Outro",INDEX(Avulsos!$D$6:$D$205,$C1808))))</f>
        <v/>
      </c>
      <c r="J1808" s="114" t="str">
        <f aca="false">IF($E1808="","",IF($B1808="Tema",INDEX(Temas!$C$6:$C$305,$C1808)&amp;"",INDEX(Avulsos!$E$6:$E$205,$C1808)&amp;""))</f>
        <v/>
      </c>
      <c r="K1808" s="114" t="str">
        <f aca="false">IF($E1808="","",IF(IF($B1808="Tema",INDEX(Temas!$E$6:$P$305,$C1808,2*$D1808),INDEX(Avulsos!$F$6:$F$205,$C1808))&amp;""="","","✓"))</f>
        <v/>
      </c>
      <c r="L1808" s="114" t="str">
        <f aca="true">IF($E1808="","",IF($K1808="✓","Concluído",IF($E1808&lt;TODAY(),"Atrasado",IF($E1808=TODAY(),"Hoje","Pendente"))))</f>
        <v/>
      </c>
      <c r="M1808" s="114" t="str">
        <f aca="false">IF($E1808="","",IF($K1808="✓","✓ ","")&amp;IF(Config!$E$22="Sim",$H1808&amp;" · ","")&amp;$F1808)</f>
        <v/>
      </c>
      <c r="N1808" s="114" t="str">
        <f aca="false">IF($E1808="","",IFERROR(INDEX(Config!$D$15:$D$19,MATCH($I1808,Config!$C$15:$C$19,0)),"OUT")&amp;IF($K1808="✓","x",""))</f>
        <v/>
      </c>
      <c r="O1808" s="114" t="str">
        <f aca="false">IF($E1808="","",COUNTIF($E$5:$E1808,$E1808))</f>
        <v/>
      </c>
      <c r="P1808" s="114" t="str">
        <f aca="false">IF($E1808="","",$E1808*100+$O1808)</f>
        <v/>
      </c>
      <c r="Q1808" s="114" t="str">
        <f aca="false">IF($L1808="Atrasado",$E1808*10000+$A1808,"")</f>
        <v/>
      </c>
    </row>
    <row r="1809" customFormat="false" ht="15" hidden="false" customHeight="false" outlineLevel="0" collapsed="false">
      <c r="A1809" s="114" t="n">
        <f aca="false">ROW()-4</f>
        <v>1805</v>
      </c>
      <c r="B1809" s="114" t="str">
        <f aca="false">IF(A1809&lt;=Config!$E$27*Config!$E$28,"Tema","Avulso")</f>
        <v>Avulso</v>
      </c>
      <c r="C1809" s="114" t="n">
        <f aca="false">IF(B1809="Tema",INT((A1809-1)/Config!$E$28)+1,A1809-Config!$E$27*Config!$E$28)</f>
        <v>5</v>
      </c>
      <c r="D1809" s="114" t="str">
        <f aca="false">IF(B1809="Tema",MOD(A1809-1,Config!$E$28)+1,"")</f>
        <v/>
      </c>
      <c r="E1809" s="115" t="str">
        <f aca="false">IF($B1809="Tema",IF(ISNUMBER(INDEX(Temas!$E$6:$P$305,$C1809,2*$D1809-1)),INDEX(Temas!$E$6:$P$305,$C1809,2*$D1809-1),""),IF(ISNUMBER(INDEX(Avulsos!$B$6:$B$205,$C1809)),INDEX(Avulsos!$B$6:$B$205,$C1809),""))</f>
        <v/>
      </c>
      <c r="F1809" s="114" t="str">
        <f aca="false">IF($E1809="","",IF($B1809="Tema",INDEX(Temas!$B$6:$B$305,$C1809)&amp;"",INDEX(Avulsos!$C$6:$C$205,$C1809)&amp;""))</f>
        <v/>
      </c>
      <c r="G1809" s="114" t="str">
        <f aca="false">IF($E1809="","",IF($B1809="Tema",INDEX(Config!$C$6:$C$11,$D1809),"Evento avulso"))</f>
        <v/>
      </c>
      <c r="H1809" s="114" t="str">
        <f aca="false">IF($E1809="","",IF($B1809="Tema",INDEX(Config!$D$6:$D$11,$D1809),IFERROR(INDEX(Config!$E$15:$E$19,MATCH($I1809,Config!$C$15:$C$19,0)),"•")))</f>
        <v/>
      </c>
      <c r="I1809" s="114" t="str">
        <f aca="false">IF($E1809="","",IF($B1809="Tema",INDEX(Config!$E$6:$E$11,$D1809),IF(INDEX(Avulsos!$D$6:$D$205,$C1809)&amp;""="","Outro",INDEX(Avulsos!$D$6:$D$205,$C1809))))</f>
        <v/>
      </c>
      <c r="J1809" s="114" t="str">
        <f aca="false">IF($E1809="","",IF($B1809="Tema",INDEX(Temas!$C$6:$C$305,$C1809)&amp;"",INDEX(Avulsos!$E$6:$E$205,$C1809)&amp;""))</f>
        <v/>
      </c>
      <c r="K1809" s="114" t="str">
        <f aca="false">IF($E1809="","",IF(IF($B1809="Tema",INDEX(Temas!$E$6:$P$305,$C1809,2*$D1809),INDEX(Avulsos!$F$6:$F$205,$C1809))&amp;""="","","✓"))</f>
        <v/>
      </c>
      <c r="L1809" s="114" t="str">
        <f aca="true">IF($E1809="","",IF($K1809="✓","Concluído",IF($E1809&lt;TODAY(),"Atrasado",IF($E1809=TODAY(),"Hoje","Pendente"))))</f>
        <v/>
      </c>
      <c r="M1809" s="114" t="str">
        <f aca="false">IF($E1809="","",IF($K1809="✓","✓ ","")&amp;IF(Config!$E$22="Sim",$H1809&amp;" · ","")&amp;$F1809)</f>
        <v/>
      </c>
      <c r="N1809" s="114" t="str">
        <f aca="false">IF($E1809="","",IFERROR(INDEX(Config!$D$15:$D$19,MATCH($I1809,Config!$C$15:$C$19,0)),"OUT")&amp;IF($K1809="✓","x",""))</f>
        <v/>
      </c>
      <c r="O1809" s="114" t="str">
        <f aca="false">IF($E1809="","",COUNTIF($E$5:$E1809,$E1809))</f>
        <v/>
      </c>
      <c r="P1809" s="114" t="str">
        <f aca="false">IF($E1809="","",$E1809*100+$O1809)</f>
        <v/>
      </c>
      <c r="Q1809" s="114" t="str">
        <f aca="false">IF($L1809="Atrasado",$E1809*10000+$A1809,"")</f>
        <v/>
      </c>
    </row>
    <row r="1810" customFormat="false" ht="15" hidden="false" customHeight="false" outlineLevel="0" collapsed="false">
      <c r="A1810" s="114" t="n">
        <f aca="false">ROW()-4</f>
        <v>1806</v>
      </c>
      <c r="B1810" s="114" t="str">
        <f aca="false">IF(A1810&lt;=Config!$E$27*Config!$E$28,"Tema","Avulso")</f>
        <v>Avulso</v>
      </c>
      <c r="C1810" s="114" t="n">
        <f aca="false">IF(B1810="Tema",INT((A1810-1)/Config!$E$28)+1,A1810-Config!$E$27*Config!$E$28)</f>
        <v>6</v>
      </c>
      <c r="D1810" s="114" t="str">
        <f aca="false">IF(B1810="Tema",MOD(A1810-1,Config!$E$28)+1,"")</f>
        <v/>
      </c>
      <c r="E1810" s="115" t="str">
        <f aca="false">IF($B1810="Tema",IF(ISNUMBER(INDEX(Temas!$E$6:$P$305,$C1810,2*$D1810-1)),INDEX(Temas!$E$6:$P$305,$C1810,2*$D1810-1),""),IF(ISNUMBER(INDEX(Avulsos!$B$6:$B$205,$C1810)),INDEX(Avulsos!$B$6:$B$205,$C1810),""))</f>
        <v/>
      </c>
      <c r="F1810" s="114" t="str">
        <f aca="false">IF($E1810="","",IF($B1810="Tema",INDEX(Temas!$B$6:$B$305,$C1810)&amp;"",INDEX(Avulsos!$C$6:$C$205,$C1810)&amp;""))</f>
        <v/>
      </c>
      <c r="G1810" s="114" t="str">
        <f aca="false">IF($E1810="","",IF($B1810="Tema",INDEX(Config!$C$6:$C$11,$D1810),"Evento avulso"))</f>
        <v/>
      </c>
      <c r="H1810" s="114" t="str">
        <f aca="false">IF($E1810="","",IF($B1810="Tema",INDEX(Config!$D$6:$D$11,$D1810),IFERROR(INDEX(Config!$E$15:$E$19,MATCH($I1810,Config!$C$15:$C$19,0)),"•")))</f>
        <v/>
      </c>
      <c r="I1810" s="114" t="str">
        <f aca="false">IF($E1810="","",IF($B1810="Tema",INDEX(Config!$E$6:$E$11,$D1810),IF(INDEX(Avulsos!$D$6:$D$205,$C1810)&amp;""="","Outro",INDEX(Avulsos!$D$6:$D$205,$C1810))))</f>
        <v/>
      </c>
      <c r="J1810" s="114" t="str">
        <f aca="false">IF($E1810="","",IF($B1810="Tema",INDEX(Temas!$C$6:$C$305,$C1810)&amp;"",INDEX(Avulsos!$E$6:$E$205,$C1810)&amp;""))</f>
        <v/>
      </c>
      <c r="K1810" s="114" t="str">
        <f aca="false">IF($E1810="","",IF(IF($B1810="Tema",INDEX(Temas!$E$6:$P$305,$C1810,2*$D1810),INDEX(Avulsos!$F$6:$F$205,$C1810))&amp;""="","","✓"))</f>
        <v/>
      </c>
      <c r="L1810" s="114" t="str">
        <f aca="true">IF($E1810="","",IF($K1810="✓","Concluído",IF($E1810&lt;TODAY(),"Atrasado",IF($E1810=TODAY(),"Hoje","Pendente"))))</f>
        <v/>
      </c>
      <c r="M1810" s="114" t="str">
        <f aca="false">IF($E1810="","",IF($K1810="✓","✓ ","")&amp;IF(Config!$E$22="Sim",$H1810&amp;" · ","")&amp;$F1810)</f>
        <v/>
      </c>
      <c r="N1810" s="114" t="str">
        <f aca="false">IF($E1810="","",IFERROR(INDEX(Config!$D$15:$D$19,MATCH($I1810,Config!$C$15:$C$19,0)),"OUT")&amp;IF($K1810="✓","x",""))</f>
        <v/>
      </c>
      <c r="O1810" s="114" t="str">
        <f aca="false">IF($E1810="","",COUNTIF($E$5:$E1810,$E1810))</f>
        <v/>
      </c>
      <c r="P1810" s="114" t="str">
        <f aca="false">IF($E1810="","",$E1810*100+$O1810)</f>
        <v/>
      </c>
      <c r="Q1810" s="114" t="str">
        <f aca="false">IF($L1810="Atrasado",$E1810*10000+$A1810,"")</f>
        <v/>
      </c>
    </row>
    <row r="1811" customFormat="false" ht="15" hidden="false" customHeight="false" outlineLevel="0" collapsed="false">
      <c r="A1811" s="114" t="n">
        <f aca="false">ROW()-4</f>
        <v>1807</v>
      </c>
      <c r="B1811" s="114" t="str">
        <f aca="false">IF(A1811&lt;=Config!$E$27*Config!$E$28,"Tema","Avulso")</f>
        <v>Avulso</v>
      </c>
      <c r="C1811" s="114" t="n">
        <f aca="false">IF(B1811="Tema",INT((A1811-1)/Config!$E$28)+1,A1811-Config!$E$27*Config!$E$28)</f>
        <v>7</v>
      </c>
      <c r="D1811" s="114" t="str">
        <f aca="false">IF(B1811="Tema",MOD(A1811-1,Config!$E$28)+1,"")</f>
        <v/>
      </c>
      <c r="E1811" s="115" t="str">
        <f aca="false">IF($B1811="Tema",IF(ISNUMBER(INDEX(Temas!$E$6:$P$305,$C1811,2*$D1811-1)),INDEX(Temas!$E$6:$P$305,$C1811,2*$D1811-1),""),IF(ISNUMBER(INDEX(Avulsos!$B$6:$B$205,$C1811)),INDEX(Avulsos!$B$6:$B$205,$C1811),""))</f>
        <v/>
      </c>
      <c r="F1811" s="114" t="str">
        <f aca="false">IF($E1811="","",IF($B1811="Tema",INDEX(Temas!$B$6:$B$305,$C1811)&amp;"",INDEX(Avulsos!$C$6:$C$205,$C1811)&amp;""))</f>
        <v/>
      </c>
      <c r="G1811" s="114" t="str">
        <f aca="false">IF($E1811="","",IF($B1811="Tema",INDEX(Config!$C$6:$C$11,$D1811),"Evento avulso"))</f>
        <v/>
      </c>
      <c r="H1811" s="114" t="str">
        <f aca="false">IF($E1811="","",IF($B1811="Tema",INDEX(Config!$D$6:$D$11,$D1811),IFERROR(INDEX(Config!$E$15:$E$19,MATCH($I1811,Config!$C$15:$C$19,0)),"•")))</f>
        <v/>
      </c>
      <c r="I1811" s="114" t="str">
        <f aca="false">IF($E1811="","",IF($B1811="Tema",INDEX(Config!$E$6:$E$11,$D1811),IF(INDEX(Avulsos!$D$6:$D$205,$C1811)&amp;""="","Outro",INDEX(Avulsos!$D$6:$D$205,$C1811))))</f>
        <v/>
      </c>
      <c r="J1811" s="114" t="str">
        <f aca="false">IF($E1811="","",IF($B1811="Tema",INDEX(Temas!$C$6:$C$305,$C1811)&amp;"",INDEX(Avulsos!$E$6:$E$205,$C1811)&amp;""))</f>
        <v/>
      </c>
      <c r="K1811" s="114" t="str">
        <f aca="false">IF($E1811="","",IF(IF($B1811="Tema",INDEX(Temas!$E$6:$P$305,$C1811,2*$D1811),INDEX(Avulsos!$F$6:$F$205,$C1811))&amp;""="","","✓"))</f>
        <v/>
      </c>
      <c r="L1811" s="114" t="str">
        <f aca="true">IF($E1811="","",IF($K1811="✓","Concluído",IF($E1811&lt;TODAY(),"Atrasado",IF($E1811=TODAY(),"Hoje","Pendente"))))</f>
        <v/>
      </c>
      <c r="M1811" s="114" t="str">
        <f aca="false">IF($E1811="","",IF($K1811="✓","✓ ","")&amp;IF(Config!$E$22="Sim",$H1811&amp;" · ","")&amp;$F1811)</f>
        <v/>
      </c>
      <c r="N1811" s="114" t="str">
        <f aca="false">IF($E1811="","",IFERROR(INDEX(Config!$D$15:$D$19,MATCH($I1811,Config!$C$15:$C$19,0)),"OUT")&amp;IF($K1811="✓","x",""))</f>
        <v/>
      </c>
      <c r="O1811" s="114" t="str">
        <f aca="false">IF($E1811="","",COUNTIF($E$5:$E1811,$E1811))</f>
        <v/>
      </c>
      <c r="P1811" s="114" t="str">
        <f aca="false">IF($E1811="","",$E1811*100+$O1811)</f>
        <v/>
      </c>
      <c r="Q1811" s="114" t="str">
        <f aca="false">IF($L1811="Atrasado",$E1811*10000+$A1811,"")</f>
        <v/>
      </c>
    </row>
    <row r="1812" customFormat="false" ht="15" hidden="false" customHeight="false" outlineLevel="0" collapsed="false">
      <c r="A1812" s="114" t="n">
        <f aca="false">ROW()-4</f>
        <v>1808</v>
      </c>
      <c r="B1812" s="114" t="str">
        <f aca="false">IF(A1812&lt;=Config!$E$27*Config!$E$28,"Tema","Avulso")</f>
        <v>Avulso</v>
      </c>
      <c r="C1812" s="114" t="n">
        <f aca="false">IF(B1812="Tema",INT((A1812-1)/Config!$E$28)+1,A1812-Config!$E$27*Config!$E$28)</f>
        <v>8</v>
      </c>
      <c r="D1812" s="114" t="str">
        <f aca="false">IF(B1812="Tema",MOD(A1812-1,Config!$E$28)+1,"")</f>
        <v/>
      </c>
      <c r="E1812" s="115" t="str">
        <f aca="false">IF($B1812="Tema",IF(ISNUMBER(INDEX(Temas!$E$6:$P$305,$C1812,2*$D1812-1)),INDEX(Temas!$E$6:$P$305,$C1812,2*$D1812-1),""),IF(ISNUMBER(INDEX(Avulsos!$B$6:$B$205,$C1812)),INDEX(Avulsos!$B$6:$B$205,$C1812),""))</f>
        <v/>
      </c>
      <c r="F1812" s="114" t="str">
        <f aca="false">IF($E1812="","",IF($B1812="Tema",INDEX(Temas!$B$6:$B$305,$C1812)&amp;"",INDEX(Avulsos!$C$6:$C$205,$C1812)&amp;""))</f>
        <v/>
      </c>
      <c r="G1812" s="114" t="str">
        <f aca="false">IF($E1812="","",IF($B1812="Tema",INDEX(Config!$C$6:$C$11,$D1812),"Evento avulso"))</f>
        <v/>
      </c>
      <c r="H1812" s="114" t="str">
        <f aca="false">IF($E1812="","",IF($B1812="Tema",INDEX(Config!$D$6:$D$11,$D1812),IFERROR(INDEX(Config!$E$15:$E$19,MATCH($I1812,Config!$C$15:$C$19,0)),"•")))</f>
        <v/>
      </c>
      <c r="I1812" s="114" t="str">
        <f aca="false">IF($E1812="","",IF($B1812="Tema",INDEX(Config!$E$6:$E$11,$D1812),IF(INDEX(Avulsos!$D$6:$D$205,$C1812)&amp;""="","Outro",INDEX(Avulsos!$D$6:$D$205,$C1812))))</f>
        <v/>
      </c>
      <c r="J1812" s="114" t="str">
        <f aca="false">IF($E1812="","",IF($B1812="Tema",INDEX(Temas!$C$6:$C$305,$C1812)&amp;"",INDEX(Avulsos!$E$6:$E$205,$C1812)&amp;""))</f>
        <v/>
      </c>
      <c r="K1812" s="114" t="str">
        <f aca="false">IF($E1812="","",IF(IF($B1812="Tema",INDEX(Temas!$E$6:$P$305,$C1812,2*$D1812),INDEX(Avulsos!$F$6:$F$205,$C1812))&amp;""="","","✓"))</f>
        <v/>
      </c>
      <c r="L1812" s="114" t="str">
        <f aca="true">IF($E1812="","",IF($K1812="✓","Concluído",IF($E1812&lt;TODAY(),"Atrasado",IF($E1812=TODAY(),"Hoje","Pendente"))))</f>
        <v/>
      </c>
      <c r="M1812" s="114" t="str">
        <f aca="false">IF($E1812="","",IF($K1812="✓","✓ ","")&amp;IF(Config!$E$22="Sim",$H1812&amp;" · ","")&amp;$F1812)</f>
        <v/>
      </c>
      <c r="N1812" s="114" t="str">
        <f aca="false">IF($E1812="","",IFERROR(INDEX(Config!$D$15:$D$19,MATCH($I1812,Config!$C$15:$C$19,0)),"OUT")&amp;IF($K1812="✓","x",""))</f>
        <v/>
      </c>
      <c r="O1812" s="114" t="str">
        <f aca="false">IF($E1812="","",COUNTIF($E$5:$E1812,$E1812))</f>
        <v/>
      </c>
      <c r="P1812" s="114" t="str">
        <f aca="false">IF($E1812="","",$E1812*100+$O1812)</f>
        <v/>
      </c>
      <c r="Q1812" s="114" t="str">
        <f aca="false">IF($L1812="Atrasado",$E1812*10000+$A1812,"")</f>
        <v/>
      </c>
    </row>
    <row r="1813" customFormat="false" ht="15" hidden="false" customHeight="false" outlineLevel="0" collapsed="false">
      <c r="A1813" s="114" t="n">
        <f aca="false">ROW()-4</f>
        <v>1809</v>
      </c>
      <c r="B1813" s="114" t="str">
        <f aca="false">IF(A1813&lt;=Config!$E$27*Config!$E$28,"Tema","Avulso")</f>
        <v>Avulso</v>
      </c>
      <c r="C1813" s="114" t="n">
        <f aca="false">IF(B1813="Tema",INT((A1813-1)/Config!$E$28)+1,A1813-Config!$E$27*Config!$E$28)</f>
        <v>9</v>
      </c>
      <c r="D1813" s="114" t="str">
        <f aca="false">IF(B1813="Tema",MOD(A1813-1,Config!$E$28)+1,"")</f>
        <v/>
      </c>
      <c r="E1813" s="115" t="str">
        <f aca="false">IF($B1813="Tema",IF(ISNUMBER(INDEX(Temas!$E$6:$P$305,$C1813,2*$D1813-1)),INDEX(Temas!$E$6:$P$305,$C1813,2*$D1813-1),""),IF(ISNUMBER(INDEX(Avulsos!$B$6:$B$205,$C1813)),INDEX(Avulsos!$B$6:$B$205,$C1813),""))</f>
        <v/>
      </c>
      <c r="F1813" s="114" t="str">
        <f aca="false">IF($E1813="","",IF($B1813="Tema",INDEX(Temas!$B$6:$B$305,$C1813)&amp;"",INDEX(Avulsos!$C$6:$C$205,$C1813)&amp;""))</f>
        <v/>
      </c>
      <c r="G1813" s="114" t="str">
        <f aca="false">IF($E1813="","",IF($B1813="Tema",INDEX(Config!$C$6:$C$11,$D1813),"Evento avulso"))</f>
        <v/>
      </c>
      <c r="H1813" s="114" t="str">
        <f aca="false">IF($E1813="","",IF($B1813="Tema",INDEX(Config!$D$6:$D$11,$D1813),IFERROR(INDEX(Config!$E$15:$E$19,MATCH($I1813,Config!$C$15:$C$19,0)),"•")))</f>
        <v/>
      </c>
      <c r="I1813" s="114" t="str">
        <f aca="false">IF($E1813="","",IF($B1813="Tema",INDEX(Config!$E$6:$E$11,$D1813),IF(INDEX(Avulsos!$D$6:$D$205,$C1813)&amp;""="","Outro",INDEX(Avulsos!$D$6:$D$205,$C1813))))</f>
        <v/>
      </c>
      <c r="J1813" s="114" t="str">
        <f aca="false">IF($E1813="","",IF($B1813="Tema",INDEX(Temas!$C$6:$C$305,$C1813)&amp;"",INDEX(Avulsos!$E$6:$E$205,$C1813)&amp;""))</f>
        <v/>
      </c>
      <c r="K1813" s="114" t="str">
        <f aca="false">IF($E1813="","",IF(IF($B1813="Tema",INDEX(Temas!$E$6:$P$305,$C1813,2*$D1813),INDEX(Avulsos!$F$6:$F$205,$C1813))&amp;""="","","✓"))</f>
        <v/>
      </c>
      <c r="L1813" s="114" t="str">
        <f aca="true">IF($E1813="","",IF($K1813="✓","Concluído",IF($E1813&lt;TODAY(),"Atrasado",IF($E1813=TODAY(),"Hoje","Pendente"))))</f>
        <v/>
      </c>
      <c r="M1813" s="114" t="str">
        <f aca="false">IF($E1813="","",IF($K1813="✓","✓ ","")&amp;IF(Config!$E$22="Sim",$H1813&amp;" · ","")&amp;$F1813)</f>
        <v/>
      </c>
      <c r="N1813" s="114" t="str">
        <f aca="false">IF($E1813="","",IFERROR(INDEX(Config!$D$15:$D$19,MATCH($I1813,Config!$C$15:$C$19,0)),"OUT")&amp;IF($K1813="✓","x",""))</f>
        <v/>
      </c>
      <c r="O1813" s="114" t="str">
        <f aca="false">IF($E1813="","",COUNTIF($E$5:$E1813,$E1813))</f>
        <v/>
      </c>
      <c r="P1813" s="114" t="str">
        <f aca="false">IF($E1813="","",$E1813*100+$O1813)</f>
        <v/>
      </c>
      <c r="Q1813" s="114" t="str">
        <f aca="false">IF($L1813="Atrasado",$E1813*10000+$A1813,"")</f>
        <v/>
      </c>
    </row>
    <row r="1814" customFormat="false" ht="15" hidden="false" customHeight="false" outlineLevel="0" collapsed="false">
      <c r="A1814" s="114" t="n">
        <f aca="false">ROW()-4</f>
        <v>1810</v>
      </c>
      <c r="B1814" s="114" t="str">
        <f aca="false">IF(A1814&lt;=Config!$E$27*Config!$E$28,"Tema","Avulso")</f>
        <v>Avulso</v>
      </c>
      <c r="C1814" s="114" t="n">
        <f aca="false">IF(B1814="Tema",INT((A1814-1)/Config!$E$28)+1,A1814-Config!$E$27*Config!$E$28)</f>
        <v>10</v>
      </c>
      <c r="D1814" s="114" t="str">
        <f aca="false">IF(B1814="Tema",MOD(A1814-1,Config!$E$28)+1,"")</f>
        <v/>
      </c>
      <c r="E1814" s="115" t="str">
        <f aca="false">IF($B1814="Tema",IF(ISNUMBER(INDEX(Temas!$E$6:$P$305,$C1814,2*$D1814-1)),INDEX(Temas!$E$6:$P$305,$C1814,2*$D1814-1),""),IF(ISNUMBER(INDEX(Avulsos!$B$6:$B$205,$C1814)),INDEX(Avulsos!$B$6:$B$205,$C1814),""))</f>
        <v/>
      </c>
      <c r="F1814" s="114" t="str">
        <f aca="false">IF($E1814="","",IF($B1814="Tema",INDEX(Temas!$B$6:$B$305,$C1814)&amp;"",INDEX(Avulsos!$C$6:$C$205,$C1814)&amp;""))</f>
        <v/>
      </c>
      <c r="G1814" s="114" t="str">
        <f aca="false">IF($E1814="","",IF($B1814="Tema",INDEX(Config!$C$6:$C$11,$D1814),"Evento avulso"))</f>
        <v/>
      </c>
      <c r="H1814" s="114" t="str">
        <f aca="false">IF($E1814="","",IF($B1814="Tema",INDEX(Config!$D$6:$D$11,$D1814),IFERROR(INDEX(Config!$E$15:$E$19,MATCH($I1814,Config!$C$15:$C$19,0)),"•")))</f>
        <v/>
      </c>
      <c r="I1814" s="114" t="str">
        <f aca="false">IF($E1814="","",IF($B1814="Tema",INDEX(Config!$E$6:$E$11,$D1814),IF(INDEX(Avulsos!$D$6:$D$205,$C1814)&amp;""="","Outro",INDEX(Avulsos!$D$6:$D$205,$C1814))))</f>
        <v/>
      </c>
      <c r="J1814" s="114" t="str">
        <f aca="false">IF($E1814="","",IF($B1814="Tema",INDEX(Temas!$C$6:$C$305,$C1814)&amp;"",INDEX(Avulsos!$E$6:$E$205,$C1814)&amp;""))</f>
        <v/>
      </c>
      <c r="K1814" s="114" t="str">
        <f aca="false">IF($E1814="","",IF(IF($B1814="Tema",INDEX(Temas!$E$6:$P$305,$C1814,2*$D1814),INDEX(Avulsos!$F$6:$F$205,$C1814))&amp;""="","","✓"))</f>
        <v/>
      </c>
      <c r="L1814" s="114" t="str">
        <f aca="true">IF($E1814="","",IF($K1814="✓","Concluído",IF($E1814&lt;TODAY(),"Atrasado",IF($E1814=TODAY(),"Hoje","Pendente"))))</f>
        <v/>
      </c>
      <c r="M1814" s="114" t="str">
        <f aca="false">IF($E1814="","",IF($K1814="✓","✓ ","")&amp;IF(Config!$E$22="Sim",$H1814&amp;" · ","")&amp;$F1814)</f>
        <v/>
      </c>
      <c r="N1814" s="114" t="str">
        <f aca="false">IF($E1814="","",IFERROR(INDEX(Config!$D$15:$D$19,MATCH($I1814,Config!$C$15:$C$19,0)),"OUT")&amp;IF($K1814="✓","x",""))</f>
        <v/>
      </c>
      <c r="O1814" s="114" t="str">
        <f aca="false">IF($E1814="","",COUNTIF($E$5:$E1814,$E1814))</f>
        <v/>
      </c>
      <c r="P1814" s="114" t="str">
        <f aca="false">IF($E1814="","",$E1814*100+$O1814)</f>
        <v/>
      </c>
      <c r="Q1814" s="114" t="str">
        <f aca="false">IF($L1814="Atrasado",$E1814*10000+$A1814,"")</f>
        <v/>
      </c>
    </row>
    <row r="1815" customFormat="false" ht="15" hidden="false" customHeight="false" outlineLevel="0" collapsed="false">
      <c r="A1815" s="114" t="n">
        <f aca="false">ROW()-4</f>
        <v>1811</v>
      </c>
      <c r="B1815" s="114" t="str">
        <f aca="false">IF(A1815&lt;=Config!$E$27*Config!$E$28,"Tema","Avulso")</f>
        <v>Avulso</v>
      </c>
      <c r="C1815" s="114" t="n">
        <f aca="false">IF(B1815="Tema",INT((A1815-1)/Config!$E$28)+1,A1815-Config!$E$27*Config!$E$28)</f>
        <v>11</v>
      </c>
      <c r="D1815" s="114" t="str">
        <f aca="false">IF(B1815="Tema",MOD(A1815-1,Config!$E$28)+1,"")</f>
        <v/>
      </c>
      <c r="E1815" s="115" t="str">
        <f aca="false">IF($B1815="Tema",IF(ISNUMBER(INDEX(Temas!$E$6:$P$305,$C1815,2*$D1815-1)),INDEX(Temas!$E$6:$P$305,$C1815,2*$D1815-1),""),IF(ISNUMBER(INDEX(Avulsos!$B$6:$B$205,$C1815)),INDEX(Avulsos!$B$6:$B$205,$C1815),""))</f>
        <v/>
      </c>
      <c r="F1815" s="114" t="str">
        <f aca="false">IF($E1815="","",IF($B1815="Tema",INDEX(Temas!$B$6:$B$305,$C1815)&amp;"",INDEX(Avulsos!$C$6:$C$205,$C1815)&amp;""))</f>
        <v/>
      </c>
      <c r="G1815" s="114" t="str">
        <f aca="false">IF($E1815="","",IF($B1815="Tema",INDEX(Config!$C$6:$C$11,$D1815),"Evento avulso"))</f>
        <v/>
      </c>
      <c r="H1815" s="114" t="str">
        <f aca="false">IF($E1815="","",IF($B1815="Tema",INDEX(Config!$D$6:$D$11,$D1815),IFERROR(INDEX(Config!$E$15:$E$19,MATCH($I1815,Config!$C$15:$C$19,0)),"•")))</f>
        <v/>
      </c>
      <c r="I1815" s="114" t="str">
        <f aca="false">IF($E1815="","",IF($B1815="Tema",INDEX(Config!$E$6:$E$11,$D1815),IF(INDEX(Avulsos!$D$6:$D$205,$C1815)&amp;""="","Outro",INDEX(Avulsos!$D$6:$D$205,$C1815))))</f>
        <v/>
      </c>
      <c r="J1815" s="114" t="str">
        <f aca="false">IF($E1815="","",IF($B1815="Tema",INDEX(Temas!$C$6:$C$305,$C1815)&amp;"",INDEX(Avulsos!$E$6:$E$205,$C1815)&amp;""))</f>
        <v/>
      </c>
      <c r="K1815" s="114" t="str">
        <f aca="false">IF($E1815="","",IF(IF($B1815="Tema",INDEX(Temas!$E$6:$P$305,$C1815,2*$D1815),INDEX(Avulsos!$F$6:$F$205,$C1815))&amp;""="","","✓"))</f>
        <v/>
      </c>
      <c r="L1815" s="114" t="str">
        <f aca="true">IF($E1815="","",IF($K1815="✓","Concluído",IF($E1815&lt;TODAY(),"Atrasado",IF($E1815=TODAY(),"Hoje","Pendente"))))</f>
        <v/>
      </c>
      <c r="M1815" s="114" t="str">
        <f aca="false">IF($E1815="","",IF($K1815="✓","✓ ","")&amp;IF(Config!$E$22="Sim",$H1815&amp;" · ","")&amp;$F1815)</f>
        <v/>
      </c>
      <c r="N1815" s="114" t="str">
        <f aca="false">IF($E1815="","",IFERROR(INDEX(Config!$D$15:$D$19,MATCH($I1815,Config!$C$15:$C$19,0)),"OUT")&amp;IF($K1815="✓","x",""))</f>
        <v/>
      </c>
      <c r="O1815" s="114" t="str">
        <f aca="false">IF($E1815="","",COUNTIF($E$5:$E1815,$E1815))</f>
        <v/>
      </c>
      <c r="P1815" s="114" t="str">
        <f aca="false">IF($E1815="","",$E1815*100+$O1815)</f>
        <v/>
      </c>
      <c r="Q1815" s="114" t="str">
        <f aca="false">IF($L1815="Atrasado",$E1815*10000+$A1815,"")</f>
        <v/>
      </c>
    </row>
    <row r="1816" customFormat="false" ht="15" hidden="false" customHeight="false" outlineLevel="0" collapsed="false">
      <c r="A1816" s="114" t="n">
        <f aca="false">ROW()-4</f>
        <v>1812</v>
      </c>
      <c r="B1816" s="114" t="str">
        <f aca="false">IF(A1816&lt;=Config!$E$27*Config!$E$28,"Tema","Avulso")</f>
        <v>Avulso</v>
      </c>
      <c r="C1816" s="114" t="n">
        <f aca="false">IF(B1816="Tema",INT((A1816-1)/Config!$E$28)+1,A1816-Config!$E$27*Config!$E$28)</f>
        <v>12</v>
      </c>
      <c r="D1816" s="114" t="str">
        <f aca="false">IF(B1816="Tema",MOD(A1816-1,Config!$E$28)+1,"")</f>
        <v/>
      </c>
      <c r="E1816" s="115" t="str">
        <f aca="false">IF($B1816="Tema",IF(ISNUMBER(INDEX(Temas!$E$6:$P$305,$C1816,2*$D1816-1)),INDEX(Temas!$E$6:$P$305,$C1816,2*$D1816-1),""),IF(ISNUMBER(INDEX(Avulsos!$B$6:$B$205,$C1816)),INDEX(Avulsos!$B$6:$B$205,$C1816),""))</f>
        <v/>
      </c>
      <c r="F1816" s="114" t="str">
        <f aca="false">IF($E1816="","",IF($B1816="Tema",INDEX(Temas!$B$6:$B$305,$C1816)&amp;"",INDEX(Avulsos!$C$6:$C$205,$C1816)&amp;""))</f>
        <v/>
      </c>
      <c r="G1816" s="114" t="str">
        <f aca="false">IF($E1816="","",IF($B1816="Tema",INDEX(Config!$C$6:$C$11,$D1816),"Evento avulso"))</f>
        <v/>
      </c>
      <c r="H1816" s="114" t="str">
        <f aca="false">IF($E1816="","",IF($B1816="Tema",INDEX(Config!$D$6:$D$11,$D1816),IFERROR(INDEX(Config!$E$15:$E$19,MATCH($I1816,Config!$C$15:$C$19,0)),"•")))</f>
        <v/>
      </c>
      <c r="I1816" s="114" t="str">
        <f aca="false">IF($E1816="","",IF($B1816="Tema",INDEX(Config!$E$6:$E$11,$D1816),IF(INDEX(Avulsos!$D$6:$D$205,$C1816)&amp;""="","Outro",INDEX(Avulsos!$D$6:$D$205,$C1816))))</f>
        <v/>
      </c>
      <c r="J1816" s="114" t="str">
        <f aca="false">IF($E1816="","",IF($B1816="Tema",INDEX(Temas!$C$6:$C$305,$C1816)&amp;"",INDEX(Avulsos!$E$6:$E$205,$C1816)&amp;""))</f>
        <v/>
      </c>
      <c r="K1816" s="114" t="str">
        <f aca="false">IF($E1816="","",IF(IF($B1816="Tema",INDEX(Temas!$E$6:$P$305,$C1816,2*$D1816),INDEX(Avulsos!$F$6:$F$205,$C1816))&amp;""="","","✓"))</f>
        <v/>
      </c>
      <c r="L1816" s="114" t="str">
        <f aca="true">IF($E1816="","",IF($K1816="✓","Concluído",IF($E1816&lt;TODAY(),"Atrasado",IF($E1816=TODAY(),"Hoje","Pendente"))))</f>
        <v/>
      </c>
      <c r="M1816" s="114" t="str">
        <f aca="false">IF($E1816="","",IF($K1816="✓","✓ ","")&amp;IF(Config!$E$22="Sim",$H1816&amp;" · ","")&amp;$F1816)</f>
        <v/>
      </c>
      <c r="N1816" s="114" t="str">
        <f aca="false">IF($E1816="","",IFERROR(INDEX(Config!$D$15:$D$19,MATCH($I1816,Config!$C$15:$C$19,0)),"OUT")&amp;IF($K1816="✓","x",""))</f>
        <v/>
      </c>
      <c r="O1816" s="114" t="str">
        <f aca="false">IF($E1816="","",COUNTIF($E$5:$E1816,$E1816))</f>
        <v/>
      </c>
      <c r="P1816" s="114" t="str">
        <f aca="false">IF($E1816="","",$E1816*100+$O1816)</f>
        <v/>
      </c>
      <c r="Q1816" s="114" t="str">
        <f aca="false">IF($L1816="Atrasado",$E1816*10000+$A1816,"")</f>
        <v/>
      </c>
    </row>
    <row r="1817" customFormat="false" ht="15" hidden="false" customHeight="false" outlineLevel="0" collapsed="false">
      <c r="A1817" s="114" t="n">
        <f aca="false">ROW()-4</f>
        <v>1813</v>
      </c>
      <c r="B1817" s="114" t="str">
        <f aca="false">IF(A1817&lt;=Config!$E$27*Config!$E$28,"Tema","Avulso")</f>
        <v>Avulso</v>
      </c>
      <c r="C1817" s="114" t="n">
        <f aca="false">IF(B1817="Tema",INT((A1817-1)/Config!$E$28)+1,A1817-Config!$E$27*Config!$E$28)</f>
        <v>13</v>
      </c>
      <c r="D1817" s="114" t="str">
        <f aca="false">IF(B1817="Tema",MOD(A1817-1,Config!$E$28)+1,"")</f>
        <v/>
      </c>
      <c r="E1817" s="115" t="str">
        <f aca="false">IF($B1817="Tema",IF(ISNUMBER(INDEX(Temas!$E$6:$P$305,$C1817,2*$D1817-1)),INDEX(Temas!$E$6:$P$305,$C1817,2*$D1817-1),""),IF(ISNUMBER(INDEX(Avulsos!$B$6:$B$205,$C1817)),INDEX(Avulsos!$B$6:$B$205,$C1817),""))</f>
        <v/>
      </c>
      <c r="F1817" s="114" t="str">
        <f aca="false">IF($E1817="","",IF($B1817="Tema",INDEX(Temas!$B$6:$B$305,$C1817)&amp;"",INDEX(Avulsos!$C$6:$C$205,$C1817)&amp;""))</f>
        <v/>
      </c>
      <c r="G1817" s="114" t="str">
        <f aca="false">IF($E1817="","",IF($B1817="Tema",INDEX(Config!$C$6:$C$11,$D1817),"Evento avulso"))</f>
        <v/>
      </c>
      <c r="H1817" s="114" t="str">
        <f aca="false">IF($E1817="","",IF($B1817="Tema",INDEX(Config!$D$6:$D$11,$D1817),IFERROR(INDEX(Config!$E$15:$E$19,MATCH($I1817,Config!$C$15:$C$19,0)),"•")))</f>
        <v/>
      </c>
      <c r="I1817" s="114" t="str">
        <f aca="false">IF($E1817="","",IF($B1817="Tema",INDEX(Config!$E$6:$E$11,$D1817),IF(INDEX(Avulsos!$D$6:$D$205,$C1817)&amp;""="","Outro",INDEX(Avulsos!$D$6:$D$205,$C1817))))</f>
        <v/>
      </c>
      <c r="J1817" s="114" t="str">
        <f aca="false">IF($E1817="","",IF($B1817="Tema",INDEX(Temas!$C$6:$C$305,$C1817)&amp;"",INDEX(Avulsos!$E$6:$E$205,$C1817)&amp;""))</f>
        <v/>
      </c>
      <c r="K1817" s="114" t="str">
        <f aca="false">IF($E1817="","",IF(IF($B1817="Tema",INDEX(Temas!$E$6:$P$305,$C1817,2*$D1817),INDEX(Avulsos!$F$6:$F$205,$C1817))&amp;""="","","✓"))</f>
        <v/>
      </c>
      <c r="L1817" s="114" t="str">
        <f aca="true">IF($E1817="","",IF($K1817="✓","Concluído",IF($E1817&lt;TODAY(),"Atrasado",IF($E1817=TODAY(),"Hoje","Pendente"))))</f>
        <v/>
      </c>
      <c r="M1817" s="114" t="str">
        <f aca="false">IF($E1817="","",IF($K1817="✓","✓ ","")&amp;IF(Config!$E$22="Sim",$H1817&amp;" · ","")&amp;$F1817)</f>
        <v/>
      </c>
      <c r="N1817" s="114" t="str">
        <f aca="false">IF($E1817="","",IFERROR(INDEX(Config!$D$15:$D$19,MATCH($I1817,Config!$C$15:$C$19,0)),"OUT")&amp;IF($K1817="✓","x",""))</f>
        <v/>
      </c>
      <c r="O1817" s="114" t="str">
        <f aca="false">IF($E1817="","",COUNTIF($E$5:$E1817,$E1817))</f>
        <v/>
      </c>
      <c r="P1817" s="114" t="str">
        <f aca="false">IF($E1817="","",$E1817*100+$O1817)</f>
        <v/>
      </c>
      <c r="Q1817" s="114" t="str">
        <f aca="false">IF($L1817="Atrasado",$E1817*10000+$A1817,"")</f>
        <v/>
      </c>
    </row>
    <row r="1818" customFormat="false" ht="15" hidden="false" customHeight="false" outlineLevel="0" collapsed="false">
      <c r="A1818" s="114" t="n">
        <f aca="false">ROW()-4</f>
        <v>1814</v>
      </c>
      <c r="B1818" s="114" t="str">
        <f aca="false">IF(A1818&lt;=Config!$E$27*Config!$E$28,"Tema","Avulso")</f>
        <v>Avulso</v>
      </c>
      <c r="C1818" s="114" t="n">
        <f aca="false">IF(B1818="Tema",INT((A1818-1)/Config!$E$28)+1,A1818-Config!$E$27*Config!$E$28)</f>
        <v>14</v>
      </c>
      <c r="D1818" s="114" t="str">
        <f aca="false">IF(B1818="Tema",MOD(A1818-1,Config!$E$28)+1,"")</f>
        <v/>
      </c>
      <c r="E1818" s="115" t="str">
        <f aca="false">IF($B1818="Tema",IF(ISNUMBER(INDEX(Temas!$E$6:$P$305,$C1818,2*$D1818-1)),INDEX(Temas!$E$6:$P$305,$C1818,2*$D1818-1),""),IF(ISNUMBER(INDEX(Avulsos!$B$6:$B$205,$C1818)),INDEX(Avulsos!$B$6:$B$205,$C1818),""))</f>
        <v/>
      </c>
      <c r="F1818" s="114" t="str">
        <f aca="false">IF($E1818="","",IF($B1818="Tema",INDEX(Temas!$B$6:$B$305,$C1818)&amp;"",INDEX(Avulsos!$C$6:$C$205,$C1818)&amp;""))</f>
        <v/>
      </c>
      <c r="G1818" s="114" t="str">
        <f aca="false">IF($E1818="","",IF($B1818="Tema",INDEX(Config!$C$6:$C$11,$D1818),"Evento avulso"))</f>
        <v/>
      </c>
      <c r="H1818" s="114" t="str">
        <f aca="false">IF($E1818="","",IF($B1818="Tema",INDEX(Config!$D$6:$D$11,$D1818),IFERROR(INDEX(Config!$E$15:$E$19,MATCH($I1818,Config!$C$15:$C$19,0)),"•")))</f>
        <v/>
      </c>
      <c r="I1818" s="114" t="str">
        <f aca="false">IF($E1818="","",IF($B1818="Tema",INDEX(Config!$E$6:$E$11,$D1818),IF(INDEX(Avulsos!$D$6:$D$205,$C1818)&amp;""="","Outro",INDEX(Avulsos!$D$6:$D$205,$C1818))))</f>
        <v/>
      </c>
      <c r="J1818" s="114" t="str">
        <f aca="false">IF($E1818="","",IF($B1818="Tema",INDEX(Temas!$C$6:$C$305,$C1818)&amp;"",INDEX(Avulsos!$E$6:$E$205,$C1818)&amp;""))</f>
        <v/>
      </c>
      <c r="K1818" s="114" t="str">
        <f aca="false">IF($E1818="","",IF(IF($B1818="Tema",INDEX(Temas!$E$6:$P$305,$C1818,2*$D1818),INDEX(Avulsos!$F$6:$F$205,$C1818))&amp;""="","","✓"))</f>
        <v/>
      </c>
      <c r="L1818" s="114" t="str">
        <f aca="true">IF($E1818="","",IF($K1818="✓","Concluído",IF($E1818&lt;TODAY(),"Atrasado",IF($E1818=TODAY(),"Hoje","Pendente"))))</f>
        <v/>
      </c>
      <c r="M1818" s="114" t="str">
        <f aca="false">IF($E1818="","",IF($K1818="✓","✓ ","")&amp;IF(Config!$E$22="Sim",$H1818&amp;" · ","")&amp;$F1818)</f>
        <v/>
      </c>
      <c r="N1818" s="114" t="str">
        <f aca="false">IF($E1818="","",IFERROR(INDEX(Config!$D$15:$D$19,MATCH($I1818,Config!$C$15:$C$19,0)),"OUT")&amp;IF($K1818="✓","x",""))</f>
        <v/>
      </c>
      <c r="O1818" s="114" t="str">
        <f aca="false">IF($E1818="","",COUNTIF($E$5:$E1818,$E1818))</f>
        <v/>
      </c>
      <c r="P1818" s="114" t="str">
        <f aca="false">IF($E1818="","",$E1818*100+$O1818)</f>
        <v/>
      </c>
      <c r="Q1818" s="114" t="str">
        <f aca="false">IF($L1818="Atrasado",$E1818*10000+$A1818,"")</f>
        <v/>
      </c>
    </row>
    <row r="1819" customFormat="false" ht="15" hidden="false" customHeight="false" outlineLevel="0" collapsed="false">
      <c r="A1819" s="114" t="n">
        <f aca="false">ROW()-4</f>
        <v>1815</v>
      </c>
      <c r="B1819" s="114" t="str">
        <f aca="false">IF(A1819&lt;=Config!$E$27*Config!$E$28,"Tema","Avulso")</f>
        <v>Avulso</v>
      </c>
      <c r="C1819" s="114" t="n">
        <f aca="false">IF(B1819="Tema",INT((A1819-1)/Config!$E$28)+1,A1819-Config!$E$27*Config!$E$28)</f>
        <v>15</v>
      </c>
      <c r="D1819" s="114" t="str">
        <f aca="false">IF(B1819="Tema",MOD(A1819-1,Config!$E$28)+1,"")</f>
        <v/>
      </c>
      <c r="E1819" s="115" t="str">
        <f aca="false">IF($B1819="Tema",IF(ISNUMBER(INDEX(Temas!$E$6:$P$305,$C1819,2*$D1819-1)),INDEX(Temas!$E$6:$P$305,$C1819,2*$D1819-1),""),IF(ISNUMBER(INDEX(Avulsos!$B$6:$B$205,$C1819)),INDEX(Avulsos!$B$6:$B$205,$C1819),""))</f>
        <v/>
      </c>
      <c r="F1819" s="114" t="str">
        <f aca="false">IF($E1819="","",IF($B1819="Tema",INDEX(Temas!$B$6:$B$305,$C1819)&amp;"",INDEX(Avulsos!$C$6:$C$205,$C1819)&amp;""))</f>
        <v/>
      </c>
      <c r="G1819" s="114" t="str">
        <f aca="false">IF($E1819="","",IF($B1819="Tema",INDEX(Config!$C$6:$C$11,$D1819),"Evento avulso"))</f>
        <v/>
      </c>
      <c r="H1819" s="114" t="str">
        <f aca="false">IF($E1819="","",IF($B1819="Tema",INDEX(Config!$D$6:$D$11,$D1819),IFERROR(INDEX(Config!$E$15:$E$19,MATCH($I1819,Config!$C$15:$C$19,0)),"•")))</f>
        <v/>
      </c>
      <c r="I1819" s="114" t="str">
        <f aca="false">IF($E1819="","",IF($B1819="Tema",INDEX(Config!$E$6:$E$11,$D1819),IF(INDEX(Avulsos!$D$6:$D$205,$C1819)&amp;""="","Outro",INDEX(Avulsos!$D$6:$D$205,$C1819))))</f>
        <v/>
      </c>
      <c r="J1819" s="114" t="str">
        <f aca="false">IF($E1819="","",IF($B1819="Tema",INDEX(Temas!$C$6:$C$305,$C1819)&amp;"",INDEX(Avulsos!$E$6:$E$205,$C1819)&amp;""))</f>
        <v/>
      </c>
      <c r="K1819" s="114" t="str">
        <f aca="false">IF($E1819="","",IF(IF($B1819="Tema",INDEX(Temas!$E$6:$P$305,$C1819,2*$D1819),INDEX(Avulsos!$F$6:$F$205,$C1819))&amp;""="","","✓"))</f>
        <v/>
      </c>
      <c r="L1819" s="114" t="str">
        <f aca="true">IF($E1819="","",IF($K1819="✓","Concluído",IF($E1819&lt;TODAY(),"Atrasado",IF($E1819=TODAY(),"Hoje","Pendente"))))</f>
        <v/>
      </c>
      <c r="M1819" s="114" t="str">
        <f aca="false">IF($E1819="","",IF($K1819="✓","✓ ","")&amp;IF(Config!$E$22="Sim",$H1819&amp;" · ","")&amp;$F1819)</f>
        <v/>
      </c>
      <c r="N1819" s="114" t="str">
        <f aca="false">IF($E1819="","",IFERROR(INDEX(Config!$D$15:$D$19,MATCH($I1819,Config!$C$15:$C$19,0)),"OUT")&amp;IF($K1819="✓","x",""))</f>
        <v/>
      </c>
      <c r="O1819" s="114" t="str">
        <f aca="false">IF($E1819="","",COUNTIF($E$5:$E1819,$E1819))</f>
        <v/>
      </c>
      <c r="P1819" s="114" t="str">
        <f aca="false">IF($E1819="","",$E1819*100+$O1819)</f>
        <v/>
      </c>
      <c r="Q1819" s="114" t="str">
        <f aca="false">IF($L1819="Atrasado",$E1819*10000+$A1819,"")</f>
        <v/>
      </c>
    </row>
    <row r="1820" customFormat="false" ht="15" hidden="false" customHeight="false" outlineLevel="0" collapsed="false">
      <c r="A1820" s="114" t="n">
        <f aca="false">ROW()-4</f>
        <v>1816</v>
      </c>
      <c r="B1820" s="114" t="str">
        <f aca="false">IF(A1820&lt;=Config!$E$27*Config!$E$28,"Tema","Avulso")</f>
        <v>Avulso</v>
      </c>
      <c r="C1820" s="114" t="n">
        <f aca="false">IF(B1820="Tema",INT((A1820-1)/Config!$E$28)+1,A1820-Config!$E$27*Config!$E$28)</f>
        <v>16</v>
      </c>
      <c r="D1820" s="114" t="str">
        <f aca="false">IF(B1820="Tema",MOD(A1820-1,Config!$E$28)+1,"")</f>
        <v/>
      </c>
      <c r="E1820" s="115" t="str">
        <f aca="false">IF($B1820="Tema",IF(ISNUMBER(INDEX(Temas!$E$6:$P$305,$C1820,2*$D1820-1)),INDEX(Temas!$E$6:$P$305,$C1820,2*$D1820-1),""),IF(ISNUMBER(INDEX(Avulsos!$B$6:$B$205,$C1820)),INDEX(Avulsos!$B$6:$B$205,$C1820),""))</f>
        <v/>
      </c>
      <c r="F1820" s="114" t="str">
        <f aca="false">IF($E1820="","",IF($B1820="Tema",INDEX(Temas!$B$6:$B$305,$C1820)&amp;"",INDEX(Avulsos!$C$6:$C$205,$C1820)&amp;""))</f>
        <v/>
      </c>
      <c r="G1820" s="114" t="str">
        <f aca="false">IF($E1820="","",IF($B1820="Tema",INDEX(Config!$C$6:$C$11,$D1820),"Evento avulso"))</f>
        <v/>
      </c>
      <c r="H1820" s="114" t="str">
        <f aca="false">IF($E1820="","",IF($B1820="Tema",INDEX(Config!$D$6:$D$11,$D1820),IFERROR(INDEX(Config!$E$15:$E$19,MATCH($I1820,Config!$C$15:$C$19,0)),"•")))</f>
        <v/>
      </c>
      <c r="I1820" s="114" t="str">
        <f aca="false">IF($E1820="","",IF($B1820="Tema",INDEX(Config!$E$6:$E$11,$D1820),IF(INDEX(Avulsos!$D$6:$D$205,$C1820)&amp;""="","Outro",INDEX(Avulsos!$D$6:$D$205,$C1820))))</f>
        <v/>
      </c>
      <c r="J1820" s="114" t="str">
        <f aca="false">IF($E1820="","",IF($B1820="Tema",INDEX(Temas!$C$6:$C$305,$C1820)&amp;"",INDEX(Avulsos!$E$6:$E$205,$C1820)&amp;""))</f>
        <v/>
      </c>
      <c r="K1820" s="114" t="str">
        <f aca="false">IF($E1820="","",IF(IF($B1820="Tema",INDEX(Temas!$E$6:$P$305,$C1820,2*$D1820),INDEX(Avulsos!$F$6:$F$205,$C1820))&amp;""="","","✓"))</f>
        <v/>
      </c>
      <c r="L1820" s="114" t="str">
        <f aca="true">IF($E1820="","",IF($K1820="✓","Concluído",IF($E1820&lt;TODAY(),"Atrasado",IF($E1820=TODAY(),"Hoje","Pendente"))))</f>
        <v/>
      </c>
      <c r="M1820" s="114" t="str">
        <f aca="false">IF($E1820="","",IF($K1820="✓","✓ ","")&amp;IF(Config!$E$22="Sim",$H1820&amp;" · ","")&amp;$F1820)</f>
        <v/>
      </c>
      <c r="N1820" s="114" t="str">
        <f aca="false">IF($E1820="","",IFERROR(INDEX(Config!$D$15:$D$19,MATCH($I1820,Config!$C$15:$C$19,0)),"OUT")&amp;IF($K1820="✓","x",""))</f>
        <v/>
      </c>
      <c r="O1820" s="114" t="str">
        <f aca="false">IF($E1820="","",COUNTIF($E$5:$E1820,$E1820))</f>
        <v/>
      </c>
      <c r="P1820" s="114" t="str">
        <f aca="false">IF($E1820="","",$E1820*100+$O1820)</f>
        <v/>
      </c>
      <c r="Q1820" s="114" t="str">
        <f aca="false">IF($L1820="Atrasado",$E1820*10000+$A1820,"")</f>
        <v/>
      </c>
    </row>
    <row r="1821" customFormat="false" ht="15" hidden="false" customHeight="false" outlineLevel="0" collapsed="false">
      <c r="A1821" s="114" t="n">
        <f aca="false">ROW()-4</f>
        <v>1817</v>
      </c>
      <c r="B1821" s="114" t="str">
        <f aca="false">IF(A1821&lt;=Config!$E$27*Config!$E$28,"Tema","Avulso")</f>
        <v>Avulso</v>
      </c>
      <c r="C1821" s="114" t="n">
        <f aca="false">IF(B1821="Tema",INT((A1821-1)/Config!$E$28)+1,A1821-Config!$E$27*Config!$E$28)</f>
        <v>17</v>
      </c>
      <c r="D1821" s="114" t="str">
        <f aca="false">IF(B1821="Tema",MOD(A1821-1,Config!$E$28)+1,"")</f>
        <v/>
      </c>
      <c r="E1821" s="115" t="str">
        <f aca="false">IF($B1821="Tema",IF(ISNUMBER(INDEX(Temas!$E$6:$P$305,$C1821,2*$D1821-1)),INDEX(Temas!$E$6:$P$305,$C1821,2*$D1821-1),""),IF(ISNUMBER(INDEX(Avulsos!$B$6:$B$205,$C1821)),INDEX(Avulsos!$B$6:$B$205,$C1821),""))</f>
        <v/>
      </c>
      <c r="F1821" s="114" t="str">
        <f aca="false">IF($E1821="","",IF($B1821="Tema",INDEX(Temas!$B$6:$B$305,$C1821)&amp;"",INDEX(Avulsos!$C$6:$C$205,$C1821)&amp;""))</f>
        <v/>
      </c>
      <c r="G1821" s="114" t="str">
        <f aca="false">IF($E1821="","",IF($B1821="Tema",INDEX(Config!$C$6:$C$11,$D1821),"Evento avulso"))</f>
        <v/>
      </c>
      <c r="H1821" s="114" t="str">
        <f aca="false">IF($E1821="","",IF($B1821="Tema",INDEX(Config!$D$6:$D$11,$D1821),IFERROR(INDEX(Config!$E$15:$E$19,MATCH($I1821,Config!$C$15:$C$19,0)),"•")))</f>
        <v/>
      </c>
      <c r="I1821" s="114" t="str">
        <f aca="false">IF($E1821="","",IF($B1821="Tema",INDEX(Config!$E$6:$E$11,$D1821),IF(INDEX(Avulsos!$D$6:$D$205,$C1821)&amp;""="","Outro",INDEX(Avulsos!$D$6:$D$205,$C1821))))</f>
        <v/>
      </c>
      <c r="J1821" s="114" t="str">
        <f aca="false">IF($E1821="","",IF($B1821="Tema",INDEX(Temas!$C$6:$C$305,$C1821)&amp;"",INDEX(Avulsos!$E$6:$E$205,$C1821)&amp;""))</f>
        <v/>
      </c>
      <c r="K1821" s="114" t="str">
        <f aca="false">IF($E1821="","",IF(IF($B1821="Tema",INDEX(Temas!$E$6:$P$305,$C1821,2*$D1821),INDEX(Avulsos!$F$6:$F$205,$C1821))&amp;""="","","✓"))</f>
        <v/>
      </c>
      <c r="L1821" s="114" t="str">
        <f aca="true">IF($E1821="","",IF($K1821="✓","Concluído",IF($E1821&lt;TODAY(),"Atrasado",IF($E1821=TODAY(),"Hoje","Pendente"))))</f>
        <v/>
      </c>
      <c r="M1821" s="114" t="str">
        <f aca="false">IF($E1821="","",IF($K1821="✓","✓ ","")&amp;IF(Config!$E$22="Sim",$H1821&amp;" · ","")&amp;$F1821)</f>
        <v/>
      </c>
      <c r="N1821" s="114" t="str">
        <f aca="false">IF($E1821="","",IFERROR(INDEX(Config!$D$15:$D$19,MATCH($I1821,Config!$C$15:$C$19,0)),"OUT")&amp;IF($K1821="✓","x",""))</f>
        <v/>
      </c>
      <c r="O1821" s="114" t="str">
        <f aca="false">IF($E1821="","",COUNTIF($E$5:$E1821,$E1821))</f>
        <v/>
      </c>
      <c r="P1821" s="114" t="str">
        <f aca="false">IF($E1821="","",$E1821*100+$O1821)</f>
        <v/>
      </c>
      <c r="Q1821" s="114" t="str">
        <f aca="false">IF($L1821="Atrasado",$E1821*10000+$A1821,"")</f>
        <v/>
      </c>
    </row>
    <row r="1822" customFormat="false" ht="15" hidden="false" customHeight="false" outlineLevel="0" collapsed="false">
      <c r="A1822" s="114" t="n">
        <f aca="false">ROW()-4</f>
        <v>1818</v>
      </c>
      <c r="B1822" s="114" t="str">
        <f aca="false">IF(A1822&lt;=Config!$E$27*Config!$E$28,"Tema","Avulso")</f>
        <v>Avulso</v>
      </c>
      <c r="C1822" s="114" t="n">
        <f aca="false">IF(B1822="Tema",INT((A1822-1)/Config!$E$28)+1,A1822-Config!$E$27*Config!$E$28)</f>
        <v>18</v>
      </c>
      <c r="D1822" s="114" t="str">
        <f aca="false">IF(B1822="Tema",MOD(A1822-1,Config!$E$28)+1,"")</f>
        <v/>
      </c>
      <c r="E1822" s="115" t="str">
        <f aca="false">IF($B1822="Tema",IF(ISNUMBER(INDEX(Temas!$E$6:$P$305,$C1822,2*$D1822-1)),INDEX(Temas!$E$6:$P$305,$C1822,2*$D1822-1),""),IF(ISNUMBER(INDEX(Avulsos!$B$6:$B$205,$C1822)),INDEX(Avulsos!$B$6:$B$205,$C1822),""))</f>
        <v/>
      </c>
      <c r="F1822" s="114" t="str">
        <f aca="false">IF($E1822="","",IF($B1822="Tema",INDEX(Temas!$B$6:$B$305,$C1822)&amp;"",INDEX(Avulsos!$C$6:$C$205,$C1822)&amp;""))</f>
        <v/>
      </c>
      <c r="G1822" s="114" t="str">
        <f aca="false">IF($E1822="","",IF($B1822="Tema",INDEX(Config!$C$6:$C$11,$D1822),"Evento avulso"))</f>
        <v/>
      </c>
      <c r="H1822" s="114" t="str">
        <f aca="false">IF($E1822="","",IF($B1822="Tema",INDEX(Config!$D$6:$D$11,$D1822),IFERROR(INDEX(Config!$E$15:$E$19,MATCH($I1822,Config!$C$15:$C$19,0)),"•")))</f>
        <v/>
      </c>
      <c r="I1822" s="114" t="str">
        <f aca="false">IF($E1822="","",IF($B1822="Tema",INDEX(Config!$E$6:$E$11,$D1822),IF(INDEX(Avulsos!$D$6:$D$205,$C1822)&amp;""="","Outro",INDEX(Avulsos!$D$6:$D$205,$C1822))))</f>
        <v/>
      </c>
      <c r="J1822" s="114" t="str">
        <f aca="false">IF($E1822="","",IF($B1822="Tema",INDEX(Temas!$C$6:$C$305,$C1822)&amp;"",INDEX(Avulsos!$E$6:$E$205,$C1822)&amp;""))</f>
        <v/>
      </c>
      <c r="K1822" s="114" t="str">
        <f aca="false">IF($E1822="","",IF(IF($B1822="Tema",INDEX(Temas!$E$6:$P$305,$C1822,2*$D1822),INDEX(Avulsos!$F$6:$F$205,$C1822))&amp;""="","","✓"))</f>
        <v/>
      </c>
      <c r="L1822" s="114" t="str">
        <f aca="true">IF($E1822="","",IF($K1822="✓","Concluído",IF($E1822&lt;TODAY(),"Atrasado",IF($E1822=TODAY(),"Hoje","Pendente"))))</f>
        <v/>
      </c>
      <c r="M1822" s="114" t="str">
        <f aca="false">IF($E1822="","",IF($K1822="✓","✓ ","")&amp;IF(Config!$E$22="Sim",$H1822&amp;" · ","")&amp;$F1822)</f>
        <v/>
      </c>
      <c r="N1822" s="114" t="str">
        <f aca="false">IF($E1822="","",IFERROR(INDEX(Config!$D$15:$D$19,MATCH($I1822,Config!$C$15:$C$19,0)),"OUT")&amp;IF($K1822="✓","x",""))</f>
        <v/>
      </c>
      <c r="O1822" s="114" t="str">
        <f aca="false">IF($E1822="","",COUNTIF($E$5:$E1822,$E1822))</f>
        <v/>
      </c>
      <c r="P1822" s="114" t="str">
        <f aca="false">IF($E1822="","",$E1822*100+$O1822)</f>
        <v/>
      </c>
      <c r="Q1822" s="114" t="str">
        <f aca="false">IF($L1822="Atrasado",$E1822*10000+$A1822,"")</f>
        <v/>
      </c>
    </row>
    <row r="1823" customFormat="false" ht="15" hidden="false" customHeight="false" outlineLevel="0" collapsed="false">
      <c r="A1823" s="114" t="n">
        <f aca="false">ROW()-4</f>
        <v>1819</v>
      </c>
      <c r="B1823" s="114" t="str">
        <f aca="false">IF(A1823&lt;=Config!$E$27*Config!$E$28,"Tema","Avulso")</f>
        <v>Avulso</v>
      </c>
      <c r="C1823" s="114" t="n">
        <f aca="false">IF(B1823="Tema",INT((A1823-1)/Config!$E$28)+1,A1823-Config!$E$27*Config!$E$28)</f>
        <v>19</v>
      </c>
      <c r="D1823" s="114" t="str">
        <f aca="false">IF(B1823="Tema",MOD(A1823-1,Config!$E$28)+1,"")</f>
        <v/>
      </c>
      <c r="E1823" s="115" t="str">
        <f aca="false">IF($B1823="Tema",IF(ISNUMBER(INDEX(Temas!$E$6:$P$305,$C1823,2*$D1823-1)),INDEX(Temas!$E$6:$P$305,$C1823,2*$D1823-1),""),IF(ISNUMBER(INDEX(Avulsos!$B$6:$B$205,$C1823)),INDEX(Avulsos!$B$6:$B$205,$C1823),""))</f>
        <v/>
      </c>
      <c r="F1823" s="114" t="str">
        <f aca="false">IF($E1823="","",IF($B1823="Tema",INDEX(Temas!$B$6:$B$305,$C1823)&amp;"",INDEX(Avulsos!$C$6:$C$205,$C1823)&amp;""))</f>
        <v/>
      </c>
      <c r="G1823" s="114" t="str">
        <f aca="false">IF($E1823="","",IF($B1823="Tema",INDEX(Config!$C$6:$C$11,$D1823),"Evento avulso"))</f>
        <v/>
      </c>
      <c r="H1823" s="114" t="str">
        <f aca="false">IF($E1823="","",IF($B1823="Tema",INDEX(Config!$D$6:$D$11,$D1823),IFERROR(INDEX(Config!$E$15:$E$19,MATCH($I1823,Config!$C$15:$C$19,0)),"•")))</f>
        <v/>
      </c>
      <c r="I1823" s="114" t="str">
        <f aca="false">IF($E1823="","",IF($B1823="Tema",INDEX(Config!$E$6:$E$11,$D1823),IF(INDEX(Avulsos!$D$6:$D$205,$C1823)&amp;""="","Outro",INDEX(Avulsos!$D$6:$D$205,$C1823))))</f>
        <v/>
      </c>
      <c r="J1823" s="114" t="str">
        <f aca="false">IF($E1823="","",IF($B1823="Tema",INDEX(Temas!$C$6:$C$305,$C1823)&amp;"",INDEX(Avulsos!$E$6:$E$205,$C1823)&amp;""))</f>
        <v/>
      </c>
      <c r="K1823" s="114" t="str">
        <f aca="false">IF($E1823="","",IF(IF($B1823="Tema",INDEX(Temas!$E$6:$P$305,$C1823,2*$D1823),INDEX(Avulsos!$F$6:$F$205,$C1823))&amp;""="","","✓"))</f>
        <v/>
      </c>
      <c r="L1823" s="114" t="str">
        <f aca="true">IF($E1823="","",IF($K1823="✓","Concluído",IF($E1823&lt;TODAY(),"Atrasado",IF($E1823=TODAY(),"Hoje","Pendente"))))</f>
        <v/>
      </c>
      <c r="M1823" s="114" t="str">
        <f aca="false">IF($E1823="","",IF($K1823="✓","✓ ","")&amp;IF(Config!$E$22="Sim",$H1823&amp;" · ","")&amp;$F1823)</f>
        <v/>
      </c>
      <c r="N1823" s="114" t="str">
        <f aca="false">IF($E1823="","",IFERROR(INDEX(Config!$D$15:$D$19,MATCH($I1823,Config!$C$15:$C$19,0)),"OUT")&amp;IF($K1823="✓","x",""))</f>
        <v/>
      </c>
      <c r="O1823" s="114" t="str">
        <f aca="false">IF($E1823="","",COUNTIF($E$5:$E1823,$E1823))</f>
        <v/>
      </c>
      <c r="P1823" s="114" t="str">
        <f aca="false">IF($E1823="","",$E1823*100+$O1823)</f>
        <v/>
      </c>
      <c r="Q1823" s="114" t="str">
        <f aca="false">IF($L1823="Atrasado",$E1823*10000+$A1823,"")</f>
        <v/>
      </c>
    </row>
    <row r="1824" customFormat="false" ht="15" hidden="false" customHeight="false" outlineLevel="0" collapsed="false">
      <c r="A1824" s="114" t="n">
        <f aca="false">ROW()-4</f>
        <v>1820</v>
      </c>
      <c r="B1824" s="114" t="str">
        <f aca="false">IF(A1824&lt;=Config!$E$27*Config!$E$28,"Tema","Avulso")</f>
        <v>Avulso</v>
      </c>
      <c r="C1824" s="114" t="n">
        <f aca="false">IF(B1824="Tema",INT((A1824-1)/Config!$E$28)+1,A1824-Config!$E$27*Config!$E$28)</f>
        <v>20</v>
      </c>
      <c r="D1824" s="114" t="str">
        <f aca="false">IF(B1824="Tema",MOD(A1824-1,Config!$E$28)+1,"")</f>
        <v/>
      </c>
      <c r="E1824" s="115" t="str">
        <f aca="false">IF($B1824="Tema",IF(ISNUMBER(INDEX(Temas!$E$6:$P$305,$C1824,2*$D1824-1)),INDEX(Temas!$E$6:$P$305,$C1824,2*$D1824-1),""),IF(ISNUMBER(INDEX(Avulsos!$B$6:$B$205,$C1824)),INDEX(Avulsos!$B$6:$B$205,$C1824),""))</f>
        <v/>
      </c>
      <c r="F1824" s="114" t="str">
        <f aca="false">IF($E1824="","",IF($B1824="Tema",INDEX(Temas!$B$6:$B$305,$C1824)&amp;"",INDEX(Avulsos!$C$6:$C$205,$C1824)&amp;""))</f>
        <v/>
      </c>
      <c r="G1824" s="114" t="str">
        <f aca="false">IF($E1824="","",IF($B1824="Tema",INDEX(Config!$C$6:$C$11,$D1824),"Evento avulso"))</f>
        <v/>
      </c>
      <c r="H1824" s="114" t="str">
        <f aca="false">IF($E1824="","",IF($B1824="Tema",INDEX(Config!$D$6:$D$11,$D1824),IFERROR(INDEX(Config!$E$15:$E$19,MATCH($I1824,Config!$C$15:$C$19,0)),"•")))</f>
        <v/>
      </c>
      <c r="I1824" s="114" t="str">
        <f aca="false">IF($E1824="","",IF($B1824="Tema",INDEX(Config!$E$6:$E$11,$D1824),IF(INDEX(Avulsos!$D$6:$D$205,$C1824)&amp;""="","Outro",INDEX(Avulsos!$D$6:$D$205,$C1824))))</f>
        <v/>
      </c>
      <c r="J1824" s="114" t="str">
        <f aca="false">IF($E1824="","",IF($B1824="Tema",INDEX(Temas!$C$6:$C$305,$C1824)&amp;"",INDEX(Avulsos!$E$6:$E$205,$C1824)&amp;""))</f>
        <v/>
      </c>
      <c r="K1824" s="114" t="str">
        <f aca="false">IF($E1824="","",IF(IF($B1824="Tema",INDEX(Temas!$E$6:$P$305,$C1824,2*$D1824),INDEX(Avulsos!$F$6:$F$205,$C1824))&amp;""="","","✓"))</f>
        <v/>
      </c>
      <c r="L1824" s="114" t="str">
        <f aca="true">IF($E1824="","",IF($K1824="✓","Concluído",IF($E1824&lt;TODAY(),"Atrasado",IF($E1824=TODAY(),"Hoje","Pendente"))))</f>
        <v/>
      </c>
      <c r="M1824" s="114" t="str">
        <f aca="false">IF($E1824="","",IF($K1824="✓","✓ ","")&amp;IF(Config!$E$22="Sim",$H1824&amp;" · ","")&amp;$F1824)</f>
        <v/>
      </c>
      <c r="N1824" s="114" t="str">
        <f aca="false">IF($E1824="","",IFERROR(INDEX(Config!$D$15:$D$19,MATCH($I1824,Config!$C$15:$C$19,0)),"OUT")&amp;IF($K1824="✓","x",""))</f>
        <v/>
      </c>
      <c r="O1824" s="114" t="str">
        <f aca="false">IF($E1824="","",COUNTIF($E$5:$E1824,$E1824))</f>
        <v/>
      </c>
      <c r="P1824" s="114" t="str">
        <f aca="false">IF($E1824="","",$E1824*100+$O1824)</f>
        <v/>
      </c>
      <c r="Q1824" s="114" t="str">
        <f aca="false">IF($L1824="Atrasado",$E1824*10000+$A1824,"")</f>
        <v/>
      </c>
    </row>
    <row r="1825" customFormat="false" ht="15" hidden="false" customHeight="false" outlineLevel="0" collapsed="false">
      <c r="A1825" s="114" t="n">
        <f aca="false">ROW()-4</f>
        <v>1821</v>
      </c>
      <c r="B1825" s="114" t="str">
        <f aca="false">IF(A1825&lt;=Config!$E$27*Config!$E$28,"Tema","Avulso")</f>
        <v>Avulso</v>
      </c>
      <c r="C1825" s="114" t="n">
        <f aca="false">IF(B1825="Tema",INT((A1825-1)/Config!$E$28)+1,A1825-Config!$E$27*Config!$E$28)</f>
        <v>21</v>
      </c>
      <c r="D1825" s="114" t="str">
        <f aca="false">IF(B1825="Tema",MOD(A1825-1,Config!$E$28)+1,"")</f>
        <v/>
      </c>
      <c r="E1825" s="115" t="str">
        <f aca="false">IF($B1825="Tema",IF(ISNUMBER(INDEX(Temas!$E$6:$P$305,$C1825,2*$D1825-1)),INDEX(Temas!$E$6:$P$305,$C1825,2*$D1825-1),""),IF(ISNUMBER(INDEX(Avulsos!$B$6:$B$205,$C1825)),INDEX(Avulsos!$B$6:$B$205,$C1825),""))</f>
        <v/>
      </c>
      <c r="F1825" s="114" t="str">
        <f aca="false">IF($E1825="","",IF($B1825="Tema",INDEX(Temas!$B$6:$B$305,$C1825)&amp;"",INDEX(Avulsos!$C$6:$C$205,$C1825)&amp;""))</f>
        <v/>
      </c>
      <c r="G1825" s="114" t="str">
        <f aca="false">IF($E1825="","",IF($B1825="Tema",INDEX(Config!$C$6:$C$11,$D1825),"Evento avulso"))</f>
        <v/>
      </c>
      <c r="H1825" s="114" t="str">
        <f aca="false">IF($E1825="","",IF($B1825="Tema",INDEX(Config!$D$6:$D$11,$D1825),IFERROR(INDEX(Config!$E$15:$E$19,MATCH($I1825,Config!$C$15:$C$19,0)),"•")))</f>
        <v/>
      </c>
      <c r="I1825" s="114" t="str">
        <f aca="false">IF($E1825="","",IF($B1825="Tema",INDEX(Config!$E$6:$E$11,$D1825),IF(INDEX(Avulsos!$D$6:$D$205,$C1825)&amp;""="","Outro",INDEX(Avulsos!$D$6:$D$205,$C1825))))</f>
        <v/>
      </c>
      <c r="J1825" s="114" t="str">
        <f aca="false">IF($E1825="","",IF($B1825="Tema",INDEX(Temas!$C$6:$C$305,$C1825)&amp;"",INDEX(Avulsos!$E$6:$E$205,$C1825)&amp;""))</f>
        <v/>
      </c>
      <c r="K1825" s="114" t="str">
        <f aca="false">IF($E1825="","",IF(IF($B1825="Tema",INDEX(Temas!$E$6:$P$305,$C1825,2*$D1825),INDEX(Avulsos!$F$6:$F$205,$C1825))&amp;""="","","✓"))</f>
        <v/>
      </c>
      <c r="L1825" s="114" t="str">
        <f aca="true">IF($E1825="","",IF($K1825="✓","Concluído",IF($E1825&lt;TODAY(),"Atrasado",IF($E1825=TODAY(),"Hoje","Pendente"))))</f>
        <v/>
      </c>
      <c r="M1825" s="114" t="str">
        <f aca="false">IF($E1825="","",IF($K1825="✓","✓ ","")&amp;IF(Config!$E$22="Sim",$H1825&amp;" · ","")&amp;$F1825)</f>
        <v/>
      </c>
      <c r="N1825" s="114" t="str">
        <f aca="false">IF($E1825="","",IFERROR(INDEX(Config!$D$15:$D$19,MATCH($I1825,Config!$C$15:$C$19,0)),"OUT")&amp;IF($K1825="✓","x",""))</f>
        <v/>
      </c>
      <c r="O1825" s="114" t="str">
        <f aca="false">IF($E1825="","",COUNTIF($E$5:$E1825,$E1825))</f>
        <v/>
      </c>
      <c r="P1825" s="114" t="str">
        <f aca="false">IF($E1825="","",$E1825*100+$O1825)</f>
        <v/>
      </c>
      <c r="Q1825" s="114" t="str">
        <f aca="false">IF($L1825="Atrasado",$E1825*10000+$A1825,"")</f>
        <v/>
      </c>
    </row>
    <row r="1826" customFormat="false" ht="15" hidden="false" customHeight="false" outlineLevel="0" collapsed="false">
      <c r="A1826" s="114" t="n">
        <f aca="false">ROW()-4</f>
        <v>1822</v>
      </c>
      <c r="B1826" s="114" t="str">
        <f aca="false">IF(A1826&lt;=Config!$E$27*Config!$E$28,"Tema","Avulso")</f>
        <v>Avulso</v>
      </c>
      <c r="C1826" s="114" t="n">
        <f aca="false">IF(B1826="Tema",INT((A1826-1)/Config!$E$28)+1,A1826-Config!$E$27*Config!$E$28)</f>
        <v>22</v>
      </c>
      <c r="D1826" s="114" t="str">
        <f aca="false">IF(B1826="Tema",MOD(A1826-1,Config!$E$28)+1,"")</f>
        <v/>
      </c>
      <c r="E1826" s="115" t="str">
        <f aca="false">IF($B1826="Tema",IF(ISNUMBER(INDEX(Temas!$E$6:$P$305,$C1826,2*$D1826-1)),INDEX(Temas!$E$6:$P$305,$C1826,2*$D1826-1),""),IF(ISNUMBER(INDEX(Avulsos!$B$6:$B$205,$C1826)),INDEX(Avulsos!$B$6:$B$205,$C1826),""))</f>
        <v/>
      </c>
      <c r="F1826" s="114" t="str">
        <f aca="false">IF($E1826="","",IF($B1826="Tema",INDEX(Temas!$B$6:$B$305,$C1826)&amp;"",INDEX(Avulsos!$C$6:$C$205,$C1826)&amp;""))</f>
        <v/>
      </c>
      <c r="G1826" s="114" t="str">
        <f aca="false">IF($E1826="","",IF($B1826="Tema",INDEX(Config!$C$6:$C$11,$D1826),"Evento avulso"))</f>
        <v/>
      </c>
      <c r="H1826" s="114" t="str">
        <f aca="false">IF($E1826="","",IF($B1826="Tema",INDEX(Config!$D$6:$D$11,$D1826),IFERROR(INDEX(Config!$E$15:$E$19,MATCH($I1826,Config!$C$15:$C$19,0)),"•")))</f>
        <v/>
      </c>
      <c r="I1826" s="114" t="str">
        <f aca="false">IF($E1826="","",IF($B1826="Tema",INDEX(Config!$E$6:$E$11,$D1826),IF(INDEX(Avulsos!$D$6:$D$205,$C1826)&amp;""="","Outro",INDEX(Avulsos!$D$6:$D$205,$C1826))))</f>
        <v/>
      </c>
      <c r="J1826" s="114" t="str">
        <f aca="false">IF($E1826="","",IF($B1826="Tema",INDEX(Temas!$C$6:$C$305,$C1826)&amp;"",INDEX(Avulsos!$E$6:$E$205,$C1826)&amp;""))</f>
        <v/>
      </c>
      <c r="K1826" s="114" t="str">
        <f aca="false">IF($E1826="","",IF(IF($B1826="Tema",INDEX(Temas!$E$6:$P$305,$C1826,2*$D1826),INDEX(Avulsos!$F$6:$F$205,$C1826))&amp;""="","","✓"))</f>
        <v/>
      </c>
      <c r="L1826" s="114" t="str">
        <f aca="true">IF($E1826="","",IF($K1826="✓","Concluído",IF($E1826&lt;TODAY(),"Atrasado",IF($E1826=TODAY(),"Hoje","Pendente"))))</f>
        <v/>
      </c>
      <c r="M1826" s="114" t="str">
        <f aca="false">IF($E1826="","",IF($K1826="✓","✓ ","")&amp;IF(Config!$E$22="Sim",$H1826&amp;" · ","")&amp;$F1826)</f>
        <v/>
      </c>
      <c r="N1826" s="114" t="str">
        <f aca="false">IF($E1826="","",IFERROR(INDEX(Config!$D$15:$D$19,MATCH($I1826,Config!$C$15:$C$19,0)),"OUT")&amp;IF($K1826="✓","x",""))</f>
        <v/>
      </c>
      <c r="O1826" s="114" t="str">
        <f aca="false">IF($E1826="","",COUNTIF($E$5:$E1826,$E1826))</f>
        <v/>
      </c>
      <c r="P1826" s="114" t="str">
        <f aca="false">IF($E1826="","",$E1826*100+$O1826)</f>
        <v/>
      </c>
      <c r="Q1826" s="114" t="str">
        <f aca="false">IF($L1826="Atrasado",$E1826*10000+$A1826,"")</f>
        <v/>
      </c>
    </row>
    <row r="1827" customFormat="false" ht="15" hidden="false" customHeight="false" outlineLevel="0" collapsed="false">
      <c r="A1827" s="114" t="n">
        <f aca="false">ROW()-4</f>
        <v>1823</v>
      </c>
      <c r="B1827" s="114" t="str">
        <f aca="false">IF(A1827&lt;=Config!$E$27*Config!$E$28,"Tema","Avulso")</f>
        <v>Avulso</v>
      </c>
      <c r="C1827" s="114" t="n">
        <f aca="false">IF(B1827="Tema",INT((A1827-1)/Config!$E$28)+1,A1827-Config!$E$27*Config!$E$28)</f>
        <v>23</v>
      </c>
      <c r="D1827" s="114" t="str">
        <f aca="false">IF(B1827="Tema",MOD(A1827-1,Config!$E$28)+1,"")</f>
        <v/>
      </c>
      <c r="E1827" s="115" t="str">
        <f aca="false">IF($B1827="Tema",IF(ISNUMBER(INDEX(Temas!$E$6:$P$305,$C1827,2*$D1827-1)),INDEX(Temas!$E$6:$P$305,$C1827,2*$D1827-1),""),IF(ISNUMBER(INDEX(Avulsos!$B$6:$B$205,$C1827)),INDEX(Avulsos!$B$6:$B$205,$C1827),""))</f>
        <v/>
      </c>
      <c r="F1827" s="114" t="str">
        <f aca="false">IF($E1827="","",IF($B1827="Tema",INDEX(Temas!$B$6:$B$305,$C1827)&amp;"",INDEX(Avulsos!$C$6:$C$205,$C1827)&amp;""))</f>
        <v/>
      </c>
      <c r="G1827" s="114" t="str">
        <f aca="false">IF($E1827="","",IF($B1827="Tema",INDEX(Config!$C$6:$C$11,$D1827),"Evento avulso"))</f>
        <v/>
      </c>
      <c r="H1827" s="114" t="str">
        <f aca="false">IF($E1827="","",IF($B1827="Tema",INDEX(Config!$D$6:$D$11,$D1827),IFERROR(INDEX(Config!$E$15:$E$19,MATCH($I1827,Config!$C$15:$C$19,0)),"•")))</f>
        <v/>
      </c>
      <c r="I1827" s="114" t="str">
        <f aca="false">IF($E1827="","",IF($B1827="Tema",INDEX(Config!$E$6:$E$11,$D1827),IF(INDEX(Avulsos!$D$6:$D$205,$C1827)&amp;""="","Outro",INDEX(Avulsos!$D$6:$D$205,$C1827))))</f>
        <v/>
      </c>
      <c r="J1827" s="114" t="str">
        <f aca="false">IF($E1827="","",IF($B1827="Tema",INDEX(Temas!$C$6:$C$305,$C1827)&amp;"",INDEX(Avulsos!$E$6:$E$205,$C1827)&amp;""))</f>
        <v/>
      </c>
      <c r="K1827" s="114" t="str">
        <f aca="false">IF($E1827="","",IF(IF($B1827="Tema",INDEX(Temas!$E$6:$P$305,$C1827,2*$D1827),INDEX(Avulsos!$F$6:$F$205,$C1827))&amp;""="","","✓"))</f>
        <v/>
      </c>
      <c r="L1827" s="114" t="str">
        <f aca="true">IF($E1827="","",IF($K1827="✓","Concluído",IF($E1827&lt;TODAY(),"Atrasado",IF($E1827=TODAY(),"Hoje","Pendente"))))</f>
        <v/>
      </c>
      <c r="M1827" s="114" t="str">
        <f aca="false">IF($E1827="","",IF($K1827="✓","✓ ","")&amp;IF(Config!$E$22="Sim",$H1827&amp;" · ","")&amp;$F1827)</f>
        <v/>
      </c>
      <c r="N1827" s="114" t="str">
        <f aca="false">IF($E1827="","",IFERROR(INDEX(Config!$D$15:$D$19,MATCH($I1827,Config!$C$15:$C$19,0)),"OUT")&amp;IF($K1827="✓","x",""))</f>
        <v/>
      </c>
      <c r="O1827" s="114" t="str">
        <f aca="false">IF($E1827="","",COUNTIF($E$5:$E1827,$E1827))</f>
        <v/>
      </c>
      <c r="P1827" s="114" t="str">
        <f aca="false">IF($E1827="","",$E1827*100+$O1827)</f>
        <v/>
      </c>
      <c r="Q1827" s="114" t="str">
        <f aca="false">IF($L1827="Atrasado",$E1827*10000+$A1827,"")</f>
        <v/>
      </c>
    </row>
    <row r="1828" customFormat="false" ht="15" hidden="false" customHeight="false" outlineLevel="0" collapsed="false">
      <c r="A1828" s="114" t="n">
        <f aca="false">ROW()-4</f>
        <v>1824</v>
      </c>
      <c r="B1828" s="114" t="str">
        <f aca="false">IF(A1828&lt;=Config!$E$27*Config!$E$28,"Tema","Avulso")</f>
        <v>Avulso</v>
      </c>
      <c r="C1828" s="114" t="n">
        <f aca="false">IF(B1828="Tema",INT((A1828-1)/Config!$E$28)+1,A1828-Config!$E$27*Config!$E$28)</f>
        <v>24</v>
      </c>
      <c r="D1828" s="114" t="str">
        <f aca="false">IF(B1828="Tema",MOD(A1828-1,Config!$E$28)+1,"")</f>
        <v/>
      </c>
      <c r="E1828" s="115" t="str">
        <f aca="false">IF($B1828="Tema",IF(ISNUMBER(INDEX(Temas!$E$6:$P$305,$C1828,2*$D1828-1)),INDEX(Temas!$E$6:$P$305,$C1828,2*$D1828-1),""),IF(ISNUMBER(INDEX(Avulsos!$B$6:$B$205,$C1828)),INDEX(Avulsos!$B$6:$B$205,$C1828),""))</f>
        <v/>
      </c>
      <c r="F1828" s="114" t="str">
        <f aca="false">IF($E1828="","",IF($B1828="Tema",INDEX(Temas!$B$6:$B$305,$C1828)&amp;"",INDEX(Avulsos!$C$6:$C$205,$C1828)&amp;""))</f>
        <v/>
      </c>
      <c r="G1828" s="114" t="str">
        <f aca="false">IF($E1828="","",IF($B1828="Tema",INDEX(Config!$C$6:$C$11,$D1828),"Evento avulso"))</f>
        <v/>
      </c>
      <c r="H1828" s="114" t="str">
        <f aca="false">IF($E1828="","",IF($B1828="Tema",INDEX(Config!$D$6:$D$11,$D1828),IFERROR(INDEX(Config!$E$15:$E$19,MATCH($I1828,Config!$C$15:$C$19,0)),"•")))</f>
        <v/>
      </c>
      <c r="I1828" s="114" t="str">
        <f aca="false">IF($E1828="","",IF($B1828="Tema",INDEX(Config!$E$6:$E$11,$D1828),IF(INDEX(Avulsos!$D$6:$D$205,$C1828)&amp;""="","Outro",INDEX(Avulsos!$D$6:$D$205,$C1828))))</f>
        <v/>
      </c>
      <c r="J1828" s="114" t="str">
        <f aca="false">IF($E1828="","",IF($B1828="Tema",INDEX(Temas!$C$6:$C$305,$C1828)&amp;"",INDEX(Avulsos!$E$6:$E$205,$C1828)&amp;""))</f>
        <v/>
      </c>
      <c r="K1828" s="114" t="str">
        <f aca="false">IF($E1828="","",IF(IF($B1828="Tema",INDEX(Temas!$E$6:$P$305,$C1828,2*$D1828),INDEX(Avulsos!$F$6:$F$205,$C1828))&amp;""="","","✓"))</f>
        <v/>
      </c>
      <c r="L1828" s="114" t="str">
        <f aca="true">IF($E1828="","",IF($K1828="✓","Concluído",IF($E1828&lt;TODAY(),"Atrasado",IF($E1828=TODAY(),"Hoje","Pendente"))))</f>
        <v/>
      </c>
      <c r="M1828" s="114" t="str">
        <f aca="false">IF($E1828="","",IF($K1828="✓","✓ ","")&amp;IF(Config!$E$22="Sim",$H1828&amp;" · ","")&amp;$F1828)</f>
        <v/>
      </c>
      <c r="N1828" s="114" t="str">
        <f aca="false">IF($E1828="","",IFERROR(INDEX(Config!$D$15:$D$19,MATCH($I1828,Config!$C$15:$C$19,0)),"OUT")&amp;IF($K1828="✓","x",""))</f>
        <v/>
      </c>
      <c r="O1828" s="114" t="str">
        <f aca="false">IF($E1828="","",COUNTIF($E$5:$E1828,$E1828))</f>
        <v/>
      </c>
      <c r="P1828" s="114" t="str">
        <f aca="false">IF($E1828="","",$E1828*100+$O1828)</f>
        <v/>
      </c>
      <c r="Q1828" s="114" t="str">
        <f aca="false">IF($L1828="Atrasado",$E1828*10000+$A1828,"")</f>
        <v/>
      </c>
    </row>
    <row r="1829" customFormat="false" ht="15" hidden="false" customHeight="false" outlineLevel="0" collapsed="false">
      <c r="A1829" s="114" t="n">
        <f aca="false">ROW()-4</f>
        <v>1825</v>
      </c>
      <c r="B1829" s="114" t="str">
        <f aca="false">IF(A1829&lt;=Config!$E$27*Config!$E$28,"Tema","Avulso")</f>
        <v>Avulso</v>
      </c>
      <c r="C1829" s="114" t="n">
        <f aca="false">IF(B1829="Tema",INT((A1829-1)/Config!$E$28)+1,A1829-Config!$E$27*Config!$E$28)</f>
        <v>25</v>
      </c>
      <c r="D1829" s="114" t="str">
        <f aca="false">IF(B1829="Tema",MOD(A1829-1,Config!$E$28)+1,"")</f>
        <v/>
      </c>
      <c r="E1829" s="115" t="str">
        <f aca="false">IF($B1829="Tema",IF(ISNUMBER(INDEX(Temas!$E$6:$P$305,$C1829,2*$D1829-1)),INDEX(Temas!$E$6:$P$305,$C1829,2*$D1829-1),""),IF(ISNUMBER(INDEX(Avulsos!$B$6:$B$205,$C1829)),INDEX(Avulsos!$B$6:$B$205,$C1829),""))</f>
        <v/>
      </c>
      <c r="F1829" s="114" t="str">
        <f aca="false">IF($E1829="","",IF($B1829="Tema",INDEX(Temas!$B$6:$B$305,$C1829)&amp;"",INDEX(Avulsos!$C$6:$C$205,$C1829)&amp;""))</f>
        <v/>
      </c>
      <c r="G1829" s="114" t="str">
        <f aca="false">IF($E1829="","",IF($B1829="Tema",INDEX(Config!$C$6:$C$11,$D1829),"Evento avulso"))</f>
        <v/>
      </c>
      <c r="H1829" s="114" t="str">
        <f aca="false">IF($E1829="","",IF($B1829="Tema",INDEX(Config!$D$6:$D$11,$D1829),IFERROR(INDEX(Config!$E$15:$E$19,MATCH($I1829,Config!$C$15:$C$19,0)),"•")))</f>
        <v/>
      </c>
      <c r="I1829" s="114" t="str">
        <f aca="false">IF($E1829="","",IF($B1829="Tema",INDEX(Config!$E$6:$E$11,$D1829),IF(INDEX(Avulsos!$D$6:$D$205,$C1829)&amp;""="","Outro",INDEX(Avulsos!$D$6:$D$205,$C1829))))</f>
        <v/>
      </c>
      <c r="J1829" s="114" t="str">
        <f aca="false">IF($E1829="","",IF($B1829="Tema",INDEX(Temas!$C$6:$C$305,$C1829)&amp;"",INDEX(Avulsos!$E$6:$E$205,$C1829)&amp;""))</f>
        <v/>
      </c>
      <c r="K1829" s="114" t="str">
        <f aca="false">IF($E1829="","",IF(IF($B1829="Tema",INDEX(Temas!$E$6:$P$305,$C1829,2*$D1829),INDEX(Avulsos!$F$6:$F$205,$C1829))&amp;""="","","✓"))</f>
        <v/>
      </c>
      <c r="L1829" s="114" t="str">
        <f aca="true">IF($E1829="","",IF($K1829="✓","Concluído",IF($E1829&lt;TODAY(),"Atrasado",IF($E1829=TODAY(),"Hoje","Pendente"))))</f>
        <v/>
      </c>
      <c r="M1829" s="114" t="str">
        <f aca="false">IF($E1829="","",IF($K1829="✓","✓ ","")&amp;IF(Config!$E$22="Sim",$H1829&amp;" · ","")&amp;$F1829)</f>
        <v/>
      </c>
      <c r="N1829" s="114" t="str">
        <f aca="false">IF($E1829="","",IFERROR(INDEX(Config!$D$15:$D$19,MATCH($I1829,Config!$C$15:$C$19,0)),"OUT")&amp;IF($K1829="✓","x",""))</f>
        <v/>
      </c>
      <c r="O1829" s="114" t="str">
        <f aca="false">IF($E1829="","",COUNTIF($E$5:$E1829,$E1829))</f>
        <v/>
      </c>
      <c r="P1829" s="114" t="str">
        <f aca="false">IF($E1829="","",$E1829*100+$O1829)</f>
        <v/>
      </c>
      <c r="Q1829" s="114" t="str">
        <f aca="false">IF($L1829="Atrasado",$E1829*10000+$A1829,"")</f>
        <v/>
      </c>
    </row>
    <row r="1830" customFormat="false" ht="15" hidden="false" customHeight="false" outlineLevel="0" collapsed="false">
      <c r="A1830" s="114" t="n">
        <f aca="false">ROW()-4</f>
        <v>1826</v>
      </c>
      <c r="B1830" s="114" t="str">
        <f aca="false">IF(A1830&lt;=Config!$E$27*Config!$E$28,"Tema","Avulso")</f>
        <v>Avulso</v>
      </c>
      <c r="C1830" s="114" t="n">
        <f aca="false">IF(B1830="Tema",INT((A1830-1)/Config!$E$28)+1,A1830-Config!$E$27*Config!$E$28)</f>
        <v>26</v>
      </c>
      <c r="D1830" s="114" t="str">
        <f aca="false">IF(B1830="Tema",MOD(A1830-1,Config!$E$28)+1,"")</f>
        <v/>
      </c>
      <c r="E1830" s="115" t="str">
        <f aca="false">IF($B1830="Tema",IF(ISNUMBER(INDEX(Temas!$E$6:$P$305,$C1830,2*$D1830-1)),INDEX(Temas!$E$6:$P$305,$C1830,2*$D1830-1),""),IF(ISNUMBER(INDEX(Avulsos!$B$6:$B$205,$C1830)),INDEX(Avulsos!$B$6:$B$205,$C1830),""))</f>
        <v/>
      </c>
      <c r="F1830" s="114" t="str">
        <f aca="false">IF($E1830="","",IF($B1830="Tema",INDEX(Temas!$B$6:$B$305,$C1830)&amp;"",INDEX(Avulsos!$C$6:$C$205,$C1830)&amp;""))</f>
        <v/>
      </c>
      <c r="G1830" s="114" t="str">
        <f aca="false">IF($E1830="","",IF($B1830="Tema",INDEX(Config!$C$6:$C$11,$D1830),"Evento avulso"))</f>
        <v/>
      </c>
      <c r="H1830" s="114" t="str">
        <f aca="false">IF($E1830="","",IF($B1830="Tema",INDEX(Config!$D$6:$D$11,$D1830),IFERROR(INDEX(Config!$E$15:$E$19,MATCH($I1830,Config!$C$15:$C$19,0)),"•")))</f>
        <v/>
      </c>
      <c r="I1830" s="114" t="str">
        <f aca="false">IF($E1830="","",IF($B1830="Tema",INDEX(Config!$E$6:$E$11,$D1830),IF(INDEX(Avulsos!$D$6:$D$205,$C1830)&amp;""="","Outro",INDEX(Avulsos!$D$6:$D$205,$C1830))))</f>
        <v/>
      </c>
      <c r="J1830" s="114" t="str">
        <f aca="false">IF($E1830="","",IF($B1830="Tema",INDEX(Temas!$C$6:$C$305,$C1830)&amp;"",INDEX(Avulsos!$E$6:$E$205,$C1830)&amp;""))</f>
        <v/>
      </c>
      <c r="K1830" s="114" t="str">
        <f aca="false">IF($E1830="","",IF(IF($B1830="Tema",INDEX(Temas!$E$6:$P$305,$C1830,2*$D1830),INDEX(Avulsos!$F$6:$F$205,$C1830))&amp;""="","","✓"))</f>
        <v/>
      </c>
      <c r="L1830" s="114" t="str">
        <f aca="true">IF($E1830="","",IF($K1830="✓","Concluído",IF($E1830&lt;TODAY(),"Atrasado",IF($E1830=TODAY(),"Hoje","Pendente"))))</f>
        <v/>
      </c>
      <c r="M1830" s="114" t="str">
        <f aca="false">IF($E1830="","",IF($K1830="✓","✓ ","")&amp;IF(Config!$E$22="Sim",$H1830&amp;" · ","")&amp;$F1830)</f>
        <v/>
      </c>
      <c r="N1830" s="114" t="str">
        <f aca="false">IF($E1830="","",IFERROR(INDEX(Config!$D$15:$D$19,MATCH($I1830,Config!$C$15:$C$19,0)),"OUT")&amp;IF($K1830="✓","x",""))</f>
        <v/>
      </c>
      <c r="O1830" s="114" t="str">
        <f aca="false">IF($E1830="","",COUNTIF($E$5:$E1830,$E1830))</f>
        <v/>
      </c>
      <c r="P1830" s="114" t="str">
        <f aca="false">IF($E1830="","",$E1830*100+$O1830)</f>
        <v/>
      </c>
      <c r="Q1830" s="114" t="str">
        <f aca="false">IF($L1830="Atrasado",$E1830*10000+$A1830,"")</f>
        <v/>
      </c>
    </row>
    <row r="1831" customFormat="false" ht="15" hidden="false" customHeight="false" outlineLevel="0" collapsed="false">
      <c r="A1831" s="114" t="n">
        <f aca="false">ROW()-4</f>
        <v>1827</v>
      </c>
      <c r="B1831" s="114" t="str">
        <f aca="false">IF(A1831&lt;=Config!$E$27*Config!$E$28,"Tema","Avulso")</f>
        <v>Avulso</v>
      </c>
      <c r="C1831" s="114" t="n">
        <f aca="false">IF(B1831="Tema",INT((A1831-1)/Config!$E$28)+1,A1831-Config!$E$27*Config!$E$28)</f>
        <v>27</v>
      </c>
      <c r="D1831" s="114" t="str">
        <f aca="false">IF(B1831="Tema",MOD(A1831-1,Config!$E$28)+1,"")</f>
        <v/>
      </c>
      <c r="E1831" s="115" t="str">
        <f aca="false">IF($B1831="Tema",IF(ISNUMBER(INDEX(Temas!$E$6:$P$305,$C1831,2*$D1831-1)),INDEX(Temas!$E$6:$P$305,$C1831,2*$D1831-1),""),IF(ISNUMBER(INDEX(Avulsos!$B$6:$B$205,$C1831)),INDEX(Avulsos!$B$6:$B$205,$C1831),""))</f>
        <v/>
      </c>
      <c r="F1831" s="114" t="str">
        <f aca="false">IF($E1831="","",IF($B1831="Tema",INDEX(Temas!$B$6:$B$305,$C1831)&amp;"",INDEX(Avulsos!$C$6:$C$205,$C1831)&amp;""))</f>
        <v/>
      </c>
      <c r="G1831" s="114" t="str">
        <f aca="false">IF($E1831="","",IF($B1831="Tema",INDEX(Config!$C$6:$C$11,$D1831),"Evento avulso"))</f>
        <v/>
      </c>
      <c r="H1831" s="114" t="str">
        <f aca="false">IF($E1831="","",IF($B1831="Tema",INDEX(Config!$D$6:$D$11,$D1831),IFERROR(INDEX(Config!$E$15:$E$19,MATCH($I1831,Config!$C$15:$C$19,0)),"•")))</f>
        <v/>
      </c>
      <c r="I1831" s="114" t="str">
        <f aca="false">IF($E1831="","",IF($B1831="Tema",INDEX(Config!$E$6:$E$11,$D1831),IF(INDEX(Avulsos!$D$6:$D$205,$C1831)&amp;""="","Outro",INDEX(Avulsos!$D$6:$D$205,$C1831))))</f>
        <v/>
      </c>
      <c r="J1831" s="114" t="str">
        <f aca="false">IF($E1831="","",IF($B1831="Tema",INDEX(Temas!$C$6:$C$305,$C1831)&amp;"",INDEX(Avulsos!$E$6:$E$205,$C1831)&amp;""))</f>
        <v/>
      </c>
      <c r="K1831" s="114" t="str">
        <f aca="false">IF($E1831="","",IF(IF($B1831="Tema",INDEX(Temas!$E$6:$P$305,$C1831,2*$D1831),INDEX(Avulsos!$F$6:$F$205,$C1831))&amp;""="","","✓"))</f>
        <v/>
      </c>
      <c r="L1831" s="114" t="str">
        <f aca="true">IF($E1831="","",IF($K1831="✓","Concluído",IF($E1831&lt;TODAY(),"Atrasado",IF($E1831=TODAY(),"Hoje","Pendente"))))</f>
        <v/>
      </c>
      <c r="M1831" s="114" t="str">
        <f aca="false">IF($E1831="","",IF($K1831="✓","✓ ","")&amp;IF(Config!$E$22="Sim",$H1831&amp;" · ","")&amp;$F1831)</f>
        <v/>
      </c>
      <c r="N1831" s="114" t="str">
        <f aca="false">IF($E1831="","",IFERROR(INDEX(Config!$D$15:$D$19,MATCH($I1831,Config!$C$15:$C$19,0)),"OUT")&amp;IF($K1831="✓","x",""))</f>
        <v/>
      </c>
      <c r="O1831" s="114" t="str">
        <f aca="false">IF($E1831="","",COUNTIF($E$5:$E1831,$E1831))</f>
        <v/>
      </c>
      <c r="P1831" s="114" t="str">
        <f aca="false">IF($E1831="","",$E1831*100+$O1831)</f>
        <v/>
      </c>
      <c r="Q1831" s="114" t="str">
        <f aca="false">IF($L1831="Atrasado",$E1831*10000+$A1831,"")</f>
        <v/>
      </c>
    </row>
    <row r="1832" customFormat="false" ht="15" hidden="false" customHeight="false" outlineLevel="0" collapsed="false">
      <c r="A1832" s="114" t="n">
        <f aca="false">ROW()-4</f>
        <v>1828</v>
      </c>
      <c r="B1832" s="114" t="str">
        <f aca="false">IF(A1832&lt;=Config!$E$27*Config!$E$28,"Tema","Avulso")</f>
        <v>Avulso</v>
      </c>
      <c r="C1832" s="114" t="n">
        <f aca="false">IF(B1832="Tema",INT((A1832-1)/Config!$E$28)+1,A1832-Config!$E$27*Config!$E$28)</f>
        <v>28</v>
      </c>
      <c r="D1832" s="114" t="str">
        <f aca="false">IF(B1832="Tema",MOD(A1832-1,Config!$E$28)+1,"")</f>
        <v/>
      </c>
      <c r="E1832" s="115" t="str">
        <f aca="false">IF($B1832="Tema",IF(ISNUMBER(INDEX(Temas!$E$6:$P$305,$C1832,2*$D1832-1)),INDEX(Temas!$E$6:$P$305,$C1832,2*$D1832-1),""),IF(ISNUMBER(INDEX(Avulsos!$B$6:$B$205,$C1832)),INDEX(Avulsos!$B$6:$B$205,$C1832),""))</f>
        <v/>
      </c>
      <c r="F1832" s="114" t="str">
        <f aca="false">IF($E1832="","",IF($B1832="Tema",INDEX(Temas!$B$6:$B$305,$C1832)&amp;"",INDEX(Avulsos!$C$6:$C$205,$C1832)&amp;""))</f>
        <v/>
      </c>
      <c r="G1832" s="114" t="str">
        <f aca="false">IF($E1832="","",IF($B1832="Tema",INDEX(Config!$C$6:$C$11,$D1832),"Evento avulso"))</f>
        <v/>
      </c>
      <c r="H1832" s="114" t="str">
        <f aca="false">IF($E1832="","",IF($B1832="Tema",INDEX(Config!$D$6:$D$11,$D1832),IFERROR(INDEX(Config!$E$15:$E$19,MATCH($I1832,Config!$C$15:$C$19,0)),"•")))</f>
        <v/>
      </c>
      <c r="I1832" s="114" t="str">
        <f aca="false">IF($E1832="","",IF($B1832="Tema",INDEX(Config!$E$6:$E$11,$D1832),IF(INDEX(Avulsos!$D$6:$D$205,$C1832)&amp;""="","Outro",INDEX(Avulsos!$D$6:$D$205,$C1832))))</f>
        <v/>
      </c>
      <c r="J1832" s="114" t="str">
        <f aca="false">IF($E1832="","",IF($B1832="Tema",INDEX(Temas!$C$6:$C$305,$C1832)&amp;"",INDEX(Avulsos!$E$6:$E$205,$C1832)&amp;""))</f>
        <v/>
      </c>
      <c r="K1832" s="114" t="str">
        <f aca="false">IF($E1832="","",IF(IF($B1832="Tema",INDEX(Temas!$E$6:$P$305,$C1832,2*$D1832),INDEX(Avulsos!$F$6:$F$205,$C1832))&amp;""="","","✓"))</f>
        <v/>
      </c>
      <c r="L1832" s="114" t="str">
        <f aca="true">IF($E1832="","",IF($K1832="✓","Concluído",IF($E1832&lt;TODAY(),"Atrasado",IF($E1832=TODAY(),"Hoje","Pendente"))))</f>
        <v/>
      </c>
      <c r="M1832" s="114" t="str">
        <f aca="false">IF($E1832="","",IF($K1832="✓","✓ ","")&amp;IF(Config!$E$22="Sim",$H1832&amp;" · ","")&amp;$F1832)</f>
        <v/>
      </c>
      <c r="N1832" s="114" t="str">
        <f aca="false">IF($E1832="","",IFERROR(INDEX(Config!$D$15:$D$19,MATCH($I1832,Config!$C$15:$C$19,0)),"OUT")&amp;IF($K1832="✓","x",""))</f>
        <v/>
      </c>
      <c r="O1832" s="114" t="str">
        <f aca="false">IF($E1832="","",COUNTIF($E$5:$E1832,$E1832))</f>
        <v/>
      </c>
      <c r="P1832" s="114" t="str">
        <f aca="false">IF($E1832="","",$E1832*100+$O1832)</f>
        <v/>
      </c>
      <c r="Q1832" s="114" t="str">
        <f aca="false">IF($L1832="Atrasado",$E1832*10000+$A1832,"")</f>
        <v/>
      </c>
    </row>
    <row r="1833" customFormat="false" ht="15" hidden="false" customHeight="false" outlineLevel="0" collapsed="false">
      <c r="A1833" s="114" t="n">
        <f aca="false">ROW()-4</f>
        <v>1829</v>
      </c>
      <c r="B1833" s="114" t="str">
        <f aca="false">IF(A1833&lt;=Config!$E$27*Config!$E$28,"Tema","Avulso")</f>
        <v>Avulso</v>
      </c>
      <c r="C1833" s="114" t="n">
        <f aca="false">IF(B1833="Tema",INT((A1833-1)/Config!$E$28)+1,A1833-Config!$E$27*Config!$E$28)</f>
        <v>29</v>
      </c>
      <c r="D1833" s="114" t="str">
        <f aca="false">IF(B1833="Tema",MOD(A1833-1,Config!$E$28)+1,"")</f>
        <v/>
      </c>
      <c r="E1833" s="115" t="str">
        <f aca="false">IF($B1833="Tema",IF(ISNUMBER(INDEX(Temas!$E$6:$P$305,$C1833,2*$D1833-1)),INDEX(Temas!$E$6:$P$305,$C1833,2*$D1833-1),""),IF(ISNUMBER(INDEX(Avulsos!$B$6:$B$205,$C1833)),INDEX(Avulsos!$B$6:$B$205,$C1833),""))</f>
        <v/>
      </c>
      <c r="F1833" s="114" t="str">
        <f aca="false">IF($E1833="","",IF($B1833="Tema",INDEX(Temas!$B$6:$B$305,$C1833)&amp;"",INDEX(Avulsos!$C$6:$C$205,$C1833)&amp;""))</f>
        <v/>
      </c>
      <c r="G1833" s="114" t="str">
        <f aca="false">IF($E1833="","",IF($B1833="Tema",INDEX(Config!$C$6:$C$11,$D1833),"Evento avulso"))</f>
        <v/>
      </c>
      <c r="H1833" s="114" t="str">
        <f aca="false">IF($E1833="","",IF($B1833="Tema",INDEX(Config!$D$6:$D$11,$D1833),IFERROR(INDEX(Config!$E$15:$E$19,MATCH($I1833,Config!$C$15:$C$19,0)),"•")))</f>
        <v/>
      </c>
      <c r="I1833" s="114" t="str">
        <f aca="false">IF($E1833="","",IF($B1833="Tema",INDEX(Config!$E$6:$E$11,$D1833),IF(INDEX(Avulsos!$D$6:$D$205,$C1833)&amp;""="","Outro",INDEX(Avulsos!$D$6:$D$205,$C1833))))</f>
        <v/>
      </c>
      <c r="J1833" s="114" t="str">
        <f aca="false">IF($E1833="","",IF($B1833="Tema",INDEX(Temas!$C$6:$C$305,$C1833)&amp;"",INDEX(Avulsos!$E$6:$E$205,$C1833)&amp;""))</f>
        <v/>
      </c>
      <c r="K1833" s="114" t="str">
        <f aca="false">IF($E1833="","",IF(IF($B1833="Tema",INDEX(Temas!$E$6:$P$305,$C1833,2*$D1833),INDEX(Avulsos!$F$6:$F$205,$C1833))&amp;""="","","✓"))</f>
        <v/>
      </c>
      <c r="L1833" s="114" t="str">
        <f aca="true">IF($E1833="","",IF($K1833="✓","Concluído",IF($E1833&lt;TODAY(),"Atrasado",IF($E1833=TODAY(),"Hoje","Pendente"))))</f>
        <v/>
      </c>
      <c r="M1833" s="114" t="str">
        <f aca="false">IF($E1833="","",IF($K1833="✓","✓ ","")&amp;IF(Config!$E$22="Sim",$H1833&amp;" · ","")&amp;$F1833)</f>
        <v/>
      </c>
      <c r="N1833" s="114" t="str">
        <f aca="false">IF($E1833="","",IFERROR(INDEX(Config!$D$15:$D$19,MATCH($I1833,Config!$C$15:$C$19,0)),"OUT")&amp;IF($K1833="✓","x",""))</f>
        <v/>
      </c>
      <c r="O1833" s="114" t="str">
        <f aca="false">IF($E1833="","",COUNTIF($E$5:$E1833,$E1833))</f>
        <v/>
      </c>
      <c r="P1833" s="114" t="str">
        <f aca="false">IF($E1833="","",$E1833*100+$O1833)</f>
        <v/>
      </c>
      <c r="Q1833" s="114" t="str">
        <f aca="false">IF($L1833="Atrasado",$E1833*10000+$A1833,"")</f>
        <v/>
      </c>
    </row>
    <row r="1834" customFormat="false" ht="15" hidden="false" customHeight="false" outlineLevel="0" collapsed="false">
      <c r="A1834" s="114" t="n">
        <f aca="false">ROW()-4</f>
        <v>1830</v>
      </c>
      <c r="B1834" s="114" t="str">
        <f aca="false">IF(A1834&lt;=Config!$E$27*Config!$E$28,"Tema","Avulso")</f>
        <v>Avulso</v>
      </c>
      <c r="C1834" s="114" t="n">
        <f aca="false">IF(B1834="Tema",INT((A1834-1)/Config!$E$28)+1,A1834-Config!$E$27*Config!$E$28)</f>
        <v>30</v>
      </c>
      <c r="D1834" s="114" t="str">
        <f aca="false">IF(B1834="Tema",MOD(A1834-1,Config!$E$28)+1,"")</f>
        <v/>
      </c>
      <c r="E1834" s="115" t="str">
        <f aca="false">IF($B1834="Tema",IF(ISNUMBER(INDEX(Temas!$E$6:$P$305,$C1834,2*$D1834-1)),INDEX(Temas!$E$6:$P$305,$C1834,2*$D1834-1),""),IF(ISNUMBER(INDEX(Avulsos!$B$6:$B$205,$C1834)),INDEX(Avulsos!$B$6:$B$205,$C1834),""))</f>
        <v/>
      </c>
      <c r="F1834" s="114" t="str">
        <f aca="false">IF($E1834="","",IF($B1834="Tema",INDEX(Temas!$B$6:$B$305,$C1834)&amp;"",INDEX(Avulsos!$C$6:$C$205,$C1834)&amp;""))</f>
        <v/>
      </c>
      <c r="G1834" s="114" t="str">
        <f aca="false">IF($E1834="","",IF($B1834="Tema",INDEX(Config!$C$6:$C$11,$D1834),"Evento avulso"))</f>
        <v/>
      </c>
      <c r="H1834" s="114" t="str">
        <f aca="false">IF($E1834="","",IF($B1834="Tema",INDEX(Config!$D$6:$D$11,$D1834),IFERROR(INDEX(Config!$E$15:$E$19,MATCH($I1834,Config!$C$15:$C$19,0)),"•")))</f>
        <v/>
      </c>
      <c r="I1834" s="114" t="str">
        <f aca="false">IF($E1834="","",IF($B1834="Tema",INDEX(Config!$E$6:$E$11,$D1834),IF(INDEX(Avulsos!$D$6:$D$205,$C1834)&amp;""="","Outro",INDEX(Avulsos!$D$6:$D$205,$C1834))))</f>
        <v/>
      </c>
      <c r="J1834" s="114" t="str">
        <f aca="false">IF($E1834="","",IF($B1834="Tema",INDEX(Temas!$C$6:$C$305,$C1834)&amp;"",INDEX(Avulsos!$E$6:$E$205,$C1834)&amp;""))</f>
        <v/>
      </c>
      <c r="K1834" s="114" t="str">
        <f aca="false">IF($E1834="","",IF(IF($B1834="Tema",INDEX(Temas!$E$6:$P$305,$C1834,2*$D1834),INDEX(Avulsos!$F$6:$F$205,$C1834))&amp;""="","","✓"))</f>
        <v/>
      </c>
      <c r="L1834" s="114" t="str">
        <f aca="true">IF($E1834="","",IF($K1834="✓","Concluído",IF($E1834&lt;TODAY(),"Atrasado",IF($E1834=TODAY(),"Hoje","Pendente"))))</f>
        <v/>
      </c>
      <c r="M1834" s="114" t="str">
        <f aca="false">IF($E1834="","",IF($K1834="✓","✓ ","")&amp;IF(Config!$E$22="Sim",$H1834&amp;" · ","")&amp;$F1834)</f>
        <v/>
      </c>
      <c r="N1834" s="114" t="str">
        <f aca="false">IF($E1834="","",IFERROR(INDEX(Config!$D$15:$D$19,MATCH($I1834,Config!$C$15:$C$19,0)),"OUT")&amp;IF($K1834="✓","x",""))</f>
        <v/>
      </c>
      <c r="O1834" s="114" t="str">
        <f aca="false">IF($E1834="","",COUNTIF($E$5:$E1834,$E1834))</f>
        <v/>
      </c>
      <c r="P1834" s="114" t="str">
        <f aca="false">IF($E1834="","",$E1834*100+$O1834)</f>
        <v/>
      </c>
      <c r="Q1834" s="114" t="str">
        <f aca="false">IF($L1834="Atrasado",$E1834*10000+$A1834,"")</f>
        <v/>
      </c>
    </row>
    <row r="1835" customFormat="false" ht="15" hidden="false" customHeight="false" outlineLevel="0" collapsed="false">
      <c r="A1835" s="114" t="n">
        <f aca="false">ROW()-4</f>
        <v>1831</v>
      </c>
      <c r="B1835" s="114" t="str">
        <f aca="false">IF(A1835&lt;=Config!$E$27*Config!$E$28,"Tema","Avulso")</f>
        <v>Avulso</v>
      </c>
      <c r="C1835" s="114" t="n">
        <f aca="false">IF(B1835="Tema",INT((A1835-1)/Config!$E$28)+1,A1835-Config!$E$27*Config!$E$28)</f>
        <v>31</v>
      </c>
      <c r="D1835" s="114" t="str">
        <f aca="false">IF(B1835="Tema",MOD(A1835-1,Config!$E$28)+1,"")</f>
        <v/>
      </c>
      <c r="E1835" s="115" t="str">
        <f aca="false">IF($B1835="Tema",IF(ISNUMBER(INDEX(Temas!$E$6:$P$305,$C1835,2*$D1835-1)),INDEX(Temas!$E$6:$P$305,$C1835,2*$D1835-1),""),IF(ISNUMBER(INDEX(Avulsos!$B$6:$B$205,$C1835)),INDEX(Avulsos!$B$6:$B$205,$C1835),""))</f>
        <v/>
      </c>
      <c r="F1835" s="114" t="str">
        <f aca="false">IF($E1835="","",IF($B1835="Tema",INDEX(Temas!$B$6:$B$305,$C1835)&amp;"",INDEX(Avulsos!$C$6:$C$205,$C1835)&amp;""))</f>
        <v/>
      </c>
      <c r="G1835" s="114" t="str">
        <f aca="false">IF($E1835="","",IF($B1835="Tema",INDEX(Config!$C$6:$C$11,$D1835),"Evento avulso"))</f>
        <v/>
      </c>
      <c r="H1835" s="114" t="str">
        <f aca="false">IF($E1835="","",IF($B1835="Tema",INDEX(Config!$D$6:$D$11,$D1835),IFERROR(INDEX(Config!$E$15:$E$19,MATCH($I1835,Config!$C$15:$C$19,0)),"•")))</f>
        <v/>
      </c>
      <c r="I1835" s="114" t="str">
        <f aca="false">IF($E1835="","",IF($B1835="Tema",INDEX(Config!$E$6:$E$11,$D1835),IF(INDEX(Avulsos!$D$6:$D$205,$C1835)&amp;""="","Outro",INDEX(Avulsos!$D$6:$D$205,$C1835))))</f>
        <v/>
      </c>
      <c r="J1835" s="114" t="str">
        <f aca="false">IF($E1835="","",IF($B1835="Tema",INDEX(Temas!$C$6:$C$305,$C1835)&amp;"",INDEX(Avulsos!$E$6:$E$205,$C1835)&amp;""))</f>
        <v/>
      </c>
      <c r="K1835" s="114" t="str">
        <f aca="false">IF($E1835="","",IF(IF($B1835="Tema",INDEX(Temas!$E$6:$P$305,$C1835,2*$D1835),INDEX(Avulsos!$F$6:$F$205,$C1835))&amp;""="","","✓"))</f>
        <v/>
      </c>
      <c r="L1835" s="114" t="str">
        <f aca="true">IF($E1835="","",IF($K1835="✓","Concluído",IF($E1835&lt;TODAY(),"Atrasado",IF($E1835=TODAY(),"Hoje","Pendente"))))</f>
        <v/>
      </c>
      <c r="M1835" s="114" t="str">
        <f aca="false">IF($E1835="","",IF($K1835="✓","✓ ","")&amp;IF(Config!$E$22="Sim",$H1835&amp;" · ","")&amp;$F1835)</f>
        <v/>
      </c>
      <c r="N1835" s="114" t="str">
        <f aca="false">IF($E1835="","",IFERROR(INDEX(Config!$D$15:$D$19,MATCH($I1835,Config!$C$15:$C$19,0)),"OUT")&amp;IF($K1835="✓","x",""))</f>
        <v/>
      </c>
      <c r="O1835" s="114" t="str">
        <f aca="false">IF($E1835="","",COUNTIF($E$5:$E1835,$E1835))</f>
        <v/>
      </c>
      <c r="P1835" s="114" t="str">
        <f aca="false">IF($E1835="","",$E1835*100+$O1835)</f>
        <v/>
      </c>
      <c r="Q1835" s="114" t="str">
        <f aca="false">IF($L1835="Atrasado",$E1835*10000+$A1835,"")</f>
        <v/>
      </c>
    </row>
    <row r="1836" customFormat="false" ht="15" hidden="false" customHeight="false" outlineLevel="0" collapsed="false">
      <c r="A1836" s="114" t="n">
        <f aca="false">ROW()-4</f>
        <v>1832</v>
      </c>
      <c r="B1836" s="114" t="str">
        <f aca="false">IF(A1836&lt;=Config!$E$27*Config!$E$28,"Tema","Avulso")</f>
        <v>Avulso</v>
      </c>
      <c r="C1836" s="114" t="n">
        <f aca="false">IF(B1836="Tema",INT((A1836-1)/Config!$E$28)+1,A1836-Config!$E$27*Config!$E$28)</f>
        <v>32</v>
      </c>
      <c r="D1836" s="114" t="str">
        <f aca="false">IF(B1836="Tema",MOD(A1836-1,Config!$E$28)+1,"")</f>
        <v/>
      </c>
      <c r="E1836" s="115" t="str">
        <f aca="false">IF($B1836="Tema",IF(ISNUMBER(INDEX(Temas!$E$6:$P$305,$C1836,2*$D1836-1)),INDEX(Temas!$E$6:$P$305,$C1836,2*$D1836-1),""),IF(ISNUMBER(INDEX(Avulsos!$B$6:$B$205,$C1836)),INDEX(Avulsos!$B$6:$B$205,$C1836),""))</f>
        <v/>
      </c>
      <c r="F1836" s="114" t="str">
        <f aca="false">IF($E1836="","",IF($B1836="Tema",INDEX(Temas!$B$6:$B$305,$C1836)&amp;"",INDEX(Avulsos!$C$6:$C$205,$C1836)&amp;""))</f>
        <v/>
      </c>
      <c r="G1836" s="114" t="str">
        <f aca="false">IF($E1836="","",IF($B1836="Tema",INDEX(Config!$C$6:$C$11,$D1836),"Evento avulso"))</f>
        <v/>
      </c>
      <c r="H1836" s="114" t="str">
        <f aca="false">IF($E1836="","",IF($B1836="Tema",INDEX(Config!$D$6:$D$11,$D1836),IFERROR(INDEX(Config!$E$15:$E$19,MATCH($I1836,Config!$C$15:$C$19,0)),"•")))</f>
        <v/>
      </c>
      <c r="I1836" s="114" t="str">
        <f aca="false">IF($E1836="","",IF($B1836="Tema",INDEX(Config!$E$6:$E$11,$D1836),IF(INDEX(Avulsos!$D$6:$D$205,$C1836)&amp;""="","Outro",INDEX(Avulsos!$D$6:$D$205,$C1836))))</f>
        <v/>
      </c>
      <c r="J1836" s="114" t="str">
        <f aca="false">IF($E1836="","",IF($B1836="Tema",INDEX(Temas!$C$6:$C$305,$C1836)&amp;"",INDEX(Avulsos!$E$6:$E$205,$C1836)&amp;""))</f>
        <v/>
      </c>
      <c r="K1836" s="114" t="str">
        <f aca="false">IF($E1836="","",IF(IF($B1836="Tema",INDEX(Temas!$E$6:$P$305,$C1836,2*$D1836),INDEX(Avulsos!$F$6:$F$205,$C1836))&amp;""="","","✓"))</f>
        <v/>
      </c>
      <c r="L1836" s="114" t="str">
        <f aca="true">IF($E1836="","",IF($K1836="✓","Concluído",IF($E1836&lt;TODAY(),"Atrasado",IF($E1836=TODAY(),"Hoje","Pendente"))))</f>
        <v/>
      </c>
      <c r="M1836" s="114" t="str">
        <f aca="false">IF($E1836="","",IF($K1836="✓","✓ ","")&amp;IF(Config!$E$22="Sim",$H1836&amp;" · ","")&amp;$F1836)</f>
        <v/>
      </c>
      <c r="N1836" s="114" t="str">
        <f aca="false">IF($E1836="","",IFERROR(INDEX(Config!$D$15:$D$19,MATCH($I1836,Config!$C$15:$C$19,0)),"OUT")&amp;IF($K1836="✓","x",""))</f>
        <v/>
      </c>
      <c r="O1836" s="114" t="str">
        <f aca="false">IF($E1836="","",COUNTIF($E$5:$E1836,$E1836))</f>
        <v/>
      </c>
      <c r="P1836" s="114" t="str">
        <f aca="false">IF($E1836="","",$E1836*100+$O1836)</f>
        <v/>
      </c>
      <c r="Q1836" s="114" t="str">
        <f aca="false">IF($L1836="Atrasado",$E1836*10000+$A1836,"")</f>
        <v/>
      </c>
    </row>
    <row r="1837" customFormat="false" ht="15" hidden="false" customHeight="false" outlineLevel="0" collapsed="false">
      <c r="A1837" s="114" t="n">
        <f aca="false">ROW()-4</f>
        <v>1833</v>
      </c>
      <c r="B1837" s="114" t="str">
        <f aca="false">IF(A1837&lt;=Config!$E$27*Config!$E$28,"Tema","Avulso")</f>
        <v>Avulso</v>
      </c>
      <c r="C1837" s="114" t="n">
        <f aca="false">IF(B1837="Tema",INT((A1837-1)/Config!$E$28)+1,A1837-Config!$E$27*Config!$E$28)</f>
        <v>33</v>
      </c>
      <c r="D1837" s="114" t="str">
        <f aca="false">IF(B1837="Tema",MOD(A1837-1,Config!$E$28)+1,"")</f>
        <v/>
      </c>
      <c r="E1837" s="115" t="str">
        <f aca="false">IF($B1837="Tema",IF(ISNUMBER(INDEX(Temas!$E$6:$P$305,$C1837,2*$D1837-1)),INDEX(Temas!$E$6:$P$305,$C1837,2*$D1837-1),""),IF(ISNUMBER(INDEX(Avulsos!$B$6:$B$205,$C1837)),INDEX(Avulsos!$B$6:$B$205,$C1837),""))</f>
        <v/>
      </c>
      <c r="F1837" s="114" t="str">
        <f aca="false">IF($E1837="","",IF($B1837="Tema",INDEX(Temas!$B$6:$B$305,$C1837)&amp;"",INDEX(Avulsos!$C$6:$C$205,$C1837)&amp;""))</f>
        <v/>
      </c>
      <c r="G1837" s="114" t="str">
        <f aca="false">IF($E1837="","",IF($B1837="Tema",INDEX(Config!$C$6:$C$11,$D1837),"Evento avulso"))</f>
        <v/>
      </c>
      <c r="H1837" s="114" t="str">
        <f aca="false">IF($E1837="","",IF($B1837="Tema",INDEX(Config!$D$6:$D$11,$D1837),IFERROR(INDEX(Config!$E$15:$E$19,MATCH($I1837,Config!$C$15:$C$19,0)),"•")))</f>
        <v/>
      </c>
      <c r="I1837" s="114" t="str">
        <f aca="false">IF($E1837="","",IF($B1837="Tema",INDEX(Config!$E$6:$E$11,$D1837),IF(INDEX(Avulsos!$D$6:$D$205,$C1837)&amp;""="","Outro",INDEX(Avulsos!$D$6:$D$205,$C1837))))</f>
        <v/>
      </c>
      <c r="J1837" s="114" t="str">
        <f aca="false">IF($E1837="","",IF($B1837="Tema",INDEX(Temas!$C$6:$C$305,$C1837)&amp;"",INDEX(Avulsos!$E$6:$E$205,$C1837)&amp;""))</f>
        <v/>
      </c>
      <c r="K1837" s="114" t="str">
        <f aca="false">IF($E1837="","",IF(IF($B1837="Tema",INDEX(Temas!$E$6:$P$305,$C1837,2*$D1837),INDEX(Avulsos!$F$6:$F$205,$C1837))&amp;""="","","✓"))</f>
        <v/>
      </c>
      <c r="L1837" s="114" t="str">
        <f aca="true">IF($E1837="","",IF($K1837="✓","Concluído",IF($E1837&lt;TODAY(),"Atrasado",IF($E1837=TODAY(),"Hoje","Pendente"))))</f>
        <v/>
      </c>
      <c r="M1837" s="114" t="str">
        <f aca="false">IF($E1837="","",IF($K1837="✓","✓ ","")&amp;IF(Config!$E$22="Sim",$H1837&amp;" · ","")&amp;$F1837)</f>
        <v/>
      </c>
      <c r="N1837" s="114" t="str">
        <f aca="false">IF($E1837="","",IFERROR(INDEX(Config!$D$15:$D$19,MATCH($I1837,Config!$C$15:$C$19,0)),"OUT")&amp;IF($K1837="✓","x",""))</f>
        <v/>
      </c>
      <c r="O1837" s="114" t="str">
        <f aca="false">IF($E1837="","",COUNTIF($E$5:$E1837,$E1837))</f>
        <v/>
      </c>
      <c r="P1837" s="114" t="str">
        <f aca="false">IF($E1837="","",$E1837*100+$O1837)</f>
        <v/>
      </c>
      <c r="Q1837" s="114" t="str">
        <f aca="false">IF($L1837="Atrasado",$E1837*10000+$A1837,"")</f>
        <v/>
      </c>
    </row>
    <row r="1838" customFormat="false" ht="15" hidden="false" customHeight="false" outlineLevel="0" collapsed="false">
      <c r="A1838" s="114" t="n">
        <f aca="false">ROW()-4</f>
        <v>1834</v>
      </c>
      <c r="B1838" s="114" t="str">
        <f aca="false">IF(A1838&lt;=Config!$E$27*Config!$E$28,"Tema","Avulso")</f>
        <v>Avulso</v>
      </c>
      <c r="C1838" s="114" t="n">
        <f aca="false">IF(B1838="Tema",INT((A1838-1)/Config!$E$28)+1,A1838-Config!$E$27*Config!$E$28)</f>
        <v>34</v>
      </c>
      <c r="D1838" s="114" t="str">
        <f aca="false">IF(B1838="Tema",MOD(A1838-1,Config!$E$28)+1,"")</f>
        <v/>
      </c>
      <c r="E1838" s="115" t="str">
        <f aca="false">IF($B1838="Tema",IF(ISNUMBER(INDEX(Temas!$E$6:$P$305,$C1838,2*$D1838-1)),INDEX(Temas!$E$6:$P$305,$C1838,2*$D1838-1),""),IF(ISNUMBER(INDEX(Avulsos!$B$6:$B$205,$C1838)),INDEX(Avulsos!$B$6:$B$205,$C1838),""))</f>
        <v/>
      </c>
      <c r="F1838" s="114" t="str">
        <f aca="false">IF($E1838="","",IF($B1838="Tema",INDEX(Temas!$B$6:$B$305,$C1838)&amp;"",INDEX(Avulsos!$C$6:$C$205,$C1838)&amp;""))</f>
        <v/>
      </c>
      <c r="G1838" s="114" t="str">
        <f aca="false">IF($E1838="","",IF($B1838="Tema",INDEX(Config!$C$6:$C$11,$D1838),"Evento avulso"))</f>
        <v/>
      </c>
      <c r="H1838" s="114" t="str">
        <f aca="false">IF($E1838="","",IF($B1838="Tema",INDEX(Config!$D$6:$D$11,$D1838),IFERROR(INDEX(Config!$E$15:$E$19,MATCH($I1838,Config!$C$15:$C$19,0)),"•")))</f>
        <v/>
      </c>
      <c r="I1838" s="114" t="str">
        <f aca="false">IF($E1838="","",IF($B1838="Tema",INDEX(Config!$E$6:$E$11,$D1838),IF(INDEX(Avulsos!$D$6:$D$205,$C1838)&amp;""="","Outro",INDEX(Avulsos!$D$6:$D$205,$C1838))))</f>
        <v/>
      </c>
      <c r="J1838" s="114" t="str">
        <f aca="false">IF($E1838="","",IF($B1838="Tema",INDEX(Temas!$C$6:$C$305,$C1838)&amp;"",INDEX(Avulsos!$E$6:$E$205,$C1838)&amp;""))</f>
        <v/>
      </c>
      <c r="K1838" s="114" t="str">
        <f aca="false">IF($E1838="","",IF(IF($B1838="Tema",INDEX(Temas!$E$6:$P$305,$C1838,2*$D1838),INDEX(Avulsos!$F$6:$F$205,$C1838))&amp;""="","","✓"))</f>
        <v/>
      </c>
      <c r="L1838" s="114" t="str">
        <f aca="true">IF($E1838="","",IF($K1838="✓","Concluído",IF($E1838&lt;TODAY(),"Atrasado",IF($E1838=TODAY(),"Hoje","Pendente"))))</f>
        <v/>
      </c>
      <c r="M1838" s="114" t="str">
        <f aca="false">IF($E1838="","",IF($K1838="✓","✓ ","")&amp;IF(Config!$E$22="Sim",$H1838&amp;" · ","")&amp;$F1838)</f>
        <v/>
      </c>
      <c r="N1838" s="114" t="str">
        <f aca="false">IF($E1838="","",IFERROR(INDEX(Config!$D$15:$D$19,MATCH($I1838,Config!$C$15:$C$19,0)),"OUT")&amp;IF($K1838="✓","x",""))</f>
        <v/>
      </c>
      <c r="O1838" s="114" t="str">
        <f aca="false">IF($E1838="","",COUNTIF($E$5:$E1838,$E1838))</f>
        <v/>
      </c>
      <c r="P1838" s="114" t="str">
        <f aca="false">IF($E1838="","",$E1838*100+$O1838)</f>
        <v/>
      </c>
      <c r="Q1838" s="114" t="str">
        <f aca="false">IF($L1838="Atrasado",$E1838*10000+$A1838,"")</f>
        <v/>
      </c>
    </row>
    <row r="1839" customFormat="false" ht="15" hidden="false" customHeight="false" outlineLevel="0" collapsed="false">
      <c r="A1839" s="114" t="n">
        <f aca="false">ROW()-4</f>
        <v>1835</v>
      </c>
      <c r="B1839" s="114" t="str">
        <f aca="false">IF(A1839&lt;=Config!$E$27*Config!$E$28,"Tema","Avulso")</f>
        <v>Avulso</v>
      </c>
      <c r="C1839" s="114" t="n">
        <f aca="false">IF(B1839="Tema",INT((A1839-1)/Config!$E$28)+1,A1839-Config!$E$27*Config!$E$28)</f>
        <v>35</v>
      </c>
      <c r="D1839" s="114" t="str">
        <f aca="false">IF(B1839="Tema",MOD(A1839-1,Config!$E$28)+1,"")</f>
        <v/>
      </c>
      <c r="E1839" s="115" t="str">
        <f aca="false">IF($B1839="Tema",IF(ISNUMBER(INDEX(Temas!$E$6:$P$305,$C1839,2*$D1839-1)),INDEX(Temas!$E$6:$P$305,$C1839,2*$D1839-1),""),IF(ISNUMBER(INDEX(Avulsos!$B$6:$B$205,$C1839)),INDEX(Avulsos!$B$6:$B$205,$C1839),""))</f>
        <v/>
      </c>
      <c r="F1839" s="114" t="str">
        <f aca="false">IF($E1839="","",IF($B1839="Tema",INDEX(Temas!$B$6:$B$305,$C1839)&amp;"",INDEX(Avulsos!$C$6:$C$205,$C1839)&amp;""))</f>
        <v/>
      </c>
      <c r="G1839" s="114" t="str">
        <f aca="false">IF($E1839="","",IF($B1839="Tema",INDEX(Config!$C$6:$C$11,$D1839),"Evento avulso"))</f>
        <v/>
      </c>
      <c r="H1839" s="114" t="str">
        <f aca="false">IF($E1839="","",IF($B1839="Tema",INDEX(Config!$D$6:$D$11,$D1839),IFERROR(INDEX(Config!$E$15:$E$19,MATCH($I1839,Config!$C$15:$C$19,0)),"•")))</f>
        <v/>
      </c>
      <c r="I1839" s="114" t="str">
        <f aca="false">IF($E1839="","",IF($B1839="Tema",INDEX(Config!$E$6:$E$11,$D1839),IF(INDEX(Avulsos!$D$6:$D$205,$C1839)&amp;""="","Outro",INDEX(Avulsos!$D$6:$D$205,$C1839))))</f>
        <v/>
      </c>
      <c r="J1839" s="114" t="str">
        <f aca="false">IF($E1839="","",IF($B1839="Tema",INDEX(Temas!$C$6:$C$305,$C1839)&amp;"",INDEX(Avulsos!$E$6:$E$205,$C1839)&amp;""))</f>
        <v/>
      </c>
      <c r="K1839" s="114" t="str">
        <f aca="false">IF($E1839="","",IF(IF($B1839="Tema",INDEX(Temas!$E$6:$P$305,$C1839,2*$D1839),INDEX(Avulsos!$F$6:$F$205,$C1839))&amp;""="","","✓"))</f>
        <v/>
      </c>
      <c r="L1839" s="114" t="str">
        <f aca="true">IF($E1839="","",IF($K1839="✓","Concluído",IF($E1839&lt;TODAY(),"Atrasado",IF($E1839=TODAY(),"Hoje","Pendente"))))</f>
        <v/>
      </c>
      <c r="M1839" s="114" t="str">
        <f aca="false">IF($E1839="","",IF($K1839="✓","✓ ","")&amp;IF(Config!$E$22="Sim",$H1839&amp;" · ","")&amp;$F1839)</f>
        <v/>
      </c>
      <c r="N1839" s="114" t="str">
        <f aca="false">IF($E1839="","",IFERROR(INDEX(Config!$D$15:$D$19,MATCH($I1839,Config!$C$15:$C$19,0)),"OUT")&amp;IF($K1839="✓","x",""))</f>
        <v/>
      </c>
      <c r="O1839" s="114" t="str">
        <f aca="false">IF($E1839="","",COUNTIF($E$5:$E1839,$E1839))</f>
        <v/>
      </c>
      <c r="P1839" s="114" t="str">
        <f aca="false">IF($E1839="","",$E1839*100+$O1839)</f>
        <v/>
      </c>
      <c r="Q1839" s="114" t="str">
        <f aca="false">IF($L1839="Atrasado",$E1839*10000+$A1839,"")</f>
        <v/>
      </c>
    </row>
    <row r="1840" customFormat="false" ht="15" hidden="false" customHeight="false" outlineLevel="0" collapsed="false">
      <c r="A1840" s="114" t="n">
        <f aca="false">ROW()-4</f>
        <v>1836</v>
      </c>
      <c r="B1840" s="114" t="str">
        <f aca="false">IF(A1840&lt;=Config!$E$27*Config!$E$28,"Tema","Avulso")</f>
        <v>Avulso</v>
      </c>
      <c r="C1840" s="114" t="n">
        <f aca="false">IF(B1840="Tema",INT((A1840-1)/Config!$E$28)+1,A1840-Config!$E$27*Config!$E$28)</f>
        <v>36</v>
      </c>
      <c r="D1840" s="114" t="str">
        <f aca="false">IF(B1840="Tema",MOD(A1840-1,Config!$E$28)+1,"")</f>
        <v/>
      </c>
      <c r="E1840" s="115" t="str">
        <f aca="false">IF($B1840="Tema",IF(ISNUMBER(INDEX(Temas!$E$6:$P$305,$C1840,2*$D1840-1)),INDEX(Temas!$E$6:$P$305,$C1840,2*$D1840-1),""),IF(ISNUMBER(INDEX(Avulsos!$B$6:$B$205,$C1840)),INDEX(Avulsos!$B$6:$B$205,$C1840),""))</f>
        <v/>
      </c>
      <c r="F1840" s="114" t="str">
        <f aca="false">IF($E1840="","",IF($B1840="Tema",INDEX(Temas!$B$6:$B$305,$C1840)&amp;"",INDEX(Avulsos!$C$6:$C$205,$C1840)&amp;""))</f>
        <v/>
      </c>
      <c r="G1840" s="114" t="str">
        <f aca="false">IF($E1840="","",IF($B1840="Tema",INDEX(Config!$C$6:$C$11,$D1840),"Evento avulso"))</f>
        <v/>
      </c>
      <c r="H1840" s="114" t="str">
        <f aca="false">IF($E1840="","",IF($B1840="Tema",INDEX(Config!$D$6:$D$11,$D1840),IFERROR(INDEX(Config!$E$15:$E$19,MATCH($I1840,Config!$C$15:$C$19,0)),"•")))</f>
        <v/>
      </c>
      <c r="I1840" s="114" t="str">
        <f aca="false">IF($E1840="","",IF($B1840="Tema",INDEX(Config!$E$6:$E$11,$D1840),IF(INDEX(Avulsos!$D$6:$D$205,$C1840)&amp;""="","Outro",INDEX(Avulsos!$D$6:$D$205,$C1840))))</f>
        <v/>
      </c>
      <c r="J1840" s="114" t="str">
        <f aca="false">IF($E1840="","",IF($B1840="Tema",INDEX(Temas!$C$6:$C$305,$C1840)&amp;"",INDEX(Avulsos!$E$6:$E$205,$C1840)&amp;""))</f>
        <v/>
      </c>
      <c r="K1840" s="114" t="str">
        <f aca="false">IF($E1840="","",IF(IF($B1840="Tema",INDEX(Temas!$E$6:$P$305,$C1840,2*$D1840),INDEX(Avulsos!$F$6:$F$205,$C1840))&amp;""="","","✓"))</f>
        <v/>
      </c>
      <c r="L1840" s="114" t="str">
        <f aca="true">IF($E1840="","",IF($K1840="✓","Concluído",IF($E1840&lt;TODAY(),"Atrasado",IF($E1840=TODAY(),"Hoje","Pendente"))))</f>
        <v/>
      </c>
      <c r="M1840" s="114" t="str">
        <f aca="false">IF($E1840="","",IF($K1840="✓","✓ ","")&amp;IF(Config!$E$22="Sim",$H1840&amp;" · ","")&amp;$F1840)</f>
        <v/>
      </c>
      <c r="N1840" s="114" t="str">
        <f aca="false">IF($E1840="","",IFERROR(INDEX(Config!$D$15:$D$19,MATCH($I1840,Config!$C$15:$C$19,0)),"OUT")&amp;IF($K1840="✓","x",""))</f>
        <v/>
      </c>
      <c r="O1840" s="114" t="str">
        <f aca="false">IF($E1840="","",COUNTIF($E$5:$E1840,$E1840))</f>
        <v/>
      </c>
      <c r="P1840" s="114" t="str">
        <f aca="false">IF($E1840="","",$E1840*100+$O1840)</f>
        <v/>
      </c>
      <c r="Q1840" s="114" t="str">
        <f aca="false">IF($L1840="Atrasado",$E1840*10000+$A1840,"")</f>
        <v/>
      </c>
    </row>
    <row r="1841" customFormat="false" ht="15" hidden="false" customHeight="false" outlineLevel="0" collapsed="false">
      <c r="A1841" s="114" t="n">
        <f aca="false">ROW()-4</f>
        <v>1837</v>
      </c>
      <c r="B1841" s="114" t="str">
        <f aca="false">IF(A1841&lt;=Config!$E$27*Config!$E$28,"Tema","Avulso")</f>
        <v>Avulso</v>
      </c>
      <c r="C1841" s="114" t="n">
        <f aca="false">IF(B1841="Tema",INT((A1841-1)/Config!$E$28)+1,A1841-Config!$E$27*Config!$E$28)</f>
        <v>37</v>
      </c>
      <c r="D1841" s="114" t="str">
        <f aca="false">IF(B1841="Tema",MOD(A1841-1,Config!$E$28)+1,"")</f>
        <v/>
      </c>
      <c r="E1841" s="115" t="str">
        <f aca="false">IF($B1841="Tema",IF(ISNUMBER(INDEX(Temas!$E$6:$P$305,$C1841,2*$D1841-1)),INDEX(Temas!$E$6:$P$305,$C1841,2*$D1841-1),""),IF(ISNUMBER(INDEX(Avulsos!$B$6:$B$205,$C1841)),INDEX(Avulsos!$B$6:$B$205,$C1841),""))</f>
        <v/>
      </c>
      <c r="F1841" s="114" t="str">
        <f aca="false">IF($E1841="","",IF($B1841="Tema",INDEX(Temas!$B$6:$B$305,$C1841)&amp;"",INDEX(Avulsos!$C$6:$C$205,$C1841)&amp;""))</f>
        <v/>
      </c>
      <c r="G1841" s="114" t="str">
        <f aca="false">IF($E1841="","",IF($B1841="Tema",INDEX(Config!$C$6:$C$11,$D1841),"Evento avulso"))</f>
        <v/>
      </c>
      <c r="H1841" s="114" t="str">
        <f aca="false">IF($E1841="","",IF($B1841="Tema",INDEX(Config!$D$6:$D$11,$D1841),IFERROR(INDEX(Config!$E$15:$E$19,MATCH($I1841,Config!$C$15:$C$19,0)),"•")))</f>
        <v/>
      </c>
      <c r="I1841" s="114" t="str">
        <f aca="false">IF($E1841="","",IF($B1841="Tema",INDEX(Config!$E$6:$E$11,$D1841),IF(INDEX(Avulsos!$D$6:$D$205,$C1841)&amp;""="","Outro",INDEX(Avulsos!$D$6:$D$205,$C1841))))</f>
        <v/>
      </c>
      <c r="J1841" s="114" t="str">
        <f aca="false">IF($E1841="","",IF($B1841="Tema",INDEX(Temas!$C$6:$C$305,$C1841)&amp;"",INDEX(Avulsos!$E$6:$E$205,$C1841)&amp;""))</f>
        <v/>
      </c>
      <c r="K1841" s="114" t="str">
        <f aca="false">IF($E1841="","",IF(IF($B1841="Tema",INDEX(Temas!$E$6:$P$305,$C1841,2*$D1841),INDEX(Avulsos!$F$6:$F$205,$C1841))&amp;""="","","✓"))</f>
        <v/>
      </c>
      <c r="L1841" s="114" t="str">
        <f aca="true">IF($E1841="","",IF($K1841="✓","Concluído",IF($E1841&lt;TODAY(),"Atrasado",IF($E1841=TODAY(),"Hoje","Pendente"))))</f>
        <v/>
      </c>
      <c r="M1841" s="114" t="str">
        <f aca="false">IF($E1841="","",IF($K1841="✓","✓ ","")&amp;IF(Config!$E$22="Sim",$H1841&amp;" · ","")&amp;$F1841)</f>
        <v/>
      </c>
      <c r="N1841" s="114" t="str">
        <f aca="false">IF($E1841="","",IFERROR(INDEX(Config!$D$15:$D$19,MATCH($I1841,Config!$C$15:$C$19,0)),"OUT")&amp;IF($K1841="✓","x",""))</f>
        <v/>
      </c>
      <c r="O1841" s="114" t="str">
        <f aca="false">IF($E1841="","",COUNTIF($E$5:$E1841,$E1841))</f>
        <v/>
      </c>
      <c r="P1841" s="114" t="str">
        <f aca="false">IF($E1841="","",$E1841*100+$O1841)</f>
        <v/>
      </c>
      <c r="Q1841" s="114" t="str">
        <f aca="false">IF($L1841="Atrasado",$E1841*10000+$A1841,"")</f>
        <v/>
      </c>
    </row>
    <row r="1842" customFormat="false" ht="15" hidden="false" customHeight="false" outlineLevel="0" collapsed="false">
      <c r="A1842" s="114" t="n">
        <f aca="false">ROW()-4</f>
        <v>1838</v>
      </c>
      <c r="B1842" s="114" t="str">
        <f aca="false">IF(A1842&lt;=Config!$E$27*Config!$E$28,"Tema","Avulso")</f>
        <v>Avulso</v>
      </c>
      <c r="C1842" s="114" t="n">
        <f aca="false">IF(B1842="Tema",INT((A1842-1)/Config!$E$28)+1,A1842-Config!$E$27*Config!$E$28)</f>
        <v>38</v>
      </c>
      <c r="D1842" s="114" t="str">
        <f aca="false">IF(B1842="Tema",MOD(A1842-1,Config!$E$28)+1,"")</f>
        <v/>
      </c>
      <c r="E1842" s="115" t="str">
        <f aca="false">IF($B1842="Tema",IF(ISNUMBER(INDEX(Temas!$E$6:$P$305,$C1842,2*$D1842-1)),INDEX(Temas!$E$6:$P$305,$C1842,2*$D1842-1),""),IF(ISNUMBER(INDEX(Avulsos!$B$6:$B$205,$C1842)),INDEX(Avulsos!$B$6:$B$205,$C1842),""))</f>
        <v/>
      </c>
      <c r="F1842" s="114" t="str">
        <f aca="false">IF($E1842="","",IF($B1842="Tema",INDEX(Temas!$B$6:$B$305,$C1842)&amp;"",INDEX(Avulsos!$C$6:$C$205,$C1842)&amp;""))</f>
        <v/>
      </c>
      <c r="G1842" s="114" t="str">
        <f aca="false">IF($E1842="","",IF($B1842="Tema",INDEX(Config!$C$6:$C$11,$D1842),"Evento avulso"))</f>
        <v/>
      </c>
      <c r="H1842" s="114" t="str">
        <f aca="false">IF($E1842="","",IF($B1842="Tema",INDEX(Config!$D$6:$D$11,$D1842),IFERROR(INDEX(Config!$E$15:$E$19,MATCH($I1842,Config!$C$15:$C$19,0)),"•")))</f>
        <v/>
      </c>
      <c r="I1842" s="114" t="str">
        <f aca="false">IF($E1842="","",IF($B1842="Tema",INDEX(Config!$E$6:$E$11,$D1842),IF(INDEX(Avulsos!$D$6:$D$205,$C1842)&amp;""="","Outro",INDEX(Avulsos!$D$6:$D$205,$C1842))))</f>
        <v/>
      </c>
      <c r="J1842" s="114" t="str">
        <f aca="false">IF($E1842="","",IF($B1842="Tema",INDEX(Temas!$C$6:$C$305,$C1842)&amp;"",INDEX(Avulsos!$E$6:$E$205,$C1842)&amp;""))</f>
        <v/>
      </c>
      <c r="K1842" s="114" t="str">
        <f aca="false">IF($E1842="","",IF(IF($B1842="Tema",INDEX(Temas!$E$6:$P$305,$C1842,2*$D1842),INDEX(Avulsos!$F$6:$F$205,$C1842))&amp;""="","","✓"))</f>
        <v/>
      </c>
      <c r="L1842" s="114" t="str">
        <f aca="true">IF($E1842="","",IF($K1842="✓","Concluído",IF($E1842&lt;TODAY(),"Atrasado",IF($E1842=TODAY(),"Hoje","Pendente"))))</f>
        <v/>
      </c>
      <c r="M1842" s="114" t="str">
        <f aca="false">IF($E1842="","",IF($K1842="✓","✓ ","")&amp;IF(Config!$E$22="Sim",$H1842&amp;" · ","")&amp;$F1842)</f>
        <v/>
      </c>
      <c r="N1842" s="114" t="str">
        <f aca="false">IF($E1842="","",IFERROR(INDEX(Config!$D$15:$D$19,MATCH($I1842,Config!$C$15:$C$19,0)),"OUT")&amp;IF($K1842="✓","x",""))</f>
        <v/>
      </c>
      <c r="O1842" s="114" t="str">
        <f aca="false">IF($E1842="","",COUNTIF($E$5:$E1842,$E1842))</f>
        <v/>
      </c>
      <c r="P1842" s="114" t="str">
        <f aca="false">IF($E1842="","",$E1842*100+$O1842)</f>
        <v/>
      </c>
      <c r="Q1842" s="114" t="str">
        <f aca="false">IF($L1842="Atrasado",$E1842*10000+$A1842,"")</f>
        <v/>
      </c>
    </row>
    <row r="1843" customFormat="false" ht="15" hidden="false" customHeight="false" outlineLevel="0" collapsed="false">
      <c r="A1843" s="114" t="n">
        <f aca="false">ROW()-4</f>
        <v>1839</v>
      </c>
      <c r="B1843" s="114" t="str">
        <f aca="false">IF(A1843&lt;=Config!$E$27*Config!$E$28,"Tema","Avulso")</f>
        <v>Avulso</v>
      </c>
      <c r="C1843" s="114" t="n">
        <f aca="false">IF(B1843="Tema",INT((A1843-1)/Config!$E$28)+1,A1843-Config!$E$27*Config!$E$28)</f>
        <v>39</v>
      </c>
      <c r="D1843" s="114" t="str">
        <f aca="false">IF(B1843="Tema",MOD(A1843-1,Config!$E$28)+1,"")</f>
        <v/>
      </c>
      <c r="E1843" s="115" t="str">
        <f aca="false">IF($B1843="Tema",IF(ISNUMBER(INDEX(Temas!$E$6:$P$305,$C1843,2*$D1843-1)),INDEX(Temas!$E$6:$P$305,$C1843,2*$D1843-1),""),IF(ISNUMBER(INDEX(Avulsos!$B$6:$B$205,$C1843)),INDEX(Avulsos!$B$6:$B$205,$C1843),""))</f>
        <v/>
      </c>
      <c r="F1843" s="114" t="str">
        <f aca="false">IF($E1843="","",IF($B1843="Tema",INDEX(Temas!$B$6:$B$305,$C1843)&amp;"",INDEX(Avulsos!$C$6:$C$205,$C1843)&amp;""))</f>
        <v/>
      </c>
      <c r="G1843" s="114" t="str">
        <f aca="false">IF($E1843="","",IF($B1843="Tema",INDEX(Config!$C$6:$C$11,$D1843),"Evento avulso"))</f>
        <v/>
      </c>
      <c r="H1843" s="114" t="str">
        <f aca="false">IF($E1843="","",IF($B1843="Tema",INDEX(Config!$D$6:$D$11,$D1843),IFERROR(INDEX(Config!$E$15:$E$19,MATCH($I1843,Config!$C$15:$C$19,0)),"•")))</f>
        <v/>
      </c>
      <c r="I1843" s="114" t="str">
        <f aca="false">IF($E1843="","",IF($B1843="Tema",INDEX(Config!$E$6:$E$11,$D1843),IF(INDEX(Avulsos!$D$6:$D$205,$C1843)&amp;""="","Outro",INDEX(Avulsos!$D$6:$D$205,$C1843))))</f>
        <v/>
      </c>
      <c r="J1843" s="114" t="str">
        <f aca="false">IF($E1843="","",IF($B1843="Tema",INDEX(Temas!$C$6:$C$305,$C1843)&amp;"",INDEX(Avulsos!$E$6:$E$205,$C1843)&amp;""))</f>
        <v/>
      </c>
      <c r="K1843" s="114" t="str">
        <f aca="false">IF($E1843="","",IF(IF($B1843="Tema",INDEX(Temas!$E$6:$P$305,$C1843,2*$D1843),INDEX(Avulsos!$F$6:$F$205,$C1843))&amp;""="","","✓"))</f>
        <v/>
      </c>
      <c r="L1843" s="114" t="str">
        <f aca="true">IF($E1843="","",IF($K1843="✓","Concluído",IF($E1843&lt;TODAY(),"Atrasado",IF($E1843=TODAY(),"Hoje","Pendente"))))</f>
        <v/>
      </c>
      <c r="M1843" s="114" t="str">
        <f aca="false">IF($E1843="","",IF($K1843="✓","✓ ","")&amp;IF(Config!$E$22="Sim",$H1843&amp;" · ","")&amp;$F1843)</f>
        <v/>
      </c>
      <c r="N1843" s="114" t="str">
        <f aca="false">IF($E1843="","",IFERROR(INDEX(Config!$D$15:$D$19,MATCH($I1843,Config!$C$15:$C$19,0)),"OUT")&amp;IF($K1843="✓","x",""))</f>
        <v/>
      </c>
      <c r="O1843" s="114" t="str">
        <f aca="false">IF($E1843="","",COUNTIF($E$5:$E1843,$E1843))</f>
        <v/>
      </c>
      <c r="P1843" s="114" t="str">
        <f aca="false">IF($E1843="","",$E1843*100+$O1843)</f>
        <v/>
      </c>
      <c r="Q1843" s="114" t="str">
        <f aca="false">IF($L1843="Atrasado",$E1843*10000+$A1843,"")</f>
        <v/>
      </c>
    </row>
    <row r="1844" customFormat="false" ht="15" hidden="false" customHeight="false" outlineLevel="0" collapsed="false">
      <c r="A1844" s="114" t="n">
        <f aca="false">ROW()-4</f>
        <v>1840</v>
      </c>
      <c r="B1844" s="114" t="str">
        <f aca="false">IF(A1844&lt;=Config!$E$27*Config!$E$28,"Tema","Avulso")</f>
        <v>Avulso</v>
      </c>
      <c r="C1844" s="114" t="n">
        <f aca="false">IF(B1844="Tema",INT((A1844-1)/Config!$E$28)+1,A1844-Config!$E$27*Config!$E$28)</f>
        <v>40</v>
      </c>
      <c r="D1844" s="114" t="str">
        <f aca="false">IF(B1844="Tema",MOD(A1844-1,Config!$E$28)+1,"")</f>
        <v/>
      </c>
      <c r="E1844" s="115" t="str">
        <f aca="false">IF($B1844="Tema",IF(ISNUMBER(INDEX(Temas!$E$6:$P$305,$C1844,2*$D1844-1)),INDEX(Temas!$E$6:$P$305,$C1844,2*$D1844-1),""),IF(ISNUMBER(INDEX(Avulsos!$B$6:$B$205,$C1844)),INDEX(Avulsos!$B$6:$B$205,$C1844),""))</f>
        <v/>
      </c>
      <c r="F1844" s="114" t="str">
        <f aca="false">IF($E1844="","",IF($B1844="Tema",INDEX(Temas!$B$6:$B$305,$C1844)&amp;"",INDEX(Avulsos!$C$6:$C$205,$C1844)&amp;""))</f>
        <v/>
      </c>
      <c r="G1844" s="114" t="str">
        <f aca="false">IF($E1844="","",IF($B1844="Tema",INDEX(Config!$C$6:$C$11,$D1844),"Evento avulso"))</f>
        <v/>
      </c>
      <c r="H1844" s="114" t="str">
        <f aca="false">IF($E1844="","",IF($B1844="Tema",INDEX(Config!$D$6:$D$11,$D1844),IFERROR(INDEX(Config!$E$15:$E$19,MATCH($I1844,Config!$C$15:$C$19,0)),"•")))</f>
        <v/>
      </c>
      <c r="I1844" s="114" t="str">
        <f aca="false">IF($E1844="","",IF($B1844="Tema",INDEX(Config!$E$6:$E$11,$D1844),IF(INDEX(Avulsos!$D$6:$D$205,$C1844)&amp;""="","Outro",INDEX(Avulsos!$D$6:$D$205,$C1844))))</f>
        <v/>
      </c>
      <c r="J1844" s="114" t="str">
        <f aca="false">IF($E1844="","",IF($B1844="Tema",INDEX(Temas!$C$6:$C$305,$C1844)&amp;"",INDEX(Avulsos!$E$6:$E$205,$C1844)&amp;""))</f>
        <v/>
      </c>
      <c r="K1844" s="114" t="str">
        <f aca="false">IF($E1844="","",IF(IF($B1844="Tema",INDEX(Temas!$E$6:$P$305,$C1844,2*$D1844),INDEX(Avulsos!$F$6:$F$205,$C1844))&amp;""="","","✓"))</f>
        <v/>
      </c>
      <c r="L1844" s="114" t="str">
        <f aca="true">IF($E1844="","",IF($K1844="✓","Concluído",IF($E1844&lt;TODAY(),"Atrasado",IF($E1844=TODAY(),"Hoje","Pendente"))))</f>
        <v/>
      </c>
      <c r="M1844" s="114" t="str">
        <f aca="false">IF($E1844="","",IF($K1844="✓","✓ ","")&amp;IF(Config!$E$22="Sim",$H1844&amp;" · ","")&amp;$F1844)</f>
        <v/>
      </c>
      <c r="N1844" s="114" t="str">
        <f aca="false">IF($E1844="","",IFERROR(INDEX(Config!$D$15:$D$19,MATCH($I1844,Config!$C$15:$C$19,0)),"OUT")&amp;IF($K1844="✓","x",""))</f>
        <v/>
      </c>
      <c r="O1844" s="114" t="str">
        <f aca="false">IF($E1844="","",COUNTIF($E$5:$E1844,$E1844))</f>
        <v/>
      </c>
      <c r="P1844" s="114" t="str">
        <f aca="false">IF($E1844="","",$E1844*100+$O1844)</f>
        <v/>
      </c>
      <c r="Q1844" s="114" t="str">
        <f aca="false">IF($L1844="Atrasado",$E1844*10000+$A1844,"")</f>
        <v/>
      </c>
    </row>
    <row r="1845" customFormat="false" ht="15" hidden="false" customHeight="false" outlineLevel="0" collapsed="false">
      <c r="A1845" s="114" t="n">
        <f aca="false">ROW()-4</f>
        <v>1841</v>
      </c>
      <c r="B1845" s="114" t="str">
        <f aca="false">IF(A1845&lt;=Config!$E$27*Config!$E$28,"Tema","Avulso")</f>
        <v>Avulso</v>
      </c>
      <c r="C1845" s="114" t="n">
        <f aca="false">IF(B1845="Tema",INT((A1845-1)/Config!$E$28)+1,A1845-Config!$E$27*Config!$E$28)</f>
        <v>41</v>
      </c>
      <c r="D1845" s="114" t="str">
        <f aca="false">IF(B1845="Tema",MOD(A1845-1,Config!$E$28)+1,"")</f>
        <v/>
      </c>
      <c r="E1845" s="115" t="str">
        <f aca="false">IF($B1845="Tema",IF(ISNUMBER(INDEX(Temas!$E$6:$P$305,$C1845,2*$D1845-1)),INDEX(Temas!$E$6:$P$305,$C1845,2*$D1845-1),""),IF(ISNUMBER(INDEX(Avulsos!$B$6:$B$205,$C1845)),INDEX(Avulsos!$B$6:$B$205,$C1845),""))</f>
        <v/>
      </c>
      <c r="F1845" s="114" t="str">
        <f aca="false">IF($E1845="","",IF($B1845="Tema",INDEX(Temas!$B$6:$B$305,$C1845)&amp;"",INDEX(Avulsos!$C$6:$C$205,$C1845)&amp;""))</f>
        <v/>
      </c>
      <c r="G1845" s="114" t="str">
        <f aca="false">IF($E1845="","",IF($B1845="Tema",INDEX(Config!$C$6:$C$11,$D1845),"Evento avulso"))</f>
        <v/>
      </c>
      <c r="H1845" s="114" t="str">
        <f aca="false">IF($E1845="","",IF($B1845="Tema",INDEX(Config!$D$6:$D$11,$D1845),IFERROR(INDEX(Config!$E$15:$E$19,MATCH($I1845,Config!$C$15:$C$19,0)),"•")))</f>
        <v/>
      </c>
      <c r="I1845" s="114" t="str">
        <f aca="false">IF($E1845="","",IF($B1845="Tema",INDEX(Config!$E$6:$E$11,$D1845),IF(INDEX(Avulsos!$D$6:$D$205,$C1845)&amp;""="","Outro",INDEX(Avulsos!$D$6:$D$205,$C1845))))</f>
        <v/>
      </c>
      <c r="J1845" s="114" t="str">
        <f aca="false">IF($E1845="","",IF($B1845="Tema",INDEX(Temas!$C$6:$C$305,$C1845)&amp;"",INDEX(Avulsos!$E$6:$E$205,$C1845)&amp;""))</f>
        <v/>
      </c>
      <c r="K1845" s="114" t="str">
        <f aca="false">IF($E1845="","",IF(IF($B1845="Tema",INDEX(Temas!$E$6:$P$305,$C1845,2*$D1845),INDEX(Avulsos!$F$6:$F$205,$C1845))&amp;""="","","✓"))</f>
        <v/>
      </c>
      <c r="L1845" s="114" t="str">
        <f aca="true">IF($E1845="","",IF($K1845="✓","Concluído",IF($E1845&lt;TODAY(),"Atrasado",IF($E1845=TODAY(),"Hoje","Pendente"))))</f>
        <v/>
      </c>
      <c r="M1845" s="114" t="str">
        <f aca="false">IF($E1845="","",IF($K1845="✓","✓ ","")&amp;IF(Config!$E$22="Sim",$H1845&amp;" · ","")&amp;$F1845)</f>
        <v/>
      </c>
      <c r="N1845" s="114" t="str">
        <f aca="false">IF($E1845="","",IFERROR(INDEX(Config!$D$15:$D$19,MATCH($I1845,Config!$C$15:$C$19,0)),"OUT")&amp;IF($K1845="✓","x",""))</f>
        <v/>
      </c>
      <c r="O1845" s="114" t="str">
        <f aca="false">IF($E1845="","",COUNTIF($E$5:$E1845,$E1845))</f>
        <v/>
      </c>
      <c r="P1845" s="114" t="str">
        <f aca="false">IF($E1845="","",$E1845*100+$O1845)</f>
        <v/>
      </c>
      <c r="Q1845" s="114" t="str">
        <f aca="false">IF($L1845="Atrasado",$E1845*10000+$A1845,"")</f>
        <v/>
      </c>
    </row>
    <row r="1846" customFormat="false" ht="15" hidden="false" customHeight="false" outlineLevel="0" collapsed="false">
      <c r="A1846" s="114" t="n">
        <f aca="false">ROW()-4</f>
        <v>1842</v>
      </c>
      <c r="B1846" s="114" t="str">
        <f aca="false">IF(A1846&lt;=Config!$E$27*Config!$E$28,"Tema","Avulso")</f>
        <v>Avulso</v>
      </c>
      <c r="C1846" s="114" t="n">
        <f aca="false">IF(B1846="Tema",INT((A1846-1)/Config!$E$28)+1,A1846-Config!$E$27*Config!$E$28)</f>
        <v>42</v>
      </c>
      <c r="D1846" s="114" t="str">
        <f aca="false">IF(B1846="Tema",MOD(A1846-1,Config!$E$28)+1,"")</f>
        <v/>
      </c>
      <c r="E1846" s="115" t="str">
        <f aca="false">IF($B1846="Tema",IF(ISNUMBER(INDEX(Temas!$E$6:$P$305,$C1846,2*$D1846-1)),INDEX(Temas!$E$6:$P$305,$C1846,2*$D1846-1),""),IF(ISNUMBER(INDEX(Avulsos!$B$6:$B$205,$C1846)),INDEX(Avulsos!$B$6:$B$205,$C1846),""))</f>
        <v/>
      </c>
      <c r="F1846" s="114" t="str">
        <f aca="false">IF($E1846="","",IF($B1846="Tema",INDEX(Temas!$B$6:$B$305,$C1846)&amp;"",INDEX(Avulsos!$C$6:$C$205,$C1846)&amp;""))</f>
        <v/>
      </c>
      <c r="G1846" s="114" t="str">
        <f aca="false">IF($E1846="","",IF($B1846="Tema",INDEX(Config!$C$6:$C$11,$D1846),"Evento avulso"))</f>
        <v/>
      </c>
      <c r="H1846" s="114" t="str">
        <f aca="false">IF($E1846="","",IF($B1846="Tema",INDEX(Config!$D$6:$D$11,$D1846),IFERROR(INDEX(Config!$E$15:$E$19,MATCH($I1846,Config!$C$15:$C$19,0)),"•")))</f>
        <v/>
      </c>
      <c r="I1846" s="114" t="str">
        <f aca="false">IF($E1846="","",IF($B1846="Tema",INDEX(Config!$E$6:$E$11,$D1846),IF(INDEX(Avulsos!$D$6:$D$205,$C1846)&amp;""="","Outro",INDEX(Avulsos!$D$6:$D$205,$C1846))))</f>
        <v/>
      </c>
      <c r="J1846" s="114" t="str">
        <f aca="false">IF($E1846="","",IF($B1846="Tema",INDEX(Temas!$C$6:$C$305,$C1846)&amp;"",INDEX(Avulsos!$E$6:$E$205,$C1846)&amp;""))</f>
        <v/>
      </c>
      <c r="K1846" s="114" t="str">
        <f aca="false">IF($E1846="","",IF(IF($B1846="Tema",INDEX(Temas!$E$6:$P$305,$C1846,2*$D1846),INDEX(Avulsos!$F$6:$F$205,$C1846))&amp;""="","","✓"))</f>
        <v/>
      </c>
      <c r="L1846" s="114" t="str">
        <f aca="true">IF($E1846="","",IF($K1846="✓","Concluído",IF($E1846&lt;TODAY(),"Atrasado",IF($E1846=TODAY(),"Hoje","Pendente"))))</f>
        <v/>
      </c>
      <c r="M1846" s="114" t="str">
        <f aca="false">IF($E1846="","",IF($K1846="✓","✓ ","")&amp;IF(Config!$E$22="Sim",$H1846&amp;" · ","")&amp;$F1846)</f>
        <v/>
      </c>
      <c r="N1846" s="114" t="str">
        <f aca="false">IF($E1846="","",IFERROR(INDEX(Config!$D$15:$D$19,MATCH($I1846,Config!$C$15:$C$19,0)),"OUT")&amp;IF($K1846="✓","x",""))</f>
        <v/>
      </c>
      <c r="O1846" s="114" t="str">
        <f aca="false">IF($E1846="","",COUNTIF($E$5:$E1846,$E1846))</f>
        <v/>
      </c>
      <c r="P1846" s="114" t="str">
        <f aca="false">IF($E1846="","",$E1846*100+$O1846)</f>
        <v/>
      </c>
      <c r="Q1846" s="114" t="str">
        <f aca="false">IF($L1846="Atrasado",$E1846*10000+$A1846,"")</f>
        <v/>
      </c>
    </row>
    <row r="1847" customFormat="false" ht="15" hidden="false" customHeight="false" outlineLevel="0" collapsed="false">
      <c r="A1847" s="114" t="n">
        <f aca="false">ROW()-4</f>
        <v>1843</v>
      </c>
      <c r="B1847" s="114" t="str">
        <f aca="false">IF(A1847&lt;=Config!$E$27*Config!$E$28,"Tema","Avulso")</f>
        <v>Avulso</v>
      </c>
      <c r="C1847" s="114" t="n">
        <f aca="false">IF(B1847="Tema",INT((A1847-1)/Config!$E$28)+1,A1847-Config!$E$27*Config!$E$28)</f>
        <v>43</v>
      </c>
      <c r="D1847" s="114" t="str">
        <f aca="false">IF(B1847="Tema",MOD(A1847-1,Config!$E$28)+1,"")</f>
        <v/>
      </c>
      <c r="E1847" s="115" t="str">
        <f aca="false">IF($B1847="Tema",IF(ISNUMBER(INDEX(Temas!$E$6:$P$305,$C1847,2*$D1847-1)),INDEX(Temas!$E$6:$P$305,$C1847,2*$D1847-1),""),IF(ISNUMBER(INDEX(Avulsos!$B$6:$B$205,$C1847)),INDEX(Avulsos!$B$6:$B$205,$C1847),""))</f>
        <v/>
      </c>
      <c r="F1847" s="114" t="str">
        <f aca="false">IF($E1847="","",IF($B1847="Tema",INDEX(Temas!$B$6:$B$305,$C1847)&amp;"",INDEX(Avulsos!$C$6:$C$205,$C1847)&amp;""))</f>
        <v/>
      </c>
      <c r="G1847" s="114" t="str">
        <f aca="false">IF($E1847="","",IF($B1847="Tema",INDEX(Config!$C$6:$C$11,$D1847),"Evento avulso"))</f>
        <v/>
      </c>
      <c r="H1847" s="114" t="str">
        <f aca="false">IF($E1847="","",IF($B1847="Tema",INDEX(Config!$D$6:$D$11,$D1847),IFERROR(INDEX(Config!$E$15:$E$19,MATCH($I1847,Config!$C$15:$C$19,0)),"•")))</f>
        <v/>
      </c>
      <c r="I1847" s="114" t="str">
        <f aca="false">IF($E1847="","",IF($B1847="Tema",INDEX(Config!$E$6:$E$11,$D1847),IF(INDEX(Avulsos!$D$6:$D$205,$C1847)&amp;""="","Outro",INDEX(Avulsos!$D$6:$D$205,$C1847))))</f>
        <v/>
      </c>
      <c r="J1847" s="114" t="str">
        <f aca="false">IF($E1847="","",IF($B1847="Tema",INDEX(Temas!$C$6:$C$305,$C1847)&amp;"",INDEX(Avulsos!$E$6:$E$205,$C1847)&amp;""))</f>
        <v/>
      </c>
      <c r="K1847" s="114" t="str">
        <f aca="false">IF($E1847="","",IF(IF($B1847="Tema",INDEX(Temas!$E$6:$P$305,$C1847,2*$D1847),INDEX(Avulsos!$F$6:$F$205,$C1847))&amp;""="","","✓"))</f>
        <v/>
      </c>
      <c r="L1847" s="114" t="str">
        <f aca="true">IF($E1847="","",IF($K1847="✓","Concluído",IF($E1847&lt;TODAY(),"Atrasado",IF($E1847=TODAY(),"Hoje","Pendente"))))</f>
        <v/>
      </c>
      <c r="M1847" s="114" t="str">
        <f aca="false">IF($E1847="","",IF($K1847="✓","✓ ","")&amp;IF(Config!$E$22="Sim",$H1847&amp;" · ","")&amp;$F1847)</f>
        <v/>
      </c>
      <c r="N1847" s="114" t="str">
        <f aca="false">IF($E1847="","",IFERROR(INDEX(Config!$D$15:$D$19,MATCH($I1847,Config!$C$15:$C$19,0)),"OUT")&amp;IF($K1847="✓","x",""))</f>
        <v/>
      </c>
      <c r="O1847" s="114" t="str">
        <f aca="false">IF($E1847="","",COUNTIF($E$5:$E1847,$E1847))</f>
        <v/>
      </c>
      <c r="P1847" s="114" t="str">
        <f aca="false">IF($E1847="","",$E1847*100+$O1847)</f>
        <v/>
      </c>
      <c r="Q1847" s="114" t="str">
        <f aca="false">IF($L1847="Atrasado",$E1847*10000+$A1847,"")</f>
        <v/>
      </c>
    </row>
    <row r="1848" customFormat="false" ht="15" hidden="false" customHeight="false" outlineLevel="0" collapsed="false">
      <c r="A1848" s="114" t="n">
        <f aca="false">ROW()-4</f>
        <v>1844</v>
      </c>
      <c r="B1848" s="114" t="str">
        <f aca="false">IF(A1848&lt;=Config!$E$27*Config!$E$28,"Tema","Avulso")</f>
        <v>Avulso</v>
      </c>
      <c r="C1848" s="114" t="n">
        <f aca="false">IF(B1848="Tema",INT((A1848-1)/Config!$E$28)+1,A1848-Config!$E$27*Config!$E$28)</f>
        <v>44</v>
      </c>
      <c r="D1848" s="114" t="str">
        <f aca="false">IF(B1848="Tema",MOD(A1848-1,Config!$E$28)+1,"")</f>
        <v/>
      </c>
      <c r="E1848" s="115" t="str">
        <f aca="false">IF($B1848="Tema",IF(ISNUMBER(INDEX(Temas!$E$6:$P$305,$C1848,2*$D1848-1)),INDEX(Temas!$E$6:$P$305,$C1848,2*$D1848-1),""),IF(ISNUMBER(INDEX(Avulsos!$B$6:$B$205,$C1848)),INDEX(Avulsos!$B$6:$B$205,$C1848),""))</f>
        <v/>
      </c>
      <c r="F1848" s="114" t="str">
        <f aca="false">IF($E1848="","",IF($B1848="Tema",INDEX(Temas!$B$6:$B$305,$C1848)&amp;"",INDEX(Avulsos!$C$6:$C$205,$C1848)&amp;""))</f>
        <v/>
      </c>
      <c r="G1848" s="114" t="str">
        <f aca="false">IF($E1848="","",IF($B1848="Tema",INDEX(Config!$C$6:$C$11,$D1848),"Evento avulso"))</f>
        <v/>
      </c>
      <c r="H1848" s="114" t="str">
        <f aca="false">IF($E1848="","",IF($B1848="Tema",INDEX(Config!$D$6:$D$11,$D1848),IFERROR(INDEX(Config!$E$15:$E$19,MATCH($I1848,Config!$C$15:$C$19,0)),"•")))</f>
        <v/>
      </c>
      <c r="I1848" s="114" t="str">
        <f aca="false">IF($E1848="","",IF($B1848="Tema",INDEX(Config!$E$6:$E$11,$D1848),IF(INDEX(Avulsos!$D$6:$D$205,$C1848)&amp;""="","Outro",INDEX(Avulsos!$D$6:$D$205,$C1848))))</f>
        <v/>
      </c>
      <c r="J1848" s="114" t="str">
        <f aca="false">IF($E1848="","",IF($B1848="Tema",INDEX(Temas!$C$6:$C$305,$C1848)&amp;"",INDEX(Avulsos!$E$6:$E$205,$C1848)&amp;""))</f>
        <v/>
      </c>
      <c r="K1848" s="114" t="str">
        <f aca="false">IF($E1848="","",IF(IF($B1848="Tema",INDEX(Temas!$E$6:$P$305,$C1848,2*$D1848),INDEX(Avulsos!$F$6:$F$205,$C1848))&amp;""="","","✓"))</f>
        <v/>
      </c>
      <c r="L1848" s="114" t="str">
        <f aca="true">IF($E1848="","",IF($K1848="✓","Concluído",IF($E1848&lt;TODAY(),"Atrasado",IF($E1848=TODAY(),"Hoje","Pendente"))))</f>
        <v/>
      </c>
      <c r="M1848" s="114" t="str">
        <f aca="false">IF($E1848="","",IF($K1848="✓","✓ ","")&amp;IF(Config!$E$22="Sim",$H1848&amp;" · ","")&amp;$F1848)</f>
        <v/>
      </c>
      <c r="N1848" s="114" t="str">
        <f aca="false">IF($E1848="","",IFERROR(INDEX(Config!$D$15:$D$19,MATCH($I1848,Config!$C$15:$C$19,0)),"OUT")&amp;IF($K1848="✓","x",""))</f>
        <v/>
      </c>
      <c r="O1848" s="114" t="str">
        <f aca="false">IF($E1848="","",COUNTIF($E$5:$E1848,$E1848))</f>
        <v/>
      </c>
      <c r="P1848" s="114" t="str">
        <f aca="false">IF($E1848="","",$E1848*100+$O1848)</f>
        <v/>
      </c>
      <c r="Q1848" s="114" t="str">
        <f aca="false">IF($L1848="Atrasado",$E1848*10000+$A1848,"")</f>
        <v/>
      </c>
    </row>
    <row r="1849" customFormat="false" ht="15" hidden="false" customHeight="false" outlineLevel="0" collapsed="false">
      <c r="A1849" s="114" t="n">
        <f aca="false">ROW()-4</f>
        <v>1845</v>
      </c>
      <c r="B1849" s="114" t="str">
        <f aca="false">IF(A1849&lt;=Config!$E$27*Config!$E$28,"Tema","Avulso")</f>
        <v>Avulso</v>
      </c>
      <c r="C1849" s="114" t="n">
        <f aca="false">IF(B1849="Tema",INT((A1849-1)/Config!$E$28)+1,A1849-Config!$E$27*Config!$E$28)</f>
        <v>45</v>
      </c>
      <c r="D1849" s="114" t="str">
        <f aca="false">IF(B1849="Tema",MOD(A1849-1,Config!$E$28)+1,"")</f>
        <v/>
      </c>
      <c r="E1849" s="115" t="str">
        <f aca="false">IF($B1849="Tema",IF(ISNUMBER(INDEX(Temas!$E$6:$P$305,$C1849,2*$D1849-1)),INDEX(Temas!$E$6:$P$305,$C1849,2*$D1849-1),""),IF(ISNUMBER(INDEX(Avulsos!$B$6:$B$205,$C1849)),INDEX(Avulsos!$B$6:$B$205,$C1849),""))</f>
        <v/>
      </c>
      <c r="F1849" s="114" t="str">
        <f aca="false">IF($E1849="","",IF($B1849="Tema",INDEX(Temas!$B$6:$B$305,$C1849)&amp;"",INDEX(Avulsos!$C$6:$C$205,$C1849)&amp;""))</f>
        <v/>
      </c>
      <c r="G1849" s="114" t="str">
        <f aca="false">IF($E1849="","",IF($B1849="Tema",INDEX(Config!$C$6:$C$11,$D1849),"Evento avulso"))</f>
        <v/>
      </c>
      <c r="H1849" s="114" t="str">
        <f aca="false">IF($E1849="","",IF($B1849="Tema",INDEX(Config!$D$6:$D$11,$D1849),IFERROR(INDEX(Config!$E$15:$E$19,MATCH($I1849,Config!$C$15:$C$19,0)),"•")))</f>
        <v/>
      </c>
      <c r="I1849" s="114" t="str">
        <f aca="false">IF($E1849="","",IF($B1849="Tema",INDEX(Config!$E$6:$E$11,$D1849),IF(INDEX(Avulsos!$D$6:$D$205,$C1849)&amp;""="","Outro",INDEX(Avulsos!$D$6:$D$205,$C1849))))</f>
        <v/>
      </c>
      <c r="J1849" s="114" t="str">
        <f aca="false">IF($E1849="","",IF($B1849="Tema",INDEX(Temas!$C$6:$C$305,$C1849)&amp;"",INDEX(Avulsos!$E$6:$E$205,$C1849)&amp;""))</f>
        <v/>
      </c>
      <c r="K1849" s="114" t="str">
        <f aca="false">IF($E1849="","",IF(IF($B1849="Tema",INDEX(Temas!$E$6:$P$305,$C1849,2*$D1849),INDEX(Avulsos!$F$6:$F$205,$C1849))&amp;""="","","✓"))</f>
        <v/>
      </c>
      <c r="L1849" s="114" t="str">
        <f aca="true">IF($E1849="","",IF($K1849="✓","Concluído",IF($E1849&lt;TODAY(),"Atrasado",IF($E1849=TODAY(),"Hoje","Pendente"))))</f>
        <v/>
      </c>
      <c r="M1849" s="114" t="str">
        <f aca="false">IF($E1849="","",IF($K1849="✓","✓ ","")&amp;IF(Config!$E$22="Sim",$H1849&amp;" · ","")&amp;$F1849)</f>
        <v/>
      </c>
      <c r="N1849" s="114" t="str">
        <f aca="false">IF($E1849="","",IFERROR(INDEX(Config!$D$15:$D$19,MATCH($I1849,Config!$C$15:$C$19,0)),"OUT")&amp;IF($K1849="✓","x",""))</f>
        <v/>
      </c>
      <c r="O1849" s="114" t="str">
        <f aca="false">IF($E1849="","",COUNTIF($E$5:$E1849,$E1849))</f>
        <v/>
      </c>
      <c r="P1849" s="114" t="str">
        <f aca="false">IF($E1849="","",$E1849*100+$O1849)</f>
        <v/>
      </c>
      <c r="Q1849" s="114" t="str">
        <f aca="false">IF($L1849="Atrasado",$E1849*10000+$A1849,"")</f>
        <v/>
      </c>
    </row>
    <row r="1850" customFormat="false" ht="15" hidden="false" customHeight="false" outlineLevel="0" collapsed="false">
      <c r="A1850" s="114" t="n">
        <f aca="false">ROW()-4</f>
        <v>1846</v>
      </c>
      <c r="B1850" s="114" t="str">
        <f aca="false">IF(A1850&lt;=Config!$E$27*Config!$E$28,"Tema","Avulso")</f>
        <v>Avulso</v>
      </c>
      <c r="C1850" s="114" t="n">
        <f aca="false">IF(B1850="Tema",INT((A1850-1)/Config!$E$28)+1,A1850-Config!$E$27*Config!$E$28)</f>
        <v>46</v>
      </c>
      <c r="D1850" s="114" t="str">
        <f aca="false">IF(B1850="Tema",MOD(A1850-1,Config!$E$28)+1,"")</f>
        <v/>
      </c>
      <c r="E1850" s="115" t="str">
        <f aca="false">IF($B1850="Tema",IF(ISNUMBER(INDEX(Temas!$E$6:$P$305,$C1850,2*$D1850-1)),INDEX(Temas!$E$6:$P$305,$C1850,2*$D1850-1),""),IF(ISNUMBER(INDEX(Avulsos!$B$6:$B$205,$C1850)),INDEX(Avulsos!$B$6:$B$205,$C1850),""))</f>
        <v/>
      </c>
      <c r="F1850" s="114" t="str">
        <f aca="false">IF($E1850="","",IF($B1850="Tema",INDEX(Temas!$B$6:$B$305,$C1850)&amp;"",INDEX(Avulsos!$C$6:$C$205,$C1850)&amp;""))</f>
        <v/>
      </c>
      <c r="G1850" s="114" t="str">
        <f aca="false">IF($E1850="","",IF($B1850="Tema",INDEX(Config!$C$6:$C$11,$D1850),"Evento avulso"))</f>
        <v/>
      </c>
      <c r="H1850" s="114" t="str">
        <f aca="false">IF($E1850="","",IF($B1850="Tema",INDEX(Config!$D$6:$D$11,$D1850),IFERROR(INDEX(Config!$E$15:$E$19,MATCH($I1850,Config!$C$15:$C$19,0)),"•")))</f>
        <v/>
      </c>
      <c r="I1850" s="114" t="str">
        <f aca="false">IF($E1850="","",IF($B1850="Tema",INDEX(Config!$E$6:$E$11,$D1850),IF(INDEX(Avulsos!$D$6:$D$205,$C1850)&amp;""="","Outro",INDEX(Avulsos!$D$6:$D$205,$C1850))))</f>
        <v/>
      </c>
      <c r="J1850" s="114" t="str">
        <f aca="false">IF($E1850="","",IF($B1850="Tema",INDEX(Temas!$C$6:$C$305,$C1850)&amp;"",INDEX(Avulsos!$E$6:$E$205,$C1850)&amp;""))</f>
        <v/>
      </c>
      <c r="K1850" s="114" t="str">
        <f aca="false">IF($E1850="","",IF(IF($B1850="Tema",INDEX(Temas!$E$6:$P$305,$C1850,2*$D1850),INDEX(Avulsos!$F$6:$F$205,$C1850))&amp;""="","","✓"))</f>
        <v/>
      </c>
      <c r="L1850" s="114" t="str">
        <f aca="true">IF($E1850="","",IF($K1850="✓","Concluído",IF($E1850&lt;TODAY(),"Atrasado",IF($E1850=TODAY(),"Hoje","Pendente"))))</f>
        <v/>
      </c>
      <c r="M1850" s="114" t="str">
        <f aca="false">IF($E1850="","",IF($K1850="✓","✓ ","")&amp;IF(Config!$E$22="Sim",$H1850&amp;" · ","")&amp;$F1850)</f>
        <v/>
      </c>
      <c r="N1850" s="114" t="str">
        <f aca="false">IF($E1850="","",IFERROR(INDEX(Config!$D$15:$D$19,MATCH($I1850,Config!$C$15:$C$19,0)),"OUT")&amp;IF($K1850="✓","x",""))</f>
        <v/>
      </c>
      <c r="O1850" s="114" t="str">
        <f aca="false">IF($E1850="","",COUNTIF($E$5:$E1850,$E1850))</f>
        <v/>
      </c>
      <c r="P1850" s="114" t="str">
        <f aca="false">IF($E1850="","",$E1850*100+$O1850)</f>
        <v/>
      </c>
      <c r="Q1850" s="114" t="str">
        <f aca="false">IF($L1850="Atrasado",$E1850*10000+$A1850,"")</f>
        <v/>
      </c>
    </row>
    <row r="1851" customFormat="false" ht="15" hidden="false" customHeight="false" outlineLevel="0" collapsed="false">
      <c r="A1851" s="114" t="n">
        <f aca="false">ROW()-4</f>
        <v>1847</v>
      </c>
      <c r="B1851" s="114" t="str">
        <f aca="false">IF(A1851&lt;=Config!$E$27*Config!$E$28,"Tema","Avulso")</f>
        <v>Avulso</v>
      </c>
      <c r="C1851" s="114" t="n">
        <f aca="false">IF(B1851="Tema",INT((A1851-1)/Config!$E$28)+1,A1851-Config!$E$27*Config!$E$28)</f>
        <v>47</v>
      </c>
      <c r="D1851" s="114" t="str">
        <f aca="false">IF(B1851="Tema",MOD(A1851-1,Config!$E$28)+1,"")</f>
        <v/>
      </c>
      <c r="E1851" s="115" t="str">
        <f aca="false">IF($B1851="Tema",IF(ISNUMBER(INDEX(Temas!$E$6:$P$305,$C1851,2*$D1851-1)),INDEX(Temas!$E$6:$P$305,$C1851,2*$D1851-1),""),IF(ISNUMBER(INDEX(Avulsos!$B$6:$B$205,$C1851)),INDEX(Avulsos!$B$6:$B$205,$C1851),""))</f>
        <v/>
      </c>
      <c r="F1851" s="114" t="str">
        <f aca="false">IF($E1851="","",IF($B1851="Tema",INDEX(Temas!$B$6:$B$305,$C1851)&amp;"",INDEX(Avulsos!$C$6:$C$205,$C1851)&amp;""))</f>
        <v/>
      </c>
      <c r="G1851" s="114" t="str">
        <f aca="false">IF($E1851="","",IF($B1851="Tema",INDEX(Config!$C$6:$C$11,$D1851),"Evento avulso"))</f>
        <v/>
      </c>
      <c r="H1851" s="114" t="str">
        <f aca="false">IF($E1851="","",IF($B1851="Tema",INDEX(Config!$D$6:$D$11,$D1851),IFERROR(INDEX(Config!$E$15:$E$19,MATCH($I1851,Config!$C$15:$C$19,0)),"•")))</f>
        <v/>
      </c>
      <c r="I1851" s="114" t="str">
        <f aca="false">IF($E1851="","",IF($B1851="Tema",INDEX(Config!$E$6:$E$11,$D1851),IF(INDEX(Avulsos!$D$6:$D$205,$C1851)&amp;""="","Outro",INDEX(Avulsos!$D$6:$D$205,$C1851))))</f>
        <v/>
      </c>
      <c r="J1851" s="114" t="str">
        <f aca="false">IF($E1851="","",IF($B1851="Tema",INDEX(Temas!$C$6:$C$305,$C1851)&amp;"",INDEX(Avulsos!$E$6:$E$205,$C1851)&amp;""))</f>
        <v/>
      </c>
      <c r="K1851" s="114" t="str">
        <f aca="false">IF($E1851="","",IF(IF($B1851="Tema",INDEX(Temas!$E$6:$P$305,$C1851,2*$D1851),INDEX(Avulsos!$F$6:$F$205,$C1851))&amp;""="","","✓"))</f>
        <v/>
      </c>
      <c r="L1851" s="114" t="str">
        <f aca="true">IF($E1851="","",IF($K1851="✓","Concluído",IF($E1851&lt;TODAY(),"Atrasado",IF($E1851=TODAY(),"Hoje","Pendente"))))</f>
        <v/>
      </c>
      <c r="M1851" s="114" t="str">
        <f aca="false">IF($E1851="","",IF($K1851="✓","✓ ","")&amp;IF(Config!$E$22="Sim",$H1851&amp;" · ","")&amp;$F1851)</f>
        <v/>
      </c>
      <c r="N1851" s="114" t="str">
        <f aca="false">IF($E1851="","",IFERROR(INDEX(Config!$D$15:$D$19,MATCH($I1851,Config!$C$15:$C$19,0)),"OUT")&amp;IF($K1851="✓","x",""))</f>
        <v/>
      </c>
      <c r="O1851" s="114" t="str">
        <f aca="false">IF($E1851="","",COUNTIF($E$5:$E1851,$E1851))</f>
        <v/>
      </c>
      <c r="P1851" s="114" t="str">
        <f aca="false">IF($E1851="","",$E1851*100+$O1851)</f>
        <v/>
      </c>
      <c r="Q1851" s="114" t="str">
        <f aca="false">IF($L1851="Atrasado",$E1851*10000+$A1851,"")</f>
        <v/>
      </c>
    </row>
    <row r="1852" customFormat="false" ht="15" hidden="false" customHeight="false" outlineLevel="0" collapsed="false">
      <c r="A1852" s="114" t="n">
        <f aca="false">ROW()-4</f>
        <v>1848</v>
      </c>
      <c r="B1852" s="114" t="str">
        <f aca="false">IF(A1852&lt;=Config!$E$27*Config!$E$28,"Tema","Avulso")</f>
        <v>Avulso</v>
      </c>
      <c r="C1852" s="114" t="n">
        <f aca="false">IF(B1852="Tema",INT((A1852-1)/Config!$E$28)+1,A1852-Config!$E$27*Config!$E$28)</f>
        <v>48</v>
      </c>
      <c r="D1852" s="114" t="str">
        <f aca="false">IF(B1852="Tema",MOD(A1852-1,Config!$E$28)+1,"")</f>
        <v/>
      </c>
      <c r="E1852" s="115" t="str">
        <f aca="false">IF($B1852="Tema",IF(ISNUMBER(INDEX(Temas!$E$6:$P$305,$C1852,2*$D1852-1)),INDEX(Temas!$E$6:$P$305,$C1852,2*$D1852-1),""),IF(ISNUMBER(INDEX(Avulsos!$B$6:$B$205,$C1852)),INDEX(Avulsos!$B$6:$B$205,$C1852),""))</f>
        <v/>
      </c>
      <c r="F1852" s="114" t="str">
        <f aca="false">IF($E1852="","",IF($B1852="Tema",INDEX(Temas!$B$6:$B$305,$C1852)&amp;"",INDEX(Avulsos!$C$6:$C$205,$C1852)&amp;""))</f>
        <v/>
      </c>
      <c r="G1852" s="114" t="str">
        <f aca="false">IF($E1852="","",IF($B1852="Tema",INDEX(Config!$C$6:$C$11,$D1852),"Evento avulso"))</f>
        <v/>
      </c>
      <c r="H1852" s="114" t="str">
        <f aca="false">IF($E1852="","",IF($B1852="Tema",INDEX(Config!$D$6:$D$11,$D1852),IFERROR(INDEX(Config!$E$15:$E$19,MATCH($I1852,Config!$C$15:$C$19,0)),"•")))</f>
        <v/>
      </c>
      <c r="I1852" s="114" t="str">
        <f aca="false">IF($E1852="","",IF($B1852="Tema",INDEX(Config!$E$6:$E$11,$D1852),IF(INDEX(Avulsos!$D$6:$D$205,$C1852)&amp;""="","Outro",INDEX(Avulsos!$D$6:$D$205,$C1852))))</f>
        <v/>
      </c>
      <c r="J1852" s="114" t="str">
        <f aca="false">IF($E1852="","",IF($B1852="Tema",INDEX(Temas!$C$6:$C$305,$C1852)&amp;"",INDEX(Avulsos!$E$6:$E$205,$C1852)&amp;""))</f>
        <v/>
      </c>
      <c r="K1852" s="114" t="str">
        <f aca="false">IF($E1852="","",IF(IF($B1852="Tema",INDEX(Temas!$E$6:$P$305,$C1852,2*$D1852),INDEX(Avulsos!$F$6:$F$205,$C1852))&amp;""="","","✓"))</f>
        <v/>
      </c>
      <c r="L1852" s="114" t="str">
        <f aca="true">IF($E1852="","",IF($K1852="✓","Concluído",IF($E1852&lt;TODAY(),"Atrasado",IF($E1852=TODAY(),"Hoje","Pendente"))))</f>
        <v/>
      </c>
      <c r="M1852" s="114" t="str">
        <f aca="false">IF($E1852="","",IF($K1852="✓","✓ ","")&amp;IF(Config!$E$22="Sim",$H1852&amp;" · ","")&amp;$F1852)</f>
        <v/>
      </c>
      <c r="N1852" s="114" t="str">
        <f aca="false">IF($E1852="","",IFERROR(INDEX(Config!$D$15:$D$19,MATCH($I1852,Config!$C$15:$C$19,0)),"OUT")&amp;IF($K1852="✓","x",""))</f>
        <v/>
      </c>
      <c r="O1852" s="114" t="str">
        <f aca="false">IF($E1852="","",COUNTIF($E$5:$E1852,$E1852))</f>
        <v/>
      </c>
      <c r="P1852" s="114" t="str">
        <f aca="false">IF($E1852="","",$E1852*100+$O1852)</f>
        <v/>
      </c>
      <c r="Q1852" s="114" t="str">
        <f aca="false">IF($L1852="Atrasado",$E1852*10000+$A1852,"")</f>
        <v/>
      </c>
    </row>
    <row r="1853" customFormat="false" ht="15" hidden="false" customHeight="false" outlineLevel="0" collapsed="false">
      <c r="A1853" s="114" t="n">
        <f aca="false">ROW()-4</f>
        <v>1849</v>
      </c>
      <c r="B1853" s="114" t="str">
        <f aca="false">IF(A1853&lt;=Config!$E$27*Config!$E$28,"Tema","Avulso")</f>
        <v>Avulso</v>
      </c>
      <c r="C1853" s="114" t="n">
        <f aca="false">IF(B1853="Tema",INT((A1853-1)/Config!$E$28)+1,A1853-Config!$E$27*Config!$E$28)</f>
        <v>49</v>
      </c>
      <c r="D1853" s="114" t="str">
        <f aca="false">IF(B1853="Tema",MOD(A1853-1,Config!$E$28)+1,"")</f>
        <v/>
      </c>
      <c r="E1853" s="115" t="str">
        <f aca="false">IF($B1853="Tema",IF(ISNUMBER(INDEX(Temas!$E$6:$P$305,$C1853,2*$D1853-1)),INDEX(Temas!$E$6:$P$305,$C1853,2*$D1853-1),""),IF(ISNUMBER(INDEX(Avulsos!$B$6:$B$205,$C1853)),INDEX(Avulsos!$B$6:$B$205,$C1853),""))</f>
        <v/>
      </c>
      <c r="F1853" s="114" t="str">
        <f aca="false">IF($E1853="","",IF($B1853="Tema",INDEX(Temas!$B$6:$B$305,$C1853)&amp;"",INDEX(Avulsos!$C$6:$C$205,$C1853)&amp;""))</f>
        <v/>
      </c>
      <c r="G1853" s="114" t="str">
        <f aca="false">IF($E1853="","",IF($B1853="Tema",INDEX(Config!$C$6:$C$11,$D1853),"Evento avulso"))</f>
        <v/>
      </c>
      <c r="H1853" s="114" t="str">
        <f aca="false">IF($E1853="","",IF($B1853="Tema",INDEX(Config!$D$6:$D$11,$D1853),IFERROR(INDEX(Config!$E$15:$E$19,MATCH($I1853,Config!$C$15:$C$19,0)),"•")))</f>
        <v/>
      </c>
      <c r="I1853" s="114" t="str">
        <f aca="false">IF($E1853="","",IF($B1853="Tema",INDEX(Config!$E$6:$E$11,$D1853),IF(INDEX(Avulsos!$D$6:$D$205,$C1853)&amp;""="","Outro",INDEX(Avulsos!$D$6:$D$205,$C1853))))</f>
        <v/>
      </c>
      <c r="J1853" s="114" t="str">
        <f aca="false">IF($E1853="","",IF($B1853="Tema",INDEX(Temas!$C$6:$C$305,$C1853)&amp;"",INDEX(Avulsos!$E$6:$E$205,$C1853)&amp;""))</f>
        <v/>
      </c>
      <c r="K1853" s="114" t="str">
        <f aca="false">IF($E1853="","",IF(IF($B1853="Tema",INDEX(Temas!$E$6:$P$305,$C1853,2*$D1853),INDEX(Avulsos!$F$6:$F$205,$C1853))&amp;""="","","✓"))</f>
        <v/>
      </c>
      <c r="L1853" s="114" t="str">
        <f aca="true">IF($E1853="","",IF($K1853="✓","Concluído",IF($E1853&lt;TODAY(),"Atrasado",IF($E1853=TODAY(),"Hoje","Pendente"))))</f>
        <v/>
      </c>
      <c r="M1853" s="114" t="str">
        <f aca="false">IF($E1853="","",IF($K1853="✓","✓ ","")&amp;IF(Config!$E$22="Sim",$H1853&amp;" · ","")&amp;$F1853)</f>
        <v/>
      </c>
      <c r="N1853" s="114" t="str">
        <f aca="false">IF($E1853="","",IFERROR(INDEX(Config!$D$15:$D$19,MATCH($I1853,Config!$C$15:$C$19,0)),"OUT")&amp;IF($K1853="✓","x",""))</f>
        <v/>
      </c>
      <c r="O1853" s="114" t="str">
        <f aca="false">IF($E1853="","",COUNTIF($E$5:$E1853,$E1853))</f>
        <v/>
      </c>
      <c r="P1853" s="114" t="str">
        <f aca="false">IF($E1853="","",$E1853*100+$O1853)</f>
        <v/>
      </c>
      <c r="Q1853" s="114" t="str">
        <f aca="false">IF($L1853="Atrasado",$E1853*10000+$A1853,"")</f>
        <v/>
      </c>
    </row>
    <row r="1854" customFormat="false" ht="15" hidden="false" customHeight="false" outlineLevel="0" collapsed="false">
      <c r="A1854" s="114" t="n">
        <f aca="false">ROW()-4</f>
        <v>1850</v>
      </c>
      <c r="B1854" s="114" t="str">
        <f aca="false">IF(A1854&lt;=Config!$E$27*Config!$E$28,"Tema","Avulso")</f>
        <v>Avulso</v>
      </c>
      <c r="C1854" s="114" t="n">
        <f aca="false">IF(B1854="Tema",INT((A1854-1)/Config!$E$28)+1,A1854-Config!$E$27*Config!$E$28)</f>
        <v>50</v>
      </c>
      <c r="D1854" s="114" t="str">
        <f aca="false">IF(B1854="Tema",MOD(A1854-1,Config!$E$28)+1,"")</f>
        <v/>
      </c>
      <c r="E1854" s="115" t="str">
        <f aca="false">IF($B1854="Tema",IF(ISNUMBER(INDEX(Temas!$E$6:$P$305,$C1854,2*$D1854-1)),INDEX(Temas!$E$6:$P$305,$C1854,2*$D1854-1),""),IF(ISNUMBER(INDEX(Avulsos!$B$6:$B$205,$C1854)),INDEX(Avulsos!$B$6:$B$205,$C1854),""))</f>
        <v/>
      </c>
      <c r="F1854" s="114" t="str">
        <f aca="false">IF($E1854="","",IF($B1854="Tema",INDEX(Temas!$B$6:$B$305,$C1854)&amp;"",INDEX(Avulsos!$C$6:$C$205,$C1854)&amp;""))</f>
        <v/>
      </c>
      <c r="G1854" s="114" t="str">
        <f aca="false">IF($E1854="","",IF($B1854="Tema",INDEX(Config!$C$6:$C$11,$D1854),"Evento avulso"))</f>
        <v/>
      </c>
      <c r="H1854" s="114" t="str">
        <f aca="false">IF($E1854="","",IF($B1854="Tema",INDEX(Config!$D$6:$D$11,$D1854),IFERROR(INDEX(Config!$E$15:$E$19,MATCH($I1854,Config!$C$15:$C$19,0)),"•")))</f>
        <v/>
      </c>
      <c r="I1854" s="114" t="str">
        <f aca="false">IF($E1854="","",IF($B1854="Tema",INDEX(Config!$E$6:$E$11,$D1854),IF(INDEX(Avulsos!$D$6:$D$205,$C1854)&amp;""="","Outro",INDEX(Avulsos!$D$6:$D$205,$C1854))))</f>
        <v/>
      </c>
      <c r="J1854" s="114" t="str">
        <f aca="false">IF($E1854="","",IF($B1854="Tema",INDEX(Temas!$C$6:$C$305,$C1854)&amp;"",INDEX(Avulsos!$E$6:$E$205,$C1854)&amp;""))</f>
        <v/>
      </c>
      <c r="K1854" s="114" t="str">
        <f aca="false">IF($E1854="","",IF(IF($B1854="Tema",INDEX(Temas!$E$6:$P$305,$C1854,2*$D1854),INDEX(Avulsos!$F$6:$F$205,$C1854))&amp;""="","","✓"))</f>
        <v/>
      </c>
      <c r="L1854" s="114" t="str">
        <f aca="true">IF($E1854="","",IF($K1854="✓","Concluído",IF($E1854&lt;TODAY(),"Atrasado",IF($E1854=TODAY(),"Hoje","Pendente"))))</f>
        <v/>
      </c>
      <c r="M1854" s="114" t="str">
        <f aca="false">IF($E1854="","",IF($K1854="✓","✓ ","")&amp;IF(Config!$E$22="Sim",$H1854&amp;" · ","")&amp;$F1854)</f>
        <v/>
      </c>
      <c r="N1854" s="114" t="str">
        <f aca="false">IF($E1854="","",IFERROR(INDEX(Config!$D$15:$D$19,MATCH($I1854,Config!$C$15:$C$19,0)),"OUT")&amp;IF($K1854="✓","x",""))</f>
        <v/>
      </c>
      <c r="O1854" s="114" t="str">
        <f aca="false">IF($E1854="","",COUNTIF($E$5:$E1854,$E1854))</f>
        <v/>
      </c>
      <c r="P1854" s="114" t="str">
        <f aca="false">IF($E1854="","",$E1854*100+$O1854)</f>
        <v/>
      </c>
      <c r="Q1854" s="114" t="str">
        <f aca="false">IF($L1854="Atrasado",$E1854*10000+$A1854,"")</f>
        <v/>
      </c>
    </row>
    <row r="1855" customFormat="false" ht="15" hidden="false" customHeight="false" outlineLevel="0" collapsed="false">
      <c r="A1855" s="114" t="n">
        <f aca="false">ROW()-4</f>
        <v>1851</v>
      </c>
      <c r="B1855" s="114" t="str">
        <f aca="false">IF(A1855&lt;=Config!$E$27*Config!$E$28,"Tema","Avulso")</f>
        <v>Avulso</v>
      </c>
      <c r="C1855" s="114" t="n">
        <f aca="false">IF(B1855="Tema",INT((A1855-1)/Config!$E$28)+1,A1855-Config!$E$27*Config!$E$28)</f>
        <v>51</v>
      </c>
      <c r="D1855" s="114" t="str">
        <f aca="false">IF(B1855="Tema",MOD(A1855-1,Config!$E$28)+1,"")</f>
        <v/>
      </c>
      <c r="E1855" s="115" t="str">
        <f aca="false">IF($B1855="Tema",IF(ISNUMBER(INDEX(Temas!$E$6:$P$305,$C1855,2*$D1855-1)),INDEX(Temas!$E$6:$P$305,$C1855,2*$D1855-1),""),IF(ISNUMBER(INDEX(Avulsos!$B$6:$B$205,$C1855)),INDEX(Avulsos!$B$6:$B$205,$C1855),""))</f>
        <v/>
      </c>
      <c r="F1855" s="114" t="str">
        <f aca="false">IF($E1855="","",IF($B1855="Tema",INDEX(Temas!$B$6:$B$305,$C1855)&amp;"",INDEX(Avulsos!$C$6:$C$205,$C1855)&amp;""))</f>
        <v/>
      </c>
      <c r="G1855" s="114" t="str">
        <f aca="false">IF($E1855="","",IF($B1855="Tema",INDEX(Config!$C$6:$C$11,$D1855),"Evento avulso"))</f>
        <v/>
      </c>
      <c r="H1855" s="114" t="str">
        <f aca="false">IF($E1855="","",IF($B1855="Tema",INDEX(Config!$D$6:$D$11,$D1855),IFERROR(INDEX(Config!$E$15:$E$19,MATCH($I1855,Config!$C$15:$C$19,0)),"•")))</f>
        <v/>
      </c>
      <c r="I1855" s="114" t="str">
        <f aca="false">IF($E1855="","",IF($B1855="Tema",INDEX(Config!$E$6:$E$11,$D1855),IF(INDEX(Avulsos!$D$6:$D$205,$C1855)&amp;""="","Outro",INDEX(Avulsos!$D$6:$D$205,$C1855))))</f>
        <v/>
      </c>
      <c r="J1855" s="114" t="str">
        <f aca="false">IF($E1855="","",IF($B1855="Tema",INDEX(Temas!$C$6:$C$305,$C1855)&amp;"",INDEX(Avulsos!$E$6:$E$205,$C1855)&amp;""))</f>
        <v/>
      </c>
      <c r="K1855" s="114" t="str">
        <f aca="false">IF($E1855="","",IF(IF($B1855="Tema",INDEX(Temas!$E$6:$P$305,$C1855,2*$D1855),INDEX(Avulsos!$F$6:$F$205,$C1855))&amp;""="","","✓"))</f>
        <v/>
      </c>
      <c r="L1855" s="114" t="str">
        <f aca="true">IF($E1855="","",IF($K1855="✓","Concluído",IF($E1855&lt;TODAY(),"Atrasado",IF($E1855=TODAY(),"Hoje","Pendente"))))</f>
        <v/>
      </c>
      <c r="M1855" s="114" t="str">
        <f aca="false">IF($E1855="","",IF($K1855="✓","✓ ","")&amp;IF(Config!$E$22="Sim",$H1855&amp;" · ","")&amp;$F1855)</f>
        <v/>
      </c>
      <c r="N1855" s="114" t="str">
        <f aca="false">IF($E1855="","",IFERROR(INDEX(Config!$D$15:$D$19,MATCH($I1855,Config!$C$15:$C$19,0)),"OUT")&amp;IF($K1855="✓","x",""))</f>
        <v/>
      </c>
      <c r="O1855" s="114" t="str">
        <f aca="false">IF($E1855="","",COUNTIF($E$5:$E1855,$E1855))</f>
        <v/>
      </c>
      <c r="P1855" s="114" t="str">
        <f aca="false">IF($E1855="","",$E1855*100+$O1855)</f>
        <v/>
      </c>
      <c r="Q1855" s="114" t="str">
        <f aca="false">IF($L1855="Atrasado",$E1855*10000+$A1855,"")</f>
        <v/>
      </c>
    </row>
    <row r="1856" customFormat="false" ht="15" hidden="false" customHeight="false" outlineLevel="0" collapsed="false">
      <c r="A1856" s="114" t="n">
        <f aca="false">ROW()-4</f>
        <v>1852</v>
      </c>
      <c r="B1856" s="114" t="str">
        <f aca="false">IF(A1856&lt;=Config!$E$27*Config!$E$28,"Tema","Avulso")</f>
        <v>Avulso</v>
      </c>
      <c r="C1856" s="114" t="n">
        <f aca="false">IF(B1856="Tema",INT((A1856-1)/Config!$E$28)+1,A1856-Config!$E$27*Config!$E$28)</f>
        <v>52</v>
      </c>
      <c r="D1856" s="114" t="str">
        <f aca="false">IF(B1856="Tema",MOD(A1856-1,Config!$E$28)+1,"")</f>
        <v/>
      </c>
      <c r="E1856" s="115" t="str">
        <f aca="false">IF($B1856="Tema",IF(ISNUMBER(INDEX(Temas!$E$6:$P$305,$C1856,2*$D1856-1)),INDEX(Temas!$E$6:$P$305,$C1856,2*$D1856-1),""),IF(ISNUMBER(INDEX(Avulsos!$B$6:$B$205,$C1856)),INDEX(Avulsos!$B$6:$B$205,$C1856),""))</f>
        <v/>
      </c>
      <c r="F1856" s="114" t="str">
        <f aca="false">IF($E1856="","",IF($B1856="Tema",INDEX(Temas!$B$6:$B$305,$C1856)&amp;"",INDEX(Avulsos!$C$6:$C$205,$C1856)&amp;""))</f>
        <v/>
      </c>
      <c r="G1856" s="114" t="str">
        <f aca="false">IF($E1856="","",IF($B1856="Tema",INDEX(Config!$C$6:$C$11,$D1856),"Evento avulso"))</f>
        <v/>
      </c>
      <c r="H1856" s="114" t="str">
        <f aca="false">IF($E1856="","",IF($B1856="Tema",INDEX(Config!$D$6:$D$11,$D1856),IFERROR(INDEX(Config!$E$15:$E$19,MATCH($I1856,Config!$C$15:$C$19,0)),"•")))</f>
        <v/>
      </c>
      <c r="I1856" s="114" t="str">
        <f aca="false">IF($E1856="","",IF($B1856="Tema",INDEX(Config!$E$6:$E$11,$D1856),IF(INDEX(Avulsos!$D$6:$D$205,$C1856)&amp;""="","Outro",INDEX(Avulsos!$D$6:$D$205,$C1856))))</f>
        <v/>
      </c>
      <c r="J1856" s="114" t="str">
        <f aca="false">IF($E1856="","",IF($B1856="Tema",INDEX(Temas!$C$6:$C$305,$C1856)&amp;"",INDEX(Avulsos!$E$6:$E$205,$C1856)&amp;""))</f>
        <v/>
      </c>
      <c r="K1856" s="114" t="str">
        <f aca="false">IF($E1856="","",IF(IF($B1856="Tema",INDEX(Temas!$E$6:$P$305,$C1856,2*$D1856),INDEX(Avulsos!$F$6:$F$205,$C1856))&amp;""="","","✓"))</f>
        <v/>
      </c>
      <c r="L1856" s="114" t="str">
        <f aca="true">IF($E1856="","",IF($K1856="✓","Concluído",IF($E1856&lt;TODAY(),"Atrasado",IF($E1856=TODAY(),"Hoje","Pendente"))))</f>
        <v/>
      </c>
      <c r="M1856" s="114" t="str">
        <f aca="false">IF($E1856="","",IF($K1856="✓","✓ ","")&amp;IF(Config!$E$22="Sim",$H1856&amp;" · ","")&amp;$F1856)</f>
        <v/>
      </c>
      <c r="N1856" s="114" t="str">
        <f aca="false">IF($E1856="","",IFERROR(INDEX(Config!$D$15:$D$19,MATCH($I1856,Config!$C$15:$C$19,0)),"OUT")&amp;IF($K1856="✓","x",""))</f>
        <v/>
      </c>
      <c r="O1856" s="114" t="str">
        <f aca="false">IF($E1856="","",COUNTIF($E$5:$E1856,$E1856))</f>
        <v/>
      </c>
      <c r="P1856" s="114" t="str">
        <f aca="false">IF($E1856="","",$E1856*100+$O1856)</f>
        <v/>
      </c>
      <c r="Q1856" s="114" t="str">
        <f aca="false">IF($L1856="Atrasado",$E1856*10000+$A1856,"")</f>
        <v/>
      </c>
    </row>
    <row r="1857" customFormat="false" ht="15" hidden="false" customHeight="false" outlineLevel="0" collapsed="false">
      <c r="A1857" s="114" t="n">
        <f aca="false">ROW()-4</f>
        <v>1853</v>
      </c>
      <c r="B1857" s="114" t="str">
        <f aca="false">IF(A1857&lt;=Config!$E$27*Config!$E$28,"Tema","Avulso")</f>
        <v>Avulso</v>
      </c>
      <c r="C1857" s="114" t="n">
        <f aca="false">IF(B1857="Tema",INT((A1857-1)/Config!$E$28)+1,A1857-Config!$E$27*Config!$E$28)</f>
        <v>53</v>
      </c>
      <c r="D1857" s="114" t="str">
        <f aca="false">IF(B1857="Tema",MOD(A1857-1,Config!$E$28)+1,"")</f>
        <v/>
      </c>
      <c r="E1857" s="115" t="str">
        <f aca="false">IF($B1857="Tema",IF(ISNUMBER(INDEX(Temas!$E$6:$P$305,$C1857,2*$D1857-1)),INDEX(Temas!$E$6:$P$305,$C1857,2*$D1857-1),""),IF(ISNUMBER(INDEX(Avulsos!$B$6:$B$205,$C1857)),INDEX(Avulsos!$B$6:$B$205,$C1857),""))</f>
        <v/>
      </c>
      <c r="F1857" s="114" t="str">
        <f aca="false">IF($E1857="","",IF($B1857="Tema",INDEX(Temas!$B$6:$B$305,$C1857)&amp;"",INDEX(Avulsos!$C$6:$C$205,$C1857)&amp;""))</f>
        <v/>
      </c>
      <c r="G1857" s="114" t="str">
        <f aca="false">IF($E1857="","",IF($B1857="Tema",INDEX(Config!$C$6:$C$11,$D1857),"Evento avulso"))</f>
        <v/>
      </c>
      <c r="H1857" s="114" t="str">
        <f aca="false">IF($E1857="","",IF($B1857="Tema",INDEX(Config!$D$6:$D$11,$D1857),IFERROR(INDEX(Config!$E$15:$E$19,MATCH($I1857,Config!$C$15:$C$19,0)),"•")))</f>
        <v/>
      </c>
      <c r="I1857" s="114" t="str">
        <f aca="false">IF($E1857="","",IF($B1857="Tema",INDEX(Config!$E$6:$E$11,$D1857),IF(INDEX(Avulsos!$D$6:$D$205,$C1857)&amp;""="","Outro",INDEX(Avulsos!$D$6:$D$205,$C1857))))</f>
        <v/>
      </c>
      <c r="J1857" s="114" t="str">
        <f aca="false">IF($E1857="","",IF($B1857="Tema",INDEX(Temas!$C$6:$C$305,$C1857)&amp;"",INDEX(Avulsos!$E$6:$E$205,$C1857)&amp;""))</f>
        <v/>
      </c>
      <c r="K1857" s="114" t="str">
        <f aca="false">IF($E1857="","",IF(IF($B1857="Tema",INDEX(Temas!$E$6:$P$305,$C1857,2*$D1857),INDEX(Avulsos!$F$6:$F$205,$C1857))&amp;""="","","✓"))</f>
        <v/>
      </c>
      <c r="L1857" s="114" t="str">
        <f aca="true">IF($E1857="","",IF($K1857="✓","Concluído",IF($E1857&lt;TODAY(),"Atrasado",IF($E1857=TODAY(),"Hoje","Pendente"))))</f>
        <v/>
      </c>
      <c r="M1857" s="114" t="str">
        <f aca="false">IF($E1857="","",IF($K1857="✓","✓ ","")&amp;IF(Config!$E$22="Sim",$H1857&amp;" · ","")&amp;$F1857)</f>
        <v/>
      </c>
      <c r="N1857" s="114" t="str">
        <f aca="false">IF($E1857="","",IFERROR(INDEX(Config!$D$15:$D$19,MATCH($I1857,Config!$C$15:$C$19,0)),"OUT")&amp;IF($K1857="✓","x",""))</f>
        <v/>
      </c>
      <c r="O1857" s="114" t="str">
        <f aca="false">IF($E1857="","",COUNTIF($E$5:$E1857,$E1857))</f>
        <v/>
      </c>
      <c r="P1857" s="114" t="str">
        <f aca="false">IF($E1857="","",$E1857*100+$O1857)</f>
        <v/>
      </c>
      <c r="Q1857" s="114" t="str">
        <f aca="false">IF($L1857="Atrasado",$E1857*10000+$A1857,"")</f>
        <v/>
      </c>
    </row>
    <row r="1858" customFormat="false" ht="15" hidden="false" customHeight="false" outlineLevel="0" collapsed="false">
      <c r="A1858" s="114" t="n">
        <f aca="false">ROW()-4</f>
        <v>1854</v>
      </c>
      <c r="B1858" s="114" t="str">
        <f aca="false">IF(A1858&lt;=Config!$E$27*Config!$E$28,"Tema","Avulso")</f>
        <v>Avulso</v>
      </c>
      <c r="C1858" s="114" t="n">
        <f aca="false">IF(B1858="Tema",INT((A1858-1)/Config!$E$28)+1,A1858-Config!$E$27*Config!$E$28)</f>
        <v>54</v>
      </c>
      <c r="D1858" s="114" t="str">
        <f aca="false">IF(B1858="Tema",MOD(A1858-1,Config!$E$28)+1,"")</f>
        <v/>
      </c>
      <c r="E1858" s="115" t="str">
        <f aca="false">IF($B1858="Tema",IF(ISNUMBER(INDEX(Temas!$E$6:$P$305,$C1858,2*$D1858-1)),INDEX(Temas!$E$6:$P$305,$C1858,2*$D1858-1),""),IF(ISNUMBER(INDEX(Avulsos!$B$6:$B$205,$C1858)),INDEX(Avulsos!$B$6:$B$205,$C1858),""))</f>
        <v/>
      </c>
      <c r="F1858" s="114" t="str">
        <f aca="false">IF($E1858="","",IF($B1858="Tema",INDEX(Temas!$B$6:$B$305,$C1858)&amp;"",INDEX(Avulsos!$C$6:$C$205,$C1858)&amp;""))</f>
        <v/>
      </c>
      <c r="G1858" s="114" t="str">
        <f aca="false">IF($E1858="","",IF($B1858="Tema",INDEX(Config!$C$6:$C$11,$D1858),"Evento avulso"))</f>
        <v/>
      </c>
      <c r="H1858" s="114" t="str">
        <f aca="false">IF($E1858="","",IF($B1858="Tema",INDEX(Config!$D$6:$D$11,$D1858),IFERROR(INDEX(Config!$E$15:$E$19,MATCH($I1858,Config!$C$15:$C$19,0)),"•")))</f>
        <v/>
      </c>
      <c r="I1858" s="114" t="str">
        <f aca="false">IF($E1858="","",IF($B1858="Tema",INDEX(Config!$E$6:$E$11,$D1858),IF(INDEX(Avulsos!$D$6:$D$205,$C1858)&amp;""="","Outro",INDEX(Avulsos!$D$6:$D$205,$C1858))))</f>
        <v/>
      </c>
      <c r="J1858" s="114" t="str">
        <f aca="false">IF($E1858="","",IF($B1858="Tema",INDEX(Temas!$C$6:$C$305,$C1858)&amp;"",INDEX(Avulsos!$E$6:$E$205,$C1858)&amp;""))</f>
        <v/>
      </c>
      <c r="K1858" s="114" t="str">
        <f aca="false">IF($E1858="","",IF(IF($B1858="Tema",INDEX(Temas!$E$6:$P$305,$C1858,2*$D1858),INDEX(Avulsos!$F$6:$F$205,$C1858))&amp;""="","","✓"))</f>
        <v/>
      </c>
      <c r="L1858" s="114" t="str">
        <f aca="true">IF($E1858="","",IF($K1858="✓","Concluído",IF($E1858&lt;TODAY(),"Atrasado",IF($E1858=TODAY(),"Hoje","Pendente"))))</f>
        <v/>
      </c>
      <c r="M1858" s="114" t="str">
        <f aca="false">IF($E1858="","",IF($K1858="✓","✓ ","")&amp;IF(Config!$E$22="Sim",$H1858&amp;" · ","")&amp;$F1858)</f>
        <v/>
      </c>
      <c r="N1858" s="114" t="str">
        <f aca="false">IF($E1858="","",IFERROR(INDEX(Config!$D$15:$D$19,MATCH($I1858,Config!$C$15:$C$19,0)),"OUT")&amp;IF($K1858="✓","x",""))</f>
        <v/>
      </c>
      <c r="O1858" s="114" t="str">
        <f aca="false">IF($E1858="","",COUNTIF($E$5:$E1858,$E1858))</f>
        <v/>
      </c>
      <c r="P1858" s="114" t="str">
        <f aca="false">IF($E1858="","",$E1858*100+$O1858)</f>
        <v/>
      </c>
      <c r="Q1858" s="114" t="str">
        <f aca="false">IF($L1858="Atrasado",$E1858*10000+$A1858,"")</f>
        <v/>
      </c>
    </row>
    <row r="1859" customFormat="false" ht="15" hidden="false" customHeight="false" outlineLevel="0" collapsed="false">
      <c r="A1859" s="114" t="n">
        <f aca="false">ROW()-4</f>
        <v>1855</v>
      </c>
      <c r="B1859" s="114" t="str">
        <f aca="false">IF(A1859&lt;=Config!$E$27*Config!$E$28,"Tema","Avulso")</f>
        <v>Avulso</v>
      </c>
      <c r="C1859" s="114" t="n">
        <f aca="false">IF(B1859="Tema",INT((A1859-1)/Config!$E$28)+1,A1859-Config!$E$27*Config!$E$28)</f>
        <v>55</v>
      </c>
      <c r="D1859" s="114" t="str">
        <f aca="false">IF(B1859="Tema",MOD(A1859-1,Config!$E$28)+1,"")</f>
        <v/>
      </c>
      <c r="E1859" s="115" t="str">
        <f aca="false">IF($B1859="Tema",IF(ISNUMBER(INDEX(Temas!$E$6:$P$305,$C1859,2*$D1859-1)),INDEX(Temas!$E$6:$P$305,$C1859,2*$D1859-1),""),IF(ISNUMBER(INDEX(Avulsos!$B$6:$B$205,$C1859)),INDEX(Avulsos!$B$6:$B$205,$C1859),""))</f>
        <v/>
      </c>
      <c r="F1859" s="114" t="str">
        <f aca="false">IF($E1859="","",IF($B1859="Tema",INDEX(Temas!$B$6:$B$305,$C1859)&amp;"",INDEX(Avulsos!$C$6:$C$205,$C1859)&amp;""))</f>
        <v/>
      </c>
      <c r="G1859" s="114" t="str">
        <f aca="false">IF($E1859="","",IF($B1859="Tema",INDEX(Config!$C$6:$C$11,$D1859),"Evento avulso"))</f>
        <v/>
      </c>
      <c r="H1859" s="114" t="str">
        <f aca="false">IF($E1859="","",IF($B1859="Tema",INDEX(Config!$D$6:$D$11,$D1859),IFERROR(INDEX(Config!$E$15:$E$19,MATCH($I1859,Config!$C$15:$C$19,0)),"•")))</f>
        <v/>
      </c>
      <c r="I1859" s="114" t="str">
        <f aca="false">IF($E1859="","",IF($B1859="Tema",INDEX(Config!$E$6:$E$11,$D1859),IF(INDEX(Avulsos!$D$6:$D$205,$C1859)&amp;""="","Outro",INDEX(Avulsos!$D$6:$D$205,$C1859))))</f>
        <v/>
      </c>
      <c r="J1859" s="114" t="str">
        <f aca="false">IF($E1859="","",IF($B1859="Tema",INDEX(Temas!$C$6:$C$305,$C1859)&amp;"",INDEX(Avulsos!$E$6:$E$205,$C1859)&amp;""))</f>
        <v/>
      </c>
      <c r="K1859" s="114" t="str">
        <f aca="false">IF($E1859="","",IF(IF($B1859="Tema",INDEX(Temas!$E$6:$P$305,$C1859,2*$D1859),INDEX(Avulsos!$F$6:$F$205,$C1859))&amp;""="","","✓"))</f>
        <v/>
      </c>
      <c r="L1859" s="114" t="str">
        <f aca="true">IF($E1859="","",IF($K1859="✓","Concluído",IF($E1859&lt;TODAY(),"Atrasado",IF($E1859=TODAY(),"Hoje","Pendente"))))</f>
        <v/>
      </c>
      <c r="M1859" s="114" t="str">
        <f aca="false">IF($E1859="","",IF($K1859="✓","✓ ","")&amp;IF(Config!$E$22="Sim",$H1859&amp;" · ","")&amp;$F1859)</f>
        <v/>
      </c>
      <c r="N1859" s="114" t="str">
        <f aca="false">IF($E1859="","",IFERROR(INDEX(Config!$D$15:$D$19,MATCH($I1859,Config!$C$15:$C$19,0)),"OUT")&amp;IF($K1859="✓","x",""))</f>
        <v/>
      </c>
      <c r="O1859" s="114" t="str">
        <f aca="false">IF($E1859="","",COUNTIF($E$5:$E1859,$E1859))</f>
        <v/>
      </c>
      <c r="P1859" s="114" t="str">
        <f aca="false">IF($E1859="","",$E1859*100+$O1859)</f>
        <v/>
      </c>
      <c r="Q1859" s="114" t="str">
        <f aca="false">IF($L1859="Atrasado",$E1859*10000+$A1859,"")</f>
        <v/>
      </c>
    </row>
    <row r="1860" customFormat="false" ht="15" hidden="false" customHeight="false" outlineLevel="0" collapsed="false">
      <c r="A1860" s="114" t="n">
        <f aca="false">ROW()-4</f>
        <v>1856</v>
      </c>
      <c r="B1860" s="114" t="str">
        <f aca="false">IF(A1860&lt;=Config!$E$27*Config!$E$28,"Tema","Avulso")</f>
        <v>Avulso</v>
      </c>
      <c r="C1860" s="114" t="n">
        <f aca="false">IF(B1860="Tema",INT((A1860-1)/Config!$E$28)+1,A1860-Config!$E$27*Config!$E$28)</f>
        <v>56</v>
      </c>
      <c r="D1860" s="114" t="str">
        <f aca="false">IF(B1860="Tema",MOD(A1860-1,Config!$E$28)+1,"")</f>
        <v/>
      </c>
      <c r="E1860" s="115" t="str">
        <f aca="false">IF($B1860="Tema",IF(ISNUMBER(INDEX(Temas!$E$6:$P$305,$C1860,2*$D1860-1)),INDEX(Temas!$E$6:$P$305,$C1860,2*$D1860-1),""),IF(ISNUMBER(INDEX(Avulsos!$B$6:$B$205,$C1860)),INDEX(Avulsos!$B$6:$B$205,$C1860),""))</f>
        <v/>
      </c>
      <c r="F1860" s="114" t="str">
        <f aca="false">IF($E1860="","",IF($B1860="Tema",INDEX(Temas!$B$6:$B$305,$C1860)&amp;"",INDEX(Avulsos!$C$6:$C$205,$C1860)&amp;""))</f>
        <v/>
      </c>
      <c r="G1860" s="114" t="str">
        <f aca="false">IF($E1860="","",IF($B1860="Tema",INDEX(Config!$C$6:$C$11,$D1860),"Evento avulso"))</f>
        <v/>
      </c>
      <c r="H1860" s="114" t="str">
        <f aca="false">IF($E1860="","",IF($B1860="Tema",INDEX(Config!$D$6:$D$11,$D1860),IFERROR(INDEX(Config!$E$15:$E$19,MATCH($I1860,Config!$C$15:$C$19,0)),"•")))</f>
        <v/>
      </c>
      <c r="I1860" s="114" t="str">
        <f aca="false">IF($E1860="","",IF($B1860="Tema",INDEX(Config!$E$6:$E$11,$D1860),IF(INDEX(Avulsos!$D$6:$D$205,$C1860)&amp;""="","Outro",INDEX(Avulsos!$D$6:$D$205,$C1860))))</f>
        <v/>
      </c>
      <c r="J1860" s="114" t="str">
        <f aca="false">IF($E1860="","",IF($B1860="Tema",INDEX(Temas!$C$6:$C$305,$C1860)&amp;"",INDEX(Avulsos!$E$6:$E$205,$C1860)&amp;""))</f>
        <v/>
      </c>
      <c r="K1860" s="114" t="str">
        <f aca="false">IF($E1860="","",IF(IF($B1860="Tema",INDEX(Temas!$E$6:$P$305,$C1860,2*$D1860),INDEX(Avulsos!$F$6:$F$205,$C1860))&amp;""="","","✓"))</f>
        <v/>
      </c>
      <c r="L1860" s="114" t="str">
        <f aca="true">IF($E1860="","",IF($K1860="✓","Concluído",IF($E1860&lt;TODAY(),"Atrasado",IF($E1860=TODAY(),"Hoje","Pendente"))))</f>
        <v/>
      </c>
      <c r="M1860" s="114" t="str">
        <f aca="false">IF($E1860="","",IF($K1860="✓","✓ ","")&amp;IF(Config!$E$22="Sim",$H1860&amp;" · ","")&amp;$F1860)</f>
        <v/>
      </c>
      <c r="N1860" s="114" t="str">
        <f aca="false">IF($E1860="","",IFERROR(INDEX(Config!$D$15:$D$19,MATCH($I1860,Config!$C$15:$C$19,0)),"OUT")&amp;IF($K1860="✓","x",""))</f>
        <v/>
      </c>
      <c r="O1860" s="114" t="str">
        <f aca="false">IF($E1860="","",COUNTIF($E$5:$E1860,$E1860))</f>
        <v/>
      </c>
      <c r="P1860" s="114" t="str">
        <f aca="false">IF($E1860="","",$E1860*100+$O1860)</f>
        <v/>
      </c>
      <c r="Q1860" s="114" t="str">
        <f aca="false">IF($L1860="Atrasado",$E1860*10000+$A1860,"")</f>
        <v/>
      </c>
    </row>
    <row r="1861" customFormat="false" ht="15" hidden="false" customHeight="false" outlineLevel="0" collapsed="false">
      <c r="A1861" s="114" t="n">
        <f aca="false">ROW()-4</f>
        <v>1857</v>
      </c>
      <c r="B1861" s="114" t="str">
        <f aca="false">IF(A1861&lt;=Config!$E$27*Config!$E$28,"Tema","Avulso")</f>
        <v>Avulso</v>
      </c>
      <c r="C1861" s="114" t="n">
        <f aca="false">IF(B1861="Tema",INT((A1861-1)/Config!$E$28)+1,A1861-Config!$E$27*Config!$E$28)</f>
        <v>57</v>
      </c>
      <c r="D1861" s="114" t="str">
        <f aca="false">IF(B1861="Tema",MOD(A1861-1,Config!$E$28)+1,"")</f>
        <v/>
      </c>
      <c r="E1861" s="115" t="str">
        <f aca="false">IF($B1861="Tema",IF(ISNUMBER(INDEX(Temas!$E$6:$P$305,$C1861,2*$D1861-1)),INDEX(Temas!$E$6:$P$305,$C1861,2*$D1861-1),""),IF(ISNUMBER(INDEX(Avulsos!$B$6:$B$205,$C1861)),INDEX(Avulsos!$B$6:$B$205,$C1861),""))</f>
        <v/>
      </c>
      <c r="F1861" s="114" t="str">
        <f aca="false">IF($E1861="","",IF($B1861="Tema",INDEX(Temas!$B$6:$B$305,$C1861)&amp;"",INDEX(Avulsos!$C$6:$C$205,$C1861)&amp;""))</f>
        <v/>
      </c>
      <c r="G1861" s="114" t="str">
        <f aca="false">IF($E1861="","",IF($B1861="Tema",INDEX(Config!$C$6:$C$11,$D1861),"Evento avulso"))</f>
        <v/>
      </c>
      <c r="H1861" s="114" t="str">
        <f aca="false">IF($E1861="","",IF($B1861="Tema",INDEX(Config!$D$6:$D$11,$D1861),IFERROR(INDEX(Config!$E$15:$E$19,MATCH($I1861,Config!$C$15:$C$19,0)),"•")))</f>
        <v/>
      </c>
      <c r="I1861" s="114" t="str">
        <f aca="false">IF($E1861="","",IF($B1861="Tema",INDEX(Config!$E$6:$E$11,$D1861),IF(INDEX(Avulsos!$D$6:$D$205,$C1861)&amp;""="","Outro",INDEX(Avulsos!$D$6:$D$205,$C1861))))</f>
        <v/>
      </c>
      <c r="J1861" s="114" t="str">
        <f aca="false">IF($E1861="","",IF($B1861="Tema",INDEX(Temas!$C$6:$C$305,$C1861)&amp;"",INDEX(Avulsos!$E$6:$E$205,$C1861)&amp;""))</f>
        <v/>
      </c>
      <c r="K1861" s="114" t="str">
        <f aca="false">IF($E1861="","",IF(IF($B1861="Tema",INDEX(Temas!$E$6:$P$305,$C1861,2*$D1861),INDEX(Avulsos!$F$6:$F$205,$C1861))&amp;""="","","✓"))</f>
        <v/>
      </c>
      <c r="L1861" s="114" t="str">
        <f aca="true">IF($E1861="","",IF($K1861="✓","Concluído",IF($E1861&lt;TODAY(),"Atrasado",IF($E1861=TODAY(),"Hoje","Pendente"))))</f>
        <v/>
      </c>
      <c r="M1861" s="114" t="str">
        <f aca="false">IF($E1861="","",IF($K1861="✓","✓ ","")&amp;IF(Config!$E$22="Sim",$H1861&amp;" · ","")&amp;$F1861)</f>
        <v/>
      </c>
      <c r="N1861" s="114" t="str">
        <f aca="false">IF($E1861="","",IFERROR(INDEX(Config!$D$15:$D$19,MATCH($I1861,Config!$C$15:$C$19,0)),"OUT")&amp;IF($K1861="✓","x",""))</f>
        <v/>
      </c>
      <c r="O1861" s="114" t="str">
        <f aca="false">IF($E1861="","",COUNTIF($E$5:$E1861,$E1861))</f>
        <v/>
      </c>
      <c r="P1861" s="114" t="str">
        <f aca="false">IF($E1861="","",$E1861*100+$O1861)</f>
        <v/>
      </c>
      <c r="Q1861" s="114" t="str">
        <f aca="false">IF($L1861="Atrasado",$E1861*10000+$A1861,"")</f>
        <v/>
      </c>
    </row>
    <row r="1862" customFormat="false" ht="15" hidden="false" customHeight="false" outlineLevel="0" collapsed="false">
      <c r="A1862" s="114" t="n">
        <f aca="false">ROW()-4</f>
        <v>1858</v>
      </c>
      <c r="B1862" s="114" t="str">
        <f aca="false">IF(A1862&lt;=Config!$E$27*Config!$E$28,"Tema","Avulso")</f>
        <v>Avulso</v>
      </c>
      <c r="C1862" s="114" t="n">
        <f aca="false">IF(B1862="Tema",INT((A1862-1)/Config!$E$28)+1,A1862-Config!$E$27*Config!$E$28)</f>
        <v>58</v>
      </c>
      <c r="D1862" s="114" t="str">
        <f aca="false">IF(B1862="Tema",MOD(A1862-1,Config!$E$28)+1,"")</f>
        <v/>
      </c>
      <c r="E1862" s="115" t="str">
        <f aca="false">IF($B1862="Tema",IF(ISNUMBER(INDEX(Temas!$E$6:$P$305,$C1862,2*$D1862-1)),INDEX(Temas!$E$6:$P$305,$C1862,2*$D1862-1),""),IF(ISNUMBER(INDEX(Avulsos!$B$6:$B$205,$C1862)),INDEX(Avulsos!$B$6:$B$205,$C1862),""))</f>
        <v/>
      </c>
      <c r="F1862" s="114" t="str">
        <f aca="false">IF($E1862="","",IF($B1862="Tema",INDEX(Temas!$B$6:$B$305,$C1862)&amp;"",INDEX(Avulsos!$C$6:$C$205,$C1862)&amp;""))</f>
        <v/>
      </c>
      <c r="G1862" s="114" t="str">
        <f aca="false">IF($E1862="","",IF($B1862="Tema",INDEX(Config!$C$6:$C$11,$D1862),"Evento avulso"))</f>
        <v/>
      </c>
      <c r="H1862" s="114" t="str">
        <f aca="false">IF($E1862="","",IF($B1862="Tema",INDEX(Config!$D$6:$D$11,$D1862),IFERROR(INDEX(Config!$E$15:$E$19,MATCH($I1862,Config!$C$15:$C$19,0)),"•")))</f>
        <v/>
      </c>
      <c r="I1862" s="114" t="str">
        <f aca="false">IF($E1862="","",IF($B1862="Tema",INDEX(Config!$E$6:$E$11,$D1862),IF(INDEX(Avulsos!$D$6:$D$205,$C1862)&amp;""="","Outro",INDEX(Avulsos!$D$6:$D$205,$C1862))))</f>
        <v/>
      </c>
      <c r="J1862" s="114" t="str">
        <f aca="false">IF($E1862="","",IF($B1862="Tema",INDEX(Temas!$C$6:$C$305,$C1862)&amp;"",INDEX(Avulsos!$E$6:$E$205,$C1862)&amp;""))</f>
        <v/>
      </c>
      <c r="K1862" s="114" t="str">
        <f aca="false">IF($E1862="","",IF(IF($B1862="Tema",INDEX(Temas!$E$6:$P$305,$C1862,2*$D1862),INDEX(Avulsos!$F$6:$F$205,$C1862))&amp;""="","","✓"))</f>
        <v/>
      </c>
      <c r="L1862" s="114" t="str">
        <f aca="true">IF($E1862="","",IF($K1862="✓","Concluído",IF($E1862&lt;TODAY(),"Atrasado",IF($E1862=TODAY(),"Hoje","Pendente"))))</f>
        <v/>
      </c>
      <c r="M1862" s="114" t="str">
        <f aca="false">IF($E1862="","",IF($K1862="✓","✓ ","")&amp;IF(Config!$E$22="Sim",$H1862&amp;" · ","")&amp;$F1862)</f>
        <v/>
      </c>
      <c r="N1862" s="114" t="str">
        <f aca="false">IF($E1862="","",IFERROR(INDEX(Config!$D$15:$D$19,MATCH($I1862,Config!$C$15:$C$19,0)),"OUT")&amp;IF($K1862="✓","x",""))</f>
        <v/>
      </c>
      <c r="O1862" s="114" t="str">
        <f aca="false">IF($E1862="","",COUNTIF($E$5:$E1862,$E1862))</f>
        <v/>
      </c>
      <c r="P1862" s="114" t="str">
        <f aca="false">IF($E1862="","",$E1862*100+$O1862)</f>
        <v/>
      </c>
      <c r="Q1862" s="114" t="str">
        <f aca="false">IF($L1862="Atrasado",$E1862*10000+$A1862,"")</f>
        <v/>
      </c>
    </row>
    <row r="1863" customFormat="false" ht="15" hidden="false" customHeight="false" outlineLevel="0" collapsed="false">
      <c r="A1863" s="114" t="n">
        <f aca="false">ROW()-4</f>
        <v>1859</v>
      </c>
      <c r="B1863" s="114" t="str">
        <f aca="false">IF(A1863&lt;=Config!$E$27*Config!$E$28,"Tema","Avulso")</f>
        <v>Avulso</v>
      </c>
      <c r="C1863" s="114" t="n">
        <f aca="false">IF(B1863="Tema",INT((A1863-1)/Config!$E$28)+1,A1863-Config!$E$27*Config!$E$28)</f>
        <v>59</v>
      </c>
      <c r="D1863" s="114" t="str">
        <f aca="false">IF(B1863="Tema",MOD(A1863-1,Config!$E$28)+1,"")</f>
        <v/>
      </c>
      <c r="E1863" s="115" t="str">
        <f aca="false">IF($B1863="Tema",IF(ISNUMBER(INDEX(Temas!$E$6:$P$305,$C1863,2*$D1863-1)),INDEX(Temas!$E$6:$P$305,$C1863,2*$D1863-1),""),IF(ISNUMBER(INDEX(Avulsos!$B$6:$B$205,$C1863)),INDEX(Avulsos!$B$6:$B$205,$C1863),""))</f>
        <v/>
      </c>
      <c r="F1863" s="114" t="str">
        <f aca="false">IF($E1863="","",IF($B1863="Tema",INDEX(Temas!$B$6:$B$305,$C1863)&amp;"",INDEX(Avulsos!$C$6:$C$205,$C1863)&amp;""))</f>
        <v/>
      </c>
      <c r="G1863" s="114" t="str">
        <f aca="false">IF($E1863="","",IF($B1863="Tema",INDEX(Config!$C$6:$C$11,$D1863),"Evento avulso"))</f>
        <v/>
      </c>
      <c r="H1863" s="114" t="str">
        <f aca="false">IF($E1863="","",IF($B1863="Tema",INDEX(Config!$D$6:$D$11,$D1863),IFERROR(INDEX(Config!$E$15:$E$19,MATCH($I1863,Config!$C$15:$C$19,0)),"•")))</f>
        <v/>
      </c>
      <c r="I1863" s="114" t="str">
        <f aca="false">IF($E1863="","",IF($B1863="Tema",INDEX(Config!$E$6:$E$11,$D1863),IF(INDEX(Avulsos!$D$6:$D$205,$C1863)&amp;""="","Outro",INDEX(Avulsos!$D$6:$D$205,$C1863))))</f>
        <v/>
      </c>
      <c r="J1863" s="114" t="str">
        <f aca="false">IF($E1863="","",IF($B1863="Tema",INDEX(Temas!$C$6:$C$305,$C1863)&amp;"",INDEX(Avulsos!$E$6:$E$205,$C1863)&amp;""))</f>
        <v/>
      </c>
      <c r="K1863" s="114" t="str">
        <f aca="false">IF($E1863="","",IF(IF($B1863="Tema",INDEX(Temas!$E$6:$P$305,$C1863,2*$D1863),INDEX(Avulsos!$F$6:$F$205,$C1863))&amp;""="","","✓"))</f>
        <v/>
      </c>
      <c r="L1863" s="114" t="str">
        <f aca="true">IF($E1863="","",IF($K1863="✓","Concluído",IF($E1863&lt;TODAY(),"Atrasado",IF($E1863=TODAY(),"Hoje","Pendente"))))</f>
        <v/>
      </c>
      <c r="M1863" s="114" t="str">
        <f aca="false">IF($E1863="","",IF($K1863="✓","✓ ","")&amp;IF(Config!$E$22="Sim",$H1863&amp;" · ","")&amp;$F1863)</f>
        <v/>
      </c>
      <c r="N1863" s="114" t="str">
        <f aca="false">IF($E1863="","",IFERROR(INDEX(Config!$D$15:$D$19,MATCH($I1863,Config!$C$15:$C$19,0)),"OUT")&amp;IF($K1863="✓","x",""))</f>
        <v/>
      </c>
      <c r="O1863" s="114" t="str">
        <f aca="false">IF($E1863="","",COUNTIF($E$5:$E1863,$E1863))</f>
        <v/>
      </c>
      <c r="P1863" s="114" t="str">
        <f aca="false">IF($E1863="","",$E1863*100+$O1863)</f>
        <v/>
      </c>
      <c r="Q1863" s="114" t="str">
        <f aca="false">IF($L1863="Atrasado",$E1863*10000+$A1863,"")</f>
        <v/>
      </c>
    </row>
    <row r="1864" customFormat="false" ht="15" hidden="false" customHeight="false" outlineLevel="0" collapsed="false">
      <c r="A1864" s="114" t="n">
        <f aca="false">ROW()-4</f>
        <v>1860</v>
      </c>
      <c r="B1864" s="114" t="str">
        <f aca="false">IF(A1864&lt;=Config!$E$27*Config!$E$28,"Tema","Avulso")</f>
        <v>Avulso</v>
      </c>
      <c r="C1864" s="114" t="n">
        <f aca="false">IF(B1864="Tema",INT((A1864-1)/Config!$E$28)+1,A1864-Config!$E$27*Config!$E$28)</f>
        <v>60</v>
      </c>
      <c r="D1864" s="114" t="str">
        <f aca="false">IF(B1864="Tema",MOD(A1864-1,Config!$E$28)+1,"")</f>
        <v/>
      </c>
      <c r="E1864" s="115" t="str">
        <f aca="false">IF($B1864="Tema",IF(ISNUMBER(INDEX(Temas!$E$6:$P$305,$C1864,2*$D1864-1)),INDEX(Temas!$E$6:$P$305,$C1864,2*$D1864-1),""),IF(ISNUMBER(INDEX(Avulsos!$B$6:$B$205,$C1864)),INDEX(Avulsos!$B$6:$B$205,$C1864),""))</f>
        <v/>
      </c>
      <c r="F1864" s="114" t="str">
        <f aca="false">IF($E1864="","",IF($B1864="Tema",INDEX(Temas!$B$6:$B$305,$C1864)&amp;"",INDEX(Avulsos!$C$6:$C$205,$C1864)&amp;""))</f>
        <v/>
      </c>
      <c r="G1864" s="114" t="str">
        <f aca="false">IF($E1864="","",IF($B1864="Tema",INDEX(Config!$C$6:$C$11,$D1864),"Evento avulso"))</f>
        <v/>
      </c>
      <c r="H1864" s="114" t="str">
        <f aca="false">IF($E1864="","",IF($B1864="Tema",INDEX(Config!$D$6:$D$11,$D1864),IFERROR(INDEX(Config!$E$15:$E$19,MATCH($I1864,Config!$C$15:$C$19,0)),"•")))</f>
        <v/>
      </c>
      <c r="I1864" s="114" t="str">
        <f aca="false">IF($E1864="","",IF($B1864="Tema",INDEX(Config!$E$6:$E$11,$D1864),IF(INDEX(Avulsos!$D$6:$D$205,$C1864)&amp;""="","Outro",INDEX(Avulsos!$D$6:$D$205,$C1864))))</f>
        <v/>
      </c>
      <c r="J1864" s="114" t="str">
        <f aca="false">IF($E1864="","",IF($B1864="Tema",INDEX(Temas!$C$6:$C$305,$C1864)&amp;"",INDEX(Avulsos!$E$6:$E$205,$C1864)&amp;""))</f>
        <v/>
      </c>
      <c r="K1864" s="114" t="str">
        <f aca="false">IF($E1864="","",IF(IF($B1864="Tema",INDEX(Temas!$E$6:$P$305,$C1864,2*$D1864),INDEX(Avulsos!$F$6:$F$205,$C1864))&amp;""="","","✓"))</f>
        <v/>
      </c>
      <c r="L1864" s="114" t="str">
        <f aca="true">IF($E1864="","",IF($K1864="✓","Concluído",IF($E1864&lt;TODAY(),"Atrasado",IF($E1864=TODAY(),"Hoje","Pendente"))))</f>
        <v/>
      </c>
      <c r="M1864" s="114" t="str">
        <f aca="false">IF($E1864="","",IF($K1864="✓","✓ ","")&amp;IF(Config!$E$22="Sim",$H1864&amp;" · ","")&amp;$F1864)</f>
        <v/>
      </c>
      <c r="N1864" s="114" t="str">
        <f aca="false">IF($E1864="","",IFERROR(INDEX(Config!$D$15:$D$19,MATCH($I1864,Config!$C$15:$C$19,0)),"OUT")&amp;IF($K1864="✓","x",""))</f>
        <v/>
      </c>
      <c r="O1864" s="114" t="str">
        <f aca="false">IF($E1864="","",COUNTIF($E$5:$E1864,$E1864))</f>
        <v/>
      </c>
      <c r="P1864" s="114" t="str">
        <f aca="false">IF($E1864="","",$E1864*100+$O1864)</f>
        <v/>
      </c>
      <c r="Q1864" s="114" t="str">
        <f aca="false">IF($L1864="Atrasado",$E1864*10000+$A1864,"")</f>
        <v/>
      </c>
    </row>
    <row r="1865" customFormat="false" ht="15" hidden="false" customHeight="false" outlineLevel="0" collapsed="false">
      <c r="A1865" s="114" t="n">
        <f aca="false">ROW()-4</f>
        <v>1861</v>
      </c>
      <c r="B1865" s="114" t="str">
        <f aca="false">IF(A1865&lt;=Config!$E$27*Config!$E$28,"Tema","Avulso")</f>
        <v>Avulso</v>
      </c>
      <c r="C1865" s="114" t="n">
        <f aca="false">IF(B1865="Tema",INT((A1865-1)/Config!$E$28)+1,A1865-Config!$E$27*Config!$E$28)</f>
        <v>61</v>
      </c>
      <c r="D1865" s="114" t="str">
        <f aca="false">IF(B1865="Tema",MOD(A1865-1,Config!$E$28)+1,"")</f>
        <v/>
      </c>
      <c r="E1865" s="115" t="str">
        <f aca="false">IF($B1865="Tema",IF(ISNUMBER(INDEX(Temas!$E$6:$P$305,$C1865,2*$D1865-1)),INDEX(Temas!$E$6:$P$305,$C1865,2*$D1865-1),""),IF(ISNUMBER(INDEX(Avulsos!$B$6:$B$205,$C1865)),INDEX(Avulsos!$B$6:$B$205,$C1865),""))</f>
        <v/>
      </c>
      <c r="F1865" s="114" t="str">
        <f aca="false">IF($E1865="","",IF($B1865="Tema",INDEX(Temas!$B$6:$B$305,$C1865)&amp;"",INDEX(Avulsos!$C$6:$C$205,$C1865)&amp;""))</f>
        <v/>
      </c>
      <c r="G1865" s="114" t="str">
        <f aca="false">IF($E1865="","",IF($B1865="Tema",INDEX(Config!$C$6:$C$11,$D1865),"Evento avulso"))</f>
        <v/>
      </c>
      <c r="H1865" s="114" t="str">
        <f aca="false">IF($E1865="","",IF($B1865="Tema",INDEX(Config!$D$6:$D$11,$D1865),IFERROR(INDEX(Config!$E$15:$E$19,MATCH($I1865,Config!$C$15:$C$19,0)),"•")))</f>
        <v/>
      </c>
      <c r="I1865" s="114" t="str">
        <f aca="false">IF($E1865="","",IF($B1865="Tema",INDEX(Config!$E$6:$E$11,$D1865),IF(INDEX(Avulsos!$D$6:$D$205,$C1865)&amp;""="","Outro",INDEX(Avulsos!$D$6:$D$205,$C1865))))</f>
        <v/>
      </c>
      <c r="J1865" s="114" t="str">
        <f aca="false">IF($E1865="","",IF($B1865="Tema",INDEX(Temas!$C$6:$C$305,$C1865)&amp;"",INDEX(Avulsos!$E$6:$E$205,$C1865)&amp;""))</f>
        <v/>
      </c>
      <c r="K1865" s="114" t="str">
        <f aca="false">IF($E1865="","",IF(IF($B1865="Tema",INDEX(Temas!$E$6:$P$305,$C1865,2*$D1865),INDEX(Avulsos!$F$6:$F$205,$C1865))&amp;""="","","✓"))</f>
        <v/>
      </c>
      <c r="L1865" s="114" t="str">
        <f aca="true">IF($E1865="","",IF($K1865="✓","Concluído",IF($E1865&lt;TODAY(),"Atrasado",IF($E1865=TODAY(),"Hoje","Pendente"))))</f>
        <v/>
      </c>
      <c r="M1865" s="114" t="str">
        <f aca="false">IF($E1865="","",IF($K1865="✓","✓ ","")&amp;IF(Config!$E$22="Sim",$H1865&amp;" · ","")&amp;$F1865)</f>
        <v/>
      </c>
      <c r="N1865" s="114" t="str">
        <f aca="false">IF($E1865="","",IFERROR(INDEX(Config!$D$15:$D$19,MATCH($I1865,Config!$C$15:$C$19,0)),"OUT")&amp;IF($K1865="✓","x",""))</f>
        <v/>
      </c>
      <c r="O1865" s="114" t="str">
        <f aca="false">IF($E1865="","",COUNTIF($E$5:$E1865,$E1865))</f>
        <v/>
      </c>
      <c r="P1865" s="114" t="str">
        <f aca="false">IF($E1865="","",$E1865*100+$O1865)</f>
        <v/>
      </c>
      <c r="Q1865" s="114" t="str">
        <f aca="false">IF($L1865="Atrasado",$E1865*10000+$A1865,"")</f>
        <v/>
      </c>
    </row>
    <row r="1866" customFormat="false" ht="15" hidden="false" customHeight="false" outlineLevel="0" collapsed="false">
      <c r="A1866" s="114" t="n">
        <f aca="false">ROW()-4</f>
        <v>1862</v>
      </c>
      <c r="B1866" s="114" t="str">
        <f aca="false">IF(A1866&lt;=Config!$E$27*Config!$E$28,"Tema","Avulso")</f>
        <v>Avulso</v>
      </c>
      <c r="C1866" s="114" t="n">
        <f aca="false">IF(B1866="Tema",INT((A1866-1)/Config!$E$28)+1,A1866-Config!$E$27*Config!$E$28)</f>
        <v>62</v>
      </c>
      <c r="D1866" s="114" t="str">
        <f aca="false">IF(B1866="Tema",MOD(A1866-1,Config!$E$28)+1,"")</f>
        <v/>
      </c>
      <c r="E1866" s="115" t="str">
        <f aca="false">IF($B1866="Tema",IF(ISNUMBER(INDEX(Temas!$E$6:$P$305,$C1866,2*$D1866-1)),INDEX(Temas!$E$6:$P$305,$C1866,2*$D1866-1),""),IF(ISNUMBER(INDEX(Avulsos!$B$6:$B$205,$C1866)),INDEX(Avulsos!$B$6:$B$205,$C1866),""))</f>
        <v/>
      </c>
      <c r="F1866" s="114" t="str">
        <f aca="false">IF($E1866="","",IF($B1866="Tema",INDEX(Temas!$B$6:$B$305,$C1866)&amp;"",INDEX(Avulsos!$C$6:$C$205,$C1866)&amp;""))</f>
        <v/>
      </c>
      <c r="G1866" s="114" t="str">
        <f aca="false">IF($E1866="","",IF($B1866="Tema",INDEX(Config!$C$6:$C$11,$D1866),"Evento avulso"))</f>
        <v/>
      </c>
      <c r="H1866" s="114" t="str">
        <f aca="false">IF($E1866="","",IF($B1866="Tema",INDEX(Config!$D$6:$D$11,$D1866),IFERROR(INDEX(Config!$E$15:$E$19,MATCH($I1866,Config!$C$15:$C$19,0)),"•")))</f>
        <v/>
      </c>
      <c r="I1866" s="114" t="str">
        <f aca="false">IF($E1866="","",IF($B1866="Tema",INDEX(Config!$E$6:$E$11,$D1866),IF(INDEX(Avulsos!$D$6:$D$205,$C1866)&amp;""="","Outro",INDEX(Avulsos!$D$6:$D$205,$C1866))))</f>
        <v/>
      </c>
      <c r="J1866" s="114" t="str">
        <f aca="false">IF($E1866="","",IF($B1866="Tema",INDEX(Temas!$C$6:$C$305,$C1866)&amp;"",INDEX(Avulsos!$E$6:$E$205,$C1866)&amp;""))</f>
        <v/>
      </c>
      <c r="K1866" s="114" t="str">
        <f aca="false">IF($E1866="","",IF(IF($B1866="Tema",INDEX(Temas!$E$6:$P$305,$C1866,2*$D1866),INDEX(Avulsos!$F$6:$F$205,$C1866))&amp;""="","","✓"))</f>
        <v/>
      </c>
      <c r="L1866" s="114" t="str">
        <f aca="true">IF($E1866="","",IF($K1866="✓","Concluído",IF($E1866&lt;TODAY(),"Atrasado",IF($E1866=TODAY(),"Hoje","Pendente"))))</f>
        <v/>
      </c>
      <c r="M1866" s="114" t="str">
        <f aca="false">IF($E1866="","",IF($K1866="✓","✓ ","")&amp;IF(Config!$E$22="Sim",$H1866&amp;" · ","")&amp;$F1866)</f>
        <v/>
      </c>
      <c r="N1866" s="114" t="str">
        <f aca="false">IF($E1866="","",IFERROR(INDEX(Config!$D$15:$D$19,MATCH($I1866,Config!$C$15:$C$19,0)),"OUT")&amp;IF($K1866="✓","x",""))</f>
        <v/>
      </c>
      <c r="O1866" s="114" t="str">
        <f aca="false">IF($E1866="","",COUNTIF($E$5:$E1866,$E1866))</f>
        <v/>
      </c>
      <c r="P1866" s="114" t="str">
        <f aca="false">IF($E1866="","",$E1866*100+$O1866)</f>
        <v/>
      </c>
      <c r="Q1866" s="114" t="str">
        <f aca="false">IF($L1866="Atrasado",$E1866*10000+$A1866,"")</f>
        <v/>
      </c>
    </row>
    <row r="1867" customFormat="false" ht="15" hidden="false" customHeight="false" outlineLevel="0" collapsed="false">
      <c r="A1867" s="114" t="n">
        <f aca="false">ROW()-4</f>
        <v>1863</v>
      </c>
      <c r="B1867" s="114" t="str">
        <f aca="false">IF(A1867&lt;=Config!$E$27*Config!$E$28,"Tema","Avulso")</f>
        <v>Avulso</v>
      </c>
      <c r="C1867" s="114" t="n">
        <f aca="false">IF(B1867="Tema",INT((A1867-1)/Config!$E$28)+1,A1867-Config!$E$27*Config!$E$28)</f>
        <v>63</v>
      </c>
      <c r="D1867" s="114" t="str">
        <f aca="false">IF(B1867="Tema",MOD(A1867-1,Config!$E$28)+1,"")</f>
        <v/>
      </c>
      <c r="E1867" s="115" t="str">
        <f aca="false">IF($B1867="Tema",IF(ISNUMBER(INDEX(Temas!$E$6:$P$305,$C1867,2*$D1867-1)),INDEX(Temas!$E$6:$P$305,$C1867,2*$D1867-1),""),IF(ISNUMBER(INDEX(Avulsos!$B$6:$B$205,$C1867)),INDEX(Avulsos!$B$6:$B$205,$C1867),""))</f>
        <v/>
      </c>
      <c r="F1867" s="114" t="str">
        <f aca="false">IF($E1867="","",IF($B1867="Tema",INDEX(Temas!$B$6:$B$305,$C1867)&amp;"",INDEX(Avulsos!$C$6:$C$205,$C1867)&amp;""))</f>
        <v/>
      </c>
      <c r="G1867" s="114" t="str">
        <f aca="false">IF($E1867="","",IF($B1867="Tema",INDEX(Config!$C$6:$C$11,$D1867),"Evento avulso"))</f>
        <v/>
      </c>
      <c r="H1867" s="114" t="str">
        <f aca="false">IF($E1867="","",IF($B1867="Tema",INDEX(Config!$D$6:$D$11,$D1867),IFERROR(INDEX(Config!$E$15:$E$19,MATCH($I1867,Config!$C$15:$C$19,0)),"•")))</f>
        <v/>
      </c>
      <c r="I1867" s="114" t="str">
        <f aca="false">IF($E1867="","",IF($B1867="Tema",INDEX(Config!$E$6:$E$11,$D1867),IF(INDEX(Avulsos!$D$6:$D$205,$C1867)&amp;""="","Outro",INDEX(Avulsos!$D$6:$D$205,$C1867))))</f>
        <v/>
      </c>
      <c r="J1867" s="114" t="str">
        <f aca="false">IF($E1867="","",IF($B1867="Tema",INDEX(Temas!$C$6:$C$305,$C1867)&amp;"",INDEX(Avulsos!$E$6:$E$205,$C1867)&amp;""))</f>
        <v/>
      </c>
      <c r="K1867" s="114" t="str">
        <f aca="false">IF($E1867="","",IF(IF($B1867="Tema",INDEX(Temas!$E$6:$P$305,$C1867,2*$D1867),INDEX(Avulsos!$F$6:$F$205,$C1867))&amp;""="","","✓"))</f>
        <v/>
      </c>
      <c r="L1867" s="114" t="str">
        <f aca="true">IF($E1867="","",IF($K1867="✓","Concluído",IF($E1867&lt;TODAY(),"Atrasado",IF($E1867=TODAY(),"Hoje","Pendente"))))</f>
        <v/>
      </c>
      <c r="M1867" s="114" t="str">
        <f aca="false">IF($E1867="","",IF($K1867="✓","✓ ","")&amp;IF(Config!$E$22="Sim",$H1867&amp;" · ","")&amp;$F1867)</f>
        <v/>
      </c>
      <c r="N1867" s="114" t="str">
        <f aca="false">IF($E1867="","",IFERROR(INDEX(Config!$D$15:$D$19,MATCH($I1867,Config!$C$15:$C$19,0)),"OUT")&amp;IF($K1867="✓","x",""))</f>
        <v/>
      </c>
      <c r="O1867" s="114" t="str">
        <f aca="false">IF($E1867="","",COUNTIF($E$5:$E1867,$E1867))</f>
        <v/>
      </c>
      <c r="P1867" s="114" t="str">
        <f aca="false">IF($E1867="","",$E1867*100+$O1867)</f>
        <v/>
      </c>
      <c r="Q1867" s="114" t="str">
        <f aca="false">IF($L1867="Atrasado",$E1867*10000+$A1867,"")</f>
        <v/>
      </c>
    </row>
    <row r="1868" customFormat="false" ht="15" hidden="false" customHeight="false" outlineLevel="0" collapsed="false">
      <c r="A1868" s="114" t="n">
        <f aca="false">ROW()-4</f>
        <v>1864</v>
      </c>
      <c r="B1868" s="114" t="str">
        <f aca="false">IF(A1868&lt;=Config!$E$27*Config!$E$28,"Tema","Avulso")</f>
        <v>Avulso</v>
      </c>
      <c r="C1868" s="114" t="n">
        <f aca="false">IF(B1868="Tema",INT((A1868-1)/Config!$E$28)+1,A1868-Config!$E$27*Config!$E$28)</f>
        <v>64</v>
      </c>
      <c r="D1868" s="114" t="str">
        <f aca="false">IF(B1868="Tema",MOD(A1868-1,Config!$E$28)+1,"")</f>
        <v/>
      </c>
      <c r="E1868" s="115" t="str">
        <f aca="false">IF($B1868="Tema",IF(ISNUMBER(INDEX(Temas!$E$6:$P$305,$C1868,2*$D1868-1)),INDEX(Temas!$E$6:$P$305,$C1868,2*$D1868-1),""),IF(ISNUMBER(INDEX(Avulsos!$B$6:$B$205,$C1868)),INDEX(Avulsos!$B$6:$B$205,$C1868),""))</f>
        <v/>
      </c>
      <c r="F1868" s="114" t="str">
        <f aca="false">IF($E1868="","",IF($B1868="Tema",INDEX(Temas!$B$6:$B$305,$C1868)&amp;"",INDEX(Avulsos!$C$6:$C$205,$C1868)&amp;""))</f>
        <v/>
      </c>
      <c r="G1868" s="114" t="str">
        <f aca="false">IF($E1868="","",IF($B1868="Tema",INDEX(Config!$C$6:$C$11,$D1868),"Evento avulso"))</f>
        <v/>
      </c>
      <c r="H1868" s="114" t="str">
        <f aca="false">IF($E1868="","",IF($B1868="Tema",INDEX(Config!$D$6:$D$11,$D1868),IFERROR(INDEX(Config!$E$15:$E$19,MATCH($I1868,Config!$C$15:$C$19,0)),"•")))</f>
        <v/>
      </c>
      <c r="I1868" s="114" t="str">
        <f aca="false">IF($E1868="","",IF($B1868="Tema",INDEX(Config!$E$6:$E$11,$D1868),IF(INDEX(Avulsos!$D$6:$D$205,$C1868)&amp;""="","Outro",INDEX(Avulsos!$D$6:$D$205,$C1868))))</f>
        <v/>
      </c>
      <c r="J1868" s="114" t="str">
        <f aca="false">IF($E1868="","",IF($B1868="Tema",INDEX(Temas!$C$6:$C$305,$C1868)&amp;"",INDEX(Avulsos!$E$6:$E$205,$C1868)&amp;""))</f>
        <v/>
      </c>
      <c r="K1868" s="114" t="str">
        <f aca="false">IF($E1868="","",IF(IF($B1868="Tema",INDEX(Temas!$E$6:$P$305,$C1868,2*$D1868),INDEX(Avulsos!$F$6:$F$205,$C1868))&amp;""="","","✓"))</f>
        <v/>
      </c>
      <c r="L1868" s="114" t="str">
        <f aca="true">IF($E1868="","",IF($K1868="✓","Concluído",IF($E1868&lt;TODAY(),"Atrasado",IF($E1868=TODAY(),"Hoje","Pendente"))))</f>
        <v/>
      </c>
      <c r="M1868" s="114" t="str">
        <f aca="false">IF($E1868="","",IF($K1868="✓","✓ ","")&amp;IF(Config!$E$22="Sim",$H1868&amp;" · ","")&amp;$F1868)</f>
        <v/>
      </c>
      <c r="N1868" s="114" t="str">
        <f aca="false">IF($E1868="","",IFERROR(INDEX(Config!$D$15:$D$19,MATCH($I1868,Config!$C$15:$C$19,0)),"OUT")&amp;IF($K1868="✓","x",""))</f>
        <v/>
      </c>
      <c r="O1868" s="114" t="str">
        <f aca="false">IF($E1868="","",COUNTIF($E$5:$E1868,$E1868))</f>
        <v/>
      </c>
      <c r="P1868" s="114" t="str">
        <f aca="false">IF($E1868="","",$E1868*100+$O1868)</f>
        <v/>
      </c>
      <c r="Q1868" s="114" t="str">
        <f aca="false">IF($L1868="Atrasado",$E1868*10000+$A1868,"")</f>
        <v/>
      </c>
    </row>
    <row r="1869" customFormat="false" ht="15" hidden="false" customHeight="false" outlineLevel="0" collapsed="false">
      <c r="A1869" s="114" t="n">
        <f aca="false">ROW()-4</f>
        <v>1865</v>
      </c>
      <c r="B1869" s="114" t="str">
        <f aca="false">IF(A1869&lt;=Config!$E$27*Config!$E$28,"Tema","Avulso")</f>
        <v>Avulso</v>
      </c>
      <c r="C1869" s="114" t="n">
        <f aca="false">IF(B1869="Tema",INT((A1869-1)/Config!$E$28)+1,A1869-Config!$E$27*Config!$E$28)</f>
        <v>65</v>
      </c>
      <c r="D1869" s="114" t="str">
        <f aca="false">IF(B1869="Tema",MOD(A1869-1,Config!$E$28)+1,"")</f>
        <v/>
      </c>
      <c r="E1869" s="115" t="str">
        <f aca="false">IF($B1869="Tema",IF(ISNUMBER(INDEX(Temas!$E$6:$P$305,$C1869,2*$D1869-1)),INDEX(Temas!$E$6:$P$305,$C1869,2*$D1869-1),""),IF(ISNUMBER(INDEX(Avulsos!$B$6:$B$205,$C1869)),INDEX(Avulsos!$B$6:$B$205,$C1869),""))</f>
        <v/>
      </c>
      <c r="F1869" s="114" t="str">
        <f aca="false">IF($E1869="","",IF($B1869="Tema",INDEX(Temas!$B$6:$B$305,$C1869)&amp;"",INDEX(Avulsos!$C$6:$C$205,$C1869)&amp;""))</f>
        <v/>
      </c>
      <c r="G1869" s="114" t="str">
        <f aca="false">IF($E1869="","",IF($B1869="Tema",INDEX(Config!$C$6:$C$11,$D1869),"Evento avulso"))</f>
        <v/>
      </c>
      <c r="H1869" s="114" t="str">
        <f aca="false">IF($E1869="","",IF($B1869="Tema",INDEX(Config!$D$6:$D$11,$D1869),IFERROR(INDEX(Config!$E$15:$E$19,MATCH($I1869,Config!$C$15:$C$19,0)),"•")))</f>
        <v/>
      </c>
      <c r="I1869" s="114" t="str">
        <f aca="false">IF($E1869="","",IF($B1869="Tema",INDEX(Config!$E$6:$E$11,$D1869),IF(INDEX(Avulsos!$D$6:$D$205,$C1869)&amp;""="","Outro",INDEX(Avulsos!$D$6:$D$205,$C1869))))</f>
        <v/>
      </c>
      <c r="J1869" s="114" t="str">
        <f aca="false">IF($E1869="","",IF($B1869="Tema",INDEX(Temas!$C$6:$C$305,$C1869)&amp;"",INDEX(Avulsos!$E$6:$E$205,$C1869)&amp;""))</f>
        <v/>
      </c>
      <c r="K1869" s="114" t="str">
        <f aca="false">IF($E1869="","",IF(IF($B1869="Tema",INDEX(Temas!$E$6:$P$305,$C1869,2*$D1869),INDEX(Avulsos!$F$6:$F$205,$C1869))&amp;""="","","✓"))</f>
        <v/>
      </c>
      <c r="L1869" s="114" t="str">
        <f aca="true">IF($E1869="","",IF($K1869="✓","Concluído",IF($E1869&lt;TODAY(),"Atrasado",IF($E1869=TODAY(),"Hoje","Pendente"))))</f>
        <v/>
      </c>
      <c r="M1869" s="114" t="str">
        <f aca="false">IF($E1869="","",IF($K1869="✓","✓ ","")&amp;IF(Config!$E$22="Sim",$H1869&amp;" · ","")&amp;$F1869)</f>
        <v/>
      </c>
      <c r="N1869" s="114" t="str">
        <f aca="false">IF($E1869="","",IFERROR(INDEX(Config!$D$15:$D$19,MATCH($I1869,Config!$C$15:$C$19,0)),"OUT")&amp;IF($K1869="✓","x",""))</f>
        <v/>
      </c>
      <c r="O1869" s="114" t="str">
        <f aca="false">IF($E1869="","",COUNTIF($E$5:$E1869,$E1869))</f>
        <v/>
      </c>
      <c r="P1869" s="114" t="str">
        <f aca="false">IF($E1869="","",$E1869*100+$O1869)</f>
        <v/>
      </c>
      <c r="Q1869" s="114" t="str">
        <f aca="false">IF($L1869="Atrasado",$E1869*10000+$A1869,"")</f>
        <v/>
      </c>
    </row>
    <row r="1870" customFormat="false" ht="15" hidden="false" customHeight="false" outlineLevel="0" collapsed="false">
      <c r="A1870" s="114" t="n">
        <f aca="false">ROW()-4</f>
        <v>1866</v>
      </c>
      <c r="B1870" s="114" t="str">
        <f aca="false">IF(A1870&lt;=Config!$E$27*Config!$E$28,"Tema","Avulso")</f>
        <v>Avulso</v>
      </c>
      <c r="C1870" s="114" t="n">
        <f aca="false">IF(B1870="Tema",INT((A1870-1)/Config!$E$28)+1,A1870-Config!$E$27*Config!$E$28)</f>
        <v>66</v>
      </c>
      <c r="D1870" s="114" t="str">
        <f aca="false">IF(B1870="Tema",MOD(A1870-1,Config!$E$28)+1,"")</f>
        <v/>
      </c>
      <c r="E1870" s="115" t="str">
        <f aca="false">IF($B1870="Tema",IF(ISNUMBER(INDEX(Temas!$E$6:$P$305,$C1870,2*$D1870-1)),INDEX(Temas!$E$6:$P$305,$C1870,2*$D1870-1),""),IF(ISNUMBER(INDEX(Avulsos!$B$6:$B$205,$C1870)),INDEX(Avulsos!$B$6:$B$205,$C1870),""))</f>
        <v/>
      </c>
      <c r="F1870" s="114" t="str">
        <f aca="false">IF($E1870="","",IF($B1870="Tema",INDEX(Temas!$B$6:$B$305,$C1870)&amp;"",INDEX(Avulsos!$C$6:$C$205,$C1870)&amp;""))</f>
        <v/>
      </c>
      <c r="G1870" s="114" t="str">
        <f aca="false">IF($E1870="","",IF($B1870="Tema",INDEX(Config!$C$6:$C$11,$D1870),"Evento avulso"))</f>
        <v/>
      </c>
      <c r="H1870" s="114" t="str">
        <f aca="false">IF($E1870="","",IF($B1870="Tema",INDEX(Config!$D$6:$D$11,$D1870),IFERROR(INDEX(Config!$E$15:$E$19,MATCH($I1870,Config!$C$15:$C$19,0)),"•")))</f>
        <v/>
      </c>
      <c r="I1870" s="114" t="str">
        <f aca="false">IF($E1870="","",IF($B1870="Tema",INDEX(Config!$E$6:$E$11,$D1870),IF(INDEX(Avulsos!$D$6:$D$205,$C1870)&amp;""="","Outro",INDEX(Avulsos!$D$6:$D$205,$C1870))))</f>
        <v/>
      </c>
      <c r="J1870" s="114" t="str">
        <f aca="false">IF($E1870="","",IF($B1870="Tema",INDEX(Temas!$C$6:$C$305,$C1870)&amp;"",INDEX(Avulsos!$E$6:$E$205,$C1870)&amp;""))</f>
        <v/>
      </c>
      <c r="K1870" s="114" t="str">
        <f aca="false">IF($E1870="","",IF(IF($B1870="Tema",INDEX(Temas!$E$6:$P$305,$C1870,2*$D1870),INDEX(Avulsos!$F$6:$F$205,$C1870))&amp;""="","","✓"))</f>
        <v/>
      </c>
      <c r="L1870" s="114" t="str">
        <f aca="true">IF($E1870="","",IF($K1870="✓","Concluído",IF($E1870&lt;TODAY(),"Atrasado",IF($E1870=TODAY(),"Hoje","Pendente"))))</f>
        <v/>
      </c>
      <c r="M1870" s="114" t="str">
        <f aca="false">IF($E1870="","",IF($K1870="✓","✓ ","")&amp;IF(Config!$E$22="Sim",$H1870&amp;" · ","")&amp;$F1870)</f>
        <v/>
      </c>
      <c r="N1870" s="114" t="str">
        <f aca="false">IF($E1870="","",IFERROR(INDEX(Config!$D$15:$D$19,MATCH($I1870,Config!$C$15:$C$19,0)),"OUT")&amp;IF($K1870="✓","x",""))</f>
        <v/>
      </c>
      <c r="O1870" s="114" t="str">
        <f aca="false">IF($E1870="","",COUNTIF($E$5:$E1870,$E1870))</f>
        <v/>
      </c>
      <c r="P1870" s="114" t="str">
        <f aca="false">IF($E1870="","",$E1870*100+$O1870)</f>
        <v/>
      </c>
      <c r="Q1870" s="114" t="str">
        <f aca="false">IF($L1870="Atrasado",$E1870*10000+$A1870,"")</f>
        <v/>
      </c>
    </row>
    <row r="1871" customFormat="false" ht="15" hidden="false" customHeight="false" outlineLevel="0" collapsed="false">
      <c r="A1871" s="114" t="n">
        <f aca="false">ROW()-4</f>
        <v>1867</v>
      </c>
      <c r="B1871" s="114" t="str">
        <f aca="false">IF(A1871&lt;=Config!$E$27*Config!$E$28,"Tema","Avulso")</f>
        <v>Avulso</v>
      </c>
      <c r="C1871" s="114" t="n">
        <f aca="false">IF(B1871="Tema",INT((A1871-1)/Config!$E$28)+1,A1871-Config!$E$27*Config!$E$28)</f>
        <v>67</v>
      </c>
      <c r="D1871" s="114" t="str">
        <f aca="false">IF(B1871="Tema",MOD(A1871-1,Config!$E$28)+1,"")</f>
        <v/>
      </c>
      <c r="E1871" s="115" t="str">
        <f aca="false">IF($B1871="Tema",IF(ISNUMBER(INDEX(Temas!$E$6:$P$305,$C1871,2*$D1871-1)),INDEX(Temas!$E$6:$P$305,$C1871,2*$D1871-1),""),IF(ISNUMBER(INDEX(Avulsos!$B$6:$B$205,$C1871)),INDEX(Avulsos!$B$6:$B$205,$C1871),""))</f>
        <v/>
      </c>
      <c r="F1871" s="114" t="str">
        <f aca="false">IF($E1871="","",IF($B1871="Tema",INDEX(Temas!$B$6:$B$305,$C1871)&amp;"",INDEX(Avulsos!$C$6:$C$205,$C1871)&amp;""))</f>
        <v/>
      </c>
      <c r="G1871" s="114" t="str">
        <f aca="false">IF($E1871="","",IF($B1871="Tema",INDEX(Config!$C$6:$C$11,$D1871),"Evento avulso"))</f>
        <v/>
      </c>
      <c r="H1871" s="114" t="str">
        <f aca="false">IF($E1871="","",IF($B1871="Tema",INDEX(Config!$D$6:$D$11,$D1871),IFERROR(INDEX(Config!$E$15:$E$19,MATCH($I1871,Config!$C$15:$C$19,0)),"•")))</f>
        <v/>
      </c>
      <c r="I1871" s="114" t="str">
        <f aca="false">IF($E1871="","",IF($B1871="Tema",INDEX(Config!$E$6:$E$11,$D1871),IF(INDEX(Avulsos!$D$6:$D$205,$C1871)&amp;""="","Outro",INDEX(Avulsos!$D$6:$D$205,$C1871))))</f>
        <v/>
      </c>
      <c r="J1871" s="114" t="str">
        <f aca="false">IF($E1871="","",IF($B1871="Tema",INDEX(Temas!$C$6:$C$305,$C1871)&amp;"",INDEX(Avulsos!$E$6:$E$205,$C1871)&amp;""))</f>
        <v/>
      </c>
      <c r="K1871" s="114" t="str">
        <f aca="false">IF($E1871="","",IF(IF($B1871="Tema",INDEX(Temas!$E$6:$P$305,$C1871,2*$D1871),INDEX(Avulsos!$F$6:$F$205,$C1871))&amp;""="","","✓"))</f>
        <v/>
      </c>
      <c r="L1871" s="114" t="str">
        <f aca="true">IF($E1871="","",IF($K1871="✓","Concluído",IF($E1871&lt;TODAY(),"Atrasado",IF($E1871=TODAY(),"Hoje","Pendente"))))</f>
        <v/>
      </c>
      <c r="M1871" s="114" t="str">
        <f aca="false">IF($E1871="","",IF($K1871="✓","✓ ","")&amp;IF(Config!$E$22="Sim",$H1871&amp;" · ","")&amp;$F1871)</f>
        <v/>
      </c>
      <c r="N1871" s="114" t="str">
        <f aca="false">IF($E1871="","",IFERROR(INDEX(Config!$D$15:$D$19,MATCH($I1871,Config!$C$15:$C$19,0)),"OUT")&amp;IF($K1871="✓","x",""))</f>
        <v/>
      </c>
      <c r="O1871" s="114" t="str">
        <f aca="false">IF($E1871="","",COUNTIF($E$5:$E1871,$E1871))</f>
        <v/>
      </c>
      <c r="P1871" s="114" t="str">
        <f aca="false">IF($E1871="","",$E1871*100+$O1871)</f>
        <v/>
      </c>
      <c r="Q1871" s="114" t="str">
        <f aca="false">IF($L1871="Atrasado",$E1871*10000+$A1871,"")</f>
        <v/>
      </c>
    </row>
    <row r="1872" customFormat="false" ht="15" hidden="false" customHeight="false" outlineLevel="0" collapsed="false">
      <c r="A1872" s="114" t="n">
        <f aca="false">ROW()-4</f>
        <v>1868</v>
      </c>
      <c r="B1872" s="114" t="str">
        <f aca="false">IF(A1872&lt;=Config!$E$27*Config!$E$28,"Tema","Avulso")</f>
        <v>Avulso</v>
      </c>
      <c r="C1872" s="114" t="n">
        <f aca="false">IF(B1872="Tema",INT((A1872-1)/Config!$E$28)+1,A1872-Config!$E$27*Config!$E$28)</f>
        <v>68</v>
      </c>
      <c r="D1872" s="114" t="str">
        <f aca="false">IF(B1872="Tema",MOD(A1872-1,Config!$E$28)+1,"")</f>
        <v/>
      </c>
      <c r="E1872" s="115" t="str">
        <f aca="false">IF($B1872="Tema",IF(ISNUMBER(INDEX(Temas!$E$6:$P$305,$C1872,2*$D1872-1)),INDEX(Temas!$E$6:$P$305,$C1872,2*$D1872-1),""),IF(ISNUMBER(INDEX(Avulsos!$B$6:$B$205,$C1872)),INDEX(Avulsos!$B$6:$B$205,$C1872),""))</f>
        <v/>
      </c>
      <c r="F1872" s="114" t="str">
        <f aca="false">IF($E1872="","",IF($B1872="Tema",INDEX(Temas!$B$6:$B$305,$C1872)&amp;"",INDEX(Avulsos!$C$6:$C$205,$C1872)&amp;""))</f>
        <v/>
      </c>
      <c r="G1872" s="114" t="str">
        <f aca="false">IF($E1872="","",IF($B1872="Tema",INDEX(Config!$C$6:$C$11,$D1872),"Evento avulso"))</f>
        <v/>
      </c>
      <c r="H1872" s="114" t="str">
        <f aca="false">IF($E1872="","",IF($B1872="Tema",INDEX(Config!$D$6:$D$11,$D1872),IFERROR(INDEX(Config!$E$15:$E$19,MATCH($I1872,Config!$C$15:$C$19,0)),"•")))</f>
        <v/>
      </c>
      <c r="I1872" s="114" t="str">
        <f aca="false">IF($E1872="","",IF($B1872="Tema",INDEX(Config!$E$6:$E$11,$D1872),IF(INDEX(Avulsos!$D$6:$D$205,$C1872)&amp;""="","Outro",INDEX(Avulsos!$D$6:$D$205,$C1872))))</f>
        <v/>
      </c>
      <c r="J1872" s="114" t="str">
        <f aca="false">IF($E1872="","",IF($B1872="Tema",INDEX(Temas!$C$6:$C$305,$C1872)&amp;"",INDEX(Avulsos!$E$6:$E$205,$C1872)&amp;""))</f>
        <v/>
      </c>
      <c r="K1872" s="114" t="str">
        <f aca="false">IF($E1872="","",IF(IF($B1872="Tema",INDEX(Temas!$E$6:$P$305,$C1872,2*$D1872),INDEX(Avulsos!$F$6:$F$205,$C1872))&amp;""="","","✓"))</f>
        <v/>
      </c>
      <c r="L1872" s="114" t="str">
        <f aca="true">IF($E1872="","",IF($K1872="✓","Concluído",IF($E1872&lt;TODAY(),"Atrasado",IF($E1872=TODAY(),"Hoje","Pendente"))))</f>
        <v/>
      </c>
      <c r="M1872" s="114" t="str">
        <f aca="false">IF($E1872="","",IF($K1872="✓","✓ ","")&amp;IF(Config!$E$22="Sim",$H1872&amp;" · ","")&amp;$F1872)</f>
        <v/>
      </c>
      <c r="N1872" s="114" t="str">
        <f aca="false">IF($E1872="","",IFERROR(INDEX(Config!$D$15:$D$19,MATCH($I1872,Config!$C$15:$C$19,0)),"OUT")&amp;IF($K1872="✓","x",""))</f>
        <v/>
      </c>
      <c r="O1872" s="114" t="str">
        <f aca="false">IF($E1872="","",COUNTIF($E$5:$E1872,$E1872))</f>
        <v/>
      </c>
      <c r="P1872" s="114" t="str">
        <f aca="false">IF($E1872="","",$E1872*100+$O1872)</f>
        <v/>
      </c>
      <c r="Q1872" s="114" t="str">
        <f aca="false">IF($L1872="Atrasado",$E1872*10000+$A1872,"")</f>
        <v/>
      </c>
    </row>
    <row r="1873" customFormat="false" ht="15" hidden="false" customHeight="false" outlineLevel="0" collapsed="false">
      <c r="A1873" s="114" t="n">
        <f aca="false">ROW()-4</f>
        <v>1869</v>
      </c>
      <c r="B1873" s="114" t="str">
        <f aca="false">IF(A1873&lt;=Config!$E$27*Config!$E$28,"Tema","Avulso")</f>
        <v>Avulso</v>
      </c>
      <c r="C1873" s="114" t="n">
        <f aca="false">IF(B1873="Tema",INT((A1873-1)/Config!$E$28)+1,A1873-Config!$E$27*Config!$E$28)</f>
        <v>69</v>
      </c>
      <c r="D1873" s="114" t="str">
        <f aca="false">IF(B1873="Tema",MOD(A1873-1,Config!$E$28)+1,"")</f>
        <v/>
      </c>
      <c r="E1873" s="115" t="str">
        <f aca="false">IF($B1873="Tema",IF(ISNUMBER(INDEX(Temas!$E$6:$P$305,$C1873,2*$D1873-1)),INDEX(Temas!$E$6:$P$305,$C1873,2*$D1873-1),""),IF(ISNUMBER(INDEX(Avulsos!$B$6:$B$205,$C1873)),INDEX(Avulsos!$B$6:$B$205,$C1873),""))</f>
        <v/>
      </c>
      <c r="F1873" s="114" t="str">
        <f aca="false">IF($E1873="","",IF($B1873="Tema",INDEX(Temas!$B$6:$B$305,$C1873)&amp;"",INDEX(Avulsos!$C$6:$C$205,$C1873)&amp;""))</f>
        <v/>
      </c>
      <c r="G1873" s="114" t="str">
        <f aca="false">IF($E1873="","",IF($B1873="Tema",INDEX(Config!$C$6:$C$11,$D1873),"Evento avulso"))</f>
        <v/>
      </c>
      <c r="H1873" s="114" t="str">
        <f aca="false">IF($E1873="","",IF($B1873="Tema",INDEX(Config!$D$6:$D$11,$D1873),IFERROR(INDEX(Config!$E$15:$E$19,MATCH($I1873,Config!$C$15:$C$19,0)),"•")))</f>
        <v/>
      </c>
      <c r="I1873" s="114" t="str">
        <f aca="false">IF($E1873="","",IF($B1873="Tema",INDEX(Config!$E$6:$E$11,$D1873),IF(INDEX(Avulsos!$D$6:$D$205,$C1873)&amp;""="","Outro",INDEX(Avulsos!$D$6:$D$205,$C1873))))</f>
        <v/>
      </c>
      <c r="J1873" s="114" t="str">
        <f aca="false">IF($E1873="","",IF($B1873="Tema",INDEX(Temas!$C$6:$C$305,$C1873)&amp;"",INDEX(Avulsos!$E$6:$E$205,$C1873)&amp;""))</f>
        <v/>
      </c>
      <c r="K1873" s="114" t="str">
        <f aca="false">IF($E1873="","",IF(IF($B1873="Tema",INDEX(Temas!$E$6:$P$305,$C1873,2*$D1873),INDEX(Avulsos!$F$6:$F$205,$C1873))&amp;""="","","✓"))</f>
        <v/>
      </c>
      <c r="L1873" s="114" t="str">
        <f aca="true">IF($E1873="","",IF($K1873="✓","Concluído",IF($E1873&lt;TODAY(),"Atrasado",IF($E1873=TODAY(),"Hoje","Pendente"))))</f>
        <v/>
      </c>
      <c r="M1873" s="114" t="str">
        <f aca="false">IF($E1873="","",IF($K1873="✓","✓ ","")&amp;IF(Config!$E$22="Sim",$H1873&amp;" · ","")&amp;$F1873)</f>
        <v/>
      </c>
      <c r="N1873" s="114" t="str">
        <f aca="false">IF($E1873="","",IFERROR(INDEX(Config!$D$15:$D$19,MATCH($I1873,Config!$C$15:$C$19,0)),"OUT")&amp;IF($K1873="✓","x",""))</f>
        <v/>
      </c>
      <c r="O1873" s="114" t="str">
        <f aca="false">IF($E1873="","",COUNTIF($E$5:$E1873,$E1873))</f>
        <v/>
      </c>
      <c r="P1873" s="114" t="str">
        <f aca="false">IF($E1873="","",$E1873*100+$O1873)</f>
        <v/>
      </c>
      <c r="Q1873" s="114" t="str">
        <f aca="false">IF($L1873="Atrasado",$E1873*10000+$A1873,"")</f>
        <v/>
      </c>
    </row>
    <row r="1874" customFormat="false" ht="15" hidden="false" customHeight="false" outlineLevel="0" collapsed="false">
      <c r="A1874" s="114" t="n">
        <f aca="false">ROW()-4</f>
        <v>1870</v>
      </c>
      <c r="B1874" s="114" t="str">
        <f aca="false">IF(A1874&lt;=Config!$E$27*Config!$E$28,"Tema","Avulso")</f>
        <v>Avulso</v>
      </c>
      <c r="C1874" s="114" t="n">
        <f aca="false">IF(B1874="Tema",INT((A1874-1)/Config!$E$28)+1,A1874-Config!$E$27*Config!$E$28)</f>
        <v>70</v>
      </c>
      <c r="D1874" s="114" t="str">
        <f aca="false">IF(B1874="Tema",MOD(A1874-1,Config!$E$28)+1,"")</f>
        <v/>
      </c>
      <c r="E1874" s="115" t="str">
        <f aca="false">IF($B1874="Tema",IF(ISNUMBER(INDEX(Temas!$E$6:$P$305,$C1874,2*$D1874-1)),INDEX(Temas!$E$6:$P$305,$C1874,2*$D1874-1),""),IF(ISNUMBER(INDEX(Avulsos!$B$6:$B$205,$C1874)),INDEX(Avulsos!$B$6:$B$205,$C1874),""))</f>
        <v/>
      </c>
      <c r="F1874" s="114" t="str">
        <f aca="false">IF($E1874="","",IF($B1874="Tema",INDEX(Temas!$B$6:$B$305,$C1874)&amp;"",INDEX(Avulsos!$C$6:$C$205,$C1874)&amp;""))</f>
        <v/>
      </c>
      <c r="G1874" s="114" t="str">
        <f aca="false">IF($E1874="","",IF($B1874="Tema",INDEX(Config!$C$6:$C$11,$D1874),"Evento avulso"))</f>
        <v/>
      </c>
      <c r="H1874" s="114" t="str">
        <f aca="false">IF($E1874="","",IF($B1874="Tema",INDEX(Config!$D$6:$D$11,$D1874),IFERROR(INDEX(Config!$E$15:$E$19,MATCH($I1874,Config!$C$15:$C$19,0)),"•")))</f>
        <v/>
      </c>
      <c r="I1874" s="114" t="str">
        <f aca="false">IF($E1874="","",IF($B1874="Tema",INDEX(Config!$E$6:$E$11,$D1874),IF(INDEX(Avulsos!$D$6:$D$205,$C1874)&amp;""="","Outro",INDEX(Avulsos!$D$6:$D$205,$C1874))))</f>
        <v/>
      </c>
      <c r="J1874" s="114" t="str">
        <f aca="false">IF($E1874="","",IF($B1874="Tema",INDEX(Temas!$C$6:$C$305,$C1874)&amp;"",INDEX(Avulsos!$E$6:$E$205,$C1874)&amp;""))</f>
        <v/>
      </c>
      <c r="K1874" s="114" t="str">
        <f aca="false">IF($E1874="","",IF(IF($B1874="Tema",INDEX(Temas!$E$6:$P$305,$C1874,2*$D1874),INDEX(Avulsos!$F$6:$F$205,$C1874))&amp;""="","","✓"))</f>
        <v/>
      </c>
      <c r="L1874" s="114" t="str">
        <f aca="true">IF($E1874="","",IF($K1874="✓","Concluído",IF($E1874&lt;TODAY(),"Atrasado",IF($E1874=TODAY(),"Hoje","Pendente"))))</f>
        <v/>
      </c>
      <c r="M1874" s="114" t="str">
        <f aca="false">IF($E1874="","",IF($K1874="✓","✓ ","")&amp;IF(Config!$E$22="Sim",$H1874&amp;" · ","")&amp;$F1874)</f>
        <v/>
      </c>
      <c r="N1874" s="114" t="str">
        <f aca="false">IF($E1874="","",IFERROR(INDEX(Config!$D$15:$D$19,MATCH($I1874,Config!$C$15:$C$19,0)),"OUT")&amp;IF($K1874="✓","x",""))</f>
        <v/>
      </c>
      <c r="O1874" s="114" t="str">
        <f aca="false">IF($E1874="","",COUNTIF($E$5:$E1874,$E1874))</f>
        <v/>
      </c>
      <c r="P1874" s="114" t="str">
        <f aca="false">IF($E1874="","",$E1874*100+$O1874)</f>
        <v/>
      </c>
      <c r="Q1874" s="114" t="str">
        <f aca="false">IF($L1874="Atrasado",$E1874*10000+$A1874,"")</f>
        <v/>
      </c>
    </row>
    <row r="1875" customFormat="false" ht="15" hidden="false" customHeight="false" outlineLevel="0" collapsed="false">
      <c r="A1875" s="114" t="n">
        <f aca="false">ROW()-4</f>
        <v>1871</v>
      </c>
      <c r="B1875" s="114" t="str">
        <f aca="false">IF(A1875&lt;=Config!$E$27*Config!$E$28,"Tema","Avulso")</f>
        <v>Avulso</v>
      </c>
      <c r="C1875" s="114" t="n">
        <f aca="false">IF(B1875="Tema",INT((A1875-1)/Config!$E$28)+1,A1875-Config!$E$27*Config!$E$28)</f>
        <v>71</v>
      </c>
      <c r="D1875" s="114" t="str">
        <f aca="false">IF(B1875="Tema",MOD(A1875-1,Config!$E$28)+1,"")</f>
        <v/>
      </c>
      <c r="E1875" s="115" t="str">
        <f aca="false">IF($B1875="Tema",IF(ISNUMBER(INDEX(Temas!$E$6:$P$305,$C1875,2*$D1875-1)),INDEX(Temas!$E$6:$P$305,$C1875,2*$D1875-1),""),IF(ISNUMBER(INDEX(Avulsos!$B$6:$B$205,$C1875)),INDEX(Avulsos!$B$6:$B$205,$C1875),""))</f>
        <v/>
      </c>
      <c r="F1875" s="114" t="str">
        <f aca="false">IF($E1875="","",IF($B1875="Tema",INDEX(Temas!$B$6:$B$305,$C1875)&amp;"",INDEX(Avulsos!$C$6:$C$205,$C1875)&amp;""))</f>
        <v/>
      </c>
      <c r="G1875" s="114" t="str">
        <f aca="false">IF($E1875="","",IF($B1875="Tema",INDEX(Config!$C$6:$C$11,$D1875),"Evento avulso"))</f>
        <v/>
      </c>
      <c r="H1875" s="114" t="str">
        <f aca="false">IF($E1875="","",IF($B1875="Tema",INDEX(Config!$D$6:$D$11,$D1875),IFERROR(INDEX(Config!$E$15:$E$19,MATCH($I1875,Config!$C$15:$C$19,0)),"•")))</f>
        <v/>
      </c>
      <c r="I1875" s="114" t="str">
        <f aca="false">IF($E1875="","",IF($B1875="Tema",INDEX(Config!$E$6:$E$11,$D1875),IF(INDEX(Avulsos!$D$6:$D$205,$C1875)&amp;""="","Outro",INDEX(Avulsos!$D$6:$D$205,$C1875))))</f>
        <v/>
      </c>
      <c r="J1875" s="114" t="str">
        <f aca="false">IF($E1875="","",IF($B1875="Tema",INDEX(Temas!$C$6:$C$305,$C1875)&amp;"",INDEX(Avulsos!$E$6:$E$205,$C1875)&amp;""))</f>
        <v/>
      </c>
      <c r="K1875" s="114" t="str">
        <f aca="false">IF($E1875="","",IF(IF($B1875="Tema",INDEX(Temas!$E$6:$P$305,$C1875,2*$D1875),INDEX(Avulsos!$F$6:$F$205,$C1875))&amp;""="","","✓"))</f>
        <v/>
      </c>
      <c r="L1875" s="114" t="str">
        <f aca="true">IF($E1875="","",IF($K1875="✓","Concluído",IF($E1875&lt;TODAY(),"Atrasado",IF($E1875=TODAY(),"Hoje","Pendente"))))</f>
        <v/>
      </c>
      <c r="M1875" s="114" t="str">
        <f aca="false">IF($E1875="","",IF($K1875="✓","✓ ","")&amp;IF(Config!$E$22="Sim",$H1875&amp;" · ","")&amp;$F1875)</f>
        <v/>
      </c>
      <c r="N1875" s="114" t="str">
        <f aca="false">IF($E1875="","",IFERROR(INDEX(Config!$D$15:$D$19,MATCH($I1875,Config!$C$15:$C$19,0)),"OUT")&amp;IF($K1875="✓","x",""))</f>
        <v/>
      </c>
      <c r="O1875" s="114" t="str">
        <f aca="false">IF($E1875="","",COUNTIF($E$5:$E1875,$E1875))</f>
        <v/>
      </c>
      <c r="P1875" s="114" t="str">
        <f aca="false">IF($E1875="","",$E1875*100+$O1875)</f>
        <v/>
      </c>
      <c r="Q1875" s="114" t="str">
        <f aca="false">IF($L1875="Atrasado",$E1875*10000+$A1875,"")</f>
        <v/>
      </c>
    </row>
    <row r="1876" customFormat="false" ht="15" hidden="false" customHeight="false" outlineLevel="0" collapsed="false">
      <c r="A1876" s="114" t="n">
        <f aca="false">ROW()-4</f>
        <v>1872</v>
      </c>
      <c r="B1876" s="114" t="str">
        <f aca="false">IF(A1876&lt;=Config!$E$27*Config!$E$28,"Tema","Avulso")</f>
        <v>Avulso</v>
      </c>
      <c r="C1876" s="114" t="n">
        <f aca="false">IF(B1876="Tema",INT((A1876-1)/Config!$E$28)+1,A1876-Config!$E$27*Config!$E$28)</f>
        <v>72</v>
      </c>
      <c r="D1876" s="114" t="str">
        <f aca="false">IF(B1876="Tema",MOD(A1876-1,Config!$E$28)+1,"")</f>
        <v/>
      </c>
      <c r="E1876" s="115" t="str">
        <f aca="false">IF($B1876="Tema",IF(ISNUMBER(INDEX(Temas!$E$6:$P$305,$C1876,2*$D1876-1)),INDEX(Temas!$E$6:$P$305,$C1876,2*$D1876-1),""),IF(ISNUMBER(INDEX(Avulsos!$B$6:$B$205,$C1876)),INDEX(Avulsos!$B$6:$B$205,$C1876),""))</f>
        <v/>
      </c>
      <c r="F1876" s="114" t="str">
        <f aca="false">IF($E1876="","",IF($B1876="Tema",INDEX(Temas!$B$6:$B$305,$C1876)&amp;"",INDEX(Avulsos!$C$6:$C$205,$C1876)&amp;""))</f>
        <v/>
      </c>
      <c r="G1876" s="114" t="str">
        <f aca="false">IF($E1876="","",IF($B1876="Tema",INDEX(Config!$C$6:$C$11,$D1876),"Evento avulso"))</f>
        <v/>
      </c>
      <c r="H1876" s="114" t="str">
        <f aca="false">IF($E1876="","",IF($B1876="Tema",INDEX(Config!$D$6:$D$11,$D1876),IFERROR(INDEX(Config!$E$15:$E$19,MATCH($I1876,Config!$C$15:$C$19,0)),"•")))</f>
        <v/>
      </c>
      <c r="I1876" s="114" t="str">
        <f aca="false">IF($E1876="","",IF($B1876="Tema",INDEX(Config!$E$6:$E$11,$D1876),IF(INDEX(Avulsos!$D$6:$D$205,$C1876)&amp;""="","Outro",INDEX(Avulsos!$D$6:$D$205,$C1876))))</f>
        <v/>
      </c>
      <c r="J1876" s="114" t="str">
        <f aca="false">IF($E1876="","",IF($B1876="Tema",INDEX(Temas!$C$6:$C$305,$C1876)&amp;"",INDEX(Avulsos!$E$6:$E$205,$C1876)&amp;""))</f>
        <v/>
      </c>
      <c r="K1876" s="114" t="str">
        <f aca="false">IF($E1876="","",IF(IF($B1876="Tema",INDEX(Temas!$E$6:$P$305,$C1876,2*$D1876),INDEX(Avulsos!$F$6:$F$205,$C1876))&amp;""="","","✓"))</f>
        <v/>
      </c>
      <c r="L1876" s="114" t="str">
        <f aca="true">IF($E1876="","",IF($K1876="✓","Concluído",IF($E1876&lt;TODAY(),"Atrasado",IF($E1876=TODAY(),"Hoje","Pendente"))))</f>
        <v/>
      </c>
      <c r="M1876" s="114" t="str">
        <f aca="false">IF($E1876="","",IF($K1876="✓","✓ ","")&amp;IF(Config!$E$22="Sim",$H1876&amp;" · ","")&amp;$F1876)</f>
        <v/>
      </c>
      <c r="N1876" s="114" t="str">
        <f aca="false">IF($E1876="","",IFERROR(INDEX(Config!$D$15:$D$19,MATCH($I1876,Config!$C$15:$C$19,0)),"OUT")&amp;IF($K1876="✓","x",""))</f>
        <v/>
      </c>
      <c r="O1876" s="114" t="str">
        <f aca="false">IF($E1876="","",COUNTIF($E$5:$E1876,$E1876))</f>
        <v/>
      </c>
      <c r="P1876" s="114" t="str">
        <f aca="false">IF($E1876="","",$E1876*100+$O1876)</f>
        <v/>
      </c>
      <c r="Q1876" s="114" t="str">
        <f aca="false">IF($L1876="Atrasado",$E1876*10000+$A1876,"")</f>
        <v/>
      </c>
    </row>
    <row r="1877" customFormat="false" ht="15" hidden="false" customHeight="false" outlineLevel="0" collapsed="false">
      <c r="A1877" s="114" t="n">
        <f aca="false">ROW()-4</f>
        <v>1873</v>
      </c>
      <c r="B1877" s="114" t="str">
        <f aca="false">IF(A1877&lt;=Config!$E$27*Config!$E$28,"Tema","Avulso")</f>
        <v>Avulso</v>
      </c>
      <c r="C1877" s="114" t="n">
        <f aca="false">IF(B1877="Tema",INT((A1877-1)/Config!$E$28)+1,A1877-Config!$E$27*Config!$E$28)</f>
        <v>73</v>
      </c>
      <c r="D1877" s="114" t="str">
        <f aca="false">IF(B1877="Tema",MOD(A1877-1,Config!$E$28)+1,"")</f>
        <v/>
      </c>
      <c r="E1877" s="115" t="str">
        <f aca="false">IF($B1877="Tema",IF(ISNUMBER(INDEX(Temas!$E$6:$P$305,$C1877,2*$D1877-1)),INDEX(Temas!$E$6:$P$305,$C1877,2*$D1877-1),""),IF(ISNUMBER(INDEX(Avulsos!$B$6:$B$205,$C1877)),INDEX(Avulsos!$B$6:$B$205,$C1877),""))</f>
        <v/>
      </c>
      <c r="F1877" s="114" t="str">
        <f aca="false">IF($E1877="","",IF($B1877="Tema",INDEX(Temas!$B$6:$B$305,$C1877)&amp;"",INDEX(Avulsos!$C$6:$C$205,$C1877)&amp;""))</f>
        <v/>
      </c>
      <c r="G1877" s="114" t="str">
        <f aca="false">IF($E1877="","",IF($B1877="Tema",INDEX(Config!$C$6:$C$11,$D1877),"Evento avulso"))</f>
        <v/>
      </c>
      <c r="H1877" s="114" t="str">
        <f aca="false">IF($E1877="","",IF($B1877="Tema",INDEX(Config!$D$6:$D$11,$D1877),IFERROR(INDEX(Config!$E$15:$E$19,MATCH($I1877,Config!$C$15:$C$19,0)),"•")))</f>
        <v/>
      </c>
      <c r="I1877" s="114" t="str">
        <f aca="false">IF($E1877="","",IF($B1877="Tema",INDEX(Config!$E$6:$E$11,$D1877),IF(INDEX(Avulsos!$D$6:$D$205,$C1877)&amp;""="","Outro",INDEX(Avulsos!$D$6:$D$205,$C1877))))</f>
        <v/>
      </c>
      <c r="J1877" s="114" t="str">
        <f aca="false">IF($E1877="","",IF($B1877="Tema",INDEX(Temas!$C$6:$C$305,$C1877)&amp;"",INDEX(Avulsos!$E$6:$E$205,$C1877)&amp;""))</f>
        <v/>
      </c>
      <c r="K1877" s="114" t="str">
        <f aca="false">IF($E1877="","",IF(IF($B1877="Tema",INDEX(Temas!$E$6:$P$305,$C1877,2*$D1877),INDEX(Avulsos!$F$6:$F$205,$C1877))&amp;""="","","✓"))</f>
        <v/>
      </c>
      <c r="L1877" s="114" t="str">
        <f aca="true">IF($E1877="","",IF($K1877="✓","Concluído",IF($E1877&lt;TODAY(),"Atrasado",IF($E1877=TODAY(),"Hoje","Pendente"))))</f>
        <v/>
      </c>
      <c r="M1877" s="114" t="str">
        <f aca="false">IF($E1877="","",IF($K1877="✓","✓ ","")&amp;IF(Config!$E$22="Sim",$H1877&amp;" · ","")&amp;$F1877)</f>
        <v/>
      </c>
      <c r="N1877" s="114" t="str">
        <f aca="false">IF($E1877="","",IFERROR(INDEX(Config!$D$15:$D$19,MATCH($I1877,Config!$C$15:$C$19,0)),"OUT")&amp;IF($K1877="✓","x",""))</f>
        <v/>
      </c>
      <c r="O1877" s="114" t="str">
        <f aca="false">IF($E1877="","",COUNTIF($E$5:$E1877,$E1877))</f>
        <v/>
      </c>
      <c r="P1877" s="114" t="str">
        <f aca="false">IF($E1877="","",$E1877*100+$O1877)</f>
        <v/>
      </c>
      <c r="Q1877" s="114" t="str">
        <f aca="false">IF($L1877="Atrasado",$E1877*10000+$A1877,"")</f>
        <v/>
      </c>
    </row>
    <row r="1878" customFormat="false" ht="15" hidden="false" customHeight="false" outlineLevel="0" collapsed="false">
      <c r="A1878" s="114" t="n">
        <f aca="false">ROW()-4</f>
        <v>1874</v>
      </c>
      <c r="B1878" s="114" t="str">
        <f aca="false">IF(A1878&lt;=Config!$E$27*Config!$E$28,"Tema","Avulso")</f>
        <v>Avulso</v>
      </c>
      <c r="C1878" s="114" t="n">
        <f aca="false">IF(B1878="Tema",INT((A1878-1)/Config!$E$28)+1,A1878-Config!$E$27*Config!$E$28)</f>
        <v>74</v>
      </c>
      <c r="D1878" s="114" t="str">
        <f aca="false">IF(B1878="Tema",MOD(A1878-1,Config!$E$28)+1,"")</f>
        <v/>
      </c>
      <c r="E1878" s="115" t="str">
        <f aca="false">IF($B1878="Tema",IF(ISNUMBER(INDEX(Temas!$E$6:$P$305,$C1878,2*$D1878-1)),INDEX(Temas!$E$6:$P$305,$C1878,2*$D1878-1),""),IF(ISNUMBER(INDEX(Avulsos!$B$6:$B$205,$C1878)),INDEX(Avulsos!$B$6:$B$205,$C1878),""))</f>
        <v/>
      </c>
      <c r="F1878" s="114" t="str">
        <f aca="false">IF($E1878="","",IF($B1878="Tema",INDEX(Temas!$B$6:$B$305,$C1878)&amp;"",INDEX(Avulsos!$C$6:$C$205,$C1878)&amp;""))</f>
        <v/>
      </c>
      <c r="G1878" s="114" t="str">
        <f aca="false">IF($E1878="","",IF($B1878="Tema",INDEX(Config!$C$6:$C$11,$D1878),"Evento avulso"))</f>
        <v/>
      </c>
      <c r="H1878" s="114" t="str">
        <f aca="false">IF($E1878="","",IF($B1878="Tema",INDEX(Config!$D$6:$D$11,$D1878),IFERROR(INDEX(Config!$E$15:$E$19,MATCH($I1878,Config!$C$15:$C$19,0)),"•")))</f>
        <v/>
      </c>
      <c r="I1878" s="114" t="str">
        <f aca="false">IF($E1878="","",IF($B1878="Tema",INDEX(Config!$E$6:$E$11,$D1878),IF(INDEX(Avulsos!$D$6:$D$205,$C1878)&amp;""="","Outro",INDEX(Avulsos!$D$6:$D$205,$C1878))))</f>
        <v/>
      </c>
      <c r="J1878" s="114" t="str">
        <f aca="false">IF($E1878="","",IF($B1878="Tema",INDEX(Temas!$C$6:$C$305,$C1878)&amp;"",INDEX(Avulsos!$E$6:$E$205,$C1878)&amp;""))</f>
        <v/>
      </c>
      <c r="K1878" s="114" t="str">
        <f aca="false">IF($E1878="","",IF(IF($B1878="Tema",INDEX(Temas!$E$6:$P$305,$C1878,2*$D1878),INDEX(Avulsos!$F$6:$F$205,$C1878))&amp;""="","","✓"))</f>
        <v/>
      </c>
      <c r="L1878" s="114" t="str">
        <f aca="true">IF($E1878="","",IF($K1878="✓","Concluído",IF($E1878&lt;TODAY(),"Atrasado",IF($E1878=TODAY(),"Hoje","Pendente"))))</f>
        <v/>
      </c>
      <c r="M1878" s="114" t="str">
        <f aca="false">IF($E1878="","",IF($K1878="✓","✓ ","")&amp;IF(Config!$E$22="Sim",$H1878&amp;" · ","")&amp;$F1878)</f>
        <v/>
      </c>
      <c r="N1878" s="114" t="str">
        <f aca="false">IF($E1878="","",IFERROR(INDEX(Config!$D$15:$D$19,MATCH($I1878,Config!$C$15:$C$19,0)),"OUT")&amp;IF($K1878="✓","x",""))</f>
        <v/>
      </c>
      <c r="O1878" s="114" t="str">
        <f aca="false">IF($E1878="","",COUNTIF($E$5:$E1878,$E1878))</f>
        <v/>
      </c>
      <c r="P1878" s="114" t="str">
        <f aca="false">IF($E1878="","",$E1878*100+$O1878)</f>
        <v/>
      </c>
      <c r="Q1878" s="114" t="str">
        <f aca="false">IF($L1878="Atrasado",$E1878*10000+$A1878,"")</f>
        <v/>
      </c>
    </row>
    <row r="1879" customFormat="false" ht="15" hidden="false" customHeight="false" outlineLevel="0" collapsed="false">
      <c r="A1879" s="114" t="n">
        <f aca="false">ROW()-4</f>
        <v>1875</v>
      </c>
      <c r="B1879" s="114" t="str">
        <f aca="false">IF(A1879&lt;=Config!$E$27*Config!$E$28,"Tema","Avulso")</f>
        <v>Avulso</v>
      </c>
      <c r="C1879" s="114" t="n">
        <f aca="false">IF(B1879="Tema",INT((A1879-1)/Config!$E$28)+1,A1879-Config!$E$27*Config!$E$28)</f>
        <v>75</v>
      </c>
      <c r="D1879" s="114" t="str">
        <f aca="false">IF(B1879="Tema",MOD(A1879-1,Config!$E$28)+1,"")</f>
        <v/>
      </c>
      <c r="E1879" s="115" t="str">
        <f aca="false">IF($B1879="Tema",IF(ISNUMBER(INDEX(Temas!$E$6:$P$305,$C1879,2*$D1879-1)),INDEX(Temas!$E$6:$P$305,$C1879,2*$D1879-1),""),IF(ISNUMBER(INDEX(Avulsos!$B$6:$B$205,$C1879)),INDEX(Avulsos!$B$6:$B$205,$C1879),""))</f>
        <v/>
      </c>
      <c r="F1879" s="114" t="str">
        <f aca="false">IF($E1879="","",IF($B1879="Tema",INDEX(Temas!$B$6:$B$305,$C1879)&amp;"",INDEX(Avulsos!$C$6:$C$205,$C1879)&amp;""))</f>
        <v/>
      </c>
      <c r="G1879" s="114" t="str">
        <f aca="false">IF($E1879="","",IF($B1879="Tema",INDEX(Config!$C$6:$C$11,$D1879),"Evento avulso"))</f>
        <v/>
      </c>
      <c r="H1879" s="114" t="str">
        <f aca="false">IF($E1879="","",IF($B1879="Tema",INDEX(Config!$D$6:$D$11,$D1879),IFERROR(INDEX(Config!$E$15:$E$19,MATCH($I1879,Config!$C$15:$C$19,0)),"•")))</f>
        <v/>
      </c>
      <c r="I1879" s="114" t="str">
        <f aca="false">IF($E1879="","",IF($B1879="Tema",INDEX(Config!$E$6:$E$11,$D1879),IF(INDEX(Avulsos!$D$6:$D$205,$C1879)&amp;""="","Outro",INDEX(Avulsos!$D$6:$D$205,$C1879))))</f>
        <v/>
      </c>
      <c r="J1879" s="114" t="str">
        <f aca="false">IF($E1879="","",IF($B1879="Tema",INDEX(Temas!$C$6:$C$305,$C1879)&amp;"",INDEX(Avulsos!$E$6:$E$205,$C1879)&amp;""))</f>
        <v/>
      </c>
      <c r="K1879" s="114" t="str">
        <f aca="false">IF($E1879="","",IF(IF($B1879="Tema",INDEX(Temas!$E$6:$P$305,$C1879,2*$D1879),INDEX(Avulsos!$F$6:$F$205,$C1879))&amp;""="","","✓"))</f>
        <v/>
      </c>
      <c r="L1879" s="114" t="str">
        <f aca="true">IF($E1879="","",IF($K1879="✓","Concluído",IF($E1879&lt;TODAY(),"Atrasado",IF($E1879=TODAY(),"Hoje","Pendente"))))</f>
        <v/>
      </c>
      <c r="M1879" s="114" t="str">
        <f aca="false">IF($E1879="","",IF($K1879="✓","✓ ","")&amp;IF(Config!$E$22="Sim",$H1879&amp;" · ","")&amp;$F1879)</f>
        <v/>
      </c>
      <c r="N1879" s="114" t="str">
        <f aca="false">IF($E1879="","",IFERROR(INDEX(Config!$D$15:$D$19,MATCH($I1879,Config!$C$15:$C$19,0)),"OUT")&amp;IF($K1879="✓","x",""))</f>
        <v/>
      </c>
      <c r="O1879" s="114" t="str">
        <f aca="false">IF($E1879="","",COUNTIF($E$5:$E1879,$E1879))</f>
        <v/>
      </c>
      <c r="P1879" s="114" t="str">
        <f aca="false">IF($E1879="","",$E1879*100+$O1879)</f>
        <v/>
      </c>
      <c r="Q1879" s="114" t="str">
        <f aca="false">IF($L1879="Atrasado",$E1879*10000+$A1879,"")</f>
        <v/>
      </c>
    </row>
    <row r="1880" customFormat="false" ht="15" hidden="false" customHeight="false" outlineLevel="0" collapsed="false">
      <c r="A1880" s="114" t="n">
        <f aca="false">ROW()-4</f>
        <v>1876</v>
      </c>
      <c r="B1880" s="114" t="str">
        <f aca="false">IF(A1880&lt;=Config!$E$27*Config!$E$28,"Tema","Avulso")</f>
        <v>Avulso</v>
      </c>
      <c r="C1880" s="114" t="n">
        <f aca="false">IF(B1880="Tema",INT((A1880-1)/Config!$E$28)+1,A1880-Config!$E$27*Config!$E$28)</f>
        <v>76</v>
      </c>
      <c r="D1880" s="114" t="str">
        <f aca="false">IF(B1880="Tema",MOD(A1880-1,Config!$E$28)+1,"")</f>
        <v/>
      </c>
      <c r="E1880" s="115" t="str">
        <f aca="false">IF($B1880="Tema",IF(ISNUMBER(INDEX(Temas!$E$6:$P$305,$C1880,2*$D1880-1)),INDEX(Temas!$E$6:$P$305,$C1880,2*$D1880-1),""),IF(ISNUMBER(INDEX(Avulsos!$B$6:$B$205,$C1880)),INDEX(Avulsos!$B$6:$B$205,$C1880),""))</f>
        <v/>
      </c>
      <c r="F1880" s="114" t="str">
        <f aca="false">IF($E1880="","",IF($B1880="Tema",INDEX(Temas!$B$6:$B$305,$C1880)&amp;"",INDEX(Avulsos!$C$6:$C$205,$C1880)&amp;""))</f>
        <v/>
      </c>
      <c r="G1880" s="114" t="str">
        <f aca="false">IF($E1880="","",IF($B1880="Tema",INDEX(Config!$C$6:$C$11,$D1880),"Evento avulso"))</f>
        <v/>
      </c>
      <c r="H1880" s="114" t="str">
        <f aca="false">IF($E1880="","",IF($B1880="Tema",INDEX(Config!$D$6:$D$11,$D1880),IFERROR(INDEX(Config!$E$15:$E$19,MATCH($I1880,Config!$C$15:$C$19,0)),"•")))</f>
        <v/>
      </c>
      <c r="I1880" s="114" t="str">
        <f aca="false">IF($E1880="","",IF($B1880="Tema",INDEX(Config!$E$6:$E$11,$D1880),IF(INDEX(Avulsos!$D$6:$D$205,$C1880)&amp;""="","Outro",INDEX(Avulsos!$D$6:$D$205,$C1880))))</f>
        <v/>
      </c>
      <c r="J1880" s="114" t="str">
        <f aca="false">IF($E1880="","",IF($B1880="Tema",INDEX(Temas!$C$6:$C$305,$C1880)&amp;"",INDEX(Avulsos!$E$6:$E$205,$C1880)&amp;""))</f>
        <v/>
      </c>
      <c r="K1880" s="114" t="str">
        <f aca="false">IF($E1880="","",IF(IF($B1880="Tema",INDEX(Temas!$E$6:$P$305,$C1880,2*$D1880),INDEX(Avulsos!$F$6:$F$205,$C1880))&amp;""="","","✓"))</f>
        <v/>
      </c>
      <c r="L1880" s="114" t="str">
        <f aca="true">IF($E1880="","",IF($K1880="✓","Concluído",IF($E1880&lt;TODAY(),"Atrasado",IF($E1880=TODAY(),"Hoje","Pendente"))))</f>
        <v/>
      </c>
      <c r="M1880" s="114" t="str">
        <f aca="false">IF($E1880="","",IF($K1880="✓","✓ ","")&amp;IF(Config!$E$22="Sim",$H1880&amp;" · ","")&amp;$F1880)</f>
        <v/>
      </c>
      <c r="N1880" s="114" t="str">
        <f aca="false">IF($E1880="","",IFERROR(INDEX(Config!$D$15:$D$19,MATCH($I1880,Config!$C$15:$C$19,0)),"OUT")&amp;IF($K1880="✓","x",""))</f>
        <v/>
      </c>
      <c r="O1880" s="114" t="str">
        <f aca="false">IF($E1880="","",COUNTIF($E$5:$E1880,$E1880))</f>
        <v/>
      </c>
      <c r="P1880" s="114" t="str">
        <f aca="false">IF($E1880="","",$E1880*100+$O1880)</f>
        <v/>
      </c>
      <c r="Q1880" s="114" t="str">
        <f aca="false">IF($L1880="Atrasado",$E1880*10000+$A1880,"")</f>
        <v/>
      </c>
    </row>
    <row r="1881" customFormat="false" ht="15" hidden="false" customHeight="false" outlineLevel="0" collapsed="false">
      <c r="A1881" s="114" t="n">
        <f aca="false">ROW()-4</f>
        <v>1877</v>
      </c>
      <c r="B1881" s="114" t="str">
        <f aca="false">IF(A1881&lt;=Config!$E$27*Config!$E$28,"Tema","Avulso")</f>
        <v>Avulso</v>
      </c>
      <c r="C1881" s="114" t="n">
        <f aca="false">IF(B1881="Tema",INT((A1881-1)/Config!$E$28)+1,A1881-Config!$E$27*Config!$E$28)</f>
        <v>77</v>
      </c>
      <c r="D1881" s="114" t="str">
        <f aca="false">IF(B1881="Tema",MOD(A1881-1,Config!$E$28)+1,"")</f>
        <v/>
      </c>
      <c r="E1881" s="115" t="str">
        <f aca="false">IF($B1881="Tema",IF(ISNUMBER(INDEX(Temas!$E$6:$P$305,$C1881,2*$D1881-1)),INDEX(Temas!$E$6:$P$305,$C1881,2*$D1881-1),""),IF(ISNUMBER(INDEX(Avulsos!$B$6:$B$205,$C1881)),INDEX(Avulsos!$B$6:$B$205,$C1881),""))</f>
        <v/>
      </c>
      <c r="F1881" s="114" t="str">
        <f aca="false">IF($E1881="","",IF($B1881="Tema",INDEX(Temas!$B$6:$B$305,$C1881)&amp;"",INDEX(Avulsos!$C$6:$C$205,$C1881)&amp;""))</f>
        <v/>
      </c>
      <c r="G1881" s="114" t="str">
        <f aca="false">IF($E1881="","",IF($B1881="Tema",INDEX(Config!$C$6:$C$11,$D1881),"Evento avulso"))</f>
        <v/>
      </c>
      <c r="H1881" s="114" t="str">
        <f aca="false">IF($E1881="","",IF($B1881="Tema",INDEX(Config!$D$6:$D$11,$D1881),IFERROR(INDEX(Config!$E$15:$E$19,MATCH($I1881,Config!$C$15:$C$19,0)),"•")))</f>
        <v/>
      </c>
      <c r="I1881" s="114" t="str">
        <f aca="false">IF($E1881="","",IF($B1881="Tema",INDEX(Config!$E$6:$E$11,$D1881),IF(INDEX(Avulsos!$D$6:$D$205,$C1881)&amp;""="","Outro",INDEX(Avulsos!$D$6:$D$205,$C1881))))</f>
        <v/>
      </c>
      <c r="J1881" s="114" t="str">
        <f aca="false">IF($E1881="","",IF($B1881="Tema",INDEX(Temas!$C$6:$C$305,$C1881)&amp;"",INDEX(Avulsos!$E$6:$E$205,$C1881)&amp;""))</f>
        <v/>
      </c>
      <c r="K1881" s="114" t="str">
        <f aca="false">IF($E1881="","",IF(IF($B1881="Tema",INDEX(Temas!$E$6:$P$305,$C1881,2*$D1881),INDEX(Avulsos!$F$6:$F$205,$C1881))&amp;""="","","✓"))</f>
        <v/>
      </c>
      <c r="L1881" s="114" t="str">
        <f aca="true">IF($E1881="","",IF($K1881="✓","Concluído",IF($E1881&lt;TODAY(),"Atrasado",IF($E1881=TODAY(),"Hoje","Pendente"))))</f>
        <v/>
      </c>
      <c r="M1881" s="114" t="str">
        <f aca="false">IF($E1881="","",IF($K1881="✓","✓ ","")&amp;IF(Config!$E$22="Sim",$H1881&amp;" · ","")&amp;$F1881)</f>
        <v/>
      </c>
      <c r="N1881" s="114" t="str">
        <f aca="false">IF($E1881="","",IFERROR(INDEX(Config!$D$15:$D$19,MATCH($I1881,Config!$C$15:$C$19,0)),"OUT")&amp;IF($K1881="✓","x",""))</f>
        <v/>
      </c>
      <c r="O1881" s="114" t="str">
        <f aca="false">IF($E1881="","",COUNTIF($E$5:$E1881,$E1881))</f>
        <v/>
      </c>
      <c r="P1881" s="114" t="str">
        <f aca="false">IF($E1881="","",$E1881*100+$O1881)</f>
        <v/>
      </c>
      <c r="Q1881" s="114" t="str">
        <f aca="false">IF($L1881="Atrasado",$E1881*10000+$A1881,"")</f>
        <v/>
      </c>
    </row>
    <row r="1882" customFormat="false" ht="15" hidden="false" customHeight="false" outlineLevel="0" collapsed="false">
      <c r="A1882" s="114" t="n">
        <f aca="false">ROW()-4</f>
        <v>1878</v>
      </c>
      <c r="B1882" s="114" t="str">
        <f aca="false">IF(A1882&lt;=Config!$E$27*Config!$E$28,"Tema","Avulso")</f>
        <v>Avulso</v>
      </c>
      <c r="C1882" s="114" t="n">
        <f aca="false">IF(B1882="Tema",INT((A1882-1)/Config!$E$28)+1,A1882-Config!$E$27*Config!$E$28)</f>
        <v>78</v>
      </c>
      <c r="D1882" s="114" t="str">
        <f aca="false">IF(B1882="Tema",MOD(A1882-1,Config!$E$28)+1,"")</f>
        <v/>
      </c>
      <c r="E1882" s="115" t="str">
        <f aca="false">IF($B1882="Tema",IF(ISNUMBER(INDEX(Temas!$E$6:$P$305,$C1882,2*$D1882-1)),INDEX(Temas!$E$6:$P$305,$C1882,2*$D1882-1),""),IF(ISNUMBER(INDEX(Avulsos!$B$6:$B$205,$C1882)),INDEX(Avulsos!$B$6:$B$205,$C1882),""))</f>
        <v/>
      </c>
      <c r="F1882" s="114" t="str">
        <f aca="false">IF($E1882="","",IF($B1882="Tema",INDEX(Temas!$B$6:$B$305,$C1882)&amp;"",INDEX(Avulsos!$C$6:$C$205,$C1882)&amp;""))</f>
        <v/>
      </c>
      <c r="G1882" s="114" t="str">
        <f aca="false">IF($E1882="","",IF($B1882="Tema",INDEX(Config!$C$6:$C$11,$D1882),"Evento avulso"))</f>
        <v/>
      </c>
      <c r="H1882" s="114" t="str">
        <f aca="false">IF($E1882="","",IF($B1882="Tema",INDEX(Config!$D$6:$D$11,$D1882),IFERROR(INDEX(Config!$E$15:$E$19,MATCH($I1882,Config!$C$15:$C$19,0)),"•")))</f>
        <v/>
      </c>
      <c r="I1882" s="114" t="str">
        <f aca="false">IF($E1882="","",IF($B1882="Tema",INDEX(Config!$E$6:$E$11,$D1882),IF(INDEX(Avulsos!$D$6:$D$205,$C1882)&amp;""="","Outro",INDEX(Avulsos!$D$6:$D$205,$C1882))))</f>
        <v/>
      </c>
      <c r="J1882" s="114" t="str">
        <f aca="false">IF($E1882="","",IF($B1882="Tema",INDEX(Temas!$C$6:$C$305,$C1882)&amp;"",INDEX(Avulsos!$E$6:$E$205,$C1882)&amp;""))</f>
        <v/>
      </c>
      <c r="K1882" s="114" t="str">
        <f aca="false">IF($E1882="","",IF(IF($B1882="Tema",INDEX(Temas!$E$6:$P$305,$C1882,2*$D1882),INDEX(Avulsos!$F$6:$F$205,$C1882))&amp;""="","","✓"))</f>
        <v/>
      </c>
      <c r="L1882" s="114" t="str">
        <f aca="true">IF($E1882="","",IF($K1882="✓","Concluído",IF($E1882&lt;TODAY(),"Atrasado",IF($E1882=TODAY(),"Hoje","Pendente"))))</f>
        <v/>
      </c>
      <c r="M1882" s="114" t="str">
        <f aca="false">IF($E1882="","",IF($K1882="✓","✓ ","")&amp;IF(Config!$E$22="Sim",$H1882&amp;" · ","")&amp;$F1882)</f>
        <v/>
      </c>
      <c r="N1882" s="114" t="str">
        <f aca="false">IF($E1882="","",IFERROR(INDEX(Config!$D$15:$D$19,MATCH($I1882,Config!$C$15:$C$19,0)),"OUT")&amp;IF($K1882="✓","x",""))</f>
        <v/>
      </c>
      <c r="O1882" s="114" t="str">
        <f aca="false">IF($E1882="","",COUNTIF($E$5:$E1882,$E1882))</f>
        <v/>
      </c>
      <c r="P1882" s="114" t="str">
        <f aca="false">IF($E1882="","",$E1882*100+$O1882)</f>
        <v/>
      </c>
      <c r="Q1882" s="114" t="str">
        <f aca="false">IF($L1882="Atrasado",$E1882*10000+$A1882,"")</f>
        <v/>
      </c>
    </row>
    <row r="1883" customFormat="false" ht="15" hidden="false" customHeight="false" outlineLevel="0" collapsed="false">
      <c r="A1883" s="114" t="n">
        <f aca="false">ROW()-4</f>
        <v>1879</v>
      </c>
      <c r="B1883" s="114" t="str">
        <f aca="false">IF(A1883&lt;=Config!$E$27*Config!$E$28,"Tema","Avulso")</f>
        <v>Avulso</v>
      </c>
      <c r="C1883" s="114" t="n">
        <f aca="false">IF(B1883="Tema",INT((A1883-1)/Config!$E$28)+1,A1883-Config!$E$27*Config!$E$28)</f>
        <v>79</v>
      </c>
      <c r="D1883" s="114" t="str">
        <f aca="false">IF(B1883="Tema",MOD(A1883-1,Config!$E$28)+1,"")</f>
        <v/>
      </c>
      <c r="E1883" s="115" t="str">
        <f aca="false">IF($B1883="Tema",IF(ISNUMBER(INDEX(Temas!$E$6:$P$305,$C1883,2*$D1883-1)),INDEX(Temas!$E$6:$P$305,$C1883,2*$D1883-1),""),IF(ISNUMBER(INDEX(Avulsos!$B$6:$B$205,$C1883)),INDEX(Avulsos!$B$6:$B$205,$C1883),""))</f>
        <v/>
      </c>
      <c r="F1883" s="114" t="str">
        <f aca="false">IF($E1883="","",IF($B1883="Tema",INDEX(Temas!$B$6:$B$305,$C1883)&amp;"",INDEX(Avulsos!$C$6:$C$205,$C1883)&amp;""))</f>
        <v/>
      </c>
      <c r="G1883" s="114" t="str">
        <f aca="false">IF($E1883="","",IF($B1883="Tema",INDEX(Config!$C$6:$C$11,$D1883),"Evento avulso"))</f>
        <v/>
      </c>
      <c r="H1883" s="114" t="str">
        <f aca="false">IF($E1883="","",IF($B1883="Tema",INDEX(Config!$D$6:$D$11,$D1883),IFERROR(INDEX(Config!$E$15:$E$19,MATCH($I1883,Config!$C$15:$C$19,0)),"•")))</f>
        <v/>
      </c>
      <c r="I1883" s="114" t="str">
        <f aca="false">IF($E1883="","",IF($B1883="Tema",INDEX(Config!$E$6:$E$11,$D1883),IF(INDEX(Avulsos!$D$6:$D$205,$C1883)&amp;""="","Outro",INDEX(Avulsos!$D$6:$D$205,$C1883))))</f>
        <v/>
      </c>
      <c r="J1883" s="114" t="str">
        <f aca="false">IF($E1883="","",IF($B1883="Tema",INDEX(Temas!$C$6:$C$305,$C1883)&amp;"",INDEX(Avulsos!$E$6:$E$205,$C1883)&amp;""))</f>
        <v/>
      </c>
      <c r="K1883" s="114" t="str">
        <f aca="false">IF($E1883="","",IF(IF($B1883="Tema",INDEX(Temas!$E$6:$P$305,$C1883,2*$D1883),INDEX(Avulsos!$F$6:$F$205,$C1883))&amp;""="","","✓"))</f>
        <v/>
      </c>
      <c r="L1883" s="114" t="str">
        <f aca="true">IF($E1883="","",IF($K1883="✓","Concluído",IF($E1883&lt;TODAY(),"Atrasado",IF($E1883=TODAY(),"Hoje","Pendente"))))</f>
        <v/>
      </c>
      <c r="M1883" s="114" t="str">
        <f aca="false">IF($E1883="","",IF($K1883="✓","✓ ","")&amp;IF(Config!$E$22="Sim",$H1883&amp;" · ","")&amp;$F1883)</f>
        <v/>
      </c>
      <c r="N1883" s="114" t="str">
        <f aca="false">IF($E1883="","",IFERROR(INDEX(Config!$D$15:$D$19,MATCH($I1883,Config!$C$15:$C$19,0)),"OUT")&amp;IF($K1883="✓","x",""))</f>
        <v/>
      </c>
      <c r="O1883" s="114" t="str">
        <f aca="false">IF($E1883="","",COUNTIF($E$5:$E1883,$E1883))</f>
        <v/>
      </c>
      <c r="P1883" s="114" t="str">
        <f aca="false">IF($E1883="","",$E1883*100+$O1883)</f>
        <v/>
      </c>
      <c r="Q1883" s="114" t="str">
        <f aca="false">IF($L1883="Atrasado",$E1883*10000+$A1883,"")</f>
        <v/>
      </c>
    </row>
    <row r="1884" customFormat="false" ht="15" hidden="false" customHeight="false" outlineLevel="0" collapsed="false">
      <c r="A1884" s="114" t="n">
        <f aca="false">ROW()-4</f>
        <v>1880</v>
      </c>
      <c r="B1884" s="114" t="str">
        <f aca="false">IF(A1884&lt;=Config!$E$27*Config!$E$28,"Tema","Avulso")</f>
        <v>Avulso</v>
      </c>
      <c r="C1884" s="114" t="n">
        <f aca="false">IF(B1884="Tema",INT((A1884-1)/Config!$E$28)+1,A1884-Config!$E$27*Config!$E$28)</f>
        <v>80</v>
      </c>
      <c r="D1884" s="114" t="str">
        <f aca="false">IF(B1884="Tema",MOD(A1884-1,Config!$E$28)+1,"")</f>
        <v/>
      </c>
      <c r="E1884" s="115" t="str">
        <f aca="false">IF($B1884="Tema",IF(ISNUMBER(INDEX(Temas!$E$6:$P$305,$C1884,2*$D1884-1)),INDEX(Temas!$E$6:$P$305,$C1884,2*$D1884-1),""),IF(ISNUMBER(INDEX(Avulsos!$B$6:$B$205,$C1884)),INDEX(Avulsos!$B$6:$B$205,$C1884),""))</f>
        <v/>
      </c>
      <c r="F1884" s="114" t="str">
        <f aca="false">IF($E1884="","",IF($B1884="Tema",INDEX(Temas!$B$6:$B$305,$C1884)&amp;"",INDEX(Avulsos!$C$6:$C$205,$C1884)&amp;""))</f>
        <v/>
      </c>
      <c r="G1884" s="114" t="str">
        <f aca="false">IF($E1884="","",IF($B1884="Tema",INDEX(Config!$C$6:$C$11,$D1884),"Evento avulso"))</f>
        <v/>
      </c>
      <c r="H1884" s="114" t="str">
        <f aca="false">IF($E1884="","",IF($B1884="Tema",INDEX(Config!$D$6:$D$11,$D1884),IFERROR(INDEX(Config!$E$15:$E$19,MATCH($I1884,Config!$C$15:$C$19,0)),"•")))</f>
        <v/>
      </c>
      <c r="I1884" s="114" t="str">
        <f aca="false">IF($E1884="","",IF($B1884="Tema",INDEX(Config!$E$6:$E$11,$D1884),IF(INDEX(Avulsos!$D$6:$D$205,$C1884)&amp;""="","Outro",INDEX(Avulsos!$D$6:$D$205,$C1884))))</f>
        <v/>
      </c>
      <c r="J1884" s="114" t="str">
        <f aca="false">IF($E1884="","",IF($B1884="Tema",INDEX(Temas!$C$6:$C$305,$C1884)&amp;"",INDEX(Avulsos!$E$6:$E$205,$C1884)&amp;""))</f>
        <v/>
      </c>
      <c r="K1884" s="114" t="str">
        <f aca="false">IF($E1884="","",IF(IF($B1884="Tema",INDEX(Temas!$E$6:$P$305,$C1884,2*$D1884),INDEX(Avulsos!$F$6:$F$205,$C1884))&amp;""="","","✓"))</f>
        <v/>
      </c>
      <c r="L1884" s="114" t="str">
        <f aca="true">IF($E1884="","",IF($K1884="✓","Concluído",IF($E1884&lt;TODAY(),"Atrasado",IF($E1884=TODAY(),"Hoje","Pendente"))))</f>
        <v/>
      </c>
      <c r="M1884" s="114" t="str">
        <f aca="false">IF($E1884="","",IF($K1884="✓","✓ ","")&amp;IF(Config!$E$22="Sim",$H1884&amp;" · ","")&amp;$F1884)</f>
        <v/>
      </c>
      <c r="N1884" s="114" t="str">
        <f aca="false">IF($E1884="","",IFERROR(INDEX(Config!$D$15:$D$19,MATCH($I1884,Config!$C$15:$C$19,0)),"OUT")&amp;IF($K1884="✓","x",""))</f>
        <v/>
      </c>
      <c r="O1884" s="114" t="str">
        <f aca="false">IF($E1884="","",COUNTIF($E$5:$E1884,$E1884))</f>
        <v/>
      </c>
      <c r="P1884" s="114" t="str">
        <f aca="false">IF($E1884="","",$E1884*100+$O1884)</f>
        <v/>
      </c>
      <c r="Q1884" s="114" t="str">
        <f aca="false">IF($L1884="Atrasado",$E1884*10000+$A1884,"")</f>
        <v/>
      </c>
    </row>
    <row r="1885" customFormat="false" ht="15" hidden="false" customHeight="false" outlineLevel="0" collapsed="false">
      <c r="A1885" s="114" t="n">
        <f aca="false">ROW()-4</f>
        <v>1881</v>
      </c>
      <c r="B1885" s="114" t="str">
        <f aca="false">IF(A1885&lt;=Config!$E$27*Config!$E$28,"Tema","Avulso")</f>
        <v>Avulso</v>
      </c>
      <c r="C1885" s="114" t="n">
        <f aca="false">IF(B1885="Tema",INT((A1885-1)/Config!$E$28)+1,A1885-Config!$E$27*Config!$E$28)</f>
        <v>81</v>
      </c>
      <c r="D1885" s="114" t="str">
        <f aca="false">IF(B1885="Tema",MOD(A1885-1,Config!$E$28)+1,"")</f>
        <v/>
      </c>
      <c r="E1885" s="115" t="str">
        <f aca="false">IF($B1885="Tema",IF(ISNUMBER(INDEX(Temas!$E$6:$P$305,$C1885,2*$D1885-1)),INDEX(Temas!$E$6:$P$305,$C1885,2*$D1885-1),""),IF(ISNUMBER(INDEX(Avulsos!$B$6:$B$205,$C1885)),INDEX(Avulsos!$B$6:$B$205,$C1885),""))</f>
        <v/>
      </c>
      <c r="F1885" s="114" t="str">
        <f aca="false">IF($E1885="","",IF($B1885="Tema",INDEX(Temas!$B$6:$B$305,$C1885)&amp;"",INDEX(Avulsos!$C$6:$C$205,$C1885)&amp;""))</f>
        <v/>
      </c>
      <c r="G1885" s="114" t="str">
        <f aca="false">IF($E1885="","",IF($B1885="Tema",INDEX(Config!$C$6:$C$11,$D1885),"Evento avulso"))</f>
        <v/>
      </c>
      <c r="H1885" s="114" t="str">
        <f aca="false">IF($E1885="","",IF($B1885="Tema",INDEX(Config!$D$6:$D$11,$D1885),IFERROR(INDEX(Config!$E$15:$E$19,MATCH($I1885,Config!$C$15:$C$19,0)),"•")))</f>
        <v/>
      </c>
      <c r="I1885" s="114" t="str">
        <f aca="false">IF($E1885="","",IF($B1885="Tema",INDEX(Config!$E$6:$E$11,$D1885),IF(INDEX(Avulsos!$D$6:$D$205,$C1885)&amp;""="","Outro",INDEX(Avulsos!$D$6:$D$205,$C1885))))</f>
        <v/>
      </c>
      <c r="J1885" s="114" t="str">
        <f aca="false">IF($E1885="","",IF($B1885="Tema",INDEX(Temas!$C$6:$C$305,$C1885)&amp;"",INDEX(Avulsos!$E$6:$E$205,$C1885)&amp;""))</f>
        <v/>
      </c>
      <c r="K1885" s="114" t="str">
        <f aca="false">IF($E1885="","",IF(IF($B1885="Tema",INDEX(Temas!$E$6:$P$305,$C1885,2*$D1885),INDEX(Avulsos!$F$6:$F$205,$C1885))&amp;""="","","✓"))</f>
        <v/>
      </c>
      <c r="L1885" s="114" t="str">
        <f aca="true">IF($E1885="","",IF($K1885="✓","Concluído",IF($E1885&lt;TODAY(),"Atrasado",IF($E1885=TODAY(),"Hoje","Pendente"))))</f>
        <v/>
      </c>
      <c r="M1885" s="114" t="str">
        <f aca="false">IF($E1885="","",IF($K1885="✓","✓ ","")&amp;IF(Config!$E$22="Sim",$H1885&amp;" · ","")&amp;$F1885)</f>
        <v/>
      </c>
      <c r="N1885" s="114" t="str">
        <f aca="false">IF($E1885="","",IFERROR(INDEX(Config!$D$15:$D$19,MATCH($I1885,Config!$C$15:$C$19,0)),"OUT")&amp;IF($K1885="✓","x",""))</f>
        <v/>
      </c>
      <c r="O1885" s="114" t="str">
        <f aca="false">IF($E1885="","",COUNTIF($E$5:$E1885,$E1885))</f>
        <v/>
      </c>
      <c r="P1885" s="114" t="str">
        <f aca="false">IF($E1885="","",$E1885*100+$O1885)</f>
        <v/>
      </c>
      <c r="Q1885" s="114" t="str">
        <f aca="false">IF($L1885="Atrasado",$E1885*10000+$A1885,"")</f>
        <v/>
      </c>
    </row>
    <row r="1886" customFormat="false" ht="15" hidden="false" customHeight="false" outlineLevel="0" collapsed="false">
      <c r="A1886" s="114" t="n">
        <f aca="false">ROW()-4</f>
        <v>1882</v>
      </c>
      <c r="B1886" s="114" t="str">
        <f aca="false">IF(A1886&lt;=Config!$E$27*Config!$E$28,"Tema","Avulso")</f>
        <v>Avulso</v>
      </c>
      <c r="C1886" s="114" t="n">
        <f aca="false">IF(B1886="Tema",INT((A1886-1)/Config!$E$28)+1,A1886-Config!$E$27*Config!$E$28)</f>
        <v>82</v>
      </c>
      <c r="D1886" s="114" t="str">
        <f aca="false">IF(B1886="Tema",MOD(A1886-1,Config!$E$28)+1,"")</f>
        <v/>
      </c>
      <c r="E1886" s="115" t="str">
        <f aca="false">IF($B1886="Tema",IF(ISNUMBER(INDEX(Temas!$E$6:$P$305,$C1886,2*$D1886-1)),INDEX(Temas!$E$6:$P$305,$C1886,2*$D1886-1),""),IF(ISNUMBER(INDEX(Avulsos!$B$6:$B$205,$C1886)),INDEX(Avulsos!$B$6:$B$205,$C1886),""))</f>
        <v/>
      </c>
      <c r="F1886" s="114" t="str">
        <f aca="false">IF($E1886="","",IF($B1886="Tema",INDEX(Temas!$B$6:$B$305,$C1886)&amp;"",INDEX(Avulsos!$C$6:$C$205,$C1886)&amp;""))</f>
        <v/>
      </c>
      <c r="G1886" s="114" t="str">
        <f aca="false">IF($E1886="","",IF($B1886="Tema",INDEX(Config!$C$6:$C$11,$D1886),"Evento avulso"))</f>
        <v/>
      </c>
      <c r="H1886" s="114" t="str">
        <f aca="false">IF($E1886="","",IF($B1886="Tema",INDEX(Config!$D$6:$D$11,$D1886),IFERROR(INDEX(Config!$E$15:$E$19,MATCH($I1886,Config!$C$15:$C$19,0)),"•")))</f>
        <v/>
      </c>
      <c r="I1886" s="114" t="str">
        <f aca="false">IF($E1886="","",IF($B1886="Tema",INDEX(Config!$E$6:$E$11,$D1886),IF(INDEX(Avulsos!$D$6:$D$205,$C1886)&amp;""="","Outro",INDEX(Avulsos!$D$6:$D$205,$C1886))))</f>
        <v/>
      </c>
      <c r="J1886" s="114" t="str">
        <f aca="false">IF($E1886="","",IF($B1886="Tema",INDEX(Temas!$C$6:$C$305,$C1886)&amp;"",INDEX(Avulsos!$E$6:$E$205,$C1886)&amp;""))</f>
        <v/>
      </c>
      <c r="K1886" s="114" t="str">
        <f aca="false">IF($E1886="","",IF(IF($B1886="Tema",INDEX(Temas!$E$6:$P$305,$C1886,2*$D1886),INDEX(Avulsos!$F$6:$F$205,$C1886))&amp;""="","","✓"))</f>
        <v/>
      </c>
      <c r="L1886" s="114" t="str">
        <f aca="true">IF($E1886="","",IF($K1886="✓","Concluído",IF($E1886&lt;TODAY(),"Atrasado",IF($E1886=TODAY(),"Hoje","Pendente"))))</f>
        <v/>
      </c>
      <c r="M1886" s="114" t="str">
        <f aca="false">IF($E1886="","",IF($K1886="✓","✓ ","")&amp;IF(Config!$E$22="Sim",$H1886&amp;" · ","")&amp;$F1886)</f>
        <v/>
      </c>
      <c r="N1886" s="114" t="str">
        <f aca="false">IF($E1886="","",IFERROR(INDEX(Config!$D$15:$D$19,MATCH($I1886,Config!$C$15:$C$19,0)),"OUT")&amp;IF($K1886="✓","x",""))</f>
        <v/>
      </c>
      <c r="O1886" s="114" t="str">
        <f aca="false">IF($E1886="","",COUNTIF($E$5:$E1886,$E1886))</f>
        <v/>
      </c>
      <c r="P1886" s="114" t="str">
        <f aca="false">IF($E1886="","",$E1886*100+$O1886)</f>
        <v/>
      </c>
      <c r="Q1886" s="114" t="str">
        <f aca="false">IF($L1886="Atrasado",$E1886*10000+$A1886,"")</f>
        <v/>
      </c>
    </row>
    <row r="1887" customFormat="false" ht="15" hidden="false" customHeight="false" outlineLevel="0" collapsed="false">
      <c r="A1887" s="114" t="n">
        <f aca="false">ROW()-4</f>
        <v>1883</v>
      </c>
      <c r="B1887" s="114" t="str">
        <f aca="false">IF(A1887&lt;=Config!$E$27*Config!$E$28,"Tema","Avulso")</f>
        <v>Avulso</v>
      </c>
      <c r="C1887" s="114" t="n">
        <f aca="false">IF(B1887="Tema",INT((A1887-1)/Config!$E$28)+1,A1887-Config!$E$27*Config!$E$28)</f>
        <v>83</v>
      </c>
      <c r="D1887" s="114" t="str">
        <f aca="false">IF(B1887="Tema",MOD(A1887-1,Config!$E$28)+1,"")</f>
        <v/>
      </c>
      <c r="E1887" s="115" t="str">
        <f aca="false">IF($B1887="Tema",IF(ISNUMBER(INDEX(Temas!$E$6:$P$305,$C1887,2*$D1887-1)),INDEX(Temas!$E$6:$P$305,$C1887,2*$D1887-1),""),IF(ISNUMBER(INDEX(Avulsos!$B$6:$B$205,$C1887)),INDEX(Avulsos!$B$6:$B$205,$C1887),""))</f>
        <v/>
      </c>
      <c r="F1887" s="114" t="str">
        <f aca="false">IF($E1887="","",IF($B1887="Tema",INDEX(Temas!$B$6:$B$305,$C1887)&amp;"",INDEX(Avulsos!$C$6:$C$205,$C1887)&amp;""))</f>
        <v/>
      </c>
      <c r="G1887" s="114" t="str">
        <f aca="false">IF($E1887="","",IF($B1887="Tema",INDEX(Config!$C$6:$C$11,$D1887),"Evento avulso"))</f>
        <v/>
      </c>
      <c r="H1887" s="114" t="str">
        <f aca="false">IF($E1887="","",IF($B1887="Tema",INDEX(Config!$D$6:$D$11,$D1887),IFERROR(INDEX(Config!$E$15:$E$19,MATCH($I1887,Config!$C$15:$C$19,0)),"•")))</f>
        <v/>
      </c>
      <c r="I1887" s="114" t="str">
        <f aca="false">IF($E1887="","",IF($B1887="Tema",INDEX(Config!$E$6:$E$11,$D1887),IF(INDEX(Avulsos!$D$6:$D$205,$C1887)&amp;""="","Outro",INDEX(Avulsos!$D$6:$D$205,$C1887))))</f>
        <v/>
      </c>
      <c r="J1887" s="114" t="str">
        <f aca="false">IF($E1887="","",IF($B1887="Tema",INDEX(Temas!$C$6:$C$305,$C1887)&amp;"",INDEX(Avulsos!$E$6:$E$205,$C1887)&amp;""))</f>
        <v/>
      </c>
      <c r="K1887" s="114" t="str">
        <f aca="false">IF($E1887="","",IF(IF($B1887="Tema",INDEX(Temas!$E$6:$P$305,$C1887,2*$D1887),INDEX(Avulsos!$F$6:$F$205,$C1887))&amp;""="","","✓"))</f>
        <v/>
      </c>
      <c r="L1887" s="114" t="str">
        <f aca="true">IF($E1887="","",IF($K1887="✓","Concluído",IF($E1887&lt;TODAY(),"Atrasado",IF($E1887=TODAY(),"Hoje","Pendente"))))</f>
        <v/>
      </c>
      <c r="M1887" s="114" t="str">
        <f aca="false">IF($E1887="","",IF($K1887="✓","✓ ","")&amp;IF(Config!$E$22="Sim",$H1887&amp;" · ","")&amp;$F1887)</f>
        <v/>
      </c>
      <c r="N1887" s="114" t="str">
        <f aca="false">IF($E1887="","",IFERROR(INDEX(Config!$D$15:$D$19,MATCH($I1887,Config!$C$15:$C$19,0)),"OUT")&amp;IF($K1887="✓","x",""))</f>
        <v/>
      </c>
      <c r="O1887" s="114" t="str">
        <f aca="false">IF($E1887="","",COUNTIF($E$5:$E1887,$E1887))</f>
        <v/>
      </c>
      <c r="P1887" s="114" t="str">
        <f aca="false">IF($E1887="","",$E1887*100+$O1887)</f>
        <v/>
      </c>
      <c r="Q1887" s="114" t="str">
        <f aca="false">IF($L1887="Atrasado",$E1887*10000+$A1887,"")</f>
        <v/>
      </c>
    </row>
    <row r="1888" customFormat="false" ht="15" hidden="false" customHeight="false" outlineLevel="0" collapsed="false">
      <c r="A1888" s="114" t="n">
        <f aca="false">ROW()-4</f>
        <v>1884</v>
      </c>
      <c r="B1888" s="114" t="str">
        <f aca="false">IF(A1888&lt;=Config!$E$27*Config!$E$28,"Tema","Avulso")</f>
        <v>Avulso</v>
      </c>
      <c r="C1888" s="114" t="n">
        <f aca="false">IF(B1888="Tema",INT((A1888-1)/Config!$E$28)+1,A1888-Config!$E$27*Config!$E$28)</f>
        <v>84</v>
      </c>
      <c r="D1888" s="114" t="str">
        <f aca="false">IF(B1888="Tema",MOD(A1888-1,Config!$E$28)+1,"")</f>
        <v/>
      </c>
      <c r="E1888" s="115" t="str">
        <f aca="false">IF($B1888="Tema",IF(ISNUMBER(INDEX(Temas!$E$6:$P$305,$C1888,2*$D1888-1)),INDEX(Temas!$E$6:$P$305,$C1888,2*$D1888-1),""),IF(ISNUMBER(INDEX(Avulsos!$B$6:$B$205,$C1888)),INDEX(Avulsos!$B$6:$B$205,$C1888),""))</f>
        <v/>
      </c>
      <c r="F1888" s="114" t="str">
        <f aca="false">IF($E1888="","",IF($B1888="Tema",INDEX(Temas!$B$6:$B$305,$C1888)&amp;"",INDEX(Avulsos!$C$6:$C$205,$C1888)&amp;""))</f>
        <v/>
      </c>
      <c r="G1888" s="114" t="str">
        <f aca="false">IF($E1888="","",IF($B1888="Tema",INDEX(Config!$C$6:$C$11,$D1888),"Evento avulso"))</f>
        <v/>
      </c>
      <c r="H1888" s="114" t="str">
        <f aca="false">IF($E1888="","",IF($B1888="Tema",INDEX(Config!$D$6:$D$11,$D1888),IFERROR(INDEX(Config!$E$15:$E$19,MATCH($I1888,Config!$C$15:$C$19,0)),"•")))</f>
        <v/>
      </c>
      <c r="I1888" s="114" t="str">
        <f aca="false">IF($E1888="","",IF($B1888="Tema",INDEX(Config!$E$6:$E$11,$D1888),IF(INDEX(Avulsos!$D$6:$D$205,$C1888)&amp;""="","Outro",INDEX(Avulsos!$D$6:$D$205,$C1888))))</f>
        <v/>
      </c>
      <c r="J1888" s="114" t="str">
        <f aca="false">IF($E1888="","",IF($B1888="Tema",INDEX(Temas!$C$6:$C$305,$C1888)&amp;"",INDEX(Avulsos!$E$6:$E$205,$C1888)&amp;""))</f>
        <v/>
      </c>
      <c r="K1888" s="114" t="str">
        <f aca="false">IF($E1888="","",IF(IF($B1888="Tema",INDEX(Temas!$E$6:$P$305,$C1888,2*$D1888),INDEX(Avulsos!$F$6:$F$205,$C1888))&amp;""="","","✓"))</f>
        <v/>
      </c>
      <c r="L1888" s="114" t="str">
        <f aca="true">IF($E1888="","",IF($K1888="✓","Concluído",IF($E1888&lt;TODAY(),"Atrasado",IF($E1888=TODAY(),"Hoje","Pendente"))))</f>
        <v/>
      </c>
      <c r="M1888" s="114" t="str">
        <f aca="false">IF($E1888="","",IF($K1888="✓","✓ ","")&amp;IF(Config!$E$22="Sim",$H1888&amp;" · ","")&amp;$F1888)</f>
        <v/>
      </c>
      <c r="N1888" s="114" t="str">
        <f aca="false">IF($E1888="","",IFERROR(INDEX(Config!$D$15:$D$19,MATCH($I1888,Config!$C$15:$C$19,0)),"OUT")&amp;IF($K1888="✓","x",""))</f>
        <v/>
      </c>
      <c r="O1888" s="114" t="str">
        <f aca="false">IF($E1888="","",COUNTIF($E$5:$E1888,$E1888))</f>
        <v/>
      </c>
      <c r="P1888" s="114" t="str">
        <f aca="false">IF($E1888="","",$E1888*100+$O1888)</f>
        <v/>
      </c>
      <c r="Q1888" s="114" t="str">
        <f aca="false">IF($L1888="Atrasado",$E1888*10000+$A1888,"")</f>
        <v/>
      </c>
    </row>
    <row r="1889" customFormat="false" ht="15" hidden="false" customHeight="false" outlineLevel="0" collapsed="false">
      <c r="A1889" s="114" t="n">
        <f aca="false">ROW()-4</f>
        <v>1885</v>
      </c>
      <c r="B1889" s="114" t="str">
        <f aca="false">IF(A1889&lt;=Config!$E$27*Config!$E$28,"Tema","Avulso")</f>
        <v>Avulso</v>
      </c>
      <c r="C1889" s="114" t="n">
        <f aca="false">IF(B1889="Tema",INT((A1889-1)/Config!$E$28)+1,A1889-Config!$E$27*Config!$E$28)</f>
        <v>85</v>
      </c>
      <c r="D1889" s="114" t="str">
        <f aca="false">IF(B1889="Tema",MOD(A1889-1,Config!$E$28)+1,"")</f>
        <v/>
      </c>
      <c r="E1889" s="115" t="str">
        <f aca="false">IF($B1889="Tema",IF(ISNUMBER(INDEX(Temas!$E$6:$P$305,$C1889,2*$D1889-1)),INDEX(Temas!$E$6:$P$305,$C1889,2*$D1889-1),""),IF(ISNUMBER(INDEX(Avulsos!$B$6:$B$205,$C1889)),INDEX(Avulsos!$B$6:$B$205,$C1889),""))</f>
        <v/>
      </c>
      <c r="F1889" s="114" t="str">
        <f aca="false">IF($E1889="","",IF($B1889="Tema",INDEX(Temas!$B$6:$B$305,$C1889)&amp;"",INDEX(Avulsos!$C$6:$C$205,$C1889)&amp;""))</f>
        <v/>
      </c>
      <c r="G1889" s="114" t="str">
        <f aca="false">IF($E1889="","",IF($B1889="Tema",INDEX(Config!$C$6:$C$11,$D1889),"Evento avulso"))</f>
        <v/>
      </c>
      <c r="H1889" s="114" t="str">
        <f aca="false">IF($E1889="","",IF($B1889="Tema",INDEX(Config!$D$6:$D$11,$D1889),IFERROR(INDEX(Config!$E$15:$E$19,MATCH($I1889,Config!$C$15:$C$19,0)),"•")))</f>
        <v/>
      </c>
      <c r="I1889" s="114" t="str">
        <f aca="false">IF($E1889="","",IF($B1889="Tema",INDEX(Config!$E$6:$E$11,$D1889),IF(INDEX(Avulsos!$D$6:$D$205,$C1889)&amp;""="","Outro",INDEX(Avulsos!$D$6:$D$205,$C1889))))</f>
        <v/>
      </c>
      <c r="J1889" s="114" t="str">
        <f aca="false">IF($E1889="","",IF($B1889="Tema",INDEX(Temas!$C$6:$C$305,$C1889)&amp;"",INDEX(Avulsos!$E$6:$E$205,$C1889)&amp;""))</f>
        <v/>
      </c>
      <c r="K1889" s="114" t="str">
        <f aca="false">IF($E1889="","",IF(IF($B1889="Tema",INDEX(Temas!$E$6:$P$305,$C1889,2*$D1889),INDEX(Avulsos!$F$6:$F$205,$C1889))&amp;""="","","✓"))</f>
        <v/>
      </c>
      <c r="L1889" s="114" t="str">
        <f aca="true">IF($E1889="","",IF($K1889="✓","Concluído",IF($E1889&lt;TODAY(),"Atrasado",IF($E1889=TODAY(),"Hoje","Pendente"))))</f>
        <v/>
      </c>
      <c r="M1889" s="114" t="str">
        <f aca="false">IF($E1889="","",IF($K1889="✓","✓ ","")&amp;IF(Config!$E$22="Sim",$H1889&amp;" · ","")&amp;$F1889)</f>
        <v/>
      </c>
      <c r="N1889" s="114" t="str">
        <f aca="false">IF($E1889="","",IFERROR(INDEX(Config!$D$15:$D$19,MATCH($I1889,Config!$C$15:$C$19,0)),"OUT")&amp;IF($K1889="✓","x",""))</f>
        <v/>
      </c>
      <c r="O1889" s="114" t="str">
        <f aca="false">IF($E1889="","",COUNTIF($E$5:$E1889,$E1889))</f>
        <v/>
      </c>
      <c r="P1889" s="114" t="str">
        <f aca="false">IF($E1889="","",$E1889*100+$O1889)</f>
        <v/>
      </c>
      <c r="Q1889" s="114" t="str">
        <f aca="false">IF($L1889="Atrasado",$E1889*10000+$A1889,"")</f>
        <v/>
      </c>
    </row>
    <row r="1890" customFormat="false" ht="15" hidden="false" customHeight="false" outlineLevel="0" collapsed="false">
      <c r="A1890" s="114" t="n">
        <f aca="false">ROW()-4</f>
        <v>1886</v>
      </c>
      <c r="B1890" s="114" t="str">
        <f aca="false">IF(A1890&lt;=Config!$E$27*Config!$E$28,"Tema","Avulso")</f>
        <v>Avulso</v>
      </c>
      <c r="C1890" s="114" t="n">
        <f aca="false">IF(B1890="Tema",INT((A1890-1)/Config!$E$28)+1,A1890-Config!$E$27*Config!$E$28)</f>
        <v>86</v>
      </c>
      <c r="D1890" s="114" t="str">
        <f aca="false">IF(B1890="Tema",MOD(A1890-1,Config!$E$28)+1,"")</f>
        <v/>
      </c>
      <c r="E1890" s="115" t="str">
        <f aca="false">IF($B1890="Tema",IF(ISNUMBER(INDEX(Temas!$E$6:$P$305,$C1890,2*$D1890-1)),INDEX(Temas!$E$6:$P$305,$C1890,2*$D1890-1),""),IF(ISNUMBER(INDEX(Avulsos!$B$6:$B$205,$C1890)),INDEX(Avulsos!$B$6:$B$205,$C1890),""))</f>
        <v/>
      </c>
      <c r="F1890" s="114" t="str">
        <f aca="false">IF($E1890="","",IF($B1890="Tema",INDEX(Temas!$B$6:$B$305,$C1890)&amp;"",INDEX(Avulsos!$C$6:$C$205,$C1890)&amp;""))</f>
        <v/>
      </c>
      <c r="G1890" s="114" t="str">
        <f aca="false">IF($E1890="","",IF($B1890="Tema",INDEX(Config!$C$6:$C$11,$D1890),"Evento avulso"))</f>
        <v/>
      </c>
      <c r="H1890" s="114" t="str">
        <f aca="false">IF($E1890="","",IF($B1890="Tema",INDEX(Config!$D$6:$D$11,$D1890),IFERROR(INDEX(Config!$E$15:$E$19,MATCH($I1890,Config!$C$15:$C$19,0)),"•")))</f>
        <v/>
      </c>
      <c r="I1890" s="114" t="str">
        <f aca="false">IF($E1890="","",IF($B1890="Tema",INDEX(Config!$E$6:$E$11,$D1890),IF(INDEX(Avulsos!$D$6:$D$205,$C1890)&amp;""="","Outro",INDEX(Avulsos!$D$6:$D$205,$C1890))))</f>
        <v/>
      </c>
      <c r="J1890" s="114" t="str">
        <f aca="false">IF($E1890="","",IF($B1890="Tema",INDEX(Temas!$C$6:$C$305,$C1890)&amp;"",INDEX(Avulsos!$E$6:$E$205,$C1890)&amp;""))</f>
        <v/>
      </c>
      <c r="K1890" s="114" t="str">
        <f aca="false">IF($E1890="","",IF(IF($B1890="Tema",INDEX(Temas!$E$6:$P$305,$C1890,2*$D1890),INDEX(Avulsos!$F$6:$F$205,$C1890))&amp;""="","","✓"))</f>
        <v/>
      </c>
      <c r="L1890" s="114" t="str">
        <f aca="true">IF($E1890="","",IF($K1890="✓","Concluído",IF($E1890&lt;TODAY(),"Atrasado",IF($E1890=TODAY(),"Hoje","Pendente"))))</f>
        <v/>
      </c>
      <c r="M1890" s="114" t="str">
        <f aca="false">IF($E1890="","",IF($K1890="✓","✓ ","")&amp;IF(Config!$E$22="Sim",$H1890&amp;" · ","")&amp;$F1890)</f>
        <v/>
      </c>
      <c r="N1890" s="114" t="str">
        <f aca="false">IF($E1890="","",IFERROR(INDEX(Config!$D$15:$D$19,MATCH($I1890,Config!$C$15:$C$19,0)),"OUT")&amp;IF($K1890="✓","x",""))</f>
        <v/>
      </c>
      <c r="O1890" s="114" t="str">
        <f aca="false">IF($E1890="","",COUNTIF($E$5:$E1890,$E1890))</f>
        <v/>
      </c>
      <c r="P1890" s="114" t="str">
        <f aca="false">IF($E1890="","",$E1890*100+$O1890)</f>
        <v/>
      </c>
      <c r="Q1890" s="114" t="str">
        <f aca="false">IF($L1890="Atrasado",$E1890*10000+$A1890,"")</f>
        <v/>
      </c>
    </row>
    <row r="1891" customFormat="false" ht="15" hidden="false" customHeight="false" outlineLevel="0" collapsed="false">
      <c r="A1891" s="114" t="n">
        <f aca="false">ROW()-4</f>
        <v>1887</v>
      </c>
      <c r="B1891" s="114" t="str">
        <f aca="false">IF(A1891&lt;=Config!$E$27*Config!$E$28,"Tema","Avulso")</f>
        <v>Avulso</v>
      </c>
      <c r="C1891" s="114" t="n">
        <f aca="false">IF(B1891="Tema",INT((A1891-1)/Config!$E$28)+1,A1891-Config!$E$27*Config!$E$28)</f>
        <v>87</v>
      </c>
      <c r="D1891" s="114" t="str">
        <f aca="false">IF(B1891="Tema",MOD(A1891-1,Config!$E$28)+1,"")</f>
        <v/>
      </c>
      <c r="E1891" s="115" t="str">
        <f aca="false">IF($B1891="Tema",IF(ISNUMBER(INDEX(Temas!$E$6:$P$305,$C1891,2*$D1891-1)),INDEX(Temas!$E$6:$P$305,$C1891,2*$D1891-1),""),IF(ISNUMBER(INDEX(Avulsos!$B$6:$B$205,$C1891)),INDEX(Avulsos!$B$6:$B$205,$C1891),""))</f>
        <v/>
      </c>
      <c r="F1891" s="114" t="str">
        <f aca="false">IF($E1891="","",IF($B1891="Tema",INDEX(Temas!$B$6:$B$305,$C1891)&amp;"",INDEX(Avulsos!$C$6:$C$205,$C1891)&amp;""))</f>
        <v/>
      </c>
      <c r="G1891" s="114" t="str">
        <f aca="false">IF($E1891="","",IF($B1891="Tema",INDEX(Config!$C$6:$C$11,$D1891),"Evento avulso"))</f>
        <v/>
      </c>
      <c r="H1891" s="114" t="str">
        <f aca="false">IF($E1891="","",IF($B1891="Tema",INDEX(Config!$D$6:$D$11,$D1891),IFERROR(INDEX(Config!$E$15:$E$19,MATCH($I1891,Config!$C$15:$C$19,0)),"•")))</f>
        <v/>
      </c>
      <c r="I1891" s="114" t="str">
        <f aca="false">IF($E1891="","",IF($B1891="Tema",INDEX(Config!$E$6:$E$11,$D1891),IF(INDEX(Avulsos!$D$6:$D$205,$C1891)&amp;""="","Outro",INDEX(Avulsos!$D$6:$D$205,$C1891))))</f>
        <v/>
      </c>
      <c r="J1891" s="114" t="str">
        <f aca="false">IF($E1891="","",IF($B1891="Tema",INDEX(Temas!$C$6:$C$305,$C1891)&amp;"",INDEX(Avulsos!$E$6:$E$205,$C1891)&amp;""))</f>
        <v/>
      </c>
      <c r="K1891" s="114" t="str">
        <f aca="false">IF($E1891="","",IF(IF($B1891="Tema",INDEX(Temas!$E$6:$P$305,$C1891,2*$D1891),INDEX(Avulsos!$F$6:$F$205,$C1891))&amp;""="","","✓"))</f>
        <v/>
      </c>
      <c r="L1891" s="114" t="str">
        <f aca="true">IF($E1891="","",IF($K1891="✓","Concluído",IF($E1891&lt;TODAY(),"Atrasado",IF($E1891=TODAY(),"Hoje","Pendente"))))</f>
        <v/>
      </c>
      <c r="M1891" s="114" t="str">
        <f aca="false">IF($E1891="","",IF($K1891="✓","✓ ","")&amp;IF(Config!$E$22="Sim",$H1891&amp;" · ","")&amp;$F1891)</f>
        <v/>
      </c>
      <c r="N1891" s="114" t="str">
        <f aca="false">IF($E1891="","",IFERROR(INDEX(Config!$D$15:$D$19,MATCH($I1891,Config!$C$15:$C$19,0)),"OUT")&amp;IF($K1891="✓","x",""))</f>
        <v/>
      </c>
      <c r="O1891" s="114" t="str">
        <f aca="false">IF($E1891="","",COUNTIF($E$5:$E1891,$E1891))</f>
        <v/>
      </c>
      <c r="P1891" s="114" t="str">
        <f aca="false">IF($E1891="","",$E1891*100+$O1891)</f>
        <v/>
      </c>
      <c r="Q1891" s="114" t="str">
        <f aca="false">IF($L1891="Atrasado",$E1891*10000+$A1891,"")</f>
        <v/>
      </c>
    </row>
    <row r="1892" customFormat="false" ht="15" hidden="false" customHeight="false" outlineLevel="0" collapsed="false">
      <c r="A1892" s="114" t="n">
        <f aca="false">ROW()-4</f>
        <v>1888</v>
      </c>
      <c r="B1892" s="114" t="str">
        <f aca="false">IF(A1892&lt;=Config!$E$27*Config!$E$28,"Tema","Avulso")</f>
        <v>Avulso</v>
      </c>
      <c r="C1892" s="114" t="n">
        <f aca="false">IF(B1892="Tema",INT((A1892-1)/Config!$E$28)+1,A1892-Config!$E$27*Config!$E$28)</f>
        <v>88</v>
      </c>
      <c r="D1892" s="114" t="str">
        <f aca="false">IF(B1892="Tema",MOD(A1892-1,Config!$E$28)+1,"")</f>
        <v/>
      </c>
      <c r="E1892" s="115" t="str">
        <f aca="false">IF($B1892="Tema",IF(ISNUMBER(INDEX(Temas!$E$6:$P$305,$C1892,2*$D1892-1)),INDEX(Temas!$E$6:$P$305,$C1892,2*$D1892-1),""),IF(ISNUMBER(INDEX(Avulsos!$B$6:$B$205,$C1892)),INDEX(Avulsos!$B$6:$B$205,$C1892),""))</f>
        <v/>
      </c>
      <c r="F1892" s="114" t="str">
        <f aca="false">IF($E1892="","",IF($B1892="Tema",INDEX(Temas!$B$6:$B$305,$C1892)&amp;"",INDEX(Avulsos!$C$6:$C$205,$C1892)&amp;""))</f>
        <v/>
      </c>
      <c r="G1892" s="114" t="str">
        <f aca="false">IF($E1892="","",IF($B1892="Tema",INDEX(Config!$C$6:$C$11,$D1892),"Evento avulso"))</f>
        <v/>
      </c>
      <c r="H1892" s="114" t="str">
        <f aca="false">IF($E1892="","",IF($B1892="Tema",INDEX(Config!$D$6:$D$11,$D1892),IFERROR(INDEX(Config!$E$15:$E$19,MATCH($I1892,Config!$C$15:$C$19,0)),"•")))</f>
        <v/>
      </c>
      <c r="I1892" s="114" t="str">
        <f aca="false">IF($E1892="","",IF($B1892="Tema",INDEX(Config!$E$6:$E$11,$D1892),IF(INDEX(Avulsos!$D$6:$D$205,$C1892)&amp;""="","Outro",INDEX(Avulsos!$D$6:$D$205,$C1892))))</f>
        <v/>
      </c>
      <c r="J1892" s="114" t="str">
        <f aca="false">IF($E1892="","",IF($B1892="Tema",INDEX(Temas!$C$6:$C$305,$C1892)&amp;"",INDEX(Avulsos!$E$6:$E$205,$C1892)&amp;""))</f>
        <v/>
      </c>
      <c r="K1892" s="114" t="str">
        <f aca="false">IF($E1892="","",IF(IF($B1892="Tema",INDEX(Temas!$E$6:$P$305,$C1892,2*$D1892),INDEX(Avulsos!$F$6:$F$205,$C1892))&amp;""="","","✓"))</f>
        <v/>
      </c>
      <c r="L1892" s="114" t="str">
        <f aca="true">IF($E1892="","",IF($K1892="✓","Concluído",IF($E1892&lt;TODAY(),"Atrasado",IF($E1892=TODAY(),"Hoje","Pendente"))))</f>
        <v/>
      </c>
      <c r="M1892" s="114" t="str">
        <f aca="false">IF($E1892="","",IF($K1892="✓","✓ ","")&amp;IF(Config!$E$22="Sim",$H1892&amp;" · ","")&amp;$F1892)</f>
        <v/>
      </c>
      <c r="N1892" s="114" t="str">
        <f aca="false">IF($E1892="","",IFERROR(INDEX(Config!$D$15:$D$19,MATCH($I1892,Config!$C$15:$C$19,0)),"OUT")&amp;IF($K1892="✓","x",""))</f>
        <v/>
      </c>
      <c r="O1892" s="114" t="str">
        <f aca="false">IF($E1892="","",COUNTIF($E$5:$E1892,$E1892))</f>
        <v/>
      </c>
      <c r="P1892" s="114" t="str">
        <f aca="false">IF($E1892="","",$E1892*100+$O1892)</f>
        <v/>
      </c>
      <c r="Q1892" s="114" t="str">
        <f aca="false">IF($L1892="Atrasado",$E1892*10000+$A1892,"")</f>
        <v/>
      </c>
    </row>
    <row r="1893" customFormat="false" ht="15" hidden="false" customHeight="false" outlineLevel="0" collapsed="false">
      <c r="A1893" s="114" t="n">
        <f aca="false">ROW()-4</f>
        <v>1889</v>
      </c>
      <c r="B1893" s="114" t="str">
        <f aca="false">IF(A1893&lt;=Config!$E$27*Config!$E$28,"Tema","Avulso")</f>
        <v>Avulso</v>
      </c>
      <c r="C1893" s="114" t="n">
        <f aca="false">IF(B1893="Tema",INT((A1893-1)/Config!$E$28)+1,A1893-Config!$E$27*Config!$E$28)</f>
        <v>89</v>
      </c>
      <c r="D1893" s="114" t="str">
        <f aca="false">IF(B1893="Tema",MOD(A1893-1,Config!$E$28)+1,"")</f>
        <v/>
      </c>
      <c r="E1893" s="115" t="str">
        <f aca="false">IF($B1893="Tema",IF(ISNUMBER(INDEX(Temas!$E$6:$P$305,$C1893,2*$D1893-1)),INDEX(Temas!$E$6:$P$305,$C1893,2*$D1893-1),""),IF(ISNUMBER(INDEX(Avulsos!$B$6:$B$205,$C1893)),INDEX(Avulsos!$B$6:$B$205,$C1893),""))</f>
        <v/>
      </c>
      <c r="F1893" s="114" t="str">
        <f aca="false">IF($E1893="","",IF($B1893="Tema",INDEX(Temas!$B$6:$B$305,$C1893)&amp;"",INDEX(Avulsos!$C$6:$C$205,$C1893)&amp;""))</f>
        <v/>
      </c>
      <c r="G1893" s="114" t="str">
        <f aca="false">IF($E1893="","",IF($B1893="Tema",INDEX(Config!$C$6:$C$11,$D1893),"Evento avulso"))</f>
        <v/>
      </c>
      <c r="H1893" s="114" t="str">
        <f aca="false">IF($E1893="","",IF($B1893="Tema",INDEX(Config!$D$6:$D$11,$D1893),IFERROR(INDEX(Config!$E$15:$E$19,MATCH($I1893,Config!$C$15:$C$19,0)),"•")))</f>
        <v/>
      </c>
      <c r="I1893" s="114" t="str">
        <f aca="false">IF($E1893="","",IF($B1893="Tema",INDEX(Config!$E$6:$E$11,$D1893),IF(INDEX(Avulsos!$D$6:$D$205,$C1893)&amp;""="","Outro",INDEX(Avulsos!$D$6:$D$205,$C1893))))</f>
        <v/>
      </c>
      <c r="J1893" s="114" t="str">
        <f aca="false">IF($E1893="","",IF($B1893="Tema",INDEX(Temas!$C$6:$C$305,$C1893)&amp;"",INDEX(Avulsos!$E$6:$E$205,$C1893)&amp;""))</f>
        <v/>
      </c>
      <c r="K1893" s="114" t="str">
        <f aca="false">IF($E1893="","",IF(IF($B1893="Tema",INDEX(Temas!$E$6:$P$305,$C1893,2*$D1893),INDEX(Avulsos!$F$6:$F$205,$C1893))&amp;""="","","✓"))</f>
        <v/>
      </c>
      <c r="L1893" s="114" t="str">
        <f aca="true">IF($E1893="","",IF($K1893="✓","Concluído",IF($E1893&lt;TODAY(),"Atrasado",IF($E1893=TODAY(),"Hoje","Pendente"))))</f>
        <v/>
      </c>
      <c r="M1893" s="114" t="str">
        <f aca="false">IF($E1893="","",IF($K1893="✓","✓ ","")&amp;IF(Config!$E$22="Sim",$H1893&amp;" · ","")&amp;$F1893)</f>
        <v/>
      </c>
      <c r="N1893" s="114" t="str">
        <f aca="false">IF($E1893="","",IFERROR(INDEX(Config!$D$15:$D$19,MATCH($I1893,Config!$C$15:$C$19,0)),"OUT")&amp;IF($K1893="✓","x",""))</f>
        <v/>
      </c>
      <c r="O1893" s="114" t="str">
        <f aca="false">IF($E1893="","",COUNTIF($E$5:$E1893,$E1893))</f>
        <v/>
      </c>
      <c r="P1893" s="114" t="str">
        <f aca="false">IF($E1893="","",$E1893*100+$O1893)</f>
        <v/>
      </c>
      <c r="Q1893" s="114" t="str">
        <f aca="false">IF($L1893="Atrasado",$E1893*10000+$A1893,"")</f>
        <v/>
      </c>
    </row>
    <row r="1894" customFormat="false" ht="15" hidden="false" customHeight="false" outlineLevel="0" collapsed="false">
      <c r="A1894" s="114" t="n">
        <f aca="false">ROW()-4</f>
        <v>1890</v>
      </c>
      <c r="B1894" s="114" t="str">
        <f aca="false">IF(A1894&lt;=Config!$E$27*Config!$E$28,"Tema","Avulso")</f>
        <v>Avulso</v>
      </c>
      <c r="C1894" s="114" t="n">
        <f aca="false">IF(B1894="Tema",INT((A1894-1)/Config!$E$28)+1,A1894-Config!$E$27*Config!$E$28)</f>
        <v>90</v>
      </c>
      <c r="D1894" s="114" t="str">
        <f aca="false">IF(B1894="Tema",MOD(A1894-1,Config!$E$28)+1,"")</f>
        <v/>
      </c>
      <c r="E1894" s="115" t="str">
        <f aca="false">IF($B1894="Tema",IF(ISNUMBER(INDEX(Temas!$E$6:$P$305,$C1894,2*$D1894-1)),INDEX(Temas!$E$6:$P$305,$C1894,2*$D1894-1),""),IF(ISNUMBER(INDEX(Avulsos!$B$6:$B$205,$C1894)),INDEX(Avulsos!$B$6:$B$205,$C1894),""))</f>
        <v/>
      </c>
      <c r="F1894" s="114" t="str">
        <f aca="false">IF($E1894="","",IF($B1894="Tema",INDEX(Temas!$B$6:$B$305,$C1894)&amp;"",INDEX(Avulsos!$C$6:$C$205,$C1894)&amp;""))</f>
        <v/>
      </c>
      <c r="G1894" s="114" t="str">
        <f aca="false">IF($E1894="","",IF($B1894="Tema",INDEX(Config!$C$6:$C$11,$D1894),"Evento avulso"))</f>
        <v/>
      </c>
      <c r="H1894" s="114" t="str">
        <f aca="false">IF($E1894="","",IF($B1894="Tema",INDEX(Config!$D$6:$D$11,$D1894),IFERROR(INDEX(Config!$E$15:$E$19,MATCH($I1894,Config!$C$15:$C$19,0)),"•")))</f>
        <v/>
      </c>
      <c r="I1894" s="114" t="str">
        <f aca="false">IF($E1894="","",IF($B1894="Tema",INDEX(Config!$E$6:$E$11,$D1894),IF(INDEX(Avulsos!$D$6:$D$205,$C1894)&amp;""="","Outro",INDEX(Avulsos!$D$6:$D$205,$C1894))))</f>
        <v/>
      </c>
      <c r="J1894" s="114" t="str">
        <f aca="false">IF($E1894="","",IF($B1894="Tema",INDEX(Temas!$C$6:$C$305,$C1894)&amp;"",INDEX(Avulsos!$E$6:$E$205,$C1894)&amp;""))</f>
        <v/>
      </c>
      <c r="K1894" s="114" t="str">
        <f aca="false">IF($E1894="","",IF(IF($B1894="Tema",INDEX(Temas!$E$6:$P$305,$C1894,2*$D1894),INDEX(Avulsos!$F$6:$F$205,$C1894))&amp;""="","","✓"))</f>
        <v/>
      </c>
      <c r="L1894" s="114" t="str">
        <f aca="true">IF($E1894="","",IF($K1894="✓","Concluído",IF($E1894&lt;TODAY(),"Atrasado",IF($E1894=TODAY(),"Hoje","Pendente"))))</f>
        <v/>
      </c>
      <c r="M1894" s="114" t="str">
        <f aca="false">IF($E1894="","",IF($K1894="✓","✓ ","")&amp;IF(Config!$E$22="Sim",$H1894&amp;" · ","")&amp;$F1894)</f>
        <v/>
      </c>
      <c r="N1894" s="114" t="str">
        <f aca="false">IF($E1894="","",IFERROR(INDEX(Config!$D$15:$D$19,MATCH($I1894,Config!$C$15:$C$19,0)),"OUT")&amp;IF($K1894="✓","x",""))</f>
        <v/>
      </c>
      <c r="O1894" s="114" t="str">
        <f aca="false">IF($E1894="","",COUNTIF($E$5:$E1894,$E1894))</f>
        <v/>
      </c>
      <c r="P1894" s="114" t="str">
        <f aca="false">IF($E1894="","",$E1894*100+$O1894)</f>
        <v/>
      </c>
      <c r="Q1894" s="114" t="str">
        <f aca="false">IF($L1894="Atrasado",$E1894*10000+$A1894,"")</f>
        <v/>
      </c>
    </row>
    <row r="1895" customFormat="false" ht="15" hidden="false" customHeight="false" outlineLevel="0" collapsed="false">
      <c r="A1895" s="114" t="n">
        <f aca="false">ROW()-4</f>
        <v>1891</v>
      </c>
      <c r="B1895" s="114" t="str">
        <f aca="false">IF(A1895&lt;=Config!$E$27*Config!$E$28,"Tema","Avulso")</f>
        <v>Avulso</v>
      </c>
      <c r="C1895" s="114" t="n">
        <f aca="false">IF(B1895="Tema",INT((A1895-1)/Config!$E$28)+1,A1895-Config!$E$27*Config!$E$28)</f>
        <v>91</v>
      </c>
      <c r="D1895" s="114" t="str">
        <f aca="false">IF(B1895="Tema",MOD(A1895-1,Config!$E$28)+1,"")</f>
        <v/>
      </c>
      <c r="E1895" s="115" t="str">
        <f aca="false">IF($B1895="Tema",IF(ISNUMBER(INDEX(Temas!$E$6:$P$305,$C1895,2*$D1895-1)),INDEX(Temas!$E$6:$P$305,$C1895,2*$D1895-1),""),IF(ISNUMBER(INDEX(Avulsos!$B$6:$B$205,$C1895)),INDEX(Avulsos!$B$6:$B$205,$C1895),""))</f>
        <v/>
      </c>
      <c r="F1895" s="114" t="str">
        <f aca="false">IF($E1895="","",IF($B1895="Tema",INDEX(Temas!$B$6:$B$305,$C1895)&amp;"",INDEX(Avulsos!$C$6:$C$205,$C1895)&amp;""))</f>
        <v/>
      </c>
      <c r="G1895" s="114" t="str">
        <f aca="false">IF($E1895="","",IF($B1895="Tema",INDEX(Config!$C$6:$C$11,$D1895),"Evento avulso"))</f>
        <v/>
      </c>
      <c r="H1895" s="114" t="str">
        <f aca="false">IF($E1895="","",IF($B1895="Tema",INDEX(Config!$D$6:$D$11,$D1895),IFERROR(INDEX(Config!$E$15:$E$19,MATCH($I1895,Config!$C$15:$C$19,0)),"•")))</f>
        <v/>
      </c>
      <c r="I1895" s="114" t="str">
        <f aca="false">IF($E1895="","",IF($B1895="Tema",INDEX(Config!$E$6:$E$11,$D1895),IF(INDEX(Avulsos!$D$6:$D$205,$C1895)&amp;""="","Outro",INDEX(Avulsos!$D$6:$D$205,$C1895))))</f>
        <v/>
      </c>
      <c r="J1895" s="114" t="str">
        <f aca="false">IF($E1895="","",IF($B1895="Tema",INDEX(Temas!$C$6:$C$305,$C1895)&amp;"",INDEX(Avulsos!$E$6:$E$205,$C1895)&amp;""))</f>
        <v/>
      </c>
      <c r="K1895" s="114" t="str">
        <f aca="false">IF($E1895="","",IF(IF($B1895="Tema",INDEX(Temas!$E$6:$P$305,$C1895,2*$D1895),INDEX(Avulsos!$F$6:$F$205,$C1895))&amp;""="","","✓"))</f>
        <v/>
      </c>
      <c r="L1895" s="114" t="str">
        <f aca="true">IF($E1895="","",IF($K1895="✓","Concluído",IF($E1895&lt;TODAY(),"Atrasado",IF($E1895=TODAY(),"Hoje","Pendente"))))</f>
        <v/>
      </c>
      <c r="M1895" s="114" t="str">
        <f aca="false">IF($E1895="","",IF($K1895="✓","✓ ","")&amp;IF(Config!$E$22="Sim",$H1895&amp;" · ","")&amp;$F1895)</f>
        <v/>
      </c>
      <c r="N1895" s="114" t="str">
        <f aca="false">IF($E1895="","",IFERROR(INDEX(Config!$D$15:$D$19,MATCH($I1895,Config!$C$15:$C$19,0)),"OUT")&amp;IF($K1895="✓","x",""))</f>
        <v/>
      </c>
      <c r="O1895" s="114" t="str">
        <f aca="false">IF($E1895="","",COUNTIF($E$5:$E1895,$E1895))</f>
        <v/>
      </c>
      <c r="P1895" s="114" t="str">
        <f aca="false">IF($E1895="","",$E1895*100+$O1895)</f>
        <v/>
      </c>
      <c r="Q1895" s="114" t="str">
        <f aca="false">IF($L1895="Atrasado",$E1895*10000+$A1895,"")</f>
        <v/>
      </c>
    </row>
    <row r="1896" customFormat="false" ht="15" hidden="false" customHeight="false" outlineLevel="0" collapsed="false">
      <c r="A1896" s="114" t="n">
        <f aca="false">ROW()-4</f>
        <v>1892</v>
      </c>
      <c r="B1896" s="114" t="str">
        <f aca="false">IF(A1896&lt;=Config!$E$27*Config!$E$28,"Tema","Avulso")</f>
        <v>Avulso</v>
      </c>
      <c r="C1896" s="114" t="n">
        <f aca="false">IF(B1896="Tema",INT((A1896-1)/Config!$E$28)+1,A1896-Config!$E$27*Config!$E$28)</f>
        <v>92</v>
      </c>
      <c r="D1896" s="114" t="str">
        <f aca="false">IF(B1896="Tema",MOD(A1896-1,Config!$E$28)+1,"")</f>
        <v/>
      </c>
      <c r="E1896" s="115" t="str">
        <f aca="false">IF($B1896="Tema",IF(ISNUMBER(INDEX(Temas!$E$6:$P$305,$C1896,2*$D1896-1)),INDEX(Temas!$E$6:$P$305,$C1896,2*$D1896-1),""),IF(ISNUMBER(INDEX(Avulsos!$B$6:$B$205,$C1896)),INDEX(Avulsos!$B$6:$B$205,$C1896),""))</f>
        <v/>
      </c>
      <c r="F1896" s="114" t="str">
        <f aca="false">IF($E1896="","",IF($B1896="Tema",INDEX(Temas!$B$6:$B$305,$C1896)&amp;"",INDEX(Avulsos!$C$6:$C$205,$C1896)&amp;""))</f>
        <v/>
      </c>
      <c r="G1896" s="114" t="str">
        <f aca="false">IF($E1896="","",IF($B1896="Tema",INDEX(Config!$C$6:$C$11,$D1896),"Evento avulso"))</f>
        <v/>
      </c>
      <c r="H1896" s="114" t="str">
        <f aca="false">IF($E1896="","",IF($B1896="Tema",INDEX(Config!$D$6:$D$11,$D1896),IFERROR(INDEX(Config!$E$15:$E$19,MATCH($I1896,Config!$C$15:$C$19,0)),"•")))</f>
        <v/>
      </c>
      <c r="I1896" s="114" t="str">
        <f aca="false">IF($E1896="","",IF($B1896="Tema",INDEX(Config!$E$6:$E$11,$D1896),IF(INDEX(Avulsos!$D$6:$D$205,$C1896)&amp;""="","Outro",INDEX(Avulsos!$D$6:$D$205,$C1896))))</f>
        <v/>
      </c>
      <c r="J1896" s="114" t="str">
        <f aca="false">IF($E1896="","",IF($B1896="Tema",INDEX(Temas!$C$6:$C$305,$C1896)&amp;"",INDEX(Avulsos!$E$6:$E$205,$C1896)&amp;""))</f>
        <v/>
      </c>
      <c r="K1896" s="114" t="str">
        <f aca="false">IF($E1896="","",IF(IF($B1896="Tema",INDEX(Temas!$E$6:$P$305,$C1896,2*$D1896),INDEX(Avulsos!$F$6:$F$205,$C1896))&amp;""="","","✓"))</f>
        <v/>
      </c>
      <c r="L1896" s="114" t="str">
        <f aca="true">IF($E1896="","",IF($K1896="✓","Concluído",IF($E1896&lt;TODAY(),"Atrasado",IF($E1896=TODAY(),"Hoje","Pendente"))))</f>
        <v/>
      </c>
      <c r="M1896" s="114" t="str">
        <f aca="false">IF($E1896="","",IF($K1896="✓","✓ ","")&amp;IF(Config!$E$22="Sim",$H1896&amp;" · ","")&amp;$F1896)</f>
        <v/>
      </c>
      <c r="N1896" s="114" t="str">
        <f aca="false">IF($E1896="","",IFERROR(INDEX(Config!$D$15:$D$19,MATCH($I1896,Config!$C$15:$C$19,0)),"OUT")&amp;IF($K1896="✓","x",""))</f>
        <v/>
      </c>
      <c r="O1896" s="114" t="str">
        <f aca="false">IF($E1896="","",COUNTIF($E$5:$E1896,$E1896))</f>
        <v/>
      </c>
      <c r="P1896" s="114" t="str">
        <f aca="false">IF($E1896="","",$E1896*100+$O1896)</f>
        <v/>
      </c>
      <c r="Q1896" s="114" t="str">
        <f aca="false">IF($L1896="Atrasado",$E1896*10000+$A1896,"")</f>
        <v/>
      </c>
    </row>
    <row r="1897" customFormat="false" ht="15" hidden="false" customHeight="false" outlineLevel="0" collapsed="false">
      <c r="A1897" s="114" t="n">
        <f aca="false">ROW()-4</f>
        <v>1893</v>
      </c>
      <c r="B1897" s="114" t="str">
        <f aca="false">IF(A1897&lt;=Config!$E$27*Config!$E$28,"Tema","Avulso")</f>
        <v>Avulso</v>
      </c>
      <c r="C1897" s="114" t="n">
        <f aca="false">IF(B1897="Tema",INT((A1897-1)/Config!$E$28)+1,A1897-Config!$E$27*Config!$E$28)</f>
        <v>93</v>
      </c>
      <c r="D1897" s="114" t="str">
        <f aca="false">IF(B1897="Tema",MOD(A1897-1,Config!$E$28)+1,"")</f>
        <v/>
      </c>
      <c r="E1897" s="115" t="str">
        <f aca="false">IF($B1897="Tema",IF(ISNUMBER(INDEX(Temas!$E$6:$P$305,$C1897,2*$D1897-1)),INDEX(Temas!$E$6:$P$305,$C1897,2*$D1897-1),""),IF(ISNUMBER(INDEX(Avulsos!$B$6:$B$205,$C1897)),INDEX(Avulsos!$B$6:$B$205,$C1897),""))</f>
        <v/>
      </c>
      <c r="F1897" s="114" t="str">
        <f aca="false">IF($E1897="","",IF($B1897="Tema",INDEX(Temas!$B$6:$B$305,$C1897)&amp;"",INDEX(Avulsos!$C$6:$C$205,$C1897)&amp;""))</f>
        <v/>
      </c>
      <c r="G1897" s="114" t="str">
        <f aca="false">IF($E1897="","",IF($B1897="Tema",INDEX(Config!$C$6:$C$11,$D1897),"Evento avulso"))</f>
        <v/>
      </c>
      <c r="H1897" s="114" t="str">
        <f aca="false">IF($E1897="","",IF($B1897="Tema",INDEX(Config!$D$6:$D$11,$D1897),IFERROR(INDEX(Config!$E$15:$E$19,MATCH($I1897,Config!$C$15:$C$19,0)),"•")))</f>
        <v/>
      </c>
      <c r="I1897" s="114" t="str">
        <f aca="false">IF($E1897="","",IF($B1897="Tema",INDEX(Config!$E$6:$E$11,$D1897),IF(INDEX(Avulsos!$D$6:$D$205,$C1897)&amp;""="","Outro",INDEX(Avulsos!$D$6:$D$205,$C1897))))</f>
        <v/>
      </c>
      <c r="J1897" s="114" t="str">
        <f aca="false">IF($E1897="","",IF($B1897="Tema",INDEX(Temas!$C$6:$C$305,$C1897)&amp;"",INDEX(Avulsos!$E$6:$E$205,$C1897)&amp;""))</f>
        <v/>
      </c>
      <c r="K1897" s="114" t="str">
        <f aca="false">IF($E1897="","",IF(IF($B1897="Tema",INDEX(Temas!$E$6:$P$305,$C1897,2*$D1897),INDEX(Avulsos!$F$6:$F$205,$C1897))&amp;""="","","✓"))</f>
        <v/>
      </c>
      <c r="L1897" s="114" t="str">
        <f aca="true">IF($E1897="","",IF($K1897="✓","Concluído",IF($E1897&lt;TODAY(),"Atrasado",IF($E1897=TODAY(),"Hoje","Pendente"))))</f>
        <v/>
      </c>
      <c r="M1897" s="114" t="str">
        <f aca="false">IF($E1897="","",IF($K1897="✓","✓ ","")&amp;IF(Config!$E$22="Sim",$H1897&amp;" · ","")&amp;$F1897)</f>
        <v/>
      </c>
      <c r="N1897" s="114" t="str">
        <f aca="false">IF($E1897="","",IFERROR(INDEX(Config!$D$15:$D$19,MATCH($I1897,Config!$C$15:$C$19,0)),"OUT")&amp;IF($K1897="✓","x",""))</f>
        <v/>
      </c>
      <c r="O1897" s="114" t="str">
        <f aca="false">IF($E1897="","",COUNTIF($E$5:$E1897,$E1897))</f>
        <v/>
      </c>
      <c r="P1897" s="114" t="str">
        <f aca="false">IF($E1897="","",$E1897*100+$O1897)</f>
        <v/>
      </c>
      <c r="Q1897" s="114" t="str">
        <f aca="false">IF($L1897="Atrasado",$E1897*10000+$A1897,"")</f>
        <v/>
      </c>
    </row>
    <row r="1898" customFormat="false" ht="15" hidden="false" customHeight="false" outlineLevel="0" collapsed="false">
      <c r="A1898" s="114" t="n">
        <f aca="false">ROW()-4</f>
        <v>1894</v>
      </c>
      <c r="B1898" s="114" t="str">
        <f aca="false">IF(A1898&lt;=Config!$E$27*Config!$E$28,"Tema","Avulso")</f>
        <v>Avulso</v>
      </c>
      <c r="C1898" s="114" t="n">
        <f aca="false">IF(B1898="Tema",INT((A1898-1)/Config!$E$28)+1,A1898-Config!$E$27*Config!$E$28)</f>
        <v>94</v>
      </c>
      <c r="D1898" s="114" t="str">
        <f aca="false">IF(B1898="Tema",MOD(A1898-1,Config!$E$28)+1,"")</f>
        <v/>
      </c>
      <c r="E1898" s="115" t="str">
        <f aca="false">IF($B1898="Tema",IF(ISNUMBER(INDEX(Temas!$E$6:$P$305,$C1898,2*$D1898-1)),INDEX(Temas!$E$6:$P$305,$C1898,2*$D1898-1),""),IF(ISNUMBER(INDEX(Avulsos!$B$6:$B$205,$C1898)),INDEX(Avulsos!$B$6:$B$205,$C1898),""))</f>
        <v/>
      </c>
      <c r="F1898" s="114" t="str">
        <f aca="false">IF($E1898="","",IF($B1898="Tema",INDEX(Temas!$B$6:$B$305,$C1898)&amp;"",INDEX(Avulsos!$C$6:$C$205,$C1898)&amp;""))</f>
        <v/>
      </c>
      <c r="G1898" s="114" t="str">
        <f aca="false">IF($E1898="","",IF($B1898="Tema",INDEX(Config!$C$6:$C$11,$D1898),"Evento avulso"))</f>
        <v/>
      </c>
      <c r="H1898" s="114" t="str">
        <f aca="false">IF($E1898="","",IF($B1898="Tema",INDEX(Config!$D$6:$D$11,$D1898),IFERROR(INDEX(Config!$E$15:$E$19,MATCH($I1898,Config!$C$15:$C$19,0)),"•")))</f>
        <v/>
      </c>
      <c r="I1898" s="114" t="str">
        <f aca="false">IF($E1898="","",IF($B1898="Tema",INDEX(Config!$E$6:$E$11,$D1898),IF(INDEX(Avulsos!$D$6:$D$205,$C1898)&amp;""="","Outro",INDEX(Avulsos!$D$6:$D$205,$C1898))))</f>
        <v/>
      </c>
      <c r="J1898" s="114" t="str">
        <f aca="false">IF($E1898="","",IF($B1898="Tema",INDEX(Temas!$C$6:$C$305,$C1898)&amp;"",INDEX(Avulsos!$E$6:$E$205,$C1898)&amp;""))</f>
        <v/>
      </c>
      <c r="K1898" s="114" t="str">
        <f aca="false">IF($E1898="","",IF(IF($B1898="Tema",INDEX(Temas!$E$6:$P$305,$C1898,2*$D1898),INDEX(Avulsos!$F$6:$F$205,$C1898))&amp;""="","","✓"))</f>
        <v/>
      </c>
      <c r="L1898" s="114" t="str">
        <f aca="true">IF($E1898="","",IF($K1898="✓","Concluído",IF($E1898&lt;TODAY(),"Atrasado",IF($E1898=TODAY(),"Hoje","Pendente"))))</f>
        <v/>
      </c>
      <c r="M1898" s="114" t="str">
        <f aca="false">IF($E1898="","",IF($K1898="✓","✓ ","")&amp;IF(Config!$E$22="Sim",$H1898&amp;" · ","")&amp;$F1898)</f>
        <v/>
      </c>
      <c r="N1898" s="114" t="str">
        <f aca="false">IF($E1898="","",IFERROR(INDEX(Config!$D$15:$D$19,MATCH($I1898,Config!$C$15:$C$19,0)),"OUT")&amp;IF($K1898="✓","x",""))</f>
        <v/>
      </c>
      <c r="O1898" s="114" t="str">
        <f aca="false">IF($E1898="","",COUNTIF($E$5:$E1898,$E1898))</f>
        <v/>
      </c>
      <c r="P1898" s="114" t="str">
        <f aca="false">IF($E1898="","",$E1898*100+$O1898)</f>
        <v/>
      </c>
      <c r="Q1898" s="114" t="str">
        <f aca="false">IF($L1898="Atrasado",$E1898*10000+$A1898,"")</f>
        <v/>
      </c>
    </row>
    <row r="1899" customFormat="false" ht="15" hidden="false" customHeight="false" outlineLevel="0" collapsed="false">
      <c r="A1899" s="114" t="n">
        <f aca="false">ROW()-4</f>
        <v>1895</v>
      </c>
      <c r="B1899" s="114" t="str">
        <f aca="false">IF(A1899&lt;=Config!$E$27*Config!$E$28,"Tema","Avulso")</f>
        <v>Avulso</v>
      </c>
      <c r="C1899" s="114" t="n">
        <f aca="false">IF(B1899="Tema",INT((A1899-1)/Config!$E$28)+1,A1899-Config!$E$27*Config!$E$28)</f>
        <v>95</v>
      </c>
      <c r="D1899" s="114" t="str">
        <f aca="false">IF(B1899="Tema",MOD(A1899-1,Config!$E$28)+1,"")</f>
        <v/>
      </c>
      <c r="E1899" s="115" t="str">
        <f aca="false">IF($B1899="Tema",IF(ISNUMBER(INDEX(Temas!$E$6:$P$305,$C1899,2*$D1899-1)),INDEX(Temas!$E$6:$P$305,$C1899,2*$D1899-1),""),IF(ISNUMBER(INDEX(Avulsos!$B$6:$B$205,$C1899)),INDEX(Avulsos!$B$6:$B$205,$C1899),""))</f>
        <v/>
      </c>
      <c r="F1899" s="114" t="str">
        <f aca="false">IF($E1899="","",IF($B1899="Tema",INDEX(Temas!$B$6:$B$305,$C1899)&amp;"",INDEX(Avulsos!$C$6:$C$205,$C1899)&amp;""))</f>
        <v/>
      </c>
      <c r="G1899" s="114" t="str">
        <f aca="false">IF($E1899="","",IF($B1899="Tema",INDEX(Config!$C$6:$C$11,$D1899),"Evento avulso"))</f>
        <v/>
      </c>
      <c r="H1899" s="114" t="str">
        <f aca="false">IF($E1899="","",IF($B1899="Tema",INDEX(Config!$D$6:$D$11,$D1899),IFERROR(INDEX(Config!$E$15:$E$19,MATCH($I1899,Config!$C$15:$C$19,0)),"•")))</f>
        <v/>
      </c>
      <c r="I1899" s="114" t="str">
        <f aca="false">IF($E1899="","",IF($B1899="Tema",INDEX(Config!$E$6:$E$11,$D1899),IF(INDEX(Avulsos!$D$6:$D$205,$C1899)&amp;""="","Outro",INDEX(Avulsos!$D$6:$D$205,$C1899))))</f>
        <v/>
      </c>
      <c r="J1899" s="114" t="str">
        <f aca="false">IF($E1899="","",IF($B1899="Tema",INDEX(Temas!$C$6:$C$305,$C1899)&amp;"",INDEX(Avulsos!$E$6:$E$205,$C1899)&amp;""))</f>
        <v/>
      </c>
      <c r="K1899" s="114" t="str">
        <f aca="false">IF($E1899="","",IF(IF($B1899="Tema",INDEX(Temas!$E$6:$P$305,$C1899,2*$D1899),INDEX(Avulsos!$F$6:$F$205,$C1899))&amp;""="","","✓"))</f>
        <v/>
      </c>
      <c r="L1899" s="114" t="str">
        <f aca="true">IF($E1899="","",IF($K1899="✓","Concluído",IF($E1899&lt;TODAY(),"Atrasado",IF($E1899=TODAY(),"Hoje","Pendente"))))</f>
        <v/>
      </c>
      <c r="M1899" s="114" t="str">
        <f aca="false">IF($E1899="","",IF($K1899="✓","✓ ","")&amp;IF(Config!$E$22="Sim",$H1899&amp;" · ","")&amp;$F1899)</f>
        <v/>
      </c>
      <c r="N1899" s="114" t="str">
        <f aca="false">IF($E1899="","",IFERROR(INDEX(Config!$D$15:$D$19,MATCH($I1899,Config!$C$15:$C$19,0)),"OUT")&amp;IF($K1899="✓","x",""))</f>
        <v/>
      </c>
      <c r="O1899" s="114" t="str">
        <f aca="false">IF($E1899="","",COUNTIF($E$5:$E1899,$E1899))</f>
        <v/>
      </c>
      <c r="P1899" s="114" t="str">
        <f aca="false">IF($E1899="","",$E1899*100+$O1899)</f>
        <v/>
      </c>
      <c r="Q1899" s="114" t="str">
        <f aca="false">IF($L1899="Atrasado",$E1899*10000+$A1899,"")</f>
        <v/>
      </c>
    </row>
    <row r="1900" customFormat="false" ht="15" hidden="false" customHeight="false" outlineLevel="0" collapsed="false">
      <c r="A1900" s="114" t="n">
        <f aca="false">ROW()-4</f>
        <v>1896</v>
      </c>
      <c r="B1900" s="114" t="str">
        <f aca="false">IF(A1900&lt;=Config!$E$27*Config!$E$28,"Tema","Avulso")</f>
        <v>Avulso</v>
      </c>
      <c r="C1900" s="114" t="n">
        <f aca="false">IF(B1900="Tema",INT((A1900-1)/Config!$E$28)+1,A1900-Config!$E$27*Config!$E$28)</f>
        <v>96</v>
      </c>
      <c r="D1900" s="114" t="str">
        <f aca="false">IF(B1900="Tema",MOD(A1900-1,Config!$E$28)+1,"")</f>
        <v/>
      </c>
      <c r="E1900" s="115" t="str">
        <f aca="false">IF($B1900="Tema",IF(ISNUMBER(INDEX(Temas!$E$6:$P$305,$C1900,2*$D1900-1)),INDEX(Temas!$E$6:$P$305,$C1900,2*$D1900-1),""),IF(ISNUMBER(INDEX(Avulsos!$B$6:$B$205,$C1900)),INDEX(Avulsos!$B$6:$B$205,$C1900),""))</f>
        <v/>
      </c>
      <c r="F1900" s="114" t="str">
        <f aca="false">IF($E1900="","",IF($B1900="Tema",INDEX(Temas!$B$6:$B$305,$C1900)&amp;"",INDEX(Avulsos!$C$6:$C$205,$C1900)&amp;""))</f>
        <v/>
      </c>
      <c r="G1900" s="114" t="str">
        <f aca="false">IF($E1900="","",IF($B1900="Tema",INDEX(Config!$C$6:$C$11,$D1900),"Evento avulso"))</f>
        <v/>
      </c>
      <c r="H1900" s="114" t="str">
        <f aca="false">IF($E1900="","",IF($B1900="Tema",INDEX(Config!$D$6:$D$11,$D1900),IFERROR(INDEX(Config!$E$15:$E$19,MATCH($I1900,Config!$C$15:$C$19,0)),"•")))</f>
        <v/>
      </c>
      <c r="I1900" s="114" t="str">
        <f aca="false">IF($E1900="","",IF($B1900="Tema",INDEX(Config!$E$6:$E$11,$D1900),IF(INDEX(Avulsos!$D$6:$D$205,$C1900)&amp;""="","Outro",INDEX(Avulsos!$D$6:$D$205,$C1900))))</f>
        <v/>
      </c>
      <c r="J1900" s="114" t="str">
        <f aca="false">IF($E1900="","",IF($B1900="Tema",INDEX(Temas!$C$6:$C$305,$C1900)&amp;"",INDEX(Avulsos!$E$6:$E$205,$C1900)&amp;""))</f>
        <v/>
      </c>
      <c r="K1900" s="114" t="str">
        <f aca="false">IF($E1900="","",IF(IF($B1900="Tema",INDEX(Temas!$E$6:$P$305,$C1900,2*$D1900),INDEX(Avulsos!$F$6:$F$205,$C1900))&amp;""="","","✓"))</f>
        <v/>
      </c>
      <c r="L1900" s="114" t="str">
        <f aca="true">IF($E1900="","",IF($K1900="✓","Concluído",IF($E1900&lt;TODAY(),"Atrasado",IF($E1900=TODAY(),"Hoje","Pendente"))))</f>
        <v/>
      </c>
      <c r="M1900" s="114" t="str">
        <f aca="false">IF($E1900="","",IF($K1900="✓","✓ ","")&amp;IF(Config!$E$22="Sim",$H1900&amp;" · ","")&amp;$F1900)</f>
        <v/>
      </c>
      <c r="N1900" s="114" t="str">
        <f aca="false">IF($E1900="","",IFERROR(INDEX(Config!$D$15:$D$19,MATCH($I1900,Config!$C$15:$C$19,0)),"OUT")&amp;IF($K1900="✓","x",""))</f>
        <v/>
      </c>
      <c r="O1900" s="114" t="str">
        <f aca="false">IF($E1900="","",COUNTIF($E$5:$E1900,$E1900))</f>
        <v/>
      </c>
      <c r="P1900" s="114" t="str">
        <f aca="false">IF($E1900="","",$E1900*100+$O1900)</f>
        <v/>
      </c>
      <c r="Q1900" s="114" t="str">
        <f aca="false">IF($L1900="Atrasado",$E1900*10000+$A1900,"")</f>
        <v/>
      </c>
    </row>
    <row r="1901" customFormat="false" ht="15" hidden="false" customHeight="false" outlineLevel="0" collapsed="false">
      <c r="A1901" s="114" t="n">
        <f aca="false">ROW()-4</f>
        <v>1897</v>
      </c>
      <c r="B1901" s="114" t="str">
        <f aca="false">IF(A1901&lt;=Config!$E$27*Config!$E$28,"Tema","Avulso")</f>
        <v>Avulso</v>
      </c>
      <c r="C1901" s="114" t="n">
        <f aca="false">IF(B1901="Tema",INT((A1901-1)/Config!$E$28)+1,A1901-Config!$E$27*Config!$E$28)</f>
        <v>97</v>
      </c>
      <c r="D1901" s="114" t="str">
        <f aca="false">IF(B1901="Tema",MOD(A1901-1,Config!$E$28)+1,"")</f>
        <v/>
      </c>
      <c r="E1901" s="115" t="str">
        <f aca="false">IF($B1901="Tema",IF(ISNUMBER(INDEX(Temas!$E$6:$P$305,$C1901,2*$D1901-1)),INDEX(Temas!$E$6:$P$305,$C1901,2*$D1901-1),""),IF(ISNUMBER(INDEX(Avulsos!$B$6:$B$205,$C1901)),INDEX(Avulsos!$B$6:$B$205,$C1901),""))</f>
        <v/>
      </c>
      <c r="F1901" s="114" t="str">
        <f aca="false">IF($E1901="","",IF($B1901="Tema",INDEX(Temas!$B$6:$B$305,$C1901)&amp;"",INDEX(Avulsos!$C$6:$C$205,$C1901)&amp;""))</f>
        <v/>
      </c>
      <c r="G1901" s="114" t="str">
        <f aca="false">IF($E1901="","",IF($B1901="Tema",INDEX(Config!$C$6:$C$11,$D1901),"Evento avulso"))</f>
        <v/>
      </c>
      <c r="H1901" s="114" t="str">
        <f aca="false">IF($E1901="","",IF($B1901="Tema",INDEX(Config!$D$6:$D$11,$D1901),IFERROR(INDEX(Config!$E$15:$E$19,MATCH($I1901,Config!$C$15:$C$19,0)),"•")))</f>
        <v/>
      </c>
      <c r="I1901" s="114" t="str">
        <f aca="false">IF($E1901="","",IF($B1901="Tema",INDEX(Config!$E$6:$E$11,$D1901),IF(INDEX(Avulsos!$D$6:$D$205,$C1901)&amp;""="","Outro",INDEX(Avulsos!$D$6:$D$205,$C1901))))</f>
        <v/>
      </c>
      <c r="J1901" s="114" t="str">
        <f aca="false">IF($E1901="","",IF($B1901="Tema",INDEX(Temas!$C$6:$C$305,$C1901)&amp;"",INDEX(Avulsos!$E$6:$E$205,$C1901)&amp;""))</f>
        <v/>
      </c>
      <c r="K1901" s="114" t="str">
        <f aca="false">IF($E1901="","",IF(IF($B1901="Tema",INDEX(Temas!$E$6:$P$305,$C1901,2*$D1901),INDEX(Avulsos!$F$6:$F$205,$C1901))&amp;""="","","✓"))</f>
        <v/>
      </c>
      <c r="L1901" s="114" t="str">
        <f aca="true">IF($E1901="","",IF($K1901="✓","Concluído",IF($E1901&lt;TODAY(),"Atrasado",IF($E1901=TODAY(),"Hoje","Pendente"))))</f>
        <v/>
      </c>
      <c r="M1901" s="114" t="str">
        <f aca="false">IF($E1901="","",IF($K1901="✓","✓ ","")&amp;IF(Config!$E$22="Sim",$H1901&amp;" · ","")&amp;$F1901)</f>
        <v/>
      </c>
      <c r="N1901" s="114" t="str">
        <f aca="false">IF($E1901="","",IFERROR(INDEX(Config!$D$15:$D$19,MATCH($I1901,Config!$C$15:$C$19,0)),"OUT")&amp;IF($K1901="✓","x",""))</f>
        <v/>
      </c>
      <c r="O1901" s="114" t="str">
        <f aca="false">IF($E1901="","",COUNTIF($E$5:$E1901,$E1901))</f>
        <v/>
      </c>
      <c r="P1901" s="114" t="str">
        <f aca="false">IF($E1901="","",$E1901*100+$O1901)</f>
        <v/>
      </c>
      <c r="Q1901" s="114" t="str">
        <f aca="false">IF($L1901="Atrasado",$E1901*10000+$A1901,"")</f>
        <v/>
      </c>
    </row>
    <row r="1902" customFormat="false" ht="15" hidden="false" customHeight="false" outlineLevel="0" collapsed="false">
      <c r="A1902" s="114" t="n">
        <f aca="false">ROW()-4</f>
        <v>1898</v>
      </c>
      <c r="B1902" s="114" t="str">
        <f aca="false">IF(A1902&lt;=Config!$E$27*Config!$E$28,"Tema","Avulso")</f>
        <v>Avulso</v>
      </c>
      <c r="C1902" s="114" t="n">
        <f aca="false">IF(B1902="Tema",INT((A1902-1)/Config!$E$28)+1,A1902-Config!$E$27*Config!$E$28)</f>
        <v>98</v>
      </c>
      <c r="D1902" s="114" t="str">
        <f aca="false">IF(B1902="Tema",MOD(A1902-1,Config!$E$28)+1,"")</f>
        <v/>
      </c>
      <c r="E1902" s="115" t="str">
        <f aca="false">IF($B1902="Tema",IF(ISNUMBER(INDEX(Temas!$E$6:$P$305,$C1902,2*$D1902-1)),INDEX(Temas!$E$6:$P$305,$C1902,2*$D1902-1),""),IF(ISNUMBER(INDEX(Avulsos!$B$6:$B$205,$C1902)),INDEX(Avulsos!$B$6:$B$205,$C1902),""))</f>
        <v/>
      </c>
      <c r="F1902" s="114" t="str">
        <f aca="false">IF($E1902="","",IF($B1902="Tema",INDEX(Temas!$B$6:$B$305,$C1902)&amp;"",INDEX(Avulsos!$C$6:$C$205,$C1902)&amp;""))</f>
        <v/>
      </c>
      <c r="G1902" s="114" t="str">
        <f aca="false">IF($E1902="","",IF($B1902="Tema",INDEX(Config!$C$6:$C$11,$D1902),"Evento avulso"))</f>
        <v/>
      </c>
      <c r="H1902" s="114" t="str">
        <f aca="false">IF($E1902="","",IF($B1902="Tema",INDEX(Config!$D$6:$D$11,$D1902),IFERROR(INDEX(Config!$E$15:$E$19,MATCH($I1902,Config!$C$15:$C$19,0)),"•")))</f>
        <v/>
      </c>
      <c r="I1902" s="114" t="str">
        <f aca="false">IF($E1902="","",IF($B1902="Tema",INDEX(Config!$E$6:$E$11,$D1902),IF(INDEX(Avulsos!$D$6:$D$205,$C1902)&amp;""="","Outro",INDEX(Avulsos!$D$6:$D$205,$C1902))))</f>
        <v/>
      </c>
      <c r="J1902" s="114" t="str">
        <f aca="false">IF($E1902="","",IF($B1902="Tema",INDEX(Temas!$C$6:$C$305,$C1902)&amp;"",INDEX(Avulsos!$E$6:$E$205,$C1902)&amp;""))</f>
        <v/>
      </c>
      <c r="K1902" s="114" t="str">
        <f aca="false">IF($E1902="","",IF(IF($B1902="Tema",INDEX(Temas!$E$6:$P$305,$C1902,2*$D1902),INDEX(Avulsos!$F$6:$F$205,$C1902))&amp;""="","","✓"))</f>
        <v/>
      </c>
      <c r="L1902" s="114" t="str">
        <f aca="true">IF($E1902="","",IF($K1902="✓","Concluído",IF($E1902&lt;TODAY(),"Atrasado",IF($E1902=TODAY(),"Hoje","Pendente"))))</f>
        <v/>
      </c>
      <c r="M1902" s="114" t="str">
        <f aca="false">IF($E1902="","",IF($K1902="✓","✓ ","")&amp;IF(Config!$E$22="Sim",$H1902&amp;" · ","")&amp;$F1902)</f>
        <v/>
      </c>
      <c r="N1902" s="114" t="str">
        <f aca="false">IF($E1902="","",IFERROR(INDEX(Config!$D$15:$D$19,MATCH($I1902,Config!$C$15:$C$19,0)),"OUT")&amp;IF($K1902="✓","x",""))</f>
        <v/>
      </c>
      <c r="O1902" s="114" t="str">
        <f aca="false">IF($E1902="","",COUNTIF($E$5:$E1902,$E1902))</f>
        <v/>
      </c>
      <c r="P1902" s="114" t="str">
        <f aca="false">IF($E1902="","",$E1902*100+$O1902)</f>
        <v/>
      </c>
      <c r="Q1902" s="114" t="str">
        <f aca="false">IF($L1902="Atrasado",$E1902*10000+$A1902,"")</f>
        <v/>
      </c>
    </row>
    <row r="1903" customFormat="false" ht="15" hidden="false" customHeight="false" outlineLevel="0" collapsed="false">
      <c r="A1903" s="114" t="n">
        <f aca="false">ROW()-4</f>
        <v>1899</v>
      </c>
      <c r="B1903" s="114" t="str">
        <f aca="false">IF(A1903&lt;=Config!$E$27*Config!$E$28,"Tema","Avulso")</f>
        <v>Avulso</v>
      </c>
      <c r="C1903" s="114" t="n">
        <f aca="false">IF(B1903="Tema",INT((A1903-1)/Config!$E$28)+1,A1903-Config!$E$27*Config!$E$28)</f>
        <v>99</v>
      </c>
      <c r="D1903" s="114" t="str">
        <f aca="false">IF(B1903="Tema",MOD(A1903-1,Config!$E$28)+1,"")</f>
        <v/>
      </c>
      <c r="E1903" s="115" t="str">
        <f aca="false">IF($B1903="Tema",IF(ISNUMBER(INDEX(Temas!$E$6:$P$305,$C1903,2*$D1903-1)),INDEX(Temas!$E$6:$P$305,$C1903,2*$D1903-1),""),IF(ISNUMBER(INDEX(Avulsos!$B$6:$B$205,$C1903)),INDEX(Avulsos!$B$6:$B$205,$C1903),""))</f>
        <v/>
      </c>
      <c r="F1903" s="114" t="str">
        <f aca="false">IF($E1903="","",IF($B1903="Tema",INDEX(Temas!$B$6:$B$305,$C1903)&amp;"",INDEX(Avulsos!$C$6:$C$205,$C1903)&amp;""))</f>
        <v/>
      </c>
      <c r="G1903" s="114" t="str">
        <f aca="false">IF($E1903="","",IF($B1903="Tema",INDEX(Config!$C$6:$C$11,$D1903),"Evento avulso"))</f>
        <v/>
      </c>
      <c r="H1903" s="114" t="str">
        <f aca="false">IF($E1903="","",IF($B1903="Tema",INDEX(Config!$D$6:$D$11,$D1903),IFERROR(INDEX(Config!$E$15:$E$19,MATCH($I1903,Config!$C$15:$C$19,0)),"•")))</f>
        <v/>
      </c>
      <c r="I1903" s="114" t="str">
        <f aca="false">IF($E1903="","",IF($B1903="Tema",INDEX(Config!$E$6:$E$11,$D1903),IF(INDEX(Avulsos!$D$6:$D$205,$C1903)&amp;""="","Outro",INDEX(Avulsos!$D$6:$D$205,$C1903))))</f>
        <v/>
      </c>
      <c r="J1903" s="114" t="str">
        <f aca="false">IF($E1903="","",IF($B1903="Tema",INDEX(Temas!$C$6:$C$305,$C1903)&amp;"",INDEX(Avulsos!$E$6:$E$205,$C1903)&amp;""))</f>
        <v/>
      </c>
      <c r="K1903" s="114" t="str">
        <f aca="false">IF($E1903="","",IF(IF($B1903="Tema",INDEX(Temas!$E$6:$P$305,$C1903,2*$D1903),INDEX(Avulsos!$F$6:$F$205,$C1903))&amp;""="","","✓"))</f>
        <v/>
      </c>
      <c r="L1903" s="114" t="str">
        <f aca="true">IF($E1903="","",IF($K1903="✓","Concluído",IF($E1903&lt;TODAY(),"Atrasado",IF($E1903=TODAY(),"Hoje","Pendente"))))</f>
        <v/>
      </c>
      <c r="M1903" s="114" t="str">
        <f aca="false">IF($E1903="","",IF($K1903="✓","✓ ","")&amp;IF(Config!$E$22="Sim",$H1903&amp;" · ","")&amp;$F1903)</f>
        <v/>
      </c>
      <c r="N1903" s="114" t="str">
        <f aca="false">IF($E1903="","",IFERROR(INDEX(Config!$D$15:$D$19,MATCH($I1903,Config!$C$15:$C$19,0)),"OUT")&amp;IF($K1903="✓","x",""))</f>
        <v/>
      </c>
      <c r="O1903" s="114" t="str">
        <f aca="false">IF($E1903="","",COUNTIF($E$5:$E1903,$E1903))</f>
        <v/>
      </c>
      <c r="P1903" s="114" t="str">
        <f aca="false">IF($E1903="","",$E1903*100+$O1903)</f>
        <v/>
      </c>
      <c r="Q1903" s="114" t="str">
        <f aca="false">IF($L1903="Atrasado",$E1903*10000+$A1903,"")</f>
        <v/>
      </c>
    </row>
    <row r="1904" customFormat="false" ht="15" hidden="false" customHeight="false" outlineLevel="0" collapsed="false">
      <c r="A1904" s="114" t="n">
        <f aca="false">ROW()-4</f>
        <v>1900</v>
      </c>
      <c r="B1904" s="114" t="str">
        <f aca="false">IF(A1904&lt;=Config!$E$27*Config!$E$28,"Tema","Avulso")</f>
        <v>Avulso</v>
      </c>
      <c r="C1904" s="114" t="n">
        <f aca="false">IF(B1904="Tema",INT((A1904-1)/Config!$E$28)+1,A1904-Config!$E$27*Config!$E$28)</f>
        <v>100</v>
      </c>
      <c r="D1904" s="114" t="str">
        <f aca="false">IF(B1904="Tema",MOD(A1904-1,Config!$E$28)+1,"")</f>
        <v/>
      </c>
      <c r="E1904" s="115" t="str">
        <f aca="false">IF($B1904="Tema",IF(ISNUMBER(INDEX(Temas!$E$6:$P$305,$C1904,2*$D1904-1)),INDEX(Temas!$E$6:$P$305,$C1904,2*$D1904-1),""),IF(ISNUMBER(INDEX(Avulsos!$B$6:$B$205,$C1904)),INDEX(Avulsos!$B$6:$B$205,$C1904),""))</f>
        <v/>
      </c>
      <c r="F1904" s="114" t="str">
        <f aca="false">IF($E1904="","",IF($B1904="Tema",INDEX(Temas!$B$6:$B$305,$C1904)&amp;"",INDEX(Avulsos!$C$6:$C$205,$C1904)&amp;""))</f>
        <v/>
      </c>
      <c r="G1904" s="114" t="str">
        <f aca="false">IF($E1904="","",IF($B1904="Tema",INDEX(Config!$C$6:$C$11,$D1904),"Evento avulso"))</f>
        <v/>
      </c>
      <c r="H1904" s="114" t="str">
        <f aca="false">IF($E1904="","",IF($B1904="Tema",INDEX(Config!$D$6:$D$11,$D1904),IFERROR(INDEX(Config!$E$15:$E$19,MATCH($I1904,Config!$C$15:$C$19,0)),"•")))</f>
        <v/>
      </c>
      <c r="I1904" s="114" t="str">
        <f aca="false">IF($E1904="","",IF($B1904="Tema",INDEX(Config!$E$6:$E$11,$D1904),IF(INDEX(Avulsos!$D$6:$D$205,$C1904)&amp;""="","Outro",INDEX(Avulsos!$D$6:$D$205,$C1904))))</f>
        <v/>
      </c>
      <c r="J1904" s="114" t="str">
        <f aca="false">IF($E1904="","",IF($B1904="Tema",INDEX(Temas!$C$6:$C$305,$C1904)&amp;"",INDEX(Avulsos!$E$6:$E$205,$C1904)&amp;""))</f>
        <v/>
      </c>
      <c r="K1904" s="114" t="str">
        <f aca="false">IF($E1904="","",IF(IF($B1904="Tema",INDEX(Temas!$E$6:$P$305,$C1904,2*$D1904),INDEX(Avulsos!$F$6:$F$205,$C1904))&amp;""="","","✓"))</f>
        <v/>
      </c>
      <c r="L1904" s="114" t="str">
        <f aca="true">IF($E1904="","",IF($K1904="✓","Concluído",IF($E1904&lt;TODAY(),"Atrasado",IF($E1904=TODAY(),"Hoje","Pendente"))))</f>
        <v/>
      </c>
      <c r="M1904" s="114" t="str">
        <f aca="false">IF($E1904="","",IF($K1904="✓","✓ ","")&amp;IF(Config!$E$22="Sim",$H1904&amp;" · ","")&amp;$F1904)</f>
        <v/>
      </c>
      <c r="N1904" s="114" t="str">
        <f aca="false">IF($E1904="","",IFERROR(INDEX(Config!$D$15:$D$19,MATCH($I1904,Config!$C$15:$C$19,0)),"OUT")&amp;IF($K1904="✓","x",""))</f>
        <v/>
      </c>
      <c r="O1904" s="114" t="str">
        <f aca="false">IF($E1904="","",COUNTIF($E$5:$E1904,$E1904))</f>
        <v/>
      </c>
      <c r="P1904" s="114" t="str">
        <f aca="false">IF($E1904="","",$E1904*100+$O1904)</f>
        <v/>
      </c>
      <c r="Q1904" s="114" t="str">
        <f aca="false">IF($L1904="Atrasado",$E1904*10000+$A1904,"")</f>
        <v/>
      </c>
    </row>
    <row r="1905" customFormat="false" ht="15" hidden="false" customHeight="false" outlineLevel="0" collapsed="false">
      <c r="A1905" s="114" t="n">
        <f aca="false">ROW()-4</f>
        <v>1901</v>
      </c>
      <c r="B1905" s="114" t="str">
        <f aca="false">IF(A1905&lt;=Config!$E$27*Config!$E$28,"Tema","Avulso")</f>
        <v>Avulso</v>
      </c>
      <c r="C1905" s="114" t="n">
        <f aca="false">IF(B1905="Tema",INT((A1905-1)/Config!$E$28)+1,A1905-Config!$E$27*Config!$E$28)</f>
        <v>101</v>
      </c>
      <c r="D1905" s="114" t="str">
        <f aca="false">IF(B1905="Tema",MOD(A1905-1,Config!$E$28)+1,"")</f>
        <v/>
      </c>
      <c r="E1905" s="115" t="str">
        <f aca="false">IF($B1905="Tema",IF(ISNUMBER(INDEX(Temas!$E$6:$P$305,$C1905,2*$D1905-1)),INDEX(Temas!$E$6:$P$305,$C1905,2*$D1905-1),""),IF(ISNUMBER(INDEX(Avulsos!$B$6:$B$205,$C1905)),INDEX(Avulsos!$B$6:$B$205,$C1905),""))</f>
        <v/>
      </c>
      <c r="F1905" s="114" t="str">
        <f aca="false">IF($E1905="","",IF($B1905="Tema",INDEX(Temas!$B$6:$B$305,$C1905)&amp;"",INDEX(Avulsos!$C$6:$C$205,$C1905)&amp;""))</f>
        <v/>
      </c>
      <c r="G1905" s="114" t="str">
        <f aca="false">IF($E1905="","",IF($B1905="Tema",INDEX(Config!$C$6:$C$11,$D1905),"Evento avulso"))</f>
        <v/>
      </c>
      <c r="H1905" s="114" t="str">
        <f aca="false">IF($E1905="","",IF($B1905="Tema",INDEX(Config!$D$6:$D$11,$D1905),IFERROR(INDEX(Config!$E$15:$E$19,MATCH($I1905,Config!$C$15:$C$19,0)),"•")))</f>
        <v/>
      </c>
      <c r="I1905" s="114" t="str">
        <f aca="false">IF($E1905="","",IF($B1905="Tema",INDEX(Config!$E$6:$E$11,$D1905),IF(INDEX(Avulsos!$D$6:$D$205,$C1905)&amp;""="","Outro",INDEX(Avulsos!$D$6:$D$205,$C1905))))</f>
        <v/>
      </c>
      <c r="J1905" s="114" t="str">
        <f aca="false">IF($E1905="","",IF($B1905="Tema",INDEX(Temas!$C$6:$C$305,$C1905)&amp;"",INDEX(Avulsos!$E$6:$E$205,$C1905)&amp;""))</f>
        <v/>
      </c>
      <c r="K1905" s="114" t="str">
        <f aca="false">IF($E1905="","",IF(IF($B1905="Tema",INDEX(Temas!$E$6:$P$305,$C1905,2*$D1905),INDEX(Avulsos!$F$6:$F$205,$C1905))&amp;""="","","✓"))</f>
        <v/>
      </c>
      <c r="L1905" s="114" t="str">
        <f aca="true">IF($E1905="","",IF($K1905="✓","Concluído",IF($E1905&lt;TODAY(),"Atrasado",IF($E1905=TODAY(),"Hoje","Pendente"))))</f>
        <v/>
      </c>
      <c r="M1905" s="114" t="str">
        <f aca="false">IF($E1905="","",IF($K1905="✓","✓ ","")&amp;IF(Config!$E$22="Sim",$H1905&amp;" · ","")&amp;$F1905)</f>
        <v/>
      </c>
      <c r="N1905" s="114" t="str">
        <f aca="false">IF($E1905="","",IFERROR(INDEX(Config!$D$15:$D$19,MATCH($I1905,Config!$C$15:$C$19,0)),"OUT")&amp;IF($K1905="✓","x",""))</f>
        <v/>
      </c>
      <c r="O1905" s="114" t="str">
        <f aca="false">IF($E1905="","",COUNTIF($E$5:$E1905,$E1905))</f>
        <v/>
      </c>
      <c r="P1905" s="114" t="str">
        <f aca="false">IF($E1905="","",$E1905*100+$O1905)</f>
        <v/>
      </c>
      <c r="Q1905" s="114" t="str">
        <f aca="false">IF($L1905="Atrasado",$E1905*10000+$A1905,"")</f>
        <v/>
      </c>
    </row>
    <row r="1906" customFormat="false" ht="15" hidden="false" customHeight="false" outlineLevel="0" collapsed="false">
      <c r="A1906" s="114" t="n">
        <f aca="false">ROW()-4</f>
        <v>1902</v>
      </c>
      <c r="B1906" s="114" t="str">
        <f aca="false">IF(A1906&lt;=Config!$E$27*Config!$E$28,"Tema","Avulso")</f>
        <v>Avulso</v>
      </c>
      <c r="C1906" s="114" t="n">
        <f aca="false">IF(B1906="Tema",INT((A1906-1)/Config!$E$28)+1,A1906-Config!$E$27*Config!$E$28)</f>
        <v>102</v>
      </c>
      <c r="D1906" s="114" t="str">
        <f aca="false">IF(B1906="Tema",MOD(A1906-1,Config!$E$28)+1,"")</f>
        <v/>
      </c>
      <c r="E1906" s="115" t="str">
        <f aca="false">IF($B1906="Tema",IF(ISNUMBER(INDEX(Temas!$E$6:$P$305,$C1906,2*$D1906-1)),INDEX(Temas!$E$6:$P$305,$C1906,2*$D1906-1),""),IF(ISNUMBER(INDEX(Avulsos!$B$6:$B$205,$C1906)),INDEX(Avulsos!$B$6:$B$205,$C1906),""))</f>
        <v/>
      </c>
      <c r="F1906" s="114" t="str">
        <f aca="false">IF($E1906="","",IF($B1906="Tema",INDEX(Temas!$B$6:$B$305,$C1906)&amp;"",INDEX(Avulsos!$C$6:$C$205,$C1906)&amp;""))</f>
        <v/>
      </c>
      <c r="G1906" s="114" t="str">
        <f aca="false">IF($E1906="","",IF($B1906="Tema",INDEX(Config!$C$6:$C$11,$D1906),"Evento avulso"))</f>
        <v/>
      </c>
      <c r="H1906" s="114" t="str">
        <f aca="false">IF($E1906="","",IF($B1906="Tema",INDEX(Config!$D$6:$D$11,$D1906),IFERROR(INDEX(Config!$E$15:$E$19,MATCH($I1906,Config!$C$15:$C$19,0)),"•")))</f>
        <v/>
      </c>
      <c r="I1906" s="114" t="str">
        <f aca="false">IF($E1906="","",IF($B1906="Tema",INDEX(Config!$E$6:$E$11,$D1906),IF(INDEX(Avulsos!$D$6:$D$205,$C1906)&amp;""="","Outro",INDEX(Avulsos!$D$6:$D$205,$C1906))))</f>
        <v/>
      </c>
      <c r="J1906" s="114" t="str">
        <f aca="false">IF($E1906="","",IF($B1906="Tema",INDEX(Temas!$C$6:$C$305,$C1906)&amp;"",INDEX(Avulsos!$E$6:$E$205,$C1906)&amp;""))</f>
        <v/>
      </c>
      <c r="K1906" s="114" t="str">
        <f aca="false">IF($E1906="","",IF(IF($B1906="Tema",INDEX(Temas!$E$6:$P$305,$C1906,2*$D1906),INDEX(Avulsos!$F$6:$F$205,$C1906))&amp;""="","","✓"))</f>
        <v/>
      </c>
      <c r="L1906" s="114" t="str">
        <f aca="true">IF($E1906="","",IF($K1906="✓","Concluído",IF($E1906&lt;TODAY(),"Atrasado",IF($E1906=TODAY(),"Hoje","Pendente"))))</f>
        <v/>
      </c>
      <c r="M1906" s="114" t="str">
        <f aca="false">IF($E1906="","",IF($K1906="✓","✓ ","")&amp;IF(Config!$E$22="Sim",$H1906&amp;" · ","")&amp;$F1906)</f>
        <v/>
      </c>
      <c r="N1906" s="114" t="str">
        <f aca="false">IF($E1906="","",IFERROR(INDEX(Config!$D$15:$D$19,MATCH($I1906,Config!$C$15:$C$19,0)),"OUT")&amp;IF($K1906="✓","x",""))</f>
        <v/>
      </c>
      <c r="O1906" s="114" t="str">
        <f aca="false">IF($E1906="","",COUNTIF($E$5:$E1906,$E1906))</f>
        <v/>
      </c>
      <c r="P1906" s="114" t="str">
        <f aca="false">IF($E1906="","",$E1906*100+$O1906)</f>
        <v/>
      </c>
      <c r="Q1906" s="114" t="str">
        <f aca="false">IF($L1906="Atrasado",$E1906*10000+$A1906,"")</f>
        <v/>
      </c>
    </row>
    <row r="1907" customFormat="false" ht="15" hidden="false" customHeight="false" outlineLevel="0" collapsed="false">
      <c r="A1907" s="114" t="n">
        <f aca="false">ROW()-4</f>
        <v>1903</v>
      </c>
      <c r="B1907" s="114" t="str">
        <f aca="false">IF(A1907&lt;=Config!$E$27*Config!$E$28,"Tema","Avulso")</f>
        <v>Avulso</v>
      </c>
      <c r="C1907" s="114" t="n">
        <f aca="false">IF(B1907="Tema",INT((A1907-1)/Config!$E$28)+1,A1907-Config!$E$27*Config!$E$28)</f>
        <v>103</v>
      </c>
      <c r="D1907" s="114" t="str">
        <f aca="false">IF(B1907="Tema",MOD(A1907-1,Config!$E$28)+1,"")</f>
        <v/>
      </c>
      <c r="E1907" s="115" t="str">
        <f aca="false">IF($B1907="Tema",IF(ISNUMBER(INDEX(Temas!$E$6:$P$305,$C1907,2*$D1907-1)),INDEX(Temas!$E$6:$P$305,$C1907,2*$D1907-1),""),IF(ISNUMBER(INDEX(Avulsos!$B$6:$B$205,$C1907)),INDEX(Avulsos!$B$6:$B$205,$C1907),""))</f>
        <v/>
      </c>
      <c r="F1907" s="114" t="str">
        <f aca="false">IF($E1907="","",IF($B1907="Tema",INDEX(Temas!$B$6:$B$305,$C1907)&amp;"",INDEX(Avulsos!$C$6:$C$205,$C1907)&amp;""))</f>
        <v/>
      </c>
      <c r="G1907" s="114" t="str">
        <f aca="false">IF($E1907="","",IF($B1907="Tema",INDEX(Config!$C$6:$C$11,$D1907),"Evento avulso"))</f>
        <v/>
      </c>
      <c r="H1907" s="114" t="str">
        <f aca="false">IF($E1907="","",IF($B1907="Tema",INDEX(Config!$D$6:$D$11,$D1907),IFERROR(INDEX(Config!$E$15:$E$19,MATCH($I1907,Config!$C$15:$C$19,0)),"•")))</f>
        <v/>
      </c>
      <c r="I1907" s="114" t="str">
        <f aca="false">IF($E1907="","",IF($B1907="Tema",INDEX(Config!$E$6:$E$11,$D1907),IF(INDEX(Avulsos!$D$6:$D$205,$C1907)&amp;""="","Outro",INDEX(Avulsos!$D$6:$D$205,$C1907))))</f>
        <v/>
      </c>
      <c r="J1907" s="114" t="str">
        <f aca="false">IF($E1907="","",IF($B1907="Tema",INDEX(Temas!$C$6:$C$305,$C1907)&amp;"",INDEX(Avulsos!$E$6:$E$205,$C1907)&amp;""))</f>
        <v/>
      </c>
      <c r="K1907" s="114" t="str">
        <f aca="false">IF($E1907="","",IF(IF($B1907="Tema",INDEX(Temas!$E$6:$P$305,$C1907,2*$D1907),INDEX(Avulsos!$F$6:$F$205,$C1907))&amp;""="","","✓"))</f>
        <v/>
      </c>
      <c r="L1907" s="114" t="str">
        <f aca="true">IF($E1907="","",IF($K1907="✓","Concluído",IF($E1907&lt;TODAY(),"Atrasado",IF($E1907=TODAY(),"Hoje","Pendente"))))</f>
        <v/>
      </c>
      <c r="M1907" s="114" t="str">
        <f aca="false">IF($E1907="","",IF($K1907="✓","✓ ","")&amp;IF(Config!$E$22="Sim",$H1907&amp;" · ","")&amp;$F1907)</f>
        <v/>
      </c>
      <c r="N1907" s="114" t="str">
        <f aca="false">IF($E1907="","",IFERROR(INDEX(Config!$D$15:$D$19,MATCH($I1907,Config!$C$15:$C$19,0)),"OUT")&amp;IF($K1907="✓","x",""))</f>
        <v/>
      </c>
      <c r="O1907" s="114" t="str">
        <f aca="false">IF($E1907="","",COUNTIF($E$5:$E1907,$E1907))</f>
        <v/>
      </c>
      <c r="P1907" s="114" t="str">
        <f aca="false">IF($E1907="","",$E1907*100+$O1907)</f>
        <v/>
      </c>
      <c r="Q1907" s="114" t="str">
        <f aca="false">IF($L1907="Atrasado",$E1907*10000+$A1907,"")</f>
        <v/>
      </c>
    </row>
    <row r="1908" customFormat="false" ht="15" hidden="false" customHeight="false" outlineLevel="0" collapsed="false">
      <c r="A1908" s="114" t="n">
        <f aca="false">ROW()-4</f>
        <v>1904</v>
      </c>
      <c r="B1908" s="114" t="str">
        <f aca="false">IF(A1908&lt;=Config!$E$27*Config!$E$28,"Tema","Avulso")</f>
        <v>Avulso</v>
      </c>
      <c r="C1908" s="114" t="n">
        <f aca="false">IF(B1908="Tema",INT((A1908-1)/Config!$E$28)+1,A1908-Config!$E$27*Config!$E$28)</f>
        <v>104</v>
      </c>
      <c r="D1908" s="114" t="str">
        <f aca="false">IF(B1908="Tema",MOD(A1908-1,Config!$E$28)+1,"")</f>
        <v/>
      </c>
      <c r="E1908" s="115" t="str">
        <f aca="false">IF($B1908="Tema",IF(ISNUMBER(INDEX(Temas!$E$6:$P$305,$C1908,2*$D1908-1)),INDEX(Temas!$E$6:$P$305,$C1908,2*$D1908-1),""),IF(ISNUMBER(INDEX(Avulsos!$B$6:$B$205,$C1908)),INDEX(Avulsos!$B$6:$B$205,$C1908),""))</f>
        <v/>
      </c>
      <c r="F1908" s="114" t="str">
        <f aca="false">IF($E1908="","",IF($B1908="Tema",INDEX(Temas!$B$6:$B$305,$C1908)&amp;"",INDEX(Avulsos!$C$6:$C$205,$C1908)&amp;""))</f>
        <v/>
      </c>
      <c r="G1908" s="114" t="str">
        <f aca="false">IF($E1908="","",IF($B1908="Tema",INDEX(Config!$C$6:$C$11,$D1908),"Evento avulso"))</f>
        <v/>
      </c>
      <c r="H1908" s="114" t="str">
        <f aca="false">IF($E1908="","",IF($B1908="Tema",INDEX(Config!$D$6:$D$11,$D1908),IFERROR(INDEX(Config!$E$15:$E$19,MATCH($I1908,Config!$C$15:$C$19,0)),"•")))</f>
        <v/>
      </c>
      <c r="I1908" s="114" t="str">
        <f aca="false">IF($E1908="","",IF($B1908="Tema",INDEX(Config!$E$6:$E$11,$D1908),IF(INDEX(Avulsos!$D$6:$D$205,$C1908)&amp;""="","Outro",INDEX(Avulsos!$D$6:$D$205,$C1908))))</f>
        <v/>
      </c>
      <c r="J1908" s="114" t="str">
        <f aca="false">IF($E1908="","",IF($B1908="Tema",INDEX(Temas!$C$6:$C$305,$C1908)&amp;"",INDEX(Avulsos!$E$6:$E$205,$C1908)&amp;""))</f>
        <v/>
      </c>
      <c r="K1908" s="114" t="str">
        <f aca="false">IF($E1908="","",IF(IF($B1908="Tema",INDEX(Temas!$E$6:$P$305,$C1908,2*$D1908),INDEX(Avulsos!$F$6:$F$205,$C1908))&amp;""="","","✓"))</f>
        <v/>
      </c>
      <c r="L1908" s="114" t="str">
        <f aca="true">IF($E1908="","",IF($K1908="✓","Concluído",IF($E1908&lt;TODAY(),"Atrasado",IF($E1908=TODAY(),"Hoje","Pendente"))))</f>
        <v/>
      </c>
      <c r="M1908" s="114" t="str">
        <f aca="false">IF($E1908="","",IF($K1908="✓","✓ ","")&amp;IF(Config!$E$22="Sim",$H1908&amp;" · ","")&amp;$F1908)</f>
        <v/>
      </c>
      <c r="N1908" s="114" t="str">
        <f aca="false">IF($E1908="","",IFERROR(INDEX(Config!$D$15:$D$19,MATCH($I1908,Config!$C$15:$C$19,0)),"OUT")&amp;IF($K1908="✓","x",""))</f>
        <v/>
      </c>
      <c r="O1908" s="114" t="str">
        <f aca="false">IF($E1908="","",COUNTIF($E$5:$E1908,$E1908))</f>
        <v/>
      </c>
      <c r="P1908" s="114" t="str">
        <f aca="false">IF($E1908="","",$E1908*100+$O1908)</f>
        <v/>
      </c>
      <c r="Q1908" s="114" t="str">
        <f aca="false">IF($L1908="Atrasado",$E1908*10000+$A1908,"")</f>
        <v/>
      </c>
    </row>
    <row r="1909" customFormat="false" ht="15" hidden="false" customHeight="false" outlineLevel="0" collapsed="false">
      <c r="A1909" s="114" t="n">
        <f aca="false">ROW()-4</f>
        <v>1905</v>
      </c>
      <c r="B1909" s="114" t="str">
        <f aca="false">IF(A1909&lt;=Config!$E$27*Config!$E$28,"Tema","Avulso")</f>
        <v>Avulso</v>
      </c>
      <c r="C1909" s="114" t="n">
        <f aca="false">IF(B1909="Tema",INT((A1909-1)/Config!$E$28)+1,A1909-Config!$E$27*Config!$E$28)</f>
        <v>105</v>
      </c>
      <c r="D1909" s="114" t="str">
        <f aca="false">IF(B1909="Tema",MOD(A1909-1,Config!$E$28)+1,"")</f>
        <v/>
      </c>
      <c r="E1909" s="115" t="str">
        <f aca="false">IF($B1909="Tema",IF(ISNUMBER(INDEX(Temas!$E$6:$P$305,$C1909,2*$D1909-1)),INDEX(Temas!$E$6:$P$305,$C1909,2*$D1909-1),""),IF(ISNUMBER(INDEX(Avulsos!$B$6:$B$205,$C1909)),INDEX(Avulsos!$B$6:$B$205,$C1909),""))</f>
        <v/>
      </c>
      <c r="F1909" s="114" t="str">
        <f aca="false">IF($E1909="","",IF($B1909="Tema",INDEX(Temas!$B$6:$B$305,$C1909)&amp;"",INDEX(Avulsos!$C$6:$C$205,$C1909)&amp;""))</f>
        <v/>
      </c>
      <c r="G1909" s="114" t="str">
        <f aca="false">IF($E1909="","",IF($B1909="Tema",INDEX(Config!$C$6:$C$11,$D1909),"Evento avulso"))</f>
        <v/>
      </c>
      <c r="H1909" s="114" t="str">
        <f aca="false">IF($E1909="","",IF($B1909="Tema",INDEX(Config!$D$6:$D$11,$D1909),IFERROR(INDEX(Config!$E$15:$E$19,MATCH($I1909,Config!$C$15:$C$19,0)),"•")))</f>
        <v/>
      </c>
      <c r="I1909" s="114" t="str">
        <f aca="false">IF($E1909="","",IF($B1909="Tema",INDEX(Config!$E$6:$E$11,$D1909),IF(INDEX(Avulsos!$D$6:$D$205,$C1909)&amp;""="","Outro",INDEX(Avulsos!$D$6:$D$205,$C1909))))</f>
        <v/>
      </c>
      <c r="J1909" s="114" t="str">
        <f aca="false">IF($E1909="","",IF($B1909="Tema",INDEX(Temas!$C$6:$C$305,$C1909)&amp;"",INDEX(Avulsos!$E$6:$E$205,$C1909)&amp;""))</f>
        <v/>
      </c>
      <c r="K1909" s="114" t="str">
        <f aca="false">IF($E1909="","",IF(IF($B1909="Tema",INDEX(Temas!$E$6:$P$305,$C1909,2*$D1909),INDEX(Avulsos!$F$6:$F$205,$C1909))&amp;""="","","✓"))</f>
        <v/>
      </c>
      <c r="L1909" s="114" t="str">
        <f aca="true">IF($E1909="","",IF($K1909="✓","Concluído",IF($E1909&lt;TODAY(),"Atrasado",IF($E1909=TODAY(),"Hoje","Pendente"))))</f>
        <v/>
      </c>
      <c r="M1909" s="114" t="str">
        <f aca="false">IF($E1909="","",IF($K1909="✓","✓ ","")&amp;IF(Config!$E$22="Sim",$H1909&amp;" · ","")&amp;$F1909)</f>
        <v/>
      </c>
      <c r="N1909" s="114" t="str">
        <f aca="false">IF($E1909="","",IFERROR(INDEX(Config!$D$15:$D$19,MATCH($I1909,Config!$C$15:$C$19,0)),"OUT")&amp;IF($K1909="✓","x",""))</f>
        <v/>
      </c>
      <c r="O1909" s="114" t="str">
        <f aca="false">IF($E1909="","",COUNTIF($E$5:$E1909,$E1909))</f>
        <v/>
      </c>
      <c r="P1909" s="114" t="str">
        <f aca="false">IF($E1909="","",$E1909*100+$O1909)</f>
        <v/>
      </c>
      <c r="Q1909" s="114" t="str">
        <f aca="false">IF($L1909="Atrasado",$E1909*10000+$A1909,"")</f>
        <v/>
      </c>
    </row>
    <row r="1910" customFormat="false" ht="15" hidden="false" customHeight="false" outlineLevel="0" collapsed="false">
      <c r="A1910" s="114" t="n">
        <f aca="false">ROW()-4</f>
        <v>1906</v>
      </c>
      <c r="B1910" s="114" t="str">
        <f aca="false">IF(A1910&lt;=Config!$E$27*Config!$E$28,"Tema","Avulso")</f>
        <v>Avulso</v>
      </c>
      <c r="C1910" s="114" t="n">
        <f aca="false">IF(B1910="Tema",INT((A1910-1)/Config!$E$28)+1,A1910-Config!$E$27*Config!$E$28)</f>
        <v>106</v>
      </c>
      <c r="D1910" s="114" t="str">
        <f aca="false">IF(B1910="Tema",MOD(A1910-1,Config!$E$28)+1,"")</f>
        <v/>
      </c>
      <c r="E1910" s="115" t="str">
        <f aca="false">IF($B1910="Tema",IF(ISNUMBER(INDEX(Temas!$E$6:$P$305,$C1910,2*$D1910-1)),INDEX(Temas!$E$6:$P$305,$C1910,2*$D1910-1),""),IF(ISNUMBER(INDEX(Avulsos!$B$6:$B$205,$C1910)),INDEX(Avulsos!$B$6:$B$205,$C1910),""))</f>
        <v/>
      </c>
      <c r="F1910" s="114" t="str">
        <f aca="false">IF($E1910="","",IF($B1910="Tema",INDEX(Temas!$B$6:$B$305,$C1910)&amp;"",INDEX(Avulsos!$C$6:$C$205,$C1910)&amp;""))</f>
        <v/>
      </c>
      <c r="G1910" s="114" t="str">
        <f aca="false">IF($E1910="","",IF($B1910="Tema",INDEX(Config!$C$6:$C$11,$D1910),"Evento avulso"))</f>
        <v/>
      </c>
      <c r="H1910" s="114" t="str">
        <f aca="false">IF($E1910="","",IF($B1910="Tema",INDEX(Config!$D$6:$D$11,$D1910),IFERROR(INDEX(Config!$E$15:$E$19,MATCH($I1910,Config!$C$15:$C$19,0)),"•")))</f>
        <v/>
      </c>
      <c r="I1910" s="114" t="str">
        <f aca="false">IF($E1910="","",IF($B1910="Tema",INDEX(Config!$E$6:$E$11,$D1910),IF(INDEX(Avulsos!$D$6:$D$205,$C1910)&amp;""="","Outro",INDEX(Avulsos!$D$6:$D$205,$C1910))))</f>
        <v/>
      </c>
      <c r="J1910" s="114" t="str">
        <f aca="false">IF($E1910="","",IF($B1910="Tema",INDEX(Temas!$C$6:$C$305,$C1910)&amp;"",INDEX(Avulsos!$E$6:$E$205,$C1910)&amp;""))</f>
        <v/>
      </c>
      <c r="K1910" s="114" t="str">
        <f aca="false">IF($E1910="","",IF(IF($B1910="Tema",INDEX(Temas!$E$6:$P$305,$C1910,2*$D1910),INDEX(Avulsos!$F$6:$F$205,$C1910))&amp;""="","","✓"))</f>
        <v/>
      </c>
      <c r="L1910" s="114" t="str">
        <f aca="true">IF($E1910="","",IF($K1910="✓","Concluído",IF($E1910&lt;TODAY(),"Atrasado",IF($E1910=TODAY(),"Hoje","Pendente"))))</f>
        <v/>
      </c>
      <c r="M1910" s="114" t="str">
        <f aca="false">IF($E1910="","",IF($K1910="✓","✓ ","")&amp;IF(Config!$E$22="Sim",$H1910&amp;" · ","")&amp;$F1910)</f>
        <v/>
      </c>
      <c r="N1910" s="114" t="str">
        <f aca="false">IF($E1910="","",IFERROR(INDEX(Config!$D$15:$D$19,MATCH($I1910,Config!$C$15:$C$19,0)),"OUT")&amp;IF($K1910="✓","x",""))</f>
        <v/>
      </c>
      <c r="O1910" s="114" t="str">
        <f aca="false">IF($E1910="","",COUNTIF($E$5:$E1910,$E1910))</f>
        <v/>
      </c>
      <c r="P1910" s="114" t="str">
        <f aca="false">IF($E1910="","",$E1910*100+$O1910)</f>
        <v/>
      </c>
      <c r="Q1910" s="114" t="str">
        <f aca="false">IF($L1910="Atrasado",$E1910*10000+$A1910,"")</f>
        <v/>
      </c>
    </row>
    <row r="1911" customFormat="false" ht="15" hidden="false" customHeight="false" outlineLevel="0" collapsed="false">
      <c r="A1911" s="114" t="n">
        <f aca="false">ROW()-4</f>
        <v>1907</v>
      </c>
      <c r="B1911" s="114" t="str">
        <f aca="false">IF(A1911&lt;=Config!$E$27*Config!$E$28,"Tema","Avulso")</f>
        <v>Avulso</v>
      </c>
      <c r="C1911" s="114" t="n">
        <f aca="false">IF(B1911="Tema",INT((A1911-1)/Config!$E$28)+1,A1911-Config!$E$27*Config!$E$28)</f>
        <v>107</v>
      </c>
      <c r="D1911" s="114" t="str">
        <f aca="false">IF(B1911="Tema",MOD(A1911-1,Config!$E$28)+1,"")</f>
        <v/>
      </c>
      <c r="E1911" s="115" t="str">
        <f aca="false">IF($B1911="Tema",IF(ISNUMBER(INDEX(Temas!$E$6:$P$305,$C1911,2*$D1911-1)),INDEX(Temas!$E$6:$P$305,$C1911,2*$D1911-1),""),IF(ISNUMBER(INDEX(Avulsos!$B$6:$B$205,$C1911)),INDEX(Avulsos!$B$6:$B$205,$C1911),""))</f>
        <v/>
      </c>
      <c r="F1911" s="114" t="str">
        <f aca="false">IF($E1911="","",IF($B1911="Tema",INDEX(Temas!$B$6:$B$305,$C1911)&amp;"",INDEX(Avulsos!$C$6:$C$205,$C1911)&amp;""))</f>
        <v/>
      </c>
      <c r="G1911" s="114" t="str">
        <f aca="false">IF($E1911="","",IF($B1911="Tema",INDEX(Config!$C$6:$C$11,$D1911),"Evento avulso"))</f>
        <v/>
      </c>
      <c r="H1911" s="114" t="str">
        <f aca="false">IF($E1911="","",IF($B1911="Tema",INDEX(Config!$D$6:$D$11,$D1911),IFERROR(INDEX(Config!$E$15:$E$19,MATCH($I1911,Config!$C$15:$C$19,0)),"•")))</f>
        <v/>
      </c>
      <c r="I1911" s="114" t="str">
        <f aca="false">IF($E1911="","",IF($B1911="Tema",INDEX(Config!$E$6:$E$11,$D1911),IF(INDEX(Avulsos!$D$6:$D$205,$C1911)&amp;""="","Outro",INDEX(Avulsos!$D$6:$D$205,$C1911))))</f>
        <v/>
      </c>
      <c r="J1911" s="114" t="str">
        <f aca="false">IF($E1911="","",IF($B1911="Tema",INDEX(Temas!$C$6:$C$305,$C1911)&amp;"",INDEX(Avulsos!$E$6:$E$205,$C1911)&amp;""))</f>
        <v/>
      </c>
      <c r="K1911" s="114" t="str">
        <f aca="false">IF($E1911="","",IF(IF($B1911="Tema",INDEX(Temas!$E$6:$P$305,$C1911,2*$D1911),INDEX(Avulsos!$F$6:$F$205,$C1911))&amp;""="","","✓"))</f>
        <v/>
      </c>
      <c r="L1911" s="114" t="str">
        <f aca="true">IF($E1911="","",IF($K1911="✓","Concluído",IF($E1911&lt;TODAY(),"Atrasado",IF($E1911=TODAY(),"Hoje","Pendente"))))</f>
        <v/>
      </c>
      <c r="M1911" s="114" t="str">
        <f aca="false">IF($E1911="","",IF($K1911="✓","✓ ","")&amp;IF(Config!$E$22="Sim",$H1911&amp;" · ","")&amp;$F1911)</f>
        <v/>
      </c>
      <c r="N1911" s="114" t="str">
        <f aca="false">IF($E1911="","",IFERROR(INDEX(Config!$D$15:$D$19,MATCH($I1911,Config!$C$15:$C$19,0)),"OUT")&amp;IF($K1911="✓","x",""))</f>
        <v/>
      </c>
      <c r="O1911" s="114" t="str">
        <f aca="false">IF($E1911="","",COUNTIF($E$5:$E1911,$E1911))</f>
        <v/>
      </c>
      <c r="P1911" s="114" t="str">
        <f aca="false">IF($E1911="","",$E1911*100+$O1911)</f>
        <v/>
      </c>
      <c r="Q1911" s="114" t="str">
        <f aca="false">IF($L1911="Atrasado",$E1911*10000+$A1911,"")</f>
        <v/>
      </c>
    </row>
    <row r="1912" customFormat="false" ht="15" hidden="false" customHeight="false" outlineLevel="0" collapsed="false">
      <c r="A1912" s="114" t="n">
        <f aca="false">ROW()-4</f>
        <v>1908</v>
      </c>
      <c r="B1912" s="114" t="str">
        <f aca="false">IF(A1912&lt;=Config!$E$27*Config!$E$28,"Tema","Avulso")</f>
        <v>Avulso</v>
      </c>
      <c r="C1912" s="114" t="n">
        <f aca="false">IF(B1912="Tema",INT((A1912-1)/Config!$E$28)+1,A1912-Config!$E$27*Config!$E$28)</f>
        <v>108</v>
      </c>
      <c r="D1912" s="114" t="str">
        <f aca="false">IF(B1912="Tema",MOD(A1912-1,Config!$E$28)+1,"")</f>
        <v/>
      </c>
      <c r="E1912" s="115" t="str">
        <f aca="false">IF($B1912="Tema",IF(ISNUMBER(INDEX(Temas!$E$6:$P$305,$C1912,2*$D1912-1)),INDEX(Temas!$E$6:$P$305,$C1912,2*$D1912-1),""),IF(ISNUMBER(INDEX(Avulsos!$B$6:$B$205,$C1912)),INDEX(Avulsos!$B$6:$B$205,$C1912),""))</f>
        <v/>
      </c>
      <c r="F1912" s="114" t="str">
        <f aca="false">IF($E1912="","",IF($B1912="Tema",INDEX(Temas!$B$6:$B$305,$C1912)&amp;"",INDEX(Avulsos!$C$6:$C$205,$C1912)&amp;""))</f>
        <v/>
      </c>
      <c r="G1912" s="114" t="str">
        <f aca="false">IF($E1912="","",IF($B1912="Tema",INDEX(Config!$C$6:$C$11,$D1912),"Evento avulso"))</f>
        <v/>
      </c>
      <c r="H1912" s="114" t="str">
        <f aca="false">IF($E1912="","",IF($B1912="Tema",INDEX(Config!$D$6:$D$11,$D1912),IFERROR(INDEX(Config!$E$15:$E$19,MATCH($I1912,Config!$C$15:$C$19,0)),"•")))</f>
        <v/>
      </c>
      <c r="I1912" s="114" t="str">
        <f aca="false">IF($E1912="","",IF($B1912="Tema",INDEX(Config!$E$6:$E$11,$D1912),IF(INDEX(Avulsos!$D$6:$D$205,$C1912)&amp;""="","Outro",INDEX(Avulsos!$D$6:$D$205,$C1912))))</f>
        <v/>
      </c>
      <c r="J1912" s="114" t="str">
        <f aca="false">IF($E1912="","",IF($B1912="Tema",INDEX(Temas!$C$6:$C$305,$C1912)&amp;"",INDEX(Avulsos!$E$6:$E$205,$C1912)&amp;""))</f>
        <v/>
      </c>
      <c r="K1912" s="114" t="str">
        <f aca="false">IF($E1912="","",IF(IF($B1912="Tema",INDEX(Temas!$E$6:$P$305,$C1912,2*$D1912),INDEX(Avulsos!$F$6:$F$205,$C1912))&amp;""="","","✓"))</f>
        <v/>
      </c>
      <c r="L1912" s="114" t="str">
        <f aca="true">IF($E1912="","",IF($K1912="✓","Concluído",IF($E1912&lt;TODAY(),"Atrasado",IF($E1912=TODAY(),"Hoje","Pendente"))))</f>
        <v/>
      </c>
      <c r="M1912" s="114" t="str">
        <f aca="false">IF($E1912="","",IF($K1912="✓","✓ ","")&amp;IF(Config!$E$22="Sim",$H1912&amp;" · ","")&amp;$F1912)</f>
        <v/>
      </c>
      <c r="N1912" s="114" t="str">
        <f aca="false">IF($E1912="","",IFERROR(INDEX(Config!$D$15:$D$19,MATCH($I1912,Config!$C$15:$C$19,0)),"OUT")&amp;IF($K1912="✓","x",""))</f>
        <v/>
      </c>
      <c r="O1912" s="114" t="str">
        <f aca="false">IF($E1912="","",COUNTIF($E$5:$E1912,$E1912))</f>
        <v/>
      </c>
      <c r="P1912" s="114" t="str">
        <f aca="false">IF($E1912="","",$E1912*100+$O1912)</f>
        <v/>
      </c>
      <c r="Q1912" s="114" t="str">
        <f aca="false">IF($L1912="Atrasado",$E1912*10000+$A1912,"")</f>
        <v/>
      </c>
    </row>
    <row r="1913" customFormat="false" ht="15" hidden="false" customHeight="false" outlineLevel="0" collapsed="false">
      <c r="A1913" s="114" t="n">
        <f aca="false">ROW()-4</f>
        <v>1909</v>
      </c>
      <c r="B1913" s="114" t="str">
        <f aca="false">IF(A1913&lt;=Config!$E$27*Config!$E$28,"Tema","Avulso")</f>
        <v>Avulso</v>
      </c>
      <c r="C1913" s="114" t="n">
        <f aca="false">IF(B1913="Tema",INT((A1913-1)/Config!$E$28)+1,A1913-Config!$E$27*Config!$E$28)</f>
        <v>109</v>
      </c>
      <c r="D1913" s="114" t="str">
        <f aca="false">IF(B1913="Tema",MOD(A1913-1,Config!$E$28)+1,"")</f>
        <v/>
      </c>
      <c r="E1913" s="115" t="str">
        <f aca="false">IF($B1913="Tema",IF(ISNUMBER(INDEX(Temas!$E$6:$P$305,$C1913,2*$D1913-1)),INDEX(Temas!$E$6:$P$305,$C1913,2*$D1913-1),""),IF(ISNUMBER(INDEX(Avulsos!$B$6:$B$205,$C1913)),INDEX(Avulsos!$B$6:$B$205,$C1913),""))</f>
        <v/>
      </c>
      <c r="F1913" s="114" t="str">
        <f aca="false">IF($E1913="","",IF($B1913="Tema",INDEX(Temas!$B$6:$B$305,$C1913)&amp;"",INDEX(Avulsos!$C$6:$C$205,$C1913)&amp;""))</f>
        <v/>
      </c>
      <c r="G1913" s="114" t="str">
        <f aca="false">IF($E1913="","",IF($B1913="Tema",INDEX(Config!$C$6:$C$11,$D1913),"Evento avulso"))</f>
        <v/>
      </c>
      <c r="H1913" s="114" t="str">
        <f aca="false">IF($E1913="","",IF($B1913="Tema",INDEX(Config!$D$6:$D$11,$D1913),IFERROR(INDEX(Config!$E$15:$E$19,MATCH($I1913,Config!$C$15:$C$19,0)),"•")))</f>
        <v/>
      </c>
      <c r="I1913" s="114" t="str">
        <f aca="false">IF($E1913="","",IF($B1913="Tema",INDEX(Config!$E$6:$E$11,$D1913),IF(INDEX(Avulsos!$D$6:$D$205,$C1913)&amp;""="","Outro",INDEX(Avulsos!$D$6:$D$205,$C1913))))</f>
        <v/>
      </c>
      <c r="J1913" s="114" t="str">
        <f aca="false">IF($E1913="","",IF($B1913="Tema",INDEX(Temas!$C$6:$C$305,$C1913)&amp;"",INDEX(Avulsos!$E$6:$E$205,$C1913)&amp;""))</f>
        <v/>
      </c>
      <c r="K1913" s="114" t="str">
        <f aca="false">IF($E1913="","",IF(IF($B1913="Tema",INDEX(Temas!$E$6:$P$305,$C1913,2*$D1913),INDEX(Avulsos!$F$6:$F$205,$C1913))&amp;""="","","✓"))</f>
        <v/>
      </c>
      <c r="L1913" s="114" t="str">
        <f aca="true">IF($E1913="","",IF($K1913="✓","Concluído",IF($E1913&lt;TODAY(),"Atrasado",IF($E1913=TODAY(),"Hoje","Pendente"))))</f>
        <v/>
      </c>
      <c r="M1913" s="114" t="str">
        <f aca="false">IF($E1913="","",IF($K1913="✓","✓ ","")&amp;IF(Config!$E$22="Sim",$H1913&amp;" · ","")&amp;$F1913)</f>
        <v/>
      </c>
      <c r="N1913" s="114" t="str">
        <f aca="false">IF($E1913="","",IFERROR(INDEX(Config!$D$15:$D$19,MATCH($I1913,Config!$C$15:$C$19,0)),"OUT")&amp;IF($K1913="✓","x",""))</f>
        <v/>
      </c>
      <c r="O1913" s="114" t="str">
        <f aca="false">IF($E1913="","",COUNTIF($E$5:$E1913,$E1913))</f>
        <v/>
      </c>
      <c r="P1913" s="114" t="str">
        <f aca="false">IF($E1913="","",$E1913*100+$O1913)</f>
        <v/>
      </c>
      <c r="Q1913" s="114" t="str">
        <f aca="false">IF($L1913="Atrasado",$E1913*10000+$A1913,"")</f>
        <v/>
      </c>
    </row>
    <row r="1914" customFormat="false" ht="15" hidden="false" customHeight="false" outlineLevel="0" collapsed="false">
      <c r="A1914" s="114" t="n">
        <f aca="false">ROW()-4</f>
        <v>1910</v>
      </c>
      <c r="B1914" s="114" t="str">
        <f aca="false">IF(A1914&lt;=Config!$E$27*Config!$E$28,"Tema","Avulso")</f>
        <v>Avulso</v>
      </c>
      <c r="C1914" s="114" t="n">
        <f aca="false">IF(B1914="Tema",INT((A1914-1)/Config!$E$28)+1,A1914-Config!$E$27*Config!$E$28)</f>
        <v>110</v>
      </c>
      <c r="D1914" s="114" t="str">
        <f aca="false">IF(B1914="Tema",MOD(A1914-1,Config!$E$28)+1,"")</f>
        <v/>
      </c>
      <c r="E1914" s="115" t="str">
        <f aca="false">IF($B1914="Tema",IF(ISNUMBER(INDEX(Temas!$E$6:$P$305,$C1914,2*$D1914-1)),INDEX(Temas!$E$6:$P$305,$C1914,2*$D1914-1),""),IF(ISNUMBER(INDEX(Avulsos!$B$6:$B$205,$C1914)),INDEX(Avulsos!$B$6:$B$205,$C1914),""))</f>
        <v/>
      </c>
      <c r="F1914" s="114" t="str">
        <f aca="false">IF($E1914="","",IF($B1914="Tema",INDEX(Temas!$B$6:$B$305,$C1914)&amp;"",INDEX(Avulsos!$C$6:$C$205,$C1914)&amp;""))</f>
        <v/>
      </c>
      <c r="G1914" s="114" t="str">
        <f aca="false">IF($E1914="","",IF($B1914="Tema",INDEX(Config!$C$6:$C$11,$D1914),"Evento avulso"))</f>
        <v/>
      </c>
      <c r="H1914" s="114" t="str">
        <f aca="false">IF($E1914="","",IF($B1914="Tema",INDEX(Config!$D$6:$D$11,$D1914),IFERROR(INDEX(Config!$E$15:$E$19,MATCH($I1914,Config!$C$15:$C$19,0)),"•")))</f>
        <v/>
      </c>
      <c r="I1914" s="114" t="str">
        <f aca="false">IF($E1914="","",IF($B1914="Tema",INDEX(Config!$E$6:$E$11,$D1914),IF(INDEX(Avulsos!$D$6:$D$205,$C1914)&amp;""="","Outro",INDEX(Avulsos!$D$6:$D$205,$C1914))))</f>
        <v/>
      </c>
      <c r="J1914" s="114" t="str">
        <f aca="false">IF($E1914="","",IF($B1914="Tema",INDEX(Temas!$C$6:$C$305,$C1914)&amp;"",INDEX(Avulsos!$E$6:$E$205,$C1914)&amp;""))</f>
        <v/>
      </c>
      <c r="K1914" s="114" t="str">
        <f aca="false">IF($E1914="","",IF(IF($B1914="Tema",INDEX(Temas!$E$6:$P$305,$C1914,2*$D1914),INDEX(Avulsos!$F$6:$F$205,$C1914))&amp;""="","","✓"))</f>
        <v/>
      </c>
      <c r="L1914" s="114" t="str">
        <f aca="true">IF($E1914="","",IF($K1914="✓","Concluído",IF($E1914&lt;TODAY(),"Atrasado",IF($E1914=TODAY(),"Hoje","Pendente"))))</f>
        <v/>
      </c>
      <c r="M1914" s="114" t="str">
        <f aca="false">IF($E1914="","",IF($K1914="✓","✓ ","")&amp;IF(Config!$E$22="Sim",$H1914&amp;" · ","")&amp;$F1914)</f>
        <v/>
      </c>
      <c r="N1914" s="114" t="str">
        <f aca="false">IF($E1914="","",IFERROR(INDEX(Config!$D$15:$D$19,MATCH($I1914,Config!$C$15:$C$19,0)),"OUT")&amp;IF($K1914="✓","x",""))</f>
        <v/>
      </c>
      <c r="O1914" s="114" t="str">
        <f aca="false">IF($E1914="","",COUNTIF($E$5:$E1914,$E1914))</f>
        <v/>
      </c>
      <c r="P1914" s="114" t="str">
        <f aca="false">IF($E1914="","",$E1914*100+$O1914)</f>
        <v/>
      </c>
      <c r="Q1914" s="114" t="str">
        <f aca="false">IF($L1914="Atrasado",$E1914*10000+$A1914,"")</f>
        <v/>
      </c>
    </row>
    <row r="1915" customFormat="false" ht="15" hidden="false" customHeight="false" outlineLevel="0" collapsed="false">
      <c r="A1915" s="114" t="n">
        <f aca="false">ROW()-4</f>
        <v>1911</v>
      </c>
      <c r="B1915" s="114" t="str">
        <f aca="false">IF(A1915&lt;=Config!$E$27*Config!$E$28,"Tema","Avulso")</f>
        <v>Avulso</v>
      </c>
      <c r="C1915" s="114" t="n">
        <f aca="false">IF(B1915="Tema",INT((A1915-1)/Config!$E$28)+1,A1915-Config!$E$27*Config!$E$28)</f>
        <v>111</v>
      </c>
      <c r="D1915" s="114" t="str">
        <f aca="false">IF(B1915="Tema",MOD(A1915-1,Config!$E$28)+1,"")</f>
        <v/>
      </c>
      <c r="E1915" s="115" t="str">
        <f aca="false">IF($B1915="Tema",IF(ISNUMBER(INDEX(Temas!$E$6:$P$305,$C1915,2*$D1915-1)),INDEX(Temas!$E$6:$P$305,$C1915,2*$D1915-1),""),IF(ISNUMBER(INDEX(Avulsos!$B$6:$B$205,$C1915)),INDEX(Avulsos!$B$6:$B$205,$C1915),""))</f>
        <v/>
      </c>
      <c r="F1915" s="114" t="str">
        <f aca="false">IF($E1915="","",IF($B1915="Tema",INDEX(Temas!$B$6:$B$305,$C1915)&amp;"",INDEX(Avulsos!$C$6:$C$205,$C1915)&amp;""))</f>
        <v/>
      </c>
      <c r="G1915" s="114" t="str">
        <f aca="false">IF($E1915="","",IF($B1915="Tema",INDEX(Config!$C$6:$C$11,$D1915),"Evento avulso"))</f>
        <v/>
      </c>
      <c r="H1915" s="114" t="str">
        <f aca="false">IF($E1915="","",IF($B1915="Tema",INDEX(Config!$D$6:$D$11,$D1915),IFERROR(INDEX(Config!$E$15:$E$19,MATCH($I1915,Config!$C$15:$C$19,0)),"•")))</f>
        <v/>
      </c>
      <c r="I1915" s="114" t="str">
        <f aca="false">IF($E1915="","",IF($B1915="Tema",INDEX(Config!$E$6:$E$11,$D1915),IF(INDEX(Avulsos!$D$6:$D$205,$C1915)&amp;""="","Outro",INDEX(Avulsos!$D$6:$D$205,$C1915))))</f>
        <v/>
      </c>
      <c r="J1915" s="114" t="str">
        <f aca="false">IF($E1915="","",IF($B1915="Tema",INDEX(Temas!$C$6:$C$305,$C1915)&amp;"",INDEX(Avulsos!$E$6:$E$205,$C1915)&amp;""))</f>
        <v/>
      </c>
      <c r="K1915" s="114" t="str">
        <f aca="false">IF($E1915="","",IF(IF($B1915="Tema",INDEX(Temas!$E$6:$P$305,$C1915,2*$D1915),INDEX(Avulsos!$F$6:$F$205,$C1915))&amp;""="","","✓"))</f>
        <v/>
      </c>
      <c r="L1915" s="114" t="str">
        <f aca="true">IF($E1915="","",IF($K1915="✓","Concluído",IF($E1915&lt;TODAY(),"Atrasado",IF($E1915=TODAY(),"Hoje","Pendente"))))</f>
        <v/>
      </c>
      <c r="M1915" s="114" t="str">
        <f aca="false">IF($E1915="","",IF($K1915="✓","✓ ","")&amp;IF(Config!$E$22="Sim",$H1915&amp;" · ","")&amp;$F1915)</f>
        <v/>
      </c>
      <c r="N1915" s="114" t="str">
        <f aca="false">IF($E1915="","",IFERROR(INDEX(Config!$D$15:$D$19,MATCH($I1915,Config!$C$15:$C$19,0)),"OUT")&amp;IF($K1915="✓","x",""))</f>
        <v/>
      </c>
      <c r="O1915" s="114" t="str">
        <f aca="false">IF($E1915="","",COUNTIF($E$5:$E1915,$E1915))</f>
        <v/>
      </c>
      <c r="P1915" s="114" t="str">
        <f aca="false">IF($E1915="","",$E1915*100+$O1915)</f>
        <v/>
      </c>
      <c r="Q1915" s="114" t="str">
        <f aca="false">IF($L1915="Atrasado",$E1915*10000+$A1915,"")</f>
        <v/>
      </c>
    </row>
    <row r="1916" customFormat="false" ht="15" hidden="false" customHeight="false" outlineLevel="0" collapsed="false">
      <c r="A1916" s="114" t="n">
        <f aca="false">ROW()-4</f>
        <v>1912</v>
      </c>
      <c r="B1916" s="114" t="str">
        <f aca="false">IF(A1916&lt;=Config!$E$27*Config!$E$28,"Tema","Avulso")</f>
        <v>Avulso</v>
      </c>
      <c r="C1916" s="114" t="n">
        <f aca="false">IF(B1916="Tema",INT((A1916-1)/Config!$E$28)+1,A1916-Config!$E$27*Config!$E$28)</f>
        <v>112</v>
      </c>
      <c r="D1916" s="114" t="str">
        <f aca="false">IF(B1916="Tema",MOD(A1916-1,Config!$E$28)+1,"")</f>
        <v/>
      </c>
      <c r="E1916" s="115" t="str">
        <f aca="false">IF($B1916="Tema",IF(ISNUMBER(INDEX(Temas!$E$6:$P$305,$C1916,2*$D1916-1)),INDEX(Temas!$E$6:$P$305,$C1916,2*$D1916-1),""),IF(ISNUMBER(INDEX(Avulsos!$B$6:$B$205,$C1916)),INDEX(Avulsos!$B$6:$B$205,$C1916),""))</f>
        <v/>
      </c>
      <c r="F1916" s="114" t="str">
        <f aca="false">IF($E1916="","",IF($B1916="Tema",INDEX(Temas!$B$6:$B$305,$C1916)&amp;"",INDEX(Avulsos!$C$6:$C$205,$C1916)&amp;""))</f>
        <v/>
      </c>
      <c r="G1916" s="114" t="str">
        <f aca="false">IF($E1916="","",IF($B1916="Tema",INDEX(Config!$C$6:$C$11,$D1916),"Evento avulso"))</f>
        <v/>
      </c>
      <c r="H1916" s="114" t="str">
        <f aca="false">IF($E1916="","",IF($B1916="Tema",INDEX(Config!$D$6:$D$11,$D1916),IFERROR(INDEX(Config!$E$15:$E$19,MATCH($I1916,Config!$C$15:$C$19,0)),"•")))</f>
        <v/>
      </c>
      <c r="I1916" s="114" t="str">
        <f aca="false">IF($E1916="","",IF($B1916="Tema",INDEX(Config!$E$6:$E$11,$D1916),IF(INDEX(Avulsos!$D$6:$D$205,$C1916)&amp;""="","Outro",INDEX(Avulsos!$D$6:$D$205,$C1916))))</f>
        <v/>
      </c>
      <c r="J1916" s="114" t="str">
        <f aca="false">IF($E1916="","",IF($B1916="Tema",INDEX(Temas!$C$6:$C$305,$C1916)&amp;"",INDEX(Avulsos!$E$6:$E$205,$C1916)&amp;""))</f>
        <v/>
      </c>
      <c r="K1916" s="114" t="str">
        <f aca="false">IF($E1916="","",IF(IF($B1916="Tema",INDEX(Temas!$E$6:$P$305,$C1916,2*$D1916),INDEX(Avulsos!$F$6:$F$205,$C1916))&amp;""="","","✓"))</f>
        <v/>
      </c>
      <c r="L1916" s="114" t="str">
        <f aca="true">IF($E1916="","",IF($K1916="✓","Concluído",IF($E1916&lt;TODAY(),"Atrasado",IF($E1916=TODAY(),"Hoje","Pendente"))))</f>
        <v/>
      </c>
      <c r="M1916" s="114" t="str">
        <f aca="false">IF($E1916="","",IF($K1916="✓","✓ ","")&amp;IF(Config!$E$22="Sim",$H1916&amp;" · ","")&amp;$F1916)</f>
        <v/>
      </c>
      <c r="N1916" s="114" t="str">
        <f aca="false">IF($E1916="","",IFERROR(INDEX(Config!$D$15:$D$19,MATCH($I1916,Config!$C$15:$C$19,0)),"OUT")&amp;IF($K1916="✓","x",""))</f>
        <v/>
      </c>
      <c r="O1916" s="114" t="str">
        <f aca="false">IF($E1916="","",COUNTIF($E$5:$E1916,$E1916))</f>
        <v/>
      </c>
      <c r="P1916" s="114" t="str">
        <f aca="false">IF($E1916="","",$E1916*100+$O1916)</f>
        <v/>
      </c>
      <c r="Q1916" s="114" t="str">
        <f aca="false">IF($L1916="Atrasado",$E1916*10000+$A1916,"")</f>
        <v/>
      </c>
    </row>
    <row r="1917" customFormat="false" ht="15" hidden="false" customHeight="false" outlineLevel="0" collapsed="false">
      <c r="A1917" s="114" t="n">
        <f aca="false">ROW()-4</f>
        <v>1913</v>
      </c>
      <c r="B1917" s="114" t="str">
        <f aca="false">IF(A1917&lt;=Config!$E$27*Config!$E$28,"Tema","Avulso")</f>
        <v>Avulso</v>
      </c>
      <c r="C1917" s="114" t="n">
        <f aca="false">IF(B1917="Tema",INT((A1917-1)/Config!$E$28)+1,A1917-Config!$E$27*Config!$E$28)</f>
        <v>113</v>
      </c>
      <c r="D1917" s="114" t="str">
        <f aca="false">IF(B1917="Tema",MOD(A1917-1,Config!$E$28)+1,"")</f>
        <v/>
      </c>
      <c r="E1917" s="115" t="str">
        <f aca="false">IF($B1917="Tema",IF(ISNUMBER(INDEX(Temas!$E$6:$P$305,$C1917,2*$D1917-1)),INDEX(Temas!$E$6:$P$305,$C1917,2*$D1917-1),""),IF(ISNUMBER(INDEX(Avulsos!$B$6:$B$205,$C1917)),INDEX(Avulsos!$B$6:$B$205,$C1917),""))</f>
        <v/>
      </c>
      <c r="F1917" s="114" t="str">
        <f aca="false">IF($E1917="","",IF($B1917="Tema",INDEX(Temas!$B$6:$B$305,$C1917)&amp;"",INDEX(Avulsos!$C$6:$C$205,$C1917)&amp;""))</f>
        <v/>
      </c>
      <c r="G1917" s="114" t="str">
        <f aca="false">IF($E1917="","",IF($B1917="Tema",INDEX(Config!$C$6:$C$11,$D1917),"Evento avulso"))</f>
        <v/>
      </c>
      <c r="H1917" s="114" t="str">
        <f aca="false">IF($E1917="","",IF($B1917="Tema",INDEX(Config!$D$6:$D$11,$D1917),IFERROR(INDEX(Config!$E$15:$E$19,MATCH($I1917,Config!$C$15:$C$19,0)),"•")))</f>
        <v/>
      </c>
      <c r="I1917" s="114" t="str">
        <f aca="false">IF($E1917="","",IF($B1917="Tema",INDEX(Config!$E$6:$E$11,$D1917),IF(INDEX(Avulsos!$D$6:$D$205,$C1917)&amp;""="","Outro",INDEX(Avulsos!$D$6:$D$205,$C1917))))</f>
        <v/>
      </c>
      <c r="J1917" s="114" t="str">
        <f aca="false">IF($E1917="","",IF($B1917="Tema",INDEX(Temas!$C$6:$C$305,$C1917)&amp;"",INDEX(Avulsos!$E$6:$E$205,$C1917)&amp;""))</f>
        <v/>
      </c>
      <c r="K1917" s="114" t="str">
        <f aca="false">IF($E1917="","",IF(IF($B1917="Tema",INDEX(Temas!$E$6:$P$305,$C1917,2*$D1917),INDEX(Avulsos!$F$6:$F$205,$C1917))&amp;""="","","✓"))</f>
        <v/>
      </c>
      <c r="L1917" s="114" t="str">
        <f aca="true">IF($E1917="","",IF($K1917="✓","Concluído",IF($E1917&lt;TODAY(),"Atrasado",IF($E1917=TODAY(),"Hoje","Pendente"))))</f>
        <v/>
      </c>
      <c r="M1917" s="114" t="str">
        <f aca="false">IF($E1917="","",IF($K1917="✓","✓ ","")&amp;IF(Config!$E$22="Sim",$H1917&amp;" · ","")&amp;$F1917)</f>
        <v/>
      </c>
      <c r="N1917" s="114" t="str">
        <f aca="false">IF($E1917="","",IFERROR(INDEX(Config!$D$15:$D$19,MATCH($I1917,Config!$C$15:$C$19,0)),"OUT")&amp;IF($K1917="✓","x",""))</f>
        <v/>
      </c>
      <c r="O1917" s="114" t="str">
        <f aca="false">IF($E1917="","",COUNTIF($E$5:$E1917,$E1917))</f>
        <v/>
      </c>
      <c r="P1917" s="114" t="str">
        <f aca="false">IF($E1917="","",$E1917*100+$O1917)</f>
        <v/>
      </c>
      <c r="Q1917" s="114" t="str">
        <f aca="false">IF($L1917="Atrasado",$E1917*10000+$A1917,"")</f>
        <v/>
      </c>
    </row>
    <row r="1918" customFormat="false" ht="15" hidden="false" customHeight="false" outlineLevel="0" collapsed="false">
      <c r="A1918" s="114" t="n">
        <f aca="false">ROW()-4</f>
        <v>1914</v>
      </c>
      <c r="B1918" s="114" t="str">
        <f aca="false">IF(A1918&lt;=Config!$E$27*Config!$E$28,"Tema","Avulso")</f>
        <v>Avulso</v>
      </c>
      <c r="C1918" s="114" t="n">
        <f aca="false">IF(B1918="Tema",INT((A1918-1)/Config!$E$28)+1,A1918-Config!$E$27*Config!$E$28)</f>
        <v>114</v>
      </c>
      <c r="D1918" s="114" t="str">
        <f aca="false">IF(B1918="Tema",MOD(A1918-1,Config!$E$28)+1,"")</f>
        <v/>
      </c>
      <c r="E1918" s="115" t="str">
        <f aca="false">IF($B1918="Tema",IF(ISNUMBER(INDEX(Temas!$E$6:$P$305,$C1918,2*$D1918-1)),INDEX(Temas!$E$6:$P$305,$C1918,2*$D1918-1),""),IF(ISNUMBER(INDEX(Avulsos!$B$6:$B$205,$C1918)),INDEX(Avulsos!$B$6:$B$205,$C1918),""))</f>
        <v/>
      </c>
      <c r="F1918" s="114" t="str">
        <f aca="false">IF($E1918="","",IF($B1918="Tema",INDEX(Temas!$B$6:$B$305,$C1918)&amp;"",INDEX(Avulsos!$C$6:$C$205,$C1918)&amp;""))</f>
        <v/>
      </c>
      <c r="G1918" s="114" t="str">
        <f aca="false">IF($E1918="","",IF($B1918="Tema",INDEX(Config!$C$6:$C$11,$D1918),"Evento avulso"))</f>
        <v/>
      </c>
      <c r="H1918" s="114" t="str">
        <f aca="false">IF($E1918="","",IF($B1918="Tema",INDEX(Config!$D$6:$D$11,$D1918),IFERROR(INDEX(Config!$E$15:$E$19,MATCH($I1918,Config!$C$15:$C$19,0)),"•")))</f>
        <v/>
      </c>
      <c r="I1918" s="114" t="str">
        <f aca="false">IF($E1918="","",IF($B1918="Tema",INDEX(Config!$E$6:$E$11,$D1918),IF(INDEX(Avulsos!$D$6:$D$205,$C1918)&amp;""="","Outro",INDEX(Avulsos!$D$6:$D$205,$C1918))))</f>
        <v/>
      </c>
      <c r="J1918" s="114" t="str">
        <f aca="false">IF($E1918="","",IF($B1918="Tema",INDEX(Temas!$C$6:$C$305,$C1918)&amp;"",INDEX(Avulsos!$E$6:$E$205,$C1918)&amp;""))</f>
        <v/>
      </c>
      <c r="K1918" s="114" t="str">
        <f aca="false">IF($E1918="","",IF(IF($B1918="Tema",INDEX(Temas!$E$6:$P$305,$C1918,2*$D1918),INDEX(Avulsos!$F$6:$F$205,$C1918))&amp;""="","","✓"))</f>
        <v/>
      </c>
      <c r="L1918" s="114" t="str">
        <f aca="true">IF($E1918="","",IF($K1918="✓","Concluído",IF($E1918&lt;TODAY(),"Atrasado",IF($E1918=TODAY(),"Hoje","Pendente"))))</f>
        <v/>
      </c>
      <c r="M1918" s="114" t="str">
        <f aca="false">IF($E1918="","",IF($K1918="✓","✓ ","")&amp;IF(Config!$E$22="Sim",$H1918&amp;" · ","")&amp;$F1918)</f>
        <v/>
      </c>
      <c r="N1918" s="114" t="str">
        <f aca="false">IF($E1918="","",IFERROR(INDEX(Config!$D$15:$D$19,MATCH($I1918,Config!$C$15:$C$19,0)),"OUT")&amp;IF($K1918="✓","x",""))</f>
        <v/>
      </c>
      <c r="O1918" s="114" t="str">
        <f aca="false">IF($E1918="","",COUNTIF($E$5:$E1918,$E1918))</f>
        <v/>
      </c>
      <c r="P1918" s="114" t="str">
        <f aca="false">IF($E1918="","",$E1918*100+$O1918)</f>
        <v/>
      </c>
      <c r="Q1918" s="114" t="str">
        <f aca="false">IF($L1918="Atrasado",$E1918*10000+$A1918,"")</f>
        <v/>
      </c>
    </row>
    <row r="1919" customFormat="false" ht="15" hidden="false" customHeight="false" outlineLevel="0" collapsed="false">
      <c r="A1919" s="114" t="n">
        <f aca="false">ROW()-4</f>
        <v>1915</v>
      </c>
      <c r="B1919" s="114" t="str">
        <f aca="false">IF(A1919&lt;=Config!$E$27*Config!$E$28,"Tema","Avulso")</f>
        <v>Avulso</v>
      </c>
      <c r="C1919" s="114" t="n">
        <f aca="false">IF(B1919="Tema",INT((A1919-1)/Config!$E$28)+1,A1919-Config!$E$27*Config!$E$28)</f>
        <v>115</v>
      </c>
      <c r="D1919" s="114" t="str">
        <f aca="false">IF(B1919="Tema",MOD(A1919-1,Config!$E$28)+1,"")</f>
        <v/>
      </c>
      <c r="E1919" s="115" t="str">
        <f aca="false">IF($B1919="Tema",IF(ISNUMBER(INDEX(Temas!$E$6:$P$305,$C1919,2*$D1919-1)),INDEX(Temas!$E$6:$P$305,$C1919,2*$D1919-1),""),IF(ISNUMBER(INDEX(Avulsos!$B$6:$B$205,$C1919)),INDEX(Avulsos!$B$6:$B$205,$C1919),""))</f>
        <v/>
      </c>
      <c r="F1919" s="114" t="str">
        <f aca="false">IF($E1919="","",IF($B1919="Tema",INDEX(Temas!$B$6:$B$305,$C1919)&amp;"",INDEX(Avulsos!$C$6:$C$205,$C1919)&amp;""))</f>
        <v/>
      </c>
      <c r="G1919" s="114" t="str">
        <f aca="false">IF($E1919="","",IF($B1919="Tema",INDEX(Config!$C$6:$C$11,$D1919),"Evento avulso"))</f>
        <v/>
      </c>
      <c r="H1919" s="114" t="str">
        <f aca="false">IF($E1919="","",IF($B1919="Tema",INDEX(Config!$D$6:$D$11,$D1919),IFERROR(INDEX(Config!$E$15:$E$19,MATCH($I1919,Config!$C$15:$C$19,0)),"•")))</f>
        <v/>
      </c>
      <c r="I1919" s="114" t="str">
        <f aca="false">IF($E1919="","",IF($B1919="Tema",INDEX(Config!$E$6:$E$11,$D1919),IF(INDEX(Avulsos!$D$6:$D$205,$C1919)&amp;""="","Outro",INDEX(Avulsos!$D$6:$D$205,$C1919))))</f>
        <v/>
      </c>
      <c r="J1919" s="114" t="str">
        <f aca="false">IF($E1919="","",IF($B1919="Tema",INDEX(Temas!$C$6:$C$305,$C1919)&amp;"",INDEX(Avulsos!$E$6:$E$205,$C1919)&amp;""))</f>
        <v/>
      </c>
      <c r="K1919" s="114" t="str">
        <f aca="false">IF($E1919="","",IF(IF($B1919="Tema",INDEX(Temas!$E$6:$P$305,$C1919,2*$D1919),INDEX(Avulsos!$F$6:$F$205,$C1919))&amp;""="","","✓"))</f>
        <v/>
      </c>
      <c r="L1919" s="114" t="str">
        <f aca="true">IF($E1919="","",IF($K1919="✓","Concluído",IF($E1919&lt;TODAY(),"Atrasado",IF($E1919=TODAY(),"Hoje","Pendente"))))</f>
        <v/>
      </c>
      <c r="M1919" s="114" t="str">
        <f aca="false">IF($E1919="","",IF($K1919="✓","✓ ","")&amp;IF(Config!$E$22="Sim",$H1919&amp;" · ","")&amp;$F1919)</f>
        <v/>
      </c>
      <c r="N1919" s="114" t="str">
        <f aca="false">IF($E1919="","",IFERROR(INDEX(Config!$D$15:$D$19,MATCH($I1919,Config!$C$15:$C$19,0)),"OUT")&amp;IF($K1919="✓","x",""))</f>
        <v/>
      </c>
      <c r="O1919" s="114" t="str">
        <f aca="false">IF($E1919="","",COUNTIF($E$5:$E1919,$E1919))</f>
        <v/>
      </c>
      <c r="P1919" s="114" t="str">
        <f aca="false">IF($E1919="","",$E1919*100+$O1919)</f>
        <v/>
      </c>
      <c r="Q1919" s="114" t="str">
        <f aca="false">IF($L1919="Atrasado",$E1919*10000+$A1919,"")</f>
        <v/>
      </c>
    </row>
    <row r="1920" customFormat="false" ht="15" hidden="false" customHeight="false" outlineLevel="0" collapsed="false">
      <c r="A1920" s="114" t="n">
        <f aca="false">ROW()-4</f>
        <v>1916</v>
      </c>
      <c r="B1920" s="114" t="str">
        <f aca="false">IF(A1920&lt;=Config!$E$27*Config!$E$28,"Tema","Avulso")</f>
        <v>Avulso</v>
      </c>
      <c r="C1920" s="114" t="n">
        <f aca="false">IF(B1920="Tema",INT((A1920-1)/Config!$E$28)+1,A1920-Config!$E$27*Config!$E$28)</f>
        <v>116</v>
      </c>
      <c r="D1920" s="114" t="str">
        <f aca="false">IF(B1920="Tema",MOD(A1920-1,Config!$E$28)+1,"")</f>
        <v/>
      </c>
      <c r="E1920" s="115" t="str">
        <f aca="false">IF($B1920="Tema",IF(ISNUMBER(INDEX(Temas!$E$6:$P$305,$C1920,2*$D1920-1)),INDEX(Temas!$E$6:$P$305,$C1920,2*$D1920-1),""),IF(ISNUMBER(INDEX(Avulsos!$B$6:$B$205,$C1920)),INDEX(Avulsos!$B$6:$B$205,$C1920),""))</f>
        <v/>
      </c>
      <c r="F1920" s="114" t="str">
        <f aca="false">IF($E1920="","",IF($B1920="Tema",INDEX(Temas!$B$6:$B$305,$C1920)&amp;"",INDEX(Avulsos!$C$6:$C$205,$C1920)&amp;""))</f>
        <v/>
      </c>
      <c r="G1920" s="114" t="str">
        <f aca="false">IF($E1920="","",IF($B1920="Tema",INDEX(Config!$C$6:$C$11,$D1920),"Evento avulso"))</f>
        <v/>
      </c>
      <c r="H1920" s="114" t="str">
        <f aca="false">IF($E1920="","",IF($B1920="Tema",INDEX(Config!$D$6:$D$11,$D1920),IFERROR(INDEX(Config!$E$15:$E$19,MATCH($I1920,Config!$C$15:$C$19,0)),"•")))</f>
        <v/>
      </c>
      <c r="I1920" s="114" t="str">
        <f aca="false">IF($E1920="","",IF($B1920="Tema",INDEX(Config!$E$6:$E$11,$D1920),IF(INDEX(Avulsos!$D$6:$D$205,$C1920)&amp;""="","Outro",INDEX(Avulsos!$D$6:$D$205,$C1920))))</f>
        <v/>
      </c>
      <c r="J1920" s="114" t="str">
        <f aca="false">IF($E1920="","",IF($B1920="Tema",INDEX(Temas!$C$6:$C$305,$C1920)&amp;"",INDEX(Avulsos!$E$6:$E$205,$C1920)&amp;""))</f>
        <v/>
      </c>
      <c r="K1920" s="114" t="str">
        <f aca="false">IF($E1920="","",IF(IF($B1920="Tema",INDEX(Temas!$E$6:$P$305,$C1920,2*$D1920),INDEX(Avulsos!$F$6:$F$205,$C1920))&amp;""="","","✓"))</f>
        <v/>
      </c>
      <c r="L1920" s="114" t="str">
        <f aca="true">IF($E1920="","",IF($K1920="✓","Concluído",IF($E1920&lt;TODAY(),"Atrasado",IF($E1920=TODAY(),"Hoje","Pendente"))))</f>
        <v/>
      </c>
      <c r="M1920" s="114" t="str">
        <f aca="false">IF($E1920="","",IF($K1920="✓","✓ ","")&amp;IF(Config!$E$22="Sim",$H1920&amp;" · ","")&amp;$F1920)</f>
        <v/>
      </c>
      <c r="N1920" s="114" t="str">
        <f aca="false">IF($E1920="","",IFERROR(INDEX(Config!$D$15:$D$19,MATCH($I1920,Config!$C$15:$C$19,0)),"OUT")&amp;IF($K1920="✓","x",""))</f>
        <v/>
      </c>
      <c r="O1920" s="114" t="str">
        <f aca="false">IF($E1920="","",COUNTIF($E$5:$E1920,$E1920))</f>
        <v/>
      </c>
      <c r="P1920" s="114" t="str">
        <f aca="false">IF($E1920="","",$E1920*100+$O1920)</f>
        <v/>
      </c>
      <c r="Q1920" s="114" t="str">
        <f aca="false">IF($L1920="Atrasado",$E1920*10000+$A1920,"")</f>
        <v/>
      </c>
    </row>
    <row r="1921" customFormat="false" ht="15" hidden="false" customHeight="false" outlineLevel="0" collapsed="false">
      <c r="A1921" s="114" t="n">
        <f aca="false">ROW()-4</f>
        <v>1917</v>
      </c>
      <c r="B1921" s="114" t="str">
        <f aca="false">IF(A1921&lt;=Config!$E$27*Config!$E$28,"Tema","Avulso")</f>
        <v>Avulso</v>
      </c>
      <c r="C1921" s="114" t="n">
        <f aca="false">IF(B1921="Tema",INT((A1921-1)/Config!$E$28)+1,A1921-Config!$E$27*Config!$E$28)</f>
        <v>117</v>
      </c>
      <c r="D1921" s="114" t="str">
        <f aca="false">IF(B1921="Tema",MOD(A1921-1,Config!$E$28)+1,"")</f>
        <v/>
      </c>
      <c r="E1921" s="115" t="str">
        <f aca="false">IF($B1921="Tema",IF(ISNUMBER(INDEX(Temas!$E$6:$P$305,$C1921,2*$D1921-1)),INDEX(Temas!$E$6:$P$305,$C1921,2*$D1921-1),""),IF(ISNUMBER(INDEX(Avulsos!$B$6:$B$205,$C1921)),INDEX(Avulsos!$B$6:$B$205,$C1921),""))</f>
        <v/>
      </c>
      <c r="F1921" s="114" t="str">
        <f aca="false">IF($E1921="","",IF($B1921="Tema",INDEX(Temas!$B$6:$B$305,$C1921)&amp;"",INDEX(Avulsos!$C$6:$C$205,$C1921)&amp;""))</f>
        <v/>
      </c>
      <c r="G1921" s="114" t="str">
        <f aca="false">IF($E1921="","",IF($B1921="Tema",INDEX(Config!$C$6:$C$11,$D1921),"Evento avulso"))</f>
        <v/>
      </c>
      <c r="H1921" s="114" t="str">
        <f aca="false">IF($E1921="","",IF($B1921="Tema",INDEX(Config!$D$6:$D$11,$D1921),IFERROR(INDEX(Config!$E$15:$E$19,MATCH($I1921,Config!$C$15:$C$19,0)),"•")))</f>
        <v/>
      </c>
      <c r="I1921" s="114" t="str">
        <f aca="false">IF($E1921="","",IF($B1921="Tema",INDEX(Config!$E$6:$E$11,$D1921),IF(INDEX(Avulsos!$D$6:$D$205,$C1921)&amp;""="","Outro",INDEX(Avulsos!$D$6:$D$205,$C1921))))</f>
        <v/>
      </c>
      <c r="J1921" s="114" t="str">
        <f aca="false">IF($E1921="","",IF($B1921="Tema",INDEX(Temas!$C$6:$C$305,$C1921)&amp;"",INDEX(Avulsos!$E$6:$E$205,$C1921)&amp;""))</f>
        <v/>
      </c>
      <c r="K1921" s="114" t="str">
        <f aca="false">IF($E1921="","",IF(IF($B1921="Tema",INDEX(Temas!$E$6:$P$305,$C1921,2*$D1921),INDEX(Avulsos!$F$6:$F$205,$C1921))&amp;""="","","✓"))</f>
        <v/>
      </c>
      <c r="L1921" s="114" t="str">
        <f aca="true">IF($E1921="","",IF($K1921="✓","Concluído",IF($E1921&lt;TODAY(),"Atrasado",IF($E1921=TODAY(),"Hoje","Pendente"))))</f>
        <v/>
      </c>
      <c r="M1921" s="114" t="str">
        <f aca="false">IF($E1921="","",IF($K1921="✓","✓ ","")&amp;IF(Config!$E$22="Sim",$H1921&amp;" · ","")&amp;$F1921)</f>
        <v/>
      </c>
      <c r="N1921" s="114" t="str">
        <f aca="false">IF($E1921="","",IFERROR(INDEX(Config!$D$15:$D$19,MATCH($I1921,Config!$C$15:$C$19,0)),"OUT")&amp;IF($K1921="✓","x",""))</f>
        <v/>
      </c>
      <c r="O1921" s="114" t="str">
        <f aca="false">IF($E1921="","",COUNTIF($E$5:$E1921,$E1921))</f>
        <v/>
      </c>
      <c r="P1921" s="114" t="str">
        <f aca="false">IF($E1921="","",$E1921*100+$O1921)</f>
        <v/>
      </c>
      <c r="Q1921" s="114" t="str">
        <f aca="false">IF($L1921="Atrasado",$E1921*10000+$A1921,"")</f>
        <v/>
      </c>
    </row>
    <row r="1922" customFormat="false" ht="15" hidden="false" customHeight="false" outlineLevel="0" collapsed="false">
      <c r="A1922" s="114" t="n">
        <f aca="false">ROW()-4</f>
        <v>1918</v>
      </c>
      <c r="B1922" s="114" t="str">
        <f aca="false">IF(A1922&lt;=Config!$E$27*Config!$E$28,"Tema","Avulso")</f>
        <v>Avulso</v>
      </c>
      <c r="C1922" s="114" t="n">
        <f aca="false">IF(B1922="Tema",INT((A1922-1)/Config!$E$28)+1,A1922-Config!$E$27*Config!$E$28)</f>
        <v>118</v>
      </c>
      <c r="D1922" s="114" t="str">
        <f aca="false">IF(B1922="Tema",MOD(A1922-1,Config!$E$28)+1,"")</f>
        <v/>
      </c>
      <c r="E1922" s="115" t="str">
        <f aca="false">IF($B1922="Tema",IF(ISNUMBER(INDEX(Temas!$E$6:$P$305,$C1922,2*$D1922-1)),INDEX(Temas!$E$6:$P$305,$C1922,2*$D1922-1),""),IF(ISNUMBER(INDEX(Avulsos!$B$6:$B$205,$C1922)),INDEX(Avulsos!$B$6:$B$205,$C1922),""))</f>
        <v/>
      </c>
      <c r="F1922" s="114" t="str">
        <f aca="false">IF($E1922="","",IF($B1922="Tema",INDEX(Temas!$B$6:$B$305,$C1922)&amp;"",INDEX(Avulsos!$C$6:$C$205,$C1922)&amp;""))</f>
        <v/>
      </c>
      <c r="G1922" s="114" t="str">
        <f aca="false">IF($E1922="","",IF($B1922="Tema",INDEX(Config!$C$6:$C$11,$D1922),"Evento avulso"))</f>
        <v/>
      </c>
      <c r="H1922" s="114" t="str">
        <f aca="false">IF($E1922="","",IF($B1922="Tema",INDEX(Config!$D$6:$D$11,$D1922),IFERROR(INDEX(Config!$E$15:$E$19,MATCH($I1922,Config!$C$15:$C$19,0)),"•")))</f>
        <v/>
      </c>
      <c r="I1922" s="114" t="str">
        <f aca="false">IF($E1922="","",IF($B1922="Tema",INDEX(Config!$E$6:$E$11,$D1922),IF(INDEX(Avulsos!$D$6:$D$205,$C1922)&amp;""="","Outro",INDEX(Avulsos!$D$6:$D$205,$C1922))))</f>
        <v/>
      </c>
      <c r="J1922" s="114" t="str">
        <f aca="false">IF($E1922="","",IF($B1922="Tema",INDEX(Temas!$C$6:$C$305,$C1922)&amp;"",INDEX(Avulsos!$E$6:$E$205,$C1922)&amp;""))</f>
        <v/>
      </c>
      <c r="K1922" s="114" t="str">
        <f aca="false">IF($E1922="","",IF(IF($B1922="Tema",INDEX(Temas!$E$6:$P$305,$C1922,2*$D1922),INDEX(Avulsos!$F$6:$F$205,$C1922))&amp;""="","","✓"))</f>
        <v/>
      </c>
      <c r="L1922" s="114" t="str">
        <f aca="true">IF($E1922="","",IF($K1922="✓","Concluído",IF($E1922&lt;TODAY(),"Atrasado",IF($E1922=TODAY(),"Hoje","Pendente"))))</f>
        <v/>
      </c>
      <c r="M1922" s="114" t="str">
        <f aca="false">IF($E1922="","",IF($K1922="✓","✓ ","")&amp;IF(Config!$E$22="Sim",$H1922&amp;" · ","")&amp;$F1922)</f>
        <v/>
      </c>
      <c r="N1922" s="114" t="str">
        <f aca="false">IF($E1922="","",IFERROR(INDEX(Config!$D$15:$D$19,MATCH($I1922,Config!$C$15:$C$19,0)),"OUT")&amp;IF($K1922="✓","x",""))</f>
        <v/>
      </c>
      <c r="O1922" s="114" t="str">
        <f aca="false">IF($E1922="","",COUNTIF($E$5:$E1922,$E1922))</f>
        <v/>
      </c>
      <c r="P1922" s="114" t="str">
        <f aca="false">IF($E1922="","",$E1922*100+$O1922)</f>
        <v/>
      </c>
      <c r="Q1922" s="114" t="str">
        <f aca="false">IF($L1922="Atrasado",$E1922*10000+$A1922,"")</f>
        <v/>
      </c>
    </row>
    <row r="1923" customFormat="false" ht="15" hidden="false" customHeight="false" outlineLevel="0" collapsed="false">
      <c r="A1923" s="114" t="n">
        <f aca="false">ROW()-4</f>
        <v>1919</v>
      </c>
      <c r="B1923" s="114" t="str">
        <f aca="false">IF(A1923&lt;=Config!$E$27*Config!$E$28,"Tema","Avulso")</f>
        <v>Avulso</v>
      </c>
      <c r="C1923" s="114" t="n">
        <f aca="false">IF(B1923="Tema",INT((A1923-1)/Config!$E$28)+1,A1923-Config!$E$27*Config!$E$28)</f>
        <v>119</v>
      </c>
      <c r="D1923" s="114" t="str">
        <f aca="false">IF(B1923="Tema",MOD(A1923-1,Config!$E$28)+1,"")</f>
        <v/>
      </c>
      <c r="E1923" s="115" t="str">
        <f aca="false">IF($B1923="Tema",IF(ISNUMBER(INDEX(Temas!$E$6:$P$305,$C1923,2*$D1923-1)),INDEX(Temas!$E$6:$P$305,$C1923,2*$D1923-1),""),IF(ISNUMBER(INDEX(Avulsos!$B$6:$B$205,$C1923)),INDEX(Avulsos!$B$6:$B$205,$C1923),""))</f>
        <v/>
      </c>
      <c r="F1923" s="114" t="str">
        <f aca="false">IF($E1923="","",IF($B1923="Tema",INDEX(Temas!$B$6:$B$305,$C1923)&amp;"",INDEX(Avulsos!$C$6:$C$205,$C1923)&amp;""))</f>
        <v/>
      </c>
      <c r="G1923" s="114" t="str">
        <f aca="false">IF($E1923="","",IF($B1923="Tema",INDEX(Config!$C$6:$C$11,$D1923),"Evento avulso"))</f>
        <v/>
      </c>
      <c r="H1923" s="114" t="str">
        <f aca="false">IF($E1923="","",IF($B1923="Tema",INDEX(Config!$D$6:$D$11,$D1923),IFERROR(INDEX(Config!$E$15:$E$19,MATCH($I1923,Config!$C$15:$C$19,0)),"•")))</f>
        <v/>
      </c>
      <c r="I1923" s="114" t="str">
        <f aca="false">IF($E1923="","",IF($B1923="Tema",INDEX(Config!$E$6:$E$11,$D1923),IF(INDEX(Avulsos!$D$6:$D$205,$C1923)&amp;""="","Outro",INDEX(Avulsos!$D$6:$D$205,$C1923))))</f>
        <v/>
      </c>
      <c r="J1923" s="114" t="str">
        <f aca="false">IF($E1923="","",IF($B1923="Tema",INDEX(Temas!$C$6:$C$305,$C1923)&amp;"",INDEX(Avulsos!$E$6:$E$205,$C1923)&amp;""))</f>
        <v/>
      </c>
      <c r="K1923" s="114" t="str">
        <f aca="false">IF($E1923="","",IF(IF($B1923="Tema",INDEX(Temas!$E$6:$P$305,$C1923,2*$D1923),INDEX(Avulsos!$F$6:$F$205,$C1923))&amp;""="","","✓"))</f>
        <v/>
      </c>
      <c r="L1923" s="114" t="str">
        <f aca="true">IF($E1923="","",IF($K1923="✓","Concluído",IF($E1923&lt;TODAY(),"Atrasado",IF($E1923=TODAY(),"Hoje","Pendente"))))</f>
        <v/>
      </c>
      <c r="M1923" s="114" t="str">
        <f aca="false">IF($E1923="","",IF($K1923="✓","✓ ","")&amp;IF(Config!$E$22="Sim",$H1923&amp;" · ","")&amp;$F1923)</f>
        <v/>
      </c>
      <c r="N1923" s="114" t="str">
        <f aca="false">IF($E1923="","",IFERROR(INDEX(Config!$D$15:$D$19,MATCH($I1923,Config!$C$15:$C$19,0)),"OUT")&amp;IF($K1923="✓","x",""))</f>
        <v/>
      </c>
      <c r="O1923" s="114" t="str">
        <f aca="false">IF($E1923="","",COUNTIF($E$5:$E1923,$E1923))</f>
        <v/>
      </c>
      <c r="P1923" s="114" t="str">
        <f aca="false">IF($E1923="","",$E1923*100+$O1923)</f>
        <v/>
      </c>
      <c r="Q1923" s="114" t="str">
        <f aca="false">IF($L1923="Atrasado",$E1923*10000+$A1923,"")</f>
        <v/>
      </c>
    </row>
    <row r="1924" customFormat="false" ht="15" hidden="false" customHeight="false" outlineLevel="0" collapsed="false">
      <c r="A1924" s="114" t="n">
        <f aca="false">ROW()-4</f>
        <v>1920</v>
      </c>
      <c r="B1924" s="114" t="str">
        <f aca="false">IF(A1924&lt;=Config!$E$27*Config!$E$28,"Tema","Avulso")</f>
        <v>Avulso</v>
      </c>
      <c r="C1924" s="114" t="n">
        <f aca="false">IF(B1924="Tema",INT((A1924-1)/Config!$E$28)+1,A1924-Config!$E$27*Config!$E$28)</f>
        <v>120</v>
      </c>
      <c r="D1924" s="114" t="str">
        <f aca="false">IF(B1924="Tema",MOD(A1924-1,Config!$E$28)+1,"")</f>
        <v/>
      </c>
      <c r="E1924" s="115" t="str">
        <f aca="false">IF($B1924="Tema",IF(ISNUMBER(INDEX(Temas!$E$6:$P$305,$C1924,2*$D1924-1)),INDEX(Temas!$E$6:$P$305,$C1924,2*$D1924-1),""),IF(ISNUMBER(INDEX(Avulsos!$B$6:$B$205,$C1924)),INDEX(Avulsos!$B$6:$B$205,$C1924),""))</f>
        <v/>
      </c>
      <c r="F1924" s="114" t="str">
        <f aca="false">IF($E1924="","",IF($B1924="Tema",INDEX(Temas!$B$6:$B$305,$C1924)&amp;"",INDEX(Avulsos!$C$6:$C$205,$C1924)&amp;""))</f>
        <v/>
      </c>
      <c r="G1924" s="114" t="str">
        <f aca="false">IF($E1924="","",IF($B1924="Tema",INDEX(Config!$C$6:$C$11,$D1924),"Evento avulso"))</f>
        <v/>
      </c>
      <c r="H1924" s="114" t="str">
        <f aca="false">IF($E1924="","",IF($B1924="Tema",INDEX(Config!$D$6:$D$11,$D1924),IFERROR(INDEX(Config!$E$15:$E$19,MATCH($I1924,Config!$C$15:$C$19,0)),"•")))</f>
        <v/>
      </c>
      <c r="I1924" s="114" t="str">
        <f aca="false">IF($E1924="","",IF($B1924="Tema",INDEX(Config!$E$6:$E$11,$D1924),IF(INDEX(Avulsos!$D$6:$D$205,$C1924)&amp;""="","Outro",INDEX(Avulsos!$D$6:$D$205,$C1924))))</f>
        <v/>
      </c>
      <c r="J1924" s="114" t="str">
        <f aca="false">IF($E1924="","",IF($B1924="Tema",INDEX(Temas!$C$6:$C$305,$C1924)&amp;"",INDEX(Avulsos!$E$6:$E$205,$C1924)&amp;""))</f>
        <v/>
      </c>
      <c r="K1924" s="114" t="str">
        <f aca="false">IF($E1924="","",IF(IF($B1924="Tema",INDEX(Temas!$E$6:$P$305,$C1924,2*$D1924),INDEX(Avulsos!$F$6:$F$205,$C1924))&amp;""="","","✓"))</f>
        <v/>
      </c>
      <c r="L1924" s="114" t="str">
        <f aca="true">IF($E1924="","",IF($K1924="✓","Concluído",IF($E1924&lt;TODAY(),"Atrasado",IF($E1924=TODAY(),"Hoje","Pendente"))))</f>
        <v/>
      </c>
      <c r="M1924" s="114" t="str">
        <f aca="false">IF($E1924="","",IF($K1924="✓","✓ ","")&amp;IF(Config!$E$22="Sim",$H1924&amp;" · ","")&amp;$F1924)</f>
        <v/>
      </c>
      <c r="N1924" s="114" t="str">
        <f aca="false">IF($E1924="","",IFERROR(INDEX(Config!$D$15:$D$19,MATCH($I1924,Config!$C$15:$C$19,0)),"OUT")&amp;IF($K1924="✓","x",""))</f>
        <v/>
      </c>
      <c r="O1924" s="114" t="str">
        <f aca="false">IF($E1924="","",COUNTIF($E$5:$E1924,$E1924))</f>
        <v/>
      </c>
      <c r="P1924" s="114" t="str">
        <f aca="false">IF($E1924="","",$E1924*100+$O1924)</f>
        <v/>
      </c>
      <c r="Q1924" s="114" t="str">
        <f aca="false">IF($L1924="Atrasado",$E1924*10000+$A1924,"")</f>
        <v/>
      </c>
    </row>
    <row r="1925" customFormat="false" ht="15" hidden="false" customHeight="false" outlineLevel="0" collapsed="false">
      <c r="A1925" s="114" t="n">
        <f aca="false">ROW()-4</f>
        <v>1921</v>
      </c>
      <c r="B1925" s="114" t="str">
        <f aca="false">IF(A1925&lt;=Config!$E$27*Config!$E$28,"Tema","Avulso")</f>
        <v>Avulso</v>
      </c>
      <c r="C1925" s="114" t="n">
        <f aca="false">IF(B1925="Tema",INT((A1925-1)/Config!$E$28)+1,A1925-Config!$E$27*Config!$E$28)</f>
        <v>121</v>
      </c>
      <c r="D1925" s="114" t="str">
        <f aca="false">IF(B1925="Tema",MOD(A1925-1,Config!$E$28)+1,"")</f>
        <v/>
      </c>
      <c r="E1925" s="115" t="str">
        <f aca="false">IF($B1925="Tema",IF(ISNUMBER(INDEX(Temas!$E$6:$P$305,$C1925,2*$D1925-1)),INDEX(Temas!$E$6:$P$305,$C1925,2*$D1925-1),""),IF(ISNUMBER(INDEX(Avulsos!$B$6:$B$205,$C1925)),INDEX(Avulsos!$B$6:$B$205,$C1925),""))</f>
        <v/>
      </c>
      <c r="F1925" s="114" t="str">
        <f aca="false">IF($E1925="","",IF($B1925="Tema",INDEX(Temas!$B$6:$B$305,$C1925)&amp;"",INDEX(Avulsos!$C$6:$C$205,$C1925)&amp;""))</f>
        <v/>
      </c>
      <c r="G1925" s="114" t="str">
        <f aca="false">IF($E1925="","",IF($B1925="Tema",INDEX(Config!$C$6:$C$11,$D1925),"Evento avulso"))</f>
        <v/>
      </c>
      <c r="H1925" s="114" t="str">
        <f aca="false">IF($E1925="","",IF($B1925="Tema",INDEX(Config!$D$6:$D$11,$D1925),IFERROR(INDEX(Config!$E$15:$E$19,MATCH($I1925,Config!$C$15:$C$19,0)),"•")))</f>
        <v/>
      </c>
      <c r="I1925" s="114" t="str">
        <f aca="false">IF($E1925="","",IF($B1925="Tema",INDEX(Config!$E$6:$E$11,$D1925),IF(INDEX(Avulsos!$D$6:$D$205,$C1925)&amp;""="","Outro",INDEX(Avulsos!$D$6:$D$205,$C1925))))</f>
        <v/>
      </c>
      <c r="J1925" s="114" t="str">
        <f aca="false">IF($E1925="","",IF($B1925="Tema",INDEX(Temas!$C$6:$C$305,$C1925)&amp;"",INDEX(Avulsos!$E$6:$E$205,$C1925)&amp;""))</f>
        <v/>
      </c>
      <c r="K1925" s="114" t="str">
        <f aca="false">IF($E1925="","",IF(IF($B1925="Tema",INDEX(Temas!$E$6:$P$305,$C1925,2*$D1925),INDEX(Avulsos!$F$6:$F$205,$C1925))&amp;""="","","✓"))</f>
        <v/>
      </c>
      <c r="L1925" s="114" t="str">
        <f aca="true">IF($E1925="","",IF($K1925="✓","Concluído",IF($E1925&lt;TODAY(),"Atrasado",IF($E1925=TODAY(),"Hoje","Pendente"))))</f>
        <v/>
      </c>
      <c r="M1925" s="114" t="str">
        <f aca="false">IF($E1925="","",IF($K1925="✓","✓ ","")&amp;IF(Config!$E$22="Sim",$H1925&amp;" · ","")&amp;$F1925)</f>
        <v/>
      </c>
      <c r="N1925" s="114" t="str">
        <f aca="false">IF($E1925="","",IFERROR(INDEX(Config!$D$15:$D$19,MATCH($I1925,Config!$C$15:$C$19,0)),"OUT")&amp;IF($K1925="✓","x",""))</f>
        <v/>
      </c>
      <c r="O1925" s="114" t="str">
        <f aca="false">IF($E1925="","",COUNTIF($E$5:$E1925,$E1925))</f>
        <v/>
      </c>
      <c r="P1925" s="114" t="str">
        <f aca="false">IF($E1925="","",$E1925*100+$O1925)</f>
        <v/>
      </c>
      <c r="Q1925" s="114" t="str">
        <f aca="false">IF($L1925="Atrasado",$E1925*10000+$A1925,"")</f>
        <v/>
      </c>
    </row>
    <row r="1926" customFormat="false" ht="15" hidden="false" customHeight="false" outlineLevel="0" collapsed="false">
      <c r="A1926" s="114" t="n">
        <f aca="false">ROW()-4</f>
        <v>1922</v>
      </c>
      <c r="B1926" s="114" t="str">
        <f aca="false">IF(A1926&lt;=Config!$E$27*Config!$E$28,"Tema","Avulso")</f>
        <v>Avulso</v>
      </c>
      <c r="C1926" s="114" t="n">
        <f aca="false">IF(B1926="Tema",INT((A1926-1)/Config!$E$28)+1,A1926-Config!$E$27*Config!$E$28)</f>
        <v>122</v>
      </c>
      <c r="D1926" s="114" t="str">
        <f aca="false">IF(B1926="Tema",MOD(A1926-1,Config!$E$28)+1,"")</f>
        <v/>
      </c>
      <c r="E1926" s="115" t="str">
        <f aca="false">IF($B1926="Tema",IF(ISNUMBER(INDEX(Temas!$E$6:$P$305,$C1926,2*$D1926-1)),INDEX(Temas!$E$6:$P$305,$C1926,2*$D1926-1),""),IF(ISNUMBER(INDEX(Avulsos!$B$6:$B$205,$C1926)),INDEX(Avulsos!$B$6:$B$205,$C1926),""))</f>
        <v/>
      </c>
      <c r="F1926" s="114" t="str">
        <f aca="false">IF($E1926="","",IF($B1926="Tema",INDEX(Temas!$B$6:$B$305,$C1926)&amp;"",INDEX(Avulsos!$C$6:$C$205,$C1926)&amp;""))</f>
        <v/>
      </c>
      <c r="G1926" s="114" t="str">
        <f aca="false">IF($E1926="","",IF($B1926="Tema",INDEX(Config!$C$6:$C$11,$D1926),"Evento avulso"))</f>
        <v/>
      </c>
      <c r="H1926" s="114" t="str">
        <f aca="false">IF($E1926="","",IF($B1926="Tema",INDEX(Config!$D$6:$D$11,$D1926),IFERROR(INDEX(Config!$E$15:$E$19,MATCH($I1926,Config!$C$15:$C$19,0)),"•")))</f>
        <v/>
      </c>
      <c r="I1926" s="114" t="str">
        <f aca="false">IF($E1926="","",IF($B1926="Tema",INDEX(Config!$E$6:$E$11,$D1926),IF(INDEX(Avulsos!$D$6:$D$205,$C1926)&amp;""="","Outro",INDEX(Avulsos!$D$6:$D$205,$C1926))))</f>
        <v/>
      </c>
      <c r="J1926" s="114" t="str">
        <f aca="false">IF($E1926="","",IF($B1926="Tema",INDEX(Temas!$C$6:$C$305,$C1926)&amp;"",INDEX(Avulsos!$E$6:$E$205,$C1926)&amp;""))</f>
        <v/>
      </c>
      <c r="K1926" s="114" t="str">
        <f aca="false">IF($E1926="","",IF(IF($B1926="Tema",INDEX(Temas!$E$6:$P$305,$C1926,2*$D1926),INDEX(Avulsos!$F$6:$F$205,$C1926))&amp;""="","","✓"))</f>
        <v/>
      </c>
      <c r="L1926" s="114" t="str">
        <f aca="true">IF($E1926="","",IF($K1926="✓","Concluído",IF($E1926&lt;TODAY(),"Atrasado",IF($E1926=TODAY(),"Hoje","Pendente"))))</f>
        <v/>
      </c>
      <c r="M1926" s="114" t="str">
        <f aca="false">IF($E1926="","",IF($K1926="✓","✓ ","")&amp;IF(Config!$E$22="Sim",$H1926&amp;" · ","")&amp;$F1926)</f>
        <v/>
      </c>
      <c r="N1926" s="114" t="str">
        <f aca="false">IF($E1926="","",IFERROR(INDEX(Config!$D$15:$D$19,MATCH($I1926,Config!$C$15:$C$19,0)),"OUT")&amp;IF($K1926="✓","x",""))</f>
        <v/>
      </c>
      <c r="O1926" s="114" t="str">
        <f aca="false">IF($E1926="","",COUNTIF($E$5:$E1926,$E1926))</f>
        <v/>
      </c>
      <c r="P1926" s="114" t="str">
        <f aca="false">IF($E1926="","",$E1926*100+$O1926)</f>
        <v/>
      </c>
      <c r="Q1926" s="114" t="str">
        <f aca="false">IF($L1926="Atrasado",$E1926*10000+$A1926,"")</f>
        <v/>
      </c>
    </row>
    <row r="1927" customFormat="false" ht="15" hidden="false" customHeight="false" outlineLevel="0" collapsed="false">
      <c r="A1927" s="114" t="n">
        <f aca="false">ROW()-4</f>
        <v>1923</v>
      </c>
      <c r="B1927" s="114" t="str">
        <f aca="false">IF(A1927&lt;=Config!$E$27*Config!$E$28,"Tema","Avulso")</f>
        <v>Avulso</v>
      </c>
      <c r="C1927" s="114" t="n">
        <f aca="false">IF(B1927="Tema",INT((A1927-1)/Config!$E$28)+1,A1927-Config!$E$27*Config!$E$28)</f>
        <v>123</v>
      </c>
      <c r="D1927" s="114" t="str">
        <f aca="false">IF(B1927="Tema",MOD(A1927-1,Config!$E$28)+1,"")</f>
        <v/>
      </c>
      <c r="E1927" s="115" t="str">
        <f aca="false">IF($B1927="Tema",IF(ISNUMBER(INDEX(Temas!$E$6:$P$305,$C1927,2*$D1927-1)),INDEX(Temas!$E$6:$P$305,$C1927,2*$D1927-1),""),IF(ISNUMBER(INDEX(Avulsos!$B$6:$B$205,$C1927)),INDEX(Avulsos!$B$6:$B$205,$C1927),""))</f>
        <v/>
      </c>
      <c r="F1927" s="114" t="str">
        <f aca="false">IF($E1927="","",IF($B1927="Tema",INDEX(Temas!$B$6:$B$305,$C1927)&amp;"",INDEX(Avulsos!$C$6:$C$205,$C1927)&amp;""))</f>
        <v/>
      </c>
      <c r="G1927" s="114" t="str">
        <f aca="false">IF($E1927="","",IF($B1927="Tema",INDEX(Config!$C$6:$C$11,$D1927),"Evento avulso"))</f>
        <v/>
      </c>
      <c r="H1927" s="114" t="str">
        <f aca="false">IF($E1927="","",IF($B1927="Tema",INDEX(Config!$D$6:$D$11,$D1927),IFERROR(INDEX(Config!$E$15:$E$19,MATCH($I1927,Config!$C$15:$C$19,0)),"•")))</f>
        <v/>
      </c>
      <c r="I1927" s="114" t="str">
        <f aca="false">IF($E1927="","",IF($B1927="Tema",INDEX(Config!$E$6:$E$11,$D1927),IF(INDEX(Avulsos!$D$6:$D$205,$C1927)&amp;""="","Outro",INDEX(Avulsos!$D$6:$D$205,$C1927))))</f>
        <v/>
      </c>
      <c r="J1927" s="114" t="str">
        <f aca="false">IF($E1927="","",IF($B1927="Tema",INDEX(Temas!$C$6:$C$305,$C1927)&amp;"",INDEX(Avulsos!$E$6:$E$205,$C1927)&amp;""))</f>
        <v/>
      </c>
      <c r="K1927" s="114" t="str">
        <f aca="false">IF($E1927="","",IF(IF($B1927="Tema",INDEX(Temas!$E$6:$P$305,$C1927,2*$D1927),INDEX(Avulsos!$F$6:$F$205,$C1927))&amp;""="","","✓"))</f>
        <v/>
      </c>
      <c r="L1927" s="114" t="str">
        <f aca="true">IF($E1927="","",IF($K1927="✓","Concluído",IF($E1927&lt;TODAY(),"Atrasado",IF($E1927=TODAY(),"Hoje","Pendente"))))</f>
        <v/>
      </c>
      <c r="M1927" s="114" t="str">
        <f aca="false">IF($E1927="","",IF($K1927="✓","✓ ","")&amp;IF(Config!$E$22="Sim",$H1927&amp;" · ","")&amp;$F1927)</f>
        <v/>
      </c>
      <c r="N1927" s="114" t="str">
        <f aca="false">IF($E1927="","",IFERROR(INDEX(Config!$D$15:$D$19,MATCH($I1927,Config!$C$15:$C$19,0)),"OUT")&amp;IF($K1927="✓","x",""))</f>
        <v/>
      </c>
      <c r="O1927" s="114" t="str">
        <f aca="false">IF($E1927="","",COUNTIF($E$5:$E1927,$E1927))</f>
        <v/>
      </c>
      <c r="P1927" s="114" t="str">
        <f aca="false">IF($E1927="","",$E1927*100+$O1927)</f>
        <v/>
      </c>
      <c r="Q1927" s="114" t="str">
        <f aca="false">IF($L1927="Atrasado",$E1927*10000+$A1927,"")</f>
        <v/>
      </c>
    </row>
    <row r="1928" customFormat="false" ht="15" hidden="false" customHeight="false" outlineLevel="0" collapsed="false">
      <c r="A1928" s="114" t="n">
        <f aca="false">ROW()-4</f>
        <v>1924</v>
      </c>
      <c r="B1928" s="114" t="str">
        <f aca="false">IF(A1928&lt;=Config!$E$27*Config!$E$28,"Tema","Avulso")</f>
        <v>Avulso</v>
      </c>
      <c r="C1928" s="114" t="n">
        <f aca="false">IF(B1928="Tema",INT((A1928-1)/Config!$E$28)+1,A1928-Config!$E$27*Config!$E$28)</f>
        <v>124</v>
      </c>
      <c r="D1928" s="114" t="str">
        <f aca="false">IF(B1928="Tema",MOD(A1928-1,Config!$E$28)+1,"")</f>
        <v/>
      </c>
      <c r="E1928" s="115" t="str">
        <f aca="false">IF($B1928="Tema",IF(ISNUMBER(INDEX(Temas!$E$6:$P$305,$C1928,2*$D1928-1)),INDEX(Temas!$E$6:$P$305,$C1928,2*$D1928-1),""),IF(ISNUMBER(INDEX(Avulsos!$B$6:$B$205,$C1928)),INDEX(Avulsos!$B$6:$B$205,$C1928),""))</f>
        <v/>
      </c>
      <c r="F1928" s="114" t="str">
        <f aca="false">IF($E1928="","",IF($B1928="Tema",INDEX(Temas!$B$6:$B$305,$C1928)&amp;"",INDEX(Avulsos!$C$6:$C$205,$C1928)&amp;""))</f>
        <v/>
      </c>
      <c r="G1928" s="114" t="str">
        <f aca="false">IF($E1928="","",IF($B1928="Tema",INDEX(Config!$C$6:$C$11,$D1928),"Evento avulso"))</f>
        <v/>
      </c>
      <c r="H1928" s="114" t="str">
        <f aca="false">IF($E1928="","",IF($B1928="Tema",INDEX(Config!$D$6:$D$11,$D1928),IFERROR(INDEX(Config!$E$15:$E$19,MATCH($I1928,Config!$C$15:$C$19,0)),"•")))</f>
        <v/>
      </c>
      <c r="I1928" s="114" t="str">
        <f aca="false">IF($E1928="","",IF($B1928="Tema",INDEX(Config!$E$6:$E$11,$D1928),IF(INDEX(Avulsos!$D$6:$D$205,$C1928)&amp;""="","Outro",INDEX(Avulsos!$D$6:$D$205,$C1928))))</f>
        <v/>
      </c>
      <c r="J1928" s="114" t="str">
        <f aca="false">IF($E1928="","",IF($B1928="Tema",INDEX(Temas!$C$6:$C$305,$C1928)&amp;"",INDEX(Avulsos!$E$6:$E$205,$C1928)&amp;""))</f>
        <v/>
      </c>
      <c r="K1928" s="114" t="str">
        <f aca="false">IF($E1928="","",IF(IF($B1928="Tema",INDEX(Temas!$E$6:$P$305,$C1928,2*$D1928),INDEX(Avulsos!$F$6:$F$205,$C1928))&amp;""="","","✓"))</f>
        <v/>
      </c>
      <c r="L1928" s="114" t="str">
        <f aca="true">IF($E1928="","",IF($K1928="✓","Concluído",IF($E1928&lt;TODAY(),"Atrasado",IF($E1928=TODAY(),"Hoje","Pendente"))))</f>
        <v/>
      </c>
      <c r="M1928" s="114" t="str">
        <f aca="false">IF($E1928="","",IF($K1928="✓","✓ ","")&amp;IF(Config!$E$22="Sim",$H1928&amp;" · ","")&amp;$F1928)</f>
        <v/>
      </c>
      <c r="N1928" s="114" t="str">
        <f aca="false">IF($E1928="","",IFERROR(INDEX(Config!$D$15:$D$19,MATCH($I1928,Config!$C$15:$C$19,0)),"OUT")&amp;IF($K1928="✓","x",""))</f>
        <v/>
      </c>
      <c r="O1928" s="114" t="str">
        <f aca="false">IF($E1928="","",COUNTIF($E$5:$E1928,$E1928))</f>
        <v/>
      </c>
      <c r="P1928" s="114" t="str">
        <f aca="false">IF($E1928="","",$E1928*100+$O1928)</f>
        <v/>
      </c>
      <c r="Q1928" s="114" t="str">
        <f aca="false">IF($L1928="Atrasado",$E1928*10000+$A1928,"")</f>
        <v/>
      </c>
    </row>
    <row r="1929" customFormat="false" ht="15" hidden="false" customHeight="false" outlineLevel="0" collapsed="false">
      <c r="A1929" s="114" t="n">
        <f aca="false">ROW()-4</f>
        <v>1925</v>
      </c>
      <c r="B1929" s="114" t="str">
        <f aca="false">IF(A1929&lt;=Config!$E$27*Config!$E$28,"Tema","Avulso")</f>
        <v>Avulso</v>
      </c>
      <c r="C1929" s="114" t="n">
        <f aca="false">IF(B1929="Tema",INT((A1929-1)/Config!$E$28)+1,A1929-Config!$E$27*Config!$E$28)</f>
        <v>125</v>
      </c>
      <c r="D1929" s="114" t="str">
        <f aca="false">IF(B1929="Tema",MOD(A1929-1,Config!$E$28)+1,"")</f>
        <v/>
      </c>
      <c r="E1929" s="115" t="str">
        <f aca="false">IF($B1929="Tema",IF(ISNUMBER(INDEX(Temas!$E$6:$P$305,$C1929,2*$D1929-1)),INDEX(Temas!$E$6:$P$305,$C1929,2*$D1929-1),""),IF(ISNUMBER(INDEX(Avulsos!$B$6:$B$205,$C1929)),INDEX(Avulsos!$B$6:$B$205,$C1929),""))</f>
        <v/>
      </c>
      <c r="F1929" s="114" t="str">
        <f aca="false">IF($E1929="","",IF($B1929="Tema",INDEX(Temas!$B$6:$B$305,$C1929)&amp;"",INDEX(Avulsos!$C$6:$C$205,$C1929)&amp;""))</f>
        <v/>
      </c>
      <c r="G1929" s="114" t="str">
        <f aca="false">IF($E1929="","",IF($B1929="Tema",INDEX(Config!$C$6:$C$11,$D1929),"Evento avulso"))</f>
        <v/>
      </c>
      <c r="H1929" s="114" t="str">
        <f aca="false">IF($E1929="","",IF($B1929="Tema",INDEX(Config!$D$6:$D$11,$D1929),IFERROR(INDEX(Config!$E$15:$E$19,MATCH($I1929,Config!$C$15:$C$19,0)),"•")))</f>
        <v/>
      </c>
      <c r="I1929" s="114" t="str">
        <f aca="false">IF($E1929="","",IF($B1929="Tema",INDEX(Config!$E$6:$E$11,$D1929),IF(INDEX(Avulsos!$D$6:$D$205,$C1929)&amp;""="","Outro",INDEX(Avulsos!$D$6:$D$205,$C1929))))</f>
        <v/>
      </c>
      <c r="J1929" s="114" t="str">
        <f aca="false">IF($E1929="","",IF($B1929="Tema",INDEX(Temas!$C$6:$C$305,$C1929)&amp;"",INDEX(Avulsos!$E$6:$E$205,$C1929)&amp;""))</f>
        <v/>
      </c>
      <c r="K1929" s="114" t="str">
        <f aca="false">IF($E1929="","",IF(IF($B1929="Tema",INDEX(Temas!$E$6:$P$305,$C1929,2*$D1929),INDEX(Avulsos!$F$6:$F$205,$C1929))&amp;""="","","✓"))</f>
        <v/>
      </c>
      <c r="L1929" s="114" t="str">
        <f aca="true">IF($E1929="","",IF($K1929="✓","Concluído",IF($E1929&lt;TODAY(),"Atrasado",IF($E1929=TODAY(),"Hoje","Pendente"))))</f>
        <v/>
      </c>
      <c r="M1929" s="114" t="str">
        <f aca="false">IF($E1929="","",IF($K1929="✓","✓ ","")&amp;IF(Config!$E$22="Sim",$H1929&amp;" · ","")&amp;$F1929)</f>
        <v/>
      </c>
      <c r="N1929" s="114" t="str">
        <f aca="false">IF($E1929="","",IFERROR(INDEX(Config!$D$15:$D$19,MATCH($I1929,Config!$C$15:$C$19,0)),"OUT")&amp;IF($K1929="✓","x",""))</f>
        <v/>
      </c>
      <c r="O1929" s="114" t="str">
        <f aca="false">IF($E1929="","",COUNTIF($E$5:$E1929,$E1929))</f>
        <v/>
      </c>
      <c r="P1929" s="114" t="str">
        <f aca="false">IF($E1929="","",$E1929*100+$O1929)</f>
        <v/>
      </c>
      <c r="Q1929" s="114" t="str">
        <f aca="false">IF($L1929="Atrasado",$E1929*10000+$A1929,"")</f>
        <v/>
      </c>
    </row>
    <row r="1930" customFormat="false" ht="15" hidden="false" customHeight="false" outlineLevel="0" collapsed="false">
      <c r="A1930" s="114" t="n">
        <f aca="false">ROW()-4</f>
        <v>1926</v>
      </c>
      <c r="B1930" s="114" t="str">
        <f aca="false">IF(A1930&lt;=Config!$E$27*Config!$E$28,"Tema","Avulso")</f>
        <v>Avulso</v>
      </c>
      <c r="C1930" s="114" t="n">
        <f aca="false">IF(B1930="Tema",INT((A1930-1)/Config!$E$28)+1,A1930-Config!$E$27*Config!$E$28)</f>
        <v>126</v>
      </c>
      <c r="D1930" s="114" t="str">
        <f aca="false">IF(B1930="Tema",MOD(A1930-1,Config!$E$28)+1,"")</f>
        <v/>
      </c>
      <c r="E1930" s="115" t="str">
        <f aca="false">IF($B1930="Tema",IF(ISNUMBER(INDEX(Temas!$E$6:$P$305,$C1930,2*$D1930-1)),INDEX(Temas!$E$6:$P$305,$C1930,2*$D1930-1),""),IF(ISNUMBER(INDEX(Avulsos!$B$6:$B$205,$C1930)),INDEX(Avulsos!$B$6:$B$205,$C1930),""))</f>
        <v/>
      </c>
      <c r="F1930" s="114" t="str">
        <f aca="false">IF($E1930="","",IF($B1930="Tema",INDEX(Temas!$B$6:$B$305,$C1930)&amp;"",INDEX(Avulsos!$C$6:$C$205,$C1930)&amp;""))</f>
        <v/>
      </c>
      <c r="G1930" s="114" t="str">
        <f aca="false">IF($E1930="","",IF($B1930="Tema",INDEX(Config!$C$6:$C$11,$D1930),"Evento avulso"))</f>
        <v/>
      </c>
      <c r="H1930" s="114" t="str">
        <f aca="false">IF($E1930="","",IF($B1930="Tema",INDEX(Config!$D$6:$D$11,$D1930),IFERROR(INDEX(Config!$E$15:$E$19,MATCH($I1930,Config!$C$15:$C$19,0)),"•")))</f>
        <v/>
      </c>
      <c r="I1930" s="114" t="str">
        <f aca="false">IF($E1930="","",IF($B1930="Tema",INDEX(Config!$E$6:$E$11,$D1930),IF(INDEX(Avulsos!$D$6:$D$205,$C1930)&amp;""="","Outro",INDEX(Avulsos!$D$6:$D$205,$C1930))))</f>
        <v/>
      </c>
      <c r="J1930" s="114" t="str">
        <f aca="false">IF($E1930="","",IF($B1930="Tema",INDEX(Temas!$C$6:$C$305,$C1930)&amp;"",INDEX(Avulsos!$E$6:$E$205,$C1930)&amp;""))</f>
        <v/>
      </c>
      <c r="K1930" s="114" t="str">
        <f aca="false">IF($E1930="","",IF(IF($B1930="Tema",INDEX(Temas!$E$6:$P$305,$C1930,2*$D1930),INDEX(Avulsos!$F$6:$F$205,$C1930))&amp;""="","","✓"))</f>
        <v/>
      </c>
      <c r="L1930" s="114" t="str">
        <f aca="true">IF($E1930="","",IF($K1930="✓","Concluído",IF($E1930&lt;TODAY(),"Atrasado",IF($E1930=TODAY(),"Hoje","Pendente"))))</f>
        <v/>
      </c>
      <c r="M1930" s="114" t="str">
        <f aca="false">IF($E1930="","",IF($K1930="✓","✓ ","")&amp;IF(Config!$E$22="Sim",$H1930&amp;" · ","")&amp;$F1930)</f>
        <v/>
      </c>
      <c r="N1930" s="114" t="str">
        <f aca="false">IF($E1930="","",IFERROR(INDEX(Config!$D$15:$D$19,MATCH($I1930,Config!$C$15:$C$19,0)),"OUT")&amp;IF($K1930="✓","x",""))</f>
        <v/>
      </c>
      <c r="O1930" s="114" t="str">
        <f aca="false">IF($E1930="","",COUNTIF($E$5:$E1930,$E1930))</f>
        <v/>
      </c>
      <c r="P1930" s="114" t="str">
        <f aca="false">IF($E1930="","",$E1930*100+$O1930)</f>
        <v/>
      </c>
      <c r="Q1930" s="114" t="str">
        <f aca="false">IF($L1930="Atrasado",$E1930*10000+$A1930,"")</f>
        <v/>
      </c>
    </row>
    <row r="1931" customFormat="false" ht="15" hidden="false" customHeight="false" outlineLevel="0" collapsed="false">
      <c r="A1931" s="114" t="n">
        <f aca="false">ROW()-4</f>
        <v>1927</v>
      </c>
      <c r="B1931" s="114" t="str">
        <f aca="false">IF(A1931&lt;=Config!$E$27*Config!$E$28,"Tema","Avulso")</f>
        <v>Avulso</v>
      </c>
      <c r="C1931" s="114" t="n">
        <f aca="false">IF(B1931="Tema",INT((A1931-1)/Config!$E$28)+1,A1931-Config!$E$27*Config!$E$28)</f>
        <v>127</v>
      </c>
      <c r="D1931" s="114" t="str">
        <f aca="false">IF(B1931="Tema",MOD(A1931-1,Config!$E$28)+1,"")</f>
        <v/>
      </c>
      <c r="E1931" s="115" t="str">
        <f aca="false">IF($B1931="Tema",IF(ISNUMBER(INDEX(Temas!$E$6:$P$305,$C1931,2*$D1931-1)),INDEX(Temas!$E$6:$P$305,$C1931,2*$D1931-1),""),IF(ISNUMBER(INDEX(Avulsos!$B$6:$B$205,$C1931)),INDEX(Avulsos!$B$6:$B$205,$C1931),""))</f>
        <v/>
      </c>
      <c r="F1931" s="114" t="str">
        <f aca="false">IF($E1931="","",IF($B1931="Tema",INDEX(Temas!$B$6:$B$305,$C1931)&amp;"",INDEX(Avulsos!$C$6:$C$205,$C1931)&amp;""))</f>
        <v/>
      </c>
      <c r="G1931" s="114" t="str">
        <f aca="false">IF($E1931="","",IF($B1931="Tema",INDEX(Config!$C$6:$C$11,$D1931),"Evento avulso"))</f>
        <v/>
      </c>
      <c r="H1931" s="114" t="str">
        <f aca="false">IF($E1931="","",IF($B1931="Tema",INDEX(Config!$D$6:$D$11,$D1931),IFERROR(INDEX(Config!$E$15:$E$19,MATCH($I1931,Config!$C$15:$C$19,0)),"•")))</f>
        <v/>
      </c>
      <c r="I1931" s="114" t="str">
        <f aca="false">IF($E1931="","",IF($B1931="Tema",INDEX(Config!$E$6:$E$11,$D1931),IF(INDEX(Avulsos!$D$6:$D$205,$C1931)&amp;""="","Outro",INDEX(Avulsos!$D$6:$D$205,$C1931))))</f>
        <v/>
      </c>
      <c r="J1931" s="114" t="str">
        <f aca="false">IF($E1931="","",IF($B1931="Tema",INDEX(Temas!$C$6:$C$305,$C1931)&amp;"",INDEX(Avulsos!$E$6:$E$205,$C1931)&amp;""))</f>
        <v/>
      </c>
      <c r="K1931" s="114" t="str">
        <f aca="false">IF($E1931="","",IF(IF($B1931="Tema",INDEX(Temas!$E$6:$P$305,$C1931,2*$D1931),INDEX(Avulsos!$F$6:$F$205,$C1931))&amp;""="","","✓"))</f>
        <v/>
      </c>
      <c r="L1931" s="114" t="str">
        <f aca="true">IF($E1931="","",IF($K1931="✓","Concluído",IF($E1931&lt;TODAY(),"Atrasado",IF($E1931=TODAY(),"Hoje","Pendente"))))</f>
        <v/>
      </c>
      <c r="M1931" s="114" t="str">
        <f aca="false">IF($E1931="","",IF($K1931="✓","✓ ","")&amp;IF(Config!$E$22="Sim",$H1931&amp;" · ","")&amp;$F1931)</f>
        <v/>
      </c>
      <c r="N1931" s="114" t="str">
        <f aca="false">IF($E1931="","",IFERROR(INDEX(Config!$D$15:$D$19,MATCH($I1931,Config!$C$15:$C$19,0)),"OUT")&amp;IF($K1931="✓","x",""))</f>
        <v/>
      </c>
      <c r="O1931" s="114" t="str">
        <f aca="false">IF($E1931="","",COUNTIF($E$5:$E1931,$E1931))</f>
        <v/>
      </c>
      <c r="P1931" s="114" t="str">
        <f aca="false">IF($E1931="","",$E1931*100+$O1931)</f>
        <v/>
      </c>
      <c r="Q1931" s="114" t="str">
        <f aca="false">IF($L1931="Atrasado",$E1931*10000+$A1931,"")</f>
        <v/>
      </c>
    </row>
    <row r="1932" customFormat="false" ht="15" hidden="false" customHeight="false" outlineLevel="0" collapsed="false">
      <c r="A1932" s="114" t="n">
        <f aca="false">ROW()-4</f>
        <v>1928</v>
      </c>
      <c r="B1932" s="114" t="str">
        <f aca="false">IF(A1932&lt;=Config!$E$27*Config!$E$28,"Tema","Avulso")</f>
        <v>Avulso</v>
      </c>
      <c r="C1932" s="114" t="n">
        <f aca="false">IF(B1932="Tema",INT((A1932-1)/Config!$E$28)+1,A1932-Config!$E$27*Config!$E$28)</f>
        <v>128</v>
      </c>
      <c r="D1932" s="114" t="str">
        <f aca="false">IF(B1932="Tema",MOD(A1932-1,Config!$E$28)+1,"")</f>
        <v/>
      </c>
      <c r="E1932" s="115" t="str">
        <f aca="false">IF($B1932="Tema",IF(ISNUMBER(INDEX(Temas!$E$6:$P$305,$C1932,2*$D1932-1)),INDEX(Temas!$E$6:$P$305,$C1932,2*$D1932-1),""),IF(ISNUMBER(INDEX(Avulsos!$B$6:$B$205,$C1932)),INDEX(Avulsos!$B$6:$B$205,$C1932),""))</f>
        <v/>
      </c>
      <c r="F1932" s="114" t="str">
        <f aca="false">IF($E1932="","",IF($B1932="Tema",INDEX(Temas!$B$6:$B$305,$C1932)&amp;"",INDEX(Avulsos!$C$6:$C$205,$C1932)&amp;""))</f>
        <v/>
      </c>
      <c r="G1932" s="114" t="str">
        <f aca="false">IF($E1932="","",IF($B1932="Tema",INDEX(Config!$C$6:$C$11,$D1932),"Evento avulso"))</f>
        <v/>
      </c>
      <c r="H1932" s="114" t="str">
        <f aca="false">IF($E1932="","",IF($B1932="Tema",INDEX(Config!$D$6:$D$11,$D1932),IFERROR(INDEX(Config!$E$15:$E$19,MATCH($I1932,Config!$C$15:$C$19,0)),"•")))</f>
        <v/>
      </c>
      <c r="I1932" s="114" t="str">
        <f aca="false">IF($E1932="","",IF($B1932="Tema",INDEX(Config!$E$6:$E$11,$D1932),IF(INDEX(Avulsos!$D$6:$D$205,$C1932)&amp;""="","Outro",INDEX(Avulsos!$D$6:$D$205,$C1932))))</f>
        <v/>
      </c>
      <c r="J1932" s="114" t="str">
        <f aca="false">IF($E1932="","",IF($B1932="Tema",INDEX(Temas!$C$6:$C$305,$C1932)&amp;"",INDEX(Avulsos!$E$6:$E$205,$C1932)&amp;""))</f>
        <v/>
      </c>
      <c r="K1932" s="114" t="str">
        <f aca="false">IF($E1932="","",IF(IF($B1932="Tema",INDEX(Temas!$E$6:$P$305,$C1932,2*$D1932),INDEX(Avulsos!$F$6:$F$205,$C1932))&amp;""="","","✓"))</f>
        <v/>
      </c>
      <c r="L1932" s="114" t="str">
        <f aca="true">IF($E1932="","",IF($K1932="✓","Concluído",IF($E1932&lt;TODAY(),"Atrasado",IF($E1932=TODAY(),"Hoje","Pendente"))))</f>
        <v/>
      </c>
      <c r="M1932" s="114" t="str">
        <f aca="false">IF($E1932="","",IF($K1932="✓","✓ ","")&amp;IF(Config!$E$22="Sim",$H1932&amp;" · ","")&amp;$F1932)</f>
        <v/>
      </c>
      <c r="N1932" s="114" t="str">
        <f aca="false">IF($E1932="","",IFERROR(INDEX(Config!$D$15:$D$19,MATCH($I1932,Config!$C$15:$C$19,0)),"OUT")&amp;IF($K1932="✓","x",""))</f>
        <v/>
      </c>
      <c r="O1932" s="114" t="str">
        <f aca="false">IF($E1932="","",COUNTIF($E$5:$E1932,$E1932))</f>
        <v/>
      </c>
      <c r="P1932" s="114" t="str">
        <f aca="false">IF($E1932="","",$E1932*100+$O1932)</f>
        <v/>
      </c>
      <c r="Q1932" s="114" t="str">
        <f aca="false">IF($L1932="Atrasado",$E1932*10000+$A1932,"")</f>
        <v/>
      </c>
    </row>
    <row r="1933" customFormat="false" ht="15" hidden="false" customHeight="false" outlineLevel="0" collapsed="false">
      <c r="A1933" s="114" t="n">
        <f aca="false">ROW()-4</f>
        <v>1929</v>
      </c>
      <c r="B1933" s="114" t="str">
        <f aca="false">IF(A1933&lt;=Config!$E$27*Config!$E$28,"Tema","Avulso")</f>
        <v>Avulso</v>
      </c>
      <c r="C1933" s="114" t="n">
        <f aca="false">IF(B1933="Tema",INT((A1933-1)/Config!$E$28)+1,A1933-Config!$E$27*Config!$E$28)</f>
        <v>129</v>
      </c>
      <c r="D1933" s="114" t="str">
        <f aca="false">IF(B1933="Tema",MOD(A1933-1,Config!$E$28)+1,"")</f>
        <v/>
      </c>
      <c r="E1933" s="115" t="str">
        <f aca="false">IF($B1933="Tema",IF(ISNUMBER(INDEX(Temas!$E$6:$P$305,$C1933,2*$D1933-1)),INDEX(Temas!$E$6:$P$305,$C1933,2*$D1933-1),""),IF(ISNUMBER(INDEX(Avulsos!$B$6:$B$205,$C1933)),INDEX(Avulsos!$B$6:$B$205,$C1933),""))</f>
        <v/>
      </c>
      <c r="F1933" s="114" t="str">
        <f aca="false">IF($E1933="","",IF($B1933="Tema",INDEX(Temas!$B$6:$B$305,$C1933)&amp;"",INDEX(Avulsos!$C$6:$C$205,$C1933)&amp;""))</f>
        <v/>
      </c>
      <c r="G1933" s="114" t="str">
        <f aca="false">IF($E1933="","",IF($B1933="Tema",INDEX(Config!$C$6:$C$11,$D1933),"Evento avulso"))</f>
        <v/>
      </c>
      <c r="H1933" s="114" t="str">
        <f aca="false">IF($E1933="","",IF($B1933="Tema",INDEX(Config!$D$6:$D$11,$D1933),IFERROR(INDEX(Config!$E$15:$E$19,MATCH($I1933,Config!$C$15:$C$19,0)),"•")))</f>
        <v/>
      </c>
      <c r="I1933" s="114" t="str">
        <f aca="false">IF($E1933="","",IF($B1933="Tema",INDEX(Config!$E$6:$E$11,$D1933),IF(INDEX(Avulsos!$D$6:$D$205,$C1933)&amp;""="","Outro",INDEX(Avulsos!$D$6:$D$205,$C1933))))</f>
        <v/>
      </c>
      <c r="J1933" s="114" t="str">
        <f aca="false">IF($E1933="","",IF($B1933="Tema",INDEX(Temas!$C$6:$C$305,$C1933)&amp;"",INDEX(Avulsos!$E$6:$E$205,$C1933)&amp;""))</f>
        <v/>
      </c>
      <c r="K1933" s="114" t="str">
        <f aca="false">IF($E1933="","",IF(IF($B1933="Tema",INDEX(Temas!$E$6:$P$305,$C1933,2*$D1933),INDEX(Avulsos!$F$6:$F$205,$C1933))&amp;""="","","✓"))</f>
        <v/>
      </c>
      <c r="L1933" s="114" t="str">
        <f aca="true">IF($E1933="","",IF($K1933="✓","Concluído",IF($E1933&lt;TODAY(),"Atrasado",IF($E1933=TODAY(),"Hoje","Pendente"))))</f>
        <v/>
      </c>
      <c r="M1933" s="114" t="str">
        <f aca="false">IF($E1933="","",IF($K1933="✓","✓ ","")&amp;IF(Config!$E$22="Sim",$H1933&amp;" · ","")&amp;$F1933)</f>
        <v/>
      </c>
      <c r="N1933" s="114" t="str">
        <f aca="false">IF($E1933="","",IFERROR(INDEX(Config!$D$15:$D$19,MATCH($I1933,Config!$C$15:$C$19,0)),"OUT")&amp;IF($K1933="✓","x",""))</f>
        <v/>
      </c>
      <c r="O1933" s="114" t="str">
        <f aca="false">IF($E1933="","",COUNTIF($E$5:$E1933,$E1933))</f>
        <v/>
      </c>
      <c r="P1933" s="114" t="str">
        <f aca="false">IF($E1933="","",$E1933*100+$O1933)</f>
        <v/>
      </c>
      <c r="Q1933" s="114" t="str">
        <f aca="false">IF($L1933="Atrasado",$E1933*10000+$A1933,"")</f>
        <v/>
      </c>
    </row>
    <row r="1934" customFormat="false" ht="15" hidden="false" customHeight="false" outlineLevel="0" collapsed="false">
      <c r="A1934" s="114" t="n">
        <f aca="false">ROW()-4</f>
        <v>1930</v>
      </c>
      <c r="B1934" s="114" t="str">
        <f aca="false">IF(A1934&lt;=Config!$E$27*Config!$E$28,"Tema","Avulso")</f>
        <v>Avulso</v>
      </c>
      <c r="C1934" s="114" t="n">
        <f aca="false">IF(B1934="Tema",INT((A1934-1)/Config!$E$28)+1,A1934-Config!$E$27*Config!$E$28)</f>
        <v>130</v>
      </c>
      <c r="D1934" s="114" t="str">
        <f aca="false">IF(B1934="Tema",MOD(A1934-1,Config!$E$28)+1,"")</f>
        <v/>
      </c>
      <c r="E1934" s="115" t="str">
        <f aca="false">IF($B1934="Tema",IF(ISNUMBER(INDEX(Temas!$E$6:$P$305,$C1934,2*$D1934-1)),INDEX(Temas!$E$6:$P$305,$C1934,2*$D1934-1),""),IF(ISNUMBER(INDEX(Avulsos!$B$6:$B$205,$C1934)),INDEX(Avulsos!$B$6:$B$205,$C1934),""))</f>
        <v/>
      </c>
      <c r="F1934" s="114" t="str">
        <f aca="false">IF($E1934="","",IF($B1934="Tema",INDEX(Temas!$B$6:$B$305,$C1934)&amp;"",INDEX(Avulsos!$C$6:$C$205,$C1934)&amp;""))</f>
        <v/>
      </c>
      <c r="G1934" s="114" t="str">
        <f aca="false">IF($E1934="","",IF($B1934="Tema",INDEX(Config!$C$6:$C$11,$D1934),"Evento avulso"))</f>
        <v/>
      </c>
      <c r="H1934" s="114" t="str">
        <f aca="false">IF($E1934="","",IF($B1934="Tema",INDEX(Config!$D$6:$D$11,$D1934),IFERROR(INDEX(Config!$E$15:$E$19,MATCH($I1934,Config!$C$15:$C$19,0)),"•")))</f>
        <v/>
      </c>
      <c r="I1934" s="114" t="str">
        <f aca="false">IF($E1934="","",IF($B1934="Tema",INDEX(Config!$E$6:$E$11,$D1934),IF(INDEX(Avulsos!$D$6:$D$205,$C1934)&amp;""="","Outro",INDEX(Avulsos!$D$6:$D$205,$C1934))))</f>
        <v/>
      </c>
      <c r="J1934" s="114" t="str">
        <f aca="false">IF($E1934="","",IF($B1934="Tema",INDEX(Temas!$C$6:$C$305,$C1934)&amp;"",INDEX(Avulsos!$E$6:$E$205,$C1934)&amp;""))</f>
        <v/>
      </c>
      <c r="K1934" s="114" t="str">
        <f aca="false">IF($E1934="","",IF(IF($B1934="Tema",INDEX(Temas!$E$6:$P$305,$C1934,2*$D1934),INDEX(Avulsos!$F$6:$F$205,$C1934))&amp;""="","","✓"))</f>
        <v/>
      </c>
      <c r="L1934" s="114" t="str">
        <f aca="true">IF($E1934="","",IF($K1934="✓","Concluído",IF($E1934&lt;TODAY(),"Atrasado",IF($E1934=TODAY(),"Hoje","Pendente"))))</f>
        <v/>
      </c>
      <c r="M1934" s="114" t="str">
        <f aca="false">IF($E1934="","",IF($K1934="✓","✓ ","")&amp;IF(Config!$E$22="Sim",$H1934&amp;" · ","")&amp;$F1934)</f>
        <v/>
      </c>
      <c r="N1934" s="114" t="str">
        <f aca="false">IF($E1934="","",IFERROR(INDEX(Config!$D$15:$D$19,MATCH($I1934,Config!$C$15:$C$19,0)),"OUT")&amp;IF($K1934="✓","x",""))</f>
        <v/>
      </c>
      <c r="O1934" s="114" t="str">
        <f aca="false">IF($E1934="","",COUNTIF($E$5:$E1934,$E1934))</f>
        <v/>
      </c>
      <c r="P1934" s="114" t="str">
        <f aca="false">IF($E1934="","",$E1934*100+$O1934)</f>
        <v/>
      </c>
      <c r="Q1934" s="114" t="str">
        <f aca="false">IF($L1934="Atrasado",$E1934*10000+$A1934,"")</f>
        <v/>
      </c>
    </row>
    <row r="1935" customFormat="false" ht="15" hidden="false" customHeight="false" outlineLevel="0" collapsed="false">
      <c r="A1935" s="114" t="n">
        <f aca="false">ROW()-4</f>
        <v>1931</v>
      </c>
      <c r="B1935" s="114" t="str">
        <f aca="false">IF(A1935&lt;=Config!$E$27*Config!$E$28,"Tema","Avulso")</f>
        <v>Avulso</v>
      </c>
      <c r="C1935" s="114" t="n">
        <f aca="false">IF(B1935="Tema",INT((A1935-1)/Config!$E$28)+1,A1935-Config!$E$27*Config!$E$28)</f>
        <v>131</v>
      </c>
      <c r="D1935" s="114" t="str">
        <f aca="false">IF(B1935="Tema",MOD(A1935-1,Config!$E$28)+1,"")</f>
        <v/>
      </c>
      <c r="E1935" s="115" t="str">
        <f aca="false">IF($B1935="Tema",IF(ISNUMBER(INDEX(Temas!$E$6:$P$305,$C1935,2*$D1935-1)),INDEX(Temas!$E$6:$P$305,$C1935,2*$D1935-1),""),IF(ISNUMBER(INDEX(Avulsos!$B$6:$B$205,$C1935)),INDEX(Avulsos!$B$6:$B$205,$C1935),""))</f>
        <v/>
      </c>
      <c r="F1935" s="114" t="str">
        <f aca="false">IF($E1935="","",IF($B1935="Tema",INDEX(Temas!$B$6:$B$305,$C1935)&amp;"",INDEX(Avulsos!$C$6:$C$205,$C1935)&amp;""))</f>
        <v/>
      </c>
      <c r="G1935" s="114" t="str">
        <f aca="false">IF($E1935="","",IF($B1935="Tema",INDEX(Config!$C$6:$C$11,$D1935),"Evento avulso"))</f>
        <v/>
      </c>
      <c r="H1935" s="114" t="str">
        <f aca="false">IF($E1935="","",IF($B1935="Tema",INDEX(Config!$D$6:$D$11,$D1935),IFERROR(INDEX(Config!$E$15:$E$19,MATCH($I1935,Config!$C$15:$C$19,0)),"•")))</f>
        <v/>
      </c>
      <c r="I1935" s="114" t="str">
        <f aca="false">IF($E1935="","",IF($B1935="Tema",INDEX(Config!$E$6:$E$11,$D1935),IF(INDEX(Avulsos!$D$6:$D$205,$C1935)&amp;""="","Outro",INDEX(Avulsos!$D$6:$D$205,$C1935))))</f>
        <v/>
      </c>
      <c r="J1935" s="114" t="str">
        <f aca="false">IF($E1935="","",IF($B1935="Tema",INDEX(Temas!$C$6:$C$305,$C1935)&amp;"",INDEX(Avulsos!$E$6:$E$205,$C1935)&amp;""))</f>
        <v/>
      </c>
      <c r="K1935" s="114" t="str">
        <f aca="false">IF($E1935="","",IF(IF($B1935="Tema",INDEX(Temas!$E$6:$P$305,$C1935,2*$D1935),INDEX(Avulsos!$F$6:$F$205,$C1935))&amp;""="","","✓"))</f>
        <v/>
      </c>
      <c r="L1935" s="114" t="str">
        <f aca="true">IF($E1935="","",IF($K1935="✓","Concluído",IF($E1935&lt;TODAY(),"Atrasado",IF($E1935=TODAY(),"Hoje","Pendente"))))</f>
        <v/>
      </c>
      <c r="M1935" s="114" t="str">
        <f aca="false">IF($E1935="","",IF($K1935="✓","✓ ","")&amp;IF(Config!$E$22="Sim",$H1935&amp;" · ","")&amp;$F1935)</f>
        <v/>
      </c>
      <c r="N1935" s="114" t="str">
        <f aca="false">IF($E1935="","",IFERROR(INDEX(Config!$D$15:$D$19,MATCH($I1935,Config!$C$15:$C$19,0)),"OUT")&amp;IF($K1935="✓","x",""))</f>
        <v/>
      </c>
      <c r="O1935" s="114" t="str">
        <f aca="false">IF($E1935="","",COUNTIF($E$5:$E1935,$E1935))</f>
        <v/>
      </c>
      <c r="P1935" s="114" t="str">
        <f aca="false">IF($E1935="","",$E1935*100+$O1935)</f>
        <v/>
      </c>
      <c r="Q1935" s="114" t="str">
        <f aca="false">IF($L1935="Atrasado",$E1935*10000+$A1935,"")</f>
        <v/>
      </c>
    </row>
    <row r="1936" customFormat="false" ht="15" hidden="false" customHeight="false" outlineLevel="0" collapsed="false">
      <c r="A1936" s="114" t="n">
        <f aca="false">ROW()-4</f>
        <v>1932</v>
      </c>
      <c r="B1936" s="114" t="str">
        <f aca="false">IF(A1936&lt;=Config!$E$27*Config!$E$28,"Tema","Avulso")</f>
        <v>Avulso</v>
      </c>
      <c r="C1936" s="114" t="n">
        <f aca="false">IF(B1936="Tema",INT((A1936-1)/Config!$E$28)+1,A1936-Config!$E$27*Config!$E$28)</f>
        <v>132</v>
      </c>
      <c r="D1936" s="114" t="str">
        <f aca="false">IF(B1936="Tema",MOD(A1936-1,Config!$E$28)+1,"")</f>
        <v/>
      </c>
      <c r="E1936" s="115" t="str">
        <f aca="false">IF($B1936="Tema",IF(ISNUMBER(INDEX(Temas!$E$6:$P$305,$C1936,2*$D1936-1)),INDEX(Temas!$E$6:$P$305,$C1936,2*$D1936-1),""),IF(ISNUMBER(INDEX(Avulsos!$B$6:$B$205,$C1936)),INDEX(Avulsos!$B$6:$B$205,$C1936),""))</f>
        <v/>
      </c>
      <c r="F1936" s="114" t="str">
        <f aca="false">IF($E1936="","",IF($B1936="Tema",INDEX(Temas!$B$6:$B$305,$C1936)&amp;"",INDEX(Avulsos!$C$6:$C$205,$C1936)&amp;""))</f>
        <v/>
      </c>
      <c r="G1936" s="114" t="str">
        <f aca="false">IF($E1936="","",IF($B1936="Tema",INDEX(Config!$C$6:$C$11,$D1936),"Evento avulso"))</f>
        <v/>
      </c>
      <c r="H1936" s="114" t="str">
        <f aca="false">IF($E1936="","",IF($B1936="Tema",INDEX(Config!$D$6:$D$11,$D1936),IFERROR(INDEX(Config!$E$15:$E$19,MATCH($I1936,Config!$C$15:$C$19,0)),"•")))</f>
        <v/>
      </c>
      <c r="I1936" s="114" t="str">
        <f aca="false">IF($E1936="","",IF($B1936="Tema",INDEX(Config!$E$6:$E$11,$D1936),IF(INDEX(Avulsos!$D$6:$D$205,$C1936)&amp;""="","Outro",INDEX(Avulsos!$D$6:$D$205,$C1936))))</f>
        <v/>
      </c>
      <c r="J1936" s="114" t="str">
        <f aca="false">IF($E1936="","",IF($B1936="Tema",INDEX(Temas!$C$6:$C$305,$C1936)&amp;"",INDEX(Avulsos!$E$6:$E$205,$C1936)&amp;""))</f>
        <v/>
      </c>
      <c r="K1936" s="114" t="str">
        <f aca="false">IF($E1936="","",IF(IF($B1936="Tema",INDEX(Temas!$E$6:$P$305,$C1936,2*$D1936),INDEX(Avulsos!$F$6:$F$205,$C1936))&amp;""="","","✓"))</f>
        <v/>
      </c>
      <c r="L1936" s="114" t="str">
        <f aca="true">IF($E1936="","",IF($K1936="✓","Concluído",IF($E1936&lt;TODAY(),"Atrasado",IF($E1936=TODAY(),"Hoje","Pendente"))))</f>
        <v/>
      </c>
      <c r="M1936" s="114" t="str">
        <f aca="false">IF($E1936="","",IF($K1936="✓","✓ ","")&amp;IF(Config!$E$22="Sim",$H1936&amp;" · ","")&amp;$F1936)</f>
        <v/>
      </c>
      <c r="N1936" s="114" t="str">
        <f aca="false">IF($E1936="","",IFERROR(INDEX(Config!$D$15:$D$19,MATCH($I1936,Config!$C$15:$C$19,0)),"OUT")&amp;IF($K1936="✓","x",""))</f>
        <v/>
      </c>
      <c r="O1936" s="114" t="str">
        <f aca="false">IF($E1936="","",COUNTIF($E$5:$E1936,$E1936))</f>
        <v/>
      </c>
      <c r="P1936" s="114" t="str">
        <f aca="false">IF($E1936="","",$E1936*100+$O1936)</f>
        <v/>
      </c>
      <c r="Q1936" s="114" t="str">
        <f aca="false">IF($L1936="Atrasado",$E1936*10000+$A1936,"")</f>
        <v/>
      </c>
    </row>
    <row r="1937" customFormat="false" ht="15" hidden="false" customHeight="false" outlineLevel="0" collapsed="false">
      <c r="A1937" s="114" t="n">
        <f aca="false">ROW()-4</f>
        <v>1933</v>
      </c>
      <c r="B1937" s="114" t="str">
        <f aca="false">IF(A1937&lt;=Config!$E$27*Config!$E$28,"Tema","Avulso")</f>
        <v>Avulso</v>
      </c>
      <c r="C1937" s="114" t="n">
        <f aca="false">IF(B1937="Tema",INT((A1937-1)/Config!$E$28)+1,A1937-Config!$E$27*Config!$E$28)</f>
        <v>133</v>
      </c>
      <c r="D1937" s="114" t="str">
        <f aca="false">IF(B1937="Tema",MOD(A1937-1,Config!$E$28)+1,"")</f>
        <v/>
      </c>
      <c r="E1937" s="115" t="str">
        <f aca="false">IF($B1937="Tema",IF(ISNUMBER(INDEX(Temas!$E$6:$P$305,$C1937,2*$D1937-1)),INDEX(Temas!$E$6:$P$305,$C1937,2*$D1937-1),""),IF(ISNUMBER(INDEX(Avulsos!$B$6:$B$205,$C1937)),INDEX(Avulsos!$B$6:$B$205,$C1937),""))</f>
        <v/>
      </c>
      <c r="F1937" s="114" t="str">
        <f aca="false">IF($E1937="","",IF($B1937="Tema",INDEX(Temas!$B$6:$B$305,$C1937)&amp;"",INDEX(Avulsos!$C$6:$C$205,$C1937)&amp;""))</f>
        <v/>
      </c>
      <c r="G1937" s="114" t="str">
        <f aca="false">IF($E1937="","",IF($B1937="Tema",INDEX(Config!$C$6:$C$11,$D1937),"Evento avulso"))</f>
        <v/>
      </c>
      <c r="H1937" s="114" t="str">
        <f aca="false">IF($E1937="","",IF($B1937="Tema",INDEX(Config!$D$6:$D$11,$D1937),IFERROR(INDEX(Config!$E$15:$E$19,MATCH($I1937,Config!$C$15:$C$19,0)),"•")))</f>
        <v/>
      </c>
      <c r="I1937" s="114" t="str">
        <f aca="false">IF($E1937="","",IF($B1937="Tema",INDEX(Config!$E$6:$E$11,$D1937),IF(INDEX(Avulsos!$D$6:$D$205,$C1937)&amp;""="","Outro",INDEX(Avulsos!$D$6:$D$205,$C1937))))</f>
        <v/>
      </c>
      <c r="J1937" s="114" t="str">
        <f aca="false">IF($E1937="","",IF($B1937="Tema",INDEX(Temas!$C$6:$C$305,$C1937)&amp;"",INDEX(Avulsos!$E$6:$E$205,$C1937)&amp;""))</f>
        <v/>
      </c>
      <c r="K1937" s="114" t="str">
        <f aca="false">IF($E1937="","",IF(IF($B1937="Tema",INDEX(Temas!$E$6:$P$305,$C1937,2*$D1937),INDEX(Avulsos!$F$6:$F$205,$C1937))&amp;""="","","✓"))</f>
        <v/>
      </c>
      <c r="L1937" s="114" t="str">
        <f aca="true">IF($E1937="","",IF($K1937="✓","Concluído",IF($E1937&lt;TODAY(),"Atrasado",IF($E1937=TODAY(),"Hoje","Pendente"))))</f>
        <v/>
      </c>
      <c r="M1937" s="114" t="str">
        <f aca="false">IF($E1937="","",IF($K1937="✓","✓ ","")&amp;IF(Config!$E$22="Sim",$H1937&amp;" · ","")&amp;$F1937)</f>
        <v/>
      </c>
      <c r="N1937" s="114" t="str">
        <f aca="false">IF($E1937="","",IFERROR(INDEX(Config!$D$15:$D$19,MATCH($I1937,Config!$C$15:$C$19,0)),"OUT")&amp;IF($K1937="✓","x",""))</f>
        <v/>
      </c>
      <c r="O1937" s="114" t="str">
        <f aca="false">IF($E1937="","",COUNTIF($E$5:$E1937,$E1937))</f>
        <v/>
      </c>
      <c r="P1937" s="114" t="str">
        <f aca="false">IF($E1937="","",$E1937*100+$O1937)</f>
        <v/>
      </c>
      <c r="Q1937" s="114" t="str">
        <f aca="false">IF($L1937="Atrasado",$E1937*10000+$A1937,"")</f>
        <v/>
      </c>
    </row>
    <row r="1938" customFormat="false" ht="15" hidden="false" customHeight="false" outlineLevel="0" collapsed="false">
      <c r="A1938" s="114" t="n">
        <f aca="false">ROW()-4</f>
        <v>1934</v>
      </c>
      <c r="B1938" s="114" t="str">
        <f aca="false">IF(A1938&lt;=Config!$E$27*Config!$E$28,"Tema","Avulso")</f>
        <v>Avulso</v>
      </c>
      <c r="C1938" s="114" t="n">
        <f aca="false">IF(B1938="Tema",INT((A1938-1)/Config!$E$28)+1,A1938-Config!$E$27*Config!$E$28)</f>
        <v>134</v>
      </c>
      <c r="D1938" s="114" t="str">
        <f aca="false">IF(B1938="Tema",MOD(A1938-1,Config!$E$28)+1,"")</f>
        <v/>
      </c>
      <c r="E1938" s="115" t="str">
        <f aca="false">IF($B1938="Tema",IF(ISNUMBER(INDEX(Temas!$E$6:$P$305,$C1938,2*$D1938-1)),INDEX(Temas!$E$6:$P$305,$C1938,2*$D1938-1),""),IF(ISNUMBER(INDEX(Avulsos!$B$6:$B$205,$C1938)),INDEX(Avulsos!$B$6:$B$205,$C1938),""))</f>
        <v/>
      </c>
      <c r="F1938" s="114" t="str">
        <f aca="false">IF($E1938="","",IF($B1938="Tema",INDEX(Temas!$B$6:$B$305,$C1938)&amp;"",INDEX(Avulsos!$C$6:$C$205,$C1938)&amp;""))</f>
        <v/>
      </c>
      <c r="G1938" s="114" t="str">
        <f aca="false">IF($E1938="","",IF($B1938="Tema",INDEX(Config!$C$6:$C$11,$D1938),"Evento avulso"))</f>
        <v/>
      </c>
      <c r="H1938" s="114" t="str">
        <f aca="false">IF($E1938="","",IF($B1938="Tema",INDEX(Config!$D$6:$D$11,$D1938),IFERROR(INDEX(Config!$E$15:$E$19,MATCH($I1938,Config!$C$15:$C$19,0)),"•")))</f>
        <v/>
      </c>
      <c r="I1938" s="114" t="str">
        <f aca="false">IF($E1938="","",IF($B1938="Tema",INDEX(Config!$E$6:$E$11,$D1938),IF(INDEX(Avulsos!$D$6:$D$205,$C1938)&amp;""="","Outro",INDEX(Avulsos!$D$6:$D$205,$C1938))))</f>
        <v/>
      </c>
      <c r="J1938" s="114" t="str">
        <f aca="false">IF($E1938="","",IF($B1938="Tema",INDEX(Temas!$C$6:$C$305,$C1938)&amp;"",INDEX(Avulsos!$E$6:$E$205,$C1938)&amp;""))</f>
        <v/>
      </c>
      <c r="K1938" s="114" t="str">
        <f aca="false">IF($E1938="","",IF(IF($B1938="Tema",INDEX(Temas!$E$6:$P$305,$C1938,2*$D1938),INDEX(Avulsos!$F$6:$F$205,$C1938))&amp;""="","","✓"))</f>
        <v/>
      </c>
      <c r="L1938" s="114" t="str">
        <f aca="true">IF($E1938="","",IF($K1938="✓","Concluído",IF($E1938&lt;TODAY(),"Atrasado",IF($E1938=TODAY(),"Hoje","Pendente"))))</f>
        <v/>
      </c>
      <c r="M1938" s="114" t="str">
        <f aca="false">IF($E1938="","",IF($K1938="✓","✓ ","")&amp;IF(Config!$E$22="Sim",$H1938&amp;" · ","")&amp;$F1938)</f>
        <v/>
      </c>
      <c r="N1938" s="114" t="str">
        <f aca="false">IF($E1938="","",IFERROR(INDEX(Config!$D$15:$D$19,MATCH($I1938,Config!$C$15:$C$19,0)),"OUT")&amp;IF($K1938="✓","x",""))</f>
        <v/>
      </c>
      <c r="O1938" s="114" t="str">
        <f aca="false">IF($E1938="","",COUNTIF($E$5:$E1938,$E1938))</f>
        <v/>
      </c>
      <c r="P1938" s="114" t="str">
        <f aca="false">IF($E1938="","",$E1938*100+$O1938)</f>
        <v/>
      </c>
      <c r="Q1938" s="114" t="str">
        <f aca="false">IF($L1938="Atrasado",$E1938*10000+$A1938,"")</f>
        <v/>
      </c>
    </row>
    <row r="1939" customFormat="false" ht="15" hidden="false" customHeight="false" outlineLevel="0" collapsed="false">
      <c r="A1939" s="114" t="n">
        <f aca="false">ROW()-4</f>
        <v>1935</v>
      </c>
      <c r="B1939" s="114" t="str">
        <f aca="false">IF(A1939&lt;=Config!$E$27*Config!$E$28,"Tema","Avulso")</f>
        <v>Avulso</v>
      </c>
      <c r="C1939" s="114" t="n">
        <f aca="false">IF(B1939="Tema",INT((A1939-1)/Config!$E$28)+1,A1939-Config!$E$27*Config!$E$28)</f>
        <v>135</v>
      </c>
      <c r="D1939" s="114" t="str">
        <f aca="false">IF(B1939="Tema",MOD(A1939-1,Config!$E$28)+1,"")</f>
        <v/>
      </c>
      <c r="E1939" s="115" t="str">
        <f aca="false">IF($B1939="Tema",IF(ISNUMBER(INDEX(Temas!$E$6:$P$305,$C1939,2*$D1939-1)),INDEX(Temas!$E$6:$P$305,$C1939,2*$D1939-1),""),IF(ISNUMBER(INDEX(Avulsos!$B$6:$B$205,$C1939)),INDEX(Avulsos!$B$6:$B$205,$C1939),""))</f>
        <v/>
      </c>
      <c r="F1939" s="114" t="str">
        <f aca="false">IF($E1939="","",IF($B1939="Tema",INDEX(Temas!$B$6:$B$305,$C1939)&amp;"",INDEX(Avulsos!$C$6:$C$205,$C1939)&amp;""))</f>
        <v/>
      </c>
      <c r="G1939" s="114" t="str">
        <f aca="false">IF($E1939="","",IF($B1939="Tema",INDEX(Config!$C$6:$C$11,$D1939),"Evento avulso"))</f>
        <v/>
      </c>
      <c r="H1939" s="114" t="str">
        <f aca="false">IF($E1939="","",IF($B1939="Tema",INDEX(Config!$D$6:$D$11,$D1939),IFERROR(INDEX(Config!$E$15:$E$19,MATCH($I1939,Config!$C$15:$C$19,0)),"•")))</f>
        <v/>
      </c>
      <c r="I1939" s="114" t="str">
        <f aca="false">IF($E1939="","",IF($B1939="Tema",INDEX(Config!$E$6:$E$11,$D1939),IF(INDEX(Avulsos!$D$6:$D$205,$C1939)&amp;""="","Outro",INDEX(Avulsos!$D$6:$D$205,$C1939))))</f>
        <v/>
      </c>
      <c r="J1939" s="114" t="str">
        <f aca="false">IF($E1939="","",IF($B1939="Tema",INDEX(Temas!$C$6:$C$305,$C1939)&amp;"",INDEX(Avulsos!$E$6:$E$205,$C1939)&amp;""))</f>
        <v/>
      </c>
      <c r="K1939" s="114" t="str">
        <f aca="false">IF($E1939="","",IF(IF($B1939="Tema",INDEX(Temas!$E$6:$P$305,$C1939,2*$D1939),INDEX(Avulsos!$F$6:$F$205,$C1939))&amp;""="","","✓"))</f>
        <v/>
      </c>
      <c r="L1939" s="114" t="str">
        <f aca="true">IF($E1939="","",IF($K1939="✓","Concluído",IF($E1939&lt;TODAY(),"Atrasado",IF($E1939=TODAY(),"Hoje","Pendente"))))</f>
        <v/>
      </c>
      <c r="M1939" s="114" t="str">
        <f aca="false">IF($E1939="","",IF($K1939="✓","✓ ","")&amp;IF(Config!$E$22="Sim",$H1939&amp;" · ","")&amp;$F1939)</f>
        <v/>
      </c>
      <c r="N1939" s="114" t="str">
        <f aca="false">IF($E1939="","",IFERROR(INDEX(Config!$D$15:$D$19,MATCH($I1939,Config!$C$15:$C$19,0)),"OUT")&amp;IF($K1939="✓","x",""))</f>
        <v/>
      </c>
      <c r="O1939" s="114" t="str">
        <f aca="false">IF($E1939="","",COUNTIF($E$5:$E1939,$E1939))</f>
        <v/>
      </c>
      <c r="P1939" s="114" t="str">
        <f aca="false">IF($E1939="","",$E1939*100+$O1939)</f>
        <v/>
      </c>
      <c r="Q1939" s="114" t="str">
        <f aca="false">IF($L1939="Atrasado",$E1939*10000+$A1939,"")</f>
        <v/>
      </c>
    </row>
    <row r="1940" customFormat="false" ht="15" hidden="false" customHeight="false" outlineLevel="0" collapsed="false">
      <c r="A1940" s="114" t="n">
        <f aca="false">ROW()-4</f>
        <v>1936</v>
      </c>
      <c r="B1940" s="114" t="str">
        <f aca="false">IF(A1940&lt;=Config!$E$27*Config!$E$28,"Tema","Avulso")</f>
        <v>Avulso</v>
      </c>
      <c r="C1940" s="114" t="n">
        <f aca="false">IF(B1940="Tema",INT((A1940-1)/Config!$E$28)+1,A1940-Config!$E$27*Config!$E$28)</f>
        <v>136</v>
      </c>
      <c r="D1940" s="114" t="str">
        <f aca="false">IF(B1940="Tema",MOD(A1940-1,Config!$E$28)+1,"")</f>
        <v/>
      </c>
      <c r="E1940" s="115" t="str">
        <f aca="false">IF($B1940="Tema",IF(ISNUMBER(INDEX(Temas!$E$6:$P$305,$C1940,2*$D1940-1)),INDEX(Temas!$E$6:$P$305,$C1940,2*$D1940-1),""),IF(ISNUMBER(INDEX(Avulsos!$B$6:$B$205,$C1940)),INDEX(Avulsos!$B$6:$B$205,$C1940),""))</f>
        <v/>
      </c>
      <c r="F1940" s="114" t="str">
        <f aca="false">IF($E1940="","",IF($B1940="Tema",INDEX(Temas!$B$6:$B$305,$C1940)&amp;"",INDEX(Avulsos!$C$6:$C$205,$C1940)&amp;""))</f>
        <v/>
      </c>
      <c r="G1940" s="114" t="str">
        <f aca="false">IF($E1940="","",IF($B1940="Tema",INDEX(Config!$C$6:$C$11,$D1940),"Evento avulso"))</f>
        <v/>
      </c>
      <c r="H1940" s="114" t="str">
        <f aca="false">IF($E1940="","",IF($B1940="Tema",INDEX(Config!$D$6:$D$11,$D1940),IFERROR(INDEX(Config!$E$15:$E$19,MATCH($I1940,Config!$C$15:$C$19,0)),"•")))</f>
        <v/>
      </c>
      <c r="I1940" s="114" t="str">
        <f aca="false">IF($E1940="","",IF($B1940="Tema",INDEX(Config!$E$6:$E$11,$D1940),IF(INDEX(Avulsos!$D$6:$D$205,$C1940)&amp;""="","Outro",INDEX(Avulsos!$D$6:$D$205,$C1940))))</f>
        <v/>
      </c>
      <c r="J1940" s="114" t="str">
        <f aca="false">IF($E1940="","",IF($B1940="Tema",INDEX(Temas!$C$6:$C$305,$C1940)&amp;"",INDEX(Avulsos!$E$6:$E$205,$C1940)&amp;""))</f>
        <v/>
      </c>
      <c r="K1940" s="114" t="str">
        <f aca="false">IF($E1940="","",IF(IF($B1940="Tema",INDEX(Temas!$E$6:$P$305,$C1940,2*$D1940),INDEX(Avulsos!$F$6:$F$205,$C1940))&amp;""="","","✓"))</f>
        <v/>
      </c>
      <c r="L1940" s="114" t="str">
        <f aca="true">IF($E1940="","",IF($K1940="✓","Concluído",IF($E1940&lt;TODAY(),"Atrasado",IF($E1940=TODAY(),"Hoje","Pendente"))))</f>
        <v/>
      </c>
      <c r="M1940" s="114" t="str">
        <f aca="false">IF($E1940="","",IF($K1940="✓","✓ ","")&amp;IF(Config!$E$22="Sim",$H1940&amp;" · ","")&amp;$F1940)</f>
        <v/>
      </c>
      <c r="N1940" s="114" t="str">
        <f aca="false">IF($E1940="","",IFERROR(INDEX(Config!$D$15:$D$19,MATCH($I1940,Config!$C$15:$C$19,0)),"OUT")&amp;IF($K1940="✓","x",""))</f>
        <v/>
      </c>
      <c r="O1940" s="114" t="str">
        <f aca="false">IF($E1940="","",COUNTIF($E$5:$E1940,$E1940))</f>
        <v/>
      </c>
      <c r="P1940" s="114" t="str">
        <f aca="false">IF($E1940="","",$E1940*100+$O1940)</f>
        <v/>
      </c>
      <c r="Q1940" s="114" t="str">
        <f aca="false">IF($L1940="Atrasado",$E1940*10000+$A1940,"")</f>
        <v/>
      </c>
    </row>
    <row r="1941" customFormat="false" ht="15" hidden="false" customHeight="false" outlineLevel="0" collapsed="false">
      <c r="A1941" s="114" t="n">
        <f aca="false">ROW()-4</f>
        <v>1937</v>
      </c>
      <c r="B1941" s="114" t="str">
        <f aca="false">IF(A1941&lt;=Config!$E$27*Config!$E$28,"Tema","Avulso")</f>
        <v>Avulso</v>
      </c>
      <c r="C1941" s="114" t="n">
        <f aca="false">IF(B1941="Tema",INT((A1941-1)/Config!$E$28)+1,A1941-Config!$E$27*Config!$E$28)</f>
        <v>137</v>
      </c>
      <c r="D1941" s="114" t="str">
        <f aca="false">IF(B1941="Tema",MOD(A1941-1,Config!$E$28)+1,"")</f>
        <v/>
      </c>
      <c r="E1941" s="115" t="str">
        <f aca="false">IF($B1941="Tema",IF(ISNUMBER(INDEX(Temas!$E$6:$P$305,$C1941,2*$D1941-1)),INDEX(Temas!$E$6:$P$305,$C1941,2*$D1941-1),""),IF(ISNUMBER(INDEX(Avulsos!$B$6:$B$205,$C1941)),INDEX(Avulsos!$B$6:$B$205,$C1941),""))</f>
        <v/>
      </c>
      <c r="F1941" s="114" t="str">
        <f aca="false">IF($E1941="","",IF($B1941="Tema",INDEX(Temas!$B$6:$B$305,$C1941)&amp;"",INDEX(Avulsos!$C$6:$C$205,$C1941)&amp;""))</f>
        <v/>
      </c>
      <c r="G1941" s="114" t="str">
        <f aca="false">IF($E1941="","",IF($B1941="Tema",INDEX(Config!$C$6:$C$11,$D1941),"Evento avulso"))</f>
        <v/>
      </c>
      <c r="H1941" s="114" t="str">
        <f aca="false">IF($E1941="","",IF($B1941="Tema",INDEX(Config!$D$6:$D$11,$D1941),IFERROR(INDEX(Config!$E$15:$E$19,MATCH($I1941,Config!$C$15:$C$19,0)),"•")))</f>
        <v/>
      </c>
      <c r="I1941" s="114" t="str">
        <f aca="false">IF($E1941="","",IF($B1941="Tema",INDEX(Config!$E$6:$E$11,$D1941),IF(INDEX(Avulsos!$D$6:$D$205,$C1941)&amp;""="","Outro",INDEX(Avulsos!$D$6:$D$205,$C1941))))</f>
        <v/>
      </c>
      <c r="J1941" s="114" t="str">
        <f aca="false">IF($E1941="","",IF($B1941="Tema",INDEX(Temas!$C$6:$C$305,$C1941)&amp;"",INDEX(Avulsos!$E$6:$E$205,$C1941)&amp;""))</f>
        <v/>
      </c>
      <c r="K1941" s="114" t="str">
        <f aca="false">IF($E1941="","",IF(IF($B1941="Tema",INDEX(Temas!$E$6:$P$305,$C1941,2*$D1941),INDEX(Avulsos!$F$6:$F$205,$C1941))&amp;""="","","✓"))</f>
        <v/>
      </c>
      <c r="L1941" s="114" t="str">
        <f aca="true">IF($E1941="","",IF($K1941="✓","Concluído",IF($E1941&lt;TODAY(),"Atrasado",IF($E1941=TODAY(),"Hoje","Pendente"))))</f>
        <v/>
      </c>
      <c r="M1941" s="114" t="str">
        <f aca="false">IF($E1941="","",IF($K1941="✓","✓ ","")&amp;IF(Config!$E$22="Sim",$H1941&amp;" · ","")&amp;$F1941)</f>
        <v/>
      </c>
      <c r="N1941" s="114" t="str">
        <f aca="false">IF($E1941="","",IFERROR(INDEX(Config!$D$15:$D$19,MATCH($I1941,Config!$C$15:$C$19,0)),"OUT")&amp;IF($K1941="✓","x",""))</f>
        <v/>
      </c>
      <c r="O1941" s="114" t="str">
        <f aca="false">IF($E1941="","",COUNTIF($E$5:$E1941,$E1941))</f>
        <v/>
      </c>
      <c r="P1941" s="114" t="str">
        <f aca="false">IF($E1941="","",$E1941*100+$O1941)</f>
        <v/>
      </c>
      <c r="Q1941" s="114" t="str">
        <f aca="false">IF($L1941="Atrasado",$E1941*10000+$A1941,"")</f>
        <v/>
      </c>
    </row>
    <row r="1942" customFormat="false" ht="15" hidden="false" customHeight="false" outlineLevel="0" collapsed="false">
      <c r="A1942" s="114" t="n">
        <f aca="false">ROW()-4</f>
        <v>1938</v>
      </c>
      <c r="B1942" s="114" t="str">
        <f aca="false">IF(A1942&lt;=Config!$E$27*Config!$E$28,"Tema","Avulso")</f>
        <v>Avulso</v>
      </c>
      <c r="C1942" s="114" t="n">
        <f aca="false">IF(B1942="Tema",INT((A1942-1)/Config!$E$28)+1,A1942-Config!$E$27*Config!$E$28)</f>
        <v>138</v>
      </c>
      <c r="D1942" s="114" t="str">
        <f aca="false">IF(B1942="Tema",MOD(A1942-1,Config!$E$28)+1,"")</f>
        <v/>
      </c>
      <c r="E1942" s="115" t="str">
        <f aca="false">IF($B1942="Tema",IF(ISNUMBER(INDEX(Temas!$E$6:$P$305,$C1942,2*$D1942-1)),INDEX(Temas!$E$6:$P$305,$C1942,2*$D1942-1),""),IF(ISNUMBER(INDEX(Avulsos!$B$6:$B$205,$C1942)),INDEX(Avulsos!$B$6:$B$205,$C1942),""))</f>
        <v/>
      </c>
      <c r="F1942" s="114" t="str">
        <f aca="false">IF($E1942="","",IF($B1942="Tema",INDEX(Temas!$B$6:$B$305,$C1942)&amp;"",INDEX(Avulsos!$C$6:$C$205,$C1942)&amp;""))</f>
        <v/>
      </c>
      <c r="G1942" s="114" t="str">
        <f aca="false">IF($E1942="","",IF($B1942="Tema",INDEX(Config!$C$6:$C$11,$D1942),"Evento avulso"))</f>
        <v/>
      </c>
      <c r="H1942" s="114" t="str">
        <f aca="false">IF($E1942="","",IF($B1942="Tema",INDEX(Config!$D$6:$D$11,$D1942),IFERROR(INDEX(Config!$E$15:$E$19,MATCH($I1942,Config!$C$15:$C$19,0)),"•")))</f>
        <v/>
      </c>
      <c r="I1942" s="114" t="str">
        <f aca="false">IF($E1942="","",IF($B1942="Tema",INDEX(Config!$E$6:$E$11,$D1942),IF(INDEX(Avulsos!$D$6:$D$205,$C1942)&amp;""="","Outro",INDEX(Avulsos!$D$6:$D$205,$C1942))))</f>
        <v/>
      </c>
      <c r="J1942" s="114" t="str">
        <f aca="false">IF($E1942="","",IF($B1942="Tema",INDEX(Temas!$C$6:$C$305,$C1942)&amp;"",INDEX(Avulsos!$E$6:$E$205,$C1942)&amp;""))</f>
        <v/>
      </c>
      <c r="K1942" s="114" t="str">
        <f aca="false">IF($E1942="","",IF(IF($B1942="Tema",INDEX(Temas!$E$6:$P$305,$C1942,2*$D1942),INDEX(Avulsos!$F$6:$F$205,$C1942))&amp;""="","","✓"))</f>
        <v/>
      </c>
      <c r="L1942" s="114" t="str">
        <f aca="true">IF($E1942="","",IF($K1942="✓","Concluído",IF($E1942&lt;TODAY(),"Atrasado",IF($E1942=TODAY(),"Hoje","Pendente"))))</f>
        <v/>
      </c>
      <c r="M1942" s="114" t="str">
        <f aca="false">IF($E1942="","",IF($K1942="✓","✓ ","")&amp;IF(Config!$E$22="Sim",$H1942&amp;" · ","")&amp;$F1942)</f>
        <v/>
      </c>
      <c r="N1942" s="114" t="str">
        <f aca="false">IF($E1942="","",IFERROR(INDEX(Config!$D$15:$D$19,MATCH($I1942,Config!$C$15:$C$19,0)),"OUT")&amp;IF($K1942="✓","x",""))</f>
        <v/>
      </c>
      <c r="O1942" s="114" t="str">
        <f aca="false">IF($E1942="","",COUNTIF($E$5:$E1942,$E1942))</f>
        <v/>
      </c>
      <c r="P1942" s="114" t="str">
        <f aca="false">IF($E1942="","",$E1942*100+$O1942)</f>
        <v/>
      </c>
      <c r="Q1942" s="114" t="str">
        <f aca="false">IF($L1942="Atrasado",$E1942*10000+$A1942,"")</f>
        <v/>
      </c>
    </row>
    <row r="1943" customFormat="false" ht="15" hidden="false" customHeight="false" outlineLevel="0" collapsed="false">
      <c r="A1943" s="114" t="n">
        <f aca="false">ROW()-4</f>
        <v>1939</v>
      </c>
      <c r="B1943" s="114" t="str">
        <f aca="false">IF(A1943&lt;=Config!$E$27*Config!$E$28,"Tema","Avulso")</f>
        <v>Avulso</v>
      </c>
      <c r="C1943" s="114" t="n">
        <f aca="false">IF(B1943="Tema",INT((A1943-1)/Config!$E$28)+1,A1943-Config!$E$27*Config!$E$28)</f>
        <v>139</v>
      </c>
      <c r="D1943" s="114" t="str">
        <f aca="false">IF(B1943="Tema",MOD(A1943-1,Config!$E$28)+1,"")</f>
        <v/>
      </c>
      <c r="E1943" s="115" t="str">
        <f aca="false">IF($B1943="Tema",IF(ISNUMBER(INDEX(Temas!$E$6:$P$305,$C1943,2*$D1943-1)),INDEX(Temas!$E$6:$P$305,$C1943,2*$D1943-1),""),IF(ISNUMBER(INDEX(Avulsos!$B$6:$B$205,$C1943)),INDEX(Avulsos!$B$6:$B$205,$C1943),""))</f>
        <v/>
      </c>
      <c r="F1943" s="114" t="str">
        <f aca="false">IF($E1943="","",IF($B1943="Tema",INDEX(Temas!$B$6:$B$305,$C1943)&amp;"",INDEX(Avulsos!$C$6:$C$205,$C1943)&amp;""))</f>
        <v/>
      </c>
      <c r="G1943" s="114" t="str">
        <f aca="false">IF($E1943="","",IF($B1943="Tema",INDEX(Config!$C$6:$C$11,$D1943),"Evento avulso"))</f>
        <v/>
      </c>
      <c r="H1943" s="114" t="str">
        <f aca="false">IF($E1943="","",IF($B1943="Tema",INDEX(Config!$D$6:$D$11,$D1943),IFERROR(INDEX(Config!$E$15:$E$19,MATCH($I1943,Config!$C$15:$C$19,0)),"•")))</f>
        <v/>
      </c>
      <c r="I1943" s="114" t="str">
        <f aca="false">IF($E1943="","",IF($B1943="Tema",INDEX(Config!$E$6:$E$11,$D1943),IF(INDEX(Avulsos!$D$6:$D$205,$C1943)&amp;""="","Outro",INDEX(Avulsos!$D$6:$D$205,$C1943))))</f>
        <v/>
      </c>
      <c r="J1943" s="114" t="str">
        <f aca="false">IF($E1943="","",IF($B1943="Tema",INDEX(Temas!$C$6:$C$305,$C1943)&amp;"",INDEX(Avulsos!$E$6:$E$205,$C1943)&amp;""))</f>
        <v/>
      </c>
      <c r="K1943" s="114" t="str">
        <f aca="false">IF($E1943="","",IF(IF($B1943="Tema",INDEX(Temas!$E$6:$P$305,$C1943,2*$D1943),INDEX(Avulsos!$F$6:$F$205,$C1943))&amp;""="","","✓"))</f>
        <v/>
      </c>
      <c r="L1943" s="114" t="str">
        <f aca="true">IF($E1943="","",IF($K1943="✓","Concluído",IF($E1943&lt;TODAY(),"Atrasado",IF($E1943=TODAY(),"Hoje","Pendente"))))</f>
        <v/>
      </c>
      <c r="M1943" s="114" t="str">
        <f aca="false">IF($E1943="","",IF($K1943="✓","✓ ","")&amp;IF(Config!$E$22="Sim",$H1943&amp;" · ","")&amp;$F1943)</f>
        <v/>
      </c>
      <c r="N1943" s="114" t="str">
        <f aca="false">IF($E1943="","",IFERROR(INDEX(Config!$D$15:$D$19,MATCH($I1943,Config!$C$15:$C$19,0)),"OUT")&amp;IF($K1943="✓","x",""))</f>
        <v/>
      </c>
      <c r="O1943" s="114" t="str">
        <f aca="false">IF($E1943="","",COUNTIF($E$5:$E1943,$E1943))</f>
        <v/>
      </c>
      <c r="P1943" s="114" t="str">
        <f aca="false">IF($E1943="","",$E1943*100+$O1943)</f>
        <v/>
      </c>
      <c r="Q1943" s="114" t="str">
        <f aca="false">IF($L1943="Atrasado",$E1943*10000+$A1943,"")</f>
        <v/>
      </c>
    </row>
    <row r="1944" customFormat="false" ht="15" hidden="false" customHeight="false" outlineLevel="0" collapsed="false">
      <c r="A1944" s="114" t="n">
        <f aca="false">ROW()-4</f>
        <v>1940</v>
      </c>
      <c r="B1944" s="114" t="str">
        <f aca="false">IF(A1944&lt;=Config!$E$27*Config!$E$28,"Tema","Avulso")</f>
        <v>Avulso</v>
      </c>
      <c r="C1944" s="114" t="n">
        <f aca="false">IF(B1944="Tema",INT((A1944-1)/Config!$E$28)+1,A1944-Config!$E$27*Config!$E$28)</f>
        <v>140</v>
      </c>
      <c r="D1944" s="114" t="str">
        <f aca="false">IF(B1944="Tema",MOD(A1944-1,Config!$E$28)+1,"")</f>
        <v/>
      </c>
      <c r="E1944" s="115" t="str">
        <f aca="false">IF($B1944="Tema",IF(ISNUMBER(INDEX(Temas!$E$6:$P$305,$C1944,2*$D1944-1)),INDEX(Temas!$E$6:$P$305,$C1944,2*$D1944-1),""),IF(ISNUMBER(INDEX(Avulsos!$B$6:$B$205,$C1944)),INDEX(Avulsos!$B$6:$B$205,$C1944),""))</f>
        <v/>
      </c>
      <c r="F1944" s="114" t="str">
        <f aca="false">IF($E1944="","",IF($B1944="Tema",INDEX(Temas!$B$6:$B$305,$C1944)&amp;"",INDEX(Avulsos!$C$6:$C$205,$C1944)&amp;""))</f>
        <v/>
      </c>
      <c r="G1944" s="114" t="str">
        <f aca="false">IF($E1944="","",IF($B1944="Tema",INDEX(Config!$C$6:$C$11,$D1944),"Evento avulso"))</f>
        <v/>
      </c>
      <c r="H1944" s="114" t="str">
        <f aca="false">IF($E1944="","",IF($B1944="Tema",INDEX(Config!$D$6:$D$11,$D1944),IFERROR(INDEX(Config!$E$15:$E$19,MATCH($I1944,Config!$C$15:$C$19,0)),"•")))</f>
        <v/>
      </c>
      <c r="I1944" s="114" t="str">
        <f aca="false">IF($E1944="","",IF($B1944="Tema",INDEX(Config!$E$6:$E$11,$D1944),IF(INDEX(Avulsos!$D$6:$D$205,$C1944)&amp;""="","Outro",INDEX(Avulsos!$D$6:$D$205,$C1944))))</f>
        <v/>
      </c>
      <c r="J1944" s="114" t="str">
        <f aca="false">IF($E1944="","",IF($B1944="Tema",INDEX(Temas!$C$6:$C$305,$C1944)&amp;"",INDEX(Avulsos!$E$6:$E$205,$C1944)&amp;""))</f>
        <v/>
      </c>
      <c r="K1944" s="114" t="str">
        <f aca="false">IF($E1944="","",IF(IF($B1944="Tema",INDEX(Temas!$E$6:$P$305,$C1944,2*$D1944),INDEX(Avulsos!$F$6:$F$205,$C1944))&amp;""="","","✓"))</f>
        <v/>
      </c>
      <c r="L1944" s="114" t="str">
        <f aca="true">IF($E1944="","",IF($K1944="✓","Concluído",IF($E1944&lt;TODAY(),"Atrasado",IF($E1944=TODAY(),"Hoje","Pendente"))))</f>
        <v/>
      </c>
      <c r="M1944" s="114" t="str">
        <f aca="false">IF($E1944="","",IF($K1944="✓","✓ ","")&amp;IF(Config!$E$22="Sim",$H1944&amp;" · ","")&amp;$F1944)</f>
        <v/>
      </c>
      <c r="N1944" s="114" t="str">
        <f aca="false">IF($E1944="","",IFERROR(INDEX(Config!$D$15:$D$19,MATCH($I1944,Config!$C$15:$C$19,0)),"OUT")&amp;IF($K1944="✓","x",""))</f>
        <v/>
      </c>
      <c r="O1944" s="114" t="str">
        <f aca="false">IF($E1944="","",COUNTIF($E$5:$E1944,$E1944))</f>
        <v/>
      </c>
      <c r="P1944" s="114" t="str">
        <f aca="false">IF($E1944="","",$E1944*100+$O1944)</f>
        <v/>
      </c>
      <c r="Q1944" s="114" t="str">
        <f aca="false">IF($L1944="Atrasado",$E1944*10000+$A1944,"")</f>
        <v/>
      </c>
    </row>
    <row r="1945" customFormat="false" ht="15" hidden="false" customHeight="false" outlineLevel="0" collapsed="false">
      <c r="A1945" s="114" t="n">
        <f aca="false">ROW()-4</f>
        <v>1941</v>
      </c>
      <c r="B1945" s="114" t="str">
        <f aca="false">IF(A1945&lt;=Config!$E$27*Config!$E$28,"Tema","Avulso")</f>
        <v>Avulso</v>
      </c>
      <c r="C1945" s="114" t="n">
        <f aca="false">IF(B1945="Tema",INT((A1945-1)/Config!$E$28)+1,A1945-Config!$E$27*Config!$E$28)</f>
        <v>141</v>
      </c>
      <c r="D1945" s="114" t="str">
        <f aca="false">IF(B1945="Tema",MOD(A1945-1,Config!$E$28)+1,"")</f>
        <v/>
      </c>
      <c r="E1945" s="115" t="str">
        <f aca="false">IF($B1945="Tema",IF(ISNUMBER(INDEX(Temas!$E$6:$P$305,$C1945,2*$D1945-1)),INDEX(Temas!$E$6:$P$305,$C1945,2*$D1945-1),""),IF(ISNUMBER(INDEX(Avulsos!$B$6:$B$205,$C1945)),INDEX(Avulsos!$B$6:$B$205,$C1945),""))</f>
        <v/>
      </c>
      <c r="F1945" s="114" t="str">
        <f aca="false">IF($E1945="","",IF($B1945="Tema",INDEX(Temas!$B$6:$B$305,$C1945)&amp;"",INDEX(Avulsos!$C$6:$C$205,$C1945)&amp;""))</f>
        <v/>
      </c>
      <c r="G1945" s="114" t="str">
        <f aca="false">IF($E1945="","",IF($B1945="Tema",INDEX(Config!$C$6:$C$11,$D1945),"Evento avulso"))</f>
        <v/>
      </c>
      <c r="H1945" s="114" t="str">
        <f aca="false">IF($E1945="","",IF($B1945="Tema",INDEX(Config!$D$6:$D$11,$D1945),IFERROR(INDEX(Config!$E$15:$E$19,MATCH($I1945,Config!$C$15:$C$19,0)),"•")))</f>
        <v/>
      </c>
      <c r="I1945" s="114" t="str">
        <f aca="false">IF($E1945="","",IF($B1945="Tema",INDEX(Config!$E$6:$E$11,$D1945),IF(INDEX(Avulsos!$D$6:$D$205,$C1945)&amp;""="","Outro",INDEX(Avulsos!$D$6:$D$205,$C1945))))</f>
        <v/>
      </c>
      <c r="J1945" s="114" t="str">
        <f aca="false">IF($E1945="","",IF($B1945="Tema",INDEX(Temas!$C$6:$C$305,$C1945)&amp;"",INDEX(Avulsos!$E$6:$E$205,$C1945)&amp;""))</f>
        <v/>
      </c>
      <c r="K1945" s="114" t="str">
        <f aca="false">IF($E1945="","",IF(IF($B1945="Tema",INDEX(Temas!$E$6:$P$305,$C1945,2*$D1945),INDEX(Avulsos!$F$6:$F$205,$C1945))&amp;""="","","✓"))</f>
        <v/>
      </c>
      <c r="L1945" s="114" t="str">
        <f aca="true">IF($E1945="","",IF($K1945="✓","Concluído",IF($E1945&lt;TODAY(),"Atrasado",IF($E1945=TODAY(),"Hoje","Pendente"))))</f>
        <v/>
      </c>
      <c r="M1945" s="114" t="str">
        <f aca="false">IF($E1945="","",IF($K1945="✓","✓ ","")&amp;IF(Config!$E$22="Sim",$H1945&amp;" · ","")&amp;$F1945)</f>
        <v/>
      </c>
      <c r="N1945" s="114" t="str">
        <f aca="false">IF($E1945="","",IFERROR(INDEX(Config!$D$15:$D$19,MATCH($I1945,Config!$C$15:$C$19,0)),"OUT")&amp;IF($K1945="✓","x",""))</f>
        <v/>
      </c>
      <c r="O1945" s="114" t="str">
        <f aca="false">IF($E1945="","",COUNTIF($E$5:$E1945,$E1945))</f>
        <v/>
      </c>
      <c r="P1945" s="114" t="str">
        <f aca="false">IF($E1945="","",$E1945*100+$O1945)</f>
        <v/>
      </c>
      <c r="Q1945" s="114" t="str">
        <f aca="false">IF($L1945="Atrasado",$E1945*10000+$A1945,"")</f>
        <v/>
      </c>
    </row>
    <row r="1946" customFormat="false" ht="15" hidden="false" customHeight="false" outlineLevel="0" collapsed="false">
      <c r="A1946" s="114" t="n">
        <f aca="false">ROW()-4</f>
        <v>1942</v>
      </c>
      <c r="B1946" s="114" t="str">
        <f aca="false">IF(A1946&lt;=Config!$E$27*Config!$E$28,"Tema","Avulso")</f>
        <v>Avulso</v>
      </c>
      <c r="C1946" s="114" t="n">
        <f aca="false">IF(B1946="Tema",INT((A1946-1)/Config!$E$28)+1,A1946-Config!$E$27*Config!$E$28)</f>
        <v>142</v>
      </c>
      <c r="D1946" s="114" t="str">
        <f aca="false">IF(B1946="Tema",MOD(A1946-1,Config!$E$28)+1,"")</f>
        <v/>
      </c>
      <c r="E1946" s="115" t="str">
        <f aca="false">IF($B1946="Tema",IF(ISNUMBER(INDEX(Temas!$E$6:$P$305,$C1946,2*$D1946-1)),INDEX(Temas!$E$6:$P$305,$C1946,2*$D1946-1),""),IF(ISNUMBER(INDEX(Avulsos!$B$6:$B$205,$C1946)),INDEX(Avulsos!$B$6:$B$205,$C1946),""))</f>
        <v/>
      </c>
      <c r="F1946" s="114" t="str">
        <f aca="false">IF($E1946="","",IF($B1946="Tema",INDEX(Temas!$B$6:$B$305,$C1946)&amp;"",INDEX(Avulsos!$C$6:$C$205,$C1946)&amp;""))</f>
        <v/>
      </c>
      <c r="G1946" s="114" t="str">
        <f aca="false">IF($E1946="","",IF($B1946="Tema",INDEX(Config!$C$6:$C$11,$D1946),"Evento avulso"))</f>
        <v/>
      </c>
      <c r="H1946" s="114" t="str">
        <f aca="false">IF($E1946="","",IF($B1946="Tema",INDEX(Config!$D$6:$D$11,$D1946),IFERROR(INDEX(Config!$E$15:$E$19,MATCH($I1946,Config!$C$15:$C$19,0)),"•")))</f>
        <v/>
      </c>
      <c r="I1946" s="114" t="str">
        <f aca="false">IF($E1946="","",IF($B1946="Tema",INDEX(Config!$E$6:$E$11,$D1946),IF(INDEX(Avulsos!$D$6:$D$205,$C1946)&amp;""="","Outro",INDEX(Avulsos!$D$6:$D$205,$C1946))))</f>
        <v/>
      </c>
      <c r="J1946" s="114" t="str">
        <f aca="false">IF($E1946="","",IF($B1946="Tema",INDEX(Temas!$C$6:$C$305,$C1946)&amp;"",INDEX(Avulsos!$E$6:$E$205,$C1946)&amp;""))</f>
        <v/>
      </c>
      <c r="K1946" s="114" t="str">
        <f aca="false">IF($E1946="","",IF(IF($B1946="Tema",INDEX(Temas!$E$6:$P$305,$C1946,2*$D1946),INDEX(Avulsos!$F$6:$F$205,$C1946))&amp;""="","","✓"))</f>
        <v/>
      </c>
      <c r="L1946" s="114" t="str">
        <f aca="true">IF($E1946="","",IF($K1946="✓","Concluído",IF($E1946&lt;TODAY(),"Atrasado",IF($E1946=TODAY(),"Hoje","Pendente"))))</f>
        <v/>
      </c>
      <c r="M1946" s="114" t="str">
        <f aca="false">IF($E1946="","",IF($K1946="✓","✓ ","")&amp;IF(Config!$E$22="Sim",$H1946&amp;" · ","")&amp;$F1946)</f>
        <v/>
      </c>
      <c r="N1946" s="114" t="str">
        <f aca="false">IF($E1946="","",IFERROR(INDEX(Config!$D$15:$D$19,MATCH($I1946,Config!$C$15:$C$19,0)),"OUT")&amp;IF($K1946="✓","x",""))</f>
        <v/>
      </c>
      <c r="O1946" s="114" t="str">
        <f aca="false">IF($E1946="","",COUNTIF($E$5:$E1946,$E1946))</f>
        <v/>
      </c>
      <c r="P1946" s="114" t="str">
        <f aca="false">IF($E1946="","",$E1946*100+$O1946)</f>
        <v/>
      </c>
      <c r="Q1946" s="114" t="str">
        <f aca="false">IF($L1946="Atrasado",$E1946*10000+$A1946,"")</f>
        <v/>
      </c>
    </row>
    <row r="1947" customFormat="false" ht="15" hidden="false" customHeight="false" outlineLevel="0" collapsed="false">
      <c r="A1947" s="114" t="n">
        <f aca="false">ROW()-4</f>
        <v>1943</v>
      </c>
      <c r="B1947" s="114" t="str">
        <f aca="false">IF(A1947&lt;=Config!$E$27*Config!$E$28,"Tema","Avulso")</f>
        <v>Avulso</v>
      </c>
      <c r="C1947" s="114" t="n">
        <f aca="false">IF(B1947="Tema",INT((A1947-1)/Config!$E$28)+1,A1947-Config!$E$27*Config!$E$28)</f>
        <v>143</v>
      </c>
      <c r="D1947" s="114" t="str">
        <f aca="false">IF(B1947="Tema",MOD(A1947-1,Config!$E$28)+1,"")</f>
        <v/>
      </c>
      <c r="E1947" s="115" t="str">
        <f aca="false">IF($B1947="Tema",IF(ISNUMBER(INDEX(Temas!$E$6:$P$305,$C1947,2*$D1947-1)),INDEX(Temas!$E$6:$P$305,$C1947,2*$D1947-1),""),IF(ISNUMBER(INDEX(Avulsos!$B$6:$B$205,$C1947)),INDEX(Avulsos!$B$6:$B$205,$C1947),""))</f>
        <v/>
      </c>
      <c r="F1947" s="114" t="str">
        <f aca="false">IF($E1947="","",IF($B1947="Tema",INDEX(Temas!$B$6:$B$305,$C1947)&amp;"",INDEX(Avulsos!$C$6:$C$205,$C1947)&amp;""))</f>
        <v/>
      </c>
      <c r="G1947" s="114" t="str">
        <f aca="false">IF($E1947="","",IF($B1947="Tema",INDEX(Config!$C$6:$C$11,$D1947),"Evento avulso"))</f>
        <v/>
      </c>
      <c r="H1947" s="114" t="str">
        <f aca="false">IF($E1947="","",IF($B1947="Tema",INDEX(Config!$D$6:$D$11,$D1947),IFERROR(INDEX(Config!$E$15:$E$19,MATCH($I1947,Config!$C$15:$C$19,0)),"•")))</f>
        <v/>
      </c>
      <c r="I1947" s="114" t="str">
        <f aca="false">IF($E1947="","",IF($B1947="Tema",INDEX(Config!$E$6:$E$11,$D1947),IF(INDEX(Avulsos!$D$6:$D$205,$C1947)&amp;""="","Outro",INDEX(Avulsos!$D$6:$D$205,$C1947))))</f>
        <v/>
      </c>
      <c r="J1947" s="114" t="str">
        <f aca="false">IF($E1947="","",IF($B1947="Tema",INDEX(Temas!$C$6:$C$305,$C1947)&amp;"",INDEX(Avulsos!$E$6:$E$205,$C1947)&amp;""))</f>
        <v/>
      </c>
      <c r="K1947" s="114" t="str">
        <f aca="false">IF($E1947="","",IF(IF($B1947="Tema",INDEX(Temas!$E$6:$P$305,$C1947,2*$D1947),INDEX(Avulsos!$F$6:$F$205,$C1947))&amp;""="","","✓"))</f>
        <v/>
      </c>
      <c r="L1947" s="114" t="str">
        <f aca="true">IF($E1947="","",IF($K1947="✓","Concluído",IF($E1947&lt;TODAY(),"Atrasado",IF($E1947=TODAY(),"Hoje","Pendente"))))</f>
        <v/>
      </c>
      <c r="M1947" s="114" t="str">
        <f aca="false">IF($E1947="","",IF($K1947="✓","✓ ","")&amp;IF(Config!$E$22="Sim",$H1947&amp;" · ","")&amp;$F1947)</f>
        <v/>
      </c>
      <c r="N1947" s="114" t="str">
        <f aca="false">IF($E1947="","",IFERROR(INDEX(Config!$D$15:$D$19,MATCH($I1947,Config!$C$15:$C$19,0)),"OUT")&amp;IF($K1947="✓","x",""))</f>
        <v/>
      </c>
      <c r="O1947" s="114" t="str">
        <f aca="false">IF($E1947="","",COUNTIF($E$5:$E1947,$E1947))</f>
        <v/>
      </c>
      <c r="P1947" s="114" t="str">
        <f aca="false">IF($E1947="","",$E1947*100+$O1947)</f>
        <v/>
      </c>
      <c r="Q1947" s="114" t="str">
        <f aca="false">IF($L1947="Atrasado",$E1947*10000+$A1947,"")</f>
        <v/>
      </c>
    </row>
    <row r="1948" customFormat="false" ht="15" hidden="false" customHeight="false" outlineLevel="0" collapsed="false">
      <c r="A1948" s="114" t="n">
        <f aca="false">ROW()-4</f>
        <v>1944</v>
      </c>
      <c r="B1948" s="114" t="str">
        <f aca="false">IF(A1948&lt;=Config!$E$27*Config!$E$28,"Tema","Avulso")</f>
        <v>Avulso</v>
      </c>
      <c r="C1948" s="114" t="n">
        <f aca="false">IF(B1948="Tema",INT((A1948-1)/Config!$E$28)+1,A1948-Config!$E$27*Config!$E$28)</f>
        <v>144</v>
      </c>
      <c r="D1948" s="114" t="str">
        <f aca="false">IF(B1948="Tema",MOD(A1948-1,Config!$E$28)+1,"")</f>
        <v/>
      </c>
      <c r="E1948" s="115" t="str">
        <f aca="false">IF($B1948="Tema",IF(ISNUMBER(INDEX(Temas!$E$6:$P$305,$C1948,2*$D1948-1)),INDEX(Temas!$E$6:$P$305,$C1948,2*$D1948-1),""),IF(ISNUMBER(INDEX(Avulsos!$B$6:$B$205,$C1948)),INDEX(Avulsos!$B$6:$B$205,$C1948),""))</f>
        <v/>
      </c>
      <c r="F1948" s="114" t="str">
        <f aca="false">IF($E1948="","",IF($B1948="Tema",INDEX(Temas!$B$6:$B$305,$C1948)&amp;"",INDEX(Avulsos!$C$6:$C$205,$C1948)&amp;""))</f>
        <v/>
      </c>
      <c r="G1948" s="114" t="str">
        <f aca="false">IF($E1948="","",IF($B1948="Tema",INDEX(Config!$C$6:$C$11,$D1948),"Evento avulso"))</f>
        <v/>
      </c>
      <c r="H1948" s="114" t="str">
        <f aca="false">IF($E1948="","",IF($B1948="Tema",INDEX(Config!$D$6:$D$11,$D1948),IFERROR(INDEX(Config!$E$15:$E$19,MATCH($I1948,Config!$C$15:$C$19,0)),"•")))</f>
        <v/>
      </c>
      <c r="I1948" s="114" t="str">
        <f aca="false">IF($E1948="","",IF($B1948="Tema",INDEX(Config!$E$6:$E$11,$D1948),IF(INDEX(Avulsos!$D$6:$D$205,$C1948)&amp;""="","Outro",INDEX(Avulsos!$D$6:$D$205,$C1948))))</f>
        <v/>
      </c>
      <c r="J1948" s="114" t="str">
        <f aca="false">IF($E1948="","",IF($B1948="Tema",INDEX(Temas!$C$6:$C$305,$C1948)&amp;"",INDEX(Avulsos!$E$6:$E$205,$C1948)&amp;""))</f>
        <v/>
      </c>
      <c r="K1948" s="114" t="str">
        <f aca="false">IF($E1948="","",IF(IF($B1948="Tema",INDEX(Temas!$E$6:$P$305,$C1948,2*$D1948),INDEX(Avulsos!$F$6:$F$205,$C1948))&amp;""="","","✓"))</f>
        <v/>
      </c>
      <c r="L1948" s="114" t="str">
        <f aca="true">IF($E1948="","",IF($K1948="✓","Concluído",IF($E1948&lt;TODAY(),"Atrasado",IF($E1948=TODAY(),"Hoje","Pendente"))))</f>
        <v/>
      </c>
      <c r="M1948" s="114" t="str">
        <f aca="false">IF($E1948="","",IF($K1948="✓","✓ ","")&amp;IF(Config!$E$22="Sim",$H1948&amp;" · ","")&amp;$F1948)</f>
        <v/>
      </c>
      <c r="N1948" s="114" t="str">
        <f aca="false">IF($E1948="","",IFERROR(INDEX(Config!$D$15:$D$19,MATCH($I1948,Config!$C$15:$C$19,0)),"OUT")&amp;IF($K1948="✓","x",""))</f>
        <v/>
      </c>
      <c r="O1948" s="114" t="str">
        <f aca="false">IF($E1948="","",COUNTIF($E$5:$E1948,$E1948))</f>
        <v/>
      </c>
      <c r="P1948" s="114" t="str">
        <f aca="false">IF($E1948="","",$E1948*100+$O1948)</f>
        <v/>
      </c>
      <c r="Q1948" s="114" t="str">
        <f aca="false">IF($L1948="Atrasado",$E1948*10000+$A1948,"")</f>
        <v/>
      </c>
    </row>
    <row r="1949" customFormat="false" ht="15" hidden="false" customHeight="false" outlineLevel="0" collapsed="false">
      <c r="A1949" s="114" t="n">
        <f aca="false">ROW()-4</f>
        <v>1945</v>
      </c>
      <c r="B1949" s="114" t="str">
        <f aca="false">IF(A1949&lt;=Config!$E$27*Config!$E$28,"Tema","Avulso")</f>
        <v>Avulso</v>
      </c>
      <c r="C1949" s="114" t="n">
        <f aca="false">IF(B1949="Tema",INT((A1949-1)/Config!$E$28)+1,A1949-Config!$E$27*Config!$E$28)</f>
        <v>145</v>
      </c>
      <c r="D1949" s="114" t="str">
        <f aca="false">IF(B1949="Tema",MOD(A1949-1,Config!$E$28)+1,"")</f>
        <v/>
      </c>
      <c r="E1949" s="115" t="str">
        <f aca="false">IF($B1949="Tema",IF(ISNUMBER(INDEX(Temas!$E$6:$P$305,$C1949,2*$D1949-1)),INDEX(Temas!$E$6:$P$305,$C1949,2*$D1949-1),""),IF(ISNUMBER(INDEX(Avulsos!$B$6:$B$205,$C1949)),INDEX(Avulsos!$B$6:$B$205,$C1949),""))</f>
        <v/>
      </c>
      <c r="F1949" s="114" t="str">
        <f aca="false">IF($E1949="","",IF($B1949="Tema",INDEX(Temas!$B$6:$B$305,$C1949)&amp;"",INDEX(Avulsos!$C$6:$C$205,$C1949)&amp;""))</f>
        <v/>
      </c>
      <c r="G1949" s="114" t="str">
        <f aca="false">IF($E1949="","",IF($B1949="Tema",INDEX(Config!$C$6:$C$11,$D1949),"Evento avulso"))</f>
        <v/>
      </c>
      <c r="H1949" s="114" t="str">
        <f aca="false">IF($E1949="","",IF($B1949="Tema",INDEX(Config!$D$6:$D$11,$D1949),IFERROR(INDEX(Config!$E$15:$E$19,MATCH($I1949,Config!$C$15:$C$19,0)),"•")))</f>
        <v/>
      </c>
      <c r="I1949" s="114" t="str">
        <f aca="false">IF($E1949="","",IF($B1949="Tema",INDEX(Config!$E$6:$E$11,$D1949),IF(INDEX(Avulsos!$D$6:$D$205,$C1949)&amp;""="","Outro",INDEX(Avulsos!$D$6:$D$205,$C1949))))</f>
        <v/>
      </c>
      <c r="J1949" s="114" t="str">
        <f aca="false">IF($E1949="","",IF($B1949="Tema",INDEX(Temas!$C$6:$C$305,$C1949)&amp;"",INDEX(Avulsos!$E$6:$E$205,$C1949)&amp;""))</f>
        <v/>
      </c>
      <c r="K1949" s="114" t="str">
        <f aca="false">IF($E1949="","",IF(IF($B1949="Tema",INDEX(Temas!$E$6:$P$305,$C1949,2*$D1949),INDEX(Avulsos!$F$6:$F$205,$C1949))&amp;""="","","✓"))</f>
        <v/>
      </c>
      <c r="L1949" s="114" t="str">
        <f aca="true">IF($E1949="","",IF($K1949="✓","Concluído",IF($E1949&lt;TODAY(),"Atrasado",IF($E1949=TODAY(),"Hoje","Pendente"))))</f>
        <v/>
      </c>
      <c r="M1949" s="114" t="str">
        <f aca="false">IF($E1949="","",IF($K1949="✓","✓ ","")&amp;IF(Config!$E$22="Sim",$H1949&amp;" · ","")&amp;$F1949)</f>
        <v/>
      </c>
      <c r="N1949" s="114" t="str">
        <f aca="false">IF($E1949="","",IFERROR(INDEX(Config!$D$15:$D$19,MATCH($I1949,Config!$C$15:$C$19,0)),"OUT")&amp;IF($K1949="✓","x",""))</f>
        <v/>
      </c>
      <c r="O1949" s="114" t="str">
        <f aca="false">IF($E1949="","",COUNTIF($E$5:$E1949,$E1949))</f>
        <v/>
      </c>
      <c r="P1949" s="114" t="str">
        <f aca="false">IF($E1949="","",$E1949*100+$O1949)</f>
        <v/>
      </c>
      <c r="Q1949" s="114" t="str">
        <f aca="false">IF($L1949="Atrasado",$E1949*10000+$A1949,"")</f>
        <v/>
      </c>
    </row>
    <row r="1950" customFormat="false" ht="15" hidden="false" customHeight="false" outlineLevel="0" collapsed="false">
      <c r="A1950" s="114" t="n">
        <f aca="false">ROW()-4</f>
        <v>1946</v>
      </c>
      <c r="B1950" s="114" t="str">
        <f aca="false">IF(A1950&lt;=Config!$E$27*Config!$E$28,"Tema","Avulso")</f>
        <v>Avulso</v>
      </c>
      <c r="C1950" s="114" t="n">
        <f aca="false">IF(B1950="Tema",INT((A1950-1)/Config!$E$28)+1,A1950-Config!$E$27*Config!$E$28)</f>
        <v>146</v>
      </c>
      <c r="D1950" s="114" t="str">
        <f aca="false">IF(B1950="Tema",MOD(A1950-1,Config!$E$28)+1,"")</f>
        <v/>
      </c>
      <c r="E1950" s="115" t="str">
        <f aca="false">IF($B1950="Tema",IF(ISNUMBER(INDEX(Temas!$E$6:$P$305,$C1950,2*$D1950-1)),INDEX(Temas!$E$6:$P$305,$C1950,2*$D1950-1),""),IF(ISNUMBER(INDEX(Avulsos!$B$6:$B$205,$C1950)),INDEX(Avulsos!$B$6:$B$205,$C1950),""))</f>
        <v/>
      </c>
      <c r="F1950" s="114" t="str">
        <f aca="false">IF($E1950="","",IF($B1950="Tema",INDEX(Temas!$B$6:$B$305,$C1950)&amp;"",INDEX(Avulsos!$C$6:$C$205,$C1950)&amp;""))</f>
        <v/>
      </c>
      <c r="G1950" s="114" t="str">
        <f aca="false">IF($E1950="","",IF($B1950="Tema",INDEX(Config!$C$6:$C$11,$D1950),"Evento avulso"))</f>
        <v/>
      </c>
      <c r="H1950" s="114" t="str">
        <f aca="false">IF($E1950="","",IF($B1950="Tema",INDEX(Config!$D$6:$D$11,$D1950),IFERROR(INDEX(Config!$E$15:$E$19,MATCH($I1950,Config!$C$15:$C$19,0)),"•")))</f>
        <v/>
      </c>
      <c r="I1950" s="114" t="str">
        <f aca="false">IF($E1950="","",IF($B1950="Tema",INDEX(Config!$E$6:$E$11,$D1950),IF(INDEX(Avulsos!$D$6:$D$205,$C1950)&amp;""="","Outro",INDEX(Avulsos!$D$6:$D$205,$C1950))))</f>
        <v/>
      </c>
      <c r="J1950" s="114" t="str">
        <f aca="false">IF($E1950="","",IF($B1950="Tema",INDEX(Temas!$C$6:$C$305,$C1950)&amp;"",INDEX(Avulsos!$E$6:$E$205,$C1950)&amp;""))</f>
        <v/>
      </c>
      <c r="K1950" s="114" t="str">
        <f aca="false">IF($E1950="","",IF(IF($B1950="Tema",INDEX(Temas!$E$6:$P$305,$C1950,2*$D1950),INDEX(Avulsos!$F$6:$F$205,$C1950))&amp;""="","","✓"))</f>
        <v/>
      </c>
      <c r="L1950" s="114" t="str">
        <f aca="true">IF($E1950="","",IF($K1950="✓","Concluído",IF($E1950&lt;TODAY(),"Atrasado",IF($E1950=TODAY(),"Hoje","Pendente"))))</f>
        <v/>
      </c>
      <c r="M1950" s="114" t="str">
        <f aca="false">IF($E1950="","",IF($K1950="✓","✓ ","")&amp;IF(Config!$E$22="Sim",$H1950&amp;" · ","")&amp;$F1950)</f>
        <v/>
      </c>
      <c r="N1950" s="114" t="str">
        <f aca="false">IF($E1950="","",IFERROR(INDEX(Config!$D$15:$D$19,MATCH($I1950,Config!$C$15:$C$19,0)),"OUT")&amp;IF($K1950="✓","x",""))</f>
        <v/>
      </c>
      <c r="O1950" s="114" t="str">
        <f aca="false">IF($E1950="","",COUNTIF($E$5:$E1950,$E1950))</f>
        <v/>
      </c>
      <c r="P1950" s="114" t="str">
        <f aca="false">IF($E1950="","",$E1950*100+$O1950)</f>
        <v/>
      </c>
      <c r="Q1950" s="114" t="str">
        <f aca="false">IF($L1950="Atrasado",$E1950*10000+$A1950,"")</f>
        <v/>
      </c>
    </row>
    <row r="1951" customFormat="false" ht="15" hidden="false" customHeight="false" outlineLevel="0" collapsed="false">
      <c r="A1951" s="114" t="n">
        <f aca="false">ROW()-4</f>
        <v>1947</v>
      </c>
      <c r="B1951" s="114" t="str">
        <f aca="false">IF(A1951&lt;=Config!$E$27*Config!$E$28,"Tema","Avulso")</f>
        <v>Avulso</v>
      </c>
      <c r="C1951" s="114" t="n">
        <f aca="false">IF(B1951="Tema",INT((A1951-1)/Config!$E$28)+1,A1951-Config!$E$27*Config!$E$28)</f>
        <v>147</v>
      </c>
      <c r="D1951" s="114" t="str">
        <f aca="false">IF(B1951="Tema",MOD(A1951-1,Config!$E$28)+1,"")</f>
        <v/>
      </c>
      <c r="E1951" s="115" t="str">
        <f aca="false">IF($B1951="Tema",IF(ISNUMBER(INDEX(Temas!$E$6:$P$305,$C1951,2*$D1951-1)),INDEX(Temas!$E$6:$P$305,$C1951,2*$D1951-1),""),IF(ISNUMBER(INDEX(Avulsos!$B$6:$B$205,$C1951)),INDEX(Avulsos!$B$6:$B$205,$C1951),""))</f>
        <v/>
      </c>
      <c r="F1951" s="114" t="str">
        <f aca="false">IF($E1951="","",IF($B1951="Tema",INDEX(Temas!$B$6:$B$305,$C1951)&amp;"",INDEX(Avulsos!$C$6:$C$205,$C1951)&amp;""))</f>
        <v/>
      </c>
      <c r="G1951" s="114" t="str">
        <f aca="false">IF($E1951="","",IF($B1951="Tema",INDEX(Config!$C$6:$C$11,$D1951),"Evento avulso"))</f>
        <v/>
      </c>
      <c r="H1951" s="114" t="str">
        <f aca="false">IF($E1951="","",IF($B1951="Tema",INDEX(Config!$D$6:$D$11,$D1951),IFERROR(INDEX(Config!$E$15:$E$19,MATCH($I1951,Config!$C$15:$C$19,0)),"•")))</f>
        <v/>
      </c>
      <c r="I1951" s="114" t="str">
        <f aca="false">IF($E1951="","",IF($B1951="Tema",INDEX(Config!$E$6:$E$11,$D1951),IF(INDEX(Avulsos!$D$6:$D$205,$C1951)&amp;""="","Outro",INDEX(Avulsos!$D$6:$D$205,$C1951))))</f>
        <v/>
      </c>
      <c r="J1951" s="114" t="str">
        <f aca="false">IF($E1951="","",IF($B1951="Tema",INDEX(Temas!$C$6:$C$305,$C1951)&amp;"",INDEX(Avulsos!$E$6:$E$205,$C1951)&amp;""))</f>
        <v/>
      </c>
      <c r="K1951" s="114" t="str">
        <f aca="false">IF($E1951="","",IF(IF($B1951="Tema",INDEX(Temas!$E$6:$P$305,$C1951,2*$D1951),INDEX(Avulsos!$F$6:$F$205,$C1951))&amp;""="","","✓"))</f>
        <v/>
      </c>
      <c r="L1951" s="114" t="str">
        <f aca="true">IF($E1951="","",IF($K1951="✓","Concluído",IF($E1951&lt;TODAY(),"Atrasado",IF($E1951=TODAY(),"Hoje","Pendente"))))</f>
        <v/>
      </c>
      <c r="M1951" s="114" t="str">
        <f aca="false">IF($E1951="","",IF($K1951="✓","✓ ","")&amp;IF(Config!$E$22="Sim",$H1951&amp;" · ","")&amp;$F1951)</f>
        <v/>
      </c>
      <c r="N1951" s="114" t="str">
        <f aca="false">IF($E1951="","",IFERROR(INDEX(Config!$D$15:$D$19,MATCH($I1951,Config!$C$15:$C$19,0)),"OUT")&amp;IF($K1951="✓","x",""))</f>
        <v/>
      </c>
      <c r="O1951" s="114" t="str">
        <f aca="false">IF($E1951="","",COUNTIF($E$5:$E1951,$E1951))</f>
        <v/>
      </c>
      <c r="P1951" s="114" t="str">
        <f aca="false">IF($E1951="","",$E1951*100+$O1951)</f>
        <v/>
      </c>
      <c r="Q1951" s="114" t="str">
        <f aca="false">IF($L1951="Atrasado",$E1951*10000+$A1951,"")</f>
        <v/>
      </c>
    </row>
    <row r="1952" customFormat="false" ht="15" hidden="false" customHeight="false" outlineLevel="0" collapsed="false">
      <c r="A1952" s="114" t="n">
        <f aca="false">ROW()-4</f>
        <v>1948</v>
      </c>
      <c r="B1952" s="114" t="str">
        <f aca="false">IF(A1952&lt;=Config!$E$27*Config!$E$28,"Tema","Avulso")</f>
        <v>Avulso</v>
      </c>
      <c r="C1952" s="114" t="n">
        <f aca="false">IF(B1952="Tema",INT((A1952-1)/Config!$E$28)+1,A1952-Config!$E$27*Config!$E$28)</f>
        <v>148</v>
      </c>
      <c r="D1952" s="114" t="str">
        <f aca="false">IF(B1952="Tema",MOD(A1952-1,Config!$E$28)+1,"")</f>
        <v/>
      </c>
      <c r="E1952" s="115" t="str">
        <f aca="false">IF($B1952="Tema",IF(ISNUMBER(INDEX(Temas!$E$6:$P$305,$C1952,2*$D1952-1)),INDEX(Temas!$E$6:$P$305,$C1952,2*$D1952-1),""),IF(ISNUMBER(INDEX(Avulsos!$B$6:$B$205,$C1952)),INDEX(Avulsos!$B$6:$B$205,$C1952),""))</f>
        <v/>
      </c>
      <c r="F1952" s="114" t="str">
        <f aca="false">IF($E1952="","",IF($B1952="Tema",INDEX(Temas!$B$6:$B$305,$C1952)&amp;"",INDEX(Avulsos!$C$6:$C$205,$C1952)&amp;""))</f>
        <v/>
      </c>
      <c r="G1952" s="114" t="str">
        <f aca="false">IF($E1952="","",IF($B1952="Tema",INDEX(Config!$C$6:$C$11,$D1952),"Evento avulso"))</f>
        <v/>
      </c>
      <c r="H1952" s="114" t="str">
        <f aca="false">IF($E1952="","",IF($B1952="Tema",INDEX(Config!$D$6:$D$11,$D1952),IFERROR(INDEX(Config!$E$15:$E$19,MATCH($I1952,Config!$C$15:$C$19,0)),"•")))</f>
        <v/>
      </c>
      <c r="I1952" s="114" t="str">
        <f aca="false">IF($E1952="","",IF($B1952="Tema",INDEX(Config!$E$6:$E$11,$D1952),IF(INDEX(Avulsos!$D$6:$D$205,$C1952)&amp;""="","Outro",INDEX(Avulsos!$D$6:$D$205,$C1952))))</f>
        <v/>
      </c>
      <c r="J1952" s="114" t="str">
        <f aca="false">IF($E1952="","",IF($B1952="Tema",INDEX(Temas!$C$6:$C$305,$C1952)&amp;"",INDEX(Avulsos!$E$6:$E$205,$C1952)&amp;""))</f>
        <v/>
      </c>
      <c r="K1952" s="114" t="str">
        <f aca="false">IF($E1952="","",IF(IF($B1952="Tema",INDEX(Temas!$E$6:$P$305,$C1952,2*$D1952),INDEX(Avulsos!$F$6:$F$205,$C1952))&amp;""="","","✓"))</f>
        <v/>
      </c>
      <c r="L1952" s="114" t="str">
        <f aca="true">IF($E1952="","",IF($K1952="✓","Concluído",IF($E1952&lt;TODAY(),"Atrasado",IF($E1952=TODAY(),"Hoje","Pendente"))))</f>
        <v/>
      </c>
      <c r="M1952" s="114" t="str">
        <f aca="false">IF($E1952="","",IF($K1952="✓","✓ ","")&amp;IF(Config!$E$22="Sim",$H1952&amp;" · ","")&amp;$F1952)</f>
        <v/>
      </c>
      <c r="N1952" s="114" t="str">
        <f aca="false">IF($E1952="","",IFERROR(INDEX(Config!$D$15:$D$19,MATCH($I1952,Config!$C$15:$C$19,0)),"OUT")&amp;IF($K1952="✓","x",""))</f>
        <v/>
      </c>
      <c r="O1952" s="114" t="str">
        <f aca="false">IF($E1952="","",COUNTIF($E$5:$E1952,$E1952))</f>
        <v/>
      </c>
      <c r="P1952" s="114" t="str">
        <f aca="false">IF($E1952="","",$E1952*100+$O1952)</f>
        <v/>
      </c>
      <c r="Q1952" s="114" t="str">
        <f aca="false">IF($L1952="Atrasado",$E1952*10000+$A1952,"")</f>
        <v/>
      </c>
    </row>
    <row r="1953" customFormat="false" ht="15" hidden="false" customHeight="false" outlineLevel="0" collapsed="false">
      <c r="A1953" s="114" t="n">
        <f aca="false">ROW()-4</f>
        <v>1949</v>
      </c>
      <c r="B1953" s="114" t="str">
        <f aca="false">IF(A1953&lt;=Config!$E$27*Config!$E$28,"Tema","Avulso")</f>
        <v>Avulso</v>
      </c>
      <c r="C1953" s="114" t="n">
        <f aca="false">IF(B1953="Tema",INT((A1953-1)/Config!$E$28)+1,A1953-Config!$E$27*Config!$E$28)</f>
        <v>149</v>
      </c>
      <c r="D1953" s="114" t="str">
        <f aca="false">IF(B1953="Tema",MOD(A1953-1,Config!$E$28)+1,"")</f>
        <v/>
      </c>
      <c r="E1953" s="115" t="str">
        <f aca="false">IF($B1953="Tema",IF(ISNUMBER(INDEX(Temas!$E$6:$P$305,$C1953,2*$D1953-1)),INDEX(Temas!$E$6:$P$305,$C1953,2*$D1953-1),""),IF(ISNUMBER(INDEX(Avulsos!$B$6:$B$205,$C1953)),INDEX(Avulsos!$B$6:$B$205,$C1953),""))</f>
        <v/>
      </c>
      <c r="F1953" s="114" t="str">
        <f aca="false">IF($E1953="","",IF($B1953="Tema",INDEX(Temas!$B$6:$B$305,$C1953)&amp;"",INDEX(Avulsos!$C$6:$C$205,$C1953)&amp;""))</f>
        <v/>
      </c>
      <c r="G1953" s="114" t="str">
        <f aca="false">IF($E1953="","",IF($B1953="Tema",INDEX(Config!$C$6:$C$11,$D1953),"Evento avulso"))</f>
        <v/>
      </c>
      <c r="H1953" s="114" t="str">
        <f aca="false">IF($E1953="","",IF($B1953="Tema",INDEX(Config!$D$6:$D$11,$D1953),IFERROR(INDEX(Config!$E$15:$E$19,MATCH($I1953,Config!$C$15:$C$19,0)),"•")))</f>
        <v/>
      </c>
      <c r="I1953" s="114" t="str">
        <f aca="false">IF($E1953="","",IF($B1953="Tema",INDEX(Config!$E$6:$E$11,$D1953),IF(INDEX(Avulsos!$D$6:$D$205,$C1953)&amp;""="","Outro",INDEX(Avulsos!$D$6:$D$205,$C1953))))</f>
        <v/>
      </c>
      <c r="J1953" s="114" t="str">
        <f aca="false">IF($E1953="","",IF($B1953="Tema",INDEX(Temas!$C$6:$C$305,$C1953)&amp;"",INDEX(Avulsos!$E$6:$E$205,$C1953)&amp;""))</f>
        <v/>
      </c>
      <c r="K1953" s="114" t="str">
        <f aca="false">IF($E1953="","",IF(IF($B1953="Tema",INDEX(Temas!$E$6:$P$305,$C1953,2*$D1953),INDEX(Avulsos!$F$6:$F$205,$C1953))&amp;""="","","✓"))</f>
        <v/>
      </c>
      <c r="L1953" s="114" t="str">
        <f aca="true">IF($E1953="","",IF($K1953="✓","Concluído",IF($E1953&lt;TODAY(),"Atrasado",IF($E1953=TODAY(),"Hoje","Pendente"))))</f>
        <v/>
      </c>
      <c r="M1953" s="114" t="str">
        <f aca="false">IF($E1953="","",IF($K1953="✓","✓ ","")&amp;IF(Config!$E$22="Sim",$H1953&amp;" · ","")&amp;$F1953)</f>
        <v/>
      </c>
      <c r="N1953" s="114" t="str">
        <f aca="false">IF($E1953="","",IFERROR(INDEX(Config!$D$15:$D$19,MATCH($I1953,Config!$C$15:$C$19,0)),"OUT")&amp;IF($K1953="✓","x",""))</f>
        <v/>
      </c>
      <c r="O1953" s="114" t="str">
        <f aca="false">IF($E1953="","",COUNTIF($E$5:$E1953,$E1953))</f>
        <v/>
      </c>
      <c r="P1953" s="114" t="str">
        <f aca="false">IF($E1953="","",$E1953*100+$O1953)</f>
        <v/>
      </c>
      <c r="Q1953" s="114" t="str">
        <f aca="false">IF($L1953="Atrasado",$E1953*10000+$A1953,"")</f>
        <v/>
      </c>
    </row>
    <row r="1954" customFormat="false" ht="15" hidden="false" customHeight="false" outlineLevel="0" collapsed="false">
      <c r="A1954" s="114" t="n">
        <f aca="false">ROW()-4</f>
        <v>1950</v>
      </c>
      <c r="B1954" s="114" t="str">
        <f aca="false">IF(A1954&lt;=Config!$E$27*Config!$E$28,"Tema","Avulso")</f>
        <v>Avulso</v>
      </c>
      <c r="C1954" s="114" t="n">
        <f aca="false">IF(B1954="Tema",INT((A1954-1)/Config!$E$28)+1,A1954-Config!$E$27*Config!$E$28)</f>
        <v>150</v>
      </c>
      <c r="D1954" s="114" t="str">
        <f aca="false">IF(B1954="Tema",MOD(A1954-1,Config!$E$28)+1,"")</f>
        <v/>
      </c>
      <c r="E1954" s="115" t="str">
        <f aca="false">IF($B1954="Tema",IF(ISNUMBER(INDEX(Temas!$E$6:$P$305,$C1954,2*$D1954-1)),INDEX(Temas!$E$6:$P$305,$C1954,2*$D1954-1),""),IF(ISNUMBER(INDEX(Avulsos!$B$6:$B$205,$C1954)),INDEX(Avulsos!$B$6:$B$205,$C1954),""))</f>
        <v/>
      </c>
      <c r="F1954" s="114" t="str">
        <f aca="false">IF($E1954="","",IF($B1954="Tema",INDEX(Temas!$B$6:$B$305,$C1954)&amp;"",INDEX(Avulsos!$C$6:$C$205,$C1954)&amp;""))</f>
        <v/>
      </c>
      <c r="G1954" s="114" t="str">
        <f aca="false">IF($E1954="","",IF($B1954="Tema",INDEX(Config!$C$6:$C$11,$D1954),"Evento avulso"))</f>
        <v/>
      </c>
      <c r="H1954" s="114" t="str">
        <f aca="false">IF($E1954="","",IF($B1954="Tema",INDEX(Config!$D$6:$D$11,$D1954),IFERROR(INDEX(Config!$E$15:$E$19,MATCH($I1954,Config!$C$15:$C$19,0)),"•")))</f>
        <v/>
      </c>
      <c r="I1954" s="114" t="str">
        <f aca="false">IF($E1954="","",IF($B1954="Tema",INDEX(Config!$E$6:$E$11,$D1954),IF(INDEX(Avulsos!$D$6:$D$205,$C1954)&amp;""="","Outro",INDEX(Avulsos!$D$6:$D$205,$C1954))))</f>
        <v/>
      </c>
      <c r="J1954" s="114" t="str">
        <f aca="false">IF($E1954="","",IF($B1954="Tema",INDEX(Temas!$C$6:$C$305,$C1954)&amp;"",INDEX(Avulsos!$E$6:$E$205,$C1954)&amp;""))</f>
        <v/>
      </c>
      <c r="K1954" s="114" t="str">
        <f aca="false">IF($E1954="","",IF(IF($B1954="Tema",INDEX(Temas!$E$6:$P$305,$C1954,2*$D1954),INDEX(Avulsos!$F$6:$F$205,$C1954))&amp;""="","","✓"))</f>
        <v/>
      </c>
      <c r="L1954" s="114" t="str">
        <f aca="true">IF($E1954="","",IF($K1954="✓","Concluído",IF($E1954&lt;TODAY(),"Atrasado",IF($E1954=TODAY(),"Hoje","Pendente"))))</f>
        <v/>
      </c>
      <c r="M1954" s="114" t="str">
        <f aca="false">IF($E1954="","",IF($K1954="✓","✓ ","")&amp;IF(Config!$E$22="Sim",$H1954&amp;" · ","")&amp;$F1954)</f>
        <v/>
      </c>
      <c r="N1954" s="114" t="str">
        <f aca="false">IF($E1954="","",IFERROR(INDEX(Config!$D$15:$D$19,MATCH($I1954,Config!$C$15:$C$19,0)),"OUT")&amp;IF($K1954="✓","x",""))</f>
        <v/>
      </c>
      <c r="O1954" s="114" t="str">
        <f aca="false">IF($E1954="","",COUNTIF($E$5:$E1954,$E1954))</f>
        <v/>
      </c>
      <c r="P1954" s="114" t="str">
        <f aca="false">IF($E1954="","",$E1954*100+$O1954)</f>
        <v/>
      </c>
      <c r="Q1954" s="114" t="str">
        <f aca="false">IF($L1954="Atrasado",$E1954*10000+$A1954,"")</f>
        <v/>
      </c>
    </row>
    <row r="1955" customFormat="false" ht="15" hidden="false" customHeight="false" outlineLevel="0" collapsed="false">
      <c r="A1955" s="114" t="n">
        <f aca="false">ROW()-4</f>
        <v>1951</v>
      </c>
      <c r="B1955" s="114" t="str">
        <f aca="false">IF(A1955&lt;=Config!$E$27*Config!$E$28,"Tema","Avulso")</f>
        <v>Avulso</v>
      </c>
      <c r="C1955" s="114" t="n">
        <f aca="false">IF(B1955="Tema",INT((A1955-1)/Config!$E$28)+1,A1955-Config!$E$27*Config!$E$28)</f>
        <v>151</v>
      </c>
      <c r="D1955" s="114" t="str">
        <f aca="false">IF(B1955="Tema",MOD(A1955-1,Config!$E$28)+1,"")</f>
        <v/>
      </c>
      <c r="E1955" s="115" t="str">
        <f aca="false">IF($B1955="Tema",IF(ISNUMBER(INDEX(Temas!$E$6:$P$305,$C1955,2*$D1955-1)),INDEX(Temas!$E$6:$P$305,$C1955,2*$D1955-1),""),IF(ISNUMBER(INDEX(Avulsos!$B$6:$B$205,$C1955)),INDEX(Avulsos!$B$6:$B$205,$C1955),""))</f>
        <v/>
      </c>
      <c r="F1955" s="114" t="str">
        <f aca="false">IF($E1955="","",IF($B1955="Tema",INDEX(Temas!$B$6:$B$305,$C1955)&amp;"",INDEX(Avulsos!$C$6:$C$205,$C1955)&amp;""))</f>
        <v/>
      </c>
      <c r="G1955" s="114" t="str">
        <f aca="false">IF($E1955="","",IF($B1955="Tema",INDEX(Config!$C$6:$C$11,$D1955),"Evento avulso"))</f>
        <v/>
      </c>
      <c r="H1955" s="114" t="str">
        <f aca="false">IF($E1955="","",IF($B1955="Tema",INDEX(Config!$D$6:$D$11,$D1955),IFERROR(INDEX(Config!$E$15:$E$19,MATCH($I1955,Config!$C$15:$C$19,0)),"•")))</f>
        <v/>
      </c>
      <c r="I1955" s="114" t="str">
        <f aca="false">IF($E1955="","",IF($B1955="Tema",INDEX(Config!$E$6:$E$11,$D1955),IF(INDEX(Avulsos!$D$6:$D$205,$C1955)&amp;""="","Outro",INDEX(Avulsos!$D$6:$D$205,$C1955))))</f>
        <v/>
      </c>
      <c r="J1955" s="114" t="str">
        <f aca="false">IF($E1955="","",IF($B1955="Tema",INDEX(Temas!$C$6:$C$305,$C1955)&amp;"",INDEX(Avulsos!$E$6:$E$205,$C1955)&amp;""))</f>
        <v/>
      </c>
      <c r="K1955" s="114" t="str">
        <f aca="false">IF($E1955="","",IF(IF($B1955="Tema",INDEX(Temas!$E$6:$P$305,$C1955,2*$D1955),INDEX(Avulsos!$F$6:$F$205,$C1955))&amp;""="","","✓"))</f>
        <v/>
      </c>
      <c r="L1955" s="114" t="str">
        <f aca="true">IF($E1955="","",IF($K1955="✓","Concluído",IF($E1955&lt;TODAY(),"Atrasado",IF($E1955=TODAY(),"Hoje","Pendente"))))</f>
        <v/>
      </c>
      <c r="M1955" s="114" t="str">
        <f aca="false">IF($E1955="","",IF($K1955="✓","✓ ","")&amp;IF(Config!$E$22="Sim",$H1955&amp;" · ","")&amp;$F1955)</f>
        <v/>
      </c>
      <c r="N1955" s="114" t="str">
        <f aca="false">IF($E1955="","",IFERROR(INDEX(Config!$D$15:$D$19,MATCH($I1955,Config!$C$15:$C$19,0)),"OUT")&amp;IF($K1955="✓","x",""))</f>
        <v/>
      </c>
      <c r="O1955" s="114" t="str">
        <f aca="false">IF($E1955="","",COUNTIF($E$5:$E1955,$E1955))</f>
        <v/>
      </c>
      <c r="P1955" s="114" t="str">
        <f aca="false">IF($E1955="","",$E1955*100+$O1955)</f>
        <v/>
      </c>
      <c r="Q1955" s="114" t="str">
        <f aca="false">IF($L1955="Atrasado",$E1955*10000+$A1955,"")</f>
        <v/>
      </c>
    </row>
    <row r="1956" customFormat="false" ht="15" hidden="false" customHeight="false" outlineLevel="0" collapsed="false">
      <c r="A1956" s="114" t="n">
        <f aca="false">ROW()-4</f>
        <v>1952</v>
      </c>
      <c r="B1956" s="114" t="str">
        <f aca="false">IF(A1956&lt;=Config!$E$27*Config!$E$28,"Tema","Avulso")</f>
        <v>Avulso</v>
      </c>
      <c r="C1956" s="114" t="n">
        <f aca="false">IF(B1956="Tema",INT((A1956-1)/Config!$E$28)+1,A1956-Config!$E$27*Config!$E$28)</f>
        <v>152</v>
      </c>
      <c r="D1956" s="114" t="str">
        <f aca="false">IF(B1956="Tema",MOD(A1956-1,Config!$E$28)+1,"")</f>
        <v/>
      </c>
      <c r="E1956" s="115" t="str">
        <f aca="false">IF($B1956="Tema",IF(ISNUMBER(INDEX(Temas!$E$6:$P$305,$C1956,2*$D1956-1)),INDEX(Temas!$E$6:$P$305,$C1956,2*$D1956-1),""),IF(ISNUMBER(INDEX(Avulsos!$B$6:$B$205,$C1956)),INDEX(Avulsos!$B$6:$B$205,$C1956),""))</f>
        <v/>
      </c>
      <c r="F1956" s="114" t="str">
        <f aca="false">IF($E1956="","",IF($B1956="Tema",INDEX(Temas!$B$6:$B$305,$C1956)&amp;"",INDEX(Avulsos!$C$6:$C$205,$C1956)&amp;""))</f>
        <v/>
      </c>
      <c r="G1956" s="114" t="str">
        <f aca="false">IF($E1956="","",IF($B1956="Tema",INDEX(Config!$C$6:$C$11,$D1956),"Evento avulso"))</f>
        <v/>
      </c>
      <c r="H1956" s="114" t="str">
        <f aca="false">IF($E1956="","",IF($B1956="Tema",INDEX(Config!$D$6:$D$11,$D1956),IFERROR(INDEX(Config!$E$15:$E$19,MATCH($I1956,Config!$C$15:$C$19,0)),"•")))</f>
        <v/>
      </c>
      <c r="I1956" s="114" t="str">
        <f aca="false">IF($E1956="","",IF($B1956="Tema",INDEX(Config!$E$6:$E$11,$D1956),IF(INDEX(Avulsos!$D$6:$D$205,$C1956)&amp;""="","Outro",INDEX(Avulsos!$D$6:$D$205,$C1956))))</f>
        <v/>
      </c>
      <c r="J1956" s="114" t="str">
        <f aca="false">IF($E1956="","",IF($B1956="Tema",INDEX(Temas!$C$6:$C$305,$C1956)&amp;"",INDEX(Avulsos!$E$6:$E$205,$C1956)&amp;""))</f>
        <v/>
      </c>
      <c r="K1956" s="114" t="str">
        <f aca="false">IF($E1956="","",IF(IF($B1956="Tema",INDEX(Temas!$E$6:$P$305,$C1956,2*$D1956),INDEX(Avulsos!$F$6:$F$205,$C1956))&amp;""="","","✓"))</f>
        <v/>
      </c>
      <c r="L1956" s="114" t="str">
        <f aca="true">IF($E1956="","",IF($K1956="✓","Concluído",IF($E1956&lt;TODAY(),"Atrasado",IF($E1956=TODAY(),"Hoje","Pendente"))))</f>
        <v/>
      </c>
      <c r="M1956" s="114" t="str">
        <f aca="false">IF($E1956="","",IF($K1956="✓","✓ ","")&amp;IF(Config!$E$22="Sim",$H1956&amp;" · ","")&amp;$F1956)</f>
        <v/>
      </c>
      <c r="N1956" s="114" t="str">
        <f aca="false">IF($E1956="","",IFERROR(INDEX(Config!$D$15:$D$19,MATCH($I1956,Config!$C$15:$C$19,0)),"OUT")&amp;IF($K1956="✓","x",""))</f>
        <v/>
      </c>
      <c r="O1956" s="114" t="str">
        <f aca="false">IF($E1956="","",COUNTIF($E$5:$E1956,$E1956))</f>
        <v/>
      </c>
      <c r="P1956" s="114" t="str">
        <f aca="false">IF($E1956="","",$E1956*100+$O1956)</f>
        <v/>
      </c>
      <c r="Q1956" s="114" t="str">
        <f aca="false">IF($L1956="Atrasado",$E1956*10000+$A1956,"")</f>
        <v/>
      </c>
    </row>
    <row r="1957" customFormat="false" ht="15" hidden="false" customHeight="false" outlineLevel="0" collapsed="false">
      <c r="A1957" s="114" t="n">
        <f aca="false">ROW()-4</f>
        <v>1953</v>
      </c>
      <c r="B1957" s="114" t="str">
        <f aca="false">IF(A1957&lt;=Config!$E$27*Config!$E$28,"Tema","Avulso")</f>
        <v>Avulso</v>
      </c>
      <c r="C1957" s="114" t="n">
        <f aca="false">IF(B1957="Tema",INT((A1957-1)/Config!$E$28)+1,A1957-Config!$E$27*Config!$E$28)</f>
        <v>153</v>
      </c>
      <c r="D1957" s="114" t="str">
        <f aca="false">IF(B1957="Tema",MOD(A1957-1,Config!$E$28)+1,"")</f>
        <v/>
      </c>
      <c r="E1957" s="115" t="str">
        <f aca="false">IF($B1957="Tema",IF(ISNUMBER(INDEX(Temas!$E$6:$P$305,$C1957,2*$D1957-1)),INDEX(Temas!$E$6:$P$305,$C1957,2*$D1957-1),""),IF(ISNUMBER(INDEX(Avulsos!$B$6:$B$205,$C1957)),INDEX(Avulsos!$B$6:$B$205,$C1957),""))</f>
        <v/>
      </c>
      <c r="F1957" s="114" t="str">
        <f aca="false">IF($E1957="","",IF($B1957="Tema",INDEX(Temas!$B$6:$B$305,$C1957)&amp;"",INDEX(Avulsos!$C$6:$C$205,$C1957)&amp;""))</f>
        <v/>
      </c>
      <c r="G1957" s="114" t="str">
        <f aca="false">IF($E1957="","",IF($B1957="Tema",INDEX(Config!$C$6:$C$11,$D1957),"Evento avulso"))</f>
        <v/>
      </c>
      <c r="H1957" s="114" t="str">
        <f aca="false">IF($E1957="","",IF($B1957="Tema",INDEX(Config!$D$6:$D$11,$D1957),IFERROR(INDEX(Config!$E$15:$E$19,MATCH($I1957,Config!$C$15:$C$19,0)),"•")))</f>
        <v/>
      </c>
      <c r="I1957" s="114" t="str">
        <f aca="false">IF($E1957="","",IF($B1957="Tema",INDEX(Config!$E$6:$E$11,$D1957),IF(INDEX(Avulsos!$D$6:$D$205,$C1957)&amp;""="","Outro",INDEX(Avulsos!$D$6:$D$205,$C1957))))</f>
        <v/>
      </c>
      <c r="J1957" s="114" t="str">
        <f aca="false">IF($E1957="","",IF($B1957="Tema",INDEX(Temas!$C$6:$C$305,$C1957)&amp;"",INDEX(Avulsos!$E$6:$E$205,$C1957)&amp;""))</f>
        <v/>
      </c>
      <c r="K1957" s="114" t="str">
        <f aca="false">IF($E1957="","",IF(IF($B1957="Tema",INDEX(Temas!$E$6:$P$305,$C1957,2*$D1957),INDEX(Avulsos!$F$6:$F$205,$C1957))&amp;""="","","✓"))</f>
        <v/>
      </c>
      <c r="L1957" s="114" t="str">
        <f aca="true">IF($E1957="","",IF($K1957="✓","Concluído",IF($E1957&lt;TODAY(),"Atrasado",IF($E1957=TODAY(),"Hoje","Pendente"))))</f>
        <v/>
      </c>
      <c r="M1957" s="114" t="str">
        <f aca="false">IF($E1957="","",IF($K1957="✓","✓ ","")&amp;IF(Config!$E$22="Sim",$H1957&amp;" · ","")&amp;$F1957)</f>
        <v/>
      </c>
      <c r="N1957" s="114" t="str">
        <f aca="false">IF($E1957="","",IFERROR(INDEX(Config!$D$15:$D$19,MATCH($I1957,Config!$C$15:$C$19,0)),"OUT")&amp;IF($K1957="✓","x",""))</f>
        <v/>
      </c>
      <c r="O1957" s="114" t="str">
        <f aca="false">IF($E1957="","",COUNTIF($E$5:$E1957,$E1957))</f>
        <v/>
      </c>
      <c r="P1957" s="114" t="str">
        <f aca="false">IF($E1957="","",$E1957*100+$O1957)</f>
        <v/>
      </c>
      <c r="Q1957" s="114" t="str">
        <f aca="false">IF($L1957="Atrasado",$E1957*10000+$A1957,"")</f>
        <v/>
      </c>
    </row>
    <row r="1958" customFormat="false" ht="15" hidden="false" customHeight="false" outlineLevel="0" collapsed="false">
      <c r="A1958" s="114" t="n">
        <f aca="false">ROW()-4</f>
        <v>1954</v>
      </c>
      <c r="B1958" s="114" t="str">
        <f aca="false">IF(A1958&lt;=Config!$E$27*Config!$E$28,"Tema","Avulso")</f>
        <v>Avulso</v>
      </c>
      <c r="C1958" s="114" t="n">
        <f aca="false">IF(B1958="Tema",INT((A1958-1)/Config!$E$28)+1,A1958-Config!$E$27*Config!$E$28)</f>
        <v>154</v>
      </c>
      <c r="D1958" s="114" t="str">
        <f aca="false">IF(B1958="Tema",MOD(A1958-1,Config!$E$28)+1,"")</f>
        <v/>
      </c>
      <c r="E1958" s="115" t="str">
        <f aca="false">IF($B1958="Tema",IF(ISNUMBER(INDEX(Temas!$E$6:$P$305,$C1958,2*$D1958-1)),INDEX(Temas!$E$6:$P$305,$C1958,2*$D1958-1),""),IF(ISNUMBER(INDEX(Avulsos!$B$6:$B$205,$C1958)),INDEX(Avulsos!$B$6:$B$205,$C1958),""))</f>
        <v/>
      </c>
      <c r="F1958" s="114" t="str">
        <f aca="false">IF($E1958="","",IF($B1958="Tema",INDEX(Temas!$B$6:$B$305,$C1958)&amp;"",INDEX(Avulsos!$C$6:$C$205,$C1958)&amp;""))</f>
        <v/>
      </c>
      <c r="G1958" s="114" t="str">
        <f aca="false">IF($E1958="","",IF($B1958="Tema",INDEX(Config!$C$6:$C$11,$D1958),"Evento avulso"))</f>
        <v/>
      </c>
      <c r="H1958" s="114" t="str">
        <f aca="false">IF($E1958="","",IF($B1958="Tema",INDEX(Config!$D$6:$D$11,$D1958),IFERROR(INDEX(Config!$E$15:$E$19,MATCH($I1958,Config!$C$15:$C$19,0)),"•")))</f>
        <v/>
      </c>
      <c r="I1958" s="114" t="str">
        <f aca="false">IF($E1958="","",IF($B1958="Tema",INDEX(Config!$E$6:$E$11,$D1958),IF(INDEX(Avulsos!$D$6:$D$205,$C1958)&amp;""="","Outro",INDEX(Avulsos!$D$6:$D$205,$C1958))))</f>
        <v/>
      </c>
      <c r="J1958" s="114" t="str">
        <f aca="false">IF($E1958="","",IF($B1958="Tema",INDEX(Temas!$C$6:$C$305,$C1958)&amp;"",INDEX(Avulsos!$E$6:$E$205,$C1958)&amp;""))</f>
        <v/>
      </c>
      <c r="K1958" s="114" t="str">
        <f aca="false">IF($E1958="","",IF(IF($B1958="Tema",INDEX(Temas!$E$6:$P$305,$C1958,2*$D1958),INDEX(Avulsos!$F$6:$F$205,$C1958))&amp;""="","","✓"))</f>
        <v/>
      </c>
      <c r="L1958" s="114" t="str">
        <f aca="true">IF($E1958="","",IF($K1958="✓","Concluído",IF($E1958&lt;TODAY(),"Atrasado",IF($E1958=TODAY(),"Hoje","Pendente"))))</f>
        <v/>
      </c>
      <c r="M1958" s="114" t="str">
        <f aca="false">IF($E1958="","",IF($K1958="✓","✓ ","")&amp;IF(Config!$E$22="Sim",$H1958&amp;" · ","")&amp;$F1958)</f>
        <v/>
      </c>
      <c r="N1958" s="114" t="str">
        <f aca="false">IF($E1958="","",IFERROR(INDEX(Config!$D$15:$D$19,MATCH($I1958,Config!$C$15:$C$19,0)),"OUT")&amp;IF($K1958="✓","x",""))</f>
        <v/>
      </c>
      <c r="O1958" s="114" t="str">
        <f aca="false">IF($E1958="","",COUNTIF($E$5:$E1958,$E1958))</f>
        <v/>
      </c>
      <c r="P1958" s="114" t="str">
        <f aca="false">IF($E1958="","",$E1958*100+$O1958)</f>
        <v/>
      </c>
      <c r="Q1958" s="114" t="str">
        <f aca="false">IF($L1958="Atrasado",$E1958*10000+$A1958,"")</f>
        <v/>
      </c>
    </row>
    <row r="1959" customFormat="false" ht="15" hidden="false" customHeight="false" outlineLevel="0" collapsed="false">
      <c r="A1959" s="114" t="n">
        <f aca="false">ROW()-4</f>
        <v>1955</v>
      </c>
      <c r="B1959" s="114" t="str">
        <f aca="false">IF(A1959&lt;=Config!$E$27*Config!$E$28,"Tema","Avulso")</f>
        <v>Avulso</v>
      </c>
      <c r="C1959" s="114" t="n">
        <f aca="false">IF(B1959="Tema",INT((A1959-1)/Config!$E$28)+1,A1959-Config!$E$27*Config!$E$28)</f>
        <v>155</v>
      </c>
      <c r="D1959" s="114" t="str">
        <f aca="false">IF(B1959="Tema",MOD(A1959-1,Config!$E$28)+1,"")</f>
        <v/>
      </c>
      <c r="E1959" s="115" t="str">
        <f aca="false">IF($B1959="Tema",IF(ISNUMBER(INDEX(Temas!$E$6:$P$305,$C1959,2*$D1959-1)),INDEX(Temas!$E$6:$P$305,$C1959,2*$D1959-1),""),IF(ISNUMBER(INDEX(Avulsos!$B$6:$B$205,$C1959)),INDEX(Avulsos!$B$6:$B$205,$C1959),""))</f>
        <v/>
      </c>
      <c r="F1959" s="114" t="str">
        <f aca="false">IF($E1959="","",IF($B1959="Tema",INDEX(Temas!$B$6:$B$305,$C1959)&amp;"",INDEX(Avulsos!$C$6:$C$205,$C1959)&amp;""))</f>
        <v/>
      </c>
      <c r="G1959" s="114" t="str">
        <f aca="false">IF($E1959="","",IF($B1959="Tema",INDEX(Config!$C$6:$C$11,$D1959),"Evento avulso"))</f>
        <v/>
      </c>
      <c r="H1959" s="114" t="str">
        <f aca="false">IF($E1959="","",IF($B1959="Tema",INDEX(Config!$D$6:$D$11,$D1959),IFERROR(INDEX(Config!$E$15:$E$19,MATCH($I1959,Config!$C$15:$C$19,0)),"•")))</f>
        <v/>
      </c>
      <c r="I1959" s="114" t="str">
        <f aca="false">IF($E1959="","",IF($B1959="Tema",INDEX(Config!$E$6:$E$11,$D1959),IF(INDEX(Avulsos!$D$6:$D$205,$C1959)&amp;""="","Outro",INDEX(Avulsos!$D$6:$D$205,$C1959))))</f>
        <v/>
      </c>
      <c r="J1959" s="114" t="str">
        <f aca="false">IF($E1959="","",IF($B1959="Tema",INDEX(Temas!$C$6:$C$305,$C1959)&amp;"",INDEX(Avulsos!$E$6:$E$205,$C1959)&amp;""))</f>
        <v/>
      </c>
      <c r="K1959" s="114" t="str">
        <f aca="false">IF($E1959="","",IF(IF($B1959="Tema",INDEX(Temas!$E$6:$P$305,$C1959,2*$D1959),INDEX(Avulsos!$F$6:$F$205,$C1959))&amp;""="","","✓"))</f>
        <v/>
      </c>
      <c r="L1959" s="114" t="str">
        <f aca="true">IF($E1959="","",IF($K1959="✓","Concluído",IF($E1959&lt;TODAY(),"Atrasado",IF($E1959=TODAY(),"Hoje","Pendente"))))</f>
        <v/>
      </c>
      <c r="M1959" s="114" t="str">
        <f aca="false">IF($E1959="","",IF($K1959="✓","✓ ","")&amp;IF(Config!$E$22="Sim",$H1959&amp;" · ","")&amp;$F1959)</f>
        <v/>
      </c>
      <c r="N1959" s="114" t="str">
        <f aca="false">IF($E1959="","",IFERROR(INDEX(Config!$D$15:$D$19,MATCH($I1959,Config!$C$15:$C$19,0)),"OUT")&amp;IF($K1959="✓","x",""))</f>
        <v/>
      </c>
      <c r="O1959" s="114" t="str">
        <f aca="false">IF($E1959="","",COUNTIF($E$5:$E1959,$E1959))</f>
        <v/>
      </c>
      <c r="P1959" s="114" t="str">
        <f aca="false">IF($E1959="","",$E1959*100+$O1959)</f>
        <v/>
      </c>
      <c r="Q1959" s="114" t="str">
        <f aca="false">IF($L1959="Atrasado",$E1959*10000+$A1959,"")</f>
        <v/>
      </c>
    </row>
    <row r="1960" customFormat="false" ht="15" hidden="false" customHeight="false" outlineLevel="0" collapsed="false">
      <c r="A1960" s="114" t="n">
        <f aca="false">ROW()-4</f>
        <v>1956</v>
      </c>
      <c r="B1960" s="114" t="str">
        <f aca="false">IF(A1960&lt;=Config!$E$27*Config!$E$28,"Tema","Avulso")</f>
        <v>Avulso</v>
      </c>
      <c r="C1960" s="114" t="n">
        <f aca="false">IF(B1960="Tema",INT((A1960-1)/Config!$E$28)+1,A1960-Config!$E$27*Config!$E$28)</f>
        <v>156</v>
      </c>
      <c r="D1960" s="114" t="str">
        <f aca="false">IF(B1960="Tema",MOD(A1960-1,Config!$E$28)+1,"")</f>
        <v/>
      </c>
      <c r="E1960" s="115" t="str">
        <f aca="false">IF($B1960="Tema",IF(ISNUMBER(INDEX(Temas!$E$6:$P$305,$C1960,2*$D1960-1)),INDEX(Temas!$E$6:$P$305,$C1960,2*$D1960-1),""),IF(ISNUMBER(INDEX(Avulsos!$B$6:$B$205,$C1960)),INDEX(Avulsos!$B$6:$B$205,$C1960),""))</f>
        <v/>
      </c>
      <c r="F1960" s="114" t="str">
        <f aca="false">IF($E1960="","",IF($B1960="Tema",INDEX(Temas!$B$6:$B$305,$C1960)&amp;"",INDEX(Avulsos!$C$6:$C$205,$C1960)&amp;""))</f>
        <v/>
      </c>
      <c r="G1960" s="114" t="str">
        <f aca="false">IF($E1960="","",IF($B1960="Tema",INDEX(Config!$C$6:$C$11,$D1960),"Evento avulso"))</f>
        <v/>
      </c>
      <c r="H1960" s="114" t="str">
        <f aca="false">IF($E1960="","",IF($B1960="Tema",INDEX(Config!$D$6:$D$11,$D1960),IFERROR(INDEX(Config!$E$15:$E$19,MATCH($I1960,Config!$C$15:$C$19,0)),"•")))</f>
        <v/>
      </c>
      <c r="I1960" s="114" t="str">
        <f aca="false">IF($E1960="","",IF($B1960="Tema",INDEX(Config!$E$6:$E$11,$D1960),IF(INDEX(Avulsos!$D$6:$D$205,$C1960)&amp;""="","Outro",INDEX(Avulsos!$D$6:$D$205,$C1960))))</f>
        <v/>
      </c>
      <c r="J1960" s="114" t="str">
        <f aca="false">IF($E1960="","",IF($B1960="Tema",INDEX(Temas!$C$6:$C$305,$C1960)&amp;"",INDEX(Avulsos!$E$6:$E$205,$C1960)&amp;""))</f>
        <v/>
      </c>
      <c r="K1960" s="114" t="str">
        <f aca="false">IF($E1960="","",IF(IF($B1960="Tema",INDEX(Temas!$E$6:$P$305,$C1960,2*$D1960),INDEX(Avulsos!$F$6:$F$205,$C1960))&amp;""="","","✓"))</f>
        <v/>
      </c>
      <c r="L1960" s="114" t="str">
        <f aca="true">IF($E1960="","",IF($K1960="✓","Concluído",IF($E1960&lt;TODAY(),"Atrasado",IF($E1960=TODAY(),"Hoje","Pendente"))))</f>
        <v/>
      </c>
      <c r="M1960" s="114" t="str">
        <f aca="false">IF($E1960="","",IF($K1960="✓","✓ ","")&amp;IF(Config!$E$22="Sim",$H1960&amp;" · ","")&amp;$F1960)</f>
        <v/>
      </c>
      <c r="N1960" s="114" t="str">
        <f aca="false">IF($E1960="","",IFERROR(INDEX(Config!$D$15:$D$19,MATCH($I1960,Config!$C$15:$C$19,0)),"OUT")&amp;IF($K1960="✓","x",""))</f>
        <v/>
      </c>
      <c r="O1960" s="114" t="str">
        <f aca="false">IF($E1960="","",COUNTIF($E$5:$E1960,$E1960))</f>
        <v/>
      </c>
      <c r="P1960" s="114" t="str">
        <f aca="false">IF($E1960="","",$E1960*100+$O1960)</f>
        <v/>
      </c>
      <c r="Q1960" s="114" t="str">
        <f aca="false">IF($L1960="Atrasado",$E1960*10000+$A1960,"")</f>
        <v/>
      </c>
    </row>
    <row r="1961" customFormat="false" ht="15" hidden="false" customHeight="false" outlineLevel="0" collapsed="false">
      <c r="A1961" s="114" t="n">
        <f aca="false">ROW()-4</f>
        <v>1957</v>
      </c>
      <c r="B1961" s="114" t="str">
        <f aca="false">IF(A1961&lt;=Config!$E$27*Config!$E$28,"Tema","Avulso")</f>
        <v>Avulso</v>
      </c>
      <c r="C1961" s="114" t="n">
        <f aca="false">IF(B1961="Tema",INT((A1961-1)/Config!$E$28)+1,A1961-Config!$E$27*Config!$E$28)</f>
        <v>157</v>
      </c>
      <c r="D1961" s="114" t="str">
        <f aca="false">IF(B1961="Tema",MOD(A1961-1,Config!$E$28)+1,"")</f>
        <v/>
      </c>
      <c r="E1961" s="115" t="str">
        <f aca="false">IF($B1961="Tema",IF(ISNUMBER(INDEX(Temas!$E$6:$P$305,$C1961,2*$D1961-1)),INDEX(Temas!$E$6:$P$305,$C1961,2*$D1961-1),""),IF(ISNUMBER(INDEX(Avulsos!$B$6:$B$205,$C1961)),INDEX(Avulsos!$B$6:$B$205,$C1961),""))</f>
        <v/>
      </c>
      <c r="F1961" s="114" t="str">
        <f aca="false">IF($E1961="","",IF($B1961="Tema",INDEX(Temas!$B$6:$B$305,$C1961)&amp;"",INDEX(Avulsos!$C$6:$C$205,$C1961)&amp;""))</f>
        <v/>
      </c>
      <c r="G1961" s="114" t="str">
        <f aca="false">IF($E1961="","",IF($B1961="Tema",INDEX(Config!$C$6:$C$11,$D1961),"Evento avulso"))</f>
        <v/>
      </c>
      <c r="H1961" s="114" t="str">
        <f aca="false">IF($E1961="","",IF($B1961="Tema",INDEX(Config!$D$6:$D$11,$D1961),IFERROR(INDEX(Config!$E$15:$E$19,MATCH($I1961,Config!$C$15:$C$19,0)),"•")))</f>
        <v/>
      </c>
      <c r="I1961" s="114" t="str">
        <f aca="false">IF($E1961="","",IF($B1961="Tema",INDEX(Config!$E$6:$E$11,$D1961),IF(INDEX(Avulsos!$D$6:$D$205,$C1961)&amp;""="","Outro",INDEX(Avulsos!$D$6:$D$205,$C1961))))</f>
        <v/>
      </c>
      <c r="J1961" s="114" t="str">
        <f aca="false">IF($E1961="","",IF($B1961="Tema",INDEX(Temas!$C$6:$C$305,$C1961)&amp;"",INDEX(Avulsos!$E$6:$E$205,$C1961)&amp;""))</f>
        <v/>
      </c>
      <c r="K1961" s="114" t="str">
        <f aca="false">IF($E1961="","",IF(IF($B1961="Tema",INDEX(Temas!$E$6:$P$305,$C1961,2*$D1961),INDEX(Avulsos!$F$6:$F$205,$C1961))&amp;""="","","✓"))</f>
        <v/>
      </c>
      <c r="L1961" s="114" t="str">
        <f aca="true">IF($E1961="","",IF($K1961="✓","Concluído",IF($E1961&lt;TODAY(),"Atrasado",IF($E1961=TODAY(),"Hoje","Pendente"))))</f>
        <v/>
      </c>
      <c r="M1961" s="114" t="str">
        <f aca="false">IF($E1961="","",IF($K1961="✓","✓ ","")&amp;IF(Config!$E$22="Sim",$H1961&amp;" · ","")&amp;$F1961)</f>
        <v/>
      </c>
      <c r="N1961" s="114" t="str">
        <f aca="false">IF($E1961="","",IFERROR(INDEX(Config!$D$15:$D$19,MATCH($I1961,Config!$C$15:$C$19,0)),"OUT")&amp;IF($K1961="✓","x",""))</f>
        <v/>
      </c>
      <c r="O1961" s="114" t="str">
        <f aca="false">IF($E1961="","",COUNTIF($E$5:$E1961,$E1961))</f>
        <v/>
      </c>
      <c r="P1961" s="114" t="str">
        <f aca="false">IF($E1961="","",$E1961*100+$O1961)</f>
        <v/>
      </c>
      <c r="Q1961" s="114" t="str">
        <f aca="false">IF($L1961="Atrasado",$E1961*10000+$A1961,"")</f>
        <v/>
      </c>
    </row>
    <row r="1962" customFormat="false" ht="15" hidden="false" customHeight="false" outlineLevel="0" collapsed="false">
      <c r="A1962" s="114" t="n">
        <f aca="false">ROW()-4</f>
        <v>1958</v>
      </c>
      <c r="B1962" s="114" t="str">
        <f aca="false">IF(A1962&lt;=Config!$E$27*Config!$E$28,"Tema","Avulso")</f>
        <v>Avulso</v>
      </c>
      <c r="C1962" s="114" t="n">
        <f aca="false">IF(B1962="Tema",INT((A1962-1)/Config!$E$28)+1,A1962-Config!$E$27*Config!$E$28)</f>
        <v>158</v>
      </c>
      <c r="D1962" s="114" t="str">
        <f aca="false">IF(B1962="Tema",MOD(A1962-1,Config!$E$28)+1,"")</f>
        <v/>
      </c>
      <c r="E1962" s="115" t="str">
        <f aca="false">IF($B1962="Tema",IF(ISNUMBER(INDEX(Temas!$E$6:$P$305,$C1962,2*$D1962-1)),INDEX(Temas!$E$6:$P$305,$C1962,2*$D1962-1),""),IF(ISNUMBER(INDEX(Avulsos!$B$6:$B$205,$C1962)),INDEX(Avulsos!$B$6:$B$205,$C1962),""))</f>
        <v/>
      </c>
      <c r="F1962" s="114" t="str">
        <f aca="false">IF($E1962="","",IF($B1962="Tema",INDEX(Temas!$B$6:$B$305,$C1962)&amp;"",INDEX(Avulsos!$C$6:$C$205,$C1962)&amp;""))</f>
        <v/>
      </c>
      <c r="G1962" s="114" t="str">
        <f aca="false">IF($E1962="","",IF($B1962="Tema",INDEX(Config!$C$6:$C$11,$D1962),"Evento avulso"))</f>
        <v/>
      </c>
      <c r="H1962" s="114" t="str">
        <f aca="false">IF($E1962="","",IF($B1962="Tema",INDEX(Config!$D$6:$D$11,$D1962),IFERROR(INDEX(Config!$E$15:$E$19,MATCH($I1962,Config!$C$15:$C$19,0)),"•")))</f>
        <v/>
      </c>
      <c r="I1962" s="114" t="str">
        <f aca="false">IF($E1962="","",IF($B1962="Tema",INDEX(Config!$E$6:$E$11,$D1962),IF(INDEX(Avulsos!$D$6:$D$205,$C1962)&amp;""="","Outro",INDEX(Avulsos!$D$6:$D$205,$C1962))))</f>
        <v/>
      </c>
      <c r="J1962" s="114" t="str">
        <f aca="false">IF($E1962="","",IF($B1962="Tema",INDEX(Temas!$C$6:$C$305,$C1962)&amp;"",INDEX(Avulsos!$E$6:$E$205,$C1962)&amp;""))</f>
        <v/>
      </c>
      <c r="K1962" s="114" t="str">
        <f aca="false">IF($E1962="","",IF(IF($B1962="Tema",INDEX(Temas!$E$6:$P$305,$C1962,2*$D1962),INDEX(Avulsos!$F$6:$F$205,$C1962))&amp;""="","","✓"))</f>
        <v/>
      </c>
      <c r="L1962" s="114" t="str">
        <f aca="true">IF($E1962="","",IF($K1962="✓","Concluído",IF($E1962&lt;TODAY(),"Atrasado",IF($E1962=TODAY(),"Hoje","Pendente"))))</f>
        <v/>
      </c>
      <c r="M1962" s="114" t="str">
        <f aca="false">IF($E1962="","",IF($K1962="✓","✓ ","")&amp;IF(Config!$E$22="Sim",$H1962&amp;" · ","")&amp;$F1962)</f>
        <v/>
      </c>
      <c r="N1962" s="114" t="str">
        <f aca="false">IF($E1962="","",IFERROR(INDEX(Config!$D$15:$D$19,MATCH($I1962,Config!$C$15:$C$19,0)),"OUT")&amp;IF($K1962="✓","x",""))</f>
        <v/>
      </c>
      <c r="O1962" s="114" t="str">
        <f aca="false">IF($E1962="","",COUNTIF($E$5:$E1962,$E1962))</f>
        <v/>
      </c>
      <c r="P1962" s="114" t="str">
        <f aca="false">IF($E1962="","",$E1962*100+$O1962)</f>
        <v/>
      </c>
      <c r="Q1962" s="114" t="str">
        <f aca="false">IF($L1962="Atrasado",$E1962*10000+$A1962,"")</f>
        <v/>
      </c>
    </row>
    <row r="1963" customFormat="false" ht="15" hidden="false" customHeight="false" outlineLevel="0" collapsed="false">
      <c r="A1963" s="114" t="n">
        <f aca="false">ROW()-4</f>
        <v>1959</v>
      </c>
      <c r="B1963" s="114" t="str">
        <f aca="false">IF(A1963&lt;=Config!$E$27*Config!$E$28,"Tema","Avulso")</f>
        <v>Avulso</v>
      </c>
      <c r="C1963" s="114" t="n">
        <f aca="false">IF(B1963="Tema",INT((A1963-1)/Config!$E$28)+1,A1963-Config!$E$27*Config!$E$28)</f>
        <v>159</v>
      </c>
      <c r="D1963" s="114" t="str">
        <f aca="false">IF(B1963="Tema",MOD(A1963-1,Config!$E$28)+1,"")</f>
        <v/>
      </c>
      <c r="E1963" s="115" t="str">
        <f aca="false">IF($B1963="Tema",IF(ISNUMBER(INDEX(Temas!$E$6:$P$305,$C1963,2*$D1963-1)),INDEX(Temas!$E$6:$P$305,$C1963,2*$D1963-1),""),IF(ISNUMBER(INDEX(Avulsos!$B$6:$B$205,$C1963)),INDEX(Avulsos!$B$6:$B$205,$C1963),""))</f>
        <v/>
      </c>
      <c r="F1963" s="114" t="str">
        <f aca="false">IF($E1963="","",IF($B1963="Tema",INDEX(Temas!$B$6:$B$305,$C1963)&amp;"",INDEX(Avulsos!$C$6:$C$205,$C1963)&amp;""))</f>
        <v/>
      </c>
      <c r="G1963" s="114" t="str">
        <f aca="false">IF($E1963="","",IF($B1963="Tema",INDEX(Config!$C$6:$C$11,$D1963),"Evento avulso"))</f>
        <v/>
      </c>
      <c r="H1963" s="114" t="str">
        <f aca="false">IF($E1963="","",IF($B1963="Tema",INDEX(Config!$D$6:$D$11,$D1963),IFERROR(INDEX(Config!$E$15:$E$19,MATCH($I1963,Config!$C$15:$C$19,0)),"•")))</f>
        <v/>
      </c>
      <c r="I1963" s="114" t="str">
        <f aca="false">IF($E1963="","",IF($B1963="Tema",INDEX(Config!$E$6:$E$11,$D1963),IF(INDEX(Avulsos!$D$6:$D$205,$C1963)&amp;""="","Outro",INDEX(Avulsos!$D$6:$D$205,$C1963))))</f>
        <v/>
      </c>
      <c r="J1963" s="114" t="str">
        <f aca="false">IF($E1963="","",IF($B1963="Tema",INDEX(Temas!$C$6:$C$305,$C1963)&amp;"",INDEX(Avulsos!$E$6:$E$205,$C1963)&amp;""))</f>
        <v/>
      </c>
      <c r="K1963" s="114" t="str">
        <f aca="false">IF($E1963="","",IF(IF($B1963="Tema",INDEX(Temas!$E$6:$P$305,$C1963,2*$D1963),INDEX(Avulsos!$F$6:$F$205,$C1963))&amp;""="","","✓"))</f>
        <v/>
      </c>
      <c r="L1963" s="114" t="str">
        <f aca="true">IF($E1963="","",IF($K1963="✓","Concluído",IF($E1963&lt;TODAY(),"Atrasado",IF($E1963=TODAY(),"Hoje","Pendente"))))</f>
        <v/>
      </c>
      <c r="M1963" s="114" t="str">
        <f aca="false">IF($E1963="","",IF($K1963="✓","✓ ","")&amp;IF(Config!$E$22="Sim",$H1963&amp;" · ","")&amp;$F1963)</f>
        <v/>
      </c>
      <c r="N1963" s="114" t="str">
        <f aca="false">IF($E1963="","",IFERROR(INDEX(Config!$D$15:$D$19,MATCH($I1963,Config!$C$15:$C$19,0)),"OUT")&amp;IF($K1963="✓","x",""))</f>
        <v/>
      </c>
      <c r="O1963" s="114" t="str">
        <f aca="false">IF($E1963="","",COUNTIF($E$5:$E1963,$E1963))</f>
        <v/>
      </c>
      <c r="P1963" s="114" t="str">
        <f aca="false">IF($E1963="","",$E1963*100+$O1963)</f>
        <v/>
      </c>
      <c r="Q1963" s="114" t="str">
        <f aca="false">IF($L1963="Atrasado",$E1963*10000+$A1963,"")</f>
        <v/>
      </c>
    </row>
    <row r="1964" customFormat="false" ht="15" hidden="false" customHeight="false" outlineLevel="0" collapsed="false">
      <c r="A1964" s="114" t="n">
        <f aca="false">ROW()-4</f>
        <v>1960</v>
      </c>
      <c r="B1964" s="114" t="str">
        <f aca="false">IF(A1964&lt;=Config!$E$27*Config!$E$28,"Tema","Avulso")</f>
        <v>Avulso</v>
      </c>
      <c r="C1964" s="114" t="n">
        <f aca="false">IF(B1964="Tema",INT((A1964-1)/Config!$E$28)+1,A1964-Config!$E$27*Config!$E$28)</f>
        <v>160</v>
      </c>
      <c r="D1964" s="114" t="str">
        <f aca="false">IF(B1964="Tema",MOD(A1964-1,Config!$E$28)+1,"")</f>
        <v/>
      </c>
      <c r="E1964" s="115" t="str">
        <f aca="false">IF($B1964="Tema",IF(ISNUMBER(INDEX(Temas!$E$6:$P$305,$C1964,2*$D1964-1)),INDEX(Temas!$E$6:$P$305,$C1964,2*$D1964-1),""),IF(ISNUMBER(INDEX(Avulsos!$B$6:$B$205,$C1964)),INDEX(Avulsos!$B$6:$B$205,$C1964),""))</f>
        <v/>
      </c>
      <c r="F1964" s="114" t="str">
        <f aca="false">IF($E1964="","",IF($B1964="Tema",INDEX(Temas!$B$6:$B$305,$C1964)&amp;"",INDEX(Avulsos!$C$6:$C$205,$C1964)&amp;""))</f>
        <v/>
      </c>
      <c r="G1964" s="114" t="str">
        <f aca="false">IF($E1964="","",IF($B1964="Tema",INDEX(Config!$C$6:$C$11,$D1964),"Evento avulso"))</f>
        <v/>
      </c>
      <c r="H1964" s="114" t="str">
        <f aca="false">IF($E1964="","",IF($B1964="Tema",INDEX(Config!$D$6:$D$11,$D1964),IFERROR(INDEX(Config!$E$15:$E$19,MATCH($I1964,Config!$C$15:$C$19,0)),"•")))</f>
        <v/>
      </c>
      <c r="I1964" s="114" t="str">
        <f aca="false">IF($E1964="","",IF($B1964="Tema",INDEX(Config!$E$6:$E$11,$D1964),IF(INDEX(Avulsos!$D$6:$D$205,$C1964)&amp;""="","Outro",INDEX(Avulsos!$D$6:$D$205,$C1964))))</f>
        <v/>
      </c>
      <c r="J1964" s="114" t="str">
        <f aca="false">IF($E1964="","",IF($B1964="Tema",INDEX(Temas!$C$6:$C$305,$C1964)&amp;"",INDEX(Avulsos!$E$6:$E$205,$C1964)&amp;""))</f>
        <v/>
      </c>
      <c r="K1964" s="114" t="str">
        <f aca="false">IF($E1964="","",IF(IF($B1964="Tema",INDEX(Temas!$E$6:$P$305,$C1964,2*$D1964),INDEX(Avulsos!$F$6:$F$205,$C1964))&amp;""="","","✓"))</f>
        <v/>
      </c>
      <c r="L1964" s="114" t="str">
        <f aca="true">IF($E1964="","",IF($K1964="✓","Concluído",IF($E1964&lt;TODAY(),"Atrasado",IF($E1964=TODAY(),"Hoje","Pendente"))))</f>
        <v/>
      </c>
      <c r="M1964" s="114" t="str">
        <f aca="false">IF($E1964="","",IF($K1964="✓","✓ ","")&amp;IF(Config!$E$22="Sim",$H1964&amp;" · ","")&amp;$F1964)</f>
        <v/>
      </c>
      <c r="N1964" s="114" t="str">
        <f aca="false">IF($E1964="","",IFERROR(INDEX(Config!$D$15:$D$19,MATCH($I1964,Config!$C$15:$C$19,0)),"OUT")&amp;IF($K1964="✓","x",""))</f>
        <v/>
      </c>
      <c r="O1964" s="114" t="str">
        <f aca="false">IF($E1964="","",COUNTIF($E$5:$E1964,$E1964))</f>
        <v/>
      </c>
      <c r="P1964" s="114" t="str">
        <f aca="false">IF($E1964="","",$E1964*100+$O1964)</f>
        <v/>
      </c>
      <c r="Q1964" s="114" t="str">
        <f aca="false">IF($L1964="Atrasado",$E1964*10000+$A1964,"")</f>
        <v/>
      </c>
    </row>
    <row r="1965" customFormat="false" ht="15" hidden="false" customHeight="false" outlineLevel="0" collapsed="false">
      <c r="A1965" s="114" t="n">
        <f aca="false">ROW()-4</f>
        <v>1961</v>
      </c>
      <c r="B1965" s="114" t="str">
        <f aca="false">IF(A1965&lt;=Config!$E$27*Config!$E$28,"Tema","Avulso")</f>
        <v>Avulso</v>
      </c>
      <c r="C1965" s="114" t="n">
        <f aca="false">IF(B1965="Tema",INT((A1965-1)/Config!$E$28)+1,A1965-Config!$E$27*Config!$E$28)</f>
        <v>161</v>
      </c>
      <c r="D1965" s="114" t="str">
        <f aca="false">IF(B1965="Tema",MOD(A1965-1,Config!$E$28)+1,"")</f>
        <v/>
      </c>
      <c r="E1965" s="115" t="str">
        <f aca="false">IF($B1965="Tema",IF(ISNUMBER(INDEX(Temas!$E$6:$P$305,$C1965,2*$D1965-1)),INDEX(Temas!$E$6:$P$305,$C1965,2*$D1965-1),""),IF(ISNUMBER(INDEX(Avulsos!$B$6:$B$205,$C1965)),INDEX(Avulsos!$B$6:$B$205,$C1965),""))</f>
        <v/>
      </c>
      <c r="F1965" s="114" t="str">
        <f aca="false">IF($E1965="","",IF($B1965="Tema",INDEX(Temas!$B$6:$B$305,$C1965)&amp;"",INDEX(Avulsos!$C$6:$C$205,$C1965)&amp;""))</f>
        <v/>
      </c>
      <c r="G1965" s="114" t="str">
        <f aca="false">IF($E1965="","",IF($B1965="Tema",INDEX(Config!$C$6:$C$11,$D1965),"Evento avulso"))</f>
        <v/>
      </c>
      <c r="H1965" s="114" t="str">
        <f aca="false">IF($E1965="","",IF($B1965="Tema",INDEX(Config!$D$6:$D$11,$D1965),IFERROR(INDEX(Config!$E$15:$E$19,MATCH($I1965,Config!$C$15:$C$19,0)),"•")))</f>
        <v/>
      </c>
      <c r="I1965" s="114" t="str">
        <f aca="false">IF($E1965="","",IF($B1965="Tema",INDEX(Config!$E$6:$E$11,$D1965),IF(INDEX(Avulsos!$D$6:$D$205,$C1965)&amp;""="","Outro",INDEX(Avulsos!$D$6:$D$205,$C1965))))</f>
        <v/>
      </c>
      <c r="J1965" s="114" t="str">
        <f aca="false">IF($E1965="","",IF($B1965="Tema",INDEX(Temas!$C$6:$C$305,$C1965)&amp;"",INDEX(Avulsos!$E$6:$E$205,$C1965)&amp;""))</f>
        <v/>
      </c>
      <c r="K1965" s="114" t="str">
        <f aca="false">IF($E1965="","",IF(IF($B1965="Tema",INDEX(Temas!$E$6:$P$305,$C1965,2*$D1965),INDEX(Avulsos!$F$6:$F$205,$C1965))&amp;""="","","✓"))</f>
        <v/>
      </c>
      <c r="L1965" s="114" t="str">
        <f aca="true">IF($E1965="","",IF($K1965="✓","Concluído",IF($E1965&lt;TODAY(),"Atrasado",IF($E1965=TODAY(),"Hoje","Pendente"))))</f>
        <v/>
      </c>
      <c r="M1965" s="114" t="str">
        <f aca="false">IF($E1965="","",IF($K1965="✓","✓ ","")&amp;IF(Config!$E$22="Sim",$H1965&amp;" · ","")&amp;$F1965)</f>
        <v/>
      </c>
      <c r="N1965" s="114" t="str">
        <f aca="false">IF($E1965="","",IFERROR(INDEX(Config!$D$15:$D$19,MATCH($I1965,Config!$C$15:$C$19,0)),"OUT")&amp;IF($K1965="✓","x",""))</f>
        <v/>
      </c>
      <c r="O1965" s="114" t="str">
        <f aca="false">IF($E1965="","",COUNTIF($E$5:$E1965,$E1965))</f>
        <v/>
      </c>
      <c r="P1965" s="114" t="str">
        <f aca="false">IF($E1965="","",$E1965*100+$O1965)</f>
        <v/>
      </c>
      <c r="Q1965" s="114" t="str">
        <f aca="false">IF($L1965="Atrasado",$E1965*10000+$A1965,"")</f>
        <v/>
      </c>
    </row>
    <row r="1966" customFormat="false" ht="15" hidden="false" customHeight="false" outlineLevel="0" collapsed="false">
      <c r="A1966" s="114" t="n">
        <f aca="false">ROW()-4</f>
        <v>1962</v>
      </c>
      <c r="B1966" s="114" t="str">
        <f aca="false">IF(A1966&lt;=Config!$E$27*Config!$E$28,"Tema","Avulso")</f>
        <v>Avulso</v>
      </c>
      <c r="C1966" s="114" t="n">
        <f aca="false">IF(B1966="Tema",INT((A1966-1)/Config!$E$28)+1,A1966-Config!$E$27*Config!$E$28)</f>
        <v>162</v>
      </c>
      <c r="D1966" s="114" t="str">
        <f aca="false">IF(B1966="Tema",MOD(A1966-1,Config!$E$28)+1,"")</f>
        <v/>
      </c>
      <c r="E1966" s="115" t="str">
        <f aca="false">IF($B1966="Tema",IF(ISNUMBER(INDEX(Temas!$E$6:$P$305,$C1966,2*$D1966-1)),INDEX(Temas!$E$6:$P$305,$C1966,2*$D1966-1),""),IF(ISNUMBER(INDEX(Avulsos!$B$6:$B$205,$C1966)),INDEX(Avulsos!$B$6:$B$205,$C1966),""))</f>
        <v/>
      </c>
      <c r="F1966" s="114" t="str">
        <f aca="false">IF($E1966="","",IF($B1966="Tema",INDEX(Temas!$B$6:$B$305,$C1966)&amp;"",INDEX(Avulsos!$C$6:$C$205,$C1966)&amp;""))</f>
        <v/>
      </c>
      <c r="G1966" s="114" t="str">
        <f aca="false">IF($E1966="","",IF($B1966="Tema",INDEX(Config!$C$6:$C$11,$D1966),"Evento avulso"))</f>
        <v/>
      </c>
      <c r="H1966" s="114" t="str">
        <f aca="false">IF($E1966="","",IF($B1966="Tema",INDEX(Config!$D$6:$D$11,$D1966),IFERROR(INDEX(Config!$E$15:$E$19,MATCH($I1966,Config!$C$15:$C$19,0)),"•")))</f>
        <v/>
      </c>
      <c r="I1966" s="114" t="str">
        <f aca="false">IF($E1966="","",IF($B1966="Tema",INDEX(Config!$E$6:$E$11,$D1966),IF(INDEX(Avulsos!$D$6:$D$205,$C1966)&amp;""="","Outro",INDEX(Avulsos!$D$6:$D$205,$C1966))))</f>
        <v/>
      </c>
      <c r="J1966" s="114" t="str">
        <f aca="false">IF($E1966="","",IF($B1966="Tema",INDEX(Temas!$C$6:$C$305,$C1966)&amp;"",INDEX(Avulsos!$E$6:$E$205,$C1966)&amp;""))</f>
        <v/>
      </c>
      <c r="K1966" s="114" t="str">
        <f aca="false">IF($E1966="","",IF(IF($B1966="Tema",INDEX(Temas!$E$6:$P$305,$C1966,2*$D1966),INDEX(Avulsos!$F$6:$F$205,$C1966))&amp;""="","","✓"))</f>
        <v/>
      </c>
      <c r="L1966" s="114" t="str">
        <f aca="true">IF($E1966="","",IF($K1966="✓","Concluído",IF($E1966&lt;TODAY(),"Atrasado",IF($E1966=TODAY(),"Hoje","Pendente"))))</f>
        <v/>
      </c>
      <c r="M1966" s="114" t="str">
        <f aca="false">IF($E1966="","",IF($K1966="✓","✓ ","")&amp;IF(Config!$E$22="Sim",$H1966&amp;" · ","")&amp;$F1966)</f>
        <v/>
      </c>
      <c r="N1966" s="114" t="str">
        <f aca="false">IF($E1966="","",IFERROR(INDEX(Config!$D$15:$D$19,MATCH($I1966,Config!$C$15:$C$19,0)),"OUT")&amp;IF($K1966="✓","x",""))</f>
        <v/>
      </c>
      <c r="O1966" s="114" t="str">
        <f aca="false">IF($E1966="","",COUNTIF($E$5:$E1966,$E1966))</f>
        <v/>
      </c>
      <c r="P1966" s="114" t="str">
        <f aca="false">IF($E1966="","",$E1966*100+$O1966)</f>
        <v/>
      </c>
      <c r="Q1966" s="114" t="str">
        <f aca="false">IF($L1966="Atrasado",$E1966*10000+$A1966,"")</f>
        <v/>
      </c>
    </row>
    <row r="1967" customFormat="false" ht="15" hidden="false" customHeight="false" outlineLevel="0" collapsed="false">
      <c r="A1967" s="114" t="n">
        <f aca="false">ROW()-4</f>
        <v>1963</v>
      </c>
      <c r="B1967" s="114" t="str">
        <f aca="false">IF(A1967&lt;=Config!$E$27*Config!$E$28,"Tema","Avulso")</f>
        <v>Avulso</v>
      </c>
      <c r="C1967" s="114" t="n">
        <f aca="false">IF(B1967="Tema",INT((A1967-1)/Config!$E$28)+1,A1967-Config!$E$27*Config!$E$28)</f>
        <v>163</v>
      </c>
      <c r="D1967" s="114" t="str">
        <f aca="false">IF(B1967="Tema",MOD(A1967-1,Config!$E$28)+1,"")</f>
        <v/>
      </c>
      <c r="E1967" s="115" t="str">
        <f aca="false">IF($B1967="Tema",IF(ISNUMBER(INDEX(Temas!$E$6:$P$305,$C1967,2*$D1967-1)),INDEX(Temas!$E$6:$P$305,$C1967,2*$D1967-1),""),IF(ISNUMBER(INDEX(Avulsos!$B$6:$B$205,$C1967)),INDEX(Avulsos!$B$6:$B$205,$C1967),""))</f>
        <v/>
      </c>
      <c r="F1967" s="114" t="str">
        <f aca="false">IF($E1967="","",IF($B1967="Tema",INDEX(Temas!$B$6:$B$305,$C1967)&amp;"",INDEX(Avulsos!$C$6:$C$205,$C1967)&amp;""))</f>
        <v/>
      </c>
      <c r="G1967" s="114" t="str">
        <f aca="false">IF($E1967="","",IF($B1967="Tema",INDEX(Config!$C$6:$C$11,$D1967),"Evento avulso"))</f>
        <v/>
      </c>
      <c r="H1967" s="114" t="str">
        <f aca="false">IF($E1967="","",IF($B1967="Tema",INDEX(Config!$D$6:$D$11,$D1967),IFERROR(INDEX(Config!$E$15:$E$19,MATCH($I1967,Config!$C$15:$C$19,0)),"•")))</f>
        <v/>
      </c>
      <c r="I1967" s="114" t="str">
        <f aca="false">IF($E1967="","",IF($B1967="Tema",INDEX(Config!$E$6:$E$11,$D1967),IF(INDEX(Avulsos!$D$6:$D$205,$C1967)&amp;""="","Outro",INDEX(Avulsos!$D$6:$D$205,$C1967))))</f>
        <v/>
      </c>
      <c r="J1967" s="114" t="str">
        <f aca="false">IF($E1967="","",IF($B1967="Tema",INDEX(Temas!$C$6:$C$305,$C1967)&amp;"",INDEX(Avulsos!$E$6:$E$205,$C1967)&amp;""))</f>
        <v/>
      </c>
      <c r="K1967" s="114" t="str">
        <f aca="false">IF($E1967="","",IF(IF($B1967="Tema",INDEX(Temas!$E$6:$P$305,$C1967,2*$D1967),INDEX(Avulsos!$F$6:$F$205,$C1967))&amp;""="","","✓"))</f>
        <v/>
      </c>
      <c r="L1967" s="114" t="str">
        <f aca="true">IF($E1967="","",IF($K1967="✓","Concluído",IF($E1967&lt;TODAY(),"Atrasado",IF($E1967=TODAY(),"Hoje","Pendente"))))</f>
        <v/>
      </c>
      <c r="M1967" s="114" t="str">
        <f aca="false">IF($E1967="","",IF($K1967="✓","✓ ","")&amp;IF(Config!$E$22="Sim",$H1967&amp;" · ","")&amp;$F1967)</f>
        <v/>
      </c>
      <c r="N1967" s="114" t="str">
        <f aca="false">IF($E1967="","",IFERROR(INDEX(Config!$D$15:$D$19,MATCH($I1967,Config!$C$15:$C$19,0)),"OUT")&amp;IF($K1967="✓","x",""))</f>
        <v/>
      </c>
      <c r="O1967" s="114" t="str">
        <f aca="false">IF($E1967="","",COUNTIF($E$5:$E1967,$E1967))</f>
        <v/>
      </c>
      <c r="P1967" s="114" t="str">
        <f aca="false">IF($E1967="","",$E1967*100+$O1967)</f>
        <v/>
      </c>
      <c r="Q1967" s="114" t="str">
        <f aca="false">IF($L1967="Atrasado",$E1967*10000+$A1967,"")</f>
        <v/>
      </c>
    </row>
    <row r="1968" customFormat="false" ht="15" hidden="false" customHeight="false" outlineLevel="0" collapsed="false">
      <c r="A1968" s="114" t="n">
        <f aca="false">ROW()-4</f>
        <v>1964</v>
      </c>
      <c r="B1968" s="114" t="str">
        <f aca="false">IF(A1968&lt;=Config!$E$27*Config!$E$28,"Tema","Avulso")</f>
        <v>Avulso</v>
      </c>
      <c r="C1968" s="114" t="n">
        <f aca="false">IF(B1968="Tema",INT((A1968-1)/Config!$E$28)+1,A1968-Config!$E$27*Config!$E$28)</f>
        <v>164</v>
      </c>
      <c r="D1968" s="114" t="str">
        <f aca="false">IF(B1968="Tema",MOD(A1968-1,Config!$E$28)+1,"")</f>
        <v/>
      </c>
      <c r="E1968" s="115" t="str">
        <f aca="false">IF($B1968="Tema",IF(ISNUMBER(INDEX(Temas!$E$6:$P$305,$C1968,2*$D1968-1)),INDEX(Temas!$E$6:$P$305,$C1968,2*$D1968-1),""),IF(ISNUMBER(INDEX(Avulsos!$B$6:$B$205,$C1968)),INDEX(Avulsos!$B$6:$B$205,$C1968),""))</f>
        <v/>
      </c>
      <c r="F1968" s="114" t="str">
        <f aca="false">IF($E1968="","",IF($B1968="Tema",INDEX(Temas!$B$6:$B$305,$C1968)&amp;"",INDEX(Avulsos!$C$6:$C$205,$C1968)&amp;""))</f>
        <v/>
      </c>
      <c r="G1968" s="114" t="str">
        <f aca="false">IF($E1968="","",IF($B1968="Tema",INDEX(Config!$C$6:$C$11,$D1968),"Evento avulso"))</f>
        <v/>
      </c>
      <c r="H1968" s="114" t="str">
        <f aca="false">IF($E1968="","",IF($B1968="Tema",INDEX(Config!$D$6:$D$11,$D1968),IFERROR(INDEX(Config!$E$15:$E$19,MATCH($I1968,Config!$C$15:$C$19,0)),"•")))</f>
        <v/>
      </c>
      <c r="I1968" s="114" t="str">
        <f aca="false">IF($E1968="","",IF($B1968="Tema",INDEX(Config!$E$6:$E$11,$D1968),IF(INDEX(Avulsos!$D$6:$D$205,$C1968)&amp;""="","Outro",INDEX(Avulsos!$D$6:$D$205,$C1968))))</f>
        <v/>
      </c>
      <c r="J1968" s="114" t="str">
        <f aca="false">IF($E1968="","",IF($B1968="Tema",INDEX(Temas!$C$6:$C$305,$C1968)&amp;"",INDEX(Avulsos!$E$6:$E$205,$C1968)&amp;""))</f>
        <v/>
      </c>
      <c r="K1968" s="114" t="str">
        <f aca="false">IF($E1968="","",IF(IF($B1968="Tema",INDEX(Temas!$E$6:$P$305,$C1968,2*$D1968),INDEX(Avulsos!$F$6:$F$205,$C1968))&amp;""="","","✓"))</f>
        <v/>
      </c>
      <c r="L1968" s="114" t="str">
        <f aca="true">IF($E1968="","",IF($K1968="✓","Concluído",IF($E1968&lt;TODAY(),"Atrasado",IF($E1968=TODAY(),"Hoje","Pendente"))))</f>
        <v/>
      </c>
      <c r="M1968" s="114" t="str">
        <f aca="false">IF($E1968="","",IF($K1968="✓","✓ ","")&amp;IF(Config!$E$22="Sim",$H1968&amp;" · ","")&amp;$F1968)</f>
        <v/>
      </c>
      <c r="N1968" s="114" t="str">
        <f aca="false">IF($E1968="","",IFERROR(INDEX(Config!$D$15:$D$19,MATCH($I1968,Config!$C$15:$C$19,0)),"OUT")&amp;IF($K1968="✓","x",""))</f>
        <v/>
      </c>
      <c r="O1968" s="114" t="str">
        <f aca="false">IF($E1968="","",COUNTIF($E$5:$E1968,$E1968))</f>
        <v/>
      </c>
      <c r="P1968" s="114" t="str">
        <f aca="false">IF($E1968="","",$E1968*100+$O1968)</f>
        <v/>
      </c>
      <c r="Q1968" s="114" t="str">
        <f aca="false">IF($L1968="Atrasado",$E1968*10000+$A1968,"")</f>
        <v/>
      </c>
    </row>
    <row r="1969" customFormat="false" ht="15" hidden="false" customHeight="false" outlineLevel="0" collapsed="false">
      <c r="A1969" s="114" t="n">
        <f aca="false">ROW()-4</f>
        <v>1965</v>
      </c>
      <c r="B1969" s="114" t="str">
        <f aca="false">IF(A1969&lt;=Config!$E$27*Config!$E$28,"Tema","Avulso")</f>
        <v>Avulso</v>
      </c>
      <c r="C1969" s="114" t="n">
        <f aca="false">IF(B1969="Tema",INT((A1969-1)/Config!$E$28)+1,A1969-Config!$E$27*Config!$E$28)</f>
        <v>165</v>
      </c>
      <c r="D1969" s="114" t="str">
        <f aca="false">IF(B1969="Tema",MOD(A1969-1,Config!$E$28)+1,"")</f>
        <v/>
      </c>
      <c r="E1969" s="115" t="str">
        <f aca="false">IF($B1969="Tema",IF(ISNUMBER(INDEX(Temas!$E$6:$P$305,$C1969,2*$D1969-1)),INDEX(Temas!$E$6:$P$305,$C1969,2*$D1969-1),""),IF(ISNUMBER(INDEX(Avulsos!$B$6:$B$205,$C1969)),INDEX(Avulsos!$B$6:$B$205,$C1969),""))</f>
        <v/>
      </c>
      <c r="F1969" s="114" t="str">
        <f aca="false">IF($E1969="","",IF($B1969="Tema",INDEX(Temas!$B$6:$B$305,$C1969)&amp;"",INDEX(Avulsos!$C$6:$C$205,$C1969)&amp;""))</f>
        <v/>
      </c>
      <c r="G1969" s="114" t="str">
        <f aca="false">IF($E1969="","",IF($B1969="Tema",INDEX(Config!$C$6:$C$11,$D1969),"Evento avulso"))</f>
        <v/>
      </c>
      <c r="H1969" s="114" t="str">
        <f aca="false">IF($E1969="","",IF($B1969="Tema",INDEX(Config!$D$6:$D$11,$D1969),IFERROR(INDEX(Config!$E$15:$E$19,MATCH($I1969,Config!$C$15:$C$19,0)),"•")))</f>
        <v/>
      </c>
      <c r="I1969" s="114" t="str">
        <f aca="false">IF($E1969="","",IF($B1969="Tema",INDEX(Config!$E$6:$E$11,$D1969),IF(INDEX(Avulsos!$D$6:$D$205,$C1969)&amp;""="","Outro",INDEX(Avulsos!$D$6:$D$205,$C1969))))</f>
        <v/>
      </c>
      <c r="J1969" s="114" t="str">
        <f aca="false">IF($E1969="","",IF($B1969="Tema",INDEX(Temas!$C$6:$C$305,$C1969)&amp;"",INDEX(Avulsos!$E$6:$E$205,$C1969)&amp;""))</f>
        <v/>
      </c>
      <c r="K1969" s="114" t="str">
        <f aca="false">IF($E1969="","",IF(IF($B1969="Tema",INDEX(Temas!$E$6:$P$305,$C1969,2*$D1969),INDEX(Avulsos!$F$6:$F$205,$C1969))&amp;""="","","✓"))</f>
        <v/>
      </c>
      <c r="L1969" s="114" t="str">
        <f aca="true">IF($E1969="","",IF($K1969="✓","Concluído",IF($E1969&lt;TODAY(),"Atrasado",IF($E1969=TODAY(),"Hoje","Pendente"))))</f>
        <v/>
      </c>
      <c r="M1969" s="114" t="str">
        <f aca="false">IF($E1969="","",IF($K1969="✓","✓ ","")&amp;IF(Config!$E$22="Sim",$H1969&amp;" · ","")&amp;$F1969)</f>
        <v/>
      </c>
      <c r="N1969" s="114" t="str">
        <f aca="false">IF($E1969="","",IFERROR(INDEX(Config!$D$15:$D$19,MATCH($I1969,Config!$C$15:$C$19,0)),"OUT")&amp;IF($K1969="✓","x",""))</f>
        <v/>
      </c>
      <c r="O1969" s="114" t="str">
        <f aca="false">IF($E1969="","",COUNTIF($E$5:$E1969,$E1969))</f>
        <v/>
      </c>
      <c r="P1969" s="114" t="str">
        <f aca="false">IF($E1969="","",$E1969*100+$O1969)</f>
        <v/>
      </c>
      <c r="Q1969" s="114" t="str">
        <f aca="false">IF($L1969="Atrasado",$E1969*10000+$A1969,"")</f>
        <v/>
      </c>
    </row>
    <row r="1970" customFormat="false" ht="15" hidden="false" customHeight="false" outlineLevel="0" collapsed="false">
      <c r="A1970" s="114" t="n">
        <f aca="false">ROW()-4</f>
        <v>1966</v>
      </c>
      <c r="B1970" s="114" t="str">
        <f aca="false">IF(A1970&lt;=Config!$E$27*Config!$E$28,"Tema","Avulso")</f>
        <v>Avulso</v>
      </c>
      <c r="C1970" s="114" t="n">
        <f aca="false">IF(B1970="Tema",INT((A1970-1)/Config!$E$28)+1,A1970-Config!$E$27*Config!$E$28)</f>
        <v>166</v>
      </c>
      <c r="D1970" s="114" t="str">
        <f aca="false">IF(B1970="Tema",MOD(A1970-1,Config!$E$28)+1,"")</f>
        <v/>
      </c>
      <c r="E1970" s="115" t="str">
        <f aca="false">IF($B1970="Tema",IF(ISNUMBER(INDEX(Temas!$E$6:$P$305,$C1970,2*$D1970-1)),INDEX(Temas!$E$6:$P$305,$C1970,2*$D1970-1),""),IF(ISNUMBER(INDEX(Avulsos!$B$6:$B$205,$C1970)),INDEX(Avulsos!$B$6:$B$205,$C1970),""))</f>
        <v/>
      </c>
      <c r="F1970" s="114" t="str">
        <f aca="false">IF($E1970="","",IF($B1970="Tema",INDEX(Temas!$B$6:$B$305,$C1970)&amp;"",INDEX(Avulsos!$C$6:$C$205,$C1970)&amp;""))</f>
        <v/>
      </c>
      <c r="G1970" s="114" t="str">
        <f aca="false">IF($E1970="","",IF($B1970="Tema",INDEX(Config!$C$6:$C$11,$D1970),"Evento avulso"))</f>
        <v/>
      </c>
      <c r="H1970" s="114" t="str">
        <f aca="false">IF($E1970="","",IF($B1970="Tema",INDEX(Config!$D$6:$D$11,$D1970),IFERROR(INDEX(Config!$E$15:$E$19,MATCH($I1970,Config!$C$15:$C$19,0)),"•")))</f>
        <v/>
      </c>
      <c r="I1970" s="114" t="str">
        <f aca="false">IF($E1970="","",IF($B1970="Tema",INDEX(Config!$E$6:$E$11,$D1970),IF(INDEX(Avulsos!$D$6:$D$205,$C1970)&amp;""="","Outro",INDEX(Avulsos!$D$6:$D$205,$C1970))))</f>
        <v/>
      </c>
      <c r="J1970" s="114" t="str">
        <f aca="false">IF($E1970="","",IF($B1970="Tema",INDEX(Temas!$C$6:$C$305,$C1970)&amp;"",INDEX(Avulsos!$E$6:$E$205,$C1970)&amp;""))</f>
        <v/>
      </c>
      <c r="K1970" s="114" t="str">
        <f aca="false">IF($E1970="","",IF(IF($B1970="Tema",INDEX(Temas!$E$6:$P$305,$C1970,2*$D1970),INDEX(Avulsos!$F$6:$F$205,$C1970))&amp;""="","","✓"))</f>
        <v/>
      </c>
      <c r="L1970" s="114" t="str">
        <f aca="true">IF($E1970="","",IF($K1970="✓","Concluído",IF($E1970&lt;TODAY(),"Atrasado",IF($E1970=TODAY(),"Hoje","Pendente"))))</f>
        <v/>
      </c>
      <c r="M1970" s="114" t="str">
        <f aca="false">IF($E1970="","",IF($K1970="✓","✓ ","")&amp;IF(Config!$E$22="Sim",$H1970&amp;" · ","")&amp;$F1970)</f>
        <v/>
      </c>
      <c r="N1970" s="114" t="str">
        <f aca="false">IF($E1970="","",IFERROR(INDEX(Config!$D$15:$D$19,MATCH($I1970,Config!$C$15:$C$19,0)),"OUT")&amp;IF($K1970="✓","x",""))</f>
        <v/>
      </c>
      <c r="O1970" s="114" t="str">
        <f aca="false">IF($E1970="","",COUNTIF($E$5:$E1970,$E1970))</f>
        <v/>
      </c>
      <c r="P1970" s="114" t="str">
        <f aca="false">IF($E1970="","",$E1970*100+$O1970)</f>
        <v/>
      </c>
      <c r="Q1970" s="114" t="str">
        <f aca="false">IF($L1970="Atrasado",$E1970*10000+$A1970,"")</f>
        <v/>
      </c>
    </row>
    <row r="1971" customFormat="false" ht="15" hidden="false" customHeight="false" outlineLevel="0" collapsed="false">
      <c r="A1971" s="114" t="n">
        <f aca="false">ROW()-4</f>
        <v>1967</v>
      </c>
      <c r="B1971" s="114" t="str">
        <f aca="false">IF(A1971&lt;=Config!$E$27*Config!$E$28,"Tema","Avulso")</f>
        <v>Avulso</v>
      </c>
      <c r="C1971" s="114" t="n">
        <f aca="false">IF(B1971="Tema",INT((A1971-1)/Config!$E$28)+1,A1971-Config!$E$27*Config!$E$28)</f>
        <v>167</v>
      </c>
      <c r="D1971" s="114" t="str">
        <f aca="false">IF(B1971="Tema",MOD(A1971-1,Config!$E$28)+1,"")</f>
        <v/>
      </c>
      <c r="E1971" s="115" t="str">
        <f aca="false">IF($B1971="Tema",IF(ISNUMBER(INDEX(Temas!$E$6:$P$305,$C1971,2*$D1971-1)),INDEX(Temas!$E$6:$P$305,$C1971,2*$D1971-1),""),IF(ISNUMBER(INDEX(Avulsos!$B$6:$B$205,$C1971)),INDEX(Avulsos!$B$6:$B$205,$C1971),""))</f>
        <v/>
      </c>
      <c r="F1971" s="114" t="str">
        <f aca="false">IF($E1971="","",IF($B1971="Tema",INDEX(Temas!$B$6:$B$305,$C1971)&amp;"",INDEX(Avulsos!$C$6:$C$205,$C1971)&amp;""))</f>
        <v/>
      </c>
      <c r="G1971" s="114" t="str">
        <f aca="false">IF($E1971="","",IF($B1971="Tema",INDEX(Config!$C$6:$C$11,$D1971),"Evento avulso"))</f>
        <v/>
      </c>
      <c r="H1971" s="114" t="str">
        <f aca="false">IF($E1971="","",IF($B1971="Tema",INDEX(Config!$D$6:$D$11,$D1971),IFERROR(INDEX(Config!$E$15:$E$19,MATCH($I1971,Config!$C$15:$C$19,0)),"•")))</f>
        <v/>
      </c>
      <c r="I1971" s="114" t="str">
        <f aca="false">IF($E1971="","",IF($B1971="Tema",INDEX(Config!$E$6:$E$11,$D1971),IF(INDEX(Avulsos!$D$6:$D$205,$C1971)&amp;""="","Outro",INDEX(Avulsos!$D$6:$D$205,$C1971))))</f>
        <v/>
      </c>
      <c r="J1971" s="114" t="str">
        <f aca="false">IF($E1971="","",IF($B1971="Tema",INDEX(Temas!$C$6:$C$305,$C1971)&amp;"",INDEX(Avulsos!$E$6:$E$205,$C1971)&amp;""))</f>
        <v/>
      </c>
      <c r="K1971" s="114" t="str">
        <f aca="false">IF($E1971="","",IF(IF($B1971="Tema",INDEX(Temas!$E$6:$P$305,$C1971,2*$D1971),INDEX(Avulsos!$F$6:$F$205,$C1971))&amp;""="","","✓"))</f>
        <v/>
      </c>
      <c r="L1971" s="114" t="str">
        <f aca="true">IF($E1971="","",IF($K1971="✓","Concluído",IF($E1971&lt;TODAY(),"Atrasado",IF($E1971=TODAY(),"Hoje","Pendente"))))</f>
        <v/>
      </c>
      <c r="M1971" s="114" t="str">
        <f aca="false">IF($E1971="","",IF($K1971="✓","✓ ","")&amp;IF(Config!$E$22="Sim",$H1971&amp;" · ","")&amp;$F1971)</f>
        <v/>
      </c>
      <c r="N1971" s="114" t="str">
        <f aca="false">IF($E1971="","",IFERROR(INDEX(Config!$D$15:$D$19,MATCH($I1971,Config!$C$15:$C$19,0)),"OUT")&amp;IF($K1971="✓","x",""))</f>
        <v/>
      </c>
      <c r="O1971" s="114" t="str">
        <f aca="false">IF($E1971="","",COUNTIF($E$5:$E1971,$E1971))</f>
        <v/>
      </c>
      <c r="P1971" s="114" t="str">
        <f aca="false">IF($E1971="","",$E1971*100+$O1971)</f>
        <v/>
      </c>
      <c r="Q1971" s="114" t="str">
        <f aca="false">IF($L1971="Atrasado",$E1971*10000+$A1971,"")</f>
        <v/>
      </c>
    </row>
    <row r="1972" customFormat="false" ht="15" hidden="false" customHeight="false" outlineLevel="0" collapsed="false">
      <c r="A1972" s="114" t="n">
        <f aca="false">ROW()-4</f>
        <v>1968</v>
      </c>
      <c r="B1972" s="114" t="str">
        <f aca="false">IF(A1972&lt;=Config!$E$27*Config!$E$28,"Tema","Avulso")</f>
        <v>Avulso</v>
      </c>
      <c r="C1972" s="114" t="n">
        <f aca="false">IF(B1972="Tema",INT((A1972-1)/Config!$E$28)+1,A1972-Config!$E$27*Config!$E$28)</f>
        <v>168</v>
      </c>
      <c r="D1972" s="114" t="str">
        <f aca="false">IF(B1972="Tema",MOD(A1972-1,Config!$E$28)+1,"")</f>
        <v/>
      </c>
      <c r="E1972" s="115" t="str">
        <f aca="false">IF($B1972="Tema",IF(ISNUMBER(INDEX(Temas!$E$6:$P$305,$C1972,2*$D1972-1)),INDEX(Temas!$E$6:$P$305,$C1972,2*$D1972-1),""),IF(ISNUMBER(INDEX(Avulsos!$B$6:$B$205,$C1972)),INDEX(Avulsos!$B$6:$B$205,$C1972),""))</f>
        <v/>
      </c>
      <c r="F1972" s="114" t="str">
        <f aca="false">IF($E1972="","",IF($B1972="Tema",INDEX(Temas!$B$6:$B$305,$C1972)&amp;"",INDEX(Avulsos!$C$6:$C$205,$C1972)&amp;""))</f>
        <v/>
      </c>
      <c r="G1972" s="114" t="str">
        <f aca="false">IF($E1972="","",IF($B1972="Tema",INDEX(Config!$C$6:$C$11,$D1972),"Evento avulso"))</f>
        <v/>
      </c>
      <c r="H1972" s="114" t="str">
        <f aca="false">IF($E1972="","",IF($B1972="Tema",INDEX(Config!$D$6:$D$11,$D1972),IFERROR(INDEX(Config!$E$15:$E$19,MATCH($I1972,Config!$C$15:$C$19,0)),"•")))</f>
        <v/>
      </c>
      <c r="I1972" s="114" t="str">
        <f aca="false">IF($E1972="","",IF($B1972="Tema",INDEX(Config!$E$6:$E$11,$D1972),IF(INDEX(Avulsos!$D$6:$D$205,$C1972)&amp;""="","Outro",INDEX(Avulsos!$D$6:$D$205,$C1972))))</f>
        <v/>
      </c>
      <c r="J1972" s="114" t="str">
        <f aca="false">IF($E1972="","",IF($B1972="Tema",INDEX(Temas!$C$6:$C$305,$C1972)&amp;"",INDEX(Avulsos!$E$6:$E$205,$C1972)&amp;""))</f>
        <v/>
      </c>
      <c r="K1972" s="114" t="str">
        <f aca="false">IF($E1972="","",IF(IF($B1972="Tema",INDEX(Temas!$E$6:$P$305,$C1972,2*$D1972),INDEX(Avulsos!$F$6:$F$205,$C1972))&amp;""="","","✓"))</f>
        <v/>
      </c>
      <c r="L1972" s="114" t="str">
        <f aca="true">IF($E1972="","",IF($K1972="✓","Concluído",IF($E1972&lt;TODAY(),"Atrasado",IF($E1972=TODAY(),"Hoje","Pendente"))))</f>
        <v/>
      </c>
      <c r="M1972" s="114" t="str">
        <f aca="false">IF($E1972="","",IF($K1972="✓","✓ ","")&amp;IF(Config!$E$22="Sim",$H1972&amp;" · ","")&amp;$F1972)</f>
        <v/>
      </c>
      <c r="N1972" s="114" t="str">
        <f aca="false">IF($E1972="","",IFERROR(INDEX(Config!$D$15:$D$19,MATCH($I1972,Config!$C$15:$C$19,0)),"OUT")&amp;IF($K1972="✓","x",""))</f>
        <v/>
      </c>
      <c r="O1972" s="114" t="str">
        <f aca="false">IF($E1972="","",COUNTIF($E$5:$E1972,$E1972))</f>
        <v/>
      </c>
      <c r="P1972" s="114" t="str">
        <f aca="false">IF($E1972="","",$E1972*100+$O1972)</f>
        <v/>
      </c>
      <c r="Q1972" s="114" t="str">
        <f aca="false">IF($L1972="Atrasado",$E1972*10000+$A1972,"")</f>
        <v/>
      </c>
    </row>
    <row r="1973" customFormat="false" ht="15" hidden="false" customHeight="false" outlineLevel="0" collapsed="false">
      <c r="A1973" s="114" t="n">
        <f aca="false">ROW()-4</f>
        <v>1969</v>
      </c>
      <c r="B1973" s="114" t="str">
        <f aca="false">IF(A1973&lt;=Config!$E$27*Config!$E$28,"Tema","Avulso")</f>
        <v>Avulso</v>
      </c>
      <c r="C1973" s="114" t="n">
        <f aca="false">IF(B1973="Tema",INT((A1973-1)/Config!$E$28)+1,A1973-Config!$E$27*Config!$E$28)</f>
        <v>169</v>
      </c>
      <c r="D1973" s="114" t="str">
        <f aca="false">IF(B1973="Tema",MOD(A1973-1,Config!$E$28)+1,"")</f>
        <v/>
      </c>
      <c r="E1973" s="115" t="str">
        <f aca="false">IF($B1973="Tema",IF(ISNUMBER(INDEX(Temas!$E$6:$P$305,$C1973,2*$D1973-1)),INDEX(Temas!$E$6:$P$305,$C1973,2*$D1973-1),""),IF(ISNUMBER(INDEX(Avulsos!$B$6:$B$205,$C1973)),INDEX(Avulsos!$B$6:$B$205,$C1973),""))</f>
        <v/>
      </c>
      <c r="F1973" s="114" t="str">
        <f aca="false">IF($E1973="","",IF($B1973="Tema",INDEX(Temas!$B$6:$B$305,$C1973)&amp;"",INDEX(Avulsos!$C$6:$C$205,$C1973)&amp;""))</f>
        <v/>
      </c>
      <c r="G1973" s="114" t="str">
        <f aca="false">IF($E1973="","",IF($B1973="Tema",INDEX(Config!$C$6:$C$11,$D1973),"Evento avulso"))</f>
        <v/>
      </c>
      <c r="H1973" s="114" t="str">
        <f aca="false">IF($E1973="","",IF($B1973="Tema",INDEX(Config!$D$6:$D$11,$D1973),IFERROR(INDEX(Config!$E$15:$E$19,MATCH($I1973,Config!$C$15:$C$19,0)),"•")))</f>
        <v/>
      </c>
      <c r="I1973" s="114" t="str">
        <f aca="false">IF($E1973="","",IF($B1973="Tema",INDEX(Config!$E$6:$E$11,$D1973),IF(INDEX(Avulsos!$D$6:$D$205,$C1973)&amp;""="","Outro",INDEX(Avulsos!$D$6:$D$205,$C1973))))</f>
        <v/>
      </c>
      <c r="J1973" s="114" t="str">
        <f aca="false">IF($E1973="","",IF($B1973="Tema",INDEX(Temas!$C$6:$C$305,$C1973)&amp;"",INDEX(Avulsos!$E$6:$E$205,$C1973)&amp;""))</f>
        <v/>
      </c>
      <c r="K1973" s="114" t="str">
        <f aca="false">IF($E1973="","",IF(IF($B1973="Tema",INDEX(Temas!$E$6:$P$305,$C1973,2*$D1973),INDEX(Avulsos!$F$6:$F$205,$C1973))&amp;""="","","✓"))</f>
        <v/>
      </c>
      <c r="L1973" s="114" t="str">
        <f aca="true">IF($E1973="","",IF($K1973="✓","Concluído",IF($E1973&lt;TODAY(),"Atrasado",IF($E1973=TODAY(),"Hoje","Pendente"))))</f>
        <v/>
      </c>
      <c r="M1973" s="114" t="str">
        <f aca="false">IF($E1973="","",IF($K1973="✓","✓ ","")&amp;IF(Config!$E$22="Sim",$H1973&amp;" · ","")&amp;$F1973)</f>
        <v/>
      </c>
      <c r="N1973" s="114" t="str">
        <f aca="false">IF($E1973="","",IFERROR(INDEX(Config!$D$15:$D$19,MATCH($I1973,Config!$C$15:$C$19,0)),"OUT")&amp;IF($K1973="✓","x",""))</f>
        <v/>
      </c>
      <c r="O1973" s="114" t="str">
        <f aca="false">IF($E1973="","",COUNTIF($E$5:$E1973,$E1973))</f>
        <v/>
      </c>
      <c r="P1973" s="114" t="str">
        <f aca="false">IF($E1973="","",$E1973*100+$O1973)</f>
        <v/>
      </c>
      <c r="Q1973" s="114" t="str">
        <f aca="false">IF($L1973="Atrasado",$E1973*10000+$A1973,"")</f>
        <v/>
      </c>
    </row>
    <row r="1974" customFormat="false" ht="15" hidden="false" customHeight="false" outlineLevel="0" collapsed="false">
      <c r="A1974" s="114" t="n">
        <f aca="false">ROW()-4</f>
        <v>1970</v>
      </c>
      <c r="B1974" s="114" t="str">
        <f aca="false">IF(A1974&lt;=Config!$E$27*Config!$E$28,"Tema","Avulso")</f>
        <v>Avulso</v>
      </c>
      <c r="C1974" s="114" t="n">
        <f aca="false">IF(B1974="Tema",INT((A1974-1)/Config!$E$28)+1,A1974-Config!$E$27*Config!$E$28)</f>
        <v>170</v>
      </c>
      <c r="D1974" s="114" t="str">
        <f aca="false">IF(B1974="Tema",MOD(A1974-1,Config!$E$28)+1,"")</f>
        <v/>
      </c>
      <c r="E1974" s="115" t="str">
        <f aca="false">IF($B1974="Tema",IF(ISNUMBER(INDEX(Temas!$E$6:$P$305,$C1974,2*$D1974-1)),INDEX(Temas!$E$6:$P$305,$C1974,2*$D1974-1),""),IF(ISNUMBER(INDEX(Avulsos!$B$6:$B$205,$C1974)),INDEX(Avulsos!$B$6:$B$205,$C1974),""))</f>
        <v/>
      </c>
      <c r="F1974" s="114" t="str">
        <f aca="false">IF($E1974="","",IF($B1974="Tema",INDEX(Temas!$B$6:$B$305,$C1974)&amp;"",INDEX(Avulsos!$C$6:$C$205,$C1974)&amp;""))</f>
        <v/>
      </c>
      <c r="G1974" s="114" t="str">
        <f aca="false">IF($E1974="","",IF($B1974="Tema",INDEX(Config!$C$6:$C$11,$D1974),"Evento avulso"))</f>
        <v/>
      </c>
      <c r="H1974" s="114" t="str">
        <f aca="false">IF($E1974="","",IF($B1974="Tema",INDEX(Config!$D$6:$D$11,$D1974),IFERROR(INDEX(Config!$E$15:$E$19,MATCH($I1974,Config!$C$15:$C$19,0)),"•")))</f>
        <v/>
      </c>
      <c r="I1974" s="114" t="str">
        <f aca="false">IF($E1974="","",IF($B1974="Tema",INDEX(Config!$E$6:$E$11,$D1974),IF(INDEX(Avulsos!$D$6:$D$205,$C1974)&amp;""="","Outro",INDEX(Avulsos!$D$6:$D$205,$C1974))))</f>
        <v/>
      </c>
      <c r="J1974" s="114" t="str">
        <f aca="false">IF($E1974="","",IF($B1974="Tema",INDEX(Temas!$C$6:$C$305,$C1974)&amp;"",INDEX(Avulsos!$E$6:$E$205,$C1974)&amp;""))</f>
        <v/>
      </c>
      <c r="K1974" s="114" t="str">
        <f aca="false">IF($E1974="","",IF(IF($B1974="Tema",INDEX(Temas!$E$6:$P$305,$C1974,2*$D1974),INDEX(Avulsos!$F$6:$F$205,$C1974))&amp;""="","","✓"))</f>
        <v/>
      </c>
      <c r="L1974" s="114" t="str">
        <f aca="true">IF($E1974="","",IF($K1974="✓","Concluído",IF($E1974&lt;TODAY(),"Atrasado",IF($E1974=TODAY(),"Hoje","Pendente"))))</f>
        <v/>
      </c>
      <c r="M1974" s="114" t="str">
        <f aca="false">IF($E1974="","",IF($K1974="✓","✓ ","")&amp;IF(Config!$E$22="Sim",$H1974&amp;" · ","")&amp;$F1974)</f>
        <v/>
      </c>
      <c r="N1974" s="114" t="str">
        <f aca="false">IF($E1974="","",IFERROR(INDEX(Config!$D$15:$D$19,MATCH($I1974,Config!$C$15:$C$19,0)),"OUT")&amp;IF($K1974="✓","x",""))</f>
        <v/>
      </c>
      <c r="O1974" s="114" t="str">
        <f aca="false">IF($E1974="","",COUNTIF($E$5:$E1974,$E1974))</f>
        <v/>
      </c>
      <c r="P1974" s="114" t="str">
        <f aca="false">IF($E1974="","",$E1974*100+$O1974)</f>
        <v/>
      </c>
      <c r="Q1974" s="114" t="str">
        <f aca="false">IF($L1974="Atrasado",$E1974*10000+$A1974,"")</f>
        <v/>
      </c>
    </row>
    <row r="1975" customFormat="false" ht="15" hidden="false" customHeight="false" outlineLevel="0" collapsed="false">
      <c r="A1975" s="114" t="n">
        <f aca="false">ROW()-4</f>
        <v>1971</v>
      </c>
      <c r="B1975" s="114" t="str">
        <f aca="false">IF(A1975&lt;=Config!$E$27*Config!$E$28,"Tema","Avulso")</f>
        <v>Avulso</v>
      </c>
      <c r="C1975" s="114" t="n">
        <f aca="false">IF(B1975="Tema",INT((A1975-1)/Config!$E$28)+1,A1975-Config!$E$27*Config!$E$28)</f>
        <v>171</v>
      </c>
      <c r="D1975" s="114" t="str">
        <f aca="false">IF(B1975="Tema",MOD(A1975-1,Config!$E$28)+1,"")</f>
        <v/>
      </c>
      <c r="E1975" s="115" t="str">
        <f aca="false">IF($B1975="Tema",IF(ISNUMBER(INDEX(Temas!$E$6:$P$305,$C1975,2*$D1975-1)),INDEX(Temas!$E$6:$P$305,$C1975,2*$D1975-1),""),IF(ISNUMBER(INDEX(Avulsos!$B$6:$B$205,$C1975)),INDEX(Avulsos!$B$6:$B$205,$C1975),""))</f>
        <v/>
      </c>
      <c r="F1975" s="114" t="str">
        <f aca="false">IF($E1975="","",IF($B1975="Tema",INDEX(Temas!$B$6:$B$305,$C1975)&amp;"",INDEX(Avulsos!$C$6:$C$205,$C1975)&amp;""))</f>
        <v/>
      </c>
      <c r="G1975" s="114" t="str">
        <f aca="false">IF($E1975="","",IF($B1975="Tema",INDEX(Config!$C$6:$C$11,$D1975),"Evento avulso"))</f>
        <v/>
      </c>
      <c r="H1975" s="114" t="str">
        <f aca="false">IF($E1975="","",IF($B1975="Tema",INDEX(Config!$D$6:$D$11,$D1975),IFERROR(INDEX(Config!$E$15:$E$19,MATCH($I1975,Config!$C$15:$C$19,0)),"•")))</f>
        <v/>
      </c>
      <c r="I1975" s="114" t="str">
        <f aca="false">IF($E1975="","",IF($B1975="Tema",INDEX(Config!$E$6:$E$11,$D1975),IF(INDEX(Avulsos!$D$6:$D$205,$C1975)&amp;""="","Outro",INDEX(Avulsos!$D$6:$D$205,$C1975))))</f>
        <v/>
      </c>
      <c r="J1975" s="114" t="str">
        <f aca="false">IF($E1975="","",IF($B1975="Tema",INDEX(Temas!$C$6:$C$305,$C1975)&amp;"",INDEX(Avulsos!$E$6:$E$205,$C1975)&amp;""))</f>
        <v/>
      </c>
      <c r="K1975" s="114" t="str">
        <f aca="false">IF($E1975="","",IF(IF($B1975="Tema",INDEX(Temas!$E$6:$P$305,$C1975,2*$D1975),INDEX(Avulsos!$F$6:$F$205,$C1975))&amp;""="","","✓"))</f>
        <v/>
      </c>
      <c r="L1975" s="114" t="str">
        <f aca="true">IF($E1975="","",IF($K1975="✓","Concluído",IF($E1975&lt;TODAY(),"Atrasado",IF($E1975=TODAY(),"Hoje","Pendente"))))</f>
        <v/>
      </c>
      <c r="M1975" s="114" t="str">
        <f aca="false">IF($E1975="","",IF($K1975="✓","✓ ","")&amp;IF(Config!$E$22="Sim",$H1975&amp;" · ","")&amp;$F1975)</f>
        <v/>
      </c>
      <c r="N1975" s="114" t="str">
        <f aca="false">IF($E1975="","",IFERROR(INDEX(Config!$D$15:$D$19,MATCH($I1975,Config!$C$15:$C$19,0)),"OUT")&amp;IF($K1975="✓","x",""))</f>
        <v/>
      </c>
      <c r="O1975" s="114" t="str">
        <f aca="false">IF($E1975="","",COUNTIF($E$5:$E1975,$E1975))</f>
        <v/>
      </c>
      <c r="P1975" s="114" t="str">
        <f aca="false">IF($E1975="","",$E1975*100+$O1975)</f>
        <v/>
      </c>
      <c r="Q1975" s="114" t="str">
        <f aca="false">IF($L1975="Atrasado",$E1975*10000+$A1975,"")</f>
        <v/>
      </c>
    </row>
    <row r="1976" customFormat="false" ht="15" hidden="false" customHeight="false" outlineLevel="0" collapsed="false">
      <c r="A1976" s="114" t="n">
        <f aca="false">ROW()-4</f>
        <v>1972</v>
      </c>
      <c r="B1976" s="114" t="str">
        <f aca="false">IF(A1976&lt;=Config!$E$27*Config!$E$28,"Tema","Avulso")</f>
        <v>Avulso</v>
      </c>
      <c r="C1976" s="114" t="n">
        <f aca="false">IF(B1976="Tema",INT((A1976-1)/Config!$E$28)+1,A1976-Config!$E$27*Config!$E$28)</f>
        <v>172</v>
      </c>
      <c r="D1976" s="114" t="str">
        <f aca="false">IF(B1976="Tema",MOD(A1976-1,Config!$E$28)+1,"")</f>
        <v/>
      </c>
      <c r="E1976" s="115" t="str">
        <f aca="false">IF($B1976="Tema",IF(ISNUMBER(INDEX(Temas!$E$6:$P$305,$C1976,2*$D1976-1)),INDEX(Temas!$E$6:$P$305,$C1976,2*$D1976-1),""),IF(ISNUMBER(INDEX(Avulsos!$B$6:$B$205,$C1976)),INDEX(Avulsos!$B$6:$B$205,$C1976),""))</f>
        <v/>
      </c>
      <c r="F1976" s="114" t="str">
        <f aca="false">IF($E1976="","",IF($B1976="Tema",INDEX(Temas!$B$6:$B$305,$C1976)&amp;"",INDEX(Avulsos!$C$6:$C$205,$C1976)&amp;""))</f>
        <v/>
      </c>
      <c r="G1976" s="114" t="str">
        <f aca="false">IF($E1976="","",IF($B1976="Tema",INDEX(Config!$C$6:$C$11,$D1976),"Evento avulso"))</f>
        <v/>
      </c>
      <c r="H1976" s="114" t="str">
        <f aca="false">IF($E1976="","",IF($B1976="Tema",INDEX(Config!$D$6:$D$11,$D1976),IFERROR(INDEX(Config!$E$15:$E$19,MATCH($I1976,Config!$C$15:$C$19,0)),"•")))</f>
        <v/>
      </c>
      <c r="I1976" s="114" t="str">
        <f aca="false">IF($E1976="","",IF($B1976="Tema",INDEX(Config!$E$6:$E$11,$D1976),IF(INDEX(Avulsos!$D$6:$D$205,$C1976)&amp;""="","Outro",INDEX(Avulsos!$D$6:$D$205,$C1976))))</f>
        <v/>
      </c>
      <c r="J1976" s="114" t="str">
        <f aca="false">IF($E1976="","",IF($B1976="Tema",INDEX(Temas!$C$6:$C$305,$C1976)&amp;"",INDEX(Avulsos!$E$6:$E$205,$C1976)&amp;""))</f>
        <v/>
      </c>
      <c r="K1976" s="114" t="str">
        <f aca="false">IF($E1976="","",IF(IF($B1976="Tema",INDEX(Temas!$E$6:$P$305,$C1976,2*$D1976),INDEX(Avulsos!$F$6:$F$205,$C1976))&amp;""="","","✓"))</f>
        <v/>
      </c>
      <c r="L1976" s="114" t="str">
        <f aca="true">IF($E1976="","",IF($K1976="✓","Concluído",IF($E1976&lt;TODAY(),"Atrasado",IF($E1976=TODAY(),"Hoje","Pendente"))))</f>
        <v/>
      </c>
      <c r="M1976" s="114" t="str">
        <f aca="false">IF($E1976="","",IF($K1976="✓","✓ ","")&amp;IF(Config!$E$22="Sim",$H1976&amp;" · ","")&amp;$F1976)</f>
        <v/>
      </c>
      <c r="N1976" s="114" t="str">
        <f aca="false">IF($E1976="","",IFERROR(INDEX(Config!$D$15:$D$19,MATCH($I1976,Config!$C$15:$C$19,0)),"OUT")&amp;IF($K1976="✓","x",""))</f>
        <v/>
      </c>
      <c r="O1976" s="114" t="str">
        <f aca="false">IF($E1976="","",COUNTIF($E$5:$E1976,$E1976))</f>
        <v/>
      </c>
      <c r="P1976" s="114" t="str">
        <f aca="false">IF($E1976="","",$E1976*100+$O1976)</f>
        <v/>
      </c>
      <c r="Q1976" s="114" t="str">
        <f aca="false">IF($L1976="Atrasado",$E1976*10000+$A1976,"")</f>
        <v/>
      </c>
    </row>
    <row r="1977" customFormat="false" ht="15" hidden="false" customHeight="false" outlineLevel="0" collapsed="false">
      <c r="A1977" s="114" t="n">
        <f aca="false">ROW()-4</f>
        <v>1973</v>
      </c>
      <c r="B1977" s="114" t="str">
        <f aca="false">IF(A1977&lt;=Config!$E$27*Config!$E$28,"Tema","Avulso")</f>
        <v>Avulso</v>
      </c>
      <c r="C1977" s="114" t="n">
        <f aca="false">IF(B1977="Tema",INT((A1977-1)/Config!$E$28)+1,A1977-Config!$E$27*Config!$E$28)</f>
        <v>173</v>
      </c>
      <c r="D1977" s="114" t="str">
        <f aca="false">IF(B1977="Tema",MOD(A1977-1,Config!$E$28)+1,"")</f>
        <v/>
      </c>
      <c r="E1977" s="115" t="str">
        <f aca="false">IF($B1977="Tema",IF(ISNUMBER(INDEX(Temas!$E$6:$P$305,$C1977,2*$D1977-1)),INDEX(Temas!$E$6:$P$305,$C1977,2*$D1977-1),""),IF(ISNUMBER(INDEX(Avulsos!$B$6:$B$205,$C1977)),INDEX(Avulsos!$B$6:$B$205,$C1977),""))</f>
        <v/>
      </c>
      <c r="F1977" s="114" t="str">
        <f aca="false">IF($E1977="","",IF($B1977="Tema",INDEX(Temas!$B$6:$B$305,$C1977)&amp;"",INDEX(Avulsos!$C$6:$C$205,$C1977)&amp;""))</f>
        <v/>
      </c>
      <c r="G1977" s="114" t="str">
        <f aca="false">IF($E1977="","",IF($B1977="Tema",INDEX(Config!$C$6:$C$11,$D1977),"Evento avulso"))</f>
        <v/>
      </c>
      <c r="H1977" s="114" t="str">
        <f aca="false">IF($E1977="","",IF($B1977="Tema",INDEX(Config!$D$6:$D$11,$D1977),IFERROR(INDEX(Config!$E$15:$E$19,MATCH($I1977,Config!$C$15:$C$19,0)),"•")))</f>
        <v/>
      </c>
      <c r="I1977" s="114" t="str">
        <f aca="false">IF($E1977="","",IF($B1977="Tema",INDEX(Config!$E$6:$E$11,$D1977),IF(INDEX(Avulsos!$D$6:$D$205,$C1977)&amp;""="","Outro",INDEX(Avulsos!$D$6:$D$205,$C1977))))</f>
        <v/>
      </c>
      <c r="J1977" s="114" t="str">
        <f aca="false">IF($E1977="","",IF($B1977="Tema",INDEX(Temas!$C$6:$C$305,$C1977)&amp;"",INDEX(Avulsos!$E$6:$E$205,$C1977)&amp;""))</f>
        <v/>
      </c>
      <c r="K1977" s="114" t="str">
        <f aca="false">IF($E1977="","",IF(IF($B1977="Tema",INDEX(Temas!$E$6:$P$305,$C1977,2*$D1977),INDEX(Avulsos!$F$6:$F$205,$C1977))&amp;""="","","✓"))</f>
        <v/>
      </c>
      <c r="L1977" s="114" t="str">
        <f aca="true">IF($E1977="","",IF($K1977="✓","Concluído",IF($E1977&lt;TODAY(),"Atrasado",IF($E1977=TODAY(),"Hoje","Pendente"))))</f>
        <v/>
      </c>
      <c r="M1977" s="114" t="str">
        <f aca="false">IF($E1977="","",IF($K1977="✓","✓ ","")&amp;IF(Config!$E$22="Sim",$H1977&amp;" · ","")&amp;$F1977)</f>
        <v/>
      </c>
      <c r="N1977" s="114" t="str">
        <f aca="false">IF($E1977="","",IFERROR(INDEX(Config!$D$15:$D$19,MATCH($I1977,Config!$C$15:$C$19,0)),"OUT")&amp;IF($K1977="✓","x",""))</f>
        <v/>
      </c>
      <c r="O1977" s="114" t="str">
        <f aca="false">IF($E1977="","",COUNTIF($E$5:$E1977,$E1977))</f>
        <v/>
      </c>
      <c r="P1977" s="114" t="str">
        <f aca="false">IF($E1977="","",$E1977*100+$O1977)</f>
        <v/>
      </c>
      <c r="Q1977" s="114" t="str">
        <f aca="false">IF($L1977="Atrasado",$E1977*10000+$A1977,"")</f>
        <v/>
      </c>
    </row>
    <row r="1978" customFormat="false" ht="15" hidden="false" customHeight="false" outlineLevel="0" collapsed="false">
      <c r="A1978" s="114" t="n">
        <f aca="false">ROW()-4</f>
        <v>1974</v>
      </c>
      <c r="B1978" s="114" t="str">
        <f aca="false">IF(A1978&lt;=Config!$E$27*Config!$E$28,"Tema","Avulso")</f>
        <v>Avulso</v>
      </c>
      <c r="C1978" s="114" t="n">
        <f aca="false">IF(B1978="Tema",INT((A1978-1)/Config!$E$28)+1,A1978-Config!$E$27*Config!$E$28)</f>
        <v>174</v>
      </c>
      <c r="D1978" s="114" t="str">
        <f aca="false">IF(B1978="Tema",MOD(A1978-1,Config!$E$28)+1,"")</f>
        <v/>
      </c>
      <c r="E1978" s="115" t="str">
        <f aca="false">IF($B1978="Tema",IF(ISNUMBER(INDEX(Temas!$E$6:$P$305,$C1978,2*$D1978-1)),INDEX(Temas!$E$6:$P$305,$C1978,2*$D1978-1),""),IF(ISNUMBER(INDEX(Avulsos!$B$6:$B$205,$C1978)),INDEX(Avulsos!$B$6:$B$205,$C1978),""))</f>
        <v/>
      </c>
      <c r="F1978" s="114" t="str">
        <f aca="false">IF($E1978="","",IF($B1978="Tema",INDEX(Temas!$B$6:$B$305,$C1978)&amp;"",INDEX(Avulsos!$C$6:$C$205,$C1978)&amp;""))</f>
        <v/>
      </c>
      <c r="G1978" s="114" t="str">
        <f aca="false">IF($E1978="","",IF($B1978="Tema",INDEX(Config!$C$6:$C$11,$D1978),"Evento avulso"))</f>
        <v/>
      </c>
      <c r="H1978" s="114" t="str">
        <f aca="false">IF($E1978="","",IF($B1978="Tema",INDEX(Config!$D$6:$D$11,$D1978),IFERROR(INDEX(Config!$E$15:$E$19,MATCH($I1978,Config!$C$15:$C$19,0)),"•")))</f>
        <v/>
      </c>
      <c r="I1978" s="114" t="str">
        <f aca="false">IF($E1978="","",IF($B1978="Tema",INDEX(Config!$E$6:$E$11,$D1978),IF(INDEX(Avulsos!$D$6:$D$205,$C1978)&amp;""="","Outro",INDEX(Avulsos!$D$6:$D$205,$C1978))))</f>
        <v/>
      </c>
      <c r="J1978" s="114" t="str">
        <f aca="false">IF($E1978="","",IF($B1978="Tema",INDEX(Temas!$C$6:$C$305,$C1978)&amp;"",INDEX(Avulsos!$E$6:$E$205,$C1978)&amp;""))</f>
        <v/>
      </c>
      <c r="K1978" s="114" t="str">
        <f aca="false">IF($E1978="","",IF(IF($B1978="Tema",INDEX(Temas!$E$6:$P$305,$C1978,2*$D1978),INDEX(Avulsos!$F$6:$F$205,$C1978))&amp;""="","","✓"))</f>
        <v/>
      </c>
      <c r="L1978" s="114" t="str">
        <f aca="true">IF($E1978="","",IF($K1978="✓","Concluído",IF($E1978&lt;TODAY(),"Atrasado",IF($E1978=TODAY(),"Hoje","Pendente"))))</f>
        <v/>
      </c>
      <c r="M1978" s="114" t="str">
        <f aca="false">IF($E1978="","",IF($K1978="✓","✓ ","")&amp;IF(Config!$E$22="Sim",$H1978&amp;" · ","")&amp;$F1978)</f>
        <v/>
      </c>
      <c r="N1978" s="114" t="str">
        <f aca="false">IF($E1978="","",IFERROR(INDEX(Config!$D$15:$D$19,MATCH($I1978,Config!$C$15:$C$19,0)),"OUT")&amp;IF($K1978="✓","x",""))</f>
        <v/>
      </c>
      <c r="O1978" s="114" t="str">
        <f aca="false">IF($E1978="","",COUNTIF($E$5:$E1978,$E1978))</f>
        <v/>
      </c>
      <c r="P1978" s="114" t="str">
        <f aca="false">IF($E1978="","",$E1978*100+$O1978)</f>
        <v/>
      </c>
      <c r="Q1978" s="114" t="str">
        <f aca="false">IF($L1978="Atrasado",$E1978*10000+$A1978,"")</f>
        <v/>
      </c>
    </row>
    <row r="1979" customFormat="false" ht="15" hidden="false" customHeight="false" outlineLevel="0" collapsed="false">
      <c r="A1979" s="114" t="n">
        <f aca="false">ROW()-4</f>
        <v>1975</v>
      </c>
      <c r="B1979" s="114" t="str">
        <f aca="false">IF(A1979&lt;=Config!$E$27*Config!$E$28,"Tema","Avulso")</f>
        <v>Avulso</v>
      </c>
      <c r="C1979" s="114" t="n">
        <f aca="false">IF(B1979="Tema",INT((A1979-1)/Config!$E$28)+1,A1979-Config!$E$27*Config!$E$28)</f>
        <v>175</v>
      </c>
      <c r="D1979" s="114" t="str">
        <f aca="false">IF(B1979="Tema",MOD(A1979-1,Config!$E$28)+1,"")</f>
        <v/>
      </c>
      <c r="E1979" s="115" t="str">
        <f aca="false">IF($B1979="Tema",IF(ISNUMBER(INDEX(Temas!$E$6:$P$305,$C1979,2*$D1979-1)),INDEX(Temas!$E$6:$P$305,$C1979,2*$D1979-1),""),IF(ISNUMBER(INDEX(Avulsos!$B$6:$B$205,$C1979)),INDEX(Avulsos!$B$6:$B$205,$C1979),""))</f>
        <v/>
      </c>
      <c r="F1979" s="114" t="str">
        <f aca="false">IF($E1979="","",IF($B1979="Tema",INDEX(Temas!$B$6:$B$305,$C1979)&amp;"",INDEX(Avulsos!$C$6:$C$205,$C1979)&amp;""))</f>
        <v/>
      </c>
      <c r="G1979" s="114" t="str">
        <f aca="false">IF($E1979="","",IF($B1979="Tema",INDEX(Config!$C$6:$C$11,$D1979),"Evento avulso"))</f>
        <v/>
      </c>
      <c r="H1979" s="114" t="str">
        <f aca="false">IF($E1979="","",IF($B1979="Tema",INDEX(Config!$D$6:$D$11,$D1979),IFERROR(INDEX(Config!$E$15:$E$19,MATCH($I1979,Config!$C$15:$C$19,0)),"•")))</f>
        <v/>
      </c>
      <c r="I1979" s="114" t="str">
        <f aca="false">IF($E1979="","",IF($B1979="Tema",INDEX(Config!$E$6:$E$11,$D1979),IF(INDEX(Avulsos!$D$6:$D$205,$C1979)&amp;""="","Outro",INDEX(Avulsos!$D$6:$D$205,$C1979))))</f>
        <v/>
      </c>
      <c r="J1979" s="114" t="str">
        <f aca="false">IF($E1979="","",IF($B1979="Tema",INDEX(Temas!$C$6:$C$305,$C1979)&amp;"",INDEX(Avulsos!$E$6:$E$205,$C1979)&amp;""))</f>
        <v/>
      </c>
      <c r="K1979" s="114" t="str">
        <f aca="false">IF($E1979="","",IF(IF($B1979="Tema",INDEX(Temas!$E$6:$P$305,$C1979,2*$D1979),INDEX(Avulsos!$F$6:$F$205,$C1979))&amp;""="","","✓"))</f>
        <v/>
      </c>
      <c r="L1979" s="114" t="str">
        <f aca="true">IF($E1979="","",IF($K1979="✓","Concluído",IF($E1979&lt;TODAY(),"Atrasado",IF($E1979=TODAY(),"Hoje","Pendente"))))</f>
        <v/>
      </c>
      <c r="M1979" s="114" t="str">
        <f aca="false">IF($E1979="","",IF($K1979="✓","✓ ","")&amp;IF(Config!$E$22="Sim",$H1979&amp;" · ","")&amp;$F1979)</f>
        <v/>
      </c>
      <c r="N1979" s="114" t="str">
        <f aca="false">IF($E1979="","",IFERROR(INDEX(Config!$D$15:$D$19,MATCH($I1979,Config!$C$15:$C$19,0)),"OUT")&amp;IF($K1979="✓","x",""))</f>
        <v/>
      </c>
      <c r="O1979" s="114" t="str">
        <f aca="false">IF($E1979="","",COUNTIF($E$5:$E1979,$E1979))</f>
        <v/>
      </c>
      <c r="P1979" s="114" t="str">
        <f aca="false">IF($E1979="","",$E1979*100+$O1979)</f>
        <v/>
      </c>
      <c r="Q1979" s="114" t="str">
        <f aca="false">IF($L1979="Atrasado",$E1979*10000+$A1979,"")</f>
        <v/>
      </c>
    </row>
    <row r="1980" customFormat="false" ht="15" hidden="false" customHeight="false" outlineLevel="0" collapsed="false">
      <c r="A1980" s="114" t="n">
        <f aca="false">ROW()-4</f>
        <v>1976</v>
      </c>
      <c r="B1980" s="114" t="str">
        <f aca="false">IF(A1980&lt;=Config!$E$27*Config!$E$28,"Tema","Avulso")</f>
        <v>Avulso</v>
      </c>
      <c r="C1980" s="114" t="n">
        <f aca="false">IF(B1980="Tema",INT((A1980-1)/Config!$E$28)+1,A1980-Config!$E$27*Config!$E$28)</f>
        <v>176</v>
      </c>
      <c r="D1980" s="114" t="str">
        <f aca="false">IF(B1980="Tema",MOD(A1980-1,Config!$E$28)+1,"")</f>
        <v/>
      </c>
      <c r="E1980" s="115" t="str">
        <f aca="false">IF($B1980="Tema",IF(ISNUMBER(INDEX(Temas!$E$6:$P$305,$C1980,2*$D1980-1)),INDEX(Temas!$E$6:$P$305,$C1980,2*$D1980-1),""),IF(ISNUMBER(INDEX(Avulsos!$B$6:$B$205,$C1980)),INDEX(Avulsos!$B$6:$B$205,$C1980),""))</f>
        <v/>
      </c>
      <c r="F1980" s="114" t="str">
        <f aca="false">IF($E1980="","",IF($B1980="Tema",INDEX(Temas!$B$6:$B$305,$C1980)&amp;"",INDEX(Avulsos!$C$6:$C$205,$C1980)&amp;""))</f>
        <v/>
      </c>
      <c r="G1980" s="114" t="str">
        <f aca="false">IF($E1980="","",IF($B1980="Tema",INDEX(Config!$C$6:$C$11,$D1980),"Evento avulso"))</f>
        <v/>
      </c>
      <c r="H1980" s="114" t="str">
        <f aca="false">IF($E1980="","",IF($B1980="Tema",INDEX(Config!$D$6:$D$11,$D1980),IFERROR(INDEX(Config!$E$15:$E$19,MATCH($I1980,Config!$C$15:$C$19,0)),"•")))</f>
        <v/>
      </c>
      <c r="I1980" s="114" t="str">
        <f aca="false">IF($E1980="","",IF($B1980="Tema",INDEX(Config!$E$6:$E$11,$D1980),IF(INDEX(Avulsos!$D$6:$D$205,$C1980)&amp;""="","Outro",INDEX(Avulsos!$D$6:$D$205,$C1980))))</f>
        <v/>
      </c>
      <c r="J1980" s="114" t="str">
        <f aca="false">IF($E1980="","",IF($B1980="Tema",INDEX(Temas!$C$6:$C$305,$C1980)&amp;"",INDEX(Avulsos!$E$6:$E$205,$C1980)&amp;""))</f>
        <v/>
      </c>
      <c r="K1980" s="114" t="str">
        <f aca="false">IF($E1980="","",IF(IF($B1980="Tema",INDEX(Temas!$E$6:$P$305,$C1980,2*$D1980),INDEX(Avulsos!$F$6:$F$205,$C1980))&amp;""="","","✓"))</f>
        <v/>
      </c>
      <c r="L1980" s="114" t="str">
        <f aca="true">IF($E1980="","",IF($K1980="✓","Concluído",IF($E1980&lt;TODAY(),"Atrasado",IF($E1980=TODAY(),"Hoje","Pendente"))))</f>
        <v/>
      </c>
      <c r="M1980" s="114" t="str">
        <f aca="false">IF($E1980="","",IF($K1980="✓","✓ ","")&amp;IF(Config!$E$22="Sim",$H1980&amp;" · ","")&amp;$F1980)</f>
        <v/>
      </c>
      <c r="N1980" s="114" t="str">
        <f aca="false">IF($E1980="","",IFERROR(INDEX(Config!$D$15:$D$19,MATCH($I1980,Config!$C$15:$C$19,0)),"OUT")&amp;IF($K1980="✓","x",""))</f>
        <v/>
      </c>
      <c r="O1980" s="114" t="str">
        <f aca="false">IF($E1980="","",COUNTIF($E$5:$E1980,$E1980))</f>
        <v/>
      </c>
      <c r="P1980" s="114" t="str">
        <f aca="false">IF($E1980="","",$E1980*100+$O1980)</f>
        <v/>
      </c>
      <c r="Q1980" s="114" t="str">
        <f aca="false">IF($L1980="Atrasado",$E1980*10000+$A1980,"")</f>
        <v/>
      </c>
    </row>
    <row r="1981" customFormat="false" ht="15" hidden="false" customHeight="false" outlineLevel="0" collapsed="false">
      <c r="A1981" s="114" t="n">
        <f aca="false">ROW()-4</f>
        <v>1977</v>
      </c>
      <c r="B1981" s="114" t="str">
        <f aca="false">IF(A1981&lt;=Config!$E$27*Config!$E$28,"Tema","Avulso")</f>
        <v>Avulso</v>
      </c>
      <c r="C1981" s="114" t="n">
        <f aca="false">IF(B1981="Tema",INT((A1981-1)/Config!$E$28)+1,A1981-Config!$E$27*Config!$E$28)</f>
        <v>177</v>
      </c>
      <c r="D1981" s="114" t="str">
        <f aca="false">IF(B1981="Tema",MOD(A1981-1,Config!$E$28)+1,"")</f>
        <v/>
      </c>
      <c r="E1981" s="115" t="str">
        <f aca="false">IF($B1981="Tema",IF(ISNUMBER(INDEX(Temas!$E$6:$P$305,$C1981,2*$D1981-1)),INDEX(Temas!$E$6:$P$305,$C1981,2*$D1981-1),""),IF(ISNUMBER(INDEX(Avulsos!$B$6:$B$205,$C1981)),INDEX(Avulsos!$B$6:$B$205,$C1981),""))</f>
        <v/>
      </c>
      <c r="F1981" s="114" t="str">
        <f aca="false">IF($E1981="","",IF($B1981="Tema",INDEX(Temas!$B$6:$B$305,$C1981)&amp;"",INDEX(Avulsos!$C$6:$C$205,$C1981)&amp;""))</f>
        <v/>
      </c>
      <c r="G1981" s="114" t="str">
        <f aca="false">IF($E1981="","",IF($B1981="Tema",INDEX(Config!$C$6:$C$11,$D1981),"Evento avulso"))</f>
        <v/>
      </c>
      <c r="H1981" s="114" t="str">
        <f aca="false">IF($E1981="","",IF($B1981="Tema",INDEX(Config!$D$6:$D$11,$D1981),IFERROR(INDEX(Config!$E$15:$E$19,MATCH($I1981,Config!$C$15:$C$19,0)),"•")))</f>
        <v/>
      </c>
      <c r="I1981" s="114" t="str">
        <f aca="false">IF($E1981="","",IF($B1981="Tema",INDEX(Config!$E$6:$E$11,$D1981),IF(INDEX(Avulsos!$D$6:$D$205,$C1981)&amp;""="","Outro",INDEX(Avulsos!$D$6:$D$205,$C1981))))</f>
        <v/>
      </c>
      <c r="J1981" s="114" t="str">
        <f aca="false">IF($E1981="","",IF($B1981="Tema",INDEX(Temas!$C$6:$C$305,$C1981)&amp;"",INDEX(Avulsos!$E$6:$E$205,$C1981)&amp;""))</f>
        <v/>
      </c>
      <c r="K1981" s="114" t="str">
        <f aca="false">IF($E1981="","",IF(IF($B1981="Tema",INDEX(Temas!$E$6:$P$305,$C1981,2*$D1981),INDEX(Avulsos!$F$6:$F$205,$C1981))&amp;""="","","✓"))</f>
        <v/>
      </c>
      <c r="L1981" s="114" t="str">
        <f aca="true">IF($E1981="","",IF($K1981="✓","Concluído",IF($E1981&lt;TODAY(),"Atrasado",IF($E1981=TODAY(),"Hoje","Pendente"))))</f>
        <v/>
      </c>
      <c r="M1981" s="114" t="str">
        <f aca="false">IF($E1981="","",IF($K1981="✓","✓ ","")&amp;IF(Config!$E$22="Sim",$H1981&amp;" · ","")&amp;$F1981)</f>
        <v/>
      </c>
      <c r="N1981" s="114" t="str">
        <f aca="false">IF($E1981="","",IFERROR(INDEX(Config!$D$15:$D$19,MATCH($I1981,Config!$C$15:$C$19,0)),"OUT")&amp;IF($K1981="✓","x",""))</f>
        <v/>
      </c>
      <c r="O1981" s="114" t="str">
        <f aca="false">IF($E1981="","",COUNTIF($E$5:$E1981,$E1981))</f>
        <v/>
      </c>
      <c r="P1981" s="114" t="str">
        <f aca="false">IF($E1981="","",$E1981*100+$O1981)</f>
        <v/>
      </c>
      <c r="Q1981" s="114" t="str">
        <f aca="false">IF($L1981="Atrasado",$E1981*10000+$A1981,"")</f>
        <v/>
      </c>
    </row>
    <row r="1982" customFormat="false" ht="15" hidden="false" customHeight="false" outlineLevel="0" collapsed="false">
      <c r="A1982" s="114" t="n">
        <f aca="false">ROW()-4</f>
        <v>1978</v>
      </c>
      <c r="B1982" s="114" t="str">
        <f aca="false">IF(A1982&lt;=Config!$E$27*Config!$E$28,"Tema","Avulso")</f>
        <v>Avulso</v>
      </c>
      <c r="C1982" s="114" t="n">
        <f aca="false">IF(B1982="Tema",INT((A1982-1)/Config!$E$28)+1,A1982-Config!$E$27*Config!$E$28)</f>
        <v>178</v>
      </c>
      <c r="D1982" s="114" t="str">
        <f aca="false">IF(B1982="Tema",MOD(A1982-1,Config!$E$28)+1,"")</f>
        <v/>
      </c>
      <c r="E1982" s="115" t="str">
        <f aca="false">IF($B1982="Tema",IF(ISNUMBER(INDEX(Temas!$E$6:$P$305,$C1982,2*$D1982-1)),INDEX(Temas!$E$6:$P$305,$C1982,2*$D1982-1),""),IF(ISNUMBER(INDEX(Avulsos!$B$6:$B$205,$C1982)),INDEX(Avulsos!$B$6:$B$205,$C1982),""))</f>
        <v/>
      </c>
      <c r="F1982" s="114" t="str">
        <f aca="false">IF($E1982="","",IF($B1982="Tema",INDEX(Temas!$B$6:$B$305,$C1982)&amp;"",INDEX(Avulsos!$C$6:$C$205,$C1982)&amp;""))</f>
        <v/>
      </c>
      <c r="G1982" s="114" t="str">
        <f aca="false">IF($E1982="","",IF($B1982="Tema",INDEX(Config!$C$6:$C$11,$D1982),"Evento avulso"))</f>
        <v/>
      </c>
      <c r="H1982" s="114" t="str">
        <f aca="false">IF($E1982="","",IF($B1982="Tema",INDEX(Config!$D$6:$D$11,$D1982),IFERROR(INDEX(Config!$E$15:$E$19,MATCH($I1982,Config!$C$15:$C$19,0)),"•")))</f>
        <v/>
      </c>
      <c r="I1982" s="114" t="str">
        <f aca="false">IF($E1982="","",IF($B1982="Tema",INDEX(Config!$E$6:$E$11,$D1982),IF(INDEX(Avulsos!$D$6:$D$205,$C1982)&amp;""="","Outro",INDEX(Avulsos!$D$6:$D$205,$C1982))))</f>
        <v/>
      </c>
      <c r="J1982" s="114" t="str">
        <f aca="false">IF($E1982="","",IF($B1982="Tema",INDEX(Temas!$C$6:$C$305,$C1982)&amp;"",INDEX(Avulsos!$E$6:$E$205,$C1982)&amp;""))</f>
        <v/>
      </c>
      <c r="K1982" s="114" t="str">
        <f aca="false">IF($E1982="","",IF(IF($B1982="Tema",INDEX(Temas!$E$6:$P$305,$C1982,2*$D1982),INDEX(Avulsos!$F$6:$F$205,$C1982))&amp;""="","","✓"))</f>
        <v/>
      </c>
      <c r="L1982" s="114" t="str">
        <f aca="true">IF($E1982="","",IF($K1982="✓","Concluído",IF($E1982&lt;TODAY(),"Atrasado",IF($E1982=TODAY(),"Hoje","Pendente"))))</f>
        <v/>
      </c>
      <c r="M1982" s="114" t="str">
        <f aca="false">IF($E1982="","",IF($K1982="✓","✓ ","")&amp;IF(Config!$E$22="Sim",$H1982&amp;" · ","")&amp;$F1982)</f>
        <v/>
      </c>
      <c r="N1982" s="114" t="str">
        <f aca="false">IF($E1982="","",IFERROR(INDEX(Config!$D$15:$D$19,MATCH($I1982,Config!$C$15:$C$19,0)),"OUT")&amp;IF($K1982="✓","x",""))</f>
        <v/>
      </c>
      <c r="O1982" s="114" t="str">
        <f aca="false">IF($E1982="","",COUNTIF($E$5:$E1982,$E1982))</f>
        <v/>
      </c>
      <c r="P1982" s="114" t="str">
        <f aca="false">IF($E1982="","",$E1982*100+$O1982)</f>
        <v/>
      </c>
      <c r="Q1982" s="114" t="str">
        <f aca="false">IF($L1982="Atrasado",$E1982*10000+$A1982,"")</f>
        <v/>
      </c>
    </row>
    <row r="1983" customFormat="false" ht="15" hidden="false" customHeight="false" outlineLevel="0" collapsed="false">
      <c r="A1983" s="114" t="n">
        <f aca="false">ROW()-4</f>
        <v>1979</v>
      </c>
      <c r="B1983" s="114" t="str">
        <f aca="false">IF(A1983&lt;=Config!$E$27*Config!$E$28,"Tema","Avulso")</f>
        <v>Avulso</v>
      </c>
      <c r="C1983" s="114" t="n">
        <f aca="false">IF(B1983="Tema",INT((A1983-1)/Config!$E$28)+1,A1983-Config!$E$27*Config!$E$28)</f>
        <v>179</v>
      </c>
      <c r="D1983" s="114" t="str">
        <f aca="false">IF(B1983="Tema",MOD(A1983-1,Config!$E$28)+1,"")</f>
        <v/>
      </c>
      <c r="E1983" s="115" t="str">
        <f aca="false">IF($B1983="Tema",IF(ISNUMBER(INDEX(Temas!$E$6:$P$305,$C1983,2*$D1983-1)),INDEX(Temas!$E$6:$P$305,$C1983,2*$D1983-1),""),IF(ISNUMBER(INDEX(Avulsos!$B$6:$B$205,$C1983)),INDEX(Avulsos!$B$6:$B$205,$C1983),""))</f>
        <v/>
      </c>
      <c r="F1983" s="114" t="str">
        <f aca="false">IF($E1983="","",IF($B1983="Tema",INDEX(Temas!$B$6:$B$305,$C1983)&amp;"",INDEX(Avulsos!$C$6:$C$205,$C1983)&amp;""))</f>
        <v/>
      </c>
      <c r="G1983" s="114" t="str">
        <f aca="false">IF($E1983="","",IF($B1983="Tema",INDEX(Config!$C$6:$C$11,$D1983),"Evento avulso"))</f>
        <v/>
      </c>
      <c r="H1983" s="114" t="str">
        <f aca="false">IF($E1983="","",IF($B1983="Tema",INDEX(Config!$D$6:$D$11,$D1983),IFERROR(INDEX(Config!$E$15:$E$19,MATCH($I1983,Config!$C$15:$C$19,0)),"•")))</f>
        <v/>
      </c>
      <c r="I1983" s="114" t="str">
        <f aca="false">IF($E1983="","",IF($B1983="Tema",INDEX(Config!$E$6:$E$11,$D1983),IF(INDEX(Avulsos!$D$6:$D$205,$C1983)&amp;""="","Outro",INDEX(Avulsos!$D$6:$D$205,$C1983))))</f>
        <v/>
      </c>
      <c r="J1983" s="114" t="str">
        <f aca="false">IF($E1983="","",IF($B1983="Tema",INDEX(Temas!$C$6:$C$305,$C1983)&amp;"",INDEX(Avulsos!$E$6:$E$205,$C1983)&amp;""))</f>
        <v/>
      </c>
      <c r="K1983" s="114" t="str">
        <f aca="false">IF($E1983="","",IF(IF($B1983="Tema",INDEX(Temas!$E$6:$P$305,$C1983,2*$D1983),INDEX(Avulsos!$F$6:$F$205,$C1983))&amp;""="","","✓"))</f>
        <v/>
      </c>
      <c r="L1983" s="114" t="str">
        <f aca="true">IF($E1983="","",IF($K1983="✓","Concluído",IF($E1983&lt;TODAY(),"Atrasado",IF($E1983=TODAY(),"Hoje","Pendente"))))</f>
        <v/>
      </c>
      <c r="M1983" s="114" t="str">
        <f aca="false">IF($E1983="","",IF($K1983="✓","✓ ","")&amp;IF(Config!$E$22="Sim",$H1983&amp;" · ","")&amp;$F1983)</f>
        <v/>
      </c>
      <c r="N1983" s="114" t="str">
        <f aca="false">IF($E1983="","",IFERROR(INDEX(Config!$D$15:$D$19,MATCH($I1983,Config!$C$15:$C$19,0)),"OUT")&amp;IF($K1983="✓","x",""))</f>
        <v/>
      </c>
      <c r="O1983" s="114" t="str">
        <f aca="false">IF($E1983="","",COUNTIF($E$5:$E1983,$E1983))</f>
        <v/>
      </c>
      <c r="P1983" s="114" t="str">
        <f aca="false">IF($E1983="","",$E1983*100+$O1983)</f>
        <v/>
      </c>
      <c r="Q1983" s="114" t="str">
        <f aca="false">IF($L1983="Atrasado",$E1983*10000+$A1983,"")</f>
        <v/>
      </c>
    </row>
    <row r="1984" customFormat="false" ht="15" hidden="false" customHeight="false" outlineLevel="0" collapsed="false">
      <c r="A1984" s="114" t="n">
        <f aca="false">ROW()-4</f>
        <v>1980</v>
      </c>
      <c r="B1984" s="114" t="str">
        <f aca="false">IF(A1984&lt;=Config!$E$27*Config!$E$28,"Tema","Avulso")</f>
        <v>Avulso</v>
      </c>
      <c r="C1984" s="114" t="n">
        <f aca="false">IF(B1984="Tema",INT((A1984-1)/Config!$E$28)+1,A1984-Config!$E$27*Config!$E$28)</f>
        <v>180</v>
      </c>
      <c r="D1984" s="114" t="str">
        <f aca="false">IF(B1984="Tema",MOD(A1984-1,Config!$E$28)+1,"")</f>
        <v/>
      </c>
      <c r="E1984" s="115" t="str">
        <f aca="false">IF($B1984="Tema",IF(ISNUMBER(INDEX(Temas!$E$6:$P$305,$C1984,2*$D1984-1)),INDEX(Temas!$E$6:$P$305,$C1984,2*$D1984-1),""),IF(ISNUMBER(INDEX(Avulsos!$B$6:$B$205,$C1984)),INDEX(Avulsos!$B$6:$B$205,$C1984),""))</f>
        <v/>
      </c>
      <c r="F1984" s="114" t="str">
        <f aca="false">IF($E1984="","",IF($B1984="Tema",INDEX(Temas!$B$6:$B$305,$C1984)&amp;"",INDEX(Avulsos!$C$6:$C$205,$C1984)&amp;""))</f>
        <v/>
      </c>
      <c r="G1984" s="114" t="str">
        <f aca="false">IF($E1984="","",IF($B1984="Tema",INDEX(Config!$C$6:$C$11,$D1984),"Evento avulso"))</f>
        <v/>
      </c>
      <c r="H1984" s="114" t="str">
        <f aca="false">IF($E1984="","",IF($B1984="Tema",INDEX(Config!$D$6:$D$11,$D1984),IFERROR(INDEX(Config!$E$15:$E$19,MATCH($I1984,Config!$C$15:$C$19,0)),"•")))</f>
        <v/>
      </c>
      <c r="I1984" s="114" t="str">
        <f aca="false">IF($E1984="","",IF($B1984="Tema",INDEX(Config!$E$6:$E$11,$D1984),IF(INDEX(Avulsos!$D$6:$D$205,$C1984)&amp;""="","Outro",INDEX(Avulsos!$D$6:$D$205,$C1984))))</f>
        <v/>
      </c>
      <c r="J1984" s="114" t="str">
        <f aca="false">IF($E1984="","",IF($B1984="Tema",INDEX(Temas!$C$6:$C$305,$C1984)&amp;"",INDEX(Avulsos!$E$6:$E$205,$C1984)&amp;""))</f>
        <v/>
      </c>
      <c r="K1984" s="114" t="str">
        <f aca="false">IF($E1984="","",IF(IF($B1984="Tema",INDEX(Temas!$E$6:$P$305,$C1984,2*$D1984),INDEX(Avulsos!$F$6:$F$205,$C1984))&amp;""="","","✓"))</f>
        <v/>
      </c>
      <c r="L1984" s="114" t="str">
        <f aca="true">IF($E1984="","",IF($K1984="✓","Concluído",IF($E1984&lt;TODAY(),"Atrasado",IF($E1984=TODAY(),"Hoje","Pendente"))))</f>
        <v/>
      </c>
      <c r="M1984" s="114" t="str">
        <f aca="false">IF($E1984="","",IF($K1984="✓","✓ ","")&amp;IF(Config!$E$22="Sim",$H1984&amp;" · ","")&amp;$F1984)</f>
        <v/>
      </c>
      <c r="N1984" s="114" t="str">
        <f aca="false">IF($E1984="","",IFERROR(INDEX(Config!$D$15:$D$19,MATCH($I1984,Config!$C$15:$C$19,0)),"OUT")&amp;IF($K1984="✓","x",""))</f>
        <v/>
      </c>
      <c r="O1984" s="114" t="str">
        <f aca="false">IF($E1984="","",COUNTIF($E$5:$E1984,$E1984))</f>
        <v/>
      </c>
      <c r="P1984" s="114" t="str">
        <f aca="false">IF($E1984="","",$E1984*100+$O1984)</f>
        <v/>
      </c>
      <c r="Q1984" s="114" t="str">
        <f aca="false">IF($L1984="Atrasado",$E1984*10000+$A1984,"")</f>
        <v/>
      </c>
    </row>
    <row r="1985" customFormat="false" ht="15" hidden="false" customHeight="false" outlineLevel="0" collapsed="false">
      <c r="A1985" s="114" t="n">
        <f aca="false">ROW()-4</f>
        <v>1981</v>
      </c>
      <c r="B1985" s="114" t="str">
        <f aca="false">IF(A1985&lt;=Config!$E$27*Config!$E$28,"Tema","Avulso")</f>
        <v>Avulso</v>
      </c>
      <c r="C1985" s="114" t="n">
        <f aca="false">IF(B1985="Tema",INT((A1985-1)/Config!$E$28)+1,A1985-Config!$E$27*Config!$E$28)</f>
        <v>181</v>
      </c>
      <c r="D1985" s="114" t="str">
        <f aca="false">IF(B1985="Tema",MOD(A1985-1,Config!$E$28)+1,"")</f>
        <v/>
      </c>
      <c r="E1985" s="115" t="str">
        <f aca="false">IF($B1985="Tema",IF(ISNUMBER(INDEX(Temas!$E$6:$P$305,$C1985,2*$D1985-1)),INDEX(Temas!$E$6:$P$305,$C1985,2*$D1985-1),""),IF(ISNUMBER(INDEX(Avulsos!$B$6:$B$205,$C1985)),INDEX(Avulsos!$B$6:$B$205,$C1985),""))</f>
        <v/>
      </c>
      <c r="F1985" s="114" t="str">
        <f aca="false">IF($E1985="","",IF($B1985="Tema",INDEX(Temas!$B$6:$B$305,$C1985)&amp;"",INDEX(Avulsos!$C$6:$C$205,$C1985)&amp;""))</f>
        <v/>
      </c>
      <c r="G1985" s="114" t="str">
        <f aca="false">IF($E1985="","",IF($B1985="Tema",INDEX(Config!$C$6:$C$11,$D1985),"Evento avulso"))</f>
        <v/>
      </c>
      <c r="H1985" s="114" t="str">
        <f aca="false">IF($E1985="","",IF($B1985="Tema",INDEX(Config!$D$6:$D$11,$D1985),IFERROR(INDEX(Config!$E$15:$E$19,MATCH($I1985,Config!$C$15:$C$19,0)),"•")))</f>
        <v/>
      </c>
      <c r="I1985" s="114" t="str">
        <f aca="false">IF($E1985="","",IF($B1985="Tema",INDEX(Config!$E$6:$E$11,$D1985),IF(INDEX(Avulsos!$D$6:$D$205,$C1985)&amp;""="","Outro",INDEX(Avulsos!$D$6:$D$205,$C1985))))</f>
        <v/>
      </c>
      <c r="J1985" s="114" t="str">
        <f aca="false">IF($E1985="","",IF($B1985="Tema",INDEX(Temas!$C$6:$C$305,$C1985)&amp;"",INDEX(Avulsos!$E$6:$E$205,$C1985)&amp;""))</f>
        <v/>
      </c>
      <c r="K1985" s="114" t="str">
        <f aca="false">IF($E1985="","",IF(IF($B1985="Tema",INDEX(Temas!$E$6:$P$305,$C1985,2*$D1985),INDEX(Avulsos!$F$6:$F$205,$C1985))&amp;""="","","✓"))</f>
        <v/>
      </c>
      <c r="L1985" s="114" t="str">
        <f aca="true">IF($E1985="","",IF($K1985="✓","Concluído",IF($E1985&lt;TODAY(),"Atrasado",IF($E1985=TODAY(),"Hoje","Pendente"))))</f>
        <v/>
      </c>
      <c r="M1985" s="114" t="str">
        <f aca="false">IF($E1985="","",IF($K1985="✓","✓ ","")&amp;IF(Config!$E$22="Sim",$H1985&amp;" · ","")&amp;$F1985)</f>
        <v/>
      </c>
      <c r="N1985" s="114" t="str">
        <f aca="false">IF($E1985="","",IFERROR(INDEX(Config!$D$15:$D$19,MATCH($I1985,Config!$C$15:$C$19,0)),"OUT")&amp;IF($K1985="✓","x",""))</f>
        <v/>
      </c>
      <c r="O1985" s="114" t="str">
        <f aca="false">IF($E1985="","",COUNTIF($E$5:$E1985,$E1985))</f>
        <v/>
      </c>
      <c r="P1985" s="114" t="str">
        <f aca="false">IF($E1985="","",$E1985*100+$O1985)</f>
        <v/>
      </c>
      <c r="Q1985" s="114" t="str">
        <f aca="false">IF($L1985="Atrasado",$E1985*10000+$A1985,"")</f>
        <v/>
      </c>
    </row>
    <row r="1986" customFormat="false" ht="15" hidden="false" customHeight="false" outlineLevel="0" collapsed="false">
      <c r="A1986" s="114" t="n">
        <f aca="false">ROW()-4</f>
        <v>1982</v>
      </c>
      <c r="B1986" s="114" t="str">
        <f aca="false">IF(A1986&lt;=Config!$E$27*Config!$E$28,"Tema","Avulso")</f>
        <v>Avulso</v>
      </c>
      <c r="C1986" s="114" t="n">
        <f aca="false">IF(B1986="Tema",INT((A1986-1)/Config!$E$28)+1,A1986-Config!$E$27*Config!$E$28)</f>
        <v>182</v>
      </c>
      <c r="D1986" s="114" t="str">
        <f aca="false">IF(B1986="Tema",MOD(A1986-1,Config!$E$28)+1,"")</f>
        <v/>
      </c>
      <c r="E1986" s="115" t="str">
        <f aca="false">IF($B1986="Tema",IF(ISNUMBER(INDEX(Temas!$E$6:$P$305,$C1986,2*$D1986-1)),INDEX(Temas!$E$6:$P$305,$C1986,2*$D1986-1),""),IF(ISNUMBER(INDEX(Avulsos!$B$6:$B$205,$C1986)),INDEX(Avulsos!$B$6:$B$205,$C1986),""))</f>
        <v/>
      </c>
      <c r="F1986" s="114" t="str">
        <f aca="false">IF($E1986="","",IF($B1986="Tema",INDEX(Temas!$B$6:$B$305,$C1986)&amp;"",INDEX(Avulsos!$C$6:$C$205,$C1986)&amp;""))</f>
        <v/>
      </c>
      <c r="G1986" s="114" t="str">
        <f aca="false">IF($E1986="","",IF($B1986="Tema",INDEX(Config!$C$6:$C$11,$D1986),"Evento avulso"))</f>
        <v/>
      </c>
      <c r="H1986" s="114" t="str">
        <f aca="false">IF($E1986="","",IF($B1986="Tema",INDEX(Config!$D$6:$D$11,$D1986),IFERROR(INDEX(Config!$E$15:$E$19,MATCH($I1986,Config!$C$15:$C$19,0)),"•")))</f>
        <v/>
      </c>
      <c r="I1986" s="114" t="str">
        <f aca="false">IF($E1986="","",IF($B1986="Tema",INDEX(Config!$E$6:$E$11,$D1986),IF(INDEX(Avulsos!$D$6:$D$205,$C1986)&amp;""="","Outro",INDEX(Avulsos!$D$6:$D$205,$C1986))))</f>
        <v/>
      </c>
      <c r="J1986" s="114" t="str">
        <f aca="false">IF($E1986="","",IF($B1986="Tema",INDEX(Temas!$C$6:$C$305,$C1986)&amp;"",INDEX(Avulsos!$E$6:$E$205,$C1986)&amp;""))</f>
        <v/>
      </c>
      <c r="K1986" s="114" t="str">
        <f aca="false">IF($E1986="","",IF(IF($B1986="Tema",INDEX(Temas!$E$6:$P$305,$C1986,2*$D1986),INDEX(Avulsos!$F$6:$F$205,$C1986))&amp;""="","","✓"))</f>
        <v/>
      </c>
      <c r="L1986" s="114" t="str">
        <f aca="true">IF($E1986="","",IF($K1986="✓","Concluído",IF($E1986&lt;TODAY(),"Atrasado",IF($E1986=TODAY(),"Hoje","Pendente"))))</f>
        <v/>
      </c>
      <c r="M1986" s="114" t="str">
        <f aca="false">IF($E1986="","",IF($K1986="✓","✓ ","")&amp;IF(Config!$E$22="Sim",$H1986&amp;" · ","")&amp;$F1986)</f>
        <v/>
      </c>
      <c r="N1986" s="114" t="str">
        <f aca="false">IF($E1986="","",IFERROR(INDEX(Config!$D$15:$D$19,MATCH($I1986,Config!$C$15:$C$19,0)),"OUT")&amp;IF($K1986="✓","x",""))</f>
        <v/>
      </c>
      <c r="O1986" s="114" t="str">
        <f aca="false">IF($E1986="","",COUNTIF($E$5:$E1986,$E1986))</f>
        <v/>
      </c>
      <c r="P1986" s="114" t="str">
        <f aca="false">IF($E1986="","",$E1986*100+$O1986)</f>
        <v/>
      </c>
      <c r="Q1986" s="114" t="str">
        <f aca="false">IF($L1986="Atrasado",$E1986*10000+$A1986,"")</f>
        <v/>
      </c>
    </row>
    <row r="1987" customFormat="false" ht="15" hidden="false" customHeight="false" outlineLevel="0" collapsed="false">
      <c r="A1987" s="114" t="n">
        <f aca="false">ROW()-4</f>
        <v>1983</v>
      </c>
      <c r="B1987" s="114" t="str">
        <f aca="false">IF(A1987&lt;=Config!$E$27*Config!$E$28,"Tema","Avulso")</f>
        <v>Avulso</v>
      </c>
      <c r="C1987" s="114" t="n">
        <f aca="false">IF(B1987="Tema",INT((A1987-1)/Config!$E$28)+1,A1987-Config!$E$27*Config!$E$28)</f>
        <v>183</v>
      </c>
      <c r="D1987" s="114" t="str">
        <f aca="false">IF(B1987="Tema",MOD(A1987-1,Config!$E$28)+1,"")</f>
        <v/>
      </c>
      <c r="E1987" s="115" t="str">
        <f aca="false">IF($B1987="Tema",IF(ISNUMBER(INDEX(Temas!$E$6:$P$305,$C1987,2*$D1987-1)),INDEX(Temas!$E$6:$P$305,$C1987,2*$D1987-1),""),IF(ISNUMBER(INDEX(Avulsos!$B$6:$B$205,$C1987)),INDEX(Avulsos!$B$6:$B$205,$C1987),""))</f>
        <v/>
      </c>
      <c r="F1987" s="114" t="str">
        <f aca="false">IF($E1987="","",IF($B1987="Tema",INDEX(Temas!$B$6:$B$305,$C1987)&amp;"",INDEX(Avulsos!$C$6:$C$205,$C1987)&amp;""))</f>
        <v/>
      </c>
      <c r="G1987" s="114" t="str">
        <f aca="false">IF($E1987="","",IF($B1987="Tema",INDEX(Config!$C$6:$C$11,$D1987),"Evento avulso"))</f>
        <v/>
      </c>
      <c r="H1987" s="114" t="str">
        <f aca="false">IF($E1987="","",IF($B1987="Tema",INDEX(Config!$D$6:$D$11,$D1987),IFERROR(INDEX(Config!$E$15:$E$19,MATCH($I1987,Config!$C$15:$C$19,0)),"•")))</f>
        <v/>
      </c>
      <c r="I1987" s="114" t="str">
        <f aca="false">IF($E1987="","",IF($B1987="Tema",INDEX(Config!$E$6:$E$11,$D1987),IF(INDEX(Avulsos!$D$6:$D$205,$C1987)&amp;""="","Outro",INDEX(Avulsos!$D$6:$D$205,$C1987))))</f>
        <v/>
      </c>
      <c r="J1987" s="114" t="str">
        <f aca="false">IF($E1987="","",IF($B1987="Tema",INDEX(Temas!$C$6:$C$305,$C1987)&amp;"",INDEX(Avulsos!$E$6:$E$205,$C1987)&amp;""))</f>
        <v/>
      </c>
      <c r="K1987" s="114" t="str">
        <f aca="false">IF($E1987="","",IF(IF($B1987="Tema",INDEX(Temas!$E$6:$P$305,$C1987,2*$D1987),INDEX(Avulsos!$F$6:$F$205,$C1987))&amp;""="","","✓"))</f>
        <v/>
      </c>
      <c r="L1987" s="114" t="str">
        <f aca="true">IF($E1987="","",IF($K1987="✓","Concluído",IF($E1987&lt;TODAY(),"Atrasado",IF($E1987=TODAY(),"Hoje","Pendente"))))</f>
        <v/>
      </c>
      <c r="M1987" s="114" t="str">
        <f aca="false">IF($E1987="","",IF($K1987="✓","✓ ","")&amp;IF(Config!$E$22="Sim",$H1987&amp;" · ","")&amp;$F1987)</f>
        <v/>
      </c>
      <c r="N1987" s="114" t="str">
        <f aca="false">IF($E1987="","",IFERROR(INDEX(Config!$D$15:$D$19,MATCH($I1987,Config!$C$15:$C$19,0)),"OUT")&amp;IF($K1987="✓","x",""))</f>
        <v/>
      </c>
      <c r="O1987" s="114" t="str">
        <f aca="false">IF($E1987="","",COUNTIF($E$5:$E1987,$E1987))</f>
        <v/>
      </c>
      <c r="P1987" s="114" t="str">
        <f aca="false">IF($E1987="","",$E1987*100+$O1987)</f>
        <v/>
      </c>
      <c r="Q1987" s="114" t="str">
        <f aca="false">IF($L1987="Atrasado",$E1987*10000+$A1987,"")</f>
        <v/>
      </c>
    </row>
    <row r="1988" customFormat="false" ht="15" hidden="false" customHeight="false" outlineLevel="0" collapsed="false">
      <c r="A1988" s="114" t="n">
        <f aca="false">ROW()-4</f>
        <v>1984</v>
      </c>
      <c r="B1988" s="114" t="str">
        <f aca="false">IF(A1988&lt;=Config!$E$27*Config!$E$28,"Tema","Avulso")</f>
        <v>Avulso</v>
      </c>
      <c r="C1988" s="114" t="n">
        <f aca="false">IF(B1988="Tema",INT((A1988-1)/Config!$E$28)+1,A1988-Config!$E$27*Config!$E$28)</f>
        <v>184</v>
      </c>
      <c r="D1988" s="114" t="str">
        <f aca="false">IF(B1988="Tema",MOD(A1988-1,Config!$E$28)+1,"")</f>
        <v/>
      </c>
      <c r="E1988" s="115" t="str">
        <f aca="false">IF($B1988="Tema",IF(ISNUMBER(INDEX(Temas!$E$6:$P$305,$C1988,2*$D1988-1)),INDEX(Temas!$E$6:$P$305,$C1988,2*$D1988-1),""),IF(ISNUMBER(INDEX(Avulsos!$B$6:$B$205,$C1988)),INDEX(Avulsos!$B$6:$B$205,$C1988),""))</f>
        <v/>
      </c>
      <c r="F1988" s="114" t="str">
        <f aca="false">IF($E1988="","",IF($B1988="Tema",INDEX(Temas!$B$6:$B$305,$C1988)&amp;"",INDEX(Avulsos!$C$6:$C$205,$C1988)&amp;""))</f>
        <v/>
      </c>
      <c r="G1988" s="114" t="str">
        <f aca="false">IF($E1988="","",IF($B1988="Tema",INDEX(Config!$C$6:$C$11,$D1988),"Evento avulso"))</f>
        <v/>
      </c>
      <c r="H1988" s="114" t="str">
        <f aca="false">IF($E1988="","",IF($B1988="Tema",INDEX(Config!$D$6:$D$11,$D1988),IFERROR(INDEX(Config!$E$15:$E$19,MATCH($I1988,Config!$C$15:$C$19,0)),"•")))</f>
        <v/>
      </c>
      <c r="I1988" s="114" t="str">
        <f aca="false">IF($E1988="","",IF($B1988="Tema",INDEX(Config!$E$6:$E$11,$D1988),IF(INDEX(Avulsos!$D$6:$D$205,$C1988)&amp;""="","Outro",INDEX(Avulsos!$D$6:$D$205,$C1988))))</f>
        <v/>
      </c>
      <c r="J1988" s="114" t="str">
        <f aca="false">IF($E1988="","",IF($B1988="Tema",INDEX(Temas!$C$6:$C$305,$C1988)&amp;"",INDEX(Avulsos!$E$6:$E$205,$C1988)&amp;""))</f>
        <v/>
      </c>
      <c r="K1988" s="114" t="str">
        <f aca="false">IF($E1988="","",IF(IF($B1988="Tema",INDEX(Temas!$E$6:$P$305,$C1988,2*$D1988),INDEX(Avulsos!$F$6:$F$205,$C1988))&amp;""="","","✓"))</f>
        <v/>
      </c>
      <c r="L1988" s="114" t="str">
        <f aca="true">IF($E1988="","",IF($K1988="✓","Concluído",IF($E1988&lt;TODAY(),"Atrasado",IF($E1988=TODAY(),"Hoje","Pendente"))))</f>
        <v/>
      </c>
      <c r="M1988" s="114" t="str">
        <f aca="false">IF($E1988="","",IF($K1988="✓","✓ ","")&amp;IF(Config!$E$22="Sim",$H1988&amp;" · ","")&amp;$F1988)</f>
        <v/>
      </c>
      <c r="N1988" s="114" t="str">
        <f aca="false">IF($E1988="","",IFERROR(INDEX(Config!$D$15:$D$19,MATCH($I1988,Config!$C$15:$C$19,0)),"OUT")&amp;IF($K1988="✓","x",""))</f>
        <v/>
      </c>
      <c r="O1988" s="114" t="str">
        <f aca="false">IF($E1988="","",COUNTIF($E$5:$E1988,$E1988))</f>
        <v/>
      </c>
      <c r="P1988" s="114" t="str">
        <f aca="false">IF($E1988="","",$E1988*100+$O1988)</f>
        <v/>
      </c>
      <c r="Q1988" s="114" t="str">
        <f aca="false">IF($L1988="Atrasado",$E1988*10000+$A1988,"")</f>
        <v/>
      </c>
    </row>
    <row r="1989" customFormat="false" ht="15" hidden="false" customHeight="false" outlineLevel="0" collapsed="false">
      <c r="A1989" s="114" t="n">
        <f aca="false">ROW()-4</f>
        <v>1985</v>
      </c>
      <c r="B1989" s="114" t="str">
        <f aca="false">IF(A1989&lt;=Config!$E$27*Config!$E$28,"Tema","Avulso")</f>
        <v>Avulso</v>
      </c>
      <c r="C1989" s="114" t="n">
        <f aca="false">IF(B1989="Tema",INT((A1989-1)/Config!$E$28)+1,A1989-Config!$E$27*Config!$E$28)</f>
        <v>185</v>
      </c>
      <c r="D1989" s="114" t="str">
        <f aca="false">IF(B1989="Tema",MOD(A1989-1,Config!$E$28)+1,"")</f>
        <v/>
      </c>
      <c r="E1989" s="115" t="str">
        <f aca="false">IF($B1989="Tema",IF(ISNUMBER(INDEX(Temas!$E$6:$P$305,$C1989,2*$D1989-1)),INDEX(Temas!$E$6:$P$305,$C1989,2*$D1989-1),""),IF(ISNUMBER(INDEX(Avulsos!$B$6:$B$205,$C1989)),INDEX(Avulsos!$B$6:$B$205,$C1989),""))</f>
        <v/>
      </c>
      <c r="F1989" s="114" t="str">
        <f aca="false">IF($E1989="","",IF($B1989="Tema",INDEX(Temas!$B$6:$B$305,$C1989)&amp;"",INDEX(Avulsos!$C$6:$C$205,$C1989)&amp;""))</f>
        <v/>
      </c>
      <c r="G1989" s="114" t="str">
        <f aca="false">IF($E1989="","",IF($B1989="Tema",INDEX(Config!$C$6:$C$11,$D1989),"Evento avulso"))</f>
        <v/>
      </c>
      <c r="H1989" s="114" t="str">
        <f aca="false">IF($E1989="","",IF($B1989="Tema",INDEX(Config!$D$6:$D$11,$D1989),IFERROR(INDEX(Config!$E$15:$E$19,MATCH($I1989,Config!$C$15:$C$19,0)),"•")))</f>
        <v/>
      </c>
      <c r="I1989" s="114" t="str">
        <f aca="false">IF($E1989="","",IF($B1989="Tema",INDEX(Config!$E$6:$E$11,$D1989),IF(INDEX(Avulsos!$D$6:$D$205,$C1989)&amp;""="","Outro",INDEX(Avulsos!$D$6:$D$205,$C1989))))</f>
        <v/>
      </c>
      <c r="J1989" s="114" t="str">
        <f aca="false">IF($E1989="","",IF($B1989="Tema",INDEX(Temas!$C$6:$C$305,$C1989)&amp;"",INDEX(Avulsos!$E$6:$E$205,$C1989)&amp;""))</f>
        <v/>
      </c>
      <c r="K1989" s="114" t="str">
        <f aca="false">IF($E1989="","",IF(IF($B1989="Tema",INDEX(Temas!$E$6:$P$305,$C1989,2*$D1989),INDEX(Avulsos!$F$6:$F$205,$C1989))&amp;""="","","✓"))</f>
        <v/>
      </c>
      <c r="L1989" s="114" t="str">
        <f aca="true">IF($E1989="","",IF($K1989="✓","Concluído",IF($E1989&lt;TODAY(),"Atrasado",IF($E1989=TODAY(),"Hoje","Pendente"))))</f>
        <v/>
      </c>
      <c r="M1989" s="114" t="str">
        <f aca="false">IF($E1989="","",IF($K1989="✓","✓ ","")&amp;IF(Config!$E$22="Sim",$H1989&amp;" · ","")&amp;$F1989)</f>
        <v/>
      </c>
      <c r="N1989" s="114" t="str">
        <f aca="false">IF($E1989="","",IFERROR(INDEX(Config!$D$15:$D$19,MATCH($I1989,Config!$C$15:$C$19,0)),"OUT")&amp;IF($K1989="✓","x",""))</f>
        <v/>
      </c>
      <c r="O1989" s="114" t="str">
        <f aca="false">IF($E1989="","",COUNTIF($E$5:$E1989,$E1989))</f>
        <v/>
      </c>
      <c r="P1989" s="114" t="str">
        <f aca="false">IF($E1989="","",$E1989*100+$O1989)</f>
        <v/>
      </c>
      <c r="Q1989" s="114" t="str">
        <f aca="false">IF($L1989="Atrasado",$E1989*10000+$A1989,"")</f>
        <v/>
      </c>
    </row>
    <row r="1990" customFormat="false" ht="15" hidden="false" customHeight="false" outlineLevel="0" collapsed="false">
      <c r="A1990" s="114" t="n">
        <f aca="false">ROW()-4</f>
        <v>1986</v>
      </c>
      <c r="B1990" s="114" t="str">
        <f aca="false">IF(A1990&lt;=Config!$E$27*Config!$E$28,"Tema","Avulso")</f>
        <v>Avulso</v>
      </c>
      <c r="C1990" s="114" t="n">
        <f aca="false">IF(B1990="Tema",INT((A1990-1)/Config!$E$28)+1,A1990-Config!$E$27*Config!$E$28)</f>
        <v>186</v>
      </c>
      <c r="D1990" s="114" t="str">
        <f aca="false">IF(B1990="Tema",MOD(A1990-1,Config!$E$28)+1,"")</f>
        <v/>
      </c>
      <c r="E1990" s="115" t="str">
        <f aca="false">IF($B1990="Tema",IF(ISNUMBER(INDEX(Temas!$E$6:$P$305,$C1990,2*$D1990-1)),INDEX(Temas!$E$6:$P$305,$C1990,2*$D1990-1),""),IF(ISNUMBER(INDEX(Avulsos!$B$6:$B$205,$C1990)),INDEX(Avulsos!$B$6:$B$205,$C1990),""))</f>
        <v/>
      </c>
      <c r="F1990" s="114" t="str">
        <f aca="false">IF($E1990="","",IF($B1990="Tema",INDEX(Temas!$B$6:$B$305,$C1990)&amp;"",INDEX(Avulsos!$C$6:$C$205,$C1990)&amp;""))</f>
        <v/>
      </c>
      <c r="G1990" s="114" t="str">
        <f aca="false">IF($E1990="","",IF($B1990="Tema",INDEX(Config!$C$6:$C$11,$D1990),"Evento avulso"))</f>
        <v/>
      </c>
      <c r="H1990" s="114" t="str">
        <f aca="false">IF($E1990="","",IF($B1990="Tema",INDEX(Config!$D$6:$D$11,$D1990),IFERROR(INDEX(Config!$E$15:$E$19,MATCH($I1990,Config!$C$15:$C$19,0)),"•")))</f>
        <v/>
      </c>
      <c r="I1990" s="114" t="str">
        <f aca="false">IF($E1990="","",IF($B1990="Tema",INDEX(Config!$E$6:$E$11,$D1990),IF(INDEX(Avulsos!$D$6:$D$205,$C1990)&amp;""="","Outro",INDEX(Avulsos!$D$6:$D$205,$C1990))))</f>
        <v/>
      </c>
      <c r="J1990" s="114" t="str">
        <f aca="false">IF($E1990="","",IF($B1990="Tema",INDEX(Temas!$C$6:$C$305,$C1990)&amp;"",INDEX(Avulsos!$E$6:$E$205,$C1990)&amp;""))</f>
        <v/>
      </c>
      <c r="K1990" s="114" t="str">
        <f aca="false">IF($E1990="","",IF(IF($B1990="Tema",INDEX(Temas!$E$6:$P$305,$C1990,2*$D1990),INDEX(Avulsos!$F$6:$F$205,$C1990))&amp;""="","","✓"))</f>
        <v/>
      </c>
      <c r="L1990" s="114" t="str">
        <f aca="true">IF($E1990="","",IF($K1990="✓","Concluído",IF($E1990&lt;TODAY(),"Atrasado",IF($E1990=TODAY(),"Hoje","Pendente"))))</f>
        <v/>
      </c>
      <c r="M1990" s="114" t="str">
        <f aca="false">IF($E1990="","",IF($K1990="✓","✓ ","")&amp;IF(Config!$E$22="Sim",$H1990&amp;" · ","")&amp;$F1990)</f>
        <v/>
      </c>
      <c r="N1990" s="114" t="str">
        <f aca="false">IF($E1990="","",IFERROR(INDEX(Config!$D$15:$D$19,MATCH($I1990,Config!$C$15:$C$19,0)),"OUT")&amp;IF($K1990="✓","x",""))</f>
        <v/>
      </c>
      <c r="O1990" s="114" t="str">
        <f aca="false">IF($E1990="","",COUNTIF($E$5:$E1990,$E1990))</f>
        <v/>
      </c>
      <c r="P1990" s="114" t="str">
        <f aca="false">IF($E1990="","",$E1990*100+$O1990)</f>
        <v/>
      </c>
      <c r="Q1990" s="114" t="str">
        <f aca="false">IF($L1990="Atrasado",$E1990*10000+$A1990,"")</f>
        <v/>
      </c>
    </row>
    <row r="1991" customFormat="false" ht="15" hidden="false" customHeight="false" outlineLevel="0" collapsed="false">
      <c r="A1991" s="114" t="n">
        <f aca="false">ROW()-4</f>
        <v>1987</v>
      </c>
      <c r="B1991" s="114" t="str">
        <f aca="false">IF(A1991&lt;=Config!$E$27*Config!$E$28,"Tema","Avulso")</f>
        <v>Avulso</v>
      </c>
      <c r="C1991" s="114" t="n">
        <f aca="false">IF(B1991="Tema",INT((A1991-1)/Config!$E$28)+1,A1991-Config!$E$27*Config!$E$28)</f>
        <v>187</v>
      </c>
      <c r="D1991" s="114" t="str">
        <f aca="false">IF(B1991="Tema",MOD(A1991-1,Config!$E$28)+1,"")</f>
        <v/>
      </c>
      <c r="E1991" s="115" t="str">
        <f aca="false">IF($B1991="Tema",IF(ISNUMBER(INDEX(Temas!$E$6:$P$305,$C1991,2*$D1991-1)),INDEX(Temas!$E$6:$P$305,$C1991,2*$D1991-1),""),IF(ISNUMBER(INDEX(Avulsos!$B$6:$B$205,$C1991)),INDEX(Avulsos!$B$6:$B$205,$C1991),""))</f>
        <v/>
      </c>
      <c r="F1991" s="114" t="str">
        <f aca="false">IF($E1991="","",IF($B1991="Tema",INDEX(Temas!$B$6:$B$305,$C1991)&amp;"",INDEX(Avulsos!$C$6:$C$205,$C1991)&amp;""))</f>
        <v/>
      </c>
      <c r="G1991" s="114" t="str">
        <f aca="false">IF($E1991="","",IF($B1991="Tema",INDEX(Config!$C$6:$C$11,$D1991),"Evento avulso"))</f>
        <v/>
      </c>
      <c r="H1991" s="114" t="str">
        <f aca="false">IF($E1991="","",IF($B1991="Tema",INDEX(Config!$D$6:$D$11,$D1991),IFERROR(INDEX(Config!$E$15:$E$19,MATCH($I1991,Config!$C$15:$C$19,0)),"•")))</f>
        <v/>
      </c>
      <c r="I1991" s="114" t="str">
        <f aca="false">IF($E1991="","",IF($B1991="Tema",INDEX(Config!$E$6:$E$11,$D1991),IF(INDEX(Avulsos!$D$6:$D$205,$C1991)&amp;""="","Outro",INDEX(Avulsos!$D$6:$D$205,$C1991))))</f>
        <v/>
      </c>
      <c r="J1991" s="114" t="str">
        <f aca="false">IF($E1991="","",IF($B1991="Tema",INDEX(Temas!$C$6:$C$305,$C1991)&amp;"",INDEX(Avulsos!$E$6:$E$205,$C1991)&amp;""))</f>
        <v/>
      </c>
      <c r="K1991" s="114" t="str">
        <f aca="false">IF($E1991="","",IF(IF($B1991="Tema",INDEX(Temas!$E$6:$P$305,$C1991,2*$D1991),INDEX(Avulsos!$F$6:$F$205,$C1991))&amp;""="","","✓"))</f>
        <v/>
      </c>
      <c r="L1991" s="114" t="str">
        <f aca="true">IF($E1991="","",IF($K1991="✓","Concluído",IF($E1991&lt;TODAY(),"Atrasado",IF($E1991=TODAY(),"Hoje","Pendente"))))</f>
        <v/>
      </c>
      <c r="M1991" s="114" t="str">
        <f aca="false">IF($E1991="","",IF($K1991="✓","✓ ","")&amp;IF(Config!$E$22="Sim",$H1991&amp;" · ","")&amp;$F1991)</f>
        <v/>
      </c>
      <c r="N1991" s="114" t="str">
        <f aca="false">IF($E1991="","",IFERROR(INDEX(Config!$D$15:$D$19,MATCH($I1991,Config!$C$15:$C$19,0)),"OUT")&amp;IF($K1991="✓","x",""))</f>
        <v/>
      </c>
      <c r="O1991" s="114" t="str">
        <f aca="false">IF($E1991="","",COUNTIF($E$5:$E1991,$E1991))</f>
        <v/>
      </c>
      <c r="P1991" s="114" t="str">
        <f aca="false">IF($E1991="","",$E1991*100+$O1991)</f>
        <v/>
      </c>
      <c r="Q1991" s="114" t="str">
        <f aca="false">IF($L1991="Atrasado",$E1991*10000+$A1991,"")</f>
        <v/>
      </c>
    </row>
    <row r="1992" customFormat="false" ht="15" hidden="false" customHeight="false" outlineLevel="0" collapsed="false">
      <c r="A1992" s="114" t="n">
        <f aca="false">ROW()-4</f>
        <v>1988</v>
      </c>
      <c r="B1992" s="114" t="str">
        <f aca="false">IF(A1992&lt;=Config!$E$27*Config!$E$28,"Tema","Avulso")</f>
        <v>Avulso</v>
      </c>
      <c r="C1992" s="114" t="n">
        <f aca="false">IF(B1992="Tema",INT((A1992-1)/Config!$E$28)+1,A1992-Config!$E$27*Config!$E$28)</f>
        <v>188</v>
      </c>
      <c r="D1992" s="114" t="str">
        <f aca="false">IF(B1992="Tema",MOD(A1992-1,Config!$E$28)+1,"")</f>
        <v/>
      </c>
      <c r="E1992" s="115" t="str">
        <f aca="false">IF($B1992="Tema",IF(ISNUMBER(INDEX(Temas!$E$6:$P$305,$C1992,2*$D1992-1)),INDEX(Temas!$E$6:$P$305,$C1992,2*$D1992-1),""),IF(ISNUMBER(INDEX(Avulsos!$B$6:$B$205,$C1992)),INDEX(Avulsos!$B$6:$B$205,$C1992),""))</f>
        <v/>
      </c>
      <c r="F1992" s="114" t="str">
        <f aca="false">IF($E1992="","",IF($B1992="Tema",INDEX(Temas!$B$6:$B$305,$C1992)&amp;"",INDEX(Avulsos!$C$6:$C$205,$C1992)&amp;""))</f>
        <v/>
      </c>
      <c r="G1992" s="114" t="str">
        <f aca="false">IF($E1992="","",IF($B1992="Tema",INDEX(Config!$C$6:$C$11,$D1992),"Evento avulso"))</f>
        <v/>
      </c>
      <c r="H1992" s="114" t="str">
        <f aca="false">IF($E1992="","",IF($B1992="Tema",INDEX(Config!$D$6:$D$11,$D1992),IFERROR(INDEX(Config!$E$15:$E$19,MATCH($I1992,Config!$C$15:$C$19,0)),"•")))</f>
        <v/>
      </c>
      <c r="I1992" s="114" t="str">
        <f aca="false">IF($E1992="","",IF($B1992="Tema",INDEX(Config!$E$6:$E$11,$D1992),IF(INDEX(Avulsos!$D$6:$D$205,$C1992)&amp;""="","Outro",INDEX(Avulsos!$D$6:$D$205,$C1992))))</f>
        <v/>
      </c>
      <c r="J1992" s="114" t="str">
        <f aca="false">IF($E1992="","",IF($B1992="Tema",INDEX(Temas!$C$6:$C$305,$C1992)&amp;"",INDEX(Avulsos!$E$6:$E$205,$C1992)&amp;""))</f>
        <v/>
      </c>
      <c r="K1992" s="114" t="str">
        <f aca="false">IF($E1992="","",IF(IF($B1992="Tema",INDEX(Temas!$E$6:$P$305,$C1992,2*$D1992),INDEX(Avulsos!$F$6:$F$205,$C1992))&amp;""="","","✓"))</f>
        <v/>
      </c>
      <c r="L1992" s="114" t="str">
        <f aca="true">IF($E1992="","",IF($K1992="✓","Concluído",IF($E1992&lt;TODAY(),"Atrasado",IF($E1992=TODAY(),"Hoje","Pendente"))))</f>
        <v/>
      </c>
      <c r="M1992" s="114" t="str">
        <f aca="false">IF($E1992="","",IF($K1992="✓","✓ ","")&amp;IF(Config!$E$22="Sim",$H1992&amp;" · ","")&amp;$F1992)</f>
        <v/>
      </c>
      <c r="N1992" s="114" t="str">
        <f aca="false">IF($E1992="","",IFERROR(INDEX(Config!$D$15:$D$19,MATCH($I1992,Config!$C$15:$C$19,0)),"OUT")&amp;IF($K1992="✓","x",""))</f>
        <v/>
      </c>
      <c r="O1992" s="114" t="str">
        <f aca="false">IF($E1992="","",COUNTIF($E$5:$E1992,$E1992))</f>
        <v/>
      </c>
      <c r="P1992" s="114" t="str">
        <f aca="false">IF($E1992="","",$E1992*100+$O1992)</f>
        <v/>
      </c>
      <c r="Q1992" s="114" t="str">
        <f aca="false">IF($L1992="Atrasado",$E1992*10000+$A1992,"")</f>
        <v/>
      </c>
    </row>
    <row r="1993" customFormat="false" ht="15" hidden="false" customHeight="false" outlineLevel="0" collapsed="false">
      <c r="A1993" s="114" t="n">
        <f aca="false">ROW()-4</f>
        <v>1989</v>
      </c>
      <c r="B1993" s="114" t="str">
        <f aca="false">IF(A1993&lt;=Config!$E$27*Config!$E$28,"Tema","Avulso")</f>
        <v>Avulso</v>
      </c>
      <c r="C1993" s="114" t="n">
        <f aca="false">IF(B1993="Tema",INT((A1993-1)/Config!$E$28)+1,A1993-Config!$E$27*Config!$E$28)</f>
        <v>189</v>
      </c>
      <c r="D1993" s="114" t="str">
        <f aca="false">IF(B1993="Tema",MOD(A1993-1,Config!$E$28)+1,"")</f>
        <v/>
      </c>
      <c r="E1993" s="115" t="str">
        <f aca="false">IF($B1993="Tema",IF(ISNUMBER(INDEX(Temas!$E$6:$P$305,$C1993,2*$D1993-1)),INDEX(Temas!$E$6:$P$305,$C1993,2*$D1993-1),""),IF(ISNUMBER(INDEX(Avulsos!$B$6:$B$205,$C1993)),INDEX(Avulsos!$B$6:$B$205,$C1993),""))</f>
        <v/>
      </c>
      <c r="F1993" s="114" t="str">
        <f aca="false">IF($E1993="","",IF($B1993="Tema",INDEX(Temas!$B$6:$B$305,$C1993)&amp;"",INDEX(Avulsos!$C$6:$C$205,$C1993)&amp;""))</f>
        <v/>
      </c>
      <c r="G1993" s="114" t="str">
        <f aca="false">IF($E1993="","",IF($B1993="Tema",INDEX(Config!$C$6:$C$11,$D1993),"Evento avulso"))</f>
        <v/>
      </c>
      <c r="H1993" s="114" t="str">
        <f aca="false">IF($E1993="","",IF($B1993="Tema",INDEX(Config!$D$6:$D$11,$D1993),IFERROR(INDEX(Config!$E$15:$E$19,MATCH($I1993,Config!$C$15:$C$19,0)),"•")))</f>
        <v/>
      </c>
      <c r="I1993" s="114" t="str">
        <f aca="false">IF($E1993="","",IF($B1993="Tema",INDEX(Config!$E$6:$E$11,$D1993),IF(INDEX(Avulsos!$D$6:$D$205,$C1993)&amp;""="","Outro",INDEX(Avulsos!$D$6:$D$205,$C1993))))</f>
        <v/>
      </c>
      <c r="J1993" s="114" t="str">
        <f aca="false">IF($E1993="","",IF($B1993="Tema",INDEX(Temas!$C$6:$C$305,$C1993)&amp;"",INDEX(Avulsos!$E$6:$E$205,$C1993)&amp;""))</f>
        <v/>
      </c>
      <c r="K1993" s="114" t="str">
        <f aca="false">IF($E1993="","",IF(IF($B1993="Tema",INDEX(Temas!$E$6:$P$305,$C1993,2*$D1993),INDEX(Avulsos!$F$6:$F$205,$C1993))&amp;""="","","✓"))</f>
        <v/>
      </c>
      <c r="L1993" s="114" t="str">
        <f aca="true">IF($E1993="","",IF($K1993="✓","Concluído",IF($E1993&lt;TODAY(),"Atrasado",IF($E1993=TODAY(),"Hoje","Pendente"))))</f>
        <v/>
      </c>
      <c r="M1993" s="114" t="str">
        <f aca="false">IF($E1993="","",IF($K1993="✓","✓ ","")&amp;IF(Config!$E$22="Sim",$H1993&amp;" · ","")&amp;$F1993)</f>
        <v/>
      </c>
      <c r="N1993" s="114" t="str">
        <f aca="false">IF($E1993="","",IFERROR(INDEX(Config!$D$15:$D$19,MATCH($I1993,Config!$C$15:$C$19,0)),"OUT")&amp;IF($K1993="✓","x",""))</f>
        <v/>
      </c>
      <c r="O1993" s="114" t="str">
        <f aca="false">IF($E1993="","",COUNTIF($E$5:$E1993,$E1993))</f>
        <v/>
      </c>
      <c r="P1993" s="114" t="str">
        <f aca="false">IF($E1993="","",$E1993*100+$O1993)</f>
        <v/>
      </c>
      <c r="Q1993" s="114" t="str">
        <f aca="false">IF($L1993="Atrasado",$E1993*10000+$A1993,"")</f>
        <v/>
      </c>
    </row>
    <row r="1994" customFormat="false" ht="15" hidden="false" customHeight="false" outlineLevel="0" collapsed="false">
      <c r="A1994" s="114" t="n">
        <f aca="false">ROW()-4</f>
        <v>1990</v>
      </c>
      <c r="B1994" s="114" t="str">
        <f aca="false">IF(A1994&lt;=Config!$E$27*Config!$E$28,"Tema","Avulso")</f>
        <v>Avulso</v>
      </c>
      <c r="C1994" s="114" t="n">
        <f aca="false">IF(B1994="Tema",INT((A1994-1)/Config!$E$28)+1,A1994-Config!$E$27*Config!$E$28)</f>
        <v>190</v>
      </c>
      <c r="D1994" s="114" t="str">
        <f aca="false">IF(B1994="Tema",MOD(A1994-1,Config!$E$28)+1,"")</f>
        <v/>
      </c>
      <c r="E1994" s="115" t="str">
        <f aca="false">IF($B1994="Tema",IF(ISNUMBER(INDEX(Temas!$E$6:$P$305,$C1994,2*$D1994-1)),INDEX(Temas!$E$6:$P$305,$C1994,2*$D1994-1),""),IF(ISNUMBER(INDEX(Avulsos!$B$6:$B$205,$C1994)),INDEX(Avulsos!$B$6:$B$205,$C1994),""))</f>
        <v/>
      </c>
      <c r="F1994" s="114" t="str">
        <f aca="false">IF($E1994="","",IF($B1994="Tema",INDEX(Temas!$B$6:$B$305,$C1994)&amp;"",INDEX(Avulsos!$C$6:$C$205,$C1994)&amp;""))</f>
        <v/>
      </c>
      <c r="G1994" s="114" t="str">
        <f aca="false">IF($E1994="","",IF($B1994="Tema",INDEX(Config!$C$6:$C$11,$D1994),"Evento avulso"))</f>
        <v/>
      </c>
      <c r="H1994" s="114" t="str">
        <f aca="false">IF($E1994="","",IF($B1994="Tema",INDEX(Config!$D$6:$D$11,$D1994),IFERROR(INDEX(Config!$E$15:$E$19,MATCH($I1994,Config!$C$15:$C$19,0)),"•")))</f>
        <v/>
      </c>
      <c r="I1994" s="114" t="str">
        <f aca="false">IF($E1994="","",IF($B1994="Tema",INDEX(Config!$E$6:$E$11,$D1994),IF(INDEX(Avulsos!$D$6:$D$205,$C1994)&amp;""="","Outro",INDEX(Avulsos!$D$6:$D$205,$C1994))))</f>
        <v/>
      </c>
      <c r="J1994" s="114" t="str">
        <f aca="false">IF($E1994="","",IF($B1994="Tema",INDEX(Temas!$C$6:$C$305,$C1994)&amp;"",INDEX(Avulsos!$E$6:$E$205,$C1994)&amp;""))</f>
        <v/>
      </c>
      <c r="K1994" s="114" t="str">
        <f aca="false">IF($E1994="","",IF(IF($B1994="Tema",INDEX(Temas!$E$6:$P$305,$C1994,2*$D1994),INDEX(Avulsos!$F$6:$F$205,$C1994))&amp;""="","","✓"))</f>
        <v/>
      </c>
      <c r="L1994" s="114" t="str">
        <f aca="true">IF($E1994="","",IF($K1994="✓","Concluído",IF($E1994&lt;TODAY(),"Atrasado",IF($E1994=TODAY(),"Hoje","Pendente"))))</f>
        <v/>
      </c>
      <c r="M1994" s="114" t="str">
        <f aca="false">IF($E1994="","",IF($K1994="✓","✓ ","")&amp;IF(Config!$E$22="Sim",$H1994&amp;" · ","")&amp;$F1994)</f>
        <v/>
      </c>
      <c r="N1994" s="114" t="str">
        <f aca="false">IF($E1994="","",IFERROR(INDEX(Config!$D$15:$D$19,MATCH($I1994,Config!$C$15:$C$19,0)),"OUT")&amp;IF($K1994="✓","x",""))</f>
        <v/>
      </c>
      <c r="O1994" s="114" t="str">
        <f aca="false">IF($E1994="","",COUNTIF($E$5:$E1994,$E1994))</f>
        <v/>
      </c>
      <c r="P1994" s="114" t="str">
        <f aca="false">IF($E1994="","",$E1994*100+$O1994)</f>
        <v/>
      </c>
      <c r="Q1994" s="114" t="str">
        <f aca="false">IF($L1994="Atrasado",$E1994*10000+$A1994,"")</f>
        <v/>
      </c>
    </row>
    <row r="1995" customFormat="false" ht="15" hidden="false" customHeight="false" outlineLevel="0" collapsed="false">
      <c r="A1995" s="114" t="n">
        <f aca="false">ROW()-4</f>
        <v>1991</v>
      </c>
      <c r="B1995" s="114" t="str">
        <f aca="false">IF(A1995&lt;=Config!$E$27*Config!$E$28,"Tema","Avulso")</f>
        <v>Avulso</v>
      </c>
      <c r="C1995" s="114" t="n">
        <f aca="false">IF(B1995="Tema",INT((A1995-1)/Config!$E$28)+1,A1995-Config!$E$27*Config!$E$28)</f>
        <v>191</v>
      </c>
      <c r="D1995" s="114" t="str">
        <f aca="false">IF(B1995="Tema",MOD(A1995-1,Config!$E$28)+1,"")</f>
        <v/>
      </c>
      <c r="E1995" s="115" t="str">
        <f aca="false">IF($B1995="Tema",IF(ISNUMBER(INDEX(Temas!$E$6:$P$305,$C1995,2*$D1995-1)),INDEX(Temas!$E$6:$P$305,$C1995,2*$D1995-1),""),IF(ISNUMBER(INDEX(Avulsos!$B$6:$B$205,$C1995)),INDEX(Avulsos!$B$6:$B$205,$C1995),""))</f>
        <v/>
      </c>
      <c r="F1995" s="114" t="str">
        <f aca="false">IF($E1995="","",IF($B1995="Tema",INDEX(Temas!$B$6:$B$305,$C1995)&amp;"",INDEX(Avulsos!$C$6:$C$205,$C1995)&amp;""))</f>
        <v/>
      </c>
      <c r="G1995" s="114" t="str">
        <f aca="false">IF($E1995="","",IF($B1995="Tema",INDEX(Config!$C$6:$C$11,$D1995),"Evento avulso"))</f>
        <v/>
      </c>
      <c r="H1995" s="114" t="str">
        <f aca="false">IF($E1995="","",IF($B1995="Tema",INDEX(Config!$D$6:$D$11,$D1995),IFERROR(INDEX(Config!$E$15:$E$19,MATCH($I1995,Config!$C$15:$C$19,0)),"•")))</f>
        <v/>
      </c>
      <c r="I1995" s="114" t="str">
        <f aca="false">IF($E1995="","",IF($B1995="Tema",INDEX(Config!$E$6:$E$11,$D1995),IF(INDEX(Avulsos!$D$6:$D$205,$C1995)&amp;""="","Outro",INDEX(Avulsos!$D$6:$D$205,$C1995))))</f>
        <v/>
      </c>
      <c r="J1995" s="114" t="str">
        <f aca="false">IF($E1995="","",IF($B1995="Tema",INDEX(Temas!$C$6:$C$305,$C1995)&amp;"",INDEX(Avulsos!$E$6:$E$205,$C1995)&amp;""))</f>
        <v/>
      </c>
      <c r="K1995" s="114" t="str">
        <f aca="false">IF($E1995="","",IF(IF($B1995="Tema",INDEX(Temas!$E$6:$P$305,$C1995,2*$D1995),INDEX(Avulsos!$F$6:$F$205,$C1995))&amp;""="","","✓"))</f>
        <v/>
      </c>
      <c r="L1995" s="114" t="str">
        <f aca="true">IF($E1995="","",IF($K1995="✓","Concluído",IF($E1995&lt;TODAY(),"Atrasado",IF($E1995=TODAY(),"Hoje","Pendente"))))</f>
        <v/>
      </c>
      <c r="M1995" s="114" t="str">
        <f aca="false">IF($E1995="","",IF($K1995="✓","✓ ","")&amp;IF(Config!$E$22="Sim",$H1995&amp;" · ","")&amp;$F1995)</f>
        <v/>
      </c>
      <c r="N1995" s="114" t="str">
        <f aca="false">IF($E1995="","",IFERROR(INDEX(Config!$D$15:$D$19,MATCH($I1995,Config!$C$15:$C$19,0)),"OUT")&amp;IF($K1995="✓","x",""))</f>
        <v/>
      </c>
      <c r="O1995" s="114" t="str">
        <f aca="false">IF($E1995="","",COUNTIF($E$5:$E1995,$E1995))</f>
        <v/>
      </c>
      <c r="P1995" s="114" t="str">
        <f aca="false">IF($E1995="","",$E1995*100+$O1995)</f>
        <v/>
      </c>
      <c r="Q1995" s="114" t="str">
        <f aca="false">IF($L1995="Atrasado",$E1995*10000+$A1995,"")</f>
        <v/>
      </c>
    </row>
    <row r="1996" customFormat="false" ht="15" hidden="false" customHeight="false" outlineLevel="0" collapsed="false">
      <c r="A1996" s="114" t="n">
        <f aca="false">ROW()-4</f>
        <v>1992</v>
      </c>
      <c r="B1996" s="114" t="str">
        <f aca="false">IF(A1996&lt;=Config!$E$27*Config!$E$28,"Tema","Avulso")</f>
        <v>Avulso</v>
      </c>
      <c r="C1996" s="114" t="n">
        <f aca="false">IF(B1996="Tema",INT((A1996-1)/Config!$E$28)+1,A1996-Config!$E$27*Config!$E$28)</f>
        <v>192</v>
      </c>
      <c r="D1996" s="114" t="str">
        <f aca="false">IF(B1996="Tema",MOD(A1996-1,Config!$E$28)+1,"")</f>
        <v/>
      </c>
      <c r="E1996" s="115" t="str">
        <f aca="false">IF($B1996="Tema",IF(ISNUMBER(INDEX(Temas!$E$6:$P$305,$C1996,2*$D1996-1)),INDEX(Temas!$E$6:$P$305,$C1996,2*$D1996-1),""),IF(ISNUMBER(INDEX(Avulsos!$B$6:$B$205,$C1996)),INDEX(Avulsos!$B$6:$B$205,$C1996),""))</f>
        <v/>
      </c>
      <c r="F1996" s="114" t="str">
        <f aca="false">IF($E1996="","",IF($B1996="Tema",INDEX(Temas!$B$6:$B$305,$C1996)&amp;"",INDEX(Avulsos!$C$6:$C$205,$C1996)&amp;""))</f>
        <v/>
      </c>
      <c r="G1996" s="114" t="str">
        <f aca="false">IF($E1996="","",IF($B1996="Tema",INDEX(Config!$C$6:$C$11,$D1996),"Evento avulso"))</f>
        <v/>
      </c>
      <c r="H1996" s="114" t="str">
        <f aca="false">IF($E1996="","",IF($B1996="Tema",INDEX(Config!$D$6:$D$11,$D1996),IFERROR(INDEX(Config!$E$15:$E$19,MATCH($I1996,Config!$C$15:$C$19,0)),"•")))</f>
        <v/>
      </c>
      <c r="I1996" s="114" t="str">
        <f aca="false">IF($E1996="","",IF($B1996="Tema",INDEX(Config!$E$6:$E$11,$D1996),IF(INDEX(Avulsos!$D$6:$D$205,$C1996)&amp;""="","Outro",INDEX(Avulsos!$D$6:$D$205,$C1996))))</f>
        <v/>
      </c>
      <c r="J1996" s="114" t="str">
        <f aca="false">IF($E1996="","",IF($B1996="Tema",INDEX(Temas!$C$6:$C$305,$C1996)&amp;"",INDEX(Avulsos!$E$6:$E$205,$C1996)&amp;""))</f>
        <v/>
      </c>
      <c r="K1996" s="114" t="str">
        <f aca="false">IF($E1996="","",IF(IF($B1996="Tema",INDEX(Temas!$E$6:$P$305,$C1996,2*$D1996),INDEX(Avulsos!$F$6:$F$205,$C1996))&amp;""="","","✓"))</f>
        <v/>
      </c>
      <c r="L1996" s="114" t="str">
        <f aca="true">IF($E1996="","",IF($K1996="✓","Concluído",IF($E1996&lt;TODAY(),"Atrasado",IF($E1996=TODAY(),"Hoje","Pendente"))))</f>
        <v/>
      </c>
      <c r="M1996" s="114" t="str">
        <f aca="false">IF($E1996="","",IF($K1996="✓","✓ ","")&amp;IF(Config!$E$22="Sim",$H1996&amp;" · ","")&amp;$F1996)</f>
        <v/>
      </c>
      <c r="N1996" s="114" t="str">
        <f aca="false">IF($E1996="","",IFERROR(INDEX(Config!$D$15:$D$19,MATCH($I1996,Config!$C$15:$C$19,0)),"OUT")&amp;IF($K1996="✓","x",""))</f>
        <v/>
      </c>
      <c r="O1996" s="114" t="str">
        <f aca="false">IF($E1996="","",COUNTIF($E$5:$E1996,$E1996))</f>
        <v/>
      </c>
      <c r="P1996" s="114" t="str">
        <f aca="false">IF($E1996="","",$E1996*100+$O1996)</f>
        <v/>
      </c>
      <c r="Q1996" s="114" t="str">
        <f aca="false">IF($L1996="Atrasado",$E1996*10000+$A1996,"")</f>
        <v/>
      </c>
    </row>
    <row r="1997" customFormat="false" ht="15" hidden="false" customHeight="false" outlineLevel="0" collapsed="false">
      <c r="A1997" s="114" t="n">
        <f aca="false">ROW()-4</f>
        <v>1993</v>
      </c>
      <c r="B1997" s="114" t="str">
        <f aca="false">IF(A1997&lt;=Config!$E$27*Config!$E$28,"Tema","Avulso")</f>
        <v>Avulso</v>
      </c>
      <c r="C1997" s="114" t="n">
        <f aca="false">IF(B1997="Tema",INT((A1997-1)/Config!$E$28)+1,A1997-Config!$E$27*Config!$E$28)</f>
        <v>193</v>
      </c>
      <c r="D1997" s="114" t="str">
        <f aca="false">IF(B1997="Tema",MOD(A1997-1,Config!$E$28)+1,"")</f>
        <v/>
      </c>
      <c r="E1997" s="115" t="str">
        <f aca="false">IF($B1997="Tema",IF(ISNUMBER(INDEX(Temas!$E$6:$P$305,$C1997,2*$D1997-1)),INDEX(Temas!$E$6:$P$305,$C1997,2*$D1997-1),""),IF(ISNUMBER(INDEX(Avulsos!$B$6:$B$205,$C1997)),INDEX(Avulsos!$B$6:$B$205,$C1997),""))</f>
        <v/>
      </c>
      <c r="F1997" s="114" t="str">
        <f aca="false">IF($E1997="","",IF($B1997="Tema",INDEX(Temas!$B$6:$B$305,$C1997)&amp;"",INDEX(Avulsos!$C$6:$C$205,$C1997)&amp;""))</f>
        <v/>
      </c>
      <c r="G1997" s="114" t="str">
        <f aca="false">IF($E1997="","",IF($B1997="Tema",INDEX(Config!$C$6:$C$11,$D1997),"Evento avulso"))</f>
        <v/>
      </c>
      <c r="H1997" s="114" t="str">
        <f aca="false">IF($E1997="","",IF($B1997="Tema",INDEX(Config!$D$6:$D$11,$D1997),IFERROR(INDEX(Config!$E$15:$E$19,MATCH($I1997,Config!$C$15:$C$19,0)),"•")))</f>
        <v/>
      </c>
      <c r="I1997" s="114" t="str">
        <f aca="false">IF($E1997="","",IF($B1997="Tema",INDEX(Config!$E$6:$E$11,$D1997),IF(INDEX(Avulsos!$D$6:$D$205,$C1997)&amp;""="","Outro",INDEX(Avulsos!$D$6:$D$205,$C1997))))</f>
        <v/>
      </c>
      <c r="J1997" s="114" t="str">
        <f aca="false">IF($E1997="","",IF($B1997="Tema",INDEX(Temas!$C$6:$C$305,$C1997)&amp;"",INDEX(Avulsos!$E$6:$E$205,$C1997)&amp;""))</f>
        <v/>
      </c>
      <c r="K1997" s="114" t="str">
        <f aca="false">IF($E1997="","",IF(IF($B1997="Tema",INDEX(Temas!$E$6:$P$305,$C1997,2*$D1997),INDEX(Avulsos!$F$6:$F$205,$C1997))&amp;""="","","✓"))</f>
        <v/>
      </c>
      <c r="L1997" s="114" t="str">
        <f aca="true">IF($E1997="","",IF($K1997="✓","Concluído",IF($E1997&lt;TODAY(),"Atrasado",IF($E1997=TODAY(),"Hoje","Pendente"))))</f>
        <v/>
      </c>
      <c r="M1997" s="114" t="str">
        <f aca="false">IF($E1997="","",IF($K1997="✓","✓ ","")&amp;IF(Config!$E$22="Sim",$H1997&amp;" · ","")&amp;$F1997)</f>
        <v/>
      </c>
      <c r="N1997" s="114" t="str">
        <f aca="false">IF($E1997="","",IFERROR(INDEX(Config!$D$15:$D$19,MATCH($I1997,Config!$C$15:$C$19,0)),"OUT")&amp;IF($K1997="✓","x",""))</f>
        <v/>
      </c>
      <c r="O1997" s="114" t="str">
        <f aca="false">IF($E1997="","",COUNTIF($E$5:$E1997,$E1997))</f>
        <v/>
      </c>
      <c r="P1997" s="114" t="str">
        <f aca="false">IF($E1997="","",$E1997*100+$O1997)</f>
        <v/>
      </c>
      <c r="Q1997" s="114" t="str">
        <f aca="false">IF($L1997="Atrasado",$E1997*10000+$A1997,"")</f>
        <v/>
      </c>
    </row>
    <row r="1998" customFormat="false" ht="15" hidden="false" customHeight="false" outlineLevel="0" collapsed="false">
      <c r="A1998" s="114" t="n">
        <f aca="false">ROW()-4</f>
        <v>1994</v>
      </c>
      <c r="B1998" s="114" t="str">
        <f aca="false">IF(A1998&lt;=Config!$E$27*Config!$E$28,"Tema","Avulso")</f>
        <v>Avulso</v>
      </c>
      <c r="C1998" s="114" t="n">
        <f aca="false">IF(B1998="Tema",INT((A1998-1)/Config!$E$28)+1,A1998-Config!$E$27*Config!$E$28)</f>
        <v>194</v>
      </c>
      <c r="D1998" s="114" t="str">
        <f aca="false">IF(B1998="Tema",MOD(A1998-1,Config!$E$28)+1,"")</f>
        <v/>
      </c>
      <c r="E1998" s="115" t="str">
        <f aca="false">IF($B1998="Tema",IF(ISNUMBER(INDEX(Temas!$E$6:$P$305,$C1998,2*$D1998-1)),INDEX(Temas!$E$6:$P$305,$C1998,2*$D1998-1),""),IF(ISNUMBER(INDEX(Avulsos!$B$6:$B$205,$C1998)),INDEX(Avulsos!$B$6:$B$205,$C1998),""))</f>
        <v/>
      </c>
      <c r="F1998" s="114" t="str">
        <f aca="false">IF($E1998="","",IF($B1998="Tema",INDEX(Temas!$B$6:$B$305,$C1998)&amp;"",INDEX(Avulsos!$C$6:$C$205,$C1998)&amp;""))</f>
        <v/>
      </c>
      <c r="G1998" s="114" t="str">
        <f aca="false">IF($E1998="","",IF($B1998="Tema",INDEX(Config!$C$6:$C$11,$D1998),"Evento avulso"))</f>
        <v/>
      </c>
      <c r="H1998" s="114" t="str">
        <f aca="false">IF($E1998="","",IF($B1998="Tema",INDEX(Config!$D$6:$D$11,$D1998),IFERROR(INDEX(Config!$E$15:$E$19,MATCH($I1998,Config!$C$15:$C$19,0)),"•")))</f>
        <v/>
      </c>
      <c r="I1998" s="114" t="str">
        <f aca="false">IF($E1998="","",IF($B1998="Tema",INDEX(Config!$E$6:$E$11,$D1998),IF(INDEX(Avulsos!$D$6:$D$205,$C1998)&amp;""="","Outro",INDEX(Avulsos!$D$6:$D$205,$C1998))))</f>
        <v/>
      </c>
      <c r="J1998" s="114" t="str">
        <f aca="false">IF($E1998="","",IF($B1998="Tema",INDEX(Temas!$C$6:$C$305,$C1998)&amp;"",INDEX(Avulsos!$E$6:$E$205,$C1998)&amp;""))</f>
        <v/>
      </c>
      <c r="K1998" s="114" t="str">
        <f aca="false">IF($E1998="","",IF(IF($B1998="Tema",INDEX(Temas!$E$6:$P$305,$C1998,2*$D1998),INDEX(Avulsos!$F$6:$F$205,$C1998))&amp;""="","","✓"))</f>
        <v/>
      </c>
      <c r="L1998" s="114" t="str">
        <f aca="true">IF($E1998="","",IF($K1998="✓","Concluído",IF($E1998&lt;TODAY(),"Atrasado",IF($E1998=TODAY(),"Hoje","Pendente"))))</f>
        <v/>
      </c>
      <c r="M1998" s="114" t="str">
        <f aca="false">IF($E1998="","",IF($K1998="✓","✓ ","")&amp;IF(Config!$E$22="Sim",$H1998&amp;" · ","")&amp;$F1998)</f>
        <v/>
      </c>
      <c r="N1998" s="114" t="str">
        <f aca="false">IF($E1998="","",IFERROR(INDEX(Config!$D$15:$D$19,MATCH($I1998,Config!$C$15:$C$19,0)),"OUT")&amp;IF($K1998="✓","x",""))</f>
        <v/>
      </c>
      <c r="O1998" s="114" t="str">
        <f aca="false">IF($E1998="","",COUNTIF($E$5:$E1998,$E1998))</f>
        <v/>
      </c>
      <c r="P1998" s="114" t="str">
        <f aca="false">IF($E1998="","",$E1998*100+$O1998)</f>
        <v/>
      </c>
      <c r="Q1998" s="114" t="str">
        <f aca="false">IF($L1998="Atrasado",$E1998*10000+$A1998,"")</f>
        <v/>
      </c>
    </row>
    <row r="1999" customFormat="false" ht="15" hidden="false" customHeight="false" outlineLevel="0" collapsed="false">
      <c r="A1999" s="114" t="n">
        <f aca="false">ROW()-4</f>
        <v>1995</v>
      </c>
      <c r="B1999" s="114" t="str">
        <f aca="false">IF(A1999&lt;=Config!$E$27*Config!$E$28,"Tema","Avulso")</f>
        <v>Avulso</v>
      </c>
      <c r="C1999" s="114" t="n">
        <f aca="false">IF(B1999="Tema",INT((A1999-1)/Config!$E$28)+1,A1999-Config!$E$27*Config!$E$28)</f>
        <v>195</v>
      </c>
      <c r="D1999" s="114" t="str">
        <f aca="false">IF(B1999="Tema",MOD(A1999-1,Config!$E$28)+1,"")</f>
        <v/>
      </c>
      <c r="E1999" s="115" t="str">
        <f aca="false">IF($B1999="Tema",IF(ISNUMBER(INDEX(Temas!$E$6:$P$305,$C1999,2*$D1999-1)),INDEX(Temas!$E$6:$P$305,$C1999,2*$D1999-1),""),IF(ISNUMBER(INDEX(Avulsos!$B$6:$B$205,$C1999)),INDEX(Avulsos!$B$6:$B$205,$C1999),""))</f>
        <v/>
      </c>
      <c r="F1999" s="114" t="str">
        <f aca="false">IF($E1999="","",IF($B1999="Tema",INDEX(Temas!$B$6:$B$305,$C1999)&amp;"",INDEX(Avulsos!$C$6:$C$205,$C1999)&amp;""))</f>
        <v/>
      </c>
      <c r="G1999" s="114" t="str">
        <f aca="false">IF($E1999="","",IF($B1999="Tema",INDEX(Config!$C$6:$C$11,$D1999),"Evento avulso"))</f>
        <v/>
      </c>
      <c r="H1999" s="114" t="str">
        <f aca="false">IF($E1999="","",IF($B1999="Tema",INDEX(Config!$D$6:$D$11,$D1999),IFERROR(INDEX(Config!$E$15:$E$19,MATCH($I1999,Config!$C$15:$C$19,0)),"•")))</f>
        <v/>
      </c>
      <c r="I1999" s="114" t="str">
        <f aca="false">IF($E1999="","",IF($B1999="Tema",INDEX(Config!$E$6:$E$11,$D1999),IF(INDEX(Avulsos!$D$6:$D$205,$C1999)&amp;""="","Outro",INDEX(Avulsos!$D$6:$D$205,$C1999))))</f>
        <v/>
      </c>
      <c r="J1999" s="114" t="str">
        <f aca="false">IF($E1999="","",IF($B1999="Tema",INDEX(Temas!$C$6:$C$305,$C1999)&amp;"",INDEX(Avulsos!$E$6:$E$205,$C1999)&amp;""))</f>
        <v/>
      </c>
      <c r="K1999" s="114" t="str">
        <f aca="false">IF($E1999="","",IF(IF($B1999="Tema",INDEX(Temas!$E$6:$P$305,$C1999,2*$D1999),INDEX(Avulsos!$F$6:$F$205,$C1999))&amp;""="","","✓"))</f>
        <v/>
      </c>
      <c r="L1999" s="114" t="str">
        <f aca="true">IF($E1999="","",IF($K1999="✓","Concluído",IF($E1999&lt;TODAY(),"Atrasado",IF($E1999=TODAY(),"Hoje","Pendente"))))</f>
        <v/>
      </c>
      <c r="M1999" s="114" t="str">
        <f aca="false">IF($E1999="","",IF($K1999="✓","✓ ","")&amp;IF(Config!$E$22="Sim",$H1999&amp;" · ","")&amp;$F1999)</f>
        <v/>
      </c>
      <c r="N1999" s="114" t="str">
        <f aca="false">IF($E1999="","",IFERROR(INDEX(Config!$D$15:$D$19,MATCH($I1999,Config!$C$15:$C$19,0)),"OUT")&amp;IF($K1999="✓","x",""))</f>
        <v/>
      </c>
      <c r="O1999" s="114" t="str">
        <f aca="false">IF($E1999="","",COUNTIF($E$5:$E1999,$E1999))</f>
        <v/>
      </c>
      <c r="P1999" s="114" t="str">
        <f aca="false">IF($E1999="","",$E1999*100+$O1999)</f>
        <v/>
      </c>
      <c r="Q1999" s="114" t="str">
        <f aca="false">IF($L1999="Atrasado",$E1999*10000+$A1999,"")</f>
        <v/>
      </c>
    </row>
    <row r="2000" customFormat="false" ht="15" hidden="false" customHeight="false" outlineLevel="0" collapsed="false">
      <c r="A2000" s="114" t="n">
        <f aca="false">ROW()-4</f>
        <v>1996</v>
      </c>
      <c r="B2000" s="114" t="str">
        <f aca="false">IF(A2000&lt;=Config!$E$27*Config!$E$28,"Tema","Avulso")</f>
        <v>Avulso</v>
      </c>
      <c r="C2000" s="114" t="n">
        <f aca="false">IF(B2000="Tema",INT((A2000-1)/Config!$E$28)+1,A2000-Config!$E$27*Config!$E$28)</f>
        <v>196</v>
      </c>
      <c r="D2000" s="114" t="str">
        <f aca="false">IF(B2000="Tema",MOD(A2000-1,Config!$E$28)+1,"")</f>
        <v/>
      </c>
      <c r="E2000" s="115" t="str">
        <f aca="false">IF($B2000="Tema",IF(ISNUMBER(INDEX(Temas!$E$6:$P$305,$C2000,2*$D2000-1)),INDEX(Temas!$E$6:$P$305,$C2000,2*$D2000-1),""),IF(ISNUMBER(INDEX(Avulsos!$B$6:$B$205,$C2000)),INDEX(Avulsos!$B$6:$B$205,$C2000),""))</f>
        <v/>
      </c>
      <c r="F2000" s="114" t="str">
        <f aca="false">IF($E2000="","",IF($B2000="Tema",INDEX(Temas!$B$6:$B$305,$C2000)&amp;"",INDEX(Avulsos!$C$6:$C$205,$C2000)&amp;""))</f>
        <v/>
      </c>
      <c r="G2000" s="114" t="str">
        <f aca="false">IF($E2000="","",IF($B2000="Tema",INDEX(Config!$C$6:$C$11,$D2000),"Evento avulso"))</f>
        <v/>
      </c>
      <c r="H2000" s="114" t="str">
        <f aca="false">IF($E2000="","",IF($B2000="Tema",INDEX(Config!$D$6:$D$11,$D2000),IFERROR(INDEX(Config!$E$15:$E$19,MATCH($I2000,Config!$C$15:$C$19,0)),"•")))</f>
        <v/>
      </c>
      <c r="I2000" s="114" t="str">
        <f aca="false">IF($E2000="","",IF($B2000="Tema",INDEX(Config!$E$6:$E$11,$D2000),IF(INDEX(Avulsos!$D$6:$D$205,$C2000)&amp;""="","Outro",INDEX(Avulsos!$D$6:$D$205,$C2000))))</f>
        <v/>
      </c>
      <c r="J2000" s="114" t="str">
        <f aca="false">IF($E2000="","",IF($B2000="Tema",INDEX(Temas!$C$6:$C$305,$C2000)&amp;"",INDEX(Avulsos!$E$6:$E$205,$C2000)&amp;""))</f>
        <v/>
      </c>
      <c r="K2000" s="114" t="str">
        <f aca="false">IF($E2000="","",IF(IF($B2000="Tema",INDEX(Temas!$E$6:$P$305,$C2000,2*$D2000),INDEX(Avulsos!$F$6:$F$205,$C2000))&amp;""="","","✓"))</f>
        <v/>
      </c>
      <c r="L2000" s="114" t="str">
        <f aca="true">IF($E2000="","",IF($K2000="✓","Concluído",IF($E2000&lt;TODAY(),"Atrasado",IF($E2000=TODAY(),"Hoje","Pendente"))))</f>
        <v/>
      </c>
      <c r="M2000" s="114" t="str">
        <f aca="false">IF($E2000="","",IF($K2000="✓","✓ ","")&amp;IF(Config!$E$22="Sim",$H2000&amp;" · ","")&amp;$F2000)</f>
        <v/>
      </c>
      <c r="N2000" s="114" t="str">
        <f aca="false">IF($E2000="","",IFERROR(INDEX(Config!$D$15:$D$19,MATCH($I2000,Config!$C$15:$C$19,0)),"OUT")&amp;IF($K2000="✓","x",""))</f>
        <v/>
      </c>
      <c r="O2000" s="114" t="str">
        <f aca="false">IF($E2000="","",COUNTIF($E$5:$E2000,$E2000))</f>
        <v/>
      </c>
      <c r="P2000" s="114" t="str">
        <f aca="false">IF($E2000="","",$E2000*100+$O2000)</f>
        <v/>
      </c>
      <c r="Q2000" s="114" t="str">
        <f aca="false">IF($L2000="Atrasado",$E2000*10000+$A2000,"")</f>
        <v/>
      </c>
    </row>
    <row r="2001" customFormat="false" ht="15" hidden="false" customHeight="false" outlineLevel="0" collapsed="false">
      <c r="A2001" s="114" t="n">
        <f aca="false">ROW()-4</f>
        <v>1997</v>
      </c>
      <c r="B2001" s="114" t="str">
        <f aca="false">IF(A2001&lt;=Config!$E$27*Config!$E$28,"Tema","Avulso")</f>
        <v>Avulso</v>
      </c>
      <c r="C2001" s="114" t="n">
        <f aca="false">IF(B2001="Tema",INT((A2001-1)/Config!$E$28)+1,A2001-Config!$E$27*Config!$E$28)</f>
        <v>197</v>
      </c>
      <c r="D2001" s="114" t="str">
        <f aca="false">IF(B2001="Tema",MOD(A2001-1,Config!$E$28)+1,"")</f>
        <v/>
      </c>
      <c r="E2001" s="115" t="str">
        <f aca="false">IF($B2001="Tema",IF(ISNUMBER(INDEX(Temas!$E$6:$P$305,$C2001,2*$D2001-1)),INDEX(Temas!$E$6:$P$305,$C2001,2*$D2001-1),""),IF(ISNUMBER(INDEX(Avulsos!$B$6:$B$205,$C2001)),INDEX(Avulsos!$B$6:$B$205,$C2001),""))</f>
        <v/>
      </c>
      <c r="F2001" s="114" t="str">
        <f aca="false">IF($E2001="","",IF($B2001="Tema",INDEX(Temas!$B$6:$B$305,$C2001)&amp;"",INDEX(Avulsos!$C$6:$C$205,$C2001)&amp;""))</f>
        <v/>
      </c>
      <c r="G2001" s="114" t="str">
        <f aca="false">IF($E2001="","",IF($B2001="Tema",INDEX(Config!$C$6:$C$11,$D2001),"Evento avulso"))</f>
        <v/>
      </c>
      <c r="H2001" s="114" t="str">
        <f aca="false">IF($E2001="","",IF($B2001="Tema",INDEX(Config!$D$6:$D$11,$D2001),IFERROR(INDEX(Config!$E$15:$E$19,MATCH($I2001,Config!$C$15:$C$19,0)),"•")))</f>
        <v/>
      </c>
      <c r="I2001" s="114" t="str">
        <f aca="false">IF($E2001="","",IF($B2001="Tema",INDEX(Config!$E$6:$E$11,$D2001),IF(INDEX(Avulsos!$D$6:$D$205,$C2001)&amp;""="","Outro",INDEX(Avulsos!$D$6:$D$205,$C2001))))</f>
        <v/>
      </c>
      <c r="J2001" s="114" t="str">
        <f aca="false">IF($E2001="","",IF($B2001="Tema",INDEX(Temas!$C$6:$C$305,$C2001)&amp;"",INDEX(Avulsos!$E$6:$E$205,$C2001)&amp;""))</f>
        <v/>
      </c>
      <c r="K2001" s="114" t="str">
        <f aca="false">IF($E2001="","",IF(IF($B2001="Tema",INDEX(Temas!$E$6:$P$305,$C2001,2*$D2001),INDEX(Avulsos!$F$6:$F$205,$C2001))&amp;""="","","✓"))</f>
        <v/>
      </c>
      <c r="L2001" s="114" t="str">
        <f aca="true">IF($E2001="","",IF($K2001="✓","Concluído",IF($E2001&lt;TODAY(),"Atrasado",IF($E2001=TODAY(),"Hoje","Pendente"))))</f>
        <v/>
      </c>
      <c r="M2001" s="114" t="str">
        <f aca="false">IF($E2001="","",IF($K2001="✓","✓ ","")&amp;IF(Config!$E$22="Sim",$H2001&amp;" · ","")&amp;$F2001)</f>
        <v/>
      </c>
      <c r="N2001" s="114" t="str">
        <f aca="false">IF($E2001="","",IFERROR(INDEX(Config!$D$15:$D$19,MATCH($I2001,Config!$C$15:$C$19,0)),"OUT")&amp;IF($K2001="✓","x",""))</f>
        <v/>
      </c>
      <c r="O2001" s="114" t="str">
        <f aca="false">IF($E2001="","",COUNTIF($E$5:$E2001,$E2001))</f>
        <v/>
      </c>
      <c r="P2001" s="114" t="str">
        <f aca="false">IF($E2001="","",$E2001*100+$O2001)</f>
        <v/>
      </c>
      <c r="Q2001" s="114" t="str">
        <f aca="false">IF($L2001="Atrasado",$E2001*10000+$A2001,"")</f>
        <v/>
      </c>
    </row>
    <row r="2002" customFormat="false" ht="15" hidden="false" customHeight="false" outlineLevel="0" collapsed="false">
      <c r="A2002" s="114" t="n">
        <f aca="false">ROW()-4</f>
        <v>1998</v>
      </c>
      <c r="B2002" s="114" t="str">
        <f aca="false">IF(A2002&lt;=Config!$E$27*Config!$E$28,"Tema","Avulso")</f>
        <v>Avulso</v>
      </c>
      <c r="C2002" s="114" t="n">
        <f aca="false">IF(B2002="Tema",INT((A2002-1)/Config!$E$28)+1,A2002-Config!$E$27*Config!$E$28)</f>
        <v>198</v>
      </c>
      <c r="D2002" s="114" t="str">
        <f aca="false">IF(B2002="Tema",MOD(A2002-1,Config!$E$28)+1,"")</f>
        <v/>
      </c>
      <c r="E2002" s="115" t="str">
        <f aca="false">IF($B2002="Tema",IF(ISNUMBER(INDEX(Temas!$E$6:$P$305,$C2002,2*$D2002-1)),INDEX(Temas!$E$6:$P$305,$C2002,2*$D2002-1),""),IF(ISNUMBER(INDEX(Avulsos!$B$6:$B$205,$C2002)),INDEX(Avulsos!$B$6:$B$205,$C2002),""))</f>
        <v/>
      </c>
      <c r="F2002" s="114" t="str">
        <f aca="false">IF($E2002="","",IF($B2002="Tema",INDEX(Temas!$B$6:$B$305,$C2002)&amp;"",INDEX(Avulsos!$C$6:$C$205,$C2002)&amp;""))</f>
        <v/>
      </c>
      <c r="G2002" s="114" t="str">
        <f aca="false">IF($E2002="","",IF($B2002="Tema",INDEX(Config!$C$6:$C$11,$D2002),"Evento avulso"))</f>
        <v/>
      </c>
      <c r="H2002" s="114" t="str">
        <f aca="false">IF($E2002="","",IF($B2002="Tema",INDEX(Config!$D$6:$D$11,$D2002),IFERROR(INDEX(Config!$E$15:$E$19,MATCH($I2002,Config!$C$15:$C$19,0)),"•")))</f>
        <v/>
      </c>
      <c r="I2002" s="114" t="str">
        <f aca="false">IF($E2002="","",IF($B2002="Tema",INDEX(Config!$E$6:$E$11,$D2002),IF(INDEX(Avulsos!$D$6:$D$205,$C2002)&amp;""="","Outro",INDEX(Avulsos!$D$6:$D$205,$C2002))))</f>
        <v/>
      </c>
      <c r="J2002" s="114" t="str">
        <f aca="false">IF($E2002="","",IF($B2002="Tema",INDEX(Temas!$C$6:$C$305,$C2002)&amp;"",INDEX(Avulsos!$E$6:$E$205,$C2002)&amp;""))</f>
        <v/>
      </c>
      <c r="K2002" s="114" t="str">
        <f aca="false">IF($E2002="","",IF(IF($B2002="Tema",INDEX(Temas!$E$6:$P$305,$C2002,2*$D2002),INDEX(Avulsos!$F$6:$F$205,$C2002))&amp;""="","","✓"))</f>
        <v/>
      </c>
      <c r="L2002" s="114" t="str">
        <f aca="true">IF($E2002="","",IF($K2002="✓","Concluído",IF($E2002&lt;TODAY(),"Atrasado",IF($E2002=TODAY(),"Hoje","Pendente"))))</f>
        <v/>
      </c>
      <c r="M2002" s="114" t="str">
        <f aca="false">IF($E2002="","",IF($K2002="✓","✓ ","")&amp;IF(Config!$E$22="Sim",$H2002&amp;" · ","")&amp;$F2002)</f>
        <v/>
      </c>
      <c r="N2002" s="114" t="str">
        <f aca="false">IF($E2002="","",IFERROR(INDEX(Config!$D$15:$D$19,MATCH($I2002,Config!$C$15:$C$19,0)),"OUT")&amp;IF($K2002="✓","x",""))</f>
        <v/>
      </c>
      <c r="O2002" s="114" t="str">
        <f aca="false">IF($E2002="","",COUNTIF($E$5:$E2002,$E2002))</f>
        <v/>
      </c>
      <c r="P2002" s="114" t="str">
        <f aca="false">IF($E2002="","",$E2002*100+$O2002)</f>
        <v/>
      </c>
      <c r="Q2002" s="114" t="str">
        <f aca="false">IF($L2002="Atrasado",$E2002*10000+$A2002,"")</f>
        <v/>
      </c>
    </row>
    <row r="2003" customFormat="false" ht="15" hidden="false" customHeight="false" outlineLevel="0" collapsed="false">
      <c r="A2003" s="114" t="n">
        <f aca="false">ROW()-4</f>
        <v>1999</v>
      </c>
      <c r="B2003" s="114" t="str">
        <f aca="false">IF(A2003&lt;=Config!$E$27*Config!$E$28,"Tema","Avulso")</f>
        <v>Avulso</v>
      </c>
      <c r="C2003" s="114" t="n">
        <f aca="false">IF(B2003="Tema",INT((A2003-1)/Config!$E$28)+1,A2003-Config!$E$27*Config!$E$28)</f>
        <v>199</v>
      </c>
      <c r="D2003" s="114" t="str">
        <f aca="false">IF(B2003="Tema",MOD(A2003-1,Config!$E$28)+1,"")</f>
        <v/>
      </c>
      <c r="E2003" s="115" t="str">
        <f aca="false">IF($B2003="Tema",IF(ISNUMBER(INDEX(Temas!$E$6:$P$305,$C2003,2*$D2003-1)),INDEX(Temas!$E$6:$P$305,$C2003,2*$D2003-1),""),IF(ISNUMBER(INDEX(Avulsos!$B$6:$B$205,$C2003)),INDEX(Avulsos!$B$6:$B$205,$C2003),""))</f>
        <v/>
      </c>
      <c r="F2003" s="114" t="str">
        <f aca="false">IF($E2003="","",IF($B2003="Tema",INDEX(Temas!$B$6:$B$305,$C2003)&amp;"",INDEX(Avulsos!$C$6:$C$205,$C2003)&amp;""))</f>
        <v/>
      </c>
      <c r="G2003" s="114" t="str">
        <f aca="false">IF($E2003="","",IF($B2003="Tema",INDEX(Config!$C$6:$C$11,$D2003),"Evento avulso"))</f>
        <v/>
      </c>
      <c r="H2003" s="114" t="str">
        <f aca="false">IF($E2003="","",IF($B2003="Tema",INDEX(Config!$D$6:$D$11,$D2003),IFERROR(INDEX(Config!$E$15:$E$19,MATCH($I2003,Config!$C$15:$C$19,0)),"•")))</f>
        <v/>
      </c>
      <c r="I2003" s="114" t="str">
        <f aca="false">IF($E2003="","",IF($B2003="Tema",INDEX(Config!$E$6:$E$11,$D2003),IF(INDEX(Avulsos!$D$6:$D$205,$C2003)&amp;""="","Outro",INDEX(Avulsos!$D$6:$D$205,$C2003))))</f>
        <v/>
      </c>
      <c r="J2003" s="114" t="str">
        <f aca="false">IF($E2003="","",IF($B2003="Tema",INDEX(Temas!$C$6:$C$305,$C2003)&amp;"",INDEX(Avulsos!$E$6:$E$205,$C2003)&amp;""))</f>
        <v/>
      </c>
      <c r="K2003" s="114" t="str">
        <f aca="false">IF($E2003="","",IF(IF($B2003="Tema",INDEX(Temas!$E$6:$P$305,$C2003,2*$D2003),INDEX(Avulsos!$F$6:$F$205,$C2003))&amp;""="","","✓"))</f>
        <v/>
      </c>
      <c r="L2003" s="114" t="str">
        <f aca="true">IF($E2003="","",IF($K2003="✓","Concluído",IF($E2003&lt;TODAY(),"Atrasado",IF($E2003=TODAY(),"Hoje","Pendente"))))</f>
        <v/>
      </c>
      <c r="M2003" s="114" t="str">
        <f aca="false">IF($E2003="","",IF($K2003="✓","✓ ","")&amp;IF(Config!$E$22="Sim",$H2003&amp;" · ","")&amp;$F2003)</f>
        <v/>
      </c>
      <c r="N2003" s="114" t="str">
        <f aca="false">IF($E2003="","",IFERROR(INDEX(Config!$D$15:$D$19,MATCH($I2003,Config!$C$15:$C$19,0)),"OUT")&amp;IF($K2003="✓","x",""))</f>
        <v/>
      </c>
      <c r="O2003" s="114" t="str">
        <f aca="false">IF($E2003="","",COUNTIF($E$5:$E2003,$E2003))</f>
        <v/>
      </c>
      <c r="P2003" s="114" t="str">
        <f aca="false">IF($E2003="","",$E2003*100+$O2003)</f>
        <v/>
      </c>
      <c r="Q2003" s="114" t="str">
        <f aca="false">IF($L2003="Atrasado",$E2003*10000+$A2003,"")</f>
        <v/>
      </c>
    </row>
    <row r="2004" customFormat="false" ht="15" hidden="false" customHeight="false" outlineLevel="0" collapsed="false">
      <c r="A2004" s="114" t="n">
        <f aca="false">ROW()-4</f>
        <v>2000</v>
      </c>
      <c r="B2004" s="114" t="str">
        <f aca="false">IF(A2004&lt;=Config!$E$27*Config!$E$28,"Tema","Avulso")</f>
        <v>Avulso</v>
      </c>
      <c r="C2004" s="114" t="n">
        <f aca="false">IF(B2004="Tema",INT((A2004-1)/Config!$E$28)+1,A2004-Config!$E$27*Config!$E$28)</f>
        <v>200</v>
      </c>
      <c r="D2004" s="114" t="str">
        <f aca="false">IF(B2004="Tema",MOD(A2004-1,Config!$E$28)+1,"")</f>
        <v/>
      </c>
      <c r="E2004" s="115" t="str">
        <f aca="false">IF($B2004="Tema",IF(ISNUMBER(INDEX(Temas!$E$6:$P$305,$C2004,2*$D2004-1)),INDEX(Temas!$E$6:$P$305,$C2004,2*$D2004-1),""),IF(ISNUMBER(INDEX(Avulsos!$B$6:$B$205,$C2004)),INDEX(Avulsos!$B$6:$B$205,$C2004),""))</f>
        <v/>
      </c>
      <c r="F2004" s="114" t="str">
        <f aca="false">IF($E2004="","",IF($B2004="Tema",INDEX(Temas!$B$6:$B$305,$C2004)&amp;"",INDEX(Avulsos!$C$6:$C$205,$C2004)&amp;""))</f>
        <v/>
      </c>
      <c r="G2004" s="114" t="str">
        <f aca="false">IF($E2004="","",IF($B2004="Tema",INDEX(Config!$C$6:$C$11,$D2004),"Evento avulso"))</f>
        <v/>
      </c>
      <c r="H2004" s="114" t="str">
        <f aca="false">IF($E2004="","",IF($B2004="Tema",INDEX(Config!$D$6:$D$11,$D2004),IFERROR(INDEX(Config!$E$15:$E$19,MATCH($I2004,Config!$C$15:$C$19,0)),"•")))</f>
        <v/>
      </c>
      <c r="I2004" s="114" t="str">
        <f aca="false">IF($E2004="","",IF($B2004="Tema",INDEX(Config!$E$6:$E$11,$D2004),IF(INDEX(Avulsos!$D$6:$D$205,$C2004)&amp;""="","Outro",INDEX(Avulsos!$D$6:$D$205,$C2004))))</f>
        <v/>
      </c>
      <c r="J2004" s="114" t="str">
        <f aca="false">IF($E2004="","",IF($B2004="Tema",INDEX(Temas!$C$6:$C$305,$C2004)&amp;"",INDEX(Avulsos!$E$6:$E$205,$C2004)&amp;""))</f>
        <v/>
      </c>
      <c r="K2004" s="114" t="str">
        <f aca="false">IF($E2004="","",IF(IF($B2004="Tema",INDEX(Temas!$E$6:$P$305,$C2004,2*$D2004),INDEX(Avulsos!$F$6:$F$205,$C2004))&amp;""="","","✓"))</f>
        <v/>
      </c>
      <c r="L2004" s="114" t="str">
        <f aca="true">IF($E2004="","",IF($K2004="✓","Concluído",IF($E2004&lt;TODAY(),"Atrasado",IF($E2004=TODAY(),"Hoje","Pendente"))))</f>
        <v/>
      </c>
      <c r="M2004" s="114" t="str">
        <f aca="false">IF($E2004="","",IF($K2004="✓","✓ ","")&amp;IF(Config!$E$22="Sim",$H2004&amp;" · ","")&amp;$F2004)</f>
        <v/>
      </c>
      <c r="N2004" s="114" t="str">
        <f aca="false">IF($E2004="","",IFERROR(INDEX(Config!$D$15:$D$19,MATCH($I2004,Config!$C$15:$C$19,0)),"OUT")&amp;IF($K2004="✓","x",""))</f>
        <v/>
      </c>
      <c r="O2004" s="114" t="str">
        <f aca="false">IF($E2004="","",COUNTIF($E$5:$E2004,$E2004))</f>
        <v/>
      </c>
      <c r="P2004" s="114" t="str">
        <f aca="false">IF($E2004="","",$E2004*100+$O2004)</f>
        <v/>
      </c>
      <c r="Q2004" s="114" t="str">
        <f aca="false">IF($L2004="Atrasado",$E2004*10000+$A2004,"")</f>
        <v/>
      </c>
    </row>
  </sheetData>
  <autoFilter ref="A4:Q20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2026-10-08T23:57:49Z</dcterms:created>
  <dc:creator>openpyxl</dc:creator>
  <dc:description/>
  <dc:language>en-US</dc:language>
  <cp:lastModifiedBy/>
  <dcterms:modified xsi:type="dcterms:W3CDTF">2026-10-08T23:57:52Z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